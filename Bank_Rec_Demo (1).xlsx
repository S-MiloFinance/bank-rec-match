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Rec" sheetId="2" state="visible" r:id="rId4"/>
    <sheet name="Config" sheetId="3" state="visible" r:id="rId5"/>
    <sheet name="Bank" sheetId="4" state="visible" r:id="rId6"/>
    <sheet name="GL" sheetId="5" state="visible" r:id="rId7"/>
    <sheet name="Pairs" sheetId="6" state="visible" r:id="rId8"/>
    <sheet name="Open Items" sheetId="7" state="visible" r:id="rId9"/>
    <sheet name="Bank Raw" sheetId="8" state="visible" r:id="rId10"/>
    <sheet name="GL Raw" sheetId="9" state="visible" r:id="rId11"/>
  </sheets>
  <definedNames>
    <definedName function="false" hidden="true" localSheetId="3" name="_xlnm._FilterDatabase" vbProcedure="false">Bank!$A$1:$K$5001</definedName>
    <definedName function="false" hidden="true" localSheetId="4" name="_xlnm._FilterDatabase" vbProcedure="false">GL!$A$1:$K$5001</definedName>
    <definedName function="false" hidden="true" localSheetId="6" name="_xlnm._FilterDatabase" vbProcedure="false">'Open Items'!$A$5:$L$2005</definedName>
    <definedName function="false" hidden="true" localSheetId="5" name="_xlnm._FilterDatabase" vbProcedure="false">Pairs!$A$5:$N$2005</definedName>
    <definedName function="false" hidden="false" name="CFG_Acct" vbProcedure="false">Config!$C$7</definedName>
    <definedName function="false" hidden="false" name="CFG_Bank" vbProcedure="false">Config!$C$6</definedName>
    <definedName function="false" hidden="false" name="CFG_BankBal" vbProcedure="false">Config!$C$11</definedName>
    <definedName function="false" hidden="false" name="CFG_Client" vbProcedure="false">Config!$C$5</definedName>
    <definedName function="false" hidden="false" name="CFG_DaysAfter" vbProcedure="false">Config!$C$22</definedName>
    <definedName function="false" hidden="false" name="CFG_DaysAfterChk" vbProcedure="false">Config!$C$23</definedName>
    <definedName function="false" hidden="false" name="CFG_DaysBefore" vbProcedure="false">Config!$C$21</definedName>
    <definedName function="false" hidden="false" name="CFG_GLAcct" vbProcedure="false">Config!$C$8</definedName>
    <definedName function="false" hidden="false" name="CFG_GLBal" vbProcedure="false">Config!$C$12</definedName>
    <definedName function="false" hidden="false" name="CFG_NearMax" vbProcedure="false">Config!$C$20</definedName>
    <definedName function="false" hidden="false" name="CFG_NearMin" vbProcedure="false">Config!$C$19</definedName>
    <definedName function="false" hidden="false" name="CFG_PeriodEnd" vbProcedure="false">Config!$C$10</definedName>
    <definedName function="false" hidden="false" name="CFG_PeriodStart" vbProcedure="false">Config!$C$9</definedName>
    <definedName function="false" hidden="false" name="CFG_Preparer" vbProcedure="false">Config!$C$13</definedName>
    <definedName function="false" hidden="false" name="CFG_PrepDate" vbProcedure="false">Config!$C$14</definedName>
    <definedName function="false" hidden="false" name="CFG_RevDate" vbProcedure="false">Config!$C$16</definedName>
    <definedName function="false" hidden="false" name="CFG_Reviewer" vbProcedure="false">Config!$C$15</definedName>
    <definedName function="false" hidden="false" name="CFG_TolKeywords" vbProcedure="false">Config!$C$25</definedName>
    <definedName function="false" hidden="false" name="CFG_TolMode" vbProcedure="false">Config!$C$24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<sst xmlns="http://schemas.openxmlformats.org/spreadsheetml/2006/main" count="521" uniqueCount="321">
  <si>
    <t xml:space="preserve">Bank Reconciliation Workbook</t>
  </si>
  <si>
    <t xml:space="preserve">Standard layout for matching bank activity to the general ledger, one bank account per workbook.</t>
  </si>
  <si>
    <t xml:space="preserve">Monthly workflow</t>
  </si>
  <si>
    <t xml:space="preserve">1. Config: enter client, period dates, statement ending balance and GL ending balance.</t>
  </si>
  <si>
    <t xml:space="preserve">2. Paste the raw bank export onto 'Bank Raw' and the raw GL detail onto 'GL Raw', exactly as downloaded.</t>
  </si>
  <si>
    <t xml:space="preserve">3. Import: raw rows are normalized into 'Bank' and 'GL' using the Config import map (done by the bank-rec-match skill, or by hand).</t>
  </si>
  <si>
    <t xml:space="preserve">4. Match: run the skill. It shows a dry run first, then marks Status / Match Type / Matched ID and refreshes 'Pairs' and 'Open Items'.</t>
  </si>
  <si>
    <t xml:space="preserve">5. Review: work the yellow (Amount-only) and pink (Near) rows. Decisions are recorded in the columns, not by recoloring.</t>
  </si>
  <si>
    <t xml:space="preserve">6. Rec tab: 'Unexplained difference' must be 0.00 and every check must read OK before sign-off.</t>
  </si>
  <si>
    <t xml:space="preserve">7. Next month: Save As, delete Status = Y rows from Bank and GL, clear raw tabs, update Config. Open items carry forward with their IDs.</t>
  </si>
  <si>
    <t xml:space="preserve">Match types and colors (Match Type column drives the color, never paint cells by hand)</t>
  </si>
  <si>
    <t xml:space="preserve">Match Type</t>
  </si>
  <si>
    <t xml:space="preserve">Status</t>
  </si>
  <si>
    <t xml:space="preserve">Meaning</t>
  </si>
  <si>
    <t xml:space="preserve">Exact</t>
  </si>
  <si>
    <t xml:space="preserve">Y</t>
  </si>
  <si>
    <t xml:space="preserve">Amount exact and descriptions agree (check #, vendor/customer name, or known alias).</t>
  </si>
  <si>
    <t xml:space="preserve">Amount-only</t>
  </si>
  <si>
    <t xml:space="preserve">Amount exact, descriptions share nothing. Reconciled, but an accountant must review the note.</t>
  </si>
  <si>
    <t xml:space="preserve">Near</t>
  </si>
  <si>
    <t xml:space="preserve">blank</t>
  </si>
  <si>
    <t xml:space="preserve">Amounts 1-10 cents apart. NOT reconciled. Review Note names the candidate ID on the other side.</t>
  </si>
  <si>
    <t xml:space="preserve">Tolerance</t>
  </si>
  <si>
    <t xml:space="preserve">Only if enabled in Config for listed keywords. Reconciled; cents difference needs an adjusting entry.</t>
  </si>
  <si>
    <t xml:space="preserve">Manual</t>
  </si>
  <si>
    <t xml:space="preserve">Paired by a person. Set Status, Match Type and Matched ID on both sides.</t>
  </si>
  <si>
    <t xml:space="preserve">(blank)</t>
  </si>
  <si>
    <t xml:space="preserve">No match. Stays open and flows to the Open Items tab.</t>
  </si>
  <si>
    <t xml:space="preserve">Cell legend</t>
  </si>
  <si>
    <t xml:space="preserve">Input</t>
  </si>
  <si>
    <t xml:space="preserve">Pale green with blue text: type here (Config, and the ID columns on Pairs / Open Items that the skill fills).</t>
  </si>
  <si>
    <t xml:space="preserve">Formula</t>
  </si>
  <si>
    <t xml:space="preserve">Grey header: formula column. Do not type over it. Rec, Pairs and Open Items are formulas throughout.</t>
  </si>
  <si>
    <t xml:space="preserve">Bank and GL tabs: the standard row (both tabs use identical columns)</t>
  </si>
  <si>
    <t xml:space="preserve">ID</t>
  </si>
  <si>
    <t xml:space="preserve">Date</t>
  </si>
  <si>
    <t xml:space="preserve">Description</t>
  </si>
  <si>
    <t xml:space="preserve">Ref / Check #</t>
  </si>
  <si>
    <t xml:space="preserve">Amount</t>
  </si>
  <si>
    <t xml:space="preserve">Matched ID</t>
  </si>
  <si>
    <t xml:space="preserve">Review Note</t>
  </si>
  <si>
    <t xml:space="preserve">Pass</t>
  </si>
  <si>
    <t xml:space="preserve">G-2608-0001</t>
  </si>
  <si>
    <t xml:space="preserve">Summit Fleet Repair - Truck repair</t>
  </si>
  <si>
    <t xml:space="preserve">1045</t>
  </si>
  <si>
    <t xml:space="preserve">B-2608-0001</t>
  </si>
  <si>
    <t xml:space="preserve">Example row only (not part of the rec). The 11th column, Raw Row, records which raw-tab row the line came from.</t>
  </si>
  <si>
    <t xml:space="preserve">Rules</t>
  </si>
  <si>
    <t xml:space="preserve">• Amount is ONE signed column from the cash account's view: money in is positive, money out is negative, on both tabs.</t>
  </si>
  <si>
    <t xml:space="preserve">• IDs never change. Format B-YYMM-#### (bank) and G-YYMM-#### (GL). Carried-forward items keep their original ID, so their age shows.</t>
  </si>
  <si>
    <t xml:space="preserve">• Matching is one-to-one. One bank row pairs with one GL row. Batched deposits (one deposit = several receipts) are not handled yet.</t>
  </si>
  <si>
    <t xml:space="preserve">• Bank tab: statement period activity plus open bank items carried from last month. GL tab: activity through period end plus open GL items carried.</t>
  </si>
  <si>
    <t xml:space="preserve">• Undo a pass: filter Pass = n on both tabs, clear Status, Match Type, Matched ID, Review Note and Pass, then refresh Pairs and Open Items.</t>
  </si>
  <si>
    <t xml:space="preserve">• Sorting and filtering Bank / GL is always safe. Everything links by ID, not by row number.</t>
  </si>
  <si>
    <t xml:space="preserve">Bank Reconciliation</t>
  </si>
  <si>
    <t xml:space="preserve">1. Balance reconciliation</t>
  </si>
  <si>
    <t xml:space="preserve">Balance per bank statement</t>
  </si>
  <si>
    <t xml:space="preserve">Add: deposits in transit (in GL, not yet on bank)</t>
  </si>
  <si>
    <t xml:space="preserve">Less: outstanding checks and payments (in GL, not yet on bank)</t>
  </si>
  <si>
    <t xml:space="preserve">Adjusted bank balance</t>
  </si>
  <si>
    <t xml:space="preserve">Balance per GL</t>
  </si>
  <si>
    <t xml:space="preserve">Add: bank credits not yet in GL (deposits, interest)</t>
  </si>
  <si>
    <t xml:space="preserve">Less: bank debits not yet in GL (fees, drafts)</t>
  </si>
  <si>
    <t xml:space="preserve">Adjusted book balance</t>
  </si>
  <si>
    <t xml:space="preserve">Difference (adjusted bank less adjusted book)</t>
  </si>
  <si>
    <t xml:space="preserve">Less: cents differences accepted on reconciled pairs (needs adjusting entry)</t>
  </si>
  <si>
    <t xml:space="preserve">Unexplained difference</t>
  </si>
  <si>
    <t xml:space="preserve">2. Matching checks (all must read OK)</t>
  </si>
  <si>
    <t xml:space="preserve">Check</t>
  </si>
  <si>
    <t xml:space="preserve">Bank</t>
  </si>
  <si>
    <t xml:space="preserve">GL</t>
  </si>
  <si>
    <t xml:space="preserve">Expected</t>
  </si>
  <si>
    <t xml:space="preserve">Result</t>
  </si>
  <si>
    <t xml:space="preserve">Reconciled total (Status = Y)</t>
  </si>
  <si>
    <t xml:space="preserve">Bank less GL = Pairs difference</t>
  </si>
  <si>
    <t xml:space="preserve">Reconciled count (Status = Y)</t>
  </si>
  <si>
    <t xml:space="preserve">Equal (one-to-one)</t>
  </si>
  <si>
    <t xml:space="preserve">Pairs listed on Pairs tab</t>
  </si>
  <si>
    <t xml:space="preserve">Equals reconciled count</t>
  </si>
  <si>
    <t xml:space="preserve">Pair link problems</t>
  </si>
  <si>
    <t xml:space="preserve">0</t>
  </si>
  <si>
    <t xml:space="preserve">Status = Y with no Matched ID</t>
  </si>
  <si>
    <t xml:space="preserve">Near items marked Y</t>
  </si>
  <si>
    <t xml:space="preserve">Rows whose Amount is not a number</t>
  </si>
  <si>
    <t xml:space="preserve">Rows dated after period end</t>
  </si>
  <si>
    <t xml:space="preserve">Open Items list vs tabs (difference)</t>
  </si>
  <si>
    <t xml:space="preserve">All checks</t>
  </si>
  <si>
    <t xml:space="preserve">3. Review queue</t>
  </si>
  <si>
    <t xml:space="preserve">Action</t>
  </si>
  <si>
    <t xml:space="preserve">None.</t>
  </si>
  <si>
    <t xml:space="preserve">Amount-only (yellow)</t>
  </si>
  <si>
    <t xml:space="preserve">Read the Review Note. Unpair if wrong.</t>
  </si>
  <si>
    <t xml:space="preserve">Near (pink)</t>
  </si>
  <si>
    <t xml:space="preserve">Decide: pair as Manual, or leave open.</t>
  </si>
  <si>
    <t xml:space="preserve">Tolerance (lavender)</t>
  </si>
  <si>
    <t xml:space="preserve">Book the cents adjustment.</t>
  </si>
  <si>
    <t xml:space="preserve">Open, no candidate</t>
  </si>
  <si>
    <t xml:space="preserve">Research, or leave as reconciling item.</t>
  </si>
  <si>
    <t xml:space="preserve">Total rows</t>
  </si>
  <si>
    <t xml:space="preserve">4. Sign-off</t>
  </si>
  <si>
    <t xml:space="preserve">Prepared by</t>
  </si>
  <si>
    <t xml:space="preserve">Reviewed by</t>
  </si>
  <si>
    <t xml:space="preserve">Dates and names come from Config.</t>
  </si>
  <si>
    <t xml:space="preserve">Config: client settings</t>
  </si>
  <si>
    <t xml:space="preserve">Pale green cells are inputs. Every other tab reads from here.</t>
  </si>
  <si>
    <t xml:space="preserve">Client and period</t>
  </si>
  <si>
    <t xml:space="preserve">Client name</t>
  </si>
  <si>
    <t xml:space="preserve">Sample Landscaping LLC (fictional)</t>
  </si>
  <si>
    <t xml:space="preserve">Bank name</t>
  </si>
  <si>
    <t xml:space="preserve">First Example Bank</t>
  </si>
  <si>
    <t xml:space="preserve">Bank account (last 4)</t>
  </si>
  <si>
    <t xml:space="preserve">4821</t>
  </si>
  <si>
    <t xml:space="preserve">Last four digits only.</t>
  </si>
  <si>
    <t xml:space="preserve">GL cash account</t>
  </si>
  <si>
    <t xml:space="preserve">1010 Operating Cash</t>
  </si>
  <si>
    <t xml:space="preserve">Number and name, e.g. 1010 Operating Cash.</t>
  </si>
  <si>
    <t xml:space="preserve">Period start</t>
  </si>
  <si>
    <t xml:space="preserve">Period end</t>
  </si>
  <si>
    <t xml:space="preserve">Statement end date.</t>
  </si>
  <si>
    <t xml:space="preserve">Balance per bank statement (period end)</t>
  </si>
  <si>
    <t xml:space="preserve">From the statement, not the export.</t>
  </si>
  <si>
    <t xml:space="preserve">Balance per GL (period end)</t>
  </si>
  <si>
    <t xml:space="preserve">From the trial balance / GL report.</t>
  </si>
  <si>
    <t xml:space="preserve">S. Milovanov</t>
  </si>
  <si>
    <t xml:space="preserve">Date prepared</t>
  </si>
  <si>
    <t xml:space="preserve">Date reviewed</t>
  </si>
  <si>
    <t xml:space="preserve">Matching rules</t>
  </si>
  <si>
    <t xml:space="preserve">Near-match minimum difference</t>
  </si>
  <si>
    <t xml:space="preserve">Default 0.01.</t>
  </si>
  <si>
    <t xml:space="preserve">Near-match maximum difference</t>
  </si>
  <si>
    <t xml:space="preserve">Default 0.10. Near matches are note-only unless the keyword rule below says otherwise.</t>
  </si>
  <si>
    <t xml:space="preserve">Days bank may post BEFORE the GL date</t>
  </si>
  <si>
    <t xml:space="preserve">Applies to every match except check-number matches.</t>
  </si>
  <si>
    <t xml:space="preserve">Days bank may post AFTER the GL date (non-check)</t>
  </si>
  <si>
    <t xml:space="preserve">ACH, card, transfers, deposits.</t>
  </si>
  <si>
    <t xml:space="preserve">Days bank may post AFTER the GL date (checks)</t>
  </si>
  <si>
    <t xml:space="preserve">Checks clear late. Check-number matches ignore the window entirely.</t>
  </si>
  <si>
    <t xml:space="preserve">Near matches on tolerance keywords</t>
  </si>
  <si>
    <t xml:space="preserve">Note only</t>
  </si>
  <si>
    <t xml:space="preserve">'Note only' (default) or 'Reconcile as Tolerance'.</t>
  </si>
  <si>
    <t xml:space="preserve">Tolerance keywords (comma-separated)</t>
  </si>
  <si>
    <t xml:space="preserve">e.g. PAYROLL, GENERAC. Whole word, case-insensitive, must appear on BOTH sides.</t>
  </si>
  <si>
    <t xml:space="preserve">Raw import map (fill once per client; the import reuses it every month)</t>
  </si>
  <si>
    <t xml:space="preserve">Setting</t>
  </si>
  <si>
    <t xml:space="preserve">Bank Raw</t>
  </si>
  <si>
    <t xml:space="preserve">GL Raw</t>
  </si>
  <si>
    <t xml:space="preserve">Notes</t>
  </si>
  <si>
    <t xml:space="preserve">Header row number</t>
  </si>
  <si>
    <t xml:space="preserve">Row the column headers sit on.</t>
  </si>
  <si>
    <t xml:space="preserve">Date column</t>
  </si>
  <si>
    <t xml:space="preserve">A</t>
  </si>
  <si>
    <t xml:space="preserve">Column letter, e.g. A.</t>
  </si>
  <si>
    <t xml:space="preserve">Description column(s)</t>
  </si>
  <si>
    <t xml:space="preserve">B</t>
  </si>
  <si>
    <t xml:space="preserve">C,D</t>
  </si>
  <si>
    <t xml:space="preserve">One letter, or several joined with ' - ' (e.g. D,E for Name - Memo).</t>
  </si>
  <si>
    <t xml:space="preserve">Reference / check # column</t>
  </si>
  <si>
    <t xml:space="preserve">C</t>
  </si>
  <si>
    <t xml:space="preserve">Leave blank if check numbers only appear in the description.</t>
  </si>
  <si>
    <t xml:space="preserve">Amount layout</t>
  </si>
  <si>
    <t xml:space="preserve">Separate in / out columns</t>
  </si>
  <si>
    <t xml:space="preserve">'Single signed column' or 'Separate in / out columns'.</t>
  </si>
  <si>
    <t xml:space="preserve">Amount column (single layout)</t>
  </si>
  <si>
    <t xml:space="preserve">Money-in column (bank credits / GL debits)</t>
  </si>
  <si>
    <t xml:space="preserve">E</t>
  </si>
  <si>
    <t xml:space="preserve">Separate layout only.</t>
  </si>
  <si>
    <t xml:space="preserve">Money-out column (bank debits / GL credits)</t>
  </si>
  <si>
    <t xml:space="preserve">D</t>
  </si>
  <si>
    <t xml:space="preserve">F</t>
  </si>
  <si>
    <t xml:space="preserve">Separate layout only. Values may be shown positive.</t>
  </si>
  <si>
    <t xml:space="preserve">In single layout, money out is shown as</t>
  </si>
  <si>
    <t xml:space="preserve">'Negative' or 'Positive'. If Positive, the import flips the sign.</t>
  </si>
  <si>
    <t xml:space="preserve">Date format in raw file</t>
  </si>
  <si>
    <t xml:space="preserve">M/D/Y</t>
  </si>
  <si>
    <t xml:space="preserve">'Auto', 'M/D/Y' or 'D/M/Y'.</t>
  </si>
  <si>
    <t xml:space="preserve">Footer rows to skip (totals, balances)</t>
  </si>
  <si>
    <t xml:space="preserve">Number of rows at the bottom to ignore.</t>
  </si>
  <si>
    <t xml:space="preserve">Aliases (bank wording that means the same party as GL wording)</t>
  </si>
  <si>
    <t xml:space="preserve">Bank text contains</t>
  </si>
  <si>
    <t xml:space="preserve">GL text contains</t>
  </si>
  <si>
    <t xml:space="preserve">Note</t>
  </si>
  <si>
    <t xml:space="preserve">ROCKY MTN POWER</t>
  </si>
  <si>
    <t xml:space="preserve">Rocky Mountain Power</t>
  </si>
  <si>
    <t xml:space="preserve">Utility abbreviation</t>
  </si>
  <si>
    <t xml:space="preserve">SAV 7732</t>
  </si>
  <si>
    <t xml:space="preserve">Savings x7732</t>
  </si>
  <si>
    <t xml:space="preserve">Internal transfer</t>
  </si>
  <si>
    <t xml:space="preserve">Raw Row</t>
  </si>
  <si>
    <t xml:space="preserve">CHECK 1045</t>
  </si>
  <si>
    <t xml:space="preserve">B-2608-0002</t>
  </si>
  <si>
    <t xml:space="preserve">DEPOSIT</t>
  </si>
  <si>
    <t xml:space="preserve">G-2608-0002</t>
  </si>
  <si>
    <t xml:space="preserve">Accountant review: amount-only match. Bank: "DEPOSIT" | GL: "Hillside HOA - Customer payment"</t>
  </si>
  <si>
    <t xml:space="preserve">B-2608-0003</t>
  </si>
  <si>
    <t xml:space="preserve">ACH DEBIT ADP PAYROLL 080526</t>
  </si>
  <si>
    <t xml:space="preserve">G-2608-0004</t>
  </si>
  <si>
    <t xml:space="preserve">B-2608-0004</t>
  </si>
  <si>
    <t xml:space="preserve">CHECK 1047</t>
  </si>
  <si>
    <t xml:space="preserve">1047</t>
  </si>
  <si>
    <t xml:space="preserve">G-2608-0003</t>
  </si>
  <si>
    <t xml:space="preserve">B-2608-0005</t>
  </si>
  <si>
    <t xml:space="preserve">POS PURCHASE HOME DEPOT #4410</t>
  </si>
  <si>
    <t xml:space="preserve">G-2608-0005</t>
  </si>
  <si>
    <t xml:space="preserve">B-2608-0006</t>
  </si>
  <si>
    <t xml:space="preserve">ONLINE TRANSFER FROM SAV 7732</t>
  </si>
  <si>
    <t xml:space="preserve">G-2608-0006</t>
  </si>
  <si>
    <t xml:space="preserve">B-2608-0007</t>
  </si>
  <si>
    <t xml:space="preserve">ACH DEBIT ROCKY MTN POWER</t>
  </si>
  <si>
    <t xml:space="preserve">G-2608-0007</t>
  </si>
  <si>
    <t xml:space="preserve">B-2608-0008</t>
  </si>
  <si>
    <t xml:space="preserve">CHECK 1038</t>
  </si>
  <si>
    <t xml:space="preserve">1038</t>
  </si>
  <si>
    <t xml:space="preserve">G-2607-0019</t>
  </si>
  <si>
    <t xml:space="preserve">B-2608-0009</t>
  </si>
  <si>
    <t xml:space="preserve">MOBILE DEPOSIT ALVAREZ</t>
  </si>
  <si>
    <t xml:space="preserve">G-2608-0009</t>
  </si>
  <si>
    <t xml:space="preserve">B-2608-0010</t>
  </si>
  <si>
    <t xml:space="preserve">ACH DEBIT VERIZON WIRELESS</t>
  </si>
  <si>
    <t xml:space="preserve">Near match: GL G-2608-0010 "Verizon Wireless - August" -186.20 (diff 0.03). Not reconciled.</t>
  </si>
  <si>
    <t xml:space="preserve">B-2608-0011</t>
  </si>
  <si>
    <t xml:space="preserve">CHECK 1046</t>
  </si>
  <si>
    <t xml:space="preserve">1046</t>
  </si>
  <si>
    <t xml:space="preserve">G-2608-0008</t>
  </si>
  <si>
    <t xml:space="preserve">B-2608-0012</t>
  </si>
  <si>
    <t xml:space="preserve">ACH CREDIT STRIPE TRANSFER</t>
  </si>
  <si>
    <t xml:space="preserve">G-2608-0011</t>
  </si>
  <si>
    <t xml:space="preserve">B-2608-0013</t>
  </si>
  <si>
    <t xml:space="preserve">ACH DEBIT UTAH STATE TAX</t>
  </si>
  <si>
    <t xml:space="preserve">G-2608-0012</t>
  </si>
  <si>
    <t xml:space="preserve">B-2608-0014</t>
  </si>
  <si>
    <t xml:space="preserve">SERVICE CHARGE</t>
  </si>
  <si>
    <t xml:space="preserve">B-2608-0015</t>
  </si>
  <si>
    <t xml:space="preserve">INTEREST PAYMENT</t>
  </si>
  <si>
    <t xml:space="preserve">Canyon Properties - Aug rent</t>
  </si>
  <si>
    <t xml:space="preserve">Carried from 2607</t>
  </si>
  <si>
    <t xml:space="preserve">G-2607-0022</t>
  </si>
  <si>
    <t xml:space="preserve">Wasatch Tree Supply - Saplings</t>
  </si>
  <si>
    <t xml:space="preserve">1041</t>
  </si>
  <si>
    <t xml:space="preserve">Hillside HOA - Customer payment</t>
  </si>
  <si>
    <t xml:space="preserve">Granite Equipment Rental - Skid steer</t>
  </si>
  <si>
    <t xml:space="preserve">ADP - Payroll 8/5</t>
  </si>
  <si>
    <t xml:space="preserve">Home Depot - Irrigation parts</t>
  </si>
  <si>
    <t xml:space="preserve">Savings x7732 - Transfer in</t>
  </si>
  <si>
    <t xml:space="preserve">Rocky Mountain Power - August service</t>
  </si>
  <si>
    <t xml:space="preserve">Alpine Nursery - Plants</t>
  </si>
  <si>
    <t xml:space="preserve">J. Alvarez - Mobile deposit inv 2291</t>
  </si>
  <si>
    <t xml:space="preserve">G-2608-0010</t>
  </si>
  <si>
    <t xml:space="preserve">Verizon Wireless - August</t>
  </si>
  <si>
    <t xml:space="preserve">Near match: Bank B-2608-0010 "ACH DEBIT VERIZON WIRELESS" -186.23 (diff 0.03). Not reconciled.</t>
  </si>
  <si>
    <t xml:space="preserve">Stripe - Payout 8/24</t>
  </si>
  <si>
    <t xml:space="preserve">Utah State Tax Commission - Withholding</t>
  </si>
  <si>
    <t xml:space="preserve">G-2608-0013</t>
  </si>
  <si>
    <t xml:space="preserve">Canyon Properties - Sep rent</t>
  </si>
  <si>
    <t xml:space="preserve">1049</t>
  </si>
  <si>
    <t xml:space="preserve">G-2608-0014</t>
  </si>
  <si>
    <t xml:space="preserve">Peak Fuel - Fuel</t>
  </si>
  <si>
    <t xml:space="preserve">1050</t>
  </si>
  <si>
    <t xml:space="preserve">G-2608-0015</t>
  </si>
  <si>
    <t xml:space="preserve">Birch Lane Homes - Customer payment</t>
  </si>
  <si>
    <t xml:space="preserve">Reconciled pairs</t>
  </si>
  <si>
    <t xml:space="preserve">The skill writes Bank IDs into column A (all Status = Y bank rows). Every other column is a formula that follows the IDs.</t>
  </si>
  <si>
    <t xml:space="preserve">Pairs listed</t>
  </si>
  <si>
    <t xml:space="preserve">Total difference</t>
  </si>
  <si>
    <t xml:space="preserve">Link problems</t>
  </si>
  <si>
    <t xml:space="preserve">Bank ID</t>
  </si>
  <si>
    <t xml:space="preserve">bank row</t>
  </si>
  <si>
    <t xml:space="preserve">Bank Date</t>
  </si>
  <si>
    <t xml:space="preserve">Bank Description</t>
  </si>
  <si>
    <t xml:space="preserve">Bank Amount</t>
  </si>
  <si>
    <t xml:space="preserve">GL ID</t>
  </si>
  <si>
    <t xml:space="preserve">gl row</t>
  </si>
  <si>
    <t xml:space="preserve">GL Date</t>
  </si>
  <si>
    <t xml:space="preserve">GL Description</t>
  </si>
  <si>
    <t xml:space="preserve">GL Amount</t>
  </si>
  <si>
    <t xml:space="preserve">Difference</t>
  </si>
  <si>
    <t xml:space="preserve">Link Check</t>
  </si>
  <si>
    <t xml:space="preserve">Open items (reconciling items)</t>
  </si>
  <si>
    <t xml:space="preserve">The skill writes Side + ID for every row without Status = Y. Details are formulas. 'Days Open' is counted to period end.</t>
  </si>
  <si>
    <t xml:space="preserve">Deposits in transit</t>
  </si>
  <si>
    <t xml:space="preserve">Outstanding checks / payments</t>
  </si>
  <si>
    <t xml:space="preserve">Bank credits not in GL</t>
  </si>
  <si>
    <t xml:space="preserve">Bank debits not in GL</t>
  </si>
  <si>
    <t xml:space="preserve">Side</t>
  </si>
  <si>
    <t xml:space="preserve">row</t>
  </si>
  <si>
    <t xml:space="preserve">Category</t>
  </si>
  <si>
    <t xml:space="preserve">Days Open</t>
  </si>
  <si>
    <t xml:space="preserve">List Check</t>
  </si>
  <si>
    <t xml:space="preserve">Posting Date</t>
  </si>
  <si>
    <t xml:space="preserve">Check Number</t>
  </si>
  <si>
    <t xml:space="preserve">Debit</t>
  </si>
  <si>
    <t xml:space="preserve">Credit</t>
  </si>
  <si>
    <t xml:space="preserve">Num</t>
  </si>
  <si>
    <t xml:space="preserve">Name</t>
  </si>
  <si>
    <t xml:space="preserve">Memo</t>
  </si>
  <si>
    <t xml:space="preserve">Summit Fleet Repair</t>
  </si>
  <si>
    <t xml:space="preserve">Truck repair</t>
  </si>
  <si>
    <t xml:space="preserve">Hillside HOA</t>
  </si>
  <si>
    <t xml:space="preserve">Customer payment</t>
  </si>
  <si>
    <t xml:space="preserve">Granite Equipment Rental</t>
  </si>
  <si>
    <t xml:space="preserve">Skid steer</t>
  </si>
  <si>
    <t xml:space="preserve">ADP</t>
  </si>
  <si>
    <t xml:space="preserve">Payroll 8/5</t>
  </si>
  <si>
    <t xml:space="preserve">Home Depot</t>
  </si>
  <si>
    <t xml:space="preserve">Irrigation parts</t>
  </si>
  <si>
    <t xml:space="preserve">Transfer in</t>
  </si>
  <si>
    <t xml:space="preserve">August service</t>
  </si>
  <si>
    <t xml:space="preserve">Alpine Nursery</t>
  </si>
  <si>
    <t xml:space="preserve">Plants</t>
  </si>
  <si>
    <t xml:space="preserve">J. Alvarez</t>
  </si>
  <si>
    <t xml:space="preserve">Mobile deposit inv 2291</t>
  </si>
  <si>
    <t xml:space="preserve">Verizon Wireless</t>
  </si>
  <si>
    <t xml:space="preserve">August</t>
  </si>
  <si>
    <t xml:space="preserve">Stripe</t>
  </si>
  <si>
    <t xml:space="preserve">Payout 8/24</t>
  </si>
  <si>
    <t xml:space="preserve">Utah State Tax Commission</t>
  </si>
  <si>
    <t xml:space="preserve">Withholding</t>
  </si>
  <si>
    <t xml:space="preserve">Canyon Properties</t>
  </si>
  <si>
    <t xml:space="preserve">Sep rent</t>
  </si>
  <si>
    <t xml:space="preserve">Peak Fuel</t>
  </si>
  <si>
    <t xml:space="preserve">Fuel</t>
  </si>
  <si>
    <t xml:space="preserve">Birch Lane Homes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</si>
</sst>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yy"/>
    <numFmt numFmtId="166" formatCode="_(* #,##0.00_);_(* \(#,##0.00\);_(* \-??_);_(@_)"/>
    <numFmt numFmtId="167" formatCode="@"/>
    <numFmt numFmtId="168" formatCode="0.00"/>
    <numFmt numFmtId="169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E4DFEC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FFD6E7"/>
        <bgColor rgb="FFFFC7CE"/>
      </patternFill>
    </fill>
    <fill>
      <patternFill patternType="solid">
        <fgColor rgb="FFE4DFEC"/>
        <bgColor rgb="FFD9E1F2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</font>
    </dxf>
    <dxf>
      <font>
        <name val="Arial"/>
        <charset val="1"/>
        <family val="0"/>
        <b val="1"/>
        <color rgb="FFC00000"/>
      </font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D6E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FF2CC"/>
        </patternFill>
      </fill>
    </dxf>
    <dxf>
      <fill>
        <patternFill>
          <bgColor rgb="FFFFD6E7"/>
        </patternFill>
      </fill>
    </dxf>
    <dxf>
      <fill>
        <patternFill>
          <bgColor rgb="FFE4DFEC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ont>
        <name val="Arial"/>
        <charset val="1"/>
        <family val="0"/>
        <b val="1"/>
        <color rgb="FFC55A11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E4DFEC"/>
      <rgbColor rgb="FFA9D08E"/>
      <rgbColor rgb="FFFFD6E7"/>
      <rgbColor rgb="FFCC99FF"/>
      <rgbColor rgb="FFFFC7CE"/>
      <rgbColor rgb="FF3366FF"/>
      <rgbColor rgb="FF33CCCC"/>
      <rgbColor rgb="FF99CC00"/>
      <rgbColor rgb="FFFFCC00"/>
      <rgbColor rgb="FFFF9900"/>
      <rgbColor rgb="FFC55A1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K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11" min="3" style="0" width="16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  <c r="D5" s="4"/>
      <c r="E5" s="4"/>
      <c r="F5" s="4"/>
      <c r="G5" s="4"/>
      <c r="H5" s="4"/>
      <c r="I5" s="4"/>
      <c r="J5" s="4"/>
      <c r="K5" s="4"/>
    </row>
    <row r="6" customFormat="false" ht="15" hidden="false" customHeight="false" outlineLevel="0" collapsed="false">
      <c r="B6" s="5" t="s">
        <v>3</v>
      </c>
    </row>
    <row r="7" customFormat="false" ht="15" hidden="false" customHeight="false" outlineLevel="0" collapsed="false">
      <c r="B7" s="5" t="s">
        <v>4</v>
      </c>
    </row>
    <row r="8" customFormat="false" ht="15" hidden="false" customHeight="false" outlineLevel="0" collapsed="false">
      <c r="B8" s="5" t="s">
        <v>5</v>
      </c>
    </row>
    <row r="9" customFormat="false" ht="15" hidden="false" customHeight="false" outlineLevel="0" collapsed="false">
      <c r="B9" s="5" t="s">
        <v>6</v>
      </c>
    </row>
    <row r="10" customFormat="false" ht="15" hidden="false" customHeight="false" outlineLevel="0" collapsed="false">
      <c r="B10" s="5" t="s">
        <v>7</v>
      </c>
    </row>
    <row r="11" customFormat="false" ht="1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5" t="s">
        <v>9</v>
      </c>
    </row>
    <row r="14" customFormat="false" ht="15" hidden="false" customHeight="false" outlineLevel="0" collapsed="false">
      <c r="B14" s="3" t="s">
        <v>10</v>
      </c>
      <c r="C14" s="4"/>
      <c r="D14" s="4"/>
      <c r="E14" s="4"/>
      <c r="F14" s="4"/>
      <c r="G14" s="4"/>
      <c r="H14" s="4"/>
      <c r="I14" s="4"/>
      <c r="J14" s="4"/>
      <c r="K14" s="4"/>
    </row>
    <row r="15" customFormat="false" ht="15" hidden="false" customHeight="true" outlineLevel="0" collapsed="false">
      <c r="B15" s="6" t="s">
        <v>11</v>
      </c>
      <c r="C15" s="6" t="s">
        <v>12</v>
      </c>
      <c r="D15" s="6" t="s">
        <v>13</v>
      </c>
      <c r="E15" s="6"/>
      <c r="F15" s="6"/>
      <c r="G15" s="6"/>
      <c r="H15" s="6"/>
      <c r="I15" s="6"/>
      <c r="J15" s="6"/>
      <c r="K15" s="6"/>
    </row>
    <row r="16" customFormat="false" ht="15" hidden="false" customHeight="false" outlineLevel="0" collapsed="false">
      <c r="B16" s="7" t="s">
        <v>14</v>
      </c>
      <c r="C16" s="7" t="s">
        <v>15</v>
      </c>
      <c r="D16" s="8" t="s">
        <v>16</v>
      </c>
      <c r="E16" s="8"/>
      <c r="F16" s="8"/>
      <c r="G16" s="8"/>
      <c r="H16" s="8"/>
      <c r="I16" s="8"/>
      <c r="J16" s="8"/>
      <c r="K16" s="8"/>
    </row>
    <row r="17" customFormat="false" ht="15" hidden="false" customHeight="false" outlineLevel="0" collapsed="false">
      <c r="B17" s="9" t="s">
        <v>17</v>
      </c>
      <c r="C17" s="7" t="s">
        <v>15</v>
      </c>
      <c r="D17" s="8" t="s">
        <v>18</v>
      </c>
      <c r="E17" s="8"/>
      <c r="F17" s="8"/>
      <c r="G17" s="8"/>
      <c r="H17" s="8"/>
      <c r="I17" s="8"/>
      <c r="J17" s="8"/>
      <c r="K17" s="8"/>
    </row>
    <row r="18" customFormat="false" ht="15" hidden="false" customHeight="false" outlineLevel="0" collapsed="false">
      <c r="B18" s="10" t="s">
        <v>19</v>
      </c>
      <c r="C18" s="7" t="s">
        <v>20</v>
      </c>
      <c r="D18" s="8" t="s">
        <v>21</v>
      </c>
      <c r="E18" s="8"/>
      <c r="F18" s="8"/>
      <c r="G18" s="8"/>
      <c r="H18" s="8"/>
      <c r="I18" s="8"/>
      <c r="J18" s="8"/>
      <c r="K18" s="8"/>
    </row>
    <row r="19" customFormat="false" ht="15" hidden="false" customHeight="false" outlineLevel="0" collapsed="false">
      <c r="B19" s="11" t="s">
        <v>22</v>
      </c>
      <c r="C19" s="7" t="s">
        <v>15</v>
      </c>
      <c r="D19" s="8" t="s">
        <v>23</v>
      </c>
      <c r="E19" s="8"/>
      <c r="F19" s="8"/>
      <c r="G19" s="8"/>
      <c r="H19" s="8"/>
      <c r="I19" s="8"/>
      <c r="J19" s="8"/>
      <c r="K19" s="8"/>
    </row>
    <row r="20" customFormat="false" ht="15" hidden="false" customHeight="false" outlineLevel="0" collapsed="false">
      <c r="B20" s="7" t="s">
        <v>24</v>
      </c>
      <c r="C20" s="7" t="s">
        <v>15</v>
      </c>
      <c r="D20" s="8" t="s">
        <v>25</v>
      </c>
      <c r="E20" s="8"/>
      <c r="F20" s="8"/>
      <c r="G20" s="8"/>
      <c r="H20" s="8"/>
      <c r="I20" s="8"/>
      <c r="J20" s="8"/>
      <c r="K20" s="8"/>
    </row>
    <row r="21" customFormat="false" ht="15" hidden="false" customHeight="false" outlineLevel="0" collapsed="false">
      <c r="B21" s="7" t="s">
        <v>26</v>
      </c>
      <c r="C21" s="7" t="s">
        <v>20</v>
      </c>
      <c r="D21" s="8" t="s">
        <v>27</v>
      </c>
      <c r="E21" s="8"/>
      <c r="F21" s="8"/>
      <c r="G21" s="8"/>
      <c r="H21" s="8"/>
      <c r="I21" s="8"/>
      <c r="J21" s="8"/>
      <c r="K21" s="8"/>
    </row>
    <row r="23" customFormat="false" ht="15" hidden="false" customHeight="false" outlineLevel="0" collapsed="false">
      <c r="B23" s="3" t="s">
        <v>28</v>
      </c>
      <c r="C23" s="4"/>
      <c r="D23" s="4"/>
      <c r="E23" s="4"/>
      <c r="F23" s="4"/>
      <c r="G23" s="4"/>
      <c r="H23" s="4"/>
      <c r="I23" s="4"/>
      <c r="J23" s="4"/>
      <c r="K23" s="4"/>
    </row>
    <row r="24" customFormat="false" ht="15" hidden="false" customHeight="false" outlineLevel="0" collapsed="false">
      <c r="B24" s="12" t="s">
        <v>29</v>
      </c>
      <c r="C24" s="5" t="s">
        <v>30</v>
      </c>
    </row>
    <row r="25" customFormat="false" ht="15" hidden="false" customHeight="false" outlineLevel="0" collapsed="false">
      <c r="B25" s="13" t="s">
        <v>31</v>
      </c>
      <c r="C25" s="5" t="s">
        <v>32</v>
      </c>
    </row>
    <row r="27" customFormat="false" ht="15" hidden="false" customHeight="false" outlineLevel="0" collapsed="false">
      <c r="B27" s="3" t="s">
        <v>33</v>
      </c>
      <c r="C27" s="4"/>
      <c r="D27" s="4"/>
      <c r="E27" s="4"/>
      <c r="F27" s="4"/>
      <c r="G27" s="4"/>
      <c r="H27" s="4"/>
      <c r="I27" s="4"/>
      <c r="J27" s="4"/>
      <c r="K27" s="4"/>
    </row>
    <row r="28" customFormat="false" ht="15" hidden="false" customHeight="false" outlineLevel="0" collapsed="false">
      <c r="B28" s="6" t="s">
        <v>34</v>
      </c>
      <c r="C28" s="6" t="s">
        <v>35</v>
      </c>
      <c r="D28" s="6" t="s">
        <v>36</v>
      </c>
      <c r="E28" s="6" t="s">
        <v>37</v>
      </c>
      <c r="F28" s="6" t="s">
        <v>38</v>
      </c>
      <c r="G28" s="6" t="s">
        <v>12</v>
      </c>
      <c r="H28" s="6" t="s">
        <v>11</v>
      </c>
      <c r="I28" s="6" t="s">
        <v>39</v>
      </c>
      <c r="J28" s="6" t="s">
        <v>40</v>
      </c>
      <c r="K28" s="6" t="s">
        <v>41</v>
      </c>
    </row>
    <row r="29" customFormat="false" ht="15" hidden="false" customHeight="false" outlineLevel="0" collapsed="false">
      <c r="B29" s="14" t="s">
        <v>42</v>
      </c>
      <c r="C29" s="15" t="n">
        <v>46236</v>
      </c>
      <c r="D29" s="14" t="s">
        <v>43</v>
      </c>
      <c r="E29" s="14" t="s">
        <v>44</v>
      </c>
      <c r="F29" s="16" t="n">
        <v>-1250</v>
      </c>
      <c r="G29" s="14" t="s">
        <v>15</v>
      </c>
      <c r="H29" s="14" t="s">
        <v>14</v>
      </c>
      <c r="I29" s="14" t="s">
        <v>45</v>
      </c>
      <c r="J29" s="14"/>
      <c r="K29" s="14" t="n">
        <v>1</v>
      </c>
    </row>
    <row r="30" customFormat="false" ht="15" hidden="false" customHeight="false" outlineLevel="0" collapsed="false">
      <c r="B30" s="2" t="s">
        <v>46</v>
      </c>
    </row>
    <row r="32" customFormat="false" ht="15" hidden="false" customHeight="false" outlineLevel="0" collapsed="false">
      <c r="B32" s="3" t="s">
        <v>47</v>
      </c>
      <c r="C32" s="4"/>
      <c r="D32" s="4"/>
      <c r="E32" s="4"/>
      <c r="F32" s="4"/>
      <c r="G32" s="4"/>
      <c r="H32" s="4"/>
      <c r="I32" s="4"/>
      <c r="J32" s="4"/>
      <c r="K32" s="4"/>
    </row>
    <row r="33" customFormat="false" ht="15" hidden="false" customHeight="false" outlineLevel="0" collapsed="false">
      <c r="B33" s="5" t="s">
        <v>48</v>
      </c>
    </row>
    <row r="34" customFormat="false" ht="15" hidden="false" customHeight="false" outlineLevel="0" collapsed="false">
      <c r="B34" s="5" t="s">
        <v>49</v>
      </c>
    </row>
    <row r="35" customFormat="false" ht="15" hidden="false" customHeight="false" outlineLevel="0" collapsed="false">
      <c r="B35" s="5" t="s">
        <v>50</v>
      </c>
    </row>
    <row r="36" customFormat="false" ht="15" hidden="false" customHeight="false" outlineLevel="0" collapsed="false">
      <c r="B36" s="5" t="s">
        <v>51</v>
      </c>
    </row>
    <row r="37" customFormat="false" ht="15" hidden="false" customHeight="false" outlineLevel="0" collapsed="false">
      <c r="B37" s="5" t="s">
        <v>52</v>
      </c>
    </row>
    <row r="38" customFormat="false" ht="15" hidden="false" customHeight="false" outlineLevel="0" collapsed="false">
      <c r="B38" s="5" t="s">
        <v>53</v>
      </c>
    </row>
  </sheetData>
  <mergeCells count="7">
    <mergeCell ref="D15:K15"/>
    <mergeCell ref="D16:K16"/>
    <mergeCell ref="D17:K17"/>
    <mergeCell ref="D18:K18"/>
    <mergeCell ref="D19:K19"/>
    <mergeCell ref="D20:K20"/>
    <mergeCell ref="D21:K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B2:F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8"/>
    <col collapsed="false" customWidth="true" hidden="false" outlineLevel="0" max="4" min="3" style="0" width="18"/>
    <col collapsed="false" customWidth="true" hidden="false" outlineLevel="0" max="5" min="5" style="0" width="34"/>
    <col collapsed="false" customWidth="true" hidden="false" outlineLevel="0" max="6" min="6" style="0" width="22"/>
  </cols>
  <sheetData>
    <row r="2" customFormat="false" ht="19.7" hidden="false" customHeight="false" outlineLevel="0" collapsed="false">
      <c r="B2" s="17" t="s">
        <v>54</v>
      </c>
    </row>
    <row r="3" customFormat="false" ht="15" hidden="false" customHeight="false" outlineLevel="0" collapsed="false">
      <c r="B3" s="18" t="str">
        <f aca="false">IF(CFG_Client="","Client not set in Config",CFG_Client&amp;"  |  "&amp;CFG_Bank&amp;" x"&amp;CFG_Acct&amp;"  |  GL "&amp;CFG_GLAcct)</f>
        <v>Sample Landscaping LLC (fictional)  |  First Example Bank x4821  |  GL 1010 Operating Cash</v>
      </c>
    </row>
    <row r="4" customFormat="false" ht="15" hidden="false" customHeight="false" outlineLevel="0" collapsed="false">
      <c r="B4" s="2" t="str">
        <f aca="false">IF(CFG_PeriodEnd="","Period end not set in Config","Period ending "&amp;TEXT(CFG_PeriodEnd,"mmmm d, yyyy"))</f>
        <v>Period ending August 31, 2026</v>
      </c>
    </row>
    <row r="6" customFormat="false" ht="15" hidden="false" customHeight="false" outlineLevel="0" collapsed="false">
      <c r="B6" s="3" t="s">
        <v>55</v>
      </c>
      <c r="C6" s="4"/>
      <c r="D6" s="4"/>
      <c r="E6" s="4"/>
      <c r="F6" s="4"/>
    </row>
    <row r="7" customFormat="false" ht="15" hidden="false" customHeight="false" outlineLevel="0" collapsed="false">
      <c r="B7" s="5" t="s">
        <v>56</v>
      </c>
      <c r="D7" s="19" t="n">
        <f aca="false">CFG_BankBal</f>
        <v>20315.03</v>
      </c>
    </row>
    <row r="8" customFormat="false" ht="15" hidden="false" customHeight="false" outlineLevel="0" collapsed="false">
      <c r="B8" s="5" t="s">
        <v>57</v>
      </c>
      <c r="D8" s="19" t="n">
        <f aca="false">SUMIFS(GL!$E:$E,GL!$F:$F,"&lt;&gt;Y",GL!$E:$E,"&gt;0")</f>
        <v>960</v>
      </c>
    </row>
    <row r="9" customFormat="false" ht="15" hidden="false" customHeight="false" outlineLevel="0" collapsed="false">
      <c r="B9" s="5" t="s">
        <v>58</v>
      </c>
      <c r="D9" s="19" t="n">
        <f aca="false">SUMIFS(GL!$E:$E,GL!$F:$F,"&lt;&gt;Y",GL!$E:$E,"&lt;0")</f>
        <v>-3030.95</v>
      </c>
    </row>
    <row r="10" customFormat="false" ht="15" hidden="false" customHeight="false" outlineLevel="0" collapsed="false">
      <c r="B10" s="18" t="s">
        <v>59</v>
      </c>
      <c r="D10" s="20" t="n">
        <f aca="false">SUM(D7:D9)</f>
        <v>18244.08</v>
      </c>
    </row>
    <row r="12" customFormat="false" ht="15" hidden="false" customHeight="false" outlineLevel="0" collapsed="false">
      <c r="B12" s="5" t="s">
        <v>60</v>
      </c>
      <c r="D12" s="19" t="n">
        <f aca="false">CFG_GLBal</f>
        <v>18452.19</v>
      </c>
    </row>
    <row r="13" customFormat="false" ht="15" hidden="false" customHeight="false" outlineLevel="0" collapsed="false">
      <c r="B13" s="5" t="s">
        <v>61</v>
      </c>
      <c r="D13" s="19" t="n">
        <f aca="false">SUMIFS(Bank!$E:$E,Bank!$F:$F,"&lt;&gt;Y",Bank!$E:$E,"&gt;0")</f>
        <v>3.12</v>
      </c>
    </row>
    <row r="14" customFormat="false" ht="15" hidden="false" customHeight="false" outlineLevel="0" collapsed="false">
      <c r="B14" s="5" t="s">
        <v>62</v>
      </c>
      <c r="D14" s="19" t="n">
        <f aca="false">SUMIFS(Bank!$E:$E,Bank!$F:$F,"&lt;&gt;Y",Bank!$E:$E,"&lt;0")</f>
        <v>-211.23</v>
      </c>
    </row>
    <row r="15" customFormat="false" ht="15" hidden="false" customHeight="false" outlineLevel="0" collapsed="false">
      <c r="B15" s="18" t="s">
        <v>63</v>
      </c>
      <c r="D15" s="20" t="n">
        <f aca="false">SUM(D12:D14)</f>
        <v>18244.08</v>
      </c>
    </row>
    <row r="17" customFormat="false" ht="15" hidden="false" customHeight="false" outlineLevel="0" collapsed="false">
      <c r="B17" s="5" t="s">
        <v>64</v>
      </c>
      <c r="D17" s="19" t="n">
        <f aca="false">D10-D15</f>
        <v>0</v>
      </c>
    </row>
    <row r="18" customFormat="false" ht="15" hidden="false" customHeight="false" outlineLevel="0" collapsed="false">
      <c r="B18" s="5" t="s">
        <v>65</v>
      </c>
      <c r="D18" s="19" t="n">
        <f aca="false">C24-D24</f>
        <v>0</v>
      </c>
    </row>
    <row r="19" customFormat="false" ht="15" hidden="false" customHeight="false" outlineLevel="0" collapsed="false">
      <c r="B19" s="18" t="s">
        <v>66</v>
      </c>
      <c r="D19" s="20" t="n">
        <f aca="false">ROUND(D17-D18,2)</f>
        <v>0</v>
      </c>
    </row>
    <row r="20" customFormat="false" ht="15" hidden="false" customHeight="false" outlineLevel="0" collapsed="false">
      <c r="B20" s="18" t="s">
        <v>12</v>
      </c>
      <c r="D20" s="21" t="str">
        <f aca="false">IF(OR(CFG_BankBal="",CFG_GLBal=""),"ENTER BALANCES IN CONFIG",IF(ABS(D19)&lt;0.005,"RECONCILED","NOT RECONCILED"))</f>
        <v>RECONCILED</v>
      </c>
      <c r="E20" s="21"/>
    </row>
    <row r="22" customFormat="false" ht="15" hidden="false" customHeight="false" outlineLevel="0" collapsed="false">
      <c r="B22" s="3" t="s">
        <v>67</v>
      </c>
      <c r="C22" s="4"/>
      <c r="D22" s="4"/>
      <c r="E22" s="4"/>
      <c r="F22" s="4"/>
    </row>
    <row r="23" customFormat="false" ht="15" hidden="false" customHeight="false" outlineLevel="0" collapsed="false">
      <c r="B23" s="6" t="s">
        <v>68</v>
      </c>
      <c r="C23" s="6" t="s">
        <v>69</v>
      </c>
      <c r="D23" s="6" t="s">
        <v>70</v>
      </c>
      <c r="E23" s="6" t="s">
        <v>71</v>
      </c>
      <c r="F23" s="6" t="s">
        <v>72</v>
      </c>
    </row>
    <row r="24" customFormat="false" ht="15" hidden="false" customHeight="false" outlineLevel="0" collapsed="false">
      <c r="B24" s="7" t="s">
        <v>73</v>
      </c>
      <c r="C24" s="22" t="n">
        <f aca="false">SUMIFS(Bank!$E:$E,Bank!$F:$F,"Y")</f>
        <v>-2747.65</v>
      </c>
      <c r="D24" s="22" t="n">
        <f aca="false">SUMIFS(GL!$E:$E,GL!$F:$F,"Y")</f>
        <v>-2747.65</v>
      </c>
      <c r="E24" s="23" t="s">
        <v>74</v>
      </c>
      <c r="F24" s="23" t="str">
        <f aca="false">IF(ABS((C24-D24)-Pairs!$E$3)&lt;0.005,"OK","CHECK")</f>
        <v>OK</v>
      </c>
    </row>
    <row r="25" customFormat="false" ht="15" hidden="false" customHeight="false" outlineLevel="0" collapsed="false">
      <c r="B25" s="7" t="s">
        <v>75</v>
      </c>
      <c r="C25" s="7" t="n">
        <f aca="false">COUNTIFS(Bank!$F:$F,"Y")</f>
        <v>12</v>
      </c>
      <c r="D25" s="7" t="n">
        <f aca="false">COUNTIFS(GL!$F:$F,"Y")</f>
        <v>12</v>
      </c>
      <c r="E25" s="23" t="s">
        <v>76</v>
      </c>
      <c r="F25" s="23" t="str">
        <f aca="false">IF(C25=D25,"OK","CHECK")</f>
        <v>OK</v>
      </c>
    </row>
    <row r="26" customFormat="false" ht="15" hidden="false" customHeight="false" outlineLevel="0" collapsed="false">
      <c r="B26" s="7" t="s">
        <v>77</v>
      </c>
      <c r="C26" s="7" t="n">
        <f aca="false">COUNTIF(Pairs!$A$6:$A$2005,"?*")</f>
        <v>12</v>
      </c>
      <c r="D26" s="7"/>
      <c r="E26" s="23" t="s">
        <v>78</v>
      </c>
      <c r="F26" s="23" t="str">
        <f aca="false">IF(C26=C25,"OK","REFRESH PAIRS")</f>
        <v>OK</v>
      </c>
    </row>
    <row r="27" customFormat="false" ht="15" hidden="false" customHeight="false" outlineLevel="0" collapsed="false">
      <c r="B27" s="7" t="s">
        <v>79</v>
      </c>
      <c r="C27" s="7" t="n">
        <f aca="false">Pairs!$H$3</f>
        <v>0</v>
      </c>
      <c r="D27" s="7"/>
      <c r="E27" s="23" t="s">
        <v>80</v>
      </c>
      <c r="F27" s="23" t="str">
        <f aca="false">IF(C27=0,"OK","CHECK PAIRS")</f>
        <v>OK</v>
      </c>
    </row>
    <row r="28" customFormat="false" ht="15" hidden="false" customHeight="false" outlineLevel="0" collapsed="false">
      <c r="B28" s="7" t="s">
        <v>81</v>
      </c>
      <c r="C28" s="7" t="n">
        <f aca="false">COUNTIFS(Bank!$F:$F,"Y",Bank!$H:$H,"")</f>
        <v>0</v>
      </c>
      <c r="D28" s="7" t="n">
        <f aca="false">COUNTIFS(GL!$F:$F,"Y",GL!$H:$H,"")</f>
        <v>0</v>
      </c>
      <c r="E28" s="23" t="s">
        <v>80</v>
      </c>
      <c r="F28" s="23" t="str">
        <f aca="false">IF(AND(C28=0,D28=0),"OK","CHECK")</f>
        <v>OK</v>
      </c>
    </row>
    <row r="29" customFormat="false" ht="15" hidden="false" customHeight="false" outlineLevel="0" collapsed="false">
      <c r="B29" s="7" t="s">
        <v>82</v>
      </c>
      <c r="C29" s="7" t="n">
        <f aca="false">COUNTIFS(Bank!$G:$G,"Near",Bank!$F:$F,"Y")</f>
        <v>0</v>
      </c>
      <c r="D29" s="7" t="n">
        <f aca="false">COUNTIFS(GL!$G:$G,"Near",GL!$F:$F,"Y")</f>
        <v>0</v>
      </c>
      <c r="E29" s="23" t="s">
        <v>80</v>
      </c>
      <c r="F29" s="23" t="str">
        <f aca="false">IF(AND(C29=0,D29=0),"OK","CHECK")</f>
        <v>OK</v>
      </c>
    </row>
    <row r="30" customFormat="false" ht="15" hidden="false" customHeight="false" outlineLevel="0" collapsed="false">
      <c r="B30" s="7" t="s">
        <v>83</v>
      </c>
      <c r="C30" s="7" t="n">
        <f aca="false">COUNTIFS(Bank!$A:$A,"?*")-1-COUNT(Bank!$E:$E)</f>
        <v>0</v>
      </c>
      <c r="D30" s="7" t="n">
        <f aca="false">COUNTIFS(GL!$A:$A,"?*")-1-COUNT(GL!$E:$E)</f>
        <v>0</v>
      </c>
      <c r="E30" s="23" t="s">
        <v>80</v>
      </c>
      <c r="F30" s="23" t="str">
        <f aca="false">IF(AND(C30=0,D30=0),"OK","CHECK")</f>
        <v>OK</v>
      </c>
    </row>
    <row r="31" customFormat="false" ht="15" hidden="false" customHeight="false" outlineLevel="0" collapsed="false">
      <c r="B31" s="7" t="s">
        <v>84</v>
      </c>
      <c r="C31" s="7" t="n">
        <f aca="false">IF(CFG_PeriodEnd="",0,COUNTIFS(Bank!$B:$B,"&gt;"&amp;CFG_PeriodEnd))</f>
        <v>0</v>
      </c>
      <c r="D31" s="7" t="n">
        <f aca="false">IF(CFG_PeriodEnd="",0,COUNTIFS(GL!$B:$B,"&gt;"&amp;CFG_PeriodEnd))</f>
        <v>0</v>
      </c>
      <c r="E31" s="23" t="s">
        <v>80</v>
      </c>
      <c r="F31" s="23" t="str">
        <f aca="false">IF(AND(C31=0,D31=0),"OK","CHECK")</f>
        <v>OK</v>
      </c>
    </row>
    <row r="32" customFormat="false" ht="15" hidden="false" customHeight="false" outlineLevel="0" collapsed="false">
      <c r="B32" s="7" t="s">
        <v>85</v>
      </c>
      <c r="C32" s="22" t="n">
        <f aca="false">ROUND(SUMIFS('Open Items'!$G$6:$G$2005,'Open Items'!$A$6:$A$2005,"Bank")-(D13+D14),2)</f>
        <v>0</v>
      </c>
      <c r="D32" s="22" t="n">
        <f aca="false">ROUND(SUMIFS('Open Items'!$G$6:$G$2005,'Open Items'!$A$6:$A$2005,"GL")-(D8+D9),2)</f>
        <v>0</v>
      </c>
      <c r="E32" s="23" t="s">
        <v>80</v>
      </c>
      <c r="F32" s="23" t="str">
        <f aca="false">IF(AND(C32=0,D32=0),"OK","REFRESH OPEN ITEMS")</f>
        <v>OK</v>
      </c>
    </row>
    <row r="33" customFormat="false" ht="15" hidden="false" customHeight="false" outlineLevel="0" collapsed="false">
      <c r="B33" s="18" t="s">
        <v>86</v>
      </c>
      <c r="F33" s="24" t="str">
        <f aca="false">IF(COUNTIF(F24:F32,"OK")=9,"ALL OK","SEE ABOVE")</f>
        <v>ALL OK</v>
      </c>
    </row>
    <row r="35" customFormat="false" ht="15" hidden="false" customHeight="false" outlineLevel="0" collapsed="false">
      <c r="B35" s="3" t="s">
        <v>87</v>
      </c>
      <c r="C35" s="4"/>
      <c r="D35" s="4"/>
      <c r="E35" s="4"/>
      <c r="F35" s="4"/>
    </row>
    <row r="36" customFormat="false" ht="15" hidden="false" customHeight="true" outlineLevel="0" collapsed="false">
      <c r="B36" s="6" t="s">
        <v>11</v>
      </c>
      <c r="C36" s="6" t="s">
        <v>69</v>
      </c>
      <c r="D36" s="6" t="s">
        <v>70</v>
      </c>
      <c r="E36" s="6" t="s">
        <v>88</v>
      </c>
      <c r="F36" s="6"/>
    </row>
    <row r="37" customFormat="false" ht="15" hidden="false" customHeight="false" outlineLevel="0" collapsed="false">
      <c r="B37" s="7" t="s">
        <v>14</v>
      </c>
      <c r="C37" s="7" t="n">
        <f aca="false">COUNTIFS(Bank!$G:$G,"Exact")</f>
        <v>11</v>
      </c>
      <c r="D37" s="7" t="n">
        <f aca="false">COUNTIFS(GL!$G:$G,"Exact")</f>
        <v>11</v>
      </c>
      <c r="E37" s="8" t="s">
        <v>89</v>
      </c>
      <c r="F37" s="8"/>
    </row>
    <row r="38" customFormat="false" ht="15" hidden="false" customHeight="false" outlineLevel="0" collapsed="false">
      <c r="B38" s="9" t="s">
        <v>90</v>
      </c>
      <c r="C38" s="7" t="n">
        <f aca="false">COUNTIFS(Bank!$G:$G,"Amount-only")</f>
        <v>1</v>
      </c>
      <c r="D38" s="7" t="n">
        <f aca="false">COUNTIFS(GL!$G:$G,"Amount-only")</f>
        <v>1</v>
      </c>
      <c r="E38" s="8" t="s">
        <v>91</v>
      </c>
      <c r="F38" s="8"/>
    </row>
    <row r="39" customFormat="false" ht="15" hidden="false" customHeight="false" outlineLevel="0" collapsed="false">
      <c r="B39" s="10" t="s">
        <v>92</v>
      </c>
      <c r="C39" s="7" t="n">
        <f aca="false">COUNTIFS(Bank!$G:$G,"Near")</f>
        <v>1</v>
      </c>
      <c r="D39" s="7" t="n">
        <f aca="false">COUNTIFS(GL!$G:$G,"Near")</f>
        <v>1</v>
      </c>
      <c r="E39" s="8" t="s">
        <v>93</v>
      </c>
      <c r="F39" s="8"/>
    </row>
    <row r="40" customFormat="false" ht="15" hidden="false" customHeight="false" outlineLevel="0" collapsed="false">
      <c r="B40" s="11" t="s">
        <v>94</v>
      </c>
      <c r="C40" s="7" t="n">
        <f aca="false">COUNTIFS(Bank!$G:$G,"Tolerance")</f>
        <v>0</v>
      </c>
      <c r="D40" s="7" t="n">
        <f aca="false">COUNTIFS(GL!$G:$G,"Tolerance")</f>
        <v>0</v>
      </c>
      <c r="E40" s="8" t="s">
        <v>95</v>
      </c>
      <c r="F40" s="8"/>
    </row>
    <row r="41" customFormat="false" ht="15" hidden="false" customHeight="false" outlineLevel="0" collapsed="false">
      <c r="B41" s="7" t="s">
        <v>24</v>
      </c>
      <c r="C41" s="7" t="n">
        <f aca="false">COUNTIFS(Bank!$G:$G,"Manual")</f>
        <v>0</v>
      </c>
      <c r="D41" s="7" t="n">
        <f aca="false">COUNTIFS(GL!$G:$G,"Manual")</f>
        <v>0</v>
      </c>
      <c r="E41" s="8" t="s">
        <v>89</v>
      </c>
      <c r="F41" s="8"/>
    </row>
    <row r="42" customFormat="false" ht="15" hidden="false" customHeight="false" outlineLevel="0" collapsed="false">
      <c r="B42" s="7" t="s">
        <v>96</v>
      </c>
      <c r="C42" s="7" t="n">
        <f aca="false">COUNTIFS(Bank!$A:$A,"?*",Bank!$F:$F,"&lt;&gt;Y",Bank!$G:$G,"")</f>
        <v>2</v>
      </c>
      <c r="D42" s="7" t="n">
        <f aca="false">COUNTIFS(GL!$A:$A,"?*",GL!$F:$F,"&lt;&gt;Y",GL!$G:$G,"")</f>
        <v>4</v>
      </c>
      <c r="E42" s="8" t="s">
        <v>97</v>
      </c>
      <c r="F42" s="8"/>
    </row>
    <row r="43" customFormat="false" ht="15" hidden="false" customHeight="false" outlineLevel="0" collapsed="false">
      <c r="B43" s="25" t="s">
        <v>98</v>
      </c>
      <c r="C43" s="25" t="n">
        <f aca="false">COUNTIFS(Bank!$A:$A,"?*")-1</f>
        <v>15</v>
      </c>
      <c r="D43" s="25" t="n">
        <f aca="false">COUNTIFS(GL!$A:$A,"?*")-1</f>
        <v>17</v>
      </c>
      <c r="E43" s="25"/>
    </row>
    <row r="45" customFormat="false" ht="15" hidden="false" customHeight="false" outlineLevel="0" collapsed="false">
      <c r="B45" s="3" t="s">
        <v>99</v>
      </c>
      <c r="C45" s="4"/>
      <c r="D45" s="4"/>
      <c r="E45" s="4"/>
      <c r="F45" s="4"/>
    </row>
    <row r="46" customFormat="false" ht="15" hidden="false" customHeight="false" outlineLevel="0" collapsed="false">
      <c r="B46" s="7" t="s">
        <v>100</v>
      </c>
      <c r="C46" s="7" t="str">
        <f aca="false">IF(CFG_Preparer="","",CFG_Preparer)</f>
        <v>S. Milovanov</v>
      </c>
      <c r="D46" s="26" t="n">
        <f aca="false">IF(CFG_PrepDate="","",CFG_PrepDate)</f>
        <v>46269</v>
      </c>
    </row>
    <row r="47" customFormat="false" ht="15" hidden="false" customHeight="false" outlineLevel="0" collapsed="false">
      <c r="B47" s="7" t="s">
        <v>101</v>
      </c>
      <c r="C47" s="7" t="str">
        <f aca="false">IF(CFG_Reviewer="","",CFG_Reviewer)</f>
        <v/>
      </c>
      <c r="D47" s="26" t="str">
        <f aca="false">IF(CFG_RevDate="","",CFG_RevDate)</f>
        <v/>
      </c>
    </row>
    <row r="48" customFormat="false" ht="15" hidden="false" customHeight="false" outlineLevel="0" collapsed="false">
      <c r="B48" s="2" t="s">
        <v>102</v>
      </c>
    </row>
  </sheetData>
  <mergeCells count="8">
    <mergeCell ref="D20:E20"/>
    <mergeCell ref="E36:F36"/>
    <mergeCell ref="E37:F37"/>
    <mergeCell ref="E38:F38"/>
    <mergeCell ref="E39:F39"/>
    <mergeCell ref="E40:F40"/>
    <mergeCell ref="E41:F41"/>
    <mergeCell ref="E42:F42"/>
  </mergeCells>
  <conditionalFormatting sqref="D20">
    <cfRule type="expression" priority="2" aboveAverage="0" equalAverage="0" bottom="0" percent="0" rank="0" text="" dxfId="0">
      <formula>$D$20="RECONCILED"</formula>
    </cfRule>
    <cfRule type="expression" priority="3" aboveAverage="0" equalAverage="0" bottom="0" percent="0" rank="0" text="" dxfId="1">
      <formula>$D$20&lt;&gt;"RECONCILED"</formula>
    </cfRule>
  </conditionalFormatting>
  <conditionalFormatting sqref="F24:F32">
    <cfRule type="expression" priority="4" aboveAverage="0" equalAverage="0" bottom="0" percent="0" rank="0" text="" dxfId="2">
      <formula>F24="OK"</formula>
    </cfRule>
    <cfRule type="expression" priority="5" aboveAverage="0" equalAverage="0" bottom="0" percent="0" rank="0" text="" dxfId="3">
      <formula>AND(F24&lt;&gt;"",F24&lt;&gt;"OK")</formula>
    </cfRule>
  </conditionalFormatting>
  <conditionalFormatting sqref="F33">
    <cfRule type="expression" priority="6" aboveAverage="0" equalAverage="0" bottom="0" percent="0" rank="0" text="" dxfId="0">
      <formula>$F$33="ALL OK"</formula>
    </cfRule>
    <cfRule type="expression" priority="7" aboveAverage="0" equalAverage="0" bottom="0" percent="0" rank="0" text="" dxfId="1">
      <formula>$F$33&lt;&gt;"ALL 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false"/>
  </sheetPr>
  <dimension ref="B1:E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4" min="3" style="0" width="24"/>
    <col collapsed="false" customWidth="true" hidden="false" outlineLevel="0" max="5" min="5" style="0" width="60"/>
  </cols>
  <sheetData>
    <row r="1" customFormat="false" ht="17.35" hidden="false" customHeight="false" outlineLevel="0" collapsed="false">
      <c r="B1" s="1" t="s">
        <v>103</v>
      </c>
    </row>
    <row r="2" customFormat="false" ht="15" hidden="false" customHeight="false" outlineLevel="0" collapsed="false">
      <c r="B2" s="2" t="s">
        <v>104</v>
      </c>
    </row>
    <row r="4" customFormat="false" ht="15" hidden="false" customHeight="false" outlineLevel="0" collapsed="false">
      <c r="B4" s="3" t="s">
        <v>105</v>
      </c>
      <c r="C4" s="4"/>
      <c r="D4" s="4"/>
      <c r="E4" s="4"/>
    </row>
    <row r="5" customFormat="false" ht="15" hidden="false" customHeight="false" outlineLevel="0" collapsed="false">
      <c r="B5" s="5" t="s">
        <v>106</v>
      </c>
      <c r="C5" s="12" t="s">
        <v>107</v>
      </c>
      <c r="E5" s="2"/>
    </row>
    <row r="6" customFormat="false" ht="15" hidden="false" customHeight="false" outlineLevel="0" collapsed="false">
      <c r="B6" s="5" t="s">
        <v>108</v>
      </c>
      <c r="C6" s="12" t="s">
        <v>109</v>
      </c>
      <c r="E6" s="2"/>
    </row>
    <row r="7" customFormat="false" ht="15" hidden="false" customHeight="false" outlineLevel="0" collapsed="false">
      <c r="B7" s="5" t="s">
        <v>110</v>
      </c>
      <c r="C7" s="27" t="s">
        <v>111</v>
      </c>
      <c r="E7" s="2" t="s">
        <v>112</v>
      </c>
    </row>
    <row r="8" customFormat="false" ht="15" hidden="false" customHeight="false" outlineLevel="0" collapsed="false">
      <c r="B8" s="5" t="s">
        <v>113</v>
      </c>
      <c r="C8" s="12" t="s">
        <v>114</v>
      </c>
      <c r="E8" s="2" t="s">
        <v>115</v>
      </c>
    </row>
    <row r="9" customFormat="false" ht="15" hidden="false" customHeight="false" outlineLevel="0" collapsed="false">
      <c r="B9" s="5" t="s">
        <v>116</v>
      </c>
      <c r="C9" s="28" t="n">
        <v>46235</v>
      </c>
      <c r="E9" s="2"/>
    </row>
    <row r="10" customFormat="false" ht="15" hidden="false" customHeight="false" outlineLevel="0" collapsed="false">
      <c r="B10" s="5" t="s">
        <v>117</v>
      </c>
      <c r="C10" s="28" t="n">
        <v>46265</v>
      </c>
      <c r="E10" s="2" t="s">
        <v>118</v>
      </c>
    </row>
    <row r="11" customFormat="false" ht="15" hidden="false" customHeight="false" outlineLevel="0" collapsed="false">
      <c r="B11" s="5" t="s">
        <v>119</v>
      </c>
      <c r="C11" s="29" t="n">
        <v>20315.03</v>
      </c>
      <c r="E11" s="2" t="s">
        <v>120</v>
      </c>
    </row>
    <row r="12" customFormat="false" ht="15" hidden="false" customHeight="false" outlineLevel="0" collapsed="false">
      <c r="B12" s="5" t="s">
        <v>121</v>
      </c>
      <c r="C12" s="29" t="n">
        <v>18452.19</v>
      </c>
      <c r="E12" s="2" t="s">
        <v>122</v>
      </c>
    </row>
    <row r="13" customFormat="false" ht="15" hidden="false" customHeight="false" outlineLevel="0" collapsed="false">
      <c r="B13" s="5" t="s">
        <v>100</v>
      </c>
      <c r="C13" s="12" t="s">
        <v>123</v>
      </c>
      <c r="E13" s="2"/>
    </row>
    <row r="14" customFormat="false" ht="15" hidden="false" customHeight="false" outlineLevel="0" collapsed="false">
      <c r="B14" s="5" t="s">
        <v>124</v>
      </c>
      <c r="C14" s="28" t="n">
        <v>46269</v>
      </c>
      <c r="E14" s="2"/>
    </row>
    <row r="15" customFormat="false" ht="15" hidden="false" customHeight="false" outlineLevel="0" collapsed="false">
      <c r="B15" s="5" t="s">
        <v>101</v>
      </c>
      <c r="C15" s="12"/>
      <c r="E15" s="2"/>
    </row>
    <row r="16" customFormat="false" ht="15" hidden="false" customHeight="false" outlineLevel="0" collapsed="false">
      <c r="B16" s="5" t="s">
        <v>125</v>
      </c>
      <c r="C16" s="28"/>
      <c r="E16" s="2"/>
    </row>
    <row r="18" customFormat="false" ht="15" hidden="false" customHeight="false" outlineLevel="0" collapsed="false">
      <c r="B18" s="3" t="s">
        <v>126</v>
      </c>
      <c r="C18" s="4"/>
      <c r="D18" s="4"/>
      <c r="E18" s="4"/>
    </row>
    <row r="19" customFormat="false" ht="15" hidden="false" customHeight="false" outlineLevel="0" collapsed="false">
      <c r="B19" s="5" t="s">
        <v>127</v>
      </c>
      <c r="C19" s="30" t="n">
        <v>0.01</v>
      </c>
      <c r="E19" s="2" t="s">
        <v>128</v>
      </c>
    </row>
    <row r="20" customFormat="false" ht="15" hidden="false" customHeight="false" outlineLevel="0" collapsed="false">
      <c r="B20" s="5" t="s">
        <v>129</v>
      </c>
      <c r="C20" s="30" t="n">
        <v>0.1</v>
      </c>
      <c r="E20" s="2" t="s">
        <v>130</v>
      </c>
    </row>
    <row r="21" customFormat="false" ht="15" hidden="false" customHeight="false" outlineLevel="0" collapsed="false">
      <c r="B21" s="5" t="s">
        <v>131</v>
      </c>
      <c r="C21" s="31" t="n">
        <v>3</v>
      </c>
      <c r="E21" s="2" t="s">
        <v>132</v>
      </c>
    </row>
    <row r="22" customFormat="false" ht="15" hidden="false" customHeight="false" outlineLevel="0" collapsed="false">
      <c r="B22" s="5" t="s">
        <v>133</v>
      </c>
      <c r="C22" s="31" t="n">
        <v>7</v>
      </c>
      <c r="E22" s="2" t="s">
        <v>134</v>
      </c>
    </row>
    <row r="23" customFormat="false" ht="15" hidden="false" customHeight="false" outlineLevel="0" collapsed="false">
      <c r="B23" s="5" t="s">
        <v>135</v>
      </c>
      <c r="C23" s="31" t="n">
        <v>90</v>
      </c>
      <c r="E23" s="2" t="s">
        <v>136</v>
      </c>
    </row>
    <row r="24" customFormat="false" ht="15" hidden="false" customHeight="false" outlineLevel="0" collapsed="false">
      <c r="B24" s="5" t="s">
        <v>137</v>
      </c>
      <c r="C24" s="12" t="s">
        <v>138</v>
      </c>
      <c r="E24" s="2" t="s">
        <v>139</v>
      </c>
    </row>
    <row r="25" customFormat="false" ht="15" hidden="false" customHeight="false" outlineLevel="0" collapsed="false">
      <c r="B25" s="5" t="s">
        <v>140</v>
      </c>
      <c r="C25" s="12"/>
      <c r="E25" s="2" t="s">
        <v>141</v>
      </c>
    </row>
    <row r="27" customFormat="false" ht="15" hidden="false" customHeight="false" outlineLevel="0" collapsed="false">
      <c r="B27" s="3" t="s">
        <v>142</v>
      </c>
      <c r="C27" s="4"/>
      <c r="D27" s="4"/>
      <c r="E27" s="4"/>
    </row>
    <row r="28" customFormat="false" ht="15" hidden="false" customHeight="false" outlineLevel="0" collapsed="false">
      <c r="B28" s="6" t="s">
        <v>143</v>
      </c>
      <c r="C28" s="6" t="s">
        <v>144</v>
      </c>
      <c r="D28" s="6" t="s">
        <v>145</v>
      </c>
      <c r="E28" s="6" t="s">
        <v>146</v>
      </c>
    </row>
    <row r="29" customFormat="false" ht="15" hidden="false" customHeight="false" outlineLevel="0" collapsed="false">
      <c r="B29" s="5" t="s">
        <v>147</v>
      </c>
      <c r="C29" s="12" t="n">
        <v>1</v>
      </c>
      <c r="D29" s="12" t="n">
        <v>1</v>
      </c>
      <c r="E29" s="2" t="s">
        <v>148</v>
      </c>
    </row>
    <row r="30" customFormat="false" ht="15" hidden="false" customHeight="false" outlineLevel="0" collapsed="false">
      <c r="B30" s="5" t="s">
        <v>149</v>
      </c>
      <c r="C30" s="12" t="s">
        <v>150</v>
      </c>
      <c r="D30" s="12" t="s">
        <v>150</v>
      </c>
      <c r="E30" s="2" t="s">
        <v>151</v>
      </c>
    </row>
    <row r="31" customFormat="false" ht="15" hidden="false" customHeight="false" outlineLevel="0" collapsed="false">
      <c r="B31" s="5" t="s">
        <v>152</v>
      </c>
      <c r="C31" s="12" t="s">
        <v>153</v>
      </c>
      <c r="D31" s="12" t="s">
        <v>154</v>
      </c>
      <c r="E31" s="2" t="s">
        <v>155</v>
      </c>
    </row>
    <row r="32" customFormat="false" ht="15" hidden="false" customHeight="false" outlineLevel="0" collapsed="false">
      <c r="B32" s="5" t="s">
        <v>156</v>
      </c>
      <c r="C32" s="12" t="s">
        <v>157</v>
      </c>
      <c r="D32" s="12" t="s">
        <v>153</v>
      </c>
      <c r="E32" s="2" t="s">
        <v>158</v>
      </c>
    </row>
    <row r="33" customFormat="false" ht="15" hidden="false" customHeight="false" outlineLevel="0" collapsed="false">
      <c r="B33" s="5" t="s">
        <v>159</v>
      </c>
      <c r="C33" s="12" t="s">
        <v>160</v>
      </c>
      <c r="D33" s="12" t="s">
        <v>160</v>
      </c>
      <c r="E33" s="2" t="s">
        <v>161</v>
      </c>
    </row>
    <row r="34" customFormat="false" ht="15" hidden="false" customHeight="false" outlineLevel="0" collapsed="false">
      <c r="B34" s="5" t="s">
        <v>162</v>
      </c>
      <c r="C34" s="12"/>
      <c r="D34" s="12"/>
      <c r="E34" s="2"/>
    </row>
    <row r="35" customFormat="false" ht="15" hidden="false" customHeight="false" outlineLevel="0" collapsed="false">
      <c r="B35" s="5" t="s">
        <v>163</v>
      </c>
      <c r="C35" s="12" t="s">
        <v>164</v>
      </c>
      <c r="D35" s="12" t="s">
        <v>164</v>
      </c>
      <c r="E35" s="2" t="s">
        <v>165</v>
      </c>
    </row>
    <row r="36" customFormat="false" ht="15" hidden="false" customHeight="false" outlineLevel="0" collapsed="false">
      <c r="B36" s="5" t="s">
        <v>166</v>
      </c>
      <c r="C36" s="12" t="s">
        <v>167</v>
      </c>
      <c r="D36" s="12" t="s">
        <v>168</v>
      </c>
      <c r="E36" s="2" t="s">
        <v>169</v>
      </c>
    </row>
    <row r="37" customFormat="false" ht="15" hidden="false" customHeight="false" outlineLevel="0" collapsed="false">
      <c r="B37" s="5" t="s">
        <v>170</v>
      </c>
      <c r="C37" s="12"/>
      <c r="D37" s="12"/>
      <c r="E37" s="2" t="s">
        <v>171</v>
      </c>
    </row>
    <row r="38" customFormat="false" ht="15" hidden="false" customHeight="false" outlineLevel="0" collapsed="false">
      <c r="B38" s="5" t="s">
        <v>172</v>
      </c>
      <c r="C38" s="12" t="s">
        <v>173</v>
      </c>
      <c r="D38" s="12" t="s">
        <v>173</v>
      </c>
      <c r="E38" s="2" t="s">
        <v>174</v>
      </c>
    </row>
    <row r="39" customFormat="false" ht="15" hidden="false" customHeight="false" outlineLevel="0" collapsed="false">
      <c r="B39" s="5" t="s">
        <v>175</v>
      </c>
      <c r="C39" s="12" t="n">
        <v>0</v>
      </c>
      <c r="D39" s="12" t="n">
        <v>0</v>
      </c>
      <c r="E39" s="2" t="s">
        <v>176</v>
      </c>
    </row>
    <row r="41" customFormat="false" ht="15" hidden="false" customHeight="false" outlineLevel="0" collapsed="false">
      <c r="B41" s="3" t="s">
        <v>177</v>
      </c>
      <c r="C41" s="4"/>
      <c r="D41" s="4"/>
      <c r="E41" s="4"/>
    </row>
    <row r="42" customFormat="false" ht="15" hidden="false" customHeight="false" outlineLevel="0" collapsed="false">
      <c r="B42" s="6" t="s">
        <v>178</v>
      </c>
      <c r="C42" s="6" t="s">
        <v>179</v>
      </c>
      <c r="D42" s="6" t="s">
        <v>180</v>
      </c>
    </row>
    <row r="43" customFormat="false" ht="15" hidden="false" customHeight="false" outlineLevel="0" collapsed="false">
      <c r="B43" s="12" t="s">
        <v>181</v>
      </c>
      <c r="C43" s="12" t="s">
        <v>182</v>
      </c>
      <c r="D43" s="12" t="s">
        <v>183</v>
      </c>
    </row>
    <row r="44" customFormat="false" ht="15" hidden="false" customHeight="false" outlineLevel="0" collapsed="false">
      <c r="B44" s="12" t="s">
        <v>184</v>
      </c>
      <c r="C44" s="12" t="s">
        <v>185</v>
      </c>
      <c r="D44" s="12" t="s">
        <v>186</v>
      </c>
    </row>
    <row r="45" customFormat="false" ht="15" hidden="false" customHeight="false" outlineLevel="0" collapsed="false">
      <c r="B45" s="12"/>
      <c r="C45" s="12"/>
      <c r="D45" s="12"/>
    </row>
    <row r="46" customFormat="false" ht="15" hidden="false" customHeight="false" outlineLevel="0" collapsed="false">
      <c r="B46" s="12"/>
      <c r="C46" s="12"/>
      <c r="D46" s="12"/>
    </row>
    <row r="47" customFormat="false" ht="15" hidden="false" customHeight="false" outlineLevel="0" collapsed="false">
      <c r="B47" s="12"/>
      <c r="C47" s="12"/>
      <c r="D47" s="12"/>
    </row>
    <row r="48" customFormat="false" ht="15" hidden="false" customHeight="false" outlineLevel="0" collapsed="false">
      <c r="B48" s="12"/>
      <c r="C48" s="12"/>
      <c r="D48" s="12"/>
    </row>
    <row r="49" customFormat="false" ht="15" hidden="false" customHeight="false" outlineLevel="0" collapsed="false">
      <c r="B49" s="12"/>
      <c r="C49" s="12"/>
      <c r="D49" s="12"/>
    </row>
    <row r="50" customFormat="false" ht="15" hidden="false" customHeight="false" outlineLevel="0" collapsed="false">
      <c r="B50" s="12"/>
      <c r="C50" s="12"/>
      <c r="D50" s="12"/>
    </row>
    <row r="51" customFormat="false" ht="15" hidden="false" customHeight="false" outlineLevel="0" collapsed="false">
      <c r="B51" s="12"/>
      <c r="C51" s="12"/>
      <c r="D51" s="12"/>
    </row>
    <row r="52" customFormat="false" ht="15" hidden="false" customHeight="false" outlineLevel="0" collapsed="false">
      <c r="B52" s="12"/>
      <c r="C52" s="12"/>
      <c r="D52" s="12"/>
    </row>
    <row r="53" customFormat="false" ht="15" hidden="false" customHeight="false" outlineLevel="0" collapsed="false">
      <c r="B53" s="12"/>
      <c r="C53" s="12"/>
      <c r="D53" s="12"/>
    </row>
    <row r="54" customFormat="false" ht="15" hidden="false" customHeight="false" outlineLevel="0" collapsed="false">
      <c r="B54" s="12"/>
      <c r="C54" s="12"/>
      <c r="D54" s="12"/>
    </row>
    <row r="55" customFormat="false" ht="15" hidden="false" customHeight="false" outlineLevel="0" collapsed="false">
      <c r="B55" s="12"/>
      <c r="C55" s="12"/>
      <c r="D55" s="12"/>
    </row>
    <row r="56" customFormat="false" ht="15" hidden="false" customHeight="false" outlineLevel="0" collapsed="false">
      <c r="B56" s="12"/>
      <c r="C56" s="12"/>
      <c r="D56" s="12"/>
    </row>
    <row r="57" customFormat="false" ht="15" hidden="false" customHeight="false" outlineLevel="0" collapsed="false">
      <c r="B57" s="12"/>
      <c r="C57" s="12"/>
      <c r="D57" s="12"/>
    </row>
    <row r="58" customFormat="false" ht="15" hidden="false" customHeight="false" outlineLevel="0" collapsed="false">
      <c r="B58" s="12"/>
      <c r="C58" s="12"/>
      <c r="D58" s="12"/>
    </row>
    <row r="59" customFormat="false" ht="15" hidden="false" customHeight="false" outlineLevel="0" collapsed="false">
      <c r="B59" s="12"/>
      <c r="C59" s="12"/>
      <c r="D59" s="12"/>
    </row>
    <row r="60" customFormat="false" ht="15" hidden="false" customHeight="false" outlineLevel="0" collapsed="false">
      <c r="B60" s="12"/>
      <c r="C60" s="12"/>
      <c r="D60" s="12"/>
    </row>
    <row r="61" customFormat="false" ht="15" hidden="false" customHeight="false" outlineLevel="0" collapsed="false">
      <c r="B61" s="12"/>
      <c r="C61" s="12"/>
      <c r="D61" s="12"/>
    </row>
    <row r="62" customFormat="false" ht="15" hidden="false" customHeight="false" outlineLevel="0" collapsed="false">
      <c r="B62" s="12"/>
      <c r="C62" s="12"/>
      <c r="D62" s="12"/>
    </row>
  </sheetData>
  <dataValidations count="4">
    <dataValidation allowBlank="false" errorStyle="stop" operator="between" showDropDown="false" showErrorMessage="false" showInputMessage="false" sqref="C24" type="list">
      <formula1>"Note only,Reconcile as Tolerance"</formula1>
      <formula2>0</formula2>
    </dataValidation>
    <dataValidation allowBlank="true" errorStyle="stop" operator="between" showDropDown="false" showErrorMessage="false" showInputMessage="false" sqref="C33:D33" type="list">
      <formula1>"Single signed column,Separate in / out columns"</formula1>
      <formula2>0</formula2>
    </dataValidation>
    <dataValidation allowBlank="true" errorStyle="stop" operator="between" showDropDown="false" showErrorMessage="false" showInputMessage="false" sqref="C37:D37" type="list">
      <formula1>"Negative,Positive"</formula1>
      <formula2>0</formula2>
    </dataValidation>
    <dataValidation allowBlank="true" errorStyle="stop" operator="between" showDropDown="false" showErrorMessage="false" showInputMessage="false" sqref="C38:D38" type="list">
      <formula1>"Auto,M/D/Y,D/M/Y"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44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60"/>
    <col collapsed="false" customWidth="true" hidden="false" outlineLevel="0" max="10" min="10" style="0" width="6"/>
    <col collapsed="false" customWidth="true" hidden="false" outlineLevel="0" max="11" min="11" style="0" width="10"/>
  </cols>
  <sheetData>
    <row r="1" customFormat="false" ht="30" hidden="false" customHeight="true" outlineLevel="0" collapsed="false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12</v>
      </c>
      <c r="G1" s="6" t="s">
        <v>11</v>
      </c>
      <c r="H1" s="6" t="s">
        <v>39</v>
      </c>
      <c r="I1" s="6" t="s">
        <v>40</v>
      </c>
      <c r="J1" s="6" t="s">
        <v>41</v>
      </c>
      <c r="K1" s="6" t="s">
        <v>187</v>
      </c>
    </row>
    <row r="2" customFormat="false" ht="15" hidden="false" customHeight="false" outlineLevel="0" collapsed="false">
      <c r="A2" s="5" t="s">
        <v>45</v>
      </c>
      <c r="B2" s="32" t="n">
        <v>46237</v>
      </c>
      <c r="C2" s="5" t="s">
        <v>188</v>
      </c>
      <c r="D2" s="33" t="s">
        <v>44</v>
      </c>
      <c r="E2" s="19" t="n">
        <v>-1250</v>
      </c>
      <c r="F2" s="34" t="s">
        <v>15</v>
      </c>
      <c r="G2" s="5" t="s">
        <v>14</v>
      </c>
      <c r="H2" s="5" t="s">
        <v>42</v>
      </c>
      <c r="I2" s="5"/>
      <c r="J2" s="34" t="n">
        <v>1</v>
      </c>
      <c r="K2" s="5" t="n">
        <v>2</v>
      </c>
    </row>
    <row r="3" customFormat="false" ht="15" hidden="false" customHeight="false" outlineLevel="0" collapsed="false">
      <c r="A3" s="5" t="s">
        <v>189</v>
      </c>
      <c r="B3" s="32" t="n">
        <v>46238</v>
      </c>
      <c r="C3" s="5" t="s">
        <v>190</v>
      </c>
      <c r="D3" s="33"/>
      <c r="E3" s="19" t="n">
        <v>4380</v>
      </c>
      <c r="F3" s="34" t="s">
        <v>15</v>
      </c>
      <c r="G3" s="5" t="s">
        <v>17</v>
      </c>
      <c r="H3" s="5" t="s">
        <v>191</v>
      </c>
      <c r="I3" s="5" t="s">
        <v>192</v>
      </c>
      <c r="J3" s="34" t="n">
        <v>1</v>
      </c>
      <c r="K3" s="5" t="n">
        <v>3</v>
      </c>
    </row>
    <row r="4" customFormat="false" ht="15" hidden="false" customHeight="false" outlineLevel="0" collapsed="false">
      <c r="A4" s="5" t="s">
        <v>193</v>
      </c>
      <c r="B4" s="32" t="n">
        <v>46239</v>
      </c>
      <c r="C4" s="5" t="s">
        <v>194</v>
      </c>
      <c r="D4" s="33"/>
      <c r="E4" s="19" t="n">
        <v>-8912.44</v>
      </c>
      <c r="F4" s="34" t="s">
        <v>15</v>
      </c>
      <c r="G4" s="5" t="s">
        <v>14</v>
      </c>
      <c r="H4" s="5" t="s">
        <v>195</v>
      </c>
      <c r="I4" s="5"/>
      <c r="J4" s="34" t="n">
        <v>1</v>
      </c>
      <c r="K4" s="5" t="n">
        <v>4</v>
      </c>
    </row>
    <row r="5" customFormat="false" ht="15" hidden="false" customHeight="false" outlineLevel="0" collapsed="false">
      <c r="A5" s="5" t="s">
        <v>196</v>
      </c>
      <c r="B5" s="32" t="n">
        <v>46240</v>
      </c>
      <c r="C5" s="5" t="s">
        <v>197</v>
      </c>
      <c r="D5" s="33" t="s">
        <v>198</v>
      </c>
      <c r="E5" s="19" t="n">
        <v>-1250</v>
      </c>
      <c r="F5" s="34" t="s">
        <v>15</v>
      </c>
      <c r="G5" s="5" t="s">
        <v>14</v>
      </c>
      <c r="H5" s="5" t="s">
        <v>199</v>
      </c>
      <c r="I5" s="5"/>
      <c r="J5" s="34" t="n">
        <v>1</v>
      </c>
      <c r="K5" s="5" t="n">
        <v>5</v>
      </c>
    </row>
    <row r="6" customFormat="false" ht="15" hidden="false" customHeight="false" outlineLevel="0" collapsed="false">
      <c r="A6" s="5" t="s">
        <v>200</v>
      </c>
      <c r="B6" s="32" t="n">
        <v>46241</v>
      </c>
      <c r="C6" s="5" t="s">
        <v>201</v>
      </c>
      <c r="D6" s="33"/>
      <c r="E6" s="19" t="n">
        <v>-612.87</v>
      </c>
      <c r="F6" s="34" t="s">
        <v>15</v>
      </c>
      <c r="G6" s="5" t="s">
        <v>14</v>
      </c>
      <c r="H6" s="5" t="s">
        <v>202</v>
      </c>
      <c r="I6" s="5"/>
      <c r="J6" s="34" t="n">
        <v>1</v>
      </c>
      <c r="K6" s="5" t="n">
        <v>6</v>
      </c>
    </row>
    <row r="7" customFormat="false" ht="15" hidden="false" customHeight="false" outlineLevel="0" collapsed="false">
      <c r="A7" s="5" t="s">
        <v>203</v>
      </c>
      <c r="B7" s="32" t="n">
        <v>46244</v>
      </c>
      <c r="C7" s="5" t="s">
        <v>204</v>
      </c>
      <c r="D7" s="33"/>
      <c r="E7" s="19" t="n">
        <v>5000</v>
      </c>
      <c r="F7" s="34" t="s">
        <v>15</v>
      </c>
      <c r="G7" s="5" t="s">
        <v>14</v>
      </c>
      <c r="H7" s="5" t="s">
        <v>205</v>
      </c>
      <c r="I7" s="5"/>
      <c r="J7" s="34" t="n">
        <v>1</v>
      </c>
      <c r="K7" s="5" t="n">
        <v>7</v>
      </c>
    </row>
    <row r="8" customFormat="false" ht="15" hidden="false" customHeight="false" outlineLevel="0" collapsed="false">
      <c r="A8" s="5" t="s">
        <v>206</v>
      </c>
      <c r="B8" s="32" t="n">
        <v>46246</v>
      </c>
      <c r="C8" s="5" t="s">
        <v>207</v>
      </c>
      <c r="D8" s="33"/>
      <c r="E8" s="19" t="n">
        <v>-318.4</v>
      </c>
      <c r="F8" s="34" t="s">
        <v>15</v>
      </c>
      <c r="G8" s="5" t="s">
        <v>14</v>
      </c>
      <c r="H8" s="5" t="s">
        <v>208</v>
      </c>
      <c r="I8" s="5"/>
      <c r="J8" s="34" t="n">
        <v>1</v>
      </c>
      <c r="K8" s="5" t="n">
        <v>8</v>
      </c>
    </row>
    <row r="9" customFormat="false" ht="15" hidden="false" customHeight="false" outlineLevel="0" collapsed="false">
      <c r="A9" s="5" t="s">
        <v>209</v>
      </c>
      <c r="B9" s="32" t="n">
        <v>46248</v>
      </c>
      <c r="C9" s="5" t="s">
        <v>210</v>
      </c>
      <c r="D9" s="33" t="s">
        <v>211</v>
      </c>
      <c r="E9" s="19" t="n">
        <v>-2000</v>
      </c>
      <c r="F9" s="34" t="s">
        <v>15</v>
      </c>
      <c r="G9" s="5" t="s">
        <v>14</v>
      </c>
      <c r="H9" s="5" t="s">
        <v>212</v>
      </c>
      <c r="I9" s="5"/>
      <c r="J9" s="34" t="n">
        <v>1</v>
      </c>
      <c r="K9" s="5" t="n">
        <v>9</v>
      </c>
    </row>
    <row r="10" customFormat="false" ht="15" hidden="false" customHeight="false" outlineLevel="0" collapsed="false">
      <c r="A10" s="5" t="s">
        <v>213</v>
      </c>
      <c r="B10" s="32" t="n">
        <v>46251</v>
      </c>
      <c r="C10" s="5" t="s">
        <v>214</v>
      </c>
      <c r="D10" s="33"/>
      <c r="E10" s="19" t="n">
        <v>1215.5</v>
      </c>
      <c r="F10" s="34" t="s">
        <v>15</v>
      </c>
      <c r="G10" s="5" t="s">
        <v>14</v>
      </c>
      <c r="H10" s="5" t="s">
        <v>215</v>
      </c>
      <c r="I10" s="5"/>
      <c r="J10" s="34" t="n">
        <v>1</v>
      </c>
      <c r="K10" s="5" t="n">
        <v>10</v>
      </c>
    </row>
    <row r="11" customFormat="false" ht="15" hidden="false" customHeight="false" outlineLevel="0" collapsed="false">
      <c r="A11" s="5" t="s">
        <v>216</v>
      </c>
      <c r="B11" s="32" t="n">
        <v>46253</v>
      </c>
      <c r="C11" s="5" t="s">
        <v>217</v>
      </c>
      <c r="D11" s="33"/>
      <c r="E11" s="19" t="n">
        <v>-186.23</v>
      </c>
      <c r="F11" s="34"/>
      <c r="G11" s="5" t="s">
        <v>19</v>
      </c>
      <c r="H11" s="5"/>
      <c r="I11" s="5" t="s">
        <v>218</v>
      </c>
      <c r="J11" s="34" t="n">
        <v>1</v>
      </c>
      <c r="K11" s="5" t="n">
        <v>11</v>
      </c>
    </row>
    <row r="12" customFormat="false" ht="15" hidden="false" customHeight="false" outlineLevel="0" collapsed="false">
      <c r="A12" s="5" t="s">
        <v>219</v>
      </c>
      <c r="B12" s="32" t="n">
        <v>46255</v>
      </c>
      <c r="C12" s="5" t="s">
        <v>220</v>
      </c>
      <c r="D12" s="33" t="s">
        <v>221</v>
      </c>
      <c r="E12" s="19" t="n">
        <v>-743.1</v>
      </c>
      <c r="F12" s="34" t="s">
        <v>15</v>
      </c>
      <c r="G12" s="5" t="s">
        <v>14</v>
      </c>
      <c r="H12" s="5" t="s">
        <v>222</v>
      </c>
      <c r="I12" s="5"/>
      <c r="J12" s="34" t="n">
        <v>1</v>
      </c>
      <c r="K12" s="5" t="n">
        <v>12</v>
      </c>
    </row>
    <row r="13" customFormat="false" ht="15" hidden="false" customHeight="false" outlineLevel="0" collapsed="false">
      <c r="A13" s="5" t="s">
        <v>223</v>
      </c>
      <c r="B13" s="32" t="n">
        <v>46258</v>
      </c>
      <c r="C13" s="5" t="s">
        <v>224</v>
      </c>
      <c r="D13" s="33"/>
      <c r="E13" s="19" t="n">
        <v>2847.66</v>
      </c>
      <c r="F13" s="34" t="s">
        <v>15</v>
      </c>
      <c r="G13" s="5" t="s">
        <v>14</v>
      </c>
      <c r="H13" s="5" t="s">
        <v>225</v>
      </c>
      <c r="I13" s="5"/>
      <c r="J13" s="34" t="n">
        <v>1</v>
      </c>
      <c r="K13" s="5" t="n">
        <v>13</v>
      </c>
    </row>
    <row r="14" customFormat="false" ht="15" hidden="false" customHeight="false" outlineLevel="0" collapsed="false">
      <c r="A14" s="5" t="s">
        <v>226</v>
      </c>
      <c r="B14" s="32" t="n">
        <v>46260</v>
      </c>
      <c r="C14" s="5" t="s">
        <v>227</v>
      </c>
      <c r="D14" s="33"/>
      <c r="E14" s="19" t="n">
        <v>-1104</v>
      </c>
      <c r="F14" s="34" t="s">
        <v>15</v>
      </c>
      <c r="G14" s="5" t="s">
        <v>14</v>
      </c>
      <c r="H14" s="5" t="s">
        <v>228</v>
      </c>
      <c r="I14" s="5"/>
      <c r="J14" s="34" t="n">
        <v>1</v>
      </c>
      <c r="K14" s="5" t="n">
        <v>14</v>
      </c>
    </row>
    <row r="15" customFormat="false" ht="15" hidden="false" customHeight="false" outlineLevel="0" collapsed="false">
      <c r="A15" s="5" t="s">
        <v>229</v>
      </c>
      <c r="B15" s="32" t="n">
        <v>46263</v>
      </c>
      <c r="C15" s="5" t="s">
        <v>230</v>
      </c>
      <c r="D15" s="33"/>
      <c r="E15" s="19" t="n">
        <v>-25</v>
      </c>
      <c r="F15" s="34"/>
      <c r="G15" s="5"/>
      <c r="H15" s="5"/>
      <c r="I15" s="5"/>
      <c r="J15" s="34"/>
      <c r="K15" s="5" t="n">
        <v>15</v>
      </c>
    </row>
    <row r="16" customFormat="false" ht="15" hidden="false" customHeight="false" outlineLevel="0" collapsed="false">
      <c r="A16" s="5" t="s">
        <v>231</v>
      </c>
      <c r="B16" s="32" t="n">
        <v>46265</v>
      </c>
      <c r="C16" s="5" t="s">
        <v>232</v>
      </c>
      <c r="D16" s="33"/>
      <c r="E16" s="19" t="n">
        <v>3.12</v>
      </c>
      <c r="F16" s="34"/>
      <c r="G16" s="5"/>
      <c r="H16" s="5"/>
      <c r="I16" s="5"/>
      <c r="J16" s="34"/>
      <c r="K16" s="5" t="n">
        <v>16</v>
      </c>
    </row>
    <row r="17" customFormat="false" ht="15" hidden="false" customHeight="false" outlineLevel="0" collapsed="false">
      <c r="B17" s="35"/>
      <c r="D17" s="36"/>
      <c r="E17" s="37"/>
      <c r="F17" s="38"/>
      <c r="J17" s="38"/>
    </row>
    <row r="18" customFormat="false" ht="15" hidden="false" customHeight="false" outlineLevel="0" collapsed="false">
      <c r="B18" s="35"/>
      <c r="D18" s="36"/>
      <c r="E18" s="37"/>
      <c r="F18" s="38"/>
      <c r="J18" s="38"/>
    </row>
    <row r="19" customFormat="false" ht="15" hidden="false" customHeight="false" outlineLevel="0" collapsed="false">
      <c r="B19" s="35"/>
      <c r="D19" s="36"/>
      <c r="E19" s="37"/>
      <c r="F19" s="38"/>
      <c r="J19" s="38"/>
    </row>
    <row r="20" customFormat="false" ht="15" hidden="false" customHeight="false" outlineLevel="0" collapsed="false">
      <c r="B20" s="35"/>
      <c r="D20" s="36"/>
      <c r="E20" s="37"/>
      <c r="F20" s="38"/>
      <c r="J20" s="38"/>
    </row>
    <row r="21" customFormat="false" ht="15" hidden="false" customHeight="false" outlineLevel="0" collapsed="false">
      <c r="B21" s="35"/>
      <c r="D21" s="36"/>
      <c r="E21" s="37"/>
      <c r="F21" s="38"/>
      <c r="J21" s="38"/>
    </row>
    <row r="22" customFormat="false" ht="15" hidden="false" customHeight="false" outlineLevel="0" collapsed="false">
      <c r="B22" s="35"/>
      <c r="D22" s="36"/>
      <c r="E22" s="37"/>
      <c r="F22" s="38"/>
      <c r="J22" s="38"/>
    </row>
    <row r="23" customFormat="false" ht="15" hidden="false" customHeight="false" outlineLevel="0" collapsed="false">
      <c r="B23" s="35"/>
      <c r="D23" s="36"/>
      <c r="E23" s="37"/>
      <c r="F23" s="38"/>
      <c r="J23" s="38"/>
    </row>
    <row r="24" customFormat="false" ht="15" hidden="false" customHeight="false" outlineLevel="0" collapsed="false">
      <c r="B24" s="35"/>
      <c r="D24" s="36"/>
      <c r="E24" s="37"/>
      <c r="F24" s="38"/>
      <c r="J24" s="38"/>
    </row>
    <row r="25" customFormat="false" ht="15" hidden="false" customHeight="false" outlineLevel="0" collapsed="false">
      <c r="B25" s="35"/>
      <c r="D25" s="36"/>
      <c r="E25" s="37"/>
      <c r="F25" s="38"/>
      <c r="J25" s="38"/>
    </row>
    <row r="26" customFormat="false" ht="15" hidden="false" customHeight="false" outlineLevel="0" collapsed="false">
      <c r="B26" s="35"/>
      <c r="D26" s="36"/>
      <c r="E26" s="37"/>
      <c r="F26" s="38"/>
      <c r="J26" s="38"/>
    </row>
    <row r="27" customFormat="false" ht="15" hidden="false" customHeight="false" outlineLevel="0" collapsed="false">
      <c r="B27" s="35"/>
      <c r="D27" s="36"/>
      <c r="E27" s="37"/>
      <c r="F27" s="38"/>
      <c r="J27" s="38"/>
    </row>
    <row r="28" customFormat="false" ht="15" hidden="false" customHeight="false" outlineLevel="0" collapsed="false">
      <c r="B28" s="35"/>
      <c r="D28" s="36"/>
      <c r="E28" s="37"/>
      <c r="F28" s="38"/>
      <c r="J28" s="38"/>
    </row>
    <row r="29" customFormat="false" ht="15" hidden="false" customHeight="false" outlineLevel="0" collapsed="false">
      <c r="B29" s="35"/>
      <c r="D29" s="36"/>
      <c r="E29" s="37"/>
      <c r="F29" s="38"/>
      <c r="J29" s="38"/>
    </row>
    <row r="30" customFormat="false" ht="15" hidden="false" customHeight="false" outlineLevel="0" collapsed="false">
      <c r="B30" s="35"/>
      <c r="D30" s="36"/>
      <c r="E30" s="37"/>
      <c r="F30" s="38"/>
      <c r="J30" s="38"/>
    </row>
    <row r="31" customFormat="false" ht="15" hidden="false" customHeight="false" outlineLevel="0" collapsed="false">
      <c r="B31" s="35"/>
      <c r="D31" s="36"/>
      <c r="E31" s="37"/>
      <c r="F31" s="38"/>
      <c r="J31" s="38"/>
    </row>
    <row r="32" customFormat="false" ht="15" hidden="false" customHeight="false" outlineLevel="0" collapsed="false">
      <c r="B32" s="35"/>
      <c r="D32" s="36"/>
      <c r="E32" s="37"/>
      <c r="F32" s="38"/>
      <c r="J32" s="38"/>
    </row>
    <row r="33" customFormat="false" ht="15" hidden="false" customHeight="false" outlineLevel="0" collapsed="false">
      <c r="B33" s="35"/>
      <c r="D33" s="36"/>
      <c r="E33" s="37"/>
      <c r="F33" s="38"/>
      <c r="J33" s="38"/>
    </row>
    <row r="34" customFormat="false" ht="15" hidden="false" customHeight="false" outlineLevel="0" collapsed="false">
      <c r="B34" s="35"/>
      <c r="D34" s="36"/>
      <c r="E34" s="37"/>
      <c r="F34" s="38"/>
      <c r="J34" s="38"/>
    </row>
    <row r="35" customFormat="false" ht="15" hidden="false" customHeight="false" outlineLevel="0" collapsed="false">
      <c r="B35" s="35"/>
      <c r="D35" s="36"/>
      <c r="E35" s="37"/>
      <c r="F35" s="38"/>
      <c r="J35" s="38"/>
    </row>
    <row r="36" customFormat="false" ht="15" hidden="false" customHeight="false" outlineLevel="0" collapsed="false">
      <c r="B36" s="35"/>
      <c r="D36" s="36"/>
      <c r="E36" s="37"/>
      <c r="F36" s="38"/>
      <c r="J36" s="38"/>
    </row>
    <row r="37" customFormat="false" ht="15" hidden="false" customHeight="false" outlineLevel="0" collapsed="false">
      <c r="B37" s="35"/>
      <c r="D37" s="36"/>
      <c r="E37" s="37"/>
      <c r="F37" s="38"/>
      <c r="J37" s="38"/>
    </row>
    <row r="38" customFormat="false" ht="15" hidden="false" customHeight="false" outlineLevel="0" collapsed="false">
      <c r="B38" s="35"/>
      <c r="D38" s="36"/>
      <c r="E38" s="37"/>
      <c r="F38" s="38"/>
      <c r="J38" s="38"/>
    </row>
    <row r="39" customFormat="false" ht="15" hidden="false" customHeight="false" outlineLevel="0" collapsed="false">
      <c r="B39" s="35"/>
      <c r="D39" s="36"/>
      <c r="E39" s="37"/>
      <c r="F39" s="38"/>
      <c r="J39" s="38"/>
    </row>
    <row r="40" customFormat="false" ht="15" hidden="false" customHeight="false" outlineLevel="0" collapsed="false">
      <c r="B40" s="35"/>
      <c r="D40" s="36"/>
      <c r="E40" s="37"/>
      <c r="F40" s="38"/>
      <c r="J40" s="38"/>
    </row>
    <row r="41" customFormat="false" ht="15" hidden="false" customHeight="false" outlineLevel="0" collapsed="false">
      <c r="B41" s="35"/>
      <c r="D41" s="36"/>
      <c r="E41" s="37"/>
      <c r="F41" s="38"/>
      <c r="J41" s="38"/>
    </row>
    <row r="42" customFormat="false" ht="15" hidden="false" customHeight="false" outlineLevel="0" collapsed="false">
      <c r="B42" s="35"/>
      <c r="D42" s="36"/>
      <c r="E42" s="37"/>
      <c r="F42" s="38"/>
      <c r="J42" s="38"/>
    </row>
    <row r="43" customFormat="false" ht="15" hidden="false" customHeight="false" outlineLevel="0" collapsed="false">
      <c r="B43" s="35"/>
      <c r="D43" s="36"/>
      <c r="E43" s="37"/>
      <c r="F43" s="38"/>
      <c r="J43" s="38"/>
    </row>
    <row r="44" customFormat="false" ht="15" hidden="false" customHeight="false" outlineLevel="0" collapsed="false">
      <c r="B44" s="35"/>
      <c r="D44" s="36"/>
      <c r="E44" s="37"/>
      <c r="F44" s="38"/>
      <c r="J44" s="38"/>
    </row>
    <row r="45" customFormat="false" ht="15" hidden="false" customHeight="false" outlineLevel="0" collapsed="false">
      <c r="B45" s="35"/>
      <c r="D45" s="36"/>
      <c r="E45" s="37"/>
      <c r="F45" s="38"/>
      <c r="J45" s="38"/>
    </row>
    <row r="46" customFormat="false" ht="15" hidden="false" customHeight="false" outlineLevel="0" collapsed="false">
      <c r="B46" s="35"/>
      <c r="D46" s="36"/>
      <c r="E46" s="37"/>
      <c r="F46" s="38"/>
      <c r="J46" s="38"/>
    </row>
    <row r="47" customFormat="false" ht="15" hidden="false" customHeight="false" outlineLevel="0" collapsed="false">
      <c r="B47" s="35"/>
      <c r="D47" s="36"/>
      <c r="E47" s="37"/>
      <c r="F47" s="38"/>
      <c r="J47" s="38"/>
    </row>
    <row r="48" customFormat="false" ht="15" hidden="false" customHeight="false" outlineLevel="0" collapsed="false">
      <c r="B48" s="35"/>
      <c r="D48" s="36"/>
      <c r="E48" s="37"/>
      <c r="F48" s="38"/>
      <c r="J48" s="38"/>
    </row>
    <row r="49" customFormat="false" ht="15" hidden="false" customHeight="false" outlineLevel="0" collapsed="false">
      <c r="B49" s="35"/>
      <c r="D49" s="36"/>
      <c r="E49" s="37"/>
      <c r="F49" s="38"/>
      <c r="J49" s="38"/>
    </row>
    <row r="50" customFormat="false" ht="15" hidden="false" customHeight="false" outlineLevel="0" collapsed="false">
      <c r="B50" s="35"/>
      <c r="D50" s="36"/>
      <c r="E50" s="37"/>
      <c r="F50" s="38"/>
      <c r="J50" s="38"/>
    </row>
    <row r="51" customFormat="false" ht="15" hidden="false" customHeight="false" outlineLevel="0" collapsed="false">
      <c r="B51" s="35"/>
      <c r="D51" s="36"/>
      <c r="E51" s="37"/>
      <c r="F51" s="38"/>
      <c r="J51" s="38"/>
    </row>
    <row r="52" customFormat="false" ht="15" hidden="false" customHeight="false" outlineLevel="0" collapsed="false">
      <c r="B52" s="35"/>
      <c r="D52" s="36"/>
      <c r="E52" s="37"/>
      <c r="F52" s="38"/>
      <c r="J52" s="38"/>
    </row>
    <row r="53" customFormat="false" ht="15" hidden="false" customHeight="false" outlineLevel="0" collapsed="false">
      <c r="B53" s="35"/>
      <c r="D53" s="36"/>
      <c r="E53" s="37"/>
      <c r="F53" s="38"/>
      <c r="J53" s="38"/>
    </row>
    <row r="54" customFormat="false" ht="15" hidden="false" customHeight="false" outlineLevel="0" collapsed="false">
      <c r="B54" s="35"/>
      <c r="D54" s="36"/>
      <c r="E54" s="37"/>
      <c r="F54" s="38"/>
      <c r="J54" s="38"/>
    </row>
    <row r="55" customFormat="false" ht="15" hidden="false" customHeight="false" outlineLevel="0" collapsed="false">
      <c r="B55" s="35"/>
      <c r="D55" s="36"/>
      <c r="E55" s="37"/>
      <c r="F55" s="38"/>
      <c r="J55" s="38"/>
    </row>
    <row r="56" customFormat="false" ht="15" hidden="false" customHeight="false" outlineLevel="0" collapsed="false">
      <c r="B56" s="35"/>
      <c r="D56" s="36"/>
      <c r="E56" s="37"/>
      <c r="F56" s="38"/>
      <c r="J56" s="38"/>
    </row>
    <row r="57" customFormat="false" ht="15" hidden="false" customHeight="false" outlineLevel="0" collapsed="false">
      <c r="B57" s="35"/>
      <c r="D57" s="36"/>
      <c r="E57" s="37"/>
      <c r="F57" s="38"/>
      <c r="J57" s="38"/>
    </row>
    <row r="58" customFormat="false" ht="15" hidden="false" customHeight="false" outlineLevel="0" collapsed="false">
      <c r="B58" s="35"/>
      <c r="D58" s="36"/>
      <c r="E58" s="37"/>
      <c r="F58" s="38"/>
      <c r="J58" s="38"/>
    </row>
    <row r="59" customFormat="false" ht="15" hidden="false" customHeight="false" outlineLevel="0" collapsed="false">
      <c r="B59" s="35"/>
      <c r="D59" s="36"/>
      <c r="E59" s="37"/>
      <c r="F59" s="38"/>
      <c r="J59" s="38"/>
    </row>
    <row r="60" customFormat="false" ht="15" hidden="false" customHeight="false" outlineLevel="0" collapsed="false">
      <c r="B60" s="35"/>
      <c r="D60" s="36"/>
      <c r="E60" s="37"/>
      <c r="F60" s="38"/>
      <c r="J60" s="38"/>
    </row>
    <row r="61" customFormat="false" ht="15" hidden="false" customHeight="false" outlineLevel="0" collapsed="false">
      <c r="B61" s="35"/>
      <c r="D61" s="36"/>
      <c r="E61" s="37"/>
      <c r="F61" s="38"/>
      <c r="J61" s="38"/>
    </row>
    <row r="62" customFormat="false" ht="15" hidden="false" customHeight="false" outlineLevel="0" collapsed="false">
      <c r="B62" s="35"/>
      <c r="D62" s="36"/>
      <c r="E62" s="37"/>
      <c r="F62" s="38"/>
      <c r="J62" s="38"/>
    </row>
    <row r="63" customFormat="false" ht="15" hidden="false" customHeight="false" outlineLevel="0" collapsed="false">
      <c r="B63" s="35"/>
      <c r="D63" s="36"/>
      <c r="E63" s="37"/>
      <c r="F63" s="38"/>
      <c r="J63" s="38"/>
    </row>
    <row r="64" customFormat="false" ht="15" hidden="false" customHeight="false" outlineLevel="0" collapsed="false">
      <c r="B64" s="35"/>
      <c r="D64" s="36"/>
      <c r="E64" s="37"/>
      <c r="F64" s="38"/>
      <c r="J64" s="38"/>
    </row>
    <row r="65" customFormat="false" ht="15" hidden="false" customHeight="false" outlineLevel="0" collapsed="false">
      <c r="B65" s="35"/>
      <c r="D65" s="36"/>
      <c r="E65" s="37"/>
      <c r="F65" s="38"/>
      <c r="J65" s="38"/>
    </row>
    <row r="66" customFormat="false" ht="15" hidden="false" customHeight="false" outlineLevel="0" collapsed="false">
      <c r="B66" s="35"/>
      <c r="D66" s="36"/>
      <c r="E66" s="37"/>
      <c r="F66" s="38"/>
      <c r="J66" s="38"/>
    </row>
    <row r="67" customFormat="false" ht="15" hidden="false" customHeight="false" outlineLevel="0" collapsed="false">
      <c r="B67" s="35"/>
      <c r="D67" s="36"/>
      <c r="E67" s="37"/>
      <c r="F67" s="38"/>
      <c r="J67" s="38"/>
    </row>
    <row r="68" customFormat="false" ht="15" hidden="false" customHeight="false" outlineLevel="0" collapsed="false">
      <c r="B68" s="35"/>
      <c r="D68" s="36"/>
      <c r="E68" s="37"/>
      <c r="F68" s="38"/>
      <c r="J68" s="38"/>
    </row>
    <row r="69" customFormat="false" ht="15" hidden="false" customHeight="false" outlineLevel="0" collapsed="false">
      <c r="B69" s="35"/>
      <c r="D69" s="36"/>
      <c r="E69" s="37"/>
      <c r="F69" s="38"/>
      <c r="J69" s="38"/>
    </row>
    <row r="70" customFormat="false" ht="15" hidden="false" customHeight="false" outlineLevel="0" collapsed="false">
      <c r="B70" s="35"/>
      <c r="D70" s="36"/>
      <c r="E70" s="37"/>
      <c r="F70" s="38"/>
      <c r="J70" s="38"/>
    </row>
    <row r="71" customFormat="false" ht="15" hidden="false" customHeight="false" outlineLevel="0" collapsed="false">
      <c r="B71" s="35"/>
      <c r="D71" s="36"/>
      <c r="E71" s="37"/>
      <c r="F71" s="38"/>
      <c r="J71" s="38"/>
    </row>
    <row r="72" customFormat="false" ht="15" hidden="false" customHeight="false" outlineLevel="0" collapsed="false">
      <c r="B72" s="35"/>
      <c r="D72" s="36"/>
      <c r="E72" s="37"/>
      <c r="F72" s="38"/>
      <c r="J72" s="38"/>
    </row>
    <row r="73" customFormat="false" ht="15" hidden="false" customHeight="false" outlineLevel="0" collapsed="false">
      <c r="B73" s="35"/>
      <c r="D73" s="36"/>
      <c r="E73" s="37"/>
      <c r="F73" s="38"/>
      <c r="J73" s="38"/>
    </row>
    <row r="74" customFormat="false" ht="15" hidden="false" customHeight="false" outlineLevel="0" collapsed="false">
      <c r="B74" s="35"/>
      <c r="D74" s="36"/>
      <c r="E74" s="37"/>
      <c r="F74" s="38"/>
      <c r="J74" s="38"/>
    </row>
    <row r="75" customFormat="false" ht="15" hidden="false" customHeight="false" outlineLevel="0" collapsed="false">
      <c r="B75" s="35"/>
      <c r="D75" s="36"/>
      <c r="E75" s="37"/>
      <c r="F75" s="38"/>
      <c r="J75" s="38"/>
    </row>
    <row r="76" customFormat="false" ht="15" hidden="false" customHeight="false" outlineLevel="0" collapsed="false">
      <c r="B76" s="35"/>
      <c r="D76" s="36"/>
      <c r="E76" s="37"/>
      <c r="F76" s="38"/>
      <c r="J76" s="38"/>
    </row>
    <row r="77" customFormat="false" ht="15" hidden="false" customHeight="false" outlineLevel="0" collapsed="false">
      <c r="B77" s="35"/>
      <c r="D77" s="36"/>
      <c r="E77" s="37"/>
      <c r="F77" s="38"/>
      <c r="J77" s="38"/>
    </row>
    <row r="78" customFormat="false" ht="15" hidden="false" customHeight="false" outlineLevel="0" collapsed="false">
      <c r="B78" s="35"/>
      <c r="D78" s="36"/>
      <c r="E78" s="37"/>
      <c r="F78" s="38"/>
      <c r="J78" s="38"/>
    </row>
    <row r="79" customFormat="false" ht="15" hidden="false" customHeight="false" outlineLevel="0" collapsed="false">
      <c r="B79" s="35"/>
      <c r="D79" s="36"/>
      <c r="E79" s="37"/>
      <c r="F79" s="38"/>
      <c r="J79" s="38"/>
    </row>
    <row r="80" customFormat="false" ht="15" hidden="false" customHeight="false" outlineLevel="0" collapsed="false">
      <c r="B80" s="35"/>
      <c r="D80" s="36"/>
      <c r="E80" s="37"/>
      <c r="F80" s="38"/>
      <c r="J80" s="38"/>
    </row>
    <row r="81" customFormat="false" ht="15" hidden="false" customHeight="false" outlineLevel="0" collapsed="false">
      <c r="B81" s="35"/>
      <c r="D81" s="36"/>
      <c r="E81" s="37"/>
      <c r="F81" s="38"/>
      <c r="J81" s="38"/>
    </row>
    <row r="82" customFormat="false" ht="15" hidden="false" customHeight="false" outlineLevel="0" collapsed="false">
      <c r="B82" s="35"/>
      <c r="D82" s="36"/>
      <c r="E82" s="37"/>
      <c r="F82" s="38"/>
      <c r="J82" s="38"/>
    </row>
    <row r="83" customFormat="false" ht="15" hidden="false" customHeight="false" outlineLevel="0" collapsed="false">
      <c r="B83" s="35"/>
      <c r="D83" s="36"/>
      <c r="E83" s="37"/>
      <c r="F83" s="38"/>
      <c r="J83" s="38"/>
    </row>
    <row r="84" customFormat="false" ht="15" hidden="false" customHeight="false" outlineLevel="0" collapsed="false">
      <c r="B84" s="35"/>
      <c r="D84" s="36"/>
      <c r="E84" s="37"/>
      <c r="F84" s="38"/>
      <c r="J84" s="38"/>
    </row>
    <row r="85" customFormat="false" ht="15" hidden="false" customHeight="false" outlineLevel="0" collapsed="false">
      <c r="B85" s="35"/>
      <c r="D85" s="36"/>
      <c r="E85" s="37"/>
      <c r="F85" s="38"/>
      <c r="J85" s="38"/>
    </row>
    <row r="86" customFormat="false" ht="15" hidden="false" customHeight="false" outlineLevel="0" collapsed="false">
      <c r="B86" s="35"/>
      <c r="D86" s="36"/>
      <c r="E86" s="37"/>
      <c r="F86" s="38"/>
      <c r="J86" s="38"/>
    </row>
    <row r="87" customFormat="false" ht="15" hidden="false" customHeight="false" outlineLevel="0" collapsed="false">
      <c r="B87" s="35"/>
      <c r="D87" s="36"/>
      <c r="E87" s="37"/>
      <c r="F87" s="38"/>
      <c r="J87" s="38"/>
    </row>
    <row r="88" customFormat="false" ht="15" hidden="false" customHeight="false" outlineLevel="0" collapsed="false">
      <c r="B88" s="35"/>
      <c r="D88" s="36"/>
      <c r="E88" s="37"/>
      <c r="F88" s="38"/>
      <c r="J88" s="38"/>
    </row>
    <row r="89" customFormat="false" ht="15" hidden="false" customHeight="false" outlineLevel="0" collapsed="false">
      <c r="B89" s="35"/>
      <c r="D89" s="36"/>
      <c r="E89" s="37"/>
      <c r="F89" s="38"/>
      <c r="J89" s="38"/>
    </row>
    <row r="90" customFormat="false" ht="15" hidden="false" customHeight="false" outlineLevel="0" collapsed="false">
      <c r="B90" s="35"/>
      <c r="D90" s="36"/>
      <c r="E90" s="37"/>
      <c r="F90" s="38"/>
      <c r="J90" s="38"/>
    </row>
    <row r="91" customFormat="false" ht="15" hidden="false" customHeight="false" outlineLevel="0" collapsed="false">
      <c r="B91" s="35"/>
      <c r="D91" s="36"/>
      <c r="E91" s="37"/>
      <c r="F91" s="38"/>
      <c r="J91" s="38"/>
    </row>
    <row r="92" customFormat="false" ht="15" hidden="false" customHeight="false" outlineLevel="0" collapsed="false">
      <c r="B92" s="35"/>
      <c r="D92" s="36"/>
      <c r="E92" s="37"/>
      <c r="F92" s="38"/>
      <c r="J92" s="38"/>
    </row>
    <row r="93" customFormat="false" ht="15" hidden="false" customHeight="false" outlineLevel="0" collapsed="false">
      <c r="B93" s="35"/>
      <c r="D93" s="36"/>
      <c r="E93" s="37"/>
      <c r="F93" s="38"/>
      <c r="J93" s="38"/>
    </row>
    <row r="94" customFormat="false" ht="15" hidden="false" customHeight="false" outlineLevel="0" collapsed="false">
      <c r="B94" s="35"/>
      <c r="D94" s="36"/>
      <c r="E94" s="37"/>
      <c r="F94" s="38"/>
      <c r="J94" s="38"/>
    </row>
    <row r="95" customFormat="false" ht="15" hidden="false" customHeight="false" outlineLevel="0" collapsed="false">
      <c r="B95" s="35"/>
      <c r="D95" s="36"/>
      <c r="E95" s="37"/>
      <c r="F95" s="38"/>
      <c r="J95" s="38"/>
    </row>
    <row r="96" customFormat="false" ht="15" hidden="false" customHeight="false" outlineLevel="0" collapsed="false">
      <c r="B96" s="35"/>
      <c r="D96" s="36"/>
      <c r="E96" s="37"/>
      <c r="F96" s="38"/>
      <c r="J96" s="38"/>
    </row>
    <row r="97" customFormat="false" ht="15" hidden="false" customHeight="false" outlineLevel="0" collapsed="false">
      <c r="B97" s="35"/>
      <c r="D97" s="36"/>
      <c r="E97" s="37"/>
      <c r="F97" s="38"/>
      <c r="J97" s="38"/>
    </row>
    <row r="98" customFormat="false" ht="15" hidden="false" customHeight="false" outlineLevel="0" collapsed="false">
      <c r="B98" s="35"/>
      <c r="D98" s="36"/>
      <c r="E98" s="37"/>
      <c r="F98" s="38"/>
      <c r="J98" s="38"/>
    </row>
    <row r="99" customFormat="false" ht="15" hidden="false" customHeight="false" outlineLevel="0" collapsed="false">
      <c r="B99" s="35"/>
      <c r="D99" s="36"/>
      <c r="E99" s="37"/>
      <c r="F99" s="38"/>
      <c r="J99" s="38"/>
    </row>
    <row r="100" customFormat="false" ht="15" hidden="false" customHeight="false" outlineLevel="0" collapsed="false">
      <c r="B100" s="35"/>
      <c r="D100" s="36"/>
      <c r="E100" s="37"/>
      <c r="F100" s="38"/>
      <c r="J100" s="38"/>
    </row>
    <row r="101" customFormat="false" ht="15" hidden="false" customHeight="false" outlineLevel="0" collapsed="false">
      <c r="B101" s="35"/>
      <c r="D101" s="36"/>
      <c r="E101" s="37"/>
      <c r="F101" s="38"/>
      <c r="J101" s="38"/>
    </row>
    <row r="102" customFormat="false" ht="15" hidden="false" customHeight="false" outlineLevel="0" collapsed="false">
      <c r="B102" s="35"/>
      <c r="D102" s="36"/>
      <c r="E102" s="37"/>
      <c r="F102" s="38"/>
      <c r="J102" s="38"/>
    </row>
    <row r="103" customFormat="false" ht="15" hidden="false" customHeight="false" outlineLevel="0" collapsed="false">
      <c r="B103" s="35"/>
      <c r="D103" s="36"/>
      <c r="E103" s="37"/>
      <c r="F103" s="38"/>
      <c r="J103" s="38"/>
    </row>
    <row r="104" customFormat="false" ht="15" hidden="false" customHeight="false" outlineLevel="0" collapsed="false">
      <c r="B104" s="35"/>
      <c r="D104" s="36"/>
      <c r="E104" s="37"/>
      <c r="F104" s="38"/>
      <c r="J104" s="38"/>
    </row>
    <row r="105" customFormat="false" ht="15" hidden="false" customHeight="false" outlineLevel="0" collapsed="false">
      <c r="B105" s="35"/>
      <c r="D105" s="36"/>
      <c r="E105" s="37"/>
      <c r="F105" s="38"/>
      <c r="J105" s="38"/>
    </row>
    <row r="106" customFormat="false" ht="15" hidden="false" customHeight="false" outlineLevel="0" collapsed="false">
      <c r="B106" s="35"/>
      <c r="D106" s="36"/>
      <c r="E106" s="37"/>
      <c r="F106" s="38"/>
      <c r="J106" s="38"/>
    </row>
    <row r="107" customFormat="false" ht="15" hidden="false" customHeight="false" outlineLevel="0" collapsed="false">
      <c r="B107" s="35"/>
      <c r="D107" s="36"/>
      <c r="E107" s="37"/>
      <c r="F107" s="38"/>
      <c r="J107" s="38"/>
    </row>
    <row r="108" customFormat="false" ht="15" hidden="false" customHeight="false" outlineLevel="0" collapsed="false">
      <c r="B108" s="35"/>
      <c r="D108" s="36"/>
      <c r="E108" s="37"/>
      <c r="F108" s="38"/>
      <c r="J108" s="38"/>
    </row>
    <row r="109" customFormat="false" ht="15" hidden="false" customHeight="false" outlineLevel="0" collapsed="false">
      <c r="B109" s="35"/>
      <c r="D109" s="36"/>
      <c r="E109" s="37"/>
      <c r="F109" s="38"/>
      <c r="J109" s="38"/>
    </row>
    <row r="110" customFormat="false" ht="15" hidden="false" customHeight="false" outlineLevel="0" collapsed="false">
      <c r="B110" s="35"/>
      <c r="D110" s="36"/>
      <c r="E110" s="37"/>
      <c r="F110" s="38"/>
      <c r="J110" s="38"/>
    </row>
    <row r="111" customFormat="false" ht="15" hidden="false" customHeight="false" outlineLevel="0" collapsed="false">
      <c r="B111" s="35"/>
      <c r="D111" s="36"/>
      <c r="E111" s="37"/>
      <c r="F111" s="38"/>
      <c r="J111" s="38"/>
    </row>
    <row r="112" customFormat="false" ht="15" hidden="false" customHeight="false" outlineLevel="0" collapsed="false">
      <c r="B112" s="35"/>
      <c r="D112" s="36"/>
      <c r="E112" s="37"/>
      <c r="F112" s="38"/>
      <c r="J112" s="38"/>
    </row>
    <row r="113" customFormat="false" ht="15" hidden="false" customHeight="false" outlineLevel="0" collapsed="false">
      <c r="B113" s="35"/>
      <c r="D113" s="36"/>
      <c r="E113" s="37"/>
      <c r="F113" s="38"/>
      <c r="J113" s="38"/>
    </row>
    <row r="114" customFormat="false" ht="15" hidden="false" customHeight="false" outlineLevel="0" collapsed="false">
      <c r="B114" s="35"/>
      <c r="D114" s="36"/>
      <c r="E114" s="37"/>
      <c r="F114" s="38"/>
      <c r="J114" s="38"/>
    </row>
    <row r="115" customFormat="false" ht="15" hidden="false" customHeight="false" outlineLevel="0" collapsed="false">
      <c r="B115" s="35"/>
      <c r="D115" s="36"/>
      <c r="E115" s="37"/>
      <c r="F115" s="38"/>
      <c r="J115" s="38"/>
    </row>
    <row r="116" customFormat="false" ht="15" hidden="false" customHeight="false" outlineLevel="0" collapsed="false">
      <c r="B116" s="35"/>
      <c r="D116" s="36"/>
      <c r="E116" s="37"/>
      <c r="F116" s="38"/>
      <c r="J116" s="38"/>
    </row>
    <row r="117" customFormat="false" ht="15" hidden="false" customHeight="false" outlineLevel="0" collapsed="false">
      <c r="B117" s="35"/>
      <c r="D117" s="36"/>
      <c r="E117" s="37"/>
      <c r="F117" s="38"/>
      <c r="J117" s="38"/>
    </row>
    <row r="118" customFormat="false" ht="15" hidden="false" customHeight="false" outlineLevel="0" collapsed="false">
      <c r="B118" s="35"/>
      <c r="D118" s="36"/>
      <c r="E118" s="37"/>
      <c r="F118" s="38"/>
      <c r="J118" s="38"/>
    </row>
    <row r="119" customFormat="false" ht="15" hidden="false" customHeight="false" outlineLevel="0" collapsed="false">
      <c r="B119" s="35"/>
      <c r="D119" s="36"/>
      <c r="E119" s="37"/>
      <c r="F119" s="38"/>
      <c r="J119" s="38"/>
    </row>
    <row r="120" customFormat="false" ht="15" hidden="false" customHeight="false" outlineLevel="0" collapsed="false">
      <c r="B120" s="35"/>
      <c r="D120" s="36"/>
      <c r="E120" s="37"/>
      <c r="F120" s="38"/>
      <c r="J120" s="38"/>
    </row>
    <row r="121" customFormat="false" ht="15" hidden="false" customHeight="false" outlineLevel="0" collapsed="false">
      <c r="B121" s="35"/>
      <c r="D121" s="36"/>
      <c r="E121" s="37"/>
      <c r="F121" s="38"/>
      <c r="J121" s="38"/>
    </row>
    <row r="122" customFormat="false" ht="15" hidden="false" customHeight="false" outlineLevel="0" collapsed="false">
      <c r="B122" s="35"/>
      <c r="D122" s="36"/>
      <c r="E122" s="37"/>
      <c r="F122" s="38"/>
      <c r="J122" s="38"/>
    </row>
    <row r="123" customFormat="false" ht="15" hidden="false" customHeight="false" outlineLevel="0" collapsed="false">
      <c r="B123" s="35"/>
      <c r="D123" s="36"/>
      <c r="E123" s="37"/>
      <c r="F123" s="38"/>
      <c r="J123" s="38"/>
    </row>
    <row r="124" customFormat="false" ht="15" hidden="false" customHeight="false" outlineLevel="0" collapsed="false">
      <c r="B124" s="35"/>
      <c r="D124" s="36"/>
      <c r="E124" s="37"/>
      <c r="F124" s="38"/>
      <c r="J124" s="38"/>
    </row>
    <row r="125" customFormat="false" ht="15" hidden="false" customHeight="false" outlineLevel="0" collapsed="false">
      <c r="B125" s="35"/>
      <c r="D125" s="36"/>
      <c r="E125" s="37"/>
      <c r="F125" s="38"/>
      <c r="J125" s="38"/>
    </row>
    <row r="126" customFormat="false" ht="15" hidden="false" customHeight="false" outlineLevel="0" collapsed="false">
      <c r="B126" s="35"/>
      <c r="D126" s="36"/>
      <c r="E126" s="37"/>
      <c r="F126" s="38"/>
      <c r="J126" s="38"/>
    </row>
    <row r="127" customFormat="false" ht="15" hidden="false" customHeight="false" outlineLevel="0" collapsed="false">
      <c r="B127" s="35"/>
      <c r="D127" s="36"/>
      <c r="E127" s="37"/>
      <c r="F127" s="38"/>
      <c r="J127" s="38"/>
    </row>
    <row r="128" customFormat="false" ht="15" hidden="false" customHeight="false" outlineLevel="0" collapsed="false">
      <c r="B128" s="35"/>
      <c r="D128" s="36"/>
      <c r="E128" s="37"/>
      <c r="F128" s="38"/>
      <c r="J128" s="38"/>
    </row>
    <row r="129" customFormat="false" ht="15" hidden="false" customHeight="false" outlineLevel="0" collapsed="false">
      <c r="B129" s="35"/>
      <c r="D129" s="36"/>
      <c r="E129" s="37"/>
      <c r="F129" s="38"/>
      <c r="J129" s="38"/>
    </row>
    <row r="130" customFormat="false" ht="15" hidden="false" customHeight="false" outlineLevel="0" collapsed="false">
      <c r="B130" s="35"/>
      <c r="D130" s="36"/>
      <c r="E130" s="37"/>
      <c r="F130" s="38"/>
      <c r="J130" s="38"/>
    </row>
    <row r="131" customFormat="false" ht="15" hidden="false" customHeight="false" outlineLevel="0" collapsed="false">
      <c r="B131" s="35"/>
      <c r="D131" s="36"/>
      <c r="E131" s="37"/>
      <c r="F131" s="38"/>
      <c r="J131" s="38"/>
    </row>
    <row r="132" customFormat="false" ht="15" hidden="false" customHeight="false" outlineLevel="0" collapsed="false">
      <c r="B132" s="35"/>
      <c r="D132" s="36"/>
      <c r="E132" s="37"/>
      <c r="F132" s="38"/>
      <c r="J132" s="38"/>
    </row>
    <row r="133" customFormat="false" ht="15" hidden="false" customHeight="false" outlineLevel="0" collapsed="false">
      <c r="B133" s="35"/>
      <c r="D133" s="36"/>
      <c r="E133" s="37"/>
      <c r="F133" s="38"/>
      <c r="J133" s="38"/>
    </row>
    <row r="134" customFormat="false" ht="15" hidden="false" customHeight="false" outlineLevel="0" collapsed="false">
      <c r="B134" s="35"/>
      <c r="D134" s="36"/>
      <c r="E134" s="37"/>
      <c r="F134" s="38"/>
      <c r="J134" s="38"/>
    </row>
    <row r="135" customFormat="false" ht="15" hidden="false" customHeight="false" outlineLevel="0" collapsed="false">
      <c r="B135" s="35"/>
      <c r="D135" s="36"/>
      <c r="E135" s="37"/>
      <c r="F135" s="38"/>
      <c r="J135" s="38"/>
    </row>
    <row r="136" customFormat="false" ht="15" hidden="false" customHeight="false" outlineLevel="0" collapsed="false">
      <c r="B136" s="35"/>
      <c r="D136" s="36"/>
      <c r="E136" s="37"/>
      <c r="F136" s="38"/>
      <c r="J136" s="38"/>
    </row>
    <row r="137" customFormat="false" ht="15" hidden="false" customHeight="false" outlineLevel="0" collapsed="false">
      <c r="B137" s="35"/>
      <c r="D137" s="36"/>
      <c r="E137" s="37"/>
      <c r="F137" s="38"/>
      <c r="J137" s="38"/>
    </row>
    <row r="138" customFormat="false" ht="15" hidden="false" customHeight="false" outlineLevel="0" collapsed="false">
      <c r="B138" s="35"/>
      <c r="D138" s="36"/>
      <c r="E138" s="37"/>
      <c r="F138" s="38"/>
      <c r="J138" s="38"/>
    </row>
    <row r="139" customFormat="false" ht="15" hidden="false" customHeight="false" outlineLevel="0" collapsed="false">
      <c r="B139" s="35"/>
      <c r="D139" s="36"/>
      <c r="E139" s="37"/>
      <c r="F139" s="38"/>
      <c r="J139" s="38"/>
    </row>
    <row r="140" customFormat="false" ht="15" hidden="false" customHeight="false" outlineLevel="0" collapsed="false">
      <c r="B140" s="35"/>
      <c r="D140" s="36"/>
      <c r="E140" s="37"/>
      <c r="F140" s="38"/>
      <c r="J140" s="38"/>
    </row>
    <row r="141" customFormat="false" ht="15" hidden="false" customHeight="false" outlineLevel="0" collapsed="false">
      <c r="B141" s="35"/>
      <c r="D141" s="36"/>
      <c r="E141" s="37"/>
      <c r="F141" s="38"/>
      <c r="J141" s="38"/>
    </row>
    <row r="142" customFormat="false" ht="15" hidden="false" customHeight="false" outlineLevel="0" collapsed="false">
      <c r="B142" s="35"/>
      <c r="D142" s="36"/>
      <c r="E142" s="37"/>
      <c r="F142" s="38"/>
      <c r="J142" s="38"/>
    </row>
    <row r="143" customFormat="false" ht="15" hidden="false" customHeight="false" outlineLevel="0" collapsed="false">
      <c r="B143" s="35"/>
      <c r="D143" s="36"/>
      <c r="E143" s="37"/>
      <c r="F143" s="38"/>
      <c r="J143" s="38"/>
    </row>
    <row r="144" customFormat="false" ht="15" hidden="false" customHeight="false" outlineLevel="0" collapsed="false">
      <c r="B144" s="35"/>
      <c r="D144" s="36"/>
      <c r="E144" s="37"/>
      <c r="F144" s="38"/>
      <c r="J144" s="38"/>
    </row>
    <row r="145" customFormat="false" ht="15" hidden="false" customHeight="false" outlineLevel="0" collapsed="false">
      <c r="B145" s="35"/>
      <c r="D145" s="36"/>
      <c r="E145" s="37"/>
      <c r="F145" s="38"/>
      <c r="J145" s="38"/>
    </row>
    <row r="146" customFormat="false" ht="15" hidden="false" customHeight="false" outlineLevel="0" collapsed="false">
      <c r="B146" s="35"/>
      <c r="D146" s="36"/>
      <c r="E146" s="37"/>
      <c r="F146" s="38"/>
      <c r="J146" s="38"/>
    </row>
    <row r="147" customFormat="false" ht="15" hidden="false" customHeight="false" outlineLevel="0" collapsed="false">
      <c r="B147" s="35"/>
      <c r="D147" s="36"/>
      <c r="E147" s="37"/>
      <c r="F147" s="38"/>
      <c r="J147" s="38"/>
    </row>
    <row r="148" customFormat="false" ht="15" hidden="false" customHeight="false" outlineLevel="0" collapsed="false">
      <c r="B148" s="35"/>
      <c r="D148" s="36"/>
      <c r="E148" s="37"/>
      <c r="F148" s="38"/>
      <c r="J148" s="38"/>
    </row>
    <row r="149" customFormat="false" ht="15" hidden="false" customHeight="false" outlineLevel="0" collapsed="false">
      <c r="B149" s="35"/>
      <c r="D149" s="36"/>
      <c r="E149" s="37"/>
      <c r="F149" s="38"/>
      <c r="J149" s="38"/>
    </row>
    <row r="150" customFormat="false" ht="15" hidden="false" customHeight="false" outlineLevel="0" collapsed="false">
      <c r="B150" s="35"/>
      <c r="D150" s="36"/>
      <c r="E150" s="37"/>
      <c r="F150" s="38"/>
      <c r="J150" s="38"/>
    </row>
    <row r="151" customFormat="false" ht="15" hidden="false" customHeight="false" outlineLevel="0" collapsed="false">
      <c r="B151" s="35"/>
      <c r="D151" s="36"/>
      <c r="E151" s="37"/>
      <c r="F151" s="38"/>
      <c r="J151" s="38"/>
    </row>
    <row r="152" customFormat="false" ht="15" hidden="false" customHeight="false" outlineLevel="0" collapsed="false">
      <c r="B152" s="35"/>
      <c r="D152" s="36"/>
      <c r="E152" s="37"/>
      <c r="F152" s="38"/>
      <c r="J152" s="38"/>
    </row>
    <row r="153" customFormat="false" ht="15" hidden="false" customHeight="false" outlineLevel="0" collapsed="false">
      <c r="B153" s="35"/>
      <c r="D153" s="36"/>
      <c r="E153" s="37"/>
      <c r="F153" s="38"/>
      <c r="J153" s="38"/>
    </row>
    <row r="154" customFormat="false" ht="15" hidden="false" customHeight="false" outlineLevel="0" collapsed="false">
      <c r="B154" s="35"/>
      <c r="D154" s="36"/>
      <c r="E154" s="37"/>
      <c r="F154" s="38"/>
      <c r="J154" s="38"/>
    </row>
    <row r="155" customFormat="false" ht="15" hidden="false" customHeight="false" outlineLevel="0" collapsed="false">
      <c r="B155" s="35"/>
      <c r="D155" s="36"/>
      <c r="E155" s="37"/>
      <c r="F155" s="38"/>
      <c r="J155" s="38"/>
    </row>
    <row r="156" customFormat="false" ht="15" hidden="false" customHeight="false" outlineLevel="0" collapsed="false">
      <c r="B156" s="35"/>
      <c r="D156" s="36"/>
      <c r="E156" s="37"/>
      <c r="F156" s="38"/>
      <c r="J156" s="38"/>
    </row>
    <row r="157" customFormat="false" ht="15" hidden="false" customHeight="false" outlineLevel="0" collapsed="false">
      <c r="B157" s="35"/>
      <c r="D157" s="36"/>
      <c r="E157" s="37"/>
      <c r="F157" s="38"/>
      <c r="J157" s="38"/>
    </row>
    <row r="158" customFormat="false" ht="15" hidden="false" customHeight="false" outlineLevel="0" collapsed="false">
      <c r="B158" s="35"/>
      <c r="D158" s="36"/>
      <c r="E158" s="37"/>
      <c r="F158" s="38"/>
      <c r="J158" s="38"/>
    </row>
    <row r="159" customFormat="false" ht="15" hidden="false" customHeight="false" outlineLevel="0" collapsed="false">
      <c r="B159" s="35"/>
      <c r="D159" s="36"/>
      <c r="E159" s="37"/>
      <c r="F159" s="38"/>
      <c r="J159" s="38"/>
    </row>
    <row r="160" customFormat="false" ht="15" hidden="false" customHeight="false" outlineLevel="0" collapsed="false">
      <c r="B160" s="35"/>
      <c r="D160" s="36"/>
      <c r="E160" s="37"/>
      <c r="F160" s="38"/>
      <c r="J160" s="38"/>
    </row>
    <row r="161" customFormat="false" ht="15" hidden="false" customHeight="false" outlineLevel="0" collapsed="false">
      <c r="B161" s="35"/>
      <c r="D161" s="36"/>
      <c r="E161" s="37"/>
      <c r="F161" s="38"/>
      <c r="J161" s="38"/>
    </row>
    <row r="162" customFormat="false" ht="15" hidden="false" customHeight="false" outlineLevel="0" collapsed="false">
      <c r="B162" s="35"/>
      <c r="D162" s="36"/>
      <c r="E162" s="37"/>
      <c r="F162" s="38"/>
      <c r="J162" s="38"/>
    </row>
    <row r="163" customFormat="false" ht="15" hidden="false" customHeight="false" outlineLevel="0" collapsed="false">
      <c r="B163" s="35"/>
      <c r="D163" s="36"/>
      <c r="E163" s="37"/>
      <c r="F163" s="38"/>
      <c r="J163" s="38"/>
    </row>
    <row r="164" customFormat="false" ht="15" hidden="false" customHeight="false" outlineLevel="0" collapsed="false">
      <c r="B164" s="35"/>
      <c r="D164" s="36"/>
      <c r="E164" s="37"/>
      <c r="F164" s="38"/>
      <c r="J164" s="38"/>
    </row>
    <row r="165" customFormat="false" ht="15" hidden="false" customHeight="false" outlineLevel="0" collapsed="false">
      <c r="B165" s="35"/>
      <c r="D165" s="36"/>
      <c r="E165" s="37"/>
      <c r="F165" s="38"/>
      <c r="J165" s="38"/>
    </row>
    <row r="166" customFormat="false" ht="15" hidden="false" customHeight="false" outlineLevel="0" collapsed="false">
      <c r="B166" s="35"/>
      <c r="D166" s="36"/>
      <c r="E166" s="37"/>
      <c r="F166" s="38"/>
      <c r="J166" s="38"/>
    </row>
    <row r="167" customFormat="false" ht="15" hidden="false" customHeight="false" outlineLevel="0" collapsed="false">
      <c r="B167" s="35"/>
      <c r="D167" s="36"/>
      <c r="E167" s="37"/>
      <c r="F167" s="38"/>
      <c r="J167" s="38"/>
    </row>
    <row r="168" customFormat="false" ht="15" hidden="false" customHeight="false" outlineLevel="0" collapsed="false">
      <c r="B168" s="35"/>
      <c r="D168" s="36"/>
      <c r="E168" s="37"/>
      <c r="F168" s="38"/>
      <c r="J168" s="38"/>
    </row>
    <row r="169" customFormat="false" ht="15" hidden="false" customHeight="false" outlineLevel="0" collapsed="false">
      <c r="B169" s="35"/>
      <c r="D169" s="36"/>
      <c r="E169" s="37"/>
      <c r="F169" s="38"/>
      <c r="J169" s="38"/>
    </row>
    <row r="170" customFormat="false" ht="15" hidden="false" customHeight="false" outlineLevel="0" collapsed="false">
      <c r="B170" s="35"/>
      <c r="D170" s="36"/>
      <c r="E170" s="37"/>
      <c r="F170" s="38"/>
      <c r="J170" s="38"/>
    </row>
    <row r="171" customFormat="false" ht="15" hidden="false" customHeight="false" outlineLevel="0" collapsed="false">
      <c r="B171" s="35"/>
      <c r="D171" s="36"/>
      <c r="E171" s="37"/>
      <c r="F171" s="38"/>
      <c r="J171" s="38"/>
    </row>
    <row r="172" customFormat="false" ht="15" hidden="false" customHeight="false" outlineLevel="0" collapsed="false">
      <c r="B172" s="35"/>
      <c r="D172" s="36"/>
      <c r="E172" s="37"/>
      <c r="F172" s="38"/>
      <c r="J172" s="38"/>
    </row>
    <row r="173" customFormat="false" ht="15" hidden="false" customHeight="false" outlineLevel="0" collapsed="false">
      <c r="B173" s="35"/>
      <c r="D173" s="36"/>
      <c r="E173" s="37"/>
      <c r="F173" s="38"/>
      <c r="J173" s="38"/>
    </row>
    <row r="174" customFormat="false" ht="15" hidden="false" customHeight="false" outlineLevel="0" collapsed="false">
      <c r="B174" s="35"/>
      <c r="D174" s="36"/>
      <c r="E174" s="37"/>
      <c r="F174" s="38"/>
      <c r="J174" s="38"/>
    </row>
    <row r="175" customFormat="false" ht="15" hidden="false" customHeight="false" outlineLevel="0" collapsed="false">
      <c r="B175" s="35"/>
      <c r="D175" s="36"/>
      <c r="E175" s="37"/>
      <c r="F175" s="38"/>
      <c r="J175" s="38"/>
    </row>
    <row r="176" customFormat="false" ht="15" hidden="false" customHeight="false" outlineLevel="0" collapsed="false">
      <c r="B176" s="35"/>
      <c r="D176" s="36"/>
      <c r="E176" s="37"/>
      <c r="F176" s="38"/>
      <c r="J176" s="38"/>
    </row>
    <row r="177" customFormat="false" ht="15" hidden="false" customHeight="false" outlineLevel="0" collapsed="false">
      <c r="B177" s="35"/>
      <c r="D177" s="36"/>
      <c r="E177" s="37"/>
      <c r="F177" s="38"/>
      <c r="J177" s="38"/>
    </row>
    <row r="178" customFormat="false" ht="15" hidden="false" customHeight="false" outlineLevel="0" collapsed="false">
      <c r="B178" s="35"/>
      <c r="D178" s="36"/>
      <c r="E178" s="37"/>
      <c r="F178" s="38"/>
      <c r="J178" s="38"/>
    </row>
    <row r="179" customFormat="false" ht="15" hidden="false" customHeight="false" outlineLevel="0" collapsed="false">
      <c r="B179" s="35"/>
      <c r="D179" s="36"/>
      <c r="E179" s="37"/>
      <c r="F179" s="38"/>
      <c r="J179" s="38"/>
    </row>
    <row r="180" customFormat="false" ht="15" hidden="false" customHeight="false" outlineLevel="0" collapsed="false">
      <c r="B180" s="35"/>
      <c r="D180" s="36"/>
      <c r="E180" s="37"/>
      <c r="F180" s="38"/>
      <c r="J180" s="38"/>
    </row>
    <row r="181" customFormat="false" ht="15" hidden="false" customHeight="false" outlineLevel="0" collapsed="false">
      <c r="B181" s="35"/>
      <c r="D181" s="36"/>
      <c r="E181" s="37"/>
      <c r="F181" s="38"/>
      <c r="J181" s="38"/>
    </row>
    <row r="182" customFormat="false" ht="15" hidden="false" customHeight="false" outlineLevel="0" collapsed="false">
      <c r="B182" s="35"/>
      <c r="D182" s="36"/>
      <c r="E182" s="37"/>
      <c r="F182" s="38"/>
      <c r="J182" s="38"/>
    </row>
    <row r="183" customFormat="false" ht="15" hidden="false" customHeight="false" outlineLevel="0" collapsed="false">
      <c r="B183" s="35"/>
      <c r="D183" s="36"/>
      <c r="E183" s="37"/>
      <c r="F183" s="38"/>
      <c r="J183" s="38"/>
    </row>
    <row r="184" customFormat="false" ht="15" hidden="false" customHeight="false" outlineLevel="0" collapsed="false">
      <c r="B184" s="35"/>
      <c r="D184" s="36"/>
      <c r="E184" s="37"/>
      <c r="F184" s="38"/>
      <c r="J184" s="38"/>
    </row>
    <row r="185" customFormat="false" ht="15" hidden="false" customHeight="false" outlineLevel="0" collapsed="false">
      <c r="B185" s="35"/>
      <c r="D185" s="36"/>
      <c r="E185" s="37"/>
      <c r="F185" s="38"/>
      <c r="J185" s="38"/>
    </row>
    <row r="186" customFormat="false" ht="15" hidden="false" customHeight="false" outlineLevel="0" collapsed="false">
      <c r="B186" s="35"/>
      <c r="D186" s="36"/>
      <c r="E186" s="37"/>
      <c r="F186" s="38"/>
      <c r="J186" s="38"/>
    </row>
    <row r="187" customFormat="false" ht="15" hidden="false" customHeight="false" outlineLevel="0" collapsed="false">
      <c r="B187" s="35"/>
      <c r="D187" s="36"/>
      <c r="E187" s="37"/>
      <c r="F187" s="38"/>
      <c r="J187" s="38"/>
    </row>
    <row r="188" customFormat="false" ht="15" hidden="false" customHeight="false" outlineLevel="0" collapsed="false">
      <c r="B188" s="35"/>
      <c r="D188" s="36"/>
      <c r="E188" s="37"/>
      <c r="F188" s="38"/>
      <c r="J188" s="38"/>
    </row>
    <row r="189" customFormat="false" ht="15" hidden="false" customHeight="false" outlineLevel="0" collapsed="false">
      <c r="B189" s="35"/>
      <c r="D189" s="36"/>
      <c r="E189" s="37"/>
      <c r="F189" s="38"/>
      <c r="J189" s="38"/>
    </row>
    <row r="190" customFormat="false" ht="15" hidden="false" customHeight="false" outlineLevel="0" collapsed="false">
      <c r="B190" s="35"/>
      <c r="D190" s="36"/>
      <c r="E190" s="37"/>
      <c r="F190" s="38"/>
      <c r="J190" s="38"/>
    </row>
    <row r="191" customFormat="false" ht="15" hidden="false" customHeight="false" outlineLevel="0" collapsed="false">
      <c r="B191" s="35"/>
      <c r="D191" s="36"/>
      <c r="E191" s="37"/>
      <c r="F191" s="38"/>
      <c r="J191" s="38"/>
    </row>
    <row r="192" customFormat="false" ht="15" hidden="false" customHeight="false" outlineLevel="0" collapsed="false">
      <c r="B192" s="35"/>
      <c r="D192" s="36"/>
      <c r="E192" s="37"/>
      <c r="F192" s="38"/>
      <c r="J192" s="38"/>
    </row>
    <row r="193" customFormat="false" ht="15" hidden="false" customHeight="false" outlineLevel="0" collapsed="false">
      <c r="B193" s="35"/>
      <c r="D193" s="36"/>
      <c r="E193" s="37"/>
      <c r="F193" s="38"/>
      <c r="J193" s="38"/>
    </row>
    <row r="194" customFormat="false" ht="15" hidden="false" customHeight="false" outlineLevel="0" collapsed="false">
      <c r="B194" s="35"/>
      <c r="D194" s="36"/>
      <c r="E194" s="37"/>
      <c r="F194" s="38"/>
      <c r="J194" s="38"/>
    </row>
    <row r="195" customFormat="false" ht="15" hidden="false" customHeight="false" outlineLevel="0" collapsed="false">
      <c r="B195" s="35"/>
      <c r="D195" s="36"/>
      <c r="E195" s="37"/>
      <c r="F195" s="38"/>
      <c r="J195" s="38"/>
    </row>
    <row r="196" customFormat="false" ht="15" hidden="false" customHeight="false" outlineLevel="0" collapsed="false">
      <c r="B196" s="35"/>
      <c r="D196" s="36"/>
      <c r="E196" s="37"/>
      <c r="F196" s="38"/>
      <c r="J196" s="38"/>
    </row>
    <row r="197" customFormat="false" ht="15" hidden="false" customHeight="false" outlineLevel="0" collapsed="false">
      <c r="B197" s="35"/>
      <c r="D197" s="36"/>
      <c r="E197" s="37"/>
      <c r="F197" s="38"/>
      <c r="J197" s="38"/>
    </row>
    <row r="198" customFormat="false" ht="15" hidden="false" customHeight="false" outlineLevel="0" collapsed="false">
      <c r="B198" s="35"/>
      <c r="D198" s="36"/>
      <c r="E198" s="37"/>
      <c r="F198" s="38"/>
      <c r="J198" s="38"/>
    </row>
    <row r="199" customFormat="false" ht="15" hidden="false" customHeight="false" outlineLevel="0" collapsed="false">
      <c r="B199" s="35"/>
      <c r="D199" s="36"/>
      <c r="E199" s="37"/>
      <c r="F199" s="38"/>
      <c r="J199" s="38"/>
    </row>
    <row r="200" customFormat="false" ht="15" hidden="false" customHeight="false" outlineLevel="0" collapsed="false">
      <c r="B200" s="35"/>
      <c r="D200" s="36"/>
      <c r="E200" s="37"/>
      <c r="F200" s="38"/>
      <c r="J200" s="38"/>
    </row>
    <row r="201" customFormat="false" ht="15" hidden="false" customHeight="false" outlineLevel="0" collapsed="false">
      <c r="B201" s="35"/>
      <c r="D201" s="36"/>
      <c r="E201" s="37"/>
      <c r="F201" s="38"/>
      <c r="J201" s="38"/>
    </row>
    <row r="202" customFormat="false" ht="15" hidden="false" customHeight="false" outlineLevel="0" collapsed="false">
      <c r="B202" s="35"/>
      <c r="D202" s="36"/>
      <c r="E202" s="37"/>
      <c r="F202" s="38"/>
      <c r="J202" s="38"/>
    </row>
    <row r="203" customFormat="false" ht="15" hidden="false" customHeight="false" outlineLevel="0" collapsed="false">
      <c r="B203" s="35"/>
      <c r="D203" s="36"/>
      <c r="E203" s="37"/>
      <c r="F203" s="38"/>
      <c r="J203" s="38"/>
    </row>
    <row r="204" customFormat="false" ht="15" hidden="false" customHeight="false" outlineLevel="0" collapsed="false">
      <c r="B204" s="35"/>
      <c r="D204" s="36"/>
      <c r="E204" s="37"/>
      <c r="F204" s="38"/>
      <c r="J204" s="38"/>
    </row>
    <row r="205" customFormat="false" ht="15" hidden="false" customHeight="false" outlineLevel="0" collapsed="false">
      <c r="B205" s="35"/>
      <c r="D205" s="36"/>
      <c r="E205" s="37"/>
      <c r="F205" s="38"/>
      <c r="J205" s="38"/>
    </row>
    <row r="206" customFormat="false" ht="15" hidden="false" customHeight="false" outlineLevel="0" collapsed="false">
      <c r="B206" s="35"/>
      <c r="D206" s="36"/>
      <c r="E206" s="37"/>
      <c r="F206" s="38"/>
      <c r="J206" s="38"/>
    </row>
    <row r="207" customFormat="false" ht="15" hidden="false" customHeight="false" outlineLevel="0" collapsed="false">
      <c r="B207" s="35"/>
      <c r="D207" s="36"/>
      <c r="E207" s="37"/>
      <c r="F207" s="38"/>
      <c r="J207" s="38"/>
    </row>
    <row r="208" customFormat="false" ht="15" hidden="false" customHeight="false" outlineLevel="0" collapsed="false">
      <c r="B208" s="35"/>
      <c r="D208" s="36"/>
      <c r="E208" s="37"/>
      <c r="F208" s="38"/>
      <c r="J208" s="38"/>
    </row>
    <row r="209" customFormat="false" ht="15" hidden="false" customHeight="false" outlineLevel="0" collapsed="false">
      <c r="B209" s="35"/>
      <c r="D209" s="36"/>
      <c r="E209" s="37"/>
      <c r="F209" s="38"/>
      <c r="J209" s="38"/>
    </row>
    <row r="210" customFormat="false" ht="15" hidden="false" customHeight="false" outlineLevel="0" collapsed="false">
      <c r="B210" s="35"/>
      <c r="D210" s="36"/>
      <c r="E210" s="37"/>
      <c r="F210" s="38"/>
      <c r="J210" s="38"/>
    </row>
    <row r="211" customFormat="false" ht="15" hidden="false" customHeight="false" outlineLevel="0" collapsed="false">
      <c r="B211" s="35"/>
      <c r="D211" s="36"/>
      <c r="E211" s="37"/>
      <c r="F211" s="38"/>
      <c r="J211" s="38"/>
    </row>
    <row r="212" customFormat="false" ht="15" hidden="false" customHeight="false" outlineLevel="0" collapsed="false">
      <c r="B212" s="35"/>
      <c r="D212" s="36"/>
      <c r="E212" s="37"/>
      <c r="F212" s="38"/>
      <c r="J212" s="38"/>
    </row>
    <row r="213" customFormat="false" ht="15" hidden="false" customHeight="false" outlineLevel="0" collapsed="false">
      <c r="B213" s="35"/>
      <c r="D213" s="36"/>
      <c r="E213" s="37"/>
      <c r="F213" s="38"/>
      <c r="J213" s="38"/>
    </row>
    <row r="214" customFormat="false" ht="15" hidden="false" customHeight="false" outlineLevel="0" collapsed="false">
      <c r="B214" s="35"/>
      <c r="D214" s="36"/>
      <c r="E214" s="37"/>
      <c r="F214" s="38"/>
      <c r="J214" s="38"/>
    </row>
    <row r="215" customFormat="false" ht="15" hidden="false" customHeight="false" outlineLevel="0" collapsed="false">
      <c r="B215" s="35"/>
      <c r="D215" s="36"/>
      <c r="E215" s="37"/>
      <c r="F215" s="38"/>
      <c r="J215" s="38"/>
    </row>
    <row r="216" customFormat="false" ht="15" hidden="false" customHeight="false" outlineLevel="0" collapsed="false">
      <c r="B216" s="35"/>
      <c r="D216" s="36"/>
      <c r="E216" s="37"/>
      <c r="F216" s="38"/>
      <c r="J216" s="38"/>
    </row>
    <row r="217" customFormat="false" ht="15" hidden="false" customHeight="false" outlineLevel="0" collapsed="false">
      <c r="B217" s="35"/>
      <c r="D217" s="36"/>
      <c r="E217" s="37"/>
      <c r="F217" s="38"/>
      <c r="J217" s="38"/>
    </row>
    <row r="218" customFormat="false" ht="15" hidden="false" customHeight="false" outlineLevel="0" collapsed="false">
      <c r="B218" s="35"/>
      <c r="D218" s="36"/>
      <c r="E218" s="37"/>
      <c r="F218" s="38"/>
      <c r="J218" s="38"/>
    </row>
    <row r="219" customFormat="false" ht="15" hidden="false" customHeight="false" outlineLevel="0" collapsed="false">
      <c r="B219" s="35"/>
      <c r="D219" s="36"/>
      <c r="E219" s="37"/>
      <c r="F219" s="38"/>
      <c r="J219" s="38"/>
    </row>
    <row r="220" customFormat="false" ht="15" hidden="false" customHeight="false" outlineLevel="0" collapsed="false">
      <c r="B220" s="35"/>
      <c r="D220" s="36"/>
      <c r="E220" s="37"/>
      <c r="F220" s="38"/>
      <c r="J220" s="38"/>
    </row>
    <row r="221" customFormat="false" ht="15" hidden="false" customHeight="false" outlineLevel="0" collapsed="false">
      <c r="B221" s="35"/>
      <c r="D221" s="36"/>
      <c r="E221" s="37"/>
      <c r="F221" s="38"/>
      <c r="J221" s="38"/>
    </row>
    <row r="222" customFormat="false" ht="15" hidden="false" customHeight="false" outlineLevel="0" collapsed="false">
      <c r="B222" s="35"/>
      <c r="D222" s="36"/>
      <c r="E222" s="37"/>
      <c r="F222" s="38"/>
      <c r="J222" s="38"/>
    </row>
    <row r="223" customFormat="false" ht="15" hidden="false" customHeight="false" outlineLevel="0" collapsed="false">
      <c r="B223" s="35"/>
      <c r="D223" s="36"/>
      <c r="E223" s="37"/>
      <c r="F223" s="38"/>
      <c r="J223" s="38"/>
    </row>
    <row r="224" customFormat="false" ht="15" hidden="false" customHeight="false" outlineLevel="0" collapsed="false">
      <c r="B224" s="35"/>
      <c r="D224" s="36"/>
      <c r="E224" s="37"/>
      <c r="F224" s="38"/>
      <c r="J224" s="38"/>
    </row>
    <row r="225" customFormat="false" ht="15" hidden="false" customHeight="false" outlineLevel="0" collapsed="false">
      <c r="B225" s="35"/>
      <c r="D225" s="36"/>
      <c r="E225" s="37"/>
      <c r="F225" s="38"/>
      <c r="J225" s="38"/>
    </row>
    <row r="226" customFormat="false" ht="15" hidden="false" customHeight="false" outlineLevel="0" collapsed="false">
      <c r="B226" s="35"/>
      <c r="D226" s="36"/>
      <c r="E226" s="37"/>
      <c r="F226" s="38"/>
      <c r="J226" s="38"/>
    </row>
    <row r="227" customFormat="false" ht="15" hidden="false" customHeight="false" outlineLevel="0" collapsed="false">
      <c r="B227" s="35"/>
      <c r="D227" s="36"/>
      <c r="E227" s="37"/>
      <c r="F227" s="38"/>
      <c r="J227" s="38"/>
    </row>
    <row r="228" customFormat="false" ht="15" hidden="false" customHeight="false" outlineLevel="0" collapsed="false">
      <c r="B228" s="35"/>
      <c r="D228" s="36"/>
      <c r="E228" s="37"/>
      <c r="F228" s="38"/>
      <c r="J228" s="38"/>
    </row>
    <row r="229" customFormat="false" ht="15" hidden="false" customHeight="false" outlineLevel="0" collapsed="false">
      <c r="B229" s="35"/>
      <c r="D229" s="36"/>
      <c r="E229" s="37"/>
      <c r="F229" s="38"/>
      <c r="J229" s="38"/>
    </row>
    <row r="230" customFormat="false" ht="15" hidden="false" customHeight="false" outlineLevel="0" collapsed="false">
      <c r="B230" s="35"/>
      <c r="D230" s="36"/>
      <c r="E230" s="37"/>
      <c r="F230" s="38"/>
      <c r="J230" s="38"/>
    </row>
    <row r="231" customFormat="false" ht="15" hidden="false" customHeight="false" outlineLevel="0" collapsed="false">
      <c r="B231" s="35"/>
      <c r="D231" s="36"/>
      <c r="E231" s="37"/>
      <c r="F231" s="38"/>
      <c r="J231" s="38"/>
    </row>
    <row r="232" customFormat="false" ht="15" hidden="false" customHeight="false" outlineLevel="0" collapsed="false">
      <c r="B232" s="35"/>
      <c r="D232" s="36"/>
      <c r="E232" s="37"/>
      <c r="F232" s="38"/>
      <c r="J232" s="38"/>
    </row>
    <row r="233" customFormat="false" ht="15" hidden="false" customHeight="false" outlineLevel="0" collapsed="false">
      <c r="B233" s="35"/>
      <c r="D233" s="36"/>
      <c r="E233" s="37"/>
      <c r="F233" s="38"/>
      <c r="J233" s="38"/>
    </row>
    <row r="234" customFormat="false" ht="15" hidden="false" customHeight="false" outlineLevel="0" collapsed="false">
      <c r="B234" s="35"/>
      <c r="D234" s="36"/>
      <c r="E234" s="37"/>
      <c r="F234" s="38"/>
      <c r="J234" s="38"/>
    </row>
    <row r="235" customFormat="false" ht="15" hidden="false" customHeight="false" outlineLevel="0" collapsed="false">
      <c r="B235" s="35"/>
      <c r="D235" s="36"/>
      <c r="E235" s="37"/>
      <c r="F235" s="38"/>
      <c r="J235" s="38"/>
    </row>
    <row r="236" customFormat="false" ht="15" hidden="false" customHeight="false" outlineLevel="0" collapsed="false">
      <c r="B236" s="35"/>
      <c r="D236" s="36"/>
      <c r="E236" s="37"/>
      <c r="F236" s="38"/>
      <c r="J236" s="38"/>
    </row>
    <row r="237" customFormat="false" ht="15" hidden="false" customHeight="false" outlineLevel="0" collapsed="false">
      <c r="B237" s="35"/>
      <c r="D237" s="36"/>
      <c r="E237" s="37"/>
      <c r="F237" s="38"/>
      <c r="J237" s="38"/>
    </row>
    <row r="238" customFormat="false" ht="15" hidden="false" customHeight="false" outlineLevel="0" collapsed="false">
      <c r="B238" s="35"/>
      <c r="D238" s="36"/>
      <c r="E238" s="37"/>
      <c r="F238" s="38"/>
      <c r="J238" s="38"/>
    </row>
    <row r="239" customFormat="false" ht="15" hidden="false" customHeight="false" outlineLevel="0" collapsed="false">
      <c r="B239" s="35"/>
      <c r="D239" s="36"/>
      <c r="E239" s="37"/>
      <c r="F239" s="38"/>
      <c r="J239" s="38"/>
    </row>
    <row r="240" customFormat="false" ht="15" hidden="false" customHeight="false" outlineLevel="0" collapsed="false">
      <c r="B240" s="35"/>
      <c r="D240" s="36"/>
      <c r="E240" s="37"/>
      <c r="F240" s="38"/>
      <c r="J240" s="38"/>
    </row>
    <row r="241" customFormat="false" ht="15" hidden="false" customHeight="false" outlineLevel="0" collapsed="false">
      <c r="B241" s="35"/>
      <c r="D241" s="36"/>
      <c r="E241" s="37"/>
      <c r="F241" s="38"/>
      <c r="J241" s="38"/>
    </row>
    <row r="242" customFormat="false" ht="15" hidden="false" customHeight="false" outlineLevel="0" collapsed="false">
      <c r="B242" s="35"/>
      <c r="D242" s="36"/>
      <c r="E242" s="37"/>
      <c r="F242" s="38"/>
      <c r="J242" s="38"/>
    </row>
    <row r="243" customFormat="false" ht="15" hidden="false" customHeight="false" outlineLevel="0" collapsed="false">
      <c r="B243" s="35"/>
      <c r="D243" s="36"/>
      <c r="E243" s="37"/>
      <c r="F243" s="38"/>
      <c r="J243" s="38"/>
    </row>
    <row r="244" customFormat="false" ht="15" hidden="false" customHeight="false" outlineLevel="0" collapsed="false">
      <c r="B244" s="35"/>
      <c r="D244" s="36"/>
      <c r="E244" s="37"/>
      <c r="F244" s="38"/>
      <c r="J244" s="38"/>
    </row>
    <row r="245" customFormat="false" ht="15" hidden="false" customHeight="false" outlineLevel="0" collapsed="false">
      <c r="B245" s="35"/>
      <c r="D245" s="36"/>
      <c r="E245" s="37"/>
      <c r="F245" s="38"/>
      <c r="J245" s="38"/>
    </row>
    <row r="246" customFormat="false" ht="15" hidden="false" customHeight="false" outlineLevel="0" collapsed="false">
      <c r="B246" s="35"/>
      <c r="D246" s="36"/>
      <c r="E246" s="37"/>
      <c r="F246" s="38"/>
      <c r="J246" s="38"/>
    </row>
    <row r="247" customFormat="false" ht="15" hidden="false" customHeight="false" outlineLevel="0" collapsed="false">
      <c r="B247" s="35"/>
      <c r="D247" s="36"/>
      <c r="E247" s="37"/>
      <c r="F247" s="38"/>
      <c r="J247" s="38"/>
    </row>
    <row r="248" customFormat="false" ht="15" hidden="false" customHeight="false" outlineLevel="0" collapsed="false">
      <c r="B248" s="35"/>
      <c r="D248" s="36"/>
      <c r="E248" s="37"/>
      <c r="F248" s="38"/>
      <c r="J248" s="38"/>
    </row>
    <row r="249" customFormat="false" ht="15" hidden="false" customHeight="false" outlineLevel="0" collapsed="false">
      <c r="B249" s="35"/>
      <c r="D249" s="36"/>
      <c r="E249" s="37"/>
      <c r="F249" s="38"/>
      <c r="J249" s="38"/>
    </row>
    <row r="250" customFormat="false" ht="15" hidden="false" customHeight="false" outlineLevel="0" collapsed="false">
      <c r="B250" s="35"/>
      <c r="D250" s="36"/>
      <c r="E250" s="37"/>
      <c r="F250" s="38"/>
      <c r="J250" s="38"/>
    </row>
    <row r="251" customFormat="false" ht="15" hidden="false" customHeight="false" outlineLevel="0" collapsed="false">
      <c r="B251" s="35"/>
      <c r="D251" s="36"/>
      <c r="E251" s="37"/>
      <c r="F251" s="38"/>
      <c r="J251" s="38"/>
    </row>
    <row r="252" customFormat="false" ht="15" hidden="false" customHeight="false" outlineLevel="0" collapsed="false">
      <c r="B252" s="35"/>
      <c r="D252" s="36"/>
      <c r="E252" s="37"/>
      <c r="F252" s="38"/>
      <c r="J252" s="38"/>
    </row>
    <row r="253" customFormat="false" ht="15" hidden="false" customHeight="false" outlineLevel="0" collapsed="false">
      <c r="B253" s="35"/>
      <c r="D253" s="36"/>
      <c r="E253" s="37"/>
      <c r="F253" s="38"/>
      <c r="J253" s="38"/>
    </row>
    <row r="254" customFormat="false" ht="15" hidden="false" customHeight="false" outlineLevel="0" collapsed="false">
      <c r="B254" s="35"/>
      <c r="D254" s="36"/>
      <c r="E254" s="37"/>
      <c r="F254" s="38"/>
      <c r="J254" s="38"/>
    </row>
    <row r="255" customFormat="false" ht="15" hidden="false" customHeight="false" outlineLevel="0" collapsed="false">
      <c r="B255" s="35"/>
      <c r="D255" s="36"/>
      <c r="E255" s="37"/>
      <c r="F255" s="38"/>
      <c r="J255" s="38"/>
    </row>
    <row r="256" customFormat="false" ht="15" hidden="false" customHeight="false" outlineLevel="0" collapsed="false">
      <c r="B256" s="35"/>
      <c r="D256" s="36"/>
      <c r="E256" s="37"/>
      <c r="F256" s="38"/>
      <c r="J256" s="38"/>
    </row>
    <row r="257" customFormat="false" ht="15" hidden="false" customHeight="false" outlineLevel="0" collapsed="false">
      <c r="B257" s="35"/>
      <c r="D257" s="36"/>
      <c r="E257" s="37"/>
      <c r="F257" s="38"/>
      <c r="J257" s="38"/>
    </row>
    <row r="258" customFormat="false" ht="15" hidden="false" customHeight="false" outlineLevel="0" collapsed="false">
      <c r="B258" s="35"/>
      <c r="D258" s="36"/>
      <c r="E258" s="37"/>
      <c r="F258" s="38"/>
      <c r="J258" s="38"/>
    </row>
    <row r="259" customFormat="false" ht="15" hidden="false" customHeight="false" outlineLevel="0" collapsed="false">
      <c r="B259" s="35"/>
      <c r="D259" s="36"/>
      <c r="E259" s="37"/>
      <c r="F259" s="38"/>
      <c r="J259" s="38"/>
    </row>
    <row r="260" customFormat="false" ht="15" hidden="false" customHeight="false" outlineLevel="0" collapsed="false">
      <c r="B260" s="35"/>
      <c r="D260" s="36"/>
      <c r="E260" s="37"/>
      <c r="F260" s="38"/>
      <c r="J260" s="38"/>
    </row>
    <row r="261" customFormat="false" ht="15" hidden="false" customHeight="false" outlineLevel="0" collapsed="false">
      <c r="B261" s="35"/>
      <c r="D261" s="36"/>
      <c r="E261" s="37"/>
      <c r="F261" s="38"/>
      <c r="J261" s="38"/>
    </row>
    <row r="262" customFormat="false" ht="15" hidden="false" customHeight="false" outlineLevel="0" collapsed="false">
      <c r="B262" s="35"/>
      <c r="D262" s="36"/>
      <c r="E262" s="37"/>
      <c r="F262" s="38"/>
      <c r="J262" s="38"/>
    </row>
    <row r="263" customFormat="false" ht="15" hidden="false" customHeight="false" outlineLevel="0" collapsed="false">
      <c r="B263" s="35"/>
      <c r="D263" s="36"/>
      <c r="E263" s="37"/>
      <c r="F263" s="38"/>
      <c r="J263" s="38"/>
    </row>
    <row r="264" customFormat="false" ht="15" hidden="false" customHeight="false" outlineLevel="0" collapsed="false">
      <c r="B264" s="35"/>
      <c r="D264" s="36"/>
      <c r="E264" s="37"/>
      <c r="F264" s="38"/>
      <c r="J264" s="38"/>
    </row>
    <row r="265" customFormat="false" ht="15" hidden="false" customHeight="false" outlineLevel="0" collapsed="false">
      <c r="B265" s="35"/>
      <c r="D265" s="36"/>
      <c r="E265" s="37"/>
      <c r="F265" s="38"/>
      <c r="J265" s="38"/>
    </row>
    <row r="266" customFormat="false" ht="15" hidden="false" customHeight="false" outlineLevel="0" collapsed="false">
      <c r="B266" s="35"/>
      <c r="D266" s="36"/>
      <c r="E266" s="37"/>
      <c r="F266" s="38"/>
      <c r="J266" s="38"/>
    </row>
    <row r="267" customFormat="false" ht="15" hidden="false" customHeight="false" outlineLevel="0" collapsed="false">
      <c r="B267" s="35"/>
      <c r="D267" s="36"/>
      <c r="E267" s="37"/>
      <c r="F267" s="38"/>
      <c r="J267" s="38"/>
    </row>
    <row r="268" customFormat="false" ht="15" hidden="false" customHeight="false" outlineLevel="0" collapsed="false">
      <c r="B268" s="35"/>
      <c r="D268" s="36"/>
      <c r="E268" s="37"/>
      <c r="F268" s="38"/>
      <c r="J268" s="38"/>
    </row>
    <row r="269" customFormat="false" ht="15" hidden="false" customHeight="false" outlineLevel="0" collapsed="false">
      <c r="B269" s="35"/>
      <c r="D269" s="36"/>
      <c r="E269" s="37"/>
      <c r="F269" s="38"/>
      <c r="J269" s="38"/>
    </row>
    <row r="270" customFormat="false" ht="15" hidden="false" customHeight="false" outlineLevel="0" collapsed="false">
      <c r="B270" s="35"/>
      <c r="D270" s="36"/>
      <c r="E270" s="37"/>
      <c r="F270" s="38"/>
      <c r="J270" s="38"/>
    </row>
    <row r="271" customFormat="false" ht="15" hidden="false" customHeight="false" outlineLevel="0" collapsed="false">
      <c r="B271" s="35"/>
      <c r="D271" s="36"/>
      <c r="E271" s="37"/>
      <c r="F271" s="38"/>
      <c r="J271" s="38"/>
    </row>
    <row r="272" customFormat="false" ht="15" hidden="false" customHeight="false" outlineLevel="0" collapsed="false">
      <c r="B272" s="35"/>
      <c r="D272" s="36"/>
      <c r="E272" s="37"/>
      <c r="F272" s="38"/>
      <c r="J272" s="38"/>
    </row>
    <row r="273" customFormat="false" ht="15" hidden="false" customHeight="false" outlineLevel="0" collapsed="false">
      <c r="B273" s="35"/>
      <c r="D273" s="36"/>
      <c r="E273" s="37"/>
      <c r="F273" s="38"/>
      <c r="J273" s="38"/>
    </row>
    <row r="274" customFormat="false" ht="15" hidden="false" customHeight="false" outlineLevel="0" collapsed="false">
      <c r="B274" s="35"/>
      <c r="D274" s="36"/>
      <c r="E274" s="37"/>
      <c r="F274" s="38"/>
      <c r="J274" s="38"/>
    </row>
    <row r="275" customFormat="false" ht="15" hidden="false" customHeight="false" outlineLevel="0" collapsed="false">
      <c r="B275" s="35"/>
      <c r="D275" s="36"/>
      <c r="E275" s="37"/>
      <c r="F275" s="38"/>
      <c r="J275" s="38"/>
    </row>
    <row r="276" customFormat="false" ht="15" hidden="false" customHeight="false" outlineLevel="0" collapsed="false">
      <c r="B276" s="35"/>
      <c r="D276" s="36"/>
      <c r="E276" s="37"/>
      <c r="F276" s="38"/>
      <c r="J276" s="38"/>
    </row>
    <row r="277" customFormat="false" ht="15" hidden="false" customHeight="false" outlineLevel="0" collapsed="false">
      <c r="B277" s="35"/>
      <c r="D277" s="36"/>
      <c r="E277" s="37"/>
      <c r="F277" s="38"/>
      <c r="J277" s="38"/>
    </row>
    <row r="278" customFormat="false" ht="15" hidden="false" customHeight="false" outlineLevel="0" collapsed="false">
      <c r="B278" s="35"/>
      <c r="D278" s="36"/>
      <c r="E278" s="37"/>
      <c r="F278" s="38"/>
      <c r="J278" s="38"/>
    </row>
    <row r="279" customFormat="false" ht="15" hidden="false" customHeight="false" outlineLevel="0" collapsed="false">
      <c r="B279" s="35"/>
      <c r="D279" s="36"/>
      <c r="E279" s="37"/>
      <c r="F279" s="38"/>
      <c r="J279" s="38"/>
    </row>
    <row r="280" customFormat="false" ht="15" hidden="false" customHeight="false" outlineLevel="0" collapsed="false">
      <c r="B280" s="35"/>
      <c r="D280" s="36"/>
      <c r="E280" s="37"/>
      <c r="F280" s="38"/>
      <c r="J280" s="38"/>
    </row>
    <row r="281" customFormat="false" ht="15" hidden="false" customHeight="false" outlineLevel="0" collapsed="false">
      <c r="B281" s="35"/>
      <c r="D281" s="36"/>
      <c r="E281" s="37"/>
      <c r="F281" s="38"/>
      <c r="J281" s="38"/>
    </row>
    <row r="282" customFormat="false" ht="15" hidden="false" customHeight="false" outlineLevel="0" collapsed="false">
      <c r="B282" s="35"/>
      <c r="D282" s="36"/>
      <c r="E282" s="37"/>
      <c r="F282" s="38"/>
      <c r="J282" s="38"/>
    </row>
    <row r="283" customFormat="false" ht="15" hidden="false" customHeight="false" outlineLevel="0" collapsed="false">
      <c r="B283" s="35"/>
      <c r="D283" s="36"/>
      <c r="E283" s="37"/>
      <c r="F283" s="38"/>
      <c r="J283" s="38"/>
    </row>
    <row r="284" customFormat="false" ht="15" hidden="false" customHeight="false" outlineLevel="0" collapsed="false">
      <c r="B284" s="35"/>
      <c r="D284" s="36"/>
      <c r="E284" s="37"/>
      <c r="F284" s="38"/>
      <c r="J284" s="38"/>
    </row>
    <row r="285" customFormat="false" ht="15" hidden="false" customHeight="false" outlineLevel="0" collapsed="false">
      <c r="B285" s="35"/>
      <c r="D285" s="36"/>
      <c r="E285" s="37"/>
      <c r="F285" s="38"/>
      <c r="J285" s="38"/>
    </row>
    <row r="286" customFormat="false" ht="15" hidden="false" customHeight="false" outlineLevel="0" collapsed="false">
      <c r="B286" s="35"/>
      <c r="D286" s="36"/>
      <c r="E286" s="37"/>
      <c r="F286" s="38"/>
      <c r="J286" s="38"/>
    </row>
    <row r="287" customFormat="false" ht="15" hidden="false" customHeight="false" outlineLevel="0" collapsed="false">
      <c r="B287" s="35"/>
      <c r="D287" s="36"/>
      <c r="E287" s="37"/>
      <c r="F287" s="38"/>
      <c r="J287" s="38"/>
    </row>
    <row r="288" customFormat="false" ht="15" hidden="false" customHeight="false" outlineLevel="0" collapsed="false">
      <c r="B288" s="35"/>
      <c r="D288" s="36"/>
      <c r="E288" s="37"/>
      <c r="F288" s="38"/>
      <c r="J288" s="38"/>
    </row>
    <row r="289" customFormat="false" ht="15" hidden="false" customHeight="false" outlineLevel="0" collapsed="false">
      <c r="B289" s="35"/>
      <c r="D289" s="36"/>
      <c r="E289" s="37"/>
      <c r="F289" s="38"/>
      <c r="J289" s="38"/>
    </row>
    <row r="290" customFormat="false" ht="15" hidden="false" customHeight="false" outlineLevel="0" collapsed="false">
      <c r="B290" s="35"/>
      <c r="D290" s="36"/>
      <c r="E290" s="37"/>
      <c r="F290" s="38"/>
      <c r="J290" s="38"/>
    </row>
    <row r="291" customFormat="false" ht="15" hidden="false" customHeight="false" outlineLevel="0" collapsed="false">
      <c r="B291" s="35"/>
      <c r="D291" s="36"/>
      <c r="E291" s="37"/>
      <c r="F291" s="38"/>
      <c r="J291" s="38"/>
    </row>
    <row r="292" customFormat="false" ht="15" hidden="false" customHeight="false" outlineLevel="0" collapsed="false">
      <c r="B292" s="35"/>
      <c r="D292" s="36"/>
      <c r="E292" s="37"/>
      <c r="F292" s="38"/>
      <c r="J292" s="38"/>
    </row>
    <row r="293" customFormat="false" ht="15" hidden="false" customHeight="false" outlineLevel="0" collapsed="false">
      <c r="B293" s="35"/>
      <c r="D293" s="36"/>
      <c r="E293" s="37"/>
      <c r="F293" s="38"/>
      <c r="J293" s="38"/>
    </row>
    <row r="294" customFormat="false" ht="15" hidden="false" customHeight="false" outlineLevel="0" collapsed="false">
      <c r="B294" s="35"/>
      <c r="D294" s="36"/>
      <c r="E294" s="37"/>
      <c r="F294" s="38"/>
      <c r="J294" s="38"/>
    </row>
    <row r="295" customFormat="false" ht="15" hidden="false" customHeight="false" outlineLevel="0" collapsed="false">
      <c r="B295" s="35"/>
      <c r="D295" s="36"/>
      <c r="E295" s="37"/>
      <c r="F295" s="38"/>
      <c r="J295" s="38"/>
    </row>
    <row r="296" customFormat="false" ht="15" hidden="false" customHeight="false" outlineLevel="0" collapsed="false">
      <c r="B296" s="35"/>
      <c r="D296" s="36"/>
      <c r="E296" s="37"/>
      <c r="F296" s="38"/>
      <c r="J296" s="38"/>
    </row>
    <row r="297" customFormat="false" ht="15" hidden="false" customHeight="false" outlineLevel="0" collapsed="false">
      <c r="B297" s="35"/>
      <c r="D297" s="36"/>
      <c r="E297" s="37"/>
      <c r="F297" s="38"/>
      <c r="J297" s="38"/>
    </row>
    <row r="298" customFormat="false" ht="15" hidden="false" customHeight="false" outlineLevel="0" collapsed="false">
      <c r="B298" s="35"/>
      <c r="D298" s="36"/>
      <c r="E298" s="37"/>
      <c r="F298" s="38"/>
      <c r="J298" s="38"/>
    </row>
    <row r="299" customFormat="false" ht="15" hidden="false" customHeight="false" outlineLevel="0" collapsed="false">
      <c r="B299" s="35"/>
      <c r="D299" s="36"/>
      <c r="E299" s="37"/>
      <c r="F299" s="38"/>
      <c r="J299" s="38"/>
    </row>
    <row r="300" customFormat="false" ht="15" hidden="false" customHeight="false" outlineLevel="0" collapsed="false">
      <c r="B300" s="35"/>
      <c r="D300" s="36"/>
      <c r="E300" s="37"/>
      <c r="F300" s="38"/>
      <c r="J300" s="38"/>
    </row>
    <row r="301" customFormat="false" ht="15" hidden="false" customHeight="false" outlineLevel="0" collapsed="false">
      <c r="B301" s="35"/>
      <c r="D301" s="36"/>
      <c r="E301" s="37"/>
      <c r="F301" s="38"/>
      <c r="J301" s="38"/>
    </row>
    <row r="302" customFormat="false" ht="15" hidden="false" customHeight="false" outlineLevel="0" collapsed="false">
      <c r="B302" s="35"/>
      <c r="D302" s="36"/>
      <c r="E302" s="37"/>
      <c r="F302" s="38"/>
      <c r="J302" s="38"/>
    </row>
    <row r="303" customFormat="false" ht="15" hidden="false" customHeight="false" outlineLevel="0" collapsed="false">
      <c r="B303" s="35"/>
      <c r="D303" s="36"/>
      <c r="E303" s="37"/>
      <c r="F303" s="38"/>
      <c r="J303" s="38"/>
    </row>
    <row r="304" customFormat="false" ht="15" hidden="false" customHeight="false" outlineLevel="0" collapsed="false">
      <c r="B304" s="35"/>
      <c r="D304" s="36"/>
      <c r="E304" s="37"/>
      <c r="F304" s="38"/>
      <c r="J304" s="38"/>
    </row>
    <row r="305" customFormat="false" ht="15" hidden="false" customHeight="false" outlineLevel="0" collapsed="false">
      <c r="B305" s="35"/>
      <c r="D305" s="36"/>
      <c r="E305" s="37"/>
      <c r="F305" s="38"/>
      <c r="J305" s="38"/>
    </row>
    <row r="306" customFormat="false" ht="15" hidden="false" customHeight="false" outlineLevel="0" collapsed="false">
      <c r="B306" s="35"/>
      <c r="D306" s="36"/>
      <c r="E306" s="37"/>
      <c r="F306" s="38"/>
      <c r="J306" s="38"/>
    </row>
    <row r="307" customFormat="false" ht="15" hidden="false" customHeight="false" outlineLevel="0" collapsed="false">
      <c r="B307" s="35"/>
      <c r="D307" s="36"/>
      <c r="E307" s="37"/>
      <c r="F307" s="38"/>
      <c r="J307" s="38"/>
    </row>
    <row r="308" customFormat="false" ht="15" hidden="false" customHeight="false" outlineLevel="0" collapsed="false">
      <c r="B308" s="35"/>
      <c r="D308" s="36"/>
      <c r="E308" s="37"/>
      <c r="F308" s="38"/>
      <c r="J308" s="38"/>
    </row>
    <row r="309" customFormat="false" ht="15" hidden="false" customHeight="false" outlineLevel="0" collapsed="false">
      <c r="B309" s="35"/>
      <c r="D309" s="36"/>
      <c r="E309" s="37"/>
      <c r="F309" s="38"/>
      <c r="J309" s="38"/>
    </row>
    <row r="310" customFormat="false" ht="15" hidden="false" customHeight="false" outlineLevel="0" collapsed="false">
      <c r="B310" s="35"/>
      <c r="D310" s="36"/>
      <c r="E310" s="37"/>
      <c r="F310" s="38"/>
      <c r="J310" s="38"/>
    </row>
    <row r="311" customFormat="false" ht="15" hidden="false" customHeight="false" outlineLevel="0" collapsed="false">
      <c r="B311" s="35"/>
      <c r="D311" s="36"/>
      <c r="E311" s="37"/>
      <c r="F311" s="38"/>
      <c r="J311" s="38"/>
    </row>
    <row r="312" customFormat="false" ht="15" hidden="false" customHeight="false" outlineLevel="0" collapsed="false">
      <c r="B312" s="35"/>
      <c r="D312" s="36"/>
      <c r="E312" s="37"/>
      <c r="F312" s="38"/>
      <c r="J312" s="38"/>
    </row>
    <row r="313" customFormat="false" ht="15" hidden="false" customHeight="false" outlineLevel="0" collapsed="false">
      <c r="B313" s="35"/>
      <c r="D313" s="36"/>
      <c r="E313" s="37"/>
      <c r="F313" s="38"/>
      <c r="J313" s="38"/>
    </row>
    <row r="314" customFormat="false" ht="15" hidden="false" customHeight="false" outlineLevel="0" collapsed="false">
      <c r="B314" s="35"/>
      <c r="D314" s="36"/>
      <c r="E314" s="37"/>
      <c r="F314" s="38"/>
      <c r="J314" s="38"/>
    </row>
    <row r="315" customFormat="false" ht="15" hidden="false" customHeight="false" outlineLevel="0" collapsed="false">
      <c r="B315" s="35"/>
      <c r="D315" s="36"/>
      <c r="E315" s="37"/>
      <c r="F315" s="38"/>
      <c r="J315" s="38"/>
    </row>
    <row r="316" customFormat="false" ht="15" hidden="false" customHeight="false" outlineLevel="0" collapsed="false">
      <c r="B316" s="35"/>
      <c r="D316" s="36"/>
      <c r="E316" s="37"/>
      <c r="F316" s="38"/>
      <c r="J316" s="38"/>
    </row>
    <row r="317" customFormat="false" ht="15" hidden="false" customHeight="false" outlineLevel="0" collapsed="false">
      <c r="B317" s="35"/>
      <c r="D317" s="36"/>
      <c r="E317" s="37"/>
      <c r="F317" s="38"/>
      <c r="J317" s="38"/>
    </row>
    <row r="318" customFormat="false" ht="15" hidden="false" customHeight="false" outlineLevel="0" collapsed="false">
      <c r="B318" s="35"/>
      <c r="D318" s="36"/>
      <c r="E318" s="37"/>
      <c r="F318" s="38"/>
      <c r="J318" s="38"/>
    </row>
    <row r="319" customFormat="false" ht="15" hidden="false" customHeight="false" outlineLevel="0" collapsed="false">
      <c r="B319" s="35"/>
      <c r="D319" s="36"/>
      <c r="E319" s="37"/>
      <c r="F319" s="38"/>
      <c r="J319" s="38"/>
    </row>
    <row r="320" customFormat="false" ht="15" hidden="false" customHeight="false" outlineLevel="0" collapsed="false">
      <c r="B320" s="35"/>
      <c r="D320" s="36"/>
      <c r="E320" s="37"/>
      <c r="F320" s="38"/>
      <c r="J320" s="38"/>
    </row>
    <row r="321" customFormat="false" ht="15" hidden="false" customHeight="false" outlineLevel="0" collapsed="false">
      <c r="B321" s="35"/>
      <c r="D321" s="36"/>
      <c r="E321" s="37"/>
      <c r="F321" s="38"/>
      <c r="J321" s="38"/>
    </row>
    <row r="322" customFormat="false" ht="15" hidden="false" customHeight="false" outlineLevel="0" collapsed="false">
      <c r="B322" s="35"/>
      <c r="D322" s="36"/>
      <c r="E322" s="37"/>
      <c r="F322" s="38"/>
      <c r="J322" s="38"/>
    </row>
    <row r="323" customFormat="false" ht="15" hidden="false" customHeight="false" outlineLevel="0" collapsed="false">
      <c r="B323" s="35"/>
      <c r="D323" s="36"/>
      <c r="E323" s="37"/>
      <c r="F323" s="38"/>
      <c r="J323" s="38"/>
    </row>
    <row r="324" customFormat="false" ht="15" hidden="false" customHeight="false" outlineLevel="0" collapsed="false">
      <c r="B324" s="35"/>
      <c r="D324" s="36"/>
      <c r="E324" s="37"/>
      <c r="F324" s="38"/>
      <c r="J324" s="38"/>
    </row>
    <row r="325" customFormat="false" ht="15" hidden="false" customHeight="false" outlineLevel="0" collapsed="false">
      <c r="B325" s="35"/>
      <c r="D325" s="36"/>
      <c r="E325" s="37"/>
      <c r="F325" s="38"/>
      <c r="J325" s="38"/>
    </row>
    <row r="326" customFormat="false" ht="15" hidden="false" customHeight="false" outlineLevel="0" collapsed="false">
      <c r="B326" s="35"/>
      <c r="D326" s="36"/>
      <c r="E326" s="37"/>
      <c r="F326" s="38"/>
      <c r="J326" s="38"/>
    </row>
    <row r="327" customFormat="false" ht="15" hidden="false" customHeight="false" outlineLevel="0" collapsed="false">
      <c r="B327" s="35"/>
      <c r="D327" s="36"/>
      <c r="E327" s="37"/>
      <c r="F327" s="38"/>
      <c r="J327" s="38"/>
    </row>
    <row r="328" customFormat="false" ht="15" hidden="false" customHeight="false" outlineLevel="0" collapsed="false">
      <c r="B328" s="35"/>
      <c r="D328" s="36"/>
      <c r="E328" s="37"/>
      <c r="F328" s="38"/>
      <c r="J328" s="38"/>
    </row>
    <row r="329" customFormat="false" ht="15" hidden="false" customHeight="false" outlineLevel="0" collapsed="false">
      <c r="B329" s="35"/>
      <c r="D329" s="36"/>
      <c r="E329" s="37"/>
      <c r="F329" s="38"/>
      <c r="J329" s="38"/>
    </row>
    <row r="330" customFormat="false" ht="15" hidden="false" customHeight="false" outlineLevel="0" collapsed="false">
      <c r="B330" s="35"/>
      <c r="D330" s="36"/>
      <c r="E330" s="37"/>
      <c r="F330" s="38"/>
      <c r="J330" s="38"/>
    </row>
    <row r="331" customFormat="false" ht="15" hidden="false" customHeight="false" outlineLevel="0" collapsed="false">
      <c r="B331" s="35"/>
      <c r="D331" s="36"/>
      <c r="E331" s="37"/>
      <c r="F331" s="38"/>
      <c r="J331" s="38"/>
    </row>
    <row r="332" customFormat="false" ht="15" hidden="false" customHeight="false" outlineLevel="0" collapsed="false">
      <c r="B332" s="35"/>
      <c r="D332" s="36"/>
      <c r="E332" s="37"/>
      <c r="F332" s="38"/>
      <c r="J332" s="38"/>
    </row>
    <row r="333" customFormat="false" ht="15" hidden="false" customHeight="false" outlineLevel="0" collapsed="false">
      <c r="B333" s="35"/>
      <c r="D333" s="36"/>
      <c r="E333" s="37"/>
      <c r="F333" s="38"/>
      <c r="J333" s="38"/>
    </row>
    <row r="334" customFormat="false" ht="15" hidden="false" customHeight="false" outlineLevel="0" collapsed="false">
      <c r="B334" s="35"/>
      <c r="D334" s="36"/>
      <c r="E334" s="37"/>
      <c r="F334" s="38"/>
      <c r="J334" s="38"/>
    </row>
    <row r="335" customFormat="false" ht="15" hidden="false" customHeight="false" outlineLevel="0" collapsed="false">
      <c r="B335" s="35"/>
      <c r="D335" s="36"/>
      <c r="E335" s="37"/>
      <c r="F335" s="38"/>
      <c r="J335" s="38"/>
    </row>
    <row r="336" customFormat="false" ht="15" hidden="false" customHeight="false" outlineLevel="0" collapsed="false">
      <c r="B336" s="35"/>
      <c r="D336" s="36"/>
      <c r="E336" s="37"/>
      <c r="F336" s="38"/>
      <c r="J336" s="38"/>
    </row>
    <row r="337" customFormat="false" ht="15" hidden="false" customHeight="false" outlineLevel="0" collapsed="false">
      <c r="B337" s="35"/>
      <c r="D337" s="36"/>
      <c r="E337" s="37"/>
      <c r="F337" s="38"/>
      <c r="J337" s="38"/>
    </row>
    <row r="338" customFormat="false" ht="15" hidden="false" customHeight="false" outlineLevel="0" collapsed="false">
      <c r="B338" s="35"/>
      <c r="D338" s="36"/>
      <c r="E338" s="37"/>
      <c r="F338" s="38"/>
      <c r="J338" s="38"/>
    </row>
    <row r="339" customFormat="false" ht="15" hidden="false" customHeight="false" outlineLevel="0" collapsed="false">
      <c r="B339" s="35"/>
      <c r="D339" s="36"/>
      <c r="E339" s="37"/>
      <c r="F339" s="38"/>
      <c r="J339" s="38"/>
    </row>
    <row r="340" customFormat="false" ht="15" hidden="false" customHeight="false" outlineLevel="0" collapsed="false">
      <c r="B340" s="35"/>
      <c r="D340" s="36"/>
      <c r="E340" s="37"/>
      <c r="F340" s="38"/>
      <c r="J340" s="38"/>
    </row>
    <row r="341" customFormat="false" ht="15" hidden="false" customHeight="false" outlineLevel="0" collapsed="false">
      <c r="B341" s="35"/>
      <c r="D341" s="36"/>
      <c r="E341" s="37"/>
      <c r="F341" s="38"/>
      <c r="J341" s="38"/>
    </row>
    <row r="342" customFormat="false" ht="15" hidden="false" customHeight="false" outlineLevel="0" collapsed="false">
      <c r="B342" s="35"/>
      <c r="D342" s="36"/>
      <c r="E342" s="37"/>
      <c r="F342" s="38"/>
      <c r="J342" s="38"/>
    </row>
    <row r="343" customFormat="false" ht="15" hidden="false" customHeight="false" outlineLevel="0" collapsed="false">
      <c r="B343" s="35"/>
      <c r="D343" s="36"/>
      <c r="E343" s="37"/>
      <c r="F343" s="38"/>
      <c r="J343" s="38"/>
    </row>
    <row r="344" customFormat="false" ht="15" hidden="false" customHeight="false" outlineLevel="0" collapsed="false">
      <c r="B344" s="35"/>
      <c r="D344" s="36"/>
      <c r="E344" s="37"/>
      <c r="F344" s="38"/>
      <c r="J344" s="38"/>
    </row>
    <row r="345" customFormat="false" ht="15" hidden="false" customHeight="false" outlineLevel="0" collapsed="false">
      <c r="B345" s="35"/>
      <c r="D345" s="36"/>
      <c r="E345" s="37"/>
      <c r="F345" s="38"/>
      <c r="J345" s="38"/>
    </row>
    <row r="346" customFormat="false" ht="15" hidden="false" customHeight="false" outlineLevel="0" collapsed="false">
      <c r="B346" s="35"/>
      <c r="D346" s="36"/>
      <c r="E346" s="37"/>
      <c r="F346" s="38"/>
      <c r="J346" s="38"/>
    </row>
    <row r="347" customFormat="false" ht="15" hidden="false" customHeight="false" outlineLevel="0" collapsed="false">
      <c r="B347" s="35"/>
      <c r="D347" s="36"/>
      <c r="E347" s="37"/>
      <c r="F347" s="38"/>
      <c r="J347" s="38"/>
    </row>
    <row r="348" customFormat="false" ht="15" hidden="false" customHeight="false" outlineLevel="0" collapsed="false">
      <c r="B348" s="35"/>
      <c r="D348" s="36"/>
      <c r="E348" s="37"/>
      <c r="F348" s="38"/>
      <c r="J348" s="38"/>
    </row>
    <row r="349" customFormat="false" ht="15" hidden="false" customHeight="false" outlineLevel="0" collapsed="false">
      <c r="B349" s="35"/>
      <c r="D349" s="36"/>
      <c r="E349" s="37"/>
      <c r="F349" s="38"/>
      <c r="J349" s="38"/>
    </row>
    <row r="350" customFormat="false" ht="15" hidden="false" customHeight="false" outlineLevel="0" collapsed="false">
      <c r="B350" s="35"/>
      <c r="D350" s="36"/>
      <c r="E350" s="37"/>
      <c r="F350" s="38"/>
      <c r="J350" s="38"/>
    </row>
    <row r="351" customFormat="false" ht="15" hidden="false" customHeight="false" outlineLevel="0" collapsed="false">
      <c r="B351" s="35"/>
      <c r="D351" s="36"/>
      <c r="E351" s="37"/>
      <c r="F351" s="38"/>
      <c r="J351" s="38"/>
    </row>
    <row r="352" customFormat="false" ht="15" hidden="false" customHeight="false" outlineLevel="0" collapsed="false">
      <c r="B352" s="35"/>
      <c r="D352" s="36"/>
      <c r="E352" s="37"/>
      <c r="F352" s="38"/>
      <c r="J352" s="38"/>
    </row>
    <row r="353" customFormat="false" ht="15" hidden="false" customHeight="false" outlineLevel="0" collapsed="false">
      <c r="B353" s="35"/>
      <c r="D353" s="36"/>
      <c r="E353" s="37"/>
      <c r="F353" s="38"/>
      <c r="J353" s="38"/>
    </row>
    <row r="354" customFormat="false" ht="15" hidden="false" customHeight="false" outlineLevel="0" collapsed="false">
      <c r="B354" s="35"/>
      <c r="D354" s="36"/>
      <c r="E354" s="37"/>
      <c r="F354" s="38"/>
      <c r="J354" s="38"/>
    </row>
    <row r="355" customFormat="false" ht="15" hidden="false" customHeight="false" outlineLevel="0" collapsed="false">
      <c r="B355" s="35"/>
      <c r="D355" s="36"/>
      <c r="E355" s="37"/>
      <c r="F355" s="38"/>
      <c r="J355" s="38"/>
    </row>
    <row r="356" customFormat="false" ht="15" hidden="false" customHeight="false" outlineLevel="0" collapsed="false">
      <c r="B356" s="35"/>
      <c r="D356" s="36"/>
      <c r="E356" s="37"/>
      <c r="F356" s="38"/>
      <c r="J356" s="38"/>
    </row>
    <row r="357" customFormat="false" ht="15" hidden="false" customHeight="false" outlineLevel="0" collapsed="false">
      <c r="B357" s="35"/>
      <c r="D357" s="36"/>
      <c r="E357" s="37"/>
      <c r="F357" s="38"/>
      <c r="J357" s="38"/>
    </row>
    <row r="358" customFormat="false" ht="15" hidden="false" customHeight="false" outlineLevel="0" collapsed="false">
      <c r="B358" s="35"/>
      <c r="D358" s="36"/>
      <c r="E358" s="37"/>
      <c r="F358" s="38"/>
      <c r="J358" s="38"/>
    </row>
    <row r="359" customFormat="false" ht="15" hidden="false" customHeight="false" outlineLevel="0" collapsed="false">
      <c r="B359" s="35"/>
      <c r="D359" s="36"/>
      <c r="E359" s="37"/>
      <c r="F359" s="38"/>
      <c r="J359" s="38"/>
    </row>
    <row r="360" customFormat="false" ht="15" hidden="false" customHeight="false" outlineLevel="0" collapsed="false">
      <c r="B360" s="35"/>
      <c r="D360" s="36"/>
      <c r="E360" s="37"/>
      <c r="F360" s="38"/>
      <c r="J360" s="38"/>
    </row>
    <row r="361" customFormat="false" ht="15" hidden="false" customHeight="false" outlineLevel="0" collapsed="false">
      <c r="B361" s="35"/>
      <c r="D361" s="36"/>
      <c r="E361" s="37"/>
      <c r="F361" s="38"/>
      <c r="J361" s="38"/>
    </row>
    <row r="362" customFormat="false" ht="15" hidden="false" customHeight="false" outlineLevel="0" collapsed="false">
      <c r="B362" s="35"/>
      <c r="D362" s="36"/>
      <c r="E362" s="37"/>
      <c r="F362" s="38"/>
      <c r="J362" s="38"/>
    </row>
    <row r="363" customFormat="false" ht="15" hidden="false" customHeight="false" outlineLevel="0" collapsed="false">
      <c r="B363" s="35"/>
      <c r="D363" s="36"/>
      <c r="E363" s="37"/>
      <c r="F363" s="38"/>
      <c r="J363" s="38"/>
    </row>
    <row r="364" customFormat="false" ht="15" hidden="false" customHeight="false" outlineLevel="0" collapsed="false">
      <c r="B364" s="35"/>
      <c r="D364" s="36"/>
      <c r="E364" s="37"/>
      <c r="F364" s="38"/>
      <c r="J364" s="38"/>
    </row>
    <row r="365" customFormat="false" ht="15" hidden="false" customHeight="false" outlineLevel="0" collapsed="false">
      <c r="B365" s="35"/>
      <c r="D365" s="36"/>
      <c r="E365" s="37"/>
      <c r="F365" s="38"/>
      <c r="J365" s="38"/>
    </row>
    <row r="366" customFormat="false" ht="15" hidden="false" customHeight="false" outlineLevel="0" collapsed="false">
      <c r="B366" s="35"/>
      <c r="D366" s="36"/>
      <c r="E366" s="37"/>
      <c r="F366" s="38"/>
      <c r="J366" s="38"/>
    </row>
    <row r="367" customFormat="false" ht="15" hidden="false" customHeight="false" outlineLevel="0" collapsed="false">
      <c r="B367" s="35"/>
      <c r="D367" s="36"/>
      <c r="E367" s="37"/>
      <c r="F367" s="38"/>
      <c r="J367" s="38"/>
    </row>
    <row r="368" customFormat="false" ht="15" hidden="false" customHeight="false" outlineLevel="0" collapsed="false">
      <c r="B368" s="35"/>
      <c r="D368" s="36"/>
      <c r="E368" s="37"/>
      <c r="F368" s="38"/>
      <c r="J368" s="38"/>
    </row>
    <row r="369" customFormat="false" ht="15" hidden="false" customHeight="false" outlineLevel="0" collapsed="false">
      <c r="B369" s="35"/>
      <c r="D369" s="36"/>
      <c r="E369" s="37"/>
      <c r="F369" s="38"/>
      <c r="J369" s="38"/>
    </row>
    <row r="370" customFormat="false" ht="15" hidden="false" customHeight="false" outlineLevel="0" collapsed="false">
      <c r="B370" s="35"/>
      <c r="D370" s="36"/>
      <c r="E370" s="37"/>
      <c r="F370" s="38"/>
      <c r="J370" s="38"/>
    </row>
    <row r="371" customFormat="false" ht="15" hidden="false" customHeight="false" outlineLevel="0" collapsed="false">
      <c r="B371" s="35"/>
      <c r="D371" s="36"/>
      <c r="E371" s="37"/>
      <c r="F371" s="38"/>
      <c r="J371" s="38"/>
    </row>
    <row r="372" customFormat="false" ht="15" hidden="false" customHeight="false" outlineLevel="0" collapsed="false">
      <c r="B372" s="35"/>
      <c r="D372" s="36"/>
      <c r="E372" s="37"/>
      <c r="F372" s="38"/>
      <c r="J372" s="38"/>
    </row>
    <row r="373" customFormat="false" ht="15" hidden="false" customHeight="false" outlineLevel="0" collapsed="false">
      <c r="B373" s="35"/>
      <c r="D373" s="36"/>
      <c r="E373" s="37"/>
      <c r="F373" s="38"/>
      <c r="J373" s="38"/>
    </row>
    <row r="374" customFormat="false" ht="15" hidden="false" customHeight="false" outlineLevel="0" collapsed="false">
      <c r="B374" s="35"/>
      <c r="D374" s="36"/>
      <c r="E374" s="37"/>
      <c r="F374" s="38"/>
      <c r="J374" s="38"/>
    </row>
    <row r="375" customFormat="false" ht="15" hidden="false" customHeight="false" outlineLevel="0" collapsed="false">
      <c r="B375" s="35"/>
      <c r="D375" s="36"/>
      <c r="E375" s="37"/>
      <c r="F375" s="38"/>
      <c r="J375" s="38"/>
    </row>
    <row r="376" customFormat="false" ht="15" hidden="false" customHeight="false" outlineLevel="0" collapsed="false">
      <c r="B376" s="35"/>
      <c r="D376" s="36"/>
      <c r="E376" s="37"/>
      <c r="F376" s="38"/>
      <c r="J376" s="38"/>
    </row>
    <row r="377" customFormat="false" ht="15" hidden="false" customHeight="false" outlineLevel="0" collapsed="false">
      <c r="B377" s="35"/>
      <c r="D377" s="36"/>
      <c r="E377" s="37"/>
      <c r="F377" s="38"/>
      <c r="J377" s="38"/>
    </row>
    <row r="378" customFormat="false" ht="15" hidden="false" customHeight="false" outlineLevel="0" collapsed="false">
      <c r="B378" s="35"/>
      <c r="D378" s="36"/>
      <c r="E378" s="37"/>
      <c r="F378" s="38"/>
      <c r="J378" s="38"/>
    </row>
    <row r="379" customFormat="false" ht="15" hidden="false" customHeight="false" outlineLevel="0" collapsed="false">
      <c r="B379" s="35"/>
      <c r="D379" s="36"/>
      <c r="E379" s="37"/>
      <c r="F379" s="38"/>
      <c r="J379" s="38"/>
    </row>
    <row r="380" customFormat="false" ht="15" hidden="false" customHeight="false" outlineLevel="0" collapsed="false">
      <c r="B380" s="35"/>
      <c r="D380" s="36"/>
      <c r="E380" s="37"/>
      <c r="F380" s="38"/>
      <c r="J380" s="38"/>
    </row>
    <row r="381" customFormat="false" ht="15" hidden="false" customHeight="false" outlineLevel="0" collapsed="false">
      <c r="B381" s="35"/>
      <c r="D381" s="36"/>
      <c r="E381" s="37"/>
      <c r="F381" s="38"/>
      <c r="J381" s="38"/>
    </row>
    <row r="382" customFormat="false" ht="15" hidden="false" customHeight="false" outlineLevel="0" collapsed="false">
      <c r="B382" s="35"/>
      <c r="D382" s="36"/>
      <c r="E382" s="37"/>
      <c r="F382" s="38"/>
      <c r="J382" s="38"/>
    </row>
    <row r="383" customFormat="false" ht="15" hidden="false" customHeight="false" outlineLevel="0" collapsed="false">
      <c r="B383" s="35"/>
      <c r="D383" s="36"/>
      <c r="E383" s="37"/>
      <c r="F383" s="38"/>
      <c r="J383" s="38"/>
    </row>
    <row r="384" customFormat="false" ht="15" hidden="false" customHeight="false" outlineLevel="0" collapsed="false">
      <c r="B384" s="35"/>
      <c r="D384" s="36"/>
      <c r="E384" s="37"/>
      <c r="F384" s="38"/>
      <c r="J384" s="38"/>
    </row>
    <row r="385" customFormat="false" ht="15" hidden="false" customHeight="false" outlineLevel="0" collapsed="false">
      <c r="B385" s="35"/>
      <c r="D385" s="36"/>
      <c r="E385" s="37"/>
      <c r="F385" s="38"/>
      <c r="J385" s="38"/>
    </row>
    <row r="386" customFormat="false" ht="15" hidden="false" customHeight="false" outlineLevel="0" collapsed="false">
      <c r="B386" s="35"/>
      <c r="D386" s="36"/>
      <c r="E386" s="37"/>
      <c r="F386" s="38"/>
      <c r="J386" s="38"/>
    </row>
    <row r="387" customFormat="false" ht="15" hidden="false" customHeight="false" outlineLevel="0" collapsed="false">
      <c r="B387" s="35"/>
      <c r="D387" s="36"/>
      <c r="E387" s="37"/>
      <c r="F387" s="38"/>
      <c r="J387" s="38"/>
    </row>
    <row r="388" customFormat="false" ht="15" hidden="false" customHeight="false" outlineLevel="0" collapsed="false">
      <c r="B388" s="35"/>
      <c r="D388" s="36"/>
      <c r="E388" s="37"/>
      <c r="F388" s="38"/>
      <c r="J388" s="38"/>
    </row>
    <row r="389" customFormat="false" ht="15" hidden="false" customHeight="false" outlineLevel="0" collapsed="false">
      <c r="B389" s="35"/>
      <c r="D389" s="36"/>
      <c r="E389" s="37"/>
      <c r="F389" s="38"/>
      <c r="J389" s="38"/>
    </row>
    <row r="390" customFormat="false" ht="15" hidden="false" customHeight="false" outlineLevel="0" collapsed="false">
      <c r="B390" s="35"/>
      <c r="D390" s="36"/>
      <c r="E390" s="37"/>
      <c r="F390" s="38"/>
      <c r="J390" s="38"/>
    </row>
    <row r="391" customFormat="false" ht="15" hidden="false" customHeight="false" outlineLevel="0" collapsed="false">
      <c r="B391" s="35"/>
      <c r="D391" s="36"/>
      <c r="E391" s="37"/>
      <c r="F391" s="38"/>
      <c r="J391" s="38"/>
    </row>
    <row r="392" customFormat="false" ht="15" hidden="false" customHeight="false" outlineLevel="0" collapsed="false">
      <c r="B392" s="35"/>
      <c r="D392" s="36"/>
      <c r="E392" s="37"/>
      <c r="F392" s="38"/>
      <c r="J392" s="38"/>
    </row>
    <row r="393" customFormat="false" ht="15" hidden="false" customHeight="false" outlineLevel="0" collapsed="false">
      <c r="B393" s="35"/>
      <c r="D393" s="36"/>
      <c r="E393" s="37"/>
      <c r="F393" s="38"/>
      <c r="J393" s="38"/>
    </row>
    <row r="394" customFormat="false" ht="15" hidden="false" customHeight="false" outlineLevel="0" collapsed="false">
      <c r="B394" s="35"/>
      <c r="D394" s="36"/>
      <c r="E394" s="37"/>
      <c r="F394" s="38"/>
      <c r="J394" s="38"/>
    </row>
    <row r="395" customFormat="false" ht="15" hidden="false" customHeight="false" outlineLevel="0" collapsed="false">
      <c r="B395" s="35"/>
      <c r="D395" s="36"/>
      <c r="E395" s="37"/>
      <c r="F395" s="38"/>
      <c r="J395" s="38"/>
    </row>
    <row r="396" customFormat="false" ht="15" hidden="false" customHeight="false" outlineLevel="0" collapsed="false">
      <c r="B396" s="35"/>
      <c r="D396" s="36"/>
      <c r="E396" s="37"/>
      <c r="F396" s="38"/>
      <c r="J396" s="38"/>
    </row>
    <row r="397" customFormat="false" ht="15" hidden="false" customHeight="false" outlineLevel="0" collapsed="false">
      <c r="B397" s="35"/>
      <c r="D397" s="36"/>
      <c r="E397" s="37"/>
      <c r="F397" s="38"/>
      <c r="J397" s="38"/>
    </row>
    <row r="398" customFormat="false" ht="15" hidden="false" customHeight="false" outlineLevel="0" collapsed="false">
      <c r="B398" s="35"/>
      <c r="D398" s="36"/>
      <c r="E398" s="37"/>
      <c r="F398" s="38"/>
      <c r="J398" s="38"/>
    </row>
    <row r="399" customFormat="false" ht="15" hidden="false" customHeight="false" outlineLevel="0" collapsed="false">
      <c r="B399" s="35"/>
      <c r="D399" s="36"/>
      <c r="E399" s="37"/>
      <c r="F399" s="38"/>
      <c r="J399" s="38"/>
    </row>
    <row r="400" customFormat="false" ht="15" hidden="false" customHeight="false" outlineLevel="0" collapsed="false">
      <c r="B400" s="35"/>
      <c r="D400" s="36"/>
      <c r="E400" s="37"/>
      <c r="F400" s="38"/>
      <c r="J400" s="38"/>
    </row>
    <row r="401" customFormat="false" ht="15" hidden="false" customHeight="false" outlineLevel="0" collapsed="false">
      <c r="B401" s="35"/>
      <c r="D401" s="36"/>
      <c r="E401" s="37"/>
      <c r="F401" s="38"/>
      <c r="J401" s="38"/>
    </row>
    <row r="402" customFormat="false" ht="15" hidden="false" customHeight="false" outlineLevel="0" collapsed="false">
      <c r="B402" s="35"/>
      <c r="D402" s="36"/>
      <c r="E402" s="37"/>
      <c r="F402" s="38"/>
      <c r="J402" s="38"/>
    </row>
    <row r="403" customFormat="false" ht="15" hidden="false" customHeight="false" outlineLevel="0" collapsed="false">
      <c r="B403" s="35"/>
      <c r="D403" s="36"/>
      <c r="E403" s="37"/>
      <c r="F403" s="38"/>
      <c r="J403" s="38"/>
    </row>
    <row r="404" customFormat="false" ht="15" hidden="false" customHeight="false" outlineLevel="0" collapsed="false">
      <c r="B404" s="35"/>
      <c r="D404" s="36"/>
      <c r="E404" s="37"/>
      <c r="F404" s="38"/>
      <c r="J404" s="38"/>
    </row>
    <row r="405" customFormat="false" ht="15" hidden="false" customHeight="false" outlineLevel="0" collapsed="false">
      <c r="B405" s="35"/>
      <c r="D405" s="36"/>
      <c r="E405" s="37"/>
      <c r="F405" s="38"/>
      <c r="J405" s="38"/>
    </row>
    <row r="406" customFormat="false" ht="15" hidden="false" customHeight="false" outlineLevel="0" collapsed="false">
      <c r="B406" s="35"/>
      <c r="D406" s="36"/>
      <c r="E406" s="37"/>
      <c r="F406" s="38"/>
      <c r="J406" s="38"/>
    </row>
    <row r="407" customFormat="false" ht="15" hidden="false" customHeight="false" outlineLevel="0" collapsed="false">
      <c r="B407" s="35"/>
      <c r="D407" s="36"/>
      <c r="E407" s="37"/>
      <c r="F407" s="38"/>
      <c r="J407" s="38"/>
    </row>
    <row r="408" customFormat="false" ht="15" hidden="false" customHeight="false" outlineLevel="0" collapsed="false">
      <c r="B408" s="35"/>
      <c r="D408" s="36"/>
      <c r="E408" s="37"/>
      <c r="F408" s="38"/>
      <c r="J408" s="38"/>
    </row>
    <row r="409" customFormat="false" ht="15" hidden="false" customHeight="false" outlineLevel="0" collapsed="false">
      <c r="B409" s="35"/>
      <c r="D409" s="36"/>
      <c r="E409" s="37"/>
      <c r="F409" s="38"/>
      <c r="J409" s="38"/>
    </row>
    <row r="410" customFormat="false" ht="15" hidden="false" customHeight="false" outlineLevel="0" collapsed="false">
      <c r="B410" s="35"/>
      <c r="D410" s="36"/>
      <c r="E410" s="37"/>
      <c r="F410" s="38"/>
      <c r="J410" s="38"/>
    </row>
    <row r="411" customFormat="false" ht="15" hidden="false" customHeight="false" outlineLevel="0" collapsed="false">
      <c r="B411" s="35"/>
      <c r="D411" s="36"/>
      <c r="E411" s="37"/>
      <c r="F411" s="38"/>
      <c r="J411" s="38"/>
    </row>
    <row r="412" customFormat="false" ht="15" hidden="false" customHeight="false" outlineLevel="0" collapsed="false">
      <c r="B412" s="35"/>
      <c r="D412" s="36"/>
      <c r="E412" s="37"/>
      <c r="F412" s="38"/>
      <c r="J412" s="38"/>
    </row>
    <row r="413" customFormat="false" ht="15" hidden="false" customHeight="false" outlineLevel="0" collapsed="false">
      <c r="B413" s="35"/>
      <c r="D413" s="36"/>
      <c r="E413" s="37"/>
      <c r="F413" s="38"/>
      <c r="J413" s="38"/>
    </row>
    <row r="414" customFormat="false" ht="15" hidden="false" customHeight="false" outlineLevel="0" collapsed="false">
      <c r="B414" s="35"/>
      <c r="D414" s="36"/>
      <c r="E414" s="37"/>
      <c r="F414" s="38"/>
      <c r="J414" s="38"/>
    </row>
    <row r="415" customFormat="false" ht="15" hidden="false" customHeight="false" outlineLevel="0" collapsed="false">
      <c r="B415" s="35"/>
      <c r="D415" s="36"/>
      <c r="E415" s="37"/>
      <c r="F415" s="38"/>
      <c r="J415" s="38"/>
    </row>
    <row r="416" customFormat="false" ht="15" hidden="false" customHeight="false" outlineLevel="0" collapsed="false">
      <c r="B416" s="35"/>
      <c r="D416" s="36"/>
      <c r="E416" s="37"/>
      <c r="F416" s="38"/>
      <c r="J416" s="38"/>
    </row>
    <row r="417" customFormat="false" ht="15" hidden="false" customHeight="false" outlineLevel="0" collapsed="false">
      <c r="B417" s="35"/>
      <c r="D417" s="36"/>
      <c r="E417" s="37"/>
      <c r="F417" s="38"/>
      <c r="J417" s="38"/>
    </row>
    <row r="418" customFormat="false" ht="15" hidden="false" customHeight="false" outlineLevel="0" collapsed="false">
      <c r="B418" s="35"/>
      <c r="D418" s="36"/>
      <c r="E418" s="37"/>
      <c r="F418" s="38"/>
      <c r="J418" s="38"/>
    </row>
    <row r="419" customFormat="false" ht="15" hidden="false" customHeight="false" outlineLevel="0" collapsed="false">
      <c r="B419" s="35"/>
      <c r="D419" s="36"/>
      <c r="E419" s="37"/>
      <c r="F419" s="38"/>
      <c r="J419" s="38"/>
    </row>
    <row r="420" customFormat="false" ht="15" hidden="false" customHeight="false" outlineLevel="0" collapsed="false">
      <c r="B420" s="35"/>
      <c r="D420" s="36"/>
      <c r="E420" s="37"/>
      <c r="F420" s="38"/>
      <c r="J420" s="38"/>
    </row>
    <row r="421" customFormat="false" ht="15" hidden="false" customHeight="false" outlineLevel="0" collapsed="false">
      <c r="B421" s="35"/>
      <c r="D421" s="36"/>
      <c r="E421" s="37"/>
      <c r="F421" s="38"/>
      <c r="J421" s="38"/>
    </row>
    <row r="422" customFormat="false" ht="15" hidden="false" customHeight="false" outlineLevel="0" collapsed="false">
      <c r="B422" s="35"/>
      <c r="D422" s="36"/>
      <c r="E422" s="37"/>
      <c r="F422" s="38"/>
      <c r="J422" s="38"/>
    </row>
    <row r="423" customFormat="false" ht="15" hidden="false" customHeight="false" outlineLevel="0" collapsed="false">
      <c r="B423" s="35"/>
      <c r="D423" s="36"/>
      <c r="E423" s="37"/>
      <c r="F423" s="38"/>
      <c r="J423" s="38"/>
    </row>
    <row r="424" customFormat="false" ht="15" hidden="false" customHeight="false" outlineLevel="0" collapsed="false">
      <c r="B424" s="35"/>
      <c r="D424" s="36"/>
      <c r="E424" s="37"/>
      <c r="F424" s="38"/>
      <c r="J424" s="38"/>
    </row>
    <row r="425" customFormat="false" ht="15" hidden="false" customHeight="false" outlineLevel="0" collapsed="false">
      <c r="B425" s="35"/>
      <c r="D425" s="36"/>
      <c r="E425" s="37"/>
      <c r="F425" s="38"/>
      <c r="J425" s="38"/>
    </row>
    <row r="426" customFormat="false" ht="15" hidden="false" customHeight="false" outlineLevel="0" collapsed="false">
      <c r="B426" s="35"/>
      <c r="D426" s="36"/>
      <c r="E426" s="37"/>
      <c r="F426" s="38"/>
      <c r="J426" s="38"/>
    </row>
    <row r="427" customFormat="false" ht="15" hidden="false" customHeight="false" outlineLevel="0" collapsed="false">
      <c r="B427" s="35"/>
      <c r="D427" s="36"/>
      <c r="E427" s="37"/>
      <c r="F427" s="38"/>
      <c r="J427" s="38"/>
    </row>
    <row r="428" customFormat="false" ht="15" hidden="false" customHeight="false" outlineLevel="0" collapsed="false">
      <c r="B428" s="35"/>
      <c r="D428" s="36"/>
      <c r="E428" s="37"/>
      <c r="F428" s="38"/>
      <c r="J428" s="38"/>
    </row>
    <row r="429" customFormat="false" ht="15" hidden="false" customHeight="false" outlineLevel="0" collapsed="false">
      <c r="B429" s="35"/>
      <c r="D429" s="36"/>
      <c r="E429" s="37"/>
      <c r="F429" s="38"/>
      <c r="J429" s="38"/>
    </row>
    <row r="430" customFormat="false" ht="15" hidden="false" customHeight="false" outlineLevel="0" collapsed="false">
      <c r="B430" s="35"/>
      <c r="D430" s="36"/>
      <c r="E430" s="37"/>
      <c r="F430" s="38"/>
      <c r="J430" s="38"/>
    </row>
    <row r="431" customFormat="false" ht="15" hidden="false" customHeight="false" outlineLevel="0" collapsed="false">
      <c r="B431" s="35"/>
      <c r="D431" s="36"/>
      <c r="E431" s="37"/>
      <c r="F431" s="38"/>
      <c r="J431" s="38"/>
    </row>
    <row r="432" customFormat="false" ht="15" hidden="false" customHeight="false" outlineLevel="0" collapsed="false">
      <c r="B432" s="35"/>
      <c r="D432" s="36"/>
      <c r="E432" s="37"/>
      <c r="F432" s="38"/>
      <c r="J432" s="38"/>
    </row>
    <row r="433" customFormat="false" ht="15" hidden="false" customHeight="false" outlineLevel="0" collapsed="false">
      <c r="B433" s="35"/>
      <c r="D433" s="36"/>
      <c r="E433" s="37"/>
      <c r="F433" s="38"/>
      <c r="J433" s="38"/>
    </row>
    <row r="434" customFormat="false" ht="15" hidden="false" customHeight="false" outlineLevel="0" collapsed="false">
      <c r="B434" s="35"/>
      <c r="D434" s="36"/>
      <c r="E434" s="37"/>
      <c r="F434" s="38"/>
      <c r="J434" s="38"/>
    </row>
    <row r="435" customFormat="false" ht="15" hidden="false" customHeight="false" outlineLevel="0" collapsed="false">
      <c r="B435" s="35"/>
      <c r="D435" s="36"/>
      <c r="E435" s="37"/>
      <c r="F435" s="38"/>
      <c r="J435" s="38"/>
    </row>
    <row r="436" customFormat="false" ht="15" hidden="false" customHeight="false" outlineLevel="0" collapsed="false">
      <c r="B436" s="35"/>
      <c r="D436" s="36"/>
      <c r="E436" s="37"/>
      <c r="F436" s="38"/>
      <c r="J436" s="38"/>
    </row>
    <row r="437" customFormat="false" ht="15" hidden="false" customHeight="false" outlineLevel="0" collapsed="false">
      <c r="B437" s="35"/>
      <c r="D437" s="36"/>
      <c r="E437" s="37"/>
      <c r="F437" s="38"/>
      <c r="J437" s="38"/>
    </row>
    <row r="438" customFormat="false" ht="15" hidden="false" customHeight="false" outlineLevel="0" collapsed="false">
      <c r="B438" s="35"/>
      <c r="D438" s="36"/>
      <c r="E438" s="37"/>
      <c r="F438" s="38"/>
      <c r="J438" s="38"/>
    </row>
    <row r="439" customFormat="false" ht="15" hidden="false" customHeight="false" outlineLevel="0" collapsed="false">
      <c r="B439" s="35"/>
      <c r="D439" s="36"/>
      <c r="E439" s="37"/>
      <c r="F439" s="38"/>
      <c r="J439" s="38"/>
    </row>
    <row r="440" customFormat="false" ht="15" hidden="false" customHeight="false" outlineLevel="0" collapsed="false">
      <c r="B440" s="35"/>
      <c r="D440" s="36"/>
      <c r="E440" s="37"/>
      <c r="F440" s="38"/>
      <c r="J440" s="38"/>
    </row>
    <row r="441" customFormat="false" ht="15" hidden="false" customHeight="false" outlineLevel="0" collapsed="false">
      <c r="B441" s="35"/>
      <c r="D441" s="36"/>
      <c r="E441" s="37"/>
      <c r="F441" s="38"/>
      <c r="J441" s="38"/>
    </row>
    <row r="442" customFormat="false" ht="15" hidden="false" customHeight="false" outlineLevel="0" collapsed="false">
      <c r="B442" s="35"/>
      <c r="D442" s="36"/>
      <c r="E442" s="37"/>
      <c r="F442" s="38"/>
      <c r="J442" s="38"/>
    </row>
    <row r="443" customFormat="false" ht="15" hidden="false" customHeight="false" outlineLevel="0" collapsed="false">
      <c r="B443" s="35"/>
      <c r="D443" s="36"/>
      <c r="E443" s="37"/>
      <c r="F443" s="38"/>
      <c r="J443" s="38"/>
    </row>
    <row r="444" customFormat="false" ht="15" hidden="false" customHeight="false" outlineLevel="0" collapsed="false">
      <c r="B444" s="35"/>
      <c r="D444" s="36"/>
      <c r="E444" s="37"/>
      <c r="F444" s="38"/>
      <c r="J444" s="38"/>
    </row>
    <row r="445" customFormat="false" ht="15" hidden="false" customHeight="false" outlineLevel="0" collapsed="false">
      <c r="B445" s="35"/>
      <c r="D445" s="36"/>
      <c r="E445" s="37"/>
      <c r="F445" s="38"/>
      <c r="J445" s="38"/>
    </row>
    <row r="446" customFormat="false" ht="15" hidden="false" customHeight="false" outlineLevel="0" collapsed="false">
      <c r="B446" s="35"/>
      <c r="D446" s="36"/>
      <c r="E446" s="37"/>
      <c r="F446" s="38"/>
      <c r="J446" s="38"/>
    </row>
    <row r="447" customFormat="false" ht="15" hidden="false" customHeight="false" outlineLevel="0" collapsed="false">
      <c r="B447" s="35"/>
      <c r="D447" s="36"/>
      <c r="E447" s="37"/>
      <c r="F447" s="38"/>
      <c r="J447" s="38"/>
    </row>
    <row r="448" customFormat="false" ht="15" hidden="false" customHeight="false" outlineLevel="0" collapsed="false">
      <c r="B448" s="35"/>
      <c r="D448" s="36"/>
      <c r="E448" s="37"/>
      <c r="F448" s="38"/>
      <c r="J448" s="38"/>
    </row>
    <row r="449" customFormat="false" ht="15" hidden="false" customHeight="false" outlineLevel="0" collapsed="false">
      <c r="B449" s="35"/>
      <c r="D449" s="36"/>
      <c r="E449" s="37"/>
      <c r="F449" s="38"/>
      <c r="J449" s="38"/>
    </row>
    <row r="450" customFormat="false" ht="15" hidden="false" customHeight="false" outlineLevel="0" collapsed="false">
      <c r="B450" s="35"/>
      <c r="D450" s="36"/>
      <c r="E450" s="37"/>
      <c r="F450" s="38"/>
      <c r="J450" s="38"/>
    </row>
    <row r="451" customFormat="false" ht="15" hidden="false" customHeight="false" outlineLevel="0" collapsed="false">
      <c r="B451" s="35"/>
      <c r="D451" s="36"/>
      <c r="E451" s="37"/>
      <c r="F451" s="38"/>
      <c r="J451" s="38"/>
    </row>
    <row r="452" customFormat="false" ht="15" hidden="false" customHeight="false" outlineLevel="0" collapsed="false">
      <c r="B452" s="35"/>
      <c r="D452" s="36"/>
      <c r="E452" s="37"/>
      <c r="F452" s="38"/>
      <c r="J452" s="38"/>
    </row>
    <row r="453" customFormat="false" ht="15" hidden="false" customHeight="false" outlineLevel="0" collapsed="false">
      <c r="B453" s="35"/>
      <c r="D453" s="36"/>
      <c r="E453" s="37"/>
      <c r="F453" s="38"/>
      <c r="J453" s="38"/>
    </row>
    <row r="454" customFormat="false" ht="15" hidden="false" customHeight="false" outlineLevel="0" collapsed="false">
      <c r="B454" s="35"/>
      <c r="D454" s="36"/>
      <c r="E454" s="37"/>
      <c r="F454" s="38"/>
      <c r="J454" s="38"/>
    </row>
    <row r="455" customFormat="false" ht="15" hidden="false" customHeight="false" outlineLevel="0" collapsed="false">
      <c r="B455" s="35"/>
      <c r="D455" s="36"/>
      <c r="E455" s="37"/>
      <c r="F455" s="38"/>
      <c r="J455" s="38"/>
    </row>
    <row r="456" customFormat="false" ht="15" hidden="false" customHeight="false" outlineLevel="0" collapsed="false">
      <c r="B456" s="35"/>
      <c r="D456" s="36"/>
      <c r="E456" s="37"/>
      <c r="F456" s="38"/>
      <c r="J456" s="38"/>
    </row>
    <row r="457" customFormat="false" ht="15" hidden="false" customHeight="false" outlineLevel="0" collapsed="false">
      <c r="B457" s="35"/>
      <c r="D457" s="36"/>
      <c r="E457" s="37"/>
      <c r="F457" s="38"/>
      <c r="J457" s="38"/>
    </row>
    <row r="458" customFormat="false" ht="15" hidden="false" customHeight="false" outlineLevel="0" collapsed="false">
      <c r="B458" s="35"/>
      <c r="D458" s="36"/>
      <c r="E458" s="37"/>
      <c r="F458" s="38"/>
      <c r="J458" s="38"/>
    </row>
    <row r="459" customFormat="false" ht="15" hidden="false" customHeight="false" outlineLevel="0" collapsed="false">
      <c r="B459" s="35"/>
      <c r="D459" s="36"/>
      <c r="E459" s="37"/>
      <c r="F459" s="38"/>
      <c r="J459" s="38"/>
    </row>
    <row r="460" customFormat="false" ht="15" hidden="false" customHeight="false" outlineLevel="0" collapsed="false">
      <c r="B460" s="35"/>
      <c r="D460" s="36"/>
      <c r="E460" s="37"/>
      <c r="F460" s="38"/>
      <c r="J460" s="38"/>
    </row>
    <row r="461" customFormat="false" ht="15" hidden="false" customHeight="false" outlineLevel="0" collapsed="false">
      <c r="B461" s="35"/>
      <c r="D461" s="36"/>
      <c r="E461" s="37"/>
      <c r="F461" s="38"/>
      <c r="J461" s="38"/>
    </row>
    <row r="462" customFormat="false" ht="15" hidden="false" customHeight="false" outlineLevel="0" collapsed="false">
      <c r="B462" s="35"/>
      <c r="D462" s="36"/>
      <c r="E462" s="37"/>
      <c r="F462" s="38"/>
      <c r="J462" s="38"/>
    </row>
    <row r="463" customFormat="false" ht="15" hidden="false" customHeight="false" outlineLevel="0" collapsed="false">
      <c r="B463" s="35"/>
      <c r="D463" s="36"/>
      <c r="E463" s="37"/>
      <c r="F463" s="38"/>
      <c r="J463" s="38"/>
    </row>
    <row r="464" customFormat="false" ht="15" hidden="false" customHeight="false" outlineLevel="0" collapsed="false">
      <c r="B464" s="35"/>
      <c r="D464" s="36"/>
      <c r="E464" s="37"/>
      <c r="F464" s="38"/>
      <c r="J464" s="38"/>
    </row>
    <row r="465" customFormat="false" ht="15" hidden="false" customHeight="false" outlineLevel="0" collapsed="false">
      <c r="B465" s="35"/>
      <c r="D465" s="36"/>
      <c r="E465" s="37"/>
      <c r="F465" s="38"/>
      <c r="J465" s="38"/>
    </row>
    <row r="466" customFormat="false" ht="15" hidden="false" customHeight="false" outlineLevel="0" collapsed="false">
      <c r="B466" s="35"/>
      <c r="D466" s="36"/>
      <c r="E466" s="37"/>
      <c r="F466" s="38"/>
      <c r="J466" s="38"/>
    </row>
    <row r="467" customFormat="false" ht="15" hidden="false" customHeight="false" outlineLevel="0" collapsed="false">
      <c r="B467" s="35"/>
      <c r="D467" s="36"/>
      <c r="E467" s="37"/>
      <c r="F467" s="38"/>
      <c r="J467" s="38"/>
    </row>
    <row r="468" customFormat="false" ht="15" hidden="false" customHeight="false" outlineLevel="0" collapsed="false">
      <c r="B468" s="35"/>
      <c r="D468" s="36"/>
      <c r="E468" s="37"/>
      <c r="F468" s="38"/>
      <c r="J468" s="38"/>
    </row>
    <row r="469" customFormat="false" ht="15" hidden="false" customHeight="false" outlineLevel="0" collapsed="false">
      <c r="B469" s="35"/>
      <c r="D469" s="36"/>
      <c r="E469" s="37"/>
      <c r="F469" s="38"/>
      <c r="J469" s="38"/>
    </row>
    <row r="470" customFormat="false" ht="15" hidden="false" customHeight="false" outlineLevel="0" collapsed="false">
      <c r="B470" s="35"/>
      <c r="D470" s="36"/>
      <c r="E470" s="37"/>
      <c r="F470" s="38"/>
      <c r="J470" s="38"/>
    </row>
    <row r="471" customFormat="false" ht="15" hidden="false" customHeight="false" outlineLevel="0" collapsed="false">
      <c r="B471" s="35"/>
      <c r="D471" s="36"/>
      <c r="E471" s="37"/>
      <c r="F471" s="38"/>
      <c r="J471" s="38"/>
    </row>
    <row r="472" customFormat="false" ht="15" hidden="false" customHeight="false" outlineLevel="0" collapsed="false">
      <c r="B472" s="35"/>
      <c r="D472" s="36"/>
      <c r="E472" s="37"/>
      <c r="F472" s="38"/>
      <c r="J472" s="38"/>
    </row>
    <row r="473" customFormat="false" ht="15" hidden="false" customHeight="false" outlineLevel="0" collapsed="false">
      <c r="B473" s="35"/>
      <c r="D473" s="36"/>
      <c r="E473" s="37"/>
      <c r="F473" s="38"/>
      <c r="J473" s="38"/>
    </row>
    <row r="474" customFormat="false" ht="15" hidden="false" customHeight="false" outlineLevel="0" collapsed="false">
      <c r="B474" s="35"/>
      <c r="D474" s="36"/>
      <c r="E474" s="37"/>
      <c r="F474" s="38"/>
      <c r="J474" s="38"/>
    </row>
    <row r="475" customFormat="false" ht="15" hidden="false" customHeight="false" outlineLevel="0" collapsed="false">
      <c r="B475" s="35"/>
      <c r="D475" s="36"/>
      <c r="E475" s="37"/>
      <c r="F475" s="38"/>
      <c r="J475" s="38"/>
    </row>
    <row r="476" customFormat="false" ht="15" hidden="false" customHeight="false" outlineLevel="0" collapsed="false">
      <c r="B476" s="35"/>
      <c r="D476" s="36"/>
      <c r="E476" s="37"/>
      <c r="F476" s="38"/>
      <c r="J476" s="38"/>
    </row>
    <row r="477" customFormat="false" ht="15" hidden="false" customHeight="false" outlineLevel="0" collapsed="false">
      <c r="B477" s="35"/>
      <c r="D477" s="36"/>
      <c r="E477" s="37"/>
      <c r="F477" s="38"/>
      <c r="J477" s="38"/>
    </row>
    <row r="478" customFormat="false" ht="15" hidden="false" customHeight="false" outlineLevel="0" collapsed="false">
      <c r="B478" s="35"/>
      <c r="D478" s="36"/>
      <c r="E478" s="37"/>
      <c r="F478" s="38"/>
      <c r="J478" s="38"/>
    </row>
    <row r="479" customFormat="false" ht="15" hidden="false" customHeight="false" outlineLevel="0" collapsed="false">
      <c r="B479" s="35"/>
      <c r="D479" s="36"/>
      <c r="E479" s="37"/>
      <c r="F479" s="38"/>
      <c r="J479" s="38"/>
    </row>
    <row r="480" customFormat="false" ht="15" hidden="false" customHeight="false" outlineLevel="0" collapsed="false">
      <c r="B480" s="35"/>
      <c r="D480" s="36"/>
      <c r="E480" s="37"/>
      <c r="F480" s="38"/>
      <c r="J480" s="38"/>
    </row>
    <row r="481" customFormat="false" ht="15" hidden="false" customHeight="false" outlineLevel="0" collapsed="false">
      <c r="B481" s="35"/>
      <c r="D481" s="36"/>
      <c r="E481" s="37"/>
      <c r="F481" s="38"/>
      <c r="J481" s="38"/>
    </row>
    <row r="482" customFormat="false" ht="15" hidden="false" customHeight="false" outlineLevel="0" collapsed="false">
      <c r="B482" s="35"/>
      <c r="D482" s="36"/>
      <c r="E482" s="37"/>
      <c r="F482" s="38"/>
      <c r="J482" s="38"/>
    </row>
    <row r="483" customFormat="false" ht="15" hidden="false" customHeight="false" outlineLevel="0" collapsed="false">
      <c r="B483" s="35"/>
      <c r="D483" s="36"/>
      <c r="E483" s="37"/>
      <c r="F483" s="38"/>
      <c r="J483" s="38"/>
    </row>
    <row r="484" customFormat="false" ht="15" hidden="false" customHeight="false" outlineLevel="0" collapsed="false">
      <c r="B484" s="35"/>
      <c r="D484" s="36"/>
      <c r="E484" s="37"/>
      <c r="F484" s="38"/>
      <c r="J484" s="38"/>
    </row>
    <row r="485" customFormat="false" ht="15" hidden="false" customHeight="false" outlineLevel="0" collapsed="false">
      <c r="B485" s="35"/>
      <c r="D485" s="36"/>
      <c r="E485" s="37"/>
      <c r="F485" s="38"/>
      <c r="J485" s="38"/>
    </row>
    <row r="486" customFormat="false" ht="15" hidden="false" customHeight="false" outlineLevel="0" collapsed="false">
      <c r="B486" s="35"/>
      <c r="D486" s="36"/>
      <c r="E486" s="37"/>
      <c r="F486" s="38"/>
      <c r="J486" s="38"/>
    </row>
    <row r="487" customFormat="false" ht="15" hidden="false" customHeight="false" outlineLevel="0" collapsed="false">
      <c r="B487" s="35"/>
      <c r="D487" s="36"/>
      <c r="E487" s="37"/>
      <c r="F487" s="38"/>
      <c r="J487" s="38"/>
    </row>
    <row r="488" customFormat="false" ht="15" hidden="false" customHeight="false" outlineLevel="0" collapsed="false">
      <c r="B488" s="35"/>
      <c r="D488" s="36"/>
      <c r="E488" s="37"/>
      <c r="F488" s="38"/>
      <c r="J488" s="38"/>
    </row>
    <row r="489" customFormat="false" ht="15" hidden="false" customHeight="false" outlineLevel="0" collapsed="false">
      <c r="B489" s="35"/>
      <c r="D489" s="36"/>
      <c r="E489" s="37"/>
      <c r="F489" s="38"/>
      <c r="J489" s="38"/>
    </row>
    <row r="490" customFormat="false" ht="15" hidden="false" customHeight="false" outlineLevel="0" collapsed="false">
      <c r="B490" s="35"/>
      <c r="D490" s="36"/>
      <c r="E490" s="37"/>
      <c r="F490" s="38"/>
      <c r="J490" s="38"/>
    </row>
    <row r="491" customFormat="false" ht="15" hidden="false" customHeight="false" outlineLevel="0" collapsed="false">
      <c r="B491" s="35"/>
      <c r="D491" s="36"/>
      <c r="E491" s="37"/>
      <c r="F491" s="38"/>
      <c r="J491" s="38"/>
    </row>
    <row r="492" customFormat="false" ht="15" hidden="false" customHeight="false" outlineLevel="0" collapsed="false">
      <c r="B492" s="35"/>
      <c r="D492" s="36"/>
      <c r="E492" s="37"/>
      <c r="F492" s="38"/>
      <c r="J492" s="38"/>
    </row>
    <row r="493" customFormat="false" ht="15" hidden="false" customHeight="false" outlineLevel="0" collapsed="false">
      <c r="B493" s="35"/>
      <c r="D493" s="36"/>
      <c r="E493" s="37"/>
      <c r="F493" s="38"/>
      <c r="J493" s="38"/>
    </row>
    <row r="494" customFormat="false" ht="15" hidden="false" customHeight="false" outlineLevel="0" collapsed="false">
      <c r="B494" s="35"/>
      <c r="D494" s="36"/>
      <c r="E494" s="37"/>
      <c r="F494" s="38"/>
      <c r="J494" s="38"/>
    </row>
    <row r="495" customFormat="false" ht="15" hidden="false" customHeight="false" outlineLevel="0" collapsed="false">
      <c r="B495" s="35"/>
      <c r="D495" s="36"/>
      <c r="E495" s="37"/>
      <c r="F495" s="38"/>
      <c r="J495" s="38"/>
    </row>
    <row r="496" customFormat="false" ht="15" hidden="false" customHeight="false" outlineLevel="0" collapsed="false">
      <c r="B496" s="35"/>
      <c r="D496" s="36"/>
      <c r="E496" s="37"/>
      <c r="F496" s="38"/>
      <c r="J496" s="38"/>
    </row>
    <row r="497" customFormat="false" ht="15" hidden="false" customHeight="false" outlineLevel="0" collapsed="false">
      <c r="B497" s="35"/>
      <c r="D497" s="36"/>
      <c r="E497" s="37"/>
      <c r="F497" s="38"/>
      <c r="J497" s="38"/>
    </row>
    <row r="498" customFormat="false" ht="15" hidden="false" customHeight="false" outlineLevel="0" collapsed="false">
      <c r="B498" s="35"/>
      <c r="D498" s="36"/>
      <c r="E498" s="37"/>
      <c r="F498" s="38"/>
      <c r="J498" s="38"/>
    </row>
    <row r="499" customFormat="false" ht="15" hidden="false" customHeight="false" outlineLevel="0" collapsed="false">
      <c r="B499" s="35"/>
      <c r="D499" s="36"/>
      <c r="E499" s="37"/>
      <c r="F499" s="38"/>
      <c r="J499" s="38"/>
    </row>
    <row r="500" customFormat="false" ht="15" hidden="false" customHeight="false" outlineLevel="0" collapsed="false">
      <c r="B500" s="35"/>
      <c r="D500" s="36"/>
      <c r="E500" s="37"/>
      <c r="F500" s="38"/>
      <c r="J500" s="38"/>
    </row>
    <row r="501" customFormat="false" ht="15" hidden="false" customHeight="false" outlineLevel="0" collapsed="false">
      <c r="B501" s="35"/>
      <c r="D501" s="36"/>
      <c r="E501" s="37"/>
      <c r="F501" s="38"/>
      <c r="J501" s="38"/>
    </row>
    <row r="502" customFormat="false" ht="15" hidden="false" customHeight="false" outlineLevel="0" collapsed="false">
      <c r="B502" s="35"/>
      <c r="D502" s="36"/>
      <c r="E502" s="37"/>
      <c r="F502" s="38"/>
      <c r="J502" s="38"/>
    </row>
    <row r="503" customFormat="false" ht="15" hidden="false" customHeight="false" outlineLevel="0" collapsed="false">
      <c r="B503" s="35"/>
      <c r="D503" s="36"/>
      <c r="E503" s="37"/>
      <c r="F503" s="38"/>
      <c r="J503" s="38"/>
    </row>
    <row r="504" customFormat="false" ht="15" hidden="false" customHeight="false" outlineLevel="0" collapsed="false">
      <c r="B504" s="35"/>
      <c r="D504" s="36"/>
      <c r="E504" s="37"/>
      <c r="F504" s="38"/>
      <c r="J504" s="38"/>
    </row>
    <row r="505" customFormat="false" ht="15" hidden="false" customHeight="false" outlineLevel="0" collapsed="false">
      <c r="B505" s="35"/>
      <c r="D505" s="36"/>
      <c r="E505" s="37"/>
      <c r="F505" s="38"/>
      <c r="J505" s="38"/>
    </row>
    <row r="506" customFormat="false" ht="15" hidden="false" customHeight="false" outlineLevel="0" collapsed="false">
      <c r="B506" s="35"/>
      <c r="D506" s="36"/>
      <c r="E506" s="37"/>
      <c r="F506" s="38"/>
      <c r="J506" s="38"/>
    </row>
    <row r="507" customFormat="false" ht="15" hidden="false" customHeight="false" outlineLevel="0" collapsed="false">
      <c r="B507" s="35"/>
      <c r="D507" s="36"/>
      <c r="E507" s="37"/>
      <c r="F507" s="38"/>
      <c r="J507" s="38"/>
    </row>
    <row r="508" customFormat="false" ht="15" hidden="false" customHeight="false" outlineLevel="0" collapsed="false">
      <c r="B508" s="35"/>
      <c r="D508" s="36"/>
      <c r="E508" s="37"/>
      <c r="F508" s="38"/>
      <c r="J508" s="38"/>
    </row>
    <row r="509" customFormat="false" ht="15" hidden="false" customHeight="false" outlineLevel="0" collapsed="false">
      <c r="B509" s="35"/>
      <c r="D509" s="36"/>
      <c r="E509" s="37"/>
      <c r="F509" s="38"/>
      <c r="J509" s="38"/>
    </row>
    <row r="510" customFormat="false" ht="15" hidden="false" customHeight="false" outlineLevel="0" collapsed="false">
      <c r="B510" s="35"/>
      <c r="D510" s="36"/>
      <c r="E510" s="37"/>
      <c r="F510" s="38"/>
      <c r="J510" s="38"/>
    </row>
    <row r="511" customFormat="false" ht="15" hidden="false" customHeight="false" outlineLevel="0" collapsed="false">
      <c r="B511" s="35"/>
      <c r="D511" s="36"/>
      <c r="E511" s="37"/>
      <c r="F511" s="38"/>
      <c r="J511" s="38"/>
    </row>
    <row r="512" customFormat="false" ht="15" hidden="false" customHeight="false" outlineLevel="0" collapsed="false">
      <c r="B512" s="35"/>
      <c r="D512" s="36"/>
      <c r="E512" s="37"/>
      <c r="F512" s="38"/>
      <c r="J512" s="38"/>
    </row>
    <row r="513" customFormat="false" ht="15" hidden="false" customHeight="false" outlineLevel="0" collapsed="false">
      <c r="B513" s="35"/>
      <c r="D513" s="36"/>
      <c r="E513" s="37"/>
      <c r="F513" s="38"/>
      <c r="J513" s="38"/>
    </row>
    <row r="514" customFormat="false" ht="15" hidden="false" customHeight="false" outlineLevel="0" collapsed="false">
      <c r="B514" s="35"/>
      <c r="D514" s="36"/>
      <c r="E514" s="37"/>
      <c r="F514" s="38"/>
      <c r="J514" s="38"/>
    </row>
    <row r="515" customFormat="false" ht="15" hidden="false" customHeight="false" outlineLevel="0" collapsed="false">
      <c r="B515" s="35"/>
      <c r="D515" s="36"/>
      <c r="E515" s="37"/>
      <c r="F515" s="38"/>
      <c r="J515" s="38"/>
    </row>
    <row r="516" customFormat="false" ht="15" hidden="false" customHeight="false" outlineLevel="0" collapsed="false">
      <c r="B516" s="35"/>
      <c r="D516" s="36"/>
      <c r="E516" s="37"/>
      <c r="F516" s="38"/>
      <c r="J516" s="38"/>
    </row>
    <row r="517" customFormat="false" ht="15" hidden="false" customHeight="false" outlineLevel="0" collapsed="false">
      <c r="B517" s="35"/>
      <c r="D517" s="36"/>
      <c r="E517" s="37"/>
      <c r="F517" s="38"/>
      <c r="J517" s="38"/>
    </row>
    <row r="518" customFormat="false" ht="15" hidden="false" customHeight="false" outlineLevel="0" collapsed="false">
      <c r="B518" s="35"/>
      <c r="D518" s="36"/>
      <c r="E518" s="37"/>
      <c r="F518" s="38"/>
      <c r="J518" s="38"/>
    </row>
    <row r="519" customFormat="false" ht="15" hidden="false" customHeight="false" outlineLevel="0" collapsed="false">
      <c r="B519" s="35"/>
      <c r="D519" s="36"/>
      <c r="E519" s="37"/>
      <c r="F519" s="38"/>
      <c r="J519" s="38"/>
    </row>
    <row r="520" customFormat="false" ht="15" hidden="false" customHeight="false" outlineLevel="0" collapsed="false">
      <c r="B520" s="35"/>
      <c r="D520" s="36"/>
      <c r="E520" s="37"/>
      <c r="F520" s="38"/>
      <c r="J520" s="38"/>
    </row>
    <row r="521" customFormat="false" ht="15" hidden="false" customHeight="false" outlineLevel="0" collapsed="false">
      <c r="B521" s="35"/>
      <c r="D521" s="36"/>
      <c r="E521" s="37"/>
      <c r="F521" s="38"/>
      <c r="J521" s="38"/>
    </row>
    <row r="522" customFormat="false" ht="15" hidden="false" customHeight="false" outlineLevel="0" collapsed="false">
      <c r="B522" s="35"/>
      <c r="D522" s="36"/>
      <c r="E522" s="37"/>
      <c r="F522" s="38"/>
      <c r="J522" s="38"/>
    </row>
    <row r="523" customFormat="false" ht="15" hidden="false" customHeight="false" outlineLevel="0" collapsed="false">
      <c r="B523" s="35"/>
      <c r="D523" s="36"/>
      <c r="E523" s="37"/>
      <c r="F523" s="38"/>
      <c r="J523" s="38"/>
    </row>
    <row r="524" customFormat="false" ht="15" hidden="false" customHeight="false" outlineLevel="0" collapsed="false">
      <c r="B524" s="35"/>
      <c r="D524" s="36"/>
      <c r="E524" s="37"/>
      <c r="F524" s="38"/>
      <c r="J524" s="38"/>
    </row>
    <row r="525" customFormat="false" ht="15" hidden="false" customHeight="false" outlineLevel="0" collapsed="false">
      <c r="B525" s="35"/>
      <c r="D525" s="36"/>
      <c r="E525" s="37"/>
      <c r="F525" s="38"/>
      <c r="J525" s="38"/>
    </row>
    <row r="526" customFormat="false" ht="15" hidden="false" customHeight="false" outlineLevel="0" collapsed="false">
      <c r="B526" s="35"/>
      <c r="D526" s="36"/>
      <c r="E526" s="37"/>
      <c r="F526" s="38"/>
      <c r="J526" s="38"/>
    </row>
    <row r="527" customFormat="false" ht="15" hidden="false" customHeight="false" outlineLevel="0" collapsed="false">
      <c r="B527" s="35"/>
      <c r="D527" s="36"/>
      <c r="E527" s="37"/>
      <c r="F527" s="38"/>
      <c r="J527" s="38"/>
    </row>
    <row r="528" customFormat="false" ht="15" hidden="false" customHeight="false" outlineLevel="0" collapsed="false">
      <c r="B528" s="35"/>
      <c r="D528" s="36"/>
      <c r="E528" s="37"/>
      <c r="F528" s="38"/>
      <c r="J528" s="38"/>
    </row>
    <row r="529" customFormat="false" ht="15" hidden="false" customHeight="false" outlineLevel="0" collapsed="false">
      <c r="B529" s="35"/>
      <c r="D529" s="36"/>
      <c r="E529" s="37"/>
      <c r="F529" s="38"/>
      <c r="J529" s="38"/>
    </row>
    <row r="530" customFormat="false" ht="15" hidden="false" customHeight="false" outlineLevel="0" collapsed="false">
      <c r="B530" s="35"/>
      <c r="D530" s="36"/>
      <c r="E530" s="37"/>
      <c r="F530" s="38"/>
      <c r="J530" s="38"/>
    </row>
    <row r="531" customFormat="false" ht="15" hidden="false" customHeight="false" outlineLevel="0" collapsed="false">
      <c r="B531" s="35"/>
      <c r="D531" s="36"/>
      <c r="E531" s="37"/>
      <c r="F531" s="38"/>
      <c r="J531" s="38"/>
    </row>
    <row r="532" customFormat="false" ht="15" hidden="false" customHeight="false" outlineLevel="0" collapsed="false">
      <c r="B532" s="35"/>
      <c r="D532" s="36"/>
      <c r="E532" s="37"/>
      <c r="F532" s="38"/>
      <c r="J532" s="38"/>
    </row>
    <row r="533" customFormat="false" ht="15" hidden="false" customHeight="false" outlineLevel="0" collapsed="false">
      <c r="B533" s="35"/>
      <c r="D533" s="36"/>
      <c r="E533" s="37"/>
      <c r="F533" s="38"/>
      <c r="J533" s="38"/>
    </row>
    <row r="534" customFormat="false" ht="15" hidden="false" customHeight="false" outlineLevel="0" collapsed="false">
      <c r="B534" s="35"/>
      <c r="D534" s="36"/>
      <c r="E534" s="37"/>
      <c r="F534" s="38"/>
      <c r="J534" s="38"/>
    </row>
    <row r="535" customFormat="false" ht="15" hidden="false" customHeight="false" outlineLevel="0" collapsed="false">
      <c r="B535" s="35"/>
      <c r="D535" s="36"/>
      <c r="E535" s="37"/>
      <c r="F535" s="38"/>
      <c r="J535" s="38"/>
    </row>
    <row r="536" customFormat="false" ht="15" hidden="false" customHeight="false" outlineLevel="0" collapsed="false">
      <c r="B536" s="35"/>
      <c r="D536" s="36"/>
      <c r="E536" s="37"/>
      <c r="F536" s="38"/>
      <c r="J536" s="38"/>
    </row>
    <row r="537" customFormat="false" ht="15" hidden="false" customHeight="false" outlineLevel="0" collapsed="false">
      <c r="B537" s="35"/>
      <c r="D537" s="36"/>
      <c r="E537" s="37"/>
      <c r="F537" s="38"/>
      <c r="J537" s="38"/>
    </row>
    <row r="538" customFormat="false" ht="15" hidden="false" customHeight="false" outlineLevel="0" collapsed="false">
      <c r="B538" s="35"/>
      <c r="D538" s="36"/>
      <c r="E538" s="37"/>
      <c r="F538" s="38"/>
      <c r="J538" s="38"/>
    </row>
    <row r="539" customFormat="false" ht="15" hidden="false" customHeight="false" outlineLevel="0" collapsed="false">
      <c r="B539" s="35"/>
      <c r="D539" s="36"/>
      <c r="E539" s="37"/>
      <c r="F539" s="38"/>
      <c r="J539" s="38"/>
    </row>
    <row r="540" customFormat="false" ht="15" hidden="false" customHeight="false" outlineLevel="0" collapsed="false">
      <c r="B540" s="35"/>
      <c r="D540" s="36"/>
      <c r="E540" s="37"/>
      <c r="F540" s="38"/>
      <c r="J540" s="38"/>
    </row>
    <row r="541" customFormat="false" ht="15" hidden="false" customHeight="false" outlineLevel="0" collapsed="false">
      <c r="B541" s="35"/>
      <c r="D541" s="36"/>
      <c r="E541" s="37"/>
      <c r="F541" s="38"/>
      <c r="J541" s="38"/>
    </row>
    <row r="542" customFormat="false" ht="15" hidden="false" customHeight="false" outlineLevel="0" collapsed="false">
      <c r="B542" s="35"/>
      <c r="D542" s="36"/>
      <c r="E542" s="37"/>
      <c r="F542" s="38"/>
      <c r="J542" s="38"/>
    </row>
    <row r="543" customFormat="false" ht="15" hidden="false" customHeight="false" outlineLevel="0" collapsed="false">
      <c r="B543" s="35"/>
      <c r="D543" s="36"/>
      <c r="E543" s="37"/>
      <c r="F543" s="38"/>
      <c r="J543" s="38"/>
    </row>
    <row r="544" customFormat="false" ht="15" hidden="false" customHeight="false" outlineLevel="0" collapsed="false">
      <c r="B544" s="35"/>
      <c r="D544" s="36"/>
      <c r="E544" s="37"/>
      <c r="F544" s="38"/>
      <c r="J544" s="38"/>
    </row>
    <row r="545" customFormat="false" ht="15" hidden="false" customHeight="false" outlineLevel="0" collapsed="false">
      <c r="B545" s="35"/>
      <c r="D545" s="36"/>
      <c r="E545" s="37"/>
      <c r="F545" s="38"/>
      <c r="J545" s="38"/>
    </row>
    <row r="546" customFormat="false" ht="15" hidden="false" customHeight="false" outlineLevel="0" collapsed="false">
      <c r="B546" s="35"/>
      <c r="D546" s="36"/>
      <c r="E546" s="37"/>
      <c r="F546" s="38"/>
      <c r="J546" s="38"/>
    </row>
    <row r="547" customFormat="false" ht="15" hidden="false" customHeight="false" outlineLevel="0" collapsed="false">
      <c r="B547" s="35"/>
      <c r="D547" s="36"/>
      <c r="E547" s="37"/>
      <c r="F547" s="38"/>
      <c r="J547" s="38"/>
    </row>
    <row r="548" customFormat="false" ht="15" hidden="false" customHeight="false" outlineLevel="0" collapsed="false">
      <c r="B548" s="35"/>
      <c r="D548" s="36"/>
      <c r="E548" s="37"/>
      <c r="F548" s="38"/>
      <c r="J548" s="38"/>
    </row>
    <row r="549" customFormat="false" ht="15" hidden="false" customHeight="false" outlineLevel="0" collapsed="false">
      <c r="B549" s="35"/>
      <c r="D549" s="36"/>
      <c r="E549" s="37"/>
      <c r="F549" s="38"/>
      <c r="J549" s="38"/>
    </row>
    <row r="550" customFormat="false" ht="15" hidden="false" customHeight="false" outlineLevel="0" collapsed="false">
      <c r="B550" s="35"/>
      <c r="D550" s="36"/>
      <c r="E550" s="37"/>
      <c r="F550" s="38"/>
      <c r="J550" s="38"/>
    </row>
    <row r="551" customFormat="false" ht="15" hidden="false" customHeight="false" outlineLevel="0" collapsed="false">
      <c r="B551" s="35"/>
      <c r="D551" s="36"/>
      <c r="E551" s="37"/>
      <c r="F551" s="38"/>
      <c r="J551" s="38"/>
    </row>
    <row r="552" customFormat="false" ht="15" hidden="false" customHeight="false" outlineLevel="0" collapsed="false">
      <c r="B552" s="35"/>
      <c r="D552" s="36"/>
      <c r="E552" s="37"/>
      <c r="F552" s="38"/>
      <c r="J552" s="38"/>
    </row>
    <row r="553" customFormat="false" ht="15" hidden="false" customHeight="false" outlineLevel="0" collapsed="false">
      <c r="B553" s="35"/>
      <c r="D553" s="36"/>
      <c r="E553" s="37"/>
      <c r="F553" s="38"/>
      <c r="J553" s="38"/>
    </row>
    <row r="554" customFormat="false" ht="15" hidden="false" customHeight="false" outlineLevel="0" collapsed="false">
      <c r="B554" s="35"/>
      <c r="D554" s="36"/>
      <c r="E554" s="37"/>
      <c r="F554" s="38"/>
      <c r="J554" s="38"/>
    </row>
    <row r="555" customFormat="false" ht="15" hidden="false" customHeight="false" outlineLevel="0" collapsed="false">
      <c r="B555" s="35"/>
      <c r="D555" s="36"/>
      <c r="E555" s="37"/>
      <c r="F555" s="38"/>
      <c r="J555" s="38"/>
    </row>
    <row r="556" customFormat="false" ht="15" hidden="false" customHeight="false" outlineLevel="0" collapsed="false">
      <c r="B556" s="35"/>
      <c r="D556" s="36"/>
      <c r="E556" s="37"/>
      <c r="F556" s="38"/>
      <c r="J556" s="38"/>
    </row>
    <row r="557" customFormat="false" ht="15" hidden="false" customHeight="false" outlineLevel="0" collapsed="false">
      <c r="B557" s="35"/>
      <c r="D557" s="36"/>
      <c r="E557" s="37"/>
      <c r="F557" s="38"/>
      <c r="J557" s="38"/>
    </row>
    <row r="558" customFormat="false" ht="15" hidden="false" customHeight="false" outlineLevel="0" collapsed="false">
      <c r="B558" s="35"/>
      <c r="D558" s="36"/>
      <c r="E558" s="37"/>
      <c r="F558" s="38"/>
      <c r="J558" s="38"/>
    </row>
    <row r="559" customFormat="false" ht="15" hidden="false" customHeight="false" outlineLevel="0" collapsed="false">
      <c r="B559" s="35"/>
      <c r="D559" s="36"/>
      <c r="E559" s="37"/>
      <c r="F559" s="38"/>
      <c r="J559" s="38"/>
    </row>
    <row r="560" customFormat="false" ht="15" hidden="false" customHeight="false" outlineLevel="0" collapsed="false">
      <c r="B560" s="35"/>
      <c r="D560" s="36"/>
      <c r="E560" s="37"/>
      <c r="F560" s="38"/>
      <c r="J560" s="38"/>
    </row>
    <row r="561" customFormat="false" ht="15" hidden="false" customHeight="false" outlineLevel="0" collapsed="false">
      <c r="B561" s="35"/>
      <c r="D561" s="36"/>
      <c r="E561" s="37"/>
      <c r="F561" s="38"/>
      <c r="J561" s="38"/>
    </row>
    <row r="562" customFormat="false" ht="15" hidden="false" customHeight="false" outlineLevel="0" collapsed="false">
      <c r="B562" s="35"/>
      <c r="D562" s="36"/>
      <c r="E562" s="37"/>
      <c r="F562" s="38"/>
      <c r="J562" s="38"/>
    </row>
    <row r="563" customFormat="false" ht="15" hidden="false" customHeight="false" outlineLevel="0" collapsed="false">
      <c r="B563" s="35"/>
      <c r="D563" s="36"/>
      <c r="E563" s="37"/>
      <c r="F563" s="38"/>
      <c r="J563" s="38"/>
    </row>
    <row r="564" customFormat="false" ht="15" hidden="false" customHeight="false" outlineLevel="0" collapsed="false">
      <c r="B564" s="35"/>
      <c r="D564" s="36"/>
      <c r="E564" s="37"/>
      <c r="F564" s="38"/>
      <c r="J564" s="38"/>
    </row>
    <row r="565" customFormat="false" ht="15" hidden="false" customHeight="false" outlineLevel="0" collapsed="false">
      <c r="B565" s="35"/>
      <c r="D565" s="36"/>
      <c r="E565" s="37"/>
      <c r="F565" s="38"/>
      <c r="J565" s="38"/>
    </row>
    <row r="566" customFormat="false" ht="15" hidden="false" customHeight="false" outlineLevel="0" collapsed="false">
      <c r="B566" s="35"/>
      <c r="D566" s="36"/>
      <c r="E566" s="37"/>
      <c r="F566" s="38"/>
      <c r="J566" s="38"/>
    </row>
    <row r="567" customFormat="false" ht="15" hidden="false" customHeight="false" outlineLevel="0" collapsed="false">
      <c r="B567" s="35"/>
      <c r="D567" s="36"/>
      <c r="E567" s="37"/>
      <c r="F567" s="38"/>
      <c r="J567" s="38"/>
    </row>
    <row r="568" customFormat="false" ht="15" hidden="false" customHeight="false" outlineLevel="0" collapsed="false">
      <c r="B568" s="35"/>
      <c r="D568" s="36"/>
      <c r="E568" s="37"/>
      <c r="F568" s="38"/>
      <c r="J568" s="38"/>
    </row>
    <row r="569" customFormat="false" ht="15" hidden="false" customHeight="false" outlineLevel="0" collapsed="false">
      <c r="B569" s="35"/>
      <c r="D569" s="36"/>
      <c r="E569" s="37"/>
      <c r="F569" s="38"/>
      <c r="J569" s="38"/>
    </row>
    <row r="570" customFormat="false" ht="15" hidden="false" customHeight="false" outlineLevel="0" collapsed="false">
      <c r="B570" s="35"/>
      <c r="D570" s="36"/>
      <c r="E570" s="37"/>
      <c r="F570" s="38"/>
      <c r="J570" s="38"/>
    </row>
    <row r="571" customFormat="false" ht="15" hidden="false" customHeight="false" outlineLevel="0" collapsed="false">
      <c r="B571" s="35"/>
      <c r="D571" s="36"/>
      <c r="E571" s="37"/>
      <c r="F571" s="38"/>
      <c r="J571" s="38"/>
    </row>
    <row r="572" customFormat="false" ht="15" hidden="false" customHeight="false" outlineLevel="0" collapsed="false">
      <c r="B572" s="35"/>
      <c r="D572" s="36"/>
      <c r="E572" s="37"/>
      <c r="F572" s="38"/>
      <c r="J572" s="38"/>
    </row>
    <row r="573" customFormat="false" ht="15" hidden="false" customHeight="false" outlineLevel="0" collapsed="false">
      <c r="B573" s="35"/>
      <c r="D573" s="36"/>
      <c r="E573" s="37"/>
      <c r="F573" s="38"/>
      <c r="J573" s="38"/>
    </row>
    <row r="574" customFormat="false" ht="15" hidden="false" customHeight="false" outlineLevel="0" collapsed="false">
      <c r="B574" s="35"/>
      <c r="D574" s="36"/>
      <c r="E574" s="37"/>
      <c r="F574" s="38"/>
      <c r="J574" s="38"/>
    </row>
    <row r="575" customFormat="false" ht="15" hidden="false" customHeight="false" outlineLevel="0" collapsed="false">
      <c r="B575" s="35"/>
      <c r="D575" s="36"/>
      <c r="E575" s="37"/>
      <c r="F575" s="38"/>
      <c r="J575" s="38"/>
    </row>
    <row r="576" customFormat="false" ht="15" hidden="false" customHeight="false" outlineLevel="0" collapsed="false">
      <c r="B576" s="35"/>
      <c r="D576" s="36"/>
      <c r="E576" s="37"/>
      <c r="F576" s="38"/>
      <c r="J576" s="38"/>
    </row>
    <row r="577" customFormat="false" ht="15" hidden="false" customHeight="false" outlineLevel="0" collapsed="false">
      <c r="B577" s="35"/>
      <c r="D577" s="36"/>
      <c r="E577" s="37"/>
      <c r="F577" s="38"/>
      <c r="J577" s="38"/>
    </row>
    <row r="578" customFormat="false" ht="15" hidden="false" customHeight="false" outlineLevel="0" collapsed="false">
      <c r="B578" s="35"/>
      <c r="D578" s="36"/>
      <c r="E578" s="37"/>
      <c r="F578" s="38"/>
      <c r="J578" s="38"/>
    </row>
    <row r="579" customFormat="false" ht="15" hidden="false" customHeight="false" outlineLevel="0" collapsed="false">
      <c r="B579" s="35"/>
      <c r="D579" s="36"/>
      <c r="E579" s="37"/>
      <c r="F579" s="38"/>
      <c r="J579" s="38"/>
    </row>
    <row r="580" customFormat="false" ht="15" hidden="false" customHeight="false" outlineLevel="0" collapsed="false">
      <c r="B580" s="35"/>
      <c r="D580" s="36"/>
      <c r="E580" s="37"/>
      <c r="F580" s="38"/>
      <c r="J580" s="38"/>
    </row>
    <row r="581" customFormat="false" ht="15" hidden="false" customHeight="false" outlineLevel="0" collapsed="false">
      <c r="B581" s="35"/>
      <c r="D581" s="36"/>
      <c r="E581" s="37"/>
      <c r="F581" s="38"/>
      <c r="J581" s="38"/>
    </row>
    <row r="582" customFormat="false" ht="15" hidden="false" customHeight="false" outlineLevel="0" collapsed="false">
      <c r="B582" s="35"/>
      <c r="D582" s="36"/>
      <c r="E582" s="37"/>
      <c r="F582" s="38"/>
      <c r="J582" s="38"/>
    </row>
    <row r="583" customFormat="false" ht="15" hidden="false" customHeight="false" outlineLevel="0" collapsed="false">
      <c r="B583" s="35"/>
      <c r="D583" s="36"/>
      <c r="E583" s="37"/>
      <c r="F583" s="38"/>
      <c r="J583" s="38"/>
    </row>
    <row r="584" customFormat="false" ht="15" hidden="false" customHeight="false" outlineLevel="0" collapsed="false">
      <c r="B584" s="35"/>
      <c r="D584" s="36"/>
      <c r="E584" s="37"/>
      <c r="F584" s="38"/>
      <c r="J584" s="38"/>
    </row>
    <row r="585" customFormat="false" ht="15" hidden="false" customHeight="false" outlineLevel="0" collapsed="false">
      <c r="B585" s="35"/>
      <c r="D585" s="36"/>
      <c r="E585" s="37"/>
      <c r="F585" s="38"/>
      <c r="J585" s="38"/>
    </row>
    <row r="586" customFormat="false" ht="15" hidden="false" customHeight="false" outlineLevel="0" collapsed="false">
      <c r="B586" s="35"/>
      <c r="D586" s="36"/>
      <c r="E586" s="37"/>
      <c r="F586" s="38"/>
      <c r="J586" s="38"/>
    </row>
    <row r="587" customFormat="false" ht="15" hidden="false" customHeight="false" outlineLevel="0" collapsed="false">
      <c r="B587" s="35"/>
      <c r="D587" s="36"/>
      <c r="E587" s="37"/>
      <c r="F587" s="38"/>
      <c r="J587" s="38"/>
    </row>
    <row r="588" customFormat="false" ht="15" hidden="false" customHeight="false" outlineLevel="0" collapsed="false">
      <c r="B588" s="35"/>
      <c r="D588" s="36"/>
      <c r="E588" s="37"/>
      <c r="F588" s="38"/>
      <c r="J588" s="38"/>
    </row>
    <row r="589" customFormat="false" ht="15" hidden="false" customHeight="false" outlineLevel="0" collapsed="false">
      <c r="B589" s="35"/>
      <c r="D589" s="36"/>
      <c r="E589" s="37"/>
      <c r="F589" s="38"/>
      <c r="J589" s="38"/>
    </row>
    <row r="590" customFormat="false" ht="15" hidden="false" customHeight="false" outlineLevel="0" collapsed="false">
      <c r="B590" s="35"/>
      <c r="D590" s="36"/>
      <c r="E590" s="37"/>
      <c r="F590" s="38"/>
      <c r="J590" s="38"/>
    </row>
    <row r="591" customFormat="false" ht="15" hidden="false" customHeight="false" outlineLevel="0" collapsed="false">
      <c r="B591" s="35"/>
      <c r="D591" s="36"/>
      <c r="E591" s="37"/>
      <c r="F591" s="38"/>
      <c r="J591" s="38"/>
    </row>
    <row r="592" customFormat="false" ht="15" hidden="false" customHeight="false" outlineLevel="0" collapsed="false">
      <c r="B592" s="35"/>
      <c r="D592" s="36"/>
      <c r="E592" s="37"/>
      <c r="F592" s="38"/>
      <c r="J592" s="38"/>
    </row>
    <row r="593" customFormat="false" ht="15" hidden="false" customHeight="false" outlineLevel="0" collapsed="false">
      <c r="B593" s="35"/>
      <c r="D593" s="36"/>
      <c r="E593" s="37"/>
      <c r="F593" s="38"/>
      <c r="J593" s="38"/>
    </row>
    <row r="594" customFormat="false" ht="15" hidden="false" customHeight="false" outlineLevel="0" collapsed="false">
      <c r="B594" s="35"/>
      <c r="D594" s="36"/>
      <c r="E594" s="37"/>
      <c r="F594" s="38"/>
      <c r="J594" s="38"/>
    </row>
    <row r="595" customFormat="false" ht="15" hidden="false" customHeight="false" outlineLevel="0" collapsed="false">
      <c r="B595" s="35"/>
      <c r="D595" s="36"/>
      <c r="E595" s="37"/>
      <c r="F595" s="38"/>
      <c r="J595" s="38"/>
    </row>
    <row r="596" customFormat="false" ht="15" hidden="false" customHeight="false" outlineLevel="0" collapsed="false">
      <c r="B596" s="35"/>
      <c r="D596" s="36"/>
      <c r="E596" s="37"/>
      <c r="F596" s="38"/>
      <c r="J596" s="38"/>
    </row>
    <row r="597" customFormat="false" ht="15" hidden="false" customHeight="false" outlineLevel="0" collapsed="false">
      <c r="B597" s="35"/>
      <c r="D597" s="36"/>
      <c r="E597" s="37"/>
      <c r="F597" s="38"/>
      <c r="J597" s="38"/>
    </row>
    <row r="598" customFormat="false" ht="15" hidden="false" customHeight="false" outlineLevel="0" collapsed="false">
      <c r="B598" s="35"/>
      <c r="D598" s="36"/>
      <c r="E598" s="37"/>
      <c r="F598" s="38"/>
      <c r="J598" s="38"/>
    </row>
    <row r="599" customFormat="false" ht="15" hidden="false" customHeight="false" outlineLevel="0" collapsed="false">
      <c r="B599" s="35"/>
      <c r="D599" s="36"/>
      <c r="E599" s="37"/>
      <c r="F599" s="38"/>
      <c r="J599" s="38"/>
    </row>
    <row r="600" customFormat="false" ht="15" hidden="false" customHeight="false" outlineLevel="0" collapsed="false">
      <c r="B600" s="35"/>
      <c r="D600" s="36"/>
      <c r="E600" s="37"/>
      <c r="F600" s="38"/>
      <c r="J600" s="38"/>
    </row>
    <row r="601" customFormat="false" ht="15" hidden="false" customHeight="false" outlineLevel="0" collapsed="false">
      <c r="B601" s="35"/>
      <c r="D601" s="36"/>
      <c r="E601" s="37"/>
      <c r="F601" s="38"/>
      <c r="J601" s="38"/>
    </row>
    <row r="602" customFormat="false" ht="15" hidden="false" customHeight="false" outlineLevel="0" collapsed="false">
      <c r="B602" s="35"/>
      <c r="D602" s="36"/>
      <c r="E602" s="37"/>
      <c r="F602" s="38"/>
      <c r="J602" s="38"/>
    </row>
    <row r="603" customFormat="false" ht="15" hidden="false" customHeight="false" outlineLevel="0" collapsed="false">
      <c r="B603" s="35"/>
      <c r="D603" s="36"/>
      <c r="E603" s="37"/>
      <c r="F603" s="38"/>
      <c r="J603" s="38"/>
    </row>
    <row r="604" customFormat="false" ht="15" hidden="false" customHeight="false" outlineLevel="0" collapsed="false">
      <c r="B604" s="35"/>
      <c r="D604" s="36"/>
      <c r="E604" s="37"/>
      <c r="F604" s="38"/>
      <c r="J604" s="38"/>
    </row>
    <row r="605" customFormat="false" ht="15" hidden="false" customHeight="false" outlineLevel="0" collapsed="false">
      <c r="B605" s="35"/>
      <c r="D605" s="36"/>
      <c r="E605" s="37"/>
      <c r="F605" s="38"/>
      <c r="J605" s="38"/>
    </row>
    <row r="606" customFormat="false" ht="15" hidden="false" customHeight="false" outlineLevel="0" collapsed="false">
      <c r="B606" s="35"/>
      <c r="D606" s="36"/>
      <c r="E606" s="37"/>
      <c r="F606" s="38"/>
      <c r="J606" s="38"/>
    </row>
    <row r="607" customFormat="false" ht="15" hidden="false" customHeight="false" outlineLevel="0" collapsed="false">
      <c r="B607" s="35"/>
      <c r="D607" s="36"/>
      <c r="E607" s="37"/>
      <c r="F607" s="38"/>
      <c r="J607" s="38"/>
    </row>
    <row r="608" customFormat="false" ht="15" hidden="false" customHeight="false" outlineLevel="0" collapsed="false">
      <c r="B608" s="35"/>
      <c r="D608" s="36"/>
      <c r="E608" s="37"/>
      <c r="F608" s="38"/>
      <c r="J608" s="38"/>
    </row>
    <row r="609" customFormat="false" ht="15" hidden="false" customHeight="false" outlineLevel="0" collapsed="false">
      <c r="B609" s="35"/>
      <c r="D609" s="36"/>
      <c r="E609" s="37"/>
      <c r="F609" s="38"/>
      <c r="J609" s="38"/>
    </row>
    <row r="610" customFormat="false" ht="15" hidden="false" customHeight="false" outlineLevel="0" collapsed="false">
      <c r="B610" s="35"/>
      <c r="D610" s="36"/>
      <c r="E610" s="37"/>
      <c r="F610" s="38"/>
      <c r="J610" s="38"/>
    </row>
    <row r="611" customFormat="false" ht="15" hidden="false" customHeight="false" outlineLevel="0" collapsed="false">
      <c r="B611" s="35"/>
      <c r="D611" s="36"/>
      <c r="E611" s="37"/>
      <c r="F611" s="38"/>
      <c r="J611" s="38"/>
    </row>
    <row r="612" customFormat="false" ht="15" hidden="false" customHeight="false" outlineLevel="0" collapsed="false">
      <c r="B612" s="35"/>
      <c r="D612" s="36"/>
      <c r="E612" s="37"/>
      <c r="F612" s="38"/>
      <c r="J612" s="38"/>
    </row>
    <row r="613" customFormat="false" ht="15" hidden="false" customHeight="false" outlineLevel="0" collapsed="false">
      <c r="B613" s="35"/>
      <c r="D613" s="36"/>
      <c r="E613" s="37"/>
      <c r="F613" s="38"/>
      <c r="J613" s="38"/>
    </row>
    <row r="614" customFormat="false" ht="15" hidden="false" customHeight="false" outlineLevel="0" collapsed="false">
      <c r="B614" s="35"/>
      <c r="D614" s="36"/>
      <c r="E614" s="37"/>
      <c r="F614" s="38"/>
      <c r="J614" s="38"/>
    </row>
    <row r="615" customFormat="false" ht="15" hidden="false" customHeight="false" outlineLevel="0" collapsed="false">
      <c r="B615" s="35"/>
      <c r="D615" s="36"/>
      <c r="E615" s="37"/>
      <c r="F615" s="38"/>
      <c r="J615" s="38"/>
    </row>
    <row r="616" customFormat="false" ht="15" hidden="false" customHeight="false" outlineLevel="0" collapsed="false">
      <c r="B616" s="35"/>
      <c r="D616" s="36"/>
      <c r="E616" s="37"/>
      <c r="F616" s="38"/>
      <c r="J616" s="38"/>
    </row>
    <row r="617" customFormat="false" ht="15" hidden="false" customHeight="false" outlineLevel="0" collapsed="false">
      <c r="B617" s="35"/>
      <c r="D617" s="36"/>
      <c r="E617" s="37"/>
      <c r="F617" s="38"/>
      <c r="J617" s="38"/>
    </row>
    <row r="618" customFormat="false" ht="15" hidden="false" customHeight="false" outlineLevel="0" collapsed="false">
      <c r="B618" s="35"/>
      <c r="D618" s="36"/>
      <c r="E618" s="37"/>
      <c r="F618" s="38"/>
      <c r="J618" s="38"/>
    </row>
    <row r="619" customFormat="false" ht="15" hidden="false" customHeight="false" outlineLevel="0" collapsed="false">
      <c r="B619" s="35"/>
      <c r="D619" s="36"/>
      <c r="E619" s="37"/>
      <c r="F619" s="38"/>
      <c r="J619" s="38"/>
    </row>
    <row r="620" customFormat="false" ht="15" hidden="false" customHeight="false" outlineLevel="0" collapsed="false">
      <c r="B620" s="35"/>
      <c r="D620" s="36"/>
      <c r="E620" s="37"/>
      <c r="F620" s="38"/>
      <c r="J620" s="38"/>
    </row>
    <row r="621" customFormat="false" ht="15" hidden="false" customHeight="false" outlineLevel="0" collapsed="false">
      <c r="B621" s="35"/>
      <c r="D621" s="36"/>
      <c r="E621" s="37"/>
      <c r="F621" s="38"/>
      <c r="J621" s="38"/>
    </row>
    <row r="622" customFormat="false" ht="15" hidden="false" customHeight="false" outlineLevel="0" collapsed="false">
      <c r="B622" s="35"/>
      <c r="D622" s="36"/>
      <c r="E622" s="37"/>
      <c r="F622" s="38"/>
      <c r="J622" s="38"/>
    </row>
    <row r="623" customFormat="false" ht="15" hidden="false" customHeight="false" outlineLevel="0" collapsed="false">
      <c r="B623" s="35"/>
      <c r="D623" s="36"/>
      <c r="E623" s="37"/>
      <c r="F623" s="38"/>
      <c r="J623" s="38"/>
    </row>
    <row r="624" customFormat="false" ht="15" hidden="false" customHeight="false" outlineLevel="0" collapsed="false">
      <c r="B624" s="35"/>
      <c r="D624" s="36"/>
      <c r="E624" s="37"/>
      <c r="F624" s="38"/>
      <c r="J624" s="38"/>
    </row>
    <row r="625" customFormat="false" ht="15" hidden="false" customHeight="false" outlineLevel="0" collapsed="false">
      <c r="B625" s="35"/>
      <c r="D625" s="36"/>
      <c r="E625" s="37"/>
      <c r="F625" s="38"/>
      <c r="J625" s="38"/>
    </row>
    <row r="626" customFormat="false" ht="15" hidden="false" customHeight="false" outlineLevel="0" collapsed="false">
      <c r="B626" s="35"/>
      <c r="D626" s="36"/>
      <c r="E626" s="37"/>
      <c r="F626" s="38"/>
      <c r="J626" s="38"/>
    </row>
    <row r="627" customFormat="false" ht="15" hidden="false" customHeight="false" outlineLevel="0" collapsed="false">
      <c r="B627" s="35"/>
      <c r="D627" s="36"/>
      <c r="E627" s="37"/>
      <c r="F627" s="38"/>
      <c r="J627" s="38"/>
    </row>
    <row r="628" customFormat="false" ht="15" hidden="false" customHeight="false" outlineLevel="0" collapsed="false">
      <c r="B628" s="35"/>
      <c r="D628" s="36"/>
      <c r="E628" s="37"/>
      <c r="F628" s="38"/>
      <c r="J628" s="38"/>
    </row>
    <row r="629" customFormat="false" ht="15" hidden="false" customHeight="false" outlineLevel="0" collapsed="false">
      <c r="B629" s="35"/>
      <c r="D629" s="36"/>
      <c r="E629" s="37"/>
      <c r="F629" s="38"/>
      <c r="J629" s="38"/>
    </row>
    <row r="630" customFormat="false" ht="15" hidden="false" customHeight="false" outlineLevel="0" collapsed="false">
      <c r="B630" s="35"/>
      <c r="D630" s="36"/>
      <c r="E630" s="37"/>
      <c r="F630" s="38"/>
      <c r="J630" s="38"/>
    </row>
    <row r="631" customFormat="false" ht="15" hidden="false" customHeight="false" outlineLevel="0" collapsed="false">
      <c r="B631" s="35"/>
      <c r="D631" s="36"/>
      <c r="E631" s="37"/>
      <c r="F631" s="38"/>
      <c r="J631" s="38"/>
    </row>
    <row r="632" customFormat="false" ht="15" hidden="false" customHeight="false" outlineLevel="0" collapsed="false">
      <c r="B632" s="35"/>
      <c r="D632" s="36"/>
      <c r="E632" s="37"/>
      <c r="F632" s="38"/>
      <c r="J632" s="38"/>
    </row>
    <row r="633" customFormat="false" ht="15" hidden="false" customHeight="false" outlineLevel="0" collapsed="false">
      <c r="B633" s="35"/>
      <c r="D633" s="36"/>
      <c r="E633" s="37"/>
      <c r="F633" s="38"/>
      <c r="J633" s="38"/>
    </row>
    <row r="634" customFormat="false" ht="15" hidden="false" customHeight="false" outlineLevel="0" collapsed="false">
      <c r="B634" s="35"/>
      <c r="D634" s="36"/>
      <c r="E634" s="37"/>
      <c r="F634" s="38"/>
      <c r="J634" s="38"/>
    </row>
    <row r="635" customFormat="false" ht="15" hidden="false" customHeight="false" outlineLevel="0" collapsed="false">
      <c r="B635" s="35"/>
      <c r="D635" s="36"/>
      <c r="E635" s="37"/>
      <c r="F635" s="38"/>
      <c r="J635" s="38"/>
    </row>
    <row r="636" customFormat="false" ht="15" hidden="false" customHeight="false" outlineLevel="0" collapsed="false">
      <c r="B636" s="35"/>
      <c r="D636" s="36"/>
      <c r="E636" s="37"/>
      <c r="F636" s="38"/>
      <c r="J636" s="38"/>
    </row>
    <row r="637" customFormat="false" ht="15" hidden="false" customHeight="false" outlineLevel="0" collapsed="false">
      <c r="B637" s="35"/>
      <c r="D637" s="36"/>
      <c r="E637" s="37"/>
      <c r="F637" s="38"/>
      <c r="J637" s="38"/>
    </row>
    <row r="638" customFormat="false" ht="15" hidden="false" customHeight="false" outlineLevel="0" collapsed="false">
      <c r="B638" s="35"/>
      <c r="D638" s="36"/>
      <c r="E638" s="37"/>
      <c r="F638" s="38"/>
      <c r="J638" s="38"/>
    </row>
    <row r="639" customFormat="false" ht="15" hidden="false" customHeight="false" outlineLevel="0" collapsed="false">
      <c r="B639" s="35"/>
      <c r="D639" s="36"/>
      <c r="E639" s="37"/>
      <c r="F639" s="38"/>
      <c r="J639" s="38"/>
    </row>
    <row r="640" customFormat="false" ht="15" hidden="false" customHeight="false" outlineLevel="0" collapsed="false">
      <c r="B640" s="35"/>
      <c r="D640" s="36"/>
      <c r="E640" s="37"/>
      <c r="F640" s="38"/>
      <c r="J640" s="38"/>
    </row>
    <row r="641" customFormat="false" ht="15" hidden="false" customHeight="false" outlineLevel="0" collapsed="false">
      <c r="B641" s="35"/>
      <c r="D641" s="36"/>
      <c r="E641" s="37"/>
      <c r="F641" s="38"/>
      <c r="J641" s="38"/>
    </row>
    <row r="642" customFormat="false" ht="15" hidden="false" customHeight="false" outlineLevel="0" collapsed="false">
      <c r="B642" s="35"/>
      <c r="D642" s="36"/>
      <c r="E642" s="37"/>
      <c r="F642" s="38"/>
      <c r="J642" s="38"/>
    </row>
    <row r="643" customFormat="false" ht="15" hidden="false" customHeight="false" outlineLevel="0" collapsed="false">
      <c r="B643" s="35"/>
      <c r="D643" s="36"/>
      <c r="E643" s="37"/>
      <c r="F643" s="38"/>
      <c r="J643" s="38"/>
    </row>
    <row r="644" customFormat="false" ht="15" hidden="false" customHeight="false" outlineLevel="0" collapsed="false">
      <c r="B644" s="35"/>
      <c r="D644" s="36"/>
      <c r="E644" s="37"/>
      <c r="F644" s="38"/>
      <c r="J644" s="38"/>
    </row>
    <row r="645" customFormat="false" ht="15" hidden="false" customHeight="false" outlineLevel="0" collapsed="false">
      <c r="B645" s="35"/>
      <c r="D645" s="36"/>
      <c r="E645" s="37"/>
      <c r="F645" s="38"/>
      <c r="J645" s="38"/>
    </row>
    <row r="646" customFormat="false" ht="15" hidden="false" customHeight="false" outlineLevel="0" collapsed="false">
      <c r="B646" s="35"/>
      <c r="D646" s="36"/>
      <c r="E646" s="37"/>
      <c r="F646" s="38"/>
      <c r="J646" s="38"/>
    </row>
    <row r="647" customFormat="false" ht="15" hidden="false" customHeight="false" outlineLevel="0" collapsed="false">
      <c r="B647" s="35"/>
      <c r="D647" s="36"/>
      <c r="E647" s="37"/>
      <c r="F647" s="38"/>
      <c r="J647" s="38"/>
    </row>
    <row r="648" customFormat="false" ht="15" hidden="false" customHeight="false" outlineLevel="0" collapsed="false">
      <c r="B648" s="35"/>
      <c r="D648" s="36"/>
      <c r="E648" s="37"/>
      <c r="F648" s="38"/>
      <c r="J648" s="38"/>
    </row>
    <row r="649" customFormat="false" ht="15" hidden="false" customHeight="false" outlineLevel="0" collapsed="false">
      <c r="B649" s="35"/>
      <c r="D649" s="36"/>
      <c r="E649" s="37"/>
      <c r="F649" s="38"/>
      <c r="J649" s="38"/>
    </row>
    <row r="650" customFormat="false" ht="15" hidden="false" customHeight="false" outlineLevel="0" collapsed="false">
      <c r="B650" s="35"/>
      <c r="D650" s="36"/>
      <c r="E650" s="37"/>
      <c r="F650" s="38"/>
      <c r="J650" s="38"/>
    </row>
    <row r="651" customFormat="false" ht="15" hidden="false" customHeight="false" outlineLevel="0" collapsed="false">
      <c r="B651" s="35"/>
      <c r="D651" s="36"/>
      <c r="E651" s="37"/>
      <c r="F651" s="38"/>
      <c r="J651" s="38"/>
    </row>
    <row r="652" customFormat="false" ht="15" hidden="false" customHeight="false" outlineLevel="0" collapsed="false">
      <c r="B652" s="35"/>
      <c r="D652" s="36"/>
      <c r="E652" s="37"/>
      <c r="F652" s="38"/>
      <c r="J652" s="38"/>
    </row>
    <row r="653" customFormat="false" ht="15" hidden="false" customHeight="false" outlineLevel="0" collapsed="false">
      <c r="B653" s="35"/>
      <c r="D653" s="36"/>
      <c r="E653" s="37"/>
      <c r="F653" s="38"/>
      <c r="J653" s="38"/>
    </row>
    <row r="654" customFormat="false" ht="15" hidden="false" customHeight="false" outlineLevel="0" collapsed="false">
      <c r="B654" s="35"/>
      <c r="D654" s="36"/>
      <c r="E654" s="37"/>
      <c r="F654" s="38"/>
      <c r="J654" s="38"/>
    </row>
    <row r="655" customFormat="false" ht="15" hidden="false" customHeight="false" outlineLevel="0" collapsed="false">
      <c r="B655" s="35"/>
      <c r="D655" s="36"/>
      <c r="E655" s="37"/>
      <c r="F655" s="38"/>
      <c r="J655" s="38"/>
    </row>
    <row r="656" customFormat="false" ht="15" hidden="false" customHeight="false" outlineLevel="0" collapsed="false">
      <c r="B656" s="35"/>
      <c r="D656" s="36"/>
      <c r="E656" s="37"/>
      <c r="F656" s="38"/>
      <c r="J656" s="38"/>
    </row>
    <row r="657" customFormat="false" ht="15" hidden="false" customHeight="false" outlineLevel="0" collapsed="false">
      <c r="B657" s="35"/>
      <c r="D657" s="36"/>
      <c r="E657" s="37"/>
      <c r="F657" s="38"/>
      <c r="J657" s="38"/>
    </row>
    <row r="658" customFormat="false" ht="15" hidden="false" customHeight="false" outlineLevel="0" collapsed="false">
      <c r="B658" s="35"/>
      <c r="D658" s="36"/>
      <c r="E658" s="37"/>
      <c r="F658" s="38"/>
      <c r="J658" s="38"/>
    </row>
    <row r="659" customFormat="false" ht="15" hidden="false" customHeight="false" outlineLevel="0" collapsed="false">
      <c r="B659" s="35"/>
      <c r="D659" s="36"/>
      <c r="E659" s="37"/>
      <c r="F659" s="38"/>
      <c r="J659" s="38"/>
    </row>
    <row r="660" customFormat="false" ht="15" hidden="false" customHeight="false" outlineLevel="0" collapsed="false">
      <c r="B660" s="35"/>
      <c r="D660" s="36"/>
      <c r="E660" s="37"/>
      <c r="F660" s="38"/>
      <c r="J660" s="38"/>
    </row>
    <row r="661" customFormat="false" ht="15" hidden="false" customHeight="false" outlineLevel="0" collapsed="false">
      <c r="B661" s="35"/>
      <c r="D661" s="36"/>
      <c r="E661" s="37"/>
      <c r="F661" s="38"/>
      <c r="J661" s="38"/>
    </row>
    <row r="662" customFormat="false" ht="15" hidden="false" customHeight="false" outlineLevel="0" collapsed="false">
      <c r="B662" s="35"/>
      <c r="D662" s="36"/>
      <c r="E662" s="37"/>
      <c r="F662" s="38"/>
      <c r="J662" s="38"/>
    </row>
    <row r="663" customFormat="false" ht="15" hidden="false" customHeight="false" outlineLevel="0" collapsed="false">
      <c r="B663" s="35"/>
      <c r="D663" s="36"/>
      <c r="E663" s="37"/>
      <c r="F663" s="38"/>
      <c r="J663" s="38"/>
    </row>
    <row r="664" customFormat="false" ht="15" hidden="false" customHeight="false" outlineLevel="0" collapsed="false">
      <c r="B664" s="35"/>
      <c r="D664" s="36"/>
      <c r="E664" s="37"/>
      <c r="F664" s="38"/>
      <c r="J664" s="38"/>
    </row>
    <row r="665" customFormat="false" ht="15" hidden="false" customHeight="false" outlineLevel="0" collapsed="false">
      <c r="B665" s="35"/>
      <c r="D665" s="36"/>
      <c r="E665" s="37"/>
      <c r="F665" s="38"/>
      <c r="J665" s="38"/>
    </row>
    <row r="666" customFormat="false" ht="15" hidden="false" customHeight="false" outlineLevel="0" collapsed="false">
      <c r="B666" s="35"/>
      <c r="D666" s="36"/>
      <c r="E666" s="37"/>
      <c r="F666" s="38"/>
      <c r="J666" s="38"/>
    </row>
    <row r="667" customFormat="false" ht="15" hidden="false" customHeight="false" outlineLevel="0" collapsed="false">
      <c r="B667" s="35"/>
      <c r="D667" s="36"/>
      <c r="E667" s="37"/>
      <c r="F667" s="38"/>
      <c r="J667" s="38"/>
    </row>
    <row r="668" customFormat="false" ht="15" hidden="false" customHeight="false" outlineLevel="0" collapsed="false">
      <c r="B668" s="35"/>
      <c r="D668" s="36"/>
      <c r="E668" s="37"/>
      <c r="F668" s="38"/>
      <c r="J668" s="38"/>
    </row>
    <row r="669" customFormat="false" ht="15" hidden="false" customHeight="false" outlineLevel="0" collapsed="false">
      <c r="B669" s="35"/>
      <c r="D669" s="36"/>
      <c r="E669" s="37"/>
      <c r="F669" s="38"/>
      <c r="J669" s="38"/>
    </row>
    <row r="670" customFormat="false" ht="15" hidden="false" customHeight="false" outlineLevel="0" collapsed="false">
      <c r="B670" s="35"/>
      <c r="D670" s="36"/>
      <c r="E670" s="37"/>
      <c r="F670" s="38"/>
      <c r="J670" s="38"/>
    </row>
    <row r="671" customFormat="false" ht="15" hidden="false" customHeight="false" outlineLevel="0" collapsed="false">
      <c r="B671" s="35"/>
      <c r="D671" s="36"/>
      <c r="E671" s="37"/>
      <c r="F671" s="38"/>
      <c r="J671" s="38"/>
    </row>
    <row r="672" customFormat="false" ht="15" hidden="false" customHeight="false" outlineLevel="0" collapsed="false">
      <c r="B672" s="35"/>
      <c r="D672" s="36"/>
      <c r="E672" s="37"/>
      <c r="F672" s="38"/>
      <c r="J672" s="38"/>
    </row>
    <row r="673" customFormat="false" ht="15" hidden="false" customHeight="false" outlineLevel="0" collapsed="false">
      <c r="B673" s="35"/>
      <c r="D673" s="36"/>
      <c r="E673" s="37"/>
      <c r="F673" s="38"/>
      <c r="J673" s="38"/>
    </row>
    <row r="674" customFormat="false" ht="15" hidden="false" customHeight="false" outlineLevel="0" collapsed="false">
      <c r="B674" s="35"/>
      <c r="D674" s="36"/>
      <c r="E674" s="37"/>
      <c r="F674" s="38"/>
      <c r="J674" s="38"/>
    </row>
    <row r="675" customFormat="false" ht="15" hidden="false" customHeight="false" outlineLevel="0" collapsed="false">
      <c r="B675" s="35"/>
      <c r="D675" s="36"/>
      <c r="E675" s="37"/>
      <c r="F675" s="38"/>
      <c r="J675" s="38"/>
    </row>
    <row r="676" customFormat="false" ht="15" hidden="false" customHeight="false" outlineLevel="0" collapsed="false">
      <c r="B676" s="35"/>
      <c r="D676" s="36"/>
      <c r="E676" s="37"/>
      <c r="F676" s="38"/>
      <c r="J676" s="38"/>
    </row>
    <row r="677" customFormat="false" ht="15" hidden="false" customHeight="false" outlineLevel="0" collapsed="false">
      <c r="B677" s="35"/>
      <c r="D677" s="36"/>
      <c r="E677" s="37"/>
      <c r="F677" s="38"/>
      <c r="J677" s="38"/>
    </row>
    <row r="678" customFormat="false" ht="15" hidden="false" customHeight="false" outlineLevel="0" collapsed="false">
      <c r="B678" s="35"/>
      <c r="D678" s="36"/>
      <c r="E678" s="37"/>
      <c r="F678" s="38"/>
      <c r="J678" s="38"/>
    </row>
    <row r="679" customFormat="false" ht="15" hidden="false" customHeight="false" outlineLevel="0" collapsed="false">
      <c r="B679" s="35"/>
      <c r="D679" s="36"/>
      <c r="E679" s="37"/>
      <c r="F679" s="38"/>
      <c r="J679" s="38"/>
    </row>
    <row r="680" customFormat="false" ht="15" hidden="false" customHeight="false" outlineLevel="0" collapsed="false">
      <c r="B680" s="35"/>
      <c r="D680" s="36"/>
      <c r="E680" s="37"/>
      <c r="F680" s="38"/>
      <c r="J680" s="38"/>
    </row>
    <row r="681" customFormat="false" ht="15" hidden="false" customHeight="false" outlineLevel="0" collapsed="false">
      <c r="B681" s="35"/>
      <c r="D681" s="36"/>
      <c r="E681" s="37"/>
      <c r="F681" s="38"/>
      <c r="J681" s="38"/>
    </row>
    <row r="682" customFormat="false" ht="15" hidden="false" customHeight="false" outlineLevel="0" collapsed="false">
      <c r="B682" s="35"/>
      <c r="D682" s="36"/>
      <c r="E682" s="37"/>
      <c r="F682" s="38"/>
      <c r="J682" s="38"/>
    </row>
    <row r="683" customFormat="false" ht="15" hidden="false" customHeight="false" outlineLevel="0" collapsed="false">
      <c r="B683" s="35"/>
      <c r="D683" s="36"/>
      <c r="E683" s="37"/>
      <c r="F683" s="38"/>
      <c r="J683" s="38"/>
    </row>
    <row r="684" customFormat="false" ht="15" hidden="false" customHeight="false" outlineLevel="0" collapsed="false">
      <c r="B684" s="35"/>
      <c r="D684" s="36"/>
      <c r="E684" s="37"/>
      <c r="F684" s="38"/>
      <c r="J684" s="38"/>
    </row>
    <row r="685" customFormat="false" ht="15" hidden="false" customHeight="false" outlineLevel="0" collapsed="false">
      <c r="B685" s="35"/>
      <c r="D685" s="36"/>
      <c r="E685" s="37"/>
      <c r="F685" s="38"/>
      <c r="J685" s="38"/>
    </row>
    <row r="686" customFormat="false" ht="15" hidden="false" customHeight="false" outlineLevel="0" collapsed="false">
      <c r="B686" s="35"/>
      <c r="D686" s="36"/>
      <c r="E686" s="37"/>
      <c r="F686" s="38"/>
      <c r="J686" s="38"/>
    </row>
    <row r="687" customFormat="false" ht="15" hidden="false" customHeight="false" outlineLevel="0" collapsed="false">
      <c r="B687" s="35"/>
      <c r="D687" s="36"/>
      <c r="E687" s="37"/>
      <c r="F687" s="38"/>
      <c r="J687" s="38"/>
    </row>
    <row r="688" customFormat="false" ht="15" hidden="false" customHeight="false" outlineLevel="0" collapsed="false">
      <c r="B688" s="35"/>
      <c r="D688" s="36"/>
      <c r="E688" s="37"/>
      <c r="F688" s="38"/>
      <c r="J688" s="38"/>
    </row>
    <row r="689" customFormat="false" ht="15" hidden="false" customHeight="false" outlineLevel="0" collapsed="false">
      <c r="B689" s="35"/>
      <c r="D689" s="36"/>
      <c r="E689" s="37"/>
      <c r="F689" s="38"/>
      <c r="J689" s="38"/>
    </row>
    <row r="690" customFormat="false" ht="15" hidden="false" customHeight="false" outlineLevel="0" collapsed="false">
      <c r="B690" s="35"/>
      <c r="D690" s="36"/>
      <c r="E690" s="37"/>
      <c r="F690" s="38"/>
      <c r="J690" s="38"/>
    </row>
    <row r="691" customFormat="false" ht="15" hidden="false" customHeight="false" outlineLevel="0" collapsed="false">
      <c r="B691" s="35"/>
      <c r="D691" s="36"/>
      <c r="E691" s="37"/>
      <c r="F691" s="38"/>
      <c r="J691" s="38"/>
    </row>
    <row r="692" customFormat="false" ht="15" hidden="false" customHeight="false" outlineLevel="0" collapsed="false">
      <c r="B692" s="35"/>
      <c r="D692" s="36"/>
      <c r="E692" s="37"/>
      <c r="F692" s="38"/>
      <c r="J692" s="38"/>
    </row>
    <row r="693" customFormat="false" ht="15" hidden="false" customHeight="false" outlineLevel="0" collapsed="false">
      <c r="B693" s="35"/>
      <c r="D693" s="36"/>
      <c r="E693" s="37"/>
      <c r="F693" s="38"/>
      <c r="J693" s="38"/>
    </row>
    <row r="694" customFormat="false" ht="15" hidden="false" customHeight="false" outlineLevel="0" collapsed="false">
      <c r="B694" s="35"/>
      <c r="D694" s="36"/>
      <c r="E694" s="37"/>
      <c r="F694" s="38"/>
      <c r="J694" s="38"/>
    </row>
    <row r="695" customFormat="false" ht="15" hidden="false" customHeight="false" outlineLevel="0" collapsed="false">
      <c r="B695" s="35"/>
      <c r="D695" s="36"/>
      <c r="E695" s="37"/>
      <c r="F695" s="38"/>
      <c r="J695" s="38"/>
    </row>
    <row r="696" customFormat="false" ht="15" hidden="false" customHeight="false" outlineLevel="0" collapsed="false">
      <c r="B696" s="35"/>
      <c r="D696" s="36"/>
      <c r="E696" s="37"/>
      <c r="F696" s="38"/>
      <c r="J696" s="38"/>
    </row>
    <row r="697" customFormat="false" ht="15" hidden="false" customHeight="false" outlineLevel="0" collapsed="false">
      <c r="B697" s="35"/>
      <c r="D697" s="36"/>
      <c r="E697" s="37"/>
      <c r="F697" s="38"/>
      <c r="J697" s="38"/>
    </row>
    <row r="698" customFormat="false" ht="15" hidden="false" customHeight="false" outlineLevel="0" collapsed="false">
      <c r="B698" s="35"/>
      <c r="D698" s="36"/>
      <c r="E698" s="37"/>
      <c r="F698" s="38"/>
      <c r="J698" s="38"/>
    </row>
    <row r="699" customFormat="false" ht="15" hidden="false" customHeight="false" outlineLevel="0" collapsed="false">
      <c r="B699" s="35"/>
      <c r="D699" s="36"/>
      <c r="E699" s="37"/>
      <c r="F699" s="38"/>
      <c r="J699" s="38"/>
    </row>
    <row r="700" customFormat="false" ht="15" hidden="false" customHeight="false" outlineLevel="0" collapsed="false">
      <c r="B700" s="35"/>
      <c r="D700" s="36"/>
      <c r="E700" s="37"/>
      <c r="F700" s="38"/>
      <c r="J700" s="38"/>
    </row>
    <row r="701" customFormat="false" ht="15" hidden="false" customHeight="false" outlineLevel="0" collapsed="false">
      <c r="B701" s="35"/>
      <c r="D701" s="36"/>
      <c r="E701" s="37"/>
      <c r="F701" s="38"/>
      <c r="J701" s="38"/>
    </row>
    <row r="702" customFormat="false" ht="15" hidden="false" customHeight="false" outlineLevel="0" collapsed="false">
      <c r="B702" s="35"/>
      <c r="D702" s="36"/>
      <c r="E702" s="37"/>
      <c r="F702" s="38"/>
      <c r="J702" s="38"/>
    </row>
    <row r="703" customFormat="false" ht="15" hidden="false" customHeight="false" outlineLevel="0" collapsed="false">
      <c r="B703" s="35"/>
      <c r="D703" s="36"/>
      <c r="E703" s="37"/>
      <c r="F703" s="38"/>
      <c r="J703" s="38"/>
    </row>
    <row r="704" customFormat="false" ht="15" hidden="false" customHeight="false" outlineLevel="0" collapsed="false">
      <c r="B704" s="35"/>
      <c r="D704" s="36"/>
      <c r="E704" s="37"/>
      <c r="F704" s="38"/>
      <c r="J704" s="38"/>
    </row>
    <row r="705" customFormat="false" ht="15" hidden="false" customHeight="false" outlineLevel="0" collapsed="false">
      <c r="B705" s="35"/>
      <c r="D705" s="36"/>
      <c r="E705" s="37"/>
      <c r="F705" s="38"/>
      <c r="J705" s="38"/>
    </row>
    <row r="706" customFormat="false" ht="15" hidden="false" customHeight="false" outlineLevel="0" collapsed="false">
      <c r="B706" s="35"/>
      <c r="D706" s="36"/>
      <c r="E706" s="37"/>
      <c r="F706" s="38"/>
      <c r="J706" s="38"/>
    </row>
    <row r="707" customFormat="false" ht="15" hidden="false" customHeight="false" outlineLevel="0" collapsed="false">
      <c r="B707" s="35"/>
      <c r="D707" s="36"/>
      <c r="E707" s="37"/>
      <c r="F707" s="38"/>
      <c r="J707" s="38"/>
    </row>
    <row r="708" customFormat="false" ht="15" hidden="false" customHeight="false" outlineLevel="0" collapsed="false">
      <c r="B708" s="35"/>
      <c r="D708" s="36"/>
      <c r="E708" s="37"/>
      <c r="F708" s="38"/>
      <c r="J708" s="38"/>
    </row>
    <row r="709" customFormat="false" ht="15" hidden="false" customHeight="false" outlineLevel="0" collapsed="false">
      <c r="B709" s="35"/>
      <c r="D709" s="36"/>
      <c r="E709" s="37"/>
      <c r="F709" s="38"/>
      <c r="J709" s="38"/>
    </row>
    <row r="710" customFormat="false" ht="15" hidden="false" customHeight="false" outlineLevel="0" collapsed="false">
      <c r="B710" s="35"/>
      <c r="D710" s="36"/>
      <c r="E710" s="37"/>
      <c r="F710" s="38"/>
      <c r="J710" s="38"/>
    </row>
    <row r="711" customFormat="false" ht="15" hidden="false" customHeight="false" outlineLevel="0" collapsed="false">
      <c r="B711" s="35"/>
      <c r="D711" s="36"/>
      <c r="E711" s="37"/>
      <c r="F711" s="38"/>
      <c r="J711" s="38"/>
    </row>
    <row r="712" customFormat="false" ht="15" hidden="false" customHeight="false" outlineLevel="0" collapsed="false">
      <c r="B712" s="35"/>
      <c r="D712" s="36"/>
      <c r="E712" s="37"/>
      <c r="F712" s="38"/>
      <c r="J712" s="38"/>
    </row>
    <row r="713" customFormat="false" ht="15" hidden="false" customHeight="false" outlineLevel="0" collapsed="false">
      <c r="B713" s="35"/>
      <c r="D713" s="36"/>
      <c r="E713" s="37"/>
      <c r="F713" s="38"/>
      <c r="J713" s="38"/>
    </row>
    <row r="714" customFormat="false" ht="15" hidden="false" customHeight="false" outlineLevel="0" collapsed="false">
      <c r="B714" s="35"/>
      <c r="D714" s="36"/>
      <c r="E714" s="37"/>
      <c r="F714" s="38"/>
      <c r="J714" s="38"/>
    </row>
    <row r="715" customFormat="false" ht="15" hidden="false" customHeight="false" outlineLevel="0" collapsed="false">
      <c r="B715" s="35"/>
      <c r="D715" s="36"/>
      <c r="E715" s="37"/>
      <c r="F715" s="38"/>
      <c r="J715" s="38"/>
    </row>
    <row r="716" customFormat="false" ht="15" hidden="false" customHeight="false" outlineLevel="0" collapsed="false">
      <c r="B716" s="35"/>
      <c r="D716" s="36"/>
      <c r="E716" s="37"/>
      <c r="F716" s="38"/>
      <c r="J716" s="38"/>
    </row>
    <row r="717" customFormat="false" ht="15" hidden="false" customHeight="false" outlineLevel="0" collapsed="false">
      <c r="B717" s="35"/>
      <c r="D717" s="36"/>
      <c r="E717" s="37"/>
      <c r="F717" s="38"/>
      <c r="J717" s="38"/>
    </row>
    <row r="718" customFormat="false" ht="15" hidden="false" customHeight="false" outlineLevel="0" collapsed="false">
      <c r="B718" s="35"/>
      <c r="D718" s="36"/>
      <c r="E718" s="37"/>
      <c r="F718" s="38"/>
      <c r="J718" s="38"/>
    </row>
    <row r="719" customFormat="false" ht="15" hidden="false" customHeight="false" outlineLevel="0" collapsed="false">
      <c r="B719" s="35"/>
      <c r="D719" s="36"/>
      <c r="E719" s="37"/>
      <c r="F719" s="38"/>
      <c r="J719" s="38"/>
    </row>
    <row r="720" customFormat="false" ht="15" hidden="false" customHeight="false" outlineLevel="0" collapsed="false">
      <c r="B720" s="35"/>
      <c r="D720" s="36"/>
      <c r="E720" s="37"/>
      <c r="F720" s="38"/>
      <c r="J720" s="38"/>
    </row>
    <row r="721" customFormat="false" ht="15" hidden="false" customHeight="false" outlineLevel="0" collapsed="false">
      <c r="B721" s="35"/>
      <c r="D721" s="36"/>
      <c r="E721" s="37"/>
      <c r="F721" s="38"/>
      <c r="J721" s="38"/>
    </row>
    <row r="722" customFormat="false" ht="15" hidden="false" customHeight="false" outlineLevel="0" collapsed="false">
      <c r="B722" s="35"/>
      <c r="D722" s="36"/>
      <c r="E722" s="37"/>
      <c r="F722" s="38"/>
      <c r="J722" s="38"/>
    </row>
    <row r="723" customFormat="false" ht="15" hidden="false" customHeight="false" outlineLevel="0" collapsed="false">
      <c r="B723" s="35"/>
      <c r="D723" s="36"/>
      <c r="E723" s="37"/>
      <c r="F723" s="38"/>
      <c r="J723" s="38"/>
    </row>
    <row r="724" customFormat="false" ht="15" hidden="false" customHeight="false" outlineLevel="0" collapsed="false">
      <c r="B724" s="35"/>
      <c r="D724" s="36"/>
      <c r="E724" s="37"/>
      <c r="F724" s="38"/>
      <c r="J724" s="38"/>
    </row>
    <row r="725" customFormat="false" ht="15" hidden="false" customHeight="false" outlineLevel="0" collapsed="false">
      <c r="B725" s="35"/>
      <c r="D725" s="36"/>
      <c r="E725" s="37"/>
      <c r="F725" s="38"/>
      <c r="J725" s="38"/>
    </row>
    <row r="726" customFormat="false" ht="15" hidden="false" customHeight="false" outlineLevel="0" collapsed="false">
      <c r="B726" s="35"/>
      <c r="D726" s="36"/>
      <c r="E726" s="37"/>
      <c r="F726" s="38"/>
      <c r="J726" s="38"/>
    </row>
    <row r="727" customFormat="false" ht="15" hidden="false" customHeight="false" outlineLevel="0" collapsed="false">
      <c r="B727" s="35"/>
      <c r="D727" s="36"/>
      <c r="E727" s="37"/>
      <c r="F727" s="38"/>
      <c r="J727" s="38"/>
    </row>
    <row r="728" customFormat="false" ht="15" hidden="false" customHeight="false" outlineLevel="0" collapsed="false">
      <c r="B728" s="35"/>
      <c r="D728" s="36"/>
      <c r="E728" s="37"/>
      <c r="F728" s="38"/>
      <c r="J728" s="38"/>
    </row>
    <row r="729" customFormat="false" ht="15" hidden="false" customHeight="false" outlineLevel="0" collapsed="false">
      <c r="B729" s="35"/>
      <c r="D729" s="36"/>
      <c r="E729" s="37"/>
      <c r="F729" s="38"/>
      <c r="J729" s="38"/>
    </row>
    <row r="730" customFormat="false" ht="15" hidden="false" customHeight="false" outlineLevel="0" collapsed="false">
      <c r="B730" s="35"/>
      <c r="D730" s="36"/>
      <c r="E730" s="37"/>
      <c r="F730" s="38"/>
      <c r="J730" s="38"/>
    </row>
    <row r="731" customFormat="false" ht="15" hidden="false" customHeight="false" outlineLevel="0" collapsed="false">
      <c r="B731" s="35"/>
      <c r="D731" s="36"/>
      <c r="E731" s="37"/>
      <c r="F731" s="38"/>
      <c r="J731" s="38"/>
    </row>
    <row r="732" customFormat="false" ht="15" hidden="false" customHeight="false" outlineLevel="0" collapsed="false">
      <c r="B732" s="35"/>
      <c r="D732" s="36"/>
      <c r="E732" s="37"/>
      <c r="F732" s="38"/>
      <c r="J732" s="38"/>
    </row>
    <row r="733" customFormat="false" ht="15" hidden="false" customHeight="false" outlineLevel="0" collapsed="false">
      <c r="B733" s="35"/>
      <c r="D733" s="36"/>
      <c r="E733" s="37"/>
      <c r="F733" s="38"/>
      <c r="J733" s="38"/>
    </row>
    <row r="734" customFormat="false" ht="15" hidden="false" customHeight="false" outlineLevel="0" collapsed="false">
      <c r="B734" s="35"/>
      <c r="D734" s="36"/>
      <c r="E734" s="37"/>
      <c r="F734" s="38"/>
      <c r="J734" s="38"/>
    </row>
    <row r="735" customFormat="false" ht="15" hidden="false" customHeight="false" outlineLevel="0" collapsed="false">
      <c r="B735" s="35"/>
      <c r="D735" s="36"/>
      <c r="E735" s="37"/>
      <c r="F735" s="38"/>
      <c r="J735" s="38"/>
    </row>
    <row r="736" customFormat="false" ht="15" hidden="false" customHeight="false" outlineLevel="0" collapsed="false">
      <c r="B736" s="35"/>
      <c r="D736" s="36"/>
      <c r="E736" s="37"/>
      <c r="F736" s="38"/>
      <c r="J736" s="38"/>
    </row>
    <row r="737" customFormat="false" ht="15" hidden="false" customHeight="false" outlineLevel="0" collapsed="false">
      <c r="B737" s="35"/>
      <c r="D737" s="36"/>
      <c r="E737" s="37"/>
      <c r="F737" s="38"/>
      <c r="J737" s="38"/>
    </row>
    <row r="738" customFormat="false" ht="15" hidden="false" customHeight="false" outlineLevel="0" collapsed="false">
      <c r="B738" s="35"/>
      <c r="D738" s="36"/>
      <c r="E738" s="37"/>
      <c r="F738" s="38"/>
      <c r="J738" s="38"/>
    </row>
    <row r="739" customFormat="false" ht="15" hidden="false" customHeight="false" outlineLevel="0" collapsed="false">
      <c r="B739" s="35"/>
      <c r="D739" s="36"/>
      <c r="E739" s="37"/>
      <c r="F739" s="38"/>
      <c r="J739" s="38"/>
    </row>
    <row r="740" customFormat="false" ht="15" hidden="false" customHeight="false" outlineLevel="0" collapsed="false">
      <c r="B740" s="35"/>
      <c r="D740" s="36"/>
      <c r="E740" s="37"/>
      <c r="F740" s="38"/>
      <c r="J740" s="38"/>
    </row>
    <row r="741" customFormat="false" ht="15" hidden="false" customHeight="false" outlineLevel="0" collapsed="false">
      <c r="B741" s="35"/>
      <c r="D741" s="36"/>
      <c r="E741" s="37"/>
      <c r="F741" s="38"/>
      <c r="J741" s="38"/>
    </row>
    <row r="742" customFormat="false" ht="15" hidden="false" customHeight="false" outlineLevel="0" collapsed="false">
      <c r="B742" s="35"/>
      <c r="D742" s="36"/>
      <c r="E742" s="37"/>
      <c r="F742" s="38"/>
      <c r="J742" s="38"/>
    </row>
    <row r="743" customFormat="false" ht="15" hidden="false" customHeight="false" outlineLevel="0" collapsed="false">
      <c r="B743" s="35"/>
      <c r="D743" s="36"/>
      <c r="E743" s="37"/>
      <c r="F743" s="38"/>
      <c r="J743" s="38"/>
    </row>
    <row r="744" customFormat="false" ht="15" hidden="false" customHeight="false" outlineLevel="0" collapsed="false">
      <c r="B744" s="35"/>
      <c r="D744" s="36"/>
      <c r="E744" s="37"/>
      <c r="F744" s="38"/>
      <c r="J744" s="38"/>
    </row>
    <row r="745" customFormat="false" ht="15" hidden="false" customHeight="false" outlineLevel="0" collapsed="false">
      <c r="B745" s="35"/>
      <c r="D745" s="36"/>
      <c r="E745" s="37"/>
      <c r="F745" s="38"/>
      <c r="J745" s="38"/>
    </row>
    <row r="746" customFormat="false" ht="15" hidden="false" customHeight="false" outlineLevel="0" collapsed="false">
      <c r="B746" s="35"/>
      <c r="D746" s="36"/>
      <c r="E746" s="37"/>
      <c r="F746" s="38"/>
      <c r="J746" s="38"/>
    </row>
    <row r="747" customFormat="false" ht="15" hidden="false" customHeight="false" outlineLevel="0" collapsed="false">
      <c r="B747" s="35"/>
      <c r="D747" s="36"/>
      <c r="E747" s="37"/>
      <c r="F747" s="38"/>
      <c r="J747" s="38"/>
    </row>
    <row r="748" customFormat="false" ht="15" hidden="false" customHeight="false" outlineLevel="0" collapsed="false">
      <c r="B748" s="35"/>
      <c r="D748" s="36"/>
      <c r="E748" s="37"/>
      <c r="F748" s="38"/>
      <c r="J748" s="38"/>
    </row>
    <row r="749" customFormat="false" ht="15" hidden="false" customHeight="false" outlineLevel="0" collapsed="false">
      <c r="B749" s="35"/>
      <c r="D749" s="36"/>
      <c r="E749" s="37"/>
      <c r="F749" s="38"/>
      <c r="J749" s="38"/>
    </row>
    <row r="750" customFormat="false" ht="15" hidden="false" customHeight="false" outlineLevel="0" collapsed="false">
      <c r="B750" s="35"/>
      <c r="D750" s="36"/>
      <c r="E750" s="37"/>
      <c r="F750" s="38"/>
      <c r="J750" s="38"/>
    </row>
    <row r="751" customFormat="false" ht="15" hidden="false" customHeight="false" outlineLevel="0" collapsed="false">
      <c r="B751" s="35"/>
      <c r="D751" s="36"/>
      <c r="E751" s="37"/>
      <c r="F751" s="38"/>
      <c r="J751" s="38"/>
    </row>
    <row r="752" customFormat="false" ht="15" hidden="false" customHeight="false" outlineLevel="0" collapsed="false">
      <c r="B752" s="35"/>
      <c r="D752" s="36"/>
      <c r="E752" s="37"/>
      <c r="F752" s="38"/>
      <c r="J752" s="38"/>
    </row>
    <row r="753" customFormat="false" ht="15" hidden="false" customHeight="false" outlineLevel="0" collapsed="false">
      <c r="B753" s="35"/>
      <c r="D753" s="36"/>
      <c r="E753" s="37"/>
      <c r="F753" s="38"/>
      <c r="J753" s="38"/>
    </row>
    <row r="754" customFormat="false" ht="15" hidden="false" customHeight="false" outlineLevel="0" collapsed="false">
      <c r="B754" s="35"/>
      <c r="D754" s="36"/>
      <c r="E754" s="37"/>
      <c r="F754" s="38"/>
      <c r="J754" s="38"/>
    </row>
    <row r="755" customFormat="false" ht="15" hidden="false" customHeight="false" outlineLevel="0" collapsed="false">
      <c r="B755" s="35"/>
      <c r="D755" s="36"/>
      <c r="E755" s="37"/>
      <c r="F755" s="38"/>
      <c r="J755" s="38"/>
    </row>
    <row r="756" customFormat="false" ht="15" hidden="false" customHeight="false" outlineLevel="0" collapsed="false">
      <c r="B756" s="35"/>
      <c r="D756" s="36"/>
      <c r="E756" s="37"/>
      <c r="F756" s="38"/>
      <c r="J756" s="38"/>
    </row>
    <row r="757" customFormat="false" ht="15" hidden="false" customHeight="false" outlineLevel="0" collapsed="false">
      <c r="B757" s="35"/>
      <c r="D757" s="36"/>
      <c r="E757" s="37"/>
      <c r="F757" s="38"/>
      <c r="J757" s="38"/>
    </row>
    <row r="758" customFormat="false" ht="15" hidden="false" customHeight="false" outlineLevel="0" collapsed="false">
      <c r="B758" s="35"/>
      <c r="D758" s="36"/>
      <c r="E758" s="37"/>
      <c r="F758" s="38"/>
      <c r="J758" s="38"/>
    </row>
    <row r="759" customFormat="false" ht="15" hidden="false" customHeight="false" outlineLevel="0" collapsed="false">
      <c r="B759" s="35"/>
      <c r="D759" s="36"/>
      <c r="E759" s="37"/>
      <c r="F759" s="38"/>
      <c r="J759" s="38"/>
    </row>
    <row r="760" customFormat="false" ht="15" hidden="false" customHeight="false" outlineLevel="0" collapsed="false">
      <c r="B760" s="35"/>
      <c r="D760" s="36"/>
      <c r="E760" s="37"/>
      <c r="F760" s="38"/>
      <c r="J760" s="38"/>
    </row>
    <row r="761" customFormat="false" ht="15" hidden="false" customHeight="false" outlineLevel="0" collapsed="false">
      <c r="B761" s="35"/>
      <c r="D761" s="36"/>
      <c r="E761" s="37"/>
      <c r="F761" s="38"/>
      <c r="J761" s="38"/>
    </row>
    <row r="762" customFormat="false" ht="15" hidden="false" customHeight="false" outlineLevel="0" collapsed="false">
      <c r="B762" s="35"/>
      <c r="D762" s="36"/>
      <c r="E762" s="37"/>
      <c r="F762" s="38"/>
      <c r="J762" s="38"/>
    </row>
    <row r="763" customFormat="false" ht="15" hidden="false" customHeight="false" outlineLevel="0" collapsed="false">
      <c r="B763" s="35"/>
      <c r="D763" s="36"/>
      <c r="E763" s="37"/>
      <c r="F763" s="38"/>
      <c r="J763" s="38"/>
    </row>
    <row r="764" customFormat="false" ht="15" hidden="false" customHeight="false" outlineLevel="0" collapsed="false">
      <c r="B764" s="35"/>
      <c r="D764" s="36"/>
      <c r="E764" s="37"/>
      <c r="F764" s="38"/>
      <c r="J764" s="38"/>
    </row>
    <row r="765" customFormat="false" ht="15" hidden="false" customHeight="false" outlineLevel="0" collapsed="false">
      <c r="B765" s="35"/>
      <c r="D765" s="36"/>
      <c r="E765" s="37"/>
      <c r="F765" s="38"/>
      <c r="J765" s="38"/>
    </row>
    <row r="766" customFormat="false" ht="15" hidden="false" customHeight="false" outlineLevel="0" collapsed="false">
      <c r="B766" s="35"/>
      <c r="D766" s="36"/>
      <c r="E766" s="37"/>
      <c r="F766" s="38"/>
      <c r="J766" s="38"/>
    </row>
    <row r="767" customFormat="false" ht="15" hidden="false" customHeight="false" outlineLevel="0" collapsed="false">
      <c r="B767" s="35"/>
      <c r="D767" s="36"/>
      <c r="E767" s="37"/>
      <c r="F767" s="38"/>
      <c r="J767" s="38"/>
    </row>
    <row r="768" customFormat="false" ht="15" hidden="false" customHeight="false" outlineLevel="0" collapsed="false">
      <c r="B768" s="35"/>
      <c r="D768" s="36"/>
      <c r="E768" s="37"/>
      <c r="F768" s="38"/>
      <c r="J768" s="38"/>
    </row>
    <row r="769" customFormat="false" ht="15" hidden="false" customHeight="false" outlineLevel="0" collapsed="false">
      <c r="B769" s="35"/>
      <c r="D769" s="36"/>
      <c r="E769" s="37"/>
      <c r="F769" s="38"/>
      <c r="J769" s="38"/>
    </row>
    <row r="770" customFormat="false" ht="15" hidden="false" customHeight="false" outlineLevel="0" collapsed="false">
      <c r="B770" s="35"/>
      <c r="D770" s="36"/>
      <c r="E770" s="37"/>
      <c r="F770" s="38"/>
      <c r="J770" s="38"/>
    </row>
    <row r="771" customFormat="false" ht="15" hidden="false" customHeight="false" outlineLevel="0" collapsed="false">
      <c r="B771" s="35"/>
      <c r="D771" s="36"/>
      <c r="E771" s="37"/>
      <c r="F771" s="38"/>
      <c r="J771" s="38"/>
    </row>
    <row r="772" customFormat="false" ht="15" hidden="false" customHeight="false" outlineLevel="0" collapsed="false">
      <c r="B772" s="35"/>
      <c r="D772" s="36"/>
      <c r="E772" s="37"/>
      <c r="F772" s="38"/>
      <c r="J772" s="38"/>
    </row>
    <row r="773" customFormat="false" ht="15" hidden="false" customHeight="false" outlineLevel="0" collapsed="false">
      <c r="B773" s="35"/>
      <c r="D773" s="36"/>
      <c r="E773" s="37"/>
      <c r="F773" s="38"/>
      <c r="J773" s="38"/>
    </row>
    <row r="774" customFormat="false" ht="15" hidden="false" customHeight="false" outlineLevel="0" collapsed="false">
      <c r="B774" s="35"/>
      <c r="D774" s="36"/>
      <c r="E774" s="37"/>
      <c r="F774" s="38"/>
      <c r="J774" s="38"/>
    </row>
    <row r="775" customFormat="false" ht="15" hidden="false" customHeight="false" outlineLevel="0" collapsed="false">
      <c r="B775" s="35"/>
      <c r="D775" s="36"/>
      <c r="E775" s="37"/>
      <c r="F775" s="38"/>
      <c r="J775" s="38"/>
    </row>
    <row r="776" customFormat="false" ht="15" hidden="false" customHeight="false" outlineLevel="0" collapsed="false">
      <c r="B776" s="35"/>
      <c r="D776" s="36"/>
      <c r="E776" s="37"/>
      <c r="F776" s="38"/>
      <c r="J776" s="38"/>
    </row>
    <row r="777" customFormat="false" ht="15" hidden="false" customHeight="false" outlineLevel="0" collapsed="false">
      <c r="B777" s="35"/>
      <c r="D777" s="36"/>
      <c r="E777" s="37"/>
      <c r="F777" s="38"/>
      <c r="J777" s="38"/>
    </row>
    <row r="778" customFormat="false" ht="15" hidden="false" customHeight="false" outlineLevel="0" collapsed="false">
      <c r="B778" s="35"/>
      <c r="D778" s="36"/>
      <c r="E778" s="37"/>
      <c r="F778" s="38"/>
      <c r="J778" s="38"/>
    </row>
    <row r="779" customFormat="false" ht="15" hidden="false" customHeight="false" outlineLevel="0" collapsed="false">
      <c r="B779" s="35"/>
      <c r="D779" s="36"/>
      <c r="E779" s="37"/>
      <c r="F779" s="38"/>
      <c r="J779" s="38"/>
    </row>
    <row r="780" customFormat="false" ht="15" hidden="false" customHeight="false" outlineLevel="0" collapsed="false">
      <c r="B780" s="35"/>
      <c r="D780" s="36"/>
      <c r="E780" s="37"/>
      <c r="F780" s="38"/>
      <c r="J780" s="38"/>
    </row>
    <row r="781" customFormat="false" ht="15" hidden="false" customHeight="false" outlineLevel="0" collapsed="false">
      <c r="B781" s="35"/>
      <c r="D781" s="36"/>
      <c r="E781" s="37"/>
      <c r="F781" s="38"/>
      <c r="J781" s="38"/>
    </row>
    <row r="782" customFormat="false" ht="15" hidden="false" customHeight="false" outlineLevel="0" collapsed="false">
      <c r="B782" s="35"/>
      <c r="D782" s="36"/>
      <c r="E782" s="37"/>
      <c r="F782" s="38"/>
      <c r="J782" s="38"/>
    </row>
    <row r="783" customFormat="false" ht="15" hidden="false" customHeight="false" outlineLevel="0" collapsed="false">
      <c r="B783" s="35"/>
      <c r="D783" s="36"/>
      <c r="E783" s="37"/>
      <c r="F783" s="38"/>
      <c r="J783" s="38"/>
    </row>
    <row r="784" customFormat="false" ht="15" hidden="false" customHeight="false" outlineLevel="0" collapsed="false">
      <c r="B784" s="35"/>
      <c r="D784" s="36"/>
      <c r="E784" s="37"/>
      <c r="F784" s="38"/>
      <c r="J784" s="38"/>
    </row>
    <row r="785" customFormat="false" ht="15" hidden="false" customHeight="false" outlineLevel="0" collapsed="false">
      <c r="B785" s="35"/>
      <c r="D785" s="36"/>
      <c r="E785" s="37"/>
      <c r="F785" s="38"/>
      <c r="J785" s="38"/>
    </row>
    <row r="786" customFormat="false" ht="15" hidden="false" customHeight="false" outlineLevel="0" collapsed="false">
      <c r="B786" s="35"/>
      <c r="D786" s="36"/>
      <c r="E786" s="37"/>
      <c r="F786" s="38"/>
      <c r="J786" s="38"/>
    </row>
    <row r="787" customFormat="false" ht="15" hidden="false" customHeight="false" outlineLevel="0" collapsed="false">
      <c r="B787" s="35"/>
      <c r="D787" s="36"/>
      <c r="E787" s="37"/>
      <c r="F787" s="38"/>
      <c r="J787" s="38"/>
    </row>
    <row r="788" customFormat="false" ht="15" hidden="false" customHeight="false" outlineLevel="0" collapsed="false">
      <c r="B788" s="35"/>
      <c r="D788" s="36"/>
      <c r="E788" s="37"/>
      <c r="F788" s="38"/>
      <c r="J788" s="38"/>
    </row>
    <row r="789" customFormat="false" ht="15" hidden="false" customHeight="false" outlineLevel="0" collapsed="false">
      <c r="B789" s="35"/>
      <c r="D789" s="36"/>
      <c r="E789" s="37"/>
      <c r="F789" s="38"/>
      <c r="J789" s="38"/>
    </row>
    <row r="790" customFormat="false" ht="15" hidden="false" customHeight="false" outlineLevel="0" collapsed="false">
      <c r="B790" s="35"/>
      <c r="D790" s="36"/>
      <c r="E790" s="37"/>
      <c r="F790" s="38"/>
      <c r="J790" s="38"/>
    </row>
    <row r="791" customFormat="false" ht="15" hidden="false" customHeight="false" outlineLevel="0" collapsed="false">
      <c r="B791" s="35"/>
      <c r="D791" s="36"/>
      <c r="E791" s="37"/>
      <c r="F791" s="38"/>
      <c r="J791" s="38"/>
    </row>
    <row r="792" customFormat="false" ht="15" hidden="false" customHeight="false" outlineLevel="0" collapsed="false">
      <c r="B792" s="35"/>
      <c r="D792" s="36"/>
      <c r="E792" s="37"/>
      <c r="F792" s="38"/>
      <c r="J792" s="38"/>
    </row>
    <row r="793" customFormat="false" ht="15" hidden="false" customHeight="false" outlineLevel="0" collapsed="false">
      <c r="B793" s="35"/>
      <c r="D793" s="36"/>
      <c r="E793" s="37"/>
      <c r="F793" s="38"/>
      <c r="J793" s="38"/>
    </row>
    <row r="794" customFormat="false" ht="15" hidden="false" customHeight="false" outlineLevel="0" collapsed="false">
      <c r="B794" s="35"/>
      <c r="D794" s="36"/>
      <c r="E794" s="37"/>
      <c r="F794" s="38"/>
      <c r="J794" s="38"/>
    </row>
    <row r="795" customFormat="false" ht="15" hidden="false" customHeight="false" outlineLevel="0" collapsed="false">
      <c r="B795" s="35"/>
      <c r="D795" s="36"/>
      <c r="E795" s="37"/>
      <c r="F795" s="38"/>
      <c r="J795" s="38"/>
    </row>
    <row r="796" customFormat="false" ht="15" hidden="false" customHeight="false" outlineLevel="0" collapsed="false">
      <c r="B796" s="35"/>
      <c r="D796" s="36"/>
      <c r="E796" s="37"/>
      <c r="F796" s="38"/>
      <c r="J796" s="38"/>
    </row>
    <row r="797" customFormat="false" ht="15" hidden="false" customHeight="false" outlineLevel="0" collapsed="false">
      <c r="B797" s="35"/>
      <c r="D797" s="36"/>
      <c r="E797" s="37"/>
      <c r="F797" s="38"/>
      <c r="J797" s="38"/>
    </row>
    <row r="798" customFormat="false" ht="15" hidden="false" customHeight="false" outlineLevel="0" collapsed="false">
      <c r="B798" s="35"/>
      <c r="D798" s="36"/>
      <c r="E798" s="37"/>
      <c r="F798" s="38"/>
      <c r="J798" s="38"/>
    </row>
    <row r="799" customFormat="false" ht="15" hidden="false" customHeight="false" outlineLevel="0" collapsed="false">
      <c r="B799" s="35"/>
      <c r="D799" s="36"/>
      <c r="E799" s="37"/>
      <c r="F799" s="38"/>
      <c r="J799" s="38"/>
    </row>
    <row r="800" customFormat="false" ht="15" hidden="false" customHeight="false" outlineLevel="0" collapsed="false">
      <c r="B800" s="35"/>
      <c r="D800" s="36"/>
      <c r="E800" s="37"/>
      <c r="F800" s="38"/>
      <c r="J800" s="38"/>
    </row>
    <row r="801" customFormat="false" ht="15" hidden="false" customHeight="false" outlineLevel="0" collapsed="false">
      <c r="B801" s="35"/>
      <c r="D801" s="36"/>
      <c r="E801" s="37"/>
      <c r="F801" s="38"/>
      <c r="J801" s="38"/>
    </row>
    <row r="802" customFormat="false" ht="15" hidden="false" customHeight="false" outlineLevel="0" collapsed="false">
      <c r="B802" s="35"/>
      <c r="D802" s="36"/>
      <c r="E802" s="37"/>
      <c r="F802" s="38"/>
      <c r="J802" s="38"/>
    </row>
    <row r="803" customFormat="false" ht="15" hidden="false" customHeight="false" outlineLevel="0" collapsed="false">
      <c r="B803" s="35"/>
      <c r="D803" s="36"/>
      <c r="E803" s="37"/>
      <c r="F803" s="38"/>
      <c r="J803" s="38"/>
    </row>
    <row r="804" customFormat="false" ht="15" hidden="false" customHeight="false" outlineLevel="0" collapsed="false">
      <c r="B804" s="35"/>
      <c r="D804" s="36"/>
      <c r="E804" s="37"/>
      <c r="F804" s="38"/>
      <c r="J804" s="38"/>
    </row>
    <row r="805" customFormat="false" ht="15" hidden="false" customHeight="false" outlineLevel="0" collapsed="false">
      <c r="B805" s="35"/>
      <c r="D805" s="36"/>
      <c r="E805" s="37"/>
      <c r="F805" s="38"/>
      <c r="J805" s="38"/>
    </row>
    <row r="806" customFormat="false" ht="15" hidden="false" customHeight="false" outlineLevel="0" collapsed="false">
      <c r="B806" s="35"/>
      <c r="D806" s="36"/>
      <c r="E806" s="37"/>
      <c r="F806" s="38"/>
      <c r="J806" s="38"/>
    </row>
    <row r="807" customFormat="false" ht="15" hidden="false" customHeight="false" outlineLevel="0" collapsed="false">
      <c r="B807" s="35"/>
      <c r="D807" s="36"/>
      <c r="E807" s="37"/>
      <c r="F807" s="38"/>
      <c r="J807" s="38"/>
    </row>
    <row r="808" customFormat="false" ht="15" hidden="false" customHeight="false" outlineLevel="0" collapsed="false">
      <c r="B808" s="35"/>
      <c r="D808" s="36"/>
      <c r="E808" s="37"/>
      <c r="F808" s="38"/>
      <c r="J808" s="38"/>
    </row>
    <row r="809" customFormat="false" ht="15" hidden="false" customHeight="false" outlineLevel="0" collapsed="false">
      <c r="B809" s="35"/>
      <c r="D809" s="36"/>
      <c r="E809" s="37"/>
      <c r="F809" s="38"/>
      <c r="J809" s="38"/>
    </row>
    <row r="810" customFormat="false" ht="15" hidden="false" customHeight="false" outlineLevel="0" collapsed="false">
      <c r="B810" s="35"/>
      <c r="D810" s="36"/>
      <c r="E810" s="37"/>
      <c r="F810" s="38"/>
      <c r="J810" s="38"/>
    </row>
    <row r="811" customFormat="false" ht="15" hidden="false" customHeight="false" outlineLevel="0" collapsed="false">
      <c r="B811" s="35"/>
      <c r="D811" s="36"/>
      <c r="E811" s="37"/>
      <c r="F811" s="38"/>
      <c r="J811" s="38"/>
    </row>
    <row r="812" customFormat="false" ht="15" hidden="false" customHeight="false" outlineLevel="0" collapsed="false">
      <c r="B812" s="35"/>
      <c r="D812" s="36"/>
      <c r="E812" s="37"/>
      <c r="F812" s="38"/>
      <c r="J812" s="38"/>
    </row>
    <row r="813" customFormat="false" ht="15" hidden="false" customHeight="false" outlineLevel="0" collapsed="false">
      <c r="B813" s="35"/>
      <c r="D813" s="36"/>
      <c r="E813" s="37"/>
      <c r="F813" s="38"/>
      <c r="J813" s="38"/>
    </row>
    <row r="814" customFormat="false" ht="15" hidden="false" customHeight="false" outlineLevel="0" collapsed="false">
      <c r="B814" s="35"/>
      <c r="D814" s="36"/>
      <c r="E814" s="37"/>
      <c r="F814" s="38"/>
      <c r="J814" s="38"/>
    </row>
    <row r="815" customFormat="false" ht="15" hidden="false" customHeight="false" outlineLevel="0" collapsed="false">
      <c r="B815" s="35"/>
      <c r="D815" s="36"/>
      <c r="E815" s="37"/>
      <c r="F815" s="38"/>
      <c r="J815" s="38"/>
    </row>
    <row r="816" customFormat="false" ht="15" hidden="false" customHeight="false" outlineLevel="0" collapsed="false">
      <c r="B816" s="35"/>
      <c r="D816" s="36"/>
      <c r="E816" s="37"/>
      <c r="F816" s="38"/>
      <c r="J816" s="38"/>
    </row>
    <row r="817" customFormat="false" ht="15" hidden="false" customHeight="false" outlineLevel="0" collapsed="false">
      <c r="B817" s="35"/>
      <c r="D817" s="36"/>
      <c r="E817" s="37"/>
      <c r="F817" s="38"/>
      <c r="J817" s="38"/>
    </row>
    <row r="818" customFormat="false" ht="15" hidden="false" customHeight="false" outlineLevel="0" collapsed="false">
      <c r="B818" s="35"/>
      <c r="D818" s="36"/>
      <c r="E818" s="37"/>
      <c r="F818" s="38"/>
      <c r="J818" s="38"/>
    </row>
    <row r="819" customFormat="false" ht="15" hidden="false" customHeight="false" outlineLevel="0" collapsed="false">
      <c r="B819" s="35"/>
      <c r="D819" s="36"/>
      <c r="E819" s="37"/>
      <c r="F819" s="38"/>
      <c r="J819" s="38"/>
    </row>
    <row r="820" customFormat="false" ht="15" hidden="false" customHeight="false" outlineLevel="0" collapsed="false">
      <c r="B820" s="35"/>
      <c r="D820" s="36"/>
      <c r="E820" s="37"/>
      <c r="F820" s="38"/>
      <c r="J820" s="38"/>
    </row>
    <row r="821" customFormat="false" ht="15" hidden="false" customHeight="false" outlineLevel="0" collapsed="false">
      <c r="B821" s="35"/>
      <c r="D821" s="36"/>
      <c r="E821" s="37"/>
      <c r="F821" s="38"/>
      <c r="J821" s="38"/>
    </row>
    <row r="822" customFormat="false" ht="15" hidden="false" customHeight="false" outlineLevel="0" collapsed="false">
      <c r="B822" s="35"/>
      <c r="D822" s="36"/>
      <c r="E822" s="37"/>
      <c r="F822" s="38"/>
      <c r="J822" s="38"/>
    </row>
    <row r="823" customFormat="false" ht="15" hidden="false" customHeight="false" outlineLevel="0" collapsed="false">
      <c r="B823" s="35"/>
      <c r="D823" s="36"/>
      <c r="E823" s="37"/>
      <c r="F823" s="38"/>
      <c r="J823" s="38"/>
    </row>
    <row r="824" customFormat="false" ht="15" hidden="false" customHeight="false" outlineLevel="0" collapsed="false">
      <c r="B824" s="35"/>
      <c r="D824" s="36"/>
      <c r="E824" s="37"/>
      <c r="F824" s="38"/>
      <c r="J824" s="38"/>
    </row>
    <row r="825" customFormat="false" ht="15" hidden="false" customHeight="false" outlineLevel="0" collapsed="false">
      <c r="B825" s="35"/>
      <c r="D825" s="36"/>
      <c r="E825" s="37"/>
      <c r="F825" s="38"/>
      <c r="J825" s="38"/>
    </row>
    <row r="826" customFormat="false" ht="15" hidden="false" customHeight="false" outlineLevel="0" collapsed="false">
      <c r="B826" s="35"/>
      <c r="D826" s="36"/>
      <c r="E826" s="37"/>
      <c r="F826" s="38"/>
      <c r="J826" s="38"/>
    </row>
    <row r="827" customFormat="false" ht="15" hidden="false" customHeight="false" outlineLevel="0" collapsed="false">
      <c r="B827" s="35"/>
      <c r="D827" s="36"/>
      <c r="E827" s="37"/>
      <c r="F827" s="38"/>
      <c r="J827" s="38"/>
    </row>
    <row r="828" customFormat="false" ht="15" hidden="false" customHeight="false" outlineLevel="0" collapsed="false">
      <c r="B828" s="35"/>
      <c r="D828" s="36"/>
      <c r="E828" s="37"/>
      <c r="F828" s="38"/>
      <c r="J828" s="38"/>
    </row>
    <row r="829" customFormat="false" ht="15" hidden="false" customHeight="false" outlineLevel="0" collapsed="false">
      <c r="B829" s="35"/>
      <c r="D829" s="36"/>
      <c r="E829" s="37"/>
      <c r="F829" s="38"/>
      <c r="J829" s="38"/>
    </row>
    <row r="830" customFormat="false" ht="15" hidden="false" customHeight="false" outlineLevel="0" collapsed="false">
      <c r="B830" s="35"/>
      <c r="D830" s="36"/>
      <c r="E830" s="37"/>
      <c r="F830" s="38"/>
      <c r="J830" s="38"/>
    </row>
    <row r="831" customFormat="false" ht="15" hidden="false" customHeight="false" outlineLevel="0" collapsed="false">
      <c r="B831" s="35"/>
      <c r="D831" s="36"/>
      <c r="E831" s="37"/>
      <c r="F831" s="38"/>
      <c r="J831" s="38"/>
    </row>
    <row r="832" customFormat="false" ht="15" hidden="false" customHeight="false" outlineLevel="0" collapsed="false">
      <c r="B832" s="35"/>
      <c r="D832" s="36"/>
      <c r="E832" s="37"/>
      <c r="F832" s="38"/>
      <c r="J832" s="38"/>
    </row>
    <row r="833" customFormat="false" ht="15" hidden="false" customHeight="false" outlineLevel="0" collapsed="false">
      <c r="B833" s="35"/>
      <c r="D833" s="36"/>
      <c r="E833" s="37"/>
      <c r="F833" s="38"/>
      <c r="J833" s="38"/>
    </row>
    <row r="834" customFormat="false" ht="15" hidden="false" customHeight="false" outlineLevel="0" collapsed="false">
      <c r="B834" s="35"/>
      <c r="D834" s="36"/>
      <c r="E834" s="37"/>
      <c r="F834" s="38"/>
      <c r="J834" s="38"/>
    </row>
    <row r="835" customFormat="false" ht="15" hidden="false" customHeight="false" outlineLevel="0" collapsed="false">
      <c r="B835" s="35"/>
      <c r="D835" s="36"/>
      <c r="E835" s="37"/>
      <c r="F835" s="38"/>
      <c r="J835" s="38"/>
    </row>
    <row r="836" customFormat="false" ht="15" hidden="false" customHeight="false" outlineLevel="0" collapsed="false">
      <c r="B836" s="35"/>
      <c r="D836" s="36"/>
      <c r="E836" s="37"/>
      <c r="F836" s="38"/>
      <c r="J836" s="38"/>
    </row>
    <row r="837" customFormat="false" ht="15" hidden="false" customHeight="false" outlineLevel="0" collapsed="false">
      <c r="B837" s="35"/>
      <c r="D837" s="36"/>
      <c r="E837" s="37"/>
      <c r="F837" s="38"/>
      <c r="J837" s="38"/>
    </row>
    <row r="838" customFormat="false" ht="15" hidden="false" customHeight="false" outlineLevel="0" collapsed="false">
      <c r="B838" s="35"/>
      <c r="D838" s="36"/>
      <c r="E838" s="37"/>
      <c r="F838" s="38"/>
      <c r="J838" s="38"/>
    </row>
    <row r="839" customFormat="false" ht="15" hidden="false" customHeight="false" outlineLevel="0" collapsed="false">
      <c r="B839" s="35"/>
      <c r="D839" s="36"/>
      <c r="E839" s="37"/>
      <c r="F839" s="38"/>
      <c r="J839" s="38"/>
    </row>
    <row r="840" customFormat="false" ht="15" hidden="false" customHeight="false" outlineLevel="0" collapsed="false">
      <c r="B840" s="35"/>
      <c r="D840" s="36"/>
      <c r="E840" s="37"/>
      <c r="F840" s="38"/>
      <c r="J840" s="38"/>
    </row>
    <row r="841" customFormat="false" ht="15" hidden="false" customHeight="false" outlineLevel="0" collapsed="false">
      <c r="B841" s="35"/>
      <c r="D841" s="36"/>
      <c r="E841" s="37"/>
      <c r="F841" s="38"/>
      <c r="J841" s="38"/>
    </row>
    <row r="842" customFormat="false" ht="15" hidden="false" customHeight="false" outlineLevel="0" collapsed="false">
      <c r="B842" s="35"/>
      <c r="D842" s="36"/>
      <c r="E842" s="37"/>
      <c r="F842" s="38"/>
      <c r="J842" s="38"/>
    </row>
    <row r="843" customFormat="false" ht="15" hidden="false" customHeight="false" outlineLevel="0" collapsed="false">
      <c r="B843" s="35"/>
      <c r="D843" s="36"/>
      <c r="E843" s="37"/>
      <c r="F843" s="38"/>
      <c r="J843" s="38"/>
    </row>
    <row r="844" customFormat="false" ht="15" hidden="false" customHeight="false" outlineLevel="0" collapsed="false">
      <c r="B844" s="35"/>
      <c r="D844" s="36"/>
      <c r="E844" s="37"/>
      <c r="F844" s="38"/>
      <c r="J844" s="38"/>
    </row>
    <row r="845" customFormat="false" ht="15" hidden="false" customHeight="false" outlineLevel="0" collapsed="false">
      <c r="B845" s="35"/>
      <c r="D845" s="36"/>
      <c r="E845" s="37"/>
      <c r="F845" s="38"/>
      <c r="J845" s="38"/>
    </row>
    <row r="846" customFormat="false" ht="15" hidden="false" customHeight="false" outlineLevel="0" collapsed="false">
      <c r="B846" s="35"/>
      <c r="D846" s="36"/>
      <c r="E846" s="37"/>
      <c r="F846" s="38"/>
      <c r="J846" s="38"/>
    </row>
    <row r="847" customFormat="false" ht="15" hidden="false" customHeight="false" outlineLevel="0" collapsed="false">
      <c r="B847" s="35"/>
      <c r="D847" s="36"/>
      <c r="E847" s="37"/>
      <c r="F847" s="38"/>
      <c r="J847" s="38"/>
    </row>
    <row r="848" customFormat="false" ht="15" hidden="false" customHeight="false" outlineLevel="0" collapsed="false">
      <c r="B848" s="35"/>
      <c r="D848" s="36"/>
      <c r="E848" s="37"/>
      <c r="F848" s="38"/>
      <c r="J848" s="38"/>
    </row>
    <row r="849" customFormat="false" ht="15" hidden="false" customHeight="false" outlineLevel="0" collapsed="false">
      <c r="B849" s="35"/>
      <c r="D849" s="36"/>
      <c r="E849" s="37"/>
      <c r="F849" s="38"/>
      <c r="J849" s="38"/>
    </row>
    <row r="850" customFormat="false" ht="15" hidden="false" customHeight="false" outlineLevel="0" collapsed="false">
      <c r="B850" s="35"/>
      <c r="D850" s="36"/>
      <c r="E850" s="37"/>
      <c r="F850" s="38"/>
      <c r="J850" s="38"/>
    </row>
    <row r="851" customFormat="false" ht="15" hidden="false" customHeight="false" outlineLevel="0" collapsed="false">
      <c r="B851" s="35"/>
      <c r="D851" s="36"/>
      <c r="E851" s="37"/>
      <c r="F851" s="38"/>
      <c r="J851" s="38"/>
    </row>
    <row r="852" customFormat="false" ht="15" hidden="false" customHeight="false" outlineLevel="0" collapsed="false">
      <c r="B852" s="35"/>
      <c r="D852" s="36"/>
      <c r="E852" s="37"/>
      <c r="F852" s="38"/>
      <c r="J852" s="38"/>
    </row>
    <row r="853" customFormat="false" ht="15" hidden="false" customHeight="false" outlineLevel="0" collapsed="false">
      <c r="B853" s="35"/>
      <c r="D853" s="36"/>
      <c r="E853" s="37"/>
      <c r="F853" s="38"/>
      <c r="J853" s="38"/>
    </row>
    <row r="854" customFormat="false" ht="15" hidden="false" customHeight="false" outlineLevel="0" collapsed="false">
      <c r="B854" s="35"/>
      <c r="D854" s="36"/>
      <c r="E854" s="37"/>
      <c r="F854" s="38"/>
      <c r="J854" s="38"/>
    </row>
    <row r="855" customFormat="false" ht="15" hidden="false" customHeight="false" outlineLevel="0" collapsed="false">
      <c r="B855" s="35"/>
      <c r="D855" s="36"/>
      <c r="E855" s="37"/>
      <c r="F855" s="38"/>
      <c r="J855" s="38"/>
    </row>
    <row r="856" customFormat="false" ht="15" hidden="false" customHeight="false" outlineLevel="0" collapsed="false">
      <c r="B856" s="35"/>
      <c r="D856" s="36"/>
      <c r="E856" s="37"/>
      <c r="F856" s="38"/>
      <c r="J856" s="38"/>
    </row>
    <row r="857" customFormat="false" ht="15" hidden="false" customHeight="false" outlineLevel="0" collapsed="false">
      <c r="B857" s="35"/>
      <c r="D857" s="36"/>
      <c r="E857" s="37"/>
      <c r="F857" s="38"/>
      <c r="J857" s="38"/>
    </row>
    <row r="858" customFormat="false" ht="15" hidden="false" customHeight="false" outlineLevel="0" collapsed="false">
      <c r="B858" s="35"/>
      <c r="D858" s="36"/>
      <c r="E858" s="37"/>
      <c r="F858" s="38"/>
      <c r="J858" s="38"/>
    </row>
    <row r="859" customFormat="false" ht="15" hidden="false" customHeight="false" outlineLevel="0" collapsed="false">
      <c r="B859" s="35"/>
      <c r="D859" s="36"/>
      <c r="E859" s="37"/>
      <c r="F859" s="38"/>
      <c r="J859" s="38"/>
    </row>
    <row r="860" customFormat="false" ht="15" hidden="false" customHeight="false" outlineLevel="0" collapsed="false">
      <c r="B860" s="35"/>
      <c r="D860" s="36"/>
      <c r="E860" s="37"/>
      <c r="F860" s="38"/>
      <c r="J860" s="38"/>
    </row>
    <row r="861" customFormat="false" ht="15" hidden="false" customHeight="false" outlineLevel="0" collapsed="false">
      <c r="B861" s="35"/>
      <c r="D861" s="36"/>
      <c r="E861" s="37"/>
      <c r="F861" s="38"/>
      <c r="J861" s="38"/>
    </row>
    <row r="862" customFormat="false" ht="15" hidden="false" customHeight="false" outlineLevel="0" collapsed="false">
      <c r="B862" s="35"/>
      <c r="D862" s="36"/>
      <c r="E862" s="37"/>
      <c r="F862" s="38"/>
      <c r="J862" s="38"/>
    </row>
    <row r="863" customFormat="false" ht="15" hidden="false" customHeight="false" outlineLevel="0" collapsed="false">
      <c r="B863" s="35"/>
      <c r="D863" s="36"/>
      <c r="E863" s="37"/>
      <c r="F863" s="38"/>
      <c r="J863" s="38"/>
    </row>
    <row r="864" customFormat="false" ht="15" hidden="false" customHeight="false" outlineLevel="0" collapsed="false">
      <c r="B864" s="35"/>
      <c r="D864" s="36"/>
      <c r="E864" s="37"/>
      <c r="F864" s="38"/>
      <c r="J864" s="38"/>
    </row>
    <row r="865" customFormat="false" ht="15" hidden="false" customHeight="false" outlineLevel="0" collapsed="false">
      <c r="B865" s="35"/>
      <c r="D865" s="36"/>
      <c r="E865" s="37"/>
      <c r="F865" s="38"/>
      <c r="J865" s="38"/>
    </row>
    <row r="866" customFormat="false" ht="15" hidden="false" customHeight="false" outlineLevel="0" collapsed="false">
      <c r="B866" s="35"/>
      <c r="D866" s="36"/>
      <c r="E866" s="37"/>
      <c r="F866" s="38"/>
      <c r="J866" s="38"/>
    </row>
    <row r="867" customFormat="false" ht="15" hidden="false" customHeight="false" outlineLevel="0" collapsed="false">
      <c r="B867" s="35"/>
      <c r="D867" s="36"/>
      <c r="E867" s="37"/>
      <c r="F867" s="38"/>
      <c r="J867" s="38"/>
    </row>
    <row r="868" customFormat="false" ht="15" hidden="false" customHeight="false" outlineLevel="0" collapsed="false">
      <c r="B868" s="35"/>
      <c r="D868" s="36"/>
      <c r="E868" s="37"/>
      <c r="F868" s="38"/>
      <c r="J868" s="38"/>
    </row>
    <row r="869" customFormat="false" ht="15" hidden="false" customHeight="false" outlineLevel="0" collapsed="false">
      <c r="B869" s="35"/>
      <c r="D869" s="36"/>
      <c r="E869" s="37"/>
      <c r="F869" s="38"/>
      <c r="J869" s="38"/>
    </row>
    <row r="870" customFormat="false" ht="15" hidden="false" customHeight="false" outlineLevel="0" collapsed="false">
      <c r="B870" s="35"/>
      <c r="D870" s="36"/>
      <c r="E870" s="37"/>
      <c r="F870" s="38"/>
      <c r="J870" s="38"/>
    </row>
    <row r="871" customFormat="false" ht="15" hidden="false" customHeight="false" outlineLevel="0" collapsed="false">
      <c r="B871" s="35"/>
      <c r="D871" s="36"/>
      <c r="E871" s="37"/>
      <c r="F871" s="38"/>
      <c r="J871" s="38"/>
    </row>
    <row r="872" customFormat="false" ht="15" hidden="false" customHeight="false" outlineLevel="0" collapsed="false">
      <c r="B872" s="35"/>
      <c r="D872" s="36"/>
      <c r="E872" s="37"/>
      <c r="F872" s="38"/>
      <c r="J872" s="38"/>
    </row>
    <row r="873" customFormat="false" ht="15" hidden="false" customHeight="false" outlineLevel="0" collapsed="false">
      <c r="B873" s="35"/>
      <c r="D873" s="36"/>
      <c r="E873" s="37"/>
      <c r="F873" s="38"/>
      <c r="J873" s="38"/>
    </row>
    <row r="874" customFormat="false" ht="15" hidden="false" customHeight="false" outlineLevel="0" collapsed="false">
      <c r="B874" s="35"/>
      <c r="D874" s="36"/>
      <c r="E874" s="37"/>
      <c r="F874" s="38"/>
      <c r="J874" s="38"/>
    </row>
    <row r="875" customFormat="false" ht="15" hidden="false" customHeight="false" outlineLevel="0" collapsed="false">
      <c r="B875" s="35"/>
      <c r="D875" s="36"/>
      <c r="E875" s="37"/>
      <c r="F875" s="38"/>
      <c r="J875" s="38"/>
    </row>
    <row r="876" customFormat="false" ht="15" hidden="false" customHeight="false" outlineLevel="0" collapsed="false">
      <c r="B876" s="35"/>
      <c r="D876" s="36"/>
      <c r="E876" s="37"/>
      <c r="F876" s="38"/>
      <c r="J876" s="38"/>
    </row>
    <row r="877" customFormat="false" ht="15" hidden="false" customHeight="false" outlineLevel="0" collapsed="false">
      <c r="B877" s="35"/>
      <c r="D877" s="36"/>
      <c r="E877" s="37"/>
      <c r="F877" s="38"/>
      <c r="J877" s="38"/>
    </row>
    <row r="878" customFormat="false" ht="15" hidden="false" customHeight="false" outlineLevel="0" collapsed="false">
      <c r="B878" s="35"/>
      <c r="D878" s="36"/>
      <c r="E878" s="37"/>
      <c r="F878" s="38"/>
      <c r="J878" s="38"/>
    </row>
    <row r="879" customFormat="false" ht="15" hidden="false" customHeight="false" outlineLevel="0" collapsed="false">
      <c r="B879" s="35"/>
      <c r="D879" s="36"/>
      <c r="E879" s="37"/>
      <c r="F879" s="38"/>
      <c r="J879" s="38"/>
    </row>
    <row r="880" customFormat="false" ht="15" hidden="false" customHeight="false" outlineLevel="0" collapsed="false">
      <c r="B880" s="35"/>
      <c r="D880" s="36"/>
      <c r="E880" s="37"/>
      <c r="F880" s="38"/>
      <c r="J880" s="38"/>
    </row>
    <row r="881" customFormat="false" ht="15" hidden="false" customHeight="false" outlineLevel="0" collapsed="false">
      <c r="B881" s="35"/>
      <c r="D881" s="36"/>
      <c r="E881" s="37"/>
      <c r="F881" s="38"/>
      <c r="J881" s="38"/>
    </row>
    <row r="882" customFormat="false" ht="15" hidden="false" customHeight="false" outlineLevel="0" collapsed="false">
      <c r="B882" s="35"/>
      <c r="D882" s="36"/>
      <c r="E882" s="37"/>
      <c r="F882" s="38"/>
      <c r="J882" s="38"/>
    </row>
    <row r="883" customFormat="false" ht="15" hidden="false" customHeight="false" outlineLevel="0" collapsed="false">
      <c r="B883" s="35"/>
      <c r="D883" s="36"/>
      <c r="E883" s="37"/>
      <c r="F883" s="38"/>
      <c r="J883" s="38"/>
    </row>
    <row r="884" customFormat="false" ht="15" hidden="false" customHeight="false" outlineLevel="0" collapsed="false">
      <c r="B884" s="35"/>
      <c r="D884" s="36"/>
      <c r="E884" s="37"/>
      <c r="F884" s="38"/>
      <c r="J884" s="38"/>
    </row>
    <row r="885" customFormat="false" ht="15" hidden="false" customHeight="false" outlineLevel="0" collapsed="false">
      <c r="B885" s="35"/>
      <c r="D885" s="36"/>
      <c r="E885" s="37"/>
      <c r="F885" s="38"/>
      <c r="J885" s="38"/>
    </row>
    <row r="886" customFormat="false" ht="15" hidden="false" customHeight="false" outlineLevel="0" collapsed="false">
      <c r="B886" s="35"/>
      <c r="D886" s="36"/>
      <c r="E886" s="37"/>
      <c r="F886" s="38"/>
      <c r="J886" s="38"/>
    </row>
    <row r="887" customFormat="false" ht="15" hidden="false" customHeight="false" outlineLevel="0" collapsed="false">
      <c r="B887" s="35"/>
      <c r="D887" s="36"/>
      <c r="E887" s="37"/>
      <c r="F887" s="38"/>
      <c r="J887" s="38"/>
    </row>
    <row r="888" customFormat="false" ht="15" hidden="false" customHeight="false" outlineLevel="0" collapsed="false">
      <c r="B888" s="35"/>
      <c r="D888" s="36"/>
      <c r="E888" s="37"/>
      <c r="F888" s="38"/>
      <c r="J888" s="38"/>
    </row>
    <row r="889" customFormat="false" ht="15" hidden="false" customHeight="false" outlineLevel="0" collapsed="false">
      <c r="B889" s="35"/>
      <c r="D889" s="36"/>
      <c r="E889" s="37"/>
      <c r="F889" s="38"/>
      <c r="J889" s="38"/>
    </row>
    <row r="890" customFormat="false" ht="15" hidden="false" customHeight="false" outlineLevel="0" collapsed="false">
      <c r="B890" s="35"/>
      <c r="D890" s="36"/>
      <c r="E890" s="37"/>
      <c r="F890" s="38"/>
      <c r="J890" s="38"/>
    </row>
    <row r="891" customFormat="false" ht="15" hidden="false" customHeight="false" outlineLevel="0" collapsed="false">
      <c r="B891" s="35"/>
      <c r="D891" s="36"/>
      <c r="E891" s="37"/>
      <c r="F891" s="38"/>
      <c r="J891" s="38"/>
    </row>
    <row r="892" customFormat="false" ht="15" hidden="false" customHeight="false" outlineLevel="0" collapsed="false">
      <c r="B892" s="35"/>
      <c r="D892" s="36"/>
      <c r="E892" s="37"/>
      <c r="F892" s="38"/>
      <c r="J892" s="38"/>
    </row>
    <row r="893" customFormat="false" ht="15" hidden="false" customHeight="false" outlineLevel="0" collapsed="false">
      <c r="B893" s="35"/>
      <c r="D893" s="36"/>
      <c r="E893" s="37"/>
      <c r="F893" s="38"/>
      <c r="J893" s="38"/>
    </row>
    <row r="894" customFormat="false" ht="15" hidden="false" customHeight="false" outlineLevel="0" collapsed="false">
      <c r="B894" s="35"/>
      <c r="D894" s="36"/>
      <c r="E894" s="37"/>
      <c r="F894" s="38"/>
      <c r="J894" s="38"/>
    </row>
    <row r="895" customFormat="false" ht="15" hidden="false" customHeight="false" outlineLevel="0" collapsed="false">
      <c r="B895" s="35"/>
      <c r="D895" s="36"/>
      <c r="E895" s="37"/>
      <c r="F895" s="38"/>
      <c r="J895" s="38"/>
    </row>
    <row r="896" customFormat="false" ht="15" hidden="false" customHeight="false" outlineLevel="0" collapsed="false">
      <c r="B896" s="35"/>
      <c r="D896" s="36"/>
      <c r="E896" s="37"/>
      <c r="F896" s="38"/>
      <c r="J896" s="38"/>
    </row>
    <row r="897" customFormat="false" ht="15" hidden="false" customHeight="false" outlineLevel="0" collapsed="false">
      <c r="B897" s="35"/>
      <c r="D897" s="36"/>
      <c r="E897" s="37"/>
      <c r="F897" s="38"/>
      <c r="J897" s="38"/>
    </row>
    <row r="898" customFormat="false" ht="15" hidden="false" customHeight="false" outlineLevel="0" collapsed="false">
      <c r="B898" s="35"/>
      <c r="D898" s="36"/>
      <c r="E898" s="37"/>
      <c r="F898" s="38"/>
      <c r="J898" s="38"/>
    </row>
    <row r="899" customFormat="false" ht="15" hidden="false" customHeight="false" outlineLevel="0" collapsed="false">
      <c r="B899" s="35"/>
      <c r="D899" s="36"/>
      <c r="E899" s="37"/>
      <c r="F899" s="38"/>
      <c r="J899" s="38"/>
    </row>
    <row r="900" customFormat="false" ht="15" hidden="false" customHeight="false" outlineLevel="0" collapsed="false">
      <c r="B900" s="35"/>
      <c r="D900" s="36"/>
      <c r="E900" s="37"/>
      <c r="F900" s="38"/>
      <c r="J900" s="38"/>
    </row>
    <row r="901" customFormat="false" ht="15" hidden="false" customHeight="false" outlineLevel="0" collapsed="false">
      <c r="B901" s="35"/>
      <c r="D901" s="36"/>
      <c r="E901" s="37"/>
      <c r="F901" s="38"/>
      <c r="J901" s="38"/>
    </row>
    <row r="902" customFormat="false" ht="15" hidden="false" customHeight="false" outlineLevel="0" collapsed="false">
      <c r="B902" s="35"/>
      <c r="D902" s="36"/>
      <c r="E902" s="37"/>
      <c r="F902" s="38"/>
      <c r="J902" s="38"/>
    </row>
    <row r="903" customFormat="false" ht="15" hidden="false" customHeight="false" outlineLevel="0" collapsed="false">
      <c r="B903" s="35"/>
      <c r="D903" s="36"/>
      <c r="E903" s="37"/>
      <c r="F903" s="38"/>
      <c r="J903" s="38"/>
    </row>
    <row r="904" customFormat="false" ht="15" hidden="false" customHeight="false" outlineLevel="0" collapsed="false">
      <c r="B904" s="35"/>
      <c r="D904" s="36"/>
      <c r="E904" s="37"/>
      <c r="F904" s="38"/>
      <c r="J904" s="38"/>
    </row>
    <row r="905" customFormat="false" ht="15" hidden="false" customHeight="false" outlineLevel="0" collapsed="false">
      <c r="B905" s="35"/>
      <c r="D905" s="36"/>
      <c r="E905" s="37"/>
      <c r="F905" s="38"/>
      <c r="J905" s="38"/>
    </row>
    <row r="906" customFormat="false" ht="15" hidden="false" customHeight="false" outlineLevel="0" collapsed="false">
      <c r="B906" s="35"/>
      <c r="D906" s="36"/>
      <c r="E906" s="37"/>
      <c r="F906" s="38"/>
      <c r="J906" s="38"/>
    </row>
    <row r="907" customFormat="false" ht="15" hidden="false" customHeight="false" outlineLevel="0" collapsed="false">
      <c r="B907" s="35"/>
      <c r="D907" s="36"/>
      <c r="E907" s="37"/>
      <c r="F907" s="38"/>
      <c r="J907" s="38"/>
    </row>
    <row r="908" customFormat="false" ht="15" hidden="false" customHeight="false" outlineLevel="0" collapsed="false">
      <c r="B908" s="35"/>
      <c r="D908" s="36"/>
      <c r="E908" s="37"/>
      <c r="F908" s="38"/>
      <c r="J908" s="38"/>
    </row>
    <row r="909" customFormat="false" ht="15" hidden="false" customHeight="false" outlineLevel="0" collapsed="false">
      <c r="B909" s="35"/>
      <c r="D909" s="36"/>
      <c r="E909" s="37"/>
      <c r="F909" s="38"/>
      <c r="J909" s="38"/>
    </row>
    <row r="910" customFormat="false" ht="15" hidden="false" customHeight="false" outlineLevel="0" collapsed="false">
      <c r="B910" s="35"/>
      <c r="D910" s="36"/>
      <c r="E910" s="37"/>
      <c r="F910" s="38"/>
      <c r="J910" s="38"/>
    </row>
    <row r="911" customFormat="false" ht="15" hidden="false" customHeight="false" outlineLevel="0" collapsed="false">
      <c r="B911" s="35"/>
      <c r="D911" s="36"/>
      <c r="E911" s="37"/>
      <c r="F911" s="38"/>
      <c r="J911" s="38"/>
    </row>
    <row r="912" customFormat="false" ht="15" hidden="false" customHeight="false" outlineLevel="0" collapsed="false">
      <c r="B912" s="35"/>
      <c r="D912" s="36"/>
      <c r="E912" s="37"/>
      <c r="F912" s="38"/>
      <c r="J912" s="38"/>
    </row>
    <row r="913" customFormat="false" ht="15" hidden="false" customHeight="false" outlineLevel="0" collapsed="false">
      <c r="B913" s="35"/>
      <c r="D913" s="36"/>
      <c r="E913" s="37"/>
      <c r="F913" s="38"/>
      <c r="J913" s="38"/>
    </row>
    <row r="914" customFormat="false" ht="15" hidden="false" customHeight="false" outlineLevel="0" collapsed="false">
      <c r="B914" s="35"/>
      <c r="D914" s="36"/>
      <c r="E914" s="37"/>
      <c r="F914" s="38"/>
      <c r="J914" s="38"/>
    </row>
    <row r="915" customFormat="false" ht="15" hidden="false" customHeight="false" outlineLevel="0" collapsed="false">
      <c r="B915" s="35"/>
      <c r="D915" s="36"/>
      <c r="E915" s="37"/>
      <c r="F915" s="38"/>
      <c r="J915" s="38"/>
    </row>
    <row r="916" customFormat="false" ht="15" hidden="false" customHeight="false" outlineLevel="0" collapsed="false">
      <c r="B916" s="35"/>
      <c r="D916" s="36"/>
      <c r="E916" s="37"/>
      <c r="F916" s="38"/>
      <c r="J916" s="38"/>
    </row>
    <row r="917" customFormat="false" ht="15" hidden="false" customHeight="false" outlineLevel="0" collapsed="false">
      <c r="B917" s="35"/>
      <c r="D917" s="36"/>
      <c r="E917" s="37"/>
      <c r="F917" s="38"/>
      <c r="J917" s="38"/>
    </row>
    <row r="918" customFormat="false" ht="15" hidden="false" customHeight="false" outlineLevel="0" collapsed="false">
      <c r="B918" s="35"/>
      <c r="D918" s="36"/>
      <c r="E918" s="37"/>
      <c r="F918" s="38"/>
      <c r="J918" s="38"/>
    </row>
    <row r="919" customFormat="false" ht="15" hidden="false" customHeight="false" outlineLevel="0" collapsed="false">
      <c r="B919" s="35"/>
      <c r="D919" s="36"/>
      <c r="E919" s="37"/>
      <c r="F919" s="38"/>
      <c r="J919" s="38"/>
    </row>
    <row r="920" customFormat="false" ht="15" hidden="false" customHeight="false" outlineLevel="0" collapsed="false">
      <c r="B920" s="35"/>
      <c r="D920" s="36"/>
      <c r="E920" s="37"/>
      <c r="F920" s="38"/>
      <c r="J920" s="38"/>
    </row>
    <row r="921" customFormat="false" ht="15" hidden="false" customHeight="false" outlineLevel="0" collapsed="false">
      <c r="B921" s="35"/>
      <c r="D921" s="36"/>
      <c r="E921" s="37"/>
      <c r="F921" s="38"/>
      <c r="J921" s="38"/>
    </row>
    <row r="922" customFormat="false" ht="15" hidden="false" customHeight="false" outlineLevel="0" collapsed="false">
      <c r="B922" s="35"/>
      <c r="D922" s="36"/>
      <c r="E922" s="37"/>
      <c r="F922" s="38"/>
      <c r="J922" s="38"/>
    </row>
    <row r="923" customFormat="false" ht="15" hidden="false" customHeight="false" outlineLevel="0" collapsed="false">
      <c r="B923" s="35"/>
      <c r="D923" s="36"/>
      <c r="E923" s="37"/>
      <c r="F923" s="38"/>
      <c r="J923" s="38"/>
    </row>
    <row r="924" customFormat="false" ht="15" hidden="false" customHeight="false" outlineLevel="0" collapsed="false">
      <c r="B924" s="35"/>
      <c r="D924" s="36"/>
      <c r="E924" s="37"/>
      <c r="F924" s="38"/>
      <c r="J924" s="38"/>
    </row>
    <row r="925" customFormat="false" ht="15" hidden="false" customHeight="false" outlineLevel="0" collapsed="false">
      <c r="B925" s="35"/>
      <c r="D925" s="36"/>
      <c r="E925" s="37"/>
      <c r="F925" s="38"/>
      <c r="J925" s="38"/>
    </row>
    <row r="926" customFormat="false" ht="15" hidden="false" customHeight="false" outlineLevel="0" collapsed="false">
      <c r="B926" s="35"/>
      <c r="D926" s="36"/>
      <c r="E926" s="37"/>
      <c r="F926" s="38"/>
      <c r="J926" s="38"/>
    </row>
    <row r="927" customFormat="false" ht="15" hidden="false" customHeight="false" outlineLevel="0" collapsed="false">
      <c r="B927" s="35"/>
      <c r="D927" s="36"/>
      <c r="E927" s="37"/>
      <c r="F927" s="38"/>
      <c r="J927" s="38"/>
    </row>
    <row r="928" customFormat="false" ht="15" hidden="false" customHeight="false" outlineLevel="0" collapsed="false">
      <c r="B928" s="35"/>
      <c r="D928" s="36"/>
      <c r="E928" s="37"/>
      <c r="F928" s="38"/>
      <c r="J928" s="38"/>
    </row>
    <row r="929" customFormat="false" ht="15" hidden="false" customHeight="false" outlineLevel="0" collapsed="false">
      <c r="B929" s="35"/>
      <c r="D929" s="36"/>
      <c r="E929" s="37"/>
      <c r="F929" s="38"/>
      <c r="J929" s="38"/>
    </row>
    <row r="930" customFormat="false" ht="15" hidden="false" customHeight="false" outlineLevel="0" collapsed="false">
      <c r="B930" s="35"/>
      <c r="D930" s="36"/>
      <c r="E930" s="37"/>
      <c r="F930" s="38"/>
      <c r="J930" s="38"/>
    </row>
    <row r="931" customFormat="false" ht="15" hidden="false" customHeight="false" outlineLevel="0" collapsed="false">
      <c r="B931" s="35"/>
      <c r="D931" s="36"/>
      <c r="E931" s="37"/>
      <c r="F931" s="38"/>
      <c r="J931" s="38"/>
    </row>
    <row r="932" customFormat="false" ht="15" hidden="false" customHeight="false" outlineLevel="0" collapsed="false">
      <c r="B932" s="35"/>
      <c r="D932" s="36"/>
      <c r="E932" s="37"/>
      <c r="F932" s="38"/>
      <c r="J932" s="38"/>
    </row>
    <row r="933" customFormat="false" ht="15" hidden="false" customHeight="false" outlineLevel="0" collapsed="false">
      <c r="B933" s="35"/>
      <c r="D933" s="36"/>
      <c r="E933" s="37"/>
      <c r="F933" s="38"/>
      <c r="J933" s="38"/>
    </row>
    <row r="934" customFormat="false" ht="15" hidden="false" customHeight="false" outlineLevel="0" collapsed="false">
      <c r="B934" s="35"/>
      <c r="D934" s="36"/>
      <c r="E934" s="37"/>
      <c r="F934" s="38"/>
      <c r="J934" s="38"/>
    </row>
    <row r="935" customFormat="false" ht="15" hidden="false" customHeight="false" outlineLevel="0" collapsed="false">
      <c r="B935" s="35"/>
      <c r="D935" s="36"/>
      <c r="E935" s="37"/>
      <c r="F935" s="38"/>
      <c r="J935" s="38"/>
    </row>
    <row r="936" customFormat="false" ht="15" hidden="false" customHeight="false" outlineLevel="0" collapsed="false">
      <c r="B936" s="35"/>
      <c r="D936" s="36"/>
      <c r="E936" s="37"/>
      <c r="F936" s="38"/>
      <c r="J936" s="38"/>
    </row>
    <row r="937" customFormat="false" ht="15" hidden="false" customHeight="false" outlineLevel="0" collapsed="false">
      <c r="B937" s="35"/>
      <c r="D937" s="36"/>
      <c r="E937" s="37"/>
      <c r="F937" s="38"/>
      <c r="J937" s="38"/>
    </row>
    <row r="938" customFormat="false" ht="15" hidden="false" customHeight="false" outlineLevel="0" collapsed="false">
      <c r="B938" s="35"/>
      <c r="D938" s="36"/>
      <c r="E938" s="37"/>
      <c r="F938" s="38"/>
      <c r="J938" s="38"/>
    </row>
    <row r="939" customFormat="false" ht="15" hidden="false" customHeight="false" outlineLevel="0" collapsed="false">
      <c r="B939" s="35"/>
      <c r="D939" s="36"/>
      <c r="E939" s="37"/>
      <c r="F939" s="38"/>
      <c r="J939" s="38"/>
    </row>
    <row r="940" customFormat="false" ht="15" hidden="false" customHeight="false" outlineLevel="0" collapsed="false">
      <c r="B940" s="35"/>
      <c r="D940" s="36"/>
      <c r="E940" s="37"/>
      <c r="F940" s="38"/>
      <c r="J940" s="38"/>
    </row>
    <row r="941" customFormat="false" ht="15" hidden="false" customHeight="false" outlineLevel="0" collapsed="false">
      <c r="B941" s="35"/>
      <c r="D941" s="36"/>
      <c r="E941" s="37"/>
      <c r="F941" s="38"/>
      <c r="J941" s="38"/>
    </row>
    <row r="942" customFormat="false" ht="15" hidden="false" customHeight="false" outlineLevel="0" collapsed="false">
      <c r="B942" s="35"/>
      <c r="D942" s="36"/>
      <c r="E942" s="37"/>
      <c r="F942" s="38"/>
      <c r="J942" s="38"/>
    </row>
    <row r="943" customFormat="false" ht="15" hidden="false" customHeight="false" outlineLevel="0" collapsed="false">
      <c r="B943" s="35"/>
      <c r="D943" s="36"/>
      <c r="E943" s="37"/>
      <c r="F943" s="38"/>
      <c r="J943" s="38"/>
    </row>
    <row r="944" customFormat="false" ht="15" hidden="false" customHeight="false" outlineLevel="0" collapsed="false">
      <c r="B944" s="35"/>
      <c r="D944" s="36"/>
      <c r="E944" s="37"/>
      <c r="F944" s="38"/>
      <c r="J944" s="38"/>
    </row>
    <row r="945" customFormat="false" ht="15" hidden="false" customHeight="false" outlineLevel="0" collapsed="false">
      <c r="B945" s="35"/>
      <c r="D945" s="36"/>
      <c r="E945" s="37"/>
      <c r="F945" s="38"/>
      <c r="J945" s="38"/>
    </row>
    <row r="946" customFormat="false" ht="15" hidden="false" customHeight="false" outlineLevel="0" collapsed="false">
      <c r="B946" s="35"/>
      <c r="D946" s="36"/>
      <c r="E946" s="37"/>
      <c r="F946" s="38"/>
      <c r="J946" s="38"/>
    </row>
    <row r="947" customFormat="false" ht="15" hidden="false" customHeight="false" outlineLevel="0" collapsed="false">
      <c r="B947" s="35"/>
      <c r="D947" s="36"/>
      <c r="E947" s="37"/>
      <c r="F947" s="38"/>
      <c r="J947" s="38"/>
    </row>
    <row r="948" customFormat="false" ht="15" hidden="false" customHeight="false" outlineLevel="0" collapsed="false">
      <c r="B948" s="35"/>
      <c r="D948" s="36"/>
      <c r="E948" s="37"/>
      <c r="F948" s="38"/>
      <c r="J948" s="38"/>
    </row>
    <row r="949" customFormat="false" ht="15" hidden="false" customHeight="false" outlineLevel="0" collapsed="false">
      <c r="B949" s="35"/>
      <c r="D949" s="36"/>
      <c r="E949" s="37"/>
      <c r="F949" s="38"/>
      <c r="J949" s="38"/>
    </row>
    <row r="950" customFormat="false" ht="15" hidden="false" customHeight="false" outlineLevel="0" collapsed="false">
      <c r="B950" s="35"/>
      <c r="D950" s="36"/>
      <c r="E950" s="37"/>
      <c r="F950" s="38"/>
      <c r="J950" s="38"/>
    </row>
    <row r="951" customFormat="false" ht="15" hidden="false" customHeight="false" outlineLevel="0" collapsed="false">
      <c r="B951" s="35"/>
      <c r="D951" s="36"/>
      <c r="E951" s="37"/>
      <c r="F951" s="38"/>
      <c r="J951" s="38"/>
    </row>
    <row r="952" customFormat="false" ht="15" hidden="false" customHeight="false" outlineLevel="0" collapsed="false">
      <c r="B952" s="35"/>
      <c r="D952" s="36"/>
      <c r="E952" s="37"/>
      <c r="F952" s="38"/>
      <c r="J952" s="38"/>
    </row>
    <row r="953" customFormat="false" ht="15" hidden="false" customHeight="false" outlineLevel="0" collapsed="false">
      <c r="B953" s="35"/>
      <c r="D953" s="36"/>
      <c r="E953" s="37"/>
      <c r="F953" s="38"/>
      <c r="J953" s="38"/>
    </row>
    <row r="954" customFormat="false" ht="15" hidden="false" customHeight="false" outlineLevel="0" collapsed="false">
      <c r="B954" s="35"/>
      <c r="D954" s="36"/>
      <c r="E954" s="37"/>
      <c r="F954" s="38"/>
      <c r="J954" s="38"/>
    </row>
    <row r="955" customFormat="false" ht="15" hidden="false" customHeight="false" outlineLevel="0" collapsed="false">
      <c r="B955" s="35"/>
      <c r="D955" s="36"/>
      <c r="E955" s="37"/>
      <c r="F955" s="38"/>
      <c r="J955" s="38"/>
    </row>
    <row r="956" customFormat="false" ht="15" hidden="false" customHeight="false" outlineLevel="0" collapsed="false">
      <c r="B956" s="35"/>
      <c r="D956" s="36"/>
      <c r="E956" s="37"/>
      <c r="F956" s="38"/>
      <c r="J956" s="38"/>
    </row>
    <row r="957" customFormat="false" ht="15" hidden="false" customHeight="false" outlineLevel="0" collapsed="false">
      <c r="B957" s="35"/>
      <c r="D957" s="36"/>
      <c r="E957" s="37"/>
      <c r="F957" s="38"/>
      <c r="J957" s="38"/>
    </row>
    <row r="958" customFormat="false" ht="15" hidden="false" customHeight="false" outlineLevel="0" collapsed="false">
      <c r="B958" s="35"/>
      <c r="D958" s="36"/>
      <c r="E958" s="37"/>
      <c r="F958" s="38"/>
      <c r="J958" s="38"/>
    </row>
    <row r="959" customFormat="false" ht="15" hidden="false" customHeight="false" outlineLevel="0" collapsed="false">
      <c r="B959" s="35"/>
      <c r="D959" s="36"/>
      <c r="E959" s="37"/>
      <c r="F959" s="38"/>
      <c r="J959" s="38"/>
    </row>
    <row r="960" customFormat="false" ht="15" hidden="false" customHeight="false" outlineLevel="0" collapsed="false">
      <c r="B960" s="35"/>
      <c r="D960" s="36"/>
      <c r="E960" s="37"/>
      <c r="F960" s="38"/>
      <c r="J960" s="38"/>
    </row>
    <row r="961" customFormat="false" ht="15" hidden="false" customHeight="false" outlineLevel="0" collapsed="false">
      <c r="B961" s="35"/>
      <c r="D961" s="36"/>
      <c r="E961" s="37"/>
      <c r="F961" s="38"/>
      <c r="J961" s="38"/>
    </row>
    <row r="962" customFormat="false" ht="15" hidden="false" customHeight="false" outlineLevel="0" collapsed="false">
      <c r="B962" s="35"/>
      <c r="D962" s="36"/>
      <c r="E962" s="37"/>
      <c r="F962" s="38"/>
      <c r="J962" s="38"/>
    </row>
    <row r="963" customFormat="false" ht="15" hidden="false" customHeight="false" outlineLevel="0" collapsed="false">
      <c r="B963" s="35"/>
      <c r="D963" s="36"/>
      <c r="E963" s="37"/>
      <c r="F963" s="38"/>
      <c r="J963" s="38"/>
    </row>
    <row r="964" customFormat="false" ht="15" hidden="false" customHeight="false" outlineLevel="0" collapsed="false">
      <c r="B964" s="35"/>
      <c r="D964" s="36"/>
      <c r="E964" s="37"/>
      <c r="F964" s="38"/>
      <c r="J964" s="38"/>
    </row>
    <row r="965" customFormat="false" ht="15" hidden="false" customHeight="false" outlineLevel="0" collapsed="false">
      <c r="B965" s="35"/>
      <c r="D965" s="36"/>
      <c r="E965" s="37"/>
      <c r="F965" s="38"/>
      <c r="J965" s="38"/>
    </row>
    <row r="966" customFormat="false" ht="15" hidden="false" customHeight="false" outlineLevel="0" collapsed="false">
      <c r="B966" s="35"/>
      <c r="D966" s="36"/>
      <c r="E966" s="37"/>
      <c r="F966" s="38"/>
      <c r="J966" s="38"/>
    </row>
    <row r="967" customFormat="false" ht="15" hidden="false" customHeight="false" outlineLevel="0" collapsed="false">
      <c r="B967" s="35"/>
      <c r="D967" s="36"/>
      <c r="E967" s="37"/>
      <c r="F967" s="38"/>
      <c r="J967" s="38"/>
    </row>
    <row r="968" customFormat="false" ht="15" hidden="false" customHeight="false" outlineLevel="0" collapsed="false">
      <c r="B968" s="35"/>
      <c r="D968" s="36"/>
      <c r="E968" s="37"/>
      <c r="F968" s="38"/>
      <c r="J968" s="38"/>
    </row>
    <row r="969" customFormat="false" ht="15" hidden="false" customHeight="false" outlineLevel="0" collapsed="false">
      <c r="B969" s="35"/>
      <c r="D969" s="36"/>
      <c r="E969" s="37"/>
      <c r="F969" s="38"/>
      <c r="J969" s="38"/>
    </row>
    <row r="970" customFormat="false" ht="15" hidden="false" customHeight="false" outlineLevel="0" collapsed="false">
      <c r="B970" s="35"/>
      <c r="D970" s="36"/>
      <c r="E970" s="37"/>
      <c r="F970" s="38"/>
      <c r="J970" s="38"/>
    </row>
    <row r="971" customFormat="false" ht="15" hidden="false" customHeight="false" outlineLevel="0" collapsed="false">
      <c r="B971" s="35"/>
      <c r="D971" s="36"/>
      <c r="E971" s="37"/>
      <c r="F971" s="38"/>
      <c r="J971" s="38"/>
    </row>
    <row r="972" customFormat="false" ht="15" hidden="false" customHeight="false" outlineLevel="0" collapsed="false">
      <c r="B972" s="35"/>
      <c r="D972" s="36"/>
      <c r="E972" s="37"/>
      <c r="F972" s="38"/>
      <c r="J972" s="38"/>
    </row>
    <row r="973" customFormat="false" ht="15" hidden="false" customHeight="false" outlineLevel="0" collapsed="false">
      <c r="B973" s="35"/>
      <c r="D973" s="36"/>
      <c r="E973" s="37"/>
      <c r="F973" s="38"/>
      <c r="J973" s="38"/>
    </row>
    <row r="974" customFormat="false" ht="15" hidden="false" customHeight="false" outlineLevel="0" collapsed="false">
      <c r="B974" s="35"/>
      <c r="D974" s="36"/>
      <c r="E974" s="37"/>
      <c r="F974" s="38"/>
      <c r="J974" s="38"/>
    </row>
    <row r="975" customFormat="false" ht="15" hidden="false" customHeight="false" outlineLevel="0" collapsed="false">
      <c r="B975" s="35"/>
      <c r="D975" s="36"/>
      <c r="E975" s="37"/>
      <c r="F975" s="38"/>
      <c r="J975" s="38"/>
    </row>
    <row r="976" customFormat="false" ht="15" hidden="false" customHeight="false" outlineLevel="0" collapsed="false">
      <c r="B976" s="35"/>
      <c r="D976" s="36"/>
      <c r="E976" s="37"/>
      <c r="F976" s="38"/>
      <c r="J976" s="38"/>
    </row>
    <row r="977" customFormat="false" ht="15" hidden="false" customHeight="false" outlineLevel="0" collapsed="false">
      <c r="B977" s="35"/>
      <c r="D977" s="36"/>
      <c r="E977" s="37"/>
      <c r="F977" s="38"/>
      <c r="J977" s="38"/>
    </row>
    <row r="978" customFormat="false" ht="15" hidden="false" customHeight="false" outlineLevel="0" collapsed="false">
      <c r="B978" s="35"/>
      <c r="D978" s="36"/>
      <c r="E978" s="37"/>
      <c r="F978" s="38"/>
      <c r="J978" s="38"/>
    </row>
    <row r="979" customFormat="false" ht="15" hidden="false" customHeight="false" outlineLevel="0" collapsed="false">
      <c r="B979" s="35"/>
      <c r="D979" s="36"/>
      <c r="E979" s="37"/>
      <c r="F979" s="38"/>
      <c r="J979" s="38"/>
    </row>
    <row r="980" customFormat="false" ht="15" hidden="false" customHeight="false" outlineLevel="0" collapsed="false">
      <c r="B980" s="35"/>
      <c r="D980" s="36"/>
      <c r="E980" s="37"/>
      <c r="F980" s="38"/>
      <c r="J980" s="38"/>
    </row>
    <row r="981" customFormat="false" ht="15" hidden="false" customHeight="false" outlineLevel="0" collapsed="false">
      <c r="B981" s="35"/>
      <c r="D981" s="36"/>
      <c r="E981" s="37"/>
      <c r="F981" s="38"/>
      <c r="J981" s="38"/>
    </row>
    <row r="982" customFormat="false" ht="15" hidden="false" customHeight="false" outlineLevel="0" collapsed="false">
      <c r="B982" s="35"/>
      <c r="D982" s="36"/>
      <c r="E982" s="37"/>
      <c r="F982" s="38"/>
      <c r="J982" s="38"/>
    </row>
    <row r="983" customFormat="false" ht="15" hidden="false" customHeight="false" outlineLevel="0" collapsed="false">
      <c r="B983" s="35"/>
      <c r="D983" s="36"/>
      <c r="E983" s="37"/>
      <c r="F983" s="38"/>
      <c r="J983" s="38"/>
    </row>
    <row r="984" customFormat="false" ht="15" hidden="false" customHeight="false" outlineLevel="0" collapsed="false">
      <c r="B984" s="35"/>
      <c r="D984" s="36"/>
      <c r="E984" s="37"/>
      <c r="F984" s="38"/>
      <c r="J984" s="38"/>
    </row>
    <row r="985" customFormat="false" ht="15" hidden="false" customHeight="false" outlineLevel="0" collapsed="false">
      <c r="B985" s="35"/>
      <c r="D985" s="36"/>
      <c r="E985" s="37"/>
      <c r="F985" s="38"/>
      <c r="J985" s="38"/>
    </row>
    <row r="986" customFormat="false" ht="15" hidden="false" customHeight="false" outlineLevel="0" collapsed="false">
      <c r="B986" s="35"/>
      <c r="D986" s="36"/>
      <c r="E986" s="37"/>
      <c r="F986" s="38"/>
      <c r="J986" s="38"/>
    </row>
    <row r="987" customFormat="false" ht="15" hidden="false" customHeight="false" outlineLevel="0" collapsed="false">
      <c r="B987" s="35"/>
      <c r="D987" s="36"/>
      <c r="E987" s="37"/>
      <c r="F987" s="38"/>
      <c r="J987" s="38"/>
    </row>
    <row r="988" customFormat="false" ht="15" hidden="false" customHeight="false" outlineLevel="0" collapsed="false">
      <c r="B988" s="35"/>
      <c r="D988" s="36"/>
      <c r="E988" s="37"/>
      <c r="F988" s="38"/>
      <c r="J988" s="38"/>
    </row>
    <row r="989" customFormat="false" ht="15" hidden="false" customHeight="false" outlineLevel="0" collapsed="false">
      <c r="B989" s="35"/>
      <c r="D989" s="36"/>
      <c r="E989" s="37"/>
      <c r="F989" s="38"/>
      <c r="J989" s="38"/>
    </row>
    <row r="990" customFormat="false" ht="15" hidden="false" customHeight="false" outlineLevel="0" collapsed="false">
      <c r="B990" s="35"/>
      <c r="D990" s="36"/>
      <c r="E990" s="37"/>
      <c r="F990" s="38"/>
      <c r="J990" s="38"/>
    </row>
    <row r="991" customFormat="false" ht="15" hidden="false" customHeight="false" outlineLevel="0" collapsed="false">
      <c r="B991" s="35"/>
      <c r="D991" s="36"/>
      <c r="E991" s="37"/>
      <c r="F991" s="38"/>
      <c r="J991" s="38"/>
    </row>
    <row r="992" customFormat="false" ht="15" hidden="false" customHeight="false" outlineLevel="0" collapsed="false">
      <c r="B992" s="35"/>
      <c r="D992" s="36"/>
      <c r="E992" s="37"/>
      <c r="F992" s="38"/>
      <c r="J992" s="38"/>
    </row>
    <row r="993" customFormat="false" ht="15" hidden="false" customHeight="false" outlineLevel="0" collapsed="false">
      <c r="B993" s="35"/>
      <c r="D993" s="36"/>
      <c r="E993" s="37"/>
      <c r="F993" s="38"/>
      <c r="J993" s="38"/>
    </row>
    <row r="994" customFormat="false" ht="15" hidden="false" customHeight="false" outlineLevel="0" collapsed="false">
      <c r="B994" s="35"/>
      <c r="D994" s="36"/>
      <c r="E994" s="37"/>
      <c r="F994" s="38"/>
      <c r="J994" s="38"/>
    </row>
    <row r="995" customFormat="false" ht="15" hidden="false" customHeight="false" outlineLevel="0" collapsed="false">
      <c r="B995" s="35"/>
      <c r="D995" s="36"/>
      <c r="E995" s="37"/>
      <c r="F995" s="38"/>
      <c r="J995" s="38"/>
    </row>
    <row r="996" customFormat="false" ht="15" hidden="false" customHeight="false" outlineLevel="0" collapsed="false">
      <c r="B996" s="35"/>
      <c r="D996" s="36"/>
      <c r="E996" s="37"/>
      <c r="F996" s="38"/>
      <c r="J996" s="38"/>
    </row>
    <row r="997" customFormat="false" ht="15" hidden="false" customHeight="false" outlineLevel="0" collapsed="false">
      <c r="B997" s="35"/>
      <c r="D997" s="36"/>
      <c r="E997" s="37"/>
      <c r="F997" s="38"/>
      <c r="J997" s="38"/>
    </row>
    <row r="998" customFormat="false" ht="15" hidden="false" customHeight="false" outlineLevel="0" collapsed="false">
      <c r="B998" s="35"/>
      <c r="D998" s="36"/>
      <c r="E998" s="37"/>
      <c r="F998" s="38"/>
      <c r="J998" s="38"/>
    </row>
    <row r="999" customFormat="false" ht="15" hidden="false" customHeight="false" outlineLevel="0" collapsed="false">
      <c r="B999" s="35"/>
      <c r="D999" s="36"/>
      <c r="E999" s="37"/>
      <c r="F999" s="38"/>
      <c r="J999" s="38"/>
    </row>
    <row r="1000" customFormat="false" ht="15" hidden="false" customHeight="false" outlineLevel="0" collapsed="false">
      <c r="B1000" s="35"/>
      <c r="D1000" s="36"/>
      <c r="E1000" s="37"/>
      <c r="F1000" s="38"/>
      <c r="J1000" s="38"/>
    </row>
    <row r="1001" customFormat="false" ht="15" hidden="false" customHeight="false" outlineLevel="0" collapsed="false">
      <c r="B1001" s="35"/>
      <c r="D1001" s="36"/>
      <c r="E1001" s="37"/>
      <c r="F1001" s="38"/>
      <c r="J1001" s="38"/>
    </row>
    <row r="1002" customFormat="false" ht="15" hidden="false" customHeight="false" outlineLevel="0" collapsed="false">
      <c r="B1002" s="35"/>
      <c r="D1002" s="36"/>
      <c r="E1002" s="37"/>
      <c r="F1002" s="38"/>
      <c r="J1002" s="38"/>
    </row>
    <row r="1003" customFormat="false" ht="15" hidden="false" customHeight="false" outlineLevel="0" collapsed="false">
      <c r="B1003" s="35"/>
      <c r="D1003" s="36"/>
      <c r="E1003" s="37"/>
      <c r="F1003" s="38"/>
      <c r="J1003" s="38"/>
    </row>
    <row r="1004" customFormat="false" ht="15" hidden="false" customHeight="false" outlineLevel="0" collapsed="false">
      <c r="B1004" s="35"/>
      <c r="D1004" s="36"/>
      <c r="E1004" s="37"/>
      <c r="F1004" s="38"/>
      <c r="J1004" s="38"/>
    </row>
    <row r="1005" customFormat="false" ht="15" hidden="false" customHeight="false" outlineLevel="0" collapsed="false">
      <c r="B1005" s="35"/>
      <c r="D1005" s="36"/>
      <c r="E1005" s="37"/>
      <c r="F1005" s="38"/>
      <c r="J1005" s="38"/>
    </row>
    <row r="1006" customFormat="false" ht="15" hidden="false" customHeight="false" outlineLevel="0" collapsed="false">
      <c r="B1006" s="35"/>
      <c r="D1006" s="36"/>
      <c r="E1006" s="37"/>
      <c r="F1006" s="38"/>
      <c r="J1006" s="38"/>
    </row>
    <row r="1007" customFormat="false" ht="15" hidden="false" customHeight="false" outlineLevel="0" collapsed="false">
      <c r="B1007" s="35"/>
      <c r="D1007" s="36"/>
      <c r="E1007" s="37"/>
      <c r="F1007" s="38"/>
      <c r="J1007" s="38"/>
    </row>
    <row r="1008" customFormat="false" ht="15" hidden="false" customHeight="false" outlineLevel="0" collapsed="false">
      <c r="B1008" s="35"/>
      <c r="D1008" s="36"/>
      <c r="E1008" s="37"/>
      <c r="F1008" s="38"/>
      <c r="J1008" s="38"/>
    </row>
    <row r="1009" customFormat="false" ht="15" hidden="false" customHeight="false" outlineLevel="0" collapsed="false">
      <c r="B1009" s="35"/>
      <c r="D1009" s="36"/>
      <c r="E1009" s="37"/>
      <c r="F1009" s="38"/>
      <c r="J1009" s="38"/>
    </row>
    <row r="1010" customFormat="false" ht="15" hidden="false" customHeight="false" outlineLevel="0" collapsed="false">
      <c r="B1010" s="35"/>
      <c r="D1010" s="36"/>
      <c r="E1010" s="37"/>
      <c r="F1010" s="38"/>
      <c r="J1010" s="38"/>
    </row>
    <row r="1011" customFormat="false" ht="15" hidden="false" customHeight="false" outlineLevel="0" collapsed="false">
      <c r="B1011" s="35"/>
      <c r="D1011" s="36"/>
      <c r="E1011" s="37"/>
      <c r="F1011" s="38"/>
      <c r="J1011" s="38"/>
    </row>
    <row r="1012" customFormat="false" ht="15" hidden="false" customHeight="false" outlineLevel="0" collapsed="false">
      <c r="B1012" s="35"/>
      <c r="D1012" s="36"/>
      <c r="E1012" s="37"/>
      <c r="F1012" s="38"/>
      <c r="J1012" s="38"/>
    </row>
    <row r="1013" customFormat="false" ht="15" hidden="false" customHeight="false" outlineLevel="0" collapsed="false">
      <c r="B1013" s="35"/>
      <c r="D1013" s="36"/>
      <c r="E1013" s="37"/>
      <c r="F1013" s="38"/>
      <c r="J1013" s="38"/>
    </row>
    <row r="1014" customFormat="false" ht="15" hidden="false" customHeight="false" outlineLevel="0" collapsed="false">
      <c r="B1014" s="35"/>
      <c r="D1014" s="36"/>
      <c r="E1014" s="37"/>
      <c r="F1014" s="38"/>
      <c r="J1014" s="38"/>
    </row>
    <row r="1015" customFormat="false" ht="15" hidden="false" customHeight="false" outlineLevel="0" collapsed="false">
      <c r="B1015" s="35"/>
      <c r="D1015" s="36"/>
      <c r="E1015" s="37"/>
      <c r="F1015" s="38"/>
      <c r="J1015" s="38"/>
    </row>
    <row r="1016" customFormat="false" ht="15" hidden="false" customHeight="false" outlineLevel="0" collapsed="false">
      <c r="B1016" s="35"/>
      <c r="D1016" s="36"/>
      <c r="E1016" s="37"/>
      <c r="F1016" s="38"/>
      <c r="J1016" s="38"/>
    </row>
  </sheetData>
  <autoFilter ref="A1:K5001"/>
  <conditionalFormatting sqref="A2:K5001">
    <cfRule type="expression" priority="2" aboveAverage="0" equalAverage="0" bottom="0" percent="0" rank="0" text="" dxfId="10">
      <formula>$G2="Amount-only"</formula>
    </cfRule>
    <cfRule type="expression" priority="3" aboveAverage="0" equalAverage="0" bottom="0" percent="0" rank="0" text="" dxfId="11">
      <formula>$G2="Near"</formula>
    </cfRule>
    <cfRule type="expression" priority="4" aboveAverage="0" equalAverage="0" bottom="0" percent="0" rank="0" text="" dxfId="12">
      <formula>$G2="Tolerance"</formula>
    </cfRule>
  </conditionalFormatting>
  <dataValidations count="2">
    <dataValidation allowBlank="true" errorStyle="stop" operator="between" showDropDown="false" showErrorMessage="false" showInputMessage="false" sqref="F2:F1016" type="list">
      <formula1>"Y"</formula1>
      <formula2>0</formula2>
    </dataValidation>
    <dataValidation allowBlank="true" errorStyle="stop" operator="between" showDropDown="false" showErrorMessage="false" showInputMessage="false" sqref="G2:G1016" type="list">
      <formula1>"Exact,Amount-only,Near,Tolerance,Manual"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44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60"/>
    <col collapsed="false" customWidth="true" hidden="false" outlineLevel="0" max="10" min="10" style="0" width="6"/>
    <col collapsed="false" customWidth="true" hidden="false" outlineLevel="0" max="11" min="11" style="0" width="10"/>
  </cols>
  <sheetData>
    <row r="1" customFormat="false" ht="30" hidden="false" customHeight="true" outlineLevel="0" collapsed="false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12</v>
      </c>
      <c r="G1" s="6" t="s">
        <v>11</v>
      </c>
      <c r="H1" s="6" t="s">
        <v>39</v>
      </c>
      <c r="I1" s="6" t="s">
        <v>40</v>
      </c>
      <c r="J1" s="6" t="s">
        <v>41</v>
      </c>
      <c r="K1" s="6" t="s">
        <v>187</v>
      </c>
    </row>
    <row r="2" customFormat="false" ht="15" hidden="false" customHeight="false" outlineLevel="0" collapsed="false">
      <c r="A2" s="5" t="s">
        <v>212</v>
      </c>
      <c r="B2" s="32" t="n">
        <v>46231</v>
      </c>
      <c r="C2" s="5" t="s">
        <v>233</v>
      </c>
      <c r="D2" s="33" t="s">
        <v>211</v>
      </c>
      <c r="E2" s="19" t="n">
        <v>-2000</v>
      </c>
      <c r="F2" s="34" t="s">
        <v>15</v>
      </c>
      <c r="G2" s="5" t="s">
        <v>14</v>
      </c>
      <c r="H2" s="5" t="s">
        <v>209</v>
      </c>
      <c r="I2" s="5"/>
      <c r="J2" s="34" t="n">
        <v>1</v>
      </c>
      <c r="K2" s="5" t="s">
        <v>234</v>
      </c>
    </row>
    <row r="3" customFormat="false" ht="15" hidden="false" customHeight="false" outlineLevel="0" collapsed="false">
      <c r="A3" s="5" t="s">
        <v>235</v>
      </c>
      <c r="B3" s="32" t="n">
        <v>46233</v>
      </c>
      <c r="C3" s="5" t="s">
        <v>236</v>
      </c>
      <c r="D3" s="33" t="s">
        <v>237</v>
      </c>
      <c r="E3" s="19" t="n">
        <v>-455</v>
      </c>
      <c r="F3" s="34"/>
      <c r="G3" s="5"/>
      <c r="H3" s="5"/>
      <c r="I3" s="5"/>
      <c r="J3" s="34"/>
      <c r="K3" s="5" t="s">
        <v>234</v>
      </c>
    </row>
    <row r="4" customFormat="false" ht="15" hidden="false" customHeight="false" outlineLevel="0" collapsed="false">
      <c r="A4" s="5" t="s">
        <v>42</v>
      </c>
      <c r="B4" s="32" t="n">
        <v>46236</v>
      </c>
      <c r="C4" s="5" t="s">
        <v>43</v>
      </c>
      <c r="D4" s="33" t="s">
        <v>44</v>
      </c>
      <c r="E4" s="19" t="n">
        <v>-1250</v>
      </c>
      <c r="F4" s="34" t="s">
        <v>15</v>
      </c>
      <c r="G4" s="5" t="s">
        <v>14</v>
      </c>
      <c r="H4" s="5" t="s">
        <v>45</v>
      </c>
      <c r="I4" s="5"/>
      <c r="J4" s="34" t="n">
        <v>1</v>
      </c>
      <c r="K4" s="5" t="n">
        <v>2</v>
      </c>
    </row>
    <row r="5" customFormat="false" ht="15" hidden="false" customHeight="false" outlineLevel="0" collapsed="false">
      <c r="A5" s="5" t="s">
        <v>191</v>
      </c>
      <c r="B5" s="32" t="n">
        <v>46237</v>
      </c>
      <c r="C5" s="5" t="s">
        <v>238</v>
      </c>
      <c r="D5" s="33"/>
      <c r="E5" s="19" t="n">
        <v>4380</v>
      </c>
      <c r="F5" s="34" t="s">
        <v>15</v>
      </c>
      <c r="G5" s="5" t="s">
        <v>17</v>
      </c>
      <c r="H5" s="5" t="s">
        <v>189</v>
      </c>
      <c r="I5" s="5" t="s">
        <v>192</v>
      </c>
      <c r="J5" s="34" t="n">
        <v>1</v>
      </c>
      <c r="K5" s="5" t="n">
        <v>3</v>
      </c>
    </row>
    <row r="6" customFormat="false" ht="15" hidden="false" customHeight="false" outlineLevel="0" collapsed="false">
      <c r="A6" s="5" t="s">
        <v>199</v>
      </c>
      <c r="B6" s="32" t="n">
        <v>46238</v>
      </c>
      <c r="C6" s="5" t="s">
        <v>239</v>
      </c>
      <c r="D6" s="33" t="s">
        <v>198</v>
      </c>
      <c r="E6" s="19" t="n">
        <v>-1250</v>
      </c>
      <c r="F6" s="34" t="s">
        <v>15</v>
      </c>
      <c r="G6" s="5" t="s">
        <v>14</v>
      </c>
      <c r="H6" s="5" t="s">
        <v>196</v>
      </c>
      <c r="I6" s="5"/>
      <c r="J6" s="34" t="n">
        <v>1</v>
      </c>
      <c r="K6" s="5" t="n">
        <v>4</v>
      </c>
    </row>
    <row r="7" customFormat="false" ht="15" hidden="false" customHeight="false" outlineLevel="0" collapsed="false">
      <c r="A7" s="5" t="s">
        <v>195</v>
      </c>
      <c r="B7" s="32" t="n">
        <v>46239</v>
      </c>
      <c r="C7" s="5" t="s">
        <v>240</v>
      </c>
      <c r="D7" s="33"/>
      <c r="E7" s="19" t="n">
        <v>-8912.44</v>
      </c>
      <c r="F7" s="34" t="s">
        <v>15</v>
      </c>
      <c r="G7" s="5" t="s">
        <v>14</v>
      </c>
      <c r="H7" s="5" t="s">
        <v>193</v>
      </c>
      <c r="I7" s="5"/>
      <c r="J7" s="34" t="n">
        <v>1</v>
      </c>
      <c r="K7" s="5" t="n">
        <v>5</v>
      </c>
    </row>
    <row r="8" customFormat="false" ht="15" hidden="false" customHeight="false" outlineLevel="0" collapsed="false">
      <c r="A8" s="5" t="s">
        <v>202</v>
      </c>
      <c r="B8" s="32" t="n">
        <v>46241</v>
      </c>
      <c r="C8" s="5" t="s">
        <v>241</v>
      </c>
      <c r="D8" s="33"/>
      <c r="E8" s="19" t="n">
        <v>-612.87</v>
      </c>
      <c r="F8" s="34" t="s">
        <v>15</v>
      </c>
      <c r="G8" s="5" t="s">
        <v>14</v>
      </c>
      <c r="H8" s="5" t="s">
        <v>200</v>
      </c>
      <c r="I8" s="5"/>
      <c r="J8" s="34" t="n">
        <v>1</v>
      </c>
      <c r="K8" s="5" t="n">
        <v>6</v>
      </c>
    </row>
    <row r="9" customFormat="false" ht="15" hidden="false" customHeight="false" outlineLevel="0" collapsed="false">
      <c r="A9" s="5" t="s">
        <v>205</v>
      </c>
      <c r="B9" s="32" t="n">
        <v>46244</v>
      </c>
      <c r="C9" s="5" t="s">
        <v>242</v>
      </c>
      <c r="D9" s="33"/>
      <c r="E9" s="19" t="n">
        <v>5000</v>
      </c>
      <c r="F9" s="34" t="s">
        <v>15</v>
      </c>
      <c r="G9" s="5" t="s">
        <v>14</v>
      </c>
      <c r="H9" s="5" t="s">
        <v>203</v>
      </c>
      <c r="I9" s="5"/>
      <c r="J9" s="34" t="n">
        <v>1</v>
      </c>
      <c r="K9" s="5" t="n">
        <v>7</v>
      </c>
    </row>
    <row r="10" customFormat="false" ht="15" hidden="false" customHeight="false" outlineLevel="0" collapsed="false">
      <c r="A10" s="5" t="s">
        <v>208</v>
      </c>
      <c r="B10" s="32" t="n">
        <v>46245</v>
      </c>
      <c r="C10" s="5" t="s">
        <v>243</v>
      </c>
      <c r="D10" s="33"/>
      <c r="E10" s="19" t="n">
        <v>-318.4</v>
      </c>
      <c r="F10" s="34" t="s">
        <v>15</v>
      </c>
      <c r="G10" s="5" t="s">
        <v>14</v>
      </c>
      <c r="H10" s="5" t="s">
        <v>206</v>
      </c>
      <c r="I10" s="5"/>
      <c r="J10" s="34" t="n">
        <v>1</v>
      </c>
      <c r="K10" s="5" t="n">
        <v>8</v>
      </c>
    </row>
    <row r="11" customFormat="false" ht="15" hidden="false" customHeight="false" outlineLevel="0" collapsed="false">
      <c r="A11" s="5" t="s">
        <v>222</v>
      </c>
      <c r="B11" s="32" t="n">
        <v>46246</v>
      </c>
      <c r="C11" s="5" t="s">
        <v>244</v>
      </c>
      <c r="D11" s="33" t="s">
        <v>221</v>
      </c>
      <c r="E11" s="19" t="n">
        <v>-743.1</v>
      </c>
      <c r="F11" s="34" t="s">
        <v>15</v>
      </c>
      <c r="G11" s="5" t="s">
        <v>14</v>
      </c>
      <c r="H11" s="5" t="s">
        <v>219</v>
      </c>
      <c r="I11" s="5"/>
      <c r="J11" s="34" t="n">
        <v>1</v>
      </c>
      <c r="K11" s="5" t="n">
        <v>9</v>
      </c>
    </row>
    <row r="12" customFormat="false" ht="15" hidden="false" customHeight="false" outlineLevel="0" collapsed="false">
      <c r="A12" s="5" t="s">
        <v>215</v>
      </c>
      <c r="B12" s="32" t="n">
        <v>46249</v>
      </c>
      <c r="C12" s="5" t="s">
        <v>245</v>
      </c>
      <c r="D12" s="33"/>
      <c r="E12" s="19" t="n">
        <v>1215.5</v>
      </c>
      <c r="F12" s="34" t="s">
        <v>15</v>
      </c>
      <c r="G12" s="5" t="s">
        <v>14</v>
      </c>
      <c r="H12" s="5" t="s">
        <v>213</v>
      </c>
      <c r="I12" s="5"/>
      <c r="J12" s="34" t="n">
        <v>1</v>
      </c>
      <c r="K12" s="5" t="n">
        <v>10</v>
      </c>
    </row>
    <row r="13" customFormat="false" ht="15" hidden="false" customHeight="false" outlineLevel="0" collapsed="false">
      <c r="A13" s="5" t="s">
        <v>246</v>
      </c>
      <c r="B13" s="32" t="n">
        <v>46252</v>
      </c>
      <c r="C13" s="5" t="s">
        <v>247</v>
      </c>
      <c r="D13" s="33"/>
      <c r="E13" s="19" t="n">
        <v>-186.2</v>
      </c>
      <c r="F13" s="34"/>
      <c r="G13" s="5" t="s">
        <v>19</v>
      </c>
      <c r="H13" s="5"/>
      <c r="I13" s="5" t="s">
        <v>248</v>
      </c>
      <c r="J13" s="34" t="n">
        <v>1</v>
      </c>
      <c r="K13" s="5" t="n">
        <v>11</v>
      </c>
    </row>
    <row r="14" customFormat="false" ht="15" hidden="false" customHeight="false" outlineLevel="0" collapsed="false">
      <c r="A14" s="5" t="s">
        <v>225</v>
      </c>
      <c r="B14" s="32" t="n">
        <v>46258</v>
      </c>
      <c r="C14" s="5" t="s">
        <v>249</v>
      </c>
      <c r="D14" s="33"/>
      <c r="E14" s="19" t="n">
        <v>2847.66</v>
      </c>
      <c r="F14" s="34" t="s">
        <v>15</v>
      </c>
      <c r="G14" s="5" t="s">
        <v>14</v>
      </c>
      <c r="H14" s="5" t="s">
        <v>223</v>
      </c>
      <c r="I14" s="5"/>
      <c r="J14" s="34" t="n">
        <v>1</v>
      </c>
      <c r="K14" s="5" t="n">
        <v>12</v>
      </c>
    </row>
    <row r="15" customFormat="false" ht="15" hidden="false" customHeight="false" outlineLevel="0" collapsed="false">
      <c r="A15" s="5" t="s">
        <v>228</v>
      </c>
      <c r="B15" s="32" t="n">
        <v>46260</v>
      </c>
      <c r="C15" s="5" t="s">
        <v>250</v>
      </c>
      <c r="D15" s="33"/>
      <c r="E15" s="19" t="n">
        <v>-1104</v>
      </c>
      <c r="F15" s="34" t="s">
        <v>15</v>
      </c>
      <c r="G15" s="5" t="s">
        <v>14</v>
      </c>
      <c r="H15" s="5" t="s">
        <v>226</v>
      </c>
      <c r="I15" s="5"/>
      <c r="J15" s="34" t="n">
        <v>1</v>
      </c>
      <c r="K15" s="5" t="n">
        <v>13</v>
      </c>
    </row>
    <row r="16" customFormat="false" ht="15" hidden="false" customHeight="false" outlineLevel="0" collapsed="false">
      <c r="A16" s="5" t="s">
        <v>251</v>
      </c>
      <c r="B16" s="32" t="n">
        <v>46262</v>
      </c>
      <c r="C16" s="5" t="s">
        <v>252</v>
      </c>
      <c r="D16" s="33" t="s">
        <v>253</v>
      </c>
      <c r="E16" s="19" t="n">
        <v>-2000</v>
      </c>
      <c r="F16" s="34"/>
      <c r="G16" s="5"/>
      <c r="H16" s="5"/>
      <c r="I16" s="5"/>
      <c r="J16" s="34"/>
      <c r="K16" s="5" t="n">
        <v>14</v>
      </c>
    </row>
    <row r="17" customFormat="false" ht="15" hidden="false" customHeight="false" outlineLevel="0" collapsed="false">
      <c r="A17" s="5" t="s">
        <v>254</v>
      </c>
      <c r="B17" s="32" t="n">
        <v>46263</v>
      </c>
      <c r="C17" s="5" t="s">
        <v>255</v>
      </c>
      <c r="D17" s="33" t="s">
        <v>256</v>
      </c>
      <c r="E17" s="19" t="n">
        <v>-389.75</v>
      </c>
      <c r="F17" s="34"/>
      <c r="G17" s="5"/>
      <c r="H17" s="5"/>
      <c r="I17" s="5"/>
      <c r="J17" s="34"/>
      <c r="K17" s="5" t="n">
        <v>15</v>
      </c>
    </row>
    <row r="18" customFormat="false" ht="15" hidden="false" customHeight="false" outlineLevel="0" collapsed="false">
      <c r="A18" s="5" t="s">
        <v>257</v>
      </c>
      <c r="B18" s="32" t="n">
        <v>46265</v>
      </c>
      <c r="C18" s="5" t="s">
        <v>258</v>
      </c>
      <c r="D18" s="33"/>
      <c r="E18" s="19" t="n">
        <v>960</v>
      </c>
      <c r="F18" s="34"/>
      <c r="G18" s="5"/>
      <c r="H18" s="5"/>
      <c r="I18" s="5"/>
      <c r="J18" s="34"/>
      <c r="K18" s="5" t="n">
        <v>16</v>
      </c>
    </row>
    <row r="19" customFormat="false" ht="15" hidden="false" customHeight="false" outlineLevel="0" collapsed="false">
      <c r="B19" s="35"/>
      <c r="D19" s="36"/>
      <c r="E19" s="37"/>
      <c r="F19" s="38"/>
      <c r="J19" s="38"/>
    </row>
    <row r="20" customFormat="false" ht="15" hidden="false" customHeight="false" outlineLevel="0" collapsed="false">
      <c r="B20" s="35"/>
      <c r="D20" s="36"/>
      <c r="E20" s="37"/>
      <c r="F20" s="38"/>
      <c r="J20" s="38"/>
    </row>
    <row r="21" customFormat="false" ht="15" hidden="false" customHeight="false" outlineLevel="0" collapsed="false">
      <c r="B21" s="35"/>
      <c r="D21" s="36"/>
      <c r="E21" s="37"/>
      <c r="F21" s="38"/>
      <c r="J21" s="38"/>
    </row>
    <row r="22" customFormat="false" ht="15" hidden="false" customHeight="false" outlineLevel="0" collapsed="false">
      <c r="B22" s="35"/>
      <c r="D22" s="36"/>
      <c r="E22" s="37"/>
      <c r="F22" s="38"/>
      <c r="J22" s="38"/>
    </row>
    <row r="23" customFormat="false" ht="15" hidden="false" customHeight="false" outlineLevel="0" collapsed="false">
      <c r="B23" s="35"/>
      <c r="D23" s="36"/>
      <c r="E23" s="37"/>
      <c r="F23" s="38"/>
      <c r="J23" s="38"/>
    </row>
    <row r="24" customFormat="false" ht="15" hidden="false" customHeight="false" outlineLevel="0" collapsed="false">
      <c r="B24" s="35"/>
      <c r="D24" s="36"/>
      <c r="E24" s="37"/>
      <c r="F24" s="38"/>
      <c r="J24" s="38"/>
    </row>
    <row r="25" customFormat="false" ht="15" hidden="false" customHeight="false" outlineLevel="0" collapsed="false">
      <c r="B25" s="35"/>
      <c r="D25" s="36"/>
      <c r="E25" s="37"/>
      <c r="F25" s="38"/>
      <c r="J25" s="38"/>
    </row>
    <row r="26" customFormat="false" ht="15" hidden="false" customHeight="false" outlineLevel="0" collapsed="false">
      <c r="B26" s="35"/>
      <c r="D26" s="36"/>
      <c r="E26" s="37"/>
      <c r="F26" s="38"/>
      <c r="J26" s="38"/>
    </row>
    <row r="27" customFormat="false" ht="15" hidden="false" customHeight="false" outlineLevel="0" collapsed="false">
      <c r="B27" s="35"/>
      <c r="D27" s="36"/>
      <c r="E27" s="37"/>
      <c r="F27" s="38"/>
      <c r="J27" s="38"/>
    </row>
    <row r="28" customFormat="false" ht="15" hidden="false" customHeight="false" outlineLevel="0" collapsed="false">
      <c r="B28" s="35"/>
      <c r="D28" s="36"/>
      <c r="E28" s="37"/>
      <c r="F28" s="38"/>
      <c r="J28" s="38"/>
    </row>
    <row r="29" customFormat="false" ht="15" hidden="false" customHeight="false" outlineLevel="0" collapsed="false">
      <c r="B29" s="35"/>
      <c r="D29" s="36"/>
      <c r="E29" s="37"/>
      <c r="F29" s="38"/>
      <c r="J29" s="38"/>
    </row>
    <row r="30" customFormat="false" ht="15" hidden="false" customHeight="false" outlineLevel="0" collapsed="false">
      <c r="B30" s="35"/>
      <c r="D30" s="36"/>
      <c r="E30" s="37"/>
      <c r="F30" s="38"/>
      <c r="J30" s="38"/>
    </row>
    <row r="31" customFormat="false" ht="15" hidden="false" customHeight="false" outlineLevel="0" collapsed="false">
      <c r="B31" s="35"/>
      <c r="D31" s="36"/>
      <c r="E31" s="37"/>
      <c r="F31" s="38"/>
      <c r="J31" s="38"/>
    </row>
    <row r="32" customFormat="false" ht="15" hidden="false" customHeight="false" outlineLevel="0" collapsed="false">
      <c r="B32" s="35"/>
      <c r="D32" s="36"/>
      <c r="E32" s="37"/>
      <c r="F32" s="38"/>
      <c r="J32" s="38"/>
    </row>
    <row r="33" customFormat="false" ht="15" hidden="false" customHeight="false" outlineLevel="0" collapsed="false">
      <c r="B33" s="35"/>
      <c r="D33" s="36"/>
      <c r="E33" s="37"/>
      <c r="F33" s="38"/>
      <c r="J33" s="38"/>
    </row>
    <row r="34" customFormat="false" ht="15" hidden="false" customHeight="false" outlineLevel="0" collapsed="false">
      <c r="B34" s="35"/>
      <c r="D34" s="36"/>
      <c r="E34" s="37"/>
      <c r="F34" s="38"/>
      <c r="J34" s="38"/>
    </row>
    <row r="35" customFormat="false" ht="15" hidden="false" customHeight="false" outlineLevel="0" collapsed="false">
      <c r="B35" s="35"/>
      <c r="D35" s="36"/>
      <c r="E35" s="37"/>
      <c r="F35" s="38"/>
      <c r="J35" s="38"/>
    </row>
    <row r="36" customFormat="false" ht="15" hidden="false" customHeight="false" outlineLevel="0" collapsed="false">
      <c r="B36" s="35"/>
      <c r="D36" s="36"/>
      <c r="E36" s="37"/>
      <c r="F36" s="38"/>
      <c r="J36" s="38"/>
    </row>
    <row r="37" customFormat="false" ht="15" hidden="false" customHeight="false" outlineLevel="0" collapsed="false">
      <c r="B37" s="35"/>
      <c r="D37" s="36"/>
      <c r="E37" s="37"/>
      <c r="F37" s="38"/>
      <c r="J37" s="38"/>
    </row>
    <row r="38" customFormat="false" ht="15" hidden="false" customHeight="false" outlineLevel="0" collapsed="false">
      <c r="B38" s="35"/>
      <c r="D38" s="36"/>
      <c r="E38" s="37"/>
      <c r="F38" s="38"/>
      <c r="J38" s="38"/>
    </row>
    <row r="39" customFormat="false" ht="15" hidden="false" customHeight="false" outlineLevel="0" collapsed="false">
      <c r="B39" s="35"/>
      <c r="D39" s="36"/>
      <c r="E39" s="37"/>
      <c r="F39" s="38"/>
      <c r="J39" s="38"/>
    </row>
    <row r="40" customFormat="false" ht="15" hidden="false" customHeight="false" outlineLevel="0" collapsed="false">
      <c r="B40" s="35"/>
      <c r="D40" s="36"/>
      <c r="E40" s="37"/>
      <c r="F40" s="38"/>
      <c r="J40" s="38"/>
    </row>
    <row r="41" customFormat="false" ht="15" hidden="false" customHeight="false" outlineLevel="0" collapsed="false">
      <c r="B41" s="35"/>
      <c r="D41" s="36"/>
      <c r="E41" s="37"/>
      <c r="F41" s="38"/>
      <c r="J41" s="38"/>
    </row>
    <row r="42" customFormat="false" ht="15" hidden="false" customHeight="false" outlineLevel="0" collapsed="false">
      <c r="B42" s="35"/>
      <c r="D42" s="36"/>
      <c r="E42" s="37"/>
      <c r="F42" s="38"/>
      <c r="J42" s="38"/>
    </row>
    <row r="43" customFormat="false" ht="15" hidden="false" customHeight="false" outlineLevel="0" collapsed="false">
      <c r="B43" s="35"/>
      <c r="D43" s="36"/>
      <c r="E43" s="37"/>
      <c r="F43" s="38"/>
      <c r="J43" s="38"/>
    </row>
    <row r="44" customFormat="false" ht="15" hidden="false" customHeight="false" outlineLevel="0" collapsed="false">
      <c r="B44" s="35"/>
      <c r="D44" s="36"/>
      <c r="E44" s="37"/>
      <c r="F44" s="38"/>
      <c r="J44" s="38"/>
    </row>
    <row r="45" customFormat="false" ht="15" hidden="false" customHeight="false" outlineLevel="0" collapsed="false">
      <c r="B45" s="35"/>
      <c r="D45" s="36"/>
      <c r="E45" s="37"/>
      <c r="F45" s="38"/>
      <c r="J45" s="38"/>
    </row>
    <row r="46" customFormat="false" ht="15" hidden="false" customHeight="false" outlineLevel="0" collapsed="false">
      <c r="B46" s="35"/>
      <c r="D46" s="36"/>
      <c r="E46" s="37"/>
      <c r="F46" s="38"/>
      <c r="J46" s="38"/>
    </row>
    <row r="47" customFormat="false" ht="15" hidden="false" customHeight="false" outlineLevel="0" collapsed="false">
      <c r="B47" s="35"/>
      <c r="D47" s="36"/>
      <c r="E47" s="37"/>
      <c r="F47" s="38"/>
      <c r="J47" s="38"/>
    </row>
    <row r="48" customFormat="false" ht="15" hidden="false" customHeight="false" outlineLevel="0" collapsed="false">
      <c r="B48" s="35"/>
      <c r="D48" s="36"/>
      <c r="E48" s="37"/>
      <c r="F48" s="38"/>
      <c r="J48" s="38"/>
    </row>
    <row r="49" customFormat="false" ht="15" hidden="false" customHeight="false" outlineLevel="0" collapsed="false">
      <c r="B49" s="35"/>
      <c r="D49" s="36"/>
      <c r="E49" s="37"/>
      <c r="F49" s="38"/>
      <c r="J49" s="38"/>
    </row>
    <row r="50" customFormat="false" ht="15" hidden="false" customHeight="false" outlineLevel="0" collapsed="false">
      <c r="B50" s="35"/>
      <c r="D50" s="36"/>
      <c r="E50" s="37"/>
      <c r="F50" s="38"/>
      <c r="J50" s="38"/>
    </row>
    <row r="51" customFormat="false" ht="15" hidden="false" customHeight="false" outlineLevel="0" collapsed="false">
      <c r="B51" s="35"/>
      <c r="D51" s="36"/>
      <c r="E51" s="37"/>
      <c r="F51" s="38"/>
      <c r="J51" s="38"/>
    </row>
    <row r="52" customFormat="false" ht="15" hidden="false" customHeight="false" outlineLevel="0" collapsed="false">
      <c r="B52" s="35"/>
      <c r="D52" s="36"/>
      <c r="E52" s="37"/>
      <c r="F52" s="38"/>
      <c r="J52" s="38"/>
    </row>
    <row r="53" customFormat="false" ht="15" hidden="false" customHeight="false" outlineLevel="0" collapsed="false">
      <c r="B53" s="35"/>
      <c r="D53" s="36"/>
      <c r="E53" s="37"/>
      <c r="F53" s="38"/>
      <c r="J53" s="38"/>
    </row>
    <row r="54" customFormat="false" ht="15" hidden="false" customHeight="false" outlineLevel="0" collapsed="false">
      <c r="B54" s="35"/>
      <c r="D54" s="36"/>
      <c r="E54" s="37"/>
      <c r="F54" s="38"/>
      <c r="J54" s="38"/>
    </row>
    <row r="55" customFormat="false" ht="15" hidden="false" customHeight="false" outlineLevel="0" collapsed="false">
      <c r="B55" s="35"/>
      <c r="D55" s="36"/>
      <c r="E55" s="37"/>
      <c r="F55" s="38"/>
      <c r="J55" s="38"/>
    </row>
    <row r="56" customFormat="false" ht="15" hidden="false" customHeight="false" outlineLevel="0" collapsed="false">
      <c r="B56" s="35"/>
      <c r="D56" s="36"/>
      <c r="E56" s="37"/>
      <c r="F56" s="38"/>
      <c r="J56" s="38"/>
    </row>
    <row r="57" customFormat="false" ht="15" hidden="false" customHeight="false" outlineLevel="0" collapsed="false">
      <c r="B57" s="35"/>
      <c r="D57" s="36"/>
      <c r="E57" s="37"/>
      <c r="F57" s="38"/>
      <c r="J57" s="38"/>
    </row>
    <row r="58" customFormat="false" ht="15" hidden="false" customHeight="false" outlineLevel="0" collapsed="false">
      <c r="B58" s="35"/>
      <c r="D58" s="36"/>
      <c r="E58" s="37"/>
      <c r="F58" s="38"/>
      <c r="J58" s="38"/>
    </row>
    <row r="59" customFormat="false" ht="15" hidden="false" customHeight="false" outlineLevel="0" collapsed="false">
      <c r="B59" s="35"/>
      <c r="D59" s="36"/>
      <c r="E59" s="37"/>
      <c r="F59" s="38"/>
      <c r="J59" s="38"/>
    </row>
    <row r="60" customFormat="false" ht="15" hidden="false" customHeight="false" outlineLevel="0" collapsed="false">
      <c r="B60" s="35"/>
      <c r="D60" s="36"/>
      <c r="E60" s="37"/>
      <c r="F60" s="38"/>
      <c r="J60" s="38"/>
    </row>
    <row r="61" customFormat="false" ht="15" hidden="false" customHeight="false" outlineLevel="0" collapsed="false">
      <c r="B61" s="35"/>
      <c r="D61" s="36"/>
      <c r="E61" s="37"/>
      <c r="F61" s="38"/>
      <c r="J61" s="38"/>
    </row>
    <row r="62" customFormat="false" ht="15" hidden="false" customHeight="false" outlineLevel="0" collapsed="false">
      <c r="B62" s="35"/>
      <c r="D62" s="36"/>
      <c r="E62" s="37"/>
      <c r="F62" s="38"/>
      <c r="J62" s="38"/>
    </row>
    <row r="63" customFormat="false" ht="15" hidden="false" customHeight="false" outlineLevel="0" collapsed="false">
      <c r="B63" s="35"/>
      <c r="D63" s="36"/>
      <c r="E63" s="37"/>
      <c r="F63" s="38"/>
      <c r="J63" s="38"/>
    </row>
    <row r="64" customFormat="false" ht="15" hidden="false" customHeight="false" outlineLevel="0" collapsed="false">
      <c r="B64" s="35"/>
      <c r="D64" s="36"/>
      <c r="E64" s="37"/>
      <c r="F64" s="38"/>
      <c r="J64" s="38"/>
    </row>
    <row r="65" customFormat="false" ht="15" hidden="false" customHeight="false" outlineLevel="0" collapsed="false">
      <c r="B65" s="35"/>
      <c r="D65" s="36"/>
      <c r="E65" s="37"/>
      <c r="F65" s="38"/>
      <c r="J65" s="38"/>
    </row>
    <row r="66" customFormat="false" ht="15" hidden="false" customHeight="false" outlineLevel="0" collapsed="false">
      <c r="B66" s="35"/>
      <c r="D66" s="36"/>
      <c r="E66" s="37"/>
      <c r="F66" s="38"/>
      <c r="J66" s="38"/>
    </row>
    <row r="67" customFormat="false" ht="15" hidden="false" customHeight="false" outlineLevel="0" collapsed="false">
      <c r="B67" s="35"/>
      <c r="D67" s="36"/>
      <c r="E67" s="37"/>
      <c r="F67" s="38"/>
      <c r="J67" s="38"/>
    </row>
    <row r="68" customFormat="false" ht="15" hidden="false" customHeight="false" outlineLevel="0" collapsed="false">
      <c r="B68" s="35"/>
      <c r="D68" s="36"/>
      <c r="E68" s="37"/>
      <c r="F68" s="38"/>
      <c r="J68" s="38"/>
    </row>
    <row r="69" customFormat="false" ht="15" hidden="false" customHeight="false" outlineLevel="0" collapsed="false">
      <c r="B69" s="35"/>
      <c r="D69" s="36"/>
      <c r="E69" s="37"/>
      <c r="F69" s="38"/>
      <c r="J69" s="38"/>
    </row>
    <row r="70" customFormat="false" ht="15" hidden="false" customHeight="false" outlineLevel="0" collapsed="false">
      <c r="B70" s="35"/>
      <c r="D70" s="36"/>
      <c r="E70" s="37"/>
      <c r="F70" s="38"/>
      <c r="J70" s="38"/>
    </row>
    <row r="71" customFormat="false" ht="15" hidden="false" customHeight="false" outlineLevel="0" collapsed="false">
      <c r="B71" s="35"/>
      <c r="D71" s="36"/>
      <c r="E71" s="37"/>
      <c r="F71" s="38"/>
      <c r="J71" s="38"/>
    </row>
    <row r="72" customFormat="false" ht="15" hidden="false" customHeight="false" outlineLevel="0" collapsed="false">
      <c r="B72" s="35"/>
      <c r="D72" s="36"/>
      <c r="E72" s="37"/>
      <c r="F72" s="38"/>
      <c r="J72" s="38"/>
    </row>
    <row r="73" customFormat="false" ht="15" hidden="false" customHeight="false" outlineLevel="0" collapsed="false">
      <c r="B73" s="35"/>
      <c r="D73" s="36"/>
      <c r="E73" s="37"/>
      <c r="F73" s="38"/>
      <c r="J73" s="38"/>
    </row>
    <row r="74" customFormat="false" ht="15" hidden="false" customHeight="false" outlineLevel="0" collapsed="false">
      <c r="B74" s="35"/>
      <c r="D74" s="36"/>
      <c r="E74" s="37"/>
      <c r="F74" s="38"/>
      <c r="J74" s="38"/>
    </row>
    <row r="75" customFormat="false" ht="15" hidden="false" customHeight="false" outlineLevel="0" collapsed="false">
      <c r="B75" s="35"/>
      <c r="D75" s="36"/>
      <c r="E75" s="37"/>
      <c r="F75" s="38"/>
      <c r="J75" s="38"/>
    </row>
    <row r="76" customFormat="false" ht="15" hidden="false" customHeight="false" outlineLevel="0" collapsed="false">
      <c r="B76" s="35"/>
      <c r="D76" s="36"/>
      <c r="E76" s="37"/>
      <c r="F76" s="38"/>
      <c r="J76" s="38"/>
    </row>
    <row r="77" customFormat="false" ht="15" hidden="false" customHeight="false" outlineLevel="0" collapsed="false">
      <c r="B77" s="35"/>
      <c r="D77" s="36"/>
      <c r="E77" s="37"/>
      <c r="F77" s="38"/>
      <c r="J77" s="38"/>
    </row>
    <row r="78" customFormat="false" ht="15" hidden="false" customHeight="false" outlineLevel="0" collapsed="false">
      <c r="B78" s="35"/>
      <c r="D78" s="36"/>
      <c r="E78" s="37"/>
      <c r="F78" s="38"/>
      <c r="J78" s="38"/>
    </row>
    <row r="79" customFormat="false" ht="15" hidden="false" customHeight="false" outlineLevel="0" collapsed="false">
      <c r="B79" s="35"/>
      <c r="D79" s="36"/>
      <c r="E79" s="37"/>
      <c r="F79" s="38"/>
      <c r="J79" s="38"/>
    </row>
    <row r="80" customFormat="false" ht="15" hidden="false" customHeight="false" outlineLevel="0" collapsed="false">
      <c r="B80" s="35"/>
      <c r="D80" s="36"/>
      <c r="E80" s="37"/>
      <c r="F80" s="38"/>
      <c r="J80" s="38"/>
    </row>
    <row r="81" customFormat="false" ht="15" hidden="false" customHeight="false" outlineLevel="0" collapsed="false">
      <c r="B81" s="35"/>
      <c r="D81" s="36"/>
      <c r="E81" s="37"/>
      <c r="F81" s="38"/>
      <c r="J81" s="38"/>
    </row>
    <row r="82" customFormat="false" ht="15" hidden="false" customHeight="false" outlineLevel="0" collapsed="false">
      <c r="B82" s="35"/>
      <c r="D82" s="36"/>
      <c r="E82" s="37"/>
      <c r="F82" s="38"/>
      <c r="J82" s="38"/>
    </row>
    <row r="83" customFormat="false" ht="15" hidden="false" customHeight="false" outlineLevel="0" collapsed="false">
      <c r="B83" s="35"/>
      <c r="D83" s="36"/>
      <c r="E83" s="37"/>
      <c r="F83" s="38"/>
      <c r="J83" s="38"/>
    </row>
    <row r="84" customFormat="false" ht="15" hidden="false" customHeight="false" outlineLevel="0" collapsed="false">
      <c r="B84" s="35"/>
      <c r="D84" s="36"/>
      <c r="E84" s="37"/>
      <c r="F84" s="38"/>
      <c r="J84" s="38"/>
    </row>
    <row r="85" customFormat="false" ht="15" hidden="false" customHeight="false" outlineLevel="0" collapsed="false">
      <c r="B85" s="35"/>
      <c r="D85" s="36"/>
      <c r="E85" s="37"/>
      <c r="F85" s="38"/>
      <c r="J85" s="38"/>
    </row>
    <row r="86" customFormat="false" ht="15" hidden="false" customHeight="false" outlineLevel="0" collapsed="false">
      <c r="B86" s="35"/>
      <c r="D86" s="36"/>
      <c r="E86" s="37"/>
      <c r="F86" s="38"/>
      <c r="J86" s="38"/>
    </row>
    <row r="87" customFormat="false" ht="15" hidden="false" customHeight="false" outlineLevel="0" collapsed="false">
      <c r="B87" s="35"/>
      <c r="D87" s="36"/>
      <c r="E87" s="37"/>
      <c r="F87" s="38"/>
      <c r="J87" s="38"/>
    </row>
    <row r="88" customFormat="false" ht="15" hidden="false" customHeight="false" outlineLevel="0" collapsed="false">
      <c r="B88" s="35"/>
      <c r="D88" s="36"/>
      <c r="E88" s="37"/>
      <c r="F88" s="38"/>
      <c r="J88" s="38"/>
    </row>
    <row r="89" customFormat="false" ht="15" hidden="false" customHeight="false" outlineLevel="0" collapsed="false">
      <c r="B89" s="35"/>
      <c r="D89" s="36"/>
      <c r="E89" s="37"/>
      <c r="F89" s="38"/>
      <c r="J89" s="38"/>
    </row>
    <row r="90" customFormat="false" ht="15" hidden="false" customHeight="false" outlineLevel="0" collapsed="false">
      <c r="B90" s="35"/>
      <c r="D90" s="36"/>
      <c r="E90" s="37"/>
      <c r="F90" s="38"/>
      <c r="J90" s="38"/>
    </row>
    <row r="91" customFormat="false" ht="15" hidden="false" customHeight="false" outlineLevel="0" collapsed="false">
      <c r="B91" s="35"/>
      <c r="D91" s="36"/>
      <c r="E91" s="37"/>
      <c r="F91" s="38"/>
      <c r="J91" s="38"/>
    </row>
    <row r="92" customFormat="false" ht="15" hidden="false" customHeight="false" outlineLevel="0" collapsed="false">
      <c r="B92" s="35"/>
      <c r="D92" s="36"/>
      <c r="E92" s="37"/>
      <c r="F92" s="38"/>
      <c r="J92" s="38"/>
    </row>
    <row r="93" customFormat="false" ht="15" hidden="false" customHeight="false" outlineLevel="0" collapsed="false">
      <c r="B93" s="35"/>
      <c r="D93" s="36"/>
      <c r="E93" s="37"/>
      <c r="F93" s="38"/>
      <c r="J93" s="38"/>
    </row>
    <row r="94" customFormat="false" ht="15" hidden="false" customHeight="false" outlineLevel="0" collapsed="false">
      <c r="B94" s="35"/>
      <c r="D94" s="36"/>
      <c r="E94" s="37"/>
      <c r="F94" s="38"/>
      <c r="J94" s="38"/>
    </row>
    <row r="95" customFormat="false" ht="15" hidden="false" customHeight="false" outlineLevel="0" collapsed="false">
      <c r="B95" s="35"/>
      <c r="D95" s="36"/>
      <c r="E95" s="37"/>
      <c r="F95" s="38"/>
      <c r="J95" s="38"/>
    </row>
    <row r="96" customFormat="false" ht="15" hidden="false" customHeight="false" outlineLevel="0" collapsed="false">
      <c r="B96" s="35"/>
      <c r="D96" s="36"/>
      <c r="E96" s="37"/>
      <c r="F96" s="38"/>
      <c r="J96" s="38"/>
    </row>
    <row r="97" customFormat="false" ht="15" hidden="false" customHeight="false" outlineLevel="0" collapsed="false">
      <c r="B97" s="35"/>
      <c r="D97" s="36"/>
      <c r="E97" s="37"/>
      <c r="F97" s="38"/>
      <c r="J97" s="38"/>
    </row>
    <row r="98" customFormat="false" ht="15" hidden="false" customHeight="false" outlineLevel="0" collapsed="false">
      <c r="B98" s="35"/>
      <c r="D98" s="36"/>
      <c r="E98" s="37"/>
      <c r="F98" s="38"/>
      <c r="J98" s="38"/>
    </row>
    <row r="99" customFormat="false" ht="15" hidden="false" customHeight="false" outlineLevel="0" collapsed="false">
      <c r="B99" s="35"/>
      <c r="D99" s="36"/>
      <c r="E99" s="37"/>
      <c r="F99" s="38"/>
      <c r="J99" s="38"/>
    </row>
    <row r="100" customFormat="false" ht="15" hidden="false" customHeight="false" outlineLevel="0" collapsed="false">
      <c r="B100" s="35"/>
      <c r="D100" s="36"/>
      <c r="E100" s="37"/>
      <c r="F100" s="38"/>
      <c r="J100" s="38"/>
    </row>
    <row r="101" customFormat="false" ht="15" hidden="false" customHeight="false" outlineLevel="0" collapsed="false">
      <c r="B101" s="35"/>
      <c r="D101" s="36"/>
      <c r="E101" s="37"/>
      <c r="F101" s="38"/>
      <c r="J101" s="38"/>
    </row>
    <row r="102" customFormat="false" ht="15" hidden="false" customHeight="false" outlineLevel="0" collapsed="false">
      <c r="B102" s="35"/>
      <c r="D102" s="36"/>
      <c r="E102" s="37"/>
      <c r="F102" s="38"/>
      <c r="J102" s="38"/>
    </row>
    <row r="103" customFormat="false" ht="15" hidden="false" customHeight="false" outlineLevel="0" collapsed="false">
      <c r="B103" s="35"/>
      <c r="D103" s="36"/>
      <c r="E103" s="37"/>
      <c r="F103" s="38"/>
      <c r="J103" s="38"/>
    </row>
    <row r="104" customFormat="false" ht="15" hidden="false" customHeight="false" outlineLevel="0" collapsed="false">
      <c r="B104" s="35"/>
      <c r="D104" s="36"/>
      <c r="E104" s="37"/>
      <c r="F104" s="38"/>
      <c r="J104" s="38"/>
    </row>
    <row r="105" customFormat="false" ht="15" hidden="false" customHeight="false" outlineLevel="0" collapsed="false">
      <c r="B105" s="35"/>
      <c r="D105" s="36"/>
      <c r="E105" s="37"/>
      <c r="F105" s="38"/>
      <c r="J105" s="38"/>
    </row>
    <row r="106" customFormat="false" ht="15" hidden="false" customHeight="false" outlineLevel="0" collapsed="false">
      <c r="B106" s="35"/>
      <c r="D106" s="36"/>
      <c r="E106" s="37"/>
      <c r="F106" s="38"/>
      <c r="J106" s="38"/>
    </row>
    <row r="107" customFormat="false" ht="15" hidden="false" customHeight="false" outlineLevel="0" collapsed="false">
      <c r="B107" s="35"/>
      <c r="D107" s="36"/>
      <c r="E107" s="37"/>
      <c r="F107" s="38"/>
      <c r="J107" s="38"/>
    </row>
    <row r="108" customFormat="false" ht="15" hidden="false" customHeight="false" outlineLevel="0" collapsed="false">
      <c r="B108" s="35"/>
      <c r="D108" s="36"/>
      <c r="E108" s="37"/>
      <c r="F108" s="38"/>
      <c r="J108" s="38"/>
    </row>
    <row r="109" customFormat="false" ht="15" hidden="false" customHeight="false" outlineLevel="0" collapsed="false">
      <c r="B109" s="35"/>
      <c r="D109" s="36"/>
      <c r="E109" s="37"/>
      <c r="F109" s="38"/>
      <c r="J109" s="38"/>
    </row>
    <row r="110" customFormat="false" ht="15" hidden="false" customHeight="false" outlineLevel="0" collapsed="false">
      <c r="B110" s="35"/>
      <c r="D110" s="36"/>
      <c r="E110" s="37"/>
      <c r="F110" s="38"/>
      <c r="J110" s="38"/>
    </row>
    <row r="111" customFormat="false" ht="15" hidden="false" customHeight="false" outlineLevel="0" collapsed="false">
      <c r="B111" s="35"/>
      <c r="D111" s="36"/>
      <c r="E111" s="37"/>
      <c r="F111" s="38"/>
      <c r="J111" s="38"/>
    </row>
    <row r="112" customFormat="false" ht="15" hidden="false" customHeight="false" outlineLevel="0" collapsed="false">
      <c r="B112" s="35"/>
      <c r="D112" s="36"/>
      <c r="E112" s="37"/>
      <c r="F112" s="38"/>
      <c r="J112" s="38"/>
    </row>
    <row r="113" customFormat="false" ht="15" hidden="false" customHeight="false" outlineLevel="0" collapsed="false">
      <c r="B113" s="35"/>
      <c r="D113" s="36"/>
      <c r="E113" s="37"/>
      <c r="F113" s="38"/>
      <c r="J113" s="38"/>
    </row>
    <row r="114" customFormat="false" ht="15" hidden="false" customHeight="false" outlineLevel="0" collapsed="false">
      <c r="B114" s="35"/>
      <c r="D114" s="36"/>
      <c r="E114" s="37"/>
      <c r="F114" s="38"/>
      <c r="J114" s="38"/>
    </row>
    <row r="115" customFormat="false" ht="15" hidden="false" customHeight="false" outlineLevel="0" collapsed="false">
      <c r="B115" s="35"/>
      <c r="D115" s="36"/>
      <c r="E115" s="37"/>
      <c r="F115" s="38"/>
      <c r="J115" s="38"/>
    </row>
    <row r="116" customFormat="false" ht="15" hidden="false" customHeight="false" outlineLevel="0" collapsed="false">
      <c r="B116" s="35"/>
      <c r="D116" s="36"/>
      <c r="E116" s="37"/>
      <c r="F116" s="38"/>
      <c r="J116" s="38"/>
    </row>
    <row r="117" customFormat="false" ht="15" hidden="false" customHeight="false" outlineLevel="0" collapsed="false">
      <c r="B117" s="35"/>
      <c r="D117" s="36"/>
      <c r="E117" s="37"/>
      <c r="F117" s="38"/>
      <c r="J117" s="38"/>
    </row>
    <row r="118" customFormat="false" ht="15" hidden="false" customHeight="false" outlineLevel="0" collapsed="false">
      <c r="B118" s="35"/>
      <c r="D118" s="36"/>
      <c r="E118" s="37"/>
      <c r="F118" s="38"/>
      <c r="J118" s="38"/>
    </row>
    <row r="119" customFormat="false" ht="15" hidden="false" customHeight="false" outlineLevel="0" collapsed="false">
      <c r="B119" s="35"/>
      <c r="D119" s="36"/>
      <c r="E119" s="37"/>
      <c r="F119" s="38"/>
      <c r="J119" s="38"/>
    </row>
    <row r="120" customFormat="false" ht="15" hidden="false" customHeight="false" outlineLevel="0" collapsed="false">
      <c r="B120" s="35"/>
      <c r="D120" s="36"/>
      <c r="E120" s="37"/>
      <c r="F120" s="38"/>
      <c r="J120" s="38"/>
    </row>
    <row r="121" customFormat="false" ht="15" hidden="false" customHeight="false" outlineLevel="0" collapsed="false">
      <c r="B121" s="35"/>
      <c r="D121" s="36"/>
      <c r="E121" s="37"/>
      <c r="F121" s="38"/>
      <c r="J121" s="38"/>
    </row>
    <row r="122" customFormat="false" ht="15" hidden="false" customHeight="false" outlineLevel="0" collapsed="false">
      <c r="B122" s="35"/>
      <c r="D122" s="36"/>
      <c r="E122" s="37"/>
      <c r="F122" s="38"/>
      <c r="J122" s="38"/>
    </row>
    <row r="123" customFormat="false" ht="15" hidden="false" customHeight="false" outlineLevel="0" collapsed="false">
      <c r="B123" s="35"/>
      <c r="D123" s="36"/>
      <c r="E123" s="37"/>
      <c r="F123" s="38"/>
      <c r="J123" s="38"/>
    </row>
    <row r="124" customFormat="false" ht="15" hidden="false" customHeight="false" outlineLevel="0" collapsed="false">
      <c r="B124" s="35"/>
      <c r="D124" s="36"/>
      <c r="E124" s="37"/>
      <c r="F124" s="38"/>
      <c r="J124" s="38"/>
    </row>
    <row r="125" customFormat="false" ht="15" hidden="false" customHeight="false" outlineLevel="0" collapsed="false">
      <c r="B125" s="35"/>
      <c r="D125" s="36"/>
      <c r="E125" s="37"/>
      <c r="F125" s="38"/>
      <c r="J125" s="38"/>
    </row>
    <row r="126" customFormat="false" ht="15" hidden="false" customHeight="false" outlineLevel="0" collapsed="false">
      <c r="B126" s="35"/>
      <c r="D126" s="36"/>
      <c r="E126" s="37"/>
      <c r="F126" s="38"/>
      <c r="J126" s="38"/>
    </row>
    <row r="127" customFormat="false" ht="15" hidden="false" customHeight="false" outlineLevel="0" collapsed="false">
      <c r="B127" s="35"/>
      <c r="D127" s="36"/>
      <c r="E127" s="37"/>
      <c r="F127" s="38"/>
      <c r="J127" s="38"/>
    </row>
    <row r="128" customFormat="false" ht="15" hidden="false" customHeight="false" outlineLevel="0" collapsed="false">
      <c r="B128" s="35"/>
      <c r="D128" s="36"/>
      <c r="E128" s="37"/>
      <c r="F128" s="38"/>
      <c r="J128" s="38"/>
    </row>
    <row r="129" customFormat="false" ht="15" hidden="false" customHeight="false" outlineLevel="0" collapsed="false">
      <c r="B129" s="35"/>
      <c r="D129" s="36"/>
      <c r="E129" s="37"/>
      <c r="F129" s="38"/>
      <c r="J129" s="38"/>
    </row>
    <row r="130" customFormat="false" ht="15" hidden="false" customHeight="false" outlineLevel="0" collapsed="false">
      <c r="B130" s="35"/>
      <c r="D130" s="36"/>
      <c r="E130" s="37"/>
      <c r="F130" s="38"/>
      <c r="J130" s="38"/>
    </row>
    <row r="131" customFormat="false" ht="15" hidden="false" customHeight="false" outlineLevel="0" collapsed="false">
      <c r="B131" s="35"/>
      <c r="D131" s="36"/>
      <c r="E131" s="37"/>
      <c r="F131" s="38"/>
      <c r="J131" s="38"/>
    </row>
    <row r="132" customFormat="false" ht="15" hidden="false" customHeight="false" outlineLevel="0" collapsed="false">
      <c r="B132" s="35"/>
      <c r="D132" s="36"/>
      <c r="E132" s="37"/>
      <c r="F132" s="38"/>
      <c r="J132" s="38"/>
    </row>
    <row r="133" customFormat="false" ht="15" hidden="false" customHeight="false" outlineLevel="0" collapsed="false">
      <c r="B133" s="35"/>
      <c r="D133" s="36"/>
      <c r="E133" s="37"/>
      <c r="F133" s="38"/>
      <c r="J133" s="38"/>
    </row>
    <row r="134" customFormat="false" ht="15" hidden="false" customHeight="false" outlineLevel="0" collapsed="false">
      <c r="B134" s="35"/>
      <c r="D134" s="36"/>
      <c r="E134" s="37"/>
      <c r="F134" s="38"/>
      <c r="J134" s="38"/>
    </row>
    <row r="135" customFormat="false" ht="15" hidden="false" customHeight="false" outlineLevel="0" collapsed="false">
      <c r="B135" s="35"/>
      <c r="D135" s="36"/>
      <c r="E135" s="37"/>
      <c r="F135" s="38"/>
      <c r="J135" s="38"/>
    </row>
    <row r="136" customFormat="false" ht="15" hidden="false" customHeight="false" outlineLevel="0" collapsed="false">
      <c r="B136" s="35"/>
      <c r="D136" s="36"/>
      <c r="E136" s="37"/>
      <c r="F136" s="38"/>
      <c r="J136" s="38"/>
    </row>
    <row r="137" customFormat="false" ht="15" hidden="false" customHeight="false" outlineLevel="0" collapsed="false">
      <c r="B137" s="35"/>
      <c r="D137" s="36"/>
      <c r="E137" s="37"/>
      <c r="F137" s="38"/>
      <c r="J137" s="38"/>
    </row>
    <row r="138" customFormat="false" ht="15" hidden="false" customHeight="false" outlineLevel="0" collapsed="false">
      <c r="B138" s="35"/>
      <c r="D138" s="36"/>
      <c r="E138" s="37"/>
      <c r="F138" s="38"/>
      <c r="J138" s="38"/>
    </row>
    <row r="139" customFormat="false" ht="15" hidden="false" customHeight="false" outlineLevel="0" collapsed="false">
      <c r="B139" s="35"/>
      <c r="D139" s="36"/>
      <c r="E139" s="37"/>
      <c r="F139" s="38"/>
      <c r="J139" s="38"/>
    </row>
    <row r="140" customFormat="false" ht="15" hidden="false" customHeight="false" outlineLevel="0" collapsed="false">
      <c r="B140" s="35"/>
      <c r="D140" s="36"/>
      <c r="E140" s="37"/>
      <c r="F140" s="38"/>
      <c r="J140" s="38"/>
    </row>
    <row r="141" customFormat="false" ht="15" hidden="false" customHeight="false" outlineLevel="0" collapsed="false">
      <c r="B141" s="35"/>
      <c r="D141" s="36"/>
      <c r="E141" s="37"/>
      <c r="F141" s="38"/>
      <c r="J141" s="38"/>
    </row>
    <row r="142" customFormat="false" ht="15" hidden="false" customHeight="false" outlineLevel="0" collapsed="false">
      <c r="B142" s="35"/>
      <c r="D142" s="36"/>
      <c r="E142" s="37"/>
      <c r="F142" s="38"/>
      <c r="J142" s="38"/>
    </row>
    <row r="143" customFormat="false" ht="15" hidden="false" customHeight="false" outlineLevel="0" collapsed="false">
      <c r="B143" s="35"/>
      <c r="D143" s="36"/>
      <c r="E143" s="37"/>
      <c r="F143" s="38"/>
      <c r="J143" s="38"/>
    </row>
    <row r="144" customFormat="false" ht="15" hidden="false" customHeight="false" outlineLevel="0" collapsed="false">
      <c r="B144" s="35"/>
      <c r="D144" s="36"/>
      <c r="E144" s="37"/>
      <c r="F144" s="38"/>
      <c r="J144" s="38"/>
    </row>
    <row r="145" customFormat="false" ht="15" hidden="false" customHeight="false" outlineLevel="0" collapsed="false">
      <c r="B145" s="35"/>
      <c r="D145" s="36"/>
      <c r="E145" s="37"/>
      <c r="F145" s="38"/>
      <c r="J145" s="38"/>
    </row>
    <row r="146" customFormat="false" ht="15" hidden="false" customHeight="false" outlineLevel="0" collapsed="false">
      <c r="B146" s="35"/>
      <c r="D146" s="36"/>
      <c r="E146" s="37"/>
      <c r="F146" s="38"/>
      <c r="J146" s="38"/>
    </row>
    <row r="147" customFormat="false" ht="15" hidden="false" customHeight="false" outlineLevel="0" collapsed="false">
      <c r="B147" s="35"/>
      <c r="D147" s="36"/>
      <c r="E147" s="37"/>
      <c r="F147" s="38"/>
      <c r="J147" s="38"/>
    </row>
    <row r="148" customFormat="false" ht="15" hidden="false" customHeight="false" outlineLevel="0" collapsed="false">
      <c r="B148" s="35"/>
      <c r="D148" s="36"/>
      <c r="E148" s="37"/>
      <c r="F148" s="38"/>
      <c r="J148" s="38"/>
    </row>
    <row r="149" customFormat="false" ht="15" hidden="false" customHeight="false" outlineLevel="0" collapsed="false">
      <c r="B149" s="35"/>
      <c r="D149" s="36"/>
      <c r="E149" s="37"/>
      <c r="F149" s="38"/>
      <c r="J149" s="38"/>
    </row>
    <row r="150" customFormat="false" ht="15" hidden="false" customHeight="false" outlineLevel="0" collapsed="false">
      <c r="B150" s="35"/>
      <c r="D150" s="36"/>
      <c r="E150" s="37"/>
      <c r="F150" s="38"/>
      <c r="J150" s="38"/>
    </row>
    <row r="151" customFormat="false" ht="15" hidden="false" customHeight="false" outlineLevel="0" collapsed="false">
      <c r="B151" s="35"/>
      <c r="D151" s="36"/>
      <c r="E151" s="37"/>
      <c r="F151" s="38"/>
      <c r="J151" s="38"/>
    </row>
    <row r="152" customFormat="false" ht="15" hidden="false" customHeight="false" outlineLevel="0" collapsed="false">
      <c r="B152" s="35"/>
      <c r="D152" s="36"/>
      <c r="E152" s="37"/>
      <c r="F152" s="38"/>
      <c r="J152" s="38"/>
    </row>
    <row r="153" customFormat="false" ht="15" hidden="false" customHeight="false" outlineLevel="0" collapsed="false">
      <c r="B153" s="35"/>
      <c r="D153" s="36"/>
      <c r="E153" s="37"/>
      <c r="F153" s="38"/>
      <c r="J153" s="38"/>
    </row>
    <row r="154" customFormat="false" ht="15" hidden="false" customHeight="false" outlineLevel="0" collapsed="false">
      <c r="B154" s="35"/>
      <c r="D154" s="36"/>
      <c r="E154" s="37"/>
      <c r="F154" s="38"/>
      <c r="J154" s="38"/>
    </row>
    <row r="155" customFormat="false" ht="15" hidden="false" customHeight="false" outlineLevel="0" collapsed="false">
      <c r="B155" s="35"/>
      <c r="D155" s="36"/>
      <c r="E155" s="37"/>
      <c r="F155" s="38"/>
      <c r="J155" s="38"/>
    </row>
    <row r="156" customFormat="false" ht="15" hidden="false" customHeight="false" outlineLevel="0" collapsed="false">
      <c r="B156" s="35"/>
      <c r="D156" s="36"/>
      <c r="E156" s="37"/>
      <c r="F156" s="38"/>
      <c r="J156" s="38"/>
    </row>
    <row r="157" customFormat="false" ht="15" hidden="false" customHeight="false" outlineLevel="0" collapsed="false">
      <c r="B157" s="35"/>
      <c r="D157" s="36"/>
      <c r="E157" s="37"/>
      <c r="F157" s="38"/>
      <c r="J157" s="38"/>
    </row>
    <row r="158" customFormat="false" ht="15" hidden="false" customHeight="false" outlineLevel="0" collapsed="false">
      <c r="B158" s="35"/>
      <c r="D158" s="36"/>
      <c r="E158" s="37"/>
      <c r="F158" s="38"/>
      <c r="J158" s="38"/>
    </row>
    <row r="159" customFormat="false" ht="15" hidden="false" customHeight="false" outlineLevel="0" collapsed="false">
      <c r="B159" s="35"/>
      <c r="D159" s="36"/>
      <c r="E159" s="37"/>
      <c r="F159" s="38"/>
      <c r="J159" s="38"/>
    </row>
    <row r="160" customFormat="false" ht="15" hidden="false" customHeight="false" outlineLevel="0" collapsed="false">
      <c r="B160" s="35"/>
      <c r="D160" s="36"/>
      <c r="E160" s="37"/>
      <c r="F160" s="38"/>
      <c r="J160" s="38"/>
    </row>
    <row r="161" customFormat="false" ht="15" hidden="false" customHeight="false" outlineLevel="0" collapsed="false">
      <c r="B161" s="35"/>
      <c r="D161" s="36"/>
      <c r="E161" s="37"/>
      <c r="F161" s="38"/>
      <c r="J161" s="38"/>
    </row>
    <row r="162" customFormat="false" ht="15" hidden="false" customHeight="false" outlineLevel="0" collapsed="false">
      <c r="B162" s="35"/>
      <c r="D162" s="36"/>
      <c r="E162" s="37"/>
      <c r="F162" s="38"/>
      <c r="J162" s="38"/>
    </row>
    <row r="163" customFormat="false" ht="15" hidden="false" customHeight="false" outlineLevel="0" collapsed="false">
      <c r="B163" s="35"/>
      <c r="D163" s="36"/>
      <c r="E163" s="37"/>
      <c r="F163" s="38"/>
      <c r="J163" s="38"/>
    </row>
    <row r="164" customFormat="false" ht="15" hidden="false" customHeight="false" outlineLevel="0" collapsed="false">
      <c r="B164" s="35"/>
      <c r="D164" s="36"/>
      <c r="E164" s="37"/>
      <c r="F164" s="38"/>
      <c r="J164" s="38"/>
    </row>
    <row r="165" customFormat="false" ht="15" hidden="false" customHeight="false" outlineLevel="0" collapsed="false">
      <c r="B165" s="35"/>
      <c r="D165" s="36"/>
      <c r="E165" s="37"/>
      <c r="F165" s="38"/>
      <c r="J165" s="38"/>
    </row>
    <row r="166" customFormat="false" ht="15" hidden="false" customHeight="false" outlineLevel="0" collapsed="false">
      <c r="B166" s="35"/>
      <c r="D166" s="36"/>
      <c r="E166" s="37"/>
      <c r="F166" s="38"/>
      <c r="J166" s="38"/>
    </row>
    <row r="167" customFormat="false" ht="15" hidden="false" customHeight="false" outlineLevel="0" collapsed="false">
      <c r="B167" s="35"/>
      <c r="D167" s="36"/>
      <c r="E167" s="37"/>
      <c r="F167" s="38"/>
      <c r="J167" s="38"/>
    </row>
    <row r="168" customFormat="false" ht="15" hidden="false" customHeight="false" outlineLevel="0" collapsed="false">
      <c r="B168" s="35"/>
      <c r="D168" s="36"/>
      <c r="E168" s="37"/>
      <c r="F168" s="38"/>
      <c r="J168" s="38"/>
    </row>
    <row r="169" customFormat="false" ht="15" hidden="false" customHeight="false" outlineLevel="0" collapsed="false">
      <c r="B169" s="35"/>
      <c r="D169" s="36"/>
      <c r="E169" s="37"/>
      <c r="F169" s="38"/>
      <c r="J169" s="38"/>
    </row>
    <row r="170" customFormat="false" ht="15" hidden="false" customHeight="false" outlineLevel="0" collapsed="false">
      <c r="B170" s="35"/>
      <c r="D170" s="36"/>
      <c r="E170" s="37"/>
      <c r="F170" s="38"/>
      <c r="J170" s="38"/>
    </row>
    <row r="171" customFormat="false" ht="15" hidden="false" customHeight="false" outlineLevel="0" collapsed="false">
      <c r="B171" s="35"/>
      <c r="D171" s="36"/>
      <c r="E171" s="37"/>
      <c r="F171" s="38"/>
      <c r="J171" s="38"/>
    </row>
    <row r="172" customFormat="false" ht="15" hidden="false" customHeight="false" outlineLevel="0" collapsed="false">
      <c r="B172" s="35"/>
      <c r="D172" s="36"/>
      <c r="E172" s="37"/>
      <c r="F172" s="38"/>
      <c r="J172" s="38"/>
    </row>
    <row r="173" customFormat="false" ht="15" hidden="false" customHeight="false" outlineLevel="0" collapsed="false">
      <c r="B173" s="35"/>
      <c r="D173" s="36"/>
      <c r="E173" s="37"/>
      <c r="F173" s="38"/>
      <c r="J173" s="38"/>
    </row>
    <row r="174" customFormat="false" ht="15" hidden="false" customHeight="false" outlineLevel="0" collapsed="false">
      <c r="B174" s="35"/>
      <c r="D174" s="36"/>
      <c r="E174" s="37"/>
      <c r="F174" s="38"/>
      <c r="J174" s="38"/>
    </row>
    <row r="175" customFormat="false" ht="15" hidden="false" customHeight="false" outlineLevel="0" collapsed="false">
      <c r="B175" s="35"/>
      <c r="D175" s="36"/>
      <c r="E175" s="37"/>
      <c r="F175" s="38"/>
      <c r="J175" s="38"/>
    </row>
    <row r="176" customFormat="false" ht="15" hidden="false" customHeight="false" outlineLevel="0" collapsed="false">
      <c r="B176" s="35"/>
      <c r="D176" s="36"/>
      <c r="E176" s="37"/>
      <c r="F176" s="38"/>
      <c r="J176" s="38"/>
    </row>
    <row r="177" customFormat="false" ht="15" hidden="false" customHeight="false" outlineLevel="0" collapsed="false">
      <c r="B177" s="35"/>
      <c r="D177" s="36"/>
      <c r="E177" s="37"/>
      <c r="F177" s="38"/>
      <c r="J177" s="38"/>
    </row>
    <row r="178" customFormat="false" ht="15" hidden="false" customHeight="false" outlineLevel="0" collapsed="false">
      <c r="B178" s="35"/>
      <c r="D178" s="36"/>
      <c r="E178" s="37"/>
      <c r="F178" s="38"/>
      <c r="J178" s="38"/>
    </row>
    <row r="179" customFormat="false" ht="15" hidden="false" customHeight="false" outlineLevel="0" collapsed="false">
      <c r="B179" s="35"/>
      <c r="D179" s="36"/>
      <c r="E179" s="37"/>
      <c r="F179" s="38"/>
      <c r="J179" s="38"/>
    </row>
    <row r="180" customFormat="false" ht="15" hidden="false" customHeight="false" outlineLevel="0" collapsed="false">
      <c r="B180" s="35"/>
      <c r="D180" s="36"/>
      <c r="E180" s="37"/>
      <c r="F180" s="38"/>
      <c r="J180" s="38"/>
    </row>
    <row r="181" customFormat="false" ht="15" hidden="false" customHeight="false" outlineLevel="0" collapsed="false">
      <c r="B181" s="35"/>
      <c r="D181" s="36"/>
      <c r="E181" s="37"/>
      <c r="F181" s="38"/>
      <c r="J181" s="38"/>
    </row>
    <row r="182" customFormat="false" ht="15" hidden="false" customHeight="false" outlineLevel="0" collapsed="false">
      <c r="B182" s="35"/>
      <c r="D182" s="36"/>
      <c r="E182" s="37"/>
      <c r="F182" s="38"/>
      <c r="J182" s="38"/>
    </row>
    <row r="183" customFormat="false" ht="15" hidden="false" customHeight="false" outlineLevel="0" collapsed="false">
      <c r="B183" s="35"/>
      <c r="D183" s="36"/>
      <c r="E183" s="37"/>
      <c r="F183" s="38"/>
      <c r="J183" s="38"/>
    </row>
    <row r="184" customFormat="false" ht="15" hidden="false" customHeight="false" outlineLevel="0" collapsed="false">
      <c r="B184" s="35"/>
      <c r="D184" s="36"/>
      <c r="E184" s="37"/>
      <c r="F184" s="38"/>
      <c r="J184" s="38"/>
    </row>
    <row r="185" customFormat="false" ht="15" hidden="false" customHeight="false" outlineLevel="0" collapsed="false">
      <c r="B185" s="35"/>
      <c r="D185" s="36"/>
      <c r="E185" s="37"/>
      <c r="F185" s="38"/>
      <c r="J185" s="38"/>
    </row>
    <row r="186" customFormat="false" ht="15" hidden="false" customHeight="false" outlineLevel="0" collapsed="false">
      <c r="B186" s="35"/>
      <c r="D186" s="36"/>
      <c r="E186" s="37"/>
      <c r="F186" s="38"/>
      <c r="J186" s="38"/>
    </row>
    <row r="187" customFormat="false" ht="15" hidden="false" customHeight="false" outlineLevel="0" collapsed="false">
      <c r="B187" s="35"/>
      <c r="D187" s="36"/>
      <c r="E187" s="37"/>
      <c r="F187" s="38"/>
      <c r="J187" s="38"/>
    </row>
    <row r="188" customFormat="false" ht="15" hidden="false" customHeight="false" outlineLevel="0" collapsed="false">
      <c r="B188" s="35"/>
      <c r="D188" s="36"/>
      <c r="E188" s="37"/>
      <c r="F188" s="38"/>
      <c r="J188" s="38"/>
    </row>
    <row r="189" customFormat="false" ht="15" hidden="false" customHeight="false" outlineLevel="0" collapsed="false">
      <c r="B189" s="35"/>
      <c r="D189" s="36"/>
      <c r="E189" s="37"/>
      <c r="F189" s="38"/>
      <c r="J189" s="38"/>
    </row>
    <row r="190" customFormat="false" ht="15" hidden="false" customHeight="false" outlineLevel="0" collapsed="false">
      <c r="B190" s="35"/>
      <c r="D190" s="36"/>
      <c r="E190" s="37"/>
      <c r="F190" s="38"/>
      <c r="J190" s="38"/>
    </row>
    <row r="191" customFormat="false" ht="15" hidden="false" customHeight="false" outlineLevel="0" collapsed="false">
      <c r="B191" s="35"/>
      <c r="D191" s="36"/>
      <c r="E191" s="37"/>
      <c r="F191" s="38"/>
      <c r="J191" s="38"/>
    </row>
    <row r="192" customFormat="false" ht="15" hidden="false" customHeight="false" outlineLevel="0" collapsed="false">
      <c r="B192" s="35"/>
      <c r="D192" s="36"/>
      <c r="E192" s="37"/>
      <c r="F192" s="38"/>
      <c r="J192" s="38"/>
    </row>
    <row r="193" customFormat="false" ht="15" hidden="false" customHeight="false" outlineLevel="0" collapsed="false">
      <c r="B193" s="35"/>
      <c r="D193" s="36"/>
      <c r="E193" s="37"/>
      <c r="F193" s="38"/>
      <c r="J193" s="38"/>
    </row>
    <row r="194" customFormat="false" ht="15" hidden="false" customHeight="false" outlineLevel="0" collapsed="false">
      <c r="B194" s="35"/>
      <c r="D194" s="36"/>
      <c r="E194" s="37"/>
      <c r="F194" s="38"/>
      <c r="J194" s="38"/>
    </row>
    <row r="195" customFormat="false" ht="15" hidden="false" customHeight="false" outlineLevel="0" collapsed="false">
      <c r="B195" s="35"/>
      <c r="D195" s="36"/>
      <c r="E195" s="37"/>
      <c r="F195" s="38"/>
      <c r="J195" s="38"/>
    </row>
    <row r="196" customFormat="false" ht="15" hidden="false" customHeight="false" outlineLevel="0" collapsed="false">
      <c r="B196" s="35"/>
      <c r="D196" s="36"/>
      <c r="E196" s="37"/>
      <c r="F196" s="38"/>
      <c r="J196" s="38"/>
    </row>
    <row r="197" customFormat="false" ht="15" hidden="false" customHeight="false" outlineLevel="0" collapsed="false">
      <c r="B197" s="35"/>
      <c r="D197" s="36"/>
      <c r="E197" s="37"/>
      <c r="F197" s="38"/>
      <c r="J197" s="38"/>
    </row>
    <row r="198" customFormat="false" ht="15" hidden="false" customHeight="false" outlineLevel="0" collapsed="false">
      <c r="B198" s="35"/>
      <c r="D198" s="36"/>
      <c r="E198" s="37"/>
      <c r="F198" s="38"/>
      <c r="J198" s="38"/>
    </row>
    <row r="199" customFormat="false" ht="15" hidden="false" customHeight="false" outlineLevel="0" collapsed="false">
      <c r="B199" s="35"/>
      <c r="D199" s="36"/>
      <c r="E199" s="37"/>
      <c r="F199" s="38"/>
      <c r="J199" s="38"/>
    </row>
    <row r="200" customFormat="false" ht="15" hidden="false" customHeight="false" outlineLevel="0" collapsed="false">
      <c r="B200" s="35"/>
      <c r="D200" s="36"/>
      <c r="E200" s="37"/>
      <c r="F200" s="38"/>
      <c r="J200" s="38"/>
    </row>
    <row r="201" customFormat="false" ht="15" hidden="false" customHeight="false" outlineLevel="0" collapsed="false">
      <c r="B201" s="35"/>
      <c r="D201" s="36"/>
      <c r="E201" s="37"/>
      <c r="F201" s="38"/>
      <c r="J201" s="38"/>
    </row>
    <row r="202" customFormat="false" ht="15" hidden="false" customHeight="false" outlineLevel="0" collapsed="false">
      <c r="B202" s="35"/>
      <c r="D202" s="36"/>
      <c r="E202" s="37"/>
      <c r="F202" s="38"/>
      <c r="J202" s="38"/>
    </row>
    <row r="203" customFormat="false" ht="15" hidden="false" customHeight="false" outlineLevel="0" collapsed="false">
      <c r="B203" s="35"/>
      <c r="D203" s="36"/>
      <c r="E203" s="37"/>
      <c r="F203" s="38"/>
      <c r="J203" s="38"/>
    </row>
    <row r="204" customFormat="false" ht="15" hidden="false" customHeight="false" outlineLevel="0" collapsed="false">
      <c r="B204" s="35"/>
      <c r="D204" s="36"/>
      <c r="E204" s="37"/>
      <c r="F204" s="38"/>
      <c r="J204" s="38"/>
    </row>
    <row r="205" customFormat="false" ht="15" hidden="false" customHeight="false" outlineLevel="0" collapsed="false">
      <c r="B205" s="35"/>
      <c r="D205" s="36"/>
      <c r="E205" s="37"/>
      <c r="F205" s="38"/>
      <c r="J205" s="38"/>
    </row>
    <row r="206" customFormat="false" ht="15" hidden="false" customHeight="false" outlineLevel="0" collapsed="false">
      <c r="B206" s="35"/>
      <c r="D206" s="36"/>
      <c r="E206" s="37"/>
      <c r="F206" s="38"/>
      <c r="J206" s="38"/>
    </row>
    <row r="207" customFormat="false" ht="15" hidden="false" customHeight="false" outlineLevel="0" collapsed="false">
      <c r="B207" s="35"/>
      <c r="D207" s="36"/>
      <c r="E207" s="37"/>
      <c r="F207" s="38"/>
      <c r="J207" s="38"/>
    </row>
    <row r="208" customFormat="false" ht="15" hidden="false" customHeight="false" outlineLevel="0" collapsed="false">
      <c r="B208" s="35"/>
      <c r="D208" s="36"/>
      <c r="E208" s="37"/>
      <c r="F208" s="38"/>
      <c r="J208" s="38"/>
    </row>
    <row r="209" customFormat="false" ht="15" hidden="false" customHeight="false" outlineLevel="0" collapsed="false">
      <c r="B209" s="35"/>
      <c r="D209" s="36"/>
      <c r="E209" s="37"/>
      <c r="F209" s="38"/>
      <c r="J209" s="38"/>
    </row>
    <row r="210" customFormat="false" ht="15" hidden="false" customHeight="false" outlineLevel="0" collapsed="false">
      <c r="B210" s="35"/>
      <c r="D210" s="36"/>
      <c r="E210" s="37"/>
      <c r="F210" s="38"/>
      <c r="J210" s="38"/>
    </row>
    <row r="211" customFormat="false" ht="15" hidden="false" customHeight="false" outlineLevel="0" collapsed="false">
      <c r="B211" s="35"/>
      <c r="D211" s="36"/>
      <c r="E211" s="37"/>
      <c r="F211" s="38"/>
      <c r="J211" s="38"/>
    </row>
    <row r="212" customFormat="false" ht="15" hidden="false" customHeight="false" outlineLevel="0" collapsed="false">
      <c r="B212" s="35"/>
      <c r="D212" s="36"/>
      <c r="E212" s="37"/>
      <c r="F212" s="38"/>
      <c r="J212" s="38"/>
    </row>
    <row r="213" customFormat="false" ht="15" hidden="false" customHeight="false" outlineLevel="0" collapsed="false">
      <c r="B213" s="35"/>
      <c r="D213" s="36"/>
      <c r="E213" s="37"/>
      <c r="F213" s="38"/>
      <c r="J213" s="38"/>
    </row>
    <row r="214" customFormat="false" ht="15" hidden="false" customHeight="false" outlineLevel="0" collapsed="false">
      <c r="B214" s="35"/>
      <c r="D214" s="36"/>
      <c r="E214" s="37"/>
      <c r="F214" s="38"/>
      <c r="J214" s="38"/>
    </row>
    <row r="215" customFormat="false" ht="15" hidden="false" customHeight="false" outlineLevel="0" collapsed="false">
      <c r="B215" s="35"/>
      <c r="D215" s="36"/>
      <c r="E215" s="37"/>
      <c r="F215" s="38"/>
      <c r="J215" s="38"/>
    </row>
    <row r="216" customFormat="false" ht="15" hidden="false" customHeight="false" outlineLevel="0" collapsed="false">
      <c r="B216" s="35"/>
      <c r="D216" s="36"/>
      <c r="E216" s="37"/>
      <c r="F216" s="38"/>
      <c r="J216" s="38"/>
    </row>
    <row r="217" customFormat="false" ht="15" hidden="false" customHeight="false" outlineLevel="0" collapsed="false">
      <c r="B217" s="35"/>
      <c r="D217" s="36"/>
      <c r="E217" s="37"/>
      <c r="F217" s="38"/>
      <c r="J217" s="38"/>
    </row>
    <row r="218" customFormat="false" ht="15" hidden="false" customHeight="false" outlineLevel="0" collapsed="false">
      <c r="B218" s="35"/>
      <c r="D218" s="36"/>
      <c r="E218" s="37"/>
      <c r="F218" s="38"/>
      <c r="J218" s="38"/>
    </row>
    <row r="219" customFormat="false" ht="15" hidden="false" customHeight="false" outlineLevel="0" collapsed="false">
      <c r="B219" s="35"/>
      <c r="D219" s="36"/>
      <c r="E219" s="37"/>
      <c r="F219" s="38"/>
      <c r="J219" s="38"/>
    </row>
    <row r="220" customFormat="false" ht="15" hidden="false" customHeight="false" outlineLevel="0" collapsed="false">
      <c r="B220" s="35"/>
      <c r="D220" s="36"/>
      <c r="E220" s="37"/>
      <c r="F220" s="38"/>
      <c r="J220" s="38"/>
    </row>
    <row r="221" customFormat="false" ht="15" hidden="false" customHeight="false" outlineLevel="0" collapsed="false">
      <c r="B221" s="35"/>
      <c r="D221" s="36"/>
      <c r="E221" s="37"/>
      <c r="F221" s="38"/>
      <c r="J221" s="38"/>
    </row>
    <row r="222" customFormat="false" ht="15" hidden="false" customHeight="false" outlineLevel="0" collapsed="false">
      <c r="B222" s="35"/>
      <c r="D222" s="36"/>
      <c r="E222" s="37"/>
      <c r="F222" s="38"/>
      <c r="J222" s="38"/>
    </row>
    <row r="223" customFormat="false" ht="15" hidden="false" customHeight="false" outlineLevel="0" collapsed="false">
      <c r="B223" s="35"/>
      <c r="D223" s="36"/>
      <c r="E223" s="37"/>
      <c r="F223" s="38"/>
      <c r="J223" s="38"/>
    </row>
    <row r="224" customFormat="false" ht="15" hidden="false" customHeight="false" outlineLevel="0" collapsed="false">
      <c r="B224" s="35"/>
      <c r="D224" s="36"/>
      <c r="E224" s="37"/>
      <c r="F224" s="38"/>
      <c r="J224" s="38"/>
    </row>
    <row r="225" customFormat="false" ht="15" hidden="false" customHeight="false" outlineLevel="0" collapsed="false">
      <c r="B225" s="35"/>
      <c r="D225" s="36"/>
      <c r="E225" s="37"/>
      <c r="F225" s="38"/>
      <c r="J225" s="38"/>
    </row>
    <row r="226" customFormat="false" ht="15" hidden="false" customHeight="false" outlineLevel="0" collapsed="false">
      <c r="B226" s="35"/>
      <c r="D226" s="36"/>
      <c r="E226" s="37"/>
      <c r="F226" s="38"/>
      <c r="J226" s="38"/>
    </row>
    <row r="227" customFormat="false" ht="15" hidden="false" customHeight="false" outlineLevel="0" collapsed="false">
      <c r="B227" s="35"/>
      <c r="D227" s="36"/>
      <c r="E227" s="37"/>
      <c r="F227" s="38"/>
      <c r="J227" s="38"/>
    </row>
    <row r="228" customFormat="false" ht="15" hidden="false" customHeight="false" outlineLevel="0" collapsed="false">
      <c r="B228" s="35"/>
      <c r="D228" s="36"/>
      <c r="E228" s="37"/>
      <c r="F228" s="38"/>
      <c r="J228" s="38"/>
    </row>
    <row r="229" customFormat="false" ht="15" hidden="false" customHeight="false" outlineLevel="0" collapsed="false">
      <c r="B229" s="35"/>
      <c r="D229" s="36"/>
      <c r="E229" s="37"/>
      <c r="F229" s="38"/>
      <c r="J229" s="38"/>
    </row>
    <row r="230" customFormat="false" ht="15" hidden="false" customHeight="false" outlineLevel="0" collapsed="false">
      <c r="B230" s="35"/>
      <c r="D230" s="36"/>
      <c r="E230" s="37"/>
      <c r="F230" s="38"/>
      <c r="J230" s="38"/>
    </row>
    <row r="231" customFormat="false" ht="15" hidden="false" customHeight="false" outlineLevel="0" collapsed="false">
      <c r="B231" s="35"/>
      <c r="D231" s="36"/>
      <c r="E231" s="37"/>
      <c r="F231" s="38"/>
      <c r="J231" s="38"/>
    </row>
    <row r="232" customFormat="false" ht="15" hidden="false" customHeight="false" outlineLevel="0" collapsed="false">
      <c r="B232" s="35"/>
      <c r="D232" s="36"/>
      <c r="E232" s="37"/>
      <c r="F232" s="38"/>
      <c r="J232" s="38"/>
    </row>
    <row r="233" customFormat="false" ht="15" hidden="false" customHeight="false" outlineLevel="0" collapsed="false">
      <c r="B233" s="35"/>
      <c r="D233" s="36"/>
      <c r="E233" s="37"/>
      <c r="F233" s="38"/>
      <c r="J233" s="38"/>
    </row>
    <row r="234" customFormat="false" ht="15" hidden="false" customHeight="false" outlineLevel="0" collapsed="false">
      <c r="B234" s="35"/>
      <c r="D234" s="36"/>
      <c r="E234" s="37"/>
      <c r="F234" s="38"/>
      <c r="J234" s="38"/>
    </row>
    <row r="235" customFormat="false" ht="15" hidden="false" customHeight="false" outlineLevel="0" collapsed="false">
      <c r="B235" s="35"/>
      <c r="D235" s="36"/>
      <c r="E235" s="37"/>
      <c r="F235" s="38"/>
      <c r="J235" s="38"/>
    </row>
    <row r="236" customFormat="false" ht="15" hidden="false" customHeight="false" outlineLevel="0" collapsed="false">
      <c r="B236" s="35"/>
      <c r="D236" s="36"/>
      <c r="E236" s="37"/>
      <c r="F236" s="38"/>
      <c r="J236" s="38"/>
    </row>
    <row r="237" customFormat="false" ht="15" hidden="false" customHeight="false" outlineLevel="0" collapsed="false">
      <c r="B237" s="35"/>
      <c r="D237" s="36"/>
      <c r="E237" s="37"/>
      <c r="F237" s="38"/>
      <c r="J237" s="38"/>
    </row>
    <row r="238" customFormat="false" ht="15" hidden="false" customHeight="false" outlineLevel="0" collapsed="false">
      <c r="B238" s="35"/>
      <c r="D238" s="36"/>
      <c r="E238" s="37"/>
      <c r="F238" s="38"/>
      <c r="J238" s="38"/>
    </row>
    <row r="239" customFormat="false" ht="15" hidden="false" customHeight="false" outlineLevel="0" collapsed="false">
      <c r="B239" s="35"/>
      <c r="D239" s="36"/>
      <c r="E239" s="37"/>
      <c r="F239" s="38"/>
      <c r="J239" s="38"/>
    </row>
    <row r="240" customFormat="false" ht="15" hidden="false" customHeight="false" outlineLevel="0" collapsed="false">
      <c r="B240" s="35"/>
      <c r="D240" s="36"/>
      <c r="E240" s="37"/>
      <c r="F240" s="38"/>
      <c r="J240" s="38"/>
    </row>
    <row r="241" customFormat="false" ht="15" hidden="false" customHeight="false" outlineLevel="0" collapsed="false">
      <c r="B241" s="35"/>
      <c r="D241" s="36"/>
      <c r="E241" s="37"/>
      <c r="F241" s="38"/>
      <c r="J241" s="38"/>
    </row>
    <row r="242" customFormat="false" ht="15" hidden="false" customHeight="false" outlineLevel="0" collapsed="false">
      <c r="B242" s="35"/>
      <c r="D242" s="36"/>
      <c r="E242" s="37"/>
      <c r="F242" s="38"/>
      <c r="J242" s="38"/>
    </row>
    <row r="243" customFormat="false" ht="15" hidden="false" customHeight="false" outlineLevel="0" collapsed="false">
      <c r="B243" s="35"/>
      <c r="D243" s="36"/>
      <c r="E243" s="37"/>
      <c r="F243" s="38"/>
      <c r="J243" s="38"/>
    </row>
    <row r="244" customFormat="false" ht="15" hidden="false" customHeight="false" outlineLevel="0" collapsed="false">
      <c r="B244" s="35"/>
      <c r="D244" s="36"/>
      <c r="E244" s="37"/>
      <c r="F244" s="38"/>
      <c r="J244" s="38"/>
    </row>
    <row r="245" customFormat="false" ht="15" hidden="false" customHeight="false" outlineLevel="0" collapsed="false">
      <c r="B245" s="35"/>
      <c r="D245" s="36"/>
      <c r="E245" s="37"/>
      <c r="F245" s="38"/>
      <c r="J245" s="38"/>
    </row>
    <row r="246" customFormat="false" ht="15" hidden="false" customHeight="false" outlineLevel="0" collapsed="false">
      <c r="B246" s="35"/>
      <c r="D246" s="36"/>
      <c r="E246" s="37"/>
      <c r="F246" s="38"/>
      <c r="J246" s="38"/>
    </row>
    <row r="247" customFormat="false" ht="15" hidden="false" customHeight="false" outlineLevel="0" collapsed="false">
      <c r="B247" s="35"/>
      <c r="D247" s="36"/>
      <c r="E247" s="37"/>
      <c r="F247" s="38"/>
      <c r="J247" s="38"/>
    </row>
    <row r="248" customFormat="false" ht="15" hidden="false" customHeight="false" outlineLevel="0" collapsed="false">
      <c r="B248" s="35"/>
      <c r="D248" s="36"/>
      <c r="E248" s="37"/>
      <c r="F248" s="38"/>
      <c r="J248" s="38"/>
    </row>
    <row r="249" customFormat="false" ht="15" hidden="false" customHeight="false" outlineLevel="0" collapsed="false">
      <c r="B249" s="35"/>
      <c r="D249" s="36"/>
      <c r="E249" s="37"/>
      <c r="F249" s="38"/>
      <c r="J249" s="38"/>
    </row>
    <row r="250" customFormat="false" ht="15" hidden="false" customHeight="false" outlineLevel="0" collapsed="false">
      <c r="B250" s="35"/>
      <c r="D250" s="36"/>
      <c r="E250" s="37"/>
      <c r="F250" s="38"/>
      <c r="J250" s="38"/>
    </row>
    <row r="251" customFormat="false" ht="15" hidden="false" customHeight="false" outlineLevel="0" collapsed="false">
      <c r="B251" s="35"/>
      <c r="D251" s="36"/>
      <c r="E251" s="37"/>
      <c r="F251" s="38"/>
      <c r="J251" s="38"/>
    </row>
    <row r="252" customFormat="false" ht="15" hidden="false" customHeight="false" outlineLevel="0" collapsed="false">
      <c r="B252" s="35"/>
      <c r="D252" s="36"/>
      <c r="E252" s="37"/>
      <c r="F252" s="38"/>
      <c r="J252" s="38"/>
    </row>
    <row r="253" customFormat="false" ht="15" hidden="false" customHeight="false" outlineLevel="0" collapsed="false">
      <c r="B253" s="35"/>
      <c r="D253" s="36"/>
      <c r="E253" s="37"/>
      <c r="F253" s="38"/>
      <c r="J253" s="38"/>
    </row>
    <row r="254" customFormat="false" ht="15" hidden="false" customHeight="false" outlineLevel="0" collapsed="false">
      <c r="B254" s="35"/>
      <c r="D254" s="36"/>
      <c r="E254" s="37"/>
      <c r="F254" s="38"/>
      <c r="J254" s="38"/>
    </row>
    <row r="255" customFormat="false" ht="15" hidden="false" customHeight="false" outlineLevel="0" collapsed="false">
      <c r="B255" s="35"/>
      <c r="D255" s="36"/>
      <c r="E255" s="37"/>
      <c r="F255" s="38"/>
      <c r="J255" s="38"/>
    </row>
    <row r="256" customFormat="false" ht="15" hidden="false" customHeight="false" outlineLevel="0" collapsed="false">
      <c r="B256" s="35"/>
      <c r="D256" s="36"/>
      <c r="E256" s="37"/>
      <c r="F256" s="38"/>
      <c r="J256" s="38"/>
    </row>
    <row r="257" customFormat="false" ht="15" hidden="false" customHeight="false" outlineLevel="0" collapsed="false">
      <c r="B257" s="35"/>
      <c r="D257" s="36"/>
      <c r="E257" s="37"/>
      <c r="F257" s="38"/>
      <c r="J257" s="38"/>
    </row>
    <row r="258" customFormat="false" ht="15" hidden="false" customHeight="false" outlineLevel="0" collapsed="false">
      <c r="B258" s="35"/>
      <c r="D258" s="36"/>
      <c r="E258" s="37"/>
      <c r="F258" s="38"/>
      <c r="J258" s="38"/>
    </row>
    <row r="259" customFormat="false" ht="15" hidden="false" customHeight="false" outlineLevel="0" collapsed="false">
      <c r="B259" s="35"/>
      <c r="D259" s="36"/>
      <c r="E259" s="37"/>
      <c r="F259" s="38"/>
      <c r="J259" s="38"/>
    </row>
    <row r="260" customFormat="false" ht="15" hidden="false" customHeight="false" outlineLevel="0" collapsed="false">
      <c r="B260" s="35"/>
      <c r="D260" s="36"/>
      <c r="E260" s="37"/>
      <c r="F260" s="38"/>
      <c r="J260" s="38"/>
    </row>
    <row r="261" customFormat="false" ht="15" hidden="false" customHeight="false" outlineLevel="0" collapsed="false">
      <c r="B261" s="35"/>
      <c r="D261" s="36"/>
      <c r="E261" s="37"/>
      <c r="F261" s="38"/>
      <c r="J261" s="38"/>
    </row>
    <row r="262" customFormat="false" ht="15" hidden="false" customHeight="false" outlineLevel="0" collapsed="false">
      <c r="B262" s="35"/>
      <c r="D262" s="36"/>
      <c r="E262" s="37"/>
      <c r="F262" s="38"/>
      <c r="J262" s="38"/>
    </row>
    <row r="263" customFormat="false" ht="15" hidden="false" customHeight="false" outlineLevel="0" collapsed="false">
      <c r="B263" s="35"/>
      <c r="D263" s="36"/>
      <c r="E263" s="37"/>
      <c r="F263" s="38"/>
      <c r="J263" s="38"/>
    </row>
    <row r="264" customFormat="false" ht="15" hidden="false" customHeight="false" outlineLevel="0" collapsed="false">
      <c r="B264" s="35"/>
      <c r="D264" s="36"/>
      <c r="E264" s="37"/>
      <c r="F264" s="38"/>
      <c r="J264" s="38"/>
    </row>
    <row r="265" customFormat="false" ht="15" hidden="false" customHeight="false" outlineLevel="0" collapsed="false">
      <c r="B265" s="35"/>
      <c r="D265" s="36"/>
      <c r="E265" s="37"/>
      <c r="F265" s="38"/>
      <c r="J265" s="38"/>
    </row>
    <row r="266" customFormat="false" ht="15" hidden="false" customHeight="false" outlineLevel="0" collapsed="false">
      <c r="B266" s="35"/>
      <c r="D266" s="36"/>
      <c r="E266" s="37"/>
      <c r="F266" s="38"/>
      <c r="J266" s="38"/>
    </row>
    <row r="267" customFormat="false" ht="15" hidden="false" customHeight="false" outlineLevel="0" collapsed="false">
      <c r="B267" s="35"/>
      <c r="D267" s="36"/>
      <c r="E267" s="37"/>
      <c r="F267" s="38"/>
      <c r="J267" s="38"/>
    </row>
    <row r="268" customFormat="false" ht="15" hidden="false" customHeight="false" outlineLevel="0" collapsed="false">
      <c r="B268" s="35"/>
      <c r="D268" s="36"/>
      <c r="E268" s="37"/>
      <c r="F268" s="38"/>
      <c r="J268" s="38"/>
    </row>
    <row r="269" customFormat="false" ht="15" hidden="false" customHeight="false" outlineLevel="0" collapsed="false">
      <c r="B269" s="35"/>
      <c r="D269" s="36"/>
      <c r="E269" s="37"/>
      <c r="F269" s="38"/>
      <c r="J269" s="38"/>
    </row>
    <row r="270" customFormat="false" ht="15" hidden="false" customHeight="false" outlineLevel="0" collapsed="false">
      <c r="B270" s="35"/>
      <c r="D270" s="36"/>
      <c r="E270" s="37"/>
      <c r="F270" s="38"/>
      <c r="J270" s="38"/>
    </row>
    <row r="271" customFormat="false" ht="15" hidden="false" customHeight="false" outlineLevel="0" collapsed="false">
      <c r="B271" s="35"/>
      <c r="D271" s="36"/>
      <c r="E271" s="37"/>
      <c r="F271" s="38"/>
      <c r="J271" s="38"/>
    </row>
    <row r="272" customFormat="false" ht="15" hidden="false" customHeight="false" outlineLevel="0" collapsed="false">
      <c r="B272" s="35"/>
      <c r="D272" s="36"/>
      <c r="E272" s="37"/>
      <c r="F272" s="38"/>
      <c r="J272" s="38"/>
    </row>
    <row r="273" customFormat="false" ht="15" hidden="false" customHeight="false" outlineLevel="0" collapsed="false">
      <c r="B273" s="35"/>
      <c r="D273" s="36"/>
      <c r="E273" s="37"/>
      <c r="F273" s="38"/>
      <c r="J273" s="38"/>
    </row>
    <row r="274" customFormat="false" ht="15" hidden="false" customHeight="false" outlineLevel="0" collapsed="false">
      <c r="B274" s="35"/>
      <c r="D274" s="36"/>
      <c r="E274" s="37"/>
      <c r="F274" s="38"/>
      <c r="J274" s="38"/>
    </row>
    <row r="275" customFormat="false" ht="15" hidden="false" customHeight="false" outlineLevel="0" collapsed="false">
      <c r="B275" s="35"/>
      <c r="D275" s="36"/>
      <c r="E275" s="37"/>
      <c r="F275" s="38"/>
      <c r="J275" s="38"/>
    </row>
    <row r="276" customFormat="false" ht="15" hidden="false" customHeight="false" outlineLevel="0" collapsed="false">
      <c r="B276" s="35"/>
      <c r="D276" s="36"/>
      <c r="E276" s="37"/>
      <c r="F276" s="38"/>
      <c r="J276" s="38"/>
    </row>
    <row r="277" customFormat="false" ht="15" hidden="false" customHeight="false" outlineLevel="0" collapsed="false">
      <c r="B277" s="35"/>
      <c r="D277" s="36"/>
      <c r="E277" s="37"/>
      <c r="F277" s="38"/>
      <c r="J277" s="38"/>
    </row>
    <row r="278" customFormat="false" ht="15" hidden="false" customHeight="false" outlineLevel="0" collapsed="false">
      <c r="B278" s="35"/>
      <c r="D278" s="36"/>
      <c r="E278" s="37"/>
      <c r="F278" s="38"/>
      <c r="J278" s="38"/>
    </row>
    <row r="279" customFormat="false" ht="15" hidden="false" customHeight="false" outlineLevel="0" collapsed="false">
      <c r="B279" s="35"/>
      <c r="D279" s="36"/>
      <c r="E279" s="37"/>
      <c r="F279" s="38"/>
      <c r="J279" s="38"/>
    </row>
    <row r="280" customFormat="false" ht="15" hidden="false" customHeight="false" outlineLevel="0" collapsed="false">
      <c r="B280" s="35"/>
      <c r="D280" s="36"/>
      <c r="E280" s="37"/>
      <c r="F280" s="38"/>
      <c r="J280" s="38"/>
    </row>
    <row r="281" customFormat="false" ht="15" hidden="false" customHeight="false" outlineLevel="0" collapsed="false">
      <c r="B281" s="35"/>
      <c r="D281" s="36"/>
      <c r="E281" s="37"/>
      <c r="F281" s="38"/>
      <c r="J281" s="38"/>
    </row>
    <row r="282" customFormat="false" ht="15" hidden="false" customHeight="false" outlineLevel="0" collapsed="false">
      <c r="B282" s="35"/>
      <c r="D282" s="36"/>
      <c r="E282" s="37"/>
      <c r="F282" s="38"/>
      <c r="J282" s="38"/>
    </row>
    <row r="283" customFormat="false" ht="15" hidden="false" customHeight="false" outlineLevel="0" collapsed="false">
      <c r="B283" s="35"/>
      <c r="D283" s="36"/>
      <c r="E283" s="37"/>
      <c r="F283" s="38"/>
      <c r="J283" s="38"/>
    </row>
    <row r="284" customFormat="false" ht="15" hidden="false" customHeight="false" outlineLevel="0" collapsed="false">
      <c r="B284" s="35"/>
      <c r="D284" s="36"/>
      <c r="E284" s="37"/>
      <c r="F284" s="38"/>
      <c r="J284" s="38"/>
    </row>
    <row r="285" customFormat="false" ht="15" hidden="false" customHeight="false" outlineLevel="0" collapsed="false">
      <c r="B285" s="35"/>
      <c r="D285" s="36"/>
      <c r="E285" s="37"/>
      <c r="F285" s="38"/>
      <c r="J285" s="38"/>
    </row>
    <row r="286" customFormat="false" ht="15" hidden="false" customHeight="false" outlineLevel="0" collapsed="false">
      <c r="B286" s="35"/>
      <c r="D286" s="36"/>
      <c r="E286" s="37"/>
      <c r="F286" s="38"/>
      <c r="J286" s="38"/>
    </row>
    <row r="287" customFormat="false" ht="15" hidden="false" customHeight="false" outlineLevel="0" collapsed="false">
      <c r="B287" s="35"/>
      <c r="D287" s="36"/>
      <c r="E287" s="37"/>
      <c r="F287" s="38"/>
      <c r="J287" s="38"/>
    </row>
    <row r="288" customFormat="false" ht="15" hidden="false" customHeight="false" outlineLevel="0" collapsed="false">
      <c r="B288" s="35"/>
      <c r="D288" s="36"/>
      <c r="E288" s="37"/>
      <c r="F288" s="38"/>
      <c r="J288" s="38"/>
    </row>
    <row r="289" customFormat="false" ht="15" hidden="false" customHeight="false" outlineLevel="0" collapsed="false">
      <c r="B289" s="35"/>
      <c r="D289" s="36"/>
      <c r="E289" s="37"/>
      <c r="F289" s="38"/>
      <c r="J289" s="38"/>
    </row>
    <row r="290" customFormat="false" ht="15" hidden="false" customHeight="false" outlineLevel="0" collapsed="false">
      <c r="B290" s="35"/>
      <c r="D290" s="36"/>
      <c r="E290" s="37"/>
      <c r="F290" s="38"/>
      <c r="J290" s="38"/>
    </row>
    <row r="291" customFormat="false" ht="15" hidden="false" customHeight="false" outlineLevel="0" collapsed="false">
      <c r="B291" s="35"/>
      <c r="D291" s="36"/>
      <c r="E291" s="37"/>
      <c r="F291" s="38"/>
      <c r="J291" s="38"/>
    </row>
    <row r="292" customFormat="false" ht="15" hidden="false" customHeight="false" outlineLevel="0" collapsed="false">
      <c r="B292" s="35"/>
      <c r="D292" s="36"/>
      <c r="E292" s="37"/>
      <c r="F292" s="38"/>
      <c r="J292" s="38"/>
    </row>
    <row r="293" customFormat="false" ht="15" hidden="false" customHeight="false" outlineLevel="0" collapsed="false">
      <c r="B293" s="35"/>
      <c r="D293" s="36"/>
      <c r="E293" s="37"/>
      <c r="F293" s="38"/>
      <c r="J293" s="38"/>
    </row>
    <row r="294" customFormat="false" ht="15" hidden="false" customHeight="false" outlineLevel="0" collapsed="false">
      <c r="B294" s="35"/>
      <c r="D294" s="36"/>
      <c r="E294" s="37"/>
      <c r="F294" s="38"/>
      <c r="J294" s="38"/>
    </row>
    <row r="295" customFormat="false" ht="15" hidden="false" customHeight="false" outlineLevel="0" collapsed="false">
      <c r="B295" s="35"/>
      <c r="D295" s="36"/>
      <c r="E295" s="37"/>
      <c r="F295" s="38"/>
      <c r="J295" s="38"/>
    </row>
    <row r="296" customFormat="false" ht="15" hidden="false" customHeight="false" outlineLevel="0" collapsed="false">
      <c r="B296" s="35"/>
      <c r="D296" s="36"/>
      <c r="E296" s="37"/>
      <c r="F296" s="38"/>
      <c r="J296" s="38"/>
    </row>
    <row r="297" customFormat="false" ht="15" hidden="false" customHeight="false" outlineLevel="0" collapsed="false">
      <c r="B297" s="35"/>
      <c r="D297" s="36"/>
      <c r="E297" s="37"/>
      <c r="F297" s="38"/>
      <c r="J297" s="38"/>
    </row>
    <row r="298" customFormat="false" ht="15" hidden="false" customHeight="false" outlineLevel="0" collapsed="false">
      <c r="B298" s="35"/>
      <c r="D298" s="36"/>
      <c r="E298" s="37"/>
      <c r="F298" s="38"/>
      <c r="J298" s="38"/>
    </row>
    <row r="299" customFormat="false" ht="15" hidden="false" customHeight="false" outlineLevel="0" collapsed="false">
      <c r="B299" s="35"/>
      <c r="D299" s="36"/>
      <c r="E299" s="37"/>
      <c r="F299" s="38"/>
      <c r="J299" s="38"/>
    </row>
    <row r="300" customFormat="false" ht="15" hidden="false" customHeight="false" outlineLevel="0" collapsed="false">
      <c r="B300" s="35"/>
      <c r="D300" s="36"/>
      <c r="E300" s="37"/>
      <c r="F300" s="38"/>
      <c r="J300" s="38"/>
    </row>
    <row r="301" customFormat="false" ht="15" hidden="false" customHeight="false" outlineLevel="0" collapsed="false">
      <c r="B301" s="35"/>
      <c r="D301" s="36"/>
      <c r="E301" s="37"/>
      <c r="F301" s="38"/>
      <c r="J301" s="38"/>
    </row>
    <row r="302" customFormat="false" ht="15" hidden="false" customHeight="false" outlineLevel="0" collapsed="false">
      <c r="B302" s="35"/>
      <c r="D302" s="36"/>
      <c r="E302" s="37"/>
      <c r="F302" s="38"/>
      <c r="J302" s="38"/>
    </row>
    <row r="303" customFormat="false" ht="15" hidden="false" customHeight="false" outlineLevel="0" collapsed="false">
      <c r="B303" s="35"/>
      <c r="D303" s="36"/>
      <c r="E303" s="37"/>
      <c r="F303" s="38"/>
      <c r="J303" s="38"/>
    </row>
    <row r="304" customFormat="false" ht="15" hidden="false" customHeight="false" outlineLevel="0" collapsed="false">
      <c r="B304" s="35"/>
      <c r="D304" s="36"/>
      <c r="E304" s="37"/>
      <c r="F304" s="38"/>
      <c r="J304" s="38"/>
    </row>
    <row r="305" customFormat="false" ht="15" hidden="false" customHeight="false" outlineLevel="0" collapsed="false">
      <c r="B305" s="35"/>
      <c r="D305" s="36"/>
      <c r="E305" s="37"/>
      <c r="F305" s="38"/>
      <c r="J305" s="38"/>
    </row>
    <row r="306" customFormat="false" ht="15" hidden="false" customHeight="false" outlineLevel="0" collapsed="false">
      <c r="B306" s="35"/>
      <c r="D306" s="36"/>
      <c r="E306" s="37"/>
      <c r="F306" s="38"/>
      <c r="J306" s="38"/>
    </row>
    <row r="307" customFormat="false" ht="15" hidden="false" customHeight="false" outlineLevel="0" collapsed="false">
      <c r="B307" s="35"/>
      <c r="D307" s="36"/>
      <c r="E307" s="37"/>
      <c r="F307" s="38"/>
      <c r="J307" s="38"/>
    </row>
    <row r="308" customFormat="false" ht="15" hidden="false" customHeight="false" outlineLevel="0" collapsed="false">
      <c r="B308" s="35"/>
      <c r="D308" s="36"/>
      <c r="E308" s="37"/>
      <c r="F308" s="38"/>
      <c r="J308" s="38"/>
    </row>
    <row r="309" customFormat="false" ht="15" hidden="false" customHeight="false" outlineLevel="0" collapsed="false">
      <c r="B309" s="35"/>
      <c r="D309" s="36"/>
      <c r="E309" s="37"/>
      <c r="F309" s="38"/>
      <c r="J309" s="38"/>
    </row>
    <row r="310" customFormat="false" ht="15" hidden="false" customHeight="false" outlineLevel="0" collapsed="false">
      <c r="B310" s="35"/>
      <c r="D310" s="36"/>
      <c r="E310" s="37"/>
      <c r="F310" s="38"/>
      <c r="J310" s="38"/>
    </row>
    <row r="311" customFormat="false" ht="15" hidden="false" customHeight="false" outlineLevel="0" collapsed="false">
      <c r="B311" s="35"/>
      <c r="D311" s="36"/>
      <c r="E311" s="37"/>
      <c r="F311" s="38"/>
      <c r="J311" s="38"/>
    </row>
    <row r="312" customFormat="false" ht="15" hidden="false" customHeight="false" outlineLevel="0" collapsed="false">
      <c r="B312" s="35"/>
      <c r="D312" s="36"/>
      <c r="E312" s="37"/>
      <c r="F312" s="38"/>
      <c r="J312" s="38"/>
    </row>
    <row r="313" customFormat="false" ht="15" hidden="false" customHeight="false" outlineLevel="0" collapsed="false">
      <c r="B313" s="35"/>
      <c r="D313" s="36"/>
      <c r="E313" s="37"/>
      <c r="F313" s="38"/>
      <c r="J313" s="38"/>
    </row>
    <row r="314" customFormat="false" ht="15" hidden="false" customHeight="false" outlineLevel="0" collapsed="false">
      <c r="B314" s="35"/>
      <c r="D314" s="36"/>
      <c r="E314" s="37"/>
      <c r="F314" s="38"/>
      <c r="J314" s="38"/>
    </row>
    <row r="315" customFormat="false" ht="15" hidden="false" customHeight="false" outlineLevel="0" collapsed="false">
      <c r="B315" s="35"/>
      <c r="D315" s="36"/>
      <c r="E315" s="37"/>
      <c r="F315" s="38"/>
      <c r="J315" s="38"/>
    </row>
    <row r="316" customFormat="false" ht="15" hidden="false" customHeight="false" outlineLevel="0" collapsed="false">
      <c r="B316" s="35"/>
      <c r="D316" s="36"/>
      <c r="E316" s="37"/>
      <c r="F316" s="38"/>
      <c r="J316" s="38"/>
    </row>
    <row r="317" customFormat="false" ht="15" hidden="false" customHeight="false" outlineLevel="0" collapsed="false">
      <c r="B317" s="35"/>
      <c r="D317" s="36"/>
      <c r="E317" s="37"/>
      <c r="F317" s="38"/>
      <c r="J317" s="38"/>
    </row>
    <row r="318" customFormat="false" ht="15" hidden="false" customHeight="false" outlineLevel="0" collapsed="false">
      <c r="B318" s="35"/>
      <c r="D318" s="36"/>
      <c r="E318" s="37"/>
      <c r="F318" s="38"/>
      <c r="J318" s="38"/>
    </row>
    <row r="319" customFormat="false" ht="15" hidden="false" customHeight="false" outlineLevel="0" collapsed="false">
      <c r="B319" s="35"/>
      <c r="D319" s="36"/>
      <c r="E319" s="37"/>
      <c r="F319" s="38"/>
      <c r="J319" s="38"/>
    </row>
    <row r="320" customFormat="false" ht="15" hidden="false" customHeight="false" outlineLevel="0" collapsed="false">
      <c r="B320" s="35"/>
      <c r="D320" s="36"/>
      <c r="E320" s="37"/>
      <c r="F320" s="38"/>
      <c r="J320" s="38"/>
    </row>
    <row r="321" customFormat="false" ht="15" hidden="false" customHeight="false" outlineLevel="0" collapsed="false">
      <c r="B321" s="35"/>
      <c r="D321" s="36"/>
      <c r="E321" s="37"/>
      <c r="F321" s="38"/>
      <c r="J321" s="38"/>
    </row>
    <row r="322" customFormat="false" ht="15" hidden="false" customHeight="false" outlineLevel="0" collapsed="false">
      <c r="B322" s="35"/>
      <c r="D322" s="36"/>
      <c r="E322" s="37"/>
      <c r="F322" s="38"/>
      <c r="J322" s="38"/>
    </row>
    <row r="323" customFormat="false" ht="15" hidden="false" customHeight="false" outlineLevel="0" collapsed="false">
      <c r="B323" s="35"/>
      <c r="D323" s="36"/>
      <c r="E323" s="37"/>
      <c r="F323" s="38"/>
      <c r="J323" s="38"/>
    </row>
    <row r="324" customFormat="false" ht="15" hidden="false" customHeight="false" outlineLevel="0" collapsed="false">
      <c r="B324" s="35"/>
      <c r="D324" s="36"/>
      <c r="E324" s="37"/>
      <c r="F324" s="38"/>
      <c r="J324" s="38"/>
    </row>
    <row r="325" customFormat="false" ht="15" hidden="false" customHeight="false" outlineLevel="0" collapsed="false">
      <c r="B325" s="35"/>
      <c r="D325" s="36"/>
      <c r="E325" s="37"/>
      <c r="F325" s="38"/>
      <c r="J325" s="38"/>
    </row>
    <row r="326" customFormat="false" ht="15" hidden="false" customHeight="false" outlineLevel="0" collapsed="false">
      <c r="B326" s="35"/>
      <c r="D326" s="36"/>
      <c r="E326" s="37"/>
      <c r="F326" s="38"/>
      <c r="J326" s="38"/>
    </row>
    <row r="327" customFormat="false" ht="15" hidden="false" customHeight="false" outlineLevel="0" collapsed="false">
      <c r="B327" s="35"/>
      <c r="D327" s="36"/>
      <c r="E327" s="37"/>
      <c r="F327" s="38"/>
      <c r="J327" s="38"/>
    </row>
    <row r="328" customFormat="false" ht="15" hidden="false" customHeight="false" outlineLevel="0" collapsed="false">
      <c r="B328" s="35"/>
      <c r="D328" s="36"/>
      <c r="E328" s="37"/>
      <c r="F328" s="38"/>
      <c r="J328" s="38"/>
    </row>
    <row r="329" customFormat="false" ht="15" hidden="false" customHeight="false" outlineLevel="0" collapsed="false">
      <c r="B329" s="35"/>
      <c r="D329" s="36"/>
      <c r="E329" s="37"/>
      <c r="F329" s="38"/>
      <c r="J329" s="38"/>
    </row>
    <row r="330" customFormat="false" ht="15" hidden="false" customHeight="false" outlineLevel="0" collapsed="false">
      <c r="B330" s="35"/>
      <c r="D330" s="36"/>
      <c r="E330" s="37"/>
      <c r="F330" s="38"/>
      <c r="J330" s="38"/>
    </row>
    <row r="331" customFormat="false" ht="15" hidden="false" customHeight="false" outlineLevel="0" collapsed="false">
      <c r="B331" s="35"/>
      <c r="D331" s="36"/>
      <c r="E331" s="37"/>
      <c r="F331" s="38"/>
      <c r="J331" s="38"/>
    </row>
    <row r="332" customFormat="false" ht="15" hidden="false" customHeight="false" outlineLevel="0" collapsed="false">
      <c r="B332" s="35"/>
      <c r="D332" s="36"/>
      <c r="E332" s="37"/>
      <c r="F332" s="38"/>
      <c r="J332" s="38"/>
    </row>
    <row r="333" customFormat="false" ht="15" hidden="false" customHeight="false" outlineLevel="0" collapsed="false">
      <c r="B333" s="35"/>
      <c r="D333" s="36"/>
      <c r="E333" s="37"/>
      <c r="F333" s="38"/>
      <c r="J333" s="38"/>
    </row>
    <row r="334" customFormat="false" ht="15" hidden="false" customHeight="false" outlineLevel="0" collapsed="false">
      <c r="B334" s="35"/>
      <c r="D334" s="36"/>
      <c r="E334" s="37"/>
      <c r="F334" s="38"/>
      <c r="J334" s="38"/>
    </row>
    <row r="335" customFormat="false" ht="15" hidden="false" customHeight="false" outlineLevel="0" collapsed="false">
      <c r="B335" s="35"/>
      <c r="D335" s="36"/>
      <c r="E335" s="37"/>
      <c r="F335" s="38"/>
      <c r="J335" s="38"/>
    </row>
    <row r="336" customFormat="false" ht="15" hidden="false" customHeight="false" outlineLevel="0" collapsed="false">
      <c r="B336" s="35"/>
      <c r="D336" s="36"/>
      <c r="E336" s="37"/>
      <c r="F336" s="38"/>
      <c r="J336" s="38"/>
    </row>
    <row r="337" customFormat="false" ht="15" hidden="false" customHeight="false" outlineLevel="0" collapsed="false">
      <c r="B337" s="35"/>
      <c r="D337" s="36"/>
      <c r="E337" s="37"/>
      <c r="F337" s="38"/>
      <c r="J337" s="38"/>
    </row>
    <row r="338" customFormat="false" ht="15" hidden="false" customHeight="false" outlineLevel="0" collapsed="false">
      <c r="B338" s="35"/>
      <c r="D338" s="36"/>
      <c r="E338" s="37"/>
      <c r="F338" s="38"/>
      <c r="J338" s="38"/>
    </row>
    <row r="339" customFormat="false" ht="15" hidden="false" customHeight="false" outlineLevel="0" collapsed="false">
      <c r="B339" s="35"/>
      <c r="D339" s="36"/>
      <c r="E339" s="37"/>
      <c r="F339" s="38"/>
      <c r="J339" s="38"/>
    </row>
    <row r="340" customFormat="false" ht="15" hidden="false" customHeight="false" outlineLevel="0" collapsed="false">
      <c r="B340" s="35"/>
      <c r="D340" s="36"/>
      <c r="E340" s="37"/>
      <c r="F340" s="38"/>
      <c r="J340" s="38"/>
    </row>
    <row r="341" customFormat="false" ht="15" hidden="false" customHeight="false" outlineLevel="0" collapsed="false">
      <c r="B341" s="35"/>
      <c r="D341" s="36"/>
      <c r="E341" s="37"/>
      <c r="F341" s="38"/>
      <c r="J341" s="38"/>
    </row>
    <row r="342" customFormat="false" ht="15" hidden="false" customHeight="false" outlineLevel="0" collapsed="false">
      <c r="B342" s="35"/>
      <c r="D342" s="36"/>
      <c r="E342" s="37"/>
      <c r="F342" s="38"/>
      <c r="J342" s="38"/>
    </row>
    <row r="343" customFormat="false" ht="15" hidden="false" customHeight="false" outlineLevel="0" collapsed="false">
      <c r="B343" s="35"/>
      <c r="D343" s="36"/>
      <c r="E343" s="37"/>
      <c r="F343" s="38"/>
      <c r="J343" s="38"/>
    </row>
    <row r="344" customFormat="false" ht="15" hidden="false" customHeight="false" outlineLevel="0" collapsed="false">
      <c r="B344" s="35"/>
      <c r="D344" s="36"/>
      <c r="E344" s="37"/>
      <c r="F344" s="38"/>
      <c r="J344" s="38"/>
    </row>
    <row r="345" customFormat="false" ht="15" hidden="false" customHeight="false" outlineLevel="0" collapsed="false">
      <c r="B345" s="35"/>
      <c r="D345" s="36"/>
      <c r="E345" s="37"/>
      <c r="F345" s="38"/>
      <c r="J345" s="38"/>
    </row>
    <row r="346" customFormat="false" ht="15" hidden="false" customHeight="false" outlineLevel="0" collapsed="false">
      <c r="B346" s="35"/>
      <c r="D346" s="36"/>
      <c r="E346" s="37"/>
      <c r="F346" s="38"/>
      <c r="J346" s="38"/>
    </row>
    <row r="347" customFormat="false" ht="15" hidden="false" customHeight="false" outlineLevel="0" collapsed="false">
      <c r="B347" s="35"/>
      <c r="D347" s="36"/>
      <c r="E347" s="37"/>
      <c r="F347" s="38"/>
      <c r="J347" s="38"/>
    </row>
    <row r="348" customFormat="false" ht="15" hidden="false" customHeight="false" outlineLevel="0" collapsed="false">
      <c r="B348" s="35"/>
      <c r="D348" s="36"/>
      <c r="E348" s="37"/>
      <c r="F348" s="38"/>
      <c r="J348" s="38"/>
    </row>
    <row r="349" customFormat="false" ht="15" hidden="false" customHeight="false" outlineLevel="0" collapsed="false">
      <c r="B349" s="35"/>
      <c r="D349" s="36"/>
      <c r="E349" s="37"/>
      <c r="F349" s="38"/>
      <c r="J349" s="38"/>
    </row>
    <row r="350" customFormat="false" ht="15" hidden="false" customHeight="false" outlineLevel="0" collapsed="false">
      <c r="B350" s="35"/>
      <c r="D350" s="36"/>
      <c r="E350" s="37"/>
      <c r="F350" s="38"/>
      <c r="J350" s="38"/>
    </row>
    <row r="351" customFormat="false" ht="15" hidden="false" customHeight="false" outlineLevel="0" collapsed="false">
      <c r="B351" s="35"/>
      <c r="D351" s="36"/>
      <c r="E351" s="37"/>
      <c r="F351" s="38"/>
      <c r="J351" s="38"/>
    </row>
    <row r="352" customFormat="false" ht="15" hidden="false" customHeight="false" outlineLevel="0" collapsed="false">
      <c r="B352" s="35"/>
      <c r="D352" s="36"/>
      <c r="E352" s="37"/>
      <c r="F352" s="38"/>
      <c r="J352" s="38"/>
    </row>
    <row r="353" customFormat="false" ht="15" hidden="false" customHeight="false" outlineLevel="0" collapsed="false">
      <c r="B353" s="35"/>
      <c r="D353" s="36"/>
      <c r="E353" s="37"/>
      <c r="F353" s="38"/>
      <c r="J353" s="38"/>
    </row>
    <row r="354" customFormat="false" ht="15" hidden="false" customHeight="false" outlineLevel="0" collapsed="false">
      <c r="B354" s="35"/>
      <c r="D354" s="36"/>
      <c r="E354" s="37"/>
      <c r="F354" s="38"/>
      <c r="J354" s="38"/>
    </row>
    <row r="355" customFormat="false" ht="15" hidden="false" customHeight="false" outlineLevel="0" collapsed="false">
      <c r="B355" s="35"/>
      <c r="D355" s="36"/>
      <c r="E355" s="37"/>
      <c r="F355" s="38"/>
      <c r="J355" s="38"/>
    </row>
    <row r="356" customFormat="false" ht="15" hidden="false" customHeight="false" outlineLevel="0" collapsed="false">
      <c r="B356" s="35"/>
      <c r="D356" s="36"/>
      <c r="E356" s="37"/>
      <c r="F356" s="38"/>
      <c r="J356" s="38"/>
    </row>
    <row r="357" customFormat="false" ht="15" hidden="false" customHeight="false" outlineLevel="0" collapsed="false">
      <c r="B357" s="35"/>
      <c r="D357" s="36"/>
      <c r="E357" s="37"/>
      <c r="F357" s="38"/>
      <c r="J357" s="38"/>
    </row>
    <row r="358" customFormat="false" ht="15" hidden="false" customHeight="false" outlineLevel="0" collapsed="false">
      <c r="B358" s="35"/>
      <c r="D358" s="36"/>
      <c r="E358" s="37"/>
      <c r="F358" s="38"/>
      <c r="J358" s="38"/>
    </row>
    <row r="359" customFormat="false" ht="15" hidden="false" customHeight="false" outlineLevel="0" collapsed="false">
      <c r="B359" s="35"/>
      <c r="D359" s="36"/>
      <c r="E359" s="37"/>
      <c r="F359" s="38"/>
      <c r="J359" s="38"/>
    </row>
    <row r="360" customFormat="false" ht="15" hidden="false" customHeight="false" outlineLevel="0" collapsed="false">
      <c r="B360" s="35"/>
      <c r="D360" s="36"/>
      <c r="E360" s="37"/>
      <c r="F360" s="38"/>
      <c r="J360" s="38"/>
    </row>
    <row r="361" customFormat="false" ht="15" hidden="false" customHeight="false" outlineLevel="0" collapsed="false">
      <c r="B361" s="35"/>
      <c r="D361" s="36"/>
      <c r="E361" s="37"/>
      <c r="F361" s="38"/>
      <c r="J361" s="38"/>
    </row>
    <row r="362" customFormat="false" ht="15" hidden="false" customHeight="false" outlineLevel="0" collapsed="false">
      <c r="B362" s="35"/>
      <c r="D362" s="36"/>
      <c r="E362" s="37"/>
      <c r="F362" s="38"/>
      <c r="J362" s="38"/>
    </row>
    <row r="363" customFormat="false" ht="15" hidden="false" customHeight="false" outlineLevel="0" collapsed="false">
      <c r="B363" s="35"/>
      <c r="D363" s="36"/>
      <c r="E363" s="37"/>
      <c r="F363" s="38"/>
      <c r="J363" s="38"/>
    </row>
    <row r="364" customFormat="false" ht="15" hidden="false" customHeight="false" outlineLevel="0" collapsed="false">
      <c r="B364" s="35"/>
      <c r="D364" s="36"/>
      <c r="E364" s="37"/>
      <c r="F364" s="38"/>
      <c r="J364" s="38"/>
    </row>
    <row r="365" customFormat="false" ht="15" hidden="false" customHeight="false" outlineLevel="0" collapsed="false">
      <c r="B365" s="35"/>
      <c r="D365" s="36"/>
      <c r="E365" s="37"/>
      <c r="F365" s="38"/>
      <c r="J365" s="38"/>
    </row>
    <row r="366" customFormat="false" ht="15" hidden="false" customHeight="false" outlineLevel="0" collapsed="false">
      <c r="B366" s="35"/>
      <c r="D366" s="36"/>
      <c r="E366" s="37"/>
      <c r="F366" s="38"/>
      <c r="J366" s="38"/>
    </row>
    <row r="367" customFormat="false" ht="15" hidden="false" customHeight="false" outlineLevel="0" collapsed="false">
      <c r="B367" s="35"/>
      <c r="D367" s="36"/>
      <c r="E367" s="37"/>
      <c r="F367" s="38"/>
      <c r="J367" s="38"/>
    </row>
    <row r="368" customFormat="false" ht="15" hidden="false" customHeight="false" outlineLevel="0" collapsed="false">
      <c r="B368" s="35"/>
      <c r="D368" s="36"/>
      <c r="E368" s="37"/>
      <c r="F368" s="38"/>
      <c r="J368" s="38"/>
    </row>
    <row r="369" customFormat="false" ht="15" hidden="false" customHeight="false" outlineLevel="0" collapsed="false">
      <c r="B369" s="35"/>
      <c r="D369" s="36"/>
      <c r="E369" s="37"/>
      <c r="F369" s="38"/>
      <c r="J369" s="38"/>
    </row>
    <row r="370" customFormat="false" ht="15" hidden="false" customHeight="false" outlineLevel="0" collapsed="false">
      <c r="B370" s="35"/>
      <c r="D370" s="36"/>
      <c r="E370" s="37"/>
      <c r="F370" s="38"/>
      <c r="J370" s="38"/>
    </row>
    <row r="371" customFormat="false" ht="15" hidden="false" customHeight="false" outlineLevel="0" collapsed="false">
      <c r="B371" s="35"/>
      <c r="D371" s="36"/>
      <c r="E371" s="37"/>
      <c r="F371" s="38"/>
      <c r="J371" s="38"/>
    </row>
    <row r="372" customFormat="false" ht="15" hidden="false" customHeight="false" outlineLevel="0" collapsed="false">
      <c r="B372" s="35"/>
      <c r="D372" s="36"/>
      <c r="E372" s="37"/>
      <c r="F372" s="38"/>
      <c r="J372" s="38"/>
    </row>
    <row r="373" customFormat="false" ht="15" hidden="false" customHeight="false" outlineLevel="0" collapsed="false">
      <c r="B373" s="35"/>
      <c r="D373" s="36"/>
      <c r="E373" s="37"/>
      <c r="F373" s="38"/>
      <c r="J373" s="38"/>
    </row>
    <row r="374" customFormat="false" ht="15" hidden="false" customHeight="false" outlineLevel="0" collapsed="false">
      <c r="B374" s="35"/>
      <c r="D374" s="36"/>
      <c r="E374" s="37"/>
      <c r="F374" s="38"/>
      <c r="J374" s="38"/>
    </row>
    <row r="375" customFormat="false" ht="15" hidden="false" customHeight="false" outlineLevel="0" collapsed="false">
      <c r="B375" s="35"/>
      <c r="D375" s="36"/>
      <c r="E375" s="37"/>
      <c r="F375" s="38"/>
      <c r="J375" s="38"/>
    </row>
    <row r="376" customFormat="false" ht="15" hidden="false" customHeight="false" outlineLevel="0" collapsed="false">
      <c r="B376" s="35"/>
      <c r="D376" s="36"/>
      <c r="E376" s="37"/>
      <c r="F376" s="38"/>
      <c r="J376" s="38"/>
    </row>
    <row r="377" customFormat="false" ht="15" hidden="false" customHeight="false" outlineLevel="0" collapsed="false">
      <c r="B377" s="35"/>
      <c r="D377" s="36"/>
      <c r="E377" s="37"/>
      <c r="F377" s="38"/>
      <c r="J377" s="38"/>
    </row>
    <row r="378" customFormat="false" ht="15" hidden="false" customHeight="false" outlineLevel="0" collapsed="false">
      <c r="B378" s="35"/>
      <c r="D378" s="36"/>
      <c r="E378" s="37"/>
      <c r="F378" s="38"/>
      <c r="J378" s="38"/>
    </row>
    <row r="379" customFormat="false" ht="15" hidden="false" customHeight="false" outlineLevel="0" collapsed="false">
      <c r="B379" s="35"/>
      <c r="D379" s="36"/>
      <c r="E379" s="37"/>
      <c r="F379" s="38"/>
      <c r="J379" s="38"/>
    </row>
    <row r="380" customFormat="false" ht="15" hidden="false" customHeight="false" outlineLevel="0" collapsed="false">
      <c r="B380" s="35"/>
      <c r="D380" s="36"/>
      <c r="E380" s="37"/>
      <c r="F380" s="38"/>
      <c r="J380" s="38"/>
    </row>
    <row r="381" customFormat="false" ht="15" hidden="false" customHeight="false" outlineLevel="0" collapsed="false">
      <c r="B381" s="35"/>
      <c r="D381" s="36"/>
      <c r="E381" s="37"/>
      <c r="F381" s="38"/>
      <c r="J381" s="38"/>
    </row>
    <row r="382" customFormat="false" ht="15" hidden="false" customHeight="false" outlineLevel="0" collapsed="false">
      <c r="B382" s="35"/>
      <c r="D382" s="36"/>
      <c r="E382" s="37"/>
      <c r="F382" s="38"/>
      <c r="J382" s="38"/>
    </row>
    <row r="383" customFormat="false" ht="15" hidden="false" customHeight="false" outlineLevel="0" collapsed="false">
      <c r="B383" s="35"/>
      <c r="D383" s="36"/>
      <c r="E383" s="37"/>
      <c r="F383" s="38"/>
      <c r="J383" s="38"/>
    </row>
    <row r="384" customFormat="false" ht="15" hidden="false" customHeight="false" outlineLevel="0" collapsed="false">
      <c r="B384" s="35"/>
      <c r="D384" s="36"/>
      <c r="E384" s="37"/>
      <c r="F384" s="38"/>
      <c r="J384" s="38"/>
    </row>
    <row r="385" customFormat="false" ht="15" hidden="false" customHeight="false" outlineLevel="0" collapsed="false">
      <c r="B385" s="35"/>
      <c r="D385" s="36"/>
      <c r="E385" s="37"/>
      <c r="F385" s="38"/>
      <c r="J385" s="38"/>
    </row>
    <row r="386" customFormat="false" ht="15" hidden="false" customHeight="false" outlineLevel="0" collapsed="false">
      <c r="B386" s="35"/>
      <c r="D386" s="36"/>
      <c r="E386" s="37"/>
      <c r="F386" s="38"/>
      <c r="J386" s="38"/>
    </row>
    <row r="387" customFormat="false" ht="15" hidden="false" customHeight="false" outlineLevel="0" collapsed="false">
      <c r="B387" s="35"/>
      <c r="D387" s="36"/>
      <c r="E387" s="37"/>
      <c r="F387" s="38"/>
      <c r="J387" s="38"/>
    </row>
    <row r="388" customFormat="false" ht="15" hidden="false" customHeight="false" outlineLevel="0" collapsed="false">
      <c r="B388" s="35"/>
      <c r="D388" s="36"/>
      <c r="E388" s="37"/>
      <c r="F388" s="38"/>
      <c r="J388" s="38"/>
    </row>
    <row r="389" customFormat="false" ht="15" hidden="false" customHeight="false" outlineLevel="0" collapsed="false">
      <c r="B389" s="35"/>
      <c r="D389" s="36"/>
      <c r="E389" s="37"/>
      <c r="F389" s="38"/>
      <c r="J389" s="38"/>
    </row>
    <row r="390" customFormat="false" ht="15" hidden="false" customHeight="false" outlineLevel="0" collapsed="false">
      <c r="B390" s="35"/>
      <c r="D390" s="36"/>
      <c r="E390" s="37"/>
      <c r="F390" s="38"/>
      <c r="J390" s="38"/>
    </row>
    <row r="391" customFormat="false" ht="15" hidden="false" customHeight="false" outlineLevel="0" collapsed="false">
      <c r="B391" s="35"/>
      <c r="D391" s="36"/>
      <c r="E391" s="37"/>
      <c r="F391" s="38"/>
      <c r="J391" s="38"/>
    </row>
    <row r="392" customFormat="false" ht="15" hidden="false" customHeight="false" outlineLevel="0" collapsed="false">
      <c r="B392" s="35"/>
      <c r="D392" s="36"/>
      <c r="E392" s="37"/>
      <c r="F392" s="38"/>
      <c r="J392" s="38"/>
    </row>
    <row r="393" customFormat="false" ht="15" hidden="false" customHeight="false" outlineLevel="0" collapsed="false">
      <c r="B393" s="35"/>
      <c r="D393" s="36"/>
      <c r="E393" s="37"/>
      <c r="F393" s="38"/>
      <c r="J393" s="38"/>
    </row>
    <row r="394" customFormat="false" ht="15" hidden="false" customHeight="false" outlineLevel="0" collapsed="false">
      <c r="B394" s="35"/>
      <c r="D394" s="36"/>
      <c r="E394" s="37"/>
      <c r="F394" s="38"/>
      <c r="J394" s="38"/>
    </row>
    <row r="395" customFormat="false" ht="15" hidden="false" customHeight="false" outlineLevel="0" collapsed="false">
      <c r="B395" s="35"/>
      <c r="D395" s="36"/>
      <c r="E395" s="37"/>
      <c r="F395" s="38"/>
      <c r="J395" s="38"/>
    </row>
    <row r="396" customFormat="false" ht="15" hidden="false" customHeight="false" outlineLevel="0" collapsed="false">
      <c r="B396" s="35"/>
      <c r="D396" s="36"/>
      <c r="E396" s="37"/>
      <c r="F396" s="38"/>
      <c r="J396" s="38"/>
    </row>
    <row r="397" customFormat="false" ht="15" hidden="false" customHeight="false" outlineLevel="0" collapsed="false">
      <c r="B397" s="35"/>
      <c r="D397" s="36"/>
      <c r="E397" s="37"/>
      <c r="F397" s="38"/>
      <c r="J397" s="38"/>
    </row>
    <row r="398" customFormat="false" ht="15" hidden="false" customHeight="false" outlineLevel="0" collapsed="false">
      <c r="B398" s="35"/>
      <c r="D398" s="36"/>
      <c r="E398" s="37"/>
      <c r="F398" s="38"/>
      <c r="J398" s="38"/>
    </row>
    <row r="399" customFormat="false" ht="15" hidden="false" customHeight="false" outlineLevel="0" collapsed="false">
      <c r="B399" s="35"/>
      <c r="D399" s="36"/>
      <c r="E399" s="37"/>
      <c r="F399" s="38"/>
      <c r="J399" s="38"/>
    </row>
    <row r="400" customFormat="false" ht="15" hidden="false" customHeight="false" outlineLevel="0" collapsed="false">
      <c r="B400" s="35"/>
      <c r="D400" s="36"/>
      <c r="E400" s="37"/>
      <c r="F400" s="38"/>
      <c r="J400" s="38"/>
    </row>
    <row r="401" customFormat="false" ht="15" hidden="false" customHeight="false" outlineLevel="0" collapsed="false">
      <c r="B401" s="35"/>
      <c r="D401" s="36"/>
      <c r="E401" s="37"/>
      <c r="F401" s="38"/>
      <c r="J401" s="38"/>
    </row>
    <row r="402" customFormat="false" ht="15" hidden="false" customHeight="false" outlineLevel="0" collapsed="false">
      <c r="B402" s="35"/>
      <c r="D402" s="36"/>
      <c r="E402" s="37"/>
      <c r="F402" s="38"/>
      <c r="J402" s="38"/>
    </row>
    <row r="403" customFormat="false" ht="15" hidden="false" customHeight="false" outlineLevel="0" collapsed="false">
      <c r="B403" s="35"/>
      <c r="D403" s="36"/>
      <c r="E403" s="37"/>
      <c r="F403" s="38"/>
      <c r="J403" s="38"/>
    </row>
    <row r="404" customFormat="false" ht="15" hidden="false" customHeight="false" outlineLevel="0" collapsed="false">
      <c r="B404" s="35"/>
      <c r="D404" s="36"/>
      <c r="E404" s="37"/>
      <c r="F404" s="38"/>
      <c r="J404" s="38"/>
    </row>
    <row r="405" customFormat="false" ht="15" hidden="false" customHeight="false" outlineLevel="0" collapsed="false">
      <c r="B405" s="35"/>
      <c r="D405" s="36"/>
      <c r="E405" s="37"/>
      <c r="F405" s="38"/>
      <c r="J405" s="38"/>
    </row>
    <row r="406" customFormat="false" ht="15" hidden="false" customHeight="false" outlineLevel="0" collapsed="false">
      <c r="B406" s="35"/>
      <c r="D406" s="36"/>
      <c r="E406" s="37"/>
      <c r="F406" s="38"/>
      <c r="J406" s="38"/>
    </row>
    <row r="407" customFormat="false" ht="15" hidden="false" customHeight="false" outlineLevel="0" collapsed="false">
      <c r="B407" s="35"/>
      <c r="D407" s="36"/>
      <c r="E407" s="37"/>
      <c r="F407" s="38"/>
      <c r="J407" s="38"/>
    </row>
    <row r="408" customFormat="false" ht="15" hidden="false" customHeight="false" outlineLevel="0" collapsed="false">
      <c r="B408" s="35"/>
      <c r="D408" s="36"/>
      <c r="E408" s="37"/>
      <c r="F408" s="38"/>
      <c r="J408" s="38"/>
    </row>
    <row r="409" customFormat="false" ht="15" hidden="false" customHeight="false" outlineLevel="0" collapsed="false">
      <c r="B409" s="35"/>
      <c r="D409" s="36"/>
      <c r="E409" s="37"/>
      <c r="F409" s="38"/>
      <c r="J409" s="38"/>
    </row>
    <row r="410" customFormat="false" ht="15" hidden="false" customHeight="false" outlineLevel="0" collapsed="false">
      <c r="B410" s="35"/>
      <c r="D410" s="36"/>
      <c r="E410" s="37"/>
      <c r="F410" s="38"/>
      <c r="J410" s="38"/>
    </row>
    <row r="411" customFormat="false" ht="15" hidden="false" customHeight="false" outlineLevel="0" collapsed="false">
      <c r="B411" s="35"/>
      <c r="D411" s="36"/>
      <c r="E411" s="37"/>
      <c r="F411" s="38"/>
      <c r="J411" s="38"/>
    </row>
    <row r="412" customFormat="false" ht="15" hidden="false" customHeight="false" outlineLevel="0" collapsed="false">
      <c r="B412" s="35"/>
      <c r="D412" s="36"/>
      <c r="E412" s="37"/>
      <c r="F412" s="38"/>
      <c r="J412" s="38"/>
    </row>
    <row r="413" customFormat="false" ht="15" hidden="false" customHeight="false" outlineLevel="0" collapsed="false">
      <c r="B413" s="35"/>
      <c r="D413" s="36"/>
      <c r="E413" s="37"/>
      <c r="F413" s="38"/>
      <c r="J413" s="38"/>
    </row>
    <row r="414" customFormat="false" ht="15" hidden="false" customHeight="false" outlineLevel="0" collapsed="false">
      <c r="B414" s="35"/>
      <c r="D414" s="36"/>
      <c r="E414" s="37"/>
      <c r="F414" s="38"/>
      <c r="J414" s="38"/>
    </row>
    <row r="415" customFormat="false" ht="15" hidden="false" customHeight="false" outlineLevel="0" collapsed="false">
      <c r="B415" s="35"/>
      <c r="D415" s="36"/>
      <c r="E415" s="37"/>
      <c r="F415" s="38"/>
      <c r="J415" s="38"/>
    </row>
    <row r="416" customFormat="false" ht="15" hidden="false" customHeight="false" outlineLevel="0" collapsed="false">
      <c r="B416" s="35"/>
      <c r="D416" s="36"/>
      <c r="E416" s="37"/>
      <c r="F416" s="38"/>
      <c r="J416" s="38"/>
    </row>
    <row r="417" customFormat="false" ht="15" hidden="false" customHeight="false" outlineLevel="0" collapsed="false">
      <c r="B417" s="35"/>
      <c r="D417" s="36"/>
      <c r="E417" s="37"/>
      <c r="F417" s="38"/>
      <c r="J417" s="38"/>
    </row>
    <row r="418" customFormat="false" ht="15" hidden="false" customHeight="false" outlineLevel="0" collapsed="false">
      <c r="B418" s="35"/>
      <c r="D418" s="36"/>
      <c r="E418" s="37"/>
      <c r="F418" s="38"/>
      <c r="J418" s="38"/>
    </row>
    <row r="419" customFormat="false" ht="15" hidden="false" customHeight="false" outlineLevel="0" collapsed="false">
      <c r="B419" s="35"/>
      <c r="D419" s="36"/>
      <c r="E419" s="37"/>
      <c r="F419" s="38"/>
      <c r="J419" s="38"/>
    </row>
    <row r="420" customFormat="false" ht="15" hidden="false" customHeight="false" outlineLevel="0" collapsed="false">
      <c r="B420" s="35"/>
      <c r="D420" s="36"/>
      <c r="E420" s="37"/>
      <c r="F420" s="38"/>
      <c r="J420" s="38"/>
    </row>
    <row r="421" customFormat="false" ht="15" hidden="false" customHeight="false" outlineLevel="0" collapsed="false">
      <c r="B421" s="35"/>
      <c r="D421" s="36"/>
      <c r="E421" s="37"/>
      <c r="F421" s="38"/>
      <c r="J421" s="38"/>
    </row>
    <row r="422" customFormat="false" ht="15" hidden="false" customHeight="false" outlineLevel="0" collapsed="false">
      <c r="B422" s="35"/>
      <c r="D422" s="36"/>
      <c r="E422" s="37"/>
      <c r="F422" s="38"/>
      <c r="J422" s="38"/>
    </row>
    <row r="423" customFormat="false" ht="15" hidden="false" customHeight="false" outlineLevel="0" collapsed="false">
      <c r="B423" s="35"/>
      <c r="D423" s="36"/>
      <c r="E423" s="37"/>
      <c r="F423" s="38"/>
      <c r="J423" s="38"/>
    </row>
    <row r="424" customFormat="false" ht="15" hidden="false" customHeight="false" outlineLevel="0" collapsed="false">
      <c r="B424" s="35"/>
      <c r="D424" s="36"/>
      <c r="E424" s="37"/>
      <c r="F424" s="38"/>
      <c r="J424" s="38"/>
    </row>
    <row r="425" customFormat="false" ht="15" hidden="false" customHeight="false" outlineLevel="0" collapsed="false">
      <c r="B425" s="35"/>
      <c r="D425" s="36"/>
      <c r="E425" s="37"/>
      <c r="F425" s="38"/>
      <c r="J425" s="38"/>
    </row>
    <row r="426" customFormat="false" ht="15" hidden="false" customHeight="false" outlineLevel="0" collapsed="false">
      <c r="B426" s="35"/>
      <c r="D426" s="36"/>
      <c r="E426" s="37"/>
      <c r="F426" s="38"/>
      <c r="J426" s="38"/>
    </row>
    <row r="427" customFormat="false" ht="15" hidden="false" customHeight="false" outlineLevel="0" collapsed="false">
      <c r="B427" s="35"/>
      <c r="D427" s="36"/>
      <c r="E427" s="37"/>
      <c r="F427" s="38"/>
      <c r="J427" s="38"/>
    </row>
    <row r="428" customFormat="false" ht="15" hidden="false" customHeight="false" outlineLevel="0" collapsed="false">
      <c r="B428" s="35"/>
      <c r="D428" s="36"/>
      <c r="E428" s="37"/>
      <c r="F428" s="38"/>
      <c r="J428" s="38"/>
    </row>
    <row r="429" customFormat="false" ht="15" hidden="false" customHeight="false" outlineLevel="0" collapsed="false">
      <c r="B429" s="35"/>
      <c r="D429" s="36"/>
      <c r="E429" s="37"/>
      <c r="F429" s="38"/>
      <c r="J429" s="38"/>
    </row>
    <row r="430" customFormat="false" ht="15" hidden="false" customHeight="false" outlineLevel="0" collapsed="false">
      <c r="B430" s="35"/>
      <c r="D430" s="36"/>
      <c r="E430" s="37"/>
      <c r="F430" s="38"/>
      <c r="J430" s="38"/>
    </row>
    <row r="431" customFormat="false" ht="15" hidden="false" customHeight="false" outlineLevel="0" collapsed="false">
      <c r="B431" s="35"/>
      <c r="D431" s="36"/>
      <c r="E431" s="37"/>
      <c r="F431" s="38"/>
      <c r="J431" s="38"/>
    </row>
    <row r="432" customFormat="false" ht="15" hidden="false" customHeight="false" outlineLevel="0" collapsed="false">
      <c r="B432" s="35"/>
      <c r="D432" s="36"/>
      <c r="E432" s="37"/>
      <c r="F432" s="38"/>
      <c r="J432" s="38"/>
    </row>
    <row r="433" customFormat="false" ht="15" hidden="false" customHeight="false" outlineLevel="0" collapsed="false">
      <c r="B433" s="35"/>
      <c r="D433" s="36"/>
      <c r="E433" s="37"/>
      <c r="F433" s="38"/>
      <c r="J433" s="38"/>
    </row>
    <row r="434" customFormat="false" ht="15" hidden="false" customHeight="false" outlineLevel="0" collapsed="false">
      <c r="B434" s="35"/>
      <c r="D434" s="36"/>
      <c r="E434" s="37"/>
      <c r="F434" s="38"/>
      <c r="J434" s="38"/>
    </row>
    <row r="435" customFormat="false" ht="15" hidden="false" customHeight="false" outlineLevel="0" collapsed="false">
      <c r="B435" s="35"/>
      <c r="D435" s="36"/>
      <c r="E435" s="37"/>
      <c r="F435" s="38"/>
      <c r="J435" s="38"/>
    </row>
    <row r="436" customFormat="false" ht="15" hidden="false" customHeight="false" outlineLevel="0" collapsed="false">
      <c r="B436" s="35"/>
      <c r="D436" s="36"/>
      <c r="E436" s="37"/>
      <c r="F436" s="38"/>
      <c r="J436" s="38"/>
    </row>
    <row r="437" customFormat="false" ht="15" hidden="false" customHeight="false" outlineLevel="0" collapsed="false">
      <c r="B437" s="35"/>
      <c r="D437" s="36"/>
      <c r="E437" s="37"/>
      <c r="F437" s="38"/>
      <c r="J437" s="38"/>
    </row>
    <row r="438" customFormat="false" ht="15" hidden="false" customHeight="false" outlineLevel="0" collapsed="false">
      <c r="B438" s="35"/>
      <c r="D438" s="36"/>
      <c r="E438" s="37"/>
      <c r="F438" s="38"/>
      <c r="J438" s="38"/>
    </row>
    <row r="439" customFormat="false" ht="15" hidden="false" customHeight="false" outlineLevel="0" collapsed="false">
      <c r="B439" s="35"/>
      <c r="D439" s="36"/>
      <c r="E439" s="37"/>
      <c r="F439" s="38"/>
      <c r="J439" s="38"/>
    </row>
    <row r="440" customFormat="false" ht="15" hidden="false" customHeight="false" outlineLevel="0" collapsed="false">
      <c r="B440" s="35"/>
      <c r="D440" s="36"/>
      <c r="E440" s="37"/>
      <c r="F440" s="38"/>
      <c r="J440" s="38"/>
    </row>
    <row r="441" customFormat="false" ht="15" hidden="false" customHeight="false" outlineLevel="0" collapsed="false">
      <c r="B441" s="35"/>
      <c r="D441" s="36"/>
      <c r="E441" s="37"/>
      <c r="F441" s="38"/>
      <c r="J441" s="38"/>
    </row>
    <row r="442" customFormat="false" ht="15" hidden="false" customHeight="false" outlineLevel="0" collapsed="false">
      <c r="B442" s="35"/>
      <c r="D442" s="36"/>
      <c r="E442" s="37"/>
      <c r="F442" s="38"/>
      <c r="J442" s="38"/>
    </row>
    <row r="443" customFormat="false" ht="15" hidden="false" customHeight="false" outlineLevel="0" collapsed="false">
      <c r="B443" s="35"/>
      <c r="D443" s="36"/>
      <c r="E443" s="37"/>
      <c r="F443" s="38"/>
      <c r="J443" s="38"/>
    </row>
    <row r="444" customFormat="false" ht="15" hidden="false" customHeight="false" outlineLevel="0" collapsed="false">
      <c r="B444" s="35"/>
      <c r="D444" s="36"/>
      <c r="E444" s="37"/>
      <c r="F444" s="38"/>
      <c r="J444" s="38"/>
    </row>
    <row r="445" customFormat="false" ht="15" hidden="false" customHeight="false" outlineLevel="0" collapsed="false">
      <c r="B445" s="35"/>
      <c r="D445" s="36"/>
      <c r="E445" s="37"/>
      <c r="F445" s="38"/>
      <c r="J445" s="38"/>
    </row>
    <row r="446" customFormat="false" ht="15" hidden="false" customHeight="false" outlineLevel="0" collapsed="false">
      <c r="B446" s="35"/>
      <c r="D446" s="36"/>
      <c r="E446" s="37"/>
      <c r="F446" s="38"/>
      <c r="J446" s="38"/>
    </row>
    <row r="447" customFormat="false" ht="15" hidden="false" customHeight="false" outlineLevel="0" collapsed="false">
      <c r="B447" s="35"/>
      <c r="D447" s="36"/>
      <c r="E447" s="37"/>
      <c r="F447" s="38"/>
      <c r="J447" s="38"/>
    </row>
    <row r="448" customFormat="false" ht="15" hidden="false" customHeight="false" outlineLevel="0" collapsed="false">
      <c r="B448" s="35"/>
      <c r="D448" s="36"/>
      <c r="E448" s="37"/>
      <c r="F448" s="38"/>
      <c r="J448" s="38"/>
    </row>
    <row r="449" customFormat="false" ht="15" hidden="false" customHeight="false" outlineLevel="0" collapsed="false">
      <c r="B449" s="35"/>
      <c r="D449" s="36"/>
      <c r="E449" s="37"/>
      <c r="F449" s="38"/>
      <c r="J449" s="38"/>
    </row>
    <row r="450" customFormat="false" ht="15" hidden="false" customHeight="false" outlineLevel="0" collapsed="false">
      <c r="B450" s="35"/>
      <c r="D450" s="36"/>
      <c r="E450" s="37"/>
      <c r="F450" s="38"/>
      <c r="J450" s="38"/>
    </row>
    <row r="451" customFormat="false" ht="15" hidden="false" customHeight="false" outlineLevel="0" collapsed="false">
      <c r="B451" s="35"/>
      <c r="D451" s="36"/>
      <c r="E451" s="37"/>
      <c r="F451" s="38"/>
      <c r="J451" s="38"/>
    </row>
    <row r="452" customFormat="false" ht="15" hidden="false" customHeight="false" outlineLevel="0" collapsed="false">
      <c r="B452" s="35"/>
      <c r="D452" s="36"/>
      <c r="E452" s="37"/>
      <c r="F452" s="38"/>
      <c r="J452" s="38"/>
    </row>
    <row r="453" customFormat="false" ht="15" hidden="false" customHeight="false" outlineLevel="0" collapsed="false">
      <c r="B453" s="35"/>
      <c r="D453" s="36"/>
      <c r="E453" s="37"/>
      <c r="F453" s="38"/>
      <c r="J453" s="38"/>
    </row>
    <row r="454" customFormat="false" ht="15" hidden="false" customHeight="false" outlineLevel="0" collapsed="false">
      <c r="B454" s="35"/>
      <c r="D454" s="36"/>
      <c r="E454" s="37"/>
      <c r="F454" s="38"/>
      <c r="J454" s="38"/>
    </row>
    <row r="455" customFormat="false" ht="15" hidden="false" customHeight="false" outlineLevel="0" collapsed="false">
      <c r="B455" s="35"/>
      <c r="D455" s="36"/>
      <c r="E455" s="37"/>
      <c r="F455" s="38"/>
      <c r="J455" s="38"/>
    </row>
    <row r="456" customFormat="false" ht="15" hidden="false" customHeight="false" outlineLevel="0" collapsed="false">
      <c r="B456" s="35"/>
      <c r="D456" s="36"/>
      <c r="E456" s="37"/>
      <c r="F456" s="38"/>
      <c r="J456" s="38"/>
    </row>
    <row r="457" customFormat="false" ht="15" hidden="false" customHeight="false" outlineLevel="0" collapsed="false">
      <c r="B457" s="35"/>
      <c r="D457" s="36"/>
      <c r="E457" s="37"/>
      <c r="F457" s="38"/>
      <c r="J457" s="38"/>
    </row>
    <row r="458" customFormat="false" ht="15" hidden="false" customHeight="false" outlineLevel="0" collapsed="false">
      <c r="B458" s="35"/>
      <c r="D458" s="36"/>
      <c r="E458" s="37"/>
      <c r="F458" s="38"/>
      <c r="J458" s="38"/>
    </row>
    <row r="459" customFormat="false" ht="15" hidden="false" customHeight="false" outlineLevel="0" collapsed="false">
      <c r="B459" s="35"/>
      <c r="D459" s="36"/>
      <c r="E459" s="37"/>
      <c r="F459" s="38"/>
      <c r="J459" s="38"/>
    </row>
    <row r="460" customFormat="false" ht="15" hidden="false" customHeight="false" outlineLevel="0" collapsed="false">
      <c r="B460" s="35"/>
      <c r="D460" s="36"/>
      <c r="E460" s="37"/>
      <c r="F460" s="38"/>
      <c r="J460" s="38"/>
    </row>
    <row r="461" customFormat="false" ht="15" hidden="false" customHeight="false" outlineLevel="0" collapsed="false">
      <c r="B461" s="35"/>
      <c r="D461" s="36"/>
      <c r="E461" s="37"/>
      <c r="F461" s="38"/>
      <c r="J461" s="38"/>
    </row>
    <row r="462" customFormat="false" ht="15" hidden="false" customHeight="false" outlineLevel="0" collapsed="false">
      <c r="B462" s="35"/>
      <c r="D462" s="36"/>
      <c r="E462" s="37"/>
      <c r="F462" s="38"/>
      <c r="J462" s="38"/>
    </row>
    <row r="463" customFormat="false" ht="15" hidden="false" customHeight="false" outlineLevel="0" collapsed="false">
      <c r="B463" s="35"/>
      <c r="D463" s="36"/>
      <c r="E463" s="37"/>
      <c r="F463" s="38"/>
      <c r="J463" s="38"/>
    </row>
    <row r="464" customFormat="false" ht="15" hidden="false" customHeight="false" outlineLevel="0" collapsed="false">
      <c r="B464" s="35"/>
      <c r="D464" s="36"/>
      <c r="E464" s="37"/>
      <c r="F464" s="38"/>
      <c r="J464" s="38"/>
    </row>
    <row r="465" customFormat="false" ht="15" hidden="false" customHeight="false" outlineLevel="0" collapsed="false">
      <c r="B465" s="35"/>
      <c r="D465" s="36"/>
      <c r="E465" s="37"/>
      <c r="F465" s="38"/>
      <c r="J465" s="38"/>
    </row>
    <row r="466" customFormat="false" ht="15" hidden="false" customHeight="false" outlineLevel="0" collapsed="false">
      <c r="B466" s="35"/>
      <c r="D466" s="36"/>
      <c r="E466" s="37"/>
      <c r="F466" s="38"/>
      <c r="J466" s="38"/>
    </row>
    <row r="467" customFormat="false" ht="15" hidden="false" customHeight="false" outlineLevel="0" collapsed="false">
      <c r="B467" s="35"/>
      <c r="D467" s="36"/>
      <c r="E467" s="37"/>
      <c r="F467" s="38"/>
      <c r="J467" s="38"/>
    </row>
    <row r="468" customFormat="false" ht="15" hidden="false" customHeight="false" outlineLevel="0" collapsed="false">
      <c r="B468" s="35"/>
      <c r="D468" s="36"/>
      <c r="E468" s="37"/>
      <c r="F468" s="38"/>
      <c r="J468" s="38"/>
    </row>
    <row r="469" customFormat="false" ht="15" hidden="false" customHeight="false" outlineLevel="0" collapsed="false">
      <c r="B469" s="35"/>
      <c r="D469" s="36"/>
      <c r="E469" s="37"/>
      <c r="F469" s="38"/>
      <c r="J469" s="38"/>
    </row>
    <row r="470" customFormat="false" ht="15" hidden="false" customHeight="false" outlineLevel="0" collapsed="false">
      <c r="B470" s="35"/>
      <c r="D470" s="36"/>
      <c r="E470" s="37"/>
      <c r="F470" s="38"/>
      <c r="J470" s="38"/>
    </row>
    <row r="471" customFormat="false" ht="15" hidden="false" customHeight="false" outlineLevel="0" collapsed="false">
      <c r="B471" s="35"/>
      <c r="D471" s="36"/>
      <c r="E471" s="37"/>
      <c r="F471" s="38"/>
      <c r="J471" s="38"/>
    </row>
    <row r="472" customFormat="false" ht="15" hidden="false" customHeight="false" outlineLevel="0" collapsed="false">
      <c r="B472" s="35"/>
      <c r="D472" s="36"/>
      <c r="E472" s="37"/>
      <c r="F472" s="38"/>
      <c r="J472" s="38"/>
    </row>
    <row r="473" customFormat="false" ht="15" hidden="false" customHeight="false" outlineLevel="0" collapsed="false">
      <c r="B473" s="35"/>
      <c r="D473" s="36"/>
      <c r="E473" s="37"/>
      <c r="F473" s="38"/>
      <c r="J473" s="38"/>
    </row>
    <row r="474" customFormat="false" ht="15" hidden="false" customHeight="false" outlineLevel="0" collapsed="false">
      <c r="B474" s="35"/>
      <c r="D474" s="36"/>
      <c r="E474" s="37"/>
      <c r="F474" s="38"/>
      <c r="J474" s="38"/>
    </row>
    <row r="475" customFormat="false" ht="15" hidden="false" customHeight="false" outlineLevel="0" collapsed="false">
      <c r="B475" s="35"/>
      <c r="D475" s="36"/>
      <c r="E475" s="37"/>
      <c r="F475" s="38"/>
      <c r="J475" s="38"/>
    </row>
    <row r="476" customFormat="false" ht="15" hidden="false" customHeight="false" outlineLevel="0" collapsed="false">
      <c r="B476" s="35"/>
      <c r="D476" s="36"/>
      <c r="E476" s="37"/>
      <c r="F476" s="38"/>
      <c r="J476" s="38"/>
    </row>
    <row r="477" customFormat="false" ht="15" hidden="false" customHeight="false" outlineLevel="0" collapsed="false">
      <c r="B477" s="35"/>
      <c r="D477" s="36"/>
      <c r="E477" s="37"/>
      <c r="F477" s="38"/>
      <c r="J477" s="38"/>
    </row>
    <row r="478" customFormat="false" ht="15" hidden="false" customHeight="false" outlineLevel="0" collapsed="false">
      <c r="B478" s="35"/>
      <c r="D478" s="36"/>
      <c r="E478" s="37"/>
      <c r="F478" s="38"/>
      <c r="J478" s="38"/>
    </row>
    <row r="479" customFormat="false" ht="15" hidden="false" customHeight="false" outlineLevel="0" collapsed="false">
      <c r="B479" s="35"/>
      <c r="D479" s="36"/>
      <c r="E479" s="37"/>
      <c r="F479" s="38"/>
      <c r="J479" s="38"/>
    </row>
    <row r="480" customFormat="false" ht="15" hidden="false" customHeight="false" outlineLevel="0" collapsed="false">
      <c r="B480" s="35"/>
      <c r="D480" s="36"/>
      <c r="E480" s="37"/>
      <c r="F480" s="38"/>
      <c r="J480" s="38"/>
    </row>
    <row r="481" customFormat="false" ht="15" hidden="false" customHeight="false" outlineLevel="0" collapsed="false">
      <c r="B481" s="35"/>
      <c r="D481" s="36"/>
      <c r="E481" s="37"/>
      <c r="F481" s="38"/>
      <c r="J481" s="38"/>
    </row>
    <row r="482" customFormat="false" ht="15" hidden="false" customHeight="false" outlineLevel="0" collapsed="false">
      <c r="B482" s="35"/>
      <c r="D482" s="36"/>
      <c r="E482" s="37"/>
      <c r="F482" s="38"/>
      <c r="J482" s="38"/>
    </row>
    <row r="483" customFormat="false" ht="15" hidden="false" customHeight="false" outlineLevel="0" collapsed="false">
      <c r="B483" s="35"/>
      <c r="D483" s="36"/>
      <c r="E483" s="37"/>
      <c r="F483" s="38"/>
      <c r="J483" s="38"/>
    </row>
    <row r="484" customFormat="false" ht="15" hidden="false" customHeight="false" outlineLevel="0" collapsed="false">
      <c r="B484" s="35"/>
      <c r="D484" s="36"/>
      <c r="E484" s="37"/>
      <c r="F484" s="38"/>
      <c r="J484" s="38"/>
    </row>
    <row r="485" customFormat="false" ht="15" hidden="false" customHeight="false" outlineLevel="0" collapsed="false">
      <c r="B485" s="35"/>
      <c r="D485" s="36"/>
      <c r="E485" s="37"/>
      <c r="F485" s="38"/>
      <c r="J485" s="38"/>
    </row>
    <row r="486" customFormat="false" ht="15" hidden="false" customHeight="false" outlineLevel="0" collapsed="false">
      <c r="B486" s="35"/>
      <c r="D486" s="36"/>
      <c r="E486" s="37"/>
      <c r="F486" s="38"/>
      <c r="J486" s="38"/>
    </row>
    <row r="487" customFormat="false" ht="15" hidden="false" customHeight="false" outlineLevel="0" collapsed="false">
      <c r="B487" s="35"/>
      <c r="D487" s="36"/>
      <c r="E487" s="37"/>
      <c r="F487" s="38"/>
      <c r="J487" s="38"/>
    </row>
    <row r="488" customFormat="false" ht="15" hidden="false" customHeight="false" outlineLevel="0" collapsed="false">
      <c r="B488" s="35"/>
      <c r="D488" s="36"/>
      <c r="E488" s="37"/>
      <c r="F488" s="38"/>
      <c r="J488" s="38"/>
    </row>
    <row r="489" customFormat="false" ht="15" hidden="false" customHeight="false" outlineLevel="0" collapsed="false">
      <c r="B489" s="35"/>
      <c r="D489" s="36"/>
      <c r="E489" s="37"/>
      <c r="F489" s="38"/>
      <c r="J489" s="38"/>
    </row>
    <row r="490" customFormat="false" ht="15" hidden="false" customHeight="false" outlineLevel="0" collapsed="false">
      <c r="B490" s="35"/>
      <c r="D490" s="36"/>
      <c r="E490" s="37"/>
      <c r="F490" s="38"/>
      <c r="J490" s="38"/>
    </row>
    <row r="491" customFormat="false" ht="15" hidden="false" customHeight="false" outlineLevel="0" collapsed="false">
      <c r="B491" s="35"/>
      <c r="D491" s="36"/>
      <c r="E491" s="37"/>
      <c r="F491" s="38"/>
      <c r="J491" s="38"/>
    </row>
    <row r="492" customFormat="false" ht="15" hidden="false" customHeight="false" outlineLevel="0" collapsed="false">
      <c r="B492" s="35"/>
      <c r="D492" s="36"/>
      <c r="E492" s="37"/>
      <c r="F492" s="38"/>
      <c r="J492" s="38"/>
    </row>
    <row r="493" customFormat="false" ht="15" hidden="false" customHeight="false" outlineLevel="0" collapsed="false">
      <c r="B493" s="35"/>
      <c r="D493" s="36"/>
      <c r="E493" s="37"/>
      <c r="F493" s="38"/>
      <c r="J493" s="38"/>
    </row>
    <row r="494" customFormat="false" ht="15" hidden="false" customHeight="false" outlineLevel="0" collapsed="false">
      <c r="B494" s="35"/>
      <c r="D494" s="36"/>
      <c r="E494" s="37"/>
      <c r="F494" s="38"/>
      <c r="J494" s="38"/>
    </row>
    <row r="495" customFormat="false" ht="15" hidden="false" customHeight="false" outlineLevel="0" collapsed="false">
      <c r="B495" s="35"/>
      <c r="D495" s="36"/>
      <c r="E495" s="37"/>
      <c r="F495" s="38"/>
      <c r="J495" s="38"/>
    </row>
    <row r="496" customFormat="false" ht="15" hidden="false" customHeight="false" outlineLevel="0" collapsed="false">
      <c r="B496" s="35"/>
      <c r="D496" s="36"/>
      <c r="E496" s="37"/>
      <c r="F496" s="38"/>
      <c r="J496" s="38"/>
    </row>
    <row r="497" customFormat="false" ht="15" hidden="false" customHeight="false" outlineLevel="0" collapsed="false">
      <c r="B497" s="35"/>
      <c r="D497" s="36"/>
      <c r="E497" s="37"/>
      <c r="F497" s="38"/>
      <c r="J497" s="38"/>
    </row>
    <row r="498" customFormat="false" ht="15" hidden="false" customHeight="false" outlineLevel="0" collapsed="false">
      <c r="B498" s="35"/>
      <c r="D498" s="36"/>
      <c r="E498" s="37"/>
      <c r="F498" s="38"/>
      <c r="J498" s="38"/>
    </row>
    <row r="499" customFormat="false" ht="15" hidden="false" customHeight="false" outlineLevel="0" collapsed="false">
      <c r="B499" s="35"/>
      <c r="D499" s="36"/>
      <c r="E499" s="37"/>
      <c r="F499" s="38"/>
      <c r="J499" s="38"/>
    </row>
    <row r="500" customFormat="false" ht="15" hidden="false" customHeight="false" outlineLevel="0" collapsed="false">
      <c r="B500" s="35"/>
      <c r="D500" s="36"/>
      <c r="E500" s="37"/>
      <c r="F500" s="38"/>
      <c r="J500" s="38"/>
    </row>
    <row r="501" customFormat="false" ht="15" hidden="false" customHeight="false" outlineLevel="0" collapsed="false">
      <c r="B501" s="35"/>
      <c r="D501" s="36"/>
      <c r="E501" s="37"/>
      <c r="F501" s="38"/>
      <c r="J501" s="38"/>
    </row>
    <row r="502" customFormat="false" ht="15" hidden="false" customHeight="false" outlineLevel="0" collapsed="false">
      <c r="B502" s="35"/>
      <c r="D502" s="36"/>
      <c r="E502" s="37"/>
      <c r="F502" s="38"/>
      <c r="J502" s="38"/>
    </row>
    <row r="503" customFormat="false" ht="15" hidden="false" customHeight="false" outlineLevel="0" collapsed="false">
      <c r="B503" s="35"/>
      <c r="D503" s="36"/>
      <c r="E503" s="37"/>
      <c r="F503" s="38"/>
      <c r="J503" s="38"/>
    </row>
    <row r="504" customFormat="false" ht="15" hidden="false" customHeight="false" outlineLevel="0" collapsed="false">
      <c r="B504" s="35"/>
      <c r="D504" s="36"/>
      <c r="E504" s="37"/>
      <c r="F504" s="38"/>
      <c r="J504" s="38"/>
    </row>
    <row r="505" customFormat="false" ht="15" hidden="false" customHeight="false" outlineLevel="0" collapsed="false">
      <c r="B505" s="35"/>
      <c r="D505" s="36"/>
      <c r="E505" s="37"/>
      <c r="F505" s="38"/>
      <c r="J505" s="38"/>
    </row>
    <row r="506" customFormat="false" ht="15" hidden="false" customHeight="false" outlineLevel="0" collapsed="false">
      <c r="B506" s="35"/>
      <c r="D506" s="36"/>
      <c r="E506" s="37"/>
      <c r="F506" s="38"/>
      <c r="J506" s="38"/>
    </row>
    <row r="507" customFormat="false" ht="15" hidden="false" customHeight="false" outlineLevel="0" collapsed="false">
      <c r="B507" s="35"/>
      <c r="D507" s="36"/>
      <c r="E507" s="37"/>
      <c r="F507" s="38"/>
      <c r="J507" s="38"/>
    </row>
    <row r="508" customFormat="false" ht="15" hidden="false" customHeight="false" outlineLevel="0" collapsed="false">
      <c r="B508" s="35"/>
      <c r="D508" s="36"/>
      <c r="E508" s="37"/>
      <c r="F508" s="38"/>
      <c r="J508" s="38"/>
    </row>
    <row r="509" customFormat="false" ht="15" hidden="false" customHeight="false" outlineLevel="0" collapsed="false">
      <c r="B509" s="35"/>
      <c r="D509" s="36"/>
      <c r="E509" s="37"/>
      <c r="F509" s="38"/>
      <c r="J509" s="38"/>
    </row>
    <row r="510" customFormat="false" ht="15" hidden="false" customHeight="false" outlineLevel="0" collapsed="false">
      <c r="B510" s="35"/>
      <c r="D510" s="36"/>
      <c r="E510" s="37"/>
      <c r="F510" s="38"/>
      <c r="J510" s="38"/>
    </row>
    <row r="511" customFormat="false" ht="15" hidden="false" customHeight="false" outlineLevel="0" collapsed="false">
      <c r="B511" s="35"/>
      <c r="D511" s="36"/>
      <c r="E511" s="37"/>
      <c r="F511" s="38"/>
      <c r="J511" s="38"/>
    </row>
    <row r="512" customFormat="false" ht="15" hidden="false" customHeight="false" outlineLevel="0" collapsed="false">
      <c r="B512" s="35"/>
      <c r="D512" s="36"/>
      <c r="E512" s="37"/>
      <c r="F512" s="38"/>
      <c r="J512" s="38"/>
    </row>
    <row r="513" customFormat="false" ht="15" hidden="false" customHeight="false" outlineLevel="0" collapsed="false">
      <c r="B513" s="35"/>
      <c r="D513" s="36"/>
      <c r="E513" s="37"/>
      <c r="F513" s="38"/>
      <c r="J513" s="38"/>
    </row>
    <row r="514" customFormat="false" ht="15" hidden="false" customHeight="false" outlineLevel="0" collapsed="false">
      <c r="B514" s="35"/>
      <c r="D514" s="36"/>
      <c r="E514" s="37"/>
      <c r="F514" s="38"/>
      <c r="J514" s="38"/>
    </row>
    <row r="515" customFormat="false" ht="15" hidden="false" customHeight="false" outlineLevel="0" collapsed="false">
      <c r="B515" s="35"/>
      <c r="D515" s="36"/>
      <c r="E515" s="37"/>
      <c r="F515" s="38"/>
      <c r="J515" s="38"/>
    </row>
    <row r="516" customFormat="false" ht="15" hidden="false" customHeight="false" outlineLevel="0" collapsed="false">
      <c r="B516" s="35"/>
      <c r="D516" s="36"/>
      <c r="E516" s="37"/>
      <c r="F516" s="38"/>
      <c r="J516" s="38"/>
    </row>
    <row r="517" customFormat="false" ht="15" hidden="false" customHeight="false" outlineLevel="0" collapsed="false">
      <c r="B517" s="35"/>
      <c r="D517" s="36"/>
      <c r="E517" s="37"/>
      <c r="F517" s="38"/>
      <c r="J517" s="38"/>
    </row>
    <row r="518" customFormat="false" ht="15" hidden="false" customHeight="false" outlineLevel="0" collapsed="false">
      <c r="B518" s="35"/>
      <c r="D518" s="36"/>
      <c r="E518" s="37"/>
      <c r="F518" s="38"/>
      <c r="J518" s="38"/>
    </row>
    <row r="519" customFormat="false" ht="15" hidden="false" customHeight="false" outlineLevel="0" collapsed="false">
      <c r="B519" s="35"/>
      <c r="D519" s="36"/>
      <c r="E519" s="37"/>
      <c r="F519" s="38"/>
      <c r="J519" s="38"/>
    </row>
    <row r="520" customFormat="false" ht="15" hidden="false" customHeight="false" outlineLevel="0" collapsed="false">
      <c r="B520" s="35"/>
      <c r="D520" s="36"/>
      <c r="E520" s="37"/>
      <c r="F520" s="38"/>
      <c r="J520" s="38"/>
    </row>
    <row r="521" customFormat="false" ht="15" hidden="false" customHeight="false" outlineLevel="0" collapsed="false">
      <c r="B521" s="35"/>
      <c r="D521" s="36"/>
      <c r="E521" s="37"/>
      <c r="F521" s="38"/>
      <c r="J521" s="38"/>
    </row>
    <row r="522" customFormat="false" ht="15" hidden="false" customHeight="false" outlineLevel="0" collapsed="false">
      <c r="B522" s="35"/>
      <c r="D522" s="36"/>
      <c r="E522" s="37"/>
      <c r="F522" s="38"/>
      <c r="J522" s="38"/>
    </row>
    <row r="523" customFormat="false" ht="15" hidden="false" customHeight="false" outlineLevel="0" collapsed="false">
      <c r="B523" s="35"/>
      <c r="D523" s="36"/>
      <c r="E523" s="37"/>
      <c r="F523" s="38"/>
      <c r="J523" s="38"/>
    </row>
    <row r="524" customFormat="false" ht="15" hidden="false" customHeight="false" outlineLevel="0" collapsed="false">
      <c r="B524" s="35"/>
      <c r="D524" s="36"/>
      <c r="E524" s="37"/>
      <c r="F524" s="38"/>
      <c r="J524" s="38"/>
    </row>
    <row r="525" customFormat="false" ht="15" hidden="false" customHeight="false" outlineLevel="0" collapsed="false">
      <c r="B525" s="35"/>
      <c r="D525" s="36"/>
      <c r="E525" s="37"/>
      <c r="F525" s="38"/>
      <c r="J525" s="38"/>
    </row>
    <row r="526" customFormat="false" ht="15" hidden="false" customHeight="false" outlineLevel="0" collapsed="false">
      <c r="B526" s="35"/>
      <c r="D526" s="36"/>
      <c r="E526" s="37"/>
      <c r="F526" s="38"/>
      <c r="J526" s="38"/>
    </row>
    <row r="527" customFormat="false" ht="15" hidden="false" customHeight="false" outlineLevel="0" collapsed="false">
      <c r="B527" s="35"/>
      <c r="D527" s="36"/>
      <c r="E527" s="37"/>
      <c r="F527" s="38"/>
      <c r="J527" s="38"/>
    </row>
    <row r="528" customFormat="false" ht="15" hidden="false" customHeight="false" outlineLevel="0" collapsed="false">
      <c r="B528" s="35"/>
      <c r="D528" s="36"/>
      <c r="E528" s="37"/>
      <c r="F528" s="38"/>
      <c r="J528" s="38"/>
    </row>
    <row r="529" customFormat="false" ht="15" hidden="false" customHeight="false" outlineLevel="0" collapsed="false">
      <c r="B529" s="35"/>
      <c r="D529" s="36"/>
      <c r="E529" s="37"/>
      <c r="F529" s="38"/>
      <c r="J529" s="38"/>
    </row>
    <row r="530" customFormat="false" ht="15" hidden="false" customHeight="false" outlineLevel="0" collapsed="false">
      <c r="B530" s="35"/>
      <c r="D530" s="36"/>
      <c r="E530" s="37"/>
      <c r="F530" s="38"/>
      <c r="J530" s="38"/>
    </row>
    <row r="531" customFormat="false" ht="15" hidden="false" customHeight="false" outlineLevel="0" collapsed="false">
      <c r="B531" s="35"/>
      <c r="D531" s="36"/>
      <c r="E531" s="37"/>
      <c r="F531" s="38"/>
      <c r="J531" s="38"/>
    </row>
    <row r="532" customFormat="false" ht="15" hidden="false" customHeight="false" outlineLevel="0" collapsed="false">
      <c r="B532" s="35"/>
      <c r="D532" s="36"/>
      <c r="E532" s="37"/>
      <c r="F532" s="38"/>
      <c r="J532" s="38"/>
    </row>
    <row r="533" customFormat="false" ht="15" hidden="false" customHeight="false" outlineLevel="0" collapsed="false">
      <c r="B533" s="35"/>
      <c r="D533" s="36"/>
      <c r="E533" s="37"/>
      <c r="F533" s="38"/>
      <c r="J533" s="38"/>
    </row>
    <row r="534" customFormat="false" ht="15" hidden="false" customHeight="false" outlineLevel="0" collapsed="false">
      <c r="B534" s="35"/>
      <c r="D534" s="36"/>
      <c r="E534" s="37"/>
      <c r="F534" s="38"/>
      <c r="J534" s="38"/>
    </row>
    <row r="535" customFormat="false" ht="15" hidden="false" customHeight="false" outlineLevel="0" collapsed="false">
      <c r="B535" s="35"/>
      <c r="D535" s="36"/>
      <c r="E535" s="37"/>
      <c r="F535" s="38"/>
      <c r="J535" s="38"/>
    </row>
    <row r="536" customFormat="false" ht="15" hidden="false" customHeight="false" outlineLevel="0" collapsed="false">
      <c r="B536" s="35"/>
      <c r="D536" s="36"/>
      <c r="E536" s="37"/>
      <c r="F536" s="38"/>
      <c r="J536" s="38"/>
    </row>
    <row r="537" customFormat="false" ht="15" hidden="false" customHeight="false" outlineLevel="0" collapsed="false">
      <c r="B537" s="35"/>
      <c r="D537" s="36"/>
      <c r="E537" s="37"/>
      <c r="F537" s="38"/>
      <c r="J537" s="38"/>
    </row>
    <row r="538" customFormat="false" ht="15" hidden="false" customHeight="false" outlineLevel="0" collapsed="false">
      <c r="B538" s="35"/>
      <c r="D538" s="36"/>
      <c r="E538" s="37"/>
      <c r="F538" s="38"/>
      <c r="J538" s="38"/>
    </row>
    <row r="539" customFormat="false" ht="15" hidden="false" customHeight="false" outlineLevel="0" collapsed="false">
      <c r="B539" s="35"/>
      <c r="D539" s="36"/>
      <c r="E539" s="37"/>
      <c r="F539" s="38"/>
      <c r="J539" s="38"/>
    </row>
    <row r="540" customFormat="false" ht="15" hidden="false" customHeight="false" outlineLevel="0" collapsed="false">
      <c r="B540" s="35"/>
      <c r="D540" s="36"/>
      <c r="E540" s="37"/>
      <c r="F540" s="38"/>
      <c r="J540" s="38"/>
    </row>
    <row r="541" customFormat="false" ht="15" hidden="false" customHeight="false" outlineLevel="0" collapsed="false">
      <c r="B541" s="35"/>
      <c r="D541" s="36"/>
      <c r="E541" s="37"/>
      <c r="F541" s="38"/>
      <c r="J541" s="38"/>
    </row>
    <row r="542" customFormat="false" ht="15" hidden="false" customHeight="false" outlineLevel="0" collapsed="false">
      <c r="B542" s="35"/>
      <c r="D542" s="36"/>
      <c r="E542" s="37"/>
      <c r="F542" s="38"/>
      <c r="J542" s="38"/>
    </row>
    <row r="543" customFormat="false" ht="15" hidden="false" customHeight="false" outlineLevel="0" collapsed="false">
      <c r="B543" s="35"/>
      <c r="D543" s="36"/>
      <c r="E543" s="37"/>
      <c r="F543" s="38"/>
      <c r="J543" s="38"/>
    </row>
    <row r="544" customFormat="false" ht="15" hidden="false" customHeight="false" outlineLevel="0" collapsed="false">
      <c r="B544" s="35"/>
      <c r="D544" s="36"/>
      <c r="E544" s="37"/>
      <c r="F544" s="38"/>
      <c r="J544" s="38"/>
    </row>
    <row r="545" customFormat="false" ht="15" hidden="false" customHeight="false" outlineLevel="0" collapsed="false">
      <c r="B545" s="35"/>
      <c r="D545" s="36"/>
      <c r="E545" s="37"/>
      <c r="F545" s="38"/>
      <c r="J545" s="38"/>
    </row>
    <row r="546" customFormat="false" ht="15" hidden="false" customHeight="false" outlineLevel="0" collapsed="false">
      <c r="B546" s="35"/>
      <c r="D546" s="36"/>
      <c r="E546" s="37"/>
      <c r="F546" s="38"/>
      <c r="J546" s="38"/>
    </row>
    <row r="547" customFormat="false" ht="15" hidden="false" customHeight="false" outlineLevel="0" collapsed="false">
      <c r="B547" s="35"/>
      <c r="D547" s="36"/>
      <c r="E547" s="37"/>
      <c r="F547" s="38"/>
      <c r="J547" s="38"/>
    </row>
    <row r="548" customFormat="false" ht="15" hidden="false" customHeight="false" outlineLevel="0" collapsed="false">
      <c r="B548" s="35"/>
      <c r="D548" s="36"/>
      <c r="E548" s="37"/>
      <c r="F548" s="38"/>
      <c r="J548" s="38"/>
    </row>
    <row r="549" customFormat="false" ht="15" hidden="false" customHeight="false" outlineLevel="0" collapsed="false">
      <c r="B549" s="35"/>
      <c r="D549" s="36"/>
      <c r="E549" s="37"/>
      <c r="F549" s="38"/>
      <c r="J549" s="38"/>
    </row>
    <row r="550" customFormat="false" ht="15" hidden="false" customHeight="false" outlineLevel="0" collapsed="false">
      <c r="B550" s="35"/>
      <c r="D550" s="36"/>
      <c r="E550" s="37"/>
      <c r="F550" s="38"/>
      <c r="J550" s="38"/>
    </row>
    <row r="551" customFormat="false" ht="15" hidden="false" customHeight="false" outlineLevel="0" collapsed="false">
      <c r="B551" s="35"/>
      <c r="D551" s="36"/>
      <c r="E551" s="37"/>
      <c r="F551" s="38"/>
      <c r="J551" s="38"/>
    </row>
    <row r="552" customFormat="false" ht="15" hidden="false" customHeight="false" outlineLevel="0" collapsed="false">
      <c r="B552" s="35"/>
      <c r="D552" s="36"/>
      <c r="E552" s="37"/>
      <c r="F552" s="38"/>
      <c r="J552" s="38"/>
    </row>
    <row r="553" customFormat="false" ht="15" hidden="false" customHeight="false" outlineLevel="0" collapsed="false">
      <c r="B553" s="35"/>
      <c r="D553" s="36"/>
      <c r="E553" s="37"/>
      <c r="F553" s="38"/>
      <c r="J553" s="38"/>
    </row>
    <row r="554" customFormat="false" ht="15" hidden="false" customHeight="false" outlineLevel="0" collapsed="false">
      <c r="B554" s="35"/>
      <c r="D554" s="36"/>
      <c r="E554" s="37"/>
      <c r="F554" s="38"/>
      <c r="J554" s="38"/>
    </row>
    <row r="555" customFormat="false" ht="15" hidden="false" customHeight="false" outlineLevel="0" collapsed="false">
      <c r="B555" s="35"/>
      <c r="D555" s="36"/>
      <c r="E555" s="37"/>
      <c r="F555" s="38"/>
      <c r="J555" s="38"/>
    </row>
    <row r="556" customFormat="false" ht="15" hidden="false" customHeight="false" outlineLevel="0" collapsed="false">
      <c r="B556" s="35"/>
      <c r="D556" s="36"/>
      <c r="E556" s="37"/>
      <c r="F556" s="38"/>
      <c r="J556" s="38"/>
    </row>
    <row r="557" customFormat="false" ht="15" hidden="false" customHeight="false" outlineLevel="0" collapsed="false">
      <c r="B557" s="35"/>
      <c r="D557" s="36"/>
      <c r="E557" s="37"/>
      <c r="F557" s="38"/>
      <c r="J557" s="38"/>
    </row>
    <row r="558" customFormat="false" ht="15" hidden="false" customHeight="false" outlineLevel="0" collapsed="false">
      <c r="B558" s="35"/>
      <c r="D558" s="36"/>
      <c r="E558" s="37"/>
      <c r="F558" s="38"/>
      <c r="J558" s="38"/>
    </row>
    <row r="559" customFormat="false" ht="15" hidden="false" customHeight="false" outlineLevel="0" collapsed="false">
      <c r="B559" s="35"/>
      <c r="D559" s="36"/>
      <c r="E559" s="37"/>
      <c r="F559" s="38"/>
      <c r="J559" s="38"/>
    </row>
    <row r="560" customFormat="false" ht="15" hidden="false" customHeight="false" outlineLevel="0" collapsed="false">
      <c r="B560" s="35"/>
      <c r="D560" s="36"/>
      <c r="E560" s="37"/>
      <c r="F560" s="38"/>
      <c r="J560" s="38"/>
    </row>
    <row r="561" customFormat="false" ht="15" hidden="false" customHeight="false" outlineLevel="0" collapsed="false">
      <c r="B561" s="35"/>
      <c r="D561" s="36"/>
      <c r="E561" s="37"/>
      <c r="F561" s="38"/>
      <c r="J561" s="38"/>
    </row>
    <row r="562" customFormat="false" ht="15" hidden="false" customHeight="false" outlineLevel="0" collapsed="false">
      <c r="B562" s="35"/>
      <c r="D562" s="36"/>
      <c r="E562" s="37"/>
      <c r="F562" s="38"/>
      <c r="J562" s="38"/>
    </row>
    <row r="563" customFormat="false" ht="15" hidden="false" customHeight="false" outlineLevel="0" collapsed="false">
      <c r="B563" s="35"/>
      <c r="D563" s="36"/>
      <c r="E563" s="37"/>
      <c r="F563" s="38"/>
      <c r="J563" s="38"/>
    </row>
    <row r="564" customFormat="false" ht="15" hidden="false" customHeight="false" outlineLevel="0" collapsed="false">
      <c r="B564" s="35"/>
      <c r="D564" s="36"/>
      <c r="E564" s="37"/>
      <c r="F564" s="38"/>
      <c r="J564" s="38"/>
    </row>
    <row r="565" customFormat="false" ht="15" hidden="false" customHeight="false" outlineLevel="0" collapsed="false">
      <c r="B565" s="35"/>
      <c r="D565" s="36"/>
      <c r="E565" s="37"/>
      <c r="F565" s="38"/>
      <c r="J565" s="38"/>
    </row>
    <row r="566" customFormat="false" ht="15" hidden="false" customHeight="false" outlineLevel="0" collapsed="false">
      <c r="B566" s="35"/>
      <c r="D566" s="36"/>
      <c r="E566" s="37"/>
      <c r="F566" s="38"/>
      <c r="J566" s="38"/>
    </row>
    <row r="567" customFormat="false" ht="15" hidden="false" customHeight="false" outlineLevel="0" collapsed="false">
      <c r="B567" s="35"/>
      <c r="D567" s="36"/>
      <c r="E567" s="37"/>
      <c r="F567" s="38"/>
      <c r="J567" s="38"/>
    </row>
    <row r="568" customFormat="false" ht="15" hidden="false" customHeight="false" outlineLevel="0" collapsed="false">
      <c r="B568" s="35"/>
      <c r="D568" s="36"/>
      <c r="E568" s="37"/>
      <c r="F568" s="38"/>
      <c r="J568" s="38"/>
    </row>
    <row r="569" customFormat="false" ht="15" hidden="false" customHeight="false" outlineLevel="0" collapsed="false">
      <c r="B569" s="35"/>
      <c r="D569" s="36"/>
      <c r="E569" s="37"/>
      <c r="F569" s="38"/>
      <c r="J569" s="38"/>
    </row>
    <row r="570" customFormat="false" ht="15" hidden="false" customHeight="false" outlineLevel="0" collapsed="false">
      <c r="B570" s="35"/>
      <c r="D570" s="36"/>
      <c r="E570" s="37"/>
      <c r="F570" s="38"/>
      <c r="J570" s="38"/>
    </row>
    <row r="571" customFormat="false" ht="15" hidden="false" customHeight="false" outlineLevel="0" collapsed="false">
      <c r="B571" s="35"/>
      <c r="D571" s="36"/>
      <c r="E571" s="37"/>
      <c r="F571" s="38"/>
      <c r="J571" s="38"/>
    </row>
    <row r="572" customFormat="false" ht="15" hidden="false" customHeight="false" outlineLevel="0" collapsed="false">
      <c r="B572" s="35"/>
      <c r="D572" s="36"/>
      <c r="E572" s="37"/>
      <c r="F572" s="38"/>
      <c r="J572" s="38"/>
    </row>
    <row r="573" customFormat="false" ht="15" hidden="false" customHeight="false" outlineLevel="0" collapsed="false">
      <c r="B573" s="35"/>
      <c r="D573" s="36"/>
      <c r="E573" s="37"/>
      <c r="F573" s="38"/>
      <c r="J573" s="38"/>
    </row>
    <row r="574" customFormat="false" ht="15" hidden="false" customHeight="false" outlineLevel="0" collapsed="false">
      <c r="B574" s="35"/>
      <c r="D574" s="36"/>
      <c r="E574" s="37"/>
      <c r="F574" s="38"/>
      <c r="J574" s="38"/>
    </row>
    <row r="575" customFormat="false" ht="15" hidden="false" customHeight="false" outlineLevel="0" collapsed="false">
      <c r="B575" s="35"/>
      <c r="D575" s="36"/>
      <c r="E575" s="37"/>
      <c r="F575" s="38"/>
      <c r="J575" s="38"/>
    </row>
    <row r="576" customFormat="false" ht="15" hidden="false" customHeight="false" outlineLevel="0" collapsed="false">
      <c r="B576" s="35"/>
      <c r="D576" s="36"/>
      <c r="E576" s="37"/>
      <c r="F576" s="38"/>
      <c r="J576" s="38"/>
    </row>
    <row r="577" customFormat="false" ht="15" hidden="false" customHeight="false" outlineLevel="0" collapsed="false">
      <c r="B577" s="35"/>
      <c r="D577" s="36"/>
      <c r="E577" s="37"/>
      <c r="F577" s="38"/>
      <c r="J577" s="38"/>
    </row>
    <row r="578" customFormat="false" ht="15" hidden="false" customHeight="false" outlineLevel="0" collapsed="false">
      <c r="B578" s="35"/>
      <c r="D578" s="36"/>
      <c r="E578" s="37"/>
      <c r="F578" s="38"/>
      <c r="J578" s="38"/>
    </row>
    <row r="579" customFormat="false" ht="15" hidden="false" customHeight="false" outlineLevel="0" collapsed="false">
      <c r="B579" s="35"/>
      <c r="D579" s="36"/>
      <c r="E579" s="37"/>
      <c r="F579" s="38"/>
      <c r="J579" s="38"/>
    </row>
    <row r="580" customFormat="false" ht="15" hidden="false" customHeight="false" outlineLevel="0" collapsed="false">
      <c r="B580" s="35"/>
      <c r="D580" s="36"/>
      <c r="E580" s="37"/>
      <c r="F580" s="38"/>
      <c r="J580" s="38"/>
    </row>
    <row r="581" customFormat="false" ht="15" hidden="false" customHeight="false" outlineLevel="0" collapsed="false">
      <c r="B581" s="35"/>
      <c r="D581" s="36"/>
      <c r="E581" s="37"/>
      <c r="F581" s="38"/>
      <c r="J581" s="38"/>
    </row>
    <row r="582" customFormat="false" ht="15" hidden="false" customHeight="false" outlineLevel="0" collapsed="false">
      <c r="B582" s="35"/>
      <c r="D582" s="36"/>
      <c r="E582" s="37"/>
      <c r="F582" s="38"/>
      <c r="J582" s="38"/>
    </row>
    <row r="583" customFormat="false" ht="15" hidden="false" customHeight="false" outlineLevel="0" collapsed="false">
      <c r="B583" s="35"/>
      <c r="D583" s="36"/>
      <c r="E583" s="37"/>
      <c r="F583" s="38"/>
      <c r="J583" s="38"/>
    </row>
    <row r="584" customFormat="false" ht="15" hidden="false" customHeight="false" outlineLevel="0" collapsed="false">
      <c r="B584" s="35"/>
      <c r="D584" s="36"/>
      <c r="E584" s="37"/>
      <c r="F584" s="38"/>
      <c r="J584" s="38"/>
    </row>
    <row r="585" customFormat="false" ht="15" hidden="false" customHeight="false" outlineLevel="0" collapsed="false">
      <c r="B585" s="35"/>
      <c r="D585" s="36"/>
      <c r="E585" s="37"/>
      <c r="F585" s="38"/>
      <c r="J585" s="38"/>
    </row>
    <row r="586" customFormat="false" ht="15" hidden="false" customHeight="false" outlineLevel="0" collapsed="false">
      <c r="B586" s="35"/>
      <c r="D586" s="36"/>
      <c r="E586" s="37"/>
      <c r="F586" s="38"/>
      <c r="J586" s="38"/>
    </row>
    <row r="587" customFormat="false" ht="15" hidden="false" customHeight="false" outlineLevel="0" collapsed="false">
      <c r="B587" s="35"/>
      <c r="D587" s="36"/>
      <c r="E587" s="37"/>
      <c r="F587" s="38"/>
      <c r="J587" s="38"/>
    </row>
    <row r="588" customFormat="false" ht="15" hidden="false" customHeight="false" outlineLevel="0" collapsed="false">
      <c r="B588" s="35"/>
      <c r="D588" s="36"/>
      <c r="E588" s="37"/>
      <c r="F588" s="38"/>
      <c r="J588" s="38"/>
    </row>
    <row r="589" customFormat="false" ht="15" hidden="false" customHeight="false" outlineLevel="0" collapsed="false">
      <c r="B589" s="35"/>
      <c r="D589" s="36"/>
      <c r="E589" s="37"/>
      <c r="F589" s="38"/>
      <c r="J589" s="38"/>
    </row>
    <row r="590" customFormat="false" ht="15" hidden="false" customHeight="false" outlineLevel="0" collapsed="false">
      <c r="B590" s="35"/>
      <c r="D590" s="36"/>
      <c r="E590" s="37"/>
      <c r="F590" s="38"/>
      <c r="J590" s="38"/>
    </row>
    <row r="591" customFormat="false" ht="15" hidden="false" customHeight="false" outlineLevel="0" collapsed="false">
      <c r="B591" s="35"/>
      <c r="D591" s="36"/>
      <c r="E591" s="37"/>
      <c r="F591" s="38"/>
      <c r="J591" s="38"/>
    </row>
    <row r="592" customFormat="false" ht="15" hidden="false" customHeight="false" outlineLevel="0" collapsed="false">
      <c r="B592" s="35"/>
      <c r="D592" s="36"/>
      <c r="E592" s="37"/>
      <c r="F592" s="38"/>
      <c r="J592" s="38"/>
    </row>
    <row r="593" customFormat="false" ht="15" hidden="false" customHeight="false" outlineLevel="0" collapsed="false">
      <c r="B593" s="35"/>
      <c r="D593" s="36"/>
      <c r="E593" s="37"/>
      <c r="F593" s="38"/>
      <c r="J593" s="38"/>
    </row>
    <row r="594" customFormat="false" ht="15" hidden="false" customHeight="false" outlineLevel="0" collapsed="false">
      <c r="B594" s="35"/>
      <c r="D594" s="36"/>
      <c r="E594" s="37"/>
      <c r="F594" s="38"/>
      <c r="J594" s="38"/>
    </row>
    <row r="595" customFormat="false" ht="15" hidden="false" customHeight="false" outlineLevel="0" collapsed="false">
      <c r="B595" s="35"/>
      <c r="D595" s="36"/>
      <c r="E595" s="37"/>
      <c r="F595" s="38"/>
      <c r="J595" s="38"/>
    </row>
    <row r="596" customFormat="false" ht="15" hidden="false" customHeight="false" outlineLevel="0" collapsed="false">
      <c r="B596" s="35"/>
      <c r="D596" s="36"/>
      <c r="E596" s="37"/>
      <c r="F596" s="38"/>
      <c r="J596" s="38"/>
    </row>
    <row r="597" customFormat="false" ht="15" hidden="false" customHeight="false" outlineLevel="0" collapsed="false">
      <c r="B597" s="35"/>
      <c r="D597" s="36"/>
      <c r="E597" s="37"/>
      <c r="F597" s="38"/>
      <c r="J597" s="38"/>
    </row>
    <row r="598" customFormat="false" ht="15" hidden="false" customHeight="false" outlineLevel="0" collapsed="false">
      <c r="B598" s="35"/>
      <c r="D598" s="36"/>
      <c r="E598" s="37"/>
      <c r="F598" s="38"/>
      <c r="J598" s="38"/>
    </row>
    <row r="599" customFormat="false" ht="15" hidden="false" customHeight="false" outlineLevel="0" collapsed="false">
      <c r="B599" s="35"/>
      <c r="D599" s="36"/>
      <c r="E599" s="37"/>
      <c r="F599" s="38"/>
      <c r="J599" s="38"/>
    </row>
    <row r="600" customFormat="false" ht="15" hidden="false" customHeight="false" outlineLevel="0" collapsed="false">
      <c r="B600" s="35"/>
      <c r="D600" s="36"/>
      <c r="E600" s="37"/>
      <c r="F600" s="38"/>
      <c r="J600" s="38"/>
    </row>
    <row r="601" customFormat="false" ht="15" hidden="false" customHeight="false" outlineLevel="0" collapsed="false">
      <c r="B601" s="35"/>
      <c r="D601" s="36"/>
      <c r="E601" s="37"/>
      <c r="F601" s="38"/>
      <c r="J601" s="38"/>
    </row>
    <row r="602" customFormat="false" ht="15" hidden="false" customHeight="false" outlineLevel="0" collapsed="false">
      <c r="B602" s="35"/>
      <c r="D602" s="36"/>
      <c r="E602" s="37"/>
      <c r="F602" s="38"/>
      <c r="J602" s="38"/>
    </row>
    <row r="603" customFormat="false" ht="15" hidden="false" customHeight="false" outlineLevel="0" collapsed="false">
      <c r="B603" s="35"/>
      <c r="D603" s="36"/>
      <c r="E603" s="37"/>
      <c r="F603" s="38"/>
      <c r="J603" s="38"/>
    </row>
    <row r="604" customFormat="false" ht="15" hidden="false" customHeight="false" outlineLevel="0" collapsed="false">
      <c r="B604" s="35"/>
      <c r="D604" s="36"/>
      <c r="E604" s="37"/>
      <c r="F604" s="38"/>
      <c r="J604" s="38"/>
    </row>
    <row r="605" customFormat="false" ht="15" hidden="false" customHeight="false" outlineLevel="0" collapsed="false">
      <c r="B605" s="35"/>
      <c r="D605" s="36"/>
      <c r="E605" s="37"/>
      <c r="F605" s="38"/>
      <c r="J605" s="38"/>
    </row>
    <row r="606" customFormat="false" ht="15" hidden="false" customHeight="false" outlineLevel="0" collapsed="false">
      <c r="B606" s="35"/>
      <c r="D606" s="36"/>
      <c r="E606" s="37"/>
      <c r="F606" s="38"/>
      <c r="J606" s="38"/>
    </row>
    <row r="607" customFormat="false" ht="15" hidden="false" customHeight="false" outlineLevel="0" collapsed="false">
      <c r="B607" s="35"/>
      <c r="D607" s="36"/>
      <c r="E607" s="37"/>
      <c r="F607" s="38"/>
      <c r="J607" s="38"/>
    </row>
    <row r="608" customFormat="false" ht="15" hidden="false" customHeight="false" outlineLevel="0" collapsed="false">
      <c r="B608" s="35"/>
      <c r="D608" s="36"/>
      <c r="E608" s="37"/>
      <c r="F608" s="38"/>
      <c r="J608" s="38"/>
    </row>
    <row r="609" customFormat="false" ht="15" hidden="false" customHeight="false" outlineLevel="0" collapsed="false">
      <c r="B609" s="35"/>
      <c r="D609" s="36"/>
      <c r="E609" s="37"/>
      <c r="F609" s="38"/>
      <c r="J609" s="38"/>
    </row>
    <row r="610" customFormat="false" ht="15" hidden="false" customHeight="false" outlineLevel="0" collapsed="false">
      <c r="B610" s="35"/>
      <c r="D610" s="36"/>
      <c r="E610" s="37"/>
      <c r="F610" s="38"/>
      <c r="J610" s="38"/>
    </row>
    <row r="611" customFormat="false" ht="15" hidden="false" customHeight="false" outlineLevel="0" collapsed="false">
      <c r="B611" s="35"/>
      <c r="D611" s="36"/>
      <c r="E611" s="37"/>
      <c r="F611" s="38"/>
      <c r="J611" s="38"/>
    </row>
    <row r="612" customFormat="false" ht="15" hidden="false" customHeight="false" outlineLevel="0" collapsed="false">
      <c r="B612" s="35"/>
      <c r="D612" s="36"/>
      <c r="E612" s="37"/>
      <c r="F612" s="38"/>
      <c r="J612" s="38"/>
    </row>
    <row r="613" customFormat="false" ht="15" hidden="false" customHeight="false" outlineLevel="0" collapsed="false">
      <c r="B613" s="35"/>
      <c r="D613" s="36"/>
      <c r="E613" s="37"/>
      <c r="F613" s="38"/>
      <c r="J613" s="38"/>
    </row>
    <row r="614" customFormat="false" ht="15" hidden="false" customHeight="false" outlineLevel="0" collapsed="false">
      <c r="B614" s="35"/>
      <c r="D614" s="36"/>
      <c r="E614" s="37"/>
      <c r="F614" s="38"/>
      <c r="J614" s="38"/>
    </row>
    <row r="615" customFormat="false" ht="15" hidden="false" customHeight="false" outlineLevel="0" collapsed="false">
      <c r="B615" s="35"/>
      <c r="D615" s="36"/>
      <c r="E615" s="37"/>
      <c r="F615" s="38"/>
      <c r="J615" s="38"/>
    </row>
    <row r="616" customFormat="false" ht="15" hidden="false" customHeight="false" outlineLevel="0" collapsed="false">
      <c r="B616" s="35"/>
      <c r="D616" s="36"/>
      <c r="E616" s="37"/>
      <c r="F616" s="38"/>
      <c r="J616" s="38"/>
    </row>
    <row r="617" customFormat="false" ht="15" hidden="false" customHeight="false" outlineLevel="0" collapsed="false">
      <c r="B617" s="35"/>
      <c r="D617" s="36"/>
      <c r="E617" s="37"/>
      <c r="F617" s="38"/>
      <c r="J617" s="38"/>
    </row>
    <row r="618" customFormat="false" ht="15" hidden="false" customHeight="false" outlineLevel="0" collapsed="false">
      <c r="B618" s="35"/>
      <c r="D618" s="36"/>
      <c r="E618" s="37"/>
      <c r="F618" s="38"/>
      <c r="J618" s="38"/>
    </row>
    <row r="619" customFormat="false" ht="15" hidden="false" customHeight="false" outlineLevel="0" collapsed="false">
      <c r="B619" s="35"/>
      <c r="D619" s="36"/>
      <c r="E619" s="37"/>
      <c r="F619" s="38"/>
      <c r="J619" s="38"/>
    </row>
    <row r="620" customFormat="false" ht="15" hidden="false" customHeight="false" outlineLevel="0" collapsed="false">
      <c r="B620" s="35"/>
      <c r="D620" s="36"/>
      <c r="E620" s="37"/>
      <c r="F620" s="38"/>
      <c r="J620" s="38"/>
    </row>
    <row r="621" customFormat="false" ht="15" hidden="false" customHeight="false" outlineLevel="0" collapsed="false">
      <c r="B621" s="35"/>
      <c r="D621" s="36"/>
      <c r="E621" s="37"/>
      <c r="F621" s="38"/>
      <c r="J621" s="38"/>
    </row>
    <row r="622" customFormat="false" ht="15" hidden="false" customHeight="false" outlineLevel="0" collapsed="false">
      <c r="B622" s="35"/>
      <c r="D622" s="36"/>
      <c r="E622" s="37"/>
      <c r="F622" s="38"/>
      <c r="J622" s="38"/>
    </row>
    <row r="623" customFormat="false" ht="15" hidden="false" customHeight="false" outlineLevel="0" collapsed="false">
      <c r="B623" s="35"/>
      <c r="D623" s="36"/>
      <c r="E623" s="37"/>
      <c r="F623" s="38"/>
      <c r="J623" s="38"/>
    </row>
    <row r="624" customFormat="false" ht="15" hidden="false" customHeight="false" outlineLevel="0" collapsed="false">
      <c r="B624" s="35"/>
      <c r="D624" s="36"/>
      <c r="E624" s="37"/>
      <c r="F624" s="38"/>
      <c r="J624" s="38"/>
    </row>
    <row r="625" customFormat="false" ht="15" hidden="false" customHeight="false" outlineLevel="0" collapsed="false">
      <c r="B625" s="35"/>
      <c r="D625" s="36"/>
      <c r="E625" s="37"/>
      <c r="F625" s="38"/>
      <c r="J625" s="38"/>
    </row>
    <row r="626" customFormat="false" ht="15" hidden="false" customHeight="false" outlineLevel="0" collapsed="false">
      <c r="B626" s="35"/>
      <c r="D626" s="36"/>
      <c r="E626" s="37"/>
      <c r="F626" s="38"/>
      <c r="J626" s="38"/>
    </row>
    <row r="627" customFormat="false" ht="15" hidden="false" customHeight="false" outlineLevel="0" collapsed="false">
      <c r="B627" s="35"/>
      <c r="D627" s="36"/>
      <c r="E627" s="37"/>
      <c r="F627" s="38"/>
      <c r="J627" s="38"/>
    </row>
    <row r="628" customFormat="false" ht="15" hidden="false" customHeight="false" outlineLevel="0" collapsed="false">
      <c r="B628" s="35"/>
      <c r="D628" s="36"/>
      <c r="E628" s="37"/>
      <c r="F628" s="38"/>
      <c r="J628" s="38"/>
    </row>
    <row r="629" customFormat="false" ht="15" hidden="false" customHeight="false" outlineLevel="0" collapsed="false">
      <c r="B629" s="35"/>
      <c r="D629" s="36"/>
      <c r="E629" s="37"/>
      <c r="F629" s="38"/>
      <c r="J629" s="38"/>
    </row>
    <row r="630" customFormat="false" ht="15" hidden="false" customHeight="false" outlineLevel="0" collapsed="false">
      <c r="B630" s="35"/>
      <c r="D630" s="36"/>
      <c r="E630" s="37"/>
      <c r="F630" s="38"/>
      <c r="J630" s="38"/>
    </row>
    <row r="631" customFormat="false" ht="15" hidden="false" customHeight="false" outlineLevel="0" collapsed="false">
      <c r="B631" s="35"/>
      <c r="D631" s="36"/>
      <c r="E631" s="37"/>
      <c r="F631" s="38"/>
      <c r="J631" s="38"/>
    </row>
    <row r="632" customFormat="false" ht="15" hidden="false" customHeight="false" outlineLevel="0" collapsed="false">
      <c r="B632" s="35"/>
      <c r="D632" s="36"/>
      <c r="E632" s="37"/>
      <c r="F632" s="38"/>
      <c r="J632" s="38"/>
    </row>
    <row r="633" customFormat="false" ht="15" hidden="false" customHeight="false" outlineLevel="0" collapsed="false">
      <c r="B633" s="35"/>
      <c r="D633" s="36"/>
      <c r="E633" s="37"/>
      <c r="F633" s="38"/>
      <c r="J633" s="38"/>
    </row>
    <row r="634" customFormat="false" ht="15" hidden="false" customHeight="false" outlineLevel="0" collapsed="false">
      <c r="B634" s="35"/>
      <c r="D634" s="36"/>
      <c r="E634" s="37"/>
      <c r="F634" s="38"/>
      <c r="J634" s="38"/>
    </row>
    <row r="635" customFormat="false" ht="15" hidden="false" customHeight="false" outlineLevel="0" collapsed="false">
      <c r="B635" s="35"/>
      <c r="D635" s="36"/>
      <c r="E635" s="37"/>
      <c r="F635" s="38"/>
      <c r="J635" s="38"/>
    </row>
    <row r="636" customFormat="false" ht="15" hidden="false" customHeight="false" outlineLevel="0" collapsed="false">
      <c r="B636" s="35"/>
      <c r="D636" s="36"/>
      <c r="E636" s="37"/>
      <c r="F636" s="38"/>
      <c r="J636" s="38"/>
    </row>
    <row r="637" customFormat="false" ht="15" hidden="false" customHeight="false" outlineLevel="0" collapsed="false">
      <c r="B637" s="35"/>
      <c r="D637" s="36"/>
      <c r="E637" s="37"/>
      <c r="F637" s="38"/>
      <c r="J637" s="38"/>
    </row>
    <row r="638" customFormat="false" ht="15" hidden="false" customHeight="false" outlineLevel="0" collapsed="false">
      <c r="B638" s="35"/>
      <c r="D638" s="36"/>
      <c r="E638" s="37"/>
      <c r="F638" s="38"/>
      <c r="J638" s="38"/>
    </row>
    <row r="639" customFormat="false" ht="15" hidden="false" customHeight="false" outlineLevel="0" collapsed="false">
      <c r="B639" s="35"/>
      <c r="D639" s="36"/>
      <c r="E639" s="37"/>
      <c r="F639" s="38"/>
      <c r="J639" s="38"/>
    </row>
    <row r="640" customFormat="false" ht="15" hidden="false" customHeight="false" outlineLevel="0" collapsed="false">
      <c r="B640" s="35"/>
      <c r="D640" s="36"/>
      <c r="E640" s="37"/>
      <c r="F640" s="38"/>
      <c r="J640" s="38"/>
    </row>
    <row r="641" customFormat="false" ht="15" hidden="false" customHeight="false" outlineLevel="0" collapsed="false">
      <c r="B641" s="35"/>
      <c r="D641" s="36"/>
      <c r="E641" s="37"/>
      <c r="F641" s="38"/>
      <c r="J641" s="38"/>
    </row>
    <row r="642" customFormat="false" ht="15" hidden="false" customHeight="false" outlineLevel="0" collapsed="false">
      <c r="B642" s="35"/>
      <c r="D642" s="36"/>
      <c r="E642" s="37"/>
      <c r="F642" s="38"/>
      <c r="J642" s="38"/>
    </row>
    <row r="643" customFormat="false" ht="15" hidden="false" customHeight="false" outlineLevel="0" collapsed="false">
      <c r="B643" s="35"/>
      <c r="D643" s="36"/>
      <c r="E643" s="37"/>
      <c r="F643" s="38"/>
      <c r="J643" s="38"/>
    </row>
    <row r="644" customFormat="false" ht="15" hidden="false" customHeight="false" outlineLevel="0" collapsed="false">
      <c r="B644" s="35"/>
      <c r="D644" s="36"/>
      <c r="E644" s="37"/>
      <c r="F644" s="38"/>
      <c r="J644" s="38"/>
    </row>
    <row r="645" customFormat="false" ht="15" hidden="false" customHeight="false" outlineLevel="0" collapsed="false">
      <c r="B645" s="35"/>
      <c r="D645" s="36"/>
      <c r="E645" s="37"/>
      <c r="F645" s="38"/>
      <c r="J645" s="38"/>
    </row>
    <row r="646" customFormat="false" ht="15" hidden="false" customHeight="false" outlineLevel="0" collapsed="false">
      <c r="B646" s="35"/>
      <c r="D646" s="36"/>
      <c r="E646" s="37"/>
      <c r="F646" s="38"/>
      <c r="J646" s="38"/>
    </row>
    <row r="647" customFormat="false" ht="15" hidden="false" customHeight="false" outlineLevel="0" collapsed="false">
      <c r="B647" s="35"/>
      <c r="D647" s="36"/>
      <c r="E647" s="37"/>
      <c r="F647" s="38"/>
      <c r="J647" s="38"/>
    </row>
    <row r="648" customFormat="false" ht="15" hidden="false" customHeight="false" outlineLevel="0" collapsed="false">
      <c r="B648" s="35"/>
      <c r="D648" s="36"/>
      <c r="E648" s="37"/>
      <c r="F648" s="38"/>
      <c r="J648" s="38"/>
    </row>
    <row r="649" customFormat="false" ht="15" hidden="false" customHeight="false" outlineLevel="0" collapsed="false">
      <c r="B649" s="35"/>
      <c r="D649" s="36"/>
      <c r="E649" s="37"/>
      <c r="F649" s="38"/>
      <c r="J649" s="38"/>
    </row>
    <row r="650" customFormat="false" ht="15" hidden="false" customHeight="false" outlineLevel="0" collapsed="false">
      <c r="B650" s="35"/>
      <c r="D650" s="36"/>
      <c r="E650" s="37"/>
      <c r="F650" s="38"/>
      <c r="J650" s="38"/>
    </row>
    <row r="651" customFormat="false" ht="15" hidden="false" customHeight="false" outlineLevel="0" collapsed="false">
      <c r="B651" s="35"/>
      <c r="D651" s="36"/>
      <c r="E651" s="37"/>
      <c r="F651" s="38"/>
      <c r="J651" s="38"/>
    </row>
    <row r="652" customFormat="false" ht="15" hidden="false" customHeight="false" outlineLevel="0" collapsed="false">
      <c r="B652" s="35"/>
      <c r="D652" s="36"/>
      <c r="E652" s="37"/>
      <c r="F652" s="38"/>
      <c r="J652" s="38"/>
    </row>
    <row r="653" customFormat="false" ht="15" hidden="false" customHeight="false" outlineLevel="0" collapsed="false">
      <c r="B653" s="35"/>
      <c r="D653" s="36"/>
      <c r="E653" s="37"/>
      <c r="F653" s="38"/>
      <c r="J653" s="38"/>
    </row>
    <row r="654" customFormat="false" ht="15" hidden="false" customHeight="false" outlineLevel="0" collapsed="false">
      <c r="B654" s="35"/>
      <c r="D654" s="36"/>
      <c r="E654" s="37"/>
      <c r="F654" s="38"/>
      <c r="J654" s="38"/>
    </row>
    <row r="655" customFormat="false" ht="15" hidden="false" customHeight="false" outlineLevel="0" collapsed="false">
      <c r="B655" s="35"/>
      <c r="D655" s="36"/>
      <c r="E655" s="37"/>
      <c r="F655" s="38"/>
      <c r="J655" s="38"/>
    </row>
    <row r="656" customFormat="false" ht="15" hidden="false" customHeight="false" outlineLevel="0" collapsed="false">
      <c r="B656" s="35"/>
      <c r="D656" s="36"/>
      <c r="E656" s="37"/>
      <c r="F656" s="38"/>
      <c r="J656" s="38"/>
    </row>
    <row r="657" customFormat="false" ht="15" hidden="false" customHeight="false" outlineLevel="0" collapsed="false">
      <c r="B657" s="35"/>
      <c r="D657" s="36"/>
      <c r="E657" s="37"/>
      <c r="F657" s="38"/>
      <c r="J657" s="38"/>
    </row>
    <row r="658" customFormat="false" ht="15" hidden="false" customHeight="false" outlineLevel="0" collapsed="false">
      <c r="B658" s="35"/>
      <c r="D658" s="36"/>
      <c r="E658" s="37"/>
      <c r="F658" s="38"/>
      <c r="J658" s="38"/>
    </row>
    <row r="659" customFormat="false" ht="15" hidden="false" customHeight="false" outlineLevel="0" collapsed="false">
      <c r="B659" s="35"/>
      <c r="D659" s="36"/>
      <c r="E659" s="37"/>
      <c r="F659" s="38"/>
      <c r="J659" s="38"/>
    </row>
    <row r="660" customFormat="false" ht="15" hidden="false" customHeight="false" outlineLevel="0" collapsed="false">
      <c r="B660" s="35"/>
      <c r="D660" s="36"/>
      <c r="E660" s="37"/>
      <c r="F660" s="38"/>
      <c r="J660" s="38"/>
    </row>
    <row r="661" customFormat="false" ht="15" hidden="false" customHeight="false" outlineLevel="0" collapsed="false">
      <c r="B661" s="35"/>
      <c r="D661" s="36"/>
      <c r="E661" s="37"/>
      <c r="F661" s="38"/>
      <c r="J661" s="38"/>
    </row>
    <row r="662" customFormat="false" ht="15" hidden="false" customHeight="false" outlineLevel="0" collapsed="false">
      <c r="B662" s="35"/>
      <c r="D662" s="36"/>
      <c r="E662" s="37"/>
      <c r="F662" s="38"/>
      <c r="J662" s="38"/>
    </row>
    <row r="663" customFormat="false" ht="15" hidden="false" customHeight="false" outlineLevel="0" collapsed="false">
      <c r="B663" s="35"/>
      <c r="D663" s="36"/>
      <c r="E663" s="37"/>
      <c r="F663" s="38"/>
      <c r="J663" s="38"/>
    </row>
    <row r="664" customFormat="false" ht="15" hidden="false" customHeight="false" outlineLevel="0" collapsed="false">
      <c r="B664" s="35"/>
      <c r="D664" s="36"/>
      <c r="E664" s="37"/>
      <c r="F664" s="38"/>
      <c r="J664" s="38"/>
    </row>
    <row r="665" customFormat="false" ht="15" hidden="false" customHeight="false" outlineLevel="0" collapsed="false">
      <c r="B665" s="35"/>
      <c r="D665" s="36"/>
      <c r="E665" s="37"/>
      <c r="F665" s="38"/>
      <c r="J665" s="38"/>
    </row>
    <row r="666" customFormat="false" ht="15" hidden="false" customHeight="false" outlineLevel="0" collapsed="false">
      <c r="B666" s="35"/>
      <c r="D666" s="36"/>
      <c r="E666" s="37"/>
      <c r="F666" s="38"/>
      <c r="J666" s="38"/>
    </row>
    <row r="667" customFormat="false" ht="15" hidden="false" customHeight="false" outlineLevel="0" collapsed="false">
      <c r="B667" s="35"/>
      <c r="D667" s="36"/>
      <c r="E667" s="37"/>
      <c r="F667" s="38"/>
      <c r="J667" s="38"/>
    </row>
    <row r="668" customFormat="false" ht="15" hidden="false" customHeight="false" outlineLevel="0" collapsed="false">
      <c r="B668" s="35"/>
      <c r="D668" s="36"/>
      <c r="E668" s="37"/>
      <c r="F668" s="38"/>
      <c r="J668" s="38"/>
    </row>
    <row r="669" customFormat="false" ht="15" hidden="false" customHeight="false" outlineLevel="0" collapsed="false">
      <c r="B669" s="35"/>
      <c r="D669" s="36"/>
      <c r="E669" s="37"/>
      <c r="F669" s="38"/>
      <c r="J669" s="38"/>
    </row>
    <row r="670" customFormat="false" ht="15" hidden="false" customHeight="false" outlineLevel="0" collapsed="false">
      <c r="B670" s="35"/>
      <c r="D670" s="36"/>
      <c r="E670" s="37"/>
      <c r="F670" s="38"/>
      <c r="J670" s="38"/>
    </row>
    <row r="671" customFormat="false" ht="15" hidden="false" customHeight="false" outlineLevel="0" collapsed="false">
      <c r="B671" s="35"/>
      <c r="D671" s="36"/>
      <c r="E671" s="37"/>
      <c r="F671" s="38"/>
      <c r="J671" s="38"/>
    </row>
    <row r="672" customFormat="false" ht="15" hidden="false" customHeight="false" outlineLevel="0" collapsed="false">
      <c r="B672" s="35"/>
      <c r="D672" s="36"/>
      <c r="E672" s="37"/>
      <c r="F672" s="38"/>
      <c r="J672" s="38"/>
    </row>
    <row r="673" customFormat="false" ht="15" hidden="false" customHeight="false" outlineLevel="0" collapsed="false">
      <c r="B673" s="35"/>
      <c r="D673" s="36"/>
      <c r="E673" s="37"/>
      <c r="F673" s="38"/>
      <c r="J673" s="38"/>
    </row>
    <row r="674" customFormat="false" ht="15" hidden="false" customHeight="false" outlineLevel="0" collapsed="false">
      <c r="B674" s="35"/>
      <c r="D674" s="36"/>
      <c r="E674" s="37"/>
      <c r="F674" s="38"/>
      <c r="J674" s="38"/>
    </row>
    <row r="675" customFormat="false" ht="15" hidden="false" customHeight="false" outlineLevel="0" collapsed="false">
      <c r="B675" s="35"/>
      <c r="D675" s="36"/>
      <c r="E675" s="37"/>
      <c r="F675" s="38"/>
      <c r="J675" s="38"/>
    </row>
    <row r="676" customFormat="false" ht="15" hidden="false" customHeight="false" outlineLevel="0" collapsed="false">
      <c r="B676" s="35"/>
      <c r="D676" s="36"/>
      <c r="E676" s="37"/>
      <c r="F676" s="38"/>
      <c r="J676" s="38"/>
    </row>
    <row r="677" customFormat="false" ht="15" hidden="false" customHeight="false" outlineLevel="0" collapsed="false">
      <c r="B677" s="35"/>
      <c r="D677" s="36"/>
      <c r="E677" s="37"/>
      <c r="F677" s="38"/>
      <c r="J677" s="38"/>
    </row>
    <row r="678" customFormat="false" ht="15" hidden="false" customHeight="false" outlineLevel="0" collapsed="false">
      <c r="B678" s="35"/>
      <c r="D678" s="36"/>
      <c r="E678" s="37"/>
      <c r="F678" s="38"/>
      <c r="J678" s="38"/>
    </row>
    <row r="679" customFormat="false" ht="15" hidden="false" customHeight="false" outlineLevel="0" collapsed="false">
      <c r="B679" s="35"/>
      <c r="D679" s="36"/>
      <c r="E679" s="37"/>
      <c r="F679" s="38"/>
      <c r="J679" s="38"/>
    </row>
    <row r="680" customFormat="false" ht="15" hidden="false" customHeight="false" outlineLevel="0" collapsed="false">
      <c r="B680" s="35"/>
      <c r="D680" s="36"/>
      <c r="E680" s="37"/>
      <c r="F680" s="38"/>
      <c r="J680" s="38"/>
    </row>
    <row r="681" customFormat="false" ht="15" hidden="false" customHeight="false" outlineLevel="0" collapsed="false">
      <c r="B681" s="35"/>
      <c r="D681" s="36"/>
      <c r="E681" s="37"/>
      <c r="F681" s="38"/>
      <c r="J681" s="38"/>
    </row>
    <row r="682" customFormat="false" ht="15" hidden="false" customHeight="false" outlineLevel="0" collapsed="false">
      <c r="B682" s="35"/>
      <c r="D682" s="36"/>
      <c r="E682" s="37"/>
      <c r="F682" s="38"/>
      <c r="J682" s="38"/>
    </row>
    <row r="683" customFormat="false" ht="15" hidden="false" customHeight="false" outlineLevel="0" collapsed="false">
      <c r="B683" s="35"/>
      <c r="D683" s="36"/>
      <c r="E683" s="37"/>
      <c r="F683" s="38"/>
      <c r="J683" s="38"/>
    </row>
    <row r="684" customFormat="false" ht="15" hidden="false" customHeight="false" outlineLevel="0" collapsed="false">
      <c r="B684" s="35"/>
      <c r="D684" s="36"/>
      <c r="E684" s="37"/>
      <c r="F684" s="38"/>
      <c r="J684" s="38"/>
    </row>
    <row r="685" customFormat="false" ht="15" hidden="false" customHeight="false" outlineLevel="0" collapsed="false">
      <c r="B685" s="35"/>
      <c r="D685" s="36"/>
      <c r="E685" s="37"/>
      <c r="F685" s="38"/>
      <c r="J685" s="38"/>
    </row>
    <row r="686" customFormat="false" ht="15" hidden="false" customHeight="false" outlineLevel="0" collapsed="false">
      <c r="B686" s="35"/>
      <c r="D686" s="36"/>
      <c r="E686" s="37"/>
      <c r="F686" s="38"/>
      <c r="J686" s="38"/>
    </row>
    <row r="687" customFormat="false" ht="15" hidden="false" customHeight="false" outlineLevel="0" collapsed="false">
      <c r="B687" s="35"/>
      <c r="D687" s="36"/>
      <c r="E687" s="37"/>
      <c r="F687" s="38"/>
      <c r="J687" s="38"/>
    </row>
    <row r="688" customFormat="false" ht="15" hidden="false" customHeight="false" outlineLevel="0" collapsed="false">
      <c r="B688" s="35"/>
      <c r="D688" s="36"/>
      <c r="E688" s="37"/>
      <c r="F688" s="38"/>
      <c r="J688" s="38"/>
    </row>
    <row r="689" customFormat="false" ht="15" hidden="false" customHeight="false" outlineLevel="0" collapsed="false">
      <c r="B689" s="35"/>
      <c r="D689" s="36"/>
      <c r="E689" s="37"/>
      <c r="F689" s="38"/>
      <c r="J689" s="38"/>
    </row>
    <row r="690" customFormat="false" ht="15" hidden="false" customHeight="false" outlineLevel="0" collapsed="false">
      <c r="B690" s="35"/>
      <c r="D690" s="36"/>
      <c r="E690" s="37"/>
      <c r="F690" s="38"/>
      <c r="J690" s="38"/>
    </row>
    <row r="691" customFormat="false" ht="15" hidden="false" customHeight="false" outlineLevel="0" collapsed="false">
      <c r="B691" s="35"/>
      <c r="D691" s="36"/>
      <c r="E691" s="37"/>
      <c r="F691" s="38"/>
      <c r="J691" s="38"/>
    </row>
    <row r="692" customFormat="false" ht="15" hidden="false" customHeight="false" outlineLevel="0" collapsed="false">
      <c r="B692" s="35"/>
      <c r="D692" s="36"/>
      <c r="E692" s="37"/>
      <c r="F692" s="38"/>
      <c r="J692" s="38"/>
    </row>
    <row r="693" customFormat="false" ht="15" hidden="false" customHeight="false" outlineLevel="0" collapsed="false">
      <c r="B693" s="35"/>
      <c r="D693" s="36"/>
      <c r="E693" s="37"/>
      <c r="F693" s="38"/>
      <c r="J693" s="38"/>
    </row>
    <row r="694" customFormat="false" ht="15" hidden="false" customHeight="false" outlineLevel="0" collapsed="false">
      <c r="B694" s="35"/>
      <c r="D694" s="36"/>
      <c r="E694" s="37"/>
      <c r="F694" s="38"/>
      <c r="J694" s="38"/>
    </row>
    <row r="695" customFormat="false" ht="15" hidden="false" customHeight="false" outlineLevel="0" collapsed="false">
      <c r="B695" s="35"/>
      <c r="D695" s="36"/>
      <c r="E695" s="37"/>
      <c r="F695" s="38"/>
      <c r="J695" s="38"/>
    </row>
    <row r="696" customFormat="false" ht="15" hidden="false" customHeight="false" outlineLevel="0" collapsed="false">
      <c r="B696" s="35"/>
      <c r="D696" s="36"/>
      <c r="E696" s="37"/>
      <c r="F696" s="38"/>
      <c r="J696" s="38"/>
    </row>
    <row r="697" customFormat="false" ht="15" hidden="false" customHeight="false" outlineLevel="0" collapsed="false">
      <c r="B697" s="35"/>
      <c r="D697" s="36"/>
      <c r="E697" s="37"/>
      <c r="F697" s="38"/>
      <c r="J697" s="38"/>
    </row>
    <row r="698" customFormat="false" ht="15" hidden="false" customHeight="false" outlineLevel="0" collapsed="false">
      <c r="B698" s="35"/>
      <c r="D698" s="36"/>
      <c r="E698" s="37"/>
      <c r="F698" s="38"/>
      <c r="J698" s="38"/>
    </row>
    <row r="699" customFormat="false" ht="15" hidden="false" customHeight="false" outlineLevel="0" collapsed="false">
      <c r="B699" s="35"/>
      <c r="D699" s="36"/>
      <c r="E699" s="37"/>
      <c r="F699" s="38"/>
      <c r="J699" s="38"/>
    </row>
    <row r="700" customFormat="false" ht="15" hidden="false" customHeight="false" outlineLevel="0" collapsed="false">
      <c r="B700" s="35"/>
      <c r="D700" s="36"/>
      <c r="E700" s="37"/>
      <c r="F700" s="38"/>
      <c r="J700" s="38"/>
    </row>
    <row r="701" customFormat="false" ht="15" hidden="false" customHeight="false" outlineLevel="0" collapsed="false">
      <c r="B701" s="35"/>
      <c r="D701" s="36"/>
      <c r="E701" s="37"/>
      <c r="F701" s="38"/>
      <c r="J701" s="38"/>
    </row>
    <row r="702" customFormat="false" ht="15" hidden="false" customHeight="false" outlineLevel="0" collapsed="false">
      <c r="B702" s="35"/>
      <c r="D702" s="36"/>
      <c r="E702" s="37"/>
      <c r="F702" s="38"/>
      <c r="J702" s="38"/>
    </row>
    <row r="703" customFormat="false" ht="15" hidden="false" customHeight="false" outlineLevel="0" collapsed="false">
      <c r="B703" s="35"/>
      <c r="D703" s="36"/>
      <c r="E703" s="37"/>
      <c r="F703" s="38"/>
      <c r="J703" s="38"/>
    </row>
    <row r="704" customFormat="false" ht="15" hidden="false" customHeight="false" outlineLevel="0" collapsed="false">
      <c r="B704" s="35"/>
      <c r="D704" s="36"/>
      <c r="E704" s="37"/>
      <c r="F704" s="38"/>
      <c r="J704" s="38"/>
    </row>
    <row r="705" customFormat="false" ht="15" hidden="false" customHeight="false" outlineLevel="0" collapsed="false">
      <c r="B705" s="35"/>
      <c r="D705" s="36"/>
      <c r="E705" s="37"/>
      <c r="F705" s="38"/>
      <c r="J705" s="38"/>
    </row>
    <row r="706" customFormat="false" ht="15" hidden="false" customHeight="false" outlineLevel="0" collapsed="false">
      <c r="B706" s="35"/>
      <c r="D706" s="36"/>
      <c r="E706" s="37"/>
      <c r="F706" s="38"/>
      <c r="J706" s="38"/>
    </row>
    <row r="707" customFormat="false" ht="15" hidden="false" customHeight="false" outlineLevel="0" collapsed="false">
      <c r="B707" s="35"/>
      <c r="D707" s="36"/>
      <c r="E707" s="37"/>
      <c r="F707" s="38"/>
      <c r="J707" s="38"/>
    </row>
    <row r="708" customFormat="false" ht="15" hidden="false" customHeight="false" outlineLevel="0" collapsed="false">
      <c r="B708" s="35"/>
      <c r="D708" s="36"/>
      <c r="E708" s="37"/>
      <c r="F708" s="38"/>
      <c r="J708" s="38"/>
    </row>
    <row r="709" customFormat="false" ht="15" hidden="false" customHeight="false" outlineLevel="0" collapsed="false">
      <c r="B709" s="35"/>
      <c r="D709" s="36"/>
      <c r="E709" s="37"/>
      <c r="F709" s="38"/>
      <c r="J709" s="38"/>
    </row>
    <row r="710" customFormat="false" ht="15" hidden="false" customHeight="false" outlineLevel="0" collapsed="false">
      <c r="B710" s="35"/>
      <c r="D710" s="36"/>
      <c r="E710" s="37"/>
      <c r="F710" s="38"/>
      <c r="J710" s="38"/>
    </row>
    <row r="711" customFormat="false" ht="15" hidden="false" customHeight="false" outlineLevel="0" collapsed="false">
      <c r="B711" s="35"/>
      <c r="D711" s="36"/>
      <c r="E711" s="37"/>
      <c r="F711" s="38"/>
      <c r="J711" s="38"/>
    </row>
    <row r="712" customFormat="false" ht="15" hidden="false" customHeight="false" outlineLevel="0" collapsed="false">
      <c r="B712" s="35"/>
      <c r="D712" s="36"/>
      <c r="E712" s="37"/>
      <c r="F712" s="38"/>
      <c r="J712" s="38"/>
    </row>
    <row r="713" customFormat="false" ht="15" hidden="false" customHeight="false" outlineLevel="0" collapsed="false">
      <c r="B713" s="35"/>
      <c r="D713" s="36"/>
      <c r="E713" s="37"/>
      <c r="F713" s="38"/>
      <c r="J713" s="38"/>
    </row>
    <row r="714" customFormat="false" ht="15" hidden="false" customHeight="false" outlineLevel="0" collapsed="false">
      <c r="B714" s="35"/>
      <c r="D714" s="36"/>
      <c r="E714" s="37"/>
      <c r="F714" s="38"/>
      <c r="J714" s="38"/>
    </row>
    <row r="715" customFormat="false" ht="15" hidden="false" customHeight="false" outlineLevel="0" collapsed="false">
      <c r="B715" s="35"/>
      <c r="D715" s="36"/>
      <c r="E715" s="37"/>
      <c r="F715" s="38"/>
      <c r="J715" s="38"/>
    </row>
    <row r="716" customFormat="false" ht="15" hidden="false" customHeight="false" outlineLevel="0" collapsed="false">
      <c r="B716" s="35"/>
      <c r="D716" s="36"/>
      <c r="E716" s="37"/>
      <c r="F716" s="38"/>
      <c r="J716" s="38"/>
    </row>
    <row r="717" customFormat="false" ht="15" hidden="false" customHeight="false" outlineLevel="0" collapsed="false">
      <c r="B717" s="35"/>
      <c r="D717" s="36"/>
      <c r="E717" s="37"/>
      <c r="F717" s="38"/>
      <c r="J717" s="38"/>
    </row>
    <row r="718" customFormat="false" ht="15" hidden="false" customHeight="false" outlineLevel="0" collapsed="false">
      <c r="B718" s="35"/>
      <c r="D718" s="36"/>
      <c r="E718" s="37"/>
      <c r="F718" s="38"/>
      <c r="J718" s="38"/>
    </row>
    <row r="719" customFormat="false" ht="15" hidden="false" customHeight="false" outlineLevel="0" collapsed="false">
      <c r="B719" s="35"/>
      <c r="D719" s="36"/>
      <c r="E719" s="37"/>
      <c r="F719" s="38"/>
      <c r="J719" s="38"/>
    </row>
    <row r="720" customFormat="false" ht="15" hidden="false" customHeight="false" outlineLevel="0" collapsed="false">
      <c r="B720" s="35"/>
      <c r="D720" s="36"/>
      <c r="E720" s="37"/>
      <c r="F720" s="38"/>
      <c r="J720" s="38"/>
    </row>
    <row r="721" customFormat="false" ht="15" hidden="false" customHeight="false" outlineLevel="0" collapsed="false">
      <c r="B721" s="35"/>
      <c r="D721" s="36"/>
      <c r="E721" s="37"/>
      <c r="F721" s="38"/>
      <c r="J721" s="38"/>
    </row>
    <row r="722" customFormat="false" ht="15" hidden="false" customHeight="false" outlineLevel="0" collapsed="false">
      <c r="B722" s="35"/>
      <c r="D722" s="36"/>
      <c r="E722" s="37"/>
      <c r="F722" s="38"/>
      <c r="J722" s="38"/>
    </row>
    <row r="723" customFormat="false" ht="15" hidden="false" customHeight="false" outlineLevel="0" collapsed="false">
      <c r="B723" s="35"/>
      <c r="D723" s="36"/>
      <c r="E723" s="37"/>
      <c r="F723" s="38"/>
      <c r="J723" s="38"/>
    </row>
    <row r="724" customFormat="false" ht="15" hidden="false" customHeight="false" outlineLevel="0" collapsed="false">
      <c r="B724" s="35"/>
      <c r="D724" s="36"/>
      <c r="E724" s="37"/>
      <c r="F724" s="38"/>
      <c r="J724" s="38"/>
    </row>
    <row r="725" customFormat="false" ht="15" hidden="false" customHeight="false" outlineLevel="0" collapsed="false">
      <c r="B725" s="35"/>
      <c r="D725" s="36"/>
      <c r="E725" s="37"/>
      <c r="F725" s="38"/>
      <c r="J725" s="38"/>
    </row>
    <row r="726" customFormat="false" ht="15" hidden="false" customHeight="false" outlineLevel="0" collapsed="false">
      <c r="B726" s="35"/>
      <c r="D726" s="36"/>
      <c r="E726" s="37"/>
      <c r="F726" s="38"/>
      <c r="J726" s="38"/>
    </row>
    <row r="727" customFormat="false" ht="15" hidden="false" customHeight="false" outlineLevel="0" collapsed="false">
      <c r="B727" s="35"/>
      <c r="D727" s="36"/>
      <c r="E727" s="37"/>
      <c r="F727" s="38"/>
      <c r="J727" s="38"/>
    </row>
    <row r="728" customFormat="false" ht="15" hidden="false" customHeight="false" outlineLevel="0" collapsed="false">
      <c r="B728" s="35"/>
      <c r="D728" s="36"/>
      <c r="E728" s="37"/>
      <c r="F728" s="38"/>
      <c r="J728" s="38"/>
    </row>
    <row r="729" customFormat="false" ht="15" hidden="false" customHeight="false" outlineLevel="0" collapsed="false">
      <c r="B729" s="35"/>
      <c r="D729" s="36"/>
      <c r="E729" s="37"/>
      <c r="F729" s="38"/>
      <c r="J729" s="38"/>
    </row>
    <row r="730" customFormat="false" ht="15" hidden="false" customHeight="false" outlineLevel="0" collapsed="false">
      <c r="B730" s="35"/>
      <c r="D730" s="36"/>
      <c r="E730" s="37"/>
      <c r="F730" s="38"/>
      <c r="J730" s="38"/>
    </row>
    <row r="731" customFormat="false" ht="15" hidden="false" customHeight="false" outlineLevel="0" collapsed="false">
      <c r="B731" s="35"/>
      <c r="D731" s="36"/>
      <c r="E731" s="37"/>
      <c r="F731" s="38"/>
      <c r="J731" s="38"/>
    </row>
    <row r="732" customFormat="false" ht="15" hidden="false" customHeight="false" outlineLevel="0" collapsed="false">
      <c r="B732" s="35"/>
      <c r="D732" s="36"/>
      <c r="E732" s="37"/>
      <c r="F732" s="38"/>
      <c r="J732" s="38"/>
    </row>
    <row r="733" customFormat="false" ht="15" hidden="false" customHeight="false" outlineLevel="0" collapsed="false">
      <c r="B733" s="35"/>
      <c r="D733" s="36"/>
      <c r="E733" s="37"/>
      <c r="F733" s="38"/>
      <c r="J733" s="38"/>
    </row>
    <row r="734" customFormat="false" ht="15" hidden="false" customHeight="false" outlineLevel="0" collapsed="false">
      <c r="B734" s="35"/>
      <c r="D734" s="36"/>
      <c r="E734" s="37"/>
      <c r="F734" s="38"/>
      <c r="J734" s="38"/>
    </row>
    <row r="735" customFormat="false" ht="15" hidden="false" customHeight="false" outlineLevel="0" collapsed="false">
      <c r="B735" s="35"/>
      <c r="D735" s="36"/>
      <c r="E735" s="37"/>
      <c r="F735" s="38"/>
      <c r="J735" s="38"/>
    </row>
    <row r="736" customFormat="false" ht="15" hidden="false" customHeight="false" outlineLevel="0" collapsed="false">
      <c r="B736" s="35"/>
      <c r="D736" s="36"/>
      <c r="E736" s="37"/>
      <c r="F736" s="38"/>
      <c r="J736" s="38"/>
    </row>
    <row r="737" customFormat="false" ht="15" hidden="false" customHeight="false" outlineLevel="0" collapsed="false">
      <c r="B737" s="35"/>
      <c r="D737" s="36"/>
      <c r="E737" s="37"/>
      <c r="F737" s="38"/>
      <c r="J737" s="38"/>
    </row>
    <row r="738" customFormat="false" ht="15" hidden="false" customHeight="false" outlineLevel="0" collapsed="false">
      <c r="B738" s="35"/>
      <c r="D738" s="36"/>
      <c r="E738" s="37"/>
      <c r="F738" s="38"/>
      <c r="J738" s="38"/>
    </row>
    <row r="739" customFormat="false" ht="15" hidden="false" customHeight="false" outlineLevel="0" collapsed="false">
      <c r="B739" s="35"/>
      <c r="D739" s="36"/>
      <c r="E739" s="37"/>
      <c r="F739" s="38"/>
      <c r="J739" s="38"/>
    </row>
    <row r="740" customFormat="false" ht="15" hidden="false" customHeight="false" outlineLevel="0" collapsed="false">
      <c r="B740" s="35"/>
      <c r="D740" s="36"/>
      <c r="E740" s="37"/>
      <c r="F740" s="38"/>
      <c r="J740" s="38"/>
    </row>
    <row r="741" customFormat="false" ht="15" hidden="false" customHeight="false" outlineLevel="0" collapsed="false">
      <c r="B741" s="35"/>
      <c r="D741" s="36"/>
      <c r="E741" s="37"/>
      <c r="F741" s="38"/>
      <c r="J741" s="38"/>
    </row>
    <row r="742" customFormat="false" ht="15" hidden="false" customHeight="false" outlineLevel="0" collapsed="false">
      <c r="B742" s="35"/>
      <c r="D742" s="36"/>
      <c r="E742" s="37"/>
      <c r="F742" s="38"/>
      <c r="J742" s="38"/>
    </row>
    <row r="743" customFormat="false" ht="15" hidden="false" customHeight="false" outlineLevel="0" collapsed="false">
      <c r="B743" s="35"/>
      <c r="D743" s="36"/>
      <c r="E743" s="37"/>
      <c r="F743" s="38"/>
      <c r="J743" s="38"/>
    </row>
    <row r="744" customFormat="false" ht="15" hidden="false" customHeight="false" outlineLevel="0" collapsed="false">
      <c r="B744" s="35"/>
      <c r="D744" s="36"/>
      <c r="E744" s="37"/>
      <c r="F744" s="38"/>
      <c r="J744" s="38"/>
    </row>
    <row r="745" customFormat="false" ht="15" hidden="false" customHeight="false" outlineLevel="0" collapsed="false">
      <c r="B745" s="35"/>
      <c r="D745" s="36"/>
      <c r="E745" s="37"/>
      <c r="F745" s="38"/>
      <c r="J745" s="38"/>
    </row>
    <row r="746" customFormat="false" ht="15" hidden="false" customHeight="false" outlineLevel="0" collapsed="false">
      <c r="B746" s="35"/>
      <c r="D746" s="36"/>
      <c r="E746" s="37"/>
      <c r="F746" s="38"/>
      <c r="J746" s="38"/>
    </row>
    <row r="747" customFormat="false" ht="15" hidden="false" customHeight="false" outlineLevel="0" collapsed="false">
      <c r="B747" s="35"/>
      <c r="D747" s="36"/>
      <c r="E747" s="37"/>
      <c r="F747" s="38"/>
      <c r="J747" s="38"/>
    </row>
    <row r="748" customFormat="false" ht="15" hidden="false" customHeight="false" outlineLevel="0" collapsed="false">
      <c r="B748" s="35"/>
      <c r="D748" s="36"/>
      <c r="E748" s="37"/>
      <c r="F748" s="38"/>
      <c r="J748" s="38"/>
    </row>
    <row r="749" customFormat="false" ht="15" hidden="false" customHeight="false" outlineLevel="0" collapsed="false">
      <c r="B749" s="35"/>
      <c r="D749" s="36"/>
      <c r="E749" s="37"/>
      <c r="F749" s="38"/>
      <c r="J749" s="38"/>
    </row>
    <row r="750" customFormat="false" ht="15" hidden="false" customHeight="false" outlineLevel="0" collapsed="false">
      <c r="B750" s="35"/>
      <c r="D750" s="36"/>
      <c r="E750" s="37"/>
      <c r="F750" s="38"/>
      <c r="J750" s="38"/>
    </row>
    <row r="751" customFormat="false" ht="15" hidden="false" customHeight="false" outlineLevel="0" collapsed="false">
      <c r="B751" s="35"/>
      <c r="D751" s="36"/>
      <c r="E751" s="37"/>
      <c r="F751" s="38"/>
      <c r="J751" s="38"/>
    </row>
    <row r="752" customFormat="false" ht="15" hidden="false" customHeight="false" outlineLevel="0" collapsed="false">
      <c r="B752" s="35"/>
      <c r="D752" s="36"/>
      <c r="E752" s="37"/>
      <c r="F752" s="38"/>
      <c r="J752" s="38"/>
    </row>
    <row r="753" customFormat="false" ht="15" hidden="false" customHeight="false" outlineLevel="0" collapsed="false">
      <c r="B753" s="35"/>
      <c r="D753" s="36"/>
      <c r="E753" s="37"/>
      <c r="F753" s="38"/>
      <c r="J753" s="38"/>
    </row>
    <row r="754" customFormat="false" ht="15" hidden="false" customHeight="false" outlineLevel="0" collapsed="false">
      <c r="B754" s="35"/>
      <c r="D754" s="36"/>
      <c r="E754" s="37"/>
      <c r="F754" s="38"/>
      <c r="J754" s="38"/>
    </row>
    <row r="755" customFormat="false" ht="15" hidden="false" customHeight="false" outlineLevel="0" collapsed="false">
      <c r="B755" s="35"/>
      <c r="D755" s="36"/>
      <c r="E755" s="37"/>
      <c r="F755" s="38"/>
      <c r="J755" s="38"/>
    </row>
    <row r="756" customFormat="false" ht="15" hidden="false" customHeight="false" outlineLevel="0" collapsed="false">
      <c r="B756" s="35"/>
      <c r="D756" s="36"/>
      <c r="E756" s="37"/>
      <c r="F756" s="38"/>
      <c r="J756" s="38"/>
    </row>
    <row r="757" customFormat="false" ht="15" hidden="false" customHeight="false" outlineLevel="0" collapsed="false">
      <c r="B757" s="35"/>
      <c r="D757" s="36"/>
      <c r="E757" s="37"/>
      <c r="F757" s="38"/>
      <c r="J757" s="38"/>
    </row>
    <row r="758" customFormat="false" ht="15" hidden="false" customHeight="false" outlineLevel="0" collapsed="false">
      <c r="B758" s="35"/>
      <c r="D758" s="36"/>
      <c r="E758" s="37"/>
      <c r="F758" s="38"/>
      <c r="J758" s="38"/>
    </row>
    <row r="759" customFormat="false" ht="15" hidden="false" customHeight="false" outlineLevel="0" collapsed="false">
      <c r="B759" s="35"/>
      <c r="D759" s="36"/>
      <c r="E759" s="37"/>
      <c r="F759" s="38"/>
      <c r="J759" s="38"/>
    </row>
    <row r="760" customFormat="false" ht="15" hidden="false" customHeight="false" outlineLevel="0" collapsed="false">
      <c r="B760" s="35"/>
      <c r="D760" s="36"/>
      <c r="E760" s="37"/>
      <c r="F760" s="38"/>
      <c r="J760" s="38"/>
    </row>
    <row r="761" customFormat="false" ht="15" hidden="false" customHeight="false" outlineLevel="0" collapsed="false">
      <c r="B761" s="35"/>
      <c r="D761" s="36"/>
      <c r="E761" s="37"/>
      <c r="F761" s="38"/>
      <c r="J761" s="38"/>
    </row>
    <row r="762" customFormat="false" ht="15" hidden="false" customHeight="false" outlineLevel="0" collapsed="false">
      <c r="B762" s="35"/>
      <c r="D762" s="36"/>
      <c r="E762" s="37"/>
      <c r="F762" s="38"/>
      <c r="J762" s="38"/>
    </row>
    <row r="763" customFormat="false" ht="15" hidden="false" customHeight="false" outlineLevel="0" collapsed="false">
      <c r="B763" s="35"/>
      <c r="D763" s="36"/>
      <c r="E763" s="37"/>
      <c r="F763" s="38"/>
      <c r="J763" s="38"/>
    </row>
    <row r="764" customFormat="false" ht="15" hidden="false" customHeight="false" outlineLevel="0" collapsed="false">
      <c r="B764" s="35"/>
      <c r="D764" s="36"/>
      <c r="E764" s="37"/>
      <c r="F764" s="38"/>
      <c r="J764" s="38"/>
    </row>
    <row r="765" customFormat="false" ht="15" hidden="false" customHeight="false" outlineLevel="0" collapsed="false">
      <c r="B765" s="35"/>
      <c r="D765" s="36"/>
      <c r="E765" s="37"/>
      <c r="F765" s="38"/>
      <c r="J765" s="38"/>
    </row>
    <row r="766" customFormat="false" ht="15" hidden="false" customHeight="false" outlineLevel="0" collapsed="false">
      <c r="B766" s="35"/>
      <c r="D766" s="36"/>
      <c r="E766" s="37"/>
      <c r="F766" s="38"/>
      <c r="J766" s="38"/>
    </row>
    <row r="767" customFormat="false" ht="15" hidden="false" customHeight="false" outlineLevel="0" collapsed="false">
      <c r="B767" s="35"/>
      <c r="D767" s="36"/>
      <c r="E767" s="37"/>
      <c r="F767" s="38"/>
      <c r="J767" s="38"/>
    </row>
    <row r="768" customFormat="false" ht="15" hidden="false" customHeight="false" outlineLevel="0" collapsed="false">
      <c r="B768" s="35"/>
      <c r="D768" s="36"/>
      <c r="E768" s="37"/>
      <c r="F768" s="38"/>
      <c r="J768" s="38"/>
    </row>
    <row r="769" customFormat="false" ht="15" hidden="false" customHeight="false" outlineLevel="0" collapsed="false">
      <c r="B769" s="35"/>
      <c r="D769" s="36"/>
      <c r="E769" s="37"/>
      <c r="F769" s="38"/>
      <c r="J769" s="38"/>
    </row>
    <row r="770" customFormat="false" ht="15" hidden="false" customHeight="false" outlineLevel="0" collapsed="false">
      <c r="B770" s="35"/>
      <c r="D770" s="36"/>
      <c r="E770" s="37"/>
      <c r="F770" s="38"/>
      <c r="J770" s="38"/>
    </row>
    <row r="771" customFormat="false" ht="15" hidden="false" customHeight="false" outlineLevel="0" collapsed="false">
      <c r="B771" s="35"/>
      <c r="D771" s="36"/>
      <c r="E771" s="37"/>
      <c r="F771" s="38"/>
      <c r="J771" s="38"/>
    </row>
    <row r="772" customFormat="false" ht="15" hidden="false" customHeight="false" outlineLevel="0" collapsed="false">
      <c r="B772" s="35"/>
      <c r="D772" s="36"/>
      <c r="E772" s="37"/>
      <c r="F772" s="38"/>
      <c r="J772" s="38"/>
    </row>
    <row r="773" customFormat="false" ht="15" hidden="false" customHeight="false" outlineLevel="0" collapsed="false">
      <c r="B773" s="35"/>
      <c r="D773" s="36"/>
      <c r="E773" s="37"/>
      <c r="F773" s="38"/>
      <c r="J773" s="38"/>
    </row>
    <row r="774" customFormat="false" ht="15" hidden="false" customHeight="false" outlineLevel="0" collapsed="false">
      <c r="B774" s="35"/>
      <c r="D774" s="36"/>
      <c r="E774" s="37"/>
      <c r="F774" s="38"/>
      <c r="J774" s="38"/>
    </row>
    <row r="775" customFormat="false" ht="15" hidden="false" customHeight="false" outlineLevel="0" collapsed="false">
      <c r="B775" s="35"/>
      <c r="D775" s="36"/>
      <c r="E775" s="37"/>
      <c r="F775" s="38"/>
      <c r="J775" s="38"/>
    </row>
    <row r="776" customFormat="false" ht="15" hidden="false" customHeight="false" outlineLevel="0" collapsed="false">
      <c r="B776" s="35"/>
      <c r="D776" s="36"/>
      <c r="E776" s="37"/>
      <c r="F776" s="38"/>
      <c r="J776" s="38"/>
    </row>
    <row r="777" customFormat="false" ht="15" hidden="false" customHeight="false" outlineLevel="0" collapsed="false">
      <c r="B777" s="35"/>
      <c r="D777" s="36"/>
      <c r="E777" s="37"/>
      <c r="F777" s="38"/>
      <c r="J777" s="38"/>
    </row>
    <row r="778" customFormat="false" ht="15" hidden="false" customHeight="false" outlineLevel="0" collapsed="false">
      <c r="B778" s="35"/>
      <c r="D778" s="36"/>
      <c r="E778" s="37"/>
      <c r="F778" s="38"/>
      <c r="J778" s="38"/>
    </row>
    <row r="779" customFormat="false" ht="15" hidden="false" customHeight="false" outlineLevel="0" collapsed="false">
      <c r="B779" s="35"/>
      <c r="D779" s="36"/>
      <c r="E779" s="37"/>
      <c r="F779" s="38"/>
      <c r="J779" s="38"/>
    </row>
    <row r="780" customFormat="false" ht="15" hidden="false" customHeight="false" outlineLevel="0" collapsed="false">
      <c r="B780" s="35"/>
      <c r="D780" s="36"/>
      <c r="E780" s="37"/>
      <c r="F780" s="38"/>
      <c r="J780" s="38"/>
    </row>
    <row r="781" customFormat="false" ht="15" hidden="false" customHeight="false" outlineLevel="0" collapsed="false">
      <c r="B781" s="35"/>
      <c r="D781" s="36"/>
      <c r="E781" s="37"/>
      <c r="F781" s="38"/>
      <c r="J781" s="38"/>
    </row>
    <row r="782" customFormat="false" ht="15" hidden="false" customHeight="false" outlineLevel="0" collapsed="false">
      <c r="B782" s="35"/>
      <c r="D782" s="36"/>
      <c r="E782" s="37"/>
      <c r="F782" s="38"/>
      <c r="J782" s="38"/>
    </row>
    <row r="783" customFormat="false" ht="15" hidden="false" customHeight="false" outlineLevel="0" collapsed="false">
      <c r="B783" s="35"/>
      <c r="D783" s="36"/>
      <c r="E783" s="37"/>
      <c r="F783" s="38"/>
      <c r="J783" s="38"/>
    </row>
    <row r="784" customFormat="false" ht="15" hidden="false" customHeight="false" outlineLevel="0" collapsed="false">
      <c r="B784" s="35"/>
      <c r="D784" s="36"/>
      <c r="E784" s="37"/>
      <c r="F784" s="38"/>
      <c r="J784" s="38"/>
    </row>
    <row r="785" customFormat="false" ht="15" hidden="false" customHeight="false" outlineLevel="0" collapsed="false">
      <c r="B785" s="35"/>
      <c r="D785" s="36"/>
      <c r="E785" s="37"/>
      <c r="F785" s="38"/>
      <c r="J785" s="38"/>
    </row>
    <row r="786" customFormat="false" ht="15" hidden="false" customHeight="false" outlineLevel="0" collapsed="false">
      <c r="B786" s="35"/>
      <c r="D786" s="36"/>
      <c r="E786" s="37"/>
      <c r="F786" s="38"/>
      <c r="J786" s="38"/>
    </row>
    <row r="787" customFormat="false" ht="15" hidden="false" customHeight="false" outlineLevel="0" collapsed="false">
      <c r="B787" s="35"/>
      <c r="D787" s="36"/>
      <c r="E787" s="37"/>
      <c r="F787" s="38"/>
      <c r="J787" s="38"/>
    </row>
    <row r="788" customFormat="false" ht="15" hidden="false" customHeight="false" outlineLevel="0" collapsed="false">
      <c r="B788" s="35"/>
      <c r="D788" s="36"/>
      <c r="E788" s="37"/>
      <c r="F788" s="38"/>
      <c r="J788" s="38"/>
    </row>
    <row r="789" customFormat="false" ht="15" hidden="false" customHeight="false" outlineLevel="0" collapsed="false">
      <c r="B789" s="35"/>
      <c r="D789" s="36"/>
      <c r="E789" s="37"/>
      <c r="F789" s="38"/>
      <c r="J789" s="38"/>
    </row>
    <row r="790" customFormat="false" ht="15" hidden="false" customHeight="false" outlineLevel="0" collapsed="false">
      <c r="B790" s="35"/>
      <c r="D790" s="36"/>
      <c r="E790" s="37"/>
      <c r="F790" s="38"/>
      <c r="J790" s="38"/>
    </row>
    <row r="791" customFormat="false" ht="15" hidden="false" customHeight="false" outlineLevel="0" collapsed="false">
      <c r="B791" s="35"/>
      <c r="D791" s="36"/>
      <c r="E791" s="37"/>
      <c r="F791" s="38"/>
      <c r="J791" s="38"/>
    </row>
    <row r="792" customFormat="false" ht="15" hidden="false" customHeight="false" outlineLevel="0" collapsed="false">
      <c r="B792" s="35"/>
      <c r="D792" s="36"/>
      <c r="E792" s="37"/>
      <c r="F792" s="38"/>
      <c r="J792" s="38"/>
    </row>
    <row r="793" customFormat="false" ht="15" hidden="false" customHeight="false" outlineLevel="0" collapsed="false">
      <c r="B793" s="35"/>
      <c r="D793" s="36"/>
      <c r="E793" s="37"/>
      <c r="F793" s="38"/>
      <c r="J793" s="38"/>
    </row>
    <row r="794" customFormat="false" ht="15" hidden="false" customHeight="false" outlineLevel="0" collapsed="false">
      <c r="B794" s="35"/>
      <c r="D794" s="36"/>
      <c r="E794" s="37"/>
      <c r="F794" s="38"/>
      <c r="J794" s="38"/>
    </row>
    <row r="795" customFormat="false" ht="15" hidden="false" customHeight="false" outlineLevel="0" collapsed="false">
      <c r="B795" s="35"/>
      <c r="D795" s="36"/>
      <c r="E795" s="37"/>
      <c r="F795" s="38"/>
      <c r="J795" s="38"/>
    </row>
    <row r="796" customFormat="false" ht="15" hidden="false" customHeight="false" outlineLevel="0" collapsed="false">
      <c r="B796" s="35"/>
      <c r="D796" s="36"/>
      <c r="E796" s="37"/>
      <c r="F796" s="38"/>
      <c r="J796" s="38"/>
    </row>
    <row r="797" customFormat="false" ht="15" hidden="false" customHeight="false" outlineLevel="0" collapsed="false">
      <c r="B797" s="35"/>
      <c r="D797" s="36"/>
      <c r="E797" s="37"/>
      <c r="F797" s="38"/>
      <c r="J797" s="38"/>
    </row>
    <row r="798" customFormat="false" ht="15" hidden="false" customHeight="false" outlineLevel="0" collapsed="false">
      <c r="B798" s="35"/>
      <c r="D798" s="36"/>
      <c r="E798" s="37"/>
      <c r="F798" s="38"/>
      <c r="J798" s="38"/>
    </row>
    <row r="799" customFormat="false" ht="15" hidden="false" customHeight="false" outlineLevel="0" collapsed="false">
      <c r="B799" s="35"/>
      <c r="D799" s="36"/>
      <c r="E799" s="37"/>
      <c r="F799" s="38"/>
      <c r="J799" s="38"/>
    </row>
    <row r="800" customFormat="false" ht="15" hidden="false" customHeight="false" outlineLevel="0" collapsed="false">
      <c r="B800" s="35"/>
      <c r="D800" s="36"/>
      <c r="E800" s="37"/>
      <c r="F800" s="38"/>
      <c r="J800" s="38"/>
    </row>
    <row r="801" customFormat="false" ht="15" hidden="false" customHeight="false" outlineLevel="0" collapsed="false">
      <c r="B801" s="35"/>
      <c r="D801" s="36"/>
      <c r="E801" s="37"/>
      <c r="F801" s="38"/>
      <c r="J801" s="38"/>
    </row>
    <row r="802" customFormat="false" ht="15" hidden="false" customHeight="false" outlineLevel="0" collapsed="false">
      <c r="B802" s="35"/>
      <c r="D802" s="36"/>
      <c r="E802" s="37"/>
      <c r="F802" s="38"/>
      <c r="J802" s="38"/>
    </row>
    <row r="803" customFormat="false" ht="15" hidden="false" customHeight="false" outlineLevel="0" collapsed="false">
      <c r="B803" s="35"/>
      <c r="D803" s="36"/>
      <c r="E803" s="37"/>
      <c r="F803" s="38"/>
      <c r="J803" s="38"/>
    </row>
    <row r="804" customFormat="false" ht="15" hidden="false" customHeight="false" outlineLevel="0" collapsed="false">
      <c r="B804" s="35"/>
      <c r="D804" s="36"/>
      <c r="E804" s="37"/>
      <c r="F804" s="38"/>
      <c r="J804" s="38"/>
    </row>
    <row r="805" customFormat="false" ht="15" hidden="false" customHeight="false" outlineLevel="0" collapsed="false">
      <c r="B805" s="35"/>
      <c r="D805" s="36"/>
      <c r="E805" s="37"/>
      <c r="F805" s="38"/>
      <c r="J805" s="38"/>
    </row>
    <row r="806" customFormat="false" ht="15" hidden="false" customHeight="false" outlineLevel="0" collapsed="false">
      <c r="B806" s="35"/>
      <c r="D806" s="36"/>
      <c r="E806" s="37"/>
      <c r="F806" s="38"/>
      <c r="J806" s="38"/>
    </row>
    <row r="807" customFormat="false" ht="15" hidden="false" customHeight="false" outlineLevel="0" collapsed="false">
      <c r="B807" s="35"/>
      <c r="D807" s="36"/>
      <c r="E807" s="37"/>
      <c r="F807" s="38"/>
      <c r="J807" s="38"/>
    </row>
    <row r="808" customFormat="false" ht="15" hidden="false" customHeight="false" outlineLevel="0" collapsed="false">
      <c r="B808" s="35"/>
      <c r="D808" s="36"/>
      <c r="E808" s="37"/>
      <c r="F808" s="38"/>
      <c r="J808" s="38"/>
    </row>
    <row r="809" customFormat="false" ht="15" hidden="false" customHeight="false" outlineLevel="0" collapsed="false">
      <c r="B809" s="35"/>
      <c r="D809" s="36"/>
      <c r="E809" s="37"/>
      <c r="F809" s="38"/>
      <c r="J809" s="38"/>
    </row>
    <row r="810" customFormat="false" ht="15" hidden="false" customHeight="false" outlineLevel="0" collapsed="false">
      <c r="B810" s="35"/>
      <c r="D810" s="36"/>
      <c r="E810" s="37"/>
      <c r="F810" s="38"/>
      <c r="J810" s="38"/>
    </row>
    <row r="811" customFormat="false" ht="15" hidden="false" customHeight="false" outlineLevel="0" collapsed="false">
      <c r="B811" s="35"/>
      <c r="D811" s="36"/>
      <c r="E811" s="37"/>
      <c r="F811" s="38"/>
      <c r="J811" s="38"/>
    </row>
    <row r="812" customFormat="false" ht="15" hidden="false" customHeight="false" outlineLevel="0" collapsed="false">
      <c r="B812" s="35"/>
      <c r="D812" s="36"/>
      <c r="E812" s="37"/>
      <c r="F812" s="38"/>
      <c r="J812" s="38"/>
    </row>
    <row r="813" customFormat="false" ht="15" hidden="false" customHeight="false" outlineLevel="0" collapsed="false">
      <c r="B813" s="35"/>
      <c r="D813" s="36"/>
      <c r="E813" s="37"/>
      <c r="F813" s="38"/>
      <c r="J813" s="38"/>
    </row>
    <row r="814" customFormat="false" ht="15" hidden="false" customHeight="false" outlineLevel="0" collapsed="false">
      <c r="B814" s="35"/>
      <c r="D814" s="36"/>
      <c r="E814" s="37"/>
      <c r="F814" s="38"/>
      <c r="J814" s="38"/>
    </row>
    <row r="815" customFormat="false" ht="15" hidden="false" customHeight="false" outlineLevel="0" collapsed="false">
      <c r="B815" s="35"/>
      <c r="D815" s="36"/>
      <c r="E815" s="37"/>
      <c r="F815" s="38"/>
      <c r="J815" s="38"/>
    </row>
    <row r="816" customFormat="false" ht="15" hidden="false" customHeight="false" outlineLevel="0" collapsed="false">
      <c r="B816" s="35"/>
      <c r="D816" s="36"/>
      <c r="E816" s="37"/>
      <c r="F816" s="38"/>
      <c r="J816" s="38"/>
    </row>
    <row r="817" customFormat="false" ht="15" hidden="false" customHeight="false" outlineLevel="0" collapsed="false">
      <c r="B817" s="35"/>
      <c r="D817" s="36"/>
      <c r="E817" s="37"/>
      <c r="F817" s="38"/>
      <c r="J817" s="38"/>
    </row>
    <row r="818" customFormat="false" ht="15" hidden="false" customHeight="false" outlineLevel="0" collapsed="false">
      <c r="B818" s="35"/>
      <c r="D818" s="36"/>
      <c r="E818" s="37"/>
      <c r="F818" s="38"/>
      <c r="J818" s="38"/>
    </row>
    <row r="819" customFormat="false" ht="15" hidden="false" customHeight="false" outlineLevel="0" collapsed="false">
      <c r="B819" s="35"/>
      <c r="D819" s="36"/>
      <c r="E819" s="37"/>
      <c r="F819" s="38"/>
      <c r="J819" s="38"/>
    </row>
    <row r="820" customFormat="false" ht="15" hidden="false" customHeight="false" outlineLevel="0" collapsed="false">
      <c r="B820" s="35"/>
      <c r="D820" s="36"/>
      <c r="E820" s="37"/>
      <c r="F820" s="38"/>
      <c r="J820" s="38"/>
    </row>
    <row r="821" customFormat="false" ht="15" hidden="false" customHeight="false" outlineLevel="0" collapsed="false">
      <c r="B821" s="35"/>
      <c r="D821" s="36"/>
      <c r="E821" s="37"/>
      <c r="F821" s="38"/>
      <c r="J821" s="38"/>
    </row>
    <row r="822" customFormat="false" ht="15" hidden="false" customHeight="false" outlineLevel="0" collapsed="false">
      <c r="B822" s="35"/>
      <c r="D822" s="36"/>
      <c r="E822" s="37"/>
      <c r="F822" s="38"/>
      <c r="J822" s="38"/>
    </row>
    <row r="823" customFormat="false" ht="15" hidden="false" customHeight="false" outlineLevel="0" collapsed="false">
      <c r="B823" s="35"/>
      <c r="D823" s="36"/>
      <c r="E823" s="37"/>
      <c r="F823" s="38"/>
      <c r="J823" s="38"/>
    </row>
    <row r="824" customFormat="false" ht="15" hidden="false" customHeight="false" outlineLevel="0" collapsed="false">
      <c r="B824" s="35"/>
      <c r="D824" s="36"/>
      <c r="E824" s="37"/>
      <c r="F824" s="38"/>
      <c r="J824" s="38"/>
    </row>
    <row r="825" customFormat="false" ht="15" hidden="false" customHeight="false" outlineLevel="0" collapsed="false">
      <c r="B825" s="35"/>
      <c r="D825" s="36"/>
      <c r="E825" s="37"/>
      <c r="F825" s="38"/>
      <c r="J825" s="38"/>
    </row>
    <row r="826" customFormat="false" ht="15" hidden="false" customHeight="false" outlineLevel="0" collapsed="false">
      <c r="B826" s="35"/>
      <c r="D826" s="36"/>
      <c r="E826" s="37"/>
      <c r="F826" s="38"/>
      <c r="J826" s="38"/>
    </row>
    <row r="827" customFormat="false" ht="15" hidden="false" customHeight="false" outlineLevel="0" collapsed="false">
      <c r="B827" s="35"/>
      <c r="D827" s="36"/>
      <c r="E827" s="37"/>
      <c r="F827" s="38"/>
      <c r="J827" s="38"/>
    </row>
    <row r="828" customFormat="false" ht="15" hidden="false" customHeight="false" outlineLevel="0" collapsed="false">
      <c r="B828" s="35"/>
      <c r="D828" s="36"/>
      <c r="E828" s="37"/>
      <c r="F828" s="38"/>
      <c r="J828" s="38"/>
    </row>
    <row r="829" customFormat="false" ht="15" hidden="false" customHeight="false" outlineLevel="0" collapsed="false">
      <c r="B829" s="35"/>
      <c r="D829" s="36"/>
      <c r="E829" s="37"/>
      <c r="F829" s="38"/>
      <c r="J829" s="38"/>
    </row>
    <row r="830" customFormat="false" ht="15" hidden="false" customHeight="false" outlineLevel="0" collapsed="false">
      <c r="B830" s="35"/>
      <c r="D830" s="36"/>
      <c r="E830" s="37"/>
      <c r="F830" s="38"/>
      <c r="J830" s="38"/>
    </row>
    <row r="831" customFormat="false" ht="15" hidden="false" customHeight="false" outlineLevel="0" collapsed="false">
      <c r="B831" s="35"/>
      <c r="D831" s="36"/>
      <c r="E831" s="37"/>
      <c r="F831" s="38"/>
      <c r="J831" s="38"/>
    </row>
    <row r="832" customFormat="false" ht="15" hidden="false" customHeight="false" outlineLevel="0" collapsed="false">
      <c r="B832" s="35"/>
      <c r="D832" s="36"/>
      <c r="E832" s="37"/>
      <c r="F832" s="38"/>
      <c r="J832" s="38"/>
    </row>
    <row r="833" customFormat="false" ht="15" hidden="false" customHeight="false" outlineLevel="0" collapsed="false">
      <c r="B833" s="35"/>
      <c r="D833" s="36"/>
      <c r="E833" s="37"/>
      <c r="F833" s="38"/>
      <c r="J833" s="38"/>
    </row>
    <row r="834" customFormat="false" ht="15" hidden="false" customHeight="false" outlineLevel="0" collapsed="false">
      <c r="B834" s="35"/>
      <c r="D834" s="36"/>
      <c r="E834" s="37"/>
      <c r="F834" s="38"/>
      <c r="J834" s="38"/>
    </row>
    <row r="835" customFormat="false" ht="15" hidden="false" customHeight="false" outlineLevel="0" collapsed="false">
      <c r="B835" s="35"/>
      <c r="D835" s="36"/>
      <c r="E835" s="37"/>
      <c r="F835" s="38"/>
      <c r="J835" s="38"/>
    </row>
    <row r="836" customFormat="false" ht="15" hidden="false" customHeight="false" outlineLevel="0" collapsed="false">
      <c r="B836" s="35"/>
      <c r="D836" s="36"/>
      <c r="E836" s="37"/>
      <c r="F836" s="38"/>
      <c r="J836" s="38"/>
    </row>
    <row r="837" customFormat="false" ht="15" hidden="false" customHeight="false" outlineLevel="0" collapsed="false">
      <c r="B837" s="35"/>
      <c r="D837" s="36"/>
      <c r="E837" s="37"/>
      <c r="F837" s="38"/>
      <c r="J837" s="38"/>
    </row>
    <row r="838" customFormat="false" ht="15" hidden="false" customHeight="false" outlineLevel="0" collapsed="false">
      <c r="B838" s="35"/>
      <c r="D838" s="36"/>
      <c r="E838" s="37"/>
      <c r="F838" s="38"/>
      <c r="J838" s="38"/>
    </row>
    <row r="839" customFormat="false" ht="15" hidden="false" customHeight="false" outlineLevel="0" collapsed="false">
      <c r="B839" s="35"/>
      <c r="D839" s="36"/>
      <c r="E839" s="37"/>
      <c r="F839" s="38"/>
      <c r="J839" s="38"/>
    </row>
    <row r="840" customFormat="false" ht="15" hidden="false" customHeight="false" outlineLevel="0" collapsed="false">
      <c r="B840" s="35"/>
      <c r="D840" s="36"/>
      <c r="E840" s="37"/>
      <c r="F840" s="38"/>
      <c r="J840" s="38"/>
    </row>
    <row r="841" customFormat="false" ht="15" hidden="false" customHeight="false" outlineLevel="0" collapsed="false">
      <c r="B841" s="35"/>
      <c r="D841" s="36"/>
      <c r="E841" s="37"/>
      <c r="F841" s="38"/>
      <c r="J841" s="38"/>
    </row>
    <row r="842" customFormat="false" ht="15" hidden="false" customHeight="false" outlineLevel="0" collapsed="false">
      <c r="B842" s="35"/>
      <c r="D842" s="36"/>
      <c r="E842" s="37"/>
      <c r="F842" s="38"/>
      <c r="J842" s="38"/>
    </row>
    <row r="843" customFormat="false" ht="15" hidden="false" customHeight="false" outlineLevel="0" collapsed="false">
      <c r="B843" s="35"/>
      <c r="D843" s="36"/>
      <c r="E843" s="37"/>
      <c r="F843" s="38"/>
      <c r="J843" s="38"/>
    </row>
    <row r="844" customFormat="false" ht="15" hidden="false" customHeight="false" outlineLevel="0" collapsed="false">
      <c r="B844" s="35"/>
      <c r="D844" s="36"/>
      <c r="E844" s="37"/>
      <c r="F844" s="38"/>
      <c r="J844" s="38"/>
    </row>
    <row r="845" customFormat="false" ht="15" hidden="false" customHeight="false" outlineLevel="0" collapsed="false">
      <c r="B845" s="35"/>
      <c r="D845" s="36"/>
      <c r="E845" s="37"/>
      <c r="F845" s="38"/>
      <c r="J845" s="38"/>
    </row>
    <row r="846" customFormat="false" ht="15" hidden="false" customHeight="false" outlineLevel="0" collapsed="false">
      <c r="B846" s="35"/>
      <c r="D846" s="36"/>
      <c r="E846" s="37"/>
      <c r="F846" s="38"/>
      <c r="J846" s="38"/>
    </row>
    <row r="847" customFormat="false" ht="15" hidden="false" customHeight="false" outlineLevel="0" collapsed="false">
      <c r="B847" s="35"/>
      <c r="D847" s="36"/>
      <c r="E847" s="37"/>
      <c r="F847" s="38"/>
      <c r="J847" s="38"/>
    </row>
    <row r="848" customFormat="false" ht="15" hidden="false" customHeight="false" outlineLevel="0" collapsed="false">
      <c r="B848" s="35"/>
      <c r="D848" s="36"/>
      <c r="E848" s="37"/>
      <c r="F848" s="38"/>
      <c r="J848" s="38"/>
    </row>
    <row r="849" customFormat="false" ht="15" hidden="false" customHeight="false" outlineLevel="0" collapsed="false">
      <c r="B849" s="35"/>
      <c r="D849" s="36"/>
      <c r="E849" s="37"/>
      <c r="F849" s="38"/>
      <c r="J849" s="38"/>
    </row>
    <row r="850" customFormat="false" ht="15" hidden="false" customHeight="false" outlineLevel="0" collapsed="false">
      <c r="B850" s="35"/>
      <c r="D850" s="36"/>
      <c r="E850" s="37"/>
      <c r="F850" s="38"/>
      <c r="J850" s="38"/>
    </row>
    <row r="851" customFormat="false" ht="15" hidden="false" customHeight="false" outlineLevel="0" collapsed="false">
      <c r="B851" s="35"/>
      <c r="D851" s="36"/>
      <c r="E851" s="37"/>
      <c r="F851" s="38"/>
      <c r="J851" s="38"/>
    </row>
    <row r="852" customFormat="false" ht="15" hidden="false" customHeight="false" outlineLevel="0" collapsed="false">
      <c r="B852" s="35"/>
      <c r="D852" s="36"/>
      <c r="E852" s="37"/>
      <c r="F852" s="38"/>
      <c r="J852" s="38"/>
    </row>
    <row r="853" customFormat="false" ht="15" hidden="false" customHeight="false" outlineLevel="0" collapsed="false">
      <c r="B853" s="35"/>
      <c r="D853" s="36"/>
      <c r="E853" s="37"/>
      <c r="F853" s="38"/>
      <c r="J853" s="38"/>
    </row>
    <row r="854" customFormat="false" ht="15" hidden="false" customHeight="false" outlineLevel="0" collapsed="false">
      <c r="B854" s="35"/>
      <c r="D854" s="36"/>
      <c r="E854" s="37"/>
      <c r="F854" s="38"/>
      <c r="J854" s="38"/>
    </row>
    <row r="855" customFormat="false" ht="15" hidden="false" customHeight="false" outlineLevel="0" collapsed="false">
      <c r="B855" s="35"/>
      <c r="D855" s="36"/>
      <c r="E855" s="37"/>
      <c r="F855" s="38"/>
      <c r="J855" s="38"/>
    </row>
    <row r="856" customFormat="false" ht="15" hidden="false" customHeight="false" outlineLevel="0" collapsed="false">
      <c r="B856" s="35"/>
      <c r="D856" s="36"/>
      <c r="E856" s="37"/>
      <c r="F856" s="38"/>
      <c r="J856" s="38"/>
    </row>
    <row r="857" customFormat="false" ht="15" hidden="false" customHeight="false" outlineLevel="0" collapsed="false">
      <c r="B857" s="35"/>
      <c r="D857" s="36"/>
      <c r="E857" s="37"/>
      <c r="F857" s="38"/>
      <c r="J857" s="38"/>
    </row>
    <row r="858" customFormat="false" ht="15" hidden="false" customHeight="false" outlineLevel="0" collapsed="false">
      <c r="B858" s="35"/>
      <c r="D858" s="36"/>
      <c r="E858" s="37"/>
      <c r="F858" s="38"/>
      <c r="J858" s="38"/>
    </row>
    <row r="859" customFormat="false" ht="15" hidden="false" customHeight="false" outlineLevel="0" collapsed="false">
      <c r="B859" s="35"/>
      <c r="D859" s="36"/>
      <c r="E859" s="37"/>
      <c r="F859" s="38"/>
      <c r="J859" s="38"/>
    </row>
    <row r="860" customFormat="false" ht="15" hidden="false" customHeight="false" outlineLevel="0" collapsed="false">
      <c r="B860" s="35"/>
      <c r="D860" s="36"/>
      <c r="E860" s="37"/>
      <c r="F860" s="38"/>
      <c r="J860" s="38"/>
    </row>
    <row r="861" customFormat="false" ht="15" hidden="false" customHeight="false" outlineLevel="0" collapsed="false">
      <c r="B861" s="35"/>
      <c r="D861" s="36"/>
      <c r="E861" s="37"/>
      <c r="F861" s="38"/>
      <c r="J861" s="38"/>
    </row>
    <row r="862" customFormat="false" ht="15" hidden="false" customHeight="false" outlineLevel="0" collapsed="false">
      <c r="B862" s="35"/>
      <c r="D862" s="36"/>
      <c r="E862" s="37"/>
      <c r="F862" s="38"/>
      <c r="J862" s="38"/>
    </row>
    <row r="863" customFormat="false" ht="15" hidden="false" customHeight="false" outlineLevel="0" collapsed="false">
      <c r="B863" s="35"/>
      <c r="D863" s="36"/>
      <c r="E863" s="37"/>
      <c r="F863" s="38"/>
      <c r="J863" s="38"/>
    </row>
    <row r="864" customFormat="false" ht="15" hidden="false" customHeight="false" outlineLevel="0" collapsed="false">
      <c r="B864" s="35"/>
      <c r="D864" s="36"/>
      <c r="E864" s="37"/>
      <c r="F864" s="38"/>
      <c r="J864" s="38"/>
    </row>
    <row r="865" customFormat="false" ht="15" hidden="false" customHeight="false" outlineLevel="0" collapsed="false">
      <c r="B865" s="35"/>
      <c r="D865" s="36"/>
      <c r="E865" s="37"/>
      <c r="F865" s="38"/>
      <c r="J865" s="38"/>
    </row>
    <row r="866" customFormat="false" ht="15" hidden="false" customHeight="false" outlineLevel="0" collapsed="false">
      <c r="B866" s="35"/>
      <c r="D866" s="36"/>
      <c r="E866" s="37"/>
      <c r="F866" s="38"/>
      <c r="J866" s="38"/>
    </row>
    <row r="867" customFormat="false" ht="15" hidden="false" customHeight="false" outlineLevel="0" collapsed="false">
      <c r="B867" s="35"/>
      <c r="D867" s="36"/>
      <c r="E867" s="37"/>
      <c r="F867" s="38"/>
      <c r="J867" s="38"/>
    </row>
    <row r="868" customFormat="false" ht="15" hidden="false" customHeight="false" outlineLevel="0" collapsed="false">
      <c r="B868" s="35"/>
      <c r="D868" s="36"/>
      <c r="E868" s="37"/>
      <c r="F868" s="38"/>
      <c r="J868" s="38"/>
    </row>
    <row r="869" customFormat="false" ht="15" hidden="false" customHeight="false" outlineLevel="0" collapsed="false">
      <c r="B869" s="35"/>
      <c r="D869" s="36"/>
      <c r="E869" s="37"/>
      <c r="F869" s="38"/>
      <c r="J869" s="38"/>
    </row>
    <row r="870" customFormat="false" ht="15" hidden="false" customHeight="false" outlineLevel="0" collapsed="false">
      <c r="B870" s="35"/>
      <c r="D870" s="36"/>
      <c r="E870" s="37"/>
      <c r="F870" s="38"/>
      <c r="J870" s="38"/>
    </row>
    <row r="871" customFormat="false" ht="15" hidden="false" customHeight="false" outlineLevel="0" collapsed="false">
      <c r="B871" s="35"/>
      <c r="D871" s="36"/>
      <c r="E871" s="37"/>
      <c r="F871" s="38"/>
      <c r="J871" s="38"/>
    </row>
    <row r="872" customFormat="false" ht="15" hidden="false" customHeight="false" outlineLevel="0" collapsed="false">
      <c r="B872" s="35"/>
      <c r="D872" s="36"/>
      <c r="E872" s="37"/>
      <c r="F872" s="38"/>
      <c r="J872" s="38"/>
    </row>
    <row r="873" customFormat="false" ht="15" hidden="false" customHeight="false" outlineLevel="0" collapsed="false">
      <c r="B873" s="35"/>
      <c r="D873" s="36"/>
      <c r="E873" s="37"/>
      <c r="F873" s="38"/>
      <c r="J873" s="38"/>
    </row>
    <row r="874" customFormat="false" ht="15" hidden="false" customHeight="false" outlineLevel="0" collapsed="false">
      <c r="B874" s="35"/>
      <c r="D874" s="36"/>
      <c r="E874" s="37"/>
      <c r="F874" s="38"/>
      <c r="J874" s="38"/>
    </row>
    <row r="875" customFormat="false" ht="15" hidden="false" customHeight="false" outlineLevel="0" collapsed="false">
      <c r="B875" s="35"/>
      <c r="D875" s="36"/>
      <c r="E875" s="37"/>
      <c r="F875" s="38"/>
      <c r="J875" s="38"/>
    </row>
    <row r="876" customFormat="false" ht="15" hidden="false" customHeight="false" outlineLevel="0" collapsed="false">
      <c r="B876" s="35"/>
      <c r="D876" s="36"/>
      <c r="E876" s="37"/>
      <c r="F876" s="38"/>
      <c r="J876" s="38"/>
    </row>
    <row r="877" customFormat="false" ht="15" hidden="false" customHeight="false" outlineLevel="0" collapsed="false">
      <c r="B877" s="35"/>
      <c r="D877" s="36"/>
      <c r="E877" s="37"/>
      <c r="F877" s="38"/>
      <c r="J877" s="38"/>
    </row>
    <row r="878" customFormat="false" ht="15" hidden="false" customHeight="false" outlineLevel="0" collapsed="false">
      <c r="B878" s="35"/>
      <c r="D878" s="36"/>
      <c r="E878" s="37"/>
      <c r="F878" s="38"/>
      <c r="J878" s="38"/>
    </row>
    <row r="879" customFormat="false" ht="15" hidden="false" customHeight="false" outlineLevel="0" collapsed="false">
      <c r="B879" s="35"/>
      <c r="D879" s="36"/>
      <c r="E879" s="37"/>
      <c r="F879" s="38"/>
      <c r="J879" s="38"/>
    </row>
    <row r="880" customFormat="false" ht="15" hidden="false" customHeight="false" outlineLevel="0" collapsed="false">
      <c r="B880" s="35"/>
      <c r="D880" s="36"/>
      <c r="E880" s="37"/>
      <c r="F880" s="38"/>
      <c r="J880" s="38"/>
    </row>
    <row r="881" customFormat="false" ht="15" hidden="false" customHeight="false" outlineLevel="0" collapsed="false">
      <c r="B881" s="35"/>
      <c r="D881" s="36"/>
      <c r="E881" s="37"/>
      <c r="F881" s="38"/>
      <c r="J881" s="38"/>
    </row>
    <row r="882" customFormat="false" ht="15" hidden="false" customHeight="false" outlineLevel="0" collapsed="false">
      <c r="B882" s="35"/>
      <c r="D882" s="36"/>
      <c r="E882" s="37"/>
      <c r="F882" s="38"/>
      <c r="J882" s="38"/>
    </row>
    <row r="883" customFormat="false" ht="15" hidden="false" customHeight="false" outlineLevel="0" collapsed="false">
      <c r="B883" s="35"/>
      <c r="D883" s="36"/>
      <c r="E883" s="37"/>
      <c r="F883" s="38"/>
      <c r="J883" s="38"/>
    </row>
    <row r="884" customFormat="false" ht="15" hidden="false" customHeight="false" outlineLevel="0" collapsed="false">
      <c r="B884" s="35"/>
      <c r="D884" s="36"/>
      <c r="E884" s="37"/>
      <c r="F884" s="38"/>
      <c r="J884" s="38"/>
    </row>
    <row r="885" customFormat="false" ht="15" hidden="false" customHeight="false" outlineLevel="0" collapsed="false">
      <c r="B885" s="35"/>
      <c r="D885" s="36"/>
      <c r="E885" s="37"/>
      <c r="F885" s="38"/>
      <c r="J885" s="38"/>
    </row>
    <row r="886" customFormat="false" ht="15" hidden="false" customHeight="false" outlineLevel="0" collapsed="false">
      <c r="B886" s="35"/>
      <c r="D886" s="36"/>
      <c r="E886" s="37"/>
      <c r="F886" s="38"/>
      <c r="J886" s="38"/>
    </row>
    <row r="887" customFormat="false" ht="15" hidden="false" customHeight="false" outlineLevel="0" collapsed="false">
      <c r="B887" s="35"/>
      <c r="D887" s="36"/>
      <c r="E887" s="37"/>
      <c r="F887" s="38"/>
      <c r="J887" s="38"/>
    </row>
    <row r="888" customFormat="false" ht="15" hidden="false" customHeight="false" outlineLevel="0" collapsed="false">
      <c r="B888" s="35"/>
      <c r="D888" s="36"/>
      <c r="E888" s="37"/>
      <c r="F888" s="38"/>
      <c r="J888" s="38"/>
    </row>
    <row r="889" customFormat="false" ht="15" hidden="false" customHeight="false" outlineLevel="0" collapsed="false">
      <c r="B889" s="35"/>
      <c r="D889" s="36"/>
      <c r="E889" s="37"/>
      <c r="F889" s="38"/>
      <c r="J889" s="38"/>
    </row>
    <row r="890" customFormat="false" ht="15" hidden="false" customHeight="false" outlineLevel="0" collapsed="false">
      <c r="B890" s="35"/>
      <c r="D890" s="36"/>
      <c r="E890" s="37"/>
      <c r="F890" s="38"/>
      <c r="J890" s="38"/>
    </row>
    <row r="891" customFormat="false" ht="15" hidden="false" customHeight="false" outlineLevel="0" collapsed="false">
      <c r="B891" s="35"/>
      <c r="D891" s="36"/>
      <c r="E891" s="37"/>
      <c r="F891" s="38"/>
      <c r="J891" s="38"/>
    </row>
    <row r="892" customFormat="false" ht="15" hidden="false" customHeight="false" outlineLevel="0" collapsed="false">
      <c r="B892" s="35"/>
      <c r="D892" s="36"/>
      <c r="E892" s="37"/>
      <c r="F892" s="38"/>
      <c r="J892" s="38"/>
    </row>
    <row r="893" customFormat="false" ht="15" hidden="false" customHeight="false" outlineLevel="0" collapsed="false">
      <c r="B893" s="35"/>
      <c r="D893" s="36"/>
      <c r="E893" s="37"/>
      <c r="F893" s="38"/>
      <c r="J893" s="38"/>
    </row>
    <row r="894" customFormat="false" ht="15" hidden="false" customHeight="false" outlineLevel="0" collapsed="false">
      <c r="B894" s="35"/>
      <c r="D894" s="36"/>
      <c r="E894" s="37"/>
      <c r="F894" s="38"/>
      <c r="J894" s="38"/>
    </row>
    <row r="895" customFormat="false" ht="15" hidden="false" customHeight="false" outlineLevel="0" collapsed="false">
      <c r="B895" s="35"/>
      <c r="D895" s="36"/>
      <c r="E895" s="37"/>
      <c r="F895" s="38"/>
      <c r="J895" s="38"/>
    </row>
    <row r="896" customFormat="false" ht="15" hidden="false" customHeight="false" outlineLevel="0" collapsed="false">
      <c r="B896" s="35"/>
      <c r="D896" s="36"/>
      <c r="E896" s="37"/>
      <c r="F896" s="38"/>
      <c r="J896" s="38"/>
    </row>
    <row r="897" customFormat="false" ht="15" hidden="false" customHeight="false" outlineLevel="0" collapsed="false">
      <c r="B897" s="35"/>
      <c r="D897" s="36"/>
      <c r="E897" s="37"/>
      <c r="F897" s="38"/>
      <c r="J897" s="38"/>
    </row>
    <row r="898" customFormat="false" ht="15" hidden="false" customHeight="false" outlineLevel="0" collapsed="false">
      <c r="B898" s="35"/>
      <c r="D898" s="36"/>
      <c r="E898" s="37"/>
      <c r="F898" s="38"/>
      <c r="J898" s="38"/>
    </row>
    <row r="899" customFormat="false" ht="15" hidden="false" customHeight="false" outlineLevel="0" collapsed="false">
      <c r="B899" s="35"/>
      <c r="D899" s="36"/>
      <c r="E899" s="37"/>
      <c r="F899" s="38"/>
      <c r="J899" s="38"/>
    </row>
    <row r="900" customFormat="false" ht="15" hidden="false" customHeight="false" outlineLevel="0" collapsed="false">
      <c r="B900" s="35"/>
      <c r="D900" s="36"/>
      <c r="E900" s="37"/>
      <c r="F900" s="38"/>
      <c r="J900" s="38"/>
    </row>
    <row r="901" customFormat="false" ht="15" hidden="false" customHeight="false" outlineLevel="0" collapsed="false">
      <c r="B901" s="35"/>
      <c r="D901" s="36"/>
      <c r="E901" s="37"/>
      <c r="F901" s="38"/>
      <c r="J901" s="38"/>
    </row>
    <row r="902" customFormat="false" ht="15" hidden="false" customHeight="false" outlineLevel="0" collapsed="false">
      <c r="B902" s="35"/>
      <c r="D902" s="36"/>
      <c r="E902" s="37"/>
      <c r="F902" s="38"/>
      <c r="J902" s="38"/>
    </row>
    <row r="903" customFormat="false" ht="15" hidden="false" customHeight="false" outlineLevel="0" collapsed="false">
      <c r="B903" s="35"/>
      <c r="D903" s="36"/>
      <c r="E903" s="37"/>
      <c r="F903" s="38"/>
      <c r="J903" s="38"/>
    </row>
    <row r="904" customFormat="false" ht="15" hidden="false" customHeight="false" outlineLevel="0" collapsed="false">
      <c r="B904" s="35"/>
      <c r="D904" s="36"/>
      <c r="E904" s="37"/>
      <c r="F904" s="38"/>
      <c r="J904" s="38"/>
    </row>
    <row r="905" customFormat="false" ht="15" hidden="false" customHeight="false" outlineLevel="0" collapsed="false">
      <c r="B905" s="35"/>
      <c r="D905" s="36"/>
      <c r="E905" s="37"/>
      <c r="F905" s="38"/>
      <c r="J905" s="38"/>
    </row>
    <row r="906" customFormat="false" ht="15" hidden="false" customHeight="false" outlineLevel="0" collapsed="false">
      <c r="B906" s="35"/>
      <c r="D906" s="36"/>
      <c r="E906" s="37"/>
      <c r="F906" s="38"/>
      <c r="J906" s="38"/>
    </row>
    <row r="907" customFormat="false" ht="15" hidden="false" customHeight="false" outlineLevel="0" collapsed="false">
      <c r="B907" s="35"/>
      <c r="D907" s="36"/>
      <c r="E907" s="37"/>
      <c r="F907" s="38"/>
      <c r="J907" s="38"/>
    </row>
    <row r="908" customFormat="false" ht="15" hidden="false" customHeight="false" outlineLevel="0" collapsed="false">
      <c r="B908" s="35"/>
      <c r="D908" s="36"/>
      <c r="E908" s="37"/>
      <c r="F908" s="38"/>
      <c r="J908" s="38"/>
    </row>
    <row r="909" customFormat="false" ht="15" hidden="false" customHeight="false" outlineLevel="0" collapsed="false">
      <c r="B909" s="35"/>
      <c r="D909" s="36"/>
      <c r="E909" s="37"/>
      <c r="F909" s="38"/>
      <c r="J909" s="38"/>
    </row>
    <row r="910" customFormat="false" ht="15" hidden="false" customHeight="false" outlineLevel="0" collapsed="false">
      <c r="B910" s="35"/>
      <c r="D910" s="36"/>
      <c r="E910" s="37"/>
      <c r="F910" s="38"/>
      <c r="J910" s="38"/>
    </row>
    <row r="911" customFormat="false" ht="15" hidden="false" customHeight="false" outlineLevel="0" collapsed="false">
      <c r="B911" s="35"/>
      <c r="D911" s="36"/>
      <c r="E911" s="37"/>
      <c r="F911" s="38"/>
      <c r="J911" s="38"/>
    </row>
    <row r="912" customFormat="false" ht="15" hidden="false" customHeight="false" outlineLevel="0" collapsed="false">
      <c r="B912" s="35"/>
      <c r="D912" s="36"/>
      <c r="E912" s="37"/>
      <c r="F912" s="38"/>
      <c r="J912" s="38"/>
    </row>
    <row r="913" customFormat="false" ht="15" hidden="false" customHeight="false" outlineLevel="0" collapsed="false">
      <c r="B913" s="35"/>
      <c r="D913" s="36"/>
      <c r="E913" s="37"/>
      <c r="F913" s="38"/>
      <c r="J913" s="38"/>
    </row>
    <row r="914" customFormat="false" ht="15" hidden="false" customHeight="false" outlineLevel="0" collapsed="false">
      <c r="B914" s="35"/>
      <c r="D914" s="36"/>
      <c r="E914" s="37"/>
      <c r="F914" s="38"/>
      <c r="J914" s="38"/>
    </row>
    <row r="915" customFormat="false" ht="15" hidden="false" customHeight="false" outlineLevel="0" collapsed="false">
      <c r="B915" s="35"/>
      <c r="D915" s="36"/>
      <c r="E915" s="37"/>
      <c r="F915" s="38"/>
      <c r="J915" s="38"/>
    </row>
    <row r="916" customFormat="false" ht="15" hidden="false" customHeight="false" outlineLevel="0" collapsed="false">
      <c r="B916" s="35"/>
      <c r="D916" s="36"/>
      <c r="E916" s="37"/>
      <c r="F916" s="38"/>
      <c r="J916" s="38"/>
    </row>
    <row r="917" customFormat="false" ht="15" hidden="false" customHeight="false" outlineLevel="0" collapsed="false">
      <c r="B917" s="35"/>
      <c r="D917" s="36"/>
      <c r="E917" s="37"/>
      <c r="F917" s="38"/>
      <c r="J917" s="38"/>
    </row>
    <row r="918" customFormat="false" ht="15" hidden="false" customHeight="false" outlineLevel="0" collapsed="false">
      <c r="B918" s="35"/>
      <c r="D918" s="36"/>
      <c r="E918" s="37"/>
      <c r="F918" s="38"/>
      <c r="J918" s="38"/>
    </row>
    <row r="919" customFormat="false" ht="15" hidden="false" customHeight="false" outlineLevel="0" collapsed="false">
      <c r="B919" s="35"/>
      <c r="D919" s="36"/>
      <c r="E919" s="37"/>
      <c r="F919" s="38"/>
      <c r="J919" s="38"/>
    </row>
    <row r="920" customFormat="false" ht="15" hidden="false" customHeight="false" outlineLevel="0" collapsed="false">
      <c r="B920" s="35"/>
      <c r="D920" s="36"/>
      <c r="E920" s="37"/>
      <c r="F920" s="38"/>
      <c r="J920" s="38"/>
    </row>
    <row r="921" customFormat="false" ht="15" hidden="false" customHeight="false" outlineLevel="0" collapsed="false">
      <c r="B921" s="35"/>
      <c r="D921" s="36"/>
      <c r="E921" s="37"/>
      <c r="F921" s="38"/>
      <c r="J921" s="38"/>
    </row>
    <row r="922" customFormat="false" ht="15" hidden="false" customHeight="false" outlineLevel="0" collapsed="false">
      <c r="B922" s="35"/>
      <c r="D922" s="36"/>
      <c r="E922" s="37"/>
      <c r="F922" s="38"/>
      <c r="J922" s="38"/>
    </row>
    <row r="923" customFormat="false" ht="15" hidden="false" customHeight="false" outlineLevel="0" collapsed="false">
      <c r="B923" s="35"/>
      <c r="D923" s="36"/>
      <c r="E923" s="37"/>
      <c r="F923" s="38"/>
      <c r="J923" s="38"/>
    </row>
    <row r="924" customFormat="false" ht="15" hidden="false" customHeight="false" outlineLevel="0" collapsed="false">
      <c r="B924" s="35"/>
      <c r="D924" s="36"/>
      <c r="E924" s="37"/>
      <c r="F924" s="38"/>
      <c r="J924" s="38"/>
    </row>
    <row r="925" customFormat="false" ht="15" hidden="false" customHeight="false" outlineLevel="0" collapsed="false">
      <c r="B925" s="35"/>
      <c r="D925" s="36"/>
      <c r="E925" s="37"/>
      <c r="F925" s="38"/>
      <c r="J925" s="38"/>
    </row>
    <row r="926" customFormat="false" ht="15" hidden="false" customHeight="false" outlineLevel="0" collapsed="false">
      <c r="B926" s="35"/>
      <c r="D926" s="36"/>
      <c r="E926" s="37"/>
      <c r="F926" s="38"/>
      <c r="J926" s="38"/>
    </row>
    <row r="927" customFormat="false" ht="15" hidden="false" customHeight="false" outlineLevel="0" collapsed="false">
      <c r="B927" s="35"/>
      <c r="D927" s="36"/>
      <c r="E927" s="37"/>
      <c r="F927" s="38"/>
      <c r="J927" s="38"/>
    </row>
    <row r="928" customFormat="false" ht="15" hidden="false" customHeight="false" outlineLevel="0" collapsed="false">
      <c r="B928" s="35"/>
      <c r="D928" s="36"/>
      <c r="E928" s="37"/>
      <c r="F928" s="38"/>
      <c r="J928" s="38"/>
    </row>
    <row r="929" customFormat="false" ht="15" hidden="false" customHeight="false" outlineLevel="0" collapsed="false">
      <c r="B929" s="35"/>
      <c r="D929" s="36"/>
      <c r="E929" s="37"/>
      <c r="F929" s="38"/>
      <c r="J929" s="38"/>
    </row>
    <row r="930" customFormat="false" ht="15" hidden="false" customHeight="false" outlineLevel="0" collapsed="false">
      <c r="B930" s="35"/>
      <c r="D930" s="36"/>
      <c r="E930" s="37"/>
      <c r="F930" s="38"/>
      <c r="J930" s="38"/>
    </row>
    <row r="931" customFormat="false" ht="15" hidden="false" customHeight="false" outlineLevel="0" collapsed="false">
      <c r="B931" s="35"/>
      <c r="D931" s="36"/>
      <c r="E931" s="37"/>
      <c r="F931" s="38"/>
      <c r="J931" s="38"/>
    </row>
    <row r="932" customFormat="false" ht="15" hidden="false" customHeight="false" outlineLevel="0" collapsed="false">
      <c r="B932" s="35"/>
      <c r="D932" s="36"/>
      <c r="E932" s="37"/>
      <c r="F932" s="38"/>
      <c r="J932" s="38"/>
    </row>
    <row r="933" customFormat="false" ht="15" hidden="false" customHeight="false" outlineLevel="0" collapsed="false">
      <c r="B933" s="35"/>
      <c r="D933" s="36"/>
      <c r="E933" s="37"/>
      <c r="F933" s="38"/>
      <c r="J933" s="38"/>
    </row>
    <row r="934" customFormat="false" ht="15" hidden="false" customHeight="false" outlineLevel="0" collapsed="false">
      <c r="B934" s="35"/>
      <c r="D934" s="36"/>
      <c r="E934" s="37"/>
      <c r="F934" s="38"/>
      <c r="J934" s="38"/>
    </row>
    <row r="935" customFormat="false" ht="15" hidden="false" customHeight="false" outlineLevel="0" collapsed="false">
      <c r="B935" s="35"/>
      <c r="D935" s="36"/>
      <c r="E935" s="37"/>
      <c r="F935" s="38"/>
      <c r="J935" s="38"/>
    </row>
    <row r="936" customFormat="false" ht="15" hidden="false" customHeight="false" outlineLevel="0" collapsed="false">
      <c r="B936" s="35"/>
      <c r="D936" s="36"/>
      <c r="E936" s="37"/>
      <c r="F936" s="38"/>
      <c r="J936" s="38"/>
    </row>
    <row r="937" customFormat="false" ht="15" hidden="false" customHeight="false" outlineLevel="0" collapsed="false">
      <c r="B937" s="35"/>
      <c r="D937" s="36"/>
      <c r="E937" s="37"/>
      <c r="F937" s="38"/>
      <c r="J937" s="38"/>
    </row>
    <row r="938" customFormat="false" ht="15" hidden="false" customHeight="false" outlineLevel="0" collapsed="false">
      <c r="B938" s="35"/>
      <c r="D938" s="36"/>
      <c r="E938" s="37"/>
      <c r="F938" s="38"/>
      <c r="J938" s="38"/>
    </row>
    <row r="939" customFormat="false" ht="15" hidden="false" customHeight="false" outlineLevel="0" collapsed="false">
      <c r="B939" s="35"/>
      <c r="D939" s="36"/>
      <c r="E939" s="37"/>
      <c r="F939" s="38"/>
      <c r="J939" s="38"/>
    </row>
    <row r="940" customFormat="false" ht="15" hidden="false" customHeight="false" outlineLevel="0" collapsed="false">
      <c r="B940" s="35"/>
      <c r="D940" s="36"/>
      <c r="E940" s="37"/>
      <c r="F940" s="38"/>
      <c r="J940" s="38"/>
    </row>
    <row r="941" customFormat="false" ht="15" hidden="false" customHeight="false" outlineLevel="0" collapsed="false">
      <c r="B941" s="35"/>
      <c r="D941" s="36"/>
      <c r="E941" s="37"/>
      <c r="F941" s="38"/>
      <c r="J941" s="38"/>
    </row>
    <row r="942" customFormat="false" ht="15" hidden="false" customHeight="false" outlineLevel="0" collapsed="false">
      <c r="B942" s="35"/>
      <c r="D942" s="36"/>
      <c r="E942" s="37"/>
      <c r="F942" s="38"/>
      <c r="J942" s="38"/>
    </row>
    <row r="943" customFormat="false" ht="15" hidden="false" customHeight="false" outlineLevel="0" collapsed="false">
      <c r="B943" s="35"/>
      <c r="D943" s="36"/>
      <c r="E943" s="37"/>
      <c r="F943" s="38"/>
      <c r="J943" s="38"/>
    </row>
    <row r="944" customFormat="false" ht="15" hidden="false" customHeight="false" outlineLevel="0" collapsed="false">
      <c r="B944" s="35"/>
      <c r="D944" s="36"/>
      <c r="E944" s="37"/>
      <c r="F944" s="38"/>
      <c r="J944" s="38"/>
    </row>
    <row r="945" customFormat="false" ht="15" hidden="false" customHeight="false" outlineLevel="0" collapsed="false">
      <c r="B945" s="35"/>
      <c r="D945" s="36"/>
      <c r="E945" s="37"/>
      <c r="F945" s="38"/>
      <c r="J945" s="38"/>
    </row>
    <row r="946" customFormat="false" ht="15" hidden="false" customHeight="false" outlineLevel="0" collapsed="false">
      <c r="B946" s="35"/>
      <c r="D946" s="36"/>
      <c r="E946" s="37"/>
      <c r="F946" s="38"/>
      <c r="J946" s="38"/>
    </row>
    <row r="947" customFormat="false" ht="15" hidden="false" customHeight="false" outlineLevel="0" collapsed="false">
      <c r="B947" s="35"/>
      <c r="D947" s="36"/>
      <c r="E947" s="37"/>
      <c r="F947" s="38"/>
      <c r="J947" s="38"/>
    </row>
    <row r="948" customFormat="false" ht="15" hidden="false" customHeight="false" outlineLevel="0" collapsed="false">
      <c r="B948" s="35"/>
      <c r="D948" s="36"/>
      <c r="E948" s="37"/>
      <c r="F948" s="38"/>
      <c r="J948" s="38"/>
    </row>
    <row r="949" customFormat="false" ht="15" hidden="false" customHeight="false" outlineLevel="0" collapsed="false">
      <c r="B949" s="35"/>
      <c r="D949" s="36"/>
      <c r="E949" s="37"/>
      <c r="F949" s="38"/>
      <c r="J949" s="38"/>
    </row>
    <row r="950" customFormat="false" ht="15" hidden="false" customHeight="false" outlineLevel="0" collapsed="false">
      <c r="B950" s="35"/>
      <c r="D950" s="36"/>
      <c r="E950" s="37"/>
      <c r="F950" s="38"/>
      <c r="J950" s="38"/>
    </row>
    <row r="951" customFormat="false" ht="15" hidden="false" customHeight="false" outlineLevel="0" collapsed="false">
      <c r="B951" s="35"/>
      <c r="D951" s="36"/>
      <c r="E951" s="37"/>
      <c r="F951" s="38"/>
      <c r="J951" s="38"/>
    </row>
    <row r="952" customFormat="false" ht="15" hidden="false" customHeight="false" outlineLevel="0" collapsed="false">
      <c r="B952" s="35"/>
      <c r="D952" s="36"/>
      <c r="E952" s="37"/>
      <c r="F952" s="38"/>
      <c r="J952" s="38"/>
    </row>
    <row r="953" customFormat="false" ht="15" hidden="false" customHeight="false" outlineLevel="0" collapsed="false">
      <c r="B953" s="35"/>
      <c r="D953" s="36"/>
      <c r="E953" s="37"/>
      <c r="F953" s="38"/>
      <c r="J953" s="38"/>
    </row>
    <row r="954" customFormat="false" ht="15" hidden="false" customHeight="false" outlineLevel="0" collapsed="false">
      <c r="B954" s="35"/>
      <c r="D954" s="36"/>
      <c r="E954" s="37"/>
      <c r="F954" s="38"/>
      <c r="J954" s="38"/>
    </row>
    <row r="955" customFormat="false" ht="15" hidden="false" customHeight="false" outlineLevel="0" collapsed="false">
      <c r="B955" s="35"/>
      <c r="D955" s="36"/>
      <c r="E955" s="37"/>
      <c r="F955" s="38"/>
      <c r="J955" s="38"/>
    </row>
    <row r="956" customFormat="false" ht="15" hidden="false" customHeight="false" outlineLevel="0" collapsed="false">
      <c r="B956" s="35"/>
      <c r="D956" s="36"/>
      <c r="E956" s="37"/>
      <c r="F956" s="38"/>
      <c r="J956" s="38"/>
    </row>
    <row r="957" customFormat="false" ht="15" hidden="false" customHeight="false" outlineLevel="0" collapsed="false">
      <c r="B957" s="35"/>
      <c r="D957" s="36"/>
      <c r="E957" s="37"/>
      <c r="F957" s="38"/>
      <c r="J957" s="38"/>
    </row>
    <row r="958" customFormat="false" ht="15" hidden="false" customHeight="false" outlineLevel="0" collapsed="false">
      <c r="B958" s="35"/>
      <c r="D958" s="36"/>
      <c r="E958" s="37"/>
      <c r="F958" s="38"/>
      <c r="J958" s="38"/>
    </row>
    <row r="959" customFormat="false" ht="15" hidden="false" customHeight="false" outlineLevel="0" collapsed="false">
      <c r="B959" s="35"/>
      <c r="D959" s="36"/>
      <c r="E959" s="37"/>
      <c r="F959" s="38"/>
      <c r="J959" s="38"/>
    </row>
    <row r="960" customFormat="false" ht="15" hidden="false" customHeight="false" outlineLevel="0" collapsed="false">
      <c r="B960" s="35"/>
      <c r="D960" s="36"/>
      <c r="E960" s="37"/>
      <c r="F960" s="38"/>
      <c r="J960" s="38"/>
    </row>
    <row r="961" customFormat="false" ht="15" hidden="false" customHeight="false" outlineLevel="0" collapsed="false">
      <c r="B961" s="35"/>
      <c r="D961" s="36"/>
      <c r="E961" s="37"/>
      <c r="F961" s="38"/>
      <c r="J961" s="38"/>
    </row>
    <row r="962" customFormat="false" ht="15" hidden="false" customHeight="false" outlineLevel="0" collapsed="false">
      <c r="B962" s="35"/>
      <c r="D962" s="36"/>
      <c r="E962" s="37"/>
      <c r="F962" s="38"/>
      <c r="J962" s="38"/>
    </row>
    <row r="963" customFormat="false" ht="15" hidden="false" customHeight="false" outlineLevel="0" collapsed="false">
      <c r="B963" s="35"/>
      <c r="D963" s="36"/>
      <c r="E963" s="37"/>
      <c r="F963" s="38"/>
      <c r="J963" s="38"/>
    </row>
    <row r="964" customFormat="false" ht="15" hidden="false" customHeight="false" outlineLevel="0" collapsed="false">
      <c r="B964" s="35"/>
      <c r="D964" s="36"/>
      <c r="E964" s="37"/>
      <c r="F964" s="38"/>
      <c r="J964" s="38"/>
    </row>
    <row r="965" customFormat="false" ht="15" hidden="false" customHeight="false" outlineLevel="0" collapsed="false">
      <c r="B965" s="35"/>
      <c r="D965" s="36"/>
      <c r="E965" s="37"/>
      <c r="F965" s="38"/>
      <c r="J965" s="38"/>
    </row>
    <row r="966" customFormat="false" ht="15" hidden="false" customHeight="false" outlineLevel="0" collapsed="false">
      <c r="B966" s="35"/>
      <c r="D966" s="36"/>
      <c r="E966" s="37"/>
      <c r="F966" s="38"/>
      <c r="J966" s="38"/>
    </row>
    <row r="967" customFormat="false" ht="15" hidden="false" customHeight="false" outlineLevel="0" collapsed="false">
      <c r="B967" s="35"/>
      <c r="D967" s="36"/>
      <c r="E967" s="37"/>
      <c r="F967" s="38"/>
      <c r="J967" s="38"/>
    </row>
    <row r="968" customFormat="false" ht="15" hidden="false" customHeight="false" outlineLevel="0" collapsed="false">
      <c r="B968" s="35"/>
      <c r="D968" s="36"/>
      <c r="E968" s="37"/>
      <c r="F968" s="38"/>
      <c r="J968" s="38"/>
    </row>
    <row r="969" customFormat="false" ht="15" hidden="false" customHeight="false" outlineLevel="0" collapsed="false">
      <c r="B969" s="35"/>
      <c r="D969" s="36"/>
      <c r="E969" s="37"/>
      <c r="F969" s="38"/>
      <c r="J969" s="38"/>
    </row>
    <row r="970" customFormat="false" ht="15" hidden="false" customHeight="false" outlineLevel="0" collapsed="false">
      <c r="B970" s="35"/>
      <c r="D970" s="36"/>
      <c r="E970" s="37"/>
      <c r="F970" s="38"/>
      <c r="J970" s="38"/>
    </row>
    <row r="971" customFormat="false" ht="15" hidden="false" customHeight="false" outlineLevel="0" collapsed="false">
      <c r="B971" s="35"/>
      <c r="D971" s="36"/>
      <c r="E971" s="37"/>
      <c r="F971" s="38"/>
      <c r="J971" s="38"/>
    </row>
    <row r="972" customFormat="false" ht="15" hidden="false" customHeight="false" outlineLevel="0" collapsed="false">
      <c r="B972" s="35"/>
      <c r="D972" s="36"/>
      <c r="E972" s="37"/>
      <c r="F972" s="38"/>
      <c r="J972" s="38"/>
    </row>
    <row r="973" customFormat="false" ht="15" hidden="false" customHeight="false" outlineLevel="0" collapsed="false">
      <c r="B973" s="35"/>
      <c r="D973" s="36"/>
      <c r="E973" s="37"/>
      <c r="F973" s="38"/>
      <c r="J973" s="38"/>
    </row>
    <row r="974" customFormat="false" ht="15" hidden="false" customHeight="false" outlineLevel="0" collapsed="false">
      <c r="B974" s="35"/>
      <c r="D974" s="36"/>
      <c r="E974" s="37"/>
      <c r="F974" s="38"/>
      <c r="J974" s="38"/>
    </row>
    <row r="975" customFormat="false" ht="15" hidden="false" customHeight="false" outlineLevel="0" collapsed="false">
      <c r="B975" s="35"/>
      <c r="D975" s="36"/>
      <c r="E975" s="37"/>
      <c r="F975" s="38"/>
      <c r="J975" s="38"/>
    </row>
    <row r="976" customFormat="false" ht="15" hidden="false" customHeight="false" outlineLevel="0" collapsed="false">
      <c r="B976" s="35"/>
      <c r="D976" s="36"/>
      <c r="E976" s="37"/>
      <c r="F976" s="38"/>
      <c r="J976" s="38"/>
    </row>
    <row r="977" customFormat="false" ht="15" hidden="false" customHeight="false" outlineLevel="0" collapsed="false">
      <c r="B977" s="35"/>
      <c r="D977" s="36"/>
      <c r="E977" s="37"/>
      <c r="F977" s="38"/>
      <c r="J977" s="38"/>
    </row>
    <row r="978" customFormat="false" ht="15" hidden="false" customHeight="false" outlineLevel="0" collapsed="false">
      <c r="B978" s="35"/>
      <c r="D978" s="36"/>
      <c r="E978" s="37"/>
      <c r="F978" s="38"/>
      <c r="J978" s="38"/>
    </row>
    <row r="979" customFormat="false" ht="15" hidden="false" customHeight="false" outlineLevel="0" collapsed="false">
      <c r="B979" s="35"/>
      <c r="D979" s="36"/>
      <c r="E979" s="37"/>
      <c r="F979" s="38"/>
      <c r="J979" s="38"/>
    </row>
    <row r="980" customFormat="false" ht="15" hidden="false" customHeight="false" outlineLevel="0" collapsed="false">
      <c r="B980" s="35"/>
      <c r="D980" s="36"/>
      <c r="E980" s="37"/>
      <c r="F980" s="38"/>
      <c r="J980" s="38"/>
    </row>
    <row r="981" customFormat="false" ht="15" hidden="false" customHeight="false" outlineLevel="0" collapsed="false">
      <c r="B981" s="35"/>
      <c r="D981" s="36"/>
      <c r="E981" s="37"/>
      <c r="F981" s="38"/>
      <c r="J981" s="38"/>
    </row>
    <row r="982" customFormat="false" ht="15" hidden="false" customHeight="false" outlineLevel="0" collapsed="false">
      <c r="B982" s="35"/>
      <c r="D982" s="36"/>
      <c r="E982" s="37"/>
      <c r="F982" s="38"/>
      <c r="J982" s="38"/>
    </row>
    <row r="983" customFormat="false" ht="15" hidden="false" customHeight="false" outlineLevel="0" collapsed="false">
      <c r="B983" s="35"/>
      <c r="D983" s="36"/>
      <c r="E983" s="37"/>
      <c r="F983" s="38"/>
      <c r="J983" s="38"/>
    </row>
    <row r="984" customFormat="false" ht="15" hidden="false" customHeight="false" outlineLevel="0" collapsed="false">
      <c r="B984" s="35"/>
      <c r="D984" s="36"/>
      <c r="E984" s="37"/>
      <c r="F984" s="38"/>
      <c r="J984" s="38"/>
    </row>
    <row r="985" customFormat="false" ht="15" hidden="false" customHeight="false" outlineLevel="0" collapsed="false">
      <c r="B985" s="35"/>
      <c r="D985" s="36"/>
      <c r="E985" s="37"/>
      <c r="F985" s="38"/>
      <c r="J985" s="38"/>
    </row>
    <row r="986" customFormat="false" ht="15" hidden="false" customHeight="false" outlineLevel="0" collapsed="false">
      <c r="B986" s="35"/>
      <c r="D986" s="36"/>
      <c r="E986" s="37"/>
      <c r="F986" s="38"/>
      <c r="J986" s="38"/>
    </row>
    <row r="987" customFormat="false" ht="15" hidden="false" customHeight="false" outlineLevel="0" collapsed="false">
      <c r="B987" s="35"/>
      <c r="D987" s="36"/>
      <c r="E987" s="37"/>
      <c r="F987" s="38"/>
      <c r="J987" s="38"/>
    </row>
    <row r="988" customFormat="false" ht="15" hidden="false" customHeight="false" outlineLevel="0" collapsed="false">
      <c r="B988" s="35"/>
      <c r="D988" s="36"/>
      <c r="E988" s="37"/>
      <c r="F988" s="38"/>
      <c r="J988" s="38"/>
    </row>
    <row r="989" customFormat="false" ht="15" hidden="false" customHeight="false" outlineLevel="0" collapsed="false">
      <c r="B989" s="35"/>
      <c r="D989" s="36"/>
      <c r="E989" s="37"/>
      <c r="F989" s="38"/>
      <c r="J989" s="38"/>
    </row>
    <row r="990" customFormat="false" ht="15" hidden="false" customHeight="false" outlineLevel="0" collapsed="false">
      <c r="B990" s="35"/>
      <c r="D990" s="36"/>
      <c r="E990" s="37"/>
      <c r="F990" s="38"/>
      <c r="J990" s="38"/>
    </row>
    <row r="991" customFormat="false" ht="15" hidden="false" customHeight="false" outlineLevel="0" collapsed="false">
      <c r="B991" s="35"/>
      <c r="D991" s="36"/>
      <c r="E991" s="37"/>
      <c r="F991" s="38"/>
      <c r="J991" s="38"/>
    </row>
    <row r="992" customFormat="false" ht="15" hidden="false" customHeight="false" outlineLevel="0" collapsed="false">
      <c r="B992" s="35"/>
      <c r="D992" s="36"/>
      <c r="E992" s="37"/>
      <c r="F992" s="38"/>
      <c r="J992" s="38"/>
    </row>
    <row r="993" customFormat="false" ht="15" hidden="false" customHeight="false" outlineLevel="0" collapsed="false">
      <c r="B993" s="35"/>
      <c r="D993" s="36"/>
      <c r="E993" s="37"/>
      <c r="F993" s="38"/>
      <c r="J993" s="38"/>
    </row>
    <row r="994" customFormat="false" ht="15" hidden="false" customHeight="false" outlineLevel="0" collapsed="false">
      <c r="B994" s="35"/>
      <c r="D994" s="36"/>
      <c r="E994" s="37"/>
      <c r="F994" s="38"/>
      <c r="J994" s="38"/>
    </row>
    <row r="995" customFormat="false" ht="15" hidden="false" customHeight="false" outlineLevel="0" collapsed="false">
      <c r="B995" s="35"/>
      <c r="D995" s="36"/>
      <c r="E995" s="37"/>
      <c r="F995" s="38"/>
      <c r="J995" s="38"/>
    </row>
    <row r="996" customFormat="false" ht="15" hidden="false" customHeight="false" outlineLevel="0" collapsed="false">
      <c r="B996" s="35"/>
      <c r="D996" s="36"/>
      <c r="E996" s="37"/>
      <c r="F996" s="38"/>
      <c r="J996" s="38"/>
    </row>
    <row r="997" customFormat="false" ht="15" hidden="false" customHeight="false" outlineLevel="0" collapsed="false">
      <c r="B997" s="35"/>
      <c r="D997" s="36"/>
      <c r="E997" s="37"/>
      <c r="F997" s="38"/>
      <c r="J997" s="38"/>
    </row>
    <row r="998" customFormat="false" ht="15" hidden="false" customHeight="false" outlineLevel="0" collapsed="false">
      <c r="B998" s="35"/>
      <c r="D998" s="36"/>
      <c r="E998" s="37"/>
      <c r="F998" s="38"/>
      <c r="J998" s="38"/>
    </row>
    <row r="999" customFormat="false" ht="15" hidden="false" customHeight="false" outlineLevel="0" collapsed="false">
      <c r="B999" s="35"/>
      <c r="D999" s="36"/>
      <c r="E999" s="37"/>
      <c r="F999" s="38"/>
      <c r="J999" s="38"/>
    </row>
    <row r="1000" customFormat="false" ht="15" hidden="false" customHeight="false" outlineLevel="0" collapsed="false">
      <c r="B1000" s="35"/>
      <c r="D1000" s="36"/>
      <c r="E1000" s="37"/>
      <c r="F1000" s="38"/>
      <c r="J1000" s="38"/>
    </row>
    <row r="1001" customFormat="false" ht="15" hidden="false" customHeight="false" outlineLevel="0" collapsed="false">
      <c r="B1001" s="35"/>
      <c r="D1001" s="36"/>
      <c r="E1001" s="37"/>
      <c r="F1001" s="38"/>
      <c r="J1001" s="38"/>
    </row>
    <row r="1002" customFormat="false" ht="15" hidden="false" customHeight="false" outlineLevel="0" collapsed="false">
      <c r="B1002" s="35"/>
      <c r="D1002" s="36"/>
      <c r="E1002" s="37"/>
      <c r="F1002" s="38"/>
      <c r="J1002" s="38"/>
    </row>
    <row r="1003" customFormat="false" ht="15" hidden="false" customHeight="false" outlineLevel="0" collapsed="false">
      <c r="B1003" s="35"/>
      <c r="D1003" s="36"/>
      <c r="E1003" s="37"/>
      <c r="F1003" s="38"/>
      <c r="J1003" s="38"/>
    </row>
    <row r="1004" customFormat="false" ht="15" hidden="false" customHeight="false" outlineLevel="0" collapsed="false">
      <c r="B1004" s="35"/>
      <c r="D1004" s="36"/>
      <c r="E1004" s="37"/>
      <c r="F1004" s="38"/>
      <c r="J1004" s="38"/>
    </row>
    <row r="1005" customFormat="false" ht="15" hidden="false" customHeight="false" outlineLevel="0" collapsed="false">
      <c r="B1005" s="35"/>
      <c r="D1005" s="36"/>
      <c r="E1005" s="37"/>
      <c r="F1005" s="38"/>
      <c r="J1005" s="38"/>
    </row>
    <row r="1006" customFormat="false" ht="15" hidden="false" customHeight="false" outlineLevel="0" collapsed="false">
      <c r="B1006" s="35"/>
      <c r="D1006" s="36"/>
      <c r="E1006" s="37"/>
      <c r="F1006" s="38"/>
      <c r="J1006" s="38"/>
    </row>
    <row r="1007" customFormat="false" ht="15" hidden="false" customHeight="false" outlineLevel="0" collapsed="false">
      <c r="B1007" s="35"/>
      <c r="D1007" s="36"/>
      <c r="E1007" s="37"/>
      <c r="F1007" s="38"/>
      <c r="J1007" s="38"/>
    </row>
    <row r="1008" customFormat="false" ht="15" hidden="false" customHeight="false" outlineLevel="0" collapsed="false">
      <c r="B1008" s="35"/>
      <c r="D1008" s="36"/>
      <c r="E1008" s="37"/>
      <c r="F1008" s="38"/>
      <c r="J1008" s="38"/>
    </row>
    <row r="1009" customFormat="false" ht="15" hidden="false" customHeight="false" outlineLevel="0" collapsed="false">
      <c r="B1009" s="35"/>
      <c r="D1009" s="36"/>
      <c r="E1009" s="37"/>
      <c r="F1009" s="38"/>
      <c r="J1009" s="38"/>
    </row>
    <row r="1010" customFormat="false" ht="15" hidden="false" customHeight="false" outlineLevel="0" collapsed="false">
      <c r="B1010" s="35"/>
      <c r="D1010" s="36"/>
      <c r="E1010" s="37"/>
      <c r="F1010" s="38"/>
      <c r="J1010" s="38"/>
    </row>
    <row r="1011" customFormat="false" ht="15" hidden="false" customHeight="false" outlineLevel="0" collapsed="false">
      <c r="B1011" s="35"/>
      <c r="D1011" s="36"/>
      <c r="E1011" s="37"/>
      <c r="F1011" s="38"/>
      <c r="J1011" s="38"/>
    </row>
    <row r="1012" customFormat="false" ht="15" hidden="false" customHeight="false" outlineLevel="0" collapsed="false">
      <c r="B1012" s="35"/>
      <c r="D1012" s="36"/>
      <c r="E1012" s="37"/>
      <c r="F1012" s="38"/>
      <c r="J1012" s="38"/>
    </row>
    <row r="1013" customFormat="false" ht="15" hidden="false" customHeight="false" outlineLevel="0" collapsed="false">
      <c r="B1013" s="35"/>
      <c r="D1013" s="36"/>
      <c r="E1013" s="37"/>
      <c r="F1013" s="38"/>
      <c r="J1013" s="38"/>
    </row>
    <row r="1014" customFormat="false" ht="15" hidden="false" customHeight="false" outlineLevel="0" collapsed="false">
      <c r="B1014" s="35"/>
      <c r="D1014" s="36"/>
      <c r="E1014" s="37"/>
      <c r="F1014" s="38"/>
      <c r="J1014" s="38"/>
    </row>
    <row r="1015" customFormat="false" ht="15" hidden="false" customHeight="false" outlineLevel="0" collapsed="false">
      <c r="B1015" s="35"/>
      <c r="D1015" s="36"/>
      <c r="E1015" s="37"/>
      <c r="F1015" s="38"/>
      <c r="J1015" s="38"/>
    </row>
    <row r="1016" customFormat="false" ht="15" hidden="false" customHeight="false" outlineLevel="0" collapsed="false">
      <c r="B1016" s="35"/>
      <c r="D1016" s="36"/>
      <c r="E1016" s="37"/>
      <c r="F1016" s="38"/>
      <c r="J1016" s="38"/>
    </row>
    <row r="1017" customFormat="false" ht="15" hidden="false" customHeight="false" outlineLevel="0" collapsed="false">
      <c r="B1017" s="35"/>
      <c r="D1017" s="36"/>
      <c r="E1017" s="37"/>
      <c r="F1017" s="38"/>
      <c r="J1017" s="38"/>
    </row>
    <row r="1018" customFormat="false" ht="15" hidden="false" customHeight="false" outlineLevel="0" collapsed="false">
      <c r="B1018" s="35"/>
      <c r="D1018" s="36"/>
      <c r="E1018" s="37"/>
      <c r="F1018" s="38"/>
      <c r="J1018" s="38"/>
    </row>
  </sheetData>
  <autoFilter ref="A1:K5001"/>
  <conditionalFormatting sqref="A2:K5001">
    <cfRule type="expression" priority="2" aboveAverage="0" equalAverage="0" bottom="0" percent="0" rank="0" text="" dxfId="10">
      <formula>$G2="Amount-only"</formula>
    </cfRule>
    <cfRule type="expression" priority="3" aboveAverage="0" equalAverage="0" bottom="0" percent="0" rank="0" text="" dxfId="11">
      <formula>$G2="Near"</formula>
    </cfRule>
    <cfRule type="expression" priority="4" aboveAverage="0" equalAverage="0" bottom="0" percent="0" rank="0" text="" dxfId="12">
      <formula>$G2="Tolerance"</formula>
    </cfRule>
  </conditionalFormatting>
  <dataValidations count="2">
    <dataValidation allowBlank="true" errorStyle="stop" operator="between" showDropDown="false" showErrorMessage="false" showInputMessage="false" sqref="F2:F1018" type="list">
      <formula1>"Y"</formula1>
      <formula2>0</formula2>
    </dataValidation>
    <dataValidation allowBlank="true" errorStyle="stop" operator="between" showDropDown="false" showErrorMessage="false" showInputMessage="false" sqref="G2:G1018" type="list">
      <formula1>"Exact,Amount-only,Near,Tolerance,Manual"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true" outlineLevel="0" max="2" min="2" style="0" width="6"/>
    <col collapsed="false" customWidth="true" hidden="false" outlineLevel="0" max="3" min="3" style="0" width="13"/>
    <col collapsed="false" customWidth="true" hidden="false" outlineLevel="0" max="4" min="4" style="0" width="6"/>
    <col collapsed="false" customWidth="true" hidden="false" outlineLevel="0" max="5" min="5" style="0" width="11"/>
    <col collapsed="false" customWidth="true" hidden="false" outlineLevel="0" max="6" min="6" style="0" width="40"/>
    <col collapsed="false" customWidth="true" hidden="false" outlineLevel="0" max="8" min="7" style="0" width="14"/>
    <col collapsed="false" customWidth="true" hidden="true" outlineLevel="0" max="9" min="9" style="0" width="6"/>
    <col collapsed="false" customWidth="true" hidden="false" outlineLevel="0" max="10" min="10" style="0" width="11"/>
    <col collapsed="false" customWidth="true" hidden="false" outlineLevel="0" max="11" min="11" style="0" width="40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26"/>
  </cols>
  <sheetData>
    <row r="1" customFormat="false" ht="17.35" hidden="false" customHeight="false" outlineLevel="0" collapsed="false">
      <c r="A1" s="1" t="s">
        <v>259</v>
      </c>
    </row>
    <row r="2" customFormat="false" ht="15" hidden="false" customHeight="false" outlineLevel="0" collapsed="false">
      <c r="A2" s="2" t="s">
        <v>260</v>
      </c>
    </row>
    <row r="3" customFormat="false" ht="15" hidden="false" customHeight="false" outlineLevel="0" collapsed="false">
      <c r="A3" s="18" t="s">
        <v>261</v>
      </c>
      <c r="B3" s="7" t="n">
        <f aca="false">COUNTIF(A6:A2005,"?*")</f>
        <v>12</v>
      </c>
      <c r="D3" s="18" t="s">
        <v>262</v>
      </c>
      <c r="E3" s="22" t="n">
        <f aca="false">SUM(M6:M2005)</f>
        <v>0</v>
      </c>
      <c r="G3" s="18" t="s">
        <v>263</v>
      </c>
      <c r="H3" s="7" t="n">
        <f aca="false">COUNTIF(N6:N2005,"BROKEN*")+COUNTIF(N6:N2005,"NOT FOUND*")</f>
        <v>0</v>
      </c>
    </row>
    <row r="5" customFormat="false" ht="46.25" hidden="false" customHeight="false" outlineLevel="0" collapsed="false">
      <c r="A5" s="39" t="s">
        <v>264</v>
      </c>
      <c r="B5" s="40" t="s">
        <v>265</v>
      </c>
      <c r="C5" s="40" t="s">
        <v>11</v>
      </c>
      <c r="D5" s="40" t="s">
        <v>41</v>
      </c>
      <c r="E5" s="40" t="s">
        <v>266</v>
      </c>
      <c r="F5" s="40" t="s">
        <v>267</v>
      </c>
      <c r="G5" s="40" t="s">
        <v>268</v>
      </c>
      <c r="H5" s="40" t="s">
        <v>269</v>
      </c>
      <c r="I5" s="40" t="s">
        <v>270</v>
      </c>
      <c r="J5" s="40" t="s">
        <v>271</v>
      </c>
      <c r="K5" s="40" t="s">
        <v>272</v>
      </c>
      <c r="L5" s="40" t="s">
        <v>273</v>
      </c>
      <c r="M5" s="40" t="s">
        <v>274</v>
      </c>
      <c r="N5" s="40" t="s">
        <v>275</v>
      </c>
    </row>
    <row r="6" customFormat="false" ht="15" hidden="false" customHeight="false" outlineLevel="0" collapsed="false">
      <c r="A6" s="41" t="s">
        <v>45</v>
      </c>
      <c r="B6" s="5" t="n">
        <f aca="false">IF(A6="",0,IFERROR(MATCH(A6,Bank!$A:$A,0),0))</f>
        <v>2</v>
      </c>
      <c r="C6" s="5" t="str">
        <f aca="false">IF(B6=0,"",IF(INDEX(Bank!$G:$G,B6)="","",INDEX(Bank!$G:$G,B6)))</f>
        <v>Exact</v>
      </c>
      <c r="D6" s="5" t="n">
        <f aca="false">IF(B6=0,"",IF(INDEX(Bank!$J:$J,B6)="","",INDEX(Bank!$J:$J,B6)))</f>
        <v>1</v>
      </c>
      <c r="E6" s="32" t="n">
        <f aca="false">IF(B6=0,"",INDEX(Bank!$B:$B,B6))</f>
        <v>46237</v>
      </c>
      <c r="F6" s="5" t="str">
        <f aca="false">IF(B6=0,"",IF(INDEX(Bank!$C:$C,B6)="","",INDEX(Bank!$C:$C,B6)))</f>
        <v>CHECK 1045</v>
      </c>
      <c r="G6" s="19" t="n">
        <f aca="false">IF(B6=0,"",INDEX(Bank!$E:$E,B6))</f>
        <v>-1250</v>
      </c>
      <c r="H6" s="5" t="str">
        <f aca="false">IF(B6=0,"",IF(INDEX(Bank!$H:$H,B6)="","",INDEX(Bank!$H:$H,B6)))</f>
        <v>G-2608-0001</v>
      </c>
      <c r="I6" s="5" t="n">
        <f aca="false">IF(H6="",0,IFERROR(MATCH(H6,GL!$A:$A,0),0))</f>
        <v>4</v>
      </c>
      <c r="J6" s="32" t="n">
        <f aca="false">IF(I6=0,"",INDEX(GL!$B:$B,I6))</f>
        <v>46236</v>
      </c>
      <c r="K6" s="5" t="str">
        <f aca="false">IF(I6=0,"",IF(INDEX(GL!$C:$C,I6)="","",INDEX(GL!$C:$C,I6)))</f>
        <v>Summit Fleet Repair - Truck repair</v>
      </c>
      <c r="L6" s="19" t="n">
        <f aca="false">IF(I6=0,"",INDEX(GL!$E:$E,I6))</f>
        <v>-1250</v>
      </c>
      <c r="M6" s="19" t="n">
        <f aca="false">IF(OR(B6=0,I6=0),"",ROUND(G6-L6,2))</f>
        <v>0</v>
      </c>
      <c r="N6" s="5" t="str">
        <f aca="false">IF(A6="","",IF(B6=0,"NOT FOUND: bank ID",IF(I6=0,"NOT FOUND: GL ID",IF(INDEX(GL!$H:$H,I6)&lt;&gt;A6,"BROKEN: GL points elsewhere",IF(OR(INDEX(Bank!$F:$F,B6)&lt;&gt;"Y",INDEX(GL!$F:$F,I6)&lt;&gt;"Y"),"BROKEN: Status not Y","OK")))))</f>
        <v>OK</v>
      </c>
    </row>
    <row r="7" customFormat="false" ht="15" hidden="false" customHeight="false" outlineLevel="0" collapsed="false">
      <c r="A7" s="41" t="s">
        <v>189</v>
      </c>
      <c r="B7" s="5" t="n">
        <f aca="false">IF(A7="",0,IFERROR(MATCH(A7,Bank!$A:$A,0),0))</f>
        <v>3</v>
      </c>
      <c r="C7" s="5" t="str">
        <f aca="false">IF(B7=0,"",IF(INDEX(Bank!$G:$G,B7)="","",INDEX(Bank!$G:$G,B7)))</f>
        <v>Amount-only</v>
      </c>
      <c r="D7" s="5" t="n">
        <f aca="false">IF(B7=0,"",IF(INDEX(Bank!$J:$J,B7)="","",INDEX(Bank!$J:$J,B7)))</f>
        <v>1</v>
      </c>
      <c r="E7" s="32" t="n">
        <f aca="false">IF(B7=0,"",INDEX(Bank!$B:$B,B7))</f>
        <v>46238</v>
      </c>
      <c r="F7" s="5" t="str">
        <f aca="false">IF(B7=0,"",IF(INDEX(Bank!$C:$C,B7)="","",INDEX(Bank!$C:$C,B7)))</f>
        <v>DEPOSIT</v>
      </c>
      <c r="G7" s="19" t="n">
        <f aca="false">IF(B7=0,"",INDEX(Bank!$E:$E,B7))</f>
        <v>4380</v>
      </c>
      <c r="H7" s="5" t="str">
        <f aca="false">IF(B7=0,"",IF(INDEX(Bank!$H:$H,B7)="","",INDEX(Bank!$H:$H,B7)))</f>
        <v>G-2608-0002</v>
      </c>
      <c r="I7" s="5" t="n">
        <f aca="false">IF(H7="",0,IFERROR(MATCH(H7,GL!$A:$A,0),0))</f>
        <v>5</v>
      </c>
      <c r="J7" s="32" t="n">
        <f aca="false">IF(I7=0,"",INDEX(GL!$B:$B,I7))</f>
        <v>46237</v>
      </c>
      <c r="K7" s="5" t="str">
        <f aca="false">IF(I7=0,"",IF(INDEX(GL!$C:$C,I7)="","",INDEX(GL!$C:$C,I7)))</f>
        <v>Hillside HOA - Customer payment</v>
      </c>
      <c r="L7" s="19" t="n">
        <f aca="false">IF(I7=0,"",INDEX(GL!$E:$E,I7))</f>
        <v>4380</v>
      </c>
      <c r="M7" s="19" t="n">
        <f aca="false">IF(OR(B7=0,I7=0),"",ROUND(G7-L7,2))</f>
        <v>0</v>
      </c>
      <c r="N7" s="5" t="str">
        <f aca="false">IF(A7="","",IF(B7=0,"NOT FOUND: bank ID",IF(I7=0,"NOT FOUND: GL ID",IF(INDEX(GL!$H:$H,I7)&lt;&gt;A7,"BROKEN: GL points elsewhere",IF(OR(INDEX(Bank!$F:$F,B7)&lt;&gt;"Y",INDEX(GL!$F:$F,I7)&lt;&gt;"Y"),"BROKEN: Status not Y","OK")))))</f>
        <v>OK</v>
      </c>
    </row>
    <row r="8" customFormat="false" ht="15" hidden="false" customHeight="false" outlineLevel="0" collapsed="false">
      <c r="A8" s="41" t="s">
        <v>193</v>
      </c>
      <c r="B8" s="5" t="n">
        <f aca="false">IF(A8="",0,IFERROR(MATCH(A8,Bank!$A:$A,0),0))</f>
        <v>4</v>
      </c>
      <c r="C8" s="5" t="str">
        <f aca="false">IF(B8=0,"",IF(INDEX(Bank!$G:$G,B8)="","",INDEX(Bank!$G:$G,B8)))</f>
        <v>Exact</v>
      </c>
      <c r="D8" s="5" t="n">
        <f aca="false">IF(B8=0,"",IF(INDEX(Bank!$J:$J,B8)="","",INDEX(Bank!$J:$J,B8)))</f>
        <v>1</v>
      </c>
      <c r="E8" s="32" t="n">
        <f aca="false">IF(B8=0,"",INDEX(Bank!$B:$B,B8))</f>
        <v>46239</v>
      </c>
      <c r="F8" s="5" t="str">
        <f aca="false">IF(B8=0,"",IF(INDEX(Bank!$C:$C,B8)="","",INDEX(Bank!$C:$C,B8)))</f>
        <v>ACH DEBIT ADP PAYROLL 080526</v>
      </c>
      <c r="G8" s="19" t="n">
        <f aca="false">IF(B8=0,"",INDEX(Bank!$E:$E,B8))</f>
        <v>-8912.44</v>
      </c>
      <c r="H8" s="5" t="str">
        <f aca="false">IF(B8=0,"",IF(INDEX(Bank!$H:$H,B8)="","",INDEX(Bank!$H:$H,B8)))</f>
        <v>G-2608-0004</v>
      </c>
      <c r="I8" s="5" t="n">
        <f aca="false">IF(H8="",0,IFERROR(MATCH(H8,GL!$A:$A,0),0))</f>
        <v>7</v>
      </c>
      <c r="J8" s="32" t="n">
        <f aca="false">IF(I8=0,"",INDEX(GL!$B:$B,I8))</f>
        <v>46239</v>
      </c>
      <c r="K8" s="5" t="str">
        <f aca="false">IF(I8=0,"",IF(INDEX(GL!$C:$C,I8)="","",INDEX(GL!$C:$C,I8)))</f>
        <v>ADP - Payroll 8/5</v>
      </c>
      <c r="L8" s="19" t="n">
        <f aca="false">IF(I8=0,"",INDEX(GL!$E:$E,I8))</f>
        <v>-8912.44</v>
      </c>
      <c r="M8" s="19" t="n">
        <f aca="false">IF(OR(B8=0,I8=0),"",ROUND(G8-L8,2))</f>
        <v>0</v>
      </c>
      <c r="N8" s="5" t="str">
        <f aca="false">IF(A8="","",IF(B8=0,"NOT FOUND: bank ID",IF(I8=0,"NOT FOUND: GL ID",IF(INDEX(GL!$H:$H,I8)&lt;&gt;A8,"BROKEN: GL points elsewhere",IF(OR(INDEX(Bank!$F:$F,B8)&lt;&gt;"Y",INDEX(GL!$F:$F,I8)&lt;&gt;"Y"),"BROKEN: Status not Y","OK")))))</f>
        <v>OK</v>
      </c>
    </row>
    <row r="9" customFormat="false" ht="15" hidden="false" customHeight="false" outlineLevel="0" collapsed="false">
      <c r="A9" s="41" t="s">
        <v>196</v>
      </c>
      <c r="B9" s="5" t="n">
        <f aca="false">IF(A9="",0,IFERROR(MATCH(A9,Bank!$A:$A,0),0))</f>
        <v>5</v>
      </c>
      <c r="C9" s="5" t="str">
        <f aca="false">IF(B9=0,"",IF(INDEX(Bank!$G:$G,B9)="","",INDEX(Bank!$G:$G,B9)))</f>
        <v>Exact</v>
      </c>
      <c r="D9" s="5" t="n">
        <f aca="false">IF(B9=0,"",IF(INDEX(Bank!$J:$J,B9)="","",INDEX(Bank!$J:$J,B9)))</f>
        <v>1</v>
      </c>
      <c r="E9" s="32" t="n">
        <f aca="false">IF(B9=0,"",INDEX(Bank!$B:$B,B9))</f>
        <v>46240</v>
      </c>
      <c r="F9" s="5" t="str">
        <f aca="false">IF(B9=0,"",IF(INDEX(Bank!$C:$C,B9)="","",INDEX(Bank!$C:$C,B9)))</f>
        <v>CHECK 1047</v>
      </c>
      <c r="G9" s="19" t="n">
        <f aca="false">IF(B9=0,"",INDEX(Bank!$E:$E,B9))</f>
        <v>-1250</v>
      </c>
      <c r="H9" s="5" t="str">
        <f aca="false">IF(B9=0,"",IF(INDEX(Bank!$H:$H,B9)="","",INDEX(Bank!$H:$H,B9)))</f>
        <v>G-2608-0003</v>
      </c>
      <c r="I9" s="5" t="n">
        <f aca="false">IF(H9="",0,IFERROR(MATCH(H9,GL!$A:$A,0),0))</f>
        <v>6</v>
      </c>
      <c r="J9" s="32" t="n">
        <f aca="false">IF(I9=0,"",INDEX(GL!$B:$B,I9))</f>
        <v>46238</v>
      </c>
      <c r="K9" s="5" t="str">
        <f aca="false">IF(I9=0,"",IF(INDEX(GL!$C:$C,I9)="","",INDEX(GL!$C:$C,I9)))</f>
        <v>Granite Equipment Rental - Skid steer</v>
      </c>
      <c r="L9" s="19" t="n">
        <f aca="false">IF(I9=0,"",INDEX(GL!$E:$E,I9))</f>
        <v>-1250</v>
      </c>
      <c r="M9" s="19" t="n">
        <f aca="false">IF(OR(B9=0,I9=0),"",ROUND(G9-L9,2))</f>
        <v>0</v>
      </c>
      <c r="N9" s="5" t="str">
        <f aca="false">IF(A9="","",IF(B9=0,"NOT FOUND: bank ID",IF(I9=0,"NOT FOUND: GL ID",IF(INDEX(GL!$H:$H,I9)&lt;&gt;A9,"BROKEN: GL points elsewhere",IF(OR(INDEX(Bank!$F:$F,B9)&lt;&gt;"Y",INDEX(GL!$F:$F,I9)&lt;&gt;"Y"),"BROKEN: Status not Y","OK")))))</f>
        <v>OK</v>
      </c>
    </row>
    <row r="10" customFormat="false" ht="15" hidden="false" customHeight="false" outlineLevel="0" collapsed="false">
      <c r="A10" s="41" t="s">
        <v>200</v>
      </c>
      <c r="B10" s="5" t="n">
        <f aca="false">IF(A10="",0,IFERROR(MATCH(A10,Bank!$A:$A,0),0))</f>
        <v>6</v>
      </c>
      <c r="C10" s="5" t="str">
        <f aca="false">IF(B10=0,"",IF(INDEX(Bank!$G:$G,B10)="","",INDEX(Bank!$G:$G,B10)))</f>
        <v>Exact</v>
      </c>
      <c r="D10" s="5" t="n">
        <f aca="false">IF(B10=0,"",IF(INDEX(Bank!$J:$J,B10)="","",INDEX(Bank!$J:$J,B10)))</f>
        <v>1</v>
      </c>
      <c r="E10" s="32" t="n">
        <f aca="false">IF(B10=0,"",INDEX(Bank!$B:$B,B10))</f>
        <v>46241</v>
      </c>
      <c r="F10" s="5" t="str">
        <f aca="false">IF(B10=0,"",IF(INDEX(Bank!$C:$C,B10)="","",INDEX(Bank!$C:$C,B10)))</f>
        <v>POS PURCHASE HOME DEPOT #4410</v>
      </c>
      <c r="G10" s="19" t="n">
        <f aca="false">IF(B10=0,"",INDEX(Bank!$E:$E,B10))</f>
        <v>-612.87</v>
      </c>
      <c r="H10" s="5" t="str">
        <f aca="false">IF(B10=0,"",IF(INDEX(Bank!$H:$H,B10)="","",INDEX(Bank!$H:$H,B10)))</f>
        <v>G-2608-0005</v>
      </c>
      <c r="I10" s="5" t="n">
        <f aca="false">IF(H10="",0,IFERROR(MATCH(H10,GL!$A:$A,0),0))</f>
        <v>8</v>
      </c>
      <c r="J10" s="32" t="n">
        <f aca="false">IF(I10=0,"",INDEX(GL!$B:$B,I10))</f>
        <v>46241</v>
      </c>
      <c r="K10" s="5" t="str">
        <f aca="false">IF(I10=0,"",IF(INDEX(GL!$C:$C,I10)="","",INDEX(GL!$C:$C,I10)))</f>
        <v>Home Depot - Irrigation parts</v>
      </c>
      <c r="L10" s="19" t="n">
        <f aca="false">IF(I10=0,"",INDEX(GL!$E:$E,I10))</f>
        <v>-612.87</v>
      </c>
      <c r="M10" s="19" t="n">
        <f aca="false">IF(OR(B10=0,I10=0),"",ROUND(G10-L10,2))</f>
        <v>0</v>
      </c>
      <c r="N10" s="5" t="str">
        <f aca="false">IF(A10="","",IF(B10=0,"NOT FOUND: bank ID",IF(I10=0,"NOT FOUND: GL ID",IF(INDEX(GL!$H:$H,I10)&lt;&gt;A10,"BROKEN: GL points elsewhere",IF(OR(INDEX(Bank!$F:$F,B10)&lt;&gt;"Y",INDEX(GL!$F:$F,I10)&lt;&gt;"Y"),"BROKEN: Status not Y","OK")))))</f>
        <v>OK</v>
      </c>
    </row>
    <row r="11" customFormat="false" ht="15" hidden="false" customHeight="false" outlineLevel="0" collapsed="false">
      <c r="A11" s="41" t="s">
        <v>203</v>
      </c>
      <c r="B11" s="5" t="n">
        <f aca="false">IF(A11="",0,IFERROR(MATCH(A11,Bank!$A:$A,0),0))</f>
        <v>7</v>
      </c>
      <c r="C11" s="5" t="str">
        <f aca="false">IF(B11=0,"",IF(INDEX(Bank!$G:$G,B11)="","",INDEX(Bank!$G:$G,B11)))</f>
        <v>Exact</v>
      </c>
      <c r="D11" s="5" t="n">
        <f aca="false">IF(B11=0,"",IF(INDEX(Bank!$J:$J,B11)="","",INDEX(Bank!$J:$J,B11)))</f>
        <v>1</v>
      </c>
      <c r="E11" s="32" t="n">
        <f aca="false">IF(B11=0,"",INDEX(Bank!$B:$B,B11))</f>
        <v>46244</v>
      </c>
      <c r="F11" s="5" t="str">
        <f aca="false">IF(B11=0,"",IF(INDEX(Bank!$C:$C,B11)="","",INDEX(Bank!$C:$C,B11)))</f>
        <v>ONLINE TRANSFER FROM SAV 7732</v>
      </c>
      <c r="G11" s="19" t="n">
        <f aca="false">IF(B11=0,"",INDEX(Bank!$E:$E,B11))</f>
        <v>5000</v>
      </c>
      <c r="H11" s="5" t="str">
        <f aca="false">IF(B11=0,"",IF(INDEX(Bank!$H:$H,B11)="","",INDEX(Bank!$H:$H,B11)))</f>
        <v>G-2608-0006</v>
      </c>
      <c r="I11" s="5" t="n">
        <f aca="false">IF(H11="",0,IFERROR(MATCH(H11,GL!$A:$A,0),0))</f>
        <v>9</v>
      </c>
      <c r="J11" s="32" t="n">
        <f aca="false">IF(I11=0,"",INDEX(GL!$B:$B,I11))</f>
        <v>46244</v>
      </c>
      <c r="K11" s="5" t="str">
        <f aca="false">IF(I11=0,"",IF(INDEX(GL!$C:$C,I11)="","",INDEX(GL!$C:$C,I11)))</f>
        <v>Savings x7732 - Transfer in</v>
      </c>
      <c r="L11" s="19" t="n">
        <f aca="false">IF(I11=0,"",INDEX(GL!$E:$E,I11))</f>
        <v>5000</v>
      </c>
      <c r="M11" s="19" t="n">
        <f aca="false">IF(OR(B11=0,I11=0),"",ROUND(G11-L11,2))</f>
        <v>0</v>
      </c>
      <c r="N11" s="5" t="str">
        <f aca="false">IF(A11="","",IF(B11=0,"NOT FOUND: bank ID",IF(I11=0,"NOT FOUND: GL ID",IF(INDEX(GL!$H:$H,I11)&lt;&gt;A11,"BROKEN: GL points elsewhere",IF(OR(INDEX(Bank!$F:$F,B11)&lt;&gt;"Y",INDEX(GL!$F:$F,I11)&lt;&gt;"Y"),"BROKEN: Status not Y","OK")))))</f>
        <v>OK</v>
      </c>
    </row>
    <row r="12" customFormat="false" ht="15" hidden="false" customHeight="false" outlineLevel="0" collapsed="false">
      <c r="A12" s="41" t="s">
        <v>206</v>
      </c>
      <c r="B12" s="5" t="n">
        <f aca="false">IF(A12="",0,IFERROR(MATCH(A12,Bank!$A:$A,0),0))</f>
        <v>8</v>
      </c>
      <c r="C12" s="5" t="str">
        <f aca="false">IF(B12=0,"",IF(INDEX(Bank!$G:$G,B12)="","",INDEX(Bank!$G:$G,B12)))</f>
        <v>Exact</v>
      </c>
      <c r="D12" s="5" t="n">
        <f aca="false">IF(B12=0,"",IF(INDEX(Bank!$J:$J,B12)="","",INDEX(Bank!$J:$J,B12)))</f>
        <v>1</v>
      </c>
      <c r="E12" s="32" t="n">
        <f aca="false">IF(B12=0,"",INDEX(Bank!$B:$B,B12))</f>
        <v>46246</v>
      </c>
      <c r="F12" s="5" t="str">
        <f aca="false">IF(B12=0,"",IF(INDEX(Bank!$C:$C,B12)="","",INDEX(Bank!$C:$C,B12)))</f>
        <v>ACH DEBIT ROCKY MTN POWER</v>
      </c>
      <c r="G12" s="19" t="n">
        <f aca="false">IF(B12=0,"",INDEX(Bank!$E:$E,B12))</f>
        <v>-318.4</v>
      </c>
      <c r="H12" s="5" t="str">
        <f aca="false">IF(B12=0,"",IF(INDEX(Bank!$H:$H,B12)="","",INDEX(Bank!$H:$H,B12)))</f>
        <v>G-2608-0007</v>
      </c>
      <c r="I12" s="5" t="n">
        <f aca="false">IF(H12="",0,IFERROR(MATCH(H12,GL!$A:$A,0),0))</f>
        <v>10</v>
      </c>
      <c r="J12" s="32" t="n">
        <f aca="false">IF(I12=0,"",INDEX(GL!$B:$B,I12))</f>
        <v>46245</v>
      </c>
      <c r="K12" s="5" t="str">
        <f aca="false">IF(I12=0,"",IF(INDEX(GL!$C:$C,I12)="","",INDEX(GL!$C:$C,I12)))</f>
        <v>Rocky Mountain Power - August service</v>
      </c>
      <c r="L12" s="19" t="n">
        <f aca="false">IF(I12=0,"",INDEX(GL!$E:$E,I12))</f>
        <v>-318.4</v>
      </c>
      <c r="M12" s="19" t="n">
        <f aca="false">IF(OR(B12=0,I12=0),"",ROUND(G12-L12,2))</f>
        <v>0</v>
      </c>
      <c r="N12" s="5" t="str">
        <f aca="false">IF(A12="","",IF(B12=0,"NOT FOUND: bank ID",IF(I12=0,"NOT FOUND: GL ID",IF(INDEX(GL!$H:$H,I12)&lt;&gt;A12,"BROKEN: GL points elsewhere",IF(OR(INDEX(Bank!$F:$F,B12)&lt;&gt;"Y",INDEX(GL!$F:$F,I12)&lt;&gt;"Y"),"BROKEN: Status not Y","OK")))))</f>
        <v>OK</v>
      </c>
    </row>
    <row r="13" customFormat="false" ht="15" hidden="false" customHeight="false" outlineLevel="0" collapsed="false">
      <c r="A13" s="41" t="s">
        <v>209</v>
      </c>
      <c r="B13" s="5" t="n">
        <f aca="false">IF(A13="",0,IFERROR(MATCH(A13,Bank!$A:$A,0),0))</f>
        <v>9</v>
      </c>
      <c r="C13" s="5" t="str">
        <f aca="false">IF(B13=0,"",IF(INDEX(Bank!$G:$G,B13)="","",INDEX(Bank!$G:$G,B13)))</f>
        <v>Exact</v>
      </c>
      <c r="D13" s="5" t="n">
        <f aca="false">IF(B13=0,"",IF(INDEX(Bank!$J:$J,B13)="","",INDEX(Bank!$J:$J,B13)))</f>
        <v>1</v>
      </c>
      <c r="E13" s="32" t="n">
        <f aca="false">IF(B13=0,"",INDEX(Bank!$B:$B,B13))</f>
        <v>46248</v>
      </c>
      <c r="F13" s="5" t="str">
        <f aca="false">IF(B13=0,"",IF(INDEX(Bank!$C:$C,B13)="","",INDEX(Bank!$C:$C,B13)))</f>
        <v>CHECK 1038</v>
      </c>
      <c r="G13" s="19" t="n">
        <f aca="false">IF(B13=0,"",INDEX(Bank!$E:$E,B13))</f>
        <v>-2000</v>
      </c>
      <c r="H13" s="5" t="str">
        <f aca="false">IF(B13=0,"",IF(INDEX(Bank!$H:$H,B13)="","",INDEX(Bank!$H:$H,B13)))</f>
        <v>G-2607-0019</v>
      </c>
      <c r="I13" s="5" t="n">
        <f aca="false">IF(H13="",0,IFERROR(MATCH(H13,GL!$A:$A,0),0))</f>
        <v>2</v>
      </c>
      <c r="J13" s="32" t="n">
        <f aca="false">IF(I13=0,"",INDEX(GL!$B:$B,I13))</f>
        <v>46231</v>
      </c>
      <c r="K13" s="5" t="str">
        <f aca="false">IF(I13=0,"",IF(INDEX(GL!$C:$C,I13)="","",INDEX(GL!$C:$C,I13)))</f>
        <v>Canyon Properties - Aug rent</v>
      </c>
      <c r="L13" s="19" t="n">
        <f aca="false">IF(I13=0,"",INDEX(GL!$E:$E,I13))</f>
        <v>-2000</v>
      </c>
      <c r="M13" s="19" t="n">
        <f aca="false">IF(OR(B13=0,I13=0),"",ROUND(G13-L13,2))</f>
        <v>0</v>
      </c>
      <c r="N13" s="5" t="str">
        <f aca="false">IF(A13="","",IF(B13=0,"NOT FOUND: bank ID",IF(I13=0,"NOT FOUND: GL ID",IF(INDEX(GL!$H:$H,I13)&lt;&gt;A13,"BROKEN: GL points elsewhere",IF(OR(INDEX(Bank!$F:$F,B13)&lt;&gt;"Y",INDEX(GL!$F:$F,I13)&lt;&gt;"Y"),"BROKEN: Status not Y","OK")))))</f>
        <v>OK</v>
      </c>
    </row>
    <row r="14" customFormat="false" ht="15" hidden="false" customHeight="false" outlineLevel="0" collapsed="false">
      <c r="A14" s="41" t="s">
        <v>213</v>
      </c>
      <c r="B14" s="5" t="n">
        <f aca="false">IF(A14="",0,IFERROR(MATCH(A14,Bank!$A:$A,0),0))</f>
        <v>10</v>
      </c>
      <c r="C14" s="5" t="str">
        <f aca="false">IF(B14=0,"",IF(INDEX(Bank!$G:$G,B14)="","",INDEX(Bank!$G:$G,B14)))</f>
        <v>Exact</v>
      </c>
      <c r="D14" s="5" t="n">
        <f aca="false">IF(B14=0,"",IF(INDEX(Bank!$J:$J,B14)="","",INDEX(Bank!$J:$J,B14)))</f>
        <v>1</v>
      </c>
      <c r="E14" s="32" t="n">
        <f aca="false">IF(B14=0,"",INDEX(Bank!$B:$B,B14))</f>
        <v>46251</v>
      </c>
      <c r="F14" s="5" t="str">
        <f aca="false">IF(B14=0,"",IF(INDEX(Bank!$C:$C,B14)="","",INDEX(Bank!$C:$C,B14)))</f>
        <v>MOBILE DEPOSIT ALVAREZ</v>
      </c>
      <c r="G14" s="19" t="n">
        <f aca="false">IF(B14=0,"",INDEX(Bank!$E:$E,B14))</f>
        <v>1215.5</v>
      </c>
      <c r="H14" s="5" t="str">
        <f aca="false">IF(B14=0,"",IF(INDEX(Bank!$H:$H,B14)="","",INDEX(Bank!$H:$H,B14)))</f>
        <v>G-2608-0009</v>
      </c>
      <c r="I14" s="5" t="n">
        <f aca="false">IF(H14="",0,IFERROR(MATCH(H14,GL!$A:$A,0),0))</f>
        <v>12</v>
      </c>
      <c r="J14" s="32" t="n">
        <f aca="false">IF(I14=0,"",INDEX(GL!$B:$B,I14))</f>
        <v>46249</v>
      </c>
      <c r="K14" s="5" t="str">
        <f aca="false">IF(I14=0,"",IF(INDEX(GL!$C:$C,I14)="","",INDEX(GL!$C:$C,I14)))</f>
        <v>J. Alvarez - Mobile deposit inv 2291</v>
      </c>
      <c r="L14" s="19" t="n">
        <f aca="false">IF(I14=0,"",INDEX(GL!$E:$E,I14))</f>
        <v>1215.5</v>
      </c>
      <c r="M14" s="19" t="n">
        <f aca="false">IF(OR(B14=0,I14=0),"",ROUND(G14-L14,2))</f>
        <v>0</v>
      </c>
      <c r="N14" s="5" t="str">
        <f aca="false">IF(A14="","",IF(B14=0,"NOT FOUND: bank ID",IF(I14=0,"NOT FOUND: GL ID",IF(INDEX(GL!$H:$H,I14)&lt;&gt;A14,"BROKEN: GL points elsewhere",IF(OR(INDEX(Bank!$F:$F,B14)&lt;&gt;"Y",INDEX(GL!$F:$F,I14)&lt;&gt;"Y"),"BROKEN: Status not Y","OK")))))</f>
        <v>OK</v>
      </c>
    </row>
    <row r="15" customFormat="false" ht="15" hidden="false" customHeight="false" outlineLevel="0" collapsed="false">
      <c r="A15" s="41" t="s">
        <v>219</v>
      </c>
      <c r="B15" s="5" t="n">
        <f aca="false">IF(A15="",0,IFERROR(MATCH(A15,Bank!$A:$A,0),0))</f>
        <v>12</v>
      </c>
      <c r="C15" s="5" t="str">
        <f aca="false">IF(B15=0,"",IF(INDEX(Bank!$G:$G,B15)="","",INDEX(Bank!$G:$G,B15)))</f>
        <v>Exact</v>
      </c>
      <c r="D15" s="5" t="n">
        <f aca="false">IF(B15=0,"",IF(INDEX(Bank!$J:$J,B15)="","",INDEX(Bank!$J:$J,B15)))</f>
        <v>1</v>
      </c>
      <c r="E15" s="32" t="n">
        <f aca="false">IF(B15=0,"",INDEX(Bank!$B:$B,B15))</f>
        <v>46255</v>
      </c>
      <c r="F15" s="5" t="str">
        <f aca="false">IF(B15=0,"",IF(INDEX(Bank!$C:$C,B15)="","",INDEX(Bank!$C:$C,B15)))</f>
        <v>CHECK 1046</v>
      </c>
      <c r="G15" s="19" t="n">
        <f aca="false">IF(B15=0,"",INDEX(Bank!$E:$E,B15))</f>
        <v>-743.1</v>
      </c>
      <c r="H15" s="5" t="str">
        <f aca="false">IF(B15=0,"",IF(INDEX(Bank!$H:$H,B15)="","",INDEX(Bank!$H:$H,B15)))</f>
        <v>G-2608-0008</v>
      </c>
      <c r="I15" s="5" t="n">
        <f aca="false">IF(H15="",0,IFERROR(MATCH(H15,GL!$A:$A,0),0))</f>
        <v>11</v>
      </c>
      <c r="J15" s="32" t="n">
        <f aca="false">IF(I15=0,"",INDEX(GL!$B:$B,I15))</f>
        <v>46246</v>
      </c>
      <c r="K15" s="5" t="str">
        <f aca="false">IF(I15=0,"",IF(INDEX(GL!$C:$C,I15)="","",INDEX(GL!$C:$C,I15)))</f>
        <v>Alpine Nursery - Plants</v>
      </c>
      <c r="L15" s="19" t="n">
        <f aca="false">IF(I15=0,"",INDEX(GL!$E:$E,I15))</f>
        <v>-743.1</v>
      </c>
      <c r="M15" s="19" t="n">
        <f aca="false">IF(OR(B15=0,I15=0),"",ROUND(G15-L15,2))</f>
        <v>0</v>
      </c>
      <c r="N15" s="5" t="str">
        <f aca="false">IF(A15="","",IF(B15=0,"NOT FOUND: bank ID",IF(I15=0,"NOT FOUND: GL ID",IF(INDEX(GL!$H:$H,I15)&lt;&gt;A15,"BROKEN: GL points elsewhere",IF(OR(INDEX(Bank!$F:$F,B15)&lt;&gt;"Y",INDEX(GL!$F:$F,I15)&lt;&gt;"Y"),"BROKEN: Status not Y","OK")))))</f>
        <v>OK</v>
      </c>
    </row>
    <row r="16" customFormat="false" ht="15" hidden="false" customHeight="false" outlineLevel="0" collapsed="false">
      <c r="A16" s="41" t="s">
        <v>223</v>
      </c>
      <c r="B16" s="5" t="n">
        <f aca="false">IF(A16="",0,IFERROR(MATCH(A16,Bank!$A:$A,0),0))</f>
        <v>13</v>
      </c>
      <c r="C16" s="5" t="str">
        <f aca="false">IF(B16=0,"",IF(INDEX(Bank!$G:$G,B16)="","",INDEX(Bank!$G:$G,B16)))</f>
        <v>Exact</v>
      </c>
      <c r="D16" s="5" t="n">
        <f aca="false">IF(B16=0,"",IF(INDEX(Bank!$J:$J,B16)="","",INDEX(Bank!$J:$J,B16)))</f>
        <v>1</v>
      </c>
      <c r="E16" s="32" t="n">
        <f aca="false">IF(B16=0,"",INDEX(Bank!$B:$B,B16))</f>
        <v>46258</v>
      </c>
      <c r="F16" s="5" t="str">
        <f aca="false">IF(B16=0,"",IF(INDEX(Bank!$C:$C,B16)="","",INDEX(Bank!$C:$C,B16)))</f>
        <v>ACH CREDIT STRIPE TRANSFER</v>
      </c>
      <c r="G16" s="19" t="n">
        <f aca="false">IF(B16=0,"",INDEX(Bank!$E:$E,B16))</f>
        <v>2847.66</v>
      </c>
      <c r="H16" s="5" t="str">
        <f aca="false">IF(B16=0,"",IF(INDEX(Bank!$H:$H,B16)="","",INDEX(Bank!$H:$H,B16)))</f>
        <v>G-2608-0011</v>
      </c>
      <c r="I16" s="5" t="n">
        <f aca="false">IF(H16="",0,IFERROR(MATCH(H16,GL!$A:$A,0),0))</f>
        <v>14</v>
      </c>
      <c r="J16" s="32" t="n">
        <f aca="false">IF(I16=0,"",INDEX(GL!$B:$B,I16))</f>
        <v>46258</v>
      </c>
      <c r="K16" s="5" t="str">
        <f aca="false">IF(I16=0,"",IF(INDEX(GL!$C:$C,I16)="","",INDEX(GL!$C:$C,I16)))</f>
        <v>Stripe - Payout 8/24</v>
      </c>
      <c r="L16" s="19" t="n">
        <f aca="false">IF(I16=0,"",INDEX(GL!$E:$E,I16))</f>
        <v>2847.66</v>
      </c>
      <c r="M16" s="19" t="n">
        <f aca="false">IF(OR(B16=0,I16=0),"",ROUND(G16-L16,2))</f>
        <v>0</v>
      </c>
      <c r="N16" s="5" t="str">
        <f aca="false">IF(A16="","",IF(B16=0,"NOT FOUND: bank ID",IF(I16=0,"NOT FOUND: GL ID",IF(INDEX(GL!$H:$H,I16)&lt;&gt;A16,"BROKEN: GL points elsewhere",IF(OR(INDEX(Bank!$F:$F,B16)&lt;&gt;"Y",INDEX(GL!$F:$F,I16)&lt;&gt;"Y"),"BROKEN: Status not Y","OK")))))</f>
        <v>OK</v>
      </c>
    </row>
    <row r="17" customFormat="false" ht="15" hidden="false" customHeight="false" outlineLevel="0" collapsed="false">
      <c r="A17" s="41" t="s">
        <v>226</v>
      </c>
      <c r="B17" s="5" t="n">
        <f aca="false">IF(A17="",0,IFERROR(MATCH(A17,Bank!$A:$A,0),0))</f>
        <v>14</v>
      </c>
      <c r="C17" s="5" t="str">
        <f aca="false">IF(B17=0,"",IF(INDEX(Bank!$G:$G,B17)="","",INDEX(Bank!$G:$G,B17)))</f>
        <v>Exact</v>
      </c>
      <c r="D17" s="5" t="n">
        <f aca="false">IF(B17=0,"",IF(INDEX(Bank!$J:$J,B17)="","",INDEX(Bank!$J:$J,B17)))</f>
        <v>1</v>
      </c>
      <c r="E17" s="32" t="n">
        <f aca="false">IF(B17=0,"",INDEX(Bank!$B:$B,B17))</f>
        <v>46260</v>
      </c>
      <c r="F17" s="5" t="str">
        <f aca="false">IF(B17=0,"",IF(INDEX(Bank!$C:$C,B17)="","",INDEX(Bank!$C:$C,B17)))</f>
        <v>ACH DEBIT UTAH STATE TAX</v>
      </c>
      <c r="G17" s="19" t="n">
        <f aca="false">IF(B17=0,"",INDEX(Bank!$E:$E,B17))</f>
        <v>-1104</v>
      </c>
      <c r="H17" s="5" t="str">
        <f aca="false">IF(B17=0,"",IF(INDEX(Bank!$H:$H,B17)="","",INDEX(Bank!$H:$H,B17)))</f>
        <v>G-2608-0012</v>
      </c>
      <c r="I17" s="5" t="n">
        <f aca="false">IF(H17="",0,IFERROR(MATCH(H17,GL!$A:$A,0),0))</f>
        <v>15</v>
      </c>
      <c r="J17" s="32" t="n">
        <f aca="false">IF(I17=0,"",INDEX(GL!$B:$B,I17))</f>
        <v>46260</v>
      </c>
      <c r="K17" s="5" t="str">
        <f aca="false">IF(I17=0,"",IF(INDEX(GL!$C:$C,I17)="","",INDEX(GL!$C:$C,I17)))</f>
        <v>Utah State Tax Commission - Withholding</v>
      </c>
      <c r="L17" s="19" t="n">
        <f aca="false">IF(I17=0,"",INDEX(GL!$E:$E,I17))</f>
        <v>-1104</v>
      </c>
      <c r="M17" s="19" t="n">
        <f aca="false">IF(OR(B17=0,I17=0),"",ROUND(G17-L17,2))</f>
        <v>0</v>
      </c>
      <c r="N17" s="5" t="str">
        <f aca="false">IF(A17="","",IF(B17=0,"NOT FOUND: bank ID",IF(I17=0,"NOT FOUND: GL ID",IF(INDEX(GL!$H:$H,I17)&lt;&gt;A17,"BROKEN: GL points elsewhere",IF(OR(INDEX(Bank!$F:$F,B17)&lt;&gt;"Y",INDEX(GL!$F:$F,I17)&lt;&gt;"Y"),"BROKEN: Status not Y","OK")))))</f>
        <v>OK</v>
      </c>
    </row>
    <row r="18" customFormat="false" ht="15" hidden="false" customHeight="false" outlineLevel="0" collapsed="false">
      <c r="A18" s="41"/>
      <c r="B18" s="5" t="n">
        <f aca="false">IF(A18="",0,IFERROR(MATCH(A18,Bank!$A:$A,0),0))</f>
        <v>0</v>
      </c>
      <c r="C18" s="5" t="str">
        <f aca="false">IF(B18=0,"",IF(INDEX(Bank!$G:$G,B18)="","",INDEX(Bank!$G:$G,B18)))</f>
        <v/>
      </c>
      <c r="D18" s="5" t="str">
        <f aca="false">IF(B18=0,"",IF(INDEX(Bank!$J:$J,B18)="","",INDEX(Bank!$J:$J,B18)))</f>
        <v/>
      </c>
      <c r="E18" s="32" t="str">
        <f aca="false">IF(B18=0,"",INDEX(Bank!$B:$B,B18))</f>
        <v/>
      </c>
      <c r="F18" s="5" t="str">
        <f aca="false">IF(B18=0,"",IF(INDEX(Bank!$C:$C,B18)="","",INDEX(Bank!$C:$C,B18)))</f>
        <v/>
      </c>
      <c r="G18" s="19" t="str">
        <f aca="false">IF(B18=0,"",INDEX(Bank!$E:$E,B18))</f>
        <v/>
      </c>
      <c r="H18" s="5" t="str">
        <f aca="false">IF(B18=0,"",IF(INDEX(Bank!$H:$H,B18)="","",INDEX(Bank!$H:$H,B18)))</f>
        <v/>
      </c>
      <c r="I18" s="5" t="n">
        <f aca="false">IF(H18="",0,IFERROR(MATCH(H18,GL!$A:$A,0),0))</f>
        <v>0</v>
      </c>
      <c r="J18" s="32" t="str">
        <f aca="false">IF(I18=0,"",INDEX(GL!$B:$B,I18))</f>
        <v/>
      </c>
      <c r="K18" s="5" t="str">
        <f aca="false">IF(I18=0,"",IF(INDEX(GL!$C:$C,I18)="","",INDEX(GL!$C:$C,I18)))</f>
        <v/>
      </c>
      <c r="L18" s="19" t="str">
        <f aca="false">IF(I18=0,"",INDEX(GL!$E:$E,I18))</f>
        <v/>
      </c>
      <c r="M18" s="19" t="str">
        <f aca="false">IF(OR(B18=0,I18=0),"",ROUND(G18-L18,2))</f>
        <v/>
      </c>
      <c r="N18" s="5" t="str">
        <f aca="false">IF(A18="","",IF(B18=0,"NOT FOUND: bank ID",IF(I18=0,"NOT FOUND: GL ID",IF(INDEX(GL!$H:$H,I18)&lt;&gt;A18,"BROKEN: GL points elsewhere",IF(OR(INDEX(Bank!$F:$F,B18)&lt;&gt;"Y",INDEX(GL!$F:$F,I18)&lt;&gt;"Y"),"BROKEN: Status not Y","OK")))))</f>
        <v/>
      </c>
    </row>
    <row r="19" customFormat="false" ht="15" hidden="false" customHeight="false" outlineLevel="0" collapsed="false">
      <c r="A19" s="41"/>
      <c r="B19" s="5" t="n">
        <f aca="false">IF(A19="",0,IFERROR(MATCH(A19,Bank!$A:$A,0),0))</f>
        <v>0</v>
      </c>
      <c r="C19" s="5" t="str">
        <f aca="false">IF(B19=0,"",IF(INDEX(Bank!$G:$G,B19)="","",INDEX(Bank!$G:$G,B19)))</f>
        <v/>
      </c>
      <c r="D19" s="5" t="str">
        <f aca="false">IF(B19=0,"",IF(INDEX(Bank!$J:$J,B19)="","",INDEX(Bank!$J:$J,B19)))</f>
        <v/>
      </c>
      <c r="E19" s="32" t="str">
        <f aca="false">IF(B19=0,"",INDEX(Bank!$B:$B,B19))</f>
        <v/>
      </c>
      <c r="F19" s="5" t="str">
        <f aca="false">IF(B19=0,"",IF(INDEX(Bank!$C:$C,B19)="","",INDEX(Bank!$C:$C,B19)))</f>
        <v/>
      </c>
      <c r="G19" s="19" t="str">
        <f aca="false">IF(B19=0,"",INDEX(Bank!$E:$E,B19))</f>
        <v/>
      </c>
      <c r="H19" s="5" t="str">
        <f aca="false">IF(B19=0,"",IF(INDEX(Bank!$H:$H,B19)="","",INDEX(Bank!$H:$H,B19)))</f>
        <v/>
      </c>
      <c r="I19" s="5" t="n">
        <f aca="false">IF(H19="",0,IFERROR(MATCH(H19,GL!$A:$A,0),0))</f>
        <v>0</v>
      </c>
      <c r="J19" s="32" t="str">
        <f aca="false">IF(I19=0,"",INDEX(GL!$B:$B,I19))</f>
        <v/>
      </c>
      <c r="K19" s="5" t="str">
        <f aca="false">IF(I19=0,"",IF(INDEX(GL!$C:$C,I19)="","",INDEX(GL!$C:$C,I19)))</f>
        <v/>
      </c>
      <c r="L19" s="19" t="str">
        <f aca="false">IF(I19=0,"",INDEX(GL!$E:$E,I19))</f>
        <v/>
      </c>
      <c r="M19" s="19" t="str">
        <f aca="false">IF(OR(B19=0,I19=0),"",ROUND(G19-L19,2))</f>
        <v/>
      </c>
      <c r="N19" s="5" t="str">
        <f aca="false">IF(A19="","",IF(B19=0,"NOT FOUND: bank ID",IF(I19=0,"NOT FOUND: GL ID",IF(INDEX(GL!$H:$H,I19)&lt;&gt;A19,"BROKEN: GL points elsewhere",IF(OR(INDEX(Bank!$F:$F,B19)&lt;&gt;"Y",INDEX(GL!$F:$F,I19)&lt;&gt;"Y"),"BROKEN: Status not Y","OK")))))</f>
        <v/>
      </c>
    </row>
    <row r="20" customFormat="false" ht="15" hidden="false" customHeight="false" outlineLevel="0" collapsed="false">
      <c r="A20" s="41"/>
      <c r="B20" s="5" t="n">
        <f aca="false">IF(A20="",0,IFERROR(MATCH(A20,Bank!$A:$A,0),0))</f>
        <v>0</v>
      </c>
      <c r="C20" s="5" t="str">
        <f aca="false">IF(B20=0,"",IF(INDEX(Bank!$G:$G,B20)="","",INDEX(Bank!$G:$G,B20)))</f>
        <v/>
      </c>
      <c r="D20" s="5" t="str">
        <f aca="false">IF(B20=0,"",IF(INDEX(Bank!$J:$J,B20)="","",INDEX(Bank!$J:$J,B20)))</f>
        <v/>
      </c>
      <c r="E20" s="32" t="str">
        <f aca="false">IF(B20=0,"",INDEX(Bank!$B:$B,B20))</f>
        <v/>
      </c>
      <c r="F20" s="5" t="str">
        <f aca="false">IF(B20=0,"",IF(INDEX(Bank!$C:$C,B20)="","",INDEX(Bank!$C:$C,B20)))</f>
        <v/>
      </c>
      <c r="G20" s="19" t="str">
        <f aca="false">IF(B20=0,"",INDEX(Bank!$E:$E,B20))</f>
        <v/>
      </c>
      <c r="H20" s="5" t="str">
        <f aca="false">IF(B20=0,"",IF(INDEX(Bank!$H:$H,B20)="","",INDEX(Bank!$H:$H,B20)))</f>
        <v/>
      </c>
      <c r="I20" s="5" t="n">
        <f aca="false">IF(H20="",0,IFERROR(MATCH(H20,GL!$A:$A,0),0))</f>
        <v>0</v>
      </c>
      <c r="J20" s="32" t="str">
        <f aca="false">IF(I20=0,"",INDEX(GL!$B:$B,I20))</f>
        <v/>
      </c>
      <c r="K20" s="5" t="str">
        <f aca="false">IF(I20=0,"",IF(INDEX(GL!$C:$C,I20)="","",INDEX(GL!$C:$C,I20)))</f>
        <v/>
      </c>
      <c r="L20" s="19" t="str">
        <f aca="false">IF(I20=0,"",INDEX(GL!$E:$E,I20))</f>
        <v/>
      </c>
      <c r="M20" s="19" t="str">
        <f aca="false">IF(OR(B20=0,I20=0),"",ROUND(G20-L20,2))</f>
        <v/>
      </c>
      <c r="N20" s="5" t="str">
        <f aca="false">IF(A20="","",IF(B20=0,"NOT FOUND: bank ID",IF(I20=0,"NOT FOUND: GL ID",IF(INDEX(GL!$H:$H,I20)&lt;&gt;A20,"BROKEN: GL points elsewhere",IF(OR(INDEX(Bank!$F:$F,B20)&lt;&gt;"Y",INDEX(GL!$F:$F,I20)&lt;&gt;"Y"),"BROKEN: Status not Y","OK")))))</f>
        <v/>
      </c>
    </row>
    <row r="21" customFormat="false" ht="15" hidden="false" customHeight="false" outlineLevel="0" collapsed="false">
      <c r="A21" s="41"/>
      <c r="B21" s="5" t="n">
        <f aca="false">IF(A21="",0,IFERROR(MATCH(A21,Bank!$A:$A,0),0))</f>
        <v>0</v>
      </c>
      <c r="C21" s="5" t="str">
        <f aca="false">IF(B21=0,"",IF(INDEX(Bank!$G:$G,B21)="","",INDEX(Bank!$G:$G,B21)))</f>
        <v/>
      </c>
      <c r="D21" s="5" t="str">
        <f aca="false">IF(B21=0,"",IF(INDEX(Bank!$J:$J,B21)="","",INDEX(Bank!$J:$J,B21)))</f>
        <v/>
      </c>
      <c r="E21" s="32" t="str">
        <f aca="false">IF(B21=0,"",INDEX(Bank!$B:$B,B21))</f>
        <v/>
      </c>
      <c r="F21" s="5" t="str">
        <f aca="false">IF(B21=0,"",IF(INDEX(Bank!$C:$C,B21)="","",INDEX(Bank!$C:$C,B21)))</f>
        <v/>
      </c>
      <c r="G21" s="19" t="str">
        <f aca="false">IF(B21=0,"",INDEX(Bank!$E:$E,B21))</f>
        <v/>
      </c>
      <c r="H21" s="5" t="str">
        <f aca="false">IF(B21=0,"",IF(INDEX(Bank!$H:$H,B21)="","",INDEX(Bank!$H:$H,B21)))</f>
        <v/>
      </c>
      <c r="I21" s="5" t="n">
        <f aca="false">IF(H21="",0,IFERROR(MATCH(H21,GL!$A:$A,0),0))</f>
        <v>0</v>
      </c>
      <c r="J21" s="32" t="str">
        <f aca="false">IF(I21=0,"",INDEX(GL!$B:$B,I21))</f>
        <v/>
      </c>
      <c r="K21" s="5" t="str">
        <f aca="false">IF(I21=0,"",IF(INDEX(GL!$C:$C,I21)="","",INDEX(GL!$C:$C,I21)))</f>
        <v/>
      </c>
      <c r="L21" s="19" t="str">
        <f aca="false">IF(I21=0,"",INDEX(GL!$E:$E,I21))</f>
        <v/>
      </c>
      <c r="M21" s="19" t="str">
        <f aca="false">IF(OR(B21=0,I21=0),"",ROUND(G21-L21,2))</f>
        <v/>
      </c>
      <c r="N21" s="5" t="str">
        <f aca="false">IF(A21="","",IF(B21=0,"NOT FOUND: bank ID",IF(I21=0,"NOT FOUND: GL ID",IF(INDEX(GL!$H:$H,I21)&lt;&gt;A21,"BROKEN: GL points elsewhere",IF(OR(INDEX(Bank!$F:$F,B21)&lt;&gt;"Y",INDEX(GL!$F:$F,I21)&lt;&gt;"Y"),"BROKEN: Status not Y","OK")))))</f>
        <v/>
      </c>
    </row>
    <row r="22" customFormat="false" ht="15" hidden="false" customHeight="false" outlineLevel="0" collapsed="false">
      <c r="A22" s="41"/>
      <c r="B22" s="5" t="n">
        <f aca="false">IF(A22="",0,IFERROR(MATCH(A22,Bank!$A:$A,0),0))</f>
        <v>0</v>
      </c>
      <c r="C22" s="5" t="str">
        <f aca="false">IF(B22=0,"",IF(INDEX(Bank!$G:$G,B22)="","",INDEX(Bank!$G:$G,B22)))</f>
        <v/>
      </c>
      <c r="D22" s="5" t="str">
        <f aca="false">IF(B22=0,"",IF(INDEX(Bank!$J:$J,B22)="","",INDEX(Bank!$J:$J,B22)))</f>
        <v/>
      </c>
      <c r="E22" s="32" t="str">
        <f aca="false">IF(B22=0,"",INDEX(Bank!$B:$B,B22))</f>
        <v/>
      </c>
      <c r="F22" s="5" t="str">
        <f aca="false">IF(B22=0,"",IF(INDEX(Bank!$C:$C,B22)="","",INDEX(Bank!$C:$C,B22)))</f>
        <v/>
      </c>
      <c r="G22" s="19" t="str">
        <f aca="false">IF(B22=0,"",INDEX(Bank!$E:$E,B22))</f>
        <v/>
      </c>
      <c r="H22" s="5" t="str">
        <f aca="false">IF(B22=0,"",IF(INDEX(Bank!$H:$H,B22)="","",INDEX(Bank!$H:$H,B22)))</f>
        <v/>
      </c>
      <c r="I22" s="5" t="n">
        <f aca="false">IF(H22="",0,IFERROR(MATCH(H22,GL!$A:$A,0),0))</f>
        <v>0</v>
      </c>
      <c r="J22" s="32" t="str">
        <f aca="false">IF(I22=0,"",INDEX(GL!$B:$B,I22))</f>
        <v/>
      </c>
      <c r="K22" s="5" t="str">
        <f aca="false">IF(I22=0,"",IF(INDEX(GL!$C:$C,I22)="","",INDEX(GL!$C:$C,I22)))</f>
        <v/>
      </c>
      <c r="L22" s="19" t="str">
        <f aca="false">IF(I22=0,"",INDEX(GL!$E:$E,I22))</f>
        <v/>
      </c>
      <c r="M22" s="19" t="str">
        <f aca="false">IF(OR(B22=0,I22=0),"",ROUND(G22-L22,2))</f>
        <v/>
      </c>
      <c r="N22" s="5" t="str">
        <f aca="false">IF(A22="","",IF(B22=0,"NOT FOUND: bank ID",IF(I22=0,"NOT FOUND: GL ID",IF(INDEX(GL!$H:$H,I22)&lt;&gt;A22,"BROKEN: GL points elsewhere",IF(OR(INDEX(Bank!$F:$F,B22)&lt;&gt;"Y",INDEX(GL!$F:$F,I22)&lt;&gt;"Y"),"BROKEN: Status not Y","OK")))))</f>
        <v/>
      </c>
    </row>
    <row r="23" customFormat="false" ht="15" hidden="false" customHeight="false" outlineLevel="0" collapsed="false">
      <c r="A23" s="41"/>
      <c r="B23" s="5" t="n">
        <f aca="false">IF(A23="",0,IFERROR(MATCH(A23,Bank!$A:$A,0),0))</f>
        <v>0</v>
      </c>
      <c r="C23" s="5" t="str">
        <f aca="false">IF(B23=0,"",IF(INDEX(Bank!$G:$G,B23)="","",INDEX(Bank!$G:$G,B23)))</f>
        <v/>
      </c>
      <c r="D23" s="5" t="str">
        <f aca="false">IF(B23=0,"",IF(INDEX(Bank!$J:$J,B23)="","",INDEX(Bank!$J:$J,B23)))</f>
        <v/>
      </c>
      <c r="E23" s="32" t="str">
        <f aca="false">IF(B23=0,"",INDEX(Bank!$B:$B,B23))</f>
        <v/>
      </c>
      <c r="F23" s="5" t="str">
        <f aca="false">IF(B23=0,"",IF(INDEX(Bank!$C:$C,B23)="","",INDEX(Bank!$C:$C,B23)))</f>
        <v/>
      </c>
      <c r="G23" s="19" t="str">
        <f aca="false">IF(B23=0,"",INDEX(Bank!$E:$E,B23))</f>
        <v/>
      </c>
      <c r="H23" s="5" t="str">
        <f aca="false">IF(B23=0,"",IF(INDEX(Bank!$H:$H,B23)="","",INDEX(Bank!$H:$H,B23)))</f>
        <v/>
      </c>
      <c r="I23" s="5" t="n">
        <f aca="false">IF(H23="",0,IFERROR(MATCH(H23,GL!$A:$A,0),0))</f>
        <v>0</v>
      </c>
      <c r="J23" s="32" t="str">
        <f aca="false">IF(I23=0,"",INDEX(GL!$B:$B,I23))</f>
        <v/>
      </c>
      <c r="K23" s="5" t="str">
        <f aca="false">IF(I23=0,"",IF(INDEX(GL!$C:$C,I23)="","",INDEX(GL!$C:$C,I23)))</f>
        <v/>
      </c>
      <c r="L23" s="19" t="str">
        <f aca="false">IF(I23=0,"",INDEX(GL!$E:$E,I23))</f>
        <v/>
      </c>
      <c r="M23" s="19" t="str">
        <f aca="false">IF(OR(B23=0,I23=0),"",ROUND(G23-L23,2))</f>
        <v/>
      </c>
      <c r="N23" s="5" t="str">
        <f aca="false">IF(A23="","",IF(B23=0,"NOT FOUND: bank ID",IF(I23=0,"NOT FOUND: GL ID",IF(INDEX(GL!$H:$H,I23)&lt;&gt;A23,"BROKEN: GL points elsewhere",IF(OR(INDEX(Bank!$F:$F,B23)&lt;&gt;"Y",INDEX(GL!$F:$F,I23)&lt;&gt;"Y"),"BROKEN: Status not Y","OK")))))</f>
        <v/>
      </c>
    </row>
    <row r="24" customFormat="false" ht="15" hidden="false" customHeight="false" outlineLevel="0" collapsed="false">
      <c r="A24" s="41"/>
      <c r="B24" s="5" t="n">
        <f aca="false">IF(A24="",0,IFERROR(MATCH(A24,Bank!$A:$A,0),0))</f>
        <v>0</v>
      </c>
      <c r="C24" s="5" t="str">
        <f aca="false">IF(B24=0,"",IF(INDEX(Bank!$G:$G,B24)="","",INDEX(Bank!$G:$G,B24)))</f>
        <v/>
      </c>
      <c r="D24" s="5" t="str">
        <f aca="false">IF(B24=0,"",IF(INDEX(Bank!$J:$J,B24)="","",INDEX(Bank!$J:$J,B24)))</f>
        <v/>
      </c>
      <c r="E24" s="32" t="str">
        <f aca="false">IF(B24=0,"",INDEX(Bank!$B:$B,B24))</f>
        <v/>
      </c>
      <c r="F24" s="5" t="str">
        <f aca="false">IF(B24=0,"",IF(INDEX(Bank!$C:$C,B24)="","",INDEX(Bank!$C:$C,B24)))</f>
        <v/>
      </c>
      <c r="G24" s="19" t="str">
        <f aca="false">IF(B24=0,"",INDEX(Bank!$E:$E,B24))</f>
        <v/>
      </c>
      <c r="H24" s="5" t="str">
        <f aca="false">IF(B24=0,"",IF(INDEX(Bank!$H:$H,B24)="","",INDEX(Bank!$H:$H,B24)))</f>
        <v/>
      </c>
      <c r="I24" s="5" t="n">
        <f aca="false">IF(H24="",0,IFERROR(MATCH(H24,GL!$A:$A,0),0))</f>
        <v>0</v>
      </c>
      <c r="J24" s="32" t="str">
        <f aca="false">IF(I24=0,"",INDEX(GL!$B:$B,I24))</f>
        <v/>
      </c>
      <c r="K24" s="5" t="str">
        <f aca="false">IF(I24=0,"",IF(INDEX(GL!$C:$C,I24)="","",INDEX(GL!$C:$C,I24)))</f>
        <v/>
      </c>
      <c r="L24" s="19" t="str">
        <f aca="false">IF(I24=0,"",INDEX(GL!$E:$E,I24))</f>
        <v/>
      </c>
      <c r="M24" s="19" t="str">
        <f aca="false">IF(OR(B24=0,I24=0),"",ROUND(G24-L24,2))</f>
        <v/>
      </c>
      <c r="N24" s="5" t="str">
        <f aca="false">IF(A24="","",IF(B24=0,"NOT FOUND: bank ID",IF(I24=0,"NOT FOUND: GL ID",IF(INDEX(GL!$H:$H,I24)&lt;&gt;A24,"BROKEN: GL points elsewhere",IF(OR(INDEX(Bank!$F:$F,B24)&lt;&gt;"Y",INDEX(GL!$F:$F,I24)&lt;&gt;"Y"),"BROKEN: Status not Y","OK")))))</f>
        <v/>
      </c>
    </row>
    <row r="25" customFormat="false" ht="15" hidden="false" customHeight="false" outlineLevel="0" collapsed="false">
      <c r="A25" s="41"/>
      <c r="B25" s="5" t="n">
        <f aca="false">IF(A25="",0,IFERROR(MATCH(A25,Bank!$A:$A,0),0))</f>
        <v>0</v>
      </c>
      <c r="C25" s="5" t="str">
        <f aca="false">IF(B25=0,"",IF(INDEX(Bank!$G:$G,B25)="","",INDEX(Bank!$G:$G,B25)))</f>
        <v/>
      </c>
      <c r="D25" s="5" t="str">
        <f aca="false">IF(B25=0,"",IF(INDEX(Bank!$J:$J,B25)="","",INDEX(Bank!$J:$J,B25)))</f>
        <v/>
      </c>
      <c r="E25" s="32" t="str">
        <f aca="false">IF(B25=0,"",INDEX(Bank!$B:$B,B25))</f>
        <v/>
      </c>
      <c r="F25" s="5" t="str">
        <f aca="false">IF(B25=0,"",IF(INDEX(Bank!$C:$C,B25)="","",INDEX(Bank!$C:$C,B25)))</f>
        <v/>
      </c>
      <c r="G25" s="19" t="str">
        <f aca="false">IF(B25=0,"",INDEX(Bank!$E:$E,B25))</f>
        <v/>
      </c>
      <c r="H25" s="5" t="str">
        <f aca="false">IF(B25=0,"",IF(INDEX(Bank!$H:$H,B25)="","",INDEX(Bank!$H:$H,B25)))</f>
        <v/>
      </c>
      <c r="I25" s="5" t="n">
        <f aca="false">IF(H25="",0,IFERROR(MATCH(H25,GL!$A:$A,0),0))</f>
        <v>0</v>
      </c>
      <c r="J25" s="32" t="str">
        <f aca="false">IF(I25=0,"",INDEX(GL!$B:$B,I25))</f>
        <v/>
      </c>
      <c r="K25" s="5" t="str">
        <f aca="false">IF(I25=0,"",IF(INDEX(GL!$C:$C,I25)="","",INDEX(GL!$C:$C,I25)))</f>
        <v/>
      </c>
      <c r="L25" s="19" t="str">
        <f aca="false">IF(I25=0,"",INDEX(GL!$E:$E,I25))</f>
        <v/>
      </c>
      <c r="M25" s="19" t="str">
        <f aca="false">IF(OR(B25=0,I25=0),"",ROUND(G25-L25,2))</f>
        <v/>
      </c>
      <c r="N25" s="5" t="str">
        <f aca="false">IF(A25="","",IF(B25=0,"NOT FOUND: bank ID",IF(I25=0,"NOT FOUND: GL ID",IF(INDEX(GL!$H:$H,I25)&lt;&gt;A25,"BROKEN: GL points elsewhere",IF(OR(INDEX(Bank!$F:$F,B25)&lt;&gt;"Y",INDEX(GL!$F:$F,I25)&lt;&gt;"Y"),"BROKEN: Status not Y","OK")))))</f>
        <v/>
      </c>
    </row>
    <row r="26" customFormat="false" ht="15" hidden="false" customHeight="false" outlineLevel="0" collapsed="false">
      <c r="A26" s="41"/>
      <c r="B26" s="5" t="n">
        <f aca="false">IF(A26="",0,IFERROR(MATCH(A26,Bank!$A:$A,0),0))</f>
        <v>0</v>
      </c>
      <c r="C26" s="5" t="str">
        <f aca="false">IF(B26=0,"",IF(INDEX(Bank!$G:$G,B26)="","",INDEX(Bank!$G:$G,B26)))</f>
        <v/>
      </c>
      <c r="D26" s="5" t="str">
        <f aca="false">IF(B26=0,"",IF(INDEX(Bank!$J:$J,B26)="","",INDEX(Bank!$J:$J,B26)))</f>
        <v/>
      </c>
      <c r="E26" s="32" t="str">
        <f aca="false">IF(B26=0,"",INDEX(Bank!$B:$B,B26))</f>
        <v/>
      </c>
      <c r="F26" s="5" t="str">
        <f aca="false">IF(B26=0,"",IF(INDEX(Bank!$C:$C,B26)="","",INDEX(Bank!$C:$C,B26)))</f>
        <v/>
      </c>
      <c r="G26" s="19" t="str">
        <f aca="false">IF(B26=0,"",INDEX(Bank!$E:$E,B26))</f>
        <v/>
      </c>
      <c r="H26" s="5" t="str">
        <f aca="false">IF(B26=0,"",IF(INDEX(Bank!$H:$H,B26)="","",INDEX(Bank!$H:$H,B26)))</f>
        <v/>
      </c>
      <c r="I26" s="5" t="n">
        <f aca="false">IF(H26="",0,IFERROR(MATCH(H26,GL!$A:$A,0),0))</f>
        <v>0</v>
      </c>
      <c r="J26" s="32" t="str">
        <f aca="false">IF(I26=0,"",INDEX(GL!$B:$B,I26))</f>
        <v/>
      </c>
      <c r="K26" s="5" t="str">
        <f aca="false">IF(I26=0,"",IF(INDEX(GL!$C:$C,I26)="","",INDEX(GL!$C:$C,I26)))</f>
        <v/>
      </c>
      <c r="L26" s="19" t="str">
        <f aca="false">IF(I26=0,"",INDEX(GL!$E:$E,I26))</f>
        <v/>
      </c>
      <c r="M26" s="19" t="str">
        <f aca="false">IF(OR(B26=0,I26=0),"",ROUND(G26-L26,2))</f>
        <v/>
      </c>
      <c r="N26" s="5" t="str">
        <f aca="false">IF(A26="","",IF(B26=0,"NOT FOUND: bank ID",IF(I26=0,"NOT FOUND: GL ID",IF(INDEX(GL!$H:$H,I26)&lt;&gt;A26,"BROKEN: GL points elsewhere",IF(OR(INDEX(Bank!$F:$F,B26)&lt;&gt;"Y",INDEX(GL!$F:$F,I26)&lt;&gt;"Y"),"BROKEN: Status not Y","OK")))))</f>
        <v/>
      </c>
    </row>
    <row r="27" customFormat="false" ht="15" hidden="false" customHeight="false" outlineLevel="0" collapsed="false">
      <c r="A27" s="41"/>
      <c r="B27" s="5" t="n">
        <f aca="false">IF(A27="",0,IFERROR(MATCH(A27,Bank!$A:$A,0),0))</f>
        <v>0</v>
      </c>
      <c r="C27" s="5" t="str">
        <f aca="false">IF(B27=0,"",IF(INDEX(Bank!$G:$G,B27)="","",INDEX(Bank!$G:$G,B27)))</f>
        <v/>
      </c>
      <c r="D27" s="5" t="str">
        <f aca="false">IF(B27=0,"",IF(INDEX(Bank!$J:$J,B27)="","",INDEX(Bank!$J:$J,B27)))</f>
        <v/>
      </c>
      <c r="E27" s="32" t="str">
        <f aca="false">IF(B27=0,"",INDEX(Bank!$B:$B,B27))</f>
        <v/>
      </c>
      <c r="F27" s="5" t="str">
        <f aca="false">IF(B27=0,"",IF(INDEX(Bank!$C:$C,B27)="","",INDEX(Bank!$C:$C,B27)))</f>
        <v/>
      </c>
      <c r="G27" s="19" t="str">
        <f aca="false">IF(B27=0,"",INDEX(Bank!$E:$E,B27))</f>
        <v/>
      </c>
      <c r="H27" s="5" t="str">
        <f aca="false">IF(B27=0,"",IF(INDEX(Bank!$H:$H,B27)="","",INDEX(Bank!$H:$H,B27)))</f>
        <v/>
      </c>
      <c r="I27" s="5" t="n">
        <f aca="false">IF(H27="",0,IFERROR(MATCH(H27,GL!$A:$A,0),0))</f>
        <v>0</v>
      </c>
      <c r="J27" s="32" t="str">
        <f aca="false">IF(I27=0,"",INDEX(GL!$B:$B,I27))</f>
        <v/>
      </c>
      <c r="K27" s="5" t="str">
        <f aca="false">IF(I27=0,"",IF(INDEX(GL!$C:$C,I27)="","",INDEX(GL!$C:$C,I27)))</f>
        <v/>
      </c>
      <c r="L27" s="19" t="str">
        <f aca="false">IF(I27=0,"",INDEX(GL!$E:$E,I27))</f>
        <v/>
      </c>
      <c r="M27" s="19" t="str">
        <f aca="false">IF(OR(B27=0,I27=0),"",ROUND(G27-L27,2))</f>
        <v/>
      </c>
      <c r="N27" s="5" t="str">
        <f aca="false">IF(A27="","",IF(B27=0,"NOT FOUND: bank ID",IF(I27=0,"NOT FOUND: GL ID",IF(INDEX(GL!$H:$H,I27)&lt;&gt;A27,"BROKEN: GL points elsewhere",IF(OR(INDEX(Bank!$F:$F,B27)&lt;&gt;"Y",INDEX(GL!$F:$F,I27)&lt;&gt;"Y"),"BROKEN: Status not Y","OK")))))</f>
        <v/>
      </c>
    </row>
    <row r="28" customFormat="false" ht="15" hidden="false" customHeight="false" outlineLevel="0" collapsed="false">
      <c r="A28" s="41"/>
      <c r="B28" s="5" t="n">
        <f aca="false">IF(A28="",0,IFERROR(MATCH(A28,Bank!$A:$A,0),0))</f>
        <v>0</v>
      </c>
      <c r="C28" s="5" t="str">
        <f aca="false">IF(B28=0,"",IF(INDEX(Bank!$G:$G,B28)="","",INDEX(Bank!$G:$G,B28)))</f>
        <v/>
      </c>
      <c r="D28" s="5" t="str">
        <f aca="false">IF(B28=0,"",IF(INDEX(Bank!$J:$J,B28)="","",INDEX(Bank!$J:$J,B28)))</f>
        <v/>
      </c>
      <c r="E28" s="32" t="str">
        <f aca="false">IF(B28=0,"",INDEX(Bank!$B:$B,B28))</f>
        <v/>
      </c>
      <c r="F28" s="5" t="str">
        <f aca="false">IF(B28=0,"",IF(INDEX(Bank!$C:$C,B28)="","",INDEX(Bank!$C:$C,B28)))</f>
        <v/>
      </c>
      <c r="G28" s="19" t="str">
        <f aca="false">IF(B28=0,"",INDEX(Bank!$E:$E,B28))</f>
        <v/>
      </c>
      <c r="H28" s="5" t="str">
        <f aca="false">IF(B28=0,"",IF(INDEX(Bank!$H:$H,B28)="","",INDEX(Bank!$H:$H,B28)))</f>
        <v/>
      </c>
      <c r="I28" s="5" t="n">
        <f aca="false">IF(H28="",0,IFERROR(MATCH(H28,GL!$A:$A,0),0))</f>
        <v>0</v>
      </c>
      <c r="J28" s="32" t="str">
        <f aca="false">IF(I28=0,"",INDEX(GL!$B:$B,I28))</f>
        <v/>
      </c>
      <c r="K28" s="5" t="str">
        <f aca="false">IF(I28=0,"",IF(INDEX(GL!$C:$C,I28)="","",INDEX(GL!$C:$C,I28)))</f>
        <v/>
      </c>
      <c r="L28" s="19" t="str">
        <f aca="false">IF(I28=0,"",INDEX(GL!$E:$E,I28))</f>
        <v/>
      </c>
      <c r="M28" s="19" t="str">
        <f aca="false">IF(OR(B28=0,I28=0),"",ROUND(G28-L28,2))</f>
        <v/>
      </c>
      <c r="N28" s="5" t="str">
        <f aca="false">IF(A28="","",IF(B28=0,"NOT FOUND: bank ID",IF(I28=0,"NOT FOUND: GL ID",IF(INDEX(GL!$H:$H,I28)&lt;&gt;A28,"BROKEN: GL points elsewhere",IF(OR(INDEX(Bank!$F:$F,B28)&lt;&gt;"Y",INDEX(GL!$F:$F,I28)&lt;&gt;"Y"),"BROKEN: Status not Y","OK")))))</f>
        <v/>
      </c>
    </row>
    <row r="29" customFormat="false" ht="15" hidden="false" customHeight="false" outlineLevel="0" collapsed="false">
      <c r="A29" s="41"/>
      <c r="B29" s="5" t="n">
        <f aca="false">IF(A29="",0,IFERROR(MATCH(A29,Bank!$A:$A,0),0))</f>
        <v>0</v>
      </c>
      <c r="C29" s="5" t="str">
        <f aca="false">IF(B29=0,"",IF(INDEX(Bank!$G:$G,B29)="","",INDEX(Bank!$G:$G,B29)))</f>
        <v/>
      </c>
      <c r="D29" s="5" t="str">
        <f aca="false">IF(B29=0,"",IF(INDEX(Bank!$J:$J,B29)="","",INDEX(Bank!$J:$J,B29)))</f>
        <v/>
      </c>
      <c r="E29" s="32" t="str">
        <f aca="false">IF(B29=0,"",INDEX(Bank!$B:$B,B29))</f>
        <v/>
      </c>
      <c r="F29" s="5" t="str">
        <f aca="false">IF(B29=0,"",IF(INDEX(Bank!$C:$C,B29)="","",INDEX(Bank!$C:$C,B29)))</f>
        <v/>
      </c>
      <c r="G29" s="19" t="str">
        <f aca="false">IF(B29=0,"",INDEX(Bank!$E:$E,B29))</f>
        <v/>
      </c>
      <c r="H29" s="5" t="str">
        <f aca="false">IF(B29=0,"",IF(INDEX(Bank!$H:$H,B29)="","",INDEX(Bank!$H:$H,B29)))</f>
        <v/>
      </c>
      <c r="I29" s="5" t="n">
        <f aca="false">IF(H29="",0,IFERROR(MATCH(H29,GL!$A:$A,0),0))</f>
        <v>0</v>
      </c>
      <c r="J29" s="32" t="str">
        <f aca="false">IF(I29=0,"",INDEX(GL!$B:$B,I29))</f>
        <v/>
      </c>
      <c r="K29" s="5" t="str">
        <f aca="false">IF(I29=0,"",IF(INDEX(GL!$C:$C,I29)="","",INDEX(GL!$C:$C,I29)))</f>
        <v/>
      </c>
      <c r="L29" s="19" t="str">
        <f aca="false">IF(I29=0,"",INDEX(GL!$E:$E,I29))</f>
        <v/>
      </c>
      <c r="M29" s="19" t="str">
        <f aca="false">IF(OR(B29=0,I29=0),"",ROUND(G29-L29,2))</f>
        <v/>
      </c>
      <c r="N29" s="5" t="str">
        <f aca="false">IF(A29="","",IF(B29=0,"NOT FOUND: bank ID",IF(I29=0,"NOT FOUND: GL ID",IF(INDEX(GL!$H:$H,I29)&lt;&gt;A29,"BROKEN: GL points elsewhere",IF(OR(INDEX(Bank!$F:$F,B29)&lt;&gt;"Y",INDEX(GL!$F:$F,I29)&lt;&gt;"Y"),"BROKEN: Status not Y","OK")))))</f>
        <v/>
      </c>
    </row>
    <row r="30" customFormat="false" ht="15" hidden="false" customHeight="false" outlineLevel="0" collapsed="false">
      <c r="A30" s="41"/>
      <c r="B30" s="5" t="n">
        <f aca="false">IF(A30="",0,IFERROR(MATCH(A30,Bank!$A:$A,0),0))</f>
        <v>0</v>
      </c>
      <c r="C30" s="5" t="str">
        <f aca="false">IF(B30=0,"",IF(INDEX(Bank!$G:$G,B30)="","",INDEX(Bank!$G:$G,B30)))</f>
        <v/>
      </c>
      <c r="D30" s="5" t="str">
        <f aca="false">IF(B30=0,"",IF(INDEX(Bank!$J:$J,B30)="","",INDEX(Bank!$J:$J,B30)))</f>
        <v/>
      </c>
      <c r="E30" s="32" t="str">
        <f aca="false">IF(B30=0,"",INDEX(Bank!$B:$B,B30))</f>
        <v/>
      </c>
      <c r="F30" s="5" t="str">
        <f aca="false">IF(B30=0,"",IF(INDEX(Bank!$C:$C,B30)="","",INDEX(Bank!$C:$C,B30)))</f>
        <v/>
      </c>
      <c r="G30" s="19" t="str">
        <f aca="false">IF(B30=0,"",INDEX(Bank!$E:$E,B30))</f>
        <v/>
      </c>
      <c r="H30" s="5" t="str">
        <f aca="false">IF(B30=0,"",IF(INDEX(Bank!$H:$H,B30)="","",INDEX(Bank!$H:$H,B30)))</f>
        <v/>
      </c>
      <c r="I30" s="5" t="n">
        <f aca="false">IF(H30="",0,IFERROR(MATCH(H30,GL!$A:$A,0),0))</f>
        <v>0</v>
      </c>
      <c r="J30" s="32" t="str">
        <f aca="false">IF(I30=0,"",INDEX(GL!$B:$B,I30))</f>
        <v/>
      </c>
      <c r="K30" s="5" t="str">
        <f aca="false">IF(I30=0,"",IF(INDEX(GL!$C:$C,I30)="","",INDEX(GL!$C:$C,I30)))</f>
        <v/>
      </c>
      <c r="L30" s="19" t="str">
        <f aca="false">IF(I30=0,"",INDEX(GL!$E:$E,I30))</f>
        <v/>
      </c>
      <c r="M30" s="19" t="str">
        <f aca="false">IF(OR(B30=0,I30=0),"",ROUND(G30-L30,2))</f>
        <v/>
      </c>
      <c r="N30" s="5" t="str">
        <f aca="false">IF(A30="","",IF(B30=0,"NOT FOUND: bank ID",IF(I30=0,"NOT FOUND: GL ID",IF(INDEX(GL!$H:$H,I30)&lt;&gt;A30,"BROKEN: GL points elsewhere",IF(OR(INDEX(Bank!$F:$F,B30)&lt;&gt;"Y",INDEX(GL!$F:$F,I30)&lt;&gt;"Y"),"BROKEN: Status not Y","OK")))))</f>
        <v/>
      </c>
    </row>
    <row r="31" customFormat="false" ht="15" hidden="false" customHeight="false" outlineLevel="0" collapsed="false">
      <c r="A31" s="41"/>
      <c r="B31" s="5" t="n">
        <f aca="false">IF(A31="",0,IFERROR(MATCH(A31,Bank!$A:$A,0),0))</f>
        <v>0</v>
      </c>
      <c r="C31" s="5" t="str">
        <f aca="false">IF(B31=0,"",IF(INDEX(Bank!$G:$G,B31)="","",INDEX(Bank!$G:$G,B31)))</f>
        <v/>
      </c>
      <c r="D31" s="5" t="str">
        <f aca="false">IF(B31=0,"",IF(INDEX(Bank!$J:$J,B31)="","",INDEX(Bank!$J:$J,B31)))</f>
        <v/>
      </c>
      <c r="E31" s="32" t="str">
        <f aca="false">IF(B31=0,"",INDEX(Bank!$B:$B,B31))</f>
        <v/>
      </c>
      <c r="F31" s="5" t="str">
        <f aca="false">IF(B31=0,"",IF(INDEX(Bank!$C:$C,B31)="","",INDEX(Bank!$C:$C,B31)))</f>
        <v/>
      </c>
      <c r="G31" s="19" t="str">
        <f aca="false">IF(B31=0,"",INDEX(Bank!$E:$E,B31))</f>
        <v/>
      </c>
      <c r="H31" s="5" t="str">
        <f aca="false">IF(B31=0,"",IF(INDEX(Bank!$H:$H,B31)="","",INDEX(Bank!$H:$H,B31)))</f>
        <v/>
      </c>
      <c r="I31" s="5" t="n">
        <f aca="false">IF(H31="",0,IFERROR(MATCH(H31,GL!$A:$A,0),0))</f>
        <v>0</v>
      </c>
      <c r="J31" s="32" t="str">
        <f aca="false">IF(I31=0,"",INDEX(GL!$B:$B,I31))</f>
        <v/>
      </c>
      <c r="K31" s="5" t="str">
        <f aca="false">IF(I31=0,"",IF(INDEX(GL!$C:$C,I31)="","",INDEX(GL!$C:$C,I31)))</f>
        <v/>
      </c>
      <c r="L31" s="19" t="str">
        <f aca="false">IF(I31=0,"",INDEX(GL!$E:$E,I31))</f>
        <v/>
      </c>
      <c r="M31" s="19" t="str">
        <f aca="false">IF(OR(B31=0,I31=0),"",ROUND(G31-L31,2))</f>
        <v/>
      </c>
      <c r="N31" s="5" t="str">
        <f aca="false">IF(A31="","",IF(B31=0,"NOT FOUND: bank ID",IF(I31=0,"NOT FOUND: GL ID",IF(INDEX(GL!$H:$H,I31)&lt;&gt;A31,"BROKEN: GL points elsewhere",IF(OR(INDEX(Bank!$F:$F,B31)&lt;&gt;"Y",INDEX(GL!$F:$F,I31)&lt;&gt;"Y"),"BROKEN: Status not Y","OK")))))</f>
        <v/>
      </c>
    </row>
    <row r="32" customFormat="false" ht="15" hidden="false" customHeight="false" outlineLevel="0" collapsed="false">
      <c r="A32" s="41"/>
      <c r="B32" s="5" t="n">
        <f aca="false">IF(A32="",0,IFERROR(MATCH(A32,Bank!$A:$A,0),0))</f>
        <v>0</v>
      </c>
      <c r="C32" s="5" t="str">
        <f aca="false">IF(B32=0,"",IF(INDEX(Bank!$G:$G,B32)="","",INDEX(Bank!$G:$G,B32)))</f>
        <v/>
      </c>
      <c r="D32" s="5" t="str">
        <f aca="false">IF(B32=0,"",IF(INDEX(Bank!$J:$J,B32)="","",INDEX(Bank!$J:$J,B32)))</f>
        <v/>
      </c>
      <c r="E32" s="32" t="str">
        <f aca="false">IF(B32=0,"",INDEX(Bank!$B:$B,B32))</f>
        <v/>
      </c>
      <c r="F32" s="5" t="str">
        <f aca="false">IF(B32=0,"",IF(INDEX(Bank!$C:$C,B32)="","",INDEX(Bank!$C:$C,B32)))</f>
        <v/>
      </c>
      <c r="G32" s="19" t="str">
        <f aca="false">IF(B32=0,"",INDEX(Bank!$E:$E,B32))</f>
        <v/>
      </c>
      <c r="H32" s="5" t="str">
        <f aca="false">IF(B32=0,"",IF(INDEX(Bank!$H:$H,B32)="","",INDEX(Bank!$H:$H,B32)))</f>
        <v/>
      </c>
      <c r="I32" s="5" t="n">
        <f aca="false">IF(H32="",0,IFERROR(MATCH(H32,GL!$A:$A,0),0))</f>
        <v>0</v>
      </c>
      <c r="J32" s="32" t="str">
        <f aca="false">IF(I32=0,"",INDEX(GL!$B:$B,I32))</f>
        <v/>
      </c>
      <c r="K32" s="5" t="str">
        <f aca="false">IF(I32=0,"",IF(INDEX(GL!$C:$C,I32)="","",INDEX(GL!$C:$C,I32)))</f>
        <v/>
      </c>
      <c r="L32" s="19" t="str">
        <f aca="false">IF(I32=0,"",INDEX(GL!$E:$E,I32))</f>
        <v/>
      </c>
      <c r="M32" s="19" t="str">
        <f aca="false">IF(OR(B32=0,I32=0),"",ROUND(G32-L32,2))</f>
        <v/>
      </c>
      <c r="N32" s="5" t="str">
        <f aca="false">IF(A32="","",IF(B32=0,"NOT FOUND: bank ID",IF(I32=0,"NOT FOUND: GL ID",IF(INDEX(GL!$H:$H,I32)&lt;&gt;A32,"BROKEN: GL points elsewhere",IF(OR(INDEX(Bank!$F:$F,B32)&lt;&gt;"Y",INDEX(GL!$F:$F,I32)&lt;&gt;"Y"),"BROKEN: Status not Y","OK")))))</f>
        <v/>
      </c>
    </row>
    <row r="33" customFormat="false" ht="15" hidden="false" customHeight="false" outlineLevel="0" collapsed="false">
      <c r="A33" s="41"/>
      <c r="B33" s="5" t="n">
        <f aca="false">IF(A33="",0,IFERROR(MATCH(A33,Bank!$A:$A,0),0))</f>
        <v>0</v>
      </c>
      <c r="C33" s="5" t="str">
        <f aca="false">IF(B33=0,"",IF(INDEX(Bank!$G:$G,B33)="","",INDEX(Bank!$G:$G,B33)))</f>
        <v/>
      </c>
      <c r="D33" s="5" t="str">
        <f aca="false">IF(B33=0,"",IF(INDEX(Bank!$J:$J,B33)="","",INDEX(Bank!$J:$J,B33)))</f>
        <v/>
      </c>
      <c r="E33" s="32" t="str">
        <f aca="false">IF(B33=0,"",INDEX(Bank!$B:$B,B33))</f>
        <v/>
      </c>
      <c r="F33" s="5" t="str">
        <f aca="false">IF(B33=0,"",IF(INDEX(Bank!$C:$C,B33)="","",INDEX(Bank!$C:$C,B33)))</f>
        <v/>
      </c>
      <c r="G33" s="19" t="str">
        <f aca="false">IF(B33=0,"",INDEX(Bank!$E:$E,B33))</f>
        <v/>
      </c>
      <c r="H33" s="5" t="str">
        <f aca="false">IF(B33=0,"",IF(INDEX(Bank!$H:$H,B33)="","",INDEX(Bank!$H:$H,B33)))</f>
        <v/>
      </c>
      <c r="I33" s="5" t="n">
        <f aca="false">IF(H33="",0,IFERROR(MATCH(H33,GL!$A:$A,0),0))</f>
        <v>0</v>
      </c>
      <c r="J33" s="32" t="str">
        <f aca="false">IF(I33=0,"",INDEX(GL!$B:$B,I33))</f>
        <v/>
      </c>
      <c r="K33" s="5" t="str">
        <f aca="false">IF(I33=0,"",IF(INDEX(GL!$C:$C,I33)="","",INDEX(GL!$C:$C,I33)))</f>
        <v/>
      </c>
      <c r="L33" s="19" t="str">
        <f aca="false">IF(I33=0,"",INDEX(GL!$E:$E,I33))</f>
        <v/>
      </c>
      <c r="M33" s="19" t="str">
        <f aca="false">IF(OR(B33=0,I33=0),"",ROUND(G33-L33,2))</f>
        <v/>
      </c>
      <c r="N33" s="5" t="str">
        <f aca="false">IF(A33="","",IF(B33=0,"NOT FOUND: bank ID",IF(I33=0,"NOT FOUND: GL ID",IF(INDEX(GL!$H:$H,I33)&lt;&gt;A33,"BROKEN: GL points elsewhere",IF(OR(INDEX(Bank!$F:$F,B33)&lt;&gt;"Y",INDEX(GL!$F:$F,I33)&lt;&gt;"Y"),"BROKEN: Status not Y","OK")))))</f>
        <v/>
      </c>
    </row>
    <row r="34" customFormat="false" ht="15" hidden="false" customHeight="false" outlineLevel="0" collapsed="false">
      <c r="A34" s="41"/>
      <c r="B34" s="5" t="n">
        <f aca="false">IF(A34="",0,IFERROR(MATCH(A34,Bank!$A:$A,0),0))</f>
        <v>0</v>
      </c>
      <c r="C34" s="5" t="str">
        <f aca="false">IF(B34=0,"",IF(INDEX(Bank!$G:$G,B34)="","",INDEX(Bank!$G:$G,B34)))</f>
        <v/>
      </c>
      <c r="D34" s="5" t="str">
        <f aca="false">IF(B34=0,"",IF(INDEX(Bank!$J:$J,B34)="","",INDEX(Bank!$J:$J,B34)))</f>
        <v/>
      </c>
      <c r="E34" s="32" t="str">
        <f aca="false">IF(B34=0,"",INDEX(Bank!$B:$B,B34))</f>
        <v/>
      </c>
      <c r="F34" s="5" t="str">
        <f aca="false">IF(B34=0,"",IF(INDEX(Bank!$C:$C,B34)="","",INDEX(Bank!$C:$C,B34)))</f>
        <v/>
      </c>
      <c r="G34" s="19" t="str">
        <f aca="false">IF(B34=0,"",INDEX(Bank!$E:$E,B34))</f>
        <v/>
      </c>
      <c r="H34" s="5" t="str">
        <f aca="false">IF(B34=0,"",IF(INDEX(Bank!$H:$H,B34)="","",INDEX(Bank!$H:$H,B34)))</f>
        <v/>
      </c>
      <c r="I34" s="5" t="n">
        <f aca="false">IF(H34="",0,IFERROR(MATCH(H34,GL!$A:$A,0),0))</f>
        <v>0</v>
      </c>
      <c r="J34" s="32" t="str">
        <f aca="false">IF(I34=0,"",INDEX(GL!$B:$B,I34))</f>
        <v/>
      </c>
      <c r="K34" s="5" t="str">
        <f aca="false">IF(I34=0,"",IF(INDEX(GL!$C:$C,I34)="","",INDEX(GL!$C:$C,I34)))</f>
        <v/>
      </c>
      <c r="L34" s="19" t="str">
        <f aca="false">IF(I34=0,"",INDEX(GL!$E:$E,I34))</f>
        <v/>
      </c>
      <c r="M34" s="19" t="str">
        <f aca="false">IF(OR(B34=0,I34=0),"",ROUND(G34-L34,2))</f>
        <v/>
      </c>
      <c r="N34" s="5" t="str">
        <f aca="false">IF(A34="","",IF(B34=0,"NOT FOUND: bank ID",IF(I34=0,"NOT FOUND: GL ID",IF(INDEX(GL!$H:$H,I34)&lt;&gt;A34,"BROKEN: GL points elsewhere",IF(OR(INDEX(Bank!$F:$F,B34)&lt;&gt;"Y",INDEX(GL!$F:$F,I34)&lt;&gt;"Y"),"BROKEN: Status not Y","OK")))))</f>
        <v/>
      </c>
    </row>
    <row r="35" customFormat="false" ht="15" hidden="false" customHeight="false" outlineLevel="0" collapsed="false">
      <c r="A35" s="41"/>
      <c r="B35" s="5" t="n">
        <f aca="false">IF(A35="",0,IFERROR(MATCH(A35,Bank!$A:$A,0),0))</f>
        <v>0</v>
      </c>
      <c r="C35" s="5" t="str">
        <f aca="false">IF(B35=0,"",IF(INDEX(Bank!$G:$G,B35)="","",INDEX(Bank!$G:$G,B35)))</f>
        <v/>
      </c>
      <c r="D35" s="5" t="str">
        <f aca="false">IF(B35=0,"",IF(INDEX(Bank!$J:$J,B35)="","",INDEX(Bank!$J:$J,B35)))</f>
        <v/>
      </c>
      <c r="E35" s="32" t="str">
        <f aca="false">IF(B35=0,"",INDEX(Bank!$B:$B,B35))</f>
        <v/>
      </c>
      <c r="F35" s="5" t="str">
        <f aca="false">IF(B35=0,"",IF(INDEX(Bank!$C:$C,B35)="","",INDEX(Bank!$C:$C,B35)))</f>
        <v/>
      </c>
      <c r="G35" s="19" t="str">
        <f aca="false">IF(B35=0,"",INDEX(Bank!$E:$E,B35))</f>
        <v/>
      </c>
      <c r="H35" s="5" t="str">
        <f aca="false">IF(B35=0,"",IF(INDEX(Bank!$H:$H,B35)="","",INDEX(Bank!$H:$H,B35)))</f>
        <v/>
      </c>
      <c r="I35" s="5" t="n">
        <f aca="false">IF(H35="",0,IFERROR(MATCH(H35,GL!$A:$A,0),0))</f>
        <v>0</v>
      </c>
      <c r="J35" s="32" t="str">
        <f aca="false">IF(I35=0,"",INDEX(GL!$B:$B,I35))</f>
        <v/>
      </c>
      <c r="K35" s="5" t="str">
        <f aca="false">IF(I35=0,"",IF(INDEX(GL!$C:$C,I35)="","",INDEX(GL!$C:$C,I35)))</f>
        <v/>
      </c>
      <c r="L35" s="19" t="str">
        <f aca="false">IF(I35=0,"",INDEX(GL!$E:$E,I35))</f>
        <v/>
      </c>
      <c r="M35" s="19" t="str">
        <f aca="false">IF(OR(B35=0,I35=0),"",ROUND(G35-L35,2))</f>
        <v/>
      </c>
      <c r="N35" s="5" t="str">
        <f aca="false">IF(A35="","",IF(B35=0,"NOT FOUND: bank ID",IF(I35=0,"NOT FOUND: GL ID",IF(INDEX(GL!$H:$H,I35)&lt;&gt;A35,"BROKEN: GL points elsewhere",IF(OR(INDEX(Bank!$F:$F,B35)&lt;&gt;"Y",INDEX(GL!$F:$F,I35)&lt;&gt;"Y"),"BROKEN: Status not Y","OK")))))</f>
        <v/>
      </c>
    </row>
    <row r="36" customFormat="false" ht="15" hidden="false" customHeight="false" outlineLevel="0" collapsed="false">
      <c r="A36" s="41"/>
      <c r="B36" s="5" t="n">
        <f aca="false">IF(A36="",0,IFERROR(MATCH(A36,Bank!$A:$A,0),0))</f>
        <v>0</v>
      </c>
      <c r="C36" s="5" t="str">
        <f aca="false">IF(B36=0,"",IF(INDEX(Bank!$G:$G,B36)="","",INDEX(Bank!$G:$G,B36)))</f>
        <v/>
      </c>
      <c r="D36" s="5" t="str">
        <f aca="false">IF(B36=0,"",IF(INDEX(Bank!$J:$J,B36)="","",INDEX(Bank!$J:$J,B36)))</f>
        <v/>
      </c>
      <c r="E36" s="32" t="str">
        <f aca="false">IF(B36=0,"",INDEX(Bank!$B:$B,B36))</f>
        <v/>
      </c>
      <c r="F36" s="5" t="str">
        <f aca="false">IF(B36=0,"",IF(INDEX(Bank!$C:$C,B36)="","",INDEX(Bank!$C:$C,B36)))</f>
        <v/>
      </c>
      <c r="G36" s="19" t="str">
        <f aca="false">IF(B36=0,"",INDEX(Bank!$E:$E,B36))</f>
        <v/>
      </c>
      <c r="H36" s="5" t="str">
        <f aca="false">IF(B36=0,"",IF(INDEX(Bank!$H:$H,B36)="","",INDEX(Bank!$H:$H,B36)))</f>
        <v/>
      </c>
      <c r="I36" s="5" t="n">
        <f aca="false">IF(H36="",0,IFERROR(MATCH(H36,GL!$A:$A,0),0))</f>
        <v>0</v>
      </c>
      <c r="J36" s="32" t="str">
        <f aca="false">IF(I36=0,"",INDEX(GL!$B:$B,I36))</f>
        <v/>
      </c>
      <c r="K36" s="5" t="str">
        <f aca="false">IF(I36=0,"",IF(INDEX(GL!$C:$C,I36)="","",INDEX(GL!$C:$C,I36)))</f>
        <v/>
      </c>
      <c r="L36" s="19" t="str">
        <f aca="false">IF(I36=0,"",INDEX(GL!$E:$E,I36))</f>
        <v/>
      </c>
      <c r="M36" s="19" t="str">
        <f aca="false">IF(OR(B36=0,I36=0),"",ROUND(G36-L36,2))</f>
        <v/>
      </c>
      <c r="N36" s="5" t="str">
        <f aca="false">IF(A36="","",IF(B36=0,"NOT FOUND: bank ID",IF(I36=0,"NOT FOUND: GL ID",IF(INDEX(GL!$H:$H,I36)&lt;&gt;A36,"BROKEN: GL points elsewhere",IF(OR(INDEX(Bank!$F:$F,B36)&lt;&gt;"Y",INDEX(GL!$F:$F,I36)&lt;&gt;"Y"),"BROKEN: Status not Y","OK")))))</f>
        <v/>
      </c>
    </row>
    <row r="37" customFormat="false" ht="15" hidden="false" customHeight="false" outlineLevel="0" collapsed="false">
      <c r="A37" s="41"/>
      <c r="B37" s="5" t="n">
        <f aca="false">IF(A37="",0,IFERROR(MATCH(A37,Bank!$A:$A,0),0))</f>
        <v>0</v>
      </c>
      <c r="C37" s="5" t="str">
        <f aca="false">IF(B37=0,"",IF(INDEX(Bank!$G:$G,B37)="","",INDEX(Bank!$G:$G,B37)))</f>
        <v/>
      </c>
      <c r="D37" s="5" t="str">
        <f aca="false">IF(B37=0,"",IF(INDEX(Bank!$J:$J,B37)="","",INDEX(Bank!$J:$J,B37)))</f>
        <v/>
      </c>
      <c r="E37" s="32" t="str">
        <f aca="false">IF(B37=0,"",INDEX(Bank!$B:$B,B37))</f>
        <v/>
      </c>
      <c r="F37" s="5" t="str">
        <f aca="false">IF(B37=0,"",IF(INDEX(Bank!$C:$C,B37)="","",INDEX(Bank!$C:$C,B37)))</f>
        <v/>
      </c>
      <c r="G37" s="19" t="str">
        <f aca="false">IF(B37=0,"",INDEX(Bank!$E:$E,B37))</f>
        <v/>
      </c>
      <c r="H37" s="5" t="str">
        <f aca="false">IF(B37=0,"",IF(INDEX(Bank!$H:$H,B37)="","",INDEX(Bank!$H:$H,B37)))</f>
        <v/>
      </c>
      <c r="I37" s="5" t="n">
        <f aca="false">IF(H37="",0,IFERROR(MATCH(H37,GL!$A:$A,0),0))</f>
        <v>0</v>
      </c>
      <c r="J37" s="32" t="str">
        <f aca="false">IF(I37=0,"",INDEX(GL!$B:$B,I37))</f>
        <v/>
      </c>
      <c r="K37" s="5" t="str">
        <f aca="false">IF(I37=0,"",IF(INDEX(GL!$C:$C,I37)="","",INDEX(GL!$C:$C,I37)))</f>
        <v/>
      </c>
      <c r="L37" s="19" t="str">
        <f aca="false">IF(I37=0,"",INDEX(GL!$E:$E,I37))</f>
        <v/>
      </c>
      <c r="M37" s="19" t="str">
        <f aca="false">IF(OR(B37=0,I37=0),"",ROUND(G37-L37,2))</f>
        <v/>
      </c>
      <c r="N37" s="5" t="str">
        <f aca="false">IF(A37="","",IF(B37=0,"NOT FOUND: bank ID",IF(I37=0,"NOT FOUND: GL ID",IF(INDEX(GL!$H:$H,I37)&lt;&gt;A37,"BROKEN: GL points elsewhere",IF(OR(INDEX(Bank!$F:$F,B37)&lt;&gt;"Y",INDEX(GL!$F:$F,I37)&lt;&gt;"Y"),"BROKEN: Status not Y","OK")))))</f>
        <v/>
      </c>
    </row>
    <row r="38" customFormat="false" ht="15" hidden="false" customHeight="false" outlineLevel="0" collapsed="false">
      <c r="A38" s="41"/>
      <c r="B38" s="5" t="n">
        <f aca="false">IF(A38="",0,IFERROR(MATCH(A38,Bank!$A:$A,0),0))</f>
        <v>0</v>
      </c>
      <c r="C38" s="5" t="str">
        <f aca="false">IF(B38=0,"",IF(INDEX(Bank!$G:$G,B38)="","",INDEX(Bank!$G:$G,B38)))</f>
        <v/>
      </c>
      <c r="D38" s="5" t="str">
        <f aca="false">IF(B38=0,"",IF(INDEX(Bank!$J:$J,B38)="","",INDEX(Bank!$J:$J,B38)))</f>
        <v/>
      </c>
      <c r="E38" s="32" t="str">
        <f aca="false">IF(B38=0,"",INDEX(Bank!$B:$B,B38))</f>
        <v/>
      </c>
      <c r="F38" s="5" t="str">
        <f aca="false">IF(B38=0,"",IF(INDEX(Bank!$C:$C,B38)="","",INDEX(Bank!$C:$C,B38)))</f>
        <v/>
      </c>
      <c r="G38" s="19" t="str">
        <f aca="false">IF(B38=0,"",INDEX(Bank!$E:$E,B38))</f>
        <v/>
      </c>
      <c r="H38" s="5" t="str">
        <f aca="false">IF(B38=0,"",IF(INDEX(Bank!$H:$H,B38)="","",INDEX(Bank!$H:$H,B38)))</f>
        <v/>
      </c>
      <c r="I38" s="5" t="n">
        <f aca="false">IF(H38="",0,IFERROR(MATCH(H38,GL!$A:$A,0),0))</f>
        <v>0</v>
      </c>
      <c r="J38" s="32" t="str">
        <f aca="false">IF(I38=0,"",INDEX(GL!$B:$B,I38))</f>
        <v/>
      </c>
      <c r="K38" s="5" t="str">
        <f aca="false">IF(I38=0,"",IF(INDEX(GL!$C:$C,I38)="","",INDEX(GL!$C:$C,I38)))</f>
        <v/>
      </c>
      <c r="L38" s="19" t="str">
        <f aca="false">IF(I38=0,"",INDEX(GL!$E:$E,I38))</f>
        <v/>
      </c>
      <c r="M38" s="19" t="str">
        <f aca="false">IF(OR(B38=0,I38=0),"",ROUND(G38-L38,2))</f>
        <v/>
      </c>
      <c r="N38" s="5" t="str">
        <f aca="false">IF(A38="","",IF(B38=0,"NOT FOUND: bank ID",IF(I38=0,"NOT FOUND: GL ID",IF(INDEX(GL!$H:$H,I38)&lt;&gt;A38,"BROKEN: GL points elsewhere",IF(OR(INDEX(Bank!$F:$F,B38)&lt;&gt;"Y",INDEX(GL!$F:$F,I38)&lt;&gt;"Y"),"BROKEN: Status not Y","OK")))))</f>
        <v/>
      </c>
    </row>
    <row r="39" customFormat="false" ht="15" hidden="false" customHeight="false" outlineLevel="0" collapsed="false">
      <c r="A39" s="41"/>
      <c r="B39" s="5" t="n">
        <f aca="false">IF(A39="",0,IFERROR(MATCH(A39,Bank!$A:$A,0),0))</f>
        <v>0</v>
      </c>
      <c r="C39" s="5" t="str">
        <f aca="false">IF(B39=0,"",IF(INDEX(Bank!$G:$G,B39)="","",INDEX(Bank!$G:$G,B39)))</f>
        <v/>
      </c>
      <c r="D39" s="5" t="str">
        <f aca="false">IF(B39=0,"",IF(INDEX(Bank!$J:$J,B39)="","",INDEX(Bank!$J:$J,B39)))</f>
        <v/>
      </c>
      <c r="E39" s="32" t="str">
        <f aca="false">IF(B39=0,"",INDEX(Bank!$B:$B,B39))</f>
        <v/>
      </c>
      <c r="F39" s="5" t="str">
        <f aca="false">IF(B39=0,"",IF(INDEX(Bank!$C:$C,B39)="","",INDEX(Bank!$C:$C,B39)))</f>
        <v/>
      </c>
      <c r="G39" s="19" t="str">
        <f aca="false">IF(B39=0,"",INDEX(Bank!$E:$E,B39))</f>
        <v/>
      </c>
      <c r="H39" s="5" t="str">
        <f aca="false">IF(B39=0,"",IF(INDEX(Bank!$H:$H,B39)="","",INDEX(Bank!$H:$H,B39)))</f>
        <v/>
      </c>
      <c r="I39" s="5" t="n">
        <f aca="false">IF(H39="",0,IFERROR(MATCH(H39,GL!$A:$A,0),0))</f>
        <v>0</v>
      </c>
      <c r="J39" s="32" t="str">
        <f aca="false">IF(I39=0,"",INDEX(GL!$B:$B,I39))</f>
        <v/>
      </c>
      <c r="K39" s="5" t="str">
        <f aca="false">IF(I39=0,"",IF(INDEX(GL!$C:$C,I39)="","",INDEX(GL!$C:$C,I39)))</f>
        <v/>
      </c>
      <c r="L39" s="19" t="str">
        <f aca="false">IF(I39=0,"",INDEX(GL!$E:$E,I39))</f>
        <v/>
      </c>
      <c r="M39" s="19" t="str">
        <f aca="false">IF(OR(B39=0,I39=0),"",ROUND(G39-L39,2))</f>
        <v/>
      </c>
      <c r="N39" s="5" t="str">
        <f aca="false">IF(A39="","",IF(B39=0,"NOT FOUND: bank ID",IF(I39=0,"NOT FOUND: GL ID",IF(INDEX(GL!$H:$H,I39)&lt;&gt;A39,"BROKEN: GL points elsewhere",IF(OR(INDEX(Bank!$F:$F,B39)&lt;&gt;"Y",INDEX(GL!$F:$F,I39)&lt;&gt;"Y"),"BROKEN: Status not Y","OK")))))</f>
        <v/>
      </c>
    </row>
    <row r="40" customFormat="false" ht="15" hidden="false" customHeight="false" outlineLevel="0" collapsed="false">
      <c r="A40" s="41"/>
      <c r="B40" s="5" t="n">
        <f aca="false">IF(A40="",0,IFERROR(MATCH(A40,Bank!$A:$A,0),0))</f>
        <v>0</v>
      </c>
      <c r="C40" s="5" t="str">
        <f aca="false">IF(B40=0,"",IF(INDEX(Bank!$G:$G,B40)="","",INDEX(Bank!$G:$G,B40)))</f>
        <v/>
      </c>
      <c r="D40" s="5" t="str">
        <f aca="false">IF(B40=0,"",IF(INDEX(Bank!$J:$J,B40)="","",INDEX(Bank!$J:$J,B40)))</f>
        <v/>
      </c>
      <c r="E40" s="32" t="str">
        <f aca="false">IF(B40=0,"",INDEX(Bank!$B:$B,B40))</f>
        <v/>
      </c>
      <c r="F40" s="5" t="str">
        <f aca="false">IF(B40=0,"",IF(INDEX(Bank!$C:$C,B40)="","",INDEX(Bank!$C:$C,B40)))</f>
        <v/>
      </c>
      <c r="G40" s="19" t="str">
        <f aca="false">IF(B40=0,"",INDEX(Bank!$E:$E,B40))</f>
        <v/>
      </c>
      <c r="H40" s="5" t="str">
        <f aca="false">IF(B40=0,"",IF(INDEX(Bank!$H:$H,B40)="","",INDEX(Bank!$H:$H,B40)))</f>
        <v/>
      </c>
      <c r="I40" s="5" t="n">
        <f aca="false">IF(H40="",0,IFERROR(MATCH(H40,GL!$A:$A,0),0))</f>
        <v>0</v>
      </c>
      <c r="J40" s="32" t="str">
        <f aca="false">IF(I40=0,"",INDEX(GL!$B:$B,I40))</f>
        <v/>
      </c>
      <c r="K40" s="5" t="str">
        <f aca="false">IF(I40=0,"",IF(INDEX(GL!$C:$C,I40)="","",INDEX(GL!$C:$C,I40)))</f>
        <v/>
      </c>
      <c r="L40" s="19" t="str">
        <f aca="false">IF(I40=0,"",INDEX(GL!$E:$E,I40))</f>
        <v/>
      </c>
      <c r="M40" s="19" t="str">
        <f aca="false">IF(OR(B40=0,I40=0),"",ROUND(G40-L40,2))</f>
        <v/>
      </c>
      <c r="N40" s="5" t="str">
        <f aca="false">IF(A40="","",IF(B40=0,"NOT FOUND: bank ID",IF(I40=0,"NOT FOUND: GL ID",IF(INDEX(GL!$H:$H,I40)&lt;&gt;A40,"BROKEN: GL points elsewhere",IF(OR(INDEX(Bank!$F:$F,B40)&lt;&gt;"Y",INDEX(GL!$F:$F,I40)&lt;&gt;"Y"),"BROKEN: Status not Y","OK")))))</f>
        <v/>
      </c>
    </row>
    <row r="41" customFormat="false" ht="15" hidden="false" customHeight="false" outlineLevel="0" collapsed="false">
      <c r="A41" s="41"/>
      <c r="B41" s="5" t="n">
        <f aca="false">IF(A41="",0,IFERROR(MATCH(A41,Bank!$A:$A,0),0))</f>
        <v>0</v>
      </c>
      <c r="C41" s="5" t="str">
        <f aca="false">IF(B41=0,"",IF(INDEX(Bank!$G:$G,B41)="","",INDEX(Bank!$G:$G,B41)))</f>
        <v/>
      </c>
      <c r="D41" s="5" t="str">
        <f aca="false">IF(B41=0,"",IF(INDEX(Bank!$J:$J,B41)="","",INDEX(Bank!$J:$J,B41)))</f>
        <v/>
      </c>
      <c r="E41" s="32" t="str">
        <f aca="false">IF(B41=0,"",INDEX(Bank!$B:$B,B41))</f>
        <v/>
      </c>
      <c r="F41" s="5" t="str">
        <f aca="false">IF(B41=0,"",IF(INDEX(Bank!$C:$C,B41)="","",INDEX(Bank!$C:$C,B41)))</f>
        <v/>
      </c>
      <c r="G41" s="19" t="str">
        <f aca="false">IF(B41=0,"",INDEX(Bank!$E:$E,B41))</f>
        <v/>
      </c>
      <c r="H41" s="5" t="str">
        <f aca="false">IF(B41=0,"",IF(INDEX(Bank!$H:$H,B41)="","",INDEX(Bank!$H:$H,B41)))</f>
        <v/>
      </c>
      <c r="I41" s="5" t="n">
        <f aca="false">IF(H41="",0,IFERROR(MATCH(H41,GL!$A:$A,0),0))</f>
        <v>0</v>
      </c>
      <c r="J41" s="32" t="str">
        <f aca="false">IF(I41=0,"",INDEX(GL!$B:$B,I41))</f>
        <v/>
      </c>
      <c r="K41" s="5" t="str">
        <f aca="false">IF(I41=0,"",IF(INDEX(GL!$C:$C,I41)="","",INDEX(GL!$C:$C,I41)))</f>
        <v/>
      </c>
      <c r="L41" s="19" t="str">
        <f aca="false">IF(I41=0,"",INDEX(GL!$E:$E,I41))</f>
        <v/>
      </c>
      <c r="M41" s="19" t="str">
        <f aca="false">IF(OR(B41=0,I41=0),"",ROUND(G41-L41,2))</f>
        <v/>
      </c>
      <c r="N41" s="5" t="str">
        <f aca="false">IF(A41="","",IF(B41=0,"NOT FOUND: bank ID",IF(I41=0,"NOT FOUND: GL ID",IF(INDEX(GL!$H:$H,I41)&lt;&gt;A41,"BROKEN: GL points elsewhere",IF(OR(INDEX(Bank!$F:$F,B41)&lt;&gt;"Y",INDEX(GL!$F:$F,I41)&lt;&gt;"Y"),"BROKEN: Status not Y","OK")))))</f>
        <v/>
      </c>
    </row>
    <row r="42" customFormat="false" ht="15" hidden="false" customHeight="false" outlineLevel="0" collapsed="false">
      <c r="A42" s="41"/>
      <c r="B42" s="5" t="n">
        <f aca="false">IF(A42="",0,IFERROR(MATCH(A42,Bank!$A:$A,0),0))</f>
        <v>0</v>
      </c>
      <c r="C42" s="5" t="str">
        <f aca="false">IF(B42=0,"",IF(INDEX(Bank!$G:$G,B42)="","",INDEX(Bank!$G:$G,B42)))</f>
        <v/>
      </c>
      <c r="D42" s="5" t="str">
        <f aca="false">IF(B42=0,"",IF(INDEX(Bank!$J:$J,B42)="","",INDEX(Bank!$J:$J,B42)))</f>
        <v/>
      </c>
      <c r="E42" s="32" t="str">
        <f aca="false">IF(B42=0,"",INDEX(Bank!$B:$B,B42))</f>
        <v/>
      </c>
      <c r="F42" s="5" t="str">
        <f aca="false">IF(B42=0,"",IF(INDEX(Bank!$C:$C,B42)="","",INDEX(Bank!$C:$C,B42)))</f>
        <v/>
      </c>
      <c r="G42" s="19" t="str">
        <f aca="false">IF(B42=0,"",INDEX(Bank!$E:$E,B42))</f>
        <v/>
      </c>
      <c r="H42" s="5" t="str">
        <f aca="false">IF(B42=0,"",IF(INDEX(Bank!$H:$H,B42)="","",INDEX(Bank!$H:$H,B42)))</f>
        <v/>
      </c>
      <c r="I42" s="5" t="n">
        <f aca="false">IF(H42="",0,IFERROR(MATCH(H42,GL!$A:$A,0),0))</f>
        <v>0</v>
      </c>
      <c r="J42" s="32" t="str">
        <f aca="false">IF(I42=0,"",INDEX(GL!$B:$B,I42))</f>
        <v/>
      </c>
      <c r="K42" s="5" t="str">
        <f aca="false">IF(I42=0,"",IF(INDEX(GL!$C:$C,I42)="","",INDEX(GL!$C:$C,I42)))</f>
        <v/>
      </c>
      <c r="L42" s="19" t="str">
        <f aca="false">IF(I42=0,"",INDEX(GL!$E:$E,I42))</f>
        <v/>
      </c>
      <c r="M42" s="19" t="str">
        <f aca="false">IF(OR(B42=0,I42=0),"",ROUND(G42-L42,2))</f>
        <v/>
      </c>
      <c r="N42" s="5" t="str">
        <f aca="false">IF(A42="","",IF(B42=0,"NOT FOUND: bank ID",IF(I42=0,"NOT FOUND: GL ID",IF(INDEX(GL!$H:$H,I42)&lt;&gt;A42,"BROKEN: GL points elsewhere",IF(OR(INDEX(Bank!$F:$F,B42)&lt;&gt;"Y",INDEX(GL!$F:$F,I42)&lt;&gt;"Y"),"BROKEN: Status not Y","OK")))))</f>
        <v/>
      </c>
    </row>
    <row r="43" customFormat="false" ht="15" hidden="false" customHeight="false" outlineLevel="0" collapsed="false">
      <c r="A43" s="41"/>
      <c r="B43" s="5" t="n">
        <f aca="false">IF(A43="",0,IFERROR(MATCH(A43,Bank!$A:$A,0),0))</f>
        <v>0</v>
      </c>
      <c r="C43" s="5" t="str">
        <f aca="false">IF(B43=0,"",IF(INDEX(Bank!$G:$G,B43)="","",INDEX(Bank!$G:$G,B43)))</f>
        <v/>
      </c>
      <c r="D43" s="5" t="str">
        <f aca="false">IF(B43=0,"",IF(INDEX(Bank!$J:$J,B43)="","",INDEX(Bank!$J:$J,B43)))</f>
        <v/>
      </c>
      <c r="E43" s="32" t="str">
        <f aca="false">IF(B43=0,"",INDEX(Bank!$B:$B,B43))</f>
        <v/>
      </c>
      <c r="F43" s="5" t="str">
        <f aca="false">IF(B43=0,"",IF(INDEX(Bank!$C:$C,B43)="","",INDEX(Bank!$C:$C,B43)))</f>
        <v/>
      </c>
      <c r="G43" s="19" t="str">
        <f aca="false">IF(B43=0,"",INDEX(Bank!$E:$E,B43))</f>
        <v/>
      </c>
      <c r="H43" s="5" t="str">
        <f aca="false">IF(B43=0,"",IF(INDEX(Bank!$H:$H,B43)="","",INDEX(Bank!$H:$H,B43)))</f>
        <v/>
      </c>
      <c r="I43" s="5" t="n">
        <f aca="false">IF(H43="",0,IFERROR(MATCH(H43,GL!$A:$A,0),0))</f>
        <v>0</v>
      </c>
      <c r="J43" s="32" t="str">
        <f aca="false">IF(I43=0,"",INDEX(GL!$B:$B,I43))</f>
        <v/>
      </c>
      <c r="K43" s="5" t="str">
        <f aca="false">IF(I43=0,"",IF(INDEX(GL!$C:$C,I43)="","",INDEX(GL!$C:$C,I43)))</f>
        <v/>
      </c>
      <c r="L43" s="19" t="str">
        <f aca="false">IF(I43=0,"",INDEX(GL!$E:$E,I43))</f>
        <v/>
      </c>
      <c r="M43" s="19" t="str">
        <f aca="false">IF(OR(B43=0,I43=0),"",ROUND(G43-L43,2))</f>
        <v/>
      </c>
      <c r="N43" s="5" t="str">
        <f aca="false">IF(A43="","",IF(B43=0,"NOT FOUND: bank ID",IF(I43=0,"NOT FOUND: GL ID",IF(INDEX(GL!$H:$H,I43)&lt;&gt;A43,"BROKEN: GL points elsewhere",IF(OR(INDEX(Bank!$F:$F,B43)&lt;&gt;"Y",INDEX(GL!$F:$F,I43)&lt;&gt;"Y"),"BROKEN: Status not Y","OK")))))</f>
        <v/>
      </c>
    </row>
    <row r="44" customFormat="false" ht="15" hidden="false" customHeight="false" outlineLevel="0" collapsed="false">
      <c r="A44" s="41"/>
      <c r="B44" s="5" t="n">
        <f aca="false">IF(A44="",0,IFERROR(MATCH(A44,Bank!$A:$A,0),0))</f>
        <v>0</v>
      </c>
      <c r="C44" s="5" t="str">
        <f aca="false">IF(B44=0,"",IF(INDEX(Bank!$G:$G,B44)="","",INDEX(Bank!$G:$G,B44)))</f>
        <v/>
      </c>
      <c r="D44" s="5" t="str">
        <f aca="false">IF(B44=0,"",IF(INDEX(Bank!$J:$J,B44)="","",INDEX(Bank!$J:$J,B44)))</f>
        <v/>
      </c>
      <c r="E44" s="32" t="str">
        <f aca="false">IF(B44=0,"",INDEX(Bank!$B:$B,B44))</f>
        <v/>
      </c>
      <c r="F44" s="5" t="str">
        <f aca="false">IF(B44=0,"",IF(INDEX(Bank!$C:$C,B44)="","",INDEX(Bank!$C:$C,B44)))</f>
        <v/>
      </c>
      <c r="G44" s="19" t="str">
        <f aca="false">IF(B44=0,"",INDEX(Bank!$E:$E,B44))</f>
        <v/>
      </c>
      <c r="H44" s="5" t="str">
        <f aca="false">IF(B44=0,"",IF(INDEX(Bank!$H:$H,B44)="","",INDEX(Bank!$H:$H,B44)))</f>
        <v/>
      </c>
      <c r="I44" s="5" t="n">
        <f aca="false">IF(H44="",0,IFERROR(MATCH(H44,GL!$A:$A,0),0))</f>
        <v>0</v>
      </c>
      <c r="J44" s="32" t="str">
        <f aca="false">IF(I44=0,"",INDEX(GL!$B:$B,I44))</f>
        <v/>
      </c>
      <c r="K44" s="5" t="str">
        <f aca="false">IF(I44=0,"",IF(INDEX(GL!$C:$C,I44)="","",INDEX(GL!$C:$C,I44)))</f>
        <v/>
      </c>
      <c r="L44" s="19" t="str">
        <f aca="false">IF(I44=0,"",INDEX(GL!$E:$E,I44))</f>
        <v/>
      </c>
      <c r="M44" s="19" t="str">
        <f aca="false">IF(OR(B44=0,I44=0),"",ROUND(G44-L44,2))</f>
        <v/>
      </c>
      <c r="N44" s="5" t="str">
        <f aca="false">IF(A44="","",IF(B44=0,"NOT FOUND: bank ID",IF(I44=0,"NOT FOUND: GL ID",IF(INDEX(GL!$H:$H,I44)&lt;&gt;A44,"BROKEN: GL points elsewhere",IF(OR(INDEX(Bank!$F:$F,B44)&lt;&gt;"Y",INDEX(GL!$F:$F,I44)&lt;&gt;"Y"),"BROKEN: Status not Y","OK")))))</f>
        <v/>
      </c>
    </row>
    <row r="45" customFormat="false" ht="15" hidden="false" customHeight="false" outlineLevel="0" collapsed="false">
      <c r="A45" s="41"/>
      <c r="B45" s="5" t="n">
        <f aca="false">IF(A45="",0,IFERROR(MATCH(A45,Bank!$A:$A,0),0))</f>
        <v>0</v>
      </c>
      <c r="C45" s="5" t="str">
        <f aca="false">IF(B45=0,"",IF(INDEX(Bank!$G:$G,B45)="","",INDEX(Bank!$G:$G,B45)))</f>
        <v/>
      </c>
      <c r="D45" s="5" t="str">
        <f aca="false">IF(B45=0,"",IF(INDEX(Bank!$J:$J,B45)="","",INDEX(Bank!$J:$J,B45)))</f>
        <v/>
      </c>
      <c r="E45" s="32" t="str">
        <f aca="false">IF(B45=0,"",INDEX(Bank!$B:$B,B45))</f>
        <v/>
      </c>
      <c r="F45" s="5" t="str">
        <f aca="false">IF(B45=0,"",IF(INDEX(Bank!$C:$C,B45)="","",INDEX(Bank!$C:$C,B45)))</f>
        <v/>
      </c>
      <c r="G45" s="19" t="str">
        <f aca="false">IF(B45=0,"",INDEX(Bank!$E:$E,B45))</f>
        <v/>
      </c>
      <c r="H45" s="5" t="str">
        <f aca="false">IF(B45=0,"",IF(INDEX(Bank!$H:$H,B45)="","",INDEX(Bank!$H:$H,B45)))</f>
        <v/>
      </c>
      <c r="I45" s="5" t="n">
        <f aca="false">IF(H45="",0,IFERROR(MATCH(H45,GL!$A:$A,0),0))</f>
        <v>0</v>
      </c>
      <c r="J45" s="32" t="str">
        <f aca="false">IF(I45=0,"",INDEX(GL!$B:$B,I45))</f>
        <v/>
      </c>
      <c r="K45" s="5" t="str">
        <f aca="false">IF(I45=0,"",IF(INDEX(GL!$C:$C,I45)="","",INDEX(GL!$C:$C,I45)))</f>
        <v/>
      </c>
      <c r="L45" s="19" t="str">
        <f aca="false">IF(I45=0,"",INDEX(GL!$E:$E,I45))</f>
        <v/>
      </c>
      <c r="M45" s="19" t="str">
        <f aca="false">IF(OR(B45=0,I45=0),"",ROUND(G45-L45,2))</f>
        <v/>
      </c>
      <c r="N45" s="5" t="str">
        <f aca="false">IF(A45="","",IF(B45=0,"NOT FOUND: bank ID",IF(I45=0,"NOT FOUND: GL ID",IF(INDEX(GL!$H:$H,I45)&lt;&gt;A45,"BROKEN: GL points elsewhere",IF(OR(INDEX(Bank!$F:$F,B45)&lt;&gt;"Y",INDEX(GL!$F:$F,I45)&lt;&gt;"Y"),"BROKEN: Status not Y","OK")))))</f>
        <v/>
      </c>
    </row>
    <row r="46" customFormat="false" ht="15" hidden="false" customHeight="false" outlineLevel="0" collapsed="false">
      <c r="A46" s="41"/>
      <c r="B46" s="5" t="n">
        <f aca="false">IF(A46="",0,IFERROR(MATCH(A46,Bank!$A:$A,0),0))</f>
        <v>0</v>
      </c>
      <c r="C46" s="5" t="str">
        <f aca="false">IF(B46=0,"",IF(INDEX(Bank!$G:$G,B46)="","",INDEX(Bank!$G:$G,B46)))</f>
        <v/>
      </c>
      <c r="D46" s="5" t="str">
        <f aca="false">IF(B46=0,"",IF(INDEX(Bank!$J:$J,B46)="","",INDEX(Bank!$J:$J,B46)))</f>
        <v/>
      </c>
      <c r="E46" s="32" t="str">
        <f aca="false">IF(B46=0,"",INDEX(Bank!$B:$B,B46))</f>
        <v/>
      </c>
      <c r="F46" s="5" t="str">
        <f aca="false">IF(B46=0,"",IF(INDEX(Bank!$C:$C,B46)="","",INDEX(Bank!$C:$C,B46)))</f>
        <v/>
      </c>
      <c r="G46" s="19" t="str">
        <f aca="false">IF(B46=0,"",INDEX(Bank!$E:$E,B46))</f>
        <v/>
      </c>
      <c r="H46" s="5" t="str">
        <f aca="false">IF(B46=0,"",IF(INDEX(Bank!$H:$H,B46)="","",INDEX(Bank!$H:$H,B46)))</f>
        <v/>
      </c>
      <c r="I46" s="5" t="n">
        <f aca="false">IF(H46="",0,IFERROR(MATCH(H46,GL!$A:$A,0),0))</f>
        <v>0</v>
      </c>
      <c r="J46" s="32" t="str">
        <f aca="false">IF(I46=0,"",INDEX(GL!$B:$B,I46))</f>
        <v/>
      </c>
      <c r="K46" s="5" t="str">
        <f aca="false">IF(I46=0,"",IF(INDEX(GL!$C:$C,I46)="","",INDEX(GL!$C:$C,I46)))</f>
        <v/>
      </c>
      <c r="L46" s="19" t="str">
        <f aca="false">IF(I46=0,"",INDEX(GL!$E:$E,I46))</f>
        <v/>
      </c>
      <c r="M46" s="19" t="str">
        <f aca="false">IF(OR(B46=0,I46=0),"",ROUND(G46-L46,2))</f>
        <v/>
      </c>
      <c r="N46" s="5" t="str">
        <f aca="false">IF(A46="","",IF(B46=0,"NOT FOUND: bank ID",IF(I46=0,"NOT FOUND: GL ID",IF(INDEX(GL!$H:$H,I46)&lt;&gt;A46,"BROKEN: GL points elsewhere",IF(OR(INDEX(Bank!$F:$F,B46)&lt;&gt;"Y",INDEX(GL!$F:$F,I46)&lt;&gt;"Y"),"BROKEN: Status not Y","OK")))))</f>
        <v/>
      </c>
    </row>
    <row r="47" customFormat="false" ht="15" hidden="false" customHeight="false" outlineLevel="0" collapsed="false">
      <c r="A47" s="41"/>
      <c r="B47" s="5" t="n">
        <f aca="false">IF(A47="",0,IFERROR(MATCH(A47,Bank!$A:$A,0),0))</f>
        <v>0</v>
      </c>
      <c r="C47" s="5" t="str">
        <f aca="false">IF(B47=0,"",IF(INDEX(Bank!$G:$G,B47)="","",INDEX(Bank!$G:$G,B47)))</f>
        <v/>
      </c>
      <c r="D47" s="5" t="str">
        <f aca="false">IF(B47=0,"",IF(INDEX(Bank!$J:$J,B47)="","",INDEX(Bank!$J:$J,B47)))</f>
        <v/>
      </c>
      <c r="E47" s="32" t="str">
        <f aca="false">IF(B47=0,"",INDEX(Bank!$B:$B,B47))</f>
        <v/>
      </c>
      <c r="F47" s="5" t="str">
        <f aca="false">IF(B47=0,"",IF(INDEX(Bank!$C:$C,B47)="","",INDEX(Bank!$C:$C,B47)))</f>
        <v/>
      </c>
      <c r="G47" s="19" t="str">
        <f aca="false">IF(B47=0,"",INDEX(Bank!$E:$E,B47))</f>
        <v/>
      </c>
      <c r="H47" s="5" t="str">
        <f aca="false">IF(B47=0,"",IF(INDEX(Bank!$H:$H,B47)="","",INDEX(Bank!$H:$H,B47)))</f>
        <v/>
      </c>
      <c r="I47" s="5" t="n">
        <f aca="false">IF(H47="",0,IFERROR(MATCH(H47,GL!$A:$A,0),0))</f>
        <v>0</v>
      </c>
      <c r="J47" s="32" t="str">
        <f aca="false">IF(I47=0,"",INDEX(GL!$B:$B,I47))</f>
        <v/>
      </c>
      <c r="K47" s="5" t="str">
        <f aca="false">IF(I47=0,"",IF(INDEX(GL!$C:$C,I47)="","",INDEX(GL!$C:$C,I47)))</f>
        <v/>
      </c>
      <c r="L47" s="19" t="str">
        <f aca="false">IF(I47=0,"",INDEX(GL!$E:$E,I47))</f>
        <v/>
      </c>
      <c r="M47" s="19" t="str">
        <f aca="false">IF(OR(B47=0,I47=0),"",ROUND(G47-L47,2))</f>
        <v/>
      </c>
      <c r="N47" s="5" t="str">
        <f aca="false">IF(A47="","",IF(B47=0,"NOT FOUND: bank ID",IF(I47=0,"NOT FOUND: GL ID",IF(INDEX(GL!$H:$H,I47)&lt;&gt;A47,"BROKEN: GL points elsewhere",IF(OR(INDEX(Bank!$F:$F,B47)&lt;&gt;"Y",INDEX(GL!$F:$F,I47)&lt;&gt;"Y"),"BROKEN: Status not Y","OK")))))</f>
        <v/>
      </c>
    </row>
    <row r="48" customFormat="false" ht="15" hidden="false" customHeight="false" outlineLevel="0" collapsed="false">
      <c r="A48" s="41"/>
      <c r="B48" s="5" t="n">
        <f aca="false">IF(A48="",0,IFERROR(MATCH(A48,Bank!$A:$A,0),0))</f>
        <v>0</v>
      </c>
      <c r="C48" s="5" t="str">
        <f aca="false">IF(B48=0,"",IF(INDEX(Bank!$G:$G,B48)="","",INDEX(Bank!$G:$G,B48)))</f>
        <v/>
      </c>
      <c r="D48" s="5" t="str">
        <f aca="false">IF(B48=0,"",IF(INDEX(Bank!$J:$J,B48)="","",INDEX(Bank!$J:$J,B48)))</f>
        <v/>
      </c>
      <c r="E48" s="32" t="str">
        <f aca="false">IF(B48=0,"",INDEX(Bank!$B:$B,B48))</f>
        <v/>
      </c>
      <c r="F48" s="5" t="str">
        <f aca="false">IF(B48=0,"",IF(INDEX(Bank!$C:$C,B48)="","",INDEX(Bank!$C:$C,B48)))</f>
        <v/>
      </c>
      <c r="G48" s="19" t="str">
        <f aca="false">IF(B48=0,"",INDEX(Bank!$E:$E,B48))</f>
        <v/>
      </c>
      <c r="H48" s="5" t="str">
        <f aca="false">IF(B48=0,"",IF(INDEX(Bank!$H:$H,B48)="","",INDEX(Bank!$H:$H,B48)))</f>
        <v/>
      </c>
      <c r="I48" s="5" t="n">
        <f aca="false">IF(H48="",0,IFERROR(MATCH(H48,GL!$A:$A,0),0))</f>
        <v>0</v>
      </c>
      <c r="J48" s="32" t="str">
        <f aca="false">IF(I48=0,"",INDEX(GL!$B:$B,I48))</f>
        <v/>
      </c>
      <c r="K48" s="5" t="str">
        <f aca="false">IF(I48=0,"",IF(INDEX(GL!$C:$C,I48)="","",INDEX(GL!$C:$C,I48)))</f>
        <v/>
      </c>
      <c r="L48" s="19" t="str">
        <f aca="false">IF(I48=0,"",INDEX(GL!$E:$E,I48))</f>
        <v/>
      </c>
      <c r="M48" s="19" t="str">
        <f aca="false">IF(OR(B48=0,I48=0),"",ROUND(G48-L48,2))</f>
        <v/>
      </c>
      <c r="N48" s="5" t="str">
        <f aca="false">IF(A48="","",IF(B48=0,"NOT FOUND: bank ID",IF(I48=0,"NOT FOUND: GL ID",IF(INDEX(GL!$H:$H,I48)&lt;&gt;A48,"BROKEN: GL points elsewhere",IF(OR(INDEX(Bank!$F:$F,B48)&lt;&gt;"Y",INDEX(GL!$F:$F,I48)&lt;&gt;"Y"),"BROKEN: Status not Y","OK")))))</f>
        <v/>
      </c>
    </row>
    <row r="49" customFormat="false" ht="15" hidden="false" customHeight="false" outlineLevel="0" collapsed="false">
      <c r="A49" s="41"/>
      <c r="B49" s="5" t="n">
        <f aca="false">IF(A49="",0,IFERROR(MATCH(A49,Bank!$A:$A,0),0))</f>
        <v>0</v>
      </c>
      <c r="C49" s="5" t="str">
        <f aca="false">IF(B49=0,"",IF(INDEX(Bank!$G:$G,B49)="","",INDEX(Bank!$G:$G,B49)))</f>
        <v/>
      </c>
      <c r="D49" s="5" t="str">
        <f aca="false">IF(B49=0,"",IF(INDEX(Bank!$J:$J,B49)="","",INDEX(Bank!$J:$J,B49)))</f>
        <v/>
      </c>
      <c r="E49" s="32" t="str">
        <f aca="false">IF(B49=0,"",INDEX(Bank!$B:$B,B49))</f>
        <v/>
      </c>
      <c r="F49" s="5" t="str">
        <f aca="false">IF(B49=0,"",IF(INDEX(Bank!$C:$C,B49)="","",INDEX(Bank!$C:$C,B49)))</f>
        <v/>
      </c>
      <c r="G49" s="19" t="str">
        <f aca="false">IF(B49=0,"",INDEX(Bank!$E:$E,B49))</f>
        <v/>
      </c>
      <c r="H49" s="5" t="str">
        <f aca="false">IF(B49=0,"",IF(INDEX(Bank!$H:$H,B49)="","",INDEX(Bank!$H:$H,B49)))</f>
        <v/>
      </c>
      <c r="I49" s="5" t="n">
        <f aca="false">IF(H49="",0,IFERROR(MATCH(H49,GL!$A:$A,0),0))</f>
        <v>0</v>
      </c>
      <c r="J49" s="32" t="str">
        <f aca="false">IF(I49=0,"",INDEX(GL!$B:$B,I49))</f>
        <v/>
      </c>
      <c r="K49" s="5" t="str">
        <f aca="false">IF(I49=0,"",IF(INDEX(GL!$C:$C,I49)="","",INDEX(GL!$C:$C,I49)))</f>
        <v/>
      </c>
      <c r="L49" s="19" t="str">
        <f aca="false">IF(I49=0,"",INDEX(GL!$E:$E,I49))</f>
        <v/>
      </c>
      <c r="M49" s="19" t="str">
        <f aca="false">IF(OR(B49=0,I49=0),"",ROUND(G49-L49,2))</f>
        <v/>
      </c>
      <c r="N49" s="5" t="str">
        <f aca="false">IF(A49="","",IF(B49=0,"NOT FOUND: bank ID",IF(I49=0,"NOT FOUND: GL ID",IF(INDEX(GL!$H:$H,I49)&lt;&gt;A49,"BROKEN: GL points elsewhere",IF(OR(INDEX(Bank!$F:$F,B49)&lt;&gt;"Y",INDEX(GL!$F:$F,I49)&lt;&gt;"Y"),"BROKEN: Status not Y","OK")))))</f>
        <v/>
      </c>
    </row>
    <row r="50" customFormat="false" ht="15" hidden="false" customHeight="false" outlineLevel="0" collapsed="false">
      <c r="A50" s="41"/>
      <c r="B50" s="5" t="n">
        <f aca="false">IF(A50="",0,IFERROR(MATCH(A50,Bank!$A:$A,0),0))</f>
        <v>0</v>
      </c>
      <c r="C50" s="5" t="str">
        <f aca="false">IF(B50=0,"",IF(INDEX(Bank!$G:$G,B50)="","",INDEX(Bank!$G:$G,B50)))</f>
        <v/>
      </c>
      <c r="D50" s="5" t="str">
        <f aca="false">IF(B50=0,"",IF(INDEX(Bank!$J:$J,B50)="","",INDEX(Bank!$J:$J,B50)))</f>
        <v/>
      </c>
      <c r="E50" s="32" t="str">
        <f aca="false">IF(B50=0,"",INDEX(Bank!$B:$B,B50))</f>
        <v/>
      </c>
      <c r="F50" s="5" t="str">
        <f aca="false">IF(B50=0,"",IF(INDEX(Bank!$C:$C,B50)="","",INDEX(Bank!$C:$C,B50)))</f>
        <v/>
      </c>
      <c r="G50" s="19" t="str">
        <f aca="false">IF(B50=0,"",INDEX(Bank!$E:$E,B50))</f>
        <v/>
      </c>
      <c r="H50" s="5" t="str">
        <f aca="false">IF(B50=0,"",IF(INDEX(Bank!$H:$H,B50)="","",INDEX(Bank!$H:$H,B50)))</f>
        <v/>
      </c>
      <c r="I50" s="5" t="n">
        <f aca="false">IF(H50="",0,IFERROR(MATCH(H50,GL!$A:$A,0),0))</f>
        <v>0</v>
      </c>
      <c r="J50" s="32" t="str">
        <f aca="false">IF(I50=0,"",INDEX(GL!$B:$B,I50))</f>
        <v/>
      </c>
      <c r="K50" s="5" t="str">
        <f aca="false">IF(I50=0,"",IF(INDEX(GL!$C:$C,I50)="","",INDEX(GL!$C:$C,I50)))</f>
        <v/>
      </c>
      <c r="L50" s="19" t="str">
        <f aca="false">IF(I50=0,"",INDEX(GL!$E:$E,I50))</f>
        <v/>
      </c>
      <c r="M50" s="19" t="str">
        <f aca="false">IF(OR(B50=0,I50=0),"",ROUND(G50-L50,2))</f>
        <v/>
      </c>
      <c r="N50" s="5" t="str">
        <f aca="false">IF(A50="","",IF(B50=0,"NOT FOUND: bank ID",IF(I50=0,"NOT FOUND: GL ID",IF(INDEX(GL!$H:$H,I50)&lt;&gt;A50,"BROKEN: GL points elsewhere",IF(OR(INDEX(Bank!$F:$F,B50)&lt;&gt;"Y",INDEX(GL!$F:$F,I50)&lt;&gt;"Y"),"BROKEN: Status not Y","OK")))))</f>
        <v/>
      </c>
    </row>
    <row r="51" customFormat="false" ht="15" hidden="false" customHeight="false" outlineLevel="0" collapsed="false">
      <c r="A51" s="41"/>
      <c r="B51" s="5" t="n">
        <f aca="false">IF(A51="",0,IFERROR(MATCH(A51,Bank!$A:$A,0),0))</f>
        <v>0</v>
      </c>
      <c r="C51" s="5" t="str">
        <f aca="false">IF(B51=0,"",IF(INDEX(Bank!$G:$G,B51)="","",INDEX(Bank!$G:$G,B51)))</f>
        <v/>
      </c>
      <c r="D51" s="5" t="str">
        <f aca="false">IF(B51=0,"",IF(INDEX(Bank!$J:$J,B51)="","",INDEX(Bank!$J:$J,B51)))</f>
        <v/>
      </c>
      <c r="E51" s="32" t="str">
        <f aca="false">IF(B51=0,"",INDEX(Bank!$B:$B,B51))</f>
        <v/>
      </c>
      <c r="F51" s="5" t="str">
        <f aca="false">IF(B51=0,"",IF(INDEX(Bank!$C:$C,B51)="","",INDEX(Bank!$C:$C,B51)))</f>
        <v/>
      </c>
      <c r="G51" s="19" t="str">
        <f aca="false">IF(B51=0,"",INDEX(Bank!$E:$E,B51))</f>
        <v/>
      </c>
      <c r="H51" s="5" t="str">
        <f aca="false">IF(B51=0,"",IF(INDEX(Bank!$H:$H,B51)="","",INDEX(Bank!$H:$H,B51)))</f>
        <v/>
      </c>
      <c r="I51" s="5" t="n">
        <f aca="false">IF(H51="",0,IFERROR(MATCH(H51,GL!$A:$A,0),0))</f>
        <v>0</v>
      </c>
      <c r="J51" s="32" t="str">
        <f aca="false">IF(I51=0,"",INDEX(GL!$B:$B,I51))</f>
        <v/>
      </c>
      <c r="K51" s="5" t="str">
        <f aca="false">IF(I51=0,"",IF(INDEX(GL!$C:$C,I51)="","",INDEX(GL!$C:$C,I51)))</f>
        <v/>
      </c>
      <c r="L51" s="19" t="str">
        <f aca="false">IF(I51=0,"",INDEX(GL!$E:$E,I51))</f>
        <v/>
      </c>
      <c r="M51" s="19" t="str">
        <f aca="false">IF(OR(B51=0,I51=0),"",ROUND(G51-L51,2))</f>
        <v/>
      </c>
      <c r="N51" s="5" t="str">
        <f aca="false">IF(A51="","",IF(B51=0,"NOT FOUND: bank ID",IF(I51=0,"NOT FOUND: GL ID",IF(INDEX(GL!$H:$H,I51)&lt;&gt;A51,"BROKEN: GL points elsewhere",IF(OR(INDEX(Bank!$F:$F,B51)&lt;&gt;"Y",INDEX(GL!$F:$F,I51)&lt;&gt;"Y"),"BROKEN: Status not Y","OK")))))</f>
        <v/>
      </c>
    </row>
    <row r="52" customFormat="false" ht="15" hidden="false" customHeight="false" outlineLevel="0" collapsed="false">
      <c r="A52" s="41"/>
      <c r="B52" s="5" t="n">
        <f aca="false">IF(A52="",0,IFERROR(MATCH(A52,Bank!$A:$A,0),0))</f>
        <v>0</v>
      </c>
      <c r="C52" s="5" t="str">
        <f aca="false">IF(B52=0,"",IF(INDEX(Bank!$G:$G,B52)="","",INDEX(Bank!$G:$G,B52)))</f>
        <v/>
      </c>
      <c r="D52" s="5" t="str">
        <f aca="false">IF(B52=0,"",IF(INDEX(Bank!$J:$J,B52)="","",INDEX(Bank!$J:$J,B52)))</f>
        <v/>
      </c>
      <c r="E52" s="32" t="str">
        <f aca="false">IF(B52=0,"",INDEX(Bank!$B:$B,B52))</f>
        <v/>
      </c>
      <c r="F52" s="5" t="str">
        <f aca="false">IF(B52=0,"",IF(INDEX(Bank!$C:$C,B52)="","",INDEX(Bank!$C:$C,B52)))</f>
        <v/>
      </c>
      <c r="G52" s="19" t="str">
        <f aca="false">IF(B52=0,"",INDEX(Bank!$E:$E,B52))</f>
        <v/>
      </c>
      <c r="H52" s="5" t="str">
        <f aca="false">IF(B52=0,"",IF(INDEX(Bank!$H:$H,B52)="","",INDEX(Bank!$H:$H,B52)))</f>
        <v/>
      </c>
      <c r="I52" s="5" t="n">
        <f aca="false">IF(H52="",0,IFERROR(MATCH(H52,GL!$A:$A,0),0))</f>
        <v>0</v>
      </c>
      <c r="J52" s="32" t="str">
        <f aca="false">IF(I52=0,"",INDEX(GL!$B:$B,I52))</f>
        <v/>
      </c>
      <c r="K52" s="5" t="str">
        <f aca="false">IF(I52=0,"",IF(INDEX(GL!$C:$C,I52)="","",INDEX(GL!$C:$C,I52)))</f>
        <v/>
      </c>
      <c r="L52" s="19" t="str">
        <f aca="false">IF(I52=0,"",INDEX(GL!$E:$E,I52))</f>
        <v/>
      </c>
      <c r="M52" s="19" t="str">
        <f aca="false">IF(OR(B52=0,I52=0),"",ROUND(G52-L52,2))</f>
        <v/>
      </c>
      <c r="N52" s="5" t="str">
        <f aca="false">IF(A52="","",IF(B52=0,"NOT FOUND: bank ID",IF(I52=0,"NOT FOUND: GL ID",IF(INDEX(GL!$H:$H,I52)&lt;&gt;A52,"BROKEN: GL points elsewhere",IF(OR(INDEX(Bank!$F:$F,B52)&lt;&gt;"Y",INDEX(GL!$F:$F,I52)&lt;&gt;"Y"),"BROKEN: Status not Y","OK")))))</f>
        <v/>
      </c>
    </row>
    <row r="53" customFormat="false" ht="15" hidden="false" customHeight="false" outlineLevel="0" collapsed="false">
      <c r="A53" s="41"/>
      <c r="B53" s="5" t="n">
        <f aca="false">IF(A53="",0,IFERROR(MATCH(A53,Bank!$A:$A,0),0))</f>
        <v>0</v>
      </c>
      <c r="C53" s="5" t="str">
        <f aca="false">IF(B53=0,"",IF(INDEX(Bank!$G:$G,B53)="","",INDEX(Bank!$G:$G,B53)))</f>
        <v/>
      </c>
      <c r="D53" s="5" t="str">
        <f aca="false">IF(B53=0,"",IF(INDEX(Bank!$J:$J,B53)="","",INDEX(Bank!$J:$J,B53)))</f>
        <v/>
      </c>
      <c r="E53" s="32" t="str">
        <f aca="false">IF(B53=0,"",INDEX(Bank!$B:$B,B53))</f>
        <v/>
      </c>
      <c r="F53" s="5" t="str">
        <f aca="false">IF(B53=0,"",IF(INDEX(Bank!$C:$C,B53)="","",INDEX(Bank!$C:$C,B53)))</f>
        <v/>
      </c>
      <c r="G53" s="19" t="str">
        <f aca="false">IF(B53=0,"",INDEX(Bank!$E:$E,B53))</f>
        <v/>
      </c>
      <c r="H53" s="5" t="str">
        <f aca="false">IF(B53=0,"",IF(INDEX(Bank!$H:$H,B53)="","",INDEX(Bank!$H:$H,B53)))</f>
        <v/>
      </c>
      <c r="I53" s="5" t="n">
        <f aca="false">IF(H53="",0,IFERROR(MATCH(H53,GL!$A:$A,0),0))</f>
        <v>0</v>
      </c>
      <c r="J53" s="32" t="str">
        <f aca="false">IF(I53=0,"",INDEX(GL!$B:$B,I53))</f>
        <v/>
      </c>
      <c r="K53" s="5" t="str">
        <f aca="false">IF(I53=0,"",IF(INDEX(GL!$C:$C,I53)="","",INDEX(GL!$C:$C,I53)))</f>
        <v/>
      </c>
      <c r="L53" s="19" t="str">
        <f aca="false">IF(I53=0,"",INDEX(GL!$E:$E,I53))</f>
        <v/>
      </c>
      <c r="M53" s="19" t="str">
        <f aca="false">IF(OR(B53=0,I53=0),"",ROUND(G53-L53,2))</f>
        <v/>
      </c>
      <c r="N53" s="5" t="str">
        <f aca="false">IF(A53="","",IF(B53=0,"NOT FOUND: bank ID",IF(I53=0,"NOT FOUND: GL ID",IF(INDEX(GL!$H:$H,I53)&lt;&gt;A53,"BROKEN: GL points elsewhere",IF(OR(INDEX(Bank!$F:$F,B53)&lt;&gt;"Y",INDEX(GL!$F:$F,I53)&lt;&gt;"Y"),"BROKEN: Status not Y","OK")))))</f>
        <v/>
      </c>
    </row>
    <row r="54" customFormat="false" ht="15" hidden="false" customHeight="false" outlineLevel="0" collapsed="false">
      <c r="A54" s="41"/>
      <c r="B54" s="5" t="n">
        <f aca="false">IF(A54="",0,IFERROR(MATCH(A54,Bank!$A:$A,0),0))</f>
        <v>0</v>
      </c>
      <c r="C54" s="5" t="str">
        <f aca="false">IF(B54=0,"",IF(INDEX(Bank!$G:$G,B54)="","",INDEX(Bank!$G:$G,B54)))</f>
        <v/>
      </c>
      <c r="D54" s="5" t="str">
        <f aca="false">IF(B54=0,"",IF(INDEX(Bank!$J:$J,B54)="","",INDEX(Bank!$J:$J,B54)))</f>
        <v/>
      </c>
      <c r="E54" s="32" t="str">
        <f aca="false">IF(B54=0,"",INDEX(Bank!$B:$B,B54))</f>
        <v/>
      </c>
      <c r="F54" s="5" t="str">
        <f aca="false">IF(B54=0,"",IF(INDEX(Bank!$C:$C,B54)="","",INDEX(Bank!$C:$C,B54)))</f>
        <v/>
      </c>
      <c r="G54" s="19" t="str">
        <f aca="false">IF(B54=0,"",INDEX(Bank!$E:$E,B54))</f>
        <v/>
      </c>
      <c r="H54" s="5" t="str">
        <f aca="false">IF(B54=0,"",IF(INDEX(Bank!$H:$H,B54)="","",INDEX(Bank!$H:$H,B54)))</f>
        <v/>
      </c>
      <c r="I54" s="5" t="n">
        <f aca="false">IF(H54="",0,IFERROR(MATCH(H54,GL!$A:$A,0),0))</f>
        <v>0</v>
      </c>
      <c r="J54" s="32" t="str">
        <f aca="false">IF(I54=0,"",INDEX(GL!$B:$B,I54))</f>
        <v/>
      </c>
      <c r="K54" s="5" t="str">
        <f aca="false">IF(I54=0,"",IF(INDEX(GL!$C:$C,I54)="","",INDEX(GL!$C:$C,I54)))</f>
        <v/>
      </c>
      <c r="L54" s="19" t="str">
        <f aca="false">IF(I54=0,"",INDEX(GL!$E:$E,I54))</f>
        <v/>
      </c>
      <c r="M54" s="19" t="str">
        <f aca="false">IF(OR(B54=0,I54=0),"",ROUND(G54-L54,2))</f>
        <v/>
      </c>
      <c r="N54" s="5" t="str">
        <f aca="false">IF(A54="","",IF(B54=0,"NOT FOUND: bank ID",IF(I54=0,"NOT FOUND: GL ID",IF(INDEX(GL!$H:$H,I54)&lt;&gt;A54,"BROKEN: GL points elsewhere",IF(OR(INDEX(Bank!$F:$F,B54)&lt;&gt;"Y",INDEX(GL!$F:$F,I54)&lt;&gt;"Y"),"BROKEN: Status not Y","OK")))))</f>
        <v/>
      </c>
    </row>
    <row r="55" customFormat="false" ht="15" hidden="false" customHeight="false" outlineLevel="0" collapsed="false">
      <c r="A55" s="41"/>
      <c r="B55" s="5" t="n">
        <f aca="false">IF(A55="",0,IFERROR(MATCH(A55,Bank!$A:$A,0),0))</f>
        <v>0</v>
      </c>
      <c r="C55" s="5" t="str">
        <f aca="false">IF(B55=0,"",IF(INDEX(Bank!$G:$G,B55)="","",INDEX(Bank!$G:$G,B55)))</f>
        <v/>
      </c>
      <c r="D55" s="5" t="str">
        <f aca="false">IF(B55=0,"",IF(INDEX(Bank!$J:$J,B55)="","",INDEX(Bank!$J:$J,B55)))</f>
        <v/>
      </c>
      <c r="E55" s="32" t="str">
        <f aca="false">IF(B55=0,"",INDEX(Bank!$B:$B,B55))</f>
        <v/>
      </c>
      <c r="F55" s="5" t="str">
        <f aca="false">IF(B55=0,"",IF(INDEX(Bank!$C:$C,B55)="","",INDEX(Bank!$C:$C,B55)))</f>
        <v/>
      </c>
      <c r="G55" s="19" t="str">
        <f aca="false">IF(B55=0,"",INDEX(Bank!$E:$E,B55))</f>
        <v/>
      </c>
      <c r="H55" s="5" t="str">
        <f aca="false">IF(B55=0,"",IF(INDEX(Bank!$H:$H,B55)="","",INDEX(Bank!$H:$H,B55)))</f>
        <v/>
      </c>
      <c r="I55" s="5" t="n">
        <f aca="false">IF(H55="",0,IFERROR(MATCH(H55,GL!$A:$A,0),0))</f>
        <v>0</v>
      </c>
      <c r="J55" s="32" t="str">
        <f aca="false">IF(I55=0,"",INDEX(GL!$B:$B,I55))</f>
        <v/>
      </c>
      <c r="K55" s="5" t="str">
        <f aca="false">IF(I55=0,"",IF(INDEX(GL!$C:$C,I55)="","",INDEX(GL!$C:$C,I55)))</f>
        <v/>
      </c>
      <c r="L55" s="19" t="str">
        <f aca="false">IF(I55=0,"",INDEX(GL!$E:$E,I55))</f>
        <v/>
      </c>
      <c r="M55" s="19" t="str">
        <f aca="false">IF(OR(B55=0,I55=0),"",ROUND(G55-L55,2))</f>
        <v/>
      </c>
      <c r="N55" s="5" t="str">
        <f aca="false">IF(A55="","",IF(B55=0,"NOT FOUND: bank ID",IF(I55=0,"NOT FOUND: GL ID",IF(INDEX(GL!$H:$H,I55)&lt;&gt;A55,"BROKEN: GL points elsewhere",IF(OR(INDEX(Bank!$F:$F,B55)&lt;&gt;"Y",INDEX(GL!$F:$F,I55)&lt;&gt;"Y"),"BROKEN: Status not Y","OK")))))</f>
        <v/>
      </c>
    </row>
    <row r="56" customFormat="false" ht="15" hidden="false" customHeight="false" outlineLevel="0" collapsed="false">
      <c r="A56" s="41"/>
      <c r="B56" s="5" t="n">
        <f aca="false">IF(A56="",0,IFERROR(MATCH(A56,Bank!$A:$A,0),0))</f>
        <v>0</v>
      </c>
      <c r="C56" s="5" t="str">
        <f aca="false">IF(B56=0,"",IF(INDEX(Bank!$G:$G,B56)="","",INDEX(Bank!$G:$G,B56)))</f>
        <v/>
      </c>
      <c r="D56" s="5" t="str">
        <f aca="false">IF(B56=0,"",IF(INDEX(Bank!$J:$J,B56)="","",INDEX(Bank!$J:$J,B56)))</f>
        <v/>
      </c>
      <c r="E56" s="32" t="str">
        <f aca="false">IF(B56=0,"",INDEX(Bank!$B:$B,B56))</f>
        <v/>
      </c>
      <c r="F56" s="5" t="str">
        <f aca="false">IF(B56=0,"",IF(INDEX(Bank!$C:$C,B56)="","",INDEX(Bank!$C:$C,B56)))</f>
        <v/>
      </c>
      <c r="G56" s="19" t="str">
        <f aca="false">IF(B56=0,"",INDEX(Bank!$E:$E,B56))</f>
        <v/>
      </c>
      <c r="H56" s="5" t="str">
        <f aca="false">IF(B56=0,"",IF(INDEX(Bank!$H:$H,B56)="","",INDEX(Bank!$H:$H,B56)))</f>
        <v/>
      </c>
      <c r="I56" s="5" t="n">
        <f aca="false">IF(H56="",0,IFERROR(MATCH(H56,GL!$A:$A,0),0))</f>
        <v>0</v>
      </c>
      <c r="J56" s="32" t="str">
        <f aca="false">IF(I56=0,"",INDEX(GL!$B:$B,I56))</f>
        <v/>
      </c>
      <c r="K56" s="5" t="str">
        <f aca="false">IF(I56=0,"",IF(INDEX(GL!$C:$C,I56)="","",INDEX(GL!$C:$C,I56)))</f>
        <v/>
      </c>
      <c r="L56" s="19" t="str">
        <f aca="false">IF(I56=0,"",INDEX(GL!$E:$E,I56))</f>
        <v/>
      </c>
      <c r="M56" s="19" t="str">
        <f aca="false">IF(OR(B56=0,I56=0),"",ROUND(G56-L56,2))</f>
        <v/>
      </c>
      <c r="N56" s="5" t="str">
        <f aca="false">IF(A56="","",IF(B56=0,"NOT FOUND: bank ID",IF(I56=0,"NOT FOUND: GL ID",IF(INDEX(GL!$H:$H,I56)&lt;&gt;A56,"BROKEN: GL points elsewhere",IF(OR(INDEX(Bank!$F:$F,B56)&lt;&gt;"Y",INDEX(GL!$F:$F,I56)&lt;&gt;"Y"),"BROKEN: Status not Y","OK")))))</f>
        <v/>
      </c>
    </row>
    <row r="57" customFormat="false" ht="15" hidden="false" customHeight="false" outlineLevel="0" collapsed="false">
      <c r="A57" s="41"/>
      <c r="B57" s="5" t="n">
        <f aca="false">IF(A57="",0,IFERROR(MATCH(A57,Bank!$A:$A,0),0))</f>
        <v>0</v>
      </c>
      <c r="C57" s="5" t="str">
        <f aca="false">IF(B57=0,"",IF(INDEX(Bank!$G:$G,B57)="","",INDEX(Bank!$G:$G,B57)))</f>
        <v/>
      </c>
      <c r="D57" s="5" t="str">
        <f aca="false">IF(B57=0,"",IF(INDEX(Bank!$J:$J,B57)="","",INDEX(Bank!$J:$J,B57)))</f>
        <v/>
      </c>
      <c r="E57" s="32" t="str">
        <f aca="false">IF(B57=0,"",INDEX(Bank!$B:$B,B57))</f>
        <v/>
      </c>
      <c r="F57" s="5" t="str">
        <f aca="false">IF(B57=0,"",IF(INDEX(Bank!$C:$C,B57)="","",INDEX(Bank!$C:$C,B57)))</f>
        <v/>
      </c>
      <c r="G57" s="19" t="str">
        <f aca="false">IF(B57=0,"",INDEX(Bank!$E:$E,B57))</f>
        <v/>
      </c>
      <c r="H57" s="5" t="str">
        <f aca="false">IF(B57=0,"",IF(INDEX(Bank!$H:$H,B57)="","",INDEX(Bank!$H:$H,B57)))</f>
        <v/>
      </c>
      <c r="I57" s="5" t="n">
        <f aca="false">IF(H57="",0,IFERROR(MATCH(H57,GL!$A:$A,0),0))</f>
        <v>0</v>
      </c>
      <c r="J57" s="32" t="str">
        <f aca="false">IF(I57=0,"",INDEX(GL!$B:$B,I57))</f>
        <v/>
      </c>
      <c r="K57" s="5" t="str">
        <f aca="false">IF(I57=0,"",IF(INDEX(GL!$C:$C,I57)="","",INDEX(GL!$C:$C,I57)))</f>
        <v/>
      </c>
      <c r="L57" s="19" t="str">
        <f aca="false">IF(I57=0,"",INDEX(GL!$E:$E,I57))</f>
        <v/>
      </c>
      <c r="M57" s="19" t="str">
        <f aca="false">IF(OR(B57=0,I57=0),"",ROUND(G57-L57,2))</f>
        <v/>
      </c>
      <c r="N57" s="5" t="str">
        <f aca="false">IF(A57="","",IF(B57=0,"NOT FOUND: bank ID",IF(I57=0,"NOT FOUND: GL ID",IF(INDEX(GL!$H:$H,I57)&lt;&gt;A57,"BROKEN: GL points elsewhere",IF(OR(INDEX(Bank!$F:$F,B57)&lt;&gt;"Y",INDEX(GL!$F:$F,I57)&lt;&gt;"Y"),"BROKEN: Status not Y","OK")))))</f>
        <v/>
      </c>
    </row>
    <row r="58" customFormat="false" ht="15" hidden="false" customHeight="false" outlineLevel="0" collapsed="false">
      <c r="A58" s="41"/>
      <c r="B58" s="5" t="n">
        <f aca="false">IF(A58="",0,IFERROR(MATCH(A58,Bank!$A:$A,0),0))</f>
        <v>0</v>
      </c>
      <c r="C58" s="5" t="str">
        <f aca="false">IF(B58=0,"",IF(INDEX(Bank!$G:$G,B58)="","",INDEX(Bank!$G:$G,B58)))</f>
        <v/>
      </c>
      <c r="D58" s="5" t="str">
        <f aca="false">IF(B58=0,"",IF(INDEX(Bank!$J:$J,B58)="","",INDEX(Bank!$J:$J,B58)))</f>
        <v/>
      </c>
      <c r="E58" s="32" t="str">
        <f aca="false">IF(B58=0,"",INDEX(Bank!$B:$B,B58))</f>
        <v/>
      </c>
      <c r="F58" s="5" t="str">
        <f aca="false">IF(B58=0,"",IF(INDEX(Bank!$C:$C,B58)="","",INDEX(Bank!$C:$C,B58)))</f>
        <v/>
      </c>
      <c r="G58" s="19" t="str">
        <f aca="false">IF(B58=0,"",INDEX(Bank!$E:$E,B58))</f>
        <v/>
      </c>
      <c r="H58" s="5" t="str">
        <f aca="false">IF(B58=0,"",IF(INDEX(Bank!$H:$H,B58)="","",INDEX(Bank!$H:$H,B58)))</f>
        <v/>
      </c>
      <c r="I58" s="5" t="n">
        <f aca="false">IF(H58="",0,IFERROR(MATCH(H58,GL!$A:$A,0),0))</f>
        <v>0</v>
      </c>
      <c r="J58" s="32" t="str">
        <f aca="false">IF(I58=0,"",INDEX(GL!$B:$B,I58))</f>
        <v/>
      </c>
      <c r="K58" s="5" t="str">
        <f aca="false">IF(I58=0,"",IF(INDEX(GL!$C:$C,I58)="","",INDEX(GL!$C:$C,I58)))</f>
        <v/>
      </c>
      <c r="L58" s="19" t="str">
        <f aca="false">IF(I58=0,"",INDEX(GL!$E:$E,I58))</f>
        <v/>
      </c>
      <c r="M58" s="19" t="str">
        <f aca="false">IF(OR(B58=0,I58=0),"",ROUND(G58-L58,2))</f>
        <v/>
      </c>
      <c r="N58" s="5" t="str">
        <f aca="false">IF(A58="","",IF(B58=0,"NOT FOUND: bank ID",IF(I58=0,"NOT FOUND: GL ID",IF(INDEX(GL!$H:$H,I58)&lt;&gt;A58,"BROKEN: GL points elsewhere",IF(OR(INDEX(Bank!$F:$F,B58)&lt;&gt;"Y",INDEX(GL!$F:$F,I58)&lt;&gt;"Y"),"BROKEN: Status not Y","OK")))))</f>
        <v/>
      </c>
    </row>
    <row r="59" customFormat="false" ht="15" hidden="false" customHeight="false" outlineLevel="0" collapsed="false">
      <c r="A59" s="41"/>
      <c r="B59" s="5" t="n">
        <f aca="false">IF(A59="",0,IFERROR(MATCH(A59,Bank!$A:$A,0),0))</f>
        <v>0</v>
      </c>
      <c r="C59" s="5" t="str">
        <f aca="false">IF(B59=0,"",IF(INDEX(Bank!$G:$G,B59)="","",INDEX(Bank!$G:$G,B59)))</f>
        <v/>
      </c>
      <c r="D59" s="5" t="str">
        <f aca="false">IF(B59=0,"",IF(INDEX(Bank!$J:$J,B59)="","",INDEX(Bank!$J:$J,B59)))</f>
        <v/>
      </c>
      <c r="E59" s="32" t="str">
        <f aca="false">IF(B59=0,"",INDEX(Bank!$B:$B,B59))</f>
        <v/>
      </c>
      <c r="F59" s="5" t="str">
        <f aca="false">IF(B59=0,"",IF(INDEX(Bank!$C:$C,B59)="","",INDEX(Bank!$C:$C,B59)))</f>
        <v/>
      </c>
      <c r="G59" s="19" t="str">
        <f aca="false">IF(B59=0,"",INDEX(Bank!$E:$E,B59))</f>
        <v/>
      </c>
      <c r="H59" s="5" t="str">
        <f aca="false">IF(B59=0,"",IF(INDEX(Bank!$H:$H,B59)="","",INDEX(Bank!$H:$H,B59)))</f>
        <v/>
      </c>
      <c r="I59" s="5" t="n">
        <f aca="false">IF(H59="",0,IFERROR(MATCH(H59,GL!$A:$A,0),0))</f>
        <v>0</v>
      </c>
      <c r="J59" s="32" t="str">
        <f aca="false">IF(I59=0,"",INDEX(GL!$B:$B,I59))</f>
        <v/>
      </c>
      <c r="K59" s="5" t="str">
        <f aca="false">IF(I59=0,"",IF(INDEX(GL!$C:$C,I59)="","",INDEX(GL!$C:$C,I59)))</f>
        <v/>
      </c>
      <c r="L59" s="19" t="str">
        <f aca="false">IF(I59=0,"",INDEX(GL!$E:$E,I59))</f>
        <v/>
      </c>
      <c r="M59" s="19" t="str">
        <f aca="false">IF(OR(B59=0,I59=0),"",ROUND(G59-L59,2))</f>
        <v/>
      </c>
      <c r="N59" s="5" t="str">
        <f aca="false">IF(A59="","",IF(B59=0,"NOT FOUND: bank ID",IF(I59=0,"NOT FOUND: GL ID",IF(INDEX(GL!$H:$H,I59)&lt;&gt;A59,"BROKEN: GL points elsewhere",IF(OR(INDEX(Bank!$F:$F,B59)&lt;&gt;"Y",INDEX(GL!$F:$F,I59)&lt;&gt;"Y"),"BROKEN: Status not Y","OK")))))</f>
        <v/>
      </c>
    </row>
    <row r="60" customFormat="false" ht="15" hidden="false" customHeight="false" outlineLevel="0" collapsed="false">
      <c r="A60" s="41"/>
      <c r="B60" s="5" t="n">
        <f aca="false">IF(A60="",0,IFERROR(MATCH(A60,Bank!$A:$A,0),0))</f>
        <v>0</v>
      </c>
      <c r="C60" s="5" t="str">
        <f aca="false">IF(B60=0,"",IF(INDEX(Bank!$G:$G,B60)="","",INDEX(Bank!$G:$G,B60)))</f>
        <v/>
      </c>
      <c r="D60" s="5" t="str">
        <f aca="false">IF(B60=0,"",IF(INDEX(Bank!$J:$J,B60)="","",INDEX(Bank!$J:$J,B60)))</f>
        <v/>
      </c>
      <c r="E60" s="32" t="str">
        <f aca="false">IF(B60=0,"",INDEX(Bank!$B:$B,B60))</f>
        <v/>
      </c>
      <c r="F60" s="5" t="str">
        <f aca="false">IF(B60=0,"",IF(INDEX(Bank!$C:$C,B60)="","",INDEX(Bank!$C:$C,B60)))</f>
        <v/>
      </c>
      <c r="G60" s="19" t="str">
        <f aca="false">IF(B60=0,"",INDEX(Bank!$E:$E,B60))</f>
        <v/>
      </c>
      <c r="H60" s="5" t="str">
        <f aca="false">IF(B60=0,"",IF(INDEX(Bank!$H:$H,B60)="","",INDEX(Bank!$H:$H,B60)))</f>
        <v/>
      </c>
      <c r="I60" s="5" t="n">
        <f aca="false">IF(H60="",0,IFERROR(MATCH(H60,GL!$A:$A,0),0))</f>
        <v>0</v>
      </c>
      <c r="J60" s="32" t="str">
        <f aca="false">IF(I60=0,"",INDEX(GL!$B:$B,I60))</f>
        <v/>
      </c>
      <c r="K60" s="5" t="str">
        <f aca="false">IF(I60=0,"",IF(INDEX(GL!$C:$C,I60)="","",INDEX(GL!$C:$C,I60)))</f>
        <v/>
      </c>
      <c r="L60" s="19" t="str">
        <f aca="false">IF(I60=0,"",INDEX(GL!$E:$E,I60))</f>
        <v/>
      </c>
      <c r="M60" s="19" t="str">
        <f aca="false">IF(OR(B60=0,I60=0),"",ROUND(G60-L60,2))</f>
        <v/>
      </c>
      <c r="N60" s="5" t="str">
        <f aca="false">IF(A60="","",IF(B60=0,"NOT FOUND: bank ID",IF(I60=0,"NOT FOUND: GL ID",IF(INDEX(GL!$H:$H,I60)&lt;&gt;A60,"BROKEN: GL points elsewhere",IF(OR(INDEX(Bank!$F:$F,B60)&lt;&gt;"Y",INDEX(GL!$F:$F,I60)&lt;&gt;"Y"),"BROKEN: Status not Y","OK")))))</f>
        <v/>
      </c>
    </row>
    <row r="61" customFormat="false" ht="15" hidden="false" customHeight="false" outlineLevel="0" collapsed="false">
      <c r="A61" s="41"/>
      <c r="B61" s="5" t="n">
        <f aca="false">IF(A61="",0,IFERROR(MATCH(A61,Bank!$A:$A,0),0))</f>
        <v>0</v>
      </c>
      <c r="C61" s="5" t="str">
        <f aca="false">IF(B61=0,"",IF(INDEX(Bank!$G:$G,B61)="","",INDEX(Bank!$G:$G,B61)))</f>
        <v/>
      </c>
      <c r="D61" s="5" t="str">
        <f aca="false">IF(B61=0,"",IF(INDEX(Bank!$J:$J,B61)="","",INDEX(Bank!$J:$J,B61)))</f>
        <v/>
      </c>
      <c r="E61" s="32" t="str">
        <f aca="false">IF(B61=0,"",INDEX(Bank!$B:$B,B61))</f>
        <v/>
      </c>
      <c r="F61" s="5" t="str">
        <f aca="false">IF(B61=0,"",IF(INDEX(Bank!$C:$C,B61)="","",INDEX(Bank!$C:$C,B61)))</f>
        <v/>
      </c>
      <c r="G61" s="19" t="str">
        <f aca="false">IF(B61=0,"",INDEX(Bank!$E:$E,B61))</f>
        <v/>
      </c>
      <c r="H61" s="5" t="str">
        <f aca="false">IF(B61=0,"",IF(INDEX(Bank!$H:$H,B61)="","",INDEX(Bank!$H:$H,B61)))</f>
        <v/>
      </c>
      <c r="I61" s="5" t="n">
        <f aca="false">IF(H61="",0,IFERROR(MATCH(H61,GL!$A:$A,0),0))</f>
        <v>0</v>
      </c>
      <c r="J61" s="32" t="str">
        <f aca="false">IF(I61=0,"",INDEX(GL!$B:$B,I61))</f>
        <v/>
      </c>
      <c r="K61" s="5" t="str">
        <f aca="false">IF(I61=0,"",IF(INDEX(GL!$C:$C,I61)="","",INDEX(GL!$C:$C,I61)))</f>
        <v/>
      </c>
      <c r="L61" s="19" t="str">
        <f aca="false">IF(I61=0,"",INDEX(GL!$E:$E,I61))</f>
        <v/>
      </c>
      <c r="M61" s="19" t="str">
        <f aca="false">IF(OR(B61=0,I61=0),"",ROUND(G61-L61,2))</f>
        <v/>
      </c>
      <c r="N61" s="5" t="str">
        <f aca="false">IF(A61="","",IF(B61=0,"NOT FOUND: bank ID",IF(I61=0,"NOT FOUND: GL ID",IF(INDEX(GL!$H:$H,I61)&lt;&gt;A61,"BROKEN: GL points elsewhere",IF(OR(INDEX(Bank!$F:$F,B61)&lt;&gt;"Y",INDEX(GL!$F:$F,I61)&lt;&gt;"Y"),"BROKEN: Status not Y","OK")))))</f>
        <v/>
      </c>
    </row>
    <row r="62" customFormat="false" ht="15" hidden="false" customHeight="false" outlineLevel="0" collapsed="false">
      <c r="A62" s="41"/>
      <c r="B62" s="5" t="n">
        <f aca="false">IF(A62="",0,IFERROR(MATCH(A62,Bank!$A:$A,0),0))</f>
        <v>0</v>
      </c>
      <c r="C62" s="5" t="str">
        <f aca="false">IF(B62=0,"",IF(INDEX(Bank!$G:$G,B62)="","",INDEX(Bank!$G:$G,B62)))</f>
        <v/>
      </c>
      <c r="D62" s="5" t="str">
        <f aca="false">IF(B62=0,"",IF(INDEX(Bank!$J:$J,B62)="","",INDEX(Bank!$J:$J,B62)))</f>
        <v/>
      </c>
      <c r="E62" s="32" t="str">
        <f aca="false">IF(B62=0,"",INDEX(Bank!$B:$B,B62))</f>
        <v/>
      </c>
      <c r="F62" s="5" t="str">
        <f aca="false">IF(B62=0,"",IF(INDEX(Bank!$C:$C,B62)="","",INDEX(Bank!$C:$C,B62)))</f>
        <v/>
      </c>
      <c r="G62" s="19" t="str">
        <f aca="false">IF(B62=0,"",INDEX(Bank!$E:$E,B62))</f>
        <v/>
      </c>
      <c r="H62" s="5" t="str">
        <f aca="false">IF(B62=0,"",IF(INDEX(Bank!$H:$H,B62)="","",INDEX(Bank!$H:$H,B62)))</f>
        <v/>
      </c>
      <c r="I62" s="5" t="n">
        <f aca="false">IF(H62="",0,IFERROR(MATCH(H62,GL!$A:$A,0),0))</f>
        <v>0</v>
      </c>
      <c r="J62" s="32" t="str">
        <f aca="false">IF(I62=0,"",INDEX(GL!$B:$B,I62))</f>
        <v/>
      </c>
      <c r="K62" s="5" t="str">
        <f aca="false">IF(I62=0,"",IF(INDEX(GL!$C:$C,I62)="","",INDEX(GL!$C:$C,I62)))</f>
        <v/>
      </c>
      <c r="L62" s="19" t="str">
        <f aca="false">IF(I62=0,"",INDEX(GL!$E:$E,I62))</f>
        <v/>
      </c>
      <c r="M62" s="19" t="str">
        <f aca="false">IF(OR(B62=0,I62=0),"",ROUND(G62-L62,2))</f>
        <v/>
      </c>
      <c r="N62" s="5" t="str">
        <f aca="false">IF(A62="","",IF(B62=0,"NOT FOUND: bank ID",IF(I62=0,"NOT FOUND: GL ID",IF(INDEX(GL!$H:$H,I62)&lt;&gt;A62,"BROKEN: GL points elsewhere",IF(OR(INDEX(Bank!$F:$F,B62)&lt;&gt;"Y",INDEX(GL!$F:$F,I62)&lt;&gt;"Y"),"BROKEN: Status not Y","OK")))))</f>
        <v/>
      </c>
    </row>
    <row r="63" customFormat="false" ht="15" hidden="false" customHeight="false" outlineLevel="0" collapsed="false">
      <c r="A63" s="41"/>
      <c r="B63" s="5" t="n">
        <f aca="false">IF(A63="",0,IFERROR(MATCH(A63,Bank!$A:$A,0),0))</f>
        <v>0</v>
      </c>
      <c r="C63" s="5" t="str">
        <f aca="false">IF(B63=0,"",IF(INDEX(Bank!$G:$G,B63)="","",INDEX(Bank!$G:$G,B63)))</f>
        <v/>
      </c>
      <c r="D63" s="5" t="str">
        <f aca="false">IF(B63=0,"",IF(INDEX(Bank!$J:$J,B63)="","",INDEX(Bank!$J:$J,B63)))</f>
        <v/>
      </c>
      <c r="E63" s="32" t="str">
        <f aca="false">IF(B63=0,"",INDEX(Bank!$B:$B,B63))</f>
        <v/>
      </c>
      <c r="F63" s="5" t="str">
        <f aca="false">IF(B63=0,"",IF(INDEX(Bank!$C:$C,B63)="","",INDEX(Bank!$C:$C,B63)))</f>
        <v/>
      </c>
      <c r="G63" s="19" t="str">
        <f aca="false">IF(B63=0,"",INDEX(Bank!$E:$E,B63))</f>
        <v/>
      </c>
      <c r="H63" s="5" t="str">
        <f aca="false">IF(B63=0,"",IF(INDEX(Bank!$H:$H,B63)="","",INDEX(Bank!$H:$H,B63)))</f>
        <v/>
      </c>
      <c r="I63" s="5" t="n">
        <f aca="false">IF(H63="",0,IFERROR(MATCH(H63,GL!$A:$A,0),0))</f>
        <v>0</v>
      </c>
      <c r="J63" s="32" t="str">
        <f aca="false">IF(I63=0,"",INDEX(GL!$B:$B,I63))</f>
        <v/>
      </c>
      <c r="K63" s="5" t="str">
        <f aca="false">IF(I63=0,"",IF(INDEX(GL!$C:$C,I63)="","",INDEX(GL!$C:$C,I63)))</f>
        <v/>
      </c>
      <c r="L63" s="19" t="str">
        <f aca="false">IF(I63=0,"",INDEX(GL!$E:$E,I63))</f>
        <v/>
      </c>
      <c r="M63" s="19" t="str">
        <f aca="false">IF(OR(B63=0,I63=0),"",ROUND(G63-L63,2))</f>
        <v/>
      </c>
      <c r="N63" s="5" t="str">
        <f aca="false">IF(A63="","",IF(B63=0,"NOT FOUND: bank ID",IF(I63=0,"NOT FOUND: GL ID",IF(INDEX(GL!$H:$H,I63)&lt;&gt;A63,"BROKEN: GL points elsewhere",IF(OR(INDEX(Bank!$F:$F,B63)&lt;&gt;"Y",INDEX(GL!$F:$F,I63)&lt;&gt;"Y"),"BROKEN: Status not Y","OK")))))</f>
        <v/>
      </c>
    </row>
    <row r="64" customFormat="false" ht="15" hidden="false" customHeight="false" outlineLevel="0" collapsed="false">
      <c r="A64" s="41"/>
      <c r="B64" s="5" t="n">
        <f aca="false">IF(A64="",0,IFERROR(MATCH(A64,Bank!$A:$A,0),0))</f>
        <v>0</v>
      </c>
      <c r="C64" s="5" t="str">
        <f aca="false">IF(B64=0,"",IF(INDEX(Bank!$G:$G,B64)="","",INDEX(Bank!$G:$G,B64)))</f>
        <v/>
      </c>
      <c r="D64" s="5" t="str">
        <f aca="false">IF(B64=0,"",IF(INDEX(Bank!$J:$J,B64)="","",INDEX(Bank!$J:$J,B64)))</f>
        <v/>
      </c>
      <c r="E64" s="32" t="str">
        <f aca="false">IF(B64=0,"",INDEX(Bank!$B:$B,B64))</f>
        <v/>
      </c>
      <c r="F64" s="5" t="str">
        <f aca="false">IF(B64=0,"",IF(INDEX(Bank!$C:$C,B64)="","",INDEX(Bank!$C:$C,B64)))</f>
        <v/>
      </c>
      <c r="G64" s="19" t="str">
        <f aca="false">IF(B64=0,"",INDEX(Bank!$E:$E,B64))</f>
        <v/>
      </c>
      <c r="H64" s="5" t="str">
        <f aca="false">IF(B64=0,"",IF(INDEX(Bank!$H:$H,B64)="","",INDEX(Bank!$H:$H,B64)))</f>
        <v/>
      </c>
      <c r="I64" s="5" t="n">
        <f aca="false">IF(H64="",0,IFERROR(MATCH(H64,GL!$A:$A,0),0))</f>
        <v>0</v>
      </c>
      <c r="J64" s="32" t="str">
        <f aca="false">IF(I64=0,"",INDEX(GL!$B:$B,I64))</f>
        <v/>
      </c>
      <c r="K64" s="5" t="str">
        <f aca="false">IF(I64=0,"",IF(INDEX(GL!$C:$C,I64)="","",INDEX(GL!$C:$C,I64)))</f>
        <v/>
      </c>
      <c r="L64" s="19" t="str">
        <f aca="false">IF(I64=0,"",INDEX(GL!$E:$E,I64))</f>
        <v/>
      </c>
      <c r="M64" s="19" t="str">
        <f aca="false">IF(OR(B64=0,I64=0),"",ROUND(G64-L64,2))</f>
        <v/>
      </c>
      <c r="N64" s="5" t="str">
        <f aca="false">IF(A64="","",IF(B64=0,"NOT FOUND: bank ID",IF(I64=0,"NOT FOUND: GL ID",IF(INDEX(GL!$H:$H,I64)&lt;&gt;A64,"BROKEN: GL points elsewhere",IF(OR(INDEX(Bank!$F:$F,B64)&lt;&gt;"Y",INDEX(GL!$F:$F,I64)&lt;&gt;"Y"),"BROKEN: Status not Y","OK")))))</f>
        <v/>
      </c>
    </row>
    <row r="65" customFormat="false" ht="15" hidden="false" customHeight="false" outlineLevel="0" collapsed="false">
      <c r="A65" s="41"/>
      <c r="B65" s="5" t="n">
        <f aca="false">IF(A65="",0,IFERROR(MATCH(A65,Bank!$A:$A,0),0))</f>
        <v>0</v>
      </c>
      <c r="C65" s="5" t="str">
        <f aca="false">IF(B65=0,"",IF(INDEX(Bank!$G:$G,B65)="","",INDEX(Bank!$G:$G,B65)))</f>
        <v/>
      </c>
      <c r="D65" s="5" t="str">
        <f aca="false">IF(B65=0,"",IF(INDEX(Bank!$J:$J,B65)="","",INDEX(Bank!$J:$J,B65)))</f>
        <v/>
      </c>
      <c r="E65" s="32" t="str">
        <f aca="false">IF(B65=0,"",INDEX(Bank!$B:$B,B65))</f>
        <v/>
      </c>
      <c r="F65" s="5" t="str">
        <f aca="false">IF(B65=0,"",IF(INDEX(Bank!$C:$C,B65)="","",INDEX(Bank!$C:$C,B65)))</f>
        <v/>
      </c>
      <c r="G65" s="19" t="str">
        <f aca="false">IF(B65=0,"",INDEX(Bank!$E:$E,B65))</f>
        <v/>
      </c>
      <c r="H65" s="5" t="str">
        <f aca="false">IF(B65=0,"",IF(INDEX(Bank!$H:$H,B65)="","",INDEX(Bank!$H:$H,B65)))</f>
        <v/>
      </c>
      <c r="I65" s="5" t="n">
        <f aca="false">IF(H65="",0,IFERROR(MATCH(H65,GL!$A:$A,0),0))</f>
        <v>0</v>
      </c>
      <c r="J65" s="32" t="str">
        <f aca="false">IF(I65=0,"",INDEX(GL!$B:$B,I65))</f>
        <v/>
      </c>
      <c r="K65" s="5" t="str">
        <f aca="false">IF(I65=0,"",IF(INDEX(GL!$C:$C,I65)="","",INDEX(GL!$C:$C,I65)))</f>
        <v/>
      </c>
      <c r="L65" s="19" t="str">
        <f aca="false">IF(I65=0,"",INDEX(GL!$E:$E,I65))</f>
        <v/>
      </c>
      <c r="M65" s="19" t="str">
        <f aca="false">IF(OR(B65=0,I65=0),"",ROUND(G65-L65,2))</f>
        <v/>
      </c>
      <c r="N65" s="5" t="str">
        <f aca="false">IF(A65="","",IF(B65=0,"NOT FOUND: bank ID",IF(I65=0,"NOT FOUND: GL ID",IF(INDEX(GL!$H:$H,I65)&lt;&gt;A65,"BROKEN: GL points elsewhere",IF(OR(INDEX(Bank!$F:$F,B65)&lt;&gt;"Y",INDEX(GL!$F:$F,I65)&lt;&gt;"Y"),"BROKEN: Status not Y","OK")))))</f>
        <v/>
      </c>
    </row>
    <row r="66" customFormat="false" ht="15" hidden="false" customHeight="false" outlineLevel="0" collapsed="false">
      <c r="A66" s="41"/>
      <c r="B66" s="5" t="n">
        <f aca="false">IF(A66="",0,IFERROR(MATCH(A66,Bank!$A:$A,0),0))</f>
        <v>0</v>
      </c>
      <c r="C66" s="5" t="str">
        <f aca="false">IF(B66=0,"",IF(INDEX(Bank!$G:$G,B66)="","",INDEX(Bank!$G:$G,B66)))</f>
        <v/>
      </c>
      <c r="D66" s="5" t="str">
        <f aca="false">IF(B66=0,"",IF(INDEX(Bank!$J:$J,B66)="","",INDEX(Bank!$J:$J,B66)))</f>
        <v/>
      </c>
      <c r="E66" s="32" t="str">
        <f aca="false">IF(B66=0,"",INDEX(Bank!$B:$B,B66))</f>
        <v/>
      </c>
      <c r="F66" s="5" t="str">
        <f aca="false">IF(B66=0,"",IF(INDEX(Bank!$C:$C,B66)="","",INDEX(Bank!$C:$C,B66)))</f>
        <v/>
      </c>
      <c r="G66" s="19" t="str">
        <f aca="false">IF(B66=0,"",INDEX(Bank!$E:$E,B66))</f>
        <v/>
      </c>
      <c r="H66" s="5" t="str">
        <f aca="false">IF(B66=0,"",IF(INDEX(Bank!$H:$H,B66)="","",INDEX(Bank!$H:$H,B66)))</f>
        <v/>
      </c>
      <c r="I66" s="5" t="n">
        <f aca="false">IF(H66="",0,IFERROR(MATCH(H66,GL!$A:$A,0),0))</f>
        <v>0</v>
      </c>
      <c r="J66" s="32" t="str">
        <f aca="false">IF(I66=0,"",INDEX(GL!$B:$B,I66))</f>
        <v/>
      </c>
      <c r="K66" s="5" t="str">
        <f aca="false">IF(I66=0,"",IF(INDEX(GL!$C:$C,I66)="","",INDEX(GL!$C:$C,I66)))</f>
        <v/>
      </c>
      <c r="L66" s="19" t="str">
        <f aca="false">IF(I66=0,"",INDEX(GL!$E:$E,I66))</f>
        <v/>
      </c>
      <c r="M66" s="19" t="str">
        <f aca="false">IF(OR(B66=0,I66=0),"",ROUND(G66-L66,2))</f>
        <v/>
      </c>
      <c r="N66" s="5" t="str">
        <f aca="false">IF(A66="","",IF(B66=0,"NOT FOUND: bank ID",IF(I66=0,"NOT FOUND: GL ID",IF(INDEX(GL!$H:$H,I66)&lt;&gt;A66,"BROKEN: GL points elsewhere",IF(OR(INDEX(Bank!$F:$F,B66)&lt;&gt;"Y",INDEX(GL!$F:$F,I66)&lt;&gt;"Y"),"BROKEN: Status not Y","OK")))))</f>
        <v/>
      </c>
    </row>
    <row r="67" customFormat="false" ht="15" hidden="false" customHeight="false" outlineLevel="0" collapsed="false">
      <c r="A67" s="41"/>
      <c r="B67" s="5" t="n">
        <f aca="false">IF(A67="",0,IFERROR(MATCH(A67,Bank!$A:$A,0),0))</f>
        <v>0</v>
      </c>
      <c r="C67" s="5" t="str">
        <f aca="false">IF(B67=0,"",IF(INDEX(Bank!$G:$G,B67)="","",INDEX(Bank!$G:$G,B67)))</f>
        <v/>
      </c>
      <c r="D67" s="5" t="str">
        <f aca="false">IF(B67=0,"",IF(INDEX(Bank!$J:$J,B67)="","",INDEX(Bank!$J:$J,B67)))</f>
        <v/>
      </c>
      <c r="E67" s="32" t="str">
        <f aca="false">IF(B67=0,"",INDEX(Bank!$B:$B,B67))</f>
        <v/>
      </c>
      <c r="F67" s="5" t="str">
        <f aca="false">IF(B67=0,"",IF(INDEX(Bank!$C:$C,B67)="","",INDEX(Bank!$C:$C,B67)))</f>
        <v/>
      </c>
      <c r="G67" s="19" t="str">
        <f aca="false">IF(B67=0,"",INDEX(Bank!$E:$E,B67))</f>
        <v/>
      </c>
      <c r="H67" s="5" t="str">
        <f aca="false">IF(B67=0,"",IF(INDEX(Bank!$H:$H,B67)="","",INDEX(Bank!$H:$H,B67)))</f>
        <v/>
      </c>
      <c r="I67" s="5" t="n">
        <f aca="false">IF(H67="",0,IFERROR(MATCH(H67,GL!$A:$A,0),0))</f>
        <v>0</v>
      </c>
      <c r="J67" s="32" t="str">
        <f aca="false">IF(I67=0,"",INDEX(GL!$B:$B,I67))</f>
        <v/>
      </c>
      <c r="K67" s="5" t="str">
        <f aca="false">IF(I67=0,"",IF(INDEX(GL!$C:$C,I67)="","",INDEX(GL!$C:$C,I67)))</f>
        <v/>
      </c>
      <c r="L67" s="19" t="str">
        <f aca="false">IF(I67=0,"",INDEX(GL!$E:$E,I67))</f>
        <v/>
      </c>
      <c r="M67" s="19" t="str">
        <f aca="false">IF(OR(B67=0,I67=0),"",ROUND(G67-L67,2))</f>
        <v/>
      </c>
      <c r="N67" s="5" t="str">
        <f aca="false">IF(A67="","",IF(B67=0,"NOT FOUND: bank ID",IF(I67=0,"NOT FOUND: GL ID",IF(INDEX(GL!$H:$H,I67)&lt;&gt;A67,"BROKEN: GL points elsewhere",IF(OR(INDEX(Bank!$F:$F,B67)&lt;&gt;"Y",INDEX(GL!$F:$F,I67)&lt;&gt;"Y"),"BROKEN: Status not Y","OK")))))</f>
        <v/>
      </c>
    </row>
    <row r="68" customFormat="false" ht="15" hidden="false" customHeight="false" outlineLevel="0" collapsed="false">
      <c r="A68" s="41"/>
      <c r="B68" s="5" t="n">
        <f aca="false">IF(A68="",0,IFERROR(MATCH(A68,Bank!$A:$A,0),0))</f>
        <v>0</v>
      </c>
      <c r="C68" s="5" t="str">
        <f aca="false">IF(B68=0,"",IF(INDEX(Bank!$G:$G,B68)="","",INDEX(Bank!$G:$G,B68)))</f>
        <v/>
      </c>
      <c r="D68" s="5" t="str">
        <f aca="false">IF(B68=0,"",IF(INDEX(Bank!$J:$J,B68)="","",INDEX(Bank!$J:$J,B68)))</f>
        <v/>
      </c>
      <c r="E68" s="32" t="str">
        <f aca="false">IF(B68=0,"",INDEX(Bank!$B:$B,B68))</f>
        <v/>
      </c>
      <c r="F68" s="5" t="str">
        <f aca="false">IF(B68=0,"",IF(INDEX(Bank!$C:$C,B68)="","",INDEX(Bank!$C:$C,B68)))</f>
        <v/>
      </c>
      <c r="G68" s="19" t="str">
        <f aca="false">IF(B68=0,"",INDEX(Bank!$E:$E,B68))</f>
        <v/>
      </c>
      <c r="H68" s="5" t="str">
        <f aca="false">IF(B68=0,"",IF(INDEX(Bank!$H:$H,B68)="","",INDEX(Bank!$H:$H,B68)))</f>
        <v/>
      </c>
      <c r="I68" s="5" t="n">
        <f aca="false">IF(H68="",0,IFERROR(MATCH(H68,GL!$A:$A,0),0))</f>
        <v>0</v>
      </c>
      <c r="J68" s="32" t="str">
        <f aca="false">IF(I68=0,"",INDEX(GL!$B:$B,I68))</f>
        <v/>
      </c>
      <c r="K68" s="5" t="str">
        <f aca="false">IF(I68=0,"",IF(INDEX(GL!$C:$C,I68)="","",INDEX(GL!$C:$C,I68)))</f>
        <v/>
      </c>
      <c r="L68" s="19" t="str">
        <f aca="false">IF(I68=0,"",INDEX(GL!$E:$E,I68))</f>
        <v/>
      </c>
      <c r="M68" s="19" t="str">
        <f aca="false">IF(OR(B68=0,I68=0),"",ROUND(G68-L68,2))</f>
        <v/>
      </c>
      <c r="N68" s="5" t="str">
        <f aca="false">IF(A68="","",IF(B68=0,"NOT FOUND: bank ID",IF(I68=0,"NOT FOUND: GL ID",IF(INDEX(GL!$H:$H,I68)&lt;&gt;A68,"BROKEN: GL points elsewhere",IF(OR(INDEX(Bank!$F:$F,B68)&lt;&gt;"Y",INDEX(GL!$F:$F,I68)&lt;&gt;"Y"),"BROKEN: Status not Y","OK")))))</f>
        <v/>
      </c>
    </row>
    <row r="69" customFormat="false" ht="15" hidden="false" customHeight="false" outlineLevel="0" collapsed="false">
      <c r="A69" s="41"/>
      <c r="B69" s="5" t="n">
        <f aca="false">IF(A69="",0,IFERROR(MATCH(A69,Bank!$A:$A,0),0))</f>
        <v>0</v>
      </c>
      <c r="C69" s="5" t="str">
        <f aca="false">IF(B69=0,"",IF(INDEX(Bank!$G:$G,B69)="","",INDEX(Bank!$G:$G,B69)))</f>
        <v/>
      </c>
      <c r="D69" s="5" t="str">
        <f aca="false">IF(B69=0,"",IF(INDEX(Bank!$J:$J,B69)="","",INDEX(Bank!$J:$J,B69)))</f>
        <v/>
      </c>
      <c r="E69" s="32" t="str">
        <f aca="false">IF(B69=0,"",INDEX(Bank!$B:$B,B69))</f>
        <v/>
      </c>
      <c r="F69" s="5" t="str">
        <f aca="false">IF(B69=0,"",IF(INDEX(Bank!$C:$C,B69)="","",INDEX(Bank!$C:$C,B69)))</f>
        <v/>
      </c>
      <c r="G69" s="19" t="str">
        <f aca="false">IF(B69=0,"",INDEX(Bank!$E:$E,B69))</f>
        <v/>
      </c>
      <c r="H69" s="5" t="str">
        <f aca="false">IF(B69=0,"",IF(INDEX(Bank!$H:$H,B69)="","",INDEX(Bank!$H:$H,B69)))</f>
        <v/>
      </c>
      <c r="I69" s="5" t="n">
        <f aca="false">IF(H69="",0,IFERROR(MATCH(H69,GL!$A:$A,0),0))</f>
        <v>0</v>
      </c>
      <c r="J69" s="32" t="str">
        <f aca="false">IF(I69=0,"",INDEX(GL!$B:$B,I69))</f>
        <v/>
      </c>
      <c r="K69" s="5" t="str">
        <f aca="false">IF(I69=0,"",IF(INDEX(GL!$C:$C,I69)="","",INDEX(GL!$C:$C,I69)))</f>
        <v/>
      </c>
      <c r="L69" s="19" t="str">
        <f aca="false">IF(I69=0,"",INDEX(GL!$E:$E,I69))</f>
        <v/>
      </c>
      <c r="M69" s="19" t="str">
        <f aca="false">IF(OR(B69=0,I69=0),"",ROUND(G69-L69,2))</f>
        <v/>
      </c>
      <c r="N69" s="5" t="str">
        <f aca="false">IF(A69="","",IF(B69=0,"NOT FOUND: bank ID",IF(I69=0,"NOT FOUND: GL ID",IF(INDEX(GL!$H:$H,I69)&lt;&gt;A69,"BROKEN: GL points elsewhere",IF(OR(INDEX(Bank!$F:$F,B69)&lt;&gt;"Y",INDEX(GL!$F:$F,I69)&lt;&gt;"Y"),"BROKEN: Status not Y","OK")))))</f>
        <v/>
      </c>
    </row>
    <row r="70" customFormat="false" ht="15" hidden="false" customHeight="false" outlineLevel="0" collapsed="false">
      <c r="A70" s="41"/>
      <c r="B70" s="5" t="n">
        <f aca="false">IF(A70="",0,IFERROR(MATCH(A70,Bank!$A:$A,0),0))</f>
        <v>0</v>
      </c>
      <c r="C70" s="5" t="str">
        <f aca="false">IF(B70=0,"",IF(INDEX(Bank!$G:$G,B70)="","",INDEX(Bank!$G:$G,B70)))</f>
        <v/>
      </c>
      <c r="D70" s="5" t="str">
        <f aca="false">IF(B70=0,"",IF(INDEX(Bank!$J:$J,B70)="","",INDEX(Bank!$J:$J,B70)))</f>
        <v/>
      </c>
      <c r="E70" s="32" t="str">
        <f aca="false">IF(B70=0,"",INDEX(Bank!$B:$B,B70))</f>
        <v/>
      </c>
      <c r="F70" s="5" t="str">
        <f aca="false">IF(B70=0,"",IF(INDEX(Bank!$C:$C,B70)="","",INDEX(Bank!$C:$C,B70)))</f>
        <v/>
      </c>
      <c r="G70" s="19" t="str">
        <f aca="false">IF(B70=0,"",INDEX(Bank!$E:$E,B70))</f>
        <v/>
      </c>
      <c r="H70" s="5" t="str">
        <f aca="false">IF(B70=0,"",IF(INDEX(Bank!$H:$H,B70)="","",INDEX(Bank!$H:$H,B70)))</f>
        <v/>
      </c>
      <c r="I70" s="5" t="n">
        <f aca="false">IF(H70="",0,IFERROR(MATCH(H70,GL!$A:$A,0),0))</f>
        <v>0</v>
      </c>
      <c r="J70" s="32" t="str">
        <f aca="false">IF(I70=0,"",INDEX(GL!$B:$B,I70))</f>
        <v/>
      </c>
      <c r="K70" s="5" t="str">
        <f aca="false">IF(I70=0,"",IF(INDEX(GL!$C:$C,I70)="","",INDEX(GL!$C:$C,I70)))</f>
        <v/>
      </c>
      <c r="L70" s="19" t="str">
        <f aca="false">IF(I70=0,"",INDEX(GL!$E:$E,I70))</f>
        <v/>
      </c>
      <c r="M70" s="19" t="str">
        <f aca="false">IF(OR(B70=0,I70=0),"",ROUND(G70-L70,2))</f>
        <v/>
      </c>
      <c r="N70" s="5" t="str">
        <f aca="false">IF(A70="","",IF(B70=0,"NOT FOUND: bank ID",IF(I70=0,"NOT FOUND: GL ID",IF(INDEX(GL!$H:$H,I70)&lt;&gt;A70,"BROKEN: GL points elsewhere",IF(OR(INDEX(Bank!$F:$F,B70)&lt;&gt;"Y",INDEX(GL!$F:$F,I70)&lt;&gt;"Y"),"BROKEN: Status not Y","OK")))))</f>
        <v/>
      </c>
    </row>
    <row r="71" customFormat="false" ht="15" hidden="false" customHeight="false" outlineLevel="0" collapsed="false">
      <c r="A71" s="41"/>
      <c r="B71" s="5" t="n">
        <f aca="false">IF(A71="",0,IFERROR(MATCH(A71,Bank!$A:$A,0),0))</f>
        <v>0</v>
      </c>
      <c r="C71" s="5" t="str">
        <f aca="false">IF(B71=0,"",IF(INDEX(Bank!$G:$G,B71)="","",INDEX(Bank!$G:$G,B71)))</f>
        <v/>
      </c>
      <c r="D71" s="5" t="str">
        <f aca="false">IF(B71=0,"",IF(INDEX(Bank!$J:$J,B71)="","",INDEX(Bank!$J:$J,B71)))</f>
        <v/>
      </c>
      <c r="E71" s="32" t="str">
        <f aca="false">IF(B71=0,"",INDEX(Bank!$B:$B,B71))</f>
        <v/>
      </c>
      <c r="F71" s="5" t="str">
        <f aca="false">IF(B71=0,"",IF(INDEX(Bank!$C:$C,B71)="","",INDEX(Bank!$C:$C,B71)))</f>
        <v/>
      </c>
      <c r="G71" s="19" t="str">
        <f aca="false">IF(B71=0,"",INDEX(Bank!$E:$E,B71))</f>
        <v/>
      </c>
      <c r="H71" s="5" t="str">
        <f aca="false">IF(B71=0,"",IF(INDEX(Bank!$H:$H,B71)="","",INDEX(Bank!$H:$H,B71)))</f>
        <v/>
      </c>
      <c r="I71" s="5" t="n">
        <f aca="false">IF(H71="",0,IFERROR(MATCH(H71,GL!$A:$A,0),0))</f>
        <v>0</v>
      </c>
      <c r="J71" s="32" t="str">
        <f aca="false">IF(I71=0,"",INDEX(GL!$B:$B,I71))</f>
        <v/>
      </c>
      <c r="K71" s="5" t="str">
        <f aca="false">IF(I71=0,"",IF(INDEX(GL!$C:$C,I71)="","",INDEX(GL!$C:$C,I71)))</f>
        <v/>
      </c>
      <c r="L71" s="19" t="str">
        <f aca="false">IF(I71=0,"",INDEX(GL!$E:$E,I71))</f>
        <v/>
      </c>
      <c r="M71" s="19" t="str">
        <f aca="false">IF(OR(B71=0,I71=0),"",ROUND(G71-L71,2))</f>
        <v/>
      </c>
      <c r="N71" s="5" t="str">
        <f aca="false">IF(A71="","",IF(B71=0,"NOT FOUND: bank ID",IF(I71=0,"NOT FOUND: GL ID",IF(INDEX(GL!$H:$H,I71)&lt;&gt;A71,"BROKEN: GL points elsewhere",IF(OR(INDEX(Bank!$F:$F,B71)&lt;&gt;"Y",INDEX(GL!$F:$F,I71)&lt;&gt;"Y"),"BROKEN: Status not Y","OK")))))</f>
        <v/>
      </c>
    </row>
    <row r="72" customFormat="false" ht="15" hidden="false" customHeight="false" outlineLevel="0" collapsed="false">
      <c r="A72" s="41"/>
      <c r="B72" s="5" t="n">
        <f aca="false">IF(A72="",0,IFERROR(MATCH(A72,Bank!$A:$A,0),0))</f>
        <v>0</v>
      </c>
      <c r="C72" s="5" t="str">
        <f aca="false">IF(B72=0,"",IF(INDEX(Bank!$G:$G,B72)="","",INDEX(Bank!$G:$G,B72)))</f>
        <v/>
      </c>
      <c r="D72" s="5" t="str">
        <f aca="false">IF(B72=0,"",IF(INDEX(Bank!$J:$J,B72)="","",INDEX(Bank!$J:$J,B72)))</f>
        <v/>
      </c>
      <c r="E72" s="32" t="str">
        <f aca="false">IF(B72=0,"",INDEX(Bank!$B:$B,B72))</f>
        <v/>
      </c>
      <c r="F72" s="5" t="str">
        <f aca="false">IF(B72=0,"",IF(INDEX(Bank!$C:$C,B72)="","",INDEX(Bank!$C:$C,B72)))</f>
        <v/>
      </c>
      <c r="G72" s="19" t="str">
        <f aca="false">IF(B72=0,"",INDEX(Bank!$E:$E,B72))</f>
        <v/>
      </c>
      <c r="H72" s="5" t="str">
        <f aca="false">IF(B72=0,"",IF(INDEX(Bank!$H:$H,B72)="","",INDEX(Bank!$H:$H,B72)))</f>
        <v/>
      </c>
      <c r="I72" s="5" t="n">
        <f aca="false">IF(H72="",0,IFERROR(MATCH(H72,GL!$A:$A,0),0))</f>
        <v>0</v>
      </c>
      <c r="J72" s="32" t="str">
        <f aca="false">IF(I72=0,"",INDEX(GL!$B:$B,I72))</f>
        <v/>
      </c>
      <c r="K72" s="5" t="str">
        <f aca="false">IF(I72=0,"",IF(INDEX(GL!$C:$C,I72)="","",INDEX(GL!$C:$C,I72)))</f>
        <v/>
      </c>
      <c r="L72" s="19" t="str">
        <f aca="false">IF(I72=0,"",INDEX(GL!$E:$E,I72))</f>
        <v/>
      </c>
      <c r="M72" s="19" t="str">
        <f aca="false">IF(OR(B72=0,I72=0),"",ROUND(G72-L72,2))</f>
        <v/>
      </c>
      <c r="N72" s="5" t="str">
        <f aca="false">IF(A72="","",IF(B72=0,"NOT FOUND: bank ID",IF(I72=0,"NOT FOUND: GL ID",IF(INDEX(GL!$H:$H,I72)&lt;&gt;A72,"BROKEN: GL points elsewhere",IF(OR(INDEX(Bank!$F:$F,B72)&lt;&gt;"Y",INDEX(GL!$F:$F,I72)&lt;&gt;"Y"),"BROKEN: Status not Y","OK")))))</f>
        <v/>
      </c>
    </row>
    <row r="73" customFormat="false" ht="15" hidden="false" customHeight="false" outlineLevel="0" collapsed="false">
      <c r="A73" s="41"/>
      <c r="B73" s="5" t="n">
        <f aca="false">IF(A73="",0,IFERROR(MATCH(A73,Bank!$A:$A,0),0))</f>
        <v>0</v>
      </c>
      <c r="C73" s="5" t="str">
        <f aca="false">IF(B73=0,"",IF(INDEX(Bank!$G:$G,B73)="","",INDEX(Bank!$G:$G,B73)))</f>
        <v/>
      </c>
      <c r="D73" s="5" t="str">
        <f aca="false">IF(B73=0,"",IF(INDEX(Bank!$J:$J,B73)="","",INDEX(Bank!$J:$J,B73)))</f>
        <v/>
      </c>
      <c r="E73" s="32" t="str">
        <f aca="false">IF(B73=0,"",INDEX(Bank!$B:$B,B73))</f>
        <v/>
      </c>
      <c r="F73" s="5" t="str">
        <f aca="false">IF(B73=0,"",IF(INDEX(Bank!$C:$C,B73)="","",INDEX(Bank!$C:$C,B73)))</f>
        <v/>
      </c>
      <c r="G73" s="19" t="str">
        <f aca="false">IF(B73=0,"",INDEX(Bank!$E:$E,B73))</f>
        <v/>
      </c>
      <c r="H73" s="5" t="str">
        <f aca="false">IF(B73=0,"",IF(INDEX(Bank!$H:$H,B73)="","",INDEX(Bank!$H:$H,B73)))</f>
        <v/>
      </c>
      <c r="I73" s="5" t="n">
        <f aca="false">IF(H73="",0,IFERROR(MATCH(H73,GL!$A:$A,0),0))</f>
        <v>0</v>
      </c>
      <c r="J73" s="32" t="str">
        <f aca="false">IF(I73=0,"",INDEX(GL!$B:$B,I73))</f>
        <v/>
      </c>
      <c r="K73" s="5" t="str">
        <f aca="false">IF(I73=0,"",IF(INDEX(GL!$C:$C,I73)="","",INDEX(GL!$C:$C,I73)))</f>
        <v/>
      </c>
      <c r="L73" s="19" t="str">
        <f aca="false">IF(I73=0,"",INDEX(GL!$E:$E,I73))</f>
        <v/>
      </c>
      <c r="M73" s="19" t="str">
        <f aca="false">IF(OR(B73=0,I73=0),"",ROUND(G73-L73,2))</f>
        <v/>
      </c>
      <c r="N73" s="5" t="str">
        <f aca="false">IF(A73="","",IF(B73=0,"NOT FOUND: bank ID",IF(I73=0,"NOT FOUND: GL ID",IF(INDEX(GL!$H:$H,I73)&lt;&gt;A73,"BROKEN: GL points elsewhere",IF(OR(INDEX(Bank!$F:$F,B73)&lt;&gt;"Y",INDEX(GL!$F:$F,I73)&lt;&gt;"Y"),"BROKEN: Status not Y","OK")))))</f>
        <v/>
      </c>
    </row>
    <row r="74" customFormat="false" ht="15" hidden="false" customHeight="false" outlineLevel="0" collapsed="false">
      <c r="A74" s="41"/>
      <c r="B74" s="5" t="n">
        <f aca="false">IF(A74="",0,IFERROR(MATCH(A74,Bank!$A:$A,0),0))</f>
        <v>0</v>
      </c>
      <c r="C74" s="5" t="str">
        <f aca="false">IF(B74=0,"",IF(INDEX(Bank!$G:$G,B74)="","",INDEX(Bank!$G:$G,B74)))</f>
        <v/>
      </c>
      <c r="D74" s="5" t="str">
        <f aca="false">IF(B74=0,"",IF(INDEX(Bank!$J:$J,B74)="","",INDEX(Bank!$J:$J,B74)))</f>
        <v/>
      </c>
      <c r="E74" s="32" t="str">
        <f aca="false">IF(B74=0,"",INDEX(Bank!$B:$B,B74))</f>
        <v/>
      </c>
      <c r="F74" s="5" t="str">
        <f aca="false">IF(B74=0,"",IF(INDEX(Bank!$C:$C,B74)="","",INDEX(Bank!$C:$C,B74)))</f>
        <v/>
      </c>
      <c r="G74" s="19" t="str">
        <f aca="false">IF(B74=0,"",INDEX(Bank!$E:$E,B74))</f>
        <v/>
      </c>
      <c r="H74" s="5" t="str">
        <f aca="false">IF(B74=0,"",IF(INDEX(Bank!$H:$H,B74)="","",INDEX(Bank!$H:$H,B74)))</f>
        <v/>
      </c>
      <c r="I74" s="5" t="n">
        <f aca="false">IF(H74="",0,IFERROR(MATCH(H74,GL!$A:$A,0),0))</f>
        <v>0</v>
      </c>
      <c r="J74" s="32" t="str">
        <f aca="false">IF(I74=0,"",INDEX(GL!$B:$B,I74))</f>
        <v/>
      </c>
      <c r="K74" s="5" t="str">
        <f aca="false">IF(I74=0,"",IF(INDEX(GL!$C:$C,I74)="","",INDEX(GL!$C:$C,I74)))</f>
        <v/>
      </c>
      <c r="L74" s="19" t="str">
        <f aca="false">IF(I74=0,"",INDEX(GL!$E:$E,I74))</f>
        <v/>
      </c>
      <c r="M74" s="19" t="str">
        <f aca="false">IF(OR(B74=0,I74=0),"",ROUND(G74-L74,2))</f>
        <v/>
      </c>
      <c r="N74" s="5" t="str">
        <f aca="false">IF(A74="","",IF(B74=0,"NOT FOUND: bank ID",IF(I74=0,"NOT FOUND: GL ID",IF(INDEX(GL!$H:$H,I74)&lt;&gt;A74,"BROKEN: GL points elsewhere",IF(OR(INDEX(Bank!$F:$F,B74)&lt;&gt;"Y",INDEX(GL!$F:$F,I74)&lt;&gt;"Y"),"BROKEN: Status not Y","OK")))))</f>
        <v/>
      </c>
    </row>
    <row r="75" customFormat="false" ht="15" hidden="false" customHeight="false" outlineLevel="0" collapsed="false">
      <c r="A75" s="41"/>
      <c r="B75" s="5" t="n">
        <f aca="false">IF(A75="",0,IFERROR(MATCH(A75,Bank!$A:$A,0),0))</f>
        <v>0</v>
      </c>
      <c r="C75" s="5" t="str">
        <f aca="false">IF(B75=0,"",IF(INDEX(Bank!$G:$G,B75)="","",INDEX(Bank!$G:$G,B75)))</f>
        <v/>
      </c>
      <c r="D75" s="5" t="str">
        <f aca="false">IF(B75=0,"",IF(INDEX(Bank!$J:$J,B75)="","",INDEX(Bank!$J:$J,B75)))</f>
        <v/>
      </c>
      <c r="E75" s="32" t="str">
        <f aca="false">IF(B75=0,"",INDEX(Bank!$B:$B,B75))</f>
        <v/>
      </c>
      <c r="F75" s="5" t="str">
        <f aca="false">IF(B75=0,"",IF(INDEX(Bank!$C:$C,B75)="","",INDEX(Bank!$C:$C,B75)))</f>
        <v/>
      </c>
      <c r="G75" s="19" t="str">
        <f aca="false">IF(B75=0,"",INDEX(Bank!$E:$E,B75))</f>
        <v/>
      </c>
      <c r="H75" s="5" t="str">
        <f aca="false">IF(B75=0,"",IF(INDEX(Bank!$H:$H,B75)="","",INDEX(Bank!$H:$H,B75)))</f>
        <v/>
      </c>
      <c r="I75" s="5" t="n">
        <f aca="false">IF(H75="",0,IFERROR(MATCH(H75,GL!$A:$A,0),0))</f>
        <v>0</v>
      </c>
      <c r="J75" s="32" t="str">
        <f aca="false">IF(I75=0,"",INDEX(GL!$B:$B,I75))</f>
        <v/>
      </c>
      <c r="K75" s="5" t="str">
        <f aca="false">IF(I75=0,"",IF(INDEX(GL!$C:$C,I75)="","",INDEX(GL!$C:$C,I75)))</f>
        <v/>
      </c>
      <c r="L75" s="19" t="str">
        <f aca="false">IF(I75=0,"",INDEX(GL!$E:$E,I75))</f>
        <v/>
      </c>
      <c r="M75" s="19" t="str">
        <f aca="false">IF(OR(B75=0,I75=0),"",ROUND(G75-L75,2))</f>
        <v/>
      </c>
      <c r="N75" s="5" t="str">
        <f aca="false">IF(A75="","",IF(B75=0,"NOT FOUND: bank ID",IF(I75=0,"NOT FOUND: GL ID",IF(INDEX(GL!$H:$H,I75)&lt;&gt;A75,"BROKEN: GL points elsewhere",IF(OR(INDEX(Bank!$F:$F,B75)&lt;&gt;"Y",INDEX(GL!$F:$F,I75)&lt;&gt;"Y"),"BROKEN: Status not Y","OK")))))</f>
        <v/>
      </c>
    </row>
    <row r="76" customFormat="false" ht="15" hidden="false" customHeight="false" outlineLevel="0" collapsed="false">
      <c r="A76" s="41"/>
      <c r="B76" s="5" t="n">
        <f aca="false">IF(A76="",0,IFERROR(MATCH(A76,Bank!$A:$A,0),0))</f>
        <v>0</v>
      </c>
      <c r="C76" s="5" t="str">
        <f aca="false">IF(B76=0,"",IF(INDEX(Bank!$G:$G,B76)="","",INDEX(Bank!$G:$G,B76)))</f>
        <v/>
      </c>
      <c r="D76" s="5" t="str">
        <f aca="false">IF(B76=0,"",IF(INDEX(Bank!$J:$J,B76)="","",INDEX(Bank!$J:$J,B76)))</f>
        <v/>
      </c>
      <c r="E76" s="32" t="str">
        <f aca="false">IF(B76=0,"",INDEX(Bank!$B:$B,B76))</f>
        <v/>
      </c>
      <c r="F76" s="5" t="str">
        <f aca="false">IF(B76=0,"",IF(INDEX(Bank!$C:$C,B76)="","",INDEX(Bank!$C:$C,B76)))</f>
        <v/>
      </c>
      <c r="G76" s="19" t="str">
        <f aca="false">IF(B76=0,"",INDEX(Bank!$E:$E,B76))</f>
        <v/>
      </c>
      <c r="H76" s="5" t="str">
        <f aca="false">IF(B76=0,"",IF(INDEX(Bank!$H:$H,B76)="","",INDEX(Bank!$H:$H,B76)))</f>
        <v/>
      </c>
      <c r="I76" s="5" t="n">
        <f aca="false">IF(H76="",0,IFERROR(MATCH(H76,GL!$A:$A,0),0))</f>
        <v>0</v>
      </c>
      <c r="J76" s="32" t="str">
        <f aca="false">IF(I76=0,"",INDEX(GL!$B:$B,I76))</f>
        <v/>
      </c>
      <c r="K76" s="5" t="str">
        <f aca="false">IF(I76=0,"",IF(INDEX(GL!$C:$C,I76)="","",INDEX(GL!$C:$C,I76)))</f>
        <v/>
      </c>
      <c r="L76" s="19" t="str">
        <f aca="false">IF(I76=0,"",INDEX(GL!$E:$E,I76))</f>
        <v/>
      </c>
      <c r="M76" s="19" t="str">
        <f aca="false">IF(OR(B76=0,I76=0),"",ROUND(G76-L76,2))</f>
        <v/>
      </c>
      <c r="N76" s="5" t="str">
        <f aca="false">IF(A76="","",IF(B76=0,"NOT FOUND: bank ID",IF(I76=0,"NOT FOUND: GL ID",IF(INDEX(GL!$H:$H,I76)&lt;&gt;A76,"BROKEN: GL points elsewhere",IF(OR(INDEX(Bank!$F:$F,B76)&lt;&gt;"Y",INDEX(GL!$F:$F,I76)&lt;&gt;"Y"),"BROKEN: Status not Y","OK")))))</f>
        <v/>
      </c>
    </row>
    <row r="77" customFormat="false" ht="15" hidden="false" customHeight="false" outlineLevel="0" collapsed="false">
      <c r="A77" s="41"/>
      <c r="B77" s="5" t="n">
        <f aca="false">IF(A77="",0,IFERROR(MATCH(A77,Bank!$A:$A,0),0))</f>
        <v>0</v>
      </c>
      <c r="C77" s="5" t="str">
        <f aca="false">IF(B77=0,"",IF(INDEX(Bank!$G:$G,B77)="","",INDEX(Bank!$G:$G,B77)))</f>
        <v/>
      </c>
      <c r="D77" s="5" t="str">
        <f aca="false">IF(B77=0,"",IF(INDEX(Bank!$J:$J,B77)="","",INDEX(Bank!$J:$J,B77)))</f>
        <v/>
      </c>
      <c r="E77" s="32" t="str">
        <f aca="false">IF(B77=0,"",INDEX(Bank!$B:$B,B77))</f>
        <v/>
      </c>
      <c r="F77" s="5" t="str">
        <f aca="false">IF(B77=0,"",IF(INDEX(Bank!$C:$C,B77)="","",INDEX(Bank!$C:$C,B77)))</f>
        <v/>
      </c>
      <c r="G77" s="19" t="str">
        <f aca="false">IF(B77=0,"",INDEX(Bank!$E:$E,B77))</f>
        <v/>
      </c>
      <c r="H77" s="5" t="str">
        <f aca="false">IF(B77=0,"",IF(INDEX(Bank!$H:$H,B77)="","",INDEX(Bank!$H:$H,B77)))</f>
        <v/>
      </c>
      <c r="I77" s="5" t="n">
        <f aca="false">IF(H77="",0,IFERROR(MATCH(H77,GL!$A:$A,0),0))</f>
        <v>0</v>
      </c>
      <c r="J77" s="32" t="str">
        <f aca="false">IF(I77=0,"",INDEX(GL!$B:$B,I77))</f>
        <v/>
      </c>
      <c r="K77" s="5" t="str">
        <f aca="false">IF(I77=0,"",IF(INDEX(GL!$C:$C,I77)="","",INDEX(GL!$C:$C,I77)))</f>
        <v/>
      </c>
      <c r="L77" s="19" t="str">
        <f aca="false">IF(I77=0,"",INDEX(GL!$E:$E,I77))</f>
        <v/>
      </c>
      <c r="M77" s="19" t="str">
        <f aca="false">IF(OR(B77=0,I77=0),"",ROUND(G77-L77,2))</f>
        <v/>
      </c>
      <c r="N77" s="5" t="str">
        <f aca="false">IF(A77="","",IF(B77=0,"NOT FOUND: bank ID",IF(I77=0,"NOT FOUND: GL ID",IF(INDEX(GL!$H:$H,I77)&lt;&gt;A77,"BROKEN: GL points elsewhere",IF(OR(INDEX(Bank!$F:$F,B77)&lt;&gt;"Y",INDEX(GL!$F:$F,I77)&lt;&gt;"Y"),"BROKEN: Status not Y","OK")))))</f>
        <v/>
      </c>
    </row>
    <row r="78" customFormat="false" ht="15" hidden="false" customHeight="false" outlineLevel="0" collapsed="false">
      <c r="A78" s="41"/>
      <c r="B78" s="5" t="n">
        <f aca="false">IF(A78="",0,IFERROR(MATCH(A78,Bank!$A:$A,0),0))</f>
        <v>0</v>
      </c>
      <c r="C78" s="5" t="str">
        <f aca="false">IF(B78=0,"",IF(INDEX(Bank!$G:$G,B78)="","",INDEX(Bank!$G:$G,B78)))</f>
        <v/>
      </c>
      <c r="D78" s="5" t="str">
        <f aca="false">IF(B78=0,"",IF(INDEX(Bank!$J:$J,B78)="","",INDEX(Bank!$J:$J,B78)))</f>
        <v/>
      </c>
      <c r="E78" s="32" t="str">
        <f aca="false">IF(B78=0,"",INDEX(Bank!$B:$B,B78))</f>
        <v/>
      </c>
      <c r="F78" s="5" t="str">
        <f aca="false">IF(B78=0,"",IF(INDEX(Bank!$C:$C,B78)="","",INDEX(Bank!$C:$C,B78)))</f>
        <v/>
      </c>
      <c r="G78" s="19" t="str">
        <f aca="false">IF(B78=0,"",INDEX(Bank!$E:$E,B78))</f>
        <v/>
      </c>
      <c r="H78" s="5" t="str">
        <f aca="false">IF(B78=0,"",IF(INDEX(Bank!$H:$H,B78)="","",INDEX(Bank!$H:$H,B78)))</f>
        <v/>
      </c>
      <c r="I78" s="5" t="n">
        <f aca="false">IF(H78="",0,IFERROR(MATCH(H78,GL!$A:$A,0),0))</f>
        <v>0</v>
      </c>
      <c r="J78" s="32" t="str">
        <f aca="false">IF(I78=0,"",INDEX(GL!$B:$B,I78))</f>
        <v/>
      </c>
      <c r="K78" s="5" t="str">
        <f aca="false">IF(I78=0,"",IF(INDEX(GL!$C:$C,I78)="","",INDEX(GL!$C:$C,I78)))</f>
        <v/>
      </c>
      <c r="L78" s="19" t="str">
        <f aca="false">IF(I78=0,"",INDEX(GL!$E:$E,I78))</f>
        <v/>
      </c>
      <c r="M78" s="19" t="str">
        <f aca="false">IF(OR(B78=0,I78=0),"",ROUND(G78-L78,2))</f>
        <v/>
      </c>
      <c r="N78" s="5" t="str">
        <f aca="false">IF(A78="","",IF(B78=0,"NOT FOUND: bank ID",IF(I78=0,"NOT FOUND: GL ID",IF(INDEX(GL!$H:$H,I78)&lt;&gt;A78,"BROKEN: GL points elsewhere",IF(OR(INDEX(Bank!$F:$F,B78)&lt;&gt;"Y",INDEX(GL!$F:$F,I78)&lt;&gt;"Y"),"BROKEN: Status not Y","OK")))))</f>
        <v/>
      </c>
    </row>
    <row r="79" customFormat="false" ht="15" hidden="false" customHeight="false" outlineLevel="0" collapsed="false">
      <c r="A79" s="41"/>
      <c r="B79" s="5" t="n">
        <f aca="false">IF(A79="",0,IFERROR(MATCH(A79,Bank!$A:$A,0),0))</f>
        <v>0</v>
      </c>
      <c r="C79" s="5" t="str">
        <f aca="false">IF(B79=0,"",IF(INDEX(Bank!$G:$G,B79)="","",INDEX(Bank!$G:$G,B79)))</f>
        <v/>
      </c>
      <c r="D79" s="5" t="str">
        <f aca="false">IF(B79=0,"",IF(INDEX(Bank!$J:$J,B79)="","",INDEX(Bank!$J:$J,B79)))</f>
        <v/>
      </c>
      <c r="E79" s="32" t="str">
        <f aca="false">IF(B79=0,"",INDEX(Bank!$B:$B,B79))</f>
        <v/>
      </c>
      <c r="F79" s="5" t="str">
        <f aca="false">IF(B79=0,"",IF(INDEX(Bank!$C:$C,B79)="","",INDEX(Bank!$C:$C,B79)))</f>
        <v/>
      </c>
      <c r="G79" s="19" t="str">
        <f aca="false">IF(B79=0,"",INDEX(Bank!$E:$E,B79))</f>
        <v/>
      </c>
      <c r="H79" s="5" t="str">
        <f aca="false">IF(B79=0,"",IF(INDEX(Bank!$H:$H,B79)="","",INDEX(Bank!$H:$H,B79)))</f>
        <v/>
      </c>
      <c r="I79" s="5" t="n">
        <f aca="false">IF(H79="",0,IFERROR(MATCH(H79,GL!$A:$A,0),0))</f>
        <v>0</v>
      </c>
      <c r="J79" s="32" t="str">
        <f aca="false">IF(I79=0,"",INDEX(GL!$B:$B,I79))</f>
        <v/>
      </c>
      <c r="K79" s="5" t="str">
        <f aca="false">IF(I79=0,"",IF(INDEX(GL!$C:$C,I79)="","",INDEX(GL!$C:$C,I79)))</f>
        <v/>
      </c>
      <c r="L79" s="19" t="str">
        <f aca="false">IF(I79=0,"",INDEX(GL!$E:$E,I79))</f>
        <v/>
      </c>
      <c r="M79" s="19" t="str">
        <f aca="false">IF(OR(B79=0,I79=0),"",ROUND(G79-L79,2))</f>
        <v/>
      </c>
      <c r="N79" s="5" t="str">
        <f aca="false">IF(A79="","",IF(B79=0,"NOT FOUND: bank ID",IF(I79=0,"NOT FOUND: GL ID",IF(INDEX(GL!$H:$H,I79)&lt;&gt;A79,"BROKEN: GL points elsewhere",IF(OR(INDEX(Bank!$F:$F,B79)&lt;&gt;"Y",INDEX(GL!$F:$F,I79)&lt;&gt;"Y"),"BROKEN: Status not Y","OK")))))</f>
        <v/>
      </c>
    </row>
    <row r="80" customFormat="false" ht="15" hidden="false" customHeight="false" outlineLevel="0" collapsed="false">
      <c r="A80" s="41"/>
      <c r="B80" s="5" t="n">
        <f aca="false">IF(A80="",0,IFERROR(MATCH(A80,Bank!$A:$A,0),0))</f>
        <v>0</v>
      </c>
      <c r="C80" s="5" t="str">
        <f aca="false">IF(B80=0,"",IF(INDEX(Bank!$G:$G,B80)="","",INDEX(Bank!$G:$G,B80)))</f>
        <v/>
      </c>
      <c r="D80" s="5" t="str">
        <f aca="false">IF(B80=0,"",IF(INDEX(Bank!$J:$J,B80)="","",INDEX(Bank!$J:$J,B80)))</f>
        <v/>
      </c>
      <c r="E80" s="32" t="str">
        <f aca="false">IF(B80=0,"",INDEX(Bank!$B:$B,B80))</f>
        <v/>
      </c>
      <c r="F80" s="5" t="str">
        <f aca="false">IF(B80=0,"",IF(INDEX(Bank!$C:$C,B80)="","",INDEX(Bank!$C:$C,B80)))</f>
        <v/>
      </c>
      <c r="G80" s="19" t="str">
        <f aca="false">IF(B80=0,"",INDEX(Bank!$E:$E,B80))</f>
        <v/>
      </c>
      <c r="H80" s="5" t="str">
        <f aca="false">IF(B80=0,"",IF(INDEX(Bank!$H:$H,B80)="","",INDEX(Bank!$H:$H,B80)))</f>
        <v/>
      </c>
      <c r="I80" s="5" t="n">
        <f aca="false">IF(H80="",0,IFERROR(MATCH(H80,GL!$A:$A,0),0))</f>
        <v>0</v>
      </c>
      <c r="J80" s="32" t="str">
        <f aca="false">IF(I80=0,"",INDEX(GL!$B:$B,I80))</f>
        <v/>
      </c>
      <c r="K80" s="5" t="str">
        <f aca="false">IF(I80=0,"",IF(INDEX(GL!$C:$C,I80)="","",INDEX(GL!$C:$C,I80)))</f>
        <v/>
      </c>
      <c r="L80" s="19" t="str">
        <f aca="false">IF(I80=0,"",INDEX(GL!$E:$E,I80))</f>
        <v/>
      </c>
      <c r="M80" s="19" t="str">
        <f aca="false">IF(OR(B80=0,I80=0),"",ROUND(G80-L80,2))</f>
        <v/>
      </c>
      <c r="N80" s="5" t="str">
        <f aca="false">IF(A80="","",IF(B80=0,"NOT FOUND: bank ID",IF(I80=0,"NOT FOUND: GL ID",IF(INDEX(GL!$H:$H,I80)&lt;&gt;A80,"BROKEN: GL points elsewhere",IF(OR(INDEX(Bank!$F:$F,B80)&lt;&gt;"Y",INDEX(GL!$F:$F,I80)&lt;&gt;"Y"),"BROKEN: Status not Y","OK")))))</f>
        <v/>
      </c>
    </row>
    <row r="81" customFormat="false" ht="15" hidden="false" customHeight="false" outlineLevel="0" collapsed="false">
      <c r="A81" s="41"/>
      <c r="B81" s="5" t="n">
        <f aca="false">IF(A81="",0,IFERROR(MATCH(A81,Bank!$A:$A,0),0))</f>
        <v>0</v>
      </c>
      <c r="C81" s="5" t="str">
        <f aca="false">IF(B81=0,"",IF(INDEX(Bank!$G:$G,B81)="","",INDEX(Bank!$G:$G,B81)))</f>
        <v/>
      </c>
      <c r="D81" s="5" t="str">
        <f aca="false">IF(B81=0,"",IF(INDEX(Bank!$J:$J,B81)="","",INDEX(Bank!$J:$J,B81)))</f>
        <v/>
      </c>
      <c r="E81" s="32" t="str">
        <f aca="false">IF(B81=0,"",INDEX(Bank!$B:$B,B81))</f>
        <v/>
      </c>
      <c r="F81" s="5" t="str">
        <f aca="false">IF(B81=0,"",IF(INDEX(Bank!$C:$C,B81)="","",INDEX(Bank!$C:$C,B81)))</f>
        <v/>
      </c>
      <c r="G81" s="19" t="str">
        <f aca="false">IF(B81=0,"",INDEX(Bank!$E:$E,B81))</f>
        <v/>
      </c>
      <c r="H81" s="5" t="str">
        <f aca="false">IF(B81=0,"",IF(INDEX(Bank!$H:$H,B81)="","",INDEX(Bank!$H:$H,B81)))</f>
        <v/>
      </c>
      <c r="I81" s="5" t="n">
        <f aca="false">IF(H81="",0,IFERROR(MATCH(H81,GL!$A:$A,0),0))</f>
        <v>0</v>
      </c>
      <c r="J81" s="32" t="str">
        <f aca="false">IF(I81=0,"",INDEX(GL!$B:$B,I81))</f>
        <v/>
      </c>
      <c r="K81" s="5" t="str">
        <f aca="false">IF(I81=0,"",IF(INDEX(GL!$C:$C,I81)="","",INDEX(GL!$C:$C,I81)))</f>
        <v/>
      </c>
      <c r="L81" s="19" t="str">
        <f aca="false">IF(I81=0,"",INDEX(GL!$E:$E,I81))</f>
        <v/>
      </c>
      <c r="M81" s="19" t="str">
        <f aca="false">IF(OR(B81=0,I81=0),"",ROUND(G81-L81,2))</f>
        <v/>
      </c>
      <c r="N81" s="5" t="str">
        <f aca="false">IF(A81="","",IF(B81=0,"NOT FOUND: bank ID",IF(I81=0,"NOT FOUND: GL ID",IF(INDEX(GL!$H:$H,I81)&lt;&gt;A81,"BROKEN: GL points elsewhere",IF(OR(INDEX(Bank!$F:$F,B81)&lt;&gt;"Y",INDEX(GL!$F:$F,I81)&lt;&gt;"Y"),"BROKEN: Status not Y","OK")))))</f>
        <v/>
      </c>
    </row>
    <row r="82" customFormat="false" ht="15" hidden="false" customHeight="false" outlineLevel="0" collapsed="false">
      <c r="A82" s="41"/>
      <c r="B82" s="5" t="n">
        <f aca="false">IF(A82="",0,IFERROR(MATCH(A82,Bank!$A:$A,0),0))</f>
        <v>0</v>
      </c>
      <c r="C82" s="5" t="str">
        <f aca="false">IF(B82=0,"",IF(INDEX(Bank!$G:$G,B82)="","",INDEX(Bank!$G:$G,B82)))</f>
        <v/>
      </c>
      <c r="D82" s="5" t="str">
        <f aca="false">IF(B82=0,"",IF(INDEX(Bank!$J:$J,B82)="","",INDEX(Bank!$J:$J,B82)))</f>
        <v/>
      </c>
      <c r="E82" s="32" t="str">
        <f aca="false">IF(B82=0,"",INDEX(Bank!$B:$B,B82))</f>
        <v/>
      </c>
      <c r="F82" s="5" t="str">
        <f aca="false">IF(B82=0,"",IF(INDEX(Bank!$C:$C,B82)="","",INDEX(Bank!$C:$C,B82)))</f>
        <v/>
      </c>
      <c r="G82" s="19" t="str">
        <f aca="false">IF(B82=0,"",INDEX(Bank!$E:$E,B82))</f>
        <v/>
      </c>
      <c r="H82" s="5" t="str">
        <f aca="false">IF(B82=0,"",IF(INDEX(Bank!$H:$H,B82)="","",INDEX(Bank!$H:$H,B82)))</f>
        <v/>
      </c>
      <c r="I82" s="5" t="n">
        <f aca="false">IF(H82="",0,IFERROR(MATCH(H82,GL!$A:$A,0),0))</f>
        <v>0</v>
      </c>
      <c r="J82" s="32" t="str">
        <f aca="false">IF(I82=0,"",INDEX(GL!$B:$B,I82))</f>
        <v/>
      </c>
      <c r="K82" s="5" t="str">
        <f aca="false">IF(I82=0,"",IF(INDEX(GL!$C:$C,I82)="","",INDEX(GL!$C:$C,I82)))</f>
        <v/>
      </c>
      <c r="L82" s="19" t="str">
        <f aca="false">IF(I82=0,"",INDEX(GL!$E:$E,I82))</f>
        <v/>
      </c>
      <c r="M82" s="19" t="str">
        <f aca="false">IF(OR(B82=0,I82=0),"",ROUND(G82-L82,2))</f>
        <v/>
      </c>
      <c r="N82" s="5" t="str">
        <f aca="false">IF(A82="","",IF(B82=0,"NOT FOUND: bank ID",IF(I82=0,"NOT FOUND: GL ID",IF(INDEX(GL!$H:$H,I82)&lt;&gt;A82,"BROKEN: GL points elsewhere",IF(OR(INDEX(Bank!$F:$F,B82)&lt;&gt;"Y",INDEX(GL!$F:$F,I82)&lt;&gt;"Y"),"BROKEN: Status not Y","OK")))))</f>
        <v/>
      </c>
    </row>
    <row r="83" customFormat="false" ht="15" hidden="false" customHeight="false" outlineLevel="0" collapsed="false">
      <c r="A83" s="41"/>
      <c r="B83" s="5" t="n">
        <f aca="false">IF(A83="",0,IFERROR(MATCH(A83,Bank!$A:$A,0),0))</f>
        <v>0</v>
      </c>
      <c r="C83" s="5" t="str">
        <f aca="false">IF(B83=0,"",IF(INDEX(Bank!$G:$G,B83)="","",INDEX(Bank!$G:$G,B83)))</f>
        <v/>
      </c>
      <c r="D83" s="5" t="str">
        <f aca="false">IF(B83=0,"",IF(INDEX(Bank!$J:$J,B83)="","",INDEX(Bank!$J:$J,B83)))</f>
        <v/>
      </c>
      <c r="E83" s="32" t="str">
        <f aca="false">IF(B83=0,"",INDEX(Bank!$B:$B,B83))</f>
        <v/>
      </c>
      <c r="F83" s="5" t="str">
        <f aca="false">IF(B83=0,"",IF(INDEX(Bank!$C:$C,B83)="","",INDEX(Bank!$C:$C,B83)))</f>
        <v/>
      </c>
      <c r="G83" s="19" t="str">
        <f aca="false">IF(B83=0,"",INDEX(Bank!$E:$E,B83))</f>
        <v/>
      </c>
      <c r="H83" s="5" t="str">
        <f aca="false">IF(B83=0,"",IF(INDEX(Bank!$H:$H,B83)="","",INDEX(Bank!$H:$H,B83)))</f>
        <v/>
      </c>
      <c r="I83" s="5" t="n">
        <f aca="false">IF(H83="",0,IFERROR(MATCH(H83,GL!$A:$A,0),0))</f>
        <v>0</v>
      </c>
      <c r="J83" s="32" t="str">
        <f aca="false">IF(I83=0,"",INDEX(GL!$B:$B,I83))</f>
        <v/>
      </c>
      <c r="K83" s="5" t="str">
        <f aca="false">IF(I83=0,"",IF(INDEX(GL!$C:$C,I83)="","",INDEX(GL!$C:$C,I83)))</f>
        <v/>
      </c>
      <c r="L83" s="19" t="str">
        <f aca="false">IF(I83=0,"",INDEX(GL!$E:$E,I83))</f>
        <v/>
      </c>
      <c r="M83" s="19" t="str">
        <f aca="false">IF(OR(B83=0,I83=0),"",ROUND(G83-L83,2))</f>
        <v/>
      </c>
      <c r="N83" s="5" t="str">
        <f aca="false">IF(A83="","",IF(B83=0,"NOT FOUND: bank ID",IF(I83=0,"NOT FOUND: GL ID",IF(INDEX(GL!$H:$H,I83)&lt;&gt;A83,"BROKEN: GL points elsewhere",IF(OR(INDEX(Bank!$F:$F,B83)&lt;&gt;"Y",INDEX(GL!$F:$F,I83)&lt;&gt;"Y"),"BROKEN: Status not Y","OK")))))</f>
        <v/>
      </c>
    </row>
    <row r="84" customFormat="false" ht="15" hidden="false" customHeight="false" outlineLevel="0" collapsed="false">
      <c r="A84" s="41"/>
      <c r="B84" s="5" t="n">
        <f aca="false">IF(A84="",0,IFERROR(MATCH(A84,Bank!$A:$A,0),0))</f>
        <v>0</v>
      </c>
      <c r="C84" s="5" t="str">
        <f aca="false">IF(B84=0,"",IF(INDEX(Bank!$G:$G,B84)="","",INDEX(Bank!$G:$G,B84)))</f>
        <v/>
      </c>
      <c r="D84" s="5" t="str">
        <f aca="false">IF(B84=0,"",IF(INDEX(Bank!$J:$J,B84)="","",INDEX(Bank!$J:$J,B84)))</f>
        <v/>
      </c>
      <c r="E84" s="32" t="str">
        <f aca="false">IF(B84=0,"",INDEX(Bank!$B:$B,B84))</f>
        <v/>
      </c>
      <c r="F84" s="5" t="str">
        <f aca="false">IF(B84=0,"",IF(INDEX(Bank!$C:$C,B84)="","",INDEX(Bank!$C:$C,B84)))</f>
        <v/>
      </c>
      <c r="G84" s="19" t="str">
        <f aca="false">IF(B84=0,"",INDEX(Bank!$E:$E,B84))</f>
        <v/>
      </c>
      <c r="H84" s="5" t="str">
        <f aca="false">IF(B84=0,"",IF(INDEX(Bank!$H:$H,B84)="","",INDEX(Bank!$H:$H,B84)))</f>
        <v/>
      </c>
      <c r="I84" s="5" t="n">
        <f aca="false">IF(H84="",0,IFERROR(MATCH(H84,GL!$A:$A,0),0))</f>
        <v>0</v>
      </c>
      <c r="J84" s="32" t="str">
        <f aca="false">IF(I84=0,"",INDEX(GL!$B:$B,I84))</f>
        <v/>
      </c>
      <c r="K84" s="5" t="str">
        <f aca="false">IF(I84=0,"",IF(INDEX(GL!$C:$C,I84)="","",INDEX(GL!$C:$C,I84)))</f>
        <v/>
      </c>
      <c r="L84" s="19" t="str">
        <f aca="false">IF(I84=0,"",INDEX(GL!$E:$E,I84))</f>
        <v/>
      </c>
      <c r="M84" s="19" t="str">
        <f aca="false">IF(OR(B84=0,I84=0),"",ROUND(G84-L84,2))</f>
        <v/>
      </c>
      <c r="N84" s="5" t="str">
        <f aca="false">IF(A84="","",IF(B84=0,"NOT FOUND: bank ID",IF(I84=0,"NOT FOUND: GL ID",IF(INDEX(GL!$H:$H,I84)&lt;&gt;A84,"BROKEN: GL points elsewhere",IF(OR(INDEX(Bank!$F:$F,B84)&lt;&gt;"Y",INDEX(GL!$F:$F,I84)&lt;&gt;"Y"),"BROKEN: Status not Y","OK")))))</f>
        <v/>
      </c>
    </row>
    <row r="85" customFormat="false" ht="15" hidden="false" customHeight="false" outlineLevel="0" collapsed="false">
      <c r="A85" s="41"/>
      <c r="B85" s="5" t="n">
        <f aca="false">IF(A85="",0,IFERROR(MATCH(A85,Bank!$A:$A,0),0))</f>
        <v>0</v>
      </c>
      <c r="C85" s="5" t="str">
        <f aca="false">IF(B85=0,"",IF(INDEX(Bank!$G:$G,B85)="","",INDEX(Bank!$G:$G,B85)))</f>
        <v/>
      </c>
      <c r="D85" s="5" t="str">
        <f aca="false">IF(B85=0,"",IF(INDEX(Bank!$J:$J,B85)="","",INDEX(Bank!$J:$J,B85)))</f>
        <v/>
      </c>
      <c r="E85" s="32" t="str">
        <f aca="false">IF(B85=0,"",INDEX(Bank!$B:$B,B85))</f>
        <v/>
      </c>
      <c r="F85" s="5" t="str">
        <f aca="false">IF(B85=0,"",IF(INDEX(Bank!$C:$C,B85)="","",INDEX(Bank!$C:$C,B85)))</f>
        <v/>
      </c>
      <c r="G85" s="19" t="str">
        <f aca="false">IF(B85=0,"",INDEX(Bank!$E:$E,B85))</f>
        <v/>
      </c>
      <c r="H85" s="5" t="str">
        <f aca="false">IF(B85=0,"",IF(INDEX(Bank!$H:$H,B85)="","",INDEX(Bank!$H:$H,B85)))</f>
        <v/>
      </c>
      <c r="I85" s="5" t="n">
        <f aca="false">IF(H85="",0,IFERROR(MATCH(H85,GL!$A:$A,0),0))</f>
        <v>0</v>
      </c>
      <c r="J85" s="32" t="str">
        <f aca="false">IF(I85=0,"",INDEX(GL!$B:$B,I85))</f>
        <v/>
      </c>
      <c r="K85" s="5" t="str">
        <f aca="false">IF(I85=0,"",IF(INDEX(GL!$C:$C,I85)="","",INDEX(GL!$C:$C,I85)))</f>
        <v/>
      </c>
      <c r="L85" s="19" t="str">
        <f aca="false">IF(I85=0,"",INDEX(GL!$E:$E,I85))</f>
        <v/>
      </c>
      <c r="M85" s="19" t="str">
        <f aca="false">IF(OR(B85=0,I85=0),"",ROUND(G85-L85,2))</f>
        <v/>
      </c>
      <c r="N85" s="5" t="str">
        <f aca="false">IF(A85="","",IF(B85=0,"NOT FOUND: bank ID",IF(I85=0,"NOT FOUND: GL ID",IF(INDEX(GL!$H:$H,I85)&lt;&gt;A85,"BROKEN: GL points elsewhere",IF(OR(INDEX(Bank!$F:$F,B85)&lt;&gt;"Y",INDEX(GL!$F:$F,I85)&lt;&gt;"Y"),"BROKEN: Status not Y","OK")))))</f>
        <v/>
      </c>
    </row>
    <row r="86" customFormat="false" ht="15" hidden="false" customHeight="false" outlineLevel="0" collapsed="false">
      <c r="A86" s="41"/>
      <c r="B86" s="5" t="n">
        <f aca="false">IF(A86="",0,IFERROR(MATCH(A86,Bank!$A:$A,0),0))</f>
        <v>0</v>
      </c>
      <c r="C86" s="5" t="str">
        <f aca="false">IF(B86=0,"",IF(INDEX(Bank!$G:$G,B86)="","",INDEX(Bank!$G:$G,B86)))</f>
        <v/>
      </c>
      <c r="D86" s="5" t="str">
        <f aca="false">IF(B86=0,"",IF(INDEX(Bank!$J:$J,B86)="","",INDEX(Bank!$J:$J,B86)))</f>
        <v/>
      </c>
      <c r="E86" s="32" t="str">
        <f aca="false">IF(B86=0,"",INDEX(Bank!$B:$B,B86))</f>
        <v/>
      </c>
      <c r="F86" s="5" t="str">
        <f aca="false">IF(B86=0,"",IF(INDEX(Bank!$C:$C,B86)="","",INDEX(Bank!$C:$C,B86)))</f>
        <v/>
      </c>
      <c r="G86" s="19" t="str">
        <f aca="false">IF(B86=0,"",INDEX(Bank!$E:$E,B86))</f>
        <v/>
      </c>
      <c r="H86" s="5" t="str">
        <f aca="false">IF(B86=0,"",IF(INDEX(Bank!$H:$H,B86)="","",INDEX(Bank!$H:$H,B86)))</f>
        <v/>
      </c>
      <c r="I86" s="5" t="n">
        <f aca="false">IF(H86="",0,IFERROR(MATCH(H86,GL!$A:$A,0),0))</f>
        <v>0</v>
      </c>
      <c r="J86" s="32" t="str">
        <f aca="false">IF(I86=0,"",INDEX(GL!$B:$B,I86))</f>
        <v/>
      </c>
      <c r="K86" s="5" t="str">
        <f aca="false">IF(I86=0,"",IF(INDEX(GL!$C:$C,I86)="","",INDEX(GL!$C:$C,I86)))</f>
        <v/>
      </c>
      <c r="L86" s="19" t="str">
        <f aca="false">IF(I86=0,"",INDEX(GL!$E:$E,I86))</f>
        <v/>
      </c>
      <c r="M86" s="19" t="str">
        <f aca="false">IF(OR(B86=0,I86=0),"",ROUND(G86-L86,2))</f>
        <v/>
      </c>
      <c r="N86" s="5" t="str">
        <f aca="false">IF(A86="","",IF(B86=0,"NOT FOUND: bank ID",IF(I86=0,"NOT FOUND: GL ID",IF(INDEX(GL!$H:$H,I86)&lt;&gt;A86,"BROKEN: GL points elsewhere",IF(OR(INDEX(Bank!$F:$F,B86)&lt;&gt;"Y",INDEX(GL!$F:$F,I86)&lt;&gt;"Y"),"BROKEN: Status not Y","OK")))))</f>
        <v/>
      </c>
    </row>
    <row r="87" customFormat="false" ht="15" hidden="false" customHeight="false" outlineLevel="0" collapsed="false">
      <c r="A87" s="41"/>
      <c r="B87" s="5" t="n">
        <f aca="false">IF(A87="",0,IFERROR(MATCH(A87,Bank!$A:$A,0),0))</f>
        <v>0</v>
      </c>
      <c r="C87" s="5" t="str">
        <f aca="false">IF(B87=0,"",IF(INDEX(Bank!$G:$G,B87)="","",INDEX(Bank!$G:$G,B87)))</f>
        <v/>
      </c>
      <c r="D87" s="5" t="str">
        <f aca="false">IF(B87=0,"",IF(INDEX(Bank!$J:$J,B87)="","",INDEX(Bank!$J:$J,B87)))</f>
        <v/>
      </c>
      <c r="E87" s="32" t="str">
        <f aca="false">IF(B87=0,"",INDEX(Bank!$B:$B,B87))</f>
        <v/>
      </c>
      <c r="F87" s="5" t="str">
        <f aca="false">IF(B87=0,"",IF(INDEX(Bank!$C:$C,B87)="","",INDEX(Bank!$C:$C,B87)))</f>
        <v/>
      </c>
      <c r="G87" s="19" t="str">
        <f aca="false">IF(B87=0,"",INDEX(Bank!$E:$E,B87))</f>
        <v/>
      </c>
      <c r="H87" s="5" t="str">
        <f aca="false">IF(B87=0,"",IF(INDEX(Bank!$H:$H,B87)="","",INDEX(Bank!$H:$H,B87)))</f>
        <v/>
      </c>
      <c r="I87" s="5" t="n">
        <f aca="false">IF(H87="",0,IFERROR(MATCH(H87,GL!$A:$A,0),0))</f>
        <v>0</v>
      </c>
      <c r="J87" s="32" t="str">
        <f aca="false">IF(I87=0,"",INDEX(GL!$B:$B,I87))</f>
        <v/>
      </c>
      <c r="K87" s="5" t="str">
        <f aca="false">IF(I87=0,"",IF(INDEX(GL!$C:$C,I87)="","",INDEX(GL!$C:$C,I87)))</f>
        <v/>
      </c>
      <c r="L87" s="19" t="str">
        <f aca="false">IF(I87=0,"",INDEX(GL!$E:$E,I87))</f>
        <v/>
      </c>
      <c r="M87" s="19" t="str">
        <f aca="false">IF(OR(B87=0,I87=0),"",ROUND(G87-L87,2))</f>
        <v/>
      </c>
      <c r="N87" s="5" t="str">
        <f aca="false">IF(A87="","",IF(B87=0,"NOT FOUND: bank ID",IF(I87=0,"NOT FOUND: GL ID",IF(INDEX(GL!$H:$H,I87)&lt;&gt;A87,"BROKEN: GL points elsewhere",IF(OR(INDEX(Bank!$F:$F,B87)&lt;&gt;"Y",INDEX(GL!$F:$F,I87)&lt;&gt;"Y"),"BROKEN: Status not Y","OK")))))</f>
        <v/>
      </c>
    </row>
    <row r="88" customFormat="false" ht="15" hidden="false" customHeight="false" outlineLevel="0" collapsed="false">
      <c r="A88" s="41"/>
      <c r="B88" s="5" t="n">
        <f aca="false">IF(A88="",0,IFERROR(MATCH(A88,Bank!$A:$A,0),0))</f>
        <v>0</v>
      </c>
      <c r="C88" s="5" t="str">
        <f aca="false">IF(B88=0,"",IF(INDEX(Bank!$G:$G,B88)="","",INDEX(Bank!$G:$G,B88)))</f>
        <v/>
      </c>
      <c r="D88" s="5" t="str">
        <f aca="false">IF(B88=0,"",IF(INDEX(Bank!$J:$J,B88)="","",INDEX(Bank!$J:$J,B88)))</f>
        <v/>
      </c>
      <c r="E88" s="32" t="str">
        <f aca="false">IF(B88=0,"",INDEX(Bank!$B:$B,B88))</f>
        <v/>
      </c>
      <c r="F88" s="5" t="str">
        <f aca="false">IF(B88=0,"",IF(INDEX(Bank!$C:$C,B88)="","",INDEX(Bank!$C:$C,B88)))</f>
        <v/>
      </c>
      <c r="G88" s="19" t="str">
        <f aca="false">IF(B88=0,"",INDEX(Bank!$E:$E,B88))</f>
        <v/>
      </c>
      <c r="H88" s="5" t="str">
        <f aca="false">IF(B88=0,"",IF(INDEX(Bank!$H:$H,B88)="","",INDEX(Bank!$H:$H,B88)))</f>
        <v/>
      </c>
      <c r="I88" s="5" t="n">
        <f aca="false">IF(H88="",0,IFERROR(MATCH(H88,GL!$A:$A,0),0))</f>
        <v>0</v>
      </c>
      <c r="J88" s="32" t="str">
        <f aca="false">IF(I88=0,"",INDEX(GL!$B:$B,I88))</f>
        <v/>
      </c>
      <c r="K88" s="5" t="str">
        <f aca="false">IF(I88=0,"",IF(INDEX(GL!$C:$C,I88)="","",INDEX(GL!$C:$C,I88)))</f>
        <v/>
      </c>
      <c r="L88" s="19" t="str">
        <f aca="false">IF(I88=0,"",INDEX(GL!$E:$E,I88))</f>
        <v/>
      </c>
      <c r="M88" s="19" t="str">
        <f aca="false">IF(OR(B88=0,I88=0),"",ROUND(G88-L88,2))</f>
        <v/>
      </c>
      <c r="N88" s="5" t="str">
        <f aca="false">IF(A88="","",IF(B88=0,"NOT FOUND: bank ID",IF(I88=0,"NOT FOUND: GL ID",IF(INDEX(GL!$H:$H,I88)&lt;&gt;A88,"BROKEN: GL points elsewhere",IF(OR(INDEX(Bank!$F:$F,B88)&lt;&gt;"Y",INDEX(GL!$F:$F,I88)&lt;&gt;"Y"),"BROKEN: Status not Y","OK")))))</f>
        <v/>
      </c>
    </row>
    <row r="89" customFormat="false" ht="15" hidden="false" customHeight="false" outlineLevel="0" collapsed="false">
      <c r="A89" s="41"/>
      <c r="B89" s="5" t="n">
        <f aca="false">IF(A89="",0,IFERROR(MATCH(A89,Bank!$A:$A,0),0))</f>
        <v>0</v>
      </c>
      <c r="C89" s="5" t="str">
        <f aca="false">IF(B89=0,"",IF(INDEX(Bank!$G:$G,B89)="","",INDEX(Bank!$G:$G,B89)))</f>
        <v/>
      </c>
      <c r="D89" s="5" t="str">
        <f aca="false">IF(B89=0,"",IF(INDEX(Bank!$J:$J,B89)="","",INDEX(Bank!$J:$J,B89)))</f>
        <v/>
      </c>
      <c r="E89" s="32" t="str">
        <f aca="false">IF(B89=0,"",INDEX(Bank!$B:$B,B89))</f>
        <v/>
      </c>
      <c r="F89" s="5" t="str">
        <f aca="false">IF(B89=0,"",IF(INDEX(Bank!$C:$C,B89)="","",INDEX(Bank!$C:$C,B89)))</f>
        <v/>
      </c>
      <c r="G89" s="19" t="str">
        <f aca="false">IF(B89=0,"",INDEX(Bank!$E:$E,B89))</f>
        <v/>
      </c>
      <c r="H89" s="5" t="str">
        <f aca="false">IF(B89=0,"",IF(INDEX(Bank!$H:$H,B89)="","",INDEX(Bank!$H:$H,B89)))</f>
        <v/>
      </c>
      <c r="I89" s="5" t="n">
        <f aca="false">IF(H89="",0,IFERROR(MATCH(H89,GL!$A:$A,0),0))</f>
        <v>0</v>
      </c>
      <c r="J89" s="32" t="str">
        <f aca="false">IF(I89=0,"",INDEX(GL!$B:$B,I89))</f>
        <v/>
      </c>
      <c r="K89" s="5" t="str">
        <f aca="false">IF(I89=0,"",IF(INDEX(GL!$C:$C,I89)="","",INDEX(GL!$C:$C,I89)))</f>
        <v/>
      </c>
      <c r="L89" s="19" t="str">
        <f aca="false">IF(I89=0,"",INDEX(GL!$E:$E,I89))</f>
        <v/>
      </c>
      <c r="M89" s="19" t="str">
        <f aca="false">IF(OR(B89=0,I89=0),"",ROUND(G89-L89,2))</f>
        <v/>
      </c>
      <c r="N89" s="5" t="str">
        <f aca="false">IF(A89="","",IF(B89=0,"NOT FOUND: bank ID",IF(I89=0,"NOT FOUND: GL ID",IF(INDEX(GL!$H:$H,I89)&lt;&gt;A89,"BROKEN: GL points elsewhere",IF(OR(INDEX(Bank!$F:$F,B89)&lt;&gt;"Y",INDEX(GL!$F:$F,I89)&lt;&gt;"Y"),"BROKEN: Status not Y","OK")))))</f>
        <v/>
      </c>
    </row>
    <row r="90" customFormat="false" ht="15" hidden="false" customHeight="false" outlineLevel="0" collapsed="false">
      <c r="A90" s="41"/>
      <c r="B90" s="5" t="n">
        <f aca="false">IF(A90="",0,IFERROR(MATCH(A90,Bank!$A:$A,0),0))</f>
        <v>0</v>
      </c>
      <c r="C90" s="5" t="str">
        <f aca="false">IF(B90=0,"",IF(INDEX(Bank!$G:$G,B90)="","",INDEX(Bank!$G:$G,B90)))</f>
        <v/>
      </c>
      <c r="D90" s="5" t="str">
        <f aca="false">IF(B90=0,"",IF(INDEX(Bank!$J:$J,B90)="","",INDEX(Bank!$J:$J,B90)))</f>
        <v/>
      </c>
      <c r="E90" s="32" t="str">
        <f aca="false">IF(B90=0,"",INDEX(Bank!$B:$B,B90))</f>
        <v/>
      </c>
      <c r="F90" s="5" t="str">
        <f aca="false">IF(B90=0,"",IF(INDEX(Bank!$C:$C,B90)="","",INDEX(Bank!$C:$C,B90)))</f>
        <v/>
      </c>
      <c r="G90" s="19" t="str">
        <f aca="false">IF(B90=0,"",INDEX(Bank!$E:$E,B90))</f>
        <v/>
      </c>
      <c r="H90" s="5" t="str">
        <f aca="false">IF(B90=0,"",IF(INDEX(Bank!$H:$H,B90)="","",INDEX(Bank!$H:$H,B90)))</f>
        <v/>
      </c>
      <c r="I90" s="5" t="n">
        <f aca="false">IF(H90="",0,IFERROR(MATCH(H90,GL!$A:$A,0),0))</f>
        <v>0</v>
      </c>
      <c r="J90" s="32" t="str">
        <f aca="false">IF(I90=0,"",INDEX(GL!$B:$B,I90))</f>
        <v/>
      </c>
      <c r="K90" s="5" t="str">
        <f aca="false">IF(I90=0,"",IF(INDEX(GL!$C:$C,I90)="","",INDEX(GL!$C:$C,I90)))</f>
        <v/>
      </c>
      <c r="L90" s="19" t="str">
        <f aca="false">IF(I90=0,"",INDEX(GL!$E:$E,I90))</f>
        <v/>
      </c>
      <c r="M90" s="19" t="str">
        <f aca="false">IF(OR(B90=0,I90=0),"",ROUND(G90-L90,2))</f>
        <v/>
      </c>
      <c r="N90" s="5" t="str">
        <f aca="false">IF(A90="","",IF(B90=0,"NOT FOUND: bank ID",IF(I90=0,"NOT FOUND: GL ID",IF(INDEX(GL!$H:$H,I90)&lt;&gt;A90,"BROKEN: GL points elsewhere",IF(OR(INDEX(Bank!$F:$F,B90)&lt;&gt;"Y",INDEX(GL!$F:$F,I90)&lt;&gt;"Y"),"BROKEN: Status not Y","OK")))))</f>
        <v/>
      </c>
    </row>
    <row r="91" customFormat="false" ht="15" hidden="false" customHeight="false" outlineLevel="0" collapsed="false">
      <c r="A91" s="41"/>
      <c r="B91" s="5" t="n">
        <f aca="false">IF(A91="",0,IFERROR(MATCH(A91,Bank!$A:$A,0),0))</f>
        <v>0</v>
      </c>
      <c r="C91" s="5" t="str">
        <f aca="false">IF(B91=0,"",IF(INDEX(Bank!$G:$G,B91)="","",INDEX(Bank!$G:$G,B91)))</f>
        <v/>
      </c>
      <c r="D91" s="5" t="str">
        <f aca="false">IF(B91=0,"",IF(INDEX(Bank!$J:$J,B91)="","",INDEX(Bank!$J:$J,B91)))</f>
        <v/>
      </c>
      <c r="E91" s="32" t="str">
        <f aca="false">IF(B91=0,"",INDEX(Bank!$B:$B,B91))</f>
        <v/>
      </c>
      <c r="F91" s="5" t="str">
        <f aca="false">IF(B91=0,"",IF(INDEX(Bank!$C:$C,B91)="","",INDEX(Bank!$C:$C,B91)))</f>
        <v/>
      </c>
      <c r="G91" s="19" t="str">
        <f aca="false">IF(B91=0,"",INDEX(Bank!$E:$E,B91))</f>
        <v/>
      </c>
      <c r="H91" s="5" t="str">
        <f aca="false">IF(B91=0,"",IF(INDEX(Bank!$H:$H,B91)="","",INDEX(Bank!$H:$H,B91)))</f>
        <v/>
      </c>
      <c r="I91" s="5" t="n">
        <f aca="false">IF(H91="",0,IFERROR(MATCH(H91,GL!$A:$A,0),0))</f>
        <v>0</v>
      </c>
      <c r="J91" s="32" t="str">
        <f aca="false">IF(I91=0,"",INDEX(GL!$B:$B,I91))</f>
        <v/>
      </c>
      <c r="K91" s="5" t="str">
        <f aca="false">IF(I91=0,"",IF(INDEX(GL!$C:$C,I91)="","",INDEX(GL!$C:$C,I91)))</f>
        <v/>
      </c>
      <c r="L91" s="19" t="str">
        <f aca="false">IF(I91=0,"",INDEX(GL!$E:$E,I91))</f>
        <v/>
      </c>
      <c r="M91" s="19" t="str">
        <f aca="false">IF(OR(B91=0,I91=0),"",ROUND(G91-L91,2))</f>
        <v/>
      </c>
      <c r="N91" s="5" t="str">
        <f aca="false">IF(A91="","",IF(B91=0,"NOT FOUND: bank ID",IF(I91=0,"NOT FOUND: GL ID",IF(INDEX(GL!$H:$H,I91)&lt;&gt;A91,"BROKEN: GL points elsewhere",IF(OR(INDEX(Bank!$F:$F,B91)&lt;&gt;"Y",INDEX(GL!$F:$F,I91)&lt;&gt;"Y"),"BROKEN: Status not Y","OK")))))</f>
        <v/>
      </c>
    </row>
    <row r="92" customFormat="false" ht="15" hidden="false" customHeight="false" outlineLevel="0" collapsed="false">
      <c r="A92" s="41"/>
      <c r="B92" s="5" t="n">
        <f aca="false">IF(A92="",0,IFERROR(MATCH(A92,Bank!$A:$A,0),0))</f>
        <v>0</v>
      </c>
      <c r="C92" s="5" t="str">
        <f aca="false">IF(B92=0,"",IF(INDEX(Bank!$G:$G,B92)="","",INDEX(Bank!$G:$G,B92)))</f>
        <v/>
      </c>
      <c r="D92" s="5" t="str">
        <f aca="false">IF(B92=0,"",IF(INDEX(Bank!$J:$J,B92)="","",INDEX(Bank!$J:$J,B92)))</f>
        <v/>
      </c>
      <c r="E92" s="32" t="str">
        <f aca="false">IF(B92=0,"",INDEX(Bank!$B:$B,B92))</f>
        <v/>
      </c>
      <c r="F92" s="5" t="str">
        <f aca="false">IF(B92=0,"",IF(INDEX(Bank!$C:$C,B92)="","",INDEX(Bank!$C:$C,B92)))</f>
        <v/>
      </c>
      <c r="G92" s="19" t="str">
        <f aca="false">IF(B92=0,"",INDEX(Bank!$E:$E,B92))</f>
        <v/>
      </c>
      <c r="H92" s="5" t="str">
        <f aca="false">IF(B92=0,"",IF(INDEX(Bank!$H:$H,B92)="","",INDEX(Bank!$H:$H,B92)))</f>
        <v/>
      </c>
      <c r="I92" s="5" t="n">
        <f aca="false">IF(H92="",0,IFERROR(MATCH(H92,GL!$A:$A,0),0))</f>
        <v>0</v>
      </c>
      <c r="J92" s="32" t="str">
        <f aca="false">IF(I92=0,"",INDEX(GL!$B:$B,I92))</f>
        <v/>
      </c>
      <c r="K92" s="5" t="str">
        <f aca="false">IF(I92=0,"",IF(INDEX(GL!$C:$C,I92)="","",INDEX(GL!$C:$C,I92)))</f>
        <v/>
      </c>
      <c r="L92" s="19" t="str">
        <f aca="false">IF(I92=0,"",INDEX(GL!$E:$E,I92))</f>
        <v/>
      </c>
      <c r="M92" s="19" t="str">
        <f aca="false">IF(OR(B92=0,I92=0),"",ROUND(G92-L92,2))</f>
        <v/>
      </c>
      <c r="N92" s="5" t="str">
        <f aca="false">IF(A92="","",IF(B92=0,"NOT FOUND: bank ID",IF(I92=0,"NOT FOUND: GL ID",IF(INDEX(GL!$H:$H,I92)&lt;&gt;A92,"BROKEN: GL points elsewhere",IF(OR(INDEX(Bank!$F:$F,B92)&lt;&gt;"Y",INDEX(GL!$F:$F,I92)&lt;&gt;"Y"),"BROKEN: Status not Y","OK")))))</f>
        <v/>
      </c>
    </row>
    <row r="93" customFormat="false" ht="15" hidden="false" customHeight="false" outlineLevel="0" collapsed="false">
      <c r="A93" s="41"/>
      <c r="B93" s="5" t="n">
        <f aca="false">IF(A93="",0,IFERROR(MATCH(A93,Bank!$A:$A,0),0))</f>
        <v>0</v>
      </c>
      <c r="C93" s="5" t="str">
        <f aca="false">IF(B93=0,"",IF(INDEX(Bank!$G:$G,B93)="","",INDEX(Bank!$G:$G,B93)))</f>
        <v/>
      </c>
      <c r="D93" s="5" t="str">
        <f aca="false">IF(B93=0,"",IF(INDEX(Bank!$J:$J,B93)="","",INDEX(Bank!$J:$J,B93)))</f>
        <v/>
      </c>
      <c r="E93" s="32" t="str">
        <f aca="false">IF(B93=0,"",INDEX(Bank!$B:$B,B93))</f>
        <v/>
      </c>
      <c r="F93" s="5" t="str">
        <f aca="false">IF(B93=0,"",IF(INDEX(Bank!$C:$C,B93)="","",INDEX(Bank!$C:$C,B93)))</f>
        <v/>
      </c>
      <c r="G93" s="19" t="str">
        <f aca="false">IF(B93=0,"",INDEX(Bank!$E:$E,B93))</f>
        <v/>
      </c>
      <c r="H93" s="5" t="str">
        <f aca="false">IF(B93=0,"",IF(INDEX(Bank!$H:$H,B93)="","",INDEX(Bank!$H:$H,B93)))</f>
        <v/>
      </c>
      <c r="I93" s="5" t="n">
        <f aca="false">IF(H93="",0,IFERROR(MATCH(H93,GL!$A:$A,0),0))</f>
        <v>0</v>
      </c>
      <c r="J93" s="32" t="str">
        <f aca="false">IF(I93=0,"",INDEX(GL!$B:$B,I93))</f>
        <v/>
      </c>
      <c r="K93" s="5" t="str">
        <f aca="false">IF(I93=0,"",IF(INDEX(GL!$C:$C,I93)="","",INDEX(GL!$C:$C,I93)))</f>
        <v/>
      </c>
      <c r="L93" s="19" t="str">
        <f aca="false">IF(I93=0,"",INDEX(GL!$E:$E,I93))</f>
        <v/>
      </c>
      <c r="M93" s="19" t="str">
        <f aca="false">IF(OR(B93=0,I93=0),"",ROUND(G93-L93,2))</f>
        <v/>
      </c>
      <c r="N93" s="5" t="str">
        <f aca="false">IF(A93="","",IF(B93=0,"NOT FOUND: bank ID",IF(I93=0,"NOT FOUND: GL ID",IF(INDEX(GL!$H:$H,I93)&lt;&gt;A93,"BROKEN: GL points elsewhere",IF(OR(INDEX(Bank!$F:$F,B93)&lt;&gt;"Y",INDEX(GL!$F:$F,I93)&lt;&gt;"Y"),"BROKEN: Status not Y","OK")))))</f>
        <v/>
      </c>
    </row>
    <row r="94" customFormat="false" ht="15" hidden="false" customHeight="false" outlineLevel="0" collapsed="false">
      <c r="A94" s="41"/>
      <c r="B94" s="5" t="n">
        <f aca="false">IF(A94="",0,IFERROR(MATCH(A94,Bank!$A:$A,0),0))</f>
        <v>0</v>
      </c>
      <c r="C94" s="5" t="str">
        <f aca="false">IF(B94=0,"",IF(INDEX(Bank!$G:$G,B94)="","",INDEX(Bank!$G:$G,B94)))</f>
        <v/>
      </c>
      <c r="D94" s="5" t="str">
        <f aca="false">IF(B94=0,"",IF(INDEX(Bank!$J:$J,B94)="","",INDEX(Bank!$J:$J,B94)))</f>
        <v/>
      </c>
      <c r="E94" s="32" t="str">
        <f aca="false">IF(B94=0,"",INDEX(Bank!$B:$B,B94))</f>
        <v/>
      </c>
      <c r="F94" s="5" t="str">
        <f aca="false">IF(B94=0,"",IF(INDEX(Bank!$C:$C,B94)="","",INDEX(Bank!$C:$C,B94)))</f>
        <v/>
      </c>
      <c r="G94" s="19" t="str">
        <f aca="false">IF(B94=0,"",INDEX(Bank!$E:$E,B94))</f>
        <v/>
      </c>
      <c r="H94" s="5" t="str">
        <f aca="false">IF(B94=0,"",IF(INDEX(Bank!$H:$H,B94)="","",INDEX(Bank!$H:$H,B94)))</f>
        <v/>
      </c>
      <c r="I94" s="5" t="n">
        <f aca="false">IF(H94="",0,IFERROR(MATCH(H94,GL!$A:$A,0),0))</f>
        <v>0</v>
      </c>
      <c r="J94" s="32" t="str">
        <f aca="false">IF(I94=0,"",INDEX(GL!$B:$B,I94))</f>
        <v/>
      </c>
      <c r="K94" s="5" t="str">
        <f aca="false">IF(I94=0,"",IF(INDEX(GL!$C:$C,I94)="","",INDEX(GL!$C:$C,I94)))</f>
        <v/>
      </c>
      <c r="L94" s="19" t="str">
        <f aca="false">IF(I94=0,"",INDEX(GL!$E:$E,I94))</f>
        <v/>
      </c>
      <c r="M94" s="19" t="str">
        <f aca="false">IF(OR(B94=0,I94=0),"",ROUND(G94-L94,2))</f>
        <v/>
      </c>
      <c r="N94" s="5" t="str">
        <f aca="false">IF(A94="","",IF(B94=0,"NOT FOUND: bank ID",IF(I94=0,"NOT FOUND: GL ID",IF(INDEX(GL!$H:$H,I94)&lt;&gt;A94,"BROKEN: GL points elsewhere",IF(OR(INDEX(Bank!$F:$F,B94)&lt;&gt;"Y",INDEX(GL!$F:$F,I94)&lt;&gt;"Y"),"BROKEN: Status not Y","OK")))))</f>
        <v/>
      </c>
    </row>
    <row r="95" customFormat="false" ht="15" hidden="false" customHeight="false" outlineLevel="0" collapsed="false">
      <c r="A95" s="41"/>
      <c r="B95" s="5" t="n">
        <f aca="false">IF(A95="",0,IFERROR(MATCH(A95,Bank!$A:$A,0),0))</f>
        <v>0</v>
      </c>
      <c r="C95" s="5" t="str">
        <f aca="false">IF(B95=0,"",IF(INDEX(Bank!$G:$G,B95)="","",INDEX(Bank!$G:$G,B95)))</f>
        <v/>
      </c>
      <c r="D95" s="5" t="str">
        <f aca="false">IF(B95=0,"",IF(INDEX(Bank!$J:$J,B95)="","",INDEX(Bank!$J:$J,B95)))</f>
        <v/>
      </c>
      <c r="E95" s="32" t="str">
        <f aca="false">IF(B95=0,"",INDEX(Bank!$B:$B,B95))</f>
        <v/>
      </c>
      <c r="F95" s="5" t="str">
        <f aca="false">IF(B95=0,"",IF(INDEX(Bank!$C:$C,B95)="","",INDEX(Bank!$C:$C,B95)))</f>
        <v/>
      </c>
      <c r="G95" s="19" t="str">
        <f aca="false">IF(B95=0,"",INDEX(Bank!$E:$E,B95))</f>
        <v/>
      </c>
      <c r="H95" s="5" t="str">
        <f aca="false">IF(B95=0,"",IF(INDEX(Bank!$H:$H,B95)="","",INDEX(Bank!$H:$H,B95)))</f>
        <v/>
      </c>
      <c r="I95" s="5" t="n">
        <f aca="false">IF(H95="",0,IFERROR(MATCH(H95,GL!$A:$A,0),0))</f>
        <v>0</v>
      </c>
      <c r="J95" s="32" t="str">
        <f aca="false">IF(I95=0,"",INDEX(GL!$B:$B,I95))</f>
        <v/>
      </c>
      <c r="K95" s="5" t="str">
        <f aca="false">IF(I95=0,"",IF(INDEX(GL!$C:$C,I95)="","",INDEX(GL!$C:$C,I95)))</f>
        <v/>
      </c>
      <c r="L95" s="19" t="str">
        <f aca="false">IF(I95=0,"",INDEX(GL!$E:$E,I95))</f>
        <v/>
      </c>
      <c r="M95" s="19" t="str">
        <f aca="false">IF(OR(B95=0,I95=0),"",ROUND(G95-L95,2))</f>
        <v/>
      </c>
      <c r="N95" s="5" t="str">
        <f aca="false">IF(A95="","",IF(B95=0,"NOT FOUND: bank ID",IF(I95=0,"NOT FOUND: GL ID",IF(INDEX(GL!$H:$H,I95)&lt;&gt;A95,"BROKEN: GL points elsewhere",IF(OR(INDEX(Bank!$F:$F,B95)&lt;&gt;"Y",INDEX(GL!$F:$F,I95)&lt;&gt;"Y"),"BROKEN: Status not Y","OK")))))</f>
        <v/>
      </c>
    </row>
    <row r="96" customFormat="false" ht="15" hidden="false" customHeight="false" outlineLevel="0" collapsed="false">
      <c r="A96" s="41"/>
      <c r="B96" s="5" t="n">
        <f aca="false">IF(A96="",0,IFERROR(MATCH(A96,Bank!$A:$A,0),0))</f>
        <v>0</v>
      </c>
      <c r="C96" s="5" t="str">
        <f aca="false">IF(B96=0,"",IF(INDEX(Bank!$G:$G,B96)="","",INDEX(Bank!$G:$G,B96)))</f>
        <v/>
      </c>
      <c r="D96" s="5" t="str">
        <f aca="false">IF(B96=0,"",IF(INDEX(Bank!$J:$J,B96)="","",INDEX(Bank!$J:$J,B96)))</f>
        <v/>
      </c>
      <c r="E96" s="32" t="str">
        <f aca="false">IF(B96=0,"",INDEX(Bank!$B:$B,B96))</f>
        <v/>
      </c>
      <c r="F96" s="5" t="str">
        <f aca="false">IF(B96=0,"",IF(INDEX(Bank!$C:$C,B96)="","",INDEX(Bank!$C:$C,B96)))</f>
        <v/>
      </c>
      <c r="G96" s="19" t="str">
        <f aca="false">IF(B96=0,"",INDEX(Bank!$E:$E,B96))</f>
        <v/>
      </c>
      <c r="H96" s="5" t="str">
        <f aca="false">IF(B96=0,"",IF(INDEX(Bank!$H:$H,B96)="","",INDEX(Bank!$H:$H,B96)))</f>
        <v/>
      </c>
      <c r="I96" s="5" t="n">
        <f aca="false">IF(H96="",0,IFERROR(MATCH(H96,GL!$A:$A,0),0))</f>
        <v>0</v>
      </c>
      <c r="J96" s="32" t="str">
        <f aca="false">IF(I96=0,"",INDEX(GL!$B:$B,I96))</f>
        <v/>
      </c>
      <c r="K96" s="5" t="str">
        <f aca="false">IF(I96=0,"",IF(INDEX(GL!$C:$C,I96)="","",INDEX(GL!$C:$C,I96)))</f>
        <v/>
      </c>
      <c r="L96" s="19" t="str">
        <f aca="false">IF(I96=0,"",INDEX(GL!$E:$E,I96))</f>
        <v/>
      </c>
      <c r="M96" s="19" t="str">
        <f aca="false">IF(OR(B96=0,I96=0),"",ROUND(G96-L96,2))</f>
        <v/>
      </c>
      <c r="N96" s="5" t="str">
        <f aca="false">IF(A96="","",IF(B96=0,"NOT FOUND: bank ID",IF(I96=0,"NOT FOUND: GL ID",IF(INDEX(GL!$H:$H,I96)&lt;&gt;A96,"BROKEN: GL points elsewhere",IF(OR(INDEX(Bank!$F:$F,B96)&lt;&gt;"Y",INDEX(GL!$F:$F,I96)&lt;&gt;"Y"),"BROKEN: Status not Y","OK")))))</f>
        <v/>
      </c>
    </row>
    <row r="97" customFormat="false" ht="15" hidden="false" customHeight="false" outlineLevel="0" collapsed="false">
      <c r="A97" s="41"/>
      <c r="B97" s="5" t="n">
        <f aca="false">IF(A97="",0,IFERROR(MATCH(A97,Bank!$A:$A,0),0))</f>
        <v>0</v>
      </c>
      <c r="C97" s="5" t="str">
        <f aca="false">IF(B97=0,"",IF(INDEX(Bank!$G:$G,B97)="","",INDEX(Bank!$G:$G,B97)))</f>
        <v/>
      </c>
      <c r="D97" s="5" t="str">
        <f aca="false">IF(B97=0,"",IF(INDEX(Bank!$J:$J,B97)="","",INDEX(Bank!$J:$J,B97)))</f>
        <v/>
      </c>
      <c r="E97" s="32" t="str">
        <f aca="false">IF(B97=0,"",INDEX(Bank!$B:$B,B97))</f>
        <v/>
      </c>
      <c r="F97" s="5" t="str">
        <f aca="false">IF(B97=0,"",IF(INDEX(Bank!$C:$C,B97)="","",INDEX(Bank!$C:$C,B97)))</f>
        <v/>
      </c>
      <c r="G97" s="19" t="str">
        <f aca="false">IF(B97=0,"",INDEX(Bank!$E:$E,B97))</f>
        <v/>
      </c>
      <c r="H97" s="5" t="str">
        <f aca="false">IF(B97=0,"",IF(INDEX(Bank!$H:$H,B97)="","",INDEX(Bank!$H:$H,B97)))</f>
        <v/>
      </c>
      <c r="I97" s="5" t="n">
        <f aca="false">IF(H97="",0,IFERROR(MATCH(H97,GL!$A:$A,0),0))</f>
        <v>0</v>
      </c>
      <c r="J97" s="32" t="str">
        <f aca="false">IF(I97=0,"",INDEX(GL!$B:$B,I97))</f>
        <v/>
      </c>
      <c r="K97" s="5" t="str">
        <f aca="false">IF(I97=0,"",IF(INDEX(GL!$C:$C,I97)="","",INDEX(GL!$C:$C,I97)))</f>
        <v/>
      </c>
      <c r="L97" s="19" t="str">
        <f aca="false">IF(I97=0,"",INDEX(GL!$E:$E,I97))</f>
        <v/>
      </c>
      <c r="M97" s="19" t="str">
        <f aca="false">IF(OR(B97=0,I97=0),"",ROUND(G97-L97,2))</f>
        <v/>
      </c>
      <c r="N97" s="5" t="str">
        <f aca="false">IF(A97="","",IF(B97=0,"NOT FOUND: bank ID",IF(I97=0,"NOT FOUND: GL ID",IF(INDEX(GL!$H:$H,I97)&lt;&gt;A97,"BROKEN: GL points elsewhere",IF(OR(INDEX(Bank!$F:$F,B97)&lt;&gt;"Y",INDEX(GL!$F:$F,I97)&lt;&gt;"Y"),"BROKEN: Status not Y","OK")))))</f>
        <v/>
      </c>
    </row>
    <row r="98" customFormat="false" ht="15" hidden="false" customHeight="false" outlineLevel="0" collapsed="false">
      <c r="A98" s="41"/>
      <c r="B98" s="5" t="n">
        <f aca="false">IF(A98="",0,IFERROR(MATCH(A98,Bank!$A:$A,0),0))</f>
        <v>0</v>
      </c>
      <c r="C98" s="5" t="str">
        <f aca="false">IF(B98=0,"",IF(INDEX(Bank!$G:$G,B98)="","",INDEX(Bank!$G:$G,B98)))</f>
        <v/>
      </c>
      <c r="D98" s="5" t="str">
        <f aca="false">IF(B98=0,"",IF(INDEX(Bank!$J:$J,B98)="","",INDEX(Bank!$J:$J,B98)))</f>
        <v/>
      </c>
      <c r="E98" s="32" t="str">
        <f aca="false">IF(B98=0,"",INDEX(Bank!$B:$B,B98))</f>
        <v/>
      </c>
      <c r="F98" s="5" t="str">
        <f aca="false">IF(B98=0,"",IF(INDEX(Bank!$C:$C,B98)="","",INDEX(Bank!$C:$C,B98)))</f>
        <v/>
      </c>
      <c r="G98" s="19" t="str">
        <f aca="false">IF(B98=0,"",INDEX(Bank!$E:$E,B98))</f>
        <v/>
      </c>
      <c r="H98" s="5" t="str">
        <f aca="false">IF(B98=0,"",IF(INDEX(Bank!$H:$H,B98)="","",INDEX(Bank!$H:$H,B98)))</f>
        <v/>
      </c>
      <c r="I98" s="5" t="n">
        <f aca="false">IF(H98="",0,IFERROR(MATCH(H98,GL!$A:$A,0),0))</f>
        <v>0</v>
      </c>
      <c r="J98" s="32" t="str">
        <f aca="false">IF(I98=0,"",INDEX(GL!$B:$B,I98))</f>
        <v/>
      </c>
      <c r="K98" s="5" t="str">
        <f aca="false">IF(I98=0,"",IF(INDEX(GL!$C:$C,I98)="","",INDEX(GL!$C:$C,I98)))</f>
        <v/>
      </c>
      <c r="L98" s="19" t="str">
        <f aca="false">IF(I98=0,"",INDEX(GL!$E:$E,I98))</f>
        <v/>
      </c>
      <c r="M98" s="19" t="str">
        <f aca="false">IF(OR(B98=0,I98=0),"",ROUND(G98-L98,2))</f>
        <v/>
      </c>
      <c r="N98" s="5" t="str">
        <f aca="false">IF(A98="","",IF(B98=0,"NOT FOUND: bank ID",IF(I98=0,"NOT FOUND: GL ID",IF(INDEX(GL!$H:$H,I98)&lt;&gt;A98,"BROKEN: GL points elsewhere",IF(OR(INDEX(Bank!$F:$F,B98)&lt;&gt;"Y",INDEX(GL!$F:$F,I98)&lt;&gt;"Y"),"BROKEN: Status not Y","OK")))))</f>
        <v/>
      </c>
    </row>
    <row r="99" customFormat="false" ht="15" hidden="false" customHeight="false" outlineLevel="0" collapsed="false">
      <c r="A99" s="41"/>
      <c r="B99" s="5" t="n">
        <f aca="false">IF(A99="",0,IFERROR(MATCH(A99,Bank!$A:$A,0),0))</f>
        <v>0</v>
      </c>
      <c r="C99" s="5" t="str">
        <f aca="false">IF(B99=0,"",IF(INDEX(Bank!$G:$G,B99)="","",INDEX(Bank!$G:$G,B99)))</f>
        <v/>
      </c>
      <c r="D99" s="5" t="str">
        <f aca="false">IF(B99=0,"",IF(INDEX(Bank!$J:$J,B99)="","",INDEX(Bank!$J:$J,B99)))</f>
        <v/>
      </c>
      <c r="E99" s="32" t="str">
        <f aca="false">IF(B99=0,"",INDEX(Bank!$B:$B,B99))</f>
        <v/>
      </c>
      <c r="F99" s="5" t="str">
        <f aca="false">IF(B99=0,"",IF(INDEX(Bank!$C:$C,B99)="","",INDEX(Bank!$C:$C,B99)))</f>
        <v/>
      </c>
      <c r="G99" s="19" t="str">
        <f aca="false">IF(B99=0,"",INDEX(Bank!$E:$E,B99))</f>
        <v/>
      </c>
      <c r="H99" s="5" t="str">
        <f aca="false">IF(B99=0,"",IF(INDEX(Bank!$H:$H,B99)="","",INDEX(Bank!$H:$H,B99)))</f>
        <v/>
      </c>
      <c r="I99" s="5" t="n">
        <f aca="false">IF(H99="",0,IFERROR(MATCH(H99,GL!$A:$A,0),0))</f>
        <v>0</v>
      </c>
      <c r="J99" s="32" t="str">
        <f aca="false">IF(I99=0,"",INDEX(GL!$B:$B,I99))</f>
        <v/>
      </c>
      <c r="K99" s="5" t="str">
        <f aca="false">IF(I99=0,"",IF(INDEX(GL!$C:$C,I99)="","",INDEX(GL!$C:$C,I99)))</f>
        <v/>
      </c>
      <c r="L99" s="19" t="str">
        <f aca="false">IF(I99=0,"",INDEX(GL!$E:$E,I99))</f>
        <v/>
      </c>
      <c r="M99" s="19" t="str">
        <f aca="false">IF(OR(B99=0,I99=0),"",ROUND(G99-L99,2))</f>
        <v/>
      </c>
      <c r="N99" s="5" t="str">
        <f aca="false">IF(A99="","",IF(B99=0,"NOT FOUND: bank ID",IF(I99=0,"NOT FOUND: GL ID",IF(INDEX(GL!$H:$H,I99)&lt;&gt;A99,"BROKEN: GL points elsewhere",IF(OR(INDEX(Bank!$F:$F,B99)&lt;&gt;"Y",INDEX(GL!$F:$F,I99)&lt;&gt;"Y"),"BROKEN: Status not Y","OK")))))</f>
        <v/>
      </c>
    </row>
    <row r="100" customFormat="false" ht="15" hidden="false" customHeight="false" outlineLevel="0" collapsed="false">
      <c r="A100" s="41"/>
      <c r="B100" s="5" t="n">
        <f aca="false">IF(A100="",0,IFERROR(MATCH(A100,Bank!$A:$A,0),0))</f>
        <v>0</v>
      </c>
      <c r="C100" s="5" t="str">
        <f aca="false">IF(B100=0,"",IF(INDEX(Bank!$G:$G,B100)="","",INDEX(Bank!$G:$G,B100)))</f>
        <v/>
      </c>
      <c r="D100" s="5" t="str">
        <f aca="false">IF(B100=0,"",IF(INDEX(Bank!$J:$J,B100)="","",INDEX(Bank!$J:$J,B100)))</f>
        <v/>
      </c>
      <c r="E100" s="32" t="str">
        <f aca="false">IF(B100=0,"",INDEX(Bank!$B:$B,B100))</f>
        <v/>
      </c>
      <c r="F100" s="5" t="str">
        <f aca="false">IF(B100=0,"",IF(INDEX(Bank!$C:$C,B100)="","",INDEX(Bank!$C:$C,B100)))</f>
        <v/>
      </c>
      <c r="G100" s="19" t="str">
        <f aca="false">IF(B100=0,"",INDEX(Bank!$E:$E,B100))</f>
        <v/>
      </c>
      <c r="H100" s="5" t="str">
        <f aca="false">IF(B100=0,"",IF(INDEX(Bank!$H:$H,B100)="","",INDEX(Bank!$H:$H,B100)))</f>
        <v/>
      </c>
      <c r="I100" s="5" t="n">
        <f aca="false">IF(H100="",0,IFERROR(MATCH(H100,GL!$A:$A,0),0))</f>
        <v>0</v>
      </c>
      <c r="J100" s="32" t="str">
        <f aca="false">IF(I100=0,"",INDEX(GL!$B:$B,I100))</f>
        <v/>
      </c>
      <c r="K100" s="5" t="str">
        <f aca="false">IF(I100=0,"",IF(INDEX(GL!$C:$C,I100)="","",INDEX(GL!$C:$C,I100)))</f>
        <v/>
      </c>
      <c r="L100" s="19" t="str">
        <f aca="false">IF(I100=0,"",INDEX(GL!$E:$E,I100))</f>
        <v/>
      </c>
      <c r="M100" s="19" t="str">
        <f aca="false">IF(OR(B100=0,I100=0),"",ROUND(G100-L100,2))</f>
        <v/>
      </c>
      <c r="N100" s="5" t="str">
        <f aca="false">IF(A100="","",IF(B100=0,"NOT FOUND: bank ID",IF(I100=0,"NOT FOUND: GL ID",IF(INDEX(GL!$H:$H,I100)&lt;&gt;A100,"BROKEN: GL points elsewhere",IF(OR(INDEX(Bank!$F:$F,B100)&lt;&gt;"Y",INDEX(GL!$F:$F,I100)&lt;&gt;"Y"),"BROKEN: Status not Y","OK")))))</f>
        <v/>
      </c>
    </row>
    <row r="101" customFormat="false" ht="15" hidden="false" customHeight="false" outlineLevel="0" collapsed="false">
      <c r="A101" s="41"/>
      <c r="B101" s="5" t="n">
        <f aca="false">IF(A101="",0,IFERROR(MATCH(A101,Bank!$A:$A,0),0))</f>
        <v>0</v>
      </c>
      <c r="C101" s="5" t="str">
        <f aca="false">IF(B101=0,"",IF(INDEX(Bank!$G:$G,B101)="","",INDEX(Bank!$G:$G,B101)))</f>
        <v/>
      </c>
      <c r="D101" s="5" t="str">
        <f aca="false">IF(B101=0,"",IF(INDEX(Bank!$J:$J,B101)="","",INDEX(Bank!$J:$J,B101)))</f>
        <v/>
      </c>
      <c r="E101" s="32" t="str">
        <f aca="false">IF(B101=0,"",INDEX(Bank!$B:$B,B101))</f>
        <v/>
      </c>
      <c r="F101" s="5" t="str">
        <f aca="false">IF(B101=0,"",IF(INDEX(Bank!$C:$C,B101)="","",INDEX(Bank!$C:$C,B101)))</f>
        <v/>
      </c>
      <c r="G101" s="19" t="str">
        <f aca="false">IF(B101=0,"",INDEX(Bank!$E:$E,B101))</f>
        <v/>
      </c>
      <c r="H101" s="5" t="str">
        <f aca="false">IF(B101=0,"",IF(INDEX(Bank!$H:$H,B101)="","",INDEX(Bank!$H:$H,B101)))</f>
        <v/>
      </c>
      <c r="I101" s="5" t="n">
        <f aca="false">IF(H101="",0,IFERROR(MATCH(H101,GL!$A:$A,0),0))</f>
        <v>0</v>
      </c>
      <c r="J101" s="32" t="str">
        <f aca="false">IF(I101=0,"",INDEX(GL!$B:$B,I101))</f>
        <v/>
      </c>
      <c r="K101" s="5" t="str">
        <f aca="false">IF(I101=0,"",IF(INDEX(GL!$C:$C,I101)="","",INDEX(GL!$C:$C,I101)))</f>
        <v/>
      </c>
      <c r="L101" s="19" t="str">
        <f aca="false">IF(I101=0,"",INDEX(GL!$E:$E,I101))</f>
        <v/>
      </c>
      <c r="M101" s="19" t="str">
        <f aca="false">IF(OR(B101=0,I101=0),"",ROUND(G101-L101,2))</f>
        <v/>
      </c>
      <c r="N101" s="5" t="str">
        <f aca="false">IF(A101="","",IF(B101=0,"NOT FOUND: bank ID",IF(I101=0,"NOT FOUND: GL ID",IF(INDEX(GL!$H:$H,I101)&lt;&gt;A101,"BROKEN: GL points elsewhere",IF(OR(INDEX(Bank!$F:$F,B101)&lt;&gt;"Y",INDEX(GL!$F:$F,I101)&lt;&gt;"Y"),"BROKEN: Status not Y","OK")))))</f>
        <v/>
      </c>
    </row>
    <row r="102" customFormat="false" ht="15" hidden="false" customHeight="false" outlineLevel="0" collapsed="false">
      <c r="A102" s="41"/>
      <c r="B102" s="5" t="n">
        <f aca="false">IF(A102="",0,IFERROR(MATCH(A102,Bank!$A:$A,0),0))</f>
        <v>0</v>
      </c>
      <c r="C102" s="5" t="str">
        <f aca="false">IF(B102=0,"",IF(INDEX(Bank!$G:$G,B102)="","",INDEX(Bank!$G:$G,B102)))</f>
        <v/>
      </c>
      <c r="D102" s="5" t="str">
        <f aca="false">IF(B102=0,"",IF(INDEX(Bank!$J:$J,B102)="","",INDEX(Bank!$J:$J,B102)))</f>
        <v/>
      </c>
      <c r="E102" s="32" t="str">
        <f aca="false">IF(B102=0,"",INDEX(Bank!$B:$B,B102))</f>
        <v/>
      </c>
      <c r="F102" s="5" t="str">
        <f aca="false">IF(B102=0,"",IF(INDEX(Bank!$C:$C,B102)="","",INDEX(Bank!$C:$C,B102)))</f>
        <v/>
      </c>
      <c r="G102" s="19" t="str">
        <f aca="false">IF(B102=0,"",INDEX(Bank!$E:$E,B102))</f>
        <v/>
      </c>
      <c r="H102" s="5" t="str">
        <f aca="false">IF(B102=0,"",IF(INDEX(Bank!$H:$H,B102)="","",INDEX(Bank!$H:$H,B102)))</f>
        <v/>
      </c>
      <c r="I102" s="5" t="n">
        <f aca="false">IF(H102="",0,IFERROR(MATCH(H102,GL!$A:$A,0),0))</f>
        <v>0</v>
      </c>
      <c r="J102" s="32" t="str">
        <f aca="false">IF(I102=0,"",INDEX(GL!$B:$B,I102))</f>
        <v/>
      </c>
      <c r="K102" s="5" t="str">
        <f aca="false">IF(I102=0,"",IF(INDEX(GL!$C:$C,I102)="","",INDEX(GL!$C:$C,I102)))</f>
        <v/>
      </c>
      <c r="L102" s="19" t="str">
        <f aca="false">IF(I102=0,"",INDEX(GL!$E:$E,I102))</f>
        <v/>
      </c>
      <c r="M102" s="19" t="str">
        <f aca="false">IF(OR(B102=0,I102=0),"",ROUND(G102-L102,2))</f>
        <v/>
      </c>
      <c r="N102" s="5" t="str">
        <f aca="false">IF(A102="","",IF(B102=0,"NOT FOUND: bank ID",IF(I102=0,"NOT FOUND: GL ID",IF(INDEX(GL!$H:$H,I102)&lt;&gt;A102,"BROKEN: GL points elsewhere",IF(OR(INDEX(Bank!$F:$F,B102)&lt;&gt;"Y",INDEX(GL!$F:$F,I102)&lt;&gt;"Y"),"BROKEN: Status not Y","OK")))))</f>
        <v/>
      </c>
    </row>
    <row r="103" customFormat="false" ht="15" hidden="false" customHeight="false" outlineLevel="0" collapsed="false">
      <c r="A103" s="41"/>
      <c r="B103" s="5" t="n">
        <f aca="false">IF(A103="",0,IFERROR(MATCH(A103,Bank!$A:$A,0),0))</f>
        <v>0</v>
      </c>
      <c r="C103" s="5" t="str">
        <f aca="false">IF(B103=0,"",IF(INDEX(Bank!$G:$G,B103)="","",INDEX(Bank!$G:$G,B103)))</f>
        <v/>
      </c>
      <c r="D103" s="5" t="str">
        <f aca="false">IF(B103=0,"",IF(INDEX(Bank!$J:$J,B103)="","",INDEX(Bank!$J:$J,B103)))</f>
        <v/>
      </c>
      <c r="E103" s="32" t="str">
        <f aca="false">IF(B103=0,"",INDEX(Bank!$B:$B,B103))</f>
        <v/>
      </c>
      <c r="F103" s="5" t="str">
        <f aca="false">IF(B103=0,"",IF(INDEX(Bank!$C:$C,B103)="","",INDEX(Bank!$C:$C,B103)))</f>
        <v/>
      </c>
      <c r="G103" s="19" t="str">
        <f aca="false">IF(B103=0,"",INDEX(Bank!$E:$E,B103))</f>
        <v/>
      </c>
      <c r="H103" s="5" t="str">
        <f aca="false">IF(B103=0,"",IF(INDEX(Bank!$H:$H,B103)="","",INDEX(Bank!$H:$H,B103)))</f>
        <v/>
      </c>
      <c r="I103" s="5" t="n">
        <f aca="false">IF(H103="",0,IFERROR(MATCH(H103,GL!$A:$A,0),0))</f>
        <v>0</v>
      </c>
      <c r="J103" s="32" t="str">
        <f aca="false">IF(I103=0,"",INDEX(GL!$B:$B,I103))</f>
        <v/>
      </c>
      <c r="K103" s="5" t="str">
        <f aca="false">IF(I103=0,"",IF(INDEX(GL!$C:$C,I103)="","",INDEX(GL!$C:$C,I103)))</f>
        <v/>
      </c>
      <c r="L103" s="19" t="str">
        <f aca="false">IF(I103=0,"",INDEX(GL!$E:$E,I103))</f>
        <v/>
      </c>
      <c r="M103" s="19" t="str">
        <f aca="false">IF(OR(B103=0,I103=0),"",ROUND(G103-L103,2))</f>
        <v/>
      </c>
      <c r="N103" s="5" t="str">
        <f aca="false">IF(A103="","",IF(B103=0,"NOT FOUND: bank ID",IF(I103=0,"NOT FOUND: GL ID",IF(INDEX(GL!$H:$H,I103)&lt;&gt;A103,"BROKEN: GL points elsewhere",IF(OR(INDEX(Bank!$F:$F,B103)&lt;&gt;"Y",INDEX(GL!$F:$F,I103)&lt;&gt;"Y"),"BROKEN: Status not Y","OK")))))</f>
        <v/>
      </c>
    </row>
    <row r="104" customFormat="false" ht="15" hidden="false" customHeight="false" outlineLevel="0" collapsed="false">
      <c r="A104" s="41"/>
      <c r="B104" s="5" t="n">
        <f aca="false">IF(A104="",0,IFERROR(MATCH(A104,Bank!$A:$A,0),0))</f>
        <v>0</v>
      </c>
      <c r="C104" s="5" t="str">
        <f aca="false">IF(B104=0,"",IF(INDEX(Bank!$G:$G,B104)="","",INDEX(Bank!$G:$G,B104)))</f>
        <v/>
      </c>
      <c r="D104" s="5" t="str">
        <f aca="false">IF(B104=0,"",IF(INDEX(Bank!$J:$J,B104)="","",INDEX(Bank!$J:$J,B104)))</f>
        <v/>
      </c>
      <c r="E104" s="32" t="str">
        <f aca="false">IF(B104=0,"",INDEX(Bank!$B:$B,B104))</f>
        <v/>
      </c>
      <c r="F104" s="5" t="str">
        <f aca="false">IF(B104=0,"",IF(INDEX(Bank!$C:$C,B104)="","",INDEX(Bank!$C:$C,B104)))</f>
        <v/>
      </c>
      <c r="G104" s="19" t="str">
        <f aca="false">IF(B104=0,"",INDEX(Bank!$E:$E,B104))</f>
        <v/>
      </c>
      <c r="H104" s="5" t="str">
        <f aca="false">IF(B104=0,"",IF(INDEX(Bank!$H:$H,B104)="","",INDEX(Bank!$H:$H,B104)))</f>
        <v/>
      </c>
      <c r="I104" s="5" t="n">
        <f aca="false">IF(H104="",0,IFERROR(MATCH(H104,GL!$A:$A,0),0))</f>
        <v>0</v>
      </c>
      <c r="J104" s="32" t="str">
        <f aca="false">IF(I104=0,"",INDEX(GL!$B:$B,I104))</f>
        <v/>
      </c>
      <c r="K104" s="5" t="str">
        <f aca="false">IF(I104=0,"",IF(INDEX(GL!$C:$C,I104)="","",INDEX(GL!$C:$C,I104)))</f>
        <v/>
      </c>
      <c r="L104" s="19" t="str">
        <f aca="false">IF(I104=0,"",INDEX(GL!$E:$E,I104))</f>
        <v/>
      </c>
      <c r="M104" s="19" t="str">
        <f aca="false">IF(OR(B104=0,I104=0),"",ROUND(G104-L104,2))</f>
        <v/>
      </c>
      <c r="N104" s="5" t="str">
        <f aca="false">IF(A104="","",IF(B104=0,"NOT FOUND: bank ID",IF(I104=0,"NOT FOUND: GL ID",IF(INDEX(GL!$H:$H,I104)&lt;&gt;A104,"BROKEN: GL points elsewhere",IF(OR(INDEX(Bank!$F:$F,B104)&lt;&gt;"Y",INDEX(GL!$F:$F,I104)&lt;&gt;"Y"),"BROKEN: Status not Y","OK")))))</f>
        <v/>
      </c>
    </row>
    <row r="105" customFormat="false" ht="15" hidden="false" customHeight="false" outlineLevel="0" collapsed="false">
      <c r="A105" s="41"/>
      <c r="B105" s="5" t="n">
        <f aca="false">IF(A105="",0,IFERROR(MATCH(A105,Bank!$A:$A,0),0))</f>
        <v>0</v>
      </c>
      <c r="C105" s="5" t="str">
        <f aca="false">IF(B105=0,"",IF(INDEX(Bank!$G:$G,B105)="","",INDEX(Bank!$G:$G,B105)))</f>
        <v/>
      </c>
      <c r="D105" s="5" t="str">
        <f aca="false">IF(B105=0,"",IF(INDEX(Bank!$J:$J,B105)="","",INDEX(Bank!$J:$J,B105)))</f>
        <v/>
      </c>
      <c r="E105" s="32" t="str">
        <f aca="false">IF(B105=0,"",INDEX(Bank!$B:$B,B105))</f>
        <v/>
      </c>
      <c r="F105" s="5" t="str">
        <f aca="false">IF(B105=0,"",IF(INDEX(Bank!$C:$C,B105)="","",INDEX(Bank!$C:$C,B105)))</f>
        <v/>
      </c>
      <c r="G105" s="19" t="str">
        <f aca="false">IF(B105=0,"",INDEX(Bank!$E:$E,B105))</f>
        <v/>
      </c>
      <c r="H105" s="5" t="str">
        <f aca="false">IF(B105=0,"",IF(INDEX(Bank!$H:$H,B105)="","",INDEX(Bank!$H:$H,B105)))</f>
        <v/>
      </c>
      <c r="I105" s="5" t="n">
        <f aca="false">IF(H105="",0,IFERROR(MATCH(H105,GL!$A:$A,0),0))</f>
        <v>0</v>
      </c>
      <c r="J105" s="32" t="str">
        <f aca="false">IF(I105=0,"",INDEX(GL!$B:$B,I105))</f>
        <v/>
      </c>
      <c r="K105" s="5" t="str">
        <f aca="false">IF(I105=0,"",IF(INDEX(GL!$C:$C,I105)="","",INDEX(GL!$C:$C,I105)))</f>
        <v/>
      </c>
      <c r="L105" s="19" t="str">
        <f aca="false">IF(I105=0,"",INDEX(GL!$E:$E,I105))</f>
        <v/>
      </c>
      <c r="M105" s="19" t="str">
        <f aca="false">IF(OR(B105=0,I105=0),"",ROUND(G105-L105,2))</f>
        <v/>
      </c>
      <c r="N105" s="5" t="str">
        <f aca="false">IF(A105="","",IF(B105=0,"NOT FOUND: bank ID",IF(I105=0,"NOT FOUND: GL ID",IF(INDEX(GL!$H:$H,I105)&lt;&gt;A105,"BROKEN: GL points elsewhere",IF(OR(INDEX(Bank!$F:$F,B105)&lt;&gt;"Y",INDEX(GL!$F:$F,I105)&lt;&gt;"Y"),"BROKEN: Status not Y","OK")))))</f>
        <v/>
      </c>
    </row>
    <row r="106" customFormat="false" ht="15" hidden="false" customHeight="false" outlineLevel="0" collapsed="false">
      <c r="A106" s="41"/>
      <c r="B106" s="5" t="n">
        <f aca="false">IF(A106="",0,IFERROR(MATCH(A106,Bank!$A:$A,0),0))</f>
        <v>0</v>
      </c>
      <c r="C106" s="5" t="str">
        <f aca="false">IF(B106=0,"",IF(INDEX(Bank!$G:$G,B106)="","",INDEX(Bank!$G:$G,B106)))</f>
        <v/>
      </c>
      <c r="D106" s="5" t="str">
        <f aca="false">IF(B106=0,"",IF(INDEX(Bank!$J:$J,B106)="","",INDEX(Bank!$J:$J,B106)))</f>
        <v/>
      </c>
      <c r="E106" s="32" t="str">
        <f aca="false">IF(B106=0,"",INDEX(Bank!$B:$B,B106))</f>
        <v/>
      </c>
      <c r="F106" s="5" t="str">
        <f aca="false">IF(B106=0,"",IF(INDEX(Bank!$C:$C,B106)="","",INDEX(Bank!$C:$C,B106)))</f>
        <v/>
      </c>
      <c r="G106" s="19" t="str">
        <f aca="false">IF(B106=0,"",INDEX(Bank!$E:$E,B106))</f>
        <v/>
      </c>
      <c r="H106" s="5" t="str">
        <f aca="false">IF(B106=0,"",IF(INDEX(Bank!$H:$H,B106)="","",INDEX(Bank!$H:$H,B106)))</f>
        <v/>
      </c>
      <c r="I106" s="5" t="n">
        <f aca="false">IF(H106="",0,IFERROR(MATCH(H106,GL!$A:$A,0),0))</f>
        <v>0</v>
      </c>
      <c r="J106" s="32" t="str">
        <f aca="false">IF(I106=0,"",INDEX(GL!$B:$B,I106))</f>
        <v/>
      </c>
      <c r="K106" s="5" t="str">
        <f aca="false">IF(I106=0,"",IF(INDEX(GL!$C:$C,I106)="","",INDEX(GL!$C:$C,I106)))</f>
        <v/>
      </c>
      <c r="L106" s="19" t="str">
        <f aca="false">IF(I106=0,"",INDEX(GL!$E:$E,I106))</f>
        <v/>
      </c>
      <c r="M106" s="19" t="str">
        <f aca="false">IF(OR(B106=0,I106=0),"",ROUND(G106-L106,2))</f>
        <v/>
      </c>
      <c r="N106" s="5" t="str">
        <f aca="false">IF(A106="","",IF(B106=0,"NOT FOUND: bank ID",IF(I106=0,"NOT FOUND: GL ID",IF(INDEX(GL!$H:$H,I106)&lt;&gt;A106,"BROKEN: GL points elsewhere",IF(OR(INDEX(Bank!$F:$F,B106)&lt;&gt;"Y",INDEX(GL!$F:$F,I106)&lt;&gt;"Y"),"BROKEN: Status not Y","OK")))))</f>
        <v/>
      </c>
    </row>
    <row r="107" customFormat="false" ht="15" hidden="false" customHeight="false" outlineLevel="0" collapsed="false">
      <c r="A107" s="41"/>
      <c r="B107" s="5" t="n">
        <f aca="false">IF(A107="",0,IFERROR(MATCH(A107,Bank!$A:$A,0),0))</f>
        <v>0</v>
      </c>
      <c r="C107" s="5" t="str">
        <f aca="false">IF(B107=0,"",IF(INDEX(Bank!$G:$G,B107)="","",INDEX(Bank!$G:$G,B107)))</f>
        <v/>
      </c>
      <c r="D107" s="5" t="str">
        <f aca="false">IF(B107=0,"",IF(INDEX(Bank!$J:$J,B107)="","",INDEX(Bank!$J:$J,B107)))</f>
        <v/>
      </c>
      <c r="E107" s="32" t="str">
        <f aca="false">IF(B107=0,"",INDEX(Bank!$B:$B,B107))</f>
        <v/>
      </c>
      <c r="F107" s="5" t="str">
        <f aca="false">IF(B107=0,"",IF(INDEX(Bank!$C:$C,B107)="","",INDEX(Bank!$C:$C,B107)))</f>
        <v/>
      </c>
      <c r="G107" s="19" t="str">
        <f aca="false">IF(B107=0,"",INDEX(Bank!$E:$E,B107))</f>
        <v/>
      </c>
      <c r="H107" s="5" t="str">
        <f aca="false">IF(B107=0,"",IF(INDEX(Bank!$H:$H,B107)="","",INDEX(Bank!$H:$H,B107)))</f>
        <v/>
      </c>
      <c r="I107" s="5" t="n">
        <f aca="false">IF(H107="",0,IFERROR(MATCH(H107,GL!$A:$A,0),0))</f>
        <v>0</v>
      </c>
      <c r="J107" s="32" t="str">
        <f aca="false">IF(I107=0,"",INDEX(GL!$B:$B,I107))</f>
        <v/>
      </c>
      <c r="K107" s="5" t="str">
        <f aca="false">IF(I107=0,"",IF(INDEX(GL!$C:$C,I107)="","",INDEX(GL!$C:$C,I107)))</f>
        <v/>
      </c>
      <c r="L107" s="19" t="str">
        <f aca="false">IF(I107=0,"",INDEX(GL!$E:$E,I107))</f>
        <v/>
      </c>
      <c r="M107" s="19" t="str">
        <f aca="false">IF(OR(B107=0,I107=0),"",ROUND(G107-L107,2))</f>
        <v/>
      </c>
      <c r="N107" s="5" t="str">
        <f aca="false">IF(A107="","",IF(B107=0,"NOT FOUND: bank ID",IF(I107=0,"NOT FOUND: GL ID",IF(INDEX(GL!$H:$H,I107)&lt;&gt;A107,"BROKEN: GL points elsewhere",IF(OR(INDEX(Bank!$F:$F,B107)&lt;&gt;"Y",INDEX(GL!$F:$F,I107)&lt;&gt;"Y"),"BROKEN: Status not Y","OK")))))</f>
        <v/>
      </c>
    </row>
    <row r="108" customFormat="false" ht="15" hidden="false" customHeight="false" outlineLevel="0" collapsed="false">
      <c r="A108" s="41"/>
      <c r="B108" s="5" t="n">
        <f aca="false">IF(A108="",0,IFERROR(MATCH(A108,Bank!$A:$A,0),0))</f>
        <v>0</v>
      </c>
      <c r="C108" s="5" t="str">
        <f aca="false">IF(B108=0,"",IF(INDEX(Bank!$G:$G,B108)="","",INDEX(Bank!$G:$G,B108)))</f>
        <v/>
      </c>
      <c r="D108" s="5" t="str">
        <f aca="false">IF(B108=0,"",IF(INDEX(Bank!$J:$J,B108)="","",INDEX(Bank!$J:$J,B108)))</f>
        <v/>
      </c>
      <c r="E108" s="32" t="str">
        <f aca="false">IF(B108=0,"",INDEX(Bank!$B:$B,B108))</f>
        <v/>
      </c>
      <c r="F108" s="5" t="str">
        <f aca="false">IF(B108=0,"",IF(INDEX(Bank!$C:$C,B108)="","",INDEX(Bank!$C:$C,B108)))</f>
        <v/>
      </c>
      <c r="G108" s="19" t="str">
        <f aca="false">IF(B108=0,"",INDEX(Bank!$E:$E,B108))</f>
        <v/>
      </c>
      <c r="H108" s="5" t="str">
        <f aca="false">IF(B108=0,"",IF(INDEX(Bank!$H:$H,B108)="","",INDEX(Bank!$H:$H,B108)))</f>
        <v/>
      </c>
      <c r="I108" s="5" t="n">
        <f aca="false">IF(H108="",0,IFERROR(MATCH(H108,GL!$A:$A,0),0))</f>
        <v>0</v>
      </c>
      <c r="J108" s="32" t="str">
        <f aca="false">IF(I108=0,"",INDEX(GL!$B:$B,I108))</f>
        <v/>
      </c>
      <c r="K108" s="5" t="str">
        <f aca="false">IF(I108=0,"",IF(INDEX(GL!$C:$C,I108)="","",INDEX(GL!$C:$C,I108)))</f>
        <v/>
      </c>
      <c r="L108" s="19" t="str">
        <f aca="false">IF(I108=0,"",INDEX(GL!$E:$E,I108))</f>
        <v/>
      </c>
      <c r="M108" s="19" t="str">
        <f aca="false">IF(OR(B108=0,I108=0),"",ROUND(G108-L108,2))</f>
        <v/>
      </c>
      <c r="N108" s="5" t="str">
        <f aca="false">IF(A108="","",IF(B108=0,"NOT FOUND: bank ID",IF(I108=0,"NOT FOUND: GL ID",IF(INDEX(GL!$H:$H,I108)&lt;&gt;A108,"BROKEN: GL points elsewhere",IF(OR(INDEX(Bank!$F:$F,B108)&lt;&gt;"Y",INDEX(GL!$F:$F,I108)&lt;&gt;"Y"),"BROKEN: Status not Y","OK")))))</f>
        <v/>
      </c>
    </row>
    <row r="109" customFormat="false" ht="15" hidden="false" customHeight="false" outlineLevel="0" collapsed="false">
      <c r="A109" s="41"/>
      <c r="B109" s="5" t="n">
        <f aca="false">IF(A109="",0,IFERROR(MATCH(A109,Bank!$A:$A,0),0))</f>
        <v>0</v>
      </c>
      <c r="C109" s="5" t="str">
        <f aca="false">IF(B109=0,"",IF(INDEX(Bank!$G:$G,B109)="","",INDEX(Bank!$G:$G,B109)))</f>
        <v/>
      </c>
      <c r="D109" s="5" t="str">
        <f aca="false">IF(B109=0,"",IF(INDEX(Bank!$J:$J,B109)="","",INDEX(Bank!$J:$J,B109)))</f>
        <v/>
      </c>
      <c r="E109" s="32" t="str">
        <f aca="false">IF(B109=0,"",INDEX(Bank!$B:$B,B109))</f>
        <v/>
      </c>
      <c r="F109" s="5" t="str">
        <f aca="false">IF(B109=0,"",IF(INDEX(Bank!$C:$C,B109)="","",INDEX(Bank!$C:$C,B109)))</f>
        <v/>
      </c>
      <c r="G109" s="19" t="str">
        <f aca="false">IF(B109=0,"",INDEX(Bank!$E:$E,B109))</f>
        <v/>
      </c>
      <c r="H109" s="5" t="str">
        <f aca="false">IF(B109=0,"",IF(INDEX(Bank!$H:$H,B109)="","",INDEX(Bank!$H:$H,B109)))</f>
        <v/>
      </c>
      <c r="I109" s="5" t="n">
        <f aca="false">IF(H109="",0,IFERROR(MATCH(H109,GL!$A:$A,0),0))</f>
        <v>0</v>
      </c>
      <c r="J109" s="32" t="str">
        <f aca="false">IF(I109=0,"",INDEX(GL!$B:$B,I109))</f>
        <v/>
      </c>
      <c r="K109" s="5" t="str">
        <f aca="false">IF(I109=0,"",IF(INDEX(GL!$C:$C,I109)="","",INDEX(GL!$C:$C,I109)))</f>
        <v/>
      </c>
      <c r="L109" s="19" t="str">
        <f aca="false">IF(I109=0,"",INDEX(GL!$E:$E,I109))</f>
        <v/>
      </c>
      <c r="M109" s="19" t="str">
        <f aca="false">IF(OR(B109=0,I109=0),"",ROUND(G109-L109,2))</f>
        <v/>
      </c>
      <c r="N109" s="5" t="str">
        <f aca="false">IF(A109="","",IF(B109=0,"NOT FOUND: bank ID",IF(I109=0,"NOT FOUND: GL ID",IF(INDEX(GL!$H:$H,I109)&lt;&gt;A109,"BROKEN: GL points elsewhere",IF(OR(INDEX(Bank!$F:$F,B109)&lt;&gt;"Y",INDEX(GL!$F:$F,I109)&lt;&gt;"Y"),"BROKEN: Status not Y","OK")))))</f>
        <v/>
      </c>
    </row>
    <row r="110" customFormat="false" ht="15" hidden="false" customHeight="false" outlineLevel="0" collapsed="false">
      <c r="A110" s="41"/>
      <c r="B110" s="5" t="n">
        <f aca="false">IF(A110="",0,IFERROR(MATCH(A110,Bank!$A:$A,0),0))</f>
        <v>0</v>
      </c>
      <c r="C110" s="5" t="str">
        <f aca="false">IF(B110=0,"",IF(INDEX(Bank!$G:$G,B110)="","",INDEX(Bank!$G:$G,B110)))</f>
        <v/>
      </c>
      <c r="D110" s="5" t="str">
        <f aca="false">IF(B110=0,"",IF(INDEX(Bank!$J:$J,B110)="","",INDEX(Bank!$J:$J,B110)))</f>
        <v/>
      </c>
      <c r="E110" s="32" t="str">
        <f aca="false">IF(B110=0,"",INDEX(Bank!$B:$B,B110))</f>
        <v/>
      </c>
      <c r="F110" s="5" t="str">
        <f aca="false">IF(B110=0,"",IF(INDEX(Bank!$C:$C,B110)="","",INDEX(Bank!$C:$C,B110)))</f>
        <v/>
      </c>
      <c r="G110" s="19" t="str">
        <f aca="false">IF(B110=0,"",INDEX(Bank!$E:$E,B110))</f>
        <v/>
      </c>
      <c r="H110" s="5" t="str">
        <f aca="false">IF(B110=0,"",IF(INDEX(Bank!$H:$H,B110)="","",INDEX(Bank!$H:$H,B110)))</f>
        <v/>
      </c>
      <c r="I110" s="5" t="n">
        <f aca="false">IF(H110="",0,IFERROR(MATCH(H110,GL!$A:$A,0),0))</f>
        <v>0</v>
      </c>
      <c r="J110" s="32" t="str">
        <f aca="false">IF(I110=0,"",INDEX(GL!$B:$B,I110))</f>
        <v/>
      </c>
      <c r="K110" s="5" t="str">
        <f aca="false">IF(I110=0,"",IF(INDEX(GL!$C:$C,I110)="","",INDEX(GL!$C:$C,I110)))</f>
        <v/>
      </c>
      <c r="L110" s="19" t="str">
        <f aca="false">IF(I110=0,"",INDEX(GL!$E:$E,I110))</f>
        <v/>
      </c>
      <c r="M110" s="19" t="str">
        <f aca="false">IF(OR(B110=0,I110=0),"",ROUND(G110-L110,2))</f>
        <v/>
      </c>
      <c r="N110" s="5" t="str">
        <f aca="false">IF(A110="","",IF(B110=0,"NOT FOUND: bank ID",IF(I110=0,"NOT FOUND: GL ID",IF(INDEX(GL!$H:$H,I110)&lt;&gt;A110,"BROKEN: GL points elsewhere",IF(OR(INDEX(Bank!$F:$F,B110)&lt;&gt;"Y",INDEX(GL!$F:$F,I110)&lt;&gt;"Y"),"BROKEN: Status not Y","OK")))))</f>
        <v/>
      </c>
    </row>
    <row r="111" customFormat="false" ht="15" hidden="false" customHeight="false" outlineLevel="0" collapsed="false">
      <c r="A111" s="41"/>
      <c r="B111" s="5" t="n">
        <f aca="false">IF(A111="",0,IFERROR(MATCH(A111,Bank!$A:$A,0),0))</f>
        <v>0</v>
      </c>
      <c r="C111" s="5" t="str">
        <f aca="false">IF(B111=0,"",IF(INDEX(Bank!$G:$G,B111)="","",INDEX(Bank!$G:$G,B111)))</f>
        <v/>
      </c>
      <c r="D111" s="5" t="str">
        <f aca="false">IF(B111=0,"",IF(INDEX(Bank!$J:$J,B111)="","",INDEX(Bank!$J:$J,B111)))</f>
        <v/>
      </c>
      <c r="E111" s="32" t="str">
        <f aca="false">IF(B111=0,"",INDEX(Bank!$B:$B,B111))</f>
        <v/>
      </c>
      <c r="F111" s="5" t="str">
        <f aca="false">IF(B111=0,"",IF(INDEX(Bank!$C:$C,B111)="","",INDEX(Bank!$C:$C,B111)))</f>
        <v/>
      </c>
      <c r="G111" s="19" t="str">
        <f aca="false">IF(B111=0,"",INDEX(Bank!$E:$E,B111))</f>
        <v/>
      </c>
      <c r="H111" s="5" t="str">
        <f aca="false">IF(B111=0,"",IF(INDEX(Bank!$H:$H,B111)="","",INDEX(Bank!$H:$H,B111)))</f>
        <v/>
      </c>
      <c r="I111" s="5" t="n">
        <f aca="false">IF(H111="",0,IFERROR(MATCH(H111,GL!$A:$A,0),0))</f>
        <v>0</v>
      </c>
      <c r="J111" s="32" t="str">
        <f aca="false">IF(I111=0,"",INDEX(GL!$B:$B,I111))</f>
        <v/>
      </c>
      <c r="K111" s="5" t="str">
        <f aca="false">IF(I111=0,"",IF(INDEX(GL!$C:$C,I111)="","",INDEX(GL!$C:$C,I111)))</f>
        <v/>
      </c>
      <c r="L111" s="19" t="str">
        <f aca="false">IF(I111=0,"",INDEX(GL!$E:$E,I111))</f>
        <v/>
      </c>
      <c r="M111" s="19" t="str">
        <f aca="false">IF(OR(B111=0,I111=0),"",ROUND(G111-L111,2))</f>
        <v/>
      </c>
      <c r="N111" s="5" t="str">
        <f aca="false">IF(A111="","",IF(B111=0,"NOT FOUND: bank ID",IF(I111=0,"NOT FOUND: GL ID",IF(INDEX(GL!$H:$H,I111)&lt;&gt;A111,"BROKEN: GL points elsewhere",IF(OR(INDEX(Bank!$F:$F,B111)&lt;&gt;"Y",INDEX(GL!$F:$F,I111)&lt;&gt;"Y"),"BROKEN: Status not Y","OK")))))</f>
        <v/>
      </c>
    </row>
    <row r="112" customFormat="false" ht="15" hidden="false" customHeight="false" outlineLevel="0" collapsed="false">
      <c r="A112" s="41"/>
      <c r="B112" s="5" t="n">
        <f aca="false">IF(A112="",0,IFERROR(MATCH(A112,Bank!$A:$A,0),0))</f>
        <v>0</v>
      </c>
      <c r="C112" s="5" t="str">
        <f aca="false">IF(B112=0,"",IF(INDEX(Bank!$G:$G,B112)="","",INDEX(Bank!$G:$G,B112)))</f>
        <v/>
      </c>
      <c r="D112" s="5" t="str">
        <f aca="false">IF(B112=0,"",IF(INDEX(Bank!$J:$J,B112)="","",INDEX(Bank!$J:$J,B112)))</f>
        <v/>
      </c>
      <c r="E112" s="32" t="str">
        <f aca="false">IF(B112=0,"",INDEX(Bank!$B:$B,B112))</f>
        <v/>
      </c>
      <c r="F112" s="5" t="str">
        <f aca="false">IF(B112=0,"",IF(INDEX(Bank!$C:$C,B112)="","",INDEX(Bank!$C:$C,B112)))</f>
        <v/>
      </c>
      <c r="G112" s="19" t="str">
        <f aca="false">IF(B112=0,"",INDEX(Bank!$E:$E,B112))</f>
        <v/>
      </c>
      <c r="H112" s="5" t="str">
        <f aca="false">IF(B112=0,"",IF(INDEX(Bank!$H:$H,B112)="","",INDEX(Bank!$H:$H,B112)))</f>
        <v/>
      </c>
      <c r="I112" s="5" t="n">
        <f aca="false">IF(H112="",0,IFERROR(MATCH(H112,GL!$A:$A,0),0))</f>
        <v>0</v>
      </c>
      <c r="J112" s="32" t="str">
        <f aca="false">IF(I112=0,"",INDEX(GL!$B:$B,I112))</f>
        <v/>
      </c>
      <c r="K112" s="5" t="str">
        <f aca="false">IF(I112=0,"",IF(INDEX(GL!$C:$C,I112)="","",INDEX(GL!$C:$C,I112)))</f>
        <v/>
      </c>
      <c r="L112" s="19" t="str">
        <f aca="false">IF(I112=0,"",INDEX(GL!$E:$E,I112))</f>
        <v/>
      </c>
      <c r="M112" s="19" t="str">
        <f aca="false">IF(OR(B112=0,I112=0),"",ROUND(G112-L112,2))</f>
        <v/>
      </c>
      <c r="N112" s="5" t="str">
        <f aca="false">IF(A112="","",IF(B112=0,"NOT FOUND: bank ID",IF(I112=0,"NOT FOUND: GL ID",IF(INDEX(GL!$H:$H,I112)&lt;&gt;A112,"BROKEN: GL points elsewhere",IF(OR(INDEX(Bank!$F:$F,B112)&lt;&gt;"Y",INDEX(GL!$F:$F,I112)&lt;&gt;"Y"),"BROKEN: Status not Y","OK")))))</f>
        <v/>
      </c>
    </row>
    <row r="113" customFormat="false" ht="15" hidden="false" customHeight="false" outlineLevel="0" collapsed="false">
      <c r="A113" s="41"/>
      <c r="B113" s="5" t="n">
        <f aca="false">IF(A113="",0,IFERROR(MATCH(A113,Bank!$A:$A,0),0))</f>
        <v>0</v>
      </c>
      <c r="C113" s="5" t="str">
        <f aca="false">IF(B113=0,"",IF(INDEX(Bank!$G:$G,B113)="","",INDEX(Bank!$G:$G,B113)))</f>
        <v/>
      </c>
      <c r="D113" s="5" t="str">
        <f aca="false">IF(B113=0,"",IF(INDEX(Bank!$J:$J,B113)="","",INDEX(Bank!$J:$J,B113)))</f>
        <v/>
      </c>
      <c r="E113" s="32" t="str">
        <f aca="false">IF(B113=0,"",INDEX(Bank!$B:$B,B113))</f>
        <v/>
      </c>
      <c r="F113" s="5" t="str">
        <f aca="false">IF(B113=0,"",IF(INDEX(Bank!$C:$C,B113)="","",INDEX(Bank!$C:$C,B113)))</f>
        <v/>
      </c>
      <c r="G113" s="19" t="str">
        <f aca="false">IF(B113=0,"",INDEX(Bank!$E:$E,B113))</f>
        <v/>
      </c>
      <c r="H113" s="5" t="str">
        <f aca="false">IF(B113=0,"",IF(INDEX(Bank!$H:$H,B113)="","",INDEX(Bank!$H:$H,B113)))</f>
        <v/>
      </c>
      <c r="I113" s="5" t="n">
        <f aca="false">IF(H113="",0,IFERROR(MATCH(H113,GL!$A:$A,0),0))</f>
        <v>0</v>
      </c>
      <c r="J113" s="32" t="str">
        <f aca="false">IF(I113=0,"",INDEX(GL!$B:$B,I113))</f>
        <v/>
      </c>
      <c r="K113" s="5" t="str">
        <f aca="false">IF(I113=0,"",IF(INDEX(GL!$C:$C,I113)="","",INDEX(GL!$C:$C,I113)))</f>
        <v/>
      </c>
      <c r="L113" s="19" t="str">
        <f aca="false">IF(I113=0,"",INDEX(GL!$E:$E,I113))</f>
        <v/>
      </c>
      <c r="M113" s="19" t="str">
        <f aca="false">IF(OR(B113=0,I113=0),"",ROUND(G113-L113,2))</f>
        <v/>
      </c>
      <c r="N113" s="5" t="str">
        <f aca="false">IF(A113="","",IF(B113=0,"NOT FOUND: bank ID",IF(I113=0,"NOT FOUND: GL ID",IF(INDEX(GL!$H:$H,I113)&lt;&gt;A113,"BROKEN: GL points elsewhere",IF(OR(INDEX(Bank!$F:$F,B113)&lt;&gt;"Y",INDEX(GL!$F:$F,I113)&lt;&gt;"Y"),"BROKEN: Status not Y","OK")))))</f>
        <v/>
      </c>
    </row>
    <row r="114" customFormat="false" ht="15" hidden="false" customHeight="false" outlineLevel="0" collapsed="false">
      <c r="A114" s="41"/>
      <c r="B114" s="5" t="n">
        <f aca="false">IF(A114="",0,IFERROR(MATCH(A114,Bank!$A:$A,0),0))</f>
        <v>0</v>
      </c>
      <c r="C114" s="5" t="str">
        <f aca="false">IF(B114=0,"",IF(INDEX(Bank!$G:$G,B114)="","",INDEX(Bank!$G:$G,B114)))</f>
        <v/>
      </c>
      <c r="D114" s="5" t="str">
        <f aca="false">IF(B114=0,"",IF(INDEX(Bank!$J:$J,B114)="","",INDEX(Bank!$J:$J,B114)))</f>
        <v/>
      </c>
      <c r="E114" s="32" t="str">
        <f aca="false">IF(B114=0,"",INDEX(Bank!$B:$B,B114))</f>
        <v/>
      </c>
      <c r="F114" s="5" t="str">
        <f aca="false">IF(B114=0,"",IF(INDEX(Bank!$C:$C,B114)="","",INDEX(Bank!$C:$C,B114)))</f>
        <v/>
      </c>
      <c r="G114" s="19" t="str">
        <f aca="false">IF(B114=0,"",INDEX(Bank!$E:$E,B114))</f>
        <v/>
      </c>
      <c r="H114" s="5" t="str">
        <f aca="false">IF(B114=0,"",IF(INDEX(Bank!$H:$H,B114)="","",INDEX(Bank!$H:$H,B114)))</f>
        <v/>
      </c>
      <c r="I114" s="5" t="n">
        <f aca="false">IF(H114="",0,IFERROR(MATCH(H114,GL!$A:$A,0),0))</f>
        <v>0</v>
      </c>
      <c r="J114" s="32" t="str">
        <f aca="false">IF(I114=0,"",INDEX(GL!$B:$B,I114))</f>
        <v/>
      </c>
      <c r="K114" s="5" t="str">
        <f aca="false">IF(I114=0,"",IF(INDEX(GL!$C:$C,I114)="","",INDEX(GL!$C:$C,I114)))</f>
        <v/>
      </c>
      <c r="L114" s="19" t="str">
        <f aca="false">IF(I114=0,"",INDEX(GL!$E:$E,I114))</f>
        <v/>
      </c>
      <c r="M114" s="19" t="str">
        <f aca="false">IF(OR(B114=0,I114=0),"",ROUND(G114-L114,2))</f>
        <v/>
      </c>
      <c r="N114" s="5" t="str">
        <f aca="false">IF(A114="","",IF(B114=0,"NOT FOUND: bank ID",IF(I114=0,"NOT FOUND: GL ID",IF(INDEX(GL!$H:$H,I114)&lt;&gt;A114,"BROKEN: GL points elsewhere",IF(OR(INDEX(Bank!$F:$F,B114)&lt;&gt;"Y",INDEX(GL!$F:$F,I114)&lt;&gt;"Y"),"BROKEN: Status not Y","OK")))))</f>
        <v/>
      </c>
    </row>
    <row r="115" customFormat="false" ht="15" hidden="false" customHeight="false" outlineLevel="0" collapsed="false">
      <c r="A115" s="41"/>
      <c r="B115" s="5" t="n">
        <f aca="false">IF(A115="",0,IFERROR(MATCH(A115,Bank!$A:$A,0),0))</f>
        <v>0</v>
      </c>
      <c r="C115" s="5" t="str">
        <f aca="false">IF(B115=0,"",IF(INDEX(Bank!$G:$G,B115)="","",INDEX(Bank!$G:$G,B115)))</f>
        <v/>
      </c>
      <c r="D115" s="5" t="str">
        <f aca="false">IF(B115=0,"",IF(INDEX(Bank!$J:$J,B115)="","",INDEX(Bank!$J:$J,B115)))</f>
        <v/>
      </c>
      <c r="E115" s="32" t="str">
        <f aca="false">IF(B115=0,"",INDEX(Bank!$B:$B,B115))</f>
        <v/>
      </c>
      <c r="F115" s="5" t="str">
        <f aca="false">IF(B115=0,"",IF(INDEX(Bank!$C:$C,B115)="","",INDEX(Bank!$C:$C,B115)))</f>
        <v/>
      </c>
      <c r="G115" s="19" t="str">
        <f aca="false">IF(B115=0,"",INDEX(Bank!$E:$E,B115))</f>
        <v/>
      </c>
      <c r="H115" s="5" t="str">
        <f aca="false">IF(B115=0,"",IF(INDEX(Bank!$H:$H,B115)="","",INDEX(Bank!$H:$H,B115)))</f>
        <v/>
      </c>
      <c r="I115" s="5" t="n">
        <f aca="false">IF(H115="",0,IFERROR(MATCH(H115,GL!$A:$A,0),0))</f>
        <v>0</v>
      </c>
      <c r="J115" s="32" t="str">
        <f aca="false">IF(I115=0,"",INDEX(GL!$B:$B,I115))</f>
        <v/>
      </c>
      <c r="K115" s="5" t="str">
        <f aca="false">IF(I115=0,"",IF(INDEX(GL!$C:$C,I115)="","",INDEX(GL!$C:$C,I115)))</f>
        <v/>
      </c>
      <c r="L115" s="19" t="str">
        <f aca="false">IF(I115=0,"",INDEX(GL!$E:$E,I115))</f>
        <v/>
      </c>
      <c r="M115" s="19" t="str">
        <f aca="false">IF(OR(B115=0,I115=0),"",ROUND(G115-L115,2))</f>
        <v/>
      </c>
      <c r="N115" s="5" t="str">
        <f aca="false">IF(A115="","",IF(B115=0,"NOT FOUND: bank ID",IF(I115=0,"NOT FOUND: GL ID",IF(INDEX(GL!$H:$H,I115)&lt;&gt;A115,"BROKEN: GL points elsewhere",IF(OR(INDEX(Bank!$F:$F,B115)&lt;&gt;"Y",INDEX(GL!$F:$F,I115)&lt;&gt;"Y"),"BROKEN: Status not Y","OK")))))</f>
        <v/>
      </c>
    </row>
    <row r="116" customFormat="false" ht="15" hidden="false" customHeight="false" outlineLevel="0" collapsed="false">
      <c r="A116" s="41"/>
      <c r="B116" s="5" t="n">
        <f aca="false">IF(A116="",0,IFERROR(MATCH(A116,Bank!$A:$A,0),0))</f>
        <v>0</v>
      </c>
      <c r="C116" s="5" t="str">
        <f aca="false">IF(B116=0,"",IF(INDEX(Bank!$G:$G,B116)="","",INDEX(Bank!$G:$G,B116)))</f>
        <v/>
      </c>
      <c r="D116" s="5" t="str">
        <f aca="false">IF(B116=0,"",IF(INDEX(Bank!$J:$J,B116)="","",INDEX(Bank!$J:$J,B116)))</f>
        <v/>
      </c>
      <c r="E116" s="32" t="str">
        <f aca="false">IF(B116=0,"",INDEX(Bank!$B:$B,B116))</f>
        <v/>
      </c>
      <c r="F116" s="5" t="str">
        <f aca="false">IF(B116=0,"",IF(INDEX(Bank!$C:$C,B116)="","",INDEX(Bank!$C:$C,B116)))</f>
        <v/>
      </c>
      <c r="G116" s="19" t="str">
        <f aca="false">IF(B116=0,"",INDEX(Bank!$E:$E,B116))</f>
        <v/>
      </c>
      <c r="H116" s="5" t="str">
        <f aca="false">IF(B116=0,"",IF(INDEX(Bank!$H:$H,B116)="","",INDEX(Bank!$H:$H,B116)))</f>
        <v/>
      </c>
      <c r="I116" s="5" t="n">
        <f aca="false">IF(H116="",0,IFERROR(MATCH(H116,GL!$A:$A,0),0))</f>
        <v>0</v>
      </c>
      <c r="J116" s="32" t="str">
        <f aca="false">IF(I116=0,"",INDEX(GL!$B:$B,I116))</f>
        <v/>
      </c>
      <c r="K116" s="5" t="str">
        <f aca="false">IF(I116=0,"",IF(INDEX(GL!$C:$C,I116)="","",INDEX(GL!$C:$C,I116)))</f>
        <v/>
      </c>
      <c r="L116" s="19" t="str">
        <f aca="false">IF(I116=0,"",INDEX(GL!$E:$E,I116))</f>
        <v/>
      </c>
      <c r="M116" s="19" t="str">
        <f aca="false">IF(OR(B116=0,I116=0),"",ROUND(G116-L116,2))</f>
        <v/>
      </c>
      <c r="N116" s="5" t="str">
        <f aca="false">IF(A116="","",IF(B116=0,"NOT FOUND: bank ID",IF(I116=0,"NOT FOUND: GL ID",IF(INDEX(GL!$H:$H,I116)&lt;&gt;A116,"BROKEN: GL points elsewhere",IF(OR(INDEX(Bank!$F:$F,B116)&lt;&gt;"Y",INDEX(GL!$F:$F,I116)&lt;&gt;"Y"),"BROKEN: Status not Y","OK")))))</f>
        <v/>
      </c>
    </row>
    <row r="117" customFormat="false" ht="15" hidden="false" customHeight="false" outlineLevel="0" collapsed="false">
      <c r="A117" s="41"/>
      <c r="B117" s="5" t="n">
        <f aca="false">IF(A117="",0,IFERROR(MATCH(A117,Bank!$A:$A,0),0))</f>
        <v>0</v>
      </c>
      <c r="C117" s="5" t="str">
        <f aca="false">IF(B117=0,"",IF(INDEX(Bank!$G:$G,B117)="","",INDEX(Bank!$G:$G,B117)))</f>
        <v/>
      </c>
      <c r="D117" s="5" t="str">
        <f aca="false">IF(B117=0,"",IF(INDEX(Bank!$J:$J,B117)="","",INDEX(Bank!$J:$J,B117)))</f>
        <v/>
      </c>
      <c r="E117" s="32" t="str">
        <f aca="false">IF(B117=0,"",INDEX(Bank!$B:$B,B117))</f>
        <v/>
      </c>
      <c r="F117" s="5" t="str">
        <f aca="false">IF(B117=0,"",IF(INDEX(Bank!$C:$C,B117)="","",INDEX(Bank!$C:$C,B117)))</f>
        <v/>
      </c>
      <c r="G117" s="19" t="str">
        <f aca="false">IF(B117=0,"",INDEX(Bank!$E:$E,B117))</f>
        <v/>
      </c>
      <c r="H117" s="5" t="str">
        <f aca="false">IF(B117=0,"",IF(INDEX(Bank!$H:$H,B117)="","",INDEX(Bank!$H:$H,B117)))</f>
        <v/>
      </c>
      <c r="I117" s="5" t="n">
        <f aca="false">IF(H117="",0,IFERROR(MATCH(H117,GL!$A:$A,0),0))</f>
        <v>0</v>
      </c>
      <c r="J117" s="32" t="str">
        <f aca="false">IF(I117=0,"",INDEX(GL!$B:$B,I117))</f>
        <v/>
      </c>
      <c r="K117" s="5" t="str">
        <f aca="false">IF(I117=0,"",IF(INDEX(GL!$C:$C,I117)="","",INDEX(GL!$C:$C,I117)))</f>
        <v/>
      </c>
      <c r="L117" s="19" t="str">
        <f aca="false">IF(I117=0,"",INDEX(GL!$E:$E,I117))</f>
        <v/>
      </c>
      <c r="M117" s="19" t="str">
        <f aca="false">IF(OR(B117=0,I117=0),"",ROUND(G117-L117,2))</f>
        <v/>
      </c>
      <c r="N117" s="5" t="str">
        <f aca="false">IF(A117="","",IF(B117=0,"NOT FOUND: bank ID",IF(I117=0,"NOT FOUND: GL ID",IF(INDEX(GL!$H:$H,I117)&lt;&gt;A117,"BROKEN: GL points elsewhere",IF(OR(INDEX(Bank!$F:$F,B117)&lt;&gt;"Y",INDEX(GL!$F:$F,I117)&lt;&gt;"Y"),"BROKEN: Status not Y","OK")))))</f>
        <v/>
      </c>
    </row>
    <row r="118" customFormat="false" ht="15" hidden="false" customHeight="false" outlineLevel="0" collapsed="false">
      <c r="A118" s="41"/>
      <c r="B118" s="5" t="n">
        <f aca="false">IF(A118="",0,IFERROR(MATCH(A118,Bank!$A:$A,0),0))</f>
        <v>0</v>
      </c>
      <c r="C118" s="5" t="str">
        <f aca="false">IF(B118=0,"",IF(INDEX(Bank!$G:$G,B118)="","",INDEX(Bank!$G:$G,B118)))</f>
        <v/>
      </c>
      <c r="D118" s="5" t="str">
        <f aca="false">IF(B118=0,"",IF(INDEX(Bank!$J:$J,B118)="","",INDEX(Bank!$J:$J,B118)))</f>
        <v/>
      </c>
      <c r="E118" s="32" t="str">
        <f aca="false">IF(B118=0,"",INDEX(Bank!$B:$B,B118))</f>
        <v/>
      </c>
      <c r="F118" s="5" t="str">
        <f aca="false">IF(B118=0,"",IF(INDEX(Bank!$C:$C,B118)="","",INDEX(Bank!$C:$C,B118)))</f>
        <v/>
      </c>
      <c r="G118" s="19" t="str">
        <f aca="false">IF(B118=0,"",INDEX(Bank!$E:$E,B118))</f>
        <v/>
      </c>
      <c r="H118" s="5" t="str">
        <f aca="false">IF(B118=0,"",IF(INDEX(Bank!$H:$H,B118)="","",INDEX(Bank!$H:$H,B118)))</f>
        <v/>
      </c>
      <c r="I118" s="5" t="n">
        <f aca="false">IF(H118="",0,IFERROR(MATCH(H118,GL!$A:$A,0),0))</f>
        <v>0</v>
      </c>
      <c r="J118" s="32" t="str">
        <f aca="false">IF(I118=0,"",INDEX(GL!$B:$B,I118))</f>
        <v/>
      </c>
      <c r="K118" s="5" t="str">
        <f aca="false">IF(I118=0,"",IF(INDEX(GL!$C:$C,I118)="","",INDEX(GL!$C:$C,I118)))</f>
        <v/>
      </c>
      <c r="L118" s="19" t="str">
        <f aca="false">IF(I118=0,"",INDEX(GL!$E:$E,I118))</f>
        <v/>
      </c>
      <c r="M118" s="19" t="str">
        <f aca="false">IF(OR(B118=0,I118=0),"",ROUND(G118-L118,2))</f>
        <v/>
      </c>
      <c r="N118" s="5" t="str">
        <f aca="false">IF(A118="","",IF(B118=0,"NOT FOUND: bank ID",IF(I118=0,"NOT FOUND: GL ID",IF(INDEX(GL!$H:$H,I118)&lt;&gt;A118,"BROKEN: GL points elsewhere",IF(OR(INDEX(Bank!$F:$F,B118)&lt;&gt;"Y",INDEX(GL!$F:$F,I118)&lt;&gt;"Y"),"BROKEN: Status not Y","OK")))))</f>
        <v/>
      </c>
    </row>
    <row r="119" customFormat="false" ht="15" hidden="false" customHeight="false" outlineLevel="0" collapsed="false">
      <c r="A119" s="41"/>
      <c r="B119" s="5" t="n">
        <f aca="false">IF(A119="",0,IFERROR(MATCH(A119,Bank!$A:$A,0),0))</f>
        <v>0</v>
      </c>
      <c r="C119" s="5" t="str">
        <f aca="false">IF(B119=0,"",IF(INDEX(Bank!$G:$G,B119)="","",INDEX(Bank!$G:$G,B119)))</f>
        <v/>
      </c>
      <c r="D119" s="5" t="str">
        <f aca="false">IF(B119=0,"",IF(INDEX(Bank!$J:$J,B119)="","",INDEX(Bank!$J:$J,B119)))</f>
        <v/>
      </c>
      <c r="E119" s="32" t="str">
        <f aca="false">IF(B119=0,"",INDEX(Bank!$B:$B,B119))</f>
        <v/>
      </c>
      <c r="F119" s="5" t="str">
        <f aca="false">IF(B119=0,"",IF(INDEX(Bank!$C:$C,B119)="","",INDEX(Bank!$C:$C,B119)))</f>
        <v/>
      </c>
      <c r="G119" s="19" t="str">
        <f aca="false">IF(B119=0,"",INDEX(Bank!$E:$E,B119))</f>
        <v/>
      </c>
      <c r="H119" s="5" t="str">
        <f aca="false">IF(B119=0,"",IF(INDEX(Bank!$H:$H,B119)="","",INDEX(Bank!$H:$H,B119)))</f>
        <v/>
      </c>
      <c r="I119" s="5" t="n">
        <f aca="false">IF(H119="",0,IFERROR(MATCH(H119,GL!$A:$A,0),0))</f>
        <v>0</v>
      </c>
      <c r="J119" s="32" t="str">
        <f aca="false">IF(I119=0,"",INDEX(GL!$B:$B,I119))</f>
        <v/>
      </c>
      <c r="K119" s="5" t="str">
        <f aca="false">IF(I119=0,"",IF(INDEX(GL!$C:$C,I119)="","",INDEX(GL!$C:$C,I119)))</f>
        <v/>
      </c>
      <c r="L119" s="19" t="str">
        <f aca="false">IF(I119=0,"",INDEX(GL!$E:$E,I119))</f>
        <v/>
      </c>
      <c r="M119" s="19" t="str">
        <f aca="false">IF(OR(B119=0,I119=0),"",ROUND(G119-L119,2))</f>
        <v/>
      </c>
      <c r="N119" s="5" t="str">
        <f aca="false">IF(A119="","",IF(B119=0,"NOT FOUND: bank ID",IF(I119=0,"NOT FOUND: GL ID",IF(INDEX(GL!$H:$H,I119)&lt;&gt;A119,"BROKEN: GL points elsewhere",IF(OR(INDEX(Bank!$F:$F,B119)&lt;&gt;"Y",INDEX(GL!$F:$F,I119)&lt;&gt;"Y"),"BROKEN: Status not Y","OK")))))</f>
        <v/>
      </c>
    </row>
    <row r="120" customFormat="false" ht="15" hidden="false" customHeight="false" outlineLevel="0" collapsed="false">
      <c r="A120" s="41"/>
      <c r="B120" s="5" t="n">
        <f aca="false">IF(A120="",0,IFERROR(MATCH(A120,Bank!$A:$A,0),0))</f>
        <v>0</v>
      </c>
      <c r="C120" s="5" t="str">
        <f aca="false">IF(B120=0,"",IF(INDEX(Bank!$G:$G,B120)="","",INDEX(Bank!$G:$G,B120)))</f>
        <v/>
      </c>
      <c r="D120" s="5" t="str">
        <f aca="false">IF(B120=0,"",IF(INDEX(Bank!$J:$J,B120)="","",INDEX(Bank!$J:$J,B120)))</f>
        <v/>
      </c>
      <c r="E120" s="32" t="str">
        <f aca="false">IF(B120=0,"",INDEX(Bank!$B:$B,B120))</f>
        <v/>
      </c>
      <c r="F120" s="5" t="str">
        <f aca="false">IF(B120=0,"",IF(INDEX(Bank!$C:$C,B120)="","",INDEX(Bank!$C:$C,B120)))</f>
        <v/>
      </c>
      <c r="G120" s="19" t="str">
        <f aca="false">IF(B120=0,"",INDEX(Bank!$E:$E,B120))</f>
        <v/>
      </c>
      <c r="H120" s="5" t="str">
        <f aca="false">IF(B120=0,"",IF(INDEX(Bank!$H:$H,B120)="","",INDEX(Bank!$H:$H,B120)))</f>
        <v/>
      </c>
      <c r="I120" s="5" t="n">
        <f aca="false">IF(H120="",0,IFERROR(MATCH(H120,GL!$A:$A,0),0))</f>
        <v>0</v>
      </c>
      <c r="J120" s="32" t="str">
        <f aca="false">IF(I120=0,"",INDEX(GL!$B:$B,I120))</f>
        <v/>
      </c>
      <c r="K120" s="5" t="str">
        <f aca="false">IF(I120=0,"",IF(INDEX(GL!$C:$C,I120)="","",INDEX(GL!$C:$C,I120)))</f>
        <v/>
      </c>
      <c r="L120" s="19" t="str">
        <f aca="false">IF(I120=0,"",INDEX(GL!$E:$E,I120))</f>
        <v/>
      </c>
      <c r="M120" s="19" t="str">
        <f aca="false">IF(OR(B120=0,I120=0),"",ROUND(G120-L120,2))</f>
        <v/>
      </c>
      <c r="N120" s="5" t="str">
        <f aca="false">IF(A120="","",IF(B120=0,"NOT FOUND: bank ID",IF(I120=0,"NOT FOUND: GL ID",IF(INDEX(GL!$H:$H,I120)&lt;&gt;A120,"BROKEN: GL points elsewhere",IF(OR(INDEX(Bank!$F:$F,B120)&lt;&gt;"Y",INDEX(GL!$F:$F,I120)&lt;&gt;"Y"),"BROKEN: Status not Y","OK")))))</f>
        <v/>
      </c>
    </row>
    <row r="121" customFormat="false" ht="15" hidden="false" customHeight="false" outlineLevel="0" collapsed="false">
      <c r="A121" s="41"/>
      <c r="B121" s="5" t="n">
        <f aca="false">IF(A121="",0,IFERROR(MATCH(A121,Bank!$A:$A,0),0))</f>
        <v>0</v>
      </c>
      <c r="C121" s="5" t="str">
        <f aca="false">IF(B121=0,"",IF(INDEX(Bank!$G:$G,B121)="","",INDEX(Bank!$G:$G,B121)))</f>
        <v/>
      </c>
      <c r="D121" s="5" t="str">
        <f aca="false">IF(B121=0,"",IF(INDEX(Bank!$J:$J,B121)="","",INDEX(Bank!$J:$J,B121)))</f>
        <v/>
      </c>
      <c r="E121" s="32" t="str">
        <f aca="false">IF(B121=0,"",INDEX(Bank!$B:$B,B121))</f>
        <v/>
      </c>
      <c r="F121" s="5" t="str">
        <f aca="false">IF(B121=0,"",IF(INDEX(Bank!$C:$C,B121)="","",INDEX(Bank!$C:$C,B121)))</f>
        <v/>
      </c>
      <c r="G121" s="19" t="str">
        <f aca="false">IF(B121=0,"",INDEX(Bank!$E:$E,B121))</f>
        <v/>
      </c>
      <c r="H121" s="5" t="str">
        <f aca="false">IF(B121=0,"",IF(INDEX(Bank!$H:$H,B121)="","",INDEX(Bank!$H:$H,B121)))</f>
        <v/>
      </c>
      <c r="I121" s="5" t="n">
        <f aca="false">IF(H121="",0,IFERROR(MATCH(H121,GL!$A:$A,0),0))</f>
        <v>0</v>
      </c>
      <c r="J121" s="32" t="str">
        <f aca="false">IF(I121=0,"",INDEX(GL!$B:$B,I121))</f>
        <v/>
      </c>
      <c r="K121" s="5" t="str">
        <f aca="false">IF(I121=0,"",IF(INDEX(GL!$C:$C,I121)="","",INDEX(GL!$C:$C,I121)))</f>
        <v/>
      </c>
      <c r="L121" s="19" t="str">
        <f aca="false">IF(I121=0,"",INDEX(GL!$E:$E,I121))</f>
        <v/>
      </c>
      <c r="M121" s="19" t="str">
        <f aca="false">IF(OR(B121=0,I121=0),"",ROUND(G121-L121,2))</f>
        <v/>
      </c>
      <c r="N121" s="5" t="str">
        <f aca="false">IF(A121="","",IF(B121=0,"NOT FOUND: bank ID",IF(I121=0,"NOT FOUND: GL ID",IF(INDEX(GL!$H:$H,I121)&lt;&gt;A121,"BROKEN: GL points elsewhere",IF(OR(INDEX(Bank!$F:$F,B121)&lt;&gt;"Y",INDEX(GL!$F:$F,I121)&lt;&gt;"Y"),"BROKEN: Status not Y","OK")))))</f>
        <v/>
      </c>
    </row>
    <row r="122" customFormat="false" ht="15" hidden="false" customHeight="false" outlineLevel="0" collapsed="false">
      <c r="A122" s="41"/>
      <c r="B122" s="5" t="n">
        <f aca="false">IF(A122="",0,IFERROR(MATCH(A122,Bank!$A:$A,0),0))</f>
        <v>0</v>
      </c>
      <c r="C122" s="5" t="str">
        <f aca="false">IF(B122=0,"",IF(INDEX(Bank!$G:$G,B122)="","",INDEX(Bank!$G:$G,B122)))</f>
        <v/>
      </c>
      <c r="D122" s="5" t="str">
        <f aca="false">IF(B122=0,"",IF(INDEX(Bank!$J:$J,B122)="","",INDEX(Bank!$J:$J,B122)))</f>
        <v/>
      </c>
      <c r="E122" s="32" t="str">
        <f aca="false">IF(B122=0,"",INDEX(Bank!$B:$B,B122))</f>
        <v/>
      </c>
      <c r="F122" s="5" t="str">
        <f aca="false">IF(B122=0,"",IF(INDEX(Bank!$C:$C,B122)="","",INDEX(Bank!$C:$C,B122)))</f>
        <v/>
      </c>
      <c r="G122" s="19" t="str">
        <f aca="false">IF(B122=0,"",INDEX(Bank!$E:$E,B122))</f>
        <v/>
      </c>
      <c r="H122" s="5" t="str">
        <f aca="false">IF(B122=0,"",IF(INDEX(Bank!$H:$H,B122)="","",INDEX(Bank!$H:$H,B122)))</f>
        <v/>
      </c>
      <c r="I122" s="5" t="n">
        <f aca="false">IF(H122="",0,IFERROR(MATCH(H122,GL!$A:$A,0),0))</f>
        <v>0</v>
      </c>
      <c r="J122" s="32" t="str">
        <f aca="false">IF(I122=0,"",INDEX(GL!$B:$B,I122))</f>
        <v/>
      </c>
      <c r="K122" s="5" t="str">
        <f aca="false">IF(I122=0,"",IF(INDEX(GL!$C:$C,I122)="","",INDEX(GL!$C:$C,I122)))</f>
        <v/>
      </c>
      <c r="L122" s="19" t="str">
        <f aca="false">IF(I122=0,"",INDEX(GL!$E:$E,I122))</f>
        <v/>
      </c>
      <c r="M122" s="19" t="str">
        <f aca="false">IF(OR(B122=0,I122=0),"",ROUND(G122-L122,2))</f>
        <v/>
      </c>
      <c r="N122" s="5" t="str">
        <f aca="false">IF(A122="","",IF(B122=0,"NOT FOUND: bank ID",IF(I122=0,"NOT FOUND: GL ID",IF(INDEX(GL!$H:$H,I122)&lt;&gt;A122,"BROKEN: GL points elsewhere",IF(OR(INDEX(Bank!$F:$F,B122)&lt;&gt;"Y",INDEX(GL!$F:$F,I122)&lt;&gt;"Y"),"BROKEN: Status not Y","OK")))))</f>
        <v/>
      </c>
    </row>
    <row r="123" customFormat="false" ht="15" hidden="false" customHeight="false" outlineLevel="0" collapsed="false">
      <c r="A123" s="41"/>
      <c r="B123" s="5" t="n">
        <f aca="false">IF(A123="",0,IFERROR(MATCH(A123,Bank!$A:$A,0),0))</f>
        <v>0</v>
      </c>
      <c r="C123" s="5" t="str">
        <f aca="false">IF(B123=0,"",IF(INDEX(Bank!$G:$G,B123)="","",INDEX(Bank!$G:$G,B123)))</f>
        <v/>
      </c>
      <c r="D123" s="5" t="str">
        <f aca="false">IF(B123=0,"",IF(INDEX(Bank!$J:$J,B123)="","",INDEX(Bank!$J:$J,B123)))</f>
        <v/>
      </c>
      <c r="E123" s="32" t="str">
        <f aca="false">IF(B123=0,"",INDEX(Bank!$B:$B,B123))</f>
        <v/>
      </c>
      <c r="F123" s="5" t="str">
        <f aca="false">IF(B123=0,"",IF(INDEX(Bank!$C:$C,B123)="","",INDEX(Bank!$C:$C,B123)))</f>
        <v/>
      </c>
      <c r="G123" s="19" t="str">
        <f aca="false">IF(B123=0,"",INDEX(Bank!$E:$E,B123))</f>
        <v/>
      </c>
      <c r="H123" s="5" t="str">
        <f aca="false">IF(B123=0,"",IF(INDEX(Bank!$H:$H,B123)="","",INDEX(Bank!$H:$H,B123)))</f>
        <v/>
      </c>
      <c r="I123" s="5" t="n">
        <f aca="false">IF(H123="",0,IFERROR(MATCH(H123,GL!$A:$A,0),0))</f>
        <v>0</v>
      </c>
      <c r="J123" s="32" t="str">
        <f aca="false">IF(I123=0,"",INDEX(GL!$B:$B,I123))</f>
        <v/>
      </c>
      <c r="K123" s="5" t="str">
        <f aca="false">IF(I123=0,"",IF(INDEX(GL!$C:$C,I123)="","",INDEX(GL!$C:$C,I123)))</f>
        <v/>
      </c>
      <c r="L123" s="19" t="str">
        <f aca="false">IF(I123=0,"",INDEX(GL!$E:$E,I123))</f>
        <v/>
      </c>
      <c r="M123" s="19" t="str">
        <f aca="false">IF(OR(B123=0,I123=0),"",ROUND(G123-L123,2))</f>
        <v/>
      </c>
      <c r="N123" s="5" t="str">
        <f aca="false">IF(A123="","",IF(B123=0,"NOT FOUND: bank ID",IF(I123=0,"NOT FOUND: GL ID",IF(INDEX(GL!$H:$H,I123)&lt;&gt;A123,"BROKEN: GL points elsewhere",IF(OR(INDEX(Bank!$F:$F,B123)&lt;&gt;"Y",INDEX(GL!$F:$F,I123)&lt;&gt;"Y"),"BROKEN: Status not Y","OK")))))</f>
        <v/>
      </c>
    </row>
    <row r="124" customFormat="false" ht="15" hidden="false" customHeight="false" outlineLevel="0" collapsed="false">
      <c r="A124" s="41"/>
      <c r="B124" s="5" t="n">
        <f aca="false">IF(A124="",0,IFERROR(MATCH(A124,Bank!$A:$A,0),0))</f>
        <v>0</v>
      </c>
      <c r="C124" s="5" t="str">
        <f aca="false">IF(B124=0,"",IF(INDEX(Bank!$G:$G,B124)="","",INDEX(Bank!$G:$G,B124)))</f>
        <v/>
      </c>
      <c r="D124" s="5" t="str">
        <f aca="false">IF(B124=0,"",IF(INDEX(Bank!$J:$J,B124)="","",INDEX(Bank!$J:$J,B124)))</f>
        <v/>
      </c>
      <c r="E124" s="32" t="str">
        <f aca="false">IF(B124=0,"",INDEX(Bank!$B:$B,B124))</f>
        <v/>
      </c>
      <c r="F124" s="5" t="str">
        <f aca="false">IF(B124=0,"",IF(INDEX(Bank!$C:$C,B124)="","",INDEX(Bank!$C:$C,B124)))</f>
        <v/>
      </c>
      <c r="G124" s="19" t="str">
        <f aca="false">IF(B124=0,"",INDEX(Bank!$E:$E,B124))</f>
        <v/>
      </c>
      <c r="H124" s="5" t="str">
        <f aca="false">IF(B124=0,"",IF(INDEX(Bank!$H:$H,B124)="","",INDEX(Bank!$H:$H,B124)))</f>
        <v/>
      </c>
      <c r="I124" s="5" t="n">
        <f aca="false">IF(H124="",0,IFERROR(MATCH(H124,GL!$A:$A,0),0))</f>
        <v>0</v>
      </c>
      <c r="J124" s="32" t="str">
        <f aca="false">IF(I124=0,"",INDEX(GL!$B:$B,I124))</f>
        <v/>
      </c>
      <c r="K124" s="5" t="str">
        <f aca="false">IF(I124=0,"",IF(INDEX(GL!$C:$C,I124)="","",INDEX(GL!$C:$C,I124)))</f>
        <v/>
      </c>
      <c r="L124" s="19" t="str">
        <f aca="false">IF(I124=0,"",INDEX(GL!$E:$E,I124))</f>
        <v/>
      </c>
      <c r="M124" s="19" t="str">
        <f aca="false">IF(OR(B124=0,I124=0),"",ROUND(G124-L124,2))</f>
        <v/>
      </c>
      <c r="N124" s="5" t="str">
        <f aca="false">IF(A124="","",IF(B124=0,"NOT FOUND: bank ID",IF(I124=0,"NOT FOUND: GL ID",IF(INDEX(GL!$H:$H,I124)&lt;&gt;A124,"BROKEN: GL points elsewhere",IF(OR(INDEX(Bank!$F:$F,B124)&lt;&gt;"Y",INDEX(GL!$F:$F,I124)&lt;&gt;"Y"),"BROKEN: Status not Y","OK")))))</f>
        <v/>
      </c>
    </row>
    <row r="125" customFormat="false" ht="15" hidden="false" customHeight="false" outlineLevel="0" collapsed="false">
      <c r="A125" s="41"/>
      <c r="B125" s="5" t="n">
        <f aca="false">IF(A125="",0,IFERROR(MATCH(A125,Bank!$A:$A,0),0))</f>
        <v>0</v>
      </c>
      <c r="C125" s="5" t="str">
        <f aca="false">IF(B125=0,"",IF(INDEX(Bank!$G:$G,B125)="","",INDEX(Bank!$G:$G,B125)))</f>
        <v/>
      </c>
      <c r="D125" s="5" t="str">
        <f aca="false">IF(B125=0,"",IF(INDEX(Bank!$J:$J,B125)="","",INDEX(Bank!$J:$J,B125)))</f>
        <v/>
      </c>
      <c r="E125" s="32" t="str">
        <f aca="false">IF(B125=0,"",INDEX(Bank!$B:$B,B125))</f>
        <v/>
      </c>
      <c r="F125" s="5" t="str">
        <f aca="false">IF(B125=0,"",IF(INDEX(Bank!$C:$C,B125)="","",INDEX(Bank!$C:$C,B125)))</f>
        <v/>
      </c>
      <c r="G125" s="19" t="str">
        <f aca="false">IF(B125=0,"",INDEX(Bank!$E:$E,B125))</f>
        <v/>
      </c>
      <c r="H125" s="5" t="str">
        <f aca="false">IF(B125=0,"",IF(INDEX(Bank!$H:$H,B125)="","",INDEX(Bank!$H:$H,B125)))</f>
        <v/>
      </c>
      <c r="I125" s="5" t="n">
        <f aca="false">IF(H125="",0,IFERROR(MATCH(H125,GL!$A:$A,0),0))</f>
        <v>0</v>
      </c>
      <c r="J125" s="32" t="str">
        <f aca="false">IF(I125=0,"",INDEX(GL!$B:$B,I125))</f>
        <v/>
      </c>
      <c r="K125" s="5" t="str">
        <f aca="false">IF(I125=0,"",IF(INDEX(GL!$C:$C,I125)="","",INDEX(GL!$C:$C,I125)))</f>
        <v/>
      </c>
      <c r="L125" s="19" t="str">
        <f aca="false">IF(I125=0,"",INDEX(GL!$E:$E,I125))</f>
        <v/>
      </c>
      <c r="M125" s="19" t="str">
        <f aca="false">IF(OR(B125=0,I125=0),"",ROUND(G125-L125,2))</f>
        <v/>
      </c>
      <c r="N125" s="5" t="str">
        <f aca="false">IF(A125="","",IF(B125=0,"NOT FOUND: bank ID",IF(I125=0,"NOT FOUND: GL ID",IF(INDEX(GL!$H:$H,I125)&lt;&gt;A125,"BROKEN: GL points elsewhere",IF(OR(INDEX(Bank!$F:$F,B125)&lt;&gt;"Y",INDEX(GL!$F:$F,I125)&lt;&gt;"Y"),"BROKEN: Status not Y","OK")))))</f>
        <v/>
      </c>
    </row>
    <row r="126" customFormat="false" ht="15" hidden="false" customHeight="false" outlineLevel="0" collapsed="false">
      <c r="A126" s="41"/>
      <c r="B126" s="5" t="n">
        <f aca="false">IF(A126="",0,IFERROR(MATCH(A126,Bank!$A:$A,0),0))</f>
        <v>0</v>
      </c>
      <c r="C126" s="5" t="str">
        <f aca="false">IF(B126=0,"",IF(INDEX(Bank!$G:$G,B126)="","",INDEX(Bank!$G:$G,B126)))</f>
        <v/>
      </c>
      <c r="D126" s="5" t="str">
        <f aca="false">IF(B126=0,"",IF(INDEX(Bank!$J:$J,B126)="","",INDEX(Bank!$J:$J,B126)))</f>
        <v/>
      </c>
      <c r="E126" s="32" t="str">
        <f aca="false">IF(B126=0,"",INDEX(Bank!$B:$B,B126))</f>
        <v/>
      </c>
      <c r="F126" s="5" t="str">
        <f aca="false">IF(B126=0,"",IF(INDEX(Bank!$C:$C,B126)="","",INDEX(Bank!$C:$C,B126)))</f>
        <v/>
      </c>
      <c r="G126" s="19" t="str">
        <f aca="false">IF(B126=0,"",INDEX(Bank!$E:$E,B126))</f>
        <v/>
      </c>
      <c r="H126" s="5" t="str">
        <f aca="false">IF(B126=0,"",IF(INDEX(Bank!$H:$H,B126)="","",INDEX(Bank!$H:$H,B126)))</f>
        <v/>
      </c>
      <c r="I126" s="5" t="n">
        <f aca="false">IF(H126="",0,IFERROR(MATCH(H126,GL!$A:$A,0),0))</f>
        <v>0</v>
      </c>
      <c r="J126" s="32" t="str">
        <f aca="false">IF(I126=0,"",INDEX(GL!$B:$B,I126))</f>
        <v/>
      </c>
      <c r="K126" s="5" t="str">
        <f aca="false">IF(I126=0,"",IF(INDEX(GL!$C:$C,I126)="","",INDEX(GL!$C:$C,I126)))</f>
        <v/>
      </c>
      <c r="L126" s="19" t="str">
        <f aca="false">IF(I126=0,"",INDEX(GL!$E:$E,I126))</f>
        <v/>
      </c>
      <c r="M126" s="19" t="str">
        <f aca="false">IF(OR(B126=0,I126=0),"",ROUND(G126-L126,2))</f>
        <v/>
      </c>
      <c r="N126" s="5" t="str">
        <f aca="false">IF(A126="","",IF(B126=0,"NOT FOUND: bank ID",IF(I126=0,"NOT FOUND: GL ID",IF(INDEX(GL!$H:$H,I126)&lt;&gt;A126,"BROKEN: GL points elsewhere",IF(OR(INDEX(Bank!$F:$F,B126)&lt;&gt;"Y",INDEX(GL!$F:$F,I126)&lt;&gt;"Y"),"BROKEN: Status not Y","OK")))))</f>
        <v/>
      </c>
    </row>
    <row r="127" customFormat="false" ht="15" hidden="false" customHeight="false" outlineLevel="0" collapsed="false">
      <c r="A127" s="41"/>
      <c r="B127" s="5" t="n">
        <f aca="false">IF(A127="",0,IFERROR(MATCH(A127,Bank!$A:$A,0),0))</f>
        <v>0</v>
      </c>
      <c r="C127" s="5" t="str">
        <f aca="false">IF(B127=0,"",IF(INDEX(Bank!$G:$G,B127)="","",INDEX(Bank!$G:$G,B127)))</f>
        <v/>
      </c>
      <c r="D127" s="5" t="str">
        <f aca="false">IF(B127=0,"",IF(INDEX(Bank!$J:$J,B127)="","",INDEX(Bank!$J:$J,B127)))</f>
        <v/>
      </c>
      <c r="E127" s="32" t="str">
        <f aca="false">IF(B127=0,"",INDEX(Bank!$B:$B,B127))</f>
        <v/>
      </c>
      <c r="F127" s="5" t="str">
        <f aca="false">IF(B127=0,"",IF(INDEX(Bank!$C:$C,B127)="","",INDEX(Bank!$C:$C,B127)))</f>
        <v/>
      </c>
      <c r="G127" s="19" t="str">
        <f aca="false">IF(B127=0,"",INDEX(Bank!$E:$E,B127))</f>
        <v/>
      </c>
      <c r="H127" s="5" t="str">
        <f aca="false">IF(B127=0,"",IF(INDEX(Bank!$H:$H,B127)="","",INDEX(Bank!$H:$H,B127)))</f>
        <v/>
      </c>
      <c r="I127" s="5" t="n">
        <f aca="false">IF(H127="",0,IFERROR(MATCH(H127,GL!$A:$A,0),0))</f>
        <v>0</v>
      </c>
      <c r="J127" s="32" t="str">
        <f aca="false">IF(I127=0,"",INDEX(GL!$B:$B,I127))</f>
        <v/>
      </c>
      <c r="K127" s="5" t="str">
        <f aca="false">IF(I127=0,"",IF(INDEX(GL!$C:$C,I127)="","",INDEX(GL!$C:$C,I127)))</f>
        <v/>
      </c>
      <c r="L127" s="19" t="str">
        <f aca="false">IF(I127=0,"",INDEX(GL!$E:$E,I127))</f>
        <v/>
      </c>
      <c r="M127" s="19" t="str">
        <f aca="false">IF(OR(B127=0,I127=0),"",ROUND(G127-L127,2))</f>
        <v/>
      </c>
      <c r="N127" s="5" t="str">
        <f aca="false">IF(A127="","",IF(B127=0,"NOT FOUND: bank ID",IF(I127=0,"NOT FOUND: GL ID",IF(INDEX(GL!$H:$H,I127)&lt;&gt;A127,"BROKEN: GL points elsewhere",IF(OR(INDEX(Bank!$F:$F,B127)&lt;&gt;"Y",INDEX(GL!$F:$F,I127)&lt;&gt;"Y"),"BROKEN: Status not Y","OK")))))</f>
        <v/>
      </c>
    </row>
    <row r="128" customFormat="false" ht="15" hidden="false" customHeight="false" outlineLevel="0" collapsed="false">
      <c r="A128" s="41"/>
      <c r="B128" s="5" t="n">
        <f aca="false">IF(A128="",0,IFERROR(MATCH(A128,Bank!$A:$A,0),0))</f>
        <v>0</v>
      </c>
      <c r="C128" s="5" t="str">
        <f aca="false">IF(B128=0,"",IF(INDEX(Bank!$G:$G,B128)="","",INDEX(Bank!$G:$G,B128)))</f>
        <v/>
      </c>
      <c r="D128" s="5" t="str">
        <f aca="false">IF(B128=0,"",IF(INDEX(Bank!$J:$J,B128)="","",INDEX(Bank!$J:$J,B128)))</f>
        <v/>
      </c>
      <c r="E128" s="32" t="str">
        <f aca="false">IF(B128=0,"",INDEX(Bank!$B:$B,B128))</f>
        <v/>
      </c>
      <c r="F128" s="5" t="str">
        <f aca="false">IF(B128=0,"",IF(INDEX(Bank!$C:$C,B128)="","",INDEX(Bank!$C:$C,B128)))</f>
        <v/>
      </c>
      <c r="G128" s="19" t="str">
        <f aca="false">IF(B128=0,"",INDEX(Bank!$E:$E,B128))</f>
        <v/>
      </c>
      <c r="H128" s="5" t="str">
        <f aca="false">IF(B128=0,"",IF(INDEX(Bank!$H:$H,B128)="","",INDEX(Bank!$H:$H,B128)))</f>
        <v/>
      </c>
      <c r="I128" s="5" t="n">
        <f aca="false">IF(H128="",0,IFERROR(MATCH(H128,GL!$A:$A,0),0))</f>
        <v>0</v>
      </c>
      <c r="J128" s="32" t="str">
        <f aca="false">IF(I128=0,"",INDEX(GL!$B:$B,I128))</f>
        <v/>
      </c>
      <c r="K128" s="5" t="str">
        <f aca="false">IF(I128=0,"",IF(INDEX(GL!$C:$C,I128)="","",INDEX(GL!$C:$C,I128)))</f>
        <v/>
      </c>
      <c r="L128" s="19" t="str">
        <f aca="false">IF(I128=0,"",INDEX(GL!$E:$E,I128))</f>
        <v/>
      </c>
      <c r="M128" s="19" t="str">
        <f aca="false">IF(OR(B128=0,I128=0),"",ROUND(G128-L128,2))</f>
        <v/>
      </c>
      <c r="N128" s="5" t="str">
        <f aca="false">IF(A128="","",IF(B128=0,"NOT FOUND: bank ID",IF(I128=0,"NOT FOUND: GL ID",IF(INDEX(GL!$H:$H,I128)&lt;&gt;A128,"BROKEN: GL points elsewhere",IF(OR(INDEX(Bank!$F:$F,B128)&lt;&gt;"Y",INDEX(GL!$F:$F,I128)&lt;&gt;"Y"),"BROKEN: Status not Y","OK")))))</f>
        <v/>
      </c>
    </row>
    <row r="129" customFormat="false" ht="15" hidden="false" customHeight="false" outlineLevel="0" collapsed="false">
      <c r="A129" s="41"/>
      <c r="B129" s="5" t="n">
        <f aca="false">IF(A129="",0,IFERROR(MATCH(A129,Bank!$A:$A,0),0))</f>
        <v>0</v>
      </c>
      <c r="C129" s="5" t="str">
        <f aca="false">IF(B129=0,"",IF(INDEX(Bank!$G:$G,B129)="","",INDEX(Bank!$G:$G,B129)))</f>
        <v/>
      </c>
      <c r="D129" s="5" t="str">
        <f aca="false">IF(B129=0,"",IF(INDEX(Bank!$J:$J,B129)="","",INDEX(Bank!$J:$J,B129)))</f>
        <v/>
      </c>
      <c r="E129" s="32" t="str">
        <f aca="false">IF(B129=0,"",INDEX(Bank!$B:$B,B129))</f>
        <v/>
      </c>
      <c r="F129" s="5" t="str">
        <f aca="false">IF(B129=0,"",IF(INDEX(Bank!$C:$C,B129)="","",INDEX(Bank!$C:$C,B129)))</f>
        <v/>
      </c>
      <c r="G129" s="19" t="str">
        <f aca="false">IF(B129=0,"",INDEX(Bank!$E:$E,B129))</f>
        <v/>
      </c>
      <c r="H129" s="5" t="str">
        <f aca="false">IF(B129=0,"",IF(INDEX(Bank!$H:$H,B129)="","",INDEX(Bank!$H:$H,B129)))</f>
        <v/>
      </c>
      <c r="I129" s="5" t="n">
        <f aca="false">IF(H129="",0,IFERROR(MATCH(H129,GL!$A:$A,0),0))</f>
        <v>0</v>
      </c>
      <c r="J129" s="32" t="str">
        <f aca="false">IF(I129=0,"",INDEX(GL!$B:$B,I129))</f>
        <v/>
      </c>
      <c r="K129" s="5" t="str">
        <f aca="false">IF(I129=0,"",IF(INDEX(GL!$C:$C,I129)="","",INDEX(GL!$C:$C,I129)))</f>
        <v/>
      </c>
      <c r="L129" s="19" t="str">
        <f aca="false">IF(I129=0,"",INDEX(GL!$E:$E,I129))</f>
        <v/>
      </c>
      <c r="M129" s="19" t="str">
        <f aca="false">IF(OR(B129=0,I129=0),"",ROUND(G129-L129,2))</f>
        <v/>
      </c>
      <c r="N129" s="5" t="str">
        <f aca="false">IF(A129="","",IF(B129=0,"NOT FOUND: bank ID",IF(I129=0,"NOT FOUND: GL ID",IF(INDEX(GL!$H:$H,I129)&lt;&gt;A129,"BROKEN: GL points elsewhere",IF(OR(INDEX(Bank!$F:$F,B129)&lt;&gt;"Y",INDEX(GL!$F:$F,I129)&lt;&gt;"Y"),"BROKEN: Status not Y","OK")))))</f>
        <v/>
      </c>
    </row>
    <row r="130" customFormat="false" ht="15" hidden="false" customHeight="false" outlineLevel="0" collapsed="false">
      <c r="A130" s="41"/>
      <c r="B130" s="5" t="n">
        <f aca="false">IF(A130="",0,IFERROR(MATCH(A130,Bank!$A:$A,0),0))</f>
        <v>0</v>
      </c>
      <c r="C130" s="5" t="str">
        <f aca="false">IF(B130=0,"",IF(INDEX(Bank!$G:$G,B130)="","",INDEX(Bank!$G:$G,B130)))</f>
        <v/>
      </c>
      <c r="D130" s="5" t="str">
        <f aca="false">IF(B130=0,"",IF(INDEX(Bank!$J:$J,B130)="","",INDEX(Bank!$J:$J,B130)))</f>
        <v/>
      </c>
      <c r="E130" s="32" t="str">
        <f aca="false">IF(B130=0,"",INDEX(Bank!$B:$B,B130))</f>
        <v/>
      </c>
      <c r="F130" s="5" t="str">
        <f aca="false">IF(B130=0,"",IF(INDEX(Bank!$C:$C,B130)="","",INDEX(Bank!$C:$C,B130)))</f>
        <v/>
      </c>
      <c r="G130" s="19" t="str">
        <f aca="false">IF(B130=0,"",INDEX(Bank!$E:$E,B130))</f>
        <v/>
      </c>
      <c r="H130" s="5" t="str">
        <f aca="false">IF(B130=0,"",IF(INDEX(Bank!$H:$H,B130)="","",INDEX(Bank!$H:$H,B130)))</f>
        <v/>
      </c>
      <c r="I130" s="5" t="n">
        <f aca="false">IF(H130="",0,IFERROR(MATCH(H130,GL!$A:$A,0),0))</f>
        <v>0</v>
      </c>
      <c r="J130" s="32" t="str">
        <f aca="false">IF(I130=0,"",INDEX(GL!$B:$B,I130))</f>
        <v/>
      </c>
      <c r="K130" s="5" t="str">
        <f aca="false">IF(I130=0,"",IF(INDEX(GL!$C:$C,I130)="","",INDEX(GL!$C:$C,I130)))</f>
        <v/>
      </c>
      <c r="L130" s="19" t="str">
        <f aca="false">IF(I130=0,"",INDEX(GL!$E:$E,I130))</f>
        <v/>
      </c>
      <c r="M130" s="19" t="str">
        <f aca="false">IF(OR(B130=0,I130=0),"",ROUND(G130-L130,2))</f>
        <v/>
      </c>
      <c r="N130" s="5" t="str">
        <f aca="false">IF(A130="","",IF(B130=0,"NOT FOUND: bank ID",IF(I130=0,"NOT FOUND: GL ID",IF(INDEX(GL!$H:$H,I130)&lt;&gt;A130,"BROKEN: GL points elsewhere",IF(OR(INDEX(Bank!$F:$F,B130)&lt;&gt;"Y",INDEX(GL!$F:$F,I130)&lt;&gt;"Y"),"BROKEN: Status not Y","OK")))))</f>
        <v/>
      </c>
    </row>
    <row r="131" customFormat="false" ht="15" hidden="false" customHeight="false" outlineLevel="0" collapsed="false">
      <c r="A131" s="41"/>
      <c r="B131" s="5" t="n">
        <f aca="false">IF(A131="",0,IFERROR(MATCH(A131,Bank!$A:$A,0),0))</f>
        <v>0</v>
      </c>
      <c r="C131" s="5" t="str">
        <f aca="false">IF(B131=0,"",IF(INDEX(Bank!$G:$G,B131)="","",INDEX(Bank!$G:$G,B131)))</f>
        <v/>
      </c>
      <c r="D131" s="5" t="str">
        <f aca="false">IF(B131=0,"",IF(INDEX(Bank!$J:$J,B131)="","",INDEX(Bank!$J:$J,B131)))</f>
        <v/>
      </c>
      <c r="E131" s="32" t="str">
        <f aca="false">IF(B131=0,"",INDEX(Bank!$B:$B,B131))</f>
        <v/>
      </c>
      <c r="F131" s="5" t="str">
        <f aca="false">IF(B131=0,"",IF(INDEX(Bank!$C:$C,B131)="","",INDEX(Bank!$C:$C,B131)))</f>
        <v/>
      </c>
      <c r="G131" s="19" t="str">
        <f aca="false">IF(B131=0,"",INDEX(Bank!$E:$E,B131))</f>
        <v/>
      </c>
      <c r="H131" s="5" t="str">
        <f aca="false">IF(B131=0,"",IF(INDEX(Bank!$H:$H,B131)="","",INDEX(Bank!$H:$H,B131)))</f>
        <v/>
      </c>
      <c r="I131" s="5" t="n">
        <f aca="false">IF(H131="",0,IFERROR(MATCH(H131,GL!$A:$A,0),0))</f>
        <v>0</v>
      </c>
      <c r="J131" s="32" t="str">
        <f aca="false">IF(I131=0,"",INDEX(GL!$B:$B,I131))</f>
        <v/>
      </c>
      <c r="K131" s="5" t="str">
        <f aca="false">IF(I131=0,"",IF(INDEX(GL!$C:$C,I131)="","",INDEX(GL!$C:$C,I131)))</f>
        <v/>
      </c>
      <c r="L131" s="19" t="str">
        <f aca="false">IF(I131=0,"",INDEX(GL!$E:$E,I131))</f>
        <v/>
      </c>
      <c r="M131" s="19" t="str">
        <f aca="false">IF(OR(B131=0,I131=0),"",ROUND(G131-L131,2))</f>
        <v/>
      </c>
      <c r="N131" s="5" t="str">
        <f aca="false">IF(A131="","",IF(B131=0,"NOT FOUND: bank ID",IF(I131=0,"NOT FOUND: GL ID",IF(INDEX(GL!$H:$H,I131)&lt;&gt;A131,"BROKEN: GL points elsewhere",IF(OR(INDEX(Bank!$F:$F,B131)&lt;&gt;"Y",INDEX(GL!$F:$F,I131)&lt;&gt;"Y"),"BROKEN: Status not Y","OK")))))</f>
        <v/>
      </c>
    </row>
    <row r="132" customFormat="false" ht="15" hidden="false" customHeight="false" outlineLevel="0" collapsed="false">
      <c r="A132" s="41"/>
      <c r="B132" s="5" t="n">
        <f aca="false">IF(A132="",0,IFERROR(MATCH(A132,Bank!$A:$A,0),0))</f>
        <v>0</v>
      </c>
      <c r="C132" s="5" t="str">
        <f aca="false">IF(B132=0,"",IF(INDEX(Bank!$G:$G,B132)="","",INDEX(Bank!$G:$G,B132)))</f>
        <v/>
      </c>
      <c r="D132" s="5" t="str">
        <f aca="false">IF(B132=0,"",IF(INDEX(Bank!$J:$J,B132)="","",INDEX(Bank!$J:$J,B132)))</f>
        <v/>
      </c>
      <c r="E132" s="32" t="str">
        <f aca="false">IF(B132=0,"",INDEX(Bank!$B:$B,B132))</f>
        <v/>
      </c>
      <c r="F132" s="5" t="str">
        <f aca="false">IF(B132=0,"",IF(INDEX(Bank!$C:$C,B132)="","",INDEX(Bank!$C:$C,B132)))</f>
        <v/>
      </c>
      <c r="G132" s="19" t="str">
        <f aca="false">IF(B132=0,"",INDEX(Bank!$E:$E,B132))</f>
        <v/>
      </c>
      <c r="H132" s="5" t="str">
        <f aca="false">IF(B132=0,"",IF(INDEX(Bank!$H:$H,B132)="","",INDEX(Bank!$H:$H,B132)))</f>
        <v/>
      </c>
      <c r="I132" s="5" t="n">
        <f aca="false">IF(H132="",0,IFERROR(MATCH(H132,GL!$A:$A,0),0))</f>
        <v>0</v>
      </c>
      <c r="J132" s="32" t="str">
        <f aca="false">IF(I132=0,"",INDEX(GL!$B:$B,I132))</f>
        <v/>
      </c>
      <c r="K132" s="5" t="str">
        <f aca="false">IF(I132=0,"",IF(INDEX(GL!$C:$C,I132)="","",INDEX(GL!$C:$C,I132)))</f>
        <v/>
      </c>
      <c r="L132" s="19" t="str">
        <f aca="false">IF(I132=0,"",INDEX(GL!$E:$E,I132))</f>
        <v/>
      </c>
      <c r="M132" s="19" t="str">
        <f aca="false">IF(OR(B132=0,I132=0),"",ROUND(G132-L132,2))</f>
        <v/>
      </c>
      <c r="N132" s="5" t="str">
        <f aca="false">IF(A132="","",IF(B132=0,"NOT FOUND: bank ID",IF(I132=0,"NOT FOUND: GL ID",IF(INDEX(GL!$H:$H,I132)&lt;&gt;A132,"BROKEN: GL points elsewhere",IF(OR(INDEX(Bank!$F:$F,B132)&lt;&gt;"Y",INDEX(GL!$F:$F,I132)&lt;&gt;"Y"),"BROKEN: Status not Y","OK")))))</f>
        <v/>
      </c>
    </row>
    <row r="133" customFormat="false" ht="15" hidden="false" customHeight="false" outlineLevel="0" collapsed="false">
      <c r="A133" s="41"/>
      <c r="B133" s="5" t="n">
        <f aca="false">IF(A133="",0,IFERROR(MATCH(A133,Bank!$A:$A,0),0))</f>
        <v>0</v>
      </c>
      <c r="C133" s="5" t="str">
        <f aca="false">IF(B133=0,"",IF(INDEX(Bank!$G:$G,B133)="","",INDEX(Bank!$G:$G,B133)))</f>
        <v/>
      </c>
      <c r="D133" s="5" t="str">
        <f aca="false">IF(B133=0,"",IF(INDEX(Bank!$J:$J,B133)="","",INDEX(Bank!$J:$J,B133)))</f>
        <v/>
      </c>
      <c r="E133" s="32" t="str">
        <f aca="false">IF(B133=0,"",INDEX(Bank!$B:$B,B133))</f>
        <v/>
      </c>
      <c r="F133" s="5" t="str">
        <f aca="false">IF(B133=0,"",IF(INDEX(Bank!$C:$C,B133)="","",INDEX(Bank!$C:$C,B133)))</f>
        <v/>
      </c>
      <c r="G133" s="19" t="str">
        <f aca="false">IF(B133=0,"",INDEX(Bank!$E:$E,B133))</f>
        <v/>
      </c>
      <c r="H133" s="5" t="str">
        <f aca="false">IF(B133=0,"",IF(INDEX(Bank!$H:$H,B133)="","",INDEX(Bank!$H:$H,B133)))</f>
        <v/>
      </c>
      <c r="I133" s="5" t="n">
        <f aca="false">IF(H133="",0,IFERROR(MATCH(H133,GL!$A:$A,0),0))</f>
        <v>0</v>
      </c>
      <c r="J133" s="32" t="str">
        <f aca="false">IF(I133=0,"",INDEX(GL!$B:$B,I133))</f>
        <v/>
      </c>
      <c r="K133" s="5" t="str">
        <f aca="false">IF(I133=0,"",IF(INDEX(GL!$C:$C,I133)="","",INDEX(GL!$C:$C,I133)))</f>
        <v/>
      </c>
      <c r="L133" s="19" t="str">
        <f aca="false">IF(I133=0,"",INDEX(GL!$E:$E,I133))</f>
        <v/>
      </c>
      <c r="M133" s="19" t="str">
        <f aca="false">IF(OR(B133=0,I133=0),"",ROUND(G133-L133,2))</f>
        <v/>
      </c>
      <c r="N133" s="5" t="str">
        <f aca="false">IF(A133="","",IF(B133=0,"NOT FOUND: bank ID",IF(I133=0,"NOT FOUND: GL ID",IF(INDEX(GL!$H:$H,I133)&lt;&gt;A133,"BROKEN: GL points elsewhere",IF(OR(INDEX(Bank!$F:$F,B133)&lt;&gt;"Y",INDEX(GL!$F:$F,I133)&lt;&gt;"Y"),"BROKEN: Status not Y","OK")))))</f>
        <v/>
      </c>
    </row>
    <row r="134" customFormat="false" ht="15" hidden="false" customHeight="false" outlineLevel="0" collapsed="false">
      <c r="A134" s="41"/>
      <c r="B134" s="5" t="n">
        <f aca="false">IF(A134="",0,IFERROR(MATCH(A134,Bank!$A:$A,0),0))</f>
        <v>0</v>
      </c>
      <c r="C134" s="5" t="str">
        <f aca="false">IF(B134=0,"",IF(INDEX(Bank!$G:$G,B134)="","",INDEX(Bank!$G:$G,B134)))</f>
        <v/>
      </c>
      <c r="D134" s="5" t="str">
        <f aca="false">IF(B134=0,"",IF(INDEX(Bank!$J:$J,B134)="","",INDEX(Bank!$J:$J,B134)))</f>
        <v/>
      </c>
      <c r="E134" s="32" t="str">
        <f aca="false">IF(B134=0,"",INDEX(Bank!$B:$B,B134))</f>
        <v/>
      </c>
      <c r="F134" s="5" t="str">
        <f aca="false">IF(B134=0,"",IF(INDEX(Bank!$C:$C,B134)="","",INDEX(Bank!$C:$C,B134)))</f>
        <v/>
      </c>
      <c r="G134" s="19" t="str">
        <f aca="false">IF(B134=0,"",INDEX(Bank!$E:$E,B134))</f>
        <v/>
      </c>
      <c r="H134" s="5" t="str">
        <f aca="false">IF(B134=0,"",IF(INDEX(Bank!$H:$H,B134)="","",INDEX(Bank!$H:$H,B134)))</f>
        <v/>
      </c>
      <c r="I134" s="5" t="n">
        <f aca="false">IF(H134="",0,IFERROR(MATCH(H134,GL!$A:$A,0),0))</f>
        <v>0</v>
      </c>
      <c r="J134" s="32" t="str">
        <f aca="false">IF(I134=0,"",INDEX(GL!$B:$B,I134))</f>
        <v/>
      </c>
      <c r="K134" s="5" t="str">
        <f aca="false">IF(I134=0,"",IF(INDEX(GL!$C:$C,I134)="","",INDEX(GL!$C:$C,I134)))</f>
        <v/>
      </c>
      <c r="L134" s="19" t="str">
        <f aca="false">IF(I134=0,"",INDEX(GL!$E:$E,I134))</f>
        <v/>
      </c>
      <c r="M134" s="19" t="str">
        <f aca="false">IF(OR(B134=0,I134=0),"",ROUND(G134-L134,2))</f>
        <v/>
      </c>
      <c r="N134" s="5" t="str">
        <f aca="false">IF(A134="","",IF(B134=0,"NOT FOUND: bank ID",IF(I134=0,"NOT FOUND: GL ID",IF(INDEX(GL!$H:$H,I134)&lt;&gt;A134,"BROKEN: GL points elsewhere",IF(OR(INDEX(Bank!$F:$F,B134)&lt;&gt;"Y",INDEX(GL!$F:$F,I134)&lt;&gt;"Y"),"BROKEN: Status not Y","OK")))))</f>
        <v/>
      </c>
    </row>
    <row r="135" customFormat="false" ht="15" hidden="false" customHeight="false" outlineLevel="0" collapsed="false">
      <c r="A135" s="41"/>
      <c r="B135" s="5" t="n">
        <f aca="false">IF(A135="",0,IFERROR(MATCH(A135,Bank!$A:$A,0),0))</f>
        <v>0</v>
      </c>
      <c r="C135" s="5" t="str">
        <f aca="false">IF(B135=0,"",IF(INDEX(Bank!$G:$G,B135)="","",INDEX(Bank!$G:$G,B135)))</f>
        <v/>
      </c>
      <c r="D135" s="5" t="str">
        <f aca="false">IF(B135=0,"",IF(INDEX(Bank!$J:$J,B135)="","",INDEX(Bank!$J:$J,B135)))</f>
        <v/>
      </c>
      <c r="E135" s="32" t="str">
        <f aca="false">IF(B135=0,"",INDEX(Bank!$B:$B,B135))</f>
        <v/>
      </c>
      <c r="F135" s="5" t="str">
        <f aca="false">IF(B135=0,"",IF(INDEX(Bank!$C:$C,B135)="","",INDEX(Bank!$C:$C,B135)))</f>
        <v/>
      </c>
      <c r="G135" s="19" t="str">
        <f aca="false">IF(B135=0,"",INDEX(Bank!$E:$E,B135))</f>
        <v/>
      </c>
      <c r="H135" s="5" t="str">
        <f aca="false">IF(B135=0,"",IF(INDEX(Bank!$H:$H,B135)="","",INDEX(Bank!$H:$H,B135)))</f>
        <v/>
      </c>
      <c r="I135" s="5" t="n">
        <f aca="false">IF(H135="",0,IFERROR(MATCH(H135,GL!$A:$A,0),0))</f>
        <v>0</v>
      </c>
      <c r="J135" s="32" t="str">
        <f aca="false">IF(I135=0,"",INDEX(GL!$B:$B,I135))</f>
        <v/>
      </c>
      <c r="K135" s="5" t="str">
        <f aca="false">IF(I135=0,"",IF(INDEX(GL!$C:$C,I135)="","",INDEX(GL!$C:$C,I135)))</f>
        <v/>
      </c>
      <c r="L135" s="19" t="str">
        <f aca="false">IF(I135=0,"",INDEX(GL!$E:$E,I135))</f>
        <v/>
      </c>
      <c r="M135" s="19" t="str">
        <f aca="false">IF(OR(B135=0,I135=0),"",ROUND(G135-L135,2))</f>
        <v/>
      </c>
      <c r="N135" s="5" t="str">
        <f aca="false">IF(A135="","",IF(B135=0,"NOT FOUND: bank ID",IF(I135=0,"NOT FOUND: GL ID",IF(INDEX(GL!$H:$H,I135)&lt;&gt;A135,"BROKEN: GL points elsewhere",IF(OR(INDEX(Bank!$F:$F,B135)&lt;&gt;"Y",INDEX(GL!$F:$F,I135)&lt;&gt;"Y"),"BROKEN: Status not Y","OK")))))</f>
        <v/>
      </c>
    </row>
    <row r="136" customFormat="false" ht="15" hidden="false" customHeight="false" outlineLevel="0" collapsed="false">
      <c r="A136" s="41"/>
      <c r="B136" s="5" t="n">
        <f aca="false">IF(A136="",0,IFERROR(MATCH(A136,Bank!$A:$A,0),0))</f>
        <v>0</v>
      </c>
      <c r="C136" s="5" t="str">
        <f aca="false">IF(B136=0,"",IF(INDEX(Bank!$G:$G,B136)="","",INDEX(Bank!$G:$G,B136)))</f>
        <v/>
      </c>
      <c r="D136" s="5" t="str">
        <f aca="false">IF(B136=0,"",IF(INDEX(Bank!$J:$J,B136)="","",INDEX(Bank!$J:$J,B136)))</f>
        <v/>
      </c>
      <c r="E136" s="32" t="str">
        <f aca="false">IF(B136=0,"",INDEX(Bank!$B:$B,B136))</f>
        <v/>
      </c>
      <c r="F136" s="5" t="str">
        <f aca="false">IF(B136=0,"",IF(INDEX(Bank!$C:$C,B136)="","",INDEX(Bank!$C:$C,B136)))</f>
        <v/>
      </c>
      <c r="G136" s="19" t="str">
        <f aca="false">IF(B136=0,"",INDEX(Bank!$E:$E,B136))</f>
        <v/>
      </c>
      <c r="H136" s="5" t="str">
        <f aca="false">IF(B136=0,"",IF(INDEX(Bank!$H:$H,B136)="","",INDEX(Bank!$H:$H,B136)))</f>
        <v/>
      </c>
      <c r="I136" s="5" t="n">
        <f aca="false">IF(H136="",0,IFERROR(MATCH(H136,GL!$A:$A,0),0))</f>
        <v>0</v>
      </c>
      <c r="J136" s="32" t="str">
        <f aca="false">IF(I136=0,"",INDEX(GL!$B:$B,I136))</f>
        <v/>
      </c>
      <c r="K136" s="5" t="str">
        <f aca="false">IF(I136=0,"",IF(INDEX(GL!$C:$C,I136)="","",INDEX(GL!$C:$C,I136)))</f>
        <v/>
      </c>
      <c r="L136" s="19" t="str">
        <f aca="false">IF(I136=0,"",INDEX(GL!$E:$E,I136))</f>
        <v/>
      </c>
      <c r="M136" s="19" t="str">
        <f aca="false">IF(OR(B136=0,I136=0),"",ROUND(G136-L136,2))</f>
        <v/>
      </c>
      <c r="N136" s="5" t="str">
        <f aca="false">IF(A136="","",IF(B136=0,"NOT FOUND: bank ID",IF(I136=0,"NOT FOUND: GL ID",IF(INDEX(GL!$H:$H,I136)&lt;&gt;A136,"BROKEN: GL points elsewhere",IF(OR(INDEX(Bank!$F:$F,B136)&lt;&gt;"Y",INDEX(GL!$F:$F,I136)&lt;&gt;"Y"),"BROKEN: Status not Y","OK")))))</f>
        <v/>
      </c>
    </row>
    <row r="137" customFormat="false" ht="15" hidden="false" customHeight="false" outlineLevel="0" collapsed="false">
      <c r="A137" s="41"/>
      <c r="B137" s="5" t="n">
        <f aca="false">IF(A137="",0,IFERROR(MATCH(A137,Bank!$A:$A,0),0))</f>
        <v>0</v>
      </c>
      <c r="C137" s="5" t="str">
        <f aca="false">IF(B137=0,"",IF(INDEX(Bank!$G:$G,B137)="","",INDEX(Bank!$G:$G,B137)))</f>
        <v/>
      </c>
      <c r="D137" s="5" t="str">
        <f aca="false">IF(B137=0,"",IF(INDEX(Bank!$J:$J,B137)="","",INDEX(Bank!$J:$J,B137)))</f>
        <v/>
      </c>
      <c r="E137" s="32" t="str">
        <f aca="false">IF(B137=0,"",INDEX(Bank!$B:$B,B137))</f>
        <v/>
      </c>
      <c r="F137" s="5" t="str">
        <f aca="false">IF(B137=0,"",IF(INDEX(Bank!$C:$C,B137)="","",INDEX(Bank!$C:$C,B137)))</f>
        <v/>
      </c>
      <c r="G137" s="19" t="str">
        <f aca="false">IF(B137=0,"",INDEX(Bank!$E:$E,B137))</f>
        <v/>
      </c>
      <c r="H137" s="5" t="str">
        <f aca="false">IF(B137=0,"",IF(INDEX(Bank!$H:$H,B137)="","",INDEX(Bank!$H:$H,B137)))</f>
        <v/>
      </c>
      <c r="I137" s="5" t="n">
        <f aca="false">IF(H137="",0,IFERROR(MATCH(H137,GL!$A:$A,0),0))</f>
        <v>0</v>
      </c>
      <c r="J137" s="32" t="str">
        <f aca="false">IF(I137=0,"",INDEX(GL!$B:$B,I137))</f>
        <v/>
      </c>
      <c r="K137" s="5" t="str">
        <f aca="false">IF(I137=0,"",IF(INDEX(GL!$C:$C,I137)="","",INDEX(GL!$C:$C,I137)))</f>
        <v/>
      </c>
      <c r="L137" s="19" t="str">
        <f aca="false">IF(I137=0,"",INDEX(GL!$E:$E,I137))</f>
        <v/>
      </c>
      <c r="M137" s="19" t="str">
        <f aca="false">IF(OR(B137=0,I137=0),"",ROUND(G137-L137,2))</f>
        <v/>
      </c>
      <c r="N137" s="5" t="str">
        <f aca="false">IF(A137="","",IF(B137=0,"NOT FOUND: bank ID",IF(I137=0,"NOT FOUND: GL ID",IF(INDEX(GL!$H:$H,I137)&lt;&gt;A137,"BROKEN: GL points elsewhere",IF(OR(INDEX(Bank!$F:$F,B137)&lt;&gt;"Y",INDEX(GL!$F:$F,I137)&lt;&gt;"Y"),"BROKEN: Status not Y","OK")))))</f>
        <v/>
      </c>
    </row>
    <row r="138" customFormat="false" ht="15" hidden="false" customHeight="false" outlineLevel="0" collapsed="false">
      <c r="A138" s="41"/>
      <c r="B138" s="5" t="n">
        <f aca="false">IF(A138="",0,IFERROR(MATCH(A138,Bank!$A:$A,0),0))</f>
        <v>0</v>
      </c>
      <c r="C138" s="5" t="str">
        <f aca="false">IF(B138=0,"",IF(INDEX(Bank!$G:$G,B138)="","",INDEX(Bank!$G:$G,B138)))</f>
        <v/>
      </c>
      <c r="D138" s="5" t="str">
        <f aca="false">IF(B138=0,"",IF(INDEX(Bank!$J:$J,B138)="","",INDEX(Bank!$J:$J,B138)))</f>
        <v/>
      </c>
      <c r="E138" s="32" t="str">
        <f aca="false">IF(B138=0,"",INDEX(Bank!$B:$B,B138))</f>
        <v/>
      </c>
      <c r="F138" s="5" t="str">
        <f aca="false">IF(B138=0,"",IF(INDEX(Bank!$C:$C,B138)="","",INDEX(Bank!$C:$C,B138)))</f>
        <v/>
      </c>
      <c r="G138" s="19" t="str">
        <f aca="false">IF(B138=0,"",INDEX(Bank!$E:$E,B138))</f>
        <v/>
      </c>
      <c r="H138" s="5" t="str">
        <f aca="false">IF(B138=0,"",IF(INDEX(Bank!$H:$H,B138)="","",INDEX(Bank!$H:$H,B138)))</f>
        <v/>
      </c>
      <c r="I138" s="5" t="n">
        <f aca="false">IF(H138="",0,IFERROR(MATCH(H138,GL!$A:$A,0),0))</f>
        <v>0</v>
      </c>
      <c r="J138" s="32" t="str">
        <f aca="false">IF(I138=0,"",INDEX(GL!$B:$B,I138))</f>
        <v/>
      </c>
      <c r="K138" s="5" t="str">
        <f aca="false">IF(I138=0,"",IF(INDEX(GL!$C:$C,I138)="","",INDEX(GL!$C:$C,I138)))</f>
        <v/>
      </c>
      <c r="L138" s="19" t="str">
        <f aca="false">IF(I138=0,"",INDEX(GL!$E:$E,I138))</f>
        <v/>
      </c>
      <c r="M138" s="19" t="str">
        <f aca="false">IF(OR(B138=0,I138=0),"",ROUND(G138-L138,2))</f>
        <v/>
      </c>
      <c r="N138" s="5" t="str">
        <f aca="false">IF(A138="","",IF(B138=0,"NOT FOUND: bank ID",IF(I138=0,"NOT FOUND: GL ID",IF(INDEX(GL!$H:$H,I138)&lt;&gt;A138,"BROKEN: GL points elsewhere",IF(OR(INDEX(Bank!$F:$F,B138)&lt;&gt;"Y",INDEX(GL!$F:$F,I138)&lt;&gt;"Y"),"BROKEN: Status not Y","OK")))))</f>
        <v/>
      </c>
    </row>
    <row r="139" customFormat="false" ht="15" hidden="false" customHeight="false" outlineLevel="0" collapsed="false">
      <c r="A139" s="41"/>
      <c r="B139" s="5" t="n">
        <f aca="false">IF(A139="",0,IFERROR(MATCH(A139,Bank!$A:$A,0),0))</f>
        <v>0</v>
      </c>
      <c r="C139" s="5" t="str">
        <f aca="false">IF(B139=0,"",IF(INDEX(Bank!$G:$G,B139)="","",INDEX(Bank!$G:$G,B139)))</f>
        <v/>
      </c>
      <c r="D139" s="5" t="str">
        <f aca="false">IF(B139=0,"",IF(INDEX(Bank!$J:$J,B139)="","",INDEX(Bank!$J:$J,B139)))</f>
        <v/>
      </c>
      <c r="E139" s="32" t="str">
        <f aca="false">IF(B139=0,"",INDEX(Bank!$B:$B,B139))</f>
        <v/>
      </c>
      <c r="F139" s="5" t="str">
        <f aca="false">IF(B139=0,"",IF(INDEX(Bank!$C:$C,B139)="","",INDEX(Bank!$C:$C,B139)))</f>
        <v/>
      </c>
      <c r="G139" s="19" t="str">
        <f aca="false">IF(B139=0,"",INDEX(Bank!$E:$E,B139))</f>
        <v/>
      </c>
      <c r="H139" s="5" t="str">
        <f aca="false">IF(B139=0,"",IF(INDEX(Bank!$H:$H,B139)="","",INDEX(Bank!$H:$H,B139)))</f>
        <v/>
      </c>
      <c r="I139" s="5" t="n">
        <f aca="false">IF(H139="",0,IFERROR(MATCH(H139,GL!$A:$A,0),0))</f>
        <v>0</v>
      </c>
      <c r="J139" s="32" t="str">
        <f aca="false">IF(I139=0,"",INDEX(GL!$B:$B,I139))</f>
        <v/>
      </c>
      <c r="K139" s="5" t="str">
        <f aca="false">IF(I139=0,"",IF(INDEX(GL!$C:$C,I139)="","",INDEX(GL!$C:$C,I139)))</f>
        <v/>
      </c>
      <c r="L139" s="19" t="str">
        <f aca="false">IF(I139=0,"",INDEX(GL!$E:$E,I139))</f>
        <v/>
      </c>
      <c r="M139" s="19" t="str">
        <f aca="false">IF(OR(B139=0,I139=0),"",ROUND(G139-L139,2))</f>
        <v/>
      </c>
      <c r="N139" s="5" t="str">
        <f aca="false">IF(A139="","",IF(B139=0,"NOT FOUND: bank ID",IF(I139=0,"NOT FOUND: GL ID",IF(INDEX(GL!$H:$H,I139)&lt;&gt;A139,"BROKEN: GL points elsewhere",IF(OR(INDEX(Bank!$F:$F,B139)&lt;&gt;"Y",INDEX(GL!$F:$F,I139)&lt;&gt;"Y"),"BROKEN: Status not Y","OK")))))</f>
        <v/>
      </c>
    </row>
    <row r="140" customFormat="false" ht="15" hidden="false" customHeight="false" outlineLevel="0" collapsed="false">
      <c r="A140" s="41"/>
      <c r="B140" s="5" t="n">
        <f aca="false">IF(A140="",0,IFERROR(MATCH(A140,Bank!$A:$A,0),0))</f>
        <v>0</v>
      </c>
      <c r="C140" s="5" t="str">
        <f aca="false">IF(B140=0,"",IF(INDEX(Bank!$G:$G,B140)="","",INDEX(Bank!$G:$G,B140)))</f>
        <v/>
      </c>
      <c r="D140" s="5" t="str">
        <f aca="false">IF(B140=0,"",IF(INDEX(Bank!$J:$J,B140)="","",INDEX(Bank!$J:$J,B140)))</f>
        <v/>
      </c>
      <c r="E140" s="32" t="str">
        <f aca="false">IF(B140=0,"",INDEX(Bank!$B:$B,B140))</f>
        <v/>
      </c>
      <c r="F140" s="5" t="str">
        <f aca="false">IF(B140=0,"",IF(INDEX(Bank!$C:$C,B140)="","",INDEX(Bank!$C:$C,B140)))</f>
        <v/>
      </c>
      <c r="G140" s="19" t="str">
        <f aca="false">IF(B140=0,"",INDEX(Bank!$E:$E,B140))</f>
        <v/>
      </c>
      <c r="H140" s="5" t="str">
        <f aca="false">IF(B140=0,"",IF(INDEX(Bank!$H:$H,B140)="","",INDEX(Bank!$H:$H,B140)))</f>
        <v/>
      </c>
      <c r="I140" s="5" t="n">
        <f aca="false">IF(H140="",0,IFERROR(MATCH(H140,GL!$A:$A,0),0))</f>
        <v>0</v>
      </c>
      <c r="J140" s="32" t="str">
        <f aca="false">IF(I140=0,"",INDEX(GL!$B:$B,I140))</f>
        <v/>
      </c>
      <c r="K140" s="5" t="str">
        <f aca="false">IF(I140=0,"",IF(INDEX(GL!$C:$C,I140)="","",INDEX(GL!$C:$C,I140)))</f>
        <v/>
      </c>
      <c r="L140" s="19" t="str">
        <f aca="false">IF(I140=0,"",INDEX(GL!$E:$E,I140))</f>
        <v/>
      </c>
      <c r="M140" s="19" t="str">
        <f aca="false">IF(OR(B140=0,I140=0),"",ROUND(G140-L140,2))</f>
        <v/>
      </c>
      <c r="N140" s="5" t="str">
        <f aca="false">IF(A140="","",IF(B140=0,"NOT FOUND: bank ID",IF(I140=0,"NOT FOUND: GL ID",IF(INDEX(GL!$H:$H,I140)&lt;&gt;A140,"BROKEN: GL points elsewhere",IF(OR(INDEX(Bank!$F:$F,B140)&lt;&gt;"Y",INDEX(GL!$F:$F,I140)&lt;&gt;"Y"),"BROKEN: Status not Y","OK")))))</f>
        <v/>
      </c>
    </row>
    <row r="141" customFormat="false" ht="15" hidden="false" customHeight="false" outlineLevel="0" collapsed="false">
      <c r="A141" s="41"/>
      <c r="B141" s="5" t="n">
        <f aca="false">IF(A141="",0,IFERROR(MATCH(A141,Bank!$A:$A,0),0))</f>
        <v>0</v>
      </c>
      <c r="C141" s="5" t="str">
        <f aca="false">IF(B141=0,"",IF(INDEX(Bank!$G:$G,B141)="","",INDEX(Bank!$G:$G,B141)))</f>
        <v/>
      </c>
      <c r="D141" s="5" t="str">
        <f aca="false">IF(B141=0,"",IF(INDEX(Bank!$J:$J,B141)="","",INDEX(Bank!$J:$J,B141)))</f>
        <v/>
      </c>
      <c r="E141" s="32" t="str">
        <f aca="false">IF(B141=0,"",INDEX(Bank!$B:$B,B141))</f>
        <v/>
      </c>
      <c r="F141" s="5" t="str">
        <f aca="false">IF(B141=0,"",IF(INDEX(Bank!$C:$C,B141)="","",INDEX(Bank!$C:$C,B141)))</f>
        <v/>
      </c>
      <c r="G141" s="19" t="str">
        <f aca="false">IF(B141=0,"",INDEX(Bank!$E:$E,B141))</f>
        <v/>
      </c>
      <c r="H141" s="5" t="str">
        <f aca="false">IF(B141=0,"",IF(INDEX(Bank!$H:$H,B141)="","",INDEX(Bank!$H:$H,B141)))</f>
        <v/>
      </c>
      <c r="I141" s="5" t="n">
        <f aca="false">IF(H141="",0,IFERROR(MATCH(H141,GL!$A:$A,0),0))</f>
        <v>0</v>
      </c>
      <c r="J141" s="32" t="str">
        <f aca="false">IF(I141=0,"",INDEX(GL!$B:$B,I141))</f>
        <v/>
      </c>
      <c r="K141" s="5" t="str">
        <f aca="false">IF(I141=0,"",IF(INDEX(GL!$C:$C,I141)="","",INDEX(GL!$C:$C,I141)))</f>
        <v/>
      </c>
      <c r="L141" s="19" t="str">
        <f aca="false">IF(I141=0,"",INDEX(GL!$E:$E,I141))</f>
        <v/>
      </c>
      <c r="M141" s="19" t="str">
        <f aca="false">IF(OR(B141=0,I141=0),"",ROUND(G141-L141,2))</f>
        <v/>
      </c>
      <c r="N141" s="5" t="str">
        <f aca="false">IF(A141="","",IF(B141=0,"NOT FOUND: bank ID",IF(I141=0,"NOT FOUND: GL ID",IF(INDEX(GL!$H:$H,I141)&lt;&gt;A141,"BROKEN: GL points elsewhere",IF(OR(INDEX(Bank!$F:$F,B141)&lt;&gt;"Y",INDEX(GL!$F:$F,I141)&lt;&gt;"Y"),"BROKEN: Status not Y","OK")))))</f>
        <v/>
      </c>
    </row>
    <row r="142" customFormat="false" ht="15" hidden="false" customHeight="false" outlineLevel="0" collapsed="false">
      <c r="A142" s="41"/>
      <c r="B142" s="5" t="n">
        <f aca="false">IF(A142="",0,IFERROR(MATCH(A142,Bank!$A:$A,0),0))</f>
        <v>0</v>
      </c>
      <c r="C142" s="5" t="str">
        <f aca="false">IF(B142=0,"",IF(INDEX(Bank!$G:$G,B142)="","",INDEX(Bank!$G:$G,B142)))</f>
        <v/>
      </c>
      <c r="D142" s="5" t="str">
        <f aca="false">IF(B142=0,"",IF(INDEX(Bank!$J:$J,B142)="","",INDEX(Bank!$J:$J,B142)))</f>
        <v/>
      </c>
      <c r="E142" s="32" t="str">
        <f aca="false">IF(B142=0,"",INDEX(Bank!$B:$B,B142))</f>
        <v/>
      </c>
      <c r="F142" s="5" t="str">
        <f aca="false">IF(B142=0,"",IF(INDEX(Bank!$C:$C,B142)="","",INDEX(Bank!$C:$C,B142)))</f>
        <v/>
      </c>
      <c r="G142" s="19" t="str">
        <f aca="false">IF(B142=0,"",INDEX(Bank!$E:$E,B142))</f>
        <v/>
      </c>
      <c r="H142" s="5" t="str">
        <f aca="false">IF(B142=0,"",IF(INDEX(Bank!$H:$H,B142)="","",INDEX(Bank!$H:$H,B142)))</f>
        <v/>
      </c>
      <c r="I142" s="5" t="n">
        <f aca="false">IF(H142="",0,IFERROR(MATCH(H142,GL!$A:$A,0),0))</f>
        <v>0</v>
      </c>
      <c r="J142" s="32" t="str">
        <f aca="false">IF(I142=0,"",INDEX(GL!$B:$B,I142))</f>
        <v/>
      </c>
      <c r="K142" s="5" t="str">
        <f aca="false">IF(I142=0,"",IF(INDEX(GL!$C:$C,I142)="","",INDEX(GL!$C:$C,I142)))</f>
        <v/>
      </c>
      <c r="L142" s="19" t="str">
        <f aca="false">IF(I142=0,"",INDEX(GL!$E:$E,I142))</f>
        <v/>
      </c>
      <c r="M142" s="19" t="str">
        <f aca="false">IF(OR(B142=0,I142=0),"",ROUND(G142-L142,2))</f>
        <v/>
      </c>
      <c r="N142" s="5" t="str">
        <f aca="false">IF(A142="","",IF(B142=0,"NOT FOUND: bank ID",IF(I142=0,"NOT FOUND: GL ID",IF(INDEX(GL!$H:$H,I142)&lt;&gt;A142,"BROKEN: GL points elsewhere",IF(OR(INDEX(Bank!$F:$F,B142)&lt;&gt;"Y",INDEX(GL!$F:$F,I142)&lt;&gt;"Y"),"BROKEN: Status not Y","OK")))))</f>
        <v/>
      </c>
    </row>
    <row r="143" customFormat="false" ht="15" hidden="false" customHeight="false" outlineLevel="0" collapsed="false">
      <c r="A143" s="41"/>
      <c r="B143" s="5" t="n">
        <f aca="false">IF(A143="",0,IFERROR(MATCH(A143,Bank!$A:$A,0),0))</f>
        <v>0</v>
      </c>
      <c r="C143" s="5" t="str">
        <f aca="false">IF(B143=0,"",IF(INDEX(Bank!$G:$G,B143)="","",INDEX(Bank!$G:$G,B143)))</f>
        <v/>
      </c>
      <c r="D143" s="5" t="str">
        <f aca="false">IF(B143=0,"",IF(INDEX(Bank!$J:$J,B143)="","",INDEX(Bank!$J:$J,B143)))</f>
        <v/>
      </c>
      <c r="E143" s="32" t="str">
        <f aca="false">IF(B143=0,"",INDEX(Bank!$B:$B,B143))</f>
        <v/>
      </c>
      <c r="F143" s="5" t="str">
        <f aca="false">IF(B143=0,"",IF(INDEX(Bank!$C:$C,B143)="","",INDEX(Bank!$C:$C,B143)))</f>
        <v/>
      </c>
      <c r="G143" s="19" t="str">
        <f aca="false">IF(B143=0,"",INDEX(Bank!$E:$E,B143))</f>
        <v/>
      </c>
      <c r="H143" s="5" t="str">
        <f aca="false">IF(B143=0,"",IF(INDEX(Bank!$H:$H,B143)="","",INDEX(Bank!$H:$H,B143)))</f>
        <v/>
      </c>
      <c r="I143" s="5" t="n">
        <f aca="false">IF(H143="",0,IFERROR(MATCH(H143,GL!$A:$A,0),0))</f>
        <v>0</v>
      </c>
      <c r="J143" s="32" t="str">
        <f aca="false">IF(I143=0,"",INDEX(GL!$B:$B,I143))</f>
        <v/>
      </c>
      <c r="K143" s="5" t="str">
        <f aca="false">IF(I143=0,"",IF(INDEX(GL!$C:$C,I143)="","",INDEX(GL!$C:$C,I143)))</f>
        <v/>
      </c>
      <c r="L143" s="19" t="str">
        <f aca="false">IF(I143=0,"",INDEX(GL!$E:$E,I143))</f>
        <v/>
      </c>
      <c r="M143" s="19" t="str">
        <f aca="false">IF(OR(B143=0,I143=0),"",ROUND(G143-L143,2))</f>
        <v/>
      </c>
      <c r="N143" s="5" t="str">
        <f aca="false">IF(A143="","",IF(B143=0,"NOT FOUND: bank ID",IF(I143=0,"NOT FOUND: GL ID",IF(INDEX(GL!$H:$H,I143)&lt;&gt;A143,"BROKEN: GL points elsewhere",IF(OR(INDEX(Bank!$F:$F,B143)&lt;&gt;"Y",INDEX(GL!$F:$F,I143)&lt;&gt;"Y"),"BROKEN: Status not Y","OK")))))</f>
        <v/>
      </c>
    </row>
    <row r="144" customFormat="false" ht="15" hidden="false" customHeight="false" outlineLevel="0" collapsed="false">
      <c r="A144" s="41"/>
      <c r="B144" s="5" t="n">
        <f aca="false">IF(A144="",0,IFERROR(MATCH(A144,Bank!$A:$A,0),0))</f>
        <v>0</v>
      </c>
      <c r="C144" s="5" t="str">
        <f aca="false">IF(B144=0,"",IF(INDEX(Bank!$G:$G,B144)="","",INDEX(Bank!$G:$G,B144)))</f>
        <v/>
      </c>
      <c r="D144" s="5" t="str">
        <f aca="false">IF(B144=0,"",IF(INDEX(Bank!$J:$J,B144)="","",INDEX(Bank!$J:$J,B144)))</f>
        <v/>
      </c>
      <c r="E144" s="32" t="str">
        <f aca="false">IF(B144=0,"",INDEX(Bank!$B:$B,B144))</f>
        <v/>
      </c>
      <c r="F144" s="5" t="str">
        <f aca="false">IF(B144=0,"",IF(INDEX(Bank!$C:$C,B144)="","",INDEX(Bank!$C:$C,B144)))</f>
        <v/>
      </c>
      <c r="G144" s="19" t="str">
        <f aca="false">IF(B144=0,"",INDEX(Bank!$E:$E,B144))</f>
        <v/>
      </c>
      <c r="H144" s="5" t="str">
        <f aca="false">IF(B144=0,"",IF(INDEX(Bank!$H:$H,B144)="","",INDEX(Bank!$H:$H,B144)))</f>
        <v/>
      </c>
      <c r="I144" s="5" t="n">
        <f aca="false">IF(H144="",0,IFERROR(MATCH(H144,GL!$A:$A,0),0))</f>
        <v>0</v>
      </c>
      <c r="J144" s="32" t="str">
        <f aca="false">IF(I144=0,"",INDEX(GL!$B:$B,I144))</f>
        <v/>
      </c>
      <c r="K144" s="5" t="str">
        <f aca="false">IF(I144=0,"",IF(INDEX(GL!$C:$C,I144)="","",INDEX(GL!$C:$C,I144)))</f>
        <v/>
      </c>
      <c r="L144" s="19" t="str">
        <f aca="false">IF(I144=0,"",INDEX(GL!$E:$E,I144))</f>
        <v/>
      </c>
      <c r="M144" s="19" t="str">
        <f aca="false">IF(OR(B144=0,I144=0),"",ROUND(G144-L144,2))</f>
        <v/>
      </c>
      <c r="N144" s="5" t="str">
        <f aca="false">IF(A144="","",IF(B144=0,"NOT FOUND: bank ID",IF(I144=0,"NOT FOUND: GL ID",IF(INDEX(GL!$H:$H,I144)&lt;&gt;A144,"BROKEN: GL points elsewhere",IF(OR(INDEX(Bank!$F:$F,B144)&lt;&gt;"Y",INDEX(GL!$F:$F,I144)&lt;&gt;"Y"),"BROKEN: Status not Y","OK")))))</f>
        <v/>
      </c>
    </row>
    <row r="145" customFormat="false" ht="15" hidden="false" customHeight="false" outlineLevel="0" collapsed="false">
      <c r="A145" s="41"/>
      <c r="B145" s="5" t="n">
        <f aca="false">IF(A145="",0,IFERROR(MATCH(A145,Bank!$A:$A,0),0))</f>
        <v>0</v>
      </c>
      <c r="C145" s="5" t="str">
        <f aca="false">IF(B145=0,"",IF(INDEX(Bank!$G:$G,B145)="","",INDEX(Bank!$G:$G,B145)))</f>
        <v/>
      </c>
      <c r="D145" s="5" t="str">
        <f aca="false">IF(B145=0,"",IF(INDEX(Bank!$J:$J,B145)="","",INDEX(Bank!$J:$J,B145)))</f>
        <v/>
      </c>
      <c r="E145" s="32" t="str">
        <f aca="false">IF(B145=0,"",INDEX(Bank!$B:$B,B145))</f>
        <v/>
      </c>
      <c r="F145" s="5" t="str">
        <f aca="false">IF(B145=0,"",IF(INDEX(Bank!$C:$C,B145)="","",INDEX(Bank!$C:$C,B145)))</f>
        <v/>
      </c>
      <c r="G145" s="19" t="str">
        <f aca="false">IF(B145=0,"",INDEX(Bank!$E:$E,B145))</f>
        <v/>
      </c>
      <c r="H145" s="5" t="str">
        <f aca="false">IF(B145=0,"",IF(INDEX(Bank!$H:$H,B145)="","",INDEX(Bank!$H:$H,B145)))</f>
        <v/>
      </c>
      <c r="I145" s="5" t="n">
        <f aca="false">IF(H145="",0,IFERROR(MATCH(H145,GL!$A:$A,0),0))</f>
        <v>0</v>
      </c>
      <c r="J145" s="32" t="str">
        <f aca="false">IF(I145=0,"",INDEX(GL!$B:$B,I145))</f>
        <v/>
      </c>
      <c r="K145" s="5" t="str">
        <f aca="false">IF(I145=0,"",IF(INDEX(GL!$C:$C,I145)="","",INDEX(GL!$C:$C,I145)))</f>
        <v/>
      </c>
      <c r="L145" s="19" t="str">
        <f aca="false">IF(I145=0,"",INDEX(GL!$E:$E,I145))</f>
        <v/>
      </c>
      <c r="M145" s="19" t="str">
        <f aca="false">IF(OR(B145=0,I145=0),"",ROUND(G145-L145,2))</f>
        <v/>
      </c>
      <c r="N145" s="5" t="str">
        <f aca="false">IF(A145="","",IF(B145=0,"NOT FOUND: bank ID",IF(I145=0,"NOT FOUND: GL ID",IF(INDEX(GL!$H:$H,I145)&lt;&gt;A145,"BROKEN: GL points elsewhere",IF(OR(INDEX(Bank!$F:$F,B145)&lt;&gt;"Y",INDEX(GL!$F:$F,I145)&lt;&gt;"Y"),"BROKEN: Status not Y","OK")))))</f>
        <v/>
      </c>
    </row>
    <row r="146" customFormat="false" ht="15" hidden="false" customHeight="false" outlineLevel="0" collapsed="false">
      <c r="A146" s="41"/>
      <c r="B146" s="5" t="n">
        <f aca="false">IF(A146="",0,IFERROR(MATCH(A146,Bank!$A:$A,0),0))</f>
        <v>0</v>
      </c>
      <c r="C146" s="5" t="str">
        <f aca="false">IF(B146=0,"",IF(INDEX(Bank!$G:$G,B146)="","",INDEX(Bank!$G:$G,B146)))</f>
        <v/>
      </c>
      <c r="D146" s="5" t="str">
        <f aca="false">IF(B146=0,"",IF(INDEX(Bank!$J:$J,B146)="","",INDEX(Bank!$J:$J,B146)))</f>
        <v/>
      </c>
      <c r="E146" s="32" t="str">
        <f aca="false">IF(B146=0,"",INDEX(Bank!$B:$B,B146))</f>
        <v/>
      </c>
      <c r="F146" s="5" t="str">
        <f aca="false">IF(B146=0,"",IF(INDEX(Bank!$C:$C,B146)="","",INDEX(Bank!$C:$C,B146)))</f>
        <v/>
      </c>
      <c r="G146" s="19" t="str">
        <f aca="false">IF(B146=0,"",INDEX(Bank!$E:$E,B146))</f>
        <v/>
      </c>
      <c r="H146" s="5" t="str">
        <f aca="false">IF(B146=0,"",IF(INDEX(Bank!$H:$H,B146)="","",INDEX(Bank!$H:$H,B146)))</f>
        <v/>
      </c>
      <c r="I146" s="5" t="n">
        <f aca="false">IF(H146="",0,IFERROR(MATCH(H146,GL!$A:$A,0),0))</f>
        <v>0</v>
      </c>
      <c r="J146" s="32" t="str">
        <f aca="false">IF(I146=0,"",INDEX(GL!$B:$B,I146))</f>
        <v/>
      </c>
      <c r="K146" s="5" t="str">
        <f aca="false">IF(I146=0,"",IF(INDEX(GL!$C:$C,I146)="","",INDEX(GL!$C:$C,I146)))</f>
        <v/>
      </c>
      <c r="L146" s="19" t="str">
        <f aca="false">IF(I146=0,"",INDEX(GL!$E:$E,I146))</f>
        <v/>
      </c>
      <c r="M146" s="19" t="str">
        <f aca="false">IF(OR(B146=0,I146=0),"",ROUND(G146-L146,2))</f>
        <v/>
      </c>
      <c r="N146" s="5" t="str">
        <f aca="false">IF(A146="","",IF(B146=0,"NOT FOUND: bank ID",IF(I146=0,"NOT FOUND: GL ID",IF(INDEX(GL!$H:$H,I146)&lt;&gt;A146,"BROKEN: GL points elsewhere",IF(OR(INDEX(Bank!$F:$F,B146)&lt;&gt;"Y",INDEX(GL!$F:$F,I146)&lt;&gt;"Y"),"BROKEN: Status not Y","OK")))))</f>
        <v/>
      </c>
    </row>
    <row r="147" customFormat="false" ht="15" hidden="false" customHeight="false" outlineLevel="0" collapsed="false">
      <c r="A147" s="41"/>
      <c r="B147" s="5" t="n">
        <f aca="false">IF(A147="",0,IFERROR(MATCH(A147,Bank!$A:$A,0),0))</f>
        <v>0</v>
      </c>
      <c r="C147" s="5" t="str">
        <f aca="false">IF(B147=0,"",IF(INDEX(Bank!$G:$G,B147)="","",INDEX(Bank!$G:$G,B147)))</f>
        <v/>
      </c>
      <c r="D147" s="5" t="str">
        <f aca="false">IF(B147=0,"",IF(INDEX(Bank!$J:$J,B147)="","",INDEX(Bank!$J:$J,B147)))</f>
        <v/>
      </c>
      <c r="E147" s="32" t="str">
        <f aca="false">IF(B147=0,"",INDEX(Bank!$B:$B,B147))</f>
        <v/>
      </c>
      <c r="F147" s="5" t="str">
        <f aca="false">IF(B147=0,"",IF(INDEX(Bank!$C:$C,B147)="","",INDEX(Bank!$C:$C,B147)))</f>
        <v/>
      </c>
      <c r="G147" s="19" t="str">
        <f aca="false">IF(B147=0,"",INDEX(Bank!$E:$E,B147))</f>
        <v/>
      </c>
      <c r="H147" s="5" t="str">
        <f aca="false">IF(B147=0,"",IF(INDEX(Bank!$H:$H,B147)="","",INDEX(Bank!$H:$H,B147)))</f>
        <v/>
      </c>
      <c r="I147" s="5" t="n">
        <f aca="false">IF(H147="",0,IFERROR(MATCH(H147,GL!$A:$A,0),0))</f>
        <v>0</v>
      </c>
      <c r="J147" s="32" t="str">
        <f aca="false">IF(I147=0,"",INDEX(GL!$B:$B,I147))</f>
        <v/>
      </c>
      <c r="K147" s="5" t="str">
        <f aca="false">IF(I147=0,"",IF(INDEX(GL!$C:$C,I147)="","",INDEX(GL!$C:$C,I147)))</f>
        <v/>
      </c>
      <c r="L147" s="19" t="str">
        <f aca="false">IF(I147=0,"",INDEX(GL!$E:$E,I147))</f>
        <v/>
      </c>
      <c r="M147" s="19" t="str">
        <f aca="false">IF(OR(B147=0,I147=0),"",ROUND(G147-L147,2))</f>
        <v/>
      </c>
      <c r="N147" s="5" t="str">
        <f aca="false">IF(A147="","",IF(B147=0,"NOT FOUND: bank ID",IF(I147=0,"NOT FOUND: GL ID",IF(INDEX(GL!$H:$H,I147)&lt;&gt;A147,"BROKEN: GL points elsewhere",IF(OR(INDEX(Bank!$F:$F,B147)&lt;&gt;"Y",INDEX(GL!$F:$F,I147)&lt;&gt;"Y"),"BROKEN: Status not Y","OK")))))</f>
        <v/>
      </c>
    </row>
    <row r="148" customFormat="false" ht="15" hidden="false" customHeight="false" outlineLevel="0" collapsed="false">
      <c r="A148" s="41"/>
      <c r="B148" s="5" t="n">
        <f aca="false">IF(A148="",0,IFERROR(MATCH(A148,Bank!$A:$A,0),0))</f>
        <v>0</v>
      </c>
      <c r="C148" s="5" t="str">
        <f aca="false">IF(B148=0,"",IF(INDEX(Bank!$G:$G,B148)="","",INDEX(Bank!$G:$G,B148)))</f>
        <v/>
      </c>
      <c r="D148" s="5" t="str">
        <f aca="false">IF(B148=0,"",IF(INDEX(Bank!$J:$J,B148)="","",INDEX(Bank!$J:$J,B148)))</f>
        <v/>
      </c>
      <c r="E148" s="32" t="str">
        <f aca="false">IF(B148=0,"",INDEX(Bank!$B:$B,B148))</f>
        <v/>
      </c>
      <c r="F148" s="5" t="str">
        <f aca="false">IF(B148=0,"",IF(INDEX(Bank!$C:$C,B148)="","",INDEX(Bank!$C:$C,B148)))</f>
        <v/>
      </c>
      <c r="G148" s="19" t="str">
        <f aca="false">IF(B148=0,"",INDEX(Bank!$E:$E,B148))</f>
        <v/>
      </c>
      <c r="H148" s="5" t="str">
        <f aca="false">IF(B148=0,"",IF(INDEX(Bank!$H:$H,B148)="","",INDEX(Bank!$H:$H,B148)))</f>
        <v/>
      </c>
      <c r="I148" s="5" t="n">
        <f aca="false">IF(H148="",0,IFERROR(MATCH(H148,GL!$A:$A,0),0))</f>
        <v>0</v>
      </c>
      <c r="J148" s="32" t="str">
        <f aca="false">IF(I148=0,"",INDEX(GL!$B:$B,I148))</f>
        <v/>
      </c>
      <c r="K148" s="5" t="str">
        <f aca="false">IF(I148=0,"",IF(INDEX(GL!$C:$C,I148)="","",INDEX(GL!$C:$C,I148)))</f>
        <v/>
      </c>
      <c r="L148" s="19" t="str">
        <f aca="false">IF(I148=0,"",INDEX(GL!$E:$E,I148))</f>
        <v/>
      </c>
      <c r="M148" s="19" t="str">
        <f aca="false">IF(OR(B148=0,I148=0),"",ROUND(G148-L148,2))</f>
        <v/>
      </c>
      <c r="N148" s="5" t="str">
        <f aca="false">IF(A148="","",IF(B148=0,"NOT FOUND: bank ID",IF(I148=0,"NOT FOUND: GL ID",IF(INDEX(GL!$H:$H,I148)&lt;&gt;A148,"BROKEN: GL points elsewhere",IF(OR(INDEX(Bank!$F:$F,B148)&lt;&gt;"Y",INDEX(GL!$F:$F,I148)&lt;&gt;"Y"),"BROKEN: Status not Y","OK")))))</f>
        <v/>
      </c>
    </row>
    <row r="149" customFormat="false" ht="15" hidden="false" customHeight="false" outlineLevel="0" collapsed="false">
      <c r="A149" s="41"/>
      <c r="B149" s="5" t="n">
        <f aca="false">IF(A149="",0,IFERROR(MATCH(A149,Bank!$A:$A,0),0))</f>
        <v>0</v>
      </c>
      <c r="C149" s="5" t="str">
        <f aca="false">IF(B149=0,"",IF(INDEX(Bank!$G:$G,B149)="","",INDEX(Bank!$G:$G,B149)))</f>
        <v/>
      </c>
      <c r="D149" s="5" t="str">
        <f aca="false">IF(B149=0,"",IF(INDEX(Bank!$J:$J,B149)="","",INDEX(Bank!$J:$J,B149)))</f>
        <v/>
      </c>
      <c r="E149" s="32" t="str">
        <f aca="false">IF(B149=0,"",INDEX(Bank!$B:$B,B149))</f>
        <v/>
      </c>
      <c r="F149" s="5" t="str">
        <f aca="false">IF(B149=0,"",IF(INDEX(Bank!$C:$C,B149)="","",INDEX(Bank!$C:$C,B149)))</f>
        <v/>
      </c>
      <c r="G149" s="19" t="str">
        <f aca="false">IF(B149=0,"",INDEX(Bank!$E:$E,B149))</f>
        <v/>
      </c>
      <c r="H149" s="5" t="str">
        <f aca="false">IF(B149=0,"",IF(INDEX(Bank!$H:$H,B149)="","",INDEX(Bank!$H:$H,B149)))</f>
        <v/>
      </c>
      <c r="I149" s="5" t="n">
        <f aca="false">IF(H149="",0,IFERROR(MATCH(H149,GL!$A:$A,0),0))</f>
        <v>0</v>
      </c>
      <c r="J149" s="32" t="str">
        <f aca="false">IF(I149=0,"",INDEX(GL!$B:$B,I149))</f>
        <v/>
      </c>
      <c r="K149" s="5" t="str">
        <f aca="false">IF(I149=0,"",IF(INDEX(GL!$C:$C,I149)="","",INDEX(GL!$C:$C,I149)))</f>
        <v/>
      </c>
      <c r="L149" s="19" t="str">
        <f aca="false">IF(I149=0,"",INDEX(GL!$E:$E,I149))</f>
        <v/>
      </c>
      <c r="M149" s="19" t="str">
        <f aca="false">IF(OR(B149=0,I149=0),"",ROUND(G149-L149,2))</f>
        <v/>
      </c>
      <c r="N149" s="5" t="str">
        <f aca="false">IF(A149="","",IF(B149=0,"NOT FOUND: bank ID",IF(I149=0,"NOT FOUND: GL ID",IF(INDEX(GL!$H:$H,I149)&lt;&gt;A149,"BROKEN: GL points elsewhere",IF(OR(INDEX(Bank!$F:$F,B149)&lt;&gt;"Y",INDEX(GL!$F:$F,I149)&lt;&gt;"Y"),"BROKEN: Status not Y","OK")))))</f>
        <v/>
      </c>
    </row>
    <row r="150" customFormat="false" ht="15" hidden="false" customHeight="false" outlineLevel="0" collapsed="false">
      <c r="A150" s="41"/>
      <c r="B150" s="5" t="n">
        <f aca="false">IF(A150="",0,IFERROR(MATCH(A150,Bank!$A:$A,0),0))</f>
        <v>0</v>
      </c>
      <c r="C150" s="5" t="str">
        <f aca="false">IF(B150=0,"",IF(INDEX(Bank!$G:$G,B150)="","",INDEX(Bank!$G:$G,B150)))</f>
        <v/>
      </c>
      <c r="D150" s="5" t="str">
        <f aca="false">IF(B150=0,"",IF(INDEX(Bank!$J:$J,B150)="","",INDEX(Bank!$J:$J,B150)))</f>
        <v/>
      </c>
      <c r="E150" s="32" t="str">
        <f aca="false">IF(B150=0,"",INDEX(Bank!$B:$B,B150))</f>
        <v/>
      </c>
      <c r="F150" s="5" t="str">
        <f aca="false">IF(B150=0,"",IF(INDEX(Bank!$C:$C,B150)="","",INDEX(Bank!$C:$C,B150)))</f>
        <v/>
      </c>
      <c r="G150" s="19" t="str">
        <f aca="false">IF(B150=0,"",INDEX(Bank!$E:$E,B150))</f>
        <v/>
      </c>
      <c r="H150" s="5" t="str">
        <f aca="false">IF(B150=0,"",IF(INDEX(Bank!$H:$H,B150)="","",INDEX(Bank!$H:$H,B150)))</f>
        <v/>
      </c>
      <c r="I150" s="5" t="n">
        <f aca="false">IF(H150="",0,IFERROR(MATCH(H150,GL!$A:$A,0),0))</f>
        <v>0</v>
      </c>
      <c r="J150" s="32" t="str">
        <f aca="false">IF(I150=0,"",INDEX(GL!$B:$B,I150))</f>
        <v/>
      </c>
      <c r="K150" s="5" t="str">
        <f aca="false">IF(I150=0,"",IF(INDEX(GL!$C:$C,I150)="","",INDEX(GL!$C:$C,I150)))</f>
        <v/>
      </c>
      <c r="L150" s="19" t="str">
        <f aca="false">IF(I150=0,"",INDEX(GL!$E:$E,I150))</f>
        <v/>
      </c>
      <c r="M150" s="19" t="str">
        <f aca="false">IF(OR(B150=0,I150=0),"",ROUND(G150-L150,2))</f>
        <v/>
      </c>
      <c r="N150" s="5" t="str">
        <f aca="false">IF(A150="","",IF(B150=0,"NOT FOUND: bank ID",IF(I150=0,"NOT FOUND: GL ID",IF(INDEX(GL!$H:$H,I150)&lt;&gt;A150,"BROKEN: GL points elsewhere",IF(OR(INDEX(Bank!$F:$F,B150)&lt;&gt;"Y",INDEX(GL!$F:$F,I150)&lt;&gt;"Y"),"BROKEN: Status not Y","OK")))))</f>
        <v/>
      </c>
    </row>
    <row r="151" customFormat="false" ht="15" hidden="false" customHeight="false" outlineLevel="0" collapsed="false">
      <c r="A151" s="41"/>
      <c r="B151" s="5" t="n">
        <f aca="false">IF(A151="",0,IFERROR(MATCH(A151,Bank!$A:$A,0),0))</f>
        <v>0</v>
      </c>
      <c r="C151" s="5" t="str">
        <f aca="false">IF(B151=0,"",IF(INDEX(Bank!$G:$G,B151)="","",INDEX(Bank!$G:$G,B151)))</f>
        <v/>
      </c>
      <c r="D151" s="5" t="str">
        <f aca="false">IF(B151=0,"",IF(INDEX(Bank!$J:$J,B151)="","",INDEX(Bank!$J:$J,B151)))</f>
        <v/>
      </c>
      <c r="E151" s="32" t="str">
        <f aca="false">IF(B151=0,"",INDEX(Bank!$B:$B,B151))</f>
        <v/>
      </c>
      <c r="F151" s="5" t="str">
        <f aca="false">IF(B151=0,"",IF(INDEX(Bank!$C:$C,B151)="","",INDEX(Bank!$C:$C,B151)))</f>
        <v/>
      </c>
      <c r="G151" s="19" t="str">
        <f aca="false">IF(B151=0,"",INDEX(Bank!$E:$E,B151))</f>
        <v/>
      </c>
      <c r="H151" s="5" t="str">
        <f aca="false">IF(B151=0,"",IF(INDEX(Bank!$H:$H,B151)="","",INDEX(Bank!$H:$H,B151)))</f>
        <v/>
      </c>
      <c r="I151" s="5" t="n">
        <f aca="false">IF(H151="",0,IFERROR(MATCH(H151,GL!$A:$A,0),0))</f>
        <v>0</v>
      </c>
      <c r="J151" s="32" t="str">
        <f aca="false">IF(I151=0,"",INDEX(GL!$B:$B,I151))</f>
        <v/>
      </c>
      <c r="K151" s="5" t="str">
        <f aca="false">IF(I151=0,"",IF(INDEX(GL!$C:$C,I151)="","",INDEX(GL!$C:$C,I151)))</f>
        <v/>
      </c>
      <c r="L151" s="19" t="str">
        <f aca="false">IF(I151=0,"",INDEX(GL!$E:$E,I151))</f>
        <v/>
      </c>
      <c r="M151" s="19" t="str">
        <f aca="false">IF(OR(B151=0,I151=0),"",ROUND(G151-L151,2))</f>
        <v/>
      </c>
      <c r="N151" s="5" t="str">
        <f aca="false">IF(A151="","",IF(B151=0,"NOT FOUND: bank ID",IF(I151=0,"NOT FOUND: GL ID",IF(INDEX(GL!$H:$H,I151)&lt;&gt;A151,"BROKEN: GL points elsewhere",IF(OR(INDEX(Bank!$F:$F,B151)&lt;&gt;"Y",INDEX(GL!$F:$F,I151)&lt;&gt;"Y"),"BROKEN: Status not Y","OK")))))</f>
        <v/>
      </c>
    </row>
    <row r="152" customFormat="false" ht="15" hidden="false" customHeight="false" outlineLevel="0" collapsed="false">
      <c r="A152" s="41"/>
      <c r="B152" s="5" t="n">
        <f aca="false">IF(A152="",0,IFERROR(MATCH(A152,Bank!$A:$A,0),0))</f>
        <v>0</v>
      </c>
      <c r="C152" s="5" t="str">
        <f aca="false">IF(B152=0,"",IF(INDEX(Bank!$G:$G,B152)="","",INDEX(Bank!$G:$G,B152)))</f>
        <v/>
      </c>
      <c r="D152" s="5" t="str">
        <f aca="false">IF(B152=0,"",IF(INDEX(Bank!$J:$J,B152)="","",INDEX(Bank!$J:$J,B152)))</f>
        <v/>
      </c>
      <c r="E152" s="32" t="str">
        <f aca="false">IF(B152=0,"",INDEX(Bank!$B:$B,B152))</f>
        <v/>
      </c>
      <c r="F152" s="5" t="str">
        <f aca="false">IF(B152=0,"",IF(INDEX(Bank!$C:$C,B152)="","",INDEX(Bank!$C:$C,B152)))</f>
        <v/>
      </c>
      <c r="G152" s="19" t="str">
        <f aca="false">IF(B152=0,"",INDEX(Bank!$E:$E,B152))</f>
        <v/>
      </c>
      <c r="H152" s="5" t="str">
        <f aca="false">IF(B152=0,"",IF(INDEX(Bank!$H:$H,B152)="","",INDEX(Bank!$H:$H,B152)))</f>
        <v/>
      </c>
      <c r="I152" s="5" t="n">
        <f aca="false">IF(H152="",0,IFERROR(MATCH(H152,GL!$A:$A,0),0))</f>
        <v>0</v>
      </c>
      <c r="J152" s="32" t="str">
        <f aca="false">IF(I152=0,"",INDEX(GL!$B:$B,I152))</f>
        <v/>
      </c>
      <c r="K152" s="5" t="str">
        <f aca="false">IF(I152=0,"",IF(INDEX(GL!$C:$C,I152)="","",INDEX(GL!$C:$C,I152)))</f>
        <v/>
      </c>
      <c r="L152" s="19" t="str">
        <f aca="false">IF(I152=0,"",INDEX(GL!$E:$E,I152))</f>
        <v/>
      </c>
      <c r="M152" s="19" t="str">
        <f aca="false">IF(OR(B152=0,I152=0),"",ROUND(G152-L152,2))</f>
        <v/>
      </c>
      <c r="N152" s="5" t="str">
        <f aca="false">IF(A152="","",IF(B152=0,"NOT FOUND: bank ID",IF(I152=0,"NOT FOUND: GL ID",IF(INDEX(GL!$H:$H,I152)&lt;&gt;A152,"BROKEN: GL points elsewhere",IF(OR(INDEX(Bank!$F:$F,B152)&lt;&gt;"Y",INDEX(GL!$F:$F,I152)&lt;&gt;"Y"),"BROKEN: Status not Y","OK")))))</f>
        <v/>
      </c>
    </row>
    <row r="153" customFormat="false" ht="15" hidden="false" customHeight="false" outlineLevel="0" collapsed="false">
      <c r="A153" s="41"/>
      <c r="B153" s="5" t="n">
        <f aca="false">IF(A153="",0,IFERROR(MATCH(A153,Bank!$A:$A,0),0))</f>
        <v>0</v>
      </c>
      <c r="C153" s="5" t="str">
        <f aca="false">IF(B153=0,"",IF(INDEX(Bank!$G:$G,B153)="","",INDEX(Bank!$G:$G,B153)))</f>
        <v/>
      </c>
      <c r="D153" s="5" t="str">
        <f aca="false">IF(B153=0,"",IF(INDEX(Bank!$J:$J,B153)="","",INDEX(Bank!$J:$J,B153)))</f>
        <v/>
      </c>
      <c r="E153" s="32" t="str">
        <f aca="false">IF(B153=0,"",INDEX(Bank!$B:$B,B153))</f>
        <v/>
      </c>
      <c r="F153" s="5" t="str">
        <f aca="false">IF(B153=0,"",IF(INDEX(Bank!$C:$C,B153)="","",INDEX(Bank!$C:$C,B153)))</f>
        <v/>
      </c>
      <c r="G153" s="19" t="str">
        <f aca="false">IF(B153=0,"",INDEX(Bank!$E:$E,B153))</f>
        <v/>
      </c>
      <c r="H153" s="5" t="str">
        <f aca="false">IF(B153=0,"",IF(INDEX(Bank!$H:$H,B153)="","",INDEX(Bank!$H:$H,B153)))</f>
        <v/>
      </c>
      <c r="I153" s="5" t="n">
        <f aca="false">IF(H153="",0,IFERROR(MATCH(H153,GL!$A:$A,0),0))</f>
        <v>0</v>
      </c>
      <c r="J153" s="32" t="str">
        <f aca="false">IF(I153=0,"",INDEX(GL!$B:$B,I153))</f>
        <v/>
      </c>
      <c r="K153" s="5" t="str">
        <f aca="false">IF(I153=0,"",IF(INDEX(GL!$C:$C,I153)="","",INDEX(GL!$C:$C,I153)))</f>
        <v/>
      </c>
      <c r="L153" s="19" t="str">
        <f aca="false">IF(I153=0,"",INDEX(GL!$E:$E,I153))</f>
        <v/>
      </c>
      <c r="M153" s="19" t="str">
        <f aca="false">IF(OR(B153=0,I153=0),"",ROUND(G153-L153,2))</f>
        <v/>
      </c>
      <c r="N153" s="5" t="str">
        <f aca="false">IF(A153="","",IF(B153=0,"NOT FOUND: bank ID",IF(I153=0,"NOT FOUND: GL ID",IF(INDEX(GL!$H:$H,I153)&lt;&gt;A153,"BROKEN: GL points elsewhere",IF(OR(INDEX(Bank!$F:$F,B153)&lt;&gt;"Y",INDEX(GL!$F:$F,I153)&lt;&gt;"Y"),"BROKEN: Status not Y","OK")))))</f>
        <v/>
      </c>
    </row>
    <row r="154" customFormat="false" ht="15" hidden="false" customHeight="false" outlineLevel="0" collapsed="false">
      <c r="A154" s="41"/>
      <c r="B154" s="5" t="n">
        <f aca="false">IF(A154="",0,IFERROR(MATCH(A154,Bank!$A:$A,0),0))</f>
        <v>0</v>
      </c>
      <c r="C154" s="5" t="str">
        <f aca="false">IF(B154=0,"",IF(INDEX(Bank!$G:$G,B154)="","",INDEX(Bank!$G:$G,B154)))</f>
        <v/>
      </c>
      <c r="D154" s="5" t="str">
        <f aca="false">IF(B154=0,"",IF(INDEX(Bank!$J:$J,B154)="","",INDEX(Bank!$J:$J,B154)))</f>
        <v/>
      </c>
      <c r="E154" s="32" t="str">
        <f aca="false">IF(B154=0,"",INDEX(Bank!$B:$B,B154))</f>
        <v/>
      </c>
      <c r="F154" s="5" t="str">
        <f aca="false">IF(B154=0,"",IF(INDEX(Bank!$C:$C,B154)="","",INDEX(Bank!$C:$C,B154)))</f>
        <v/>
      </c>
      <c r="G154" s="19" t="str">
        <f aca="false">IF(B154=0,"",INDEX(Bank!$E:$E,B154))</f>
        <v/>
      </c>
      <c r="H154" s="5" t="str">
        <f aca="false">IF(B154=0,"",IF(INDEX(Bank!$H:$H,B154)="","",INDEX(Bank!$H:$H,B154)))</f>
        <v/>
      </c>
      <c r="I154" s="5" t="n">
        <f aca="false">IF(H154="",0,IFERROR(MATCH(H154,GL!$A:$A,0),0))</f>
        <v>0</v>
      </c>
      <c r="J154" s="32" t="str">
        <f aca="false">IF(I154=0,"",INDEX(GL!$B:$B,I154))</f>
        <v/>
      </c>
      <c r="K154" s="5" t="str">
        <f aca="false">IF(I154=0,"",IF(INDEX(GL!$C:$C,I154)="","",INDEX(GL!$C:$C,I154)))</f>
        <v/>
      </c>
      <c r="L154" s="19" t="str">
        <f aca="false">IF(I154=0,"",INDEX(GL!$E:$E,I154))</f>
        <v/>
      </c>
      <c r="M154" s="19" t="str">
        <f aca="false">IF(OR(B154=0,I154=0),"",ROUND(G154-L154,2))</f>
        <v/>
      </c>
      <c r="N154" s="5" t="str">
        <f aca="false">IF(A154="","",IF(B154=0,"NOT FOUND: bank ID",IF(I154=0,"NOT FOUND: GL ID",IF(INDEX(GL!$H:$H,I154)&lt;&gt;A154,"BROKEN: GL points elsewhere",IF(OR(INDEX(Bank!$F:$F,B154)&lt;&gt;"Y",INDEX(GL!$F:$F,I154)&lt;&gt;"Y"),"BROKEN: Status not Y","OK")))))</f>
        <v/>
      </c>
    </row>
    <row r="155" customFormat="false" ht="15" hidden="false" customHeight="false" outlineLevel="0" collapsed="false">
      <c r="A155" s="41"/>
      <c r="B155" s="5" t="n">
        <f aca="false">IF(A155="",0,IFERROR(MATCH(A155,Bank!$A:$A,0),0))</f>
        <v>0</v>
      </c>
      <c r="C155" s="5" t="str">
        <f aca="false">IF(B155=0,"",IF(INDEX(Bank!$G:$G,B155)="","",INDEX(Bank!$G:$G,B155)))</f>
        <v/>
      </c>
      <c r="D155" s="5" t="str">
        <f aca="false">IF(B155=0,"",IF(INDEX(Bank!$J:$J,B155)="","",INDEX(Bank!$J:$J,B155)))</f>
        <v/>
      </c>
      <c r="E155" s="32" t="str">
        <f aca="false">IF(B155=0,"",INDEX(Bank!$B:$B,B155))</f>
        <v/>
      </c>
      <c r="F155" s="5" t="str">
        <f aca="false">IF(B155=0,"",IF(INDEX(Bank!$C:$C,B155)="","",INDEX(Bank!$C:$C,B155)))</f>
        <v/>
      </c>
      <c r="G155" s="19" t="str">
        <f aca="false">IF(B155=0,"",INDEX(Bank!$E:$E,B155))</f>
        <v/>
      </c>
      <c r="H155" s="5" t="str">
        <f aca="false">IF(B155=0,"",IF(INDEX(Bank!$H:$H,B155)="","",INDEX(Bank!$H:$H,B155)))</f>
        <v/>
      </c>
      <c r="I155" s="5" t="n">
        <f aca="false">IF(H155="",0,IFERROR(MATCH(H155,GL!$A:$A,0),0))</f>
        <v>0</v>
      </c>
      <c r="J155" s="32" t="str">
        <f aca="false">IF(I155=0,"",INDEX(GL!$B:$B,I155))</f>
        <v/>
      </c>
      <c r="K155" s="5" t="str">
        <f aca="false">IF(I155=0,"",IF(INDEX(GL!$C:$C,I155)="","",INDEX(GL!$C:$C,I155)))</f>
        <v/>
      </c>
      <c r="L155" s="19" t="str">
        <f aca="false">IF(I155=0,"",INDEX(GL!$E:$E,I155))</f>
        <v/>
      </c>
      <c r="M155" s="19" t="str">
        <f aca="false">IF(OR(B155=0,I155=0),"",ROUND(G155-L155,2))</f>
        <v/>
      </c>
      <c r="N155" s="5" t="str">
        <f aca="false">IF(A155="","",IF(B155=0,"NOT FOUND: bank ID",IF(I155=0,"NOT FOUND: GL ID",IF(INDEX(GL!$H:$H,I155)&lt;&gt;A155,"BROKEN: GL points elsewhere",IF(OR(INDEX(Bank!$F:$F,B155)&lt;&gt;"Y",INDEX(GL!$F:$F,I155)&lt;&gt;"Y"),"BROKEN: Status not Y","OK")))))</f>
        <v/>
      </c>
    </row>
    <row r="156" customFormat="false" ht="15" hidden="false" customHeight="false" outlineLevel="0" collapsed="false">
      <c r="A156" s="41"/>
      <c r="B156" s="5" t="n">
        <f aca="false">IF(A156="",0,IFERROR(MATCH(A156,Bank!$A:$A,0),0))</f>
        <v>0</v>
      </c>
      <c r="C156" s="5" t="str">
        <f aca="false">IF(B156=0,"",IF(INDEX(Bank!$G:$G,B156)="","",INDEX(Bank!$G:$G,B156)))</f>
        <v/>
      </c>
      <c r="D156" s="5" t="str">
        <f aca="false">IF(B156=0,"",IF(INDEX(Bank!$J:$J,B156)="","",INDEX(Bank!$J:$J,B156)))</f>
        <v/>
      </c>
      <c r="E156" s="32" t="str">
        <f aca="false">IF(B156=0,"",INDEX(Bank!$B:$B,B156))</f>
        <v/>
      </c>
      <c r="F156" s="5" t="str">
        <f aca="false">IF(B156=0,"",IF(INDEX(Bank!$C:$C,B156)="","",INDEX(Bank!$C:$C,B156)))</f>
        <v/>
      </c>
      <c r="G156" s="19" t="str">
        <f aca="false">IF(B156=0,"",INDEX(Bank!$E:$E,B156))</f>
        <v/>
      </c>
      <c r="H156" s="5" t="str">
        <f aca="false">IF(B156=0,"",IF(INDEX(Bank!$H:$H,B156)="","",INDEX(Bank!$H:$H,B156)))</f>
        <v/>
      </c>
      <c r="I156" s="5" t="n">
        <f aca="false">IF(H156="",0,IFERROR(MATCH(H156,GL!$A:$A,0),0))</f>
        <v>0</v>
      </c>
      <c r="J156" s="32" t="str">
        <f aca="false">IF(I156=0,"",INDEX(GL!$B:$B,I156))</f>
        <v/>
      </c>
      <c r="K156" s="5" t="str">
        <f aca="false">IF(I156=0,"",IF(INDEX(GL!$C:$C,I156)="","",INDEX(GL!$C:$C,I156)))</f>
        <v/>
      </c>
      <c r="L156" s="19" t="str">
        <f aca="false">IF(I156=0,"",INDEX(GL!$E:$E,I156))</f>
        <v/>
      </c>
      <c r="M156" s="19" t="str">
        <f aca="false">IF(OR(B156=0,I156=0),"",ROUND(G156-L156,2))</f>
        <v/>
      </c>
      <c r="N156" s="5" t="str">
        <f aca="false">IF(A156="","",IF(B156=0,"NOT FOUND: bank ID",IF(I156=0,"NOT FOUND: GL ID",IF(INDEX(GL!$H:$H,I156)&lt;&gt;A156,"BROKEN: GL points elsewhere",IF(OR(INDEX(Bank!$F:$F,B156)&lt;&gt;"Y",INDEX(GL!$F:$F,I156)&lt;&gt;"Y"),"BROKEN: Status not Y","OK")))))</f>
        <v/>
      </c>
    </row>
    <row r="157" customFormat="false" ht="15" hidden="false" customHeight="false" outlineLevel="0" collapsed="false">
      <c r="A157" s="41"/>
      <c r="B157" s="5" t="n">
        <f aca="false">IF(A157="",0,IFERROR(MATCH(A157,Bank!$A:$A,0),0))</f>
        <v>0</v>
      </c>
      <c r="C157" s="5" t="str">
        <f aca="false">IF(B157=0,"",IF(INDEX(Bank!$G:$G,B157)="","",INDEX(Bank!$G:$G,B157)))</f>
        <v/>
      </c>
      <c r="D157" s="5" t="str">
        <f aca="false">IF(B157=0,"",IF(INDEX(Bank!$J:$J,B157)="","",INDEX(Bank!$J:$J,B157)))</f>
        <v/>
      </c>
      <c r="E157" s="32" t="str">
        <f aca="false">IF(B157=0,"",INDEX(Bank!$B:$B,B157))</f>
        <v/>
      </c>
      <c r="F157" s="5" t="str">
        <f aca="false">IF(B157=0,"",IF(INDEX(Bank!$C:$C,B157)="","",INDEX(Bank!$C:$C,B157)))</f>
        <v/>
      </c>
      <c r="G157" s="19" t="str">
        <f aca="false">IF(B157=0,"",INDEX(Bank!$E:$E,B157))</f>
        <v/>
      </c>
      <c r="H157" s="5" t="str">
        <f aca="false">IF(B157=0,"",IF(INDEX(Bank!$H:$H,B157)="","",INDEX(Bank!$H:$H,B157)))</f>
        <v/>
      </c>
      <c r="I157" s="5" t="n">
        <f aca="false">IF(H157="",0,IFERROR(MATCH(H157,GL!$A:$A,0),0))</f>
        <v>0</v>
      </c>
      <c r="J157" s="32" t="str">
        <f aca="false">IF(I157=0,"",INDEX(GL!$B:$B,I157))</f>
        <v/>
      </c>
      <c r="K157" s="5" t="str">
        <f aca="false">IF(I157=0,"",IF(INDEX(GL!$C:$C,I157)="","",INDEX(GL!$C:$C,I157)))</f>
        <v/>
      </c>
      <c r="L157" s="19" t="str">
        <f aca="false">IF(I157=0,"",INDEX(GL!$E:$E,I157))</f>
        <v/>
      </c>
      <c r="M157" s="19" t="str">
        <f aca="false">IF(OR(B157=0,I157=0),"",ROUND(G157-L157,2))</f>
        <v/>
      </c>
      <c r="N157" s="5" t="str">
        <f aca="false">IF(A157="","",IF(B157=0,"NOT FOUND: bank ID",IF(I157=0,"NOT FOUND: GL ID",IF(INDEX(GL!$H:$H,I157)&lt;&gt;A157,"BROKEN: GL points elsewhere",IF(OR(INDEX(Bank!$F:$F,B157)&lt;&gt;"Y",INDEX(GL!$F:$F,I157)&lt;&gt;"Y"),"BROKEN: Status not Y","OK")))))</f>
        <v/>
      </c>
    </row>
    <row r="158" customFormat="false" ht="15" hidden="false" customHeight="false" outlineLevel="0" collapsed="false">
      <c r="A158" s="41"/>
      <c r="B158" s="5" t="n">
        <f aca="false">IF(A158="",0,IFERROR(MATCH(A158,Bank!$A:$A,0),0))</f>
        <v>0</v>
      </c>
      <c r="C158" s="5" t="str">
        <f aca="false">IF(B158=0,"",IF(INDEX(Bank!$G:$G,B158)="","",INDEX(Bank!$G:$G,B158)))</f>
        <v/>
      </c>
      <c r="D158" s="5" t="str">
        <f aca="false">IF(B158=0,"",IF(INDEX(Bank!$J:$J,B158)="","",INDEX(Bank!$J:$J,B158)))</f>
        <v/>
      </c>
      <c r="E158" s="32" t="str">
        <f aca="false">IF(B158=0,"",INDEX(Bank!$B:$B,B158))</f>
        <v/>
      </c>
      <c r="F158" s="5" t="str">
        <f aca="false">IF(B158=0,"",IF(INDEX(Bank!$C:$C,B158)="","",INDEX(Bank!$C:$C,B158)))</f>
        <v/>
      </c>
      <c r="G158" s="19" t="str">
        <f aca="false">IF(B158=0,"",INDEX(Bank!$E:$E,B158))</f>
        <v/>
      </c>
      <c r="H158" s="5" t="str">
        <f aca="false">IF(B158=0,"",IF(INDEX(Bank!$H:$H,B158)="","",INDEX(Bank!$H:$H,B158)))</f>
        <v/>
      </c>
      <c r="I158" s="5" t="n">
        <f aca="false">IF(H158="",0,IFERROR(MATCH(H158,GL!$A:$A,0),0))</f>
        <v>0</v>
      </c>
      <c r="J158" s="32" t="str">
        <f aca="false">IF(I158=0,"",INDEX(GL!$B:$B,I158))</f>
        <v/>
      </c>
      <c r="K158" s="5" t="str">
        <f aca="false">IF(I158=0,"",IF(INDEX(GL!$C:$C,I158)="","",INDEX(GL!$C:$C,I158)))</f>
        <v/>
      </c>
      <c r="L158" s="19" t="str">
        <f aca="false">IF(I158=0,"",INDEX(GL!$E:$E,I158))</f>
        <v/>
      </c>
      <c r="M158" s="19" t="str">
        <f aca="false">IF(OR(B158=0,I158=0),"",ROUND(G158-L158,2))</f>
        <v/>
      </c>
      <c r="N158" s="5" t="str">
        <f aca="false">IF(A158="","",IF(B158=0,"NOT FOUND: bank ID",IF(I158=0,"NOT FOUND: GL ID",IF(INDEX(GL!$H:$H,I158)&lt;&gt;A158,"BROKEN: GL points elsewhere",IF(OR(INDEX(Bank!$F:$F,B158)&lt;&gt;"Y",INDEX(GL!$F:$F,I158)&lt;&gt;"Y"),"BROKEN: Status not Y","OK")))))</f>
        <v/>
      </c>
    </row>
    <row r="159" customFormat="false" ht="15" hidden="false" customHeight="false" outlineLevel="0" collapsed="false">
      <c r="A159" s="41"/>
      <c r="B159" s="5" t="n">
        <f aca="false">IF(A159="",0,IFERROR(MATCH(A159,Bank!$A:$A,0),0))</f>
        <v>0</v>
      </c>
      <c r="C159" s="5" t="str">
        <f aca="false">IF(B159=0,"",IF(INDEX(Bank!$G:$G,B159)="","",INDEX(Bank!$G:$G,B159)))</f>
        <v/>
      </c>
      <c r="D159" s="5" t="str">
        <f aca="false">IF(B159=0,"",IF(INDEX(Bank!$J:$J,B159)="","",INDEX(Bank!$J:$J,B159)))</f>
        <v/>
      </c>
      <c r="E159" s="32" t="str">
        <f aca="false">IF(B159=0,"",INDEX(Bank!$B:$B,B159))</f>
        <v/>
      </c>
      <c r="F159" s="5" t="str">
        <f aca="false">IF(B159=0,"",IF(INDEX(Bank!$C:$C,B159)="","",INDEX(Bank!$C:$C,B159)))</f>
        <v/>
      </c>
      <c r="G159" s="19" t="str">
        <f aca="false">IF(B159=0,"",INDEX(Bank!$E:$E,B159))</f>
        <v/>
      </c>
      <c r="H159" s="5" t="str">
        <f aca="false">IF(B159=0,"",IF(INDEX(Bank!$H:$H,B159)="","",INDEX(Bank!$H:$H,B159)))</f>
        <v/>
      </c>
      <c r="I159" s="5" t="n">
        <f aca="false">IF(H159="",0,IFERROR(MATCH(H159,GL!$A:$A,0),0))</f>
        <v>0</v>
      </c>
      <c r="J159" s="32" t="str">
        <f aca="false">IF(I159=0,"",INDEX(GL!$B:$B,I159))</f>
        <v/>
      </c>
      <c r="K159" s="5" t="str">
        <f aca="false">IF(I159=0,"",IF(INDEX(GL!$C:$C,I159)="","",INDEX(GL!$C:$C,I159)))</f>
        <v/>
      </c>
      <c r="L159" s="19" t="str">
        <f aca="false">IF(I159=0,"",INDEX(GL!$E:$E,I159))</f>
        <v/>
      </c>
      <c r="M159" s="19" t="str">
        <f aca="false">IF(OR(B159=0,I159=0),"",ROUND(G159-L159,2))</f>
        <v/>
      </c>
      <c r="N159" s="5" t="str">
        <f aca="false">IF(A159="","",IF(B159=0,"NOT FOUND: bank ID",IF(I159=0,"NOT FOUND: GL ID",IF(INDEX(GL!$H:$H,I159)&lt;&gt;A159,"BROKEN: GL points elsewhere",IF(OR(INDEX(Bank!$F:$F,B159)&lt;&gt;"Y",INDEX(GL!$F:$F,I159)&lt;&gt;"Y"),"BROKEN: Status not Y","OK")))))</f>
        <v/>
      </c>
    </row>
    <row r="160" customFormat="false" ht="15" hidden="false" customHeight="false" outlineLevel="0" collapsed="false">
      <c r="A160" s="41"/>
      <c r="B160" s="5" t="n">
        <f aca="false">IF(A160="",0,IFERROR(MATCH(A160,Bank!$A:$A,0),0))</f>
        <v>0</v>
      </c>
      <c r="C160" s="5" t="str">
        <f aca="false">IF(B160=0,"",IF(INDEX(Bank!$G:$G,B160)="","",INDEX(Bank!$G:$G,B160)))</f>
        <v/>
      </c>
      <c r="D160" s="5" t="str">
        <f aca="false">IF(B160=0,"",IF(INDEX(Bank!$J:$J,B160)="","",INDEX(Bank!$J:$J,B160)))</f>
        <v/>
      </c>
      <c r="E160" s="32" t="str">
        <f aca="false">IF(B160=0,"",INDEX(Bank!$B:$B,B160))</f>
        <v/>
      </c>
      <c r="F160" s="5" t="str">
        <f aca="false">IF(B160=0,"",IF(INDEX(Bank!$C:$C,B160)="","",INDEX(Bank!$C:$C,B160)))</f>
        <v/>
      </c>
      <c r="G160" s="19" t="str">
        <f aca="false">IF(B160=0,"",INDEX(Bank!$E:$E,B160))</f>
        <v/>
      </c>
      <c r="H160" s="5" t="str">
        <f aca="false">IF(B160=0,"",IF(INDEX(Bank!$H:$H,B160)="","",INDEX(Bank!$H:$H,B160)))</f>
        <v/>
      </c>
      <c r="I160" s="5" t="n">
        <f aca="false">IF(H160="",0,IFERROR(MATCH(H160,GL!$A:$A,0),0))</f>
        <v>0</v>
      </c>
      <c r="J160" s="32" t="str">
        <f aca="false">IF(I160=0,"",INDEX(GL!$B:$B,I160))</f>
        <v/>
      </c>
      <c r="K160" s="5" t="str">
        <f aca="false">IF(I160=0,"",IF(INDEX(GL!$C:$C,I160)="","",INDEX(GL!$C:$C,I160)))</f>
        <v/>
      </c>
      <c r="L160" s="19" t="str">
        <f aca="false">IF(I160=0,"",INDEX(GL!$E:$E,I160))</f>
        <v/>
      </c>
      <c r="M160" s="19" t="str">
        <f aca="false">IF(OR(B160=0,I160=0),"",ROUND(G160-L160,2))</f>
        <v/>
      </c>
      <c r="N160" s="5" t="str">
        <f aca="false">IF(A160="","",IF(B160=0,"NOT FOUND: bank ID",IF(I160=0,"NOT FOUND: GL ID",IF(INDEX(GL!$H:$H,I160)&lt;&gt;A160,"BROKEN: GL points elsewhere",IF(OR(INDEX(Bank!$F:$F,B160)&lt;&gt;"Y",INDEX(GL!$F:$F,I160)&lt;&gt;"Y"),"BROKEN: Status not Y","OK")))))</f>
        <v/>
      </c>
    </row>
    <row r="161" customFormat="false" ht="15" hidden="false" customHeight="false" outlineLevel="0" collapsed="false">
      <c r="A161" s="41"/>
      <c r="B161" s="5" t="n">
        <f aca="false">IF(A161="",0,IFERROR(MATCH(A161,Bank!$A:$A,0),0))</f>
        <v>0</v>
      </c>
      <c r="C161" s="5" t="str">
        <f aca="false">IF(B161=0,"",IF(INDEX(Bank!$G:$G,B161)="","",INDEX(Bank!$G:$G,B161)))</f>
        <v/>
      </c>
      <c r="D161" s="5" t="str">
        <f aca="false">IF(B161=0,"",IF(INDEX(Bank!$J:$J,B161)="","",INDEX(Bank!$J:$J,B161)))</f>
        <v/>
      </c>
      <c r="E161" s="32" t="str">
        <f aca="false">IF(B161=0,"",INDEX(Bank!$B:$B,B161))</f>
        <v/>
      </c>
      <c r="F161" s="5" t="str">
        <f aca="false">IF(B161=0,"",IF(INDEX(Bank!$C:$C,B161)="","",INDEX(Bank!$C:$C,B161)))</f>
        <v/>
      </c>
      <c r="G161" s="19" t="str">
        <f aca="false">IF(B161=0,"",INDEX(Bank!$E:$E,B161))</f>
        <v/>
      </c>
      <c r="H161" s="5" t="str">
        <f aca="false">IF(B161=0,"",IF(INDEX(Bank!$H:$H,B161)="","",INDEX(Bank!$H:$H,B161)))</f>
        <v/>
      </c>
      <c r="I161" s="5" t="n">
        <f aca="false">IF(H161="",0,IFERROR(MATCH(H161,GL!$A:$A,0),0))</f>
        <v>0</v>
      </c>
      <c r="J161" s="32" t="str">
        <f aca="false">IF(I161=0,"",INDEX(GL!$B:$B,I161))</f>
        <v/>
      </c>
      <c r="K161" s="5" t="str">
        <f aca="false">IF(I161=0,"",IF(INDEX(GL!$C:$C,I161)="","",INDEX(GL!$C:$C,I161)))</f>
        <v/>
      </c>
      <c r="L161" s="19" t="str">
        <f aca="false">IF(I161=0,"",INDEX(GL!$E:$E,I161))</f>
        <v/>
      </c>
      <c r="M161" s="19" t="str">
        <f aca="false">IF(OR(B161=0,I161=0),"",ROUND(G161-L161,2))</f>
        <v/>
      </c>
      <c r="N161" s="5" t="str">
        <f aca="false">IF(A161="","",IF(B161=0,"NOT FOUND: bank ID",IF(I161=0,"NOT FOUND: GL ID",IF(INDEX(GL!$H:$H,I161)&lt;&gt;A161,"BROKEN: GL points elsewhere",IF(OR(INDEX(Bank!$F:$F,B161)&lt;&gt;"Y",INDEX(GL!$F:$F,I161)&lt;&gt;"Y"),"BROKEN: Status not Y","OK")))))</f>
        <v/>
      </c>
    </row>
    <row r="162" customFormat="false" ht="15" hidden="false" customHeight="false" outlineLevel="0" collapsed="false">
      <c r="A162" s="41"/>
      <c r="B162" s="5" t="n">
        <f aca="false">IF(A162="",0,IFERROR(MATCH(A162,Bank!$A:$A,0),0))</f>
        <v>0</v>
      </c>
      <c r="C162" s="5" t="str">
        <f aca="false">IF(B162=0,"",IF(INDEX(Bank!$G:$G,B162)="","",INDEX(Bank!$G:$G,B162)))</f>
        <v/>
      </c>
      <c r="D162" s="5" t="str">
        <f aca="false">IF(B162=0,"",IF(INDEX(Bank!$J:$J,B162)="","",INDEX(Bank!$J:$J,B162)))</f>
        <v/>
      </c>
      <c r="E162" s="32" t="str">
        <f aca="false">IF(B162=0,"",INDEX(Bank!$B:$B,B162))</f>
        <v/>
      </c>
      <c r="F162" s="5" t="str">
        <f aca="false">IF(B162=0,"",IF(INDEX(Bank!$C:$C,B162)="","",INDEX(Bank!$C:$C,B162)))</f>
        <v/>
      </c>
      <c r="G162" s="19" t="str">
        <f aca="false">IF(B162=0,"",INDEX(Bank!$E:$E,B162))</f>
        <v/>
      </c>
      <c r="H162" s="5" t="str">
        <f aca="false">IF(B162=0,"",IF(INDEX(Bank!$H:$H,B162)="","",INDEX(Bank!$H:$H,B162)))</f>
        <v/>
      </c>
      <c r="I162" s="5" t="n">
        <f aca="false">IF(H162="",0,IFERROR(MATCH(H162,GL!$A:$A,0),0))</f>
        <v>0</v>
      </c>
      <c r="J162" s="32" t="str">
        <f aca="false">IF(I162=0,"",INDEX(GL!$B:$B,I162))</f>
        <v/>
      </c>
      <c r="K162" s="5" t="str">
        <f aca="false">IF(I162=0,"",IF(INDEX(GL!$C:$C,I162)="","",INDEX(GL!$C:$C,I162)))</f>
        <v/>
      </c>
      <c r="L162" s="19" t="str">
        <f aca="false">IF(I162=0,"",INDEX(GL!$E:$E,I162))</f>
        <v/>
      </c>
      <c r="M162" s="19" t="str">
        <f aca="false">IF(OR(B162=0,I162=0),"",ROUND(G162-L162,2))</f>
        <v/>
      </c>
      <c r="N162" s="5" t="str">
        <f aca="false">IF(A162="","",IF(B162=0,"NOT FOUND: bank ID",IF(I162=0,"NOT FOUND: GL ID",IF(INDEX(GL!$H:$H,I162)&lt;&gt;A162,"BROKEN: GL points elsewhere",IF(OR(INDEX(Bank!$F:$F,B162)&lt;&gt;"Y",INDEX(GL!$F:$F,I162)&lt;&gt;"Y"),"BROKEN: Status not Y","OK")))))</f>
        <v/>
      </c>
    </row>
    <row r="163" customFormat="false" ht="15" hidden="false" customHeight="false" outlineLevel="0" collapsed="false">
      <c r="A163" s="41"/>
      <c r="B163" s="5" t="n">
        <f aca="false">IF(A163="",0,IFERROR(MATCH(A163,Bank!$A:$A,0),0))</f>
        <v>0</v>
      </c>
      <c r="C163" s="5" t="str">
        <f aca="false">IF(B163=0,"",IF(INDEX(Bank!$G:$G,B163)="","",INDEX(Bank!$G:$G,B163)))</f>
        <v/>
      </c>
      <c r="D163" s="5" t="str">
        <f aca="false">IF(B163=0,"",IF(INDEX(Bank!$J:$J,B163)="","",INDEX(Bank!$J:$J,B163)))</f>
        <v/>
      </c>
      <c r="E163" s="32" t="str">
        <f aca="false">IF(B163=0,"",INDEX(Bank!$B:$B,B163))</f>
        <v/>
      </c>
      <c r="F163" s="5" t="str">
        <f aca="false">IF(B163=0,"",IF(INDEX(Bank!$C:$C,B163)="","",INDEX(Bank!$C:$C,B163)))</f>
        <v/>
      </c>
      <c r="G163" s="19" t="str">
        <f aca="false">IF(B163=0,"",INDEX(Bank!$E:$E,B163))</f>
        <v/>
      </c>
      <c r="H163" s="5" t="str">
        <f aca="false">IF(B163=0,"",IF(INDEX(Bank!$H:$H,B163)="","",INDEX(Bank!$H:$H,B163)))</f>
        <v/>
      </c>
      <c r="I163" s="5" t="n">
        <f aca="false">IF(H163="",0,IFERROR(MATCH(H163,GL!$A:$A,0),0))</f>
        <v>0</v>
      </c>
      <c r="J163" s="32" t="str">
        <f aca="false">IF(I163=0,"",INDEX(GL!$B:$B,I163))</f>
        <v/>
      </c>
      <c r="K163" s="5" t="str">
        <f aca="false">IF(I163=0,"",IF(INDEX(GL!$C:$C,I163)="","",INDEX(GL!$C:$C,I163)))</f>
        <v/>
      </c>
      <c r="L163" s="19" t="str">
        <f aca="false">IF(I163=0,"",INDEX(GL!$E:$E,I163))</f>
        <v/>
      </c>
      <c r="M163" s="19" t="str">
        <f aca="false">IF(OR(B163=0,I163=0),"",ROUND(G163-L163,2))</f>
        <v/>
      </c>
      <c r="N163" s="5" t="str">
        <f aca="false">IF(A163="","",IF(B163=0,"NOT FOUND: bank ID",IF(I163=0,"NOT FOUND: GL ID",IF(INDEX(GL!$H:$H,I163)&lt;&gt;A163,"BROKEN: GL points elsewhere",IF(OR(INDEX(Bank!$F:$F,B163)&lt;&gt;"Y",INDEX(GL!$F:$F,I163)&lt;&gt;"Y"),"BROKEN: Status not Y","OK")))))</f>
        <v/>
      </c>
    </row>
    <row r="164" customFormat="false" ht="15" hidden="false" customHeight="false" outlineLevel="0" collapsed="false">
      <c r="A164" s="41"/>
      <c r="B164" s="5" t="n">
        <f aca="false">IF(A164="",0,IFERROR(MATCH(A164,Bank!$A:$A,0),0))</f>
        <v>0</v>
      </c>
      <c r="C164" s="5" t="str">
        <f aca="false">IF(B164=0,"",IF(INDEX(Bank!$G:$G,B164)="","",INDEX(Bank!$G:$G,B164)))</f>
        <v/>
      </c>
      <c r="D164" s="5" t="str">
        <f aca="false">IF(B164=0,"",IF(INDEX(Bank!$J:$J,B164)="","",INDEX(Bank!$J:$J,B164)))</f>
        <v/>
      </c>
      <c r="E164" s="32" t="str">
        <f aca="false">IF(B164=0,"",INDEX(Bank!$B:$B,B164))</f>
        <v/>
      </c>
      <c r="F164" s="5" t="str">
        <f aca="false">IF(B164=0,"",IF(INDEX(Bank!$C:$C,B164)="","",INDEX(Bank!$C:$C,B164)))</f>
        <v/>
      </c>
      <c r="G164" s="19" t="str">
        <f aca="false">IF(B164=0,"",INDEX(Bank!$E:$E,B164))</f>
        <v/>
      </c>
      <c r="H164" s="5" t="str">
        <f aca="false">IF(B164=0,"",IF(INDEX(Bank!$H:$H,B164)="","",INDEX(Bank!$H:$H,B164)))</f>
        <v/>
      </c>
      <c r="I164" s="5" t="n">
        <f aca="false">IF(H164="",0,IFERROR(MATCH(H164,GL!$A:$A,0),0))</f>
        <v>0</v>
      </c>
      <c r="J164" s="32" t="str">
        <f aca="false">IF(I164=0,"",INDEX(GL!$B:$B,I164))</f>
        <v/>
      </c>
      <c r="K164" s="5" t="str">
        <f aca="false">IF(I164=0,"",IF(INDEX(GL!$C:$C,I164)="","",INDEX(GL!$C:$C,I164)))</f>
        <v/>
      </c>
      <c r="L164" s="19" t="str">
        <f aca="false">IF(I164=0,"",INDEX(GL!$E:$E,I164))</f>
        <v/>
      </c>
      <c r="M164" s="19" t="str">
        <f aca="false">IF(OR(B164=0,I164=0),"",ROUND(G164-L164,2))</f>
        <v/>
      </c>
      <c r="N164" s="5" t="str">
        <f aca="false">IF(A164="","",IF(B164=0,"NOT FOUND: bank ID",IF(I164=0,"NOT FOUND: GL ID",IF(INDEX(GL!$H:$H,I164)&lt;&gt;A164,"BROKEN: GL points elsewhere",IF(OR(INDEX(Bank!$F:$F,B164)&lt;&gt;"Y",INDEX(GL!$F:$F,I164)&lt;&gt;"Y"),"BROKEN: Status not Y","OK")))))</f>
        <v/>
      </c>
    </row>
    <row r="165" customFormat="false" ht="15" hidden="false" customHeight="false" outlineLevel="0" collapsed="false">
      <c r="A165" s="41"/>
      <c r="B165" s="5" t="n">
        <f aca="false">IF(A165="",0,IFERROR(MATCH(A165,Bank!$A:$A,0),0))</f>
        <v>0</v>
      </c>
      <c r="C165" s="5" t="str">
        <f aca="false">IF(B165=0,"",IF(INDEX(Bank!$G:$G,B165)="","",INDEX(Bank!$G:$G,B165)))</f>
        <v/>
      </c>
      <c r="D165" s="5" t="str">
        <f aca="false">IF(B165=0,"",IF(INDEX(Bank!$J:$J,B165)="","",INDEX(Bank!$J:$J,B165)))</f>
        <v/>
      </c>
      <c r="E165" s="32" t="str">
        <f aca="false">IF(B165=0,"",INDEX(Bank!$B:$B,B165))</f>
        <v/>
      </c>
      <c r="F165" s="5" t="str">
        <f aca="false">IF(B165=0,"",IF(INDEX(Bank!$C:$C,B165)="","",INDEX(Bank!$C:$C,B165)))</f>
        <v/>
      </c>
      <c r="G165" s="19" t="str">
        <f aca="false">IF(B165=0,"",INDEX(Bank!$E:$E,B165))</f>
        <v/>
      </c>
      <c r="H165" s="5" t="str">
        <f aca="false">IF(B165=0,"",IF(INDEX(Bank!$H:$H,B165)="","",INDEX(Bank!$H:$H,B165)))</f>
        <v/>
      </c>
      <c r="I165" s="5" t="n">
        <f aca="false">IF(H165="",0,IFERROR(MATCH(H165,GL!$A:$A,0),0))</f>
        <v>0</v>
      </c>
      <c r="J165" s="32" t="str">
        <f aca="false">IF(I165=0,"",INDEX(GL!$B:$B,I165))</f>
        <v/>
      </c>
      <c r="K165" s="5" t="str">
        <f aca="false">IF(I165=0,"",IF(INDEX(GL!$C:$C,I165)="","",INDEX(GL!$C:$C,I165)))</f>
        <v/>
      </c>
      <c r="L165" s="19" t="str">
        <f aca="false">IF(I165=0,"",INDEX(GL!$E:$E,I165))</f>
        <v/>
      </c>
      <c r="M165" s="19" t="str">
        <f aca="false">IF(OR(B165=0,I165=0),"",ROUND(G165-L165,2))</f>
        <v/>
      </c>
      <c r="N165" s="5" t="str">
        <f aca="false">IF(A165="","",IF(B165=0,"NOT FOUND: bank ID",IF(I165=0,"NOT FOUND: GL ID",IF(INDEX(GL!$H:$H,I165)&lt;&gt;A165,"BROKEN: GL points elsewhere",IF(OR(INDEX(Bank!$F:$F,B165)&lt;&gt;"Y",INDEX(GL!$F:$F,I165)&lt;&gt;"Y"),"BROKEN: Status not Y","OK")))))</f>
        <v/>
      </c>
    </row>
    <row r="166" customFormat="false" ht="15" hidden="false" customHeight="false" outlineLevel="0" collapsed="false">
      <c r="A166" s="41"/>
      <c r="B166" s="5" t="n">
        <f aca="false">IF(A166="",0,IFERROR(MATCH(A166,Bank!$A:$A,0),0))</f>
        <v>0</v>
      </c>
      <c r="C166" s="5" t="str">
        <f aca="false">IF(B166=0,"",IF(INDEX(Bank!$G:$G,B166)="","",INDEX(Bank!$G:$G,B166)))</f>
        <v/>
      </c>
      <c r="D166" s="5" t="str">
        <f aca="false">IF(B166=0,"",IF(INDEX(Bank!$J:$J,B166)="","",INDEX(Bank!$J:$J,B166)))</f>
        <v/>
      </c>
      <c r="E166" s="32" t="str">
        <f aca="false">IF(B166=0,"",INDEX(Bank!$B:$B,B166))</f>
        <v/>
      </c>
      <c r="F166" s="5" t="str">
        <f aca="false">IF(B166=0,"",IF(INDEX(Bank!$C:$C,B166)="","",INDEX(Bank!$C:$C,B166)))</f>
        <v/>
      </c>
      <c r="G166" s="19" t="str">
        <f aca="false">IF(B166=0,"",INDEX(Bank!$E:$E,B166))</f>
        <v/>
      </c>
      <c r="H166" s="5" t="str">
        <f aca="false">IF(B166=0,"",IF(INDEX(Bank!$H:$H,B166)="","",INDEX(Bank!$H:$H,B166)))</f>
        <v/>
      </c>
      <c r="I166" s="5" t="n">
        <f aca="false">IF(H166="",0,IFERROR(MATCH(H166,GL!$A:$A,0),0))</f>
        <v>0</v>
      </c>
      <c r="J166" s="32" t="str">
        <f aca="false">IF(I166=0,"",INDEX(GL!$B:$B,I166))</f>
        <v/>
      </c>
      <c r="K166" s="5" t="str">
        <f aca="false">IF(I166=0,"",IF(INDEX(GL!$C:$C,I166)="","",INDEX(GL!$C:$C,I166)))</f>
        <v/>
      </c>
      <c r="L166" s="19" t="str">
        <f aca="false">IF(I166=0,"",INDEX(GL!$E:$E,I166))</f>
        <v/>
      </c>
      <c r="M166" s="19" t="str">
        <f aca="false">IF(OR(B166=0,I166=0),"",ROUND(G166-L166,2))</f>
        <v/>
      </c>
      <c r="N166" s="5" t="str">
        <f aca="false">IF(A166="","",IF(B166=0,"NOT FOUND: bank ID",IF(I166=0,"NOT FOUND: GL ID",IF(INDEX(GL!$H:$H,I166)&lt;&gt;A166,"BROKEN: GL points elsewhere",IF(OR(INDEX(Bank!$F:$F,B166)&lt;&gt;"Y",INDEX(GL!$F:$F,I166)&lt;&gt;"Y"),"BROKEN: Status not Y","OK")))))</f>
        <v/>
      </c>
    </row>
    <row r="167" customFormat="false" ht="15" hidden="false" customHeight="false" outlineLevel="0" collapsed="false">
      <c r="A167" s="41"/>
      <c r="B167" s="5" t="n">
        <f aca="false">IF(A167="",0,IFERROR(MATCH(A167,Bank!$A:$A,0),0))</f>
        <v>0</v>
      </c>
      <c r="C167" s="5" t="str">
        <f aca="false">IF(B167=0,"",IF(INDEX(Bank!$G:$G,B167)="","",INDEX(Bank!$G:$G,B167)))</f>
        <v/>
      </c>
      <c r="D167" s="5" t="str">
        <f aca="false">IF(B167=0,"",IF(INDEX(Bank!$J:$J,B167)="","",INDEX(Bank!$J:$J,B167)))</f>
        <v/>
      </c>
      <c r="E167" s="32" t="str">
        <f aca="false">IF(B167=0,"",INDEX(Bank!$B:$B,B167))</f>
        <v/>
      </c>
      <c r="F167" s="5" t="str">
        <f aca="false">IF(B167=0,"",IF(INDEX(Bank!$C:$C,B167)="","",INDEX(Bank!$C:$C,B167)))</f>
        <v/>
      </c>
      <c r="G167" s="19" t="str">
        <f aca="false">IF(B167=0,"",INDEX(Bank!$E:$E,B167))</f>
        <v/>
      </c>
      <c r="H167" s="5" t="str">
        <f aca="false">IF(B167=0,"",IF(INDEX(Bank!$H:$H,B167)="","",INDEX(Bank!$H:$H,B167)))</f>
        <v/>
      </c>
      <c r="I167" s="5" t="n">
        <f aca="false">IF(H167="",0,IFERROR(MATCH(H167,GL!$A:$A,0),0))</f>
        <v>0</v>
      </c>
      <c r="J167" s="32" t="str">
        <f aca="false">IF(I167=0,"",INDEX(GL!$B:$B,I167))</f>
        <v/>
      </c>
      <c r="K167" s="5" t="str">
        <f aca="false">IF(I167=0,"",IF(INDEX(GL!$C:$C,I167)="","",INDEX(GL!$C:$C,I167)))</f>
        <v/>
      </c>
      <c r="L167" s="19" t="str">
        <f aca="false">IF(I167=0,"",INDEX(GL!$E:$E,I167))</f>
        <v/>
      </c>
      <c r="M167" s="19" t="str">
        <f aca="false">IF(OR(B167=0,I167=0),"",ROUND(G167-L167,2))</f>
        <v/>
      </c>
      <c r="N167" s="5" t="str">
        <f aca="false">IF(A167="","",IF(B167=0,"NOT FOUND: bank ID",IF(I167=0,"NOT FOUND: GL ID",IF(INDEX(GL!$H:$H,I167)&lt;&gt;A167,"BROKEN: GL points elsewhere",IF(OR(INDEX(Bank!$F:$F,B167)&lt;&gt;"Y",INDEX(GL!$F:$F,I167)&lt;&gt;"Y"),"BROKEN: Status not Y","OK")))))</f>
        <v/>
      </c>
    </row>
    <row r="168" customFormat="false" ht="15" hidden="false" customHeight="false" outlineLevel="0" collapsed="false">
      <c r="A168" s="41"/>
      <c r="B168" s="5" t="n">
        <f aca="false">IF(A168="",0,IFERROR(MATCH(A168,Bank!$A:$A,0),0))</f>
        <v>0</v>
      </c>
      <c r="C168" s="5" t="str">
        <f aca="false">IF(B168=0,"",IF(INDEX(Bank!$G:$G,B168)="","",INDEX(Bank!$G:$G,B168)))</f>
        <v/>
      </c>
      <c r="D168" s="5" t="str">
        <f aca="false">IF(B168=0,"",IF(INDEX(Bank!$J:$J,B168)="","",INDEX(Bank!$J:$J,B168)))</f>
        <v/>
      </c>
      <c r="E168" s="32" t="str">
        <f aca="false">IF(B168=0,"",INDEX(Bank!$B:$B,B168))</f>
        <v/>
      </c>
      <c r="F168" s="5" t="str">
        <f aca="false">IF(B168=0,"",IF(INDEX(Bank!$C:$C,B168)="","",INDEX(Bank!$C:$C,B168)))</f>
        <v/>
      </c>
      <c r="G168" s="19" t="str">
        <f aca="false">IF(B168=0,"",INDEX(Bank!$E:$E,B168))</f>
        <v/>
      </c>
      <c r="H168" s="5" t="str">
        <f aca="false">IF(B168=0,"",IF(INDEX(Bank!$H:$H,B168)="","",INDEX(Bank!$H:$H,B168)))</f>
        <v/>
      </c>
      <c r="I168" s="5" t="n">
        <f aca="false">IF(H168="",0,IFERROR(MATCH(H168,GL!$A:$A,0),0))</f>
        <v>0</v>
      </c>
      <c r="J168" s="32" t="str">
        <f aca="false">IF(I168=0,"",INDEX(GL!$B:$B,I168))</f>
        <v/>
      </c>
      <c r="K168" s="5" t="str">
        <f aca="false">IF(I168=0,"",IF(INDEX(GL!$C:$C,I168)="","",INDEX(GL!$C:$C,I168)))</f>
        <v/>
      </c>
      <c r="L168" s="19" t="str">
        <f aca="false">IF(I168=0,"",INDEX(GL!$E:$E,I168))</f>
        <v/>
      </c>
      <c r="M168" s="19" t="str">
        <f aca="false">IF(OR(B168=0,I168=0),"",ROUND(G168-L168,2))</f>
        <v/>
      </c>
      <c r="N168" s="5" t="str">
        <f aca="false">IF(A168="","",IF(B168=0,"NOT FOUND: bank ID",IF(I168=0,"NOT FOUND: GL ID",IF(INDEX(GL!$H:$H,I168)&lt;&gt;A168,"BROKEN: GL points elsewhere",IF(OR(INDEX(Bank!$F:$F,B168)&lt;&gt;"Y",INDEX(GL!$F:$F,I168)&lt;&gt;"Y"),"BROKEN: Status not Y","OK")))))</f>
        <v/>
      </c>
    </row>
    <row r="169" customFormat="false" ht="15" hidden="false" customHeight="false" outlineLevel="0" collapsed="false">
      <c r="A169" s="41"/>
      <c r="B169" s="5" t="n">
        <f aca="false">IF(A169="",0,IFERROR(MATCH(A169,Bank!$A:$A,0),0))</f>
        <v>0</v>
      </c>
      <c r="C169" s="5" t="str">
        <f aca="false">IF(B169=0,"",IF(INDEX(Bank!$G:$G,B169)="","",INDEX(Bank!$G:$G,B169)))</f>
        <v/>
      </c>
      <c r="D169" s="5" t="str">
        <f aca="false">IF(B169=0,"",IF(INDEX(Bank!$J:$J,B169)="","",INDEX(Bank!$J:$J,B169)))</f>
        <v/>
      </c>
      <c r="E169" s="32" t="str">
        <f aca="false">IF(B169=0,"",INDEX(Bank!$B:$B,B169))</f>
        <v/>
      </c>
      <c r="F169" s="5" t="str">
        <f aca="false">IF(B169=0,"",IF(INDEX(Bank!$C:$C,B169)="","",INDEX(Bank!$C:$C,B169)))</f>
        <v/>
      </c>
      <c r="G169" s="19" t="str">
        <f aca="false">IF(B169=0,"",INDEX(Bank!$E:$E,B169))</f>
        <v/>
      </c>
      <c r="H169" s="5" t="str">
        <f aca="false">IF(B169=0,"",IF(INDEX(Bank!$H:$H,B169)="","",INDEX(Bank!$H:$H,B169)))</f>
        <v/>
      </c>
      <c r="I169" s="5" t="n">
        <f aca="false">IF(H169="",0,IFERROR(MATCH(H169,GL!$A:$A,0),0))</f>
        <v>0</v>
      </c>
      <c r="J169" s="32" t="str">
        <f aca="false">IF(I169=0,"",INDEX(GL!$B:$B,I169))</f>
        <v/>
      </c>
      <c r="K169" s="5" t="str">
        <f aca="false">IF(I169=0,"",IF(INDEX(GL!$C:$C,I169)="","",INDEX(GL!$C:$C,I169)))</f>
        <v/>
      </c>
      <c r="L169" s="19" t="str">
        <f aca="false">IF(I169=0,"",INDEX(GL!$E:$E,I169))</f>
        <v/>
      </c>
      <c r="M169" s="19" t="str">
        <f aca="false">IF(OR(B169=0,I169=0),"",ROUND(G169-L169,2))</f>
        <v/>
      </c>
      <c r="N169" s="5" t="str">
        <f aca="false">IF(A169="","",IF(B169=0,"NOT FOUND: bank ID",IF(I169=0,"NOT FOUND: GL ID",IF(INDEX(GL!$H:$H,I169)&lt;&gt;A169,"BROKEN: GL points elsewhere",IF(OR(INDEX(Bank!$F:$F,B169)&lt;&gt;"Y",INDEX(GL!$F:$F,I169)&lt;&gt;"Y"),"BROKEN: Status not Y","OK")))))</f>
        <v/>
      </c>
    </row>
    <row r="170" customFormat="false" ht="15" hidden="false" customHeight="false" outlineLevel="0" collapsed="false">
      <c r="A170" s="41"/>
      <c r="B170" s="5" t="n">
        <f aca="false">IF(A170="",0,IFERROR(MATCH(A170,Bank!$A:$A,0),0))</f>
        <v>0</v>
      </c>
      <c r="C170" s="5" t="str">
        <f aca="false">IF(B170=0,"",IF(INDEX(Bank!$G:$G,B170)="","",INDEX(Bank!$G:$G,B170)))</f>
        <v/>
      </c>
      <c r="D170" s="5" t="str">
        <f aca="false">IF(B170=0,"",IF(INDEX(Bank!$J:$J,B170)="","",INDEX(Bank!$J:$J,B170)))</f>
        <v/>
      </c>
      <c r="E170" s="32" t="str">
        <f aca="false">IF(B170=0,"",INDEX(Bank!$B:$B,B170))</f>
        <v/>
      </c>
      <c r="F170" s="5" t="str">
        <f aca="false">IF(B170=0,"",IF(INDEX(Bank!$C:$C,B170)="","",INDEX(Bank!$C:$C,B170)))</f>
        <v/>
      </c>
      <c r="G170" s="19" t="str">
        <f aca="false">IF(B170=0,"",INDEX(Bank!$E:$E,B170))</f>
        <v/>
      </c>
      <c r="H170" s="5" t="str">
        <f aca="false">IF(B170=0,"",IF(INDEX(Bank!$H:$H,B170)="","",INDEX(Bank!$H:$H,B170)))</f>
        <v/>
      </c>
      <c r="I170" s="5" t="n">
        <f aca="false">IF(H170="",0,IFERROR(MATCH(H170,GL!$A:$A,0),0))</f>
        <v>0</v>
      </c>
      <c r="J170" s="32" t="str">
        <f aca="false">IF(I170=0,"",INDEX(GL!$B:$B,I170))</f>
        <v/>
      </c>
      <c r="K170" s="5" t="str">
        <f aca="false">IF(I170=0,"",IF(INDEX(GL!$C:$C,I170)="","",INDEX(GL!$C:$C,I170)))</f>
        <v/>
      </c>
      <c r="L170" s="19" t="str">
        <f aca="false">IF(I170=0,"",INDEX(GL!$E:$E,I170))</f>
        <v/>
      </c>
      <c r="M170" s="19" t="str">
        <f aca="false">IF(OR(B170=0,I170=0),"",ROUND(G170-L170,2))</f>
        <v/>
      </c>
      <c r="N170" s="5" t="str">
        <f aca="false">IF(A170="","",IF(B170=0,"NOT FOUND: bank ID",IF(I170=0,"NOT FOUND: GL ID",IF(INDEX(GL!$H:$H,I170)&lt;&gt;A170,"BROKEN: GL points elsewhere",IF(OR(INDEX(Bank!$F:$F,B170)&lt;&gt;"Y",INDEX(GL!$F:$F,I170)&lt;&gt;"Y"),"BROKEN: Status not Y","OK")))))</f>
        <v/>
      </c>
    </row>
    <row r="171" customFormat="false" ht="15" hidden="false" customHeight="false" outlineLevel="0" collapsed="false">
      <c r="A171" s="41"/>
      <c r="B171" s="5" t="n">
        <f aca="false">IF(A171="",0,IFERROR(MATCH(A171,Bank!$A:$A,0),0))</f>
        <v>0</v>
      </c>
      <c r="C171" s="5" t="str">
        <f aca="false">IF(B171=0,"",IF(INDEX(Bank!$G:$G,B171)="","",INDEX(Bank!$G:$G,B171)))</f>
        <v/>
      </c>
      <c r="D171" s="5" t="str">
        <f aca="false">IF(B171=0,"",IF(INDEX(Bank!$J:$J,B171)="","",INDEX(Bank!$J:$J,B171)))</f>
        <v/>
      </c>
      <c r="E171" s="32" t="str">
        <f aca="false">IF(B171=0,"",INDEX(Bank!$B:$B,B171))</f>
        <v/>
      </c>
      <c r="F171" s="5" t="str">
        <f aca="false">IF(B171=0,"",IF(INDEX(Bank!$C:$C,B171)="","",INDEX(Bank!$C:$C,B171)))</f>
        <v/>
      </c>
      <c r="G171" s="19" t="str">
        <f aca="false">IF(B171=0,"",INDEX(Bank!$E:$E,B171))</f>
        <v/>
      </c>
      <c r="H171" s="5" t="str">
        <f aca="false">IF(B171=0,"",IF(INDEX(Bank!$H:$H,B171)="","",INDEX(Bank!$H:$H,B171)))</f>
        <v/>
      </c>
      <c r="I171" s="5" t="n">
        <f aca="false">IF(H171="",0,IFERROR(MATCH(H171,GL!$A:$A,0),0))</f>
        <v>0</v>
      </c>
      <c r="J171" s="32" t="str">
        <f aca="false">IF(I171=0,"",INDEX(GL!$B:$B,I171))</f>
        <v/>
      </c>
      <c r="K171" s="5" t="str">
        <f aca="false">IF(I171=0,"",IF(INDEX(GL!$C:$C,I171)="","",INDEX(GL!$C:$C,I171)))</f>
        <v/>
      </c>
      <c r="L171" s="19" t="str">
        <f aca="false">IF(I171=0,"",INDEX(GL!$E:$E,I171))</f>
        <v/>
      </c>
      <c r="M171" s="19" t="str">
        <f aca="false">IF(OR(B171=0,I171=0),"",ROUND(G171-L171,2))</f>
        <v/>
      </c>
      <c r="N171" s="5" t="str">
        <f aca="false">IF(A171="","",IF(B171=0,"NOT FOUND: bank ID",IF(I171=0,"NOT FOUND: GL ID",IF(INDEX(GL!$H:$H,I171)&lt;&gt;A171,"BROKEN: GL points elsewhere",IF(OR(INDEX(Bank!$F:$F,B171)&lt;&gt;"Y",INDEX(GL!$F:$F,I171)&lt;&gt;"Y"),"BROKEN: Status not Y","OK")))))</f>
        <v/>
      </c>
    </row>
    <row r="172" customFormat="false" ht="15" hidden="false" customHeight="false" outlineLevel="0" collapsed="false">
      <c r="A172" s="41"/>
      <c r="B172" s="5" t="n">
        <f aca="false">IF(A172="",0,IFERROR(MATCH(A172,Bank!$A:$A,0),0))</f>
        <v>0</v>
      </c>
      <c r="C172" s="5" t="str">
        <f aca="false">IF(B172=0,"",IF(INDEX(Bank!$G:$G,B172)="","",INDEX(Bank!$G:$G,B172)))</f>
        <v/>
      </c>
      <c r="D172" s="5" t="str">
        <f aca="false">IF(B172=0,"",IF(INDEX(Bank!$J:$J,B172)="","",INDEX(Bank!$J:$J,B172)))</f>
        <v/>
      </c>
      <c r="E172" s="32" t="str">
        <f aca="false">IF(B172=0,"",INDEX(Bank!$B:$B,B172))</f>
        <v/>
      </c>
      <c r="F172" s="5" t="str">
        <f aca="false">IF(B172=0,"",IF(INDEX(Bank!$C:$C,B172)="","",INDEX(Bank!$C:$C,B172)))</f>
        <v/>
      </c>
      <c r="G172" s="19" t="str">
        <f aca="false">IF(B172=0,"",INDEX(Bank!$E:$E,B172))</f>
        <v/>
      </c>
      <c r="H172" s="5" t="str">
        <f aca="false">IF(B172=0,"",IF(INDEX(Bank!$H:$H,B172)="","",INDEX(Bank!$H:$H,B172)))</f>
        <v/>
      </c>
      <c r="I172" s="5" t="n">
        <f aca="false">IF(H172="",0,IFERROR(MATCH(H172,GL!$A:$A,0),0))</f>
        <v>0</v>
      </c>
      <c r="J172" s="32" t="str">
        <f aca="false">IF(I172=0,"",INDEX(GL!$B:$B,I172))</f>
        <v/>
      </c>
      <c r="K172" s="5" t="str">
        <f aca="false">IF(I172=0,"",IF(INDEX(GL!$C:$C,I172)="","",INDEX(GL!$C:$C,I172)))</f>
        <v/>
      </c>
      <c r="L172" s="19" t="str">
        <f aca="false">IF(I172=0,"",INDEX(GL!$E:$E,I172))</f>
        <v/>
      </c>
      <c r="M172" s="19" t="str">
        <f aca="false">IF(OR(B172=0,I172=0),"",ROUND(G172-L172,2))</f>
        <v/>
      </c>
      <c r="N172" s="5" t="str">
        <f aca="false">IF(A172="","",IF(B172=0,"NOT FOUND: bank ID",IF(I172=0,"NOT FOUND: GL ID",IF(INDEX(GL!$H:$H,I172)&lt;&gt;A172,"BROKEN: GL points elsewhere",IF(OR(INDEX(Bank!$F:$F,B172)&lt;&gt;"Y",INDEX(GL!$F:$F,I172)&lt;&gt;"Y"),"BROKEN: Status not Y","OK")))))</f>
        <v/>
      </c>
    </row>
    <row r="173" customFormat="false" ht="15" hidden="false" customHeight="false" outlineLevel="0" collapsed="false">
      <c r="A173" s="41"/>
      <c r="B173" s="5" t="n">
        <f aca="false">IF(A173="",0,IFERROR(MATCH(A173,Bank!$A:$A,0),0))</f>
        <v>0</v>
      </c>
      <c r="C173" s="5" t="str">
        <f aca="false">IF(B173=0,"",IF(INDEX(Bank!$G:$G,B173)="","",INDEX(Bank!$G:$G,B173)))</f>
        <v/>
      </c>
      <c r="D173" s="5" t="str">
        <f aca="false">IF(B173=0,"",IF(INDEX(Bank!$J:$J,B173)="","",INDEX(Bank!$J:$J,B173)))</f>
        <v/>
      </c>
      <c r="E173" s="32" t="str">
        <f aca="false">IF(B173=0,"",INDEX(Bank!$B:$B,B173))</f>
        <v/>
      </c>
      <c r="F173" s="5" t="str">
        <f aca="false">IF(B173=0,"",IF(INDEX(Bank!$C:$C,B173)="","",INDEX(Bank!$C:$C,B173)))</f>
        <v/>
      </c>
      <c r="G173" s="19" t="str">
        <f aca="false">IF(B173=0,"",INDEX(Bank!$E:$E,B173))</f>
        <v/>
      </c>
      <c r="H173" s="5" t="str">
        <f aca="false">IF(B173=0,"",IF(INDEX(Bank!$H:$H,B173)="","",INDEX(Bank!$H:$H,B173)))</f>
        <v/>
      </c>
      <c r="I173" s="5" t="n">
        <f aca="false">IF(H173="",0,IFERROR(MATCH(H173,GL!$A:$A,0),0))</f>
        <v>0</v>
      </c>
      <c r="J173" s="32" t="str">
        <f aca="false">IF(I173=0,"",INDEX(GL!$B:$B,I173))</f>
        <v/>
      </c>
      <c r="K173" s="5" t="str">
        <f aca="false">IF(I173=0,"",IF(INDEX(GL!$C:$C,I173)="","",INDEX(GL!$C:$C,I173)))</f>
        <v/>
      </c>
      <c r="L173" s="19" t="str">
        <f aca="false">IF(I173=0,"",INDEX(GL!$E:$E,I173))</f>
        <v/>
      </c>
      <c r="M173" s="19" t="str">
        <f aca="false">IF(OR(B173=0,I173=0),"",ROUND(G173-L173,2))</f>
        <v/>
      </c>
      <c r="N173" s="5" t="str">
        <f aca="false">IF(A173="","",IF(B173=0,"NOT FOUND: bank ID",IF(I173=0,"NOT FOUND: GL ID",IF(INDEX(GL!$H:$H,I173)&lt;&gt;A173,"BROKEN: GL points elsewhere",IF(OR(INDEX(Bank!$F:$F,B173)&lt;&gt;"Y",INDEX(GL!$F:$F,I173)&lt;&gt;"Y"),"BROKEN: Status not Y","OK")))))</f>
        <v/>
      </c>
    </row>
    <row r="174" customFormat="false" ht="15" hidden="false" customHeight="false" outlineLevel="0" collapsed="false">
      <c r="A174" s="41"/>
      <c r="B174" s="5" t="n">
        <f aca="false">IF(A174="",0,IFERROR(MATCH(A174,Bank!$A:$A,0),0))</f>
        <v>0</v>
      </c>
      <c r="C174" s="5" t="str">
        <f aca="false">IF(B174=0,"",IF(INDEX(Bank!$G:$G,B174)="","",INDEX(Bank!$G:$G,B174)))</f>
        <v/>
      </c>
      <c r="D174" s="5" t="str">
        <f aca="false">IF(B174=0,"",IF(INDEX(Bank!$J:$J,B174)="","",INDEX(Bank!$J:$J,B174)))</f>
        <v/>
      </c>
      <c r="E174" s="32" t="str">
        <f aca="false">IF(B174=0,"",INDEX(Bank!$B:$B,B174))</f>
        <v/>
      </c>
      <c r="F174" s="5" t="str">
        <f aca="false">IF(B174=0,"",IF(INDEX(Bank!$C:$C,B174)="","",INDEX(Bank!$C:$C,B174)))</f>
        <v/>
      </c>
      <c r="G174" s="19" t="str">
        <f aca="false">IF(B174=0,"",INDEX(Bank!$E:$E,B174))</f>
        <v/>
      </c>
      <c r="H174" s="5" t="str">
        <f aca="false">IF(B174=0,"",IF(INDEX(Bank!$H:$H,B174)="","",INDEX(Bank!$H:$H,B174)))</f>
        <v/>
      </c>
      <c r="I174" s="5" t="n">
        <f aca="false">IF(H174="",0,IFERROR(MATCH(H174,GL!$A:$A,0),0))</f>
        <v>0</v>
      </c>
      <c r="J174" s="32" t="str">
        <f aca="false">IF(I174=0,"",INDEX(GL!$B:$B,I174))</f>
        <v/>
      </c>
      <c r="K174" s="5" t="str">
        <f aca="false">IF(I174=0,"",IF(INDEX(GL!$C:$C,I174)="","",INDEX(GL!$C:$C,I174)))</f>
        <v/>
      </c>
      <c r="L174" s="19" t="str">
        <f aca="false">IF(I174=0,"",INDEX(GL!$E:$E,I174))</f>
        <v/>
      </c>
      <c r="M174" s="19" t="str">
        <f aca="false">IF(OR(B174=0,I174=0),"",ROUND(G174-L174,2))</f>
        <v/>
      </c>
      <c r="N174" s="5" t="str">
        <f aca="false">IF(A174="","",IF(B174=0,"NOT FOUND: bank ID",IF(I174=0,"NOT FOUND: GL ID",IF(INDEX(GL!$H:$H,I174)&lt;&gt;A174,"BROKEN: GL points elsewhere",IF(OR(INDEX(Bank!$F:$F,B174)&lt;&gt;"Y",INDEX(GL!$F:$F,I174)&lt;&gt;"Y"),"BROKEN: Status not Y","OK")))))</f>
        <v/>
      </c>
    </row>
    <row r="175" customFormat="false" ht="15" hidden="false" customHeight="false" outlineLevel="0" collapsed="false">
      <c r="A175" s="41"/>
      <c r="B175" s="5" t="n">
        <f aca="false">IF(A175="",0,IFERROR(MATCH(A175,Bank!$A:$A,0),0))</f>
        <v>0</v>
      </c>
      <c r="C175" s="5" t="str">
        <f aca="false">IF(B175=0,"",IF(INDEX(Bank!$G:$G,B175)="","",INDEX(Bank!$G:$G,B175)))</f>
        <v/>
      </c>
      <c r="D175" s="5" t="str">
        <f aca="false">IF(B175=0,"",IF(INDEX(Bank!$J:$J,B175)="","",INDEX(Bank!$J:$J,B175)))</f>
        <v/>
      </c>
      <c r="E175" s="32" t="str">
        <f aca="false">IF(B175=0,"",INDEX(Bank!$B:$B,B175))</f>
        <v/>
      </c>
      <c r="F175" s="5" t="str">
        <f aca="false">IF(B175=0,"",IF(INDEX(Bank!$C:$C,B175)="","",INDEX(Bank!$C:$C,B175)))</f>
        <v/>
      </c>
      <c r="G175" s="19" t="str">
        <f aca="false">IF(B175=0,"",INDEX(Bank!$E:$E,B175))</f>
        <v/>
      </c>
      <c r="H175" s="5" t="str">
        <f aca="false">IF(B175=0,"",IF(INDEX(Bank!$H:$H,B175)="","",INDEX(Bank!$H:$H,B175)))</f>
        <v/>
      </c>
      <c r="I175" s="5" t="n">
        <f aca="false">IF(H175="",0,IFERROR(MATCH(H175,GL!$A:$A,0),0))</f>
        <v>0</v>
      </c>
      <c r="J175" s="32" t="str">
        <f aca="false">IF(I175=0,"",INDEX(GL!$B:$B,I175))</f>
        <v/>
      </c>
      <c r="K175" s="5" t="str">
        <f aca="false">IF(I175=0,"",IF(INDEX(GL!$C:$C,I175)="","",INDEX(GL!$C:$C,I175)))</f>
        <v/>
      </c>
      <c r="L175" s="19" t="str">
        <f aca="false">IF(I175=0,"",INDEX(GL!$E:$E,I175))</f>
        <v/>
      </c>
      <c r="M175" s="19" t="str">
        <f aca="false">IF(OR(B175=0,I175=0),"",ROUND(G175-L175,2))</f>
        <v/>
      </c>
      <c r="N175" s="5" t="str">
        <f aca="false">IF(A175="","",IF(B175=0,"NOT FOUND: bank ID",IF(I175=0,"NOT FOUND: GL ID",IF(INDEX(GL!$H:$H,I175)&lt;&gt;A175,"BROKEN: GL points elsewhere",IF(OR(INDEX(Bank!$F:$F,B175)&lt;&gt;"Y",INDEX(GL!$F:$F,I175)&lt;&gt;"Y"),"BROKEN: Status not Y","OK")))))</f>
        <v/>
      </c>
    </row>
    <row r="176" customFormat="false" ht="15" hidden="false" customHeight="false" outlineLevel="0" collapsed="false">
      <c r="A176" s="41"/>
      <c r="B176" s="5" t="n">
        <f aca="false">IF(A176="",0,IFERROR(MATCH(A176,Bank!$A:$A,0),0))</f>
        <v>0</v>
      </c>
      <c r="C176" s="5" t="str">
        <f aca="false">IF(B176=0,"",IF(INDEX(Bank!$G:$G,B176)="","",INDEX(Bank!$G:$G,B176)))</f>
        <v/>
      </c>
      <c r="D176" s="5" t="str">
        <f aca="false">IF(B176=0,"",IF(INDEX(Bank!$J:$J,B176)="","",INDEX(Bank!$J:$J,B176)))</f>
        <v/>
      </c>
      <c r="E176" s="32" t="str">
        <f aca="false">IF(B176=0,"",INDEX(Bank!$B:$B,B176))</f>
        <v/>
      </c>
      <c r="F176" s="5" t="str">
        <f aca="false">IF(B176=0,"",IF(INDEX(Bank!$C:$C,B176)="","",INDEX(Bank!$C:$C,B176)))</f>
        <v/>
      </c>
      <c r="G176" s="19" t="str">
        <f aca="false">IF(B176=0,"",INDEX(Bank!$E:$E,B176))</f>
        <v/>
      </c>
      <c r="H176" s="5" t="str">
        <f aca="false">IF(B176=0,"",IF(INDEX(Bank!$H:$H,B176)="","",INDEX(Bank!$H:$H,B176)))</f>
        <v/>
      </c>
      <c r="I176" s="5" t="n">
        <f aca="false">IF(H176="",0,IFERROR(MATCH(H176,GL!$A:$A,0),0))</f>
        <v>0</v>
      </c>
      <c r="J176" s="32" t="str">
        <f aca="false">IF(I176=0,"",INDEX(GL!$B:$B,I176))</f>
        <v/>
      </c>
      <c r="K176" s="5" t="str">
        <f aca="false">IF(I176=0,"",IF(INDEX(GL!$C:$C,I176)="","",INDEX(GL!$C:$C,I176)))</f>
        <v/>
      </c>
      <c r="L176" s="19" t="str">
        <f aca="false">IF(I176=0,"",INDEX(GL!$E:$E,I176))</f>
        <v/>
      </c>
      <c r="M176" s="19" t="str">
        <f aca="false">IF(OR(B176=0,I176=0),"",ROUND(G176-L176,2))</f>
        <v/>
      </c>
      <c r="N176" s="5" t="str">
        <f aca="false">IF(A176="","",IF(B176=0,"NOT FOUND: bank ID",IF(I176=0,"NOT FOUND: GL ID",IF(INDEX(GL!$H:$H,I176)&lt;&gt;A176,"BROKEN: GL points elsewhere",IF(OR(INDEX(Bank!$F:$F,B176)&lt;&gt;"Y",INDEX(GL!$F:$F,I176)&lt;&gt;"Y"),"BROKEN: Status not Y","OK")))))</f>
        <v/>
      </c>
    </row>
    <row r="177" customFormat="false" ht="15" hidden="false" customHeight="false" outlineLevel="0" collapsed="false">
      <c r="A177" s="41"/>
      <c r="B177" s="5" t="n">
        <f aca="false">IF(A177="",0,IFERROR(MATCH(A177,Bank!$A:$A,0),0))</f>
        <v>0</v>
      </c>
      <c r="C177" s="5" t="str">
        <f aca="false">IF(B177=0,"",IF(INDEX(Bank!$G:$G,B177)="","",INDEX(Bank!$G:$G,B177)))</f>
        <v/>
      </c>
      <c r="D177" s="5" t="str">
        <f aca="false">IF(B177=0,"",IF(INDEX(Bank!$J:$J,B177)="","",INDEX(Bank!$J:$J,B177)))</f>
        <v/>
      </c>
      <c r="E177" s="32" t="str">
        <f aca="false">IF(B177=0,"",INDEX(Bank!$B:$B,B177))</f>
        <v/>
      </c>
      <c r="F177" s="5" t="str">
        <f aca="false">IF(B177=0,"",IF(INDEX(Bank!$C:$C,B177)="","",INDEX(Bank!$C:$C,B177)))</f>
        <v/>
      </c>
      <c r="G177" s="19" t="str">
        <f aca="false">IF(B177=0,"",INDEX(Bank!$E:$E,B177))</f>
        <v/>
      </c>
      <c r="H177" s="5" t="str">
        <f aca="false">IF(B177=0,"",IF(INDEX(Bank!$H:$H,B177)="","",INDEX(Bank!$H:$H,B177)))</f>
        <v/>
      </c>
      <c r="I177" s="5" t="n">
        <f aca="false">IF(H177="",0,IFERROR(MATCH(H177,GL!$A:$A,0),0))</f>
        <v>0</v>
      </c>
      <c r="J177" s="32" t="str">
        <f aca="false">IF(I177=0,"",INDEX(GL!$B:$B,I177))</f>
        <v/>
      </c>
      <c r="K177" s="5" t="str">
        <f aca="false">IF(I177=0,"",IF(INDEX(GL!$C:$C,I177)="","",INDEX(GL!$C:$C,I177)))</f>
        <v/>
      </c>
      <c r="L177" s="19" t="str">
        <f aca="false">IF(I177=0,"",INDEX(GL!$E:$E,I177))</f>
        <v/>
      </c>
      <c r="M177" s="19" t="str">
        <f aca="false">IF(OR(B177=0,I177=0),"",ROUND(G177-L177,2))</f>
        <v/>
      </c>
      <c r="N177" s="5" t="str">
        <f aca="false">IF(A177="","",IF(B177=0,"NOT FOUND: bank ID",IF(I177=0,"NOT FOUND: GL ID",IF(INDEX(GL!$H:$H,I177)&lt;&gt;A177,"BROKEN: GL points elsewhere",IF(OR(INDEX(Bank!$F:$F,B177)&lt;&gt;"Y",INDEX(GL!$F:$F,I177)&lt;&gt;"Y"),"BROKEN: Status not Y","OK")))))</f>
        <v/>
      </c>
    </row>
    <row r="178" customFormat="false" ht="15" hidden="false" customHeight="false" outlineLevel="0" collapsed="false">
      <c r="A178" s="41"/>
      <c r="B178" s="5" t="n">
        <f aca="false">IF(A178="",0,IFERROR(MATCH(A178,Bank!$A:$A,0),0))</f>
        <v>0</v>
      </c>
      <c r="C178" s="5" t="str">
        <f aca="false">IF(B178=0,"",IF(INDEX(Bank!$G:$G,B178)="","",INDEX(Bank!$G:$G,B178)))</f>
        <v/>
      </c>
      <c r="D178" s="5" t="str">
        <f aca="false">IF(B178=0,"",IF(INDEX(Bank!$J:$J,B178)="","",INDEX(Bank!$J:$J,B178)))</f>
        <v/>
      </c>
      <c r="E178" s="32" t="str">
        <f aca="false">IF(B178=0,"",INDEX(Bank!$B:$B,B178))</f>
        <v/>
      </c>
      <c r="F178" s="5" t="str">
        <f aca="false">IF(B178=0,"",IF(INDEX(Bank!$C:$C,B178)="","",INDEX(Bank!$C:$C,B178)))</f>
        <v/>
      </c>
      <c r="G178" s="19" t="str">
        <f aca="false">IF(B178=0,"",INDEX(Bank!$E:$E,B178))</f>
        <v/>
      </c>
      <c r="H178" s="5" t="str">
        <f aca="false">IF(B178=0,"",IF(INDEX(Bank!$H:$H,B178)="","",INDEX(Bank!$H:$H,B178)))</f>
        <v/>
      </c>
      <c r="I178" s="5" t="n">
        <f aca="false">IF(H178="",0,IFERROR(MATCH(H178,GL!$A:$A,0),0))</f>
        <v>0</v>
      </c>
      <c r="J178" s="32" t="str">
        <f aca="false">IF(I178=0,"",INDEX(GL!$B:$B,I178))</f>
        <v/>
      </c>
      <c r="K178" s="5" t="str">
        <f aca="false">IF(I178=0,"",IF(INDEX(GL!$C:$C,I178)="","",INDEX(GL!$C:$C,I178)))</f>
        <v/>
      </c>
      <c r="L178" s="19" t="str">
        <f aca="false">IF(I178=0,"",INDEX(GL!$E:$E,I178))</f>
        <v/>
      </c>
      <c r="M178" s="19" t="str">
        <f aca="false">IF(OR(B178=0,I178=0),"",ROUND(G178-L178,2))</f>
        <v/>
      </c>
      <c r="N178" s="5" t="str">
        <f aca="false">IF(A178="","",IF(B178=0,"NOT FOUND: bank ID",IF(I178=0,"NOT FOUND: GL ID",IF(INDEX(GL!$H:$H,I178)&lt;&gt;A178,"BROKEN: GL points elsewhere",IF(OR(INDEX(Bank!$F:$F,B178)&lt;&gt;"Y",INDEX(GL!$F:$F,I178)&lt;&gt;"Y"),"BROKEN: Status not Y","OK")))))</f>
        <v/>
      </c>
    </row>
    <row r="179" customFormat="false" ht="15" hidden="false" customHeight="false" outlineLevel="0" collapsed="false">
      <c r="A179" s="41"/>
      <c r="B179" s="5" t="n">
        <f aca="false">IF(A179="",0,IFERROR(MATCH(A179,Bank!$A:$A,0),0))</f>
        <v>0</v>
      </c>
      <c r="C179" s="5" t="str">
        <f aca="false">IF(B179=0,"",IF(INDEX(Bank!$G:$G,B179)="","",INDEX(Bank!$G:$G,B179)))</f>
        <v/>
      </c>
      <c r="D179" s="5" t="str">
        <f aca="false">IF(B179=0,"",IF(INDEX(Bank!$J:$J,B179)="","",INDEX(Bank!$J:$J,B179)))</f>
        <v/>
      </c>
      <c r="E179" s="32" t="str">
        <f aca="false">IF(B179=0,"",INDEX(Bank!$B:$B,B179))</f>
        <v/>
      </c>
      <c r="F179" s="5" t="str">
        <f aca="false">IF(B179=0,"",IF(INDEX(Bank!$C:$C,B179)="","",INDEX(Bank!$C:$C,B179)))</f>
        <v/>
      </c>
      <c r="G179" s="19" t="str">
        <f aca="false">IF(B179=0,"",INDEX(Bank!$E:$E,B179))</f>
        <v/>
      </c>
      <c r="H179" s="5" t="str">
        <f aca="false">IF(B179=0,"",IF(INDEX(Bank!$H:$H,B179)="","",INDEX(Bank!$H:$H,B179)))</f>
        <v/>
      </c>
      <c r="I179" s="5" t="n">
        <f aca="false">IF(H179="",0,IFERROR(MATCH(H179,GL!$A:$A,0),0))</f>
        <v>0</v>
      </c>
      <c r="J179" s="32" t="str">
        <f aca="false">IF(I179=0,"",INDEX(GL!$B:$B,I179))</f>
        <v/>
      </c>
      <c r="K179" s="5" t="str">
        <f aca="false">IF(I179=0,"",IF(INDEX(GL!$C:$C,I179)="","",INDEX(GL!$C:$C,I179)))</f>
        <v/>
      </c>
      <c r="L179" s="19" t="str">
        <f aca="false">IF(I179=0,"",INDEX(GL!$E:$E,I179))</f>
        <v/>
      </c>
      <c r="M179" s="19" t="str">
        <f aca="false">IF(OR(B179=0,I179=0),"",ROUND(G179-L179,2))</f>
        <v/>
      </c>
      <c r="N179" s="5" t="str">
        <f aca="false">IF(A179="","",IF(B179=0,"NOT FOUND: bank ID",IF(I179=0,"NOT FOUND: GL ID",IF(INDEX(GL!$H:$H,I179)&lt;&gt;A179,"BROKEN: GL points elsewhere",IF(OR(INDEX(Bank!$F:$F,B179)&lt;&gt;"Y",INDEX(GL!$F:$F,I179)&lt;&gt;"Y"),"BROKEN: Status not Y","OK")))))</f>
        <v/>
      </c>
    </row>
    <row r="180" customFormat="false" ht="15" hidden="false" customHeight="false" outlineLevel="0" collapsed="false">
      <c r="A180" s="41"/>
      <c r="B180" s="5" t="n">
        <f aca="false">IF(A180="",0,IFERROR(MATCH(A180,Bank!$A:$A,0),0))</f>
        <v>0</v>
      </c>
      <c r="C180" s="5" t="str">
        <f aca="false">IF(B180=0,"",IF(INDEX(Bank!$G:$G,B180)="","",INDEX(Bank!$G:$G,B180)))</f>
        <v/>
      </c>
      <c r="D180" s="5" t="str">
        <f aca="false">IF(B180=0,"",IF(INDEX(Bank!$J:$J,B180)="","",INDEX(Bank!$J:$J,B180)))</f>
        <v/>
      </c>
      <c r="E180" s="32" t="str">
        <f aca="false">IF(B180=0,"",INDEX(Bank!$B:$B,B180))</f>
        <v/>
      </c>
      <c r="F180" s="5" t="str">
        <f aca="false">IF(B180=0,"",IF(INDEX(Bank!$C:$C,B180)="","",INDEX(Bank!$C:$C,B180)))</f>
        <v/>
      </c>
      <c r="G180" s="19" t="str">
        <f aca="false">IF(B180=0,"",INDEX(Bank!$E:$E,B180))</f>
        <v/>
      </c>
      <c r="H180" s="5" t="str">
        <f aca="false">IF(B180=0,"",IF(INDEX(Bank!$H:$H,B180)="","",INDEX(Bank!$H:$H,B180)))</f>
        <v/>
      </c>
      <c r="I180" s="5" t="n">
        <f aca="false">IF(H180="",0,IFERROR(MATCH(H180,GL!$A:$A,0),0))</f>
        <v>0</v>
      </c>
      <c r="J180" s="32" t="str">
        <f aca="false">IF(I180=0,"",INDEX(GL!$B:$B,I180))</f>
        <v/>
      </c>
      <c r="K180" s="5" t="str">
        <f aca="false">IF(I180=0,"",IF(INDEX(GL!$C:$C,I180)="","",INDEX(GL!$C:$C,I180)))</f>
        <v/>
      </c>
      <c r="L180" s="19" t="str">
        <f aca="false">IF(I180=0,"",INDEX(GL!$E:$E,I180))</f>
        <v/>
      </c>
      <c r="M180" s="19" t="str">
        <f aca="false">IF(OR(B180=0,I180=0),"",ROUND(G180-L180,2))</f>
        <v/>
      </c>
      <c r="N180" s="5" t="str">
        <f aca="false">IF(A180="","",IF(B180=0,"NOT FOUND: bank ID",IF(I180=0,"NOT FOUND: GL ID",IF(INDEX(GL!$H:$H,I180)&lt;&gt;A180,"BROKEN: GL points elsewhere",IF(OR(INDEX(Bank!$F:$F,B180)&lt;&gt;"Y",INDEX(GL!$F:$F,I180)&lt;&gt;"Y"),"BROKEN: Status not Y","OK")))))</f>
        <v/>
      </c>
    </row>
    <row r="181" customFormat="false" ht="15" hidden="false" customHeight="false" outlineLevel="0" collapsed="false">
      <c r="A181" s="41"/>
      <c r="B181" s="5" t="n">
        <f aca="false">IF(A181="",0,IFERROR(MATCH(A181,Bank!$A:$A,0),0))</f>
        <v>0</v>
      </c>
      <c r="C181" s="5" t="str">
        <f aca="false">IF(B181=0,"",IF(INDEX(Bank!$G:$G,B181)="","",INDEX(Bank!$G:$G,B181)))</f>
        <v/>
      </c>
      <c r="D181" s="5" t="str">
        <f aca="false">IF(B181=0,"",IF(INDEX(Bank!$J:$J,B181)="","",INDEX(Bank!$J:$J,B181)))</f>
        <v/>
      </c>
      <c r="E181" s="32" t="str">
        <f aca="false">IF(B181=0,"",INDEX(Bank!$B:$B,B181))</f>
        <v/>
      </c>
      <c r="F181" s="5" t="str">
        <f aca="false">IF(B181=0,"",IF(INDEX(Bank!$C:$C,B181)="","",INDEX(Bank!$C:$C,B181)))</f>
        <v/>
      </c>
      <c r="G181" s="19" t="str">
        <f aca="false">IF(B181=0,"",INDEX(Bank!$E:$E,B181))</f>
        <v/>
      </c>
      <c r="H181" s="5" t="str">
        <f aca="false">IF(B181=0,"",IF(INDEX(Bank!$H:$H,B181)="","",INDEX(Bank!$H:$H,B181)))</f>
        <v/>
      </c>
      <c r="I181" s="5" t="n">
        <f aca="false">IF(H181="",0,IFERROR(MATCH(H181,GL!$A:$A,0),0))</f>
        <v>0</v>
      </c>
      <c r="J181" s="32" t="str">
        <f aca="false">IF(I181=0,"",INDEX(GL!$B:$B,I181))</f>
        <v/>
      </c>
      <c r="K181" s="5" t="str">
        <f aca="false">IF(I181=0,"",IF(INDEX(GL!$C:$C,I181)="","",INDEX(GL!$C:$C,I181)))</f>
        <v/>
      </c>
      <c r="L181" s="19" t="str">
        <f aca="false">IF(I181=0,"",INDEX(GL!$E:$E,I181))</f>
        <v/>
      </c>
      <c r="M181" s="19" t="str">
        <f aca="false">IF(OR(B181=0,I181=0),"",ROUND(G181-L181,2))</f>
        <v/>
      </c>
      <c r="N181" s="5" t="str">
        <f aca="false">IF(A181="","",IF(B181=0,"NOT FOUND: bank ID",IF(I181=0,"NOT FOUND: GL ID",IF(INDEX(GL!$H:$H,I181)&lt;&gt;A181,"BROKEN: GL points elsewhere",IF(OR(INDEX(Bank!$F:$F,B181)&lt;&gt;"Y",INDEX(GL!$F:$F,I181)&lt;&gt;"Y"),"BROKEN: Status not Y","OK")))))</f>
        <v/>
      </c>
    </row>
    <row r="182" customFormat="false" ht="15" hidden="false" customHeight="false" outlineLevel="0" collapsed="false">
      <c r="A182" s="41"/>
      <c r="B182" s="5" t="n">
        <f aca="false">IF(A182="",0,IFERROR(MATCH(A182,Bank!$A:$A,0),0))</f>
        <v>0</v>
      </c>
      <c r="C182" s="5" t="str">
        <f aca="false">IF(B182=0,"",IF(INDEX(Bank!$G:$G,B182)="","",INDEX(Bank!$G:$G,B182)))</f>
        <v/>
      </c>
      <c r="D182" s="5" t="str">
        <f aca="false">IF(B182=0,"",IF(INDEX(Bank!$J:$J,B182)="","",INDEX(Bank!$J:$J,B182)))</f>
        <v/>
      </c>
      <c r="E182" s="32" t="str">
        <f aca="false">IF(B182=0,"",INDEX(Bank!$B:$B,B182))</f>
        <v/>
      </c>
      <c r="F182" s="5" t="str">
        <f aca="false">IF(B182=0,"",IF(INDEX(Bank!$C:$C,B182)="","",INDEX(Bank!$C:$C,B182)))</f>
        <v/>
      </c>
      <c r="G182" s="19" t="str">
        <f aca="false">IF(B182=0,"",INDEX(Bank!$E:$E,B182))</f>
        <v/>
      </c>
      <c r="H182" s="5" t="str">
        <f aca="false">IF(B182=0,"",IF(INDEX(Bank!$H:$H,B182)="","",INDEX(Bank!$H:$H,B182)))</f>
        <v/>
      </c>
      <c r="I182" s="5" t="n">
        <f aca="false">IF(H182="",0,IFERROR(MATCH(H182,GL!$A:$A,0),0))</f>
        <v>0</v>
      </c>
      <c r="J182" s="32" t="str">
        <f aca="false">IF(I182=0,"",INDEX(GL!$B:$B,I182))</f>
        <v/>
      </c>
      <c r="K182" s="5" t="str">
        <f aca="false">IF(I182=0,"",IF(INDEX(GL!$C:$C,I182)="","",INDEX(GL!$C:$C,I182)))</f>
        <v/>
      </c>
      <c r="L182" s="19" t="str">
        <f aca="false">IF(I182=0,"",INDEX(GL!$E:$E,I182))</f>
        <v/>
      </c>
      <c r="M182" s="19" t="str">
        <f aca="false">IF(OR(B182=0,I182=0),"",ROUND(G182-L182,2))</f>
        <v/>
      </c>
      <c r="N182" s="5" t="str">
        <f aca="false">IF(A182="","",IF(B182=0,"NOT FOUND: bank ID",IF(I182=0,"NOT FOUND: GL ID",IF(INDEX(GL!$H:$H,I182)&lt;&gt;A182,"BROKEN: GL points elsewhere",IF(OR(INDEX(Bank!$F:$F,B182)&lt;&gt;"Y",INDEX(GL!$F:$F,I182)&lt;&gt;"Y"),"BROKEN: Status not Y","OK")))))</f>
        <v/>
      </c>
    </row>
    <row r="183" customFormat="false" ht="15" hidden="false" customHeight="false" outlineLevel="0" collapsed="false">
      <c r="A183" s="41"/>
      <c r="B183" s="5" t="n">
        <f aca="false">IF(A183="",0,IFERROR(MATCH(A183,Bank!$A:$A,0),0))</f>
        <v>0</v>
      </c>
      <c r="C183" s="5" t="str">
        <f aca="false">IF(B183=0,"",IF(INDEX(Bank!$G:$G,B183)="","",INDEX(Bank!$G:$G,B183)))</f>
        <v/>
      </c>
      <c r="D183" s="5" t="str">
        <f aca="false">IF(B183=0,"",IF(INDEX(Bank!$J:$J,B183)="","",INDEX(Bank!$J:$J,B183)))</f>
        <v/>
      </c>
      <c r="E183" s="32" t="str">
        <f aca="false">IF(B183=0,"",INDEX(Bank!$B:$B,B183))</f>
        <v/>
      </c>
      <c r="F183" s="5" t="str">
        <f aca="false">IF(B183=0,"",IF(INDEX(Bank!$C:$C,B183)="","",INDEX(Bank!$C:$C,B183)))</f>
        <v/>
      </c>
      <c r="G183" s="19" t="str">
        <f aca="false">IF(B183=0,"",INDEX(Bank!$E:$E,B183))</f>
        <v/>
      </c>
      <c r="H183" s="5" t="str">
        <f aca="false">IF(B183=0,"",IF(INDEX(Bank!$H:$H,B183)="","",INDEX(Bank!$H:$H,B183)))</f>
        <v/>
      </c>
      <c r="I183" s="5" t="n">
        <f aca="false">IF(H183="",0,IFERROR(MATCH(H183,GL!$A:$A,0),0))</f>
        <v>0</v>
      </c>
      <c r="J183" s="32" t="str">
        <f aca="false">IF(I183=0,"",INDEX(GL!$B:$B,I183))</f>
        <v/>
      </c>
      <c r="K183" s="5" t="str">
        <f aca="false">IF(I183=0,"",IF(INDEX(GL!$C:$C,I183)="","",INDEX(GL!$C:$C,I183)))</f>
        <v/>
      </c>
      <c r="L183" s="19" t="str">
        <f aca="false">IF(I183=0,"",INDEX(GL!$E:$E,I183))</f>
        <v/>
      </c>
      <c r="M183" s="19" t="str">
        <f aca="false">IF(OR(B183=0,I183=0),"",ROUND(G183-L183,2))</f>
        <v/>
      </c>
      <c r="N183" s="5" t="str">
        <f aca="false">IF(A183="","",IF(B183=0,"NOT FOUND: bank ID",IF(I183=0,"NOT FOUND: GL ID",IF(INDEX(GL!$H:$H,I183)&lt;&gt;A183,"BROKEN: GL points elsewhere",IF(OR(INDEX(Bank!$F:$F,B183)&lt;&gt;"Y",INDEX(GL!$F:$F,I183)&lt;&gt;"Y"),"BROKEN: Status not Y","OK")))))</f>
        <v/>
      </c>
    </row>
    <row r="184" customFormat="false" ht="15" hidden="false" customHeight="false" outlineLevel="0" collapsed="false">
      <c r="A184" s="41"/>
      <c r="B184" s="5" t="n">
        <f aca="false">IF(A184="",0,IFERROR(MATCH(A184,Bank!$A:$A,0),0))</f>
        <v>0</v>
      </c>
      <c r="C184" s="5" t="str">
        <f aca="false">IF(B184=0,"",IF(INDEX(Bank!$G:$G,B184)="","",INDEX(Bank!$G:$G,B184)))</f>
        <v/>
      </c>
      <c r="D184" s="5" t="str">
        <f aca="false">IF(B184=0,"",IF(INDEX(Bank!$J:$J,B184)="","",INDEX(Bank!$J:$J,B184)))</f>
        <v/>
      </c>
      <c r="E184" s="32" t="str">
        <f aca="false">IF(B184=0,"",INDEX(Bank!$B:$B,B184))</f>
        <v/>
      </c>
      <c r="F184" s="5" t="str">
        <f aca="false">IF(B184=0,"",IF(INDEX(Bank!$C:$C,B184)="","",INDEX(Bank!$C:$C,B184)))</f>
        <v/>
      </c>
      <c r="G184" s="19" t="str">
        <f aca="false">IF(B184=0,"",INDEX(Bank!$E:$E,B184))</f>
        <v/>
      </c>
      <c r="H184" s="5" t="str">
        <f aca="false">IF(B184=0,"",IF(INDEX(Bank!$H:$H,B184)="","",INDEX(Bank!$H:$H,B184)))</f>
        <v/>
      </c>
      <c r="I184" s="5" t="n">
        <f aca="false">IF(H184="",0,IFERROR(MATCH(H184,GL!$A:$A,0),0))</f>
        <v>0</v>
      </c>
      <c r="J184" s="32" t="str">
        <f aca="false">IF(I184=0,"",INDEX(GL!$B:$B,I184))</f>
        <v/>
      </c>
      <c r="K184" s="5" t="str">
        <f aca="false">IF(I184=0,"",IF(INDEX(GL!$C:$C,I184)="","",INDEX(GL!$C:$C,I184)))</f>
        <v/>
      </c>
      <c r="L184" s="19" t="str">
        <f aca="false">IF(I184=0,"",INDEX(GL!$E:$E,I184))</f>
        <v/>
      </c>
      <c r="M184" s="19" t="str">
        <f aca="false">IF(OR(B184=0,I184=0),"",ROUND(G184-L184,2))</f>
        <v/>
      </c>
      <c r="N184" s="5" t="str">
        <f aca="false">IF(A184="","",IF(B184=0,"NOT FOUND: bank ID",IF(I184=0,"NOT FOUND: GL ID",IF(INDEX(GL!$H:$H,I184)&lt;&gt;A184,"BROKEN: GL points elsewhere",IF(OR(INDEX(Bank!$F:$F,B184)&lt;&gt;"Y",INDEX(GL!$F:$F,I184)&lt;&gt;"Y"),"BROKEN: Status not Y","OK")))))</f>
        <v/>
      </c>
    </row>
    <row r="185" customFormat="false" ht="15" hidden="false" customHeight="false" outlineLevel="0" collapsed="false">
      <c r="A185" s="41"/>
      <c r="B185" s="5" t="n">
        <f aca="false">IF(A185="",0,IFERROR(MATCH(A185,Bank!$A:$A,0),0))</f>
        <v>0</v>
      </c>
      <c r="C185" s="5" t="str">
        <f aca="false">IF(B185=0,"",IF(INDEX(Bank!$G:$G,B185)="","",INDEX(Bank!$G:$G,B185)))</f>
        <v/>
      </c>
      <c r="D185" s="5" t="str">
        <f aca="false">IF(B185=0,"",IF(INDEX(Bank!$J:$J,B185)="","",INDEX(Bank!$J:$J,B185)))</f>
        <v/>
      </c>
      <c r="E185" s="32" t="str">
        <f aca="false">IF(B185=0,"",INDEX(Bank!$B:$B,B185))</f>
        <v/>
      </c>
      <c r="F185" s="5" t="str">
        <f aca="false">IF(B185=0,"",IF(INDEX(Bank!$C:$C,B185)="","",INDEX(Bank!$C:$C,B185)))</f>
        <v/>
      </c>
      <c r="G185" s="19" t="str">
        <f aca="false">IF(B185=0,"",INDEX(Bank!$E:$E,B185))</f>
        <v/>
      </c>
      <c r="H185" s="5" t="str">
        <f aca="false">IF(B185=0,"",IF(INDEX(Bank!$H:$H,B185)="","",INDEX(Bank!$H:$H,B185)))</f>
        <v/>
      </c>
      <c r="I185" s="5" t="n">
        <f aca="false">IF(H185="",0,IFERROR(MATCH(H185,GL!$A:$A,0),0))</f>
        <v>0</v>
      </c>
      <c r="J185" s="32" t="str">
        <f aca="false">IF(I185=0,"",INDEX(GL!$B:$B,I185))</f>
        <v/>
      </c>
      <c r="K185" s="5" t="str">
        <f aca="false">IF(I185=0,"",IF(INDEX(GL!$C:$C,I185)="","",INDEX(GL!$C:$C,I185)))</f>
        <v/>
      </c>
      <c r="L185" s="19" t="str">
        <f aca="false">IF(I185=0,"",INDEX(GL!$E:$E,I185))</f>
        <v/>
      </c>
      <c r="M185" s="19" t="str">
        <f aca="false">IF(OR(B185=0,I185=0),"",ROUND(G185-L185,2))</f>
        <v/>
      </c>
      <c r="N185" s="5" t="str">
        <f aca="false">IF(A185="","",IF(B185=0,"NOT FOUND: bank ID",IF(I185=0,"NOT FOUND: GL ID",IF(INDEX(GL!$H:$H,I185)&lt;&gt;A185,"BROKEN: GL points elsewhere",IF(OR(INDEX(Bank!$F:$F,B185)&lt;&gt;"Y",INDEX(GL!$F:$F,I185)&lt;&gt;"Y"),"BROKEN: Status not Y","OK")))))</f>
        <v/>
      </c>
    </row>
    <row r="186" customFormat="false" ht="15" hidden="false" customHeight="false" outlineLevel="0" collapsed="false">
      <c r="A186" s="41"/>
      <c r="B186" s="5" t="n">
        <f aca="false">IF(A186="",0,IFERROR(MATCH(A186,Bank!$A:$A,0),0))</f>
        <v>0</v>
      </c>
      <c r="C186" s="5" t="str">
        <f aca="false">IF(B186=0,"",IF(INDEX(Bank!$G:$G,B186)="","",INDEX(Bank!$G:$G,B186)))</f>
        <v/>
      </c>
      <c r="D186" s="5" t="str">
        <f aca="false">IF(B186=0,"",IF(INDEX(Bank!$J:$J,B186)="","",INDEX(Bank!$J:$J,B186)))</f>
        <v/>
      </c>
      <c r="E186" s="32" t="str">
        <f aca="false">IF(B186=0,"",INDEX(Bank!$B:$B,B186))</f>
        <v/>
      </c>
      <c r="F186" s="5" t="str">
        <f aca="false">IF(B186=0,"",IF(INDEX(Bank!$C:$C,B186)="","",INDEX(Bank!$C:$C,B186)))</f>
        <v/>
      </c>
      <c r="G186" s="19" t="str">
        <f aca="false">IF(B186=0,"",INDEX(Bank!$E:$E,B186))</f>
        <v/>
      </c>
      <c r="H186" s="5" t="str">
        <f aca="false">IF(B186=0,"",IF(INDEX(Bank!$H:$H,B186)="","",INDEX(Bank!$H:$H,B186)))</f>
        <v/>
      </c>
      <c r="I186" s="5" t="n">
        <f aca="false">IF(H186="",0,IFERROR(MATCH(H186,GL!$A:$A,0),0))</f>
        <v>0</v>
      </c>
      <c r="J186" s="32" t="str">
        <f aca="false">IF(I186=0,"",INDEX(GL!$B:$B,I186))</f>
        <v/>
      </c>
      <c r="K186" s="5" t="str">
        <f aca="false">IF(I186=0,"",IF(INDEX(GL!$C:$C,I186)="","",INDEX(GL!$C:$C,I186)))</f>
        <v/>
      </c>
      <c r="L186" s="19" t="str">
        <f aca="false">IF(I186=0,"",INDEX(GL!$E:$E,I186))</f>
        <v/>
      </c>
      <c r="M186" s="19" t="str">
        <f aca="false">IF(OR(B186=0,I186=0),"",ROUND(G186-L186,2))</f>
        <v/>
      </c>
      <c r="N186" s="5" t="str">
        <f aca="false">IF(A186="","",IF(B186=0,"NOT FOUND: bank ID",IF(I186=0,"NOT FOUND: GL ID",IF(INDEX(GL!$H:$H,I186)&lt;&gt;A186,"BROKEN: GL points elsewhere",IF(OR(INDEX(Bank!$F:$F,B186)&lt;&gt;"Y",INDEX(GL!$F:$F,I186)&lt;&gt;"Y"),"BROKEN: Status not Y","OK")))))</f>
        <v/>
      </c>
    </row>
    <row r="187" customFormat="false" ht="15" hidden="false" customHeight="false" outlineLevel="0" collapsed="false">
      <c r="A187" s="41"/>
      <c r="B187" s="5" t="n">
        <f aca="false">IF(A187="",0,IFERROR(MATCH(A187,Bank!$A:$A,0),0))</f>
        <v>0</v>
      </c>
      <c r="C187" s="5" t="str">
        <f aca="false">IF(B187=0,"",IF(INDEX(Bank!$G:$G,B187)="","",INDEX(Bank!$G:$G,B187)))</f>
        <v/>
      </c>
      <c r="D187" s="5" t="str">
        <f aca="false">IF(B187=0,"",IF(INDEX(Bank!$J:$J,B187)="","",INDEX(Bank!$J:$J,B187)))</f>
        <v/>
      </c>
      <c r="E187" s="32" t="str">
        <f aca="false">IF(B187=0,"",INDEX(Bank!$B:$B,B187))</f>
        <v/>
      </c>
      <c r="F187" s="5" t="str">
        <f aca="false">IF(B187=0,"",IF(INDEX(Bank!$C:$C,B187)="","",INDEX(Bank!$C:$C,B187)))</f>
        <v/>
      </c>
      <c r="G187" s="19" t="str">
        <f aca="false">IF(B187=0,"",INDEX(Bank!$E:$E,B187))</f>
        <v/>
      </c>
      <c r="H187" s="5" t="str">
        <f aca="false">IF(B187=0,"",IF(INDEX(Bank!$H:$H,B187)="","",INDEX(Bank!$H:$H,B187)))</f>
        <v/>
      </c>
      <c r="I187" s="5" t="n">
        <f aca="false">IF(H187="",0,IFERROR(MATCH(H187,GL!$A:$A,0),0))</f>
        <v>0</v>
      </c>
      <c r="J187" s="32" t="str">
        <f aca="false">IF(I187=0,"",INDEX(GL!$B:$B,I187))</f>
        <v/>
      </c>
      <c r="K187" s="5" t="str">
        <f aca="false">IF(I187=0,"",IF(INDEX(GL!$C:$C,I187)="","",INDEX(GL!$C:$C,I187)))</f>
        <v/>
      </c>
      <c r="L187" s="19" t="str">
        <f aca="false">IF(I187=0,"",INDEX(GL!$E:$E,I187))</f>
        <v/>
      </c>
      <c r="M187" s="19" t="str">
        <f aca="false">IF(OR(B187=0,I187=0),"",ROUND(G187-L187,2))</f>
        <v/>
      </c>
      <c r="N187" s="5" t="str">
        <f aca="false">IF(A187="","",IF(B187=0,"NOT FOUND: bank ID",IF(I187=0,"NOT FOUND: GL ID",IF(INDEX(GL!$H:$H,I187)&lt;&gt;A187,"BROKEN: GL points elsewhere",IF(OR(INDEX(Bank!$F:$F,B187)&lt;&gt;"Y",INDEX(GL!$F:$F,I187)&lt;&gt;"Y"),"BROKEN: Status not Y","OK")))))</f>
        <v/>
      </c>
    </row>
    <row r="188" customFormat="false" ht="15" hidden="false" customHeight="false" outlineLevel="0" collapsed="false">
      <c r="A188" s="41"/>
      <c r="B188" s="5" t="n">
        <f aca="false">IF(A188="",0,IFERROR(MATCH(A188,Bank!$A:$A,0),0))</f>
        <v>0</v>
      </c>
      <c r="C188" s="5" t="str">
        <f aca="false">IF(B188=0,"",IF(INDEX(Bank!$G:$G,B188)="","",INDEX(Bank!$G:$G,B188)))</f>
        <v/>
      </c>
      <c r="D188" s="5" t="str">
        <f aca="false">IF(B188=0,"",IF(INDEX(Bank!$J:$J,B188)="","",INDEX(Bank!$J:$J,B188)))</f>
        <v/>
      </c>
      <c r="E188" s="32" t="str">
        <f aca="false">IF(B188=0,"",INDEX(Bank!$B:$B,B188))</f>
        <v/>
      </c>
      <c r="F188" s="5" t="str">
        <f aca="false">IF(B188=0,"",IF(INDEX(Bank!$C:$C,B188)="","",INDEX(Bank!$C:$C,B188)))</f>
        <v/>
      </c>
      <c r="G188" s="19" t="str">
        <f aca="false">IF(B188=0,"",INDEX(Bank!$E:$E,B188))</f>
        <v/>
      </c>
      <c r="H188" s="5" t="str">
        <f aca="false">IF(B188=0,"",IF(INDEX(Bank!$H:$H,B188)="","",INDEX(Bank!$H:$H,B188)))</f>
        <v/>
      </c>
      <c r="I188" s="5" t="n">
        <f aca="false">IF(H188="",0,IFERROR(MATCH(H188,GL!$A:$A,0),0))</f>
        <v>0</v>
      </c>
      <c r="J188" s="32" t="str">
        <f aca="false">IF(I188=0,"",INDEX(GL!$B:$B,I188))</f>
        <v/>
      </c>
      <c r="K188" s="5" t="str">
        <f aca="false">IF(I188=0,"",IF(INDEX(GL!$C:$C,I188)="","",INDEX(GL!$C:$C,I188)))</f>
        <v/>
      </c>
      <c r="L188" s="19" t="str">
        <f aca="false">IF(I188=0,"",INDEX(GL!$E:$E,I188))</f>
        <v/>
      </c>
      <c r="M188" s="19" t="str">
        <f aca="false">IF(OR(B188=0,I188=0),"",ROUND(G188-L188,2))</f>
        <v/>
      </c>
      <c r="N188" s="5" t="str">
        <f aca="false">IF(A188="","",IF(B188=0,"NOT FOUND: bank ID",IF(I188=0,"NOT FOUND: GL ID",IF(INDEX(GL!$H:$H,I188)&lt;&gt;A188,"BROKEN: GL points elsewhere",IF(OR(INDEX(Bank!$F:$F,B188)&lt;&gt;"Y",INDEX(GL!$F:$F,I188)&lt;&gt;"Y"),"BROKEN: Status not Y","OK")))))</f>
        <v/>
      </c>
    </row>
    <row r="189" customFormat="false" ht="15" hidden="false" customHeight="false" outlineLevel="0" collapsed="false">
      <c r="A189" s="41"/>
      <c r="B189" s="5" t="n">
        <f aca="false">IF(A189="",0,IFERROR(MATCH(A189,Bank!$A:$A,0),0))</f>
        <v>0</v>
      </c>
      <c r="C189" s="5" t="str">
        <f aca="false">IF(B189=0,"",IF(INDEX(Bank!$G:$G,B189)="","",INDEX(Bank!$G:$G,B189)))</f>
        <v/>
      </c>
      <c r="D189" s="5" t="str">
        <f aca="false">IF(B189=0,"",IF(INDEX(Bank!$J:$J,B189)="","",INDEX(Bank!$J:$J,B189)))</f>
        <v/>
      </c>
      <c r="E189" s="32" t="str">
        <f aca="false">IF(B189=0,"",INDEX(Bank!$B:$B,B189))</f>
        <v/>
      </c>
      <c r="F189" s="5" t="str">
        <f aca="false">IF(B189=0,"",IF(INDEX(Bank!$C:$C,B189)="","",INDEX(Bank!$C:$C,B189)))</f>
        <v/>
      </c>
      <c r="G189" s="19" t="str">
        <f aca="false">IF(B189=0,"",INDEX(Bank!$E:$E,B189))</f>
        <v/>
      </c>
      <c r="H189" s="5" t="str">
        <f aca="false">IF(B189=0,"",IF(INDEX(Bank!$H:$H,B189)="","",INDEX(Bank!$H:$H,B189)))</f>
        <v/>
      </c>
      <c r="I189" s="5" t="n">
        <f aca="false">IF(H189="",0,IFERROR(MATCH(H189,GL!$A:$A,0),0))</f>
        <v>0</v>
      </c>
      <c r="J189" s="32" t="str">
        <f aca="false">IF(I189=0,"",INDEX(GL!$B:$B,I189))</f>
        <v/>
      </c>
      <c r="K189" s="5" t="str">
        <f aca="false">IF(I189=0,"",IF(INDEX(GL!$C:$C,I189)="","",INDEX(GL!$C:$C,I189)))</f>
        <v/>
      </c>
      <c r="L189" s="19" t="str">
        <f aca="false">IF(I189=0,"",INDEX(GL!$E:$E,I189))</f>
        <v/>
      </c>
      <c r="M189" s="19" t="str">
        <f aca="false">IF(OR(B189=0,I189=0),"",ROUND(G189-L189,2))</f>
        <v/>
      </c>
      <c r="N189" s="5" t="str">
        <f aca="false">IF(A189="","",IF(B189=0,"NOT FOUND: bank ID",IF(I189=0,"NOT FOUND: GL ID",IF(INDEX(GL!$H:$H,I189)&lt;&gt;A189,"BROKEN: GL points elsewhere",IF(OR(INDEX(Bank!$F:$F,B189)&lt;&gt;"Y",INDEX(GL!$F:$F,I189)&lt;&gt;"Y"),"BROKEN: Status not Y","OK")))))</f>
        <v/>
      </c>
    </row>
    <row r="190" customFormat="false" ht="15" hidden="false" customHeight="false" outlineLevel="0" collapsed="false">
      <c r="A190" s="41"/>
      <c r="B190" s="5" t="n">
        <f aca="false">IF(A190="",0,IFERROR(MATCH(A190,Bank!$A:$A,0),0))</f>
        <v>0</v>
      </c>
      <c r="C190" s="5" t="str">
        <f aca="false">IF(B190=0,"",IF(INDEX(Bank!$G:$G,B190)="","",INDEX(Bank!$G:$G,B190)))</f>
        <v/>
      </c>
      <c r="D190" s="5" t="str">
        <f aca="false">IF(B190=0,"",IF(INDEX(Bank!$J:$J,B190)="","",INDEX(Bank!$J:$J,B190)))</f>
        <v/>
      </c>
      <c r="E190" s="32" t="str">
        <f aca="false">IF(B190=0,"",INDEX(Bank!$B:$B,B190))</f>
        <v/>
      </c>
      <c r="F190" s="5" t="str">
        <f aca="false">IF(B190=0,"",IF(INDEX(Bank!$C:$C,B190)="","",INDEX(Bank!$C:$C,B190)))</f>
        <v/>
      </c>
      <c r="G190" s="19" t="str">
        <f aca="false">IF(B190=0,"",INDEX(Bank!$E:$E,B190))</f>
        <v/>
      </c>
      <c r="H190" s="5" t="str">
        <f aca="false">IF(B190=0,"",IF(INDEX(Bank!$H:$H,B190)="","",INDEX(Bank!$H:$H,B190)))</f>
        <v/>
      </c>
      <c r="I190" s="5" t="n">
        <f aca="false">IF(H190="",0,IFERROR(MATCH(H190,GL!$A:$A,0),0))</f>
        <v>0</v>
      </c>
      <c r="J190" s="32" t="str">
        <f aca="false">IF(I190=0,"",INDEX(GL!$B:$B,I190))</f>
        <v/>
      </c>
      <c r="K190" s="5" t="str">
        <f aca="false">IF(I190=0,"",IF(INDEX(GL!$C:$C,I190)="","",INDEX(GL!$C:$C,I190)))</f>
        <v/>
      </c>
      <c r="L190" s="19" t="str">
        <f aca="false">IF(I190=0,"",INDEX(GL!$E:$E,I190))</f>
        <v/>
      </c>
      <c r="M190" s="19" t="str">
        <f aca="false">IF(OR(B190=0,I190=0),"",ROUND(G190-L190,2))</f>
        <v/>
      </c>
      <c r="N190" s="5" t="str">
        <f aca="false">IF(A190="","",IF(B190=0,"NOT FOUND: bank ID",IF(I190=0,"NOT FOUND: GL ID",IF(INDEX(GL!$H:$H,I190)&lt;&gt;A190,"BROKEN: GL points elsewhere",IF(OR(INDEX(Bank!$F:$F,B190)&lt;&gt;"Y",INDEX(GL!$F:$F,I190)&lt;&gt;"Y"),"BROKEN: Status not Y","OK")))))</f>
        <v/>
      </c>
    </row>
    <row r="191" customFormat="false" ht="15" hidden="false" customHeight="false" outlineLevel="0" collapsed="false">
      <c r="A191" s="41"/>
      <c r="B191" s="5" t="n">
        <f aca="false">IF(A191="",0,IFERROR(MATCH(A191,Bank!$A:$A,0),0))</f>
        <v>0</v>
      </c>
      <c r="C191" s="5" t="str">
        <f aca="false">IF(B191=0,"",IF(INDEX(Bank!$G:$G,B191)="","",INDEX(Bank!$G:$G,B191)))</f>
        <v/>
      </c>
      <c r="D191" s="5" t="str">
        <f aca="false">IF(B191=0,"",IF(INDEX(Bank!$J:$J,B191)="","",INDEX(Bank!$J:$J,B191)))</f>
        <v/>
      </c>
      <c r="E191" s="32" t="str">
        <f aca="false">IF(B191=0,"",INDEX(Bank!$B:$B,B191))</f>
        <v/>
      </c>
      <c r="F191" s="5" t="str">
        <f aca="false">IF(B191=0,"",IF(INDEX(Bank!$C:$C,B191)="","",INDEX(Bank!$C:$C,B191)))</f>
        <v/>
      </c>
      <c r="G191" s="19" t="str">
        <f aca="false">IF(B191=0,"",INDEX(Bank!$E:$E,B191))</f>
        <v/>
      </c>
      <c r="H191" s="5" t="str">
        <f aca="false">IF(B191=0,"",IF(INDEX(Bank!$H:$H,B191)="","",INDEX(Bank!$H:$H,B191)))</f>
        <v/>
      </c>
      <c r="I191" s="5" t="n">
        <f aca="false">IF(H191="",0,IFERROR(MATCH(H191,GL!$A:$A,0),0))</f>
        <v>0</v>
      </c>
      <c r="J191" s="32" t="str">
        <f aca="false">IF(I191=0,"",INDEX(GL!$B:$B,I191))</f>
        <v/>
      </c>
      <c r="K191" s="5" t="str">
        <f aca="false">IF(I191=0,"",IF(INDEX(GL!$C:$C,I191)="","",INDEX(GL!$C:$C,I191)))</f>
        <v/>
      </c>
      <c r="L191" s="19" t="str">
        <f aca="false">IF(I191=0,"",INDEX(GL!$E:$E,I191))</f>
        <v/>
      </c>
      <c r="M191" s="19" t="str">
        <f aca="false">IF(OR(B191=0,I191=0),"",ROUND(G191-L191,2))</f>
        <v/>
      </c>
      <c r="N191" s="5" t="str">
        <f aca="false">IF(A191="","",IF(B191=0,"NOT FOUND: bank ID",IF(I191=0,"NOT FOUND: GL ID",IF(INDEX(GL!$H:$H,I191)&lt;&gt;A191,"BROKEN: GL points elsewhere",IF(OR(INDEX(Bank!$F:$F,B191)&lt;&gt;"Y",INDEX(GL!$F:$F,I191)&lt;&gt;"Y"),"BROKEN: Status not Y","OK")))))</f>
        <v/>
      </c>
    </row>
    <row r="192" customFormat="false" ht="15" hidden="false" customHeight="false" outlineLevel="0" collapsed="false">
      <c r="A192" s="41"/>
      <c r="B192" s="5" t="n">
        <f aca="false">IF(A192="",0,IFERROR(MATCH(A192,Bank!$A:$A,0),0))</f>
        <v>0</v>
      </c>
      <c r="C192" s="5" t="str">
        <f aca="false">IF(B192=0,"",IF(INDEX(Bank!$G:$G,B192)="","",INDEX(Bank!$G:$G,B192)))</f>
        <v/>
      </c>
      <c r="D192" s="5" t="str">
        <f aca="false">IF(B192=0,"",IF(INDEX(Bank!$J:$J,B192)="","",INDEX(Bank!$J:$J,B192)))</f>
        <v/>
      </c>
      <c r="E192" s="32" t="str">
        <f aca="false">IF(B192=0,"",INDEX(Bank!$B:$B,B192))</f>
        <v/>
      </c>
      <c r="F192" s="5" t="str">
        <f aca="false">IF(B192=0,"",IF(INDEX(Bank!$C:$C,B192)="","",INDEX(Bank!$C:$C,B192)))</f>
        <v/>
      </c>
      <c r="G192" s="19" t="str">
        <f aca="false">IF(B192=0,"",INDEX(Bank!$E:$E,B192))</f>
        <v/>
      </c>
      <c r="H192" s="5" t="str">
        <f aca="false">IF(B192=0,"",IF(INDEX(Bank!$H:$H,B192)="","",INDEX(Bank!$H:$H,B192)))</f>
        <v/>
      </c>
      <c r="I192" s="5" t="n">
        <f aca="false">IF(H192="",0,IFERROR(MATCH(H192,GL!$A:$A,0),0))</f>
        <v>0</v>
      </c>
      <c r="J192" s="32" t="str">
        <f aca="false">IF(I192=0,"",INDEX(GL!$B:$B,I192))</f>
        <v/>
      </c>
      <c r="K192" s="5" t="str">
        <f aca="false">IF(I192=0,"",IF(INDEX(GL!$C:$C,I192)="","",INDEX(GL!$C:$C,I192)))</f>
        <v/>
      </c>
      <c r="L192" s="19" t="str">
        <f aca="false">IF(I192=0,"",INDEX(GL!$E:$E,I192))</f>
        <v/>
      </c>
      <c r="M192" s="19" t="str">
        <f aca="false">IF(OR(B192=0,I192=0),"",ROUND(G192-L192,2))</f>
        <v/>
      </c>
      <c r="N192" s="5" t="str">
        <f aca="false">IF(A192="","",IF(B192=0,"NOT FOUND: bank ID",IF(I192=0,"NOT FOUND: GL ID",IF(INDEX(GL!$H:$H,I192)&lt;&gt;A192,"BROKEN: GL points elsewhere",IF(OR(INDEX(Bank!$F:$F,B192)&lt;&gt;"Y",INDEX(GL!$F:$F,I192)&lt;&gt;"Y"),"BROKEN: Status not Y","OK")))))</f>
        <v/>
      </c>
    </row>
    <row r="193" customFormat="false" ht="15" hidden="false" customHeight="false" outlineLevel="0" collapsed="false">
      <c r="A193" s="41"/>
      <c r="B193" s="5" t="n">
        <f aca="false">IF(A193="",0,IFERROR(MATCH(A193,Bank!$A:$A,0),0))</f>
        <v>0</v>
      </c>
      <c r="C193" s="5" t="str">
        <f aca="false">IF(B193=0,"",IF(INDEX(Bank!$G:$G,B193)="","",INDEX(Bank!$G:$G,B193)))</f>
        <v/>
      </c>
      <c r="D193" s="5" t="str">
        <f aca="false">IF(B193=0,"",IF(INDEX(Bank!$J:$J,B193)="","",INDEX(Bank!$J:$J,B193)))</f>
        <v/>
      </c>
      <c r="E193" s="32" t="str">
        <f aca="false">IF(B193=0,"",INDEX(Bank!$B:$B,B193))</f>
        <v/>
      </c>
      <c r="F193" s="5" t="str">
        <f aca="false">IF(B193=0,"",IF(INDEX(Bank!$C:$C,B193)="","",INDEX(Bank!$C:$C,B193)))</f>
        <v/>
      </c>
      <c r="G193" s="19" t="str">
        <f aca="false">IF(B193=0,"",INDEX(Bank!$E:$E,B193))</f>
        <v/>
      </c>
      <c r="H193" s="5" t="str">
        <f aca="false">IF(B193=0,"",IF(INDEX(Bank!$H:$H,B193)="","",INDEX(Bank!$H:$H,B193)))</f>
        <v/>
      </c>
      <c r="I193" s="5" t="n">
        <f aca="false">IF(H193="",0,IFERROR(MATCH(H193,GL!$A:$A,0),0))</f>
        <v>0</v>
      </c>
      <c r="J193" s="32" t="str">
        <f aca="false">IF(I193=0,"",INDEX(GL!$B:$B,I193))</f>
        <v/>
      </c>
      <c r="K193" s="5" t="str">
        <f aca="false">IF(I193=0,"",IF(INDEX(GL!$C:$C,I193)="","",INDEX(GL!$C:$C,I193)))</f>
        <v/>
      </c>
      <c r="L193" s="19" t="str">
        <f aca="false">IF(I193=0,"",INDEX(GL!$E:$E,I193))</f>
        <v/>
      </c>
      <c r="M193" s="19" t="str">
        <f aca="false">IF(OR(B193=0,I193=0),"",ROUND(G193-L193,2))</f>
        <v/>
      </c>
      <c r="N193" s="5" t="str">
        <f aca="false">IF(A193="","",IF(B193=0,"NOT FOUND: bank ID",IF(I193=0,"NOT FOUND: GL ID",IF(INDEX(GL!$H:$H,I193)&lt;&gt;A193,"BROKEN: GL points elsewhere",IF(OR(INDEX(Bank!$F:$F,B193)&lt;&gt;"Y",INDEX(GL!$F:$F,I193)&lt;&gt;"Y"),"BROKEN: Status not Y","OK")))))</f>
        <v/>
      </c>
    </row>
    <row r="194" customFormat="false" ht="15" hidden="false" customHeight="false" outlineLevel="0" collapsed="false">
      <c r="A194" s="41"/>
      <c r="B194" s="5" t="n">
        <f aca="false">IF(A194="",0,IFERROR(MATCH(A194,Bank!$A:$A,0),0))</f>
        <v>0</v>
      </c>
      <c r="C194" s="5" t="str">
        <f aca="false">IF(B194=0,"",IF(INDEX(Bank!$G:$G,B194)="","",INDEX(Bank!$G:$G,B194)))</f>
        <v/>
      </c>
      <c r="D194" s="5" t="str">
        <f aca="false">IF(B194=0,"",IF(INDEX(Bank!$J:$J,B194)="","",INDEX(Bank!$J:$J,B194)))</f>
        <v/>
      </c>
      <c r="E194" s="32" t="str">
        <f aca="false">IF(B194=0,"",INDEX(Bank!$B:$B,B194))</f>
        <v/>
      </c>
      <c r="F194" s="5" t="str">
        <f aca="false">IF(B194=0,"",IF(INDEX(Bank!$C:$C,B194)="","",INDEX(Bank!$C:$C,B194)))</f>
        <v/>
      </c>
      <c r="G194" s="19" t="str">
        <f aca="false">IF(B194=0,"",INDEX(Bank!$E:$E,B194))</f>
        <v/>
      </c>
      <c r="H194" s="5" t="str">
        <f aca="false">IF(B194=0,"",IF(INDEX(Bank!$H:$H,B194)="","",INDEX(Bank!$H:$H,B194)))</f>
        <v/>
      </c>
      <c r="I194" s="5" t="n">
        <f aca="false">IF(H194="",0,IFERROR(MATCH(H194,GL!$A:$A,0),0))</f>
        <v>0</v>
      </c>
      <c r="J194" s="32" t="str">
        <f aca="false">IF(I194=0,"",INDEX(GL!$B:$B,I194))</f>
        <v/>
      </c>
      <c r="K194" s="5" t="str">
        <f aca="false">IF(I194=0,"",IF(INDEX(GL!$C:$C,I194)="","",INDEX(GL!$C:$C,I194)))</f>
        <v/>
      </c>
      <c r="L194" s="19" t="str">
        <f aca="false">IF(I194=0,"",INDEX(GL!$E:$E,I194))</f>
        <v/>
      </c>
      <c r="M194" s="19" t="str">
        <f aca="false">IF(OR(B194=0,I194=0),"",ROUND(G194-L194,2))</f>
        <v/>
      </c>
      <c r="N194" s="5" t="str">
        <f aca="false">IF(A194="","",IF(B194=0,"NOT FOUND: bank ID",IF(I194=0,"NOT FOUND: GL ID",IF(INDEX(GL!$H:$H,I194)&lt;&gt;A194,"BROKEN: GL points elsewhere",IF(OR(INDEX(Bank!$F:$F,B194)&lt;&gt;"Y",INDEX(GL!$F:$F,I194)&lt;&gt;"Y"),"BROKEN: Status not Y","OK")))))</f>
        <v/>
      </c>
    </row>
    <row r="195" customFormat="false" ht="15" hidden="false" customHeight="false" outlineLevel="0" collapsed="false">
      <c r="A195" s="41"/>
      <c r="B195" s="5" t="n">
        <f aca="false">IF(A195="",0,IFERROR(MATCH(A195,Bank!$A:$A,0),0))</f>
        <v>0</v>
      </c>
      <c r="C195" s="5" t="str">
        <f aca="false">IF(B195=0,"",IF(INDEX(Bank!$G:$G,B195)="","",INDEX(Bank!$G:$G,B195)))</f>
        <v/>
      </c>
      <c r="D195" s="5" t="str">
        <f aca="false">IF(B195=0,"",IF(INDEX(Bank!$J:$J,B195)="","",INDEX(Bank!$J:$J,B195)))</f>
        <v/>
      </c>
      <c r="E195" s="32" t="str">
        <f aca="false">IF(B195=0,"",INDEX(Bank!$B:$B,B195))</f>
        <v/>
      </c>
      <c r="F195" s="5" t="str">
        <f aca="false">IF(B195=0,"",IF(INDEX(Bank!$C:$C,B195)="","",INDEX(Bank!$C:$C,B195)))</f>
        <v/>
      </c>
      <c r="G195" s="19" t="str">
        <f aca="false">IF(B195=0,"",INDEX(Bank!$E:$E,B195))</f>
        <v/>
      </c>
      <c r="H195" s="5" t="str">
        <f aca="false">IF(B195=0,"",IF(INDEX(Bank!$H:$H,B195)="","",INDEX(Bank!$H:$H,B195)))</f>
        <v/>
      </c>
      <c r="I195" s="5" t="n">
        <f aca="false">IF(H195="",0,IFERROR(MATCH(H195,GL!$A:$A,0),0))</f>
        <v>0</v>
      </c>
      <c r="J195" s="32" t="str">
        <f aca="false">IF(I195=0,"",INDEX(GL!$B:$B,I195))</f>
        <v/>
      </c>
      <c r="K195" s="5" t="str">
        <f aca="false">IF(I195=0,"",IF(INDEX(GL!$C:$C,I195)="","",INDEX(GL!$C:$C,I195)))</f>
        <v/>
      </c>
      <c r="L195" s="19" t="str">
        <f aca="false">IF(I195=0,"",INDEX(GL!$E:$E,I195))</f>
        <v/>
      </c>
      <c r="M195" s="19" t="str">
        <f aca="false">IF(OR(B195=0,I195=0),"",ROUND(G195-L195,2))</f>
        <v/>
      </c>
      <c r="N195" s="5" t="str">
        <f aca="false">IF(A195="","",IF(B195=0,"NOT FOUND: bank ID",IF(I195=0,"NOT FOUND: GL ID",IF(INDEX(GL!$H:$H,I195)&lt;&gt;A195,"BROKEN: GL points elsewhere",IF(OR(INDEX(Bank!$F:$F,B195)&lt;&gt;"Y",INDEX(GL!$F:$F,I195)&lt;&gt;"Y"),"BROKEN: Status not Y","OK")))))</f>
        <v/>
      </c>
    </row>
    <row r="196" customFormat="false" ht="15" hidden="false" customHeight="false" outlineLevel="0" collapsed="false">
      <c r="A196" s="41"/>
      <c r="B196" s="5" t="n">
        <f aca="false">IF(A196="",0,IFERROR(MATCH(A196,Bank!$A:$A,0),0))</f>
        <v>0</v>
      </c>
      <c r="C196" s="5" t="str">
        <f aca="false">IF(B196=0,"",IF(INDEX(Bank!$G:$G,B196)="","",INDEX(Bank!$G:$G,B196)))</f>
        <v/>
      </c>
      <c r="D196" s="5" t="str">
        <f aca="false">IF(B196=0,"",IF(INDEX(Bank!$J:$J,B196)="","",INDEX(Bank!$J:$J,B196)))</f>
        <v/>
      </c>
      <c r="E196" s="32" t="str">
        <f aca="false">IF(B196=0,"",INDEX(Bank!$B:$B,B196))</f>
        <v/>
      </c>
      <c r="F196" s="5" t="str">
        <f aca="false">IF(B196=0,"",IF(INDEX(Bank!$C:$C,B196)="","",INDEX(Bank!$C:$C,B196)))</f>
        <v/>
      </c>
      <c r="G196" s="19" t="str">
        <f aca="false">IF(B196=0,"",INDEX(Bank!$E:$E,B196))</f>
        <v/>
      </c>
      <c r="H196" s="5" t="str">
        <f aca="false">IF(B196=0,"",IF(INDEX(Bank!$H:$H,B196)="","",INDEX(Bank!$H:$H,B196)))</f>
        <v/>
      </c>
      <c r="I196" s="5" t="n">
        <f aca="false">IF(H196="",0,IFERROR(MATCH(H196,GL!$A:$A,0),0))</f>
        <v>0</v>
      </c>
      <c r="J196" s="32" t="str">
        <f aca="false">IF(I196=0,"",INDEX(GL!$B:$B,I196))</f>
        <v/>
      </c>
      <c r="K196" s="5" t="str">
        <f aca="false">IF(I196=0,"",IF(INDEX(GL!$C:$C,I196)="","",INDEX(GL!$C:$C,I196)))</f>
        <v/>
      </c>
      <c r="L196" s="19" t="str">
        <f aca="false">IF(I196=0,"",INDEX(GL!$E:$E,I196))</f>
        <v/>
      </c>
      <c r="M196" s="19" t="str">
        <f aca="false">IF(OR(B196=0,I196=0),"",ROUND(G196-L196,2))</f>
        <v/>
      </c>
      <c r="N196" s="5" t="str">
        <f aca="false">IF(A196="","",IF(B196=0,"NOT FOUND: bank ID",IF(I196=0,"NOT FOUND: GL ID",IF(INDEX(GL!$H:$H,I196)&lt;&gt;A196,"BROKEN: GL points elsewhere",IF(OR(INDEX(Bank!$F:$F,B196)&lt;&gt;"Y",INDEX(GL!$F:$F,I196)&lt;&gt;"Y"),"BROKEN: Status not Y","OK")))))</f>
        <v/>
      </c>
    </row>
    <row r="197" customFormat="false" ht="15" hidden="false" customHeight="false" outlineLevel="0" collapsed="false">
      <c r="A197" s="41"/>
      <c r="B197" s="5" t="n">
        <f aca="false">IF(A197="",0,IFERROR(MATCH(A197,Bank!$A:$A,0),0))</f>
        <v>0</v>
      </c>
      <c r="C197" s="5" t="str">
        <f aca="false">IF(B197=0,"",IF(INDEX(Bank!$G:$G,B197)="","",INDEX(Bank!$G:$G,B197)))</f>
        <v/>
      </c>
      <c r="D197" s="5" t="str">
        <f aca="false">IF(B197=0,"",IF(INDEX(Bank!$J:$J,B197)="","",INDEX(Bank!$J:$J,B197)))</f>
        <v/>
      </c>
      <c r="E197" s="32" t="str">
        <f aca="false">IF(B197=0,"",INDEX(Bank!$B:$B,B197))</f>
        <v/>
      </c>
      <c r="F197" s="5" t="str">
        <f aca="false">IF(B197=0,"",IF(INDEX(Bank!$C:$C,B197)="","",INDEX(Bank!$C:$C,B197)))</f>
        <v/>
      </c>
      <c r="G197" s="19" t="str">
        <f aca="false">IF(B197=0,"",INDEX(Bank!$E:$E,B197))</f>
        <v/>
      </c>
      <c r="H197" s="5" t="str">
        <f aca="false">IF(B197=0,"",IF(INDEX(Bank!$H:$H,B197)="","",INDEX(Bank!$H:$H,B197)))</f>
        <v/>
      </c>
      <c r="I197" s="5" t="n">
        <f aca="false">IF(H197="",0,IFERROR(MATCH(H197,GL!$A:$A,0),0))</f>
        <v>0</v>
      </c>
      <c r="J197" s="32" t="str">
        <f aca="false">IF(I197=0,"",INDEX(GL!$B:$B,I197))</f>
        <v/>
      </c>
      <c r="K197" s="5" t="str">
        <f aca="false">IF(I197=0,"",IF(INDEX(GL!$C:$C,I197)="","",INDEX(GL!$C:$C,I197)))</f>
        <v/>
      </c>
      <c r="L197" s="19" t="str">
        <f aca="false">IF(I197=0,"",INDEX(GL!$E:$E,I197))</f>
        <v/>
      </c>
      <c r="M197" s="19" t="str">
        <f aca="false">IF(OR(B197=0,I197=0),"",ROUND(G197-L197,2))</f>
        <v/>
      </c>
      <c r="N197" s="5" t="str">
        <f aca="false">IF(A197="","",IF(B197=0,"NOT FOUND: bank ID",IF(I197=0,"NOT FOUND: GL ID",IF(INDEX(GL!$H:$H,I197)&lt;&gt;A197,"BROKEN: GL points elsewhere",IF(OR(INDEX(Bank!$F:$F,B197)&lt;&gt;"Y",INDEX(GL!$F:$F,I197)&lt;&gt;"Y"),"BROKEN: Status not Y","OK")))))</f>
        <v/>
      </c>
    </row>
    <row r="198" customFormat="false" ht="15" hidden="false" customHeight="false" outlineLevel="0" collapsed="false">
      <c r="A198" s="41"/>
      <c r="B198" s="5" t="n">
        <f aca="false">IF(A198="",0,IFERROR(MATCH(A198,Bank!$A:$A,0),0))</f>
        <v>0</v>
      </c>
      <c r="C198" s="5" t="str">
        <f aca="false">IF(B198=0,"",IF(INDEX(Bank!$G:$G,B198)="","",INDEX(Bank!$G:$G,B198)))</f>
        <v/>
      </c>
      <c r="D198" s="5" t="str">
        <f aca="false">IF(B198=0,"",IF(INDEX(Bank!$J:$J,B198)="","",INDEX(Bank!$J:$J,B198)))</f>
        <v/>
      </c>
      <c r="E198" s="32" t="str">
        <f aca="false">IF(B198=0,"",INDEX(Bank!$B:$B,B198))</f>
        <v/>
      </c>
      <c r="F198" s="5" t="str">
        <f aca="false">IF(B198=0,"",IF(INDEX(Bank!$C:$C,B198)="","",INDEX(Bank!$C:$C,B198)))</f>
        <v/>
      </c>
      <c r="G198" s="19" t="str">
        <f aca="false">IF(B198=0,"",INDEX(Bank!$E:$E,B198))</f>
        <v/>
      </c>
      <c r="H198" s="5" t="str">
        <f aca="false">IF(B198=0,"",IF(INDEX(Bank!$H:$H,B198)="","",INDEX(Bank!$H:$H,B198)))</f>
        <v/>
      </c>
      <c r="I198" s="5" t="n">
        <f aca="false">IF(H198="",0,IFERROR(MATCH(H198,GL!$A:$A,0),0))</f>
        <v>0</v>
      </c>
      <c r="J198" s="32" t="str">
        <f aca="false">IF(I198=0,"",INDEX(GL!$B:$B,I198))</f>
        <v/>
      </c>
      <c r="K198" s="5" t="str">
        <f aca="false">IF(I198=0,"",IF(INDEX(GL!$C:$C,I198)="","",INDEX(GL!$C:$C,I198)))</f>
        <v/>
      </c>
      <c r="L198" s="19" t="str">
        <f aca="false">IF(I198=0,"",INDEX(GL!$E:$E,I198))</f>
        <v/>
      </c>
      <c r="M198" s="19" t="str">
        <f aca="false">IF(OR(B198=0,I198=0),"",ROUND(G198-L198,2))</f>
        <v/>
      </c>
      <c r="N198" s="5" t="str">
        <f aca="false">IF(A198="","",IF(B198=0,"NOT FOUND: bank ID",IF(I198=0,"NOT FOUND: GL ID",IF(INDEX(GL!$H:$H,I198)&lt;&gt;A198,"BROKEN: GL points elsewhere",IF(OR(INDEX(Bank!$F:$F,B198)&lt;&gt;"Y",INDEX(GL!$F:$F,I198)&lt;&gt;"Y"),"BROKEN: Status not Y","OK")))))</f>
        <v/>
      </c>
    </row>
    <row r="199" customFormat="false" ht="15" hidden="false" customHeight="false" outlineLevel="0" collapsed="false">
      <c r="A199" s="41"/>
      <c r="B199" s="5" t="n">
        <f aca="false">IF(A199="",0,IFERROR(MATCH(A199,Bank!$A:$A,0),0))</f>
        <v>0</v>
      </c>
      <c r="C199" s="5" t="str">
        <f aca="false">IF(B199=0,"",IF(INDEX(Bank!$G:$G,B199)="","",INDEX(Bank!$G:$G,B199)))</f>
        <v/>
      </c>
      <c r="D199" s="5" t="str">
        <f aca="false">IF(B199=0,"",IF(INDEX(Bank!$J:$J,B199)="","",INDEX(Bank!$J:$J,B199)))</f>
        <v/>
      </c>
      <c r="E199" s="32" t="str">
        <f aca="false">IF(B199=0,"",INDEX(Bank!$B:$B,B199))</f>
        <v/>
      </c>
      <c r="F199" s="5" t="str">
        <f aca="false">IF(B199=0,"",IF(INDEX(Bank!$C:$C,B199)="","",INDEX(Bank!$C:$C,B199)))</f>
        <v/>
      </c>
      <c r="G199" s="19" t="str">
        <f aca="false">IF(B199=0,"",INDEX(Bank!$E:$E,B199))</f>
        <v/>
      </c>
      <c r="H199" s="5" t="str">
        <f aca="false">IF(B199=0,"",IF(INDEX(Bank!$H:$H,B199)="","",INDEX(Bank!$H:$H,B199)))</f>
        <v/>
      </c>
      <c r="I199" s="5" t="n">
        <f aca="false">IF(H199="",0,IFERROR(MATCH(H199,GL!$A:$A,0),0))</f>
        <v>0</v>
      </c>
      <c r="J199" s="32" t="str">
        <f aca="false">IF(I199=0,"",INDEX(GL!$B:$B,I199))</f>
        <v/>
      </c>
      <c r="K199" s="5" t="str">
        <f aca="false">IF(I199=0,"",IF(INDEX(GL!$C:$C,I199)="","",INDEX(GL!$C:$C,I199)))</f>
        <v/>
      </c>
      <c r="L199" s="19" t="str">
        <f aca="false">IF(I199=0,"",INDEX(GL!$E:$E,I199))</f>
        <v/>
      </c>
      <c r="M199" s="19" t="str">
        <f aca="false">IF(OR(B199=0,I199=0),"",ROUND(G199-L199,2))</f>
        <v/>
      </c>
      <c r="N199" s="5" t="str">
        <f aca="false">IF(A199="","",IF(B199=0,"NOT FOUND: bank ID",IF(I199=0,"NOT FOUND: GL ID",IF(INDEX(GL!$H:$H,I199)&lt;&gt;A199,"BROKEN: GL points elsewhere",IF(OR(INDEX(Bank!$F:$F,B199)&lt;&gt;"Y",INDEX(GL!$F:$F,I199)&lt;&gt;"Y"),"BROKEN: Status not Y","OK")))))</f>
        <v/>
      </c>
    </row>
    <row r="200" customFormat="false" ht="15" hidden="false" customHeight="false" outlineLevel="0" collapsed="false">
      <c r="A200" s="41"/>
      <c r="B200" s="5" t="n">
        <f aca="false">IF(A200="",0,IFERROR(MATCH(A200,Bank!$A:$A,0),0))</f>
        <v>0</v>
      </c>
      <c r="C200" s="5" t="str">
        <f aca="false">IF(B200=0,"",IF(INDEX(Bank!$G:$G,B200)="","",INDEX(Bank!$G:$G,B200)))</f>
        <v/>
      </c>
      <c r="D200" s="5" t="str">
        <f aca="false">IF(B200=0,"",IF(INDEX(Bank!$J:$J,B200)="","",INDEX(Bank!$J:$J,B200)))</f>
        <v/>
      </c>
      <c r="E200" s="32" t="str">
        <f aca="false">IF(B200=0,"",INDEX(Bank!$B:$B,B200))</f>
        <v/>
      </c>
      <c r="F200" s="5" t="str">
        <f aca="false">IF(B200=0,"",IF(INDEX(Bank!$C:$C,B200)="","",INDEX(Bank!$C:$C,B200)))</f>
        <v/>
      </c>
      <c r="G200" s="19" t="str">
        <f aca="false">IF(B200=0,"",INDEX(Bank!$E:$E,B200))</f>
        <v/>
      </c>
      <c r="H200" s="5" t="str">
        <f aca="false">IF(B200=0,"",IF(INDEX(Bank!$H:$H,B200)="","",INDEX(Bank!$H:$H,B200)))</f>
        <v/>
      </c>
      <c r="I200" s="5" t="n">
        <f aca="false">IF(H200="",0,IFERROR(MATCH(H200,GL!$A:$A,0),0))</f>
        <v>0</v>
      </c>
      <c r="J200" s="32" t="str">
        <f aca="false">IF(I200=0,"",INDEX(GL!$B:$B,I200))</f>
        <v/>
      </c>
      <c r="K200" s="5" t="str">
        <f aca="false">IF(I200=0,"",IF(INDEX(GL!$C:$C,I200)="","",INDEX(GL!$C:$C,I200)))</f>
        <v/>
      </c>
      <c r="L200" s="19" t="str">
        <f aca="false">IF(I200=0,"",INDEX(GL!$E:$E,I200))</f>
        <v/>
      </c>
      <c r="M200" s="19" t="str">
        <f aca="false">IF(OR(B200=0,I200=0),"",ROUND(G200-L200,2))</f>
        <v/>
      </c>
      <c r="N200" s="5" t="str">
        <f aca="false">IF(A200="","",IF(B200=0,"NOT FOUND: bank ID",IF(I200=0,"NOT FOUND: GL ID",IF(INDEX(GL!$H:$H,I200)&lt;&gt;A200,"BROKEN: GL points elsewhere",IF(OR(INDEX(Bank!$F:$F,B200)&lt;&gt;"Y",INDEX(GL!$F:$F,I200)&lt;&gt;"Y"),"BROKEN: Status not Y","OK")))))</f>
        <v/>
      </c>
    </row>
    <row r="201" customFormat="false" ht="15" hidden="false" customHeight="false" outlineLevel="0" collapsed="false">
      <c r="A201" s="41"/>
      <c r="B201" s="5" t="n">
        <f aca="false">IF(A201="",0,IFERROR(MATCH(A201,Bank!$A:$A,0),0))</f>
        <v>0</v>
      </c>
      <c r="C201" s="5" t="str">
        <f aca="false">IF(B201=0,"",IF(INDEX(Bank!$G:$G,B201)="","",INDEX(Bank!$G:$G,B201)))</f>
        <v/>
      </c>
      <c r="D201" s="5" t="str">
        <f aca="false">IF(B201=0,"",IF(INDEX(Bank!$J:$J,B201)="","",INDEX(Bank!$J:$J,B201)))</f>
        <v/>
      </c>
      <c r="E201" s="32" t="str">
        <f aca="false">IF(B201=0,"",INDEX(Bank!$B:$B,B201))</f>
        <v/>
      </c>
      <c r="F201" s="5" t="str">
        <f aca="false">IF(B201=0,"",IF(INDEX(Bank!$C:$C,B201)="","",INDEX(Bank!$C:$C,B201)))</f>
        <v/>
      </c>
      <c r="G201" s="19" t="str">
        <f aca="false">IF(B201=0,"",INDEX(Bank!$E:$E,B201))</f>
        <v/>
      </c>
      <c r="H201" s="5" t="str">
        <f aca="false">IF(B201=0,"",IF(INDEX(Bank!$H:$H,B201)="","",INDEX(Bank!$H:$H,B201)))</f>
        <v/>
      </c>
      <c r="I201" s="5" t="n">
        <f aca="false">IF(H201="",0,IFERROR(MATCH(H201,GL!$A:$A,0),0))</f>
        <v>0</v>
      </c>
      <c r="J201" s="32" t="str">
        <f aca="false">IF(I201=0,"",INDEX(GL!$B:$B,I201))</f>
        <v/>
      </c>
      <c r="K201" s="5" t="str">
        <f aca="false">IF(I201=0,"",IF(INDEX(GL!$C:$C,I201)="","",INDEX(GL!$C:$C,I201)))</f>
        <v/>
      </c>
      <c r="L201" s="19" t="str">
        <f aca="false">IF(I201=0,"",INDEX(GL!$E:$E,I201))</f>
        <v/>
      </c>
      <c r="M201" s="19" t="str">
        <f aca="false">IF(OR(B201=0,I201=0),"",ROUND(G201-L201,2))</f>
        <v/>
      </c>
      <c r="N201" s="5" t="str">
        <f aca="false">IF(A201="","",IF(B201=0,"NOT FOUND: bank ID",IF(I201=0,"NOT FOUND: GL ID",IF(INDEX(GL!$H:$H,I201)&lt;&gt;A201,"BROKEN: GL points elsewhere",IF(OR(INDEX(Bank!$F:$F,B201)&lt;&gt;"Y",INDEX(GL!$F:$F,I201)&lt;&gt;"Y"),"BROKEN: Status not Y","OK")))))</f>
        <v/>
      </c>
    </row>
    <row r="202" customFormat="false" ht="15" hidden="false" customHeight="false" outlineLevel="0" collapsed="false">
      <c r="A202" s="41"/>
      <c r="B202" s="5" t="n">
        <f aca="false">IF(A202="",0,IFERROR(MATCH(A202,Bank!$A:$A,0),0))</f>
        <v>0</v>
      </c>
      <c r="C202" s="5" t="str">
        <f aca="false">IF(B202=0,"",IF(INDEX(Bank!$G:$G,B202)="","",INDEX(Bank!$G:$G,B202)))</f>
        <v/>
      </c>
      <c r="D202" s="5" t="str">
        <f aca="false">IF(B202=0,"",IF(INDEX(Bank!$J:$J,B202)="","",INDEX(Bank!$J:$J,B202)))</f>
        <v/>
      </c>
      <c r="E202" s="32" t="str">
        <f aca="false">IF(B202=0,"",INDEX(Bank!$B:$B,B202))</f>
        <v/>
      </c>
      <c r="F202" s="5" t="str">
        <f aca="false">IF(B202=0,"",IF(INDEX(Bank!$C:$C,B202)="","",INDEX(Bank!$C:$C,B202)))</f>
        <v/>
      </c>
      <c r="G202" s="19" t="str">
        <f aca="false">IF(B202=0,"",INDEX(Bank!$E:$E,B202))</f>
        <v/>
      </c>
      <c r="H202" s="5" t="str">
        <f aca="false">IF(B202=0,"",IF(INDEX(Bank!$H:$H,B202)="","",INDEX(Bank!$H:$H,B202)))</f>
        <v/>
      </c>
      <c r="I202" s="5" t="n">
        <f aca="false">IF(H202="",0,IFERROR(MATCH(H202,GL!$A:$A,0),0))</f>
        <v>0</v>
      </c>
      <c r="J202" s="32" t="str">
        <f aca="false">IF(I202=0,"",INDEX(GL!$B:$B,I202))</f>
        <v/>
      </c>
      <c r="K202" s="5" t="str">
        <f aca="false">IF(I202=0,"",IF(INDEX(GL!$C:$C,I202)="","",INDEX(GL!$C:$C,I202)))</f>
        <v/>
      </c>
      <c r="L202" s="19" t="str">
        <f aca="false">IF(I202=0,"",INDEX(GL!$E:$E,I202))</f>
        <v/>
      </c>
      <c r="M202" s="19" t="str">
        <f aca="false">IF(OR(B202=0,I202=0),"",ROUND(G202-L202,2))</f>
        <v/>
      </c>
      <c r="N202" s="5" t="str">
        <f aca="false">IF(A202="","",IF(B202=0,"NOT FOUND: bank ID",IF(I202=0,"NOT FOUND: GL ID",IF(INDEX(GL!$H:$H,I202)&lt;&gt;A202,"BROKEN: GL points elsewhere",IF(OR(INDEX(Bank!$F:$F,B202)&lt;&gt;"Y",INDEX(GL!$F:$F,I202)&lt;&gt;"Y"),"BROKEN: Status not Y","OK")))))</f>
        <v/>
      </c>
    </row>
    <row r="203" customFormat="false" ht="15" hidden="false" customHeight="false" outlineLevel="0" collapsed="false">
      <c r="A203" s="41"/>
      <c r="B203" s="5" t="n">
        <f aca="false">IF(A203="",0,IFERROR(MATCH(A203,Bank!$A:$A,0),0))</f>
        <v>0</v>
      </c>
      <c r="C203" s="5" t="str">
        <f aca="false">IF(B203=0,"",IF(INDEX(Bank!$G:$G,B203)="","",INDEX(Bank!$G:$G,B203)))</f>
        <v/>
      </c>
      <c r="D203" s="5" t="str">
        <f aca="false">IF(B203=0,"",IF(INDEX(Bank!$J:$J,B203)="","",INDEX(Bank!$J:$J,B203)))</f>
        <v/>
      </c>
      <c r="E203" s="32" t="str">
        <f aca="false">IF(B203=0,"",INDEX(Bank!$B:$B,B203))</f>
        <v/>
      </c>
      <c r="F203" s="5" t="str">
        <f aca="false">IF(B203=0,"",IF(INDEX(Bank!$C:$C,B203)="","",INDEX(Bank!$C:$C,B203)))</f>
        <v/>
      </c>
      <c r="G203" s="19" t="str">
        <f aca="false">IF(B203=0,"",INDEX(Bank!$E:$E,B203))</f>
        <v/>
      </c>
      <c r="H203" s="5" t="str">
        <f aca="false">IF(B203=0,"",IF(INDEX(Bank!$H:$H,B203)="","",INDEX(Bank!$H:$H,B203)))</f>
        <v/>
      </c>
      <c r="I203" s="5" t="n">
        <f aca="false">IF(H203="",0,IFERROR(MATCH(H203,GL!$A:$A,0),0))</f>
        <v>0</v>
      </c>
      <c r="J203" s="32" t="str">
        <f aca="false">IF(I203=0,"",INDEX(GL!$B:$B,I203))</f>
        <v/>
      </c>
      <c r="K203" s="5" t="str">
        <f aca="false">IF(I203=0,"",IF(INDEX(GL!$C:$C,I203)="","",INDEX(GL!$C:$C,I203)))</f>
        <v/>
      </c>
      <c r="L203" s="19" t="str">
        <f aca="false">IF(I203=0,"",INDEX(GL!$E:$E,I203))</f>
        <v/>
      </c>
      <c r="M203" s="19" t="str">
        <f aca="false">IF(OR(B203=0,I203=0),"",ROUND(G203-L203,2))</f>
        <v/>
      </c>
      <c r="N203" s="5" t="str">
        <f aca="false">IF(A203="","",IF(B203=0,"NOT FOUND: bank ID",IF(I203=0,"NOT FOUND: GL ID",IF(INDEX(GL!$H:$H,I203)&lt;&gt;A203,"BROKEN: GL points elsewhere",IF(OR(INDEX(Bank!$F:$F,B203)&lt;&gt;"Y",INDEX(GL!$F:$F,I203)&lt;&gt;"Y"),"BROKEN: Status not Y","OK")))))</f>
        <v/>
      </c>
    </row>
    <row r="204" customFormat="false" ht="15" hidden="false" customHeight="false" outlineLevel="0" collapsed="false">
      <c r="A204" s="41"/>
      <c r="B204" s="5" t="n">
        <f aca="false">IF(A204="",0,IFERROR(MATCH(A204,Bank!$A:$A,0),0))</f>
        <v>0</v>
      </c>
      <c r="C204" s="5" t="str">
        <f aca="false">IF(B204=0,"",IF(INDEX(Bank!$G:$G,B204)="","",INDEX(Bank!$G:$G,B204)))</f>
        <v/>
      </c>
      <c r="D204" s="5" t="str">
        <f aca="false">IF(B204=0,"",IF(INDEX(Bank!$J:$J,B204)="","",INDEX(Bank!$J:$J,B204)))</f>
        <v/>
      </c>
      <c r="E204" s="32" t="str">
        <f aca="false">IF(B204=0,"",INDEX(Bank!$B:$B,B204))</f>
        <v/>
      </c>
      <c r="F204" s="5" t="str">
        <f aca="false">IF(B204=0,"",IF(INDEX(Bank!$C:$C,B204)="","",INDEX(Bank!$C:$C,B204)))</f>
        <v/>
      </c>
      <c r="G204" s="19" t="str">
        <f aca="false">IF(B204=0,"",INDEX(Bank!$E:$E,B204))</f>
        <v/>
      </c>
      <c r="H204" s="5" t="str">
        <f aca="false">IF(B204=0,"",IF(INDEX(Bank!$H:$H,B204)="","",INDEX(Bank!$H:$H,B204)))</f>
        <v/>
      </c>
      <c r="I204" s="5" t="n">
        <f aca="false">IF(H204="",0,IFERROR(MATCH(H204,GL!$A:$A,0),0))</f>
        <v>0</v>
      </c>
      <c r="J204" s="32" t="str">
        <f aca="false">IF(I204=0,"",INDEX(GL!$B:$B,I204))</f>
        <v/>
      </c>
      <c r="K204" s="5" t="str">
        <f aca="false">IF(I204=0,"",IF(INDEX(GL!$C:$C,I204)="","",INDEX(GL!$C:$C,I204)))</f>
        <v/>
      </c>
      <c r="L204" s="19" t="str">
        <f aca="false">IF(I204=0,"",INDEX(GL!$E:$E,I204))</f>
        <v/>
      </c>
      <c r="M204" s="19" t="str">
        <f aca="false">IF(OR(B204=0,I204=0),"",ROUND(G204-L204,2))</f>
        <v/>
      </c>
      <c r="N204" s="5" t="str">
        <f aca="false">IF(A204="","",IF(B204=0,"NOT FOUND: bank ID",IF(I204=0,"NOT FOUND: GL ID",IF(INDEX(GL!$H:$H,I204)&lt;&gt;A204,"BROKEN: GL points elsewhere",IF(OR(INDEX(Bank!$F:$F,B204)&lt;&gt;"Y",INDEX(GL!$F:$F,I204)&lt;&gt;"Y"),"BROKEN: Status not Y","OK")))))</f>
        <v/>
      </c>
    </row>
    <row r="205" customFormat="false" ht="15" hidden="false" customHeight="false" outlineLevel="0" collapsed="false">
      <c r="A205" s="41"/>
      <c r="B205" s="5" t="n">
        <f aca="false">IF(A205="",0,IFERROR(MATCH(A205,Bank!$A:$A,0),0))</f>
        <v>0</v>
      </c>
      <c r="C205" s="5" t="str">
        <f aca="false">IF(B205=0,"",IF(INDEX(Bank!$G:$G,B205)="","",INDEX(Bank!$G:$G,B205)))</f>
        <v/>
      </c>
      <c r="D205" s="5" t="str">
        <f aca="false">IF(B205=0,"",IF(INDEX(Bank!$J:$J,B205)="","",INDEX(Bank!$J:$J,B205)))</f>
        <v/>
      </c>
      <c r="E205" s="32" t="str">
        <f aca="false">IF(B205=0,"",INDEX(Bank!$B:$B,B205))</f>
        <v/>
      </c>
      <c r="F205" s="5" t="str">
        <f aca="false">IF(B205=0,"",IF(INDEX(Bank!$C:$C,B205)="","",INDEX(Bank!$C:$C,B205)))</f>
        <v/>
      </c>
      <c r="G205" s="19" t="str">
        <f aca="false">IF(B205=0,"",INDEX(Bank!$E:$E,B205))</f>
        <v/>
      </c>
      <c r="H205" s="5" t="str">
        <f aca="false">IF(B205=0,"",IF(INDEX(Bank!$H:$H,B205)="","",INDEX(Bank!$H:$H,B205)))</f>
        <v/>
      </c>
      <c r="I205" s="5" t="n">
        <f aca="false">IF(H205="",0,IFERROR(MATCH(H205,GL!$A:$A,0),0))</f>
        <v>0</v>
      </c>
      <c r="J205" s="32" t="str">
        <f aca="false">IF(I205=0,"",INDEX(GL!$B:$B,I205))</f>
        <v/>
      </c>
      <c r="K205" s="5" t="str">
        <f aca="false">IF(I205=0,"",IF(INDEX(GL!$C:$C,I205)="","",INDEX(GL!$C:$C,I205)))</f>
        <v/>
      </c>
      <c r="L205" s="19" t="str">
        <f aca="false">IF(I205=0,"",INDEX(GL!$E:$E,I205))</f>
        <v/>
      </c>
      <c r="M205" s="19" t="str">
        <f aca="false">IF(OR(B205=0,I205=0),"",ROUND(G205-L205,2))</f>
        <v/>
      </c>
      <c r="N205" s="5" t="str">
        <f aca="false">IF(A205="","",IF(B205=0,"NOT FOUND: bank ID",IF(I205=0,"NOT FOUND: GL ID",IF(INDEX(GL!$H:$H,I205)&lt;&gt;A205,"BROKEN: GL points elsewhere",IF(OR(INDEX(Bank!$F:$F,B205)&lt;&gt;"Y",INDEX(GL!$F:$F,I205)&lt;&gt;"Y"),"BROKEN: Status not Y","OK")))))</f>
        <v/>
      </c>
    </row>
    <row r="206" customFormat="false" ht="15" hidden="false" customHeight="false" outlineLevel="0" collapsed="false">
      <c r="A206" s="41"/>
      <c r="B206" s="5" t="n">
        <f aca="false">IF(A206="",0,IFERROR(MATCH(A206,Bank!$A:$A,0),0))</f>
        <v>0</v>
      </c>
      <c r="C206" s="5" t="str">
        <f aca="false">IF(B206=0,"",IF(INDEX(Bank!$G:$G,B206)="","",INDEX(Bank!$G:$G,B206)))</f>
        <v/>
      </c>
      <c r="D206" s="5" t="str">
        <f aca="false">IF(B206=0,"",IF(INDEX(Bank!$J:$J,B206)="","",INDEX(Bank!$J:$J,B206)))</f>
        <v/>
      </c>
      <c r="E206" s="32" t="str">
        <f aca="false">IF(B206=0,"",INDEX(Bank!$B:$B,B206))</f>
        <v/>
      </c>
      <c r="F206" s="5" t="str">
        <f aca="false">IF(B206=0,"",IF(INDEX(Bank!$C:$C,B206)="","",INDEX(Bank!$C:$C,B206)))</f>
        <v/>
      </c>
      <c r="G206" s="19" t="str">
        <f aca="false">IF(B206=0,"",INDEX(Bank!$E:$E,B206))</f>
        <v/>
      </c>
      <c r="H206" s="5" t="str">
        <f aca="false">IF(B206=0,"",IF(INDEX(Bank!$H:$H,B206)="","",INDEX(Bank!$H:$H,B206)))</f>
        <v/>
      </c>
      <c r="I206" s="5" t="n">
        <f aca="false">IF(H206="",0,IFERROR(MATCH(H206,GL!$A:$A,0),0))</f>
        <v>0</v>
      </c>
      <c r="J206" s="32" t="str">
        <f aca="false">IF(I206=0,"",INDEX(GL!$B:$B,I206))</f>
        <v/>
      </c>
      <c r="K206" s="5" t="str">
        <f aca="false">IF(I206=0,"",IF(INDEX(GL!$C:$C,I206)="","",INDEX(GL!$C:$C,I206)))</f>
        <v/>
      </c>
      <c r="L206" s="19" t="str">
        <f aca="false">IF(I206=0,"",INDEX(GL!$E:$E,I206))</f>
        <v/>
      </c>
      <c r="M206" s="19" t="str">
        <f aca="false">IF(OR(B206=0,I206=0),"",ROUND(G206-L206,2))</f>
        <v/>
      </c>
      <c r="N206" s="5" t="str">
        <f aca="false">IF(A206="","",IF(B206=0,"NOT FOUND: bank ID",IF(I206=0,"NOT FOUND: GL ID",IF(INDEX(GL!$H:$H,I206)&lt;&gt;A206,"BROKEN: GL points elsewhere",IF(OR(INDEX(Bank!$F:$F,B206)&lt;&gt;"Y",INDEX(GL!$F:$F,I206)&lt;&gt;"Y"),"BROKEN: Status not Y","OK")))))</f>
        <v/>
      </c>
    </row>
    <row r="207" customFormat="false" ht="15" hidden="false" customHeight="false" outlineLevel="0" collapsed="false">
      <c r="A207" s="41"/>
      <c r="B207" s="5" t="n">
        <f aca="false">IF(A207="",0,IFERROR(MATCH(A207,Bank!$A:$A,0),0))</f>
        <v>0</v>
      </c>
      <c r="C207" s="5" t="str">
        <f aca="false">IF(B207=0,"",IF(INDEX(Bank!$G:$G,B207)="","",INDEX(Bank!$G:$G,B207)))</f>
        <v/>
      </c>
      <c r="D207" s="5" t="str">
        <f aca="false">IF(B207=0,"",IF(INDEX(Bank!$J:$J,B207)="","",INDEX(Bank!$J:$J,B207)))</f>
        <v/>
      </c>
      <c r="E207" s="32" t="str">
        <f aca="false">IF(B207=0,"",INDEX(Bank!$B:$B,B207))</f>
        <v/>
      </c>
      <c r="F207" s="5" t="str">
        <f aca="false">IF(B207=0,"",IF(INDEX(Bank!$C:$C,B207)="","",INDEX(Bank!$C:$C,B207)))</f>
        <v/>
      </c>
      <c r="G207" s="19" t="str">
        <f aca="false">IF(B207=0,"",INDEX(Bank!$E:$E,B207))</f>
        <v/>
      </c>
      <c r="H207" s="5" t="str">
        <f aca="false">IF(B207=0,"",IF(INDEX(Bank!$H:$H,B207)="","",INDEX(Bank!$H:$H,B207)))</f>
        <v/>
      </c>
      <c r="I207" s="5" t="n">
        <f aca="false">IF(H207="",0,IFERROR(MATCH(H207,GL!$A:$A,0),0))</f>
        <v>0</v>
      </c>
      <c r="J207" s="32" t="str">
        <f aca="false">IF(I207=0,"",INDEX(GL!$B:$B,I207))</f>
        <v/>
      </c>
      <c r="K207" s="5" t="str">
        <f aca="false">IF(I207=0,"",IF(INDEX(GL!$C:$C,I207)="","",INDEX(GL!$C:$C,I207)))</f>
        <v/>
      </c>
      <c r="L207" s="19" t="str">
        <f aca="false">IF(I207=0,"",INDEX(GL!$E:$E,I207))</f>
        <v/>
      </c>
      <c r="M207" s="19" t="str">
        <f aca="false">IF(OR(B207=0,I207=0),"",ROUND(G207-L207,2))</f>
        <v/>
      </c>
      <c r="N207" s="5" t="str">
        <f aca="false">IF(A207="","",IF(B207=0,"NOT FOUND: bank ID",IF(I207=0,"NOT FOUND: GL ID",IF(INDEX(GL!$H:$H,I207)&lt;&gt;A207,"BROKEN: GL points elsewhere",IF(OR(INDEX(Bank!$F:$F,B207)&lt;&gt;"Y",INDEX(GL!$F:$F,I207)&lt;&gt;"Y"),"BROKEN: Status not Y","OK")))))</f>
        <v/>
      </c>
    </row>
    <row r="208" customFormat="false" ht="15" hidden="false" customHeight="false" outlineLevel="0" collapsed="false">
      <c r="A208" s="41"/>
      <c r="B208" s="5" t="n">
        <f aca="false">IF(A208="",0,IFERROR(MATCH(A208,Bank!$A:$A,0),0))</f>
        <v>0</v>
      </c>
      <c r="C208" s="5" t="str">
        <f aca="false">IF(B208=0,"",IF(INDEX(Bank!$G:$G,B208)="","",INDEX(Bank!$G:$G,B208)))</f>
        <v/>
      </c>
      <c r="D208" s="5" t="str">
        <f aca="false">IF(B208=0,"",IF(INDEX(Bank!$J:$J,B208)="","",INDEX(Bank!$J:$J,B208)))</f>
        <v/>
      </c>
      <c r="E208" s="32" t="str">
        <f aca="false">IF(B208=0,"",INDEX(Bank!$B:$B,B208))</f>
        <v/>
      </c>
      <c r="F208" s="5" t="str">
        <f aca="false">IF(B208=0,"",IF(INDEX(Bank!$C:$C,B208)="","",INDEX(Bank!$C:$C,B208)))</f>
        <v/>
      </c>
      <c r="G208" s="19" t="str">
        <f aca="false">IF(B208=0,"",INDEX(Bank!$E:$E,B208))</f>
        <v/>
      </c>
      <c r="H208" s="5" t="str">
        <f aca="false">IF(B208=0,"",IF(INDEX(Bank!$H:$H,B208)="","",INDEX(Bank!$H:$H,B208)))</f>
        <v/>
      </c>
      <c r="I208" s="5" t="n">
        <f aca="false">IF(H208="",0,IFERROR(MATCH(H208,GL!$A:$A,0),0))</f>
        <v>0</v>
      </c>
      <c r="J208" s="32" t="str">
        <f aca="false">IF(I208=0,"",INDEX(GL!$B:$B,I208))</f>
        <v/>
      </c>
      <c r="K208" s="5" t="str">
        <f aca="false">IF(I208=0,"",IF(INDEX(GL!$C:$C,I208)="","",INDEX(GL!$C:$C,I208)))</f>
        <v/>
      </c>
      <c r="L208" s="19" t="str">
        <f aca="false">IF(I208=0,"",INDEX(GL!$E:$E,I208))</f>
        <v/>
      </c>
      <c r="M208" s="19" t="str">
        <f aca="false">IF(OR(B208=0,I208=0),"",ROUND(G208-L208,2))</f>
        <v/>
      </c>
      <c r="N208" s="5" t="str">
        <f aca="false">IF(A208="","",IF(B208=0,"NOT FOUND: bank ID",IF(I208=0,"NOT FOUND: GL ID",IF(INDEX(GL!$H:$H,I208)&lt;&gt;A208,"BROKEN: GL points elsewhere",IF(OR(INDEX(Bank!$F:$F,B208)&lt;&gt;"Y",INDEX(GL!$F:$F,I208)&lt;&gt;"Y"),"BROKEN: Status not Y","OK")))))</f>
        <v/>
      </c>
    </row>
    <row r="209" customFormat="false" ht="15" hidden="false" customHeight="false" outlineLevel="0" collapsed="false">
      <c r="A209" s="41"/>
      <c r="B209" s="5" t="n">
        <f aca="false">IF(A209="",0,IFERROR(MATCH(A209,Bank!$A:$A,0),0))</f>
        <v>0</v>
      </c>
      <c r="C209" s="5" t="str">
        <f aca="false">IF(B209=0,"",IF(INDEX(Bank!$G:$G,B209)="","",INDEX(Bank!$G:$G,B209)))</f>
        <v/>
      </c>
      <c r="D209" s="5" t="str">
        <f aca="false">IF(B209=0,"",IF(INDEX(Bank!$J:$J,B209)="","",INDEX(Bank!$J:$J,B209)))</f>
        <v/>
      </c>
      <c r="E209" s="32" t="str">
        <f aca="false">IF(B209=0,"",INDEX(Bank!$B:$B,B209))</f>
        <v/>
      </c>
      <c r="F209" s="5" t="str">
        <f aca="false">IF(B209=0,"",IF(INDEX(Bank!$C:$C,B209)="","",INDEX(Bank!$C:$C,B209)))</f>
        <v/>
      </c>
      <c r="G209" s="19" t="str">
        <f aca="false">IF(B209=0,"",INDEX(Bank!$E:$E,B209))</f>
        <v/>
      </c>
      <c r="H209" s="5" t="str">
        <f aca="false">IF(B209=0,"",IF(INDEX(Bank!$H:$H,B209)="","",INDEX(Bank!$H:$H,B209)))</f>
        <v/>
      </c>
      <c r="I209" s="5" t="n">
        <f aca="false">IF(H209="",0,IFERROR(MATCH(H209,GL!$A:$A,0),0))</f>
        <v>0</v>
      </c>
      <c r="J209" s="32" t="str">
        <f aca="false">IF(I209=0,"",INDEX(GL!$B:$B,I209))</f>
        <v/>
      </c>
      <c r="K209" s="5" t="str">
        <f aca="false">IF(I209=0,"",IF(INDEX(GL!$C:$C,I209)="","",INDEX(GL!$C:$C,I209)))</f>
        <v/>
      </c>
      <c r="L209" s="19" t="str">
        <f aca="false">IF(I209=0,"",INDEX(GL!$E:$E,I209))</f>
        <v/>
      </c>
      <c r="M209" s="19" t="str">
        <f aca="false">IF(OR(B209=0,I209=0),"",ROUND(G209-L209,2))</f>
        <v/>
      </c>
      <c r="N209" s="5" t="str">
        <f aca="false">IF(A209="","",IF(B209=0,"NOT FOUND: bank ID",IF(I209=0,"NOT FOUND: GL ID",IF(INDEX(GL!$H:$H,I209)&lt;&gt;A209,"BROKEN: GL points elsewhere",IF(OR(INDEX(Bank!$F:$F,B209)&lt;&gt;"Y",INDEX(GL!$F:$F,I209)&lt;&gt;"Y"),"BROKEN: Status not Y","OK")))))</f>
        <v/>
      </c>
    </row>
    <row r="210" customFormat="false" ht="15" hidden="false" customHeight="false" outlineLevel="0" collapsed="false">
      <c r="A210" s="41"/>
      <c r="B210" s="5" t="n">
        <f aca="false">IF(A210="",0,IFERROR(MATCH(A210,Bank!$A:$A,0),0))</f>
        <v>0</v>
      </c>
      <c r="C210" s="5" t="str">
        <f aca="false">IF(B210=0,"",IF(INDEX(Bank!$G:$G,B210)="","",INDEX(Bank!$G:$G,B210)))</f>
        <v/>
      </c>
      <c r="D210" s="5" t="str">
        <f aca="false">IF(B210=0,"",IF(INDEX(Bank!$J:$J,B210)="","",INDEX(Bank!$J:$J,B210)))</f>
        <v/>
      </c>
      <c r="E210" s="32" t="str">
        <f aca="false">IF(B210=0,"",INDEX(Bank!$B:$B,B210))</f>
        <v/>
      </c>
      <c r="F210" s="5" t="str">
        <f aca="false">IF(B210=0,"",IF(INDEX(Bank!$C:$C,B210)="","",INDEX(Bank!$C:$C,B210)))</f>
        <v/>
      </c>
      <c r="G210" s="19" t="str">
        <f aca="false">IF(B210=0,"",INDEX(Bank!$E:$E,B210))</f>
        <v/>
      </c>
      <c r="H210" s="5" t="str">
        <f aca="false">IF(B210=0,"",IF(INDEX(Bank!$H:$H,B210)="","",INDEX(Bank!$H:$H,B210)))</f>
        <v/>
      </c>
      <c r="I210" s="5" t="n">
        <f aca="false">IF(H210="",0,IFERROR(MATCH(H210,GL!$A:$A,0),0))</f>
        <v>0</v>
      </c>
      <c r="J210" s="32" t="str">
        <f aca="false">IF(I210=0,"",INDEX(GL!$B:$B,I210))</f>
        <v/>
      </c>
      <c r="K210" s="5" t="str">
        <f aca="false">IF(I210=0,"",IF(INDEX(GL!$C:$C,I210)="","",INDEX(GL!$C:$C,I210)))</f>
        <v/>
      </c>
      <c r="L210" s="19" t="str">
        <f aca="false">IF(I210=0,"",INDEX(GL!$E:$E,I210))</f>
        <v/>
      </c>
      <c r="M210" s="19" t="str">
        <f aca="false">IF(OR(B210=0,I210=0),"",ROUND(G210-L210,2))</f>
        <v/>
      </c>
      <c r="N210" s="5" t="str">
        <f aca="false">IF(A210="","",IF(B210=0,"NOT FOUND: bank ID",IF(I210=0,"NOT FOUND: GL ID",IF(INDEX(GL!$H:$H,I210)&lt;&gt;A210,"BROKEN: GL points elsewhere",IF(OR(INDEX(Bank!$F:$F,B210)&lt;&gt;"Y",INDEX(GL!$F:$F,I210)&lt;&gt;"Y"),"BROKEN: Status not Y","OK")))))</f>
        <v/>
      </c>
    </row>
    <row r="211" customFormat="false" ht="15" hidden="false" customHeight="false" outlineLevel="0" collapsed="false">
      <c r="A211" s="41"/>
      <c r="B211" s="5" t="n">
        <f aca="false">IF(A211="",0,IFERROR(MATCH(A211,Bank!$A:$A,0),0))</f>
        <v>0</v>
      </c>
      <c r="C211" s="5" t="str">
        <f aca="false">IF(B211=0,"",IF(INDEX(Bank!$G:$G,B211)="","",INDEX(Bank!$G:$G,B211)))</f>
        <v/>
      </c>
      <c r="D211" s="5" t="str">
        <f aca="false">IF(B211=0,"",IF(INDEX(Bank!$J:$J,B211)="","",INDEX(Bank!$J:$J,B211)))</f>
        <v/>
      </c>
      <c r="E211" s="32" t="str">
        <f aca="false">IF(B211=0,"",INDEX(Bank!$B:$B,B211))</f>
        <v/>
      </c>
      <c r="F211" s="5" t="str">
        <f aca="false">IF(B211=0,"",IF(INDEX(Bank!$C:$C,B211)="","",INDEX(Bank!$C:$C,B211)))</f>
        <v/>
      </c>
      <c r="G211" s="19" t="str">
        <f aca="false">IF(B211=0,"",INDEX(Bank!$E:$E,B211))</f>
        <v/>
      </c>
      <c r="H211" s="5" t="str">
        <f aca="false">IF(B211=0,"",IF(INDEX(Bank!$H:$H,B211)="","",INDEX(Bank!$H:$H,B211)))</f>
        <v/>
      </c>
      <c r="I211" s="5" t="n">
        <f aca="false">IF(H211="",0,IFERROR(MATCH(H211,GL!$A:$A,0),0))</f>
        <v>0</v>
      </c>
      <c r="J211" s="32" t="str">
        <f aca="false">IF(I211=0,"",INDEX(GL!$B:$B,I211))</f>
        <v/>
      </c>
      <c r="K211" s="5" t="str">
        <f aca="false">IF(I211=0,"",IF(INDEX(GL!$C:$C,I211)="","",INDEX(GL!$C:$C,I211)))</f>
        <v/>
      </c>
      <c r="L211" s="19" t="str">
        <f aca="false">IF(I211=0,"",INDEX(GL!$E:$E,I211))</f>
        <v/>
      </c>
      <c r="M211" s="19" t="str">
        <f aca="false">IF(OR(B211=0,I211=0),"",ROUND(G211-L211,2))</f>
        <v/>
      </c>
      <c r="N211" s="5" t="str">
        <f aca="false">IF(A211="","",IF(B211=0,"NOT FOUND: bank ID",IF(I211=0,"NOT FOUND: GL ID",IF(INDEX(GL!$H:$H,I211)&lt;&gt;A211,"BROKEN: GL points elsewhere",IF(OR(INDEX(Bank!$F:$F,B211)&lt;&gt;"Y",INDEX(GL!$F:$F,I211)&lt;&gt;"Y"),"BROKEN: Status not Y","OK")))))</f>
        <v/>
      </c>
    </row>
    <row r="212" customFormat="false" ht="15" hidden="false" customHeight="false" outlineLevel="0" collapsed="false">
      <c r="A212" s="41"/>
      <c r="B212" s="5" t="n">
        <f aca="false">IF(A212="",0,IFERROR(MATCH(A212,Bank!$A:$A,0),0))</f>
        <v>0</v>
      </c>
      <c r="C212" s="5" t="str">
        <f aca="false">IF(B212=0,"",IF(INDEX(Bank!$G:$G,B212)="","",INDEX(Bank!$G:$G,B212)))</f>
        <v/>
      </c>
      <c r="D212" s="5" t="str">
        <f aca="false">IF(B212=0,"",IF(INDEX(Bank!$J:$J,B212)="","",INDEX(Bank!$J:$J,B212)))</f>
        <v/>
      </c>
      <c r="E212" s="32" t="str">
        <f aca="false">IF(B212=0,"",INDEX(Bank!$B:$B,B212))</f>
        <v/>
      </c>
      <c r="F212" s="5" t="str">
        <f aca="false">IF(B212=0,"",IF(INDEX(Bank!$C:$C,B212)="","",INDEX(Bank!$C:$C,B212)))</f>
        <v/>
      </c>
      <c r="G212" s="19" t="str">
        <f aca="false">IF(B212=0,"",INDEX(Bank!$E:$E,B212))</f>
        <v/>
      </c>
      <c r="H212" s="5" t="str">
        <f aca="false">IF(B212=0,"",IF(INDEX(Bank!$H:$H,B212)="","",INDEX(Bank!$H:$H,B212)))</f>
        <v/>
      </c>
      <c r="I212" s="5" t="n">
        <f aca="false">IF(H212="",0,IFERROR(MATCH(H212,GL!$A:$A,0),0))</f>
        <v>0</v>
      </c>
      <c r="J212" s="32" t="str">
        <f aca="false">IF(I212=0,"",INDEX(GL!$B:$B,I212))</f>
        <v/>
      </c>
      <c r="K212" s="5" t="str">
        <f aca="false">IF(I212=0,"",IF(INDEX(GL!$C:$C,I212)="","",INDEX(GL!$C:$C,I212)))</f>
        <v/>
      </c>
      <c r="L212" s="19" t="str">
        <f aca="false">IF(I212=0,"",INDEX(GL!$E:$E,I212))</f>
        <v/>
      </c>
      <c r="M212" s="19" t="str">
        <f aca="false">IF(OR(B212=0,I212=0),"",ROUND(G212-L212,2))</f>
        <v/>
      </c>
      <c r="N212" s="5" t="str">
        <f aca="false">IF(A212="","",IF(B212=0,"NOT FOUND: bank ID",IF(I212=0,"NOT FOUND: GL ID",IF(INDEX(GL!$H:$H,I212)&lt;&gt;A212,"BROKEN: GL points elsewhere",IF(OR(INDEX(Bank!$F:$F,B212)&lt;&gt;"Y",INDEX(GL!$F:$F,I212)&lt;&gt;"Y"),"BROKEN: Status not Y","OK")))))</f>
        <v/>
      </c>
    </row>
    <row r="213" customFormat="false" ht="15" hidden="false" customHeight="false" outlineLevel="0" collapsed="false">
      <c r="A213" s="41"/>
      <c r="B213" s="5" t="n">
        <f aca="false">IF(A213="",0,IFERROR(MATCH(A213,Bank!$A:$A,0),0))</f>
        <v>0</v>
      </c>
      <c r="C213" s="5" t="str">
        <f aca="false">IF(B213=0,"",IF(INDEX(Bank!$G:$G,B213)="","",INDEX(Bank!$G:$G,B213)))</f>
        <v/>
      </c>
      <c r="D213" s="5" t="str">
        <f aca="false">IF(B213=0,"",IF(INDEX(Bank!$J:$J,B213)="","",INDEX(Bank!$J:$J,B213)))</f>
        <v/>
      </c>
      <c r="E213" s="32" t="str">
        <f aca="false">IF(B213=0,"",INDEX(Bank!$B:$B,B213))</f>
        <v/>
      </c>
      <c r="F213" s="5" t="str">
        <f aca="false">IF(B213=0,"",IF(INDEX(Bank!$C:$C,B213)="","",INDEX(Bank!$C:$C,B213)))</f>
        <v/>
      </c>
      <c r="G213" s="19" t="str">
        <f aca="false">IF(B213=0,"",INDEX(Bank!$E:$E,B213))</f>
        <v/>
      </c>
      <c r="H213" s="5" t="str">
        <f aca="false">IF(B213=0,"",IF(INDEX(Bank!$H:$H,B213)="","",INDEX(Bank!$H:$H,B213)))</f>
        <v/>
      </c>
      <c r="I213" s="5" t="n">
        <f aca="false">IF(H213="",0,IFERROR(MATCH(H213,GL!$A:$A,0),0))</f>
        <v>0</v>
      </c>
      <c r="J213" s="32" t="str">
        <f aca="false">IF(I213=0,"",INDEX(GL!$B:$B,I213))</f>
        <v/>
      </c>
      <c r="K213" s="5" t="str">
        <f aca="false">IF(I213=0,"",IF(INDEX(GL!$C:$C,I213)="","",INDEX(GL!$C:$C,I213)))</f>
        <v/>
      </c>
      <c r="L213" s="19" t="str">
        <f aca="false">IF(I213=0,"",INDEX(GL!$E:$E,I213))</f>
        <v/>
      </c>
      <c r="M213" s="19" t="str">
        <f aca="false">IF(OR(B213=0,I213=0),"",ROUND(G213-L213,2))</f>
        <v/>
      </c>
      <c r="N213" s="5" t="str">
        <f aca="false">IF(A213="","",IF(B213=0,"NOT FOUND: bank ID",IF(I213=0,"NOT FOUND: GL ID",IF(INDEX(GL!$H:$H,I213)&lt;&gt;A213,"BROKEN: GL points elsewhere",IF(OR(INDEX(Bank!$F:$F,B213)&lt;&gt;"Y",INDEX(GL!$F:$F,I213)&lt;&gt;"Y"),"BROKEN: Status not Y","OK")))))</f>
        <v/>
      </c>
    </row>
    <row r="214" customFormat="false" ht="15" hidden="false" customHeight="false" outlineLevel="0" collapsed="false">
      <c r="A214" s="41"/>
      <c r="B214" s="5" t="n">
        <f aca="false">IF(A214="",0,IFERROR(MATCH(A214,Bank!$A:$A,0),0))</f>
        <v>0</v>
      </c>
      <c r="C214" s="5" t="str">
        <f aca="false">IF(B214=0,"",IF(INDEX(Bank!$G:$G,B214)="","",INDEX(Bank!$G:$G,B214)))</f>
        <v/>
      </c>
      <c r="D214" s="5" t="str">
        <f aca="false">IF(B214=0,"",IF(INDEX(Bank!$J:$J,B214)="","",INDEX(Bank!$J:$J,B214)))</f>
        <v/>
      </c>
      <c r="E214" s="32" t="str">
        <f aca="false">IF(B214=0,"",INDEX(Bank!$B:$B,B214))</f>
        <v/>
      </c>
      <c r="F214" s="5" t="str">
        <f aca="false">IF(B214=0,"",IF(INDEX(Bank!$C:$C,B214)="","",INDEX(Bank!$C:$C,B214)))</f>
        <v/>
      </c>
      <c r="G214" s="19" t="str">
        <f aca="false">IF(B214=0,"",INDEX(Bank!$E:$E,B214))</f>
        <v/>
      </c>
      <c r="H214" s="5" t="str">
        <f aca="false">IF(B214=0,"",IF(INDEX(Bank!$H:$H,B214)="","",INDEX(Bank!$H:$H,B214)))</f>
        <v/>
      </c>
      <c r="I214" s="5" t="n">
        <f aca="false">IF(H214="",0,IFERROR(MATCH(H214,GL!$A:$A,0),0))</f>
        <v>0</v>
      </c>
      <c r="J214" s="32" t="str">
        <f aca="false">IF(I214=0,"",INDEX(GL!$B:$B,I214))</f>
        <v/>
      </c>
      <c r="K214" s="5" t="str">
        <f aca="false">IF(I214=0,"",IF(INDEX(GL!$C:$C,I214)="","",INDEX(GL!$C:$C,I214)))</f>
        <v/>
      </c>
      <c r="L214" s="19" t="str">
        <f aca="false">IF(I214=0,"",INDEX(GL!$E:$E,I214))</f>
        <v/>
      </c>
      <c r="M214" s="19" t="str">
        <f aca="false">IF(OR(B214=0,I214=0),"",ROUND(G214-L214,2))</f>
        <v/>
      </c>
      <c r="N214" s="5" t="str">
        <f aca="false">IF(A214="","",IF(B214=0,"NOT FOUND: bank ID",IF(I214=0,"NOT FOUND: GL ID",IF(INDEX(GL!$H:$H,I214)&lt;&gt;A214,"BROKEN: GL points elsewhere",IF(OR(INDEX(Bank!$F:$F,B214)&lt;&gt;"Y",INDEX(GL!$F:$F,I214)&lt;&gt;"Y"),"BROKEN: Status not Y","OK")))))</f>
        <v/>
      </c>
    </row>
    <row r="215" customFormat="false" ht="15" hidden="false" customHeight="false" outlineLevel="0" collapsed="false">
      <c r="A215" s="41"/>
      <c r="B215" s="5" t="n">
        <f aca="false">IF(A215="",0,IFERROR(MATCH(A215,Bank!$A:$A,0),0))</f>
        <v>0</v>
      </c>
      <c r="C215" s="5" t="str">
        <f aca="false">IF(B215=0,"",IF(INDEX(Bank!$G:$G,B215)="","",INDEX(Bank!$G:$G,B215)))</f>
        <v/>
      </c>
      <c r="D215" s="5" t="str">
        <f aca="false">IF(B215=0,"",IF(INDEX(Bank!$J:$J,B215)="","",INDEX(Bank!$J:$J,B215)))</f>
        <v/>
      </c>
      <c r="E215" s="32" t="str">
        <f aca="false">IF(B215=0,"",INDEX(Bank!$B:$B,B215))</f>
        <v/>
      </c>
      <c r="F215" s="5" t="str">
        <f aca="false">IF(B215=0,"",IF(INDEX(Bank!$C:$C,B215)="","",INDEX(Bank!$C:$C,B215)))</f>
        <v/>
      </c>
      <c r="G215" s="19" t="str">
        <f aca="false">IF(B215=0,"",INDEX(Bank!$E:$E,B215))</f>
        <v/>
      </c>
      <c r="H215" s="5" t="str">
        <f aca="false">IF(B215=0,"",IF(INDEX(Bank!$H:$H,B215)="","",INDEX(Bank!$H:$H,B215)))</f>
        <v/>
      </c>
      <c r="I215" s="5" t="n">
        <f aca="false">IF(H215="",0,IFERROR(MATCH(H215,GL!$A:$A,0),0))</f>
        <v>0</v>
      </c>
      <c r="J215" s="32" t="str">
        <f aca="false">IF(I215=0,"",INDEX(GL!$B:$B,I215))</f>
        <v/>
      </c>
      <c r="K215" s="5" t="str">
        <f aca="false">IF(I215=0,"",IF(INDEX(GL!$C:$C,I215)="","",INDEX(GL!$C:$C,I215)))</f>
        <v/>
      </c>
      <c r="L215" s="19" t="str">
        <f aca="false">IF(I215=0,"",INDEX(GL!$E:$E,I215))</f>
        <v/>
      </c>
      <c r="M215" s="19" t="str">
        <f aca="false">IF(OR(B215=0,I215=0),"",ROUND(G215-L215,2))</f>
        <v/>
      </c>
      <c r="N215" s="5" t="str">
        <f aca="false">IF(A215="","",IF(B215=0,"NOT FOUND: bank ID",IF(I215=0,"NOT FOUND: GL ID",IF(INDEX(GL!$H:$H,I215)&lt;&gt;A215,"BROKEN: GL points elsewhere",IF(OR(INDEX(Bank!$F:$F,B215)&lt;&gt;"Y",INDEX(GL!$F:$F,I215)&lt;&gt;"Y"),"BROKEN: Status not Y","OK")))))</f>
        <v/>
      </c>
    </row>
    <row r="216" customFormat="false" ht="15" hidden="false" customHeight="false" outlineLevel="0" collapsed="false">
      <c r="A216" s="41"/>
      <c r="B216" s="5" t="n">
        <f aca="false">IF(A216="",0,IFERROR(MATCH(A216,Bank!$A:$A,0),0))</f>
        <v>0</v>
      </c>
      <c r="C216" s="5" t="str">
        <f aca="false">IF(B216=0,"",IF(INDEX(Bank!$G:$G,B216)="","",INDEX(Bank!$G:$G,B216)))</f>
        <v/>
      </c>
      <c r="D216" s="5" t="str">
        <f aca="false">IF(B216=0,"",IF(INDEX(Bank!$J:$J,B216)="","",INDEX(Bank!$J:$J,B216)))</f>
        <v/>
      </c>
      <c r="E216" s="32" t="str">
        <f aca="false">IF(B216=0,"",INDEX(Bank!$B:$B,B216))</f>
        <v/>
      </c>
      <c r="F216" s="5" t="str">
        <f aca="false">IF(B216=0,"",IF(INDEX(Bank!$C:$C,B216)="","",INDEX(Bank!$C:$C,B216)))</f>
        <v/>
      </c>
      <c r="G216" s="19" t="str">
        <f aca="false">IF(B216=0,"",INDEX(Bank!$E:$E,B216))</f>
        <v/>
      </c>
      <c r="H216" s="5" t="str">
        <f aca="false">IF(B216=0,"",IF(INDEX(Bank!$H:$H,B216)="","",INDEX(Bank!$H:$H,B216)))</f>
        <v/>
      </c>
      <c r="I216" s="5" t="n">
        <f aca="false">IF(H216="",0,IFERROR(MATCH(H216,GL!$A:$A,0),0))</f>
        <v>0</v>
      </c>
      <c r="J216" s="32" t="str">
        <f aca="false">IF(I216=0,"",INDEX(GL!$B:$B,I216))</f>
        <v/>
      </c>
      <c r="K216" s="5" t="str">
        <f aca="false">IF(I216=0,"",IF(INDEX(GL!$C:$C,I216)="","",INDEX(GL!$C:$C,I216)))</f>
        <v/>
      </c>
      <c r="L216" s="19" t="str">
        <f aca="false">IF(I216=0,"",INDEX(GL!$E:$E,I216))</f>
        <v/>
      </c>
      <c r="M216" s="19" t="str">
        <f aca="false">IF(OR(B216=0,I216=0),"",ROUND(G216-L216,2))</f>
        <v/>
      </c>
      <c r="N216" s="5" t="str">
        <f aca="false">IF(A216="","",IF(B216=0,"NOT FOUND: bank ID",IF(I216=0,"NOT FOUND: GL ID",IF(INDEX(GL!$H:$H,I216)&lt;&gt;A216,"BROKEN: GL points elsewhere",IF(OR(INDEX(Bank!$F:$F,B216)&lt;&gt;"Y",INDEX(GL!$F:$F,I216)&lt;&gt;"Y"),"BROKEN: Status not Y","OK")))))</f>
        <v/>
      </c>
    </row>
    <row r="217" customFormat="false" ht="15" hidden="false" customHeight="false" outlineLevel="0" collapsed="false">
      <c r="A217" s="41"/>
      <c r="B217" s="5" t="n">
        <f aca="false">IF(A217="",0,IFERROR(MATCH(A217,Bank!$A:$A,0),0))</f>
        <v>0</v>
      </c>
      <c r="C217" s="5" t="str">
        <f aca="false">IF(B217=0,"",IF(INDEX(Bank!$G:$G,B217)="","",INDEX(Bank!$G:$G,B217)))</f>
        <v/>
      </c>
      <c r="D217" s="5" t="str">
        <f aca="false">IF(B217=0,"",IF(INDEX(Bank!$J:$J,B217)="","",INDEX(Bank!$J:$J,B217)))</f>
        <v/>
      </c>
      <c r="E217" s="32" t="str">
        <f aca="false">IF(B217=0,"",INDEX(Bank!$B:$B,B217))</f>
        <v/>
      </c>
      <c r="F217" s="5" t="str">
        <f aca="false">IF(B217=0,"",IF(INDEX(Bank!$C:$C,B217)="","",INDEX(Bank!$C:$C,B217)))</f>
        <v/>
      </c>
      <c r="G217" s="19" t="str">
        <f aca="false">IF(B217=0,"",INDEX(Bank!$E:$E,B217))</f>
        <v/>
      </c>
      <c r="H217" s="5" t="str">
        <f aca="false">IF(B217=0,"",IF(INDEX(Bank!$H:$H,B217)="","",INDEX(Bank!$H:$H,B217)))</f>
        <v/>
      </c>
      <c r="I217" s="5" t="n">
        <f aca="false">IF(H217="",0,IFERROR(MATCH(H217,GL!$A:$A,0),0))</f>
        <v>0</v>
      </c>
      <c r="J217" s="32" t="str">
        <f aca="false">IF(I217=0,"",INDEX(GL!$B:$B,I217))</f>
        <v/>
      </c>
      <c r="K217" s="5" t="str">
        <f aca="false">IF(I217=0,"",IF(INDEX(GL!$C:$C,I217)="","",INDEX(GL!$C:$C,I217)))</f>
        <v/>
      </c>
      <c r="L217" s="19" t="str">
        <f aca="false">IF(I217=0,"",INDEX(GL!$E:$E,I217))</f>
        <v/>
      </c>
      <c r="M217" s="19" t="str">
        <f aca="false">IF(OR(B217=0,I217=0),"",ROUND(G217-L217,2))</f>
        <v/>
      </c>
      <c r="N217" s="5" t="str">
        <f aca="false">IF(A217="","",IF(B217=0,"NOT FOUND: bank ID",IF(I217=0,"NOT FOUND: GL ID",IF(INDEX(GL!$H:$H,I217)&lt;&gt;A217,"BROKEN: GL points elsewhere",IF(OR(INDEX(Bank!$F:$F,B217)&lt;&gt;"Y",INDEX(GL!$F:$F,I217)&lt;&gt;"Y"),"BROKEN: Status not Y","OK")))))</f>
        <v/>
      </c>
    </row>
    <row r="218" customFormat="false" ht="15" hidden="false" customHeight="false" outlineLevel="0" collapsed="false">
      <c r="A218" s="41"/>
      <c r="B218" s="5" t="n">
        <f aca="false">IF(A218="",0,IFERROR(MATCH(A218,Bank!$A:$A,0),0))</f>
        <v>0</v>
      </c>
      <c r="C218" s="5" t="str">
        <f aca="false">IF(B218=0,"",IF(INDEX(Bank!$G:$G,B218)="","",INDEX(Bank!$G:$G,B218)))</f>
        <v/>
      </c>
      <c r="D218" s="5" t="str">
        <f aca="false">IF(B218=0,"",IF(INDEX(Bank!$J:$J,B218)="","",INDEX(Bank!$J:$J,B218)))</f>
        <v/>
      </c>
      <c r="E218" s="32" t="str">
        <f aca="false">IF(B218=0,"",INDEX(Bank!$B:$B,B218))</f>
        <v/>
      </c>
      <c r="F218" s="5" t="str">
        <f aca="false">IF(B218=0,"",IF(INDEX(Bank!$C:$C,B218)="","",INDEX(Bank!$C:$C,B218)))</f>
        <v/>
      </c>
      <c r="G218" s="19" t="str">
        <f aca="false">IF(B218=0,"",INDEX(Bank!$E:$E,B218))</f>
        <v/>
      </c>
      <c r="H218" s="5" t="str">
        <f aca="false">IF(B218=0,"",IF(INDEX(Bank!$H:$H,B218)="","",INDEX(Bank!$H:$H,B218)))</f>
        <v/>
      </c>
      <c r="I218" s="5" t="n">
        <f aca="false">IF(H218="",0,IFERROR(MATCH(H218,GL!$A:$A,0),0))</f>
        <v>0</v>
      </c>
      <c r="J218" s="32" t="str">
        <f aca="false">IF(I218=0,"",INDEX(GL!$B:$B,I218))</f>
        <v/>
      </c>
      <c r="K218" s="5" t="str">
        <f aca="false">IF(I218=0,"",IF(INDEX(GL!$C:$C,I218)="","",INDEX(GL!$C:$C,I218)))</f>
        <v/>
      </c>
      <c r="L218" s="19" t="str">
        <f aca="false">IF(I218=0,"",INDEX(GL!$E:$E,I218))</f>
        <v/>
      </c>
      <c r="M218" s="19" t="str">
        <f aca="false">IF(OR(B218=0,I218=0),"",ROUND(G218-L218,2))</f>
        <v/>
      </c>
      <c r="N218" s="5" t="str">
        <f aca="false">IF(A218="","",IF(B218=0,"NOT FOUND: bank ID",IF(I218=0,"NOT FOUND: GL ID",IF(INDEX(GL!$H:$H,I218)&lt;&gt;A218,"BROKEN: GL points elsewhere",IF(OR(INDEX(Bank!$F:$F,B218)&lt;&gt;"Y",INDEX(GL!$F:$F,I218)&lt;&gt;"Y"),"BROKEN: Status not Y","OK")))))</f>
        <v/>
      </c>
    </row>
    <row r="219" customFormat="false" ht="15" hidden="false" customHeight="false" outlineLevel="0" collapsed="false">
      <c r="A219" s="41"/>
      <c r="B219" s="5" t="n">
        <f aca="false">IF(A219="",0,IFERROR(MATCH(A219,Bank!$A:$A,0),0))</f>
        <v>0</v>
      </c>
      <c r="C219" s="5" t="str">
        <f aca="false">IF(B219=0,"",IF(INDEX(Bank!$G:$G,B219)="","",INDEX(Bank!$G:$G,B219)))</f>
        <v/>
      </c>
      <c r="D219" s="5" t="str">
        <f aca="false">IF(B219=0,"",IF(INDEX(Bank!$J:$J,B219)="","",INDEX(Bank!$J:$J,B219)))</f>
        <v/>
      </c>
      <c r="E219" s="32" t="str">
        <f aca="false">IF(B219=0,"",INDEX(Bank!$B:$B,B219))</f>
        <v/>
      </c>
      <c r="F219" s="5" t="str">
        <f aca="false">IF(B219=0,"",IF(INDEX(Bank!$C:$C,B219)="","",INDEX(Bank!$C:$C,B219)))</f>
        <v/>
      </c>
      <c r="G219" s="19" t="str">
        <f aca="false">IF(B219=0,"",INDEX(Bank!$E:$E,B219))</f>
        <v/>
      </c>
      <c r="H219" s="5" t="str">
        <f aca="false">IF(B219=0,"",IF(INDEX(Bank!$H:$H,B219)="","",INDEX(Bank!$H:$H,B219)))</f>
        <v/>
      </c>
      <c r="I219" s="5" t="n">
        <f aca="false">IF(H219="",0,IFERROR(MATCH(H219,GL!$A:$A,0),0))</f>
        <v>0</v>
      </c>
      <c r="J219" s="32" t="str">
        <f aca="false">IF(I219=0,"",INDEX(GL!$B:$B,I219))</f>
        <v/>
      </c>
      <c r="K219" s="5" t="str">
        <f aca="false">IF(I219=0,"",IF(INDEX(GL!$C:$C,I219)="","",INDEX(GL!$C:$C,I219)))</f>
        <v/>
      </c>
      <c r="L219" s="19" t="str">
        <f aca="false">IF(I219=0,"",INDEX(GL!$E:$E,I219))</f>
        <v/>
      </c>
      <c r="M219" s="19" t="str">
        <f aca="false">IF(OR(B219=0,I219=0),"",ROUND(G219-L219,2))</f>
        <v/>
      </c>
      <c r="N219" s="5" t="str">
        <f aca="false">IF(A219="","",IF(B219=0,"NOT FOUND: bank ID",IF(I219=0,"NOT FOUND: GL ID",IF(INDEX(GL!$H:$H,I219)&lt;&gt;A219,"BROKEN: GL points elsewhere",IF(OR(INDEX(Bank!$F:$F,B219)&lt;&gt;"Y",INDEX(GL!$F:$F,I219)&lt;&gt;"Y"),"BROKEN: Status not Y","OK")))))</f>
        <v/>
      </c>
    </row>
    <row r="220" customFormat="false" ht="15" hidden="false" customHeight="false" outlineLevel="0" collapsed="false">
      <c r="A220" s="41"/>
      <c r="B220" s="5" t="n">
        <f aca="false">IF(A220="",0,IFERROR(MATCH(A220,Bank!$A:$A,0),0))</f>
        <v>0</v>
      </c>
      <c r="C220" s="5" t="str">
        <f aca="false">IF(B220=0,"",IF(INDEX(Bank!$G:$G,B220)="","",INDEX(Bank!$G:$G,B220)))</f>
        <v/>
      </c>
      <c r="D220" s="5" t="str">
        <f aca="false">IF(B220=0,"",IF(INDEX(Bank!$J:$J,B220)="","",INDEX(Bank!$J:$J,B220)))</f>
        <v/>
      </c>
      <c r="E220" s="32" t="str">
        <f aca="false">IF(B220=0,"",INDEX(Bank!$B:$B,B220))</f>
        <v/>
      </c>
      <c r="F220" s="5" t="str">
        <f aca="false">IF(B220=0,"",IF(INDEX(Bank!$C:$C,B220)="","",INDEX(Bank!$C:$C,B220)))</f>
        <v/>
      </c>
      <c r="G220" s="19" t="str">
        <f aca="false">IF(B220=0,"",INDEX(Bank!$E:$E,B220))</f>
        <v/>
      </c>
      <c r="H220" s="5" t="str">
        <f aca="false">IF(B220=0,"",IF(INDEX(Bank!$H:$H,B220)="","",INDEX(Bank!$H:$H,B220)))</f>
        <v/>
      </c>
      <c r="I220" s="5" t="n">
        <f aca="false">IF(H220="",0,IFERROR(MATCH(H220,GL!$A:$A,0),0))</f>
        <v>0</v>
      </c>
      <c r="J220" s="32" t="str">
        <f aca="false">IF(I220=0,"",INDEX(GL!$B:$B,I220))</f>
        <v/>
      </c>
      <c r="K220" s="5" t="str">
        <f aca="false">IF(I220=0,"",IF(INDEX(GL!$C:$C,I220)="","",INDEX(GL!$C:$C,I220)))</f>
        <v/>
      </c>
      <c r="L220" s="19" t="str">
        <f aca="false">IF(I220=0,"",INDEX(GL!$E:$E,I220))</f>
        <v/>
      </c>
      <c r="M220" s="19" t="str">
        <f aca="false">IF(OR(B220=0,I220=0),"",ROUND(G220-L220,2))</f>
        <v/>
      </c>
      <c r="N220" s="5" t="str">
        <f aca="false">IF(A220="","",IF(B220=0,"NOT FOUND: bank ID",IF(I220=0,"NOT FOUND: GL ID",IF(INDEX(GL!$H:$H,I220)&lt;&gt;A220,"BROKEN: GL points elsewhere",IF(OR(INDEX(Bank!$F:$F,B220)&lt;&gt;"Y",INDEX(GL!$F:$F,I220)&lt;&gt;"Y"),"BROKEN: Status not Y","OK")))))</f>
        <v/>
      </c>
    </row>
    <row r="221" customFormat="false" ht="15" hidden="false" customHeight="false" outlineLevel="0" collapsed="false">
      <c r="A221" s="41"/>
      <c r="B221" s="5" t="n">
        <f aca="false">IF(A221="",0,IFERROR(MATCH(A221,Bank!$A:$A,0),0))</f>
        <v>0</v>
      </c>
      <c r="C221" s="5" t="str">
        <f aca="false">IF(B221=0,"",IF(INDEX(Bank!$G:$G,B221)="","",INDEX(Bank!$G:$G,B221)))</f>
        <v/>
      </c>
      <c r="D221" s="5" t="str">
        <f aca="false">IF(B221=0,"",IF(INDEX(Bank!$J:$J,B221)="","",INDEX(Bank!$J:$J,B221)))</f>
        <v/>
      </c>
      <c r="E221" s="32" t="str">
        <f aca="false">IF(B221=0,"",INDEX(Bank!$B:$B,B221))</f>
        <v/>
      </c>
      <c r="F221" s="5" t="str">
        <f aca="false">IF(B221=0,"",IF(INDEX(Bank!$C:$C,B221)="","",INDEX(Bank!$C:$C,B221)))</f>
        <v/>
      </c>
      <c r="G221" s="19" t="str">
        <f aca="false">IF(B221=0,"",INDEX(Bank!$E:$E,B221))</f>
        <v/>
      </c>
      <c r="H221" s="5" t="str">
        <f aca="false">IF(B221=0,"",IF(INDEX(Bank!$H:$H,B221)="","",INDEX(Bank!$H:$H,B221)))</f>
        <v/>
      </c>
      <c r="I221" s="5" t="n">
        <f aca="false">IF(H221="",0,IFERROR(MATCH(H221,GL!$A:$A,0),0))</f>
        <v>0</v>
      </c>
      <c r="J221" s="32" t="str">
        <f aca="false">IF(I221=0,"",INDEX(GL!$B:$B,I221))</f>
        <v/>
      </c>
      <c r="K221" s="5" t="str">
        <f aca="false">IF(I221=0,"",IF(INDEX(GL!$C:$C,I221)="","",INDEX(GL!$C:$C,I221)))</f>
        <v/>
      </c>
      <c r="L221" s="19" t="str">
        <f aca="false">IF(I221=0,"",INDEX(GL!$E:$E,I221))</f>
        <v/>
      </c>
      <c r="M221" s="19" t="str">
        <f aca="false">IF(OR(B221=0,I221=0),"",ROUND(G221-L221,2))</f>
        <v/>
      </c>
      <c r="N221" s="5" t="str">
        <f aca="false">IF(A221="","",IF(B221=0,"NOT FOUND: bank ID",IF(I221=0,"NOT FOUND: GL ID",IF(INDEX(GL!$H:$H,I221)&lt;&gt;A221,"BROKEN: GL points elsewhere",IF(OR(INDEX(Bank!$F:$F,B221)&lt;&gt;"Y",INDEX(GL!$F:$F,I221)&lt;&gt;"Y"),"BROKEN: Status not Y","OK")))))</f>
        <v/>
      </c>
    </row>
    <row r="222" customFormat="false" ht="15" hidden="false" customHeight="false" outlineLevel="0" collapsed="false">
      <c r="A222" s="41"/>
      <c r="B222" s="5" t="n">
        <f aca="false">IF(A222="",0,IFERROR(MATCH(A222,Bank!$A:$A,0),0))</f>
        <v>0</v>
      </c>
      <c r="C222" s="5" t="str">
        <f aca="false">IF(B222=0,"",IF(INDEX(Bank!$G:$G,B222)="","",INDEX(Bank!$G:$G,B222)))</f>
        <v/>
      </c>
      <c r="D222" s="5" t="str">
        <f aca="false">IF(B222=0,"",IF(INDEX(Bank!$J:$J,B222)="","",INDEX(Bank!$J:$J,B222)))</f>
        <v/>
      </c>
      <c r="E222" s="32" t="str">
        <f aca="false">IF(B222=0,"",INDEX(Bank!$B:$B,B222))</f>
        <v/>
      </c>
      <c r="F222" s="5" t="str">
        <f aca="false">IF(B222=0,"",IF(INDEX(Bank!$C:$C,B222)="","",INDEX(Bank!$C:$C,B222)))</f>
        <v/>
      </c>
      <c r="G222" s="19" t="str">
        <f aca="false">IF(B222=0,"",INDEX(Bank!$E:$E,B222))</f>
        <v/>
      </c>
      <c r="H222" s="5" t="str">
        <f aca="false">IF(B222=0,"",IF(INDEX(Bank!$H:$H,B222)="","",INDEX(Bank!$H:$H,B222)))</f>
        <v/>
      </c>
      <c r="I222" s="5" t="n">
        <f aca="false">IF(H222="",0,IFERROR(MATCH(H222,GL!$A:$A,0),0))</f>
        <v>0</v>
      </c>
      <c r="J222" s="32" t="str">
        <f aca="false">IF(I222=0,"",INDEX(GL!$B:$B,I222))</f>
        <v/>
      </c>
      <c r="K222" s="5" t="str">
        <f aca="false">IF(I222=0,"",IF(INDEX(GL!$C:$C,I222)="","",INDEX(GL!$C:$C,I222)))</f>
        <v/>
      </c>
      <c r="L222" s="19" t="str">
        <f aca="false">IF(I222=0,"",INDEX(GL!$E:$E,I222))</f>
        <v/>
      </c>
      <c r="M222" s="19" t="str">
        <f aca="false">IF(OR(B222=0,I222=0),"",ROUND(G222-L222,2))</f>
        <v/>
      </c>
      <c r="N222" s="5" t="str">
        <f aca="false">IF(A222="","",IF(B222=0,"NOT FOUND: bank ID",IF(I222=0,"NOT FOUND: GL ID",IF(INDEX(GL!$H:$H,I222)&lt;&gt;A222,"BROKEN: GL points elsewhere",IF(OR(INDEX(Bank!$F:$F,B222)&lt;&gt;"Y",INDEX(GL!$F:$F,I222)&lt;&gt;"Y"),"BROKEN: Status not Y","OK")))))</f>
        <v/>
      </c>
    </row>
    <row r="223" customFormat="false" ht="15" hidden="false" customHeight="false" outlineLevel="0" collapsed="false">
      <c r="A223" s="41"/>
      <c r="B223" s="5" t="n">
        <f aca="false">IF(A223="",0,IFERROR(MATCH(A223,Bank!$A:$A,0),0))</f>
        <v>0</v>
      </c>
      <c r="C223" s="5" t="str">
        <f aca="false">IF(B223=0,"",IF(INDEX(Bank!$G:$G,B223)="","",INDEX(Bank!$G:$G,B223)))</f>
        <v/>
      </c>
      <c r="D223" s="5" t="str">
        <f aca="false">IF(B223=0,"",IF(INDEX(Bank!$J:$J,B223)="","",INDEX(Bank!$J:$J,B223)))</f>
        <v/>
      </c>
      <c r="E223" s="32" t="str">
        <f aca="false">IF(B223=0,"",INDEX(Bank!$B:$B,B223))</f>
        <v/>
      </c>
      <c r="F223" s="5" t="str">
        <f aca="false">IF(B223=0,"",IF(INDEX(Bank!$C:$C,B223)="","",INDEX(Bank!$C:$C,B223)))</f>
        <v/>
      </c>
      <c r="G223" s="19" t="str">
        <f aca="false">IF(B223=0,"",INDEX(Bank!$E:$E,B223))</f>
        <v/>
      </c>
      <c r="H223" s="5" t="str">
        <f aca="false">IF(B223=0,"",IF(INDEX(Bank!$H:$H,B223)="","",INDEX(Bank!$H:$H,B223)))</f>
        <v/>
      </c>
      <c r="I223" s="5" t="n">
        <f aca="false">IF(H223="",0,IFERROR(MATCH(H223,GL!$A:$A,0),0))</f>
        <v>0</v>
      </c>
      <c r="J223" s="32" t="str">
        <f aca="false">IF(I223=0,"",INDEX(GL!$B:$B,I223))</f>
        <v/>
      </c>
      <c r="K223" s="5" t="str">
        <f aca="false">IF(I223=0,"",IF(INDEX(GL!$C:$C,I223)="","",INDEX(GL!$C:$C,I223)))</f>
        <v/>
      </c>
      <c r="L223" s="19" t="str">
        <f aca="false">IF(I223=0,"",INDEX(GL!$E:$E,I223))</f>
        <v/>
      </c>
      <c r="M223" s="19" t="str">
        <f aca="false">IF(OR(B223=0,I223=0),"",ROUND(G223-L223,2))</f>
        <v/>
      </c>
      <c r="N223" s="5" t="str">
        <f aca="false">IF(A223="","",IF(B223=0,"NOT FOUND: bank ID",IF(I223=0,"NOT FOUND: GL ID",IF(INDEX(GL!$H:$H,I223)&lt;&gt;A223,"BROKEN: GL points elsewhere",IF(OR(INDEX(Bank!$F:$F,B223)&lt;&gt;"Y",INDEX(GL!$F:$F,I223)&lt;&gt;"Y"),"BROKEN: Status not Y","OK")))))</f>
        <v/>
      </c>
    </row>
    <row r="224" customFormat="false" ht="15" hidden="false" customHeight="false" outlineLevel="0" collapsed="false">
      <c r="A224" s="41"/>
      <c r="B224" s="5" t="n">
        <f aca="false">IF(A224="",0,IFERROR(MATCH(A224,Bank!$A:$A,0),0))</f>
        <v>0</v>
      </c>
      <c r="C224" s="5" t="str">
        <f aca="false">IF(B224=0,"",IF(INDEX(Bank!$G:$G,B224)="","",INDEX(Bank!$G:$G,B224)))</f>
        <v/>
      </c>
      <c r="D224" s="5" t="str">
        <f aca="false">IF(B224=0,"",IF(INDEX(Bank!$J:$J,B224)="","",INDEX(Bank!$J:$J,B224)))</f>
        <v/>
      </c>
      <c r="E224" s="32" t="str">
        <f aca="false">IF(B224=0,"",INDEX(Bank!$B:$B,B224))</f>
        <v/>
      </c>
      <c r="F224" s="5" t="str">
        <f aca="false">IF(B224=0,"",IF(INDEX(Bank!$C:$C,B224)="","",INDEX(Bank!$C:$C,B224)))</f>
        <v/>
      </c>
      <c r="G224" s="19" t="str">
        <f aca="false">IF(B224=0,"",INDEX(Bank!$E:$E,B224))</f>
        <v/>
      </c>
      <c r="H224" s="5" t="str">
        <f aca="false">IF(B224=0,"",IF(INDEX(Bank!$H:$H,B224)="","",INDEX(Bank!$H:$H,B224)))</f>
        <v/>
      </c>
      <c r="I224" s="5" t="n">
        <f aca="false">IF(H224="",0,IFERROR(MATCH(H224,GL!$A:$A,0),0))</f>
        <v>0</v>
      </c>
      <c r="J224" s="32" t="str">
        <f aca="false">IF(I224=0,"",INDEX(GL!$B:$B,I224))</f>
        <v/>
      </c>
      <c r="K224" s="5" t="str">
        <f aca="false">IF(I224=0,"",IF(INDEX(GL!$C:$C,I224)="","",INDEX(GL!$C:$C,I224)))</f>
        <v/>
      </c>
      <c r="L224" s="19" t="str">
        <f aca="false">IF(I224=0,"",INDEX(GL!$E:$E,I224))</f>
        <v/>
      </c>
      <c r="M224" s="19" t="str">
        <f aca="false">IF(OR(B224=0,I224=0),"",ROUND(G224-L224,2))</f>
        <v/>
      </c>
      <c r="N224" s="5" t="str">
        <f aca="false">IF(A224="","",IF(B224=0,"NOT FOUND: bank ID",IF(I224=0,"NOT FOUND: GL ID",IF(INDEX(GL!$H:$H,I224)&lt;&gt;A224,"BROKEN: GL points elsewhere",IF(OR(INDEX(Bank!$F:$F,B224)&lt;&gt;"Y",INDEX(GL!$F:$F,I224)&lt;&gt;"Y"),"BROKEN: Status not Y","OK")))))</f>
        <v/>
      </c>
    </row>
    <row r="225" customFormat="false" ht="15" hidden="false" customHeight="false" outlineLevel="0" collapsed="false">
      <c r="A225" s="41"/>
      <c r="B225" s="5" t="n">
        <f aca="false">IF(A225="",0,IFERROR(MATCH(A225,Bank!$A:$A,0),0))</f>
        <v>0</v>
      </c>
      <c r="C225" s="5" t="str">
        <f aca="false">IF(B225=0,"",IF(INDEX(Bank!$G:$G,B225)="","",INDEX(Bank!$G:$G,B225)))</f>
        <v/>
      </c>
      <c r="D225" s="5" t="str">
        <f aca="false">IF(B225=0,"",IF(INDEX(Bank!$J:$J,B225)="","",INDEX(Bank!$J:$J,B225)))</f>
        <v/>
      </c>
      <c r="E225" s="32" t="str">
        <f aca="false">IF(B225=0,"",INDEX(Bank!$B:$B,B225))</f>
        <v/>
      </c>
      <c r="F225" s="5" t="str">
        <f aca="false">IF(B225=0,"",IF(INDEX(Bank!$C:$C,B225)="","",INDEX(Bank!$C:$C,B225)))</f>
        <v/>
      </c>
      <c r="G225" s="19" t="str">
        <f aca="false">IF(B225=0,"",INDEX(Bank!$E:$E,B225))</f>
        <v/>
      </c>
      <c r="H225" s="5" t="str">
        <f aca="false">IF(B225=0,"",IF(INDEX(Bank!$H:$H,B225)="","",INDEX(Bank!$H:$H,B225)))</f>
        <v/>
      </c>
      <c r="I225" s="5" t="n">
        <f aca="false">IF(H225="",0,IFERROR(MATCH(H225,GL!$A:$A,0),0))</f>
        <v>0</v>
      </c>
      <c r="J225" s="32" t="str">
        <f aca="false">IF(I225=0,"",INDEX(GL!$B:$B,I225))</f>
        <v/>
      </c>
      <c r="K225" s="5" t="str">
        <f aca="false">IF(I225=0,"",IF(INDEX(GL!$C:$C,I225)="","",INDEX(GL!$C:$C,I225)))</f>
        <v/>
      </c>
      <c r="L225" s="19" t="str">
        <f aca="false">IF(I225=0,"",INDEX(GL!$E:$E,I225))</f>
        <v/>
      </c>
      <c r="M225" s="19" t="str">
        <f aca="false">IF(OR(B225=0,I225=0),"",ROUND(G225-L225,2))</f>
        <v/>
      </c>
      <c r="N225" s="5" t="str">
        <f aca="false">IF(A225="","",IF(B225=0,"NOT FOUND: bank ID",IF(I225=0,"NOT FOUND: GL ID",IF(INDEX(GL!$H:$H,I225)&lt;&gt;A225,"BROKEN: GL points elsewhere",IF(OR(INDEX(Bank!$F:$F,B225)&lt;&gt;"Y",INDEX(GL!$F:$F,I225)&lt;&gt;"Y"),"BROKEN: Status not Y","OK")))))</f>
        <v/>
      </c>
    </row>
    <row r="226" customFormat="false" ht="15" hidden="false" customHeight="false" outlineLevel="0" collapsed="false">
      <c r="A226" s="41"/>
      <c r="B226" s="5" t="n">
        <f aca="false">IF(A226="",0,IFERROR(MATCH(A226,Bank!$A:$A,0),0))</f>
        <v>0</v>
      </c>
      <c r="C226" s="5" t="str">
        <f aca="false">IF(B226=0,"",IF(INDEX(Bank!$G:$G,B226)="","",INDEX(Bank!$G:$G,B226)))</f>
        <v/>
      </c>
      <c r="D226" s="5" t="str">
        <f aca="false">IF(B226=0,"",IF(INDEX(Bank!$J:$J,B226)="","",INDEX(Bank!$J:$J,B226)))</f>
        <v/>
      </c>
      <c r="E226" s="32" t="str">
        <f aca="false">IF(B226=0,"",INDEX(Bank!$B:$B,B226))</f>
        <v/>
      </c>
      <c r="F226" s="5" t="str">
        <f aca="false">IF(B226=0,"",IF(INDEX(Bank!$C:$C,B226)="","",INDEX(Bank!$C:$C,B226)))</f>
        <v/>
      </c>
      <c r="G226" s="19" t="str">
        <f aca="false">IF(B226=0,"",INDEX(Bank!$E:$E,B226))</f>
        <v/>
      </c>
      <c r="H226" s="5" t="str">
        <f aca="false">IF(B226=0,"",IF(INDEX(Bank!$H:$H,B226)="","",INDEX(Bank!$H:$H,B226)))</f>
        <v/>
      </c>
      <c r="I226" s="5" t="n">
        <f aca="false">IF(H226="",0,IFERROR(MATCH(H226,GL!$A:$A,0),0))</f>
        <v>0</v>
      </c>
      <c r="J226" s="32" t="str">
        <f aca="false">IF(I226=0,"",INDEX(GL!$B:$B,I226))</f>
        <v/>
      </c>
      <c r="K226" s="5" t="str">
        <f aca="false">IF(I226=0,"",IF(INDEX(GL!$C:$C,I226)="","",INDEX(GL!$C:$C,I226)))</f>
        <v/>
      </c>
      <c r="L226" s="19" t="str">
        <f aca="false">IF(I226=0,"",INDEX(GL!$E:$E,I226))</f>
        <v/>
      </c>
      <c r="M226" s="19" t="str">
        <f aca="false">IF(OR(B226=0,I226=0),"",ROUND(G226-L226,2))</f>
        <v/>
      </c>
      <c r="N226" s="5" t="str">
        <f aca="false">IF(A226="","",IF(B226=0,"NOT FOUND: bank ID",IF(I226=0,"NOT FOUND: GL ID",IF(INDEX(GL!$H:$H,I226)&lt;&gt;A226,"BROKEN: GL points elsewhere",IF(OR(INDEX(Bank!$F:$F,B226)&lt;&gt;"Y",INDEX(GL!$F:$F,I226)&lt;&gt;"Y"),"BROKEN: Status not Y","OK")))))</f>
        <v/>
      </c>
    </row>
    <row r="227" customFormat="false" ht="15" hidden="false" customHeight="false" outlineLevel="0" collapsed="false">
      <c r="A227" s="41"/>
      <c r="B227" s="5" t="n">
        <f aca="false">IF(A227="",0,IFERROR(MATCH(A227,Bank!$A:$A,0),0))</f>
        <v>0</v>
      </c>
      <c r="C227" s="5" t="str">
        <f aca="false">IF(B227=0,"",IF(INDEX(Bank!$G:$G,B227)="","",INDEX(Bank!$G:$G,B227)))</f>
        <v/>
      </c>
      <c r="D227" s="5" t="str">
        <f aca="false">IF(B227=0,"",IF(INDEX(Bank!$J:$J,B227)="","",INDEX(Bank!$J:$J,B227)))</f>
        <v/>
      </c>
      <c r="E227" s="32" t="str">
        <f aca="false">IF(B227=0,"",INDEX(Bank!$B:$B,B227))</f>
        <v/>
      </c>
      <c r="F227" s="5" t="str">
        <f aca="false">IF(B227=0,"",IF(INDEX(Bank!$C:$C,B227)="","",INDEX(Bank!$C:$C,B227)))</f>
        <v/>
      </c>
      <c r="G227" s="19" t="str">
        <f aca="false">IF(B227=0,"",INDEX(Bank!$E:$E,B227))</f>
        <v/>
      </c>
      <c r="H227" s="5" t="str">
        <f aca="false">IF(B227=0,"",IF(INDEX(Bank!$H:$H,B227)="","",INDEX(Bank!$H:$H,B227)))</f>
        <v/>
      </c>
      <c r="I227" s="5" t="n">
        <f aca="false">IF(H227="",0,IFERROR(MATCH(H227,GL!$A:$A,0),0))</f>
        <v>0</v>
      </c>
      <c r="J227" s="32" t="str">
        <f aca="false">IF(I227=0,"",INDEX(GL!$B:$B,I227))</f>
        <v/>
      </c>
      <c r="K227" s="5" t="str">
        <f aca="false">IF(I227=0,"",IF(INDEX(GL!$C:$C,I227)="","",INDEX(GL!$C:$C,I227)))</f>
        <v/>
      </c>
      <c r="L227" s="19" t="str">
        <f aca="false">IF(I227=0,"",INDEX(GL!$E:$E,I227))</f>
        <v/>
      </c>
      <c r="M227" s="19" t="str">
        <f aca="false">IF(OR(B227=0,I227=0),"",ROUND(G227-L227,2))</f>
        <v/>
      </c>
      <c r="N227" s="5" t="str">
        <f aca="false">IF(A227="","",IF(B227=0,"NOT FOUND: bank ID",IF(I227=0,"NOT FOUND: GL ID",IF(INDEX(GL!$H:$H,I227)&lt;&gt;A227,"BROKEN: GL points elsewhere",IF(OR(INDEX(Bank!$F:$F,B227)&lt;&gt;"Y",INDEX(GL!$F:$F,I227)&lt;&gt;"Y"),"BROKEN: Status not Y","OK")))))</f>
        <v/>
      </c>
    </row>
    <row r="228" customFormat="false" ht="15" hidden="false" customHeight="false" outlineLevel="0" collapsed="false">
      <c r="A228" s="41"/>
      <c r="B228" s="5" t="n">
        <f aca="false">IF(A228="",0,IFERROR(MATCH(A228,Bank!$A:$A,0),0))</f>
        <v>0</v>
      </c>
      <c r="C228" s="5" t="str">
        <f aca="false">IF(B228=0,"",IF(INDEX(Bank!$G:$G,B228)="","",INDEX(Bank!$G:$G,B228)))</f>
        <v/>
      </c>
      <c r="D228" s="5" t="str">
        <f aca="false">IF(B228=0,"",IF(INDEX(Bank!$J:$J,B228)="","",INDEX(Bank!$J:$J,B228)))</f>
        <v/>
      </c>
      <c r="E228" s="32" t="str">
        <f aca="false">IF(B228=0,"",INDEX(Bank!$B:$B,B228))</f>
        <v/>
      </c>
      <c r="F228" s="5" t="str">
        <f aca="false">IF(B228=0,"",IF(INDEX(Bank!$C:$C,B228)="","",INDEX(Bank!$C:$C,B228)))</f>
        <v/>
      </c>
      <c r="G228" s="19" t="str">
        <f aca="false">IF(B228=0,"",INDEX(Bank!$E:$E,B228))</f>
        <v/>
      </c>
      <c r="H228" s="5" t="str">
        <f aca="false">IF(B228=0,"",IF(INDEX(Bank!$H:$H,B228)="","",INDEX(Bank!$H:$H,B228)))</f>
        <v/>
      </c>
      <c r="I228" s="5" t="n">
        <f aca="false">IF(H228="",0,IFERROR(MATCH(H228,GL!$A:$A,0),0))</f>
        <v>0</v>
      </c>
      <c r="J228" s="32" t="str">
        <f aca="false">IF(I228=0,"",INDEX(GL!$B:$B,I228))</f>
        <v/>
      </c>
      <c r="K228" s="5" t="str">
        <f aca="false">IF(I228=0,"",IF(INDEX(GL!$C:$C,I228)="","",INDEX(GL!$C:$C,I228)))</f>
        <v/>
      </c>
      <c r="L228" s="19" t="str">
        <f aca="false">IF(I228=0,"",INDEX(GL!$E:$E,I228))</f>
        <v/>
      </c>
      <c r="M228" s="19" t="str">
        <f aca="false">IF(OR(B228=0,I228=0),"",ROUND(G228-L228,2))</f>
        <v/>
      </c>
      <c r="N228" s="5" t="str">
        <f aca="false">IF(A228="","",IF(B228=0,"NOT FOUND: bank ID",IF(I228=0,"NOT FOUND: GL ID",IF(INDEX(GL!$H:$H,I228)&lt;&gt;A228,"BROKEN: GL points elsewhere",IF(OR(INDEX(Bank!$F:$F,B228)&lt;&gt;"Y",INDEX(GL!$F:$F,I228)&lt;&gt;"Y"),"BROKEN: Status not Y","OK")))))</f>
        <v/>
      </c>
    </row>
    <row r="229" customFormat="false" ht="15" hidden="false" customHeight="false" outlineLevel="0" collapsed="false">
      <c r="A229" s="41"/>
      <c r="B229" s="5" t="n">
        <f aca="false">IF(A229="",0,IFERROR(MATCH(A229,Bank!$A:$A,0),0))</f>
        <v>0</v>
      </c>
      <c r="C229" s="5" t="str">
        <f aca="false">IF(B229=0,"",IF(INDEX(Bank!$G:$G,B229)="","",INDEX(Bank!$G:$G,B229)))</f>
        <v/>
      </c>
      <c r="D229" s="5" t="str">
        <f aca="false">IF(B229=0,"",IF(INDEX(Bank!$J:$J,B229)="","",INDEX(Bank!$J:$J,B229)))</f>
        <v/>
      </c>
      <c r="E229" s="32" t="str">
        <f aca="false">IF(B229=0,"",INDEX(Bank!$B:$B,B229))</f>
        <v/>
      </c>
      <c r="F229" s="5" t="str">
        <f aca="false">IF(B229=0,"",IF(INDEX(Bank!$C:$C,B229)="","",INDEX(Bank!$C:$C,B229)))</f>
        <v/>
      </c>
      <c r="G229" s="19" t="str">
        <f aca="false">IF(B229=0,"",INDEX(Bank!$E:$E,B229))</f>
        <v/>
      </c>
      <c r="H229" s="5" t="str">
        <f aca="false">IF(B229=0,"",IF(INDEX(Bank!$H:$H,B229)="","",INDEX(Bank!$H:$H,B229)))</f>
        <v/>
      </c>
      <c r="I229" s="5" t="n">
        <f aca="false">IF(H229="",0,IFERROR(MATCH(H229,GL!$A:$A,0),0))</f>
        <v>0</v>
      </c>
      <c r="J229" s="32" t="str">
        <f aca="false">IF(I229=0,"",INDEX(GL!$B:$B,I229))</f>
        <v/>
      </c>
      <c r="K229" s="5" t="str">
        <f aca="false">IF(I229=0,"",IF(INDEX(GL!$C:$C,I229)="","",INDEX(GL!$C:$C,I229)))</f>
        <v/>
      </c>
      <c r="L229" s="19" t="str">
        <f aca="false">IF(I229=0,"",INDEX(GL!$E:$E,I229))</f>
        <v/>
      </c>
      <c r="M229" s="19" t="str">
        <f aca="false">IF(OR(B229=0,I229=0),"",ROUND(G229-L229,2))</f>
        <v/>
      </c>
      <c r="N229" s="5" t="str">
        <f aca="false">IF(A229="","",IF(B229=0,"NOT FOUND: bank ID",IF(I229=0,"NOT FOUND: GL ID",IF(INDEX(GL!$H:$H,I229)&lt;&gt;A229,"BROKEN: GL points elsewhere",IF(OR(INDEX(Bank!$F:$F,B229)&lt;&gt;"Y",INDEX(GL!$F:$F,I229)&lt;&gt;"Y"),"BROKEN: Status not Y","OK")))))</f>
        <v/>
      </c>
    </row>
    <row r="230" customFormat="false" ht="15" hidden="false" customHeight="false" outlineLevel="0" collapsed="false">
      <c r="A230" s="41"/>
      <c r="B230" s="5" t="n">
        <f aca="false">IF(A230="",0,IFERROR(MATCH(A230,Bank!$A:$A,0),0))</f>
        <v>0</v>
      </c>
      <c r="C230" s="5" t="str">
        <f aca="false">IF(B230=0,"",IF(INDEX(Bank!$G:$G,B230)="","",INDEX(Bank!$G:$G,B230)))</f>
        <v/>
      </c>
      <c r="D230" s="5" t="str">
        <f aca="false">IF(B230=0,"",IF(INDEX(Bank!$J:$J,B230)="","",INDEX(Bank!$J:$J,B230)))</f>
        <v/>
      </c>
      <c r="E230" s="32" t="str">
        <f aca="false">IF(B230=0,"",INDEX(Bank!$B:$B,B230))</f>
        <v/>
      </c>
      <c r="F230" s="5" t="str">
        <f aca="false">IF(B230=0,"",IF(INDEX(Bank!$C:$C,B230)="","",INDEX(Bank!$C:$C,B230)))</f>
        <v/>
      </c>
      <c r="G230" s="19" t="str">
        <f aca="false">IF(B230=0,"",INDEX(Bank!$E:$E,B230))</f>
        <v/>
      </c>
      <c r="H230" s="5" t="str">
        <f aca="false">IF(B230=0,"",IF(INDEX(Bank!$H:$H,B230)="","",INDEX(Bank!$H:$H,B230)))</f>
        <v/>
      </c>
      <c r="I230" s="5" t="n">
        <f aca="false">IF(H230="",0,IFERROR(MATCH(H230,GL!$A:$A,0),0))</f>
        <v>0</v>
      </c>
      <c r="J230" s="32" t="str">
        <f aca="false">IF(I230=0,"",INDEX(GL!$B:$B,I230))</f>
        <v/>
      </c>
      <c r="K230" s="5" t="str">
        <f aca="false">IF(I230=0,"",IF(INDEX(GL!$C:$C,I230)="","",INDEX(GL!$C:$C,I230)))</f>
        <v/>
      </c>
      <c r="L230" s="19" t="str">
        <f aca="false">IF(I230=0,"",INDEX(GL!$E:$E,I230))</f>
        <v/>
      </c>
      <c r="M230" s="19" t="str">
        <f aca="false">IF(OR(B230=0,I230=0),"",ROUND(G230-L230,2))</f>
        <v/>
      </c>
      <c r="N230" s="5" t="str">
        <f aca="false">IF(A230="","",IF(B230=0,"NOT FOUND: bank ID",IF(I230=0,"NOT FOUND: GL ID",IF(INDEX(GL!$H:$H,I230)&lt;&gt;A230,"BROKEN: GL points elsewhere",IF(OR(INDEX(Bank!$F:$F,B230)&lt;&gt;"Y",INDEX(GL!$F:$F,I230)&lt;&gt;"Y"),"BROKEN: Status not Y","OK")))))</f>
        <v/>
      </c>
    </row>
    <row r="231" customFormat="false" ht="15" hidden="false" customHeight="false" outlineLevel="0" collapsed="false">
      <c r="A231" s="41"/>
      <c r="B231" s="5" t="n">
        <f aca="false">IF(A231="",0,IFERROR(MATCH(A231,Bank!$A:$A,0),0))</f>
        <v>0</v>
      </c>
      <c r="C231" s="5" t="str">
        <f aca="false">IF(B231=0,"",IF(INDEX(Bank!$G:$G,B231)="","",INDEX(Bank!$G:$G,B231)))</f>
        <v/>
      </c>
      <c r="D231" s="5" t="str">
        <f aca="false">IF(B231=0,"",IF(INDEX(Bank!$J:$J,B231)="","",INDEX(Bank!$J:$J,B231)))</f>
        <v/>
      </c>
      <c r="E231" s="32" t="str">
        <f aca="false">IF(B231=0,"",INDEX(Bank!$B:$B,B231))</f>
        <v/>
      </c>
      <c r="F231" s="5" t="str">
        <f aca="false">IF(B231=0,"",IF(INDEX(Bank!$C:$C,B231)="","",INDEX(Bank!$C:$C,B231)))</f>
        <v/>
      </c>
      <c r="G231" s="19" t="str">
        <f aca="false">IF(B231=0,"",INDEX(Bank!$E:$E,B231))</f>
        <v/>
      </c>
      <c r="H231" s="5" t="str">
        <f aca="false">IF(B231=0,"",IF(INDEX(Bank!$H:$H,B231)="","",INDEX(Bank!$H:$H,B231)))</f>
        <v/>
      </c>
      <c r="I231" s="5" t="n">
        <f aca="false">IF(H231="",0,IFERROR(MATCH(H231,GL!$A:$A,0),0))</f>
        <v>0</v>
      </c>
      <c r="J231" s="32" t="str">
        <f aca="false">IF(I231=0,"",INDEX(GL!$B:$B,I231))</f>
        <v/>
      </c>
      <c r="K231" s="5" t="str">
        <f aca="false">IF(I231=0,"",IF(INDEX(GL!$C:$C,I231)="","",INDEX(GL!$C:$C,I231)))</f>
        <v/>
      </c>
      <c r="L231" s="19" t="str">
        <f aca="false">IF(I231=0,"",INDEX(GL!$E:$E,I231))</f>
        <v/>
      </c>
      <c r="M231" s="19" t="str">
        <f aca="false">IF(OR(B231=0,I231=0),"",ROUND(G231-L231,2))</f>
        <v/>
      </c>
      <c r="N231" s="5" t="str">
        <f aca="false">IF(A231="","",IF(B231=0,"NOT FOUND: bank ID",IF(I231=0,"NOT FOUND: GL ID",IF(INDEX(GL!$H:$H,I231)&lt;&gt;A231,"BROKEN: GL points elsewhere",IF(OR(INDEX(Bank!$F:$F,B231)&lt;&gt;"Y",INDEX(GL!$F:$F,I231)&lt;&gt;"Y"),"BROKEN: Status not Y","OK")))))</f>
        <v/>
      </c>
    </row>
    <row r="232" customFormat="false" ht="15" hidden="false" customHeight="false" outlineLevel="0" collapsed="false">
      <c r="A232" s="41"/>
      <c r="B232" s="5" t="n">
        <f aca="false">IF(A232="",0,IFERROR(MATCH(A232,Bank!$A:$A,0),0))</f>
        <v>0</v>
      </c>
      <c r="C232" s="5" t="str">
        <f aca="false">IF(B232=0,"",IF(INDEX(Bank!$G:$G,B232)="","",INDEX(Bank!$G:$G,B232)))</f>
        <v/>
      </c>
      <c r="D232" s="5" t="str">
        <f aca="false">IF(B232=0,"",IF(INDEX(Bank!$J:$J,B232)="","",INDEX(Bank!$J:$J,B232)))</f>
        <v/>
      </c>
      <c r="E232" s="32" t="str">
        <f aca="false">IF(B232=0,"",INDEX(Bank!$B:$B,B232))</f>
        <v/>
      </c>
      <c r="F232" s="5" t="str">
        <f aca="false">IF(B232=0,"",IF(INDEX(Bank!$C:$C,B232)="","",INDEX(Bank!$C:$C,B232)))</f>
        <v/>
      </c>
      <c r="G232" s="19" t="str">
        <f aca="false">IF(B232=0,"",INDEX(Bank!$E:$E,B232))</f>
        <v/>
      </c>
      <c r="H232" s="5" t="str">
        <f aca="false">IF(B232=0,"",IF(INDEX(Bank!$H:$H,B232)="","",INDEX(Bank!$H:$H,B232)))</f>
        <v/>
      </c>
      <c r="I232" s="5" t="n">
        <f aca="false">IF(H232="",0,IFERROR(MATCH(H232,GL!$A:$A,0),0))</f>
        <v>0</v>
      </c>
      <c r="J232" s="32" t="str">
        <f aca="false">IF(I232=0,"",INDEX(GL!$B:$B,I232))</f>
        <v/>
      </c>
      <c r="K232" s="5" t="str">
        <f aca="false">IF(I232=0,"",IF(INDEX(GL!$C:$C,I232)="","",INDEX(GL!$C:$C,I232)))</f>
        <v/>
      </c>
      <c r="L232" s="19" t="str">
        <f aca="false">IF(I232=0,"",INDEX(GL!$E:$E,I232))</f>
        <v/>
      </c>
      <c r="M232" s="19" t="str">
        <f aca="false">IF(OR(B232=0,I232=0),"",ROUND(G232-L232,2))</f>
        <v/>
      </c>
      <c r="N232" s="5" t="str">
        <f aca="false">IF(A232="","",IF(B232=0,"NOT FOUND: bank ID",IF(I232=0,"NOT FOUND: GL ID",IF(INDEX(GL!$H:$H,I232)&lt;&gt;A232,"BROKEN: GL points elsewhere",IF(OR(INDEX(Bank!$F:$F,B232)&lt;&gt;"Y",INDEX(GL!$F:$F,I232)&lt;&gt;"Y"),"BROKEN: Status not Y","OK")))))</f>
        <v/>
      </c>
    </row>
    <row r="233" customFormat="false" ht="15" hidden="false" customHeight="false" outlineLevel="0" collapsed="false">
      <c r="A233" s="41"/>
      <c r="B233" s="5" t="n">
        <f aca="false">IF(A233="",0,IFERROR(MATCH(A233,Bank!$A:$A,0),0))</f>
        <v>0</v>
      </c>
      <c r="C233" s="5" t="str">
        <f aca="false">IF(B233=0,"",IF(INDEX(Bank!$G:$G,B233)="","",INDEX(Bank!$G:$G,B233)))</f>
        <v/>
      </c>
      <c r="D233" s="5" t="str">
        <f aca="false">IF(B233=0,"",IF(INDEX(Bank!$J:$J,B233)="","",INDEX(Bank!$J:$J,B233)))</f>
        <v/>
      </c>
      <c r="E233" s="32" t="str">
        <f aca="false">IF(B233=0,"",INDEX(Bank!$B:$B,B233))</f>
        <v/>
      </c>
      <c r="F233" s="5" t="str">
        <f aca="false">IF(B233=0,"",IF(INDEX(Bank!$C:$C,B233)="","",INDEX(Bank!$C:$C,B233)))</f>
        <v/>
      </c>
      <c r="G233" s="19" t="str">
        <f aca="false">IF(B233=0,"",INDEX(Bank!$E:$E,B233))</f>
        <v/>
      </c>
      <c r="H233" s="5" t="str">
        <f aca="false">IF(B233=0,"",IF(INDEX(Bank!$H:$H,B233)="","",INDEX(Bank!$H:$H,B233)))</f>
        <v/>
      </c>
      <c r="I233" s="5" t="n">
        <f aca="false">IF(H233="",0,IFERROR(MATCH(H233,GL!$A:$A,0),0))</f>
        <v>0</v>
      </c>
      <c r="J233" s="32" t="str">
        <f aca="false">IF(I233=0,"",INDEX(GL!$B:$B,I233))</f>
        <v/>
      </c>
      <c r="K233" s="5" t="str">
        <f aca="false">IF(I233=0,"",IF(INDEX(GL!$C:$C,I233)="","",INDEX(GL!$C:$C,I233)))</f>
        <v/>
      </c>
      <c r="L233" s="19" t="str">
        <f aca="false">IF(I233=0,"",INDEX(GL!$E:$E,I233))</f>
        <v/>
      </c>
      <c r="M233" s="19" t="str">
        <f aca="false">IF(OR(B233=0,I233=0),"",ROUND(G233-L233,2))</f>
        <v/>
      </c>
      <c r="N233" s="5" t="str">
        <f aca="false">IF(A233="","",IF(B233=0,"NOT FOUND: bank ID",IF(I233=0,"NOT FOUND: GL ID",IF(INDEX(GL!$H:$H,I233)&lt;&gt;A233,"BROKEN: GL points elsewhere",IF(OR(INDEX(Bank!$F:$F,B233)&lt;&gt;"Y",INDEX(GL!$F:$F,I233)&lt;&gt;"Y"),"BROKEN: Status not Y","OK")))))</f>
        <v/>
      </c>
    </row>
    <row r="234" customFormat="false" ht="15" hidden="false" customHeight="false" outlineLevel="0" collapsed="false">
      <c r="A234" s="41"/>
      <c r="B234" s="5" t="n">
        <f aca="false">IF(A234="",0,IFERROR(MATCH(A234,Bank!$A:$A,0),0))</f>
        <v>0</v>
      </c>
      <c r="C234" s="5" t="str">
        <f aca="false">IF(B234=0,"",IF(INDEX(Bank!$G:$G,B234)="","",INDEX(Bank!$G:$G,B234)))</f>
        <v/>
      </c>
      <c r="D234" s="5" t="str">
        <f aca="false">IF(B234=0,"",IF(INDEX(Bank!$J:$J,B234)="","",INDEX(Bank!$J:$J,B234)))</f>
        <v/>
      </c>
      <c r="E234" s="32" t="str">
        <f aca="false">IF(B234=0,"",INDEX(Bank!$B:$B,B234))</f>
        <v/>
      </c>
      <c r="F234" s="5" t="str">
        <f aca="false">IF(B234=0,"",IF(INDEX(Bank!$C:$C,B234)="","",INDEX(Bank!$C:$C,B234)))</f>
        <v/>
      </c>
      <c r="G234" s="19" t="str">
        <f aca="false">IF(B234=0,"",INDEX(Bank!$E:$E,B234))</f>
        <v/>
      </c>
      <c r="H234" s="5" t="str">
        <f aca="false">IF(B234=0,"",IF(INDEX(Bank!$H:$H,B234)="","",INDEX(Bank!$H:$H,B234)))</f>
        <v/>
      </c>
      <c r="I234" s="5" t="n">
        <f aca="false">IF(H234="",0,IFERROR(MATCH(H234,GL!$A:$A,0),0))</f>
        <v>0</v>
      </c>
      <c r="J234" s="32" t="str">
        <f aca="false">IF(I234=0,"",INDEX(GL!$B:$B,I234))</f>
        <v/>
      </c>
      <c r="K234" s="5" t="str">
        <f aca="false">IF(I234=0,"",IF(INDEX(GL!$C:$C,I234)="","",INDEX(GL!$C:$C,I234)))</f>
        <v/>
      </c>
      <c r="L234" s="19" t="str">
        <f aca="false">IF(I234=0,"",INDEX(GL!$E:$E,I234))</f>
        <v/>
      </c>
      <c r="M234" s="19" t="str">
        <f aca="false">IF(OR(B234=0,I234=0),"",ROUND(G234-L234,2))</f>
        <v/>
      </c>
      <c r="N234" s="5" t="str">
        <f aca="false">IF(A234="","",IF(B234=0,"NOT FOUND: bank ID",IF(I234=0,"NOT FOUND: GL ID",IF(INDEX(GL!$H:$H,I234)&lt;&gt;A234,"BROKEN: GL points elsewhere",IF(OR(INDEX(Bank!$F:$F,B234)&lt;&gt;"Y",INDEX(GL!$F:$F,I234)&lt;&gt;"Y"),"BROKEN: Status not Y","OK")))))</f>
        <v/>
      </c>
    </row>
    <row r="235" customFormat="false" ht="15" hidden="false" customHeight="false" outlineLevel="0" collapsed="false">
      <c r="A235" s="41"/>
      <c r="B235" s="5" t="n">
        <f aca="false">IF(A235="",0,IFERROR(MATCH(A235,Bank!$A:$A,0),0))</f>
        <v>0</v>
      </c>
      <c r="C235" s="5" t="str">
        <f aca="false">IF(B235=0,"",IF(INDEX(Bank!$G:$G,B235)="","",INDEX(Bank!$G:$G,B235)))</f>
        <v/>
      </c>
      <c r="D235" s="5" t="str">
        <f aca="false">IF(B235=0,"",IF(INDEX(Bank!$J:$J,B235)="","",INDEX(Bank!$J:$J,B235)))</f>
        <v/>
      </c>
      <c r="E235" s="32" t="str">
        <f aca="false">IF(B235=0,"",INDEX(Bank!$B:$B,B235))</f>
        <v/>
      </c>
      <c r="F235" s="5" t="str">
        <f aca="false">IF(B235=0,"",IF(INDEX(Bank!$C:$C,B235)="","",INDEX(Bank!$C:$C,B235)))</f>
        <v/>
      </c>
      <c r="G235" s="19" t="str">
        <f aca="false">IF(B235=0,"",INDEX(Bank!$E:$E,B235))</f>
        <v/>
      </c>
      <c r="H235" s="5" t="str">
        <f aca="false">IF(B235=0,"",IF(INDEX(Bank!$H:$H,B235)="","",INDEX(Bank!$H:$H,B235)))</f>
        <v/>
      </c>
      <c r="I235" s="5" t="n">
        <f aca="false">IF(H235="",0,IFERROR(MATCH(H235,GL!$A:$A,0),0))</f>
        <v>0</v>
      </c>
      <c r="J235" s="32" t="str">
        <f aca="false">IF(I235=0,"",INDEX(GL!$B:$B,I235))</f>
        <v/>
      </c>
      <c r="K235" s="5" t="str">
        <f aca="false">IF(I235=0,"",IF(INDEX(GL!$C:$C,I235)="","",INDEX(GL!$C:$C,I235)))</f>
        <v/>
      </c>
      <c r="L235" s="19" t="str">
        <f aca="false">IF(I235=0,"",INDEX(GL!$E:$E,I235))</f>
        <v/>
      </c>
      <c r="M235" s="19" t="str">
        <f aca="false">IF(OR(B235=0,I235=0),"",ROUND(G235-L235,2))</f>
        <v/>
      </c>
      <c r="N235" s="5" t="str">
        <f aca="false">IF(A235="","",IF(B235=0,"NOT FOUND: bank ID",IF(I235=0,"NOT FOUND: GL ID",IF(INDEX(GL!$H:$H,I235)&lt;&gt;A235,"BROKEN: GL points elsewhere",IF(OR(INDEX(Bank!$F:$F,B235)&lt;&gt;"Y",INDEX(GL!$F:$F,I235)&lt;&gt;"Y"),"BROKEN: Status not Y","OK")))))</f>
        <v/>
      </c>
    </row>
    <row r="236" customFormat="false" ht="15" hidden="false" customHeight="false" outlineLevel="0" collapsed="false">
      <c r="A236" s="41"/>
      <c r="B236" s="5" t="n">
        <f aca="false">IF(A236="",0,IFERROR(MATCH(A236,Bank!$A:$A,0),0))</f>
        <v>0</v>
      </c>
      <c r="C236" s="5" t="str">
        <f aca="false">IF(B236=0,"",IF(INDEX(Bank!$G:$G,B236)="","",INDEX(Bank!$G:$G,B236)))</f>
        <v/>
      </c>
      <c r="D236" s="5" t="str">
        <f aca="false">IF(B236=0,"",IF(INDEX(Bank!$J:$J,B236)="","",INDEX(Bank!$J:$J,B236)))</f>
        <v/>
      </c>
      <c r="E236" s="32" t="str">
        <f aca="false">IF(B236=0,"",INDEX(Bank!$B:$B,B236))</f>
        <v/>
      </c>
      <c r="F236" s="5" t="str">
        <f aca="false">IF(B236=0,"",IF(INDEX(Bank!$C:$C,B236)="","",INDEX(Bank!$C:$C,B236)))</f>
        <v/>
      </c>
      <c r="G236" s="19" t="str">
        <f aca="false">IF(B236=0,"",INDEX(Bank!$E:$E,B236))</f>
        <v/>
      </c>
      <c r="H236" s="5" t="str">
        <f aca="false">IF(B236=0,"",IF(INDEX(Bank!$H:$H,B236)="","",INDEX(Bank!$H:$H,B236)))</f>
        <v/>
      </c>
      <c r="I236" s="5" t="n">
        <f aca="false">IF(H236="",0,IFERROR(MATCH(H236,GL!$A:$A,0),0))</f>
        <v>0</v>
      </c>
      <c r="J236" s="32" t="str">
        <f aca="false">IF(I236=0,"",INDEX(GL!$B:$B,I236))</f>
        <v/>
      </c>
      <c r="K236" s="5" t="str">
        <f aca="false">IF(I236=0,"",IF(INDEX(GL!$C:$C,I236)="","",INDEX(GL!$C:$C,I236)))</f>
        <v/>
      </c>
      <c r="L236" s="19" t="str">
        <f aca="false">IF(I236=0,"",INDEX(GL!$E:$E,I236))</f>
        <v/>
      </c>
      <c r="M236" s="19" t="str">
        <f aca="false">IF(OR(B236=0,I236=0),"",ROUND(G236-L236,2))</f>
        <v/>
      </c>
      <c r="N236" s="5" t="str">
        <f aca="false">IF(A236="","",IF(B236=0,"NOT FOUND: bank ID",IF(I236=0,"NOT FOUND: GL ID",IF(INDEX(GL!$H:$H,I236)&lt;&gt;A236,"BROKEN: GL points elsewhere",IF(OR(INDEX(Bank!$F:$F,B236)&lt;&gt;"Y",INDEX(GL!$F:$F,I236)&lt;&gt;"Y"),"BROKEN: Status not Y","OK")))))</f>
        <v/>
      </c>
    </row>
    <row r="237" customFormat="false" ht="15" hidden="false" customHeight="false" outlineLevel="0" collapsed="false">
      <c r="A237" s="41"/>
      <c r="B237" s="5" t="n">
        <f aca="false">IF(A237="",0,IFERROR(MATCH(A237,Bank!$A:$A,0),0))</f>
        <v>0</v>
      </c>
      <c r="C237" s="5" t="str">
        <f aca="false">IF(B237=0,"",IF(INDEX(Bank!$G:$G,B237)="","",INDEX(Bank!$G:$G,B237)))</f>
        <v/>
      </c>
      <c r="D237" s="5" t="str">
        <f aca="false">IF(B237=0,"",IF(INDEX(Bank!$J:$J,B237)="","",INDEX(Bank!$J:$J,B237)))</f>
        <v/>
      </c>
      <c r="E237" s="32" t="str">
        <f aca="false">IF(B237=0,"",INDEX(Bank!$B:$B,B237))</f>
        <v/>
      </c>
      <c r="F237" s="5" t="str">
        <f aca="false">IF(B237=0,"",IF(INDEX(Bank!$C:$C,B237)="","",INDEX(Bank!$C:$C,B237)))</f>
        <v/>
      </c>
      <c r="G237" s="19" t="str">
        <f aca="false">IF(B237=0,"",INDEX(Bank!$E:$E,B237))</f>
        <v/>
      </c>
      <c r="H237" s="5" t="str">
        <f aca="false">IF(B237=0,"",IF(INDEX(Bank!$H:$H,B237)="","",INDEX(Bank!$H:$H,B237)))</f>
        <v/>
      </c>
      <c r="I237" s="5" t="n">
        <f aca="false">IF(H237="",0,IFERROR(MATCH(H237,GL!$A:$A,0),0))</f>
        <v>0</v>
      </c>
      <c r="J237" s="32" t="str">
        <f aca="false">IF(I237=0,"",INDEX(GL!$B:$B,I237))</f>
        <v/>
      </c>
      <c r="K237" s="5" t="str">
        <f aca="false">IF(I237=0,"",IF(INDEX(GL!$C:$C,I237)="","",INDEX(GL!$C:$C,I237)))</f>
        <v/>
      </c>
      <c r="L237" s="19" t="str">
        <f aca="false">IF(I237=0,"",INDEX(GL!$E:$E,I237))</f>
        <v/>
      </c>
      <c r="M237" s="19" t="str">
        <f aca="false">IF(OR(B237=0,I237=0),"",ROUND(G237-L237,2))</f>
        <v/>
      </c>
      <c r="N237" s="5" t="str">
        <f aca="false">IF(A237="","",IF(B237=0,"NOT FOUND: bank ID",IF(I237=0,"NOT FOUND: GL ID",IF(INDEX(GL!$H:$H,I237)&lt;&gt;A237,"BROKEN: GL points elsewhere",IF(OR(INDEX(Bank!$F:$F,B237)&lt;&gt;"Y",INDEX(GL!$F:$F,I237)&lt;&gt;"Y"),"BROKEN: Status not Y","OK")))))</f>
        <v/>
      </c>
    </row>
    <row r="238" customFormat="false" ht="15" hidden="false" customHeight="false" outlineLevel="0" collapsed="false">
      <c r="A238" s="41"/>
      <c r="B238" s="5" t="n">
        <f aca="false">IF(A238="",0,IFERROR(MATCH(A238,Bank!$A:$A,0),0))</f>
        <v>0</v>
      </c>
      <c r="C238" s="5" t="str">
        <f aca="false">IF(B238=0,"",IF(INDEX(Bank!$G:$G,B238)="","",INDEX(Bank!$G:$G,B238)))</f>
        <v/>
      </c>
      <c r="D238" s="5" t="str">
        <f aca="false">IF(B238=0,"",IF(INDEX(Bank!$J:$J,B238)="","",INDEX(Bank!$J:$J,B238)))</f>
        <v/>
      </c>
      <c r="E238" s="32" t="str">
        <f aca="false">IF(B238=0,"",INDEX(Bank!$B:$B,B238))</f>
        <v/>
      </c>
      <c r="F238" s="5" t="str">
        <f aca="false">IF(B238=0,"",IF(INDEX(Bank!$C:$C,B238)="","",INDEX(Bank!$C:$C,B238)))</f>
        <v/>
      </c>
      <c r="G238" s="19" t="str">
        <f aca="false">IF(B238=0,"",INDEX(Bank!$E:$E,B238))</f>
        <v/>
      </c>
      <c r="H238" s="5" t="str">
        <f aca="false">IF(B238=0,"",IF(INDEX(Bank!$H:$H,B238)="","",INDEX(Bank!$H:$H,B238)))</f>
        <v/>
      </c>
      <c r="I238" s="5" t="n">
        <f aca="false">IF(H238="",0,IFERROR(MATCH(H238,GL!$A:$A,0),0))</f>
        <v>0</v>
      </c>
      <c r="J238" s="32" t="str">
        <f aca="false">IF(I238=0,"",INDEX(GL!$B:$B,I238))</f>
        <v/>
      </c>
      <c r="K238" s="5" t="str">
        <f aca="false">IF(I238=0,"",IF(INDEX(GL!$C:$C,I238)="","",INDEX(GL!$C:$C,I238)))</f>
        <v/>
      </c>
      <c r="L238" s="19" t="str">
        <f aca="false">IF(I238=0,"",INDEX(GL!$E:$E,I238))</f>
        <v/>
      </c>
      <c r="M238" s="19" t="str">
        <f aca="false">IF(OR(B238=0,I238=0),"",ROUND(G238-L238,2))</f>
        <v/>
      </c>
      <c r="N238" s="5" t="str">
        <f aca="false">IF(A238="","",IF(B238=0,"NOT FOUND: bank ID",IF(I238=0,"NOT FOUND: GL ID",IF(INDEX(GL!$H:$H,I238)&lt;&gt;A238,"BROKEN: GL points elsewhere",IF(OR(INDEX(Bank!$F:$F,B238)&lt;&gt;"Y",INDEX(GL!$F:$F,I238)&lt;&gt;"Y"),"BROKEN: Status not Y","OK")))))</f>
        <v/>
      </c>
    </row>
    <row r="239" customFormat="false" ht="15" hidden="false" customHeight="false" outlineLevel="0" collapsed="false">
      <c r="A239" s="41"/>
      <c r="B239" s="5" t="n">
        <f aca="false">IF(A239="",0,IFERROR(MATCH(A239,Bank!$A:$A,0),0))</f>
        <v>0</v>
      </c>
      <c r="C239" s="5" t="str">
        <f aca="false">IF(B239=0,"",IF(INDEX(Bank!$G:$G,B239)="","",INDEX(Bank!$G:$G,B239)))</f>
        <v/>
      </c>
      <c r="D239" s="5" t="str">
        <f aca="false">IF(B239=0,"",IF(INDEX(Bank!$J:$J,B239)="","",INDEX(Bank!$J:$J,B239)))</f>
        <v/>
      </c>
      <c r="E239" s="32" t="str">
        <f aca="false">IF(B239=0,"",INDEX(Bank!$B:$B,B239))</f>
        <v/>
      </c>
      <c r="F239" s="5" t="str">
        <f aca="false">IF(B239=0,"",IF(INDEX(Bank!$C:$C,B239)="","",INDEX(Bank!$C:$C,B239)))</f>
        <v/>
      </c>
      <c r="G239" s="19" t="str">
        <f aca="false">IF(B239=0,"",INDEX(Bank!$E:$E,B239))</f>
        <v/>
      </c>
      <c r="H239" s="5" t="str">
        <f aca="false">IF(B239=0,"",IF(INDEX(Bank!$H:$H,B239)="","",INDEX(Bank!$H:$H,B239)))</f>
        <v/>
      </c>
      <c r="I239" s="5" t="n">
        <f aca="false">IF(H239="",0,IFERROR(MATCH(H239,GL!$A:$A,0),0))</f>
        <v>0</v>
      </c>
      <c r="J239" s="32" t="str">
        <f aca="false">IF(I239=0,"",INDEX(GL!$B:$B,I239))</f>
        <v/>
      </c>
      <c r="K239" s="5" t="str">
        <f aca="false">IF(I239=0,"",IF(INDEX(GL!$C:$C,I239)="","",INDEX(GL!$C:$C,I239)))</f>
        <v/>
      </c>
      <c r="L239" s="19" t="str">
        <f aca="false">IF(I239=0,"",INDEX(GL!$E:$E,I239))</f>
        <v/>
      </c>
      <c r="M239" s="19" t="str">
        <f aca="false">IF(OR(B239=0,I239=0),"",ROUND(G239-L239,2))</f>
        <v/>
      </c>
      <c r="N239" s="5" t="str">
        <f aca="false">IF(A239="","",IF(B239=0,"NOT FOUND: bank ID",IF(I239=0,"NOT FOUND: GL ID",IF(INDEX(GL!$H:$H,I239)&lt;&gt;A239,"BROKEN: GL points elsewhere",IF(OR(INDEX(Bank!$F:$F,B239)&lt;&gt;"Y",INDEX(GL!$F:$F,I239)&lt;&gt;"Y"),"BROKEN: Status not Y","OK")))))</f>
        <v/>
      </c>
    </row>
    <row r="240" customFormat="false" ht="15" hidden="false" customHeight="false" outlineLevel="0" collapsed="false">
      <c r="A240" s="41"/>
      <c r="B240" s="5" t="n">
        <f aca="false">IF(A240="",0,IFERROR(MATCH(A240,Bank!$A:$A,0),0))</f>
        <v>0</v>
      </c>
      <c r="C240" s="5" t="str">
        <f aca="false">IF(B240=0,"",IF(INDEX(Bank!$G:$G,B240)="","",INDEX(Bank!$G:$G,B240)))</f>
        <v/>
      </c>
      <c r="D240" s="5" t="str">
        <f aca="false">IF(B240=0,"",IF(INDEX(Bank!$J:$J,B240)="","",INDEX(Bank!$J:$J,B240)))</f>
        <v/>
      </c>
      <c r="E240" s="32" t="str">
        <f aca="false">IF(B240=0,"",INDEX(Bank!$B:$B,B240))</f>
        <v/>
      </c>
      <c r="F240" s="5" t="str">
        <f aca="false">IF(B240=0,"",IF(INDEX(Bank!$C:$C,B240)="","",INDEX(Bank!$C:$C,B240)))</f>
        <v/>
      </c>
      <c r="G240" s="19" t="str">
        <f aca="false">IF(B240=0,"",INDEX(Bank!$E:$E,B240))</f>
        <v/>
      </c>
      <c r="H240" s="5" t="str">
        <f aca="false">IF(B240=0,"",IF(INDEX(Bank!$H:$H,B240)="","",INDEX(Bank!$H:$H,B240)))</f>
        <v/>
      </c>
      <c r="I240" s="5" t="n">
        <f aca="false">IF(H240="",0,IFERROR(MATCH(H240,GL!$A:$A,0),0))</f>
        <v>0</v>
      </c>
      <c r="J240" s="32" t="str">
        <f aca="false">IF(I240=0,"",INDEX(GL!$B:$B,I240))</f>
        <v/>
      </c>
      <c r="K240" s="5" t="str">
        <f aca="false">IF(I240=0,"",IF(INDEX(GL!$C:$C,I240)="","",INDEX(GL!$C:$C,I240)))</f>
        <v/>
      </c>
      <c r="L240" s="19" t="str">
        <f aca="false">IF(I240=0,"",INDEX(GL!$E:$E,I240))</f>
        <v/>
      </c>
      <c r="M240" s="19" t="str">
        <f aca="false">IF(OR(B240=0,I240=0),"",ROUND(G240-L240,2))</f>
        <v/>
      </c>
      <c r="N240" s="5" t="str">
        <f aca="false">IF(A240="","",IF(B240=0,"NOT FOUND: bank ID",IF(I240=0,"NOT FOUND: GL ID",IF(INDEX(GL!$H:$H,I240)&lt;&gt;A240,"BROKEN: GL points elsewhere",IF(OR(INDEX(Bank!$F:$F,B240)&lt;&gt;"Y",INDEX(GL!$F:$F,I240)&lt;&gt;"Y"),"BROKEN: Status not Y","OK")))))</f>
        <v/>
      </c>
    </row>
    <row r="241" customFormat="false" ht="15" hidden="false" customHeight="false" outlineLevel="0" collapsed="false">
      <c r="A241" s="41"/>
      <c r="B241" s="5" t="n">
        <f aca="false">IF(A241="",0,IFERROR(MATCH(A241,Bank!$A:$A,0),0))</f>
        <v>0</v>
      </c>
      <c r="C241" s="5" t="str">
        <f aca="false">IF(B241=0,"",IF(INDEX(Bank!$G:$G,B241)="","",INDEX(Bank!$G:$G,B241)))</f>
        <v/>
      </c>
      <c r="D241" s="5" t="str">
        <f aca="false">IF(B241=0,"",IF(INDEX(Bank!$J:$J,B241)="","",INDEX(Bank!$J:$J,B241)))</f>
        <v/>
      </c>
      <c r="E241" s="32" t="str">
        <f aca="false">IF(B241=0,"",INDEX(Bank!$B:$B,B241))</f>
        <v/>
      </c>
      <c r="F241" s="5" t="str">
        <f aca="false">IF(B241=0,"",IF(INDEX(Bank!$C:$C,B241)="","",INDEX(Bank!$C:$C,B241)))</f>
        <v/>
      </c>
      <c r="G241" s="19" t="str">
        <f aca="false">IF(B241=0,"",INDEX(Bank!$E:$E,B241))</f>
        <v/>
      </c>
      <c r="H241" s="5" t="str">
        <f aca="false">IF(B241=0,"",IF(INDEX(Bank!$H:$H,B241)="","",INDEX(Bank!$H:$H,B241)))</f>
        <v/>
      </c>
      <c r="I241" s="5" t="n">
        <f aca="false">IF(H241="",0,IFERROR(MATCH(H241,GL!$A:$A,0),0))</f>
        <v>0</v>
      </c>
      <c r="J241" s="32" t="str">
        <f aca="false">IF(I241=0,"",INDEX(GL!$B:$B,I241))</f>
        <v/>
      </c>
      <c r="K241" s="5" t="str">
        <f aca="false">IF(I241=0,"",IF(INDEX(GL!$C:$C,I241)="","",INDEX(GL!$C:$C,I241)))</f>
        <v/>
      </c>
      <c r="L241" s="19" t="str">
        <f aca="false">IF(I241=0,"",INDEX(GL!$E:$E,I241))</f>
        <v/>
      </c>
      <c r="M241" s="19" t="str">
        <f aca="false">IF(OR(B241=0,I241=0),"",ROUND(G241-L241,2))</f>
        <v/>
      </c>
      <c r="N241" s="5" t="str">
        <f aca="false">IF(A241="","",IF(B241=0,"NOT FOUND: bank ID",IF(I241=0,"NOT FOUND: GL ID",IF(INDEX(GL!$H:$H,I241)&lt;&gt;A241,"BROKEN: GL points elsewhere",IF(OR(INDEX(Bank!$F:$F,B241)&lt;&gt;"Y",INDEX(GL!$F:$F,I241)&lt;&gt;"Y"),"BROKEN: Status not Y","OK")))))</f>
        <v/>
      </c>
    </row>
    <row r="242" customFormat="false" ht="15" hidden="false" customHeight="false" outlineLevel="0" collapsed="false">
      <c r="A242" s="41"/>
      <c r="B242" s="5" t="n">
        <f aca="false">IF(A242="",0,IFERROR(MATCH(A242,Bank!$A:$A,0),0))</f>
        <v>0</v>
      </c>
      <c r="C242" s="5" t="str">
        <f aca="false">IF(B242=0,"",IF(INDEX(Bank!$G:$G,B242)="","",INDEX(Bank!$G:$G,B242)))</f>
        <v/>
      </c>
      <c r="D242" s="5" t="str">
        <f aca="false">IF(B242=0,"",IF(INDEX(Bank!$J:$J,B242)="","",INDEX(Bank!$J:$J,B242)))</f>
        <v/>
      </c>
      <c r="E242" s="32" t="str">
        <f aca="false">IF(B242=0,"",INDEX(Bank!$B:$B,B242))</f>
        <v/>
      </c>
      <c r="F242" s="5" t="str">
        <f aca="false">IF(B242=0,"",IF(INDEX(Bank!$C:$C,B242)="","",INDEX(Bank!$C:$C,B242)))</f>
        <v/>
      </c>
      <c r="G242" s="19" t="str">
        <f aca="false">IF(B242=0,"",INDEX(Bank!$E:$E,B242))</f>
        <v/>
      </c>
      <c r="H242" s="5" t="str">
        <f aca="false">IF(B242=0,"",IF(INDEX(Bank!$H:$H,B242)="","",INDEX(Bank!$H:$H,B242)))</f>
        <v/>
      </c>
      <c r="I242" s="5" t="n">
        <f aca="false">IF(H242="",0,IFERROR(MATCH(H242,GL!$A:$A,0),0))</f>
        <v>0</v>
      </c>
      <c r="J242" s="32" t="str">
        <f aca="false">IF(I242=0,"",INDEX(GL!$B:$B,I242))</f>
        <v/>
      </c>
      <c r="K242" s="5" t="str">
        <f aca="false">IF(I242=0,"",IF(INDEX(GL!$C:$C,I242)="","",INDEX(GL!$C:$C,I242)))</f>
        <v/>
      </c>
      <c r="L242" s="19" t="str">
        <f aca="false">IF(I242=0,"",INDEX(GL!$E:$E,I242))</f>
        <v/>
      </c>
      <c r="M242" s="19" t="str">
        <f aca="false">IF(OR(B242=0,I242=0),"",ROUND(G242-L242,2))</f>
        <v/>
      </c>
      <c r="N242" s="5" t="str">
        <f aca="false">IF(A242="","",IF(B242=0,"NOT FOUND: bank ID",IF(I242=0,"NOT FOUND: GL ID",IF(INDEX(GL!$H:$H,I242)&lt;&gt;A242,"BROKEN: GL points elsewhere",IF(OR(INDEX(Bank!$F:$F,B242)&lt;&gt;"Y",INDEX(GL!$F:$F,I242)&lt;&gt;"Y"),"BROKEN: Status not Y","OK")))))</f>
        <v/>
      </c>
    </row>
    <row r="243" customFormat="false" ht="15" hidden="false" customHeight="false" outlineLevel="0" collapsed="false">
      <c r="A243" s="41"/>
      <c r="B243" s="5" t="n">
        <f aca="false">IF(A243="",0,IFERROR(MATCH(A243,Bank!$A:$A,0),0))</f>
        <v>0</v>
      </c>
      <c r="C243" s="5" t="str">
        <f aca="false">IF(B243=0,"",IF(INDEX(Bank!$G:$G,B243)="","",INDEX(Bank!$G:$G,B243)))</f>
        <v/>
      </c>
      <c r="D243" s="5" t="str">
        <f aca="false">IF(B243=0,"",IF(INDEX(Bank!$J:$J,B243)="","",INDEX(Bank!$J:$J,B243)))</f>
        <v/>
      </c>
      <c r="E243" s="32" t="str">
        <f aca="false">IF(B243=0,"",INDEX(Bank!$B:$B,B243))</f>
        <v/>
      </c>
      <c r="F243" s="5" t="str">
        <f aca="false">IF(B243=0,"",IF(INDEX(Bank!$C:$C,B243)="","",INDEX(Bank!$C:$C,B243)))</f>
        <v/>
      </c>
      <c r="G243" s="19" t="str">
        <f aca="false">IF(B243=0,"",INDEX(Bank!$E:$E,B243))</f>
        <v/>
      </c>
      <c r="H243" s="5" t="str">
        <f aca="false">IF(B243=0,"",IF(INDEX(Bank!$H:$H,B243)="","",INDEX(Bank!$H:$H,B243)))</f>
        <v/>
      </c>
      <c r="I243" s="5" t="n">
        <f aca="false">IF(H243="",0,IFERROR(MATCH(H243,GL!$A:$A,0),0))</f>
        <v>0</v>
      </c>
      <c r="J243" s="32" t="str">
        <f aca="false">IF(I243=0,"",INDEX(GL!$B:$B,I243))</f>
        <v/>
      </c>
      <c r="K243" s="5" t="str">
        <f aca="false">IF(I243=0,"",IF(INDEX(GL!$C:$C,I243)="","",INDEX(GL!$C:$C,I243)))</f>
        <v/>
      </c>
      <c r="L243" s="19" t="str">
        <f aca="false">IF(I243=0,"",INDEX(GL!$E:$E,I243))</f>
        <v/>
      </c>
      <c r="M243" s="19" t="str">
        <f aca="false">IF(OR(B243=0,I243=0),"",ROUND(G243-L243,2))</f>
        <v/>
      </c>
      <c r="N243" s="5" t="str">
        <f aca="false">IF(A243="","",IF(B243=0,"NOT FOUND: bank ID",IF(I243=0,"NOT FOUND: GL ID",IF(INDEX(GL!$H:$H,I243)&lt;&gt;A243,"BROKEN: GL points elsewhere",IF(OR(INDEX(Bank!$F:$F,B243)&lt;&gt;"Y",INDEX(GL!$F:$F,I243)&lt;&gt;"Y"),"BROKEN: Status not Y","OK")))))</f>
        <v/>
      </c>
    </row>
    <row r="244" customFormat="false" ht="15" hidden="false" customHeight="false" outlineLevel="0" collapsed="false">
      <c r="A244" s="41"/>
      <c r="B244" s="5" t="n">
        <f aca="false">IF(A244="",0,IFERROR(MATCH(A244,Bank!$A:$A,0),0))</f>
        <v>0</v>
      </c>
      <c r="C244" s="5" t="str">
        <f aca="false">IF(B244=0,"",IF(INDEX(Bank!$G:$G,B244)="","",INDEX(Bank!$G:$G,B244)))</f>
        <v/>
      </c>
      <c r="D244" s="5" t="str">
        <f aca="false">IF(B244=0,"",IF(INDEX(Bank!$J:$J,B244)="","",INDEX(Bank!$J:$J,B244)))</f>
        <v/>
      </c>
      <c r="E244" s="32" t="str">
        <f aca="false">IF(B244=0,"",INDEX(Bank!$B:$B,B244))</f>
        <v/>
      </c>
      <c r="F244" s="5" t="str">
        <f aca="false">IF(B244=0,"",IF(INDEX(Bank!$C:$C,B244)="","",INDEX(Bank!$C:$C,B244)))</f>
        <v/>
      </c>
      <c r="G244" s="19" t="str">
        <f aca="false">IF(B244=0,"",INDEX(Bank!$E:$E,B244))</f>
        <v/>
      </c>
      <c r="H244" s="5" t="str">
        <f aca="false">IF(B244=0,"",IF(INDEX(Bank!$H:$H,B244)="","",INDEX(Bank!$H:$H,B244)))</f>
        <v/>
      </c>
      <c r="I244" s="5" t="n">
        <f aca="false">IF(H244="",0,IFERROR(MATCH(H244,GL!$A:$A,0),0))</f>
        <v>0</v>
      </c>
      <c r="J244" s="32" t="str">
        <f aca="false">IF(I244=0,"",INDEX(GL!$B:$B,I244))</f>
        <v/>
      </c>
      <c r="K244" s="5" t="str">
        <f aca="false">IF(I244=0,"",IF(INDEX(GL!$C:$C,I244)="","",INDEX(GL!$C:$C,I244)))</f>
        <v/>
      </c>
      <c r="L244" s="19" t="str">
        <f aca="false">IF(I244=0,"",INDEX(GL!$E:$E,I244))</f>
        <v/>
      </c>
      <c r="M244" s="19" t="str">
        <f aca="false">IF(OR(B244=0,I244=0),"",ROUND(G244-L244,2))</f>
        <v/>
      </c>
      <c r="N244" s="5" t="str">
        <f aca="false">IF(A244="","",IF(B244=0,"NOT FOUND: bank ID",IF(I244=0,"NOT FOUND: GL ID",IF(INDEX(GL!$H:$H,I244)&lt;&gt;A244,"BROKEN: GL points elsewhere",IF(OR(INDEX(Bank!$F:$F,B244)&lt;&gt;"Y",INDEX(GL!$F:$F,I244)&lt;&gt;"Y"),"BROKEN: Status not Y","OK")))))</f>
        <v/>
      </c>
    </row>
    <row r="245" customFormat="false" ht="15" hidden="false" customHeight="false" outlineLevel="0" collapsed="false">
      <c r="A245" s="41"/>
      <c r="B245" s="5" t="n">
        <f aca="false">IF(A245="",0,IFERROR(MATCH(A245,Bank!$A:$A,0),0))</f>
        <v>0</v>
      </c>
      <c r="C245" s="5" t="str">
        <f aca="false">IF(B245=0,"",IF(INDEX(Bank!$G:$G,B245)="","",INDEX(Bank!$G:$G,B245)))</f>
        <v/>
      </c>
      <c r="D245" s="5" t="str">
        <f aca="false">IF(B245=0,"",IF(INDEX(Bank!$J:$J,B245)="","",INDEX(Bank!$J:$J,B245)))</f>
        <v/>
      </c>
      <c r="E245" s="32" t="str">
        <f aca="false">IF(B245=0,"",INDEX(Bank!$B:$B,B245))</f>
        <v/>
      </c>
      <c r="F245" s="5" t="str">
        <f aca="false">IF(B245=0,"",IF(INDEX(Bank!$C:$C,B245)="","",INDEX(Bank!$C:$C,B245)))</f>
        <v/>
      </c>
      <c r="G245" s="19" t="str">
        <f aca="false">IF(B245=0,"",INDEX(Bank!$E:$E,B245))</f>
        <v/>
      </c>
      <c r="H245" s="5" t="str">
        <f aca="false">IF(B245=0,"",IF(INDEX(Bank!$H:$H,B245)="","",INDEX(Bank!$H:$H,B245)))</f>
        <v/>
      </c>
      <c r="I245" s="5" t="n">
        <f aca="false">IF(H245="",0,IFERROR(MATCH(H245,GL!$A:$A,0),0))</f>
        <v>0</v>
      </c>
      <c r="J245" s="32" t="str">
        <f aca="false">IF(I245=0,"",INDEX(GL!$B:$B,I245))</f>
        <v/>
      </c>
      <c r="K245" s="5" t="str">
        <f aca="false">IF(I245=0,"",IF(INDEX(GL!$C:$C,I245)="","",INDEX(GL!$C:$C,I245)))</f>
        <v/>
      </c>
      <c r="L245" s="19" t="str">
        <f aca="false">IF(I245=0,"",INDEX(GL!$E:$E,I245))</f>
        <v/>
      </c>
      <c r="M245" s="19" t="str">
        <f aca="false">IF(OR(B245=0,I245=0),"",ROUND(G245-L245,2))</f>
        <v/>
      </c>
      <c r="N245" s="5" t="str">
        <f aca="false">IF(A245="","",IF(B245=0,"NOT FOUND: bank ID",IF(I245=0,"NOT FOUND: GL ID",IF(INDEX(GL!$H:$H,I245)&lt;&gt;A245,"BROKEN: GL points elsewhere",IF(OR(INDEX(Bank!$F:$F,B245)&lt;&gt;"Y",INDEX(GL!$F:$F,I245)&lt;&gt;"Y"),"BROKEN: Status not Y","OK")))))</f>
        <v/>
      </c>
    </row>
    <row r="246" customFormat="false" ht="15" hidden="false" customHeight="false" outlineLevel="0" collapsed="false">
      <c r="A246" s="41"/>
      <c r="B246" s="5" t="n">
        <f aca="false">IF(A246="",0,IFERROR(MATCH(A246,Bank!$A:$A,0),0))</f>
        <v>0</v>
      </c>
      <c r="C246" s="5" t="str">
        <f aca="false">IF(B246=0,"",IF(INDEX(Bank!$G:$G,B246)="","",INDEX(Bank!$G:$G,B246)))</f>
        <v/>
      </c>
      <c r="D246" s="5" t="str">
        <f aca="false">IF(B246=0,"",IF(INDEX(Bank!$J:$J,B246)="","",INDEX(Bank!$J:$J,B246)))</f>
        <v/>
      </c>
      <c r="E246" s="32" t="str">
        <f aca="false">IF(B246=0,"",INDEX(Bank!$B:$B,B246))</f>
        <v/>
      </c>
      <c r="F246" s="5" t="str">
        <f aca="false">IF(B246=0,"",IF(INDEX(Bank!$C:$C,B246)="","",INDEX(Bank!$C:$C,B246)))</f>
        <v/>
      </c>
      <c r="G246" s="19" t="str">
        <f aca="false">IF(B246=0,"",INDEX(Bank!$E:$E,B246))</f>
        <v/>
      </c>
      <c r="H246" s="5" t="str">
        <f aca="false">IF(B246=0,"",IF(INDEX(Bank!$H:$H,B246)="","",INDEX(Bank!$H:$H,B246)))</f>
        <v/>
      </c>
      <c r="I246" s="5" t="n">
        <f aca="false">IF(H246="",0,IFERROR(MATCH(H246,GL!$A:$A,0),0))</f>
        <v>0</v>
      </c>
      <c r="J246" s="32" t="str">
        <f aca="false">IF(I246=0,"",INDEX(GL!$B:$B,I246))</f>
        <v/>
      </c>
      <c r="K246" s="5" t="str">
        <f aca="false">IF(I246=0,"",IF(INDEX(GL!$C:$C,I246)="","",INDEX(GL!$C:$C,I246)))</f>
        <v/>
      </c>
      <c r="L246" s="19" t="str">
        <f aca="false">IF(I246=0,"",INDEX(GL!$E:$E,I246))</f>
        <v/>
      </c>
      <c r="M246" s="19" t="str">
        <f aca="false">IF(OR(B246=0,I246=0),"",ROUND(G246-L246,2))</f>
        <v/>
      </c>
      <c r="N246" s="5" t="str">
        <f aca="false">IF(A246="","",IF(B246=0,"NOT FOUND: bank ID",IF(I246=0,"NOT FOUND: GL ID",IF(INDEX(GL!$H:$H,I246)&lt;&gt;A246,"BROKEN: GL points elsewhere",IF(OR(INDEX(Bank!$F:$F,B246)&lt;&gt;"Y",INDEX(GL!$F:$F,I246)&lt;&gt;"Y"),"BROKEN: Status not Y","OK")))))</f>
        <v/>
      </c>
    </row>
    <row r="247" customFormat="false" ht="15" hidden="false" customHeight="false" outlineLevel="0" collapsed="false">
      <c r="A247" s="41"/>
      <c r="B247" s="5" t="n">
        <f aca="false">IF(A247="",0,IFERROR(MATCH(A247,Bank!$A:$A,0),0))</f>
        <v>0</v>
      </c>
      <c r="C247" s="5" t="str">
        <f aca="false">IF(B247=0,"",IF(INDEX(Bank!$G:$G,B247)="","",INDEX(Bank!$G:$G,B247)))</f>
        <v/>
      </c>
      <c r="D247" s="5" t="str">
        <f aca="false">IF(B247=0,"",IF(INDEX(Bank!$J:$J,B247)="","",INDEX(Bank!$J:$J,B247)))</f>
        <v/>
      </c>
      <c r="E247" s="32" t="str">
        <f aca="false">IF(B247=0,"",INDEX(Bank!$B:$B,B247))</f>
        <v/>
      </c>
      <c r="F247" s="5" t="str">
        <f aca="false">IF(B247=0,"",IF(INDEX(Bank!$C:$C,B247)="","",INDEX(Bank!$C:$C,B247)))</f>
        <v/>
      </c>
      <c r="G247" s="19" t="str">
        <f aca="false">IF(B247=0,"",INDEX(Bank!$E:$E,B247))</f>
        <v/>
      </c>
      <c r="H247" s="5" t="str">
        <f aca="false">IF(B247=0,"",IF(INDEX(Bank!$H:$H,B247)="","",INDEX(Bank!$H:$H,B247)))</f>
        <v/>
      </c>
      <c r="I247" s="5" t="n">
        <f aca="false">IF(H247="",0,IFERROR(MATCH(H247,GL!$A:$A,0),0))</f>
        <v>0</v>
      </c>
      <c r="J247" s="32" t="str">
        <f aca="false">IF(I247=0,"",INDEX(GL!$B:$B,I247))</f>
        <v/>
      </c>
      <c r="K247" s="5" t="str">
        <f aca="false">IF(I247=0,"",IF(INDEX(GL!$C:$C,I247)="","",INDEX(GL!$C:$C,I247)))</f>
        <v/>
      </c>
      <c r="L247" s="19" t="str">
        <f aca="false">IF(I247=0,"",INDEX(GL!$E:$E,I247))</f>
        <v/>
      </c>
      <c r="M247" s="19" t="str">
        <f aca="false">IF(OR(B247=0,I247=0),"",ROUND(G247-L247,2))</f>
        <v/>
      </c>
      <c r="N247" s="5" t="str">
        <f aca="false">IF(A247="","",IF(B247=0,"NOT FOUND: bank ID",IF(I247=0,"NOT FOUND: GL ID",IF(INDEX(GL!$H:$H,I247)&lt;&gt;A247,"BROKEN: GL points elsewhere",IF(OR(INDEX(Bank!$F:$F,B247)&lt;&gt;"Y",INDEX(GL!$F:$F,I247)&lt;&gt;"Y"),"BROKEN: Status not Y","OK")))))</f>
        <v/>
      </c>
    </row>
    <row r="248" customFormat="false" ht="15" hidden="false" customHeight="false" outlineLevel="0" collapsed="false">
      <c r="A248" s="41"/>
      <c r="B248" s="5" t="n">
        <f aca="false">IF(A248="",0,IFERROR(MATCH(A248,Bank!$A:$A,0),0))</f>
        <v>0</v>
      </c>
      <c r="C248" s="5" t="str">
        <f aca="false">IF(B248=0,"",IF(INDEX(Bank!$G:$G,B248)="","",INDEX(Bank!$G:$G,B248)))</f>
        <v/>
      </c>
      <c r="D248" s="5" t="str">
        <f aca="false">IF(B248=0,"",IF(INDEX(Bank!$J:$J,B248)="","",INDEX(Bank!$J:$J,B248)))</f>
        <v/>
      </c>
      <c r="E248" s="32" t="str">
        <f aca="false">IF(B248=0,"",INDEX(Bank!$B:$B,B248))</f>
        <v/>
      </c>
      <c r="F248" s="5" t="str">
        <f aca="false">IF(B248=0,"",IF(INDEX(Bank!$C:$C,B248)="","",INDEX(Bank!$C:$C,B248)))</f>
        <v/>
      </c>
      <c r="G248" s="19" t="str">
        <f aca="false">IF(B248=0,"",INDEX(Bank!$E:$E,B248))</f>
        <v/>
      </c>
      <c r="H248" s="5" t="str">
        <f aca="false">IF(B248=0,"",IF(INDEX(Bank!$H:$H,B248)="","",INDEX(Bank!$H:$H,B248)))</f>
        <v/>
      </c>
      <c r="I248" s="5" t="n">
        <f aca="false">IF(H248="",0,IFERROR(MATCH(H248,GL!$A:$A,0),0))</f>
        <v>0</v>
      </c>
      <c r="J248" s="32" t="str">
        <f aca="false">IF(I248=0,"",INDEX(GL!$B:$B,I248))</f>
        <v/>
      </c>
      <c r="K248" s="5" t="str">
        <f aca="false">IF(I248=0,"",IF(INDEX(GL!$C:$C,I248)="","",INDEX(GL!$C:$C,I248)))</f>
        <v/>
      </c>
      <c r="L248" s="19" t="str">
        <f aca="false">IF(I248=0,"",INDEX(GL!$E:$E,I248))</f>
        <v/>
      </c>
      <c r="M248" s="19" t="str">
        <f aca="false">IF(OR(B248=0,I248=0),"",ROUND(G248-L248,2))</f>
        <v/>
      </c>
      <c r="N248" s="5" t="str">
        <f aca="false">IF(A248="","",IF(B248=0,"NOT FOUND: bank ID",IF(I248=0,"NOT FOUND: GL ID",IF(INDEX(GL!$H:$H,I248)&lt;&gt;A248,"BROKEN: GL points elsewhere",IF(OR(INDEX(Bank!$F:$F,B248)&lt;&gt;"Y",INDEX(GL!$F:$F,I248)&lt;&gt;"Y"),"BROKEN: Status not Y","OK")))))</f>
        <v/>
      </c>
    </row>
    <row r="249" customFormat="false" ht="15" hidden="false" customHeight="false" outlineLevel="0" collapsed="false">
      <c r="A249" s="41"/>
      <c r="B249" s="5" t="n">
        <f aca="false">IF(A249="",0,IFERROR(MATCH(A249,Bank!$A:$A,0),0))</f>
        <v>0</v>
      </c>
      <c r="C249" s="5" t="str">
        <f aca="false">IF(B249=0,"",IF(INDEX(Bank!$G:$G,B249)="","",INDEX(Bank!$G:$G,B249)))</f>
        <v/>
      </c>
      <c r="D249" s="5" t="str">
        <f aca="false">IF(B249=0,"",IF(INDEX(Bank!$J:$J,B249)="","",INDEX(Bank!$J:$J,B249)))</f>
        <v/>
      </c>
      <c r="E249" s="32" t="str">
        <f aca="false">IF(B249=0,"",INDEX(Bank!$B:$B,B249))</f>
        <v/>
      </c>
      <c r="F249" s="5" t="str">
        <f aca="false">IF(B249=0,"",IF(INDEX(Bank!$C:$C,B249)="","",INDEX(Bank!$C:$C,B249)))</f>
        <v/>
      </c>
      <c r="G249" s="19" t="str">
        <f aca="false">IF(B249=0,"",INDEX(Bank!$E:$E,B249))</f>
        <v/>
      </c>
      <c r="H249" s="5" t="str">
        <f aca="false">IF(B249=0,"",IF(INDEX(Bank!$H:$H,B249)="","",INDEX(Bank!$H:$H,B249)))</f>
        <v/>
      </c>
      <c r="I249" s="5" t="n">
        <f aca="false">IF(H249="",0,IFERROR(MATCH(H249,GL!$A:$A,0),0))</f>
        <v>0</v>
      </c>
      <c r="J249" s="32" t="str">
        <f aca="false">IF(I249=0,"",INDEX(GL!$B:$B,I249))</f>
        <v/>
      </c>
      <c r="K249" s="5" t="str">
        <f aca="false">IF(I249=0,"",IF(INDEX(GL!$C:$C,I249)="","",INDEX(GL!$C:$C,I249)))</f>
        <v/>
      </c>
      <c r="L249" s="19" t="str">
        <f aca="false">IF(I249=0,"",INDEX(GL!$E:$E,I249))</f>
        <v/>
      </c>
      <c r="M249" s="19" t="str">
        <f aca="false">IF(OR(B249=0,I249=0),"",ROUND(G249-L249,2))</f>
        <v/>
      </c>
      <c r="N249" s="5" t="str">
        <f aca="false">IF(A249="","",IF(B249=0,"NOT FOUND: bank ID",IF(I249=0,"NOT FOUND: GL ID",IF(INDEX(GL!$H:$H,I249)&lt;&gt;A249,"BROKEN: GL points elsewhere",IF(OR(INDEX(Bank!$F:$F,B249)&lt;&gt;"Y",INDEX(GL!$F:$F,I249)&lt;&gt;"Y"),"BROKEN: Status not Y","OK")))))</f>
        <v/>
      </c>
    </row>
    <row r="250" customFormat="false" ht="15" hidden="false" customHeight="false" outlineLevel="0" collapsed="false">
      <c r="A250" s="41"/>
      <c r="B250" s="5" t="n">
        <f aca="false">IF(A250="",0,IFERROR(MATCH(A250,Bank!$A:$A,0),0))</f>
        <v>0</v>
      </c>
      <c r="C250" s="5" t="str">
        <f aca="false">IF(B250=0,"",IF(INDEX(Bank!$G:$G,B250)="","",INDEX(Bank!$G:$G,B250)))</f>
        <v/>
      </c>
      <c r="D250" s="5" t="str">
        <f aca="false">IF(B250=0,"",IF(INDEX(Bank!$J:$J,B250)="","",INDEX(Bank!$J:$J,B250)))</f>
        <v/>
      </c>
      <c r="E250" s="32" t="str">
        <f aca="false">IF(B250=0,"",INDEX(Bank!$B:$B,B250))</f>
        <v/>
      </c>
      <c r="F250" s="5" t="str">
        <f aca="false">IF(B250=0,"",IF(INDEX(Bank!$C:$C,B250)="","",INDEX(Bank!$C:$C,B250)))</f>
        <v/>
      </c>
      <c r="G250" s="19" t="str">
        <f aca="false">IF(B250=0,"",INDEX(Bank!$E:$E,B250))</f>
        <v/>
      </c>
      <c r="H250" s="5" t="str">
        <f aca="false">IF(B250=0,"",IF(INDEX(Bank!$H:$H,B250)="","",INDEX(Bank!$H:$H,B250)))</f>
        <v/>
      </c>
      <c r="I250" s="5" t="n">
        <f aca="false">IF(H250="",0,IFERROR(MATCH(H250,GL!$A:$A,0),0))</f>
        <v>0</v>
      </c>
      <c r="J250" s="32" t="str">
        <f aca="false">IF(I250=0,"",INDEX(GL!$B:$B,I250))</f>
        <v/>
      </c>
      <c r="K250" s="5" t="str">
        <f aca="false">IF(I250=0,"",IF(INDEX(GL!$C:$C,I250)="","",INDEX(GL!$C:$C,I250)))</f>
        <v/>
      </c>
      <c r="L250" s="19" t="str">
        <f aca="false">IF(I250=0,"",INDEX(GL!$E:$E,I250))</f>
        <v/>
      </c>
      <c r="M250" s="19" t="str">
        <f aca="false">IF(OR(B250=0,I250=0),"",ROUND(G250-L250,2))</f>
        <v/>
      </c>
      <c r="N250" s="5" t="str">
        <f aca="false">IF(A250="","",IF(B250=0,"NOT FOUND: bank ID",IF(I250=0,"NOT FOUND: GL ID",IF(INDEX(GL!$H:$H,I250)&lt;&gt;A250,"BROKEN: GL points elsewhere",IF(OR(INDEX(Bank!$F:$F,B250)&lt;&gt;"Y",INDEX(GL!$F:$F,I250)&lt;&gt;"Y"),"BROKEN: Status not Y","OK")))))</f>
        <v/>
      </c>
    </row>
    <row r="251" customFormat="false" ht="15" hidden="false" customHeight="false" outlineLevel="0" collapsed="false">
      <c r="A251" s="41"/>
      <c r="B251" s="5" t="n">
        <f aca="false">IF(A251="",0,IFERROR(MATCH(A251,Bank!$A:$A,0),0))</f>
        <v>0</v>
      </c>
      <c r="C251" s="5" t="str">
        <f aca="false">IF(B251=0,"",IF(INDEX(Bank!$G:$G,B251)="","",INDEX(Bank!$G:$G,B251)))</f>
        <v/>
      </c>
      <c r="D251" s="5" t="str">
        <f aca="false">IF(B251=0,"",IF(INDEX(Bank!$J:$J,B251)="","",INDEX(Bank!$J:$J,B251)))</f>
        <v/>
      </c>
      <c r="E251" s="32" t="str">
        <f aca="false">IF(B251=0,"",INDEX(Bank!$B:$B,B251))</f>
        <v/>
      </c>
      <c r="F251" s="5" t="str">
        <f aca="false">IF(B251=0,"",IF(INDEX(Bank!$C:$C,B251)="","",INDEX(Bank!$C:$C,B251)))</f>
        <v/>
      </c>
      <c r="G251" s="19" t="str">
        <f aca="false">IF(B251=0,"",INDEX(Bank!$E:$E,B251))</f>
        <v/>
      </c>
      <c r="H251" s="5" t="str">
        <f aca="false">IF(B251=0,"",IF(INDEX(Bank!$H:$H,B251)="","",INDEX(Bank!$H:$H,B251)))</f>
        <v/>
      </c>
      <c r="I251" s="5" t="n">
        <f aca="false">IF(H251="",0,IFERROR(MATCH(H251,GL!$A:$A,0),0))</f>
        <v>0</v>
      </c>
      <c r="J251" s="32" t="str">
        <f aca="false">IF(I251=0,"",INDEX(GL!$B:$B,I251))</f>
        <v/>
      </c>
      <c r="K251" s="5" t="str">
        <f aca="false">IF(I251=0,"",IF(INDEX(GL!$C:$C,I251)="","",INDEX(GL!$C:$C,I251)))</f>
        <v/>
      </c>
      <c r="L251" s="19" t="str">
        <f aca="false">IF(I251=0,"",INDEX(GL!$E:$E,I251))</f>
        <v/>
      </c>
      <c r="M251" s="19" t="str">
        <f aca="false">IF(OR(B251=0,I251=0),"",ROUND(G251-L251,2))</f>
        <v/>
      </c>
      <c r="N251" s="5" t="str">
        <f aca="false">IF(A251="","",IF(B251=0,"NOT FOUND: bank ID",IF(I251=0,"NOT FOUND: GL ID",IF(INDEX(GL!$H:$H,I251)&lt;&gt;A251,"BROKEN: GL points elsewhere",IF(OR(INDEX(Bank!$F:$F,B251)&lt;&gt;"Y",INDEX(GL!$F:$F,I251)&lt;&gt;"Y"),"BROKEN: Status not Y","OK")))))</f>
        <v/>
      </c>
    </row>
    <row r="252" customFormat="false" ht="15" hidden="false" customHeight="false" outlineLevel="0" collapsed="false">
      <c r="A252" s="41"/>
      <c r="B252" s="5" t="n">
        <f aca="false">IF(A252="",0,IFERROR(MATCH(A252,Bank!$A:$A,0),0))</f>
        <v>0</v>
      </c>
      <c r="C252" s="5" t="str">
        <f aca="false">IF(B252=0,"",IF(INDEX(Bank!$G:$G,B252)="","",INDEX(Bank!$G:$G,B252)))</f>
        <v/>
      </c>
      <c r="D252" s="5" t="str">
        <f aca="false">IF(B252=0,"",IF(INDEX(Bank!$J:$J,B252)="","",INDEX(Bank!$J:$J,B252)))</f>
        <v/>
      </c>
      <c r="E252" s="32" t="str">
        <f aca="false">IF(B252=0,"",INDEX(Bank!$B:$B,B252))</f>
        <v/>
      </c>
      <c r="F252" s="5" t="str">
        <f aca="false">IF(B252=0,"",IF(INDEX(Bank!$C:$C,B252)="","",INDEX(Bank!$C:$C,B252)))</f>
        <v/>
      </c>
      <c r="G252" s="19" t="str">
        <f aca="false">IF(B252=0,"",INDEX(Bank!$E:$E,B252))</f>
        <v/>
      </c>
      <c r="H252" s="5" t="str">
        <f aca="false">IF(B252=0,"",IF(INDEX(Bank!$H:$H,B252)="","",INDEX(Bank!$H:$H,B252)))</f>
        <v/>
      </c>
      <c r="I252" s="5" t="n">
        <f aca="false">IF(H252="",0,IFERROR(MATCH(H252,GL!$A:$A,0),0))</f>
        <v>0</v>
      </c>
      <c r="J252" s="32" t="str">
        <f aca="false">IF(I252=0,"",INDEX(GL!$B:$B,I252))</f>
        <v/>
      </c>
      <c r="K252" s="5" t="str">
        <f aca="false">IF(I252=0,"",IF(INDEX(GL!$C:$C,I252)="","",INDEX(GL!$C:$C,I252)))</f>
        <v/>
      </c>
      <c r="L252" s="19" t="str">
        <f aca="false">IF(I252=0,"",INDEX(GL!$E:$E,I252))</f>
        <v/>
      </c>
      <c r="M252" s="19" t="str">
        <f aca="false">IF(OR(B252=0,I252=0),"",ROUND(G252-L252,2))</f>
        <v/>
      </c>
      <c r="N252" s="5" t="str">
        <f aca="false">IF(A252="","",IF(B252=0,"NOT FOUND: bank ID",IF(I252=0,"NOT FOUND: GL ID",IF(INDEX(GL!$H:$H,I252)&lt;&gt;A252,"BROKEN: GL points elsewhere",IF(OR(INDEX(Bank!$F:$F,B252)&lt;&gt;"Y",INDEX(GL!$F:$F,I252)&lt;&gt;"Y"),"BROKEN: Status not Y","OK")))))</f>
        <v/>
      </c>
    </row>
    <row r="253" customFormat="false" ht="15" hidden="false" customHeight="false" outlineLevel="0" collapsed="false">
      <c r="A253" s="41"/>
      <c r="B253" s="5" t="n">
        <f aca="false">IF(A253="",0,IFERROR(MATCH(A253,Bank!$A:$A,0),0))</f>
        <v>0</v>
      </c>
      <c r="C253" s="5" t="str">
        <f aca="false">IF(B253=0,"",IF(INDEX(Bank!$G:$G,B253)="","",INDEX(Bank!$G:$G,B253)))</f>
        <v/>
      </c>
      <c r="D253" s="5" t="str">
        <f aca="false">IF(B253=0,"",IF(INDEX(Bank!$J:$J,B253)="","",INDEX(Bank!$J:$J,B253)))</f>
        <v/>
      </c>
      <c r="E253" s="32" t="str">
        <f aca="false">IF(B253=0,"",INDEX(Bank!$B:$B,B253))</f>
        <v/>
      </c>
      <c r="F253" s="5" t="str">
        <f aca="false">IF(B253=0,"",IF(INDEX(Bank!$C:$C,B253)="","",INDEX(Bank!$C:$C,B253)))</f>
        <v/>
      </c>
      <c r="G253" s="19" t="str">
        <f aca="false">IF(B253=0,"",INDEX(Bank!$E:$E,B253))</f>
        <v/>
      </c>
      <c r="H253" s="5" t="str">
        <f aca="false">IF(B253=0,"",IF(INDEX(Bank!$H:$H,B253)="","",INDEX(Bank!$H:$H,B253)))</f>
        <v/>
      </c>
      <c r="I253" s="5" t="n">
        <f aca="false">IF(H253="",0,IFERROR(MATCH(H253,GL!$A:$A,0),0))</f>
        <v>0</v>
      </c>
      <c r="J253" s="32" t="str">
        <f aca="false">IF(I253=0,"",INDEX(GL!$B:$B,I253))</f>
        <v/>
      </c>
      <c r="K253" s="5" t="str">
        <f aca="false">IF(I253=0,"",IF(INDEX(GL!$C:$C,I253)="","",INDEX(GL!$C:$C,I253)))</f>
        <v/>
      </c>
      <c r="L253" s="19" t="str">
        <f aca="false">IF(I253=0,"",INDEX(GL!$E:$E,I253))</f>
        <v/>
      </c>
      <c r="M253" s="19" t="str">
        <f aca="false">IF(OR(B253=0,I253=0),"",ROUND(G253-L253,2))</f>
        <v/>
      </c>
      <c r="N253" s="5" t="str">
        <f aca="false">IF(A253="","",IF(B253=0,"NOT FOUND: bank ID",IF(I253=0,"NOT FOUND: GL ID",IF(INDEX(GL!$H:$H,I253)&lt;&gt;A253,"BROKEN: GL points elsewhere",IF(OR(INDEX(Bank!$F:$F,B253)&lt;&gt;"Y",INDEX(GL!$F:$F,I253)&lt;&gt;"Y"),"BROKEN: Status not Y","OK")))))</f>
        <v/>
      </c>
    </row>
    <row r="254" customFormat="false" ht="15" hidden="false" customHeight="false" outlineLevel="0" collapsed="false">
      <c r="A254" s="41"/>
      <c r="B254" s="5" t="n">
        <f aca="false">IF(A254="",0,IFERROR(MATCH(A254,Bank!$A:$A,0),0))</f>
        <v>0</v>
      </c>
      <c r="C254" s="5" t="str">
        <f aca="false">IF(B254=0,"",IF(INDEX(Bank!$G:$G,B254)="","",INDEX(Bank!$G:$G,B254)))</f>
        <v/>
      </c>
      <c r="D254" s="5" t="str">
        <f aca="false">IF(B254=0,"",IF(INDEX(Bank!$J:$J,B254)="","",INDEX(Bank!$J:$J,B254)))</f>
        <v/>
      </c>
      <c r="E254" s="32" t="str">
        <f aca="false">IF(B254=0,"",INDEX(Bank!$B:$B,B254))</f>
        <v/>
      </c>
      <c r="F254" s="5" t="str">
        <f aca="false">IF(B254=0,"",IF(INDEX(Bank!$C:$C,B254)="","",INDEX(Bank!$C:$C,B254)))</f>
        <v/>
      </c>
      <c r="G254" s="19" t="str">
        <f aca="false">IF(B254=0,"",INDEX(Bank!$E:$E,B254))</f>
        <v/>
      </c>
      <c r="H254" s="5" t="str">
        <f aca="false">IF(B254=0,"",IF(INDEX(Bank!$H:$H,B254)="","",INDEX(Bank!$H:$H,B254)))</f>
        <v/>
      </c>
      <c r="I254" s="5" t="n">
        <f aca="false">IF(H254="",0,IFERROR(MATCH(H254,GL!$A:$A,0),0))</f>
        <v>0</v>
      </c>
      <c r="J254" s="32" t="str">
        <f aca="false">IF(I254=0,"",INDEX(GL!$B:$B,I254))</f>
        <v/>
      </c>
      <c r="K254" s="5" t="str">
        <f aca="false">IF(I254=0,"",IF(INDEX(GL!$C:$C,I254)="","",INDEX(GL!$C:$C,I254)))</f>
        <v/>
      </c>
      <c r="L254" s="19" t="str">
        <f aca="false">IF(I254=0,"",INDEX(GL!$E:$E,I254))</f>
        <v/>
      </c>
      <c r="M254" s="19" t="str">
        <f aca="false">IF(OR(B254=0,I254=0),"",ROUND(G254-L254,2))</f>
        <v/>
      </c>
      <c r="N254" s="5" t="str">
        <f aca="false">IF(A254="","",IF(B254=0,"NOT FOUND: bank ID",IF(I254=0,"NOT FOUND: GL ID",IF(INDEX(GL!$H:$H,I254)&lt;&gt;A254,"BROKEN: GL points elsewhere",IF(OR(INDEX(Bank!$F:$F,B254)&lt;&gt;"Y",INDEX(GL!$F:$F,I254)&lt;&gt;"Y"),"BROKEN: Status not Y","OK")))))</f>
        <v/>
      </c>
    </row>
    <row r="255" customFormat="false" ht="15" hidden="false" customHeight="false" outlineLevel="0" collapsed="false">
      <c r="A255" s="41"/>
      <c r="B255" s="5" t="n">
        <f aca="false">IF(A255="",0,IFERROR(MATCH(A255,Bank!$A:$A,0),0))</f>
        <v>0</v>
      </c>
      <c r="C255" s="5" t="str">
        <f aca="false">IF(B255=0,"",IF(INDEX(Bank!$G:$G,B255)="","",INDEX(Bank!$G:$G,B255)))</f>
        <v/>
      </c>
      <c r="D255" s="5" t="str">
        <f aca="false">IF(B255=0,"",IF(INDEX(Bank!$J:$J,B255)="","",INDEX(Bank!$J:$J,B255)))</f>
        <v/>
      </c>
      <c r="E255" s="32" t="str">
        <f aca="false">IF(B255=0,"",INDEX(Bank!$B:$B,B255))</f>
        <v/>
      </c>
      <c r="F255" s="5" t="str">
        <f aca="false">IF(B255=0,"",IF(INDEX(Bank!$C:$C,B255)="","",INDEX(Bank!$C:$C,B255)))</f>
        <v/>
      </c>
      <c r="G255" s="19" t="str">
        <f aca="false">IF(B255=0,"",INDEX(Bank!$E:$E,B255))</f>
        <v/>
      </c>
      <c r="H255" s="5" t="str">
        <f aca="false">IF(B255=0,"",IF(INDEX(Bank!$H:$H,B255)="","",INDEX(Bank!$H:$H,B255)))</f>
        <v/>
      </c>
      <c r="I255" s="5" t="n">
        <f aca="false">IF(H255="",0,IFERROR(MATCH(H255,GL!$A:$A,0),0))</f>
        <v>0</v>
      </c>
      <c r="J255" s="32" t="str">
        <f aca="false">IF(I255=0,"",INDEX(GL!$B:$B,I255))</f>
        <v/>
      </c>
      <c r="K255" s="5" t="str">
        <f aca="false">IF(I255=0,"",IF(INDEX(GL!$C:$C,I255)="","",INDEX(GL!$C:$C,I255)))</f>
        <v/>
      </c>
      <c r="L255" s="19" t="str">
        <f aca="false">IF(I255=0,"",INDEX(GL!$E:$E,I255))</f>
        <v/>
      </c>
      <c r="M255" s="19" t="str">
        <f aca="false">IF(OR(B255=0,I255=0),"",ROUND(G255-L255,2))</f>
        <v/>
      </c>
      <c r="N255" s="5" t="str">
        <f aca="false">IF(A255="","",IF(B255=0,"NOT FOUND: bank ID",IF(I255=0,"NOT FOUND: GL ID",IF(INDEX(GL!$H:$H,I255)&lt;&gt;A255,"BROKEN: GL points elsewhere",IF(OR(INDEX(Bank!$F:$F,B255)&lt;&gt;"Y",INDEX(GL!$F:$F,I255)&lt;&gt;"Y"),"BROKEN: Status not Y","OK")))))</f>
        <v/>
      </c>
    </row>
    <row r="256" customFormat="false" ht="15" hidden="false" customHeight="false" outlineLevel="0" collapsed="false">
      <c r="A256" s="41"/>
      <c r="B256" s="5" t="n">
        <f aca="false">IF(A256="",0,IFERROR(MATCH(A256,Bank!$A:$A,0),0))</f>
        <v>0</v>
      </c>
      <c r="C256" s="5" t="str">
        <f aca="false">IF(B256=0,"",IF(INDEX(Bank!$G:$G,B256)="","",INDEX(Bank!$G:$G,B256)))</f>
        <v/>
      </c>
      <c r="D256" s="5" t="str">
        <f aca="false">IF(B256=0,"",IF(INDEX(Bank!$J:$J,B256)="","",INDEX(Bank!$J:$J,B256)))</f>
        <v/>
      </c>
      <c r="E256" s="32" t="str">
        <f aca="false">IF(B256=0,"",INDEX(Bank!$B:$B,B256))</f>
        <v/>
      </c>
      <c r="F256" s="5" t="str">
        <f aca="false">IF(B256=0,"",IF(INDEX(Bank!$C:$C,B256)="","",INDEX(Bank!$C:$C,B256)))</f>
        <v/>
      </c>
      <c r="G256" s="19" t="str">
        <f aca="false">IF(B256=0,"",INDEX(Bank!$E:$E,B256))</f>
        <v/>
      </c>
      <c r="H256" s="5" t="str">
        <f aca="false">IF(B256=0,"",IF(INDEX(Bank!$H:$H,B256)="","",INDEX(Bank!$H:$H,B256)))</f>
        <v/>
      </c>
      <c r="I256" s="5" t="n">
        <f aca="false">IF(H256="",0,IFERROR(MATCH(H256,GL!$A:$A,0),0))</f>
        <v>0</v>
      </c>
      <c r="J256" s="32" t="str">
        <f aca="false">IF(I256=0,"",INDEX(GL!$B:$B,I256))</f>
        <v/>
      </c>
      <c r="K256" s="5" t="str">
        <f aca="false">IF(I256=0,"",IF(INDEX(GL!$C:$C,I256)="","",INDEX(GL!$C:$C,I256)))</f>
        <v/>
      </c>
      <c r="L256" s="19" t="str">
        <f aca="false">IF(I256=0,"",INDEX(GL!$E:$E,I256))</f>
        <v/>
      </c>
      <c r="M256" s="19" t="str">
        <f aca="false">IF(OR(B256=0,I256=0),"",ROUND(G256-L256,2))</f>
        <v/>
      </c>
      <c r="N256" s="5" t="str">
        <f aca="false">IF(A256="","",IF(B256=0,"NOT FOUND: bank ID",IF(I256=0,"NOT FOUND: GL ID",IF(INDEX(GL!$H:$H,I256)&lt;&gt;A256,"BROKEN: GL points elsewhere",IF(OR(INDEX(Bank!$F:$F,B256)&lt;&gt;"Y",INDEX(GL!$F:$F,I256)&lt;&gt;"Y"),"BROKEN: Status not Y","OK")))))</f>
        <v/>
      </c>
    </row>
    <row r="257" customFormat="false" ht="15" hidden="false" customHeight="false" outlineLevel="0" collapsed="false">
      <c r="A257" s="41"/>
      <c r="B257" s="5" t="n">
        <f aca="false">IF(A257="",0,IFERROR(MATCH(A257,Bank!$A:$A,0),0))</f>
        <v>0</v>
      </c>
      <c r="C257" s="5" t="str">
        <f aca="false">IF(B257=0,"",IF(INDEX(Bank!$G:$G,B257)="","",INDEX(Bank!$G:$G,B257)))</f>
        <v/>
      </c>
      <c r="D257" s="5" t="str">
        <f aca="false">IF(B257=0,"",IF(INDEX(Bank!$J:$J,B257)="","",INDEX(Bank!$J:$J,B257)))</f>
        <v/>
      </c>
      <c r="E257" s="32" t="str">
        <f aca="false">IF(B257=0,"",INDEX(Bank!$B:$B,B257))</f>
        <v/>
      </c>
      <c r="F257" s="5" t="str">
        <f aca="false">IF(B257=0,"",IF(INDEX(Bank!$C:$C,B257)="","",INDEX(Bank!$C:$C,B257)))</f>
        <v/>
      </c>
      <c r="G257" s="19" t="str">
        <f aca="false">IF(B257=0,"",INDEX(Bank!$E:$E,B257))</f>
        <v/>
      </c>
      <c r="H257" s="5" t="str">
        <f aca="false">IF(B257=0,"",IF(INDEX(Bank!$H:$H,B257)="","",INDEX(Bank!$H:$H,B257)))</f>
        <v/>
      </c>
      <c r="I257" s="5" t="n">
        <f aca="false">IF(H257="",0,IFERROR(MATCH(H257,GL!$A:$A,0),0))</f>
        <v>0</v>
      </c>
      <c r="J257" s="32" t="str">
        <f aca="false">IF(I257=0,"",INDEX(GL!$B:$B,I257))</f>
        <v/>
      </c>
      <c r="K257" s="5" t="str">
        <f aca="false">IF(I257=0,"",IF(INDEX(GL!$C:$C,I257)="","",INDEX(GL!$C:$C,I257)))</f>
        <v/>
      </c>
      <c r="L257" s="19" t="str">
        <f aca="false">IF(I257=0,"",INDEX(GL!$E:$E,I257))</f>
        <v/>
      </c>
      <c r="M257" s="19" t="str">
        <f aca="false">IF(OR(B257=0,I257=0),"",ROUND(G257-L257,2))</f>
        <v/>
      </c>
      <c r="N257" s="5" t="str">
        <f aca="false">IF(A257="","",IF(B257=0,"NOT FOUND: bank ID",IF(I257=0,"NOT FOUND: GL ID",IF(INDEX(GL!$H:$H,I257)&lt;&gt;A257,"BROKEN: GL points elsewhere",IF(OR(INDEX(Bank!$F:$F,B257)&lt;&gt;"Y",INDEX(GL!$F:$F,I257)&lt;&gt;"Y"),"BROKEN: Status not Y","OK")))))</f>
        <v/>
      </c>
    </row>
    <row r="258" customFormat="false" ht="15" hidden="false" customHeight="false" outlineLevel="0" collapsed="false">
      <c r="A258" s="41"/>
      <c r="B258" s="5" t="n">
        <f aca="false">IF(A258="",0,IFERROR(MATCH(A258,Bank!$A:$A,0),0))</f>
        <v>0</v>
      </c>
      <c r="C258" s="5" t="str">
        <f aca="false">IF(B258=0,"",IF(INDEX(Bank!$G:$G,B258)="","",INDEX(Bank!$G:$G,B258)))</f>
        <v/>
      </c>
      <c r="D258" s="5" t="str">
        <f aca="false">IF(B258=0,"",IF(INDEX(Bank!$J:$J,B258)="","",INDEX(Bank!$J:$J,B258)))</f>
        <v/>
      </c>
      <c r="E258" s="32" t="str">
        <f aca="false">IF(B258=0,"",INDEX(Bank!$B:$B,B258))</f>
        <v/>
      </c>
      <c r="F258" s="5" t="str">
        <f aca="false">IF(B258=0,"",IF(INDEX(Bank!$C:$C,B258)="","",INDEX(Bank!$C:$C,B258)))</f>
        <v/>
      </c>
      <c r="G258" s="19" t="str">
        <f aca="false">IF(B258=0,"",INDEX(Bank!$E:$E,B258))</f>
        <v/>
      </c>
      <c r="H258" s="5" t="str">
        <f aca="false">IF(B258=0,"",IF(INDEX(Bank!$H:$H,B258)="","",INDEX(Bank!$H:$H,B258)))</f>
        <v/>
      </c>
      <c r="I258" s="5" t="n">
        <f aca="false">IF(H258="",0,IFERROR(MATCH(H258,GL!$A:$A,0),0))</f>
        <v>0</v>
      </c>
      <c r="J258" s="32" t="str">
        <f aca="false">IF(I258=0,"",INDEX(GL!$B:$B,I258))</f>
        <v/>
      </c>
      <c r="K258" s="5" t="str">
        <f aca="false">IF(I258=0,"",IF(INDEX(GL!$C:$C,I258)="","",INDEX(GL!$C:$C,I258)))</f>
        <v/>
      </c>
      <c r="L258" s="19" t="str">
        <f aca="false">IF(I258=0,"",INDEX(GL!$E:$E,I258))</f>
        <v/>
      </c>
      <c r="M258" s="19" t="str">
        <f aca="false">IF(OR(B258=0,I258=0),"",ROUND(G258-L258,2))</f>
        <v/>
      </c>
      <c r="N258" s="5" t="str">
        <f aca="false">IF(A258="","",IF(B258=0,"NOT FOUND: bank ID",IF(I258=0,"NOT FOUND: GL ID",IF(INDEX(GL!$H:$H,I258)&lt;&gt;A258,"BROKEN: GL points elsewhere",IF(OR(INDEX(Bank!$F:$F,B258)&lt;&gt;"Y",INDEX(GL!$F:$F,I258)&lt;&gt;"Y"),"BROKEN: Status not Y","OK")))))</f>
        <v/>
      </c>
    </row>
    <row r="259" customFormat="false" ht="15" hidden="false" customHeight="false" outlineLevel="0" collapsed="false">
      <c r="A259" s="41"/>
      <c r="B259" s="5" t="n">
        <f aca="false">IF(A259="",0,IFERROR(MATCH(A259,Bank!$A:$A,0),0))</f>
        <v>0</v>
      </c>
      <c r="C259" s="5" t="str">
        <f aca="false">IF(B259=0,"",IF(INDEX(Bank!$G:$G,B259)="","",INDEX(Bank!$G:$G,B259)))</f>
        <v/>
      </c>
      <c r="D259" s="5" t="str">
        <f aca="false">IF(B259=0,"",IF(INDEX(Bank!$J:$J,B259)="","",INDEX(Bank!$J:$J,B259)))</f>
        <v/>
      </c>
      <c r="E259" s="32" t="str">
        <f aca="false">IF(B259=0,"",INDEX(Bank!$B:$B,B259))</f>
        <v/>
      </c>
      <c r="F259" s="5" t="str">
        <f aca="false">IF(B259=0,"",IF(INDEX(Bank!$C:$C,B259)="","",INDEX(Bank!$C:$C,B259)))</f>
        <v/>
      </c>
      <c r="G259" s="19" t="str">
        <f aca="false">IF(B259=0,"",INDEX(Bank!$E:$E,B259))</f>
        <v/>
      </c>
      <c r="H259" s="5" t="str">
        <f aca="false">IF(B259=0,"",IF(INDEX(Bank!$H:$H,B259)="","",INDEX(Bank!$H:$H,B259)))</f>
        <v/>
      </c>
      <c r="I259" s="5" t="n">
        <f aca="false">IF(H259="",0,IFERROR(MATCH(H259,GL!$A:$A,0),0))</f>
        <v>0</v>
      </c>
      <c r="J259" s="32" t="str">
        <f aca="false">IF(I259=0,"",INDEX(GL!$B:$B,I259))</f>
        <v/>
      </c>
      <c r="K259" s="5" t="str">
        <f aca="false">IF(I259=0,"",IF(INDEX(GL!$C:$C,I259)="","",INDEX(GL!$C:$C,I259)))</f>
        <v/>
      </c>
      <c r="L259" s="19" t="str">
        <f aca="false">IF(I259=0,"",INDEX(GL!$E:$E,I259))</f>
        <v/>
      </c>
      <c r="M259" s="19" t="str">
        <f aca="false">IF(OR(B259=0,I259=0),"",ROUND(G259-L259,2))</f>
        <v/>
      </c>
      <c r="N259" s="5" t="str">
        <f aca="false">IF(A259="","",IF(B259=0,"NOT FOUND: bank ID",IF(I259=0,"NOT FOUND: GL ID",IF(INDEX(GL!$H:$H,I259)&lt;&gt;A259,"BROKEN: GL points elsewhere",IF(OR(INDEX(Bank!$F:$F,B259)&lt;&gt;"Y",INDEX(GL!$F:$F,I259)&lt;&gt;"Y"),"BROKEN: Status not Y","OK")))))</f>
        <v/>
      </c>
    </row>
    <row r="260" customFormat="false" ht="15" hidden="false" customHeight="false" outlineLevel="0" collapsed="false">
      <c r="A260" s="41"/>
      <c r="B260" s="5" t="n">
        <f aca="false">IF(A260="",0,IFERROR(MATCH(A260,Bank!$A:$A,0),0))</f>
        <v>0</v>
      </c>
      <c r="C260" s="5" t="str">
        <f aca="false">IF(B260=0,"",IF(INDEX(Bank!$G:$G,B260)="","",INDEX(Bank!$G:$G,B260)))</f>
        <v/>
      </c>
      <c r="D260" s="5" t="str">
        <f aca="false">IF(B260=0,"",IF(INDEX(Bank!$J:$J,B260)="","",INDEX(Bank!$J:$J,B260)))</f>
        <v/>
      </c>
      <c r="E260" s="32" t="str">
        <f aca="false">IF(B260=0,"",INDEX(Bank!$B:$B,B260))</f>
        <v/>
      </c>
      <c r="F260" s="5" t="str">
        <f aca="false">IF(B260=0,"",IF(INDEX(Bank!$C:$C,B260)="","",INDEX(Bank!$C:$C,B260)))</f>
        <v/>
      </c>
      <c r="G260" s="19" t="str">
        <f aca="false">IF(B260=0,"",INDEX(Bank!$E:$E,B260))</f>
        <v/>
      </c>
      <c r="H260" s="5" t="str">
        <f aca="false">IF(B260=0,"",IF(INDEX(Bank!$H:$H,B260)="","",INDEX(Bank!$H:$H,B260)))</f>
        <v/>
      </c>
      <c r="I260" s="5" t="n">
        <f aca="false">IF(H260="",0,IFERROR(MATCH(H260,GL!$A:$A,0),0))</f>
        <v>0</v>
      </c>
      <c r="J260" s="32" t="str">
        <f aca="false">IF(I260=0,"",INDEX(GL!$B:$B,I260))</f>
        <v/>
      </c>
      <c r="K260" s="5" t="str">
        <f aca="false">IF(I260=0,"",IF(INDEX(GL!$C:$C,I260)="","",INDEX(GL!$C:$C,I260)))</f>
        <v/>
      </c>
      <c r="L260" s="19" t="str">
        <f aca="false">IF(I260=0,"",INDEX(GL!$E:$E,I260))</f>
        <v/>
      </c>
      <c r="M260" s="19" t="str">
        <f aca="false">IF(OR(B260=0,I260=0),"",ROUND(G260-L260,2))</f>
        <v/>
      </c>
      <c r="N260" s="5" t="str">
        <f aca="false">IF(A260="","",IF(B260=0,"NOT FOUND: bank ID",IF(I260=0,"NOT FOUND: GL ID",IF(INDEX(GL!$H:$H,I260)&lt;&gt;A260,"BROKEN: GL points elsewhere",IF(OR(INDEX(Bank!$F:$F,B260)&lt;&gt;"Y",INDEX(GL!$F:$F,I260)&lt;&gt;"Y"),"BROKEN: Status not Y","OK")))))</f>
        <v/>
      </c>
    </row>
    <row r="261" customFormat="false" ht="15" hidden="false" customHeight="false" outlineLevel="0" collapsed="false">
      <c r="A261" s="41"/>
      <c r="B261" s="5" t="n">
        <f aca="false">IF(A261="",0,IFERROR(MATCH(A261,Bank!$A:$A,0),0))</f>
        <v>0</v>
      </c>
      <c r="C261" s="5" t="str">
        <f aca="false">IF(B261=0,"",IF(INDEX(Bank!$G:$G,B261)="","",INDEX(Bank!$G:$G,B261)))</f>
        <v/>
      </c>
      <c r="D261" s="5" t="str">
        <f aca="false">IF(B261=0,"",IF(INDEX(Bank!$J:$J,B261)="","",INDEX(Bank!$J:$J,B261)))</f>
        <v/>
      </c>
      <c r="E261" s="32" t="str">
        <f aca="false">IF(B261=0,"",INDEX(Bank!$B:$B,B261))</f>
        <v/>
      </c>
      <c r="F261" s="5" t="str">
        <f aca="false">IF(B261=0,"",IF(INDEX(Bank!$C:$C,B261)="","",INDEX(Bank!$C:$C,B261)))</f>
        <v/>
      </c>
      <c r="G261" s="19" t="str">
        <f aca="false">IF(B261=0,"",INDEX(Bank!$E:$E,B261))</f>
        <v/>
      </c>
      <c r="H261" s="5" t="str">
        <f aca="false">IF(B261=0,"",IF(INDEX(Bank!$H:$H,B261)="","",INDEX(Bank!$H:$H,B261)))</f>
        <v/>
      </c>
      <c r="I261" s="5" t="n">
        <f aca="false">IF(H261="",0,IFERROR(MATCH(H261,GL!$A:$A,0),0))</f>
        <v>0</v>
      </c>
      <c r="J261" s="32" t="str">
        <f aca="false">IF(I261=0,"",INDEX(GL!$B:$B,I261))</f>
        <v/>
      </c>
      <c r="K261" s="5" t="str">
        <f aca="false">IF(I261=0,"",IF(INDEX(GL!$C:$C,I261)="","",INDEX(GL!$C:$C,I261)))</f>
        <v/>
      </c>
      <c r="L261" s="19" t="str">
        <f aca="false">IF(I261=0,"",INDEX(GL!$E:$E,I261))</f>
        <v/>
      </c>
      <c r="M261" s="19" t="str">
        <f aca="false">IF(OR(B261=0,I261=0),"",ROUND(G261-L261,2))</f>
        <v/>
      </c>
      <c r="N261" s="5" t="str">
        <f aca="false">IF(A261="","",IF(B261=0,"NOT FOUND: bank ID",IF(I261=0,"NOT FOUND: GL ID",IF(INDEX(GL!$H:$H,I261)&lt;&gt;A261,"BROKEN: GL points elsewhere",IF(OR(INDEX(Bank!$F:$F,B261)&lt;&gt;"Y",INDEX(GL!$F:$F,I261)&lt;&gt;"Y"),"BROKEN: Status not Y","OK")))))</f>
        <v/>
      </c>
    </row>
    <row r="262" customFormat="false" ht="15" hidden="false" customHeight="false" outlineLevel="0" collapsed="false">
      <c r="A262" s="41"/>
      <c r="B262" s="5" t="n">
        <f aca="false">IF(A262="",0,IFERROR(MATCH(A262,Bank!$A:$A,0),0))</f>
        <v>0</v>
      </c>
      <c r="C262" s="5" t="str">
        <f aca="false">IF(B262=0,"",IF(INDEX(Bank!$G:$G,B262)="","",INDEX(Bank!$G:$G,B262)))</f>
        <v/>
      </c>
      <c r="D262" s="5" t="str">
        <f aca="false">IF(B262=0,"",IF(INDEX(Bank!$J:$J,B262)="","",INDEX(Bank!$J:$J,B262)))</f>
        <v/>
      </c>
      <c r="E262" s="32" t="str">
        <f aca="false">IF(B262=0,"",INDEX(Bank!$B:$B,B262))</f>
        <v/>
      </c>
      <c r="F262" s="5" t="str">
        <f aca="false">IF(B262=0,"",IF(INDEX(Bank!$C:$C,B262)="","",INDEX(Bank!$C:$C,B262)))</f>
        <v/>
      </c>
      <c r="G262" s="19" t="str">
        <f aca="false">IF(B262=0,"",INDEX(Bank!$E:$E,B262))</f>
        <v/>
      </c>
      <c r="H262" s="5" t="str">
        <f aca="false">IF(B262=0,"",IF(INDEX(Bank!$H:$H,B262)="","",INDEX(Bank!$H:$H,B262)))</f>
        <v/>
      </c>
      <c r="I262" s="5" t="n">
        <f aca="false">IF(H262="",0,IFERROR(MATCH(H262,GL!$A:$A,0),0))</f>
        <v>0</v>
      </c>
      <c r="J262" s="32" t="str">
        <f aca="false">IF(I262=0,"",INDEX(GL!$B:$B,I262))</f>
        <v/>
      </c>
      <c r="K262" s="5" t="str">
        <f aca="false">IF(I262=0,"",IF(INDEX(GL!$C:$C,I262)="","",INDEX(GL!$C:$C,I262)))</f>
        <v/>
      </c>
      <c r="L262" s="19" t="str">
        <f aca="false">IF(I262=0,"",INDEX(GL!$E:$E,I262))</f>
        <v/>
      </c>
      <c r="M262" s="19" t="str">
        <f aca="false">IF(OR(B262=0,I262=0),"",ROUND(G262-L262,2))</f>
        <v/>
      </c>
      <c r="N262" s="5" t="str">
        <f aca="false">IF(A262="","",IF(B262=0,"NOT FOUND: bank ID",IF(I262=0,"NOT FOUND: GL ID",IF(INDEX(GL!$H:$H,I262)&lt;&gt;A262,"BROKEN: GL points elsewhere",IF(OR(INDEX(Bank!$F:$F,B262)&lt;&gt;"Y",INDEX(GL!$F:$F,I262)&lt;&gt;"Y"),"BROKEN: Status not Y","OK")))))</f>
        <v/>
      </c>
    </row>
    <row r="263" customFormat="false" ht="15" hidden="false" customHeight="false" outlineLevel="0" collapsed="false">
      <c r="A263" s="41"/>
      <c r="B263" s="5" t="n">
        <f aca="false">IF(A263="",0,IFERROR(MATCH(A263,Bank!$A:$A,0),0))</f>
        <v>0</v>
      </c>
      <c r="C263" s="5" t="str">
        <f aca="false">IF(B263=0,"",IF(INDEX(Bank!$G:$G,B263)="","",INDEX(Bank!$G:$G,B263)))</f>
        <v/>
      </c>
      <c r="D263" s="5" t="str">
        <f aca="false">IF(B263=0,"",IF(INDEX(Bank!$J:$J,B263)="","",INDEX(Bank!$J:$J,B263)))</f>
        <v/>
      </c>
      <c r="E263" s="32" t="str">
        <f aca="false">IF(B263=0,"",INDEX(Bank!$B:$B,B263))</f>
        <v/>
      </c>
      <c r="F263" s="5" t="str">
        <f aca="false">IF(B263=0,"",IF(INDEX(Bank!$C:$C,B263)="","",INDEX(Bank!$C:$C,B263)))</f>
        <v/>
      </c>
      <c r="G263" s="19" t="str">
        <f aca="false">IF(B263=0,"",INDEX(Bank!$E:$E,B263))</f>
        <v/>
      </c>
      <c r="H263" s="5" t="str">
        <f aca="false">IF(B263=0,"",IF(INDEX(Bank!$H:$H,B263)="","",INDEX(Bank!$H:$H,B263)))</f>
        <v/>
      </c>
      <c r="I263" s="5" t="n">
        <f aca="false">IF(H263="",0,IFERROR(MATCH(H263,GL!$A:$A,0),0))</f>
        <v>0</v>
      </c>
      <c r="J263" s="32" t="str">
        <f aca="false">IF(I263=0,"",INDEX(GL!$B:$B,I263))</f>
        <v/>
      </c>
      <c r="K263" s="5" t="str">
        <f aca="false">IF(I263=0,"",IF(INDEX(GL!$C:$C,I263)="","",INDEX(GL!$C:$C,I263)))</f>
        <v/>
      </c>
      <c r="L263" s="19" t="str">
        <f aca="false">IF(I263=0,"",INDEX(GL!$E:$E,I263))</f>
        <v/>
      </c>
      <c r="M263" s="19" t="str">
        <f aca="false">IF(OR(B263=0,I263=0),"",ROUND(G263-L263,2))</f>
        <v/>
      </c>
      <c r="N263" s="5" t="str">
        <f aca="false">IF(A263="","",IF(B263=0,"NOT FOUND: bank ID",IF(I263=0,"NOT FOUND: GL ID",IF(INDEX(GL!$H:$H,I263)&lt;&gt;A263,"BROKEN: GL points elsewhere",IF(OR(INDEX(Bank!$F:$F,B263)&lt;&gt;"Y",INDEX(GL!$F:$F,I263)&lt;&gt;"Y"),"BROKEN: Status not Y","OK")))))</f>
        <v/>
      </c>
    </row>
    <row r="264" customFormat="false" ht="15" hidden="false" customHeight="false" outlineLevel="0" collapsed="false">
      <c r="A264" s="41"/>
      <c r="B264" s="5" t="n">
        <f aca="false">IF(A264="",0,IFERROR(MATCH(A264,Bank!$A:$A,0),0))</f>
        <v>0</v>
      </c>
      <c r="C264" s="5" t="str">
        <f aca="false">IF(B264=0,"",IF(INDEX(Bank!$G:$G,B264)="","",INDEX(Bank!$G:$G,B264)))</f>
        <v/>
      </c>
      <c r="D264" s="5" t="str">
        <f aca="false">IF(B264=0,"",IF(INDEX(Bank!$J:$J,B264)="","",INDEX(Bank!$J:$J,B264)))</f>
        <v/>
      </c>
      <c r="E264" s="32" t="str">
        <f aca="false">IF(B264=0,"",INDEX(Bank!$B:$B,B264))</f>
        <v/>
      </c>
      <c r="F264" s="5" t="str">
        <f aca="false">IF(B264=0,"",IF(INDEX(Bank!$C:$C,B264)="","",INDEX(Bank!$C:$C,B264)))</f>
        <v/>
      </c>
      <c r="G264" s="19" t="str">
        <f aca="false">IF(B264=0,"",INDEX(Bank!$E:$E,B264))</f>
        <v/>
      </c>
      <c r="H264" s="5" t="str">
        <f aca="false">IF(B264=0,"",IF(INDEX(Bank!$H:$H,B264)="","",INDEX(Bank!$H:$H,B264)))</f>
        <v/>
      </c>
      <c r="I264" s="5" t="n">
        <f aca="false">IF(H264="",0,IFERROR(MATCH(H264,GL!$A:$A,0),0))</f>
        <v>0</v>
      </c>
      <c r="J264" s="32" t="str">
        <f aca="false">IF(I264=0,"",INDEX(GL!$B:$B,I264))</f>
        <v/>
      </c>
      <c r="K264" s="5" t="str">
        <f aca="false">IF(I264=0,"",IF(INDEX(GL!$C:$C,I264)="","",INDEX(GL!$C:$C,I264)))</f>
        <v/>
      </c>
      <c r="L264" s="19" t="str">
        <f aca="false">IF(I264=0,"",INDEX(GL!$E:$E,I264))</f>
        <v/>
      </c>
      <c r="M264" s="19" t="str">
        <f aca="false">IF(OR(B264=0,I264=0),"",ROUND(G264-L264,2))</f>
        <v/>
      </c>
      <c r="N264" s="5" t="str">
        <f aca="false">IF(A264="","",IF(B264=0,"NOT FOUND: bank ID",IF(I264=0,"NOT FOUND: GL ID",IF(INDEX(GL!$H:$H,I264)&lt;&gt;A264,"BROKEN: GL points elsewhere",IF(OR(INDEX(Bank!$F:$F,B264)&lt;&gt;"Y",INDEX(GL!$F:$F,I264)&lt;&gt;"Y"),"BROKEN: Status not Y","OK")))))</f>
        <v/>
      </c>
    </row>
    <row r="265" customFormat="false" ht="15" hidden="false" customHeight="false" outlineLevel="0" collapsed="false">
      <c r="A265" s="41"/>
      <c r="B265" s="5" t="n">
        <f aca="false">IF(A265="",0,IFERROR(MATCH(A265,Bank!$A:$A,0),0))</f>
        <v>0</v>
      </c>
      <c r="C265" s="5" t="str">
        <f aca="false">IF(B265=0,"",IF(INDEX(Bank!$G:$G,B265)="","",INDEX(Bank!$G:$G,B265)))</f>
        <v/>
      </c>
      <c r="D265" s="5" t="str">
        <f aca="false">IF(B265=0,"",IF(INDEX(Bank!$J:$J,B265)="","",INDEX(Bank!$J:$J,B265)))</f>
        <v/>
      </c>
      <c r="E265" s="32" t="str">
        <f aca="false">IF(B265=0,"",INDEX(Bank!$B:$B,B265))</f>
        <v/>
      </c>
      <c r="F265" s="5" t="str">
        <f aca="false">IF(B265=0,"",IF(INDEX(Bank!$C:$C,B265)="","",INDEX(Bank!$C:$C,B265)))</f>
        <v/>
      </c>
      <c r="G265" s="19" t="str">
        <f aca="false">IF(B265=0,"",INDEX(Bank!$E:$E,B265))</f>
        <v/>
      </c>
      <c r="H265" s="5" t="str">
        <f aca="false">IF(B265=0,"",IF(INDEX(Bank!$H:$H,B265)="","",INDEX(Bank!$H:$H,B265)))</f>
        <v/>
      </c>
      <c r="I265" s="5" t="n">
        <f aca="false">IF(H265="",0,IFERROR(MATCH(H265,GL!$A:$A,0),0))</f>
        <v>0</v>
      </c>
      <c r="J265" s="32" t="str">
        <f aca="false">IF(I265=0,"",INDEX(GL!$B:$B,I265))</f>
        <v/>
      </c>
      <c r="K265" s="5" t="str">
        <f aca="false">IF(I265=0,"",IF(INDEX(GL!$C:$C,I265)="","",INDEX(GL!$C:$C,I265)))</f>
        <v/>
      </c>
      <c r="L265" s="19" t="str">
        <f aca="false">IF(I265=0,"",INDEX(GL!$E:$E,I265))</f>
        <v/>
      </c>
      <c r="M265" s="19" t="str">
        <f aca="false">IF(OR(B265=0,I265=0),"",ROUND(G265-L265,2))</f>
        <v/>
      </c>
      <c r="N265" s="5" t="str">
        <f aca="false">IF(A265="","",IF(B265=0,"NOT FOUND: bank ID",IF(I265=0,"NOT FOUND: GL ID",IF(INDEX(GL!$H:$H,I265)&lt;&gt;A265,"BROKEN: GL points elsewhere",IF(OR(INDEX(Bank!$F:$F,B265)&lt;&gt;"Y",INDEX(GL!$F:$F,I265)&lt;&gt;"Y"),"BROKEN: Status not Y","OK")))))</f>
        <v/>
      </c>
    </row>
    <row r="266" customFormat="false" ht="15" hidden="false" customHeight="false" outlineLevel="0" collapsed="false">
      <c r="A266" s="41"/>
      <c r="B266" s="5" t="n">
        <f aca="false">IF(A266="",0,IFERROR(MATCH(A266,Bank!$A:$A,0),0))</f>
        <v>0</v>
      </c>
      <c r="C266" s="5" t="str">
        <f aca="false">IF(B266=0,"",IF(INDEX(Bank!$G:$G,B266)="","",INDEX(Bank!$G:$G,B266)))</f>
        <v/>
      </c>
      <c r="D266" s="5" t="str">
        <f aca="false">IF(B266=0,"",IF(INDEX(Bank!$J:$J,B266)="","",INDEX(Bank!$J:$J,B266)))</f>
        <v/>
      </c>
      <c r="E266" s="32" t="str">
        <f aca="false">IF(B266=0,"",INDEX(Bank!$B:$B,B266))</f>
        <v/>
      </c>
      <c r="F266" s="5" t="str">
        <f aca="false">IF(B266=0,"",IF(INDEX(Bank!$C:$C,B266)="","",INDEX(Bank!$C:$C,B266)))</f>
        <v/>
      </c>
      <c r="G266" s="19" t="str">
        <f aca="false">IF(B266=0,"",INDEX(Bank!$E:$E,B266))</f>
        <v/>
      </c>
      <c r="H266" s="5" t="str">
        <f aca="false">IF(B266=0,"",IF(INDEX(Bank!$H:$H,B266)="","",INDEX(Bank!$H:$H,B266)))</f>
        <v/>
      </c>
      <c r="I266" s="5" t="n">
        <f aca="false">IF(H266="",0,IFERROR(MATCH(H266,GL!$A:$A,0),0))</f>
        <v>0</v>
      </c>
      <c r="J266" s="32" t="str">
        <f aca="false">IF(I266=0,"",INDEX(GL!$B:$B,I266))</f>
        <v/>
      </c>
      <c r="K266" s="5" t="str">
        <f aca="false">IF(I266=0,"",IF(INDEX(GL!$C:$C,I266)="","",INDEX(GL!$C:$C,I266)))</f>
        <v/>
      </c>
      <c r="L266" s="19" t="str">
        <f aca="false">IF(I266=0,"",INDEX(GL!$E:$E,I266))</f>
        <v/>
      </c>
      <c r="M266" s="19" t="str">
        <f aca="false">IF(OR(B266=0,I266=0),"",ROUND(G266-L266,2))</f>
        <v/>
      </c>
      <c r="N266" s="5" t="str">
        <f aca="false">IF(A266="","",IF(B266=0,"NOT FOUND: bank ID",IF(I266=0,"NOT FOUND: GL ID",IF(INDEX(GL!$H:$H,I266)&lt;&gt;A266,"BROKEN: GL points elsewhere",IF(OR(INDEX(Bank!$F:$F,B266)&lt;&gt;"Y",INDEX(GL!$F:$F,I266)&lt;&gt;"Y"),"BROKEN: Status not Y","OK")))))</f>
        <v/>
      </c>
    </row>
    <row r="267" customFormat="false" ht="15" hidden="false" customHeight="false" outlineLevel="0" collapsed="false">
      <c r="A267" s="41"/>
      <c r="B267" s="5" t="n">
        <f aca="false">IF(A267="",0,IFERROR(MATCH(A267,Bank!$A:$A,0),0))</f>
        <v>0</v>
      </c>
      <c r="C267" s="5" t="str">
        <f aca="false">IF(B267=0,"",IF(INDEX(Bank!$G:$G,B267)="","",INDEX(Bank!$G:$G,B267)))</f>
        <v/>
      </c>
      <c r="D267" s="5" t="str">
        <f aca="false">IF(B267=0,"",IF(INDEX(Bank!$J:$J,B267)="","",INDEX(Bank!$J:$J,B267)))</f>
        <v/>
      </c>
      <c r="E267" s="32" t="str">
        <f aca="false">IF(B267=0,"",INDEX(Bank!$B:$B,B267))</f>
        <v/>
      </c>
      <c r="F267" s="5" t="str">
        <f aca="false">IF(B267=0,"",IF(INDEX(Bank!$C:$C,B267)="","",INDEX(Bank!$C:$C,B267)))</f>
        <v/>
      </c>
      <c r="G267" s="19" t="str">
        <f aca="false">IF(B267=0,"",INDEX(Bank!$E:$E,B267))</f>
        <v/>
      </c>
      <c r="H267" s="5" t="str">
        <f aca="false">IF(B267=0,"",IF(INDEX(Bank!$H:$H,B267)="","",INDEX(Bank!$H:$H,B267)))</f>
        <v/>
      </c>
      <c r="I267" s="5" t="n">
        <f aca="false">IF(H267="",0,IFERROR(MATCH(H267,GL!$A:$A,0),0))</f>
        <v>0</v>
      </c>
      <c r="J267" s="32" t="str">
        <f aca="false">IF(I267=0,"",INDEX(GL!$B:$B,I267))</f>
        <v/>
      </c>
      <c r="K267" s="5" t="str">
        <f aca="false">IF(I267=0,"",IF(INDEX(GL!$C:$C,I267)="","",INDEX(GL!$C:$C,I267)))</f>
        <v/>
      </c>
      <c r="L267" s="19" t="str">
        <f aca="false">IF(I267=0,"",INDEX(GL!$E:$E,I267))</f>
        <v/>
      </c>
      <c r="M267" s="19" t="str">
        <f aca="false">IF(OR(B267=0,I267=0),"",ROUND(G267-L267,2))</f>
        <v/>
      </c>
      <c r="N267" s="5" t="str">
        <f aca="false">IF(A267="","",IF(B267=0,"NOT FOUND: bank ID",IF(I267=0,"NOT FOUND: GL ID",IF(INDEX(GL!$H:$H,I267)&lt;&gt;A267,"BROKEN: GL points elsewhere",IF(OR(INDEX(Bank!$F:$F,B267)&lt;&gt;"Y",INDEX(GL!$F:$F,I267)&lt;&gt;"Y"),"BROKEN: Status not Y","OK")))))</f>
        <v/>
      </c>
    </row>
    <row r="268" customFormat="false" ht="15" hidden="false" customHeight="false" outlineLevel="0" collapsed="false">
      <c r="A268" s="41"/>
      <c r="B268" s="5" t="n">
        <f aca="false">IF(A268="",0,IFERROR(MATCH(A268,Bank!$A:$A,0),0))</f>
        <v>0</v>
      </c>
      <c r="C268" s="5" t="str">
        <f aca="false">IF(B268=0,"",IF(INDEX(Bank!$G:$G,B268)="","",INDEX(Bank!$G:$G,B268)))</f>
        <v/>
      </c>
      <c r="D268" s="5" t="str">
        <f aca="false">IF(B268=0,"",IF(INDEX(Bank!$J:$J,B268)="","",INDEX(Bank!$J:$J,B268)))</f>
        <v/>
      </c>
      <c r="E268" s="32" t="str">
        <f aca="false">IF(B268=0,"",INDEX(Bank!$B:$B,B268))</f>
        <v/>
      </c>
      <c r="F268" s="5" t="str">
        <f aca="false">IF(B268=0,"",IF(INDEX(Bank!$C:$C,B268)="","",INDEX(Bank!$C:$C,B268)))</f>
        <v/>
      </c>
      <c r="G268" s="19" t="str">
        <f aca="false">IF(B268=0,"",INDEX(Bank!$E:$E,B268))</f>
        <v/>
      </c>
      <c r="H268" s="5" t="str">
        <f aca="false">IF(B268=0,"",IF(INDEX(Bank!$H:$H,B268)="","",INDEX(Bank!$H:$H,B268)))</f>
        <v/>
      </c>
      <c r="I268" s="5" t="n">
        <f aca="false">IF(H268="",0,IFERROR(MATCH(H268,GL!$A:$A,0),0))</f>
        <v>0</v>
      </c>
      <c r="J268" s="32" t="str">
        <f aca="false">IF(I268=0,"",INDEX(GL!$B:$B,I268))</f>
        <v/>
      </c>
      <c r="K268" s="5" t="str">
        <f aca="false">IF(I268=0,"",IF(INDEX(GL!$C:$C,I268)="","",INDEX(GL!$C:$C,I268)))</f>
        <v/>
      </c>
      <c r="L268" s="19" t="str">
        <f aca="false">IF(I268=0,"",INDEX(GL!$E:$E,I268))</f>
        <v/>
      </c>
      <c r="M268" s="19" t="str">
        <f aca="false">IF(OR(B268=0,I268=0),"",ROUND(G268-L268,2))</f>
        <v/>
      </c>
      <c r="N268" s="5" t="str">
        <f aca="false">IF(A268="","",IF(B268=0,"NOT FOUND: bank ID",IF(I268=0,"NOT FOUND: GL ID",IF(INDEX(GL!$H:$H,I268)&lt;&gt;A268,"BROKEN: GL points elsewhere",IF(OR(INDEX(Bank!$F:$F,B268)&lt;&gt;"Y",INDEX(GL!$F:$F,I268)&lt;&gt;"Y"),"BROKEN: Status not Y","OK")))))</f>
        <v/>
      </c>
    </row>
    <row r="269" customFormat="false" ht="15" hidden="false" customHeight="false" outlineLevel="0" collapsed="false">
      <c r="A269" s="41"/>
      <c r="B269" s="5" t="n">
        <f aca="false">IF(A269="",0,IFERROR(MATCH(A269,Bank!$A:$A,0),0))</f>
        <v>0</v>
      </c>
      <c r="C269" s="5" t="str">
        <f aca="false">IF(B269=0,"",IF(INDEX(Bank!$G:$G,B269)="","",INDEX(Bank!$G:$G,B269)))</f>
        <v/>
      </c>
      <c r="D269" s="5" t="str">
        <f aca="false">IF(B269=0,"",IF(INDEX(Bank!$J:$J,B269)="","",INDEX(Bank!$J:$J,B269)))</f>
        <v/>
      </c>
      <c r="E269" s="32" t="str">
        <f aca="false">IF(B269=0,"",INDEX(Bank!$B:$B,B269))</f>
        <v/>
      </c>
      <c r="F269" s="5" t="str">
        <f aca="false">IF(B269=0,"",IF(INDEX(Bank!$C:$C,B269)="","",INDEX(Bank!$C:$C,B269)))</f>
        <v/>
      </c>
      <c r="G269" s="19" t="str">
        <f aca="false">IF(B269=0,"",INDEX(Bank!$E:$E,B269))</f>
        <v/>
      </c>
      <c r="H269" s="5" t="str">
        <f aca="false">IF(B269=0,"",IF(INDEX(Bank!$H:$H,B269)="","",INDEX(Bank!$H:$H,B269)))</f>
        <v/>
      </c>
      <c r="I269" s="5" t="n">
        <f aca="false">IF(H269="",0,IFERROR(MATCH(H269,GL!$A:$A,0),0))</f>
        <v>0</v>
      </c>
      <c r="J269" s="32" t="str">
        <f aca="false">IF(I269=0,"",INDEX(GL!$B:$B,I269))</f>
        <v/>
      </c>
      <c r="K269" s="5" t="str">
        <f aca="false">IF(I269=0,"",IF(INDEX(GL!$C:$C,I269)="","",INDEX(GL!$C:$C,I269)))</f>
        <v/>
      </c>
      <c r="L269" s="19" t="str">
        <f aca="false">IF(I269=0,"",INDEX(GL!$E:$E,I269))</f>
        <v/>
      </c>
      <c r="M269" s="19" t="str">
        <f aca="false">IF(OR(B269=0,I269=0),"",ROUND(G269-L269,2))</f>
        <v/>
      </c>
      <c r="N269" s="5" t="str">
        <f aca="false">IF(A269="","",IF(B269=0,"NOT FOUND: bank ID",IF(I269=0,"NOT FOUND: GL ID",IF(INDEX(GL!$H:$H,I269)&lt;&gt;A269,"BROKEN: GL points elsewhere",IF(OR(INDEX(Bank!$F:$F,B269)&lt;&gt;"Y",INDEX(GL!$F:$F,I269)&lt;&gt;"Y"),"BROKEN: Status not Y","OK")))))</f>
        <v/>
      </c>
    </row>
    <row r="270" customFormat="false" ht="15" hidden="false" customHeight="false" outlineLevel="0" collapsed="false">
      <c r="A270" s="41"/>
      <c r="B270" s="5" t="n">
        <f aca="false">IF(A270="",0,IFERROR(MATCH(A270,Bank!$A:$A,0),0))</f>
        <v>0</v>
      </c>
      <c r="C270" s="5" t="str">
        <f aca="false">IF(B270=0,"",IF(INDEX(Bank!$G:$G,B270)="","",INDEX(Bank!$G:$G,B270)))</f>
        <v/>
      </c>
      <c r="D270" s="5" t="str">
        <f aca="false">IF(B270=0,"",IF(INDEX(Bank!$J:$J,B270)="","",INDEX(Bank!$J:$J,B270)))</f>
        <v/>
      </c>
      <c r="E270" s="32" t="str">
        <f aca="false">IF(B270=0,"",INDEX(Bank!$B:$B,B270))</f>
        <v/>
      </c>
      <c r="F270" s="5" t="str">
        <f aca="false">IF(B270=0,"",IF(INDEX(Bank!$C:$C,B270)="","",INDEX(Bank!$C:$C,B270)))</f>
        <v/>
      </c>
      <c r="G270" s="19" t="str">
        <f aca="false">IF(B270=0,"",INDEX(Bank!$E:$E,B270))</f>
        <v/>
      </c>
      <c r="H270" s="5" t="str">
        <f aca="false">IF(B270=0,"",IF(INDEX(Bank!$H:$H,B270)="","",INDEX(Bank!$H:$H,B270)))</f>
        <v/>
      </c>
      <c r="I270" s="5" t="n">
        <f aca="false">IF(H270="",0,IFERROR(MATCH(H270,GL!$A:$A,0),0))</f>
        <v>0</v>
      </c>
      <c r="J270" s="32" t="str">
        <f aca="false">IF(I270=0,"",INDEX(GL!$B:$B,I270))</f>
        <v/>
      </c>
      <c r="K270" s="5" t="str">
        <f aca="false">IF(I270=0,"",IF(INDEX(GL!$C:$C,I270)="","",INDEX(GL!$C:$C,I270)))</f>
        <v/>
      </c>
      <c r="L270" s="19" t="str">
        <f aca="false">IF(I270=0,"",INDEX(GL!$E:$E,I270))</f>
        <v/>
      </c>
      <c r="M270" s="19" t="str">
        <f aca="false">IF(OR(B270=0,I270=0),"",ROUND(G270-L270,2))</f>
        <v/>
      </c>
      <c r="N270" s="5" t="str">
        <f aca="false">IF(A270="","",IF(B270=0,"NOT FOUND: bank ID",IF(I270=0,"NOT FOUND: GL ID",IF(INDEX(GL!$H:$H,I270)&lt;&gt;A270,"BROKEN: GL points elsewhere",IF(OR(INDEX(Bank!$F:$F,B270)&lt;&gt;"Y",INDEX(GL!$F:$F,I270)&lt;&gt;"Y"),"BROKEN: Status not Y","OK")))))</f>
        <v/>
      </c>
    </row>
    <row r="271" customFormat="false" ht="15" hidden="false" customHeight="false" outlineLevel="0" collapsed="false">
      <c r="A271" s="41"/>
      <c r="B271" s="5" t="n">
        <f aca="false">IF(A271="",0,IFERROR(MATCH(A271,Bank!$A:$A,0),0))</f>
        <v>0</v>
      </c>
      <c r="C271" s="5" t="str">
        <f aca="false">IF(B271=0,"",IF(INDEX(Bank!$G:$G,B271)="","",INDEX(Bank!$G:$G,B271)))</f>
        <v/>
      </c>
      <c r="D271" s="5" t="str">
        <f aca="false">IF(B271=0,"",IF(INDEX(Bank!$J:$J,B271)="","",INDEX(Bank!$J:$J,B271)))</f>
        <v/>
      </c>
      <c r="E271" s="32" t="str">
        <f aca="false">IF(B271=0,"",INDEX(Bank!$B:$B,B271))</f>
        <v/>
      </c>
      <c r="F271" s="5" t="str">
        <f aca="false">IF(B271=0,"",IF(INDEX(Bank!$C:$C,B271)="","",INDEX(Bank!$C:$C,B271)))</f>
        <v/>
      </c>
      <c r="G271" s="19" t="str">
        <f aca="false">IF(B271=0,"",INDEX(Bank!$E:$E,B271))</f>
        <v/>
      </c>
      <c r="H271" s="5" t="str">
        <f aca="false">IF(B271=0,"",IF(INDEX(Bank!$H:$H,B271)="","",INDEX(Bank!$H:$H,B271)))</f>
        <v/>
      </c>
      <c r="I271" s="5" t="n">
        <f aca="false">IF(H271="",0,IFERROR(MATCH(H271,GL!$A:$A,0),0))</f>
        <v>0</v>
      </c>
      <c r="J271" s="32" t="str">
        <f aca="false">IF(I271=0,"",INDEX(GL!$B:$B,I271))</f>
        <v/>
      </c>
      <c r="K271" s="5" t="str">
        <f aca="false">IF(I271=0,"",IF(INDEX(GL!$C:$C,I271)="","",INDEX(GL!$C:$C,I271)))</f>
        <v/>
      </c>
      <c r="L271" s="19" t="str">
        <f aca="false">IF(I271=0,"",INDEX(GL!$E:$E,I271))</f>
        <v/>
      </c>
      <c r="M271" s="19" t="str">
        <f aca="false">IF(OR(B271=0,I271=0),"",ROUND(G271-L271,2))</f>
        <v/>
      </c>
      <c r="N271" s="5" t="str">
        <f aca="false">IF(A271="","",IF(B271=0,"NOT FOUND: bank ID",IF(I271=0,"NOT FOUND: GL ID",IF(INDEX(GL!$H:$H,I271)&lt;&gt;A271,"BROKEN: GL points elsewhere",IF(OR(INDEX(Bank!$F:$F,B271)&lt;&gt;"Y",INDEX(GL!$F:$F,I271)&lt;&gt;"Y"),"BROKEN: Status not Y","OK")))))</f>
        <v/>
      </c>
    </row>
    <row r="272" customFormat="false" ht="15" hidden="false" customHeight="false" outlineLevel="0" collapsed="false">
      <c r="A272" s="41"/>
      <c r="B272" s="5" t="n">
        <f aca="false">IF(A272="",0,IFERROR(MATCH(A272,Bank!$A:$A,0),0))</f>
        <v>0</v>
      </c>
      <c r="C272" s="5" t="str">
        <f aca="false">IF(B272=0,"",IF(INDEX(Bank!$G:$G,B272)="","",INDEX(Bank!$G:$G,B272)))</f>
        <v/>
      </c>
      <c r="D272" s="5" t="str">
        <f aca="false">IF(B272=0,"",IF(INDEX(Bank!$J:$J,B272)="","",INDEX(Bank!$J:$J,B272)))</f>
        <v/>
      </c>
      <c r="E272" s="32" t="str">
        <f aca="false">IF(B272=0,"",INDEX(Bank!$B:$B,B272))</f>
        <v/>
      </c>
      <c r="F272" s="5" t="str">
        <f aca="false">IF(B272=0,"",IF(INDEX(Bank!$C:$C,B272)="","",INDEX(Bank!$C:$C,B272)))</f>
        <v/>
      </c>
      <c r="G272" s="19" t="str">
        <f aca="false">IF(B272=0,"",INDEX(Bank!$E:$E,B272))</f>
        <v/>
      </c>
      <c r="H272" s="5" t="str">
        <f aca="false">IF(B272=0,"",IF(INDEX(Bank!$H:$H,B272)="","",INDEX(Bank!$H:$H,B272)))</f>
        <v/>
      </c>
      <c r="I272" s="5" t="n">
        <f aca="false">IF(H272="",0,IFERROR(MATCH(H272,GL!$A:$A,0),0))</f>
        <v>0</v>
      </c>
      <c r="J272" s="32" t="str">
        <f aca="false">IF(I272=0,"",INDEX(GL!$B:$B,I272))</f>
        <v/>
      </c>
      <c r="K272" s="5" t="str">
        <f aca="false">IF(I272=0,"",IF(INDEX(GL!$C:$C,I272)="","",INDEX(GL!$C:$C,I272)))</f>
        <v/>
      </c>
      <c r="L272" s="19" t="str">
        <f aca="false">IF(I272=0,"",INDEX(GL!$E:$E,I272))</f>
        <v/>
      </c>
      <c r="M272" s="19" t="str">
        <f aca="false">IF(OR(B272=0,I272=0),"",ROUND(G272-L272,2))</f>
        <v/>
      </c>
      <c r="N272" s="5" t="str">
        <f aca="false">IF(A272="","",IF(B272=0,"NOT FOUND: bank ID",IF(I272=0,"NOT FOUND: GL ID",IF(INDEX(GL!$H:$H,I272)&lt;&gt;A272,"BROKEN: GL points elsewhere",IF(OR(INDEX(Bank!$F:$F,B272)&lt;&gt;"Y",INDEX(GL!$F:$F,I272)&lt;&gt;"Y"),"BROKEN: Status not Y","OK")))))</f>
        <v/>
      </c>
    </row>
    <row r="273" customFormat="false" ht="15" hidden="false" customHeight="false" outlineLevel="0" collapsed="false">
      <c r="A273" s="41"/>
      <c r="B273" s="5" t="n">
        <f aca="false">IF(A273="",0,IFERROR(MATCH(A273,Bank!$A:$A,0),0))</f>
        <v>0</v>
      </c>
      <c r="C273" s="5" t="str">
        <f aca="false">IF(B273=0,"",IF(INDEX(Bank!$G:$G,B273)="","",INDEX(Bank!$G:$G,B273)))</f>
        <v/>
      </c>
      <c r="D273" s="5" t="str">
        <f aca="false">IF(B273=0,"",IF(INDEX(Bank!$J:$J,B273)="","",INDEX(Bank!$J:$J,B273)))</f>
        <v/>
      </c>
      <c r="E273" s="32" t="str">
        <f aca="false">IF(B273=0,"",INDEX(Bank!$B:$B,B273))</f>
        <v/>
      </c>
      <c r="F273" s="5" t="str">
        <f aca="false">IF(B273=0,"",IF(INDEX(Bank!$C:$C,B273)="","",INDEX(Bank!$C:$C,B273)))</f>
        <v/>
      </c>
      <c r="G273" s="19" t="str">
        <f aca="false">IF(B273=0,"",INDEX(Bank!$E:$E,B273))</f>
        <v/>
      </c>
      <c r="H273" s="5" t="str">
        <f aca="false">IF(B273=0,"",IF(INDEX(Bank!$H:$H,B273)="","",INDEX(Bank!$H:$H,B273)))</f>
        <v/>
      </c>
      <c r="I273" s="5" t="n">
        <f aca="false">IF(H273="",0,IFERROR(MATCH(H273,GL!$A:$A,0),0))</f>
        <v>0</v>
      </c>
      <c r="J273" s="32" t="str">
        <f aca="false">IF(I273=0,"",INDEX(GL!$B:$B,I273))</f>
        <v/>
      </c>
      <c r="K273" s="5" t="str">
        <f aca="false">IF(I273=0,"",IF(INDEX(GL!$C:$C,I273)="","",INDEX(GL!$C:$C,I273)))</f>
        <v/>
      </c>
      <c r="L273" s="19" t="str">
        <f aca="false">IF(I273=0,"",INDEX(GL!$E:$E,I273))</f>
        <v/>
      </c>
      <c r="M273" s="19" t="str">
        <f aca="false">IF(OR(B273=0,I273=0),"",ROUND(G273-L273,2))</f>
        <v/>
      </c>
      <c r="N273" s="5" t="str">
        <f aca="false">IF(A273="","",IF(B273=0,"NOT FOUND: bank ID",IF(I273=0,"NOT FOUND: GL ID",IF(INDEX(GL!$H:$H,I273)&lt;&gt;A273,"BROKEN: GL points elsewhere",IF(OR(INDEX(Bank!$F:$F,B273)&lt;&gt;"Y",INDEX(GL!$F:$F,I273)&lt;&gt;"Y"),"BROKEN: Status not Y","OK")))))</f>
        <v/>
      </c>
    </row>
    <row r="274" customFormat="false" ht="15" hidden="false" customHeight="false" outlineLevel="0" collapsed="false">
      <c r="A274" s="41"/>
      <c r="B274" s="5" t="n">
        <f aca="false">IF(A274="",0,IFERROR(MATCH(A274,Bank!$A:$A,0),0))</f>
        <v>0</v>
      </c>
      <c r="C274" s="5" t="str">
        <f aca="false">IF(B274=0,"",IF(INDEX(Bank!$G:$G,B274)="","",INDEX(Bank!$G:$G,B274)))</f>
        <v/>
      </c>
      <c r="D274" s="5" t="str">
        <f aca="false">IF(B274=0,"",IF(INDEX(Bank!$J:$J,B274)="","",INDEX(Bank!$J:$J,B274)))</f>
        <v/>
      </c>
      <c r="E274" s="32" t="str">
        <f aca="false">IF(B274=0,"",INDEX(Bank!$B:$B,B274))</f>
        <v/>
      </c>
      <c r="F274" s="5" t="str">
        <f aca="false">IF(B274=0,"",IF(INDEX(Bank!$C:$C,B274)="","",INDEX(Bank!$C:$C,B274)))</f>
        <v/>
      </c>
      <c r="G274" s="19" t="str">
        <f aca="false">IF(B274=0,"",INDEX(Bank!$E:$E,B274))</f>
        <v/>
      </c>
      <c r="H274" s="5" t="str">
        <f aca="false">IF(B274=0,"",IF(INDEX(Bank!$H:$H,B274)="","",INDEX(Bank!$H:$H,B274)))</f>
        <v/>
      </c>
      <c r="I274" s="5" t="n">
        <f aca="false">IF(H274="",0,IFERROR(MATCH(H274,GL!$A:$A,0),0))</f>
        <v>0</v>
      </c>
      <c r="J274" s="32" t="str">
        <f aca="false">IF(I274=0,"",INDEX(GL!$B:$B,I274))</f>
        <v/>
      </c>
      <c r="K274" s="5" t="str">
        <f aca="false">IF(I274=0,"",IF(INDEX(GL!$C:$C,I274)="","",INDEX(GL!$C:$C,I274)))</f>
        <v/>
      </c>
      <c r="L274" s="19" t="str">
        <f aca="false">IF(I274=0,"",INDEX(GL!$E:$E,I274))</f>
        <v/>
      </c>
      <c r="M274" s="19" t="str">
        <f aca="false">IF(OR(B274=0,I274=0),"",ROUND(G274-L274,2))</f>
        <v/>
      </c>
      <c r="N274" s="5" t="str">
        <f aca="false">IF(A274="","",IF(B274=0,"NOT FOUND: bank ID",IF(I274=0,"NOT FOUND: GL ID",IF(INDEX(GL!$H:$H,I274)&lt;&gt;A274,"BROKEN: GL points elsewhere",IF(OR(INDEX(Bank!$F:$F,B274)&lt;&gt;"Y",INDEX(GL!$F:$F,I274)&lt;&gt;"Y"),"BROKEN: Status not Y","OK")))))</f>
        <v/>
      </c>
    </row>
    <row r="275" customFormat="false" ht="15" hidden="false" customHeight="false" outlineLevel="0" collapsed="false">
      <c r="A275" s="41"/>
      <c r="B275" s="5" t="n">
        <f aca="false">IF(A275="",0,IFERROR(MATCH(A275,Bank!$A:$A,0),0))</f>
        <v>0</v>
      </c>
      <c r="C275" s="5" t="str">
        <f aca="false">IF(B275=0,"",IF(INDEX(Bank!$G:$G,B275)="","",INDEX(Bank!$G:$G,B275)))</f>
        <v/>
      </c>
      <c r="D275" s="5" t="str">
        <f aca="false">IF(B275=0,"",IF(INDEX(Bank!$J:$J,B275)="","",INDEX(Bank!$J:$J,B275)))</f>
        <v/>
      </c>
      <c r="E275" s="32" t="str">
        <f aca="false">IF(B275=0,"",INDEX(Bank!$B:$B,B275))</f>
        <v/>
      </c>
      <c r="F275" s="5" t="str">
        <f aca="false">IF(B275=0,"",IF(INDEX(Bank!$C:$C,B275)="","",INDEX(Bank!$C:$C,B275)))</f>
        <v/>
      </c>
      <c r="G275" s="19" t="str">
        <f aca="false">IF(B275=0,"",INDEX(Bank!$E:$E,B275))</f>
        <v/>
      </c>
      <c r="H275" s="5" t="str">
        <f aca="false">IF(B275=0,"",IF(INDEX(Bank!$H:$H,B275)="","",INDEX(Bank!$H:$H,B275)))</f>
        <v/>
      </c>
      <c r="I275" s="5" t="n">
        <f aca="false">IF(H275="",0,IFERROR(MATCH(H275,GL!$A:$A,0),0))</f>
        <v>0</v>
      </c>
      <c r="J275" s="32" t="str">
        <f aca="false">IF(I275=0,"",INDEX(GL!$B:$B,I275))</f>
        <v/>
      </c>
      <c r="K275" s="5" t="str">
        <f aca="false">IF(I275=0,"",IF(INDEX(GL!$C:$C,I275)="","",INDEX(GL!$C:$C,I275)))</f>
        <v/>
      </c>
      <c r="L275" s="19" t="str">
        <f aca="false">IF(I275=0,"",INDEX(GL!$E:$E,I275))</f>
        <v/>
      </c>
      <c r="M275" s="19" t="str">
        <f aca="false">IF(OR(B275=0,I275=0),"",ROUND(G275-L275,2))</f>
        <v/>
      </c>
      <c r="N275" s="5" t="str">
        <f aca="false">IF(A275="","",IF(B275=0,"NOT FOUND: bank ID",IF(I275=0,"NOT FOUND: GL ID",IF(INDEX(GL!$H:$H,I275)&lt;&gt;A275,"BROKEN: GL points elsewhere",IF(OR(INDEX(Bank!$F:$F,B275)&lt;&gt;"Y",INDEX(GL!$F:$F,I275)&lt;&gt;"Y"),"BROKEN: Status not Y","OK")))))</f>
        <v/>
      </c>
    </row>
    <row r="276" customFormat="false" ht="15" hidden="false" customHeight="false" outlineLevel="0" collapsed="false">
      <c r="A276" s="41"/>
      <c r="B276" s="5" t="n">
        <f aca="false">IF(A276="",0,IFERROR(MATCH(A276,Bank!$A:$A,0),0))</f>
        <v>0</v>
      </c>
      <c r="C276" s="5" t="str">
        <f aca="false">IF(B276=0,"",IF(INDEX(Bank!$G:$G,B276)="","",INDEX(Bank!$G:$G,B276)))</f>
        <v/>
      </c>
      <c r="D276" s="5" t="str">
        <f aca="false">IF(B276=0,"",IF(INDEX(Bank!$J:$J,B276)="","",INDEX(Bank!$J:$J,B276)))</f>
        <v/>
      </c>
      <c r="E276" s="32" t="str">
        <f aca="false">IF(B276=0,"",INDEX(Bank!$B:$B,B276))</f>
        <v/>
      </c>
      <c r="F276" s="5" t="str">
        <f aca="false">IF(B276=0,"",IF(INDEX(Bank!$C:$C,B276)="","",INDEX(Bank!$C:$C,B276)))</f>
        <v/>
      </c>
      <c r="G276" s="19" t="str">
        <f aca="false">IF(B276=0,"",INDEX(Bank!$E:$E,B276))</f>
        <v/>
      </c>
      <c r="H276" s="5" t="str">
        <f aca="false">IF(B276=0,"",IF(INDEX(Bank!$H:$H,B276)="","",INDEX(Bank!$H:$H,B276)))</f>
        <v/>
      </c>
      <c r="I276" s="5" t="n">
        <f aca="false">IF(H276="",0,IFERROR(MATCH(H276,GL!$A:$A,0),0))</f>
        <v>0</v>
      </c>
      <c r="J276" s="32" t="str">
        <f aca="false">IF(I276=0,"",INDEX(GL!$B:$B,I276))</f>
        <v/>
      </c>
      <c r="K276" s="5" t="str">
        <f aca="false">IF(I276=0,"",IF(INDEX(GL!$C:$C,I276)="","",INDEX(GL!$C:$C,I276)))</f>
        <v/>
      </c>
      <c r="L276" s="19" t="str">
        <f aca="false">IF(I276=0,"",INDEX(GL!$E:$E,I276))</f>
        <v/>
      </c>
      <c r="M276" s="19" t="str">
        <f aca="false">IF(OR(B276=0,I276=0),"",ROUND(G276-L276,2))</f>
        <v/>
      </c>
      <c r="N276" s="5" t="str">
        <f aca="false">IF(A276="","",IF(B276=0,"NOT FOUND: bank ID",IF(I276=0,"NOT FOUND: GL ID",IF(INDEX(GL!$H:$H,I276)&lt;&gt;A276,"BROKEN: GL points elsewhere",IF(OR(INDEX(Bank!$F:$F,B276)&lt;&gt;"Y",INDEX(GL!$F:$F,I276)&lt;&gt;"Y"),"BROKEN: Status not Y","OK")))))</f>
        <v/>
      </c>
    </row>
    <row r="277" customFormat="false" ht="15" hidden="false" customHeight="false" outlineLevel="0" collapsed="false">
      <c r="A277" s="41"/>
      <c r="B277" s="5" t="n">
        <f aca="false">IF(A277="",0,IFERROR(MATCH(A277,Bank!$A:$A,0),0))</f>
        <v>0</v>
      </c>
      <c r="C277" s="5" t="str">
        <f aca="false">IF(B277=0,"",IF(INDEX(Bank!$G:$G,B277)="","",INDEX(Bank!$G:$G,B277)))</f>
        <v/>
      </c>
      <c r="D277" s="5" t="str">
        <f aca="false">IF(B277=0,"",IF(INDEX(Bank!$J:$J,B277)="","",INDEX(Bank!$J:$J,B277)))</f>
        <v/>
      </c>
      <c r="E277" s="32" t="str">
        <f aca="false">IF(B277=0,"",INDEX(Bank!$B:$B,B277))</f>
        <v/>
      </c>
      <c r="F277" s="5" t="str">
        <f aca="false">IF(B277=0,"",IF(INDEX(Bank!$C:$C,B277)="","",INDEX(Bank!$C:$C,B277)))</f>
        <v/>
      </c>
      <c r="G277" s="19" t="str">
        <f aca="false">IF(B277=0,"",INDEX(Bank!$E:$E,B277))</f>
        <v/>
      </c>
      <c r="H277" s="5" t="str">
        <f aca="false">IF(B277=0,"",IF(INDEX(Bank!$H:$H,B277)="","",INDEX(Bank!$H:$H,B277)))</f>
        <v/>
      </c>
      <c r="I277" s="5" t="n">
        <f aca="false">IF(H277="",0,IFERROR(MATCH(H277,GL!$A:$A,0),0))</f>
        <v>0</v>
      </c>
      <c r="J277" s="32" t="str">
        <f aca="false">IF(I277=0,"",INDEX(GL!$B:$B,I277))</f>
        <v/>
      </c>
      <c r="K277" s="5" t="str">
        <f aca="false">IF(I277=0,"",IF(INDEX(GL!$C:$C,I277)="","",INDEX(GL!$C:$C,I277)))</f>
        <v/>
      </c>
      <c r="L277" s="19" t="str">
        <f aca="false">IF(I277=0,"",INDEX(GL!$E:$E,I277))</f>
        <v/>
      </c>
      <c r="M277" s="19" t="str">
        <f aca="false">IF(OR(B277=0,I277=0),"",ROUND(G277-L277,2))</f>
        <v/>
      </c>
      <c r="N277" s="5" t="str">
        <f aca="false">IF(A277="","",IF(B277=0,"NOT FOUND: bank ID",IF(I277=0,"NOT FOUND: GL ID",IF(INDEX(GL!$H:$H,I277)&lt;&gt;A277,"BROKEN: GL points elsewhere",IF(OR(INDEX(Bank!$F:$F,B277)&lt;&gt;"Y",INDEX(GL!$F:$F,I277)&lt;&gt;"Y"),"BROKEN: Status not Y","OK")))))</f>
        <v/>
      </c>
    </row>
    <row r="278" customFormat="false" ht="15" hidden="false" customHeight="false" outlineLevel="0" collapsed="false">
      <c r="A278" s="41"/>
      <c r="B278" s="5" t="n">
        <f aca="false">IF(A278="",0,IFERROR(MATCH(A278,Bank!$A:$A,0),0))</f>
        <v>0</v>
      </c>
      <c r="C278" s="5" t="str">
        <f aca="false">IF(B278=0,"",IF(INDEX(Bank!$G:$G,B278)="","",INDEX(Bank!$G:$G,B278)))</f>
        <v/>
      </c>
      <c r="D278" s="5" t="str">
        <f aca="false">IF(B278=0,"",IF(INDEX(Bank!$J:$J,B278)="","",INDEX(Bank!$J:$J,B278)))</f>
        <v/>
      </c>
      <c r="E278" s="32" t="str">
        <f aca="false">IF(B278=0,"",INDEX(Bank!$B:$B,B278))</f>
        <v/>
      </c>
      <c r="F278" s="5" t="str">
        <f aca="false">IF(B278=0,"",IF(INDEX(Bank!$C:$C,B278)="","",INDEX(Bank!$C:$C,B278)))</f>
        <v/>
      </c>
      <c r="G278" s="19" t="str">
        <f aca="false">IF(B278=0,"",INDEX(Bank!$E:$E,B278))</f>
        <v/>
      </c>
      <c r="H278" s="5" t="str">
        <f aca="false">IF(B278=0,"",IF(INDEX(Bank!$H:$H,B278)="","",INDEX(Bank!$H:$H,B278)))</f>
        <v/>
      </c>
      <c r="I278" s="5" t="n">
        <f aca="false">IF(H278="",0,IFERROR(MATCH(H278,GL!$A:$A,0),0))</f>
        <v>0</v>
      </c>
      <c r="J278" s="32" t="str">
        <f aca="false">IF(I278=0,"",INDEX(GL!$B:$B,I278))</f>
        <v/>
      </c>
      <c r="K278" s="5" t="str">
        <f aca="false">IF(I278=0,"",IF(INDEX(GL!$C:$C,I278)="","",INDEX(GL!$C:$C,I278)))</f>
        <v/>
      </c>
      <c r="L278" s="19" t="str">
        <f aca="false">IF(I278=0,"",INDEX(GL!$E:$E,I278))</f>
        <v/>
      </c>
      <c r="M278" s="19" t="str">
        <f aca="false">IF(OR(B278=0,I278=0),"",ROUND(G278-L278,2))</f>
        <v/>
      </c>
      <c r="N278" s="5" t="str">
        <f aca="false">IF(A278="","",IF(B278=0,"NOT FOUND: bank ID",IF(I278=0,"NOT FOUND: GL ID",IF(INDEX(GL!$H:$H,I278)&lt;&gt;A278,"BROKEN: GL points elsewhere",IF(OR(INDEX(Bank!$F:$F,B278)&lt;&gt;"Y",INDEX(GL!$F:$F,I278)&lt;&gt;"Y"),"BROKEN: Status not Y","OK")))))</f>
        <v/>
      </c>
    </row>
    <row r="279" customFormat="false" ht="15" hidden="false" customHeight="false" outlineLevel="0" collapsed="false">
      <c r="A279" s="41"/>
      <c r="B279" s="5" t="n">
        <f aca="false">IF(A279="",0,IFERROR(MATCH(A279,Bank!$A:$A,0),0))</f>
        <v>0</v>
      </c>
      <c r="C279" s="5" t="str">
        <f aca="false">IF(B279=0,"",IF(INDEX(Bank!$G:$G,B279)="","",INDEX(Bank!$G:$G,B279)))</f>
        <v/>
      </c>
      <c r="D279" s="5" t="str">
        <f aca="false">IF(B279=0,"",IF(INDEX(Bank!$J:$J,B279)="","",INDEX(Bank!$J:$J,B279)))</f>
        <v/>
      </c>
      <c r="E279" s="32" t="str">
        <f aca="false">IF(B279=0,"",INDEX(Bank!$B:$B,B279))</f>
        <v/>
      </c>
      <c r="F279" s="5" t="str">
        <f aca="false">IF(B279=0,"",IF(INDEX(Bank!$C:$C,B279)="","",INDEX(Bank!$C:$C,B279)))</f>
        <v/>
      </c>
      <c r="G279" s="19" t="str">
        <f aca="false">IF(B279=0,"",INDEX(Bank!$E:$E,B279))</f>
        <v/>
      </c>
      <c r="H279" s="5" t="str">
        <f aca="false">IF(B279=0,"",IF(INDEX(Bank!$H:$H,B279)="","",INDEX(Bank!$H:$H,B279)))</f>
        <v/>
      </c>
      <c r="I279" s="5" t="n">
        <f aca="false">IF(H279="",0,IFERROR(MATCH(H279,GL!$A:$A,0),0))</f>
        <v>0</v>
      </c>
      <c r="J279" s="32" t="str">
        <f aca="false">IF(I279=0,"",INDEX(GL!$B:$B,I279))</f>
        <v/>
      </c>
      <c r="K279" s="5" t="str">
        <f aca="false">IF(I279=0,"",IF(INDEX(GL!$C:$C,I279)="","",INDEX(GL!$C:$C,I279)))</f>
        <v/>
      </c>
      <c r="L279" s="19" t="str">
        <f aca="false">IF(I279=0,"",INDEX(GL!$E:$E,I279))</f>
        <v/>
      </c>
      <c r="M279" s="19" t="str">
        <f aca="false">IF(OR(B279=0,I279=0),"",ROUND(G279-L279,2))</f>
        <v/>
      </c>
      <c r="N279" s="5" t="str">
        <f aca="false">IF(A279="","",IF(B279=0,"NOT FOUND: bank ID",IF(I279=0,"NOT FOUND: GL ID",IF(INDEX(GL!$H:$H,I279)&lt;&gt;A279,"BROKEN: GL points elsewhere",IF(OR(INDEX(Bank!$F:$F,B279)&lt;&gt;"Y",INDEX(GL!$F:$F,I279)&lt;&gt;"Y"),"BROKEN: Status not Y","OK")))))</f>
        <v/>
      </c>
    </row>
    <row r="280" customFormat="false" ht="15" hidden="false" customHeight="false" outlineLevel="0" collapsed="false">
      <c r="A280" s="41"/>
      <c r="B280" s="5" t="n">
        <f aca="false">IF(A280="",0,IFERROR(MATCH(A280,Bank!$A:$A,0),0))</f>
        <v>0</v>
      </c>
      <c r="C280" s="5" t="str">
        <f aca="false">IF(B280=0,"",IF(INDEX(Bank!$G:$G,B280)="","",INDEX(Bank!$G:$G,B280)))</f>
        <v/>
      </c>
      <c r="D280" s="5" t="str">
        <f aca="false">IF(B280=0,"",IF(INDEX(Bank!$J:$J,B280)="","",INDEX(Bank!$J:$J,B280)))</f>
        <v/>
      </c>
      <c r="E280" s="32" t="str">
        <f aca="false">IF(B280=0,"",INDEX(Bank!$B:$B,B280))</f>
        <v/>
      </c>
      <c r="F280" s="5" t="str">
        <f aca="false">IF(B280=0,"",IF(INDEX(Bank!$C:$C,B280)="","",INDEX(Bank!$C:$C,B280)))</f>
        <v/>
      </c>
      <c r="G280" s="19" t="str">
        <f aca="false">IF(B280=0,"",INDEX(Bank!$E:$E,B280))</f>
        <v/>
      </c>
      <c r="H280" s="5" t="str">
        <f aca="false">IF(B280=0,"",IF(INDEX(Bank!$H:$H,B280)="","",INDEX(Bank!$H:$H,B280)))</f>
        <v/>
      </c>
      <c r="I280" s="5" t="n">
        <f aca="false">IF(H280="",0,IFERROR(MATCH(H280,GL!$A:$A,0),0))</f>
        <v>0</v>
      </c>
      <c r="J280" s="32" t="str">
        <f aca="false">IF(I280=0,"",INDEX(GL!$B:$B,I280))</f>
        <v/>
      </c>
      <c r="K280" s="5" t="str">
        <f aca="false">IF(I280=0,"",IF(INDEX(GL!$C:$C,I280)="","",INDEX(GL!$C:$C,I280)))</f>
        <v/>
      </c>
      <c r="L280" s="19" t="str">
        <f aca="false">IF(I280=0,"",INDEX(GL!$E:$E,I280))</f>
        <v/>
      </c>
      <c r="M280" s="19" t="str">
        <f aca="false">IF(OR(B280=0,I280=0),"",ROUND(G280-L280,2))</f>
        <v/>
      </c>
      <c r="N280" s="5" t="str">
        <f aca="false">IF(A280="","",IF(B280=0,"NOT FOUND: bank ID",IF(I280=0,"NOT FOUND: GL ID",IF(INDEX(GL!$H:$H,I280)&lt;&gt;A280,"BROKEN: GL points elsewhere",IF(OR(INDEX(Bank!$F:$F,B280)&lt;&gt;"Y",INDEX(GL!$F:$F,I280)&lt;&gt;"Y"),"BROKEN: Status not Y","OK")))))</f>
        <v/>
      </c>
    </row>
    <row r="281" customFormat="false" ht="15" hidden="false" customHeight="false" outlineLevel="0" collapsed="false">
      <c r="A281" s="41"/>
      <c r="B281" s="5" t="n">
        <f aca="false">IF(A281="",0,IFERROR(MATCH(A281,Bank!$A:$A,0),0))</f>
        <v>0</v>
      </c>
      <c r="C281" s="5" t="str">
        <f aca="false">IF(B281=0,"",IF(INDEX(Bank!$G:$G,B281)="","",INDEX(Bank!$G:$G,B281)))</f>
        <v/>
      </c>
      <c r="D281" s="5" t="str">
        <f aca="false">IF(B281=0,"",IF(INDEX(Bank!$J:$J,B281)="","",INDEX(Bank!$J:$J,B281)))</f>
        <v/>
      </c>
      <c r="E281" s="32" t="str">
        <f aca="false">IF(B281=0,"",INDEX(Bank!$B:$B,B281))</f>
        <v/>
      </c>
      <c r="F281" s="5" t="str">
        <f aca="false">IF(B281=0,"",IF(INDEX(Bank!$C:$C,B281)="","",INDEX(Bank!$C:$C,B281)))</f>
        <v/>
      </c>
      <c r="G281" s="19" t="str">
        <f aca="false">IF(B281=0,"",INDEX(Bank!$E:$E,B281))</f>
        <v/>
      </c>
      <c r="H281" s="5" t="str">
        <f aca="false">IF(B281=0,"",IF(INDEX(Bank!$H:$H,B281)="","",INDEX(Bank!$H:$H,B281)))</f>
        <v/>
      </c>
      <c r="I281" s="5" t="n">
        <f aca="false">IF(H281="",0,IFERROR(MATCH(H281,GL!$A:$A,0),0))</f>
        <v>0</v>
      </c>
      <c r="J281" s="32" t="str">
        <f aca="false">IF(I281=0,"",INDEX(GL!$B:$B,I281))</f>
        <v/>
      </c>
      <c r="K281" s="5" t="str">
        <f aca="false">IF(I281=0,"",IF(INDEX(GL!$C:$C,I281)="","",INDEX(GL!$C:$C,I281)))</f>
        <v/>
      </c>
      <c r="L281" s="19" t="str">
        <f aca="false">IF(I281=0,"",INDEX(GL!$E:$E,I281))</f>
        <v/>
      </c>
      <c r="M281" s="19" t="str">
        <f aca="false">IF(OR(B281=0,I281=0),"",ROUND(G281-L281,2))</f>
        <v/>
      </c>
      <c r="N281" s="5" t="str">
        <f aca="false">IF(A281="","",IF(B281=0,"NOT FOUND: bank ID",IF(I281=0,"NOT FOUND: GL ID",IF(INDEX(GL!$H:$H,I281)&lt;&gt;A281,"BROKEN: GL points elsewhere",IF(OR(INDEX(Bank!$F:$F,B281)&lt;&gt;"Y",INDEX(GL!$F:$F,I281)&lt;&gt;"Y"),"BROKEN: Status not Y","OK")))))</f>
        <v/>
      </c>
    </row>
    <row r="282" customFormat="false" ht="15" hidden="false" customHeight="false" outlineLevel="0" collapsed="false">
      <c r="A282" s="41"/>
      <c r="B282" s="5" t="n">
        <f aca="false">IF(A282="",0,IFERROR(MATCH(A282,Bank!$A:$A,0),0))</f>
        <v>0</v>
      </c>
      <c r="C282" s="5" t="str">
        <f aca="false">IF(B282=0,"",IF(INDEX(Bank!$G:$G,B282)="","",INDEX(Bank!$G:$G,B282)))</f>
        <v/>
      </c>
      <c r="D282" s="5" t="str">
        <f aca="false">IF(B282=0,"",IF(INDEX(Bank!$J:$J,B282)="","",INDEX(Bank!$J:$J,B282)))</f>
        <v/>
      </c>
      <c r="E282" s="32" t="str">
        <f aca="false">IF(B282=0,"",INDEX(Bank!$B:$B,B282))</f>
        <v/>
      </c>
      <c r="F282" s="5" t="str">
        <f aca="false">IF(B282=0,"",IF(INDEX(Bank!$C:$C,B282)="","",INDEX(Bank!$C:$C,B282)))</f>
        <v/>
      </c>
      <c r="G282" s="19" t="str">
        <f aca="false">IF(B282=0,"",INDEX(Bank!$E:$E,B282))</f>
        <v/>
      </c>
      <c r="H282" s="5" t="str">
        <f aca="false">IF(B282=0,"",IF(INDEX(Bank!$H:$H,B282)="","",INDEX(Bank!$H:$H,B282)))</f>
        <v/>
      </c>
      <c r="I282" s="5" t="n">
        <f aca="false">IF(H282="",0,IFERROR(MATCH(H282,GL!$A:$A,0),0))</f>
        <v>0</v>
      </c>
      <c r="J282" s="32" t="str">
        <f aca="false">IF(I282=0,"",INDEX(GL!$B:$B,I282))</f>
        <v/>
      </c>
      <c r="K282" s="5" t="str">
        <f aca="false">IF(I282=0,"",IF(INDEX(GL!$C:$C,I282)="","",INDEX(GL!$C:$C,I282)))</f>
        <v/>
      </c>
      <c r="L282" s="19" t="str">
        <f aca="false">IF(I282=0,"",INDEX(GL!$E:$E,I282))</f>
        <v/>
      </c>
      <c r="M282" s="19" t="str">
        <f aca="false">IF(OR(B282=0,I282=0),"",ROUND(G282-L282,2))</f>
        <v/>
      </c>
      <c r="N282" s="5" t="str">
        <f aca="false">IF(A282="","",IF(B282=0,"NOT FOUND: bank ID",IF(I282=0,"NOT FOUND: GL ID",IF(INDEX(GL!$H:$H,I282)&lt;&gt;A282,"BROKEN: GL points elsewhere",IF(OR(INDEX(Bank!$F:$F,B282)&lt;&gt;"Y",INDEX(GL!$F:$F,I282)&lt;&gt;"Y"),"BROKEN: Status not Y","OK")))))</f>
        <v/>
      </c>
    </row>
    <row r="283" customFormat="false" ht="15" hidden="false" customHeight="false" outlineLevel="0" collapsed="false">
      <c r="A283" s="41"/>
      <c r="B283" s="5" t="n">
        <f aca="false">IF(A283="",0,IFERROR(MATCH(A283,Bank!$A:$A,0),0))</f>
        <v>0</v>
      </c>
      <c r="C283" s="5" t="str">
        <f aca="false">IF(B283=0,"",IF(INDEX(Bank!$G:$G,B283)="","",INDEX(Bank!$G:$G,B283)))</f>
        <v/>
      </c>
      <c r="D283" s="5" t="str">
        <f aca="false">IF(B283=0,"",IF(INDEX(Bank!$J:$J,B283)="","",INDEX(Bank!$J:$J,B283)))</f>
        <v/>
      </c>
      <c r="E283" s="32" t="str">
        <f aca="false">IF(B283=0,"",INDEX(Bank!$B:$B,B283))</f>
        <v/>
      </c>
      <c r="F283" s="5" t="str">
        <f aca="false">IF(B283=0,"",IF(INDEX(Bank!$C:$C,B283)="","",INDEX(Bank!$C:$C,B283)))</f>
        <v/>
      </c>
      <c r="G283" s="19" t="str">
        <f aca="false">IF(B283=0,"",INDEX(Bank!$E:$E,B283))</f>
        <v/>
      </c>
      <c r="H283" s="5" t="str">
        <f aca="false">IF(B283=0,"",IF(INDEX(Bank!$H:$H,B283)="","",INDEX(Bank!$H:$H,B283)))</f>
        <v/>
      </c>
      <c r="I283" s="5" t="n">
        <f aca="false">IF(H283="",0,IFERROR(MATCH(H283,GL!$A:$A,0),0))</f>
        <v>0</v>
      </c>
      <c r="J283" s="32" t="str">
        <f aca="false">IF(I283=0,"",INDEX(GL!$B:$B,I283))</f>
        <v/>
      </c>
      <c r="K283" s="5" t="str">
        <f aca="false">IF(I283=0,"",IF(INDEX(GL!$C:$C,I283)="","",INDEX(GL!$C:$C,I283)))</f>
        <v/>
      </c>
      <c r="L283" s="19" t="str">
        <f aca="false">IF(I283=0,"",INDEX(GL!$E:$E,I283))</f>
        <v/>
      </c>
      <c r="M283" s="19" t="str">
        <f aca="false">IF(OR(B283=0,I283=0),"",ROUND(G283-L283,2))</f>
        <v/>
      </c>
      <c r="N283" s="5" t="str">
        <f aca="false">IF(A283="","",IF(B283=0,"NOT FOUND: bank ID",IF(I283=0,"NOT FOUND: GL ID",IF(INDEX(GL!$H:$H,I283)&lt;&gt;A283,"BROKEN: GL points elsewhere",IF(OR(INDEX(Bank!$F:$F,B283)&lt;&gt;"Y",INDEX(GL!$F:$F,I283)&lt;&gt;"Y"),"BROKEN: Status not Y","OK")))))</f>
        <v/>
      </c>
    </row>
    <row r="284" customFormat="false" ht="15" hidden="false" customHeight="false" outlineLevel="0" collapsed="false">
      <c r="A284" s="41"/>
      <c r="B284" s="5" t="n">
        <f aca="false">IF(A284="",0,IFERROR(MATCH(A284,Bank!$A:$A,0),0))</f>
        <v>0</v>
      </c>
      <c r="C284" s="5" t="str">
        <f aca="false">IF(B284=0,"",IF(INDEX(Bank!$G:$G,B284)="","",INDEX(Bank!$G:$G,B284)))</f>
        <v/>
      </c>
      <c r="D284" s="5" t="str">
        <f aca="false">IF(B284=0,"",IF(INDEX(Bank!$J:$J,B284)="","",INDEX(Bank!$J:$J,B284)))</f>
        <v/>
      </c>
      <c r="E284" s="32" t="str">
        <f aca="false">IF(B284=0,"",INDEX(Bank!$B:$B,B284))</f>
        <v/>
      </c>
      <c r="F284" s="5" t="str">
        <f aca="false">IF(B284=0,"",IF(INDEX(Bank!$C:$C,B284)="","",INDEX(Bank!$C:$C,B284)))</f>
        <v/>
      </c>
      <c r="G284" s="19" t="str">
        <f aca="false">IF(B284=0,"",INDEX(Bank!$E:$E,B284))</f>
        <v/>
      </c>
      <c r="H284" s="5" t="str">
        <f aca="false">IF(B284=0,"",IF(INDEX(Bank!$H:$H,B284)="","",INDEX(Bank!$H:$H,B284)))</f>
        <v/>
      </c>
      <c r="I284" s="5" t="n">
        <f aca="false">IF(H284="",0,IFERROR(MATCH(H284,GL!$A:$A,0),0))</f>
        <v>0</v>
      </c>
      <c r="J284" s="32" t="str">
        <f aca="false">IF(I284=0,"",INDEX(GL!$B:$B,I284))</f>
        <v/>
      </c>
      <c r="K284" s="5" t="str">
        <f aca="false">IF(I284=0,"",IF(INDEX(GL!$C:$C,I284)="","",INDEX(GL!$C:$C,I284)))</f>
        <v/>
      </c>
      <c r="L284" s="19" t="str">
        <f aca="false">IF(I284=0,"",INDEX(GL!$E:$E,I284))</f>
        <v/>
      </c>
      <c r="M284" s="19" t="str">
        <f aca="false">IF(OR(B284=0,I284=0),"",ROUND(G284-L284,2))</f>
        <v/>
      </c>
      <c r="N284" s="5" t="str">
        <f aca="false">IF(A284="","",IF(B284=0,"NOT FOUND: bank ID",IF(I284=0,"NOT FOUND: GL ID",IF(INDEX(GL!$H:$H,I284)&lt;&gt;A284,"BROKEN: GL points elsewhere",IF(OR(INDEX(Bank!$F:$F,B284)&lt;&gt;"Y",INDEX(GL!$F:$F,I284)&lt;&gt;"Y"),"BROKEN: Status not Y","OK")))))</f>
        <v/>
      </c>
    </row>
    <row r="285" customFormat="false" ht="15" hidden="false" customHeight="false" outlineLevel="0" collapsed="false">
      <c r="A285" s="41"/>
      <c r="B285" s="5" t="n">
        <f aca="false">IF(A285="",0,IFERROR(MATCH(A285,Bank!$A:$A,0),0))</f>
        <v>0</v>
      </c>
      <c r="C285" s="5" t="str">
        <f aca="false">IF(B285=0,"",IF(INDEX(Bank!$G:$G,B285)="","",INDEX(Bank!$G:$G,B285)))</f>
        <v/>
      </c>
      <c r="D285" s="5" t="str">
        <f aca="false">IF(B285=0,"",IF(INDEX(Bank!$J:$J,B285)="","",INDEX(Bank!$J:$J,B285)))</f>
        <v/>
      </c>
      <c r="E285" s="32" t="str">
        <f aca="false">IF(B285=0,"",INDEX(Bank!$B:$B,B285))</f>
        <v/>
      </c>
      <c r="F285" s="5" t="str">
        <f aca="false">IF(B285=0,"",IF(INDEX(Bank!$C:$C,B285)="","",INDEX(Bank!$C:$C,B285)))</f>
        <v/>
      </c>
      <c r="G285" s="19" t="str">
        <f aca="false">IF(B285=0,"",INDEX(Bank!$E:$E,B285))</f>
        <v/>
      </c>
      <c r="H285" s="5" t="str">
        <f aca="false">IF(B285=0,"",IF(INDEX(Bank!$H:$H,B285)="","",INDEX(Bank!$H:$H,B285)))</f>
        <v/>
      </c>
      <c r="I285" s="5" t="n">
        <f aca="false">IF(H285="",0,IFERROR(MATCH(H285,GL!$A:$A,0),0))</f>
        <v>0</v>
      </c>
      <c r="J285" s="32" t="str">
        <f aca="false">IF(I285=0,"",INDEX(GL!$B:$B,I285))</f>
        <v/>
      </c>
      <c r="K285" s="5" t="str">
        <f aca="false">IF(I285=0,"",IF(INDEX(GL!$C:$C,I285)="","",INDEX(GL!$C:$C,I285)))</f>
        <v/>
      </c>
      <c r="L285" s="19" t="str">
        <f aca="false">IF(I285=0,"",INDEX(GL!$E:$E,I285))</f>
        <v/>
      </c>
      <c r="M285" s="19" t="str">
        <f aca="false">IF(OR(B285=0,I285=0),"",ROUND(G285-L285,2))</f>
        <v/>
      </c>
      <c r="N285" s="5" t="str">
        <f aca="false">IF(A285="","",IF(B285=0,"NOT FOUND: bank ID",IF(I285=0,"NOT FOUND: GL ID",IF(INDEX(GL!$H:$H,I285)&lt;&gt;A285,"BROKEN: GL points elsewhere",IF(OR(INDEX(Bank!$F:$F,B285)&lt;&gt;"Y",INDEX(GL!$F:$F,I285)&lt;&gt;"Y"),"BROKEN: Status not Y","OK")))))</f>
        <v/>
      </c>
    </row>
    <row r="286" customFormat="false" ht="15" hidden="false" customHeight="false" outlineLevel="0" collapsed="false">
      <c r="A286" s="41"/>
      <c r="B286" s="5" t="n">
        <f aca="false">IF(A286="",0,IFERROR(MATCH(A286,Bank!$A:$A,0),0))</f>
        <v>0</v>
      </c>
      <c r="C286" s="5" t="str">
        <f aca="false">IF(B286=0,"",IF(INDEX(Bank!$G:$G,B286)="","",INDEX(Bank!$G:$G,B286)))</f>
        <v/>
      </c>
      <c r="D286" s="5" t="str">
        <f aca="false">IF(B286=0,"",IF(INDEX(Bank!$J:$J,B286)="","",INDEX(Bank!$J:$J,B286)))</f>
        <v/>
      </c>
      <c r="E286" s="32" t="str">
        <f aca="false">IF(B286=0,"",INDEX(Bank!$B:$B,B286))</f>
        <v/>
      </c>
      <c r="F286" s="5" t="str">
        <f aca="false">IF(B286=0,"",IF(INDEX(Bank!$C:$C,B286)="","",INDEX(Bank!$C:$C,B286)))</f>
        <v/>
      </c>
      <c r="G286" s="19" t="str">
        <f aca="false">IF(B286=0,"",INDEX(Bank!$E:$E,B286))</f>
        <v/>
      </c>
      <c r="H286" s="5" t="str">
        <f aca="false">IF(B286=0,"",IF(INDEX(Bank!$H:$H,B286)="","",INDEX(Bank!$H:$H,B286)))</f>
        <v/>
      </c>
      <c r="I286" s="5" t="n">
        <f aca="false">IF(H286="",0,IFERROR(MATCH(H286,GL!$A:$A,0),0))</f>
        <v>0</v>
      </c>
      <c r="J286" s="32" t="str">
        <f aca="false">IF(I286=0,"",INDEX(GL!$B:$B,I286))</f>
        <v/>
      </c>
      <c r="K286" s="5" t="str">
        <f aca="false">IF(I286=0,"",IF(INDEX(GL!$C:$C,I286)="","",INDEX(GL!$C:$C,I286)))</f>
        <v/>
      </c>
      <c r="L286" s="19" t="str">
        <f aca="false">IF(I286=0,"",INDEX(GL!$E:$E,I286))</f>
        <v/>
      </c>
      <c r="M286" s="19" t="str">
        <f aca="false">IF(OR(B286=0,I286=0),"",ROUND(G286-L286,2))</f>
        <v/>
      </c>
      <c r="N286" s="5" t="str">
        <f aca="false">IF(A286="","",IF(B286=0,"NOT FOUND: bank ID",IF(I286=0,"NOT FOUND: GL ID",IF(INDEX(GL!$H:$H,I286)&lt;&gt;A286,"BROKEN: GL points elsewhere",IF(OR(INDEX(Bank!$F:$F,B286)&lt;&gt;"Y",INDEX(GL!$F:$F,I286)&lt;&gt;"Y"),"BROKEN: Status not Y","OK")))))</f>
        <v/>
      </c>
    </row>
    <row r="287" customFormat="false" ht="15" hidden="false" customHeight="false" outlineLevel="0" collapsed="false">
      <c r="A287" s="41"/>
      <c r="B287" s="5" t="n">
        <f aca="false">IF(A287="",0,IFERROR(MATCH(A287,Bank!$A:$A,0),0))</f>
        <v>0</v>
      </c>
      <c r="C287" s="5" t="str">
        <f aca="false">IF(B287=0,"",IF(INDEX(Bank!$G:$G,B287)="","",INDEX(Bank!$G:$G,B287)))</f>
        <v/>
      </c>
      <c r="D287" s="5" t="str">
        <f aca="false">IF(B287=0,"",IF(INDEX(Bank!$J:$J,B287)="","",INDEX(Bank!$J:$J,B287)))</f>
        <v/>
      </c>
      <c r="E287" s="32" t="str">
        <f aca="false">IF(B287=0,"",INDEX(Bank!$B:$B,B287))</f>
        <v/>
      </c>
      <c r="F287" s="5" t="str">
        <f aca="false">IF(B287=0,"",IF(INDEX(Bank!$C:$C,B287)="","",INDEX(Bank!$C:$C,B287)))</f>
        <v/>
      </c>
      <c r="G287" s="19" t="str">
        <f aca="false">IF(B287=0,"",INDEX(Bank!$E:$E,B287))</f>
        <v/>
      </c>
      <c r="H287" s="5" t="str">
        <f aca="false">IF(B287=0,"",IF(INDEX(Bank!$H:$H,B287)="","",INDEX(Bank!$H:$H,B287)))</f>
        <v/>
      </c>
      <c r="I287" s="5" t="n">
        <f aca="false">IF(H287="",0,IFERROR(MATCH(H287,GL!$A:$A,0),0))</f>
        <v>0</v>
      </c>
      <c r="J287" s="32" t="str">
        <f aca="false">IF(I287=0,"",INDEX(GL!$B:$B,I287))</f>
        <v/>
      </c>
      <c r="K287" s="5" t="str">
        <f aca="false">IF(I287=0,"",IF(INDEX(GL!$C:$C,I287)="","",INDEX(GL!$C:$C,I287)))</f>
        <v/>
      </c>
      <c r="L287" s="19" t="str">
        <f aca="false">IF(I287=0,"",INDEX(GL!$E:$E,I287))</f>
        <v/>
      </c>
      <c r="M287" s="19" t="str">
        <f aca="false">IF(OR(B287=0,I287=0),"",ROUND(G287-L287,2))</f>
        <v/>
      </c>
      <c r="N287" s="5" t="str">
        <f aca="false">IF(A287="","",IF(B287=0,"NOT FOUND: bank ID",IF(I287=0,"NOT FOUND: GL ID",IF(INDEX(GL!$H:$H,I287)&lt;&gt;A287,"BROKEN: GL points elsewhere",IF(OR(INDEX(Bank!$F:$F,B287)&lt;&gt;"Y",INDEX(GL!$F:$F,I287)&lt;&gt;"Y"),"BROKEN: Status not Y","OK")))))</f>
        <v/>
      </c>
    </row>
    <row r="288" customFormat="false" ht="15" hidden="false" customHeight="false" outlineLevel="0" collapsed="false">
      <c r="A288" s="41"/>
      <c r="B288" s="5" t="n">
        <f aca="false">IF(A288="",0,IFERROR(MATCH(A288,Bank!$A:$A,0),0))</f>
        <v>0</v>
      </c>
      <c r="C288" s="5" t="str">
        <f aca="false">IF(B288=0,"",IF(INDEX(Bank!$G:$G,B288)="","",INDEX(Bank!$G:$G,B288)))</f>
        <v/>
      </c>
      <c r="D288" s="5" t="str">
        <f aca="false">IF(B288=0,"",IF(INDEX(Bank!$J:$J,B288)="","",INDEX(Bank!$J:$J,B288)))</f>
        <v/>
      </c>
      <c r="E288" s="32" t="str">
        <f aca="false">IF(B288=0,"",INDEX(Bank!$B:$B,B288))</f>
        <v/>
      </c>
      <c r="F288" s="5" t="str">
        <f aca="false">IF(B288=0,"",IF(INDEX(Bank!$C:$C,B288)="","",INDEX(Bank!$C:$C,B288)))</f>
        <v/>
      </c>
      <c r="G288" s="19" t="str">
        <f aca="false">IF(B288=0,"",INDEX(Bank!$E:$E,B288))</f>
        <v/>
      </c>
      <c r="H288" s="5" t="str">
        <f aca="false">IF(B288=0,"",IF(INDEX(Bank!$H:$H,B288)="","",INDEX(Bank!$H:$H,B288)))</f>
        <v/>
      </c>
      <c r="I288" s="5" t="n">
        <f aca="false">IF(H288="",0,IFERROR(MATCH(H288,GL!$A:$A,0),0))</f>
        <v>0</v>
      </c>
      <c r="J288" s="32" t="str">
        <f aca="false">IF(I288=0,"",INDEX(GL!$B:$B,I288))</f>
        <v/>
      </c>
      <c r="K288" s="5" t="str">
        <f aca="false">IF(I288=0,"",IF(INDEX(GL!$C:$C,I288)="","",INDEX(GL!$C:$C,I288)))</f>
        <v/>
      </c>
      <c r="L288" s="19" t="str">
        <f aca="false">IF(I288=0,"",INDEX(GL!$E:$E,I288))</f>
        <v/>
      </c>
      <c r="M288" s="19" t="str">
        <f aca="false">IF(OR(B288=0,I288=0),"",ROUND(G288-L288,2))</f>
        <v/>
      </c>
      <c r="N288" s="5" t="str">
        <f aca="false">IF(A288="","",IF(B288=0,"NOT FOUND: bank ID",IF(I288=0,"NOT FOUND: GL ID",IF(INDEX(GL!$H:$H,I288)&lt;&gt;A288,"BROKEN: GL points elsewhere",IF(OR(INDEX(Bank!$F:$F,B288)&lt;&gt;"Y",INDEX(GL!$F:$F,I288)&lt;&gt;"Y"),"BROKEN: Status not Y","OK")))))</f>
        <v/>
      </c>
    </row>
    <row r="289" customFormat="false" ht="15" hidden="false" customHeight="false" outlineLevel="0" collapsed="false">
      <c r="A289" s="41"/>
      <c r="B289" s="5" t="n">
        <f aca="false">IF(A289="",0,IFERROR(MATCH(A289,Bank!$A:$A,0),0))</f>
        <v>0</v>
      </c>
      <c r="C289" s="5" t="str">
        <f aca="false">IF(B289=0,"",IF(INDEX(Bank!$G:$G,B289)="","",INDEX(Bank!$G:$G,B289)))</f>
        <v/>
      </c>
      <c r="D289" s="5" t="str">
        <f aca="false">IF(B289=0,"",IF(INDEX(Bank!$J:$J,B289)="","",INDEX(Bank!$J:$J,B289)))</f>
        <v/>
      </c>
      <c r="E289" s="32" t="str">
        <f aca="false">IF(B289=0,"",INDEX(Bank!$B:$B,B289))</f>
        <v/>
      </c>
      <c r="F289" s="5" t="str">
        <f aca="false">IF(B289=0,"",IF(INDEX(Bank!$C:$C,B289)="","",INDEX(Bank!$C:$C,B289)))</f>
        <v/>
      </c>
      <c r="G289" s="19" t="str">
        <f aca="false">IF(B289=0,"",INDEX(Bank!$E:$E,B289))</f>
        <v/>
      </c>
      <c r="H289" s="5" t="str">
        <f aca="false">IF(B289=0,"",IF(INDEX(Bank!$H:$H,B289)="","",INDEX(Bank!$H:$H,B289)))</f>
        <v/>
      </c>
      <c r="I289" s="5" t="n">
        <f aca="false">IF(H289="",0,IFERROR(MATCH(H289,GL!$A:$A,0),0))</f>
        <v>0</v>
      </c>
      <c r="J289" s="32" t="str">
        <f aca="false">IF(I289=0,"",INDEX(GL!$B:$B,I289))</f>
        <v/>
      </c>
      <c r="K289" s="5" t="str">
        <f aca="false">IF(I289=0,"",IF(INDEX(GL!$C:$C,I289)="","",INDEX(GL!$C:$C,I289)))</f>
        <v/>
      </c>
      <c r="L289" s="19" t="str">
        <f aca="false">IF(I289=0,"",INDEX(GL!$E:$E,I289))</f>
        <v/>
      </c>
      <c r="M289" s="19" t="str">
        <f aca="false">IF(OR(B289=0,I289=0),"",ROUND(G289-L289,2))</f>
        <v/>
      </c>
      <c r="N289" s="5" t="str">
        <f aca="false">IF(A289="","",IF(B289=0,"NOT FOUND: bank ID",IF(I289=0,"NOT FOUND: GL ID",IF(INDEX(GL!$H:$H,I289)&lt;&gt;A289,"BROKEN: GL points elsewhere",IF(OR(INDEX(Bank!$F:$F,B289)&lt;&gt;"Y",INDEX(GL!$F:$F,I289)&lt;&gt;"Y"),"BROKEN: Status not Y","OK")))))</f>
        <v/>
      </c>
    </row>
    <row r="290" customFormat="false" ht="15" hidden="false" customHeight="false" outlineLevel="0" collapsed="false">
      <c r="A290" s="41"/>
      <c r="B290" s="5" t="n">
        <f aca="false">IF(A290="",0,IFERROR(MATCH(A290,Bank!$A:$A,0),0))</f>
        <v>0</v>
      </c>
      <c r="C290" s="5" t="str">
        <f aca="false">IF(B290=0,"",IF(INDEX(Bank!$G:$G,B290)="","",INDEX(Bank!$G:$G,B290)))</f>
        <v/>
      </c>
      <c r="D290" s="5" t="str">
        <f aca="false">IF(B290=0,"",IF(INDEX(Bank!$J:$J,B290)="","",INDEX(Bank!$J:$J,B290)))</f>
        <v/>
      </c>
      <c r="E290" s="32" t="str">
        <f aca="false">IF(B290=0,"",INDEX(Bank!$B:$B,B290))</f>
        <v/>
      </c>
      <c r="F290" s="5" t="str">
        <f aca="false">IF(B290=0,"",IF(INDEX(Bank!$C:$C,B290)="","",INDEX(Bank!$C:$C,B290)))</f>
        <v/>
      </c>
      <c r="G290" s="19" t="str">
        <f aca="false">IF(B290=0,"",INDEX(Bank!$E:$E,B290))</f>
        <v/>
      </c>
      <c r="H290" s="5" t="str">
        <f aca="false">IF(B290=0,"",IF(INDEX(Bank!$H:$H,B290)="","",INDEX(Bank!$H:$H,B290)))</f>
        <v/>
      </c>
      <c r="I290" s="5" t="n">
        <f aca="false">IF(H290="",0,IFERROR(MATCH(H290,GL!$A:$A,0),0))</f>
        <v>0</v>
      </c>
      <c r="J290" s="32" t="str">
        <f aca="false">IF(I290=0,"",INDEX(GL!$B:$B,I290))</f>
        <v/>
      </c>
      <c r="K290" s="5" t="str">
        <f aca="false">IF(I290=0,"",IF(INDEX(GL!$C:$C,I290)="","",INDEX(GL!$C:$C,I290)))</f>
        <v/>
      </c>
      <c r="L290" s="19" t="str">
        <f aca="false">IF(I290=0,"",INDEX(GL!$E:$E,I290))</f>
        <v/>
      </c>
      <c r="M290" s="19" t="str">
        <f aca="false">IF(OR(B290=0,I290=0),"",ROUND(G290-L290,2))</f>
        <v/>
      </c>
      <c r="N290" s="5" t="str">
        <f aca="false">IF(A290="","",IF(B290=0,"NOT FOUND: bank ID",IF(I290=0,"NOT FOUND: GL ID",IF(INDEX(GL!$H:$H,I290)&lt;&gt;A290,"BROKEN: GL points elsewhere",IF(OR(INDEX(Bank!$F:$F,B290)&lt;&gt;"Y",INDEX(GL!$F:$F,I290)&lt;&gt;"Y"),"BROKEN: Status not Y","OK")))))</f>
        <v/>
      </c>
    </row>
    <row r="291" customFormat="false" ht="15" hidden="false" customHeight="false" outlineLevel="0" collapsed="false">
      <c r="A291" s="41"/>
      <c r="B291" s="5" t="n">
        <f aca="false">IF(A291="",0,IFERROR(MATCH(A291,Bank!$A:$A,0),0))</f>
        <v>0</v>
      </c>
      <c r="C291" s="5" t="str">
        <f aca="false">IF(B291=0,"",IF(INDEX(Bank!$G:$G,B291)="","",INDEX(Bank!$G:$G,B291)))</f>
        <v/>
      </c>
      <c r="D291" s="5" t="str">
        <f aca="false">IF(B291=0,"",IF(INDEX(Bank!$J:$J,B291)="","",INDEX(Bank!$J:$J,B291)))</f>
        <v/>
      </c>
      <c r="E291" s="32" t="str">
        <f aca="false">IF(B291=0,"",INDEX(Bank!$B:$B,B291))</f>
        <v/>
      </c>
      <c r="F291" s="5" t="str">
        <f aca="false">IF(B291=0,"",IF(INDEX(Bank!$C:$C,B291)="","",INDEX(Bank!$C:$C,B291)))</f>
        <v/>
      </c>
      <c r="G291" s="19" t="str">
        <f aca="false">IF(B291=0,"",INDEX(Bank!$E:$E,B291))</f>
        <v/>
      </c>
      <c r="H291" s="5" t="str">
        <f aca="false">IF(B291=0,"",IF(INDEX(Bank!$H:$H,B291)="","",INDEX(Bank!$H:$H,B291)))</f>
        <v/>
      </c>
      <c r="I291" s="5" t="n">
        <f aca="false">IF(H291="",0,IFERROR(MATCH(H291,GL!$A:$A,0),0))</f>
        <v>0</v>
      </c>
      <c r="J291" s="32" t="str">
        <f aca="false">IF(I291=0,"",INDEX(GL!$B:$B,I291))</f>
        <v/>
      </c>
      <c r="K291" s="5" t="str">
        <f aca="false">IF(I291=0,"",IF(INDEX(GL!$C:$C,I291)="","",INDEX(GL!$C:$C,I291)))</f>
        <v/>
      </c>
      <c r="L291" s="19" t="str">
        <f aca="false">IF(I291=0,"",INDEX(GL!$E:$E,I291))</f>
        <v/>
      </c>
      <c r="M291" s="19" t="str">
        <f aca="false">IF(OR(B291=0,I291=0),"",ROUND(G291-L291,2))</f>
        <v/>
      </c>
      <c r="N291" s="5" t="str">
        <f aca="false">IF(A291="","",IF(B291=0,"NOT FOUND: bank ID",IF(I291=0,"NOT FOUND: GL ID",IF(INDEX(GL!$H:$H,I291)&lt;&gt;A291,"BROKEN: GL points elsewhere",IF(OR(INDEX(Bank!$F:$F,B291)&lt;&gt;"Y",INDEX(GL!$F:$F,I291)&lt;&gt;"Y"),"BROKEN: Status not Y","OK")))))</f>
        <v/>
      </c>
    </row>
    <row r="292" customFormat="false" ht="15" hidden="false" customHeight="false" outlineLevel="0" collapsed="false">
      <c r="A292" s="41"/>
      <c r="B292" s="5" t="n">
        <f aca="false">IF(A292="",0,IFERROR(MATCH(A292,Bank!$A:$A,0),0))</f>
        <v>0</v>
      </c>
      <c r="C292" s="5" t="str">
        <f aca="false">IF(B292=0,"",IF(INDEX(Bank!$G:$G,B292)="","",INDEX(Bank!$G:$G,B292)))</f>
        <v/>
      </c>
      <c r="D292" s="5" t="str">
        <f aca="false">IF(B292=0,"",IF(INDEX(Bank!$J:$J,B292)="","",INDEX(Bank!$J:$J,B292)))</f>
        <v/>
      </c>
      <c r="E292" s="32" t="str">
        <f aca="false">IF(B292=0,"",INDEX(Bank!$B:$B,B292))</f>
        <v/>
      </c>
      <c r="F292" s="5" t="str">
        <f aca="false">IF(B292=0,"",IF(INDEX(Bank!$C:$C,B292)="","",INDEX(Bank!$C:$C,B292)))</f>
        <v/>
      </c>
      <c r="G292" s="19" t="str">
        <f aca="false">IF(B292=0,"",INDEX(Bank!$E:$E,B292))</f>
        <v/>
      </c>
      <c r="H292" s="5" t="str">
        <f aca="false">IF(B292=0,"",IF(INDEX(Bank!$H:$H,B292)="","",INDEX(Bank!$H:$H,B292)))</f>
        <v/>
      </c>
      <c r="I292" s="5" t="n">
        <f aca="false">IF(H292="",0,IFERROR(MATCH(H292,GL!$A:$A,0),0))</f>
        <v>0</v>
      </c>
      <c r="J292" s="32" t="str">
        <f aca="false">IF(I292=0,"",INDEX(GL!$B:$B,I292))</f>
        <v/>
      </c>
      <c r="K292" s="5" t="str">
        <f aca="false">IF(I292=0,"",IF(INDEX(GL!$C:$C,I292)="","",INDEX(GL!$C:$C,I292)))</f>
        <v/>
      </c>
      <c r="L292" s="19" t="str">
        <f aca="false">IF(I292=0,"",INDEX(GL!$E:$E,I292))</f>
        <v/>
      </c>
      <c r="M292" s="19" t="str">
        <f aca="false">IF(OR(B292=0,I292=0),"",ROUND(G292-L292,2))</f>
        <v/>
      </c>
      <c r="N292" s="5" t="str">
        <f aca="false">IF(A292="","",IF(B292=0,"NOT FOUND: bank ID",IF(I292=0,"NOT FOUND: GL ID",IF(INDEX(GL!$H:$H,I292)&lt;&gt;A292,"BROKEN: GL points elsewhere",IF(OR(INDEX(Bank!$F:$F,B292)&lt;&gt;"Y",INDEX(GL!$F:$F,I292)&lt;&gt;"Y"),"BROKEN: Status not Y","OK")))))</f>
        <v/>
      </c>
    </row>
    <row r="293" customFormat="false" ht="15" hidden="false" customHeight="false" outlineLevel="0" collapsed="false">
      <c r="A293" s="41"/>
      <c r="B293" s="5" t="n">
        <f aca="false">IF(A293="",0,IFERROR(MATCH(A293,Bank!$A:$A,0),0))</f>
        <v>0</v>
      </c>
      <c r="C293" s="5" t="str">
        <f aca="false">IF(B293=0,"",IF(INDEX(Bank!$G:$G,B293)="","",INDEX(Bank!$G:$G,B293)))</f>
        <v/>
      </c>
      <c r="D293" s="5" t="str">
        <f aca="false">IF(B293=0,"",IF(INDEX(Bank!$J:$J,B293)="","",INDEX(Bank!$J:$J,B293)))</f>
        <v/>
      </c>
      <c r="E293" s="32" t="str">
        <f aca="false">IF(B293=0,"",INDEX(Bank!$B:$B,B293))</f>
        <v/>
      </c>
      <c r="F293" s="5" t="str">
        <f aca="false">IF(B293=0,"",IF(INDEX(Bank!$C:$C,B293)="","",INDEX(Bank!$C:$C,B293)))</f>
        <v/>
      </c>
      <c r="G293" s="19" t="str">
        <f aca="false">IF(B293=0,"",INDEX(Bank!$E:$E,B293))</f>
        <v/>
      </c>
      <c r="H293" s="5" t="str">
        <f aca="false">IF(B293=0,"",IF(INDEX(Bank!$H:$H,B293)="","",INDEX(Bank!$H:$H,B293)))</f>
        <v/>
      </c>
      <c r="I293" s="5" t="n">
        <f aca="false">IF(H293="",0,IFERROR(MATCH(H293,GL!$A:$A,0),0))</f>
        <v>0</v>
      </c>
      <c r="J293" s="32" t="str">
        <f aca="false">IF(I293=0,"",INDEX(GL!$B:$B,I293))</f>
        <v/>
      </c>
      <c r="K293" s="5" t="str">
        <f aca="false">IF(I293=0,"",IF(INDEX(GL!$C:$C,I293)="","",INDEX(GL!$C:$C,I293)))</f>
        <v/>
      </c>
      <c r="L293" s="19" t="str">
        <f aca="false">IF(I293=0,"",INDEX(GL!$E:$E,I293))</f>
        <v/>
      </c>
      <c r="M293" s="19" t="str">
        <f aca="false">IF(OR(B293=0,I293=0),"",ROUND(G293-L293,2))</f>
        <v/>
      </c>
      <c r="N293" s="5" t="str">
        <f aca="false">IF(A293="","",IF(B293=0,"NOT FOUND: bank ID",IF(I293=0,"NOT FOUND: GL ID",IF(INDEX(GL!$H:$H,I293)&lt;&gt;A293,"BROKEN: GL points elsewhere",IF(OR(INDEX(Bank!$F:$F,B293)&lt;&gt;"Y",INDEX(GL!$F:$F,I293)&lt;&gt;"Y"),"BROKEN: Status not Y","OK")))))</f>
        <v/>
      </c>
    </row>
    <row r="294" customFormat="false" ht="15" hidden="false" customHeight="false" outlineLevel="0" collapsed="false">
      <c r="A294" s="41"/>
      <c r="B294" s="5" t="n">
        <f aca="false">IF(A294="",0,IFERROR(MATCH(A294,Bank!$A:$A,0),0))</f>
        <v>0</v>
      </c>
      <c r="C294" s="5" t="str">
        <f aca="false">IF(B294=0,"",IF(INDEX(Bank!$G:$G,B294)="","",INDEX(Bank!$G:$G,B294)))</f>
        <v/>
      </c>
      <c r="D294" s="5" t="str">
        <f aca="false">IF(B294=0,"",IF(INDEX(Bank!$J:$J,B294)="","",INDEX(Bank!$J:$J,B294)))</f>
        <v/>
      </c>
      <c r="E294" s="32" t="str">
        <f aca="false">IF(B294=0,"",INDEX(Bank!$B:$B,B294))</f>
        <v/>
      </c>
      <c r="F294" s="5" t="str">
        <f aca="false">IF(B294=0,"",IF(INDEX(Bank!$C:$C,B294)="","",INDEX(Bank!$C:$C,B294)))</f>
        <v/>
      </c>
      <c r="G294" s="19" t="str">
        <f aca="false">IF(B294=0,"",INDEX(Bank!$E:$E,B294))</f>
        <v/>
      </c>
      <c r="H294" s="5" t="str">
        <f aca="false">IF(B294=0,"",IF(INDEX(Bank!$H:$H,B294)="","",INDEX(Bank!$H:$H,B294)))</f>
        <v/>
      </c>
      <c r="I294" s="5" t="n">
        <f aca="false">IF(H294="",0,IFERROR(MATCH(H294,GL!$A:$A,0),0))</f>
        <v>0</v>
      </c>
      <c r="J294" s="32" t="str">
        <f aca="false">IF(I294=0,"",INDEX(GL!$B:$B,I294))</f>
        <v/>
      </c>
      <c r="K294" s="5" t="str">
        <f aca="false">IF(I294=0,"",IF(INDEX(GL!$C:$C,I294)="","",INDEX(GL!$C:$C,I294)))</f>
        <v/>
      </c>
      <c r="L294" s="19" t="str">
        <f aca="false">IF(I294=0,"",INDEX(GL!$E:$E,I294))</f>
        <v/>
      </c>
      <c r="M294" s="19" t="str">
        <f aca="false">IF(OR(B294=0,I294=0),"",ROUND(G294-L294,2))</f>
        <v/>
      </c>
      <c r="N294" s="5" t="str">
        <f aca="false">IF(A294="","",IF(B294=0,"NOT FOUND: bank ID",IF(I294=0,"NOT FOUND: GL ID",IF(INDEX(GL!$H:$H,I294)&lt;&gt;A294,"BROKEN: GL points elsewhere",IF(OR(INDEX(Bank!$F:$F,B294)&lt;&gt;"Y",INDEX(GL!$F:$F,I294)&lt;&gt;"Y"),"BROKEN: Status not Y","OK")))))</f>
        <v/>
      </c>
    </row>
    <row r="295" customFormat="false" ht="15" hidden="false" customHeight="false" outlineLevel="0" collapsed="false">
      <c r="A295" s="41"/>
      <c r="B295" s="5" t="n">
        <f aca="false">IF(A295="",0,IFERROR(MATCH(A295,Bank!$A:$A,0),0))</f>
        <v>0</v>
      </c>
      <c r="C295" s="5" t="str">
        <f aca="false">IF(B295=0,"",IF(INDEX(Bank!$G:$G,B295)="","",INDEX(Bank!$G:$G,B295)))</f>
        <v/>
      </c>
      <c r="D295" s="5" t="str">
        <f aca="false">IF(B295=0,"",IF(INDEX(Bank!$J:$J,B295)="","",INDEX(Bank!$J:$J,B295)))</f>
        <v/>
      </c>
      <c r="E295" s="32" t="str">
        <f aca="false">IF(B295=0,"",INDEX(Bank!$B:$B,B295))</f>
        <v/>
      </c>
      <c r="F295" s="5" t="str">
        <f aca="false">IF(B295=0,"",IF(INDEX(Bank!$C:$C,B295)="","",INDEX(Bank!$C:$C,B295)))</f>
        <v/>
      </c>
      <c r="G295" s="19" t="str">
        <f aca="false">IF(B295=0,"",INDEX(Bank!$E:$E,B295))</f>
        <v/>
      </c>
      <c r="H295" s="5" t="str">
        <f aca="false">IF(B295=0,"",IF(INDEX(Bank!$H:$H,B295)="","",INDEX(Bank!$H:$H,B295)))</f>
        <v/>
      </c>
      <c r="I295" s="5" t="n">
        <f aca="false">IF(H295="",0,IFERROR(MATCH(H295,GL!$A:$A,0),0))</f>
        <v>0</v>
      </c>
      <c r="J295" s="32" t="str">
        <f aca="false">IF(I295=0,"",INDEX(GL!$B:$B,I295))</f>
        <v/>
      </c>
      <c r="K295" s="5" t="str">
        <f aca="false">IF(I295=0,"",IF(INDEX(GL!$C:$C,I295)="","",INDEX(GL!$C:$C,I295)))</f>
        <v/>
      </c>
      <c r="L295" s="19" t="str">
        <f aca="false">IF(I295=0,"",INDEX(GL!$E:$E,I295))</f>
        <v/>
      </c>
      <c r="M295" s="19" t="str">
        <f aca="false">IF(OR(B295=0,I295=0),"",ROUND(G295-L295,2))</f>
        <v/>
      </c>
      <c r="N295" s="5" t="str">
        <f aca="false">IF(A295="","",IF(B295=0,"NOT FOUND: bank ID",IF(I295=0,"NOT FOUND: GL ID",IF(INDEX(GL!$H:$H,I295)&lt;&gt;A295,"BROKEN: GL points elsewhere",IF(OR(INDEX(Bank!$F:$F,B295)&lt;&gt;"Y",INDEX(GL!$F:$F,I295)&lt;&gt;"Y"),"BROKEN: Status not Y","OK")))))</f>
        <v/>
      </c>
    </row>
    <row r="296" customFormat="false" ht="15" hidden="false" customHeight="false" outlineLevel="0" collapsed="false">
      <c r="A296" s="41"/>
      <c r="B296" s="5" t="n">
        <f aca="false">IF(A296="",0,IFERROR(MATCH(A296,Bank!$A:$A,0),0))</f>
        <v>0</v>
      </c>
      <c r="C296" s="5" t="str">
        <f aca="false">IF(B296=0,"",IF(INDEX(Bank!$G:$G,B296)="","",INDEX(Bank!$G:$G,B296)))</f>
        <v/>
      </c>
      <c r="D296" s="5" t="str">
        <f aca="false">IF(B296=0,"",IF(INDEX(Bank!$J:$J,B296)="","",INDEX(Bank!$J:$J,B296)))</f>
        <v/>
      </c>
      <c r="E296" s="32" t="str">
        <f aca="false">IF(B296=0,"",INDEX(Bank!$B:$B,B296))</f>
        <v/>
      </c>
      <c r="F296" s="5" t="str">
        <f aca="false">IF(B296=0,"",IF(INDEX(Bank!$C:$C,B296)="","",INDEX(Bank!$C:$C,B296)))</f>
        <v/>
      </c>
      <c r="G296" s="19" t="str">
        <f aca="false">IF(B296=0,"",INDEX(Bank!$E:$E,B296))</f>
        <v/>
      </c>
      <c r="H296" s="5" t="str">
        <f aca="false">IF(B296=0,"",IF(INDEX(Bank!$H:$H,B296)="","",INDEX(Bank!$H:$H,B296)))</f>
        <v/>
      </c>
      <c r="I296" s="5" t="n">
        <f aca="false">IF(H296="",0,IFERROR(MATCH(H296,GL!$A:$A,0),0))</f>
        <v>0</v>
      </c>
      <c r="J296" s="32" t="str">
        <f aca="false">IF(I296=0,"",INDEX(GL!$B:$B,I296))</f>
        <v/>
      </c>
      <c r="K296" s="5" t="str">
        <f aca="false">IF(I296=0,"",IF(INDEX(GL!$C:$C,I296)="","",INDEX(GL!$C:$C,I296)))</f>
        <v/>
      </c>
      <c r="L296" s="19" t="str">
        <f aca="false">IF(I296=0,"",INDEX(GL!$E:$E,I296))</f>
        <v/>
      </c>
      <c r="M296" s="19" t="str">
        <f aca="false">IF(OR(B296=0,I296=0),"",ROUND(G296-L296,2))</f>
        <v/>
      </c>
      <c r="N296" s="5" t="str">
        <f aca="false">IF(A296="","",IF(B296=0,"NOT FOUND: bank ID",IF(I296=0,"NOT FOUND: GL ID",IF(INDEX(GL!$H:$H,I296)&lt;&gt;A296,"BROKEN: GL points elsewhere",IF(OR(INDEX(Bank!$F:$F,B296)&lt;&gt;"Y",INDEX(GL!$F:$F,I296)&lt;&gt;"Y"),"BROKEN: Status not Y","OK")))))</f>
        <v/>
      </c>
    </row>
    <row r="297" customFormat="false" ht="15" hidden="false" customHeight="false" outlineLevel="0" collapsed="false">
      <c r="A297" s="41"/>
      <c r="B297" s="5" t="n">
        <f aca="false">IF(A297="",0,IFERROR(MATCH(A297,Bank!$A:$A,0),0))</f>
        <v>0</v>
      </c>
      <c r="C297" s="5" t="str">
        <f aca="false">IF(B297=0,"",IF(INDEX(Bank!$G:$G,B297)="","",INDEX(Bank!$G:$G,B297)))</f>
        <v/>
      </c>
      <c r="D297" s="5" t="str">
        <f aca="false">IF(B297=0,"",IF(INDEX(Bank!$J:$J,B297)="","",INDEX(Bank!$J:$J,B297)))</f>
        <v/>
      </c>
      <c r="E297" s="32" t="str">
        <f aca="false">IF(B297=0,"",INDEX(Bank!$B:$B,B297))</f>
        <v/>
      </c>
      <c r="F297" s="5" t="str">
        <f aca="false">IF(B297=0,"",IF(INDEX(Bank!$C:$C,B297)="","",INDEX(Bank!$C:$C,B297)))</f>
        <v/>
      </c>
      <c r="G297" s="19" t="str">
        <f aca="false">IF(B297=0,"",INDEX(Bank!$E:$E,B297))</f>
        <v/>
      </c>
      <c r="H297" s="5" t="str">
        <f aca="false">IF(B297=0,"",IF(INDEX(Bank!$H:$H,B297)="","",INDEX(Bank!$H:$H,B297)))</f>
        <v/>
      </c>
      <c r="I297" s="5" t="n">
        <f aca="false">IF(H297="",0,IFERROR(MATCH(H297,GL!$A:$A,0),0))</f>
        <v>0</v>
      </c>
      <c r="J297" s="32" t="str">
        <f aca="false">IF(I297=0,"",INDEX(GL!$B:$B,I297))</f>
        <v/>
      </c>
      <c r="K297" s="5" t="str">
        <f aca="false">IF(I297=0,"",IF(INDEX(GL!$C:$C,I297)="","",INDEX(GL!$C:$C,I297)))</f>
        <v/>
      </c>
      <c r="L297" s="19" t="str">
        <f aca="false">IF(I297=0,"",INDEX(GL!$E:$E,I297))</f>
        <v/>
      </c>
      <c r="M297" s="19" t="str">
        <f aca="false">IF(OR(B297=0,I297=0),"",ROUND(G297-L297,2))</f>
        <v/>
      </c>
      <c r="N297" s="5" t="str">
        <f aca="false">IF(A297="","",IF(B297=0,"NOT FOUND: bank ID",IF(I297=0,"NOT FOUND: GL ID",IF(INDEX(GL!$H:$H,I297)&lt;&gt;A297,"BROKEN: GL points elsewhere",IF(OR(INDEX(Bank!$F:$F,B297)&lt;&gt;"Y",INDEX(GL!$F:$F,I297)&lt;&gt;"Y"),"BROKEN: Status not Y","OK")))))</f>
        <v/>
      </c>
    </row>
    <row r="298" customFormat="false" ht="15" hidden="false" customHeight="false" outlineLevel="0" collapsed="false">
      <c r="A298" s="41"/>
      <c r="B298" s="5" t="n">
        <f aca="false">IF(A298="",0,IFERROR(MATCH(A298,Bank!$A:$A,0),0))</f>
        <v>0</v>
      </c>
      <c r="C298" s="5" t="str">
        <f aca="false">IF(B298=0,"",IF(INDEX(Bank!$G:$G,B298)="","",INDEX(Bank!$G:$G,B298)))</f>
        <v/>
      </c>
      <c r="D298" s="5" t="str">
        <f aca="false">IF(B298=0,"",IF(INDEX(Bank!$J:$J,B298)="","",INDEX(Bank!$J:$J,B298)))</f>
        <v/>
      </c>
      <c r="E298" s="32" t="str">
        <f aca="false">IF(B298=0,"",INDEX(Bank!$B:$B,B298))</f>
        <v/>
      </c>
      <c r="F298" s="5" t="str">
        <f aca="false">IF(B298=0,"",IF(INDEX(Bank!$C:$C,B298)="","",INDEX(Bank!$C:$C,B298)))</f>
        <v/>
      </c>
      <c r="G298" s="19" t="str">
        <f aca="false">IF(B298=0,"",INDEX(Bank!$E:$E,B298))</f>
        <v/>
      </c>
      <c r="H298" s="5" t="str">
        <f aca="false">IF(B298=0,"",IF(INDEX(Bank!$H:$H,B298)="","",INDEX(Bank!$H:$H,B298)))</f>
        <v/>
      </c>
      <c r="I298" s="5" t="n">
        <f aca="false">IF(H298="",0,IFERROR(MATCH(H298,GL!$A:$A,0),0))</f>
        <v>0</v>
      </c>
      <c r="J298" s="32" t="str">
        <f aca="false">IF(I298=0,"",INDEX(GL!$B:$B,I298))</f>
        <v/>
      </c>
      <c r="K298" s="5" t="str">
        <f aca="false">IF(I298=0,"",IF(INDEX(GL!$C:$C,I298)="","",INDEX(GL!$C:$C,I298)))</f>
        <v/>
      </c>
      <c r="L298" s="19" t="str">
        <f aca="false">IF(I298=0,"",INDEX(GL!$E:$E,I298))</f>
        <v/>
      </c>
      <c r="M298" s="19" t="str">
        <f aca="false">IF(OR(B298=0,I298=0),"",ROUND(G298-L298,2))</f>
        <v/>
      </c>
      <c r="N298" s="5" t="str">
        <f aca="false">IF(A298="","",IF(B298=0,"NOT FOUND: bank ID",IF(I298=0,"NOT FOUND: GL ID",IF(INDEX(GL!$H:$H,I298)&lt;&gt;A298,"BROKEN: GL points elsewhere",IF(OR(INDEX(Bank!$F:$F,B298)&lt;&gt;"Y",INDEX(GL!$F:$F,I298)&lt;&gt;"Y"),"BROKEN: Status not Y","OK")))))</f>
        <v/>
      </c>
    </row>
    <row r="299" customFormat="false" ht="15" hidden="false" customHeight="false" outlineLevel="0" collapsed="false">
      <c r="A299" s="41"/>
      <c r="B299" s="5" t="n">
        <f aca="false">IF(A299="",0,IFERROR(MATCH(A299,Bank!$A:$A,0),0))</f>
        <v>0</v>
      </c>
      <c r="C299" s="5" t="str">
        <f aca="false">IF(B299=0,"",IF(INDEX(Bank!$G:$G,B299)="","",INDEX(Bank!$G:$G,B299)))</f>
        <v/>
      </c>
      <c r="D299" s="5" t="str">
        <f aca="false">IF(B299=0,"",IF(INDEX(Bank!$J:$J,B299)="","",INDEX(Bank!$J:$J,B299)))</f>
        <v/>
      </c>
      <c r="E299" s="32" t="str">
        <f aca="false">IF(B299=0,"",INDEX(Bank!$B:$B,B299))</f>
        <v/>
      </c>
      <c r="F299" s="5" t="str">
        <f aca="false">IF(B299=0,"",IF(INDEX(Bank!$C:$C,B299)="","",INDEX(Bank!$C:$C,B299)))</f>
        <v/>
      </c>
      <c r="G299" s="19" t="str">
        <f aca="false">IF(B299=0,"",INDEX(Bank!$E:$E,B299))</f>
        <v/>
      </c>
      <c r="H299" s="5" t="str">
        <f aca="false">IF(B299=0,"",IF(INDEX(Bank!$H:$H,B299)="","",INDEX(Bank!$H:$H,B299)))</f>
        <v/>
      </c>
      <c r="I299" s="5" t="n">
        <f aca="false">IF(H299="",0,IFERROR(MATCH(H299,GL!$A:$A,0),0))</f>
        <v>0</v>
      </c>
      <c r="J299" s="32" t="str">
        <f aca="false">IF(I299=0,"",INDEX(GL!$B:$B,I299))</f>
        <v/>
      </c>
      <c r="K299" s="5" t="str">
        <f aca="false">IF(I299=0,"",IF(INDEX(GL!$C:$C,I299)="","",INDEX(GL!$C:$C,I299)))</f>
        <v/>
      </c>
      <c r="L299" s="19" t="str">
        <f aca="false">IF(I299=0,"",INDEX(GL!$E:$E,I299))</f>
        <v/>
      </c>
      <c r="M299" s="19" t="str">
        <f aca="false">IF(OR(B299=0,I299=0),"",ROUND(G299-L299,2))</f>
        <v/>
      </c>
      <c r="N299" s="5" t="str">
        <f aca="false">IF(A299="","",IF(B299=0,"NOT FOUND: bank ID",IF(I299=0,"NOT FOUND: GL ID",IF(INDEX(GL!$H:$H,I299)&lt;&gt;A299,"BROKEN: GL points elsewhere",IF(OR(INDEX(Bank!$F:$F,B299)&lt;&gt;"Y",INDEX(GL!$F:$F,I299)&lt;&gt;"Y"),"BROKEN: Status not Y","OK")))))</f>
        <v/>
      </c>
    </row>
    <row r="300" customFormat="false" ht="15" hidden="false" customHeight="false" outlineLevel="0" collapsed="false">
      <c r="A300" s="41"/>
      <c r="B300" s="5" t="n">
        <f aca="false">IF(A300="",0,IFERROR(MATCH(A300,Bank!$A:$A,0),0))</f>
        <v>0</v>
      </c>
      <c r="C300" s="5" t="str">
        <f aca="false">IF(B300=0,"",IF(INDEX(Bank!$G:$G,B300)="","",INDEX(Bank!$G:$G,B300)))</f>
        <v/>
      </c>
      <c r="D300" s="5" t="str">
        <f aca="false">IF(B300=0,"",IF(INDEX(Bank!$J:$J,B300)="","",INDEX(Bank!$J:$J,B300)))</f>
        <v/>
      </c>
      <c r="E300" s="32" t="str">
        <f aca="false">IF(B300=0,"",INDEX(Bank!$B:$B,B300))</f>
        <v/>
      </c>
      <c r="F300" s="5" t="str">
        <f aca="false">IF(B300=0,"",IF(INDEX(Bank!$C:$C,B300)="","",INDEX(Bank!$C:$C,B300)))</f>
        <v/>
      </c>
      <c r="G300" s="19" t="str">
        <f aca="false">IF(B300=0,"",INDEX(Bank!$E:$E,B300))</f>
        <v/>
      </c>
      <c r="H300" s="5" t="str">
        <f aca="false">IF(B300=0,"",IF(INDEX(Bank!$H:$H,B300)="","",INDEX(Bank!$H:$H,B300)))</f>
        <v/>
      </c>
      <c r="I300" s="5" t="n">
        <f aca="false">IF(H300="",0,IFERROR(MATCH(H300,GL!$A:$A,0),0))</f>
        <v>0</v>
      </c>
      <c r="J300" s="32" t="str">
        <f aca="false">IF(I300=0,"",INDEX(GL!$B:$B,I300))</f>
        <v/>
      </c>
      <c r="K300" s="5" t="str">
        <f aca="false">IF(I300=0,"",IF(INDEX(GL!$C:$C,I300)="","",INDEX(GL!$C:$C,I300)))</f>
        <v/>
      </c>
      <c r="L300" s="19" t="str">
        <f aca="false">IF(I300=0,"",INDEX(GL!$E:$E,I300))</f>
        <v/>
      </c>
      <c r="M300" s="19" t="str">
        <f aca="false">IF(OR(B300=0,I300=0),"",ROUND(G300-L300,2))</f>
        <v/>
      </c>
      <c r="N300" s="5" t="str">
        <f aca="false">IF(A300="","",IF(B300=0,"NOT FOUND: bank ID",IF(I300=0,"NOT FOUND: GL ID",IF(INDEX(GL!$H:$H,I300)&lt;&gt;A300,"BROKEN: GL points elsewhere",IF(OR(INDEX(Bank!$F:$F,B300)&lt;&gt;"Y",INDEX(GL!$F:$F,I300)&lt;&gt;"Y"),"BROKEN: Status not Y","OK")))))</f>
        <v/>
      </c>
    </row>
    <row r="301" customFormat="false" ht="15" hidden="false" customHeight="false" outlineLevel="0" collapsed="false">
      <c r="A301" s="41"/>
      <c r="B301" s="5" t="n">
        <f aca="false">IF(A301="",0,IFERROR(MATCH(A301,Bank!$A:$A,0),0))</f>
        <v>0</v>
      </c>
      <c r="C301" s="5" t="str">
        <f aca="false">IF(B301=0,"",IF(INDEX(Bank!$G:$G,B301)="","",INDEX(Bank!$G:$G,B301)))</f>
        <v/>
      </c>
      <c r="D301" s="5" t="str">
        <f aca="false">IF(B301=0,"",IF(INDEX(Bank!$J:$J,B301)="","",INDEX(Bank!$J:$J,B301)))</f>
        <v/>
      </c>
      <c r="E301" s="32" t="str">
        <f aca="false">IF(B301=0,"",INDEX(Bank!$B:$B,B301))</f>
        <v/>
      </c>
      <c r="F301" s="5" t="str">
        <f aca="false">IF(B301=0,"",IF(INDEX(Bank!$C:$C,B301)="","",INDEX(Bank!$C:$C,B301)))</f>
        <v/>
      </c>
      <c r="G301" s="19" t="str">
        <f aca="false">IF(B301=0,"",INDEX(Bank!$E:$E,B301))</f>
        <v/>
      </c>
      <c r="H301" s="5" t="str">
        <f aca="false">IF(B301=0,"",IF(INDEX(Bank!$H:$H,B301)="","",INDEX(Bank!$H:$H,B301)))</f>
        <v/>
      </c>
      <c r="I301" s="5" t="n">
        <f aca="false">IF(H301="",0,IFERROR(MATCH(H301,GL!$A:$A,0),0))</f>
        <v>0</v>
      </c>
      <c r="J301" s="32" t="str">
        <f aca="false">IF(I301=0,"",INDEX(GL!$B:$B,I301))</f>
        <v/>
      </c>
      <c r="K301" s="5" t="str">
        <f aca="false">IF(I301=0,"",IF(INDEX(GL!$C:$C,I301)="","",INDEX(GL!$C:$C,I301)))</f>
        <v/>
      </c>
      <c r="L301" s="19" t="str">
        <f aca="false">IF(I301=0,"",INDEX(GL!$E:$E,I301))</f>
        <v/>
      </c>
      <c r="M301" s="19" t="str">
        <f aca="false">IF(OR(B301=0,I301=0),"",ROUND(G301-L301,2))</f>
        <v/>
      </c>
      <c r="N301" s="5" t="str">
        <f aca="false">IF(A301="","",IF(B301=0,"NOT FOUND: bank ID",IF(I301=0,"NOT FOUND: GL ID",IF(INDEX(GL!$H:$H,I301)&lt;&gt;A301,"BROKEN: GL points elsewhere",IF(OR(INDEX(Bank!$F:$F,B301)&lt;&gt;"Y",INDEX(GL!$F:$F,I301)&lt;&gt;"Y"),"BROKEN: Status not Y","OK")))))</f>
        <v/>
      </c>
    </row>
    <row r="302" customFormat="false" ht="15" hidden="false" customHeight="false" outlineLevel="0" collapsed="false">
      <c r="A302" s="41"/>
      <c r="B302" s="5" t="n">
        <f aca="false">IF(A302="",0,IFERROR(MATCH(A302,Bank!$A:$A,0),0))</f>
        <v>0</v>
      </c>
      <c r="C302" s="5" t="str">
        <f aca="false">IF(B302=0,"",IF(INDEX(Bank!$G:$G,B302)="","",INDEX(Bank!$G:$G,B302)))</f>
        <v/>
      </c>
      <c r="D302" s="5" t="str">
        <f aca="false">IF(B302=0,"",IF(INDEX(Bank!$J:$J,B302)="","",INDEX(Bank!$J:$J,B302)))</f>
        <v/>
      </c>
      <c r="E302" s="32" t="str">
        <f aca="false">IF(B302=0,"",INDEX(Bank!$B:$B,B302))</f>
        <v/>
      </c>
      <c r="F302" s="5" t="str">
        <f aca="false">IF(B302=0,"",IF(INDEX(Bank!$C:$C,B302)="","",INDEX(Bank!$C:$C,B302)))</f>
        <v/>
      </c>
      <c r="G302" s="19" t="str">
        <f aca="false">IF(B302=0,"",INDEX(Bank!$E:$E,B302))</f>
        <v/>
      </c>
      <c r="H302" s="5" t="str">
        <f aca="false">IF(B302=0,"",IF(INDEX(Bank!$H:$H,B302)="","",INDEX(Bank!$H:$H,B302)))</f>
        <v/>
      </c>
      <c r="I302" s="5" t="n">
        <f aca="false">IF(H302="",0,IFERROR(MATCH(H302,GL!$A:$A,0),0))</f>
        <v>0</v>
      </c>
      <c r="J302" s="32" t="str">
        <f aca="false">IF(I302=0,"",INDEX(GL!$B:$B,I302))</f>
        <v/>
      </c>
      <c r="K302" s="5" t="str">
        <f aca="false">IF(I302=0,"",IF(INDEX(GL!$C:$C,I302)="","",INDEX(GL!$C:$C,I302)))</f>
        <v/>
      </c>
      <c r="L302" s="19" t="str">
        <f aca="false">IF(I302=0,"",INDEX(GL!$E:$E,I302))</f>
        <v/>
      </c>
      <c r="M302" s="19" t="str">
        <f aca="false">IF(OR(B302=0,I302=0),"",ROUND(G302-L302,2))</f>
        <v/>
      </c>
      <c r="N302" s="5" t="str">
        <f aca="false">IF(A302="","",IF(B302=0,"NOT FOUND: bank ID",IF(I302=0,"NOT FOUND: GL ID",IF(INDEX(GL!$H:$H,I302)&lt;&gt;A302,"BROKEN: GL points elsewhere",IF(OR(INDEX(Bank!$F:$F,B302)&lt;&gt;"Y",INDEX(GL!$F:$F,I302)&lt;&gt;"Y"),"BROKEN: Status not Y","OK")))))</f>
        <v/>
      </c>
    </row>
    <row r="303" customFormat="false" ht="15" hidden="false" customHeight="false" outlineLevel="0" collapsed="false">
      <c r="A303" s="41"/>
      <c r="B303" s="5" t="n">
        <f aca="false">IF(A303="",0,IFERROR(MATCH(A303,Bank!$A:$A,0),0))</f>
        <v>0</v>
      </c>
      <c r="C303" s="5" t="str">
        <f aca="false">IF(B303=0,"",IF(INDEX(Bank!$G:$G,B303)="","",INDEX(Bank!$G:$G,B303)))</f>
        <v/>
      </c>
      <c r="D303" s="5" t="str">
        <f aca="false">IF(B303=0,"",IF(INDEX(Bank!$J:$J,B303)="","",INDEX(Bank!$J:$J,B303)))</f>
        <v/>
      </c>
      <c r="E303" s="32" t="str">
        <f aca="false">IF(B303=0,"",INDEX(Bank!$B:$B,B303))</f>
        <v/>
      </c>
      <c r="F303" s="5" t="str">
        <f aca="false">IF(B303=0,"",IF(INDEX(Bank!$C:$C,B303)="","",INDEX(Bank!$C:$C,B303)))</f>
        <v/>
      </c>
      <c r="G303" s="19" t="str">
        <f aca="false">IF(B303=0,"",INDEX(Bank!$E:$E,B303))</f>
        <v/>
      </c>
      <c r="H303" s="5" t="str">
        <f aca="false">IF(B303=0,"",IF(INDEX(Bank!$H:$H,B303)="","",INDEX(Bank!$H:$H,B303)))</f>
        <v/>
      </c>
      <c r="I303" s="5" t="n">
        <f aca="false">IF(H303="",0,IFERROR(MATCH(H303,GL!$A:$A,0),0))</f>
        <v>0</v>
      </c>
      <c r="J303" s="32" t="str">
        <f aca="false">IF(I303=0,"",INDEX(GL!$B:$B,I303))</f>
        <v/>
      </c>
      <c r="K303" s="5" t="str">
        <f aca="false">IF(I303=0,"",IF(INDEX(GL!$C:$C,I303)="","",INDEX(GL!$C:$C,I303)))</f>
        <v/>
      </c>
      <c r="L303" s="19" t="str">
        <f aca="false">IF(I303=0,"",INDEX(GL!$E:$E,I303))</f>
        <v/>
      </c>
      <c r="M303" s="19" t="str">
        <f aca="false">IF(OR(B303=0,I303=0),"",ROUND(G303-L303,2))</f>
        <v/>
      </c>
      <c r="N303" s="5" t="str">
        <f aca="false">IF(A303="","",IF(B303=0,"NOT FOUND: bank ID",IF(I303=0,"NOT FOUND: GL ID",IF(INDEX(GL!$H:$H,I303)&lt;&gt;A303,"BROKEN: GL points elsewhere",IF(OR(INDEX(Bank!$F:$F,B303)&lt;&gt;"Y",INDEX(GL!$F:$F,I303)&lt;&gt;"Y"),"BROKEN: Status not Y","OK")))))</f>
        <v/>
      </c>
    </row>
    <row r="304" customFormat="false" ht="15" hidden="false" customHeight="false" outlineLevel="0" collapsed="false">
      <c r="A304" s="41"/>
      <c r="B304" s="5" t="n">
        <f aca="false">IF(A304="",0,IFERROR(MATCH(A304,Bank!$A:$A,0),0))</f>
        <v>0</v>
      </c>
      <c r="C304" s="5" t="str">
        <f aca="false">IF(B304=0,"",IF(INDEX(Bank!$G:$G,B304)="","",INDEX(Bank!$G:$G,B304)))</f>
        <v/>
      </c>
      <c r="D304" s="5" t="str">
        <f aca="false">IF(B304=0,"",IF(INDEX(Bank!$J:$J,B304)="","",INDEX(Bank!$J:$J,B304)))</f>
        <v/>
      </c>
      <c r="E304" s="32" t="str">
        <f aca="false">IF(B304=0,"",INDEX(Bank!$B:$B,B304))</f>
        <v/>
      </c>
      <c r="F304" s="5" t="str">
        <f aca="false">IF(B304=0,"",IF(INDEX(Bank!$C:$C,B304)="","",INDEX(Bank!$C:$C,B304)))</f>
        <v/>
      </c>
      <c r="G304" s="19" t="str">
        <f aca="false">IF(B304=0,"",INDEX(Bank!$E:$E,B304))</f>
        <v/>
      </c>
      <c r="H304" s="5" t="str">
        <f aca="false">IF(B304=0,"",IF(INDEX(Bank!$H:$H,B304)="","",INDEX(Bank!$H:$H,B304)))</f>
        <v/>
      </c>
      <c r="I304" s="5" t="n">
        <f aca="false">IF(H304="",0,IFERROR(MATCH(H304,GL!$A:$A,0),0))</f>
        <v>0</v>
      </c>
      <c r="J304" s="32" t="str">
        <f aca="false">IF(I304=0,"",INDEX(GL!$B:$B,I304))</f>
        <v/>
      </c>
      <c r="K304" s="5" t="str">
        <f aca="false">IF(I304=0,"",IF(INDEX(GL!$C:$C,I304)="","",INDEX(GL!$C:$C,I304)))</f>
        <v/>
      </c>
      <c r="L304" s="19" t="str">
        <f aca="false">IF(I304=0,"",INDEX(GL!$E:$E,I304))</f>
        <v/>
      </c>
      <c r="M304" s="19" t="str">
        <f aca="false">IF(OR(B304=0,I304=0),"",ROUND(G304-L304,2))</f>
        <v/>
      </c>
      <c r="N304" s="5" t="str">
        <f aca="false">IF(A304="","",IF(B304=0,"NOT FOUND: bank ID",IF(I304=0,"NOT FOUND: GL ID",IF(INDEX(GL!$H:$H,I304)&lt;&gt;A304,"BROKEN: GL points elsewhere",IF(OR(INDEX(Bank!$F:$F,B304)&lt;&gt;"Y",INDEX(GL!$F:$F,I304)&lt;&gt;"Y"),"BROKEN: Status not Y","OK")))))</f>
        <v/>
      </c>
    </row>
    <row r="305" customFormat="false" ht="15" hidden="false" customHeight="false" outlineLevel="0" collapsed="false">
      <c r="A305" s="41"/>
      <c r="B305" s="5" t="n">
        <f aca="false">IF(A305="",0,IFERROR(MATCH(A305,Bank!$A:$A,0),0))</f>
        <v>0</v>
      </c>
      <c r="C305" s="5" t="str">
        <f aca="false">IF(B305=0,"",IF(INDEX(Bank!$G:$G,B305)="","",INDEX(Bank!$G:$G,B305)))</f>
        <v/>
      </c>
      <c r="D305" s="5" t="str">
        <f aca="false">IF(B305=0,"",IF(INDEX(Bank!$J:$J,B305)="","",INDEX(Bank!$J:$J,B305)))</f>
        <v/>
      </c>
      <c r="E305" s="32" t="str">
        <f aca="false">IF(B305=0,"",INDEX(Bank!$B:$B,B305))</f>
        <v/>
      </c>
      <c r="F305" s="5" t="str">
        <f aca="false">IF(B305=0,"",IF(INDEX(Bank!$C:$C,B305)="","",INDEX(Bank!$C:$C,B305)))</f>
        <v/>
      </c>
      <c r="G305" s="19" t="str">
        <f aca="false">IF(B305=0,"",INDEX(Bank!$E:$E,B305))</f>
        <v/>
      </c>
      <c r="H305" s="5" t="str">
        <f aca="false">IF(B305=0,"",IF(INDEX(Bank!$H:$H,B305)="","",INDEX(Bank!$H:$H,B305)))</f>
        <v/>
      </c>
      <c r="I305" s="5" t="n">
        <f aca="false">IF(H305="",0,IFERROR(MATCH(H305,GL!$A:$A,0),0))</f>
        <v>0</v>
      </c>
      <c r="J305" s="32" t="str">
        <f aca="false">IF(I305=0,"",INDEX(GL!$B:$B,I305))</f>
        <v/>
      </c>
      <c r="K305" s="5" t="str">
        <f aca="false">IF(I305=0,"",IF(INDEX(GL!$C:$C,I305)="","",INDEX(GL!$C:$C,I305)))</f>
        <v/>
      </c>
      <c r="L305" s="19" t="str">
        <f aca="false">IF(I305=0,"",INDEX(GL!$E:$E,I305))</f>
        <v/>
      </c>
      <c r="M305" s="19" t="str">
        <f aca="false">IF(OR(B305=0,I305=0),"",ROUND(G305-L305,2))</f>
        <v/>
      </c>
      <c r="N305" s="5" t="str">
        <f aca="false">IF(A305="","",IF(B305=0,"NOT FOUND: bank ID",IF(I305=0,"NOT FOUND: GL ID",IF(INDEX(GL!$H:$H,I305)&lt;&gt;A305,"BROKEN: GL points elsewhere",IF(OR(INDEX(Bank!$F:$F,B305)&lt;&gt;"Y",INDEX(GL!$F:$F,I305)&lt;&gt;"Y"),"BROKEN: Status not Y","OK")))))</f>
        <v/>
      </c>
    </row>
    <row r="306" customFormat="false" ht="15" hidden="false" customHeight="false" outlineLevel="0" collapsed="false">
      <c r="A306" s="41"/>
      <c r="B306" s="5" t="n">
        <f aca="false">IF(A306="",0,IFERROR(MATCH(A306,Bank!$A:$A,0),0))</f>
        <v>0</v>
      </c>
      <c r="C306" s="5" t="str">
        <f aca="false">IF(B306=0,"",IF(INDEX(Bank!$G:$G,B306)="","",INDEX(Bank!$G:$G,B306)))</f>
        <v/>
      </c>
      <c r="D306" s="5" t="str">
        <f aca="false">IF(B306=0,"",IF(INDEX(Bank!$J:$J,B306)="","",INDEX(Bank!$J:$J,B306)))</f>
        <v/>
      </c>
      <c r="E306" s="32" t="str">
        <f aca="false">IF(B306=0,"",INDEX(Bank!$B:$B,B306))</f>
        <v/>
      </c>
      <c r="F306" s="5" t="str">
        <f aca="false">IF(B306=0,"",IF(INDEX(Bank!$C:$C,B306)="","",INDEX(Bank!$C:$C,B306)))</f>
        <v/>
      </c>
      <c r="G306" s="19" t="str">
        <f aca="false">IF(B306=0,"",INDEX(Bank!$E:$E,B306))</f>
        <v/>
      </c>
      <c r="H306" s="5" t="str">
        <f aca="false">IF(B306=0,"",IF(INDEX(Bank!$H:$H,B306)="","",INDEX(Bank!$H:$H,B306)))</f>
        <v/>
      </c>
      <c r="I306" s="5" t="n">
        <f aca="false">IF(H306="",0,IFERROR(MATCH(H306,GL!$A:$A,0),0))</f>
        <v>0</v>
      </c>
      <c r="J306" s="32" t="str">
        <f aca="false">IF(I306=0,"",INDEX(GL!$B:$B,I306))</f>
        <v/>
      </c>
      <c r="K306" s="5" t="str">
        <f aca="false">IF(I306=0,"",IF(INDEX(GL!$C:$C,I306)="","",INDEX(GL!$C:$C,I306)))</f>
        <v/>
      </c>
      <c r="L306" s="19" t="str">
        <f aca="false">IF(I306=0,"",INDEX(GL!$E:$E,I306))</f>
        <v/>
      </c>
      <c r="M306" s="19" t="str">
        <f aca="false">IF(OR(B306=0,I306=0),"",ROUND(G306-L306,2))</f>
        <v/>
      </c>
      <c r="N306" s="5" t="str">
        <f aca="false">IF(A306="","",IF(B306=0,"NOT FOUND: bank ID",IF(I306=0,"NOT FOUND: GL ID",IF(INDEX(GL!$H:$H,I306)&lt;&gt;A306,"BROKEN: GL points elsewhere",IF(OR(INDEX(Bank!$F:$F,B306)&lt;&gt;"Y",INDEX(GL!$F:$F,I306)&lt;&gt;"Y"),"BROKEN: Status not Y","OK")))))</f>
        <v/>
      </c>
    </row>
    <row r="307" customFormat="false" ht="15" hidden="false" customHeight="false" outlineLevel="0" collapsed="false">
      <c r="A307" s="41"/>
      <c r="B307" s="5" t="n">
        <f aca="false">IF(A307="",0,IFERROR(MATCH(A307,Bank!$A:$A,0),0))</f>
        <v>0</v>
      </c>
      <c r="C307" s="5" t="str">
        <f aca="false">IF(B307=0,"",IF(INDEX(Bank!$G:$G,B307)="","",INDEX(Bank!$G:$G,B307)))</f>
        <v/>
      </c>
      <c r="D307" s="5" t="str">
        <f aca="false">IF(B307=0,"",IF(INDEX(Bank!$J:$J,B307)="","",INDEX(Bank!$J:$J,B307)))</f>
        <v/>
      </c>
      <c r="E307" s="32" t="str">
        <f aca="false">IF(B307=0,"",INDEX(Bank!$B:$B,B307))</f>
        <v/>
      </c>
      <c r="F307" s="5" t="str">
        <f aca="false">IF(B307=0,"",IF(INDEX(Bank!$C:$C,B307)="","",INDEX(Bank!$C:$C,B307)))</f>
        <v/>
      </c>
      <c r="G307" s="19" t="str">
        <f aca="false">IF(B307=0,"",INDEX(Bank!$E:$E,B307))</f>
        <v/>
      </c>
      <c r="H307" s="5" t="str">
        <f aca="false">IF(B307=0,"",IF(INDEX(Bank!$H:$H,B307)="","",INDEX(Bank!$H:$H,B307)))</f>
        <v/>
      </c>
      <c r="I307" s="5" t="n">
        <f aca="false">IF(H307="",0,IFERROR(MATCH(H307,GL!$A:$A,0),0))</f>
        <v>0</v>
      </c>
      <c r="J307" s="32" t="str">
        <f aca="false">IF(I307=0,"",INDEX(GL!$B:$B,I307))</f>
        <v/>
      </c>
      <c r="K307" s="5" t="str">
        <f aca="false">IF(I307=0,"",IF(INDEX(GL!$C:$C,I307)="","",INDEX(GL!$C:$C,I307)))</f>
        <v/>
      </c>
      <c r="L307" s="19" t="str">
        <f aca="false">IF(I307=0,"",INDEX(GL!$E:$E,I307))</f>
        <v/>
      </c>
      <c r="M307" s="19" t="str">
        <f aca="false">IF(OR(B307=0,I307=0),"",ROUND(G307-L307,2))</f>
        <v/>
      </c>
      <c r="N307" s="5" t="str">
        <f aca="false">IF(A307="","",IF(B307=0,"NOT FOUND: bank ID",IF(I307=0,"NOT FOUND: GL ID",IF(INDEX(GL!$H:$H,I307)&lt;&gt;A307,"BROKEN: GL points elsewhere",IF(OR(INDEX(Bank!$F:$F,B307)&lt;&gt;"Y",INDEX(GL!$F:$F,I307)&lt;&gt;"Y"),"BROKEN: Status not Y","OK")))))</f>
        <v/>
      </c>
    </row>
    <row r="308" customFormat="false" ht="15" hidden="false" customHeight="false" outlineLevel="0" collapsed="false">
      <c r="A308" s="41"/>
      <c r="B308" s="5" t="n">
        <f aca="false">IF(A308="",0,IFERROR(MATCH(A308,Bank!$A:$A,0),0))</f>
        <v>0</v>
      </c>
      <c r="C308" s="5" t="str">
        <f aca="false">IF(B308=0,"",IF(INDEX(Bank!$G:$G,B308)="","",INDEX(Bank!$G:$G,B308)))</f>
        <v/>
      </c>
      <c r="D308" s="5" t="str">
        <f aca="false">IF(B308=0,"",IF(INDEX(Bank!$J:$J,B308)="","",INDEX(Bank!$J:$J,B308)))</f>
        <v/>
      </c>
      <c r="E308" s="32" t="str">
        <f aca="false">IF(B308=0,"",INDEX(Bank!$B:$B,B308))</f>
        <v/>
      </c>
      <c r="F308" s="5" t="str">
        <f aca="false">IF(B308=0,"",IF(INDEX(Bank!$C:$C,B308)="","",INDEX(Bank!$C:$C,B308)))</f>
        <v/>
      </c>
      <c r="G308" s="19" t="str">
        <f aca="false">IF(B308=0,"",INDEX(Bank!$E:$E,B308))</f>
        <v/>
      </c>
      <c r="H308" s="5" t="str">
        <f aca="false">IF(B308=0,"",IF(INDEX(Bank!$H:$H,B308)="","",INDEX(Bank!$H:$H,B308)))</f>
        <v/>
      </c>
      <c r="I308" s="5" t="n">
        <f aca="false">IF(H308="",0,IFERROR(MATCH(H308,GL!$A:$A,0),0))</f>
        <v>0</v>
      </c>
      <c r="J308" s="32" t="str">
        <f aca="false">IF(I308=0,"",INDEX(GL!$B:$B,I308))</f>
        <v/>
      </c>
      <c r="K308" s="5" t="str">
        <f aca="false">IF(I308=0,"",IF(INDEX(GL!$C:$C,I308)="","",INDEX(GL!$C:$C,I308)))</f>
        <v/>
      </c>
      <c r="L308" s="19" t="str">
        <f aca="false">IF(I308=0,"",INDEX(GL!$E:$E,I308))</f>
        <v/>
      </c>
      <c r="M308" s="19" t="str">
        <f aca="false">IF(OR(B308=0,I308=0),"",ROUND(G308-L308,2))</f>
        <v/>
      </c>
      <c r="N308" s="5" t="str">
        <f aca="false">IF(A308="","",IF(B308=0,"NOT FOUND: bank ID",IF(I308=0,"NOT FOUND: GL ID",IF(INDEX(GL!$H:$H,I308)&lt;&gt;A308,"BROKEN: GL points elsewhere",IF(OR(INDEX(Bank!$F:$F,B308)&lt;&gt;"Y",INDEX(GL!$F:$F,I308)&lt;&gt;"Y"),"BROKEN: Status not Y","OK")))))</f>
        <v/>
      </c>
    </row>
    <row r="309" customFormat="false" ht="15" hidden="false" customHeight="false" outlineLevel="0" collapsed="false">
      <c r="A309" s="41"/>
      <c r="B309" s="5" t="n">
        <f aca="false">IF(A309="",0,IFERROR(MATCH(A309,Bank!$A:$A,0),0))</f>
        <v>0</v>
      </c>
      <c r="C309" s="5" t="str">
        <f aca="false">IF(B309=0,"",IF(INDEX(Bank!$G:$G,B309)="","",INDEX(Bank!$G:$G,B309)))</f>
        <v/>
      </c>
      <c r="D309" s="5" t="str">
        <f aca="false">IF(B309=0,"",IF(INDEX(Bank!$J:$J,B309)="","",INDEX(Bank!$J:$J,B309)))</f>
        <v/>
      </c>
      <c r="E309" s="32" t="str">
        <f aca="false">IF(B309=0,"",INDEX(Bank!$B:$B,B309))</f>
        <v/>
      </c>
      <c r="F309" s="5" t="str">
        <f aca="false">IF(B309=0,"",IF(INDEX(Bank!$C:$C,B309)="","",INDEX(Bank!$C:$C,B309)))</f>
        <v/>
      </c>
      <c r="G309" s="19" t="str">
        <f aca="false">IF(B309=0,"",INDEX(Bank!$E:$E,B309))</f>
        <v/>
      </c>
      <c r="H309" s="5" t="str">
        <f aca="false">IF(B309=0,"",IF(INDEX(Bank!$H:$H,B309)="","",INDEX(Bank!$H:$H,B309)))</f>
        <v/>
      </c>
      <c r="I309" s="5" t="n">
        <f aca="false">IF(H309="",0,IFERROR(MATCH(H309,GL!$A:$A,0),0))</f>
        <v>0</v>
      </c>
      <c r="J309" s="32" t="str">
        <f aca="false">IF(I309=0,"",INDEX(GL!$B:$B,I309))</f>
        <v/>
      </c>
      <c r="K309" s="5" t="str">
        <f aca="false">IF(I309=0,"",IF(INDEX(GL!$C:$C,I309)="","",INDEX(GL!$C:$C,I309)))</f>
        <v/>
      </c>
      <c r="L309" s="19" t="str">
        <f aca="false">IF(I309=0,"",INDEX(GL!$E:$E,I309))</f>
        <v/>
      </c>
      <c r="M309" s="19" t="str">
        <f aca="false">IF(OR(B309=0,I309=0),"",ROUND(G309-L309,2))</f>
        <v/>
      </c>
      <c r="N309" s="5" t="str">
        <f aca="false">IF(A309="","",IF(B309=0,"NOT FOUND: bank ID",IF(I309=0,"NOT FOUND: GL ID",IF(INDEX(GL!$H:$H,I309)&lt;&gt;A309,"BROKEN: GL points elsewhere",IF(OR(INDEX(Bank!$F:$F,B309)&lt;&gt;"Y",INDEX(GL!$F:$F,I309)&lt;&gt;"Y"),"BROKEN: Status not Y","OK")))))</f>
        <v/>
      </c>
    </row>
    <row r="310" customFormat="false" ht="15" hidden="false" customHeight="false" outlineLevel="0" collapsed="false">
      <c r="A310" s="41"/>
      <c r="B310" s="5" t="n">
        <f aca="false">IF(A310="",0,IFERROR(MATCH(A310,Bank!$A:$A,0),0))</f>
        <v>0</v>
      </c>
      <c r="C310" s="5" t="str">
        <f aca="false">IF(B310=0,"",IF(INDEX(Bank!$G:$G,B310)="","",INDEX(Bank!$G:$G,B310)))</f>
        <v/>
      </c>
      <c r="D310" s="5" t="str">
        <f aca="false">IF(B310=0,"",IF(INDEX(Bank!$J:$J,B310)="","",INDEX(Bank!$J:$J,B310)))</f>
        <v/>
      </c>
      <c r="E310" s="32" t="str">
        <f aca="false">IF(B310=0,"",INDEX(Bank!$B:$B,B310))</f>
        <v/>
      </c>
      <c r="F310" s="5" t="str">
        <f aca="false">IF(B310=0,"",IF(INDEX(Bank!$C:$C,B310)="","",INDEX(Bank!$C:$C,B310)))</f>
        <v/>
      </c>
      <c r="G310" s="19" t="str">
        <f aca="false">IF(B310=0,"",INDEX(Bank!$E:$E,B310))</f>
        <v/>
      </c>
      <c r="H310" s="5" t="str">
        <f aca="false">IF(B310=0,"",IF(INDEX(Bank!$H:$H,B310)="","",INDEX(Bank!$H:$H,B310)))</f>
        <v/>
      </c>
      <c r="I310" s="5" t="n">
        <f aca="false">IF(H310="",0,IFERROR(MATCH(H310,GL!$A:$A,0),0))</f>
        <v>0</v>
      </c>
      <c r="J310" s="32" t="str">
        <f aca="false">IF(I310=0,"",INDEX(GL!$B:$B,I310))</f>
        <v/>
      </c>
      <c r="K310" s="5" t="str">
        <f aca="false">IF(I310=0,"",IF(INDEX(GL!$C:$C,I310)="","",INDEX(GL!$C:$C,I310)))</f>
        <v/>
      </c>
      <c r="L310" s="19" t="str">
        <f aca="false">IF(I310=0,"",INDEX(GL!$E:$E,I310))</f>
        <v/>
      </c>
      <c r="M310" s="19" t="str">
        <f aca="false">IF(OR(B310=0,I310=0),"",ROUND(G310-L310,2))</f>
        <v/>
      </c>
      <c r="N310" s="5" t="str">
        <f aca="false">IF(A310="","",IF(B310=0,"NOT FOUND: bank ID",IF(I310=0,"NOT FOUND: GL ID",IF(INDEX(GL!$H:$H,I310)&lt;&gt;A310,"BROKEN: GL points elsewhere",IF(OR(INDEX(Bank!$F:$F,B310)&lt;&gt;"Y",INDEX(GL!$F:$F,I310)&lt;&gt;"Y"),"BROKEN: Status not Y","OK")))))</f>
        <v/>
      </c>
    </row>
    <row r="311" customFormat="false" ht="15" hidden="false" customHeight="false" outlineLevel="0" collapsed="false">
      <c r="A311" s="41"/>
      <c r="B311" s="5" t="n">
        <f aca="false">IF(A311="",0,IFERROR(MATCH(A311,Bank!$A:$A,0),0))</f>
        <v>0</v>
      </c>
      <c r="C311" s="5" t="str">
        <f aca="false">IF(B311=0,"",IF(INDEX(Bank!$G:$G,B311)="","",INDEX(Bank!$G:$G,B311)))</f>
        <v/>
      </c>
      <c r="D311" s="5" t="str">
        <f aca="false">IF(B311=0,"",IF(INDEX(Bank!$J:$J,B311)="","",INDEX(Bank!$J:$J,B311)))</f>
        <v/>
      </c>
      <c r="E311" s="32" t="str">
        <f aca="false">IF(B311=0,"",INDEX(Bank!$B:$B,B311))</f>
        <v/>
      </c>
      <c r="F311" s="5" t="str">
        <f aca="false">IF(B311=0,"",IF(INDEX(Bank!$C:$C,B311)="","",INDEX(Bank!$C:$C,B311)))</f>
        <v/>
      </c>
      <c r="G311" s="19" t="str">
        <f aca="false">IF(B311=0,"",INDEX(Bank!$E:$E,B311))</f>
        <v/>
      </c>
      <c r="H311" s="5" t="str">
        <f aca="false">IF(B311=0,"",IF(INDEX(Bank!$H:$H,B311)="","",INDEX(Bank!$H:$H,B311)))</f>
        <v/>
      </c>
      <c r="I311" s="5" t="n">
        <f aca="false">IF(H311="",0,IFERROR(MATCH(H311,GL!$A:$A,0),0))</f>
        <v>0</v>
      </c>
      <c r="J311" s="32" t="str">
        <f aca="false">IF(I311=0,"",INDEX(GL!$B:$B,I311))</f>
        <v/>
      </c>
      <c r="K311" s="5" t="str">
        <f aca="false">IF(I311=0,"",IF(INDEX(GL!$C:$C,I311)="","",INDEX(GL!$C:$C,I311)))</f>
        <v/>
      </c>
      <c r="L311" s="19" t="str">
        <f aca="false">IF(I311=0,"",INDEX(GL!$E:$E,I311))</f>
        <v/>
      </c>
      <c r="M311" s="19" t="str">
        <f aca="false">IF(OR(B311=0,I311=0),"",ROUND(G311-L311,2))</f>
        <v/>
      </c>
      <c r="N311" s="5" t="str">
        <f aca="false">IF(A311="","",IF(B311=0,"NOT FOUND: bank ID",IF(I311=0,"NOT FOUND: GL ID",IF(INDEX(GL!$H:$H,I311)&lt;&gt;A311,"BROKEN: GL points elsewhere",IF(OR(INDEX(Bank!$F:$F,B311)&lt;&gt;"Y",INDEX(GL!$F:$F,I311)&lt;&gt;"Y"),"BROKEN: Status not Y","OK")))))</f>
        <v/>
      </c>
    </row>
    <row r="312" customFormat="false" ht="15" hidden="false" customHeight="false" outlineLevel="0" collapsed="false">
      <c r="A312" s="41"/>
      <c r="B312" s="5" t="n">
        <f aca="false">IF(A312="",0,IFERROR(MATCH(A312,Bank!$A:$A,0),0))</f>
        <v>0</v>
      </c>
      <c r="C312" s="5" t="str">
        <f aca="false">IF(B312=0,"",IF(INDEX(Bank!$G:$G,B312)="","",INDEX(Bank!$G:$G,B312)))</f>
        <v/>
      </c>
      <c r="D312" s="5" t="str">
        <f aca="false">IF(B312=0,"",IF(INDEX(Bank!$J:$J,B312)="","",INDEX(Bank!$J:$J,B312)))</f>
        <v/>
      </c>
      <c r="E312" s="32" t="str">
        <f aca="false">IF(B312=0,"",INDEX(Bank!$B:$B,B312))</f>
        <v/>
      </c>
      <c r="F312" s="5" t="str">
        <f aca="false">IF(B312=0,"",IF(INDEX(Bank!$C:$C,B312)="","",INDEX(Bank!$C:$C,B312)))</f>
        <v/>
      </c>
      <c r="G312" s="19" t="str">
        <f aca="false">IF(B312=0,"",INDEX(Bank!$E:$E,B312))</f>
        <v/>
      </c>
      <c r="H312" s="5" t="str">
        <f aca="false">IF(B312=0,"",IF(INDEX(Bank!$H:$H,B312)="","",INDEX(Bank!$H:$H,B312)))</f>
        <v/>
      </c>
      <c r="I312" s="5" t="n">
        <f aca="false">IF(H312="",0,IFERROR(MATCH(H312,GL!$A:$A,0),0))</f>
        <v>0</v>
      </c>
      <c r="J312" s="32" t="str">
        <f aca="false">IF(I312=0,"",INDEX(GL!$B:$B,I312))</f>
        <v/>
      </c>
      <c r="K312" s="5" t="str">
        <f aca="false">IF(I312=0,"",IF(INDEX(GL!$C:$C,I312)="","",INDEX(GL!$C:$C,I312)))</f>
        <v/>
      </c>
      <c r="L312" s="19" t="str">
        <f aca="false">IF(I312=0,"",INDEX(GL!$E:$E,I312))</f>
        <v/>
      </c>
      <c r="M312" s="19" t="str">
        <f aca="false">IF(OR(B312=0,I312=0),"",ROUND(G312-L312,2))</f>
        <v/>
      </c>
      <c r="N312" s="5" t="str">
        <f aca="false">IF(A312="","",IF(B312=0,"NOT FOUND: bank ID",IF(I312=0,"NOT FOUND: GL ID",IF(INDEX(GL!$H:$H,I312)&lt;&gt;A312,"BROKEN: GL points elsewhere",IF(OR(INDEX(Bank!$F:$F,B312)&lt;&gt;"Y",INDEX(GL!$F:$F,I312)&lt;&gt;"Y"),"BROKEN: Status not Y","OK")))))</f>
        <v/>
      </c>
    </row>
    <row r="313" customFormat="false" ht="15" hidden="false" customHeight="false" outlineLevel="0" collapsed="false">
      <c r="A313" s="41"/>
      <c r="B313" s="5" t="n">
        <f aca="false">IF(A313="",0,IFERROR(MATCH(A313,Bank!$A:$A,0),0))</f>
        <v>0</v>
      </c>
      <c r="C313" s="5" t="str">
        <f aca="false">IF(B313=0,"",IF(INDEX(Bank!$G:$G,B313)="","",INDEX(Bank!$G:$G,B313)))</f>
        <v/>
      </c>
      <c r="D313" s="5" t="str">
        <f aca="false">IF(B313=0,"",IF(INDEX(Bank!$J:$J,B313)="","",INDEX(Bank!$J:$J,B313)))</f>
        <v/>
      </c>
      <c r="E313" s="32" t="str">
        <f aca="false">IF(B313=0,"",INDEX(Bank!$B:$B,B313))</f>
        <v/>
      </c>
      <c r="F313" s="5" t="str">
        <f aca="false">IF(B313=0,"",IF(INDEX(Bank!$C:$C,B313)="","",INDEX(Bank!$C:$C,B313)))</f>
        <v/>
      </c>
      <c r="G313" s="19" t="str">
        <f aca="false">IF(B313=0,"",INDEX(Bank!$E:$E,B313))</f>
        <v/>
      </c>
      <c r="H313" s="5" t="str">
        <f aca="false">IF(B313=0,"",IF(INDEX(Bank!$H:$H,B313)="","",INDEX(Bank!$H:$H,B313)))</f>
        <v/>
      </c>
      <c r="I313" s="5" t="n">
        <f aca="false">IF(H313="",0,IFERROR(MATCH(H313,GL!$A:$A,0),0))</f>
        <v>0</v>
      </c>
      <c r="J313" s="32" t="str">
        <f aca="false">IF(I313=0,"",INDEX(GL!$B:$B,I313))</f>
        <v/>
      </c>
      <c r="K313" s="5" t="str">
        <f aca="false">IF(I313=0,"",IF(INDEX(GL!$C:$C,I313)="","",INDEX(GL!$C:$C,I313)))</f>
        <v/>
      </c>
      <c r="L313" s="19" t="str">
        <f aca="false">IF(I313=0,"",INDEX(GL!$E:$E,I313))</f>
        <v/>
      </c>
      <c r="M313" s="19" t="str">
        <f aca="false">IF(OR(B313=0,I313=0),"",ROUND(G313-L313,2))</f>
        <v/>
      </c>
      <c r="N313" s="5" t="str">
        <f aca="false">IF(A313="","",IF(B313=0,"NOT FOUND: bank ID",IF(I313=0,"NOT FOUND: GL ID",IF(INDEX(GL!$H:$H,I313)&lt;&gt;A313,"BROKEN: GL points elsewhere",IF(OR(INDEX(Bank!$F:$F,B313)&lt;&gt;"Y",INDEX(GL!$F:$F,I313)&lt;&gt;"Y"),"BROKEN: Status not Y","OK")))))</f>
        <v/>
      </c>
    </row>
    <row r="314" customFormat="false" ht="15" hidden="false" customHeight="false" outlineLevel="0" collapsed="false">
      <c r="A314" s="41"/>
      <c r="B314" s="5" t="n">
        <f aca="false">IF(A314="",0,IFERROR(MATCH(A314,Bank!$A:$A,0),0))</f>
        <v>0</v>
      </c>
      <c r="C314" s="5" t="str">
        <f aca="false">IF(B314=0,"",IF(INDEX(Bank!$G:$G,B314)="","",INDEX(Bank!$G:$G,B314)))</f>
        <v/>
      </c>
      <c r="D314" s="5" t="str">
        <f aca="false">IF(B314=0,"",IF(INDEX(Bank!$J:$J,B314)="","",INDEX(Bank!$J:$J,B314)))</f>
        <v/>
      </c>
      <c r="E314" s="32" t="str">
        <f aca="false">IF(B314=0,"",INDEX(Bank!$B:$B,B314))</f>
        <v/>
      </c>
      <c r="F314" s="5" t="str">
        <f aca="false">IF(B314=0,"",IF(INDEX(Bank!$C:$C,B314)="","",INDEX(Bank!$C:$C,B314)))</f>
        <v/>
      </c>
      <c r="G314" s="19" t="str">
        <f aca="false">IF(B314=0,"",INDEX(Bank!$E:$E,B314))</f>
        <v/>
      </c>
      <c r="H314" s="5" t="str">
        <f aca="false">IF(B314=0,"",IF(INDEX(Bank!$H:$H,B314)="","",INDEX(Bank!$H:$H,B314)))</f>
        <v/>
      </c>
      <c r="I314" s="5" t="n">
        <f aca="false">IF(H314="",0,IFERROR(MATCH(H314,GL!$A:$A,0),0))</f>
        <v>0</v>
      </c>
      <c r="J314" s="32" t="str">
        <f aca="false">IF(I314=0,"",INDEX(GL!$B:$B,I314))</f>
        <v/>
      </c>
      <c r="K314" s="5" t="str">
        <f aca="false">IF(I314=0,"",IF(INDEX(GL!$C:$C,I314)="","",INDEX(GL!$C:$C,I314)))</f>
        <v/>
      </c>
      <c r="L314" s="19" t="str">
        <f aca="false">IF(I314=0,"",INDEX(GL!$E:$E,I314))</f>
        <v/>
      </c>
      <c r="M314" s="19" t="str">
        <f aca="false">IF(OR(B314=0,I314=0),"",ROUND(G314-L314,2))</f>
        <v/>
      </c>
      <c r="N314" s="5" t="str">
        <f aca="false">IF(A314="","",IF(B314=0,"NOT FOUND: bank ID",IF(I314=0,"NOT FOUND: GL ID",IF(INDEX(GL!$H:$H,I314)&lt;&gt;A314,"BROKEN: GL points elsewhere",IF(OR(INDEX(Bank!$F:$F,B314)&lt;&gt;"Y",INDEX(GL!$F:$F,I314)&lt;&gt;"Y"),"BROKEN: Status not Y","OK")))))</f>
        <v/>
      </c>
    </row>
    <row r="315" customFormat="false" ht="15" hidden="false" customHeight="false" outlineLevel="0" collapsed="false">
      <c r="A315" s="41"/>
      <c r="B315" s="5" t="n">
        <f aca="false">IF(A315="",0,IFERROR(MATCH(A315,Bank!$A:$A,0),0))</f>
        <v>0</v>
      </c>
      <c r="C315" s="5" t="str">
        <f aca="false">IF(B315=0,"",IF(INDEX(Bank!$G:$G,B315)="","",INDEX(Bank!$G:$G,B315)))</f>
        <v/>
      </c>
      <c r="D315" s="5" t="str">
        <f aca="false">IF(B315=0,"",IF(INDEX(Bank!$J:$J,B315)="","",INDEX(Bank!$J:$J,B315)))</f>
        <v/>
      </c>
      <c r="E315" s="32" t="str">
        <f aca="false">IF(B315=0,"",INDEX(Bank!$B:$B,B315))</f>
        <v/>
      </c>
      <c r="F315" s="5" t="str">
        <f aca="false">IF(B315=0,"",IF(INDEX(Bank!$C:$C,B315)="","",INDEX(Bank!$C:$C,B315)))</f>
        <v/>
      </c>
      <c r="G315" s="19" t="str">
        <f aca="false">IF(B315=0,"",INDEX(Bank!$E:$E,B315))</f>
        <v/>
      </c>
      <c r="H315" s="5" t="str">
        <f aca="false">IF(B315=0,"",IF(INDEX(Bank!$H:$H,B315)="","",INDEX(Bank!$H:$H,B315)))</f>
        <v/>
      </c>
      <c r="I315" s="5" t="n">
        <f aca="false">IF(H315="",0,IFERROR(MATCH(H315,GL!$A:$A,0),0))</f>
        <v>0</v>
      </c>
      <c r="J315" s="32" t="str">
        <f aca="false">IF(I315=0,"",INDEX(GL!$B:$B,I315))</f>
        <v/>
      </c>
      <c r="K315" s="5" t="str">
        <f aca="false">IF(I315=0,"",IF(INDEX(GL!$C:$C,I315)="","",INDEX(GL!$C:$C,I315)))</f>
        <v/>
      </c>
      <c r="L315" s="19" t="str">
        <f aca="false">IF(I315=0,"",INDEX(GL!$E:$E,I315))</f>
        <v/>
      </c>
      <c r="M315" s="19" t="str">
        <f aca="false">IF(OR(B315=0,I315=0),"",ROUND(G315-L315,2))</f>
        <v/>
      </c>
      <c r="N315" s="5" t="str">
        <f aca="false">IF(A315="","",IF(B315=0,"NOT FOUND: bank ID",IF(I315=0,"NOT FOUND: GL ID",IF(INDEX(GL!$H:$H,I315)&lt;&gt;A315,"BROKEN: GL points elsewhere",IF(OR(INDEX(Bank!$F:$F,B315)&lt;&gt;"Y",INDEX(GL!$F:$F,I315)&lt;&gt;"Y"),"BROKEN: Status not Y","OK")))))</f>
        <v/>
      </c>
    </row>
    <row r="316" customFormat="false" ht="15" hidden="false" customHeight="false" outlineLevel="0" collapsed="false">
      <c r="A316" s="41"/>
      <c r="B316" s="5" t="n">
        <f aca="false">IF(A316="",0,IFERROR(MATCH(A316,Bank!$A:$A,0),0))</f>
        <v>0</v>
      </c>
      <c r="C316" s="5" t="str">
        <f aca="false">IF(B316=0,"",IF(INDEX(Bank!$G:$G,B316)="","",INDEX(Bank!$G:$G,B316)))</f>
        <v/>
      </c>
      <c r="D316" s="5" t="str">
        <f aca="false">IF(B316=0,"",IF(INDEX(Bank!$J:$J,B316)="","",INDEX(Bank!$J:$J,B316)))</f>
        <v/>
      </c>
      <c r="E316" s="32" t="str">
        <f aca="false">IF(B316=0,"",INDEX(Bank!$B:$B,B316))</f>
        <v/>
      </c>
      <c r="F316" s="5" t="str">
        <f aca="false">IF(B316=0,"",IF(INDEX(Bank!$C:$C,B316)="","",INDEX(Bank!$C:$C,B316)))</f>
        <v/>
      </c>
      <c r="G316" s="19" t="str">
        <f aca="false">IF(B316=0,"",INDEX(Bank!$E:$E,B316))</f>
        <v/>
      </c>
      <c r="H316" s="5" t="str">
        <f aca="false">IF(B316=0,"",IF(INDEX(Bank!$H:$H,B316)="","",INDEX(Bank!$H:$H,B316)))</f>
        <v/>
      </c>
      <c r="I316" s="5" t="n">
        <f aca="false">IF(H316="",0,IFERROR(MATCH(H316,GL!$A:$A,0),0))</f>
        <v>0</v>
      </c>
      <c r="J316" s="32" t="str">
        <f aca="false">IF(I316=0,"",INDEX(GL!$B:$B,I316))</f>
        <v/>
      </c>
      <c r="K316" s="5" t="str">
        <f aca="false">IF(I316=0,"",IF(INDEX(GL!$C:$C,I316)="","",INDEX(GL!$C:$C,I316)))</f>
        <v/>
      </c>
      <c r="L316" s="19" t="str">
        <f aca="false">IF(I316=0,"",INDEX(GL!$E:$E,I316))</f>
        <v/>
      </c>
      <c r="M316" s="19" t="str">
        <f aca="false">IF(OR(B316=0,I316=0),"",ROUND(G316-L316,2))</f>
        <v/>
      </c>
      <c r="N316" s="5" t="str">
        <f aca="false">IF(A316="","",IF(B316=0,"NOT FOUND: bank ID",IF(I316=0,"NOT FOUND: GL ID",IF(INDEX(GL!$H:$H,I316)&lt;&gt;A316,"BROKEN: GL points elsewhere",IF(OR(INDEX(Bank!$F:$F,B316)&lt;&gt;"Y",INDEX(GL!$F:$F,I316)&lt;&gt;"Y"),"BROKEN: Status not Y","OK")))))</f>
        <v/>
      </c>
    </row>
    <row r="317" customFormat="false" ht="15" hidden="false" customHeight="false" outlineLevel="0" collapsed="false">
      <c r="A317" s="41"/>
      <c r="B317" s="5" t="n">
        <f aca="false">IF(A317="",0,IFERROR(MATCH(A317,Bank!$A:$A,0),0))</f>
        <v>0</v>
      </c>
      <c r="C317" s="5" t="str">
        <f aca="false">IF(B317=0,"",IF(INDEX(Bank!$G:$G,B317)="","",INDEX(Bank!$G:$G,B317)))</f>
        <v/>
      </c>
      <c r="D317" s="5" t="str">
        <f aca="false">IF(B317=0,"",IF(INDEX(Bank!$J:$J,B317)="","",INDEX(Bank!$J:$J,B317)))</f>
        <v/>
      </c>
      <c r="E317" s="32" t="str">
        <f aca="false">IF(B317=0,"",INDEX(Bank!$B:$B,B317))</f>
        <v/>
      </c>
      <c r="F317" s="5" t="str">
        <f aca="false">IF(B317=0,"",IF(INDEX(Bank!$C:$C,B317)="","",INDEX(Bank!$C:$C,B317)))</f>
        <v/>
      </c>
      <c r="G317" s="19" t="str">
        <f aca="false">IF(B317=0,"",INDEX(Bank!$E:$E,B317))</f>
        <v/>
      </c>
      <c r="H317" s="5" t="str">
        <f aca="false">IF(B317=0,"",IF(INDEX(Bank!$H:$H,B317)="","",INDEX(Bank!$H:$H,B317)))</f>
        <v/>
      </c>
      <c r="I317" s="5" t="n">
        <f aca="false">IF(H317="",0,IFERROR(MATCH(H317,GL!$A:$A,0),0))</f>
        <v>0</v>
      </c>
      <c r="J317" s="32" t="str">
        <f aca="false">IF(I317=0,"",INDEX(GL!$B:$B,I317))</f>
        <v/>
      </c>
      <c r="K317" s="5" t="str">
        <f aca="false">IF(I317=0,"",IF(INDEX(GL!$C:$C,I317)="","",INDEX(GL!$C:$C,I317)))</f>
        <v/>
      </c>
      <c r="L317" s="19" t="str">
        <f aca="false">IF(I317=0,"",INDEX(GL!$E:$E,I317))</f>
        <v/>
      </c>
      <c r="M317" s="19" t="str">
        <f aca="false">IF(OR(B317=0,I317=0),"",ROUND(G317-L317,2))</f>
        <v/>
      </c>
      <c r="N317" s="5" t="str">
        <f aca="false">IF(A317="","",IF(B317=0,"NOT FOUND: bank ID",IF(I317=0,"NOT FOUND: GL ID",IF(INDEX(GL!$H:$H,I317)&lt;&gt;A317,"BROKEN: GL points elsewhere",IF(OR(INDEX(Bank!$F:$F,B317)&lt;&gt;"Y",INDEX(GL!$F:$F,I317)&lt;&gt;"Y"),"BROKEN: Status not Y","OK")))))</f>
        <v/>
      </c>
    </row>
    <row r="318" customFormat="false" ht="15" hidden="false" customHeight="false" outlineLevel="0" collapsed="false">
      <c r="A318" s="41"/>
      <c r="B318" s="5" t="n">
        <f aca="false">IF(A318="",0,IFERROR(MATCH(A318,Bank!$A:$A,0),0))</f>
        <v>0</v>
      </c>
      <c r="C318" s="5" t="str">
        <f aca="false">IF(B318=0,"",IF(INDEX(Bank!$G:$G,B318)="","",INDEX(Bank!$G:$G,B318)))</f>
        <v/>
      </c>
      <c r="D318" s="5" t="str">
        <f aca="false">IF(B318=0,"",IF(INDEX(Bank!$J:$J,B318)="","",INDEX(Bank!$J:$J,B318)))</f>
        <v/>
      </c>
      <c r="E318" s="32" t="str">
        <f aca="false">IF(B318=0,"",INDEX(Bank!$B:$B,B318))</f>
        <v/>
      </c>
      <c r="F318" s="5" t="str">
        <f aca="false">IF(B318=0,"",IF(INDEX(Bank!$C:$C,B318)="","",INDEX(Bank!$C:$C,B318)))</f>
        <v/>
      </c>
      <c r="G318" s="19" t="str">
        <f aca="false">IF(B318=0,"",INDEX(Bank!$E:$E,B318))</f>
        <v/>
      </c>
      <c r="H318" s="5" t="str">
        <f aca="false">IF(B318=0,"",IF(INDEX(Bank!$H:$H,B318)="","",INDEX(Bank!$H:$H,B318)))</f>
        <v/>
      </c>
      <c r="I318" s="5" t="n">
        <f aca="false">IF(H318="",0,IFERROR(MATCH(H318,GL!$A:$A,0),0))</f>
        <v>0</v>
      </c>
      <c r="J318" s="32" t="str">
        <f aca="false">IF(I318=0,"",INDEX(GL!$B:$B,I318))</f>
        <v/>
      </c>
      <c r="K318" s="5" t="str">
        <f aca="false">IF(I318=0,"",IF(INDEX(GL!$C:$C,I318)="","",INDEX(GL!$C:$C,I318)))</f>
        <v/>
      </c>
      <c r="L318" s="19" t="str">
        <f aca="false">IF(I318=0,"",INDEX(GL!$E:$E,I318))</f>
        <v/>
      </c>
      <c r="M318" s="19" t="str">
        <f aca="false">IF(OR(B318=0,I318=0),"",ROUND(G318-L318,2))</f>
        <v/>
      </c>
      <c r="N318" s="5" t="str">
        <f aca="false">IF(A318="","",IF(B318=0,"NOT FOUND: bank ID",IF(I318=0,"NOT FOUND: GL ID",IF(INDEX(GL!$H:$H,I318)&lt;&gt;A318,"BROKEN: GL points elsewhere",IF(OR(INDEX(Bank!$F:$F,B318)&lt;&gt;"Y",INDEX(GL!$F:$F,I318)&lt;&gt;"Y"),"BROKEN: Status not Y","OK")))))</f>
        <v/>
      </c>
    </row>
    <row r="319" customFormat="false" ht="15" hidden="false" customHeight="false" outlineLevel="0" collapsed="false">
      <c r="A319" s="41"/>
      <c r="B319" s="5" t="n">
        <f aca="false">IF(A319="",0,IFERROR(MATCH(A319,Bank!$A:$A,0),0))</f>
        <v>0</v>
      </c>
      <c r="C319" s="5" t="str">
        <f aca="false">IF(B319=0,"",IF(INDEX(Bank!$G:$G,B319)="","",INDEX(Bank!$G:$G,B319)))</f>
        <v/>
      </c>
      <c r="D319" s="5" t="str">
        <f aca="false">IF(B319=0,"",IF(INDEX(Bank!$J:$J,B319)="","",INDEX(Bank!$J:$J,B319)))</f>
        <v/>
      </c>
      <c r="E319" s="32" t="str">
        <f aca="false">IF(B319=0,"",INDEX(Bank!$B:$B,B319))</f>
        <v/>
      </c>
      <c r="F319" s="5" t="str">
        <f aca="false">IF(B319=0,"",IF(INDEX(Bank!$C:$C,B319)="","",INDEX(Bank!$C:$C,B319)))</f>
        <v/>
      </c>
      <c r="G319" s="19" t="str">
        <f aca="false">IF(B319=0,"",INDEX(Bank!$E:$E,B319))</f>
        <v/>
      </c>
      <c r="H319" s="5" t="str">
        <f aca="false">IF(B319=0,"",IF(INDEX(Bank!$H:$H,B319)="","",INDEX(Bank!$H:$H,B319)))</f>
        <v/>
      </c>
      <c r="I319" s="5" t="n">
        <f aca="false">IF(H319="",0,IFERROR(MATCH(H319,GL!$A:$A,0),0))</f>
        <v>0</v>
      </c>
      <c r="J319" s="32" t="str">
        <f aca="false">IF(I319=0,"",INDEX(GL!$B:$B,I319))</f>
        <v/>
      </c>
      <c r="K319" s="5" t="str">
        <f aca="false">IF(I319=0,"",IF(INDEX(GL!$C:$C,I319)="","",INDEX(GL!$C:$C,I319)))</f>
        <v/>
      </c>
      <c r="L319" s="19" t="str">
        <f aca="false">IF(I319=0,"",INDEX(GL!$E:$E,I319))</f>
        <v/>
      </c>
      <c r="M319" s="19" t="str">
        <f aca="false">IF(OR(B319=0,I319=0),"",ROUND(G319-L319,2))</f>
        <v/>
      </c>
      <c r="N319" s="5" t="str">
        <f aca="false">IF(A319="","",IF(B319=0,"NOT FOUND: bank ID",IF(I319=0,"NOT FOUND: GL ID",IF(INDEX(GL!$H:$H,I319)&lt;&gt;A319,"BROKEN: GL points elsewhere",IF(OR(INDEX(Bank!$F:$F,B319)&lt;&gt;"Y",INDEX(GL!$F:$F,I319)&lt;&gt;"Y"),"BROKEN: Status not Y","OK")))))</f>
        <v/>
      </c>
    </row>
    <row r="320" customFormat="false" ht="15" hidden="false" customHeight="false" outlineLevel="0" collapsed="false">
      <c r="A320" s="41"/>
      <c r="B320" s="5" t="n">
        <f aca="false">IF(A320="",0,IFERROR(MATCH(A320,Bank!$A:$A,0),0))</f>
        <v>0</v>
      </c>
      <c r="C320" s="5" t="str">
        <f aca="false">IF(B320=0,"",IF(INDEX(Bank!$G:$G,B320)="","",INDEX(Bank!$G:$G,B320)))</f>
        <v/>
      </c>
      <c r="D320" s="5" t="str">
        <f aca="false">IF(B320=0,"",IF(INDEX(Bank!$J:$J,B320)="","",INDEX(Bank!$J:$J,B320)))</f>
        <v/>
      </c>
      <c r="E320" s="32" t="str">
        <f aca="false">IF(B320=0,"",INDEX(Bank!$B:$B,B320))</f>
        <v/>
      </c>
      <c r="F320" s="5" t="str">
        <f aca="false">IF(B320=0,"",IF(INDEX(Bank!$C:$C,B320)="","",INDEX(Bank!$C:$C,B320)))</f>
        <v/>
      </c>
      <c r="G320" s="19" t="str">
        <f aca="false">IF(B320=0,"",INDEX(Bank!$E:$E,B320))</f>
        <v/>
      </c>
      <c r="H320" s="5" t="str">
        <f aca="false">IF(B320=0,"",IF(INDEX(Bank!$H:$H,B320)="","",INDEX(Bank!$H:$H,B320)))</f>
        <v/>
      </c>
      <c r="I320" s="5" t="n">
        <f aca="false">IF(H320="",0,IFERROR(MATCH(H320,GL!$A:$A,0),0))</f>
        <v>0</v>
      </c>
      <c r="J320" s="32" t="str">
        <f aca="false">IF(I320=0,"",INDEX(GL!$B:$B,I320))</f>
        <v/>
      </c>
      <c r="K320" s="5" t="str">
        <f aca="false">IF(I320=0,"",IF(INDEX(GL!$C:$C,I320)="","",INDEX(GL!$C:$C,I320)))</f>
        <v/>
      </c>
      <c r="L320" s="19" t="str">
        <f aca="false">IF(I320=0,"",INDEX(GL!$E:$E,I320))</f>
        <v/>
      </c>
      <c r="M320" s="19" t="str">
        <f aca="false">IF(OR(B320=0,I320=0),"",ROUND(G320-L320,2))</f>
        <v/>
      </c>
      <c r="N320" s="5" t="str">
        <f aca="false">IF(A320="","",IF(B320=0,"NOT FOUND: bank ID",IF(I320=0,"NOT FOUND: GL ID",IF(INDEX(GL!$H:$H,I320)&lt;&gt;A320,"BROKEN: GL points elsewhere",IF(OR(INDEX(Bank!$F:$F,B320)&lt;&gt;"Y",INDEX(GL!$F:$F,I320)&lt;&gt;"Y"),"BROKEN: Status not Y","OK")))))</f>
        <v/>
      </c>
    </row>
    <row r="321" customFormat="false" ht="15" hidden="false" customHeight="false" outlineLevel="0" collapsed="false">
      <c r="A321" s="41"/>
      <c r="B321" s="5" t="n">
        <f aca="false">IF(A321="",0,IFERROR(MATCH(A321,Bank!$A:$A,0),0))</f>
        <v>0</v>
      </c>
      <c r="C321" s="5" t="str">
        <f aca="false">IF(B321=0,"",IF(INDEX(Bank!$G:$G,B321)="","",INDEX(Bank!$G:$G,B321)))</f>
        <v/>
      </c>
      <c r="D321" s="5" t="str">
        <f aca="false">IF(B321=0,"",IF(INDEX(Bank!$J:$J,B321)="","",INDEX(Bank!$J:$J,B321)))</f>
        <v/>
      </c>
      <c r="E321" s="32" t="str">
        <f aca="false">IF(B321=0,"",INDEX(Bank!$B:$B,B321))</f>
        <v/>
      </c>
      <c r="F321" s="5" t="str">
        <f aca="false">IF(B321=0,"",IF(INDEX(Bank!$C:$C,B321)="","",INDEX(Bank!$C:$C,B321)))</f>
        <v/>
      </c>
      <c r="G321" s="19" t="str">
        <f aca="false">IF(B321=0,"",INDEX(Bank!$E:$E,B321))</f>
        <v/>
      </c>
      <c r="H321" s="5" t="str">
        <f aca="false">IF(B321=0,"",IF(INDEX(Bank!$H:$H,B321)="","",INDEX(Bank!$H:$H,B321)))</f>
        <v/>
      </c>
      <c r="I321" s="5" t="n">
        <f aca="false">IF(H321="",0,IFERROR(MATCH(H321,GL!$A:$A,0),0))</f>
        <v>0</v>
      </c>
      <c r="J321" s="32" t="str">
        <f aca="false">IF(I321=0,"",INDEX(GL!$B:$B,I321))</f>
        <v/>
      </c>
      <c r="K321" s="5" t="str">
        <f aca="false">IF(I321=0,"",IF(INDEX(GL!$C:$C,I321)="","",INDEX(GL!$C:$C,I321)))</f>
        <v/>
      </c>
      <c r="L321" s="19" t="str">
        <f aca="false">IF(I321=0,"",INDEX(GL!$E:$E,I321))</f>
        <v/>
      </c>
      <c r="M321" s="19" t="str">
        <f aca="false">IF(OR(B321=0,I321=0),"",ROUND(G321-L321,2))</f>
        <v/>
      </c>
      <c r="N321" s="5" t="str">
        <f aca="false">IF(A321="","",IF(B321=0,"NOT FOUND: bank ID",IF(I321=0,"NOT FOUND: GL ID",IF(INDEX(GL!$H:$H,I321)&lt;&gt;A321,"BROKEN: GL points elsewhere",IF(OR(INDEX(Bank!$F:$F,B321)&lt;&gt;"Y",INDEX(GL!$F:$F,I321)&lt;&gt;"Y"),"BROKEN: Status not Y","OK")))))</f>
        <v/>
      </c>
    </row>
    <row r="322" customFormat="false" ht="15" hidden="false" customHeight="false" outlineLevel="0" collapsed="false">
      <c r="A322" s="41"/>
      <c r="B322" s="5" t="n">
        <f aca="false">IF(A322="",0,IFERROR(MATCH(A322,Bank!$A:$A,0),0))</f>
        <v>0</v>
      </c>
      <c r="C322" s="5" t="str">
        <f aca="false">IF(B322=0,"",IF(INDEX(Bank!$G:$G,B322)="","",INDEX(Bank!$G:$G,B322)))</f>
        <v/>
      </c>
      <c r="D322" s="5" t="str">
        <f aca="false">IF(B322=0,"",IF(INDEX(Bank!$J:$J,B322)="","",INDEX(Bank!$J:$J,B322)))</f>
        <v/>
      </c>
      <c r="E322" s="32" t="str">
        <f aca="false">IF(B322=0,"",INDEX(Bank!$B:$B,B322))</f>
        <v/>
      </c>
      <c r="F322" s="5" t="str">
        <f aca="false">IF(B322=0,"",IF(INDEX(Bank!$C:$C,B322)="","",INDEX(Bank!$C:$C,B322)))</f>
        <v/>
      </c>
      <c r="G322" s="19" t="str">
        <f aca="false">IF(B322=0,"",INDEX(Bank!$E:$E,B322))</f>
        <v/>
      </c>
      <c r="H322" s="5" t="str">
        <f aca="false">IF(B322=0,"",IF(INDEX(Bank!$H:$H,B322)="","",INDEX(Bank!$H:$H,B322)))</f>
        <v/>
      </c>
      <c r="I322" s="5" t="n">
        <f aca="false">IF(H322="",0,IFERROR(MATCH(H322,GL!$A:$A,0),0))</f>
        <v>0</v>
      </c>
      <c r="J322" s="32" t="str">
        <f aca="false">IF(I322=0,"",INDEX(GL!$B:$B,I322))</f>
        <v/>
      </c>
      <c r="K322" s="5" t="str">
        <f aca="false">IF(I322=0,"",IF(INDEX(GL!$C:$C,I322)="","",INDEX(GL!$C:$C,I322)))</f>
        <v/>
      </c>
      <c r="L322" s="19" t="str">
        <f aca="false">IF(I322=0,"",INDEX(GL!$E:$E,I322))</f>
        <v/>
      </c>
      <c r="M322" s="19" t="str">
        <f aca="false">IF(OR(B322=0,I322=0),"",ROUND(G322-L322,2))</f>
        <v/>
      </c>
      <c r="N322" s="5" t="str">
        <f aca="false">IF(A322="","",IF(B322=0,"NOT FOUND: bank ID",IF(I322=0,"NOT FOUND: GL ID",IF(INDEX(GL!$H:$H,I322)&lt;&gt;A322,"BROKEN: GL points elsewhere",IF(OR(INDEX(Bank!$F:$F,B322)&lt;&gt;"Y",INDEX(GL!$F:$F,I322)&lt;&gt;"Y"),"BROKEN: Status not Y","OK")))))</f>
        <v/>
      </c>
    </row>
    <row r="323" customFormat="false" ht="15" hidden="false" customHeight="false" outlineLevel="0" collapsed="false">
      <c r="A323" s="41"/>
      <c r="B323" s="5" t="n">
        <f aca="false">IF(A323="",0,IFERROR(MATCH(A323,Bank!$A:$A,0),0))</f>
        <v>0</v>
      </c>
      <c r="C323" s="5" t="str">
        <f aca="false">IF(B323=0,"",IF(INDEX(Bank!$G:$G,B323)="","",INDEX(Bank!$G:$G,B323)))</f>
        <v/>
      </c>
      <c r="D323" s="5" t="str">
        <f aca="false">IF(B323=0,"",IF(INDEX(Bank!$J:$J,B323)="","",INDEX(Bank!$J:$J,B323)))</f>
        <v/>
      </c>
      <c r="E323" s="32" t="str">
        <f aca="false">IF(B323=0,"",INDEX(Bank!$B:$B,B323))</f>
        <v/>
      </c>
      <c r="F323" s="5" t="str">
        <f aca="false">IF(B323=0,"",IF(INDEX(Bank!$C:$C,B323)="","",INDEX(Bank!$C:$C,B323)))</f>
        <v/>
      </c>
      <c r="G323" s="19" t="str">
        <f aca="false">IF(B323=0,"",INDEX(Bank!$E:$E,B323))</f>
        <v/>
      </c>
      <c r="H323" s="5" t="str">
        <f aca="false">IF(B323=0,"",IF(INDEX(Bank!$H:$H,B323)="","",INDEX(Bank!$H:$H,B323)))</f>
        <v/>
      </c>
      <c r="I323" s="5" t="n">
        <f aca="false">IF(H323="",0,IFERROR(MATCH(H323,GL!$A:$A,0),0))</f>
        <v>0</v>
      </c>
      <c r="J323" s="32" t="str">
        <f aca="false">IF(I323=0,"",INDEX(GL!$B:$B,I323))</f>
        <v/>
      </c>
      <c r="K323" s="5" t="str">
        <f aca="false">IF(I323=0,"",IF(INDEX(GL!$C:$C,I323)="","",INDEX(GL!$C:$C,I323)))</f>
        <v/>
      </c>
      <c r="L323" s="19" t="str">
        <f aca="false">IF(I323=0,"",INDEX(GL!$E:$E,I323))</f>
        <v/>
      </c>
      <c r="M323" s="19" t="str">
        <f aca="false">IF(OR(B323=0,I323=0),"",ROUND(G323-L323,2))</f>
        <v/>
      </c>
      <c r="N323" s="5" t="str">
        <f aca="false">IF(A323="","",IF(B323=0,"NOT FOUND: bank ID",IF(I323=0,"NOT FOUND: GL ID",IF(INDEX(GL!$H:$H,I323)&lt;&gt;A323,"BROKEN: GL points elsewhere",IF(OR(INDEX(Bank!$F:$F,B323)&lt;&gt;"Y",INDEX(GL!$F:$F,I323)&lt;&gt;"Y"),"BROKEN: Status not Y","OK")))))</f>
        <v/>
      </c>
    </row>
    <row r="324" customFormat="false" ht="15" hidden="false" customHeight="false" outlineLevel="0" collapsed="false">
      <c r="A324" s="41"/>
      <c r="B324" s="5" t="n">
        <f aca="false">IF(A324="",0,IFERROR(MATCH(A324,Bank!$A:$A,0),0))</f>
        <v>0</v>
      </c>
      <c r="C324" s="5" t="str">
        <f aca="false">IF(B324=0,"",IF(INDEX(Bank!$G:$G,B324)="","",INDEX(Bank!$G:$G,B324)))</f>
        <v/>
      </c>
      <c r="D324" s="5" t="str">
        <f aca="false">IF(B324=0,"",IF(INDEX(Bank!$J:$J,B324)="","",INDEX(Bank!$J:$J,B324)))</f>
        <v/>
      </c>
      <c r="E324" s="32" t="str">
        <f aca="false">IF(B324=0,"",INDEX(Bank!$B:$B,B324))</f>
        <v/>
      </c>
      <c r="F324" s="5" t="str">
        <f aca="false">IF(B324=0,"",IF(INDEX(Bank!$C:$C,B324)="","",INDEX(Bank!$C:$C,B324)))</f>
        <v/>
      </c>
      <c r="G324" s="19" t="str">
        <f aca="false">IF(B324=0,"",INDEX(Bank!$E:$E,B324))</f>
        <v/>
      </c>
      <c r="H324" s="5" t="str">
        <f aca="false">IF(B324=0,"",IF(INDEX(Bank!$H:$H,B324)="","",INDEX(Bank!$H:$H,B324)))</f>
        <v/>
      </c>
      <c r="I324" s="5" t="n">
        <f aca="false">IF(H324="",0,IFERROR(MATCH(H324,GL!$A:$A,0),0))</f>
        <v>0</v>
      </c>
      <c r="J324" s="32" t="str">
        <f aca="false">IF(I324=0,"",INDEX(GL!$B:$B,I324))</f>
        <v/>
      </c>
      <c r="K324" s="5" t="str">
        <f aca="false">IF(I324=0,"",IF(INDEX(GL!$C:$C,I324)="","",INDEX(GL!$C:$C,I324)))</f>
        <v/>
      </c>
      <c r="L324" s="19" t="str">
        <f aca="false">IF(I324=0,"",INDEX(GL!$E:$E,I324))</f>
        <v/>
      </c>
      <c r="M324" s="19" t="str">
        <f aca="false">IF(OR(B324=0,I324=0),"",ROUND(G324-L324,2))</f>
        <v/>
      </c>
      <c r="N324" s="5" t="str">
        <f aca="false">IF(A324="","",IF(B324=0,"NOT FOUND: bank ID",IF(I324=0,"NOT FOUND: GL ID",IF(INDEX(GL!$H:$H,I324)&lt;&gt;A324,"BROKEN: GL points elsewhere",IF(OR(INDEX(Bank!$F:$F,B324)&lt;&gt;"Y",INDEX(GL!$F:$F,I324)&lt;&gt;"Y"),"BROKEN: Status not Y","OK")))))</f>
        <v/>
      </c>
    </row>
    <row r="325" customFormat="false" ht="15" hidden="false" customHeight="false" outlineLevel="0" collapsed="false">
      <c r="A325" s="41"/>
      <c r="B325" s="5" t="n">
        <f aca="false">IF(A325="",0,IFERROR(MATCH(A325,Bank!$A:$A,0),0))</f>
        <v>0</v>
      </c>
      <c r="C325" s="5" t="str">
        <f aca="false">IF(B325=0,"",IF(INDEX(Bank!$G:$G,B325)="","",INDEX(Bank!$G:$G,B325)))</f>
        <v/>
      </c>
      <c r="D325" s="5" t="str">
        <f aca="false">IF(B325=0,"",IF(INDEX(Bank!$J:$J,B325)="","",INDEX(Bank!$J:$J,B325)))</f>
        <v/>
      </c>
      <c r="E325" s="32" t="str">
        <f aca="false">IF(B325=0,"",INDEX(Bank!$B:$B,B325))</f>
        <v/>
      </c>
      <c r="F325" s="5" t="str">
        <f aca="false">IF(B325=0,"",IF(INDEX(Bank!$C:$C,B325)="","",INDEX(Bank!$C:$C,B325)))</f>
        <v/>
      </c>
      <c r="G325" s="19" t="str">
        <f aca="false">IF(B325=0,"",INDEX(Bank!$E:$E,B325))</f>
        <v/>
      </c>
      <c r="H325" s="5" t="str">
        <f aca="false">IF(B325=0,"",IF(INDEX(Bank!$H:$H,B325)="","",INDEX(Bank!$H:$H,B325)))</f>
        <v/>
      </c>
      <c r="I325" s="5" t="n">
        <f aca="false">IF(H325="",0,IFERROR(MATCH(H325,GL!$A:$A,0),0))</f>
        <v>0</v>
      </c>
      <c r="J325" s="32" t="str">
        <f aca="false">IF(I325=0,"",INDEX(GL!$B:$B,I325))</f>
        <v/>
      </c>
      <c r="K325" s="5" t="str">
        <f aca="false">IF(I325=0,"",IF(INDEX(GL!$C:$C,I325)="","",INDEX(GL!$C:$C,I325)))</f>
        <v/>
      </c>
      <c r="L325" s="19" t="str">
        <f aca="false">IF(I325=0,"",INDEX(GL!$E:$E,I325))</f>
        <v/>
      </c>
      <c r="M325" s="19" t="str">
        <f aca="false">IF(OR(B325=0,I325=0),"",ROUND(G325-L325,2))</f>
        <v/>
      </c>
      <c r="N325" s="5" t="str">
        <f aca="false">IF(A325="","",IF(B325=0,"NOT FOUND: bank ID",IF(I325=0,"NOT FOUND: GL ID",IF(INDEX(GL!$H:$H,I325)&lt;&gt;A325,"BROKEN: GL points elsewhere",IF(OR(INDEX(Bank!$F:$F,B325)&lt;&gt;"Y",INDEX(GL!$F:$F,I325)&lt;&gt;"Y"),"BROKEN: Status not Y","OK")))))</f>
        <v/>
      </c>
    </row>
    <row r="326" customFormat="false" ht="15" hidden="false" customHeight="false" outlineLevel="0" collapsed="false">
      <c r="A326" s="41"/>
      <c r="B326" s="5" t="n">
        <f aca="false">IF(A326="",0,IFERROR(MATCH(A326,Bank!$A:$A,0),0))</f>
        <v>0</v>
      </c>
      <c r="C326" s="5" t="str">
        <f aca="false">IF(B326=0,"",IF(INDEX(Bank!$G:$G,B326)="","",INDEX(Bank!$G:$G,B326)))</f>
        <v/>
      </c>
      <c r="D326" s="5" t="str">
        <f aca="false">IF(B326=0,"",IF(INDEX(Bank!$J:$J,B326)="","",INDEX(Bank!$J:$J,B326)))</f>
        <v/>
      </c>
      <c r="E326" s="32" t="str">
        <f aca="false">IF(B326=0,"",INDEX(Bank!$B:$B,B326))</f>
        <v/>
      </c>
      <c r="F326" s="5" t="str">
        <f aca="false">IF(B326=0,"",IF(INDEX(Bank!$C:$C,B326)="","",INDEX(Bank!$C:$C,B326)))</f>
        <v/>
      </c>
      <c r="G326" s="19" t="str">
        <f aca="false">IF(B326=0,"",INDEX(Bank!$E:$E,B326))</f>
        <v/>
      </c>
      <c r="H326" s="5" t="str">
        <f aca="false">IF(B326=0,"",IF(INDEX(Bank!$H:$H,B326)="","",INDEX(Bank!$H:$H,B326)))</f>
        <v/>
      </c>
      <c r="I326" s="5" t="n">
        <f aca="false">IF(H326="",0,IFERROR(MATCH(H326,GL!$A:$A,0),0))</f>
        <v>0</v>
      </c>
      <c r="J326" s="32" t="str">
        <f aca="false">IF(I326=0,"",INDEX(GL!$B:$B,I326))</f>
        <v/>
      </c>
      <c r="K326" s="5" t="str">
        <f aca="false">IF(I326=0,"",IF(INDEX(GL!$C:$C,I326)="","",INDEX(GL!$C:$C,I326)))</f>
        <v/>
      </c>
      <c r="L326" s="19" t="str">
        <f aca="false">IF(I326=0,"",INDEX(GL!$E:$E,I326))</f>
        <v/>
      </c>
      <c r="M326" s="19" t="str">
        <f aca="false">IF(OR(B326=0,I326=0),"",ROUND(G326-L326,2))</f>
        <v/>
      </c>
      <c r="N326" s="5" t="str">
        <f aca="false">IF(A326="","",IF(B326=0,"NOT FOUND: bank ID",IF(I326=0,"NOT FOUND: GL ID",IF(INDEX(GL!$H:$H,I326)&lt;&gt;A326,"BROKEN: GL points elsewhere",IF(OR(INDEX(Bank!$F:$F,B326)&lt;&gt;"Y",INDEX(GL!$F:$F,I326)&lt;&gt;"Y"),"BROKEN: Status not Y","OK")))))</f>
        <v/>
      </c>
    </row>
    <row r="327" customFormat="false" ht="15" hidden="false" customHeight="false" outlineLevel="0" collapsed="false">
      <c r="A327" s="41"/>
      <c r="B327" s="5" t="n">
        <f aca="false">IF(A327="",0,IFERROR(MATCH(A327,Bank!$A:$A,0),0))</f>
        <v>0</v>
      </c>
      <c r="C327" s="5" t="str">
        <f aca="false">IF(B327=0,"",IF(INDEX(Bank!$G:$G,B327)="","",INDEX(Bank!$G:$G,B327)))</f>
        <v/>
      </c>
      <c r="D327" s="5" t="str">
        <f aca="false">IF(B327=0,"",IF(INDEX(Bank!$J:$J,B327)="","",INDEX(Bank!$J:$J,B327)))</f>
        <v/>
      </c>
      <c r="E327" s="32" t="str">
        <f aca="false">IF(B327=0,"",INDEX(Bank!$B:$B,B327))</f>
        <v/>
      </c>
      <c r="F327" s="5" t="str">
        <f aca="false">IF(B327=0,"",IF(INDEX(Bank!$C:$C,B327)="","",INDEX(Bank!$C:$C,B327)))</f>
        <v/>
      </c>
      <c r="G327" s="19" t="str">
        <f aca="false">IF(B327=0,"",INDEX(Bank!$E:$E,B327))</f>
        <v/>
      </c>
      <c r="H327" s="5" t="str">
        <f aca="false">IF(B327=0,"",IF(INDEX(Bank!$H:$H,B327)="","",INDEX(Bank!$H:$H,B327)))</f>
        <v/>
      </c>
      <c r="I327" s="5" t="n">
        <f aca="false">IF(H327="",0,IFERROR(MATCH(H327,GL!$A:$A,0),0))</f>
        <v>0</v>
      </c>
      <c r="J327" s="32" t="str">
        <f aca="false">IF(I327=0,"",INDEX(GL!$B:$B,I327))</f>
        <v/>
      </c>
      <c r="K327" s="5" t="str">
        <f aca="false">IF(I327=0,"",IF(INDEX(GL!$C:$C,I327)="","",INDEX(GL!$C:$C,I327)))</f>
        <v/>
      </c>
      <c r="L327" s="19" t="str">
        <f aca="false">IF(I327=0,"",INDEX(GL!$E:$E,I327))</f>
        <v/>
      </c>
      <c r="M327" s="19" t="str">
        <f aca="false">IF(OR(B327=0,I327=0),"",ROUND(G327-L327,2))</f>
        <v/>
      </c>
      <c r="N327" s="5" t="str">
        <f aca="false">IF(A327="","",IF(B327=0,"NOT FOUND: bank ID",IF(I327=0,"NOT FOUND: GL ID",IF(INDEX(GL!$H:$H,I327)&lt;&gt;A327,"BROKEN: GL points elsewhere",IF(OR(INDEX(Bank!$F:$F,B327)&lt;&gt;"Y",INDEX(GL!$F:$F,I327)&lt;&gt;"Y"),"BROKEN: Status not Y","OK")))))</f>
        <v/>
      </c>
    </row>
    <row r="328" customFormat="false" ht="15" hidden="false" customHeight="false" outlineLevel="0" collapsed="false">
      <c r="A328" s="41"/>
      <c r="B328" s="5" t="n">
        <f aca="false">IF(A328="",0,IFERROR(MATCH(A328,Bank!$A:$A,0),0))</f>
        <v>0</v>
      </c>
      <c r="C328" s="5" t="str">
        <f aca="false">IF(B328=0,"",IF(INDEX(Bank!$G:$G,B328)="","",INDEX(Bank!$G:$G,B328)))</f>
        <v/>
      </c>
      <c r="D328" s="5" t="str">
        <f aca="false">IF(B328=0,"",IF(INDEX(Bank!$J:$J,B328)="","",INDEX(Bank!$J:$J,B328)))</f>
        <v/>
      </c>
      <c r="E328" s="32" t="str">
        <f aca="false">IF(B328=0,"",INDEX(Bank!$B:$B,B328))</f>
        <v/>
      </c>
      <c r="F328" s="5" t="str">
        <f aca="false">IF(B328=0,"",IF(INDEX(Bank!$C:$C,B328)="","",INDEX(Bank!$C:$C,B328)))</f>
        <v/>
      </c>
      <c r="G328" s="19" t="str">
        <f aca="false">IF(B328=0,"",INDEX(Bank!$E:$E,B328))</f>
        <v/>
      </c>
      <c r="H328" s="5" t="str">
        <f aca="false">IF(B328=0,"",IF(INDEX(Bank!$H:$H,B328)="","",INDEX(Bank!$H:$H,B328)))</f>
        <v/>
      </c>
      <c r="I328" s="5" t="n">
        <f aca="false">IF(H328="",0,IFERROR(MATCH(H328,GL!$A:$A,0),0))</f>
        <v>0</v>
      </c>
      <c r="J328" s="32" t="str">
        <f aca="false">IF(I328=0,"",INDEX(GL!$B:$B,I328))</f>
        <v/>
      </c>
      <c r="K328" s="5" t="str">
        <f aca="false">IF(I328=0,"",IF(INDEX(GL!$C:$C,I328)="","",INDEX(GL!$C:$C,I328)))</f>
        <v/>
      </c>
      <c r="L328" s="19" t="str">
        <f aca="false">IF(I328=0,"",INDEX(GL!$E:$E,I328))</f>
        <v/>
      </c>
      <c r="M328" s="19" t="str">
        <f aca="false">IF(OR(B328=0,I328=0),"",ROUND(G328-L328,2))</f>
        <v/>
      </c>
      <c r="N328" s="5" t="str">
        <f aca="false">IF(A328="","",IF(B328=0,"NOT FOUND: bank ID",IF(I328=0,"NOT FOUND: GL ID",IF(INDEX(GL!$H:$H,I328)&lt;&gt;A328,"BROKEN: GL points elsewhere",IF(OR(INDEX(Bank!$F:$F,B328)&lt;&gt;"Y",INDEX(GL!$F:$F,I328)&lt;&gt;"Y"),"BROKEN: Status not Y","OK")))))</f>
        <v/>
      </c>
    </row>
    <row r="329" customFormat="false" ht="15" hidden="false" customHeight="false" outlineLevel="0" collapsed="false">
      <c r="A329" s="41"/>
      <c r="B329" s="5" t="n">
        <f aca="false">IF(A329="",0,IFERROR(MATCH(A329,Bank!$A:$A,0),0))</f>
        <v>0</v>
      </c>
      <c r="C329" s="5" t="str">
        <f aca="false">IF(B329=0,"",IF(INDEX(Bank!$G:$G,B329)="","",INDEX(Bank!$G:$G,B329)))</f>
        <v/>
      </c>
      <c r="D329" s="5" t="str">
        <f aca="false">IF(B329=0,"",IF(INDEX(Bank!$J:$J,B329)="","",INDEX(Bank!$J:$J,B329)))</f>
        <v/>
      </c>
      <c r="E329" s="32" t="str">
        <f aca="false">IF(B329=0,"",INDEX(Bank!$B:$B,B329))</f>
        <v/>
      </c>
      <c r="F329" s="5" t="str">
        <f aca="false">IF(B329=0,"",IF(INDEX(Bank!$C:$C,B329)="","",INDEX(Bank!$C:$C,B329)))</f>
        <v/>
      </c>
      <c r="G329" s="19" t="str">
        <f aca="false">IF(B329=0,"",INDEX(Bank!$E:$E,B329))</f>
        <v/>
      </c>
      <c r="H329" s="5" t="str">
        <f aca="false">IF(B329=0,"",IF(INDEX(Bank!$H:$H,B329)="","",INDEX(Bank!$H:$H,B329)))</f>
        <v/>
      </c>
      <c r="I329" s="5" t="n">
        <f aca="false">IF(H329="",0,IFERROR(MATCH(H329,GL!$A:$A,0),0))</f>
        <v>0</v>
      </c>
      <c r="J329" s="32" t="str">
        <f aca="false">IF(I329=0,"",INDEX(GL!$B:$B,I329))</f>
        <v/>
      </c>
      <c r="K329" s="5" t="str">
        <f aca="false">IF(I329=0,"",IF(INDEX(GL!$C:$C,I329)="","",INDEX(GL!$C:$C,I329)))</f>
        <v/>
      </c>
      <c r="L329" s="19" t="str">
        <f aca="false">IF(I329=0,"",INDEX(GL!$E:$E,I329))</f>
        <v/>
      </c>
      <c r="M329" s="19" t="str">
        <f aca="false">IF(OR(B329=0,I329=0),"",ROUND(G329-L329,2))</f>
        <v/>
      </c>
      <c r="N329" s="5" t="str">
        <f aca="false">IF(A329="","",IF(B329=0,"NOT FOUND: bank ID",IF(I329=0,"NOT FOUND: GL ID",IF(INDEX(GL!$H:$H,I329)&lt;&gt;A329,"BROKEN: GL points elsewhere",IF(OR(INDEX(Bank!$F:$F,B329)&lt;&gt;"Y",INDEX(GL!$F:$F,I329)&lt;&gt;"Y"),"BROKEN: Status not Y","OK")))))</f>
        <v/>
      </c>
    </row>
    <row r="330" customFormat="false" ht="15" hidden="false" customHeight="false" outlineLevel="0" collapsed="false">
      <c r="A330" s="41"/>
      <c r="B330" s="5" t="n">
        <f aca="false">IF(A330="",0,IFERROR(MATCH(A330,Bank!$A:$A,0),0))</f>
        <v>0</v>
      </c>
      <c r="C330" s="5" t="str">
        <f aca="false">IF(B330=0,"",IF(INDEX(Bank!$G:$G,B330)="","",INDEX(Bank!$G:$G,B330)))</f>
        <v/>
      </c>
      <c r="D330" s="5" t="str">
        <f aca="false">IF(B330=0,"",IF(INDEX(Bank!$J:$J,B330)="","",INDEX(Bank!$J:$J,B330)))</f>
        <v/>
      </c>
      <c r="E330" s="32" t="str">
        <f aca="false">IF(B330=0,"",INDEX(Bank!$B:$B,B330))</f>
        <v/>
      </c>
      <c r="F330" s="5" t="str">
        <f aca="false">IF(B330=0,"",IF(INDEX(Bank!$C:$C,B330)="","",INDEX(Bank!$C:$C,B330)))</f>
        <v/>
      </c>
      <c r="G330" s="19" t="str">
        <f aca="false">IF(B330=0,"",INDEX(Bank!$E:$E,B330))</f>
        <v/>
      </c>
      <c r="H330" s="5" t="str">
        <f aca="false">IF(B330=0,"",IF(INDEX(Bank!$H:$H,B330)="","",INDEX(Bank!$H:$H,B330)))</f>
        <v/>
      </c>
      <c r="I330" s="5" t="n">
        <f aca="false">IF(H330="",0,IFERROR(MATCH(H330,GL!$A:$A,0),0))</f>
        <v>0</v>
      </c>
      <c r="J330" s="32" t="str">
        <f aca="false">IF(I330=0,"",INDEX(GL!$B:$B,I330))</f>
        <v/>
      </c>
      <c r="K330" s="5" t="str">
        <f aca="false">IF(I330=0,"",IF(INDEX(GL!$C:$C,I330)="","",INDEX(GL!$C:$C,I330)))</f>
        <v/>
      </c>
      <c r="L330" s="19" t="str">
        <f aca="false">IF(I330=0,"",INDEX(GL!$E:$E,I330))</f>
        <v/>
      </c>
      <c r="M330" s="19" t="str">
        <f aca="false">IF(OR(B330=0,I330=0),"",ROUND(G330-L330,2))</f>
        <v/>
      </c>
      <c r="N330" s="5" t="str">
        <f aca="false">IF(A330="","",IF(B330=0,"NOT FOUND: bank ID",IF(I330=0,"NOT FOUND: GL ID",IF(INDEX(GL!$H:$H,I330)&lt;&gt;A330,"BROKEN: GL points elsewhere",IF(OR(INDEX(Bank!$F:$F,B330)&lt;&gt;"Y",INDEX(GL!$F:$F,I330)&lt;&gt;"Y"),"BROKEN: Status not Y","OK")))))</f>
        <v/>
      </c>
    </row>
    <row r="331" customFormat="false" ht="15" hidden="false" customHeight="false" outlineLevel="0" collapsed="false">
      <c r="A331" s="41"/>
      <c r="B331" s="5" t="n">
        <f aca="false">IF(A331="",0,IFERROR(MATCH(A331,Bank!$A:$A,0),0))</f>
        <v>0</v>
      </c>
      <c r="C331" s="5" t="str">
        <f aca="false">IF(B331=0,"",IF(INDEX(Bank!$G:$G,B331)="","",INDEX(Bank!$G:$G,B331)))</f>
        <v/>
      </c>
      <c r="D331" s="5" t="str">
        <f aca="false">IF(B331=0,"",IF(INDEX(Bank!$J:$J,B331)="","",INDEX(Bank!$J:$J,B331)))</f>
        <v/>
      </c>
      <c r="E331" s="32" t="str">
        <f aca="false">IF(B331=0,"",INDEX(Bank!$B:$B,B331))</f>
        <v/>
      </c>
      <c r="F331" s="5" t="str">
        <f aca="false">IF(B331=0,"",IF(INDEX(Bank!$C:$C,B331)="","",INDEX(Bank!$C:$C,B331)))</f>
        <v/>
      </c>
      <c r="G331" s="19" t="str">
        <f aca="false">IF(B331=0,"",INDEX(Bank!$E:$E,B331))</f>
        <v/>
      </c>
      <c r="H331" s="5" t="str">
        <f aca="false">IF(B331=0,"",IF(INDEX(Bank!$H:$H,B331)="","",INDEX(Bank!$H:$H,B331)))</f>
        <v/>
      </c>
      <c r="I331" s="5" t="n">
        <f aca="false">IF(H331="",0,IFERROR(MATCH(H331,GL!$A:$A,0),0))</f>
        <v>0</v>
      </c>
      <c r="J331" s="32" t="str">
        <f aca="false">IF(I331=0,"",INDEX(GL!$B:$B,I331))</f>
        <v/>
      </c>
      <c r="K331" s="5" t="str">
        <f aca="false">IF(I331=0,"",IF(INDEX(GL!$C:$C,I331)="","",INDEX(GL!$C:$C,I331)))</f>
        <v/>
      </c>
      <c r="L331" s="19" t="str">
        <f aca="false">IF(I331=0,"",INDEX(GL!$E:$E,I331))</f>
        <v/>
      </c>
      <c r="M331" s="19" t="str">
        <f aca="false">IF(OR(B331=0,I331=0),"",ROUND(G331-L331,2))</f>
        <v/>
      </c>
      <c r="N331" s="5" t="str">
        <f aca="false">IF(A331="","",IF(B331=0,"NOT FOUND: bank ID",IF(I331=0,"NOT FOUND: GL ID",IF(INDEX(GL!$H:$H,I331)&lt;&gt;A331,"BROKEN: GL points elsewhere",IF(OR(INDEX(Bank!$F:$F,B331)&lt;&gt;"Y",INDEX(GL!$F:$F,I331)&lt;&gt;"Y"),"BROKEN: Status not Y","OK")))))</f>
        <v/>
      </c>
    </row>
    <row r="332" customFormat="false" ht="15" hidden="false" customHeight="false" outlineLevel="0" collapsed="false">
      <c r="A332" s="41"/>
      <c r="B332" s="5" t="n">
        <f aca="false">IF(A332="",0,IFERROR(MATCH(A332,Bank!$A:$A,0),0))</f>
        <v>0</v>
      </c>
      <c r="C332" s="5" t="str">
        <f aca="false">IF(B332=0,"",IF(INDEX(Bank!$G:$G,B332)="","",INDEX(Bank!$G:$G,B332)))</f>
        <v/>
      </c>
      <c r="D332" s="5" t="str">
        <f aca="false">IF(B332=0,"",IF(INDEX(Bank!$J:$J,B332)="","",INDEX(Bank!$J:$J,B332)))</f>
        <v/>
      </c>
      <c r="E332" s="32" t="str">
        <f aca="false">IF(B332=0,"",INDEX(Bank!$B:$B,B332))</f>
        <v/>
      </c>
      <c r="F332" s="5" t="str">
        <f aca="false">IF(B332=0,"",IF(INDEX(Bank!$C:$C,B332)="","",INDEX(Bank!$C:$C,B332)))</f>
        <v/>
      </c>
      <c r="G332" s="19" t="str">
        <f aca="false">IF(B332=0,"",INDEX(Bank!$E:$E,B332))</f>
        <v/>
      </c>
      <c r="H332" s="5" t="str">
        <f aca="false">IF(B332=0,"",IF(INDEX(Bank!$H:$H,B332)="","",INDEX(Bank!$H:$H,B332)))</f>
        <v/>
      </c>
      <c r="I332" s="5" t="n">
        <f aca="false">IF(H332="",0,IFERROR(MATCH(H332,GL!$A:$A,0),0))</f>
        <v>0</v>
      </c>
      <c r="J332" s="32" t="str">
        <f aca="false">IF(I332=0,"",INDEX(GL!$B:$B,I332))</f>
        <v/>
      </c>
      <c r="K332" s="5" t="str">
        <f aca="false">IF(I332=0,"",IF(INDEX(GL!$C:$C,I332)="","",INDEX(GL!$C:$C,I332)))</f>
        <v/>
      </c>
      <c r="L332" s="19" t="str">
        <f aca="false">IF(I332=0,"",INDEX(GL!$E:$E,I332))</f>
        <v/>
      </c>
      <c r="M332" s="19" t="str">
        <f aca="false">IF(OR(B332=0,I332=0),"",ROUND(G332-L332,2))</f>
        <v/>
      </c>
      <c r="N332" s="5" t="str">
        <f aca="false">IF(A332="","",IF(B332=0,"NOT FOUND: bank ID",IF(I332=0,"NOT FOUND: GL ID",IF(INDEX(GL!$H:$H,I332)&lt;&gt;A332,"BROKEN: GL points elsewhere",IF(OR(INDEX(Bank!$F:$F,B332)&lt;&gt;"Y",INDEX(GL!$F:$F,I332)&lt;&gt;"Y"),"BROKEN: Status not Y","OK")))))</f>
        <v/>
      </c>
    </row>
    <row r="333" customFormat="false" ht="15" hidden="false" customHeight="false" outlineLevel="0" collapsed="false">
      <c r="A333" s="41"/>
      <c r="B333" s="5" t="n">
        <f aca="false">IF(A333="",0,IFERROR(MATCH(A333,Bank!$A:$A,0),0))</f>
        <v>0</v>
      </c>
      <c r="C333" s="5" t="str">
        <f aca="false">IF(B333=0,"",IF(INDEX(Bank!$G:$G,B333)="","",INDEX(Bank!$G:$G,B333)))</f>
        <v/>
      </c>
      <c r="D333" s="5" t="str">
        <f aca="false">IF(B333=0,"",IF(INDEX(Bank!$J:$J,B333)="","",INDEX(Bank!$J:$J,B333)))</f>
        <v/>
      </c>
      <c r="E333" s="32" t="str">
        <f aca="false">IF(B333=0,"",INDEX(Bank!$B:$B,B333))</f>
        <v/>
      </c>
      <c r="F333" s="5" t="str">
        <f aca="false">IF(B333=0,"",IF(INDEX(Bank!$C:$C,B333)="","",INDEX(Bank!$C:$C,B333)))</f>
        <v/>
      </c>
      <c r="G333" s="19" t="str">
        <f aca="false">IF(B333=0,"",INDEX(Bank!$E:$E,B333))</f>
        <v/>
      </c>
      <c r="H333" s="5" t="str">
        <f aca="false">IF(B333=0,"",IF(INDEX(Bank!$H:$H,B333)="","",INDEX(Bank!$H:$H,B333)))</f>
        <v/>
      </c>
      <c r="I333" s="5" t="n">
        <f aca="false">IF(H333="",0,IFERROR(MATCH(H333,GL!$A:$A,0),0))</f>
        <v>0</v>
      </c>
      <c r="J333" s="32" t="str">
        <f aca="false">IF(I333=0,"",INDEX(GL!$B:$B,I333))</f>
        <v/>
      </c>
      <c r="K333" s="5" t="str">
        <f aca="false">IF(I333=0,"",IF(INDEX(GL!$C:$C,I333)="","",INDEX(GL!$C:$C,I333)))</f>
        <v/>
      </c>
      <c r="L333" s="19" t="str">
        <f aca="false">IF(I333=0,"",INDEX(GL!$E:$E,I333))</f>
        <v/>
      </c>
      <c r="M333" s="19" t="str">
        <f aca="false">IF(OR(B333=0,I333=0),"",ROUND(G333-L333,2))</f>
        <v/>
      </c>
      <c r="N333" s="5" t="str">
        <f aca="false">IF(A333="","",IF(B333=0,"NOT FOUND: bank ID",IF(I333=0,"NOT FOUND: GL ID",IF(INDEX(GL!$H:$H,I333)&lt;&gt;A333,"BROKEN: GL points elsewhere",IF(OR(INDEX(Bank!$F:$F,B333)&lt;&gt;"Y",INDEX(GL!$F:$F,I333)&lt;&gt;"Y"),"BROKEN: Status not Y","OK")))))</f>
        <v/>
      </c>
    </row>
    <row r="334" customFormat="false" ht="15" hidden="false" customHeight="false" outlineLevel="0" collapsed="false">
      <c r="A334" s="41"/>
      <c r="B334" s="5" t="n">
        <f aca="false">IF(A334="",0,IFERROR(MATCH(A334,Bank!$A:$A,0),0))</f>
        <v>0</v>
      </c>
      <c r="C334" s="5" t="str">
        <f aca="false">IF(B334=0,"",IF(INDEX(Bank!$G:$G,B334)="","",INDEX(Bank!$G:$G,B334)))</f>
        <v/>
      </c>
      <c r="D334" s="5" t="str">
        <f aca="false">IF(B334=0,"",IF(INDEX(Bank!$J:$J,B334)="","",INDEX(Bank!$J:$J,B334)))</f>
        <v/>
      </c>
      <c r="E334" s="32" t="str">
        <f aca="false">IF(B334=0,"",INDEX(Bank!$B:$B,B334))</f>
        <v/>
      </c>
      <c r="F334" s="5" t="str">
        <f aca="false">IF(B334=0,"",IF(INDEX(Bank!$C:$C,B334)="","",INDEX(Bank!$C:$C,B334)))</f>
        <v/>
      </c>
      <c r="G334" s="19" t="str">
        <f aca="false">IF(B334=0,"",INDEX(Bank!$E:$E,B334))</f>
        <v/>
      </c>
      <c r="H334" s="5" t="str">
        <f aca="false">IF(B334=0,"",IF(INDEX(Bank!$H:$H,B334)="","",INDEX(Bank!$H:$H,B334)))</f>
        <v/>
      </c>
      <c r="I334" s="5" t="n">
        <f aca="false">IF(H334="",0,IFERROR(MATCH(H334,GL!$A:$A,0),0))</f>
        <v>0</v>
      </c>
      <c r="J334" s="32" t="str">
        <f aca="false">IF(I334=0,"",INDEX(GL!$B:$B,I334))</f>
        <v/>
      </c>
      <c r="K334" s="5" t="str">
        <f aca="false">IF(I334=0,"",IF(INDEX(GL!$C:$C,I334)="","",INDEX(GL!$C:$C,I334)))</f>
        <v/>
      </c>
      <c r="L334" s="19" t="str">
        <f aca="false">IF(I334=0,"",INDEX(GL!$E:$E,I334))</f>
        <v/>
      </c>
      <c r="M334" s="19" t="str">
        <f aca="false">IF(OR(B334=0,I334=0),"",ROUND(G334-L334,2))</f>
        <v/>
      </c>
      <c r="N334" s="5" t="str">
        <f aca="false">IF(A334="","",IF(B334=0,"NOT FOUND: bank ID",IF(I334=0,"NOT FOUND: GL ID",IF(INDEX(GL!$H:$H,I334)&lt;&gt;A334,"BROKEN: GL points elsewhere",IF(OR(INDEX(Bank!$F:$F,B334)&lt;&gt;"Y",INDEX(GL!$F:$F,I334)&lt;&gt;"Y"),"BROKEN: Status not Y","OK")))))</f>
        <v/>
      </c>
    </row>
    <row r="335" customFormat="false" ht="15" hidden="false" customHeight="false" outlineLevel="0" collapsed="false">
      <c r="A335" s="41"/>
      <c r="B335" s="5" t="n">
        <f aca="false">IF(A335="",0,IFERROR(MATCH(A335,Bank!$A:$A,0),0))</f>
        <v>0</v>
      </c>
      <c r="C335" s="5" t="str">
        <f aca="false">IF(B335=0,"",IF(INDEX(Bank!$G:$G,B335)="","",INDEX(Bank!$G:$G,B335)))</f>
        <v/>
      </c>
      <c r="D335" s="5" t="str">
        <f aca="false">IF(B335=0,"",IF(INDEX(Bank!$J:$J,B335)="","",INDEX(Bank!$J:$J,B335)))</f>
        <v/>
      </c>
      <c r="E335" s="32" t="str">
        <f aca="false">IF(B335=0,"",INDEX(Bank!$B:$B,B335))</f>
        <v/>
      </c>
      <c r="F335" s="5" t="str">
        <f aca="false">IF(B335=0,"",IF(INDEX(Bank!$C:$C,B335)="","",INDEX(Bank!$C:$C,B335)))</f>
        <v/>
      </c>
      <c r="G335" s="19" t="str">
        <f aca="false">IF(B335=0,"",INDEX(Bank!$E:$E,B335))</f>
        <v/>
      </c>
      <c r="H335" s="5" t="str">
        <f aca="false">IF(B335=0,"",IF(INDEX(Bank!$H:$H,B335)="","",INDEX(Bank!$H:$H,B335)))</f>
        <v/>
      </c>
      <c r="I335" s="5" t="n">
        <f aca="false">IF(H335="",0,IFERROR(MATCH(H335,GL!$A:$A,0),0))</f>
        <v>0</v>
      </c>
      <c r="J335" s="32" t="str">
        <f aca="false">IF(I335=0,"",INDEX(GL!$B:$B,I335))</f>
        <v/>
      </c>
      <c r="K335" s="5" t="str">
        <f aca="false">IF(I335=0,"",IF(INDEX(GL!$C:$C,I335)="","",INDEX(GL!$C:$C,I335)))</f>
        <v/>
      </c>
      <c r="L335" s="19" t="str">
        <f aca="false">IF(I335=0,"",INDEX(GL!$E:$E,I335))</f>
        <v/>
      </c>
      <c r="M335" s="19" t="str">
        <f aca="false">IF(OR(B335=0,I335=0),"",ROUND(G335-L335,2))</f>
        <v/>
      </c>
      <c r="N335" s="5" t="str">
        <f aca="false">IF(A335="","",IF(B335=0,"NOT FOUND: bank ID",IF(I335=0,"NOT FOUND: GL ID",IF(INDEX(GL!$H:$H,I335)&lt;&gt;A335,"BROKEN: GL points elsewhere",IF(OR(INDEX(Bank!$F:$F,B335)&lt;&gt;"Y",INDEX(GL!$F:$F,I335)&lt;&gt;"Y"),"BROKEN: Status not Y","OK")))))</f>
        <v/>
      </c>
    </row>
    <row r="336" customFormat="false" ht="15" hidden="false" customHeight="false" outlineLevel="0" collapsed="false">
      <c r="A336" s="41"/>
      <c r="B336" s="5" t="n">
        <f aca="false">IF(A336="",0,IFERROR(MATCH(A336,Bank!$A:$A,0),0))</f>
        <v>0</v>
      </c>
      <c r="C336" s="5" t="str">
        <f aca="false">IF(B336=0,"",IF(INDEX(Bank!$G:$G,B336)="","",INDEX(Bank!$G:$G,B336)))</f>
        <v/>
      </c>
      <c r="D336" s="5" t="str">
        <f aca="false">IF(B336=0,"",IF(INDEX(Bank!$J:$J,B336)="","",INDEX(Bank!$J:$J,B336)))</f>
        <v/>
      </c>
      <c r="E336" s="32" t="str">
        <f aca="false">IF(B336=0,"",INDEX(Bank!$B:$B,B336))</f>
        <v/>
      </c>
      <c r="F336" s="5" t="str">
        <f aca="false">IF(B336=0,"",IF(INDEX(Bank!$C:$C,B336)="","",INDEX(Bank!$C:$C,B336)))</f>
        <v/>
      </c>
      <c r="G336" s="19" t="str">
        <f aca="false">IF(B336=0,"",INDEX(Bank!$E:$E,B336))</f>
        <v/>
      </c>
      <c r="H336" s="5" t="str">
        <f aca="false">IF(B336=0,"",IF(INDEX(Bank!$H:$H,B336)="","",INDEX(Bank!$H:$H,B336)))</f>
        <v/>
      </c>
      <c r="I336" s="5" t="n">
        <f aca="false">IF(H336="",0,IFERROR(MATCH(H336,GL!$A:$A,0),0))</f>
        <v>0</v>
      </c>
      <c r="J336" s="32" t="str">
        <f aca="false">IF(I336=0,"",INDEX(GL!$B:$B,I336))</f>
        <v/>
      </c>
      <c r="K336" s="5" t="str">
        <f aca="false">IF(I336=0,"",IF(INDEX(GL!$C:$C,I336)="","",INDEX(GL!$C:$C,I336)))</f>
        <v/>
      </c>
      <c r="L336" s="19" t="str">
        <f aca="false">IF(I336=0,"",INDEX(GL!$E:$E,I336))</f>
        <v/>
      </c>
      <c r="M336" s="19" t="str">
        <f aca="false">IF(OR(B336=0,I336=0),"",ROUND(G336-L336,2))</f>
        <v/>
      </c>
      <c r="N336" s="5" t="str">
        <f aca="false">IF(A336="","",IF(B336=0,"NOT FOUND: bank ID",IF(I336=0,"NOT FOUND: GL ID",IF(INDEX(GL!$H:$H,I336)&lt;&gt;A336,"BROKEN: GL points elsewhere",IF(OR(INDEX(Bank!$F:$F,B336)&lt;&gt;"Y",INDEX(GL!$F:$F,I336)&lt;&gt;"Y"),"BROKEN: Status not Y","OK")))))</f>
        <v/>
      </c>
    </row>
    <row r="337" customFormat="false" ht="15" hidden="false" customHeight="false" outlineLevel="0" collapsed="false">
      <c r="A337" s="41"/>
      <c r="B337" s="5" t="n">
        <f aca="false">IF(A337="",0,IFERROR(MATCH(A337,Bank!$A:$A,0),0))</f>
        <v>0</v>
      </c>
      <c r="C337" s="5" t="str">
        <f aca="false">IF(B337=0,"",IF(INDEX(Bank!$G:$G,B337)="","",INDEX(Bank!$G:$G,B337)))</f>
        <v/>
      </c>
      <c r="D337" s="5" t="str">
        <f aca="false">IF(B337=0,"",IF(INDEX(Bank!$J:$J,B337)="","",INDEX(Bank!$J:$J,B337)))</f>
        <v/>
      </c>
      <c r="E337" s="32" t="str">
        <f aca="false">IF(B337=0,"",INDEX(Bank!$B:$B,B337))</f>
        <v/>
      </c>
      <c r="F337" s="5" t="str">
        <f aca="false">IF(B337=0,"",IF(INDEX(Bank!$C:$C,B337)="","",INDEX(Bank!$C:$C,B337)))</f>
        <v/>
      </c>
      <c r="G337" s="19" t="str">
        <f aca="false">IF(B337=0,"",INDEX(Bank!$E:$E,B337))</f>
        <v/>
      </c>
      <c r="H337" s="5" t="str">
        <f aca="false">IF(B337=0,"",IF(INDEX(Bank!$H:$H,B337)="","",INDEX(Bank!$H:$H,B337)))</f>
        <v/>
      </c>
      <c r="I337" s="5" t="n">
        <f aca="false">IF(H337="",0,IFERROR(MATCH(H337,GL!$A:$A,0),0))</f>
        <v>0</v>
      </c>
      <c r="J337" s="32" t="str">
        <f aca="false">IF(I337=0,"",INDEX(GL!$B:$B,I337))</f>
        <v/>
      </c>
      <c r="K337" s="5" t="str">
        <f aca="false">IF(I337=0,"",IF(INDEX(GL!$C:$C,I337)="","",INDEX(GL!$C:$C,I337)))</f>
        <v/>
      </c>
      <c r="L337" s="19" t="str">
        <f aca="false">IF(I337=0,"",INDEX(GL!$E:$E,I337))</f>
        <v/>
      </c>
      <c r="M337" s="19" t="str">
        <f aca="false">IF(OR(B337=0,I337=0),"",ROUND(G337-L337,2))</f>
        <v/>
      </c>
      <c r="N337" s="5" t="str">
        <f aca="false">IF(A337="","",IF(B337=0,"NOT FOUND: bank ID",IF(I337=0,"NOT FOUND: GL ID",IF(INDEX(GL!$H:$H,I337)&lt;&gt;A337,"BROKEN: GL points elsewhere",IF(OR(INDEX(Bank!$F:$F,B337)&lt;&gt;"Y",INDEX(GL!$F:$F,I337)&lt;&gt;"Y"),"BROKEN: Status not Y","OK")))))</f>
        <v/>
      </c>
    </row>
    <row r="338" customFormat="false" ht="15" hidden="false" customHeight="false" outlineLevel="0" collapsed="false">
      <c r="A338" s="41"/>
      <c r="B338" s="5" t="n">
        <f aca="false">IF(A338="",0,IFERROR(MATCH(A338,Bank!$A:$A,0),0))</f>
        <v>0</v>
      </c>
      <c r="C338" s="5" t="str">
        <f aca="false">IF(B338=0,"",IF(INDEX(Bank!$G:$G,B338)="","",INDEX(Bank!$G:$G,B338)))</f>
        <v/>
      </c>
      <c r="D338" s="5" t="str">
        <f aca="false">IF(B338=0,"",IF(INDEX(Bank!$J:$J,B338)="","",INDEX(Bank!$J:$J,B338)))</f>
        <v/>
      </c>
      <c r="E338" s="32" t="str">
        <f aca="false">IF(B338=0,"",INDEX(Bank!$B:$B,B338))</f>
        <v/>
      </c>
      <c r="F338" s="5" t="str">
        <f aca="false">IF(B338=0,"",IF(INDEX(Bank!$C:$C,B338)="","",INDEX(Bank!$C:$C,B338)))</f>
        <v/>
      </c>
      <c r="G338" s="19" t="str">
        <f aca="false">IF(B338=0,"",INDEX(Bank!$E:$E,B338))</f>
        <v/>
      </c>
      <c r="H338" s="5" t="str">
        <f aca="false">IF(B338=0,"",IF(INDEX(Bank!$H:$H,B338)="","",INDEX(Bank!$H:$H,B338)))</f>
        <v/>
      </c>
      <c r="I338" s="5" t="n">
        <f aca="false">IF(H338="",0,IFERROR(MATCH(H338,GL!$A:$A,0),0))</f>
        <v>0</v>
      </c>
      <c r="J338" s="32" t="str">
        <f aca="false">IF(I338=0,"",INDEX(GL!$B:$B,I338))</f>
        <v/>
      </c>
      <c r="K338" s="5" t="str">
        <f aca="false">IF(I338=0,"",IF(INDEX(GL!$C:$C,I338)="","",INDEX(GL!$C:$C,I338)))</f>
        <v/>
      </c>
      <c r="L338" s="19" t="str">
        <f aca="false">IF(I338=0,"",INDEX(GL!$E:$E,I338))</f>
        <v/>
      </c>
      <c r="M338" s="19" t="str">
        <f aca="false">IF(OR(B338=0,I338=0),"",ROUND(G338-L338,2))</f>
        <v/>
      </c>
      <c r="N338" s="5" t="str">
        <f aca="false">IF(A338="","",IF(B338=0,"NOT FOUND: bank ID",IF(I338=0,"NOT FOUND: GL ID",IF(INDEX(GL!$H:$H,I338)&lt;&gt;A338,"BROKEN: GL points elsewhere",IF(OR(INDEX(Bank!$F:$F,B338)&lt;&gt;"Y",INDEX(GL!$F:$F,I338)&lt;&gt;"Y"),"BROKEN: Status not Y","OK")))))</f>
        <v/>
      </c>
    </row>
    <row r="339" customFormat="false" ht="15" hidden="false" customHeight="false" outlineLevel="0" collapsed="false">
      <c r="A339" s="41"/>
      <c r="B339" s="5" t="n">
        <f aca="false">IF(A339="",0,IFERROR(MATCH(A339,Bank!$A:$A,0),0))</f>
        <v>0</v>
      </c>
      <c r="C339" s="5" t="str">
        <f aca="false">IF(B339=0,"",IF(INDEX(Bank!$G:$G,B339)="","",INDEX(Bank!$G:$G,B339)))</f>
        <v/>
      </c>
      <c r="D339" s="5" t="str">
        <f aca="false">IF(B339=0,"",IF(INDEX(Bank!$J:$J,B339)="","",INDEX(Bank!$J:$J,B339)))</f>
        <v/>
      </c>
      <c r="E339" s="32" t="str">
        <f aca="false">IF(B339=0,"",INDEX(Bank!$B:$B,B339))</f>
        <v/>
      </c>
      <c r="F339" s="5" t="str">
        <f aca="false">IF(B339=0,"",IF(INDEX(Bank!$C:$C,B339)="","",INDEX(Bank!$C:$C,B339)))</f>
        <v/>
      </c>
      <c r="G339" s="19" t="str">
        <f aca="false">IF(B339=0,"",INDEX(Bank!$E:$E,B339))</f>
        <v/>
      </c>
      <c r="H339" s="5" t="str">
        <f aca="false">IF(B339=0,"",IF(INDEX(Bank!$H:$H,B339)="","",INDEX(Bank!$H:$H,B339)))</f>
        <v/>
      </c>
      <c r="I339" s="5" t="n">
        <f aca="false">IF(H339="",0,IFERROR(MATCH(H339,GL!$A:$A,0),0))</f>
        <v>0</v>
      </c>
      <c r="J339" s="32" t="str">
        <f aca="false">IF(I339=0,"",INDEX(GL!$B:$B,I339))</f>
        <v/>
      </c>
      <c r="K339" s="5" t="str">
        <f aca="false">IF(I339=0,"",IF(INDEX(GL!$C:$C,I339)="","",INDEX(GL!$C:$C,I339)))</f>
        <v/>
      </c>
      <c r="L339" s="19" t="str">
        <f aca="false">IF(I339=0,"",INDEX(GL!$E:$E,I339))</f>
        <v/>
      </c>
      <c r="M339" s="19" t="str">
        <f aca="false">IF(OR(B339=0,I339=0),"",ROUND(G339-L339,2))</f>
        <v/>
      </c>
      <c r="N339" s="5" t="str">
        <f aca="false">IF(A339="","",IF(B339=0,"NOT FOUND: bank ID",IF(I339=0,"NOT FOUND: GL ID",IF(INDEX(GL!$H:$H,I339)&lt;&gt;A339,"BROKEN: GL points elsewhere",IF(OR(INDEX(Bank!$F:$F,B339)&lt;&gt;"Y",INDEX(GL!$F:$F,I339)&lt;&gt;"Y"),"BROKEN: Status not Y","OK")))))</f>
        <v/>
      </c>
    </row>
    <row r="340" customFormat="false" ht="15" hidden="false" customHeight="false" outlineLevel="0" collapsed="false">
      <c r="A340" s="41"/>
      <c r="B340" s="5" t="n">
        <f aca="false">IF(A340="",0,IFERROR(MATCH(A340,Bank!$A:$A,0),0))</f>
        <v>0</v>
      </c>
      <c r="C340" s="5" t="str">
        <f aca="false">IF(B340=0,"",IF(INDEX(Bank!$G:$G,B340)="","",INDEX(Bank!$G:$G,B340)))</f>
        <v/>
      </c>
      <c r="D340" s="5" t="str">
        <f aca="false">IF(B340=0,"",IF(INDEX(Bank!$J:$J,B340)="","",INDEX(Bank!$J:$J,B340)))</f>
        <v/>
      </c>
      <c r="E340" s="32" t="str">
        <f aca="false">IF(B340=0,"",INDEX(Bank!$B:$B,B340))</f>
        <v/>
      </c>
      <c r="F340" s="5" t="str">
        <f aca="false">IF(B340=0,"",IF(INDEX(Bank!$C:$C,B340)="","",INDEX(Bank!$C:$C,B340)))</f>
        <v/>
      </c>
      <c r="G340" s="19" t="str">
        <f aca="false">IF(B340=0,"",INDEX(Bank!$E:$E,B340))</f>
        <v/>
      </c>
      <c r="H340" s="5" t="str">
        <f aca="false">IF(B340=0,"",IF(INDEX(Bank!$H:$H,B340)="","",INDEX(Bank!$H:$H,B340)))</f>
        <v/>
      </c>
      <c r="I340" s="5" t="n">
        <f aca="false">IF(H340="",0,IFERROR(MATCH(H340,GL!$A:$A,0),0))</f>
        <v>0</v>
      </c>
      <c r="J340" s="32" t="str">
        <f aca="false">IF(I340=0,"",INDEX(GL!$B:$B,I340))</f>
        <v/>
      </c>
      <c r="K340" s="5" t="str">
        <f aca="false">IF(I340=0,"",IF(INDEX(GL!$C:$C,I340)="","",INDEX(GL!$C:$C,I340)))</f>
        <v/>
      </c>
      <c r="L340" s="19" t="str">
        <f aca="false">IF(I340=0,"",INDEX(GL!$E:$E,I340))</f>
        <v/>
      </c>
      <c r="M340" s="19" t="str">
        <f aca="false">IF(OR(B340=0,I340=0),"",ROUND(G340-L340,2))</f>
        <v/>
      </c>
      <c r="N340" s="5" t="str">
        <f aca="false">IF(A340="","",IF(B340=0,"NOT FOUND: bank ID",IF(I340=0,"NOT FOUND: GL ID",IF(INDEX(GL!$H:$H,I340)&lt;&gt;A340,"BROKEN: GL points elsewhere",IF(OR(INDEX(Bank!$F:$F,B340)&lt;&gt;"Y",INDEX(GL!$F:$F,I340)&lt;&gt;"Y"),"BROKEN: Status not Y","OK")))))</f>
        <v/>
      </c>
    </row>
    <row r="341" customFormat="false" ht="15" hidden="false" customHeight="false" outlineLevel="0" collapsed="false">
      <c r="A341" s="41"/>
      <c r="B341" s="5" t="n">
        <f aca="false">IF(A341="",0,IFERROR(MATCH(A341,Bank!$A:$A,0),0))</f>
        <v>0</v>
      </c>
      <c r="C341" s="5" t="str">
        <f aca="false">IF(B341=0,"",IF(INDEX(Bank!$G:$G,B341)="","",INDEX(Bank!$G:$G,B341)))</f>
        <v/>
      </c>
      <c r="D341" s="5" t="str">
        <f aca="false">IF(B341=0,"",IF(INDEX(Bank!$J:$J,B341)="","",INDEX(Bank!$J:$J,B341)))</f>
        <v/>
      </c>
      <c r="E341" s="32" t="str">
        <f aca="false">IF(B341=0,"",INDEX(Bank!$B:$B,B341))</f>
        <v/>
      </c>
      <c r="F341" s="5" t="str">
        <f aca="false">IF(B341=0,"",IF(INDEX(Bank!$C:$C,B341)="","",INDEX(Bank!$C:$C,B341)))</f>
        <v/>
      </c>
      <c r="G341" s="19" t="str">
        <f aca="false">IF(B341=0,"",INDEX(Bank!$E:$E,B341))</f>
        <v/>
      </c>
      <c r="H341" s="5" t="str">
        <f aca="false">IF(B341=0,"",IF(INDEX(Bank!$H:$H,B341)="","",INDEX(Bank!$H:$H,B341)))</f>
        <v/>
      </c>
      <c r="I341" s="5" t="n">
        <f aca="false">IF(H341="",0,IFERROR(MATCH(H341,GL!$A:$A,0),0))</f>
        <v>0</v>
      </c>
      <c r="J341" s="32" t="str">
        <f aca="false">IF(I341=0,"",INDEX(GL!$B:$B,I341))</f>
        <v/>
      </c>
      <c r="K341" s="5" t="str">
        <f aca="false">IF(I341=0,"",IF(INDEX(GL!$C:$C,I341)="","",INDEX(GL!$C:$C,I341)))</f>
        <v/>
      </c>
      <c r="L341" s="19" t="str">
        <f aca="false">IF(I341=0,"",INDEX(GL!$E:$E,I341))</f>
        <v/>
      </c>
      <c r="M341" s="19" t="str">
        <f aca="false">IF(OR(B341=0,I341=0),"",ROUND(G341-L341,2))</f>
        <v/>
      </c>
      <c r="N341" s="5" t="str">
        <f aca="false">IF(A341="","",IF(B341=0,"NOT FOUND: bank ID",IF(I341=0,"NOT FOUND: GL ID",IF(INDEX(GL!$H:$H,I341)&lt;&gt;A341,"BROKEN: GL points elsewhere",IF(OR(INDEX(Bank!$F:$F,B341)&lt;&gt;"Y",INDEX(GL!$F:$F,I341)&lt;&gt;"Y"),"BROKEN: Status not Y","OK")))))</f>
        <v/>
      </c>
    </row>
    <row r="342" customFormat="false" ht="15" hidden="false" customHeight="false" outlineLevel="0" collapsed="false">
      <c r="A342" s="41"/>
      <c r="B342" s="5" t="n">
        <f aca="false">IF(A342="",0,IFERROR(MATCH(A342,Bank!$A:$A,0),0))</f>
        <v>0</v>
      </c>
      <c r="C342" s="5" t="str">
        <f aca="false">IF(B342=0,"",IF(INDEX(Bank!$G:$G,B342)="","",INDEX(Bank!$G:$G,B342)))</f>
        <v/>
      </c>
      <c r="D342" s="5" t="str">
        <f aca="false">IF(B342=0,"",IF(INDEX(Bank!$J:$J,B342)="","",INDEX(Bank!$J:$J,B342)))</f>
        <v/>
      </c>
      <c r="E342" s="32" t="str">
        <f aca="false">IF(B342=0,"",INDEX(Bank!$B:$B,B342))</f>
        <v/>
      </c>
      <c r="F342" s="5" t="str">
        <f aca="false">IF(B342=0,"",IF(INDEX(Bank!$C:$C,B342)="","",INDEX(Bank!$C:$C,B342)))</f>
        <v/>
      </c>
      <c r="G342" s="19" t="str">
        <f aca="false">IF(B342=0,"",INDEX(Bank!$E:$E,B342))</f>
        <v/>
      </c>
      <c r="H342" s="5" t="str">
        <f aca="false">IF(B342=0,"",IF(INDEX(Bank!$H:$H,B342)="","",INDEX(Bank!$H:$H,B342)))</f>
        <v/>
      </c>
      <c r="I342" s="5" t="n">
        <f aca="false">IF(H342="",0,IFERROR(MATCH(H342,GL!$A:$A,0),0))</f>
        <v>0</v>
      </c>
      <c r="J342" s="32" t="str">
        <f aca="false">IF(I342=0,"",INDEX(GL!$B:$B,I342))</f>
        <v/>
      </c>
      <c r="K342" s="5" t="str">
        <f aca="false">IF(I342=0,"",IF(INDEX(GL!$C:$C,I342)="","",INDEX(GL!$C:$C,I342)))</f>
        <v/>
      </c>
      <c r="L342" s="19" t="str">
        <f aca="false">IF(I342=0,"",INDEX(GL!$E:$E,I342))</f>
        <v/>
      </c>
      <c r="M342" s="19" t="str">
        <f aca="false">IF(OR(B342=0,I342=0),"",ROUND(G342-L342,2))</f>
        <v/>
      </c>
      <c r="N342" s="5" t="str">
        <f aca="false">IF(A342="","",IF(B342=0,"NOT FOUND: bank ID",IF(I342=0,"NOT FOUND: GL ID",IF(INDEX(GL!$H:$H,I342)&lt;&gt;A342,"BROKEN: GL points elsewhere",IF(OR(INDEX(Bank!$F:$F,B342)&lt;&gt;"Y",INDEX(GL!$F:$F,I342)&lt;&gt;"Y"),"BROKEN: Status not Y","OK")))))</f>
        <v/>
      </c>
    </row>
    <row r="343" customFormat="false" ht="15" hidden="false" customHeight="false" outlineLevel="0" collapsed="false">
      <c r="A343" s="41"/>
      <c r="B343" s="5" t="n">
        <f aca="false">IF(A343="",0,IFERROR(MATCH(A343,Bank!$A:$A,0),0))</f>
        <v>0</v>
      </c>
      <c r="C343" s="5" t="str">
        <f aca="false">IF(B343=0,"",IF(INDEX(Bank!$G:$G,B343)="","",INDEX(Bank!$G:$G,B343)))</f>
        <v/>
      </c>
      <c r="D343" s="5" t="str">
        <f aca="false">IF(B343=0,"",IF(INDEX(Bank!$J:$J,B343)="","",INDEX(Bank!$J:$J,B343)))</f>
        <v/>
      </c>
      <c r="E343" s="32" t="str">
        <f aca="false">IF(B343=0,"",INDEX(Bank!$B:$B,B343))</f>
        <v/>
      </c>
      <c r="F343" s="5" t="str">
        <f aca="false">IF(B343=0,"",IF(INDEX(Bank!$C:$C,B343)="","",INDEX(Bank!$C:$C,B343)))</f>
        <v/>
      </c>
      <c r="G343" s="19" t="str">
        <f aca="false">IF(B343=0,"",INDEX(Bank!$E:$E,B343))</f>
        <v/>
      </c>
      <c r="H343" s="5" t="str">
        <f aca="false">IF(B343=0,"",IF(INDEX(Bank!$H:$H,B343)="","",INDEX(Bank!$H:$H,B343)))</f>
        <v/>
      </c>
      <c r="I343" s="5" t="n">
        <f aca="false">IF(H343="",0,IFERROR(MATCH(H343,GL!$A:$A,0),0))</f>
        <v>0</v>
      </c>
      <c r="J343" s="32" t="str">
        <f aca="false">IF(I343=0,"",INDEX(GL!$B:$B,I343))</f>
        <v/>
      </c>
      <c r="K343" s="5" t="str">
        <f aca="false">IF(I343=0,"",IF(INDEX(GL!$C:$C,I343)="","",INDEX(GL!$C:$C,I343)))</f>
        <v/>
      </c>
      <c r="L343" s="19" t="str">
        <f aca="false">IF(I343=0,"",INDEX(GL!$E:$E,I343))</f>
        <v/>
      </c>
      <c r="M343" s="19" t="str">
        <f aca="false">IF(OR(B343=0,I343=0),"",ROUND(G343-L343,2))</f>
        <v/>
      </c>
      <c r="N343" s="5" t="str">
        <f aca="false">IF(A343="","",IF(B343=0,"NOT FOUND: bank ID",IF(I343=0,"NOT FOUND: GL ID",IF(INDEX(GL!$H:$H,I343)&lt;&gt;A343,"BROKEN: GL points elsewhere",IF(OR(INDEX(Bank!$F:$F,B343)&lt;&gt;"Y",INDEX(GL!$F:$F,I343)&lt;&gt;"Y"),"BROKEN: Status not Y","OK")))))</f>
        <v/>
      </c>
    </row>
    <row r="344" customFormat="false" ht="15" hidden="false" customHeight="false" outlineLevel="0" collapsed="false">
      <c r="A344" s="41"/>
      <c r="B344" s="5" t="n">
        <f aca="false">IF(A344="",0,IFERROR(MATCH(A344,Bank!$A:$A,0),0))</f>
        <v>0</v>
      </c>
      <c r="C344" s="5" t="str">
        <f aca="false">IF(B344=0,"",IF(INDEX(Bank!$G:$G,B344)="","",INDEX(Bank!$G:$G,B344)))</f>
        <v/>
      </c>
      <c r="D344" s="5" t="str">
        <f aca="false">IF(B344=0,"",IF(INDEX(Bank!$J:$J,B344)="","",INDEX(Bank!$J:$J,B344)))</f>
        <v/>
      </c>
      <c r="E344" s="32" t="str">
        <f aca="false">IF(B344=0,"",INDEX(Bank!$B:$B,B344))</f>
        <v/>
      </c>
      <c r="F344" s="5" t="str">
        <f aca="false">IF(B344=0,"",IF(INDEX(Bank!$C:$C,B344)="","",INDEX(Bank!$C:$C,B344)))</f>
        <v/>
      </c>
      <c r="G344" s="19" t="str">
        <f aca="false">IF(B344=0,"",INDEX(Bank!$E:$E,B344))</f>
        <v/>
      </c>
      <c r="H344" s="5" t="str">
        <f aca="false">IF(B344=0,"",IF(INDEX(Bank!$H:$H,B344)="","",INDEX(Bank!$H:$H,B344)))</f>
        <v/>
      </c>
      <c r="I344" s="5" t="n">
        <f aca="false">IF(H344="",0,IFERROR(MATCH(H344,GL!$A:$A,0),0))</f>
        <v>0</v>
      </c>
      <c r="J344" s="32" t="str">
        <f aca="false">IF(I344=0,"",INDEX(GL!$B:$B,I344))</f>
        <v/>
      </c>
      <c r="K344" s="5" t="str">
        <f aca="false">IF(I344=0,"",IF(INDEX(GL!$C:$C,I344)="","",INDEX(GL!$C:$C,I344)))</f>
        <v/>
      </c>
      <c r="L344" s="19" t="str">
        <f aca="false">IF(I344=0,"",INDEX(GL!$E:$E,I344))</f>
        <v/>
      </c>
      <c r="M344" s="19" t="str">
        <f aca="false">IF(OR(B344=0,I344=0),"",ROUND(G344-L344,2))</f>
        <v/>
      </c>
      <c r="N344" s="5" t="str">
        <f aca="false">IF(A344="","",IF(B344=0,"NOT FOUND: bank ID",IF(I344=0,"NOT FOUND: GL ID",IF(INDEX(GL!$H:$H,I344)&lt;&gt;A344,"BROKEN: GL points elsewhere",IF(OR(INDEX(Bank!$F:$F,B344)&lt;&gt;"Y",INDEX(GL!$F:$F,I344)&lt;&gt;"Y"),"BROKEN: Status not Y","OK")))))</f>
        <v/>
      </c>
    </row>
    <row r="345" customFormat="false" ht="15" hidden="false" customHeight="false" outlineLevel="0" collapsed="false">
      <c r="A345" s="41"/>
      <c r="B345" s="5" t="n">
        <f aca="false">IF(A345="",0,IFERROR(MATCH(A345,Bank!$A:$A,0),0))</f>
        <v>0</v>
      </c>
      <c r="C345" s="5" t="str">
        <f aca="false">IF(B345=0,"",IF(INDEX(Bank!$G:$G,B345)="","",INDEX(Bank!$G:$G,B345)))</f>
        <v/>
      </c>
      <c r="D345" s="5" t="str">
        <f aca="false">IF(B345=0,"",IF(INDEX(Bank!$J:$J,B345)="","",INDEX(Bank!$J:$J,B345)))</f>
        <v/>
      </c>
      <c r="E345" s="32" t="str">
        <f aca="false">IF(B345=0,"",INDEX(Bank!$B:$B,B345))</f>
        <v/>
      </c>
      <c r="F345" s="5" t="str">
        <f aca="false">IF(B345=0,"",IF(INDEX(Bank!$C:$C,B345)="","",INDEX(Bank!$C:$C,B345)))</f>
        <v/>
      </c>
      <c r="G345" s="19" t="str">
        <f aca="false">IF(B345=0,"",INDEX(Bank!$E:$E,B345))</f>
        <v/>
      </c>
      <c r="H345" s="5" t="str">
        <f aca="false">IF(B345=0,"",IF(INDEX(Bank!$H:$H,B345)="","",INDEX(Bank!$H:$H,B345)))</f>
        <v/>
      </c>
      <c r="I345" s="5" t="n">
        <f aca="false">IF(H345="",0,IFERROR(MATCH(H345,GL!$A:$A,0),0))</f>
        <v>0</v>
      </c>
      <c r="J345" s="32" t="str">
        <f aca="false">IF(I345=0,"",INDEX(GL!$B:$B,I345))</f>
        <v/>
      </c>
      <c r="K345" s="5" t="str">
        <f aca="false">IF(I345=0,"",IF(INDEX(GL!$C:$C,I345)="","",INDEX(GL!$C:$C,I345)))</f>
        <v/>
      </c>
      <c r="L345" s="19" t="str">
        <f aca="false">IF(I345=0,"",INDEX(GL!$E:$E,I345))</f>
        <v/>
      </c>
      <c r="M345" s="19" t="str">
        <f aca="false">IF(OR(B345=0,I345=0),"",ROUND(G345-L345,2))</f>
        <v/>
      </c>
      <c r="N345" s="5" t="str">
        <f aca="false">IF(A345="","",IF(B345=0,"NOT FOUND: bank ID",IF(I345=0,"NOT FOUND: GL ID",IF(INDEX(GL!$H:$H,I345)&lt;&gt;A345,"BROKEN: GL points elsewhere",IF(OR(INDEX(Bank!$F:$F,B345)&lt;&gt;"Y",INDEX(GL!$F:$F,I345)&lt;&gt;"Y"),"BROKEN: Status not Y","OK")))))</f>
        <v/>
      </c>
    </row>
    <row r="346" customFormat="false" ht="15" hidden="false" customHeight="false" outlineLevel="0" collapsed="false">
      <c r="A346" s="41"/>
      <c r="B346" s="5" t="n">
        <f aca="false">IF(A346="",0,IFERROR(MATCH(A346,Bank!$A:$A,0),0))</f>
        <v>0</v>
      </c>
      <c r="C346" s="5" t="str">
        <f aca="false">IF(B346=0,"",IF(INDEX(Bank!$G:$G,B346)="","",INDEX(Bank!$G:$G,B346)))</f>
        <v/>
      </c>
      <c r="D346" s="5" t="str">
        <f aca="false">IF(B346=0,"",IF(INDEX(Bank!$J:$J,B346)="","",INDEX(Bank!$J:$J,B346)))</f>
        <v/>
      </c>
      <c r="E346" s="32" t="str">
        <f aca="false">IF(B346=0,"",INDEX(Bank!$B:$B,B346))</f>
        <v/>
      </c>
      <c r="F346" s="5" t="str">
        <f aca="false">IF(B346=0,"",IF(INDEX(Bank!$C:$C,B346)="","",INDEX(Bank!$C:$C,B346)))</f>
        <v/>
      </c>
      <c r="G346" s="19" t="str">
        <f aca="false">IF(B346=0,"",INDEX(Bank!$E:$E,B346))</f>
        <v/>
      </c>
      <c r="H346" s="5" t="str">
        <f aca="false">IF(B346=0,"",IF(INDEX(Bank!$H:$H,B346)="","",INDEX(Bank!$H:$H,B346)))</f>
        <v/>
      </c>
      <c r="I346" s="5" t="n">
        <f aca="false">IF(H346="",0,IFERROR(MATCH(H346,GL!$A:$A,0),0))</f>
        <v>0</v>
      </c>
      <c r="J346" s="32" t="str">
        <f aca="false">IF(I346=0,"",INDEX(GL!$B:$B,I346))</f>
        <v/>
      </c>
      <c r="K346" s="5" t="str">
        <f aca="false">IF(I346=0,"",IF(INDEX(GL!$C:$C,I346)="","",INDEX(GL!$C:$C,I346)))</f>
        <v/>
      </c>
      <c r="L346" s="19" t="str">
        <f aca="false">IF(I346=0,"",INDEX(GL!$E:$E,I346))</f>
        <v/>
      </c>
      <c r="M346" s="19" t="str">
        <f aca="false">IF(OR(B346=0,I346=0),"",ROUND(G346-L346,2))</f>
        <v/>
      </c>
      <c r="N346" s="5" t="str">
        <f aca="false">IF(A346="","",IF(B346=0,"NOT FOUND: bank ID",IF(I346=0,"NOT FOUND: GL ID",IF(INDEX(GL!$H:$H,I346)&lt;&gt;A346,"BROKEN: GL points elsewhere",IF(OR(INDEX(Bank!$F:$F,B346)&lt;&gt;"Y",INDEX(GL!$F:$F,I346)&lt;&gt;"Y"),"BROKEN: Status not Y","OK")))))</f>
        <v/>
      </c>
    </row>
    <row r="347" customFormat="false" ht="15" hidden="false" customHeight="false" outlineLevel="0" collapsed="false">
      <c r="A347" s="41"/>
      <c r="B347" s="5" t="n">
        <f aca="false">IF(A347="",0,IFERROR(MATCH(A347,Bank!$A:$A,0),0))</f>
        <v>0</v>
      </c>
      <c r="C347" s="5" t="str">
        <f aca="false">IF(B347=0,"",IF(INDEX(Bank!$G:$G,B347)="","",INDEX(Bank!$G:$G,B347)))</f>
        <v/>
      </c>
      <c r="D347" s="5" t="str">
        <f aca="false">IF(B347=0,"",IF(INDEX(Bank!$J:$J,B347)="","",INDEX(Bank!$J:$J,B347)))</f>
        <v/>
      </c>
      <c r="E347" s="32" t="str">
        <f aca="false">IF(B347=0,"",INDEX(Bank!$B:$B,B347))</f>
        <v/>
      </c>
      <c r="F347" s="5" t="str">
        <f aca="false">IF(B347=0,"",IF(INDEX(Bank!$C:$C,B347)="","",INDEX(Bank!$C:$C,B347)))</f>
        <v/>
      </c>
      <c r="G347" s="19" t="str">
        <f aca="false">IF(B347=0,"",INDEX(Bank!$E:$E,B347))</f>
        <v/>
      </c>
      <c r="H347" s="5" t="str">
        <f aca="false">IF(B347=0,"",IF(INDEX(Bank!$H:$H,B347)="","",INDEX(Bank!$H:$H,B347)))</f>
        <v/>
      </c>
      <c r="I347" s="5" t="n">
        <f aca="false">IF(H347="",0,IFERROR(MATCH(H347,GL!$A:$A,0),0))</f>
        <v>0</v>
      </c>
      <c r="J347" s="32" t="str">
        <f aca="false">IF(I347=0,"",INDEX(GL!$B:$B,I347))</f>
        <v/>
      </c>
      <c r="K347" s="5" t="str">
        <f aca="false">IF(I347=0,"",IF(INDEX(GL!$C:$C,I347)="","",INDEX(GL!$C:$C,I347)))</f>
        <v/>
      </c>
      <c r="L347" s="19" t="str">
        <f aca="false">IF(I347=0,"",INDEX(GL!$E:$E,I347))</f>
        <v/>
      </c>
      <c r="M347" s="19" t="str">
        <f aca="false">IF(OR(B347=0,I347=0),"",ROUND(G347-L347,2))</f>
        <v/>
      </c>
      <c r="N347" s="5" t="str">
        <f aca="false">IF(A347="","",IF(B347=0,"NOT FOUND: bank ID",IF(I347=0,"NOT FOUND: GL ID",IF(INDEX(GL!$H:$H,I347)&lt;&gt;A347,"BROKEN: GL points elsewhere",IF(OR(INDEX(Bank!$F:$F,B347)&lt;&gt;"Y",INDEX(GL!$F:$F,I347)&lt;&gt;"Y"),"BROKEN: Status not Y","OK")))))</f>
        <v/>
      </c>
    </row>
    <row r="348" customFormat="false" ht="15" hidden="false" customHeight="false" outlineLevel="0" collapsed="false">
      <c r="A348" s="41"/>
      <c r="B348" s="5" t="n">
        <f aca="false">IF(A348="",0,IFERROR(MATCH(A348,Bank!$A:$A,0),0))</f>
        <v>0</v>
      </c>
      <c r="C348" s="5" t="str">
        <f aca="false">IF(B348=0,"",IF(INDEX(Bank!$G:$G,B348)="","",INDEX(Bank!$G:$G,B348)))</f>
        <v/>
      </c>
      <c r="D348" s="5" t="str">
        <f aca="false">IF(B348=0,"",IF(INDEX(Bank!$J:$J,B348)="","",INDEX(Bank!$J:$J,B348)))</f>
        <v/>
      </c>
      <c r="E348" s="32" t="str">
        <f aca="false">IF(B348=0,"",INDEX(Bank!$B:$B,B348))</f>
        <v/>
      </c>
      <c r="F348" s="5" t="str">
        <f aca="false">IF(B348=0,"",IF(INDEX(Bank!$C:$C,B348)="","",INDEX(Bank!$C:$C,B348)))</f>
        <v/>
      </c>
      <c r="G348" s="19" t="str">
        <f aca="false">IF(B348=0,"",INDEX(Bank!$E:$E,B348))</f>
        <v/>
      </c>
      <c r="H348" s="5" t="str">
        <f aca="false">IF(B348=0,"",IF(INDEX(Bank!$H:$H,B348)="","",INDEX(Bank!$H:$H,B348)))</f>
        <v/>
      </c>
      <c r="I348" s="5" t="n">
        <f aca="false">IF(H348="",0,IFERROR(MATCH(H348,GL!$A:$A,0),0))</f>
        <v>0</v>
      </c>
      <c r="J348" s="32" t="str">
        <f aca="false">IF(I348=0,"",INDEX(GL!$B:$B,I348))</f>
        <v/>
      </c>
      <c r="K348" s="5" t="str">
        <f aca="false">IF(I348=0,"",IF(INDEX(GL!$C:$C,I348)="","",INDEX(GL!$C:$C,I348)))</f>
        <v/>
      </c>
      <c r="L348" s="19" t="str">
        <f aca="false">IF(I348=0,"",INDEX(GL!$E:$E,I348))</f>
        <v/>
      </c>
      <c r="M348" s="19" t="str">
        <f aca="false">IF(OR(B348=0,I348=0),"",ROUND(G348-L348,2))</f>
        <v/>
      </c>
      <c r="N348" s="5" t="str">
        <f aca="false">IF(A348="","",IF(B348=0,"NOT FOUND: bank ID",IF(I348=0,"NOT FOUND: GL ID",IF(INDEX(GL!$H:$H,I348)&lt;&gt;A348,"BROKEN: GL points elsewhere",IF(OR(INDEX(Bank!$F:$F,B348)&lt;&gt;"Y",INDEX(GL!$F:$F,I348)&lt;&gt;"Y"),"BROKEN: Status not Y","OK")))))</f>
        <v/>
      </c>
    </row>
    <row r="349" customFormat="false" ht="15" hidden="false" customHeight="false" outlineLevel="0" collapsed="false">
      <c r="A349" s="41"/>
      <c r="B349" s="5" t="n">
        <f aca="false">IF(A349="",0,IFERROR(MATCH(A349,Bank!$A:$A,0),0))</f>
        <v>0</v>
      </c>
      <c r="C349" s="5" t="str">
        <f aca="false">IF(B349=0,"",IF(INDEX(Bank!$G:$G,B349)="","",INDEX(Bank!$G:$G,B349)))</f>
        <v/>
      </c>
      <c r="D349" s="5" t="str">
        <f aca="false">IF(B349=0,"",IF(INDEX(Bank!$J:$J,B349)="","",INDEX(Bank!$J:$J,B349)))</f>
        <v/>
      </c>
      <c r="E349" s="32" t="str">
        <f aca="false">IF(B349=0,"",INDEX(Bank!$B:$B,B349))</f>
        <v/>
      </c>
      <c r="F349" s="5" t="str">
        <f aca="false">IF(B349=0,"",IF(INDEX(Bank!$C:$C,B349)="","",INDEX(Bank!$C:$C,B349)))</f>
        <v/>
      </c>
      <c r="G349" s="19" t="str">
        <f aca="false">IF(B349=0,"",INDEX(Bank!$E:$E,B349))</f>
        <v/>
      </c>
      <c r="H349" s="5" t="str">
        <f aca="false">IF(B349=0,"",IF(INDEX(Bank!$H:$H,B349)="","",INDEX(Bank!$H:$H,B349)))</f>
        <v/>
      </c>
      <c r="I349" s="5" t="n">
        <f aca="false">IF(H349="",0,IFERROR(MATCH(H349,GL!$A:$A,0),0))</f>
        <v>0</v>
      </c>
      <c r="J349" s="32" t="str">
        <f aca="false">IF(I349=0,"",INDEX(GL!$B:$B,I349))</f>
        <v/>
      </c>
      <c r="K349" s="5" t="str">
        <f aca="false">IF(I349=0,"",IF(INDEX(GL!$C:$C,I349)="","",INDEX(GL!$C:$C,I349)))</f>
        <v/>
      </c>
      <c r="L349" s="19" t="str">
        <f aca="false">IF(I349=0,"",INDEX(GL!$E:$E,I349))</f>
        <v/>
      </c>
      <c r="M349" s="19" t="str">
        <f aca="false">IF(OR(B349=0,I349=0),"",ROUND(G349-L349,2))</f>
        <v/>
      </c>
      <c r="N349" s="5" t="str">
        <f aca="false">IF(A349="","",IF(B349=0,"NOT FOUND: bank ID",IF(I349=0,"NOT FOUND: GL ID",IF(INDEX(GL!$H:$H,I349)&lt;&gt;A349,"BROKEN: GL points elsewhere",IF(OR(INDEX(Bank!$F:$F,B349)&lt;&gt;"Y",INDEX(GL!$F:$F,I349)&lt;&gt;"Y"),"BROKEN: Status not Y","OK")))))</f>
        <v/>
      </c>
    </row>
    <row r="350" customFormat="false" ht="15" hidden="false" customHeight="false" outlineLevel="0" collapsed="false">
      <c r="A350" s="41"/>
      <c r="B350" s="5" t="n">
        <f aca="false">IF(A350="",0,IFERROR(MATCH(A350,Bank!$A:$A,0),0))</f>
        <v>0</v>
      </c>
      <c r="C350" s="5" t="str">
        <f aca="false">IF(B350=0,"",IF(INDEX(Bank!$G:$G,B350)="","",INDEX(Bank!$G:$G,B350)))</f>
        <v/>
      </c>
      <c r="D350" s="5" t="str">
        <f aca="false">IF(B350=0,"",IF(INDEX(Bank!$J:$J,B350)="","",INDEX(Bank!$J:$J,B350)))</f>
        <v/>
      </c>
      <c r="E350" s="32" t="str">
        <f aca="false">IF(B350=0,"",INDEX(Bank!$B:$B,B350))</f>
        <v/>
      </c>
      <c r="F350" s="5" t="str">
        <f aca="false">IF(B350=0,"",IF(INDEX(Bank!$C:$C,B350)="","",INDEX(Bank!$C:$C,B350)))</f>
        <v/>
      </c>
      <c r="G350" s="19" t="str">
        <f aca="false">IF(B350=0,"",INDEX(Bank!$E:$E,B350))</f>
        <v/>
      </c>
      <c r="H350" s="5" t="str">
        <f aca="false">IF(B350=0,"",IF(INDEX(Bank!$H:$H,B350)="","",INDEX(Bank!$H:$H,B350)))</f>
        <v/>
      </c>
      <c r="I350" s="5" t="n">
        <f aca="false">IF(H350="",0,IFERROR(MATCH(H350,GL!$A:$A,0),0))</f>
        <v>0</v>
      </c>
      <c r="J350" s="32" t="str">
        <f aca="false">IF(I350=0,"",INDEX(GL!$B:$B,I350))</f>
        <v/>
      </c>
      <c r="K350" s="5" t="str">
        <f aca="false">IF(I350=0,"",IF(INDEX(GL!$C:$C,I350)="","",INDEX(GL!$C:$C,I350)))</f>
        <v/>
      </c>
      <c r="L350" s="19" t="str">
        <f aca="false">IF(I350=0,"",INDEX(GL!$E:$E,I350))</f>
        <v/>
      </c>
      <c r="M350" s="19" t="str">
        <f aca="false">IF(OR(B350=0,I350=0),"",ROUND(G350-L350,2))</f>
        <v/>
      </c>
      <c r="N350" s="5" t="str">
        <f aca="false">IF(A350="","",IF(B350=0,"NOT FOUND: bank ID",IF(I350=0,"NOT FOUND: GL ID",IF(INDEX(GL!$H:$H,I350)&lt;&gt;A350,"BROKEN: GL points elsewhere",IF(OR(INDEX(Bank!$F:$F,B350)&lt;&gt;"Y",INDEX(GL!$F:$F,I350)&lt;&gt;"Y"),"BROKEN: Status not Y","OK")))))</f>
        <v/>
      </c>
    </row>
    <row r="351" customFormat="false" ht="15" hidden="false" customHeight="false" outlineLevel="0" collapsed="false">
      <c r="A351" s="41"/>
      <c r="B351" s="5" t="n">
        <f aca="false">IF(A351="",0,IFERROR(MATCH(A351,Bank!$A:$A,0),0))</f>
        <v>0</v>
      </c>
      <c r="C351" s="5" t="str">
        <f aca="false">IF(B351=0,"",IF(INDEX(Bank!$G:$G,B351)="","",INDEX(Bank!$G:$G,B351)))</f>
        <v/>
      </c>
      <c r="D351" s="5" t="str">
        <f aca="false">IF(B351=0,"",IF(INDEX(Bank!$J:$J,B351)="","",INDEX(Bank!$J:$J,B351)))</f>
        <v/>
      </c>
      <c r="E351" s="32" t="str">
        <f aca="false">IF(B351=0,"",INDEX(Bank!$B:$B,B351))</f>
        <v/>
      </c>
      <c r="F351" s="5" t="str">
        <f aca="false">IF(B351=0,"",IF(INDEX(Bank!$C:$C,B351)="","",INDEX(Bank!$C:$C,B351)))</f>
        <v/>
      </c>
      <c r="G351" s="19" t="str">
        <f aca="false">IF(B351=0,"",INDEX(Bank!$E:$E,B351))</f>
        <v/>
      </c>
      <c r="H351" s="5" t="str">
        <f aca="false">IF(B351=0,"",IF(INDEX(Bank!$H:$H,B351)="","",INDEX(Bank!$H:$H,B351)))</f>
        <v/>
      </c>
      <c r="I351" s="5" t="n">
        <f aca="false">IF(H351="",0,IFERROR(MATCH(H351,GL!$A:$A,0),0))</f>
        <v>0</v>
      </c>
      <c r="J351" s="32" t="str">
        <f aca="false">IF(I351=0,"",INDEX(GL!$B:$B,I351))</f>
        <v/>
      </c>
      <c r="K351" s="5" t="str">
        <f aca="false">IF(I351=0,"",IF(INDEX(GL!$C:$C,I351)="","",INDEX(GL!$C:$C,I351)))</f>
        <v/>
      </c>
      <c r="L351" s="19" t="str">
        <f aca="false">IF(I351=0,"",INDEX(GL!$E:$E,I351))</f>
        <v/>
      </c>
      <c r="M351" s="19" t="str">
        <f aca="false">IF(OR(B351=0,I351=0),"",ROUND(G351-L351,2))</f>
        <v/>
      </c>
      <c r="N351" s="5" t="str">
        <f aca="false">IF(A351="","",IF(B351=0,"NOT FOUND: bank ID",IF(I351=0,"NOT FOUND: GL ID",IF(INDEX(GL!$H:$H,I351)&lt;&gt;A351,"BROKEN: GL points elsewhere",IF(OR(INDEX(Bank!$F:$F,B351)&lt;&gt;"Y",INDEX(GL!$F:$F,I351)&lt;&gt;"Y"),"BROKEN: Status not Y","OK")))))</f>
        <v/>
      </c>
    </row>
    <row r="352" customFormat="false" ht="15" hidden="false" customHeight="false" outlineLevel="0" collapsed="false">
      <c r="A352" s="41"/>
      <c r="B352" s="5" t="n">
        <f aca="false">IF(A352="",0,IFERROR(MATCH(A352,Bank!$A:$A,0),0))</f>
        <v>0</v>
      </c>
      <c r="C352" s="5" t="str">
        <f aca="false">IF(B352=0,"",IF(INDEX(Bank!$G:$G,B352)="","",INDEX(Bank!$G:$G,B352)))</f>
        <v/>
      </c>
      <c r="D352" s="5" t="str">
        <f aca="false">IF(B352=0,"",IF(INDEX(Bank!$J:$J,B352)="","",INDEX(Bank!$J:$J,B352)))</f>
        <v/>
      </c>
      <c r="E352" s="32" t="str">
        <f aca="false">IF(B352=0,"",INDEX(Bank!$B:$B,B352))</f>
        <v/>
      </c>
      <c r="F352" s="5" t="str">
        <f aca="false">IF(B352=0,"",IF(INDEX(Bank!$C:$C,B352)="","",INDEX(Bank!$C:$C,B352)))</f>
        <v/>
      </c>
      <c r="G352" s="19" t="str">
        <f aca="false">IF(B352=0,"",INDEX(Bank!$E:$E,B352))</f>
        <v/>
      </c>
      <c r="H352" s="5" t="str">
        <f aca="false">IF(B352=0,"",IF(INDEX(Bank!$H:$H,B352)="","",INDEX(Bank!$H:$H,B352)))</f>
        <v/>
      </c>
      <c r="I352" s="5" t="n">
        <f aca="false">IF(H352="",0,IFERROR(MATCH(H352,GL!$A:$A,0),0))</f>
        <v>0</v>
      </c>
      <c r="J352" s="32" t="str">
        <f aca="false">IF(I352=0,"",INDEX(GL!$B:$B,I352))</f>
        <v/>
      </c>
      <c r="K352" s="5" t="str">
        <f aca="false">IF(I352=0,"",IF(INDEX(GL!$C:$C,I352)="","",INDEX(GL!$C:$C,I352)))</f>
        <v/>
      </c>
      <c r="L352" s="19" t="str">
        <f aca="false">IF(I352=0,"",INDEX(GL!$E:$E,I352))</f>
        <v/>
      </c>
      <c r="M352" s="19" t="str">
        <f aca="false">IF(OR(B352=0,I352=0),"",ROUND(G352-L352,2))</f>
        <v/>
      </c>
      <c r="N352" s="5" t="str">
        <f aca="false">IF(A352="","",IF(B352=0,"NOT FOUND: bank ID",IF(I352=0,"NOT FOUND: GL ID",IF(INDEX(GL!$H:$H,I352)&lt;&gt;A352,"BROKEN: GL points elsewhere",IF(OR(INDEX(Bank!$F:$F,B352)&lt;&gt;"Y",INDEX(GL!$F:$F,I352)&lt;&gt;"Y"),"BROKEN: Status not Y","OK")))))</f>
        <v/>
      </c>
    </row>
    <row r="353" customFormat="false" ht="15" hidden="false" customHeight="false" outlineLevel="0" collapsed="false">
      <c r="A353" s="41"/>
      <c r="B353" s="5" t="n">
        <f aca="false">IF(A353="",0,IFERROR(MATCH(A353,Bank!$A:$A,0),0))</f>
        <v>0</v>
      </c>
      <c r="C353" s="5" t="str">
        <f aca="false">IF(B353=0,"",IF(INDEX(Bank!$G:$G,B353)="","",INDEX(Bank!$G:$G,B353)))</f>
        <v/>
      </c>
      <c r="D353" s="5" t="str">
        <f aca="false">IF(B353=0,"",IF(INDEX(Bank!$J:$J,B353)="","",INDEX(Bank!$J:$J,B353)))</f>
        <v/>
      </c>
      <c r="E353" s="32" t="str">
        <f aca="false">IF(B353=0,"",INDEX(Bank!$B:$B,B353))</f>
        <v/>
      </c>
      <c r="F353" s="5" t="str">
        <f aca="false">IF(B353=0,"",IF(INDEX(Bank!$C:$C,B353)="","",INDEX(Bank!$C:$C,B353)))</f>
        <v/>
      </c>
      <c r="G353" s="19" t="str">
        <f aca="false">IF(B353=0,"",INDEX(Bank!$E:$E,B353))</f>
        <v/>
      </c>
      <c r="H353" s="5" t="str">
        <f aca="false">IF(B353=0,"",IF(INDEX(Bank!$H:$H,B353)="","",INDEX(Bank!$H:$H,B353)))</f>
        <v/>
      </c>
      <c r="I353" s="5" t="n">
        <f aca="false">IF(H353="",0,IFERROR(MATCH(H353,GL!$A:$A,0),0))</f>
        <v>0</v>
      </c>
      <c r="J353" s="32" t="str">
        <f aca="false">IF(I353=0,"",INDEX(GL!$B:$B,I353))</f>
        <v/>
      </c>
      <c r="K353" s="5" t="str">
        <f aca="false">IF(I353=0,"",IF(INDEX(GL!$C:$C,I353)="","",INDEX(GL!$C:$C,I353)))</f>
        <v/>
      </c>
      <c r="L353" s="19" t="str">
        <f aca="false">IF(I353=0,"",INDEX(GL!$E:$E,I353))</f>
        <v/>
      </c>
      <c r="M353" s="19" t="str">
        <f aca="false">IF(OR(B353=0,I353=0),"",ROUND(G353-L353,2))</f>
        <v/>
      </c>
      <c r="N353" s="5" t="str">
        <f aca="false">IF(A353="","",IF(B353=0,"NOT FOUND: bank ID",IF(I353=0,"NOT FOUND: GL ID",IF(INDEX(GL!$H:$H,I353)&lt;&gt;A353,"BROKEN: GL points elsewhere",IF(OR(INDEX(Bank!$F:$F,B353)&lt;&gt;"Y",INDEX(GL!$F:$F,I353)&lt;&gt;"Y"),"BROKEN: Status not Y","OK")))))</f>
        <v/>
      </c>
    </row>
    <row r="354" customFormat="false" ht="15" hidden="false" customHeight="false" outlineLevel="0" collapsed="false">
      <c r="A354" s="41"/>
      <c r="B354" s="5" t="n">
        <f aca="false">IF(A354="",0,IFERROR(MATCH(A354,Bank!$A:$A,0),0))</f>
        <v>0</v>
      </c>
      <c r="C354" s="5" t="str">
        <f aca="false">IF(B354=0,"",IF(INDEX(Bank!$G:$G,B354)="","",INDEX(Bank!$G:$G,B354)))</f>
        <v/>
      </c>
      <c r="D354" s="5" t="str">
        <f aca="false">IF(B354=0,"",IF(INDEX(Bank!$J:$J,B354)="","",INDEX(Bank!$J:$J,B354)))</f>
        <v/>
      </c>
      <c r="E354" s="32" t="str">
        <f aca="false">IF(B354=0,"",INDEX(Bank!$B:$B,B354))</f>
        <v/>
      </c>
      <c r="F354" s="5" t="str">
        <f aca="false">IF(B354=0,"",IF(INDEX(Bank!$C:$C,B354)="","",INDEX(Bank!$C:$C,B354)))</f>
        <v/>
      </c>
      <c r="G354" s="19" t="str">
        <f aca="false">IF(B354=0,"",INDEX(Bank!$E:$E,B354))</f>
        <v/>
      </c>
      <c r="H354" s="5" t="str">
        <f aca="false">IF(B354=0,"",IF(INDEX(Bank!$H:$H,B354)="","",INDEX(Bank!$H:$H,B354)))</f>
        <v/>
      </c>
      <c r="I354" s="5" t="n">
        <f aca="false">IF(H354="",0,IFERROR(MATCH(H354,GL!$A:$A,0),0))</f>
        <v>0</v>
      </c>
      <c r="J354" s="32" t="str">
        <f aca="false">IF(I354=0,"",INDEX(GL!$B:$B,I354))</f>
        <v/>
      </c>
      <c r="K354" s="5" t="str">
        <f aca="false">IF(I354=0,"",IF(INDEX(GL!$C:$C,I354)="","",INDEX(GL!$C:$C,I354)))</f>
        <v/>
      </c>
      <c r="L354" s="19" t="str">
        <f aca="false">IF(I354=0,"",INDEX(GL!$E:$E,I354))</f>
        <v/>
      </c>
      <c r="M354" s="19" t="str">
        <f aca="false">IF(OR(B354=0,I354=0),"",ROUND(G354-L354,2))</f>
        <v/>
      </c>
      <c r="N354" s="5" t="str">
        <f aca="false">IF(A354="","",IF(B354=0,"NOT FOUND: bank ID",IF(I354=0,"NOT FOUND: GL ID",IF(INDEX(GL!$H:$H,I354)&lt;&gt;A354,"BROKEN: GL points elsewhere",IF(OR(INDEX(Bank!$F:$F,B354)&lt;&gt;"Y",INDEX(GL!$F:$F,I354)&lt;&gt;"Y"),"BROKEN: Status not Y","OK")))))</f>
        <v/>
      </c>
    </row>
    <row r="355" customFormat="false" ht="15" hidden="false" customHeight="false" outlineLevel="0" collapsed="false">
      <c r="A355" s="41"/>
      <c r="B355" s="5" t="n">
        <f aca="false">IF(A355="",0,IFERROR(MATCH(A355,Bank!$A:$A,0),0))</f>
        <v>0</v>
      </c>
      <c r="C355" s="5" t="str">
        <f aca="false">IF(B355=0,"",IF(INDEX(Bank!$G:$G,B355)="","",INDEX(Bank!$G:$G,B355)))</f>
        <v/>
      </c>
      <c r="D355" s="5" t="str">
        <f aca="false">IF(B355=0,"",IF(INDEX(Bank!$J:$J,B355)="","",INDEX(Bank!$J:$J,B355)))</f>
        <v/>
      </c>
      <c r="E355" s="32" t="str">
        <f aca="false">IF(B355=0,"",INDEX(Bank!$B:$B,B355))</f>
        <v/>
      </c>
      <c r="F355" s="5" t="str">
        <f aca="false">IF(B355=0,"",IF(INDEX(Bank!$C:$C,B355)="","",INDEX(Bank!$C:$C,B355)))</f>
        <v/>
      </c>
      <c r="G355" s="19" t="str">
        <f aca="false">IF(B355=0,"",INDEX(Bank!$E:$E,B355))</f>
        <v/>
      </c>
      <c r="H355" s="5" t="str">
        <f aca="false">IF(B355=0,"",IF(INDEX(Bank!$H:$H,B355)="","",INDEX(Bank!$H:$H,B355)))</f>
        <v/>
      </c>
      <c r="I355" s="5" t="n">
        <f aca="false">IF(H355="",0,IFERROR(MATCH(H355,GL!$A:$A,0),0))</f>
        <v>0</v>
      </c>
      <c r="J355" s="32" t="str">
        <f aca="false">IF(I355=0,"",INDEX(GL!$B:$B,I355))</f>
        <v/>
      </c>
      <c r="K355" s="5" t="str">
        <f aca="false">IF(I355=0,"",IF(INDEX(GL!$C:$C,I355)="","",INDEX(GL!$C:$C,I355)))</f>
        <v/>
      </c>
      <c r="L355" s="19" t="str">
        <f aca="false">IF(I355=0,"",INDEX(GL!$E:$E,I355))</f>
        <v/>
      </c>
      <c r="M355" s="19" t="str">
        <f aca="false">IF(OR(B355=0,I355=0),"",ROUND(G355-L355,2))</f>
        <v/>
      </c>
      <c r="N355" s="5" t="str">
        <f aca="false">IF(A355="","",IF(B355=0,"NOT FOUND: bank ID",IF(I355=0,"NOT FOUND: GL ID",IF(INDEX(GL!$H:$H,I355)&lt;&gt;A355,"BROKEN: GL points elsewhere",IF(OR(INDEX(Bank!$F:$F,B355)&lt;&gt;"Y",INDEX(GL!$F:$F,I355)&lt;&gt;"Y"),"BROKEN: Status not Y","OK")))))</f>
        <v/>
      </c>
    </row>
    <row r="356" customFormat="false" ht="15" hidden="false" customHeight="false" outlineLevel="0" collapsed="false">
      <c r="A356" s="41"/>
      <c r="B356" s="5" t="n">
        <f aca="false">IF(A356="",0,IFERROR(MATCH(A356,Bank!$A:$A,0),0))</f>
        <v>0</v>
      </c>
      <c r="C356" s="5" t="str">
        <f aca="false">IF(B356=0,"",IF(INDEX(Bank!$G:$G,B356)="","",INDEX(Bank!$G:$G,B356)))</f>
        <v/>
      </c>
      <c r="D356" s="5" t="str">
        <f aca="false">IF(B356=0,"",IF(INDEX(Bank!$J:$J,B356)="","",INDEX(Bank!$J:$J,B356)))</f>
        <v/>
      </c>
      <c r="E356" s="32" t="str">
        <f aca="false">IF(B356=0,"",INDEX(Bank!$B:$B,B356))</f>
        <v/>
      </c>
      <c r="F356" s="5" t="str">
        <f aca="false">IF(B356=0,"",IF(INDEX(Bank!$C:$C,B356)="","",INDEX(Bank!$C:$C,B356)))</f>
        <v/>
      </c>
      <c r="G356" s="19" t="str">
        <f aca="false">IF(B356=0,"",INDEX(Bank!$E:$E,B356))</f>
        <v/>
      </c>
      <c r="H356" s="5" t="str">
        <f aca="false">IF(B356=0,"",IF(INDEX(Bank!$H:$H,B356)="","",INDEX(Bank!$H:$H,B356)))</f>
        <v/>
      </c>
      <c r="I356" s="5" t="n">
        <f aca="false">IF(H356="",0,IFERROR(MATCH(H356,GL!$A:$A,0),0))</f>
        <v>0</v>
      </c>
      <c r="J356" s="32" t="str">
        <f aca="false">IF(I356=0,"",INDEX(GL!$B:$B,I356))</f>
        <v/>
      </c>
      <c r="K356" s="5" t="str">
        <f aca="false">IF(I356=0,"",IF(INDEX(GL!$C:$C,I356)="","",INDEX(GL!$C:$C,I356)))</f>
        <v/>
      </c>
      <c r="L356" s="19" t="str">
        <f aca="false">IF(I356=0,"",INDEX(GL!$E:$E,I356))</f>
        <v/>
      </c>
      <c r="M356" s="19" t="str">
        <f aca="false">IF(OR(B356=0,I356=0),"",ROUND(G356-L356,2))</f>
        <v/>
      </c>
      <c r="N356" s="5" t="str">
        <f aca="false">IF(A356="","",IF(B356=0,"NOT FOUND: bank ID",IF(I356=0,"NOT FOUND: GL ID",IF(INDEX(GL!$H:$H,I356)&lt;&gt;A356,"BROKEN: GL points elsewhere",IF(OR(INDEX(Bank!$F:$F,B356)&lt;&gt;"Y",INDEX(GL!$F:$F,I356)&lt;&gt;"Y"),"BROKEN: Status not Y","OK")))))</f>
        <v/>
      </c>
    </row>
    <row r="357" customFormat="false" ht="15" hidden="false" customHeight="false" outlineLevel="0" collapsed="false">
      <c r="A357" s="41"/>
      <c r="B357" s="5" t="n">
        <f aca="false">IF(A357="",0,IFERROR(MATCH(A357,Bank!$A:$A,0),0))</f>
        <v>0</v>
      </c>
      <c r="C357" s="5" t="str">
        <f aca="false">IF(B357=0,"",IF(INDEX(Bank!$G:$G,B357)="","",INDEX(Bank!$G:$G,B357)))</f>
        <v/>
      </c>
      <c r="D357" s="5" t="str">
        <f aca="false">IF(B357=0,"",IF(INDEX(Bank!$J:$J,B357)="","",INDEX(Bank!$J:$J,B357)))</f>
        <v/>
      </c>
      <c r="E357" s="32" t="str">
        <f aca="false">IF(B357=0,"",INDEX(Bank!$B:$B,B357))</f>
        <v/>
      </c>
      <c r="F357" s="5" t="str">
        <f aca="false">IF(B357=0,"",IF(INDEX(Bank!$C:$C,B357)="","",INDEX(Bank!$C:$C,B357)))</f>
        <v/>
      </c>
      <c r="G357" s="19" t="str">
        <f aca="false">IF(B357=0,"",INDEX(Bank!$E:$E,B357))</f>
        <v/>
      </c>
      <c r="H357" s="5" t="str">
        <f aca="false">IF(B357=0,"",IF(INDEX(Bank!$H:$H,B357)="","",INDEX(Bank!$H:$H,B357)))</f>
        <v/>
      </c>
      <c r="I357" s="5" t="n">
        <f aca="false">IF(H357="",0,IFERROR(MATCH(H357,GL!$A:$A,0),0))</f>
        <v>0</v>
      </c>
      <c r="J357" s="32" t="str">
        <f aca="false">IF(I357=0,"",INDEX(GL!$B:$B,I357))</f>
        <v/>
      </c>
      <c r="K357" s="5" t="str">
        <f aca="false">IF(I357=0,"",IF(INDEX(GL!$C:$C,I357)="","",INDEX(GL!$C:$C,I357)))</f>
        <v/>
      </c>
      <c r="L357" s="19" t="str">
        <f aca="false">IF(I357=0,"",INDEX(GL!$E:$E,I357))</f>
        <v/>
      </c>
      <c r="M357" s="19" t="str">
        <f aca="false">IF(OR(B357=0,I357=0),"",ROUND(G357-L357,2))</f>
        <v/>
      </c>
      <c r="N357" s="5" t="str">
        <f aca="false">IF(A357="","",IF(B357=0,"NOT FOUND: bank ID",IF(I357=0,"NOT FOUND: GL ID",IF(INDEX(GL!$H:$H,I357)&lt;&gt;A357,"BROKEN: GL points elsewhere",IF(OR(INDEX(Bank!$F:$F,B357)&lt;&gt;"Y",INDEX(GL!$F:$F,I357)&lt;&gt;"Y"),"BROKEN: Status not Y","OK")))))</f>
        <v/>
      </c>
    </row>
    <row r="358" customFormat="false" ht="15" hidden="false" customHeight="false" outlineLevel="0" collapsed="false">
      <c r="A358" s="41"/>
      <c r="B358" s="5" t="n">
        <f aca="false">IF(A358="",0,IFERROR(MATCH(A358,Bank!$A:$A,0),0))</f>
        <v>0</v>
      </c>
      <c r="C358" s="5" t="str">
        <f aca="false">IF(B358=0,"",IF(INDEX(Bank!$G:$G,B358)="","",INDEX(Bank!$G:$G,B358)))</f>
        <v/>
      </c>
      <c r="D358" s="5" t="str">
        <f aca="false">IF(B358=0,"",IF(INDEX(Bank!$J:$J,B358)="","",INDEX(Bank!$J:$J,B358)))</f>
        <v/>
      </c>
      <c r="E358" s="32" t="str">
        <f aca="false">IF(B358=0,"",INDEX(Bank!$B:$B,B358))</f>
        <v/>
      </c>
      <c r="F358" s="5" t="str">
        <f aca="false">IF(B358=0,"",IF(INDEX(Bank!$C:$C,B358)="","",INDEX(Bank!$C:$C,B358)))</f>
        <v/>
      </c>
      <c r="G358" s="19" t="str">
        <f aca="false">IF(B358=0,"",INDEX(Bank!$E:$E,B358))</f>
        <v/>
      </c>
      <c r="H358" s="5" t="str">
        <f aca="false">IF(B358=0,"",IF(INDEX(Bank!$H:$H,B358)="","",INDEX(Bank!$H:$H,B358)))</f>
        <v/>
      </c>
      <c r="I358" s="5" t="n">
        <f aca="false">IF(H358="",0,IFERROR(MATCH(H358,GL!$A:$A,0),0))</f>
        <v>0</v>
      </c>
      <c r="J358" s="32" t="str">
        <f aca="false">IF(I358=0,"",INDEX(GL!$B:$B,I358))</f>
        <v/>
      </c>
      <c r="K358" s="5" t="str">
        <f aca="false">IF(I358=0,"",IF(INDEX(GL!$C:$C,I358)="","",INDEX(GL!$C:$C,I358)))</f>
        <v/>
      </c>
      <c r="L358" s="19" t="str">
        <f aca="false">IF(I358=0,"",INDEX(GL!$E:$E,I358))</f>
        <v/>
      </c>
      <c r="M358" s="19" t="str">
        <f aca="false">IF(OR(B358=0,I358=0),"",ROUND(G358-L358,2))</f>
        <v/>
      </c>
      <c r="N358" s="5" t="str">
        <f aca="false">IF(A358="","",IF(B358=0,"NOT FOUND: bank ID",IF(I358=0,"NOT FOUND: GL ID",IF(INDEX(GL!$H:$H,I358)&lt;&gt;A358,"BROKEN: GL points elsewhere",IF(OR(INDEX(Bank!$F:$F,B358)&lt;&gt;"Y",INDEX(GL!$F:$F,I358)&lt;&gt;"Y"),"BROKEN: Status not Y","OK")))))</f>
        <v/>
      </c>
    </row>
    <row r="359" customFormat="false" ht="15" hidden="false" customHeight="false" outlineLevel="0" collapsed="false">
      <c r="A359" s="41"/>
      <c r="B359" s="5" t="n">
        <f aca="false">IF(A359="",0,IFERROR(MATCH(A359,Bank!$A:$A,0),0))</f>
        <v>0</v>
      </c>
      <c r="C359" s="5" t="str">
        <f aca="false">IF(B359=0,"",IF(INDEX(Bank!$G:$G,B359)="","",INDEX(Bank!$G:$G,B359)))</f>
        <v/>
      </c>
      <c r="D359" s="5" t="str">
        <f aca="false">IF(B359=0,"",IF(INDEX(Bank!$J:$J,B359)="","",INDEX(Bank!$J:$J,B359)))</f>
        <v/>
      </c>
      <c r="E359" s="32" t="str">
        <f aca="false">IF(B359=0,"",INDEX(Bank!$B:$B,B359))</f>
        <v/>
      </c>
      <c r="F359" s="5" t="str">
        <f aca="false">IF(B359=0,"",IF(INDEX(Bank!$C:$C,B359)="","",INDEX(Bank!$C:$C,B359)))</f>
        <v/>
      </c>
      <c r="G359" s="19" t="str">
        <f aca="false">IF(B359=0,"",INDEX(Bank!$E:$E,B359))</f>
        <v/>
      </c>
      <c r="H359" s="5" t="str">
        <f aca="false">IF(B359=0,"",IF(INDEX(Bank!$H:$H,B359)="","",INDEX(Bank!$H:$H,B359)))</f>
        <v/>
      </c>
      <c r="I359" s="5" t="n">
        <f aca="false">IF(H359="",0,IFERROR(MATCH(H359,GL!$A:$A,0),0))</f>
        <v>0</v>
      </c>
      <c r="J359" s="32" t="str">
        <f aca="false">IF(I359=0,"",INDEX(GL!$B:$B,I359))</f>
        <v/>
      </c>
      <c r="K359" s="5" t="str">
        <f aca="false">IF(I359=0,"",IF(INDEX(GL!$C:$C,I359)="","",INDEX(GL!$C:$C,I359)))</f>
        <v/>
      </c>
      <c r="L359" s="19" t="str">
        <f aca="false">IF(I359=0,"",INDEX(GL!$E:$E,I359))</f>
        <v/>
      </c>
      <c r="M359" s="19" t="str">
        <f aca="false">IF(OR(B359=0,I359=0),"",ROUND(G359-L359,2))</f>
        <v/>
      </c>
      <c r="N359" s="5" t="str">
        <f aca="false">IF(A359="","",IF(B359=0,"NOT FOUND: bank ID",IF(I359=0,"NOT FOUND: GL ID",IF(INDEX(GL!$H:$H,I359)&lt;&gt;A359,"BROKEN: GL points elsewhere",IF(OR(INDEX(Bank!$F:$F,B359)&lt;&gt;"Y",INDEX(GL!$F:$F,I359)&lt;&gt;"Y"),"BROKEN: Status not Y","OK")))))</f>
        <v/>
      </c>
    </row>
    <row r="360" customFormat="false" ht="15" hidden="false" customHeight="false" outlineLevel="0" collapsed="false">
      <c r="A360" s="41"/>
      <c r="B360" s="5" t="n">
        <f aca="false">IF(A360="",0,IFERROR(MATCH(A360,Bank!$A:$A,0),0))</f>
        <v>0</v>
      </c>
      <c r="C360" s="5" t="str">
        <f aca="false">IF(B360=0,"",IF(INDEX(Bank!$G:$G,B360)="","",INDEX(Bank!$G:$G,B360)))</f>
        <v/>
      </c>
      <c r="D360" s="5" t="str">
        <f aca="false">IF(B360=0,"",IF(INDEX(Bank!$J:$J,B360)="","",INDEX(Bank!$J:$J,B360)))</f>
        <v/>
      </c>
      <c r="E360" s="32" t="str">
        <f aca="false">IF(B360=0,"",INDEX(Bank!$B:$B,B360))</f>
        <v/>
      </c>
      <c r="F360" s="5" t="str">
        <f aca="false">IF(B360=0,"",IF(INDEX(Bank!$C:$C,B360)="","",INDEX(Bank!$C:$C,B360)))</f>
        <v/>
      </c>
      <c r="G360" s="19" t="str">
        <f aca="false">IF(B360=0,"",INDEX(Bank!$E:$E,B360))</f>
        <v/>
      </c>
      <c r="H360" s="5" t="str">
        <f aca="false">IF(B360=0,"",IF(INDEX(Bank!$H:$H,B360)="","",INDEX(Bank!$H:$H,B360)))</f>
        <v/>
      </c>
      <c r="I360" s="5" t="n">
        <f aca="false">IF(H360="",0,IFERROR(MATCH(H360,GL!$A:$A,0),0))</f>
        <v>0</v>
      </c>
      <c r="J360" s="32" t="str">
        <f aca="false">IF(I360=0,"",INDEX(GL!$B:$B,I360))</f>
        <v/>
      </c>
      <c r="K360" s="5" t="str">
        <f aca="false">IF(I360=0,"",IF(INDEX(GL!$C:$C,I360)="","",INDEX(GL!$C:$C,I360)))</f>
        <v/>
      </c>
      <c r="L360" s="19" t="str">
        <f aca="false">IF(I360=0,"",INDEX(GL!$E:$E,I360))</f>
        <v/>
      </c>
      <c r="M360" s="19" t="str">
        <f aca="false">IF(OR(B360=0,I360=0),"",ROUND(G360-L360,2))</f>
        <v/>
      </c>
      <c r="N360" s="5" t="str">
        <f aca="false">IF(A360="","",IF(B360=0,"NOT FOUND: bank ID",IF(I360=0,"NOT FOUND: GL ID",IF(INDEX(GL!$H:$H,I360)&lt;&gt;A360,"BROKEN: GL points elsewhere",IF(OR(INDEX(Bank!$F:$F,B360)&lt;&gt;"Y",INDEX(GL!$F:$F,I360)&lt;&gt;"Y"),"BROKEN: Status not Y","OK")))))</f>
        <v/>
      </c>
    </row>
    <row r="361" customFormat="false" ht="15" hidden="false" customHeight="false" outlineLevel="0" collapsed="false">
      <c r="A361" s="41"/>
      <c r="B361" s="5" t="n">
        <f aca="false">IF(A361="",0,IFERROR(MATCH(A361,Bank!$A:$A,0),0))</f>
        <v>0</v>
      </c>
      <c r="C361" s="5" t="str">
        <f aca="false">IF(B361=0,"",IF(INDEX(Bank!$G:$G,B361)="","",INDEX(Bank!$G:$G,B361)))</f>
        <v/>
      </c>
      <c r="D361" s="5" t="str">
        <f aca="false">IF(B361=0,"",IF(INDEX(Bank!$J:$J,B361)="","",INDEX(Bank!$J:$J,B361)))</f>
        <v/>
      </c>
      <c r="E361" s="32" t="str">
        <f aca="false">IF(B361=0,"",INDEX(Bank!$B:$B,B361))</f>
        <v/>
      </c>
      <c r="F361" s="5" t="str">
        <f aca="false">IF(B361=0,"",IF(INDEX(Bank!$C:$C,B361)="","",INDEX(Bank!$C:$C,B361)))</f>
        <v/>
      </c>
      <c r="G361" s="19" t="str">
        <f aca="false">IF(B361=0,"",INDEX(Bank!$E:$E,B361))</f>
        <v/>
      </c>
      <c r="H361" s="5" t="str">
        <f aca="false">IF(B361=0,"",IF(INDEX(Bank!$H:$H,B361)="","",INDEX(Bank!$H:$H,B361)))</f>
        <v/>
      </c>
      <c r="I361" s="5" t="n">
        <f aca="false">IF(H361="",0,IFERROR(MATCH(H361,GL!$A:$A,0),0))</f>
        <v>0</v>
      </c>
      <c r="J361" s="32" t="str">
        <f aca="false">IF(I361=0,"",INDEX(GL!$B:$B,I361))</f>
        <v/>
      </c>
      <c r="K361" s="5" t="str">
        <f aca="false">IF(I361=0,"",IF(INDEX(GL!$C:$C,I361)="","",INDEX(GL!$C:$C,I361)))</f>
        <v/>
      </c>
      <c r="L361" s="19" t="str">
        <f aca="false">IF(I361=0,"",INDEX(GL!$E:$E,I361))</f>
        <v/>
      </c>
      <c r="M361" s="19" t="str">
        <f aca="false">IF(OR(B361=0,I361=0),"",ROUND(G361-L361,2))</f>
        <v/>
      </c>
      <c r="N361" s="5" t="str">
        <f aca="false">IF(A361="","",IF(B361=0,"NOT FOUND: bank ID",IF(I361=0,"NOT FOUND: GL ID",IF(INDEX(GL!$H:$H,I361)&lt;&gt;A361,"BROKEN: GL points elsewhere",IF(OR(INDEX(Bank!$F:$F,B361)&lt;&gt;"Y",INDEX(GL!$F:$F,I361)&lt;&gt;"Y"),"BROKEN: Status not Y","OK")))))</f>
        <v/>
      </c>
    </row>
    <row r="362" customFormat="false" ht="15" hidden="false" customHeight="false" outlineLevel="0" collapsed="false">
      <c r="A362" s="41"/>
      <c r="B362" s="5" t="n">
        <f aca="false">IF(A362="",0,IFERROR(MATCH(A362,Bank!$A:$A,0),0))</f>
        <v>0</v>
      </c>
      <c r="C362" s="5" t="str">
        <f aca="false">IF(B362=0,"",IF(INDEX(Bank!$G:$G,B362)="","",INDEX(Bank!$G:$G,B362)))</f>
        <v/>
      </c>
      <c r="D362" s="5" t="str">
        <f aca="false">IF(B362=0,"",IF(INDEX(Bank!$J:$J,B362)="","",INDEX(Bank!$J:$J,B362)))</f>
        <v/>
      </c>
      <c r="E362" s="32" t="str">
        <f aca="false">IF(B362=0,"",INDEX(Bank!$B:$B,B362))</f>
        <v/>
      </c>
      <c r="F362" s="5" t="str">
        <f aca="false">IF(B362=0,"",IF(INDEX(Bank!$C:$C,B362)="","",INDEX(Bank!$C:$C,B362)))</f>
        <v/>
      </c>
      <c r="G362" s="19" t="str">
        <f aca="false">IF(B362=0,"",INDEX(Bank!$E:$E,B362))</f>
        <v/>
      </c>
      <c r="H362" s="5" t="str">
        <f aca="false">IF(B362=0,"",IF(INDEX(Bank!$H:$H,B362)="","",INDEX(Bank!$H:$H,B362)))</f>
        <v/>
      </c>
      <c r="I362" s="5" t="n">
        <f aca="false">IF(H362="",0,IFERROR(MATCH(H362,GL!$A:$A,0),0))</f>
        <v>0</v>
      </c>
      <c r="J362" s="32" t="str">
        <f aca="false">IF(I362=0,"",INDEX(GL!$B:$B,I362))</f>
        <v/>
      </c>
      <c r="K362" s="5" t="str">
        <f aca="false">IF(I362=0,"",IF(INDEX(GL!$C:$C,I362)="","",INDEX(GL!$C:$C,I362)))</f>
        <v/>
      </c>
      <c r="L362" s="19" t="str">
        <f aca="false">IF(I362=0,"",INDEX(GL!$E:$E,I362))</f>
        <v/>
      </c>
      <c r="M362" s="19" t="str">
        <f aca="false">IF(OR(B362=0,I362=0),"",ROUND(G362-L362,2))</f>
        <v/>
      </c>
      <c r="N362" s="5" t="str">
        <f aca="false">IF(A362="","",IF(B362=0,"NOT FOUND: bank ID",IF(I362=0,"NOT FOUND: GL ID",IF(INDEX(GL!$H:$H,I362)&lt;&gt;A362,"BROKEN: GL points elsewhere",IF(OR(INDEX(Bank!$F:$F,B362)&lt;&gt;"Y",INDEX(GL!$F:$F,I362)&lt;&gt;"Y"),"BROKEN: Status not Y","OK")))))</f>
        <v/>
      </c>
    </row>
    <row r="363" customFormat="false" ht="15" hidden="false" customHeight="false" outlineLevel="0" collapsed="false">
      <c r="A363" s="41"/>
      <c r="B363" s="5" t="n">
        <f aca="false">IF(A363="",0,IFERROR(MATCH(A363,Bank!$A:$A,0),0))</f>
        <v>0</v>
      </c>
      <c r="C363" s="5" t="str">
        <f aca="false">IF(B363=0,"",IF(INDEX(Bank!$G:$G,B363)="","",INDEX(Bank!$G:$G,B363)))</f>
        <v/>
      </c>
      <c r="D363" s="5" t="str">
        <f aca="false">IF(B363=0,"",IF(INDEX(Bank!$J:$J,B363)="","",INDEX(Bank!$J:$J,B363)))</f>
        <v/>
      </c>
      <c r="E363" s="32" t="str">
        <f aca="false">IF(B363=0,"",INDEX(Bank!$B:$B,B363))</f>
        <v/>
      </c>
      <c r="F363" s="5" t="str">
        <f aca="false">IF(B363=0,"",IF(INDEX(Bank!$C:$C,B363)="","",INDEX(Bank!$C:$C,B363)))</f>
        <v/>
      </c>
      <c r="G363" s="19" t="str">
        <f aca="false">IF(B363=0,"",INDEX(Bank!$E:$E,B363))</f>
        <v/>
      </c>
      <c r="H363" s="5" t="str">
        <f aca="false">IF(B363=0,"",IF(INDEX(Bank!$H:$H,B363)="","",INDEX(Bank!$H:$H,B363)))</f>
        <v/>
      </c>
      <c r="I363" s="5" t="n">
        <f aca="false">IF(H363="",0,IFERROR(MATCH(H363,GL!$A:$A,0),0))</f>
        <v>0</v>
      </c>
      <c r="J363" s="32" t="str">
        <f aca="false">IF(I363=0,"",INDEX(GL!$B:$B,I363))</f>
        <v/>
      </c>
      <c r="K363" s="5" t="str">
        <f aca="false">IF(I363=0,"",IF(INDEX(GL!$C:$C,I363)="","",INDEX(GL!$C:$C,I363)))</f>
        <v/>
      </c>
      <c r="L363" s="19" t="str">
        <f aca="false">IF(I363=0,"",INDEX(GL!$E:$E,I363))</f>
        <v/>
      </c>
      <c r="M363" s="19" t="str">
        <f aca="false">IF(OR(B363=0,I363=0),"",ROUND(G363-L363,2))</f>
        <v/>
      </c>
      <c r="N363" s="5" t="str">
        <f aca="false">IF(A363="","",IF(B363=0,"NOT FOUND: bank ID",IF(I363=0,"NOT FOUND: GL ID",IF(INDEX(GL!$H:$H,I363)&lt;&gt;A363,"BROKEN: GL points elsewhere",IF(OR(INDEX(Bank!$F:$F,B363)&lt;&gt;"Y",INDEX(GL!$F:$F,I363)&lt;&gt;"Y"),"BROKEN: Status not Y","OK")))))</f>
        <v/>
      </c>
    </row>
    <row r="364" customFormat="false" ht="15" hidden="false" customHeight="false" outlineLevel="0" collapsed="false">
      <c r="A364" s="41"/>
      <c r="B364" s="5" t="n">
        <f aca="false">IF(A364="",0,IFERROR(MATCH(A364,Bank!$A:$A,0),0))</f>
        <v>0</v>
      </c>
      <c r="C364" s="5" t="str">
        <f aca="false">IF(B364=0,"",IF(INDEX(Bank!$G:$G,B364)="","",INDEX(Bank!$G:$G,B364)))</f>
        <v/>
      </c>
      <c r="D364" s="5" t="str">
        <f aca="false">IF(B364=0,"",IF(INDEX(Bank!$J:$J,B364)="","",INDEX(Bank!$J:$J,B364)))</f>
        <v/>
      </c>
      <c r="E364" s="32" t="str">
        <f aca="false">IF(B364=0,"",INDEX(Bank!$B:$B,B364))</f>
        <v/>
      </c>
      <c r="F364" s="5" t="str">
        <f aca="false">IF(B364=0,"",IF(INDEX(Bank!$C:$C,B364)="","",INDEX(Bank!$C:$C,B364)))</f>
        <v/>
      </c>
      <c r="G364" s="19" t="str">
        <f aca="false">IF(B364=0,"",INDEX(Bank!$E:$E,B364))</f>
        <v/>
      </c>
      <c r="H364" s="5" t="str">
        <f aca="false">IF(B364=0,"",IF(INDEX(Bank!$H:$H,B364)="","",INDEX(Bank!$H:$H,B364)))</f>
        <v/>
      </c>
      <c r="I364" s="5" t="n">
        <f aca="false">IF(H364="",0,IFERROR(MATCH(H364,GL!$A:$A,0),0))</f>
        <v>0</v>
      </c>
      <c r="J364" s="32" t="str">
        <f aca="false">IF(I364=0,"",INDEX(GL!$B:$B,I364))</f>
        <v/>
      </c>
      <c r="K364" s="5" t="str">
        <f aca="false">IF(I364=0,"",IF(INDEX(GL!$C:$C,I364)="","",INDEX(GL!$C:$C,I364)))</f>
        <v/>
      </c>
      <c r="L364" s="19" t="str">
        <f aca="false">IF(I364=0,"",INDEX(GL!$E:$E,I364))</f>
        <v/>
      </c>
      <c r="M364" s="19" t="str">
        <f aca="false">IF(OR(B364=0,I364=0),"",ROUND(G364-L364,2))</f>
        <v/>
      </c>
      <c r="N364" s="5" t="str">
        <f aca="false">IF(A364="","",IF(B364=0,"NOT FOUND: bank ID",IF(I364=0,"NOT FOUND: GL ID",IF(INDEX(GL!$H:$H,I364)&lt;&gt;A364,"BROKEN: GL points elsewhere",IF(OR(INDEX(Bank!$F:$F,B364)&lt;&gt;"Y",INDEX(GL!$F:$F,I364)&lt;&gt;"Y"),"BROKEN: Status not Y","OK")))))</f>
        <v/>
      </c>
    </row>
    <row r="365" customFormat="false" ht="15" hidden="false" customHeight="false" outlineLevel="0" collapsed="false">
      <c r="A365" s="41"/>
      <c r="B365" s="5" t="n">
        <f aca="false">IF(A365="",0,IFERROR(MATCH(A365,Bank!$A:$A,0),0))</f>
        <v>0</v>
      </c>
      <c r="C365" s="5" t="str">
        <f aca="false">IF(B365=0,"",IF(INDEX(Bank!$G:$G,B365)="","",INDEX(Bank!$G:$G,B365)))</f>
        <v/>
      </c>
      <c r="D365" s="5" t="str">
        <f aca="false">IF(B365=0,"",IF(INDEX(Bank!$J:$J,B365)="","",INDEX(Bank!$J:$J,B365)))</f>
        <v/>
      </c>
      <c r="E365" s="32" t="str">
        <f aca="false">IF(B365=0,"",INDEX(Bank!$B:$B,B365))</f>
        <v/>
      </c>
      <c r="F365" s="5" t="str">
        <f aca="false">IF(B365=0,"",IF(INDEX(Bank!$C:$C,B365)="","",INDEX(Bank!$C:$C,B365)))</f>
        <v/>
      </c>
      <c r="G365" s="19" t="str">
        <f aca="false">IF(B365=0,"",INDEX(Bank!$E:$E,B365))</f>
        <v/>
      </c>
      <c r="H365" s="5" t="str">
        <f aca="false">IF(B365=0,"",IF(INDEX(Bank!$H:$H,B365)="","",INDEX(Bank!$H:$H,B365)))</f>
        <v/>
      </c>
      <c r="I365" s="5" t="n">
        <f aca="false">IF(H365="",0,IFERROR(MATCH(H365,GL!$A:$A,0),0))</f>
        <v>0</v>
      </c>
      <c r="J365" s="32" t="str">
        <f aca="false">IF(I365=0,"",INDEX(GL!$B:$B,I365))</f>
        <v/>
      </c>
      <c r="K365" s="5" t="str">
        <f aca="false">IF(I365=0,"",IF(INDEX(GL!$C:$C,I365)="","",INDEX(GL!$C:$C,I365)))</f>
        <v/>
      </c>
      <c r="L365" s="19" t="str">
        <f aca="false">IF(I365=0,"",INDEX(GL!$E:$E,I365))</f>
        <v/>
      </c>
      <c r="M365" s="19" t="str">
        <f aca="false">IF(OR(B365=0,I365=0),"",ROUND(G365-L365,2))</f>
        <v/>
      </c>
      <c r="N365" s="5" t="str">
        <f aca="false">IF(A365="","",IF(B365=0,"NOT FOUND: bank ID",IF(I365=0,"NOT FOUND: GL ID",IF(INDEX(GL!$H:$H,I365)&lt;&gt;A365,"BROKEN: GL points elsewhere",IF(OR(INDEX(Bank!$F:$F,B365)&lt;&gt;"Y",INDEX(GL!$F:$F,I365)&lt;&gt;"Y"),"BROKEN: Status not Y","OK")))))</f>
        <v/>
      </c>
    </row>
    <row r="366" customFormat="false" ht="15" hidden="false" customHeight="false" outlineLevel="0" collapsed="false">
      <c r="A366" s="41"/>
      <c r="B366" s="5" t="n">
        <f aca="false">IF(A366="",0,IFERROR(MATCH(A366,Bank!$A:$A,0),0))</f>
        <v>0</v>
      </c>
      <c r="C366" s="5" t="str">
        <f aca="false">IF(B366=0,"",IF(INDEX(Bank!$G:$G,B366)="","",INDEX(Bank!$G:$G,B366)))</f>
        <v/>
      </c>
      <c r="D366" s="5" t="str">
        <f aca="false">IF(B366=0,"",IF(INDEX(Bank!$J:$J,B366)="","",INDEX(Bank!$J:$J,B366)))</f>
        <v/>
      </c>
      <c r="E366" s="32" t="str">
        <f aca="false">IF(B366=0,"",INDEX(Bank!$B:$B,B366))</f>
        <v/>
      </c>
      <c r="F366" s="5" t="str">
        <f aca="false">IF(B366=0,"",IF(INDEX(Bank!$C:$C,B366)="","",INDEX(Bank!$C:$C,B366)))</f>
        <v/>
      </c>
      <c r="G366" s="19" t="str">
        <f aca="false">IF(B366=0,"",INDEX(Bank!$E:$E,B366))</f>
        <v/>
      </c>
      <c r="H366" s="5" t="str">
        <f aca="false">IF(B366=0,"",IF(INDEX(Bank!$H:$H,B366)="","",INDEX(Bank!$H:$H,B366)))</f>
        <v/>
      </c>
      <c r="I366" s="5" t="n">
        <f aca="false">IF(H366="",0,IFERROR(MATCH(H366,GL!$A:$A,0),0))</f>
        <v>0</v>
      </c>
      <c r="J366" s="32" t="str">
        <f aca="false">IF(I366=0,"",INDEX(GL!$B:$B,I366))</f>
        <v/>
      </c>
      <c r="K366" s="5" t="str">
        <f aca="false">IF(I366=0,"",IF(INDEX(GL!$C:$C,I366)="","",INDEX(GL!$C:$C,I366)))</f>
        <v/>
      </c>
      <c r="L366" s="19" t="str">
        <f aca="false">IF(I366=0,"",INDEX(GL!$E:$E,I366))</f>
        <v/>
      </c>
      <c r="M366" s="19" t="str">
        <f aca="false">IF(OR(B366=0,I366=0),"",ROUND(G366-L366,2))</f>
        <v/>
      </c>
      <c r="N366" s="5" t="str">
        <f aca="false">IF(A366="","",IF(B366=0,"NOT FOUND: bank ID",IF(I366=0,"NOT FOUND: GL ID",IF(INDEX(GL!$H:$H,I366)&lt;&gt;A366,"BROKEN: GL points elsewhere",IF(OR(INDEX(Bank!$F:$F,B366)&lt;&gt;"Y",INDEX(GL!$F:$F,I366)&lt;&gt;"Y"),"BROKEN: Status not Y","OK")))))</f>
        <v/>
      </c>
    </row>
    <row r="367" customFormat="false" ht="15" hidden="false" customHeight="false" outlineLevel="0" collapsed="false">
      <c r="A367" s="41"/>
      <c r="B367" s="5" t="n">
        <f aca="false">IF(A367="",0,IFERROR(MATCH(A367,Bank!$A:$A,0),0))</f>
        <v>0</v>
      </c>
      <c r="C367" s="5" t="str">
        <f aca="false">IF(B367=0,"",IF(INDEX(Bank!$G:$G,B367)="","",INDEX(Bank!$G:$G,B367)))</f>
        <v/>
      </c>
      <c r="D367" s="5" t="str">
        <f aca="false">IF(B367=0,"",IF(INDEX(Bank!$J:$J,B367)="","",INDEX(Bank!$J:$J,B367)))</f>
        <v/>
      </c>
      <c r="E367" s="32" t="str">
        <f aca="false">IF(B367=0,"",INDEX(Bank!$B:$B,B367))</f>
        <v/>
      </c>
      <c r="F367" s="5" t="str">
        <f aca="false">IF(B367=0,"",IF(INDEX(Bank!$C:$C,B367)="","",INDEX(Bank!$C:$C,B367)))</f>
        <v/>
      </c>
      <c r="G367" s="19" t="str">
        <f aca="false">IF(B367=0,"",INDEX(Bank!$E:$E,B367))</f>
        <v/>
      </c>
      <c r="H367" s="5" t="str">
        <f aca="false">IF(B367=0,"",IF(INDEX(Bank!$H:$H,B367)="","",INDEX(Bank!$H:$H,B367)))</f>
        <v/>
      </c>
      <c r="I367" s="5" t="n">
        <f aca="false">IF(H367="",0,IFERROR(MATCH(H367,GL!$A:$A,0),0))</f>
        <v>0</v>
      </c>
      <c r="J367" s="32" t="str">
        <f aca="false">IF(I367=0,"",INDEX(GL!$B:$B,I367))</f>
        <v/>
      </c>
      <c r="K367" s="5" t="str">
        <f aca="false">IF(I367=0,"",IF(INDEX(GL!$C:$C,I367)="","",INDEX(GL!$C:$C,I367)))</f>
        <v/>
      </c>
      <c r="L367" s="19" t="str">
        <f aca="false">IF(I367=0,"",INDEX(GL!$E:$E,I367))</f>
        <v/>
      </c>
      <c r="M367" s="19" t="str">
        <f aca="false">IF(OR(B367=0,I367=0),"",ROUND(G367-L367,2))</f>
        <v/>
      </c>
      <c r="N367" s="5" t="str">
        <f aca="false">IF(A367="","",IF(B367=0,"NOT FOUND: bank ID",IF(I367=0,"NOT FOUND: GL ID",IF(INDEX(GL!$H:$H,I367)&lt;&gt;A367,"BROKEN: GL points elsewhere",IF(OR(INDEX(Bank!$F:$F,B367)&lt;&gt;"Y",INDEX(GL!$F:$F,I367)&lt;&gt;"Y"),"BROKEN: Status not Y","OK")))))</f>
        <v/>
      </c>
    </row>
    <row r="368" customFormat="false" ht="15" hidden="false" customHeight="false" outlineLevel="0" collapsed="false">
      <c r="A368" s="41"/>
      <c r="B368" s="5" t="n">
        <f aca="false">IF(A368="",0,IFERROR(MATCH(A368,Bank!$A:$A,0),0))</f>
        <v>0</v>
      </c>
      <c r="C368" s="5" t="str">
        <f aca="false">IF(B368=0,"",IF(INDEX(Bank!$G:$G,B368)="","",INDEX(Bank!$G:$G,B368)))</f>
        <v/>
      </c>
      <c r="D368" s="5" t="str">
        <f aca="false">IF(B368=0,"",IF(INDEX(Bank!$J:$J,B368)="","",INDEX(Bank!$J:$J,B368)))</f>
        <v/>
      </c>
      <c r="E368" s="32" t="str">
        <f aca="false">IF(B368=0,"",INDEX(Bank!$B:$B,B368))</f>
        <v/>
      </c>
      <c r="F368" s="5" t="str">
        <f aca="false">IF(B368=0,"",IF(INDEX(Bank!$C:$C,B368)="","",INDEX(Bank!$C:$C,B368)))</f>
        <v/>
      </c>
      <c r="G368" s="19" t="str">
        <f aca="false">IF(B368=0,"",INDEX(Bank!$E:$E,B368))</f>
        <v/>
      </c>
      <c r="H368" s="5" t="str">
        <f aca="false">IF(B368=0,"",IF(INDEX(Bank!$H:$H,B368)="","",INDEX(Bank!$H:$H,B368)))</f>
        <v/>
      </c>
      <c r="I368" s="5" t="n">
        <f aca="false">IF(H368="",0,IFERROR(MATCH(H368,GL!$A:$A,0),0))</f>
        <v>0</v>
      </c>
      <c r="J368" s="32" t="str">
        <f aca="false">IF(I368=0,"",INDEX(GL!$B:$B,I368))</f>
        <v/>
      </c>
      <c r="K368" s="5" t="str">
        <f aca="false">IF(I368=0,"",IF(INDEX(GL!$C:$C,I368)="","",INDEX(GL!$C:$C,I368)))</f>
        <v/>
      </c>
      <c r="L368" s="19" t="str">
        <f aca="false">IF(I368=0,"",INDEX(GL!$E:$E,I368))</f>
        <v/>
      </c>
      <c r="M368" s="19" t="str">
        <f aca="false">IF(OR(B368=0,I368=0),"",ROUND(G368-L368,2))</f>
        <v/>
      </c>
      <c r="N368" s="5" t="str">
        <f aca="false">IF(A368="","",IF(B368=0,"NOT FOUND: bank ID",IF(I368=0,"NOT FOUND: GL ID",IF(INDEX(GL!$H:$H,I368)&lt;&gt;A368,"BROKEN: GL points elsewhere",IF(OR(INDEX(Bank!$F:$F,B368)&lt;&gt;"Y",INDEX(GL!$F:$F,I368)&lt;&gt;"Y"),"BROKEN: Status not Y","OK")))))</f>
        <v/>
      </c>
    </row>
    <row r="369" customFormat="false" ht="15" hidden="false" customHeight="false" outlineLevel="0" collapsed="false">
      <c r="A369" s="41"/>
      <c r="B369" s="5" t="n">
        <f aca="false">IF(A369="",0,IFERROR(MATCH(A369,Bank!$A:$A,0),0))</f>
        <v>0</v>
      </c>
      <c r="C369" s="5" t="str">
        <f aca="false">IF(B369=0,"",IF(INDEX(Bank!$G:$G,B369)="","",INDEX(Bank!$G:$G,B369)))</f>
        <v/>
      </c>
      <c r="D369" s="5" t="str">
        <f aca="false">IF(B369=0,"",IF(INDEX(Bank!$J:$J,B369)="","",INDEX(Bank!$J:$J,B369)))</f>
        <v/>
      </c>
      <c r="E369" s="32" t="str">
        <f aca="false">IF(B369=0,"",INDEX(Bank!$B:$B,B369))</f>
        <v/>
      </c>
      <c r="F369" s="5" t="str">
        <f aca="false">IF(B369=0,"",IF(INDEX(Bank!$C:$C,B369)="","",INDEX(Bank!$C:$C,B369)))</f>
        <v/>
      </c>
      <c r="G369" s="19" t="str">
        <f aca="false">IF(B369=0,"",INDEX(Bank!$E:$E,B369))</f>
        <v/>
      </c>
      <c r="H369" s="5" t="str">
        <f aca="false">IF(B369=0,"",IF(INDEX(Bank!$H:$H,B369)="","",INDEX(Bank!$H:$H,B369)))</f>
        <v/>
      </c>
      <c r="I369" s="5" t="n">
        <f aca="false">IF(H369="",0,IFERROR(MATCH(H369,GL!$A:$A,0),0))</f>
        <v>0</v>
      </c>
      <c r="J369" s="32" t="str">
        <f aca="false">IF(I369=0,"",INDEX(GL!$B:$B,I369))</f>
        <v/>
      </c>
      <c r="K369" s="5" t="str">
        <f aca="false">IF(I369=0,"",IF(INDEX(GL!$C:$C,I369)="","",INDEX(GL!$C:$C,I369)))</f>
        <v/>
      </c>
      <c r="L369" s="19" t="str">
        <f aca="false">IF(I369=0,"",INDEX(GL!$E:$E,I369))</f>
        <v/>
      </c>
      <c r="M369" s="19" t="str">
        <f aca="false">IF(OR(B369=0,I369=0),"",ROUND(G369-L369,2))</f>
        <v/>
      </c>
      <c r="N369" s="5" t="str">
        <f aca="false">IF(A369="","",IF(B369=0,"NOT FOUND: bank ID",IF(I369=0,"NOT FOUND: GL ID",IF(INDEX(GL!$H:$H,I369)&lt;&gt;A369,"BROKEN: GL points elsewhere",IF(OR(INDEX(Bank!$F:$F,B369)&lt;&gt;"Y",INDEX(GL!$F:$F,I369)&lt;&gt;"Y"),"BROKEN: Status not Y","OK")))))</f>
        <v/>
      </c>
    </row>
    <row r="370" customFormat="false" ht="15" hidden="false" customHeight="false" outlineLevel="0" collapsed="false">
      <c r="A370" s="41"/>
      <c r="B370" s="5" t="n">
        <f aca="false">IF(A370="",0,IFERROR(MATCH(A370,Bank!$A:$A,0),0))</f>
        <v>0</v>
      </c>
      <c r="C370" s="5" t="str">
        <f aca="false">IF(B370=0,"",IF(INDEX(Bank!$G:$G,B370)="","",INDEX(Bank!$G:$G,B370)))</f>
        <v/>
      </c>
      <c r="D370" s="5" t="str">
        <f aca="false">IF(B370=0,"",IF(INDEX(Bank!$J:$J,B370)="","",INDEX(Bank!$J:$J,B370)))</f>
        <v/>
      </c>
      <c r="E370" s="32" t="str">
        <f aca="false">IF(B370=0,"",INDEX(Bank!$B:$B,B370))</f>
        <v/>
      </c>
      <c r="F370" s="5" t="str">
        <f aca="false">IF(B370=0,"",IF(INDEX(Bank!$C:$C,B370)="","",INDEX(Bank!$C:$C,B370)))</f>
        <v/>
      </c>
      <c r="G370" s="19" t="str">
        <f aca="false">IF(B370=0,"",INDEX(Bank!$E:$E,B370))</f>
        <v/>
      </c>
      <c r="H370" s="5" t="str">
        <f aca="false">IF(B370=0,"",IF(INDEX(Bank!$H:$H,B370)="","",INDEX(Bank!$H:$H,B370)))</f>
        <v/>
      </c>
      <c r="I370" s="5" t="n">
        <f aca="false">IF(H370="",0,IFERROR(MATCH(H370,GL!$A:$A,0),0))</f>
        <v>0</v>
      </c>
      <c r="J370" s="32" t="str">
        <f aca="false">IF(I370=0,"",INDEX(GL!$B:$B,I370))</f>
        <v/>
      </c>
      <c r="K370" s="5" t="str">
        <f aca="false">IF(I370=0,"",IF(INDEX(GL!$C:$C,I370)="","",INDEX(GL!$C:$C,I370)))</f>
        <v/>
      </c>
      <c r="L370" s="19" t="str">
        <f aca="false">IF(I370=0,"",INDEX(GL!$E:$E,I370))</f>
        <v/>
      </c>
      <c r="M370" s="19" t="str">
        <f aca="false">IF(OR(B370=0,I370=0),"",ROUND(G370-L370,2))</f>
        <v/>
      </c>
      <c r="N370" s="5" t="str">
        <f aca="false">IF(A370="","",IF(B370=0,"NOT FOUND: bank ID",IF(I370=0,"NOT FOUND: GL ID",IF(INDEX(GL!$H:$H,I370)&lt;&gt;A370,"BROKEN: GL points elsewhere",IF(OR(INDEX(Bank!$F:$F,B370)&lt;&gt;"Y",INDEX(GL!$F:$F,I370)&lt;&gt;"Y"),"BROKEN: Status not Y","OK")))))</f>
        <v/>
      </c>
    </row>
    <row r="371" customFormat="false" ht="15" hidden="false" customHeight="false" outlineLevel="0" collapsed="false">
      <c r="A371" s="41"/>
      <c r="B371" s="5" t="n">
        <f aca="false">IF(A371="",0,IFERROR(MATCH(A371,Bank!$A:$A,0),0))</f>
        <v>0</v>
      </c>
      <c r="C371" s="5" t="str">
        <f aca="false">IF(B371=0,"",IF(INDEX(Bank!$G:$G,B371)="","",INDEX(Bank!$G:$G,B371)))</f>
        <v/>
      </c>
      <c r="D371" s="5" t="str">
        <f aca="false">IF(B371=0,"",IF(INDEX(Bank!$J:$J,B371)="","",INDEX(Bank!$J:$J,B371)))</f>
        <v/>
      </c>
      <c r="E371" s="32" t="str">
        <f aca="false">IF(B371=0,"",INDEX(Bank!$B:$B,B371))</f>
        <v/>
      </c>
      <c r="F371" s="5" t="str">
        <f aca="false">IF(B371=0,"",IF(INDEX(Bank!$C:$C,B371)="","",INDEX(Bank!$C:$C,B371)))</f>
        <v/>
      </c>
      <c r="G371" s="19" t="str">
        <f aca="false">IF(B371=0,"",INDEX(Bank!$E:$E,B371))</f>
        <v/>
      </c>
      <c r="H371" s="5" t="str">
        <f aca="false">IF(B371=0,"",IF(INDEX(Bank!$H:$H,B371)="","",INDEX(Bank!$H:$H,B371)))</f>
        <v/>
      </c>
      <c r="I371" s="5" t="n">
        <f aca="false">IF(H371="",0,IFERROR(MATCH(H371,GL!$A:$A,0),0))</f>
        <v>0</v>
      </c>
      <c r="J371" s="32" t="str">
        <f aca="false">IF(I371=0,"",INDEX(GL!$B:$B,I371))</f>
        <v/>
      </c>
      <c r="K371" s="5" t="str">
        <f aca="false">IF(I371=0,"",IF(INDEX(GL!$C:$C,I371)="","",INDEX(GL!$C:$C,I371)))</f>
        <v/>
      </c>
      <c r="L371" s="19" t="str">
        <f aca="false">IF(I371=0,"",INDEX(GL!$E:$E,I371))</f>
        <v/>
      </c>
      <c r="M371" s="19" t="str">
        <f aca="false">IF(OR(B371=0,I371=0),"",ROUND(G371-L371,2))</f>
        <v/>
      </c>
      <c r="N371" s="5" t="str">
        <f aca="false">IF(A371="","",IF(B371=0,"NOT FOUND: bank ID",IF(I371=0,"NOT FOUND: GL ID",IF(INDEX(GL!$H:$H,I371)&lt;&gt;A371,"BROKEN: GL points elsewhere",IF(OR(INDEX(Bank!$F:$F,B371)&lt;&gt;"Y",INDEX(GL!$F:$F,I371)&lt;&gt;"Y"),"BROKEN: Status not Y","OK")))))</f>
        <v/>
      </c>
    </row>
    <row r="372" customFormat="false" ht="15" hidden="false" customHeight="false" outlineLevel="0" collapsed="false">
      <c r="A372" s="41"/>
      <c r="B372" s="5" t="n">
        <f aca="false">IF(A372="",0,IFERROR(MATCH(A372,Bank!$A:$A,0),0))</f>
        <v>0</v>
      </c>
      <c r="C372" s="5" t="str">
        <f aca="false">IF(B372=0,"",IF(INDEX(Bank!$G:$G,B372)="","",INDEX(Bank!$G:$G,B372)))</f>
        <v/>
      </c>
      <c r="D372" s="5" t="str">
        <f aca="false">IF(B372=0,"",IF(INDEX(Bank!$J:$J,B372)="","",INDEX(Bank!$J:$J,B372)))</f>
        <v/>
      </c>
      <c r="E372" s="32" t="str">
        <f aca="false">IF(B372=0,"",INDEX(Bank!$B:$B,B372))</f>
        <v/>
      </c>
      <c r="F372" s="5" t="str">
        <f aca="false">IF(B372=0,"",IF(INDEX(Bank!$C:$C,B372)="","",INDEX(Bank!$C:$C,B372)))</f>
        <v/>
      </c>
      <c r="G372" s="19" t="str">
        <f aca="false">IF(B372=0,"",INDEX(Bank!$E:$E,B372))</f>
        <v/>
      </c>
      <c r="H372" s="5" t="str">
        <f aca="false">IF(B372=0,"",IF(INDEX(Bank!$H:$H,B372)="","",INDEX(Bank!$H:$H,B372)))</f>
        <v/>
      </c>
      <c r="I372" s="5" t="n">
        <f aca="false">IF(H372="",0,IFERROR(MATCH(H372,GL!$A:$A,0),0))</f>
        <v>0</v>
      </c>
      <c r="J372" s="32" t="str">
        <f aca="false">IF(I372=0,"",INDEX(GL!$B:$B,I372))</f>
        <v/>
      </c>
      <c r="K372" s="5" t="str">
        <f aca="false">IF(I372=0,"",IF(INDEX(GL!$C:$C,I372)="","",INDEX(GL!$C:$C,I372)))</f>
        <v/>
      </c>
      <c r="L372" s="19" t="str">
        <f aca="false">IF(I372=0,"",INDEX(GL!$E:$E,I372))</f>
        <v/>
      </c>
      <c r="M372" s="19" t="str">
        <f aca="false">IF(OR(B372=0,I372=0),"",ROUND(G372-L372,2))</f>
        <v/>
      </c>
      <c r="N372" s="5" t="str">
        <f aca="false">IF(A372="","",IF(B372=0,"NOT FOUND: bank ID",IF(I372=0,"NOT FOUND: GL ID",IF(INDEX(GL!$H:$H,I372)&lt;&gt;A372,"BROKEN: GL points elsewhere",IF(OR(INDEX(Bank!$F:$F,B372)&lt;&gt;"Y",INDEX(GL!$F:$F,I372)&lt;&gt;"Y"),"BROKEN: Status not Y","OK")))))</f>
        <v/>
      </c>
    </row>
    <row r="373" customFormat="false" ht="15" hidden="false" customHeight="false" outlineLevel="0" collapsed="false">
      <c r="A373" s="41"/>
      <c r="B373" s="5" t="n">
        <f aca="false">IF(A373="",0,IFERROR(MATCH(A373,Bank!$A:$A,0),0))</f>
        <v>0</v>
      </c>
      <c r="C373" s="5" t="str">
        <f aca="false">IF(B373=0,"",IF(INDEX(Bank!$G:$G,B373)="","",INDEX(Bank!$G:$G,B373)))</f>
        <v/>
      </c>
      <c r="D373" s="5" t="str">
        <f aca="false">IF(B373=0,"",IF(INDEX(Bank!$J:$J,B373)="","",INDEX(Bank!$J:$J,B373)))</f>
        <v/>
      </c>
      <c r="E373" s="32" t="str">
        <f aca="false">IF(B373=0,"",INDEX(Bank!$B:$B,B373))</f>
        <v/>
      </c>
      <c r="F373" s="5" t="str">
        <f aca="false">IF(B373=0,"",IF(INDEX(Bank!$C:$C,B373)="","",INDEX(Bank!$C:$C,B373)))</f>
        <v/>
      </c>
      <c r="G373" s="19" t="str">
        <f aca="false">IF(B373=0,"",INDEX(Bank!$E:$E,B373))</f>
        <v/>
      </c>
      <c r="H373" s="5" t="str">
        <f aca="false">IF(B373=0,"",IF(INDEX(Bank!$H:$H,B373)="","",INDEX(Bank!$H:$H,B373)))</f>
        <v/>
      </c>
      <c r="I373" s="5" t="n">
        <f aca="false">IF(H373="",0,IFERROR(MATCH(H373,GL!$A:$A,0),0))</f>
        <v>0</v>
      </c>
      <c r="J373" s="32" t="str">
        <f aca="false">IF(I373=0,"",INDEX(GL!$B:$B,I373))</f>
        <v/>
      </c>
      <c r="K373" s="5" t="str">
        <f aca="false">IF(I373=0,"",IF(INDEX(GL!$C:$C,I373)="","",INDEX(GL!$C:$C,I373)))</f>
        <v/>
      </c>
      <c r="L373" s="19" t="str">
        <f aca="false">IF(I373=0,"",INDEX(GL!$E:$E,I373))</f>
        <v/>
      </c>
      <c r="M373" s="19" t="str">
        <f aca="false">IF(OR(B373=0,I373=0),"",ROUND(G373-L373,2))</f>
        <v/>
      </c>
      <c r="N373" s="5" t="str">
        <f aca="false">IF(A373="","",IF(B373=0,"NOT FOUND: bank ID",IF(I373=0,"NOT FOUND: GL ID",IF(INDEX(GL!$H:$H,I373)&lt;&gt;A373,"BROKEN: GL points elsewhere",IF(OR(INDEX(Bank!$F:$F,B373)&lt;&gt;"Y",INDEX(GL!$F:$F,I373)&lt;&gt;"Y"),"BROKEN: Status not Y","OK")))))</f>
        <v/>
      </c>
    </row>
    <row r="374" customFormat="false" ht="15" hidden="false" customHeight="false" outlineLevel="0" collapsed="false">
      <c r="A374" s="41"/>
      <c r="B374" s="5" t="n">
        <f aca="false">IF(A374="",0,IFERROR(MATCH(A374,Bank!$A:$A,0),0))</f>
        <v>0</v>
      </c>
      <c r="C374" s="5" t="str">
        <f aca="false">IF(B374=0,"",IF(INDEX(Bank!$G:$G,B374)="","",INDEX(Bank!$G:$G,B374)))</f>
        <v/>
      </c>
      <c r="D374" s="5" t="str">
        <f aca="false">IF(B374=0,"",IF(INDEX(Bank!$J:$J,B374)="","",INDEX(Bank!$J:$J,B374)))</f>
        <v/>
      </c>
      <c r="E374" s="32" t="str">
        <f aca="false">IF(B374=0,"",INDEX(Bank!$B:$B,B374))</f>
        <v/>
      </c>
      <c r="F374" s="5" t="str">
        <f aca="false">IF(B374=0,"",IF(INDEX(Bank!$C:$C,B374)="","",INDEX(Bank!$C:$C,B374)))</f>
        <v/>
      </c>
      <c r="G374" s="19" t="str">
        <f aca="false">IF(B374=0,"",INDEX(Bank!$E:$E,B374))</f>
        <v/>
      </c>
      <c r="H374" s="5" t="str">
        <f aca="false">IF(B374=0,"",IF(INDEX(Bank!$H:$H,B374)="","",INDEX(Bank!$H:$H,B374)))</f>
        <v/>
      </c>
      <c r="I374" s="5" t="n">
        <f aca="false">IF(H374="",0,IFERROR(MATCH(H374,GL!$A:$A,0),0))</f>
        <v>0</v>
      </c>
      <c r="J374" s="32" t="str">
        <f aca="false">IF(I374=0,"",INDEX(GL!$B:$B,I374))</f>
        <v/>
      </c>
      <c r="K374" s="5" t="str">
        <f aca="false">IF(I374=0,"",IF(INDEX(GL!$C:$C,I374)="","",INDEX(GL!$C:$C,I374)))</f>
        <v/>
      </c>
      <c r="L374" s="19" t="str">
        <f aca="false">IF(I374=0,"",INDEX(GL!$E:$E,I374))</f>
        <v/>
      </c>
      <c r="M374" s="19" t="str">
        <f aca="false">IF(OR(B374=0,I374=0),"",ROUND(G374-L374,2))</f>
        <v/>
      </c>
      <c r="N374" s="5" t="str">
        <f aca="false">IF(A374="","",IF(B374=0,"NOT FOUND: bank ID",IF(I374=0,"NOT FOUND: GL ID",IF(INDEX(GL!$H:$H,I374)&lt;&gt;A374,"BROKEN: GL points elsewhere",IF(OR(INDEX(Bank!$F:$F,B374)&lt;&gt;"Y",INDEX(GL!$F:$F,I374)&lt;&gt;"Y"),"BROKEN: Status not Y","OK")))))</f>
        <v/>
      </c>
    </row>
    <row r="375" customFormat="false" ht="15" hidden="false" customHeight="false" outlineLevel="0" collapsed="false">
      <c r="A375" s="41"/>
      <c r="B375" s="5" t="n">
        <f aca="false">IF(A375="",0,IFERROR(MATCH(A375,Bank!$A:$A,0),0))</f>
        <v>0</v>
      </c>
      <c r="C375" s="5" t="str">
        <f aca="false">IF(B375=0,"",IF(INDEX(Bank!$G:$G,B375)="","",INDEX(Bank!$G:$G,B375)))</f>
        <v/>
      </c>
      <c r="D375" s="5" t="str">
        <f aca="false">IF(B375=0,"",IF(INDEX(Bank!$J:$J,B375)="","",INDEX(Bank!$J:$J,B375)))</f>
        <v/>
      </c>
      <c r="E375" s="32" t="str">
        <f aca="false">IF(B375=0,"",INDEX(Bank!$B:$B,B375))</f>
        <v/>
      </c>
      <c r="F375" s="5" t="str">
        <f aca="false">IF(B375=0,"",IF(INDEX(Bank!$C:$C,B375)="","",INDEX(Bank!$C:$C,B375)))</f>
        <v/>
      </c>
      <c r="G375" s="19" t="str">
        <f aca="false">IF(B375=0,"",INDEX(Bank!$E:$E,B375))</f>
        <v/>
      </c>
      <c r="H375" s="5" t="str">
        <f aca="false">IF(B375=0,"",IF(INDEX(Bank!$H:$H,B375)="","",INDEX(Bank!$H:$H,B375)))</f>
        <v/>
      </c>
      <c r="I375" s="5" t="n">
        <f aca="false">IF(H375="",0,IFERROR(MATCH(H375,GL!$A:$A,0),0))</f>
        <v>0</v>
      </c>
      <c r="J375" s="32" t="str">
        <f aca="false">IF(I375=0,"",INDEX(GL!$B:$B,I375))</f>
        <v/>
      </c>
      <c r="K375" s="5" t="str">
        <f aca="false">IF(I375=0,"",IF(INDEX(GL!$C:$C,I375)="","",INDEX(GL!$C:$C,I375)))</f>
        <v/>
      </c>
      <c r="L375" s="19" t="str">
        <f aca="false">IF(I375=0,"",INDEX(GL!$E:$E,I375))</f>
        <v/>
      </c>
      <c r="M375" s="19" t="str">
        <f aca="false">IF(OR(B375=0,I375=0),"",ROUND(G375-L375,2))</f>
        <v/>
      </c>
      <c r="N375" s="5" t="str">
        <f aca="false">IF(A375="","",IF(B375=0,"NOT FOUND: bank ID",IF(I375=0,"NOT FOUND: GL ID",IF(INDEX(GL!$H:$H,I375)&lt;&gt;A375,"BROKEN: GL points elsewhere",IF(OR(INDEX(Bank!$F:$F,B375)&lt;&gt;"Y",INDEX(GL!$F:$F,I375)&lt;&gt;"Y"),"BROKEN: Status not Y","OK")))))</f>
        <v/>
      </c>
    </row>
    <row r="376" customFormat="false" ht="15" hidden="false" customHeight="false" outlineLevel="0" collapsed="false">
      <c r="A376" s="41"/>
      <c r="B376" s="5" t="n">
        <f aca="false">IF(A376="",0,IFERROR(MATCH(A376,Bank!$A:$A,0),0))</f>
        <v>0</v>
      </c>
      <c r="C376" s="5" t="str">
        <f aca="false">IF(B376=0,"",IF(INDEX(Bank!$G:$G,B376)="","",INDEX(Bank!$G:$G,B376)))</f>
        <v/>
      </c>
      <c r="D376" s="5" t="str">
        <f aca="false">IF(B376=0,"",IF(INDEX(Bank!$J:$J,B376)="","",INDEX(Bank!$J:$J,B376)))</f>
        <v/>
      </c>
      <c r="E376" s="32" t="str">
        <f aca="false">IF(B376=0,"",INDEX(Bank!$B:$B,B376))</f>
        <v/>
      </c>
      <c r="F376" s="5" t="str">
        <f aca="false">IF(B376=0,"",IF(INDEX(Bank!$C:$C,B376)="","",INDEX(Bank!$C:$C,B376)))</f>
        <v/>
      </c>
      <c r="G376" s="19" t="str">
        <f aca="false">IF(B376=0,"",INDEX(Bank!$E:$E,B376))</f>
        <v/>
      </c>
      <c r="H376" s="5" t="str">
        <f aca="false">IF(B376=0,"",IF(INDEX(Bank!$H:$H,B376)="","",INDEX(Bank!$H:$H,B376)))</f>
        <v/>
      </c>
      <c r="I376" s="5" t="n">
        <f aca="false">IF(H376="",0,IFERROR(MATCH(H376,GL!$A:$A,0),0))</f>
        <v>0</v>
      </c>
      <c r="J376" s="32" t="str">
        <f aca="false">IF(I376=0,"",INDEX(GL!$B:$B,I376))</f>
        <v/>
      </c>
      <c r="K376" s="5" t="str">
        <f aca="false">IF(I376=0,"",IF(INDEX(GL!$C:$C,I376)="","",INDEX(GL!$C:$C,I376)))</f>
        <v/>
      </c>
      <c r="L376" s="19" t="str">
        <f aca="false">IF(I376=0,"",INDEX(GL!$E:$E,I376))</f>
        <v/>
      </c>
      <c r="M376" s="19" t="str">
        <f aca="false">IF(OR(B376=0,I376=0),"",ROUND(G376-L376,2))</f>
        <v/>
      </c>
      <c r="N376" s="5" t="str">
        <f aca="false">IF(A376="","",IF(B376=0,"NOT FOUND: bank ID",IF(I376=0,"NOT FOUND: GL ID",IF(INDEX(GL!$H:$H,I376)&lt;&gt;A376,"BROKEN: GL points elsewhere",IF(OR(INDEX(Bank!$F:$F,B376)&lt;&gt;"Y",INDEX(GL!$F:$F,I376)&lt;&gt;"Y"),"BROKEN: Status not Y","OK")))))</f>
        <v/>
      </c>
    </row>
    <row r="377" customFormat="false" ht="15" hidden="false" customHeight="false" outlineLevel="0" collapsed="false">
      <c r="A377" s="41"/>
      <c r="B377" s="5" t="n">
        <f aca="false">IF(A377="",0,IFERROR(MATCH(A377,Bank!$A:$A,0),0))</f>
        <v>0</v>
      </c>
      <c r="C377" s="5" t="str">
        <f aca="false">IF(B377=0,"",IF(INDEX(Bank!$G:$G,B377)="","",INDEX(Bank!$G:$G,B377)))</f>
        <v/>
      </c>
      <c r="D377" s="5" t="str">
        <f aca="false">IF(B377=0,"",IF(INDEX(Bank!$J:$J,B377)="","",INDEX(Bank!$J:$J,B377)))</f>
        <v/>
      </c>
      <c r="E377" s="32" t="str">
        <f aca="false">IF(B377=0,"",INDEX(Bank!$B:$B,B377))</f>
        <v/>
      </c>
      <c r="F377" s="5" t="str">
        <f aca="false">IF(B377=0,"",IF(INDEX(Bank!$C:$C,B377)="","",INDEX(Bank!$C:$C,B377)))</f>
        <v/>
      </c>
      <c r="G377" s="19" t="str">
        <f aca="false">IF(B377=0,"",INDEX(Bank!$E:$E,B377))</f>
        <v/>
      </c>
      <c r="H377" s="5" t="str">
        <f aca="false">IF(B377=0,"",IF(INDEX(Bank!$H:$H,B377)="","",INDEX(Bank!$H:$H,B377)))</f>
        <v/>
      </c>
      <c r="I377" s="5" t="n">
        <f aca="false">IF(H377="",0,IFERROR(MATCH(H377,GL!$A:$A,0),0))</f>
        <v>0</v>
      </c>
      <c r="J377" s="32" t="str">
        <f aca="false">IF(I377=0,"",INDEX(GL!$B:$B,I377))</f>
        <v/>
      </c>
      <c r="K377" s="5" t="str">
        <f aca="false">IF(I377=0,"",IF(INDEX(GL!$C:$C,I377)="","",INDEX(GL!$C:$C,I377)))</f>
        <v/>
      </c>
      <c r="L377" s="19" t="str">
        <f aca="false">IF(I377=0,"",INDEX(GL!$E:$E,I377))</f>
        <v/>
      </c>
      <c r="M377" s="19" t="str">
        <f aca="false">IF(OR(B377=0,I377=0),"",ROUND(G377-L377,2))</f>
        <v/>
      </c>
      <c r="N377" s="5" t="str">
        <f aca="false">IF(A377="","",IF(B377=0,"NOT FOUND: bank ID",IF(I377=0,"NOT FOUND: GL ID",IF(INDEX(GL!$H:$H,I377)&lt;&gt;A377,"BROKEN: GL points elsewhere",IF(OR(INDEX(Bank!$F:$F,B377)&lt;&gt;"Y",INDEX(GL!$F:$F,I377)&lt;&gt;"Y"),"BROKEN: Status not Y","OK")))))</f>
        <v/>
      </c>
    </row>
    <row r="378" customFormat="false" ht="15" hidden="false" customHeight="false" outlineLevel="0" collapsed="false">
      <c r="A378" s="41"/>
      <c r="B378" s="5" t="n">
        <f aca="false">IF(A378="",0,IFERROR(MATCH(A378,Bank!$A:$A,0),0))</f>
        <v>0</v>
      </c>
      <c r="C378" s="5" t="str">
        <f aca="false">IF(B378=0,"",IF(INDEX(Bank!$G:$G,B378)="","",INDEX(Bank!$G:$G,B378)))</f>
        <v/>
      </c>
      <c r="D378" s="5" t="str">
        <f aca="false">IF(B378=0,"",IF(INDEX(Bank!$J:$J,B378)="","",INDEX(Bank!$J:$J,B378)))</f>
        <v/>
      </c>
      <c r="E378" s="32" t="str">
        <f aca="false">IF(B378=0,"",INDEX(Bank!$B:$B,B378))</f>
        <v/>
      </c>
      <c r="F378" s="5" t="str">
        <f aca="false">IF(B378=0,"",IF(INDEX(Bank!$C:$C,B378)="","",INDEX(Bank!$C:$C,B378)))</f>
        <v/>
      </c>
      <c r="G378" s="19" t="str">
        <f aca="false">IF(B378=0,"",INDEX(Bank!$E:$E,B378))</f>
        <v/>
      </c>
      <c r="H378" s="5" t="str">
        <f aca="false">IF(B378=0,"",IF(INDEX(Bank!$H:$H,B378)="","",INDEX(Bank!$H:$H,B378)))</f>
        <v/>
      </c>
      <c r="I378" s="5" t="n">
        <f aca="false">IF(H378="",0,IFERROR(MATCH(H378,GL!$A:$A,0),0))</f>
        <v>0</v>
      </c>
      <c r="J378" s="32" t="str">
        <f aca="false">IF(I378=0,"",INDEX(GL!$B:$B,I378))</f>
        <v/>
      </c>
      <c r="K378" s="5" t="str">
        <f aca="false">IF(I378=0,"",IF(INDEX(GL!$C:$C,I378)="","",INDEX(GL!$C:$C,I378)))</f>
        <v/>
      </c>
      <c r="L378" s="19" t="str">
        <f aca="false">IF(I378=0,"",INDEX(GL!$E:$E,I378))</f>
        <v/>
      </c>
      <c r="M378" s="19" t="str">
        <f aca="false">IF(OR(B378=0,I378=0),"",ROUND(G378-L378,2))</f>
        <v/>
      </c>
      <c r="N378" s="5" t="str">
        <f aca="false">IF(A378="","",IF(B378=0,"NOT FOUND: bank ID",IF(I378=0,"NOT FOUND: GL ID",IF(INDEX(GL!$H:$H,I378)&lt;&gt;A378,"BROKEN: GL points elsewhere",IF(OR(INDEX(Bank!$F:$F,B378)&lt;&gt;"Y",INDEX(GL!$F:$F,I378)&lt;&gt;"Y"),"BROKEN: Status not Y","OK")))))</f>
        <v/>
      </c>
    </row>
    <row r="379" customFormat="false" ht="15" hidden="false" customHeight="false" outlineLevel="0" collapsed="false">
      <c r="A379" s="41"/>
      <c r="B379" s="5" t="n">
        <f aca="false">IF(A379="",0,IFERROR(MATCH(A379,Bank!$A:$A,0),0))</f>
        <v>0</v>
      </c>
      <c r="C379" s="5" t="str">
        <f aca="false">IF(B379=0,"",IF(INDEX(Bank!$G:$G,B379)="","",INDEX(Bank!$G:$G,B379)))</f>
        <v/>
      </c>
      <c r="D379" s="5" t="str">
        <f aca="false">IF(B379=0,"",IF(INDEX(Bank!$J:$J,B379)="","",INDEX(Bank!$J:$J,B379)))</f>
        <v/>
      </c>
      <c r="E379" s="32" t="str">
        <f aca="false">IF(B379=0,"",INDEX(Bank!$B:$B,B379))</f>
        <v/>
      </c>
      <c r="F379" s="5" t="str">
        <f aca="false">IF(B379=0,"",IF(INDEX(Bank!$C:$C,B379)="","",INDEX(Bank!$C:$C,B379)))</f>
        <v/>
      </c>
      <c r="G379" s="19" t="str">
        <f aca="false">IF(B379=0,"",INDEX(Bank!$E:$E,B379))</f>
        <v/>
      </c>
      <c r="H379" s="5" t="str">
        <f aca="false">IF(B379=0,"",IF(INDEX(Bank!$H:$H,B379)="","",INDEX(Bank!$H:$H,B379)))</f>
        <v/>
      </c>
      <c r="I379" s="5" t="n">
        <f aca="false">IF(H379="",0,IFERROR(MATCH(H379,GL!$A:$A,0),0))</f>
        <v>0</v>
      </c>
      <c r="J379" s="32" t="str">
        <f aca="false">IF(I379=0,"",INDEX(GL!$B:$B,I379))</f>
        <v/>
      </c>
      <c r="K379" s="5" t="str">
        <f aca="false">IF(I379=0,"",IF(INDEX(GL!$C:$C,I379)="","",INDEX(GL!$C:$C,I379)))</f>
        <v/>
      </c>
      <c r="L379" s="19" t="str">
        <f aca="false">IF(I379=0,"",INDEX(GL!$E:$E,I379))</f>
        <v/>
      </c>
      <c r="M379" s="19" t="str">
        <f aca="false">IF(OR(B379=0,I379=0),"",ROUND(G379-L379,2))</f>
        <v/>
      </c>
      <c r="N379" s="5" t="str">
        <f aca="false">IF(A379="","",IF(B379=0,"NOT FOUND: bank ID",IF(I379=0,"NOT FOUND: GL ID",IF(INDEX(GL!$H:$H,I379)&lt;&gt;A379,"BROKEN: GL points elsewhere",IF(OR(INDEX(Bank!$F:$F,B379)&lt;&gt;"Y",INDEX(GL!$F:$F,I379)&lt;&gt;"Y"),"BROKEN: Status not Y","OK")))))</f>
        <v/>
      </c>
    </row>
    <row r="380" customFormat="false" ht="15" hidden="false" customHeight="false" outlineLevel="0" collapsed="false">
      <c r="A380" s="41"/>
      <c r="B380" s="5" t="n">
        <f aca="false">IF(A380="",0,IFERROR(MATCH(A380,Bank!$A:$A,0),0))</f>
        <v>0</v>
      </c>
      <c r="C380" s="5" t="str">
        <f aca="false">IF(B380=0,"",IF(INDEX(Bank!$G:$G,B380)="","",INDEX(Bank!$G:$G,B380)))</f>
        <v/>
      </c>
      <c r="D380" s="5" t="str">
        <f aca="false">IF(B380=0,"",IF(INDEX(Bank!$J:$J,B380)="","",INDEX(Bank!$J:$J,B380)))</f>
        <v/>
      </c>
      <c r="E380" s="32" t="str">
        <f aca="false">IF(B380=0,"",INDEX(Bank!$B:$B,B380))</f>
        <v/>
      </c>
      <c r="F380" s="5" t="str">
        <f aca="false">IF(B380=0,"",IF(INDEX(Bank!$C:$C,B380)="","",INDEX(Bank!$C:$C,B380)))</f>
        <v/>
      </c>
      <c r="G380" s="19" t="str">
        <f aca="false">IF(B380=0,"",INDEX(Bank!$E:$E,B380))</f>
        <v/>
      </c>
      <c r="H380" s="5" t="str">
        <f aca="false">IF(B380=0,"",IF(INDEX(Bank!$H:$H,B380)="","",INDEX(Bank!$H:$H,B380)))</f>
        <v/>
      </c>
      <c r="I380" s="5" t="n">
        <f aca="false">IF(H380="",0,IFERROR(MATCH(H380,GL!$A:$A,0),0))</f>
        <v>0</v>
      </c>
      <c r="J380" s="32" t="str">
        <f aca="false">IF(I380=0,"",INDEX(GL!$B:$B,I380))</f>
        <v/>
      </c>
      <c r="K380" s="5" t="str">
        <f aca="false">IF(I380=0,"",IF(INDEX(GL!$C:$C,I380)="","",INDEX(GL!$C:$C,I380)))</f>
        <v/>
      </c>
      <c r="L380" s="19" t="str">
        <f aca="false">IF(I380=0,"",INDEX(GL!$E:$E,I380))</f>
        <v/>
      </c>
      <c r="M380" s="19" t="str">
        <f aca="false">IF(OR(B380=0,I380=0),"",ROUND(G380-L380,2))</f>
        <v/>
      </c>
      <c r="N380" s="5" t="str">
        <f aca="false">IF(A380="","",IF(B380=0,"NOT FOUND: bank ID",IF(I380=0,"NOT FOUND: GL ID",IF(INDEX(GL!$H:$H,I380)&lt;&gt;A380,"BROKEN: GL points elsewhere",IF(OR(INDEX(Bank!$F:$F,B380)&lt;&gt;"Y",INDEX(GL!$F:$F,I380)&lt;&gt;"Y"),"BROKEN: Status not Y","OK")))))</f>
        <v/>
      </c>
    </row>
    <row r="381" customFormat="false" ht="15" hidden="false" customHeight="false" outlineLevel="0" collapsed="false">
      <c r="A381" s="41"/>
      <c r="B381" s="5" t="n">
        <f aca="false">IF(A381="",0,IFERROR(MATCH(A381,Bank!$A:$A,0),0))</f>
        <v>0</v>
      </c>
      <c r="C381" s="5" t="str">
        <f aca="false">IF(B381=0,"",IF(INDEX(Bank!$G:$G,B381)="","",INDEX(Bank!$G:$G,B381)))</f>
        <v/>
      </c>
      <c r="D381" s="5" t="str">
        <f aca="false">IF(B381=0,"",IF(INDEX(Bank!$J:$J,B381)="","",INDEX(Bank!$J:$J,B381)))</f>
        <v/>
      </c>
      <c r="E381" s="32" t="str">
        <f aca="false">IF(B381=0,"",INDEX(Bank!$B:$B,B381))</f>
        <v/>
      </c>
      <c r="F381" s="5" t="str">
        <f aca="false">IF(B381=0,"",IF(INDEX(Bank!$C:$C,B381)="","",INDEX(Bank!$C:$C,B381)))</f>
        <v/>
      </c>
      <c r="G381" s="19" t="str">
        <f aca="false">IF(B381=0,"",INDEX(Bank!$E:$E,B381))</f>
        <v/>
      </c>
      <c r="H381" s="5" t="str">
        <f aca="false">IF(B381=0,"",IF(INDEX(Bank!$H:$H,B381)="","",INDEX(Bank!$H:$H,B381)))</f>
        <v/>
      </c>
      <c r="I381" s="5" t="n">
        <f aca="false">IF(H381="",0,IFERROR(MATCH(H381,GL!$A:$A,0),0))</f>
        <v>0</v>
      </c>
      <c r="J381" s="32" t="str">
        <f aca="false">IF(I381=0,"",INDEX(GL!$B:$B,I381))</f>
        <v/>
      </c>
      <c r="K381" s="5" t="str">
        <f aca="false">IF(I381=0,"",IF(INDEX(GL!$C:$C,I381)="","",INDEX(GL!$C:$C,I381)))</f>
        <v/>
      </c>
      <c r="L381" s="19" t="str">
        <f aca="false">IF(I381=0,"",INDEX(GL!$E:$E,I381))</f>
        <v/>
      </c>
      <c r="M381" s="19" t="str">
        <f aca="false">IF(OR(B381=0,I381=0),"",ROUND(G381-L381,2))</f>
        <v/>
      </c>
      <c r="N381" s="5" t="str">
        <f aca="false">IF(A381="","",IF(B381=0,"NOT FOUND: bank ID",IF(I381=0,"NOT FOUND: GL ID",IF(INDEX(GL!$H:$H,I381)&lt;&gt;A381,"BROKEN: GL points elsewhere",IF(OR(INDEX(Bank!$F:$F,B381)&lt;&gt;"Y",INDEX(GL!$F:$F,I381)&lt;&gt;"Y"),"BROKEN: Status not Y","OK")))))</f>
        <v/>
      </c>
    </row>
    <row r="382" customFormat="false" ht="15" hidden="false" customHeight="false" outlineLevel="0" collapsed="false">
      <c r="A382" s="41"/>
      <c r="B382" s="5" t="n">
        <f aca="false">IF(A382="",0,IFERROR(MATCH(A382,Bank!$A:$A,0),0))</f>
        <v>0</v>
      </c>
      <c r="C382" s="5" t="str">
        <f aca="false">IF(B382=0,"",IF(INDEX(Bank!$G:$G,B382)="","",INDEX(Bank!$G:$G,B382)))</f>
        <v/>
      </c>
      <c r="D382" s="5" t="str">
        <f aca="false">IF(B382=0,"",IF(INDEX(Bank!$J:$J,B382)="","",INDEX(Bank!$J:$J,B382)))</f>
        <v/>
      </c>
      <c r="E382" s="32" t="str">
        <f aca="false">IF(B382=0,"",INDEX(Bank!$B:$B,B382))</f>
        <v/>
      </c>
      <c r="F382" s="5" t="str">
        <f aca="false">IF(B382=0,"",IF(INDEX(Bank!$C:$C,B382)="","",INDEX(Bank!$C:$C,B382)))</f>
        <v/>
      </c>
      <c r="G382" s="19" t="str">
        <f aca="false">IF(B382=0,"",INDEX(Bank!$E:$E,B382))</f>
        <v/>
      </c>
      <c r="H382" s="5" t="str">
        <f aca="false">IF(B382=0,"",IF(INDEX(Bank!$H:$H,B382)="","",INDEX(Bank!$H:$H,B382)))</f>
        <v/>
      </c>
      <c r="I382" s="5" t="n">
        <f aca="false">IF(H382="",0,IFERROR(MATCH(H382,GL!$A:$A,0),0))</f>
        <v>0</v>
      </c>
      <c r="J382" s="32" t="str">
        <f aca="false">IF(I382=0,"",INDEX(GL!$B:$B,I382))</f>
        <v/>
      </c>
      <c r="K382" s="5" t="str">
        <f aca="false">IF(I382=0,"",IF(INDEX(GL!$C:$C,I382)="","",INDEX(GL!$C:$C,I382)))</f>
        <v/>
      </c>
      <c r="L382" s="19" t="str">
        <f aca="false">IF(I382=0,"",INDEX(GL!$E:$E,I382))</f>
        <v/>
      </c>
      <c r="M382" s="19" t="str">
        <f aca="false">IF(OR(B382=0,I382=0),"",ROUND(G382-L382,2))</f>
        <v/>
      </c>
      <c r="N382" s="5" t="str">
        <f aca="false">IF(A382="","",IF(B382=0,"NOT FOUND: bank ID",IF(I382=0,"NOT FOUND: GL ID",IF(INDEX(GL!$H:$H,I382)&lt;&gt;A382,"BROKEN: GL points elsewhere",IF(OR(INDEX(Bank!$F:$F,B382)&lt;&gt;"Y",INDEX(GL!$F:$F,I382)&lt;&gt;"Y"),"BROKEN: Status not Y","OK")))))</f>
        <v/>
      </c>
    </row>
    <row r="383" customFormat="false" ht="15" hidden="false" customHeight="false" outlineLevel="0" collapsed="false">
      <c r="A383" s="41"/>
      <c r="B383" s="5" t="n">
        <f aca="false">IF(A383="",0,IFERROR(MATCH(A383,Bank!$A:$A,0),0))</f>
        <v>0</v>
      </c>
      <c r="C383" s="5" t="str">
        <f aca="false">IF(B383=0,"",IF(INDEX(Bank!$G:$G,B383)="","",INDEX(Bank!$G:$G,B383)))</f>
        <v/>
      </c>
      <c r="D383" s="5" t="str">
        <f aca="false">IF(B383=0,"",IF(INDEX(Bank!$J:$J,B383)="","",INDEX(Bank!$J:$J,B383)))</f>
        <v/>
      </c>
      <c r="E383" s="32" t="str">
        <f aca="false">IF(B383=0,"",INDEX(Bank!$B:$B,B383))</f>
        <v/>
      </c>
      <c r="F383" s="5" t="str">
        <f aca="false">IF(B383=0,"",IF(INDEX(Bank!$C:$C,B383)="","",INDEX(Bank!$C:$C,B383)))</f>
        <v/>
      </c>
      <c r="G383" s="19" t="str">
        <f aca="false">IF(B383=0,"",INDEX(Bank!$E:$E,B383))</f>
        <v/>
      </c>
      <c r="H383" s="5" t="str">
        <f aca="false">IF(B383=0,"",IF(INDEX(Bank!$H:$H,B383)="","",INDEX(Bank!$H:$H,B383)))</f>
        <v/>
      </c>
      <c r="I383" s="5" t="n">
        <f aca="false">IF(H383="",0,IFERROR(MATCH(H383,GL!$A:$A,0),0))</f>
        <v>0</v>
      </c>
      <c r="J383" s="32" t="str">
        <f aca="false">IF(I383=0,"",INDEX(GL!$B:$B,I383))</f>
        <v/>
      </c>
      <c r="K383" s="5" t="str">
        <f aca="false">IF(I383=0,"",IF(INDEX(GL!$C:$C,I383)="","",INDEX(GL!$C:$C,I383)))</f>
        <v/>
      </c>
      <c r="L383" s="19" t="str">
        <f aca="false">IF(I383=0,"",INDEX(GL!$E:$E,I383))</f>
        <v/>
      </c>
      <c r="M383" s="19" t="str">
        <f aca="false">IF(OR(B383=0,I383=0),"",ROUND(G383-L383,2))</f>
        <v/>
      </c>
      <c r="N383" s="5" t="str">
        <f aca="false">IF(A383="","",IF(B383=0,"NOT FOUND: bank ID",IF(I383=0,"NOT FOUND: GL ID",IF(INDEX(GL!$H:$H,I383)&lt;&gt;A383,"BROKEN: GL points elsewhere",IF(OR(INDEX(Bank!$F:$F,B383)&lt;&gt;"Y",INDEX(GL!$F:$F,I383)&lt;&gt;"Y"),"BROKEN: Status not Y","OK")))))</f>
        <v/>
      </c>
    </row>
    <row r="384" customFormat="false" ht="15" hidden="false" customHeight="false" outlineLevel="0" collapsed="false">
      <c r="A384" s="41"/>
      <c r="B384" s="5" t="n">
        <f aca="false">IF(A384="",0,IFERROR(MATCH(A384,Bank!$A:$A,0),0))</f>
        <v>0</v>
      </c>
      <c r="C384" s="5" t="str">
        <f aca="false">IF(B384=0,"",IF(INDEX(Bank!$G:$G,B384)="","",INDEX(Bank!$G:$G,B384)))</f>
        <v/>
      </c>
      <c r="D384" s="5" t="str">
        <f aca="false">IF(B384=0,"",IF(INDEX(Bank!$J:$J,B384)="","",INDEX(Bank!$J:$J,B384)))</f>
        <v/>
      </c>
      <c r="E384" s="32" t="str">
        <f aca="false">IF(B384=0,"",INDEX(Bank!$B:$B,B384))</f>
        <v/>
      </c>
      <c r="F384" s="5" t="str">
        <f aca="false">IF(B384=0,"",IF(INDEX(Bank!$C:$C,B384)="","",INDEX(Bank!$C:$C,B384)))</f>
        <v/>
      </c>
      <c r="G384" s="19" t="str">
        <f aca="false">IF(B384=0,"",INDEX(Bank!$E:$E,B384))</f>
        <v/>
      </c>
      <c r="H384" s="5" t="str">
        <f aca="false">IF(B384=0,"",IF(INDEX(Bank!$H:$H,B384)="","",INDEX(Bank!$H:$H,B384)))</f>
        <v/>
      </c>
      <c r="I384" s="5" t="n">
        <f aca="false">IF(H384="",0,IFERROR(MATCH(H384,GL!$A:$A,0),0))</f>
        <v>0</v>
      </c>
      <c r="J384" s="32" t="str">
        <f aca="false">IF(I384=0,"",INDEX(GL!$B:$B,I384))</f>
        <v/>
      </c>
      <c r="K384" s="5" t="str">
        <f aca="false">IF(I384=0,"",IF(INDEX(GL!$C:$C,I384)="","",INDEX(GL!$C:$C,I384)))</f>
        <v/>
      </c>
      <c r="L384" s="19" t="str">
        <f aca="false">IF(I384=0,"",INDEX(GL!$E:$E,I384))</f>
        <v/>
      </c>
      <c r="M384" s="19" t="str">
        <f aca="false">IF(OR(B384=0,I384=0),"",ROUND(G384-L384,2))</f>
        <v/>
      </c>
      <c r="N384" s="5" t="str">
        <f aca="false">IF(A384="","",IF(B384=0,"NOT FOUND: bank ID",IF(I384=0,"NOT FOUND: GL ID",IF(INDEX(GL!$H:$H,I384)&lt;&gt;A384,"BROKEN: GL points elsewhere",IF(OR(INDEX(Bank!$F:$F,B384)&lt;&gt;"Y",INDEX(GL!$F:$F,I384)&lt;&gt;"Y"),"BROKEN: Status not Y","OK")))))</f>
        <v/>
      </c>
    </row>
    <row r="385" customFormat="false" ht="15" hidden="false" customHeight="false" outlineLevel="0" collapsed="false">
      <c r="A385" s="41"/>
      <c r="B385" s="5" t="n">
        <f aca="false">IF(A385="",0,IFERROR(MATCH(A385,Bank!$A:$A,0),0))</f>
        <v>0</v>
      </c>
      <c r="C385" s="5" t="str">
        <f aca="false">IF(B385=0,"",IF(INDEX(Bank!$G:$G,B385)="","",INDEX(Bank!$G:$G,B385)))</f>
        <v/>
      </c>
      <c r="D385" s="5" t="str">
        <f aca="false">IF(B385=0,"",IF(INDEX(Bank!$J:$J,B385)="","",INDEX(Bank!$J:$J,B385)))</f>
        <v/>
      </c>
      <c r="E385" s="32" t="str">
        <f aca="false">IF(B385=0,"",INDEX(Bank!$B:$B,B385))</f>
        <v/>
      </c>
      <c r="F385" s="5" t="str">
        <f aca="false">IF(B385=0,"",IF(INDEX(Bank!$C:$C,B385)="","",INDEX(Bank!$C:$C,B385)))</f>
        <v/>
      </c>
      <c r="G385" s="19" t="str">
        <f aca="false">IF(B385=0,"",INDEX(Bank!$E:$E,B385))</f>
        <v/>
      </c>
      <c r="H385" s="5" t="str">
        <f aca="false">IF(B385=0,"",IF(INDEX(Bank!$H:$H,B385)="","",INDEX(Bank!$H:$H,B385)))</f>
        <v/>
      </c>
      <c r="I385" s="5" t="n">
        <f aca="false">IF(H385="",0,IFERROR(MATCH(H385,GL!$A:$A,0),0))</f>
        <v>0</v>
      </c>
      <c r="J385" s="32" t="str">
        <f aca="false">IF(I385=0,"",INDEX(GL!$B:$B,I385))</f>
        <v/>
      </c>
      <c r="K385" s="5" t="str">
        <f aca="false">IF(I385=0,"",IF(INDEX(GL!$C:$C,I385)="","",INDEX(GL!$C:$C,I385)))</f>
        <v/>
      </c>
      <c r="L385" s="19" t="str">
        <f aca="false">IF(I385=0,"",INDEX(GL!$E:$E,I385))</f>
        <v/>
      </c>
      <c r="M385" s="19" t="str">
        <f aca="false">IF(OR(B385=0,I385=0),"",ROUND(G385-L385,2))</f>
        <v/>
      </c>
      <c r="N385" s="5" t="str">
        <f aca="false">IF(A385="","",IF(B385=0,"NOT FOUND: bank ID",IF(I385=0,"NOT FOUND: GL ID",IF(INDEX(GL!$H:$H,I385)&lt;&gt;A385,"BROKEN: GL points elsewhere",IF(OR(INDEX(Bank!$F:$F,B385)&lt;&gt;"Y",INDEX(GL!$F:$F,I385)&lt;&gt;"Y"),"BROKEN: Status not Y","OK")))))</f>
        <v/>
      </c>
    </row>
    <row r="386" customFormat="false" ht="15" hidden="false" customHeight="false" outlineLevel="0" collapsed="false">
      <c r="A386" s="41"/>
      <c r="B386" s="5" t="n">
        <f aca="false">IF(A386="",0,IFERROR(MATCH(A386,Bank!$A:$A,0),0))</f>
        <v>0</v>
      </c>
      <c r="C386" s="5" t="str">
        <f aca="false">IF(B386=0,"",IF(INDEX(Bank!$G:$G,B386)="","",INDEX(Bank!$G:$G,B386)))</f>
        <v/>
      </c>
      <c r="D386" s="5" t="str">
        <f aca="false">IF(B386=0,"",IF(INDEX(Bank!$J:$J,B386)="","",INDEX(Bank!$J:$J,B386)))</f>
        <v/>
      </c>
      <c r="E386" s="32" t="str">
        <f aca="false">IF(B386=0,"",INDEX(Bank!$B:$B,B386))</f>
        <v/>
      </c>
      <c r="F386" s="5" t="str">
        <f aca="false">IF(B386=0,"",IF(INDEX(Bank!$C:$C,B386)="","",INDEX(Bank!$C:$C,B386)))</f>
        <v/>
      </c>
      <c r="G386" s="19" t="str">
        <f aca="false">IF(B386=0,"",INDEX(Bank!$E:$E,B386))</f>
        <v/>
      </c>
      <c r="H386" s="5" t="str">
        <f aca="false">IF(B386=0,"",IF(INDEX(Bank!$H:$H,B386)="","",INDEX(Bank!$H:$H,B386)))</f>
        <v/>
      </c>
      <c r="I386" s="5" t="n">
        <f aca="false">IF(H386="",0,IFERROR(MATCH(H386,GL!$A:$A,0),0))</f>
        <v>0</v>
      </c>
      <c r="J386" s="32" t="str">
        <f aca="false">IF(I386=0,"",INDEX(GL!$B:$B,I386))</f>
        <v/>
      </c>
      <c r="K386" s="5" t="str">
        <f aca="false">IF(I386=0,"",IF(INDEX(GL!$C:$C,I386)="","",INDEX(GL!$C:$C,I386)))</f>
        <v/>
      </c>
      <c r="L386" s="19" t="str">
        <f aca="false">IF(I386=0,"",INDEX(GL!$E:$E,I386))</f>
        <v/>
      </c>
      <c r="M386" s="19" t="str">
        <f aca="false">IF(OR(B386=0,I386=0),"",ROUND(G386-L386,2))</f>
        <v/>
      </c>
      <c r="N386" s="5" t="str">
        <f aca="false">IF(A386="","",IF(B386=0,"NOT FOUND: bank ID",IF(I386=0,"NOT FOUND: GL ID",IF(INDEX(GL!$H:$H,I386)&lt;&gt;A386,"BROKEN: GL points elsewhere",IF(OR(INDEX(Bank!$F:$F,B386)&lt;&gt;"Y",INDEX(GL!$F:$F,I386)&lt;&gt;"Y"),"BROKEN: Status not Y","OK")))))</f>
        <v/>
      </c>
    </row>
    <row r="387" customFormat="false" ht="15" hidden="false" customHeight="false" outlineLevel="0" collapsed="false">
      <c r="A387" s="41"/>
      <c r="B387" s="5" t="n">
        <f aca="false">IF(A387="",0,IFERROR(MATCH(A387,Bank!$A:$A,0),0))</f>
        <v>0</v>
      </c>
      <c r="C387" s="5" t="str">
        <f aca="false">IF(B387=0,"",IF(INDEX(Bank!$G:$G,B387)="","",INDEX(Bank!$G:$G,B387)))</f>
        <v/>
      </c>
      <c r="D387" s="5" t="str">
        <f aca="false">IF(B387=0,"",IF(INDEX(Bank!$J:$J,B387)="","",INDEX(Bank!$J:$J,B387)))</f>
        <v/>
      </c>
      <c r="E387" s="32" t="str">
        <f aca="false">IF(B387=0,"",INDEX(Bank!$B:$B,B387))</f>
        <v/>
      </c>
      <c r="F387" s="5" t="str">
        <f aca="false">IF(B387=0,"",IF(INDEX(Bank!$C:$C,B387)="","",INDEX(Bank!$C:$C,B387)))</f>
        <v/>
      </c>
      <c r="G387" s="19" t="str">
        <f aca="false">IF(B387=0,"",INDEX(Bank!$E:$E,B387))</f>
        <v/>
      </c>
      <c r="H387" s="5" t="str">
        <f aca="false">IF(B387=0,"",IF(INDEX(Bank!$H:$H,B387)="","",INDEX(Bank!$H:$H,B387)))</f>
        <v/>
      </c>
      <c r="I387" s="5" t="n">
        <f aca="false">IF(H387="",0,IFERROR(MATCH(H387,GL!$A:$A,0),0))</f>
        <v>0</v>
      </c>
      <c r="J387" s="32" t="str">
        <f aca="false">IF(I387=0,"",INDEX(GL!$B:$B,I387))</f>
        <v/>
      </c>
      <c r="K387" s="5" t="str">
        <f aca="false">IF(I387=0,"",IF(INDEX(GL!$C:$C,I387)="","",INDEX(GL!$C:$C,I387)))</f>
        <v/>
      </c>
      <c r="L387" s="19" t="str">
        <f aca="false">IF(I387=0,"",INDEX(GL!$E:$E,I387))</f>
        <v/>
      </c>
      <c r="M387" s="19" t="str">
        <f aca="false">IF(OR(B387=0,I387=0),"",ROUND(G387-L387,2))</f>
        <v/>
      </c>
      <c r="N387" s="5" t="str">
        <f aca="false">IF(A387="","",IF(B387=0,"NOT FOUND: bank ID",IF(I387=0,"NOT FOUND: GL ID",IF(INDEX(GL!$H:$H,I387)&lt;&gt;A387,"BROKEN: GL points elsewhere",IF(OR(INDEX(Bank!$F:$F,B387)&lt;&gt;"Y",INDEX(GL!$F:$F,I387)&lt;&gt;"Y"),"BROKEN: Status not Y","OK")))))</f>
        <v/>
      </c>
    </row>
    <row r="388" customFormat="false" ht="15" hidden="false" customHeight="false" outlineLevel="0" collapsed="false">
      <c r="A388" s="41"/>
      <c r="B388" s="5" t="n">
        <f aca="false">IF(A388="",0,IFERROR(MATCH(A388,Bank!$A:$A,0),0))</f>
        <v>0</v>
      </c>
      <c r="C388" s="5" t="str">
        <f aca="false">IF(B388=0,"",IF(INDEX(Bank!$G:$G,B388)="","",INDEX(Bank!$G:$G,B388)))</f>
        <v/>
      </c>
      <c r="D388" s="5" t="str">
        <f aca="false">IF(B388=0,"",IF(INDEX(Bank!$J:$J,B388)="","",INDEX(Bank!$J:$J,B388)))</f>
        <v/>
      </c>
      <c r="E388" s="32" t="str">
        <f aca="false">IF(B388=0,"",INDEX(Bank!$B:$B,B388))</f>
        <v/>
      </c>
      <c r="F388" s="5" t="str">
        <f aca="false">IF(B388=0,"",IF(INDEX(Bank!$C:$C,B388)="","",INDEX(Bank!$C:$C,B388)))</f>
        <v/>
      </c>
      <c r="G388" s="19" t="str">
        <f aca="false">IF(B388=0,"",INDEX(Bank!$E:$E,B388))</f>
        <v/>
      </c>
      <c r="H388" s="5" t="str">
        <f aca="false">IF(B388=0,"",IF(INDEX(Bank!$H:$H,B388)="","",INDEX(Bank!$H:$H,B388)))</f>
        <v/>
      </c>
      <c r="I388" s="5" t="n">
        <f aca="false">IF(H388="",0,IFERROR(MATCH(H388,GL!$A:$A,0),0))</f>
        <v>0</v>
      </c>
      <c r="J388" s="32" t="str">
        <f aca="false">IF(I388=0,"",INDEX(GL!$B:$B,I388))</f>
        <v/>
      </c>
      <c r="K388" s="5" t="str">
        <f aca="false">IF(I388=0,"",IF(INDEX(GL!$C:$C,I388)="","",INDEX(GL!$C:$C,I388)))</f>
        <v/>
      </c>
      <c r="L388" s="19" t="str">
        <f aca="false">IF(I388=0,"",INDEX(GL!$E:$E,I388))</f>
        <v/>
      </c>
      <c r="M388" s="19" t="str">
        <f aca="false">IF(OR(B388=0,I388=0),"",ROUND(G388-L388,2))</f>
        <v/>
      </c>
      <c r="N388" s="5" t="str">
        <f aca="false">IF(A388="","",IF(B388=0,"NOT FOUND: bank ID",IF(I388=0,"NOT FOUND: GL ID",IF(INDEX(GL!$H:$H,I388)&lt;&gt;A388,"BROKEN: GL points elsewhere",IF(OR(INDEX(Bank!$F:$F,B388)&lt;&gt;"Y",INDEX(GL!$F:$F,I388)&lt;&gt;"Y"),"BROKEN: Status not Y","OK")))))</f>
        <v/>
      </c>
    </row>
    <row r="389" customFormat="false" ht="15" hidden="false" customHeight="false" outlineLevel="0" collapsed="false">
      <c r="A389" s="41"/>
      <c r="B389" s="5" t="n">
        <f aca="false">IF(A389="",0,IFERROR(MATCH(A389,Bank!$A:$A,0),0))</f>
        <v>0</v>
      </c>
      <c r="C389" s="5" t="str">
        <f aca="false">IF(B389=0,"",IF(INDEX(Bank!$G:$G,B389)="","",INDEX(Bank!$G:$G,B389)))</f>
        <v/>
      </c>
      <c r="D389" s="5" t="str">
        <f aca="false">IF(B389=0,"",IF(INDEX(Bank!$J:$J,B389)="","",INDEX(Bank!$J:$J,B389)))</f>
        <v/>
      </c>
      <c r="E389" s="32" t="str">
        <f aca="false">IF(B389=0,"",INDEX(Bank!$B:$B,B389))</f>
        <v/>
      </c>
      <c r="F389" s="5" t="str">
        <f aca="false">IF(B389=0,"",IF(INDEX(Bank!$C:$C,B389)="","",INDEX(Bank!$C:$C,B389)))</f>
        <v/>
      </c>
      <c r="G389" s="19" t="str">
        <f aca="false">IF(B389=0,"",INDEX(Bank!$E:$E,B389))</f>
        <v/>
      </c>
      <c r="H389" s="5" t="str">
        <f aca="false">IF(B389=0,"",IF(INDEX(Bank!$H:$H,B389)="","",INDEX(Bank!$H:$H,B389)))</f>
        <v/>
      </c>
      <c r="I389" s="5" t="n">
        <f aca="false">IF(H389="",0,IFERROR(MATCH(H389,GL!$A:$A,0),0))</f>
        <v>0</v>
      </c>
      <c r="J389" s="32" t="str">
        <f aca="false">IF(I389=0,"",INDEX(GL!$B:$B,I389))</f>
        <v/>
      </c>
      <c r="K389" s="5" t="str">
        <f aca="false">IF(I389=0,"",IF(INDEX(GL!$C:$C,I389)="","",INDEX(GL!$C:$C,I389)))</f>
        <v/>
      </c>
      <c r="L389" s="19" t="str">
        <f aca="false">IF(I389=0,"",INDEX(GL!$E:$E,I389))</f>
        <v/>
      </c>
      <c r="M389" s="19" t="str">
        <f aca="false">IF(OR(B389=0,I389=0),"",ROUND(G389-L389,2))</f>
        <v/>
      </c>
      <c r="N389" s="5" t="str">
        <f aca="false">IF(A389="","",IF(B389=0,"NOT FOUND: bank ID",IF(I389=0,"NOT FOUND: GL ID",IF(INDEX(GL!$H:$H,I389)&lt;&gt;A389,"BROKEN: GL points elsewhere",IF(OR(INDEX(Bank!$F:$F,B389)&lt;&gt;"Y",INDEX(GL!$F:$F,I389)&lt;&gt;"Y"),"BROKEN: Status not Y","OK")))))</f>
        <v/>
      </c>
    </row>
    <row r="390" customFormat="false" ht="15" hidden="false" customHeight="false" outlineLevel="0" collapsed="false">
      <c r="A390" s="41"/>
      <c r="B390" s="5" t="n">
        <f aca="false">IF(A390="",0,IFERROR(MATCH(A390,Bank!$A:$A,0),0))</f>
        <v>0</v>
      </c>
      <c r="C390" s="5" t="str">
        <f aca="false">IF(B390=0,"",IF(INDEX(Bank!$G:$G,B390)="","",INDEX(Bank!$G:$G,B390)))</f>
        <v/>
      </c>
      <c r="D390" s="5" t="str">
        <f aca="false">IF(B390=0,"",IF(INDEX(Bank!$J:$J,B390)="","",INDEX(Bank!$J:$J,B390)))</f>
        <v/>
      </c>
      <c r="E390" s="32" t="str">
        <f aca="false">IF(B390=0,"",INDEX(Bank!$B:$B,B390))</f>
        <v/>
      </c>
      <c r="F390" s="5" t="str">
        <f aca="false">IF(B390=0,"",IF(INDEX(Bank!$C:$C,B390)="","",INDEX(Bank!$C:$C,B390)))</f>
        <v/>
      </c>
      <c r="G390" s="19" t="str">
        <f aca="false">IF(B390=0,"",INDEX(Bank!$E:$E,B390))</f>
        <v/>
      </c>
      <c r="H390" s="5" t="str">
        <f aca="false">IF(B390=0,"",IF(INDEX(Bank!$H:$H,B390)="","",INDEX(Bank!$H:$H,B390)))</f>
        <v/>
      </c>
      <c r="I390" s="5" t="n">
        <f aca="false">IF(H390="",0,IFERROR(MATCH(H390,GL!$A:$A,0),0))</f>
        <v>0</v>
      </c>
      <c r="J390" s="32" t="str">
        <f aca="false">IF(I390=0,"",INDEX(GL!$B:$B,I390))</f>
        <v/>
      </c>
      <c r="K390" s="5" t="str">
        <f aca="false">IF(I390=0,"",IF(INDEX(GL!$C:$C,I390)="","",INDEX(GL!$C:$C,I390)))</f>
        <v/>
      </c>
      <c r="L390" s="19" t="str">
        <f aca="false">IF(I390=0,"",INDEX(GL!$E:$E,I390))</f>
        <v/>
      </c>
      <c r="M390" s="19" t="str">
        <f aca="false">IF(OR(B390=0,I390=0),"",ROUND(G390-L390,2))</f>
        <v/>
      </c>
      <c r="N390" s="5" t="str">
        <f aca="false">IF(A390="","",IF(B390=0,"NOT FOUND: bank ID",IF(I390=0,"NOT FOUND: GL ID",IF(INDEX(GL!$H:$H,I390)&lt;&gt;A390,"BROKEN: GL points elsewhere",IF(OR(INDEX(Bank!$F:$F,B390)&lt;&gt;"Y",INDEX(GL!$F:$F,I390)&lt;&gt;"Y"),"BROKEN: Status not Y","OK")))))</f>
        <v/>
      </c>
    </row>
    <row r="391" customFormat="false" ht="15" hidden="false" customHeight="false" outlineLevel="0" collapsed="false">
      <c r="A391" s="41"/>
      <c r="B391" s="5" t="n">
        <f aca="false">IF(A391="",0,IFERROR(MATCH(A391,Bank!$A:$A,0),0))</f>
        <v>0</v>
      </c>
      <c r="C391" s="5" t="str">
        <f aca="false">IF(B391=0,"",IF(INDEX(Bank!$G:$G,B391)="","",INDEX(Bank!$G:$G,B391)))</f>
        <v/>
      </c>
      <c r="D391" s="5" t="str">
        <f aca="false">IF(B391=0,"",IF(INDEX(Bank!$J:$J,B391)="","",INDEX(Bank!$J:$J,B391)))</f>
        <v/>
      </c>
      <c r="E391" s="32" t="str">
        <f aca="false">IF(B391=0,"",INDEX(Bank!$B:$B,B391))</f>
        <v/>
      </c>
      <c r="F391" s="5" t="str">
        <f aca="false">IF(B391=0,"",IF(INDEX(Bank!$C:$C,B391)="","",INDEX(Bank!$C:$C,B391)))</f>
        <v/>
      </c>
      <c r="G391" s="19" t="str">
        <f aca="false">IF(B391=0,"",INDEX(Bank!$E:$E,B391))</f>
        <v/>
      </c>
      <c r="H391" s="5" t="str">
        <f aca="false">IF(B391=0,"",IF(INDEX(Bank!$H:$H,B391)="","",INDEX(Bank!$H:$H,B391)))</f>
        <v/>
      </c>
      <c r="I391" s="5" t="n">
        <f aca="false">IF(H391="",0,IFERROR(MATCH(H391,GL!$A:$A,0),0))</f>
        <v>0</v>
      </c>
      <c r="J391" s="32" t="str">
        <f aca="false">IF(I391=0,"",INDEX(GL!$B:$B,I391))</f>
        <v/>
      </c>
      <c r="K391" s="5" t="str">
        <f aca="false">IF(I391=0,"",IF(INDEX(GL!$C:$C,I391)="","",INDEX(GL!$C:$C,I391)))</f>
        <v/>
      </c>
      <c r="L391" s="19" t="str">
        <f aca="false">IF(I391=0,"",INDEX(GL!$E:$E,I391))</f>
        <v/>
      </c>
      <c r="M391" s="19" t="str">
        <f aca="false">IF(OR(B391=0,I391=0),"",ROUND(G391-L391,2))</f>
        <v/>
      </c>
      <c r="N391" s="5" t="str">
        <f aca="false">IF(A391="","",IF(B391=0,"NOT FOUND: bank ID",IF(I391=0,"NOT FOUND: GL ID",IF(INDEX(GL!$H:$H,I391)&lt;&gt;A391,"BROKEN: GL points elsewhere",IF(OR(INDEX(Bank!$F:$F,B391)&lt;&gt;"Y",INDEX(GL!$F:$F,I391)&lt;&gt;"Y"),"BROKEN: Status not Y","OK")))))</f>
        <v/>
      </c>
    </row>
    <row r="392" customFormat="false" ht="15" hidden="false" customHeight="false" outlineLevel="0" collapsed="false">
      <c r="A392" s="41"/>
      <c r="B392" s="5" t="n">
        <f aca="false">IF(A392="",0,IFERROR(MATCH(A392,Bank!$A:$A,0),0))</f>
        <v>0</v>
      </c>
      <c r="C392" s="5" t="str">
        <f aca="false">IF(B392=0,"",IF(INDEX(Bank!$G:$G,B392)="","",INDEX(Bank!$G:$G,B392)))</f>
        <v/>
      </c>
      <c r="D392" s="5" t="str">
        <f aca="false">IF(B392=0,"",IF(INDEX(Bank!$J:$J,B392)="","",INDEX(Bank!$J:$J,B392)))</f>
        <v/>
      </c>
      <c r="E392" s="32" t="str">
        <f aca="false">IF(B392=0,"",INDEX(Bank!$B:$B,B392))</f>
        <v/>
      </c>
      <c r="F392" s="5" t="str">
        <f aca="false">IF(B392=0,"",IF(INDEX(Bank!$C:$C,B392)="","",INDEX(Bank!$C:$C,B392)))</f>
        <v/>
      </c>
      <c r="G392" s="19" t="str">
        <f aca="false">IF(B392=0,"",INDEX(Bank!$E:$E,B392))</f>
        <v/>
      </c>
      <c r="H392" s="5" t="str">
        <f aca="false">IF(B392=0,"",IF(INDEX(Bank!$H:$H,B392)="","",INDEX(Bank!$H:$H,B392)))</f>
        <v/>
      </c>
      <c r="I392" s="5" t="n">
        <f aca="false">IF(H392="",0,IFERROR(MATCH(H392,GL!$A:$A,0),0))</f>
        <v>0</v>
      </c>
      <c r="J392" s="32" t="str">
        <f aca="false">IF(I392=0,"",INDEX(GL!$B:$B,I392))</f>
        <v/>
      </c>
      <c r="K392" s="5" t="str">
        <f aca="false">IF(I392=0,"",IF(INDEX(GL!$C:$C,I392)="","",INDEX(GL!$C:$C,I392)))</f>
        <v/>
      </c>
      <c r="L392" s="19" t="str">
        <f aca="false">IF(I392=0,"",INDEX(GL!$E:$E,I392))</f>
        <v/>
      </c>
      <c r="M392" s="19" t="str">
        <f aca="false">IF(OR(B392=0,I392=0),"",ROUND(G392-L392,2))</f>
        <v/>
      </c>
      <c r="N392" s="5" t="str">
        <f aca="false">IF(A392="","",IF(B392=0,"NOT FOUND: bank ID",IF(I392=0,"NOT FOUND: GL ID",IF(INDEX(GL!$H:$H,I392)&lt;&gt;A392,"BROKEN: GL points elsewhere",IF(OR(INDEX(Bank!$F:$F,B392)&lt;&gt;"Y",INDEX(GL!$F:$F,I392)&lt;&gt;"Y"),"BROKEN: Status not Y","OK")))))</f>
        <v/>
      </c>
    </row>
    <row r="393" customFormat="false" ht="15" hidden="false" customHeight="false" outlineLevel="0" collapsed="false">
      <c r="A393" s="41"/>
      <c r="B393" s="5" t="n">
        <f aca="false">IF(A393="",0,IFERROR(MATCH(A393,Bank!$A:$A,0),0))</f>
        <v>0</v>
      </c>
      <c r="C393" s="5" t="str">
        <f aca="false">IF(B393=0,"",IF(INDEX(Bank!$G:$G,B393)="","",INDEX(Bank!$G:$G,B393)))</f>
        <v/>
      </c>
      <c r="D393" s="5" t="str">
        <f aca="false">IF(B393=0,"",IF(INDEX(Bank!$J:$J,B393)="","",INDEX(Bank!$J:$J,B393)))</f>
        <v/>
      </c>
      <c r="E393" s="32" t="str">
        <f aca="false">IF(B393=0,"",INDEX(Bank!$B:$B,B393))</f>
        <v/>
      </c>
      <c r="F393" s="5" t="str">
        <f aca="false">IF(B393=0,"",IF(INDEX(Bank!$C:$C,B393)="","",INDEX(Bank!$C:$C,B393)))</f>
        <v/>
      </c>
      <c r="G393" s="19" t="str">
        <f aca="false">IF(B393=0,"",INDEX(Bank!$E:$E,B393))</f>
        <v/>
      </c>
      <c r="H393" s="5" t="str">
        <f aca="false">IF(B393=0,"",IF(INDEX(Bank!$H:$H,B393)="","",INDEX(Bank!$H:$H,B393)))</f>
        <v/>
      </c>
      <c r="I393" s="5" t="n">
        <f aca="false">IF(H393="",0,IFERROR(MATCH(H393,GL!$A:$A,0),0))</f>
        <v>0</v>
      </c>
      <c r="J393" s="32" t="str">
        <f aca="false">IF(I393=0,"",INDEX(GL!$B:$B,I393))</f>
        <v/>
      </c>
      <c r="K393" s="5" t="str">
        <f aca="false">IF(I393=0,"",IF(INDEX(GL!$C:$C,I393)="","",INDEX(GL!$C:$C,I393)))</f>
        <v/>
      </c>
      <c r="L393" s="19" t="str">
        <f aca="false">IF(I393=0,"",INDEX(GL!$E:$E,I393))</f>
        <v/>
      </c>
      <c r="M393" s="19" t="str">
        <f aca="false">IF(OR(B393=0,I393=0),"",ROUND(G393-L393,2))</f>
        <v/>
      </c>
      <c r="N393" s="5" t="str">
        <f aca="false">IF(A393="","",IF(B393=0,"NOT FOUND: bank ID",IF(I393=0,"NOT FOUND: GL ID",IF(INDEX(GL!$H:$H,I393)&lt;&gt;A393,"BROKEN: GL points elsewhere",IF(OR(INDEX(Bank!$F:$F,B393)&lt;&gt;"Y",INDEX(GL!$F:$F,I393)&lt;&gt;"Y"),"BROKEN: Status not Y","OK")))))</f>
        <v/>
      </c>
    </row>
    <row r="394" customFormat="false" ht="15" hidden="false" customHeight="false" outlineLevel="0" collapsed="false">
      <c r="A394" s="41"/>
      <c r="B394" s="5" t="n">
        <f aca="false">IF(A394="",0,IFERROR(MATCH(A394,Bank!$A:$A,0),0))</f>
        <v>0</v>
      </c>
      <c r="C394" s="5" t="str">
        <f aca="false">IF(B394=0,"",IF(INDEX(Bank!$G:$G,B394)="","",INDEX(Bank!$G:$G,B394)))</f>
        <v/>
      </c>
      <c r="D394" s="5" t="str">
        <f aca="false">IF(B394=0,"",IF(INDEX(Bank!$J:$J,B394)="","",INDEX(Bank!$J:$J,B394)))</f>
        <v/>
      </c>
      <c r="E394" s="32" t="str">
        <f aca="false">IF(B394=0,"",INDEX(Bank!$B:$B,B394))</f>
        <v/>
      </c>
      <c r="F394" s="5" t="str">
        <f aca="false">IF(B394=0,"",IF(INDEX(Bank!$C:$C,B394)="","",INDEX(Bank!$C:$C,B394)))</f>
        <v/>
      </c>
      <c r="G394" s="19" t="str">
        <f aca="false">IF(B394=0,"",INDEX(Bank!$E:$E,B394))</f>
        <v/>
      </c>
      <c r="H394" s="5" t="str">
        <f aca="false">IF(B394=0,"",IF(INDEX(Bank!$H:$H,B394)="","",INDEX(Bank!$H:$H,B394)))</f>
        <v/>
      </c>
      <c r="I394" s="5" t="n">
        <f aca="false">IF(H394="",0,IFERROR(MATCH(H394,GL!$A:$A,0),0))</f>
        <v>0</v>
      </c>
      <c r="J394" s="32" t="str">
        <f aca="false">IF(I394=0,"",INDEX(GL!$B:$B,I394))</f>
        <v/>
      </c>
      <c r="K394" s="5" t="str">
        <f aca="false">IF(I394=0,"",IF(INDEX(GL!$C:$C,I394)="","",INDEX(GL!$C:$C,I394)))</f>
        <v/>
      </c>
      <c r="L394" s="19" t="str">
        <f aca="false">IF(I394=0,"",INDEX(GL!$E:$E,I394))</f>
        <v/>
      </c>
      <c r="M394" s="19" t="str">
        <f aca="false">IF(OR(B394=0,I394=0),"",ROUND(G394-L394,2))</f>
        <v/>
      </c>
      <c r="N394" s="5" t="str">
        <f aca="false">IF(A394="","",IF(B394=0,"NOT FOUND: bank ID",IF(I394=0,"NOT FOUND: GL ID",IF(INDEX(GL!$H:$H,I394)&lt;&gt;A394,"BROKEN: GL points elsewhere",IF(OR(INDEX(Bank!$F:$F,B394)&lt;&gt;"Y",INDEX(GL!$F:$F,I394)&lt;&gt;"Y"),"BROKEN: Status not Y","OK")))))</f>
        <v/>
      </c>
    </row>
    <row r="395" customFormat="false" ht="15" hidden="false" customHeight="false" outlineLevel="0" collapsed="false">
      <c r="A395" s="41"/>
      <c r="B395" s="5" t="n">
        <f aca="false">IF(A395="",0,IFERROR(MATCH(A395,Bank!$A:$A,0),0))</f>
        <v>0</v>
      </c>
      <c r="C395" s="5" t="str">
        <f aca="false">IF(B395=0,"",IF(INDEX(Bank!$G:$G,B395)="","",INDEX(Bank!$G:$G,B395)))</f>
        <v/>
      </c>
      <c r="D395" s="5" t="str">
        <f aca="false">IF(B395=0,"",IF(INDEX(Bank!$J:$J,B395)="","",INDEX(Bank!$J:$J,B395)))</f>
        <v/>
      </c>
      <c r="E395" s="32" t="str">
        <f aca="false">IF(B395=0,"",INDEX(Bank!$B:$B,B395))</f>
        <v/>
      </c>
      <c r="F395" s="5" t="str">
        <f aca="false">IF(B395=0,"",IF(INDEX(Bank!$C:$C,B395)="","",INDEX(Bank!$C:$C,B395)))</f>
        <v/>
      </c>
      <c r="G395" s="19" t="str">
        <f aca="false">IF(B395=0,"",INDEX(Bank!$E:$E,B395))</f>
        <v/>
      </c>
      <c r="H395" s="5" t="str">
        <f aca="false">IF(B395=0,"",IF(INDEX(Bank!$H:$H,B395)="","",INDEX(Bank!$H:$H,B395)))</f>
        <v/>
      </c>
      <c r="I395" s="5" t="n">
        <f aca="false">IF(H395="",0,IFERROR(MATCH(H395,GL!$A:$A,0),0))</f>
        <v>0</v>
      </c>
      <c r="J395" s="32" t="str">
        <f aca="false">IF(I395=0,"",INDEX(GL!$B:$B,I395))</f>
        <v/>
      </c>
      <c r="K395" s="5" t="str">
        <f aca="false">IF(I395=0,"",IF(INDEX(GL!$C:$C,I395)="","",INDEX(GL!$C:$C,I395)))</f>
        <v/>
      </c>
      <c r="L395" s="19" t="str">
        <f aca="false">IF(I395=0,"",INDEX(GL!$E:$E,I395))</f>
        <v/>
      </c>
      <c r="M395" s="19" t="str">
        <f aca="false">IF(OR(B395=0,I395=0),"",ROUND(G395-L395,2))</f>
        <v/>
      </c>
      <c r="N395" s="5" t="str">
        <f aca="false">IF(A395="","",IF(B395=0,"NOT FOUND: bank ID",IF(I395=0,"NOT FOUND: GL ID",IF(INDEX(GL!$H:$H,I395)&lt;&gt;A395,"BROKEN: GL points elsewhere",IF(OR(INDEX(Bank!$F:$F,B395)&lt;&gt;"Y",INDEX(GL!$F:$F,I395)&lt;&gt;"Y"),"BROKEN: Status not Y","OK")))))</f>
        <v/>
      </c>
    </row>
    <row r="396" customFormat="false" ht="15" hidden="false" customHeight="false" outlineLevel="0" collapsed="false">
      <c r="A396" s="41"/>
      <c r="B396" s="5" t="n">
        <f aca="false">IF(A396="",0,IFERROR(MATCH(A396,Bank!$A:$A,0),0))</f>
        <v>0</v>
      </c>
      <c r="C396" s="5" t="str">
        <f aca="false">IF(B396=0,"",IF(INDEX(Bank!$G:$G,B396)="","",INDEX(Bank!$G:$G,B396)))</f>
        <v/>
      </c>
      <c r="D396" s="5" t="str">
        <f aca="false">IF(B396=0,"",IF(INDEX(Bank!$J:$J,B396)="","",INDEX(Bank!$J:$J,B396)))</f>
        <v/>
      </c>
      <c r="E396" s="32" t="str">
        <f aca="false">IF(B396=0,"",INDEX(Bank!$B:$B,B396))</f>
        <v/>
      </c>
      <c r="F396" s="5" t="str">
        <f aca="false">IF(B396=0,"",IF(INDEX(Bank!$C:$C,B396)="","",INDEX(Bank!$C:$C,B396)))</f>
        <v/>
      </c>
      <c r="G396" s="19" t="str">
        <f aca="false">IF(B396=0,"",INDEX(Bank!$E:$E,B396))</f>
        <v/>
      </c>
      <c r="H396" s="5" t="str">
        <f aca="false">IF(B396=0,"",IF(INDEX(Bank!$H:$H,B396)="","",INDEX(Bank!$H:$H,B396)))</f>
        <v/>
      </c>
      <c r="I396" s="5" t="n">
        <f aca="false">IF(H396="",0,IFERROR(MATCH(H396,GL!$A:$A,0),0))</f>
        <v>0</v>
      </c>
      <c r="J396" s="32" t="str">
        <f aca="false">IF(I396=0,"",INDEX(GL!$B:$B,I396))</f>
        <v/>
      </c>
      <c r="K396" s="5" t="str">
        <f aca="false">IF(I396=0,"",IF(INDEX(GL!$C:$C,I396)="","",INDEX(GL!$C:$C,I396)))</f>
        <v/>
      </c>
      <c r="L396" s="19" t="str">
        <f aca="false">IF(I396=0,"",INDEX(GL!$E:$E,I396))</f>
        <v/>
      </c>
      <c r="M396" s="19" t="str">
        <f aca="false">IF(OR(B396=0,I396=0),"",ROUND(G396-L396,2))</f>
        <v/>
      </c>
      <c r="N396" s="5" t="str">
        <f aca="false">IF(A396="","",IF(B396=0,"NOT FOUND: bank ID",IF(I396=0,"NOT FOUND: GL ID",IF(INDEX(GL!$H:$H,I396)&lt;&gt;A396,"BROKEN: GL points elsewhere",IF(OR(INDEX(Bank!$F:$F,B396)&lt;&gt;"Y",INDEX(GL!$F:$F,I396)&lt;&gt;"Y"),"BROKEN: Status not Y","OK")))))</f>
        <v/>
      </c>
    </row>
    <row r="397" customFormat="false" ht="15" hidden="false" customHeight="false" outlineLevel="0" collapsed="false">
      <c r="A397" s="41"/>
      <c r="B397" s="5" t="n">
        <f aca="false">IF(A397="",0,IFERROR(MATCH(A397,Bank!$A:$A,0),0))</f>
        <v>0</v>
      </c>
      <c r="C397" s="5" t="str">
        <f aca="false">IF(B397=0,"",IF(INDEX(Bank!$G:$G,B397)="","",INDEX(Bank!$G:$G,B397)))</f>
        <v/>
      </c>
      <c r="D397" s="5" t="str">
        <f aca="false">IF(B397=0,"",IF(INDEX(Bank!$J:$J,B397)="","",INDEX(Bank!$J:$J,B397)))</f>
        <v/>
      </c>
      <c r="E397" s="32" t="str">
        <f aca="false">IF(B397=0,"",INDEX(Bank!$B:$B,B397))</f>
        <v/>
      </c>
      <c r="F397" s="5" t="str">
        <f aca="false">IF(B397=0,"",IF(INDEX(Bank!$C:$C,B397)="","",INDEX(Bank!$C:$C,B397)))</f>
        <v/>
      </c>
      <c r="G397" s="19" t="str">
        <f aca="false">IF(B397=0,"",INDEX(Bank!$E:$E,B397))</f>
        <v/>
      </c>
      <c r="H397" s="5" t="str">
        <f aca="false">IF(B397=0,"",IF(INDEX(Bank!$H:$H,B397)="","",INDEX(Bank!$H:$H,B397)))</f>
        <v/>
      </c>
      <c r="I397" s="5" t="n">
        <f aca="false">IF(H397="",0,IFERROR(MATCH(H397,GL!$A:$A,0),0))</f>
        <v>0</v>
      </c>
      <c r="J397" s="32" t="str">
        <f aca="false">IF(I397=0,"",INDEX(GL!$B:$B,I397))</f>
        <v/>
      </c>
      <c r="K397" s="5" t="str">
        <f aca="false">IF(I397=0,"",IF(INDEX(GL!$C:$C,I397)="","",INDEX(GL!$C:$C,I397)))</f>
        <v/>
      </c>
      <c r="L397" s="19" t="str">
        <f aca="false">IF(I397=0,"",INDEX(GL!$E:$E,I397))</f>
        <v/>
      </c>
      <c r="M397" s="19" t="str">
        <f aca="false">IF(OR(B397=0,I397=0),"",ROUND(G397-L397,2))</f>
        <v/>
      </c>
      <c r="N397" s="5" t="str">
        <f aca="false">IF(A397="","",IF(B397=0,"NOT FOUND: bank ID",IF(I397=0,"NOT FOUND: GL ID",IF(INDEX(GL!$H:$H,I397)&lt;&gt;A397,"BROKEN: GL points elsewhere",IF(OR(INDEX(Bank!$F:$F,B397)&lt;&gt;"Y",INDEX(GL!$F:$F,I397)&lt;&gt;"Y"),"BROKEN: Status not Y","OK")))))</f>
        <v/>
      </c>
    </row>
    <row r="398" customFormat="false" ht="15" hidden="false" customHeight="false" outlineLevel="0" collapsed="false">
      <c r="A398" s="41"/>
      <c r="B398" s="5" t="n">
        <f aca="false">IF(A398="",0,IFERROR(MATCH(A398,Bank!$A:$A,0),0))</f>
        <v>0</v>
      </c>
      <c r="C398" s="5" t="str">
        <f aca="false">IF(B398=0,"",IF(INDEX(Bank!$G:$G,B398)="","",INDEX(Bank!$G:$G,B398)))</f>
        <v/>
      </c>
      <c r="D398" s="5" t="str">
        <f aca="false">IF(B398=0,"",IF(INDEX(Bank!$J:$J,B398)="","",INDEX(Bank!$J:$J,B398)))</f>
        <v/>
      </c>
      <c r="E398" s="32" t="str">
        <f aca="false">IF(B398=0,"",INDEX(Bank!$B:$B,B398))</f>
        <v/>
      </c>
      <c r="F398" s="5" t="str">
        <f aca="false">IF(B398=0,"",IF(INDEX(Bank!$C:$C,B398)="","",INDEX(Bank!$C:$C,B398)))</f>
        <v/>
      </c>
      <c r="G398" s="19" t="str">
        <f aca="false">IF(B398=0,"",INDEX(Bank!$E:$E,B398))</f>
        <v/>
      </c>
      <c r="H398" s="5" t="str">
        <f aca="false">IF(B398=0,"",IF(INDEX(Bank!$H:$H,B398)="","",INDEX(Bank!$H:$H,B398)))</f>
        <v/>
      </c>
      <c r="I398" s="5" t="n">
        <f aca="false">IF(H398="",0,IFERROR(MATCH(H398,GL!$A:$A,0),0))</f>
        <v>0</v>
      </c>
      <c r="J398" s="32" t="str">
        <f aca="false">IF(I398=0,"",INDEX(GL!$B:$B,I398))</f>
        <v/>
      </c>
      <c r="K398" s="5" t="str">
        <f aca="false">IF(I398=0,"",IF(INDEX(GL!$C:$C,I398)="","",INDEX(GL!$C:$C,I398)))</f>
        <v/>
      </c>
      <c r="L398" s="19" t="str">
        <f aca="false">IF(I398=0,"",INDEX(GL!$E:$E,I398))</f>
        <v/>
      </c>
      <c r="M398" s="19" t="str">
        <f aca="false">IF(OR(B398=0,I398=0),"",ROUND(G398-L398,2))</f>
        <v/>
      </c>
      <c r="N398" s="5" t="str">
        <f aca="false">IF(A398="","",IF(B398=0,"NOT FOUND: bank ID",IF(I398=0,"NOT FOUND: GL ID",IF(INDEX(GL!$H:$H,I398)&lt;&gt;A398,"BROKEN: GL points elsewhere",IF(OR(INDEX(Bank!$F:$F,B398)&lt;&gt;"Y",INDEX(GL!$F:$F,I398)&lt;&gt;"Y"),"BROKEN: Status not Y","OK")))))</f>
        <v/>
      </c>
    </row>
    <row r="399" customFormat="false" ht="15" hidden="false" customHeight="false" outlineLevel="0" collapsed="false">
      <c r="A399" s="41"/>
      <c r="B399" s="5" t="n">
        <f aca="false">IF(A399="",0,IFERROR(MATCH(A399,Bank!$A:$A,0),0))</f>
        <v>0</v>
      </c>
      <c r="C399" s="5" t="str">
        <f aca="false">IF(B399=0,"",IF(INDEX(Bank!$G:$G,B399)="","",INDEX(Bank!$G:$G,B399)))</f>
        <v/>
      </c>
      <c r="D399" s="5" t="str">
        <f aca="false">IF(B399=0,"",IF(INDEX(Bank!$J:$J,B399)="","",INDEX(Bank!$J:$J,B399)))</f>
        <v/>
      </c>
      <c r="E399" s="32" t="str">
        <f aca="false">IF(B399=0,"",INDEX(Bank!$B:$B,B399))</f>
        <v/>
      </c>
      <c r="F399" s="5" t="str">
        <f aca="false">IF(B399=0,"",IF(INDEX(Bank!$C:$C,B399)="","",INDEX(Bank!$C:$C,B399)))</f>
        <v/>
      </c>
      <c r="G399" s="19" t="str">
        <f aca="false">IF(B399=0,"",INDEX(Bank!$E:$E,B399))</f>
        <v/>
      </c>
      <c r="H399" s="5" t="str">
        <f aca="false">IF(B399=0,"",IF(INDEX(Bank!$H:$H,B399)="","",INDEX(Bank!$H:$H,B399)))</f>
        <v/>
      </c>
      <c r="I399" s="5" t="n">
        <f aca="false">IF(H399="",0,IFERROR(MATCH(H399,GL!$A:$A,0),0))</f>
        <v>0</v>
      </c>
      <c r="J399" s="32" t="str">
        <f aca="false">IF(I399=0,"",INDEX(GL!$B:$B,I399))</f>
        <v/>
      </c>
      <c r="K399" s="5" t="str">
        <f aca="false">IF(I399=0,"",IF(INDEX(GL!$C:$C,I399)="","",INDEX(GL!$C:$C,I399)))</f>
        <v/>
      </c>
      <c r="L399" s="19" t="str">
        <f aca="false">IF(I399=0,"",INDEX(GL!$E:$E,I399))</f>
        <v/>
      </c>
      <c r="M399" s="19" t="str">
        <f aca="false">IF(OR(B399=0,I399=0),"",ROUND(G399-L399,2))</f>
        <v/>
      </c>
      <c r="N399" s="5" t="str">
        <f aca="false">IF(A399="","",IF(B399=0,"NOT FOUND: bank ID",IF(I399=0,"NOT FOUND: GL ID",IF(INDEX(GL!$H:$H,I399)&lt;&gt;A399,"BROKEN: GL points elsewhere",IF(OR(INDEX(Bank!$F:$F,B399)&lt;&gt;"Y",INDEX(GL!$F:$F,I399)&lt;&gt;"Y"),"BROKEN: Status not Y","OK")))))</f>
        <v/>
      </c>
    </row>
    <row r="400" customFormat="false" ht="15" hidden="false" customHeight="false" outlineLevel="0" collapsed="false">
      <c r="A400" s="41"/>
      <c r="B400" s="5" t="n">
        <f aca="false">IF(A400="",0,IFERROR(MATCH(A400,Bank!$A:$A,0),0))</f>
        <v>0</v>
      </c>
      <c r="C400" s="5" t="str">
        <f aca="false">IF(B400=0,"",IF(INDEX(Bank!$G:$G,B400)="","",INDEX(Bank!$G:$G,B400)))</f>
        <v/>
      </c>
      <c r="D400" s="5" t="str">
        <f aca="false">IF(B400=0,"",IF(INDEX(Bank!$J:$J,B400)="","",INDEX(Bank!$J:$J,B400)))</f>
        <v/>
      </c>
      <c r="E400" s="32" t="str">
        <f aca="false">IF(B400=0,"",INDEX(Bank!$B:$B,B400))</f>
        <v/>
      </c>
      <c r="F400" s="5" t="str">
        <f aca="false">IF(B400=0,"",IF(INDEX(Bank!$C:$C,B400)="","",INDEX(Bank!$C:$C,B400)))</f>
        <v/>
      </c>
      <c r="G400" s="19" t="str">
        <f aca="false">IF(B400=0,"",INDEX(Bank!$E:$E,B400))</f>
        <v/>
      </c>
      <c r="H400" s="5" t="str">
        <f aca="false">IF(B400=0,"",IF(INDEX(Bank!$H:$H,B400)="","",INDEX(Bank!$H:$H,B400)))</f>
        <v/>
      </c>
      <c r="I400" s="5" t="n">
        <f aca="false">IF(H400="",0,IFERROR(MATCH(H400,GL!$A:$A,0),0))</f>
        <v>0</v>
      </c>
      <c r="J400" s="32" t="str">
        <f aca="false">IF(I400=0,"",INDEX(GL!$B:$B,I400))</f>
        <v/>
      </c>
      <c r="K400" s="5" t="str">
        <f aca="false">IF(I400=0,"",IF(INDEX(GL!$C:$C,I400)="","",INDEX(GL!$C:$C,I400)))</f>
        <v/>
      </c>
      <c r="L400" s="19" t="str">
        <f aca="false">IF(I400=0,"",INDEX(GL!$E:$E,I400))</f>
        <v/>
      </c>
      <c r="M400" s="19" t="str">
        <f aca="false">IF(OR(B400=0,I400=0),"",ROUND(G400-L400,2))</f>
        <v/>
      </c>
      <c r="N400" s="5" t="str">
        <f aca="false">IF(A400="","",IF(B400=0,"NOT FOUND: bank ID",IF(I400=0,"NOT FOUND: GL ID",IF(INDEX(GL!$H:$H,I400)&lt;&gt;A400,"BROKEN: GL points elsewhere",IF(OR(INDEX(Bank!$F:$F,B400)&lt;&gt;"Y",INDEX(GL!$F:$F,I400)&lt;&gt;"Y"),"BROKEN: Status not Y","OK")))))</f>
        <v/>
      </c>
    </row>
    <row r="401" customFormat="false" ht="15" hidden="false" customHeight="false" outlineLevel="0" collapsed="false">
      <c r="A401" s="41"/>
      <c r="B401" s="5" t="n">
        <f aca="false">IF(A401="",0,IFERROR(MATCH(A401,Bank!$A:$A,0),0))</f>
        <v>0</v>
      </c>
      <c r="C401" s="5" t="str">
        <f aca="false">IF(B401=0,"",IF(INDEX(Bank!$G:$G,B401)="","",INDEX(Bank!$G:$G,B401)))</f>
        <v/>
      </c>
      <c r="D401" s="5" t="str">
        <f aca="false">IF(B401=0,"",IF(INDEX(Bank!$J:$J,B401)="","",INDEX(Bank!$J:$J,B401)))</f>
        <v/>
      </c>
      <c r="E401" s="32" t="str">
        <f aca="false">IF(B401=0,"",INDEX(Bank!$B:$B,B401))</f>
        <v/>
      </c>
      <c r="F401" s="5" t="str">
        <f aca="false">IF(B401=0,"",IF(INDEX(Bank!$C:$C,B401)="","",INDEX(Bank!$C:$C,B401)))</f>
        <v/>
      </c>
      <c r="G401" s="19" t="str">
        <f aca="false">IF(B401=0,"",INDEX(Bank!$E:$E,B401))</f>
        <v/>
      </c>
      <c r="H401" s="5" t="str">
        <f aca="false">IF(B401=0,"",IF(INDEX(Bank!$H:$H,B401)="","",INDEX(Bank!$H:$H,B401)))</f>
        <v/>
      </c>
      <c r="I401" s="5" t="n">
        <f aca="false">IF(H401="",0,IFERROR(MATCH(H401,GL!$A:$A,0),0))</f>
        <v>0</v>
      </c>
      <c r="J401" s="32" t="str">
        <f aca="false">IF(I401=0,"",INDEX(GL!$B:$B,I401))</f>
        <v/>
      </c>
      <c r="K401" s="5" t="str">
        <f aca="false">IF(I401=0,"",IF(INDEX(GL!$C:$C,I401)="","",INDEX(GL!$C:$C,I401)))</f>
        <v/>
      </c>
      <c r="L401" s="19" t="str">
        <f aca="false">IF(I401=0,"",INDEX(GL!$E:$E,I401))</f>
        <v/>
      </c>
      <c r="M401" s="19" t="str">
        <f aca="false">IF(OR(B401=0,I401=0),"",ROUND(G401-L401,2))</f>
        <v/>
      </c>
      <c r="N401" s="5" t="str">
        <f aca="false">IF(A401="","",IF(B401=0,"NOT FOUND: bank ID",IF(I401=0,"NOT FOUND: GL ID",IF(INDEX(GL!$H:$H,I401)&lt;&gt;A401,"BROKEN: GL points elsewhere",IF(OR(INDEX(Bank!$F:$F,B401)&lt;&gt;"Y",INDEX(GL!$F:$F,I401)&lt;&gt;"Y"),"BROKEN: Status not Y","OK")))))</f>
        <v/>
      </c>
    </row>
    <row r="402" customFormat="false" ht="15" hidden="false" customHeight="false" outlineLevel="0" collapsed="false">
      <c r="A402" s="41"/>
      <c r="B402" s="5" t="n">
        <f aca="false">IF(A402="",0,IFERROR(MATCH(A402,Bank!$A:$A,0),0))</f>
        <v>0</v>
      </c>
      <c r="C402" s="5" t="str">
        <f aca="false">IF(B402=0,"",IF(INDEX(Bank!$G:$G,B402)="","",INDEX(Bank!$G:$G,B402)))</f>
        <v/>
      </c>
      <c r="D402" s="5" t="str">
        <f aca="false">IF(B402=0,"",IF(INDEX(Bank!$J:$J,B402)="","",INDEX(Bank!$J:$J,B402)))</f>
        <v/>
      </c>
      <c r="E402" s="32" t="str">
        <f aca="false">IF(B402=0,"",INDEX(Bank!$B:$B,B402))</f>
        <v/>
      </c>
      <c r="F402" s="5" t="str">
        <f aca="false">IF(B402=0,"",IF(INDEX(Bank!$C:$C,B402)="","",INDEX(Bank!$C:$C,B402)))</f>
        <v/>
      </c>
      <c r="G402" s="19" t="str">
        <f aca="false">IF(B402=0,"",INDEX(Bank!$E:$E,B402))</f>
        <v/>
      </c>
      <c r="H402" s="5" t="str">
        <f aca="false">IF(B402=0,"",IF(INDEX(Bank!$H:$H,B402)="","",INDEX(Bank!$H:$H,B402)))</f>
        <v/>
      </c>
      <c r="I402" s="5" t="n">
        <f aca="false">IF(H402="",0,IFERROR(MATCH(H402,GL!$A:$A,0),0))</f>
        <v>0</v>
      </c>
      <c r="J402" s="32" t="str">
        <f aca="false">IF(I402=0,"",INDEX(GL!$B:$B,I402))</f>
        <v/>
      </c>
      <c r="K402" s="5" t="str">
        <f aca="false">IF(I402=0,"",IF(INDEX(GL!$C:$C,I402)="","",INDEX(GL!$C:$C,I402)))</f>
        <v/>
      </c>
      <c r="L402" s="19" t="str">
        <f aca="false">IF(I402=0,"",INDEX(GL!$E:$E,I402))</f>
        <v/>
      </c>
      <c r="M402" s="19" t="str">
        <f aca="false">IF(OR(B402=0,I402=0),"",ROUND(G402-L402,2))</f>
        <v/>
      </c>
      <c r="N402" s="5" t="str">
        <f aca="false">IF(A402="","",IF(B402=0,"NOT FOUND: bank ID",IF(I402=0,"NOT FOUND: GL ID",IF(INDEX(GL!$H:$H,I402)&lt;&gt;A402,"BROKEN: GL points elsewhere",IF(OR(INDEX(Bank!$F:$F,B402)&lt;&gt;"Y",INDEX(GL!$F:$F,I402)&lt;&gt;"Y"),"BROKEN: Status not Y","OK")))))</f>
        <v/>
      </c>
    </row>
    <row r="403" customFormat="false" ht="15" hidden="false" customHeight="false" outlineLevel="0" collapsed="false">
      <c r="A403" s="41"/>
      <c r="B403" s="5" t="n">
        <f aca="false">IF(A403="",0,IFERROR(MATCH(A403,Bank!$A:$A,0),0))</f>
        <v>0</v>
      </c>
      <c r="C403" s="5" t="str">
        <f aca="false">IF(B403=0,"",IF(INDEX(Bank!$G:$G,B403)="","",INDEX(Bank!$G:$G,B403)))</f>
        <v/>
      </c>
      <c r="D403" s="5" t="str">
        <f aca="false">IF(B403=0,"",IF(INDEX(Bank!$J:$J,B403)="","",INDEX(Bank!$J:$J,B403)))</f>
        <v/>
      </c>
      <c r="E403" s="32" t="str">
        <f aca="false">IF(B403=0,"",INDEX(Bank!$B:$B,B403))</f>
        <v/>
      </c>
      <c r="F403" s="5" t="str">
        <f aca="false">IF(B403=0,"",IF(INDEX(Bank!$C:$C,B403)="","",INDEX(Bank!$C:$C,B403)))</f>
        <v/>
      </c>
      <c r="G403" s="19" t="str">
        <f aca="false">IF(B403=0,"",INDEX(Bank!$E:$E,B403))</f>
        <v/>
      </c>
      <c r="H403" s="5" t="str">
        <f aca="false">IF(B403=0,"",IF(INDEX(Bank!$H:$H,B403)="","",INDEX(Bank!$H:$H,B403)))</f>
        <v/>
      </c>
      <c r="I403" s="5" t="n">
        <f aca="false">IF(H403="",0,IFERROR(MATCH(H403,GL!$A:$A,0),0))</f>
        <v>0</v>
      </c>
      <c r="J403" s="32" t="str">
        <f aca="false">IF(I403=0,"",INDEX(GL!$B:$B,I403))</f>
        <v/>
      </c>
      <c r="K403" s="5" t="str">
        <f aca="false">IF(I403=0,"",IF(INDEX(GL!$C:$C,I403)="","",INDEX(GL!$C:$C,I403)))</f>
        <v/>
      </c>
      <c r="L403" s="19" t="str">
        <f aca="false">IF(I403=0,"",INDEX(GL!$E:$E,I403))</f>
        <v/>
      </c>
      <c r="M403" s="19" t="str">
        <f aca="false">IF(OR(B403=0,I403=0),"",ROUND(G403-L403,2))</f>
        <v/>
      </c>
      <c r="N403" s="5" t="str">
        <f aca="false">IF(A403="","",IF(B403=0,"NOT FOUND: bank ID",IF(I403=0,"NOT FOUND: GL ID",IF(INDEX(GL!$H:$H,I403)&lt;&gt;A403,"BROKEN: GL points elsewhere",IF(OR(INDEX(Bank!$F:$F,B403)&lt;&gt;"Y",INDEX(GL!$F:$F,I403)&lt;&gt;"Y"),"BROKEN: Status not Y","OK")))))</f>
        <v/>
      </c>
    </row>
    <row r="404" customFormat="false" ht="15" hidden="false" customHeight="false" outlineLevel="0" collapsed="false">
      <c r="A404" s="41"/>
      <c r="B404" s="5" t="n">
        <f aca="false">IF(A404="",0,IFERROR(MATCH(A404,Bank!$A:$A,0),0))</f>
        <v>0</v>
      </c>
      <c r="C404" s="5" t="str">
        <f aca="false">IF(B404=0,"",IF(INDEX(Bank!$G:$G,B404)="","",INDEX(Bank!$G:$G,B404)))</f>
        <v/>
      </c>
      <c r="D404" s="5" t="str">
        <f aca="false">IF(B404=0,"",IF(INDEX(Bank!$J:$J,B404)="","",INDEX(Bank!$J:$J,B404)))</f>
        <v/>
      </c>
      <c r="E404" s="32" t="str">
        <f aca="false">IF(B404=0,"",INDEX(Bank!$B:$B,B404))</f>
        <v/>
      </c>
      <c r="F404" s="5" t="str">
        <f aca="false">IF(B404=0,"",IF(INDEX(Bank!$C:$C,B404)="","",INDEX(Bank!$C:$C,B404)))</f>
        <v/>
      </c>
      <c r="G404" s="19" t="str">
        <f aca="false">IF(B404=0,"",INDEX(Bank!$E:$E,B404))</f>
        <v/>
      </c>
      <c r="H404" s="5" t="str">
        <f aca="false">IF(B404=0,"",IF(INDEX(Bank!$H:$H,B404)="","",INDEX(Bank!$H:$H,B404)))</f>
        <v/>
      </c>
      <c r="I404" s="5" t="n">
        <f aca="false">IF(H404="",0,IFERROR(MATCH(H404,GL!$A:$A,0),0))</f>
        <v>0</v>
      </c>
      <c r="J404" s="32" t="str">
        <f aca="false">IF(I404=0,"",INDEX(GL!$B:$B,I404))</f>
        <v/>
      </c>
      <c r="K404" s="5" t="str">
        <f aca="false">IF(I404=0,"",IF(INDEX(GL!$C:$C,I404)="","",INDEX(GL!$C:$C,I404)))</f>
        <v/>
      </c>
      <c r="L404" s="19" t="str">
        <f aca="false">IF(I404=0,"",INDEX(GL!$E:$E,I404))</f>
        <v/>
      </c>
      <c r="M404" s="19" t="str">
        <f aca="false">IF(OR(B404=0,I404=0),"",ROUND(G404-L404,2))</f>
        <v/>
      </c>
      <c r="N404" s="5" t="str">
        <f aca="false">IF(A404="","",IF(B404=0,"NOT FOUND: bank ID",IF(I404=0,"NOT FOUND: GL ID",IF(INDEX(GL!$H:$H,I404)&lt;&gt;A404,"BROKEN: GL points elsewhere",IF(OR(INDEX(Bank!$F:$F,B404)&lt;&gt;"Y",INDEX(GL!$F:$F,I404)&lt;&gt;"Y"),"BROKEN: Status not Y","OK")))))</f>
        <v/>
      </c>
    </row>
    <row r="405" customFormat="false" ht="15" hidden="false" customHeight="false" outlineLevel="0" collapsed="false">
      <c r="A405" s="41"/>
      <c r="B405" s="5" t="n">
        <f aca="false">IF(A405="",0,IFERROR(MATCH(A405,Bank!$A:$A,0),0))</f>
        <v>0</v>
      </c>
      <c r="C405" s="5" t="str">
        <f aca="false">IF(B405=0,"",IF(INDEX(Bank!$G:$G,B405)="","",INDEX(Bank!$G:$G,B405)))</f>
        <v/>
      </c>
      <c r="D405" s="5" t="str">
        <f aca="false">IF(B405=0,"",IF(INDEX(Bank!$J:$J,B405)="","",INDEX(Bank!$J:$J,B405)))</f>
        <v/>
      </c>
      <c r="E405" s="32" t="str">
        <f aca="false">IF(B405=0,"",INDEX(Bank!$B:$B,B405))</f>
        <v/>
      </c>
      <c r="F405" s="5" t="str">
        <f aca="false">IF(B405=0,"",IF(INDEX(Bank!$C:$C,B405)="","",INDEX(Bank!$C:$C,B405)))</f>
        <v/>
      </c>
      <c r="G405" s="19" t="str">
        <f aca="false">IF(B405=0,"",INDEX(Bank!$E:$E,B405))</f>
        <v/>
      </c>
      <c r="H405" s="5" t="str">
        <f aca="false">IF(B405=0,"",IF(INDEX(Bank!$H:$H,B405)="","",INDEX(Bank!$H:$H,B405)))</f>
        <v/>
      </c>
      <c r="I405" s="5" t="n">
        <f aca="false">IF(H405="",0,IFERROR(MATCH(H405,GL!$A:$A,0),0))</f>
        <v>0</v>
      </c>
      <c r="J405" s="32" t="str">
        <f aca="false">IF(I405=0,"",INDEX(GL!$B:$B,I405))</f>
        <v/>
      </c>
      <c r="K405" s="5" t="str">
        <f aca="false">IF(I405=0,"",IF(INDEX(GL!$C:$C,I405)="","",INDEX(GL!$C:$C,I405)))</f>
        <v/>
      </c>
      <c r="L405" s="19" t="str">
        <f aca="false">IF(I405=0,"",INDEX(GL!$E:$E,I405))</f>
        <v/>
      </c>
      <c r="M405" s="19" t="str">
        <f aca="false">IF(OR(B405=0,I405=0),"",ROUND(G405-L405,2))</f>
        <v/>
      </c>
      <c r="N405" s="5" t="str">
        <f aca="false">IF(A405="","",IF(B405=0,"NOT FOUND: bank ID",IF(I405=0,"NOT FOUND: GL ID",IF(INDEX(GL!$H:$H,I405)&lt;&gt;A405,"BROKEN: GL points elsewhere",IF(OR(INDEX(Bank!$F:$F,B405)&lt;&gt;"Y",INDEX(GL!$F:$F,I405)&lt;&gt;"Y"),"BROKEN: Status not Y","OK")))))</f>
        <v/>
      </c>
    </row>
    <row r="406" customFormat="false" ht="15" hidden="false" customHeight="false" outlineLevel="0" collapsed="false">
      <c r="A406" s="41"/>
      <c r="B406" s="5" t="n">
        <f aca="false">IF(A406="",0,IFERROR(MATCH(A406,Bank!$A:$A,0),0))</f>
        <v>0</v>
      </c>
      <c r="C406" s="5" t="str">
        <f aca="false">IF(B406=0,"",IF(INDEX(Bank!$G:$G,B406)="","",INDEX(Bank!$G:$G,B406)))</f>
        <v/>
      </c>
      <c r="D406" s="5" t="str">
        <f aca="false">IF(B406=0,"",IF(INDEX(Bank!$J:$J,B406)="","",INDEX(Bank!$J:$J,B406)))</f>
        <v/>
      </c>
      <c r="E406" s="32" t="str">
        <f aca="false">IF(B406=0,"",INDEX(Bank!$B:$B,B406))</f>
        <v/>
      </c>
      <c r="F406" s="5" t="str">
        <f aca="false">IF(B406=0,"",IF(INDEX(Bank!$C:$C,B406)="","",INDEX(Bank!$C:$C,B406)))</f>
        <v/>
      </c>
      <c r="G406" s="19" t="str">
        <f aca="false">IF(B406=0,"",INDEX(Bank!$E:$E,B406))</f>
        <v/>
      </c>
      <c r="H406" s="5" t="str">
        <f aca="false">IF(B406=0,"",IF(INDEX(Bank!$H:$H,B406)="","",INDEX(Bank!$H:$H,B406)))</f>
        <v/>
      </c>
      <c r="I406" s="5" t="n">
        <f aca="false">IF(H406="",0,IFERROR(MATCH(H406,GL!$A:$A,0),0))</f>
        <v>0</v>
      </c>
      <c r="J406" s="32" t="str">
        <f aca="false">IF(I406=0,"",INDEX(GL!$B:$B,I406))</f>
        <v/>
      </c>
      <c r="K406" s="5" t="str">
        <f aca="false">IF(I406=0,"",IF(INDEX(GL!$C:$C,I406)="","",INDEX(GL!$C:$C,I406)))</f>
        <v/>
      </c>
      <c r="L406" s="19" t="str">
        <f aca="false">IF(I406=0,"",INDEX(GL!$E:$E,I406))</f>
        <v/>
      </c>
      <c r="M406" s="19" t="str">
        <f aca="false">IF(OR(B406=0,I406=0),"",ROUND(G406-L406,2))</f>
        <v/>
      </c>
      <c r="N406" s="5" t="str">
        <f aca="false">IF(A406="","",IF(B406=0,"NOT FOUND: bank ID",IF(I406=0,"NOT FOUND: GL ID",IF(INDEX(GL!$H:$H,I406)&lt;&gt;A406,"BROKEN: GL points elsewhere",IF(OR(INDEX(Bank!$F:$F,B406)&lt;&gt;"Y",INDEX(GL!$F:$F,I406)&lt;&gt;"Y"),"BROKEN: Status not Y","OK")))))</f>
        <v/>
      </c>
    </row>
    <row r="407" customFormat="false" ht="15" hidden="false" customHeight="false" outlineLevel="0" collapsed="false">
      <c r="A407" s="41"/>
      <c r="B407" s="5" t="n">
        <f aca="false">IF(A407="",0,IFERROR(MATCH(A407,Bank!$A:$A,0),0))</f>
        <v>0</v>
      </c>
      <c r="C407" s="5" t="str">
        <f aca="false">IF(B407=0,"",IF(INDEX(Bank!$G:$G,B407)="","",INDEX(Bank!$G:$G,B407)))</f>
        <v/>
      </c>
      <c r="D407" s="5" t="str">
        <f aca="false">IF(B407=0,"",IF(INDEX(Bank!$J:$J,B407)="","",INDEX(Bank!$J:$J,B407)))</f>
        <v/>
      </c>
      <c r="E407" s="32" t="str">
        <f aca="false">IF(B407=0,"",INDEX(Bank!$B:$B,B407))</f>
        <v/>
      </c>
      <c r="F407" s="5" t="str">
        <f aca="false">IF(B407=0,"",IF(INDEX(Bank!$C:$C,B407)="","",INDEX(Bank!$C:$C,B407)))</f>
        <v/>
      </c>
      <c r="G407" s="19" t="str">
        <f aca="false">IF(B407=0,"",INDEX(Bank!$E:$E,B407))</f>
        <v/>
      </c>
      <c r="H407" s="5" t="str">
        <f aca="false">IF(B407=0,"",IF(INDEX(Bank!$H:$H,B407)="","",INDEX(Bank!$H:$H,B407)))</f>
        <v/>
      </c>
      <c r="I407" s="5" t="n">
        <f aca="false">IF(H407="",0,IFERROR(MATCH(H407,GL!$A:$A,0),0))</f>
        <v>0</v>
      </c>
      <c r="J407" s="32" t="str">
        <f aca="false">IF(I407=0,"",INDEX(GL!$B:$B,I407))</f>
        <v/>
      </c>
      <c r="K407" s="5" t="str">
        <f aca="false">IF(I407=0,"",IF(INDEX(GL!$C:$C,I407)="","",INDEX(GL!$C:$C,I407)))</f>
        <v/>
      </c>
      <c r="L407" s="19" t="str">
        <f aca="false">IF(I407=0,"",INDEX(GL!$E:$E,I407))</f>
        <v/>
      </c>
      <c r="M407" s="19" t="str">
        <f aca="false">IF(OR(B407=0,I407=0),"",ROUND(G407-L407,2))</f>
        <v/>
      </c>
      <c r="N407" s="5" t="str">
        <f aca="false">IF(A407="","",IF(B407=0,"NOT FOUND: bank ID",IF(I407=0,"NOT FOUND: GL ID",IF(INDEX(GL!$H:$H,I407)&lt;&gt;A407,"BROKEN: GL points elsewhere",IF(OR(INDEX(Bank!$F:$F,B407)&lt;&gt;"Y",INDEX(GL!$F:$F,I407)&lt;&gt;"Y"),"BROKEN: Status not Y","OK")))))</f>
        <v/>
      </c>
    </row>
    <row r="408" customFormat="false" ht="15" hidden="false" customHeight="false" outlineLevel="0" collapsed="false">
      <c r="A408" s="41"/>
      <c r="B408" s="5" t="n">
        <f aca="false">IF(A408="",0,IFERROR(MATCH(A408,Bank!$A:$A,0),0))</f>
        <v>0</v>
      </c>
      <c r="C408" s="5" t="str">
        <f aca="false">IF(B408=0,"",IF(INDEX(Bank!$G:$G,B408)="","",INDEX(Bank!$G:$G,B408)))</f>
        <v/>
      </c>
      <c r="D408" s="5" t="str">
        <f aca="false">IF(B408=0,"",IF(INDEX(Bank!$J:$J,B408)="","",INDEX(Bank!$J:$J,B408)))</f>
        <v/>
      </c>
      <c r="E408" s="32" t="str">
        <f aca="false">IF(B408=0,"",INDEX(Bank!$B:$B,B408))</f>
        <v/>
      </c>
      <c r="F408" s="5" t="str">
        <f aca="false">IF(B408=0,"",IF(INDEX(Bank!$C:$C,B408)="","",INDEX(Bank!$C:$C,B408)))</f>
        <v/>
      </c>
      <c r="G408" s="19" t="str">
        <f aca="false">IF(B408=0,"",INDEX(Bank!$E:$E,B408))</f>
        <v/>
      </c>
      <c r="H408" s="5" t="str">
        <f aca="false">IF(B408=0,"",IF(INDEX(Bank!$H:$H,B408)="","",INDEX(Bank!$H:$H,B408)))</f>
        <v/>
      </c>
      <c r="I408" s="5" t="n">
        <f aca="false">IF(H408="",0,IFERROR(MATCH(H408,GL!$A:$A,0),0))</f>
        <v>0</v>
      </c>
      <c r="J408" s="32" t="str">
        <f aca="false">IF(I408=0,"",INDEX(GL!$B:$B,I408))</f>
        <v/>
      </c>
      <c r="K408" s="5" t="str">
        <f aca="false">IF(I408=0,"",IF(INDEX(GL!$C:$C,I408)="","",INDEX(GL!$C:$C,I408)))</f>
        <v/>
      </c>
      <c r="L408" s="19" t="str">
        <f aca="false">IF(I408=0,"",INDEX(GL!$E:$E,I408))</f>
        <v/>
      </c>
      <c r="M408" s="19" t="str">
        <f aca="false">IF(OR(B408=0,I408=0),"",ROUND(G408-L408,2))</f>
        <v/>
      </c>
      <c r="N408" s="5" t="str">
        <f aca="false">IF(A408="","",IF(B408=0,"NOT FOUND: bank ID",IF(I408=0,"NOT FOUND: GL ID",IF(INDEX(GL!$H:$H,I408)&lt;&gt;A408,"BROKEN: GL points elsewhere",IF(OR(INDEX(Bank!$F:$F,B408)&lt;&gt;"Y",INDEX(GL!$F:$F,I408)&lt;&gt;"Y"),"BROKEN: Status not Y","OK")))))</f>
        <v/>
      </c>
    </row>
    <row r="409" customFormat="false" ht="15" hidden="false" customHeight="false" outlineLevel="0" collapsed="false">
      <c r="A409" s="41"/>
      <c r="B409" s="5" t="n">
        <f aca="false">IF(A409="",0,IFERROR(MATCH(A409,Bank!$A:$A,0),0))</f>
        <v>0</v>
      </c>
      <c r="C409" s="5" t="str">
        <f aca="false">IF(B409=0,"",IF(INDEX(Bank!$G:$G,B409)="","",INDEX(Bank!$G:$G,B409)))</f>
        <v/>
      </c>
      <c r="D409" s="5" t="str">
        <f aca="false">IF(B409=0,"",IF(INDEX(Bank!$J:$J,B409)="","",INDEX(Bank!$J:$J,B409)))</f>
        <v/>
      </c>
      <c r="E409" s="32" t="str">
        <f aca="false">IF(B409=0,"",INDEX(Bank!$B:$B,B409))</f>
        <v/>
      </c>
      <c r="F409" s="5" t="str">
        <f aca="false">IF(B409=0,"",IF(INDEX(Bank!$C:$C,B409)="","",INDEX(Bank!$C:$C,B409)))</f>
        <v/>
      </c>
      <c r="G409" s="19" t="str">
        <f aca="false">IF(B409=0,"",INDEX(Bank!$E:$E,B409))</f>
        <v/>
      </c>
      <c r="H409" s="5" t="str">
        <f aca="false">IF(B409=0,"",IF(INDEX(Bank!$H:$H,B409)="","",INDEX(Bank!$H:$H,B409)))</f>
        <v/>
      </c>
      <c r="I409" s="5" t="n">
        <f aca="false">IF(H409="",0,IFERROR(MATCH(H409,GL!$A:$A,0),0))</f>
        <v>0</v>
      </c>
      <c r="J409" s="32" t="str">
        <f aca="false">IF(I409=0,"",INDEX(GL!$B:$B,I409))</f>
        <v/>
      </c>
      <c r="K409" s="5" t="str">
        <f aca="false">IF(I409=0,"",IF(INDEX(GL!$C:$C,I409)="","",INDEX(GL!$C:$C,I409)))</f>
        <v/>
      </c>
      <c r="L409" s="19" t="str">
        <f aca="false">IF(I409=0,"",INDEX(GL!$E:$E,I409))</f>
        <v/>
      </c>
      <c r="M409" s="19" t="str">
        <f aca="false">IF(OR(B409=0,I409=0),"",ROUND(G409-L409,2))</f>
        <v/>
      </c>
      <c r="N409" s="5" t="str">
        <f aca="false">IF(A409="","",IF(B409=0,"NOT FOUND: bank ID",IF(I409=0,"NOT FOUND: GL ID",IF(INDEX(GL!$H:$H,I409)&lt;&gt;A409,"BROKEN: GL points elsewhere",IF(OR(INDEX(Bank!$F:$F,B409)&lt;&gt;"Y",INDEX(GL!$F:$F,I409)&lt;&gt;"Y"),"BROKEN: Status not Y","OK")))))</f>
        <v/>
      </c>
    </row>
    <row r="410" customFormat="false" ht="15" hidden="false" customHeight="false" outlineLevel="0" collapsed="false">
      <c r="A410" s="41"/>
      <c r="B410" s="5" t="n">
        <f aca="false">IF(A410="",0,IFERROR(MATCH(A410,Bank!$A:$A,0),0))</f>
        <v>0</v>
      </c>
      <c r="C410" s="5" t="str">
        <f aca="false">IF(B410=0,"",IF(INDEX(Bank!$G:$G,B410)="","",INDEX(Bank!$G:$G,B410)))</f>
        <v/>
      </c>
      <c r="D410" s="5" t="str">
        <f aca="false">IF(B410=0,"",IF(INDEX(Bank!$J:$J,B410)="","",INDEX(Bank!$J:$J,B410)))</f>
        <v/>
      </c>
      <c r="E410" s="32" t="str">
        <f aca="false">IF(B410=0,"",INDEX(Bank!$B:$B,B410))</f>
        <v/>
      </c>
      <c r="F410" s="5" t="str">
        <f aca="false">IF(B410=0,"",IF(INDEX(Bank!$C:$C,B410)="","",INDEX(Bank!$C:$C,B410)))</f>
        <v/>
      </c>
      <c r="G410" s="19" t="str">
        <f aca="false">IF(B410=0,"",INDEX(Bank!$E:$E,B410))</f>
        <v/>
      </c>
      <c r="H410" s="5" t="str">
        <f aca="false">IF(B410=0,"",IF(INDEX(Bank!$H:$H,B410)="","",INDEX(Bank!$H:$H,B410)))</f>
        <v/>
      </c>
      <c r="I410" s="5" t="n">
        <f aca="false">IF(H410="",0,IFERROR(MATCH(H410,GL!$A:$A,0),0))</f>
        <v>0</v>
      </c>
      <c r="J410" s="32" t="str">
        <f aca="false">IF(I410=0,"",INDEX(GL!$B:$B,I410))</f>
        <v/>
      </c>
      <c r="K410" s="5" t="str">
        <f aca="false">IF(I410=0,"",IF(INDEX(GL!$C:$C,I410)="","",INDEX(GL!$C:$C,I410)))</f>
        <v/>
      </c>
      <c r="L410" s="19" t="str">
        <f aca="false">IF(I410=0,"",INDEX(GL!$E:$E,I410))</f>
        <v/>
      </c>
      <c r="M410" s="19" t="str">
        <f aca="false">IF(OR(B410=0,I410=0),"",ROUND(G410-L410,2))</f>
        <v/>
      </c>
      <c r="N410" s="5" t="str">
        <f aca="false">IF(A410="","",IF(B410=0,"NOT FOUND: bank ID",IF(I410=0,"NOT FOUND: GL ID",IF(INDEX(GL!$H:$H,I410)&lt;&gt;A410,"BROKEN: GL points elsewhere",IF(OR(INDEX(Bank!$F:$F,B410)&lt;&gt;"Y",INDEX(GL!$F:$F,I410)&lt;&gt;"Y"),"BROKEN: Status not Y","OK")))))</f>
        <v/>
      </c>
    </row>
    <row r="411" customFormat="false" ht="15" hidden="false" customHeight="false" outlineLevel="0" collapsed="false">
      <c r="A411" s="41"/>
      <c r="B411" s="5" t="n">
        <f aca="false">IF(A411="",0,IFERROR(MATCH(A411,Bank!$A:$A,0),0))</f>
        <v>0</v>
      </c>
      <c r="C411" s="5" t="str">
        <f aca="false">IF(B411=0,"",IF(INDEX(Bank!$G:$G,B411)="","",INDEX(Bank!$G:$G,B411)))</f>
        <v/>
      </c>
      <c r="D411" s="5" t="str">
        <f aca="false">IF(B411=0,"",IF(INDEX(Bank!$J:$J,B411)="","",INDEX(Bank!$J:$J,B411)))</f>
        <v/>
      </c>
      <c r="E411" s="32" t="str">
        <f aca="false">IF(B411=0,"",INDEX(Bank!$B:$B,B411))</f>
        <v/>
      </c>
      <c r="F411" s="5" t="str">
        <f aca="false">IF(B411=0,"",IF(INDEX(Bank!$C:$C,B411)="","",INDEX(Bank!$C:$C,B411)))</f>
        <v/>
      </c>
      <c r="G411" s="19" t="str">
        <f aca="false">IF(B411=0,"",INDEX(Bank!$E:$E,B411))</f>
        <v/>
      </c>
      <c r="H411" s="5" t="str">
        <f aca="false">IF(B411=0,"",IF(INDEX(Bank!$H:$H,B411)="","",INDEX(Bank!$H:$H,B411)))</f>
        <v/>
      </c>
      <c r="I411" s="5" t="n">
        <f aca="false">IF(H411="",0,IFERROR(MATCH(H411,GL!$A:$A,0),0))</f>
        <v>0</v>
      </c>
      <c r="J411" s="32" t="str">
        <f aca="false">IF(I411=0,"",INDEX(GL!$B:$B,I411))</f>
        <v/>
      </c>
      <c r="K411" s="5" t="str">
        <f aca="false">IF(I411=0,"",IF(INDEX(GL!$C:$C,I411)="","",INDEX(GL!$C:$C,I411)))</f>
        <v/>
      </c>
      <c r="L411" s="19" t="str">
        <f aca="false">IF(I411=0,"",INDEX(GL!$E:$E,I411))</f>
        <v/>
      </c>
      <c r="M411" s="19" t="str">
        <f aca="false">IF(OR(B411=0,I411=0),"",ROUND(G411-L411,2))</f>
        <v/>
      </c>
      <c r="N411" s="5" t="str">
        <f aca="false">IF(A411="","",IF(B411=0,"NOT FOUND: bank ID",IF(I411=0,"NOT FOUND: GL ID",IF(INDEX(GL!$H:$H,I411)&lt;&gt;A411,"BROKEN: GL points elsewhere",IF(OR(INDEX(Bank!$F:$F,B411)&lt;&gt;"Y",INDEX(GL!$F:$F,I411)&lt;&gt;"Y"),"BROKEN: Status not Y","OK")))))</f>
        <v/>
      </c>
    </row>
    <row r="412" customFormat="false" ht="15" hidden="false" customHeight="false" outlineLevel="0" collapsed="false">
      <c r="A412" s="41"/>
      <c r="B412" s="5" t="n">
        <f aca="false">IF(A412="",0,IFERROR(MATCH(A412,Bank!$A:$A,0),0))</f>
        <v>0</v>
      </c>
      <c r="C412" s="5" t="str">
        <f aca="false">IF(B412=0,"",IF(INDEX(Bank!$G:$G,B412)="","",INDEX(Bank!$G:$G,B412)))</f>
        <v/>
      </c>
      <c r="D412" s="5" t="str">
        <f aca="false">IF(B412=0,"",IF(INDEX(Bank!$J:$J,B412)="","",INDEX(Bank!$J:$J,B412)))</f>
        <v/>
      </c>
      <c r="E412" s="32" t="str">
        <f aca="false">IF(B412=0,"",INDEX(Bank!$B:$B,B412))</f>
        <v/>
      </c>
      <c r="F412" s="5" t="str">
        <f aca="false">IF(B412=0,"",IF(INDEX(Bank!$C:$C,B412)="","",INDEX(Bank!$C:$C,B412)))</f>
        <v/>
      </c>
      <c r="G412" s="19" t="str">
        <f aca="false">IF(B412=0,"",INDEX(Bank!$E:$E,B412))</f>
        <v/>
      </c>
      <c r="H412" s="5" t="str">
        <f aca="false">IF(B412=0,"",IF(INDEX(Bank!$H:$H,B412)="","",INDEX(Bank!$H:$H,B412)))</f>
        <v/>
      </c>
      <c r="I412" s="5" t="n">
        <f aca="false">IF(H412="",0,IFERROR(MATCH(H412,GL!$A:$A,0),0))</f>
        <v>0</v>
      </c>
      <c r="J412" s="32" t="str">
        <f aca="false">IF(I412=0,"",INDEX(GL!$B:$B,I412))</f>
        <v/>
      </c>
      <c r="K412" s="5" t="str">
        <f aca="false">IF(I412=0,"",IF(INDEX(GL!$C:$C,I412)="","",INDEX(GL!$C:$C,I412)))</f>
        <v/>
      </c>
      <c r="L412" s="19" t="str">
        <f aca="false">IF(I412=0,"",INDEX(GL!$E:$E,I412))</f>
        <v/>
      </c>
      <c r="M412" s="19" t="str">
        <f aca="false">IF(OR(B412=0,I412=0),"",ROUND(G412-L412,2))</f>
        <v/>
      </c>
      <c r="N412" s="5" t="str">
        <f aca="false">IF(A412="","",IF(B412=0,"NOT FOUND: bank ID",IF(I412=0,"NOT FOUND: GL ID",IF(INDEX(GL!$H:$H,I412)&lt;&gt;A412,"BROKEN: GL points elsewhere",IF(OR(INDEX(Bank!$F:$F,B412)&lt;&gt;"Y",INDEX(GL!$F:$F,I412)&lt;&gt;"Y"),"BROKEN: Status not Y","OK")))))</f>
        <v/>
      </c>
    </row>
    <row r="413" customFormat="false" ht="15" hidden="false" customHeight="false" outlineLevel="0" collapsed="false">
      <c r="A413" s="41"/>
      <c r="B413" s="5" t="n">
        <f aca="false">IF(A413="",0,IFERROR(MATCH(A413,Bank!$A:$A,0),0))</f>
        <v>0</v>
      </c>
      <c r="C413" s="5" t="str">
        <f aca="false">IF(B413=0,"",IF(INDEX(Bank!$G:$G,B413)="","",INDEX(Bank!$G:$G,B413)))</f>
        <v/>
      </c>
      <c r="D413" s="5" t="str">
        <f aca="false">IF(B413=0,"",IF(INDEX(Bank!$J:$J,B413)="","",INDEX(Bank!$J:$J,B413)))</f>
        <v/>
      </c>
      <c r="E413" s="32" t="str">
        <f aca="false">IF(B413=0,"",INDEX(Bank!$B:$B,B413))</f>
        <v/>
      </c>
      <c r="F413" s="5" t="str">
        <f aca="false">IF(B413=0,"",IF(INDEX(Bank!$C:$C,B413)="","",INDEX(Bank!$C:$C,B413)))</f>
        <v/>
      </c>
      <c r="G413" s="19" t="str">
        <f aca="false">IF(B413=0,"",INDEX(Bank!$E:$E,B413))</f>
        <v/>
      </c>
      <c r="H413" s="5" t="str">
        <f aca="false">IF(B413=0,"",IF(INDEX(Bank!$H:$H,B413)="","",INDEX(Bank!$H:$H,B413)))</f>
        <v/>
      </c>
      <c r="I413" s="5" t="n">
        <f aca="false">IF(H413="",0,IFERROR(MATCH(H413,GL!$A:$A,0),0))</f>
        <v>0</v>
      </c>
      <c r="J413" s="32" t="str">
        <f aca="false">IF(I413=0,"",INDEX(GL!$B:$B,I413))</f>
        <v/>
      </c>
      <c r="K413" s="5" t="str">
        <f aca="false">IF(I413=0,"",IF(INDEX(GL!$C:$C,I413)="","",INDEX(GL!$C:$C,I413)))</f>
        <v/>
      </c>
      <c r="L413" s="19" t="str">
        <f aca="false">IF(I413=0,"",INDEX(GL!$E:$E,I413))</f>
        <v/>
      </c>
      <c r="M413" s="19" t="str">
        <f aca="false">IF(OR(B413=0,I413=0),"",ROUND(G413-L413,2))</f>
        <v/>
      </c>
      <c r="N413" s="5" t="str">
        <f aca="false">IF(A413="","",IF(B413=0,"NOT FOUND: bank ID",IF(I413=0,"NOT FOUND: GL ID",IF(INDEX(GL!$H:$H,I413)&lt;&gt;A413,"BROKEN: GL points elsewhere",IF(OR(INDEX(Bank!$F:$F,B413)&lt;&gt;"Y",INDEX(GL!$F:$F,I413)&lt;&gt;"Y"),"BROKEN: Status not Y","OK")))))</f>
        <v/>
      </c>
    </row>
    <row r="414" customFormat="false" ht="15" hidden="false" customHeight="false" outlineLevel="0" collapsed="false">
      <c r="A414" s="41"/>
      <c r="B414" s="5" t="n">
        <f aca="false">IF(A414="",0,IFERROR(MATCH(A414,Bank!$A:$A,0),0))</f>
        <v>0</v>
      </c>
      <c r="C414" s="5" t="str">
        <f aca="false">IF(B414=0,"",IF(INDEX(Bank!$G:$G,B414)="","",INDEX(Bank!$G:$G,B414)))</f>
        <v/>
      </c>
      <c r="D414" s="5" t="str">
        <f aca="false">IF(B414=0,"",IF(INDEX(Bank!$J:$J,B414)="","",INDEX(Bank!$J:$J,B414)))</f>
        <v/>
      </c>
      <c r="E414" s="32" t="str">
        <f aca="false">IF(B414=0,"",INDEX(Bank!$B:$B,B414))</f>
        <v/>
      </c>
      <c r="F414" s="5" t="str">
        <f aca="false">IF(B414=0,"",IF(INDEX(Bank!$C:$C,B414)="","",INDEX(Bank!$C:$C,B414)))</f>
        <v/>
      </c>
      <c r="G414" s="19" t="str">
        <f aca="false">IF(B414=0,"",INDEX(Bank!$E:$E,B414))</f>
        <v/>
      </c>
      <c r="H414" s="5" t="str">
        <f aca="false">IF(B414=0,"",IF(INDEX(Bank!$H:$H,B414)="","",INDEX(Bank!$H:$H,B414)))</f>
        <v/>
      </c>
      <c r="I414" s="5" t="n">
        <f aca="false">IF(H414="",0,IFERROR(MATCH(H414,GL!$A:$A,0),0))</f>
        <v>0</v>
      </c>
      <c r="J414" s="32" t="str">
        <f aca="false">IF(I414=0,"",INDEX(GL!$B:$B,I414))</f>
        <v/>
      </c>
      <c r="K414" s="5" t="str">
        <f aca="false">IF(I414=0,"",IF(INDEX(GL!$C:$C,I414)="","",INDEX(GL!$C:$C,I414)))</f>
        <v/>
      </c>
      <c r="L414" s="19" t="str">
        <f aca="false">IF(I414=0,"",INDEX(GL!$E:$E,I414))</f>
        <v/>
      </c>
      <c r="M414" s="19" t="str">
        <f aca="false">IF(OR(B414=0,I414=0),"",ROUND(G414-L414,2))</f>
        <v/>
      </c>
      <c r="N414" s="5" t="str">
        <f aca="false">IF(A414="","",IF(B414=0,"NOT FOUND: bank ID",IF(I414=0,"NOT FOUND: GL ID",IF(INDEX(GL!$H:$H,I414)&lt;&gt;A414,"BROKEN: GL points elsewhere",IF(OR(INDEX(Bank!$F:$F,B414)&lt;&gt;"Y",INDEX(GL!$F:$F,I414)&lt;&gt;"Y"),"BROKEN: Status not Y","OK")))))</f>
        <v/>
      </c>
    </row>
    <row r="415" customFormat="false" ht="15" hidden="false" customHeight="false" outlineLevel="0" collapsed="false">
      <c r="A415" s="41"/>
      <c r="B415" s="5" t="n">
        <f aca="false">IF(A415="",0,IFERROR(MATCH(A415,Bank!$A:$A,0),0))</f>
        <v>0</v>
      </c>
      <c r="C415" s="5" t="str">
        <f aca="false">IF(B415=0,"",IF(INDEX(Bank!$G:$G,B415)="","",INDEX(Bank!$G:$G,B415)))</f>
        <v/>
      </c>
      <c r="D415" s="5" t="str">
        <f aca="false">IF(B415=0,"",IF(INDEX(Bank!$J:$J,B415)="","",INDEX(Bank!$J:$J,B415)))</f>
        <v/>
      </c>
      <c r="E415" s="32" t="str">
        <f aca="false">IF(B415=0,"",INDEX(Bank!$B:$B,B415))</f>
        <v/>
      </c>
      <c r="F415" s="5" t="str">
        <f aca="false">IF(B415=0,"",IF(INDEX(Bank!$C:$C,B415)="","",INDEX(Bank!$C:$C,B415)))</f>
        <v/>
      </c>
      <c r="G415" s="19" t="str">
        <f aca="false">IF(B415=0,"",INDEX(Bank!$E:$E,B415))</f>
        <v/>
      </c>
      <c r="H415" s="5" t="str">
        <f aca="false">IF(B415=0,"",IF(INDEX(Bank!$H:$H,B415)="","",INDEX(Bank!$H:$H,B415)))</f>
        <v/>
      </c>
      <c r="I415" s="5" t="n">
        <f aca="false">IF(H415="",0,IFERROR(MATCH(H415,GL!$A:$A,0),0))</f>
        <v>0</v>
      </c>
      <c r="J415" s="32" t="str">
        <f aca="false">IF(I415=0,"",INDEX(GL!$B:$B,I415))</f>
        <v/>
      </c>
      <c r="K415" s="5" t="str">
        <f aca="false">IF(I415=0,"",IF(INDEX(GL!$C:$C,I415)="","",INDEX(GL!$C:$C,I415)))</f>
        <v/>
      </c>
      <c r="L415" s="19" t="str">
        <f aca="false">IF(I415=0,"",INDEX(GL!$E:$E,I415))</f>
        <v/>
      </c>
      <c r="M415" s="19" t="str">
        <f aca="false">IF(OR(B415=0,I415=0),"",ROUND(G415-L415,2))</f>
        <v/>
      </c>
      <c r="N415" s="5" t="str">
        <f aca="false">IF(A415="","",IF(B415=0,"NOT FOUND: bank ID",IF(I415=0,"NOT FOUND: GL ID",IF(INDEX(GL!$H:$H,I415)&lt;&gt;A415,"BROKEN: GL points elsewhere",IF(OR(INDEX(Bank!$F:$F,B415)&lt;&gt;"Y",INDEX(GL!$F:$F,I415)&lt;&gt;"Y"),"BROKEN: Status not Y","OK")))))</f>
        <v/>
      </c>
    </row>
    <row r="416" customFormat="false" ht="15" hidden="false" customHeight="false" outlineLevel="0" collapsed="false">
      <c r="A416" s="41"/>
      <c r="B416" s="5" t="n">
        <f aca="false">IF(A416="",0,IFERROR(MATCH(A416,Bank!$A:$A,0),0))</f>
        <v>0</v>
      </c>
      <c r="C416" s="5" t="str">
        <f aca="false">IF(B416=0,"",IF(INDEX(Bank!$G:$G,B416)="","",INDEX(Bank!$G:$G,B416)))</f>
        <v/>
      </c>
      <c r="D416" s="5" t="str">
        <f aca="false">IF(B416=0,"",IF(INDEX(Bank!$J:$J,B416)="","",INDEX(Bank!$J:$J,B416)))</f>
        <v/>
      </c>
      <c r="E416" s="32" t="str">
        <f aca="false">IF(B416=0,"",INDEX(Bank!$B:$B,B416))</f>
        <v/>
      </c>
      <c r="F416" s="5" t="str">
        <f aca="false">IF(B416=0,"",IF(INDEX(Bank!$C:$C,B416)="","",INDEX(Bank!$C:$C,B416)))</f>
        <v/>
      </c>
      <c r="G416" s="19" t="str">
        <f aca="false">IF(B416=0,"",INDEX(Bank!$E:$E,B416))</f>
        <v/>
      </c>
      <c r="H416" s="5" t="str">
        <f aca="false">IF(B416=0,"",IF(INDEX(Bank!$H:$H,B416)="","",INDEX(Bank!$H:$H,B416)))</f>
        <v/>
      </c>
      <c r="I416" s="5" t="n">
        <f aca="false">IF(H416="",0,IFERROR(MATCH(H416,GL!$A:$A,0),0))</f>
        <v>0</v>
      </c>
      <c r="J416" s="32" t="str">
        <f aca="false">IF(I416=0,"",INDEX(GL!$B:$B,I416))</f>
        <v/>
      </c>
      <c r="K416" s="5" t="str">
        <f aca="false">IF(I416=0,"",IF(INDEX(GL!$C:$C,I416)="","",INDEX(GL!$C:$C,I416)))</f>
        <v/>
      </c>
      <c r="L416" s="19" t="str">
        <f aca="false">IF(I416=0,"",INDEX(GL!$E:$E,I416))</f>
        <v/>
      </c>
      <c r="M416" s="19" t="str">
        <f aca="false">IF(OR(B416=0,I416=0),"",ROUND(G416-L416,2))</f>
        <v/>
      </c>
      <c r="N416" s="5" t="str">
        <f aca="false">IF(A416="","",IF(B416=0,"NOT FOUND: bank ID",IF(I416=0,"NOT FOUND: GL ID",IF(INDEX(GL!$H:$H,I416)&lt;&gt;A416,"BROKEN: GL points elsewhere",IF(OR(INDEX(Bank!$F:$F,B416)&lt;&gt;"Y",INDEX(GL!$F:$F,I416)&lt;&gt;"Y"),"BROKEN: Status not Y","OK")))))</f>
        <v/>
      </c>
    </row>
    <row r="417" customFormat="false" ht="15" hidden="false" customHeight="false" outlineLevel="0" collapsed="false">
      <c r="A417" s="41"/>
      <c r="B417" s="5" t="n">
        <f aca="false">IF(A417="",0,IFERROR(MATCH(A417,Bank!$A:$A,0),0))</f>
        <v>0</v>
      </c>
      <c r="C417" s="5" t="str">
        <f aca="false">IF(B417=0,"",IF(INDEX(Bank!$G:$G,B417)="","",INDEX(Bank!$G:$G,B417)))</f>
        <v/>
      </c>
      <c r="D417" s="5" t="str">
        <f aca="false">IF(B417=0,"",IF(INDEX(Bank!$J:$J,B417)="","",INDEX(Bank!$J:$J,B417)))</f>
        <v/>
      </c>
      <c r="E417" s="32" t="str">
        <f aca="false">IF(B417=0,"",INDEX(Bank!$B:$B,B417))</f>
        <v/>
      </c>
      <c r="F417" s="5" t="str">
        <f aca="false">IF(B417=0,"",IF(INDEX(Bank!$C:$C,B417)="","",INDEX(Bank!$C:$C,B417)))</f>
        <v/>
      </c>
      <c r="G417" s="19" t="str">
        <f aca="false">IF(B417=0,"",INDEX(Bank!$E:$E,B417))</f>
        <v/>
      </c>
      <c r="H417" s="5" t="str">
        <f aca="false">IF(B417=0,"",IF(INDEX(Bank!$H:$H,B417)="","",INDEX(Bank!$H:$H,B417)))</f>
        <v/>
      </c>
      <c r="I417" s="5" t="n">
        <f aca="false">IF(H417="",0,IFERROR(MATCH(H417,GL!$A:$A,0),0))</f>
        <v>0</v>
      </c>
      <c r="J417" s="32" t="str">
        <f aca="false">IF(I417=0,"",INDEX(GL!$B:$B,I417))</f>
        <v/>
      </c>
      <c r="K417" s="5" t="str">
        <f aca="false">IF(I417=0,"",IF(INDEX(GL!$C:$C,I417)="","",INDEX(GL!$C:$C,I417)))</f>
        <v/>
      </c>
      <c r="L417" s="19" t="str">
        <f aca="false">IF(I417=0,"",INDEX(GL!$E:$E,I417))</f>
        <v/>
      </c>
      <c r="M417" s="19" t="str">
        <f aca="false">IF(OR(B417=0,I417=0),"",ROUND(G417-L417,2))</f>
        <v/>
      </c>
      <c r="N417" s="5" t="str">
        <f aca="false">IF(A417="","",IF(B417=0,"NOT FOUND: bank ID",IF(I417=0,"NOT FOUND: GL ID",IF(INDEX(GL!$H:$H,I417)&lt;&gt;A417,"BROKEN: GL points elsewhere",IF(OR(INDEX(Bank!$F:$F,B417)&lt;&gt;"Y",INDEX(GL!$F:$F,I417)&lt;&gt;"Y"),"BROKEN: Status not Y","OK")))))</f>
        <v/>
      </c>
    </row>
    <row r="418" customFormat="false" ht="15" hidden="false" customHeight="false" outlineLevel="0" collapsed="false">
      <c r="A418" s="41"/>
      <c r="B418" s="5" t="n">
        <f aca="false">IF(A418="",0,IFERROR(MATCH(A418,Bank!$A:$A,0),0))</f>
        <v>0</v>
      </c>
      <c r="C418" s="5" t="str">
        <f aca="false">IF(B418=0,"",IF(INDEX(Bank!$G:$G,B418)="","",INDEX(Bank!$G:$G,B418)))</f>
        <v/>
      </c>
      <c r="D418" s="5" t="str">
        <f aca="false">IF(B418=0,"",IF(INDEX(Bank!$J:$J,B418)="","",INDEX(Bank!$J:$J,B418)))</f>
        <v/>
      </c>
      <c r="E418" s="32" t="str">
        <f aca="false">IF(B418=0,"",INDEX(Bank!$B:$B,B418))</f>
        <v/>
      </c>
      <c r="F418" s="5" t="str">
        <f aca="false">IF(B418=0,"",IF(INDEX(Bank!$C:$C,B418)="","",INDEX(Bank!$C:$C,B418)))</f>
        <v/>
      </c>
      <c r="G418" s="19" t="str">
        <f aca="false">IF(B418=0,"",INDEX(Bank!$E:$E,B418))</f>
        <v/>
      </c>
      <c r="H418" s="5" t="str">
        <f aca="false">IF(B418=0,"",IF(INDEX(Bank!$H:$H,B418)="","",INDEX(Bank!$H:$H,B418)))</f>
        <v/>
      </c>
      <c r="I418" s="5" t="n">
        <f aca="false">IF(H418="",0,IFERROR(MATCH(H418,GL!$A:$A,0),0))</f>
        <v>0</v>
      </c>
      <c r="J418" s="32" t="str">
        <f aca="false">IF(I418=0,"",INDEX(GL!$B:$B,I418))</f>
        <v/>
      </c>
      <c r="K418" s="5" t="str">
        <f aca="false">IF(I418=0,"",IF(INDEX(GL!$C:$C,I418)="","",INDEX(GL!$C:$C,I418)))</f>
        <v/>
      </c>
      <c r="L418" s="19" t="str">
        <f aca="false">IF(I418=0,"",INDEX(GL!$E:$E,I418))</f>
        <v/>
      </c>
      <c r="M418" s="19" t="str">
        <f aca="false">IF(OR(B418=0,I418=0),"",ROUND(G418-L418,2))</f>
        <v/>
      </c>
      <c r="N418" s="5" t="str">
        <f aca="false">IF(A418="","",IF(B418=0,"NOT FOUND: bank ID",IF(I418=0,"NOT FOUND: GL ID",IF(INDEX(GL!$H:$H,I418)&lt;&gt;A418,"BROKEN: GL points elsewhere",IF(OR(INDEX(Bank!$F:$F,B418)&lt;&gt;"Y",INDEX(GL!$F:$F,I418)&lt;&gt;"Y"),"BROKEN: Status not Y","OK")))))</f>
        <v/>
      </c>
    </row>
    <row r="419" customFormat="false" ht="15" hidden="false" customHeight="false" outlineLevel="0" collapsed="false">
      <c r="A419" s="41"/>
      <c r="B419" s="5" t="n">
        <f aca="false">IF(A419="",0,IFERROR(MATCH(A419,Bank!$A:$A,0),0))</f>
        <v>0</v>
      </c>
      <c r="C419" s="5" t="str">
        <f aca="false">IF(B419=0,"",IF(INDEX(Bank!$G:$G,B419)="","",INDEX(Bank!$G:$G,B419)))</f>
        <v/>
      </c>
      <c r="D419" s="5" t="str">
        <f aca="false">IF(B419=0,"",IF(INDEX(Bank!$J:$J,B419)="","",INDEX(Bank!$J:$J,B419)))</f>
        <v/>
      </c>
      <c r="E419" s="32" t="str">
        <f aca="false">IF(B419=0,"",INDEX(Bank!$B:$B,B419))</f>
        <v/>
      </c>
      <c r="F419" s="5" t="str">
        <f aca="false">IF(B419=0,"",IF(INDEX(Bank!$C:$C,B419)="","",INDEX(Bank!$C:$C,B419)))</f>
        <v/>
      </c>
      <c r="G419" s="19" t="str">
        <f aca="false">IF(B419=0,"",INDEX(Bank!$E:$E,B419))</f>
        <v/>
      </c>
      <c r="H419" s="5" t="str">
        <f aca="false">IF(B419=0,"",IF(INDEX(Bank!$H:$H,B419)="","",INDEX(Bank!$H:$H,B419)))</f>
        <v/>
      </c>
      <c r="I419" s="5" t="n">
        <f aca="false">IF(H419="",0,IFERROR(MATCH(H419,GL!$A:$A,0),0))</f>
        <v>0</v>
      </c>
      <c r="J419" s="32" t="str">
        <f aca="false">IF(I419=0,"",INDEX(GL!$B:$B,I419))</f>
        <v/>
      </c>
      <c r="K419" s="5" t="str">
        <f aca="false">IF(I419=0,"",IF(INDEX(GL!$C:$C,I419)="","",INDEX(GL!$C:$C,I419)))</f>
        <v/>
      </c>
      <c r="L419" s="19" t="str">
        <f aca="false">IF(I419=0,"",INDEX(GL!$E:$E,I419))</f>
        <v/>
      </c>
      <c r="M419" s="19" t="str">
        <f aca="false">IF(OR(B419=0,I419=0),"",ROUND(G419-L419,2))</f>
        <v/>
      </c>
      <c r="N419" s="5" t="str">
        <f aca="false">IF(A419="","",IF(B419=0,"NOT FOUND: bank ID",IF(I419=0,"NOT FOUND: GL ID",IF(INDEX(GL!$H:$H,I419)&lt;&gt;A419,"BROKEN: GL points elsewhere",IF(OR(INDEX(Bank!$F:$F,B419)&lt;&gt;"Y",INDEX(GL!$F:$F,I419)&lt;&gt;"Y"),"BROKEN: Status not Y","OK")))))</f>
        <v/>
      </c>
    </row>
    <row r="420" customFormat="false" ht="15" hidden="false" customHeight="false" outlineLevel="0" collapsed="false">
      <c r="A420" s="41"/>
      <c r="B420" s="5" t="n">
        <f aca="false">IF(A420="",0,IFERROR(MATCH(A420,Bank!$A:$A,0),0))</f>
        <v>0</v>
      </c>
      <c r="C420" s="5" t="str">
        <f aca="false">IF(B420=0,"",IF(INDEX(Bank!$G:$G,B420)="","",INDEX(Bank!$G:$G,B420)))</f>
        <v/>
      </c>
      <c r="D420" s="5" t="str">
        <f aca="false">IF(B420=0,"",IF(INDEX(Bank!$J:$J,B420)="","",INDEX(Bank!$J:$J,B420)))</f>
        <v/>
      </c>
      <c r="E420" s="32" t="str">
        <f aca="false">IF(B420=0,"",INDEX(Bank!$B:$B,B420))</f>
        <v/>
      </c>
      <c r="F420" s="5" t="str">
        <f aca="false">IF(B420=0,"",IF(INDEX(Bank!$C:$C,B420)="","",INDEX(Bank!$C:$C,B420)))</f>
        <v/>
      </c>
      <c r="G420" s="19" t="str">
        <f aca="false">IF(B420=0,"",INDEX(Bank!$E:$E,B420))</f>
        <v/>
      </c>
      <c r="H420" s="5" t="str">
        <f aca="false">IF(B420=0,"",IF(INDEX(Bank!$H:$H,B420)="","",INDEX(Bank!$H:$H,B420)))</f>
        <v/>
      </c>
      <c r="I420" s="5" t="n">
        <f aca="false">IF(H420="",0,IFERROR(MATCH(H420,GL!$A:$A,0),0))</f>
        <v>0</v>
      </c>
      <c r="J420" s="32" t="str">
        <f aca="false">IF(I420=0,"",INDEX(GL!$B:$B,I420))</f>
        <v/>
      </c>
      <c r="K420" s="5" t="str">
        <f aca="false">IF(I420=0,"",IF(INDEX(GL!$C:$C,I420)="","",INDEX(GL!$C:$C,I420)))</f>
        <v/>
      </c>
      <c r="L420" s="19" t="str">
        <f aca="false">IF(I420=0,"",INDEX(GL!$E:$E,I420))</f>
        <v/>
      </c>
      <c r="M420" s="19" t="str">
        <f aca="false">IF(OR(B420=0,I420=0),"",ROUND(G420-L420,2))</f>
        <v/>
      </c>
      <c r="N420" s="5" t="str">
        <f aca="false">IF(A420="","",IF(B420=0,"NOT FOUND: bank ID",IF(I420=0,"NOT FOUND: GL ID",IF(INDEX(GL!$H:$H,I420)&lt;&gt;A420,"BROKEN: GL points elsewhere",IF(OR(INDEX(Bank!$F:$F,B420)&lt;&gt;"Y",INDEX(GL!$F:$F,I420)&lt;&gt;"Y"),"BROKEN: Status not Y","OK")))))</f>
        <v/>
      </c>
    </row>
    <row r="421" customFormat="false" ht="15" hidden="false" customHeight="false" outlineLevel="0" collapsed="false">
      <c r="A421" s="41"/>
      <c r="B421" s="5" t="n">
        <f aca="false">IF(A421="",0,IFERROR(MATCH(A421,Bank!$A:$A,0),0))</f>
        <v>0</v>
      </c>
      <c r="C421" s="5" t="str">
        <f aca="false">IF(B421=0,"",IF(INDEX(Bank!$G:$G,B421)="","",INDEX(Bank!$G:$G,B421)))</f>
        <v/>
      </c>
      <c r="D421" s="5" t="str">
        <f aca="false">IF(B421=0,"",IF(INDEX(Bank!$J:$J,B421)="","",INDEX(Bank!$J:$J,B421)))</f>
        <v/>
      </c>
      <c r="E421" s="32" t="str">
        <f aca="false">IF(B421=0,"",INDEX(Bank!$B:$B,B421))</f>
        <v/>
      </c>
      <c r="F421" s="5" t="str">
        <f aca="false">IF(B421=0,"",IF(INDEX(Bank!$C:$C,B421)="","",INDEX(Bank!$C:$C,B421)))</f>
        <v/>
      </c>
      <c r="G421" s="19" t="str">
        <f aca="false">IF(B421=0,"",INDEX(Bank!$E:$E,B421))</f>
        <v/>
      </c>
      <c r="H421" s="5" t="str">
        <f aca="false">IF(B421=0,"",IF(INDEX(Bank!$H:$H,B421)="","",INDEX(Bank!$H:$H,B421)))</f>
        <v/>
      </c>
      <c r="I421" s="5" t="n">
        <f aca="false">IF(H421="",0,IFERROR(MATCH(H421,GL!$A:$A,0),0))</f>
        <v>0</v>
      </c>
      <c r="J421" s="32" t="str">
        <f aca="false">IF(I421=0,"",INDEX(GL!$B:$B,I421))</f>
        <v/>
      </c>
      <c r="K421" s="5" t="str">
        <f aca="false">IF(I421=0,"",IF(INDEX(GL!$C:$C,I421)="","",INDEX(GL!$C:$C,I421)))</f>
        <v/>
      </c>
      <c r="L421" s="19" t="str">
        <f aca="false">IF(I421=0,"",INDEX(GL!$E:$E,I421))</f>
        <v/>
      </c>
      <c r="M421" s="19" t="str">
        <f aca="false">IF(OR(B421=0,I421=0),"",ROUND(G421-L421,2))</f>
        <v/>
      </c>
      <c r="N421" s="5" t="str">
        <f aca="false">IF(A421="","",IF(B421=0,"NOT FOUND: bank ID",IF(I421=0,"NOT FOUND: GL ID",IF(INDEX(GL!$H:$H,I421)&lt;&gt;A421,"BROKEN: GL points elsewhere",IF(OR(INDEX(Bank!$F:$F,B421)&lt;&gt;"Y",INDEX(GL!$F:$F,I421)&lt;&gt;"Y"),"BROKEN: Status not Y","OK")))))</f>
        <v/>
      </c>
    </row>
    <row r="422" customFormat="false" ht="15" hidden="false" customHeight="false" outlineLevel="0" collapsed="false">
      <c r="A422" s="41"/>
      <c r="B422" s="5" t="n">
        <f aca="false">IF(A422="",0,IFERROR(MATCH(A422,Bank!$A:$A,0),0))</f>
        <v>0</v>
      </c>
      <c r="C422" s="5" t="str">
        <f aca="false">IF(B422=0,"",IF(INDEX(Bank!$G:$G,B422)="","",INDEX(Bank!$G:$G,B422)))</f>
        <v/>
      </c>
      <c r="D422" s="5" t="str">
        <f aca="false">IF(B422=0,"",IF(INDEX(Bank!$J:$J,B422)="","",INDEX(Bank!$J:$J,B422)))</f>
        <v/>
      </c>
      <c r="E422" s="32" t="str">
        <f aca="false">IF(B422=0,"",INDEX(Bank!$B:$B,B422))</f>
        <v/>
      </c>
      <c r="F422" s="5" t="str">
        <f aca="false">IF(B422=0,"",IF(INDEX(Bank!$C:$C,B422)="","",INDEX(Bank!$C:$C,B422)))</f>
        <v/>
      </c>
      <c r="G422" s="19" t="str">
        <f aca="false">IF(B422=0,"",INDEX(Bank!$E:$E,B422))</f>
        <v/>
      </c>
      <c r="H422" s="5" t="str">
        <f aca="false">IF(B422=0,"",IF(INDEX(Bank!$H:$H,B422)="","",INDEX(Bank!$H:$H,B422)))</f>
        <v/>
      </c>
      <c r="I422" s="5" t="n">
        <f aca="false">IF(H422="",0,IFERROR(MATCH(H422,GL!$A:$A,0),0))</f>
        <v>0</v>
      </c>
      <c r="J422" s="32" t="str">
        <f aca="false">IF(I422=0,"",INDEX(GL!$B:$B,I422))</f>
        <v/>
      </c>
      <c r="K422" s="5" t="str">
        <f aca="false">IF(I422=0,"",IF(INDEX(GL!$C:$C,I422)="","",INDEX(GL!$C:$C,I422)))</f>
        <v/>
      </c>
      <c r="L422" s="19" t="str">
        <f aca="false">IF(I422=0,"",INDEX(GL!$E:$E,I422))</f>
        <v/>
      </c>
      <c r="M422" s="19" t="str">
        <f aca="false">IF(OR(B422=0,I422=0),"",ROUND(G422-L422,2))</f>
        <v/>
      </c>
      <c r="N422" s="5" t="str">
        <f aca="false">IF(A422="","",IF(B422=0,"NOT FOUND: bank ID",IF(I422=0,"NOT FOUND: GL ID",IF(INDEX(GL!$H:$H,I422)&lt;&gt;A422,"BROKEN: GL points elsewhere",IF(OR(INDEX(Bank!$F:$F,B422)&lt;&gt;"Y",INDEX(GL!$F:$F,I422)&lt;&gt;"Y"),"BROKEN: Status not Y","OK")))))</f>
        <v/>
      </c>
    </row>
    <row r="423" customFormat="false" ht="15" hidden="false" customHeight="false" outlineLevel="0" collapsed="false">
      <c r="A423" s="41"/>
      <c r="B423" s="5" t="n">
        <f aca="false">IF(A423="",0,IFERROR(MATCH(A423,Bank!$A:$A,0),0))</f>
        <v>0</v>
      </c>
      <c r="C423" s="5" t="str">
        <f aca="false">IF(B423=0,"",IF(INDEX(Bank!$G:$G,B423)="","",INDEX(Bank!$G:$G,B423)))</f>
        <v/>
      </c>
      <c r="D423" s="5" t="str">
        <f aca="false">IF(B423=0,"",IF(INDEX(Bank!$J:$J,B423)="","",INDEX(Bank!$J:$J,B423)))</f>
        <v/>
      </c>
      <c r="E423" s="32" t="str">
        <f aca="false">IF(B423=0,"",INDEX(Bank!$B:$B,B423))</f>
        <v/>
      </c>
      <c r="F423" s="5" t="str">
        <f aca="false">IF(B423=0,"",IF(INDEX(Bank!$C:$C,B423)="","",INDEX(Bank!$C:$C,B423)))</f>
        <v/>
      </c>
      <c r="G423" s="19" t="str">
        <f aca="false">IF(B423=0,"",INDEX(Bank!$E:$E,B423))</f>
        <v/>
      </c>
      <c r="H423" s="5" t="str">
        <f aca="false">IF(B423=0,"",IF(INDEX(Bank!$H:$H,B423)="","",INDEX(Bank!$H:$H,B423)))</f>
        <v/>
      </c>
      <c r="I423" s="5" t="n">
        <f aca="false">IF(H423="",0,IFERROR(MATCH(H423,GL!$A:$A,0),0))</f>
        <v>0</v>
      </c>
      <c r="J423" s="32" t="str">
        <f aca="false">IF(I423=0,"",INDEX(GL!$B:$B,I423))</f>
        <v/>
      </c>
      <c r="K423" s="5" t="str">
        <f aca="false">IF(I423=0,"",IF(INDEX(GL!$C:$C,I423)="","",INDEX(GL!$C:$C,I423)))</f>
        <v/>
      </c>
      <c r="L423" s="19" t="str">
        <f aca="false">IF(I423=0,"",INDEX(GL!$E:$E,I423))</f>
        <v/>
      </c>
      <c r="M423" s="19" t="str">
        <f aca="false">IF(OR(B423=0,I423=0),"",ROUND(G423-L423,2))</f>
        <v/>
      </c>
      <c r="N423" s="5" t="str">
        <f aca="false">IF(A423="","",IF(B423=0,"NOT FOUND: bank ID",IF(I423=0,"NOT FOUND: GL ID",IF(INDEX(GL!$H:$H,I423)&lt;&gt;A423,"BROKEN: GL points elsewhere",IF(OR(INDEX(Bank!$F:$F,B423)&lt;&gt;"Y",INDEX(GL!$F:$F,I423)&lt;&gt;"Y"),"BROKEN: Status not Y","OK")))))</f>
        <v/>
      </c>
    </row>
    <row r="424" customFormat="false" ht="15" hidden="false" customHeight="false" outlineLevel="0" collapsed="false">
      <c r="A424" s="41"/>
      <c r="B424" s="5" t="n">
        <f aca="false">IF(A424="",0,IFERROR(MATCH(A424,Bank!$A:$A,0),0))</f>
        <v>0</v>
      </c>
      <c r="C424" s="5" t="str">
        <f aca="false">IF(B424=0,"",IF(INDEX(Bank!$G:$G,B424)="","",INDEX(Bank!$G:$G,B424)))</f>
        <v/>
      </c>
      <c r="D424" s="5" t="str">
        <f aca="false">IF(B424=0,"",IF(INDEX(Bank!$J:$J,B424)="","",INDEX(Bank!$J:$J,B424)))</f>
        <v/>
      </c>
      <c r="E424" s="32" t="str">
        <f aca="false">IF(B424=0,"",INDEX(Bank!$B:$B,B424))</f>
        <v/>
      </c>
      <c r="F424" s="5" t="str">
        <f aca="false">IF(B424=0,"",IF(INDEX(Bank!$C:$C,B424)="","",INDEX(Bank!$C:$C,B424)))</f>
        <v/>
      </c>
      <c r="G424" s="19" t="str">
        <f aca="false">IF(B424=0,"",INDEX(Bank!$E:$E,B424))</f>
        <v/>
      </c>
      <c r="H424" s="5" t="str">
        <f aca="false">IF(B424=0,"",IF(INDEX(Bank!$H:$H,B424)="","",INDEX(Bank!$H:$H,B424)))</f>
        <v/>
      </c>
      <c r="I424" s="5" t="n">
        <f aca="false">IF(H424="",0,IFERROR(MATCH(H424,GL!$A:$A,0),0))</f>
        <v>0</v>
      </c>
      <c r="J424" s="32" t="str">
        <f aca="false">IF(I424=0,"",INDEX(GL!$B:$B,I424))</f>
        <v/>
      </c>
      <c r="K424" s="5" t="str">
        <f aca="false">IF(I424=0,"",IF(INDEX(GL!$C:$C,I424)="","",INDEX(GL!$C:$C,I424)))</f>
        <v/>
      </c>
      <c r="L424" s="19" t="str">
        <f aca="false">IF(I424=0,"",INDEX(GL!$E:$E,I424))</f>
        <v/>
      </c>
      <c r="M424" s="19" t="str">
        <f aca="false">IF(OR(B424=0,I424=0),"",ROUND(G424-L424,2))</f>
        <v/>
      </c>
      <c r="N424" s="5" t="str">
        <f aca="false">IF(A424="","",IF(B424=0,"NOT FOUND: bank ID",IF(I424=0,"NOT FOUND: GL ID",IF(INDEX(GL!$H:$H,I424)&lt;&gt;A424,"BROKEN: GL points elsewhere",IF(OR(INDEX(Bank!$F:$F,B424)&lt;&gt;"Y",INDEX(GL!$F:$F,I424)&lt;&gt;"Y"),"BROKEN: Status not Y","OK")))))</f>
        <v/>
      </c>
    </row>
    <row r="425" customFormat="false" ht="15" hidden="false" customHeight="false" outlineLevel="0" collapsed="false">
      <c r="A425" s="41"/>
      <c r="B425" s="5" t="n">
        <f aca="false">IF(A425="",0,IFERROR(MATCH(A425,Bank!$A:$A,0),0))</f>
        <v>0</v>
      </c>
      <c r="C425" s="5" t="str">
        <f aca="false">IF(B425=0,"",IF(INDEX(Bank!$G:$G,B425)="","",INDEX(Bank!$G:$G,B425)))</f>
        <v/>
      </c>
      <c r="D425" s="5" t="str">
        <f aca="false">IF(B425=0,"",IF(INDEX(Bank!$J:$J,B425)="","",INDEX(Bank!$J:$J,B425)))</f>
        <v/>
      </c>
      <c r="E425" s="32" t="str">
        <f aca="false">IF(B425=0,"",INDEX(Bank!$B:$B,B425))</f>
        <v/>
      </c>
      <c r="F425" s="5" t="str">
        <f aca="false">IF(B425=0,"",IF(INDEX(Bank!$C:$C,B425)="","",INDEX(Bank!$C:$C,B425)))</f>
        <v/>
      </c>
      <c r="G425" s="19" t="str">
        <f aca="false">IF(B425=0,"",INDEX(Bank!$E:$E,B425))</f>
        <v/>
      </c>
      <c r="H425" s="5" t="str">
        <f aca="false">IF(B425=0,"",IF(INDEX(Bank!$H:$H,B425)="","",INDEX(Bank!$H:$H,B425)))</f>
        <v/>
      </c>
      <c r="I425" s="5" t="n">
        <f aca="false">IF(H425="",0,IFERROR(MATCH(H425,GL!$A:$A,0),0))</f>
        <v>0</v>
      </c>
      <c r="J425" s="32" t="str">
        <f aca="false">IF(I425=0,"",INDEX(GL!$B:$B,I425))</f>
        <v/>
      </c>
      <c r="K425" s="5" t="str">
        <f aca="false">IF(I425=0,"",IF(INDEX(GL!$C:$C,I425)="","",INDEX(GL!$C:$C,I425)))</f>
        <v/>
      </c>
      <c r="L425" s="19" t="str">
        <f aca="false">IF(I425=0,"",INDEX(GL!$E:$E,I425))</f>
        <v/>
      </c>
      <c r="M425" s="19" t="str">
        <f aca="false">IF(OR(B425=0,I425=0),"",ROUND(G425-L425,2))</f>
        <v/>
      </c>
      <c r="N425" s="5" t="str">
        <f aca="false">IF(A425="","",IF(B425=0,"NOT FOUND: bank ID",IF(I425=0,"NOT FOUND: GL ID",IF(INDEX(GL!$H:$H,I425)&lt;&gt;A425,"BROKEN: GL points elsewhere",IF(OR(INDEX(Bank!$F:$F,B425)&lt;&gt;"Y",INDEX(GL!$F:$F,I425)&lt;&gt;"Y"),"BROKEN: Status not Y","OK")))))</f>
        <v/>
      </c>
    </row>
    <row r="426" customFormat="false" ht="15" hidden="false" customHeight="false" outlineLevel="0" collapsed="false">
      <c r="A426" s="41"/>
      <c r="B426" s="5" t="n">
        <f aca="false">IF(A426="",0,IFERROR(MATCH(A426,Bank!$A:$A,0),0))</f>
        <v>0</v>
      </c>
      <c r="C426" s="5" t="str">
        <f aca="false">IF(B426=0,"",IF(INDEX(Bank!$G:$G,B426)="","",INDEX(Bank!$G:$G,B426)))</f>
        <v/>
      </c>
      <c r="D426" s="5" t="str">
        <f aca="false">IF(B426=0,"",IF(INDEX(Bank!$J:$J,B426)="","",INDEX(Bank!$J:$J,B426)))</f>
        <v/>
      </c>
      <c r="E426" s="32" t="str">
        <f aca="false">IF(B426=0,"",INDEX(Bank!$B:$B,B426))</f>
        <v/>
      </c>
      <c r="F426" s="5" t="str">
        <f aca="false">IF(B426=0,"",IF(INDEX(Bank!$C:$C,B426)="","",INDEX(Bank!$C:$C,B426)))</f>
        <v/>
      </c>
      <c r="G426" s="19" t="str">
        <f aca="false">IF(B426=0,"",INDEX(Bank!$E:$E,B426))</f>
        <v/>
      </c>
      <c r="H426" s="5" t="str">
        <f aca="false">IF(B426=0,"",IF(INDEX(Bank!$H:$H,B426)="","",INDEX(Bank!$H:$H,B426)))</f>
        <v/>
      </c>
      <c r="I426" s="5" t="n">
        <f aca="false">IF(H426="",0,IFERROR(MATCH(H426,GL!$A:$A,0),0))</f>
        <v>0</v>
      </c>
      <c r="J426" s="32" t="str">
        <f aca="false">IF(I426=0,"",INDEX(GL!$B:$B,I426))</f>
        <v/>
      </c>
      <c r="K426" s="5" t="str">
        <f aca="false">IF(I426=0,"",IF(INDEX(GL!$C:$C,I426)="","",INDEX(GL!$C:$C,I426)))</f>
        <v/>
      </c>
      <c r="L426" s="19" t="str">
        <f aca="false">IF(I426=0,"",INDEX(GL!$E:$E,I426))</f>
        <v/>
      </c>
      <c r="M426" s="19" t="str">
        <f aca="false">IF(OR(B426=0,I426=0),"",ROUND(G426-L426,2))</f>
        <v/>
      </c>
      <c r="N426" s="5" t="str">
        <f aca="false">IF(A426="","",IF(B426=0,"NOT FOUND: bank ID",IF(I426=0,"NOT FOUND: GL ID",IF(INDEX(GL!$H:$H,I426)&lt;&gt;A426,"BROKEN: GL points elsewhere",IF(OR(INDEX(Bank!$F:$F,B426)&lt;&gt;"Y",INDEX(GL!$F:$F,I426)&lt;&gt;"Y"),"BROKEN: Status not Y","OK")))))</f>
        <v/>
      </c>
    </row>
    <row r="427" customFormat="false" ht="15" hidden="false" customHeight="false" outlineLevel="0" collapsed="false">
      <c r="A427" s="41"/>
      <c r="B427" s="5" t="n">
        <f aca="false">IF(A427="",0,IFERROR(MATCH(A427,Bank!$A:$A,0),0))</f>
        <v>0</v>
      </c>
      <c r="C427" s="5" t="str">
        <f aca="false">IF(B427=0,"",IF(INDEX(Bank!$G:$G,B427)="","",INDEX(Bank!$G:$G,B427)))</f>
        <v/>
      </c>
      <c r="D427" s="5" t="str">
        <f aca="false">IF(B427=0,"",IF(INDEX(Bank!$J:$J,B427)="","",INDEX(Bank!$J:$J,B427)))</f>
        <v/>
      </c>
      <c r="E427" s="32" t="str">
        <f aca="false">IF(B427=0,"",INDEX(Bank!$B:$B,B427))</f>
        <v/>
      </c>
      <c r="F427" s="5" t="str">
        <f aca="false">IF(B427=0,"",IF(INDEX(Bank!$C:$C,B427)="","",INDEX(Bank!$C:$C,B427)))</f>
        <v/>
      </c>
      <c r="G427" s="19" t="str">
        <f aca="false">IF(B427=0,"",INDEX(Bank!$E:$E,B427))</f>
        <v/>
      </c>
      <c r="H427" s="5" t="str">
        <f aca="false">IF(B427=0,"",IF(INDEX(Bank!$H:$H,B427)="","",INDEX(Bank!$H:$H,B427)))</f>
        <v/>
      </c>
      <c r="I427" s="5" t="n">
        <f aca="false">IF(H427="",0,IFERROR(MATCH(H427,GL!$A:$A,0),0))</f>
        <v>0</v>
      </c>
      <c r="J427" s="32" t="str">
        <f aca="false">IF(I427=0,"",INDEX(GL!$B:$B,I427))</f>
        <v/>
      </c>
      <c r="K427" s="5" t="str">
        <f aca="false">IF(I427=0,"",IF(INDEX(GL!$C:$C,I427)="","",INDEX(GL!$C:$C,I427)))</f>
        <v/>
      </c>
      <c r="L427" s="19" t="str">
        <f aca="false">IF(I427=0,"",INDEX(GL!$E:$E,I427))</f>
        <v/>
      </c>
      <c r="M427" s="19" t="str">
        <f aca="false">IF(OR(B427=0,I427=0),"",ROUND(G427-L427,2))</f>
        <v/>
      </c>
      <c r="N427" s="5" t="str">
        <f aca="false">IF(A427="","",IF(B427=0,"NOT FOUND: bank ID",IF(I427=0,"NOT FOUND: GL ID",IF(INDEX(GL!$H:$H,I427)&lt;&gt;A427,"BROKEN: GL points elsewhere",IF(OR(INDEX(Bank!$F:$F,B427)&lt;&gt;"Y",INDEX(GL!$F:$F,I427)&lt;&gt;"Y"),"BROKEN: Status not Y","OK")))))</f>
        <v/>
      </c>
    </row>
    <row r="428" customFormat="false" ht="15" hidden="false" customHeight="false" outlineLevel="0" collapsed="false">
      <c r="A428" s="41"/>
      <c r="B428" s="5" t="n">
        <f aca="false">IF(A428="",0,IFERROR(MATCH(A428,Bank!$A:$A,0),0))</f>
        <v>0</v>
      </c>
      <c r="C428" s="5" t="str">
        <f aca="false">IF(B428=0,"",IF(INDEX(Bank!$G:$G,B428)="","",INDEX(Bank!$G:$G,B428)))</f>
        <v/>
      </c>
      <c r="D428" s="5" t="str">
        <f aca="false">IF(B428=0,"",IF(INDEX(Bank!$J:$J,B428)="","",INDEX(Bank!$J:$J,B428)))</f>
        <v/>
      </c>
      <c r="E428" s="32" t="str">
        <f aca="false">IF(B428=0,"",INDEX(Bank!$B:$B,B428))</f>
        <v/>
      </c>
      <c r="F428" s="5" t="str">
        <f aca="false">IF(B428=0,"",IF(INDEX(Bank!$C:$C,B428)="","",INDEX(Bank!$C:$C,B428)))</f>
        <v/>
      </c>
      <c r="G428" s="19" t="str">
        <f aca="false">IF(B428=0,"",INDEX(Bank!$E:$E,B428))</f>
        <v/>
      </c>
      <c r="H428" s="5" t="str">
        <f aca="false">IF(B428=0,"",IF(INDEX(Bank!$H:$H,B428)="","",INDEX(Bank!$H:$H,B428)))</f>
        <v/>
      </c>
      <c r="I428" s="5" t="n">
        <f aca="false">IF(H428="",0,IFERROR(MATCH(H428,GL!$A:$A,0),0))</f>
        <v>0</v>
      </c>
      <c r="J428" s="32" t="str">
        <f aca="false">IF(I428=0,"",INDEX(GL!$B:$B,I428))</f>
        <v/>
      </c>
      <c r="K428" s="5" t="str">
        <f aca="false">IF(I428=0,"",IF(INDEX(GL!$C:$C,I428)="","",INDEX(GL!$C:$C,I428)))</f>
        <v/>
      </c>
      <c r="L428" s="19" t="str">
        <f aca="false">IF(I428=0,"",INDEX(GL!$E:$E,I428))</f>
        <v/>
      </c>
      <c r="M428" s="19" t="str">
        <f aca="false">IF(OR(B428=0,I428=0),"",ROUND(G428-L428,2))</f>
        <v/>
      </c>
      <c r="N428" s="5" t="str">
        <f aca="false">IF(A428="","",IF(B428=0,"NOT FOUND: bank ID",IF(I428=0,"NOT FOUND: GL ID",IF(INDEX(GL!$H:$H,I428)&lt;&gt;A428,"BROKEN: GL points elsewhere",IF(OR(INDEX(Bank!$F:$F,B428)&lt;&gt;"Y",INDEX(GL!$F:$F,I428)&lt;&gt;"Y"),"BROKEN: Status not Y","OK")))))</f>
        <v/>
      </c>
    </row>
    <row r="429" customFormat="false" ht="15" hidden="false" customHeight="false" outlineLevel="0" collapsed="false">
      <c r="A429" s="41"/>
      <c r="B429" s="5" t="n">
        <f aca="false">IF(A429="",0,IFERROR(MATCH(A429,Bank!$A:$A,0),0))</f>
        <v>0</v>
      </c>
      <c r="C429" s="5" t="str">
        <f aca="false">IF(B429=0,"",IF(INDEX(Bank!$G:$G,B429)="","",INDEX(Bank!$G:$G,B429)))</f>
        <v/>
      </c>
      <c r="D429" s="5" t="str">
        <f aca="false">IF(B429=0,"",IF(INDEX(Bank!$J:$J,B429)="","",INDEX(Bank!$J:$J,B429)))</f>
        <v/>
      </c>
      <c r="E429" s="32" t="str">
        <f aca="false">IF(B429=0,"",INDEX(Bank!$B:$B,B429))</f>
        <v/>
      </c>
      <c r="F429" s="5" t="str">
        <f aca="false">IF(B429=0,"",IF(INDEX(Bank!$C:$C,B429)="","",INDEX(Bank!$C:$C,B429)))</f>
        <v/>
      </c>
      <c r="G429" s="19" t="str">
        <f aca="false">IF(B429=0,"",INDEX(Bank!$E:$E,B429))</f>
        <v/>
      </c>
      <c r="H429" s="5" t="str">
        <f aca="false">IF(B429=0,"",IF(INDEX(Bank!$H:$H,B429)="","",INDEX(Bank!$H:$H,B429)))</f>
        <v/>
      </c>
      <c r="I429" s="5" t="n">
        <f aca="false">IF(H429="",0,IFERROR(MATCH(H429,GL!$A:$A,0),0))</f>
        <v>0</v>
      </c>
      <c r="J429" s="32" t="str">
        <f aca="false">IF(I429=0,"",INDEX(GL!$B:$B,I429))</f>
        <v/>
      </c>
      <c r="K429" s="5" t="str">
        <f aca="false">IF(I429=0,"",IF(INDEX(GL!$C:$C,I429)="","",INDEX(GL!$C:$C,I429)))</f>
        <v/>
      </c>
      <c r="L429" s="19" t="str">
        <f aca="false">IF(I429=0,"",INDEX(GL!$E:$E,I429))</f>
        <v/>
      </c>
      <c r="M429" s="19" t="str">
        <f aca="false">IF(OR(B429=0,I429=0),"",ROUND(G429-L429,2))</f>
        <v/>
      </c>
      <c r="N429" s="5" t="str">
        <f aca="false">IF(A429="","",IF(B429=0,"NOT FOUND: bank ID",IF(I429=0,"NOT FOUND: GL ID",IF(INDEX(GL!$H:$H,I429)&lt;&gt;A429,"BROKEN: GL points elsewhere",IF(OR(INDEX(Bank!$F:$F,B429)&lt;&gt;"Y",INDEX(GL!$F:$F,I429)&lt;&gt;"Y"),"BROKEN: Status not Y","OK")))))</f>
        <v/>
      </c>
    </row>
    <row r="430" customFormat="false" ht="15" hidden="false" customHeight="false" outlineLevel="0" collapsed="false">
      <c r="A430" s="41"/>
      <c r="B430" s="5" t="n">
        <f aca="false">IF(A430="",0,IFERROR(MATCH(A430,Bank!$A:$A,0),0))</f>
        <v>0</v>
      </c>
      <c r="C430" s="5" t="str">
        <f aca="false">IF(B430=0,"",IF(INDEX(Bank!$G:$G,B430)="","",INDEX(Bank!$G:$G,B430)))</f>
        <v/>
      </c>
      <c r="D430" s="5" t="str">
        <f aca="false">IF(B430=0,"",IF(INDEX(Bank!$J:$J,B430)="","",INDEX(Bank!$J:$J,B430)))</f>
        <v/>
      </c>
      <c r="E430" s="32" t="str">
        <f aca="false">IF(B430=0,"",INDEX(Bank!$B:$B,B430))</f>
        <v/>
      </c>
      <c r="F430" s="5" t="str">
        <f aca="false">IF(B430=0,"",IF(INDEX(Bank!$C:$C,B430)="","",INDEX(Bank!$C:$C,B430)))</f>
        <v/>
      </c>
      <c r="G430" s="19" t="str">
        <f aca="false">IF(B430=0,"",INDEX(Bank!$E:$E,B430))</f>
        <v/>
      </c>
      <c r="H430" s="5" t="str">
        <f aca="false">IF(B430=0,"",IF(INDEX(Bank!$H:$H,B430)="","",INDEX(Bank!$H:$H,B430)))</f>
        <v/>
      </c>
      <c r="I430" s="5" t="n">
        <f aca="false">IF(H430="",0,IFERROR(MATCH(H430,GL!$A:$A,0),0))</f>
        <v>0</v>
      </c>
      <c r="J430" s="32" t="str">
        <f aca="false">IF(I430=0,"",INDEX(GL!$B:$B,I430))</f>
        <v/>
      </c>
      <c r="K430" s="5" t="str">
        <f aca="false">IF(I430=0,"",IF(INDEX(GL!$C:$C,I430)="","",INDEX(GL!$C:$C,I430)))</f>
        <v/>
      </c>
      <c r="L430" s="19" t="str">
        <f aca="false">IF(I430=0,"",INDEX(GL!$E:$E,I430))</f>
        <v/>
      </c>
      <c r="M430" s="19" t="str">
        <f aca="false">IF(OR(B430=0,I430=0),"",ROUND(G430-L430,2))</f>
        <v/>
      </c>
      <c r="N430" s="5" t="str">
        <f aca="false">IF(A430="","",IF(B430=0,"NOT FOUND: bank ID",IF(I430=0,"NOT FOUND: GL ID",IF(INDEX(GL!$H:$H,I430)&lt;&gt;A430,"BROKEN: GL points elsewhere",IF(OR(INDEX(Bank!$F:$F,B430)&lt;&gt;"Y",INDEX(GL!$F:$F,I430)&lt;&gt;"Y"),"BROKEN: Status not Y","OK")))))</f>
        <v/>
      </c>
    </row>
    <row r="431" customFormat="false" ht="15" hidden="false" customHeight="false" outlineLevel="0" collapsed="false">
      <c r="A431" s="41"/>
      <c r="B431" s="5" t="n">
        <f aca="false">IF(A431="",0,IFERROR(MATCH(A431,Bank!$A:$A,0),0))</f>
        <v>0</v>
      </c>
      <c r="C431" s="5" t="str">
        <f aca="false">IF(B431=0,"",IF(INDEX(Bank!$G:$G,B431)="","",INDEX(Bank!$G:$G,B431)))</f>
        <v/>
      </c>
      <c r="D431" s="5" t="str">
        <f aca="false">IF(B431=0,"",IF(INDEX(Bank!$J:$J,B431)="","",INDEX(Bank!$J:$J,B431)))</f>
        <v/>
      </c>
      <c r="E431" s="32" t="str">
        <f aca="false">IF(B431=0,"",INDEX(Bank!$B:$B,B431))</f>
        <v/>
      </c>
      <c r="F431" s="5" t="str">
        <f aca="false">IF(B431=0,"",IF(INDEX(Bank!$C:$C,B431)="","",INDEX(Bank!$C:$C,B431)))</f>
        <v/>
      </c>
      <c r="G431" s="19" t="str">
        <f aca="false">IF(B431=0,"",INDEX(Bank!$E:$E,B431))</f>
        <v/>
      </c>
      <c r="H431" s="5" t="str">
        <f aca="false">IF(B431=0,"",IF(INDEX(Bank!$H:$H,B431)="","",INDEX(Bank!$H:$H,B431)))</f>
        <v/>
      </c>
      <c r="I431" s="5" t="n">
        <f aca="false">IF(H431="",0,IFERROR(MATCH(H431,GL!$A:$A,0),0))</f>
        <v>0</v>
      </c>
      <c r="J431" s="32" t="str">
        <f aca="false">IF(I431=0,"",INDEX(GL!$B:$B,I431))</f>
        <v/>
      </c>
      <c r="K431" s="5" t="str">
        <f aca="false">IF(I431=0,"",IF(INDEX(GL!$C:$C,I431)="","",INDEX(GL!$C:$C,I431)))</f>
        <v/>
      </c>
      <c r="L431" s="19" t="str">
        <f aca="false">IF(I431=0,"",INDEX(GL!$E:$E,I431))</f>
        <v/>
      </c>
      <c r="M431" s="19" t="str">
        <f aca="false">IF(OR(B431=0,I431=0),"",ROUND(G431-L431,2))</f>
        <v/>
      </c>
      <c r="N431" s="5" t="str">
        <f aca="false">IF(A431="","",IF(B431=0,"NOT FOUND: bank ID",IF(I431=0,"NOT FOUND: GL ID",IF(INDEX(GL!$H:$H,I431)&lt;&gt;A431,"BROKEN: GL points elsewhere",IF(OR(INDEX(Bank!$F:$F,B431)&lt;&gt;"Y",INDEX(GL!$F:$F,I431)&lt;&gt;"Y"),"BROKEN: Status not Y","OK")))))</f>
        <v/>
      </c>
    </row>
    <row r="432" customFormat="false" ht="15" hidden="false" customHeight="false" outlineLevel="0" collapsed="false">
      <c r="A432" s="41"/>
      <c r="B432" s="5" t="n">
        <f aca="false">IF(A432="",0,IFERROR(MATCH(A432,Bank!$A:$A,0),0))</f>
        <v>0</v>
      </c>
      <c r="C432" s="5" t="str">
        <f aca="false">IF(B432=0,"",IF(INDEX(Bank!$G:$G,B432)="","",INDEX(Bank!$G:$G,B432)))</f>
        <v/>
      </c>
      <c r="D432" s="5" t="str">
        <f aca="false">IF(B432=0,"",IF(INDEX(Bank!$J:$J,B432)="","",INDEX(Bank!$J:$J,B432)))</f>
        <v/>
      </c>
      <c r="E432" s="32" t="str">
        <f aca="false">IF(B432=0,"",INDEX(Bank!$B:$B,B432))</f>
        <v/>
      </c>
      <c r="F432" s="5" t="str">
        <f aca="false">IF(B432=0,"",IF(INDEX(Bank!$C:$C,B432)="","",INDEX(Bank!$C:$C,B432)))</f>
        <v/>
      </c>
      <c r="G432" s="19" t="str">
        <f aca="false">IF(B432=0,"",INDEX(Bank!$E:$E,B432))</f>
        <v/>
      </c>
      <c r="H432" s="5" t="str">
        <f aca="false">IF(B432=0,"",IF(INDEX(Bank!$H:$H,B432)="","",INDEX(Bank!$H:$H,B432)))</f>
        <v/>
      </c>
      <c r="I432" s="5" t="n">
        <f aca="false">IF(H432="",0,IFERROR(MATCH(H432,GL!$A:$A,0),0))</f>
        <v>0</v>
      </c>
      <c r="J432" s="32" t="str">
        <f aca="false">IF(I432=0,"",INDEX(GL!$B:$B,I432))</f>
        <v/>
      </c>
      <c r="K432" s="5" t="str">
        <f aca="false">IF(I432=0,"",IF(INDEX(GL!$C:$C,I432)="","",INDEX(GL!$C:$C,I432)))</f>
        <v/>
      </c>
      <c r="L432" s="19" t="str">
        <f aca="false">IF(I432=0,"",INDEX(GL!$E:$E,I432))</f>
        <v/>
      </c>
      <c r="M432" s="19" t="str">
        <f aca="false">IF(OR(B432=0,I432=0),"",ROUND(G432-L432,2))</f>
        <v/>
      </c>
      <c r="N432" s="5" t="str">
        <f aca="false">IF(A432="","",IF(B432=0,"NOT FOUND: bank ID",IF(I432=0,"NOT FOUND: GL ID",IF(INDEX(GL!$H:$H,I432)&lt;&gt;A432,"BROKEN: GL points elsewhere",IF(OR(INDEX(Bank!$F:$F,B432)&lt;&gt;"Y",INDEX(GL!$F:$F,I432)&lt;&gt;"Y"),"BROKEN: Status not Y","OK")))))</f>
        <v/>
      </c>
    </row>
    <row r="433" customFormat="false" ht="15" hidden="false" customHeight="false" outlineLevel="0" collapsed="false">
      <c r="A433" s="41"/>
      <c r="B433" s="5" t="n">
        <f aca="false">IF(A433="",0,IFERROR(MATCH(A433,Bank!$A:$A,0),0))</f>
        <v>0</v>
      </c>
      <c r="C433" s="5" t="str">
        <f aca="false">IF(B433=0,"",IF(INDEX(Bank!$G:$G,B433)="","",INDEX(Bank!$G:$G,B433)))</f>
        <v/>
      </c>
      <c r="D433" s="5" t="str">
        <f aca="false">IF(B433=0,"",IF(INDEX(Bank!$J:$J,B433)="","",INDEX(Bank!$J:$J,B433)))</f>
        <v/>
      </c>
      <c r="E433" s="32" t="str">
        <f aca="false">IF(B433=0,"",INDEX(Bank!$B:$B,B433))</f>
        <v/>
      </c>
      <c r="F433" s="5" t="str">
        <f aca="false">IF(B433=0,"",IF(INDEX(Bank!$C:$C,B433)="","",INDEX(Bank!$C:$C,B433)))</f>
        <v/>
      </c>
      <c r="G433" s="19" t="str">
        <f aca="false">IF(B433=0,"",INDEX(Bank!$E:$E,B433))</f>
        <v/>
      </c>
      <c r="H433" s="5" t="str">
        <f aca="false">IF(B433=0,"",IF(INDEX(Bank!$H:$H,B433)="","",INDEX(Bank!$H:$H,B433)))</f>
        <v/>
      </c>
      <c r="I433" s="5" t="n">
        <f aca="false">IF(H433="",0,IFERROR(MATCH(H433,GL!$A:$A,0),0))</f>
        <v>0</v>
      </c>
      <c r="J433" s="32" t="str">
        <f aca="false">IF(I433=0,"",INDEX(GL!$B:$B,I433))</f>
        <v/>
      </c>
      <c r="K433" s="5" t="str">
        <f aca="false">IF(I433=0,"",IF(INDEX(GL!$C:$C,I433)="","",INDEX(GL!$C:$C,I433)))</f>
        <v/>
      </c>
      <c r="L433" s="19" t="str">
        <f aca="false">IF(I433=0,"",INDEX(GL!$E:$E,I433))</f>
        <v/>
      </c>
      <c r="M433" s="19" t="str">
        <f aca="false">IF(OR(B433=0,I433=0),"",ROUND(G433-L433,2))</f>
        <v/>
      </c>
      <c r="N433" s="5" t="str">
        <f aca="false">IF(A433="","",IF(B433=0,"NOT FOUND: bank ID",IF(I433=0,"NOT FOUND: GL ID",IF(INDEX(GL!$H:$H,I433)&lt;&gt;A433,"BROKEN: GL points elsewhere",IF(OR(INDEX(Bank!$F:$F,B433)&lt;&gt;"Y",INDEX(GL!$F:$F,I433)&lt;&gt;"Y"),"BROKEN: Status not Y","OK")))))</f>
        <v/>
      </c>
    </row>
    <row r="434" customFormat="false" ht="15" hidden="false" customHeight="false" outlineLevel="0" collapsed="false">
      <c r="A434" s="41"/>
      <c r="B434" s="5" t="n">
        <f aca="false">IF(A434="",0,IFERROR(MATCH(A434,Bank!$A:$A,0),0))</f>
        <v>0</v>
      </c>
      <c r="C434" s="5" t="str">
        <f aca="false">IF(B434=0,"",IF(INDEX(Bank!$G:$G,B434)="","",INDEX(Bank!$G:$G,B434)))</f>
        <v/>
      </c>
      <c r="D434" s="5" t="str">
        <f aca="false">IF(B434=0,"",IF(INDEX(Bank!$J:$J,B434)="","",INDEX(Bank!$J:$J,B434)))</f>
        <v/>
      </c>
      <c r="E434" s="32" t="str">
        <f aca="false">IF(B434=0,"",INDEX(Bank!$B:$B,B434))</f>
        <v/>
      </c>
      <c r="F434" s="5" t="str">
        <f aca="false">IF(B434=0,"",IF(INDEX(Bank!$C:$C,B434)="","",INDEX(Bank!$C:$C,B434)))</f>
        <v/>
      </c>
      <c r="G434" s="19" t="str">
        <f aca="false">IF(B434=0,"",INDEX(Bank!$E:$E,B434))</f>
        <v/>
      </c>
      <c r="H434" s="5" t="str">
        <f aca="false">IF(B434=0,"",IF(INDEX(Bank!$H:$H,B434)="","",INDEX(Bank!$H:$H,B434)))</f>
        <v/>
      </c>
      <c r="I434" s="5" t="n">
        <f aca="false">IF(H434="",0,IFERROR(MATCH(H434,GL!$A:$A,0),0))</f>
        <v>0</v>
      </c>
      <c r="J434" s="32" t="str">
        <f aca="false">IF(I434=0,"",INDEX(GL!$B:$B,I434))</f>
        <v/>
      </c>
      <c r="K434" s="5" t="str">
        <f aca="false">IF(I434=0,"",IF(INDEX(GL!$C:$C,I434)="","",INDEX(GL!$C:$C,I434)))</f>
        <v/>
      </c>
      <c r="L434" s="19" t="str">
        <f aca="false">IF(I434=0,"",INDEX(GL!$E:$E,I434))</f>
        <v/>
      </c>
      <c r="M434" s="19" t="str">
        <f aca="false">IF(OR(B434=0,I434=0),"",ROUND(G434-L434,2))</f>
        <v/>
      </c>
      <c r="N434" s="5" t="str">
        <f aca="false">IF(A434="","",IF(B434=0,"NOT FOUND: bank ID",IF(I434=0,"NOT FOUND: GL ID",IF(INDEX(GL!$H:$H,I434)&lt;&gt;A434,"BROKEN: GL points elsewhere",IF(OR(INDEX(Bank!$F:$F,B434)&lt;&gt;"Y",INDEX(GL!$F:$F,I434)&lt;&gt;"Y"),"BROKEN: Status not Y","OK")))))</f>
        <v/>
      </c>
    </row>
    <row r="435" customFormat="false" ht="15" hidden="false" customHeight="false" outlineLevel="0" collapsed="false">
      <c r="A435" s="41"/>
      <c r="B435" s="5" t="n">
        <f aca="false">IF(A435="",0,IFERROR(MATCH(A435,Bank!$A:$A,0),0))</f>
        <v>0</v>
      </c>
      <c r="C435" s="5" t="str">
        <f aca="false">IF(B435=0,"",IF(INDEX(Bank!$G:$G,B435)="","",INDEX(Bank!$G:$G,B435)))</f>
        <v/>
      </c>
      <c r="D435" s="5" t="str">
        <f aca="false">IF(B435=0,"",IF(INDEX(Bank!$J:$J,B435)="","",INDEX(Bank!$J:$J,B435)))</f>
        <v/>
      </c>
      <c r="E435" s="32" t="str">
        <f aca="false">IF(B435=0,"",INDEX(Bank!$B:$B,B435))</f>
        <v/>
      </c>
      <c r="F435" s="5" t="str">
        <f aca="false">IF(B435=0,"",IF(INDEX(Bank!$C:$C,B435)="","",INDEX(Bank!$C:$C,B435)))</f>
        <v/>
      </c>
      <c r="G435" s="19" t="str">
        <f aca="false">IF(B435=0,"",INDEX(Bank!$E:$E,B435))</f>
        <v/>
      </c>
      <c r="H435" s="5" t="str">
        <f aca="false">IF(B435=0,"",IF(INDEX(Bank!$H:$H,B435)="","",INDEX(Bank!$H:$H,B435)))</f>
        <v/>
      </c>
      <c r="I435" s="5" t="n">
        <f aca="false">IF(H435="",0,IFERROR(MATCH(H435,GL!$A:$A,0),0))</f>
        <v>0</v>
      </c>
      <c r="J435" s="32" t="str">
        <f aca="false">IF(I435=0,"",INDEX(GL!$B:$B,I435))</f>
        <v/>
      </c>
      <c r="K435" s="5" t="str">
        <f aca="false">IF(I435=0,"",IF(INDEX(GL!$C:$C,I435)="","",INDEX(GL!$C:$C,I435)))</f>
        <v/>
      </c>
      <c r="L435" s="19" t="str">
        <f aca="false">IF(I435=0,"",INDEX(GL!$E:$E,I435))</f>
        <v/>
      </c>
      <c r="M435" s="19" t="str">
        <f aca="false">IF(OR(B435=0,I435=0),"",ROUND(G435-L435,2))</f>
        <v/>
      </c>
      <c r="N435" s="5" t="str">
        <f aca="false">IF(A435="","",IF(B435=0,"NOT FOUND: bank ID",IF(I435=0,"NOT FOUND: GL ID",IF(INDEX(GL!$H:$H,I435)&lt;&gt;A435,"BROKEN: GL points elsewhere",IF(OR(INDEX(Bank!$F:$F,B435)&lt;&gt;"Y",INDEX(GL!$F:$F,I435)&lt;&gt;"Y"),"BROKEN: Status not Y","OK")))))</f>
        <v/>
      </c>
    </row>
    <row r="436" customFormat="false" ht="15" hidden="false" customHeight="false" outlineLevel="0" collapsed="false">
      <c r="A436" s="41"/>
      <c r="B436" s="5" t="n">
        <f aca="false">IF(A436="",0,IFERROR(MATCH(A436,Bank!$A:$A,0),0))</f>
        <v>0</v>
      </c>
      <c r="C436" s="5" t="str">
        <f aca="false">IF(B436=0,"",IF(INDEX(Bank!$G:$G,B436)="","",INDEX(Bank!$G:$G,B436)))</f>
        <v/>
      </c>
      <c r="D436" s="5" t="str">
        <f aca="false">IF(B436=0,"",IF(INDEX(Bank!$J:$J,B436)="","",INDEX(Bank!$J:$J,B436)))</f>
        <v/>
      </c>
      <c r="E436" s="32" t="str">
        <f aca="false">IF(B436=0,"",INDEX(Bank!$B:$B,B436))</f>
        <v/>
      </c>
      <c r="F436" s="5" t="str">
        <f aca="false">IF(B436=0,"",IF(INDEX(Bank!$C:$C,B436)="","",INDEX(Bank!$C:$C,B436)))</f>
        <v/>
      </c>
      <c r="G436" s="19" t="str">
        <f aca="false">IF(B436=0,"",INDEX(Bank!$E:$E,B436))</f>
        <v/>
      </c>
      <c r="H436" s="5" t="str">
        <f aca="false">IF(B436=0,"",IF(INDEX(Bank!$H:$H,B436)="","",INDEX(Bank!$H:$H,B436)))</f>
        <v/>
      </c>
      <c r="I436" s="5" t="n">
        <f aca="false">IF(H436="",0,IFERROR(MATCH(H436,GL!$A:$A,0),0))</f>
        <v>0</v>
      </c>
      <c r="J436" s="32" t="str">
        <f aca="false">IF(I436=0,"",INDEX(GL!$B:$B,I436))</f>
        <v/>
      </c>
      <c r="K436" s="5" t="str">
        <f aca="false">IF(I436=0,"",IF(INDEX(GL!$C:$C,I436)="","",INDEX(GL!$C:$C,I436)))</f>
        <v/>
      </c>
      <c r="L436" s="19" t="str">
        <f aca="false">IF(I436=0,"",INDEX(GL!$E:$E,I436))</f>
        <v/>
      </c>
      <c r="M436" s="19" t="str">
        <f aca="false">IF(OR(B436=0,I436=0),"",ROUND(G436-L436,2))</f>
        <v/>
      </c>
      <c r="N436" s="5" t="str">
        <f aca="false">IF(A436="","",IF(B436=0,"NOT FOUND: bank ID",IF(I436=0,"NOT FOUND: GL ID",IF(INDEX(GL!$H:$H,I436)&lt;&gt;A436,"BROKEN: GL points elsewhere",IF(OR(INDEX(Bank!$F:$F,B436)&lt;&gt;"Y",INDEX(GL!$F:$F,I436)&lt;&gt;"Y"),"BROKEN: Status not Y","OK")))))</f>
        <v/>
      </c>
    </row>
    <row r="437" customFormat="false" ht="15" hidden="false" customHeight="false" outlineLevel="0" collapsed="false">
      <c r="A437" s="41"/>
      <c r="B437" s="5" t="n">
        <f aca="false">IF(A437="",0,IFERROR(MATCH(A437,Bank!$A:$A,0),0))</f>
        <v>0</v>
      </c>
      <c r="C437" s="5" t="str">
        <f aca="false">IF(B437=0,"",IF(INDEX(Bank!$G:$G,B437)="","",INDEX(Bank!$G:$G,B437)))</f>
        <v/>
      </c>
      <c r="D437" s="5" t="str">
        <f aca="false">IF(B437=0,"",IF(INDEX(Bank!$J:$J,B437)="","",INDEX(Bank!$J:$J,B437)))</f>
        <v/>
      </c>
      <c r="E437" s="32" t="str">
        <f aca="false">IF(B437=0,"",INDEX(Bank!$B:$B,B437))</f>
        <v/>
      </c>
      <c r="F437" s="5" t="str">
        <f aca="false">IF(B437=0,"",IF(INDEX(Bank!$C:$C,B437)="","",INDEX(Bank!$C:$C,B437)))</f>
        <v/>
      </c>
      <c r="G437" s="19" t="str">
        <f aca="false">IF(B437=0,"",INDEX(Bank!$E:$E,B437))</f>
        <v/>
      </c>
      <c r="H437" s="5" t="str">
        <f aca="false">IF(B437=0,"",IF(INDEX(Bank!$H:$H,B437)="","",INDEX(Bank!$H:$H,B437)))</f>
        <v/>
      </c>
      <c r="I437" s="5" t="n">
        <f aca="false">IF(H437="",0,IFERROR(MATCH(H437,GL!$A:$A,0),0))</f>
        <v>0</v>
      </c>
      <c r="J437" s="32" t="str">
        <f aca="false">IF(I437=0,"",INDEX(GL!$B:$B,I437))</f>
        <v/>
      </c>
      <c r="K437" s="5" t="str">
        <f aca="false">IF(I437=0,"",IF(INDEX(GL!$C:$C,I437)="","",INDEX(GL!$C:$C,I437)))</f>
        <v/>
      </c>
      <c r="L437" s="19" t="str">
        <f aca="false">IF(I437=0,"",INDEX(GL!$E:$E,I437))</f>
        <v/>
      </c>
      <c r="M437" s="19" t="str">
        <f aca="false">IF(OR(B437=0,I437=0),"",ROUND(G437-L437,2))</f>
        <v/>
      </c>
      <c r="N437" s="5" t="str">
        <f aca="false">IF(A437="","",IF(B437=0,"NOT FOUND: bank ID",IF(I437=0,"NOT FOUND: GL ID",IF(INDEX(GL!$H:$H,I437)&lt;&gt;A437,"BROKEN: GL points elsewhere",IF(OR(INDEX(Bank!$F:$F,B437)&lt;&gt;"Y",INDEX(GL!$F:$F,I437)&lt;&gt;"Y"),"BROKEN: Status not Y","OK")))))</f>
        <v/>
      </c>
    </row>
    <row r="438" customFormat="false" ht="15" hidden="false" customHeight="false" outlineLevel="0" collapsed="false">
      <c r="A438" s="41"/>
      <c r="B438" s="5" t="n">
        <f aca="false">IF(A438="",0,IFERROR(MATCH(A438,Bank!$A:$A,0),0))</f>
        <v>0</v>
      </c>
      <c r="C438" s="5" t="str">
        <f aca="false">IF(B438=0,"",IF(INDEX(Bank!$G:$G,B438)="","",INDEX(Bank!$G:$G,B438)))</f>
        <v/>
      </c>
      <c r="D438" s="5" t="str">
        <f aca="false">IF(B438=0,"",IF(INDEX(Bank!$J:$J,B438)="","",INDEX(Bank!$J:$J,B438)))</f>
        <v/>
      </c>
      <c r="E438" s="32" t="str">
        <f aca="false">IF(B438=0,"",INDEX(Bank!$B:$B,B438))</f>
        <v/>
      </c>
      <c r="F438" s="5" t="str">
        <f aca="false">IF(B438=0,"",IF(INDEX(Bank!$C:$C,B438)="","",INDEX(Bank!$C:$C,B438)))</f>
        <v/>
      </c>
      <c r="G438" s="19" t="str">
        <f aca="false">IF(B438=0,"",INDEX(Bank!$E:$E,B438))</f>
        <v/>
      </c>
      <c r="H438" s="5" t="str">
        <f aca="false">IF(B438=0,"",IF(INDEX(Bank!$H:$H,B438)="","",INDEX(Bank!$H:$H,B438)))</f>
        <v/>
      </c>
      <c r="I438" s="5" t="n">
        <f aca="false">IF(H438="",0,IFERROR(MATCH(H438,GL!$A:$A,0),0))</f>
        <v>0</v>
      </c>
      <c r="J438" s="32" t="str">
        <f aca="false">IF(I438=0,"",INDEX(GL!$B:$B,I438))</f>
        <v/>
      </c>
      <c r="K438" s="5" t="str">
        <f aca="false">IF(I438=0,"",IF(INDEX(GL!$C:$C,I438)="","",INDEX(GL!$C:$C,I438)))</f>
        <v/>
      </c>
      <c r="L438" s="19" t="str">
        <f aca="false">IF(I438=0,"",INDEX(GL!$E:$E,I438))</f>
        <v/>
      </c>
      <c r="M438" s="19" t="str">
        <f aca="false">IF(OR(B438=0,I438=0),"",ROUND(G438-L438,2))</f>
        <v/>
      </c>
      <c r="N438" s="5" t="str">
        <f aca="false">IF(A438="","",IF(B438=0,"NOT FOUND: bank ID",IF(I438=0,"NOT FOUND: GL ID",IF(INDEX(GL!$H:$H,I438)&lt;&gt;A438,"BROKEN: GL points elsewhere",IF(OR(INDEX(Bank!$F:$F,B438)&lt;&gt;"Y",INDEX(GL!$F:$F,I438)&lt;&gt;"Y"),"BROKEN: Status not Y","OK")))))</f>
        <v/>
      </c>
    </row>
    <row r="439" customFormat="false" ht="15" hidden="false" customHeight="false" outlineLevel="0" collapsed="false">
      <c r="A439" s="41"/>
      <c r="B439" s="5" t="n">
        <f aca="false">IF(A439="",0,IFERROR(MATCH(A439,Bank!$A:$A,0),0))</f>
        <v>0</v>
      </c>
      <c r="C439" s="5" t="str">
        <f aca="false">IF(B439=0,"",IF(INDEX(Bank!$G:$G,B439)="","",INDEX(Bank!$G:$G,B439)))</f>
        <v/>
      </c>
      <c r="D439" s="5" t="str">
        <f aca="false">IF(B439=0,"",IF(INDEX(Bank!$J:$J,B439)="","",INDEX(Bank!$J:$J,B439)))</f>
        <v/>
      </c>
      <c r="E439" s="32" t="str">
        <f aca="false">IF(B439=0,"",INDEX(Bank!$B:$B,B439))</f>
        <v/>
      </c>
      <c r="F439" s="5" t="str">
        <f aca="false">IF(B439=0,"",IF(INDEX(Bank!$C:$C,B439)="","",INDEX(Bank!$C:$C,B439)))</f>
        <v/>
      </c>
      <c r="G439" s="19" t="str">
        <f aca="false">IF(B439=0,"",INDEX(Bank!$E:$E,B439))</f>
        <v/>
      </c>
      <c r="H439" s="5" t="str">
        <f aca="false">IF(B439=0,"",IF(INDEX(Bank!$H:$H,B439)="","",INDEX(Bank!$H:$H,B439)))</f>
        <v/>
      </c>
      <c r="I439" s="5" t="n">
        <f aca="false">IF(H439="",0,IFERROR(MATCH(H439,GL!$A:$A,0),0))</f>
        <v>0</v>
      </c>
      <c r="J439" s="32" t="str">
        <f aca="false">IF(I439=0,"",INDEX(GL!$B:$B,I439))</f>
        <v/>
      </c>
      <c r="K439" s="5" t="str">
        <f aca="false">IF(I439=0,"",IF(INDEX(GL!$C:$C,I439)="","",INDEX(GL!$C:$C,I439)))</f>
        <v/>
      </c>
      <c r="L439" s="19" t="str">
        <f aca="false">IF(I439=0,"",INDEX(GL!$E:$E,I439))</f>
        <v/>
      </c>
      <c r="M439" s="19" t="str">
        <f aca="false">IF(OR(B439=0,I439=0),"",ROUND(G439-L439,2))</f>
        <v/>
      </c>
      <c r="N439" s="5" t="str">
        <f aca="false">IF(A439="","",IF(B439=0,"NOT FOUND: bank ID",IF(I439=0,"NOT FOUND: GL ID",IF(INDEX(GL!$H:$H,I439)&lt;&gt;A439,"BROKEN: GL points elsewhere",IF(OR(INDEX(Bank!$F:$F,B439)&lt;&gt;"Y",INDEX(GL!$F:$F,I439)&lt;&gt;"Y"),"BROKEN: Status not Y","OK")))))</f>
        <v/>
      </c>
    </row>
    <row r="440" customFormat="false" ht="15" hidden="false" customHeight="false" outlineLevel="0" collapsed="false">
      <c r="A440" s="41"/>
      <c r="B440" s="5" t="n">
        <f aca="false">IF(A440="",0,IFERROR(MATCH(A440,Bank!$A:$A,0),0))</f>
        <v>0</v>
      </c>
      <c r="C440" s="5" t="str">
        <f aca="false">IF(B440=0,"",IF(INDEX(Bank!$G:$G,B440)="","",INDEX(Bank!$G:$G,B440)))</f>
        <v/>
      </c>
      <c r="D440" s="5" t="str">
        <f aca="false">IF(B440=0,"",IF(INDEX(Bank!$J:$J,B440)="","",INDEX(Bank!$J:$J,B440)))</f>
        <v/>
      </c>
      <c r="E440" s="32" t="str">
        <f aca="false">IF(B440=0,"",INDEX(Bank!$B:$B,B440))</f>
        <v/>
      </c>
      <c r="F440" s="5" t="str">
        <f aca="false">IF(B440=0,"",IF(INDEX(Bank!$C:$C,B440)="","",INDEX(Bank!$C:$C,B440)))</f>
        <v/>
      </c>
      <c r="G440" s="19" t="str">
        <f aca="false">IF(B440=0,"",INDEX(Bank!$E:$E,B440))</f>
        <v/>
      </c>
      <c r="H440" s="5" t="str">
        <f aca="false">IF(B440=0,"",IF(INDEX(Bank!$H:$H,B440)="","",INDEX(Bank!$H:$H,B440)))</f>
        <v/>
      </c>
      <c r="I440" s="5" t="n">
        <f aca="false">IF(H440="",0,IFERROR(MATCH(H440,GL!$A:$A,0),0))</f>
        <v>0</v>
      </c>
      <c r="J440" s="32" t="str">
        <f aca="false">IF(I440=0,"",INDEX(GL!$B:$B,I440))</f>
        <v/>
      </c>
      <c r="K440" s="5" t="str">
        <f aca="false">IF(I440=0,"",IF(INDEX(GL!$C:$C,I440)="","",INDEX(GL!$C:$C,I440)))</f>
        <v/>
      </c>
      <c r="L440" s="19" t="str">
        <f aca="false">IF(I440=0,"",INDEX(GL!$E:$E,I440))</f>
        <v/>
      </c>
      <c r="M440" s="19" t="str">
        <f aca="false">IF(OR(B440=0,I440=0),"",ROUND(G440-L440,2))</f>
        <v/>
      </c>
      <c r="N440" s="5" t="str">
        <f aca="false">IF(A440="","",IF(B440=0,"NOT FOUND: bank ID",IF(I440=0,"NOT FOUND: GL ID",IF(INDEX(GL!$H:$H,I440)&lt;&gt;A440,"BROKEN: GL points elsewhere",IF(OR(INDEX(Bank!$F:$F,B440)&lt;&gt;"Y",INDEX(GL!$F:$F,I440)&lt;&gt;"Y"),"BROKEN: Status not Y","OK")))))</f>
        <v/>
      </c>
    </row>
    <row r="441" customFormat="false" ht="15" hidden="false" customHeight="false" outlineLevel="0" collapsed="false">
      <c r="A441" s="41"/>
      <c r="B441" s="5" t="n">
        <f aca="false">IF(A441="",0,IFERROR(MATCH(A441,Bank!$A:$A,0),0))</f>
        <v>0</v>
      </c>
      <c r="C441" s="5" t="str">
        <f aca="false">IF(B441=0,"",IF(INDEX(Bank!$G:$G,B441)="","",INDEX(Bank!$G:$G,B441)))</f>
        <v/>
      </c>
      <c r="D441" s="5" t="str">
        <f aca="false">IF(B441=0,"",IF(INDEX(Bank!$J:$J,B441)="","",INDEX(Bank!$J:$J,B441)))</f>
        <v/>
      </c>
      <c r="E441" s="32" t="str">
        <f aca="false">IF(B441=0,"",INDEX(Bank!$B:$B,B441))</f>
        <v/>
      </c>
      <c r="F441" s="5" t="str">
        <f aca="false">IF(B441=0,"",IF(INDEX(Bank!$C:$C,B441)="","",INDEX(Bank!$C:$C,B441)))</f>
        <v/>
      </c>
      <c r="G441" s="19" t="str">
        <f aca="false">IF(B441=0,"",INDEX(Bank!$E:$E,B441))</f>
        <v/>
      </c>
      <c r="H441" s="5" t="str">
        <f aca="false">IF(B441=0,"",IF(INDEX(Bank!$H:$H,B441)="","",INDEX(Bank!$H:$H,B441)))</f>
        <v/>
      </c>
      <c r="I441" s="5" t="n">
        <f aca="false">IF(H441="",0,IFERROR(MATCH(H441,GL!$A:$A,0),0))</f>
        <v>0</v>
      </c>
      <c r="J441" s="32" t="str">
        <f aca="false">IF(I441=0,"",INDEX(GL!$B:$B,I441))</f>
        <v/>
      </c>
      <c r="K441" s="5" t="str">
        <f aca="false">IF(I441=0,"",IF(INDEX(GL!$C:$C,I441)="","",INDEX(GL!$C:$C,I441)))</f>
        <v/>
      </c>
      <c r="L441" s="19" t="str">
        <f aca="false">IF(I441=0,"",INDEX(GL!$E:$E,I441))</f>
        <v/>
      </c>
      <c r="M441" s="19" t="str">
        <f aca="false">IF(OR(B441=0,I441=0),"",ROUND(G441-L441,2))</f>
        <v/>
      </c>
      <c r="N441" s="5" t="str">
        <f aca="false">IF(A441="","",IF(B441=0,"NOT FOUND: bank ID",IF(I441=0,"NOT FOUND: GL ID",IF(INDEX(GL!$H:$H,I441)&lt;&gt;A441,"BROKEN: GL points elsewhere",IF(OR(INDEX(Bank!$F:$F,B441)&lt;&gt;"Y",INDEX(GL!$F:$F,I441)&lt;&gt;"Y"),"BROKEN: Status not Y","OK")))))</f>
        <v/>
      </c>
    </row>
    <row r="442" customFormat="false" ht="15" hidden="false" customHeight="false" outlineLevel="0" collapsed="false">
      <c r="A442" s="41"/>
      <c r="B442" s="5" t="n">
        <f aca="false">IF(A442="",0,IFERROR(MATCH(A442,Bank!$A:$A,0),0))</f>
        <v>0</v>
      </c>
      <c r="C442" s="5" t="str">
        <f aca="false">IF(B442=0,"",IF(INDEX(Bank!$G:$G,B442)="","",INDEX(Bank!$G:$G,B442)))</f>
        <v/>
      </c>
      <c r="D442" s="5" t="str">
        <f aca="false">IF(B442=0,"",IF(INDEX(Bank!$J:$J,B442)="","",INDEX(Bank!$J:$J,B442)))</f>
        <v/>
      </c>
      <c r="E442" s="32" t="str">
        <f aca="false">IF(B442=0,"",INDEX(Bank!$B:$B,B442))</f>
        <v/>
      </c>
      <c r="F442" s="5" t="str">
        <f aca="false">IF(B442=0,"",IF(INDEX(Bank!$C:$C,B442)="","",INDEX(Bank!$C:$C,B442)))</f>
        <v/>
      </c>
      <c r="G442" s="19" t="str">
        <f aca="false">IF(B442=0,"",INDEX(Bank!$E:$E,B442))</f>
        <v/>
      </c>
      <c r="H442" s="5" t="str">
        <f aca="false">IF(B442=0,"",IF(INDEX(Bank!$H:$H,B442)="","",INDEX(Bank!$H:$H,B442)))</f>
        <v/>
      </c>
      <c r="I442" s="5" t="n">
        <f aca="false">IF(H442="",0,IFERROR(MATCH(H442,GL!$A:$A,0),0))</f>
        <v>0</v>
      </c>
      <c r="J442" s="32" t="str">
        <f aca="false">IF(I442=0,"",INDEX(GL!$B:$B,I442))</f>
        <v/>
      </c>
      <c r="K442" s="5" t="str">
        <f aca="false">IF(I442=0,"",IF(INDEX(GL!$C:$C,I442)="","",INDEX(GL!$C:$C,I442)))</f>
        <v/>
      </c>
      <c r="L442" s="19" t="str">
        <f aca="false">IF(I442=0,"",INDEX(GL!$E:$E,I442))</f>
        <v/>
      </c>
      <c r="M442" s="19" t="str">
        <f aca="false">IF(OR(B442=0,I442=0),"",ROUND(G442-L442,2))</f>
        <v/>
      </c>
      <c r="N442" s="5" t="str">
        <f aca="false">IF(A442="","",IF(B442=0,"NOT FOUND: bank ID",IF(I442=0,"NOT FOUND: GL ID",IF(INDEX(GL!$H:$H,I442)&lt;&gt;A442,"BROKEN: GL points elsewhere",IF(OR(INDEX(Bank!$F:$F,B442)&lt;&gt;"Y",INDEX(GL!$F:$F,I442)&lt;&gt;"Y"),"BROKEN: Status not Y","OK")))))</f>
        <v/>
      </c>
    </row>
    <row r="443" customFormat="false" ht="15" hidden="false" customHeight="false" outlineLevel="0" collapsed="false">
      <c r="A443" s="41"/>
      <c r="B443" s="5" t="n">
        <f aca="false">IF(A443="",0,IFERROR(MATCH(A443,Bank!$A:$A,0),0))</f>
        <v>0</v>
      </c>
      <c r="C443" s="5" t="str">
        <f aca="false">IF(B443=0,"",IF(INDEX(Bank!$G:$G,B443)="","",INDEX(Bank!$G:$G,B443)))</f>
        <v/>
      </c>
      <c r="D443" s="5" t="str">
        <f aca="false">IF(B443=0,"",IF(INDEX(Bank!$J:$J,B443)="","",INDEX(Bank!$J:$J,B443)))</f>
        <v/>
      </c>
      <c r="E443" s="32" t="str">
        <f aca="false">IF(B443=0,"",INDEX(Bank!$B:$B,B443))</f>
        <v/>
      </c>
      <c r="F443" s="5" t="str">
        <f aca="false">IF(B443=0,"",IF(INDEX(Bank!$C:$C,B443)="","",INDEX(Bank!$C:$C,B443)))</f>
        <v/>
      </c>
      <c r="G443" s="19" t="str">
        <f aca="false">IF(B443=0,"",INDEX(Bank!$E:$E,B443))</f>
        <v/>
      </c>
      <c r="H443" s="5" t="str">
        <f aca="false">IF(B443=0,"",IF(INDEX(Bank!$H:$H,B443)="","",INDEX(Bank!$H:$H,B443)))</f>
        <v/>
      </c>
      <c r="I443" s="5" t="n">
        <f aca="false">IF(H443="",0,IFERROR(MATCH(H443,GL!$A:$A,0),0))</f>
        <v>0</v>
      </c>
      <c r="J443" s="32" t="str">
        <f aca="false">IF(I443=0,"",INDEX(GL!$B:$B,I443))</f>
        <v/>
      </c>
      <c r="K443" s="5" t="str">
        <f aca="false">IF(I443=0,"",IF(INDEX(GL!$C:$C,I443)="","",INDEX(GL!$C:$C,I443)))</f>
        <v/>
      </c>
      <c r="L443" s="19" t="str">
        <f aca="false">IF(I443=0,"",INDEX(GL!$E:$E,I443))</f>
        <v/>
      </c>
      <c r="M443" s="19" t="str">
        <f aca="false">IF(OR(B443=0,I443=0),"",ROUND(G443-L443,2))</f>
        <v/>
      </c>
      <c r="N443" s="5" t="str">
        <f aca="false">IF(A443="","",IF(B443=0,"NOT FOUND: bank ID",IF(I443=0,"NOT FOUND: GL ID",IF(INDEX(GL!$H:$H,I443)&lt;&gt;A443,"BROKEN: GL points elsewhere",IF(OR(INDEX(Bank!$F:$F,B443)&lt;&gt;"Y",INDEX(GL!$F:$F,I443)&lt;&gt;"Y"),"BROKEN: Status not Y","OK")))))</f>
        <v/>
      </c>
    </row>
    <row r="444" customFormat="false" ht="15" hidden="false" customHeight="false" outlineLevel="0" collapsed="false">
      <c r="A444" s="41"/>
      <c r="B444" s="5" t="n">
        <f aca="false">IF(A444="",0,IFERROR(MATCH(A444,Bank!$A:$A,0),0))</f>
        <v>0</v>
      </c>
      <c r="C444" s="5" t="str">
        <f aca="false">IF(B444=0,"",IF(INDEX(Bank!$G:$G,B444)="","",INDEX(Bank!$G:$G,B444)))</f>
        <v/>
      </c>
      <c r="D444" s="5" t="str">
        <f aca="false">IF(B444=0,"",IF(INDEX(Bank!$J:$J,B444)="","",INDEX(Bank!$J:$J,B444)))</f>
        <v/>
      </c>
      <c r="E444" s="32" t="str">
        <f aca="false">IF(B444=0,"",INDEX(Bank!$B:$B,B444))</f>
        <v/>
      </c>
      <c r="F444" s="5" t="str">
        <f aca="false">IF(B444=0,"",IF(INDEX(Bank!$C:$C,B444)="","",INDEX(Bank!$C:$C,B444)))</f>
        <v/>
      </c>
      <c r="G444" s="19" t="str">
        <f aca="false">IF(B444=0,"",INDEX(Bank!$E:$E,B444))</f>
        <v/>
      </c>
      <c r="H444" s="5" t="str">
        <f aca="false">IF(B444=0,"",IF(INDEX(Bank!$H:$H,B444)="","",INDEX(Bank!$H:$H,B444)))</f>
        <v/>
      </c>
      <c r="I444" s="5" t="n">
        <f aca="false">IF(H444="",0,IFERROR(MATCH(H444,GL!$A:$A,0),0))</f>
        <v>0</v>
      </c>
      <c r="J444" s="32" t="str">
        <f aca="false">IF(I444=0,"",INDEX(GL!$B:$B,I444))</f>
        <v/>
      </c>
      <c r="K444" s="5" t="str">
        <f aca="false">IF(I444=0,"",IF(INDEX(GL!$C:$C,I444)="","",INDEX(GL!$C:$C,I444)))</f>
        <v/>
      </c>
      <c r="L444" s="19" t="str">
        <f aca="false">IF(I444=0,"",INDEX(GL!$E:$E,I444))</f>
        <v/>
      </c>
      <c r="M444" s="19" t="str">
        <f aca="false">IF(OR(B444=0,I444=0),"",ROUND(G444-L444,2))</f>
        <v/>
      </c>
      <c r="N444" s="5" t="str">
        <f aca="false">IF(A444="","",IF(B444=0,"NOT FOUND: bank ID",IF(I444=0,"NOT FOUND: GL ID",IF(INDEX(GL!$H:$H,I444)&lt;&gt;A444,"BROKEN: GL points elsewhere",IF(OR(INDEX(Bank!$F:$F,B444)&lt;&gt;"Y",INDEX(GL!$F:$F,I444)&lt;&gt;"Y"),"BROKEN: Status not Y","OK")))))</f>
        <v/>
      </c>
    </row>
    <row r="445" customFormat="false" ht="15" hidden="false" customHeight="false" outlineLevel="0" collapsed="false">
      <c r="A445" s="41"/>
      <c r="B445" s="5" t="n">
        <f aca="false">IF(A445="",0,IFERROR(MATCH(A445,Bank!$A:$A,0),0))</f>
        <v>0</v>
      </c>
      <c r="C445" s="5" t="str">
        <f aca="false">IF(B445=0,"",IF(INDEX(Bank!$G:$G,B445)="","",INDEX(Bank!$G:$G,B445)))</f>
        <v/>
      </c>
      <c r="D445" s="5" t="str">
        <f aca="false">IF(B445=0,"",IF(INDEX(Bank!$J:$J,B445)="","",INDEX(Bank!$J:$J,B445)))</f>
        <v/>
      </c>
      <c r="E445" s="32" t="str">
        <f aca="false">IF(B445=0,"",INDEX(Bank!$B:$B,B445))</f>
        <v/>
      </c>
      <c r="F445" s="5" t="str">
        <f aca="false">IF(B445=0,"",IF(INDEX(Bank!$C:$C,B445)="","",INDEX(Bank!$C:$C,B445)))</f>
        <v/>
      </c>
      <c r="G445" s="19" t="str">
        <f aca="false">IF(B445=0,"",INDEX(Bank!$E:$E,B445))</f>
        <v/>
      </c>
      <c r="H445" s="5" t="str">
        <f aca="false">IF(B445=0,"",IF(INDEX(Bank!$H:$H,B445)="","",INDEX(Bank!$H:$H,B445)))</f>
        <v/>
      </c>
      <c r="I445" s="5" t="n">
        <f aca="false">IF(H445="",0,IFERROR(MATCH(H445,GL!$A:$A,0),0))</f>
        <v>0</v>
      </c>
      <c r="J445" s="32" t="str">
        <f aca="false">IF(I445=0,"",INDEX(GL!$B:$B,I445))</f>
        <v/>
      </c>
      <c r="K445" s="5" t="str">
        <f aca="false">IF(I445=0,"",IF(INDEX(GL!$C:$C,I445)="","",INDEX(GL!$C:$C,I445)))</f>
        <v/>
      </c>
      <c r="L445" s="19" t="str">
        <f aca="false">IF(I445=0,"",INDEX(GL!$E:$E,I445))</f>
        <v/>
      </c>
      <c r="M445" s="19" t="str">
        <f aca="false">IF(OR(B445=0,I445=0),"",ROUND(G445-L445,2))</f>
        <v/>
      </c>
      <c r="N445" s="5" t="str">
        <f aca="false">IF(A445="","",IF(B445=0,"NOT FOUND: bank ID",IF(I445=0,"NOT FOUND: GL ID",IF(INDEX(GL!$H:$H,I445)&lt;&gt;A445,"BROKEN: GL points elsewhere",IF(OR(INDEX(Bank!$F:$F,B445)&lt;&gt;"Y",INDEX(GL!$F:$F,I445)&lt;&gt;"Y"),"BROKEN: Status not Y","OK")))))</f>
        <v/>
      </c>
    </row>
    <row r="446" customFormat="false" ht="15" hidden="false" customHeight="false" outlineLevel="0" collapsed="false">
      <c r="A446" s="41"/>
      <c r="B446" s="5" t="n">
        <f aca="false">IF(A446="",0,IFERROR(MATCH(A446,Bank!$A:$A,0),0))</f>
        <v>0</v>
      </c>
      <c r="C446" s="5" t="str">
        <f aca="false">IF(B446=0,"",IF(INDEX(Bank!$G:$G,B446)="","",INDEX(Bank!$G:$G,B446)))</f>
        <v/>
      </c>
      <c r="D446" s="5" t="str">
        <f aca="false">IF(B446=0,"",IF(INDEX(Bank!$J:$J,B446)="","",INDEX(Bank!$J:$J,B446)))</f>
        <v/>
      </c>
      <c r="E446" s="32" t="str">
        <f aca="false">IF(B446=0,"",INDEX(Bank!$B:$B,B446))</f>
        <v/>
      </c>
      <c r="F446" s="5" t="str">
        <f aca="false">IF(B446=0,"",IF(INDEX(Bank!$C:$C,B446)="","",INDEX(Bank!$C:$C,B446)))</f>
        <v/>
      </c>
      <c r="G446" s="19" t="str">
        <f aca="false">IF(B446=0,"",INDEX(Bank!$E:$E,B446))</f>
        <v/>
      </c>
      <c r="H446" s="5" t="str">
        <f aca="false">IF(B446=0,"",IF(INDEX(Bank!$H:$H,B446)="","",INDEX(Bank!$H:$H,B446)))</f>
        <v/>
      </c>
      <c r="I446" s="5" t="n">
        <f aca="false">IF(H446="",0,IFERROR(MATCH(H446,GL!$A:$A,0),0))</f>
        <v>0</v>
      </c>
      <c r="J446" s="32" t="str">
        <f aca="false">IF(I446=0,"",INDEX(GL!$B:$B,I446))</f>
        <v/>
      </c>
      <c r="K446" s="5" t="str">
        <f aca="false">IF(I446=0,"",IF(INDEX(GL!$C:$C,I446)="","",INDEX(GL!$C:$C,I446)))</f>
        <v/>
      </c>
      <c r="L446" s="19" t="str">
        <f aca="false">IF(I446=0,"",INDEX(GL!$E:$E,I446))</f>
        <v/>
      </c>
      <c r="M446" s="19" t="str">
        <f aca="false">IF(OR(B446=0,I446=0),"",ROUND(G446-L446,2))</f>
        <v/>
      </c>
      <c r="N446" s="5" t="str">
        <f aca="false">IF(A446="","",IF(B446=0,"NOT FOUND: bank ID",IF(I446=0,"NOT FOUND: GL ID",IF(INDEX(GL!$H:$H,I446)&lt;&gt;A446,"BROKEN: GL points elsewhere",IF(OR(INDEX(Bank!$F:$F,B446)&lt;&gt;"Y",INDEX(GL!$F:$F,I446)&lt;&gt;"Y"),"BROKEN: Status not Y","OK")))))</f>
        <v/>
      </c>
    </row>
    <row r="447" customFormat="false" ht="15" hidden="false" customHeight="false" outlineLevel="0" collapsed="false">
      <c r="A447" s="41"/>
      <c r="B447" s="5" t="n">
        <f aca="false">IF(A447="",0,IFERROR(MATCH(A447,Bank!$A:$A,0),0))</f>
        <v>0</v>
      </c>
      <c r="C447" s="5" t="str">
        <f aca="false">IF(B447=0,"",IF(INDEX(Bank!$G:$G,B447)="","",INDEX(Bank!$G:$G,B447)))</f>
        <v/>
      </c>
      <c r="D447" s="5" t="str">
        <f aca="false">IF(B447=0,"",IF(INDEX(Bank!$J:$J,B447)="","",INDEX(Bank!$J:$J,B447)))</f>
        <v/>
      </c>
      <c r="E447" s="32" t="str">
        <f aca="false">IF(B447=0,"",INDEX(Bank!$B:$B,B447))</f>
        <v/>
      </c>
      <c r="F447" s="5" t="str">
        <f aca="false">IF(B447=0,"",IF(INDEX(Bank!$C:$C,B447)="","",INDEX(Bank!$C:$C,B447)))</f>
        <v/>
      </c>
      <c r="G447" s="19" t="str">
        <f aca="false">IF(B447=0,"",INDEX(Bank!$E:$E,B447))</f>
        <v/>
      </c>
      <c r="H447" s="5" t="str">
        <f aca="false">IF(B447=0,"",IF(INDEX(Bank!$H:$H,B447)="","",INDEX(Bank!$H:$H,B447)))</f>
        <v/>
      </c>
      <c r="I447" s="5" t="n">
        <f aca="false">IF(H447="",0,IFERROR(MATCH(H447,GL!$A:$A,0),0))</f>
        <v>0</v>
      </c>
      <c r="J447" s="32" t="str">
        <f aca="false">IF(I447=0,"",INDEX(GL!$B:$B,I447))</f>
        <v/>
      </c>
      <c r="K447" s="5" t="str">
        <f aca="false">IF(I447=0,"",IF(INDEX(GL!$C:$C,I447)="","",INDEX(GL!$C:$C,I447)))</f>
        <v/>
      </c>
      <c r="L447" s="19" t="str">
        <f aca="false">IF(I447=0,"",INDEX(GL!$E:$E,I447))</f>
        <v/>
      </c>
      <c r="M447" s="19" t="str">
        <f aca="false">IF(OR(B447=0,I447=0),"",ROUND(G447-L447,2))</f>
        <v/>
      </c>
      <c r="N447" s="5" t="str">
        <f aca="false">IF(A447="","",IF(B447=0,"NOT FOUND: bank ID",IF(I447=0,"NOT FOUND: GL ID",IF(INDEX(GL!$H:$H,I447)&lt;&gt;A447,"BROKEN: GL points elsewhere",IF(OR(INDEX(Bank!$F:$F,B447)&lt;&gt;"Y",INDEX(GL!$F:$F,I447)&lt;&gt;"Y"),"BROKEN: Status not Y","OK")))))</f>
        <v/>
      </c>
    </row>
    <row r="448" customFormat="false" ht="15" hidden="false" customHeight="false" outlineLevel="0" collapsed="false">
      <c r="A448" s="41"/>
      <c r="B448" s="5" t="n">
        <f aca="false">IF(A448="",0,IFERROR(MATCH(A448,Bank!$A:$A,0),0))</f>
        <v>0</v>
      </c>
      <c r="C448" s="5" t="str">
        <f aca="false">IF(B448=0,"",IF(INDEX(Bank!$G:$G,B448)="","",INDEX(Bank!$G:$G,B448)))</f>
        <v/>
      </c>
      <c r="D448" s="5" t="str">
        <f aca="false">IF(B448=0,"",IF(INDEX(Bank!$J:$J,B448)="","",INDEX(Bank!$J:$J,B448)))</f>
        <v/>
      </c>
      <c r="E448" s="32" t="str">
        <f aca="false">IF(B448=0,"",INDEX(Bank!$B:$B,B448))</f>
        <v/>
      </c>
      <c r="F448" s="5" t="str">
        <f aca="false">IF(B448=0,"",IF(INDEX(Bank!$C:$C,B448)="","",INDEX(Bank!$C:$C,B448)))</f>
        <v/>
      </c>
      <c r="G448" s="19" t="str">
        <f aca="false">IF(B448=0,"",INDEX(Bank!$E:$E,B448))</f>
        <v/>
      </c>
      <c r="H448" s="5" t="str">
        <f aca="false">IF(B448=0,"",IF(INDEX(Bank!$H:$H,B448)="","",INDEX(Bank!$H:$H,B448)))</f>
        <v/>
      </c>
      <c r="I448" s="5" t="n">
        <f aca="false">IF(H448="",0,IFERROR(MATCH(H448,GL!$A:$A,0),0))</f>
        <v>0</v>
      </c>
      <c r="J448" s="32" t="str">
        <f aca="false">IF(I448=0,"",INDEX(GL!$B:$B,I448))</f>
        <v/>
      </c>
      <c r="K448" s="5" t="str">
        <f aca="false">IF(I448=0,"",IF(INDEX(GL!$C:$C,I448)="","",INDEX(GL!$C:$C,I448)))</f>
        <v/>
      </c>
      <c r="L448" s="19" t="str">
        <f aca="false">IF(I448=0,"",INDEX(GL!$E:$E,I448))</f>
        <v/>
      </c>
      <c r="M448" s="19" t="str">
        <f aca="false">IF(OR(B448=0,I448=0),"",ROUND(G448-L448,2))</f>
        <v/>
      </c>
      <c r="N448" s="5" t="str">
        <f aca="false">IF(A448="","",IF(B448=0,"NOT FOUND: bank ID",IF(I448=0,"NOT FOUND: GL ID",IF(INDEX(GL!$H:$H,I448)&lt;&gt;A448,"BROKEN: GL points elsewhere",IF(OR(INDEX(Bank!$F:$F,B448)&lt;&gt;"Y",INDEX(GL!$F:$F,I448)&lt;&gt;"Y"),"BROKEN: Status not Y","OK")))))</f>
        <v/>
      </c>
    </row>
    <row r="449" customFormat="false" ht="15" hidden="false" customHeight="false" outlineLevel="0" collapsed="false">
      <c r="A449" s="41"/>
      <c r="B449" s="5" t="n">
        <f aca="false">IF(A449="",0,IFERROR(MATCH(A449,Bank!$A:$A,0),0))</f>
        <v>0</v>
      </c>
      <c r="C449" s="5" t="str">
        <f aca="false">IF(B449=0,"",IF(INDEX(Bank!$G:$G,B449)="","",INDEX(Bank!$G:$G,B449)))</f>
        <v/>
      </c>
      <c r="D449" s="5" t="str">
        <f aca="false">IF(B449=0,"",IF(INDEX(Bank!$J:$J,B449)="","",INDEX(Bank!$J:$J,B449)))</f>
        <v/>
      </c>
      <c r="E449" s="32" t="str">
        <f aca="false">IF(B449=0,"",INDEX(Bank!$B:$B,B449))</f>
        <v/>
      </c>
      <c r="F449" s="5" t="str">
        <f aca="false">IF(B449=0,"",IF(INDEX(Bank!$C:$C,B449)="","",INDEX(Bank!$C:$C,B449)))</f>
        <v/>
      </c>
      <c r="G449" s="19" t="str">
        <f aca="false">IF(B449=0,"",INDEX(Bank!$E:$E,B449))</f>
        <v/>
      </c>
      <c r="H449" s="5" t="str">
        <f aca="false">IF(B449=0,"",IF(INDEX(Bank!$H:$H,B449)="","",INDEX(Bank!$H:$H,B449)))</f>
        <v/>
      </c>
      <c r="I449" s="5" t="n">
        <f aca="false">IF(H449="",0,IFERROR(MATCH(H449,GL!$A:$A,0),0))</f>
        <v>0</v>
      </c>
      <c r="J449" s="32" t="str">
        <f aca="false">IF(I449=0,"",INDEX(GL!$B:$B,I449))</f>
        <v/>
      </c>
      <c r="K449" s="5" t="str">
        <f aca="false">IF(I449=0,"",IF(INDEX(GL!$C:$C,I449)="","",INDEX(GL!$C:$C,I449)))</f>
        <v/>
      </c>
      <c r="L449" s="19" t="str">
        <f aca="false">IF(I449=0,"",INDEX(GL!$E:$E,I449))</f>
        <v/>
      </c>
      <c r="M449" s="19" t="str">
        <f aca="false">IF(OR(B449=0,I449=0),"",ROUND(G449-L449,2))</f>
        <v/>
      </c>
      <c r="N449" s="5" t="str">
        <f aca="false">IF(A449="","",IF(B449=0,"NOT FOUND: bank ID",IF(I449=0,"NOT FOUND: GL ID",IF(INDEX(GL!$H:$H,I449)&lt;&gt;A449,"BROKEN: GL points elsewhere",IF(OR(INDEX(Bank!$F:$F,B449)&lt;&gt;"Y",INDEX(GL!$F:$F,I449)&lt;&gt;"Y"),"BROKEN: Status not Y","OK")))))</f>
        <v/>
      </c>
    </row>
    <row r="450" customFormat="false" ht="15" hidden="false" customHeight="false" outlineLevel="0" collapsed="false">
      <c r="A450" s="41"/>
      <c r="B450" s="5" t="n">
        <f aca="false">IF(A450="",0,IFERROR(MATCH(A450,Bank!$A:$A,0),0))</f>
        <v>0</v>
      </c>
      <c r="C450" s="5" t="str">
        <f aca="false">IF(B450=0,"",IF(INDEX(Bank!$G:$G,B450)="","",INDEX(Bank!$G:$G,B450)))</f>
        <v/>
      </c>
      <c r="D450" s="5" t="str">
        <f aca="false">IF(B450=0,"",IF(INDEX(Bank!$J:$J,B450)="","",INDEX(Bank!$J:$J,B450)))</f>
        <v/>
      </c>
      <c r="E450" s="32" t="str">
        <f aca="false">IF(B450=0,"",INDEX(Bank!$B:$B,B450))</f>
        <v/>
      </c>
      <c r="F450" s="5" t="str">
        <f aca="false">IF(B450=0,"",IF(INDEX(Bank!$C:$C,B450)="","",INDEX(Bank!$C:$C,B450)))</f>
        <v/>
      </c>
      <c r="G450" s="19" t="str">
        <f aca="false">IF(B450=0,"",INDEX(Bank!$E:$E,B450))</f>
        <v/>
      </c>
      <c r="H450" s="5" t="str">
        <f aca="false">IF(B450=0,"",IF(INDEX(Bank!$H:$H,B450)="","",INDEX(Bank!$H:$H,B450)))</f>
        <v/>
      </c>
      <c r="I450" s="5" t="n">
        <f aca="false">IF(H450="",0,IFERROR(MATCH(H450,GL!$A:$A,0),0))</f>
        <v>0</v>
      </c>
      <c r="J450" s="32" t="str">
        <f aca="false">IF(I450=0,"",INDEX(GL!$B:$B,I450))</f>
        <v/>
      </c>
      <c r="K450" s="5" t="str">
        <f aca="false">IF(I450=0,"",IF(INDEX(GL!$C:$C,I450)="","",INDEX(GL!$C:$C,I450)))</f>
        <v/>
      </c>
      <c r="L450" s="19" t="str">
        <f aca="false">IF(I450=0,"",INDEX(GL!$E:$E,I450))</f>
        <v/>
      </c>
      <c r="M450" s="19" t="str">
        <f aca="false">IF(OR(B450=0,I450=0),"",ROUND(G450-L450,2))</f>
        <v/>
      </c>
      <c r="N450" s="5" t="str">
        <f aca="false">IF(A450="","",IF(B450=0,"NOT FOUND: bank ID",IF(I450=0,"NOT FOUND: GL ID",IF(INDEX(GL!$H:$H,I450)&lt;&gt;A450,"BROKEN: GL points elsewhere",IF(OR(INDEX(Bank!$F:$F,B450)&lt;&gt;"Y",INDEX(GL!$F:$F,I450)&lt;&gt;"Y"),"BROKEN: Status not Y","OK")))))</f>
        <v/>
      </c>
    </row>
    <row r="451" customFormat="false" ht="15" hidden="false" customHeight="false" outlineLevel="0" collapsed="false">
      <c r="A451" s="41"/>
      <c r="B451" s="5" t="n">
        <f aca="false">IF(A451="",0,IFERROR(MATCH(A451,Bank!$A:$A,0),0))</f>
        <v>0</v>
      </c>
      <c r="C451" s="5" t="str">
        <f aca="false">IF(B451=0,"",IF(INDEX(Bank!$G:$G,B451)="","",INDEX(Bank!$G:$G,B451)))</f>
        <v/>
      </c>
      <c r="D451" s="5" t="str">
        <f aca="false">IF(B451=0,"",IF(INDEX(Bank!$J:$J,B451)="","",INDEX(Bank!$J:$J,B451)))</f>
        <v/>
      </c>
      <c r="E451" s="32" t="str">
        <f aca="false">IF(B451=0,"",INDEX(Bank!$B:$B,B451))</f>
        <v/>
      </c>
      <c r="F451" s="5" t="str">
        <f aca="false">IF(B451=0,"",IF(INDEX(Bank!$C:$C,B451)="","",INDEX(Bank!$C:$C,B451)))</f>
        <v/>
      </c>
      <c r="G451" s="19" t="str">
        <f aca="false">IF(B451=0,"",INDEX(Bank!$E:$E,B451))</f>
        <v/>
      </c>
      <c r="H451" s="5" t="str">
        <f aca="false">IF(B451=0,"",IF(INDEX(Bank!$H:$H,B451)="","",INDEX(Bank!$H:$H,B451)))</f>
        <v/>
      </c>
      <c r="I451" s="5" t="n">
        <f aca="false">IF(H451="",0,IFERROR(MATCH(H451,GL!$A:$A,0),0))</f>
        <v>0</v>
      </c>
      <c r="J451" s="32" t="str">
        <f aca="false">IF(I451=0,"",INDEX(GL!$B:$B,I451))</f>
        <v/>
      </c>
      <c r="K451" s="5" t="str">
        <f aca="false">IF(I451=0,"",IF(INDEX(GL!$C:$C,I451)="","",INDEX(GL!$C:$C,I451)))</f>
        <v/>
      </c>
      <c r="L451" s="19" t="str">
        <f aca="false">IF(I451=0,"",INDEX(GL!$E:$E,I451))</f>
        <v/>
      </c>
      <c r="M451" s="19" t="str">
        <f aca="false">IF(OR(B451=0,I451=0),"",ROUND(G451-L451,2))</f>
        <v/>
      </c>
      <c r="N451" s="5" t="str">
        <f aca="false">IF(A451="","",IF(B451=0,"NOT FOUND: bank ID",IF(I451=0,"NOT FOUND: GL ID",IF(INDEX(GL!$H:$H,I451)&lt;&gt;A451,"BROKEN: GL points elsewhere",IF(OR(INDEX(Bank!$F:$F,B451)&lt;&gt;"Y",INDEX(GL!$F:$F,I451)&lt;&gt;"Y"),"BROKEN: Status not Y","OK")))))</f>
        <v/>
      </c>
    </row>
    <row r="452" customFormat="false" ht="15" hidden="false" customHeight="false" outlineLevel="0" collapsed="false">
      <c r="A452" s="41"/>
      <c r="B452" s="5" t="n">
        <f aca="false">IF(A452="",0,IFERROR(MATCH(A452,Bank!$A:$A,0),0))</f>
        <v>0</v>
      </c>
      <c r="C452" s="5" t="str">
        <f aca="false">IF(B452=0,"",IF(INDEX(Bank!$G:$G,B452)="","",INDEX(Bank!$G:$G,B452)))</f>
        <v/>
      </c>
      <c r="D452" s="5" t="str">
        <f aca="false">IF(B452=0,"",IF(INDEX(Bank!$J:$J,B452)="","",INDEX(Bank!$J:$J,B452)))</f>
        <v/>
      </c>
      <c r="E452" s="32" t="str">
        <f aca="false">IF(B452=0,"",INDEX(Bank!$B:$B,B452))</f>
        <v/>
      </c>
      <c r="F452" s="5" t="str">
        <f aca="false">IF(B452=0,"",IF(INDEX(Bank!$C:$C,B452)="","",INDEX(Bank!$C:$C,B452)))</f>
        <v/>
      </c>
      <c r="G452" s="19" t="str">
        <f aca="false">IF(B452=0,"",INDEX(Bank!$E:$E,B452))</f>
        <v/>
      </c>
      <c r="H452" s="5" t="str">
        <f aca="false">IF(B452=0,"",IF(INDEX(Bank!$H:$H,B452)="","",INDEX(Bank!$H:$H,B452)))</f>
        <v/>
      </c>
      <c r="I452" s="5" t="n">
        <f aca="false">IF(H452="",0,IFERROR(MATCH(H452,GL!$A:$A,0),0))</f>
        <v>0</v>
      </c>
      <c r="J452" s="32" t="str">
        <f aca="false">IF(I452=0,"",INDEX(GL!$B:$B,I452))</f>
        <v/>
      </c>
      <c r="K452" s="5" t="str">
        <f aca="false">IF(I452=0,"",IF(INDEX(GL!$C:$C,I452)="","",INDEX(GL!$C:$C,I452)))</f>
        <v/>
      </c>
      <c r="L452" s="19" t="str">
        <f aca="false">IF(I452=0,"",INDEX(GL!$E:$E,I452))</f>
        <v/>
      </c>
      <c r="M452" s="19" t="str">
        <f aca="false">IF(OR(B452=0,I452=0),"",ROUND(G452-L452,2))</f>
        <v/>
      </c>
      <c r="N452" s="5" t="str">
        <f aca="false">IF(A452="","",IF(B452=0,"NOT FOUND: bank ID",IF(I452=0,"NOT FOUND: GL ID",IF(INDEX(GL!$H:$H,I452)&lt;&gt;A452,"BROKEN: GL points elsewhere",IF(OR(INDEX(Bank!$F:$F,B452)&lt;&gt;"Y",INDEX(GL!$F:$F,I452)&lt;&gt;"Y"),"BROKEN: Status not Y","OK")))))</f>
        <v/>
      </c>
    </row>
    <row r="453" customFormat="false" ht="15" hidden="false" customHeight="false" outlineLevel="0" collapsed="false">
      <c r="A453" s="41"/>
      <c r="B453" s="5" t="n">
        <f aca="false">IF(A453="",0,IFERROR(MATCH(A453,Bank!$A:$A,0),0))</f>
        <v>0</v>
      </c>
      <c r="C453" s="5" t="str">
        <f aca="false">IF(B453=0,"",IF(INDEX(Bank!$G:$G,B453)="","",INDEX(Bank!$G:$G,B453)))</f>
        <v/>
      </c>
      <c r="D453" s="5" t="str">
        <f aca="false">IF(B453=0,"",IF(INDEX(Bank!$J:$J,B453)="","",INDEX(Bank!$J:$J,B453)))</f>
        <v/>
      </c>
      <c r="E453" s="32" t="str">
        <f aca="false">IF(B453=0,"",INDEX(Bank!$B:$B,B453))</f>
        <v/>
      </c>
      <c r="F453" s="5" t="str">
        <f aca="false">IF(B453=0,"",IF(INDEX(Bank!$C:$C,B453)="","",INDEX(Bank!$C:$C,B453)))</f>
        <v/>
      </c>
      <c r="G453" s="19" t="str">
        <f aca="false">IF(B453=0,"",INDEX(Bank!$E:$E,B453))</f>
        <v/>
      </c>
      <c r="H453" s="5" t="str">
        <f aca="false">IF(B453=0,"",IF(INDEX(Bank!$H:$H,B453)="","",INDEX(Bank!$H:$H,B453)))</f>
        <v/>
      </c>
      <c r="I453" s="5" t="n">
        <f aca="false">IF(H453="",0,IFERROR(MATCH(H453,GL!$A:$A,0),0))</f>
        <v>0</v>
      </c>
      <c r="J453" s="32" t="str">
        <f aca="false">IF(I453=0,"",INDEX(GL!$B:$B,I453))</f>
        <v/>
      </c>
      <c r="K453" s="5" t="str">
        <f aca="false">IF(I453=0,"",IF(INDEX(GL!$C:$C,I453)="","",INDEX(GL!$C:$C,I453)))</f>
        <v/>
      </c>
      <c r="L453" s="19" t="str">
        <f aca="false">IF(I453=0,"",INDEX(GL!$E:$E,I453))</f>
        <v/>
      </c>
      <c r="M453" s="19" t="str">
        <f aca="false">IF(OR(B453=0,I453=0),"",ROUND(G453-L453,2))</f>
        <v/>
      </c>
      <c r="N453" s="5" t="str">
        <f aca="false">IF(A453="","",IF(B453=0,"NOT FOUND: bank ID",IF(I453=0,"NOT FOUND: GL ID",IF(INDEX(GL!$H:$H,I453)&lt;&gt;A453,"BROKEN: GL points elsewhere",IF(OR(INDEX(Bank!$F:$F,B453)&lt;&gt;"Y",INDEX(GL!$F:$F,I453)&lt;&gt;"Y"),"BROKEN: Status not Y","OK")))))</f>
        <v/>
      </c>
    </row>
    <row r="454" customFormat="false" ht="15" hidden="false" customHeight="false" outlineLevel="0" collapsed="false">
      <c r="A454" s="41"/>
      <c r="B454" s="5" t="n">
        <f aca="false">IF(A454="",0,IFERROR(MATCH(A454,Bank!$A:$A,0),0))</f>
        <v>0</v>
      </c>
      <c r="C454" s="5" t="str">
        <f aca="false">IF(B454=0,"",IF(INDEX(Bank!$G:$G,B454)="","",INDEX(Bank!$G:$G,B454)))</f>
        <v/>
      </c>
      <c r="D454" s="5" t="str">
        <f aca="false">IF(B454=0,"",IF(INDEX(Bank!$J:$J,B454)="","",INDEX(Bank!$J:$J,B454)))</f>
        <v/>
      </c>
      <c r="E454" s="32" t="str">
        <f aca="false">IF(B454=0,"",INDEX(Bank!$B:$B,B454))</f>
        <v/>
      </c>
      <c r="F454" s="5" t="str">
        <f aca="false">IF(B454=0,"",IF(INDEX(Bank!$C:$C,B454)="","",INDEX(Bank!$C:$C,B454)))</f>
        <v/>
      </c>
      <c r="G454" s="19" t="str">
        <f aca="false">IF(B454=0,"",INDEX(Bank!$E:$E,B454))</f>
        <v/>
      </c>
      <c r="H454" s="5" t="str">
        <f aca="false">IF(B454=0,"",IF(INDEX(Bank!$H:$H,B454)="","",INDEX(Bank!$H:$H,B454)))</f>
        <v/>
      </c>
      <c r="I454" s="5" t="n">
        <f aca="false">IF(H454="",0,IFERROR(MATCH(H454,GL!$A:$A,0),0))</f>
        <v>0</v>
      </c>
      <c r="J454" s="32" t="str">
        <f aca="false">IF(I454=0,"",INDEX(GL!$B:$B,I454))</f>
        <v/>
      </c>
      <c r="K454" s="5" t="str">
        <f aca="false">IF(I454=0,"",IF(INDEX(GL!$C:$C,I454)="","",INDEX(GL!$C:$C,I454)))</f>
        <v/>
      </c>
      <c r="L454" s="19" t="str">
        <f aca="false">IF(I454=0,"",INDEX(GL!$E:$E,I454))</f>
        <v/>
      </c>
      <c r="M454" s="19" t="str">
        <f aca="false">IF(OR(B454=0,I454=0),"",ROUND(G454-L454,2))</f>
        <v/>
      </c>
      <c r="N454" s="5" t="str">
        <f aca="false">IF(A454="","",IF(B454=0,"NOT FOUND: bank ID",IF(I454=0,"NOT FOUND: GL ID",IF(INDEX(GL!$H:$H,I454)&lt;&gt;A454,"BROKEN: GL points elsewhere",IF(OR(INDEX(Bank!$F:$F,B454)&lt;&gt;"Y",INDEX(GL!$F:$F,I454)&lt;&gt;"Y"),"BROKEN: Status not Y","OK")))))</f>
        <v/>
      </c>
    </row>
    <row r="455" customFormat="false" ht="15" hidden="false" customHeight="false" outlineLevel="0" collapsed="false">
      <c r="A455" s="41"/>
      <c r="B455" s="5" t="n">
        <f aca="false">IF(A455="",0,IFERROR(MATCH(A455,Bank!$A:$A,0),0))</f>
        <v>0</v>
      </c>
      <c r="C455" s="5" t="str">
        <f aca="false">IF(B455=0,"",IF(INDEX(Bank!$G:$G,B455)="","",INDEX(Bank!$G:$G,B455)))</f>
        <v/>
      </c>
      <c r="D455" s="5" t="str">
        <f aca="false">IF(B455=0,"",IF(INDEX(Bank!$J:$J,B455)="","",INDEX(Bank!$J:$J,B455)))</f>
        <v/>
      </c>
      <c r="E455" s="32" t="str">
        <f aca="false">IF(B455=0,"",INDEX(Bank!$B:$B,B455))</f>
        <v/>
      </c>
      <c r="F455" s="5" t="str">
        <f aca="false">IF(B455=0,"",IF(INDEX(Bank!$C:$C,B455)="","",INDEX(Bank!$C:$C,B455)))</f>
        <v/>
      </c>
      <c r="G455" s="19" t="str">
        <f aca="false">IF(B455=0,"",INDEX(Bank!$E:$E,B455))</f>
        <v/>
      </c>
      <c r="H455" s="5" t="str">
        <f aca="false">IF(B455=0,"",IF(INDEX(Bank!$H:$H,B455)="","",INDEX(Bank!$H:$H,B455)))</f>
        <v/>
      </c>
      <c r="I455" s="5" t="n">
        <f aca="false">IF(H455="",0,IFERROR(MATCH(H455,GL!$A:$A,0),0))</f>
        <v>0</v>
      </c>
      <c r="J455" s="32" t="str">
        <f aca="false">IF(I455=0,"",INDEX(GL!$B:$B,I455))</f>
        <v/>
      </c>
      <c r="K455" s="5" t="str">
        <f aca="false">IF(I455=0,"",IF(INDEX(GL!$C:$C,I455)="","",INDEX(GL!$C:$C,I455)))</f>
        <v/>
      </c>
      <c r="L455" s="19" t="str">
        <f aca="false">IF(I455=0,"",INDEX(GL!$E:$E,I455))</f>
        <v/>
      </c>
      <c r="M455" s="19" t="str">
        <f aca="false">IF(OR(B455=0,I455=0),"",ROUND(G455-L455,2))</f>
        <v/>
      </c>
      <c r="N455" s="5" t="str">
        <f aca="false">IF(A455="","",IF(B455=0,"NOT FOUND: bank ID",IF(I455=0,"NOT FOUND: GL ID",IF(INDEX(GL!$H:$H,I455)&lt;&gt;A455,"BROKEN: GL points elsewhere",IF(OR(INDEX(Bank!$F:$F,B455)&lt;&gt;"Y",INDEX(GL!$F:$F,I455)&lt;&gt;"Y"),"BROKEN: Status not Y","OK")))))</f>
        <v/>
      </c>
    </row>
    <row r="456" customFormat="false" ht="15" hidden="false" customHeight="false" outlineLevel="0" collapsed="false">
      <c r="A456" s="41"/>
      <c r="B456" s="5" t="n">
        <f aca="false">IF(A456="",0,IFERROR(MATCH(A456,Bank!$A:$A,0),0))</f>
        <v>0</v>
      </c>
      <c r="C456" s="5" t="str">
        <f aca="false">IF(B456=0,"",IF(INDEX(Bank!$G:$G,B456)="","",INDEX(Bank!$G:$G,B456)))</f>
        <v/>
      </c>
      <c r="D456" s="5" t="str">
        <f aca="false">IF(B456=0,"",IF(INDEX(Bank!$J:$J,B456)="","",INDEX(Bank!$J:$J,B456)))</f>
        <v/>
      </c>
      <c r="E456" s="32" t="str">
        <f aca="false">IF(B456=0,"",INDEX(Bank!$B:$B,B456))</f>
        <v/>
      </c>
      <c r="F456" s="5" t="str">
        <f aca="false">IF(B456=0,"",IF(INDEX(Bank!$C:$C,B456)="","",INDEX(Bank!$C:$C,B456)))</f>
        <v/>
      </c>
      <c r="G456" s="19" t="str">
        <f aca="false">IF(B456=0,"",INDEX(Bank!$E:$E,B456))</f>
        <v/>
      </c>
      <c r="H456" s="5" t="str">
        <f aca="false">IF(B456=0,"",IF(INDEX(Bank!$H:$H,B456)="","",INDEX(Bank!$H:$H,B456)))</f>
        <v/>
      </c>
      <c r="I456" s="5" t="n">
        <f aca="false">IF(H456="",0,IFERROR(MATCH(H456,GL!$A:$A,0),0))</f>
        <v>0</v>
      </c>
      <c r="J456" s="32" t="str">
        <f aca="false">IF(I456=0,"",INDEX(GL!$B:$B,I456))</f>
        <v/>
      </c>
      <c r="K456" s="5" t="str">
        <f aca="false">IF(I456=0,"",IF(INDEX(GL!$C:$C,I456)="","",INDEX(GL!$C:$C,I456)))</f>
        <v/>
      </c>
      <c r="L456" s="19" t="str">
        <f aca="false">IF(I456=0,"",INDEX(GL!$E:$E,I456))</f>
        <v/>
      </c>
      <c r="M456" s="19" t="str">
        <f aca="false">IF(OR(B456=0,I456=0),"",ROUND(G456-L456,2))</f>
        <v/>
      </c>
      <c r="N456" s="5" t="str">
        <f aca="false">IF(A456="","",IF(B456=0,"NOT FOUND: bank ID",IF(I456=0,"NOT FOUND: GL ID",IF(INDEX(GL!$H:$H,I456)&lt;&gt;A456,"BROKEN: GL points elsewhere",IF(OR(INDEX(Bank!$F:$F,B456)&lt;&gt;"Y",INDEX(GL!$F:$F,I456)&lt;&gt;"Y"),"BROKEN: Status not Y","OK")))))</f>
        <v/>
      </c>
    </row>
    <row r="457" customFormat="false" ht="15" hidden="false" customHeight="false" outlineLevel="0" collapsed="false">
      <c r="A457" s="41"/>
      <c r="B457" s="5" t="n">
        <f aca="false">IF(A457="",0,IFERROR(MATCH(A457,Bank!$A:$A,0),0))</f>
        <v>0</v>
      </c>
      <c r="C457" s="5" t="str">
        <f aca="false">IF(B457=0,"",IF(INDEX(Bank!$G:$G,B457)="","",INDEX(Bank!$G:$G,B457)))</f>
        <v/>
      </c>
      <c r="D457" s="5" t="str">
        <f aca="false">IF(B457=0,"",IF(INDEX(Bank!$J:$J,B457)="","",INDEX(Bank!$J:$J,B457)))</f>
        <v/>
      </c>
      <c r="E457" s="32" t="str">
        <f aca="false">IF(B457=0,"",INDEX(Bank!$B:$B,B457))</f>
        <v/>
      </c>
      <c r="F457" s="5" t="str">
        <f aca="false">IF(B457=0,"",IF(INDEX(Bank!$C:$C,B457)="","",INDEX(Bank!$C:$C,B457)))</f>
        <v/>
      </c>
      <c r="G457" s="19" t="str">
        <f aca="false">IF(B457=0,"",INDEX(Bank!$E:$E,B457))</f>
        <v/>
      </c>
      <c r="H457" s="5" t="str">
        <f aca="false">IF(B457=0,"",IF(INDEX(Bank!$H:$H,B457)="","",INDEX(Bank!$H:$H,B457)))</f>
        <v/>
      </c>
      <c r="I457" s="5" t="n">
        <f aca="false">IF(H457="",0,IFERROR(MATCH(H457,GL!$A:$A,0),0))</f>
        <v>0</v>
      </c>
      <c r="J457" s="32" t="str">
        <f aca="false">IF(I457=0,"",INDEX(GL!$B:$B,I457))</f>
        <v/>
      </c>
      <c r="K457" s="5" t="str">
        <f aca="false">IF(I457=0,"",IF(INDEX(GL!$C:$C,I457)="","",INDEX(GL!$C:$C,I457)))</f>
        <v/>
      </c>
      <c r="L457" s="19" t="str">
        <f aca="false">IF(I457=0,"",INDEX(GL!$E:$E,I457))</f>
        <v/>
      </c>
      <c r="M457" s="19" t="str">
        <f aca="false">IF(OR(B457=0,I457=0),"",ROUND(G457-L457,2))</f>
        <v/>
      </c>
      <c r="N457" s="5" t="str">
        <f aca="false">IF(A457="","",IF(B457=0,"NOT FOUND: bank ID",IF(I457=0,"NOT FOUND: GL ID",IF(INDEX(GL!$H:$H,I457)&lt;&gt;A457,"BROKEN: GL points elsewhere",IF(OR(INDEX(Bank!$F:$F,B457)&lt;&gt;"Y",INDEX(GL!$F:$F,I457)&lt;&gt;"Y"),"BROKEN: Status not Y","OK")))))</f>
        <v/>
      </c>
    </row>
    <row r="458" customFormat="false" ht="15" hidden="false" customHeight="false" outlineLevel="0" collapsed="false">
      <c r="A458" s="41"/>
      <c r="B458" s="5" t="n">
        <f aca="false">IF(A458="",0,IFERROR(MATCH(A458,Bank!$A:$A,0),0))</f>
        <v>0</v>
      </c>
      <c r="C458" s="5" t="str">
        <f aca="false">IF(B458=0,"",IF(INDEX(Bank!$G:$G,B458)="","",INDEX(Bank!$G:$G,B458)))</f>
        <v/>
      </c>
      <c r="D458" s="5" t="str">
        <f aca="false">IF(B458=0,"",IF(INDEX(Bank!$J:$J,B458)="","",INDEX(Bank!$J:$J,B458)))</f>
        <v/>
      </c>
      <c r="E458" s="32" t="str">
        <f aca="false">IF(B458=0,"",INDEX(Bank!$B:$B,B458))</f>
        <v/>
      </c>
      <c r="F458" s="5" t="str">
        <f aca="false">IF(B458=0,"",IF(INDEX(Bank!$C:$C,B458)="","",INDEX(Bank!$C:$C,B458)))</f>
        <v/>
      </c>
      <c r="G458" s="19" t="str">
        <f aca="false">IF(B458=0,"",INDEX(Bank!$E:$E,B458))</f>
        <v/>
      </c>
      <c r="H458" s="5" t="str">
        <f aca="false">IF(B458=0,"",IF(INDEX(Bank!$H:$H,B458)="","",INDEX(Bank!$H:$H,B458)))</f>
        <v/>
      </c>
      <c r="I458" s="5" t="n">
        <f aca="false">IF(H458="",0,IFERROR(MATCH(H458,GL!$A:$A,0),0))</f>
        <v>0</v>
      </c>
      <c r="J458" s="32" t="str">
        <f aca="false">IF(I458=0,"",INDEX(GL!$B:$B,I458))</f>
        <v/>
      </c>
      <c r="K458" s="5" t="str">
        <f aca="false">IF(I458=0,"",IF(INDEX(GL!$C:$C,I458)="","",INDEX(GL!$C:$C,I458)))</f>
        <v/>
      </c>
      <c r="L458" s="19" t="str">
        <f aca="false">IF(I458=0,"",INDEX(GL!$E:$E,I458))</f>
        <v/>
      </c>
      <c r="M458" s="19" t="str">
        <f aca="false">IF(OR(B458=0,I458=0),"",ROUND(G458-L458,2))</f>
        <v/>
      </c>
      <c r="N458" s="5" t="str">
        <f aca="false">IF(A458="","",IF(B458=0,"NOT FOUND: bank ID",IF(I458=0,"NOT FOUND: GL ID",IF(INDEX(GL!$H:$H,I458)&lt;&gt;A458,"BROKEN: GL points elsewhere",IF(OR(INDEX(Bank!$F:$F,B458)&lt;&gt;"Y",INDEX(GL!$F:$F,I458)&lt;&gt;"Y"),"BROKEN: Status not Y","OK")))))</f>
        <v/>
      </c>
    </row>
    <row r="459" customFormat="false" ht="15" hidden="false" customHeight="false" outlineLevel="0" collapsed="false">
      <c r="A459" s="41"/>
      <c r="B459" s="5" t="n">
        <f aca="false">IF(A459="",0,IFERROR(MATCH(A459,Bank!$A:$A,0),0))</f>
        <v>0</v>
      </c>
      <c r="C459" s="5" t="str">
        <f aca="false">IF(B459=0,"",IF(INDEX(Bank!$G:$G,B459)="","",INDEX(Bank!$G:$G,B459)))</f>
        <v/>
      </c>
      <c r="D459" s="5" t="str">
        <f aca="false">IF(B459=0,"",IF(INDEX(Bank!$J:$J,B459)="","",INDEX(Bank!$J:$J,B459)))</f>
        <v/>
      </c>
      <c r="E459" s="32" t="str">
        <f aca="false">IF(B459=0,"",INDEX(Bank!$B:$B,B459))</f>
        <v/>
      </c>
      <c r="F459" s="5" t="str">
        <f aca="false">IF(B459=0,"",IF(INDEX(Bank!$C:$C,B459)="","",INDEX(Bank!$C:$C,B459)))</f>
        <v/>
      </c>
      <c r="G459" s="19" t="str">
        <f aca="false">IF(B459=0,"",INDEX(Bank!$E:$E,B459))</f>
        <v/>
      </c>
      <c r="H459" s="5" t="str">
        <f aca="false">IF(B459=0,"",IF(INDEX(Bank!$H:$H,B459)="","",INDEX(Bank!$H:$H,B459)))</f>
        <v/>
      </c>
      <c r="I459" s="5" t="n">
        <f aca="false">IF(H459="",0,IFERROR(MATCH(H459,GL!$A:$A,0),0))</f>
        <v>0</v>
      </c>
      <c r="J459" s="32" t="str">
        <f aca="false">IF(I459=0,"",INDEX(GL!$B:$B,I459))</f>
        <v/>
      </c>
      <c r="K459" s="5" t="str">
        <f aca="false">IF(I459=0,"",IF(INDEX(GL!$C:$C,I459)="","",INDEX(GL!$C:$C,I459)))</f>
        <v/>
      </c>
      <c r="L459" s="19" t="str">
        <f aca="false">IF(I459=0,"",INDEX(GL!$E:$E,I459))</f>
        <v/>
      </c>
      <c r="M459" s="19" t="str">
        <f aca="false">IF(OR(B459=0,I459=0),"",ROUND(G459-L459,2))</f>
        <v/>
      </c>
      <c r="N459" s="5" t="str">
        <f aca="false">IF(A459="","",IF(B459=0,"NOT FOUND: bank ID",IF(I459=0,"NOT FOUND: GL ID",IF(INDEX(GL!$H:$H,I459)&lt;&gt;A459,"BROKEN: GL points elsewhere",IF(OR(INDEX(Bank!$F:$F,B459)&lt;&gt;"Y",INDEX(GL!$F:$F,I459)&lt;&gt;"Y"),"BROKEN: Status not Y","OK")))))</f>
        <v/>
      </c>
    </row>
    <row r="460" customFormat="false" ht="15" hidden="false" customHeight="false" outlineLevel="0" collapsed="false">
      <c r="A460" s="41"/>
      <c r="B460" s="5" t="n">
        <f aca="false">IF(A460="",0,IFERROR(MATCH(A460,Bank!$A:$A,0),0))</f>
        <v>0</v>
      </c>
      <c r="C460" s="5" t="str">
        <f aca="false">IF(B460=0,"",IF(INDEX(Bank!$G:$G,B460)="","",INDEX(Bank!$G:$G,B460)))</f>
        <v/>
      </c>
      <c r="D460" s="5" t="str">
        <f aca="false">IF(B460=0,"",IF(INDEX(Bank!$J:$J,B460)="","",INDEX(Bank!$J:$J,B460)))</f>
        <v/>
      </c>
      <c r="E460" s="32" t="str">
        <f aca="false">IF(B460=0,"",INDEX(Bank!$B:$B,B460))</f>
        <v/>
      </c>
      <c r="F460" s="5" t="str">
        <f aca="false">IF(B460=0,"",IF(INDEX(Bank!$C:$C,B460)="","",INDEX(Bank!$C:$C,B460)))</f>
        <v/>
      </c>
      <c r="G460" s="19" t="str">
        <f aca="false">IF(B460=0,"",INDEX(Bank!$E:$E,B460))</f>
        <v/>
      </c>
      <c r="H460" s="5" t="str">
        <f aca="false">IF(B460=0,"",IF(INDEX(Bank!$H:$H,B460)="","",INDEX(Bank!$H:$H,B460)))</f>
        <v/>
      </c>
      <c r="I460" s="5" t="n">
        <f aca="false">IF(H460="",0,IFERROR(MATCH(H460,GL!$A:$A,0),0))</f>
        <v>0</v>
      </c>
      <c r="J460" s="32" t="str">
        <f aca="false">IF(I460=0,"",INDEX(GL!$B:$B,I460))</f>
        <v/>
      </c>
      <c r="K460" s="5" t="str">
        <f aca="false">IF(I460=0,"",IF(INDEX(GL!$C:$C,I460)="","",INDEX(GL!$C:$C,I460)))</f>
        <v/>
      </c>
      <c r="L460" s="19" t="str">
        <f aca="false">IF(I460=0,"",INDEX(GL!$E:$E,I460))</f>
        <v/>
      </c>
      <c r="M460" s="19" t="str">
        <f aca="false">IF(OR(B460=0,I460=0),"",ROUND(G460-L460,2))</f>
        <v/>
      </c>
      <c r="N460" s="5" t="str">
        <f aca="false">IF(A460="","",IF(B460=0,"NOT FOUND: bank ID",IF(I460=0,"NOT FOUND: GL ID",IF(INDEX(GL!$H:$H,I460)&lt;&gt;A460,"BROKEN: GL points elsewhere",IF(OR(INDEX(Bank!$F:$F,B460)&lt;&gt;"Y",INDEX(GL!$F:$F,I460)&lt;&gt;"Y"),"BROKEN: Status not Y","OK")))))</f>
        <v/>
      </c>
    </row>
    <row r="461" customFormat="false" ht="15" hidden="false" customHeight="false" outlineLevel="0" collapsed="false">
      <c r="A461" s="41"/>
      <c r="B461" s="5" t="n">
        <f aca="false">IF(A461="",0,IFERROR(MATCH(A461,Bank!$A:$A,0),0))</f>
        <v>0</v>
      </c>
      <c r="C461" s="5" t="str">
        <f aca="false">IF(B461=0,"",IF(INDEX(Bank!$G:$G,B461)="","",INDEX(Bank!$G:$G,B461)))</f>
        <v/>
      </c>
      <c r="D461" s="5" t="str">
        <f aca="false">IF(B461=0,"",IF(INDEX(Bank!$J:$J,B461)="","",INDEX(Bank!$J:$J,B461)))</f>
        <v/>
      </c>
      <c r="E461" s="32" t="str">
        <f aca="false">IF(B461=0,"",INDEX(Bank!$B:$B,B461))</f>
        <v/>
      </c>
      <c r="F461" s="5" t="str">
        <f aca="false">IF(B461=0,"",IF(INDEX(Bank!$C:$C,B461)="","",INDEX(Bank!$C:$C,B461)))</f>
        <v/>
      </c>
      <c r="G461" s="19" t="str">
        <f aca="false">IF(B461=0,"",INDEX(Bank!$E:$E,B461))</f>
        <v/>
      </c>
      <c r="H461" s="5" t="str">
        <f aca="false">IF(B461=0,"",IF(INDEX(Bank!$H:$H,B461)="","",INDEX(Bank!$H:$H,B461)))</f>
        <v/>
      </c>
      <c r="I461" s="5" t="n">
        <f aca="false">IF(H461="",0,IFERROR(MATCH(H461,GL!$A:$A,0),0))</f>
        <v>0</v>
      </c>
      <c r="J461" s="32" t="str">
        <f aca="false">IF(I461=0,"",INDEX(GL!$B:$B,I461))</f>
        <v/>
      </c>
      <c r="K461" s="5" t="str">
        <f aca="false">IF(I461=0,"",IF(INDEX(GL!$C:$C,I461)="","",INDEX(GL!$C:$C,I461)))</f>
        <v/>
      </c>
      <c r="L461" s="19" t="str">
        <f aca="false">IF(I461=0,"",INDEX(GL!$E:$E,I461))</f>
        <v/>
      </c>
      <c r="M461" s="19" t="str">
        <f aca="false">IF(OR(B461=0,I461=0),"",ROUND(G461-L461,2))</f>
        <v/>
      </c>
      <c r="N461" s="5" t="str">
        <f aca="false">IF(A461="","",IF(B461=0,"NOT FOUND: bank ID",IF(I461=0,"NOT FOUND: GL ID",IF(INDEX(GL!$H:$H,I461)&lt;&gt;A461,"BROKEN: GL points elsewhere",IF(OR(INDEX(Bank!$F:$F,B461)&lt;&gt;"Y",INDEX(GL!$F:$F,I461)&lt;&gt;"Y"),"BROKEN: Status not Y","OK")))))</f>
        <v/>
      </c>
    </row>
    <row r="462" customFormat="false" ht="15" hidden="false" customHeight="false" outlineLevel="0" collapsed="false">
      <c r="A462" s="41"/>
      <c r="B462" s="5" t="n">
        <f aca="false">IF(A462="",0,IFERROR(MATCH(A462,Bank!$A:$A,0),0))</f>
        <v>0</v>
      </c>
      <c r="C462" s="5" t="str">
        <f aca="false">IF(B462=0,"",IF(INDEX(Bank!$G:$G,B462)="","",INDEX(Bank!$G:$G,B462)))</f>
        <v/>
      </c>
      <c r="D462" s="5" t="str">
        <f aca="false">IF(B462=0,"",IF(INDEX(Bank!$J:$J,B462)="","",INDEX(Bank!$J:$J,B462)))</f>
        <v/>
      </c>
      <c r="E462" s="32" t="str">
        <f aca="false">IF(B462=0,"",INDEX(Bank!$B:$B,B462))</f>
        <v/>
      </c>
      <c r="F462" s="5" t="str">
        <f aca="false">IF(B462=0,"",IF(INDEX(Bank!$C:$C,B462)="","",INDEX(Bank!$C:$C,B462)))</f>
        <v/>
      </c>
      <c r="G462" s="19" t="str">
        <f aca="false">IF(B462=0,"",INDEX(Bank!$E:$E,B462))</f>
        <v/>
      </c>
      <c r="H462" s="5" t="str">
        <f aca="false">IF(B462=0,"",IF(INDEX(Bank!$H:$H,B462)="","",INDEX(Bank!$H:$H,B462)))</f>
        <v/>
      </c>
      <c r="I462" s="5" t="n">
        <f aca="false">IF(H462="",0,IFERROR(MATCH(H462,GL!$A:$A,0),0))</f>
        <v>0</v>
      </c>
      <c r="J462" s="32" t="str">
        <f aca="false">IF(I462=0,"",INDEX(GL!$B:$B,I462))</f>
        <v/>
      </c>
      <c r="K462" s="5" t="str">
        <f aca="false">IF(I462=0,"",IF(INDEX(GL!$C:$C,I462)="","",INDEX(GL!$C:$C,I462)))</f>
        <v/>
      </c>
      <c r="L462" s="19" t="str">
        <f aca="false">IF(I462=0,"",INDEX(GL!$E:$E,I462))</f>
        <v/>
      </c>
      <c r="M462" s="19" t="str">
        <f aca="false">IF(OR(B462=0,I462=0),"",ROUND(G462-L462,2))</f>
        <v/>
      </c>
      <c r="N462" s="5" t="str">
        <f aca="false">IF(A462="","",IF(B462=0,"NOT FOUND: bank ID",IF(I462=0,"NOT FOUND: GL ID",IF(INDEX(GL!$H:$H,I462)&lt;&gt;A462,"BROKEN: GL points elsewhere",IF(OR(INDEX(Bank!$F:$F,B462)&lt;&gt;"Y",INDEX(GL!$F:$F,I462)&lt;&gt;"Y"),"BROKEN: Status not Y","OK")))))</f>
        <v/>
      </c>
    </row>
    <row r="463" customFormat="false" ht="15" hidden="false" customHeight="false" outlineLevel="0" collapsed="false">
      <c r="A463" s="41"/>
      <c r="B463" s="5" t="n">
        <f aca="false">IF(A463="",0,IFERROR(MATCH(A463,Bank!$A:$A,0),0))</f>
        <v>0</v>
      </c>
      <c r="C463" s="5" t="str">
        <f aca="false">IF(B463=0,"",IF(INDEX(Bank!$G:$G,B463)="","",INDEX(Bank!$G:$G,B463)))</f>
        <v/>
      </c>
      <c r="D463" s="5" t="str">
        <f aca="false">IF(B463=0,"",IF(INDEX(Bank!$J:$J,B463)="","",INDEX(Bank!$J:$J,B463)))</f>
        <v/>
      </c>
      <c r="E463" s="32" t="str">
        <f aca="false">IF(B463=0,"",INDEX(Bank!$B:$B,B463))</f>
        <v/>
      </c>
      <c r="F463" s="5" t="str">
        <f aca="false">IF(B463=0,"",IF(INDEX(Bank!$C:$C,B463)="","",INDEX(Bank!$C:$C,B463)))</f>
        <v/>
      </c>
      <c r="G463" s="19" t="str">
        <f aca="false">IF(B463=0,"",INDEX(Bank!$E:$E,B463))</f>
        <v/>
      </c>
      <c r="H463" s="5" t="str">
        <f aca="false">IF(B463=0,"",IF(INDEX(Bank!$H:$H,B463)="","",INDEX(Bank!$H:$H,B463)))</f>
        <v/>
      </c>
      <c r="I463" s="5" t="n">
        <f aca="false">IF(H463="",0,IFERROR(MATCH(H463,GL!$A:$A,0),0))</f>
        <v>0</v>
      </c>
      <c r="J463" s="32" t="str">
        <f aca="false">IF(I463=0,"",INDEX(GL!$B:$B,I463))</f>
        <v/>
      </c>
      <c r="K463" s="5" t="str">
        <f aca="false">IF(I463=0,"",IF(INDEX(GL!$C:$C,I463)="","",INDEX(GL!$C:$C,I463)))</f>
        <v/>
      </c>
      <c r="L463" s="19" t="str">
        <f aca="false">IF(I463=0,"",INDEX(GL!$E:$E,I463))</f>
        <v/>
      </c>
      <c r="M463" s="19" t="str">
        <f aca="false">IF(OR(B463=0,I463=0),"",ROUND(G463-L463,2))</f>
        <v/>
      </c>
      <c r="N463" s="5" t="str">
        <f aca="false">IF(A463="","",IF(B463=0,"NOT FOUND: bank ID",IF(I463=0,"NOT FOUND: GL ID",IF(INDEX(GL!$H:$H,I463)&lt;&gt;A463,"BROKEN: GL points elsewhere",IF(OR(INDEX(Bank!$F:$F,B463)&lt;&gt;"Y",INDEX(GL!$F:$F,I463)&lt;&gt;"Y"),"BROKEN: Status not Y","OK")))))</f>
        <v/>
      </c>
    </row>
    <row r="464" customFormat="false" ht="15" hidden="false" customHeight="false" outlineLevel="0" collapsed="false">
      <c r="A464" s="41"/>
      <c r="B464" s="5" t="n">
        <f aca="false">IF(A464="",0,IFERROR(MATCH(A464,Bank!$A:$A,0),0))</f>
        <v>0</v>
      </c>
      <c r="C464" s="5" t="str">
        <f aca="false">IF(B464=0,"",IF(INDEX(Bank!$G:$G,B464)="","",INDEX(Bank!$G:$G,B464)))</f>
        <v/>
      </c>
      <c r="D464" s="5" t="str">
        <f aca="false">IF(B464=0,"",IF(INDEX(Bank!$J:$J,B464)="","",INDEX(Bank!$J:$J,B464)))</f>
        <v/>
      </c>
      <c r="E464" s="32" t="str">
        <f aca="false">IF(B464=0,"",INDEX(Bank!$B:$B,B464))</f>
        <v/>
      </c>
      <c r="F464" s="5" t="str">
        <f aca="false">IF(B464=0,"",IF(INDEX(Bank!$C:$C,B464)="","",INDEX(Bank!$C:$C,B464)))</f>
        <v/>
      </c>
      <c r="G464" s="19" t="str">
        <f aca="false">IF(B464=0,"",INDEX(Bank!$E:$E,B464))</f>
        <v/>
      </c>
      <c r="H464" s="5" t="str">
        <f aca="false">IF(B464=0,"",IF(INDEX(Bank!$H:$H,B464)="","",INDEX(Bank!$H:$H,B464)))</f>
        <v/>
      </c>
      <c r="I464" s="5" t="n">
        <f aca="false">IF(H464="",0,IFERROR(MATCH(H464,GL!$A:$A,0),0))</f>
        <v>0</v>
      </c>
      <c r="J464" s="32" t="str">
        <f aca="false">IF(I464=0,"",INDEX(GL!$B:$B,I464))</f>
        <v/>
      </c>
      <c r="K464" s="5" t="str">
        <f aca="false">IF(I464=0,"",IF(INDEX(GL!$C:$C,I464)="","",INDEX(GL!$C:$C,I464)))</f>
        <v/>
      </c>
      <c r="L464" s="19" t="str">
        <f aca="false">IF(I464=0,"",INDEX(GL!$E:$E,I464))</f>
        <v/>
      </c>
      <c r="M464" s="19" t="str">
        <f aca="false">IF(OR(B464=0,I464=0),"",ROUND(G464-L464,2))</f>
        <v/>
      </c>
      <c r="N464" s="5" t="str">
        <f aca="false">IF(A464="","",IF(B464=0,"NOT FOUND: bank ID",IF(I464=0,"NOT FOUND: GL ID",IF(INDEX(GL!$H:$H,I464)&lt;&gt;A464,"BROKEN: GL points elsewhere",IF(OR(INDEX(Bank!$F:$F,B464)&lt;&gt;"Y",INDEX(GL!$F:$F,I464)&lt;&gt;"Y"),"BROKEN: Status not Y","OK")))))</f>
        <v/>
      </c>
    </row>
    <row r="465" customFormat="false" ht="15" hidden="false" customHeight="false" outlineLevel="0" collapsed="false">
      <c r="A465" s="41"/>
      <c r="B465" s="5" t="n">
        <f aca="false">IF(A465="",0,IFERROR(MATCH(A465,Bank!$A:$A,0),0))</f>
        <v>0</v>
      </c>
      <c r="C465" s="5" t="str">
        <f aca="false">IF(B465=0,"",IF(INDEX(Bank!$G:$G,B465)="","",INDEX(Bank!$G:$G,B465)))</f>
        <v/>
      </c>
      <c r="D465" s="5" t="str">
        <f aca="false">IF(B465=0,"",IF(INDEX(Bank!$J:$J,B465)="","",INDEX(Bank!$J:$J,B465)))</f>
        <v/>
      </c>
      <c r="E465" s="32" t="str">
        <f aca="false">IF(B465=0,"",INDEX(Bank!$B:$B,B465))</f>
        <v/>
      </c>
      <c r="F465" s="5" t="str">
        <f aca="false">IF(B465=0,"",IF(INDEX(Bank!$C:$C,B465)="","",INDEX(Bank!$C:$C,B465)))</f>
        <v/>
      </c>
      <c r="G465" s="19" t="str">
        <f aca="false">IF(B465=0,"",INDEX(Bank!$E:$E,B465))</f>
        <v/>
      </c>
      <c r="H465" s="5" t="str">
        <f aca="false">IF(B465=0,"",IF(INDEX(Bank!$H:$H,B465)="","",INDEX(Bank!$H:$H,B465)))</f>
        <v/>
      </c>
      <c r="I465" s="5" t="n">
        <f aca="false">IF(H465="",0,IFERROR(MATCH(H465,GL!$A:$A,0),0))</f>
        <v>0</v>
      </c>
      <c r="J465" s="32" t="str">
        <f aca="false">IF(I465=0,"",INDEX(GL!$B:$B,I465))</f>
        <v/>
      </c>
      <c r="K465" s="5" t="str">
        <f aca="false">IF(I465=0,"",IF(INDEX(GL!$C:$C,I465)="","",INDEX(GL!$C:$C,I465)))</f>
        <v/>
      </c>
      <c r="L465" s="19" t="str">
        <f aca="false">IF(I465=0,"",INDEX(GL!$E:$E,I465))</f>
        <v/>
      </c>
      <c r="M465" s="19" t="str">
        <f aca="false">IF(OR(B465=0,I465=0),"",ROUND(G465-L465,2))</f>
        <v/>
      </c>
      <c r="N465" s="5" t="str">
        <f aca="false">IF(A465="","",IF(B465=0,"NOT FOUND: bank ID",IF(I465=0,"NOT FOUND: GL ID",IF(INDEX(GL!$H:$H,I465)&lt;&gt;A465,"BROKEN: GL points elsewhere",IF(OR(INDEX(Bank!$F:$F,B465)&lt;&gt;"Y",INDEX(GL!$F:$F,I465)&lt;&gt;"Y"),"BROKEN: Status not Y","OK")))))</f>
        <v/>
      </c>
    </row>
    <row r="466" customFormat="false" ht="15" hidden="false" customHeight="false" outlineLevel="0" collapsed="false">
      <c r="A466" s="41"/>
      <c r="B466" s="5" t="n">
        <f aca="false">IF(A466="",0,IFERROR(MATCH(A466,Bank!$A:$A,0),0))</f>
        <v>0</v>
      </c>
      <c r="C466" s="5" t="str">
        <f aca="false">IF(B466=0,"",IF(INDEX(Bank!$G:$G,B466)="","",INDEX(Bank!$G:$G,B466)))</f>
        <v/>
      </c>
      <c r="D466" s="5" t="str">
        <f aca="false">IF(B466=0,"",IF(INDEX(Bank!$J:$J,B466)="","",INDEX(Bank!$J:$J,B466)))</f>
        <v/>
      </c>
      <c r="E466" s="32" t="str">
        <f aca="false">IF(B466=0,"",INDEX(Bank!$B:$B,B466))</f>
        <v/>
      </c>
      <c r="F466" s="5" t="str">
        <f aca="false">IF(B466=0,"",IF(INDEX(Bank!$C:$C,B466)="","",INDEX(Bank!$C:$C,B466)))</f>
        <v/>
      </c>
      <c r="G466" s="19" t="str">
        <f aca="false">IF(B466=0,"",INDEX(Bank!$E:$E,B466))</f>
        <v/>
      </c>
      <c r="H466" s="5" t="str">
        <f aca="false">IF(B466=0,"",IF(INDEX(Bank!$H:$H,B466)="","",INDEX(Bank!$H:$H,B466)))</f>
        <v/>
      </c>
      <c r="I466" s="5" t="n">
        <f aca="false">IF(H466="",0,IFERROR(MATCH(H466,GL!$A:$A,0),0))</f>
        <v>0</v>
      </c>
      <c r="J466" s="32" t="str">
        <f aca="false">IF(I466=0,"",INDEX(GL!$B:$B,I466))</f>
        <v/>
      </c>
      <c r="K466" s="5" t="str">
        <f aca="false">IF(I466=0,"",IF(INDEX(GL!$C:$C,I466)="","",INDEX(GL!$C:$C,I466)))</f>
        <v/>
      </c>
      <c r="L466" s="19" t="str">
        <f aca="false">IF(I466=0,"",INDEX(GL!$E:$E,I466))</f>
        <v/>
      </c>
      <c r="M466" s="19" t="str">
        <f aca="false">IF(OR(B466=0,I466=0),"",ROUND(G466-L466,2))</f>
        <v/>
      </c>
      <c r="N466" s="5" t="str">
        <f aca="false">IF(A466="","",IF(B466=0,"NOT FOUND: bank ID",IF(I466=0,"NOT FOUND: GL ID",IF(INDEX(GL!$H:$H,I466)&lt;&gt;A466,"BROKEN: GL points elsewhere",IF(OR(INDEX(Bank!$F:$F,B466)&lt;&gt;"Y",INDEX(GL!$F:$F,I466)&lt;&gt;"Y"),"BROKEN: Status not Y","OK")))))</f>
        <v/>
      </c>
    </row>
    <row r="467" customFormat="false" ht="15" hidden="false" customHeight="false" outlineLevel="0" collapsed="false">
      <c r="A467" s="41"/>
      <c r="B467" s="5" t="n">
        <f aca="false">IF(A467="",0,IFERROR(MATCH(A467,Bank!$A:$A,0),0))</f>
        <v>0</v>
      </c>
      <c r="C467" s="5" t="str">
        <f aca="false">IF(B467=0,"",IF(INDEX(Bank!$G:$G,B467)="","",INDEX(Bank!$G:$G,B467)))</f>
        <v/>
      </c>
      <c r="D467" s="5" t="str">
        <f aca="false">IF(B467=0,"",IF(INDEX(Bank!$J:$J,B467)="","",INDEX(Bank!$J:$J,B467)))</f>
        <v/>
      </c>
      <c r="E467" s="32" t="str">
        <f aca="false">IF(B467=0,"",INDEX(Bank!$B:$B,B467))</f>
        <v/>
      </c>
      <c r="F467" s="5" t="str">
        <f aca="false">IF(B467=0,"",IF(INDEX(Bank!$C:$C,B467)="","",INDEX(Bank!$C:$C,B467)))</f>
        <v/>
      </c>
      <c r="G467" s="19" t="str">
        <f aca="false">IF(B467=0,"",INDEX(Bank!$E:$E,B467))</f>
        <v/>
      </c>
      <c r="H467" s="5" t="str">
        <f aca="false">IF(B467=0,"",IF(INDEX(Bank!$H:$H,B467)="","",INDEX(Bank!$H:$H,B467)))</f>
        <v/>
      </c>
      <c r="I467" s="5" t="n">
        <f aca="false">IF(H467="",0,IFERROR(MATCH(H467,GL!$A:$A,0),0))</f>
        <v>0</v>
      </c>
      <c r="J467" s="32" t="str">
        <f aca="false">IF(I467=0,"",INDEX(GL!$B:$B,I467))</f>
        <v/>
      </c>
      <c r="K467" s="5" t="str">
        <f aca="false">IF(I467=0,"",IF(INDEX(GL!$C:$C,I467)="","",INDEX(GL!$C:$C,I467)))</f>
        <v/>
      </c>
      <c r="L467" s="19" t="str">
        <f aca="false">IF(I467=0,"",INDEX(GL!$E:$E,I467))</f>
        <v/>
      </c>
      <c r="M467" s="19" t="str">
        <f aca="false">IF(OR(B467=0,I467=0),"",ROUND(G467-L467,2))</f>
        <v/>
      </c>
      <c r="N467" s="5" t="str">
        <f aca="false">IF(A467="","",IF(B467=0,"NOT FOUND: bank ID",IF(I467=0,"NOT FOUND: GL ID",IF(INDEX(GL!$H:$H,I467)&lt;&gt;A467,"BROKEN: GL points elsewhere",IF(OR(INDEX(Bank!$F:$F,B467)&lt;&gt;"Y",INDEX(GL!$F:$F,I467)&lt;&gt;"Y"),"BROKEN: Status not Y","OK")))))</f>
        <v/>
      </c>
    </row>
    <row r="468" customFormat="false" ht="15" hidden="false" customHeight="false" outlineLevel="0" collapsed="false">
      <c r="A468" s="41"/>
      <c r="B468" s="5" t="n">
        <f aca="false">IF(A468="",0,IFERROR(MATCH(A468,Bank!$A:$A,0),0))</f>
        <v>0</v>
      </c>
      <c r="C468" s="5" t="str">
        <f aca="false">IF(B468=0,"",IF(INDEX(Bank!$G:$G,B468)="","",INDEX(Bank!$G:$G,B468)))</f>
        <v/>
      </c>
      <c r="D468" s="5" t="str">
        <f aca="false">IF(B468=0,"",IF(INDEX(Bank!$J:$J,B468)="","",INDEX(Bank!$J:$J,B468)))</f>
        <v/>
      </c>
      <c r="E468" s="32" t="str">
        <f aca="false">IF(B468=0,"",INDEX(Bank!$B:$B,B468))</f>
        <v/>
      </c>
      <c r="F468" s="5" t="str">
        <f aca="false">IF(B468=0,"",IF(INDEX(Bank!$C:$C,B468)="","",INDEX(Bank!$C:$C,B468)))</f>
        <v/>
      </c>
      <c r="G468" s="19" t="str">
        <f aca="false">IF(B468=0,"",INDEX(Bank!$E:$E,B468))</f>
        <v/>
      </c>
      <c r="H468" s="5" t="str">
        <f aca="false">IF(B468=0,"",IF(INDEX(Bank!$H:$H,B468)="","",INDEX(Bank!$H:$H,B468)))</f>
        <v/>
      </c>
      <c r="I468" s="5" t="n">
        <f aca="false">IF(H468="",0,IFERROR(MATCH(H468,GL!$A:$A,0),0))</f>
        <v>0</v>
      </c>
      <c r="J468" s="32" t="str">
        <f aca="false">IF(I468=0,"",INDEX(GL!$B:$B,I468))</f>
        <v/>
      </c>
      <c r="K468" s="5" t="str">
        <f aca="false">IF(I468=0,"",IF(INDEX(GL!$C:$C,I468)="","",INDEX(GL!$C:$C,I468)))</f>
        <v/>
      </c>
      <c r="L468" s="19" t="str">
        <f aca="false">IF(I468=0,"",INDEX(GL!$E:$E,I468))</f>
        <v/>
      </c>
      <c r="M468" s="19" t="str">
        <f aca="false">IF(OR(B468=0,I468=0),"",ROUND(G468-L468,2))</f>
        <v/>
      </c>
      <c r="N468" s="5" t="str">
        <f aca="false">IF(A468="","",IF(B468=0,"NOT FOUND: bank ID",IF(I468=0,"NOT FOUND: GL ID",IF(INDEX(GL!$H:$H,I468)&lt;&gt;A468,"BROKEN: GL points elsewhere",IF(OR(INDEX(Bank!$F:$F,B468)&lt;&gt;"Y",INDEX(GL!$F:$F,I468)&lt;&gt;"Y"),"BROKEN: Status not Y","OK")))))</f>
        <v/>
      </c>
    </row>
    <row r="469" customFormat="false" ht="15" hidden="false" customHeight="false" outlineLevel="0" collapsed="false">
      <c r="A469" s="41"/>
      <c r="B469" s="5" t="n">
        <f aca="false">IF(A469="",0,IFERROR(MATCH(A469,Bank!$A:$A,0),0))</f>
        <v>0</v>
      </c>
      <c r="C469" s="5" t="str">
        <f aca="false">IF(B469=0,"",IF(INDEX(Bank!$G:$G,B469)="","",INDEX(Bank!$G:$G,B469)))</f>
        <v/>
      </c>
      <c r="D469" s="5" t="str">
        <f aca="false">IF(B469=0,"",IF(INDEX(Bank!$J:$J,B469)="","",INDEX(Bank!$J:$J,B469)))</f>
        <v/>
      </c>
      <c r="E469" s="32" t="str">
        <f aca="false">IF(B469=0,"",INDEX(Bank!$B:$B,B469))</f>
        <v/>
      </c>
      <c r="F469" s="5" t="str">
        <f aca="false">IF(B469=0,"",IF(INDEX(Bank!$C:$C,B469)="","",INDEX(Bank!$C:$C,B469)))</f>
        <v/>
      </c>
      <c r="G469" s="19" t="str">
        <f aca="false">IF(B469=0,"",INDEX(Bank!$E:$E,B469))</f>
        <v/>
      </c>
      <c r="H469" s="5" t="str">
        <f aca="false">IF(B469=0,"",IF(INDEX(Bank!$H:$H,B469)="","",INDEX(Bank!$H:$H,B469)))</f>
        <v/>
      </c>
      <c r="I469" s="5" t="n">
        <f aca="false">IF(H469="",0,IFERROR(MATCH(H469,GL!$A:$A,0),0))</f>
        <v>0</v>
      </c>
      <c r="J469" s="32" t="str">
        <f aca="false">IF(I469=0,"",INDEX(GL!$B:$B,I469))</f>
        <v/>
      </c>
      <c r="K469" s="5" t="str">
        <f aca="false">IF(I469=0,"",IF(INDEX(GL!$C:$C,I469)="","",INDEX(GL!$C:$C,I469)))</f>
        <v/>
      </c>
      <c r="L469" s="19" t="str">
        <f aca="false">IF(I469=0,"",INDEX(GL!$E:$E,I469))</f>
        <v/>
      </c>
      <c r="M469" s="19" t="str">
        <f aca="false">IF(OR(B469=0,I469=0),"",ROUND(G469-L469,2))</f>
        <v/>
      </c>
      <c r="N469" s="5" t="str">
        <f aca="false">IF(A469="","",IF(B469=0,"NOT FOUND: bank ID",IF(I469=0,"NOT FOUND: GL ID",IF(INDEX(GL!$H:$H,I469)&lt;&gt;A469,"BROKEN: GL points elsewhere",IF(OR(INDEX(Bank!$F:$F,B469)&lt;&gt;"Y",INDEX(GL!$F:$F,I469)&lt;&gt;"Y"),"BROKEN: Status not Y","OK")))))</f>
        <v/>
      </c>
    </row>
    <row r="470" customFormat="false" ht="15" hidden="false" customHeight="false" outlineLevel="0" collapsed="false">
      <c r="A470" s="41"/>
      <c r="B470" s="5" t="n">
        <f aca="false">IF(A470="",0,IFERROR(MATCH(A470,Bank!$A:$A,0),0))</f>
        <v>0</v>
      </c>
      <c r="C470" s="5" t="str">
        <f aca="false">IF(B470=0,"",IF(INDEX(Bank!$G:$G,B470)="","",INDEX(Bank!$G:$G,B470)))</f>
        <v/>
      </c>
      <c r="D470" s="5" t="str">
        <f aca="false">IF(B470=0,"",IF(INDEX(Bank!$J:$J,B470)="","",INDEX(Bank!$J:$J,B470)))</f>
        <v/>
      </c>
      <c r="E470" s="32" t="str">
        <f aca="false">IF(B470=0,"",INDEX(Bank!$B:$B,B470))</f>
        <v/>
      </c>
      <c r="F470" s="5" t="str">
        <f aca="false">IF(B470=0,"",IF(INDEX(Bank!$C:$C,B470)="","",INDEX(Bank!$C:$C,B470)))</f>
        <v/>
      </c>
      <c r="G470" s="19" t="str">
        <f aca="false">IF(B470=0,"",INDEX(Bank!$E:$E,B470))</f>
        <v/>
      </c>
      <c r="H470" s="5" t="str">
        <f aca="false">IF(B470=0,"",IF(INDEX(Bank!$H:$H,B470)="","",INDEX(Bank!$H:$H,B470)))</f>
        <v/>
      </c>
      <c r="I470" s="5" t="n">
        <f aca="false">IF(H470="",0,IFERROR(MATCH(H470,GL!$A:$A,0),0))</f>
        <v>0</v>
      </c>
      <c r="J470" s="32" t="str">
        <f aca="false">IF(I470=0,"",INDEX(GL!$B:$B,I470))</f>
        <v/>
      </c>
      <c r="K470" s="5" t="str">
        <f aca="false">IF(I470=0,"",IF(INDEX(GL!$C:$C,I470)="","",INDEX(GL!$C:$C,I470)))</f>
        <v/>
      </c>
      <c r="L470" s="19" t="str">
        <f aca="false">IF(I470=0,"",INDEX(GL!$E:$E,I470))</f>
        <v/>
      </c>
      <c r="M470" s="19" t="str">
        <f aca="false">IF(OR(B470=0,I470=0),"",ROUND(G470-L470,2))</f>
        <v/>
      </c>
      <c r="N470" s="5" t="str">
        <f aca="false">IF(A470="","",IF(B470=0,"NOT FOUND: bank ID",IF(I470=0,"NOT FOUND: GL ID",IF(INDEX(GL!$H:$H,I470)&lt;&gt;A470,"BROKEN: GL points elsewhere",IF(OR(INDEX(Bank!$F:$F,B470)&lt;&gt;"Y",INDEX(GL!$F:$F,I470)&lt;&gt;"Y"),"BROKEN: Status not Y","OK")))))</f>
        <v/>
      </c>
    </row>
    <row r="471" customFormat="false" ht="15" hidden="false" customHeight="false" outlineLevel="0" collapsed="false">
      <c r="A471" s="41"/>
      <c r="B471" s="5" t="n">
        <f aca="false">IF(A471="",0,IFERROR(MATCH(A471,Bank!$A:$A,0),0))</f>
        <v>0</v>
      </c>
      <c r="C471" s="5" t="str">
        <f aca="false">IF(B471=0,"",IF(INDEX(Bank!$G:$G,B471)="","",INDEX(Bank!$G:$G,B471)))</f>
        <v/>
      </c>
      <c r="D471" s="5" t="str">
        <f aca="false">IF(B471=0,"",IF(INDEX(Bank!$J:$J,B471)="","",INDEX(Bank!$J:$J,B471)))</f>
        <v/>
      </c>
      <c r="E471" s="32" t="str">
        <f aca="false">IF(B471=0,"",INDEX(Bank!$B:$B,B471))</f>
        <v/>
      </c>
      <c r="F471" s="5" t="str">
        <f aca="false">IF(B471=0,"",IF(INDEX(Bank!$C:$C,B471)="","",INDEX(Bank!$C:$C,B471)))</f>
        <v/>
      </c>
      <c r="G471" s="19" t="str">
        <f aca="false">IF(B471=0,"",INDEX(Bank!$E:$E,B471))</f>
        <v/>
      </c>
      <c r="H471" s="5" t="str">
        <f aca="false">IF(B471=0,"",IF(INDEX(Bank!$H:$H,B471)="","",INDEX(Bank!$H:$H,B471)))</f>
        <v/>
      </c>
      <c r="I471" s="5" t="n">
        <f aca="false">IF(H471="",0,IFERROR(MATCH(H471,GL!$A:$A,0),0))</f>
        <v>0</v>
      </c>
      <c r="J471" s="32" t="str">
        <f aca="false">IF(I471=0,"",INDEX(GL!$B:$B,I471))</f>
        <v/>
      </c>
      <c r="K471" s="5" t="str">
        <f aca="false">IF(I471=0,"",IF(INDEX(GL!$C:$C,I471)="","",INDEX(GL!$C:$C,I471)))</f>
        <v/>
      </c>
      <c r="L471" s="19" t="str">
        <f aca="false">IF(I471=0,"",INDEX(GL!$E:$E,I471))</f>
        <v/>
      </c>
      <c r="M471" s="19" t="str">
        <f aca="false">IF(OR(B471=0,I471=0),"",ROUND(G471-L471,2))</f>
        <v/>
      </c>
      <c r="N471" s="5" t="str">
        <f aca="false">IF(A471="","",IF(B471=0,"NOT FOUND: bank ID",IF(I471=0,"NOT FOUND: GL ID",IF(INDEX(GL!$H:$H,I471)&lt;&gt;A471,"BROKEN: GL points elsewhere",IF(OR(INDEX(Bank!$F:$F,B471)&lt;&gt;"Y",INDEX(GL!$F:$F,I471)&lt;&gt;"Y"),"BROKEN: Status not Y","OK")))))</f>
        <v/>
      </c>
    </row>
    <row r="472" customFormat="false" ht="15" hidden="false" customHeight="false" outlineLevel="0" collapsed="false">
      <c r="A472" s="41"/>
      <c r="B472" s="5" t="n">
        <f aca="false">IF(A472="",0,IFERROR(MATCH(A472,Bank!$A:$A,0),0))</f>
        <v>0</v>
      </c>
      <c r="C472" s="5" t="str">
        <f aca="false">IF(B472=0,"",IF(INDEX(Bank!$G:$G,B472)="","",INDEX(Bank!$G:$G,B472)))</f>
        <v/>
      </c>
      <c r="D472" s="5" t="str">
        <f aca="false">IF(B472=0,"",IF(INDEX(Bank!$J:$J,B472)="","",INDEX(Bank!$J:$J,B472)))</f>
        <v/>
      </c>
      <c r="E472" s="32" t="str">
        <f aca="false">IF(B472=0,"",INDEX(Bank!$B:$B,B472))</f>
        <v/>
      </c>
      <c r="F472" s="5" t="str">
        <f aca="false">IF(B472=0,"",IF(INDEX(Bank!$C:$C,B472)="","",INDEX(Bank!$C:$C,B472)))</f>
        <v/>
      </c>
      <c r="G472" s="19" t="str">
        <f aca="false">IF(B472=0,"",INDEX(Bank!$E:$E,B472))</f>
        <v/>
      </c>
      <c r="H472" s="5" t="str">
        <f aca="false">IF(B472=0,"",IF(INDEX(Bank!$H:$H,B472)="","",INDEX(Bank!$H:$H,B472)))</f>
        <v/>
      </c>
      <c r="I472" s="5" t="n">
        <f aca="false">IF(H472="",0,IFERROR(MATCH(H472,GL!$A:$A,0),0))</f>
        <v>0</v>
      </c>
      <c r="J472" s="32" t="str">
        <f aca="false">IF(I472=0,"",INDEX(GL!$B:$B,I472))</f>
        <v/>
      </c>
      <c r="K472" s="5" t="str">
        <f aca="false">IF(I472=0,"",IF(INDEX(GL!$C:$C,I472)="","",INDEX(GL!$C:$C,I472)))</f>
        <v/>
      </c>
      <c r="L472" s="19" t="str">
        <f aca="false">IF(I472=0,"",INDEX(GL!$E:$E,I472))</f>
        <v/>
      </c>
      <c r="M472" s="19" t="str">
        <f aca="false">IF(OR(B472=0,I472=0),"",ROUND(G472-L472,2))</f>
        <v/>
      </c>
      <c r="N472" s="5" t="str">
        <f aca="false">IF(A472="","",IF(B472=0,"NOT FOUND: bank ID",IF(I472=0,"NOT FOUND: GL ID",IF(INDEX(GL!$H:$H,I472)&lt;&gt;A472,"BROKEN: GL points elsewhere",IF(OR(INDEX(Bank!$F:$F,B472)&lt;&gt;"Y",INDEX(GL!$F:$F,I472)&lt;&gt;"Y"),"BROKEN: Status not Y","OK")))))</f>
        <v/>
      </c>
    </row>
    <row r="473" customFormat="false" ht="15" hidden="false" customHeight="false" outlineLevel="0" collapsed="false">
      <c r="A473" s="41"/>
      <c r="B473" s="5" t="n">
        <f aca="false">IF(A473="",0,IFERROR(MATCH(A473,Bank!$A:$A,0),0))</f>
        <v>0</v>
      </c>
      <c r="C473" s="5" t="str">
        <f aca="false">IF(B473=0,"",IF(INDEX(Bank!$G:$G,B473)="","",INDEX(Bank!$G:$G,B473)))</f>
        <v/>
      </c>
      <c r="D473" s="5" t="str">
        <f aca="false">IF(B473=0,"",IF(INDEX(Bank!$J:$J,B473)="","",INDEX(Bank!$J:$J,B473)))</f>
        <v/>
      </c>
      <c r="E473" s="32" t="str">
        <f aca="false">IF(B473=0,"",INDEX(Bank!$B:$B,B473))</f>
        <v/>
      </c>
      <c r="F473" s="5" t="str">
        <f aca="false">IF(B473=0,"",IF(INDEX(Bank!$C:$C,B473)="","",INDEX(Bank!$C:$C,B473)))</f>
        <v/>
      </c>
      <c r="G473" s="19" t="str">
        <f aca="false">IF(B473=0,"",INDEX(Bank!$E:$E,B473))</f>
        <v/>
      </c>
      <c r="H473" s="5" t="str">
        <f aca="false">IF(B473=0,"",IF(INDEX(Bank!$H:$H,B473)="","",INDEX(Bank!$H:$H,B473)))</f>
        <v/>
      </c>
      <c r="I473" s="5" t="n">
        <f aca="false">IF(H473="",0,IFERROR(MATCH(H473,GL!$A:$A,0),0))</f>
        <v>0</v>
      </c>
      <c r="J473" s="32" t="str">
        <f aca="false">IF(I473=0,"",INDEX(GL!$B:$B,I473))</f>
        <v/>
      </c>
      <c r="K473" s="5" t="str">
        <f aca="false">IF(I473=0,"",IF(INDEX(GL!$C:$C,I473)="","",INDEX(GL!$C:$C,I473)))</f>
        <v/>
      </c>
      <c r="L473" s="19" t="str">
        <f aca="false">IF(I473=0,"",INDEX(GL!$E:$E,I473))</f>
        <v/>
      </c>
      <c r="M473" s="19" t="str">
        <f aca="false">IF(OR(B473=0,I473=0),"",ROUND(G473-L473,2))</f>
        <v/>
      </c>
      <c r="N473" s="5" t="str">
        <f aca="false">IF(A473="","",IF(B473=0,"NOT FOUND: bank ID",IF(I473=0,"NOT FOUND: GL ID",IF(INDEX(GL!$H:$H,I473)&lt;&gt;A473,"BROKEN: GL points elsewhere",IF(OR(INDEX(Bank!$F:$F,B473)&lt;&gt;"Y",INDEX(GL!$F:$F,I473)&lt;&gt;"Y"),"BROKEN: Status not Y","OK")))))</f>
        <v/>
      </c>
    </row>
    <row r="474" customFormat="false" ht="15" hidden="false" customHeight="false" outlineLevel="0" collapsed="false">
      <c r="A474" s="41"/>
      <c r="B474" s="5" t="n">
        <f aca="false">IF(A474="",0,IFERROR(MATCH(A474,Bank!$A:$A,0),0))</f>
        <v>0</v>
      </c>
      <c r="C474" s="5" t="str">
        <f aca="false">IF(B474=0,"",IF(INDEX(Bank!$G:$G,B474)="","",INDEX(Bank!$G:$G,B474)))</f>
        <v/>
      </c>
      <c r="D474" s="5" t="str">
        <f aca="false">IF(B474=0,"",IF(INDEX(Bank!$J:$J,B474)="","",INDEX(Bank!$J:$J,B474)))</f>
        <v/>
      </c>
      <c r="E474" s="32" t="str">
        <f aca="false">IF(B474=0,"",INDEX(Bank!$B:$B,B474))</f>
        <v/>
      </c>
      <c r="F474" s="5" t="str">
        <f aca="false">IF(B474=0,"",IF(INDEX(Bank!$C:$C,B474)="","",INDEX(Bank!$C:$C,B474)))</f>
        <v/>
      </c>
      <c r="G474" s="19" t="str">
        <f aca="false">IF(B474=0,"",INDEX(Bank!$E:$E,B474))</f>
        <v/>
      </c>
      <c r="H474" s="5" t="str">
        <f aca="false">IF(B474=0,"",IF(INDEX(Bank!$H:$H,B474)="","",INDEX(Bank!$H:$H,B474)))</f>
        <v/>
      </c>
      <c r="I474" s="5" t="n">
        <f aca="false">IF(H474="",0,IFERROR(MATCH(H474,GL!$A:$A,0),0))</f>
        <v>0</v>
      </c>
      <c r="J474" s="32" t="str">
        <f aca="false">IF(I474=0,"",INDEX(GL!$B:$B,I474))</f>
        <v/>
      </c>
      <c r="K474" s="5" t="str">
        <f aca="false">IF(I474=0,"",IF(INDEX(GL!$C:$C,I474)="","",INDEX(GL!$C:$C,I474)))</f>
        <v/>
      </c>
      <c r="L474" s="19" t="str">
        <f aca="false">IF(I474=0,"",INDEX(GL!$E:$E,I474))</f>
        <v/>
      </c>
      <c r="M474" s="19" t="str">
        <f aca="false">IF(OR(B474=0,I474=0),"",ROUND(G474-L474,2))</f>
        <v/>
      </c>
      <c r="N474" s="5" t="str">
        <f aca="false">IF(A474="","",IF(B474=0,"NOT FOUND: bank ID",IF(I474=0,"NOT FOUND: GL ID",IF(INDEX(GL!$H:$H,I474)&lt;&gt;A474,"BROKEN: GL points elsewhere",IF(OR(INDEX(Bank!$F:$F,B474)&lt;&gt;"Y",INDEX(GL!$F:$F,I474)&lt;&gt;"Y"),"BROKEN: Status not Y","OK")))))</f>
        <v/>
      </c>
    </row>
    <row r="475" customFormat="false" ht="15" hidden="false" customHeight="false" outlineLevel="0" collapsed="false">
      <c r="A475" s="41"/>
      <c r="B475" s="5" t="n">
        <f aca="false">IF(A475="",0,IFERROR(MATCH(A475,Bank!$A:$A,0),0))</f>
        <v>0</v>
      </c>
      <c r="C475" s="5" t="str">
        <f aca="false">IF(B475=0,"",IF(INDEX(Bank!$G:$G,B475)="","",INDEX(Bank!$G:$G,B475)))</f>
        <v/>
      </c>
      <c r="D475" s="5" t="str">
        <f aca="false">IF(B475=0,"",IF(INDEX(Bank!$J:$J,B475)="","",INDEX(Bank!$J:$J,B475)))</f>
        <v/>
      </c>
      <c r="E475" s="32" t="str">
        <f aca="false">IF(B475=0,"",INDEX(Bank!$B:$B,B475))</f>
        <v/>
      </c>
      <c r="F475" s="5" t="str">
        <f aca="false">IF(B475=0,"",IF(INDEX(Bank!$C:$C,B475)="","",INDEX(Bank!$C:$C,B475)))</f>
        <v/>
      </c>
      <c r="G475" s="19" t="str">
        <f aca="false">IF(B475=0,"",INDEX(Bank!$E:$E,B475))</f>
        <v/>
      </c>
      <c r="H475" s="5" t="str">
        <f aca="false">IF(B475=0,"",IF(INDEX(Bank!$H:$H,B475)="","",INDEX(Bank!$H:$H,B475)))</f>
        <v/>
      </c>
      <c r="I475" s="5" t="n">
        <f aca="false">IF(H475="",0,IFERROR(MATCH(H475,GL!$A:$A,0),0))</f>
        <v>0</v>
      </c>
      <c r="J475" s="32" t="str">
        <f aca="false">IF(I475=0,"",INDEX(GL!$B:$B,I475))</f>
        <v/>
      </c>
      <c r="K475" s="5" t="str">
        <f aca="false">IF(I475=0,"",IF(INDEX(GL!$C:$C,I475)="","",INDEX(GL!$C:$C,I475)))</f>
        <v/>
      </c>
      <c r="L475" s="19" t="str">
        <f aca="false">IF(I475=0,"",INDEX(GL!$E:$E,I475))</f>
        <v/>
      </c>
      <c r="M475" s="19" t="str">
        <f aca="false">IF(OR(B475=0,I475=0),"",ROUND(G475-L475,2))</f>
        <v/>
      </c>
      <c r="N475" s="5" t="str">
        <f aca="false">IF(A475="","",IF(B475=0,"NOT FOUND: bank ID",IF(I475=0,"NOT FOUND: GL ID",IF(INDEX(GL!$H:$H,I475)&lt;&gt;A475,"BROKEN: GL points elsewhere",IF(OR(INDEX(Bank!$F:$F,B475)&lt;&gt;"Y",INDEX(GL!$F:$F,I475)&lt;&gt;"Y"),"BROKEN: Status not Y","OK")))))</f>
        <v/>
      </c>
    </row>
    <row r="476" customFormat="false" ht="15" hidden="false" customHeight="false" outlineLevel="0" collapsed="false">
      <c r="A476" s="41"/>
      <c r="B476" s="5" t="n">
        <f aca="false">IF(A476="",0,IFERROR(MATCH(A476,Bank!$A:$A,0),0))</f>
        <v>0</v>
      </c>
      <c r="C476" s="5" t="str">
        <f aca="false">IF(B476=0,"",IF(INDEX(Bank!$G:$G,B476)="","",INDEX(Bank!$G:$G,B476)))</f>
        <v/>
      </c>
      <c r="D476" s="5" t="str">
        <f aca="false">IF(B476=0,"",IF(INDEX(Bank!$J:$J,B476)="","",INDEX(Bank!$J:$J,B476)))</f>
        <v/>
      </c>
      <c r="E476" s="32" t="str">
        <f aca="false">IF(B476=0,"",INDEX(Bank!$B:$B,B476))</f>
        <v/>
      </c>
      <c r="F476" s="5" t="str">
        <f aca="false">IF(B476=0,"",IF(INDEX(Bank!$C:$C,B476)="","",INDEX(Bank!$C:$C,B476)))</f>
        <v/>
      </c>
      <c r="G476" s="19" t="str">
        <f aca="false">IF(B476=0,"",INDEX(Bank!$E:$E,B476))</f>
        <v/>
      </c>
      <c r="H476" s="5" t="str">
        <f aca="false">IF(B476=0,"",IF(INDEX(Bank!$H:$H,B476)="","",INDEX(Bank!$H:$H,B476)))</f>
        <v/>
      </c>
      <c r="I476" s="5" t="n">
        <f aca="false">IF(H476="",0,IFERROR(MATCH(H476,GL!$A:$A,0),0))</f>
        <v>0</v>
      </c>
      <c r="J476" s="32" t="str">
        <f aca="false">IF(I476=0,"",INDEX(GL!$B:$B,I476))</f>
        <v/>
      </c>
      <c r="K476" s="5" t="str">
        <f aca="false">IF(I476=0,"",IF(INDEX(GL!$C:$C,I476)="","",INDEX(GL!$C:$C,I476)))</f>
        <v/>
      </c>
      <c r="L476" s="19" t="str">
        <f aca="false">IF(I476=0,"",INDEX(GL!$E:$E,I476))</f>
        <v/>
      </c>
      <c r="M476" s="19" t="str">
        <f aca="false">IF(OR(B476=0,I476=0),"",ROUND(G476-L476,2))</f>
        <v/>
      </c>
      <c r="N476" s="5" t="str">
        <f aca="false">IF(A476="","",IF(B476=0,"NOT FOUND: bank ID",IF(I476=0,"NOT FOUND: GL ID",IF(INDEX(GL!$H:$H,I476)&lt;&gt;A476,"BROKEN: GL points elsewhere",IF(OR(INDEX(Bank!$F:$F,B476)&lt;&gt;"Y",INDEX(GL!$F:$F,I476)&lt;&gt;"Y"),"BROKEN: Status not Y","OK")))))</f>
        <v/>
      </c>
    </row>
    <row r="477" customFormat="false" ht="15" hidden="false" customHeight="false" outlineLevel="0" collapsed="false">
      <c r="A477" s="41"/>
      <c r="B477" s="5" t="n">
        <f aca="false">IF(A477="",0,IFERROR(MATCH(A477,Bank!$A:$A,0),0))</f>
        <v>0</v>
      </c>
      <c r="C477" s="5" t="str">
        <f aca="false">IF(B477=0,"",IF(INDEX(Bank!$G:$G,B477)="","",INDEX(Bank!$G:$G,B477)))</f>
        <v/>
      </c>
      <c r="D477" s="5" t="str">
        <f aca="false">IF(B477=0,"",IF(INDEX(Bank!$J:$J,B477)="","",INDEX(Bank!$J:$J,B477)))</f>
        <v/>
      </c>
      <c r="E477" s="32" t="str">
        <f aca="false">IF(B477=0,"",INDEX(Bank!$B:$B,B477))</f>
        <v/>
      </c>
      <c r="F477" s="5" t="str">
        <f aca="false">IF(B477=0,"",IF(INDEX(Bank!$C:$C,B477)="","",INDEX(Bank!$C:$C,B477)))</f>
        <v/>
      </c>
      <c r="G477" s="19" t="str">
        <f aca="false">IF(B477=0,"",INDEX(Bank!$E:$E,B477))</f>
        <v/>
      </c>
      <c r="H477" s="5" t="str">
        <f aca="false">IF(B477=0,"",IF(INDEX(Bank!$H:$H,B477)="","",INDEX(Bank!$H:$H,B477)))</f>
        <v/>
      </c>
      <c r="I477" s="5" t="n">
        <f aca="false">IF(H477="",0,IFERROR(MATCH(H477,GL!$A:$A,0),0))</f>
        <v>0</v>
      </c>
      <c r="J477" s="32" t="str">
        <f aca="false">IF(I477=0,"",INDEX(GL!$B:$B,I477))</f>
        <v/>
      </c>
      <c r="K477" s="5" t="str">
        <f aca="false">IF(I477=0,"",IF(INDEX(GL!$C:$C,I477)="","",INDEX(GL!$C:$C,I477)))</f>
        <v/>
      </c>
      <c r="L477" s="19" t="str">
        <f aca="false">IF(I477=0,"",INDEX(GL!$E:$E,I477))</f>
        <v/>
      </c>
      <c r="M477" s="19" t="str">
        <f aca="false">IF(OR(B477=0,I477=0),"",ROUND(G477-L477,2))</f>
        <v/>
      </c>
      <c r="N477" s="5" t="str">
        <f aca="false">IF(A477="","",IF(B477=0,"NOT FOUND: bank ID",IF(I477=0,"NOT FOUND: GL ID",IF(INDEX(GL!$H:$H,I477)&lt;&gt;A477,"BROKEN: GL points elsewhere",IF(OR(INDEX(Bank!$F:$F,B477)&lt;&gt;"Y",INDEX(GL!$F:$F,I477)&lt;&gt;"Y"),"BROKEN: Status not Y","OK")))))</f>
        <v/>
      </c>
    </row>
    <row r="478" customFormat="false" ht="15" hidden="false" customHeight="false" outlineLevel="0" collapsed="false">
      <c r="A478" s="41"/>
      <c r="B478" s="5" t="n">
        <f aca="false">IF(A478="",0,IFERROR(MATCH(A478,Bank!$A:$A,0),0))</f>
        <v>0</v>
      </c>
      <c r="C478" s="5" t="str">
        <f aca="false">IF(B478=0,"",IF(INDEX(Bank!$G:$G,B478)="","",INDEX(Bank!$G:$G,B478)))</f>
        <v/>
      </c>
      <c r="D478" s="5" t="str">
        <f aca="false">IF(B478=0,"",IF(INDEX(Bank!$J:$J,B478)="","",INDEX(Bank!$J:$J,B478)))</f>
        <v/>
      </c>
      <c r="E478" s="32" t="str">
        <f aca="false">IF(B478=0,"",INDEX(Bank!$B:$B,B478))</f>
        <v/>
      </c>
      <c r="F478" s="5" t="str">
        <f aca="false">IF(B478=0,"",IF(INDEX(Bank!$C:$C,B478)="","",INDEX(Bank!$C:$C,B478)))</f>
        <v/>
      </c>
      <c r="G478" s="19" t="str">
        <f aca="false">IF(B478=0,"",INDEX(Bank!$E:$E,B478))</f>
        <v/>
      </c>
      <c r="H478" s="5" t="str">
        <f aca="false">IF(B478=0,"",IF(INDEX(Bank!$H:$H,B478)="","",INDEX(Bank!$H:$H,B478)))</f>
        <v/>
      </c>
      <c r="I478" s="5" t="n">
        <f aca="false">IF(H478="",0,IFERROR(MATCH(H478,GL!$A:$A,0),0))</f>
        <v>0</v>
      </c>
      <c r="J478" s="32" t="str">
        <f aca="false">IF(I478=0,"",INDEX(GL!$B:$B,I478))</f>
        <v/>
      </c>
      <c r="K478" s="5" t="str">
        <f aca="false">IF(I478=0,"",IF(INDEX(GL!$C:$C,I478)="","",INDEX(GL!$C:$C,I478)))</f>
        <v/>
      </c>
      <c r="L478" s="19" t="str">
        <f aca="false">IF(I478=0,"",INDEX(GL!$E:$E,I478))</f>
        <v/>
      </c>
      <c r="M478" s="19" t="str">
        <f aca="false">IF(OR(B478=0,I478=0),"",ROUND(G478-L478,2))</f>
        <v/>
      </c>
      <c r="N478" s="5" t="str">
        <f aca="false">IF(A478="","",IF(B478=0,"NOT FOUND: bank ID",IF(I478=0,"NOT FOUND: GL ID",IF(INDEX(GL!$H:$H,I478)&lt;&gt;A478,"BROKEN: GL points elsewhere",IF(OR(INDEX(Bank!$F:$F,B478)&lt;&gt;"Y",INDEX(GL!$F:$F,I478)&lt;&gt;"Y"),"BROKEN: Status not Y","OK")))))</f>
        <v/>
      </c>
    </row>
    <row r="479" customFormat="false" ht="15" hidden="false" customHeight="false" outlineLevel="0" collapsed="false">
      <c r="A479" s="41"/>
      <c r="B479" s="5" t="n">
        <f aca="false">IF(A479="",0,IFERROR(MATCH(A479,Bank!$A:$A,0),0))</f>
        <v>0</v>
      </c>
      <c r="C479" s="5" t="str">
        <f aca="false">IF(B479=0,"",IF(INDEX(Bank!$G:$G,B479)="","",INDEX(Bank!$G:$G,B479)))</f>
        <v/>
      </c>
      <c r="D479" s="5" t="str">
        <f aca="false">IF(B479=0,"",IF(INDEX(Bank!$J:$J,B479)="","",INDEX(Bank!$J:$J,B479)))</f>
        <v/>
      </c>
      <c r="E479" s="32" t="str">
        <f aca="false">IF(B479=0,"",INDEX(Bank!$B:$B,B479))</f>
        <v/>
      </c>
      <c r="F479" s="5" t="str">
        <f aca="false">IF(B479=0,"",IF(INDEX(Bank!$C:$C,B479)="","",INDEX(Bank!$C:$C,B479)))</f>
        <v/>
      </c>
      <c r="G479" s="19" t="str">
        <f aca="false">IF(B479=0,"",INDEX(Bank!$E:$E,B479))</f>
        <v/>
      </c>
      <c r="H479" s="5" t="str">
        <f aca="false">IF(B479=0,"",IF(INDEX(Bank!$H:$H,B479)="","",INDEX(Bank!$H:$H,B479)))</f>
        <v/>
      </c>
      <c r="I479" s="5" t="n">
        <f aca="false">IF(H479="",0,IFERROR(MATCH(H479,GL!$A:$A,0),0))</f>
        <v>0</v>
      </c>
      <c r="J479" s="32" t="str">
        <f aca="false">IF(I479=0,"",INDEX(GL!$B:$B,I479))</f>
        <v/>
      </c>
      <c r="K479" s="5" t="str">
        <f aca="false">IF(I479=0,"",IF(INDEX(GL!$C:$C,I479)="","",INDEX(GL!$C:$C,I479)))</f>
        <v/>
      </c>
      <c r="L479" s="19" t="str">
        <f aca="false">IF(I479=0,"",INDEX(GL!$E:$E,I479))</f>
        <v/>
      </c>
      <c r="M479" s="19" t="str">
        <f aca="false">IF(OR(B479=0,I479=0),"",ROUND(G479-L479,2))</f>
        <v/>
      </c>
      <c r="N479" s="5" t="str">
        <f aca="false">IF(A479="","",IF(B479=0,"NOT FOUND: bank ID",IF(I479=0,"NOT FOUND: GL ID",IF(INDEX(GL!$H:$H,I479)&lt;&gt;A479,"BROKEN: GL points elsewhere",IF(OR(INDEX(Bank!$F:$F,B479)&lt;&gt;"Y",INDEX(GL!$F:$F,I479)&lt;&gt;"Y"),"BROKEN: Status not Y","OK")))))</f>
        <v/>
      </c>
    </row>
    <row r="480" customFormat="false" ht="15" hidden="false" customHeight="false" outlineLevel="0" collapsed="false">
      <c r="A480" s="41"/>
      <c r="B480" s="5" t="n">
        <f aca="false">IF(A480="",0,IFERROR(MATCH(A480,Bank!$A:$A,0),0))</f>
        <v>0</v>
      </c>
      <c r="C480" s="5" t="str">
        <f aca="false">IF(B480=0,"",IF(INDEX(Bank!$G:$G,B480)="","",INDEX(Bank!$G:$G,B480)))</f>
        <v/>
      </c>
      <c r="D480" s="5" t="str">
        <f aca="false">IF(B480=0,"",IF(INDEX(Bank!$J:$J,B480)="","",INDEX(Bank!$J:$J,B480)))</f>
        <v/>
      </c>
      <c r="E480" s="32" t="str">
        <f aca="false">IF(B480=0,"",INDEX(Bank!$B:$B,B480))</f>
        <v/>
      </c>
      <c r="F480" s="5" t="str">
        <f aca="false">IF(B480=0,"",IF(INDEX(Bank!$C:$C,B480)="","",INDEX(Bank!$C:$C,B480)))</f>
        <v/>
      </c>
      <c r="G480" s="19" t="str">
        <f aca="false">IF(B480=0,"",INDEX(Bank!$E:$E,B480))</f>
        <v/>
      </c>
      <c r="H480" s="5" t="str">
        <f aca="false">IF(B480=0,"",IF(INDEX(Bank!$H:$H,B480)="","",INDEX(Bank!$H:$H,B480)))</f>
        <v/>
      </c>
      <c r="I480" s="5" t="n">
        <f aca="false">IF(H480="",0,IFERROR(MATCH(H480,GL!$A:$A,0),0))</f>
        <v>0</v>
      </c>
      <c r="J480" s="32" t="str">
        <f aca="false">IF(I480=0,"",INDEX(GL!$B:$B,I480))</f>
        <v/>
      </c>
      <c r="K480" s="5" t="str">
        <f aca="false">IF(I480=0,"",IF(INDEX(GL!$C:$C,I480)="","",INDEX(GL!$C:$C,I480)))</f>
        <v/>
      </c>
      <c r="L480" s="19" t="str">
        <f aca="false">IF(I480=0,"",INDEX(GL!$E:$E,I480))</f>
        <v/>
      </c>
      <c r="M480" s="19" t="str">
        <f aca="false">IF(OR(B480=0,I480=0),"",ROUND(G480-L480,2))</f>
        <v/>
      </c>
      <c r="N480" s="5" t="str">
        <f aca="false">IF(A480="","",IF(B480=0,"NOT FOUND: bank ID",IF(I480=0,"NOT FOUND: GL ID",IF(INDEX(GL!$H:$H,I480)&lt;&gt;A480,"BROKEN: GL points elsewhere",IF(OR(INDEX(Bank!$F:$F,B480)&lt;&gt;"Y",INDEX(GL!$F:$F,I480)&lt;&gt;"Y"),"BROKEN: Status not Y","OK")))))</f>
        <v/>
      </c>
    </row>
    <row r="481" customFormat="false" ht="15" hidden="false" customHeight="false" outlineLevel="0" collapsed="false">
      <c r="A481" s="41"/>
      <c r="B481" s="5" t="n">
        <f aca="false">IF(A481="",0,IFERROR(MATCH(A481,Bank!$A:$A,0),0))</f>
        <v>0</v>
      </c>
      <c r="C481" s="5" t="str">
        <f aca="false">IF(B481=0,"",IF(INDEX(Bank!$G:$G,B481)="","",INDEX(Bank!$G:$G,B481)))</f>
        <v/>
      </c>
      <c r="D481" s="5" t="str">
        <f aca="false">IF(B481=0,"",IF(INDEX(Bank!$J:$J,B481)="","",INDEX(Bank!$J:$J,B481)))</f>
        <v/>
      </c>
      <c r="E481" s="32" t="str">
        <f aca="false">IF(B481=0,"",INDEX(Bank!$B:$B,B481))</f>
        <v/>
      </c>
      <c r="F481" s="5" t="str">
        <f aca="false">IF(B481=0,"",IF(INDEX(Bank!$C:$C,B481)="","",INDEX(Bank!$C:$C,B481)))</f>
        <v/>
      </c>
      <c r="G481" s="19" t="str">
        <f aca="false">IF(B481=0,"",INDEX(Bank!$E:$E,B481))</f>
        <v/>
      </c>
      <c r="H481" s="5" t="str">
        <f aca="false">IF(B481=0,"",IF(INDEX(Bank!$H:$H,B481)="","",INDEX(Bank!$H:$H,B481)))</f>
        <v/>
      </c>
      <c r="I481" s="5" t="n">
        <f aca="false">IF(H481="",0,IFERROR(MATCH(H481,GL!$A:$A,0),0))</f>
        <v>0</v>
      </c>
      <c r="J481" s="32" t="str">
        <f aca="false">IF(I481=0,"",INDEX(GL!$B:$B,I481))</f>
        <v/>
      </c>
      <c r="K481" s="5" t="str">
        <f aca="false">IF(I481=0,"",IF(INDEX(GL!$C:$C,I481)="","",INDEX(GL!$C:$C,I481)))</f>
        <v/>
      </c>
      <c r="L481" s="19" t="str">
        <f aca="false">IF(I481=0,"",INDEX(GL!$E:$E,I481))</f>
        <v/>
      </c>
      <c r="M481" s="19" t="str">
        <f aca="false">IF(OR(B481=0,I481=0),"",ROUND(G481-L481,2))</f>
        <v/>
      </c>
      <c r="N481" s="5" t="str">
        <f aca="false">IF(A481="","",IF(B481=0,"NOT FOUND: bank ID",IF(I481=0,"NOT FOUND: GL ID",IF(INDEX(GL!$H:$H,I481)&lt;&gt;A481,"BROKEN: GL points elsewhere",IF(OR(INDEX(Bank!$F:$F,B481)&lt;&gt;"Y",INDEX(GL!$F:$F,I481)&lt;&gt;"Y"),"BROKEN: Status not Y","OK")))))</f>
        <v/>
      </c>
    </row>
    <row r="482" customFormat="false" ht="15" hidden="false" customHeight="false" outlineLevel="0" collapsed="false">
      <c r="A482" s="41"/>
      <c r="B482" s="5" t="n">
        <f aca="false">IF(A482="",0,IFERROR(MATCH(A482,Bank!$A:$A,0),0))</f>
        <v>0</v>
      </c>
      <c r="C482" s="5" t="str">
        <f aca="false">IF(B482=0,"",IF(INDEX(Bank!$G:$G,B482)="","",INDEX(Bank!$G:$G,B482)))</f>
        <v/>
      </c>
      <c r="D482" s="5" t="str">
        <f aca="false">IF(B482=0,"",IF(INDEX(Bank!$J:$J,B482)="","",INDEX(Bank!$J:$J,B482)))</f>
        <v/>
      </c>
      <c r="E482" s="32" t="str">
        <f aca="false">IF(B482=0,"",INDEX(Bank!$B:$B,B482))</f>
        <v/>
      </c>
      <c r="F482" s="5" t="str">
        <f aca="false">IF(B482=0,"",IF(INDEX(Bank!$C:$C,B482)="","",INDEX(Bank!$C:$C,B482)))</f>
        <v/>
      </c>
      <c r="G482" s="19" t="str">
        <f aca="false">IF(B482=0,"",INDEX(Bank!$E:$E,B482))</f>
        <v/>
      </c>
      <c r="H482" s="5" t="str">
        <f aca="false">IF(B482=0,"",IF(INDEX(Bank!$H:$H,B482)="","",INDEX(Bank!$H:$H,B482)))</f>
        <v/>
      </c>
      <c r="I482" s="5" t="n">
        <f aca="false">IF(H482="",0,IFERROR(MATCH(H482,GL!$A:$A,0),0))</f>
        <v>0</v>
      </c>
      <c r="J482" s="32" t="str">
        <f aca="false">IF(I482=0,"",INDEX(GL!$B:$B,I482))</f>
        <v/>
      </c>
      <c r="K482" s="5" t="str">
        <f aca="false">IF(I482=0,"",IF(INDEX(GL!$C:$C,I482)="","",INDEX(GL!$C:$C,I482)))</f>
        <v/>
      </c>
      <c r="L482" s="19" t="str">
        <f aca="false">IF(I482=0,"",INDEX(GL!$E:$E,I482))</f>
        <v/>
      </c>
      <c r="M482" s="19" t="str">
        <f aca="false">IF(OR(B482=0,I482=0),"",ROUND(G482-L482,2))</f>
        <v/>
      </c>
      <c r="N482" s="5" t="str">
        <f aca="false">IF(A482="","",IF(B482=0,"NOT FOUND: bank ID",IF(I482=0,"NOT FOUND: GL ID",IF(INDEX(GL!$H:$H,I482)&lt;&gt;A482,"BROKEN: GL points elsewhere",IF(OR(INDEX(Bank!$F:$F,B482)&lt;&gt;"Y",INDEX(GL!$F:$F,I482)&lt;&gt;"Y"),"BROKEN: Status not Y","OK")))))</f>
        <v/>
      </c>
    </row>
    <row r="483" customFormat="false" ht="15" hidden="false" customHeight="false" outlineLevel="0" collapsed="false">
      <c r="A483" s="41"/>
      <c r="B483" s="5" t="n">
        <f aca="false">IF(A483="",0,IFERROR(MATCH(A483,Bank!$A:$A,0),0))</f>
        <v>0</v>
      </c>
      <c r="C483" s="5" t="str">
        <f aca="false">IF(B483=0,"",IF(INDEX(Bank!$G:$G,B483)="","",INDEX(Bank!$G:$G,B483)))</f>
        <v/>
      </c>
      <c r="D483" s="5" t="str">
        <f aca="false">IF(B483=0,"",IF(INDEX(Bank!$J:$J,B483)="","",INDEX(Bank!$J:$J,B483)))</f>
        <v/>
      </c>
      <c r="E483" s="32" t="str">
        <f aca="false">IF(B483=0,"",INDEX(Bank!$B:$B,B483))</f>
        <v/>
      </c>
      <c r="F483" s="5" t="str">
        <f aca="false">IF(B483=0,"",IF(INDEX(Bank!$C:$C,B483)="","",INDEX(Bank!$C:$C,B483)))</f>
        <v/>
      </c>
      <c r="G483" s="19" t="str">
        <f aca="false">IF(B483=0,"",INDEX(Bank!$E:$E,B483))</f>
        <v/>
      </c>
      <c r="H483" s="5" t="str">
        <f aca="false">IF(B483=0,"",IF(INDEX(Bank!$H:$H,B483)="","",INDEX(Bank!$H:$H,B483)))</f>
        <v/>
      </c>
      <c r="I483" s="5" t="n">
        <f aca="false">IF(H483="",0,IFERROR(MATCH(H483,GL!$A:$A,0),0))</f>
        <v>0</v>
      </c>
      <c r="J483" s="32" t="str">
        <f aca="false">IF(I483=0,"",INDEX(GL!$B:$B,I483))</f>
        <v/>
      </c>
      <c r="K483" s="5" t="str">
        <f aca="false">IF(I483=0,"",IF(INDEX(GL!$C:$C,I483)="","",INDEX(GL!$C:$C,I483)))</f>
        <v/>
      </c>
      <c r="L483" s="19" t="str">
        <f aca="false">IF(I483=0,"",INDEX(GL!$E:$E,I483))</f>
        <v/>
      </c>
      <c r="M483" s="19" t="str">
        <f aca="false">IF(OR(B483=0,I483=0),"",ROUND(G483-L483,2))</f>
        <v/>
      </c>
      <c r="N483" s="5" t="str">
        <f aca="false">IF(A483="","",IF(B483=0,"NOT FOUND: bank ID",IF(I483=0,"NOT FOUND: GL ID",IF(INDEX(GL!$H:$H,I483)&lt;&gt;A483,"BROKEN: GL points elsewhere",IF(OR(INDEX(Bank!$F:$F,B483)&lt;&gt;"Y",INDEX(GL!$F:$F,I483)&lt;&gt;"Y"),"BROKEN: Status not Y","OK")))))</f>
        <v/>
      </c>
    </row>
    <row r="484" customFormat="false" ht="15" hidden="false" customHeight="false" outlineLevel="0" collapsed="false">
      <c r="A484" s="41"/>
      <c r="B484" s="5" t="n">
        <f aca="false">IF(A484="",0,IFERROR(MATCH(A484,Bank!$A:$A,0),0))</f>
        <v>0</v>
      </c>
      <c r="C484" s="5" t="str">
        <f aca="false">IF(B484=0,"",IF(INDEX(Bank!$G:$G,B484)="","",INDEX(Bank!$G:$G,B484)))</f>
        <v/>
      </c>
      <c r="D484" s="5" t="str">
        <f aca="false">IF(B484=0,"",IF(INDEX(Bank!$J:$J,B484)="","",INDEX(Bank!$J:$J,B484)))</f>
        <v/>
      </c>
      <c r="E484" s="32" t="str">
        <f aca="false">IF(B484=0,"",INDEX(Bank!$B:$B,B484))</f>
        <v/>
      </c>
      <c r="F484" s="5" t="str">
        <f aca="false">IF(B484=0,"",IF(INDEX(Bank!$C:$C,B484)="","",INDEX(Bank!$C:$C,B484)))</f>
        <v/>
      </c>
      <c r="G484" s="19" t="str">
        <f aca="false">IF(B484=0,"",INDEX(Bank!$E:$E,B484))</f>
        <v/>
      </c>
      <c r="H484" s="5" t="str">
        <f aca="false">IF(B484=0,"",IF(INDEX(Bank!$H:$H,B484)="","",INDEX(Bank!$H:$H,B484)))</f>
        <v/>
      </c>
      <c r="I484" s="5" t="n">
        <f aca="false">IF(H484="",0,IFERROR(MATCH(H484,GL!$A:$A,0),0))</f>
        <v>0</v>
      </c>
      <c r="J484" s="32" t="str">
        <f aca="false">IF(I484=0,"",INDEX(GL!$B:$B,I484))</f>
        <v/>
      </c>
      <c r="K484" s="5" t="str">
        <f aca="false">IF(I484=0,"",IF(INDEX(GL!$C:$C,I484)="","",INDEX(GL!$C:$C,I484)))</f>
        <v/>
      </c>
      <c r="L484" s="19" t="str">
        <f aca="false">IF(I484=0,"",INDEX(GL!$E:$E,I484))</f>
        <v/>
      </c>
      <c r="M484" s="19" t="str">
        <f aca="false">IF(OR(B484=0,I484=0),"",ROUND(G484-L484,2))</f>
        <v/>
      </c>
      <c r="N484" s="5" t="str">
        <f aca="false">IF(A484="","",IF(B484=0,"NOT FOUND: bank ID",IF(I484=0,"NOT FOUND: GL ID",IF(INDEX(GL!$H:$H,I484)&lt;&gt;A484,"BROKEN: GL points elsewhere",IF(OR(INDEX(Bank!$F:$F,B484)&lt;&gt;"Y",INDEX(GL!$F:$F,I484)&lt;&gt;"Y"),"BROKEN: Status not Y","OK")))))</f>
        <v/>
      </c>
    </row>
    <row r="485" customFormat="false" ht="15" hidden="false" customHeight="false" outlineLevel="0" collapsed="false">
      <c r="A485" s="41"/>
      <c r="B485" s="5" t="n">
        <f aca="false">IF(A485="",0,IFERROR(MATCH(A485,Bank!$A:$A,0),0))</f>
        <v>0</v>
      </c>
      <c r="C485" s="5" t="str">
        <f aca="false">IF(B485=0,"",IF(INDEX(Bank!$G:$G,B485)="","",INDEX(Bank!$G:$G,B485)))</f>
        <v/>
      </c>
      <c r="D485" s="5" t="str">
        <f aca="false">IF(B485=0,"",IF(INDEX(Bank!$J:$J,B485)="","",INDEX(Bank!$J:$J,B485)))</f>
        <v/>
      </c>
      <c r="E485" s="32" t="str">
        <f aca="false">IF(B485=0,"",INDEX(Bank!$B:$B,B485))</f>
        <v/>
      </c>
      <c r="F485" s="5" t="str">
        <f aca="false">IF(B485=0,"",IF(INDEX(Bank!$C:$C,B485)="","",INDEX(Bank!$C:$C,B485)))</f>
        <v/>
      </c>
      <c r="G485" s="19" t="str">
        <f aca="false">IF(B485=0,"",INDEX(Bank!$E:$E,B485))</f>
        <v/>
      </c>
      <c r="H485" s="5" t="str">
        <f aca="false">IF(B485=0,"",IF(INDEX(Bank!$H:$H,B485)="","",INDEX(Bank!$H:$H,B485)))</f>
        <v/>
      </c>
      <c r="I485" s="5" t="n">
        <f aca="false">IF(H485="",0,IFERROR(MATCH(H485,GL!$A:$A,0),0))</f>
        <v>0</v>
      </c>
      <c r="J485" s="32" t="str">
        <f aca="false">IF(I485=0,"",INDEX(GL!$B:$B,I485))</f>
        <v/>
      </c>
      <c r="K485" s="5" t="str">
        <f aca="false">IF(I485=0,"",IF(INDEX(GL!$C:$C,I485)="","",INDEX(GL!$C:$C,I485)))</f>
        <v/>
      </c>
      <c r="L485" s="19" t="str">
        <f aca="false">IF(I485=0,"",INDEX(GL!$E:$E,I485))</f>
        <v/>
      </c>
      <c r="M485" s="19" t="str">
        <f aca="false">IF(OR(B485=0,I485=0),"",ROUND(G485-L485,2))</f>
        <v/>
      </c>
      <c r="N485" s="5" t="str">
        <f aca="false">IF(A485="","",IF(B485=0,"NOT FOUND: bank ID",IF(I485=0,"NOT FOUND: GL ID",IF(INDEX(GL!$H:$H,I485)&lt;&gt;A485,"BROKEN: GL points elsewhere",IF(OR(INDEX(Bank!$F:$F,B485)&lt;&gt;"Y",INDEX(GL!$F:$F,I485)&lt;&gt;"Y"),"BROKEN: Status not Y","OK")))))</f>
        <v/>
      </c>
    </row>
    <row r="486" customFormat="false" ht="15" hidden="false" customHeight="false" outlineLevel="0" collapsed="false">
      <c r="A486" s="41"/>
      <c r="B486" s="5" t="n">
        <f aca="false">IF(A486="",0,IFERROR(MATCH(A486,Bank!$A:$A,0),0))</f>
        <v>0</v>
      </c>
      <c r="C486" s="5" t="str">
        <f aca="false">IF(B486=0,"",IF(INDEX(Bank!$G:$G,B486)="","",INDEX(Bank!$G:$G,B486)))</f>
        <v/>
      </c>
      <c r="D486" s="5" t="str">
        <f aca="false">IF(B486=0,"",IF(INDEX(Bank!$J:$J,B486)="","",INDEX(Bank!$J:$J,B486)))</f>
        <v/>
      </c>
      <c r="E486" s="32" t="str">
        <f aca="false">IF(B486=0,"",INDEX(Bank!$B:$B,B486))</f>
        <v/>
      </c>
      <c r="F486" s="5" t="str">
        <f aca="false">IF(B486=0,"",IF(INDEX(Bank!$C:$C,B486)="","",INDEX(Bank!$C:$C,B486)))</f>
        <v/>
      </c>
      <c r="G486" s="19" t="str">
        <f aca="false">IF(B486=0,"",INDEX(Bank!$E:$E,B486))</f>
        <v/>
      </c>
      <c r="H486" s="5" t="str">
        <f aca="false">IF(B486=0,"",IF(INDEX(Bank!$H:$H,B486)="","",INDEX(Bank!$H:$H,B486)))</f>
        <v/>
      </c>
      <c r="I486" s="5" t="n">
        <f aca="false">IF(H486="",0,IFERROR(MATCH(H486,GL!$A:$A,0),0))</f>
        <v>0</v>
      </c>
      <c r="J486" s="32" t="str">
        <f aca="false">IF(I486=0,"",INDEX(GL!$B:$B,I486))</f>
        <v/>
      </c>
      <c r="K486" s="5" t="str">
        <f aca="false">IF(I486=0,"",IF(INDEX(GL!$C:$C,I486)="","",INDEX(GL!$C:$C,I486)))</f>
        <v/>
      </c>
      <c r="L486" s="19" t="str">
        <f aca="false">IF(I486=0,"",INDEX(GL!$E:$E,I486))</f>
        <v/>
      </c>
      <c r="M486" s="19" t="str">
        <f aca="false">IF(OR(B486=0,I486=0),"",ROUND(G486-L486,2))</f>
        <v/>
      </c>
      <c r="N486" s="5" t="str">
        <f aca="false">IF(A486="","",IF(B486=0,"NOT FOUND: bank ID",IF(I486=0,"NOT FOUND: GL ID",IF(INDEX(GL!$H:$H,I486)&lt;&gt;A486,"BROKEN: GL points elsewhere",IF(OR(INDEX(Bank!$F:$F,B486)&lt;&gt;"Y",INDEX(GL!$F:$F,I486)&lt;&gt;"Y"),"BROKEN: Status not Y","OK")))))</f>
        <v/>
      </c>
    </row>
    <row r="487" customFormat="false" ht="15" hidden="false" customHeight="false" outlineLevel="0" collapsed="false">
      <c r="A487" s="41"/>
      <c r="B487" s="5" t="n">
        <f aca="false">IF(A487="",0,IFERROR(MATCH(A487,Bank!$A:$A,0),0))</f>
        <v>0</v>
      </c>
      <c r="C487" s="5" t="str">
        <f aca="false">IF(B487=0,"",IF(INDEX(Bank!$G:$G,B487)="","",INDEX(Bank!$G:$G,B487)))</f>
        <v/>
      </c>
      <c r="D487" s="5" t="str">
        <f aca="false">IF(B487=0,"",IF(INDEX(Bank!$J:$J,B487)="","",INDEX(Bank!$J:$J,B487)))</f>
        <v/>
      </c>
      <c r="E487" s="32" t="str">
        <f aca="false">IF(B487=0,"",INDEX(Bank!$B:$B,B487))</f>
        <v/>
      </c>
      <c r="F487" s="5" t="str">
        <f aca="false">IF(B487=0,"",IF(INDEX(Bank!$C:$C,B487)="","",INDEX(Bank!$C:$C,B487)))</f>
        <v/>
      </c>
      <c r="G487" s="19" t="str">
        <f aca="false">IF(B487=0,"",INDEX(Bank!$E:$E,B487))</f>
        <v/>
      </c>
      <c r="H487" s="5" t="str">
        <f aca="false">IF(B487=0,"",IF(INDEX(Bank!$H:$H,B487)="","",INDEX(Bank!$H:$H,B487)))</f>
        <v/>
      </c>
      <c r="I487" s="5" t="n">
        <f aca="false">IF(H487="",0,IFERROR(MATCH(H487,GL!$A:$A,0),0))</f>
        <v>0</v>
      </c>
      <c r="J487" s="32" t="str">
        <f aca="false">IF(I487=0,"",INDEX(GL!$B:$B,I487))</f>
        <v/>
      </c>
      <c r="K487" s="5" t="str">
        <f aca="false">IF(I487=0,"",IF(INDEX(GL!$C:$C,I487)="","",INDEX(GL!$C:$C,I487)))</f>
        <v/>
      </c>
      <c r="L487" s="19" t="str">
        <f aca="false">IF(I487=0,"",INDEX(GL!$E:$E,I487))</f>
        <v/>
      </c>
      <c r="M487" s="19" t="str">
        <f aca="false">IF(OR(B487=0,I487=0),"",ROUND(G487-L487,2))</f>
        <v/>
      </c>
      <c r="N487" s="5" t="str">
        <f aca="false">IF(A487="","",IF(B487=0,"NOT FOUND: bank ID",IF(I487=0,"NOT FOUND: GL ID",IF(INDEX(GL!$H:$H,I487)&lt;&gt;A487,"BROKEN: GL points elsewhere",IF(OR(INDEX(Bank!$F:$F,B487)&lt;&gt;"Y",INDEX(GL!$F:$F,I487)&lt;&gt;"Y"),"BROKEN: Status not Y","OK")))))</f>
        <v/>
      </c>
    </row>
    <row r="488" customFormat="false" ht="15" hidden="false" customHeight="false" outlineLevel="0" collapsed="false">
      <c r="A488" s="41"/>
      <c r="B488" s="5" t="n">
        <f aca="false">IF(A488="",0,IFERROR(MATCH(A488,Bank!$A:$A,0),0))</f>
        <v>0</v>
      </c>
      <c r="C488" s="5" t="str">
        <f aca="false">IF(B488=0,"",IF(INDEX(Bank!$G:$G,B488)="","",INDEX(Bank!$G:$G,B488)))</f>
        <v/>
      </c>
      <c r="D488" s="5" t="str">
        <f aca="false">IF(B488=0,"",IF(INDEX(Bank!$J:$J,B488)="","",INDEX(Bank!$J:$J,B488)))</f>
        <v/>
      </c>
      <c r="E488" s="32" t="str">
        <f aca="false">IF(B488=0,"",INDEX(Bank!$B:$B,B488))</f>
        <v/>
      </c>
      <c r="F488" s="5" t="str">
        <f aca="false">IF(B488=0,"",IF(INDEX(Bank!$C:$C,B488)="","",INDEX(Bank!$C:$C,B488)))</f>
        <v/>
      </c>
      <c r="G488" s="19" t="str">
        <f aca="false">IF(B488=0,"",INDEX(Bank!$E:$E,B488))</f>
        <v/>
      </c>
      <c r="H488" s="5" t="str">
        <f aca="false">IF(B488=0,"",IF(INDEX(Bank!$H:$H,B488)="","",INDEX(Bank!$H:$H,B488)))</f>
        <v/>
      </c>
      <c r="I488" s="5" t="n">
        <f aca="false">IF(H488="",0,IFERROR(MATCH(H488,GL!$A:$A,0),0))</f>
        <v>0</v>
      </c>
      <c r="J488" s="32" t="str">
        <f aca="false">IF(I488=0,"",INDEX(GL!$B:$B,I488))</f>
        <v/>
      </c>
      <c r="K488" s="5" t="str">
        <f aca="false">IF(I488=0,"",IF(INDEX(GL!$C:$C,I488)="","",INDEX(GL!$C:$C,I488)))</f>
        <v/>
      </c>
      <c r="L488" s="19" t="str">
        <f aca="false">IF(I488=0,"",INDEX(GL!$E:$E,I488))</f>
        <v/>
      </c>
      <c r="M488" s="19" t="str">
        <f aca="false">IF(OR(B488=0,I488=0),"",ROUND(G488-L488,2))</f>
        <v/>
      </c>
      <c r="N488" s="5" t="str">
        <f aca="false">IF(A488="","",IF(B488=0,"NOT FOUND: bank ID",IF(I488=0,"NOT FOUND: GL ID",IF(INDEX(GL!$H:$H,I488)&lt;&gt;A488,"BROKEN: GL points elsewhere",IF(OR(INDEX(Bank!$F:$F,B488)&lt;&gt;"Y",INDEX(GL!$F:$F,I488)&lt;&gt;"Y"),"BROKEN: Status not Y","OK")))))</f>
        <v/>
      </c>
    </row>
    <row r="489" customFormat="false" ht="15" hidden="false" customHeight="false" outlineLevel="0" collapsed="false">
      <c r="A489" s="41"/>
      <c r="B489" s="5" t="n">
        <f aca="false">IF(A489="",0,IFERROR(MATCH(A489,Bank!$A:$A,0),0))</f>
        <v>0</v>
      </c>
      <c r="C489" s="5" t="str">
        <f aca="false">IF(B489=0,"",IF(INDEX(Bank!$G:$G,B489)="","",INDEX(Bank!$G:$G,B489)))</f>
        <v/>
      </c>
      <c r="D489" s="5" t="str">
        <f aca="false">IF(B489=0,"",IF(INDEX(Bank!$J:$J,B489)="","",INDEX(Bank!$J:$J,B489)))</f>
        <v/>
      </c>
      <c r="E489" s="32" t="str">
        <f aca="false">IF(B489=0,"",INDEX(Bank!$B:$B,B489))</f>
        <v/>
      </c>
      <c r="F489" s="5" t="str">
        <f aca="false">IF(B489=0,"",IF(INDEX(Bank!$C:$C,B489)="","",INDEX(Bank!$C:$C,B489)))</f>
        <v/>
      </c>
      <c r="G489" s="19" t="str">
        <f aca="false">IF(B489=0,"",INDEX(Bank!$E:$E,B489))</f>
        <v/>
      </c>
      <c r="H489" s="5" t="str">
        <f aca="false">IF(B489=0,"",IF(INDEX(Bank!$H:$H,B489)="","",INDEX(Bank!$H:$H,B489)))</f>
        <v/>
      </c>
      <c r="I489" s="5" t="n">
        <f aca="false">IF(H489="",0,IFERROR(MATCH(H489,GL!$A:$A,0),0))</f>
        <v>0</v>
      </c>
      <c r="J489" s="32" t="str">
        <f aca="false">IF(I489=0,"",INDEX(GL!$B:$B,I489))</f>
        <v/>
      </c>
      <c r="K489" s="5" t="str">
        <f aca="false">IF(I489=0,"",IF(INDEX(GL!$C:$C,I489)="","",INDEX(GL!$C:$C,I489)))</f>
        <v/>
      </c>
      <c r="L489" s="19" t="str">
        <f aca="false">IF(I489=0,"",INDEX(GL!$E:$E,I489))</f>
        <v/>
      </c>
      <c r="M489" s="19" t="str">
        <f aca="false">IF(OR(B489=0,I489=0),"",ROUND(G489-L489,2))</f>
        <v/>
      </c>
      <c r="N489" s="5" t="str">
        <f aca="false">IF(A489="","",IF(B489=0,"NOT FOUND: bank ID",IF(I489=0,"NOT FOUND: GL ID",IF(INDEX(GL!$H:$H,I489)&lt;&gt;A489,"BROKEN: GL points elsewhere",IF(OR(INDEX(Bank!$F:$F,B489)&lt;&gt;"Y",INDEX(GL!$F:$F,I489)&lt;&gt;"Y"),"BROKEN: Status not Y","OK")))))</f>
        <v/>
      </c>
    </row>
    <row r="490" customFormat="false" ht="15" hidden="false" customHeight="false" outlineLevel="0" collapsed="false">
      <c r="A490" s="41"/>
      <c r="B490" s="5" t="n">
        <f aca="false">IF(A490="",0,IFERROR(MATCH(A490,Bank!$A:$A,0),0))</f>
        <v>0</v>
      </c>
      <c r="C490" s="5" t="str">
        <f aca="false">IF(B490=0,"",IF(INDEX(Bank!$G:$G,B490)="","",INDEX(Bank!$G:$G,B490)))</f>
        <v/>
      </c>
      <c r="D490" s="5" t="str">
        <f aca="false">IF(B490=0,"",IF(INDEX(Bank!$J:$J,B490)="","",INDEX(Bank!$J:$J,B490)))</f>
        <v/>
      </c>
      <c r="E490" s="32" t="str">
        <f aca="false">IF(B490=0,"",INDEX(Bank!$B:$B,B490))</f>
        <v/>
      </c>
      <c r="F490" s="5" t="str">
        <f aca="false">IF(B490=0,"",IF(INDEX(Bank!$C:$C,B490)="","",INDEX(Bank!$C:$C,B490)))</f>
        <v/>
      </c>
      <c r="G490" s="19" t="str">
        <f aca="false">IF(B490=0,"",INDEX(Bank!$E:$E,B490))</f>
        <v/>
      </c>
      <c r="H490" s="5" t="str">
        <f aca="false">IF(B490=0,"",IF(INDEX(Bank!$H:$H,B490)="","",INDEX(Bank!$H:$H,B490)))</f>
        <v/>
      </c>
      <c r="I490" s="5" t="n">
        <f aca="false">IF(H490="",0,IFERROR(MATCH(H490,GL!$A:$A,0),0))</f>
        <v>0</v>
      </c>
      <c r="J490" s="32" t="str">
        <f aca="false">IF(I490=0,"",INDEX(GL!$B:$B,I490))</f>
        <v/>
      </c>
      <c r="K490" s="5" t="str">
        <f aca="false">IF(I490=0,"",IF(INDEX(GL!$C:$C,I490)="","",INDEX(GL!$C:$C,I490)))</f>
        <v/>
      </c>
      <c r="L490" s="19" t="str">
        <f aca="false">IF(I490=0,"",INDEX(GL!$E:$E,I490))</f>
        <v/>
      </c>
      <c r="M490" s="19" t="str">
        <f aca="false">IF(OR(B490=0,I490=0),"",ROUND(G490-L490,2))</f>
        <v/>
      </c>
      <c r="N490" s="5" t="str">
        <f aca="false">IF(A490="","",IF(B490=0,"NOT FOUND: bank ID",IF(I490=0,"NOT FOUND: GL ID",IF(INDEX(GL!$H:$H,I490)&lt;&gt;A490,"BROKEN: GL points elsewhere",IF(OR(INDEX(Bank!$F:$F,B490)&lt;&gt;"Y",INDEX(GL!$F:$F,I490)&lt;&gt;"Y"),"BROKEN: Status not Y","OK")))))</f>
        <v/>
      </c>
    </row>
    <row r="491" customFormat="false" ht="15" hidden="false" customHeight="false" outlineLevel="0" collapsed="false">
      <c r="A491" s="41"/>
      <c r="B491" s="5" t="n">
        <f aca="false">IF(A491="",0,IFERROR(MATCH(A491,Bank!$A:$A,0),0))</f>
        <v>0</v>
      </c>
      <c r="C491" s="5" t="str">
        <f aca="false">IF(B491=0,"",IF(INDEX(Bank!$G:$G,B491)="","",INDEX(Bank!$G:$G,B491)))</f>
        <v/>
      </c>
      <c r="D491" s="5" t="str">
        <f aca="false">IF(B491=0,"",IF(INDEX(Bank!$J:$J,B491)="","",INDEX(Bank!$J:$J,B491)))</f>
        <v/>
      </c>
      <c r="E491" s="32" t="str">
        <f aca="false">IF(B491=0,"",INDEX(Bank!$B:$B,B491))</f>
        <v/>
      </c>
      <c r="F491" s="5" t="str">
        <f aca="false">IF(B491=0,"",IF(INDEX(Bank!$C:$C,B491)="","",INDEX(Bank!$C:$C,B491)))</f>
        <v/>
      </c>
      <c r="G491" s="19" t="str">
        <f aca="false">IF(B491=0,"",INDEX(Bank!$E:$E,B491))</f>
        <v/>
      </c>
      <c r="H491" s="5" t="str">
        <f aca="false">IF(B491=0,"",IF(INDEX(Bank!$H:$H,B491)="","",INDEX(Bank!$H:$H,B491)))</f>
        <v/>
      </c>
      <c r="I491" s="5" t="n">
        <f aca="false">IF(H491="",0,IFERROR(MATCH(H491,GL!$A:$A,0),0))</f>
        <v>0</v>
      </c>
      <c r="J491" s="32" t="str">
        <f aca="false">IF(I491=0,"",INDEX(GL!$B:$B,I491))</f>
        <v/>
      </c>
      <c r="K491" s="5" t="str">
        <f aca="false">IF(I491=0,"",IF(INDEX(GL!$C:$C,I491)="","",INDEX(GL!$C:$C,I491)))</f>
        <v/>
      </c>
      <c r="L491" s="19" t="str">
        <f aca="false">IF(I491=0,"",INDEX(GL!$E:$E,I491))</f>
        <v/>
      </c>
      <c r="M491" s="19" t="str">
        <f aca="false">IF(OR(B491=0,I491=0),"",ROUND(G491-L491,2))</f>
        <v/>
      </c>
      <c r="N491" s="5" t="str">
        <f aca="false">IF(A491="","",IF(B491=0,"NOT FOUND: bank ID",IF(I491=0,"NOT FOUND: GL ID",IF(INDEX(GL!$H:$H,I491)&lt;&gt;A491,"BROKEN: GL points elsewhere",IF(OR(INDEX(Bank!$F:$F,B491)&lt;&gt;"Y",INDEX(GL!$F:$F,I491)&lt;&gt;"Y"),"BROKEN: Status not Y","OK")))))</f>
        <v/>
      </c>
    </row>
    <row r="492" customFormat="false" ht="15" hidden="false" customHeight="false" outlineLevel="0" collapsed="false">
      <c r="A492" s="41"/>
      <c r="B492" s="5" t="n">
        <f aca="false">IF(A492="",0,IFERROR(MATCH(A492,Bank!$A:$A,0),0))</f>
        <v>0</v>
      </c>
      <c r="C492" s="5" t="str">
        <f aca="false">IF(B492=0,"",IF(INDEX(Bank!$G:$G,B492)="","",INDEX(Bank!$G:$G,B492)))</f>
        <v/>
      </c>
      <c r="D492" s="5" t="str">
        <f aca="false">IF(B492=0,"",IF(INDEX(Bank!$J:$J,B492)="","",INDEX(Bank!$J:$J,B492)))</f>
        <v/>
      </c>
      <c r="E492" s="32" t="str">
        <f aca="false">IF(B492=0,"",INDEX(Bank!$B:$B,B492))</f>
        <v/>
      </c>
      <c r="F492" s="5" t="str">
        <f aca="false">IF(B492=0,"",IF(INDEX(Bank!$C:$C,B492)="","",INDEX(Bank!$C:$C,B492)))</f>
        <v/>
      </c>
      <c r="G492" s="19" t="str">
        <f aca="false">IF(B492=0,"",INDEX(Bank!$E:$E,B492))</f>
        <v/>
      </c>
      <c r="H492" s="5" t="str">
        <f aca="false">IF(B492=0,"",IF(INDEX(Bank!$H:$H,B492)="","",INDEX(Bank!$H:$H,B492)))</f>
        <v/>
      </c>
      <c r="I492" s="5" t="n">
        <f aca="false">IF(H492="",0,IFERROR(MATCH(H492,GL!$A:$A,0),0))</f>
        <v>0</v>
      </c>
      <c r="J492" s="32" t="str">
        <f aca="false">IF(I492=0,"",INDEX(GL!$B:$B,I492))</f>
        <v/>
      </c>
      <c r="K492" s="5" t="str">
        <f aca="false">IF(I492=0,"",IF(INDEX(GL!$C:$C,I492)="","",INDEX(GL!$C:$C,I492)))</f>
        <v/>
      </c>
      <c r="L492" s="19" t="str">
        <f aca="false">IF(I492=0,"",INDEX(GL!$E:$E,I492))</f>
        <v/>
      </c>
      <c r="M492" s="19" t="str">
        <f aca="false">IF(OR(B492=0,I492=0),"",ROUND(G492-L492,2))</f>
        <v/>
      </c>
      <c r="N492" s="5" t="str">
        <f aca="false">IF(A492="","",IF(B492=0,"NOT FOUND: bank ID",IF(I492=0,"NOT FOUND: GL ID",IF(INDEX(GL!$H:$H,I492)&lt;&gt;A492,"BROKEN: GL points elsewhere",IF(OR(INDEX(Bank!$F:$F,B492)&lt;&gt;"Y",INDEX(GL!$F:$F,I492)&lt;&gt;"Y"),"BROKEN: Status not Y","OK")))))</f>
        <v/>
      </c>
    </row>
    <row r="493" customFormat="false" ht="15" hidden="false" customHeight="false" outlineLevel="0" collapsed="false">
      <c r="A493" s="41"/>
      <c r="B493" s="5" t="n">
        <f aca="false">IF(A493="",0,IFERROR(MATCH(A493,Bank!$A:$A,0),0))</f>
        <v>0</v>
      </c>
      <c r="C493" s="5" t="str">
        <f aca="false">IF(B493=0,"",IF(INDEX(Bank!$G:$G,B493)="","",INDEX(Bank!$G:$G,B493)))</f>
        <v/>
      </c>
      <c r="D493" s="5" t="str">
        <f aca="false">IF(B493=0,"",IF(INDEX(Bank!$J:$J,B493)="","",INDEX(Bank!$J:$J,B493)))</f>
        <v/>
      </c>
      <c r="E493" s="32" t="str">
        <f aca="false">IF(B493=0,"",INDEX(Bank!$B:$B,B493))</f>
        <v/>
      </c>
      <c r="F493" s="5" t="str">
        <f aca="false">IF(B493=0,"",IF(INDEX(Bank!$C:$C,B493)="","",INDEX(Bank!$C:$C,B493)))</f>
        <v/>
      </c>
      <c r="G493" s="19" t="str">
        <f aca="false">IF(B493=0,"",INDEX(Bank!$E:$E,B493))</f>
        <v/>
      </c>
      <c r="H493" s="5" t="str">
        <f aca="false">IF(B493=0,"",IF(INDEX(Bank!$H:$H,B493)="","",INDEX(Bank!$H:$H,B493)))</f>
        <v/>
      </c>
      <c r="I493" s="5" t="n">
        <f aca="false">IF(H493="",0,IFERROR(MATCH(H493,GL!$A:$A,0),0))</f>
        <v>0</v>
      </c>
      <c r="J493" s="32" t="str">
        <f aca="false">IF(I493=0,"",INDEX(GL!$B:$B,I493))</f>
        <v/>
      </c>
      <c r="K493" s="5" t="str">
        <f aca="false">IF(I493=0,"",IF(INDEX(GL!$C:$C,I493)="","",INDEX(GL!$C:$C,I493)))</f>
        <v/>
      </c>
      <c r="L493" s="19" t="str">
        <f aca="false">IF(I493=0,"",INDEX(GL!$E:$E,I493))</f>
        <v/>
      </c>
      <c r="M493" s="19" t="str">
        <f aca="false">IF(OR(B493=0,I493=0),"",ROUND(G493-L493,2))</f>
        <v/>
      </c>
      <c r="N493" s="5" t="str">
        <f aca="false">IF(A493="","",IF(B493=0,"NOT FOUND: bank ID",IF(I493=0,"NOT FOUND: GL ID",IF(INDEX(GL!$H:$H,I493)&lt;&gt;A493,"BROKEN: GL points elsewhere",IF(OR(INDEX(Bank!$F:$F,B493)&lt;&gt;"Y",INDEX(GL!$F:$F,I493)&lt;&gt;"Y"),"BROKEN: Status not Y","OK")))))</f>
        <v/>
      </c>
    </row>
    <row r="494" customFormat="false" ht="15" hidden="false" customHeight="false" outlineLevel="0" collapsed="false">
      <c r="A494" s="41"/>
      <c r="B494" s="5" t="n">
        <f aca="false">IF(A494="",0,IFERROR(MATCH(A494,Bank!$A:$A,0),0))</f>
        <v>0</v>
      </c>
      <c r="C494" s="5" t="str">
        <f aca="false">IF(B494=0,"",IF(INDEX(Bank!$G:$G,B494)="","",INDEX(Bank!$G:$G,B494)))</f>
        <v/>
      </c>
      <c r="D494" s="5" t="str">
        <f aca="false">IF(B494=0,"",IF(INDEX(Bank!$J:$J,B494)="","",INDEX(Bank!$J:$J,B494)))</f>
        <v/>
      </c>
      <c r="E494" s="32" t="str">
        <f aca="false">IF(B494=0,"",INDEX(Bank!$B:$B,B494))</f>
        <v/>
      </c>
      <c r="F494" s="5" t="str">
        <f aca="false">IF(B494=0,"",IF(INDEX(Bank!$C:$C,B494)="","",INDEX(Bank!$C:$C,B494)))</f>
        <v/>
      </c>
      <c r="G494" s="19" t="str">
        <f aca="false">IF(B494=0,"",INDEX(Bank!$E:$E,B494))</f>
        <v/>
      </c>
      <c r="H494" s="5" t="str">
        <f aca="false">IF(B494=0,"",IF(INDEX(Bank!$H:$H,B494)="","",INDEX(Bank!$H:$H,B494)))</f>
        <v/>
      </c>
      <c r="I494" s="5" t="n">
        <f aca="false">IF(H494="",0,IFERROR(MATCH(H494,GL!$A:$A,0),0))</f>
        <v>0</v>
      </c>
      <c r="J494" s="32" t="str">
        <f aca="false">IF(I494=0,"",INDEX(GL!$B:$B,I494))</f>
        <v/>
      </c>
      <c r="K494" s="5" t="str">
        <f aca="false">IF(I494=0,"",IF(INDEX(GL!$C:$C,I494)="","",INDEX(GL!$C:$C,I494)))</f>
        <v/>
      </c>
      <c r="L494" s="19" t="str">
        <f aca="false">IF(I494=0,"",INDEX(GL!$E:$E,I494))</f>
        <v/>
      </c>
      <c r="M494" s="19" t="str">
        <f aca="false">IF(OR(B494=0,I494=0),"",ROUND(G494-L494,2))</f>
        <v/>
      </c>
      <c r="N494" s="5" t="str">
        <f aca="false">IF(A494="","",IF(B494=0,"NOT FOUND: bank ID",IF(I494=0,"NOT FOUND: GL ID",IF(INDEX(GL!$H:$H,I494)&lt;&gt;A494,"BROKEN: GL points elsewhere",IF(OR(INDEX(Bank!$F:$F,B494)&lt;&gt;"Y",INDEX(GL!$F:$F,I494)&lt;&gt;"Y"),"BROKEN: Status not Y","OK")))))</f>
        <v/>
      </c>
    </row>
    <row r="495" customFormat="false" ht="15" hidden="false" customHeight="false" outlineLevel="0" collapsed="false">
      <c r="A495" s="41"/>
      <c r="B495" s="5" t="n">
        <f aca="false">IF(A495="",0,IFERROR(MATCH(A495,Bank!$A:$A,0),0))</f>
        <v>0</v>
      </c>
      <c r="C495" s="5" t="str">
        <f aca="false">IF(B495=0,"",IF(INDEX(Bank!$G:$G,B495)="","",INDEX(Bank!$G:$G,B495)))</f>
        <v/>
      </c>
      <c r="D495" s="5" t="str">
        <f aca="false">IF(B495=0,"",IF(INDEX(Bank!$J:$J,B495)="","",INDEX(Bank!$J:$J,B495)))</f>
        <v/>
      </c>
      <c r="E495" s="32" t="str">
        <f aca="false">IF(B495=0,"",INDEX(Bank!$B:$B,B495))</f>
        <v/>
      </c>
      <c r="F495" s="5" t="str">
        <f aca="false">IF(B495=0,"",IF(INDEX(Bank!$C:$C,B495)="","",INDEX(Bank!$C:$C,B495)))</f>
        <v/>
      </c>
      <c r="G495" s="19" t="str">
        <f aca="false">IF(B495=0,"",INDEX(Bank!$E:$E,B495))</f>
        <v/>
      </c>
      <c r="H495" s="5" t="str">
        <f aca="false">IF(B495=0,"",IF(INDEX(Bank!$H:$H,B495)="","",INDEX(Bank!$H:$H,B495)))</f>
        <v/>
      </c>
      <c r="I495" s="5" t="n">
        <f aca="false">IF(H495="",0,IFERROR(MATCH(H495,GL!$A:$A,0),0))</f>
        <v>0</v>
      </c>
      <c r="J495" s="32" t="str">
        <f aca="false">IF(I495=0,"",INDEX(GL!$B:$B,I495))</f>
        <v/>
      </c>
      <c r="K495" s="5" t="str">
        <f aca="false">IF(I495=0,"",IF(INDEX(GL!$C:$C,I495)="","",INDEX(GL!$C:$C,I495)))</f>
        <v/>
      </c>
      <c r="L495" s="19" t="str">
        <f aca="false">IF(I495=0,"",INDEX(GL!$E:$E,I495))</f>
        <v/>
      </c>
      <c r="M495" s="19" t="str">
        <f aca="false">IF(OR(B495=0,I495=0),"",ROUND(G495-L495,2))</f>
        <v/>
      </c>
      <c r="N495" s="5" t="str">
        <f aca="false">IF(A495="","",IF(B495=0,"NOT FOUND: bank ID",IF(I495=0,"NOT FOUND: GL ID",IF(INDEX(GL!$H:$H,I495)&lt;&gt;A495,"BROKEN: GL points elsewhere",IF(OR(INDEX(Bank!$F:$F,B495)&lt;&gt;"Y",INDEX(GL!$F:$F,I495)&lt;&gt;"Y"),"BROKEN: Status not Y","OK")))))</f>
        <v/>
      </c>
    </row>
    <row r="496" customFormat="false" ht="15" hidden="false" customHeight="false" outlineLevel="0" collapsed="false">
      <c r="A496" s="41"/>
      <c r="B496" s="5" t="n">
        <f aca="false">IF(A496="",0,IFERROR(MATCH(A496,Bank!$A:$A,0),0))</f>
        <v>0</v>
      </c>
      <c r="C496" s="5" t="str">
        <f aca="false">IF(B496=0,"",IF(INDEX(Bank!$G:$G,B496)="","",INDEX(Bank!$G:$G,B496)))</f>
        <v/>
      </c>
      <c r="D496" s="5" t="str">
        <f aca="false">IF(B496=0,"",IF(INDEX(Bank!$J:$J,B496)="","",INDEX(Bank!$J:$J,B496)))</f>
        <v/>
      </c>
      <c r="E496" s="32" t="str">
        <f aca="false">IF(B496=0,"",INDEX(Bank!$B:$B,B496))</f>
        <v/>
      </c>
      <c r="F496" s="5" t="str">
        <f aca="false">IF(B496=0,"",IF(INDEX(Bank!$C:$C,B496)="","",INDEX(Bank!$C:$C,B496)))</f>
        <v/>
      </c>
      <c r="G496" s="19" t="str">
        <f aca="false">IF(B496=0,"",INDEX(Bank!$E:$E,B496))</f>
        <v/>
      </c>
      <c r="H496" s="5" t="str">
        <f aca="false">IF(B496=0,"",IF(INDEX(Bank!$H:$H,B496)="","",INDEX(Bank!$H:$H,B496)))</f>
        <v/>
      </c>
      <c r="I496" s="5" t="n">
        <f aca="false">IF(H496="",0,IFERROR(MATCH(H496,GL!$A:$A,0),0))</f>
        <v>0</v>
      </c>
      <c r="J496" s="32" t="str">
        <f aca="false">IF(I496=0,"",INDEX(GL!$B:$B,I496))</f>
        <v/>
      </c>
      <c r="K496" s="5" t="str">
        <f aca="false">IF(I496=0,"",IF(INDEX(GL!$C:$C,I496)="","",INDEX(GL!$C:$C,I496)))</f>
        <v/>
      </c>
      <c r="L496" s="19" t="str">
        <f aca="false">IF(I496=0,"",INDEX(GL!$E:$E,I496))</f>
        <v/>
      </c>
      <c r="M496" s="19" t="str">
        <f aca="false">IF(OR(B496=0,I496=0),"",ROUND(G496-L496,2))</f>
        <v/>
      </c>
      <c r="N496" s="5" t="str">
        <f aca="false">IF(A496="","",IF(B496=0,"NOT FOUND: bank ID",IF(I496=0,"NOT FOUND: GL ID",IF(INDEX(GL!$H:$H,I496)&lt;&gt;A496,"BROKEN: GL points elsewhere",IF(OR(INDEX(Bank!$F:$F,B496)&lt;&gt;"Y",INDEX(GL!$F:$F,I496)&lt;&gt;"Y"),"BROKEN: Status not Y","OK")))))</f>
        <v/>
      </c>
    </row>
    <row r="497" customFormat="false" ht="15" hidden="false" customHeight="false" outlineLevel="0" collapsed="false">
      <c r="A497" s="41"/>
      <c r="B497" s="5" t="n">
        <f aca="false">IF(A497="",0,IFERROR(MATCH(A497,Bank!$A:$A,0),0))</f>
        <v>0</v>
      </c>
      <c r="C497" s="5" t="str">
        <f aca="false">IF(B497=0,"",IF(INDEX(Bank!$G:$G,B497)="","",INDEX(Bank!$G:$G,B497)))</f>
        <v/>
      </c>
      <c r="D497" s="5" t="str">
        <f aca="false">IF(B497=0,"",IF(INDEX(Bank!$J:$J,B497)="","",INDEX(Bank!$J:$J,B497)))</f>
        <v/>
      </c>
      <c r="E497" s="32" t="str">
        <f aca="false">IF(B497=0,"",INDEX(Bank!$B:$B,B497))</f>
        <v/>
      </c>
      <c r="F497" s="5" t="str">
        <f aca="false">IF(B497=0,"",IF(INDEX(Bank!$C:$C,B497)="","",INDEX(Bank!$C:$C,B497)))</f>
        <v/>
      </c>
      <c r="G497" s="19" t="str">
        <f aca="false">IF(B497=0,"",INDEX(Bank!$E:$E,B497))</f>
        <v/>
      </c>
      <c r="H497" s="5" t="str">
        <f aca="false">IF(B497=0,"",IF(INDEX(Bank!$H:$H,B497)="","",INDEX(Bank!$H:$H,B497)))</f>
        <v/>
      </c>
      <c r="I497" s="5" t="n">
        <f aca="false">IF(H497="",0,IFERROR(MATCH(H497,GL!$A:$A,0),0))</f>
        <v>0</v>
      </c>
      <c r="J497" s="32" t="str">
        <f aca="false">IF(I497=0,"",INDEX(GL!$B:$B,I497))</f>
        <v/>
      </c>
      <c r="K497" s="5" t="str">
        <f aca="false">IF(I497=0,"",IF(INDEX(GL!$C:$C,I497)="","",INDEX(GL!$C:$C,I497)))</f>
        <v/>
      </c>
      <c r="L497" s="19" t="str">
        <f aca="false">IF(I497=0,"",INDEX(GL!$E:$E,I497))</f>
        <v/>
      </c>
      <c r="M497" s="19" t="str">
        <f aca="false">IF(OR(B497=0,I497=0),"",ROUND(G497-L497,2))</f>
        <v/>
      </c>
      <c r="N497" s="5" t="str">
        <f aca="false">IF(A497="","",IF(B497=0,"NOT FOUND: bank ID",IF(I497=0,"NOT FOUND: GL ID",IF(INDEX(GL!$H:$H,I497)&lt;&gt;A497,"BROKEN: GL points elsewhere",IF(OR(INDEX(Bank!$F:$F,B497)&lt;&gt;"Y",INDEX(GL!$F:$F,I497)&lt;&gt;"Y"),"BROKEN: Status not Y","OK")))))</f>
        <v/>
      </c>
    </row>
    <row r="498" customFormat="false" ht="15" hidden="false" customHeight="false" outlineLevel="0" collapsed="false">
      <c r="A498" s="41"/>
      <c r="B498" s="5" t="n">
        <f aca="false">IF(A498="",0,IFERROR(MATCH(A498,Bank!$A:$A,0),0))</f>
        <v>0</v>
      </c>
      <c r="C498" s="5" t="str">
        <f aca="false">IF(B498=0,"",IF(INDEX(Bank!$G:$G,B498)="","",INDEX(Bank!$G:$G,B498)))</f>
        <v/>
      </c>
      <c r="D498" s="5" t="str">
        <f aca="false">IF(B498=0,"",IF(INDEX(Bank!$J:$J,B498)="","",INDEX(Bank!$J:$J,B498)))</f>
        <v/>
      </c>
      <c r="E498" s="32" t="str">
        <f aca="false">IF(B498=0,"",INDEX(Bank!$B:$B,B498))</f>
        <v/>
      </c>
      <c r="F498" s="5" t="str">
        <f aca="false">IF(B498=0,"",IF(INDEX(Bank!$C:$C,B498)="","",INDEX(Bank!$C:$C,B498)))</f>
        <v/>
      </c>
      <c r="G498" s="19" t="str">
        <f aca="false">IF(B498=0,"",INDEX(Bank!$E:$E,B498))</f>
        <v/>
      </c>
      <c r="H498" s="5" t="str">
        <f aca="false">IF(B498=0,"",IF(INDEX(Bank!$H:$H,B498)="","",INDEX(Bank!$H:$H,B498)))</f>
        <v/>
      </c>
      <c r="I498" s="5" t="n">
        <f aca="false">IF(H498="",0,IFERROR(MATCH(H498,GL!$A:$A,0),0))</f>
        <v>0</v>
      </c>
      <c r="J498" s="32" t="str">
        <f aca="false">IF(I498=0,"",INDEX(GL!$B:$B,I498))</f>
        <v/>
      </c>
      <c r="K498" s="5" t="str">
        <f aca="false">IF(I498=0,"",IF(INDEX(GL!$C:$C,I498)="","",INDEX(GL!$C:$C,I498)))</f>
        <v/>
      </c>
      <c r="L498" s="19" t="str">
        <f aca="false">IF(I498=0,"",INDEX(GL!$E:$E,I498))</f>
        <v/>
      </c>
      <c r="M498" s="19" t="str">
        <f aca="false">IF(OR(B498=0,I498=0),"",ROUND(G498-L498,2))</f>
        <v/>
      </c>
      <c r="N498" s="5" t="str">
        <f aca="false">IF(A498="","",IF(B498=0,"NOT FOUND: bank ID",IF(I498=0,"NOT FOUND: GL ID",IF(INDEX(GL!$H:$H,I498)&lt;&gt;A498,"BROKEN: GL points elsewhere",IF(OR(INDEX(Bank!$F:$F,B498)&lt;&gt;"Y",INDEX(GL!$F:$F,I498)&lt;&gt;"Y"),"BROKEN: Status not Y","OK")))))</f>
        <v/>
      </c>
    </row>
    <row r="499" customFormat="false" ht="15" hidden="false" customHeight="false" outlineLevel="0" collapsed="false">
      <c r="A499" s="41"/>
      <c r="B499" s="5" t="n">
        <f aca="false">IF(A499="",0,IFERROR(MATCH(A499,Bank!$A:$A,0),0))</f>
        <v>0</v>
      </c>
      <c r="C499" s="5" t="str">
        <f aca="false">IF(B499=0,"",IF(INDEX(Bank!$G:$G,B499)="","",INDEX(Bank!$G:$G,B499)))</f>
        <v/>
      </c>
      <c r="D499" s="5" t="str">
        <f aca="false">IF(B499=0,"",IF(INDEX(Bank!$J:$J,B499)="","",INDEX(Bank!$J:$J,B499)))</f>
        <v/>
      </c>
      <c r="E499" s="32" t="str">
        <f aca="false">IF(B499=0,"",INDEX(Bank!$B:$B,B499))</f>
        <v/>
      </c>
      <c r="F499" s="5" t="str">
        <f aca="false">IF(B499=0,"",IF(INDEX(Bank!$C:$C,B499)="","",INDEX(Bank!$C:$C,B499)))</f>
        <v/>
      </c>
      <c r="G499" s="19" t="str">
        <f aca="false">IF(B499=0,"",INDEX(Bank!$E:$E,B499))</f>
        <v/>
      </c>
      <c r="H499" s="5" t="str">
        <f aca="false">IF(B499=0,"",IF(INDEX(Bank!$H:$H,B499)="","",INDEX(Bank!$H:$H,B499)))</f>
        <v/>
      </c>
      <c r="I499" s="5" t="n">
        <f aca="false">IF(H499="",0,IFERROR(MATCH(H499,GL!$A:$A,0),0))</f>
        <v>0</v>
      </c>
      <c r="J499" s="32" t="str">
        <f aca="false">IF(I499=0,"",INDEX(GL!$B:$B,I499))</f>
        <v/>
      </c>
      <c r="K499" s="5" t="str">
        <f aca="false">IF(I499=0,"",IF(INDEX(GL!$C:$C,I499)="","",INDEX(GL!$C:$C,I499)))</f>
        <v/>
      </c>
      <c r="L499" s="19" t="str">
        <f aca="false">IF(I499=0,"",INDEX(GL!$E:$E,I499))</f>
        <v/>
      </c>
      <c r="M499" s="19" t="str">
        <f aca="false">IF(OR(B499=0,I499=0),"",ROUND(G499-L499,2))</f>
        <v/>
      </c>
      <c r="N499" s="5" t="str">
        <f aca="false">IF(A499="","",IF(B499=0,"NOT FOUND: bank ID",IF(I499=0,"NOT FOUND: GL ID",IF(INDEX(GL!$H:$H,I499)&lt;&gt;A499,"BROKEN: GL points elsewhere",IF(OR(INDEX(Bank!$F:$F,B499)&lt;&gt;"Y",INDEX(GL!$F:$F,I499)&lt;&gt;"Y"),"BROKEN: Status not Y","OK")))))</f>
        <v/>
      </c>
    </row>
    <row r="500" customFormat="false" ht="15" hidden="false" customHeight="false" outlineLevel="0" collapsed="false">
      <c r="A500" s="41"/>
      <c r="B500" s="5" t="n">
        <f aca="false">IF(A500="",0,IFERROR(MATCH(A500,Bank!$A:$A,0),0))</f>
        <v>0</v>
      </c>
      <c r="C500" s="5" t="str">
        <f aca="false">IF(B500=0,"",IF(INDEX(Bank!$G:$G,B500)="","",INDEX(Bank!$G:$G,B500)))</f>
        <v/>
      </c>
      <c r="D500" s="5" t="str">
        <f aca="false">IF(B500=0,"",IF(INDEX(Bank!$J:$J,B500)="","",INDEX(Bank!$J:$J,B500)))</f>
        <v/>
      </c>
      <c r="E500" s="32" t="str">
        <f aca="false">IF(B500=0,"",INDEX(Bank!$B:$B,B500))</f>
        <v/>
      </c>
      <c r="F500" s="5" t="str">
        <f aca="false">IF(B500=0,"",IF(INDEX(Bank!$C:$C,B500)="","",INDEX(Bank!$C:$C,B500)))</f>
        <v/>
      </c>
      <c r="G500" s="19" t="str">
        <f aca="false">IF(B500=0,"",INDEX(Bank!$E:$E,B500))</f>
        <v/>
      </c>
      <c r="H500" s="5" t="str">
        <f aca="false">IF(B500=0,"",IF(INDEX(Bank!$H:$H,B500)="","",INDEX(Bank!$H:$H,B500)))</f>
        <v/>
      </c>
      <c r="I500" s="5" t="n">
        <f aca="false">IF(H500="",0,IFERROR(MATCH(H500,GL!$A:$A,0),0))</f>
        <v>0</v>
      </c>
      <c r="J500" s="32" t="str">
        <f aca="false">IF(I500=0,"",INDEX(GL!$B:$B,I500))</f>
        <v/>
      </c>
      <c r="K500" s="5" t="str">
        <f aca="false">IF(I500=0,"",IF(INDEX(GL!$C:$C,I500)="","",INDEX(GL!$C:$C,I500)))</f>
        <v/>
      </c>
      <c r="L500" s="19" t="str">
        <f aca="false">IF(I500=0,"",INDEX(GL!$E:$E,I500))</f>
        <v/>
      </c>
      <c r="M500" s="19" t="str">
        <f aca="false">IF(OR(B500=0,I500=0),"",ROUND(G500-L500,2))</f>
        <v/>
      </c>
      <c r="N500" s="5" t="str">
        <f aca="false">IF(A500="","",IF(B500=0,"NOT FOUND: bank ID",IF(I500=0,"NOT FOUND: GL ID",IF(INDEX(GL!$H:$H,I500)&lt;&gt;A500,"BROKEN: GL points elsewhere",IF(OR(INDEX(Bank!$F:$F,B500)&lt;&gt;"Y",INDEX(GL!$F:$F,I500)&lt;&gt;"Y"),"BROKEN: Status not Y","OK")))))</f>
        <v/>
      </c>
    </row>
    <row r="501" customFormat="false" ht="15" hidden="false" customHeight="false" outlineLevel="0" collapsed="false">
      <c r="A501" s="41"/>
      <c r="B501" s="5" t="n">
        <f aca="false">IF(A501="",0,IFERROR(MATCH(A501,Bank!$A:$A,0),0))</f>
        <v>0</v>
      </c>
      <c r="C501" s="5" t="str">
        <f aca="false">IF(B501=0,"",IF(INDEX(Bank!$G:$G,B501)="","",INDEX(Bank!$G:$G,B501)))</f>
        <v/>
      </c>
      <c r="D501" s="5" t="str">
        <f aca="false">IF(B501=0,"",IF(INDEX(Bank!$J:$J,B501)="","",INDEX(Bank!$J:$J,B501)))</f>
        <v/>
      </c>
      <c r="E501" s="32" t="str">
        <f aca="false">IF(B501=0,"",INDEX(Bank!$B:$B,B501))</f>
        <v/>
      </c>
      <c r="F501" s="5" t="str">
        <f aca="false">IF(B501=0,"",IF(INDEX(Bank!$C:$C,B501)="","",INDEX(Bank!$C:$C,B501)))</f>
        <v/>
      </c>
      <c r="G501" s="19" t="str">
        <f aca="false">IF(B501=0,"",INDEX(Bank!$E:$E,B501))</f>
        <v/>
      </c>
      <c r="H501" s="5" t="str">
        <f aca="false">IF(B501=0,"",IF(INDEX(Bank!$H:$H,B501)="","",INDEX(Bank!$H:$H,B501)))</f>
        <v/>
      </c>
      <c r="I501" s="5" t="n">
        <f aca="false">IF(H501="",0,IFERROR(MATCH(H501,GL!$A:$A,0),0))</f>
        <v>0</v>
      </c>
      <c r="J501" s="32" t="str">
        <f aca="false">IF(I501=0,"",INDEX(GL!$B:$B,I501))</f>
        <v/>
      </c>
      <c r="K501" s="5" t="str">
        <f aca="false">IF(I501=0,"",IF(INDEX(GL!$C:$C,I501)="","",INDEX(GL!$C:$C,I501)))</f>
        <v/>
      </c>
      <c r="L501" s="19" t="str">
        <f aca="false">IF(I501=0,"",INDEX(GL!$E:$E,I501))</f>
        <v/>
      </c>
      <c r="M501" s="19" t="str">
        <f aca="false">IF(OR(B501=0,I501=0),"",ROUND(G501-L501,2))</f>
        <v/>
      </c>
      <c r="N501" s="5" t="str">
        <f aca="false">IF(A501="","",IF(B501=0,"NOT FOUND: bank ID",IF(I501=0,"NOT FOUND: GL ID",IF(INDEX(GL!$H:$H,I501)&lt;&gt;A501,"BROKEN: GL points elsewhere",IF(OR(INDEX(Bank!$F:$F,B501)&lt;&gt;"Y",INDEX(GL!$F:$F,I501)&lt;&gt;"Y"),"BROKEN: Status not Y","OK")))))</f>
        <v/>
      </c>
    </row>
    <row r="502" customFormat="false" ht="15" hidden="false" customHeight="false" outlineLevel="0" collapsed="false">
      <c r="A502" s="41"/>
      <c r="B502" s="5" t="n">
        <f aca="false">IF(A502="",0,IFERROR(MATCH(A502,Bank!$A:$A,0),0))</f>
        <v>0</v>
      </c>
      <c r="C502" s="5" t="str">
        <f aca="false">IF(B502=0,"",IF(INDEX(Bank!$G:$G,B502)="","",INDEX(Bank!$G:$G,B502)))</f>
        <v/>
      </c>
      <c r="D502" s="5" t="str">
        <f aca="false">IF(B502=0,"",IF(INDEX(Bank!$J:$J,B502)="","",INDEX(Bank!$J:$J,B502)))</f>
        <v/>
      </c>
      <c r="E502" s="32" t="str">
        <f aca="false">IF(B502=0,"",INDEX(Bank!$B:$B,B502))</f>
        <v/>
      </c>
      <c r="F502" s="5" t="str">
        <f aca="false">IF(B502=0,"",IF(INDEX(Bank!$C:$C,B502)="","",INDEX(Bank!$C:$C,B502)))</f>
        <v/>
      </c>
      <c r="G502" s="19" t="str">
        <f aca="false">IF(B502=0,"",INDEX(Bank!$E:$E,B502))</f>
        <v/>
      </c>
      <c r="H502" s="5" t="str">
        <f aca="false">IF(B502=0,"",IF(INDEX(Bank!$H:$H,B502)="","",INDEX(Bank!$H:$H,B502)))</f>
        <v/>
      </c>
      <c r="I502" s="5" t="n">
        <f aca="false">IF(H502="",0,IFERROR(MATCH(H502,GL!$A:$A,0),0))</f>
        <v>0</v>
      </c>
      <c r="J502" s="32" t="str">
        <f aca="false">IF(I502=0,"",INDEX(GL!$B:$B,I502))</f>
        <v/>
      </c>
      <c r="K502" s="5" t="str">
        <f aca="false">IF(I502=0,"",IF(INDEX(GL!$C:$C,I502)="","",INDEX(GL!$C:$C,I502)))</f>
        <v/>
      </c>
      <c r="L502" s="19" t="str">
        <f aca="false">IF(I502=0,"",INDEX(GL!$E:$E,I502))</f>
        <v/>
      </c>
      <c r="M502" s="19" t="str">
        <f aca="false">IF(OR(B502=0,I502=0),"",ROUND(G502-L502,2))</f>
        <v/>
      </c>
      <c r="N502" s="5" t="str">
        <f aca="false">IF(A502="","",IF(B502=0,"NOT FOUND: bank ID",IF(I502=0,"NOT FOUND: GL ID",IF(INDEX(GL!$H:$H,I502)&lt;&gt;A502,"BROKEN: GL points elsewhere",IF(OR(INDEX(Bank!$F:$F,B502)&lt;&gt;"Y",INDEX(GL!$F:$F,I502)&lt;&gt;"Y"),"BROKEN: Status not Y","OK")))))</f>
        <v/>
      </c>
    </row>
    <row r="503" customFormat="false" ht="15" hidden="false" customHeight="false" outlineLevel="0" collapsed="false">
      <c r="A503" s="41"/>
      <c r="B503" s="5" t="n">
        <f aca="false">IF(A503="",0,IFERROR(MATCH(A503,Bank!$A:$A,0),0))</f>
        <v>0</v>
      </c>
      <c r="C503" s="5" t="str">
        <f aca="false">IF(B503=0,"",IF(INDEX(Bank!$G:$G,B503)="","",INDEX(Bank!$G:$G,B503)))</f>
        <v/>
      </c>
      <c r="D503" s="5" t="str">
        <f aca="false">IF(B503=0,"",IF(INDEX(Bank!$J:$J,B503)="","",INDEX(Bank!$J:$J,B503)))</f>
        <v/>
      </c>
      <c r="E503" s="32" t="str">
        <f aca="false">IF(B503=0,"",INDEX(Bank!$B:$B,B503))</f>
        <v/>
      </c>
      <c r="F503" s="5" t="str">
        <f aca="false">IF(B503=0,"",IF(INDEX(Bank!$C:$C,B503)="","",INDEX(Bank!$C:$C,B503)))</f>
        <v/>
      </c>
      <c r="G503" s="19" t="str">
        <f aca="false">IF(B503=0,"",INDEX(Bank!$E:$E,B503))</f>
        <v/>
      </c>
      <c r="H503" s="5" t="str">
        <f aca="false">IF(B503=0,"",IF(INDEX(Bank!$H:$H,B503)="","",INDEX(Bank!$H:$H,B503)))</f>
        <v/>
      </c>
      <c r="I503" s="5" t="n">
        <f aca="false">IF(H503="",0,IFERROR(MATCH(H503,GL!$A:$A,0),0))</f>
        <v>0</v>
      </c>
      <c r="J503" s="32" t="str">
        <f aca="false">IF(I503=0,"",INDEX(GL!$B:$B,I503))</f>
        <v/>
      </c>
      <c r="K503" s="5" t="str">
        <f aca="false">IF(I503=0,"",IF(INDEX(GL!$C:$C,I503)="","",INDEX(GL!$C:$C,I503)))</f>
        <v/>
      </c>
      <c r="L503" s="19" t="str">
        <f aca="false">IF(I503=0,"",INDEX(GL!$E:$E,I503))</f>
        <v/>
      </c>
      <c r="M503" s="19" t="str">
        <f aca="false">IF(OR(B503=0,I503=0),"",ROUND(G503-L503,2))</f>
        <v/>
      </c>
      <c r="N503" s="5" t="str">
        <f aca="false">IF(A503="","",IF(B503=0,"NOT FOUND: bank ID",IF(I503=0,"NOT FOUND: GL ID",IF(INDEX(GL!$H:$H,I503)&lt;&gt;A503,"BROKEN: GL points elsewhere",IF(OR(INDEX(Bank!$F:$F,B503)&lt;&gt;"Y",INDEX(GL!$F:$F,I503)&lt;&gt;"Y"),"BROKEN: Status not Y","OK")))))</f>
        <v/>
      </c>
    </row>
    <row r="504" customFormat="false" ht="15" hidden="false" customHeight="false" outlineLevel="0" collapsed="false">
      <c r="A504" s="41"/>
      <c r="B504" s="5" t="n">
        <f aca="false">IF(A504="",0,IFERROR(MATCH(A504,Bank!$A:$A,0),0))</f>
        <v>0</v>
      </c>
      <c r="C504" s="5" t="str">
        <f aca="false">IF(B504=0,"",IF(INDEX(Bank!$G:$G,B504)="","",INDEX(Bank!$G:$G,B504)))</f>
        <v/>
      </c>
      <c r="D504" s="5" t="str">
        <f aca="false">IF(B504=0,"",IF(INDEX(Bank!$J:$J,B504)="","",INDEX(Bank!$J:$J,B504)))</f>
        <v/>
      </c>
      <c r="E504" s="32" t="str">
        <f aca="false">IF(B504=0,"",INDEX(Bank!$B:$B,B504))</f>
        <v/>
      </c>
      <c r="F504" s="5" t="str">
        <f aca="false">IF(B504=0,"",IF(INDEX(Bank!$C:$C,B504)="","",INDEX(Bank!$C:$C,B504)))</f>
        <v/>
      </c>
      <c r="G504" s="19" t="str">
        <f aca="false">IF(B504=0,"",INDEX(Bank!$E:$E,B504))</f>
        <v/>
      </c>
      <c r="H504" s="5" t="str">
        <f aca="false">IF(B504=0,"",IF(INDEX(Bank!$H:$H,B504)="","",INDEX(Bank!$H:$H,B504)))</f>
        <v/>
      </c>
      <c r="I504" s="5" t="n">
        <f aca="false">IF(H504="",0,IFERROR(MATCH(H504,GL!$A:$A,0),0))</f>
        <v>0</v>
      </c>
      <c r="J504" s="32" t="str">
        <f aca="false">IF(I504=0,"",INDEX(GL!$B:$B,I504))</f>
        <v/>
      </c>
      <c r="K504" s="5" t="str">
        <f aca="false">IF(I504=0,"",IF(INDEX(GL!$C:$C,I504)="","",INDEX(GL!$C:$C,I504)))</f>
        <v/>
      </c>
      <c r="L504" s="19" t="str">
        <f aca="false">IF(I504=0,"",INDEX(GL!$E:$E,I504))</f>
        <v/>
      </c>
      <c r="M504" s="19" t="str">
        <f aca="false">IF(OR(B504=0,I504=0),"",ROUND(G504-L504,2))</f>
        <v/>
      </c>
      <c r="N504" s="5" t="str">
        <f aca="false">IF(A504="","",IF(B504=0,"NOT FOUND: bank ID",IF(I504=0,"NOT FOUND: GL ID",IF(INDEX(GL!$H:$H,I504)&lt;&gt;A504,"BROKEN: GL points elsewhere",IF(OR(INDEX(Bank!$F:$F,B504)&lt;&gt;"Y",INDEX(GL!$F:$F,I504)&lt;&gt;"Y"),"BROKEN: Status not Y","OK")))))</f>
        <v/>
      </c>
    </row>
    <row r="505" customFormat="false" ht="15" hidden="false" customHeight="false" outlineLevel="0" collapsed="false">
      <c r="A505" s="41"/>
      <c r="B505" s="5" t="n">
        <f aca="false">IF(A505="",0,IFERROR(MATCH(A505,Bank!$A:$A,0),0))</f>
        <v>0</v>
      </c>
      <c r="C505" s="5" t="str">
        <f aca="false">IF(B505=0,"",IF(INDEX(Bank!$G:$G,B505)="","",INDEX(Bank!$G:$G,B505)))</f>
        <v/>
      </c>
      <c r="D505" s="5" t="str">
        <f aca="false">IF(B505=0,"",IF(INDEX(Bank!$J:$J,B505)="","",INDEX(Bank!$J:$J,B505)))</f>
        <v/>
      </c>
      <c r="E505" s="32" t="str">
        <f aca="false">IF(B505=0,"",INDEX(Bank!$B:$B,B505))</f>
        <v/>
      </c>
      <c r="F505" s="5" t="str">
        <f aca="false">IF(B505=0,"",IF(INDEX(Bank!$C:$C,B505)="","",INDEX(Bank!$C:$C,B505)))</f>
        <v/>
      </c>
      <c r="G505" s="19" t="str">
        <f aca="false">IF(B505=0,"",INDEX(Bank!$E:$E,B505))</f>
        <v/>
      </c>
      <c r="H505" s="5" t="str">
        <f aca="false">IF(B505=0,"",IF(INDEX(Bank!$H:$H,B505)="","",INDEX(Bank!$H:$H,B505)))</f>
        <v/>
      </c>
      <c r="I505" s="5" t="n">
        <f aca="false">IF(H505="",0,IFERROR(MATCH(H505,GL!$A:$A,0),0))</f>
        <v>0</v>
      </c>
      <c r="J505" s="32" t="str">
        <f aca="false">IF(I505=0,"",INDEX(GL!$B:$B,I505))</f>
        <v/>
      </c>
      <c r="K505" s="5" t="str">
        <f aca="false">IF(I505=0,"",IF(INDEX(GL!$C:$C,I505)="","",INDEX(GL!$C:$C,I505)))</f>
        <v/>
      </c>
      <c r="L505" s="19" t="str">
        <f aca="false">IF(I505=0,"",INDEX(GL!$E:$E,I505))</f>
        <v/>
      </c>
      <c r="M505" s="19" t="str">
        <f aca="false">IF(OR(B505=0,I505=0),"",ROUND(G505-L505,2))</f>
        <v/>
      </c>
      <c r="N505" s="5" t="str">
        <f aca="false">IF(A505="","",IF(B505=0,"NOT FOUND: bank ID",IF(I505=0,"NOT FOUND: GL ID",IF(INDEX(GL!$H:$H,I505)&lt;&gt;A505,"BROKEN: GL points elsewhere",IF(OR(INDEX(Bank!$F:$F,B505)&lt;&gt;"Y",INDEX(GL!$F:$F,I505)&lt;&gt;"Y"),"BROKEN: Status not Y","OK")))))</f>
        <v/>
      </c>
    </row>
    <row r="506" customFormat="false" ht="15" hidden="false" customHeight="false" outlineLevel="0" collapsed="false">
      <c r="A506" s="41"/>
      <c r="B506" s="5" t="n">
        <f aca="false">IF(A506="",0,IFERROR(MATCH(A506,Bank!$A:$A,0),0))</f>
        <v>0</v>
      </c>
      <c r="C506" s="5" t="str">
        <f aca="false">IF(B506=0,"",IF(INDEX(Bank!$G:$G,B506)="","",INDEX(Bank!$G:$G,B506)))</f>
        <v/>
      </c>
      <c r="D506" s="5" t="str">
        <f aca="false">IF(B506=0,"",IF(INDEX(Bank!$J:$J,B506)="","",INDEX(Bank!$J:$J,B506)))</f>
        <v/>
      </c>
      <c r="E506" s="32" t="str">
        <f aca="false">IF(B506=0,"",INDEX(Bank!$B:$B,B506))</f>
        <v/>
      </c>
      <c r="F506" s="5" t="str">
        <f aca="false">IF(B506=0,"",IF(INDEX(Bank!$C:$C,B506)="","",INDEX(Bank!$C:$C,B506)))</f>
        <v/>
      </c>
      <c r="G506" s="19" t="str">
        <f aca="false">IF(B506=0,"",INDEX(Bank!$E:$E,B506))</f>
        <v/>
      </c>
      <c r="H506" s="5" t="str">
        <f aca="false">IF(B506=0,"",IF(INDEX(Bank!$H:$H,B506)="","",INDEX(Bank!$H:$H,B506)))</f>
        <v/>
      </c>
      <c r="I506" s="5" t="n">
        <f aca="false">IF(H506="",0,IFERROR(MATCH(H506,GL!$A:$A,0),0))</f>
        <v>0</v>
      </c>
      <c r="J506" s="32" t="str">
        <f aca="false">IF(I506=0,"",INDEX(GL!$B:$B,I506))</f>
        <v/>
      </c>
      <c r="K506" s="5" t="str">
        <f aca="false">IF(I506=0,"",IF(INDEX(GL!$C:$C,I506)="","",INDEX(GL!$C:$C,I506)))</f>
        <v/>
      </c>
      <c r="L506" s="19" t="str">
        <f aca="false">IF(I506=0,"",INDEX(GL!$E:$E,I506))</f>
        <v/>
      </c>
      <c r="M506" s="19" t="str">
        <f aca="false">IF(OR(B506=0,I506=0),"",ROUND(G506-L506,2))</f>
        <v/>
      </c>
      <c r="N506" s="5" t="str">
        <f aca="false">IF(A506="","",IF(B506=0,"NOT FOUND: bank ID",IF(I506=0,"NOT FOUND: GL ID",IF(INDEX(GL!$H:$H,I506)&lt;&gt;A506,"BROKEN: GL points elsewhere",IF(OR(INDEX(Bank!$F:$F,B506)&lt;&gt;"Y",INDEX(GL!$F:$F,I506)&lt;&gt;"Y"),"BROKEN: Status not Y","OK")))))</f>
        <v/>
      </c>
    </row>
    <row r="507" customFormat="false" ht="15" hidden="false" customHeight="false" outlineLevel="0" collapsed="false">
      <c r="A507" s="41"/>
      <c r="B507" s="5" t="n">
        <f aca="false">IF(A507="",0,IFERROR(MATCH(A507,Bank!$A:$A,0),0))</f>
        <v>0</v>
      </c>
      <c r="C507" s="5" t="str">
        <f aca="false">IF(B507=0,"",IF(INDEX(Bank!$G:$G,B507)="","",INDEX(Bank!$G:$G,B507)))</f>
        <v/>
      </c>
      <c r="D507" s="5" t="str">
        <f aca="false">IF(B507=0,"",IF(INDEX(Bank!$J:$J,B507)="","",INDEX(Bank!$J:$J,B507)))</f>
        <v/>
      </c>
      <c r="E507" s="32" t="str">
        <f aca="false">IF(B507=0,"",INDEX(Bank!$B:$B,B507))</f>
        <v/>
      </c>
      <c r="F507" s="5" t="str">
        <f aca="false">IF(B507=0,"",IF(INDEX(Bank!$C:$C,B507)="","",INDEX(Bank!$C:$C,B507)))</f>
        <v/>
      </c>
      <c r="G507" s="19" t="str">
        <f aca="false">IF(B507=0,"",INDEX(Bank!$E:$E,B507))</f>
        <v/>
      </c>
      <c r="H507" s="5" t="str">
        <f aca="false">IF(B507=0,"",IF(INDEX(Bank!$H:$H,B507)="","",INDEX(Bank!$H:$H,B507)))</f>
        <v/>
      </c>
      <c r="I507" s="5" t="n">
        <f aca="false">IF(H507="",0,IFERROR(MATCH(H507,GL!$A:$A,0),0))</f>
        <v>0</v>
      </c>
      <c r="J507" s="32" t="str">
        <f aca="false">IF(I507=0,"",INDEX(GL!$B:$B,I507))</f>
        <v/>
      </c>
      <c r="K507" s="5" t="str">
        <f aca="false">IF(I507=0,"",IF(INDEX(GL!$C:$C,I507)="","",INDEX(GL!$C:$C,I507)))</f>
        <v/>
      </c>
      <c r="L507" s="19" t="str">
        <f aca="false">IF(I507=0,"",INDEX(GL!$E:$E,I507))</f>
        <v/>
      </c>
      <c r="M507" s="19" t="str">
        <f aca="false">IF(OR(B507=0,I507=0),"",ROUND(G507-L507,2))</f>
        <v/>
      </c>
      <c r="N507" s="5" t="str">
        <f aca="false">IF(A507="","",IF(B507=0,"NOT FOUND: bank ID",IF(I507=0,"NOT FOUND: GL ID",IF(INDEX(GL!$H:$H,I507)&lt;&gt;A507,"BROKEN: GL points elsewhere",IF(OR(INDEX(Bank!$F:$F,B507)&lt;&gt;"Y",INDEX(GL!$F:$F,I507)&lt;&gt;"Y"),"BROKEN: Status not Y","OK")))))</f>
        <v/>
      </c>
    </row>
    <row r="508" customFormat="false" ht="15" hidden="false" customHeight="false" outlineLevel="0" collapsed="false">
      <c r="A508" s="41"/>
      <c r="B508" s="5" t="n">
        <f aca="false">IF(A508="",0,IFERROR(MATCH(A508,Bank!$A:$A,0),0))</f>
        <v>0</v>
      </c>
      <c r="C508" s="5" t="str">
        <f aca="false">IF(B508=0,"",IF(INDEX(Bank!$G:$G,B508)="","",INDEX(Bank!$G:$G,B508)))</f>
        <v/>
      </c>
      <c r="D508" s="5" t="str">
        <f aca="false">IF(B508=0,"",IF(INDEX(Bank!$J:$J,B508)="","",INDEX(Bank!$J:$J,B508)))</f>
        <v/>
      </c>
      <c r="E508" s="32" t="str">
        <f aca="false">IF(B508=0,"",INDEX(Bank!$B:$B,B508))</f>
        <v/>
      </c>
      <c r="F508" s="5" t="str">
        <f aca="false">IF(B508=0,"",IF(INDEX(Bank!$C:$C,B508)="","",INDEX(Bank!$C:$C,B508)))</f>
        <v/>
      </c>
      <c r="G508" s="19" t="str">
        <f aca="false">IF(B508=0,"",INDEX(Bank!$E:$E,B508))</f>
        <v/>
      </c>
      <c r="H508" s="5" t="str">
        <f aca="false">IF(B508=0,"",IF(INDEX(Bank!$H:$H,B508)="","",INDEX(Bank!$H:$H,B508)))</f>
        <v/>
      </c>
      <c r="I508" s="5" t="n">
        <f aca="false">IF(H508="",0,IFERROR(MATCH(H508,GL!$A:$A,0),0))</f>
        <v>0</v>
      </c>
      <c r="J508" s="32" t="str">
        <f aca="false">IF(I508=0,"",INDEX(GL!$B:$B,I508))</f>
        <v/>
      </c>
      <c r="K508" s="5" t="str">
        <f aca="false">IF(I508=0,"",IF(INDEX(GL!$C:$C,I508)="","",INDEX(GL!$C:$C,I508)))</f>
        <v/>
      </c>
      <c r="L508" s="19" t="str">
        <f aca="false">IF(I508=0,"",INDEX(GL!$E:$E,I508))</f>
        <v/>
      </c>
      <c r="M508" s="19" t="str">
        <f aca="false">IF(OR(B508=0,I508=0),"",ROUND(G508-L508,2))</f>
        <v/>
      </c>
      <c r="N508" s="5" t="str">
        <f aca="false">IF(A508="","",IF(B508=0,"NOT FOUND: bank ID",IF(I508=0,"NOT FOUND: GL ID",IF(INDEX(GL!$H:$H,I508)&lt;&gt;A508,"BROKEN: GL points elsewhere",IF(OR(INDEX(Bank!$F:$F,B508)&lt;&gt;"Y",INDEX(GL!$F:$F,I508)&lt;&gt;"Y"),"BROKEN: Status not Y","OK")))))</f>
        <v/>
      </c>
    </row>
    <row r="509" customFormat="false" ht="15" hidden="false" customHeight="false" outlineLevel="0" collapsed="false">
      <c r="A509" s="41"/>
      <c r="B509" s="5" t="n">
        <f aca="false">IF(A509="",0,IFERROR(MATCH(A509,Bank!$A:$A,0),0))</f>
        <v>0</v>
      </c>
      <c r="C509" s="5" t="str">
        <f aca="false">IF(B509=0,"",IF(INDEX(Bank!$G:$G,B509)="","",INDEX(Bank!$G:$G,B509)))</f>
        <v/>
      </c>
      <c r="D509" s="5" t="str">
        <f aca="false">IF(B509=0,"",IF(INDEX(Bank!$J:$J,B509)="","",INDEX(Bank!$J:$J,B509)))</f>
        <v/>
      </c>
      <c r="E509" s="32" t="str">
        <f aca="false">IF(B509=0,"",INDEX(Bank!$B:$B,B509))</f>
        <v/>
      </c>
      <c r="F509" s="5" t="str">
        <f aca="false">IF(B509=0,"",IF(INDEX(Bank!$C:$C,B509)="","",INDEX(Bank!$C:$C,B509)))</f>
        <v/>
      </c>
      <c r="G509" s="19" t="str">
        <f aca="false">IF(B509=0,"",INDEX(Bank!$E:$E,B509))</f>
        <v/>
      </c>
      <c r="H509" s="5" t="str">
        <f aca="false">IF(B509=0,"",IF(INDEX(Bank!$H:$H,B509)="","",INDEX(Bank!$H:$H,B509)))</f>
        <v/>
      </c>
      <c r="I509" s="5" t="n">
        <f aca="false">IF(H509="",0,IFERROR(MATCH(H509,GL!$A:$A,0),0))</f>
        <v>0</v>
      </c>
      <c r="J509" s="32" t="str">
        <f aca="false">IF(I509=0,"",INDEX(GL!$B:$B,I509))</f>
        <v/>
      </c>
      <c r="K509" s="5" t="str">
        <f aca="false">IF(I509=0,"",IF(INDEX(GL!$C:$C,I509)="","",INDEX(GL!$C:$C,I509)))</f>
        <v/>
      </c>
      <c r="L509" s="19" t="str">
        <f aca="false">IF(I509=0,"",INDEX(GL!$E:$E,I509))</f>
        <v/>
      </c>
      <c r="M509" s="19" t="str">
        <f aca="false">IF(OR(B509=0,I509=0),"",ROUND(G509-L509,2))</f>
        <v/>
      </c>
      <c r="N509" s="5" t="str">
        <f aca="false">IF(A509="","",IF(B509=0,"NOT FOUND: bank ID",IF(I509=0,"NOT FOUND: GL ID",IF(INDEX(GL!$H:$H,I509)&lt;&gt;A509,"BROKEN: GL points elsewhere",IF(OR(INDEX(Bank!$F:$F,B509)&lt;&gt;"Y",INDEX(GL!$F:$F,I509)&lt;&gt;"Y"),"BROKEN: Status not Y","OK")))))</f>
        <v/>
      </c>
    </row>
    <row r="510" customFormat="false" ht="15" hidden="false" customHeight="false" outlineLevel="0" collapsed="false">
      <c r="A510" s="41"/>
      <c r="B510" s="5" t="n">
        <f aca="false">IF(A510="",0,IFERROR(MATCH(A510,Bank!$A:$A,0),0))</f>
        <v>0</v>
      </c>
      <c r="C510" s="5" t="str">
        <f aca="false">IF(B510=0,"",IF(INDEX(Bank!$G:$G,B510)="","",INDEX(Bank!$G:$G,B510)))</f>
        <v/>
      </c>
      <c r="D510" s="5" t="str">
        <f aca="false">IF(B510=0,"",IF(INDEX(Bank!$J:$J,B510)="","",INDEX(Bank!$J:$J,B510)))</f>
        <v/>
      </c>
      <c r="E510" s="32" t="str">
        <f aca="false">IF(B510=0,"",INDEX(Bank!$B:$B,B510))</f>
        <v/>
      </c>
      <c r="F510" s="5" t="str">
        <f aca="false">IF(B510=0,"",IF(INDEX(Bank!$C:$C,B510)="","",INDEX(Bank!$C:$C,B510)))</f>
        <v/>
      </c>
      <c r="G510" s="19" t="str">
        <f aca="false">IF(B510=0,"",INDEX(Bank!$E:$E,B510))</f>
        <v/>
      </c>
      <c r="H510" s="5" t="str">
        <f aca="false">IF(B510=0,"",IF(INDEX(Bank!$H:$H,B510)="","",INDEX(Bank!$H:$H,B510)))</f>
        <v/>
      </c>
      <c r="I510" s="5" t="n">
        <f aca="false">IF(H510="",0,IFERROR(MATCH(H510,GL!$A:$A,0),0))</f>
        <v>0</v>
      </c>
      <c r="J510" s="32" t="str">
        <f aca="false">IF(I510=0,"",INDEX(GL!$B:$B,I510))</f>
        <v/>
      </c>
      <c r="K510" s="5" t="str">
        <f aca="false">IF(I510=0,"",IF(INDEX(GL!$C:$C,I510)="","",INDEX(GL!$C:$C,I510)))</f>
        <v/>
      </c>
      <c r="L510" s="19" t="str">
        <f aca="false">IF(I510=0,"",INDEX(GL!$E:$E,I510))</f>
        <v/>
      </c>
      <c r="M510" s="19" t="str">
        <f aca="false">IF(OR(B510=0,I510=0),"",ROUND(G510-L510,2))</f>
        <v/>
      </c>
      <c r="N510" s="5" t="str">
        <f aca="false">IF(A510="","",IF(B510=0,"NOT FOUND: bank ID",IF(I510=0,"NOT FOUND: GL ID",IF(INDEX(GL!$H:$H,I510)&lt;&gt;A510,"BROKEN: GL points elsewhere",IF(OR(INDEX(Bank!$F:$F,B510)&lt;&gt;"Y",INDEX(GL!$F:$F,I510)&lt;&gt;"Y"),"BROKEN: Status not Y","OK")))))</f>
        <v/>
      </c>
    </row>
    <row r="511" customFormat="false" ht="15" hidden="false" customHeight="false" outlineLevel="0" collapsed="false">
      <c r="A511" s="41"/>
      <c r="B511" s="5" t="n">
        <f aca="false">IF(A511="",0,IFERROR(MATCH(A511,Bank!$A:$A,0),0))</f>
        <v>0</v>
      </c>
      <c r="C511" s="5" t="str">
        <f aca="false">IF(B511=0,"",IF(INDEX(Bank!$G:$G,B511)="","",INDEX(Bank!$G:$G,B511)))</f>
        <v/>
      </c>
      <c r="D511" s="5" t="str">
        <f aca="false">IF(B511=0,"",IF(INDEX(Bank!$J:$J,B511)="","",INDEX(Bank!$J:$J,B511)))</f>
        <v/>
      </c>
      <c r="E511" s="32" t="str">
        <f aca="false">IF(B511=0,"",INDEX(Bank!$B:$B,B511))</f>
        <v/>
      </c>
      <c r="F511" s="5" t="str">
        <f aca="false">IF(B511=0,"",IF(INDEX(Bank!$C:$C,B511)="","",INDEX(Bank!$C:$C,B511)))</f>
        <v/>
      </c>
      <c r="G511" s="19" t="str">
        <f aca="false">IF(B511=0,"",INDEX(Bank!$E:$E,B511))</f>
        <v/>
      </c>
      <c r="H511" s="5" t="str">
        <f aca="false">IF(B511=0,"",IF(INDEX(Bank!$H:$H,B511)="","",INDEX(Bank!$H:$H,B511)))</f>
        <v/>
      </c>
      <c r="I511" s="5" t="n">
        <f aca="false">IF(H511="",0,IFERROR(MATCH(H511,GL!$A:$A,0),0))</f>
        <v>0</v>
      </c>
      <c r="J511" s="32" t="str">
        <f aca="false">IF(I511=0,"",INDEX(GL!$B:$B,I511))</f>
        <v/>
      </c>
      <c r="K511" s="5" t="str">
        <f aca="false">IF(I511=0,"",IF(INDEX(GL!$C:$C,I511)="","",INDEX(GL!$C:$C,I511)))</f>
        <v/>
      </c>
      <c r="L511" s="19" t="str">
        <f aca="false">IF(I511=0,"",INDEX(GL!$E:$E,I511))</f>
        <v/>
      </c>
      <c r="M511" s="19" t="str">
        <f aca="false">IF(OR(B511=0,I511=0),"",ROUND(G511-L511,2))</f>
        <v/>
      </c>
      <c r="N511" s="5" t="str">
        <f aca="false">IF(A511="","",IF(B511=0,"NOT FOUND: bank ID",IF(I511=0,"NOT FOUND: GL ID",IF(INDEX(GL!$H:$H,I511)&lt;&gt;A511,"BROKEN: GL points elsewhere",IF(OR(INDEX(Bank!$F:$F,B511)&lt;&gt;"Y",INDEX(GL!$F:$F,I511)&lt;&gt;"Y"),"BROKEN: Status not Y","OK")))))</f>
        <v/>
      </c>
    </row>
    <row r="512" customFormat="false" ht="15" hidden="false" customHeight="false" outlineLevel="0" collapsed="false">
      <c r="A512" s="41"/>
      <c r="B512" s="5" t="n">
        <f aca="false">IF(A512="",0,IFERROR(MATCH(A512,Bank!$A:$A,0),0))</f>
        <v>0</v>
      </c>
      <c r="C512" s="5" t="str">
        <f aca="false">IF(B512=0,"",IF(INDEX(Bank!$G:$G,B512)="","",INDEX(Bank!$G:$G,B512)))</f>
        <v/>
      </c>
      <c r="D512" s="5" t="str">
        <f aca="false">IF(B512=0,"",IF(INDEX(Bank!$J:$J,B512)="","",INDEX(Bank!$J:$J,B512)))</f>
        <v/>
      </c>
      <c r="E512" s="32" t="str">
        <f aca="false">IF(B512=0,"",INDEX(Bank!$B:$B,B512))</f>
        <v/>
      </c>
      <c r="F512" s="5" t="str">
        <f aca="false">IF(B512=0,"",IF(INDEX(Bank!$C:$C,B512)="","",INDEX(Bank!$C:$C,B512)))</f>
        <v/>
      </c>
      <c r="G512" s="19" t="str">
        <f aca="false">IF(B512=0,"",INDEX(Bank!$E:$E,B512))</f>
        <v/>
      </c>
      <c r="H512" s="5" t="str">
        <f aca="false">IF(B512=0,"",IF(INDEX(Bank!$H:$H,B512)="","",INDEX(Bank!$H:$H,B512)))</f>
        <v/>
      </c>
      <c r="I512" s="5" t="n">
        <f aca="false">IF(H512="",0,IFERROR(MATCH(H512,GL!$A:$A,0),0))</f>
        <v>0</v>
      </c>
      <c r="J512" s="32" t="str">
        <f aca="false">IF(I512=0,"",INDEX(GL!$B:$B,I512))</f>
        <v/>
      </c>
      <c r="K512" s="5" t="str">
        <f aca="false">IF(I512=0,"",IF(INDEX(GL!$C:$C,I512)="","",INDEX(GL!$C:$C,I512)))</f>
        <v/>
      </c>
      <c r="L512" s="19" t="str">
        <f aca="false">IF(I512=0,"",INDEX(GL!$E:$E,I512))</f>
        <v/>
      </c>
      <c r="M512" s="19" t="str">
        <f aca="false">IF(OR(B512=0,I512=0),"",ROUND(G512-L512,2))</f>
        <v/>
      </c>
      <c r="N512" s="5" t="str">
        <f aca="false">IF(A512="","",IF(B512=0,"NOT FOUND: bank ID",IF(I512=0,"NOT FOUND: GL ID",IF(INDEX(GL!$H:$H,I512)&lt;&gt;A512,"BROKEN: GL points elsewhere",IF(OR(INDEX(Bank!$F:$F,B512)&lt;&gt;"Y",INDEX(GL!$F:$F,I512)&lt;&gt;"Y"),"BROKEN: Status not Y","OK")))))</f>
        <v/>
      </c>
    </row>
    <row r="513" customFormat="false" ht="15" hidden="false" customHeight="false" outlineLevel="0" collapsed="false">
      <c r="A513" s="41"/>
      <c r="B513" s="5" t="n">
        <f aca="false">IF(A513="",0,IFERROR(MATCH(A513,Bank!$A:$A,0),0))</f>
        <v>0</v>
      </c>
      <c r="C513" s="5" t="str">
        <f aca="false">IF(B513=0,"",IF(INDEX(Bank!$G:$G,B513)="","",INDEX(Bank!$G:$G,B513)))</f>
        <v/>
      </c>
      <c r="D513" s="5" t="str">
        <f aca="false">IF(B513=0,"",IF(INDEX(Bank!$J:$J,B513)="","",INDEX(Bank!$J:$J,B513)))</f>
        <v/>
      </c>
      <c r="E513" s="32" t="str">
        <f aca="false">IF(B513=0,"",INDEX(Bank!$B:$B,B513))</f>
        <v/>
      </c>
      <c r="F513" s="5" t="str">
        <f aca="false">IF(B513=0,"",IF(INDEX(Bank!$C:$C,B513)="","",INDEX(Bank!$C:$C,B513)))</f>
        <v/>
      </c>
      <c r="G513" s="19" t="str">
        <f aca="false">IF(B513=0,"",INDEX(Bank!$E:$E,B513))</f>
        <v/>
      </c>
      <c r="H513" s="5" t="str">
        <f aca="false">IF(B513=0,"",IF(INDEX(Bank!$H:$H,B513)="","",INDEX(Bank!$H:$H,B513)))</f>
        <v/>
      </c>
      <c r="I513" s="5" t="n">
        <f aca="false">IF(H513="",0,IFERROR(MATCH(H513,GL!$A:$A,0),0))</f>
        <v>0</v>
      </c>
      <c r="J513" s="32" t="str">
        <f aca="false">IF(I513=0,"",INDEX(GL!$B:$B,I513))</f>
        <v/>
      </c>
      <c r="K513" s="5" t="str">
        <f aca="false">IF(I513=0,"",IF(INDEX(GL!$C:$C,I513)="","",INDEX(GL!$C:$C,I513)))</f>
        <v/>
      </c>
      <c r="L513" s="19" t="str">
        <f aca="false">IF(I513=0,"",INDEX(GL!$E:$E,I513))</f>
        <v/>
      </c>
      <c r="M513" s="19" t="str">
        <f aca="false">IF(OR(B513=0,I513=0),"",ROUND(G513-L513,2))</f>
        <v/>
      </c>
      <c r="N513" s="5" t="str">
        <f aca="false">IF(A513="","",IF(B513=0,"NOT FOUND: bank ID",IF(I513=0,"NOT FOUND: GL ID",IF(INDEX(GL!$H:$H,I513)&lt;&gt;A513,"BROKEN: GL points elsewhere",IF(OR(INDEX(Bank!$F:$F,B513)&lt;&gt;"Y",INDEX(GL!$F:$F,I513)&lt;&gt;"Y"),"BROKEN: Status not Y","OK")))))</f>
        <v/>
      </c>
    </row>
    <row r="514" customFormat="false" ht="15" hidden="false" customHeight="false" outlineLevel="0" collapsed="false">
      <c r="A514" s="41"/>
      <c r="B514" s="5" t="n">
        <f aca="false">IF(A514="",0,IFERROR(MATCH(A514,Bank!$A:$A,0),0))</f>
        <v>0</v>
      </c>
      <c r="C514" s="5" t="str">
        <f aca="false">IF(B514=0,"",IF(INDEX(Bank!$G:$G,B514)="","",INDEX(Bank!$G:$G,B514)))</f>
        <v/>
      </c>
      <c r="D514" s="5" t="str">
        <f aca="false">IF(B514=0,"",IF(INDEX(Bank!$J:$J,B514)="","",INDEX(Bank!$J:$J,B514)))</f>
        <v/>
      </c>
      <c r="E514" s="32" t="str">
        <f aca="false">IF(B514=0,"",INDEX(Bank!$B:$B,B514))</f>
        <v/>
      </c>
      <c r="F514" s="5" t="str">
        <f aca="false">IF(B514=0,"",IF(INDEX(Bank!$C:$C,B514)="","",INDEX(Bank!$C:$C,B514)))</f>
        <v/>
      </c>
      <c r="G514" s="19" t="str">
        <f aca="false">IF(B514=0,"",INDEX(Bank!$E:$E,B514))</f>
        <v/>
      </c>
      <c r="H514" s="5" t="str">
        <f aca="false">IF(B514=0,"",IF(INDEX(Bank!$H:$H,B514)="","",INDEX(Bank!$H:$H,B514)))</f>
        <v/>
      </c>
      <c r="I514" s="5" t="n">
        <f aca="false">IF(H514="",0,IFERROR(MATCH(H514,GL!$A:$A,0),0))</f>
        <v>0</v>
      </c>
      <c r="J514" s="32" t="str">
        <f aca="false">IF(I514=0,"",INDEX(GL!$B:$B,I514))</f>
        <v/>
      </c>
      <c r="K514" s="5" t="str">
        <f aca="false">IF(I514=0,"",IF(INDEX(GL!$C:$C,I514)="","",INDEX(GL!$C:$C,I514)))</f>
        <v/>
      </c>
      <c r="L514" s="19" t="str">
        <f aca="false">IF(I514=0,"",INDEX(GL!$E:$E,I514))</f>
        <v/>
      </c>
      <c r="M514" s="19" t="str">
        <f aca="false">IF(OR(B514=0,I514=0),"",ROUND(G514-L514,2))</f>
        <v/>
      </c>
      <c r="N514" s="5" t="str">
        <f aca="false">IF(A514="","",IF(B514=0,"NOT FOUND: bank ID",IF(I514=0,"NOT FOUND: GL ID",IF(INDEX(GL!$H:$H,I514)&lt;&gt;A514,"BROKEN: GL points elsewhere",IF(OR(INDEX(Bank!$F:$F,B514)&lt;&gt;"Y",INDEX(GL!$F:$F,I514)&lt;&gt;"Y"),"BROKEN: Status not Y","OK")))))</f>
        <v/>
      </c>
    </row>
    <row r="515" customFormat="false" ht="15" hidden="false" customHeight="false" outlineLevel="0" collapsed="false">
      <c r="A515" s="41"/>
      <c r="B515" s="5" t="n">
        <f aca="false">IF(A515="",0,IFERROR(MATCH(A515,Bank!$A:$A,0),0))</f>
        <v>0</v>
      </c>
      <c r="C515" s="5" t="str">
        <f aca="false">IF(B515=0,"",IF(INDEX(Bank!$G:$G,B515)="","",INDEX(Bank!$G:$G,B515)))</f>
        <v/>
      </c>
      <c r="D515" s="5" t="str">
        <f aca="false">IF(B515=0,"",IF(INDEX(Bank!$J:$J,B515)="","",INDEX(Bank!$J:$J,B515)))</f>
        <v/>
      </c>
      <c r="E515" s="32" t="str">
        <f aca="false">IF(B515=0,"",INDEX(Bank!$B:$B,B515))</f>
        <v/>
      </c>
      <c r="F515" s="5" t="str">
        <f aca="false">IF(B515=0,"",IF(INDEX(Bank!$C:$C,B515)="","",INDEX(Bank!$C:$C,B515)))</f>
        <v/>
      </c>
      <c r="G515" s="19" t="str">
        <f aca="false">IF(B515=0,"",INDEX(Bank!$E:$E,B515))</f>
        <v/>
      </c>
      <c r="H515" s="5" t="str">
        <f aca="false">IF(B515=0,"",IF(INDEX(Bank!$H:$H,B515)="","",INDEX(Bank!$H:$H,B515)))</f>
        <v/>
      </c>
      <c r="I515" s="5" t="n">
        <f aca="false">IF(H515="",0,IFERROR(MATCH(H515,GL!$A:$A,0),0))</f>
        <v>0</v>
      </c>
      <c r="J515" s="32" t="str">
        <f aca="false">IF(I515=0,"",INDEX(GL!$B:$B,I515))</f>
        <v/>
      </c>
      <c r="K515" s="5" t="str">
        <f aca="false">IF(I515=0,"",IF(INDEX(GL!$C:$C,I515)="","",INDEX(GL!$C:$C,I515)))</f>
        <v/>
      </c>
      <c r="L515" s="19" t="str">
        <f aca="false">IF(I515=0,"",INDEX(GL!$E:$E,I515))</f>
        <v/>
      </c>
      <c r="M515" s="19" t="str">
        <f aca="false">IF(OR(B515=0,I515=0),"",ROUND(G515-L515,2))</f>
        <v/>
      </c>
      <c r="N515" s="5" t="str">
        <f aca="false">IF(A515="","",IF(B515=0,"NOT FOUND: bank ID",IF(I515=0,"NOT FOUND: GL ID",IF(INDEX(GL!$H:$H,I515)&lt;&gt;A515,"BROKEN: GL points elsewhere",IF(OR(INDEX(Bank!$F:$F,B515)&lt;&gt;"Y",INDEX(GL!$F:$F,I515)&lt;&gt;"Y"),"BROKEN: Status not Y","OK")))))</f>
        <v/>
      </c>
    </row>
    <row r="516" customFormat="false" ht="15" hidden="false" customHeight="false" outlineLevel="0" collapsed="false">
      <c r="A516" s="41"/>
      <c r="B516" s="5" t="n">
        <f aca="false">IF(A516="",0,IFERROR(MATCH(A516,Bank!$A:$A,0),0))</f>
        <v>0</v>
      </c>
      <c r="C516" s="5" t="str">
        <f aca="false">IF(B516=0,"",IF(INDEX(Bank!$G:$G,B516)="","",INDEX(Bank!$G:$G,B516)))</f>
        <v/>
      </c>
      <c r="D516" s="5" t="str">
        <f aca="false">IF(B516=0,"",IF(INDEX(Bank!$J:$J,B516)="","",INDEX(Bank!$J:$J,B516)))</f>
        <v/>
      </c>
      <c r="E516" s="32" t="str">
        <f aca="false">IF(B516=0,"",INDEX(Bank!$B:$B,B516))</f>
        <v/>
      </c>
      <c r="F516" s="5" t="str">
        <f aca="false">IF(B516=0,"",IF(INDEX(Bank!$C:$C,B516)="","",INDEX(Bank!$C:$C,B516)))</f>
        <v/>
      </c>
      <c r="G516" s="19" t="str">
        <f aca="false">IF(B516=0,"",INDEX(Bank!$E:$E,B516))</f>
        <v/>
      </c>
      <c r="H516" s="5" t="str">
        <f aca="false">IF(B516=0,"",IF(INDEX(Bank!$H:$H,B516)="","",INDEX(Bank!$H:$H,B516)))</f>
        <v/>
      </c>
      <c r="I516" s="5" t="n">
        <f aca="false">IF(H516="",0,IFERROR(MATCH(H516,GL!$A:$A,0),0))</f>
        <v>0</v>
      </c>
      <c r="J516" s="32" t="str">
        <f aca="false">IF(I516=0,"",INDEX(GL!$B:$B,I516))</f>
        <v/>
      </c>
      <c r="K516" s="5" t="str">
        <f aca="false">IF(I516=0,"",IF(INDEX(GL!$C:$C,I516)="","",INDEX(GL!$C:$C,I516)))</f>
        <v/>
      </c>
      <c r="L516" s="19" t="str">
        <f aca="false">IF(I516=0,"",INDEX(GL!$E:$E,I516))</f>
        <v/>
      </c>
      <c r="M516" s="19" t="str">
        <f aca="false">IF(OR(B516=0,I516=0),"",ROUND(G516-L516,2))</f>
        <v/>
      </c>
      <c r="N516" s="5" t="str">
        <f aca="false">IF(A516="","",IF(B516=0,"NOT FOUND: bank ID",IF(I516=0,"NOT FOUND: GL ID",IF(INDEX(GL!$H:$H,I516)&lt;&gt;A516,"BROKEN: GL points elsewhere",IF(OR(INDEX(Bank!$F:$F,B516)&lt;&gt;"Y",INDEX(GL!$F:$F,I516)&lt;&gt;"Y"),"BROKEN: Status not Y","OK")))))</f>
        <v/>
      </c>
    </row>
    <row r="517" customFormat="false" ht="15" hidden="false" customHeight="false" outlineLevel="0" collapsed="false">
      <c r="A517" s="41"/>
      <c r="B517" s="5" t="n">
        <f aca="false">IF(A517="",0,IFERROR(MATCH(A517,Bank!$A:$A,0),0))</f>
        <v>0</v>
      </c>
      <c r="C517" s="5" t="str">
        <f aca="false">IF(B517=0,"",IF(INDEX(Bank!$G:$G,B517)="","",INDEX(Bank!$G:$G,B517)))</f>
        <v/>
      </c>
      <c r="D517" s="5" t="str">
        <f aca="false">IF(B517=0,"",IF(INDEX(Bank!$J:$J,B517)="","",INDEX(Bank!$J:$J,B517)))</f>
        <v/>
      </c>
      <c r="E517" s="32" t="str">
        <f aca="false">IF(B517=0,"",INDEX(Bank!$B:$B,B517))</f>
        <v/>
      </c>
      <c r="F517" s="5" t="str">
        <f aca="false">IF(B517=0,"",IF(INDEX(Bank!$C:$C,B517)="","",INDEX(Bank!$C:$C,B517)))</f>
        <v/>
      </c>
      <c r="G517" s="19" t="str">
        <f aca="false">IF(B517=0,"",INDEX(Bank!$E:$E,B517))</f>
        <v/>
      </c>
      <c r="H517" s="5" t="str">
        <f aca="false">IF(B517=0,"",IF(INDEX(Bank!$H:$H,B517)="","",INDEX(Bank!$H:$H,B517)))</f>
        <v/>
      </c>
      <c r="I517" s="5" t="n">
        <f aca="false">IF(H517="",0,IFERROR(MATCH(H517,GL!$A:$A,0),0))</f>
        <v>0</v>
      </c>
      <c r="J517" s="32" t="str">
        <f aca="false">IF(I517=0,"",INDEX(GL!$B:$B,I517))</f>
        <v/>
      </c>
      <c r="K517" s="5" t="str">
        <f aca="false">IF(I517=0,"",IF(INDEX(GL!$C:$C,I517)="","",INDEX(GL!$C:$C,I517)))</f>
        <v/>
      </c>
      <c r="L517" s="19" t="str">
        <f aca="false">IF(I517=0,"",INDEX(GL!$E:$E,I517))</f>
        <v/>
      </c>
      <c r="M517" s="19" t="str">
        <f aca="false">IF(OR(B517=0,I517=0),"",ROUND(G517-L517,2))</f>
        <v/>
      </c>
      <c r="N517" s="5" t="str">
        <f aca="false">IF(A517="","",IF(B517=0,"NOT FOUND: bank ID",IF(I517=0,"NOT FOUND: GL ID",IF(INDEX(GL!$H:$H,I517)&lt;&gt;A517,"BROKEN: GL points elsewhere",IF(OR(INDEX(Bank!$F:$F,B517)&lt;&gt;"Y",INDEX(GL!$F:$F,I517)&lt;&gt;"Y"),"BROKEN: Status not Y","OK")))))</f>
        <v/>
      </c>
    </row>
    <row r="518" customFormat="false" ht="15" hidden="false" customHeight="false" outlineLevel="0" collapsed="false">
      <c r="A518" s="41"/>
      <c r="B518" s="5" t="n">
        <f aca="false">IF(A518="",0,IFERROR(MATCH(A518,Bank!$A:$A,0),0))</f>
        <v>0</v>
      </c>
      <c r="C518" s="5" t="str">
        <f aca="false">IF(B518=0,"",IF(INDEX(Bank!$G:$G,B518)="","",INDEX(Bank!$G:$G,B518)))</f>
        <v/>
      </c>
      <c r="D518" s="5" t="str">
        <f aca="false">IF(B518=0,"",IF(INDEX(Bank!$J:$J,B518)="","",INDEX(Bank!$J:$J,B518)))</f>
        <v/>
      </c>
      <c r="E518" s="32" t="str">
        <f aca="false">IF(B518=0,"",INDEX(Bank!$B:$B,B518))</f>
        <v/>
      </c>
      <c r="F518" s="5" t="str">
        <f aca="false">IF(B518=0,"",IF(INDEX(Bank!$C:$C,B518)="","",INDEX(Bank!$C:$C,B518)))</f>
        <v/>
      </c>
      <c r="G518" s="19" t="str">
        <f aca="false">IF(B518=0,"",INDEX(Bank!$E:$E,B518))</f>
        <v/>
      </c>
      <c r="H518" s="5" t="str">
        <f aca="false">IF(B518=0,"",IF(INDEX(Bank!$H:$H,B518)="","",INDEX(Bank!$H:$H,B518)))</f>
        <v/>
      </c>
      <c r="I518" s="5" t="n">
        <f aca="false">IF(H518="",0,IFERROR(MATCH(H518,GL!$A:$A,0),0))</f>
        <v>0</v>
      </c>
      <c r="J518" s="32" t="str">
        <f aca="false">IF(I518=0,"",INDEX(GL!$B:$B,I518))</f>
        <v/>
      </c>
      <c r="K518" s="5" t="str">
        <f aca="false">IF(I518=0,"",IF(INDEX(GL!$C:$C,I518)="","",INDEX(GL!$C:$C,I518)))</f>
        <v/>
      </c>
      <c r="L518" s="19" t="str">
        <f aca="false">IF(I518=0,"",INDEX(GL!$E:$E,I518))</f>
        <v/>
      </c>
      <c r="M518" s="19" t="str">
        <f aca="false">IF(OR(B518=0,I518=0),"",ROUND(G518-L518,2))</f>
        <v/>
      </c>
      <c r="N518" s="5" t="str">
        <f aca="false">IF(A518="","",IF(B518=0,"NOT FOUND: bank ID",IF(I518=0,"NOT FOUND: GL ID",IF(INDEX(GL!$H:$H,I518)&lt;&gt;A518,"BROKEN: GL points elsewhere",IF(OR(INDEX(Bank!$F:$F,B518)&lt;&gt;"Y",INDEX(GL!$F:$F,I518)&lt;&gt;"Y"),"BROKEN: Status not Y","OK")))))</f>
        <v/>
      </c>
    </row>
    <row r="519" customFormat="false" ht="15" hidden="false" customHeight="false" outlineLevel="0" collapsed="false">
      <c r="A519" s="41"/>
      <c r="B519" s="5" t="n">
        <f aca="false">IF(A519="",0,IFERROR(MATCH(A519,Bank!$A:$A,0),0))</f>
        <v>0</v>
      </c>
      <c r="C519" s="5" t="str">
        <f aca="false">IF(B519=0,"",IF(INDEX(Bank!$G:$G,B519)="","",INDEX(Bank!$G:$G,B519)))</f>
        <v/>
      </c>
      <c r="D519" s="5" t="str">
        <f aca="false">IF(B519=0,"",IF(INDEX(Bank!$J:$J,B519)="","",INDEX(Bank!$J:$J,B519)))</f>
        <v/>
      </c>
      <c r="E519" s="32" t="str">
        <f aca="false">IF(B519=0,"",INDEX(Bank!$B:$B,B519))</f>
        <v/>
      </c>
      <c r="F519" s="5" t="str">
        <f aca="false">IF(B519=0,"",IF(INDEX(Bank!$C:$C,B519)="","",INDEX(Bank!$C:$C,B519)))</f>
        <v/>
      </c>
      <c r="G519" s="19" t="str">
        <f aca="false">IF(B519=0,"",INDEX(Bank!$E:$E,B519))</f>
        <v/>
      </c>
      <c r="H519" s="5" t="str">
        <f aca="false">IF(B519=0,"",IF(INDEX(Bank!$H:$H,B519)="","",INDEX(Bank!$H:$H,B519)))</f>
        <v/>
      </c>
      <c r="I519" s="5" t="n">
        <f aca="false">IF(H519="",0,IFERROR(MATCH(H519,GL!$A:$A,0),0))</f>
        <v>0</v>
      </c>
      <c r="J519" s="32" t="str">
        <f aca="false">IF(I519=0,"",INDEX(GL!$B:$B,I519))</f>
        <v/>
      </c>
      <c r="K519" s="5" t="str">
        <f aca="false">IF(I519=0,"",IF(INDEX(GL!$C:$C,I519)="","",INDEX(GL!$C:$C,I519)))</f>
        <v/>
      </c>
      <c r="L519" s="19" t="str">
        <f aca="false">IF(I519=0,"",INDEX(GL!$E:$E,I519))</f>
        <v/>
      </c>
      <c r="M519" s="19" t="str">
        <f aca="false">IF(OR(B519=0,I519=0),"",ROUND(G519-L519,2))</f>
        <v/>
      </c>
      <c r="N519" s="5" t="str">
        <f aca="false">IF(A519="","",IF(B519=0,"NOT FOUND: bank ID",IF(I519=0,"NOT FOUND: GL ID",IF(INDEX(GL!$H:$H,I519)&lt;&gt;A519,"BROKEN: GL points elsewhere",IF(OR(INDEX(Bank!$F:$F,B519)&lt;&gt;"Y",INDEX(GL!$F:$F,I519)&lt;&gt;"Y"),"BROKEN: Status not Y","OK")))))</f>
        <v/>
      </c>
    </row>
    <row r="520" customFormat="false" ht="15" hidden="false" customHeight="false" outlineLevel="0" collapsed="false">
      <c r="A520" s="41"/>
      <c r="B520" s="5" t="n">
        <f aca="false">IF(A520="",0,IFERROR(MATCH(A520,Bank!$A:$A,0),0))</f>
        <v>0</v>
      </c>
      <c r="C520" s="5" t="str">
        <f aca="false">IF(B520=0,"",IF(INDEX(Bank!$G:$G,B520)="","",INDEX(Bank!$G:$G,B520)))</f>
        <v/>
      </c>
      <c r="D520" s="5" t="str">
        <f aca="false">IF(B520=0,"",IF(INDEX(Bank!$J:$J,B520)="","",INDEX(Bank!$J:$J,B520)))</f>
        <v/>
      </c>
      <c r="E520" s="32" t="str">
        <f aca="false">IF(B520=0,"",INDEX(Bank!$B:$B,B520))</f>
        <v/>
      </c>
      <c r="F520" s="5" t="str">
        <f aca="false">IF(B520=0,"",IF(INDEX(Bank!$C:$C,B520)="","",INDEX(Bank!$C:$C,B520)))</f>
        <v/>
      </c>
      <c r="G520" s="19" t="str">
        <f aca="false">IF(B520=0,"",INDEX(Bank!$E:$E,B520))</f>
        <v/>
      </c>
      <c r="H520" s="5" t="str">
        <f aca="false">IF(B520=0,"",IF(INDEX(Bank!$H:$H,B520)="","",INDEX(Bank!$H:$H,B520)))</f>
        <v/>
      </c>
      <c r="I520" s="5" t="n">
        <f aca="false">IF(H520="",0,IFERROR(MATCH(H520,GL!$A:$A,0),0))</f>
        <v>0</v>
      </c>
      <c r="J520" s="32" t="str">
        <f aca="false">IF(I520=0,"",INDEX(GL!$B:$B,I520))</f>
        <v/>
      </c>
      <c r="K520" s="5" t="str">
        <f aca="false">IF(I520=0,"",IF(INDEX(GL!$C:$C,I520)="","",INDEX(GL!$C:$C,I520)))</f>
        <v/>
      </c>
      <c r="L520" s="19" t="str">
        <f aca="false">IF(I520=0,"",INDEX(GL!$E:$E,I520))</f>
        <v/>
      </c>
      <c r="M520" s="19" t="str">
        <f aca="false">IF(OR(B520=0,I520=0),"",ROUND(G520-L520,2))</f>
        <v/>
      </c>
      <c r="N520" s="5" t="str">
        <f aca="false">IF(A520="","",IF(B520=0,"NOT FOUND: bank ID",IF(I520=0,"NOT FOUND: GL ID",IF(INDEX(GL!$H:$H,I520)&lt;&gt;A520,"BROKEN: GL points elsewhere",IF(OR(INDEX(Bank!$F:$F,B520)&lt;&gt;"Y",INDEX(GL!$F:$F,I520)&lt;&gt;"Y"),"BROKEN: Status not Y","OK")))))</f>
        <v/>
      </c>
    </row>
    <row r="521" customFormat="false" ht="15" hidden="false" customHeight="false" outlineLevel="0" collapsed="false">
      <c r="A521" s="41"/>
      <c r="B521" s="5" t="n">
        <f aca="false">IF(A521="",0,IFERROR(MATCH(A521,Bank!$A:$A,0),0))</f>
        <v>0</v>
      </c>
      <c r="C521" s="5" t="str">
        <f aca="false">IF(B521=0,"",IF(INDEX(Bank!$G:$G,B521)="","",INDEX(Bank!$G:$G,B521)))</f>
        <v/>
      </c>
      <c r="D521" s="5" t="str">
        <f aca="false">IF(B521=0,"",IF(INDEX(Bank!$J:$J,B521)="","",INDEX(Bank!$J:$J,B521)))</f>
        <v/>
      </c>
      <c r="E521" s="32" t="str">
        <f aca="false">IF(B521=0,"",INDEX(Bank!$B:$B,B521))</f>
        <v/>
      </c>
      <c r="F521" s="5" t="str">
        <f aca="false">IF(B521=0,"",IF(INDEX(Bank!$C:$C,B521)="","",INDEX(Bank!$C:$C,B521)))</f>
        <v/>
      </c>
      <c r="G521" s="19" t="str">
        <f aca="false">IF(B521=0,"",INDEX(Bank!$E:$E,B521))</f>
        <v/>
      </c>
      <c r="H521" s="5" t="str">
        <f aca="false">IF(B521=0,"",IF(INDEX(Bank!$H:$H,B521)="","",INDEX(Bank!$H:$H,B521)))</f>
        <v/>
      </c>
      <c r="I521" s="5" t="n">
        <f aca="false">IF(H521="",0,IFERROR(MATCH(H521,GL!$A:$A,0),0))</f>
        <v>0</v>
      </c>
      <c r="J521" s="32" t="str">
        <f aca="false">IF(I521=0,"",INDEX(GL!$B:$B,I521))</f>
        <v/>
      </c>
      <c r="K521" s="5" t="str">
        <f aca="false">IF(I521=0,"",IF(INDEX(GL!$C:$C,I521)="","",INDEX(GL!$C:$C,I521)))</f>
        <v/>
      </c>
      <c r="L521" s="19" t="str">
        <f aca="false">IF(I521=0,"",INDEX(GL!$E:$E,I521))</f>
        <v/>
      </c>
      <c r="M521" s="19" t="str">
        <f aca="false">IF(OR(B521=0,I521=0),"",ROUND(G521-L521,2))</f>
        <v/>
      </c>
      <c r="N521" s="5" t="str">
        <f aca="false">IF(A521="","",IF(B521=0,"NOT FOUND: bank ID",IF(I521=0,"NOT FOUND: GL ID",IF(INDEX(GL!$H:$H,I521)&lt;&gt;A521,"BROKEN: GL points elsewhere",IF(OR(INDEX(Bank!$F:$F,B521)&lt;&gt;"Y",INDEX(GL!$F:$F,I521)&lt;&gt;"Y"),"BROKEN: Status not Y","OK")))))</f>
        <v/>
      </c>
    </row>
    <row r="522" customFormat="false" ht="15" hidden="false" customHeight="false" outlineLevel="0" collapsed="false">
      <c r="A522" s="41"/>
      <c r="B522" s="5" t="n">
        <f aca="false">IF(A522="",0,IFERROR(MATCH(A522,Bank!$A:$A,0),0))</f>
        <v>0</v>
      </c>
      <c r="C522" s="5" t="str">
        <f aca="false">IF(B522=0,"",IF(INDEX(Bank!$G:$G,B522)="","",INDEX(Bank!$G:$G,B522)))</f>
        <v/>
      </c>
      <c r="D522" s="5" t="str">
        <f aca="false">IF(B522=0,"",IF(INDEX(Bank!$J:$J,B522)="","",INDEX(Bank!$J:$J,B522)))</f>
        <v/>
      </c>
      <c r="E522" s="32" t="str">
        <f aca="false">IF(B522=0,"",INDEX(Bank!$B:$B,B522))</f>
        <v/>
      </c>
      <c r="F522" s="5" t="str">
        <f aca="false">IF(B522=0,"",IF(INDEX(Bank!$C:$C,B522)="","",INDEX(Bank!$C:$C,B522)))</f>
        <v/>
      </c>
      <c r="G522" s="19" t="str">
        <f aca="false">IF(B522=0,"",INDEX(Bank!$E:$E,B522))</f>
        <v/>
      </c>
      <c r="H522" s="5" t="str">
        <f aca="false">IF(B522=0,"",IF(INDEX(Bank!$H:$H,B522)="","",INDEX(Bank!$H:$H,B522)))</f>
        <v/>
      </c>
      <c r="I522" s="5" t="n">
        <f aca="false">IF(H522="",0,IFERROR(MATCH(H522,GL!$A:$A,0),0))</f>
        <v>0</v>
      </c>
      <c r="J522" s="32" t="str">
        <f aca="false">IF(I522=0,"",INDEX(GL!$B:$B,I522))</f>
        <v/>
      </c>
      <c r="K522" s="5" t="str">
        <f aca="false">IF(I522=0,"",IF(INDEX(GL!$C:$C,I522)="","",INDEX(GL!$C:$C,I522)))</f>
        <v/>
      </c>
      <c r="L522" s="19" t="str">
        <f aca="false">IF(I522=0,"",INDEX(GL!$E:$E,I522))</f>
        <v/>
      </c>
      <c r="M522" s="19" t="str">
        <f aca="false">IF(OR(B522=0,I522=0),"",ROUND(G522-L522,2))</f>
        <v/>
      </c>
      <c r="N522" s="5" t="str">
        <f aca="false">IF(A522="","",IF(B522=0,"NOT FOUND: bank ID",IF(I522=0,"NOT FOUND: GL ID",IF(INDEX(GL!$H:$H,I522)&lt;&gt;A522,"BROKEN: GL points elsewhere",IF(OR(INDEX(Bank!$F:$F,B522)&lt;&gt;"Y",INDEX(GL!$F:$F,I522)&lt;&gt;"Y"),"BROKEN: Status not Y","OK")))))</f>
        <v/>
      </c>
    </row>
    <row r="523" customFormat="false" ht="15" hidden="false" customHeight="false" outlineLevel="0" collapsed="false">
      <c r="A523" s="41"/>
      <c r="B523" s="5" t="n">
        <f aca="false">IF(A523="",0,IFERROR(MATCH(A523,Bank!$A:$A,0),0))</f>
        <v>0</v>
      </c>
      <c r="C523" s="5" t="str">
        <f aca="false">IF(B523=0,"",IF(INDEX(Bank!$G:$G,B523)="","",INDEX(Bank!$G:$G,B523)))</f>
        <v/>
      </c>
      <c r="D523" s="5" t="str">
        <f aca="false">IF(B523=0,"",IF(INDEX(Bank!$J:$J,B523)="","",INDEX(Bank!$J:$J,B523)))</f>
        <v/>
      </c>
      <c r="E523" s="32" t="str">
        <f aca="false">IF(B523=0,"",INDEX(Bank!$B:$B,B523))</f>
        <v/>
      </c>
      <c r="F523" s="5" t="str">
        <f aca="false">IF(B523=0,"",IF(INDEX(Bank!$C:$C,B523)="","",INDEX(Bank!$C:$C,B523)))</f>
        <v/>
      </c>
      <c r="G523" s="19" t="str">
        <f aca="false">IF(B523=0,"",INDEX(Bank!$E:$E,B523))</f>
        <v/>
      </c>
      <c r="H523" s="5" t="str">
        <f aca="false">IF(B523=0,"",IF(INDEX(Bank!$H:$H,B523)="","",INDEX(Bank!$H:$H,B523)))</f>
        <v/>
      </c>
      <c r="I523" s="5" t="n">
        <f aca="false">IF(H523="",0,IFERROR(MATCH(H523,GL!$A:$A,0),0))</f>
        <v>0</v>
      </c>
      <c r="J523" s="32" t="str">
        <f aca="false">IF(I523=0,"",INDEX(GL!$B:$B,I523))</f>
        <v/>
      </c>
      <c r="K523" s="5" t="str">
        <f aca="false">IF(I523=0,"",IF(INDEX(GL!$C:$C,I523)="","",INDEX(GL!$C:$C,I523)))</f>
        <v/>
      </c>
      <c r="L523" s="19" t="str">
        <f aca="false">IF(I523=0,"",INDEX(GL!$E:$E,I523))</f>
        <v/>
      </c>
      <c r="M523" s="19" t="str">
        <f aca="false">IF(OR(B523=0,I523=0),"",ROUND(G523-L523,2))</f>
        <v/>
      </c>
      <c r="N523" s="5" t="str">
        <f aca="false">IF(A523="","",IF(B523=0,"NOT FOUND: bank ID",IF(I523=0,"NOT FOUND: GL ID",IF(INDEX(GL!$H:$H,I523)&lt;&gt;A523,"BROKEN: GL points elsewhere",IF(OR(INDEX(Bank!$F:$F,B523)&lt;&gt;"Y",INDEX(GL!$F:$F,I523)&lt;&gt;"Y"),"BROKEN: Status not Y","OK")))))</f>
        <v/>
      </c>
    </row>
    <row r="524" customFormat="false" ht="15" hidden="false" customHeight="false" outlineLevel="0" collapsed="false">
      <c r="A524" s="41"/>
      <c r="B524" s="5" t="n">
        <f aca="false">IF(A524="",0,IFERROR(MATCH(A524,Bank!$A:$A,0),0))</f>
        <v>0</v>
      </c>
      <c r="C524" s="5" t="str">
        <f aca="false">IF(B524=0,"",IF(INDEX(Bank!$G:$G,B524)="","",INDEX(Bank!$G:$G,B524)))</f>
        <v/>
      </c>
      <c r="D524" s="5" t="str">
        <f aca="false">IF(B524=0,"",IF(INDEX(Bank!$J:$J,B524)="","",INDEX(Bank!$J:$J,B524)))</f>
        <v/>
      </c>
      <c r="E524" s="32" t="str">
        <f aca="false">IF(B524=0,"",INDEX(Bank!$B:$B,B524))</f>
        <v/>
      </c>
      <c r="F524" s="5" t="str">
        <f aca="false">IF(B524=0,"",IF(INDEX(Bank!$C:$C,B524)="","",INDEX(Bank!$C:$C,B524)))</f>
        <v/>
      </c>
      <c r="G524" s="19" t="str">
        <f aca="false">IF(B524=0,"",INDEX(Bank!$E:$E,B524))</f>
        <v/>
      </c>
      <c r="H524" s="5" t="str">
        <f aca="false">IF(B524=0,"",IF(INDEX(Bank!$H:$H,B524)="","",INDEX(Bank!$H:$H,B524)))</f>
        <v/>
      </c>
      <c r="I524" s="5" t="n">
        <f aca="false">IF(H524="",0,IFERROR(MATCH(H524,GL!$A:$A,0),0))</f>
        <v>0</v>
      </c>
      <c r="J524" s="32" t="str">
        <f aca="false">IF(I524=0,"",INDEX(GL!$B:$B,I524))</f>
        <v/>
      </c>
      <c r="K524" s="5" t="str">
        <f aca="false">IF(I524=0,"",IF(INDEX(GL!$C:$C,I524)="","",INDEX(GL!$C:$C,I524)))</f>
        <v/>
      </c>
      <c r="L524" s="19" t="str">
        <f aca="false">IF(I524=0,"",INDEX(GL!$E:$E,I524))</f>
        <v/>
      </c>
      <c r="M524" s="19" t="str">
        <f aca="false">IF(OR(B524=0,I524=0),"",ROUND(G524-L524,2))</f>
        <v/>
      </c>
      <c r="N524" s="5" t="str">
        <f aca="false">IF(A524="","",IF(B524=0,"NOT FOUND: bank ID",IF(I524=0,"NOT FOUND: GL ID",IF(INDEX(GL!$H:$H,I524)&lt;&gt;A524,"BROKEN: GL points elsewhere",IF(OR(INDEX(Bank!$F:$F,B524)&lt;&gt;"Y",INDEX(GL!$F:$F,I524)&lt;&gt;"Y"),"BROKEN: Status not Y","OK")))))</f>
        <v/>
      </c>
    </row>
    <row r="525" customFormat="false" ht="15" hidden="false" customHeight="false" outlineLevel="0" collapsed="false">
      <c r="A525" s="41"/>
      <c r="B525" s="5" t="n">
        <f aca="false">IF(A525="",0,IFERROR(MATCH(A525,Bank!$A:$A,0),0))</f>
        <v>0</v>
      </c>
      <c r="C525" s="5" t="str">
        <f aca="false">IF(B525=0,"",IF(INDEX(Bank!$G:$G,B525)="","",INDEX(Bank!$G:$G,B525)))</f>
        <v/>
      </c>
      <c r="D525" s="5" t="str">
        <f aca="false">IF(B525=0,"",IF(INDEX(Bank!$J:$J,B525)="","",INDEX(Bank!$J:$J,B525)))</f>
        <v/>
      </c>
      <c r="E525" s="32" t="str">
        <f aca="false">IF(B525=0,"",INDEX(Bank!$B:$B,B525))</f>
        <v/>
      </c>
      <c r="F525" s="5" t="str">
        <f aca="false">IF(B525=0,"",IF(INDEX(Bank!$C:$C,B525)="","",INDEX(Bank!$C:$C,B525)))</f>
        <v/>
      </c>
      <c r="G525" s="19" t="str">
        <f aca="false">IF(B525=0,"",INDEX(Bank!$E:$E,B525))</f>
        <v/>
      </c>
      <c r="H525" s="5" t="str">
        <f aca="false">IF(B525=0,"",IF(INDEX(Bank!$H:$H,B525)="","",INDEX(Bank!$H:$H,B525)))</f>
        <v/>
      </c>
      <c r="I525" s="5" t="n">
        <f aca="false">IF(H525="",0,IFERROR(MATCH(H525,GL!$A:$A,0),0))</f>
        <v>0</v>
      </c>
      <c r="J525" s="32" t="str">
        <f aca="false">IF(I525=0,"",INDEX(GL!$B:$B,I525))</f>
        <v/>
      </c>
      <c r="K525" s="5" t="str">
        <f aca="false">IF(I525=0,"",IF(INDEX(GL!$C:$C,I525)="","",INDEX(GL!$C:$C,I525)))</f>
        <v/>
      </c>
      <c r="L525" s="19" t="str">
        <f aca="false">IF(I525=0,"",INDEX(GL!$E:$E,I525))</f>
        <v/>
      </c>
      <c r="M525" s="19" t="str">
        <f aca="false">IF(OR(B525=0,I525=0),"",ROUND(G525-L525,2))</f>
        <v/>
      </c>
      <c r="N525" s="5" t="str">
        <f aca="false">IF(A525="","",IF(B525=0,"NOT FOUND: bank ID",IF(I525=0,"NOT FOUND: GL ID",IF(INDEX(GL!$H:$H,I525)&lt;&gt;A525,"BROKEN: GL points elsewhere",IF(OR(INDEX(Bank!$F:$F,B525)&lt;&gt;"Y",INDEX(GL!$F:$F,I525)&lt;&gt;"Y"),"BROKEN: Status not Y","OK")))))</f>
        <v/>
      </c>
    </row>
    <row r="526" customFormat="false" ht="15" hidden="false" customHeight="false" outlineLevel="0" collapsed="false">
      <c r="A526" s="41"/>
      <c r="B526" s="5" t="n">
        <f aca="false">IF(A526="",0,IFERROR(MATCH(A526,Bank!$A:$A,0),0))</f>
        <v>0</v>
      </c>
      <c r="C526" s="5" t="str">
        <f aca="false">IF(B526=0,"",IF(INDEX(Bank!$G:$G,B526)="","",INDEX(Bank!$G:$G,B526)))</f>
        <v/>
      </c>
      <c r="D526" s="5" t="str">
        <f aca="false">IF(B526=0,"",IF(INDEX(Bank!$J:$J,B526)="","",INDEX(Bank!$J:$J,B526)))</f>
        <v/>
      </c>
      <c r="E526" s="32" t="str">
        <f aca="false">IF(B526=0,"",INDEX(Bank!$B:$B,B526))</f>
        <v/>
      </c>
      <c r="F526" s="5" t="str">
        <f aca="false">IF(B526=0,"",IF(INDEX(Bank!$C:$C,B526)="","",INDEX(Bank!$C:$C,B526)))</f>
        <v/>
      </c>
      <c r="G526" s="19" t="str">
        <f aca="false">IF(B526=0,"",INDEX(Bank!$E:$E,B526))</f>
        <v/>
      </c>
      <c r="H526" s="5" t="str">
        <f aca="false">IF(B526=0,"",IF(INDEX(Bank!$H:$H,B526)="","",INDEX(Bank!$H:$H,B526)))</f>
        <v/>
      </c>
      <c r="I526" s="5" t="n">
        <f aca="false">IF(H526="",0,IFERROR(MATCH(H526,GL!$A:$A,0),0))</f>
        <v>0</v>
      </c>
      <c r="J526" s="32" t="str">
        <f aca="false">IF(I526=0,"",INDEX(GL!$B:$B,I526))</f>
        <v/>
      </c>
      <c r="K526" s="5" t="str">
        <f aca="false">IF(I526=0,"",IF(INDEX(GL!$C:$C,I526)="","",INDEX(GL!$C:$C,I526)))</f>
        <v/>
      </c>
      <c r="L526" s="19" t="str">
        <f aca="false">IF(I526=0,"",INDEX(GL!$E:$E,I526))</f>
        <v/>
      </c>
      <c r="M526" s="19" t="str">
        <f aca="false">IF(OR(B526=0,I526=0),"",ROUND(G526-L526,2))</f>
        <v/>
      </c>
      <c r="N526" s="5" t="str">
        <f aca="false">IF(A526="","",IF(B526=0,"NOT FOUND: bank ID",IF(I526=0,"NOT FOUND: GL ID",IF(INDEX(GL!$H:$H,I526)&lt;&gt;A526,"BROKEN: GL points elsewhere",IF(OR(INDEX(Bank!$F:$F,B526)&lt;&gt;"Y",INDEX(GL!$F:$F,I526)&lt;&gt;"Y"),"BROKEN: Status not Y","OK")))))</f>
        <v/>
      </c>
    </row>
    <row r="527" customFormat="false" ht="15" hidden="false" customHeight="false" outlineLevel="0" collapsed="false">
      <c r="A527" s="41"/>
      <c r="B527" s="5" t="n">
        <f aca="false">IF(A527="",0,IFERROR(MATCH(A527,Bank!$A:$A,0),0))</f>
        <v>0</v>
      </c>
      <c r="C527" s="5" t="str">
        <f aca="false">IF(B527=0,"",IF(INDEX(Bank!$G:$G,B527)="","",INDEX(Bank!$G:$G,B527)))</f>
        <v/>
      </c>
      <c r="D527" s="5" t="str">
        <f aca="false">IF(B527=0,"",IF(INDEX(Bank!$J:$J,B527)="","",INDEX(Bank!$J:$J,B527)))</f>
        <v/>
      </c>
      <c r="E527" s="32" t="str">
        <f aca="false">IF(B527=0,"",INDEX(Bank!$B:$B,B527))</f>
        <v/>
      </c>
      <c r="F527" s="5" t="str">
        <f aca="false">IF(B527=0,"",IF(INDEX(Bank!$C:$C,B527)="","",INDEX(Bank!$C:$C,B527)))</f>
        <v/>
      </c>
      <c r="G527" s="19" t="str">
        <f aca="false">IF(B527=0,"",INDEX(Bank!$E:$E,B527))</f>
        <v/>
      </c>
      <c r="H527" s="5" t="str">
        <f aca="false">IF(B527=0,"",IF(INDEX(Bank!$H:$H,B527)="","",INDEX(Bank!$H:$H,B527)))</f>
        <v/>
      </c>
      <c r="I527" s="5" t="n">
        <f aca="false">IF(H527="",0,IFERROR(MATCH(H527,GL!$A:$A,0),0))</f>
        <v>0</v>
      </c>
      <c r="J527" s="32" t="str">
        <f aca="false">IF(I527=0,"",INDEX(GL!$B:$B,I527))</f>
        <v/>
      </c>
      <c r="K527" s="5" t="str">
        <f aca="false">IF(I527=0,"",IF(INDEX(GL!$C:$C,I527)="","",INDEX(GL!$C:$C,I527)))</f>
        <v/>
      </c>
      <c r="L527" s="19" t="str">
        <f aca="false">IF(I527=0,"",INDEX(GL!$E:$E,I527))</f>
        <v/>
      </c>
      <c r="M527" s="19" t="str">
        <f aca="false">IF(OR(B527=0,I527=0),"",ROUND(G527-L527,2))</f>
        <v/>
      </c>
      <c r="N527" s="5" t="str">
        <f aca="false">IF(A527="","",IF(B527=0,"NOT FOUND: bank ID",IF(I527=0,"NOT FOUND: GL ID",IF(INDEX(GL!$H:$H,I527)&lt;&gt;A527,"BROKEN: GL points elsewhere",IF(OR(INDEX(Bank!$F:$F,B527)&lt;&gt;"Y",INDEX(GL!$F:$F,I527)&lt;&gt;"Y"),"BROKEN: Status not Y","OK")))))</f>
        <v/>
      </c>
    </row>
    <row r="528" customFormat="false" ht="15" hidden="false" customHeight="false" outlineLevel="0" collapsed="false">
      <c r="A528" s="41"/>
      <c r="B528" s="5" t="n">
        <f aca="false">IF(A528="",0,IFERROR(MATCH(A528,Bank!$A:$A,0),0))</f>
        <v>0</v>
      </c>
      <c r="C528" s="5" t="str">
        <f aca="false">IF(B528=0,"",IF(INDEX(Bank!$G:$G,B528)="","",INDEX(Bank!$G:$G,B528)))</f>
        <v/>
      </c>
      <c r="D528" s="5" t="str">
        <f aca="false">IF(B528=0,"",IF(INDEX(Bank!$J:$J,B528)="","",INDEX(Bank!$J:$J,B528)))</f>
        <v/>
      </c>
      <c r="E528" s="32" t="str">
        <f aca="false">IF(B528=0,"",INDEX(Bank!$B:$B,B528))</f>
        <v/>
      </c>
      <c r="F528" s="5" t="str">
        <f aca="false">IF(B528=0,"",IF(INDEX(Bank!$C:$C,B528)="","",INDEX(Bank!$C:$C,B528)))</f>
        <v/>
      </c>
      <c r="G528" s="19" t="str">
        <f aca="false">IF(B528=0,"",INDEX(Bank!$E:$E,B528))</f>
        <v/>
      </c>
      <c r="H528" s="5" t="str">
        <f aca="false">IF(B528=0,"",IF(INDEX(Bank!$H:$H,B528)="","",INDEX(Bank!$H:$H,B528)))</f>
        <v/>
      </c>
      <c r="I528" s="5" t="n">
        <f aca="false">IF(H528="",0,IFERROR(MATCH(H528,GL!$A:$A,0),0))</f>
        <v>0</v>
      </c>
      <c r="J528" s="32" t="str">
        <f aca="false">IF(I528=0,"",INDEX(GL!$B:$B,I528))</f>
        <v/>
      </c>
      <c r="K528" s="5" t="str">
        <f aca="false">IF(I528=0,"",IF(INDEX(GL!$C:$C,I528)="","",INDEX(GL!$C:$C,I528)))</f>
        <v/>
      </c>
      <c r="L528" s="19" t="str">
        <f aca="false">IF(I528=0,"",INDEX(GL!$E:$E,I528))</f>
        <v/>
      </c>
      <c r="M528" s="19" t="str">
        <f aca="false">IF(OR(B528=0,I528=0),"",ROUND(G528-L528,2))</f>
        <v/>
      </c>
      <c r="N528" s="5" t="str">
        <f aca="false">IF(A528="","",IF(B528=0,"NOT FOUND: bank ID",IF(I528=0,"NOT FOUND: GL ID",IF(INDEX(GL!$H:$H,I528)&lt;&gt;A528,"BROKEN: GL points elsewhere",IF(OR(INDEX(Bank!$F:$F,B528)&lt;&gt;"Y",INDEX(GL!$F:$F,I528)&lt;&gt;"Y"),"BROKEN: Status not Y","OK")))))</f>
        <v/>
      </c>
    </row>
    <row r="529" customFormat="false" ht="15" hidden="false" customHeight="false" outlineLevel="0" collapsed="false">
      <c r="A529" s="41"/>
      <c r="B529" s="5" t="n">
        <f aca="false">IF(A529="",0,IFERROR(MATCH(A529,Bank!$A:$A,0),0))</f>
        <v>0</v>
      </c>
      <c r="C529" s="5" t="str">
        <f aca="false">IF(B529=0,"",IF(INDEX(Bank!$G:$G,B529)="","",INDEX(Bank!$G:$G,B529)))</f>
        <v/>
      </c>
      <c r="D529" s="5" t="str">
        <f aca="false">IF(B529=0,"",IF(INDEX(Bank!$J:$J,B529)="","",INDEX(Bank!$J:$J,B529)))</f>
        <v/>
      </c>
      <c r="E529" s="32" t="str">
        <f aca="false">IF(B529=0,"",INDEX(Bank!$B:$B,B529))</f>
        <v/>
      </c>
      <c r="F529" s="5" t="str">
        <f aca="false">IF(B529=0,"",IF(INDEX(Bank!$C:$C,B529)="","",INDEX(Bank!$C:$C,B529)))</f>
        <v/>
      </c>
      <c r="G529" s="19" t="str">
        <f aca="false">IF(B529=0,"",INDEX(Bank!$E:$E,B529))</f>
        <v/>
      </c>
      <c r="H529" s="5" t="str">
        <f aca="false">IF(B529=0,"",IF(INDEX(Bank!$H:$H,B529)="","",INDEX(Bank!$H:$H,B529)))</f>
        <v/>
      </c>
      <c r="I529" s="5" t="n">
        <f aca="false">IF(H529="",0,IFERROR(MATCH(H529,GL!$A:$A,0),0))</f>
        <v>0</v>
      </c>
      <c r="J529" s="32" t="str">
        <f aca="false">IF(I529=0,"",INDEX(GL!$B:$B,I529))</f>
        <v/>
      </c>
      <c r="K529" s="5" t="str">
        <f aca="false">IF(I529=0,"",IF(INDEX(GL!$C:$C,I529)="","",INDEX(GL!$C:$C,I529)))</f>
        <v/>
      </c>
      <c r="L529" s="19" t="str">
        <f aca="false">IF(I529=0,"",INDEX(GL!$E:$E,I529))</f>
        <v/>
      </c>
      <c r="M529" s="19" t="str">
        <f aca="false">IF(OR(B529=0,I529=0),"",ROUND(G529-L529,2))</f>
        <v/>
      </c>
      <c r="N529" s="5" t="str">
        <f aca="false">IF(A529="","",IF(B529=0,"NOT FOUND: bank ID",IF(I529=0,"NOT FOUND: GL ID",IF(INDEX(GL!$H:$H,I529)&lt;&gt;A529,"BROKEN: GL points elsewhere",IF(OR(INDEX(Bank!$F:$F,B529)&lt;&gt;"Y",INDEX(GL!$F:$F,I529)&lt;&gt;"Y"),"BROKEN: Status not Y","OK")))))</f>
        <v/>
      </c>
    </row>
    <row r="530" customFormat="false" ht="15" hidden="false" customHeight="false" outlineLevel="0" collapsed="false">
      <c r="A530" s="41"/>
      <c r="B530" s="5" t="n">
        <f aca="false">IF(A530="",0,IFERROR(MATCH(A530,Bank!$A:$A,0),0))</f>
        <v>0</v>
      </c>
      <c r="C530" s="5" t="str">
        <f aca="false">IF(B530=0,"",IF(INDEX(Bank!$G:$G,B530)="","",INDEX(Bank!$G:$G,B530)))</f>
        <v/>
      </c>
      <c r="D530" s="5" t="str">
        <f aca="false">IF(B530=0,"",IF(INDEX(Bank!$J:$J,B530)="","",INDEX(Bank!$J:$J,B530)))</f>
        <v/>
      </c>
      <c r="E530" s="32" t="str">
        <f aca="false">IF(B530=0,"",INDEX(Bank!$B:$B,B530))</f>
        <v/>
      </c>
      <c r="F530" s="5" t="str">
        <f aca="false">IF(B530=0,"",IF(INDEX(Bank!$C:$C,B530)="","",INDEX(Bank!$C:$C,B530)))</f>
        <v/>
      </c>
      <c r="G530" s="19" t="str">
        <f aca="false">IF(B530=0,"",INDEX(Bank!$E:$E,B530))</f>
        <v/>
      </c>
      <c r="H530" s="5" t="str">
        <f aca="false">IF(B530=0,"",IF(INDEX(Bank!$H:$H,B530)="","",INDEX(Bank!$H:$H,B530)))</f>
        <v/>
      </c>
      <c r="I530" s="5" t="n">
        <f aca="false">IF(H530="",0,IFERROR(MATCH(H530,GL!$A:$A,0),0))</f>
        <v>0</v>
      </c>
      <c r="J530" s="32" t="str">
        <f aca="false">IF(I530=0,"",INDEX(GL!$B:$B,I530))</f>
        <v/>
      </c>
      <c r="K530" s="5" t="str">
        <f aca="false">IF(I530=0,"",IF(INDEX(GL!$C:$C,I530)="","",INDEX(GL!$C:$C,I530)))</f>
        <v/>
      </c>
      <c r="L530" s="19" t="str">
        <f aca="false">IF(I530=0,"",INDEX(GL!$E:$E,I530))</f>
        <v/>
      </c>
      <c r="M530" s="19" t="str">
        <f aca="false">IF(OR(B530=0,I530=0),"",ROUND(G530-L530,2))</f>
        <v/>
      </c>
      <c r="N530" s="5" t="str">
        <f aca="false">IF(A530="","",IF(B530=0,"NOT FOUND: bank ID",IF(I530=0,"NOT FOUND: GL ID",IF(INDEX(GL!$H:$H,I530)&lt;&gt;A530,"BROKEN: GL points elsewhere",IF(OR(INDEX(Bank!$F:$F,B530)&lt;&gt;"Y",INDEX(GL!$F:$F,I530)&lt;&gt;"Y"),"BROKEN: Status not Y","OK")))))</f>
        <v/>
      </c>
    </row>
    <row r="531" customFormat="false" ht="15" hidden="false" customHeight="false" outlineLevel="0" collapsed="false">
      <c r="A531" s="41"/>
      <c r="B531" s="5" t="n">
        <f aca="false">IF(A531="",0,IFERROR(MATCH(A531,Bank!$A:$A,0),0))</f>
        <v>0</v>
      </c>
      <c r="C531" s="5" t="str">
        <f aca="false">IF(B531=0,"",IF(INDEX(Bank!$G:$G,B531)="","",INDEX(Bank!$G:$G,B531)))</f>
        <v/>
      </c>
      <c r="D531" s="5" t="str">
        <f aca="false">IF(B531=0,"",IF(INDEX(Bank!$J:$J,B531)="","",INDEX(Bank!$J:$J,B531)))</f>
        <v/>
      </c>
      <c r="E531" s="32" t="str">
        <f aca="false">IF(B531=0,"",INDEX(Bank!$B:$B,B531))</f>
        <v/>
      </c>
      <c r="F531" s="5" t="str">
        <f aca="false">IF(B531=0,"",IF(INDEX(Bank!$C:$C,B531)="","",INDEX(Bank!$C:$C,B531)))</f>
        <v/>
      </c>
      <c r="G531" s="19" t="str">
        <f aca="false">IF(B531=0,"",INDEX(Bank!$E:$E,B531))</f>
        <v/>
      </c>
      <c r="H531" s="5" t="str">
        <f aca="false">IF(B531=0,"",IF(INDEX(Bank!$H:$H,B531)="","",INDEX(Bank!$H:$H,B531)))</f>
        <v/>
      </c>
      <c r="I531" s="5" t="n">
        <f aca="false">IF(H531="",0,IFERROR(MATCH(H531,GL!$A:$A,0),0))</f>
        <v>0</v>
      </c>
      <c r="J531" s="32" t="str">
        <f aca="false">IF(I531=0,"",INDEX(GL!$B:$B,I531))</f>
        <v/>
      </c>
      <c r="K531" s="5" t="str">
        <f aca="false">IF(I531=0,"",IF(INDEX(GL!$C:$C,I531)="","",INDEX(GL!$C:$C,I531)))</f>
        <v/>
      </c>
      <c r="L531" s="19" t="str">
        <f aca="false">IF(I531=0,"",INDEX(GL!$E:$E,I531))</f>
        <v/>
      </c>
      <c r="M531" s="19" t="str">
        <f aca="false">IF(OR(B531=0,I531=0),"",ROUND(G531-L531,2))</f>
        <v/>
      </c>
      <c r="N531" s="5" t="str">
        <f aca="false">IF(A531="","",IF(B531=0,"NOT FOUND: bank ID",IF(I531=0,"NOT FOUND: GL ID",IF(INDEX(GL!$H:$H,I531)&lt;&gt;A531,"BROKEN: GL points elsewhere",IF(OR(INDEX(Bank!$F:$F,B531)&lt;&gt;"Y",INDEX(GL!$F:$F,I531)&lt;&gt;"Y"),"BROKEN: Status not Y","OK")))))</f>
        <v/>
      </c>
    </row>
    <row r="532" customFormat="false" ht="15" hidden="false" customHeight="false" outlineLevel="0" collapsed="false">
      <c r="A532" s="41"/>
      <c r="B532" s="5" t="n">
        <f aca="false">IF(A532="",0,IFERROR(MATCH(A532,Bank!$A:$A,0),0))</f>
        <v>0</v>
      </c>
      <c r="C532" s="5" t="str">
        <f aca="false">IF(B532=0,"",IF(INDEX(Bank!$G:$G,B532)="","",INDEX(Bank!$G:$G,B532)))</f>
        <v/>
      </c>
      <c r="D532" s="5" t="str">
        <f aca="false">IF(B532=0,"",IF(INDEX(Bank!$J:$J,B532)="","",INDEX(Bank!$J:$J,B532)))</f>
        <v/>
      </c>
      <c r="E532" s="32" t="str">
        <f aca="false">IF(B532=0,"",INDEX(Bank!$B:$B,B532))</f>
        <v/>
      </c>
      <c r="F532" s="5" t="str">
        <f aca="false">IF(B532=0,"",IF(INDEX(Bank!$C:$C,B532)="","",INDEX(Bank!$C:$C,B532)))</f>
        <v/>
      </c>
      <c r="G532" s="19" t="str">
        <f aca="false">IF(B532=0,"",INDEX(Bank!$E:$E,B532))</f>
        <v/>
      </c>
      <c r="H532" s="5" t="str">
        <f aca="false">IF(B532=0,"",IF(INDEX(Bank!$H:$H,B532)="","",INDEX(Bank!$H:$H,B532)))</f>
        <v/>
      </c>
      <c r="I532" s="5" t="n">
        <f aca="false">IF(H532="",0,IFERROR(MATCH(H532,GL!$A:$A,0),0))</f>
        <v>0</v>
      </c>
      <c r="J532" s="32" t="str">
        <f aca="false">IF(I532=0,"",INDEX(GL!$B:$B,I532))</f>
        <v/>
      </c>
      <c r="K532" s="5" t="str">
        <f aca="false">IF(I532=0,"",IF(INDEX(GL!$C:$C,I532)="","",INDEX(GL!$C:$C,I532)))</f>
        <v/>
      </c>
      <c r="L532" s="19" t="str">
        <f aca="false">IF(I532=0,"",INDEX(GL!$E:$E,I532))</f>
        <v/>
      </c>
      <c r="M532" s="19" t="str">
        <f aca="false">IF(OR(B532=0,I532=0),"",ROUND(G532-L532,2))</f>
        <v/>
      </c>
      <c r="N532" s="5" t="str">
        <f aca="false">IF(A532="","",IF(B532=0,"NOT FOUND: bank ID",IF(I532=0,"NOT FOUND: GL ID",IF(INDEX(GL!$H:$H,I532)&lt;&gt;A532,"BROKEN: GL points elsewhere",IF(OR(INDEX(Bank!$F:$F,B532)&lt;&gt;"Y",INDEX(GL!$F:$F,I532)&lt;&gt;"Y"),"BROKEN: Status not Y","OK")))))</f>
        <v/>
      </c>
    </row>
    <row r="533" customFormat="false" ht="15" hidden="false" customHeight="false" outlineLevel="0" collapsed="false">
      <c r="A533" s="41"/>
      <c r="B533" s="5" t="n">
        <f aca="false">IF(A533="",0,IFERROR(MATCH(A533,Bank!$A:$A,0),0))</f>
        <v>0</v>
      </c>
      <c r="C533" s="5" t="str">
        <f aca="false">IF(B533=0,"",IF(INDEX(Bank!$G:$G,B533)="","",INDEX(Bank!$G:$G,B533)))</f>
        <v/>
      </c>
      <c r="D533" s="5" t="str">
        <f aca="false">IF(B533=0,"",IF(INDEX(Bank!$J:$J,B533)="","",INDEX(Bank!$J:$J,B533)))</f>
        <v/>
      </c>
      <c r="E533" s="32" t="str">
        <f aca="false">IF(B533=0,"",INDEX(Bank!$B:$B,B533))</f>
        <v/>
      </c>
      <c r="F533" s="5" t="str">
        <f aca="false">IF(B533=0,"",IF(INDEX(Bank!$C:$C,B533)="","",INDEX(Bank!$C:$C,B533)))</f>
        <v/>
      </c>
      <c r="G533" s="19" t="str">
        <f aca="false">IF(B533=0,"",INDEX(Bank!$E:$E,B533))</f>
        <v/>
      </c>
      <c r="H533" s="5" t="str">
        <f aca="false">IF(B533=0,"",IF(INDEX(Bank!$H:$H,B533)="","",INDEX(Bank!$H:$H,B533)))</f>
        <v/>
      </c>
      <c r="I533" s="5" t="n">
        <f aca="false">IF(H533="",0,IFERROR(MATCH(H533,GL!$A:$A,0),0))</f>
        <v>0</v>
      </c>
      <c r="J533" s="32" t="str">
        <f aca="false">IF(I533=0,"",INDEX(GL!$B:$B,I533))</f>
        <v/>
      </c>
      <c r="K533" s="5" t="str">
        <f aca="false">IF(I533=0,"",IF(INDEX(GL!$C:$C,I533)="","",INDEX(GL!$C:$C,I533)))</f>
        <v/>
      </c>
      <c r="L533" s="19" t="str">
        <f aca="false">IF(I533=0,"",INDEX(GL!$E:$E,I533))</f>
        <v/>
      </c>
      <c r="M533" s="19" t="str">
        <f aca="false">IF(OR(B533=0,I533=0),"",ROUND(G533-L533,2))</f>
        <v/>
      </c>
      <c r="N533" s="5" t="str">
        <f aca="false">IF(A533="","",IF(B533=0,"NOT FOUND: bank ID",IF(I533=0,"NOT FOUND: GL ID",IF(INDEX(GL!$H:$H,I533)&lt;&gt;A533,"BROKEN: GL points elsewhere",IF(OR(INDEX(Bank!$F:$F,B533)&lt;&gt;"Y",INDEX(GL!$F:$F,I533)&lt;&gt;"Y"),"BROKEN: Status not Y","OK")))))</f>
        <v/>
      </c>
    </row>
    <row r="534" customFormat="false" ht="15" hidden="false" customHeight="false" outlineLevel="0" collapsed="false">
      <c r="A534" s="41"/>
      <c r="B534" s="5" t="n">
        <f aca="false">IF(A534="",0,IFERROR(MATCH(A534,Bank!$A:$A,0),0))</f>
        <v>0</v>
      </c>
      <c r="C534" s="5" t="str">
        <f aca="false">IF(B534=0,"",IF(INDEX(Bank!$G:$G,B534)="","",INDEX(Bank!$G:$G,B534)))</f>
        <v/>
      </c>
      <c r="D534" s="5" t="str">
        <f aca="false">IF(B534=0,"",IF(INDEX(Bank!$J:$J,B534)="","",INDEX(Bank!$J:$J,B534)))</f>
        <v/>
      </c>
      <c r="E534" s="32" t="str">
        <f aca="false">IF(B534=0,"",INDEX(Bank!$B:$B,B534))</f>
        <v/>
      </c>
      <c r="F534" s="5" t="str">
        <f aca="false">IF(B534=0,"",IF(INDEX(Bank!$C:$C,B534)="","",INDEX(Bank!$C:$C,B534)))</f>
        <v/>
      </c>
      <c r="G534" s="19" t="str">
        <f aca="false">IF(B534=0,"",INDEX(Bank!$E:$E,B534))</f>
        <v/>
      </c>
      <c r="H534" s="5" t="str">
        <f aca="false">IF(B534=0,"",IF(INDEX(Bank!$H:$H,B534)="","",INDEX(Bank!$H:$H,B534)))</f>
        <v/>
      </c>
      <c r="I534" s="5" t="n">
        <f aca="false">IF(H534="",0,IFERROR(MATCH(H534,GL!$A:$A,0),0))</f>
        <v>0</v>
      </c>
      <c r="J534" s="32" t="str">
        <f aca="false">IF(I534=0,"",INDEX(GL!$B:$B,I534))</f>
        <v/>
      </c>
      <c r="K534" s="5" t="str">
        <f aca="false">IF(I534=0,"",IF(INDEX(GL!$C:$C,I534)="","",INDEX(GL!$C:$C,I534)))</f>
        <v/>
      </c>
      <c r="L534" s="19" t="str">
        <f aca="false">IF(I534=0,"",INDEX(GL!$E:$E,I534))</f>
        <v/>
      </c>
      <c r="M534" s="19" t="str">
        <f aca="false">IF(OR(B534=0,I534=0),"",ROUND(G534-L534,2))</f>
        <v/>
      </c>
      <c r="N534" s="5" t="str">
        <f aca="false">IF(A534="","",IF(B534=0,"NOT FOUND: bank ID",IF(I534=0,"NOT FOUND: GL ID",IF(INDEX(GL!$H:$H,I534)&lt;&gt;A534,"BROKEN: GL points elsewhere",IF(OR(INDEX(Bank!$F:$F,B534)&lt;&gt;"Y",INDEX(GL!$F:$F,I534)&lt;&gt;"Y"),"BROKEN: Status not Y","OK")))))</f>
        <v/>
      </c>
    </row>
    <row r="535" customFormat="false" ht="15" hidden="false" customHeight="false" outlineLevel="0" collapsed="false">
      <c r="A535" s="41"/>
      <c r="B535" s="5" t="n">
        <f aca="false">IF(A535="",0,IFERROR(MATCH(A535,Bank!$A:$A,0),0))</f>
        <v>0</v>
      </c>
      <c r="C535" s="5" t="str">
        <f aca="false">IF(B535=0,"",IF(INDEX(Bank!$G:$G,B535)="","",INDEX(Bank!$G:$G,B535)))</f>
        <v/>
      </c>
      <c r="D535" s="5" t="str">
        <f aca="false">IF(B535=0,"",IF(INDEX(Bank!$J:$J,B535)="","",INDEX(Bank!$J:$J,B535)))</f>
        <v/>
      </c>
      <c r="E535" s="32" t="str">
        <f aca="false">IF(B535=0,"",INDEX(Bank!$B:$B,B535))</f>
        <v/>
      </c>
      <c r="F535" s="5" t="str">
        <f aca="false">IF(B535=0,"",IF(INDEX(Bank!$C:$C,B535)="","",INDEX(Bank!$C:$C,B535)))</f>
        <v/>
      </c>
      <c r="G535" s="19" t="str">
        <f aca="false">IF(B535=0,"",INDEX(Bank!$E:$E,B535))</f>
        <v/>
      </c>
      <c r="H535" s="5" t="str">
        <f aca="false">IF(B535=0,"",IF(INDEX(Bank!$H:$H,B535)="","",INDEX(Bank!$H:$H,B535)))</f>
        <v/>
      </c>
      <c r="I535" s="5" t="n">
        <f aca="false">IF(H535="",0,IFERROR(MATCH(H535,GL!$A:$A,0),0))</f>
        <v>0</v>
      </c>
      <c r="J535" s="32" t="str">
        <f aca="false">IF(I535=0,"",INDEX(GL!$B:$B,I535))</f>
        <v/>
      </c>
      <c r="K535" s="5" t="str">
        <f aca="false">IF(I535=0,"",IF(INDEX(GL!$C:$C,I535)="","",INDEX(GL!$C:$C,I535)))</f>
        <v/>
      </c>
      <c r="L535" s="19" t="str">
        <f aca="false">IF(I535=0,"",INDEX(GL!$E:$E,I535))</f>
        <v/>
      </c>
      <c r="M535" s="19" t="str">
        <f aca="false">IF(OR(B535=0,I535=0),"",ROUND(G535-L535,2))</f>
        <v/>
      </c>
      <c r="N535" s="5" t="str">
        <f aca="false">IF(A535="","",IF(B535=0,"NOT FOUND: bank ID",IF(I535=0,"NOT FOUND: GL ID",IF(INDEX(GL!$H:$H,I535)&lt;&gt;A535,"BROKEN: GL points elsewhere",IF(OR(INDEX(Bank!$F:$F,B535)&lt;&gt;"Y",INDEX(GL!$F:$F,I535)&lt;&gt;"Y"),"BROKEN: Status not Y","OK")))))</f>
        <v/>
      </c>
    </row>
    <row r="536" customFormat="false" ht="15" hidden="false" customHeight="false" outlineLevel="0" collapsed="false">
      <c r="A536" s="41"/>
      <c r="B536" s="5" t="n">
        <f aca="false">IF(A536="",0,IFERROR(MATCH(A536,Bank!$A:$A,0),0))</f>
        <v>0</v>
      </c>
      <c r="C536" s="5" t="str">
        <f aca="false">IF(B536=0,"",IF(INDEX(Bank!$G:$G,B536)="","",INDEX(Bank!$G:$G,B536)))</f>
        <v/>
      </c>
      <c r="D536" s="5" t="str">
        <f aca="false">IF(B536=0,"",IF(INDEX(Bank!$J:$J,B536)="","",INDEX(Bank!$J:$J,B536)))</f>
        <v/>
      </c>
      <c r="E536" s="32" t="str">
        <f aca="false">IF(B536=0,"",INDEX(Bank!$B:$B,B536))</f>
        <v/>
      </c>
      <c r="F536" s="5" t="str">
        <f aca="false">IF(B536=0,"",IF(INDEX(Bank!$C:$C,B536)="","",INDEX(Bank!$C:$C,B536)))</f>
        <v/>
      </c>
      <c r="G536" s="19" t="str">
        <f aca="false">IF(B536=0,"",INDEX(Bank!$E:$E,B536))</f>
        <v/>
      </c>
      <c r="H536" s="5" t="str">
        <f aca="false">IF(B536=0,"",IF(INDEX(Bank!$H:$H,B536)="","",INDEX(Bank!$H:$H,B536)))</f>
        <v/>
      </c>
      <c r="I536" s="5" t="n">
        <f aca="false">IF(H536="",0,IFERROR(MATCH(H536,GL!$A:$A,0),0))</f>
        <v>0</v>
      </c>
      <c r="J536" s="32" t="str">
        <f aca="false">IF(I536=0,"",INDEX(GL!$B:$B,I536))</f>
        <v/>
      </c>
      <c r="K536" s="5" t="str">
        <f aca="false">IF(I536=0,"",IF(INDEX(GL!$C:$C,I536)="","",INDEX(GL!$C:$C,I536)))</f>
        <v/>
      </c>
      <c r="L536" s="19" t="str">
        <f aca="false">IF(I536=0,"",INDEX(GL!$E:$E,I536))</f>
        <v/>
      </c>
      <c r="M536" s="19" t="str">
        <f aca="false">IF(OR(B536=0,I536=0),"",ROUND(G536-L536,2))</f>
        <v/>
      </c>
      <c r="N536" s="5" t="str">
        <f aca="false">IF(A536="","",IF(B536=0,"NOT FOUND: bank ID",IF(I536=0,"NOT FOUND: GL ID",IF(INDEX(GL!$H:$H,I536)&lt;&gt;A536,"BROKEN: GL points elsewhere",IF(OR(INDEX(Bank!$F:$F,B536)&lt;&gt;"Y",INDEX(GL!$F:$F,I536)&lt;&gt;"Y"),"BROKEN: Status not Y","OK")))))</f>
        <v/>
      </c>
    </row>
    <row r="537" customFormat="false" ht="15" hidden="false" customHeight="false" outlineLevel="0" collapsed="false">
      <c r="A537" s="41"/>
      <c r="B537" s="5" t="n">
        <f aca="false">IF(A537="",0,IFERROR(MATCH(A537,Bank!$A:$A,0),0))</f>
        <v>0</v>
      </c>
      <c r="C537" s="5" t="str">
        <f aca="false">IF(B537=0,"",IF(INDEX(Bank!$G:$G,B537)="","",INDEX(Bank!$G:$G,B537)))</f>
        <v/>
      </c>
      <c r="D537" s="5" t="str">
        <f aca="false">IF(B537=0,"",IF(INDEX(Bank!$J:$J,B537)="","",INDEX(Bank!$J:$J,B537)))</f>
        <v/>
      </c>
      <c r="E537" s="32" t="str">
        <f aca="false">IF(B537=0,"",INDEX(Bank!$B:$B,B537))</f>
        <v/>
      </c>
      <c r="F537" s="5" t="str">
        <f aca="false">IF(B537=0,"",IF(INDEX(Bank!$C:$C,B537)="","",INDEX(Bank!$C:$C,B537)))</f>
        <v/>
      </c>
      <c r="G537" s="19" t="str">
        <f aca="false">IF(B537=0,"",INDEX(Bank!$E:$E,B537))</f>
        <v/>
      </c>
      <c r="H537" s="5" t="str">
        <f aca="false">IF(B537=0,"",IF(INDEX(Bank!$H:$H,B537)="","",INDEX(Bank!$H:$H,B537)))</f>
        <v/>
      </c>
      <c r="I537" s="5" t="n">
        <f aca="false">IF(H537="",0,IFERROR(MATCH(H537,GL!$A:$A,0),0))</f>
        <v>0</v>
      </c>
      <c r="J537" s="32" t="str">
        <f aca="false">IF(I537=0,"",INDEX(GL!$B:$B,I537))</f>
        <v/>
      </c>
      <c r="K537" s="5" t="str">
        <f aca="false">IF(I537=0,"",IF(INDEX(GL!$C:$C,I537)="","",INDEX(GL!$C:$C,I537)))</f>
        <v/>
      </c>
      <c r="L537" s="19" t="str">
        <f aca="false">IF(I537=0,"",INDEX(GL!$E:$E,I537))</f>
        <v/>
      </c>
      <c r="M537" s="19" t="str">
        <f aca="false">IF(OR(B537=0,I537=0),"",ROUND(G537-L537,2))</f>
        <v/>
      </c>
      <c r="N537" s="5" t="str">
        <f aca="false">IF(A537="","",IF(B537=0,"NOT FOUND: bank ID",IF(I537=0,"NOT FOUND: GL ID",IF(INDEX(GL!$H:$H,I537)&lt;&gt;A537,"BROKEN: GL points elsewhere",IF(OR(INDEX(Bank!$F:$F,B537)&lt;&gt;"Y",INDEX(GL!$F:$F,I537)&lt;&gt;"Y"),"BROKEN: Status not Y","OK")))))</f>
        <v/>
      </c>
    </row>
    <row r="538" customFormat="false" ht="15" hidden="false" customHeight="false" outlineLevel="0" collapsed="false">
      <c r="A538" s="41"/>
      <c r="B538" s="5" t="n">
        <f aca="false">IF(A538="",0,IFERROR(MATCH(A538,Bank!$A:$A,0),0))</f>
        <v>0</v>
      </c>
      <c r="C538" s="5" t="str">
        <f aca="false">IF(B538=0,"",IF(INDEX(Bank!$G:$G,B538)="","",INDEX(Bank!$G:$G,B538)))</f>
        <v/>
      </c>
      <c r="D538" s="5" t="str">
        <f aca="false">IF(B538=0,"",IF(INDEX(Bank!$J:$J,B538)="","",INDEX(Bank!$J:$J,B538)))</f>
        <v/>
      </c>
      <c r="E538" s="32" t="str">
        <f aca="false">IF(B538=0,"",INDEX(Bank!$B:$B,B538))</f>
        <v/>
      </c>
      <c r="F538" s="5" t="str">
        <f aca="false">IF(B538=0,"",IF(INDEX(Bank!$C:$C,B538)="","",INDEX(Bank!$C:$C,B538)))</f>
        <v/>
      </c>
      <c r="G538" s="19" t="str">
        <f aca="false">IF(B538=0,"",INDEX(Bank!$E:$E,B538))</f>
        <v/>
      </c>
      <c r="H538" s="5" t="str">
        <f aca="false">IF(B538=0,"",IF(INDEX(Bank!$H:$H,B538)="","",INDEX(Bank!$H:$H,B538)))</f>
        <v/>
      </c>
      <c r="I538" s="5" t="n">
        <f aca="false">IF(H538="",0,IFERROR(MATCH(H538,GL!$A:$A,0),0))</f>
        <v>0</v>
      </c>
      <c r="J538" s="32" t="str">
        <f aca="false">IF(I538=0,"",INDEX(GL!$B:$B,I538))</f>
        <v/>
      </c>
      <c r="K538" s="5" t="str">
        <f aca="false">IF(I538=0,"",IF(INDEX(GL!$C:$C,I538)="","",INDEX(GL!$C:$C,I538)))</f>
        <v/>
      </c>
      <c r="L538" s="19" t="str">
        <f aca="false">IF(I538=0,"",INDEX(GL!$E:$E,I538))</f>
        <v/>
      </c>
      <c r="M538" s="19" t="str">
        <f aca="false">IF(OR(B538=0,I538=0),"",ROUND(G538-L538,2))</f>
        <v/>
      </c>
      <c r="N538" s="5" t="str">
        <f aca="false">IF(A538="","",IF(B538=0,"NOT FOUND: bank ID",IF(I538=0,"NOT FOUND: GL ID",IF(INDEX(GL!$H:$H,I538)&lt;&gt;A538,"BROKEN: GL points elsewhere",IF(OR(INDEX(Bank!$F:$F,B538)&lt;&gt;"Y",INDEX(GL!$F:$F,I538)&lt;&gt;"Y"),"BROKEN: Status not Y","OK")))))</f>
        <v/>
      </c>
    </row>
    <row r="539" customFormat="false" ht="15" hidden="false" customHeight="false" outlineLevel="0" collapsed="false">
      <c r="A539" s="41"/>
      <c r="B539" s="5" t="n">
        <f aca="false">IF(A539="",0,IFERROR(MATCH(A539,Bank!$A:$A,0),0))</f>
        <v>0</v>
      </c>
      <c r="C539" s="5" t="str">
        <f aca="false">IF(B539=0,"",IF(INDEX(Bank!$G:$G,B539)="","",INDEX(Bank!$G:$G,B539)))</f>
        <v/>
      </c>
      <c r="D539" s="5" t="str">
        <f aca="false">IF(B539=0,"",IF(INDEX(Bank!$J:$J,B539)="","",INDEX(Bank!$J:$J,B539)))</f>
        <v/>
      </c>
      <c r="E539" s="32" t="str">
        <f aca="false">IF(B539=0,"",INDEX(Bank!$B:$B,B539))</f>
        <v/>
      </c>
      <c r="F539" s="5" t="str">
        <f aca="false">IF(B539=0,"",IF(INDEX(Bank!$C:$C,B539)="","",INDEX(Bank!$C:$C,B539)))</f>
        <v/>
      </c>
      <c r="G539" s="19" t="str">
        <f aca="false">IF(B539=0,"",INDEX(Bank!$E:$E,B539))</f>
        <v/>
      </c>
      <c r="H539" s="5" t="str">
        <f aca="false">IF(B539=0,"",IF(INDEX(Bank!$H:$H,B539)="","",INDEX(Bank!$H:$H,B539)))</f>
        <v/>
      </c>
      <c r="I539" s="5" t="n">
        <f aca="false">IF(H539="",0,IFERROR(MATCH(H539,GL!$A:$A,0),0))</f>
        <v>0</v>
      </c>
      <c r="J539" s="32" t="str">
        <f aca="false">IF(I539=0,"",INDEX(GL!$B:$B,I539))</f>
        <v/>
      </c>
      <c r="K539" s="5" t="str">
        <f aca="false">IF(I539=0,"",IF(INDEX(GL!$C:$C,I539)="","",INDEX(GL!$C:$C,I539)))</f>
        <v/>
      </c>
      <c r="L539" s="19" t="str">
        <f aca="false">IF(I539=0,"",INDEX(GL!$E:$E,I539))</f>
        <v/>
      </c>
      <c r="M539" s="19" t="str">
        <f aca="false">IF(OR(B539=0,I539=0),"",ROUND(G539-L539,2))</f>
        <v/>
      </c>
      <c r="N539" s="5" t="str">
        <f aca="false">IF(A539="","",IF(B539=0,"NOT FOUND: bank ID",IF(I539=0,"NOT FOUND: GL ID",IF(INDEX(GL!$H:$H,I539)&lt;&gt;A539,"BROKEN: GL points elsewhere",IF(OR(INDEX(Bank!$F:$F,B539)&lt;&gt;"Y",INDEX(GL!$F:$F,I539)&lt;&gt;"Y"),"BROKEN: Status not Y","OK")))))</f>
        <v/>
      </c>
    </row>
    <row r="540" customFormat="false" ht="15" hidden="false" customHeight="false" outlineLevel="0" collapsed="false">
      <c r="A540" s="41"/>
      <c r="B540" s="5" t="n">
        <f aca="false">IF(A540="",0,IFERROR(MATCH(A540,Bank!$A:$A,0),0))</f>
        <v>0</v>
      </c>
      <c r="C540" s="5" t="str">
        <f aca="false">IF(B540=0,"",IF(INDEX(Bank!$G:$G,B540)="","",INDEX(Bank!$G:$G,B540)))</f>
        <v/>
      </c>
      <c r="D540" s="5" t="str">
        <f aca="false">IF(B540=0,"",IF(INDEX(Bank!$J:$J,B540)="","",INDEX(Bank!$J:$J,B540)))</f>
        <v/>
      </c>
      <c r="E540" s="32" t="str">
        <f aca="false">IF(B540=0,"",INDEX(Bank!$B:$B,B540))</f>
        <v/>
      </c>
      <c r="F540" s="5" t="str">
        <f aca="false">IF(B540=0,"",IF(INDEX(Bank!$C:$C,B540)="","",INDEX(Bank!$C:$C,B540)))</f>
        <v/>
      </c>
      <c r="G540" s="19" t="str">
        <f aca="false">IF(B540=0,"",INDEX(Bank!$E:$E,B540))</f>
        <v/>
      </c>
      <c r="H540" s="5" t="str">
        <f aca="false">IF(B540=0,"",IF(INDEX(Bank!$H:$H,B540)="","",INDEX(Bank!$H:$H,B540)))</f>
        <v/>
      </c>
      <c r="I540" s="5" t="n">
        <f aca="false">IF(H540="",0,IFERROR(MATCH(H540,GL!$A:$A,0),0))</f>
        <v>0</v>
      </c>
      <c r="J540" s="32" t="str">
        <f aca="false">IF(I540=0,"",INDEX(GL!$B:$B,I540))</f>
        <v/>
      </c>
      <c r="K540" s="5" t="str">
        <f aca="false">IF(I540=0,"",IF(INDEX(GL!$C:$C,I540)="","",INDEX(GL!$C:$C,I540)))</f>
        <v/>
      </c>
      <c r="L540" s="19" t="str">
        <f aca="false">IF(I540=0,"",INDEX(GL!$E:$E,I540))</f>
        <v/>
      </c>
      <c r="M540" s="19" t="str">
        <f aca="false">IF(OR(B540=0,I540=0),"",ROUND(G540-L540,2))</f>
        <v/>
      </c>
      <c r="N540" s="5" t="str">
        <f aca="false">IF(A540="","",IF(B540=0,"NOT FOUND: bank ID",IF(I540=0,"NOT FOUND: GL ID",IF(INDEX(GL!$H:$H,I540)&lt;&gt;A540,"BROKEN: GL points elsewhere",IF(OR(INDEX(Bank!$F:$F,B540)&lt;&gt;"Y",INDEX(GL!$F:$F,I540)&lt;&gt;"Y"),"BROKEN: Status not Y","OK")))))</f>
        <v/>
      </c>
    </row>
    <row r="541" customFormat="false" ht="15" hidden="false" customHeight="false" outlineLevel="0" collapsed="false">
      <c r="A541" s="41"/>
      <c r="B541" s="5" t="n">
        <f aca="false">IF(A541="",0,IFERROR(MATCH(A541,Bank!$A:$A,0),0))</f>
        <v>0</v>
      </c>
      <c r="C541" s="5" t="str">
        <f aca="false">IF(B541=0,"",IF(INDEX(Bank!$G:$G,B541)="","",INDEX(Bank!$G:$G,B541)))</f>
        <v/>
      </c>
      <c r="D541" s="5" t="str">
        <f aca="false">IF(B541=0,"",IF(INDEX(Bank!$J:$J,B541)="","",INDEX(Bank!$J:$J,B541)))</f>
        <v/>
      </c>
      <c r="E541" s="32" t="str">
        <f aca="false">IF(B541=0,"",INDEX(Bank!$B:$B,B541))</f>
        <v/>
      </c>
      <c r="F541" s="5" t="str">
        <f aca="false">IF(B541=0,"",IF(INDEX(Bank!$C:$C,B541)="","",INDEX(Bank!$C:$C,B541)))</f>
        <v/>
      </c>
      <c r="G541" s="19" t="str">
        <f aca="false">IF(B541=0,"",INDEX(Bank!$E:$E,B541))</f>
        <v/>
      </c>
      <c r="H541" s="5" t="str">
        <f aca="false">IF(B541=0,"",IF(INDEX(Bank!$H:$H,B541)="","",INDEX(Bank!$H:$H,B541)))</f>
        <v/>
      </c>
      <c r="I541" s="5" t="n">
        <f aca="false">IF(H541="",0,IFERROR(MATCH(H541,GL!$A:$A,0),0))</f>
        <v>0</v>
      </c>
      <c r="J541" s="32" t="str">
        <f aca="false">IF(I541=0,"",INDEX(GL!$B:$B,I541))</f>
        <v/>
      </c>
      <c r="K541" s="5" t="str">
        <f aca="false">IF(I541=0,"",IF(INDEX(GL!$C:$C,I541)="","",INDEX(GL!$C:$C,I541)))</f>
        <v/>
      </c>
      <c r="L541" s="19" t="str">
        <f aca="false">IF(I541=0,"",INDEX(GL!$E:$E,I541))</f>
        <v/>
      </c>
      <c r="M541" s="19" t="str">
        <f aca="false">IF(OR(B541=0,I541=0),"",ROUND(G541-L541,2))</f>
        <v/>
      </c>
      <c r="N541" s="5" t="str">
        <f aca="false">IF(A541="","",IF(B541=0,"NOT FOUND: bank ID",IF(I541=0,"NOT FOUND: GL ID",IF(INDEX(GL!$H:$H,I541)&lt;&gt;A541,"BROKEN: GL points elsewhere",IF(OR(INDEX(Bank!$F:$F,B541)&lt;&gt;"Y",INDEX(GL!$F:$F,I541)&lt;&gt;"Y"),"BROKEN: Status not Y","OK")))))</f>
        <v/>
      </c>
    </row>
    <row r="542" customFormat="false" ht="15" hidden="false" customHeight="false" outlineLevel="0" collapsed="false">
      <c r="A542" s="41"/>
      <c r="B542" s="5" t="n">
        <f aca="false">IF(A542="",0,IFERROR(MATCH(A542,Bank!$A:$A,0),0))</f>
        <v>0</v>
      </c>
      <c r="C542" s="5" t="str">
        <f aca="false">IF(B542=0,"",IF(INDEX(Bank!$G:$G,B542)="","",INDEX(Bank!$G:$G,B542)))</f>
        <v/>
      </c>
      <c r="D542" s="5" t="str">
        <f aca="false">IF(B542=0,"",IF(INDEX(Bank!$J:$J,B542)="","",INDEX(Bank!$J:$J,B542)))</f>
        <v/>
      </c>
      <c r="E542" s="32" t="str">
        <f aca="false">IF(B542=0,"",INDEX(Bank!$B:$B,B542))</f>
        <v/>
      </c>
      <c r="F542" s="5" t="str">
        <f aca="false">IF(B542=0,"",IF(INDEX(Bank!$C:$C,B542)="","",INDEX(Bank!$C:$C,B542)))</f>
        <v/>
      </c>
      <c r="G542" s="19" t="str">
        <f aca="false">IF(B542=0,"",INDEX(Bank!$E:$E,B542))</f>
        <v/>
      </c>
      <c r="H542" s="5" t="str">
        <f aca="false">IF(B542=0,"",IF(INDEX(Bank!$H:$H,B542)="","",INDEX(Bank!$H:$H,B542)))</f>
        <v/>
      </c>
      <c r="I542" s="5" t="n">
        <f aca="false">IF(H542="",0,IFERROR(MATCH(H542,GL!$A:$A,0),0))</f>
        <v>0</v>
      </c>
      <c r="J542" s="32" t="str">
        <f aca="false">IF(I542=0,"",INDEX(GL!$B:$B,I542))</f>
        <v/>
      </c>
      <c r="K542" s="5" t="str">
        <f aca="false">IF(I542=0,"",IF(INDEX(GL!$C:$C,I542)="","",INDEX(GL!$C:$C,I542)))</f>
        <v/>
      </c>
      <c r="L542" s="19" t="str">
        <f aca="false">IF(I542=0,"",INDEX(GL!$E:$E,I542))</f>
        <v/>
      </c>
      <c r="M542" s="19" t="str">
        <f aca="false">IF(OR(B542=0,I542=0),"",ROUND(G542-L542,2))</f>
        <v/>
      </c>
      <c r="N542" s="5" t="str">
        <f aca="false">IF(A542="","",IF(B542=0,"NOT FOUND: bank ID",IF(I542=0,"NOT FOUND: GL ID",IF(INDEX(GL!$H:$H,I542)&lt;&gt;A542,"BROKEN: GL points elsewhere",IF(OR(INDEX(Bank!$F:$F,B542)&lt;&gt;"Y",INDEX(GL!$F:$F,I542)&lt;&gt;"Y"),"BROKEN: Status not Y","OK")))))</f>
        <v/>
      </c>
    </row>
    <row r="543" customFormat="false" ht="15" hidden="false" customHeight="false" outlineLevel="0" collapsed="false">
      <c r="A543" s="41"/>
      <c r="B543" s="5" t="n">
        <f aca="false">IF(A543="",0,IFERROR(MATCH(A543,Bank!$A:$A,0),0))</f>
        <v>0</v>
      </c>
      <c r="C543" s="5" t="str">
        <f aca="false">IF(B543=0,"",IF(INDEX(Bank!$G:$G,B543)="","",INDEX(Bank!$G:$G,B543)))</f>
        <v/>
      </c>
      <c r="D543" s="5" t="str">
        <f aca="false">IF(B543=0,"",IF(INDEX(Bank!$J:$J,B543)="","",INDEX(Bank!$J:$J,B543)))</f>
        <v/>
      </c>
      <c r="E543" s="32" t="str">
        <f aca="false">IF(B543=0,"",INDEX(Bank!$B:$B,B543))</f>
        <v/>
      </c>
      <c r="F543" s="5" t="str">
        <f aca="false">IF(B543=0,"",IF(INDEX(Bank!$C:$C,B543)="","",INDEX(Bank!$C:$C,B543)))</f>
        <v/>
      </c>
      <c r="G543" s="19" t="str">
        <f aca="false">IF(B543=0,"",INDEX(Bank!$E:$E,B543))</f>
        <v/>
      </c>
      <c r="H543" s="5" t="str">
        <f aca="false">IF(B543=0,"",IF(INDEX(Bank!$H:$H,B543)="","",INDEX(Bank!$H:$H,B543)))</f>
        <v/>
      </c>
      <c r="I543" s="5" t="n">
        <f aca="false">IF(H543="",0,IFERROR(MATCH(H543,GL!$A:$A,0),0))</f>
        <v>0</v>
      </c>
      <c r="J543" s="32" t="str">
        <f aca="false">IF(I543=0,"",INDEX(GL!$B:$B,I543))</f>
        <v/>
      </c>
      <c r="K543" s="5" t="str">
        <f aca="false">IF(I543=0,"",IF(INDEX(GL!$C:$C,I543)="","",INDEX(GL!$C:$C,I543)))</f>
        <v/>
      </c>
      <c r="L543" s="19" t="str">
        <f aca="false">IF(I543=0,"",INDEX(GL!$E:$E,I543))</f>
        <v/>
      </c>
      <c r="M543" s="19" t="str">
        <f aca="false">IF(OR(B543=0,I543=0),"",ROUND(G543-L543,2))</f>
        <v/>
      </c>
      <c r="N543" s="5" t="str">
        <f aca="false">IF(A543="","",IF(B543=0,"NOT FOUND: bank ID",IF(I543=0,"NOT FOUND: GL ID",IF(INDEX(GL!$H:$H,I543)&lt;&gt;A543,"BROKEN: GL points elsewhere",IF(OR(INDEX(Bank!$F:$F,B543)&lt;&gt;"Y",INDEX(GL!$F:$F,I543)&lt;&gt;"Y"),"BROKEN: Status not Y","OK")))))</f>
        <v/>
      </c>
    </row>
    <row r="544" customFormat="false" ht="15" hidden="false" customHeight="false" outlineLevel="0" collapsed="false">
      <c r="A544" s="41"/>
      <c r="B544" s="5" t="n">
        <f aca="false">IF(A544="",0,IFERROR(MATCH(A544,Bank!$A:$A,0),0))</f>
        <v>0</v>
      </c>
      <c r="C544" s="5" t="str">
        <f aca="false">IF(B544=0,"",IF(INDEX(Bank!$G:$G,B544)="","",INDEX(Bank!$G:$G,B544)))</f>
        <v/>
      </c>
      <c r="D544" s="5" t="str">
        <f aca="false">IF(B544=0,"",IF(INDEX(Bank!$J:$J,B544)="","",INDEX(Bank!$J:$J,B544)))</f>
        <v/>
      </c>
      <c r="E544" s="32" t="str">
        <f aca="false">IF(B544=0,"",INDEX(Bank!$B:$B,B544))</f>
        <v/>
      </c>
      <c r="F544" s="5" t="str">
        <f aca="false">IF(B544=0,"",IF(INDEX(Bank!$C:$C,B544)="","",INDEX(Bank!$C:$C,B544)))</f>
        <v/>
      </c>
      <c r="G544" s="19" t="str">
        <f aca="false">IF(B544=0,"",INDEX(Bank!$E:$E,B544))</f>
        <v/>
      </c>
      <c r="H544" s="5" t="str">
        <f aca="false">IF(B544=0,"",IF(INDEX(Bank!$H:$H,B544)="","",INDEX(Bank!$H:$H,B544)))</f>
        <v/>
      </c>
      <c r="I544" s="5" t="n">
        <f aca="false">IF(H544="",0,IFERROR(MATCH(H544,GL!$A:$A,0),0))</f>
        <v>0</v>
      </c>
      <c r="J544" s="32" t="str">
        <f aca="false">IF(I544=0,"",INDEX(GL!$B:$B,I544))</f>
        <v/>
      </c>
      <c r="K544" s="5" t="str">
        <f aca="false">IF(I544=0,"",IF(INDEX(GL!$C:$C,I544)="","",INDEX(GL!$C:$C,I544)))</f>
        <v/>
      </c>
      <c r="L544" s="19" t="str">
        <f aca="false">IF(I544=0,"",INDEX(GL!$E:$E,I544))</f>
        <v/>
      </c>
      <c r="M544" s="19" t="str">
        <f aca="false">IF(OR(B544=0,I544=0),"",ROUND(G544-L544,2))</f>
        <v/>
      </c>
      <c r="N544" s="5" t="str">
        <f aca="false">IF(A544="","",IF(B544=0,"NOT FOUND: bank ID",IF(I544=0,"NOT FOUND: GL ID",IF(INDEX(GL!$H:$H,I544)&lt;&gt;A544,"BROKEN: GL points elsewhere",IF(OR(INDEX(Bank!$F:$F,B544)&lt;&gt;"Y",INDEX(GL!$F:$F,I544)&lt;&gt;"Y"),"BROKEN: Status not Y","OK")))))</f>
        <v/>
      </c>
    </row>
    <row r="545" customFormat="false" ht="15" hidden="false" customHeight="false" outlineLevel="0" collapsed="false">
      <c r="A545" s="41"/>
      <c r="B545" s="5" t="n">
        <f aca="false">IF(A545="",0,IFERROR(MATCH(A545,Bank!$A:$A,0),0))</f>
        <v>0</v>
      </c>
      <c r="C545" s="5" t="str">
        <f aca="false">IF(B545=0,"",IF(INDEX(Bank!$G:$G,B545)="","",INDEX(Bank!$G:$G,B545)))</f>
        <v/>
      </c>
      <c r="D545" s="5" t="str">
        <f aca="false">IF(B545=0,"",IF(INDEX(Bank!$J:$J,B545)="","",INDEX(Bank!$J:$J,B545)))</f>
        <v/>
      </c>
      <c r="E545" s="32" t="str">
        <f aca="false">IF(B545=0,"",INDEX(Bank!$B:$B,B545))</f>
        <v/>
      </c>
      <c r="F545" s="5" t="str">
        <f aca="false">IF(B545=0,"",IF(INDEX(Bank!$C:$C,B545)="","",INDEX(Bank!$C:$C,B545)))</f>
        <v/>
      </c>
      <c r="G545" s="19" t="str">
        <f aca="false">IF(B545=0,"",INDEX(Bank!$E:$E,B545))</f>
        <v/>
      </c>
      <c r="H545" s="5" t="str">
        <f aca="false">IF(B545=0,"",IF(INDEX(Bank!$H:$H,B545)="","",INDEX(Bank!$H:$H,B545)))</f>
        <v/>
      </c>
      <c r="I545" s="5" t="n">
        <f aca="false">IF(H545="",0,IFERROR(MATCH(H545,GL!$A:$A,0),0))</f>
        <v>0</v>
      </c>
      <c r="J545" s="32" t="str">
        <f aca="false">IF(I545=0,"",INDEX(GL!$B:$B,I545))</f>
        <v/>
      </c>
      <c r="K545" s="5" t="str">
        <f aca="false">IF(I545=0,"",IF(INDEX(GL!$C:$C,I545)="","",INDEX(GL!$C:$C,I545)))</f>
        <v/>
      </c>
      <c r="L545" s="19" t="str">
        <f aca="false">IF(I545=0,"",INDEX(GL!$E:$E,I545))</f>
        <v/>
      </c>
      <c r="M545" s="19" t="str">
        <f aca="false">IF(OR(B545=0,I545=0),"",ROUND(G545-L545,2))</f>
        <v/>
      </c>
      <c r="N545" s="5" t="str">
        <f aca="false">IF(A545="","",IF(B545=0,"NOT FOUND: bank ID",IF(I545=0,"NOT FOUND: GL ID",IF(INDEX(GL!$H:$H,I545)&lt;&gt;A545,"BROKEN: GL points elsewhere",IF(OR(INDEX(Bank!$F:$F,B545)&lt;&gt;"Y",INDEX(GL!$F:$F,I545)&lt;&gt;"Y"),"BROKEN: Status not Y","OK")))))</f>
        <v/>
      </c>
    </row>
    <row r="546" customFormat="false" ht="15" hidden="false" customHeight="false" outlineLevel="0" collapsed="false">
      <c r="A546" s="41"/>
      <c r="B546" s="5" t="n">
        <f aca="false">IF(A546="",0,IFERROR(MATCH(A546,Bank!$A:$A,0),0))</f>
        <v>0</v>
      </c>
      <c r="C546" s="5" t="str">
        <f aca="false">IF(B546=0,"",IF(INDEX(Bank!$G:$G,B546)="","",INDEX(Bank!$G:$G,B546)))</f>
        <v/>
      </c>
      <c r="D546" s="5" t="str">
        <f aca="false">IF(B546=0,"",IF(INDEX(Bank!$J:$J,B546)="","",INDEX(Bank!$J:$J,B546)))</f>
        <v/>
      </c>
      <c r="E546" s="32" t="str">
        <f aca="false">IF(B546=0,"",INDEX(Bank!$B:$B,B546))</f>
        <v/>
      </c>
      <c r="F546" s="5" t="str">
        <f aca="false">IF(B546=0,"",IF(INDEX(Bank!$C:$C,B546)="","",INDEX(Bank!$C:$C,B546)))</f>
        <v/>
      </c>
      <c r="G546" s="19" t="str">
        <f aca="false">IF(B546=0,"",INDEX(Bank!$E:$E,B546))</f>
        <v/>
      </c>
      <c r="H546" s="5" t="str">
        <f aca="false">IF(B546=0,"",IF(INDEX(Bank!$H:$H,B546)="","",INDEX(Bank!$H:$H,B546)))</f>
        <v/>
      </c>
      <c r="I546" s="5" t="n">
        <f aca="false">IF(H546="",0,IFERROR(MATCH(H546,GL!$A:$A,0),0))</f>
        <v>0</v>
      </c>
      <c r="J546" s="32" t="str">
        <f aca="false">IF(I546=0,"",INDEX(GL!$B:$B,I546))</f>
        <v/>
      </c>
      <c r="K546" s="5" t="str">
        <f aca="false">IF(I546=0,"",IF(INDEX(GL!$C:$C,I546)="","",INDEX(GL!$C:$C,I546)))</f>
        <v/>
      </c>
      <c r="L546" s="19" t="str">
        <f aca="false">IF(I546=0,"",INDEX(GL!$E:$E,I546))</f>
        <v/>
      </c>
      <c r="M546" s="19" t="str">
        <f aca="false">IF(OR(B546=0,I546=0),"",ROUND(G546-L546,2))</f>
        <v/>
      </c>
      <c r="N546" s="5" t="str">
        <f aca="false">IF(A546="","",IF(B546=0,"NOT FOUND: bank ID",IF(I546=0,"NOT FOUND: GL ID",IF(INDEX(GL!$H:$H,I546)&lt;&gt;A546,"BROKEN: GL points elsewhere",IF(OR(INDEX(Bank!$F:$F,B546)&lt;&gt;"Y",INDEX(GL!$F:$F,I546)&lt;&gt;"Y"),"BROKEN: Status not Y","OK")))))</f>
        <v/>
      </c>
    </row>
    <row r="547" customFormat="false" ht="15" hidden="false" customHeight="false" outlineLevel="0" collapsed="false">
      <c r="A547" s="41"/>
      <c r="B547" s="5" t="n">
        <f aca="false">IF(A547="",0,IFERROR(MATCH(A547,Bank!$A:$A,0),0))</f>
        <v>0</v>
      </c>
      <c r="C547" s="5" t="str">
        <f aca="false">IF(B547=0,"",IF(INDEX(Bank!$G:$G,B547)="","",INDEX(Bank!$G:$G,B547)))</f>
        <v/>
      </c>
      <c r="D547" s="5" t="str">
        <f aca="false">IF(B547=0,"",IF(INDEX(Bank!$J:$J,B547)="","",INDEX(Bank!$J:$J,B547)))</f>
        <v/>
      </c>
      <c r="E547" s="32" t="str">
        <f aca="false">IF(B547=0,"",INDEX(Bank!$B:$B,B547))</f>
        <v/>
      </c>
      <c r="F547" s="5" t="str">
        <f aca="false">IF(B547=0,"",IF(INDEX(Bank!$C:$C,B547)="","",INDEX(Bank!$C:$C,B547)))</f>
        <v/>
      </c>
      <c r="G547" s="19" t="str">
        <f aca="false">IF(B547=0,"",INDEX(Bank!$E:$E,B547))</f>
        <v/>
      </c>
      <c r="H547" s="5" t="str">
        <f aca="false">IF(B547=0,"",IF(INDEX(Bank!$H:$H,B547)="","",INDEX(Bank!$H:$H,B547)))</f>
        <v/>
      </c>
      <c r="I547" s="5" t="n">
        <f aca="false">IF(H547="",0,IFERROR(MATCH(H547,GL!$A:$A,0),0))</f>
        <v>0</v>
      </c>
      <c r="J547" s="32" t="str">
        <f aca="false">IF(I547=0,"",INDEX(GL!$B:$B,I547))</f>
        <v/>
      </c>
      <c r="K547" s="5" t="str">
        <f aca="false">IF(I547=0,"",IF(INDEX(GL!$C:$C,I547)="","",INDEX(GL!$C:$C,I547)))</f>
        <v/>
      </c>
      <c r="L547" s="19" t="str">
        <f aca="false">IF(I547=0,"",INDEX(GL!$E:$E,I547))</f>
        <v/>
      </c>
      <c r="M547" s="19" t="str">
        <f aca="false">IF(OR(B547=0,I547=0),"",ROUND(G547-L547,2))</f>
        <v/>
      </c>
      <c r="N547" s="5" t="str">
        <f aca="false">IF(A547="","",IF(B547=0,"NOT FOUND: bank ID",IF(I547=0,"NOT FOUND: GL ID",IF(INDEX(GL!$H:$H,I547)&lt;&gt;A547,"BROKEN: GL points elsewhere",IF(OR(INDEX(Bank!$F:$F,B547)&lt;&gt;"Y",INDEX(GL!$F:$F,I547)&lt;&gt;"Y"),"BROKEN: Status not Y","OK")))))</f>
        <v/>
      </c>
    </row>
    <row r="548" customFormat="false" ht="15" hidden="false" customHeight="false" outlineLevel="0" collapsed="false">
      <c r="A548" s="41"/>
      <c r="B548" s="5" t="n">
        <f aca="false">IF(A548="",0,IFERROR(MATCH(A548,Bank!$A:$A,0),0))</f>
        <v>0</v>
      </c>
      <c r="C548" s="5" t="str">
        <f aca="false">IF(B548=0,"",IF(INDEX(Bank!$G:$G,B548)="","",INDEX(Bank!$G:$G,B548)))</f>
        <v/>
      </c>
      <c r="D548" s="5" t="str">
        <f aca="false">IF(B548=0,"",IF(INDEX(Bank!$J:$J,B548)="","",INDEX(Bank!$J:$J,B548)))</f>
        <v/>
      </c>
      <c r="E548" s="32" t="str">
        <f aca="false">IF(B548=0,"",INDEX(Bank!$B:$B,B548))</f>
        <v/>
      </c>
      <c r="F548" s="5" t="str">
        <f aca="false">IF(B548=0,"",IF(INDEX(Bank!$C:$C,B548)="","",INDEX(Bank!$C:$C,B548)))</f>
        <v/>
      </c>
      <c r="G548" s="19" t="str">
        <f aca="false">IF(B548=0,"",INDEX(Bank!$E:$E,B548))</f>
        <v/>
      </c>
      <c r="H548" s="5" t="str">
        <f aca="false">IF(B548=0,"",IF(INDEX(Bank!$H:$H,B548)="","",INDEX(Bank!$H:$H,B548)))</f>
        <v/>
      </c>
      <c r="I548" s="5" t="n">
        <f aca="false">IF(H548="",0,IFERROR(MATCH(H548,GL!$A:$A,0),0))</f>
        <v>0</v>
      </c>
      <c r="J548" s="32" t="str">
        <f aca="false">IF(I548=0,"",INDEX(GL!$B:$B,I548))</f>
        <v/>
      </c>
      <c r="K548" s="5" t="str">
        <f aca="false">IF(I548=0,"",IF(INDEX(GL!$C:$C,I548)="","",INDEX(GL!$C:$C,I548)))</f>
        <v/>
      </c>
      <c r="L548" s="19" t="str">
        <f aca="false">IF(I548=0,"",INDEX(GL!$E:$E,I548))</f>
        <v/>
      </c>
      <c r="M548" s="19" t="str">
        <f aca="false">IF(OR(B548=0,I548=0),"",ROUND(G548-L548,2))</f>
        <v/>
      </c>
      <c r="N548" s="5" t="str">
        <f aca="false">IF(A548="","",IF(B548=0,"NOT FOUND: bank ID",IF(I548=0,"NOT FOUND: GL ID",IF(INDEX(GL!$H:$H,I548)&lt;&gt;A548,"BROKEN: GL points elsewhere",IF(OR(INDEX(Bank!$F:$F,B548)&lt;&gt;"Y",INDEX(GL!$F:$F,I548)&lt;&gt;"Y"),"BROKEN: Status not Y","OK")))))</f>
        <v/>
      </c>
    </row>
    <row r="549" customFormat="false" ht="15" hidden="false" customHeight="false" outlineLevel="0" collapsed="false">
      <c r="A549" s="41"/>
      <c r="B549" s="5" t="n">
        <f aca="false">IF(A549="",0,IFERROR(MATCH(A549,Bank!$A:$A,0),0))</f>
        <v>0</v>
      </c>
      <c r="C549" s="5" t="str">
        <f aca="false">IF(B549=0,"",IF(INDEX(Bank!$G:$G,B549)="","",INDEX(Bank!$G:$G,B549)))</f>
        <v/>
      </c>
      <c r="D549" s="5" t="str">
        <f aca="false">IF(B549=0,"",IF(INDEX(Bank!$J:$J,B549)="","",INDEX(Bank!$J:$J,B549)))</f>
        <v/>
      </c>
      <c r="E549" s="32" t="str">
        <f aca="false">IF(B549=0,"",INDEX(Bank!$B:$B,B549))</f>
        <v/>
      </c>
      <c r="F549" s="5" t="str">
        <f aca="false">IF(B549=0,"",IF(INDEX(Bank!$C:$C,B549)="","",INDEX(Bank!$C:$C,B549)))</f>
        <v/>
      </c>
      <c r="G549" s="19" t="str">
        <f aca="false">IF(B549=0,"",INDEX(Bank!$E:$E,B549))</f>
        <v/>
      </c>
      <c r="H549" s="5" t="str">
        <f aca="false">IF(B549=0,"",IF(INDEX(Bank!$H:$H,B549)="","",INDEX(Bank!$H:$H,B549)))</f>
        <v/>
      </c>
      <c r="I549" s="5" t="n">
        <f aca="false">IF(H549="",0,IFERROR(MATCH(H549,GL!$A:$A,0),0))</f>
        <v>0</v>
      </c>
      <c r="J549" s="32" t="str">
        <f aca="false">IF(I549=0,"",INDEX(GL!$B:$B,I549))</f>
        <v/>
      </c>
      <c r="K549" s="5" t="str">
        <f aca="false">IF(I549=0,"",IF(INDEX(GL!$C:$C,I549)="","",INDEX(GL!$C:$C,I549)))</f>
        <v/>
      </c>
      <c r="L549" s="19" t="str">
        <f aca="false">IF(I549=0,"",INDEX(GL!$E:$E,I549))</f>
        <v/>
      </c>
      <c r="M549" s="19" t="str">
        <f aca="false">IF(OR(B549=0,I549=0),"",ROUND(G549-L549,2))</f>
        <v/>
      </c>
      <c r="N549" s="5" t="str">
        <f aca="false">IF(A549="","",IF(B549=0,"NOT FOUND: bank ID",IF(I549=0,"NOT FOUND: GL ID",IF(INDEX(GL!$H:$H,I549)&lt;&gt;A549,"BROKEN: GL points elsewhere",IF(OR(INDEX(Bank!$F:$F,B549)&lt;&gt;"Y",INDEX(GL!$F:$F,I549)&lt;&gt;"Y"),"BROKEN: Status not Y","OK")))))</f>
        <v/>
      </c>
    </row>
    <row r="550" customFormat="false" ht="15" hidden="false" customHeight="false" outlineLevel="0" collapsed="false">
      <c r="A550" s="41"/>
      <c r="B550" s="5" t="n">
        <f aca="false">IF(A550="",0,IFERROR(MATCH(A550,Bank!$A:$A,0),0))</f>
        <v>0</v>
      </c>
      <c r="C550" s="5" t="str">
        <f aca="false">IF(B550=0,"",IF(INDEX(Bank!$G:$G,B550)="","",INDEX(Bank!$G:$G,B550)))</f>
        <v/>
      </c>
      <c r="D550" s="5" t="str">
        <f aca="false">IF(B550=0,"",IF(INDEX(Bank!$J:$J,B550)="","",INDEX(Bank!$J:$J,B550)))</f>
        <v/>
      </c>
      <c r="E550" s="32" t="str">
        <f aca="false">IF(B550=0,"",INDEX(Bank!$B:$B,B550))</f>
        <v/>
      </c>
      <c r="F550" s="5" t="str">
        <f aca="false">IF(B550=0,"",IF(INDEX(Bank!$C:$C,B550)="","",INDEX(Bank!$C:$C,B550)))</f>
        <v/>
      </c>
      <c r="G550" s="19" t="str">
        <f aca="false">IF(B550=0,"",INDEX(Bank!$E:$E,B550))</f>
        <v/>
      </c>
      <c r="H550" s="5" t="str">
        <f aca="false">IF(B550=0,"",IF(INDEX(Bank!$H:$H,B550)="","",INDEX(Bank!$H:$H,B550)))</f>
        <v/>
      </c>
      <c r="I550" s="5" t="n">
        <f aca="false">IF(H550="",0,IFERROR(MATCH(H550,GL!$A:$A,0),0))</f>
        <v>0</v>
      </c>
      <c r="J550" s="32" t="str">
        <f aca="false">IF(I550=0,"",INDEX(GL!$B:$B,I550))</f>
        <v/>
      </c>
      <c r="K550" s="5" t="str">
        <f aca="false">IF(I550=0,"",IF(INDEX(GL!$C:$C,I550)="","",INDEX(GL!$C:$C,I550)))</f>
        <v/>
      </c>
      <c r="L550" s="19" t="str">
        <f aca="false">IF(I550=0,"",INDEX(GL!$E:$E,I550))</f>
        <v/>
      </c>
      <c r="M550" s="19" t="str">
        <f aca="false">IF(OR(B550=0,I550=0),"",ROUND(G550-L550,2))</f>
        <v/>
      </c>
      <c r="N550" s="5" t="str">
        <f aca="false">IF(A550="","",IF(B550=0,"NOT FOUND: bank ID",IF(I550=0,"NOT FOUND: GL ID",IF(INDEX(GL!$H:$H,I550)&lt;&gt;A550,"BROKEN: GL points elsewhere",IF(OR(INDEX(Bank!$F:$F,B550)&lt;&gt;"Y",INDEX(GL!$F:$F,I550)&lt;&gt;"Y"),"BROKEN: Status not Y","OK")))))</f>
        <v/>
      </c>
    </row>
    <row r="551" customFormat="false" ht="15" hidden="false" customHeight="false" outlineLevel="0" collapsed="false">
      <c r="A551" s="41"/>
      <c r="B551" s="5" t="n">
        <f aca="false">IF(A551="",0,IFERROR(MATCH(A551,Bank!$A:$A,0),0))</f>
        <v>0</v>
      </c>
      <c r="C551" s="5" t="str">
        <f aca="false">IF(B551=0,"",IF(INDEX(Bank!$G:$G,B551)="","",INDEX(Bank!$G:$G,B551)))</f>
        <v/>
      </c>
      <c r="D551" s="5" t="str">
        <f aca="false">IF(B551=0,"",IF(INDEX(Bank!$J:$J,B551)="","",INDEX(Bank!$J:$J,B551)))</f>
        <v/>
      </c>
      <c r="E551" s="32" t="str">
        <f aca="false">IF(B551=0,"",INDEX(Bank!$B:$B,B551))</f>
        <v/>
      </c>
      <c r="F551" s="5" t="str">
        <f aca="false">IF(B551=0,"",IF(INDEX(Bank!$C:$C,B551)="","",INDEX(Bank!$C:$C,B551)))</f>
        <v/>
      </c>
      <c r="G551" s="19" t="str">
        <f aca="false">IF(B551=0,"",INDEX(Bank!$E:$E,B551))</f>
        <v/>
      </c>
      <c r="H551" s="5" t="str">
        <f aca="false">IF(B551=0,"",IF(INDEX(Bank!$H:$H,B551)="","",INDEX(Bank!$H:$H,B551)))</f>
        <v/>
      </c>
      <c r="I551" s="5" t="n">
        <f aca="false">IF(H551="",0,IFERROR(MATCH(H551,GL!$A:$A,0),0))</f>
        <v>0</v>
      </c>
      <c r="J551" s="32" t="str">
        <f aca="false">IF(I551=0,"",INDEX(GL!$B:$B,I551))</f>
        <v/>
      </c>
      <c r="K551" s="5" t="str">
        <f aca="false">IF(I551=0,"",IF(INDEX(GL!$C:$C,I551)="","",INDEX(GL!$C:$C,I551)))</f>
        <v/>
      </c>
      <c r="L551" s="19" t="str">
        <f aca="false">IF(I551=0,"",INDEX(GL!$E:$E,I551))</f>
        <v/>
      </c>
      <c r="M551" s="19" t="str">
        <f aca="false">IF(OR(B551=0,I551=0),"",ROUND(G551-L551,2))</f>
        <v/>
      </c>
      <c r="N551" s="5" t="str">
        <f aca="false">IF(A551="","",IF(B551=0,"NOT FOUND: bank ID",IF(I551=0,"NOT FOUND: GL ID",IF(INDEX(GL!$H:$H,I551)&lt;&gt;A551,"BROKEN: GL points elsewhere",IF(OR(INDEX(Bank!$F:$F,B551)&lt;&gt;"Y",INDEX(GL!$F:$F,I551)&lt;&gt;"Y"),"BROKEN: Status not Y","OK")))))</f>
        <v/>
      </c>
    </row>
    <row r="552" customFormat="false" ht="15" hidden="false" customHeight="false" outlineLevel="0" collapsed="false">
      <c r="A552" s="41"/>
      <c r="B552" s="5" t="n">
        <f aca="false">IF(A552="",0,IFERROR(MATCH(A552,Bank!$A:$A,0),0))</f>
        <v>0</v>
      </c>
      <c r="C552" s="5" t="str">
        <f aca="false">IF(B552=0,"",IF(INDEX(Bank!$G:$G,B552)="","",INDEX(Bank!$G:$G,B552)))</f>
        <v/>
      </c>
      <c r="D552" s="5" t="str">
        <f aca="false">IF(B552=0,"",IF(INDEX(Bank!$J:$J,B552)="","",INDEX(Bank!$J:$J,B552)))</f>
        <v/>
      </c>
      <c r="E552" s="32" t="str">
        <f aca="false">IF(B552=0,"",INDEX(Bank!$B:$B,B552))</f>
        <v/>
      </c>
      <c r="F552" s="5" t="str">
        <f aca="false">IF(B552=0,"",IF(INDEX(Bank!$C:$C,B552)="","",INDEX(Bank!$C:$C,B552)))</f>
        <v/>
      </c>
      <c r="G552" s="19" t="str">
        <f aca="false">IF(B552=0,"",INDEX(Bank!$E:$E,B552))</f>
        <v/>
      </c>
      <c r="H552" s="5" t="str">
        <f aca="false">IF(B552=0,"",IF(INDEX(Bank!$H:$H,B552)="","",INDEX(Bank!$H:$H,B552)))</f>
        <v/>
      </c>
      <c r="I552" s="5" t="n">
        <f aca="false">IF(H552="",0,IFERROR(MATCH(H552,GL!$A:$A,0),0))</f>
        <v>0</v>
      </c>
      <c r="J552" s="32" t="str">
        <f aca="false">IF(I552=0,"",INDEX(GL!$B:$B,I552))</f>
        <v/>
      </c>
      <c r="K552" s="5" t="str">
        <f aca="false">IF(I552=0,"",IF(INDEX(GL!$C:$C,I552)="","",INDEX(GL!$C:$C,I552)))</f>
        <v/>
      </c>
      <c r="L552" s="19" t="str">
        <f aca="false">IF(I552=0,"",INDEX(GL!$E:$E,I552))</f>
        <v/>
      </c>
      <c r="M552" s="19" t="str">
        <f aca="false">IF(OR(B552=0,I552=0),"",ROUND(G552-L552,2))</f>
        <v/>
      </c>
      <c r="N552" s="5" t="str">
        <f aca="false">IF(A552="","",IF(B552=0,"NOT FOUND: bank ID",IF(I552=0,"NOT FOUND: GL ID",IF(INDEX(GL!$H:$H,I552)&lt;&gt;A552,"BROKEN: GL points elsewhere",IF(OR(INDEX(Bank!$F:$F,B552)&lt;&gt;"Y",INDEX(GL!$F:$F,I552)&lt;&gt;"Y"),"BROKEN: Status not Y","OK")))))</f>
        <v/>
      </c>
    </row>
    <row r="553" customFormat="false" ht="15" hidden="false" customHeight="false" outlineLevel="0" collapsed="false">
      <c r="A553" s="41"/>
      <c r="B553" s="5" t="n">
        <f aca="false">IF(A553="",0,IFERROR(MATCH(A553,Bank!$A:$A,0),0))</f>
        <v>0</v>
      </c>
      <c r="C553" s="5" t="str">
        <f aca="false">IF(B553=0,"",IF(INDEX(Bank!$G:$G,B553)="","",INDEX(Bank!$G:$G,B553)))</f>
        <v/>
      </c>
      <c r="D553" s="5" t="str">
        <f aca="false">IF(B553=0,"",IF(INDEX(Bank!$J:$J,B553)="","",INDEX(Bank!$J:$J,B553)))</f>
        <v/>
      </c>
      <c r="E553" s="32" t="str">
        <f aca="false">IF(B553=0,"",INDEX(Bank!$B:$B,B553))</f>
        <v/>
      </c>
      <c r="F553" s="5" t="str">
        <f aca="false">IF(B553=0,"",IF(INDEX(Bank!$C:$C,B553)="","",INDEX(Bank!$C:$C,B553)))</f>
        <v/>
      </c>
      <c r="G553" s="19" t="str">
        <f aca="false">IF(B553=0,"",INDEX(Bank!$E:$E,B553))</f>
        <v/>
      </c>
      <c r="H553" s="5" t="str">
        <f aca="false">IF(B553=0,"",IF(INDEX(Bank!$H:$H,B553)="","",INDEX(Bank!$H:$H,B553)))</f>
        <v/>
      </c>
      <c r="I553" s="5" t="n">
        <f aca="false">IF(H553="",0,IFERROR(MATCH(H553,GL!$A:$A,0),0))</f>
        <v>0</v>
      </c>
      <c r="J553" s="32" t="str">
        <f aca="false">IF(I553=0,"",INDEX(GL!$B:$B,I553))</f>
        <v/>
      </c>
      <c r="K553" s="5" t="str">
        <f aca="false">IF(I553=0,"",IF(INDEX(GL!$C:$C,I553)="","",INDEX(GL!$C:$C,I553)))</f>
        <v/>
      </c>
      <c r="L553" s="19" t="str">
        <f aca="false">IF(I553=0,"",INDEX(GL!$E:$E,I553))</f>
        <v/>
      </c>
      <c r="M553" s="19" t="str">
        <f aca="false">IF(OR(B553=0,I553=0),"",ROUND(G553-L553,2))</f>
        <v/>
      </c>
      <c r="N553" s="5" t="str">
        <f aca="false">IF(A553="","",IF(B553=0,"NOT FOUND: bank ID",IF(I553=0,"NOT FOUND: GL ID",IF(INDEX(GL!$H:$H,I553)&lt;&gt;A553,"BROKEN: GL points elsewhere",IF(OR(INDEX(Bank!$F:$F,B553)&lt;&gt;"Y",INDEX(GL!$F:$F,I553)&lt;&gt;"Y"),"BROKEN: Status not Y","OK")))))</f>
        <v/>
      </c>
    </row>
    <row r="554" customFormat="false" ht="15" hidden="false" customHeight="false" outlineLevel="0" collapsed="false">
      <c r="A554" s="41"/>
      <c r="B554" s="5" t="n">
        <f aca="false">IF(A554="",0,IFERROR(MATCH(A554,Bank!$A:$A,0),0))</f>
        <v>0</v>
      </c>
      <c r="C554" s="5" t="str">
        <f aca="false">IF(B554=0,"",IF(INDEX(Bank!$G:$G,B554)="","",INDEX(Bank!$G:$G,B554)))</f>
        <v/>
      </c>
      <c r="D554" s="5" t="str">
        <f aca="false">IF(B554=0,"",IF(INDEX(Bank!$J:$J,B554)="","",INDEX(Bank!$J:$J,B554)))</f>
        <v/>
      </c>
      <c r="E554" s="32" t="str">
        <f aca="false">IF(B554=0,"",INDEX(Bank!$B:$B,B554))</f>
        <v/>
      </c>
      <c r="F554" s="5" t="str">
        <f aca="false">IF(B554=0,"",IF(INDEX(Bank!$C:$C,B554)="","",INDEX(Bank!$C:$C,B554)))</f>
        <v/>
      </c>
      <c r="G554" s="19" t="str">
        <f aca="false">IF(B554=0,"",INDEX(Bank!$E:$E,B554))</f>
        <v/>
      </c>
      <c r="H554" s="5" t="str">
        <f aca="false">IF(B554=0,"",IF(INDEX(Bank!$H:$H,B554)="","",INDEX(Bank!$H:$H,B554)))</f>
        <v/>
      </c>
      <c r="I554" s="5" t="n">
        <f aca="false">IF(H554="",0,IFERROR(MATCH(H554,GL!$A:$A,0),0))</f>
        <v>0</v>
      </c>
      <c r="J554" s="32" t="str">
        <f aca="false">IF(I554=0,"",INDEX(GL!$B:$B,I554))</f>
        <v/>
      </c>
      <c r="K554" s="5" t="str">
        <f aca="false">IF(I554=0,"",IF(INDEX(GL!$C:$C,I554)="","",INDEX(GL!$C:$C,I554)))</f>
        <v/>
      </c>
      <c r="L554" s="19" t="str">
        <f aca="false">IF(I554=0,"",INDEX(GL!$E:$E,I554))</f>
        <v/>
      </c>
      <c r="M554" s="19" t="str">
        <f aca="false">IF(OR(B554=0,I554=0),"",ROUND(G554-L554,2))</f>
        <v/>
      </c>
      <c r="N554" s="5" t="str">
        <f aca="false">IF(A554="","",IF(B554=0,"NOT FOUND: bank ID",IF(I554=0,"NOT FOUND: GL ID",IF(INDEX(GL!$H:$H,I554)&lt;&gt;A554,"BROKEN: GL points elsewhere",IF(OR(INDEX(Bank!$F:$F,B554)&lt;&gt;"Y",INDEX(GL!$F:$F,I554)&lt;&gt;"Y"),"BROKEN: Status not Y","OK")))))</f>
        <v/>
      </c>
    </row>
    <row r="555" customFormat="false" ht="15" hidden="false" customHeight="false" outlineLevel="0" collapsed="false">
      <c r="A555" s="41"/>
      <c r="B555" s="5" t="n">
        <f aca="false">IF(A555="",0,IFERROR(MATCH(A555,Bank!$A:$A,0),0))</f>
        <v>0</v>
      </c>
      <c r="C555" s="5" t="str">
        <f aca="false">IF(B555=0,"",IF(INDEX(Bank!$G:$G,B555)="","",INDEX(Bank!$G:$G,B555)))</f>
        <v/>
      </c>
      <c r="D555" s="5" t="str">
        <f aca="false">IF(B555=0,"",IF(INDEX(Bank!$J:$J,B555)="","",INDEX(Bank!$J:$J,B555)))</f>
        <v/>
      </c>
      <c r="E555" s="32" t="str">
        <f aca="false">IF(B555=0,"",INDEX(Bank!$B:$B,B555))</f>
        <v/>
      </c>
      <c r="F555" s="5" t="str">
        <f aca="false">IF(B555=0,"",IF(INDEX(Bank!$C:$C,B555)="","",INDEX(Bank!$C:$C,B555)))</f>
        <v/>
      </c>
      <c r="G555" s="19" t="str">
        <f aca="false">IF(B555=0,"",INDEX(Bank!$E:$E,B555))</f>
        <v/>
      </c>
      <c r="H555" s="5" t="str">
        <f aca="false">IF(B555=0,"",IF(INDEX(Bank!$H:$H,B555)="","",INDEX(Bank!$H:$H,B555)))</f>
        <v/>
      </c>
      <c r="I555" s="5" t="n">
        <f aca="false">IF(H555="",0,IFERROR(MATCH(H555,GL!$A:$A,0),0))</f>
        <v>0</v>
      </c>
      <c r="J555" s="32" t="str">
        <f aca="false">IF(I555=0,"",INDEX(GL!$B:$B,I555))</f>
        <v/>
      </c>
      <c r="K555" s="5" t="str">
        <f aca="false">IF(I555=0,"",IF(INDEX(GL!$C:$C,I555)="","",INDEX(GL!$C:$C,I555)))</f>
        <v/>
      </c>
      <c r="L555" s="19" t="str">
        <f aca="false">IF(I555=0,"",INDEX(GL!$E:$E,I555))</f>
        <v/>
      </c>
      <c r="M555" s="19" t="str">
        <f aca="false">IF(OR(B555=0,I555=0),"",ROUND(G555-L555,2))</f>
        <v/>
      </c>
      <c r="N555" s="5" t="str">
        <f aca="false">IF(A555="","",IF(B555=0,"NOT FOUND: bank ID",IF(I555=0,"NOT FOUND: GL ID",IF(INDEX(GL!$H:$H,I555)&lt;&gt;A555,"BROKEN: GL points elsewhere",IF(OR(INDEX(Bank!$F:$F,B555)&lt;&gt;"Y",INDEX(GL!$F:$F,I555)&lt;&gt;"Y"),"BROKEN: Status not Y","OK")))))</f>
        <v/>
      </c>
    </row>
    <row r="556" customFormat="false" ht="15" hidden="false" customHeight="false" outlineLevel="0" collapsed="false">
      <c r="A556" s="41"/>
      <c r="B556" s="5" t="n">
        <f aca="false">IF(A556="",0,IFERROR(MATCH(A556,Bank!$A:$A,0),0))</f>
        <v>0</v>
      </c>
      <c r="C556" s="5" t="str">
        <f aca="false">IF(B556=0,"",IF(INDEX(Bank!$G:$G,B556)="","",INDEX(Bank!$G:$G,B556)))</f>
        <v/>
      </c>
      <c r="D556" s="5" t="str">
        <f aca="false">IF(B556=0,"",IF(INDEX(Bank!$J:$J,B556)="","",INDEX(Bank!$J:$J,B556)))</f>
        <v/>
      </c>
      <c r="E556" s="32" t="str">
        <f aca="false">IF(B556=0,"",INDEX(Bank!$B:$B,B556))</f>
        <v/>
      </c>
      <c r="F556" s="5" t="str">
        <f aca="false">IF(B556=0,"",IF(INDEX(Bank!$C:$C,B556)="","",INDEX(Bank!$C:$C,B556)))</f>
        <v/>
      </c>
      <c r="G556" s="19" t="str">
        <f aca="false">IF(B556=0,"",INDEX(Bank!$E:$E,B556))</f>
        <v/>
      </c>
      <c r="H556" s="5" t="str">
        <f aca="false">IF(B556=0,"",IF(INDEX(Bank!$H:$H,B556)="","",INDEX(Bank!$H:$H,B556)))</f>
        <v/>
      </c>
      <c r="I556" s="5" t="n">
        <f aca="false">IF(H556="",0,IFERROR(MATCH(H556,GL!$A:$A,0),0))</f>
        <v>0</v>
      </c>
      <c r="J556" s="32" t="str">
        <f aca="false">IF(I556=0,"",INDEX(GL!$B:$B,I556))</f>
        <v/>
      </c>
      <c r="K556" s="5" t="str">
        <f aca="false">IF(I556=0,"",IF(INDEX(GL!$C:$C,I556)="","",INDEX(GL!$C:$C,I556)))</f>
        <v/>
      </c>
      <c r="L556" s="19" t="str">
        <f aca="false">IF(I556=0,"",INDEX(GL!$E:$E,I556))</f>
        <v/>
      </c>
      <c r="M556" s="19" t="str">
        <f aca="false">IF(OR(B556=0,I556=0),"",ROUND(G556-L556,2))</f>
        <v/>
      </c>
      <c r="N556" s="5" t="str">
        <f aca="false">IF(A556="","",IF(B556=0,"NOT FOUND: bank ID",IF(I556=0,"NOT FOUND: GL ID",IF(INDEX(GL!$H:$H,I556)&lt;&gt;A556,"BROKEN: GL points elsewhere",IF(OR(INDEX(Bank!$F:$F,B556)&lt;&gt;"Y",INDEX(GL!$F:$F,I556)&lt;&gt;"Y"),"BROKEN: Status not Y","OK")))))</f>
        <v/>
      </c>
    </row>
    <row r="557" customFormat="false" ht="15" hidden="false" customHeight="false" outlineLevel="0" collapsed="false">
      <c r="A557" s="41"/>
      <c r="B557" s="5" t="n">
        <f aca="false">IF(A557="",0,IFERROR(MATCH(A557,Bank!$A:$A,0),0))</f>
        <v>0</v>
      </c>
      <c r="C557" s="5" t="str">
        <f aca="false">IF(B557=0,"",IF(INDEX(Bank!$G:$G,B557)="","",INDEX(Bank!$G:$G,B557)))</f>
        <v/>
      </c>
      <c r="D557" s="5" t="str">
        <f aca="false">IF(B557=0,"",IF(INDEX(Bank!$J:$J,B557)="","",INDEX(Bank!$J:$J,B557)))</f>
        <v/>
      </c>
      <c r="E557" s="32" t="str">
        <f aca="false">IF(B557=0,"",INDEX(Bank!$B:$B,B557))</f>
        <v/>
      </c>
      <c r="F557" s="5" t="str">
        <f aca="false">IF(B557=0,"",IF(INDEX(Bank!$C:$C,B557)="","",INDEX(Bank!$C:$C,B557)))</f>
        <v/>
      </c>
      <c r="G557" s="19" t="str">
        <f aca="false">IF(B557=0,"",INDEX(Bank!$E:$E,B557))</f>
        <v/>
      </c>
      <c r="H557" s="5" t="str">
        <f aca="false">IF(B557=0,"",IF(INDEX(Bank!$H:$H,B557)="","",INDEX(Bank!$H:$H,B557)))</f>
        <v/>
      </c>
      <c r="I557" s="5" t="n">
        <f aca="false">IF(H557="",0,IFERROR(MATCH(H557,GL!$A:$A,0),0))</f>
        <v>0</v>
      </c>
      <c r="J557" s="32" t="str">
        <f aca="false">IF(I557=0,"",INDEX(GL!$B:$B,I557))</f>
        <v/>
      </c>
      <c r="K557" s="5" t="str">
        <f aca="false">IF(I557=0,"",IF(INDEX(GL!$C:$C,I557)="","",INDEX(GL!$C:$C,I557)))</f>
        <v/>
      </c>
      <c r="L557" s="19" t="str">
        <f aca="false">IF(I557=0,"",INDEX(GL!$E:$E,I557))</f>
        <v/>
      </c>
      <c r="M557" s="19" t="str">
        <f aca="false">IF(OR(B557=0,I557=0),"",ROUND(G557-L557,2))</f>
        <v/>
      </c>
      <c r="N557" s="5" t="str">
        <f aca="false">IF(A557="","",IF(B557=0,"NOT FOUND: bank ID",IF(I557=0,"NOT FOUND: GL ID",IF(INDEX(GL!$H:$H,I557)&lt;&gt;A557,"BROKEN: GL points elsewhere",IF(OR(INDEX(Bank!$F:$F,B557)&lt;&gt;"Y",INDEX(GL!$F:$F,I557)&lt;&gt;"Y"),"BROKEN: Status not Y","OK")))))</f>
        <v/>
      </c>
    </row>
    <row r="558" customFormat="false" ht="15" hidden="false" customHeight="false" outlineLevel="0" collapsed="false">
      <c r="A558" s="41"/>
      <c r="B558" s="5" t="n">
        <f aca="false">IF(A558="",0,IFERROR(MATCH(A558,Bank!$A:$A,0),0))</f>
        <v>0</v>
      </c>
      <c r="C558" s="5" t="str">
        <f aca="false">IF(B558=0,"",IF(INDEX(Bank!$G:$G,B558)="","",INDEX(Bank!$G:$G,B558)))</f>
        <v/>
      </c>
      <c r="D558" s="5" t="str">
        <f aca="false">IF(B558=0,"",IF(INDEX(Bank!$J:$J,B558)="","",INDEX(Bank!$J:$J,B558)))</f>
        <v/>
      </c>
      <c r="E558" s="32" t="str">
        <f aca="false">IF(B558=0,"",INDEX(Bank!$B:$B,B558))</f>
        <v/>
      </c>
      <c r="F558" s="5" t="str">
        <f aca="false">IF(B558=0,"",IF(INDEX(Bank!$C:$C,B558)="","",INDEX(Bank!$C:$C,B558)))</f>
        <v/>
      </c>
      <c r="G558" s="19" t="str">
        <f aca="false">IF(B558=0,"",INDEX(Bank!$E:$E,B558))</f>
        <v/>
      </c>
      <c r="H558" s="5" t="str">
        <f aca="false">IF(B558=0,"",IF(INDEX(Bank!$H:$H,B558)="","",INDEX(Bank!$H:$H,B558)))</f>
        <v/>
      </c>
      <c r="I558" s="5" t="n">
        <f aca="false">IF(H558="",0,IFERROR(MATCH(H558,GL!$A:$A,0),0))</f>
        <v>0</v>
      </c>
      <c r="J558" s="32" t="str">
        <f aca="false">IF(I558=0,"",INDEX(GL!$B:$B,I558))</f>
        <v/>
      </c>
      <c r="K558" s="5" t="str">
        <f aca="false">IF(I558=0,"",IF(INDEX(GL!$C:$C,I558)="","",INDEX(GL!$C:$C,I558)))</f>
        <v/>
      </c>
      <c r="L558" s="19" t="str">
        <f aca="false">IF(I558=0,"",INDEX(GL!$E:$E,I558))</f>
        <v/>
      </c>
      <c r="M558" s="19" t="str">
        <f aca="false">IF(OR(B558=0,I558=0),"",ROUND(G558-L558,2))</f>
        <v/>
      </c>
      <c r="N558" s="5" t="str">
        <f aca="false">IF(A558="","",IF(B558=0,"NOT FOUND: bank ID",IF(I558=0,"NOT FOUND: GL ID",IF(INDEX(GL!$H:$H,I558)&lt;&gt;A558,"BROKEN: GL points elsewhere",IF(OR(INDEX(Bank!$F:$F,B558)&lt;&gt;"Y",INDEX(GL!$F:$F,I558)&lt;&gt;"Y"),"BROKEN: Status not Y","OK")))))</f>
        <v/>
      </c>
    </row>
    <row r="559" customFormat="false" ht="15" hidden="false" customHeight="false" outlineLevel="0" collapsed="false">
      <c r="A559" s="41"/>
      <c r="B559" s="5" t="n">
        <f aca="false">IF(A559="",0,IFERROR(MATCH(A559,Bank!$A:$A,0),0))</f>
        <v>0</v>
      </c>
      <c r="C559" s="5" t="str">
        <f aca="false">IF(B559=0,"",IF(INDEX(Bank!$G:$G,B559)="","",INDEX(Bank!$G:$G,B559)))</f>
        <v/>
      </c>
      <c r="D559" s="5" t="str">
        <f aca="false">IF(B559=0,"",IF(INDEX(Bank!$J:$J,B559)="","",INDEX(Bank!$J:$J,B559)))</f>
        <v/>
      </c>
      <c r="E559" s="32" t="str">
        <f aca="false">IF(B559=0,"",INDEX(Bank!$B:$B,B559))</f>
        <v/>
      </c>
      <c r="F559" s="5" t="str">
        <f aca="false">IF(B559=0,"",IF(INDEX(Bank!$C:$C,B559)="","",INDEX(Bank!$C:$C,B559)))</f>
        <v/>
      </c>
      <c r="G559" s="19" t="str">
        <f aca="false">IF(B559=0,"",INDEX(Bank!$E:$E,B559))</f>
        <v/>
      </c>
      <c r="H559" s="5" t="str">
        <f aca="false">IF(B559=0,"",IF(INDEX(Bank!$H:$H,B559)="","",INDEX(Bank!$H:$H,B559)))</f>
        <v/>
      </c>
      <c r="I559" s="5" t="n">
        <f aca="false">IF(H559="",0,IFERROR(MATCH(H559,GL!$A:$A,0),0))</f>
        <v>0</v>
      </c>
      <c r="J559" s="32" t="str">
        <f aca="false">IF(I559=0,"",INDEX(GL!$B:$B,I559))</f>
        <v/>
      </c>
      <c r="K559" s="5" t="str">
        <f aca="false">IF(I559=0,"",IF(INDEX(GL!$C:$C,I559)="","",INDEX(GL!$C:$C,I559)))</f>
        <v/>
      </c>
      <c r="L559" s="19" t="str">
        <f aca="false">IF(I559=0,"",INDEX(GL!$E:$E,I559))</f>
        <v/>
      </c>
      <c r="M559" s="19" t="str">
        <f aca="false">IF(OR(B559=0,I559=0),"",ROUND(G559-L559,2))</f>
        <v/>
      </c>
      <c r="N559" s="5" t="str">
        <f aca="false">IF(A559="","",IF(B559=0,"NOT FOUND: bank ID",IF(I559=0,"NOT FOUND: GL ID",IF(INDEX(GL!$H:$H,I559)&lt;&gt;A559,"BROKEN: GL points elsewhere",IF(OR(INDEX(Bank!$F:$F,B559)&lt;&gt;"Y",INDEX(GL!$F:$F,I559)&lt;&gt;"Y"),"BROKEN: Status not Y","OK")))))</f>
        <v/>
      </c>
    </row>
    <row r="560" customFormat="false" ht="15" hidden="false" customHeight="false" outlineLevel="0" collapsed="false">
      <c r="A560" s="41"/>
      <c r="B560" s="5" t="n">
        <f aca="false">IF(A560="",0,IFERROR(MATCH(A560,Bank!$A:$A,0),0))</f>
        <v>0</v>
      </c>
      <c r="C560" s="5" t="str">
        <f aca="false">IF(B560=0,"",IF(INDEX(Bank!$G:$G,B560)="","",INDEX(Bank!$G:$G,B560)))</f>
        <v/>
      </c>
      <c r="D560" s="5" t="str">
        <f aca="false">IF(B560=0,"",IF(INDEX(Bank!$J:$J,B560)="","",INDEX(Bank!$J:$J,B560)))</f>
        <v/>
      </c>
      <c r="E560" s="32" t="str">
        <f aca="false">IF(B560=0,"",INDEX(Bank!$B:$B,B560))</f>
        <v/>
      </c>
      <c r="F560" s="5" t="str">
        <f aca="false">IF(B560=0,"",IF(INDEX(Bank!$C:$C,B560)="","",INDEX(Bank!$C:$C,B560)))</f>
        <v/>
      </c>
      <c r="G560" s="19" t="str">
        <f aca="false">IF(B560=0,"",INDEX(Bank!$E:$E,B560))</f>
        <v/>
      </c>
      <c r="H560" s="5" t="str">
        <f aca="false">IF(B560=0,"",IF(INDEX(Bank!$H:$H,B560)="","",INDEX(Bank!$H:$H,B560)))</f>
        <v/>
      </c>
      <c r="I560" s="5" t="n">
        <f aca="false">IF(H560="",0,IFERROR(MATCH(H560,GL!$A:$A,0),0))</f>
        <v>0</v>
      </c>
      <c r="J560" s="32" t="str">
        <f aca="false">IF(I560=0,"",INDEX(GL!$B:$B,I560))</f>
        <v/>
      </c>
      <c r="K560" s="5" t="str">
        <f aca="false">IF(I560=0,"",IF(INDEX(GL!$C:$C,I560)="","",INDEX(GL!$C:$C,I560)))</f>
        <v/>
      </c>
      <c r="L560" s="19" t="str">
        <f aca="false">IF(I560=0,"",INDEX(GL!$E:$E,I560))</f>
        <v/>
      </c>
      <c r="M560" s="19" t="str">
        <f aca="false">IF(OR(B560=0,I560=0),"",ROUND(G560-L560,2))</f>
        <v/>
      </c>
      <c r="N560" s="5" t="str">
        <f aca="false">IF(A560="","",IF(B560=0,"NOT FOUND: bank ID",IF(I560=0,"NOT FOUND: GL ID",IF(INDEX(GL!$H:$H,I560)&lt;&gt;A560,"BROKEN: GL points elsewhere",IF(OR(INDEX(Bank!$F:$F,B560)&lt;&gt;"Y",INDEX(GL!$F:$F,I560)&lt;&gt;"Y"),"BROKEN: Status not Y","OK")))))</f>
        <v/>
      </c>
    </row>
    <row r="561" customFormat="false" ht="15" hidden="false" customHeight="false" outlineLevel="0" collapsed="false">
      <c r="A561" s="41"/>
      <c r="B561" s="5" t="n">
        <f aca="false">IF(A561="",0,IFERROR(MATCH(A561,Bank!$A:$A,0),0))</f>
        <v>0</v>
      </c>
      <c r="C561" s="5" t="str">
        <f aca="false">IF(B561=0,"",IF(INDEX(Bank!$G:$G,B561)="","",INDEX(Bank!$G:$G,B561)))</f>
        <v/>
      </c>
      <c r="D561" s="5" t="str">
        <f aca="false">IF(B561=0,"",IF(INDEX(Bank!$J:$J,B561)="","",INDEX(Bank!$J:$J,B561)))</f>
        <v/>
      </c>
      <c r="E561" s="32" t="str">
        <f aca="false">IF(B561=0,"",INDEX(Bank!$B:$B,B561))</f>
        <v/>
      </c>
      <c r="F561" s="5" t="str">
        <f aca="false">IF(B561=0,"",IF(INDEX(Bank!$C:$C,B561)="","",INDEX(Bank!$C:$C,B561)))</f>
        <v/>
      </c>
      <c r="G561" s="19" t="str">
        <f aca="false">IF(B561=0,"",INDEX(Bank!$E:$E,B561))</f>
        <v/>
      </c>
      <c r="H561" s="5" t="str">
        <f aca="false">IF(B561=0,"",IF(INDEX(Bank!$H:$H,B561)="","",INDEX(Bank!$H:$H,B561)))</f>
        <v/>
      </c>
      <c r="I561" s="5" t="n">
        <f aca="false">IF(H561="",0,IFERROR(MATCH(H561,GL!$A:$A,0),0))</f>
        <v>0</v>
      </c>
      <c r="J561" s="32" t="str">
        <f aca="false">IF(I561=0,"",INDEX(GL!$B:$B,I561))</f>
        <v/>
      </c>
      <c r="K561" s="5" t="str">
        <f aca="false">IF(I561=0,"",IF(INDEX(GL!$C:$C,I561)="","",INDEX(GL!$C:$C,I561)))</f>
        <v/>
      </c>
      <c r="L561" s="19" t="str">
        <f aca="false">IF(I561=0,"",INDEX(GL!$E:$E,I561))</f>
        <v/>
      </c>
      <c r="M561" s="19" t="str">
        <f aca="false">IF(OR(B561=0,I561=0),"",ROUND(G561-L561,2))</f>
        <v/>
      </c>
      <c r="N561" s="5" t="str">
        <f aca="false">IF(A561="","",IF(B561=0,"NOT FOUND: bank ID",IF(I561=0,"NOT FOUND: GL ID",IF(INDEX(GL!$H:$H,I561)&lt;&gt;A561,"BROKEN: GL points elsewhere",IF(OR(INDEX(Bank!$F:$F,B561)&lt;&gt;"Y",INDEX(GL!$F:$F,I561)&lt;&gt;"Y"),"BROKEN: Status not Y","OK")))))</f>
        <v/>
      </c>
    </row>
    <row r="562" customFormat="false" ht="15" hidden="false" customHeight="false" outlineLevel="0" collapsed="false">
      <c r="A562" s="41"/>
      <c r="B562" s="5" t="n">
        <f aca="false">IF(A562="",0,IFERROR(MATCH(A562,Bank!$A:$A,0),0))</f>
        <v>0</v>
      </c>
      <c r="C562" s="5" t="str">
        <f aca="false">IF(B562=0,"",IF(INDEX(Bank!$G:$G,B562)="","",INDEX(Bank!$G:$G,B562)))</f>
        <v/>
      </c>
      <c r="D562" s="5" t="str">
        <f aca="false">IF(B562=0,"",IF(INDEX(Bank!$J:$J,B562)="","",INDEX(Bank!$J:$J,B562)))</f>
        <v/>
      </c>
      <c r="E562" s="32" t="str">
        <f aca="false">IF(B562=0,"",INDEX(Bank!$B:$B,B562))</f>
        <v/>
      </c>
      <c r="F562" s="5" t="str">
        <f aca="false">IF(B562=0,"",IF(INDEX(Bank!$C:$C,B562)="","",INDEX(Bank!$C:$C,B562)))</f>
        <v/>
      </c>
      <c r="G562" s="19" t="str">
        <f aca="false">IF(B562=0,"",INDEX(Bank!$E:$E,B562))</f>
        <v/>
      </c>
      <c r="H562" s="5" t="str">
        <f aca="false">IF(B562=0,"",IF(INDEX(Bank!$H:$H,B562)="","",INDEX(Bank!$H:$H,B562)))</f>
        <v/>
      </c>
      <c r="I562" s="5" t="n">
        <f aca="false">IF(H562="",0,IFERROR(MATCH(H562,GL!$A:$A,0),0))</f>
        <v>0</v>
      </c>
      <c r="J562" s="32" t="str">
        <f aca="false">IF(I562=0,"",INDEX(GL!$B:$B,I562))</f>
        <v/>
      </c>
      <c r="K562" s="5" t="str">
        <f aca="false">IF(I562=0,"",IF(INDEX(GL!$C:$C,I562)="","",INDEX(GL!$C:$C,I562)))</f>
        <v/>
      </c>
      <c r="L562" s="19" t="str">
        <f aca="false">IF(I562=0,"",INDEX(GL!$E:$E,I562))</f>
        <v/>
      </c>
      <c r="M562" s="19" t="str">
        <f aca="false">IF(OR(B562=0,I562=0),"",ROUND(G562-L562,2))</f>
        <v/>
      </c>
      <c r="N562" s="5" t="str">
        <f aca="false">IF(A562="","",IF(B562=0,"NOT FOUND: bank ID",IF(I562=0,"NOT FOUND: GL ID",IF(INDEX(GL!$H:$H,I562)&lt;&gt;A562,"BROKEN: GL points elsewhere",IF(OR(INDEX(Bank!$F:$F,B562)&lt;&gt;"Y",INDEX(GL!$F:$F,I562)&lt;&gt;"Y"),"BROKEN: Status not Y","OK")))))</f>
        <v/>
      </c>
    </row>
    <row r="563" customFormat="false" ht="15" hidden="false" customHeight="false" outlineLevel="0" collapsed="false">
      <c r="A563" s="41"/>
      <c r="B563" s="5" t="n">
        <f aca="false">IF(A563="",0,IFERROR(MATCH(A563,Bank!$A:$A,0),0))</f>
        <v>0</v>
      </c>
      <c r="C563" s="5" t="str">
        <f aca="false">IF(B563=0,"",IF(INDEX(Bank!$G:$G,B563)="","",INDEX(Bank!$G:$G,B563)))</f>
        <v/>
      </c>
      <c r="D563" s="5" t="str">
        <f aca="false">IF(B563=0,"",IF(INDEX(Bank!$J:$J,B563)="","",INDEX(Bank!$J:$J,B563)))</f>
        <v/>
      </c>
      <c r="E563" s="32" t="str">
        <f aca="false">IF(B563=0,"",INDEX(Bank!$B:$B,B563))</f>
        <v/>
      </c>
      <c r="F563" s="5" t="str">
        <f aca="false">IF(B563=0,"",IF(INDEX(Bank!$C:$C,B563)="","",INDEX(Bank!$C:$C,B563)))</f>
        <v/>
      </c>
      <c r="G563" s="19" t="str">
        <f aca="false">IF(B563=0,"",INDEX(Bank!$E:$E,B563))</f>
        <v/>
      </c>
      <c r="H563" s="5" t="str">
        <f aca="false">IF(B563=0,"",IF(INDEX(Bank!$H:$H,B563)="","",INDEX(Bank!$H:$H,B563)))</f>
        <v/>
      </c>
      <c r="I563" s="5" t="n">
        <f aca="false">IF(H563="",0,IFERROR(MATCH(H563,GL!$A:$A,0),0))</f>
        <v>0</v>
      </c>
      <c r="J563" s="32" t="str">
        <f aca="false">IF(I563=0,"",INDEX(GL!$B:$B,I563))</f>
        <v/>
      </c>
      <c r="K563" s="5" t="str">
        <f aca="false">IF(I563=0,"",IF(INDEX(GL!$C:$C,I563)="","",INDEX(GL!$C:$C,I563)))</f>
        <v/>
      </c>
      <c r="L563" s="19" t="str">
        <f aca="false">IF(I563=0,"",INDEX(GL!$E:$E,I563))</f>
        <v/>
      </c>
      <c r="M563" s="19" t="str">
        <f aca="false">IF(OR(B563=0,I563=0),"",ROUND(G563-L563,2))</f>
        <v/>
      </c>
      <c r="N563" s="5" t="str">
        <f aca="false">IF(A563="","",IF(B563=0,"NOT FOUND: bank ID",IF(I563=0,"NOT FOUND: GL ID",IF(INDEX(GL!$H:$H,I563)&lt;&gt;A563,"BROKEN: GL points elsewhere",IF(OR(INDEX(Bank!$F:$F,B563)&lt;&gt;"Y",INDEX(GL!$F:$F,I563)&lt;&gt;"Y"),"BROKEN: Status not Y","OK")))))</f>
        <v/>
      </c>
    </row>
    <row r="564" customFormat="false" ht="15" hidden="false" customHeight="false" outlineLevel="0" collapsed="false">
      <c r="A564" s="41"/>
      <c r="B564" s="5" t="n">
        <f aca="false">IF(A564="",0,IFERROR(MATCH(A564,Bank!$A:$A,0),0))</f>
        <v>0</v>
      </c>
      <c r="C564" s="5" t="str">
        <f aca="false">IF(B564=0,"",IF(INDEX(Bank!$G:$G,B564)="","",INDEX(Bank!$G:$G,B564)))</f>
        <v/>
      </c>
      <c r="D564" s="5" t="str">
        <f aca="false">IF(B564=0,"",IF(INDEX(Bank!$J:$J,B564)="","",INDEX(Bank!$J:$J,B564)))</f>
        <v/>
      </c>
      <c r="E564" s="32" t="str">
        <f aca="false">IF(B564=0,"",INDEX(Bank!$B:$B,B564))</f>
        <v/>
      </c>
      <c r="F564" s="5" t="str">
        <f aca="false">IF(B564=0,"",IF(INDEX(Bank!$C:$C,B564)="","",INDEX(Bank!$C:$C,B564)))</f>
        <v/>
      </c>
      <c r="G564" s="19" t="str">
        <f aca="false">IF(B564=0,"",INDEX(Bank!$E:$E,B564))</f>
        <v/>
      </c>
      <c r="H564" s="5" t="str">
        <f aca="false">IF(B564=0,"",IF(INDEX(Bank!$H:$H,B564)="","",INDEX(Bank!$H:$H,B564)))</f>
        <v/>
      </c>
      <c r="I564" s="5" t="n">
        <f aca="false">IF(H564="",0,IFERROR(MATCH(H564,GL!$A:$A,0),0))</f>
        <v>0</v>
      </c>
      <c r="J564" s="32" t="str">
        <f aca="false">IF(I564=0,"",INDEX(GL!$B:$B,I564))</f>
        <v/>
      </c>
      <c r="K564" s="5" t="str">
        <f aca="false">IF(I564=0,"",IF(INDEX(GL!$C:$C,I564)="","",INDEX(GL!$C:$C,I564)))</f>
        <v/>
      </c>
      <c r="L564" s="19" t="str">
        <f aca="false">IF(I564=0,"",INDEX(GL!$E:$E,I564))</f>
        <v/>
      </c>
      <c r="M564" s="19" t="str">
        <f aca="false">IF(OR(B564=0,I564=0),"",ROUND(G564-L564,2))</f>
        <v/>
      </c>
      <c r="N564" s="5" t="str">
        <f aca="false">IF(A564="","",IF(B564=0,"NOT FOUND: bank ID",IF(I564=0,"NOT FOUND: GL ID",IF(INDEX(GL!$H:$H,I564)&lt;&gt;A564,"BROKEN: GL points elsewhere",IF(OR(INDEX(Bank!$F:$F,B564)&lt;&gt;"Y",INDEX(GL!$F:$F,I564)&lt;&gt;"Y"),"BROKEN: Status not Y","OK")))))</f>
        <v/>
      </c>
    </row>
    <row r="565" customFormat="false" ht="15" hidden="false" customHeight="false" outlineLevel="0" collapsed="false">
      <c r="A565" s="41"/>
      <c r="B565" s="5" t="n">
        <f aca="false">IF(A565="",0,IFERROR(MATCH(A565,Bank!$A:$A,0),0))</f>
        <v>0</v>
      </c>
      <c r="C565" s="5" t="str">
        <f aca="false">IF(B565=0,"",IF(INDEX(Bank!$G:$G,B565)="","",INDEX(Bank!$G:$G,B565)))</f>
        <v/>
      </c>
      <c r="D565" s="5" t="str">
        <f aca="false">IF(B565=0,"",IF(INDEX(Bank!$J:$J,B565)="","",INDEX(Bank!$J:$J,B565)))</f>
        <v/>
      </c>
      <c r="E565" s="32" t="str">
        <f aca="false">IF(B565=0,"",INDEX(Bank!$B:$B,B565))</f>
        <v/>
      </c>
      <c r="F565" s="5" t="str">
        <f aca="false">IF(B565=0,"",IF(INDEX(Bank!$C:$C,B565)="","",INDEX(Bank!$C:$C,B565)))</f>
        <v/>
      </c>
      <c r="G565" s="19" t="str">
        <f aca="false">IF(B565=0,"",INDEX(Bank!$E:$E,B565))</f>
        <v/>
      </c>
      <c r="H565" s="5" t="str">
        <f aca="false">IF(B565=0,"",IF(INDEX(Bank!$H:$H,B565)="","",INDEX(Bank!$H:$H,B565)))</f>
        <v/>
      </c>
      <c r="I565" s="5" t="n">
        <f aca="false">IF(H565="",0,IFERROR(MATCH(H565,GL!$A:$A,0),0))</f>
        <v>0</v>
      </c>
      <c r="J565" s="32" t="str">
        <f aca="false">IF(I565=0,"",INDEX(GL!$B:$B,I565))</f>
        <v/>
      </c>
      <c r="K565" s="5" t="str">
        <f aca="false">IF(I565=0,"",IF(INDEX(GL!$C:$C,I565)="","",INDEX(GL!$C:$C,I565)))</f>
        <v/>
      </c>
      <c r="L565" s="19" t="str">
        <f aca="false">IF(I565=0,"",INDEX(GL!$E:$E,I565))</f>
        <v/>
      </c>
      <c r="M565" s="19" t="str">
        <f aca="false">IF(OR(B565=0,I565=0),"",ROUND(G565-L565,2))</f>
        <v/>
      </c>
      <c r="N565" s="5" t="str">
        <f aca="false">IF(A565="","",IF(B565=0,"NOT FOUND: bank ID",IF(I565=0,"NOT FOUND: GL ID",IF(INDEX(GL!$H:$H,I565)&lt;&gt;A565,"BROKEN: GL points elsewhere",IF(OR(INDEX(Bank!$F:$F,B565)&lt;&gt;"Y",INDEX(GL!$F:$F,I565)&lt;&gt;"Y"),"BROKEN: Status not Y","OK")))))</f>
        <v/>
      </c>
    </row>
    <row r="566" customFormat="false" ht="15" hidden="false" customHeight="false" outlineLevel="0" collapsed="false">
      <c r="A566" s="41"/>
      <c r="B566" s="5" t="n">
        <f aca="false">IF(A566="",0,IFERROR(MATCH(A566,Bank!$A:$A,0),0))</f>
        <v>0</v>
      </c>
      <c r="C566" s="5" t="str">
        <f aca="false">IF(B566=0,"",IF(INDEX(Bank!$G:$G,B566)="","",INDEX(Bank!$G:$G,B566)))</f>
        <v/>
      </c>
      <c r="D566" s="5" t="str">
        <f aca="false">IF(B566=0,"",IF(INDEX(Bank!$J:$J,B566)="","",INDEX(Bank!$J:$J,B566)))</f>
        <v/>
      </c>
      <c r="E566" s="32" t="str">
        <f aca="false">IF(B566=0,"",INDEX(Bank!$B:$B,B566))</f>
        <v/>
      </c>
      <c r="F566" s="5" t="str">
        <f aca="false">IF(B566=0,"",IF(INDEX(Bank!$C:$C,B566)="","",INDEX(Bank!$C:$C,B566)))</f>
        <v/>
      </c>
      <c r="G566" s="19" t="str">
        <f aca="false">IF(B566=0,"",INDEX(Bank!$E:$E,B566))</f>
        <v/>
      </c>
      <c r="H566" s="5" t="str">
        <f aca="false">IF(B566=0,"",IF(INDEX(Bank!$H:$H,B566)="","",INDEX(Bank!$H:$H,B566)))</f>
        <v/>
      </c>
      <c r="I566" s="5" t="n">
        <f aca="false">IF(H566="",0,IFERROR(MATCH(H566,GL!$A:$A,0),0))</f>
        <v>0</v>
      </c>
      <c r="J566" s="32" t="str">
        <f aca="false">IF(I566=0,"",INDEX(GL!$B:$B,I566))</f>
        <v/>
      </c>
      <c r="K566" s="5" t="str">
        <f aca="false">IF(I566=0,"",IF(INDEX(GL!$C:$C,I566)="","",INDEX(GL!$C:$C,I566)))</f>
        <v/>
      </c>
      <c r="L566" s="19" t="str">
        <f aca="false">IF(I566=0,"",INDEX(GL!$E:$E,I566))</f>
        <v/>
      </c>
      <c r="M566" s="19" t="str">
        <f aca="false">IF(OR(B566=0,I566=0),"",ROUND(G566-L566,2))</f>
        <v/>
      </c>
      <c r="N566" s="5" t="str">
        <f aca="false">IF(A566="","",IF(B566=0,"NOT FOUND: bank ID",IF(I566=0,"NOT FOUND: GL ID",IF(INDEX(GL!$H:$H,I566)&lt;&gt;A566,"BROKEN: GL points elsewhere",IF(OR(INDEX(Bank!$F:$F,B566)&lt;&gt;"Y",INDEX(GL!$F:$F,I566)&lt;&gt;"Y"),"BROKEN: Status not Y","OK")))))</f>
        <v/>
      </c>
    </row>
    <row r="567" customFormat="false" ht="15" hidden="false" customHeight="false" outlineLevel="0" collapsed="false">
      <c r="A567" s="41"/>
      <c r="B567" s="5" t="n">
        <f aca="false">IF(A567="",0,IFERROR(MATCH(A567,Bank!$A:$A,0),0))</f>
        <v>0</v>
      </c>
      <c r="C567" s="5" t="str">
        <f aca="false">IF(B567=0,"",IF(INDEX(Bank!$G:$G,B567)="","",INDEX(Bank!$G:$G,B567)))</f>
        <v/>
      </c>
      <c r="D567" s="5" t="str">
        <f aca="false">IF(B567=0,"",IF(INDEX(Bank!$J:$J,B567)="","",INDEX(Bank!$J:$J,B567)))</f>
        <v/>
      </c>
      <c r="E567" s="32" t="str">
        <f aca="false">IF(B567=0,"",INDEX(Bank!$B:$B,B567))</f>
        <v/>
      </c>
      <c r="F567" s="5" t="str">
        <f aca="false">IF(B567=0,"",IF(INDEX(Bank!$C:$C,B567)="","",INDEX(Bank!$C:$C,B567)))</f>
        <v/>
      </c>
      <c r="G567" s="19" t="str">
        <f aca="false">IF(B567=0,"",INDEX(Bank!$E:$E,B567))</f>
        <v/>
      </c>
      <c r="H567" s="5" t="str">
        <f aca="false">IF(B567=0,"",IF(INDEX(Bank!$H:$H,B567)="","",INDEX(Bank!$H:$H,B567)))</f>
        <v/>
      </c>
      <c r="I567" s="5" t="n">
        <f aca="false">IF(H567="",0,IFERROR(MATCH(H567,GL!$A:$A,0),0))</f>
        <v>0</v>
      </c>
      <c r="J567" s="32" t="str">
        <f aca="false">IF(I567=0,"",INDEX(GL!$B:$B,I567))</f>
        <v/>
      </c>
      <c r="K567" s="5" t="str">
        <f aca="false">IF(I567=0,"",IF(INDEX(GL!$C:$C,I567)="","",INDEX(GL!$C:$C,I567)))</f>
        <v/>
      </c>
      <c r="L567" s="19" t="str">
        <f aca="false">IF(I567=0,"",INDEX(GL!$E:$E,I567))</f>
        <v/>
      </c>
      <c r="M567" s="19" t="str">
        <f aca="false">IF(OR(B567=0,I567=0),"",ROUND(G567-L567,2))</f>
        <v/>
      </c>
      <c r="N567" s="5" t="str">
        <f aca="false">IF(A567="","",IF(B567=0,"NOT FOUND: bank ID",IF(I567=0,"NOT FOUND: GL ID",IF(INDEX(GL!$H:$H,I567)&lt;&gt;A567,"BROKEN: GL points elsewhere",IF(OR(INDEX(Bank!$F:$F,B567)&lt;&gt;"Y",INDEX(GL!$F:$F,I567)&lt;&gt;"Y"),"BROKEN: Status not Y","OK")))))</f>
        <v/>
      </c>
    </row>
    <row r="568" customFormat="false" ht="15" hidden="false" customHeight="false" outlineLevel="0" collapsed="false">
      <c r="A568" s="41"/>
      <c r="B568" s="5" t="n">
        <f aca="false">IF(A568="",0,IFERROR(MATCH(A568,Bank!$A:$A,0),0))</f>
        <v>0</v>
      </c>
      <c r="C568" s="5" t="str">
        <f aca="false">IF(B568=0,"",IF(INDEX(Bank!$G:$G,B568)="","",INDEX(Bank!$G:$G,B568)))</f>
        <v/>
      </c>
      <c r="D568" s="5" t="str">
        <f aca="false">IF(B568=0,"",IF(INDEX(Bank!$J:$J,B568)="","",INDEX(Bank!$J:$J,B568)))</f>
        <v/>
      </c>
      <c r="E568" s="32" t="str">
        <f aca="false">IF(B568=0,"",INDEX(Bank!$B:$B,B568))</f>
        <v/>
      </c>
      <c r="F568" s="5" t="str">
        <f aca="false">IF(B568=0,"",IF(INDEX(Bank!$C:$C,B568)="","",INDEX(Bank!$C:$C,B568)))</f>
        <v/>
      </c>
      <c r="G568" s="19" t="str">
        <f aca="false">IF(B568=0,"",INDEX(Bank!$E:$E,B568))</f>
        <v/>
      </c>
      <c r="H568" s="5" t="str">
        <f aca="false">IF(B568=0,"",IF(INDEX(Bank!$H:$H,B568)="","",INDEX(Bank!$H:$H,B568)))</f>
        <v/>
      </c>
      <c r="I568" s="5" t="n">
        <f aca="false">IF(H568="",0,IFERROR(MATCH(H568,GL!$A:$A,0),0))</f>
        <v>0</v>
      </c>
      <c r="J568" s="32" t="str">
        <f aca="false">IF(I568=0,"",INDEX(GL!$B:$B,I568))</f>
        <v/>
      </c>
      <c r="K568" s="5" t="str">
        <f aca="false">IF(I568=0,"",IF(INDEX(GL!$C:$C,I568)="","",INDEX(GL!$C:$C,I568)))</f>
        <v/>
      </c>
      <c r="L568" s="19" t="str">
        <f aca="false">IF(I568=0,"",INDEX(GL!$E:$E,I568))</f>
        <v/>
      </c>
      <c r="M568" s="19" t="str">
        <f aca="false">IF(OR(B568=0,I568=0),"",ROUND(G568-L568,2))</f>
        <v/>
      </c>
      <c r="N568" s="5" t="str">
        <f aca="false">IF(A568="","",IF(B568=0,"NOT FOUND: bank ID",IF(I568=0,"NOT FOUND: GL ID",IF(INDEX(GL!$H:$H,I568)&lt;&gt;A568,"BROKEN: GL points elsewhere",IF(OR(INDEX(Bank!$F:$F,B568)&lt;&gt;"Y",INDEX(GL!$F:$F,I568)&lt;&gt;"Y"),"BROKEN: Status not Y","OK")))))</f>
        <v/>
      </c>
    </row>
    <row r="569" customFormat="false" ht="15" hidden="false" customHeight="false" outlineLevel="0" collapsed="false">
      <c r="A569" s="41"/>
      <c r="B569" s="5" t="n">
        <f aca="false">IF(A569="",0,IFERROR(MATCH(A569,Bank!$A:$A,0),0))</f>
        <v>0</v>
      </c>
      <c r="C569" s="5" t="str">
        <f aca="false">IF(B569=0,"",IF(INDEX(Bank!$G:$G,B569)="","",INDEX(Bank!$G:$G,B569)))</f>
        <v/>
      </c>
      <c r="D569" s="5" t="str">
        <f aca="false">IF(B569=0,"",IF(INDEX(Bank!$J:$J,B569)="","",INDEX(Bank!$J:$J,B569)))</f>
        <v/>
      </c>
      <c r="E569" s="32" t="str">
        <f aca="false">IF(B569=0,"",INDEX(Bank!$B:$B,B569))</f>
        <v/>
      </c>
      <c r="F569" s="5" t="str">
        <f aca="false">IF(B569=0,"",IF(INDEX(Bank!$C:$C,B569)="","",INDEX(Bank!$C:$C,B569)))</f>
        <v/>
      </c>
      <c r="G569" s="19" t="str">
        <f aca="false">IF(B569=0,"",INDEX(Bank!$E:$E,B569))</f>
        <v/>
      </c>
      <c r="H569" s="5" t="str">
        <f aca="false">IF(B569=0,"",IF(INDEX(Bank!$H:$H,B569)="","",INDEX(Bank!$H:$H,B569)))</f>
        <v/>
      </c>
      <c r="I569" s="5" t="n">
        <f aca="false">IF(H569="",0,IFERROR(MATCH(H569,GL!$A:$A,0),0))</f>
        <v>0</v>
      </c>
      <c r="J569" s="32" t="str">
        <f aca="false">IF(I569=0,"",INDEX(GL!$B:$B,I569))</f>
        <v/>
      </c>
      <c r="K569" s="5" t="str">
        <f aca="false">IF(I569=0,"",IF(INDEX(GL!$C:$C,I569)="","",INDEX(GL!$C:$C,I569)))</f>
        <v/>
      </c>
      <c r="L569" s="19" t="str">
        <f aca="false">IF(I569=0,"",INDEX(GL!$E:$E,I569))</f>
        <v/>
      </c>
      <c r="M569" s="19" t="str">
        <f aca="false">IF(OR(B569=0,I569=0),"",ROUND(G569-L569,2))</f>
        <v/>
      </c>
      <c r="N569" s="5" t="str">
        <f aca="false">IF(A569="","",IF(B569=0,"NOT FOUND: bank ID",IF(I569=0,"NOT FOUND: GL ID",IF(INDEX(GL!$H:$H,I569)&lt;&gt;A569,"BROKEN: GL points elsewhere",IF(OR(INDEX(Bank!$F:$F,B569)&lt;&gt;"Y",INDEX(GL!$F:$F,I569)&lt;&gt;"Y"),"BROKEN: Status not Y","OK")))))</f>
        <v/>
      </c>
    </row>
    <row r="570" customFormat="false" ht="15" hidden="false" customHeight="false" outlineLevel="0" collapsed="false">
      <c r="A570" s="41"/>
      <c r="B570" s="5" t="n">
        <f aca="false">IF(A570="",0,IFERROR(MATCH(A570,Bank!$A:$A,0),0))</f>
        <v>0</v>
      </c>
      <c r="C570" s="5" t="str">
        <f aca="false">IF(B570=0,"",IF(INDEX(Bank!$G:$G,B570)="","",INDEX(Bank!$G:$G,B570)))</f>
        <v/>
      </c>
      <c r="D570" s="5" t="str">
        <f aca="false">IF(B570=0,"",IF(INDEX(Bank!$J:$J,B570)="","",INDEX(Bank!$J:$J,B570)))</f>
        <v/>
      </c>
      <c r="E570" s="32" t="str">
        <f aca="false">IF(B570=0,"",INDEX(Bank!$B:$B,B570))</f>
        <v/>
      </c>
      <c r="F570" s="5" t="str">
        <f aca="false">IF(B570=0,"",IF(INDEX(Bank!$C:$C,B570)="","",INDEX(Bank!$C:$C,B570)))</f>
        <v/>
      </c>
      <c r="G570" s="19" t="str">
        <f aca="false">IF(B570=0,"",INDEX(Bank!$E:$E,B570))</f>
        <v/>
      </c>
      <c r="H570" s="5" t="str">
        <f aca="false">IF(B570=0,"",IF(INDEX(Bank!$H:$H,B570)="","",INDEX(Bank!$H:$H,B570)))</f>
        <v/>
      </c>
      <c r="I570" s="5" t="n">
        <f aca="false">IF(H570="",0,IFERROR(MATCH(H570,GL!$A:$A,0),0))</f>
        <v>0</v>
      </c>
      <c r="J570" s="32" t="str">
        <f aca="false">IF(I570=0,"",INDEX(GL!$B:$B,I570))</f>
        <v/>
      </c>
      <c r="K570" s="5" t="str">
        <f aca="false">IF(I570=0,"",IF(INDEX(GL!$C:$C,I570)="","",INDEX(GL!$C:$C,I570)))</f>
        <v/>
      </c>
      <c r="L570" s="19" t="str">
        <f aca="false">IF(I570=0,"",INDEX(GL!$E:$E,I570))</f>
        <v/>
      </c>
      <c r="M570" s="19" t="str">
        <f aca="false">IF(OR(B570=0,I570=0),"",ROUND(G570-L570,2))</f>
        <v/>
      </c>
      <c r="N570" s="5" t="str">
        <f aca="false">IF(A570="","",IF(B570=0,"NOT FOUND: bank ID",IF(I570=0,"NOT FOUND: GL ID",IF(INDEX(GL!$H:$H,I570)&lt;&gt;A570,"BROKEN: GL points elsewhere",IF(OR(INDEX(Bank!$F:$F,B570)&lt;&gt;"Y",INDEX(GL!$F:$F,I570)&lt;&gt;"Y"),"BROKEN: Status not Y","OK")))))</f>
        <v/>
      </c>
    </row>
    <row r="571" customFormat="false" ht="15" hidden="false" customHeight="false" outlineLevel="0" collapsed="false">
      <c r="A571" s="41"/>
      <c r="B571" s="5" t="n">
        <f aca="false">IF(A571="",0,IFERROR(MATCH(A571,Bank!$A:$A,0),0))</f>
        <v>0</v>
      </c>
      <c r="C571" s="5" t="str">
        <f aca="false">IF(B571=0,"",IF(INDEX(Bank!$G:$G,B571)="","",INDEX(Bank!$G:$G,B571)))</f>
        <v/>
      </c>
      <c r="D571" s="5" t="str">
        <f aca="false">IF(B571=0,"",IF(INDEX(Bank!$J:$J,B571)="","",INDEX(Bank!$J:$J,B571)))</f>
        <v/>
      </c>
      <c r="E571" s="32" t="str">
        <f aca="false">IF(B571=0,"",INDEX(Bank!$B:$B,B571))</f>
        <v/>
      </c>
      <c r="F571" s="5" t="str">
        <f aca="false">IF(B571=0,"",IF(INDEX(Bank!$C:$C,B571)="","",INDEX(Bank!$C:$C,B571)))</f>
        <v/>
      </c>
      <c r="G571" s="19" t="str">
        <f aca="false">IF(B571=0,"",INDEX(Bank!$E:$E,B571))</f>
        <v/>
      </c>
      <c r="H571" s="5" t="str">
        <f aca="false">IF(B571=0,"",IF(INDEX(Bank!$H:$H,B571)="","",INDEX(Bank!$H:$H,B571)))</f>
        <v/>
      </c>
      <c r="I571" s="5" t="n">
        <f aca="false">IF(H571="",0,IFERROR(MATCH(H571,GL!$A:$A,0),0))</f>
        <v>0</v>
      </c>
      <c r="J571" s="32" t="str">
        <f aca="false">IF(I571=0,"",INDEX(GL!$B:$B,I571))</f>
        <v/>
      </c>
      <c r="K571" s="5" t="str">
        <f aca="false">IF(I571=0,"",IF(INDEX(GL!$C:$C,I571)="","",INDEX(GL!$C:$C,I571)))</f>
        <v/>
      </c>
      <c r="L571" s="19" t="str">
        <f aca="false">IF(I571=0,"",INDEX(GL!$E:$E,I571))</f>
        <v/>
      </c>
      <c r="M571" s="19" t="str">
        <f aca="false">IF(OR(B571=0,I571=0),"",ROUND(G571-L571,2))</f>
        <v/>
      </c>
      <c r="N571" s="5" t="str">
        <f aca="false">IF(A571="","",IF(B571=0,"NOT FOUND: bank ID",IF(I571=0,"NOT FOUND: GL ID",IF(INDEX(GL!$H:$H,I571)&lt;&gt;A571,"BROKEN: GL points elsewhere",IF(OR(INDEX(Bank!$F:$F,B571)&lt;&gt;"Y",INDEX(GL!$F:$F,I571)&lt;&gt;"Y"),"BROKEN: Status not Y","OK")))))</f>
        <v/>
      </c>
    </row>
    <row r="572" customFormat="false" ht="15" hidden="false" customHeight="false" outlineLevel="0" collapsed="false">
      <c r="A572" s="41"/>
      <c r="B572" s="5" t="n">
        <f aca="false">IF(A572="",0,IFERROR(MATCH(A572,Bank!$A:$A,0),0))</f>
        <v>0</v>
      </c>
      <c r="C572" s="5" t="str">
        <f aca="false">IF(B572=0,"",IF(INDEX(Bank!$G:$G,B572)="","",INDEX(Bank!$G:$G,B572)))</f>
        <v/>
      </c>
      <c r="D572" s="5" t="str">
        <f aca="false">IF(B572=0,"",IF(INDEX(Bank!$J:$J,B572)="","",INDEX(Bank!$J:$J,B572)))</f>
        <v/>
      </c>
      <c r="E572" s="32" t="str">
        <f aca="false">IF(B572=0,"",INDEX(Bank!$B:$B,B572))</f>
        <v/>
      </c>
      <c r="F572" s="5" t="str">
        <f aca="false">IF(B572=0,"",IF(INDEX(Bank!$C:$C,B572)="","",INDEX(Bank!$C:$C,B572)))</f>
        <v/>
      </c>
      <c r="G572" s="19" t="str">
        <f aca="false">IF(B572=0,"",INDEX(Bank!$E:$E,B572))</f>
        <v/>
      </c>
      <c r="H572" s="5" t="str">
        <f aca="false">IF(B572=0,"",IF(INDEX(Bank!$H:$H,B572)="","",INDEX(Bank!$H:$H,B572)))</f>
        <v/>
      </c>
      <c r="I572" s="5" t="n">
        <f aca="false">IF(H572="",0,IFERROR(MATCH(H572,GL!$A:$A,0),0))</f>
        <v>0</v>
      </c>
      <c r="J572" s="32" t="str">
        <f aca="false">IF(I572=0,"",INDEX(GL!$B:$B,I572))</f>
        <v/>
      </c>
      <c r="K572" s="5" t="str">
        <f aca="false">IF(I572=0,"",IF(INDEX(GL!$C:$C,I572)="","",INDEX(GL!$C:$C,I572)))</f>
        <v/>
      </c>
      <c r="L572" s="19" t="str">
        <f aca="false">IF(I572=0,"",INDEX(GL!$E:$E,I572))</f>
        <v/>
      </c>
      <c r="M572" s="19" t="str">
        <f aca="false">IF(OR(B572=0,I572=0),"",ROUND(G572-L572,2))</f>
        <v/>
      </c>
      <c r="N572" s="5" t="str">
        <f aca="false">IF(A572="","",IF(B572=0,"NOT FOUND: bank ID",IF(I572=0,"NOT FOUND: GL ID",IF(INDEX(GL!$H:$H,I572)&lt;&gt;A572,"BROKEN: GL points elsewhere",IF(OR(INDEX(Bank!$F:$F,B572)&lt;&gt;"Y",INDEX(GL!$F:$F,I572)&lt;&gt;"Y"),"BROKEN: Status not Y","OK")))))</f>
        <v/>
      </c>
    </row>
    <row r="573" customFormat="false" ht="15" hidden="false" customHeight="false" outlineLevel="0" collapsed="false">
      <c r="A573" s="41"/>
      <c r="B573" s="5" t="n">
        <f aca="false">IF(A573="",0,IFERROR(MATCH(A573,Bank!$A:$A,0),0))</f>
        <v>0</v>
      </c>
      <c r="C573" s="5" t="str">
        <f aca="false">IF(B573=0,"",IF(INDEX(Bank!$G:$G,B573)="","",INDEX(Bank!$G:$G,B573)))</f>
        <v/>
      </c>
      <c r="D573" s="5" t="str">
        <f aca="false">IF(B573=0,"",IF(INDEX(Bank!$J:$J,B573)="","",INDEX(Bank!$J:$J,B573)))</f>
        <v/>
      </c>
      <c r="E573" s="32" t="str">
        <f aca="false">IF(B573=0,"",INDEX(Bank!$B:$B,B573))</f>
        <v/>
      </c>
      <c r="F573" s="5" t="str">
        <f aca="false">IF(B573=0,"",IF(INDEX(Bank!$C:$C,B573)="","",INDEX(Bank!$C:$C,B573)))</f>
        <v/>
      </c>
      <c r="G573" s="19" t="str">
        <f aca="false">IF(B573=0,"",INDEX(Bank!$E:$E,B573))</f>
        <v/>
      </c>
      <c r="H573" s="5" t="str">
        <f aca="false">IF(B573=0,"",IF(INDEX(Bank!$H:$H,B573)="","",INDEX(Bank!$H:$H,B573)))</f>
        <v/>
      </c>
      <c r="I573" s="5" t="n">
        <f aca="false">IF(H573="",0,IFERROR(MATCH(H573,GL!$A:$A,0),0))</f>
        <v>0</v>
      </c>
      <c r="J573" s="32" t="str">
        <f aca="false">IF(I573=0,"",INDEX(GL!$B:$B,I573))</f>
        <v/>
      </c>
      <c r="K573" s="5" t="str">
        <f aca="false">IF(I573=0,"",IF(INDEX(GL!$C:$C,I573)="","",INDEX(GL!$C:$C,I573)))</f>
        <v/>
      </c>
      <c r="L573" s="19" t="str">
        <f aca="false">IF(I573=0,"",INDEX(GL!$E:$E,I573))</f>
        <v/>
      </c>
      <c r="M573" s="19" t="str">
        <f aca="false">IF(OR(B573=0,I573=0),"",ROUND(G573-L573,2))</f>
        <v/>
      </c>
      <c r="N573" s="5" t="str">
        <f aca="false">IF(A573="","",IF(B573=0,"NOT FOUND: bank ID",IF(I573=0,"NOT FOUND: GL ID",IF(INDEX(GL!$H:$H,I573)&lt;&gt;A573,"BROKEN: GL points elsewhere",IF(OR(INDEX(Bank!$F:$F,B573)&lt;&gt;"Y",INDEX(GL!$F:$F,I573)&lt;&gt;"Y"),"BROKEN: Status not Y","OK")))))</f>
        <v/>
      </c>
    </row>
    <row r="574" customFormat="false" ht="15" hidden="false" customHeight="false" outlineLevel="0" collapsed="false">
      <c r="A574" s="41"/>
      <c r="B574" s="5" t="n">
        <f aca="false">IF(A574="",0,IFERROR(MATCH(A574,Bank!$A:$A,0),0))</f>
        <v>0</v>
      </c>
      <c r="C574" s="5" t="str">
        <f aca="false">IF(B574=0,"",IF(INDEX(Bank!$G:$G,B574)="","",INDEX(Bank!$G:$G,B574)))</f>
        <v/>
      </c>
      <c r="D574" s="5" t="str">
        <f aca="false">IF(B574=0,"",IF(INDEX(Bank!$J:$J,B574)="","",INDEX(Bank!$J:$J,B574)))</f>
        <v/>
      </c>
      <c r="E574" s="32" t="str">
        <f aca="false">IF(B574=0,"",INDEX(Bank!$B:$B,B574))</f>
        <v/>
      </c>
      <c r="F574" s="5" t="str">
        <f aca="false">IF(B574=0,"",IF(INDEX(Bank!$C:$C,B574)="","",INDEX(Bank!$C:$C,B574)))</f>
        <v/>
      </c>
      <c r="G574" s="19" t="str">
        <f aca="false">IF(B574=0,"",INDEX(Bank!$E:$E,B574))</f>
        <v/>
      </c>
      <c r="H574" s="5" t="str">
        <f aca="false">IF(B574=0,"",IF(INDEX(Bank!$H:$H,B574)="","",INDEX(Bank!$H:$H,B574)))</f>
        <v/>
      </c>
      <c r="I574" s="5" t="n">
        <f aca="false">IF(H574="",0,IFERROR(MATCH(H574,GL!$A:$A,0),0))</f>
        <v>0</v>
      </c>
      <c r="J574" s="32" t="str">
        <f aca="false">IF(I574=0,"",INDEX(GL!$B:$B,I574))</f>
        <v/>
      </c>
      <c r="K574" s="5" t="str">
        <f aca="false">IF(I574=0,"",IF(INDEX(GL!$C:$C,I574)="","",INDEX(GL!$C:$C,I574)))</f>
        <v/>
      </c>
      <c r="L574" s="19" t="str">
        <f aca="false">IF(I574=0,"",INDEX(GL!$E:$E,I574))</f>
        <v/>
      </c>
      <c r="M574" s="19" t="str">
        <f aca="false">IF(OR(B574=0,I574=0),"",ROUND(G574-L574,2))</f>
        <v/>
      </c>
      <c r="N574" s="5" t="str">
        <f aca="false">IF(A574="","",IF(B574=0,"NOT FOUND: bank ID",IF(I574=0,"NOT FOUND: GL ID",IF(INDEX(GL!$H:$H,I574)&lt;&gt;A574,"BROKEN: GL points elsewhere",IF(OR(INDEX(Bank!$F:$F,B574)&lt;&gt;"Y",INDEX(GL!$F:$F,I574)&lt;&gt;"Y"),"BROKEN: Status not Y","OK")))))</f>
        <v/>
      </c>
    </row>
    <row r="575" customFormat="false" ht="15" hidden="false" customHeight="false" outlineLevel="0" collapsed="false">
      <c r="A575" s="41"/>
      <c r="B575" s="5" t="n">
        <f aca="false">IF(A575="",0,IFERROR(MATCH(A575,Bank!$A:$A,0),0))</f>
        <v>0</v>
      </c>
      <c r="C575" s="5" t="str">
        <f aca="false">IF(B575=0,"",IF(INDEX(Bank!$G:$G,B575)="","",INDEX(Bank!$G:$G,B575)))</f>
        <v/>
      </c>
      <c r="D575" s="5" t="str">
        <f aca="false">IF(B575=0,"",IF(INDEX(Bank!$J:$J,B575)="","",INDEX(Bank!$J:$J,B575)))</f>
        <v/>
      </c>
      <c r="E575" s="32" t="str">
        <f aca="false">IF(B575=0,"",INDEX(Bank!$B:$B,B575))</f>
        <v/>
      </c>
      <c r="F575" s="5" t="str">
        <f aca="false">IF(B575=0,"",IF(INDEX(Bank!$C:$C,B575)="","",INDEX(Bank!$C:$C,B575)))</f>
        <v/>
      </c>
      <c r="G575" s="19" t="str">
        <f aca="false">IF(B575=0,"",INDEX(Bank!$E:$E,B575))</f>
        <v/>
      </c>
      <c r="H575" s="5" t="str">
        <f aca="false">IF(B575=0,"",IF(INDEX(Bank!$H:$H,B575)="","",INDEX(Bank!$H:$H,B575)))</f>
        <v/>
      </c>
      <c r="I575" s="5" t="n">
        <f aca="false">IF(H575="",0,IFERROR(MATCH(H575,GL!$A:$A,0),0))</f>
        <v>0</v>
      </c>
      <c r="J575" s="32" t="str">
        <f aca="false">IF(I575=0,"",INDEX(GL!$B:$B,I575))</f>
        <v/>
      </c>
      <c r="K575" s="5" t="str">
        <f aca="false">IF(I575=0,"",IF(INDEX(GL!$C:$C,I575)="","",INDEX(GL!$C:$C,I575)))</f>
        <v/>
      </c>
      <c r="L575" s="19" t="str">
        <f aca="false">IF(I575=0,"",INDEX(GL!$E:$E,I575))</f>
        <v/>
      </c>
      <c r="M575" s="19" t="str">
        <f aca="false">IF(OR(B575=0,I575=0),"",ROUND(G575-L575,2))</f>
        <v/>
      </c>
      <c r="N575" s="5" t="str">
        <f aca="false">IF(A575="","",IF(B575=0,"NOT FOUND: bank ID",IF(I575=0,"NOT FOUND: GL ID",IF(INDEX(GL!$H:$H,I575)&lt;&gt;A575,"BROKEN: GL points elsewhere",IF(OR(INDEX(Bank!$F:$F,B575)&lt;&gt;"Y",INDEX(GL!$F:$F,I575)&lt;&gt;"Y"),"BROKEN: Status not Y","OK")))))</f>
        <v/>
      </c>
    </row>
    <row r="576" customFormat="false" ht="15" hidden="false" customHeight="false" outlineLevel="0" collapsed="false">
      <c r="A576" s="41"/>
      <c r="B576" s="5" t="n">
        <f aca="false">IF(A576="",0,IFERROR(MATCH(A576,Bank!$A:$A,0),0))</f>
        <v>0</v>
      </c>
      <c r="C576" s="5" t="str">
        <f aca="false">IF(B576=0,"",IF(INDEX(Bank!$G:$G,B576)="","",INDEX(Bank!$G:$G,B576)))</f>
        <v/>
      </c>
      <c r="D576" s="5" t="str">
        <f aca="false">IF(B576=0,"",IF(INDEX(Bank!$J:$J,B576)="","",INDEX(Bank!$J:$J,B576)))</f>
        <v/>
      </c>
      <c r="E576" s="32" t="str">
        <f aca="false">IF(B576=0,"",INDEX(Bank!$B:$B,B576))</f>
        <v/>
      </c>
      <c r="F576" s="5" t="str">
        <f aca="false">IF(B576=0,"",IF(INDEX(Bank!$C:$C,B576)="","",INDEX(Bank!$C:$C,B576)))</f>
        <v/>
      </c>
      <c r="G576" s="19" t="str">
        <f aca="false">IF(B576=0,"",INDEX(Bank!$E:$E,B576))</f>
        <v/>
      </c>
      <c r="H576" s="5" t="str">
        <f aca="false">IF(B576=0,"",IF(INDEX(Bank!$H:$H,B576)="","",INDEX(Bank!$H:$H,B576)))</f>
        <v/>
      </c>
      <c r="I576" s="5" t="n">
        <f aca="false">IF(H576="",0,IFERROR(MATCH(H576,GL!$A:$A,0),0))</f>
        <v>0</v>
      </c>
      <c r="J576" s="32" t="str">
        <f aca="false">IF(I576=0,"",INDEX(GL!$B:$B,I576))</f>
        <v/>
      </c>
      <c r="K576" s="5" t="str">
        <f aca="false">IF(I576=0,"",IF(INDEX(GL!$C:$C,I576)="","",INDEX(GL!$C:$C,I576)))</f>
        <v/>
      </c>
      <c r="L576" s="19" t="str">
        <f aca="false">IF(I576=0,"",INDEX(GL!$E:$E,I576))</f>
        <v/>
      </c>
      <c r="M576" s="19" t="str">
        <f aca="false">IF(OR(B576=0,I576=0),"",ROUND(G576-L576,2))</f>
        <v/>
      </c>
      <c r="N576" s="5" t="str">
        <f aca="false">IF(A576="","",IF(B576=0,"NOT FOUND: bank ID",IF(I576=0,"NOT FOUND: GL ID",IF(INDEX(GL!$H:$H,I576)&lt;&gt;A576,"BROKEN: GL points elsewhere",IF(OR(INDEX(Bank!$F:$F,B576)&lt;&gt;"Y",INDEX(GL!$F:$F,I576)&lt;&gt;"Y"),"BROKEN: Status not Y","OK")))))</f>
        <v/>
      </c>
    </row>
    <row r="577" customFormat="false" ht="15" hidden="false" customHeight="false" outlineLevel="0" collapsed="false">
      <c r="A577" s="41"/>
      <c r="B577" s="5" t="n">
        <f aca="false">IF(A577="",0,IFERROR(MATCH(A577,Bank!$A:$A,0),0))</f>
        <v>0</v>
      </c>
      <c r="C577" s="5" t="str">
        <f aca="false">IF(B577=0,"",IF(INDEX(Bank!$G:$G,B577)="","",INDEX(Bank!$G:$G,B577)))</f>
        <v/>
      </c>
      <c r="D577" s="5" t="str">
        <f aca="false">IF(B577=0,"",IF(INDEX(Bank!$J:$J,B577)="","",INDEX(Bank!$J:$J,B577)))</f>
        <v/>
      </c>
      <c r="E577" s="32" t="str">
        <f aca="false">IF(B577=0,"",INDEX(Bank!$B:$B,B577))</f>
        <v/>
      </c>
      <c r="F577" s="5" t="str">
        <f aca="false">IF(B577=0,"",IF(INDEX(Bank!$C:$C,B577)="","",INDEX(Bank!$C:$C,B577)))</f>
        <v/>
      </c>
      <c r="G577" s="19" t="str">
        <f aca="false">IF(B577=0,"",INDEX(Bank!$E:$E,B577))</f>
        <v/>
      </c>
      <c r="H577" s="5" t="str">
        <f aca="false">IF(B577=0,"",IF(INDEX(Bank!$H:$H,B577)="","",INDEX(Bank!$H:$H,B577)))</f>
        <v/>
      </c>
      <c r="I577" s="5" t="n">
        <f aca="false">IF(H577="",0,IFERROR(MATCH(H577,GL!$A:$A,0),0))</f>
        <v>0</v>
      </c>
      <c r="J577" s="32" t="str">
        <f aca="false">IF(I577=0,"",INDEX(GL!$B:$B,I577))</f>
        <v/>
      </c>
      <c r="K577" s="5" t="str">
        <f aca="false">IF(I577=0,"",IF(INDEX(GL!$C:$C,I577)="","",INDEX(GL!$C:$C,I577)))</f>
        <v/>
      </c>
      <c r="L577" s="19" t="str">
        <f aca="false">IF(I577=0,"",INDEX(GL!$E:$E,I577))</f>
        <v/>
      </c>
      <c r="M577" s="19" t="str">
        <f aca="false">IF(OR(B577=0,I577=0),"",ROUND(G577-L577,2))</f>
        <v/>
      </c>
      <c r="N577" s="5" t="str">
        <f aca="false">IF(A577="","",IF(B577=0,"NOT FOUND: bank ID",IF(I577=0,"NOT FOUND: GL ID",IF(INDEX(GL!$H:$H,I577)&lt;&gt;A577,"BROKEN: GL points elsewhere",IF(OR(INDEX(Bank!$F:$F,B577)&lt;&gt;"Y",INDEX(GL!$F:$F,I577)&lt;&gt;"Y"),"BROKEN: Status not Y","OK")))))</f>
        <v/>
      </c>
    </row>
    <row r="578" customFormat="false" ht="15" hidden="false" customHeight="false" outlineLevel="0" collapsed="false">
      <c r="A578" s="41"/>
      <c r="B578" s="5" t="n">
        <f aca="false">IF(A578="",0,IFERROR(MATCH(A578,Bank!$A:$A,0),0))</f>
        <v>0</v>
      </c>
      <c r="C578" s="5" t="str">
        <f aca="false">IF(B578=0,"",IF(INDEX(Bank!$G:$G,B578)="","",INDEX(Bank!$G:$G,B578)))</f>
        <v/>
      </c>
      <c r="D578" s="5" t="str">
        <f aca="false">IF(B578=0,"",IF(INDEX(Bank!$J:$J,B578)="","",INDEX(Bank!$J:$J,B578)))</f>
        <v/>
      </c>
      <c r="E578" s="32" t="str">
        <f aca="false">IF(B578=0,"",INDEX(Bank!$B:$B,B578))</f>
        <v/>
      </c>
      <c r="F578" s="5" t="str">
        <f aca="false">IF(B578=0,"",IF(INDEX(Bank!$C:$C,B578)="","",INDEX(Bank!$C:$C,B578)))</f>
        <v/>
      </c>
      <c r="G578" s="19" t="str">
        <f aca="false">IF(B578=0,"",INDEX(Bank!$E:$E,B578))</f>
        <v/>
      </c>
      <c r="H578" s="5" t="str">
        <f aca="false">IF(B578=0,"",IF(INDEX(Bank!$H:$H,B578)="","",INDEX(Bank!$H:$H,B578)))</f>
        <v/>
      </c>
      <c r="I578" s="5" t="n">
        <f aca="false">IF(H578="",0,IFERROR(MATCH(H578,GL!$A:$A,0),0))</f>
        <v>0</v>
      </c>
      <c r="J578" s="32" t="str">
        <f aca="false">IF(I578=0,"",INDEX(GL!$B:$B,I578))</f>
        <v/>
      </c>
      <c r="K578" s="5" t="str">
        <f aca="false">IF(I578=0,"",IF(INDEX(GL!$C:$C,I578)="","",INDEX(GL!$C:$C,I578)))</f>
        <v/>
      </c>
      <c r="L578" s="19" t="str">
        <f aca="false">IF(I578=0,"",INDEX(GL!$E:$E,I578))</f>
        <v/>
      </c>
      <c r="M578" s="19" t="str">
        <f aca="false">IF(OR(B578=0,I578=0),"",ROUND(G578-L578,2))</f>
        <v/>
      </c>
      <c r="N578" s="5" t="str">
        <f aca="false">IF(A578="","",IF(B578=0,"NOT FOUND: bank ID",IF(I578=0,"NOT FOUND: GL ID",IF(INDEX(GL!$H:$H,I578)&lt;&gt;A578,"BROKEN: GL points elsewhere",IF(OR(INDEX(Bank!$F:$F,B578)&lt;&gt;"Y",INDEX(GL!$F:$F,I578)&lt;&gt;"Y"),"BROKEN: Status not Y","OK")))))</f>
        <v/>
      </c>
    </row>
    <row r="579" customFormat="false" ht="15" hidden="false" customHeight="false" outlineLevel="0" collapsed="false">
      <c r="A579" s="41"/>
      <c r="B579" s="5" t="n">
        <f aca="false">IF(A579="",0,IFERROR(MATCH(A579,Bank!$A:$A,0),0))</f>
        <v>0</v>
      </c>
      <c r="C579" s="5" t="str">
        <f aca="false">IF(B579=0,"",IF(INDEX(Bank!$G:$G,B579)="","",INDEX(Bank!$G:$G,B579)))</f>
        <v/>
      </c>
      <c r="D579" s="5" t="str">
        <f aca="false">IF(B579=0,"",IF(INDEX(Bank!$J:$J,B579)="","",INDEX(Bank!$J:$J,B579)))</f>
        <v/>
      </c>
      <c r="E579" s="32" t="str">
        <f aca="false">IF(B579=0,"",INDEX(Bank!$B:$B,B579))</f>
        <v/>
      </c>
      <c r="F579" s="5" t="str">
        <f aca="false">IF(B579=0,"",IF(INDEX(Bank!$C:$C,B579)="","",INDEX(Bank!$C:$C,B579)))</f>
        <v/>
      </c>
      <c r="G579" s="19" t="str">
        <f aca="false">IF(B579=0,"",INDEX(Bank!$E:$E,B579))</f>
        <v/>
      </c>
      <c r="H579" s="5" t="str">
        <f aca="false">IF(B579=0,"",IF(INDEX(Bank!$H:$H,B579)="","",INDEX(Bank!$H:$H,B579)))</f>
        <v/>
      </c>
      <c r="I579" s="5" t="n">
        <f aca="false">IF(H579="",0,IFERROR(MATCH(H579,GL!$A:$A,0),0))</f>
        <v>0</v>
      </c>
      <c r="J579" s="32" t="str">
        <f aca="false">IF(I579=0,"",INDEX(GL!$B:$B,I579))</f>
        <v/>
      </c>
      <c r="K579" s="5" t="str">
        <f aca="false">IF(I579=0,"",IF(INDEX(GL!$C:$C,I579)="","",INDEX(GL!$C:$C,I579)))</f>
        <v/>
      </c>
      <c r="L579" s="19" t="str">
        <f aca="false">IF(I579=0,"",INDEX(GL!$E:$E,I579))</f>
        <v/>
      </c>
      <c r="M579" s="19" t="str">
        <f aca="false">IF(OR(B579=0,I579=0),"",ROUND(G579-L579,2))</f>
        <v/>
      </c>
      <c r="N579" s="5" t="str">
        <f aca="false">IF(A579="","",IF(B579=0,"NOT FOUND: bank ID",IF(I579=0,"NOT FOUND: GL ID",IF(INDEX(GL!$H:$H,I579)&lt;&gt;A579,"BROKEN: GL points elsewhere",IF(OR(INDEX(Bank!$F:$F,B579)&lt;&gt;"Y",INDEX(GL!$F:$F,I579)&lt;&gt;"Y"),"BROKEN: Status not Y","OK")))))</f>
        <v/>
      </c>
    </row>
    <row r="580" customFormat="false" ht="15" hidden="false" customHeight="false" outlineLevel="0" collapsed="false">
      <c r="A580" s="41"/>
      <c r="B580" s="5" t="n">
        <f aca="false">IF(A580="",0,IFERROR(MATCH(A580,Bank!$A:$A,0),0))</f>
        <v>0</v>
      </c>
      <c r="C580" s="5" t="str">
        <f aca="false">IF(B580=0,"",IF(INDEX(Bank!$G:$G,B580)="","",INDEX(Bank!$G:$G,B580)))</f>
        <v/>
      </c>
      <c r="D580" s="5" t="str">
        <f aca="false">IF(B580=0,"",IF(INDEX(Bank!$J:$J,B580)="","",INDEX(Bank!$J:$J,B580)))</f>
        <v/>
      </c>
      <c r="E580" s="32" t="str">
        <f aca="false">IF(B580=0,"",INDEX(Bank!$B:$B,B580))</f>
        <v/>
      </c>
      <c r="F580" s="5" t="str">
        <f aca="false">IF(B580=0,"",IF(INDEX(Bank!$C:$C,B580)="","",INDEX(Bank!$C:$C,B580)))</f>
        <v/>
      </c>
      <c r="G580" s="19" t="str">
        <f aca="false">IF(B580=0,"",INDEX(Bank!$E:$E,B580))</f>
        <v/>
      </c>
      <c r="H580" s="5" t="str">
        <f aca="false">IF(B580=0,"",IF(INDEX(Bank!$H:$H,B580)="","",INDEX(Bank!$H:$H,B580)))</f>
        <v/>
      </c>
      <c r="I580" s="5" t="n">
        <f aca="false">IF(H580="",0,IFERROR(MATCH(H580,GL!$A:$A,0),0))</f>
        <v>0</v>
      </c>
      <c r="J580" s="32" t="str">
        <f aca="false">IF(I580=0,"",INDEX(GL!$B:$B,I580))</f>
        <v/>
      </c>
      <c r="K580" s="5" t="str">
        <f aca="false">IF(I580=0,"",IF(INDEX(GL!$C:$C,I580)="","",INDEX(GL!$C:$C,I580)))</f>
        <v/>
      </c>
      <c r="L580" s="19" t="str">
        <f aca="false">IF(I580=0,"",INDEX(GL!$E:$E,I580))</f>
        <v/>
      </c>
      <c r="M580" s="19" t="str">
        <f aca="false">IF(OR(B580=0,I580=0),"",ROUND(G580-L580,2))</f>
        <v/>
      </c>
      <c r="N580" s="5" t="str">
        <f aca="false">IF(A580="","",IF(B580=0,"NOT FOUND: bank ID",IF(I580=0,"NOT FOUND: GL ID",IF(INDEX(GL!$H:$H,I580)&lt;&gt;A580,"BROKEN: GL points elsewhere",IF(OR(INDEX(Bank!$F:$F,B580)&lt;&gt;"Y",INDEX(GL!$F:$F,I580)&lt;&gt;"Y"),"BROKEN: Status not Y","OK")))))</f>
        <v/>
      </c>
    </row>
    <row r="581" customFormat="false" ht="15" hidden="false" customHeight="false" outlineLevel="0" collapsed="false">
      <c r="A581" s="41"/>
      <c r="B581" s="5" t="n">
        <f aca="false">IF(A581="",0,IFERROR(MATCH(A581,Bank!$A:$A,0),0))</f>
        <v>0</v>
      </c>
      <c r="C581" s="5" t="str">
        <f aca="false">IF(B581=0,"",IF(INDEX(Bank!$G:$G,B581)="","",INDEX(Bank!$G:$G,B581)))</f>
        <v/>
      </c>
      <c r="D581" s="5" t="str">
        <f aca="false">IF(B581=0,"",IF(INDEX(Bank!$J:$J,B581)="","",INDEX(Bank!$J:$J,B581)))</f>
        <v/>
      </c>
      <c r="E581" s="32" t="str">
        <f aca="false">IF(B581=0,"",INDEX(Bank!$B:$B,B581))</f>
        <v/>
      </c>
      <c r="F581" s="5" t="str">
        <f aca="false">IF(B581=0,"",IF(INDEX(Bank!$C:$C,B581)="","",INDEX(Bank!$C:$C,B581)))</f>
        <v/>
      </c>
      <c r="G581" s="19" t="str">
        <f aca="false">IF(B581=0,"",INDEX(Bank!$E:$E,B581))</f>
        <v/>
      </c>
      <c r="H581" s="5" t="str">
        <f aca="false">IF(B581=0,"",IF(INDEX(Bank!$H:$H,B581)="","",INDEX(Bank!$H:$H,B581)))</f>
        <v/>
      </c>
      <c r="I581" s="5" t="n">
        <f aca="false">IF(H581="",0,IFERROR(MATCH(H581,GL!$A:$A,0),0))</f>
        <v>0</v>
      </c>
      <c r="J581" s="32" t="str">
        <f aca="false">IF(I581=0,"",INDEX(GL!$B:$B,I581))</f>
        <v/>
      </c>
      <c r="K581" s="5" t="str">
        <f aca="false">IF(I581=0,"",IF(INDEX(GL!$C:$C,I581)="","",INDEX(GL!$C:$C,I581)))</f>
        <v/>
      </c>
      <c r="L581" s="19" t="str">
        <f aca="false">IF(I581=0,"",INDEX(GL!$E:$E,I581))</f>
        <v/>
      </c>
      <c r="M581" s="19" t="str">
        <f aca="false">IF(OR(B581=0,I581=0),"",ROUND(G581-L581,2))</f>
        <v/>
      </c>
      <c r="N581" s="5" t="str">
        <f aca="false">IF(A581="","",IF(B581=0,"NOT FOUND: bank ID",IF(I581=0,"NOT FOUND: GL ID",IF(INDEX(GL!$H:$H,I581)&lt;&gt;A581,"BROKEN: GL points elsewhere",IF(OR(INDEX(Bank!$F:$F,B581)&lt;&gt;"Y",INDEX(GL!$F:$F,I581)&lt;&gt;"Y"),"BROKEN: Status not Y","OK")))))</f>
        <v/>
      </c>
    </row>
    <row r="582" customFormat="false" ht="15" hidden="false" customHeight="false" outlineLevel="0" collapsed="false">
      <c r="A582" s="41"/>
      <c r="B582" s="5" t="n">
        <f aca="false">IF(A582="",0,IFERROR(MATCH(A582,Bank!$A:$A,0),0))</f>
        <v>0</v>
      </c>
      <c r="C582" s="5" t="str">
        <f aca="false">IF(B582=0,"",IF(INDEX(Bank!$G:$G,B582)="","",INDEX(Bank!$G:$G,B582)))</f>
        <v/>
      </c>
      <c r="D582" s="5" t="str">
        <f aca="false">IF(B582=0,"",IF(INDEX(Bank!$J:$J,B582)="","",INDEX(Bank!$J:$J,B582)))</f>
        <v/>
      </c>
      <c r="E582" s="32" t="str">
        <f aca="false">IF(B582=0,"",INDEX(Bank!$B:$B,B582))</f>
        <v/>
      </c>
      <c r="F582" s="5" t="str">
        <f aca="false">IF(B582=0,"",IF(INDEX(Bank!$C:$C,B582)="","",INDEX(Bank!$C:$C,B582)))</f>
        <v/>
      </c>
      <c r="G582" s="19" t="str">
        <f aca="false">IF(B582=0,"",INDEX(Bank!$E:$E,B582))</f>
        <v/>
      </c>
      <c r="H582" s="5" t="str">
        <f aca="false">IF(B582=0,"",IF(INDEX(Bank!$H:$H,B582)="","",INDEX(Bank!$H:$H,B582)))</f>
        <v/>
      </c>
      <c r="I582" s="5" t="n">
        <f aca="false">IF(H582="",0,IFERROR(MATCH(H582,GL!$A:$A,0),0))</f>
        <v>0</v>
      </c>
      <c r="J582" s="32" t="str">
        <f aca="false">IF(I582=0,"",INDEX(GL!$B:$B,I582))</f>
        <v/>
      </c>
      <c r="K582" s="5" t="str">
        <f aca="false">IF(I582=0,"",IF(INDEX(GL!$C:$C,I582)="","",INDEX(GL!$C:$C,I582)))</f>
        <v/>
      </c>
      <c r="L582" s="19" t="str">
        <f aca="false">IF(I582=0,"",INDEX(GL!$E:$E,I582))</f>
        <v/>
      </c>
      <c r="M582" s="19" t="str">
        <f aca="false">IF(OR(B582=0,I582=0),"",ROUND(G582-L582,2))</f>
        <v/>
      </c>
      <c r="N582" s="5" t="str">
        <f aca="false">IF(A582="","",IF(B582=0,"NOT FOUND: bank ID",IF(I582=0,"NOT FOUND: GL ID",IF(INDEX(GL!$H:$H,I582)&lt;&gt;A582,"BROKEN: GL points elsewhere",IF(OR(INDEX(Bank!$F:$F,B582)&lt;&gt;"Y",INDEX(GL!$F:$F,I582)&lt;&gt;"Y"),"BROKEN: Status not Y","OK")))))</f>
        <v/>
      </c>
    </row>
    <row r="583" customFormat="false" ht="15" hidden="false" customHeight="false" outlineLevel="0" collapsed="false">
      <c r="A583" s="41"/>
      <c r="B583" s="5" t="n">
        <f aca="false">IF(A583="",0,IFERROR(MATCH(A583,Bank!$A:$A,0),0))</f>
        <v>0</v>
      </c>
      <c r="C583" s="5" t="str">
        <f aca="false">IF(B583=0,"",IF(INDEX(Bank!$G:$G,B583)="","",INDEX(Bank!$G:$G,B583)))</f>
        <v/>
      </c>
      <c r="D583" s="5" t="str">
        <f aca="false">IF(B583=0,"",IF(INDEX(Bank!$J:$J,B583)="","",INDEX(Bank!$J:$J,B583)))</f>
        <v/>
      </c>
      <c r="E583" s="32" t="str">
        <f aca="false">IF(B583=0,"",INDEX(Bank!$B:$B,B583))</f>
        <v/>
      </c>
      <c r="F583" s="5" t="str">
        <f aca="false">IF(B583=0,"",IF(INDEX(Bank!$C:$C,B583)="","",INDEX(Bank!$C:$C,B583)))</f>
        <v/>
      </c>
      <c r="G583" s="19" t="str">
        <f aca="false">IF(B583=0,"",INDEX(Bank!$E:$E,B583))</f>
        <v/>
      </c>
      <c r="H583" s="5" t="str">
        <f aca="false">IF(B583=0,"",IF(INDEX(Bank!$H:$H,B583)="","",INDEX(Bank!$H:$H,B583)))</f>
        <v/>
      </c>
      <c r="I583" s="5" t="n">
        <f aca="false">IF(H583="",0,IFERROR(MATCH(H583,GL!$A:$A,0),0))</f>
        <v>0</v>
      </c>
      <c r="J583" s="32" t="str">
        <f aca="false">IF(I583=0,"",INDEX(GL!$B:$B,I583))</f>
        <v/>
      </c>
      <c r="K583" s="5" t="str">
        <f aca="false">IF(I583=0,"",IF(INDEX(GL!$C:$C,I583)="","",INDEX(GL!$C:$C,I583)))</f>
        <v/>
      </c>
      <c r="L583" s="19" t="str">
        <f aca="false">IF(I583=0,"",INDEX(GL!$E:$E,I583))</f>
        <v/>
      </c>
      <c r="M583" s="19" t="str">
        <f aca="false">IF(OR(B583=0,I583=0),"",ROUND(G583-L583,2))</f>
        <v/>
      </c>
      <c r="N583" s="5" t="str">
        <f aca="false">IF(A583="","",IF(B583=0,"NOT FOUND: bank ID",IF(I583=0,"NOT FOUND: GL ID",IF(INDEX(GL!$H:$H,I583)&lt;&gt;A583,"BROKEN: GL points elsewhere",IF(OR(INDEX(Bank!$F:$F,B583)&lt;&gt;"Y",INDEX(GL!$F:$F,I583)&lt;&gt;"Y"),"BROKEN: Status not Y","OK")))))</f>
        <v/>
      </c>
    </row>
    <row r="584" customFormat="false" ht="15" hidden="false" customHeight="false" outlineLevel="0" collapsed="false">
      <c r="A584" s="41"/>
      <c r="B584" s="5" t="n">
        <f aca="false">IF(A584="",0,IFERROR(MATCH(A584,Bank!$A:$A,0),0))</f>
        <v>0</v>
      </c>
      <c r="C584" s="5" t="str">
        <f aca="false">IF(B584=0,"",IF(INDEX(Bank!$G:$G,B584)="","",INDEX(Bank!$G:$G,B584)))</f>
        <v/>
      </c>
      <c r="D584" s="5" t="str">
        <f aca="false">IF(B584=0,"",IF(INDEX(Bank!$J:$J,B584)="","",INDEX(Bank!$J:$J,B584)))</f>
        <v/>
      </c>
      <c r="E584" s="32" t="str">
        <f aca="false">IF(B584=0,"",INDEX(Bank!$B:$B,B584))</f>
        <v/>
      </c>
      <c r="F584" s="5" t="str">
        <f aca="false">IF(B584=0,"",IF(INDEX(Bank!$C:$C,B584)="","",INDEX(Bank!$C:$C,B584)))</f>
        <v/>
      </c>
      <c r="G584" s="19" t="str">
        <f aca="false">IF(B584=0,"",INDEX(Bank!$E:$E,B584))</f>
        <v/>
      </c>
      <c r="H584" s="5" t="str">
        <f aca="false">IF(B584=0,"",IF(INDEX(Bank!$H:$H,B584)="","",INDEX(Bank!$H:$H,B584)))</f>
        <v/>
      </c>
      <c r="I584" s="5" t="n">
        <f aca="false">IF(H584="",0,IFERROR(MATCH(H584,GL!$A:$A,0),0))</f>
        <v>0</v>
      </c>
      <c r="J584" s="32" t="str">
        <f aca="false">IF(I584=0,"",INDEX(GL!$B:$B,I584))</f>
        <v/>
      </c>
      <c r="K584" s="5" t="str">
        <f aca="false">IF(I584=0,"",IF(INDEX(GL!$C:$C,I584)="","",INDEX(GL!$C:$C,I584)))</f>
        <v/>
      </c>
      <c r="L584" s="19" t="str">
        <f aca="false">IF(I584=0,"",INDEX(GL!$E:$E,I584))</f>
        <v/>
      </c>
      <c r="M584" s="19" t="str">
        <f aca="false">IF(OR(B584=0,I584=0),"",ROUND(G584-L584,2))</f>
        <v/>
      </c>
      <c r="N584" s="5" t="str">
        <f aca="false">IF(A584="","",IF(B584=0,"NOT FOUND: bank ID",IF(I584=0,"NOT FOUND: GL ID",IF(INDEX(GL!$H:$H,I584)&lt;&gt;A584,"BROKEN: GL points elsewhere",IF(OR(INDEX(Bank!$F:$F,B584)&lt;&gt;"Y",INDEX(GL!$F:$F,I584)&lt;&gt;"Y"),"BROKEN: Status not Y","OK")))))</f>
        <v/>
      </c>
    </row>
    <row r="585" customFormat="false" ht="15" hidden="false" customHeight="false" outlineLevel="0" collapsed="false">
      <c r="A585" s="41"/>
      <c r="B585" s="5" t="n">
        <f aca="false">IF(A585="",0,IFERROR(MATCH(A585,Bank!$A:$A,0),0))</f>
        <v>0</v>
      </c>
      <c r="C585" s="5" t="str">
        <f aca="false">IF(B585=0,"",IF(INDEX(Bank!$G:$G,B585)="","",INDEX(Bank!$G:$G,B585)))</f>
        <v/>
      </c>
      <c r="D585" s="5" t="str">
        <f aca="false">IF(B585=0,"",IF(INDEX(Bank!$J:$J,B585)="","",INDEX(Bank!$J:$J,B585)))</f>
        <v/>
      </c>
      <c r="E585" s="32" t="str">
        <f aca="false">IF(B585=0,"",INDEX(Bank!$B:$B,B585))</f>
        <v/>
      </c>
      <c r="F585" s="5" t="str">
        <f aca="false">IF(B585=0,"",IF(INDEX(Bank!$C:$C,B585)="","",INDEX(Bank!$C:$C,B585)))</f>
        <v/>
      </c>
      <c r="G585" s="19" t="str">
        <f aca="false">IF(B585=0,"",INDEX(Bank!$E:$E,B585))</f>
        <v/>
      </c>
      <c r="H585" s="5" t="str">
        <f aca="false">IF(B585=0,"",IF(INDEX(Bank!$H:$H,B585)="","",INDEX(Bank!$H:$H,B585)))</f>
        <v/>
      </c>
      <c r="I585" s="5" t="n">
        <f aca="false">IF(H585="",0,IFERROR(MATCH(H585,GL!$A:$A,0),0))</f>
        <v>0</v>
      </c>
      <c r="J585" s="32" t="str">
        <f aca="false">IF(I585=0,"",INDEX(GL!$B:$B,I585))</f>
        <v/>
      </c>
      <c r="K585" s="5" t="str">
        <f aca="false">IF(I585=0,"",IF(INDEX(GL!$C:$C,I585)="","",INDEX(GL!$C:$C,I585)))</f>
        <v/>
      </c>
      <c r="L585" s="19" t="str">
        <f aca="false">IF(I585=0,"",INDEX(GL!$E:$E,I585))</f>
        <v/>
      </c>
      <c r="M585" s="19" t="str">
        <f aca="false">IF(OR(B585=0,I585=0),"",ROUND(G585-L585,2))</f>
        <v/>
      </c>
      <c r="N585" s="5" t="str">
        <f aca="false">IF(A585="","",IF(B585=0,"NOT FOUND: bank ID",IF(I585=0,"NOT FOUND: GL ID",IF(INDEX(GL!$H:$H,I585)&lt;&gt;A585,"BROKEN: GL points elsewhere",IF(OR(INDEX(Bank!$F:$F,B585)&lt;&gt;"Y",INDEX(GL!$F:$F,I585)&lt;&gt;"Y"),"BROKEN: Status not Y","OK")))))</f>
        <v/>
      </c>
    </row>
    <row r="586" customFormat="false" ht="15" hidden="false" customHeight="false" outlineLevel="0" collapsed="false">
      <c r="A586" s="41"/>
      <c r="B586" s="5" t="n">
        <f aca="false">IF(A586="",0,IFERROR(MATCH(A586,Bank!$A:$A,0),0))</f>
        <v>0</v>
      </c>
      <c r="C586" s="5" t="str">
        <f aca="false">IF(B586=0,"",IF(INDEX(Bank!$G:$G,B586)="","",INDEX(Bank!$G:$G,B586)))</f>
        <v/>
      </c>
      <c r="D586" s="5" t="str">
        <f aca="false">IF(B586=0,"",IF(INDEX(Bank!$J:$J,B586)="","",INDEX(Bank!$J:$J,B586)))</f>
        <v/>
      </c>
      <c r="E586" s="32" t="str">
        <f aca="false">IF(B586=0,"",INDEX(Bank!$B:$B,B586))</f>
        <v/>
      </c>
      <c r="F586" s="5" t="str">
        <f aca="false">IF(B586=0,"",IF(INDEX(Bank!$C:$C,B586)="","",INDEX(Bank!$C:$C,B586)))</f>
        <v/>
      </c>
      <c r="G586" s="19" t="str">
        <f aca="false">IF(B586=0,"",INDEX(Bank!$E:$E,B586))</f>
        <v/>
      </c>
      <c r="H586" s="5" t="str">
        <f aca="false">IF(B586=0,"",IF(INDEX(Bank!$H:$H,B586)="","",INDEX(Bank!$H:$H,B586)))</f>
        <v/>
      </c>
      <c r="I586" s="5" t="n">
        <f aca="false">IF(H586="",0,IFERROR(MATCH(H586,GL!$A:$A,0),0))</f>
        <v>0</v>
      </c>
      <c r="J586" s="32" t="str">
        <f aca="false">IF(I586=0,"",INDEX(GL!$B:$B,I586))</f>
        <v/>
      </c>
      <c r="K586" s="5" t="str">
        <f aca="false">IF(I586=0,"",IF(INDEX(GL!$C:$C,I586)="","",INDEX(GL!$C:$C,I586)))</f>
        <v/>
      </c>
      <c r="L586" s="19" t="str">
        <f aca="false">IF(I586=0,"",INDEX(GL!$E:$E,I586))</f>
        <v/>
      </c>
      <c r="M586" s="19" t="str">
        <f aca="false">IF(OR(B586=0,I586=0),"",ROUND(G586-L586,2))</f>
        <v/>
      </c>
      <c r="N586" s="5" t="str">
        <f aca="false">IF(A586="","",IF(B586=0,"NOT FOUND: bank ID",IF(I586=0,"NOT FOUND: GL ID",IF(INDEX(GL!$H:$H,I586)&lt;&gt;A586,"BROKEN: GL points elsewhere",IF(OR(INDEX(Bank!$F:$F,B586)&lt;&gt;"Y",INDEX(GL!$F:$F,I586)&lt;&gt;"Y"),"BROKEN: Status not Y","OK")))))</f>
        <v/>
      </c>
    </row>
    <row r="587" customFormat="false" ht="15" hidden="false" customHeight="false" outlineLevel="0" collapsed="false">
      <c r="A587" s="41"/>
      <c r="B587" s="5" t="n">
        <f aca="false">IF(A587="",0,IFERROR(MATCH(A587,Bank!$A:$A,0),0))</f>
        <v>0</v>
      </c>
      <c r="C587" s="5" t="str">
        <f aca="false">IF(B587=0,"",IF(INDEX(Bank!$G:$G,B587)="","",INDEX(Bank!$G:$G,B587)))</f>
        <v/>
      </c>
      <c r="D587" s="5" t="str">
        <f aca="false">IF(B587=0,"",IF(INDEX(Bank!$J:$J,B587)="","",INDEX(Bank!$J:$J,B587)))</f>
        <v/>
      </c>
      <c r="E587" s="32" t="str">
        <f aca="false">IF(B587=0,"",INDEX(Bank!$B:$B,B587))</f>
        <v/>
      </c>
      <c r="F587" s="5" t="str">
        <f aca="false">IF(B587=0,"",IF(INDEX(Bank!$C:$C,B587)="","",INDEX(Bank!$C:$C,B587)))</f>
        <v/>
      </c>
      <c r="G587" s="19" t="str">
        <f aca="false">IF(B587=0,"",INDEX(Bank!$E:$E,B587))</f>
        <v/>
      </c>
      <c r="H587" s="5" t="str">
        <f aca="false">IF(B587=0,"",IF(INDEX(Bank!$H:$H,B587)="","",INDEX(Bank!$H:$H,B587)))</f>
        <v/>
      </c>
      <c r="I587" s="5" t="n">
        <f aca="false">IF(H587="",0,IFERROR(MATCH(H587,GL!$A:$A,0),0))</f>
        <v>0</v>
      </c>
      <c r="J587" s="32" t="str">
        <f aca="false">IF(I587=0,"",INDEX(GL!$B:$B,I587))</f>
        <v/>
      </c>
      <c r="K587" s="5" t="str">
        <f aca="false">IF(I587=0,"",IF(INDEX(GL!$C:$C,I587)="","",INDEX(GL!$C:$C,I587)))</f>
        <v/>
      </c>
      <c r="L587" s="19" t="str">
        <f aca="false">IF(I587=0,"",INDEX(GL!$E:$E,I587))</f>
        <v/>
      </c>
      <c r="M587" s="19" t="str">
        <f aca="false">IF(OR(B587=0,I587=0),"",ROUND(G587-L587,2))</f>
        <v/>
      </c>
      <c r="N587" s="5" t="str">
        <f aca="false">IF(A587="","",IF(B587=0,"NOT FOUND: bank ID",IF(I587=0,"NOT FOUND: GL ID",IF(INDEX(GL!$H:$H,I587)&lt;&gt;A587,"BROKEN: GL points elsewhere",IF(OR(INDEX(Bank!$F:$F,B587)&lt;&gt;"Y",INDEX(GL!$F:$F,I587)&lt;&gt;"Y"),"BROKEN: Status not Y","OK")))))</f>
        <v/>
      </c>
    </row>
    <row r="588" customFormat="false" ht="15" hidden="false" customHeight="false" outlineLevel="0" collapsed="false">
      <c r="A588" s="41"/>
      <c r="B588" s="5" t="n">
        <f aca="false">IF(A588="",0,IFERROR(MATCH(A588,Bank!$A:$A,0),0))</f>
        <v>0</v>
      </c>
      <c r="C588" s="5" t="str">
        <f aca="false">IF(B588=0,"",IF(INDEX(Bank!$G:$G,B588)="","",INDEX(Bank!$G:$G,B588)))</f>
        <v/>
      </c>
      <c r="D588" s="5" t="str">
        <f aca="false">IF(B588=0,"",IF(INDEX(Bank!$J:$J,B588)="","",INDEX(Bank!$J:$J,B588)))</f>
        <v/>
      </c>
      <c r="E588" s="32" t="str">
        <f aca="false">IF(B588=0,"",INDEX(Bank!$B:$B,B588))</f>
        <v/>
      </c>
      <c r="F588" s="5" t="str">
        <f aca="false">IF(B588=0,"",IF(INDEX(Bank!$C:$C,B588)="","",INDEX(Bank!$C:$C,B588)))</f>
        <v/>
      </c>
      <c r="G588" s="19" t="str">
        <f aca="false">IF(B588=0,"",INDEX(Bank!$E:$E,B588))</f>
        <v/>
      </c>
      <c r="H588" s="5" t="str">
        <f aca="false">IF(B588=0,"",IF(INDEX(Bank!$H:$H,B588)="","",INDEX(Bank!$H:$H,B588)))</f>
        <v/>
      </c>
      <c r="I588" s="5" t="n">
        <f aca="false">IF(H588="",0,IFERROR(MATCH(H588,GL!$A:$A,0),0))</f>
        <v>0</v>
      </c>
      <c r="J588" s="32" t="str">
        <f aca="false">IF(I588=0,"",INDEX(GL!$B:$B,I588))</f>
        <v/>
      </c>
      <c r="K588" s="5" t="str">
        <f aca="false">IF(I588=0,"",IF(INDEX(GL!$C:$C,I588)="","",INDEX(GL!$C:$C,I588)))</f>
        <v/>
      </c>
      <c r="L588" s="19" t="str">
        <f aca="false">IF(I588=0,"",INDEX(GL!$E:$E,I588))</f>
        <v/>
      </c>
      <c r="M588" s="19" t="str">
        <f aca="false">IF(OR(B588=0,I588=0),"",ROUND(G588-L588,2))</f>
        <v/>
      </c>
      <c r="N588" s="5" t="str">
        <f aca="false">IF(A588="","",IF(B588=0,"NOT FOUND: bank ID",IF(I588=0,"NOT FOUND: GL ID",IF(INDEX(GL!$H:$H,I588)&lt;&gt;A588,"BROKEN: GL points elsewhere",IF(OR(INDEX(Bank!$F:$F,B588)&lt;&gt;"Y",INDEX(GL!$F:$F,I588)&lt;&gt;"Y"),"BROKEN: Status not Y","OK")))))</f>
        <v/>
      </c>
    </row>
    <row r="589" customFormat="false" ht="15" hidden="false" customHeight="false" outlineLevel="0" collapsed="false">
      <c r="A589" s="41"/>
      <c r="B589" s="5" t="n">
        <f aca="false">IF(A589="",0,IFERROR(MATCH(A589,Bank!$A:$A,0),0))</f>
        <v>0</v>
      </c>
      <c r="C589" s="5" t="str">
        <f aca="false">IF(B589=0,"",IF(INDEX(Bank!$G:$G,B589)="","",INDEX(Bank!$G:$G,B589)))</f>
        <v/>
      </c>
      <c r="D589" s="5" t="str">
        <f aca="false">IF(B589=0,"",IF(INDEX(Bank!$J:$J,B589)="","",INDEX(Bank!$J:$J,B589)))</f>
        <v/>
      </c>
      <c r="E589" s="32" t="str">
        <f aca="false">IF(B589=0,"",INDEX(Bank!$B:$B,B589))</f>
        <v/>
      </c>
      <c r="F589" s="5" t="str">
        <f aca="false">IF(B589=0,"",IF(INDEX(Bank!$C:$C,B589)="","",INDEX(Bank!$C:$C,B589)))</f>
        <v/>
      </c>
      <c r="G589" s="19" t="str">
        <f aca="false">IF(B589=0,"",INDEX(Bank!$E:$E,B589))</f>
        <v/>
      </c>
      <c r="H589" s="5" t="str">
        <f aca="false">IF(B589=0,"",IF(INDEX(Bank!$H:$H,B589)="","",INDEX(Bank!$H:$H,B589)))</f>
        <v/>
      </c>
      <c r="I589" s="5" t="n">
        <f aca="false">IF(H589="",0,IFERROR(MATCH(H589,GL!$A:$A,0),0))</f>
        <v>0</v>
      </c>
      <c r="J589" s="32" t="str">
        <f aca="false">IF(I589=0,"",INDEX(GL!$B:$B,I589))</f>
        <v/>
      </c>
      <c r="K589" s="5" t="str">
        <f aca="false">IF(I589=0,"",IF(INDEX(GL!$C:$C,I589)="","",INDEX(GL!$C:$C,I589)))</f>
        <v/>
      </c>
      <c r="L589" s="19" t="str">
        <f aca="false">IF(I589=0,"",INDEX(GL!$E:$E,I589))</f>
        <v/>
      </c>
      <c r="M589" s="19" t="str">
        <f aca="false">IF(OR(B589=0,I589=0),"",ROUND(G589-L589,2))</f>
        <v/>
      </c>
      <c r="N589" s="5" t="str">
        <f aca="false">IF(A589="","",IF(B589=0,"NOT FOUND: bank ID",IF(I589=0,"NOT FOUND: GL ID",IF(INDEX(GL!$H:$H,I589)&lt;&gt;A589,"BROKEN: GL points elsewhere",IF(OR(INDEX(Bank!$F:$F,B589)&lt;&gt;"Y",INDEX(GL!$F:$F,I589)&lt;&gt;"Y"),"BROKEN: Status not Y","OK")))))</f>
        <v/>
      </c>
    </row>
    <row r="590" customFormat="false" ht="15" hidden="false" customHeight="false" outlineLevel="0" collapsed="false">
      <c r="A590" s="41"/>
      <c r="B590" s="5" t="n">
        <f aca="false">IF(A590="",0,IFERROR(MATCH(A590,Bank!$A:$A,0),0))</f>
        <v>0</v>
      </c>
      <c r="C590" s="5" t="str">
        <f aca="false">IF(B590=0,"",IF(INDEX(Bank!$G:$G,B590)="","",INDEX(Bank!$G:$G,B590)))</f>
        <v/>
      </c>
      <c r="D590" s="5" t="str">
        <f aca="false">IF(B590=0,"",IF(INDEX(Bank!$J:$J,B590)="","",INDEX(Bank!$J:$J,B590)))</f>
        <v/>
      </c>
      <c r="E590" s="32" t="str">
        <f aca="false">IF(B590=0,"",INDEX(Bank!$B:$B,B590))</f>
        <v/>
      </c>
      <c r="F590" s="5" t="str">
        <f aca="false">IF(B590=0,"",IF(INDEX(Bank!$C:$C,B590)="","",INDEX(Bank!$C:$C,B590)))</f>
        <v/>
      </c>
      <c r="G590" s="19" t="str">
        <f aca="false">IF(B590=0,"",INDEX(Bank!$E:$E,B590))</f>
        <v/>
      </c>
      <c r="H590" s="5" t="str">
        <f aca="false">IF(B590=0,"",IF(INDEX(Bank!$H:$H,B590)="","",INDEX(Bank!$H:$H,B590)))</f>
        <v/>
      </c>
      <c r="I590" s="5" t="n">
        <f aca="false">IF(H590="",0,IFERROR(MATCH(H590,GL!$A:$A,0),0))</f>
        <v>0</v>
      </c>
      <c r="J590" s="32" t="str">
        <f aca="false">IF(I590=0,"",INDEX(GL!$B:$B,I590))</f>
        <v/>
      </c>
      <c r="K590" s="5" t="str">
        <f aca="false">IF(I590=0,"",IF(INDEX(GL!$C:$C,I590)="","",INDEX(GL!$C:$C,I590)))</f>
        <v/>
      </c>
      <c r="L590" s="19" t="str">
        <f aca="false">IF(I590=0,"",INDEX(GL!$E:$E,I590))</f>
        <v/>
      </c>
      <c r="M590" s="19" t="str">
        <f aca="false">IF(OR(B590=0,I590=0),"",ROUND(G590-L590,2))</f>
        <v/>
      </c>
      <c r="N590" s="5" t="str">
        <f aca="false">IF(A590="","",IF(B590=0,"NOT FOUND: bank ID",IF(I590=0,"NOT FOUND: GL ID",IF(INDEX(GL!$H:$H,I590)&lt;&gt;A590,"BROKEN: GL points elsewhere",IF(OR(INDEX(Bank!$F:$F,B590)&lt;&gt;"Y",INDEX(GL!$F:$F,I590)&lt;&gt;"Y"),"BROKEN: Status not Y","OK")))))</f>
        <v/>
      </c>
    </row>
    <row r="591" customFormat="false" ht="15" hidden="false" customHeight="false" outlineLevel="0" collapsed="false">
      <c r="A591" s="41"/>
      <c r="B591" s="5" t="n">
        <f aca="false">IF(A591="",0,IFERROR(MATCH(A591,Bank!$A:$A,0),0))</f>
        <v>0</v>
      </c>
      <c r="C591" s="5" t="str">
        <f aca="false">IF(B591=0,"",IF(INDEX(Bank!$G:$G,B591)="","",INDEX(Bank!$G:$G,B591)))</f>
        <v/>
      </c>
      <c r="D591" s="5" t="str">
        <f aca="false">IF(B591=0,"",IF(INDEX(Bank!$J:$J,B591)="","",INDEX(Bank!$J:$J,B591)))</f>
        <v/>
      </c>
      <c r="E591" s="32" t="str">
        <f aca="false">IF(B591=0,"",INDEX(Bank!$B:$B,B591))</f>
        <v/>
      </c>
      <c r="F591" s="5" t="str">
        <f aca="false">IF(B591=0,"",IF(INDEX(Bank!$C:$C,B591)="","",INDEX(Bank!$C:$C,B591)))</f>
        <v/>
      </c>
      <c r="G591" s="19" t="str">
        <f aca="false">IF(B591=0,"",INDEX(Bank!$E:$E,B591))</f>
        <v/>
      </c>
      <c r="H591" s="5" t="str">
        <f aca="false">IF(B591=0,"",IF(INDEX(Bank!$H:$H,B591)="","",INDEX(Bank!$H:$H,B591)))</f>
        <v/>
      </c>
      <c r="I591" s="5" t="n">
        <f aca="false">IF(H591="",0,IFERROR(MATCH(H591,GL!$A:$A,0),0))</f>
        <v>0</v>
      </c>
      <c r="J591" s="32" t="str">
        <f aca="false">IF(I591=0,"",INDEX(GL!$B:$B,I591))</f>
        <v/>
      </c>
      <c r="K591" s="5" t="str">
        <f aca="false">IF(I591=0,"",IF(INDEX(GL!$C:$C,I591)="","",INDEX(GL!$C:$C,I591)))</f>
        <v/>
      </c>
      <c r="L591" s="19" t="str">
        <f aca="false">IF(I591=0,"",INDEX(GL!$E:$E,I591))</f>
        <v/>
      </c>
      <c r="M591" s="19" t="str">
        <f aca="false">IF(OR(B591=0,I591=0),"",ROUND(G591-L591,2))</f>
        <v/>
      </c>
      <c r="N591" s="5" t="str">
        <f aca="false">IF(A591="","",IF(B591=0,"NOT FOUND: bank ID",IF(I591=0,"NOT FOUND: GL ID",IF(INDEX(GL!$H:$H,I591)&lt;&gt;A591,"BROKEN: GL points elsewhere",IF(OR(INDEX(Bank!$F:$F,B591)&lt;&gt;"Y",INDEX(GL!$F:$F,I591)&lt;&gt;"Y"),"BROKEN: Status not Y","OK")))))</f>
        <v/>
      </c>
    </row>
    <row r="592" customFormat="false" ht="15" hidden="false" customHeight="false" outlineLevel="0" collapsed="false">
      <c r="A592" s="41"/>
      <c r="B592" s="5" t="n">
        <f aca="false">IF(A592="",0,IFERROR(MATCH(A592,Bank!$A:$A,0),0))</f>
        <v>0</v>
      </c>
      <c r="C592" s="5" t="str">
        <f aca="false">IF(B592=0,"",IF(INDEX(Bank!$G:$G,B592)="","",INDEX(Bank!$G:$G,B592)))</f>
        <v/>
      </c>
      <c r="D592" s="5" t="str">
        <f aca="false">IF(B592=0,"",IF(INDEX(Bank!$J:$J,B592)="","",INDEX(Bank!$J:$J,B592)))</f>
        <v/>
      </c>
      <c r="E592" s="32" t="str">
        <f aca="false">IF(B592=0,"",INDEX(Bank!$B:$B,B592))</f>
        <v/>
      </c>
      <c r="F592" s="5" t="str">
        <f aca="false">IF(B592=0,"",IF(INDEX(Bank!$C:$C,B592)="","",INDEX(Bank!$C:$C,B592)))</f>
        <v/>
      </c>
      <c r="G592" s="19" t="str">
        <f aca="false">IF(B592=0,"",INDEX(Bank!$E:$E,B592))</f>
        <v/>
      </c>
      <c r="H592" s="5" t="str">
        <f aca="false">IF(B592=0,"",IF(INDEX(Bank!$H:$H,B592)="","",INDEX(Bank!$H:$H,B592)))</f>
        <v/>
      </c>
      <c r="I592" s="5" t="n">
        <f aca="false">IF(H592="",0,IFERROR(MATCH(H592,GL!$A:$A,0),0))</f>
        <v>0</v>
      </c>
      <c r="J592" s="32" t="str">
        <f aca="false">IF(I592=0,"",INDEX(GL!$B:$B,I592))</f>
        <v/>
      </c>
      <c r="K592" s="5" t="str">
        <f aca="false">IF(I592=0,"",IF(INDEX(GL!$C:$C,I592)="","",INDEX(GL!$C:$C,I592)))</f>
        <v/>
      </c>
      <c r="L592" s="19" t="str">
        <f aca="false">IF(I592=0,"",INDEX(GL!$E:$E,I592))</f>
        <v/>
      </c>
      <c r="M592" s="19" t="str">
        <f aca="false">IF(OR(B592=0,I592=0),"",ROUND(G592-L592,2))</f>
        <v/>
      </c>
      <c r="N592" s="5" t="str">
        <f aca="false">IF(A592="","",IF(B592=0,"NOT FOUND: bank ID",IF(I592=0,"NOT FOUND: GL ID",IF(INDEX(GL!$H:$H,I592)&lt;&gt;A592,"BROKEN: GL points elsewhere",IF(OR(INDEX(Bank!$F:$F,B592)&lt;&gt;"Y",INDEX(GL!$F:$F,I592)&lt;&gt;"Y"),"BROKEN: Status not Y","OK")))))</f>
        <v/>
      </c>
    </row>
    <row r="593" customFormat="false" ht="15" hidden="false" customHeight="false" outlineLevel="0" collapsed="false">
      <c r="A593" s="41"/>
      <c r="B593" s="5" t="n">
        <f aca="false">IF(A593="",0,IFERROR(MATCH(A593,Bank!$A:$A,0),0))</f>
        <v>0</v>
      </c>
      <c r="C593" s="5" t="str">
        <f aca="false">IF(B593=0,"",IF(INDEX(Bank!$G:$G,B593)="","",INDEX(Bank!$G:$G,B593)))</f>
        <v/>
      </c>
      <c r="D593" s="5" t="str">
        <f aca="false">IF(B593=0,"",IF(INDEX(Bank!$J:$J,B593)="","",INDEX(Bank!$J:$J,B593)))</f>
        <v/>
      </c>
      <c r="E593" s="32" t="str">
        <f aca="false">IF(B593=0,"",INDEX(Bank!$B:$B,B593))</f>
        <v/>
      </c>
      <c r="F593" s="5" t="str">
        <f aca="false">IF(B593=0,"",IF(INDEX(Bank!$C:$C,B593)="","",INDEX(Bank!$C:$C,B593)))</f>
        <v/>
      </c>
      <c r="G593" s="19" t="str">
        <f aca="false">IF(B593=0,"",INDEX(Bank!$E:$E,B593))</f>
        <v/>
      </c>
      <c r="H593" s="5" t="str">
        <f aca="false">IF(B593=0,"",IF(INDEX(Bank!$H:$H,B593)="","",INDEX(Bank!$H:$H,B593)))</f>
        <v/>
      </c>
      <c r="I593" s="5" t="n">
        <f aca="false">IF(H593="",0,IFERROR(MATCH(H593,GL!$A:$A,0),0))</f>
        <v>0</v>
      </c>
      <c r="J593" s="32" t="str">
        <f aca="false">IF(I593=0,"",INDEX(GL!$B:$B,I593))</f>
        <v/>
      </c>
      <c r="K593" s="5" t="str">
        <f aca="false">IF(I593=0,"",IF(INDEX(GL!$C:$C,I593)="","",INDEX(GL!$C:$C,I593)))</f>
        <v/>
      </c>
      <c r="L593" s="19" t="str">
        <f aca="false">IF(I593=0,"",INDEX(GL!$E:$E,I593))</f>
        <v/>
      </c>
      <c r="M593" s="19" t="str">
        <f aca="false">IF(OR(B593=0,I593=0),"",ROUND(G593-L593,2))</f>
        <v/>
      </c>
      <c r="N593" s="5" t="str">
        <f aca="false">IF(A593="","",IF(B593=0,"NOT FOUND: bank ID",IF(I593=0,"NOT FOUND: GL ID",IF(INDEX(GL!$H:$H,I593)&lt;&gt;A593,"BROKEN: GL points elsewhere",IF(OR(INDEX(Bank!$F:$F,B593)&lt;&gt;"Y",INDEX(GL!$F:$F,I593)&lt;&gt;"Y"),"BROKEN: Status not Y","OK")))))</f>
        <v/>
      </c>
    </row>
    <row r="594" customFormat="false" ht="15" hidden="false" customHeight="false" outlineLevel="0" collapsed="false">
      <c r="A594" s="41"/>
      <c r="B594" s="5" t="n">
        <f aca="false">IF(A594="",0,IFERROR(MATCH(A594,Bank!$A:$A,0),0))</f>
        <v>0</v>
      </c>
      <c r="C594" s="5" t="str">
        <f aca="false">IF(B594=0,"",IF(INDEX(Bank!$G:$G,B594)="","",INDEX(Bank!$G:$G,B594)))</f>
        <v/>
      </c>
      <c r="D594" s="5" t="str">
        <f aca="false">IF(B594=0,"",IF(INDEX(Bank!$J:$J,B594)="","",INDEX(Bank!$J:$J,B594)))</f>
        <v/>
      </c>
      <c r="E594" s="32" t="str">
        <f aca="false">IF(B594=0,"",INDEX(Bank!$B:$B,B594))</f>
        <v/>
      </c>
      <c r="F594" s="5" t="str">
        <f aca="false">IF(B594=0,"",IF(INDEX(Bank!$C:$C,B594)="","",INDEX(Bank!$C:$C,B594)))</f>
        <v/>
      </c>
      <c r="G594" s="19" t="str">
        <f aca="false">IF(B594=0,"",INDEX(Bank!$E:$E,B594))</f>
        <v/>
      </c>
      <c r="H594" s="5" t="str">
        <f aca="false">IF(B594=0,"",IF(INDEX(Bank!$H:$H,B594)="","",INDEX(Bank!$H:$H,B594)))</f>
        <v/>
      </c>
      <c r="I594" s="5" t="n">
        <f aca="false">IF(H594="",0,IFERROR(MATCH(H594,GL!$A:$A,0),0))</f>
        <v>0</v>
      </c>
      <c r="J594" s="32" t="str">
        <f aca="false">IF(I594=0,"",INDEX(GL!$B:$B,I594))</f>
        <v/>
      </c>
      <c r="K594" s="5" t="str">
        <f aca="false">IF(I594=0,"",IF(INDEX(GL!$C:$C,I594)="","",INDEX(GL!$C:$C,I594)))</f>
        <v/>
      </c>
      <c r="L594" s="19" t="str">
        <f aca="false">IF(I594=0,"",INDEX(GL!$E:$E,I594))</f>
        <v/>
      </c>
      <c r="M594" s="19" t="str">
        <f aca="false">IF(OR(B594=0,I594=0),"",ROUND(G594-L594,2))</f>
        <v/>
      </c>
      <c r="N594" s="5" t="str">
        <f aca="false">IF(A594="","",IF(B594=0,"NOT FOUND: bank ID",IF(I594=0,"NOT FOUND: GL ID",IF(INDEX(GL!$H:$H,I594)&lt;&gt;A594,"BROKEN: GL points elsewhere",IF(OR(INDEX(Bank!$F:$F,B594)&lt;&gt;"Y",INDEX(GL!$F:$F,I594)&lt;&gt;"Y"),"BROKEN: Status not Y","OK")))))</f>
        <v/>
      </c>
    </row>
    <row r="595" customFormat="false" ht="15" hidden="false" customHeight="false" outlineLevel="0" collapsed="false">
      <c r="A595" s="41"/>
      <c r="B595" s="5" t="n">
        <f aca="false">IF(A595="",0,IFERROR(MATCH(A595,Bank!$A:$A,0),0))</f>
        <v>0</v>
      </c>
      <c r="C595" s="5" t="str">
        <f aca="false">IF(B595=0,"",IF(INDEX(Bank!$G:$G,B595)="","",INDEX(Bank!$G:$G,B595)))</f>
        <v/>
      </c>
      <c r="D595" s="5" t="str">
        <f aca="false">IF(B595=0,"",IF(INDEX(Bank!$J:$J,B595)="","",INDEX(Bank!$J:$J,B595)))</f>
        <v/>
      </c>
      <c r="E595" s="32" t="str">
        <f aca="false">IF(B595=0,"",INDEX(Bank!$B:$B,B595))</f>
        <v/>
      </c>
      <c r="F595" s="5" t="str">
        <f aca="false">IF(B595=0,"",IF(INDEX(Bank!$C:$C,B595)="","",INDEX(Bank!$C:$C,B595)))</f>
        <v/>
      </c>
      <c r="G595" s="19" t="str">
        <f aca="false">IF(B595=0,"",INDEX(Bank!$E:$E,B595))</f>
        <v/>
      </c>
      <c r="H595" s="5" t="str">
        <f aca="false">IF(B595=0,"",IF(INDEX(Bank!$H:$H,B595)="","",INDEX(Bank!$H:$H,B595)))</f>
        <v/>
      </c>
      <c r="I595" s="5" t="n">
        <f aca="false">IF(H595="",0,IFERROR(MATCH(H595,GL!$A:$A,0),0))</f>
        <v>0</v>
      </c>
      <c r="J595" s="32" t="str">
        <f aca="false">IF(I595=0,"",INDEX(GL!$B:$B,I595))</f>
        <v/>
      </c>
      <c r="K595" s="5" t="str">
        <f aca="false">IF(I595=0,"",IF(INDEX(GL!$C:$C,I595)="","",INDEX(GL!$C:$C,I595)))</f>
        <v/>
      </c>
      <c r="L595" s="19" t="str">
        <f aca="false">IF(I595=0,"",INDEX(GL!$E:$E,I595))</f>
        <v/>
      </c>
      <c r="M595" s="19" t="str">
        <f aca="false">IF(OR(B595=0,I595=0),"",ROUND(G595-L595,2))</f>
        <v/>
      </c>
      <c r="N595" s="5" t="str">
        <f aca="false">IF(A595="","",IF(B595=0,"NOT FOUND: bank ID",IF(I595=0,"NOT FOUND: GL ID",IF(INDEX(GL!$H:$H,I595)&lt;&gt;A595,"BROKEN: GL points elsewhere",IF(OR(INDEX(Bank!$F:$F,B595)&lt;&gt;"Y",INDEX(GL!$F:$F,I595)&lt;&gt;"Y"),"BROKEN: Status not Y","OK")))))</f>
        <v/>
      </c>
    </row>
    <row r="596" customFormat="false" ht="15" hidden="false" customHeight="false" outlineLevel="0" collapsed="false">
      <c r="A596" s="41"/>
      <c r="B596" s="5" t="n">
        <f aca="false">IF(A596="",0,IFERROR(MATCH(A596,Bank!$A:$A,0),0))</f>
        <v>0</v>
      </c>
      <c r="C596" s="5" t="str">
        <f aca="false">IF(B596=0,"",IF(INDEX(Bank!$G:$G,B596)="","",INDEX(Bank!$G:$G,B596)))</f>
        <v/>
      </c>
      <c r="D596" s="5" t="str">
        <f aca="false">IF(B596=0,"",IF(INDEX(Bank!$J:$J,B596)="","",INDEX(Bank!$J:$J,B596)))</f>
        <v/>
      </c>
      <c r="E596" s="32" t="str">
        <f aca="false">IF(B596=0,"",INDEX(Bank!$B:$B,B596))</f>
        <v/>
      </c>
      <c r="F596" s="5" t="str">
        <f aca="false">IF(B596=0,"",IF(INDEX(Bank!$C:$C,B596)="","",INDEX(Bank!$C:$C,B596)))</f>
        <v/>
      </c>
      <c r="G596" s="19" t="str">
        <f aca="false">IF(B596=0,"",INDEX(Bank!$E:$E,B596))</f>
        <v/>
      </c>
      <c r="H596" s="5" t="str">
        <f aca="false">IF(B596=0,"",IF(INDEX(Bank!$H:$H,B596)="","",INDEX(Bank!$H:$H,B596)))</f>
        <v/>
      </c>
      <c r="I596" s="5" t="n">
        <f aca="false">IF(H596="",0,IFERROR(MATCH(H596,GL!$A:$A,0),0))</f>
        <v>0</v>
      </c>
      <c r="J596" s="32" t="str">
        <f aca="false">IF(I596=0,"",INDEX(GL!$B:$B,I596))</f>
        <v/>
      </c>
      <c r="K596" s="5" t="str">
        <f aca="false">IF(I596=0,"",IF(INDEX(GL!$C:$C,I596)="","",INDEX(GL!$C:$C,I596)))</f>
        <v/>
      </c>
      <c r="L596" s="19" t="str">
        <f aca="false">IF(I596=0,"",INDEX(GL!$E:$E,I596))</f>
        <v/>
      </c>
      <c r="M596" s="19" t="str">
        <f aca="false">IF(OR(B596=0,I596=0),"",ROUND(G596-L596,2))</f>
        <v/>
      </c>
      <c r="N596" s="5" t="str">
        <f aca="false">IF(A596="","",IF(B596=0,"NOT FOUND: bank ID",IF(I596=0,"NOT FOUND: GL ID",IF(INDEX(GL!$H:$H,I596)&lt;&gt;A596,"BROKEN: GL points elsewhere",IF(OR(INDEX(Bank!$F:$F,B596)&lt;&gt;"Y",INDEX(GL!$F:$F,I596)&lt;&gt;"Y"),"BROKEN: Status not Y","OK")))))</f>
        <v/>
      </c>
    </row>
    <row r="597" customFormat="false" ht="15" hidden="false" customHeight="false" outlineLevel="0" collapsed="false">
      <c r="A597" s="41"/>
      <c r="B597" s="5" t="n">
        <f aca="false">IF(A597="",0,IFERROR(MATCH(A597,Bank!$A:$A,0),0))</f>
        <v>0</v>
      </c>
      <c r="C597" s="5" t="str">
        <f aca="false">IF(B597=0,"",IF(INDEX(Bank!$G:$G,B597)="","",INDEX(Bank!$G:$G,B597)))</f>
        <v/>
      </c>
      <c r="D597" s="5" t="str">
        <f aca="false">IF(B597=0,"",IF(INDEX(Bank!$J:$J,B597)="","",INDEX(Bank!$J:$J,B597)))</f>
        <v/>
      </c>
      <c r="E597" s="32" t="str">
        <f aca="false">IF(B597=0,"",INDEX(Bank!$B:$B,B597))</f>
        <v/>
      </c>
      <c r="F597" s="5" t="str">
        <f aca="false">IF(B597=0,"",IF(INDEX(Bank!$C:$C,B597)="","",INDEX(Bank!$C:$C,B597)))</f>
        <v/>
      </c>
      <c r="G597" s="19" t="str">
        <f aca="false">IF(B597=0,"",INDEX(Bank!$E:$E,B597))</f>
        <v/>
      </c>
      <c r="H597" s="5" t="str">
        <f aca="false">IF(B597=0,"",IF(INDEX(Bank!$H:$H,B597)="","",INDEX(Bank!$H:$H,B597)))</f>
        <v/>
      </c>
      <c r="I597" s="5" t="n">
        <f aca="false">IF(H597="",0,IFERROR(MATCH(H597,GL!$A:$A,0),0))</f>
        <v>0</v>
      </c>
      <c r="J597" s="32" t="str">
        <f aca="false">IF(I597=0,"",INDEX(GL!$B:$B,I597))</f>
        <v/>
      </c>
      <c r="K597" s="5" t="str">
        <f aca="false">IF(I597=0,"",IF(INDEX(GL!$C:$C,I597)="","",INDEX(GL!$C:$C,I597)))</f>
        <v/>
      </c>
      <c r="L597" s="19" t="str">
        <f aca="false">IF(I597=0,"",INDEX(GL!$E:$E,I597))</f>
        <v/>
      </c>
      <c r="M597" s="19" t="str">
        <f aca="false">IF(OR(B597=0,I597=0),"",ROUND(G597-L597,2))</f>
        <v/>
      </c>
      <c r="N597" s="5" t="str">
        <f aca="false">IF(A597="","",IF(B597=0,"NOT FOUND: bank ID",IF(I597=0,"NOT FOUND: GL ID",IF(INDEX(GL!$H:$H,I597)&lt;&gt;A597,"BROKEN: GL points elsewhere",IF(OR(INDEX(Bank!$F:$F,B597)&lt;&gt;"Y",INDEX(GL!$F:$F,I597)&lt;&gt;"Y"),"BROKEN: Status not Y","OK")))))</f>
        <v/>
      </c>
    </row>
    <row r="598" customFormat="false" ht="15" hidden="false" customHeight="false" outlineLevel="0" collapsed="false">
      <c r="A598" s="41"/>
      <c r="B598" s="5" t="n">
        <f aca="false">IF(A598="",0,IFERROR(MATCH(A598,Bank!$A:$A,0),0))</f>
        <v>0</v>
      </c>
      <c r="C598" s="5" t="str">
        <f aca="false">IF(B598=0,"",IF(INDEX(Bank!$G:$G,B598)="","",INDEX(Bank!$G:$G,B598)))</f>
        <v/>
      </c>
      <c r="D598" s="5" t="str">
        <f aca="false">IF(B598=0,"",IF(INDEX(Bank!$J:$J,B598)="","",INDEX(Bank!$J:$J,B598)))</f>
        <v/>
      </c>
      <c r="E598" s="32" t="str">
        <f aca="false">IF(B598=0,"",INDEX(Bank!$B:$B,B598))</f>
        <v/>
      </c>
      <c r="F598" s="5" t="str">
        <f aca="false">IF(B598=0,"",IF(INDEX(Bank!$C:$C,B598)="","",INDEX(Bank!$C:$C,B598)))</f>
        <v/>
      </c>
      <c r="G598" s="19" t="str">
        <f aca="false">IF(B598=0,"",INDEX(Bank!$E:$E,B598))</f>
        <v/>
      </c>
      <c r="H598" s="5" t="str">
        <f aca="false">IF(B598=0,"",IF(INDEX(Bank!$H:$H,B598)="","",INDEX(Bank!$H:$H,B598)))</f>
        <v/>
      </c>
      <c r="I598" s="5" t="n">
        <f aca="false">IF(H598="",0,IFERROR(MATCH(H598,GL!$A:$A,0),0))</f>
        <v>0</v>
      </c>
      <c r="J598" s="32" t="str">
        <f aca="false">IF(I598=0,"",INDEX(GL!$B:$B,I598))</f>
        <v/>
      </c>
      <c r="K598" s="5" t="str">
        <f aca="false">IF(I598=0,"",IF(INDEX(GL!$C:$C,I598)="","",INDEX(GL!$C:$C,I598)))</f>
        <v/>
      </c>
      <c r="L598" s="19" t="str">
        <f aca="false">IF(I598=0,"",INDEX(GL!$E:$E,I598))</f>
        <v/>
      </c>
      <c r="M598" s="19" t="str">
        <f aca="false">IF(OR(B598=0,I598=0),"",ROUND(G598-L598,2))</f>
        <v/>
      </c>
      <c r="N598" s="5" t="str">
        <f aca="false">IF(A598="","",IF(B598=0,"NOT FOUND: bank ID",IF(I598=0,"NOT FOUND: GL ID",IF(INDEX(GL!$H:$H,I598)&lt;&gt;A598,"BROKEN: GL points elsewhere",IF(OR(INDEX(Bank!$F:$F,B598)&lt;&gt;"Y",INDEX(GL!$F:$F,I598)&lt;&gt;"Y"),"BROKEN: Status not Y","OK")))))</f>
        <v/>
      </c>
    </row>
    <row r="599" customFormat="false" ht="15" hidden="false" customHeight="false" outlineLevel="0" collapsed="false">
      <c r="A599" s="41"/>
      <c r="B599" s="5" t="n">
        <f aca="false">IF(A599="",0,IFERROR(MATCH(A599,Bank!$A:$A,0),0))</f>
        <v>0</v>
      </c>
      <c r="C599" s="5" t="str">
        <f aca="false">IF(B599=0,"",IF(INDEX(Bank!$G:$G,B599)="","",INDEX(Bank!$G:$G,B599)))</f>
        <v/>
      </c>
      <c r="D599" s="5" t="str">
        <f aca="false">IF(B599=0,"",IF(INDEX(Bank!$J:$J,B599)="","",INDEX(Bank!$J:$J,B599)))</f>
        <v/>
      </c>
      <c r="E599" s="32" t="str">
        <f aca="false">IF(B599=0,"",INDEX(Bank!$B:$B,B599))</f>
        <v/>
      </c>
      <c r="F599" s="5" t="str">
        <f aca="false">IF(B599=0,"",IF(INDEX(Bank!$C:$C,B599)="","",INDEX(Bank!$C:$C,B599)))</f>
        <v/>
      </c>
      <c r="G599" s="19" t="str">
        <f aca="false">IF(B599=0,"",INDEX(Bank!$E:$E,B599))</f>
        <v/>
      </c>
      <c r="H599" s="5" t="str">
        <f aca="false">IF(B599=0,"",IF(INDEX(Bank!$H:$H,B599)="","",INDEX(Bank!$H:$H,B599)))</f>
        <v/>
      </c>
      <c r="I599" s="5" t="n">
        <f aca="false">IF(H599="",0,IFERROR(MATCH(H599,GL!$A:$A,0),0))</f>
        <v>0</v>
      </c>
      <c r="J599" s="32" t="str">
        <f aca="false">IF(I599=0,"",INDEX(GL!$B:$B,I599))</f>
        <v/>
      </c>
      <c r="K599" s="5" t="str">
        <f aca="false">IF(I599=0,"",IF(INDEX(GL!$C:$C,I599)="","",INDEX(GL!$C:$C,I599)))</f>
        <v/>
      </c>
      <c r="L599" s="19" t="str">
        <f aca="false">IF(I599=0,"",INDEX(GL!$E:$E,I599))</f>
        <v/>
      </c>
      <c r="M599" s="19" t="str">
        <f aca="false">IF(OR(B599=0,I599=0),"",ROUND(G599-L599,2))</f>
        <v/>
      </c>
      <c r="N599" s="5" t="str">
        <f aca="false">IF(A599="","",IF(B599=0,"NOT FOUND: bank ID",IF(I599=0,"NOT FOUND: GL ID",IF(INDEX(GL!$H:$H,I599)&lt;&gt;A599,"BROKEN: GL points elsewhere",IF(OR(INDEX(Bank!$F:$F,B599)&lt;&gt;"Y",INDEX(GL!$F:$F,I599)&lt;&gt;"Y"),"BROKEN: Status not Y","OK")))))</f>
        <v/>
      </c>
    </row>
    <row r="600" customFormat="false" ht="15" hidden="false" customHeight="false" outlineLevel="0" collapsed="false">
      <c r="A600" s="41"/>
      <c r="B600" s="5" t="n">
        <f aca="false">IF(A600="",0,IFERROR(MATCH(A600,Bank!$A:$A,0),0))</f>
        <v>0</v>
      </c>
      <c r="C600" s="5" t="str">
        <f aca="false">IF(B600=0,"",IF(INDEX(Bank!$G:$G,B600)="","",INDEX(Bank!$G:$G,B600)))</f>
        <v/>
      </c>
      <c r="D600" s="5" t="str">
        <f aca="false">IF(B600=0,"",IF(INDEX(Bank!$J:$J,B600)="","",INDEX(Bank!$J:$J,B600)))</f>
        <v/>
      </c>
      <c r="E600" s="32" t="str">
        <f aca="false">IF(B600=0,"",INDEX(Bank!$B:$B,B600))</f>
        <v/>
      </c>
      <c r="F600" s="5" t="str">
        <f aca="false">IF(B600=0,"",IF(INDEX(Bank!$C:$C,B600)="","",INDEX(Bank!$C:$C,B600)))</f>
        <v/>
      </c>
      <c r="G600" s="19" t="str">
        <f aca="false">IF(B600=0,"",INDEX(Bank!$E:$E,B600))</f>
        <v/>
      </c>
      <c r="H600" s="5" t="str">
        <f aca="false">IF(B600=0,"",IF(INDEX(Bank!$H:$H,B600)="","",INDEX(Bank!$H:$H,B600)))</f>
        <v/>
      </c>
      <c r="I600" s="5" t="n">
        <f aca="false">IF(H600="",0,IFERROR(MATCH(H600,GL!$A:$A,0),0))</f>
        <v>0</v>
      </c>
      <c r="J600" s="32" t="str">
        <f aca="false">IF(I600=0,"",INDEX(GL!$B:$B,I600))</f>
        <v/>
      </c>
      <c r="K600" s="5" t="str">
        <f aca="false">IF(I600=0,"",IF(INDEX(GL!$C:$C,I600)="","",INDEX(GL!$C:$C,I600)))</f>
        <v/>
      </c>
      <c r="L600" s="19" t="str">
        <f aca="false">IF(I600=0,"",INDEX(GL!$E:$E,I600))</f>
        <v/>
      </c>
      <c r="M600" s="19" t="str">
        <f aca="false">IF(OR(B600=0,I600=0),"",ROUND(G600-L600,2))</f>
        <v/>
      </c>
      <c r="N600" s="5" t="str">
        <f aca="false">IF(A600="","",IF(B600=0,"NOT FOUND: bank ID",IF(I600=0,"NOT FOUND: GL ID",IF(INDEX(GL!$H:$H,I600)&lt;&gt;A600,"BROKEN: GL points elsewhere",IF(OR(INDEX(Bank!$F:$F,B600)&lt;&gt;"Y",INDEX(GL!$F:$F,I600)&lt;&gt;"Y"),"BROKEN: Status not Y","OK")))))</f>
        <v/>
      </c>
    </row>
    <row r="601" customFormat="false" ht="15" hidden="false" customHeight="false" outlineLevel="0" collapsed="false">
      <c r="A601" s="41"/>
      <c r="B601" s="5" t="n">
        <f aca="false">IF(A601="",0,IFERROR(MATCH(A601,Bank!$A:$A,0),0))</f>
        <v>0</v>
      </c>
      <c r="C601" s="5" t="str">
        <f aca="false">IF(B601=0,"",IF(INDEX(Bank!$G:$G,B601)="","",INDEX(Bank!$G:$G,B601)))</f>
        <v/>
      </c>
      <c r="D601" s="5" t="str">
        <f aca="false">IF(B601=0,"",IF(INDEX(Bank!$J:$J,B601)="","",INDEX(Bank!$J:$J,B601)))</f>
        <v/>
      </c>
      <c r="E601" s="32" t="str">
        <f aca="false">IF(B601=0,"",INDEX(Bank!$B:$B,B601))</f>
        <v/>
      </c>
      <c r="F601" s="5" t="str">
        <f aca="false">IF(B601=0,"",IF(INDEX(Bank!$C:$C,B601)="","",INDEX(Bank!$C:$C,B601)))</f>
        <v/>
      </c>
      <c r="G601" s="19" t="str">
        <f aca="false">IF(B601=0,"",INDEX(Bank!$E:$E,B601))</f>
        <v/>
      </c>
      <c r="H601" s="5" t="str">
        <f aca="false">IF(B601=0,"",IF(INDEX(Bank!$H:$H,B601)="","",INDEX(Bank!$H:$H,B601)))</f>
        <v/>
      </c>
      <c r="I601" s="5" t="n">
        <f aca="false">IF(H601="",0,IFERROR(MATCH(H601,GL!$A:$A,0),0))</f>
        <v>0</v>
      </c>
      <c r="J601" s="32" t="str">
        <f aca="false">IF(I601=0,"",INDEX(GL!$B:$B,I601))</f>
        <v/>
      </c>
      <c r="K601" s="5" t="str">
        <f aca="false">IF(I601=0,"",IF(INDEX(GL!$C:$C,I601)="","",INDEX(GL!$C:$C,I601)))</f>
        <v/>
      </c>
      <c r="L601" s="19" t="str">
        <f aca="false">IF(I601=0,"",INDEX(GL!$E:$E,I601))</f>
        <v/>
      </c>
      <c r="M601" s="19" t="str">
        <f aca="false">IF(OR(B601=0,I601=0),"",ROUND(G601-L601,2))</f>
        <v/>
      </c>
      <c r="N601" s="5" t="str">
        <f aca="false">IF(A601="","",IF(B601=0,"NOT FOUND: bank ID",IF(I601=0,"NOT FOUND: GL ID",IF(INDEX(GL!$H:$H,I601)&lt;&gt;A601,"BROKEN: GL points elsewhere",IF(OR(INDEX(Bank!$F:$F,B601)&lt;&gt;"Y",INDEX(GL!$F:$F,I601)&lt;&gt;"Y"),"BROKEN: Status not Y","OK")))))</f>
        <v/>
      </c>
    </row>
    <row r="602" customFormat="false" ht="15" hidden="false" customHeight="false" outlineLevel="0" collapsed="false">
      <c r="A602" s="41"/>
      <c r="B602" s="5" t="n">
        <f aca="false">IF(A602="",0,IFERROR(MATCH(A602,Bank!$A:$A,0),0))</f>
        <v>0</v>
      </c>
      <c r="C602" s="5" t="str">
        <f aca="false">IF(B602=0,"",IF(INDEX(Bank!$G:$G,B602)="","",INDEX(Bank!$G:$G,B602)))</f>
        <v/>
      </c>
      <c r="D602" s="5" t="str">
        <f aca="false">IF(B602=0,"",IF(INDEX(Bank!$J:$J,B602)="","",INDEX(Bank!$J:$J,B602)))</f>
        <v/>
      </c>
      <c r="E602" s="32" t="str">
        <f aca="false">IF(B602=0,"",INDEX(Bank!$B:$B,B602))</f>
        <v/>
      </c>
      <c r="F602" s="5" t="str">
        <f aca="false">IF(B602=0,"",IF(INDEX(Bank!$C:$C,B602)="","",INDEX(Bank!$C:$C,B602)))</f>
        <v/>
      </c>
      <c r="G602" s="19" t="str">
        <f aca="false">IF(B602=0,"",INDEX(Bank!$E:$E,B602))</f>
        <v/>
      </c>
      <c r="H602" s="5" t="str">
        <f aca="false">IF(B602=0,"",IF(INDEX(Bank!$H:$H,B602)="","",INDEX(Bank!$H:$H,B602)))</f>
        <v/>
      </c>
      <c r="I602" s="5" t="n">
        <f aca="false">IF(H602="",0,IFERROR(MATCH(H602,GL!$A:$A,0),0))</f>
        <v>0</v>
      </c>
      <c r="J602" s="32" t="str">
        <f aca="false">IF(I602=0,"",INDEX(GL!$B:$B,I602))</f>
        <v/>
      </c>
      <c r="K602" s="5" t="str">
        <f aca="false">IF(I602=0,"",IF(INDEX(GL!$C:$C,I602)="","",INDEX(GL!$C:$C,I602)))</f>
        <v/>
      </c>
      <c r="L602" s="19" t="str">
        <f aca="false">IF(I602=0,"",INDEX(GL!$E:$E,I602))</f>
        <v/>
      </c>
      <c r="M602" s="19" t="str">
        <f aca="false">IF(OR(B602=0,I602=0),"",ROUND(G602-L602,2))</f>
        <v/>
      </c>
      <c r="N602" s="5" t="str">
        <f aca="false">IF(A602="","",IF(B602=0,"NOT FOUND: bank ID",IF(I602=0,"NOT FOUND: GL ID",IF(INDEX(GL!$H:$H,I602)&lt;&gt;A602,"BROKEN: GL points elsewhere",IF(OR(INDEX(Bank!$F:$F,B602)&lt;&gt;"Y",INDEX(GL!$F:$F,I602)&lt;&gt;"Y"),"BROKEN: Status not Y","OK")))))</f>
        <v/>
      </c>
    </row>
    <row r="603" customFormat="false" ht="15" hidden="false" customHeight="false" outlineLevel="0" collapsed="false">
      <c r="A603" s="41"/>
      <c r="B603" s="5" t="n">
        <f aca="false">IF(A603="",0,IFERROR(MATCH(A603,Bank!$A:$A,0),0))</f>
        <v>0</v>
      </c>
      <c r="C603" s="5" t="str">
        <f aca="false">IF(B603=0,"",IF(INDEX(Bank!$G:$G,B603)="","",INDEX(Bank!$G:$G,B603)))</f>
        <v/>
      </c>
      <c r="D603" s="5" t="str">
        <f aca="false">IF(B603=0,"",IF(INDEX(Bank!$J:$J,B603)="","",INDEX(Bank!$J:$J,B603)))</f>
        <v/>
      </c>
      <c r="E603" s="32" t="str">
        <f aca="false">IF(B603=0,"",INDEX(Bank!$B:$B,B603))</f>
        <v/>
      </c>
      <c r="F603" s="5" t="str">
        <f aca="false">IF(B603=0,"",IF(INDEX(Bank!$C:$C,B603)="","",INDEX(Bank!$C:$C,B603)))</f>
        <v/>
      </c>
      <c r="G603" s="19" t="str">
        <f aca="false">IF(B603=0,"",INDEX(Bank!$E:$E,B603))</f>
        <v/>
      </c>
      <c r="H603" s="5" t="str">
        <f aca="false">IF(B603=0,"",IF(INDEX(Bank!$H:$H,B603)="","",INDEX(Bank!$H:$H,B603)))</f>
        <v/>
      </c>
      <c r="I603" s="5" t="n">
        <f aca="false">IF(H603="",0,IFERROR(MATCH(H603,GL!$A:$A,0),0))</f>
        <v>0</v>
      </c>
      <c r="J603" s="32" t="str">
        <f aca="false">IF(I603=0,"",INDEX(GL!$B:$B,I603))</f>
        <v/>
      </c>
      <c r="K603" s="5" t="str">
        <f aca="false">IF(I603=0,"",IF(INDEX(GL!$C:$C,I603)="","",INDEX(GL!$C:$C,I603)))</f>
        <v/>
      </c>
      <c r="L603" s="19" t="str">
        <f aca="false">IF(I603=0,"",INDEX(GL!$E:$E,I603))</f>
        <v/>
      </c>
      <c r="M603" s="19" t="str">
        <f aca="false">IF(OR(B603=0,I603=0),"",ROUND(G603-L603,2))</f>
        <v/>
      </c>
      <c r="N603" s="5" t="str">
        <f aca="false">IF(A603="","",IF(B603=0,"NOT FOUND: bank ID",IF(I603=0,"NOT FOUND: GL ID",IF(INDEX(GL!$H:$H,I603)&lt;&gt;A603,"BROKEN: GL points elsewhere",IF(OR(INDEX(Bank!$F:$F,B603)&lt;&gt;"Y",INDEX(GL!$F:$F,I603)&lt;&gt;"Y"),"BROKEN: Status not Y","OK")))))</f>
        <v/>
      </c>
    </row>
    <row r="604" customFormat="false" ht="15" hidden="false" customHeight="false" outlineLevel="0" collapsed="false">
      <c r="A604" s="41"/>
      <c r="B604" s="5" t="n">
        <f aca="false">IF(A604="",0,IFERROR(MATCH(A604,Bank!$A:$A,0),0))</f>
        <v>0</v>
      </c>
      <c r="C604" s="5" t="str">
        <f aca="false">IF(B604=0,"",IF(INDEX(Bank!$G:$G,B604)="","",INDEX(Bank!$G:$G,B604)))</f>
        <v/>
      </c>
      <c r="D604" s="5" t="str">
        <f aca="false">IF(B604=0,"",IF(INDEX(Bank!$J:$J,B604)="","",INDEX(Bank!$J:$J,B604)))</f>
        <v/>
      </c>
      <c r="E604" s="32" t="str">
        <f aca="false">IF(B604=0,"",INDEX(Bank!$B:$B,B604))</f>
        <v/>
      </c>
      <c r="F604" s="5" t="str">
        <f aca="false">IF(B604=0,"",IF(INDEX(Bank!$C:$C,B604)="","",INDEX(Bank!$C:$C,B604)))</f>
        <v/>
      </c>
      <c r="G604" s="19" t="str">
        <f aca="false">IF(B604=0,"",INDEX(Bank!$E:$E,B604))</f>
        <v/>
      </c>
      <c r="H604" s="5" t="str">
        <f aca="false">IF(B604=0,"",IF(INDEX(Bank!$H:$H,B604)="","",INDEX(Bank!$H:$H,B604)))</f>
        <v/>
      </c>
      <c r="I604" s="5" t="n">
        <f aca="false">IF(H604="",0,IFERROR(MATCH(H604,GL!$A:$A,0),0))</f>
        <v>0</v>
      </c>
      <c r="J604" s="32" t="str">
        <f aca="false">IF(I604=0,"",INDEX(GL!$B:$B,I604))</f>
        <v/>
      </c>
      <c r="K604" s="5" t="str">
        <f aca="false">IF(I604=0,"",IF(INDEX(GL!$C:$C,I604)="","",INDEX(GL!$C:$C,I604)))</f>
        <v/>
      </c>
      <c r="L604" s="19" t="str">
        <f aca="false">IF(I604=0,"",INDEX(GL!$E:$E,I604))</f>
        <v/>
      </c>
      <c r="M604" s="19" t="str">
        <f aca="false">IF(OR(B604=0,I604=0),"",ROUND(G604-L604,2))</f>
        <v/>
      </c>
      <c r="N604" s="5" t="str">
        <f aca="false">IF(A604="","",IF(B604=0,"NOT FOUND: bank ID",IF(I604=0,"NOT FOUND: GL ID",IF(INDEX(GL!$H:$H,I604)&lt;&gt;A604,"BROKEN: GL points elsewhere",IF(OR(INDEX(Bank!$F:$F,B604)&lt;&gt;"Y",INDEX(GL!$F:$F,I604)&lt;&gt;"Y"),"BROKEN: Status not Y","OK")))))</f>
        <v/>
      </c>
    </row>
    <row r="605" customFormat="false" ht="15" hidden="false" customHeight="false" outlineLevel="0" collapsed="false">
      <c r="A605" s="41"/>
      <c r="B605" s="5" t="n">
        <f aca="false">IF(A605="",0,IFERROR(MATCH(A605,Bank!$A:$A,0),0))</f>
        <v>0</v>
      </c>
      <c r="C605" s="5" t="str">
        <f aca="false">IF(B605=0,"",IF(INDEX(Bank!$G:$G,B605)="","",INDEX(Bank!$G:$G,B605)))</f>
        <v/>
      </c>
      <c r="D605" s="5" t="str">
        <f aca="false">IF(B605=0,"",IF(INDEX(Bank!$J:$J,B605)="","",INDEX(Bank!$J:$J,B605)))</f>
        <v/>
      </c>
      <c r="E605" s="32" t="str">
        <f aca="false">IF(B605=0,"",INDEX(Bank!$B:$B,B605))</f>
        <v/>
      </c>
      <c r="F605" s="5" t="str">
        <f aca="false">IF(B605=0,"",IF(INDEX(Bank!$C:$C,B605)="","",INDEX(Bank!$C:$C,B605)))</f>
        <v/>
      </c>
      <c r="G605" s="19" t="str">
        <f aca="false">IF(B605=0,"",INDEX(Bank!$E:$E,B605))</f>
        <v/>
      </c>
      <c r="H605" s="5" t="str">
        <f aca="false">IF(B605=0,"",IF(INDEX(Bank!$H:$H,B605)="","",INDEX(Bank!$H:$H,B605)))</f>
        <v/>
      </c>
      <c r="I605" s="5" t="n">
        <f aca="false">IF(H605="",0,IFERROR(MATCH(H605,GL!$A:$A,0),0))</f>
        <v>0</v>
      </c>
      <c r="J605" s="32" t="str">
        <f aca="false">IF(I605=0,"",INDEX(GL!$B:$B,I605))</f>
        <v/>
      </c>
      <c r="K605" s="5" t="str">
        <f aca="false">IF(I605=0,"",IF(INDEX(GL!$C:$C,I605)="","",INDEX(GL!$C:$C,I605)))</f>
        <v/>
      </c>
      <c r="L605" s="19" t="str">
        <f aca="false">IF(I605=0,"",INDEX(GL!$E:$E,I605))</f>
        <v/>
      </c>
      <c r="M605" s="19" t="str">
        <f aca="false">IF(OR(B605=0,I605=0),"",ROUND(G605-L605,2))</f>
        <v/>
      </c>
      <c r="N605" s="5" t="str">
        <f aca="false">IF(A605="","",IF(B605=0,"NOT FOUND: bank ID",IF(I605=0,"NOT FOUND: GL ID",IF(INDEX(GL!$H:$H,I605)&lt;&gt;A605,"BROKEN: GL points elsewhere",IF(OR(INDEX(Bank!$F:$F,B605)&lt;&gt;"Y",INDEX(GL!$F:$F,I605)&lt;&gt;"Y"),"BROKEN: Status not Y","OK")))))</f>
        <v/>
      </c>
    </row>
    <row r="606" customFormat="false" ht="15" hidden="false" customHeight="false" outlineLevel="0" collapsed="false">
      <c r="A606" s="41"/>
      <c r="B606" s="5" t="n">
        <f aca="false">IF(A606="",0,IFERROR(MATCH(A606,Bank!$A:$A,0),0))</f>
        <v>0</v>
      </c>
      <c r="C606" s="5" t="str">
        <f aca="false">IF(B606=0,"",IF(INDEX(Bank!$G:$G,B606)="","",INDEX(Bank!$G:$G,B606)))</f>
        <v/>
      </c>
      <c r="D606" s="5" t="str">
        <f aca="false">IF(B606=0,"",IF(INDEX(Bank!$J:$J,B606)="","",INDEX(Bank!$J:$J,B606)))</f>
        <v/>
      </c>
      <c r="E606" s="32" t="str">
        <f aca="false">IF(B606=0,"",INDEX(Bank!$B:$B,B606))</f>
        <v/>
      </c>
      <c r="F606" s="5" t="str">
        <f aca="false">IF(B606=0,"",IF(INDEX(Bank!$C:$C,B606)="","",INDEX(Bank!$C:$C,B606)))</f>
        <v/>
      </c>
      <c r="G606" s="19" t="str">
        <f aca="false">IF(B606=0,"",INDEX(Bank!$E:$E,B606))</f>
        <v/>
      </c>
      <c r="H606" s="5" t="str">
        <f aca="false">IF(B606=0,"",IF(INDEX(Bank!$H:$H,B606)="","",INDEX(Bank!$H:$H,B606)))</f>
        <v/>
      </c>
      <c r="I606" s="5" t="n">
        <f aca="false">IF(H606="",0,IFERROR(MATCH(H606,GL!$A:$A,0),0))</f>
        <v>0</v>
      </c>
      <c r="J606" s="32" t="str">
        <f aca="false">IF(I606=0,"",INDEX(GL!$B:$B,I606))</f>
        <v/>
      </c>
      <c r="K606" s="5" t="str">
        <f aca="false">IF(I606=0,"",IF(INDEX(GL!$C:$C,I606)="","",INDEX(GL!$C:$C,I606)))</f>
        <v/>
      </c>
      <c r="L606" s="19" t="str">
        <f aca="false">IF(I606=0,"",INDEX(GL!$E:$E,I606))</f>
        <v/>
      </c>
      <c r="M606" s="19" t="str">
        <f aca="false">IF(OR(B606=0,I606=0),"",ROUND(G606-L606,2))</f>
        <v/>
      </c>
      <c r="N606" s="5" t="str">
        <f aca="false">IF(A606="","",IF(B606=0,"NOT FOUND: bank ID",IF(I606=0,"NOT FOUND: GL ID",IF(INDEX(GL!$H:$H,I606)&lt;&gt;A606,"BROKEN: GL points elsewhere",IF(OR(INDEX(Bank!$F:$F,B606)&lt;&gt;"Y",INDEX(GL!$F:$F,I606)&lt;&gt;"Y"),"BROKEN: Status not Y","OK")))))</f>
        <v/>
      </c>
    </row>
    <row r="607" customFormat="false" ht="15" hidden="false" customHeight="false" outlineLevel="0" collapsed="false">
      <c r="A607" s="41"/>
      <c r="B607" s="5" t="n">
        <f aca="false">IF(A607="",0,IFERROR(MATCH(A607,Bank!$A:$A,0),0))</f>
        <v>0</v>
      </c>
      <c r="C607" s="5" t="str">
        <f aca="false">IF(B607=0,"",IF(INDEX(Bank!$G:$G,B607)="","",INDEX(Bank!$G:$G,B607)))</f>
        <v/>
      </c>
      <c r="D607" s="5" t="str">
        <f aca="false">IF(B607=0,"",IF(INDEX(Bank!$J:$J,B607)="","",INDEX(Bank!$J:$J,B607)))</f>
        <v/>
      </c>
      <c r="E607" s="32" t="str">
        <f aca="false">IF(B607=0,"",INDEX(Bank!$B:$B,B607))</f>
        <v/>
      </c>
      <c r="F607" s="5" t="str">
        <f aca="false">IF(B607=0,"",IF(INDEX(Bank!$C:$C,B607)="","",INDEX(Bank!$C:$C,B607)))</f>
        <v/>
      </c>
      <c r="G607" s="19" t="str">
        <f aca="false">IF(B607=0,"",INDEX(Bank!$E:$E,B607))</f>
        <v/>
      </c>
      <c r="H607" s="5" t="str">
        <f aca="false">IF(B607=0,"",IF(INDEX(Bank!$H:$H,B607)="","",INDEX(Bank!$H:$H,B607)))</f>
        <v/>
      </c>
      <c r="I607" s="5" t="n">
        <f aca="false">IF(H607="",0,IFERROR(MATCH(H607,GL!$A:$A,0),0))</f>
        <v>0</v>
      </c>
      <c r="J607" s="32" t="str">
        <f aca="false">IF(I607=0,"",INDEX(GL!$B:$B,I607))</f>
        <v/>
      </c>
      <c r="K607" s="5" t="str">
        <f aca="false">IF(I607=0,"",IF(INDEX(GL!$C:$C,I607)="","",INDEX(GL!$C:$C,I607)))</f>
        <v/>
      </c>
      <c r="L607" s="19" t="str">
        <f aca="false">IF(I607=0,"",INDEX(GL!$E:$E,I607))</f>
        <v/>
      </c>
      <c r="M607" s="19" t="str">
        <f aca="false">IF(OR(B607=0,I607=0),"",ROUND(G607-L607,2))</f>
        <v/>
      </c>
      <c r="N607" s="5" t="str">
        <f aca="false">IF(A607="","",IF(B607=0,"NOT FOUND: bank ID",IF(I607=0,"NOT FOUND: GL ID",IF(INDEX(GL!$H:$H,I607)&lt;&gt;A607,"BROKEN: GL points elsewhere",IF(OR(INDEX(Bank!$F:$F,B607)&lt;&gt;"Y",INDEX(GL!$F:$F,I607)&lt;&gt;"Y"),"BROKEN: Status not Y","OK")))))</f>
        <v/>
      </c>
    </row>
    <row r="608" customFormat="false" ht="15" hidden="false" customHeight="false" outlineLevel="0" collapsed="false">
      <c r="A608" s="41"/>
      <c r="B608" s="5" t="n">
        <f aca="false">IF(A608="",0,IFERROR(MATCH(A608,Bank!$A:$A,0),0))</f>
        <v>0</v>
      </c>
      <c r="C608" s="5" t="str">
        <f aca="false">IF(B608=0,"",IF(INDEX(Bank!$G:$G,B608)="","",INDEX(Bank!$G:$G,B608)))</f>
        <v/>
      </c>
      <c r="D608" s="5" t="str">
        <f aca="false">IF(B608=0,"",IF(INDEX(Bank!$J:$J,B608)="","",INDEX(Bank!$J:$J,B608)))</f>
        <v/>
      </c>
      <c r="E608" s="32" t="str">
        <f aca="false">IF(B608=0,"",INDEX(Bank!$B:$B,B608))</f>
        <v/>
      </c>
      <c r="F608" s="5" t="str">
        <f aca="false">IF(B608=0,"",IF(INDEX(Bank!$C:$C,B608)="","",INDEX(Bank!$C:$C,B608)))</f>
        <v/>
      </c>
      <c r="G608" s="19" t="str">
        <f aca="false">IF(B608=0,"",INDEX(Bank!$E:$E,B608))</f>
        <v/>
      </c>
      <c r="H608" s="5" t="str">
        <f aca="false">IF(B608=0,"",IF(INDEX(Bank!$H:$H,B608)="","",INDEX(Bank!$H:$H,B608)))</f>
        <v/>
      </c>
      <c r="I608" s="5" t="n">
        <f aca="false">IF(H608="",0,IFERROR(MATCH(H608,GL!$A:$A,0),0))</f>
        <v>0</v>
      </c>
      <c r="J608" s="32" t="str">
        <f aca="false">IF(I608=0,"",INDEX(GL!$B:$B,I608))</f>
        <v/>
      </c>
      <c r="K608" s="5" t="str">
        <f aca="false">IF(I608=0,"",IF(INDEX(GL!$C:$C,I608)="","",INDEX(GL!$C:$C,I608)))</f>
        <v/>
      </c>
      <c r="L608" s="19" t="str">
        <f aca="false">IF(I608=0,"",INDEX(GL!$E:$E,I608))</f>
        <v/>
      </c>
      <c r="M608" s="19" t="str">
        <f aca="false">IF(OR(B608=0,I608=0),"",ROUND(G608-L608,2))</f>
        <v/>
      </c>
      <c r="N608" s="5" t="str">
        <f aca="false">IF(A608="","",IF(B608=0,"NOT FOUND: bank ID",IF(I608=0,"NOT FOUND: GL ID",IF(INDEX(GL!$H:$H,I608)&lt;&gt;A608,"BROKEN: GL points elsewhere",IF(OR(INDEX(Bank!$F:$F,B608)&lt;&gt;"Y",INDEX(GL!$F:$F,I608)&lt;&gt;"Y"),"BROKEN: Status not Y","OK")))))</f>
        <v/>
      </c>
    </row>
    <row r="609" customFormat="false" ht="15" hidden="false" customHeight="false" outlineLevel="0" collapsed="false">
      <c r="A609" s="41"/>
      <c r="B609" s="5" t="n">
        <f aca="false">IF(A609="",0,IFERROR(MATCH(A609,Bank!$A:$A,0),0))</f>
        <v>0</v>
      </c>
      <c r="C609" s="5" t="str">
        <f aca="false">IF(B609=0,"",IF(INDEX(Bank!$G:$G,B609)="","",INDEX(Bank!$G:$G,B609)))</f>
        <v/>
      </c>
      <c r="D609" s="5" t="str">
        <f aca="false">IF(B609=0,"",IF(INDEX(Bank!$J:$J,B609)="","",INDEX(Bank!$J:$J,B609)))</f>
        <v/>
      </c>
      <c r="E609" s="32" t="str">
        <f aca="false">IF(B609=0,"",INDEX(Bank!$B:$B,B609))</f>
        <v/>
      </c>
      <c r="F609" s="5" t="str">
        <f aca="false">IF(B609=0,"",IF(INDEX(Bank!$C:$C,B609)="","",INDEX(Bank!$C:$C,B609)))</f>
        <v/>
      </c>
      <c r="G609" s="19" t="str">
        <f aca="false">IF(B609=0,"",INDEX(Bank!$E:$E,B609))</f>
        <v/>
      </c>
      <c r="H609" s="5" t="str">
        <f aca="false">IF(B609=0,"",IF(INDEX(Bank!$H:$H,B609)="","",INDEX(Bank!$H:$H,B609)))</f>
        <v/>
      </c>
      <c r="I609" s="5" t="n">
        <f aca="false">IF(H609="",0,IFERROR(MATCH(H609,GL!$A:$A,0),0))</f>
        <v>0</v>
      </c>
      <c r="J609" s="32" t="str">
        <f aca="false">IF(I609=0,"",INDEX(GL!$B:$B,I609))</f>
        <v/>
      </c>
      <c r="K609" s="5" t="str">
        <f aca="false">IF(I609=0,"",IF(INDEX(GL!$C:$C,I609)="","",INDEX(GL!$C:$C,I609)))</f>
        <v/>
      </c>
      <c r="L609" s="19" t="str">
        <f aca="false">IF(I609=0,"",INDEX(GL!$E:$E,I609))</f>
        <v/>
      </c>
      <c r="M609" s="19" t="str">
        <f aca="false">IF(OR(B609=0,I609=0),"",ROUND(G609-L609,2))</f>
        <v/>
      </c>
      <c r="N609" s="5" t="str">
        <f aca="false">IF(A609="","",IF(B609=0,"NOT FOUND: bank ID",IF(I609=0,"NOT FOUND: GL ID",IF(INDEX(GL!$H:$H,I609)&lt;&gt;A609,"BROKEN: GL points elsewhere",IF(OR(INDEX(Bank!$F:$F,B609)&lt;&gt;"Y",INDEX(GL!$F:$F,I609)&lt;&gt;"Y"),"BROKEN: Status not Y","OK")))))</f>
        <v/>
      </c>
    </row>
    <row r="610" customFormat="false" ht="15" hidden="false" customHeight="false" outlineLevel="0" collapsed="false">
      <c r="A610" s="41"/>
      <c r="B610" s="5" t="n">
        <f aca="false">IF(A610="",0,IFERROR(MATCH(A610,Bank!$A:$A,0),0))</f>
        <v>0</v>
      </c>
      <c r="C610" s="5" t="str">
        <f aca="false">IF(B610=0,"",IF(INDEX(Bank!$G:$G,B610)="","",INDEX(Bank!$G:$G,B610)))</f>
        <v/>
      </c>
      <c r="D610" s="5" t="str">
        <f aca="false">IF(B610=0,"",IF(INDEX(Bank!$J:$J,B610)="","",INDEX(Bank!$J:$J,B610)))</f>
        <v/>
      </c>
      <c r="E610" s="32" t="str">
        <f aca="false">IF(B610=0,"",INDEX(Bank!$B:$B,B610))</f>
        <v/>
      </c>
      <c r="F610" s="5" t="str">
        <f aca="false">IF(B610=0,"",IF(INDEX(Bank!$C:$C,B610)="","",INDEX(Bank!$C:$C,B610)))</f>
        <v/>
      </c>
      <c r="G610" s="19" t="str">
        <f aca="false">IF(B610=0,"",INDEX(Bank!$E:$E,B610))</f>
        <v/>
      </c>
      <c r="H610" s="5" t="str">
        <f aca="false">IF(B610=0,"",IF(INDEX(Bank!$H:$H,B610)="","",INDEX(Bank!$H:$H,B610)))</f>
        <v/>
      </c>
      <c r="I610" s="5" t="n">
        <f aca="false">IF(H610="",0,IFERROR(MATCH(H610,GL!$A:$A,0),0))</f>
        <v>0</v>
      </c>
      <c r="J610" s="32" t="str">
        <f aca="false">IF(I610=0,"",INDEX(GL!$B:$B,I610))</f>
        <v/>
      </c>
      <c r="K610" s="5" t="str">
        <f aca="false">IF(I610=0,"",IF(INDEX(GL!$C:$C,I610)="","",INDEX(GL!$C:$C,I610)))</f>
        <v/>
      </c>
      <c r="L610" s="19" t="str">
        <f aca="false">IF(I610=0,"",INDEX(GL!$E:$E,I610))</f>
        <v/>
      </c>
      <c r="M610" s="19" t="str">
        <f aca="false">IF(OR(B610=0,I610=0),"",ROUND(G610-L610,2))</f>
        <v/>
      </c>
      <c r="N610" s="5" t="str">
        <f aca="false">IF(A610="","",IF(B610=0,"NOT FOUND: bank ID",IF(I610=0,"NOT FOUND: GL ID",IF(INDEX(GL!$H:$H,I610)&lt;&gt;A610,"BROKEN: GL points elsewhere",IF(OR(INDEX(Bank!$F:$F,B610)&lt;&gt;"Y",INDEX(GL!$F:$F,I610)&lt;&gt;"Y"),"BROKEN: Status not Y","OK")))))</f>
        <v/>
      </c>
    </row>
    <row r="611" customFormat="false" ht="15" hidden="false" customHeight="false" outlineLevel="0" collapsed="false">
      <c r="A611" s="41"/>
      <c r="B611" s="5" t="n">
        <f aca="false">IF(A611="",0,IFERROR(MATCH(A611,Bank!$A:$A,0),0))</f>
        <v>0</v>
      </c>
      <c r="C611" s="5" t="str">
        <f aca="false">IF(B611=0,"",IF(INDEX(Bank!$G:$G,B611)="","",INDEX(Bank!$G:$G,B611)))</f>
        <v/>
      </c>
      <c r="D611" s="5" t="str">
        <f aca="false">IF(B611=0,"",IF(INDEX(Bank!$J:$J,B611)="","",INDEX(Bank!$J:$J,B611)))</f>
        <v/>
      </c>
      <c r="E611" s="32" t="str">
        <f aca="false">IF(B611=0,"",INDEX(Bank!$B:$B,B611))</f>
        <v/>
      </c>
      <c r="F611" s="5" t="str">
        <f aca="false">IF(B611=0,"",IF(INDEX(Bank!$C:$C,B611)="","",INDEX(Bank!$C:$C,B611)))</f>
        <v/>
      </c>
      <c r="G611" s="19" t="str">
        <f aca="false">IF(B611=0,"",INDEX(Bank!$E:$E,B611))</f>
        <v/>
      </c>
      <c r="H611" s="5" t="str">
        <f aca="false">IF(B611=0,"",IF(INDEX(Bank!$H:$H,B611)="","",INDEX(Bank!$H:$H,B611)))</f>
        <v/>
      </c>
      <c r="I611" s="5" t="n">
        <f aca="false">IF(H611="",0,IFERROR(MATCH(H611,GL!$A:$A,0),0))</f>
        <v>0</v>
      </c>
      <c r="J611" s="32" t="str">
        <f aca="false">IF(I611=0,"",INDEX(GL!$B:$B,I611))</f>
        <v/>
      </c>
      <c r="K611" s="5" t="str">
        <f aca="false">IF(I611=0,"",IF(INDEX(GL!$C:$C,I611)="","",INDEX(GL!$C:$C,I611)))</f>
        <v/>
      </c>
      <c r="L611" s="19" t="str">
        <f aca="false">IF(I611=0,"",INDEX(GL!$E:$E,I611))</f>
        <v/>
      </c>
      <c r="M611" s="19" t="str">
        <f aca="false">IF(OR(B611=0,I611=0),"",ROUND(G611-L611,2))</f>
        <v/>
      </c>
      <c r="N611" s="5" t="str">
        <f aca="false">IF(A611="","",IF(B611=0,"NOT FOUND: bank ID",IF(I611=0,"NOT FOUND: GL ID",IF(INDEX(GL!$H:$H,I611)&lt;&gt;A611,"BROKEN: GL points elsewhere",IF(OR(INDEX(Bank!$F:$F,B611)&lt;&gt;"Y",INDEX(GL!$F:$F,I611)&lt;&gt;"Y"),"BROKEN: Status not Y","OK")))))</f>
        <v/>
      </c>
    </row>
    <row r="612" customFormat="false" ht="15" hidden="false" customHeight="false" outlineLevel="0" collapsed="false">
      <c r="A612" s="41"/>
      <c r="B612" s="5" t="n">
        <f aca="false">IF(A612="",0,IFERROR(MATCH(A612,Bank!$A:$A,0),0))</f>
        <v>0</v>
      </c>
      <c r="C612" s="5" t="str">
        <f aca="false">IF(B612=0,"",IF(INDEX(Bank!$G:$G,B612)="","",INDEX(Bank!$G:$G,B612)))</f>
        <v/>
      </c>
      <c r="D612" s="5" t="str">
        <f aca="false">IF(B612=0,"",IF(INDEX(Bank!$J:$J,B612)="","",INDEX(Bank!$J:$J,B612)))</f>
        <v/>
      </c>
      <c r="E612" s="32" t="str">
        <f aca="false">IF(B612=0,"",INDEX(Bank!$B:$B,B612))</f>
        <v/>
      </c>
      <c r="F612" s="5" t="str">
        <f aca="false">IF(B612=0,"",IF(INDEX(Bank!$C:$C,B612)="","",INDEX(Bank!$C:$C,B612)))</f>
        <v/>
      </c>
      <c r="G612" s="19" t="str">
        <f aca="false">IF(B612=0,"",INDEX(Bank!$E:$E,B612))</f>
        <v/>
      </c>
      <c r="H612" s="5" t="str">
        <f aca="false">IF(B612=0,"",IF(INDEX(Bank!$H:$H,B612)="","",INDEX(Bank!$H:$H,B612)))</f>
        <v/>
      </c>
      <c r="I612" s="5" t="n">
        <f aca="false">IF(H612="",0,IFERROR(MATCH(H612,GL!$A:$A,0),0))</f>
        <v>0</v>
      </c>
      <c r="J612" s="32" t="str">
        <f aca="false">IF(I612=0,"",INDEX(GL!$B:$B,I612))</f>
        <v/>
      </c>
      <c r="K612" s="5" t="str">
        <f aca="false">IF(I612=0,"",IF(INDEX(GL!$C:$C,I612)="","",INDEX(GL!$C:$C,I612)))</f>
        <v/>
      </c>
      <c r="L612" s="19" t="str">
        <f aca="false">IF(I612=0,"",INDEX(GL!$E:$E,I612))</f>
        <v/>
      </c>
      <c r="M612" s="19" t="str">
        <f aca="false">IF(OR(B612=0,I612=0),"",ROUND(G612-L612,2))</f>
        <v/>
      </c>
      <c r="N612" s="5" t="str">
        <f aca="false">IF(A612="","",IF(B612=0,"NOT FOUND: bank ID",IF(I612=0,"NOT FOUND: GL ID",IF(INDEX(GL!$H:$H,I612)&lt;&gt;A612,"BROKEN: GL points elsewhere",IF(OR(INDEX(Bank!$F:$F,B612)&lt;&gt;"Y",INDEX(GL!$F:$F,I612)&lt;&gt;"Y"),"BROKEN: Status not Y","OK")))))</f>
        <v/>
      </c>
    </row>
    <row r="613" customFormat="false" ht="15" hidden="false" customHeight="false" outlineLevel="0" collapsed="false">
      <c r="A613" s="41"/>
      <c r="B613" s="5" t="n">
        <f aca="false">IF(A613="",0,IFERROR(MATCH(A613,Bank!$A:$A,0),0))</f>
        <v>0</v>
      </c>
      <c r="C613" s="5" t="str">
        <f aca="false">IF(B613=0,"",IF(INDEX(Bank!$G:$G,B613)="","",INDEX(Bank!$G:$G,B613)))</f>
        <v/>
      </c>
      <c r="D613" s="5" t="str">
        <f aca="false">IF(B613=0,"",IF(INDEX(Bank!$J:$J,B613)="","",INDEX(Bank!$J:$J,B613)))</f>
        <v/>
      </c>
      <c r="E613" s="32" t="str">
        <f aca="false">IF(B613=0,"",INDEX(Bank!$B:$B,B613))</f>
        <v/>
      </c>
      <c r="F613" s="5" t="str">
        <f aca="false">IF(B613=0,"",IF(INDEX(Bank!$C:$C,B613)="","",INDEX(Bank!$C:$C,B613)))</f>
        <v/>
      </c>
      <c r="G613" s="19" t="str">
        <f aca="false">IF(B613=0,"",INDEX(Bank!$E:$E,B613))</f>
        <v/>
      </c>
      <c r="H613" s="5" t="str">
        <f aca="false">IF(B613=0,"",IF(INDEX(Bank!$H:$H,B613)="","",INDEX(Bank!$H:$H,B613)))</f>
        <v/>
      </c>
      <c r="I613" s="5" t="n">
        <f aca="false">IF(H613="",0,IFERROR(MATCH(H613,GL!$A:$A,0),0))</f>
        <v>0</v>
      </c>
      <c r="J613" s="32" t="str">
        <f aca="false">IF(I613=0,"",INDEX(GL!$B:$B,I613))</f>
        <v/>
      </c>
      <c r="K613" s="5" t="str">
        <f aca="false">IF(I613=0,"",IF(INDEX(GL!$C:$C,I613)="","",INDEX(GL!$C:$C,I613)))</f>
        <v/>
      </c>
      <c r="L613" s="19" t="str">
        <f aca="false">IF(I613=0,"",INDEX(GL!$E:$E,I613))</f>
        <v/>
      </c>
      <c r="M613" s="19" t="str">
        <f aca="false">IF(OR(B613=0,I613=0),"",ROUND(G613-L613,2))</f>
        <v/>
      </c>
      <c r="N613" s="5" t="str">
        <f aca="false">IF(A613="","",IF(B613=0,"NOT FOUND: bank ID",IF(I613=0,"NOT FOUND: GL ID",IF(INDEX(GL!$H:$H,I613)&lt;&gt;A613,"BROKEN: GL points elsewhere",IF(OR(INDEX(Bank!$F:$F,B613)&lt;&gt;"Y",INDEX(GL!$F:$F,I613)&lt;&gt;"Y"),"BROKEN: Status not Y","OK")))))</f>
        <v/>
      </c>
    </row>
    <row r="614" customFormat="false" ht="15" hidden="false" customHeight="false" outlineLevel="0" collapsed="false">
      <c r="A614" s="41"/>
      <c r="B614" s="5" t="n">
        <f aca="false">IF(A614="",0,IFERROR(MATCH(A614,Bank!$A:$A,0),0))</f>
        <v>0</v>
      </c>
      <c r="C614" s="5" t="str">
        <f aca="false">IF(B614=0,"",IF(INDEX(Bank!$G:$G,B614)="","",INDEX(Bank!$G:$G,B614)))</f>
        <v/>
      </c>
      <c r="D614" s="5" t="str">
        <f aca="false">IF(B614=0,"",IF(INDEX(Bank!$J:$J,B614)="","",INDEX(Bank!$J:$J,B614)))</f>
        <v/>
      </c>
      <c r="E614" s="32" t="str">
        <f aca="false">IF(B614=0,"",INDEX(Bank!$B:$B,B614))</f>
        <v/>
      </c>
      <c r="F614" s="5" t="str">
        <f aca="false">IF(B614=0,"",IF(INDEX(Bank!$C:$C,B614)="","",INDEX(Bank!$C:$C,B614)))</f>
        <v/>
      </c>
      <c r="G614" s="19" t="str">
        <f aca="false">IF(B614=0,"",INDEX(Bank!$E:$E,B614))</f>
        <v/>
      </c>
      <c r="H614" s="5" t="str">
        <f aca="false">IF(B614=0,"",IF(INDEX(Bank!$H:$H,B614)="","",INDEX(Bank!$H:$H,B614)))</f>
        <v/>
      </c>
      <c r="I614" s="5" t="n">
        <f aca="false">IF(H614="",0,IFERROR(MATCH(H614,GL!$A:$A,0),0))</f>
        <v>0</v>
      </c>
      <c r="J614" s="32" t="str">
        <f aca="false">IF(I614=0,"",INDEX(GL!$B:$B,I614))</f>
        <v/>
      </c>
      <c r="K614" s="5" t="str">
        <f aca="false">IF(I614=0,"",IF(INDEX(GL!$C:$C,I614)="","",INDEX(GL!$C:$C,I614)))</f>
        <v/>
      </c>
      <c r="L614" s="19" t="str">
        <f aca="false">IF(I614=0,"",INDEX(GL!$E:$E,I614))</f>
        <v/>
      </c>
      <c r="M614" s="19" t="str">
        <f aca="false">IF(OR(B614=0,I614=0),"",ROUND(G614-L614,2))</f>
        <v/>
      </c>
      <c r="N614" s="5" t="str">
        <f aca="false">IF(A614="","",IF(B614=0,"NOT FOUND: bank ID",IF(I614=0,"NOT FOUND: GL ID",IF(INDEX(GL!$H:$H,I614)&lt;&gt;A614,"BROKEN: GL points elsewhere",IF(OR(INDEX(Bank!$F:$F,B614)&lt;&gt;"Y",INDEX(GL!$F:$F,I614)&lt;&gt;"Y"),"BROKEN: Status not Y","OK")))))</f>
        <v/>
      </c>
    </row>
    <row r="615" customFormat="false" ht="15" hidden="false" customHeight="false" outlineLevel="0" collapsed="false">
      <c r="A615" s="41"/>
      <c r="B615" s="5" t="n">
        <f aca="false">IF(A615="",0,IFERROR(MATCH(A615,Bank!$A:$A,0),0))</f>
        <v>0</v>
      </c>
      <c r="C615" s="5" t="str">
        <f aca="false">IF(B615=0,"",IF(INDEX(Bank!$G:$G,B615)="","",INDEX(Bank!$G:$G,B615)))</f>
        <v/>
      </c>
      <c r="D615" s="5" t="str">
        <f aca="false">IF(B615=0,"",IF(INDEX(Bank!$J:$J,B615)="","",INDEX(Bank!$J:$J,B615)))</f>
        <v/>
      </c>
      <c r="E615" s="32" t="str">
        <f aca="false">IF(B615=0,"",INDEX(Bank!$B:$B,B615))</f>
        <v/>
      </c>
      <c r="F615" s="5" t="str">
        <f aca="false">IF(B615=0,"",IF(INDEX(Bank!$C:$C,B615)="","",INDEX(Bank!$C:$C,B615)))</f>
        <v/>
      </c>
      <c r="G615" s="19" t="str">
        <f aca="false">IF(B615=0,"",INDEX(Bank!$E:$E,B615))</f>
        <v/>
      </c>
      <c r="H615" s="5" t="str">
        <f aca="false">IF(B615=0,"",IF(INDEX(Bank!$H:$H,B615)="","",INDEX(Bank!$H:$H,B615)))</f>
        <v/>
      </c>
      <c r="I615" s="5" t="n">
        <f aca="false">IF(H615="",0,IFERROR(MATCH(H615,GL!$A:$A,0),0))</f>
        <v>0</v>
      </c>
      <c r="J615" s="32" t="str">
        <f aca="false">IF(I615=0,"",INDEX(GL!$B:$B,I615))</f>
        <v/>
      </c>
      <c r="K615" s="5" t="str">
        <f aca="false">IF(I615=0,"",IF(INDEX(GL!$C:$C,I615)="","",INDEX(GL!$C:$C,I615)))</f>
        <v/>
      </c>
      <c r="L615" s="19" t="str">
        <f aca="false">IF(I615=0,"",INDEX(GL!$E:$E,I615))</f>
        <v/>
      </c>
      <c r="M615" s="19" t="str">
        <f aca="false">IF(OR(B615=0,I615=0),"",ROUND(G615-L615,2))</f>
        <v/>
      </c>
      <c r="N615" s="5" t="str">
        <f aca="false">IF(A615="","",IF(B615=0,"NOT FOUND: bank ID",IF(I615=0,"NOT FOUND: GL ID",IF(INDEX(GL!$H:$H,I615)&lt;&gt;A615,"BROKEN: GL points elsewhere",IF(OR(INDEX(Bank!$F:$F,B615)&lt;&gt;"Y",INDEX(GL!$F:$F,I615)&lt;&gt;"Y"),"BROKEN: Status not Y","OK")))))</f>
        <v/>
      </c>
    </row>
    <row r="616" customFormat="false" ht="15" hidden="false" customHeight="false" outlineLevel="0" collapsed="false">
      <c r="A616" s="41"/>
      <c r="B616" s="5" t="n">
        <f aca="false">IF(A616="",0,IFERROR(MATCH(A616,Bank!$A:$A,0),0))</f>
        <v>0</v>
      </c>
      <c r="C616" s="5" t="str">
        <f aca="false">IF(B616=0,"",IF(INDEX(Bank!$G:$G,B616)="","",INDEX(Bank!$G:$G,B616)))</f>
        <v/>
      </c>
      <c r="D616" s="5" t="str">
        <f aca="false">IF(B616=0,"",IF(INDEX(Bank!$J:$J,B616)="","",INDEX(Bank!$J:$J,B616)))</f>
        <v/>
      </c>
      <c r="E616" s="32" t="str">
        <f aca="false">IF(B616=0,"",INDEX(Bank!$B:$B,B616))</f>
        <v/>
      </c>
      <c r="F616" s="5" t="str">
        <f aca="false">IF(B616=0,"",IF(INDEX(Bank!$C:$C,B616)="","",INDEX(Bank!$C:$C,B616)))</f>
        <v/>
      </c>
      <c r="G616" s="19" t="str">
        <f aca="false">IF(B616=0,"",INDEX(Bank!$E:$E,B616))</f>
        <v/>
      </c>
      <c r="H616" s="5" t="str">
        <f aca="false">IF(B616=0,"",IF(INDEX(Bank!$H:$H,B616)="","",INDEX(Bank!$H:$H,B616)))</f>
        <v/>
      </c>
      <c r="I616" s="5" t="n">
        <f aca="false">IF(H616="",0,IFERROR(MATCH(H616,GL!$A:$A,0),0))</f>
        <v>0</v>
      </c>
      <c r="J616" s="32" t="str">
        <f aca="false">IF(I616=0,"",INDEX(GL!$B:$B,I616))</f>
        <v/>
      </c>
      <c r="K616" s="5" t="str">
        <f aca="false">IF(I616=0,"",IF(INDEX(GL!$C:$C,I616)="","",INDEX(GL!$C:$C,I616)))</f>
        <v/>
      </c>
      <c r="L616" s="19" t="str">
        <f aca="false">IF(I616=0,"",INDEX(GL!$E:$E,I616))</f>
        <v/>
      </c>
      <c r="M616" s="19" t="str">
        <f aca="false">IF(OR(B616=0,I616=0),"",ROUND(G616-L616,2))</f>
        <v/>
      </c>
      <c r="N616" s="5" t="str">
        <f aca="false">IF(A616="","",IF(B616=0,"NOT FOUND: bank ID",IF(I616=0,"NOT FOUND: GL ID",IF(INDEX(GL!$H:$H,I616)&lt;&gt;A616,"BROKEN: GL points elsewhere",IF(OR(INDEX(Bank!$F:$F,B616)&lt;&gt;"Y",INDEX(GL!$F:$F,I616)&lt;&gt;"Y"),"BROKEN: Status not Y","OK")))))</f>
        <v/>
      </c>
    </row>
    <row r="617" customFormat="false" ht="15" hidden="false" customHeight="false" outlineLevel="0" collapsed="false">
      <c r="A617" s="41"/>
      <c r="B617" s="5" t="n">
        <f aca="false">IF(A617="",0,IFERROR(MATCH(A617,Bank!$A:$A,0),0))</f>
        <v>0</v>
      </c>
      <c r="C617" s="5" t="str">
        <f aca="false">IF(B617=0,"",IF(INDEX(Bank!$G:$G,B617)="","",INDEX(Bank!$G:$G,B617)))</f>
        <v/>
      </c>
      <c r="D617" s="5" t="str">
        <f aca="false">IF(B617=0,"",IF(INDEX(Bank!$J:$J,B617)="","",INDEX(Bank!$J:$J,B617)))</f>
        <v/>
      </c>
      <c r="E617" s="32" t="str">
        <f aca="false">IF(B617=0,"",INDEX(Bank!$B:$B,B617))</f>
        <v/>
      </c>
      <c r="F617" s="5" t="str">
        <f aca="false">IF(B617=0,"",IF(INDEX(Bank!$C:$C,B617)="","",INDEX(Bank!$C:$C,B617)))</f>
        <v/>
      </c>
      <c r="G617" s="19" t="str">
        <f aca="false">IF(B617=0,"",INDEX(Bank!$E:$E,B617))</f>
        <v/>
      </c>
      <c r="H617" s="5" t="str">
        <f aca="false">IF(B617=0,"",IF(INDEX(Bank!$H:$H,B617)="","",INDEX(Bank!$H:$H,B617)))</f>
        <v/>
      </c>
      <c r="I617" s="5" t="n">
        <f aca="false">IF(H617="",0,IFERROR(MATCH(H617,GL!$A:$A,0),0))</f>
        <v>0</v>
      </c>
      <c r="J617" s="32" t="str">
        <f aca="false">IF(I617=0,"",INDEX(GL!$B:$B,I617))</f>
        <v/>
      </c>
      <c r="K617" s="5" t="str">
        <f aca="false">IF(I617=0,"",IF(INDEX(GL!$C:$C,I617)="","",INDEX(GL!$C:$C,I617)))</f>
        <v/>
      </c>
      <c r="L617" s="19" t="str">
        <f aca="false">IF(I617=0,"",INDEX(GL!$E:$E,I617))</f>
        <v/>
      </c>
      <c r="M617" s="19" t="str">
        <f aca="false">IF(OR(B617=0,I617=0),"",ROUND(G617-L617,2))</f>
        <v/>
      </c>
      <c r="N617" s="5" t="str">
        <f aca="false">IF(A617="","",IF(B617=0,"NOT FOUND: bank ID",IF(I617=0,"NOT FOUND: GL ID",IF(INDEX(GL!$H:$H,I617)&lt;&gt;A617,"BROKEN: GL points elsewhere",IF(OR(INDEX(Bank!$F:$F,B617)&lt;&gt;"Y",INDEX(GL!$F:$F,I617)&lt;&gt;"Y"),"BROKEN: Status not Y","OK")))))</f>
        <v/>
      </c>
    </row>
    <row r="618" customFormat="false" ht="15" hidden="false" customHeight="false" outlineLevel="0" collapsed="false">
      <c r="A618" s="41"/>
      <c r="B618" s="5" t="n">
        <f aca="false">IF(A618="",0,IFERROR(MATCH(A618,Bank!$A:$A,0),0))</f>
        <v>0</v>
      </c>
      <c r="C618" s="5" t="str">
        <f aca="false">IF(B618=0,"",IF(INDEX(Bank!$G:$G,B618)="","",INDEX(Bank!$G:$G,B618)))</f>
        <v/>
      </c>
      <c r="D618" s="5" t="str">
        <f aca="false">IF(B618=0,"",IF(INDEX(Bank!$J:$J,B618)="","",INDEX(Bank!$J:$J,B618)))</f>
        <v/>
      </c>
      <c r="E618" s="32" t="str">
        <f aca="false">IF(B618=0,"",INDEX(Bank!$B:$B,B618))</f>
        <v/>
      </c>
      <c r="F618" s="5" t="str">
        <f aca="false">IF(B618=0,"",IF(INDEX(Bank!$C:$C,B618)="","",INDEX(Bank!$C:$C,B618)))</f>
        <v/>
      </c>
      <c r="G618" s="19" t="str">
        <f aca="false">IF(B618=0,"",INDEX(Bank!$E:$E,B618))</f>
        <v/>
      </c>
      <c r="H618" s="5" t="str">
        <f aca="false">IF(B618=0,"",IF(INDEX(Bank!$H:$H,B618)="","",INDEX(Bank!$H:$H,B618)))</f>
        <v/>
      </c>
      <c r="I618" s="5" t="n">
        <f aca="false">IF(H618="",0,IFERROR(MATCH(H618,GL!$A:$A,0),0))</f>
        <v>0</v>
      </c>
      <c r="J618" s="32" t="str">
        <f aca="false">IF(I618=0,"",INDEX(GL!$B:$B,I618))</f>
        <v/>
      </c>
      <c r="K618" s="5" t="str">
        <f aca="false">IF(I618=0,"",IF(INDEX(GL!$C:$C,I618)="","",INDEX(GL!$C:$C,I618)))</f>
        <v/>
      </c>
      <c r="L618" s="19" t="str">
        <f aca="false">IF(I618=0,"",INDEX(GL!$E:$E,I618))</f>
        <v/>
      </c>
      <c r="M618" s="19" t="str">
        <f aca="false">IF(OR(B618=0,I618=0),"",ROUND(G618-L618,2))</f>
        <v/>
      </c>
      <c r="N618" s="5" t="str">
        <f aca="false">IF(A618="","",IF(B618=0,"NOT FOUND: bank ID",IF(I618=0,"NOT FOUND: GL ID",IF(INDEX(GL!$H:$H,I618)&lt;&gt;A618,"BROKEN: GL points elsewhere",IF(OR(INDEX(Bank!$F:$F,B618)&lt;&gt;"Y",INDEX(GL!$F:$F,I618)&lt;&gt;"Y"),"BROKEN: Status not Y","OK")))))</f>
        <v/>
      </c>
    </row>
    <row r="619" customFormat="false" ht="15" hidden="false" customHeight="false" outlineLevel="0" collapsed="false">
      <c r="A619" s="41"/>
      <c r="B619" s="5" t="n">
        <f aca="false">IF(A619="",0,IFERROR(MATCH(A619,Bank!$A:$A,0),0))</f>
        <v>0</v>
      </c>
      <c r="C619" s="5" t="str">
        <f aca="false">IF(B619=0,"",IF(INDEX(Bank!$G:$G,B619)="","",INDEX(Bank!$G:$G,B619)))</f>
        <v/>
      </c>
      <c r="D619" s="5" t="str">
        <f aca="false">IF(B619=0,"",IF(INDEX(Bank!$J:$J,B619)="","",INDEX(Bank!$J:$J,B619)))</f>
        <v/>
      </c>
      <c r="E619" s="32" t="str">
        <f aca="false">IF(B619=0,"",INDEX(Bank!$B:$B,B619))</f>
        <v/>
      </c>
      <c r="F619" s="5" t="str">
        <f aca="false">IF(B619=0,"",IF(INDEX(Bank!$C:$C,B619)="","",INDEX(Bank!$C:$C,B619)))</f>
        <v/>
      </c>
      <c r="G619" s="19" t="str">
        <f aca="false">IF(B619=0,"",INDEX(Bank!$E:$E,B619))</f>
        <v/>
      </c>
      <c r="H619" s="5" t="str">
        <f aca="false">IF(B619=0,"",IF(INDEX(Bank!$H:$H,B619)="","",INDEX(Bank!$H:$H,B619)))</f>
        <v/>
      </c>
      <c r="I619" s="5" t="n">
        <f aca="false">IF(H619="",0,IFERROR(MATCH(H619,GL!$A:$A,0),0))</f>
        <v>0</v>
      </c>
      <c r="J619" s="32" t="str">
        <f aca="false">IF(I619=0,"",INDEX(GL!$B:$B,I619))</f>
        <v/>
      </c>
      <c r="K619" s="5" t="str">
        <f aca="false">IF(I619=0,"",IF(INDEX(GL!$C:$C,I619)="","",INDEX(GL!$C:$C,I619)))</f>
        <v/>
      </c>
      <c r="L619" s="19" t="str">
        <f aca="false">IF(I619=0,"",INDEX(GL!$E:$E,I619))</f>
        <v/>
      </c>
      <c r="M619" s="19" t="str">
        <f aca="false">IF(OR(B619=0,I619=0),"",ROUND(G619-L619,2))</f>
        <v/>
      </c>
      <c r="N619" s="5" t="str">
        <f aca="false">IF(A619="","",IF(B619=0,"NOT FOUND: bank ID",IF(I619=0,"NOT FOUND: GL ID",IF(INDEX(GL!$H:$H,I619)&lt;&gt;A619,"BROKEN: GL points elsewhere",IF(OR(INDEX(Bank!$F:$F,B619)&lt;&gt;"Y",INDEX(GL!$F:$F,I619)&lt;&gt;"Y"),"BROKEN: Status not Y","OK")))))</f>
        <v/>
      </c>
    </row>
    <row r="620" customFormat="false" ht="15" hidden="false" customHeight="false" outlineLevel="0" collapsed="false">
      <c r="A620" s="41"/>
      <c r="B620" s="5" t="n">
        <f aca="false">IF(A620="",0,IFERROR(MATCH(A620,Bank!$A:$A,0),0))</f>
        <v>0</v>
      </c>
      <c r="C620" s="5" t="str">
        <f aca="false">IF(B620=0,"",IF(INDEX(Bank!$G:$G,B620)="","",INDEX(Bank!$G:$G,B620)))</f>
        <v/>
      </c>
      <c r="D620" s="5" t="str">
        <f aca="false">IF(B620=0,"",IF(INDEX(Bank!$J:$J,B620)="","",INDEX(Bank!$J:$J,B620)))</f>
        <v/>
      </c>
      <c r="E620" s="32" t="str">
        <f aca="false">IF(B620=0,"",INDEX(Bank!$B:$B,B620))</f>
        <v/>
      </c>
      <c r="F620" s="5" t="str">
        <f aca="false">IF(B620=0,"",IF(INDEX(Bank!$C:$C,B620)="","",INDEX(Bank!$C:$C,B620)))</f>
        <v/>
      </c>
      <c r="G620" s="19" t="str">
        <f aca="false">IF(B620=0,"",INDEX(Bank!$E:$E,B620))</f>
        <v/>
      </c>
      <c r="H620" s="5" t="str">
        <f aca="false">IF(B620=0,"",IF(INDEX(Bank!$H:$H,B620)="","",INDEX(Bank!$H:$H,B620)))</f>
        <v/>
      </c>
      <c r="I620" s="5" t="n">
        <f aca="false">IF(H620="",0,IFERROR(MATCH(H620,GL!$A:$A,0),0))</f>
        <v>0</v>
      </c>
      <c r="J620" s="32" t="str">
        <f aca="false">IF(I620=0,"",INDEX(GL!$B:$B,I620))</f>
        <v/>
      </c>
      <c r="K620" s="5" t="str">
        <f aca="false">IF(I620=0,"",IF(INDEX(GL!$C:$C,I620)="","",INDEX(GL!$C:$C,I620)))</f>
        <v/>
      </c>
      <c r="L620" s="19" t="str">
        <f aca="false">IF(I620=0,"",INDEX(GL!$E:$E,I620))</f>
        <v/>
      </c>
      <c r="M620" s="19" t="str">
        <f aca="false">IF(OR(B620=0,I620=0),"",ROUND(G620-L620,2))</f>
        <v/>
      </c>
      <c r="N620" s="5" t="str">
        <f aca="false">IF(A620="","",IF(B620=0,"NOT FOUND: bank ID",IF(I620=0,"NOT FOUND: GL ID",IF(INDEX(GL!$H:$H,I620)&lt;&gt;A620,"BROKEN: GL points elsewhere",IF(OR(INDEX(Bank!$F:$F,B620)&lt;&gt;"Y",INDEX(GL!$F:$F,I620)&lt;&gt;"Y"),"BROKEN: Status not Y","OK")))))</f>
        <v/>
      </c>
    </row>
    <row r="621" customFormat="false" ht="15" hidden="false" customHeight="false" outlineLevel="0" collapsed="false">
      <c r="A621" s="41"/>
      <c r="B621" s="5" t="n">
        <f aca="false">IF(A621="",0,IFERROR(MATCH(A621,Bank!$A:$A,0),0))</f>
        <v>0</v>
      </c>
      <c r="C621" s="5" t="str">
        <f aca="false">IF(B621=0,"",IF(INDEX(Bank!$G:$G,B621)="","",INDEX(Bank!$G:$G,B621)))</f>
        <v/>
      </c>
      <c r="D621" s="5" t="str">
        <f aca="false">IF(B621=0,"",IF(INDEX(Bank!$J:$J,B621)="","",INDEX(Bank!$J:$J,B621)))</f>
        <v/>
      </c>
      <c r="E621" s="32" t="str">
        <f aca="false">IF(B621=0,"",INDEX(Bank!$B:$B,B621))</f>
        <v/>
      </c>
      <c r="F621" s="5" t="str">
        <f aca="false">IF(B621=0,"",IF(INDEX(Bank!$C:$C,B621)="","",INDEX(Bank!$C:$C,B621)))</f>
        <v/>
      </c>
      <c r="G621" s="19" t="str">
        <f aca="false">IF(B621=0,"",INDEX(Bank!$E:$E,B621))</f>
        <v/>
      </c>
      <c r="H621" s="5" t="str">
        <f aca="false">IF(B621=0,"",IF(INDEX(Bank!$H:$H,B621)="","",INDEX(Bank!$H:$H,B621)))</f>
        <v/>
      </c>
      <c r="I621" s="5" t="n">
        <f aca="false">IF(H621="",0,IFERROR(MATCH(H621,GL!$A:$A,0),0))</f>
        <v>0</v>
      </c>
      <c r="J621" s="32" t="str">
        <f aca="false">IF(I621=0,"",INDEX(GL!$B:$B,I621))</f>
        <v/>
      </c>
      <c r="K621" s="5" t="str">
        <f aca="false">IF(I621=0,"",IF(INDEX(GL!$C:$C,I621)="","",INDEX(GL!$C:$C,I621)))</f>
        <v/>
      </c>
      <c r="L621" s="19" t="str">
        <f aca="false">IF(I621=0,"",INDEX(GL!$E:$E,I621))</f>
        <v/>
      </c>
      <c r="M621" s="19" t="str">
        <f aca="false">IF(OR(B621=0,I621=0),"",ROUND(G621-L621,2))</f>
        <v/>
      </c>
      <c r="N621" s="5" t="str">
        <f aca="false">IF(A621="","",IF(B621=0,"NOT FOUND: bank ID",IF(I621=0,"NOT FOUND: GL ID",IF(INDEX(GL!$H:$H,I621)&lt;&gt;A621,"BROKEN: GL points elsewhere",IF(OR(INDEX(Bank!$F:$F,B621)&lt;&gt;"Y",INDEX(GL!$F:$F,I621)&lt;&gt;"Y"),"BROKEN: Status not Y","OK")))))</f>
        <v/>
      </c>
    </row>
    <row r="622" customFormat="false" ht="15" hidden="false" customHeight="false" outlineLevel="0" collapsed="false">
      <c r="A622" s="41"/>
      <c r="B622" s="5" t="n">
        <f aca="false">IF(A622="",0,IFERROR(MATCH(A622,Bank!$A:$A,0),0))</f>
        <v>0</v>
      </c>
      <c r="C622" s="5" t="str">
        <f aca="false">IF(B622=0,"",IF(INDEX(Bank!$G:$G,B622)="","",INDEX(Bank!$G:$G,B622)))</f>
        <v/>
      </c>
      <c r="D622" s="5" t="str">
        <f aca="false">IF(B622=0,"",IF(INDEX(Bank!$J:$J,B622)="","",INDEX(Bank!$J:$J,B622)))</f>
        <v/>
      </c>
      <c r="E622" s="32" t="str">
        <f aca="false">IF(B622=0,"",INDEX(Bank!$B:$B,B622))</f>
        <v/>
      </c>
      <c r="F622" s="5" t="str">
        <f aca="false">IF(B622=0,"",IF(INDEX(Bank!$C:$C,B622)="","",INDEX(Bank!$C:$C,B622)))</f>
        <v/>
      </c>
      <c r="G622" s="19" t="str">
        <f aca="false">IF(B622=0,"",INDEX(Bank!$E:$E,B622))</f>
        <v/>
      </c>
      <c r="H622" s="5" t="str">
        <f aca="false">IF(B622=0,"",IF(INDEX(Bank!$H:$H,B622)="","",INDEX(Bank!$H:$H,B622)))</f>
        <v/>
      </c>
      <c r="I622" s="5" t="n">
        <f aca="false">IF(H622="",0,IFERROR(MATCH(H622,GL!$A:$A,0),0))</f>
        <v>0</v>
      </c>
      <c r="J622" s="32" t="str">
        <f aca="false">IF(I622=0,"",INDEX(GL!$B:$B,I622))</f>
        <v/>
      </c>
      <c r="K622" s="5" t="str">
        <f aca="false">IF(I622=0,"",IF(INDEX(GL!$C:$C,I622)="","",INDEX(GL!$C:$C,I622)))</f>
        <v/>
      </c>
      <c r="L622" s="19" t="str">
        <f aca="false">IF(I622=0,"",INDEX(GL!$E:$E,I622))</f>
        <v/>
      </c>
      <c r="M622" s="19" t="str">
        <f aca="false">IF(OR(B622=0,I622=0),"",ROUND(G622-L622,2))</f>
        <v/>
      </c>
      <c r="N622" s="5" t="str">
        <f aca="false">IF(A622="","",IF(B622=0,"NOT FOUND: bank ID",IF(I622=0,"NOT FOUND: GL ID",IF(INDEX(GL!$H:$H,I622)&lt;&gt;A622,"BROKEN: GL points elsewhere",IF(OR(INDEX(Bank!$F:$F,B622)&lt;&gt;"Y",INDEX(GL!$F:$F,I622)&lt;&gt;"Y"),"BROKEN: Status not Y","OK")))))</f>
        <v/>
      </c>
    </row>
    <row r="623" customFormat="false" ht="15" hidden="false" customHeight="false" outlineLevel="0" collapsed="false">
      <c r="A623" s="41"/>
      <c r="B623" s="5" t="n">
        <f aca="false">IF(A623="",0,IFERROR(MATCH(A623,Bank!$A:$A,0),0))</f>
        <v>0</v>
      </c>
      <c r="C623" s="5" t="str">
        <f aca="false">IF(B623=0,"",IF(INDEX(Bank!$G:$G,B623)="","",INDEX(Bank!$G:$G,B623)))</f>
        <v/>
      </c>
      <c r="D623" s="5" t="str">
        <f aca="false">IF(B623=0,"",IF(INDEX(Bank!$J:$J,B623)="","",INDEX(Bank!$J:$J,B623)))</f>
        <v/>
      </c>
      <c r="E623" s="32" t="str">
        <f aca="false">IF(B623=0,"",INDEX(Bank!$B:$B,B623))</f>
        <v/>
      </c>
      <c r="F623" s="5" t="str">
        <f aca="false">IF(B623=0,"",IF(INDEX(Bank!$C:$C,B623)="","",INDEX(Bank!$C:$C,B623)))</f>
        <v/>
      </c>
      <c r="G623" s="19" t="str">
        <f aca="false">IF(B623=0,"",INDEX(Bank!$E:$E,B623))</f>
        <v/>
      </c>
      <c r="H623" s="5" t="str">
        <f aca="false">IF(B623=0,"",IF(INDEX(Bank!$H:$H,B623)="","",INDEX(Bank!$H:$H,B623)))</f>
        <v/>
      </c>
      <c r="I623" s="5" t="n">
        <f aca="false">IF(H623="",0,IFERROR(MATCH(H623,GL!$A:$A,0),0))</f>
        <v>0</v>
      </c>
      <c r="J623" s="32" t="str">
        <f aca="false">IF(I623=0,"",INDEX(GL!$B:$B,I623))</f>
        <v/>
      </c>
      <c r="K623" s="5" t="str">
        <f aca="false">IF(I623=0,"",IF(INDEX(GL!$C:$C,I623)="","",INDEX(GL!$C:$C,I623)))</f>
        <v/>
      </c>
      <c r="L623" s="19" t="str">
        <f aca="false">IF(I623=0,"",INDEX(GL!$E:$E,I623))</f>
        <v/>
      </c>
      <c r="M623" s="19" t="str">
        <f aca="false">IF(OR(B623=0,I623=0),"",ROUND(G623-L623,2))</f>
        <v/>
      </c>
      <c r="N623" s="5" t="str">
        <f aca="false">IF(A623="","",IF(B623=0,"NOT FOUND: bank ID",IF(I623=0,"NOT FOUND: GL ID",IF(INDEX(GL!$H:$H,I623)&lt;&gt;A623,"BROKEN: GL points elsewhere",IF(OR(INDEX(Bank!$F:$F,B623)&lt;&gt;"Y",INDEX(GL!$F:$F,I623)&lt;&gt;"Y"),"BROKEN: Status not Y","OK")))))</f>
        <v/>
      </c>
    </row>
    <row r="624" customFormat="false" ht="15" hidden="false" customHeight="false" outlineLevel="0" collapsed="false">
      <c r="A624" s="41"/>
      <c r="B624" s="5" t="n">
        <f aca="false">IF(A624="",0,IFERROR(MATCH(A624,Bank!$A:$A,0),0))</f>
        <v>0</v>
      </c>
      <c r="C624" s="5" t="str">
        <f aca="false">IF(B624=0,"",IF(INDEX(Bank!$G:$G,B624)="","",INDEX(Bank!$G:$G,B624)))</f>
        <v/>
      </c>
      <c r="D624" s="5" t="str">
        <f aca="false">IF(B624=0,"",IF(INDEX(Bank!$J:$J,B624)="","",INDEX(Bank!$J:$J,B624)))</f>
        <v/>
      </c>
      <c r="E624" s="32" t="str">
        <f aca="false">IF(B624=0,"",INDEX(Bank!$B:$B,B624))</f>
        <v/>
      </c>
      <c r="F624" s="5" t="str">
        <f aca="false">IF(B624=0,"",IF(INDEX(Bank!$C:$C,B624)="","",INDEX(Bank!$C:$C,B624)))</f>
        <v/>
      </c>
      <c r="G624" s="19" t="str">
        <f aca="false">IF(B624=0,"",INDEX(Bank!$E:$E,B624))</f>
        <v/>
      </c>
      <c r="H624" s="5" t="str">
        <f aca="false">IF(B624=0,"",IF(INDEX(Bank!$H:$H,B624)="","",INDEX(Bank!$H:$H,B624)))</f>
        <v/>
      </c>
      <c r="I624" s="5" t="n">
        <f aca="false">IF(H624="",0,IFERROR(MATCH(H624,GL!$A:$A,0),0))</f>
        <v>0</v>
      </c>
      <c r="J624" s="32" t="str">
        <f aca="false">IF(I624=0,"",INDEX(GL!$B:$B,I624))</f>
        <v/>
      </c>
      <c r="K624" s="5" t="str">
        <f aca="false">IF(I624=0,"",IF(INDEX(GL!$C:$C,I624)="","",INDEX(GL!$C:$C,I624)))</f>
        <v/>
      </c>
      <c r="L624" s="19" t="str">
        <f aca="false">IF(I624=0,"",INDEX(GL!$E:$E,I624))</f>
        <v/>
      </c>
      <c r="M624" s="19" t="str">
        <f aca="false">IF(OR(B624=0,I624=0),"",ROUND(G624-L624,2))</f>
        <v/>
      </c>
      <c r="N624" s="5" t="str">
        <f aca="false">IF(A624="","",IF(B624=0,"NOT FOUND: bank ID",IF(I624=0,"NOT FOUND: GL ID",IF(INDEX(GL!$H:$H,I624)&lt;&gt;A624,"BROKEN: GL points elsewhere",IF(OR(INDEX(Bank!$F:$F,B624)&lt;&gt;"Y",INDEX(GL!$F:$F,I624)&lt;&gt;"Y"),"BROKEN: Status not Y","OK")))))</f>
        <v/>
      </c>
    </row>
    <row r="625" customFormat="false" ht="15" hidden="false" customHeight="false" outlineLevel="0" collapsed="false">
      <c r="A625" s="41"/>
      <c r="B625" s="5" t="n">
        <f aca="false">IF(A625="",0,IFERROR(MATCH(A625,Bank!$A:$A,0),0))</f>
        <v>0</v>
      </c>
      <c r="C625" s="5" t="str">
        <f aca="false">IF(B625=0,"",IF(INDEX(Bank!$G:$G,B625)="","",INDEX(Bank!$G:$G,B625)))</f>
        <v/>
      </c>
      <c r="D625" s="5" t="str">
        <f aca="false">IF(B625=0,"",IF(INDEX(Bank!$J:$J,B625)="","",INDEX(Bank!$J:$J,B625)))</f>
        <v/>
      </c>
      <c r="E625" s="32" t="str">
        <f aca="false">IF(B625=0,"",INDEX(Bank!$B:$B,B625))</f>
        <v/>
      </c>
      <c r="F625" s="5" t="str">
        <f aca="false">IF(B625=0,"",IF(INDEX(Bank!$C:$C,B625)="","",INDEX(Bank!$C:$C,B625)))</f>
        <v/>
      </c>
      <c r="G625" s="19" t="str">
        <f aca="false">IF(B625=0,"",INDEX(Bank!$E:$E,B625))</f>
        <v/>
      </c>
      <c r="H625" s="5" t="str">
        <f aca="false">IF(B625=0,"",IF(INDEX(Bank!$H:$H,B625)="","",INDEX(Bank!$H:$H,B625)))</f>
        <v/>
      </c>
      <c r="I625" s="5" t="n">
        <f aca="false">IF(H625="",0,IFERROR(MATCH(H625,GL!$A:$A,0),0))</f>
        <v>0</v>
      </c>
      <c r="J625" s="32" t="str">
        <f aca="false">IF(I625=0,"",INDEX(GL!$B:$B,I625))</f>
        <v/>
      </c>
      <c r="K625" s="5" t="str">
        <f aca="false">IF(I625=0,"",IF(INDEX(GL!$C:$C,I625)="","",INDEX(GL!$C:$C,I625)))</f>
        <v/>
      </c>
      <c r="L625" s="19" t="str">
        <f aca="false">IF(I625=0,"",INDEX(GL!$E:$E,I625))</f>
        <v/>
      </c>
      <c r="M625" s="19" t="str">
        <f aca="false">IF(OR(B625=0,I625=0),"",ROUND(G625-L625,2))</f>
        <v/>
      </c>
      <c r="N625" s="5" t="str">
        <f aca="false">IF(A625="","",IF(B625=0,"NOT FOUND: bank ID",IF(I625=0,"NOT FOUND: GL ID",IF(INDEX(GL!$H:$H,I625)&lt;&gt;A625,"BROKEN: GL points elsewhere",IF(OR(INDEX(Bank!$F:$F,B625)&lt;&gt;"Y",INDEX(GL!$F:$F,I625)&lt;&gt;"Y"),"BROKEN: Status not Y","OK")))))</f>
        <v/>
      </c>
    </row>
    <row r="626" customFormat="false" ht="15" hidden="false" customHeight="false" outlineLevel="0" collapsed="false">
      <c r="A626" s="41"/>
      <c r="B626" s="5" t="n">
        <f aca="false">IF(A626="",0,IFERROR(MATCH(A626,Bank!$A:$A,0),0))</f>
        <v>0</v>
      </c>
      <c r="C626" s="5" t="str">
        <f aca="false">IF(B626=0,"",IF(INDEX(Bank!$G:$G,B626)="","",INDEX(Bank!$G:$G,B626)))</f>
        <v/>
      </c>
      <c r="D626" s="5" t="str">
        <f aca="false">IF(B626=0,"",IF(INDEX(Bank!$J:$J,B626)="","",INDEX(Bank!$J:$J,B626)))</f>
        <v/>
      </c>
      <c r="E626" s="32" t="str">
        <f aca="false">IF(B626=0,"",INDEX(Bank!$B:$B,B626))</f>
        <v/>
      </c>
      <c r="F626" s="5" t="str">
        <f aca="false">IF(B626=0,"",IF(INDEX(Bank!$C:$C,B626)="","",INDEX(Bank!$C:$C,B626)))</f>
        <v/>
      </c>
      <c r="G626" s="19" t="str">
        <f aca="false">IF(B626=0,"",INDEX(Bank!$E:$E,B626))</f>
        <v/>
      </c>
      <c r="H626" s="5" t="str">
        <f aca="false">IF(B626=0,"",IF(INDEX(Bank!$H:$H,B626)="","",INDEX(Bank!$H:$H,B626)))</f>
        <v/>
      </c>
      <c r="I626" s="5" t="n">
        <f aca="false">IF(H626="",0,IFERROR(MATCH(H626,GL!$A:$A,0),0))</f>
        <v>0</v>
      </c>
      <c r="J626" s="32" t="str">
        <f aca="false">IF(I626=0,"",INDEX(GL!$B:$B,I626))</f>
        <v/>
      </c>
      <c r="K626" s="5" t="str">
        <f aca="false">IF(I626=0,"",IF(INDEX(GL!$C:$C,I626)="","",INDEX(GL!$C:$C,I626)))</f>
        <v/>
      </c>
      <c r="L626" s="19" t="str">
        <f aca="false">IF(I626=0,"",INDEX(GL!$E:$E,I626))</f>
        <v/>
      </c>
      <c r="M626" s="19" t="str">
        <f aca="false">IF(OR(B626=0,I626=0),"",ROUND(G626-L626,2))</f>
        <v/>
      </c>
      <c r="N626" s="5" t="str">
        <f aca="false">IF(A626="","",IF(B626=0,"NOT FOUND: bank ID",IF(I626=0,"NOT FOUND: GL ID",IF(INDEX(GL!$H:$H,I626)&lt;&gt;A626,"BROKEN: GL points elsewhere",IF(OR(INDEX(Bank!$F:$F,B626)&lt;&gt;"Y",INDEX(GL!$F:$F,I626)&lt;&gt;"Y"),"BROKEN: Status not Y","OK")))))</f>
        <v/>
      </c>
    </row>
    <row r="627" customFormat="false" ht="15" hidden="false" customHeight="false" outlineLevel="0" collapsed="false">
      <c r="A627" s="41"/>
      <c r="B627" s="5" t="n">
        <f aca="false">IF(A627="",0,IFERROR(MATCH(A627,Bank!$A:$A,0),0))</f>
        <v>0</v>
      </c>
      <c r="C627" s="5" t="str">
        <f aca="false">IF(B627=0,"",IF(INDEX(Bank!$G:$G,B627)="","",INDEX(Bank!$G:$G,B627)))</f>
        <v/>
      </c>
      <c r="D627" s="5" t="str">
        <f aca="false">IF(B627=0,"",IF(INDEX(Bank!$J:$J,B627)="","",INDEX(Bank!$J:$J,B627)))</f>
        <v/>
      </c>
      <c r="E627" s="32" t="str">
        <f aca="false">IF(B627=0,"",INDEX(Bank!$B:$B,B627))</f>
        <v/>
      </c>
      <c r="F627" s="5" t="str">
        <f aca="false">IF(B627=0,"",IF(INDEX(Bank!$C:$C,B627)="","",INDEX(Bank!$C:$C,B627)))</f>
        <v/>
      </c>
      <c r="G627" s="19" t="str">
        <f aca="false">IF(B627=0,"",INDEX(Bank!$E:$E,B627))</f>
        <v/>
      </c>
      <c r="H627" s="5" t="str">
        <f aca="false">IF(B627=0,"",IF(INDEX(Bank!$H:$H,B627)="","",INDEX(Bank!$H:$H,B627)))</f>
        <v/>
      </c>
      <c r="I627" s="5" t="n">
        <f aca="false">IF(H627="",0,IFERROR(MATCH(H627,GL!$A:$A,0),0))</f>
        <v>0</v>
      </c>
      <c r="J627" s="32" t="str">
        <f aca="false">IF(I627=0,"",INDEX(GL!$B:$B,I627))</f>
        <v/>
      </c>
      <c r="K627" s="5" t="str">
        <f aca="false">IF(I627=0,"",IF(INDEX(GL!$C:$C,I627)="","",INDEX(GL!$C:$C,I627)))</f>
        <v/>
      </c>
      <c r="L627" s="19" t="str">
        <f aca="false">IF(I627=0,"",INDEX(GL!$E:$E,I627))</f>
        <v/>
      </c>
      <c r="M627" s="19" t="str">
        <f aca="false">IF(OR(B627=0,I627=0),"",ROUND(G627-L627,2))</f>
        <v/>
      </c>
      <c r="N627" s="5" t="str">
        <f aca="false">IF(A627="","",IF(B627=0,"NOT FOUND: bank ID",IF(I627=0,"NOT FOUND: GL ID",IF(INDEX(GL!$H:$H,I627)&lt;&gt;A627,"BROKEN: GL points elsewhere",IF(OR(INDEX(Bank!$F:$F,B627)&lt;&gt;"Y",INDEX(GL!$F:$F,I627)&lt;&gt;"Y"),"BROKEN: Status not Y","OK")))))</f>
        <v/>
      </c>
    </row>
    <row r="628" customFormat="false" ht="15" hidden="false" customHeight="false" outlineLevel="0" collapsed="false">
      <c r="A628" s="41"/>
      <c r="B628" s="5" t="n">
        <f aca="false">IF(A628="",0,IFERROR(MATCH(A628,Bank!$A:$A,0),0))</f>
        <v>0</v>
      </c>
      <c r="C628" s="5" t="str">
        <f aca="false">IF(B628=0,"",IF(INDEX(Bank!$G:$G,B628)="","",INDEX(Bank!$G:$G,B628)))</f>
        <v/>
      </c>
      <c r="D628" s="5" t="str">
        <f aca="false">IF(B628=0,"",IF(INDEX(Bank!$J:$J,B628)="","",INDEX(Bank!$J:$J,B628)))</f>
        <v/>
      </c>
      <c r="E628" s="32" t="str">
        <f aca="false">IF(B628=0,"",INDEX(Bank!$B:$B,B628))</f>
        <v/>
      </c>
      <c r="F628" s="5" t="str">
        <f aca="false">IF(B628=0,"",IF(INDEX(Bank!$C:$C,B628)="","",INDEX(Bank!$C:$C,B628)))</f>
        <v/>
      </c>
      <c r="G628" s="19" t="str">
        <f aca="false">IF(B628=0,"",INDEX(Bank!$E:$E,B628))</f>
        <v/>
      </c>
      <c r="H628" s="5" t="str">
        <f aca="false">IF(B628=0,"",IF(INDEX(Bank!$H:$H,B628)="","",INDEX(Bank!$H:$H,B628)))</f>
        <v/>
      </c>
      <c r="I628" s="5" t="n">
        <f aca="false">IF(H628="",0,IFERROR(MATCH(H628,GL!$A:$A,0),0))</f>
        <v>0</v>
      </c>
      <c r="J628" s="32" t="str">
        <f aca="false">IF(I628=0,"",INDEX(GL!$B:$B,I628))</f>
        <v/>
      </c>
      <c r="K628" s="5" t="str">
        <f aca="false">IF(I628=0,"",IF(INDEX(GL!$C:$C,I628)="","",INDEX(GL!$C:$C,I628)))</f>
        <v/>
      </c>
      <c r="L628" s="19" t="str">
        <f aca="false">IF(I628=0,"",INDEX(GL!$E:$E,I628))</f>
        <v/>
      </c>
      <c r="M628" s="19" t="str">
        <f aca="false">IF(OR(B628=0,I628=0),"",ROUND(G628-L628,2))</f>
        <v/>
      </c>
      <c r="N628" s="5" t="str">
        <f aca="false">IF(A628="","",IF(B628=0,"NOT FOUND: bank ID",IF(I628=0,"NOT FOUND: GL ID",IF(INDEX(GL!$H:$H,I628)&lt;&gt;A628,"BROKEN: GL points elsewhere",IF(OR(INDEX(Bank!$F:$F,B628)&lt;&gt;"Y",INDEX(GL!$F:$F,I628)&lt;&gt;"Y"),"BROKEN: Status not Y","OK")))))</f>
        <v/>
      </c>
    </row>
    <row r="629" customFormat="false" ht="15" hidden="false" customHeight="false" outlineLevel="0" collapsed="false">
      <c r="A629" s="41"/>
      <c r="B629" s="5" t="n">
        <f aca="false">IF(A629="",0,IFERROR(MATCH(A629,Bank!$A:$A,0),0))</f>
        <v>0</v>
      </c>
      <c r="C629" s="5" t="str">
        <f aca="false">IF(B629=0,"",IF(INDEX(Bank!$G:$G,B629)="","",INDEX(Bank!$G:$G,B629)))</f>
        <v/>
      </c>
      <c r="D629" s="5" t="str">
        <f aca="false">IF(B629=0,"",IF(INDEX(Bank!$J:$J,B629)="","",INDEX(Bank!$J:$J,B629)))</f>
        <v/>
      </c>
      <c r="E629" s="32" t="str">
        <f aca="false">IF(B629=0,"",INDEX(Bank!$B:$B,B629))</f>
        <v/>
      </c>
      <c r="F629" s="5" t="str">
        <f aca="false">IF(B629=0,"",IF(INDEX(Bank!$C:$C,B629)="","",INDEX(Bank!$C:$C,B629)))</f>
        <v/>
      </c>
      <c r="G629" s="19" t="str">
        <f aca="false">IF(B629=0,"",INDEX(Bank!$E:$E,B629))</f>
        <v/>
      </c>
      <c r="H629" s="5" t="str">
        <f aca="false">IF(B629=0,"",IF(INDEX(Bank!$H:$H,B629)="","",INDEX(Bank!$H:$H,B629)))</f>
        <v/>
      </c>
      <c r="I629" s="5" t="n">
        <f aca="false">IF(H629="",0,IFERROR(MATCH(H629,GL!$A:$A,0),0))</f>
        <v>0</v>
      </c>
      <c r="J629" s="32" t="str">
        <f aca="false">IF(I629=0,"",INDEX(GL!$B:$B,I629))</f>
        <v/>
      </c>
      <c r="K629" s="5" t="str">
        <f aca="false">IF(I629=0,"",IF(INDEX(GL!$C:$C,I629)="","",INDEX(GL!$C:$C,I629)))</f>
        <v/>
      </c>
      <c r="L629" s="19" t="str">
        <f aca="false">IF(I629=0,"",INDEX(GL!$E:$E,I629))</f>
        <v/>
      </c>
      <c r="M629" s="19" t="str">
        <f aca="false">IF(OR(B629=0,I629=0),"",ROUND(G629-L629,2))</f>
        <v/>
      </c>
      <c r="N629" s="5" t="str">
        <f aca="false">IF(A629="","",IF(B629=0,"NOT FOUND: bank ID",IF(I629=0,"NOT FOUND: GL ID",IF(INDEX(GL!$H:$H,I629)&lt;&gt;A629,"BROKEN: GL points elsewhere",IF(OR(INDEX(Bank!$F:$F,B629)&lt;&gt;"Y",INDEX(GL!$F:$F,I629)&lt;&gt;"Y"),"BROKEN: Status not Y","OK")))))</f>
        <v/>
      </c>
    </row>
    <row r="630" customFormat="false" ht="15" hidden="false" customHeight="false" outlineLevel="0" collapsed="false">
      <c r="A630" s="41"/>
      <c r="B630" s="5" t="n">
        <f aca="false">IF(A630="",0,IFERROR(MATCH(A630,Bank!$A:$A,0),0))</f>
        <v>0</v>
      </c>
      <c r="C630" s="5" t="str">
        <f aca="false">IF(B630=0,"",IF(INDEX(Bank!$G:$G,B630)="","",INDEX(Bank!$G:$G,B630)))</f>
        <v/>
      </c>
      <c r="D630" s="5" t="str">
        <f aca="false">IF(B630=0,"",IF(INDEX(Bank!$J:$J,B630)="","",INDEX(Bank!$J:$J,B630)))</f>
        <v/>
      </c>
      <c r="E630" s="32" t="str">
        <f aca="false">IF(B630=0,"",INDEX(Bank!$B:$B,B630))</f>
        <v/>
      </c>
      <c r="F630" s="5" t="str">
        <f aca="false">IF(B630=0,"",IF(INDEX(Bank!$C:$C,B630)="","",INDEX(Bank!$C:$C,B630)))</f>
        <v/>
      </c>
      <c r="G630" s="19" t="str">
        <f aca="false">IF(B630=0,"",INDEX(Bank!$E:$E,B630))</f>
        <v/>
      </c>
      <c r="H630" s="5" t="str">
        <f aca="false">IF(B630=0,"",IF(INDEX(Bank!$H:$H,B630)="","",INDEX(Bank!$H:$H,B630)))</f>
        <v/>
      </c>
      <c r="I630" s="5" t="n">
        <f aca="false">IF(H630="",0,IFERROR(MATCH(H630,GL!$A:$A,0),0))</f>
        <v>0</v>
      </c>
      <c r="J630" s="32" t="str">
        <f aca="false">IF(I630=0,"",INDEX(GL!$B:$B,I630))</f>
        <v/>
      </c>
      <c r="K630" s="5" t="str">
        <f aca="false">IF(I630=0,"",IF(INDEX(GL!$C:$C,I630)="","",INDEX(GL!$C:$C,I630)))</f>
        <v/>
      </c>
      <c r="L630" s="19" t="str">
        <f aca="false">IF(I630=0,"",INDEX(GL!$E:$E,I630))</f>
        <v/>
      </c>
      <c r="M630" s="19" t="str">
        <f aca="false">IF(OR(B630=0,I630=0),"",ROUND(G630-L630,2))</f>
        <v/>
      </c>
      <c r="N630" s="5" t="str">
        <f aca="false">IF(A630="","",IF(B630=0,"NOT FOUND: bank ID",IF(I630=0,"NOT FOUND: GL ID",IF(INDEX(GL!$H:$H,I630)&lt;&gt;A630,"BROKEN: GL points elsewhere",IF(OR(INDEX(Bank!$F:$F,B630)&lt;&gt;"Y",INDEX(GL!$F:$F,I630)&lt;&gt;"Y"),"BROKEN: Status not Y","OK")))))</f>
        <v/>
      </c>
    </row>
    <row r="631" customFormat="false" ht="15" hidden="false" customHeight="false" outlineLevel="0" collapsed="false">
      <c r="A631" s="41"/>
      <c r="B631" s="5" t="n">
        <f aca="false">IF(A631="",0,IFERROR(MATCH(A631,Bank!$A:$A,0),0))</f>
        <v>0</v>
      </c>
      <c r="C631" s="5" t="str">
        <f aca="false">IF(B631=0,"",IF(INDEX(Bank!$G:$G,B631)="","",INDEX(Bank!$G:$G,B631)))</f>
        <v/>
      </c>
      <c r="D631" s="5" t="str">
        <f aca="false">IF(B631=0,"",IF(INDEX(Bank!$J:$J,B631)="","",INDEX(Bank!$J:$J,B631)))</f>
        <v/>
      </c>
      <c r="E631" s="32" t="str">
        <f aca="false">IF(B631=0,"",INDEX(Bank!$B:$B,B631))</f>
        <v/>
      </c>
      <c r="F631" s="5" t="str">
        <f aca="false">IF(B631=0,"",IF(INDEX(Bank!$C:$C,B631)="","",INDEX(Bank!$C:$C,B631)))</f>
        <v/>
      </c>
      <c r="G631" s="19" t="str">
        <f aca="false">IF(B631=0,"",INDEX(Bank!$E:$E,B631))</f>
        <v/>
      </c>
      <c r="H631" s="5" t="str">
        <f aca="false">IF(B631=0,"",IF(INDEX(Bank!$H:$H,B631)="","",INDEX(Bank!$H:$H,B631)))</f>
        <v/>
      </c>
      <c r="I631" s="5" t="n">
        <f aca="false">IF(H631="",0,IFERROR(MATCH(H631,GL!$A:$A,0),0))</f>
        <v>0</v>
      </c>
      <c r="J631" s="32" t="str">
        <f aca="false">IF(I631=0,"",INDEX(GL!$B:$B,I631))</f>
        <v/>
      </c>
      <c r="K631" s="5" t="str">
        <f aca="false">IF(I631=0,"",IF(INDEX(GL!$C:$C,I631)="","",INDEX(GL!$C:$C,I631)))</f>
        <v/>
      </c>
      <c r="L631" s="19" t="str">
        <f aca="false">IF(I631=0,"",INDEX(GL!$E:$E,I631))</f>
        <v/>
      </c>
      <c r="M631" s="19" t="str">
        <f aca="false">IF(OR(B631=0,I631=0),"",ROUND(G631-L631,2))</f>
        <v/>
      </c>
      <c r="N631" s="5" t="str">
        <f aca="false">IF(A631="","",IF(B631=0,"NOT FOUND: bank ID",IF(I631=0,"NOT FOUND: GL ID",IF(INDEX(GL!$H:$H,I631)&lt;&gt;A631,"BROKEN: GL points elsewhere",IF(OR(INDEX(Bank!$F:$F,B631)&lt;&gt;"Y",INDEX(GL!$F:$F,I631)&lt;&gt;"Y"),"BROKEN: Status not Y","OK")))))</f>
        <v/>
      </c>
    </row>
    <row r="632" customFormat="false" ht="15" hidden="false" customHeight="false" outlineLevel="0" collapsed="false">
      <c r="A632" s="41"/>
      <c r="B632" s="5" t="n">
        <f aca="false">IF(A632="",0,IFERROR(MATCH(A632,Bank!$A:$A,0),0))</f>
        <v>0</v>
      </c>
      <c r="C632" s="5" t="str">
        <f aca="false">IF(B632=0,"",IF(INDEX(Bank!$G:$G,B632)="","",INDEX(Bank!$G:$G,B632)))</f>
        <v/>
      </c>
      <c r="D632" s="5" t="str">
        <f aca="false">IF(B632=0,"",IF(INDEX(Bank!$J:$J,B632)="","",INDEX(Bank!$J:$J,B632)))</f>
        <v/>
      </c>
      <c r="E632" s="32" t="str">
        <f aca="false">IF(B632=0,"",INDEX(Bank!$B:$B,B632))</f>
        <v/>
      </c>
      <c r="F632" s="5" t="str">
        <f aca="false">IF(B632=0,"",IF(INDEX(Bank!$C:$C,B632)="","",INDEX(Bank!$C:$C,B632)))</f>
        <v/>
      </c>
      <c r="G632" s="19" t="str">
        <f aca="false">IF(B632=0,"",INDEX(Bank!$E:$E,B632))</f>
        <v/>
      </c>
      <c r="H632" s="5" t="str">
        <f aca="false">IF(B632=0,"",IF(INDEX(Bank!$H:$H,B632)="","",INDEX(Bank!$H:$H,B632)))</f>
        <v/>
      </c>
      <c r="I632" s="5" t="n">
        <f aca="false">IF(H632="",0,IFERROR(MATCH(H632,GL!$A:$A,0),0))</f>
        <v>0</v>
      </c>
      <c r="J632" s="32" t="str">
        <f aca="false">IF(I632=0,"",INDEX(GL!$B:$B,I632))</f>
        <v/>
      </c>
      <c r="K632" s="5" t="str">
        <f aca="false">IF(I632=0,"",IF(INDEX(GL!$C:$C,I632)="","",INDEX(GL!$C:$C,I632)))</f>
        <v/>
      </c>
      <c r="L632" s="19" t="str">
        <f aca="false">IF(I632=0,"",INDEX(GL!$E:$E,I632))</f>
        <v/>
      </c>
      <c r="M632" s="19" t="str">
        <f aca="false">IF(OR(B632=0,I632=0),"",ROUND(G632-L632,2))</f>
        <v/>
      </c>
      <c r="N632" s="5" t="str">
        <f aca="false">IF(A632="","",IF(B632=0,"NOT FOUND: bank ID",IF(I632=0,"NOT FOUND: GL ID",IF(INDEX(GL!$H:$H,I632)&lt;&gt;A632,"BROKEN: GL points elsewhere",IF(OR(INDEX(Bank!$F:$F,B632)&lt;&gt;"Y",INDEX(GL!$F:$F,I632)&lt;&gt;"Y"),"BROKEN: Status not Y","OK")))))</f>
        <v/>
      </c>
    </row>
    <row r="633" customFormat="false" ht="15" hidden="false" customHeight="false" outlineLevel="0" collapsed="false">
      <c r="A633" s="41"/>
      <c r="B633" s="5" t="n">
        <f aca="false">IF(A633="",0,IFERROR(MATCH(A633,Bank!$A:$A,0),0))</f>
        <v>0</v>
      </c>
      <c r="C633" s="5" t="str">
        <f aca="false">IF(B633=0,"",IF(INDEX(Bank!$G:$G,B633)="","",INDEX(Bank!$G:$G,B633)))</f>
        <v/>
      </c>
      <c r="D633" s="5" t="str">
        <f aca="false">IF(B633=0,"",IF(INDEX(Bank!$J:$J,B633)="","",INDEX(Bank!$J:$J,B633)))</f>
        <v/>
      </c>
      <c r="E633" s="32" t="str">
        <f aca="false">IF(B633=0,"",INDEX(Bank!$B:$B,B633))</f>
        <v/>
      </c>
      <c r="F633" s="5" t="str">
        <f aca="false">IF(B633=0,"",IF(INDEX(Bank!$C:$C,B633)="","",INDEX(Bank!$C:$C,B633)))</f>
        <v/>
      </c>
      <c r="G633" s="19" t="str">
        <f aca="false">IF(B633=0,"",INDEX(Bank!$E:$E,B633))</f>
        <v/>
      </c>
      <c r="H633" s="5" t="str">
        <f aca="false">IF(B633=0,"",IF(INDEX(Bank!$H:$H,B633)="","",INDEX(Bank!$H:$H,B633)))</f>
        <v/>
      </c>
      <c r="I633" s="5" t="n">
        <f aca="false">IF(H633="",0,IFERROR(MATCH(H633,GL!$A:$A,0),0))</f>
        <v>0</v>
      </c>
      <c r="J633" s="32" t="str">
        <f aca="false">IF(I633=0,"",INDEX(GL!$B:$B,I633))</f>
        <v/>
      </c>
      <c r="K633" s="5" t="str">
        <f aca="false">IF(I633=0,"",IF(INDEX(GL!$C:$C,I633)="","",INDEX(GL!$C:$C,I633)))</f>
        <v/>
      </c>
      <c r="L633" s="19" t="str">
        <f aca="false">IF(I633=0,"",INDEX(GL!$E:$E,I633))</f>
        <v/>
      </c>
      <c r="M633" s="19" t="str">
        <f aca="false">IF(OR(B633=0,I633=0),"",ROUND(G633-L633,2))</f>
        <v/>
      </c>
      <c r="N633" s="5" t="str">
        <f aca="false">IF(A633="","",IF(B633=0,"NOT FOUND: bank ID",IF(I633=0,"NOT FOUND: GL ID",IF(INDEX(GL!$H:$H,I633)&lt;&gt;A633,"BROKEN: GL points elsewhere",IF(OR(INDEX(Bank!$F:$F,B633)&lt;&gt;"Y",INDEX(GL!$F:$F,I633)&lt;&gt;"Y"),"BROKEN: Status not Y","OK")))))</f>
        <v/>
      </c>
    </row>
    <row r="634" customFormat="false" ht="15" hidden="false" customHeight="false" outlineLevel="0" collapsed="false">
      <c r="A634" s="41"/>
      <c r="B634" s="5" t="n">
        <f aca="false">IF(A634="",0,IFERROR(MATCH(A634,Bank!$A:$A,0),0))</f>
        <v>0</v>
      </c>
      <c r="C634" s="5" t="str">
        <f aca="false">IF(B634=0,"",IF(INDEX(Bank!$G:$G,B634)="","",INDEX(Bank!$G:$G,B634)))</f>
        <v/>
      </c>
      <c r="D634" s="5" t="str">
        <f aca="false">IF(B634=0,"",IF(INDEX(Bank!$J:$J,B634)="","",INDEX(Bank!$J:$J,B634)))</f>
        <v/>
      </c>
      <c r="E634" s="32" t="str">
        <f aca="false">IF(B634=0,"",INDEX(Bank!$B:$B,B634))</f>
        <v/>
      </c>
      <c r="F634" s="5" t="str">
        <f aca="false">IF(B634=0,"",IF(INDEX(Bank!$C:$C,B634)="","",INDEX(Bank!$C:$C,B634)))</f>
        <v/>
      </c>
      <c r="G634" s="19" t="str">
        <f aca="false">IF(B634=0,"",INDEX(Bank!$E:$E,B634))</f>
        <v/>
      </c>
      <c r="H634" s="5" t="str">
        <f aca="false">IF(B634=0,"",IF(INDEX(Bank!$H:$H,B634)="","",INDEX(Bank!$H:$H,B634)))</f>
        <v/>
      </c>
      <c r="I634" s="5" t="n">
        <f aca="false">IF(H634="",0,IFERROR(MATCH(H634,GL!$A:$A,0),0))</f>
        <v>0</v>
      </c>
      <c r="J634" s="32" t="str">
        <f aca="false">IF(I634=0,"",INDEX(GL!$B:$B,I634))</f>
        <v/>
      </c>
      <c r="K634" s="5" t="str">
        <f aca="false">IF(I634=0,"",IF(INDEX(GL!$C:$C,I634)="","",INDEX(GL!$C:$C,I634)))</f>
        <v/>
      </c>
      <c r="L634" s="19" t="str">
        <f aca="false">IF(I634=0,"",INDEX(GL!$E:$E,I634))</f>
        <v/>
      </c>
      <c r="M634" s="19" t="str">
        <f aca="false">IF(OR(B634=0,I634=0),"",ROUND(G634-L634,2))</f>
        <v/>
      </c>
      <c r="N634" s="5" t="str">
        <f aca="false">IF(A634="","",IF(B634=0,"NOT FOUND: bank ID",IF(I634=0,"NOT FOUND: GL ID",IF(INDEX(GL!$H:$H,I634)&lt;&gt;A634,"BROKEN: GL points elsewhere",IF(OR(INDEX(Bank!$F:$F,B634)&lt;&gt;"Y",INDEX(GL!$F:$F,I634)&lt;&gt;"Y"),"BROKEN: Status not Y","OK")))))</f>
        <v/>
      </c>
    </row>
    <row r="635" customFormat="false" ht="15" hidden="false" customHeight="false" outlineLevel="0" collapsed="false">
      <c r="A635" s="41"/>
      <c r="B635" s="5" t="n">
        <f aca="false">IF(A635="",0,IFERROR(MATCH(A635,Bank!$A:$A,0),0))</f>
        <v>0</v>
      </c>
      <c r="C635" s="5" t="str">
        <f aca="false">IF(B635=0,"",IF(INDEX(Bank!$G:$G,B635)="","",INDEX(Bank!$G:$G,B635)))</f>
        <v/>
      </c>
      <c r="D635" s="5" t="str">
        <f aca="false">IF(B635=0,"",IF(INDEX(Bank!$J:$J,B635)="","",INDEX(Bank!$J:$J,B635)))</f>
        <v/>
      </c>
      <c r="E635" s="32" t="str">
        <f aca="false">IF(B635=0,"",INDEX(Bank!$B:$B,B635))</f>
        <v/>
      </c>
      <c r="F635" s="5" t="str">
        <f aca="false">IF(B635=0,"",IF(INDEX(Bank!$C:$C,B635)="","",INDEX(Bank!$C:$C,B635)))</f>
        <v/>
      </c>
      <c r="G635" s="19" t="str">
        <f aca="false">IF(B635=0,"",INDEX(Bank!$E:$E,B635))</f>
        <v/>
      </c>
      <c r="H635" s="5" t="str">
        <f aca="false">IF(B635=0,"",IF(INDEX(Bank!$H:$H,B635)="","",INDEX(Bank!$H:$H,B635)))</f>
        <v/>
      </c>
      <c r="I635" s="5" t="n">
        <f aca="false">IF(H635="",0,IFERROR(MATCH(H635,GL!$A:$A,0),0))</f>
        <v>0</v>
      </c>
      <c r="J635" s="32" t="str">
        <f aca="false">IF(I635=0,"",INDEX(GL!$B:$B,I635))</f>
        <v/>
      </c>
      <c r="K635" s="5" t="str">
        <f aca="false">IF(I635=0,"",IF(INDEX(GL!$C:$C,I635)="","",INDEX(GL!$C:$C,I635)))</f>
        <v/>
      </c>
      <c r="L635" s="19" t="str">
        <f aca="false">IF(I635=0,"",INDEX(GL!$E:$E,I635))</f>
        <v/>
      </c>
      <c r="M635" s="19" t="str">
        <f aca="false">IF(OR(B635=0,I635=0),"",ROUND(G635-L635,2))</f>
        <v/>
      </c>
      <c r="N635" s="5" t="str">
        <f aca="false">IF(A635="","",IF(B635=0,"NOT FOUND: bank ID",IF(I635=0,"NOT FOUND: GL ID",IF(INDEX(GL!$H:$H,I635)&lt;&gt;A635,"BROKEN: GL points elsewhere",IF(OR(INDEX(Bank!$F:$F,B635)&lt;&gt;"Y",INDEX(GL!$F:$F,I635)&lt;&gt;"Y"),"BROKEN: Status not Y","OK")))))</f>
        <v/>
      </c>
    </row>
    <row r="636" customFormat="false" ht="15" hidden="false" customHeight="false" outlineLevel="0" collapsed="false">
      <c r="A636" s="41"/>
      <c r="B636" s="5" t="n">
        <f aca="false">IF(A636="",0,IFERROR(MATCH(A636,Bank!$A:$A,0),0))</f>
        <v>0</v>
      </c>
      <c r="C636" s="5" t="str">
        <f aca="false">IF(B636=0,"",IF(INDEX(Bank!$G:$G,B636)="","",INDEX(Bank!$G:$G,B636)))</f>
        <v/>
      </c>
      <c r="D636" s="5" t="str">
        <f aca="false">IF(B636=0,"",IF(INDEX(Bank!$J:$J,B636)="","",INDEX(Bank!$J:$J,B636)))</f>
        <v/>
      </c>
      <c r="E636" s="32" t="str">
        <f aca="false">IF(B636=0,"",INDEX(Bank!$B:$B,B636))</f>
        <v/>
      </c>
      <c r="F636" s="5" t="str">
        <f aca="false">IF(B636=0,"",IF(INDEX(Bank!$C:$C,B636)="","",INDEX(Bank!$C:$C,B636)))</f>
        <v/>
      </c>
      <c r="G636" s="19" t="str">
        <f aca="false">IF(B636=0,"",INDEX(Bank!$E:$E,B636))</f>
        <v/>
      </c>
      <c r="H636" s="5" t="str">
        <f aca="false">IF(B636=0,"",IF(INDEX(Bank!$H:$H,B636)="","",INDEX(Bank!$H:$H,B636)))</f>
        <v/>
      </c>
      <c r="I636" s="5" t="n">
        <f aca="false">IF(H636="",0,IFERROR(MATCH(H636,GL!$A:$A,0),0))</f>
        <v>0</v>
      </c>
      <c r="J636" s="32" t="str">
        <f aca="false">IF(I636=0,"",INDEX(GL!$B:$B,I636))</f>
        <v/>
      </c>
      <c r="K636" s="5" t="str">
        <f aca="false">IF(I636=0,"",IF(INDEX(GL!$C:$C,I636)="","",INDEX(GL!$C:$C,I636)))</f>
        <v/>
      </c>
      <c r="L636" s="19" t="str">
        <f aca="false">IF(I636=0,"",INDEX(GL!$E:$E,I636))</f>
        <v/>
      </c>
      <c r="M636" s="19" t="str">
        <f aca="false">IF(OR(B636=0,I636=0),"",ROUND(G636-L636,2))</f>
        <v/>
      </c>
      <c r="N636" s="5" t="str">
        <f aca="false">IF(A636="","",IF(B636=0,"NOT FOUND: bank ID",IF(I636=0,"NOT FOUND: GL ID",IF(INDEX(GL!$H:$H,I636)&lt;&gt;A636,"BROKEN: GL points elsewhere",IF(OR(INDEX(Bank!$F:$F,B636)&lt;&gt;"Y",INDEX(GL!$F:$F,I636)&lt;&gt;"Y"),"BROKEN: Status not Y","OK")))))</f>
        <v/>
      </c>
    </row>
    <row r="637" customFormat="false" ht="15" hidden="false" customHeight="false" outlineLevel="0" collapsed="false">
      <c r="A637" s="41"/>
      <c r="B637" s="5" t="n">
        <f aca="false">IF(A637="",0,IFERROR(MATCH(A637,Bank!$A:$A,0),0))</f>
        <v>0</v>
      </c>
      <c r="C637" s="5" t="str">
        <f aca="false">IF(B637=0,"",IF(INDEX(Bank!$G:$G,B637)="","",INDEX(Bank!$G:$G,B637)))</f>
        <v/>
      </c>
      <c r="D637" s="5" t="str">
        <f aca="false">IF(B637=0,"",IF(INDEX(Bank!$J:$J,B637)="","",INDEX(Bank!$J:$J,B637)))</f>
        <v/>
      </c>
      <c r="E637" s="32" t="str">
        <f aca="false">IF(B637=0,"",INDEX(Bank!$B:$B,B637))</f>
        <v/>
      </c>
      <c r="F637" s="5" t="str">
        <f aca="false">IF(B637=0,"",IF(INDEX(Bank!$C:$C,B637)="","",INDEX(Bank!$C:$C,B637)))</f>
        <v/>
      </c>
      <c r="G637" s="19" t="str">
        <f aca="false">IF(B637=0,"",INDEX(Bank!$E:$E,B637))</f>
        <v/>
      </c>
      <c r="H637" s="5" t="str">
        <f aca="false">IF(B637=0,"",IF(INDEX(Bank!$H:$H,B637)="","",INDEX(Bank!$H:$H,B637)))</f>
        <v/>
      </c>
      <c r="I637" s="5" t="n">
        <f aca="false">IF(H637="",0,IFERROR(MATCH(H637,GL!$A:$A,0),0))</f>
        <v>0</v>
      </c>
      <c r="J637" s="32" t="str">
        <f aca="false">IF(I637=0,"",INDEX(GL!$B:$B,I637))</f>
        <v/>
      </c>
      <c r="K637" s="5" t="str">
        <f aca="false">IF(I637=0,"",IF(INDEX(GL!$C:$C,I637)="","",INDEX(GL!$C:$C,I637)))</f>
        <v/>
      </c>
      <c r="L637" s="19" t="str">
        <f aca="false">IF(I637=0,"",INDEX(GL!$E:$E,I637))</f>
        <v/>
      </c>
      <c r="M637" s="19" t="str">
        <f aca="false">IF(OR(B637=0,I637=0),"",ROUND(G637-L637,2))</f>
        <v/>
      </c>
      <c r="N637" s="5" t="str">
        <f aca="false">IF(A637="","",IF(B637=0,"NOT FOUND: bank ID",IF(I637=0,"NOT FOUND: GL ID",IF(INDEX(GL!$H:$H,I637)&lt;&gt;A637,"BROKEN: GL points elsewhere",IF(OR(INDEX(Bank!$F:$F,B637)&lt;&gt;"Y",INDEX(GL!$F:$F,I637)&lt;&gt;"Y"),"BROKEN: Status not Y","OK")))))</f>
        <v/>
      </c>
    </row>
    <row r="638" customFormat="false" ht="15" hidden="false" customHeight="false" outlineLevel="0" collapsed="false">
      <c r="A638" s="41"/>
      <c r="B638" s="5" t="n">
        <f aca="false">IF(A638="",0,IFERROR(MATCH(A638,Bank!$A:$A,0),0))</f>
        <v>0</v>
      </c>
      <c r="C638" s="5" t="str">
        <f aca="false">IF(B638=0,"",IF(INDEX(Bank!$G:$G,B638)="","",INDEX(Bank!$G:$G,B638)))</f>
        <v/>
      </c>
      <c r="D638" s="5" t="str">
        <f aca="false">IF(B638=0,"",IF(INDEX(Bank!$J:$J,B638)="","",INDEX(Bank!$J:$J,B638)))</f>
        <v/>
      </c>
      <c r="E638" s="32" t="str">
        <f aca="false">IF(B638=0,"",INDEX(Bank!$B:$B,B638))</f>
        <v/>
      </c>
      <c r="F638" s="5" t="str">
        <f aca="false">IF(B638=0,"",IF(INDEX(Bank!$C:$C,B638)="","",INDEX(Bank!$C:$C,B638)))</f>
        <v/>
      </c>
      <c r="G638" s="19" t="str">
        <f aca="false">IF(B638=0,"",INDEX(Bank!$E:$E,B638))</f>
        <v/>
      </c>
      <c r="H638" s="5" t="str">
        <f aca="false">IF(B638=0,"",IF(INDEX(Bank!$H:$H,B638)="","",INDEX(Bank!$H:$H,B638)))</f>
        <v/>
      </c>
      <c r="I638" s="5" t="n">
        <f aca="false">IF(H638="",0,IFERROR(MATCH(H638,GL!$A:$A,0),0))</f>
        <v>0</v>
      </c>
      <c r="J638" s="32" t="str">
        <f aca="false">IF(I638=0,"",INDEX(GL!$B:$B,I638))</f>
        <v/>
      </c>
      <c r="K638" s="5" t="str">
        <f aca="false">IF(I638=0,"",IF(INDEX(GL!$C:$C,I638)="","",INDEX(GL!$C:$C,I638)))</f>
        <v/>
      </c>
      <c r="L638" s="19" t="str">
        <f aca="false">IF(I638=0,"",INDEX(GL!$E:$E,I638))</f>
        <v/>
      </c>
      <c r="M638" s="19" t="str">
        <f aca="false">IF(OR(B638=0,I638=0),"",ROUND(G638-L638,2))</f>
        <v/>
      </c>
      <c r="N638" s="5" t="str">
        <f aca="false">IF(A638="","",IF(B638=0,"NOT FOUND: bank ID",IF(I638=0,"NOT FOUND: GL ID",IF(INDEX(GL!$H:$H,I638)&lt;&gt;A638,"BROKEN: GL points elsewhere",IF(OR(INDEX(Bank!$F:$F,B638)&lt;&gt;"Y",INDEX(GL!$F:$F,I638)&lt;&gt;"Y"),"BROKEN: Status not Y","OK")))))</f>
        <v/>
      </c>
    </row>
    <row r="639" customFormat="false" ht="15" hidden="false" customHeight="false" outlineLevel="0" collapsed="false">
      <c r="A639" s="41"/>
      <c r="B639" s="5" t="n">
        <f aca="false">IF(A639="",0,IFERROR(MATCH(A639,Bank!$A:$A,0),0))</f>
        <v>0</v>
      </c>
      <c r="C639" s="5" t="str">
        <f aca="false">IF(B639=0,"",IF(INDEX(Bank!$G:$G,B639)="","",INDEX(Bank!$G:$G,B639)))</f>
        <v/>
      </c>
      <c r="D639" s="5" t="str">
        <f aca="false">IF(B639=0,"",IF(INDEX(Bank!$J:$J,B639)="","",INDEX(Bank!$J:$J,B639)))</f>
        <v/>
      </c>
      <c r="E639" s="32" t="str">
        <f aca="false">IF(B639=0,"",INDEX(Bank!$B:$B,B639))</f>
        <v/>
      </c>
      <c r="F639" s="5" t="str">
        <f aca="false">IF(B639=0,"",IF(INDEX(Bank!$C:$C,B639)="","",INDEX(Bank!$C:$C,B639)))</f>
        <v/>
      </c>
      <c r="G639" s="19" t="str">
        <f aca="false">IF(B639=0,"",INDEX(Bank!$E:$E,B639))</f>
        <v/>
      </c>
      <c r="H639" s="5" t="str">
        <f aca="false">IF(B639=0,"",IF(INDEX(Bank!$H:$H,B639)="","",INDEX(Bank!$H:$H,B639)))</f>
        <v/>
      </c>
      <c r="I639" s="5" t="n">
        <f aca="false">IF(H639="",0,IFERROR(MATCH(H639,GL!$A:$A,0),0))</f>
        <v>0</v>
      </c>
      <c r="J639" s="32" t="str">
        <f aca="false">IF(I639=0,"",INDEX(GL!$B:$B,I639))</f>
        <v/>
      </c>
      <c r="K639" s="5" t="str">
        <f aca="false">IF(I639=0,"",IF(INDEX(GL!$C:$C,I639)="","",INDEX(GL!$C:$C,I639)))</f>
        <v/>
      </c>
      <c r="L639" s="19" t="str">
        <f aca="false">IF(I639=0,"",INDEX(GL!$E:$E,I639))</f>
        <v/>
      </c>
      <c r="M639" s="19" t="str">
        <f aca="false">IF(OR(B639=0,I639=0),"",ROUND(G639-L639,2))</f>
        <v/>
      </c>
      <c r="N639" s="5" t="str">
        <f aca="false">IF(A639="","",IF(B639=0,"NOT FOUND: bank ID",IF(I639=0,"NOT FOUND: GL ID",IF(INDEX(GL!$H:$H,I639)&lt;&gt;A639,"BROKEN: GL points elsewhere",IF(OR(INDEX(Bank!$F:$F,B639)&lt;&gt;"Y",INDEX(GL!$F:$F,I639)&lt;&gt;"Y"),"BROKEN: Status not Y","OK")))))</f>
        <v/>
      </c>
    </row>
    <row r="640" customFormat="false" ht="15" hidden="false" customHeight="false" outlineLevel="0" collapsed="false">
      <c r="A640" s="41"/>
      <c r="B640" s="5" t="n">
        <f aca="false">IF(A640="",0,IFERROR(MATCH(A640,Bank!$A:$A,0),0))</f>
        <v>0</v>
      </c>
      <c r="C640" s="5" t="str">
        <f aca="false">IF(B640=0,"",IF(INDEX(Bank!$G:$G,B640)="","",INDEX(Bank!$G:$G,B640)))</f>
        <v/>
      </c>
      <c r="D640" s="5" t="str">
        <f aca="false">IF(B640=0,"",IF(INDEX(Bank!$J:$J,B640)="","",INDEX(Bank!$J:$J,B640)))</f>
        <v/>
      </c>
      <c r="E640" s="32" t="str">
        <f aca="false">IF(B640=0,"",INDEX(Bank!$B:$B,B640))</f>
        <v/>
      </c>
      <c r="F640" s="5" t="str">
        <f aca="false">IF(B640=0,"",IF(INDEX(Bank!$C:$C,B640)="","",INDEX(Bank!$C:$C,B640)))</f>
        <v/>
      </c>
      <c r="G640" s="19" t="str">
        <f aca="false">IF(B640=0,"",INDEX(Bank!$E:$E,B640))</f>
        <v/>
      </c>
      <c r="H640" s="5" t="str">
        <f aca="false">IF(B640=0,"",IF(INDEX(Bank!$H:$H,B640)="","",INDEX(Bank!$H:$H,B640)))</f>
        <v/>
      </c>
      <c r="I640" s="5" t="n">
        <f aca="false">IF(H640="",0,IFERROR(MATCH(H640,GL!$A:$A,0),0))</f>
        <v>0</v>
      </c>
      <c r="J640" s="32" t="str">
        <f aca="false">IF(I640=0,"",INDEX(GL!$B:$B,I640))</f>
        <v/>
      </c>
      <c r="K640" s="5" t="str">
        <f aca="false">IF(I640=0,"",IF(INDEX(GL!$C:$C,I640)="","",INDEX(GL!$C:$C,I640)))</f>
        <v/>
      </c>
      <c r="L640" s="19" t="str">
        <f aca="false">IF(I640=0,"",INDEX(GL!$E:$E,I640))</f>
        <v/>
      </c>
      <c r="M640" s="19" t="str">
        <f aca="false">IF(OR(B640=0,I640=0),"",ROUND(G640-L640,2))</f>
        <v/>
      </c>
      <c r="N640" s="5" t="str">
        <f aca="false">IF(A640="","",IF(B640=0,"NOT FOUND: bank ID",IF(I640=0,"NOT FOUND: GL ID",IF(INDEX(GL!$H:$H,I640)&lt;&gt;A640,"BROKEN: GL points elsewhere",IF(OR(INDEX(Bank!$F:$F,B640)&lt;&gt;"Y",INDEX(GL!$F:$F,I640)&lt;&gt;"Y"),"BROKEN: Status not Y","OK")))))</f>
        <v/>
      </c>
    </row>
    <row r="641" customFormat="false" ht="15" hidden="false" customHeight="false" outlineLevel="0" collapsed="false">
      <c r="A641" s="41"/>
      <c r="B641" s="5" t="n">
        <f aca="false">IF(A641="",0,IFERROR(MATCH(A641,Bank!$A:$A,0),0))</f>
        <v>0</v>
      </c>
      <c r="C641" s="5" t="str">
        <f aca="false">IF(B641=0,"",IF(INDEX(Bank!$G:$G,B641)="","",INDEX(Bank!$G:$G,B641)))</f>
        <v/>
      </c>
      <c r="D641" s="5" t="str">
        <f aca="false">IF(B641=0,"",IF(INDEX(Bank!$J:$J,B641)="","",INDEX(Bank!$J:$J,B641)))</f>
        <v/>
      </c>
      <c r="E641" s="32" t="str">
        <f aca="false">IF(B641=0,"",INDEX(Bank!$B:$B,B641))</f>
        <v/>
      </c>
      <c r="F641" s="5" t="str">
        <f aca="false">IF(B641=0,"",IF(INDEX(Bank!$C:$C,B641)="","",INDEX(Bank!$C:$C,B641)))</f>
        <v/>
      </c>
      <c r="G641" s="19" t="str">
        <f aca="false">IF(B641=0,"",INDEX(Bank!$E:$E,B641))</f>
        <v/>
      </c>
      <c r="H641" s="5" t="str">
        <f aca="false">IF(B641=0,"",IF(INDEX(Bank!$H:$H,B641)="","",INDEX(Bank!$H:$H,B641)))</f>
        <v/>
      </c>
      <c r="I641" s="5" t="n">
        <f aca="false">IF(H641="",0,IFERROR(MATCH(H641,GL!$A:$A,0),0))</f>
        <v>0</v>
      </c>
      <c r="J641" s="32" t="str">
        <f aca="false">IF(I641=0,"",INDEX(GL!$B:$B,I641))</f>
        <v/>
      </c>
      <c r="K641" s="5" t="str">
        <f aca="false">IF(I641=0,"",IF(INDEX(GL!$C:$C,I641)="","",INDEX(GL!$C:$C,I641)))</f>
        <v/>
      </c>
      <c r="L641" s="19" t="str">
        <f aca="false">IF(I641=0,"",INDEX(GL!$E:$E,I641))</f>
        <v/>
      </c>
      <c r="M641" s="19" t="str">
        <f aca="false">IF(OR(B641=0,I641=0),"",ROUND(G641-L641,2))</f>
        <v/>
      </c>
      <c r="N641" s="5" t="str">
        <f aca="false">IF(A641="","",IF(B641=0,"NOT FOUND: bank ID",IF(I641=0,"NOT FOUND: GL ID",IF(INDEX(GL!$H:$H,I641)&lt;&gt;A641,"BROKEN: GL points elsewhere",IF(OR(INDEX(Bank!$F:$F,B641)&lt;&gt;"Y",INDEX(GL!$F:$F,I641)&lt;&gt;"Y"),"BROKEN: Status not Y","OK")))))</f>
        <v/>
      </c>
    </row>
    <row r="642" customFormat="false" ht="15" hidden="false" customHeight="false" outlineLevel="0" collapsed="false">
      <c r="A642" s="41"/>
      <c r="B642" s="5" t="n">
        <f aca="false">IF(A642="",0,IFERROR(MATCH(A642,Bank!$A:$A,0),0))</f>
        <v>0</v>
      </c>
      <c r="C642" s="5" t="str">
        <f aca="false">IF(B642=0,"",IF(INDEX(Bank!$G:$G,B642)="","",INDEX(Bank!$G:$G,B642)))</f>
        <v/>
      </c>
      <c r="D642" s="5" t="str">
        <f aca="false">IF(B642=0,"",IF(INDEX(Bank!$J:$J,B642)="","",INDEX(Bank!$J:$J,B642)))</f>
        <v/>
      </c>
      <c r="E642" s="32" t="str">
        <f aca="false">IF(B642=0,"",INDEX(Bank!$B:$B,B642))</f>
        <v/>
      </c>
      <c r="F642" s="5" t="str">
        <f aca="false">IF(B642=0,"",IF(INDEX(Bank!$C:$C,B642)="","",INDEX(Bank!$C:$C,B642)))</f>
        <v/>
      </c>
      <c r="G642" s="19" t="str">
        <f aca="false">IF(B642=0,"",INDEX(Bank!$E:$E,B642))</f>
        <v/>
      </c>
      <c r="H642" s="5" t="str">
        <f aca="false">IF(B642=0,"",IF(INDEX(Bank!$H:$H,B642)="","",INDEX(Bank!$H:$H,B642)))</f>
        <v/>
      </c>
      <c r="I642" s="5" t="n">
        <f aca="false">IF(H642="",0,IFERROR(MATCH(H642,GL!$A:$A,0),0))</f>
        <v>0</v>
      </c>
      <c r="J642" s="32" t="str">
        <f aca="false">IF(I642=0,"",INDEX(GL!$B:$B,I642))</f>
        <v/>
      </c>
      <c r="K642" s="5" t="str">
        <f aca="false">IF(I642=0,"",IF(INDEX(GL!$C:$C,I642)="","",INDEX(GL!$C:$C,I642)))</f>
        <v/>
      </c>
      <c r="L642" s="19" t="str">
        <f aca="false">IF(I642=0,"",INDEX(GL!$E:$E,I642))</f>
        <v/>
      </c>
      <c r="M642" s="19" t="str">
        <f aca="false">IF(OR(B642=0,I642=0),"",ROUND(G642-L642,2))</f>
        <v/>
      </c>
      <c r="N642" s="5" t="str">
        <f aca="false">IF(A642="","",IF(B642=0,"NOT FOUND: bank ID",IF(I642=0,"NOT FOUND: GL ID",IF(INDEX(GL!$H:$H,I642)&lt;&gt;A642,"BROKEN: GL points elsewhere",IF(OR(INDEX(Bank!$F:$F,B642)&lt;&gt;"Y",INDEX(GL!$F:$F,I642)&lt;&gt;"Y"),"BROKEN: Status not Y","OK")))))</f>
        <v/>
      </c>
    </row>
    <row r="643" customFormat="false" ht="15" hidden="false" customHeight="false" outlineLevel="0" collapsed="false">
      <c r="A643" s="41"/>
      <c r="B643" s="5" t="n">
        <f aca="false">IF(A643="",0,IFERROR(MATCH(A643,Bank!$A:$A,0),0))</f>
        <v>0</v>
      </c>
      <c r="C643" s="5" t="str">
        <f aca="false">IF(B643=0,"",IF(INDEX(Bank!$G:$G,B643)="","",INDEX(Bank!$G:$G,B643)))</f>
        <v/>
      </c>
      <c r="D643" s="5" t="str">
        <f aca="false">IF(B643=0,"",IF(INDEX(Bank!$J:$J,B643)="","",INDEX(Bank!$J:$J,B643)))</f>
        <v/>
      </c>
      <c r="E643" s="32" t="str">
        <f aca="false">IF(B643=0,"",INDEX(Bank!$B:$B,B643))</f>
        <v/>
      </c>
      <c r="F643" s="5" t="str">
        <f aca="false">IF(B643=0,"",IF(INDEX(Bank!$C:$C,B643)="","",INDEX(Bank!$C:$C,B643)))</f>
        <v/>
      </c>
      <c r="G643" s="19" t="str">
        <f aca="false">IF(B643=0,"",INDEX(Bank!$E:$E,B643))</f>
        <v/>
      </c>
      <c r="H643" s="5" t="str">
        <f aca="false">IF(B643=0,"",IF(INDEX(Bank!$H:$H,B643)="","",INDEX(Bank!$H:$H,B643)))</f>
        <v/>
      </c>
      <c r="I643" s="5" t="n">
        <f aca="false">IF(H643="",0,IFERROR(MATCH(H643,GL!$A:$A,0),0))</f>
        <v>0</v>
      </c>
      <c r="J643" s="32" t="str">
        <f aca="false">IF(I643=0,"",INDEX(GL!$B:$B,I643))</f>
        <v/>
      </c>
      <c r="K643" s="5" t="str">
        <f aca="false">IF(I643=0,"",IF(INDEX(GL!$C:$C,I643)="","",INDEX(GL!$C:$C,I643)))</f>
        <v/>
      </c>
      <c r="L643" s="19" t="str">
        <f aca="false">IF(I643=0,"",INDEX(GL!$E:$E,I643))</f>
        <v/>
      </c>
      <c r="M643" s="19" t="str">
        <f aca="false">IF(OR(B643=0,I643=0),"",ROUND(G643-L643,2))</f>
        <v/>
      </c>
      <c r="N643" s="5" t="str">
        <f aca="false">IF(A643="","",IF(B643=0,"NOT FOUND: bank ID",IF(I643=0,"NOT FOUND: GL ID",IF(INDEX(GL!$H:$H,I643)&lt;&gt;A643,"BROKEN: GL points elsewhere",IF(OR(INDEX(Bank!$F:$F,B643)&lt;&gt;"Y",INDEX(GL!$F:$F,I643)&lt;&gt;"Y"),"BROKEN: Status not Y","OK")))))</f>
        <v/>
      </c>
    </row>
    <row r="644" customFormat="false" ht="15" hidden="false" customHeight="false" outlineLevel="0" collapsed="false">
      <c r="A644" s="41"/>
      <c r="B644" s="5" t="n">
        <f aca="false">IF(A644="",0,IFERROR(MATCH(A644,Bank!$A:$A,0),0))</f>
        <v>0</v>
      </c>
      <c r="C644" s="5" t="str">
        <f aca="false">IF(B644=0,"",IF(INDEX(Bank!$G:$G,B644)="","",INDEX(Bank!$G:$G,B644)))</f>
        <v/>
      </c>
      <c r="D644" s="5" t="str">
        <f aca="false">IF(B644=0,"",IF(INDEX(Bank!$J:$J,B644)="","",INDEX(Bank!$J:$J,B644)))</f>
        <v/>
      </c>
      <c r="E644" s="32" t="str">
        <f aca="false">IF(B644=0,"",INDEX(Bank!$B:$B,B644))</f>
        <v/>
      </c>
      <c r="F644" s="5" t="str">
        <f aca="false">IF(B644=0,"",IF(INDEX(Bank!$C:$C,B644)="","",INDEX(Bank!$C:$C,B644)))</f>
        <v/>
      </c>
      <c r="G644" s="19" t="str">
        <f aca="false">IF(B644=0,"",INDEX(Bank!$E:$E,B644))</f>
        <v/>
      </c>
      <c r="H644" s="5" t="str">
        <f aca="false">IF(B644=0,"",IF(INDEX(Bank!$H:$H,B644)="","",INDEX(Bank!$H:$H,B644)))</f>
        <v/>
      </c>
      <c r="I644" s="5" t="n">
        <f aca="false">IF(H644="",0,IFERROR(MATCH(H644,GL!$A:$A,0),0))</f>
        <v>0</v>
      </c>
      <c r="J644" s="32" t="str">
        <f aca="false">IF(I644=0,"",INDEX(GL!$B:$B,I644))</f>
        <v/>
      </c>
      <c r="K644" s="5" t="str">
        <f aca="false">IF(I644=0,"",IF(INDEX(GL!$C:$C,I644)="","",INDEX(GL!$C:$C,I644)))</f>
        <v/>
      </c>
      <c r="L644" s="19" t="str">
        <f aca="false">IF(I644=0,"",INDEX(GL!$E:$E,I644))</f>
        <v/>
      </c>
      <c r="M644" s="19" t="str">
        <f aca="false">IF(OR(B644=0,I644=0),"",ROUND(G644-L644,2))</f>
        <v/>
      </c>
      <c r="N644" s="5" t="str">
        <f aca="false">IF(A644="","",IF(B644=0,"NOT FOUND: bank ID",IF(I644=0,"NOT FOUND: GL ID",IF(INDEX(GL!$H:$H,I644)&lt;&gt;A644,"BROKEN: GL points elsewhere",IF(OR(INDEX(Bank!$F:$F,B644)&lt;&gt;"Y",INDEX(GL!$F:$F,I644)&lt;&gt;"Y"),"BROKEN: Status not Y","OK")))))</f>
        <v/>
      </c>
    </row>
    <row r="645" customFormat="false" ht="15" hidden="false" customHeight="false" outlineLevel="0" collapsed="false">
      <c r="A645" s="41"/>
      <c r="B645" s="5" t="n">
        <f aca="false">IF(A645="",0,IFERROR(MATCH(A645,Bank!$A:$A,0),0))</f>
        <v>0</v>
      </c>
      <c r="C645" s="5" t="str">
        <f aca="false">IF(B645=0,"",IF(INDEX(Bank!$G:$G,B645)="","",INDEX(Bank!$G:$G,B645)))</f>
        <v/>
      </c>
      <c r="D645" s="5" t="str">
        <f aca="false">IF(B645=0,"",IF(INDEX(Bank!$J:$J,B645)="","",INDEX(Bank!$J:$J,B645)))</f>
        <v/>
      </c>
      <c r="E645" s="32" t="str">
        <f aca="false">IF(B645=0,"",INDEX(Bank!$B:$B,B645))</f>
        <v/>
      </c>
      <c r="F645" s="5" t="str">
        <f aca="false">IF(B645=0,"",IF(INDEX(Bank!$C:$C,B645)="","",INDEX(Bank!$C:$C,B645)))</f>
        <v/>
      </c>
      <c r="G645" s="19" t="str">
        <f aca="false">IF(B645=0,"",INDEX(Bank!$E:$E,B645))</f>
        <v/>
      </c>
      <c r="H645" s="5" t="str">
        <f aca="false">IF(B645=0,"",IF(INDEX(Bank!$H:$H,B645)="","",INDEX(Bank!$H:$H,B645)))</f>
        <v/>
      </c>
      <c r="I645" s="5" t="n">
        <f aca="false">IF(H645="",0,IFERROR(MATCH(H645,GL!$A:$A,0),0))</f>
        <v>0</v>
      </c>
      <c r="J645" s="32" t="str">
        <f aca="false">IF(I645=0,"",INDEX(GL!$B:$B,I645))</f>
        <v/>
      </c>
      <c r="K645" s="5" t="str">
        <f aca="false">IF(I645=0,"",IF(INDEX(GL!$C:$C,I645)="","",INDEX(GL!$C:$C,I645)))</f>
        <v/>
      </c>
      <c r="L645" s="19" t="str">
        <f aca="false">IF(I645=0,"",INDEX(GL!$E:$E,I645))</f>
        <v/>
      </c>
      <c r="M645" s="19" t="str">
        <f aca="false">IF(OR(B645=0,I645=0),"",ROUND(G645-L645,2))</f>
        <v/>
      </c>
      <c r="N645" s="5" t="str">
        <f aca="false">IF(A645="","",IF(B645=0,"NOT FOUND: bank ID",IF(I645=0,"NOT FOUND: GL ID",IF(INDEX(GL!$H:$H,I645)&lt;&gt;A645,"BROKEN: GL points elsewhere",IF(OR(INDEX(Bank!$F:$F,B645)&lt;&gt;"Y",INDEX(GL!$F:$F,I645)&lt;&gt;"Y"),"BROKEN: Status not Y","OK")))))</f>
        <v/>
      </c>
    </row>
    <row r="646" customFormat="false" ht="15" hidden="false" customHeight="false" outlineLevel="0" collapsed="false">
      <c r="A646" s="41"/>
      <c r="B646" s="5" t="n">
        <f aca="false">IF(A646="",0,IFERROR(MATCH(A646,Bank!$A:$A,0),0))</f>
        <v>0</v>
      </c>
      <c r="C646" s="5" t="str">
        <f aca="false">IF(B646=0,"",IF(INDEX(Bank!$G:$G,B646)="","",INDEX(Bank!$G:$G,B646)))</f>
        <v/>
      </c>
      <c r="D646" s="5" t="str">
        <f aca="false">IF(B646=0,"",IF(INDEX(Bank!$J:$J,B646)="","",INDEX(Bank!$J:$J,B646)))</f>
        <v/>
      </c>
      <c r="E646" s="32" t="str">
        <f aca="false">IF(B646=0,"",INDEX(Bank!$B:$B,B646))</f>
        <v/>
      </c>
      <c r="F646" s="5" t="str">
        <f aca="false">IF(B646=0,"",IF(INDEX(Bank!$C:$C,B646)="","",INDEX(Bank!$C:$C,B646)))</f>
        <v/>
      </c>
      <c r="G646" s="19" t="str">
        <f aca="false">IF(B646=0,"",INDEX(Bank!$E:$E,B646))</f>
        <v/>
      </c>
      <c r="H646" s="5" t="str">
        <f aca="false">IF(B646=0,"",IF(INDEX(Bank!$H:$H,B646)="","",INDEX(Bank!$H:$H,B646)))</f>
        <v/>
      </c>
      <c r="I646" s="5" t="n">
        <f aca="false">IF(H646="",0,IFERROR(MATCH(H646,GL!$A:$A,0),0))</f>
        <v>0</v>
      </c>
      <c r="J646" s="32" t="str">
        <f aca="false">IF(I646=0,"",INDEX(GL!$B:$B,I646))</f>
        <v/>
      </c>
      <c r="K646" s="5" t="str">
        <f aca="false">IF(I646=0,"",IF(INDEX(GL!$C:$C,I646)="","",INDEX(GL!$C:$C,I646)))</f>
        <v/>
      </c>
      <c r="L646" s="19" t="str">
        <f aca="false">IF(I646=0,"",INDEX(GL!$E:$E,I646))</f>
        <v/>
      </c>
      <c r="M646" s="19" t="str">
        <f aca="false">IF(OR(B646=0,I646=0),"",ROUND(G646-L646,2))</f>
        <v/>
      </c>
      <c r="N646" s="5" t="str">
        <f aca="false">IF(A646="","",IF(B646=0,"NOT FOUND: bank ID",IF(I646=0,"NOT FOUND: GL ID",IF(INDEX(GL!$H:$H,I646)&lt;&gt;A646,"BROKEN: GL points elsewhere",IF(OR(INDEX(Bank!$F:$F,B646)&lt;&gt;"Y",INDEX(GL!$F:$F,I646)&lt;&gt;"Y"),"BROKEN: Status not Y","OK")))))</f>
        <v/>
      </c>
    </row>
    <row r="647" customFormat="false" ht="15" hidden="false" customHeight="false" outlineLevel="0" collapsed="false">
      <c r="A647" s="41"/>
      <c r="B647" s="5" t="n">
        <f aca="false">IF(A647="",0,IFERROR(MATCH(A647,Bank!$A:$A,0),0))</f>
        <v>0</v>
      </c>
      <c r="C647" s="5" t="str">
        <f aca="false">IF(B647=0,"",IF(INDEX(Bank!$G:$G,B647)="","",INDEX(Bank!$G:$G,B647)))</f>
        <v/>
      </c>
      <c r="D647" s="5" t="str">
        <f aca="false">IF(B647=0,"",IF(INDEX(Bank!$J:$J,B647)="","",INDEX(Bank!$J:$J,B647)))</f>
        <v/>
      </c>
      <c r="E647" s="32" t="str">
        <f aca="false">IF(B647=0,"",INDEX(Bank!$B:$B,B647))</f>
        <v/>
      </c>
      <c r="F647" s="5" t="str">
        <f aca="false">IF(B647=0,"",IF(INDEX(Bank!$C:$C,B647)="","",INDEX(Bank!$C:$C,B647)))</f>
        <v/>
      </c>
      <c r="G647" s="19" t="str">
        <f aca="false">IF(B647=0,"",INDEX(Bank!$E:$E,B647))</f>
        <v/>
      </c>
      <c r="H647" s="5" t="str">
        <f aca="false">IF(B647=0,"",IF(INDEX(Bank!$H:$H,B647)="","",INDEX(Bank!$H:$H,B647)))</f>
        <v/>
      </c>
      <c r="I647" s="5" t="n">
        <f aca="false">IF(H647="",0,IFERROR(MATCH(H647,GL!$A:$A,0),0))</f>
        <v>0</v>
      </c>
      <c r="J647" s="32" t="str">
        <f aca="false">IF(I647=0,"",INDEX(GL!$B:$B,I647))</f>
        <v/>
      </c>
      <c r="K647" s="5" t="str">
        <f aca="false">IF(I647=0,"",IF(INDEX(GL!$C:$C,I647)="","",INDEX(GL!$C:$C,I647)))</f>
        <v/>
      </c>
      <c r="L647" s="19" t="str">
        <f aca="false">IF(I647=0,"",INDEX(GL!$E:$E,I647))</f>
        <v/>
      </c>
      <c r="M647" s="19" t="str">
        <f aca="false">IF(OR(B647=0,I647=0),"",ROUND(G647-L647,2))</f>
        <v/>
      </c>
      <c r="N647" s="5" t="str">
        <f aca="false">IF(A647="","",IF(B647=0,"NOT FOUND: bank ID",IF(I647=0,"NOT FOUND: GL ID",IF(INDEX(GL!$H:$H,I647)&lt;&gt;A647,"BROKEN: GL points elsewhere",IF(OR(INDEX(Bank!$F:$F,B647)&lt;&gt;"Y",INDEX(GL!$F:$F,I647)&lt;&gt;"Y"),"BROKEN: Status not Y","OK")))))</f>
        <v/>
      </c>
    </row>
    <row r="648" customFormat="false" ht="15" hidden="false" customHeight="false" outlineLevel="0" collapsed="false">
      <c r="A648" s="41"/>
      <c r="B648" s="5" t="n">
        <f aca="false">IF(A648="",0,IFERROR(MATCH(A648,Bank!$A:$A,0),0))</f>
        <v>0</v>
      </c>
      <c r="C648" s="5" t="str">
        <f aca="false">IF(B648=0,"",IF(INDEX(Bank!$G:$G,B648)="","",INDEX(Bank!$G:$G,B648)))</f>
        <v/>
      </c>
      <c r="D648" s="5" t="str">
        <f aca="false">IF(B648=0,"",IF(INDEX(Bank!$J:$J,B648)="","",INDEX(Bank!$J:$J,B648)))</f>
        <v/>
      </c>
      <c r="E648" s="32" t="str">
        <f aca="false">IF(B648=0,"",INDEX(Bank!$B:$B,B648))</f>
        <v/>
      </c>
      <c r="F648" s="5" t="str">
        <f aca="false">IF(B648=0,"",IF(INDEX(Bank!$C:$C,B648)="","",INDEX(Bank!$C:$C,B648)))</f>
        <v/>
      </c>
      <c r="G648" s="19" t="str">
        <f aca="false">IF(B648=0,"",INDEX(Bank!$E:$E,B648))</f>
        <v/>
      </c>
      <c r="H648" s="5" t="str">
        <f aca="false">IF(B648=0,"",IF(INDEX(Bank!$H:$H,B648)="","",INDEX(Bank!$H:$H,B648)))</f>
        <v/>
      </c>
      <c r="I648" s="5" t="n">
        <f aca="false">IF(H648="",0,IFERROR(MATCH(H648,GL!$A:$A,0),0))</f>
        <v>0</v>
      </c>
      <c r="J648" s="32" t="str">
        <f aca="false">IF(I648=0,"",INDEX(GL!$B:$B,I648))</f>
        <v/>
      </c>
      <c r="K648" s="5" t="str">
        <f aca="false">IF(I648=0,"",IF(INDEX(GL!$C:$C,I648)="","",INDEX(GL!$C:$C,I648)))</f>
        <v/>
      </c>
      <c r="L648" s="19" t="str">
        <f aca="false">IF(I648=0,"",INDEX(GL!$E:$E,I648))</f>
        <v/>
      </c>
      <c r="M648" s="19" t="str">
        <f aca="false">IF(OR(B648=0,I648=0),"",ROUND(G648-L648,2))</f>
        <v/>
      </c>
      <c r="N648" s="5" t="str">
        <f aca="false">IF(A648="","",IF(B648=0,"NOT FOUND: bank ID",IF(I648=0,"NOT FOUND: GL ID",IF(INDEX(GL!$H:$H,I648)&lt;&gt;A648,"BROKEN: GL points elsewhere",IF(OR(INDEX(Bank!$F:$F,B648)&lt;&gt;"Y",INDEX(GL!$F:$F,I648)&lt;&gt;"Y"),"BROKEN: Status not Y","OK")))))</f>
        <v/>
      </c>
    </row>
    <row r="649" customFormat="false" ht="15" hidden="false" customHeight="false" outlineLevel="0" collapsed="false">
      <c r="A649" s="41"/>
      <c r="B649" s="5" t="n">
        <f aca="false">IF(A649="",0,IFERROR(MATCH(A649,Bank!$A:$A,0),0))</f>
        <v>0</v>
      </c>
      <c r="C649" s="5" t="str">
        <f aca="false">IF(B649=0,"",IF(INDEX(Bank!$G:$G,B649)="","",INDEX(Bank!$G:$G,B649)))</f>
        <v/>
      </c>
      <c r="D649" s="5" t="str">
        <f aca="false">IF(B649=0,"",IF(INDEX(Bank!$J:$J,B649)="","",INDEX(Bank!$J:$J,B649)))</f>
        <v/>
      </c>
      <c r="E649" s="32" t="str">
        <f aca="false">IF(B649=0,"",INDEX(Bank!$B:$B,B649))</f>
        <v/>
      </c>
      <c r="F649" s="5" t="str">
        <f aca="false">IF(B649=0,"",IF(INDEX(Bank!$C:$C,B649)="","",INDEX(Bank!$C:$C,B649)))</f>
        <v/>
      </c>
      <c r="G649" s="19" t="str">
        <f aca="false">IF(B649=0,"",INDEX(Bank!$E:$E,B649))</f>
        <v/>
      </c>
      <c r="H649" s="5" t="str">
        <f aca="false">IF(B649=0,"",IF(INDEX(Bank!$H:$H,B649)="","",INDEX(Bank!$H:$H,B649)))</f>
        <v/>
      </c>
      <c r="I649" s="5" t="n">
        <f aca="false">IF(H649="",0,IFERROR(MATCH(H649,GL!$A:$A,0),0))</f>
        <v>0</v>
      </c>
      <c r="J649" s="32" t="str">
        <f aca="false">IF(I649=0,"",INDEX(GL!$B:$B,I649))</f>
        <v/>
      </c>
      <c r="K649" s="5" t="str">
        <f aca="false">IF(I649=0,"",IF(INDEX(GL!$C:$C,I649)="","",INDEX(GL!$C:$C,I649)))</f>
        <v/>
      </c>
      <c r="L649" s="19" t="str">
        <f aca="false">IF(I649=0,"",INDEX(GL!$E:$E,I649))</f>
        <v/>
      </c>
      <c r="M649" s="19" t="str">
        <f aca="false">IF(OR(B649=0,I649=0),"",ROUND(G649-L649,2))</f>
        <v/>
      </c>
      <c r="N649" s="5" t="str">
        <f aca="false">IF(A649="","",IF(B649=0,"NOT FOUND: bank ID",IF(I649=0,"NOT FOUND: GL ID",IF(INDEX(GL!$H:$H,I649)&lt;&gt;A649,"BROKEN: GL points elsewhere",IF(OR(INDEX(Bank!$F:$F,B649)&lt;&gt;"Y",INDEX(GL!$F:$F,I649)&lt;&gt;"Y"),"BROKEN: Status not Y","OK")))))</f>
        <v/>
      </c>
    </row>
    <row r="650" customFormat="false" ht="15" hidden="false" customHeight="false" outlineLevel="0" collapsed="false">
      <c r="A650" s="41"/>
      <c r="B650" s="5" t="n">
        <f aca="false">IF(A650="",0,IFERROR(MATCH(A650,Bank!$A:$A,0),0))</f>
        <v>0</v>
      </c>
      <c r="C650" s="5" t="str">
        <f aca="false">IF(B650=0,"",IF(INDEX(Bank!$G:$G,B650)="","",INDEX(Bank!$G:$G,B650)))</f>
        <v/>
      </c>
      <c r="D650" s="5" t="str">
        <f aca="false">IF(B650=0,"",IF(INDEX(Bank!$J:$J,B650)="","",INDEX(Bank!$J:$J,B650)))</f>
        <v/>
      </c>
      <c r="E650" s="32" t="str">
        <f aca="false">IF(B650=0,"",INDEX(Bank!$B:$B,B650))</f>
        <v/>
      </c>
      <c r="F650" s="5" t="str">
        <f aca="false">IF(B650=0,"",IF(INDEX(Bank!$C:$C,B650)="","",INDEX(Bank!$C:$C,B650)))</f>
        <v/>
      </c>
      <c r="G650" s="19" t="str">
        <f aca="false">IF(B650=0,"",INDEX(Bank!$E:$E,B650))</f>
        <v/>
      </c>
      <c r="H650" s="5" t="str">
        <f aca="false">IF(B650=0,"",IF(INDEX(Bank!$H:$H,B650)="","",INDEX(Bank!$H:$H,B650)))</f>
        <v/>
      </c>
      <c r="I650" s="5" t="n">
        <f aca="false">IF(H650="",0,IFERROR(MATCH(H650,GL!$A:$A,0),0))</f>
        <v>0</v>
      </c>
      <c r="J650" s="32" t="str">
        <f aca="false">IF(I650=0,"",INDEX(GL!$B:$B,I650))</f>
        <v/>
      </c>
      <c r="K650" s="5" t="str">
        <f aca="false">IF(I650=0,"",IF(INDEX(GL!$C:$C,I650)="","",INDEX(GL!$C:$C,I650)))</f>
        <v/>
      </c>
      <c r="L650" s="19" t="str">
        <f aca="false">IF(I650=0,"",INDEX(GL!$E:$E,I650))</f>
        <v/>
      </c>
      <c r="M650" s="19" t="str">
        <f aca="false">IF(OR(B650=0,I650=0),"",ROUND(G650-L650,2))</f>
        <v/>
      </c>
      <c r="N650" s="5" t="str">
        <f aca="false">IF(A650="","",IF(B650=0,"NOT FOUND: bank ID",IF(I650=0,"NOT FOUND: GL ID",IF(INDEX(GL!$H:$H,I650)&lt;&gt;A650,"BROKEN: GL points elsewhere",IF(OR(INDEX(Bank!$F:$F,B650)&lt;&gt;"Y",INDEX(GL!$F:$F,I650)&lt;&gt;"Y"),"BROKEN: Status not Y","OK")))))</f>
        <v/>
      </c>
    </row>
    <row r="651" customFormat="false" ht="15" hidden="false" customHeight="false" outlineLevel="0" collapsed="false">
      <c r="A651" s="41"/>
      <c r="B651" s="5" t="n">
        <f aca="false">IF(A651="",0,IFERROR(MATCH(A651,Bank!$A:$A,0),0))</f>
        <v>0</v>
      </c>
      <c r="C651" s="5" t="str">
        <f aca="false">IF(B651=0,"",IF(INDEX(Bank!$G:$G,B651)="","",INDEX(Bank!$G:$G,B651)))</f>
        <v/>
      </c>
      <c r="D651" s="5" t="str">
        <f aca="false">IF(B651=0,"",IF(INDEX(Bank!$J:$J,B651)="","",INDEX(Bank!$J:$J,B651)))</f>
        <v/>
      </c>
      <c r="E651" s="32" t="str">
        <f aca="false">IF(B651=0,"",INDEX(Bank!$B:$B,B651))</f>
        <v/>
      </c>
      <c r="F651" s="5" t="str">
        <f aca="false">IF(B651=0,"",IF(INDEX(Bank!$C:$C,B651)="","",INDEX(Bank!$C:$C,B651)))</f>
        <v/>
      </c>
      <c r="G651" s="19" t="str">
        <f aca="false">IF(B651=0,"",INDEX(Bank!$E:$E,B651))</f>
        <v/>
      </c>
      <c r="H651" s="5" t="str">
        <f aca="false">IF(B651=0,"",IF(INDEX(Bank!$H:$H,B651)="","",INDEX(Bank!$H:$H,B651)))</f>
        <v/>
      </c>
      <c r="I651" s="5" t="n">
        <f aca="false">IF(H651="",0,IFERROR(MATCH(H651,GL!$A:$A,0),0))</f>
        <v>0</v>
      </c>
      <c r="J651" s="32" t="str">
        <f aca="false">IF(I651=0,"",INDEX(GL!$B:$B,I651))</f>
        <v/>
      </c>
      <c r="K651" s="5" t="str">
        <f aca="false">IF(I651=0,"",IF(INDEX(GL!$C:$C,I651)="","",INDEX(GL!$C:$C,I651)))</f>
        <v/>
      </c>
      <c r="L651" s="19" t="str">
        <f aca="false">IF(I651=0,"",INDEX(GL!$E:$E,I651))</f>
        <v/>
      </c>
      <c r="M651" s="19" t="str">
        <f aca="false">IF(OR(B651=0,I651=0),"",ROUND(G651-L651,2))</f>
        <v/>
      </c>
      <c r="N651" s="5" t="str">
        <f aca="false">IF(A651="","",IF(B651=0,"NOT FOUND: bank ID",IF(I651=0,"NOT FOUND: GL ID",IF(INDEX(GL!$H:$H,I651)&lt;&gt;A651,"BROKEN: GL points elsewhere",IF(OR(INDEX(Bank!$F:$F,B651)&lt;&gt;"Y",INDEX(GL!$F:$F,I651)&lt;&gt;"Y"),"BROKEN: Status not Y","OK")))))</f>
        <v/>
      </c>
    </row>
    <row r="652" customFormat="false" ht="15" hidden="false" customHeight="false" outlineLevel="0" collapsed="false">
      <c r="A652" s="41"/>
      <c r="B652" s="5" t="n">
        <f aca="false">IF(A652="",0,IFERROR(MATCH(A652,Bank!$A:$A,0),0))</f>
        <v>0</v>
      </c>
      <c r="C652" s="5" t="str">
        <f aca="false">IF(B652=0,"",IF(INDEX(Bank!$G:$G,B652)="","",INDEX(Bank!$G:$G,B652)))</f>
        <v/>
      </c>
      <c r="D652" s="5" t="str">
        <f aca="false">IF(B652=0,"",IF(INDEX(Bank!$J:$J,B652)="","",INDEX(Bank!$J:$J,B652)))</f>
        <v/>
      </c>
      <c r="E652" s="32" t="str">
        <f aca="false">IF(B652=0,"",INDEX(Bank!$B:$B,B652))</f>
        <v/>
      </c>
      <c r="F652" s="5" t="str">
        <f aca="false">IF(B652=0,"",IF(INDEX(Bank!$C:$C,B652)="","",INDEX(Bank!$C:$C,B652)))</f>
        <v/>
      </c>
      <c r="G652" s="19" t="str">
        <f aca="false">IF(B652=0,"",INDEX(Bank!$E:$E,B652))</f>
        <v/>
      </c>
      <c r="H652" s="5" t="str">
        <f aca="false">IF(B652=0,"",IF(INDEX(Bank!$H:$H,B652)="","",INDEX(Bank!$H:$H,B652)))</f>
        <v/>
      </c>
      <c r="I652" s="5" t="n">
        <f aca="false">IF(H652="",0,IFERROR(MATCH(H652,GL!$A:$A,0),0))</f>
        <v>0</v>
      </c>
      <c r="J652" s="32" t="str">
        <f aca="false">IF(I652=0,"",INDEX(GL!$B:$B,I652))</f>
        <v/>
      </c>
      <c r="K652" s="5" t="str">
        <f aca="false">IF(I652=0,"",IF(INDEX(GL!$C:$C,I652)="","",INDEX(GL!$C:$C,I652)))</f>
        <v/>
      </c>
      <c r="L652" s="19" t="str">
        <f aca="false">IF(I652=0,"",INDEX(GL!$E:$E,I652))</f>
        <v/>
      </c>
      <c r="M652" s="19" t="str">
        <f aca="false">IF(OR(B652=0,I652=0),"",ROUND(G652-L652,2))</f>
        <v/>
      </c>
      <c r="N652" s="5" t="str">
        <f aca="false">IF(A652="","",IF(B652=0,"NOT FOUND: bank ID",IF(I652=0,"NOT FOUND: GL ID",IF(INDEX(GL!$H:$H,I652)&lt;&gt;A652,"BROKEN: GL points elsewhere",IF(OR(INDEX(Bank!$F:$F,B652)&lt;&gt;"Y",INDEX(GL!$F:$F,I652)&lt;&gt;"Y"),"BROKEN: Status not Y","OK")))))</f>
        <v/>
      </c>
    </row>
    <row r="653" customFormat="false" ht="15" hidden="false" customHeight="false" outlineLevel="0" collapsed="false">
      <c r="A653" s="41"/>
      <c r="B653" s="5" t="n">
        <f aca="false">IF(A653="",0,IFERROR(MATCH(A653,Bank!$A:$A,0),0))</f>
        <v>0</v>
      </c>
      <c r="C653" s="5" t="str">
        <f aca="false">IF(B653=0,"",IF(INDEX(Bank!$G:$G,B653)="","",INDEX(Bank!$G:$G,B653)))</f>
        <v/>
      </c>
      <c r="D653" s="5" t="str">
        <f aca="false">IF(B653=0,"",IF(INDEX(Bank!$J:$J,B653)="","",INDEX(Bank!$J:$J,B653)))</f>
        <v/>
      </c>
      <c r="E653" s="32" t="str">
        <f aca="false">IF(B653=0,"",INDEX(Bank!$B:$B,B653))</f>
        <v/>
      </c>
      <c r="F653" s="5" t="str">
        <f aca="false">IF(B653=0,"",IF(INDEX(Bank!$C:$C,B653)="","",INDEX(Bank!$C:$C,B653)))</f>
        <v/>
      </c>
      <c r="G653" s="19" t="str">
        <f aca="false">IF(B653=0,"",INDEX(Bank!$E:$E,B653))</f>
        <v/>
      </c>
      <c r="H653" s="5" t="str">
        <f aca="false">IF(B653=0,"",IF(INDEX(Bank!$H:$H,B653)="","",INDEX(Bank!$H:$H,B653)))</f>
        <v/>
      </c>
      <c r="I653" s="5" t="n">
        <f aca="false">IF(H653="",0,IFERROR(MATCH(H653,GL!$A:$A,0),0))</f>
        <v>0</v>
      </c>
      <c r="J653" s="32" t="str">
        <f aca="false">IF(I653=0,"",INDEX(GL!$B:$B,I653))</f>
        <v/>
      </c>
      <c r="K653" s="5" t="str">
        <f aca="false">IF(I653=0,"",IF(INDEX(GL!$C:$C,I653)="","",INDEX(GL!$C:$C,I653)))</f>
        <v/>
      </c>
      <c r="L653" s="19" t="str">
        <f aca="false">IF(I653=0,"",INDEX(GL!$E:$E,I653))</f>
        <v/>
      </c>
      <c r="M653" s="19" t="str">
        <f aca="false">IF(OR(B653=0,I653=0),"",ROUND(G653-L653,2))</f>
        <v/>
      </c>
      <c r="N653" s="5" t="str">
        <f aca="false">IF(A653="","",IF(B653=0,"NOT FOUND: bank ID",IF(I653=0,"NOT FOUND: GL ID",IF(INDEX(GL!$H:$H,I653)&lt;&gt;A653,"BROKEN: GL points elsewhere",IF(OR(INDEX(Bank!$F:$F,B653)&lt;&gt;"Y",INDEX(GL!$F:$F,I653)&lt;&gt;"Y"),"BROKEN: Status not Y","OK")))))</f>
        <v/>
      </c>
    </row>
    <row r="654" customFormat="false" ht="15" hidden="false" customHeight="false" outlineLevel="0" collapsed="false">
      <c r="A654" s="41"/>
      <c r="B654" s="5" t="n">
        <f aca="false">IF(A654="",0,IFERROR(MATCH(A654,Bank!$A:$A,0),0))</f>
        <v>0</v>
      </c>
      <c r="C654" s="5" t="str">
        <f aca="false">IF(B654=0,"",IF(INDEX(Bank!$G:$G,B654)="","",INDEX(Bank!$G:$G,B654)))</f>
        <v/>
      </c>
      <c r="D654" s="5" t="str">
        <f aca="false">IF(B654=0,"",IF(INDEX(Bank!$J:$J,B654)="","",INDEX(Bank!$J:$J,B654)))</f>
        <v/>
      </c>
      <c r="E654" s="32" t="str">
        <f aca="false">IF(B654=0,"",INDEX(Bank!$B:$B,B654))</f>
        <v/>
      </c>
      <c r="F654" s="5" t="str">
        <f aca="false">IF(B654=0,"",IF(INDEX(Bank!$C:$C,B654)="","",INDEX(Bank!$C:$C,B654)))</f>
        <v/>
      </c>
      <c r="G654" s="19" t="str">
        <f aca="false">IF(B654=0,"",INDEX(Bank!$E:$E,B654))</f>
        <v/>
      </c>
      <c r="H654" s="5" t="str">
        <f aca="false">IF(B654=0,"",IF(INDEX(Bank!$H:$H,B654)="","",INDEX(Bank!$H:$H,B654)))</f>
        <v/>
      </c>
      <c r="I654" s="5" t="n">
        <f aca="false">IF(H654="",0,IFERROR(MATCH(H654,GL!$A:$A,0),0))</f>
        <v>0</v>
      </c>
      <c r="J654" s="32" t="str">
        <f aca="false">IF(I654=0,"",INDEX(GL!$B:$B,I654))</f>
        <v/>
      </c>
      <c r="K654" s="5" t="str">
        <f aca="false">IF(I654=0,"",IF(INDEX(GL!$C:$C,I654)="","",INDEX(GL!$C:$C,I654)))</f>
        <v/>
      </c>
      <c r="L654" s="19" t="str">
        <f aca="false">IF(I654=0,"",INDEX(GL!$E:$E,I654))</f>
        <v/>
      </c>
      <c r="M654" s="19" t="str">
        <f aca="false">IF(OR(B654=0,I654=0),"",ROUND(G654-L654,2))</f>
        <v/>
      </c>
      <c r="N654" s="5" t="str">
        <f aca="false">IF(A654="","",IF(B654=0,"NOT FOUND: bank ID",IF(I654=0,"NOT FOUND: GL ID",IF(INDEX(GL!$H:$H,I654)&lt;&gt;A654,"BROKEN: GL points elsewhere",IF(OR(INDEX(Bank!$F:$F,B654)&lt;&gt;"Y",INDEX(GL!$F:$F,I654)&lt;&gt;"Y"),"BROKEN: Status not Y","OK")))))</f>
        <v/>
      </c>
    </row>
    <row r="655" customFormat="false" ht="15" hidden="false" customHeight="false" outlineLevel="0" collapsed="false">
      <c r="A655" s="41"/>
      <c r="B655" s="5" t="n">
        <f aca="false">IF(A655="",0,IFERROR(MATCH(A655,Bank!$A:$A,0),0))</f>
        <v>0</v>
      </c>
      <c r="C655" s="5" t="str">
        <f aca="false">IF(B655=0,"",IF(INDEX(Bank!$G:$G,B655)="","",INDEX(Bank!$G:$G,B655)))</f>
        <v/>
      </c>
      <c r="D655" s="5" t="str">
        <f aca="false">IF(B655=0,"",IF(INDEX(Bank!$J:$J,B655)="","",INDEX(Bank!$J:$J,B655)))</f>
        <v/>
      </c>
      <c r="E655" s="32" t="str">
        <f aca="false">IF(B655=0,"",INDEX(Bank!$B:$B,B655))</f>
        <v/>
      </c>
      <c r="F655" s="5" t="str">
        <f aca="false">IF(B655=0,"",IF(INDEX(Bank!$C:$C,B655)="","",INDEX(Bank!$C:$C,B655)))</f>
        <v/>
      </c>
      <c r="G655" s="19" t="str">
        <f aca="false">IF(B655=0,"",INDEX(Bank!$E:$E,B655))</f>
        <v/>
      </c>
      <c r="H655" s="5" t="str">
        <f aca="false">IF(B655=0,"",IF(INDEX(Bank!$H:$H,B655)="","",INDEX(Bank!$H:$H,B655)))</f>
        <v/>
      </c>
      <c r="I655" s="5" t="n">
        <f aca="false">IF(H655="",0,IFERROR(MATCH(H655,GL!$A:$A,0),0))</f>
        <v>0</v>
      </c>
      <c r="J655" s="32" t="str">
        <f aca="false">IF(I655=0,"",INDEX(GL!$B:$B,I655))</f>
        <v/>
      </c>
      <c r="K655" s="5" t="str">
        <f aca="false">IF(I655=0,"",IF(INDEX(GL!$C:$C,I655)="","",INDEX(GL!$C:$C,I655)))</f>
        <v/>
      </c>
      <c r="L655" s="19" t="str">
        <f aca="false">IF(I655=0,"",INDEX(GL!$E:$E,I655))</f>
        <v/>
      </c>
      <c r="M655" s="19" t="str">
        <f aca="false">IF(OR(B655=0,I655=0),"",ROUND(G655-L655,2))</f>
        <v/>
      </c>
      <c r="N655" s="5" t="str">
        <f aca="false">IF(A655="","",IF(B655=0,"NOT FOUND: bank ID",IF(I655=0,"NOT FOUND: GL ID",IF(INDEX(GL!$H:$H,I655)&lt;&gt;A655,"BROKEN: GL points elsewhere",IF(OR(INDEX(Bank!$F:$F,B655)&lt;&gt;"Y",INDEX(GL!$F:$F,I655)&lt;&gt;"Y"),"BROKEN: Status not Y","OK")))))</f>
        <v/>
      </c>
    </row>
    <row r="656" customFormat="false" ht="15" hidden="false" customHeight="false" outlineLevel="0" collapsed="false">
      <c r="A656" s="41"/>
      <c r="B656" s="5" t="n">
        <f aca="false">IF(A656="",0,IFERROR(MATCH(A656,Bank!$A:$A,0),0))</f>
        <v>0</v>
      </c>
      <c r="C656" s="5" t="str">
        <f aca="false">IF(B656=0,"",IF(INDEX(Bank!$G:$G,B656)="","",INDEX(Bank!$G:$G,B656)))</f>
        <v/>
      </c>
      <c r="D656" s="5" t="str">
        <f aca="false">IF(B656=0,"",IF(INDEX(Bank!$J:$J,B656)="","",INDEX(Bank!$J:$J,B656)))</f>
        <v/>
      </c>
      <c r="E656" s="32" t="str">
        <f aca="false">IF(B656=0,"",INDEX(Bank!$B:$B,B656))</f>
        <v/>
      </c>
      <c r="F656" s="5" t="str">
        <f aca="false">IF(B656=0,"",IF(INDEX(Bank!$C:$C,B656)="","",INDEX(Bank!$C:$C,B656)))</f>
        <v/>
      </c>
      <c r="G656" s="19" t="str">
        <f aca="false">IF(B656=0,"",INDEX(Bank!$E:$E,B656))</f>
        <v/>
      </c>
      <c r="H656" s="5" t="str">
        <f aca="false">IF(B656=0,"",IF(INDEX(Bank!$H:$H,B656)="","",INDEX(Bank!$H:$H,B656)))</f>
        <v/>
      </c>
      <c r="I656" s="5" t="n">
        <f aca="false">IF(H656="",0,IFERROR(MATCH(H656,GL!$A:$A,0),0))</f>
        <v>0</v>
      </c>
      <c r="J656" s="32" t="str">
        <f aca="false">IF(I656=0,"",INDEX(GL!$B:$B,I656))</f>
        <v/>
      </c>
      <c r="K656" s="5" t="str">
        <f aca="false">IF(I656=0,"",IF(INDEX(GL!$C:$C,I656)="","",INDEX(GL!$C:$C,I656)))</f>
        <v/>
      </c>
      <c r="L656" s="19" t="str">
        <f aca="false">IF(I656=0,"",INDEX(GL!$E:$E,I656))</f>
        <v/>
      </c>
      <c r="M656" s="19" t="str">
        <f aca="false">IF(OR(B656=0,I656=0),"",ROUND(G656-L656,2))</f>
        <v/>
      </c>
      <c r="N656" s="5" t="str">
        <f aca="false">IF(A656="","",IF(B656=0,"NOT FOUND: bank ID",IF(I656=0,"NOT FOUND: GL ID",IF(INDEX(GL!$H:$H,I656)&lt;&gt;A656,"BROKEN: GL points elsewhere",IF(OR(INDEX(Bank!$F:$F,B656)&lt;&gt;"Y",INDEX(GL!$F:$F,I656)&lt;&gt;"Y"),"BROKEN: Status not Y","OK")))))</f>
        <v/>
      </c>
    </row>
    <row r="657" customFormat="false" ht="15" hidden="false" customHeight="false" outlineLevel="0" collapsed="false">
      <c r="A657" s="41"/>
      <c r="B657" s="5" t="n">
        <f aca="false">IF(A657="",0,IFERROR(MATCH(A657,Bank!$A:$A,0),0))</f>
        <v>0</v>
      </c>
      <c r="C657" s="5" t="str">
        <f aca="false">IF(B657=0,"",IF(INDEX(Bank!$G:$G,B657)="","",INDEX(Bank!$G:$G,B657)))</f>
        <v/>
      </c>
      <c r="D657" s="5" t="str">
        <f aca="false">IF(B657=0,"",IF(INDEX(Bank!$J:$J,B657)="","",INDEX(Bank!$J:$J,B657)))</f>
        <v/>
      </c>
      <c r="E657" s="32" t="str">
        <f aca="false">IF(B657=0,"",INDEX(Bank!$B:$B,B657))</f>
        <v/>
      </c>
      <c r="F657" s="5" t="str">
        <f aca="false">IF(B657=0,"",IF(INDEX(Bank!$C:$C,B657)="","",INDEX(Bank!$C:$C,B657)))</f>
        <v/>
      </c>
      <c r="G657" s="19" t="str">
        <f aca="false">IF(B657=0,"",INDEX(Bank!$E:$E,B657))</f>
        <v/>
      </c>
      <c r="H657" s="5" t="str">
        <f aca="false">IF(B657=0,"",IF(INDEX(Bank!$H:$H,B657)="","",INDEX(Bank!$H:$H,B657)))</f>
        <v/>
      </c>
      <c r="I657" s="5" t="n">
        <f aca="false">IF(H657="",0,IFERROR(MATCH(H657,GL!$A:$A,0),0))</f>
        <v>0</v>
      </c>
      <c r="J657" s="32" t="str">
        <f aca="false">IF(I657=0,"",INDEX(GL!$B:$B,I657))</f>
        <v/>
      </c>
      <c r="K657" s="5" t="str">
        <f aca="false">IF(I657=0,"",IF(INDEX(GL!$C:$C,I657)="","",INDEX(GL!$C:$C,I657)))</f>
        <v/>
      </c>
      <c r="L657" s="19" t="str">
        <f aca="false">IF(I657=0,"",INDEX(GL!$E:$E,I657))</f>
        <v/>
      </c>
      <c r="M657" s="19" t="str">
        <f aca="false">IF(OR(B657=0,I657=0),"",ROUND(G657-L657,2))</f>
        <v/>
      </c>
      <c r="N657" s="5" t="str">
        <f aca="false">IF(A657="","",IF(B657=0,"NOT FOUND: bank ID",IF(I657=0,"NOT FOUND: GL ID",IF(INDEX(GL!$H:$H,I657)&lt;&gt;A657,"BROKEN: GL points elsewhere",IF(OR(INDEX(Bank!$F:$F,B657)&lt;&gt;"Y",INDEX(GL!$F:$F,I657)&lt;&gt;"Y"),"BROKEN: Status not Y","OK")))))</f>
        <v/>
      </c>
    </row>
    <row r="658" customFormat="false" ht="15" hidden="false" customHeight="false" outlineLevel="0" collapsed="false">
      <c r="A658" s="41"/>
      <c r="B658" s="5" t="n">
        <f aca="false">IF(A658="",0,IFERROR(MATCH(A658,Bank!$A:$A,0),0))</f>
        <v>0</v>
      </c>
      <c r="C658" s="5" t="str">
        <f aca="false">IF(B658=0,"",IF(INDEX(Bank!$G:$G,B658)="","",INDEX(Bank!$G:$G,B658)))</f>
        <v/>
      </c>
      <c r="D658" s="5" t="str">
        <f aca="false">IF(B658=0,"",IF(INDEX(Bank!$J:$J,B658)="","",INDEX(Bank!$J:$J,B658)))</f>
        <v/>
      </c>
      <c r="E658" s="32" t="str">
        <f aca="false">IF(B658=0,"",INDEX(Bank!$B:$B,B658))</f>
        <v/>
      </c>
      <c r="F658" s="5" t="str">
        <f aca="false">IF(B658=0,"",IF(INDEX(Bank!$C:$C,B658)="","",INDEX(Bank!$C:$C,B658)))</f>
        <v/>
      </c>
      <c r="G658" s="19" t="str">
        <f aca="false">IF(B658=0,"",INDEX(Bank!$E:$E,B658))</f>
        <v/>
      </c>
      <c r="H658" s="5" t="str">
        <f aca="false">IF(B658=0,"",IF(INDEX(Bank!$H:$H,B658)="","",INDEX(Bank!$H:$H,B658)))</f>
        <v/>
      </c>
      <c r="I658" s="5" t="n">
        <f aca="false">IF(H658="",0,IFERROR(MATCH(H658,GL!$A:$A,0),0))</f>
        <v>0</v>
      </c>
      <c r="J658" s="32" t="str">
        <f aca="false">IF(I658=0,"",INDEX(GL!$B:$B,I658))</f>
        <v/>
      </c>
      <c r="K658" s="5" t="str">
        <f aca="false">IF(I658=0,"",IF(INDEX(GL!$C:$C,I658)="","",INDEX(GL!$C:$C,I658)))</f>
        <v/>
      </c>
      <c r="L658" s="19" t="str">
        <f aca="false">IF(I658=0,"",INDEX(GL!$E:$E,I658))</f>
        <v/>
      </c>
      <c r="M658" s="19" t="str">
        <f aca="false">IF(OR(B658=0,I658=0),"",ROUND(G658-L658,2))</f>
        <v/>
      </c>
      <c r="N658" s="5" t="str">
        <f aca="false">IF(A658="","",IF(B658=0,"NOT FOUND: bank ID",IF(I658=0,"NOT FOUND: GL ID",IF(INDEX(GL!$H:$H,I658)&lt;&gt;A658,"BROKEN: GL points elsewhere",IF(OR(INDEX(Bank!$F:$F,B658)&lt;&gt;"Y",INDEX(GL!$F:$F,I658)&lt;&gt;"Y"),"BROKEN: Status not Y","OK")))))</f>
        <v/>
      </c>
    </row>
    <row r="659" customFormat="false" ht="15" hidden="false" customHeight="false" outlineLevel="0" collapsed="false">
      <c r="A659" s="41"/>
      <c r="B659" s="5" t="n">
        <f aca="false">IF(A659="",0,IFERROR(MATCH(A659,Bank!$A:$A,0),0))</f>
        <v>0</v>
      </c>
      <c r="C659" s="5" t="str">
        <f aca="false">IF(B659=0,"",IF(INDEX(Bank!$G:$G,B659)="","",INDEX(Bank!$G:$G,B659)))</f>
        <v/>
      </c>
      <c r="D659" s="5" t="str">
        <f aca="false">IF(B659=0,"",IF(INDEX(Bank!$J:$J,B659)="","",INDEX(Bank!$J:$J,B659)))</f>
        <v/>
      </c>
      <c r="E659" s="32" t="str">
        <f aca="false">IF(B659=0,"",INDEX(Bank!$B:$B,B659))</f>
        <v/>
      </c>
      <c r="F659" s="5" t="str">
        <f aca="false">IF(B659=0,"",IF(INDEX(Bank!$C:$C,B659)="","",INDEX(Bank!$C:$C,B659)))</f>
        <v/>
      </c>
      <c r="G659" s="19" t="str">
        <f aca="false">IF(B659=0,"",INDEX(Bank!$E:$E,B659))</f>
        <v/>
      </c>
      <c r="H659" s="5" t="str">
        <f aca="false">IF(B659=0,"",IF(INDEX(Bank!$H:$H,B659)="","",INDEX(Bank!$H:$H,B659)))</f>
        <v/>
      </c>
      <c r="I659" s="5" t="n">
        <f aca="false">IF(H659="",0,IFERROR(MATCH(H659,GL!$A:$A,0),0))</f>
        <v>0</v>
      </c>
      <c r="J659" s="32" t="str">
        <f aca="false">IF(I659=0,"",INDEX(GL!$B:$B,I659))</f>
        <v/>
      </c>
      <c r="K659" s="5" t="str">
        <f aca="false">IF(I659=0,"",IF(INDEX(GL!$C:$C,I659)="","",INDEX(GL!$C:$C,I659)))</f>
        <v/>
      </c>
      <c r="L659" s="19" t="str">
        <f aca="false">IF(I659=0,"",INDEX(GL!$E:$E,I659))</f>
        <v/>
      </c>
      <c r="M659" s="19" t="str">
        <f aca="false">IF(OR(B659=0,I659=0),"",ROUND(G659-L659,2))</f>
        <v/>
      </c>
      <c r="N659" s="5" t="str">
        <f aca="false">IF(A659="","",IF(B659=0,"NOT FOUND: bank ID",IF(I659=0,"NOT FOUND: GL ID",IF(INDEX(GL!$H:$H,I659)&lt;&gt;A659,"BROKEN: GL points elsewhere",IF(OR(INDEX(Bank!$F:$F,B659)&lt;&gt;"Y",INDEX(GL!$F:$F,I659)&lt;&gt;"Y"),"BROKEN: Status not Y","OK")))))</f>
        <v/>
      </c>
    </row>
    <row r="660" customFormat="false" ht="15" hidden="false" customHeight="false" outlineLevel="0" collapsed="false">
      <c r="A660" s="41"/>
      <c r="B660" s="5" t="n">
        <f aca="false">IF(A660="",0,IFERROR(MATCH(A660,Bank!$A:$A,0),0))</f>
        <v>0</v>
      </c>
      <c r="C660" s="5" t="str">
        <f aca="false">IF(B660=0,"",IF(INDEX(Bank!$G:$G,B660)="","",INDEX(Bank!$G:$G,B660)))</f>
        <v/>
      </c>
      <c r="D660" s="5" t="str">
        <f aca="false">IF(B660=0,"",IF(INDEX(Bank!$J:$J,B660)="","",INDEX(Bank!$J:$J,B660)))</f>
        <v/>
      </c>
      <c r="E660" s="32" t="str">
        <f aca="false">IF(B660=0,"",INDEX(Bank!$B:$B,B660))</f>
        <v/>
      </c>
      <c r="F660" s="5" t="str">
        <f aca="false">IF(B660=0,"",IF(INDEX(Bank!$C:$C,B660)="","",INDEX(Bank!$C:$C,B660)))</f>
        <v/>
      </c>
      <c r="G660" s="19" t="str">
        <f aca="false">IF(B660=0,"",INDEX(Bank!$E:$E,B660))</f>
        <v/>
      </c>
      <c r="H660" s="5" t="str">
        <f aca="false">IF(B660=0,"",IF(INDEX(Bank!$H:$H,B660)="","",INDEX(Bank!$H:$H,B660)))</f>
        <v/>
      </c>
      <c r="I660" s="5" t="n">
        <f aca="false">IF(H660="",0,IFERROR(MATCH(H660,GL!$A:$A,0),0))</f>
        <v>0</v>
      </c>
      <c r="J660" s="32" t="str">
        <f aca="false">IF(I660=0,"",INDEX(GL!$B:$B,I660))</f>
        <v/>
      </c>
      <c r="K660" s="5" t="str">
        <f aca="false">IF(I660=0,"",IF(INDEX(GL!$C:$C,I660)="","",INDEX(GL!$C:$C,I660)))</f>
        <v/>
      </c>
      <c r="L660" s="19" t="str">
        <f aca="false">IF(I660=0,"",INDEX(GL!$E:$E,I660))</f>
        <v/>
      </c>
      <c r="M660" s="19" t="str">
        <f aca="false">IF(OR(B660=0,I660=0),"",ROUND(G660-L660,2))</f>
        <v/>
      </c>
      <c r="N660" s="5" t="str">
        <f aca="false">IF(A660="","",IF(B660=0,"NOT FOUND: bank ID",IF(I660=0,"NOT FOUND: GL ID",IF(INDEX(GL!$H:$H,I660)&lt;&gt;A660,"BROKEN: GL points elsewhere",IF(OR(INDEX(Bank!$F:$F,B660)&lt;&gt;"Y",INDEX(GL!$F:$F,I660)&lt;&gt;"Y"),"BROKEN: Status not Y","OK")))))</f>
        <v/>
      </c>
    </row>
    <row r="661" customFormat="false" ht="15" hidden="false" customHeight="false" outlineLevel="0" collapsed="false">
      <c r="A661" s="41"/>
      <c r="B661" s="5" t="n">
        <f aca="false">IF(A661="",0,IFERROR(MATCH(A661,Bank!$A:$A,0),0))</f>
        <v>0</v>
      </c>
      <c r="C661" s="5" t="str">
        <f aca="false">IF(B661=0,"",IF(INDEX(Bank!$G:$G,B661)="","",INDEX(Bank!$G:$G,B661)))</f>
        <v/>
      </c>
      <c r="D661" s="5" t="str">
        <f aca="false">IF(B661=0,"",IF(INDEX(Bank!$J:$J,B661)="","",INDEX(Bank!$J:$J,B661)))</f>
        <v/>
      </c>
      <c r="E661" s="32" t="str">
        <f aca="false">IF(B661=0,"",INDEX(Bank!$B:$B,B661))</f>
        <v/>
      </c>
      <c r="F661" s="5" t="str">
        <f aca="false">IF(B661=0,"",IF(INDEX(Bank!$C:$C,B661)="","",INDEX(Bank!$C:$C,B661)))</f>
        <v/>
      </c>
      <c r="G661" s="19" t="str">
        <f aca="false">IF(B661=0,"",INDEX(Bank!$E:$E,B661))</f>
        <v/>
      </c>
      <c r="H661" s="5" t="str">
        <f aca="false">IF(B661=0,"",IF(INDEX(Bank!$H:$H,B661)="","",INDEX(Bank!$H:$H,B661)))</f>
        <v/>
      </c>
      <c r="I661" s="5" t="n">
        <f aca="false">IF(H661="",0,IFERROR(MATCH(H661,GL!$A:$A,0),0))</f>
        <v>0</v>
      </c>
      <c r="J661" s="32" t="str">
        <f aca="false">IF(I661=0,"",INDEX(GL!$B:$B,I661))</f>
        <v/>
      </c>
      <c r="K661" s="5" t="str">
        <f aca="false">IF(I661=0,"",IF(INDEX(GL!$C:$C,I661)="","",INDEX(GL!$C:$C,I661)))</f>
        <v/>
      </c>
      <c r="L661" s="19" t="str">
        <f aca="false">IF(I661=0,"",INDEX(GL!$E:$E,I661))</f>
        <v/>
      </c>
      <c r="M661" s="19" t="str">
        <f aca="false">IF(OR(B661=0,I661=0),"",ROUND(G661-L661,2))</f>
        <v/>
      </c>
      <c r="N661" s="5" t="str">
        <f aca="false">IF(A661="","",IF(B661=0,"NOT FOUND: bank ID",IF(I661=0,"NOT FOUND: GL ID",IF(INDEX(GL!$H:$H,I661)&lt;&gt;A661,"BROKEN: GL points elsewhere",IF(OR(INDEX(Bank!$F:$F,B661)&lt;&gt;"Y",INDEX(GL!$F:$F,I661)&lt;&gt;"Y"),"BROKEN: Status not Y","OK")))))</f>
        <v/>
      </c>
    </row>
    <row r="662" customFormat="false" ht="15" hidden="false" customHeight="false" outlineLevel="0" collapsed="false">
      <c r="A662" s="41"/>
      <c r="B662" s="5" t="n">
        <f aca="false">IF(A662="",0,IFERROR(MATCH(A662,Bank!$A:$A,0),0))</f>
        <v>0</v>
      </c>
      <c r="C662" s="5" t="str">
        <f aca="false">IF(B662=0,"",IF(INDEX(Bank!$G:$G,B662)="","",INDEX(Bank!$G:$G,B662)))</f>
        <v/>
      </c>
      <c r="D662" s="5" t="str">
        <f aca="false">IF(B662=0,"",IF(INDEX(Bank!$J:$J,B662)="","",INDEX(Bank!$J:$J,B662)))</f>
        <v/>
      </c>
      <c r="E662" s="32" t="str">
        <f aca="false">IF(B662=0,"",INDEX(Bank!$B:$B,B662))</f>
        <v/>
      </c>
      <c r="F662" s="5" t="str">
        <f aca="false">IF(B662=0,"",IF(INDEX(Bank!$C:$C,B662)="","",INDEX(Bank!$C:$C,B662)))</f>
        <v/>
      </c>
      <c r="G662" s="19" t="str">
        <f aca="false">IF(B662=0,"",INDEX(Bank!$E:$E,B662))</f>
        <v/>
      </c>
      <c r="H662" s="5" t="str">
        <f aca="false">IF(B662=0,"",IF(INDEX(Bank!$H:$H,B662)="","",INDEX(Bank!$H:$H,B662)))</f>
        <v/>
      </c>
      <c r="I662" s="5" t="n">
        <f aca="false">IF(H662="",0,IFERROR(MATCH(H662,GL!$A:$A,0),0))</f>
        <v>0</v>
      </c>
      <c r="J662" s="32" t="str">
        <f aca="false">IF(I662=0,"",INDEX(GL!$B:$B,I662))</f>
        <v/>
      </c>
      <c r="K662" s="5" t="str">
        <f aca="false">IF(I662=0,"",IF(INDEX(GL!$C:$C,I662)="","",INDEX(GL!$C:$C,I662)))</f>
        <v/>
      </c>
      <c r="L662" s="19" t="str">
        <f aca="false">IF(I662=0,"",INDEX(GL!$E:$E,I662))</f>
        <v/>
      </c>
      <c r="M662" s="19" t="str">
        <f aca="false">IF(OR(B662=0,I662=0),"",ROUND(G662-L662,2))</f>
        <v/>
      </c>
      <c r="N662" s="5" t="str">
        <f aca="false">IF(A662="","",IF(B662=0,"NOT FOUND: bank ID",IF(I662=0,"NOT FOUND: GL ID",IF(INDEX(GL!$H:$H,I662)&lt;&gt;A662,"BROKEN: GL points elsewhere",IF(OR(INDEX(Bank!$F:$F,B662)&lt;&gt;"Y",INDEX(GL!$F:$F,I662)&lt;&gt;"Y"),"BROKEN: Status not Y","OK")))))</f>
        <v/>
      </c>
    </row>
    <row r="663" customFormat="false" ht="15" hidden="false" customHeight="false" outlineLevel="0" collapsed="false">
      <c r="A663" s="41"/>
      <c r="B663" s="5" t="n">
        <f aca="false">IF(A663="",0,IFERROR(MATCH(A663,Bank!$A:$A,0),0))</f>
        <v>0</v>
      </c>
      <c r="C663" s="5" t="str">
        <f aca="false">IF(B663=0,"",IF(INDEX(Bank!$G:$G,B663)="","",INDEX(Bank!$G:$G,B663)))</f>
        <v/>
      </c>
      <c r="D663" s="5" t="str">
        <f aca="false">IF(B663=0,"",IF(INDEX(Bank!$J:$J,B663)="","",INDEX(Bank!$J:$J,B663)))</f>
        <v/>
      </c>
      <c r="E663" s="32" t="str">
        <f aca="false">IF(B663=0,"",INDEX(Bank!$B:$B,B663))</f>
        <v/>
      </c>
      <c r="F663" s="5" t="str">
        <f aca="false">IF(B663=0,"",IF(INDEX(Bank!$C:$C,B663)="","",INDEX(Bank!$C:$C,B663)))</f>
        <v/>
      </c>
      <c r="G663" s="19" t="str">
        <f aca="false">IF(B663=0,"",INDEX(Bank!$E:$E,B663))</f>
        <v/>
      </c>
      <c r="H663" s="5" t="str">
        <f aca="false">IF(B663=0,"",IF(INDEX(Bank!$H:$H,B663)="","",INDEX(Bank!$H:$H,B663)))</f>
        <v/>
      </c>
      <c r="I663" s="5" t="n">
        <f aca="false">IF(H663="",0,IFERROR(MATCH(H663,GL!$A:$A,0),0))</f>
        <v>0</v>
      </c>
      <c r="J663" s="32" t="str">
        <f aca="false">IF(I663=0,"",INDEX(GL!$B:$B,I663))</f>
        <v/>
      </c>
      <c r="K663" s="5" t="str">
        <f aca="false">IF(I663=0,"",IF(INDEX(GL!$C:$C,I663)="","",INDEX(GL!$C:$C,I663)))</f>
        <v/>
      </c>
      <c r="L663" s="19" t="str">
        <f aca="false">IF(I663=0,"",INDEX(GL!$E:$E,I663))</f>
        <v/>
      </c>
      <c r="M663" s="19" t="str">
        <f aca="false">IF(OR(B663=0,I663=0),"",ROUND(G663-L663,2))</f>
        <v/>
      </c>
      <c r="N663" s="5" t="str">
        <f aca="false">IF(A663="","",IF(B663=0,"NOT FOUND: bank ID",IF(I663=0,"NOT FOUND: GL ID",IF(INDEX(GL!$H:$H,I663)&lt;&gt;A663,"BROKEN: GL points elsewhere",IF(OR(INDEX(Bank!$F:$F,B663)&lt;&gt;"Y",INDEX(GL!$F:$F,I663)&lt;&gt;"Y"),"BROKEN: Status not Y","OK")))))</f>
        <v/>
      </c>
    </row>
    <row r="664" customFormat="false" ht="15" hidden="false" customHeight="false" outlineLevel="0" collapsed="false">
      <c r="A664" s="41"/>
      <c r="B664" s="5" t="n">
        <f aca="false">IF(A664="",0,IFERROR(MATCH(A664,Bank!$A:$A,0),0))</f>
        <v>0</v>
      </c>
      <c r="C664" s="5" t="str">
        <f aca="false">IF(B664=0,"",IF(INDEX(Bank!$G:$G,B664)="","",INDEX(Bank!$G:$G,B664)))</f>
        <v/>
      </c>
      <c r="D664" s="5" t="str">
        <f aca="false">IF(B664=0,"",IF(INDEX(Bank!$J:$J,B664)="","",INDEX(Bank!$J:$J,B664)))</f>
        <v/>
      </c>
      <c r="E664" s="32" t="str">
        <f aca="false">IF(B664=0,"",INDEX(Bank!$B:$B,B664))</f>
        <v/>
      </c>
      <c r="F664" s="5" t="str">
        <f aca="false">IF(B664=0,"",IF(INDEX(Bank!$C:$C,B664)="","",INDEX(Bank!$C:$C,B664)))</f>
        <v/>
      </c>
      <c r="G664" s="19" t="str">
        <f aca="false">IF(B664=0,"",INDEX(Bank!$E:$E,B664))</f>
        <v/>
      </c>
      <c r="H664" s="5" t="str">
        <f aca="false">IF(B664=0,"",IF(INDEX(Bank!$H:$H,B664)="","",INDEX(Bank!$H:$H,B664)))</f>
        <v/>
      </c>
      <c r="I664" s="5" t="n">
        <f aca="false">IF(H664="",0,IFERROR(MATCH(H664,GL!$A:$A,0),0))</f>
        <v>0</v>
      </c>
      <c r="J664" s="32" t="str">
        <f aca="false">IF(I664=0,"",INDEX(GL!$B:$B,I664))</f>
        <v/>
      </c>
      <c r="K664" s="5" t="str">
        <f aca="false">IF(I664=0,"",IF(INDEX(GL!$C:$C,I664)="","",INDEX(GL!$C:$C,I664)))</f>
        <v/>
      </c>
      <c r="L664" s="19" t="str">
        <f aca="false">IF(I664=0,"",INDEX(GL!$E:$E,I664))</f>
        <v/>
      </c>
      <c r="M664" s="19" t="str">
        <f aca="false">IF(OR(B664=0,I664=0),"",ROUND(G664-L664,2))</f>
        <v/>
      </c>
      <c r="N664" s="5" t="str">
        <f aca="false">IF(A664="","",IF(B664=0,"NOT FOUND: bank ID",IF(I664=0,"NOT FOUND: GL ID",IF(INDEX(GL!$H:$H,I664)&lt;&gt;A664,"BROKEN: GL points elsewhere",IF(OR(INDEX(Bank!$F:$F,B664)&lt;&gt;"Y",INDEX(GL!$F:$F,I664)&lt;&gt;"Y"),"BROKEN: Status not Y","OK")))))</f>
        <v/>
      </c>
    </row>
    <row r="665" customFormat="false" ht="15" hidden="false" customHeight="false" outlineLevel="0" collapsed="false">
      <c r="A665" s="41"/>
      <c r="B665" s="5" t="n">
        <f aca="false">IF(A665="",0,IFERROR(MATCH(A665,Bank!$A:$A,0),0))</f>
        <v>0</v>
      </c>
      <c r="C665" s="5" t="str">
        <f aca="false">IF(B665=0,"",IF(INDEX(Bank!$G:$G,B665)="","",INDEX(Bank!$G:$G,B665)))</f>
        <v/>
      </c>
      <c r="D665" s="5" t="str">
        <f aca="false">IF(B665=0,"",IF(INDEX(Bank!$J:$J,B665)="","",INDEX(Bank!$J:$J,B665)))</f>
        <v/>
      </c>
      <c r="E665" s="32" t="str">
        <f aca="false">IF(B665=0,"",INDEX(Bank!$B:$B,B665))</f>
        <v/>
      </c>
      <c r="F665" s="5" t="str">
        <f aca="false">IF(B665=0,"",IF(INDEX(Bank!$C:$C,B665)="","",INDEX(Bank!$C:$C,B665)))</f>
        <v/>
      </c>
      <c r="G665" s="19" t="str">
        <f aca="false">IF(B665=0,"",INDEX(Bank!$E:$E,B665))</f>
        <v/>
      </c>
      <c r="H665" s="5" t="str">
        <f aca="false">IF(B665=0,"",IF(INDEX(Bank!$H:$H,B665)="","",INDEX(Bank!$H:$H,B665)))</f>
        <v/>
      </c>
      <c r="I665" s="5" t="n">
        <f aca="false">IF(H665="",0,IFERROR(MATCH(H665,GL!$A:$A,0),0))</f>
        <v>0</v>
      </c>
      <c r="J665" s="32" t="str">
        <f aca="false">IF(I665=0,"",INDEX(GL!$B:$B,I665))</f>
        <v/>
      </c>
      <c r="K665" s="5" t="str">
        <f aca="false">IF(I665=0,"",IF(INDEX(GL!$C:$C,I665)="","",INDEX(GL!$C:$C,I665)))</f>
        <v/>
      </c>
      <c r="L665" s="19" t="str">
        <f aca="false">IF(I665=0,"",INDEX(GL!$E:$E,I665))</f>
        <v/>
      </c>
      <c r="M665" s="19" t="str">
        <f aca="false">IF(OR(B665=0,I665=0),"",ROUND(G665-L665,2))</f>
        <v/>
      </c>
      <c r="N665" s="5" t="str">
        <f aca="false">IF(A665="","",IF(B665=0,"NOT FOUND: bank ID",IF(I665=0,"NOT FOUND: GL ID",IF(INDEX(GL!$H:$H,I665)&lt;&gt;A665,"BROKEN: GL points elsewhere",IF(OR(INDEX(Bank!$F:$F,B665)&lt;&gt;"Y",INDEX(GL!$F:$F,I665)&lt;&gt;"Y"),"BROKEN: Status not Y","OK")))))</f>
        <v/>
      </c>
    </row>
    <row r="666" customFormat="false" ht="15" hidden="false" customHeight="false" outlineLevel="0" collapsed="false">
      <c r="A666" s="41"/>
      <c r="B666" s="5" t="n">
        <f aca="false">IF(A666="",0,IFERROR(MATCH(A666,Bank!$A:$A,0),0))</f>
        <v>0</v>
      </c>
      <c r="C666" s="5" t="str">
        <f aca="false">IF(B666=0,"",IF(INDEX(Bank!$G:$G,B666)="","",INDEX(Bank!$G:$G,B666)))</f>
        <v/>
      </c>
      <c r="D666" s="5" t="str">
        <f aca="false">IF(B666=0,"",IF(INDEX(Bank!$J:$J,B666)="","",INDEX(Bank!$J:$J,B666)))</f>
        <v/>
      </c>
      <c r="E666" s="32" t="str">
        <f aca="false">IF(B666=0,"",INDEX(Bank!$B:$B,B666))</f>
        <v/>
      </c>
      <c r="F666" s="5" t="str">
        <f aca="false">IF(B666=0,"",IF(INDEX(Bank!$C:$C,B666)="","",INDEX(Bank!$C:$C,B666)))</f>
        <v/>
      </c>
      <c r="G666" s="19" t="str">
        <f aca="false">IF(B666=0,"",INDEX(Bank!$E:$E,B666))</f>
        <v/>
      </c>
      <c r="H666" s="5" t="str">
        <f aca="false">IF(B666=0,"",IF(INDEX(Bank!$H:$H,B666)="","",INDEX(Bank!$H:$H,B666)))</f>
        <v/>
      </c>
      <c r="I666" s="5" t="n">
        <f aca="false">IF(H666="",0,IFERROR(MATCH(H666,GL!$A:$A,0),0))</f>
        <v>0</v>
      </c>
      <c r="J666" s="32" t="str">
        <f aca="false">IF(I666=0,"",INDEX(GL!$B:$B,I666))</f>
        <v/>
      </c>
      <c r="K666" s="5" t="str">
        <f aca="false">IF(I666=0,"",IF(INDEX(GL!$C:$C,I666)="","",INDEX(GL!$C:$C,I666)))</f>
        <v/>
      </c>
      <c r="L666" s="19" t="str">
        <f aca="false">IF(I666=0,"",INDEX(GL!$E:$E,I666))</f>
        <v/>
      </c>
      <c r="M666" s="19" t="str">
        <f aca="false">IF(OR(B666=0,I666=0),"",ROUND(G666-L666,2))</f>
        <v/>
      </c>
      <c r="N666" s="5" t="str">
        <f aca="false">IF(A666="","",IF(B666=0,"NOT FOUND: bank ID",IF(I666=0,"NOT FOUND: GL ID",IF(INDEX(GL!$H:$H,I666)&lt;&gt;A666,"BROKEN: GL points elsewhere",IF(OR(INDEX(Bank!$F:$F,B666)&lt;&gt;"Y",INDEX(GL!$F:$F,I666)&lt;&gt;"Y"),"BROKEN: Status not Y","OK")))))</f>
        <v/>
      </c>
    </row>
    <row r="667" customFormat="false" ht="15" hidden="false" customHeight="false" outlineLevel="0" collapsed="false">
      <c r="A667" s="41"/>
      <c r="B667" s="5" t="n">
        <f aca="false">IF(A667="",0,IFERROR(MATCH(A667,Bank!$A:$A,0),0))</f>
        <v>0</v>
      </c>
      <c r="C667" s="5" t="str">
        <f aca="false">IF(B667=0,"",IF(INDEX(Bank!$G:$G,B667)="","",INDEX(Bank!$G:$G,B667)))</f>
        <v/>
      </c>
      <c r="D667" s="5" t="str">
        <f aca="false">IF(B667=0,"",IF(INDEX(Bank!$J:$J,B667)="","",INDEX(Bank!$J:$J,B667)))</f>
        <v/>
      </c>
      <c r="E667" s="32" t="str">
        <f aca="false">IF(B667=0,"",INDEX(Bank!$B:$B,B667))</f>
        <v/>
      </c>
      <c r="F667" s="5" t="str">
        <f aca="false">IF(B667=0,"",IF(INDEX(Bank!$C:$C,B667)="","",INDEX(Bank!$C:$C,B667)))</f>
        <v/>
      </c>
      <c r="G667" s="19" t="str">
        <f aca="false">IF(B667=0,"",INDEX(Bank!$E:$E,B667))</f>
        <v/>
      </c>
      <c r="H667" s="5" t="str">
        <f aca="false">IF(B667=0,"",IF(INDEX(Bank!$H:$H,B667)="","",INDEX(Bank!$H:$H,B667)))</f>
        <v/>
      </c>
      <c r="I667" s="5" t="n">
        <f aca="false">IF(H667="",0,IFERROR(MATCH(H667,GL!$A:$A,0),0))</f>
        <v>0</v>
      </c>
      <c r="J667" s="32" t="str">
        <f aca="false">IF(I667=0,"",INDEX(GL!$B:$B,I667))</f>
        <v/>
      </c>
      <c r="K667" s="5" t="str">
        <f aca="false">IF(I667=0,"",IF(INDEX(GL!$C:$C,I667)="","",INDEX(GL!$C:$C,I667)))</f>
        <v/>
      </c>
      <c r="L667" s="19" t="str">
        <f aca="false">IF(I667=0,"",INDEX(GL!$E:$E,I667))</f>
        <v/>
      </c>
      <c r="M667" s="19" t="str">
        <f aca="false">IF(OR(B667=0,I667=0),"",ROUND(G667-L667,2))</f>
        <v/>
      </c>
      <c r="N667" s="5" t="str">
        <f aca="false">IF(A667="","",IF(B667=0,"NOT FOUND: bank ID",IF(I667=0,"NOT FOUND: GL ID",IF(INDEX(GL!$H:$H,I667)&lt;&gt;A667,"BROKEN: GL points elsewhere",IF(OR(INDEX(Bank!$F:$F,B667)&lt;&gt;"Y",INDEX(GL!$F:$F,I667)&lt;&gt;"Y"),"BROKEN: Status not Y","OK")))))</f>
        <v/>
      </c>
    </row>
    <row r="668" customFormat="false" ht="15" hidden="false" customHeight="false" outlineLevel="0" collapsed="false">
      <c r="A668" s="41"/>
      <c r="B668" s="5" t="n">
        <f aca="false">IF(A668="",0,IFERROR(MATCH(A668,Bank!$A:$A,0),0))</f>
        <v>0</v>
      </c>
      <c r="C668" s="5" t="str">
        <f aca="false">IF(B668=0,"",IF(INDEX(Bank!$G:$G,B668)="","",INDEX(Bank!$G:$G,B668)))</f>
        <v/>
      </c>
      <c r="D668" s="5" t="str">
        <f aca="false">IF(B668=0,"",IF(INDEX(Bank!$J:$J,B668)="","",INDEX(Bank!$J:$J,B668)))</f>
        <v/>
      </c>
      <c r="E668" s="32" t="str">
        <f aca="false">IF(B668=0,"",INDEX(Bank!$B:$B,B668))</f>
        <v/>
      </c>
      <c r="F668" s="5" t="str">
        <f aca="false">IF(B668=0,"",IF(INDEX(Bank!$C:$C,B668)="","",INDEX(Bank!$C:$C,B668)))</f>
        <v/>
      </c>
      <c r="G668" s="19" t="str">
        <f aca="false">IF(B668=0,"",INDEX(Bank!$E:$E,B668))</f>
        <v/>
      </c>
      <c r="H668" s="5" t="str">
        <f aca="false">IF(B668=0,"",IF(INDEX(Bank!$H:$H,B668)="","",INDEX(Bank!$H:$H,B668)))</f>
        <v/>
      </c>
      <c r="I668" s="5" t="n">
        <f aca="false">IF(H668="",0,IFERROR(MATCH(H668,GL!$A:$A,0),0))</f>
        <v>0</v>
      </c>
      <c r="J668" s="32" t="str">
        <f aca="false">IF(I668=0,"",INDEX(GL!$B:$B,I668))</f>
        <v/>
      </c>
      <c r="K668" s="5" t="str">
        <f aca="false">IF(I668=0,"",IF(INDEX(GL!$C:$C,I668)="","",INDEX(GL!$C:$C,I668)))</f>
        <v/>
      </c>
      <c r="L668" s="19" t="str">
        <f aca="false">IF(I668=0,"",INDEX(GL!$E:$E,I668))</f>
        <v/>
      </c>
      <c r="M668" s="19" t="str">
        <f aca="false">IF(OR(B668=0,I668=0),"",ROUND(G668-L668,2))</f>
        <v/>
      </c>
      <c r="N668" s="5" t="str">
        <f aca="false">IF(A668="","",IF(B668=0,"NOT FOUND: bank ID",IF(I668=0,"NOT FOUND: GL ID",IF(INDEX(GL!$H:$H,I668)&lt;&gt;A668,"BROKEN: GL points elsewhere",IF(OR(INDEX(Bank!$F:$F,B668)&lt;&gt;"Y",INDEX(GL!$F:$F,I668)&lt;&gt;"Y"),"BROKEN: Status not Y","OK")))))</f>
        <v/>
      </c>
    </row>
    <row r="669" customFormat="false" ht="15" hidden="false" customHeight="false" outlineLevel="0" collapsed="false">
      <c r="A669" s="41"/>
      <c r="B669" s="5" t="n">
        <f aca="false">IF(A669="",0,IFERROR(MATCH(A669,Bank!$A:$A,0),0))</f>
        <v>0</v>
      </c>
      <c r="C669" s="5" t="str">
        <f aca="false">IF(B669=0,"",IF(INDEX(Bank!$G:$G,B669)="","",INDEX(Bank!$G:$G,B669)))</f>
        <v/>
      </c>
      <c r="D669" s="5" t="str">
        <f aca="false">IF(B669=0,"",IF(INDEX(Bank!$J:$J,B669)="","",INDEX(Bank!$J:$J,B669)))</f>
        <v/>
      </c>
      <c r="E669" s="32" t="str">
        <f aca="false">IF(B669=0,"",INDEX(Bank!$B:$B,B669))</f>
        <v/>
      </c>
      <c r="F669" s="5" t="str">
        <f aca="false">IF(B669=0,"",IF(INDEX(Bank!$C:$C,B669)="","",INDEX(Bank!$C:$C,B669)))</f>
        <v/>
      </c>
      <c r="G669" s="19" t="str">
        <f aca="false">IF(B669=0,"",INDEX(Bank!$E:$E,B669))</f>
        <v/>
      </c>
      <c r="H669" s="5" t="str">
        <f aca="false">IF(B669=0,"",IF(INDEX(Bank!$H:$H,B669)="","",INDEX(Bank!$H:$H,B669)))</f>
        <v/>
      </c>
      <c r="I669" s="5" t="n">
        <f aca="false">IF(H669="",0,IFERROR(MATCH(H669,GL!$A:$A,0),0))</f>
        <v>0</v>
      </c>
      <c r="J669" s="32" t="str">
        <f aca="false">IF(I669=0,"",INDEX(GL!$B:$B,I669))</f>
        <v/>
      </c>
      <c r="K669" s="5" t="str">
        <f aca="false">IF(I669=0,"",IF(INDEX(GL!$C:$C,I669)="","",INDEX(GL!$C:$C,I669)))</f>
        <v/>
      </c>
      <c r="L669" s="19" t="str">
        <f aca="false">IF(I669=0,"",INDEX(GL!$E:$E,I669))</f>
        <v/>
      </c>
      <c r="M669" s="19" t="str">
        <f aca="false">IF(OR(B669=0,I669=0),"",ROUND(G669-L669,2))</f>
        <v/>
      </c>
      <c r="N669" s="5" t="str">
        <f aca="false">IF(A669="","",IF(B669=0,"NOT FOUND: bank ID",IF(I669=0,"NOT FOUND: GL ID",IF(INDEX(GL!$H:$H,I669)&lt;&gt;A669,"BROKEN: GL points elsewhere",IF(OR(INDEX(Bank!$F:$F,B669)&lt;&gt;"Y",INDEX(GL!$F:$F,I669)&lt;&gt;"Y"),"BROKEN: Status not Y","OK")))))</f>
        <v/>
      </c>
    </row>
    <row r="670" customFormat="false" ht="15" hidden="false" customHeight="false" outlineLevel="0" collapsed="false">
      <c r="A670" s="41"/>
      <c r="B670" s="5" t="n">
        <f aca="false">IF(A670="",0,IFERROR(MATCH(A670,Bank!$A:$A,0),0))</f>
        <v>0</v>
      </c>
      <c r="C670" s="5" t="str">
        <f aca="false">IF(B670=0,"",IF(INDEX(Bank!$G:$G,B670)="","",INDEX(Bank!$G:$G,B670)))</f>
        <v/>
      </c>
      <c r="D670" s="5" t="str">
        <f aca="false">IF(B670=0,"",IF(INDEX(Bank!$J:$J,B670)="","",INDEX(Bank!$J:$J,B670)))</f>
        <v/>
      </c>
      <c r="E670" s="32" t="str">
        <f aca="false">IF(B670=0,"",INDEX(Bank!$B:$B,B670))</f>
        <v/>
      </c>
      <c r="F670" s="5" t="str">
        <f aca="false">IF(B670=0,"",IF(INDEX(Bank!$C:$C,B670)="","",INDEX(Bank!$C:$C,B670)))</f>
        <v/>
      </c>
      <c r="G670" s="19" t="str">
        <f aca="false">IF(B670=0,"",INDEX(Bank!$E:$E,B670))</f>
        <v/>
      </c>
      <c r="H670" s="5" t="str">
        <f aca="false">IF(B670=0,"",IF(INDEX(Bank!$H:$H,B670)="","",INDEX(Bank!$H:$H,B670)))</f>
        <v/>
      </c>
      <c r="I670" s="5" t="n">
        <f aca="false">IF(H670="",0,IFERROR(MATCH(H670,GL!$A:$A,0),0))</f>
        <v>0</v>
      </c>
      <c r="J670" s="32" t="str">
        <f aca="false">IF(I670=0,"",INDEX(GL!$B:$B,I670))</f>
        <v/>
      </c>
      <c r="K670" s="5" t="str">
        <f aca="false">IF(I670=0,"",IF(INDEX(GL!$C:$C,I670)="","",INDEX(GL!$C:$C,I670)))</f>
        <v/>
      </c>
      <c r="L670" s="19" t="str">
        <f aca="false">IF(I670=0,"",INDEX(GL!$E:$E,I670))</f>
        <v/>
      </c>
      <c r="M670" s="19" t="str">
        <f aca="false">IF(OR(B670=0,I670=0),"",ROUND(G670-L670,2))</f>
        <v/>
      </c>
      <c r="N670" s="5" t="str">
        <f aca="false">IF(A670="","",IF(B670=0,"NOT FOUND: bank ID",IF(I670=0,"NOT FOUND: GL ID",IF(INDEX(GL!$H:$H,I670)&lt;&gt;A670,"BROKEN: GL points elsewhere",IF(OR(INDEX(Bank!$F:$F,B670)&lt;&gt;"Y",INDEX(GL!$F:$F,I670)&lt;&gt;"Y"),"BROKEN: Status not Y","OK")))))</f>
        <v/>
      </c>
    </row>
    <row r="671" customFormat="false" ht="15" hidden="false" customHeight="false" outlineLevel="0" collapsed="false">
      <c r="A671" s="41"/>
      <c r="B671" s="5" t="n">
        <f aca="false">IF(A671="",0,IFERROR(MATCH(A671,Bank!$A:$A,0),0))</f>
        <v>0</v>
      </c>
      <c r="C671" s="5" t="str">
        <f aca="false">IF(B671=0,"",IF(INDEX(Bank!$G:$G,B671)="","",INDEX(Bank!$G:$G,B671)))</f>
        <v/>
      </c>
      <c r="D671" s="5" t="str">
        <f aca="false">IF(B671=0,"",IF(INDEX(Bank!$J:$J,B671)="","",INDEX(Bank!$J:$J,B671)))</f>
        <v/>
      </c>
      <c r="E671" s="32" t="str">
        <f aca="false">IF(B671=0,"",INDEX(Bank!$B:$B,B671))</f>
        <v/>
      </c>
      <c r="F671" s="5" t="str">
        <f aca="false">IF(B671=0,"",IF(INDEX(Bank!$C:$C,B671)="","",INDEX(Bank!$C:$C,B671)))</f>
        <v/>
      </c>
      <c r="G671" s="19" t="str">
        <f aca="false">IF(B671=0,"",INDEX(Bank!$E:$E,B671))</f>
        <v/>
      </c>
      <c r="H671" s="5" t="str">
        <f aca="false">IF(B671=0,"",IF(INDEX(Bank!$H:$H,B671)="","",INDEX(Bank!$H:$H,B671)))</f>
        <v/>
      </c>
      <c r="I671" s="5" t="n">
        <f aca="false">IF(H671="",0,IFERROR(MATCH(H671,GL!$A:$A,0),0))</f>
        <v>0</v>
      </c>
      <c r="J671" s="32" t="str">
        <f aca="false">IF(I671=0,"",INDEX(GL!$B:$B,I671))</f>
        <v/>
      </c>
      <c r="K671" s="5" t="str">
        <f aca="false">IF(I671=0,"",IF(INDEX(GL!$C:$C,I671)="","",INDEX(GL!$C:$C,I671)))</f>
        <v/>
      </c>
      <c r="L671" s="19" t="str">
        <f aca="false">IF(I671=0,"",INDEX(GL!$E:$E,I671))</f>
        <v/>
      </c>
      <c r="M671" s="19" t="str">
        <f aca="false">IF(OR(B671=0,I671=0),"",ROUND(G671-L671,2))</f>
        <v/>
      </c>
      <c r="N671" s="5" t="str">
        <f aca="false">IF(A671="","",IF(B671=0,"NOT FOUND: bank ID",IF(I671=0,"NOT FOUND: GL ID",IF(INDEX(GL!$H:$H,I671)&lt;&gt;A671,"BROKEN: GL points elsewhere",IF(OR(INDEX(Bank!$F:$F,B671)&lt;&gt;"Y",INDEX(GL!$F:$F,I671)&lt;&gt;"Y"),"BROKEN: Status not Y","OK")))))</f>
        <v/>
      </c>
    </row>
    <row r="672" customFormat="false" ht="15" hidden="false" customHeight="false" outlineLevel="0" collapsed="false">
      <c r="A672" s="41"/>
      <c r="B672" s="5" t="n">
        <f aca="false">IF(A672="",0,IFERROR(MATCH(A672,Bank!$A:$A,0),0))</f>
        <v>0</v>
      </c>
      <c r="C672" s="5" t="str">
        <f aca="false">IF(B672=0,"",IF(INDEX(Bank!$G:$G,B672)="","",INDEX(Bank!$G:$G,B672)))</f>
        <v/>
      </c>
      <c r="D672" s="5" t="str">
        <f aca="false">IF(B672=0,"",IF(INDEX(Bank!$J:$J,B672)="","",INDEX(Bank!$J:$J,B672)))</f>
        <v/>
      </c>
      <c r="E672" s="32" t="str">
        <f aca="false">IF(B672=0,"",INDEX(Bank!$B:$B,B672))</f>
        <v/>
      </c>
      <c r="F672" s="5" t="str">
        <f aca="false">IF(B672=0,"",IF(INDEX(Bank!$C:$C,B672)="","",INDEX(Bank!$C:$C,B672)))</f>
        <v/>
      </c>
      <c r="G672" s="19" t="str">
        <f aca="false">IF(B672=0,"",INDEX(Bank!$E:$E,B672))</f>
        <v/>
      </c>
      <c r="H672" s="5" t="str">
        <f aca="false">IF(B672=0,"",IF(INDEX(Bank!$H:$H,B672)="","",INDEX(Bank!$H:$H,B672)))</f>
        <v/>
      </c>
      <c r="I672" s="5" t="n">
        <f aca="false">IF(H672="",0,IFERROR(MATCH(H672,GL!$A:$A,0),0))</f>
        <v>0</v>
      </c>
      <c r="J672" s="32" t="str">
        <f aca="false">IF(I672=0,"",INDEX(GL!$B:$B,I672))</f>
        <v/>
      </c>
      <c r="K672" s="5" t="str">
        <f aca="false">IF(I672=0,"",IF(INDEX(GL!$C:$C,I672)="","",INDEX(GL!$C:$C,I672)))</f>
        <v/>
      </c>
      <c r="L672" s="19" t="str">
        <f aca="false">IF(I672=0,"",INDEX(GL!$E:$E,I672))</f>
        <v/>
      </c>
      <c r="M672" s="19" t="str">
        <f aca="false">IF(OR(B672=0,I672=0),"",ROUND(G672-L672,2))</f>
        <v/>
      </c>
      <c r="N672" s="5" t="str">
        <f aca="false">IF(A672="","",IF(B672=0,"NOT FOUND: bank ID",IF(I672=0,"NOT FOUND: GL ID",IF(INDEX(GL!$H:$H,I672)&lt;&gt;A672,"BROKEN: GL points elsewhere",IF(OR(INDEX(Bank!$F:$F,B672)&lt;&gt;"Y",INDEX(GL!$F:$F,I672)&lt;&gt;"Y"),"BROKEN: Status not Y","OK")))))</f>
        <v/>
      </c>
    </row>
    <row r="673" customFormat="false" ht="15" hidden="false" customHeight="false" outlineLevel="0" collapsed="false">
      <c r="A673" s="41"/>
      <c r="B673" s="5" t="n">
        <f aca="false">IF(A673="",0,IFERROR(MATCH(A673,Bank!$A:$A,0),0))</f>
        <v>0</v>
      </c>
      <c r="C673" s="5" t="str">
        <f aca="false">IF(B673=0,"",IF(INDEX(Bank!$G:$G,B673)="","",INDEX(Bank!$G:$G,B673)))</f>
        <v/>
      </c>
      <c r="D673" s="5" t="str">
        <f aca="false">IF(B673=0,"",IF(INDEX(Bank!$J:$J,B673)="","",INDEX(Bank!$J:$J,B673)))</f>
        <v/>
      </c>
      <c r="E673" s="32" t="str">
        <f aca="false">IF(B673=0,"",INDEX(Bank!$B:$B,B673))</f>
        <v/>
      </c>
      <c r="F673" s="5" t="str">
        <f aca="false">IF(B673=0,"",IF(INDEX(Bank!$C:$C,B673)="","",INDEX(Bank!$C:$C,B673)))</f>
        <v/>
      </c>
      <c r="G673" s="19" t="str">
        <f aca="false">IF(B673=0,"",INDEX(Bank!$E:$E,B673))</f>
        <v/>
      </c>
      <c r="H673" s="5" t="str">
        <f aca="false">IF(B673=0,"",IF(INDEX(Bank!$H:$H,B673)="","",INDEX(Bank!$H:$H,B673)))</f>
        <v/>
      </c>
      <c r="I673" s="5" t="n">
        <f aca="false">IF(H673="",0,IFERROR(MATCH(H673,GL!$A:$A,0),0))</f>
        <v>0</v>
      </c>
      <c r="J673" s="32" t="str">
        <f aca="false">IF(I673=0,"",INDEX(GL!$B:$B,I673))</f>
        <v/>
      </c>
      <c r="K673" s="5" t="str">
        <f aca="false">IF(I673=0,"",IF(INDEX(GL!$C:$C,I673)="","",INDEX(GL!$C:$C,I673)))</f>
        <v/>
      </c>
      <c r="L673" s="19" t="str">
        <f aca="false">IF(I673=0,"",INDEX(GL!$E:$E,I673))</f>
        <v/>
      </c>
      <c r="M673" s="19" t="str">
        <f aca="false">IF(OR(B673=0,I673=0),"",ROUND(G673-L673,2))</f>
        <v/>
      </c>
      <c r="N673" s="5" t="str">
        <f aca="false">IF(A673="","",IF(B673=0,"NOT FOUND: bank ID",IF(I673=0,"NOT FOUND: GL ID",IF(INDEX(GL!$H:$H,I673)&lt;&gt;A673,"BROKEN: GL points elsewhere",IF(OR(INDEX(Bank!$F:$F,B673)&lt;&gt;"Y",INDEX(GL!$F:$F,I673)&lt;&gt;"Y"),"BROKEN: Status not Y","OK")))))</f>
        <v/>
      </c>
    </row>
    <row r="674" customFormat="false" ht="15" hidden="false" customHeight="false" outlineLevel="0" collapsed="false">
      <c r="A674" s="41"/>
      <c r="B674" s="5" t="n">
        <f aca="false">IF(A674="",0,IFERROR(MATCH(A674,Bank!$A:$A,0),0))</f>
        <v>0</v>
      </c>
      <c r="C674" s="5" t="str">
        <f aca="false">IF(B674=0,"",IF(INDEX(Bank!$G:$G,B674)="","",INDEX(Bank!$G:$G,B674)))</f>
        <v/>
      </c>
      <c r="D674" s="5" t="str">
        <f aca="false">IF(B674=0,"",IF(INDEX(Bank!$J:$J,B674)="","",INDEX(Bank!$J:$J,B674)))</f>
        <v/>
      </c>
      <c r="E674" s="32" t="str">
        <f aca="false">IF(B674=0,"",INDEX(Bank!$B:$B,B674))</f>
        <v/>
      </c>
      <c r="F674" s="5" t="str">
        <f aca="false">IF(B674=0,"",IF(INDEX(Bank!$C:$C,B674)="","",INDEX(Bank!$C:$C,B674)))</f>
        <v/>
      </c>
      <c r="G674" s="19" t="str">
        <f aca="false">IF(B674=0,"",INDEX(Bank!$E:$E,B674))</f>
        <v/>
      </c>
      <c r="H674" s="5" t="str">
        <f aca="false">IF(B674=0,"",IF(INDEX(Bank!$H:$H,B674)="","",INDEX(Bank!$H:$H,B674)))</f>
        <v/>
      </c>
      <c r="I674" s="5" t="n">
        <f aca="false">IF(H674="",0,IFERROR(MATCH(H674,GL!$A:$A,0),0))</f>
        <v>0</v>
      </c>
      <c r="J674" s="32" t="str">
        <f aca="false">IF(I674=0,"",INDEX(GL!$B:$B,I674))</f>
        <v/>
      </c>
      <c r="K674" s="5" t="str">
        <f aca="false">IF(I674=0,"",IF(INDEX(GL!$C:$C,I674)="","",INDEX(GL!$C:$C,I674)))</f>
        <v/>
      </c>
      <c r="L674" s="19" t="str">
        <f aca="false">IF(I674=0,"",INDEX(GL!$E:$E,I674))</f>
        <v/>
      </c>
      <c r="M674" s="19" t="str">
        <f aca="false">IF(OR(B674=0,I674=0),"",ROUND(G674-L674,2))</f>
        <v/>
      </c>
      <c r="N674" s="5" t="str">
        <f aca="false">IF(A674="","",IF(B674=0,"NOT FOUND: bank ID",IF(I674=0,"NOT FOUND: GL ID",IF(INDEX(GL!$H:$H,I674)&lt;&gt;A674,"BROKEN: GL points elsewhere",IF(OR(INDEX(Bank!$F:$F,B674)&lt;&gt;"Y",INDEX(GL!$F:$F,I674)&lt;&gt;"Y"),"BROKEN: Status not Y","OK")))))</f>
        <v/>
      </c>
    </row>
    <row r="675" customFormat="false" ht="15" hidden="false" customHeight="false" outlineLevel="0" collapsed="false">
      <c r="A675" s="41"/>
      <c r="B675" s="5" t="n">
        <f aca="false">IF(A675="",0,IFERROR(MATCH(A675,Bank!$A:$A,0),0))</f>
        <v>0</v>
      </c>
      <c r="C675" s="5" t="str">
        <f aca="false">IF(B675=0,"",IF(INDEX(Bank!$G:$G,B675)="","",INDEX(Bank!$G:$G,B675)))</f>
        <v/>
      </c>
      <c r="D675" s="5" t="str">
        <f aca="false">IF(B675=0,"",IF(INDEX(Bank!$J:$J,B675)="","",INDEX(Bank!$J:$J,B675)))</f>
        <v/>
      </c>
      <c r="E675" s="32" t="str">
        <f aca="false">IF(B675=0,"",INDEX(Bank!$B:$B,B675))</f>
        <v/>
      </c>
      <c r="F675" s="5" t="str">
        <f aca="false">IF(B675=0,"",IF(INDEX(Bank!$C:$C,B675)="","",INDEX(Bank!$C:$C,B675)))</f>
        <v/>
      </c>
      <c r="G675" s="19" t="str">
        <f aca="false">IF(B675=0,"",INDEX(Bank!$E:$E,B675))</f>
        <v/>
      </c>
      <c r="H675" s="5" t="str">
        <f aca="false">IF(B675=0,"",IF(INDEX(Bank!$H:$H,B675)="","",INDEX(Bank!$H:$H,B675)))</f>
        <v/>
      </c>
      <c r="I675" s="5" t="n">
        <f aca="false">IF(H675="",0,IFERROR(MATCH(H675,GL!$A:$A,0),0))</f>
        <v>0</v>
      </c>
      <c r="J675" s="32" t="str">
        <f aca="false">IF(I675=0,"",INDEX(GL!$B:$B,I675))</f>
        <v/>
      </c>
      <c r="K675" s="5" t="str">
        <f aca="false">IF(I675=0,"",IF(INDEX(GL!$C:$C,I675)="","",INDEX(GL!$C:$C,I675)))</f>
        <v/>
      </c>
      <c r="L675" s="19" t="str">
        <f aca="false">IF(I675=0,"",INDEX(GL!$E:$E,I675))</f>
        <v/>
      </c>
      <c r="M675" s="19" t="str">
        <f aca="false">IF(OR(B675=0,I675=0),"",ROUND(G675-L675,2))</f>
        <v/>
      </c>
      <c r="N675" s="5" t="str">
        <f aca="false">IF(A675="","",IF(B675=0,"NOT FOUND: bank ID",IF(I675=0,"NOT FOUND: GL ID",IF(INDEX(GL!$H:$H,I675)&lt;&gt;A675,"BROKEN: GL points elsewhere",IF(OR(INDEX(Bank!$F:$F,B675)&lt;&gt;"Y",INDEX(GL!$F:$F,I675)&lt;&gt;"Y"),"BROKEN: Status not Y","OK")))))</f>
        <v/>
      </c>
    </row>
    <row r="676" customFormat="false" ht="15" hidden="false" customHeight="false" outlineLevel="0" collapsed="false">
      <c r="A676" s="41"/>
      <c r="B676" s="5" t="n">
        <f aca="false">IF(A676="",0,IFERROR(MATCH(A676,Bank!$A:$A,0),0))</f>
        <v>0</v>
      </c>
      <c r="C676" s="5" t="str">
        <f aca="false">IF(B676=0,"",IF(INDEX(Bank!$G:$G,B676)="","",INDEX(Bank!$G:$G,B676)))</f>
        <v/>
      </c>
      <c r="D676" s="5" t="str">
        <f aca="false">IF(B676=0,"",IF(INDEX(Bank!$J:$J,B676)="","",INDEX(Bank!$J:$J,B676)))</f>
        <v/>
      </c>
      <c r="E676" s="32" t="str">
        <f aca="false">IF(B676=0,"",INDEX(Bank!$B:$B,B676))</f>
        <v/>
      </c>
      <c r="F676" s="5" t="str">
        <f aca="false">IF(B676=0,"",IF(INDEX(Bank!$C:$C,B676)="","",INDEX(Bank!$C:$C,B676)))</f>
        <v/>
      </c>
      <c r="G676" s="19" t="str">
        <f aca="false">IF(B676=0,"",INDEX(Bank!$E:$E,B676))</f>
        <v/>
      </c>
      <c r="H676" s="5" t="str">
        <f aca="false">IF(B676=0,"",IF(INDEX(Bank!$H:$H,B676)="","",INDEX(Bank!$H:$H,B676)))</f>
        <v/>
      </c>
      <c r="I676" s="5" t="n">
        <f aca="false">IF(H676="",0,IFERROR(MATCH(H676,GL!$A:$A,0),0))</f>
        <v>0</v>
      </c>
      <c r="J676" s="32" t="str">
        <f aca="false">IF(I676=0,"",INDEX(GL!$B:$B,I676))</f>
        <v/>
      </c>
      <c r="K676" s="5" t="str">
        <f aca="false">IF(I676=0,"",IF(INDEX(GL!$C:$C,I676)="","",INDEX(GL!$C:$C,I676)))</f>
        <v/>
      </c>
      <c r="L676" s="19" t="str">
        <f aca="false">IF(I676=0,"",INDEX(GL!$E:$E,I676))</f>
        <v/>
      </c>
      <c r="M676" s="19" t="str">
        <f aca="false">IF(OR(B676=0,I676=0),"",ROUND(G676-L676,2))</f>
        <v/>
      </c>
      <c r="N676" s="5" t="str">
        <f aca="false">IF(A676="","",IF(B676=0,"NOT FOUND: bank ID",IF(I676=0,"NOT FOUND: GL ID",IF(INDEX(GL!$H:$H,I676)&lt;&gt;A676,"BROKEN: GL points elsewhere",IF(OR(INDEX(Bank!$F:$F,B676)&lt;&gt;"Y",INDEX(GL!$F:$F,I676)&lt;&gt;"Y"),"BROKEN: Status not Y","OK")))))</f>
        <v/>
      </c>
    </row>
    <row r="677" customFormat="false" ht="15" hidden="false" customHeight="false" outlineLevel="0" collapsed="false">
      <c r="A677" s="41"/>
      <c r="B677" s="5" t="n">
        <f aca="false">IF(A677="",0,IFERROR(MATCH(A677,Bank!$A:$A,0),0))</f>
        <v>0</v>
      </c>
      <c r="C677" s="5" t="str">
        <f aca="false">IF(B677=0,"",IF(INDEX(Bank!$G:$G,B677)="","",INDEX(Bank!$G:$G,B677)))</f>
        <v/>
      </c>
      <c r="D677" s="5" t="str">
        <f aca="false">IF(B677=0,"",IF(INDEX(Bank!$J:$J,B677)="","",INDEX(Bank!$J:$J,B677)))</f>
        <v/>
      </c>
      <c r="E677" s="32" t="str">
        <f aca="false">IF(B677=0,"",INDEX(Bank!$B:$B,B677))</f>
        <v/>
      </c>
      <c r="F677" s="5" t="str">
        <f aca="false">IF(B677=0,"",IF(INDEX(Bank!$C:$C,B677)="","",INDEX(Bank!$C:$C,B677)))</f>
        <v/>
      </c>
      <c r="G677" s="19" t="str">
        <f aca="false">IF(B677=0,"",INDEX(Bank!$E:$E,B677))</f>
        <v/>
      </c>
      <c r="H677" s="5" t="str">
        <f aca="false">IF(B677=0,"",IF(INDEX(Bank!$H:$H,B677)="","",INDEX(Bank!$H:$H,B677)))</f>
        <v/>
      </c>
      <c r="I677" s="5" t="n">
        <f aca="false">IF(H677="",0,IFERROR(MATCH(H677,GL!$A:$A,0),0))</f>
        <v>0</v>
      </c>
      <c r="J677" s="32" t="str">
        <f aca="false">IF(I677=0,"",INDEX(GL!$B:$B,I677))</f>
        <v/>
      </c>
      <c r="K677" s="5" t="str">
        <f aca="false">IF(I677=0,"",IF(INDEX(GL!$C:$C,I677)="","",INDEX(GL!$C:$C,I677)))</f>
        <v/>
      </c>
      <c r="L677" s="19" t="str">
        <f aca="false">IF(I677=0,"",INDEX(GL!$E:$E,I677))</f>
        <v/>
      </c>
      <c r="M677" s="19" t="str">
        <f aca="false">IF(OR(B677=0,I677=0),"",ROUND(G677-L677,2))</f>
        <v/>
      </c>
      <c r="N677" s="5" t="str">
        <f aca="false">IF(A677="","",IF(B677=0,"NOT FOUND: bank ID",IF(I677=0,"NOT FOUND: GL ID",IF(INDEX(GL!$H:$H,I677)&lt;&gt;A677,"BROKEN: GL points elsewhere",IF(OR(INDEX(Bank!$F:$F,B677)&lt;&gt;"Y",INDEX(GL!$F:$F,I677)&lt;&gt;"Y"),"BROKEN: Status not Y","OK")))))</f>
        <v/>
      </c>
    </row>
    <row r="678" customFormat="false" ht="15" hidden="false" customHeight="false" outlineLevel="0" collapsed="false">
      <c r="A678" s="41"/>
      <c r="B678" s="5" t="n">
        <f aca="false">IF(A678="",0,IFERROR(MATCH(A678,Bank!$A:$A,0),0))</f>
        <v>0</v>
      </c>
      <c r="C678" s="5" t="str">
        <f aca="false">IF(B678=0,"",IF(INDEX(Bank!$G:$G,B678)="","",INDEX(Bank!$G:$G,B678)))</f>
        <v/>
      </c>
      <c r="D678" s="5" t="str">
        <f aca="false">IF(B678=0,"",IF(INDEX(Bank!$J:$J,B678)="","",INDEX(Bank!$J:$J,B678)))</f>
        <v/>
      </c>
      <c r="E678" s="32" t="str">
        <f aca="false">IF(B678=0,"",INDEX(Bank!$B:$B,B678))</f>
        <v/>
      </c>
      <c r="F678" s="5" t="str">
        <f aca="false">IF(B678=0,"",IF(INDEX(Bank!$C:$C,B678)="","",INDEX(Bank!$C:$C,B678)))</f>
        <v/>
      </c>
      <c r="G678" s="19" t="str">
        <f aca="false">IF(B678=0,"",INDEX(Bank!$E:$E,B678))</f>
        <v/>
      </c>
      <c r="H678" s="5" t="str">
        <f aca="false">IF(B678=0,"",IF(INDEX(Bank!$H:$H,B678)="","",INDEX(Bank!$H:$H,B678)))</f>
        <v/>
      </c>
      <c r="I678" s="5" t="n">
        <f aca="false">IF(H678="",0,IFERROR(MATCH(H678,GL!$A:$A,0),0))</f>
        <v>0</v>
      </c>
      <c r="J678" s="32" t="str">
        <f aca="false">IF(I678=0,"",INDEX(GL!$B:$B,I678))</f>
        <v/>
      </c>
      <c r="K678" s="5" t="str">
        <f aca="false">IF(I678=0,"",IF(INDEX(GL!$C:$C,I678)="","",INDEX(GL!$C:$C,I678)))</f>
        <v/>
      </c>
      <c r="L678" s="19" t="str">
        <f aca="false">IF(I678=0,"",INDEX(GL!$E:$E,I678))</f>
        <v/>
      </c>
      <c r="M678" s="19" t="str">
        <f aca="false">IF(OR(B678=0,I678=0),"",ROUND(G678-L678,2))</f>
        <v/>
      </c>
      <c r="N678" s="5" t="str">
        <f aca="false">IF(A678="","",IF(B678=0,"NOT FOUND: bank ID",IF(I678=0,"NOT FOUND: GL ID",IF(INDEX(GL!$H:$H,I678)&lt;&gt;A678,"BROKEN: GL points elsewhere",IF(OR(INDEX(Bank!$F:$F,B678)&lt;&gt;"Y",INDEX(GL!$F:$F,I678)&lt;&gt;"Y"),"BROKEN: Status not Y","OK")))))</f>
        <v/>
      </c>
    </row>
    <row r="679" customFormat="false" ht="15" hidden="false" customHeight="false" outlineLevel="0" collapsed="false">
      <c r="A679" s="41"/>
      <c r="B679" s="5" t="n">
        <f aca="false">IF(A679="",0,IFERROR(MATCH(A679,Bank!$A:$A,0),0))</f>
        <v>0</v>
      </c>
      <c r="C679" s="5" t="str">
        <f aca="false">IF(B679=0,"",IF(INDEX(Bank!$G:$G,B679)="","",INDEX(Bank!$G:$G,B679)))</f>
        <v/>
      </c>
      <c r="D679" s="5" t="str">
        <f aca="false">IF(B679=0,"",IF(INDEX(Bank!$J:$J,B679)="","",INDEX(Bank!$J:$J,B679)))</f>
        <v/>
      </c>
      <c r="E679" s="32" t="str">
        <f aca="false">IF(B679=0,"",INDEX(Bank!$B:$B,B679))</f>
        <v/>
      </c>
      <c r="F679" s="5" t="str">
        <f aca="false">IF(B679=0,"",IF(INDEX(Bank!$C:$C,B679)="","",INDEX(Bank!$C:$C,B679)))</f>
        <v/>
      </c>
      <c r="G679" s="19" t="str">
        <f aca="false">IF(B679=0,"",INDEX(Bank!$E:$E,B679))</f>
        <v/>
      </c>
      <c r="H679" s="5" t="str">
        <f aca="false">IF(B679=0,"",IF(INDEX(Bank!$H:$H,B679)="","",INDEX(Bank!$H:$H,B679)))</f>
        <v/>
      </c>
      <c r="I679" s="5" t="n">
        <f aca="false">IF(H679="",0,IFERROR(MATCH(H679,GL!$A:$A,0),0))</f>
        <v>0</v>
      </c>
      <c r="J679" s="32" t="str">
        <f aca="false">IF(I679=0,"",INDEX(GL!$B:$B,I679))</f>
        <v/>
      </c>
      <c r="K679" s="5" t="str">
        <f aca="false">IF(I679=0,"",IF(INDEX(GL!$C:$C,I679)="","",INDEX(GL!$C:$C,I679)))</f>
        <v/>
      </c>
      <c r="L679" s="19" t="str">
        <f aca="false">IF(I679=0,"",INDEX(GL!$E:$E,I679))</f>
        <v/>
      </c>
      <c r="M679" s="19" t="str">
        <f aca="false">IF(OR(B679=0,I679=0),"",ROUND(G679-L679,2))</f>
        <v/>
      </c>
      <c r="N679" s="5" t="str">
        <f aca="false">IF(A679="","",IF(B679=0,"NOT FOUND: bank ID",IF(I679=0,"NOT FOUND: GL ID",IF(INDEX(GL!$H:$H,I679)&lt;&gt;A679,"BROKEN: GL points elsewhere",IF(OR(INDEX(Bank!$F:$F,B679)&lt;&gt;"Y",INDEX(GL!$F:$F,I679)&lt;&gt;"Y"),"BROKEN: Status not Y","OK")))))</f>
        <v/>
      </c>
    </row>
    <row r="680" customFormat="false" ht="15" hidden="false" customHeight="false" outlineLevel="0" collapsed="false">
      <c r="A680" s="41"/>
      <c r="B680" s="5" t="n">
        <f aca="false">IF(A680="",0,IFERROR(MATCH(A680,Bank!$A:$A,0),0))</f>
        <v>0</v>
      </c>
      <c r="C680" s="5" t="str">
        <f aca="false">IF(B680=0,"",IF(INDEX(Bank!$G:$G,B680)="","",INDEX(Bank!$G:$G,B680)))</f>
        <v/>
      </c>
      <c r="D680" s="5" t="str">
        <f aca="false">IF(B680=0,"",IF(INDEX(Bank!$J:$J,B680)="","",INDEX(Bank!$J:$J,B680)))</f>
        <v/>
      </c>
      <c r="E680" s="32" t="str">
        <f aca="false">IF(B680=0,"",INDEX(Bank!$B:$B,B680))</f>
        <v/>
      </c>
      <c r="F680" s="5" t="str">
        <f aca="false">IF(B680=0,"",IF(INDEX(Bank!$C:$C,B680)="","",INDEX(Bank!$C:$C,B680)))</f>
        <v/>
      </c>
      <c r="G680" s="19" t="str">
        <f aca="false">IF(B680=0,"",INDEX(Bank!$E:$E,B680))</f>
        <v/>
      </c>
      <c r="H680" s="5" t="str">
        <f aca="false">IF(B680=0,"",IF(INDEX(Bank!$H:$H,B680)="","",INDEX(Bank!$H:$H,B680)))</f>
        <v/>
      </c>
      <c r="I680" s="5" t="n">
        <f aca="false">IF(H680="",0,IFERROR(MATCH(H680,GL!$A:$A,0),0))</f>
        <v>0</v>
      </c>
      <c r="J680" s="32" t="str">
        <f aca="false">IF(I680=0,"",INDEX(GL!$B:$B,I680))</f>
        <v/>
      </c>
      <c r="K680" s="5" t="str">
        <f aca="false">IF(I680=0,"",IF(INDEX(GL!$C:$C,I680)="","",INDEX(GL!$C:$C,I680)))</f>
        <v/>
      </c>
      <c r="L680" s="19" t="str">
        <f aca="false">IF(I680=0,"",INDEX(GL!$E:$E,I680))</f>
        <v/>
      </c>
      <c r="M680" s="19" t="str">
        <f aca="false">IF(OR(B680=0,I680=0),"",ROUND(G680-L680,2))</f>
        <v/>
      </c>
      <c r="N680" s="5" t="str">
        <f aca="false">IF(A680="","",IF(B680=0,"NOT FOUND: bank ID",IF(I680=0,"NOT FOUND: GL ID",IF(INDEX(GL!$H:$H,I680)&lt;&gt;A680,"BROKEN: GL points elsewhere",IF(OR(INDEX(Bank!$F:$F,B680)&lt;&gt;"Y",INDEX(GL!$F:$F,I680)&lt;&gt;"Y"),"BROKEN: Status not Y","OK")))))</f>
        <v/>
      </c>
    </row>
    <row r="681" customFormat="false" ht="15" hidden="false" customHeight="false" outlineLevel="0" collapsed="false">
      <c r="A681" s="41"/>
      <c r="B681" s="5" t="n">
        <f aca="false">IF(A681="",0,IFERROR(MATCH(A681,Bank!$A:$A,0),0))</f>
        <v>0</v>
      </c>
      <c r="C681" s="5" t="str">
        <f aca="false">IF(B681=0,"",IF(INDEX(Bank!$G:$G,B681)="","",INDEX(Bank!$G:$G,B681)))</f>
        <v/>
      </c>
      <c r="D681" s="5" t="str">
        <f aca="false">IF(B681=0,"",IF(INDEX(Bank!$J:$J,B681)="","",INDEX(Bank!$J:$J,B681)))</f>
        <v/>
      </c>
      <c r="E681" s="32" t="str">
        <f aca="false">IF(B681=0,"",INDEX(Bank!$B:$B,B681))</f>
        <v/>
      </c>
      <c r="F681" s="5" t="str">
        <f aca="false">IF(B681=0,"",IF(INDEX(Bank!$C:$C,B681)="","",INDEX(Bank!$C:$C,B681)))</f>
        <v/>
      </c>
      <c r="G681" s="19" t="str">
        <f aca="false">IF(B681=0,"",INDEX(Bank!$E:$E,B681))</f>
        <v/>
      </c>
      <c r="H681" s="5" t="str">
        <f aca="false">IF(B681=0,"",IF(INDEX(Bank!$H:$H,B681)="","",INDEX(Bank!$H:$H,B681)))</f>
        <v/>
      </c>
      <c r="I681" s="5" t="n">
        <f aca="false">IF(H681="",0,IFERROR(MATCH(H681,GL!$A:$A,0),0))</f>
        <v>0</v>
      </c>
      <c r="J681" s="32" t="str">
        <f aca="false">IF(I681=0,"",INDEX(GL!$B:$B,I681))</f>
        <v/>
      </c>
      <c r="K681" s="5" t="str">
        <f aca="false">IF(I681=0,"",IF(INDEX(GL!$C:$C,I681)="","",INDEX(GL!$C:$C,I681)))</f>
        <v/>
      </c>
      <c r="L681" s="19" t="str">
        <f aca="false">IF(I681=0,"",INDEX(GL!$E:$E,I681))</f>
        <v/>
      </c>
      <c r="M681" s="19" t="str">
        <f aca="false">IF(OR(B681=0,I681=0),"",ROUND(G681-L681,2))</f>
        <v/>
      </c>
      <c r="N681" s="5" t="str">
        <f aca="false">IF(A681="","",IF(B681=0,"NOT FOUND: bank ID",IF(I681=0,"NOT FOUND: GL ID",IF(INDEX(GL!$H:$H,I681)&lt;&gt;A681,"BROKEN: GL points elsewhere",IF(OR(INDEX(Bank!$F:$F,B681)&lt;&gt;"Y",INDEX(GL!$F:$F,I681)&lt;&gt;"Y"),"BROKEN: Status not Y","OK")))))</f>
        <v/>
      </c>
    </row>
    <row r="682" customFormat="false" ht="15" hidden="false" customHeight="false" outlineLevel="0" collapsed="false">
      <c r="A682" s="41"/>
      <c r="B682" s="5" t="n">
        <f aca="false">IF(A682="",0,IFERROR(MATCH(A682,Bank!$A:$A,0),0))</f>
        <v>0</v>
      </c>
      <c r="C682" s="5" t="str">
        <f aca="false">IF(B682=0,"",IF(INDEX(Bank!$G:$G,B682)="","",INDEX(Bank!$G:$G,B682)))</f>
        <v/>
      </c>
      <c r="D682" s="5" t="str">
        <f aca="false">IF(B682=0,"",IF(INDEX(Bank!$J:$J,B682)="","",INDEX(Bank!$J:$J,B682)))</f>
        <v/>
      </c>
      <c r="E682" s="32" t="str">
        <f aca="false">IF(B682=0,"",INDEX(Bank!$B:$B,B682))</f>
        <v/>
      </c>
      <c r="F682" s="5" t="str">
        <f aca="false">IF(B682=0,"",IF(INDEX(Bank!$C:$C,B682)="","",INDEX(Bank!$C:$C,B682)))</f>
        <v/>
      </c>
      <c r="G682" s="19" t="str">
        <f aca="false">IF(B682=0,"",INDEX(Bank!$E:$E,B682))</f>
        <v/>
      </c>
      <c r="H682" s="5" t="str">
        <f aca="false">IF(B682=0,"",IF(INDEX(Bank!$H:$H,B682)="","",INDEX(Bank!$H:$H,B682)))</f>
        <v/>
      </c>
      <c r="I682" s="5" t="n">
        <f aca="false">IF(H682="",0,IFERROR(MATCH(H682,GL!$A:$A,0),0))</f>
        <v>0</v>
      </c>
      <c r="J682" s="32" t="str">
        <f aca="false">IF(I682=0,"",INDEX(GL!$B:$B,I682))</f>
        <v/>
      </c>
      <c r="K682" s="5" t="str">
        <f aca="false">IF(I682=0,"",IF(INDEX(GL!$C:$C,I682)="","",INDEX(GL!$C:$C,I682)))</f>
        <v/>
      </c>
      <c r="L682" s="19" t="str">
        <f aca="false">IF(I682=0,"",INDEX(GL!$E:$E,I682))</f>
        <v/>
      </c>
      <c r="M682" s="19" t="str">
        <f aca="false">IF(OR(B682=0,I682=0),"",ROUND(G682-L682,2))</f>
        <v/>
      </c>
      <c r="N682" s="5" t="str">
        <f aca="false">IF(A682="","",IF(B682=0,"NOT FOUND: bank ID",IF(I682=0,"NOT FOUND: GL ID",IF(INDEX(GL!$H:$H,I682)&lt;&gt;A682,"BROKEN: GL points elsewhere",IF(OR(INDEX(Bank!$F:$F,B682)&lt;&gt;"Y",INDEX(GL!$F:$F,I682)&lt;&gt;"Y"),"BROKEN: Status not Y","OK")))))</f>
        <v/>
      </c>
    </row>
    <row r="683" customFormat="false" ht="15" hidden="false" customHeight="false" outlineLevel="0" collapsed="false">
      <c r="A683" s="41"/>
      <c r="B683" s="5" t="n">
        <f aca="false">IF(A683="",0,IFERROR(MATCH(A683,Bank!$A:$A,0),0))</f>
        <v>0</v>
      </c>
      <c r="C683" s="5" t="str">
        <f aca="false">IF(B683=0,"",IF(INDEX(Bank!$G:$G,B683)="","",INDEX(Bank!$G:$G,B683)))</f>
        <v/>
      </c>
      <c r="D683" s="5" t="str">
        <f aca="false">IF(B683=0,"",IF(INDEX(Bank!$J:$J,B683)="","",INDEX(Bank!$J:$J,B683)))</f>
        <v/>
      </c>
      <c r="E683" s="32" t="str">
        <f aca="false">IF(B683=0,"",INDEX(Bank!$B:$B,B683))</f>
        <v/>
      </c>
      <c r="F683" s="5" t="str">
        <f aca="false">IF(B683=0,"",IF(INDEX(Bank!$C:$C,B683)="","",INDEX(Bank!$C:$C,B683)))</f>
        <v/>
      </c>
      <c r="G683" s="19" t="str">
        <f aca="false">IF(B683=0,"",INDEX(Bank!$E:$E,B683))</f>
        <v/>
      </c>
      <c r="H683" s="5" t="str">
        <f aca="false">IF(B683=0,"",IF(INDEX(Bank!$H:$H,B683)="","",INDEX(Bank!$H:$H,B683)))</f>
        <v/>
      </c>
      <c r="I683" s="5" t="n">
        <f aca="false">IF(H683="",0,IFERROR(MATCH(H683,GL!$A:$A,0),0))</f>
        <v>0</v>
      </c>
      <c r="J683" s="32" t="str">
        <f aca="false">IF(I683=0,"",INDEX(GL!$B:$B,I683))</f>
        <v/>
      </c>
      <c r="K683" s="5" t="str">
        <f aca="false">IF(I683=0,"",IF(INDEX(GL!$C:$C,I683)="","",INDEX(GL!$C:$C,I683)))</f>
        <v/>
      </c>
      <c r="L683" s="19" t="str">
        <f aca="false">IF(I683=0,"",INDEX(GL!$E:$E,I683))</f>
        <v/>
      </c>
      <c r="M683" s="19" t="str">
        <f aca="false">IF(OR(B683=0,I683=0),"",ROUND(G683-L683,2))</f>
        <v/>
      </c>
      <c r="N683" s="5" t="str">
        <f aca="false">IF(A683="","",IF(B683=0,"NOT FOUND: bank ID",IF(I683=0,"NOT FOUND: GL ID",IF(INDEX(GL!$H:$H,I683)&lt;&gt;A683,"BROKEN: GL points elsewhere",IF(OR(INDEX(Bank!$F:$F,B683)&lt;&gt;"Y",INDEX(GL!$F:$F,I683)&lt;&gt;"Y"),"BROKEN: Status not Y","OK")))))</f>
        <v/>
      </c>
    </row>
    <row r="684" customFormat="false" ht="15" hidden="false" customHeight="false" outlineLevel="0" collapsed="false">
      <c r="A684" s="41"/>
      <c r="B684" s="5" t="n">
        <f aca="false">IF(A684="",0,IFERROR(MATCH(A684,Bank!$A:$A,0),0))</f>
        <v>0</v>
      </c>
      <c r="C684" s="5" t="str">
        <f aca="false">IF(B684=0,"",IF(INDEX(Bank!$G:$G,B684)="","",INDEX(Bank!$G:$G,B684)))</f>
        <v/>
      </c>
      <c r="D684" s="5" t="str">
        <f aca="false">IF(B684=0,"",IF(INDEX(Bank!$J:$J,B684)="","",INDEX(Bank!$J:$J,B684)))</f>
        <v/>
      </c>
      <c r="E684" s="32" t="str">
        <f aca="false">IF(B684=0,"",INDEX(Bank!$B:$B,B684))</f>
        <v/>
      </c>
      <c r="F684" s="5" t="str">
        <f aca="false">IF(B684=0,"",IF(INDEX(Bank!$C:$C,B684)="","",INDEX(Bank!$C:$C,B684)))</f>
        <v/>
      </c>
      <c r="G684" s="19" t="str">
        <f aca="false">IF(B684=0,"",INDEX(Bank!$E:$E,B684))</f>
        <v/>
      </c>
      <c r="H684" s="5" t="str">
        <f aca="false">IF(B684=0,"",IF(INDEX(Bank!$H:$H,B684)="","",INDEX(Bank!$H:$H,B684)))</f>
        <v/>
      </c>
      <c r="I684" s="5" t="n">
        <f aca="false">IF(H684="",0,IFERROR(MATCH(H684,GL!$A:$A,0),0))</f>
        <v>0</v>
      </c>
      <c r="J684" s="32" t="str">
        <f aca="false">IF(I684=0,"",INDEX(GL!$B:$B,I684))</f>
        <v/>
      </c>
      <c r="K684" s="5" t="str">
        <f aca="false">IF(I684=0,"",IF(INDEX(GL!$C:$C,I684)="","",INDEX(GL!$C:$C,I684)))</f>
        <v/>
      </c>
      <c r="L684" s="19" t="str">
        <f aca="false">IF(I684=0,"",INDEX(GL!$E:$E,I684))</f>
        <v/>
      </c>
      <c r="M684" s="19" t="str">
        <f aca="false">IF(OR(B684=0,I684=0),"",ROUND(G684-L684,2))</f>
        <v/>
      </c>
      <c r="N684" s="5" t="str">
        <f aca="false">IF(A684="","",IF(B684=0,"NOT FOUND: bank ID",IF(I684=0,"NOT FOUND: GL ID",IF(INDEX(GL!$H:$H,I684)&lt;&gt;A684,"BROKEN: GL points elsewhere",IF(OR(INDEX(Bank!$F:$F,B684)&lt;&gt;"Y",INDEX(GL!$F:$F,I684)&lt;&gt;"Y"),"BROKEN: Status not Y","OK")))))</f>
        <v/>
      </c>
    </row>
    <row r="685" customFormat="false" ht="15" hidden="false" customHeight="false" outlineLevel="0" collapsed="false">
      <c r="A685" s="41"/>
      <c r="B685" s="5" t="n">
        <f aca="false">IF(A685="",0,IFERROR(MATCH(A685,Bank!$A:$A,0),0))</f>
        <v>0</v>
      </c>
      <c r="C685" s="5" t="str">
        <f aca="false">IF(B685=0,"",IF(INDEX(Bank!$G:$G,B685)="","",INDEX(Bank!$G:$G,B685)))</f>
        <v/>
      </c>
      <c r="D685" s="5" t="str">
        <f aca="false">IF(B685=0,"",IF(INDEX(Bank!$J:$J,B685)="","",INDEX(Bank!$J:$J,B685)))</f>
        <v/>
      </c>
      <c r="E685" s="32" t="str">
        <f aca="false">IF(B685=0,"",INDEX(Bank!$B:$B,B685))</f>
        <v/>
      </c>
      <c r="F685" s="5" t="str">
        <f aca="false">IF(B685=0,"",IF(INDEX(Bank!$C:$C,B685)="","",INDEX(Bank!$C:$C,B685)))</f>
        <v/>
      </c>
      <c r="G685" s="19" t="str">
        <f aca="false">IF(B685=0,"",INDEX(Bank!$E:$E,B685))</f>
        <v/>
      </c>
      <c r="H685" s="5" t="str">
        <f aca="false">IF(B685=0,"",IF(INDEX(Bank!$H:$H,B685)="","",INDEX(Bank!$H:$H,B685)))</f>
        <v/>
      </c>
      <c r="I685" s="5" t="n">
        <f aca="false">IF(H685="",0,IFERROR(MATCH(H685,GL!$A:$A,0),0))</f>
        <v>0</v>
      </c>
      <c r="J685" s="32" t="str">
        <f aca="false">IF(I685=0,"",INDEX(GL!$B:$B,I685))</f>
        <v/>
      </c>
      <c r="K685" s="5" t="str">
        <f aca="false">IF(I685=0,"",IF(INDEX(GL!$C:$C,I685)="","",INDEX(GL!$C:$C,I685)))</f>
        <v/>
      </c>
      <c r="L685" s="19" t="str">
        <f aca="false">IF(I685=0,"",INDEX(GL!$E:$E,I685))</f>
        <v/>
      </c>
      <c r="M685" s="19" t="str">
        <f aca="false">IF(OR(B685=0,I685=0),"",ROUND(G685-L685,2))</f>
        <v/>
      </c>
      <c r="N685" s="5" t="str">
        <f aca="false">IF(A685="","",IF(B685=0,"NOT FOUND: bank ID",IF(I685=0,"NOT FOUND: GL ID",IF(INDEX(GL!$H:$H,I685)&lt;&gt;A685,"BROKEN: GL points elsewhere",IF(OR(INDEX(Bank!$F:$F,B685)&lt;&gt;"Y",INDEX(GL!$F:$F,I685)&lt;&gt;"Y"),"BROKEN: Status not Y","OK")))))</f>
        <v/>
      </c>
    </row>
    <row r="686" customFormat="false" ht="15" hidden="false" customHeight="false" outlineLevel="0" collapsed="false">
      <c r="A686" s="41"/>
      <c r="B686" s="5" t="n">
        <f aca="false">IF(A686="",0,IFERROR(MATCH(A686,Bank!$A:$A,0),0))</f>
        <v>0</v>
      </c>
      <c r="C686" s="5" t="str">
        <f aca="false">IF(B686=0,"",IF(INDEX(Bank!$G:$G,B686)="","",INDEX(Bank!$G:$G,B686)))</f>
        <v/>
      </c>
      <c r="D686" s="5" t="str">
        <f aca="false">IF(B686=0,"",IF(INDEX(Bank!$J:$J,B686)="","",INDEX(Bank!$J:$J,B686)))</f>
        <v/>
      </c>
      <c r="E686" s="32" t="str">
        <f aca="false">IF(B686=0,"",INDEX(Bank!$B:$B,B686))</f>
        <v/>
      </c>
      <c r="F686" s="5" t="str">
        <f aca="false">IF(B686=0,"",IF(INDEX(Bank!$C:$C,B686)="","",INDEX(Bank!$C:$C,B686)))</f>
        <v/>
      </c>
      <c r="G686" s="19" t="str">
        <f aca="false">IF(B686=0,"",INDEX(Bank!$E:$E,B686))</f>
        <v/>
      </c>
      <c r="H686" s="5" t="str">
        <f aca="false">IF(B686=0,"",IF(INDEX(Bank!$H:$H,B686)="","",INDEX(Bank!$H:$H,B686)))</f>
        <v/>
      </c>
      <c r="I686" s="5" t="n">
        <f aca="false">IF(H686="",0,IFERROR(MATCH(H686,GL!$A:$A,0),0))</f>
        <v>0</v>
      </c>
      <c r="J686" s="32" t="str">
        <f aca="false">IF(I686=0,"",INDEX(GL!$B:$B,I686))</f>
        <v/>
      </c>
      <c r="K686" s="5" t="str">
        <f aca="false">IF(I686=0,"",IF(INDEX(GL!$C:$C,I686)="","",INDEX(GL!$C:$C,I686)))</f>
        <v/>
      </c>
      <c r="L686" s="19" t="str">
        <f aca="false">IF(I686=0,"",INDEX(GL!$E:$E,I686))</f>
        <v/>
      </c>
      <c r="M686" s="19" t="str">
        <f aca="false">IF(OR(B686=0,I686=0),"",ROUND(G686-L686,2))</f>
        <v/>
      </c>
      <c r="N686" s="5" t="str">
        <f aca="false">IF(A686="","",IF(B686=0,"NOT FOUND: bank ID",IF(I686=0,"NOT FOUND: GL ID",IF(INDEX(GL!$H:$H,I686)&lt;&gt;A686,"BROKEN: GL points elsewhere",IF(OR(INDEX(Bank!$F:$F,B686)&lt;&gt;"Y",INDEX(GL!$F:$F,I686)&lt;&gt;"Y"),"BROKEN: Status not Y","OK")))))</f>
        <v/>
      </c>
    </row>
    <row r="687" customFormat="false" ht="15" hidden="false" customHeight="false" outlineLevel="0" collapsed="false">
      <c r="A687" s="41"/>
      <c r="B687" s="5" t="n">
        <f aca="false">IF(A687="",0,IFERROR(MATCH(A687,Bank!$A:$A,0),0))</f>
        <v>0</v>
      </c>
      <c r="C687" s="5" t="str">
        <f aca="false">IF(B687=0,"",IF(INDEX(Bank!$G:$G,B687)="","",INDEX(Bank!$G:$G,B687)))</f>
        <v/>
      </c>
      <c r="D687" s="5" t="str">
        <f aca="false">IF(B687=0,"",IF(INDEX(Bank!$J:$J,B687)="","",INDEX(Bank!$J:$J,B687)))</f>
        <v/>
      </c>
      <c r="E687" s="32" t="str">
        <f aca="false">IF(B687=0,"",INDEX(Bank!$B:$B,B687))</f>
        <v/>
      </c>
      <c r="F687" s="5" t="str">
        <f aca="false">IF(B687=0,"",IF(INDEX(Bank!$C:$C,B687)="","",INDEX(Bank!$C:$C,B687)))</f>
        <v/>
      </c>
      <c r="G687" s="19" t="str">
        <f aca="false">IF(B687=0,"",INDEX(Bank!$E:$E,B687))</f>
        <v/>
      </c>
      <c r="H687" s="5" t="str">
        <f aca="false">IF(B687=0,"",IF(INDEX(Bank!$H:$H,B687)="","",INDEX(Bank!$H:$H,B687)))</f>
        <v/>
      </c>
      <c r="I687" s="5" t="n">
        <f aca="false">IF(H687="",0,IFERROR(MATCH(H687,GL!$A:$A,0),0))</f>
        <v>0</v>
      </c>
      <c r="J687" s="32" t="str">
        <f aca="false">IF(I687=0,"",INDEX(GL!$B:$B,I687))</f>
        <v/>
      </c>
      <c r="K687" s="5" t="str">
        <f aca="false">IF(I687=0,"",IF(INDEX(GL!$C:$C,I687)="","",INDEX(GL!$C:$C,I687)))</f>
        <v/>
      </c>
      <c r="L687" s="19" t="str">
        <f aca="false">IF(I687=0,"",INDEX(GL!$E:$E,I687))</f>
        <v/>
      </c>
      <c r="M687" s="19" t="str">
        <f aca="false">IF(OR(B687=0,I687=0),"",ROUND(G687-L687,2))</f>
        <v/>
      </c>
      <c r="N687" s="5" t="str">
        <f aca="false">IF(A687="","",IF(B687=0,"NOT FOUND: bank ID",IF(I687=0,"NOT FOUND: GL ID",IF(INDEX(GL!$H:$H,I687)&lt;&gt;A687,"BROKEN: GL points elsewhere",IF(OR(INDEX(Bank!$F:$F,B687)&lt;&gt;"Y",INDEX(GL!$F:$F,I687)&lt;&gt;"Y"),"BROKEN: Status not Y","OK")))))</f>
        <v/>
      </c>
    </row>
    <row r="688" customFormat="false" ht="15" hidden="false" customHeight="false" outlineLevel="0" collapsed="false">
      <c r="A688" s="41"/>
      <c r="B688" s="5" t="n">
        <f aca="false">IF(A688="",0,IFERROR(MATCH(A688,Bank!$A:$A,0),0))</f>
        <v>0</v>
      </c>
      <c r="C688" s="5" t="str">
        <f aca="false">IF(B688=0,"",IF(INDEX(Bank!$G:$G,B688)="","",INDEX(Bank!$G:$G,B688)))</f>
        <v/>
      </c>
      <c r="D688" s="5" t="str">
        <f aca="false">IF(B688=0,"",IF(INDEX(Bank!$J:$J,B688)="","",INDEX(Bank!$J:$J,B688)))</f>
        <v/>
      </c>
      <c r="E688" s="32" t="str">
        <f aca="false">IF(B688=0,"",INDEX(Bank!$B:$B,B688))</f>
        <v/>
      </c>
      <c r="F688" s="5" t="str">
        <f aca="false">IF(B688=0,"",IF(INDEX(Bank!$C:$C,B688)="","",INDEX(Bank!$C:$C,B688)))</f>
        <v/>
      </c>
      <c r="G688" s="19" t="str">
        <f aca="false">IF(B688=0,"",INDEX(Bank!$E:$E,B688))</f>
        <v/>
      </c>
      <c r="H688" s="5" t="str">
        <f aca="false">IF(B688=0,"",IF(INDEX(Bank!$H:$H,B688)="","",INDEX(Bank!$H:$H,B688)))</f>
        <v/>
      </c>
      <c r="I688" s="5" t="n">
        <f aca="false">IF(H688="",0,IFERROR(MATCH(H688,GL!$A:$A,0),0))</f>
        <v>0</v>
      </c>
      <c r="J688" s="32" t="str">
        <f aca="false">IF(I688=0,"",INDEX(GL!$B:$B,I688))</f>
        <v/>
      </c>
      <c r="K688" s="5" t="str">
        <f aca="false">IF(I688=0,"",IF(INDEX(GL!$C:$C,I688)="","",INDEX(GL!$C:$C,I688)))</f>
        <v/>
      </c>
      <c r="L688" s="19" t="str">
        <f aca="false">IF(I688=0,"",INDEX(GL!$E:$E,I688))</f>
        <v/>
      </c>
      <c r="M688" s="19" t="str">
        <f aca="false">IF(OR(B688=0,I688=0),"",ROUND(G688-L688,2))</f>
        <v/>
      </c>
      <c r="N688" s="5" t="str">
        <f aca="false">IF(A688="","",IF(B688=0,"NOT FOUND: bank ID",IF(I688=0,"NOT FOUND: GL ID",IF(INDEX(GL!$H:$H,I688)&lt;&gt;A688,"BROKEN: GL points elsewhere",IF(OR(INDEX(Bank!$F:$F,B688)&lt;&gt;"Y",INDEX(GL!$F:$F,I688)&lt;&gt;"Y"),"BROKEN: Status not Y","OK")))))</f>
        <v/>
      </c>
    </row>
    <row r="689" customFormat="false" ht="15" hidden="false" customHeight="false" outlineLevel="0" collapsed="false">
      <c r="A689" s="41"/>
      <c r="B689" s="5" t="n">
        <f aca="false">IF(A689="",0,IFERROR(MATCH(A689,Bank!$A:$A,0),0))</f>
        <v>0</v>
      </c>
      <c r="C689" s="5" t="str">
        <f aca="false">IF(B689=0,"",IF(INDEX(Bank!$G:$G,B689)="","",INDEX(Bank!$G:$G,B689)))</f>
        <v/>
      </c>
      <c r="D689" s="5" t="str">
        <f aca="false">IF(B689=0,"",IF(INDEX(Bank!$J:$J,B689)="","",INDEX(Bank!$J:$J,B689)))</f>
        <v/>
      </c>
      <c r="E689" s="32" t="str">
        <f aca="false">IF(B689=0,"",INDEX(Bank!$B:$B,B689))</f>
        <v/>
      </c>
      <c r="F689" s="5" t="str">
        <f aca="false">IF(B689=0,"",IF(INDEX(Bank!$C:$C,B689)="","",INDEX(Bank!$C:$C,B689)))</f>
        <v/>
      </c>
      <c r="G689" s="19" t="str">
        <f aca="false">IF(B689=0,"",INDEX(Bank!$E:$E,B689))</f>
        <v/>
      </c>
      <c r="H689" s="5" t="str">
        <f aca="false">IF(B689=0,"",IF(INDEX(Bank!$H:$H,B689)="","",INDEX(Bank!$H:$H,B689)))</f>
        <v/>
      </c>
      <c r="I689" s="5" t="n">
        <f aca="false">IF(H689="",0,IFERROR(MATCH(H689,GL!$A:$A,0),0))</f>
        <v>0</v>
      </c>
      <c r="J689" s="32" t="str">
        <f aca="false">IF(I689=0,"",INDEX(GL!$B:$B,I689))</f>
        <v/>
      </c>
      <c r="K689" s="5" t="str">
        <f aca="false">IF(I689=0,"",IF(INDEX(GL!$C:$C,I689)="","",INDEX(GL!$C:$C,I689)))</f>
        <v/>
      </c>
      <c r="L689" s="19" t="str">
        <f aca="false">IF(I689=0,"",INDEX(GL!$E:$E,I689))</f>
        <v/>
      </c>
      <c r="M689" s="19" t="str">
        <f aca="false">IF(OR(B689=0,I689=0),"",ROUND(G689-L689,2))</f>
        <v/>
      </c>
      <c r="N689" s="5" t="str">
        <f aca="false">IF(A689="","",IF(B689=0,"NOT FOUND: bank ID",IF(I689=0,"NOT FOUND: GL ID",IF(INDEX(GL!$H:$H,I689)&lt;&gt;A689,"BROKEN: GL points elsewhere",IF(OR(INDEX(Bank!$F:$F,B689)&lt;&gt;"Y",INDEX(GL!$F:$F,I689)&lt;&gt;"Y"),"BROKEN: Status not Y","OK")))))</f>
        <v/>
      </c>
    </row>
    <row r="690" customFormat="false" ht="15" hidden="false" customHeight="false" outlineLevel="0" collapsed="false">
      <c r="A690" s="41"/>
      <c r="B690" s="5" t="n">
        <f aca="false">IF(A690="",0,IFERROR(MATCH(A690,Bank!$A:$A,0),0))</f>
        <v>0</v>
      </c>
      <c r="C690" s="5" t="str">
        <f aca="false">IF(B690=0,"",IF(INDEX(Bank!$G:$G,B690)="","",INDEX(Bank!$G:$G,B690)))</f>
        <v/>
      </c>
      <c r="D690" s="5" t="str">
        <f aca="false">IF(B690=0,"",IF(INDEX(Bank!$J:$J,B690)="","",INDEX(Bank!$J:$J,B690)))</f>
        <v/>
      </c>
      <c r="E690" s="32" t="str">
        <f aca="false">IF(B690=0,"",INDEX(Bank!$B:$B,B690))</f>
        <v/>
      </c>
      <c r="F690" s="5" t="str">
        <f aca="false">IF(B690=0,"",IF(INDEX(Bank!$C:$C,B690)="","",INDEX(Bank!$C:$C,B690)))</f>
        <v/>
      </c>
      <c r="G690" s="19" t="str">
        <f aca="false">IF(B690=0,"",INDEX(Bank!$E:$E,B690))</f>
        <v/>
      </c>
      <c r="H690" s="5" t="str">
        <f aca="false">IF(B690=0,"",IF(INDEX(Bank!$H:$H,B690)="","",INDEX(Bank!$H:$H,B690)))</f>
        <v/>
      </c>
      <c r="I690" s="5" t="n">
        <f aca="false">IF(H690="",0,IFERROR(MATCH(H690,GL!$A:$A,0),0))</f>
        <v>0</v>
      </c>
      <c r="J690" s="32" t="str">
        <f aca="false">IF(I690=0,"",INDEX(GL!$B:$B,I690))</f>
        <v/>
      </c>
      <c r="K690" s="5" t="str">
        <f aca="false">IF(I690=0,"",IF(INDEX(GL!$C:$C,I690)="","",INDEX(GL!$C:$C,I690)))</f>
        <v/>
      </c>
      <c r="L690" s="19" t="str">
        <f aca="false">IF(I690=0,"",INDEX(GL!$E:$E,I690))</f>
        <v/>
      </c>
      <c r="M690" s="19" t="str">
        <f aca="false">IF(OR(B690=0,I690=0),"",ROUND(G690-L690,2))</f>
        <v/>
      </c>
      <c r="N690" s="5" t="str">
        <f aca="false">IF(A690="","",IF(B690=0,"NOT FOUND: bank ID",IF(I690=0,"NOT FOUND: GL ID",IF(INDEX(GL!$H:$H,I690)&lt;&gt;A690,"BROKEN: GL points elsewhere",IF(OR(INDEX(Bank!$F:$F,B690)&lt;&gt;"Y",INDEX(GL!$F:$F,I690)&lt;&gt;"Y"),"BROKEN: Status not Y","OK")))))</f>
        <v/>
      </c>
    </row>
    <row r="691" customFormat="false" ht="15" hidden="false" customHeight="false" outlineLevel="0" collapsed="false">
      <c r="A691" s="41"/>
      <c r="B691" s="5" t="n">
        <f aca="false">IF(A691="",0,IFERROR(MATCH(A691,Bank!$A:$A,0),0))</f>
        <v>0</v>
      </c>
      <c r="C691" s="5" t="str">
        <f aca="false">IF(B691=0,"",IF(INDEX(Bank!$G:$G,B691)="","",INDEX(Bank!$G:$G,B691)))</f>
        <v/>
      </c>
      <c r="D691" s="5" t="str">
        <f aca="false">IF(B691=0,"",IF(INDEX(Bank!$J:$J,B691)="","",INDEX(Bank!$J:$J,B691)))</f>
        <v/>
      </c>
      <c r="E691" s="32" t="str">
        <f aca="false">IF(B691=0,"",INDEX(Bank!$B:$B,B691))</f>
        <v/>
      </c>
      <c r="F691" s="5" t="str">
        <f aca="false">IF(B691=0,"",IF(INDEX(Bank!$C:$C,B691)="","",INDEX(Bank!$C:$C,B691)))</f>
        <v/>
      </c>
      <c r="G691" s="19" t="str">
        <f aca="false">IF(B691=0,"",INDEX(Bank!$E:$E,B691))</f>
        <v/>
      </c>
      <c r="H691" s="5" t="str">
        <f aca="false">IF(B691=0,"",IF(INDEX(Bank!$H:$H,B691)="","",INDEX(Bank!$H:$H,B691)))</f>
        <v/>
      </c>
      <c r="I691" s="5" t="n">
        <f aca="false">IF(H691="",0,IFERROR(MATCH(H691,GL!$A:$A,0),0))</f>
        <v>0</v>
      </c>
      <c r="J691" s="32" t="str">
        <f aca="false">IF(I691=0,"",INDEX(GL!$B:$B,I691))</f>
        <v/>
      </c>
      <c r="K691" s="5" t="str">
        <f aca="false">IF(I691=0,"",IF(INDEX(GL!$C:$C,I691)="","",INDEX(GL!$C:$C,I691)))</f>
        <v/>
      </c>
      <c r="L691" s="19" t="str">
        <f aca="false">IF(I691=0,"",INDEX(GL!$E:$E,I691))</f>
        <v/>
      </c>
      <c r="M691" s="19" t="str">
        <f aca="false">IF(OR(B691=0,I691=0),"",ROUND(G691-L691,2))</f>
        <v/>
      </c>
      <c r="N691" s="5" t="str">
        <f aca="false">IF(A691="","",IF(B691=0,"NOT FOUND: bank ID",IF(I691=0,"NOT FOUND: GL ID",IF(INDEX(GL!$H:$H,I691)&lt;&gt;A691,"BROKEN: GL points elsewhere",IF(OR(INDEX(Bank!$F:$F,B691)&lt;&gt;"Y",INDEX(GL!$F:$F,I691)&lt;&gt;"Y"),"BROKEN: Status not Y","OK")))))</f>
        <v/>
      </c>
    </row>
    <row r="692" customFormat="false" ht="15" hidden="false" customHeight="false" outlineLevel="0" collapsed="false">
      <c r="A692" s="41"/>
      <c r="B692" s="5" t="n">
        <f aca="false">IF(A692="",0,IFERROR(MATCH(A692,Bank!$A:$A,0),0))</f>
        <v>0</v>
      </c>
      <c r="C692" s="5" t="str">
        <f aca="false">IF(B692=0,"",IF(INDEX(Bank!$G:$G,B692)="","",INDEX(Bank!$G:$G,B692)))</f>
        <v/>
      </c>
      <c r="D692" s="5" t="str">
        <f aca="false">IF(B692=0,"",IF(INDEX(Bank!$J:$J,B692)="","",INDEX(Bank!$J:$J,B692)))</f>
        <v/>
      </c>
      <c r="E692" s="32" t="str">
        <f aca="false">IF(B692=0,"",INDEX(Bank!$B:$B,B692))</f>
        <v/>
      </c>
      <c r="F692" s="5" t="str">
        <f aca="false">IF(B692=0,"",IF(INDEX(Bank!$C:$C,B692)="","",INDEX(Bank!$C:$C,B692)))</f>
        <v/>
      </c>
      <c r="G692" s="19" t="str">
        <f aca="false">IF(B692=0,"",INDEX(Bank!$E:$E,B692))</f>
        <v/>
      </c>
      <c r="H692" s="5" t="str">
        <f aca="false">IF(B692=0,"",IF(INDEX(Bank!$H:$H,B692)="","",INDEX(Bank!$H:$H,B692)))</f>
        <v/>
      </c>
      <c r="I692" s="5" t="n">
        <f aca="false">IF(H692="",0,IFERROR(MATCH(H692,GL!$A:$A,0),0))</f>
        <v>0</v>
      </c>
      <c r="J692" s="32" t="str">
        <f aca="false">IF(I692=0,"",INDEX(GL!$B:$B,I692))</f>
        <v/>
      </c>
      <c r="K692" s="5" t="str">
        <f aca="false">IF(I692=0,"",IF(INDEX(GL!$C:$C,I692)="","",INDEX(GL!$C:$C,I692)))</f>
        <v/>
      </c>
      <c r="L692" s="19" t="str">
        <f aca="false">IF(I692=0,"",INDEX(GL!$E:$E,I692))</f>
        <v/>
      </c>
      <c r="M692" s="19" t="str">
        <f aca="false">IF(OR(B692=0,I692=0),"",ROUND(G692-L692,2))</f>
        <v/>
      </c>
      <c r="N692" s="5" t="str">
        <f aca="false">IF(A692="","",IF(B692=0,"NOT FOUND: bank ID",IF(I692=0,"NOT FOUND: GL ID",IF(INDEX(GL!$H:$H,I692)&lt;&gt;A692,"BROKEN: GL points elsewhere",IF(OR(INDEX(Bank!$F:$F,B692)&lt;&gt;"Y",INDEX(GL!$F:$F,I692)&lt;&gt;"Y"),"BROKEN: Status not Y","OK")))))</f>
        <v/>
      </c>
    </row>
    <row r="693" customFormat="false" ht="15" hidden="false" customHeight="false" outlineLevel="0" collapsed="false">
      <c r="A693" s="41"/>
      <c r="B693" s="5" t="n">
        <f aca="false">IF(A693="",0,IFERROR(MATCH(A693,Bank!$A:$A,0),0))</f>
        <v>0</v>
      </c>
      <c r="C693" s="5" t="str">
        <f aca="false">IF(B693=0,"",IF(INDEX(Bank!$G:$G,B693)="","",INDEX(Bank!$G:$G,B693)))</f>
        <v/>
      </c>
      <c r="D693" s="5" t="str">
        <f aca="false">IF(B693=0,"",IF(INDEX(Bank!$J:$J,B693)="","",INDEX(Bank!$J:$J,B693)))</f>
        <v/>
      </c>
      <c r="E693" s="32" t="str">
        <f aca="false">IF(B693=0,"",INDEX(Bank!$B:$B,B693))</f>
        <v/>
      </c>
      <c r="F693" s="5" t="str">
        <f aca="false">IF(B693=0,"",IF(INDEX(Bank!$C:$C,B693)="","",INDEX(Bank!$C:$C,B693)))</f>
        <v/>
      </c>
      <c r="G693" s="19" t="str">
        <f aca="false">IF(B693=0,"",INDEX(Bank!$E:$E,B693))</f>
        <v/>
      </c>
      <c r="H693" s="5" t="str">
        <f aca="false">IF(B693=0,"",IF(INDEX(Bank!$H:$H,B693)="","",INDEX(Bank!$H:$H,B693)))</f>
        <v/>
      </c>
      <c r="I693" s="5" t="n">
        <f aca="false">IF(H693="",0,IFERROR(MATCH(H693,GL!$A:$A,0),0))</f>
        <v>0</v>
      </c>
      <c r="J693" s="32" t="str">
        <f aca="false">IF(I693=0,"",INDEX(GL!$B:$B,I693))</f>
        <v/>
      </c>
      <c r="K693" s="5" t="str">
        <f aca="false">IF(I693=0,"",IF(INDEX(GL!$C:$C,I693)="","",INDEX(GL!$C:$C,I693)))</f>
        <v/>
      </c>
      <c r="L693" s="19" t="str">
        <f aca="false">IF(I693=0,"",INDEX(GL!$E:$E,I693))</f>
        <v/>
      </c>
      <c r="M693" s="19" t="str">
        <f aca="false">IF(OR(B693=0,I693=0),"",ROUND(G693-L693,2))</f>
        <v/>
      </c>
      <c r="N693" s="5" t="str">
        <f aca="false">IF(A693="","",IF(B693=0,"NOT FOUND: bank ID",IF(I693=0,"NOT FOUND: GL ID",IF(INDEX(GL!$H:$H,I693)&lt;&gt;A693,"BROKEN: GL points elsewhere",IF(OR(INDEX(Bank!$F:$F,B693)&lt;&gt;"Y",INDEX(GL!$F:$F,I693)&lt;&gt;"Y"),"BROKEN: Status not Y","OK")))))</f>
        <v/>
      </c>
    </row>
    <row r="694" customFormat="false" ht="15" hidden="false" customHeight="false" outlineLevel="0" collapsed="false">
      <c r="A694" s="41"/>
      <c r="B694" s="5" t="n">
        <f aca="false">IF(A694="",0,IFERROR(MATCH(A694,Bank!$A:$A,0),0))</f>
        <v>0</v>
      </c>
      <c r="C694" s="5" t="str">
        <f aca="false">IF(B694=0,"",IF(INDEX(Bank!$G:$G,B694)="","",INDEX(Bank!$G:$G,B694)))</f>
        <v/>
      </c>
      <c r="D694" s="5" t="str">
        <f aca="false">IF(B694=0,"",IF(INDEX(Bank!$J:$J,B694)="","",INDEX(Bank!$J:$J,B694)))</f>
        <v/>
      </c>
      <c r="E694" s="32" t="str">
        <f aca="false">IF(B694=0,"",INDEX(Bank!$B:$B,B694))</f>
        <v/>
      </c>
      <c r="F694" s="5" t="str">
        <f aca="false">IF(B694=0,"",IF(INDEX(Bank!$C:$C,B694)="","",INDEX(Bank!$C:$C,B694)))</f>
        <v/>
      </c>
      <c r="G694" s="19" t="str">
        <f aca="false">IF(B694=0,"",INDEX(Bank!$E:$E,B694))</f>
        <v/>
      </c>
      <c r="H694" s="5" t="str">
        <f aca="false">IF(B694=0,"",IF(INDEX(Bank!$H:$H,B694)="","",INDEX(Bank!$H:$H,B694)))</f>
        <v/>
      </c>
      <c r="I694" s="5" t="n">
        <f aca="false">IF(H694="",0,IFERROR(MATCH(H694,GL!$A:$A,0),0))</f>
        <v>0</v>
      </c>
      <c r="J694" s="32" t="str">
        <f aca="false">IF(I694=0,"",INDEX(GL!$B:$B,I694))</f>
        <v/>
      </c>
      <c r="K694" s="5" t="str">
        <f aca="false">IF(I694=0,"",IF(INDEX(GL!$C:$C,I694)="","",INDEX(GL!$C:$C,I694)))</f>
        <v/>
      </c>
      <c r="L694" s="19" t="str">
        <f aca="false">IF(I694=0,"",INDEX(GL!$E:$E,I694))</f>
        <v/>
      </c>
      <c r="M694" s="19" t="str">
        <f aca="false">IF(OR(B694=0,I694=0),"",ROUND(G694-L694,2))</f>
        <v/>
      </c>
      <c r="N694" s="5" t="str">
        <f aca="false">IF(A694="","",IF(B694=0,"NOT FOUND: bank ID",IF(I694=0,"NOT FOUND: GL ID",IF(INDEX(GL!$H:$H,I694)&lt;&gt;A694,"BROKEN: GL points elsewhere",IF(OR(INDEX(Bank!$F:$F,B694)&lt;&gt;"Y",INDEX(GL!$F:$F,I694)&lt;&gt;"Y"),"BROKEN: Status not Y","OK")))))</f>
        <v/>
      </c>
    </row>
    <row r="695" customFormat="false" ht="15" hidden="false" customHeight="false" outlineLevel="0" collapsed="false">
      <c r="A695" s="41"/>
      <c r="B695" s="5" t="n">
        <f aca="false">IF(A695="",0,IFERROR(MATCH(A695,Bank!$A:$A,0),0))</f>
        <v>0</v>
      </c>
      <c r="C695" s="5" t="str">
        <f aca="false">IF(B695=0,"",IF(INDEX(Bank!$G:$G,B695)="","",INDEX(Bank!$G:$G,B695)))</f>
        <v/>
      </c>
      <c r="D695" s="5" t="str">
        <f aca="false">IF(B695=0,"",IF(INDEX(Bank!$J:$J,B695)="","",INDEX(Bank!$J:$J,B695)))</f>
        <v/>
      </c>
      <c r="E695" s="32" t="str">
        <f aca="false">IF(B695=0,"",INDEX(Bank!$B:$B,B695))</f>
        <v/>
      </c>
      <c r="F695" s="5" t="str">
        <f aca="false">IF(B695=0,"",IF(INDEX(Bank!$C:$C,B695)="","",INDEX(Bank!$C:$C,B695)))</f>
        <v/>
      </c>
      <c r="G695" s="19" t="str">
        <f aca="false">IF(B695=0,"",INDEX(Bank!$E:$E,B695))</f>
        <v/>
      </c>
      <c r="H695" s="5" t="str">
        <f aca="false">IF(B695=0,"",IF(INDEX(Bank!$H:$H,B695)="","",INDEX(Bank!$H:$H,B695)))</f>
        <v/>
      </c>
      <c r="I695" s="5" t="n">
        <f aca="false">IF(H695="",0,IFERROR(MATCH(H695,GL!$A:$A,0),0))</f>
        <v>0</v>
      </c>
      <c r="J695" s="32" t="str">
        <f aca="false">IF(I695=0,"",INDEX(GL!$B:$B,I695))</f>
        <v/>
      </c>
      <c r="K695" s="5" t="str">
        <f aca="false">IF(I695=0,"",IF(INDEX(GL!$C:$C,I695)="","",INDEX(GL!$C:$C,I695)))</f>
        <v/>
      </c>
      <c r="L695" s="19" t="str">
        <f aca="false">IF(I695=0,"",INDEX(GL!$E:$E,I695))</f>
        <v/>
      </c>
      <c r="M695" s="19" t="str">
        <f aca="false">IF(OR(B695=0,I695=0),"",ROUND(G695-L695,2))</f>
        <v/>
      </c>
      <c r="N695" s="5" t="str">
        <f aca="false">IF(A695="","",IF(B695=0,"NOT FOUND: bank ID",IF(I695=0,"NOT FOUND: GL ID",IF(INDEX(GL!$H:$H,I695)&lt;&gt;A695,"BROKEN: GL points elsewhere",IF(OR(INDEX(Bank!$F:$F,B695)&lt;&gt;"Y",INDEX(GL!$F:$F,I695)&lt;&gt;"Y"),"BROKEN: Status not Y","OK")))))</f>
        <v/>
      </c>
    </row>
    <row r="696" customFormat="false" ht="15" hidden="false" customHeight="false" outlineLevel="0" collapsed="false">
      <c r="A696" s="41"/>
      <c r="B696" s="5" t="n">
        <f aca="false">IF(A696="",0,IFERROR(MATCH(A696,Bank!$A:$A,0),0))</f>
        <v>0</v>
      </c>
      <c r="C696" s="5" t="str">
        <f aca="false">IF(B696=0,"",IF(INDEX(Bank!$G:$G,B696)="","",INDEX(Bank!$G:$G,B696)))</f>
        <v/>
      </c>
      <c r="D696" s="5" t="str">
        <f aca="false">IF(B696=0,"",IF(INDEX(Bank!$J:$J,B696)="","",INDEX(Bank!$J:$J,B696)))</f>
        <v/>
      </c>
      <c r="E696" s="32" t="str">
        <f aca="false">IF(B696=0,"",INDEX(Bank!$B:$B,B696))</f>
        <v/>
      </c>
      <c r="F696" s="5" t="str">
        <f aca="false">IF(B696=0,"",IF(INDEX(Bank!$C:$C,B696)="","",INDEX(Bank!$C:$C,B696)))</f>
        <v/>
      </c>
      <c r="G696" s="19" t="str">
        <f aca="false">IF(B696=0,"",INDEX(Bank!$E:$E,B696))</f>
        <v/>
      </c>
      <c r="H696" s="5" t="str">
        <f aca="false">IF(B696=0,"",IF(INDEX(Bank!$H:$H,B696)="","",INDEX(Bank!$H:$H,B696)))</f>
        <v/>
      </c>
      <c r="I696" s="5" t="n">
        <f aca="false">IF(H696="",0,IFERROR(MATCH(H696,GL!$A:$A,0),0))</f>
        <v>0</v>
      </c>
      <c r="J696" s="32" t="str">
        <f aca="false">IF(I696=0,"",INDEX(GL!$B:$B,I696))</f>
        <v/>
      </c>
      <c r="K696" s="5" t="str">
        <f aca="false">IF(I696=0,"",IF(INDEX(GL!$C:$C,I696)="","",INDEX(GL!$C:$C,I696)))</f>
        <v/>
      </c>
      <c r="L696" s="19" t="str">
        <f aca="false">IF(I696=0,"",INDEX(GL!$E:$E,I696))</f>
        <v/>
      </c>
      <c r="M696" s="19" t="str">
        <f aca="false">IF(OR(B696=0,I696=0),"",ROUND(G696-L696,2))</f>
        <v/>
      </c>
      <c r="N696" s="5" t="str">
        <f aca="false">IF(A696="","",IF(B696=0,"NOT FOUND: bank ID",IF(I696=0,"NOT FOUND: GL ID",IF(INDEX(GL!$H:$H,I696)&lt;&gt;A696,"BROKEN: GL points elsewhere",IF(OR(INDEX(Bank!$F:$F,B696)&lt;&gt;"Y",INDEX(GL!$F:$F,I696)&lt;&gt;"Y"),"BROKEN: Status not Y","OK")))))</f>
        <v/>
      </c>
    </row>
    <row r="697" customFormat="false" ht="15" hidden="false" customHeight="false" outlineLevel="0" collapsed="false">
      <c r="A697" s="41"/>
      <c r="B697" s="5" t="n">
        <f aca="false">IF(A697="",0,IFERROR(MATCH(A697,Bank!$A:$A,0),0))</f>
        <v>0</v>
      </c>
      <c r="C697" s="5" t="str">
        <f aca="false">IF(B697=0,"",IF(INDEX(Bank!$G:$G,B697)="","",INDEX(Bank!$G:$G,B697)))</f>
        <v/>
      </c>
      <c r="D697" s="5" t="str">
        <f aca="false">IF(B697=0,"",IF(INDEX(Bank!$J:$J,B697)="","",INDEX(Bank!$J:$J,B697)))</f>
        <v/>
      </c>
      <c r="E697" s="32" t="str">
        <f aca="false">IF(B697=0,"",INDEX(Bank!$B:$B,B697))</f>
        <v/>
      </c>
      <c r="F697" s="5" t="str">
        <f aca="false">IF(B697=0,"",IF(INDEX(Bank!$C:$C,B697)="","",INDEX(Bank!$C:$C,B697)))</f>
        <v/>
      </c>
      <c r="G697" s="19" t="str">
        <f aca="false">IF(B697=0,"",INDEX(Bank!$E:$E,B697))</f>
        <v/>
      </c>
      <c r="H697" s="5" t="str">
        <f aca="false">IF(B697=0,"",IF(INDEX(Bank!$H:$H,B697)="","",INDEX(Bank!$H:$H,B697)))</f>
        <v/>
      </c>
      <c r="I697" s="5" t="n">
        <f aca="false">IF(H697="",0,IFERROR(MATCH(H697,GL!$A:$A,0),0))</f>
        <v>0</v>
      </c>
      <c r="J697" s="32" t="str">
        <f aca="false">IF(I697=0,"",INDEX(GL!$B:$B,I697))</f>
        <v/>
      </c>
      <c r="K697" s="5" t="str">
        <f aca="false">IF(I697=0,"",IF(INDEX(GL!$C:$C,I697)="","",INDEX(GL!$C:$C,I697)))</f>
        <v/>
      </c>
      <c r="L697" s="19" t="str">
        <f aca="false">IF(I697=0,"",INDEX(GL!$E:$E,I697))</f>
        <v/>
      </c>
      <c r="M697" s="19" t="str">
        <f aca="false">IF(OR(B697=0,I697=0),"",ROUND(G697-L697,2))</f>
        <v/>
      </c>
      <c r="N697" s="5" t="str">
        <f aca="false">IF(A697="","",IF(B697=0,"NOT FOUND: bank ID",IF(I697=0,"NOT FOUND: GL ID",IF(INDEX(GL!$H:$H,I697)&lt;&gt;A697,"BROKEN: GL points elsewhere",IF(OR(INDEX(Bank!$F:$F,B697)&lt;&gt;"Y",INDEX(GL!$F:$F,I697)&lt;&gt;"Y"),"BROKEN: Status not Y","OK")))))</f>
        <v/>
      </c>
    </row>
    <row r="698" customFormat="false" ht="15" hidden="false" customHeight="false" outlineLevel="0" collapsed="false">
      <c r="A698" s="41"/>
      <c r="B698" s="5" t="n">
        <f aca="false">IF(A698="",0,IFERROR(MATCH(A698,Bank!$A:$A,0),0))</f>
        <v>0</v>
      </c>
      <c r="C698" s="5" t="str">
        <f aca="false">IF(B698=0,"",IF(INDEX(Bank!$G:$G,B698)="","",INDEX(Bank!$G:$G,B698)))</f>
        <v/>
      </c>
      <c r="D698" s="5" t="str">
        <f aca="false">IF(B698=0,"",IF(INDEX(Bank!$J:$J,B698)="","",INDEX(Bank!$J:$J,B698)))</f>
        <v/>
      </c>
      <c r="E698" s="32" t="str">
        <f aca="false">IF(B698=0,"",INDEX(Bank!$B:$B,B698))</f>
        <v/>
      </c>
      <c r="F698" s="5" t="str">
        <f aca="false">IF(B698=0,"",IF(INDEX(Bank!$C:$C,B698)="","",INDEX(Bank!$C:$C,B698)))</f>
        <v/>
      </c>
      <c r="G698" s="19" t="str">
        <f aca="false">IF(B698=0,"",INDEX(Bank!$E:$E,B698))</f>
        <v/>
      </c>
      <c r="H698" s="5" t="str">
        <f aca="false">IF(B698=0,"",IF(INDEX(Bank!$H:$H,B698)="","",INDEX(Bank!$H:$H,B698)))</f>
        <v/>
      </c>
      <c r="I698" s="5" t="n">
        <f aca="false">IF(H698="",0,IFERROR(MATCH(H698,GL!$A:$A,0),0))</f>
        <v>0</v>
      </c>
      <c r="J698" s="32" t="str">
        <f aca="false">IF(I698=0,"",INDEX(GL!$B:$B,I698))</f>
        <v/>
      </c>
      <c r="K698" s="5" t="str">
        <f aca="false">IF(I698=0,"",IF(INDEX(GL!$C:$C,I698)="","",INDEX(GL!$C:$C,I698)))</f>
        <v/>
      </c>
      <c r="L698" s="19" t="str">
        <f aca="false">IF(I698=0,"",INDEX(GL!$E:$E,I698))</f>
        <v/>
      </c>
      <c r="M698" s="19" t="str">
        <f aca="false">IF(OR(B698=0,I698=0),"",ROUND(G698-L698,2))</f>
        <v/>
      </c>
      <c r="N698" s="5" t="str">
        <f aca="false">IF(A698="","",IF(B698=0,"NOT FOUND: bank ID",IF(I698=0,"NOT FOUND: GL ID",IF(INDEX(GL!$H:$H,I698)&lt;&gt;A698,"BROKEN: GL points elsewhere",IF(OR(INDEX(Bank!$F:$F,B698)&lt;&gt;"Y",INDEX(GL!$F:$F,I698)&lt;&gt;"Y"),"BROKEN: Status not Y","OK")))))</f>
        <v/>
      </c>
    </row>
    <row r="699" customFormat="false" ht="15" hidden="false" customHeight="false" outlineLevel="0" collapsed="false">
      <c r="A699" s="41"/>
      <c r="B699" s="5" t="n">
        <f aca="false">IF(A699="",0,IFERROR(MATCH(A699,Bank!$A:$A,0),0))</f>
        <v>0</v>
      </c>
      <c r="C699" s="5" t="str">
        <f aca="false">IF(B699=0,"",IF(INDEX(Bank!$G:$G,B699)="","",INDEX(Bank!$G:$G,B699)))</f>
        <v/>
      </c>
      <c r="D699" s="5" t="str">
        <f aca="false">IF(B699=0,"",IF(INDEX(Bank!$J:$J,B699)="","",INDEX(Bank!$J:$J,B699)))</f>
        <v/>
      </c>
      <c r="E699" s="32" t="str">
        <f aca="false">IF(B699=0,"",INDEX(Bank!$B:$B,B699))</f>
        <v/>
      </c>
      <c r="F699" s="5" t="str">
        <f aca="false">IF(B699=0,"",IF(INDEX(Bank!$C:$C,B699)="","",INDEX(Bank!$C:$C,B699)))</f>
        <v/>
      </c>
      <c r="G699" s="19" t="str">
        <f aca="false">IF(B699=0,"",INDEX(Bank!$E:$E,B699))</f>
        <v/>
      </c>
      <c r="H699" s="5" t="str">
        <f aca="false">IF(B699=0,"",IF(INDEX(Bank!$H:$H,B699)="","",INDEX(Bank!$H:$H,B699)))</f>
        <v/>
      </c>
      <c r="I699" s="5" t="n">
        <f aca="false">IF(H699="",0,IFERROR(MATCH(H699,GL!$A:$A,0),0))</f>
        <v>0</v>
      </c>
      <c r="J699" s="32" t="str">
        <f aca="false">IF(I699=0,"",INDEX(GL!$B:$B,I699))</f>
        <v/>
      </c>
      <c r="K699" s="5" t="str">
        <f aca="false">IF(I699=0,"",IF(INDEX(GL!$C:$C,I699)="","",INDEX(GL!$C:$C,I699)))</f>
        <v/>
      </c>
      <c r="L699" s="19" t="str">
        <f aca="false">IF(I699=0,"",INDEX(GL!$E:$E,I699))</f>
        <v/>
      </c>
      <c r="M699" s="19" t="str">
        <f aca="false">IF(OR(B699=0,I699=0),"",ROUND(G699-L699,2))</f>
        <v/>
      </c>
      <c r="N699" s="5" t="str">
        <f aca="false">IF(A699="","",IF(B699=0,"NOT FOUND: bank ID",IF(I699=0,"NOT FOUND: GL ID",IF(INDEX(GL!$H:$H,I699)&lt;&gt;A699,"BROKEN: GL points elsewhere",IF(OR(INDEX(Bank!$F:$F,B699)&lt;&gt;"Y",INDEX(GL!$F:$F,I699)&lt;&gt;"Y"),"BROKEN: Status not Y","OK")))))</f>
        <v/>
      </c>
    </row>
    <row r="700" customFormat="false" ht="15" hidden="false" customHeight="false" outlineLevel="0" collapsed="false">
      <c r="A700" s="41"/>
      <c r="B700" s="5" t="n">
        <f aca="false">IF(A700="",0,IFERROR(MATCH(A700,Bank!$A:$A,0),0))</f>
        <v>0</v>
      </c>
      <c r="C700" s="5" t="str">
        <f aca="false">IF(B700=0,"",IF(INDEX(Bank!$G:$G,B700)="","",INDEX(Bank!$G:$G,B700)))</f>
        <v/>
      </c>
      <c r="D700" s="5" t="str">
        <f aca="false">IF(B700=0,"",IF(INDEX(Bank!$J:$J,B700)="","",INDEX(Bank!$J:$J,B700)))</f>
        <v/>
      </c>
      <c r="E700" s="32" t="str">
        <f aca="false">IF(B700=0,"",INDEX(Bank!$B:$B,B700))</f>
        <v/>
      </c>
      <c r="F700" s="5" t="str">
        <f aca="false">IF(B700=0,"",IF(INDEX(Bank!$C:$C,B700)="","",INDEX(Bank!$C:$C,B700)))</f>
        <v/>
      </c>
      <c r="G700" s="19" t="str">
        <f aca="false">IF(B700=0,"",INDEX(Bank!$E:$E,B700))</f>
        <v/>
      </c>
      <c r="H700" s="5" t="str">
        <f aca="false">IF(B700=0,"",IF(INDEX(Bank!$H:$H,B700)="","",INDEX(Bank!$H:$H,B700)))</f>
        <v/>
      </c>
      <c r="I700" s="5" t="n">
        <f aca="false">IF(H700="",0,IFERROR(MATCH(H700,GL!$A:$A,0),0))</f>
        <v>0</v>
      </c>
      <c r="J700" s="32" t="str">
        <f aca="false">IF(I700=0,"",INDEX(GL!$B:$B,I700))</f>
        <v/>
      </c>
      <c r="K700" s="5" t="str">
        <f aca="false">IF(I700=0,"",IF(INDEX(GL!$C:$C,I700)="","",INDEX(GL!$C:$C,I700)))</f>
        <v/>
      </c>
      <c r="L700" s="19" t="str">
        <f aca="false">IF(I700=0,"",INDEX(GL!$E:$E,I700))</f>
        <v/>
      </c>
      <c r="M700" s="19" t="str">
        <f aca="false">IF(OR(B700=0,I700=0),"",ROUND(G700-L700,2))</f>
        <v/>
      </c>
      <c r="N700" s="5" t="str">
        <f aca="false">IF(A700="","",IF(B700=0,"NOT FOUND: bank ID",IF(I700=0,"NOT FOUND: GL ID",IF(INDEX(GL!$H:$H,I700)&lt;&gt;A700,"BROKEN: GL points elsewhere",IF(OR(INDEX(Bank!$F:$F,B700)&lt;&gt;"Y",INDEX(GL!$F:$F,I700)&lt;&gt;"Y"),"BROKEN: Status not Y","OK")))))</f>
        <v/>
      </c>
    </row>
    <row r="701" customFormat="false" ht="15" hidden="false" customHeight="false" outlineLevel="0" collapsed="false">
      <c r="A701" s="41"/>
      <c r="B701" s="5" t="n">
        <f aca="false">IF(A701="",0,IFERROR(MATCH(A701,Bank!$A:$A,0),0))</f>
        <v>0</v>
      </c>
      <c r="C701" s="5" t="str">
        <f aca="false">IF(B701=0,"",IF(INDEX(Bank!$G:$G,B701)="","",INDEX(Bank!$G:$G,B701)))</f>
        <v/>
      </c>
      <c r="D701" s="5" t="str">
        <f aca="false">IF(B701=0,"",IF(INDEX(Bank!$J:$J,B701)="","",INDEX(Bank!$J:$J,B701)))</f>
        <v/>
      </c>
      <c r="E701" s="32" t="str">
        <f aca="false">IF(B701=0,"",INDEX(Bank!$B:$B,B701))</f>
        <v/>
      </c>
      <c r="F701" s="5" t="str">
        <f aca="false">IF(B701=0,"",IF(INDEX(Bank!$C:$C,B701)="","",INDEX(Bank!$C:$C,B701)))</f>
        <v/>
      </c>
      <c r="G701" s="19" t="str">
        <f aca="false">IF(B701=0,"",INDEX(Bank!$E:$E,B701))</f>
        <v/>
      </c>
      <c r="H701" s="5" t="str">
        <f aca="false">IF(B701=0,"",IF(INDEX(Bank!$H:$H,B701)="","",INDEX(Bank!$H:$H,B701)))</f>
        <v/>
      </c>
      <c r="I701" s="5" t="n">
        <f aca="false">IF(H701="",0,IFERROR(MATCH(H701,GL!$A:$A,0),0))</f>
        <v>0</v>
      </c>
      <c r="J701" s="32" t="str">
        <f aca="false">IF(I701=0,"",INDEX(GL!$B:$B,I701))</f>
        <v/>
      </c>
      <c r="K701" s="5" t="str">
        <f aca="false">IF(I701=0,"",IF(INDEX(GL!$C:$C,I701)="","",INDEX(GL!$C:$C,I701)))</f>
        <v/>
      </c>
      <c r="L701" s="19" t="str">
        <f aca="false">IF(I701=0,"",INDEX(GL!$E:$E,I701))</f>
        <v/>
      </c>
      <c r="M701" s="19" t="str">
        <f aca="false">IF(OR(B701=0,I701=0),"",ROUND(G701-L701,2))</f>
        <v/>
      </c>
      <c r="N701" s="5" t="str">
        <f aca="false">IF(A701="","",IF(B701=0,"NOT FOUND: bank ID",IF(I701=0,"NOT FOUND: GL ID",IF(INDEX(GL!$H:$H,I701)&lt;&gt;A701,"BROKEN: GL points elsewhere",IF(OR(INDEX(Bank!$F:$F,B701)&lt;&gt;"Y",INDEX(GL!$F:$F,I701)&lt;&gt;"Y"),"BROKEN: Status not Y","OK")))))</f>
        <v/>
      </c>
    </row>
    <row r="702" customFormat="false" ht="15" hidden="false" customHeight="false" outlineLevel="0" collapsed="false">
      <c r="A702" s="41"/>
      <c r="B702" s="5" t="n">
        <f aca="false">IF(A702="",0,IFERROR(MATCH(A702,Bank!$A:$A,0),0))</f>
        <v>0</v>
      </c>
      <c r="C702" s="5" t="str">
        <f aca="false">IF(B702=0,"",IF(INDEX(Bank!$G:$G,B702)="","",INDEX(Bank!$G:$G,B702)))</f>
        <v/>
      </c>
      <c r="D702" s="5" t="str">
        <f aca="false">IF(B702=0,"",IF(INDEX(Bank!$J:$J,B702)="","",INDEX(Bank!$J:$J,B702)))</f>
        <v/>
      </c>
      <c r="E702" s="32" t="str">
        <f aca="false">IF(B702=0,"",INDEX(Bank!$B:$B,B702))</f>
        <v/>
      </c>
      <c r="F702" s="5" t="str">
        <f aca="false">IF(B702=0,"",IF(INDEX(Bank!$C:$C,B702)="","",INDEX(Bank!$C:$C,B702)))</f>
        <v/>
      </c>
      <c r="G702" s="19" t="str">
        <f aca="false">IF(B702=0,"",INDEX(Bank!$E:$E,B702))</f>
        <v/>
      </c>
      <c r="H702" s="5" t="str">
        <f aca="false">IF(B702=0,"",IF(INDEX(Bank!$H:$H,B702)="","",INDEX(Bank!$H:$H,B702)))</f>
        <v/>
      </c>
      <c r="I702" s="5" t="n">
        <f aca="false">IF(H702="",0,IFERROR(MATCH(H702,GL!$A:$A,0),0))</f>
        <v>0</v>
      </c>
      <c r="J702" s="32" t="str">
        <f aca="false">IF(I702=0,"",INDEX(GL!$B:$B,I702))</f>
        <v/>
      </c>
      <c r="K702" s="5" t="str">
        <f aca="false">IF(I702=0,"",IF(INDEX(GL!$C:$C,I702)="","",INDEX(GL!$C:$C,I702)))</f>
        <v/>
      </c>
      <c r="L702" s="19" t="str">
        <f aca="false">IF(I702=0,"",INDEX(GL!$E:$E,I702))</f>
        <v/>
      </c>
      <c r="M702" s="19" t="str">
        <f aca="false">IF(OR(B702=0,I702=0),"",ROUND(G702-L702,2))</f>
        <v/>
      </c>
      <c r="N702" s="5" t="str">
        <f aca="false">IF(A702="","",IF(B702=0,"NOT FOUND: bank ID",IF(I702=0,"NOT FOUND: GL ID",IF(INDEX(GL!$H:$H,I702)&lt;&gt;A702,"BROKEN: GL points elsewhere",IF(OR(INDEX(Bank!$F:$F,B702)&lt;&gt;"Y",INDEX(GL!$F:$F,I702)&lt;&gt;"Y"),"BROKEN: Status not Y","OK")))))</f>
        <v/>
      </c>
    </row>
    <row r="703" customFormat="false" ht="15" hidden="false" customHeight="false" outlineLevel="0" collapsed="false">
      <c r="A703" s="41"/>
      <c r="B703" s="5" t="n">
        <f aca="false">IF(A703="",0,IFERROR(MATCH(A703,Bank!$A:$A,0),0))</f>
        <v>0</v>
      </c>
      <c r="C703" s="5" t="str">
        <f aca="false">IF(B703=0,"",IF(INDEX(Bank!$G:$G,B703)="","",INDEX(Bank!$G:$G,B703)))</f>
        <v/>
      </c>
      <c r="D703" s="5" t="str">
        <f aca="false">IF(B703=0,"",IF(INDEX(Bank!$J:$J,B703)="","",INDEX(Bank!$J:$J,B703)))</f>
        <v/>
      </c>
      <c r="E703" s="32" t="str">
        <f aca="false">IF(B703=0,"",INDEX(Bank!$B:$B,B703))</f>
        <v/>
      </c>
      <c r="F703" s="5" t="str">
        <f aca="false">IF(B703=0,"",IF(INDEX(Bank!$C:$C,B703)="","",INDEX(Bank!$C:$C,B703)))</f>
        <v/>
      </c>
      <c r="G703" s="19" t="str">
        <f aca="false">IF(B703=0,"",INDEX(Bank!$E:$E,B703))</f>
        <v/>
      </c>
      <c r="H703" s="5" t="str">
        <f aca="false">IF(B703=0,"",IF(INDEX(Bank!$H:$H,B703)="","",INDEX(Bank!$H:$H,B703)))</f>
        <v/>
      </c>
      <c r="I703" s="5" t="n">
        <f aca="false">IF(H703="",0,IFERROR(MATCH(H703,GL!$A:$A,0),0))</f>
        <v>0</v>
      </c>
      <c r="J703" s="32" t="str">
        <f aca="false">IF(I703=0,"",INDEX(GL!$B:$B,I703))</f>
        <v/>
      </c>
      <c r="K703" s="5" t="str">
        <f aca="false">IF(I703=0,"",IF(INDEX(GL!$C:$C,I703)="","",INDEX(GL!$C:$C,I703)))</f>
        <v/>
      </c>
      <c r="L703" s="19" t="str">
        <f aca="false">IF(I703=0,"",INDEX(GL!$E:$E,I703))</f>
        <v/>
      </c>
      <c r="M703" s="19" t="str">
        <f aca="false">IF(OR(B703=0,I703=0),"",ROUND(G703-L703,2))</f>
        <v/>
      </c>
      <c r="N703" s="5" t="str">
        <f aca="false">IF(A703="","",IF(B703=0,"NOT FOUND: bank ID",IF(I703=0,"NOT FOUND: GL ID",IF(INDEX(GL!$H:$H,I703)&lt;&gt;A703,"BROKEN: GL points elsewhere",IF(OR(INDEX(Bank!$F:$F,B703)&lt;&gt;"Y",INDEX(GL!$F:$F,I703)&lt;&gt;"Y"),"BROKEN: Status not Y","OK")))))</f>
        <v/>
      </c>
    </row>
    <row r="704" customFormat="false" ht="15" hidden="false" customHeight="false" outlineLevel="0" collapsed="false">
      <c r="A704" s="41"/>
      <c r="B704" s="5" t="n">
        <f aca="false">IF(A704="",0,IFERROR(MATCH(A704,Bank!$A:$A,0),0))</f>
        <v>0</v>
      </c>
      <c r="C704" s="5" t="str">
        <f aca="false">IF(B704=0,"",IF(INDEX(Bank!$G:$G,B704)="","",INDEX(Bank!$G:$G,B704)))</f>
        <v/>
      </c>
      <c r="D704" s="5" t="str">
        <f aca="false">IF(B704=0,"",IF(INDEX(Bank!$J:$J,B704)="","",INDEX(Bank!$J:$J,B704)))</f>
        <v/>
      </c>
      <c r="E704" s="32" t="str">
        <f aca="false">IF(B704=0,"",INDEX(Bank!$B:$B,B704))</f>
        <v/>
      </c>
      <c r="F704" s="5" t="str">
        <f aca="false">IF(B704=0,"",IF(INDEX(Bank!$C:$C,B704)="","",INDEX(Bank!$C:$C,B704)))</f>
        <v/>
      </c>
      <c r="G704" s="19" t="str">
        <f aca="false">IF(B704=0,"",INDEX(Bank!$E:$E,B704))</f>
        <v/>
      </c>
      <c r="H704" s="5" t="str">
        <f aca="false">IF(B704=0,"",IF(INDEX(Bank!$H:$H,B704)="","",INDEX(Bank!$H:$H,B704)))</f>
        <v/>
      </c>
      <c r="I704" s="5" t="n">
        <f aca="false">IF(H704="",0,IFERROR(MATCH(H704,GL!$A:$A,0),0))</f>
        <v>0</v>
      </c>
      <c r="J704" s="32" t="str">
        <f aca="false">IF(I704=0,"",INDEX(GL!$B:$B,I704))</f>
        <v/>
      </c>
      <c r="K704" s="5" t="str">
        <f aca="false">IF(I704=0,"",IF(INDEX(GL!$C:$C,I704)="","",INDEX(GL!$C:$C,I704)))</f>
        <v/>
      </c>
      <c r="L704" s="19" t="str">
        <f aca="false">IF(I704=0,"",INDEX(GL!$E:$E,I704))</f>
        <v/>
      </c>
      <c r="M704" s="19" t="str">
        <f aca="false">IF(OR(B704=0,I704=0),"",ROUND(G704-L704,2))</f>
        <v/>
      </c>
      <c r="N704" s="5" t="str">
        <f aca="false">IF(A704="","",IF(B704=0,"NOT FOUND: bank ID",IF(I704=0,"NOT FOUND: GL ID",IF(INDEX(GL!$H:$H,I704)&lt;&gt;A704,"BROKEN: GL points elsewhere",IF(OR(INDEX(Bank!$F:$F,B704)&lt;&gt;"Y",INDEX(GL!$F:$F,I704)&lt;&gt;"Y"),"BROKEN: Status not Y","OK")))))</f>
        <v/>
      </c>
    </row>
    <row r="705" customFormat="false" ht="15" hidden="false" customHeight="false" outlineLevel="0" collapsed="false">
      <c r="A705" s="41"/>
      <c r="B705" s="5" t="n">
        <f aca="false">IF(A705="",0,IFERROR(MATCH(A705,Bank!$A:$A,0),0))</f>
        <v>0</v>
      </c>
      <c r="C705" s="5" t="str">
        <f aca="false">IF(B705=0,"",IF(INDEX(Bank!$G:$G,B705)="","",INDEX(Bank!$G:$G,B705)))</f>
        <v/>
      </c>
      <c r="D705" s="5" t="str">
        <f aca="false">IF(B705=0,"",IF(INDEX(Bank!$J:$J,B705)="","",INDEX(Bank!$J:$J,B705)))</f>
        <v/>
      </c>
      <c r="E705" s="32" t="str">
        <f aca="false">IF(B705=0,"",INDEX(Bank!$B:$B,B705))</f>
        <v/>
      </c>
      <c r="F705" s="5" t="str">
        <f aca="false">IF(B705=0,"",IF(INDEX(Bank!$C:$C,B705)="","",INDEX(Bank!$C:$C,B705)))</f>
        <v/>
      </c>
      <c r="G705" s="19" t="str">
        <f aca="false">IF(B705=0,"",INDEX(Bank!$E:$E,B705))</f>
        <v/>
      </c>
      <c r="H705" s="5" t="str">
        <f aca="false">IF(B705=0,"",IF(INDEX(Bank!$H:$H,B705)="","",INDEX(Bank!$H:$H,B705)))</f>
        <v/>
      </c>
      <c r="I705" s="5" t="n">
        <f aca="false">IF(H705="",0,IFERROR(MATCH(H705,GL!$A:$A,0),0))</f>
        <v>0</v>
      </c>
      <c r="J705" s="32" t="str">
        <f aca="false">IF(I705=0,"",INDEX(GL!$B:$B,I705))</f>
        <v/>
      </c>
      <c r="K705" s="5" t="str">
        <f aca="false">IF(I705=0,"",IF(INDEX(GL!$C:$C,I705)="","",INDEX(GL!$C:$C,I705)))</f>
        <v/>
      </c>
      <c r="L705" s="19" t="str">
        <f aca="false">IF(I705=0,"",INDEX(GL!$E:$E,I705))</f>
        <v/>
      </c>
      <c r="M705" s="19" t="str">
        <f aca="false">IF(OR(B705=0,I705=0),"",ROUND(G705-L705,2))</f>
        <v/>
      </c>
      <c r="N705" s="5" t="str">
        <f aca="false">IF(A705="","",IF(B705=0,"NOT FOUND: bank ID",IF(I705=0,"NOT FOUND: GL ID",IF(INDEX(GL!$H:$H,I705)&lt;&gt;A705,"BROKEN: GL points elsewhere",IF(OR(INDEX(Bank!$F:$F,B705)&lt;&gt;"Y",INDEX(GL!$F:$F,I705)&lt;&gt;"Y"),"BROKEN: Status not Y","OK")))))</f>
        <v/>
      </c>
    </row>
    <row r="706" customFormat="false" ht="15" hidden="false" customHeight="false" outlineLevel="0" collapsed="false">
      <c r="A706" s="41"/>
      <c r="B706" s="5" t="n">
        <f aca="false">IF(A706="",0,IFERROR(MATCH(A706,Bank!$A:$A,0),0))</f>
        <v>0</v>
      </c>
      <c r="C706" s="5" t="str">
        <f aca="false">IF(B706=0,"",IF(INDEX(Bank!$G:$G,B706)="","",INDEX(Bank!$G:$G,B706)))</f>
        <v/>
      </c>
      <c r="D706" s="5" t="str">
        <f aca="false">IF(B706=0,"",IF(INDEX(Bank!$J:$J,B706)="","",INDEX(Bank!$J:$J,B706)))</f>
        <v/>
      </c>
      <c r="E706" s="32" t="str">
        <f aca="false">IF(B706=0,"",INDEX(Bank!$B:$B,B706))</f>
        <v/>
      </c>
      <c r="F706" s="5" t="str">
        <f aca="false">IF(B706=0,"",IF(INDEX(Bank!$C:$C,B706)="","",INDEX(Bank!$C:$C,B706)))</f>
        <v/>
      </c>
      <c r="G706" s="19" t="str">
        <f aca="false">IF(B706=0,"",INDEX(Bank!$E:$E,B706))</f>
        <v/>
      </c>
      <c r="H706" s="5" t="str">
        <f aca="false">IF(B706=0,"",IF(INDEX(Bank!$H:$H,B706)="","",INDEX(Bank!$H:$H,B706)))</f>
        <v/>
      </c>
      <c r="I706" s="5" t="n">
        <f aca="false">IF(H706="",0,IFERROR(MATCH(H706,GL!$A:$A,0),0))</f>
        <v>0</v>
      </c>
      <c r="J706" s="32" t="str">
        <f aca="false">IF(I706=0,"",INDEX(GL!$B:$B,I706))</f>
        <v/>
      </c>
      <c r="K706" s="5" t="str">
        <f aca="false">IF(I706=0,"",IF(INDEX(GL!$C:$C,I706)="","",INDEX(GL!$C:$C,I706)))</f>
        <v/>
      </c>
      <c r="L706" s="19" t="str">
        <f aca="false">IF(I706=0,"",INDEX(GL!$E:$E,I706))</f>
        <v/>
      </c>
      <c r="M706" s="19" t="str">
        <f aca="false">IF(OR(B706=0,I706=0),"",ROUND(G706-L706,2))</f>
        <v/>
      </c>
      <c r="N706" s="5" t="str">
        <f aca="false">IF(A706="","",IF(B706=0,"NOT FOUND: bank ID",IF(I706=0,"NOT FOUND: GL ID",IF(INDEX(GL!$H:$H,I706)&lt;&gt;A706,"BROKEN: GL points elsewhere",IF(OR(INDEX(Bank!$F:$F,B706)&lt;&gt;"Y",INDEX(GL!$F:$F,I706)&lt;&gt;"Y"),"BROKEN: Status not Y","OK")))))</f>
        <v/>
      </c>
    </row>
    <row r="707" customFormat="false" ht="15" hidden="false" customHeight="false" outlineLevel="0" collapsed="false">
      <c r="A707" s="41"/>
      <c r="B707" s="5" t="n">
        <f aca="false">IF(A707="",0,IFERROR(MATCH(A707,Bank!$A:$A,0),0))</f>
        <v>0</v>
      </c>
      <c r="C707" s="5" t="str">
        <f aca="false">IF(B707=0,"",IF(INDEX(Bank!$G:$G,B707)="","",INDEX(Bank!$G:$G,B707)))</f>
        <v/>
      </c>
      <c r="D707" s="5" t="str">
        <f aca="false">IF(B707=0,"",IF(INDEX(Bank!$J:$J,B707)="","",INDEX(Bank!$J:$J,B707)))</f>
        <v/>
      </c>
      <c r="E707" s="32" t="str">
        <f aca="false">IF(B707=0,"",INDEX(Bank!$B:$B,B707))</f>
        <v/>
      </c>
      <c r="F707" s="5" t="str">
        <f aca="false">IF(B707=0,"",IF(INDEX(Bank!$C:$C,B707)="","",INDEX(Bank!$C:$C,B707)))</f>
        <v/>
      </c>
      <c r="G707" s="19" t="str">
        <f aca="false">IF(B707=0,"",INDEX(Bank!$E:$E,B707))</f>
        <v/>
      </c>
      <c r="H707" s="5" t="str">
        <f aca="false">IF(B707=0,"",IF(INDEX(Bank!$H:$H,B707)="","",INDEX(Bank!$H:$H,B707)))</f>
        <v/>
      </c>
      <c r="I707" s="5" t="n">
        <f aca="false">IF(H707="",0,IFERROR(MATCH(H707,GL!$A:$A,0),0))</f>
        <v>0</v>
      </c>
      <c r="J707" s="32" t="str">
        <f aca="false">IF(I707=0,"",INDEX(GL!$B:$B,I707))</f>
        <v/>
      </c>
      <c r="K707" s="5" t="str">
        <f aca="false">IF(I707=0,"",IF(INDEX(GL!$C:$C,I707)="","",INDEX(GL!$C:$C,I707)))</f>
        <v/>
      </c>
      <c r="L707" s="19" t="str">
        <f aca="false">IF(I707=0,"",INDEX(GL!$E:$E,I707))</f>
        <v/>
      </c>
      <c r="M707" s="19" t="str">
        <f aca="false">IF(OR(B707=0,I707=0),"",ROUND(G707-L707,2))</f>
        <v/>
      </c>
      <c r="N707" s="5" t="str">
        <f aca="false">IF(A707="","",IF(B707=0,"NOT FOUND: bank ID",IF(I707=0,"NOT FOUND: GL ID",IF(INDEX(GL!$H:$H,I707)&lt;&gt;A707,"BROKEN: GL points elsewhere",IF(OR(INDEX(Bank!$F:$F,B707)&lt;&gt;"Y",INDEX(GL!$F:$F,I707)&lt;&gt;"Y"),"BROKEN: Status not Y","OK")))))</f>
        <v/>
      </c>
    </row>
    <row r="708" customFormat="false" ht="15" hidden="false" customHeight="false" outlineLevel="0" collapsed="false">
      <c r="A708" s="41"/>
      <c r="B708" s="5" t="n">
        <f aca="false">IF(A708="",0,IFERROR(MATCH(A708,Bank!$A:$A,0),0))</f>
        <v>0</v>
      </c>
      <c r="C708" s="5" t="str">
        <f aca="false">IF(B708=0,"",IF(INDEX(Bank!$G:$G,B708)="","",INDEX(Bank!$G:$G,B708)))</f>
        <v/>
      </c>
      <c r="D708" s="5" t="str">
        <f aca="false">IF(B708=0,"",IF(INDEX(Bank!$J:$J,B708)="","",INDEX(Bank!$J:$J,B708)))</f>
        <v/>
      </c>
      <c r="E708" s="32" t="str">
        <f aca="false">IF(B708=0,"",INDEX(Bank!$B:$B,B708))</f>
        <v/>
      </c>
      <c r="F708" s="5" t="str">
        <f aca="false">IF(B708=0,"",IF(INDEX(Bank!$C:$C,B708)="","",INDEX(Bank!$C:$C,B708)))</f>
        <v/>
      </c>
      <c r="G708" s="19" t="str">
        <f aca="false">IF(B708=0,"",INDEX(Bank!$E:$E,B708))</f>
        <v/>
      </c>
      <c r="H708" s="5" t="str">
        <f aca="false">IF(B708=0,"",IF(INDEX(Bank!$H:$H,B708)="","",INDEX(Bank!$H:$H,B708)))</f>
        <v/>
      </c>
      <c r="I708" s="5" t="n">
        <f aca="false">IF(H708="",0,IFERROR(MATCH(H708,GL!$A:$A,0),0))</f>
        <v>0</v>
      </c>
      <c r="J708" s="32" t="str">
        <f aca="false">IF(I708=0,"",INDEX(GL!$B:$B,I708))</f>
        <v/>
      </c>
      <c r="K708" s="5" t="str">
        <f aca="false">IF(I708=0,"",IF(INDEX(GL!$C:$C,I708)="","",INDEX(GL!$C:$C,I708)))</f>
        <v/>
      </c>
      <c r="L708" s="19" t="str">
        <f aca="false">IF(I708=0,"",INDEX(GL!$E:$E,I708))</f>
        <v/>
      </c>
      <c r="M708" s="19" t="str">
        <f aca="false">IF(OR(B708=0,I708=0),"",ROUND(G708-L708,2))</f>
        <v/>
      </c>
      <c r="N708" s="5" t="str">
        <f aca="false">IF(A708="","",IF(B708=0,"NOT FOUND: bank ID",IF(I708=0,"NOT FOUND: GL ID",IF(INDEX(GL!$H:$H,I708)&lt;&gt;A708,"BROKEN: GL points elsewhere",IF(OR(INDEX(Bank!$F:$F,B708)&lt;&gt;"Y",INDEX(GL!$F:$F,I708)&lt;&gt;"Y"),"BROKEN: Status not Y","OK")))))</f>
        <v/>
      </c>
    </row>
    <row r="709" customFormat="false" ht="15" hidden="false" customHeight="false" outlineLevel="0" collapsed="false">
      <c r="A709" s="41"/>
      <c r="B709" s="5" t="n">
        <f aca="false">IF(A709="",0,IFERROR(MATCH(A709,Bank!$A:$A,0),0))</f>
        <v>0</v>
      </c>
      <c r="C709" s="5" t="str">
        <f aca="false">IF(B709=0,"",IF(INDEX(Bank!$G:$G,B709)="","",INDEX(Bank!$G:$G,B709)))</f>
        <v/>
      </c>
      <c r="D709" s="5" t="str">
        <f aca="false">IF(B709=0,"",IF(INDEX(Bank!$J:$J,B709)="","",INDEX(Bank!$J:$J,B709)))</f>
        <v/>
      </c>
      <c r="E709" s="32" t="str">
        <f aca="false">IF(B709=0,"",INDEX(Bank!$B:$B,B709))</f>
        <v/>
      </c>
      <c r="F709" s="5" t="str">
        <f aca="false">IF(B709=0,"",IF(INDEX(Bank!$C:$C,B709)="","",INDEX(Bank!$C:$C,B709)))</f>
        <v/>
      </c>
      <c r="G709" s="19" t="str">
        <f aca="false">IF(B709=0,"",INDEX(Bank!$E:$E,B709))</f>
        <v/>
      </c>
      <c r="H709" s="5" t="str">
        <f aca="false">IF(B709=0,"",IF(INDEX(Bank!$H:$H,B709)="","",INDEX(Bank!$H:$H,B709)))</f>
        <v/>
      </c>
      <c r="I709" s="5" t="n">
        <f aca="false">IF(H709="",0,IFERROR(MATCH(H709,GL!$A:$A,0),0))</f>
        <v>0</v>
      </c>
      <c r="J709" s="32" t="str">
        <f aca="false">IF(I709=0,"",INDEX(GL!$B:$B,I709))</f>
        <v/>
      </c>
      <c r="K709" s="5" t="str">
        <f aca="false">IF(I709=0,"",IF(INDEX(GL!$C:$C,I709)="","",INDEX(GL!$C:$C,I709)))</f>
        <v/>
      </c>
      <c r="L709" s="19" t="str">
        <f aca="false">IF(I709=0,"",INDEX(GL!$E:$E,I709))</f>
        <v/>
      </c>
      <c r="M709" s="19" t="str">
        <f aca="false">IF(OR(B709=0,I709=0),"",ROUND(G709-L709,2))</f>
        <v/>
      </c>
      <c r="N709" s="5" t="str">
        <f aca="false">IF(A709="","",IF(B709=0,"NOT FOUND: bank ID",IF(I709=0,"NOT FOUND: GL ID",IF(INDEX(GL!$H:$H,I709)&lt;&gt;A709,"BROKEN: GL points elsewhere",IF(OR(INDEX(Bank!$F:$F,B709)&lt;&gt;"Y",INDEX(GL!$F:$F,I709)&lt;&gt;"Y"),"BROKEN: Status not Y","OK")))))</f>
        <v/>
      </c>
    </row>
    <row r="710" customFormat="false" ht="15" hidden="false" customHeight="false" outlineLevel="0" collapsed="false">
      <c r="A710" s="41"/>
      <c r="B710" s="5" t="n">
        <f aca="false">IF(A710="",0,IFERROR(MATCH(A710,Bank!$A:$A,0),0))</f>
        <v>0</v>
      </c>
      <c r="C710" s="5" t="str">
        <f aca="false">IF(B710=0,"",IF(INDEX(Bank!$G:$G,B710)="","",INDEX(Bank!$G:$G,B710)))</f>
        <v/>
      </c>
      <c r="D710" s="5" t="str">
        <f aca="false">IF(B710=0,"",IF(INDEX(Bank!$J:$J,B710)="","",INDEX(Bank!$J:$J,B710)))</f>
        <v/>
      </c>
      <c r="E710" s="32" t="str">
        <f aca="false">IF(B710=0,"",INDEX(Bank!$B:$B,B710))</f>
        <v/>
      </c>
      <c r="F710" s="5" t="str">
        <f aca="false">IF(B710=0,"",IF(INDEX(Bank!$C:$C,B710)="","",INDEX(Bank!$C:$C,B710)))</f>
        <v/>
      </c>
      <c r="G710" s="19" t="str">
        <f aca="false">IF(B710=0,"",INDEX(Bank!$E:$E,B710))</f>
        <v/>
      </c>
      <c r="H710" s="5" t="str">
        <f aca="false">IF(B710=0,"",IF(INDEX(Bank!$H:$H,B710)="","",INDEX(Bank!$H:$H,B710)))</f>
        <v/>
      </c>
      <c r="I710" s="5" t="n">
        <f aca="false">IF(H710="",0,IFERROR(MATCH(H710,GL!$A:$A,0),0))</f>
        <v>0</v>
      </c>
      <c r="J710" s="32" t="str">
        <f aca="false">IF(I710=0,"",INDEX(GL!$B:$B,I710))</f>
        <v/>
      </c>
      <c r="K710" s="5" t="str">
        <f aca="false">IF(I710=0,"",IF(INDEX(GL!$C:$C,I710)="","",INDEX(GL!$C:$C,I710)))</f>
        <v/>
      </c>
      <c r="L710" s="19" t="str">
        <f aca="false">IF(I710=0,"",INDEX(GL!$E:$E,I710))</f>
        <v/>
      </c>
      <c r="M710" s="19" t="str">
        <f aca="false">IF(OR(B710=0,I710=0),"",ROUND(G710-L710,2))</f>
        <v/>
      </c>
      <c r="N710" s="5" t="str">
        <f aca="false">IF(A710="","",IF(B710=0,"NOT FOUND: bank ID",IF(I710=0,"NOT FOUND: GL ID",IF(INDEX(GL!$H:$H,I710)&lt;&gt;A710,"BROKEN: GL points elsewhere",IF(OR(INDEX(Bank!$F:$F,B710)&lt;&gt;"Y",INDEX(GL!$F:$F,I710)&lt;&gt;"Y"),"BROKEN: Status not Y","OK")))))</f>
        <v/>
      </c>
    </row>
    <row r="711" customFormat="false" ht="15" hidden="false" customHeight="false" outlineLevel="0" collapsed="false">
      <c r="A711" s="41"/>
      <c r="B711" s="5" t="n">
        <f aca="false">IF(A711="",0,IFERROR(MATCH(A711,Bank!$A:$A,0),0))</f>
        <v>0</v>
      </c>
      <c r="C711" s="5" t="str">
        <f aca="false">IF(B711=0,"",IF(INDEX(Bank!$G:$G,B711)="","",INDEX(Bank!$G:$G,B711)))</f>
        <v/>
      </c>
      <c r="D711" s="5" t="str">
        <f aca="false">IF(B711=0,"",IF(INDEX(Bank!$J:$J,B711)="","",INDEX(Bank!$J:$J,B711)))</f>
        <v/>
      </c>
      <c r="E711" s="32" t="str">
        <f aca="false">IF(B711=0,"",INDEX(Bank!$B:$B,B711))</f>
        <v/>
      </c>
      <c r="F711" s="5" t="str">
        <f aca="false">IF(B711=0,"",IF(INDEX(Bank!$C:$C,B711)="","",INDEX(Bank!$C:$C,B711)))</f>
        <v/>
      </c>
      <c r="G711" s="19" t="str">
        <f aca="false">IF(B711=0,"",INDEX(Bank!$E:$E,B711))</f>
        <v/>
      </c>
      <c r="H711" s="5" t="str">
        <f aca="false">IF(B711=0,"",IF(INDEX(Bank!$H:$H,B711)="","",INDEX(Bank!$H:$H,B711)))</f>
        <v/>
      </c>
      <c r="I711" s="5" t="n">
        <f aca="false">IF(H711="",0,IFERROR(MATCH(H711,GL!$A:$A,0),0))</f>
        <v>0</v>
      </c>
      <c r="J711" s="32" t="str">
        <f aca="false">IF(I711=0,"",INDEX(GL!$B:$B,I711))</f>
        <v/>
      </c>
      <c r="K711" s="5" t="str">
        <f aca="false">IF(I711=0,"",IF(INDEX(GL!$C:$C,I711)="","",INDEX(GL!$C:$C,I711)))</f>
        <v/>
      </c>
      <c r="L711" s="19" t="str">
        <f aca="false">IF(I711=0,"",INDEX(GL!$E:$E,I711))</f>
        <v/>
      </c>
      <c r="M711" s="19" t="str">
        <f aca="false">IF(OR(B711=0,I711=0),"",ROUND(G711-L711,2))</f>
        <v/>
      </c>
      <c r="N711" s="5" t="str">
        <f aca="false">IF(A711="","",IF(B711=0,"NOT FOUND: bank ID",IF(I711=0,"NOT FOUND: GL ID",IF(INDEX(GL!$H:$H,I711)&lt;&gt;A711,"BROKEN: GL points elsewhere",IF(OR(INDEX(Bank!$F:$F,B711)&lt;&gt;"Y",INDEX(GL!$F:$F,I711)&lt;&gt;"Y"),"BROKEN: Status not Y","OK")))))</f>
        <v/>
      </c>
    </row>
    <row r="712" customFormat="false" ht="15" hidden="false" customHeight="false" outlineLevel="0" collapsed="false">
      <c r="A712" s="41"/>
      <c r="B712" s="5" t="n">
        <f aca="false">IF(A712="",0,IFERROR(MATCH(A712,Bank!$A:$A,0),0))</f>
        <v>0</v>
      </c>
      <c r="C712" s="5" t="str">
        <f aca="false">IF(B712=0,"",IF(INDEX(Bank!$G:$G,B712)="","",INDEX(Bank!$G:$G,B712)))</f>
        <v/>
      </c>
      <c r="D712" s="5" t="str">
        <f aca="false">IF(B712=0,"",IF(INDEX(Bank!$J:$J,B712)="","",INDEX(Bank!$J:$J,B712)))</f>
        <v/>
      </c>
      <c r="E712" s="32" t="str">
        <f aca="false">IF(B712=0,"",INDEX(Bank!$B:$B,B712))</f>
        <v/>
      </c>
      <c r="F712" s="5" t="str">
        <f aca="false">IF(B712=0,"",IF(INDEX(Bank!$C:$C,B712)="","",INDEX(Bank!$C:$C,B712)))</f>
        <v/>
      </c>
      <c r="G712" s="19" t="str">
        <f aca="false">IF(B712=0,"",INDEX(Bank!$E:$E,B712))</f>
        <v/>
      </c>
      <c r="H712" s="5" t="str">
        <f aca="false">IF(B712=0,"",IF(INDEX(Bank!$H:$H,B712)="","",INDEX(Bank!$H:$H,B712)))</f>
        <v/>
      </c>
      <c r="I712" s="5" t="n">
        <f aca="false">IF(H712="",0,IFERROR(MATCH(H712,GL!$A:$A,0),0))</f>
        <v>0</v>
      </c>
      <c r="J712" s="32" t="str">
        <f aca="false">IF(I712=0,"",INDEX(GL!$B:$B,I712))</f>
        <v/>
      </c>
      <c r="K712" s="5" t="str">
        <f aca="false">IF(I712=0,"",IF(INDEX(GL!$C:$C,I712)="","",INDEX(GL!$C:$C,I712)))</f>
        <v/>
      </c>
      <c r="L712" s="19" t="str">
        <f aca="false">IF(I712=0,"",INDEX(GL!$E:$E,I712))</f>
        <v/>
      </c>
      <c r="M712" s="19" t="str">
        <f aca="false">IF(OR(B712=0,I712=0),"",ROUND(G712-L712,2))</f>
        <v/>
      </c>
      <c r="N712" s="5" t="str">
        <f aca="false">IF(A712="","",IF(B712=0,"NOT FOUND: bank ID",IF(I712=0,"NOT FOUND: GL ID",IF(INDEX(GL!$H:$H,I712)&lt;&gt;A712,"BROKEN: GL points elsewhere",IF(OR(INDEX(Bank!$F:$F,B712)&lt;&gt;"Y",INDEX(GL!$F:$F,I712)&lt;&gt;"Y"),"BROKEN: Status not Y","OK")))))</f>
        <v/>
      </c>
    </row>
    <row r="713" customFormat="false" ht="15" hidden="false" customHeight="false" outlineLevel="0" collapsed="false">
      <c r="A713" s="41"/>
      <c r="B713" s="5" t="n">
        <f aca="false">IF(A713="",0,IFERROR(MATCH(A713,Bank!$A:$A,0),0))</f>
        <v>0</v>
      </c>
      <c r="C713" s="5" t="str">
        <f aca="false">IF(B713=0,"",IF(INDEX(Bank!$G:$G,B713)="","",INDEX(Bank!$G:$G,B713)))</f>
        <v/>
      </c>
      <c r="D713" s="5" t="str">
        <f aca="false">IF(B713=0,"",IF(INDEX(Bank!$J:$J,B713)="","",INDEX(Bank!$J:$J,B713)))</f>
        <v/>
      </c>
      <c r="E713" s="32" t="str">
        <f aca="false">IF(B713=0,"",INDEX(Bank!$B:$B,B713))</f>
        <v/>
      </c>
      <c r="F713" s="5" t="str">
        <f aca="false">IF(B713=0,"",IF(INDEX(Bank!$C:$C,B713)="","",INDEX(Bank!$C:$C,B713)))</f>
        <v/>
      </c>
      <c r="G713" s="19" t="str">
        <f aca="false">IF(B713=0,"",INDEX(Bank!$E:$E,B713))</f>
        <v/>
      </c>
      <c r="H713" s="5" t="str">
        <f aca="false">IF(B713=0,"",IF(INDEX(Bank!$H:$H,B713)="","",INDEX(Bank!$H:$H,B713)))</f>
        <v/>
      </c>
      <c r="I713" s="5" t="n">
        <f aca="false">IF(H713="",0,IFERROR(MATCH(H713,GL!$A:$A,0),0))</f>
        <v>0</v>
      </c>
      <c r="J713" s="32" t="str">
        <f aca="false">IF(I713=0,"",INDEX(GL!$B:$B,I713))</f>
        <v/>
      </c>
      <c r="K713" s="5" t="str">
        <f aca="false">IF(I713=0,"",IF(INDEX(GL!$C:$C,I713)="","",INDEX(GL!$C:$C,I713)))</f>
        <v/>
      </c>
      <c r="L713" s="19" t="str">
        <f aca="false">IF(I713=0,"",INDEX(GL!$E:$E,I713))</f>
        <v/>
      </c>
      <c r="M713" s="19" t="str">
        <f aca="false">IF(OR(B713=0,I713=0),"",ROUND(G713-L713,2))</f>
        <v/>
      </c>
      <c r="N713" s="5" t="str">
        <f aca="false">IF(A713="","",IF(B713=0,"NOT FOUND: bank ID",IF(I713=0,"NOT FOUND: GL ID",IF(INDEX(GL!$H:$H,I713)&lt;&gt;A713,"BROKEN: GL points elsewhere",IF(OR(INDEX(Bank!$F:$F,B713)&lt;&gt;"Y",INDEX(GL!$F:$F,I713)&lt;&gt;"Y"),"BROKEN: Status not Y","OK")))))</f>
        <v/>
      </c>
    </row>
    <row r="714" customFormat="false" ht="15" hidden="false" customHeight="false" outlineLevel="0" collapsed="false">
      <c r="A714" s="41"/>
      <c r="B714" s="5" t="n">
        <f aca="false">IF(A714="",0,IFERROR(MATCH(A714,Bank!$A:$A,0),0))</f>
        <v>0</v>
      </c>
      <c r="C714" s="5" t="str">
        <f aca="false">IF(B714=0,"",IF(INDEX(Bank!$G:$G,B714)="","",INDEX(Bank!$G:$G,B714)))</f>
        <v/>
      </c>
      <c r="D714" s="5" t="str">
        <f aca="false">IF(B714=0,"",IF(INDEX(Bank!$J:$J,B714)="","",INDEX(Bank!$J:$J,B714)))</f>
        <v/>
      </c>
      <c r="E714" s="32" t="str">
        <f aca="false">IF(B714=0,"",INDEX(Bank!$B:$B,B714))</f>
        <v/>
      </c>
      <c r="F714" s="5" t="str">
        <f aca="false">IF(B714=0,"",IF(INDEX(Bank!$C:$C,B714)="","",INDEX(Bank!$C:$C,B714)))</f>
        <v/>
      </c>
      <c r="G714" s="19" t="str">
        <f aca="false">IF(B714=0,"",INDEX(Bank!$E:$E,B714))</f>
        <v/>
      </c>
      <c r="H714" s="5" t="str">
        <f aca="false">IF(B714=0,"",IF(INDEX(Bank!$H:$H,B714)="","",INDEX(Bank!$H:$H,B714)))</f>
        <v/>
      </c>
      <c r="I714" s="5" t="n">
        <f aca="false">IF(H714="",0,IFERROR(MATCH(H714,GL!$A:$A,0),0))</f>
        <v>0</v>
      </c>
      <c r="J714" s="32" t="str">
        <f aca="false">IF(I714=0,"",INDEX(GL!$B:$B,I714))</f>
        <v/>
      </c>
      <c r="K714" s="5" t="str">
        <f aca="false">IF(I714=0,"",IF(INDEX(GL!$C:$C,I714)="","",INDEX(GL!$C:$C,I714)))</f>
        <v/>
      </c>
      <c r="L714" s="19" t="str">
        <f aca="false">IF(I714=0,"",INDEX(GL!$E:$E,I714))</f>
        <v/>
      </c>
      <c r="M714" s="19" t="str">
        <f aca="false">IF(OR(B714=0,I714=0),"",ROUND(G714-L714,2))</f>
        <v/>
      </c>
      <c r="N714" s="5" t="str">
        <f aca="false">IF(A714="","",IF(B714=0,"NOT FOUND: bank ID",IF(I714=0,"NOT FOUND: GL ID",IF(INDEX(GL!$H:$H,I714)&lt;&gt;A714,"BROKEN: GL points elsewhere",IF(OR(INDEX(Bank!$F:$F,B714)&lt;&gt;"Y",INDEX(GL!$F:$F,I714)&lt;&gt;"Y"),"BROKEN: Status not Y","OK")))))</f>
        <v/>
      </c>
    </row>
    <row r="715" customFormat="false" ht="15" hidden="false" customHeight="false" outlineLevel="0" collapsed="false">
      <c r="A715" s="41"/>
      <c r="B715" s="5" t="n">
        <f aca="false">IF(A715="",0,IFERROR(MATCH(A715,Bank!$A:$A,0),0))</f>
        <v>0</v>
      </c>
      <c r="C715" s="5" t="str">
        <f aca="false">IF(B715=0,"",IF(INDEX(Bank!$G:$G,B715)="","",INDEX(Bank!$G:$G,B715)))</f>
        <v/>
      </c>
      <c r="D715" s="5" t="str">
        <f aca="false">IF(B715=0,"",IF(INDEX(Bank!$J:$J,B715)="","",INDEX(Bank!$J:$J,B715)))</f>
        <v/>
      </c>
      <c r="E715" s="32" t="str">
        <f aca="false">IF(B715=0,"",INDEX(Bank!$B:$B,B715))</f>
        <v/>
      </c>
      <c r="F715" s="5" t="str">
        <f aca="false">IF(B715=0,"",IF(INDEX(Bank!$C:$C,B715)="","",INDEX(Bank!$C:$C,B715)))</f>
        <v/>
      </c>
      <c r="G715" s="19" t="str">
        <f aca="false">IF(B715=0,"",INDEX(Bank!$E:$E,B715))</f>
        <v/>
      </c>
      <c r="H715" s="5" t="str">
        <f aca="false">IF(B715=0,"",IF(INDEX(Bank!$H:$H,B715)="","",INDEX(Bank!$H:$H,B715)))</f>
        <v/>
      </c>
      <c r="I715" s="5" t="n">
        <f aca="false">IF(H715="",0,IFERROR(MATCH(H715,GL!$A:$A,0),0))</f>
        <v>0</v>
      </c>
      <c r="J715" s="32" t="str">
        <f aca="false">IF(I715=0,"",INDEX(GL!$B:$B,I715))</f>
        <v/>
      </c>
      <c r="K715" s="5" t="str">
        <f aca="false">IF(I715=0,"",IF(INDEX(GL!$C:$C,I715)="","",INDEX(GL!$C:$C,I715)))</f>
        <v/>
      </c>
      <c r="L715" s="19" t="str">
        <f aca="false">IF(I715=0,"",INDEX(GL!$E:$E,I715))</f>
        <v/>
      </c>
      <c r="M715" s="19" t="str">
        <f aca="false">IF(OR(B715=0,I715=0),"",ROUND(G715-L715,2))</f>
        <v/>
      </c>
      <c r="N715" s="5" t="str">
        <f aca="false">IF(A715="","",IF(B715=0,"NOT FOUND: bank ID",IF(I715=0,"NOT FOUND: GL ID",IF(INDEX(GL!$H:$H,I715)&lt;&gt;A715,"BROKEN: GL points elsewhere",IF(OR(INDEX(Bank!$F:$F,B715)&lt;&gt;"Y",INDEX(GL!$F:$F,I715)&lt;&gt;"Y"),"BROKEN: Status not Y","OK")))))</f>
        <v/>
      </c>
    </row>
    <row r="716" customFormat="false" ht="15" hidden="false" customHeight="false" outlineLevel="0" collapsed="false">
      <c r="A716" s="41"/>
      <c r="B716" s="5" t="n">
        <f aca="false">IF(A716="",0,IFERROR(MATCH(A716,Bank!$A:$A,0),0))</f>
        <v>0</v>
      </c>
      <c r="C716" s="5" t="str">
        <f aca="false">IF(B716=0,"",IF(INDEX(Bank!$G:$G,B716)="","",INDEX(Bank!$G:$G,B716)))</f>
        <v/>
      </c>
      <c r="D716" s="5" t="str">
        <f aca="false">IF(B716=0,"",IF(INDEX(Bank!$J:$J,B716)="","",INDEX(Bank!$J:$J,B716)))</f>
        <v/>
      </c>
      <c r="E716" s="32" t="str">
        <f aca="false">IF(B716=0,"",INDEX(Bank!$B:$B,B716))</f>
        <v/>
      </c>
      <c r="F716" s="5" t="str">
        <f aca="false">IF(B716=0,"",IF(INDEX(Bank!$C:$C,B716)="","",INDEX(Bank!$C:$C,B716)))</f>
        <v/>
      </c>
      <c r="G716" s="19" t="str">
        <f aca="false">IF(B716=0,"",INDEX(Bank!$E:$E,B716))</f>
        <v/>
      </c>
      <c r="H716" s="5" t="str">
        <f aca="false">IF(B716=0,"",IF(INDEX(Bank!$H:$H,B716)="","",INDEX(Bank!$H:$H,B716)))</f>
        <v/>
      </c>
      <c r="I716" s="5" t="n">
        <f aca="false">IF(H716="",0,IFERROR(MATCH(H716,GL!$A:$A,0),0))</f>
        <v>0</v>
      </c>
      <c r="J716" s="32" t="str">
        <f aca="false">IF(I716=0,"",INDEX(GL!$B:$B,I716))</f>
        <v/>
      </c>
      <c r="K716" s="5" t="str">
        <f aca="false">IF(I716=0,"",IF(INDEX(GL!$C:$C,I716)="","",INDEX(GL!$C:$C,I716)))</f>
        <v/>
      </c>
      <c r="L716" s="19" t="str">
        <f aca="false">IF(I716=0,"",INDEX(GL!$E:$E,I716))</f>
        <v/>
      </c>
      <c r="M716" s="19" t="str">
        <f aca="false">IF(OR(B716=0,I716=0),"",ROUND(G716-L716,2))</f>
        <v/>
      </c>
      <c r="N716" s="5" t="str">
        <f aca="false">IF(A716="","",IF(B716=0,"NOT FOUND: bank ID",IF(I716=0,"NOT FOUND: GL ID",IF(INDEX(GL!$H:$H,I716)&lt;&gt;A716,"BROKEN: GL points elsewhere",IF(OR(INDEX(Bank!$F:$F,B716)&lt;&gt;"Y",INDEX(GL!$F:$F,I716)&lt;&gt;"Y"),"BROKEN: Status not Y","OK")))))</f>
        <v/>
      </c>
    </row>
    <row r="717" customFormat="false" ht="15" hidden="false" customHeight="false" outlineLevel="0" collapsed="false">
      <c r="A717" s="41"/>
      <c r="B717" s="5" t="n">
        <f aca="false">IF(A717="",0,IFERROR(MATCH(A717,Bank!$A:$A,0),0))</f>
        <v>0</v>
      </c>
      <c r="C717" s="5" t="str">
        <f aca="false">IF(B717=0,"",IF(INDEX(Bank!$G:$G,B717)="","",INDEX(Bank!$G:$G,B717)))</f>
        <v/>
      </c>
      <c r="D717" s="5" t="str">
        <f aca="false">IF(B717=0,"",IF(INDEX(Bank!$J:$J,B717)="","",INDEX(Bank!$J:$J,B717)))</f>
        <v/>
      </c>
      <c r="E717" s="32" t="str">
        <f aca="false">IF(B717=0,"",INDEX(Bank!$B:$B,B717))</f>
        <v/>
      </c>
      <c r="F717" s="5" t="str">
        <f aca="false">IF(B717=0,"",IF(INDEX(Bank!$C:$C,B717)="","",INDEX(Bank!$C:$C,B717)))</f>
        <v/>
      </c>
      <c r="G717" s="19" t="str">
        <f aca="false">IF(B717=0,"",INDEX(Bank!$E:$E,B717))</f>
        <v/>
      </c>
      <c r="H717" s="5" t="str">
        <f aca="false">IF(B717=0,"",IF(INDEX(Bank!$H:$H,B717)="","",INDEX(Bank!$H:$H,B717)))</f>
        <v/>
      </c>
      <c r="I717" s="5" t="n">
        <f aca="false">IF(H717="",0,IFERROR(MATCH(H717,GL!$A:$A,0),0))</f>
        <v>0</v>
      </c>
      <c r="J717" s="32" t="str">
        <f aca="false">IF(I717=0,"",INDEX(GL!$B:$B,I717))</f>
        <v/>
      </c>
      <c r="K717" s="5" t="str">
        <f aca="false">IF(I717=0,"",IF(INDEX(GL!$C:$C,I717)="","",INDEX(GL!$C:$C,I717)))</f>
        <v/>
      </c>
      <c r="L717" s="19" t="str">
        <f aca="false">IF(I717=0,"",INDEX(GL!$E:$E,I717))</f>
        <v/>
      </c>
      <c r="M717" s="19" t="str">
        <f aca="false">IF(OR(B717=0,I717=0),"",ROUND(G717-L717,2))</f>
        <v/>
      </c>
      <c r="N717" s="5" t="str">
        <f aca="false">IF(A717="","",IF(B717=0,"NOT FOUND: bank ID",IF(I717=0,"NOT FOUND: GL ID",IF(INDEX(GL!$H:$H,I717)&lt;&gt;A717,"BROKEN: GL points elsewhere",IF(OR(INDEX(Bank!$F:$F,B717)&lt;&gt;"Y",INDEX(GL!$F:$F,I717)&lt;&gt;"Y"),"BROKEN: Status not Y","OK")))))</f>
        <v/>
      </c>
    </row>
    <row r="718" customFormat="false" ht="15" hidden="false" customHeight="false" outlineLevel="0" collapsed="false">
      <c r="A718" s="41"/>
      <c r="B718" s="5" t="n">
        <f aca="false">IF(A718="",0,IFERROR(MATCH(A718,Bank!$A:$A,0),0))</f>
        <v>0</v>
      </c>
      <c r="C718" s="5" t="str">
        <f aca="false">IF(B718=0,"",IF(INDEX(Bank!$G:$G,B718)="","",INDEX(Bank!$G:$G,B718)))</f>
        <v/>
      </c>
      <c r="D718" s="5" t="str">
        <f aca="false">IF(B718=0,"",IF(INDEX(Bank!$J:$J,B718)="","",INDEX(Bank!$J:$J,B718)))</f>
        <v/>
      </c>
      <c r="E718" s="32" t="str">
        <f aca="false">IF(B718=0,"",INDEX(Bank!$B:$B,B718))</f>
        <v/>
      </c>
      <c r="F718" s="5" t="str">
        <f aca="false">IF(B718=0,"",IF(INDEX(Bank!$C:$C,B718)="","",INDEX(Bank!$C:$C,B718)))</f>
        <v/>
      </c>
      <c r="G718" s="19" t="str">
        <f aca="false">IF(B718=0,"",INDEX(Bank!$E:$E,B718))</f>
        <v/>
      </c>
      <c r="H718" s="5" t="str">
        <f aca="false">IF(B718=0,"",IF(INDEX(Bank!$H:$H,B718)="","",INDEX(Bank!$H:$H,B718)))</f>
        <v/>
      </c>
      <c r="I718" s="5" t="n">
        <f aca="false">IF(H718="",0,IFERROR(MATCH(H718,GL!$A:$A,0),0))</f>
        <v>0</v>
      </c>
      <c r="J718" s="32" t="str">
        <f aca="false">IF(I718=0,"",INDEX(GL!$B:$B,I718))</f>
        <v/>
      </c>
      <c r="K718" s="5" t="str">
        <f aca="false">IF(I718=0,"",IF(INDEX(GL!$C:$C,I718)="","",INDEX(GL!$C:$C,I718)))</f>
        <v/>
      </c>
      <c r="L718" s="19" t="str">
        <f aca="false">IF(I718=0,"",INDEX(GL!$E:$E,I718))</f>
        <v/>
      </c>
      <c r="M718" s="19" t="str">
        <f aca="false">IF(OR(B718=0,I718=0),"",ROUND(G718-L718,2))</f>
        <v/>
      </c>
      <c r="N718" s="5" t="str">
        <f aca="false">IF(A718="","",IF(B718=0,"NOT FOUND: bank ID",IF(I718=0,"NOT FOUND: GL ID",IF(INDEX(GL!$H:$H,I718)&lt;&gt;A718,"BROKEN: GL points elsewhere",IF(OR(INDEX(Bank!$F:$F,B718)&lt;&gt;"Y",INDEX(GL!$F:$F,I718)&lt;&gt;"Y"),"BROKEN: Status not Y","OK")))))</f>
        <v/>
      </c>
    </row>
    <row r="719" customFormat="false" ht="15" hidden="false" customHeight="false" outlineLevel="0" collapsed="false">
      <c r="A719" s="41"/>
      <c r="B719" s="5" t="n">
        <f aca="false">IF(A719="",0,IFERROR(MATCH(A719,Bank!$A:$A,0),0))</f>
        <v>0</v>
      </c>
      <c r="C719" s="5" t="str">
        <f aca="false">IF(B719=0,"",IF(INDEX(Bank!$G:$G,B719)="","",INDEX(Bank!$G:$G,B719)))</f>
        <v/>
      </c>
      <c r="D719" s="5" t="str">
        <f aca="false">IF(B719=0,"",IF(INDEX(Bank!$J:$J,B719)="","",INDEX(Bank!$J:$J,B719)))</f>
        <v/>
      </c>
      <c r="E719" s="32" t="str">
        <f aca="false">IF(B719=0,"",INDEX(Bank!$B:$B,B719))</f>
        <v/>
      </c>
      <c r="F719" s="5" t="str">
        <f aca="false">IF(B719=0,"",IF(INDEX(Bank!$C:$C,B719)="","",INDEX(Bank!$C:$C,B719)))</f>
        <v/>
      </c>
      <c r="G719" s="19" t="str">
        <f aca="false">IF(B719=0,"",INDEX(Bank!$E:$E,B719))</f>
        <v/>
      </c>
      <c r="H719" s="5" t="str">
        <f aca="false">IF(B719=0,"",IF(INDEX(Bank!$H:$H,B719)="","",INDEX(Bank!$H:$H,B719)))</f>
        <v/>
      </c>
      <c r="I719" s="5" t="n">
        <f aca="false">IF(H719="",0,IFERROR(MATCH(H719,GL!$A:$A,0),0))</f>
        <v>0</v>
      </c>
      <c r="J719" s="32" t="str">
        <f aca="false">IF(I719=0,"",INDEX(GL!$B:$B,I719))</f>
        <v/>
      </c>
      <c r="K719" s="5" t="str">
        <f aca="false">IF(I719=0,"",IF(INDEX(GL!$C:$C,I719)="","",INDEX(GL!$C:$C,I719)))</f>
        <v/>
      </c>
      <c r="L719" s="19" t="str">
        <f aca="false">IF(I719=0,"",INDEX(GL!$E:$E,I719))</f>
        <v/>
      </c>
      <c r="M719" s="19" t="str">
        <f aca="false">IF(OR(B719=0,I719=0),"",ROUND(G719-L719,2))</f>
        <v/>
      </c>
      <c r="N719" s="5" t="str">
        <f aca="false">IF(A719="","",IF(B719=0,"NOT FOUND: bank ID",IF(I719=0,"NOT FOUND: GL ID",IF(INDEX(GL!$H:$H,I719)&lt;&gt;A719,"BROKEN: GL points elsewhere",IF(OR(INDEX(Bank!$F:$F,B719)&lt;&gt;"Y",INDEX(GL!$F:$F,I719)&lt;&gt;"Y"),"BROKEN: Status not Y","OK")))))</f>
        <v/>
      </c>
    </row>
    <row r="720" customFormat="false" ht="15" hidden="false" customHeight="false" outlineLevel="0" collapsed="false">
      <c r="A720" s="41"/>
      <c r="B720" s="5" t="n">
        <f aca="false">IF(A720="",0,IFERROR(MATCH(A720,Bank!$A:$A,0),0))</f>
        <v>0</v>
      </c>
      <c r="C720" s="5" t="str">
        <f aca="false">IF(B720=0,"",IF(INDEX(Bank!$G:$G,B720)="","",INDEX(Bank!$G:$G,B720)))</f>
        <v/>
      </c>
      <c r="D720" s="5" t="str">
        <f aca="false">IF(B720=0,"",IF(INDEX(Bank!$J:$J,B720)="","",INDEX(Bank!$J:$J,B720)))</f>
        <v/>
      </c>
      <c r="E720" s="32" t="str">
        <f aca="false">IF(B720=0,"",INDEX(Bank!$B:$B,B720))</f>
        <v/>
      </c>
      <c r="F720" s="5" t="str">
        <f aca="false">IF(B720=0,"",IF(INDEX(Bank!$C:$C,B720)="","",INDEX(Bank!$C:$C,B720)))</f>
        <v/>
      </c>
      <c r="G720" s="19" t="str">
        <f aca="false">IF(B720=0,"",INDEX(Bank!$E:$E,B720))</f>
        <v/>
      </c>
      <c r="H720" s="5" t="str">
        <f aca="false">IF(B720=0,"",IF(INDEX(Bank!$H:$H,B720)="","",INDEX(Bank!$H:$H,B720)))</f>
        <v/>
      </c>
      <c r="I720" s="5" t="n">
        <f aca="false">IF(H720="",0,IFERROR(MATCH(H720,GL!$A:$A,0),0))</f>
        <v>0</v>
      </c>
      <c r="J720" s="32" t="str">
        <f aca="false">IF(I720=0,"",INDEX(GL!$B:$B,I720))</f>
        <v/>
      </c>
      <c r="K720" s="5" t="str">
        <f aca="false">IF(I720=0,"",IF(INDEX(GL!$C:$C,I720)="","",INDEX(GL!$C:$C,I720)))</f>
        <v/>
      </c>
      <c r="L720" s="19" t="str">
        <f aca="false">IF(I720=0,"",INDEX(GL!$E:$E,I720))</f>
        <v/>
      </c>
      <c r="M720" s="19" t="str">
        <f aca="false">IF(OR(B720=0,I720=0),"",ROUND(G720-L720,2))</f>
        <v/>
      </c>
      <c r="N720" s="5" t="str">
        <f aca="false">IF(A720="","",IF(B720=0,"NOT FOUND: bank ID",IF(I720=0,"NOT FOUND: GL ID",IF(INDEX(GL!$H:$H,I720)&lt;&gt;A720,"BROKEN: GL points elsewhere",IF(OR(INDEX(Bank!$F:$F,B720)&lt;&gt;"Y",INDEX(GL!$F:$F,I720)&lt;&gt;"Y"),"BROKEN: Status not Y","OK")))))</f>
        <v/>
      </c>
    </row>
    <row r="721" customFormat="false" ht="15" hidden="false" customHeight="false" outlineLevel="0" collapsed="false">
      <c r="A721" s="41"/>
      <c r="B721" s="5" t="n">
        <f aca="false">IF(A721="",0,IFERROR(MATCH(A721,Bank!$A:$A,0),0))</f>
        <v>0</v>
      </c>
      <c r="C721" s="5" t="str">
        <f aca="false">IF(B721=0,"",IF(INDEX(Bank!$G:$G,B721)="","",INDEX(Bank!$G:$G,B721)))</f>
        <v/>
      </c>
      <c r="D721" s="5" t="str">
        <f aca="false">IF(B721=0,"",IF(INDEX(Bank!$J:$J,B721)="","",INDEX(Bank!$J:$J,B721)))</f>
        <v/>
      </c>
      <c r="E721" s="32" t="str">
        <f aca="false">IF(B721=0,"",INDEX(Bank!$B:$B,B721))</f>
        <v/>
      </c>
      <c r="F721" s="5" t="str">
        <f aca="false">IF(B721=0,"",IF(INDEX(Bank!$C:$C,B721)="","",INDEX(Bank!$C:$C,B721)))</f>
        <v/>
      </c>
      <c r="G721" s="19" t="str">
        <f aca="false">IF(B721=0,"",INDEX(Bank!$E:$E,B721))</f>
        <v/>
      </c>
      <c r="H721" s="5" t="str">
        <f aca="false">IF(B721=0,"",IF(INDEX(Bank!$H:$H,B721)="","",INDEX(Bank!$H:$H,B721)))</f>
        <v/>
      </c>
      <c r="I721" s="5" t="n">
        <f aca="false">IF(H721="",0,IFERROR(MATCH(H721,GL!$A:$A,0),0))</f>
        <v>0</v>
      </c>
      <c r="J721" s="32" t="str">
        <f aca="false">IF(I721=0,"",INDEX(GL!$B:$B,I721))</f>
        <v/>
      </c>
      <c r="K721" s="5" t="str">
        <f aca="false">IF(I721=0,"",IF(INDEX(GL!$C:$C,I721)="","",INDEX(GL!$C:$C,I721)))</f>
        <v/>
      </c>
      <c r="L721" s="19" t="str">
        <f aca="false">IF(I721=0,"",INDEX(GL!$E:$E,I721))</f>
        <v/>
      </c>
      <c r="M721" s="19" t="str">
        <f aca="false">IF(OR(B721=0,I721=0),"",ROUND(G721-L721,2))</f>
        <v/>
      </c>
      <c r="N721" s="5" t="str">
        <f aca="false">IF(A721="","",IF(B721=0,"NOT FOUND: bank ID",IF(I721=0,"NOT FOUND: GL ID",IF(INDEX(GL!$H:$H,I721)&lt;&gt;A721,"BROKEN: GL points elsewhere",IF(OR(INDEX(Bank!$F:$F,B721)&lt;&gt;"Y",INDEX(GL!$F:$F,I721)&lt;&gt;"Y"),"BROKEN: Status not Y","OK")))))</f>
        <v/>
      </c>
    </row>
    <row r="722" customFormat="false" ht="15" hidden="false" customHeight="false" outlineLevel="0" collapsed="false">
      <c r="A722" s="41"/>
      <c r="B722" s="5" t="n">
        <f aca="false">IF(A722="",0,IFERROR(MATCH(A722,Bank!$A:$A,0),0))</f>
        <v>0</v>
      </c>
      <c r="C722" s="5" t="str">
        <f aca="false">IF(B722=0,"",IF(INDEX(Bank!$G:$G,B722)="","",INDEX(Bank!$G:$G,B722)))</f>
        <v/>
      </c>
      <c r="D722" s="5" t="str">
        <f aca="false">IF(B722=0,"",IF(INDEX(Bank!$J:$J,B722)="","",INDEX(Bank!$J:$J,B722)))</f>
        <v/>
      </c>
      <c r="E722" s="32" t="str">
        <f aca="false">IF(B722=0,"",INDEX(Bank!$B:$B,B722))</f>
        <v/>
      </c>
      <c r="F722" s="5" t="str">
        <f aca="false">IF(B722=0,"",IF(INDEX(Bank!$C:$C,B722)="","",INDEX(Bank!$C:$C,B722)))</f>
        <v/>
      </c>
      <c r="G722" s="19" t="str">
        <f aca="false">IF(B722=0,"",INDEX(Bank!$E:$E,B722))</f>
        <v/>
      </c>
      <c r="H722" s="5" t="str">
        <f aca="false">IF(B722=0,"",IF(INDEX(Bank!$H:$H,B722)="","",INDEX(Bank!$H:$H,B722)))</f>
        <v/>
      </c>
      <c r="I722" s="5" t="n">
        <f aca="false">IF(H722="",0,IFERROR(MATCH(H722,GL!$A:$A,0),0))</f>
        <v>0</v>
      </c>
      <c r="J722" s="32" t="str">
        <f aca="false">IF(I722=0,"",INDEX(GL!$B:$B,I722))</f>
        <v/>
      </c>
      <c r="K722" s="5" t="str">
        <f aca="false">IF(I722=0,"",IF(INDEX(GL!$C:$C,I722)="","",INDEX(GL!$C:$C,I722)))</f>
        <v/>
      </c>
      <c r="L722" s="19" t="str">
        <f aca="false">IF(I722=0,"",INDEX(GL!$E:$E,I722))</f>
        <v/>
      </c>
      <c r="M722" s="19" t="str">
        <f aca="false">IF(OR(B722=0,I722=0),"",ROUND(G722-L722,2))</f>
        <v/>
      </c>
      <c r="N722" s="5" t="str">
        <f aca="false">IF(A722="","",IF(B722=0,"NOT FOUND: bank ID",IF(I722=0,"NOT FOUND: GL ID",IF(INDEX(GL!$H:$H,I722)&lt;&gt;A722,"BROKEN: GL points elsewhere",IF(OR(INDEX(Bank!$F:$F,B722)&lt;&gt;"Y",INDEX(GL!$F:$F,I722)&lt;&gt;"Y"),"BROKEN: Status not Y","OK")))))</f>
        <v/>
      </c>
    </row>
    <row r="723" customFormat="false" ht="15" hidden="false" customHeight="false" outlineLevel="0" collapsed="false">
      <c r="A723" s="41"/>
      <c r="B723" s="5" t="n">
        <f aca="false">IF(A723="",0,IFERROR(MATCH(A723,Bank!$A:$A,0),0))</f>
        <v>0</v>
      </c>
      <c r="C723" s="5" t="str">
        <f aca="false">IF(B723=0,"",IF(INDEX(Bank!$G:$G,B723)="","",INDEX(Bank!$G:$G,B723)))</f>
        <v/>
      </c>
      <c r="D723" s="5" t="str">
        <f aca="false">IF(B723=0,"",IF(INDEX(Bank!$J:$J,B723)="","",INDEX(Bank!$J:$J,B723)))</f>
        <v/>
      </c>
      <c r="E723" s="32" t="str">
        <f aca="false">IF(B723=0,"",INDEX(Bank!$B:$B,B723))</f>
        <v/>
      </c>
      <c r="F723" s="5" t="str">
        <f aca="false">IF(B723=0,"",IF(INDEX(Bank!$C:$C,B723)="","",INDEX(Bank!$C:$C,B723)))</f>
        <v/>
      </c>
      <c r="G723" s="19" t="str">
        <f aca="false">IF(B723=0,"",INDEX(Bank!$E:$E,B723))</f>
        <v/>
      </c>
      <c r="H723" s="5" t="str">
        <f aca="false">IF(B723=0,"",IF(INDEX(Bank!$H:$H,B723)="","",INDEX(Bank!$H:$H,B723)))</f>
        <v/>
      </c>
      <c r="I723" s="5" t="n">
        <f aca="false">IF(H723="",0,IFERROR(MATCH(H723,GL!$A:$A,0),0))</f>
        <v>0</v>
      </c>
      <c r="J723" s="32" t="str">
        <f aca="false">IF(I723=0,"",INDEX(GL!$B:$B,I723))</f>
        <v/>
      </c>
      <c r="K723" s="5" t="str">
        <f aca="false">IF(I723=0,"",IF(INDEX(GL!$C:$C,I723)="","",INDEX(GL!$C:$C,I723)))</f>
        <v/>
      </c>
      <c r="L723" s="19" t="str">
        <f aca="false">IF(I723=0,"",INDEX(GL!$E:$E,I723))</f>
        <v/>
      </c>
      <c r="M723" s="19" t="str">
        <f aca="false">IF(OR(B723=0,I723=0),"",ROUND(G723-L723,2))</f>
        <v/>
      </c>
      <c r="N723" s="5" t="str">
        <f aca="false">IF(A723="","",IF(B723=0,"NOT FOUND: bank ID",IF(I723=0,"NOT FOUND: GL ID",IF(INDEX(GL!$H:$H,I723)&lt;&gt;A723,"BROKEN: GL points elsewhere",IF(OR(INDEX(Bank!$F:$F,B723)&lt;&gt;"Y",INDEX(GL!$F:$F,I723)&lt;&gt;"Y"),"BROKEN: Status not Y","OK")))))</f>
        <v/>
      </c>
    </row>
    <row r="724" customFormat="false" ht="15" hidden="false" customHeight="false" outlineLevel="0" collapsed="false">
      <c r="A724" s="41"/>
      <c r="B724" s="5" t="n">
        <f aca="false">IF(A724="",0,IFERROR(MATCH(A724,Bank!$A:$A,0),0))</f>
        <v>0</v>
      </c>
      <c r="C724" s="5" t="str">
        <f aca="false">IF(B724=0,"",IF(INDEX(Bank!$G:$G,B724)="","",INDEX(Bank!$G:$G,B724)))</f>
        <v/>
      </c>
      <c r="D724" s="5" t="str">
        <f aca="false">IF(B724=0,"",IF(INDEX(Bank!$J:$J,B724)="","",INDEX(Bank!$J:$J,B724)))</f>
        <v/>
      </c>
      <c r="E724" s="32" t="str">
        <f aca="false">IF(B724=0,"",INDEX(Bank!$B:$B,B724))</f>
        <v/>
      </c>
      <c r="F724" s="5" t="str">
        <f aca="false">IF(B724=0,"",IF(INDEX(Bank!$C:$C,B724)="","",INDEX(Bank!$C:$C,B724)))</f>
        <v/>
      </c>
      <c r="G724" s="19" t="str">
        <f aca="false">IF(B724=0,"",INDEX(Bank!$E:$E,B724))</f>
        <v/>
      </c>
      <c r="H724" s="5" t="str">
        <f aca="false">IF(B724=0,"",IF(INDEX(Bank!$H:$H,B724)="","",INDEX(Bank!$H:$H,B724)))</f>
        <v/>
      </c>
      <c r="I724" s="5" t="n">
        <f aca="false">IF(H724="",0,IFERROR(MATCH(H724,GL!$A:$A,0),0))</f>
        <v>0</v>
      </c>
      <c r="J724" s="32" t="str">
        <f aca="false">IF(I724=0,"",INDEX(GL!$B:$B,I724))</f>
        <v/>
      </c>
      <c r="K724" s="5" t="str">
        <f aca="false">IF(I724=0,"",IF(INDEX(GL!$C:$C,I724)="","",INDEX(GL!$C:$C,I724)))</f>
        <v/>
      </c>
      <c r="L724" s="19" t="str">
        <f aca="false">IF(I724=0,"",INDEX(GL!$E:$E,I724))</f>
        <v/>
      </c>
      <c r="M724" s="19" t="str">
        <f aca="false">IF(OR(B724=0,I724=0),"",ROUND(G724-L724,2))</f>
        <v/>
      </c>
      <c r="N724" s="5" t="str">
        <f aca="false">IF(A724="","",IF(B724=0,"NOT FOUND: bank ID",IF(I724=0,"NOT FOUND: GL ID",IF(INDEX(GL!$H:$H,I724)&lt;&gt;A724,"BROKEN: GL points elsewhere",IF(OR(INDEX(Bank!$F:$F,B724)&lt;&gt;"Y",INDEX(GL!$F:$F,I724)&lt;&gt;"Y"),"BROKEN: Status not Y","OK")))))</f>
        <v/>
      </c>
    </row>
    <row r="725" customFormat="false" ht="15" hidden="false" customHeight="false" outlineLevel="0" collapsed="false">
      <c r="A725" s="41"/>
      <c r="B725" s="5" t="n">
        <f aca="false">IF(A725="",0,IFERROR(MATCH(A725,Bank!$A:$A,0),0))</f>
        <v>0</v>
      </c>
      <c r="C725" s="5" t="str">
        <f aca="false">IF(B725=0,"",IF(INDEX(Bank!$G:$G,B725)="","",INDEX(Bank!$G:$G,B725)))</f>
        <v/>
      </c>
      <c r="D725" s="5" t="str">
        <f aca="false">IF(B725=0,"",IF(INDEX(Bank!$J:$J,B725)="","",INDEX(Bank!$J:$J,B725)))</f>
        <v/>
      </c>
      <c r="E725" s="32" t="str">
        <f aca="false">IF(B725=0,"",INDEX(Bank!$B:$B,B725))</f>
        <v/>
      </c>
      <c r="F725" s="5" t="str">
        <f aca="false">IF(B725=0,"",IF(INDEX(Bank!$C:$C,B725)="","",INDEX(Bank!$C:$C,B725)))</f>
        <v/>
      </c>
      <c r="G725" s="19" t="str">
        <f aca="false">IF(B725=0,"",INDEX(Bank!$E:$E,B725))</f>
        <v/>
      </c>
      <c r="H725" s="5" t="str">
        <f aca="false">IF(B725=0,"",IF(INDEX(Bank!$H:$H,B725)="","",INDEX(Bank!$H:$H,B725)))</f>
        <v/>
      </c>
      <c r="I725" s="5" t="n">
        <f aca="false">IF(H725="",0,IFERROR(MATCH(H725,GL!$A:$A,0),0))</f>
        <v>0</v>
      </c>
      <c r="J725" s="32" t="str">
        <f aca="false">IF(I725=0,"",INDEX(GL!$B:$B,I725))</f>
        <v/>
      </c>
      <c r="K725" s="5" t="str">
        <f aca="false">IF(I725=0,"",IF(INDEX(GL!$C:$C,I725)="","",INDEX(GL!$C:$C,I725)))</f>
        <v/>
      </c>
      <c r="L725" s="19" t="str">
        <f aca="false">IF(I725=0,"",INDEX(GL!$E:$E,I725))</f>
        <v/>
      </c>
      <c r="M725" s="19" t="str">
        <f aca="false">IF(OR(B725=0,I725=0),"",ROUND(G725-L725,2))</f>
        <v/>
      </c>
      <c r="N725" s="5" t="str">
        <f aca="false">IF(A725="","",IF(B725=0,"NOT FOUND: bank ID",IF(I725=0,"NOT FOUND: GL ID",IF(INDEX(GL!$H:$H,I725)&lt;&gt;A725,"BROKEN: GL points elsewhere",IF(OR(INDEX(Bank!$F:$F,B725)&lt;&gt;"Y",INDEX(GL!$F:$F,I725)&lt;&gt;"Y"),"BROKEN: Status not Y","OK")))))</f>
        <v/>
      </c>
    </row>
    <row r="726" customFormat="false" ht="15" hidden="false" customHeight="false" outlineLevel="0" collapsed="false">
      <c r="A726" s="41"/>
      <c r="B726" s="5" t="n">
        <f aca="false">IF(A726="",0,IFERROR(MATCH(A726,Bank!$A:$A,0),0))</f>
        <v>0</v>
      </c>
      <c r="C726" s="5" t="str">
        <f aca="false">IF(B726=0,"",IF(INDEX(Bank!$G:$G,B726)="","",INDEX(Bank!$G:$G,B726)))</f>
        <v/>
      </c>
      <c r="D726" s="5" t="str">
        <f aca="false">IF(B726=0,"",IF(INDEX(Bank!$J:$J,B726)="","",INDEX(Bank!$J:$J,B726)))</f>
        <v/>
      </c>
      <c r="E726" s="32" t="str">
        <f aca="false">IF(B726=0,"",INDEX(Bank!$B:$B,B726))</f>
        <v/>
      </c>
      <c r="F726" s="5" t="str">
        <f aca="false">IF(B726=0,"",IF(INDEX(Bank!$C:$C,B726)="","",INDEX(Bank!$C:$C,B726)))</f>
        <v/>
      </c>
      <c r="G726" s="19" t="str">
        <f aca="false">IF(B726=0,"",INDEX(Bank!$E:$E,B726))</f>
        <v/>
      </c>
      <c r="H726" s="5" t="str">
        <f aca="false">IF(B726=0,"",IF(INDEX(Bank!$H:$H,B726)="","",INDEX(Bank!$H:$H,B726)))</f>
        <v/>
      </c>
      <c r="I726" s="5" t="n">
        <f aca="false">IF(H726="",0,IFERROR(MATCH(H726,GL!$A:$A,0),0))</f>
        <v>0</v>
      </c>
      <c r="J726" s="32" t="str">
        <f aca="false">IF(I726=0,"",INDEX(GL!$B:$B,I726))</f>
        <v/>
      </c>
      <c r="K726" s="5" t="str">
        <f aca="false">IF(I726=0,"",IF(INDEX(GL!$C:$C,I726)="","",INDEX(GL!$C:$C,I726)))</f>
        <v/>
      </c>
      <c r="L726" s="19" t="str">
        <f aca="false">IF(I726=0,"",INDEX(GL!$E:$E,I726))</f>
        <v/>
      </c>
      <c r="M726" s="19" t="str">
        <f aca="false">IF(OR(B726=0,I726=0),"",ROUND(G726-L726,2))</f>
        <v/>
      </c>
      <c r="N726" s="5" t="str">
        <f aca="false">IF(A726="","",IF(B726=0,"NOT FOUND: bank ID",IF(I726=0,"NOT FOUND: GL ID",IF(INDEX(GL!$H:$H,I726)&lt;&gt;A726,"BROKEN: GL points elsewhere",IF(OR(INDEX(Bank!$F:$F,B726)&lt;&gt;"Y",INDEX(GL!$F:$F,I726)&lt;&gt;"Y"),"BROKEN: Status not Y","OK")))))</f>
        <v/>
      </c>
    </row>
    <row r="727" customFormat="false" ht="15" hidden="false" customHeight="false" outlineLevel="0" collapsed="false">
      <c r="A727" s="41"/>
      <c r="B727" s="5" t="n">
        <f aca="false">IF(A727="",0,IFERROR(MATCH(A727,Bank!$A:$A,0),0))</f>
        <v>0</v>
      </c>
      <c r="C727" s="5" t="str">
        <f aca="false">IF(B727=0,"",IF(INDEX(Bank!$G:$G,B727)="","",INDEX(Bank!$G:$G,B727)))</f>
        <v/>
      </c>
      <c r="D727" s="5" t="str">
        <f aca="false">IF(B727=0,"",IF(INDEX(Bank!$J:$J,B727)="","",INDEX(Bank!$J:$J,B727)))</f>
        <v/>
      </c>
      <c r="E727" s="32" t="str">
        <f aca="false">IF(B727=0,"",INDEX(Bank!$B:$B,B727))</f>
        <v/>
      </c>
      <c r="F727" s="5" t="str">
        <f aca="false">IF(B727=0,"",IF(INDEX(Bank!$C:$C,B727)="","",INDEX(Bank!$C:$C,B727)))</f>
        <v/>
      </c>
      <c r="G727" s="19" t="str">
        <f aca="false">IF(B727=0,"",INDEX(Bank!$E:$E,B727))</f>
        <v/>
      </c>
      <c r="H727" s="5" t="str">
        <f aca="false">IF(B727=0,"",IF(INDEX(Bank!$H:$H,B727)="","",INDEX(Bank!$H:$H,B727)))</f>
        <v/>
      </c>
      <c r="I727" s="5" t="n">
        <f aca="false">IF(H727="",0,IFERROR(MATCH(H727,GL!$A:$A,0),0))</f>
        <v>0</v>
      </c>
      <c r="J727" s="32" t="str">
        <f aca="false">IF(I727=0,"",INDEX(GL!$B:$B,I727))</f>
        <v/>
      </c>
      <c r="K727" s="5" t="str">
        <f aca="false">IF(I727=0,"",IF(INDEX(GL!$C:$C,I727)="","",INDEX(GL!$C:$C,I727)))</f>
        <v/>
      </c>
      <c r="L727" s="19" t="str">
        <f aca="false">IF(I727=0,"",INDEX(GL!$E:$E,I727))</f>
        <v/>
      </c>
      <c r="M727" s="19" t="str">
        <f aca="false">IF(OR(B727=0,I727=0),"",ROUND(G727-L727,2))</f>
        <v/>
      </c>
      <c r="N727" s="5" t="str">
        <f aca="false">IF(A727="","",IF(B727=0,"NOT FOUND: bank ID",IF(I727=0,"NOT FOUND: GL ID",IF(INDEX(GL!$H:$H,I727)&lt;&gt;A727,"BROKEN: GL points elsewhere",IF(OR(INDEX(Bank!$F:$F,B727)&lt;&gt;"Y",INDEX(GL!$F:$F,I727)&lt;&gt;"Y"),"BROKEN: Status not Y","OK")))))</f>
        <v/>
      </c>
    </row>
    <row r="728" customFormat="false" ht="15" hidden="false" customHeight="false" outlineLevel="0" collapsed="false">
      <c r="A728" s="41"/>
      <c r="B728" s="5" t="n">
        <f aca="false">IF(A728="",0,IFERROR(MATCH(A728,Bank!$A:$A,0),0))</f>
        <v>0</v>
      </c>
      <c r="C728" s="5" t="str">
        <f aca="false">IF(B728=0,"",IF(INDEX(Bank!$G:$G,B728)="","",INDEX(Bank!$G:$G,B728)))</f>
        <v/>
      </c>
      <c r="D728" s="5" t="str">
        <f aca="false">IF(B728=0,"",IF(INDEX(Bank!$J:$J,B728)="","",INDEX(Bank!$J:$J,B728)))</f>
        <v/>
      </c>
      <c r="E728" s="32" t="str">
        <f aca="false">IF(B728=0,"",INDEX(Bank!$B:$B,B728))</f>
        <v/>
      </c>
      <c r="F728" s="5" t="str">
        <f aca="false">IF(B728=0,"",IF(INDEX(Bank!$C:$C,B728)="","",INDEX(Bank!$C:$C,B728)))</f>
        <v/>
      </c>
      <c r="G728" s="19" t="str">
        <f aca="false">IF(B728=0,"",INDEX(Bank!$E:$E,B728))</f>
        <v/>
      </c>
      <c r="H728" s="5" t="str">
        <f aca="false">IF(B728=0,"",IF(INDEX(Bank!$H:$H,B728)="","",INDEX(Bank!$H:$H,B728)))</f>
        <v/>
      </c>
      <c r="I728" s="5" t="n">
        <f aca="false">IF(H728="",0,IFERROR(MATCH(H728,GL!$A:$A,0),0))</f>
        <v>0</v>
      </c>
      <c r="J728" s="32" t="str">
        <f aca="false">IF(I728=0,"",INDEX(GL!$B:$B,I728))</f>
        <v/>
      </c>
      <c r="K728" s="5" t="str">
        <f aca="false">IF(I728=0,"",IF(INDEX(GL!$C:$C,I728)="","",INDEX(GL!$C:$C,I728)))</f>
        <v/>
      </c>
      <c r="L728" s="19" t="str">
        <f aca="false">IF(I728=0,"",INDEX(GL!$E:$E,I728))</f>
        <v/>
      </c>
      <c r="M728" s="19" t="str">
        <f aca="false">IF(OR(B728=0,I728=0),"",ROUND(G728-L728,2))</f>
        <v/>
      </c>
      <c r="N728" s="5" t="str">
        <f aca="false">IF(A728="","",IF(B728=0,"NOT FOUND: bank ID",IF(I728=0,"NOT FOUND: GL ID",IF(INDEX(GL!$H:$H,I728)&lt;&gt;A728,"BROKEN: GL points elsewhere",IF(OR(INDEX(Bank!$F:$F,B728)&lt;&gt;"Y",INDEX(GL!$F:$F,I728)&lt;&gt;"Y"),"BROKEN: Status not Y","OK")))))</f>
        <v/>
      </c>
    </row>
    <row r="729" customFormat="false" ht="15" hidden="false" customHeight="false" outlineLevel="0" collapsed="false">
      <c r="A729" s="41"/>
      <c r="B729" s="5" t="n">
        <f aca="false">IF(A729="",0,IFERROR(MATCH(A729,Bank!$A:$A,0),0))</f>
        <v>0</v>
      </c>
      <c r="C729" s="5" t="str">
        <f aca="false">IF(B729=0,"",IF(INDEX(Bank!$G:$G,B729)="","",INDEX(Bank!$G:$G,B729)))</f>
        <v/>
      </c>
      <c r="D729" s="5" t="str">
        <f aca="false">IF(B729=0,"",IF(INDEX(Bank!$J:$J,B729)="","",INDEX(Bank!$J:$J,B729)))</f>
        <v/>
      </c>
      <c r="E729" s="32" t="str">
        <f aca="false">IF(B729=0,"",INDEX(Bank!$B:$B,B729))</f>
        <v/>
      </c>
      <c r="F729" s="5" t="str">
        <f aca="false">IF(B729=0,"",IF(INDEX(Bank!$C:$C,B729)="","",INDEX(Bank!$C:$C,B729)))</f>
        <v/>
      </c>
      <c r="G729" s="19" t="str">
        <f aca="false">IF(B729=0,"",INDEX(Bank!$E:$E,B729))</f>
        <v/>
      </c>
      <c r="H729" s="5" t="str">
        <f aca="false">IF(B729=0,"",IF(INDEX(Bank!$H:$H,B729)="","",INDEX(Bank!$H:$H,B729)))</f>
        <v/>
      </c>
      <c r="I729" s="5" t="n">
        <f aca="false">IF(H729="",0,IFERROR(MATCH(H729,GL!$A:$A,0),0))</f>
        <v>0</v>
      </c>
      <c r="J729" s="32" t="str">
        <f aca="false">IF(I729=0,"",INDEX(GL!$B:$B,I729))</f>
        <v/>
      </c>
      <c r="K729" s="5" t="str">
        <f aca="false">IF(I729=0,"",IF(INDEX(GL!$C:$C,I729)="","",INDEX(GL!$C:$C,I729)))</f>
        <v/>
      </c>
      <c r="L729" s="19" t="str">
        <f aca="false">IF(I729=0,"",INDEX(GL!$E:$E,I729))</f>
        <v/>
      </c>
      <c r="M729" s="19" t="str">
        <f aca="false">IF(OR(B729=0,I729=0),"",ROUND(G729-L729,2))</f>
        <v/>
      </c>
      <c r="N729" s="5" t="str">
        <f aca="false">IF(A729="","",IF(B729=0,"NOT FOUND: bank ID",IF(I729=0,"NOT FOUND: GL ID",IF(INDEX(GL!$H:$H,I729)&lt;&gt;A729,"BROKEN: GL points elsewhere",IF(OR(INDEX(Bank!$F:$F,B729)&lt;&gt;"Y",INDEX(GL!$F:$F,I729)&lt;&gt;"Y"),"BROKEN: Status not Y","OK")))))</f>
        <v/>
      </c>
    </row>
    <row r="730" customFormat="false" ht="15" hidden="false" customHeight="false" outlineLevel="0" collapsed="false">
      <c r="A730" s="41"/>
      <c r="B730" s="5" t="n">
        <f aca="false">IF(A730="",0,IFERROR(MATCH(A730,Bank!$A:$A,0),0))</f>
        <v>0</v>
      </c>
      <c r="C730" s="5" t="str">
        <f aca="false">IF(B730=0,"",IF(INDEX(Bank!$G:$G,B730)="","",INDEX(Bank!$G:$G,B730)))</f>
        <v/>
      </c>
      <c r="D730" s="5" t="str">
        <f aca="false">IF(B730=0,"",IF(INDEX(Bank!$J:$J,B730)="","",INDEX(Bank!$J:$J,B730)))</f>
        <v/>
      </c>
      <c r="E730" s="32" t="str">
        <f aca="false">IF(B730=0,"",INDEX(Bank!$B:$B,B730))</f>
        <v/>
      </c>
      <c r="F730" s="5" t="str">
        <f aca="false">IF(B730=0,"",IF(INDEX(Bank!$C:$C,B730)="","",INDEX(Bank!$C:$C,B730)))</f>
        <v/>
      </c>
      <c r="G730" s="19" t="str">
        <f aca="false">IF(B730=0,"",INDEX(Bank!$E:$E,B730))</f>
        <v/>
      </c>
      <c r="H730" s="5" t="str">
        <f aca="false">IF(B730=0,"",IF(INDEX(Bank!$H:$H,B730)="","",INDEX(Bank!$H:$H,B730)))</f>
        <v/>
      </c>
      <c r="I730" s="5" t="n">
        <f aca="false">IF(H730="",0,IFERROR(MATCH(H730,GL!$A:$A,0),0))</f>
        <v>0</v>
      </c>
      <c r="J730" s="32" t="str">
        <f aca="false">IF(I730=0,"",INDEX(GL!$B:$B,I730))</f>
        <v/>
      </c>
      <c r="K730" s="5" t="str">
        <f aca="false">IF(I730=0,"",IF(INDEX(GL!$C:$C,I730)="","",INDEX(GL!$C:$C,I730)))</f>
        <v/>
      </c>
      <c r="L730" s="19" t="str">
        <f aca="false">IF(I730=0,"",INDEX(GL!$E:$E,I730))</f>
        <v/>
      </c>
      <c r="M730" s="19" t="str">
        <f aca="false">IF(OR(B730=0,I730=0),"",ROUND(G730-L730,2))</f>
        <v/>
      </c>
      <c r="N730" s="5" t="str">
        <f aca="false">IF(A730="","",IF(B730=0,"NOT FOUND: bank ID",IF(I730=0,"NOT FOUND: GL ID",IF(INDEX(GL!$H:$H,I730)&lt;&gt;A730,"BROKEN: GL points elsewhere",IF(OR(INDEX(Bank!$F:$F,B730)&lt;&gt;"Y",INDEX(GL!$F:$F,I730)&lt;&gt;"Y"),"BROKEN: Status not Y","OK")))))</f>
        <v/>
      </c>
    </row>
    <row r="731" customFormat="false" ht="15" hidden="false" customHeight="false" outlineLevel="0" collapsed="false">
      <c r="A731" s="41"/>
      <c r="B731" s="5" t="n">
        <f aca="false">IF(A731="",0,IFERROR(MATCH(A731,Bank!$A:$A,0),0))</f>
        <v>0</v>
      </c>
      <c r="C731" s="5" t="str">
        <f aca="false">IF(B731=0,"",IF(INDEX(Bank!$G:$G,B731)="","",INDEX(Bank!$G:$G,B731)))</f>
        <v/>
      </c>
      <c r="D731" s="5" t="str">
        <f aca="false">IF(B731=0,"",IF(INDEX(Bank!$J:$J,B731)="","",INDEX(Bank!$J:$J,B731)))</f>
        <v/>
      </c>
      <c r="E731" s="32" t="str">
        <f aca="false">IF(B731=0,"",INDEX(Bank!$B:$B,B731))</f>
        <v/>
      </c>
      <c r="F731" s="5" t="str">
        <f aca="false">IF(B731=0,"",IF(INDEX(Bank!$C:$C,B731)="","",INDEX(Bank!$C:$C,B731)))</f>
        <v/>
      </c>
      <c r="G731" s="19" t="str">
        <f aca="false">IF(B731=0,"",INDEX(Bank!$E:$E,B731))</f>
        <v/>
      </c>
      <c r="H731" s="5" t="str">
        <f aca="false">IF(B731=0,"",IF(INDEX(Bank!$H:$H,B731)="","",INDEX(Bank!$H:$H,B731)))</f>
        <v/>
      </c>
      <c r="I731" s="5" t="n">
        <f aca="false">IF(H731="",0,IFERROR(MATCH(H731,GL!$A:$A,0),0))</f>
        <v>0</v>
      </c>
      <c r="J731" s="32" t="str">
        <f aca="false">IF(I731=0,"",INDEX(GL!$B:$B,I731))</f>
        <v/>
      </c>
      <c r="K731" s="5" t="str">
        <f aca="false">IF(I731=0,"",IF(INDEX(GL!$C:$C,I731)="","",INDEX(GL!$C:$C,I731)))</f>
        <v/>
      </c>
      <c r="L731" s="19" t="str">
        <f aca="false">IF(I731=0,"",INDEX(GL!$E:$E,I731))</f>
        <v/>
      </c>
      <c r="M731" s="19" t="str">
        <f aca="false">IF(OR(B731=0,I731=0),"",ROUND(G731-L731,2))</f>
        <v/>
      </c>
      <c r="N731" s="5" t="str">
        <f aca="false">IF(A731="","",IF(B731=0,"NOT FOUND: bank ID",IF(I731=0,"NOT FOUND: GL ID",IF(INDEX(GL!$H:$H,I731)&lt;&gt;A731,"BROKEN: GL points elsewhere",IF(OR(INDEX(Bank!$F:$F,B731)&lt;&gt;"Y",INDEX(GL!$F:$F,I731)&lt;&gt;"Y"),"BROKEN: Status not Y","OK")))))</f>
        <v/>
      </c>
    </row>
    <row r="732" customFormat="false" ht="15" hidden="false" customHeight="false" outlineLevel="0" collapsed="false">
      <c r="A732" s="41"/>
      <c r="B732" s="5" t="n">
        <f aca="false">IF(A732="",0,IFERROR(MATCH(A732,Bank!$A:$A,0),0))</f>
        <v>0</v>
      </c>
      <c r="C732" s="5" t="str">
        <f aca="false">IF(B732=0,"",IF(INDEX(Bank!$G:$G,B732)="","",INDEX(Bank!$G:$G,B732)))</f>
        <v/>
      </c>
      <c r="D732" s="5" t="str">
        <f aca="false">IF(B732=0,"",IF(INDEX(Bank!$J:$J,B732)="","",INDEX(Bank!$J:$J,B732)))</f>
        <v/>
      </c>
      <c r="E732" s="32" t="str">
        <f aca="false">IF(B732=0,"",INDEX(Bank!$B:$B,B732))</f>
        <v/>
      </c>
      <c r="F732" s="5" t="str">
        <f aca="false">IF(B732=0,"",IF(INDEX(Bank!$C:$C,B732)="","",INDEX(Bank!$C:$C,B732)))</f>
        <v/>
      </c>
      <c r="G732" s="19" t="str">
        <f aca="false">IF(B732=0,"",INDEX(Bank!$E:$E,B732))</f>
        <v/>
      </c>
      <c r="H732" s="5" t="str">
        <f aca="false">IF(B732=0,"",IF(INDEX(Bank!$H:$H,B732)="","",INDEX(Bank!$H:$H,B732)))</f>
        <v/>
      </c>
      <c r="I732" s="5" t="n">
        <f aca="false">IF(H732="",0,IFERROR(MATCH(H732,GL!$A:$A,0),0))</f>
        <v>0</v>
      </c>
      <c r="J732" s="32" t="str">
        <f aca="false">IF(I732=0,"",INDEX(GL!$B:$B,I732))</f>
        <v/>
      </c>
      <c r="K732" s="5" t="str">
        <f aca="false">IF(I732=0,"",IF(INDEX(GL!$C:$C,I732)="","",INDEX(GL!$C:$C,I732)))</f>
        <v/>
      </c>
      <c r="L732" s="19" t="str">
        <f aca="false">IF(I732=0,"",INDEX(GL!$E:$E,I732))</f>
        <v/>
      </c>
      <c r="M732" s="19" t="str">
        <f aca="false">IF(OR(B732=0,I732=0),"",ROUND(G732-L732,2))</f>
        <v/>
      </c>
      <c r="N732" s="5" t="str">
        <f aca="false">IF(A732="","",IF(B732=0,"NOT FOUND: bank ID",IF(I732=0,"NOT FOUND: GL ID",IF(INDEX(GL!$H:$H,I732)&lt;&gt;A732,"BROKEN: GL points elsewhere",IF(OR(INDEX(Bank!$F:$F,B732)&lt;&gt;"Y",INDEX(GL!$F:$F,I732)&lt;&gt;"Y"),"BROKEN: Status not Y","OK")))))</f>
        <v/>
      </c>
    </row>
    <row r="733" customFormat="false" ht="15" hidden="false" customHeight="false" outlineLevel="0" collapsed="false">
      <c r="A733" s="41"/>
      <c r="B733" s="5" t="n">
        <f aca="false">IF(A733="",0,IFERROR(MATCH(A733,Bank!$A:$A,0),0))</f>
        <v>0</v>
      </c>
      <c r="C733" s="5" t="str">
        <f aca="false">IF(B733=0,"",IF(INDEX(Bank!$G:$G,B733)="","",INDEX(Bank!$G:$G,B733)))</f>
        <v/>
      </c>
      <c r="D733" s="5" t="str">
        <f aca="false">IF(B733=0,"",IF(INDEX(Bank!$J:$J,B733)="","",INDEX(Bank!$J:$J,B733)))</f>
        <v/>
      </c>
      <c r="E733" s="32" t="str">
        <f aca="false">IF(B733=0,"",INDEX(Bank!$B:$B,B733))</f>
        <v/>
      </c>
      <c r="F733" s="5" t="str">
        <f aca="false">IF(B733=0,"",IF(INDEX(Bank!$C:$C,B733)="","",INDEX(Bank!$C:$C,B733)))</f>
        <v/>
      </c>
      <c r="G733" s="19" t="str">
        <f aca="false">IF(B733=0,"",INDEX(Bank!$E:$E,B733))</f>
        <v/>
      </c>
      <c r="H733" s="5" t="str">
        <f aca="false">IF(B733=0,"",IF(INDEX(Bank!$H:$H,B733)="","",INDEX(Bank!$H:$H,B733)))</f>
        <v/>
      </c>
      <c r="I733" s="5" t="n">
        <f aca="false">IF(H733="",0,IFERROR(MATCH(H733,GL!$A:$A,0),0))</f>
        <v>0</v>
      </c>
      <c r="J733" s="32" t="str">
        <f aca="false">IF(I733=0,"",INDEX(GL!$B:$B,I733))</f>
        <v/>
      </c>
      <c r="K733" s="5" t="str">
        <f aca="false">IF(I733=0,"",IF(INDEX(GL!$C:$C,I733)="","",INDEX(GL!$C:$C,I733)))</f>
        <v/>
      </c>
      <c r="L733" s="19" t="str">
        <f aca="false">IF(I733=0,"",INDEX(GL!$E:$E,I733))</f>
        <v/>
      </c>
      <c r="M733" s="19" t="str">
        <f aca="false">IF(OR(B733=0,I733=0),"",ROUND(G733-L733,2))</f>
        <v/>
      </c>
      <c r="N733" s="5" t="str">
        <f aca="false">IF(A733="","",IF(B733=0,"NOT FOUND: bank ID",IF(I733=0,"NOT FOUND: GL ID",IF(INDEX(GL!$H:$H,I733)&lt;&gt;A733,"BROKEN: GL points elsewhere",IF(OR(INDEX(Bank!$F:$F,B733)&lt;&gt;"Y",INDEX(GL!$F:$F,I733)&lt;&gt;"Y"),"BROKEN: Status not Y","OK")))))</f>
        <v/>
      </c>
    </row>
    <row r="734" customFormat="false" ht="15" hidden="false" customHeight="false" outlineLevel="0" collapsed="false">
      <c r="A734" s="41"/>
      <c r="B734" s="5" t="n">
        <f aca="false">IF(A734="",0,IFERROR(MATCH(A734,Bank!$A:$A,0),0))</f>
        <v>0</v>
      </c>
      <c r="C734" s="5" t="str">
        <f aca="false">IF(B734=0,"",IF(INDEX(Bank!$G:$G,B734)="","",INDEX(Bank!$G:$G,B734)))</f>
        <v/>
      </c>
      <c r="D734" s="5" t="str">
        <f aca="false">IF(B734=0,"",IF(INDEX(Bank!$J:$J,B734)="","",INDEX(Bank!$J:$J,B734)))</f>
        <v/>
      </c>
      <c r="E734" s="32" t="str">
        <f aca="false">IF(B734=0,"",INDEX(Bank!$B:$B,B734))</f>
        <v/>
      </c>
      <c r="F734" s="5" t="str">
        <f aca="false">IF(B734=0,"",IF(INDEX(Bank!$C:$C,B734)="","",INDEX(Bank!$C:$C,B734)))</f>
        <v/>
      </c>
      <c r="G734" s="19" t="str">
        <f aca="false">IF(B734=0,"",INDEX(Bank!$E:$E,B734))</f>
        <v/>
      </c>
      <c r="H734" s="5" t="str">
        <f aca="false">IF(B734=0,"",IF(INDEX(Bank!$H:$H,B734)="","",INDEX(Bank!$H:$H,B734)))</f>
        <v/>
      </c>
      <c r="I734" s="5" t="n">
        <f aca="false">IF(H734="",0,IFERROR(MATCH(H734,GL!$A:$A,0),0))</f>
        <v>0</v>
      </c>
      <c r="J734" s="32" t="str">
        <f aca="false">IF(I734=0,"",INDEX(GL!$B:$B,I734))</f>
        <v/>
      </c>
      <c r="K734" s="5" t="str">
        <f aca="false">IF(I734=0,"",IF(INDEX(GL!$C:$C,I734)="","",INDEX(GL!$C:$C,I734)))</f>
        <v/>
      </c>
      <c r="L734" s="19" t="str">
        <f aca="false">IF(I734=0,"",INDEX(GL!$E:$E,I734))</f>
        <v/>
      </c>
      <c r="M734" s="19" t="str">
        <f aca="false">IF(OR(B734=0,I734=0),"",ROUND(G734-L734,2))</f>
        <v/>
      </c>
      <c r="N734" s="5" t="str">
        <f aca="false">IF(A734="","",IF(B734=0,"NOT FOUND: bank ID",IF(I734=0,"NOT FOUND: GL ID",IF(INDEX(GL!$H:$H,I734)&lt;&gt;A734,"BROKEN: GL points elsewhere",IF(OR(INDEX(Bank!$F:$F,B734)&lt;&gt;"Y",INDEX(GL!$F:$F,I734)&lt;&gt;"Y"),"BROKEN: Status not Y","OK")))))</f>
        <v/>
      </c>
    </row>
    <row r="735" customFormat="false" ht="15" hidden="false" customHeight="false" outlineLevel="0" collapsed="false">
      <c r="A735" s="41"/>
      <c r="B735" s="5" t="n">
        <f aca="false">IF(A735="",0,IFERROR(MATCH(A735,Bank!$A:$A,0),0))</f>
        <v>0</v>
      </c>
      <c r="C735" s="5" t="str">
        <f aca="false">IF(B735=0,"",IF(INDEX(Bank!$G:$G,B735)="","",INDEX(Bank!$G:$G,B735)))</f>
        <v/>
      </c>
      <c r="D735" s="5" t="str">
        <f aca="false">IF(B735=0,"",IF(INDEX(Bank!$J:$J,B735)="","",INDEX(Bank!$J:$J,B735)))</f>
        <v/>
      </c>
      <c r="E735" s="32" t="str">
        <f aca="false">IF(B735=0,"",INDEX(Bank!$B:$B,B735))</f>
        <v/>
      </c>
      <c r="F735" s="5" t="str">
        <f aca="false">IF(B735=0,"",IF(INDEX(Bank!$C:$C,B735)="","",INDEX(Bank!$C:$C,B735)))</f>
        <v/>
      </c>
      <c r="G735" s="19" t="str">
        <f aca="false">IF(B735=0,"",INDEX(Bank!$E:$E,B735))</f>
        <v/>
      </c>
      <c r="H735" s="5" t="str">
        <f aca="false">IF(B735=0,"",IF(INDEX(Bank!$H:$H,B735)="","",INDEX(Bank!$H:$H,B735)))</f>
        <v/>
      </c>
      <c r="I735" s="5" t="n">
        <f aca="false">IF(H735="",0,IFERROR(MATCH(H735,GL!$A:$A,0),0))</f>
        <v>0</v>
      </c>
      <c r="J735" s="32" t="str">
        <f aca="false">IF(I735=0,"",INDEX(GL!$B:$B,I735))</f>
        <v/>
      </c>
      <c r="K735" s="5" t="str">
        <f aca="false">IF(I735=0,"",IF(INDEX(GL!$C:$C,I735)="","",INDEX(GL!$C:$C,I735)))</f>
        <v/>
      </c>
      <c r="L735" s="19" t="str">
        <f aca="false">IF(I735=0,"",INDEX(GL!$E:$E,I735))</f>
        <v/>
      </c>
      <c r="M735" s="19" t="str">
        <f aca="false">IF(OR(B735=0,I735=0),"",ROUND(G735-L735,2))</f>
        <v/>
      </c>
      <c r="N735" s="5" t="str">
        <f aca="false">IF(A735="","",IF(B735=0,"NOT FOUND: bank ID",IF(I735=0,"NOT FOUND: GL ID",IF(INDEX(GL!$H:$H,I735)&lt;&gt;A735,"BROKEN: GL points elsewhere",IF(OR(INDEX(Bank!$F:$F,B735)&lt;&gt;"Y",INDEX(GL!$F:$F,I735)&lt;&gt;"Y"),"BROKEN: Status not Y","OK")))))</f>
        <v/>
      </c>
    </row>
    <row r="736" customFormat="false" ht="15" hidden="false" customHeight="false" outlineLevel="0" collapsed="false">
      <c r="A736" s="41"/>
      <c r="B736" s="5" t="n">
        <f aca="false">IF(A736="",0,IFERROR(MATCH(A736,Bank!$A:$A,0),0))</f>
        <v>0</v>
      </c>
      <c r="C736" s="5" t="str">
        <f aca="false">IF(B736=0,"",IF(INDEX(Bank!$G:$G,B736)="","",INDEX(Bank!$G:$G,B736)))</f>
        <v/>
      </c>
      <c r="D736" s="5" t="str">
        <f aca="false">IF(B736=0,"",IF(INDEX(Bank!$J:$J,B736)="","",INDEX(Bank!$J:$J,B736)))</f>
        <v/>
      </c>
      <c r="E736" s="32" t="str">
        <f aca="false">IF(B736=0,"",INDEX(Bank!$B:$B,B736))</f>
        <v/>
      </c>
      <c r="F736" s="5" t="str">
        <f aca="false">IF(B736=0,"",IF(INDEX(Bank!$C:$C,B736)="","",INDEX(Bank!$C:$C,B736)))</f>
        <v/>
      </c>
      <c r="G736" s="19" t="str">
        <f aca="false">IF(B736=0,"",INDEX(Bank!$E:$E,B736))</f>
        <v/>
      </c>
      <c r="H736" s="5" t="str">
        <f aca="false">IF(B736=0,"",IF(INDEX(Bank!$H:$H,B736)="","",INDEX(Bank!$H:$H,B736)))</f>
        <v/>
      </c>
      <c r="I736" s="5" t="n">
        <f aca="false">IF(H736="",0,IFERROR(MATCH(H736,GL!$A:$A,0),0))</f>
        <v>0</v>
      </c>
      <c r="J736" s="32" t="str">
        <f aca="false">IF(I736=0,"",INDEX(GL!$B:$B,I736))</f>
        <v/>
      </c>
      <c r="K736" s="5" t="str">
        <f aca="false">IF(I736=0,"",IF(INDEX(GL!$C:$C,I736)="","",INDEX(GL!$C:$C,I736)))</f>
        <v/>
      </c>
      <c r="L736" s="19" t="str">
        <f aca="false">IF(I736=0,"",INDEX(GL!$E:$E,I736))</f>
        <v/>
      </c>
      <c r="M736" s="19" t="str">
        <f aca="false">IF(OR(B736=0,I736=0),"",ROUND(G736-L736,2))</f>
        <v/>
      </c>
      <c r="N736" s="5" t="str">
        <f aca="false">IF(A736="","",IF(B736=0,"NOT FOUND: bank ID",IF(I736=0,"NOT FOUND: GL ID",IF(INDEX(GL!$H:$H,I736)&lt;&gt;A736,"BROKEN: GL points elsewhere",IF(OR(INDEX(Bank!$F:$F,B736)&lt;&gt;"Y",INDEX(GL!$F:$F,I736)&lt;&gt;"Y"),"BROKEN: Status not Y","OK")))))</f>
        <v/>
      </c>
    </row>
    <row r="737" customFormat="false" ht="15" hidden="false" customHeight="false" outlineLevel="0" collapsed="false">
      <c r="A737" s="41"/>
      <c r="B737" s="5" t="n">
        <f aca="false">IF(A737="",0,IFERROR(MATCH(A737,Bank!$A:$A,0),0))</f>
        <v>0</v>
      </c>
      <c r="C737" s="5" t="str">
        <f aca="false">IF(B737=0,"",IF(INDEX(Bank!$G:$G,B737)="","",INDEX(Bank!$G:$G,B737)))</f>
        <v/>
      </c>
      <c r="D737" s="5" t="str">
        <f aca="false">IF(B737=0,"",IF(INDEX(Bank!$J:$J,B737)="","",INDEX(Bank!$J:$J,B737)))</f>
        <v/>
      </c>
      <c r="E737" s="32" t="str">
        <f aca="false">IF(B737=0,"",INDEX(Bank!$B:$B,B737))</f>
        <v/>
      </c>
      <c r="F737" s="5" t="str">
        <f aca="false">IF(B737=0,"",IF(INDEX(Bank!$C:$C,B737)="","",INDEX(Bank!$C:$C,B737)))</f>
        <v/>
      </c>
      <c r="G737" s="19" t="str">
        <f aca="false">IF(B737=0,"",INDEX(Bank!$E:$E,B737))</f>
        <v/>
      </c>
      <c r="H737" s="5" t="str">
        <f aca="false">IF(B737=0,"",IF(INDEX(Bank!$H:$H,B737)="","",INDEX(Bank!$H:$H,B737)))</f>
        <v/>
      </c>
      <c r="I737" s="5" t="n">
        <f aca="false">IF(H737="",0,IFERROR(MATCH(H737,GL!$A:$A,0),0))</f>
        <v>0</v>
      </c>
      <c r="J737" s="32" t="str">
        <f aca="false">IF(I737=0,"",INDEX(GL!$B:$B,I737))</f>
        <v/>
      </c>
      <c r="K737" s="5" t="str">
        <f aca="false">IF(I737=0,"",IF(INDEX(GL!$C:$C,I737)="","",INDEX(GL!$C:$C,I737)))</f>
        <v/>
      </c>
      <c r="L737" s="19" t="str">
        <f aca="false">IF(I737=0,"",INDEX(GL!$E:$E,I737))</f>
        <v/>
      </c>
      <c r="M737" s="19" t="str">
        <f aca="false">IF(OR(B737=0,I737=0),"",ROUND(G737-L737,2))</f>
        <v/>
      </c>
      <c r="N737" s="5" t="str">
        <f aca="false">IF(A737="","",IF(B737=0,"NOT FOUND: bank ID",IF(I737=0,"NOT FOUND: GL ID",IF(INDEX(GL!$H:$H,I737)&lt;&gt;A737,"BROKEN: GL points elsewhere",IF(OR(INDEX(Bank!$F:$F,B737)&lt;&gt;"Y",INDEX(GL!$F:$F,I737)&lt;&gt;"Y"),"BROKEN: Status not Y","OK")))))</f>
        <v/>
      </c>
    </row>
    <row r="738" customFormat="false" ht="15" hidden="false" customHeight="false" outlineLevel="0" collapsed="false">
      <c r="A738" s="41"/>
      <c r="B738" s="5" t="n">
        <f aca="false">IF(A738="",0,IFERROR(MATCH(A738,Bank!$A:$A,0),0))</f>
        <v>0</v>
      </c>
      <c r="C738" s="5" t="str">
        <f aca="false">IF(B738=0,"",IF(INDEX(Bank!$G:$G,B738)="","",INDEX(Bank!$G:$G,B738)))</f>
        <v/>
      </c>
      <c r="D738" s="5" t="str">
        <f aca="false">IF(B738=0,"",IF(INDEX(Bank!$J:$J,B738)="","",INDEX(Bank!$J:$J,B738)))</f>
        <v/>
      </c>
      <c r="E738" s="32" t="str">
        <f aca="false">IF(B738=0,"",INDEX(Bank!$B:$B,B738))</f>
        <v/>
      </c>
      <c r="F738" s="5" t="str">
        <f aca="false">IF(B738=0,"",IF(INDEX(Bank!$C:$C,B738)="","",INDEX(Bank!$C:$C,B738)))</f>
        <v/>
      </c>
      <c r="G738" s="19" t="str">
        <f aca="false">IF(B738=0,"",INDEX(Bank!$E:$E,B738))</f>
        <v/>
      </c>
      <c r="H738" s="5" t="str">
        <f aca="false">IF(B738=0,"",IF(INDEX(Bank!$H:$H,B738)="","",INDEX(Bank!$H:$H,B738)))</f>
        <v/>
      </c>
      <c r="I738" s="5" t="n">
        <f aca="false">IF(H738="",0,IFERROR(MATCH(H738,GL!$A:$A,0),0))</f>
        <v>0</v>
      </c>
      <c r="J738" s="32" t="str">
        <f aca="false">IF(I738=0,"",INDEX(GL!$B:$B,I738))</f>
        <v/>
      </c>
      <c r="K738" s="5" t="str">
        <f aca="false">IF(I738=0,"",IF(INDEX(GL!$C:$C,I738)="","",INDEX(GL!$C:$C,I738)))</f>
        <v/>
      </c>
      <c r="L738" s="19" t="str">
        <f aca="false">IF(I738=0,"",INDEX(GL!$E:$E,I738))</f>
        <v/>
      </c>
      <c r="M738" s="19" t="str">
        <f aca="false">IF(OR(B738=0,I738=0),"",ROUND(G738-L738,2))</f>
        <v/>
      </c>
      <c r="N738" s="5" t="str">
        <f aca="false">IF(A738="","",IF(B738=0,"NOT FOUND: bank ID",IF(I738=0,"NOT FOUND: GL ID",IF(INDEX(GL!$H:$H,I738)&lt;&gt;A738,"BROKEN: GL points elsewhere",IF(OR(INDEX(Bank!$F:$F,B738)&lt;&gt;"Y",INDEX(GL!$F:$F,I738)&lt;&gt;"Y"),"BROKEN: Status not Y","OK")))))</f>
        <v/>
      </c>
    </row>
    <row r="739" customFormat="false" ht="15" hidden="false" customHeight="false" outlineLevel="0" collapsed="false">
      <c r="A739" s="41"/>
      <c r="B739" s="5" t="n">
        <f aca="false">IF(A739="",0,IFERROR(MATCH(A739,Bank!$A:$A,0),0))</f>
        <v>0</v>
      </c>
      <c r="C739" s="5" t="str">
        <f aca="false">IF(B739=0,"",IF(INDEX(Bank!$G:$G,B739)="","",INDEX(Bank!$G:$G,B739)))</f>
        <v/>
      </c>
      <c r="D739" s="5" t="str">
        <f aca="false">IF(B739=0,"",IF(INDEX(Bank!$J:$J,B739)="","",INDEX(Bank!$J:$J,B739)))</f>
        <v/>
      </c>
      <c r="E739" s="32" t="str">
        <f aca="false">IF(B739=0,"",INDEX(Bank!$B:$B,B739))</f>
        <v/>
      </c>
      <c r="F739" s="5" t="str">
        <f aca="false">IF(B739=0,"",IF(INDEX(Bank!$C:$C,B739)="","",INDEX(Bank!$C:$C,B739)))</f>
        <v/>
      </c>
      <c r="G739" s="19" t="str">
        <f aca="false">IF(B739=0,"",INDEX(Bank!$E:$E,B739))</f>
        <v/>
      </c>
      <c r="H739" s="5" t="str">
        <f aca="false">IF(B739=0,"",IF(INDEX(Bank!$H:$H,B739)="","",INDEX(Bank!$H:$H,B739)))</f>
        <v/>
      </c>
      <c r="I739" s="5" t="n">
        <f aca="false">IF(H739="",0,IFERROR(MATCH(H739,GL!$A:$A,0),0))</f>
        <v>0</v>
      </c>
      <c r="J739" s="32" t="str">
        <f aca="false">IF(I739=0,"",INDEX(GL!$B:$B,I739))</f>
        <v/>
      </c>
      <c r="K739" s="5" t="str">
        <f aca="false">IF(I739=0,"",IF(INDEX(GL!$C:$C,I739)="","",INDEX(GL!$C:$C,I739)))</f>
        <v/>
      </c>
      <c r="L739" s="19" t="str">
        <f aca="false">IF(I739=0,"",INDEX(GL!$E:$E,I739))</f>
        <v/>
      </c>
      <c r="M739" s="19" t="str">
        <f aca="false">IF(OR(B739=0,I739=0),"",ROUND(G739-L739,2))</f>
        <v/>
      </c>
      <c r="N739" s="5" t="str">
        <f aca="false">IF(A739="","",IF(B739=0,"NOT FOUND: bank ID",IF(I739=0,"NOT FOUND: GL ID",IF(INDEX(GL!$H:$H,I739)&lt;&gt;A739,"BROKEN: GL points elsewhere",IF(OR(INDEX(Bank!$F:$F,B739)&lt;&gt;"Y",INDEX(GL!$F:$F,I739)&lt;&gt;"Y"),"BROKEN: Status not Y","OK")))))</f>
        <v/>
      </c>
    </row>
    <row r="740" customFormat="false" ht="15" hidden="false" customHeight="false" outlineLevel="0" collapsed="false">
      <c r="A740" s="41"/>
      <c r="B740" s="5" t="n">
        <f aca="false">IF(A740="",0,IFERROR(MATCH(A740,Bank!$A:$A,0),0))</f>
        <v>0</v>
      </c>
      <c r="C740" s="5" t="str">
        <f aca="false">IF(B740=0,"",IF(INDEX(Bank!$G:$G,B740)="","",INDEX(Bank!$G:$G,B740)))</f>
        <v/>
      </c>
      <c r="D740" s="5" t="str">
        <f aca="false">IF(B740=0,"",IF(INDEX(Bank!$J:$J,B740)="","",INDEX(Bank!$J:$J,B740)))</f>
        <v/>
      </c>
      <c r="E740" s="32" t="str">
        <f aca="false">IF(B740=0,"",INDEX(Bank!$B:$B,B740))</f>
        <v/>
      </c>
      <c r="F740" s="5" t="str">
        <f aca="false">IF(B740=0,"",IF(INDEX(Bank!$C:$C,B740)="","",INDEX(Bank!$C:$C,B740)))</f>
        <v/>
      </c>
      <c r="G740" s="19" t="str">
        <f aca="false">IF(B740=0,"",INDEX(Bank!$E:$E,B740))</f>
        <v/>
      </c>
      <c r="H740" s="5" t="str">
        <f aca="false">IF(B740=0,"",IF(INDEX(Bank!$H:$H,B740)="","",INDEX(Bank!$H:$H,B740)))</f>
        <v/>
      </c>
      <c r="I740" s="5" t="n">
        <f aca="false">IF(H740="",0,IFERROR(MATCH(H740,GL!$A:$A,0),0))</f>
        <v>0</v>
      </c>
      <c r="J740" s="32" t="str">
        <f aca="false">IF(I740=0,"",INDEX(GL!$B:$B,I740))</f>
        <v/>
      </c>
      <c r="K740" s="5" t="str">
        <f aca="false">IF(I740=0,"",IF(INDEX(GL!$C:$C,I740)="","",INDEX(GL!$C:$C,I740)))</f>
        <v/>
      </c>
      <c r="L740" s="19" t="str">
        <f aca="false">IF(I740=0,"",INDEX(GL!$E:$E,I740))</f>
        <v/>
      </c>
      <c r="M740" s="19" t="str">
        <f aca="false">IF(OR(B740=0,I740=0),"",ROUND(G740-L740,2))</f>
        <v/>
      </c>
      <c r="N740" s="5" t="str">
        <f aca="false">IF(A740="","",IF(B740=0,"NOT FOUND: bank ID",IF(I740=0,"NOT FOUND: GL ID",IF(INDEX(GL!$H:$H,I740)&lt;&gt;A740,"BROKEN: GL points elsewhere",IF(OR(INDEX(Bank!$F:$F,B740)&lt;&gt;"Y",INDEX(GL!$F:$F,I740)&lt;&gt;"Y"),"BROKEN: Status not Y","OK")))))</f>
        <v/>
      </c>
    </row>
    <row r="741" customFormat="false" ht="15" hidden="false" customHeight="false" outlineLevel="0" collapsed="false">
      <c r="A741" s="41"/>
      <c r="B741" s="5" t="n">
        <f aca="false">IF(A741="",0,IFERROR(MATCH(A741,Bank!$A:$A,0),0))</f>
        <v>0</v>
      </c>
      <c r="C741" s="5" t="str">
        <f aca="false">IF(B741=0,"",IF(INDEX(Bank!$G:$G,B741)="","",INDEX(Bank!$G:$G,B741)))</f>
        <v/>
      </c>
      <c r="D741" s="5" t="str">
        <f aca="false">IF(B741=0,"",IF(INDEX(Bank!$J:$J,B741)="","",INDEX(Bank!$J:$J,B741)))</f>
        <v/>
      </c>
      <c r="E741" s="32" t="str">
        <f aca="false">IF(B741=0,"",INDEX(Bank!$B:$B,B741))</f>
        <v/>
      </c>
      <c r="F741" s="5" t="str">
        <f aca="false">IF(B741=0,"",IF(INDEX(Bank!$C:$C,B741)="","",INDEX(Bank!$C:$C,B741)))</f>
        <v/>
      </c>
      <c r="G741" s="19" t="str">
        <f aca="false">IF(B741=0,"",INDEX(Bank!$E:$E,B741))</f>
        <v/>
      </c>
      <c r="H741" s="5" t="str">
        <f aca="false">IF(B741=0,"",IF(INDEX(Bank!$H:$H,B741)="","",INDEX(Bank!$H:$H,B741)))</f>
        <v/>
      </c>
      <c r="I741" s="5" t="n">
        <f aca="false">IF(H741="",0,IFERROR(MATCH(H741,GL!$A:$A,0),0))</f>
        <v>0</v>
      </c>
      <c r="J741" s="32" t="str">
        <f aca="false">IF(I741=0,"",INDEX(GL!$B:$B,I741))</f>
        <v/>
      </c>
      <c r="K741" s="5" t="str">
        <f aca="false">IF(I741=0,"",IF(INDEX(GL!$C:$C,I741)="","",INDEX(GL!$C:$C,I741)))</f>
        <v/>
      </c>
      <c r="L741" s="19" t="str">
        <f aca="false">IF(I741=0,"",INDEX(GL!$E:$E,I741))</f>
        <v/>
      </c>
      <c r="M741" s="19" t="str">
        <f aca="false">IF(OR(B741=0,I741=0),"",ROUND(G741-L741,2))</f>
        <v/>
      </c>
      <c r="N741" s="5" t="str">
        <f aca="false">IF(A741="","",IF(B741=0,"NOT FOUND: bank ID",IF(I741=0,"NOT FOUND: GL ID",IF(INDEX(GL!$H:$H,I741)&lt;&gt;A741,"BROKEN: GL points elsewhere",IF(OR(INDEX(Bank!$F:$F,B741)&lt;&gt;"Y",INDEX(GL!$F:$F,I741)&lt;&gt;"Y"),"BROKEN: Status not Y","OK")))))</f>
        <v/>
      </c>
    </row>
    <row r="742" customFormat="false" ht="15" hidden="false" customHeight="false" outlineLevel="0" collapsed="false">
      <c r="A742" s="41"/>
      <c r="B742" s="5" t="n">
        <f aca="false">IF(A742="",0,IFERROR(MATCH(A742,Bank!$A:$A,0),0))</f>
        <v>0</v>
      </c>
      <c r="C742" s="5" t="str">
        <f aca="false">IF(B742=0,"",IF(INDEX(Bank!$G:$G,B742)="","",INDEX(Bank!$G:$G,B742)))</f>
        <v/>
      </c>
      <c r="D742" s="5" t="str">
        <f aca="false">IF(B742=0,"",IF(INDEX(Bank!$J:$J,B742)="","",INDEX(Bank!$J:$J,B742)))</f>
        <v/>
      </c>
      <c r="E742" s="32" t="str">
        <f aca="false">IF(B742=0,"",INDEX(Bank!$B:$B,B742))</f>
        <v/>
      </c>
      <c r="F742" s="5" t="str">
        <f aca="false">IF(B742=0,"",IF(INDEX(Bank!$C:$C,B742)="","",INDEX(Bank!$C:$C,B742)))</f>
        <v/>
      </c>
      <c r="G742" s="19" t="str">
        <f aca="false">IF(B742=0,"",INDEX(Bank!$E:$E,B742))</f>
        <v/>
      </c>
      <c r="H742" s="5" t="str">
        <f aca="false">IF(B742=0,"",IF(INDEX(Bank!$H:$H,B742)="","",INDEX(Bank!$H:$H,B742)))</f>
        <v/>
      </c>
      <c r="I742" s="5" t="n">
        <f aca="false">IF(H742="",0,IFERROR(MATCH(H742,GL!$A:$A,0),0))</f>
        <v>0</v>
      </c>
      <c r="J742" s="32" t="str">
        <f aca="false">IF(I742=0,"",INDEX(GL!$B:$B,I742))</f>
        <v/>
      </c>
      <c r="K742" s="5" t="str">
        <f aca="false">IF(I742=0,"",IF(INDEX(GL!$C:$C,I742)="","",INDEX(GL!$C:$C,I742)))</f>
        <v/>
      </c>
      <c r="L742" s="19" t="str">
        <f aca="false">IF(I742=0,"",INDEX(GL!$E:$E,I742))</f>
        <v/>
      </c>
      <c r="M742" s="19" t="str">
        <f aca="false">IF(OR(B742=0,I742=0),"",ROUND(G742-L742,2))</f>
        <v/>
      </c>
      <c r="N742" s="5" t="str">
        <f aca="false">IF(A742="","",IF(B742=0,"NOT FOUND: bank ID",IF(I742=0,"NOT FOUND: GL ID",IF(INDEX(GL!$H:$H,I742)&lt;&gt;A742,"BROKEN: GL points elsewhere",IF(OR(INDEX(Bank!$F:$F,B742)&lt;&gt;"Y",INDEX(GL!$F:$F,I742)&lt;&gt;"Y"),"BROKEN: Status not Y","OK")))))</f>
        <v/>
      </c>
    </row>
    <row r="743" customFormat="false" ht="15" hidden="false" customHeight="false" outlineLevel="0" collapsed="false">
      <c r="A743" s="41"/>
      <c r="B743" s="5" t="n">
        <f aca="false">IF(A743="",0,IFERROR(MATCH(A743,Bank!$A:$A,0),0))</f>
        <v>0</v>
      </c>
      <c r="C743" s="5" t="str">
        <f aca="false">IF(B743=0,"",IF(INDEX(Bank!$G:$G,B743)="","",INDEX(Bank!$G:$G,B743)))</f>
        <v/>
      </c>
      <c r="D743" s="5" t="str">
        <f aca="false">IF(B743=0,"",IF(INDEX(Bank!$J:$J,B743)="","",INDEX(Bank!$J:$J,B743)))</f>
        <v/>
      </c>
      <c r="E743" s="32" t="str">
        <f aca="false">IF(B743=0,"",INDEX(Bank!$B:$B,B743))</f>
        <v/>
      </c>
      <c r="F743" s="5" t="str">
        <f aca="false">IF(B743=0,"",IF(INDEX(Bank!$C:$C,B743)="","",INDEX(Bank!$C:$C,B743)))</f>
        <v/>
      </c>
      <c r="G743" s="19" t="str">
        <f aca="false">IF(B743=0,"",INDEX(Bank!$E:$E,B743))</f>
        <v/>
      </c>
      <c r="H743" s="5" t="str">
        <f aca="false">IF(B743=0,"",IF(INDEX(Bank!$H:$H,B743)="","",INDEX(Bank!$H:$H,B743)))</f>
        <v/>
      </c>
      <c r="I743" s="5" t="n">
        <f aca="false">IF(H743="",0,IFERROR(MATCH(H743,GL!$A:$A,0),0))</f>
        <v>0</v>
      </c>
      <c r="J743" s="32" t="str">
        <f aca="false">IF(I743=0,"",INDEX(GL!$B:$B,I743))</f>
        <v/>
      </c>
      <c r="K743" s="5" t="str">
        <f aca="false">IF(I743=0,"",IF(INDEX(GL!$C:$C,I743)="","",INDEX(GL!$C:$C,I743)))</f>
        <v/>
      </c>
      <c r="L743" s="19" t="str">
        <f aca="false">IF(I743=0,"",INDEX(GL!$E:$E,I743))</f>
        <v/>
      </c>
      <c r="M743" s="19" t="str">
        <f aca="false">IF(OR(B743=0,I743=0),"",ROUND(G743-L743,2))</f>
        <v/>
      </c>
      <c r="N743" s="5" t="str">
        <f aca="false">IF(A743="","",IF(B743=0,"NOT FOUND: bank ID",IF(I743=0,"NOT FOUND: GL ID",IF(INDEX(GL!$H:$H,I743)&lt;&gt;A743,"BROKEN: GL points elsewhere",IF(OR(INDEX(Bank!$F:$F,B743)&lt;&gt;"Y",INDEX(GL!$F:$F,I743)&lt;&gt;"Y"),"BROKEN: Status not Y","OK")))))</f>
        <v/>
      </c>
    </row>
    <row r="744" customFormat="false" ht="15" hidden="false" customHeight="false" outlineLevel="0" collapsed="false">
      <c r="A744" s="41"/>
      <c r="B744" s="5" t="n">
        <f aca="false">IF(A744="",0,IFERROR(MATCH(A744,Bank!$A:$A,0),0))</f>
        <v>0</v>
      </c>
      <c r="C744" s="5" t="str">
        <f aca="false">IF(B744=0,"",IF(INDEX(Bank!$G:$G,B744)="","",INDEX(Bank!$G:$G,B744)))</f>
        <v/>
      </c>
      <c r="D744" s="5" t="str">
        <f aca="false">IF(B744=0,"",IF(INDEX(Bank!$J:$J,B744)="","",INDEX(Bank!$J:$J,B744)))</f>
        <v/>
      </c>
      <c r="E744" s="32" t="str">
        <f aca="false">IF(B744=0,"",INDEX(Bank!$B:$B,B744))</f>
        <v/>
      </c>
      <c r="F744" s="5" t="str">
        <f aca="false">IF(B744=0,"",IF(INDEX(Bank!$C:$C,B744)="","",INDEX(Bank!$C:$C,B744)))</f>
        <v/>
      </c>
      <c r="G744" s="19" t="str">
        <f aca="false">IF(B744=0,"",INDEX(Bank!$E:$E,B744))</f>
        <v/>
      </c>
      <c r="H744" s="5" t="str">
        <f aca="false">IF(B744=0,"",IF(INDEX(Bank!$H:$H,B744)="","",INDEX(Bank!$H:$H,B744)))</f>
        <v/>
      </c>
      <c r="I744" s="5" t="n">
        <f aca="false">IF(H744="",0,IFERROR(MATCH(H744,GL!$A:$A,0),0))</f>
        <v>0</v>
      </c>
      <c r="J744" s="32" t="str">
        <f aca="false">IF(I744=0,"",INDEX(GL!$B:$B,I744))</f>
        <v/>
      </c>
      <c r="K744" s="5" t="str">
        <f aca="false">IF(I744=0,"",IF(INDEX(GL!$C:$C,I744)="","",INDEX(GL!$C:$C,I744)))</f>
        <v/>
      </c>
      <c r="L744" s="19" t="str">
        <f aca="false">IF(I744=0,"",INDEX(GL!$E:$E,I744))</f>
        <v/>
      </c>
      <c r="M744" s="19" t="str">
        <f aca="false">IF(OR(B744=0,I744=0),"",ROUND(G744-L744,2))</f>
        <v/>
      </c>
      <c r="N744" s="5" t="str">
        <f aca="false">IF(A744="","",IF(B744=0,"NOT FOUND: bank ID",IF(I744=0,"NOT FOUND: GL ID",IF(INDEX(GL!$H:$H,I744)&lt;&gt;A744,"BROKEN: GL points elsewhere",IF(OR(INDEX(Bank!$F:$F,B744)&lt;&gt;"Y",INDEX(GL!$F:$F,I744)&lt;&gt;"Y"),"BROKEN: Status not Y","OK")))))</f>
        <v/>
      </c>
    </row>
    <row r="745" customFormat="false" ht="15" hidden="false" customHeight="false" outlineLevel="0" collapsed="false">
      <c r="A745" s="41"/>
      <c r="B745" s="5" t="n">
        <f aca="false">IF(A745="",0,IFERROR(MATCH(A745,Bank!$A:$A,0),0))</f>
        <v>0</v>
      </c>
      <c r="C745" s="5" t="str">
        <f aca="false">IF(B745=0,"",IF(INDEX(Bank!$G:$G,B745)="","",INDEX(Bank!$G:$G,B745)))</f>
        <v/>
      </c>
      <c r="D745" s="5" t="str">
        <f aca="false">IF(B745=0,"",IF(INDEX(Bank!$J:$J,B745)="","",INDEX(Bank!$J:$J,B745)))</f>
        <v/>
      </c>
      <c r="E745" s="32" t="str">
        <f aca="false">IF(B745=0,"",INDEX(Bank!$B:$B,B745))</f>
        <v/>
      </c>
      <c r="F745" s="5" t="str">
        <f aca="false">IF(B745=0,"",IF(INDEX(Bank!$C:$C,B745)="","",INDEX(Bank!$C:$C,B745)))</f>
        <v/>
      </c>
      <c r="G745" s="19" t="str">
        <f aca="false">IF(B745=0,"",INDEX(Bank!$E:$E,B745))</f>
        <v/>
      </c>
      <c r="H745" s="5" t="str">
        <f aca="false">IF(B745=0,"",IF(INDEX(Bank!$H:$H,B745)="","",INDEX(Bank!$H:$H,B745)))</f>
        <v/>
      </c>
      <c r="I745" s="5" t="n">
        <f aca="false">IF(H745="",0,IFERROR(MATCH(H745,GL!$A:$A,0),0))</f>
        <v>0</v>
      </c>
      <c r="J745" s="32" t="str">
        <f aca="false">IF(I745=0,"",INDEX(GL!$B:$B,I745))</f>
        <v/>
      </c>
      <c r="K745" s="5" t="str">
        <f aca="false">IF(I745=0,"",IF(INDEX(GL!$C:$C,I745)="","",INDEX(GL!$C:$C,I745)))</f>
        <v/>
      </c>
      <c r="L745" s="19" t="str">
        <f aca="false">IF(I745=0,"",INDEX(GL!$E:$E,I745))</f>
        <v/>
      </c>
      <c r="M745" s="19" t="str">
        <f aca="false">IF(OR(B745=0,I745=0),"",ROUND(G745-L745,2))</f>
        <v/>
      </c>
      <c r="N745" s="5" t="str">
        <f aca="false">IF(A745="","",IF(B745=0,"NOT FOUND: bank ID",IF(I745=0,"NOT FOUND: GL ID",IF(INDEX(GL!$H:$H,I745)&lt;&gt;A745,"BROKEN: GL points elsewhere",IF(OR(INDEX(Bank!$F:$F,B745)&lt;&gt;"Y",INDEX(GL!$F:$F,I745)&lt;&gt;"Y"),"BROKEN: Status not Y","OK")))))</f>
        <v/>
      </c>
    </row>
    <row r="746" customFormat="false" ht="15" hidden="false" customHeight="false" outlineLevel="0" collapsed="false">
      <c r="A746" s="41"/>
      <c r="B746" s="5" t="n">
        <f aca="false">IF(A746="",0,IFERROR(MATCH(A746,Bank!$A:$A,0),0))</f>
        <v>0</v>
      </c>
      <c r="C746" s="5" t="str">
        <f aca="false">IF(B746=0,"",IF(INDEX(Bank!$G:$G,B746)="","",INDEX(Bank!$G:$G,B746)))</f>
        <v/>
      </c>
      <c r="D746" s="5" t="str">
        <f aca="false">IF(B746=0,"",IF(INDEX(Bank!$J:$J,B746)="","",INDEX(Bank!$J:$J,B746)))</f>
        <v/>
      </c>
      <c r="E746" s="32" t="str">
        <f aca="false">IF(B746=0,"",INDEX(Bank!$B:$B,B746))</f>
        <v/>
      </c>
      <c r="F746" s="5" t="str">
        <f aca="false">IF(B746=0,"",IF(INDEX(Bank!$C:$C,B746)="","",INDEX(Bank!$C:$C,B746)))</f>
        <v/>
      </c>
      <c r="G746" s="19" t="str">
        <f aca="false">IF(B746=0,"",INDEX(Bank!$E:$E,B746))</f>
        <v/>
      </c>
      <c r="H746" s="5" t="str">
        <f aca="false">IF(B746=0,"",IF(INDEX(Bank!$H:$H,B746)="","",INDEX(Bank!$H:$H,B746)))</f>
        <v/>
      </c>
      <c r="I746" s="5" t="n">
        <f aca="false">IF(H746="",0,IFERROR(MATCH(H746,GL!$A:$A,0),0))</f>
        <v>0</v>
      </c>
      <c r="J746" s="32" t="str">
        <f aca="false">IF(I746=0,"",INDEX(GL!$B:$B,I746))</f>
        <v/>
      </c>
      <c r="K746" s="5" t="str">
        <f aca="false">IF(I746=0,"",IF(INDEX(GL!$C:$C,I746)="","",INDEX(GL!$C:$C,I746)))</f>
        <v/>
      </c>
      <c r="L746" s="19" t="str">
        <f aca="false">IF(I746=0,"",INDEX(GL!$E:$E,I746))</f>
        <v/>
      </c>
      <c r="M746" s="19" t="str">
        <f aca="false">IF(OR(B746=0,I746=0),"",ROUND(G746-L746,2))</f>
        <v/>
      </c>
      <c r="N746" s="5" t="str">
        <f aca="false">IF(A746="","",IF(B746=0,"NOT FOUND: bank ID",IF(I746=0,"NOT FOUND: GL ID",IF(INDEX(GL!$H:$H,I746)&lt;&gt;A746,"BROKEN: GL points elsewhere",IF(OR(INDEX(Bank!$F:$F,B746)&lt;&gt;"Y",INDEX(GL!$F:$F,I746)&lt;&gt;"Y"),"BROKEN: Status not Y","OK")))))</f>
        <v/>
      </c>
    </row>
    <row r="747" customFormat="false" ht="15" hidden="false" customHeight="false" outlineLevel="0" collapsed="false">
      <c r="A747" s="41"/>
      <c r="B747" s="5" t="n">
        <f aca="false">IF(A747="",0,IFERROR(MATCH(A747,Bank!$A:$A,0),0))</f>
        <v>0</v>
      </c>
      <c r="C747" s="5" t="str">
        <f aca="false">IF(B747=0,"",IF(INDEX(Bank!$G:$G,B747)="","",INDEX(Bank!$G:$G,B747)))</f>
        <v/>
      </c>
      <c r="D747" s="5" t="str">
        <f aca="false">IF(B747=0,"",IF(INDEX(Bank!$J:$J,B747)="","",INDEX(Bank!$J:$J,B747)))</f>
        <v/>
      </c>
      <c r="E747" s="32" t="str">
        <f aca="false">IF(B747=0,"",INDEX(Bank!$B:$B,B747))</f>
        <v/>
      </c>
      <c r="F747" s="5" t="str">
        <f aca="false">IF(B747=0,"",IF(INDEX(Bank!$C:$C,B747)="","",INDEX(Bank!$C:$C,B747)))</f>
        <v/>
      </c>
      <c r="G747" s="19" t="str">
        <f aca="false">IF(B747=0,"",INDEX(Bank!$E:$E,B747))</f>
        <v/>
      </c>
      <c r="H747" s="5" t="str">
        <f aca="false">IF(B747=0,"",IF(INDEX(Bank!$H:$H,B747)="","",INDEX(Bank!$H:$H,B747)))</f>
        <v/>
      </c>
      <c r="I747" s="5" t="n">
        <f aca="false">IF(H747="",0,IFERROR(MATCH(H747,GL!$A:$A,0),0))</f>
        <v>0</v>
      </c>
      <c r="J747" s="32" t="str">
        <f aca="false">IF(I747=0,"",INDEX(GL!$B:$B,I747))</f>
        <v/>
      </c>
      <c r="K747" s="5" t="str">
        <f aca="false">IF(I747=0,"",IF(INDEX(GL!$C:$C,I747)="","",INDEX(GL!$C:$C,I747)))</f>
        <v/>
      </c>
      <c r="L747" s="19" t="str">
        <f aca="false">IF(I747=0,"",INDEX(GL!$E:$E,I747))</f>
        <v/>
      </c>
      <c r="M747" s="19" t="str">
        <f aca="false">IF(OR(B747=0,I747=0),"",ROUND(G747-L747,2))</f>
        <v/>
      </c>
      <c r="N747" s="5" t="str">
        <f aca="false">IF(A747="","",IF(B747=0,"NOT FOUND: bank ID",IF(I747=0,"NOT FOUND: GL ID",IF(INDEX(GL!$H:$H,I747)&lt;&gt;A747,"BROKEN: GL points elsewhere",IF(OR(INDEX(Bank!$F:$F,B747)&lt;&gt;"Y",INDEX(GL!$F:$F,I747)&lt;&gt;"Y"),"BROKEN: Status not Y","OK")))))</f>
        <v/>
      </c>
    </row>
    <row r="748" customFormat="false" ht="15" hidden="false" customHeight="false" outlineLevel="0" collapsed="false">
      <c r="A748" s="41"/>
      <c r="B748" s="5" t="n">
        <f aca="false">IF(A748="",0,IFERROR(MATCH(A748,Bank!$A:$A,0),0))</f>
        <v>0</v>
      </c>
      <c r="C748" s="5" t="str">
        <f aca="false">IF(B748=0,"",IF(INDEX(Bank!$G:$G,B748)="","",INDEX(Bank!$G:$G,B748)))</f>
        <v/>
      </c>
      <c r="D748" s="5" t="str">
        <f aca="false">IF(B748=0,"",IF(INDEX(Bank!$J:$J,B748)="","",INDEX(Bank!$J:$J,B748)))</f>
        <v/>
      </c>
      <c r="E748" s="32" t="str">
        <f aca="false">IF(B748=0,"",INDEX(Bank!$B:$B,B748))</f>
        <v/>
      </c>
      <c r="F748" s="5" t="str">
        <f aca="false">IF(B748=0,"",IF(INDEX(Bank!$C:$C,B748)="","",INDEX(Bank!$C:$C,B748)))</f>
        <v/>
      </c>
      <c r="G748" s="19" t="str">
        <f aca="false">IF(B748=0,"",INDEX(Bank!$E:$E,B748))</f>
        <v/>
      </c>
      <c r="H748" s="5" t="str">
        <f aca="false">IF(B748=0,"",IF(INDEX(Bank!$H:$H,B748)="","",INDEX(Bank!$H:$H,B748)))</f>
        <v/>
      </c>
      <c r="I748" s="5" t="n">
        <f aca="false">IF(H748="",0,IFERROR(MATCH(H748,GL!$A:$A,0),0))</f>
        <v>0</v>
      </c>
      <c r="J748" s="32" t="str">
        <f aca="false">IF(I748=0,"",INDEX(GL!$B:$B,I748))</f>
        <v/>
      </c>
      <c r="K748" s="5" t="str">
        <f aca="false">IF(I748=0,"",IF(INDEX(GL!$C:$C,I748)="","",INDEX(GL!$C:$C,I748)))</f>
        <v/>
      </c>
      <c r="L748" s="19" t="str">
        <f aca="false">IF(I748=0,"",INDEX(GL!$E:$E,I748))</f>
        <v/>
      </c>
      <c r="M748" s="19" t="str">
        <f aca="false">IF(OR(B748=0,I748=0),"",ROUND(G748-L748,2))</f>
        <v/>
      </c>
      <c r="N748" s="5" t="str">
        <f aca="false">IF(A748="","",IF(B748=0,"NOT FOUND: bank ID",IF(I748=0,"NOT FOUND: GL ID",IF(INDEX(GL!$H:$H,I748)&lt;&gt;A748,"BROKEN: GL points elsewhere",IF(OR(INDEX(Bank!$F:$F,B748)&lt;&gt;"Y",INDEX(GL!$F:$F,I748)&lt;&gt;"Y"),"BROKEN: Status not Y","OK")))))</f>
        <v/>
      </c>
    </row>
    <row r="749" customFormat="false" ht="15" hidden="false" customHeight="false" outlineLevel="0" collapsed="false">
      <c r="A749" s="41"/>
      <c r="B749" s="5" t="n">
        <f aca="false">IF(A749="",0,IFERROR(MATCH(A749,Bank!$A:$A,0),0))</f>
        <v>0</v>
      </c>
      <c r="C749" s="5" t="str">
        <f aca="false">IF(B749=0,"",IF(INDEX(Bank!$G:$G,B749)="","",INDEX(Bank!$G:$G,B749)))</f>
        <v/>
      </c>
      <c r="D749" s="5" t="str">
        <f aca="false">IF(B749=0,"",IF(INDEX(Bank!$J:$J,B749)="","",INDEX(Bank!$J:$J,B749)))</f>
        <v/>
      </c>
      <c r="E749" s="32" t="str">
        <f aca="false">IF(B749=0,"",INDEX(Bank!$B:$B,B749))</f>
        <v/>
      </c>
      <c r="F749" s="5" t="str">
        <f aca="false">IF(B749=0,"",IF(INDEX(Bank!$C:$C,B749)="","",INDEX(Bank!$C:$C,B749)))</f>
        <v/>
      </c>
      <c r="G749" s="19" t="str">
        <f aca="false">IF(B749=0,"",INDEX(Bank!$E:$E,B749))</f>
        <v/>
      </c>
      <c r="H749" s="5" t="str">
        <f aca="false">IF(B749=0,"",IF(INDEX(Bank!$H:$H,B749)="","",INDEX(Bank!$H:$H,B749)))</f>
        <v/>
      </c>
      <c r="I749" s="5" t="n">
        <f aca="false">IF(H749="",0,IFERROR(MATCH(H749,GL!$A:$A,0),0))</f>
        <v>0</v>
      </c>
      <c r="J749" s="32" t="str">
        <f aca="false">IF(I749=0,"",INDEX(GL!$B:$B,I749))</f>
        <v/>
      </c>
      <c r="K749" s="5" t="str">
        <f aca="false">IF(I749=0,"",IF(INDEX(GL!$C:$C,I749)="","",INDEX(GL!$C:$C,I749)))</f>
        <v/>
      </c>
      <c r="L749" s="19" t="str">
        <f aca="false">IF(I749=0,"",INDEX(GL!$E:$E,I749))</f>
        <v/>
      </c>
      <c r="M749" s="19" t="str">
        <f aca="false">IF(OR(B749=0,I749=0),"",ROUND(G749-L749,2))</f>
        <v/>
      </c>
      <c r="N749" s="5" t="str">
        <f aca="false">IF(A749="","",IF(B749=0,"NOT FOUND: bank ID",IF(I749=0,"NOT FOUND: GL ID",IF(INDEX(GL!$H:$H,I749)&lt;&gt;A749,"BROKEN: GL points elsewhere",IF(OR(INDEX(Bank!$F:$F,B749)&lt;&gt;"Y",INDEX(GL!$F:$F,I749)&lt;&gt;"Y"),"BROKEN: Status not Y","OK")))))</f>
        <v/>
      </c>
    </row>
    <row r="750" customFormat="false" ht="15" hidden="false" customHeight="false" outlineLevel="0" collapsed="false">
      <c r="A750" s="41"/>
      <c r="B750" s="5" t="n">
        <f aca="false">IF(A750="",0,IFERROR(MATCH(A750,Bank!$A:$A,0),0))</f>
        <v>0</v>
      </c>
      <c r="C750" s="5" t="str">
        <f aca="false">IF(B750=0,"",IF(INDEX(Bank!$G:$G,B750)="","",INDEX(Bank!$G:$G,B750)))</f>
        <v/>
      </c>
      <c r="D750" s="5" t="str">
        <f aca="false">IF(B750=0,"",IF(INDEX(Bank!$J:$J,B750)="","",INDEX(Bank!$J:$J,B750)))</f>
        <v/>
      </c>
      <c r="E750" s="32" t="str">
        <f aca="false">IF(B750=0,"",INDEX(Bank!$B:$B,B750))</f>
        <v/>
      </c>
      <c r="F750" s="5" t="str">
        <f aca="false">IF(B750=0,"",IF(INDEX(Bank!$C:$C,B750)="","",INDEX(Bank!$C:$C,B750)))</f>
        <v/>
      </c>
      <c r="G750" s="19" t="str">
        <f aca="false">IF(B750=0,"",INDEX(Bank!$E:$E,B750))</f>
        <v/>
      </c>
      <c r="H750" s="5" t="str">
        <f aca="false">IF(B750=0,"",IF(INDEX(Bank!$H:$H,B750)="","",INDEX(Bank!$H:$H,B750)))</f>
        <v/>
      </c>
      <c r="I750" s="5" t="n">
        <f aca="false">IF(H750="",0,IFERROR(MATCH(H750,GL!$A:$A,0),0))</f>
        <v>0</v>
      </c>
      <c r="J750" s="32" t="str">
        <f aca="false">IF(I750=0,"",INDEX(GL!$B:$B,I750))</f>
        <v/>
      </c>
      <c r="K750" s="5" t="str">
        <f aca="false">IF(I750=0,"",IF(INDEX(GL!$C:$C,I750)="","",INDEX(GL!$C:$C,I750)))</f>
        <v/>
      </c>
      <c r="L750" s="19" t="str">
        <f aca="false">IF(I750=0,"",INDEX(GL!$E:$E,I750))</f>
        <v/>
      </c>
      <c r="M750" s="19" t="str">
        <f aca="false">IF(OR(B750=0,I750=0),"",ROUND(G750-L750,2))</f>
        <v/>
      </c>
      <c r="N750" s="5" t="str">
        <f aca="false">IF(A750="","",IF(B750=0,"NOT FOUND: bank ID",IF(I750=0,"NOT FOUND: GL ID",IF(INDEX(GL!$H:$H,I750)&lt;&gt;A750,"BROKEN: GL points elsewhere",IF(OR(INDEX(Bank!$F:$F,B750)&lt;&gt;"Y",INDEX(GL!$F:$F,I750)&lt;&gt;"Y"),"BROKEN: Status not Y","OK")))))</f>
        <v/>
      </c>
    </row>
    <row r="751" customFormat="false" ht="15" hidden="false" customHeight="false" outlineLevel="0" collapsed="false">
      <c r="A751" s="41"/>
      <c r="B751" s="5" t="n">
        <f aca="false">IF(A751="",0,IFERROR(MATCH(A751,Bank!$A:$A,0),0))</f>
        <v>0</v>
      </c>
      <c r="C751" s="5" t="str">
        <f aca="false">IF(B751=0,"",IF(INDEX(Bank!$G:$G,B751)="","",INDEX(Bank!$G:$G,B751)))</f>
        <v/>
      </c>
      <c r="D751" s="5" t="str">
        <f aca="false">IF(B751=0,"",IF(INDEX(Bank!$J:$J,B751)="","",INDEX(Bank!$J:$J,B751)))</f>
        <v/>
      </c>
      <c r="E751" s="32" t="str">
        <f aca="false">IF(B751=0,"",INDEX(Bank!$B:$B,B751))</f>
        <v/>
      </c>
      <c r="F751" s="5" t="str">
        <f aca="false">IF(B751=0,"",IF(INDEX(Bank!$C:$C,B751)="","",INDEX(Bank!$C:$C,B751)))</f>
        <v/>
      </c>
      <c r="G751" s="19" t="str">
        <f aca="false">IF(B751=0,"",INDEX(Bank!$E:$E,B751))</f>
        <v/>
      </c>
      <c r="H751" s="5" t="str">
        <f aca="false">IF(B751=0,"",IF(INDEX(Bank!$H:$H,B751)="","",INDEX(Bank!$H:$H,B751)))</f>
        <v/>
      </c>
      <c r="I751" s="5" t="n">
        <f aca="false">IF(H751="",0,IFERROR(MATCH(H751,GL!$A:$A,0),0))</f>
        <v>0</v>
      </c>
      <c r="J751" s="32" t="str">
        <f aca="false">IF(I751=0,"",INDEX(GL!$B:$B,I751))</f>
        <v/>
      </c>
      <c r="K751" s="5" t="str">
        <f aca="false">IF(I751=0,"",IF(INDEX(GL!$C:$C,I751)="","",INDEX(GL!$C:$C,I751)))</f>
        <v/>
      </c>
      <c r="L751" s="19" t="str">
        <f aca="false">IF(I751=0,"",INDEX(GL!$E:$E,I751))</f>
        <v/>
      </c>
      <c r="M751" s="19" t="str">
        <f aca="false">IF(OR(B751=0,I751=0),"",ROUND(G751-L751,2))</f>
        <v/>
      </c>
      <c r="N751" s="5" t="str">
        <f aca="false">IF(A751="","",IF(B751=0,"NOT FOUND: bank ID",IF(I751=0,"NOT FOUND: GL ID",IF(INDEX(GL!$H:$H,I751)&lt;&gt;A751,"BROKEN: GL points elsewhere",IF(OR(INDEX(Bank!$F:$F,B751)&lt;&gt;"Y",INDEX(GL!$F:$F,I751)&lt;&gt;"Y"),"BROKEN: Status not Y","OK")))))</f>
        <v/>
      </c>
    </row>
    <row r="752" customFormat="false" ht="15" hidden="false" customHeight="false" outlineLevel="0" collapsed="false">
      <c r="A752" s="41"/>
      <c r="B752" s="5" t="n">
        <f aca="false">IF(A752="",0,IFERROR(MATCH(A752,Bank!$A:$A,0),0))</f>
        <v>0</v>
      </c>
      <c r="C752" s="5" t="str">
        <f aca="false">IF(B752=0,"",IF(INDEX(Bank!$G:$G,B752)="","",INDEX(Bank!$G:$G,B752)))</f>
        <v/>
      </c>
      <c r="D752" s="5" t="str">
        <f aca="false">IF(B752=0,"",IF(INDEX(Bank!$J:$J,B752)="","",INDEX(Bank!$J:$J,B752)))</f>
        <v/>
      </c>
      <c r="E752" s="32" t="str">
        <f aca="false">IF(B752=0,"",INDEX(Bank!$B:$B,B752))</f>
        <v/>
      </c>
      <c r="F752" s="5" t="str">
        <f aca="false">IF(B752=0,"",IF(INDEX(Bank!$C:$C,B752)="","",INDEX(Bank!$C:$C,B752)))</f>
        <v/>
      </c>
      <c r="G752" s="19" t="str">
        <f aca="false">IF(B752=0,"",INDEX(Bank!$E:$E,B752))</f>
        <v/>
      </c>
      <c r="H752" s="5" t="str">
        <f aca="false">IF(B752=0,"",IF(INDEX(Bank!$H:$H,B752)="","",INDEX(Bank!$H:$H,B752)))</f>
        <v/>
      </c>
      <c r="I752" s="5" t="n">
        <f aca="false">IF(H752="",0,IFERROR(MATCH(H752,GL!$A:$A,0),0))</f>
        <v>0</v>
      </c>
      <c r="J752" s="32" t="str">
        <f aca="false">IF(I752=0,"",INDEX(GL!$B:$B,I752))</f>
        <v/>
      </c>
      <c r="K752" s="5" t="str">
        <f aca="false">IF(I752=0,"",IF(INDEX(GL!$C:$C,I752)="","",INDEX(GL!$C:$C,I752)))</f>
        <v/>
      </c>
      <c r="L752" s="19" t="str">
        <f aca="false">IF(I752=0,"",INDEX(GL!$E:$E,I752))</f>
        <v/>
      </c>
      <c r="M752" s="19" t="str">
        <f aca="false">IF(OR(B752=0,I752=0),"",ROUND(G752-L752,2))</f>
        <v/>
      </c>
      <c r="N752" s="5" t="str">
        <f aca="false">IF(A752="","",IF(B752=0,"NOT FOUND: bank ID",IF(I752=0,"NOT FOUND: GL ID",IF(INDEX(GL!$H:$H,I752)&lt;&gt;A752,"BROKEN: GL points elsewhere",IF(OR(INDEX(Bank!$F:$F,B752)&lt;&gt;"Y",INDEX(GL!$F:$F,I752)&lt;&gt;"Y"),"BROKEN: Status not Y","OK")))))</f>
        <v/>
      </c>
    </row>
    <row r="753" customFormat="false" ht="15" hidden="false" customHeight="false" outlineLevel="0" collapsed="false">
      <c r="A753" s="41"/>
      <c r="B753" s="5" t="n">
        <f aca="false">IF(A753="",0,IFERROR(MATCH(A753,Bank!$A:$A,0),0))</f>
        <v>0</v>
      </c>
      <c r="C753" s="5" t="str">
        <f aca="false">IF(B753=0,"",IF(INDEX(Bank!$G:$G,B753)="","",INDEX(Bank!$G:$G,B753)))</f>
        <v/>
      </c>
      <c r="D753" s="5" t="str">
        <f aca="false">IF(B753=0,"",IF(INDEX(Bank!$J:$J,B753)="","",INDEX(Bank!$J:$J,B753)))</f>
        <v/>
      </c>
      <c r="E753" s="32" t="str">
        <f aca="false">IF(B753=0,"",INDEX(Bank!$B:$B,B753))</f>
        <v/>
      </c>
      <c r="F753" s="5" t="str">
        <f aca="false">IF(B753=0,"",IF(INDEX(Bank!$C:$C,B753)="","",INDEX(Bank!$C:$C,B753)))</f>
        <v/>
      </c>
      <c r="G753" s="19" t="str">
        <f aca="false">IF(B753=0,"",INDEX(Bank!$E:$E,B753))</f>
        <v/>
      </c>
      <c r="H753" s="5" t="str">
        <f aca="false">IF(B753=0,"",IF(INDEX(Bank!$H:$H,B753)="","",INDEX(Bank!$H:$H,B753)))</f>
        <v/>
      </c>
      <c r="I753" s="5" t="n">
        <f aca="false">IF(H753="",0,IFERROR(MATCH(H753,GL!$A:$A,0),0))</f>
        <v>0</v>
      </c>
      <c r="J753" s="32" t="str">
        <f aca="false">IF(I753=0,"",INDEX(GL!$B:$B,I753))</f>
        <v/>
      </c>
      <c r="K753" s="5" t="str">
        <f aca="false">IF(I753=0,"",IF(INDEX(GL!$C:$C,I753)="","",INDEX(GL!$C:$C,I753)))</f>
        <v/>
      </c>
      <c r="L753" s="19" t="str">
        <f aca="false">IF(I753=0,"",INDEX(GL!$E:$E,I753))</f>
        <v/>
      </c>
      <c r="M753" s="19" t="str">
        <f aca="false">IF(OR(B753=0,I753=0),"",ROUND(G753-L753,2))</f>
        <v/>
      </c>
      <c r="N753" s="5" t="str">
        <f aca="false">IF(A753="","",IF(B753=0,"NOT FOUND: bank ID",IF(I753=0,"NOT FOUND: GL ID",IF(INDEX(GL!$H:$H,I753)&lt;&gt;A753,"BROKEN: GL points elsewhere",IF(OR(INDEX(Bank!$F:$F,B753)&lt;&gt;"Y",INDEX(GL!$F:$F,I753)&lt;&gt;"Y"),"BROKEN: Status not Y","OK")))))</f>
        <v/>
      </c>
    </row>
    <row r="754" customFormat="false" ht="15" hidden="false" customHeight="false" outlineLevel="0" collapsed="false">
      <c r="A754" s="41"/>
      <c r="B754" s="5" t="n">
        <f aca="false">IF(A754="",0,IFERROR(MATCH(A754,Bank!$A:$A,0),0))</f>
        <v>0</v>
      </c>
      <c r="C754" s="5" t="str">
        <f aca="false">IF(B754=0,"",IF(INDEX(Bank!$G:$G,B754)="","",INDEX(Bank!$G:$G,B754)))</f>
        <v/>
      </c>
      <c r="D754" s="5" t="str">
        <f aca="false">IF(B754=0,"",IF(INDEX(Bank!$J:$J,B754)="","",INDEX(Bank!$J:$J,B754)))</f>
        <v/>
      </c>
      <c r="E754" s="32" t="str">
        <f aca="false">IF(B754=0,"",INDEX(Bank!$B:$B,B754))</f>
        <v/>
      </c>
      <c r="F754" s="5" t="str">
        <f aca="false">IF(B754=0,"",IF(INDEX(Bank!$C:$C,B754)="","",INDEX(Bank!$C:$C,B754)))</f>
        <v/>
      </c>
      <c r="G754" s="19" t="str">
        <f aca="false">IF(B754=0,"",INDEX(Bank!$E:$E,B754))</f>
        <v/>
      </c>
      <c r="H754" s="5" t="str">
        <f aca="false">IF(B754=0,"",IF(INDEX(Bank!$H:$H,B754)="","",INDEX(Bank!$H:$H,B754)))</f>
        <v/>
      </c>
      <c r="I754" s="5" t="n">
        <f aca="false">IF(H754="",0,IFERROR(MATCH(H754,GL!$A:$A,0),0))</f>
        <v>0</v>
      </c>
      <c r="J754" s="32" t="str">
        <f aca="false">IF(I754=0,"",INDEX(GL!$B:$B,I754))</f>
        <v/>
      </c>
      <c r="K754" s="5" t="str">
        <f aca="false">IF(I754=0,"",IF(INDEX(GL!$C:$C,I754)="","",INDEX(GL!$C:$C,I754)))</f>
        <v/>
      </c>
      <c r="L754" s="19" t="str">
        <f aca="false">IF(I754=0,"",INDEX(GL!$E:$E,I754))</f>
        <v/>
      </c>
      <c r="M754" s="19" t="str">
        <f aca="false">IF(OR(B754=0,I754=0),"",ROUND(G754-L754,2))</f>
        <v/>
      </c>
      <c r="N754" s="5" t="str">
        <f aca="false">IF(A754="","",IF(B754=0,"NOT FOUND: bank ID",IF(I754=0,"NOT FOUND: GL ID",IF(INDEX(GL!$H:$H,I754)&lt;&gt;A754,"BROKEN: GL points elsewhere",IF(OR(INDEX(Bank!$F:$F,B754)&lt;&gt;"Y",INDEX(GL!$F:$F,I754)&lt;&gt;"Y"),"BROKEN: Status not Y","OK")))))</f>
        <v/>
      </c>
    </row>
    <row r="755" customFormat="false" ht="15" hidden="false" customHeight="false" outlineLevel="0" collapsed="false">
      <c r="A755" s="41"/>
      <c r="B755" s="5" t="n">
        <f aca="false">IF(A755="",0,IFERROR(MATCH(A755,Bank!$A:$A,0),0))</f>
        <v>0</v>
      </c>
      <c r="C755" s="5" t="str">
        <f aca="false">IF(B755=0,"",IF(INDEX(Bank!$G:$G,B755)="","",INDEX(Bank!$G:$G,B755)))</f>
        <v/>
      </c>
      <c r="D755" s="5" t="str">
        <f aca="false">IF(B755=0,"",IF(INDEX(Bank!$J:$J,B755)="","",INDEX(Bank!$J:$J,B755)))</f>
        <v/>
      </c>
      <c r="E755" s="32" t="str">
        <f aca="false">IF(B755=0,"",INDEX(Bank!$B:$B,B755))</f>
        <v/>
      </c>
      <c r="F755" s="5" t="str">
        <f aca="false">IF(B755=0,"",IF(INDEX(Bank!$C:$C,B755)="","",INDEX(Bank!$C:$C,B755)))</f>
        <v/>
      </c>
      <c r="G755" s="19" t="str">
        <f aca="false">IF(B755=0,"",INDEX(Bank!$E:$E,B755))</f>
        <v/>
      </c>
      <c r="H755" s="5" t="str">
        <f aca="false">IF(B755=0,"",IF(INDEX(Bank!$H:$H,B755)="","",INDEX(Bank!$H:$H,B755)))</f>
        <v/>
      </c>
      <c r="I755" s="5" t="n">
        <f aca="false">IF(H755="",0,IFERROR(MATCH(H755,GL!$A:$A,0),0))</f>
        <v>0</v>
      </c>
      <c r="J755" s="32" t="str">
        <f aca="false">IF(I755=0,"",INDEX(GL!$B:$B,I755))</f>
        <v/>
      </c>
      <c r="K755" s="5" t="str">
        <f aca="false">IF(I755=0,"",IF(INDEX(GL!$C:$C,I755)="","",INDEX(GL!$C:$C,I755)))</f>
        <v/>
      </c>
      <c r="L755" s="19" t="str">
        <f aca="false">IF(I755=0,"",INDEX(GL!$E:$E,I755))</f>
        <v/>
      </c>
      <c r="M755" s="19" t="str">
        <f aca="false">IF(OR(B755=0,I755=0),"",ROUND(G755-L755,2))</f>
        <v/>
      </c>
      <c r="N755" s="5" t="str">
        <f aca="false">IF(A755="","",IF(B755=0,"NOT FOUND: bank ID",IF(I755=0,"NOT FOUND: GL ID",IF(INDEX(GL!$H:$H,I755)&lt;&gt;A755,"BROKEN: GL points elsewhere",IF(OR(INDEX(Bank!$F:$F,B755)&lt;&gt;"Y",INDEX(GL!$F:$F,I755)&lt;&gt;"Y"),"BROKEN: Status not Y","OK")))))</f>
        <v/>
      </c>
    </row>
    <row r="756" customFormat="false" ht="15" hidden="false" customHeight="false" outlineLevel="0" collapsed="false">
      <c r="A756" s="41"/>
      <c r="B756" s="5" t="n">
        <f aca="false">IF(A756="",0,IFERROR(MATCH(A756,Bank!$A:$A,0),0))</f>
        <v>0</v>
      </c>
      <c r="C756" s="5" t="str">
        <f aca="false">IF(B756=0,"",IF(INDEX(Bank!$G:$G,B756)="","",INDEX(Bank!$G:$G,B756)))</f>
        <v/>
      </c>
      <c r="D756" s="5" t="str">
        <f aca="false">IF(B756=0,"",IF(INDEX(Bank!$J:$J,B756)="","",INDEX(Bank!$J:$J,B756)))</f>
        <v/>
      </c>
      <c r="E756" s="32" t="str">
        <f aca="false">IF(B756=0,"",INDEX(Bank!$B:$B,B756))</f>
        <v/>
      </c>
      <c r="F756" s="5" t="str">
        <f aca="false">IF(B756=0,"",IF(INDEX(Bank!$C:$C,B756)="","",INDEX(Bank!$C:$C,B756)))</f>
        <v/>
      </c>
      <c r="G756" s="19" t="str">
        <f aca="false">IF(B756=0,"",INDEX(Bank!$E:$E,B756))</f>
        <v/>
      </c>
      <c r="H756" s="5" t="str">
        <f aca="false">IF(B756=0,"",IF(INDEX(Bank!$H:$H,B756)="","",INDEX(Bank!$H:$H,B756)))</f>
        <v/>
      </c>
      <c r="I756" s="5" t="n">
        <f aca="false">IF(H756="",0,IFERROR(MATCH(H756,GL!$A:$A,0),0))</f>
        <v>0</v>
      </c>
      <c r="J756" s="32" t="str">
        <f aca="false">IF(I756=0,"",INDEX(GL!$B:$B,I756))</f>
        <v/>
      </c>
      <c r="K756" s="5" t="str">
        <f aca="false">IF(I756=0,"",IF(INDEX(GL!$C:$C,I756)="","",INDEX(GL!$C:$C,I756)))</f>
        <v/>
      </c>
      <c r="L756" s="19" t="str">
        <f aca="false">IF(I756=0,"",INDEX(GL!$E:$E,I756))</f>
        <v/>
      </c>
      <c r="M756" s="19" t="str">
        <f aca="false">IF(OR(B756=0,I756=0),"",ROUND(G756-L756,2))</f>
        <v/>
      </c>
      <c r="N756" s="5" t="str">
        <f aca="false">IF(A756="","",IF(B756=0,"NOT FOUND: bank ID",IF(I756=0,"NOT FOUND: GL ID",IF(INDEX(GL!$H:$H,I756)&lt;&gt;A756,"BROKEN: GL points elsewhere",IF(OR(INDEX(Bank!$F:$F,B756)&lt;&gt;"Y",INDEX(GL!$F:$F,I756)&lt;&gt;"Y"),"BROKEN: Status not Y","OK")))))</f>
        <v/>
      </c>
    </row>
    <row r="757" customFormat="false" ht="15" hidden="false" customHeight="false" outlineLevel="0" collapsed="false">
      <c r="A757" s="41"/>
      <c r="B757" s="5" t="n">
        <f aca="false">IF(A757="",0,IFERROR(MATCH(A757,Bank!$A:$A,0),0))</f>
        <v>0</v>
      </c>
      <c r="C757" s="5" t="str">
        <f aca="false">IF(B757=0,"",IF(INDEX(Bank!$G:$G,B757)="","",INDEX(Bank!$G:$G,B757)))</f>
        <v/>
      </c>
      <c r="D757" s="5" t="str">
        <f aca="false">IF(B757=0,"",IF(INDEX(Bank!$J:$J,B757)="","",INDEX(Bank!$J:$J,B757)))</f>
        <v/>
      </c>
      <c r="E757" s="32" t="str">
        <f aca="false">IF(B757=0,"",INDEX(Bank!$B:$B,B757))</f>
        <v/>
      </c>
      <c r="F757" s="5" t="str">
        <f aca="false">IF(B757=0,"",IF(INDEX(Bank!$C:$C,B757)="","",INDEX(Bank!$C:$C,B757)))</f>
        <v/>
      </c>
      <c r="G757" s="19" t="str">
        <f aca="false">IF(B757=0,"",INDEX(Bank!$E:$E,B757))</f>
        <v/>
      </c>
      <c r="H757" s="5" t="str">
        <f aca="false">IF(B757=0,"",IF(INDEX(Bank!$H:$H,B757)="","",INDEX(Bank!$H:$H,B757)))</f>
        <v/>
      </c>
      <c r="I757" s="5" t="n">
        <f aca="false">IF(H757="",0,IFERROR(MATCH(H757,GL!$A:$A,0),0))</f>
        <v>0</v>
      </c>
      <c r="J757" s="32" t="str">
        <f aca="false">IF(I757=0,"",INDEX(GL!$B:$B,I757))</f>
        <v/>
      </c>
      <c r="K757" s="5" t="str">
        <f aca="false">IF(I757=0,"",IF(INDEX(GL!$C:$C,I757)="","",INDEX(GL!$C:$C,I757)))</f>
        <v/>
      </c>
      <c r="L757" s="19" t="str">
        <f aca="false">IF(I757=0,"",INDEX(GL!$E:$E,I757))</f>
        <v/>
      </c>
      <c r="M757" s="19" t="str">
        <f aca="false">IF(OR(B757=0,I757=0),"",ROUND(G757-L757,2))</f>
        <v/>
      </c>
      <c r="N757" s="5" t="str">
        <f aca="false">IF(A757="","",IF(B757=0,"NOT FOUND: bank ID",IF(I757=0,"NOT FOUND: GL ID",IF(INDEX(GL!$H:$H,I757)&lt;&gt;A757,"BROKEN: GL points elsewhere",IF(OR(INDEX(Bank!$F:$F,B757)&lt;&gt;"Y",INDEX(GL!$F:$F,I757)&lt;&gt;"Y"),"BROKEN: Status not Y","OK")))))</f>
        <v/>
      </c>
    </row>
    <row r="758" customFormat="false" ht="15" hidden="false" customHeight="false" outlineLevel="0" collapsed="false">
      <c r="A758" s="41"/>
      <c r="B758" s="5" t="n">
        <f aca="false">IF(A758="",0,IFERROR(MATCH(A758,Bank!$A:$A,0),0))</f>
        <v>0</v>
      </c>
      <c r="C758" s="5" t="str">
        <f aca="false">IF(B758=0,"",IF(INDEX(Bank!$G:$G,B758)="","",INDEX(Bank!$G:$G,B758)))</f>
        <v/>
      </c>
      <c r="D758" s="5" t="str">
        <f aca="false">IF(B758=0,"",IF(INDEX(Bank!$J:$J,B758)="","",INDEX(Bank!$J:$J,B758)))</f>
        <v/>
      </c>
      <c r="E758" s="32" t="str">
        <f aca="false">IF(B758=0,"",INDEX(Bank!$B:$B,B758))</f>
        <v/>
      </c>
      <c r="F758" s="5" t="str">
        <f aca="false">IF(B758=0,"",IF(INDEX(Bank!$C:$C,B758)="","",INDEX(Bank!$C:$C,B758)))</f>
        <v/>
      </c>
      <c r="G758" s="19" t="str">
        <f aca="false">IF(B758=0,"",INDEX(Bank!$E:$E,B758))</f>
        <v/>
      </c>
      <c r="H758" s="5" t="str">
        <f aca="false">IF(B758=0,"",IF(INDEX(Bank!$H:$H,B758)="","",INDEX(Bank!$H:$H,B758)))</f>
        <v/>
      </c>
      <c r="I758" s="5" t="n">
        <f aca="false">IF(H758="",0,IFERROR(MATCH(H758,GL!$A:$A,0),0))</f>
        <v>0</v>
      </c>
      <c r="J758" s="32" t="str">
        <f aca="false">IF(I758=0,"",INDEX(GL!$B:$B,I758))</f>
        <v/>
      </c>
      <c r="K758" s="5" t="str">
        <f aca="false">IF(I758=0,"",IF(INDEX(GL!$C:$C,I758)="","",INDEX(GL!$C:$C,I758)))</f>
        <v/>
      </c>
      <c r="L758" s="19" t="str">
        <f aca="false">IF(I758=0,"",INDEX(GL!$E:$E,I758))</f>
        <v/>
      </c>
      <c r="M758" s="19" t="str">
        <f aca="false">IF(OR(B758=0,I758=0),"",ROUND(G758-L758,2))</f>
        <v/>
      </c>
      <c r="N758" s="5" t="str">
        <f aca="false">IF(A758="","",IF(B758=0,"NOT FOUND: bank ID",IF(I758=0,"NOT FOUND: GL ID",IF(INDEX(GL!$H:$H,I758)&lt;&gt;A758,"BROKEN: GL points elsewhere",IF(OR(INDEX(Bank!$F:$F,B758)&lt;&gt;"Y",INDEX(GL!$F:$F,I758)&lt;&gt;"Y"),"BROKEN: Status not Y","OK")))))</f>
        <v/>
      </c>
    </row>
    <row r="759" customFormat="false" ht="15" hidden="false" customHeight="false" outlineLevel="0" collapsed="false">
      <c r="A759" s="41"/>
      <c r="B759" s="5" t="n">
        <f aca="false">IF(A759="",0,IFERROR(MATCH(A759,Bank!$A:$A,0),0))</f>
        <v>0</v>
      </c>
      <c r="C759" s="5" t="str">
        <f aca="false">IF(B759=0,"",IF(INDEX(Bank!$G:$G,B759)="","",INDEX(Bank!$G:$G,B759)))</f>
        <v/>
      </c>
      <c r="D759" s="5" t="str">
        <f aca="false">IF(B759=0,"",IF(INDEX(Bank!$J:$J,B759)="","",INDEX(Bank!$J:$J,B759)))</f>
        <v/>
      </c>
      <c r="E759" s="32" t="str">
        <f aca="false">IF(B759=0,"",INDEX(Bank!$B:$B,B759))</f>
        <v/>
      </c>
      <c r="F759" s="5" t="str">
        <f aca="false">IF(B759=0,"",IF(INDEX(Bank!$C:$C,B759)="","",INDEX(Bank!$C:$C,B759)))</f>
        <v/>
      </c>
      <c r="G759" s="19" t="str">
        <f aca="false">IF(B759=0,"",INDEX(Bank!$E:$E,B759))</f>
        <v/>
      </c>
      <c r="H759" s="5" t="str">
        <f aca="false">IF(B759=0,"",IF(INDEX(Bank!$H:$H,B759)="","",INDEX(Bank!$H:$H,B759)))</f>
        <v/>
      </c>
      <c r="I759" s="5" t="n">
        <f aca="false">IF(H759="",0,IFERROR(MATCH(H759,GL!$A:$A,0),0))</f>
        <v>0</v>
      </c>
      <c r="J759" s="32" t="str">
        <f aca="false">IF(I759=0,"",INDEX(GL!$B:$B,I759))</f>
        <v/>
      </c>
      <c r="K759" s="5" t="str">
        <f aca="false">IF(I759=0,"",IF(INDEX(GL!$C:$C,I759)="","",INDEX(GL!$C:$C,I759)))</f>
        <v/>
      </c>
      <c r="L759" s="19" t="str">
        <f aca="false">IF(I759=0,"",INDEX(GL!$E:$E,I759))</f>
        <v/>
      </c>
      <c r="M759" s="19" t="str">
        <f aca="false">IF(OR(B759=0,I759=0),"",ROUND(G759-L759,2))</f>
        <v/>
      </c>
      <c r="N759" s="5" t="str">
        <f aca="false">IF(A759="","",IF(B759=0,"NOT FOUND: bank ID",IF(I759=0,"NOT FOUND: GL ID",IF(INDEX(GL!$H:$H,I759)&lt;&gt;A759,"BROKEN: GL points elsewhere",IF(OR(INDEX(Bank!$F:$F,B759)&lt;&gt;"Y",INDEX(GL!$F:$F,I759)&lt;&gt;"Y"),"BROKEN: Status not Y","OK")))))</f>
        <v/>
      </c>
    </row>
    <row r="760" customFormat="false" ht="15" hidden="false" customHeight="false" outlineLevel="0" collapsed="false">
      <c r="A760" s="41"/>
      <c r="B760" s="5" t="n">
        <f aca="false">IF(A760="",0,IFERROR(MATCH(A760,Bank!$A:$A,0),0))</f>
        <v>0</v>
      </c>
      <c r="C760" s="5" t="str">
        <f aca="false">IF(B760=0,"",IF(INDEX(Bank!$G:$G,B760)="","",INDEX(Bank!$G:$G,B760)))</f>
        <v/>
      </c>
      <c r="D760" s="5" t="str">
        <f aca="false">IF(B760=0,"",IF(INDEX(Bank!$J:$J,B760)="","",INDEX(Bank!$J:$J,B760)))</f>
        <v/>
      </c>
      <c r="E760" s="32" t="str">
        <f aca="false">IF(B760=0,"",INDEX(Bank!$B:$B,B760))</f>
        <v/>
      </c>
      <c r="F760" s="5" t="str">
        <f aca="false">IF(B760=0,"",IF(INDEX(Bank!$C:$C,B760)="","",INDEX(Bank!$C:$C,B760)))</f>
        <v/>
      </c>
      <c r="G760" s="19" t="str">
        <f aca="false">IF(B760=0,"",INDEX(Bank!$E:$E,B760))</f>
        <v/>
      </c>
      <c r="H760" s="5" t="str">
        <f aca="false">IF(B760=0,"",IF(INDEX(Bank!$H:$H,B760)="","",INDEX(Bank!$H:$H,B760)))</f>
        <v/>
      </c>
      <c r="I760" s="5" t="n">
        <f aca="false">IF(H760="",0,IFERROR(MATCH(H760,GL!$A:$A,0),0))</f>
        <v>0</v>
      </c>
      <c r="J760" s="32" t="str">
        <f aca="false">IF(I760=0,"",INDEX(GL!$B:$B,I760))</f>
        <v/>
      </c>
      <c r="K760" s="5" t="str">
        <f aca="false">IF(I760=0,"",IF(INDEX(GL!$C:$C,I760)="","",INDEX(GL!$C:$C,I760)))</f>
        <v/>
      </c>
      <c r="L760" s="19" t="str">
        <f aca="false">IF(I760=0,"",INDEX(GL!$E:$E,I760))</f>
        <v/>
      </c>
      <c r="M760" s="19" t="str">
        <f aca="false">IF(OR(B760=0,I760=0),"",ROUND(G760-L760,2))</f>
        <v/>
      </c>
      <c r="N760" s="5" t="str">
        <f aca="false">IF(A760="","",IF(B760=0,"NOT FOUND: bank ID",IF(I760=0,"NOT FOUND: GL ID",IF(INDEX(GL!$H:$H,I760)&lt;&gt;A760,"BROKEN: GL points elsewhere",IF(OR(INDEX(Bank!$F:$F,B760)&lt;&gt;"Y",INDEX(GL!$F:$F,I760)&lt;&gt;"Y"),"BROKEN: Status not Y","OK")))))</f>
        <v/>
      </c>
    </row>
    <row r="761" customFormat="false" ht="15" hidden="false" customHeight="false" outlineLevel="0" collapsed="false">
      <c r="A761" s="41"/>
      <c r="B761" s="5" t="n">
        <f aca="false">IF(A761="",0,IFERROR(MATCH(A761,Bank!$A:$A,0),0))</f>
        <v>0</v>
      </c>
      <c r="C761" s="5" t="str">
        <f aca="false">IF(B761=0,"",IF(INDEX(Bank!$G:$G,B761)="","",INDEX(Bank!$G:$G,B761)))</f>
        <v/>
      </c>
      <c r="D761" s="5" t="str">
        <f aca="false">IF(B761=0,"",IF(INDEX(Bank!$J:$J,B761)="","",INDEX(Bank!$J:$J,B761)))</f>
        <v/>
      </c>
      <c r="E761" s="32" t="str">
        <f aca="false">IF(B761=0,"",INDEX(Bank!$B:$B,B761))</f>
        <v/>
      </c>
      <c r="F761" s="5" t="str">
        <f aca="false">IF(B761=0,"",IF(INDEX(Bank!$C:$C,B761)="","",INDEX(Bank!$C:$C,B761)))</f>
        <v/>
      </c>
      <c r="G761" s="19" t="str">
        <f aca="false">IF(B761=0,"",INDEX(Bank!$E:$E,B761))</f>
        <v/>
      </c>
      <c r="H761" s="5" t="str">
        <f aca="false">IF(B761=0,"",IF(INDEX(Bank!$H:$H,B761)="","",INDEX(Bank!$H:$H,B761)))</f>
        <v/>
      </c>
      <c r="I761" s="5" t="n">
        <f aca="false">IF(H761="",0,IFERROR(MATCH(H761,GL!$A:$A,0),0))</f>
        <v>0</v>
      </c>
      <c r="J761" s="32" t="str">
        <f aca="false">IF(I761=0,"",INDEX(GL!$B:$B,I761))</f>
        <v/>
      </c>
      <c r="K761" s="5" t="str">
        <f aca="false">IF(I761=0,"",IF(INDEX(GL!$C:$C,I761)="","",INDEX(GL!$C:$C,I761)))</f>
        <v/>
      </c>
      <c r="L761" s="19" t="str">
        <f aca="false">IF(I761=0,"",INDEX(GL!$E:$E,I761))</f>
        <v/>
      </c>
      <c r="M761" s="19" t="str">
        <f aca="false">IF(OR(B761=0,I761=0),"",ROUND(G761-L761,2))</f>
        <v/>
      </c>
      <c r="N761" s="5" t="str">
        <f aca="false">IF(A761="","",IF(B761=0,"NOT FOUND: bank ID",IF(I761=0,"NOT FOUND: GL ID",IF(INDEX(GL!$H:$H,I761)&lt;&gt;A761,"BROKEN: GL points elsewhere",IF(OR(INDEX(Bank!$F:$F,B761)&lt;&gt;"Y",INDEX(GL!$F:$F,I761)&lt;&gt;"Y"),"BROKEN: Status not Y","OK")))))</f>
        <v/>
      </c>
    </row>
    <row r="762" customFormat="false" ht="15" hidden="false" customHeight="false" outlineLevel="0" collapsed="false">
      <c r="A762" s="41"/>
      <c r="B762" s="5" t="n">
        <f aca="false">IF(A762="",0,IFERROR(MATCH(A762,Bank!$A:$A,0),0))</f>
        <v>0</v>
      </c>
      <c r="C762" s="5" t="str">
        <f aca="false">IF(B762=0,"",IF(INDEX(Bank!$G:$G,B762)="","",INDEX(Bank!$G:$G,B762)))</f>
        <v/>
      </c>
      <c r="D762" s="5" t="str">
        <f aca="false">IF(B762=0,"",IF(INDEX(Bank!$J:$J,B762)="","",INDEX(Bank!$J:$J,B762)))</f>
        <v/>
      </c>
      <c r="E762" s="32" t="str">
        <f aca="false">IF(B762=0,"",INDEX(Bank!$B:$B,B762))</f>
        <v/>
      </c>
      <c r="F762" s="5" t="str">
        <f aca="false">IF(B762=0,"",IF(INDEX(Bank!$C:$C,B762)="","",INDEX(Bank!$C:$C,B762)))</f>
        <v/>
      </c>
      <c r="G762" s="19" t="str">
        <f aca="false">IF(B762=0,"",INDEX(Bank!$E:$E,B762))</f>
        <v/>
      </c>
      <c r="H762" s="5" t="str">
        <f aca="false">IF(B762=0,"",IF(INDEX(Bank!$H:$H,B762)="","",INDEX(Bank!$H:$H,B762)))</f>
        <v/>
      </c>
      <c r="I762" s="5" t="n">
        <f aca="false">IF(H762="",0,IFERROR(MATCH(H762,GL!$A:$A,0),0))</f>
        <v>0</v>
      </c>
      <c r="J762" s="32" t="str">
        <f aca="false">IF(I762=0,"",INDEX(GL!$B:$B,I762))</f>
        <v/>
      </c>
      <c r="K762" s="5" t="str">
        <f aca="false">IF(I762=0,"",IF(INDEX(GL!$C:$C,I762)="","",INDEX(GL!$C:$C,I762)))</f>
        <v/>
      </c>
      <c r="L762" s="19" t="str">
        <f aca="false">IF(I762=0,"",INDEX(GL!$E:$E,I762))</f>
        <v/>
      </c>
      <c r="M762" s="19" t="str">
        <f aca="false">IF(OR(B762=0,I762=0),"",ROUND(G762-L762,2))</f>
        <v/>
      </c>
      <c r="N762" s="5" t="str">
        <f aca="false">IF(A762="","",IF(B762=0,"NOT FOUND: bank ID",IF(I762=0,"NOT FOUND: GL ID",IF(INDEX(GL!$H:$H,I762)&lt;&gt;A762,"BROKEN: GL points elsewhere",IF(OR(INDEX(Bank!$F:$F,B762)&lt;&gt;"Y",INDEX(GL!$F:$F,I762)&lt;&gt;"Y"),"BROKEN: Status not Y","OK")))))</f>
        <v/>
      </c>
    </row>
    <row r="763" customFormat="false" ht="15" hidden="false" customHeight="false" outlineLevel="0" collapsed="false">
      <c r="A763" s="41"/>
      <c r="B763" s="5" t="n">
        <f aca="false">IF(A763="",0,IFERROR(MATCH(A763,Bank!$A:$A,0),0))</f>
        <v>0</v>
      </c>
      <c r="C763" s="5" t="str">
        <f aca="false">IF(B763=0,"",IF(INDEX(Bank!$G:$G,B763)="","",INDEX(Bank!$G:$G,B763)))</f>
        <v/>
      </c>
      <c r="D763" s="5" t="str">
        <f aca="false">IF(B763=0,"",IF(INDEX(Bank!$J:$J,B763)="","",INDEX(Bank!$J:$J,B763)))</f>
        <v/>
      </c>
      <c r="E763" s="32" t="str">
        <f aca="false">IF(B763=0,"",INDEX(Bank!$B:$B,B763))</f>
        <v/>
      </c>
      <c r="F763" s="5" t="str">
        <f aca="false">IF(B763=0,"",IF(INDEX(Bank!$C:$C,B763)="","",INDEX(Bank!$C:$C,B763)))</f>
        <v/>
      </c>
      <c r="G763" s="19" t="str">
        <f aca="false">IF(B763=0,"",INDEX(Bank!$E:$E,B763))</f>
        <v/>
      </c>
      <c r="H763" s="5" t="str">
        <f aca="false">IF(B763=0,"",IF(INDEX(Bank!$H:$H,B763)="","",INDEX(Bank!$H:$H,B763)))</f>
        <v/>
      </c>
      <c r="I763" s="5" t="n">
        <f aca="false">IF(H763="",0,IFERROR(MATCH(H763,GL!$A:$A,0),0))</f>
        <v>0</v>
      </c>
      <c r="J763" s="32" t="str">
        <f aca="false">IF(I763=0,"",INDEX(GL!$B:$B,I763))</f>
        <v/>
      </c>
      <c r="K763" s="5" t="str">
        <f aca="false">IF(I763=0,"",IF(INDEX(GL!$C:$C,I763)="","",INDEX(GL!$C:$C,I763)))</f>
        <v/>
      </c>
      <c r="L763" s="19" t="str">
        <f aca="false">IF(I763=0,"",INDEX(GL!$E:$E,I763))</f>
        <v/>
      </c>
      <c r="M763" s="19" t="str">
        <f aca="false">IF(OR(B763=0,I763=0),"",ROUND(G763-L763,2))</f>
        <v/>
      </c>
      <c r="N763" s="5" t="str">
        <f aca="false">IF(A763="","",IF(B763=0,"NOT FOUND: bank ID",IF(I763=0,"NOT FOUND: GL ID",IF(INDEX(GL!$H:$H,I763)&lt;&gt;A763,"BROKEN: GL points elsewhere",IF(OR(INDEX(Bank!$F:$F,B763)&lt;&gt;"Y",INDEX(GL!$F:$F,I763)&lt;&gt;"Y"),"BROKEN: Status not Y","OK")))))</f>
        <v/>
      </c>
    </row>
    <row r="764" customFormat="false" ht="15" hidden="false" customHeight="false" outlineLevel="0" collapsed="false">
      <c r="A764" s="41"/>
      <c r="B764" s="5" t="n">
        <f aca="false">IF(A764="",0,IFERROR(MATCH(A764,Bank!$A:$A,0),0))</f>
        <v>0</v>
      </c>
      <c r="C764" s="5" t="str">
        <f aca="false">IF(B764=0,"",IF(INDEX(Bank!$G:$G,B764)="","",INDEX(Bank!$G:$G,B764)))</f>
        <v/>
      </c>
      <c r="D764" s="5" t="str">
        <f aca="false">IF(B764=0,"",IF(INDEX(Bank!$J:$J,B764)="","",INDEX(Bank!$J:$J,B764)))</f>
        <v/>
      </c>
      <c r="E764" s="32" t="str">
        <f aca="false">IF(B764=0,"",INDEX(Bank!$B:$B,B764))</f>
        <v/>
      </c>
      <c r="F764" s="5" t="str">
        <f aca="false">IF(B764=0,"",IF(INDEX(Bank!$C:$C,B764)="","",INDEX(Bank!$C:$C,B764)))</f>
        <v/>
      </c>
      <c r="G764" s="19" t="str">
        <f aca="false">IF(B764=0,"",INDEX(Bank!$E:$E,B764))</f>
        <v/>
      </c>
      <c r="H764" s="5" t="str">
        <f aca="false">IF(B764=0,"",IF(INDEX(Bank!$H:$H,B764)="","",INDEX(Bank!$H:$H,B764)))</f>
        <v/>
      </c>
      <c r="I764" s="5" t="n">
        <f aca="false">IF(H764="",0,IFERROR(MATCH(H764,GL!$A:$A,0),0))</f>
        <v>0</v>
      </c>
      <c r="J764" s="32" t="str">
        <f aca="false">IF(I764=0,"",INDEX(GL!$B:$B,I764))</f>
        <v/>
      </c>
      <c r="K764" s="5" t="str">
        <f aca="false">IF(I764=0,"",IF(INDEX(GL!$C:$C,I764)="","",INDEX(GL!$C:$C,I764)))</f>
        <v/>
      </c>
      <c r="L764" s="19" t="str">
        <f aca="false">IF(I764=0,"",INDEX(GL!$E:$E,I764))</f>
        <v/>
      </c>
      <c r="M764" s="19" t="str">
        <f aca="false">IF(OR(B764=0,I764=0),"",ROUND(G764-L764,2))</f>
        <v/>
      </c>
      <c r="N764" s="5" t="str">
        <f aca="false">IF(A764="","",IF(B764=0,"NOT FOUND: bank ID",IF(I764=0,"NOT FOUND: GL ID",IF(INDEX(GL!$H:$H,I764)&lt;&gt;A764,"BROKEN: GL points elsewhere",IF(OR(INDEX(Bank!$F:$F,B764)&lt;&gt;"Y",INDEX(GL!$F:$F,I764)&lt;&gt;"Y"),"BROKEN: Status not Y","OK")))))</f>
        <v/>
      </c>
    </row>
    <row r="765" customFormat="false" ht="15" hidden="false" customHeight="false" outlineLevel="0" collapsed="false">
      <c r="A765" s="41"/>
      <c r="B765" s="5" t="n">
        <f aca="false">IF(A765="",0,IFERROR(MATCH(A765,Bank!$A:$A,0),0))</f>
        <v>0</v>
      </c>
      <c r="C765" s="5" t="str">
        <f aca="false">IF(B765=0,"",IF(INDEX(Bank!$G:$G,B765)="","",INDEX(Bank!$G:$G,B765)))</f>
        <v/>
      </c>
      <c r="D765" s="5" t="str">
        <f aca="false">IF(B765=0,"",IF(INDEX(Bank!$J:$J,B765)="","",INDEX(Bank!$J:$J,B765)))</f>
        <v/>
      </c>
      <c r="E765" s="32" t="str">
        <f aca="false">IF(B765=0,"",INDEX(Bank!$B:$B,B765))</f>
        <v/>
      </c>
      <c r="F765" s="5" t="str">
        <f aca="false">IF(B765=0,"",IF(INDEX(Bank!$C:$C,B765)="","",INDEX(Bank!$C:$C,B765)))</f>
        <v/>
      </c>
      <c r="G765" s="19" t="str">
        <f aca="false">IF(B765=0,"",INDEX(Bank!$E:$E,B765))</f>
        <v/>
      </c>
      <c r="H765" s="5" t="str">
        <f aca="false">IF(B765=0,"",IF(INDEX(Bank!$H:$H,B765)="","",INDEX(Bank!$H:$H,B765)))</f>
        <v/>
      </c>
      <c r="I765" s="5" t="n">
        <f aca="false">IF(H765="",0,IFERROR(MATCH(H765,GL!$A:$A,0),0))</f>
        <v>0</v>
      </c>
      <c r="J765" s="32" t="str">
        <f aca="false">IF(I765=0,"",INDEX(GL!$B:$B,I765))</f>
        <v/>
      </c>
      <c r="K765" s="5" t="str">
        <f aca="false">IF(I765=0,"",IF(INDEX(GL!$C:$C,I765)="","",INDEX(GL!$C:$C,I765)))</f>
        <v/>
      </c>
      <c r="L765" s="19" t="str">
        <f aca="false">IF(I765=0,"",INDEX(GL!$E:$E,I765))</f>
        <v/>
      </c>
      <c r="M765" s="19" t="str">
        <f aca="false">IF(OR(B765=0,I765=0),"",ROUND(G765-L765,2))</f>
        <v/>
      </c>
      <c r="N765" s="5" t="str">
        <f aca="false">IF(A765="","",IF(B765=0,"NOT FOUND: bank ID",IF(I765=0,"NOT FOUND: GL ID",IF(INDEX(GL!$H:$H,I765)&lt;&gt;A765,"BROKEN: GL points elsewhere",IF(OR(INDEX(Bank!$F:$F,B765)&lt;&gt;"Y",INDEX(GL!$F:$F,I765)&lt;&gt;"Y"),"BROKEN: Status not Y","OK")))))</f>
        <v/>
      </c>
    </row>
    <row r="766" customFormat="false" ht="15" hidden="false" customHeight="false" outlineLevel="0" collapsed="false">
      <c r="A766" s="41"/>
      <c r="B766" s="5" t="n">
        <f aca="false">IF(A766="",0,IFERROR(MATCH(A766,Bank!$A:$A,0),0))</f>
        <v>0</v>
      </c>
      <c r="C766" s="5" t="str">
        <f aca="false">IF(B766=0,"",IF(INDEX(Bank!$G:$G,B766)="","",INDEX(Bank!$G:$G,B766)))</f>
        <v/>
      </c>
      <c r="D766" s="5" t="str">
        <f aca="false">IF(B766=0,"",IF(INDEX(Bank!$J:$J,B766)="","",INDEX(Bank!$J:$J,B766)))</f>
        <v/>
      </c>
      <c r="E766" s="32" t="str">
        <f aca="false">IF(B766=0,"",INDEX(Bank!$B:$B,B766))</f>
        <v/>
      </c>
      <c r="F766" s="5" t="str">
        <f aca="false">IF(B766=0,"",IF(INDEX(Bank!$C:$C,B766)="","",INDEX(Bank!$C:$C,B766)))</f>
        <v/>
      </c>
      <c r="G766" s="19" t="str">
        <f aca="false">IF(B766=0,"",INDEX(Bank!$E:$E,B766))</f>
        <v/>
      </c>
      <c r="H766" s="5" t="str">
        <f aca="false">IF(B766=0,"",IF(INDEX(Bank!$H:$H,B766)="","",INDEX(Bank!$H:$H,B766)))</f>
        <v/>
      </c>
      <c r="I766" s="5" t="n">
        <f aca="false">IF(H766="",0,IFERROR(MATCH(H766,GL!$A:$A,0),0))</f>
        <v>0</v>
      </c>
      <c r="J766" s="32" t="str">
        <f aca="false">IF(I766=0,"",INDEX(GL!$B:$B,I766))</f>
        <v/>
      </c>
      <c r="K766" s="5" t="str">
        <f aca="false">IF(I766=0,"",IF(INDEX(GL!$C:$C,I766)="","",INDEX(GL!$C:$C,I766)))</f>
        <v/>
      </c>
      <c r="L766" s="19" t="str">
        <f aca="false">IF(I766=0,"",INDEX(GL!$E:$E,I766))</f>
        <v/>
      </c>
      <c r="M766" s="19" t="str">
        <f aca="false">IF(OR(B766=0,I766=0),"",ROUND(G766-L766,2))</f>
        <v/>
      </c>
      <c r="N766" s="5" t="str">
        <f aca="false">IF(A766="","",IF(B766=0,"NOT FOUND: bank ID",IF(I766=0,"NOT FOUND: GL ID",IF(INDEX(GL!$H:$H,I766)&lt;&gt;A766,"BROKEN: GL points elsewhere",IF(OR(INDEX(Bank!$F:$F,B766)&lt;&gt;"Y",INDEX(GL!$F:$F,I766)&lt;&gt;"Y"),"BROKEN: Status not Y","OK")))))</f>
        <v/>
      </c>
    </row>
    <row r="767" customFormat="false" ht="15" hidden="false" customHeight="false" outlineLevel="0" collapsed="false">
      <c r="A767" s="41"/>
      <c r="B767" s="5" t="n">
        <f aca="false">IF(A767="",0,IFERROR(MATCH(A767,Bank!$A:$A,0),0))</f>
        <v>0</v>
      </c>
      <c r="C767" s="5" t="str">
        <f aca="false">IF(B767=0,"",IF(INDEX(Bank!$G:$G,B767)="","",INDEX(Bank!$G:$G,B767)))</f>
        <v/>
      </c>
      <c r="D767" s="5" t="str">
        <f aca="false">IF(B767=0,"",IF(INDEX(Bank!$J:$J,B767)="","",INDEX(Bank!$J:$J,B767)))</f>
        <v/>
      </c>
      <c r="E767" s="32" t="str">
        <f aca="false">IF(B767=0,"",INDEX(Bank!$B:$B,B767))</f>
        <v/>
      </c>
      <c r="F767" s="5" t="str">
        <f aca="false">IF(B767=0,"",IF(INDEX(Bank!$C:$C,B767)="","",INDEX(Bank!$C:$C,B767)))</f>
        <v/>
      </c>
      <c r="G767" s="19" t="str">
        <f aca="false">IF(B767=0,"",INDEX(Bank!$E:$E,B767))</f>
        <v/>
      </c>
      <c r="H767" s="5" t="str">
        <f aca="false">IF(B767=0,"",IF(INDEX(Bank!$H:$H,B767)="","",INDEX(Bank!$H:$H,B767)))</f>
        <v/>
      </c>
      <c r="I767" s="5" t="n">
        <f aca="false">IF(H767="",0,IFERROR(MATCH(H767,GL!$A:$A,0),0))</f>
        <v>0</v>
      </c>
      <c r="J767" s="32" t="str">
        <f aca="false">IF(I767=0,"",INDEX(GL!$B:$B,I767))</f>
        <v/>
      </c>
      <c r="K767" s="5" t="str">
        <f aca="false">IF(I767=0,"",IF(INDEX(GL!$C:$C,I767)="","",INDEX(GL!$C:$C,I767)))</f>
        <v/>
      </c>
      <c r="L767" s="19" t="str">
        <f aca="false">IF(I767=0,"",INDEX(GL!$E:$E,I767))</f>
        <v/>
      </c>
      <c r="M767" s="19" t="str">
        <f aca="false">IF(OR(B767=0,I767=0),"",ROUND(G767-L767,2))</f>
        <v/>
      </c>
      <c r="N767" s="5" t="str">
        <f aca="false">IF(A767="","",IF(B767=0,"NOT FOUND: bank ID",IF(I767=0,"NOT FOUND: GL ID",IF(INDEX(GL!$H:$H,I767)&lt;&gt;A767,"BROKEN: GL points elsewhere",IF(OR(INDEX(Bank!$F:$F,B767)&lt;&gt;"Y",INDEX(GL!$F:$F,I767)&lt;&gt;"Y"),"BROKEN: Status not Y","OK")))))</f>
        <v/>
      </c>
    </row>
    <row r="768" customFormat="false" ht="15" hidden="false" customHeight="false" outlineLevel="0" collapsed="false">
      <c r="A768" s="41"/>
      <c r="B768" s="5" t="n">
        <f aca="false">IF(A768="",0,IFERROR(MATCH(A768,Bank!$A:$A,0),0))</f>
        <v>0</v>
      </c>
      <c r="C768" s="5" t="str">
        <f aca="false">IF(B768=0,"",IF(INDEX(Bank!$G:$G,B768)="","",INDEX(Bank!$G:$G,B768)))</f>
        <v/>
      </c>
      <c r="D768" s="5" t="str">
        <f aca="false">IF(B768=0,"",IF(INDEX(Bank!$J:$J,B768)="","",INDEX(Bank!$J:$J,B768)))</f>
        <v/>
      </c>
      <c r="E768" s="32" t="str">
        <f aca="false">IF(B768=0,"",INDEX(Bank!$B:$B,B768))</f>
        <v/>
      </c>
      <c r="F768" s="5" t="str">
        <f aca="false">IF(B768=0,"",IF(INDEX(Bank!$C:$C,B768)="","",INDEX(Bank!$C:$C,B768)))</f>
        <v/>
      </c>
      <c r="G768" s="19" t="str">
        <f aca="false">IF(B768=0,"",INDEX(Bank!$E:$E,B768))</f>
        <v/>
      </c>
      <c r="H768" s="5" t="str">
        <f aca="false">IF(B768=0,"",IF(INDEX(Bank!$H:$H,B768)="","",INDEX(Bank!$H:$H,B768)))</f>
        <v/>
      </c>
      <c r="I768" s="5" t="n">
        <f aca="false">IF(H768="",0,IFERROR(MATCH(H768,GL!$A:$A,0),0))</f>
        <v>0</v>
      </c>
      <c r="J768" s="32" t="str">
        <f aca="false">IF(I768=0,"",INDEX(GL!$B:$B,I768))</f>
        <v/>
      </c>
      <c r="K768" s="5" t="str">
        <f aca="false">IF(I768=0,"",IF(INDEX(GL!$C:$C,I768)="","",INDEX(GL!$C:$C,I768)))</f>
        <v/>
      </c>
      <c r="L768" s="19" t="str">
        <f aca="false">IF(I768=0,"",INDEX(GL!$E:$E,I768))</f>
        <v/>
      </c>
      <c r="M768" s="19" t="str">
        <f aca="false">IF(OR(B768=0,I768=0),"",ROUND(G768-L768,2))</f>
        <v/>
      </c>
      <c r="N768" s="5" t="str">
        <f aca="false">IF(A768="","",IF(B768=0,"NOT FOUND: bank ID",IF(I768=0,"NOT FOUND: GL ID",IF(INDEX(GL!$H:$H,I768)&lt;&gt;A768,"BROKEN: GL points elsewhere",IF(OR(INDEX(Bank!$F:$F,B768)&lt;&gt;"Y",INDEX(GL!$F:$F,I768)&lt;&gt;"Y"),"BROKEN: Status not Y","OK")))))</f>
        <v/>
      </c>
    </row>
    <row r="769" customFormat="false" ht="15" hidden="false" customHeight="false" outlineLevel="0" collapsed="false">
      <c r="A769" s="41"/>
      <c r="B769" s="5" t="n">
        <f aca="false">IF(A769="",0,IFERROR(MATCH(A769,Bank!$A:$A,0),0))</f>
        <v>0</v>
      </c>
      <c r="C769" s="5" t="str">
        <f aca="false">IF(B769=0,"",IF(INDEX(Bank!$G:$G,B769)="","",INDEX(Bank!$G:$G,B769)))</f>
        <v/>
      </c>
      <c r="D769" s="5" t="str">
        <f aca="false">IF(B769=0,"",IF(INDEX(Bank!$J:$J,B769)="","",INDEX(Bank!$J:$J,B769)))</f>
        <v/>
      </c>
      <c r="E769" s="32" t="str">
        <f aca="false">IF(B769=0,"",INDEX(Bank!$B:$B,B769))</f>
        <v/>
      </c>
      <c r="F769" s="5" t="str">
        <f aca="false">IF(B769=0,"",IF(INDEX(Bank!$C:$C,B769)="","",INDEX(Bank!$C:$C,B769)))</f>
        <v/>
      </c>
      <c r="G769" s="19" t="str">
        <f aca="false">IF(B769=0,"",INDEX(Bank!$E:$E,B769))</f>
        <v/>
      </c>
      <c r="H769" s="5" t="str">
        <f aca="false">IF(B769=0,"",IF(INDEX(Bank!$H:$H,B769)="","",INDEX(Bank!$H:$H,B769)))</f>
        <v/>
      </c>
      <c r="I769" s="5" t="n">
        <f aca="false">IF(H769="",0,IFERROR(MATCH(H769,GL!$A:$A,0),0))</f>
        <v>0</v>
      </c>
      <c r="J769" s="32" t="str">
        <f aca="false">IF(I769=0,"",INDEX(GL!$B:$B,I769))</f>
        <v/>
      </c>
      <c r="K769" s="5" t="str">
        <f aca="false">IF(I769=0,"",IF(INDEX(GL!$C:$C,I769)="","",INDEX(GL!$C:$C,I769)))</f>
        <v/>
      </c>
      <c r="L769" s="19" t="str">
        <f aca="false">IF(I769=0,"",INDEX(GL!$E:$E,I769))</f>
        <v/>
      </c>
      <c r="M769" s="19" t="str">
        <f aca="false">IF(OR(B769=0,I769=0),"",ROUND(G769-L769,2))</f>
        <v/>
      </c>
      <c r="N769" s="5" t="str">
        <f aca="false">IF(A769="","",IF(B769=0,"NOT FOUND: bank ID",IF(I769=0,"NOT FOUND: GL ID",IF(INDEX(GL!$H:$H,I769)&lt;&gt;A769,"BROKEN: GL points elsewhere",IF(OR(INDEX(Bank!$F:$F,B769)&lt;&gt;"Y",INDEX(GL!$F:$F,I769)&lt;&gt;"Y"),"BROKEN: Status not Y","OK")))))</f>
        <v/>
      </c>
    </row>
    <row r="770" customFormat="false" ht="15" hidden="false" customHeight="false" outlineLevel="0" collapsed="false">
      <c r="A770" s="41"/>
      <c r="B770" s="5" t="n">
        <f aca="false">IF(A770="",0,IFERROR(MATCH(A770,Bank!$A:$A,0),0))</f>
        <v>0</v>
      </c>
      <c r="C770" s="5" t="str">
        <f aca="false">IF(B770=0,"",IF(INDEX(Bank!$G:$G,B770)="","",INDEX(Bank!$G:$G,B770)))</f>
        <v/>
      </c>
      <c r="D770" s="5" t="str">
        <f aca="false">IF(B770=0,"",IF(INDEX(Bank!$J:$J,B770)="","",INDEX(Bank!$J:$J,B770)))</f>
        <v/>
      </c>
      <c r="E770" s="32" t="str">
        <f aca="false">IF(B770=0,"",INDEX(Bank!$B:$B,B770))</f>
        <v/>
      </c>
      <c r="F770" s="5" t="str">
        <f aca="false">IF(B770=0,"",IF(INDEX(Bank!$C:$C,B770)="","",INDEX(Bank!$C:$C,B770)))</f>
        <v/>
      </c>
      <c r="G770" s="19" t="str">
        <f aca="false">IF(B770=0,"",INDEX(Bank!$E:$E,B770))</f>
        <v/>
      </c>
      <c r="H770" s="5" t="str">
        <f aca="false">IF(B770=0,"",IF(INDEX(Bank!$H:$H,B770)="","",INDEX(Bank!$H:$H,B770)))</f>
        <v/>
      </c>
      <c r="I770" s="5" t="n">
        <f aca="false">IF(H770="",0,IFERROR(MATCH(H770,GL!$A:$A,0),0))</f>
        <v>0</v>
      </c>
      <c r="J770" s="32" t="str">
        <f aca="false">IF(I770=0,"",INDEX(GL!$B:$B,I770))</f>
        <v/>
      </c>
      <c r="K770" s="5" t="str">
        <f aca="false">IF(I770=0,"",IF(INDEX(GL!$C:$C,I770)="","",INDEX(GL!$C:$C,I770)))</f>
        <v/>
      </c>
      <c r="L770" s="19" t="str">
        <f aca="false">IF(I770=0,"",INDEX(GL!$E:$E,I770))</f>
        <v/>
      </c>
      <c r="M770" s="19" t="str">
        <f aca="false">IF(OR(B770=0,I770=0),"",ROUND(G770-L770,2))</f>
        <v/>
      </c>
      <c r="N770" s="5" t="str">
        <f aca="false">IF(A770="","",IF(B770=0,"NOT FOUND: bank ID",IF(I770=0,"NOT FOUND: GL ID",IF(INDEX(GL!$H:$H,I770)&lt;&gt;A770,"BROKEN: GL points elsewhere",IF(OR(INDEX(Bank!$F:$F,B770)&lt;&gt;"Y",INDEX(GL!$F:$F,I770)&lt;&gt;"Y"),"BROKEN: Status not Y","OK")))))</f>
        <v/>
      </c>
    </row>
    <row r="771" customFormat="false" ht="15" hidden="false" customHeight="false" outlineLevel="0" collapsed="false">
      <c r="A771" s="41"/>
      <c r="B771" s="5" t="n">
        <f aca="false">IF(A771="",0,IFERROR(MATCH(A771,Bank!$A:$A,0),0))</f>
        <v>0</v>
      </c>
      <c r="C771" s="5" t="str">
        <f aca="false">IF(B771=0,"",IF(INDEX(Bank!$G:$G,B771)="","",INDEX(Bank!$G:$G,B771)))</f>
        <v/>
      </c>
      <c r="D771" s="5" t="str">
        <f aca="false">IF(B771=0,"",IF(INDEX(Bank!$J:$J,B771)="","",INDEX(Bank!$J:$J,B771)))</f>
        <v/>
      </c>
      <c r="E771" s="32" t="str">
        <f aca="false">IF(B771=0,"",INDEX(Bank!$B:$B,B771))</f>
        <v/>
      </c>
      <c r="F771" s="5" t="str">
        <f aca="false">IF(B771=0,"",IF(INDEX(Bank!$C:$C,B771)="","",INDEX(Bank!$C:$C,B771)))</f>
        <v/>
      </c>
      <c r="G771" s="19" t="str">
        <f aca="false">IF(B771=0,"",INDEX(Bank!$E:$E,B771))</f>
        <v/>
      </c>
      <c r="H771" s="5" t="str">
        <f aca="false">IF(B771=0,"",IF(INDEX(Bank!$H:$H,B771)="","",INDEX(Bank!$H:$H,B771)))</f>
        <v/>
      </c>
      <c r="I771" s="5" t="n">
        <f aca="false">IF(H771="",0,IFERROR(MATCH(H771,GL!$A:$A,0),0))</f>
        <v>0</v>
      </c>
      <c r="J771" s="32" t="str">
        <f aca="false">IF(I771=0,"",INDEX(GL!$B:$B,I771))</f>
        <v/>
      </c>
      <c r="K771" s="5" t="str">
        <f aca="false">IF(I771=0,"",IF(INDEX(GL!$C:$C,I771)="","",INDEX(GL!$C:$C,I771)))</f>
        <v/>
      </c>
      <c r="L771" s="19" t="str">
        <f aca="false">IF(I771=0,"",INDEX(GL!$E:$E,I771))</f>
        <v/>
      </c>
      <c r="M771" s="19" t="str">
        <f aca="false">IF(OR(B771=0,I771=0),"",ROUND(G771-L771,2))</f>
        <v/>
      </c>
      <c r="N771" s="5" t="str">
        <f aca="false">IF(A771="","",IF(B771=0,"NOT FOUND: bank ID",IF(I771=0,"NOT FOUND: GL ID",IF(INDEX(GL!$H:$H,I771)&lt;&gt;A771,"BROKEN: GL points elsewhere",IF(OR(INDEX(Bank!$F:$F,B771)&lt;&gt;"Y",INDEX(GL!$F:$F,I771)&lt;&gt;"Y"),"BROKEN: Status not Y","OK")))))</f>
        <v/>
      </c>
    </row>
    <row r="772" customFormat="false" ht="15" hidden="false" customHeight="false" outlineLevel="0" collapsed="false">
      <c r="A772" s="41"/>
      <c r="B772" s="5" t="n">
        <f aca="false">IF(A772="",0,IFERROR(MATCH(A772,Bank!$A:$A,0),0))</f>
        <v>0</v>
      </c>
      <c r="C772" s="5" t="str">
        <f aca="false">IF(B772=0,"",IF(INDEX(Bank!$G:$G,B772)="","",INDEX(Bank!$G:$G,B772)))</f>
        <v/>
      </c>
      <c r="D772" s="5" t="str">
        <f aca="false">IF(B772=0,"",IF(INDEX(Bank!$J:$J,B772)="","",INDEX(Bank!$J:$J,B772)))</f>
        <v/>
      </c>
      <c r="E772" s="32" t="str">
        <f aca="false">IF(B772=0,"",INDEX(Bank!$B:$B,B772))</f>
        <v/>
      </c>
      <c r="F772" s="5" t="str">
        <f aca="false">IF(B772=0,"",IF(INDEX(Bank!$C:$C,B772)="","",INDEX(Bank!$C:$C,B772)))</f>
        <v/>
      </c>
      <c r="G772" s="19" t="str">
        <f aca="false">IF(B772=0,"",INDEX(Bank!$E:$E,B772))</f>
        <v/>
      </c>
      <c r="H772" s="5" t="str">
        <f aca="false">IF(B772=0,"",IF(INDEX(Bank!$H:$H,B772)="","",INDEX(Bank!$H:$H,B772)))</f>
        <v/>
      </c>
      <c r="I772" s="5" t="n">
        <f aca="false">IF(H772="",0,IFERROR(MATCH(H772,GL!$A:$A,0),0))</f>
        <v>0</v>
      </c>
      <c r="J772" s="32" t="str">
        <f aca="false">IF(I772=0,"",INDEX(GL!$B:$B,I772))</f>
        <v/>
      </c>
      <c r="K772" s="5" t="str">
        <f aca="false">IF(I772=0,"",IF(INDEX(GL!$C:$C,I772)="","",INDEX(GL!$C:$C,I772)))</f>
        <v/>
      </c>
      <c r="L772" s="19" t="str">
        <f aca="false">IF(I772=0,"",INDEX(GL!$E:$E,I772))</f>
        <v/>
      </c>
      <c r="M772" s="19" t="str">
        <f aca="false">IF(OR(B772=0,I772=0),"",ROUND(G772-L772,2))</f>
        <v/>
      </c>
      <c r="N772" s="5" t="str">
        <f aca="false">IF(A772="","",IF(B772=0,"NOT FOUND: bank ID",IF(I772=0,"NOT FOUND: GL ID",IF(INDEX(GL!$H:$H,I772)&lt;&gt;A772,"BROKEN: GL points elsewhere",IF(OR(INDEX(Bank!$F:$F,B772)&lt;&gt;"Y",INDEX(GL!$F:$F,I772)&lt;&gt;"Y"),"BROKEN: Status not Y","OK")))))</f>
        <v/>
      </c>
    </row>
    <row r="773" customFormat="false" ht="15" hidden="false" customHeight="false" outlineLevel="0" collapsed="false">
      <c r="A773" s="41"/>
      <c r="B773" s="5" t="n">
        <f aca="false">IF(A773="",0,IFERROR(MATCH(A773,Bank!$A:$A,0),0))</f>
        <v>0</v>
      </c>
      <c r="C773" s="5" t="str">
        <f aca="false">IF(B773=0,"",IF(INDEX(Bank!$G:$G,B773)="","",INDEX(Bank!$G:$G,B773)))</f>
        <v/>
      </c>
      <c r="D773" s="5" t="str">
        <f aca="false">IF(B773=0,"",IF(INDEX(Bank!$J:$J,B773)="","",INDEX(Bank!$J:$J,B773)))</f>
        <v/>
      </c>
      <c r="E773" s="32" t="str">
        <f aca="false">IF(B773=0,"",INDEX(Bank!$B:$B,B773))</f>
        <v/>
      </c>
      <c r="F773" s="5" t="str">
        <f aca="false">IF(B773=0,"",IF(INDEX(Bank!$C:$C,B773)="","",INDEX(Bank!$C:$C,B773)))</f>
        <v/>
      </c>
      <c r="G773" s="19" t="str">
        <f aca="false">IF(B773=0,"",INDEX(Bank!$E:$E,B773))</f>
        <v/>
      </c>
      <c r="H773" s="5" t="str">
        <f aca="false">IF(B773=0,"",IF(INDEX(Bank!$H:$H,B773)="","",INDEX(Bank!$H:$H,B773)))</f>
        <v/>
      </c>
      <c r="I773" s="5" t="n">
        <f aca="false">IF(H773="",0,IFERROR(MATCH(H773,GL!$A:$A,0),0))</f>
        <v>0</v>
      </c>
      <c r="J773" s="32" t="str">
        <f aca="false">IF(I773=0,"",INDEX(GL!$B:$B,I773))</f>
        <v/>
      </c>
      <c r="K773" s="5" t="str">
        <f aca="false">IF(I773=0,"",IF(INDEX(GL!$C:$C,I773)="","",INDEX(GL!$C:$C,I773)))</f>
        <v/>
      </c>
      <c r="L773" s="19" t="str">
        <f aca="false">IF(I773=0,"",INDEX(GL!$E:$E,I773))</f>
        <v/>
      </c>
      <c r="M773" s="19" t="str">
        <f aca="false">IF(OR(B773=0,I773=0),"",ROUND(G773-L773,2))</f>
        <v/>
      </c>
      <c r="N773" s="5" t="str">
        <f aca="false">IF(A773="","",IF(B773=0,"NOT FOUND: bank ID",IF(I773=0,"NOT FOUND: GL ID",IF(INDEX(GL!$H:$H,I773)&lt;&gt;A773,"BROKEN: GL points elsewhere",IF(OR(INDEX(Bank!$F:$F,B773)&lt;&gt;"Y",INDEX(GL!$F:$F,I773)&lt;&gt;"Y"),"BROKEN: Status not Y","OK")))))</f>
        <v/>
      </c>
    </row>
    <row r="774" customFormat="false" ht="15" hidden="false" customHeight="false" outlineLevel="0" collapsed="false">
      <c r="A774" s="41"/>
      <c r="B774" s="5" t="n">
        <f aca="false">IF(A774="",0,IFERROR(MATCH(A774,Bank!$A:$A,0),0))</f>
        <v>0</v>
      </c>
      <c r="C774" s="5" t="str">
        <f aca="false">IF(B774=0,"",IF(INDEX(Bank!$G:$G,B774)="","",INDEX(Bank!$G:$G,B774)))</f>
        <v/>
      </c>
      <c r="D774" s="5" t="str">
        <f aca="false">IF(B774=0,"",IF(INDEX(Bank!$J:$J,B774)="","",INDEX(Bank!$J:$J,B774)))</f>
        <v/>
      </c>
      <c r="E774" s="32" t="str">
        <f aca="false">IF(B774=0,"",INDEX(Bank!$B:$B,B774))</f>
        <v/>
      </c>
      <c r="F774" s="5" t="str">
        <f aca="false">IF(B774=0,"",IF(INDEX(Bank!$C:$C,B774)="","",INDEX(Bank!$C:$C,B774)))</f>
        <v/>
      </c>
      <c r="G774" s="19" t="str">
        <f aca="false">IF(B774=0,"",INDEX(Bank!$E:$E,B774))</f>
        <v/>
      </c>
      <c r="H774" s="5" t="str">
        <f aca="false">IF(B774=0,"",IF(INDEX(Bank!$H:$H,B774)="","",INDEX(Bank!$H:$H,B774)))</f>
        <v/>
      </c>
      <c r="I774" s="5" t="n">
        <f aca="false">IF(H774="",0,IFERROR(MATCH(H774,GL!$A:$A,0),0))</f>
        <v>0</v>
      </c>
      <c r="J774" s="32" t="str">
        <f aca="false">IF(I774=0,"",INDEX(GL!$B:$B,I774))</f>
        <v/>
      </c>
      <c r="K774" s="5" t="str">
        <f aca="false">IF(I774=0,"",IF(INDEX(GL!$C:$C,I774)="","",INDEX(GL!$C:$C,I774)))</f>
        <v/>
      </c>
      <c r="L774" s="19" t="str">
        <f aca="false">IF(I774=0,"",INDEX(GL!$E:$E,I774))</f>
        <v/>
      </c>
      <c r="M774" s="19" t="str">
        <f aca="false">IF(OR(B774=0,I774=0),"",ROUND(G774-L774,2))</f>
        <v/>
      </c>
      <c r="N774" s="5" t="str">
        <f aca="false">IF(A774="","",IF(B774=0,"NOT FOUND: bank ID",IF(I774=0,"NOT FOUND: GL ID",IF(INDEX(GL!$H:$H,I774)&lt;&gt;A774,"BROKEN: GL points elsewhere",IF(OR(INDEX(Bank!$F:$F,B774)&lt;&gt;"Y",INDEX(GL!$F:$F,I774)&lt;&gt;"Y"),"BROKEN: Status not Y","OK")))))</f>
        <v/>
      </c>
    </row>
    <row r="775" customFormat="false" ht="15" hidden="false" customHeight="false" outlineLevel="0" collapsed="false">
      <c r="A775" s="41"/>
      <c r="B775" s="5" t="n">
        <f aca="false">IF(A775="",0,IFERROR(MATCH(A775,Bank!$A:$A,0),0))</f>
        <v>0</v>
      </c>
      <c r="C775" s="5" t="str">
        <f aca="false">IF(B775=0,"",IF(INDEX(Bank!$G:$G,B775)="","",INDEX(Bank!$G:$G,B775)))</f>
        <v/>
      </c>
      <c r="D775" s="5" t="str">
        <f aca="false">IF(B775=0,"",IF(INDEX(Bank!$J:$J,B775)="","",INDEX(Bank!$J:$J,B775)))</f>
        <v/>
      </c>
      <c r="E775" s="32" t="str">
        <f aca="false">IF(B775=0,"",INDEX(Bank!$B:$B,B775))</f>
        <v/>
      </c>
      <c r="F775" s="5" t="str">
        <f aca="false">IF(B775=0,"",IF(INDEX(Bank!$C:$C,B775)="","",INDEX(Bank!$C:$C,B775)))</f>
        <v/>
      </c>
      <c r="G775" s="19" t="str">
        <f aca="false">IF(B775=0,"",INDEX(Bank!$E:$E,B775))</f>
        <v/>
      </c>
      <c r="H775" s="5" t="str">
        <f aca="false">IF(B775=0,"",IF(INDEX(Bank!$H:$H,B775)="","",INDEX(Bank!$H:$H,B775)))</f>
        <v/>
      </c>
      <c r="I775" s="5" t="n">
        <f aca="false">IF(H775="",0,IFERROR(MATCH(H775,GL!$A:$A,0),0))</f>
        <v>0</v>
      </c>
      <c r="J775" s="32" t="str">
        <f aca="false">IF(I775=0,"",INDEX(GL!$B:$B,I775))</f>
        <v/>
      </c>
      <c r="K775" s="5" t="str">
        <f aca="false">IF(I775=0,"",IF(INDEX(GL!$C:$C,I775)="","",INDEX(GL!$C:$C,I775)))</f>
        <v/>
      </c>
      <c r="L775" s="19" t="str">
        <f aca="false">IF(I775=0,"",INDEX(GL!$E:$E,I775))</f>
        <v/>
      </c>
      <c r="M775" s="19" t="str">
        <f aca="false">IF(OR(B775=0,I775=0),"",ROUND(G775-L775,2))</f>
        <v/>
      </c>
      <c r="N775" s="5" t="str">
        <f aca="false">IF(A775="","",IF(B775=0,"NOT FOUND: bank ID",IF(I775=0,"NOT FOUND: GL ID",IF(INDEX(GL!$H:$H,I775)&lt;&gt;A775,"BROKEN: GL points elsewhere",IF(OR(INDEX(Bank!$F:$F,B775)&lt;&gt;"Y",INDEX(GL!$F:$F,I775)&lt;&gt;"Y"),"BROKEN: Status not Y","OK")))))</f>
        <v/>
      </c>
    </row>
    <row r="776" customFormat="false" ht="15" hidden="false" customHeight="false" outlineLevel="0" collapsed="false">
      <c r="A776" s="41"/>
      <c r="B776" s="5" t="n">
        <f aca="false">IF(A776="",0,IFERROR(MATCH(A776,Bank!$A:$A,0),0))</f>
        <v>0</v>
      </c>
      <c r="C776" s="5" t="str">
        <f aca="false">IF(B776=0,"",IF(INDEX(Bank!$G:$G,B776)="","",INDEX(Bank!$G:$G,B776)))</f>
        <v/>
      </c>
      <c r="D776" s="5" t="str">
        <f aca="false">IF(B776=0,"",IF(INDEX(Bank!$J:$J,B776)="","",INDEX(Bank!$J:$J,B776)))</f>
        <v/>
      </c>
      <c r="E776" s="32" t="str">
        <f aca="false">IF(B776=0,"",INDEX(Bank!$B:$B,B776))</f>
        <v/>
      </c>
      <c r="F776" s="5" t="str">
        <f aca="false">IF(B776=0,"",IF(INDEX(Bank!$C:$C,B776)="","",INDEX(Bank!$C:$C,B776)))</f>
        <v/>
      </c>
      <c r="G776" s="19" t="str">
        <f aca="false">IF(B776=0,"",INDEX(Bank!$E:$E,B776))</f>
        <v/>
      </c>
      <c r="H776" s="5" t="str">
        <f aca="false">IF(B776=0,"",IF(INDEX(Bank!$H:$H,B776)="","",INDEX(Bank!$H:$H,B776)))</f>
        <v/>
      </c>
      <c r="I776" s="5" t="n">
        <f aca="false">IF(H776="",0,IFERROR(MATCH(H776,GL!$A:$A,0),0))</f>
        <v>0</v>
      </c>
      <c r="J776" s="32" t="str">
        <f aca="false">IF(I776=0,"",INDEX(GL!$B:$B,I776))</f>
        <v/>
      </c>
      <c r="K776" s="5" t="str">
        <f aca="false">IF(I776=0,"",IF(INDEX(GL!$C:$C,I776)="","",INDEX(GL!$C:$C,I776)))</f>
        <v/>
      </c>
      <c r="L776" s="19" t="str">
        <f aca="false">IF(I776=0,"",INDEX(GL!$E:$E,I776))</f>
        <v/>
      </c>
      <c r="M776" s="19" t="str">
        <f aca="false">IF(OR(B776=0,I776=0),"",ROUND(G776-L776,2))</f>
        <v/>
      </c>
      <c r="N776" s="5" t="str">
        <f aca="false">IF(A776="","",IF(B776=0,"NOT FOUND: bank ID",IF(I776=0,"NOT FOUND: GL ID",IF(INDEX(GL!$H:$H,I776)&lt;&gt;A776,"BROKEN: GL points elsewhere",IF(OR(INDEX(Bank!$F:$F,B776)&lt;&gt;"Y",INDEX(GL!$F:$F,I776)&lt;&gt;"Y"),"BROKEN: Status not Y","OK")))))</f>
        <v/>
      </c>
    </row>
    <row r="777" customFormat="false" ht="15" hidden="false" customHeight="false" outlineLevel="0" collapsed="false">
      <c r="A777" s="41"/>
      <c r="B777" s="5" t="n">
        <f aca="false">IF(A777="",0,IFERROR(MATCH(A777,Bank!$A:$A,0),0))</f>
        <v>0</v>
      </c>
      <c r="C777" s="5" t="str">
        <f aca="false">IF(B777=0,"",IF(INDEX(Bank!$G:$G,B777)="","",INDEX(Bank!$G:$G,B777)))</f>
        <v/>
      </c>
      <c r="D777" s="5" t="str">
        <f aca="false">IF(B777=0,"",IF(INDEX(Bank!$J:$J,B777)="","",INDEX(Bank!$J:$J,B777)))</f>
        <v/>
      </c>
      <c r="E777" s="32" t="str">
        <f aca="false">IF(B777=0,"",INDEX(Bank!$B:$B,B777))</f>
        <v/>
      </c>
      <c r="F777" s="5" t="str">
        <f aca="false">IF(B777=0,"",IF(INDEX(Bank!$C:$C,B777)="","",INDEX(Bank!$C:$C,B777)))</f>
        <v/>
      </c>
      <c r="G777" s="19" t="str">
        <f aca="false">IF(B777=0,"",INDEX(Bank!$E:$E,B777))</f>
        <v/>
      </c>
      <c r="H777" s="5" t="str">
        <f aca="false">IF(B777=0,"",IF(INDEX(Bank!$H:$H,B777)="","",INDEX(Bank!$H:$H,B777)))</f>
        <v/>
      </c>
      <c r="I777" s="5" t="n">
        <f aca="false">IF(H777="",0,IFERROR(MATCH(H777,GL!$A:$A,0),0))</f>
        <v>0</v>
      </c>
      <c r="J777" s="32" t="str">
        <f aca="false">IF(I777=0,"",INDEX(GL!$B:$B,I777))</f>
        <v/>
      </c>
      <c r="K777" s="5" t="str">
        <f aca="false">IF(I777=0,"",IF(INDEX(GL!$C:$C,I777)="","",INDEX(GL!$C:$C,I777)))</f>
        <v/>
      </c>
      <c r="L777" s="19" t="str">
        <f aca="false">IF(I777=0,"",INDEX(GL!$E:$E,I777))</f>
        <v/>
      </c>
      <c r="M777" s="19" t="str">
        <f aca="false">IF(OR(B777=0,I777=0),"",ROUND(G777-L777,2))</f>
        <v/>
      </c>
      <c r="N777" s="5" t="str">
        <f aca="false">IF(A777="","",IF(B777=0,"NOT FOUND: bank ID",IF(I777=0,"NOT FOUND: GL ID",IF(INDEX(GL!$H:$H,I777)&lt;&gt;A777,"BROKEN: GL points elsewhere",IF(OR(INDEX(Bank!$F:$F,B777)&lt;&gt;"Y",INDEX(GL!$F:$F,I777)&lt;&gt;"Y"),"BROKEN: Status not Y","OK")))))</f>
        <v/>
      </c>
    </row>
    <row r="778" customFormat="false" ht="15" hidden="false" customHeight="false" outlineLevel="0" collapsed="false">
      <c r="A778" s="41"/>
      <c r="B778" s="5" t="n">
        <f aca="false">IF(A778="",0,IFERROR(MATCH(A778,Bank!$A:$A,0),0))</f>
        <v>0</v>
      </c>
      <c r="C778" s="5" t="str">
        <f aca="false">IF(B778=0,"",IF(INDEX(Bank!$G:$G,B778)="","",INDEX(Bank!$G:$G,B778)))</f>
        <v/>
      </c>
      <c r="D778" s="5" t="str">
        <f aca="false">IF(B778=0,"",IF(INDEX(Bank!$J:$J,B778)="","",INDEX(Bank!$J:$J,B778)))</f>
        <v/>
      </c>
      <c r="E778" s="32" t="str">
        <f aca="false">IF(B778=0,"",INDEX(Bank!$B:$B,B778))</f>
        <v/>
      </c>
      <c r="F778" s="5" t="str">
        <f aca="false">IF(B778=0,"",IF(INDEX(Bank!$C:$C,B778)="","",INDEX(Bank!$C:$C,B778)))</f>
        <v/>
      </c>
      <c r="G778" s="19" t="str">
        <f aca="false">IF(B778=0,"",INDEX(Bank!$E:$E,B778))</f>
        <v/>
      </c>
      <c r="H778" s="5" t="str">
        <f aca="false">IF(B778=0,"",IF(INDEX(Bank!$H:$H,B778)="","",INDEX(Bank!$H:$H,B778)))</f>
        <v/>
      </c>
      <c r="I778" s="5" t="n">
        <f aca="false">IF(H778="",0,IFERROR(MATCH(H778,GL!$A:$A,0),0))</f>
        <v>0</v>
      </c>
      <c r="J778" s="32" t="str">
        <f aca="false">IF(I778=0,"",INDEX(GL!$B:$B,I778))</f>
        <v/>
      </c>
      <c r="K778" s="5" t="str">
        <f aca="false">IF(I778=0,"",IF(INDEX(GL!$C:$C,I778)="","",INDEX(GL!$C:$C,I778)))</f>
        <v/>
      </c>
      <c r="L778" s="19" t="str">
        <f aca="false">IF(I778=0,"",INDEX(GL!$E:$E,I778))</f>
        <v/>
      </c>
      <c r="M778" s="19" t="str">
        <f aca="false">IF(OR(B778=0,I778=0),"",ROUND(G778-L778,2))</f>
        <v/>
      </c>
      <c r="N778" s="5" t="str">
        <f aca="false">IF(A778="","",IF(B778=0,"NOT FOUND: bank ID",IF(I778=0,"NOT FOUND: GL ID",IF(INDEX(GL!$H:$H,I778)&lt;&gt;A778,"BROKEN: GL points elsewhere",IF(OR(INDEX(Bank!$F:$F,B778)&lt;&gt;"Y",INDEX(GL!$F:$F,I778)&lt;&gt;"Y"),"BROKEN: Status not Y","OK")))))</f>
        <v/>
      </c>
    </row>
    <row r="779" customFormat="false" ht="15" hidden="false" customHeight="false" outlineLevel="0" collapsed="false">
      <c r="A779" s="41"/>
      <c r="B779" s="5" t="n">
        <f aca="false">IF(A779="",0,IFERROR(MATCH(A779,Bank!$A:$A,0),0))</f>
        <v>0</v>
      </c>
      <c r="C779" s="5" t="str">
        <f aca="false">IF(B779=0,"",IF(INDEX(Bank!$G:$G,B779)="","",INDEX(Bank!$G:$G,B779)))</f>
        <v/>
      </c>
      <c r="D779" s="5" t="str">
        <f aca="false">IF(B779=0,"",IF(INDEX(Bank!$J:$J,B779)="","",INDEX(Bank!$J:$J,B779)))</f>
        <v/>
      </c>
      <c r="E779" s="32" t="str">
        <f aca="false">IF(B779=0,"",INDEX(Bank!$B:$B,B779))</f>
        <v/>
      </c>
      <c r="F779" s="5" t="str">
        <f aca="false">IF(B779=0,"",IF(INDEX(Bank!$C:$C,B779)="","",INDEX(Bank!$C:$C,B779)))</f>
        <v/>
      </c>
      <c r="G779" s="19" t="str">
        <f aca="false">IF(B779=0,"",INDEX(Bank!$E:$E,B779))</f>
        <v/>
      </c>
      <c r="H779" s="5" t="str">
        <f aca="false">IF(B779=0,"",IF(INDEX(Bank!$H:$H,B779)="","",INDEX(Bank!$H:$H,B779)))</f>
        <v/>
      </c>
      <c r="I779" s="5" t="n">
        <f aca="false">IF(H779="",0,IFERROR(MATCH(H779,GL!$A:$A,0),0))</f>
        <v>0</v>
      </c>
      <c r="J779" s="32" t="str">
        <f aca="false">IF(I779=0,"",INDEX(GL!$B:$B,I779))</f>
        <v/>
      </c>
      <c r="K779" s="5" t="str">
        <f aca="false">IF(I779=0,"",IF(INDEX(GL!$C:$C,I779)="","",INDEX(GL!$C:$C,I779)))</f>
        <v/>
      </c>
      <c r="L779" s="19" t="str">
        <f aca="false">IF(I779=0,"",INDEX(GL!$E:$E,I779))</f>
        <v/>
      </c>
      <c r="M779" s="19" t="str">
        <f aca="false">IF(OR(B779=0,I779=0),"",ROUND(G779-L779,2))</f>
        <v/>
      </c>
      <c r="N779" s="5" t="str">
        <f aca="false">IF(A779="","",IF(B779=0,"NOT FOUND: bank ID",IF(I779=0,"NOT FOUND: GL ID",IF(INDEX(GL!$H:$H,I779)&lt;&gt;A779,"BROKEN: GL points elsewhere",IF(OR(INDEX(Bank!$F:$F,B779)&lt;&gt;"Y",INDEX(GL!$F:$F,I779)&lt;&gt;"Y"),"BROKEN: Status not Y","OK")))))</f>
        <v/>
      </c>
    </row>
    <row r="780" customFormat="false" ht="15" hidden="false" customHeight="false" outlineLevel="0" collapsed="false">
      <c r="A780" s="41"/>
      <c r="B780" s="5" t="n">
        <f aca="false">IF(A780="",0,IFERROR(MATCH(A780,Bank!$A:$A,0),0))</f>
        <v>0</v>
      </c>
      <c r="C780" s="5" t="str">
        <f aca="false">IF(B780=0,"",IF(INDEX(Bank!$G:$G,B780)="","",INDEX(Bank!$G:$G,B780)))</f>
        <v/>
      </c>
      <c r="D780" s="5" t="str">
        <f aca="false">IF(B780=0,"",IF(INDEX(Bank!$J:$J,B780)="","",INDEX(Bank!$J:$J,B780)))</f>
        <v/>
      </c>
      <c r="E780" s="32" t="str">
        <f aca="false">IF(B780=0,"",INDEX(Bank!$B:$B,B780))</f>
        <v/>
      </c>
      <c r="F780" s="5" t="str">
        <f aca="false">IF(B780=0,"",IF(INDEX(Bank!$C:$C,B780)="","",INDEX(Bank!$C:$C,B780)))</f>
        <v/>
      </c>
      <c r="G780" s="19" t="str">
        <f aca="false">IF(B780=0,"",INDEX(Bank!$E:$E,B780))</f>
        <v/>
      </c>
      <c r="H780" s="5" t="str">
        <f aca="false">IF(B780=0,"",IF(INDEX(Bank!$H:$H,B780)="","",INDEX(Bank!$H:$H,B780)))</f>
        <v/>
      </c>
      <c r="I780" s="5" t="n">
        <f aca="false">IF(H780="",0,IFERROR(MATCH(H780,GL!$A:$A,0),0))</f>
        <v>0</v>
      </c>
      <c r="J780" s="32" t="str">
        <f aca="false">IF(I780=0,"",INDEX(GL!$B:$B,I780))</f>
        <v/>
      </c>
      <c r="K780" s="5" t="str">
        <f aca="false">IF(I780=0,"",IF(INDEX(GL!$C:$C,I780)="","",INDEX(GL!$C:$C,I780)))</f>
        <v/>
      </c>
      <c r="L780" s="19" t="str">
        <f aca="false">IF(I780=0,"",INDEX(GL!$E:$E,I780))</f>
        <v/>
      </c>
      <c r="M780" s="19" t="str">
        <f aca="false">IF(OR(B780=0,I780=0),"",ROUND(G780-L780,2))</f>
        <v/>
      </c>
      <c r="N780" s="5" t="str">
        <f aca="false">IF(A780="","",IF(B780=0,"NOT FOUND: bank ID",IF(I780=0,"NOT FOUND: GL ID",IF(INDEX(GL!$H:$H,I780)&lt;&gt;A780,"BROKEN: GL points elsewhere",IF(OR(INDEX(Bank!$F:$F,B780)&lt;&gt;"Y",INDEX(GL!$F:$F,I780)&lt;&gt;"Y"),"BROKEN: Status not Y","OK")))))</f>
        <v/>
      </c>
    </row>
    <row r="781" customFormat="false" ht="15" hidden="false" customHeight="false" outlineLevel="0" collapsed="false">
      <c r="A781" s="41"/>
      <c r="B781" s="5" t="n">
        <f aca="false">IF(A781="",0,IFERROR(MATCH(A781,Bank!$A:$A,0),0))</f>
        <v>0</v>
      </c>
      <c r="C781" s="5" t="str">
        <f aca="false">IF(B781=0,"",IF(INDEX(Bank!$G:$G,B781)="","",INDEX(Bank!$G:$G,B781)))</f>
        <v/>
      </c>
      <c r="D781" s="5" t="str">
        <f aca="false">IF(B781=0,"",IF(INDEX(Bank!$J:$J,B781)="","",INDEX(Bank!$J:$J,B781)))</f>
        <v/>
      </c>
      <c r="E781" s="32" t="str">
        <f aca="false">IF(B781=0,"",INDEX(Bank!$B:$B,B781))</f>
        <v/>
      </c>
      <c r="F781" s="5" t="str">
        <f aca="false">IF(B781=0,"",IF(INDEX(Bank!$C:$C,B781)="","",INDEX(Bank!$C:$C,B781)))</f>
        <v/>
      </c>
      <c r="G781" s="19" t="str">
        <f aca="false">IF(B781=0,"",INDEX(Bank!$E:$E,B781))</f>
        <v/>
      </c>
      <c r="H781" s="5" t="str">
        <f aca="false">IF(B781=0,"",IF(INDEX(Bank!$H:$H,B781)="","",INDEX(Bank!$H:$H,B781)))</f>
        <v/>
      </c>
      <c r="I781" s="5" t="n">
        <f aca="false">IF(H781="",0,IFERROR(MATCH(H781,GL!$A:$A,0),0))</f>
        <v>0</v>
      </c>
      <c r="J781" s="32" t="str">
        <f aca="false">IF(I781=0,"",INDEX(GL!$B:$B,I781))</f>
        <v/>
      </c>
      <c r="K781" s="5" t="str">
        <f aca="false">IF(I781=0,"",IF(INDEX(GL!$C:$C,I781)="","",INDEX(GL!$C:$C,I781)))</f>
        <v/>
      </c>
      <c r="L781" s="19" t="str">
        <f aca="false">IF(I781=0,"",INDEX(GL!$E:$E,I781))</f>
        <v/>
      </c>
      <c r="M781" s="19" t="str">
        <f aca="false">IF(OR(B781=0,I781=0),"",ROUND(G781-L781,2))</f>
        <v/>
      </c>
      <c r="N781" s="5" t="str">
        <f aca="false">IF(A781="","",IF(B781=0,"NOT FOUND: bank ID",IF(I781=0,"NOT FOUND: GL ID",IF(INDEX(GL!$H:$H,I781)&lt;&gt;A781,"BROKEN: GL points elsewhere",IF(OR(INDEX(Bank!$F:$F,B781)&lt;&gt;"Y",INDEX(GL!$F:$F,I781)&lt;&gt;"Y"),"BROKEN: Status not Y","OK")))))</f>
        <v/>
      </c>
    </row>
    <row r="782" customFormat="false" ht="15" hidden="false" customHeight="false" outlineLevel="0" collapsed="false">
      <c r="A782" s="41"/>
      <c r="B782" s="5" t="n">
        <f aca="false">IF(A782="",0,IFERROR(MATCH(A782,Bank!$A:$A,0),0))</f>
        <v>0</v>
      </c>
      <c r="C782" s="5" t="str">
        <f aca="false">IF(B782=0,"",IF(INDEX(Bank!$G:$G,B782)="","",INDEX(Bank!$G:$G,B782)))</f>
        <v/>
      </c>
      <c r="D782" s="5" t="str">
        <f aca="false">IF(B782=0,"",IF(INDEX(Bank!$J:$J,B782)="","",INDEX(Bank!$J:$J,B782)))</f>
        <v/>
      </c>
      <c r="E782" s="32" t="str">
        <f aca="false">IF(B782=0,"",INDEX(Bank!$B:$B,B782))</f>
        <v/>
      </c>
      <c r="F782" s="5" t="str">
        <f aca="false">IF(B782=0,"",IF(INDEX(Bank!$C:$C,B782)="","",INDEX(Bank!$C:$C,B782)))</f>
        <v/>
      </c>
      <c r="G782" s="19" t="str">
        <f aca="false">IF(B782=0,"",INDEX(Bank!$E:$E,B782))</f>
        <v/>
      </c>
      <c r="H782" s="5" t="str">
        <f aca="false">IF(B782=0,"",IF(INDEX(Bank!$H:$H,B782)="","",INDEX(Bank!$H:$H,B782)))</f>
        <v/>
      </c>
      <c r="I782" s="5" t="n">
        <f aca="false">IF(H782="",0,IFERROR(MATCH(H782,GL!$A:$A,0),0))</f>
        <v>0</v>
      </c>
      <c r="J782" s="32" t="str">
        <f aca="false">IF(I782=0,"",INDEX(GL!$B:$B,I782))</f>
        <v/>
      </c>
      <c r="K782" s="5" t="str">
        <f aca="false">IF(I782=0,"",IF(INDEX(GL!$C:$C,I782)="","",INDEX(GL!$C:$C,I782)))</f>
        <v/>
      </c>
      <c r="L782" s="19" t="str">
        <f aca="false">IF(I782=0,"",INDEX(GL!$E:$E,I782))</f>
        <v/>
      </c>
      <c r="M782" s="19" t="str">
        <f aca="false">IF(OR(B782=0,I782=0),"",ROUND(G782-L782,2))</f>
        <v/>
      </c>
      <c r="N782" s="5" t="str">
        <f aca="false">IF(A782="","",IF(B782=0,"NOT FOUND: bank ID",IF(I782=0,"NOT FOUND: GL ID",IF(INDEX(GL!$H:$H,I782)&lt;&gt;A782,"BROKEN: GL points elsewhere",IF(OR(INDEX(Bank!$F:$F,B782)&lt;&gt;"Y",INDEX(GL!$F:$F,I782)&lt;&gt;"Y"),"BROKEN: Status not Y","OK")))))</f>
        <v/>
      </c>
    </row>
    <row r="783" customFormat="false" ht="15" hidden="false" customHeight="false" outlineLevel="0" collapsed="false">
      <c r="A783" s="41"/>
      <c r="B783" s="5" t="n">
        <f aca="false">IF(A783="",0,IFERROR(MATCH(A783,Bank!$A:$A,0),0))</f>
        <v>0</v>
      </c>
      <c r="C783" s="5" t="str">
        <f aca="false">IF(B783=0,"",IF(INDEX(Bank!$G:$G,B783)="","",INDEX(Bank!$G:$G,B783)))</f>
        <v/>
      </c>
      <c r="D783" s="5" t="str">
        <f aca="false">IF(B783=0,"",IF(INDEX(Bank!$J:$J,B783)="","",INDEX(Bank!$J:$J,B783)))</f>
        <v/>
      </c>
      <c r="E783" s="32" t="str">
        <f aca="false">IF(B783=0,"",INDEX(Bank!$B:$B,B783))</f>
        <v/>
      </c>
      <c r="F783" s="5" t="str">
        <f aca="false">IF(B783=0,"",IF(INDEX(Bank!$C:$C,B783)="","",INDEX(Bank!$C:$C,B783)))</f>
        <v/>
      </c>
      <c r="G783" s="19" t="str">
        <f aca="false">IF(B783=0,"",INDEX(Bank!$E:$E,B783))</f>
        <v/>
      </c>
      <c r="H783" s="5" t="str">
        <f aca="false">IF(B783=0,"",IF(INDEX(Bank!$H:$H,B783)="","",INDEX(Bank!$H:$H,B783)))</f>
        <v/>
      </c>
      <c r="I783" s="5" t="n">
        <f aca="false">IF(H783="",0,IFERROR(MATCH(H783,GL!$A:$A,0),0))</f>
        <v>0</v>
      </c>
      <c r="J783" s="32" t="str">
        <f aca="false">IF(I783=0,"",INDEX(GL!$B:$B,I783))</f>
        <v/>
      </c>
      <c r="K783" s="5" t="str">
        <f aca="false">IF(I783=0,"",IF(INDEX(GL!$C:$C,I783)="","",INDEX(GL!$C:$C,I783)))</f>
        <v/>
      </c>
      <c r="L783" s="19" t="str">
        <f aca="false">IF(I783=0,"",INDEX(GL!$E:$E,I783))</f>
        <v/>
      </c>
      <c r="M783" s="19" t="str">
        <f aca="false">IF(OR(B783=0,I783=0),"",ROUND(G783-L783,2))</f>
        <v/>
      </c>
      <c r="N783" s="5" t="str">
        <f aca="false">IF(A783="","",IF(B783=0,"NOT FOUND: bank ID",IF(I783=0,"NOT FOUND: GL ID",IF(INDEX(GL!$H:$H,I783)&lt;&gt;A783,"BROKEN: GL points elsewhere",IF(OR(INDEX(Bank!$F:$F,B783)&lt;&gt;"Y",INDEX(GL!$F:$F,I783)&lt;&gt;"Y"),"BROKEN: Status not Y","OK")))))</f>
        <v/>
      </c>
    </row>
    <row r="784" customFormat="false" ht="15" hidden="false" customHeight="false" outlineLevel="0" collapsed="false">
      <c r="A784" s="41"/>
      <c r="B784" s="5" t="n">
        <f aca="false">IF(A784="",0,IFERROR(MATCH(A784,Bank!$A:$A,0),0))</f>
        <v>0</v>
      </c>
      <c r="C784" s="5" t="str">
        <f aca="false">IF(B784=0,"",IF(INDEX(Bank!$G:$G,B784)="","",INDEX(Bank!$G:$G,B784)))</f>
        <v/>
      </c>
      <c r="D784" s="5" t="str">
        <f aca="false">IF(B784=0,"",IF(INDEX(Bank!$J:$J,B784)="","",INDEX(Bank!$J:$J,B784)))</f>
        <v/>
      </c>
      <c r="E784" s="32" t="str">
        <f aca="false">IF(B784=0,"",INDEX(Bank!$B:$B,B784))</f>
        <v/>
      </c>
      <c r="F784" s="5" t="str">
        <f aca="false">IF(B784=0,"",IF(INDEX(Bank!$C:$C,B784)="","",INDEX(Bank!$C:$C,B784)))</f>
        <v/>
      </c>
      <c r="G784" s="19" t="str">
        <f aca="false">IF(B784=0,"",INDEX(Bank!$E:$E,B784))</f>
        <v/>
      </c>
      <c r="H784" s="5" t="str">
        <f aca="false">IF(B784=0,"",IF(INDEX(Bank!$H:$H,B784)="","",INDEX(Bank!$H:$H,B784)))</f>
        <v/>
      </c>
      <c r="I784" s="5" t="n">
        <f aca="false">IF(H784="",0,IFERROR(MATCH(H784,GL!$A:$A,0),0))</f>
        <v>0</v>
      </c>
      <c r="J784" s="32" t="str">
        <f aca="false">IF(I784=0,"",INDEX(GL!$B:$B,I784))</f>
        <v/>
      </c>
      <c r="K784" s="5" t="str">
        <f aca="false">IF(I784=0,"",IF(INDEX(GL!$C:$C,I784)="","",INDEX(GL!$C:$C,I784)))</f>
        <v/>
      </c>
      <c r="L784" s="19" t="str">
        <f aca="false">IF(I784=0,"",INDEX(GL!$E:$E,I784))</f>
        <v/>
      </c>
      <c r="M784" s="19" t="str">
        <f aca="false">IF(OR(B784=0,I784=0),"",ROUND(G784-L784,2))</f>
        <v/>
      </c>
      <c r="N784" s="5" t="str">
        <f aca="false">IF(A784="","",IF(B784=0,"NOT FOUND: bank ID",IF(I784=0,"NOT FOUND: GL ID",IF(INDEX(GL!$H:$H,I784)&lt;&gt;A784,"BROKEN: GL points elsewhere",IF(OR(INDEX(Bank!$F:$F,B784)&lt;&gt;"Y",INDEX(GL!$F:$F,I784)&lt;&gt;"Y"),"BROKEN: Status not Y","OK")))))</f>
        <v/>
      </c>
    </row>
    <row r="785" customFormat="false" ht="15" hidden="false" customHeight="false" outlineLevel="0" collapsed="false">
      <c r="A785" s="41"/>
      <c r="B785" s="5" t="n">
        <f aca="false">IF(A785="",0,IFERROR(MATCH(A785,Bank!$A:$A,0),0))</f>
        <v>0</v>
      </c>
      <c r="C785" s="5" t="str">
        <f aca="false">IF(B785=0,"",IF(INDEX(Bank!$G:$G,B785)="","",INDEX(Bank!$G:$G,B785)))</f>
        <v/>
      </c>
      <c r="D785" s="5" t="str">
        <f aca="false">IF(B785=0,"",IF(INDEX(Bank!$J:$J,B785)="","",INDEX(Bank!$J:$J,B785)))</f>
        <v/>
      </c>
      <c r="E785" s="32" t="str">
        <f aca="false">IF(B785=0,"",INDEX(Bank!$B:$B,B785))</f>
        <v/>
      </c>
      <c r="F785" s="5" t="str">
        <f aca="false">IF(B785=0,"",IF(INDEX(Bank!$C:$C,B785)="","",INDEX(Bank!$C:$C,B785)))</f>
        <v/>
      </c>
      <c r="G785" s="19" t="str">
        <f aca="false">IF(B785=0,"",INDEX(Bank!$E:$E,B785))</f>
        <v/>
      </c>
      <c r="H785" s="5" t="str">
        <f aca="false">IF(B785=0,"",IF(INDEX(Bank!$H:$H,B785)="","",INDEX(Bank!$H:$H,B785)))</f>
        <v/>
      </c>
      <c r="I785" s="5" t="n">
        <f aca="false">IF(H785="",0,IFERROR(MATCH(H785,GL!$A:$A,0),0))</f>
        <v>0</v>
      </c>
      <c r="J785" s="32" t="str">
        <f aca="false">IF(I785=0,"",INDEX(GL!$B:$B,I785))</f>
        <v/>
      </c>
      <c r="K785" s="5" t="str">
        <f aca="false">IF(I785=0,"",IF(INDEX(GL!$C:$C,I785)="","",INDEX(GL!$C:$C,I785)))</f>
        <v/>
      </c>
      <c r="L785" s="19" t="str">
        <f aca="false">IF(I785=0,"",INDEX(GL!$E:$E,I785))</f>
        <v/>
      </c>
      <c r="M785" s="19" t="str">
        <f aca="false">IF(OR(B785=0,I785=0),"",ROUND(G785-L785,2))</f>
        <v/>
      </c>
      <c r="N785" s="5" t="str">
        <f aca="false">IF(A785="","",IF(B785=0,"NOT FOUND: bank ID",IF(I785=0,"NOT FOUND: GL ID",IF(INDEX(GL!$H:$H,I785)&lt;&gt;A785,"BROKEN: GL points elsewhere",IF(OR(INDEX(Bank!$F:$F,B785)&lt;&gt;"Y",INDEX(GL!$F:$F,I785)&lt;&gt;"Y"),"BROKEN: Status not Y","OK")))))</f>
        <v/>
      </c>
    </row>
    <row r="786" customFormat="false" ht="15" hidden="false" customHeight="false" outlineLevel="0" collapsed="false">
      <c r="A786" s="41"/>
      <c r="B786" s="5" t="n">
        <f aca="false">IF(A786="",0,IFERROR(MATCH(A786,Bank!$A:$A,0),0))</f>
        <v>0</v>
      </c>
      <c r="C786" s="5" t="str">
        <f aca="false">IF(B786=0,"",IF(INDEX(Bank!$G:$G,B786)="","",INDEX(Bank!$G:$G,B786)))</f>
        <v/>
      </c>
      <c r="D786" s="5" t="str">
        <f aca="false">IF(B786=0,"",IF(INDEX(Bank!$J:$J,B786)="","",INDEX(Bank!$J:$J,B786)))</f>
        <v/>
      </c>
      <c r="E786" s="32" t="str">
        <f aca="false">IF(B786=0,"",INDEX(Bank!$B:$B,B786))</f>
        <v/>
      </c>
      <c r="F786" s="5" t="str">
        <f aca="false">IF(B786=0,"",IF(INDEX(Bank!$C:$C,B786)="","",INDEX(Bank!$C:$C,B786)))</f>
        <v/>
      </c>
      <c r="G786" s="19" t="str">
        <f aca="false">IF(B786=0,"",INDEX(Bank!$E:$E,B786))</f>
        <v/>
      </c>
      <c r="H786" s="5" t="str">
        <f aca="false">IF(B786=0,"",IF(INDEX(Bank!$H:$H,B786)="","",INDEX(Bank!$H:$H,B786)))</f>
        <v/>
      </c>
      <c r="I786" s="5" t="n">
        <f aca="false">IF(H786="",0,IFERROR(MATCH(H786,GL!$A:$A,0),0))</f>
        <v>0</v>
      </c>
      <c r="J786" s="32" t="str">
        <f aca="false">IF(I786=0,"",INDEX(GL!$B:$B,I786))</f>
        <v/>
      </c>
      <c r="K786" s="5" t="str">
        <f aca="false">IF(I786=0,"",IF(INDEX(GL!$C:$C,I786)="","",INDEX(GL!$C:$C,I786)))</f>
        <v/>
      </c>
      <c r="L786" s="19" t="str">
        <f aca="false">IF(I786=0,"",INDEX(GL!$E:$E,I786))</f>
        <v/>
      </c>
      <c r="M786" s="19" t="str">
        <f aca="false">IF(OR(B786=0,I786=0),"",ROUND(G786-L786,2))</f>
        <v/>
      </c>
      <c r="N786" s="5" t="str">
        <f aca="false">IF(A786="","",IF(B786=0,"NOT FOUND: bank ID",IF(I786=0,"NOT FOUND: GL ID",IF(INDEX(GL!$H:$H,I786)&lt;&gt;A786,"BROKEN: GL points elsewhere",IF(OR(INDEX(Bank!$F:$F,B786)&lt;&gt;"Y",INDEX(GL!$F:$F,I786)&lt;&gt;"Y"),"BROKEN: Status not Y","OK")))))</f>
        <v/>
      </c>
    </row>
    <row r="787" customFormat="false" ht="15" hidden="false" customHeight="false" outlineLevel="0" collapsed="false">
      <c r="A787" s="41"/>
      <c r="B787" s="5" t="n">
        <f aca="false">IF(A787="",0,IFERROR(MATCH(A787,Bank!$A:$A,0),0))</f>
        <v>0</v>
      </c>
      <c r="C787" s="5" t="str">
        <f aca="false">IF(B787=0,"",IF(INDEX(Bank!$G:$G,B787)="","",INDEX(Bank!$G:$G,B787)))</f>
        <v/>
      </c>
      <c r="D787" s="5" t="str">
        <f aca="false">IF(B787=0,"",IF(INDEX(Bank!$J:$J,B787)="","",INDEX(Bank!$J:$J,B787)))</f>
        <v/>
      </c>
      <c r="E787" s="32" t="str">
        <f aca="false">IF(B787=0,"",INDEX(Bank!$B:$B,B787))</f>
        <v/>
      </c>
      <c r="F787" s="5" t="str">
        <f aca="false">IF(B787=0,"",IF(INDEX(Bank!$C:$C,B787)="","",INDEX(Bank!$C:$C,B787)))</f>
        <v/>
      </c>
      <c r="G787" s="19" t="str">
        <f aca="false">IF(B787=0,"",INDEX(Bank!$E:$E,B787))</f>
        <v/>
      </c>
      <c r="H787" s="5" t="str">
        <f aca="false">IF(B787=0,"",IF(INDEX(Bank!$H:$H,B787)="","",INDEX(Bank!$H:$H,B787)))</f>
        <v/>
      </c>
      <c r="I787" s="5" t="n">
        <f aca="false">IF(H787="",0,IFERROR(MATCH(H787,GL!$A:$A,0),0))</f>
        <v>0</v>
      </c>
      <c r="J787" s="32" t="str">
        <f aca="false">IF(I787=0,"",INDEX(GL!$B:$B,I787))</f>
        <v/>
      </c>
      <c r="K787" s="5" t="str">
        <f aca="false">IF(I787=0,"",IF(INDEX(GL!$C:$C,I787)="","",INDEX(GL!$C:$C,I787)))</f>
        <v/>
      </c>
      <c r="L787" s="19" t="str">
        <f aca="false">IF(I787=0,"",INDEX(GL!$E:$E,I787))</f>
        <v/>
      </c>
      <c r="M787" s="19" t="str">
        <f aca="false">IF(OR(B787=0,I787=0),"",ROUND(G787-L787,2))</f>
        <v/>
      </c>
      <c r="N787" s="5" t="str">
        <f aca="false">IF(A787="","",IF(B787=0,"NOT FOUND: bank ID",IF(I787=0,"NOT FOUND: GL ID",IF(INDEX(GL!$H:$H,I787)&lt;&gt;A787,"BROKEN: GL points elsewhere",IF(OR(INDEX(Bank!$F:$F,B787)&lt;&gt;"Y",INDEX(GL!$F:$F,I787)&lt;&gt;"Y"),"BROKEN: Status not Y","OK")))))</f>
        <v/>
      </c>
    </row>
    <row r="788" customFormat="false" ht="15" hidden="false" customHeight="false" outlineLevel="0" collapsed="false">
      <c r="A788" s="41"/>
      <c r="B788" s="5" t="n">
        <f aca="false">IF(A788="",0,IFERROR(MATCH(A788,Bank!$A:$A,0),0))</f>
        <v>0</v>
      </c>
      <c r="C788" s="5" t="str">
        <f aca="false">IF(B788=0,"",IF(INDEX(Bank!$G:$G,B788)="","",INDEX(Bank!$G:$G,B788)))</f>
        <v/>
      </c>
      <c r="D788" s="5" t="str">
        <f aca="false">IF(B788=0,"",IF(INDEX(Bank!$J:$J,B788)="","",INDEX(Bank!$J:$J,B788)))</f>
        <v/>
      </c>
      <c r="E788" s="32" t="str">
        <f aca="false">IF(B788=0,"",INDEX(Bank!$B:$B,B788))</f>
        <v/>
      </c>
      <c r="F788" s="5" t="str">
        <f aca="false">IF(B788=0,"",IF(INDEX(Bank!$C:$C,B788)="","",INDEX(Bank!$C:$C,B788)))</f>
        <v/>
      </c>
      <c r="G788" s="19" t="str">
        <f aca="false">IF(B788=0,"",INDEX(Bank!$E:$E,B788))</f>
        <v/>
      </c>
      <c r="H788" s="5" t="str">
        <f aca="false">IF(B788=0,"",IF(INDEX(Bank!$H:$H,B788)="","",INDEX(Bank!$H:$H,B788)))</f>
        <v/>
      </c>
      <c r="I788" s="5" t="n">
        <f aca="false">IF(H788="",0,IFERROR(MATCH(H788,GL!$A:$A,0),0))</f>
        <v>0</v>
      </c>
      <c r="J788" s="32" t="str">
        <f aca="false">IF(I788=0,"",INDEX(GL!$B:$B,I788))</f>
        <v/>
      </c>
      <c r="K788" s="5" t="str">
        <f aca="false">IF(I788=0,"",IF(INDEX(GL!$C:$C,I788)="","",INDEX(GL!$C:$C,I788)))</f>
        <v/>
      </c>
      <c r="L788" s="19" t="str">
        <f aca="false">IF(I788=0,"",INDEX(GL!$E:$E,I788))</f>
        <v/>
      </c>
      <c r="M788" s="19" t="str">
        <f aca="false">IF(OR(B788=0,I788=0),"",ROUND(G788-L788,2))</f>
        <v/>
      </c>
      <c r="N788" s="5" t="str">
        <f aca="false">IF(A788="","",IF(B788=0,"NOT FOUND: bank ID",IF(I788=0,"NOT FOUND: GL ID",IF(INDEX(GL!$H:$H,I788)&lt;&gt;A788,"BROKEN: GL points elsewhere",IF(OR(INDEX(Bank!$F:$F,B788)&lt;&gt;"Y",INDEX(GL!$F:$F,I788)&lt;&gt;"Y"),"BROKEN: Status not Y","OK")))))</f>
        <v/>
      </c>
    </row>
    <row r="789" customFormat="false" ht="15" hidden="false" customHeight="false" outlineLevel="0" collapsed="false">
      <c r="A789" s="41"/>
      <c r="B789" s="5" t="n">
        <f aca="false">IF(A789="",0,IFERROR(MATCH(A789,Bank!$A:$A,0),0))</f>
        <v>0</v>
      </c>
      <c r="C789" s="5" t="str">
        <f aca="false">IF(B789=0,"",IF(INDEX(Bank!$G:$G,B789)="","",INDEX(Bank!$G:$G,B789)))</f>
        <v/>
      </c>
      <c r="D789" s="5" t="str">
        <f aca="false">IF(B789=0,"",IF(INDEX(Bank!$J:$J,B789)="","",INDEX(Bank!$J:$J,B789)))</f>
        <v/>
      </c>
      <c r="E789" s="32" t="str">
        <f aca="false">IF(B789=0,"",INDEX(Bank!$B:$B,B789))</f>
        <v/>
      </c>
      <c r="F789" s="5" t="str">
        <f aca="false">IF(B789=0,"",IF(INDEX(Bank!$C:$C,B789)="","",INDEX(Bank!$C:$C,B789)))</f>
        <v/>
      </c>
      <c r="G789" s="19" t="str">
        <f aca="false">IF(B789=0,"",INDEX(Bank!$E:$E,B789))</f>
        <v/>
      </c>
      <c r="H789" s="5" t="str">
        <f aca="false">IF(B789=0,"",IF(INDEX(Bank!$H:$H,B789)="","",INDEX(Bank!$H:$H,B789)))</f>
        <v/>
      </c>
      <c r="I789" s="5" t="n">
        <f aca="false">IF(H789="",0,IFERROR(MATCH(H789,GL!$A:$A,0),0))</f>
        <v>0</v>
      </c>
      <c r="J789" s="32" t="str">
        <f aca="false">IF(I789=0,"",INDEX(GL!$B:$B,I789))</f>
        <v/>
      </c>
      <c r="K789" s="5" t="str">
        <f aca="false">IF(I789=0,"",IF(INDEX(GL!$C:$C,I789)="","",INDEX(GL!$C:$C,I789)))</f>
        <v/>
      </c>
      <c r="L789" s="19" t="str">
        <f aca="false">IF(I789=0,"",INDEX(GL!$E:$E,I789))</f>
        <v/>
      </c>
      <c r="M789" s="19" t="str">
        <f aca="false">IF(OR(B789=0,I789=0),"",ROUND(G789-L789,2))</f>
        <v/>
      </c>
      <c r="N789" s="5" t="str">
        <f aca="false">IF(A789="","",IF(B789=0,"NOT FOUND: bank ID",IF(I789=0,"NOT FOUND: GL ID",IF(INDEX(GL!$H:$H,I789)&lt;&gt;A789,"BROKEN: GL points elsewhere",IF(OR(INDEX(Bank!$F:$F,B789)&lt;&gt;"Y",INDEX(GL!$F:$F,I789)&lt;&gt;"Y"),"BROKEN: Status not Y","OK")))))</f>
        <v/>
      </c>
    </row>
    <row r="790" customFormat="false" ht="15" hidden="false" customHeight="false" outlineLevel="0" collapsed="false">
      <c r="A790" s="41"/>
      <c r="B790" s="5" t="n">
        <f aca="false">IF(A790="",0,IFERROR(MATCH(A790,Bank!$A:$A,0),0))</f>
        <v>0</v>
      </c>
      <c r="C790" s="5" t="str">
        <f aca="false">IF(B790=0,"",IF(INDEX(Bank!$G:$G,B790)="","",INDEX(Bank!$G:$G,B790)))</f>
        <v/>
      </c>
      <c r="D790" s="5" t="str">
        <f aca="false">IF(B790=0,"",IF(INDEX(Bank!$J:$J,B790)="","",INDEX(Bank!$J:$J,B790)))</f>
        <v/>
      </c>
      <c r="E790" s="32" t="str">
        <f aca="false">IF(B790=0,"",INDEX(Bank!$B:$B,B790))</f>
        <v/>
      </c>
      <c r="F790" s="5" t="str">
        <f aca="false">IF(B790=0,"",IF(INDEX(Bank!$C:$C,B790)="","",INDEX(Bank!$C:$C,B790)))</f>
        <v/>
      </c>
      <c r="G790" s="19" t="str">
        <f aca="false">IF(B790=0,"",INDEX(Bank!$E:$E,B790))</f>
        <v/>
      </c>
      <c r="H790" s="5" t="str">
        <f aca="false">IF(B790=0,"",IF(INDEX(Bank!$H:$H,B790)="","",INDEX(Bank!$H:$H,B790)))</f>
        <v/>
      </c>
      <c r="I790" s="5" t="n">
        <f aca="false">IF(H790="",0,IFERROR(MATCH(H790,GL!$A:$A,0),0))</f>
        <v>0</v>
      </c>
      <c r="J790" s="32" t="str">
        <f aca="false">IF(I790=0,"",INDEX(GL!$B:$B,I790))</f>
        <v/>
      </c>
      <c r="K790" s="5" t="str">
        <f aca="false">IF(I790=0,"",IF(INDEX(GL!$C:$C,I790)="","",INDEX(GL!$C:$C,I790)))</f>
        <v/>
      </c>
      <c r="L790" s="19" t="str">
        <f aca="false">IF(I790=0,"",INDEX(GL!$E:$E,I790))</f>
        <v/>
      </c>
      <c r="M790" s="19" t="str">
        <f aca="false">IF(OR(B790=0,I790=0),"",ROUND(G790-L790,2))</f>
        <v/>
      </c>
      <c r="N790" s="5" t="str">
        <f aca="false">IF(A790="","",IF(B790=0,"NOT FOUND: bank ID",IF(I790=0,"NOT FOUND: GL ID",IF(INDEX(GL!$H:$H,I790)&lt;&gt;A790,"BROKEN: GL points elsewhere",IF(OR(INDEX(Bank!$F:$F,B790)&lt;&gt;"Y",INDEX(GL!$F:$F,I790)&lt;&gt;"Y"),"BROKEN: Status not Y","OK")))))</f>
        <v/>
      </c>
    </row>
    <row r="791" customFormat="false" ht="15" hidden="false" customHeight="false" outlineLevel="0" collapsed="false">
      <c r="A791" s="41"/>
      <c r="B791" s="5" t="n">
        <f aca="false">IF(A791="",0,IFERROR(MATCH(A791,Bank!$A:$A,0),0))</f>
        <v>0</v>
      </c>
      <c r="C791" s="5" t="str">
        <f aca="false">IF(B791=0,"",IF(INDEX(Bank!$G:$G,B791)="","",INDEX(Bank!$G:$G,B791)))</f>
        <v/>
      </c>
      <c r="D791" s="5" t="str">
        <f aca="false">IF(B791=0,"",IF(INDEX(Bank!$J:$J,B791)="","",INDEX(Bank!$J:$J,B791)))</f>
        <v/>
      </c>
      <c r="E791" s="32" t="str">
        <f aca="false">IF(B791=0,"",INDEX(Bank!$B:$B,B791))</f>
        <v/>
      </c>
      <c r="F791" s="5" t="str">
        <f aca="false">IF(B791=0,"",IF(INDEX(Bank!$C:$C,B791)="","",INDEX(Bank!$C:$C,B791)))</f>
        <v/>
      </c>
      <c r="G791" s="19" t="str">
        <f aca="false">IF(B791=0,"",INDEX(Bank!$E:$E,B791))</f>
        <v/>
      </c>
      <c r="H791" s="5" t="str">
        <f aca="false">IF(B791=0,"",IF(INDEX(Bank!$H:$H,B791)="","",INDEX(Bank!$H:$H,B791)))</f>
        <v/>
      </c>
      <c r="I791" s="5" t="n">
        <f aca="false">IF(H791="",0,IFERROR(MATCH(H791,GL!$A:$A,0),0))</f>
        <v>0</v>
      </c>
      <c r="J791" s="32" t="str">
        <f aca="false">IF(I791=0,"",INDEX(GL!$B:$B,I791))</f>
        <v/>
      </c>
      <c r="K791" s="5" t="str">
        <f aca="false">IF(I791=0,"",IF(INDEX(GL!$C:$C,I791)="","",INDEX(GL!$C:$C,I791)))</f>
        <v/>
      </c>
      <c r="L791" s="19" t="str">
        <f aca="false">IF(I791=0,"",INDEX(GL!$E:$E,I791))</f>
        <v/>
      </c>
      <c r="M791" s="19" t="str">
        <f aca="false">IF(OR(B791=0,I791=0),"",ROUND(G791-L791,2))</f>
        <v/>
      </c>
      <c r="N791" s="5" t="str">
        <f aca="false">IF(A791="","",IF(B791=0,"NOT FOUND: bank ID",IF(I791=0,"NOT FOUND: GL ID",IF(INDEX(GL!$H:$H,I791)&lt;&gt;A791,"BROKEN: GL points elsewhere",IF(OR(INDEX(Bank!$F:$F,B791)&lt;&gt;"Y",INDEX(GL!$F:$F,I791)&lt;&gt;"Y"),"BROKEN: Status not Y","OK")))))</f>
        <v/>
      </c>
    </row>
    <row r="792" customFormat="false" ht="15" hidden="false" customHeight="false" outlineLevel="0" collapsed="false">
      <c r="A792" s="41"/>
      <c r="B792" s="5" t="n">
        <f aca="false">IF(A792="",0,IFERROR(MATCH(A792,Bank!$A:$A,0),0))</f>
        <v>0</v>
      </c>
      <c r="C792" s="5" t="str">
        <f aca="false">IF(B792=0,"",IF(INDEX(Bank!$G:$G,B792)="","",INDEX(Bank!$G:$G,B792)))</f>
        <v/>
      </c>
      <c r="D792" s="5" t="str">
        <f aca="false">IF(B792=0,"",IF(INDEX(Bank!$J:$J,B792)="","",INDEX(Bank!$J:$J,B792)))</f>
        <v/>
      </c>
      <c r="E792" s="32" t="str">
        <f aca="false">IF(B792=0,"",INDEX(Bank!$B:$B,B792))</f>
        <v/>
      </c>
      <c r="F792" s="5" t="str">
        <f aca="false">IF(B792=0,"",IF(INDEX(Bank!$C:$C,B792)="","",INDEX(Bank!$C:$C,B792)))</f>
        <v/>
      </c>
      <c r="G792" s="19" t="str">
        <f aca="false">IF(B792=0,"",INDEX(Bank!$E:$E,B792))</f>
        <v/>
      </c>
      <c r="H792" s="5" t="str">
        <f aca="false">IF(B792=0,"",IF(INDEX(Bank!$H:$H,B792)="","",INDEX(Bank!$H:$H,B792)))</f>
        <v/>
      </c>
      <c r="I792" s="5" t="n">
        <f aca="false">IF(H792="",0,IFERROR(MATCH(H792,GL!$A:$A,0),0))</f>
        <v>0</v>
      </c>
      <c r="J792" s="32" t="str">
        <f aca="false">IF(I792=0,"",INDEX(GL!$B:$B,I792))</f>
        <v/>
      </c>
      <c r="K792" s="5" t="str">
        <f aca="false">IF(I792=0,"",IF(INDEX(GL!$C:$C,I792)="","",INDEX(GL!$C:$C,I792)))</f>
        <v/>
      </c>
      <c r="L792" s="19" t="str">
        <f aca="false">IF(I792=0,"",INDEX(GL!$E:$E,I792))</f>
        <v/>
      </c>
      <c r="M792" s="19" t="str">
        <f aca="false">IF(OR(B792=0,I792=0),"",ROUND(G792-L792,2))</f>
        <v/>
      </c>
      <c r="N792" s="5" t="str">
        <f aca="false">IF(A792="","",IF(B792=0,"NOT FOUND: bank ID",IF(I792=0,"NOT FOUND: GL ID",IF(INDEX(GL!$H:$H,I792)&lt;&gt;A792,"BROKEN: GL points elsewhere",IF(OR(INDEX(Bank!$F:$F,B792)&lt;&gt;"Y",INDEX(GL!$F:$F,I792)&lt;&gt;"Y"),"BROKEN: Status not Y","OK")))))</f>
        <v/>
      </c>
    </row>
    <row r="793" customFormat="false" ht="15" hidden="false" customHeight="false" outlineLevel="0" collapsed="false">
      <c r="A793" s="41"/>
      <c r="B793" s="5" t="n">
        <f aca="false">IF(A793="",0,IFERROR(MATCH(A793,Bank!$A:$A,0),0))</f>
        <v>0</v>
      </c>
      <c r="C793" s="5" t="str">
        <f aca="false">IF(B793=0,"",IF(INDEX(Bank!$G:$G,B793)="","",INDEX(Bank!$G:$G,B793)))</f>
        <v/>
      </c>
      <c r="D793" s="5" t="str">
        <f aca="false">IF(B793=0,"",IF(INDEX(Bank!$J:$J,B793)="","",INDEX(Bank!$J:$J,B793)))</f>
        <v/>
      </c>
      <c r="E793" s="32" t="str">
        <f aca="false">IF(B793=0,"",INDEX(Bank!$B:$B,B793))</f>
        <v/>
      </c>
      <c r="F793" s="5" t="str">
        <f aca="false">IF(B793=0,"",IF(INDEX(Bank!$C:$C,B793)="","",INDEX(Bank!$C:$C,B793)))</f>
        <v/>
      </c>
      <c r="G793" s="19" t="str">
        <f aca="false">IF(B793=0,"",INDEX(Bank!$E:$E,B793))</f>
        <v/>
      </c>
      <c r="H793" s="5" t="str">
        <f aca="false">IF(B793=0,"",IF(INDEX(Bank!$H:$H,B793)="","",INDEX(Bank!$H:$H,B793)))</f>
        <v/>
      </c>
      <c r="I793" s="5" t="n">
        <f aca="false">IF(H793="",0,IFERROR(MATCH(H793,GL!$A:$A,0),0))</f>
        <v>0</v>
      </c>
      <c r="J793" s="32" t="str">
        <f aca="false">IF(I793=0,"",INDEX(GL!$B:$B,I793))</f>
        <v/>
      </c>
      <c r="K793" s="5" t="str">
        <f aca="false">IF(I793=0,"",IF(INDEX(GL!$C:$C,I793)="","",INDEX(GL!$C:$C,I793)))</f>
        <v/>
      </c>
      <c r="L793" s="19" t="str">
        <f aca="false">IF(I793=0,"",INDEX(GL!$E:$E,I793))</f>
        <v/>
      </c>
      <c r="M793" s="19" t="str">
        <f aca="false">IF(OR(B793=0,I793=0),"",ROUND(G793-L793,2))</f>
        <v/>
      </c>
      <c r="N793" s="5" t="str">
        <f aca="false">IF(A793="","",IF(B793=0,"NOT FOUND: bank ID",IF(I793=0,"NOT FOUND: GL ID",IF(INDEX(GL!$H:$H,I793)&lt;&gt;A793,"BROKEN: GL points elsewhere",IF(OR(INDEX(Bank!$F:$F,B793)&lt;&gt;"Y",INDEX(GL!$F:$F,I793)&lt;&gt;"Y"),"BROKEN: Status not Y","OK")))))</f>
        <v/>
      </c>
    </row>
    <row r="794" customFormat="false" ht="15" hidden="false" customHeight="false" outlineLevel="0" collapsed="false">
      <c r="A794" s="41"/>
      <c r="B794" s="5" t="n">
        <f aca="false">IF(A794="",0,IFERROR(MATCH(A794,Bank!$A:$A,0),0))</f>
        <v>0</v>
      </c>
      <c r="C794" s="5" t="str">
        <f aca="false">IF(B794=0,"",IF(INDEX(Bank!$G:$G,B794)="","",INDEX(Bank!$G:$G,B794)))</f>
        <v/>
      </c>
      <c r="D794" s="5" t="str">
        <f aca="false">IF(B794=0,"",IF(INDEX(Bank!$J:$J,B794)="","",INDEX(Bank!$J:$J,B794)))</f>
        <v/>
      </c>
      <c r="E794" s="32" t="str">
        <f aca="false">IF(B794=0,"",INDEX(Bank!$B:$B,B794))</f>
        <v/>
      </c>
      <c r="F794" s="5" t="str">
        <f aca="false">IF(B794=0,"",IF(INDEX(Bank!$C:$C,B794)="","",INDEX(Bank!$C:$C,B794)))</f>
        <v/>
      </c>
      <c r="G794" s="19" t="str">
        <f aca="false">IF(B794=0,"",INDEX(Bank!$E:$E,B794))</f>
        <v/>
      </c>
      <c r="H794" s="5" t="str">
        <f aca="false">IF(B794=0,"",IF(INDEX(Bank!$H:$H,B794)="","",INDEX(Bank!$H:$H,B794)))</f>
        <v/>
      </c>
      <c r="I794" s="5" t="n">
        <f aca="false">IF(H794="",0,IFERROR(MATCH(H794,GL!$A:$A,0),0))</f>
        <v>0</v>
      </c>
      <c r="J794" s="32" t="str">
        <f aca="false">IF(I794=0,"",INDEX(GL!$B:$B,I794))</f>
        <v/>
      </c>
      <c r="K794" s="5" t="str">
        <f aca="false">IF(I794=0,"",IF(INDEX(GL!$C:$C,I794)="","",INDEX(GL!$C:$C,I794)))</f>
        <v/>
      </c>
      <c r="L794" s="19" t="str">
        <f aca="false">IF(I794=0,"",INDEX(GL!$E:$E,I794))</f>
        <v/>
      </c>
      <c r="M794" s="19" t="str">
        <f aca="false">IF(OR(B794=0,I794=0),"",ROUND(G794-L794,2))</f>
        <v/>
      </c>
      <c r="N794" s="5" t="str">
        <f aca="false">IF(A794="","",IF(B794=0,"NOT FOUND: bank ID",IF(I794=0,"NOT FOUND: GL ID",IF(INDEX(GL!$H:$H,I794)&lt;&gt;A794,"BROKEN: GL points elsewhere",IF(OR(INDEX(Bank!$F:$F,B794)&lt;&gt;"Y",INDEX(GL!$F:$F,I794)&lt;&gt;"Y"),"BROKEN: Status not Y","OK")))))</f>
        <v/>
      </c>
    </row>
    <row r="795" customFormat="false" ht="15" hidden="false" customHeight="false" outlineLevel="0" collapsed="false">
      <c r="A795" s="41"/>
      <c r="B795" s="5" t="n">
        <f aca="false">IF(A795="",0,IFERROR(MATCH(A795,Bank!$A:$A,0),0))</f>
        <v>0</v>
      </c>
      <c r="C795" s="5" t="str">
        <f aca="false">IF(B795=0,"",IF(INDEX(Bank!$G:$G,B795)="","",INDEX(Bank!$G:$G,B795)))</f>
        <v/>
      </c>
      <c r="D795" s="5" t="str">
        <f aca="false">IF(B795=0,"",IF(INDEX(Bank!$J:$J,B795)="","",INDEX(Bank!$J:$J,B795)))</f>
        <v/>
      </c>
      <c r="E795" s="32" t="str">
        <f aca="false">IF(B795=0,"",INDEX(Bank!$B:$B,B795))</f>
        <v/>
      </c>
      <c r="F795" s="5" t="str">
        <f aca="false">IF(B795=0,"",IF(INDEX(Bank!$C:$C,B795)="","",INDEX(Bank!$C:$C,B795)))</f>
        <v/>
      </c>
      <c r="G795" s="19" t="str">
        <f aca="false">IF(B795=0,"",INDEX(Bank!$E:$E,B795))</f>
        <v/>
      </c>
      <c r="H795" s="5" t="str">
        <f aca="false">IF(B795=0,"",IF(INDEX(Bank!$H:$H,B795)="","",INDEX(Bank!$H:$H,B795)))</f>
        <v/>
      </c>
      <c r="I795" s="5" t="n">
        <f aca="false">IF(H795="",0,IFERROR(MATCH(H795,GL!$A:$A,0),0))</f>
        <v>0</v>
      </c>
      <c r="J795" s="32" t="str">
        <f aca="false">IF(I795=0,"",INDEX(GL!$B:$B,I795))</f>
        <v/>
      </c>
      <c r="K795" s="5" t="str">
        <f aca="false">IF(I795=0,"",IF(INDEX(GL!$C:$C,I795)="","",INDEX(GL!$C:$C,I795)))</f>
        <v/>
      </c>
      <c r="L795" s="19" t="str">
        <f aca="false">IF(I795=0,"",INDEX(GL!$E:$E,I795))</f>
        <v/>
      </c>
      <c r="M795" s="19" t="str">
        <f aca="false">IF(OR(B795=0,I795=0),"",ROUND(G795-L795,2))</f>
        <v/>
      </c>
      <c r="N795" s="5" t="str">
        <f aca="false">IF(A795="","",IF(B795=0,"NOT FOUND: bank ID",IF(I795=0,"NOT FOUND: GL ID",IF(INDEX(GL!$H:$H,I795)&lt;&gt;A795,"BROKEN: GL points elsewhere",IF(OR(INDEX(Bank!$F:$F,B795)&lt;&gt;"Y",INDEX(GL!$F:$F,I795)&lt;&gt;"Y"),"BROKEN: Status not Y","OK")))))</f>
        <v/>
      </c>
    </row>
    <row r="796" customFormat="false" ht="15" hidden="false" customHeight="false" outlineLevel="0" collapsed="false">
      <c r="A796" s="41"/>
      <c r="B796" s="5" t="n">
        <f aca="false">IF(A796="",0,IFERROR(MATCH(A796,Bank!$A:$A,0),0))</f>
        <v>0</v>
      </c>
      <c r="C796" s="5" t="str">
        <f aca="false">IF(B796=0,"",IF(INDEX(Bank!$G:$G,B796)="","",INDEX(Bank!$G:$G,B796)))</f>
        <v/>
      </c>
      <c r="D796" s="5" t="str">
        <f aca="false">IF(B796=0,"",IF(INDEX(Bank!$J:$J,B796)="","",INDEX(Bank!$J:$J,B796)))</f>
        <v/>
      </c>
      <c r="E796" s="32" t="str">
        <f aca="false">IF(B796=0,"",INDEX(Bank!$B:$B,B796))</f>
        <v/>
      </c>
      <c r="F796" s="5" t="str">
        <f aca="false">IF(B796=0,"",IF(INDEX(Bank!$C:$C,B796)="","",INDEX(Bank!$C:$C,B796)))</f>
        <v/>
      </c>
      <c r="G796" s="19" t="str">
        <f aca="false">IF(B796=0,"",INDEX(Bank!$E:$E,B796))</f>
        <v/>
      </c>
      <c r="H796" s="5" t="str">
        <f aca="false">IF(B796=0,"",IF(INDEX(Bank!$H:$H,B796)="","",INDEX(Bank!$H:$H,B796)))</f>
        <v/>
      </c>
      <c r="I796" s="5" t="n">
        <f aca="false">IF(H796="",0,IFERROR(MATCH(H796,GL!$A:$A,0),0))</f>
        <v>0</v>
      </c>
      <c r="J796" s="32" t="str">
        <f aca="false">IF(I796=0,"",INDEX(GL!$B:$B,I796))</f>
        <v/>
      </c>
      <c r="K796" s="5" t="str">
        <f aca="false">IF(I796=0,"",IF(INDEX(GL!$C:$C,I796)="","",INDEX(GL!$C:$C,I796)))</f>
        <v/>
      </c>
      <c r="L796" s="19" t="str">
        <f aca="false">IF(I796=0,"",INDEX(GL!$E:$E,I796))</f>
        <v/>
      </c>
      <c r="M796" s="19" t="str">
        <f aca="false">IF(OR(B796=0,I796=0),"",ROUND(G796-L796,2))</f>
        <v/>
      </c>
      <c r="N796" s="5" t="str">
        <f aca="false">IF(A796="","",IF(B796=0,"NOT FOUND: bank ID",IF(I796=0,"NOT FOUND: GL ID",IF(INDEX(GL!$H:$H,I796)&lt;&gt;A796,"BROKEN: GL points elsewhere",IF(OR(INDEX(Bank!$F:$F,B796)&lt;&gt;"Y",INDEX(GL!$F:$F,I796)&lt;&gt;"Y"),"BROKEN: Status not Y","OK")))))</f>
        <v/>
      </c>
    </row>
    <row r="797" customFormat="false" ht="15" hidden="false" customHeight="false" outlineLevel="0" collapsed="false">
      <c r="A797" s="41"/>
      <c r="B797" s="5" t="n">
        <f aca="false">IF(A797="",0,IFERROR(MATCH(A797,Bank!$A:$A,0),0))</f>
        <v>0</v>
      </c>
      <c r="C797" s="5" t="str">
        <f aca="false">IF(B797=0,"",IF(INDEX(Bank!$G:$G,B797)="","",INDEX(Bank!$G:$G,B797)))</f>
        <v/>
      </c>
      <c r="D797" s="5" t="str">
        <f aca="false">IF(B797=0,"",IF(INDEX(Bank!$J:$J,B797)="","",INDEX(Bank!$J:$J,B797)))</f>
        <v/>
      </c>
      <c r="E797" s="32" t="str">
        <f aca="false">IF(B797=0,"",INDEX(Bank!$B:$B,B797))</f>
        <v/>
      </c>
      <c r="F797" s="5" t="str">
        <f aca="false">IF(B797=0,"",IF(INDEX(Bank!$C:$C,B797)="","",INDEX(Bank!$C:$C,B797)))</f>
        <v/>
      </c>
      <c r="G797" s="19" t="str">
        <f aca="false">IF(B797=0,"",INDEX(Bank!$E:$E,B797))</f>
        <v/>
      </c>
      <c r="H797" s="5" t="str">
        <f aca="false">IF(B797=0,"",IF(INDEX(Bank!$H:$H,B797)="","",INDEX(Bank!$H:$H,B797)))</f>
        <v/>
      </c>
      <c r="I797" s="5" t="n">
        <f aca="false">IF(H797="",0,IFERROR(MATCH(H797,GL!$A:$A,0),0))</f>
        <v>0</v>
      </c>
      <c r="J797" s="32" t="str">
        <f aca="false">IF(I797=0,"",INDEX(GL!$B:$B,I797))</f>
        <v/>
      </c>
      <c r="K797" s="5" t="str">
        <f aca="false">IF(I797=0,"",IF(INDEX(GL!$C:$C,I797)="","",INDEX(GL!$C:$C,I797)))</f>
        <v/>
      </c>
      <c r="L797" s="19" t="str">
        <f aca="false">IF(I797=0,"",INDEX(GL!$E:$E,I797))</f>
        <v/>
      </c>
      <c r="M797" s="19" t="str">
        <f aca="false">IF(OR(B797=0,I797=0),"",ROUND(G797-L797,2))</f>
        <v/>
      </c>
      <c r="N797" s="5" t="str">
        <f aca="false">IF(A797="","",IF(B797=0,"NOT FOUND: bank ID",IF(I797=0,"NOT FOUND: GL ID",IF(INDEX(GL!$H:$H,I797)&lt;&gt;A797,"BROKEN: GL points elsewhere",IF(OR(INDEX(Bank!$F:$F,B797)&lt;&gt;"Y",INDEX(GL!$F:$F,I797)&lt;&gt;"Y"),"BROKEN: Status not Y","OK")))))</f>
        <v/>
      </c>
    </row>
    <row r="798" customFormat="false" ht="15" hidden="false" customHeight="false" outlineLevel="0" collapsed="false">
      <c r="A798" s="41"/>
      <c r="B798" s="5" t="n">
        <f aca="false">IF(A798="",0,IFERROR(MATCH(A798,Bank!$A:$A,0),0))</f>
        <v>0</v>
      </c>
      <c r="C798" s="5" t="str">
        <f aca="false">IF(B798=0,"",IF(INDEX(Bank!$G:$G,B798)="","",INDEX(Bank!$G:$G,B798)))</f>
        <v/>
      </c>
      <c r="D798" s="5" t="str">
        <f aca="false">IF(B798=0,"",IF(INDEX(Bank!$J:$J,B798)="","",INDEX(Bank!$J:$J,B798)))</f>
        <v/>
      </c>
      <c r="E798" s="32" t="str">
        <f aca="false">IF(B798=0,"",INDEX(Bank!$B:$B,B798))</f>
        <v/>
      </c>
      <c r="F798" s="5" t="str">
        <f aca="false">IF(B798=0,"",IF(INDEX(Bank!$C:$C,B798)="","",INDEX(Bank!$C:$C,B798)))</f>
        <v/>
      </c>
      <c r="G798" s="19" t="str">
        <f aca="false">IF(B798=0,"",INDEX(Bank!$E:$E,B798))</f>
        <v/>
      </c>
      <c r="H798" s="5" t="str">
        <f aca="false">IF(B798=0,"",IF(INDEX(Bank!$H:$H,B798)="","",INDEX(Bank!$H:$H,B798)))</f>
        <v/>
      </c>
      <c r="I798" s="5" t="n">
        <f aca="false">IF(H798="",0,IFERROR(MATCH(H798,GL!$A:$A,0),0))</f>
        <v>0</v>
      </c>
      <c r="J798" s="32" t="str">
        <f aca="false">IF(I798=0,"",INDEX(GL!$B:$B,I798))</f>
        <v/>
      </c>
      <c r="K798" s="5" t="str">
        <f aca="false">IF(I798=0,"",IF(INDEX(GL!$C:$C,I798)="","",INDEX(GL!$C:$C,I798)))</f>
        <v/>
      </c>
      <c r="L798" s="19" t="str">
        <f aca="false">IF(I798=0,"",INDEX(GL!$E:$E,I798))</f>
        <v/>
      </c>
      <c r="M798" s="19" t="str">
        <f aca="false">IF(OR(B798=0,I798=0),"",ROUND(G798-L798,2))</f>
        <v/>
      </c>
      <c r="N798" s="5" t="str">
        <f aca="false">IF(A798="","",IF(B798=0,"NOT FOUND: bank ID",IF(I798=0,"NOT FOUND: GL ID",IF(INDEX(GL!$H:$H,I798)&lt;&gt;A798,"BROKEN: GL points elsewhere",IF(OR(INDEX(Bank!$F:$F,B798)&lt;&gt;"Y",INDEX(GL!$F:$F,I798)&lt;&gt;"Y"),"BROKEN: Status not Y","OK")))))</f>
        <v/>
      </c>
    </row>
    <row r="799" customFormat="false" ht="15" hidden="false" customHeight="false" outlineLevel="0" collapsed="false">
      <c r="A799" s="41"/>
      <c r="B799" s="5" t="n">
        <f aca="false">IF(A799="",0,IFERROR(MATCH(A799,Bank!$A:$A,0),0))</f>
        <v>0</v>
      </c>
      <c r="C799" s="5" t="str">
        <f aca="false">IF(B799=0,"",IF(INDEX(Bank!$G:$G,B799)="","",INDEX(Bank!$G:$G,B799)))</f>
        <v/>
      </c>
      <c r="D799" s="5" t="str">
        <f aca="false">IF(B799=0,"",IF(INDEX(Bank!$J:$J,B799)="","",INDEX(Bank!$J:$J,B799)))</f>
        <v/>
      </c>
      <c r="E799" s="32" t="str">
        <f aca="false">IF(B799=0,"",INDEX(Bank!$B:$B,B799))</f>
        <v/>
      </c>
      <c r="F799" s="5" t="str">
        <f aca="false">IF(B799=0,"",IF(INDEX(Bank!$C:$C,B799)="","",INDEX(Bank!$C:$C,B799)))</f>
        <v/>
      </c>
      <c r="G799" s="19" t="str">
        <f aca="false">IF(B799=0,"",INDEX(Bank!$E:$E,B799))</f>
        <v/>
      </c>
      <c r="H799" s="5" t="str">
        <f aca="false">IF(B799=0,"",IF(INDEX(Bank!$H:$H,B799)="","",INDEX(Bank!$H:$H,B799)))</f>
        <v/>
      </c>
      <c r="I799" s="5" t="n">
        <f aca="false">IF(H799="",0,IFERROR(MATCH(H799,GL!$A:$A,0),0))</f>
        <v>0</v>
      </c>
      <c r="J799" s="32" t="str">
        <f aca="false">IF(I799=0,"",INDEX(GL!$B:$B,I799))</f>
        <v/>
      </c>
      <c r="K799" s="5" t="str">
        <f aca="false">IF(I799=0,"",IF(INDEX(GL!$C:$C,I799)="","",INDEX(GL!$C:$C,I799)))</f>
        <v/>
      </c>
      <c r="L799" s="19" t="str">
        <f aca="false">IF(I799=0,"",INDEX(GL!$E:$E,I799))</f>
        <v/>
      </c>
      <c r="M799" s="19" t="str">
        <f aca="false">IF(OR(B799=0,I799=0),"",ROUND(G799-L799,2))</f>
        <v/>
      </c>
      <c r="N799" s="5" t="str">
        <f aca="false">IF(A799="","",IF(B799=0,"NOT FOUND: bank ID",IF(I799=0,"NOT FOUND: GL ID",IF(INDEX(GL!$H:$H,I799)&lt;&gt;A799,"BROKEN: GL points elsewhere",IF(OR(INDEX(Bank!$F:$F,B799)&lt;&gt;"Y",INDEX(GL!$F:$F,I799)&lt;&gt;"Y"),"BROKEN: Status not Y","OK")))))</f>
        <v/>
      </c>
    </row>
    <row r="800" customFormat="false" ht="15" hidden="false" customHeight="false" outlineLevel="0" collapsed="false">
      <c r="A800" s="41"/>
      <c r="B800" s="5" t="n">
        <f aca="false">IF(A800="",0,IFERROR(MATCH(A800,Bank!$A:$A,0),0))</f>
        <v>0</v>
      </c>
      <c r="C800" s="5" t="str">
        <f aca="false">IF(B800=0,"",IF(INDEX(Bank!$G:$G,B800)="","",INDEX(Bank!$G:$G,B800)))</f>
        <v/>
      </c>
      <c r="D800" s="5" t="str">
        <f aca="false">IF(B800=0,"",IF(INDEX(Bank!$J:$J,B800)="","",INDEX(Bank!$J:$J,B800)))</f>
        <v/>
      </c>
      <c r="E800" s="32" t="str">
        <f aca="false">IF(B800=0,"",INDEX(Bank!$B:$B,B800))</f>
        <v/>
      </c>
      <c r="F800" s="5" t="str">
        <f aca="false">IF(B800=0,"",IF(INDEX(Bank!$C:$C,B800)="","",INDEX(Bank!$C:$C,B800)))</f>
        <v/>
      </c>
      <c r="G800" s="19" t="str">
        <f aca="false">IF(B800=0,"",INDEX(Bank!$E:$E,B800))</f>
        <v/>
      </c>
      <c r="H800" s="5" t="str">
        <f aca="false">IF(B800=0,"",IF(INDEX(Bank!$H:$H,B800)="","",INDEX(Bank!$H:$H,B800)))</f>
        <v/>
      </c>
      <c r="I800" s="5" t="n">
        <f aca="false">IF(H800="",0,IFERROR(MATCH(H800,GL!$A:$A,0),0))</f>
        <v>0</v>
      </c>
      <c r="J800" s="32" t="str">
        <f aca="false">IF(I800=0,"",INDEX(GL!$B:$B,I800))</f>
        <v/>
      </c>
      <c r="K800" s="5" t="str">
        <f aca="false">IF(I800=0,"",IF(INDEX(GL!$C:$C,I800)="","",INDEX(GL!$C:$C,I800)))</f>
        <v/>
      </c>
      <c r="L800" s="19" t="str">
        <f aca="false">IF(I800=0,"",INDEX(GL!$E:$E,I800))</f>
        <v/>
      </c>
      <c r="M800" s="19" t="str">
        <f aca="false">IF(OR(B800=0,I800=0),"",ROUND(G800-L800,2))</f>
        <v/>
      </c>
      <c r="N800" s="5" t="str">
        <f aca="false">IF(A800="","",IF(B800=0,"NOT FOUND: bank ID",IF(I800=0,"NOT FOUND: GL ID",IF(INDEX(GL!$H:$H,I800)&lt;&gt;A800,"BROKEN: GL points elsewhere",IF(OR(INDEX(Bank!$F:$F,B800)&lt;&gt;"Y",INDEX(GL!$F:$F,I800)&lt;&gt;"Y"),"BROKEN: Status not Y","OK")))))</f>
        <v/>
      </c>
    </row>
    <row r="801" customFormat="false" ht="15" hidden="false" customHeight="false" outlineLevel="0" collapsed="false">
      <c r="A801" s="41"/>
      <c r="B801" s="5" t="n">
        <f aca="false">IF(A801="",0,IFERROR(MATCH(A801,Bank!$A:$A,0),0))</f>
        <v>0</v>
      </c>
      <c r="C801" s="5" t="str">
        <f aca="false">IF(B801=0,"",IF(INDEX(Bank!$G:$G,B801)="","",INDEX(Bank!$G:$G,B801)))</f>
        <v/>
      </c>
      <c r="D801" s="5" t="str">
        <f aca="false">IF(B801=0,"",IF(INDEX(Bank!$J:$J,B801)="","",INDEX(Bank!$J:$J,B801)))</f>
        <v/>
      </c>
      <c r="E801" s="32" t="str">
        <f aca="false">IF(B801=0,"",INDEX(Bank!$B:$B,B801))</f>
        <v/>
      </c>
      <c r="F801" s="5" t="str">
        <f aca="false">IF(B801=0,"",IF(INDEX(Bank!$C:$C,B801)="","",INDEX(Bank!$C:$C,B801)))</f>
        <v/>
      </c>
      <c r="G801" s="19" t="str">
        <f aca="false">IF(B801=0,"",INDEX(Bank!$E:$E,B801))</f>
        <v/>
      </c>
      <c r="H801" s="5" t="str">
        <f aca="false">IF(B801=0,"",IF(INDEX(Bank!$H:$H,B801)="","",INDEX(Bank!$H:$H,B801)))</f>
        <v/>
      </c>
      <c r="I801" s="5" t="n">
        <f aca="false">IF(H801="",0,IFERROR(MATCH(H801,GL!$A:$A,0),0))</f>
        <v>0</v>
      </c>
      <c r="J801" s="32" t="str">
        <f aca="false">IF(I801=0,"",INDEX(GL!$B:$B,I801))</f>
        <v/>
      </c>
      <c r="K801" s="5" t="str">
        <f aca="false">IF(I801=0,"",IF(INDEX(GL!$C:$C,I801)="","",INDEX(GL!$C:$C,I801)))</f>
        <v/>
      </c>
      <c r="L801" s="19" t="str">
        <f aca="false">IF(I801=0,"",INDEX(GL!$E:$E,I801))</f>
        <v/>
      </c>
      <c r="M801" s="19" t="str">
        <f aca="false">IF(OR(B801=0,I801=0),"",ROUND(G801-L801,2))</f>
        <v/>
      </c>
      <c r="N801" s="5" t="str">
        <f aca="false">IF(A801="","",IF(B801=0,"NOT FOUND: bank ID",IF(I801=0,"NOT FOUND: GL ID",IF(INDEX(GL!$H:$H,I801)&lt;&gt;A801,"BROKEN: GL points elsewhere",IF(OR(INDEX(Bank!$F:$F,B801)&lt;&gt;"Y",INDEX(GL!$F:$F,I801)&lt;&gt;"Y"),"BROKEN: Status not Y","OK")))))</f>
        <v/>
      </c>
    </row>
    <row r="802" customFormat="false" ht="15" hidden="false" customHeight="false" outlineLevel="0" collapsed="false">
      <c r="A802" s="41"/>
      <c r="B802" s="5" t="n">
        <f aca="false">IF(A802="",0,IFERROR(MATCH(A802,Bank!$A:$A,0),0))</f>
        <v>0</v>
      </c>
      <c r="C802" s="5" t="str">
        <f aca="false">IF(B802=0,"",IF(INDEX(Bank!$G:$G,B802)="","",INDEX(Bank!$G:$G,B802)))</f>
        <v/>
      </c>
      <c r="D802" s="5" t="str">
        <f aca="false">IF(B802=0,"",IF(INDEX(Bank!$J:$J,B802)="","",INDEX(Bank!$J:$J,B802)))</f>
        <v/>
      </c>
      <c r="E802" s="32" t="str">
        <f aca="false">IF(B802=0,"",INDEX(Bank!$B:$B,B802))</f>
        <v/>
      </c>
      <c r="F802" s="5" t="str">
        <f aca="false">IF(B802=0,"",IF(INDEX(Bank!$C:$C,B802)="","",INDEX(Bank!$C:$C,B802)))</f>
        <v/>
      </c>
      <c r="G802" s="19" t="str">
        <f aca="false">IF(B802=0,"",INDEX(Bank!$E:$E,B802))</f>
        <v/>
      </c>
      <c r="H802" s="5" t="str">
        <f aca="false">IF(B802=0,"",IF(INDEX(Bank!$H:$H,B802)="","",INDEX(Bank!$H:$H,B802)))</f>
        <v/>
      </c>
      <c r="I802" s="5" t="n">
        <f aca="false">IF(H802="",0,IFERROR(MATCH(H802,GL!$A:$A,0),0))</f>
        <v>0</v>
      </c>
      <c r="J802" s="32" t="str">
        <f aca="false">IF(I802=0,"",INDEX(GL!$B:$B,I802))</f>
        <v/>
      </c>
      <c r="K802" s="5" t="str">
        <f aca="false">IF(I802=0,"",IF(INDEX(GL!$C:$C,I802)="","",INDEX(GL!$C:$C,I802)))</f>
        <v/>
      </c>
      <c r="L802" s="19" t="str">
        <f aca="false">IF(I802=0,"",INDEX(GL!$E:$E,I802))</f>
        <v/>
      </c>
      <c r="M802" s="19" t="str">
        <f aca="false">IF(OR(B802=0,I802=0),"",ROUND(G802-L802,2))</f>
        <v/>
      </c>
      <c r="N802" s="5" t="str">
        <f aca="false">IF(A802="","",IF(B802=0,"NOT FOUND: bank ID",IF(I802=0,"NOT FOUND: GL ID",IF(INDEX(GL!$H:$H,I802)&lt;&gt;A802,"BROKEN: GL points elsewhere",IF(OR(INDEX(Bank!$F:$F,B802)&lt;&gt;"Y",INDEX(GL!$F:$F,I802)&lt;&gt;"Y"),"BROKEN: Status not Y","OK")))))</f>
        <v/>
      </c>
    </row>
    <row r="803" customFormat="false" ht="15" hidden="false" customHeight="false" outlineLevel="0" collapsed="false">
      <c r="A803" s="41"/>
      <c r="B803" s="5" t="n">
        <f aca="false">IF(A803="",0,IFERROR(MATCH(A803,Bank!$A:$A,0),0))</f>
        <v>0</v>
      </c>
      <c r="C803" s="5" t="str">
        <f aca="false">IF(B803=0,"",IF(INDEX(Bank!$G:$G,B803)="","",INDEX(Bank!$G:$G,B803)))</f>
        <v/>
      </c>
      <c r="D803" s="5" t="str">
        <f aca="false">IF(B803=0,"",IF(INDEX(Bank!$J:$J,B803)="","",INDEX(Bank!$J:$J,B803)))</f>
        <v/>
      </c>
      <c r="E803" s="32" t="str">
        <f aca="false">IF(B803=0,"",INDEX(Bank!$B:$B,B803))</f>
        <v/>
      </c>
      <c r="F803" s="5" t="str">
        <f aca="false">IF(B803=0,"",IF(INDEX(Bank!$C:$C,B803)="","",INDEX(Bank!$C:$C,B803)))</f>
        <v/>
      </c>
      <c r="G803" s="19" t="str">
        <f aca="false">IF(B803=0,"",INDEX(Bank!$E:$E,B803))</f>
        <v/>
      </c>
      <c r="H803" s="5" t="str">
        <f aca="false">IF(B803=0,"",IF(INDEX(Bank!$H:$H,B803)="","",INDEX(Bank!$H:$H,B803)))</f>
        <v/>
      </c>
      <c r="I803" s="5" t="n">
        <f aca="false">IF(H803="",0,IFERROR(MATCH(H803,GL!$A:$A,0),0))</f>
        <v>0</v>
      </c>
      <c r="J803" s="32" t="str">
        <f aca="false">IF(I803=0,"",INDEX(GL!$B:$B,I803))</f>
        <v/>
      </c>
      <c r="K803" s="5" t="str">
        <f aca="false">IF(I803=0,"",IF(INDEX(GL!$C:$C,I803)="","",INDEX(GL!$C:$C,I803)))</f>
        <v/>
      </c>
      <c r="L803" s="19" t="str">
        <f aca="false">IF(I803=0,"",INDEX(GL!$E:$E,I803))</f>
        <v/>
      </c>
      <c r="M803" s="19" t="str">
        <f aca="false">IF(OR(B803=0,I803=0),"",ROUND(G803-L803,2))</f>
        <v/>
      </c>
      <c r="N803" s="5" t="str">
        <f aca="false">IF(A803="","",IF(B803=0,"NOT FOUND: bank ID",IF(I803=0,"NOT FOUND: GL ID",IF(INDEX(GL!$H:$H,I803)&lt;&gt;A803,"BROKEN: GL points elsewhere",IF(OR(INDEX(Bank!$F:$F,B803)&lt;&gt;"Y",INDEX(GL!$F:$F,I803)&lt;&gt;"Y"),"BROKEN: Status not Y","OK")))))</f>
        <v/>
      </c>
    </row>
    <row r="804" customFormat="false" ht="15" hidden="false" customHeight="false" outlineLevel="0" collapsed="false">
      <c r="A804" s="41"/>
      <c r="B804" s="5" t="n">
        <f aca="false">IF(A804="",0,IFERROR(MATCH(A804,Bank!$A:$A,0),0))</f>
        <v>0</v>
      </c>
      <c r="C804" s="5" t="str">
        <f aca="false">IF(B804=0,"",IF(INDEX(Bank!$G:$G,B804)="","",INDEX(Bank!$G:$G,B804)))</f>
        <v/>
      </c>
      <c r="D804" s="5" t="str">
        <f aca="false">IF(B804=0,"",IF(INDEX(Bank!$J:$J,B804)="","",INDEX(Bank!$J:$J,B804)))</f>
        <v/>
      </c>
      <c r="E804" s="32" t="str">
        <f aca="false">IF(B804=0,"",INDEX(Bank!$B:$B,B804))</f>
        <v/>
      </c>
      <c r="F804" s="5" t="str">
        <f aca="false">IF(B804=0,"",IF(INDEX(Bank!$C:$C,B804)="","",INDEX(Bank!$C:$C,B804)))</f>
        <v/>
      </c>
      <c r="G804" s="19" t="str">
        <f aca="false">IF(B804=0,"",INDEX(Bank!$E:$E,B804))</f>
        <v/>
      </c>
      <c r="H804" s="5" t="str">
        <f aca="false">IF(B804=0,"",IF(INDEX(Bank!$H:$H,B804)="","",INDEX(Bank!$H:$H,B804)))</f>
        <v/>
      </c>
      <c r="I804" s="5" t="n">
        <f aca="false">IF(H804="",0,IFERROR(MATCH(H804,GL!$A:$A,0),0))</f>
        <v>0</v>
      </c>
      <c r="J804" s="32" t="str">
        <f aca="false">IF(I804=0,"",INDEX(GL!$B:$B,I804))</f>
        <v/>
      </c>
      <c r="K804" s="5" t="str">
        <f aca="false">IF(I804=0,"",IF(INDEX(GL!$C:$C,I804)="","",INDEX(GL!$C:$C,I804)))</f>
        <v/>
      </c>
      <c r="L804" s="19" t="str">
        <f aca="false">IF(I804=0,"",INDEX(GL!$E:$E,I804))</f>
        <v/>
      </c>
      <c r="M804" s="19" t="str">
        <f aca="false">IF(OR(B804=0,I804=0),"",ROUND(G804-L804,2))</f>
        <v/>
      </c>
      <c r="N804" s="5" t="str">
        <f aca="false">IF(A804="","",IF(B804=0,"NOT FOUND: bank ID",IF(I804=0,"NOT FOUND: GL ID",IF(INDEX(GL!$H:$H,I804)&lt;&gt;A804,"BROKEN: GL points elsewhere",IF(OR(INDEX(Bank!$F:$F,B804)&lt;&gt;"Y",INDEX(GL!$F:$F,I804)&lt;&gt;"Y"),"BROKEN: Status not Y","OK")))))</f>
        <v/>
      </c>
    </row>
    <row r="805" customFormat="false" ht="15" hidden="false" customHeight="false" outlineLevel="0" collapsed="false">
      <c r="A805" s="41"/>
      <c r="B805" s="5" t="n">
        <f aca="false">IF(A805="",0,IFERROR(MATCH(A805,Bank!$A:$A,0),0))</f>
        <v>0</v>
      </c>
      <c r="C805" s="5" t="str">
        <f aca="false">IF(B805=0,"",IF(INDEX(Bank!$G:$G,B805)="","",INDEX(Bank!$G:$G,B805)))</f>
        <v/>
      </c>
      <c r="D805" s="5" t="str">
        <f aca="false">IF(B805=0,"",IF(INDEX(Bank!$J:$J,B805)="","",INDEX(Bank!$J:$J,B805)))</f>
        <v/>
      </c>
      <c r="E805" s="32" t="str">
        <f aca="false">IF(B805=0,"",INDEX(Bank!$B:$B,B805))</f>
        <v/>
      </c>
      <c r="F805" s="5" t="str">
        <f aca="false">IF(B805=0,"",IF(INDEX(Bank!$C:$C,B805)="","",INDEX(Bank!$C:$C,B805)))</f>
        <v/>
      </c>
      <c r="G805" s="19" t="str">
        <f aca="false">IF(B805=0,"",INDEX(Bank!$E:$E,B805))</f>
        <v/>
      </c>
      <c r="H805" s="5" t="str">
        <f aca="false">IF(B805=0,"",IF(INDEX(Bank!$H:$H,B805)="","",INDEX(Bank!$H:$H,B805)))</f>
        <v/>
      </c>
      <c r="I805" s="5" t="n">
        <f aca="false">IF(H805="",0,IFERROR(MATCH(H805,GL!$A:$A,0),0))</f>
        <v>0</v>
      </c>
      <c r="J805" s="32" t="str">
        <f aca="false">IF(I805=0,"",INDEX(GL!$B:$B,I805))</f>
        <v/>
      </c>
      <c r="K805" s="5" t="str">
        <f aca="false">IF(I805=0,"",IF(INDEX(GL!$C:$C,I805)="","",INDEX(GL!$C:$C,I805)))</f>
        <v/>
      </c>
      <c r="L805" s="19" t="str">
        <f aca="false">IF(I805=0,"",INDEX(GL!$E:$E,I805))</f>
        <v/>
      </c>
      <c r="M805" s="19" t="str">
        <f aca="false">IF(OR(B805=0,I805=0),"",ROUND(G805-L805,2))</f>
        <v/>
      </c>
      <c r="N805" s="5" t="str">
        <f aca="false">IF(A805="","",IF(B805=0,"NOT FOUND: bank ID",IF(I805=0,"NOT FOUND: GL ID",IF(INDEX(GL!$H:$H,I805)&lt;&gt;A805,"BROKEN: GL points elsewhere",IF(OR(INDEX(Bank!$F:$F,B805)&lt;&gt;"Y",INDEX(GL!$F:$F,I805)&lt;&gt;"Y"),"BROKEN: Status not Y","OK")))))</f>
        <v/>
      </c>
    </row>
    <row r="806" customFormat="false" ht="15" hidden="false" customHeight="false" outlineLevel="0" collapsed="false">
      <c r="A806" s="41"/>
      <c r="B806" s="5" t="n">
        <f aca="false">IF(A806="",0,IFERROR(MATCH(A806,Bank!$A:$A,0),0))</f>
        <v>0</v>
      </c>
      <c r="C806" s="5" t="str">
        <f aca="false">IF(B806=0,"",IF(INDEX(Bank!$G:$G,B806)="","",INDEX(Bank!$G:$G,B806)))</f>
        <v/>
      </c>
      <c r="D806" s="5" t="str">
        <f aca="false">IF(B806=0,"",IF(INDEX(Bank!$J:$J,B806)="","",INDEX(Bank!$J:$J,B806)))</f>
        <v/>
      </c>
      <c r="E806" s="32" t="str">
        <f aca="false">IF(B806=0,"",INDEX(Bank!$B:$B,B806))</f>
        <v/>
      </c>
      <c r="F806" s="5" t="str">
        <f aca="false">IF(B806=0,"",IF(INDEX(Bank!$C:$C,B806)="","",INDEX(Bank!$C:$C,B806)))</f>
        <v/>
      </c>
      <c r="G806" s="19" t="str">
        <f aca="false">IF(B806=0,"",INDEX(Bank!$E:$E,B806))</f>
        <v/>
      </c>
      <c r="H806" s="5" t="str">
        <f aca="false">IF(B806=0,"",IF(INDEX(Bank!$H:$H,B806)="","",INDEX(Bank!$H:$H,B806)))</f>
        <v/>
      </c>
      <c r="I806" s="5" t="n">
        <f aca="false">IF(H806="",0,IFERROR(MATCH(H806,GL!$A:$A,0),0))</f>
        <v>0</v>
      </c>
      <c r="J806" s="32" t="str">
        <f aca="false">IF(I806=0,"",INDEX(GL!$B:$B,I806))</f>
        <v/>
      </c>
      <c r="K806" s="5" t="str">
        <f aca="false">IF(I806=0,"",IF(INDEX(GL!$C:$C,I806)="","",INDEX(GL!$C:$C,I806)))</f>
        <v/>
      </c>
      <c r="L806" s="19" t="str">
        <f aca="false">IF(I806=0,"",INDEX(GL!$E:$E,I806))</f>
        <v/>
      </c>
      <c r="M806" s="19" t="str">
        <f aca="false">IF(OR(B806=0,I806=0),"",ROUND(G806-L806,2))</f>
        <v/>
      </c>
      <c r="N806" s="5" t="str">
        <f aca="false">IF(A806="","",IF(B806=0,"NOT FOUND: bank ID",IF(I806=0,"NOT FOUND: GL ID",IF(INDEX(GL!$H:$H,I806)&lt;&gt;A806,"BROKEN: GL points elsewhere",IF(OR(INDEX(Bank!$F:$F,B806)&lt;&gt;"Y",INDEX(GL!$F:$F,I806)&lt;&gt;"Y"),"BROKEN: Status not Y","OK")))))</f>
        <v/>
      </c>
    </row>
    <row r="807" customFormat="false" ht="15" hidden="false" customHeight="false" outlineLevel="0" collapsed="false">
      <c r="A807" s="41"/>
      <c r="B807" s="5" t="n">
        <f aca="false">IF(A807="",0,IFERROR(MATCH(A807,Bank!$A:$A,0),0))</f>
        <v>0</v>
      </c>
      <c r="C807" s="5" t="str">
        <f aca="false">IF(B807=0,"",IF(INDEX(Bank!$G:$G,B807)="","",INDEX(Bank!$G:$G,B807)))</f>
        <v/>
      </c>
      <c r="D807" s="5" t="str">
        <f aca="false">IF(B807=0,"",IF(INDEX(Bank!$J:$J,B807)="","",INDEX(Bank!$J:$J,B807)))</f>
        <v/>
      </c>
      <c r="E807" s="32" t="str">
        <f aca="false">IF(B807=0,"",INDEX(Bank!$B:$B,B807))</f>
        <v/>
      </c>
      <c r="F807" s="5" t="str">
        <f aca="false">IF(B807=0,"",IF(INDEX(Bank!$C:$C,B807)="","",INDEX(Bank!$C:$C,B807)))</f>
        <v/>
      </c>
      <c r="G807" s="19" t="str">
        <f aca="false">IF(B807=0,"",INDEX(Bank!$E:$E,B807))</f>
        <v/>
      </c>
      <c r="H807" s="5" t="str">
        <f aca="false">IF(B807=0,"",IF(INDEX(Bank!$H:$H,B807)="","",INDEX(Bank!$H:$H,B807)))</f>
        <v/>
      </c>
      <c r="I807" s="5" t="n">
        <f aca="false">IF(H807="",0,IFERROR(MATCH(H807,GL!$A:$A,0),0))</f>
        <v>0</v>
      </c>
      <c r="J807" s="32" t="str">
        <f aca="false">IF(I807=0,"",INDEX(GL!$B:$B,I807))</f>
        <v/>
      </c>
      <c r="K807" s="5" t="str">
        <f aca="false">IF(I807=0,"",IF(INDEX(GL!$C:$C,I807)="","",INDEX(GL!$C:$C,I807)))</f>
        <v/>
      </c>
      <c r="L807" s="19" t="str">
        <f aca="false">IF(I807=0,"",INDEX(GL!$E:$E,I807))</f>
        <v/>
      </c>
      <c r="M807" s="19" t="str">
        <f aca="false">IF(OR(B807=0,I807=0),"",ROUND(G807-L807,2))</f>
        <v/>
      </c>
      <c r="N807" s="5" t="str">
        <f aca="false">IF(A807="","",IF(B807=0,"NOT FOUND: bank ID",IF(I807=0,"NOT FOUND: GL ID",IF(INDEX(GL!$H:$H,I807)&lt;&gt;A807,"BROKEN: GL points elsewhere",IF(OR(INDEX(Bank!$F:$F,B807)&lt;&gt;"Y",INDEX(GL!$F:$F,I807)&lt;&gt;"Y"),"BROKEN: Status not Y","OK")))))</f>
        <v/>
      </c>
    </row>
    <row r="808" customFormat="false" ht="15" hidden="false" customHeight="false" outlineLevel="0" collapsed="false">
      <c r="A808" s="41"/>
      <c r="B808" s="5" t="n">
        <f aca="false">IF(A808="",0,IFERROR(MATCH(A808,Bank!$A:$A,0),0))</f>
        <v>0</v>
      </c>
      <c r="C808" s="5" t="str">
        <f aca="false">IF(B808=0,"",IF(INDEX(Bank!$G:$G,B808)="","",INDEX(Bank!$G:$G,B808)))</f>
        <v/>
      </c>
      <c r="D808" s="5" t="str">
        <f aca="false">IF(B808=0,"",IF(INDEX(Bank!$J:$J,B808)="","",INDEX(Bank!$J:$J,B808)))</f>
        <v/>
      </c>
      <c r="E808" s="32" t="str">
        <f aca="false">IF(B808=0,"",INDEX(Bank!$B:$B,B808))</f>
        <v/>
      </c>
      <c r="F808" s="5" t="str">
        <f aca="false">IF(B808=0,"",IF(INDEX(Bank!$C:$C,B808)="","",INDEX(Bank!$C:$C,B808)))</f>
        <v/>
      </c>
      <c r="G808" s="19" t="str">
        <f aca="false">IF(B808=0,"",INDEX(Bank!$E:$E,B808))</f>
        <v/>
      </c>
      <c r="H808" s="5" t="str">
        <f aca="false">IF(B808=0,"",IF(INDEX(Bank!$H:$H,B808)="","",INDEX(Bank!$H:$H,B808)))</f>
        <v/>
      </c>
      <c r="I808" s="5" t="n">
        <f aca="false">IF(H808="",0,IFERROR(MATCH(H808,GL!$A:$A,0),0))</f>
        <v>0</v>
      </c>
      <c r="J808" s="32" t="str">
        <f aca="false">IF(I808=0,"",INDEX(GL!$B:$B,I808))</f>
        <v/>
      </c>
      <c r="K808" s="5" t="str">
        <f aca="false">IF(I808=0,"",IF(INDEX(GL!$C:$C,I808)="","",INDEX(GL!$C:$C,I808)))</f>
        <v/>
      </c>
      <c r="L808" s="19" t="str">
        <f aca="false">IF(I808=0,"",INDEX(GL!$E:$E,I808))</f>
        <v/>
      </c>
      <c r="M808" s="19" t="str">
        <f aca="false">IF(OR(B808=0,I808=0),"",ROUND(G808-L808,2))</f>
        <v/>
      </c>
      <c r="N808" s="5" t="str">
        <f aca="false">IF(A808="","",IF(B808=0,"NOT FOUND: bank ID",IF(I808=0,"NOT FOUND: GL ID",IF(INDEX(GL!$H:$H,I808)&lt;&gt;A808,"BROKEN: GL points elsewhere",IF(OR(INDEX(Bank!$F:$F,B808)&lt;&gt;"Y",INDEX(GL!$F:$F,I808)&lt;&gt;"Y"),"BROKEN: Status not Y","OK")))))</f>
        <v/>
      </c>
    </row>
    <row r="809" customFormat="false" ht="15" hidden="false" customHeight="false" outlineLevel="0" collapsed="false">
      <c r="A809" s="41"/>
      <c r="B809" s="5" t="n">
        <f aca="false">IF(A809="",0,IFERROR(MATCH(A809,Bank!$A:$A,0),0))</f>
        <v>0</v>
      </c>
      <c r="C809" s="5" t="str">
        <f aca="false">IF(B809=0,"",IF(INDEX(Bank!$G:$G,B809)="","",INDEX(Bank!$G:$G,B809)))</f>
        <v/>
      </c>
      <c r="D809" s="5" t="str">
        <f aca="false">IF(B809=0,"",IF(INDEX(Bank!$J:$J,B809)="","",INDEX(Bank!$J:$J,B809)))</f>
        <v/>
      </c>
      <c r="E809" s="32" t="str">
        <f aca="false">IF(B809=0,"",INDEX(Bank!$B:$B,B809))</f>
        <v/>
      </c>
      <c r="F809" s="5" t="str">
        <f aca="false">IF(B809=0,"",IF(INDEX(Bank!$C:$C,B809)="","",INDEX(Bank!$C:$C,B809)))</f>
        <v/>
      </c>
      <c r="G809" s="19" t="str">
        <f aca="false">IF(B809=0,"",INDEX(Bank!$E:$E,B809))</f>
        <v/>
      </c>
      <c r="H809" s="5" t="str">
        <f aca="false">IF(B809=0,"",IF(INDEX(Bank!$H:$H,B809)="","",INDEX(Bank!$H:$H,B809)))</f>
        <v/>
      </c>
      <c r="I809" s="5" t="n">
        <f aca="false">IF(H809="",0,IFERROR(MATCH(H809,GL!$A:$A,0),0))</f>
        <v>0</v>
      </c>
      <c r="J809" s="32" t="str">
        <f aca="false">IF(I809=0,"",INDEX(GL!$B:$B,I809))</f>
        <v/>
      </c>
      <c r="K809" s="5" t="str">
        <f aca="false">IF(I809=0,"",IF(INDEX(GL!$C:$C,I809)="","",INDEX(GL!$C:$C,I809)))</f>
        <v/>
      </c>
      <c r="L809" s="19" t="str">
        <f aca="false">IF(I809=0,"",INDEX(GL!$E:$E,I809))</f>
        <v/>
      </c>
      <c r="M809" s="19" t="str">
        <f aca="false">IF(OR(B809=0,I809=0),"",ROUND(G809-L809,2))</f>
        <v/>
      </c>
      <c r="N809" s="5" t="str">
        <f aca="false">IF(A809="","",IF(B809=0,"NOT FOUND: bank ID",IF(I809=0,"NOT FOUND: GL ID",IF(INDEX(GL!$H:$H,I809)&lt;&gt;A809,"BROKEN: GL points elsewhere",IF(OR(INDEX(Bank!$F:$F,B809)&lt;&gt;"Y",INDEX(GL!$F:$F,I809)&lt;&gt;"Y"),"BROKEN: Status not Y","OK")))))</f>
        <v/>
      </c>
    </row>
    <row r="810" customFormat="false" ht="15" hidden="false" customHeight="false" outlineLevel="0" collapsed="false">
      <c r="A810" s="41"/>
      <c r="B810" s="5" t="n">
        <f aca="false">IF(A810="",0,IFERROR(MATCH(A810,Bank!$A:$A,0),0))</f>
        <v>0</v>
      </c>
      <c r="C810" s="5" t="str">
        <f aca="false">IF(B810=0,"",IF(INDEX(Bank!$G:$G,B810)="","",INDEX(Bank!$G:$G,B810)))</f>
        <v/>
      </c>
      <c r="D810" s="5" t="str">
        <f aca="false">IF(B810=0,"",IF(INDEX(Bank!$J:$J,B810)="","",INDEX(Bank!$J:$J,B810)))</f>
        <v/>
      </c>
      <c r="E810" s="32" t="str">
        <f aca="false">IF(B810=0,"",INDEX(Bank!$B:$B,B810))</f>
        <v/>
      </c>
      <c r="F810" s="5" t="str">
        <f aca="false">IF(B810=0,"",IF(INDEX(Bank!$C:$C,B810)="","",INDEX(Bank!$C:$C,B810)))</f>
        <v/>
      </c>
      <c r="G810" s="19" t="str">
        <f aca="false">IF(B810=0,"",INDEX(Bank!$E:$E,B810))</f>
        <v/>
      </c>
      <c r="H810" s="5" t="str">
        <f aca="false">IF(B810=0,"",IF(INDEX(Bank!$H:$H,B810)="","",INDEX(Bank!$H:$H,B810)))</f>
        <v/>
      </c>
      <c r="I810" s="5" t="n">
        <f aca="false">IF(H810="",0,IFERROR(MATCH(H810,GL!$A:$A,0),0))</f>
        <v>0</v>
      </c>
      <c r="J810" s="32" t="str">
        <f aca="false">IF(I810=0,"",INDEX(GL!$B:$B,I810))</f>
        <v/>
      </c>
      <c r="K810" s="5" t="str">
        <f aca="false">IF(I810=0,"",IF(INDEX(GL!$C:$C,I810)="","",INDEX(GL!$C:$C,I810)))</f>
        <v/>
      </c>
      <c r="L810" s="19" t="str">
        <f aca="false">IF(I810=0,"",INDEX(GL!$E:$E,I810))</f>
        <v/>
      </c>
      <c r="M810" s="19" t="str">
        <f aca="false">IF(OR(B810=0,I810=0),"",ROUND(G810-L810,2))</f>
        <v/>
      </c>
      <c r="N810" s="5" t="str">
        <f aca="false">IF(A810="","",IF(B810=0,"NOT FOUND: bank ID",IF(I810=0,"NOT FOUND: GL ID",IF(INDEX(GL!$H:$H,I810)&lt;&gt;A810,"BROKEN: GL points elsewhere",IF(OR(INDEX(Bank!$F:$F,B810)&lt;&gt;"Y",INDEX(GL!$F:$F,I810)&lt;&gt;"Y"),"BROKEN: Status not Y","OK")))))</f>
        <v/>
      </c>
    </row>
    <row r="811" customFormat="false" ht="15" hidden="false" customHeight="false" outlineLevel="0" collapsed="false">
      <c r="A811" s="41"/>
      <c r="B811" s="5" t="n">
        <f aca="false">IF(A811="",0,IFERROR(MATCH(A811,Bank!$A:$A,0),0))</f>
        <v>0</v>
      </c>
      <c r="C811" s="5" t="str">
        <f aca="false">IF(B811=0,"",IF(INDEX(Bank!$G:$G,B811)="","",INDEX(Bank!$G:$G,B811)))</f>
        <v/>
      </c>
      <c r="D811" s="5" t="str">
        <f aca="false">IF(B811=0,"",IF(INDEX(Bank!$J:$J,B811)="","",INDEX(Bank!$J:$J,B811)))</f>
        <v/>
      </c>
      <c r="E811" s="32" t="str">
        <f aca="false">IF(B811=0,"",INDEX(Bank!$B:$B,B811))</f>
        <v/>
      </c>
      <c r="F811" s="5" t="str">
        <f aca="false">IF(B811=0,"",IF(INDEX(Bank!$C:$C,B811)="","",INDEX(Bank!$C:$C,B811)))</f>
        <v/>
      </c>
      <c r="G811" s="19" t="str">
        <f aca="false">IF(B811=0,"",INDEX(Bank!$E:$E,B811))</f>
        <v/>
      </c>
      <c r="H811" s="5" t="str">
        <f aca="false">IF(B811=0,"",IF(INDEX(Bank!$H:$H,B811)="","",INDEX(Bank!$H:$H,B811)))</f>
        <v/>
      </c>
      <c r="I811" s="5" t="n">
        <f aca="false">IF(H811="",0,IFERROR(MATCH(H811,GL!$A:$A,0),0))</f>
        <v>0</v>
      </c>
      <c r="J811" s="32" t="str">
        <f aca="false">IF(I811=0,"",INDEX(GL!$B:$B,I811))</f>
        <v/>
      </c>
      <c r="K811" s="5" t="str">
        <f aca="false">IF(I811=0,"",IF(INDEX(GL!$C:$C,I811)="","",INDEX(GL!$C:$C,I811)))</f>
        <v/>
      </c>
      <c r="L811" s="19" t="str">
        <f aca="false">IF(I811=0,"",INDEX(GL!$E:$E,I811))</f>
        <v/>
      </c>
      <c r="M811" s="19" t="str">
        <f aca="false">IF(OR(B811=0,I811=0),"",ROUND(G811-L811,2))</f>
        <v/>
      </c>
      <c r="N811" s="5" t="str">
        <f aca="false">IF(A811="","",IF(B811=0,"NOT FOUND: bank ID",IF(I811=0,"NOT FOUND: GL ID",IF(INDEX(GL!$H:$H,I811)&lt;&gt;A811,"BROKEN: GL points elsewhere",IF(OR(INDEX(Bank!$F:$F,B811)&lt;&gt;"Y",INDEX(GL!$F:$F,I811)&lt;&gt;"Y"),"BROKEN: Status not Y","OK")))))</f>
        <v/>
      </c>
    </row>
    <row r="812" customFormat="false" ht="15" hidden="false" customHeight="false" outlineLevel="0" collapsed="false">
      <c r="A812" s="41"/>
      <c r="B812" s="5" t="n">
        <f aca="false">IF(A812="",0,IFERROR(MATCH(A812,Bank!$A:$A,0),0))</f>
        <v>0</v>
      </c>
      <c r="C812" s="5" t="str">
        <f aca="false">IF(B812=0,"",IF(INDEX(Bank!$G:$G,B812)="","",INDEX(Bank!$G:$G,B812)))</f>
        <v/>
      </c>
      <c r="D812" s="5" t="str">
        <f aca="false">IF(B812=0,"",IF(INDEX(Bank!$J:$J,B812)="","",INDEX(Bank!$J:$J,B812)))</f>
        <v/>
      </c>
      <c r="E812" s="32" t="str">
        <f aca="false">IF(B812=0,"",INDEX(Bank!$B:$B,B812))</f>
        <v/>
      </c>
      <c r="F812" s="5" t="str">
        <f aca="false">IF(B812=0,"",IF(INDEX(Bank!$C:$C,B812)="","",INDEX(Bank!$C:$C,B812)))</f>
        <v/>
      </c>
      <c r="G812" s="19" t="str">
        <f aca="false">IF(B812=0,"",INDEX(Bank!$E:$E,B812))</f>
        <v/>
      </c>
      <c r="H812" s="5" t="str">
        <f aca="false">IF(B812=0,"",IF(INDEX(Bank!$H:$H,B812)="","",INDEX(Bank!$H:$H,B812)))</f>
        <v/>
      </c>
      <c r="I812" s="5" t="n">
        <f aca="false">IF(H812="",0,IFERROR(MATCH(H812,GL!$A:$A,0),0))</f>
        <v>0</v>
      </c>
      <c r="J812" s="32" t="str">
        <f aca="false">IF(I812=0,"",INDEX(GL!$B:$B,I812))</f>
        <v/>
      </c>
      <c r="K812" s="5" t="str">
        <f aca="false">IF(I812=0,"",IF(INDEX(GL!$C:$C,I812)="","",INDEX(GL!$C:$C,I812)))</f>
        <v/>
      </c>
      <c r="L812" s="19" t="str">
        <f aca="false">IF(I812=0,"",INDEX(GL!$E:$E,I812))</f>
        <v/>
      </c>
      <c r="M812" s="19" t="str">
        <f aca="false">IF(OR(B812=0,I812=0),"",ROUND(G812-L812,2))</f>
        <v/>
      </c>
      <c r="N812" s="5" t="str">
        <f aca="false">IF(A812="","",IF(B812=0,"NOT FOUND: bank ID",IF(I812=0,"NOT FOUND: GL ID",IF(INDEX(GL!$H:$H,I812)&lt;&gt;A812,"BROKEN: GL points elsewhere",IF(OR(INDEX(Bank!$F:$F,B812)&lt;&gt;"Y",INDEX(GL!$F:$F,I812)&lt;&gt;"Y"),"BROKEN: Status not Y","OK")))))</f>
        <v/>
      </c>
    </row>
    <row r="813" customFormat="false" ht="15" hidden="false" customHeight="false" outlineLevel="0" collapsed="false">
      <c r="A813" s="41"/>
      <c r="B813" s="5" t="n">
        <f aca="false">IF(A813="",0,IFERROR(MATCH(A813,Bank!$A:$A,0),0))</f>
        <v>0</v>
      </c>
      <c r="C813" s="5" t="str">
        <f aca="false">IF(B813=0,"",IF(INDEX(Bank!$G:$G,B813)="","",INDEX(Bank!$G:$G,B813)))</f>
        <v/>
      </c>
      <c r="D813" s="5" t="str">
        <f aca="false">IF(B813=0,"",IF(INDEX(Bank!$J:$J,B813)="","",INDEX(Bank!$J:$J,B813)))</f>
        <v/>
      </c>
      <c r="E813" s="32" t="str">
        <f aca="false">IF(B813=0,"",INDEX(Bank!$B:$B,B813))</f>
        <v/>
      </c>
      <c r="F813" s="5" t="str">
        <f aca="false">IF(B813=0,"",IF(INDEX(Bank!$C:$C,B813)="","",INDEX(Bank!$C:$C,B813)))</f>
        <v/>
      </c>
      <c r="G813" s="19" t="str">
        <f aca="false">IF(B813=0,"",INDEX(Bank!$E:$E,B813))</f>
        <v/>
      </c>
      <c r="H813" s="5" t="str">
        <f aca="false">IF(B813=0,"",IF(INDEX(Bank!$H:$H,B813)="","",INDEX(Bank!$H:$H,B813)))</f>
        <v/>
      </c>
      <c r="I813" s="5" t="n">
        <f aca="false">IF(H813="",0,IFERROR(MATCH(H813,GL!$A:$A,0),0))</f>
        <v>0</v>
      </c>
      <c r="J813" s="32" t="str">
        <f aca="false">IF(I813=0,"",INDEX(GL!$B:$B,I813))</f>
        <v/>
      </c>
      <c r="K813" s="5" t="str">
        <f aca="false">IF(I813=0,"",IF(INDEX(GL!$C:$C,I813)="","",INDEX(GL!$C:$C,I813)))</f>
        <v/>
      </c>
      <c r="L813" s="19" t="str">
        <f aca="false">IF(I813=0,"",INDEX(GL!$E:$E,I813))</f>
        <v/>
      </c>
      <c r="M813" s="19" t="str">
        <f aca="false">IF(OR(B813=0,I813=0),"",ROUND(G813-L813,2))</f>
        <v/>
      </c>
      <c r="N813" s="5" t="str">
        <f aca="false">IF(A813="","",IF(B813=0,"NOT FOUND: bank ID",IF(I813=0,"NOT FOUND: GL ID",IF(INDEX(GL!$H:$H,I813)&lt;&gt;A813,"BROKEN: GL points elsewhere",IF(OR(INDEX(Bank!$F:$F,B813)&lt;&gt;"Y",INDEX(GL!$F:$F,I813)&lt;&gt;"Y"),"BROKEN: Status not Y","OK")))))</f>
        <v/>
      </c>
    </row>
    <row r="814" customFormat="false" ht="15" hidden="false" customHeight="false" outlineLevel="0" collapsed="false">
      <c r="A814" s="41"/>
      <c r="B814" s="5" t="n">
        <f aca="false">IF(A814="",0,IFERROR(MATCH(A814,Bank!$A:$A,0),0))</f>
        <v>0</v>
      </c>
      <c r="C814" s="5" t="str">
        <f aca="false">IF(B814=0,"",IF(INDEX(Bank!$G:$G,B814)="","",INDEX(Bank!$G:$G,B814)))</f>
        <v/>
      </c>
      <c r="D814" s="5" t="str">
        <f aca="false">IF(B814=0,"",IF(INDEX(Bank!$J:$J,B814)="","",INDEX(Bank!$J:$J,B814)))</f>
        <v/>
      </c>
      <c r="E814" s="32" t="str">
        <f aca="false">IF(B814=0,"",INDEX(Bank!$B:$B,B814))</f>
        <v/>
      </c>
      <c r="F814" s="5" t="str">
        <f aca="false">IF(B814=0,"",IF(INDEX(Bank!$C:$C,B814)="","",INDEX(Bank!$C:$C,B814)))</f>
        <v/>
      </c>
      <c r="G814" s="19" t="str">
        <f aca="false">IF(B814=0,"",INDEX(Bank!$E:$E,B814))</f>
        <v/>
      </c>
      <c r="H814" s="5" t="str">
        <f aca="false">IF(B814=0,"",IF(INDEX(Bank!$H:$H,B814)="","",INDEX(Bank!$H:$H,B814)))</f>
        <v/>
      </c>
      <c r="I814" s="5" t="n">
        <f aca="false">IF(H814="",0,IFERROR(MATCH(H814,GL!$A:$A,0),0))</f>
        <v>0</v>
      </c>
      <c r="J814" s="32" t="str">
        <f aca="false">IF(I814=0,"",INDEX(GL!$B:$B,I814))</f>
        <v/>
      </c>
      <c r="K814" s="5" t="str">
        <f aca="false">IF(I814=0,"",IF(INDEX(GL!$C:$C,I814)="","",INDEX(GL!$C:$C,I814)))</f>
        <v/>
      </c>
      <c r="L814" s="19" t="str">
        <f aca="false">IF(I814=0,"",INDEX(GL!$E:$E,I814))</f>
        <v/>
      </c>
      <c r="M814" s="19" t="str">
        <f aca="false">IF(OR(B814=0,I814=0),"",ROUND(G814-L814,2))</f>
        <v/>
      </c>
      <c r="N814" s="5" t="str">
        <f aca="false">IF(A814="","",IF(B814=0,"NOT FOUND: bank ID",IF(I814=0,"NOT FOUND: GL ID",IF(INDEX(GL!$H:$H,I814)&lt;&gt;A814,"BROKEN: GL points elsewhere",IF(OR(INDEX(Bank!$F:$F,B814)&lt;&gt;"Y",INDEX(GL!$F:$F,I814)&lt;&gt;"Y"),"BROKEN: Status not Y","OK")))))</f>
        <v/>
      </c>
    </row>
    <row r="815" customFormat="false" ht="15" hidden="false" customHeight="false" outlineLevel="0" collapsed="false">
      <c r="A815" s="41"/>
      <c r="B815" s="5" t="n">
        <f aca="false">IF(A815="",0,IFERROR(MATCH(A815,Bank!$A:$A,0),0))</f>
        <v>0</v>
      </c>
      <c r="C815" s="5" t="str">
        <f aca="false">IF(B815=0,"",IF(INDEX(Bank!$G:$G,B815)="","",INDEX(Bank!$G:$G,B815)))</f>
        <v/>
      </c>
      <c r="D815" s="5" t="str">
        <f aca="false">IF(B815=0,"",IF(INDEX(Bank!$J:$J,B815)="","",INDEX(Bank!$J:$J,B815)))</f>
        <v/>
      </c>
      <c r="E815" s="32" t="str">
        <f aca="false">IF(B815=0,"",INDEX(Bank!$B:$B,B815))</f>
        <v/>
      </c>
      <c r="F815" s="5" t="str">
        <f aca="false">IF(B815=0,"",IF(INDEX(Bank!$C:$C,B815)="","",INDEX(Bank!$C:$C,B815)))</f>
        <v/>
      </c>
      <c r="G815" s="19" t="str">
        <f aca="false">IF(B815=0,"",INDEX(Bank!$E:$E,B815))</f>
        <v/>
      </c>
      <c r="H815" s="5" t="str">
        <f aca="false">IF(B815=0,"",IF(INDEX(Bank!$H:$H,B815)="","",INDEX(Bank!$H:$H,B815)))</f>
        <v/>
      </c>
      <c r="I815" s="5" t="n">
        <f aca="false">IF(H815="",0,IFERROR(MATCH(H815,GL!$A:$A,0),0))</f>
        <v>0</v>
      </c>
      <c r="J815" s="32" t="str">
        <f aca="false">IF(I815=0,"",INDEX(GL!$B:$B,I815))</f>
        <v/>
      </c>
      <c r="K815" s="5" t="str">
        <f aca="false">IF(I815=0,"",IF(INDEX(GL!$C:$C,I815)="","",INDEX(GL!$C:$C,I815)))</f>
        <v/>
      </c>
      <c r="L815" s="19" t="str">
        <f aca="false">IF(I815=0,"",INDEX(GL!$E:$E,I815))</f>
        <v/>
      </c>
      <c r="M815" s="19" t="str">
        <f aca="false">IF(OR(B815=0,I815=0),"",ROUND(G815-L815,2))</f>
        <v/>
      </c>
      <c r="N815" s="5" t="str">
        <f aca="false">IF(A815="","",IF(B815=0,"NOT FOUND: bank ID",IF(I815=0,"NOT FOUND: GL ID",IF(INDEX(GL!$H:$H,I815)&lt;&gt;A815,"BROKEN: GL points elsewhere",IF(OR(INDEX(Bank!$F:$F,B815)&lt;&gt;"Y",INDEX(GL!$F:$F,I815)&lt;&gt;"Y"),"BROKEN: Status not Y","OK")))))</f>
        <v/>
      </c>
    </row>
    <row r="816" customFormat="false" ht="15" hidden="false" customHeight="false" outlineLevel="0" collapsed="false">
      <c r="A816" s="41"/>
      <c r="B816" s="5" t="n">
        <f aca="false">IF(A816="",0,IFERROR(MATCH(A816,Bank!$A:$A,0),0))</f>
        <v>0</v>
      </c>
      <c r="C816" s="5" t="str">
        <f aca="false">IF(B816=0,"",IF(INDEX(Bank!$G:$G,B816)="","",INDEX(Bank!$G:$G,B816)))</f>
        <v/>
      </c>
      <c r="D816" s="5" t="str">
        <f aca="false">IF(B816=0,"",IF(INDEX(Bank!$J:$J,B816)="","",INDEX(Bank!$J:$J,B816)))</f>
        <v/>
      </c>
      <c r="E816" s="32" t="str">
        <f aca="false">IF(B816=0,"",INDEX(Bank!$B:$B,B816))</f>
        <v/>
      </c>
      <c r="F816" s="5" t="str">
        <f aca="false">IF(B816=0,"",IF(INDEX(Bank!$C:$C,B816)="","",INDEX(Bank!$C:$C,B816)))</f>
        <v/>
      </c>
      <c r="G816" s="19" t="str">
        <f aca="false">IF(B816=0,"",INDEX(Bank!$E:$E,B816))</f>
        <v/>
      </c>
      <c r="H816" s="5" t="str">
        <f aca="false">IF(B816=0,"",IF(INDEX(Bank!$H:$H,B816)="","",INDEX(Bank!$H:$H,B816)))</f>
        <v/>
      </c>
      <c r="I816" s="5" t="n">
        <f aca="false">IF(H816="",0,IFERROR(MATCH(H816,GL!$A:$A,0),0))</f>
        <v>0</v>
      </c>
      <c r="J816" s="32" t="str">
        <f aca="false">IF(I816=0,"",INDEX(GL!$B:$B,I816))</f>
        <v/>
      </c>
      <c r="K816" s="5" t="str">
        <f aca="false">IF(I816=0,"",IF(INDEX(GL!$C:$C,I816)="","",INDEX(GL!$C:$C,I816)))</f>
        <v/>
      </c>
      <c r="L816" s="19" t="str">
        <f aca="false">IF(I816=0,"",INDEX(GL!$E:$E,I816))</f>
        <v/>
      </c>
      <c r="M816" s="19" t="str">
        <f aca="false">IF(OR(B816=0,I816=0),"",ROUND(G816-L816,2))</f>
        <v/>
      </c>
      <c r="N816" s="5" t="str">
        <f aca="false">IF(A816="","",IF(B816=0,"NOT FOUND: bank ID",IF(I816=0,"NOT FOUND: GL ID",IF(INDEX(GL!$H:$H,I816)&lt;&gt;A816,"BROKEN: GL points elsewhere",IF(OR(INDEX(Bank!$F:$F,B816)&lt;&gt;"Y",INDEX(GL!$F:$F,I816)&lt;&gt;"Y"),"BROKEN: Status not Y","OK")))))</f>
        <v/>
      </c>
    </row>
    <row r="817" customFormat="false" ht="15" hidden="false" customHeight="false" outlineLevel="0" collapsed="false">
      <c r="A817" s="41"/>
      <c r="B817" s="5" t="n">
        <f aca="false">IF(A817="",0,IFERROR(MATCH(A817,Bank!$A:$A,0),0))</f>
        <v>0</v>
      </c>
      <c r="C817" s="5" t="str">
        <f aca="false">IF(B817=0,"",IF(INDEX(Bank!$G:$G,B817)="","",INDEX(Bank!$G:$G,B817)))</f>
        <v/>
      </c>
      <c r="D817" s="5" t="str">
        <f aca="false">IF(B817=0,"",IF(INDEX(Bank!$J:$J,B817)="","",INDEX(Bank!$J:$J,B817)))</f>
        <v/>
      </c>
      <c r="E817" s="32" t="str">
        <f aca="false">IF(B817=0,"",INDEX(Bank!$B:$B,B817))</f>
        <v/>
      </c>
      <c r="F817" s="5" t="str">
        <f aca="false">IF(B817=0,"",IF(INDEX(Bank!$C:$C,B817)="","",INDEX(Bank!$C:$C,B817)))</f>
        <v/>
      </c>
      <c r="G817" s="19" t="str">
        <f aca="false">IF(B817=0,"",INDEX(Bank!$E:$E,B817))</f>
        <v/>
      </c>
      <c r="H817" s="5" t="str">
        <f aca="false">IF(B817=0,"",IF(INDEX(Bank!$H:$H,B817)="","",INDEX(Bank!$H:$H,B817)))</f>
        <v/>
      </c>
      <c r="I817" s="5" t="n">
        <f aca="false">IF(H817="",0,IFERROR(MATCH(H817,GL!$A:$A,0),0))</f>
        <v>0</v>
      </c>
      <c r="J817" s="32" t="str">
        <f aca="false">IF(I817=0,"",INDEX(GL!$B:$B,I817))</f>
        <v/>
      </c>
      <c r="K817" s="5" t="str">
        <f aca="false">IF(I817=0,"",IF(INDEX(GL!$C:$C,I817)="","",INDEX(GL!$C:$C,I817)))</f>
        <v/>
      </c>
      <c r="L817" s="19" t="str">
        <f aca="false">IF(I817=0,"",INDEX(GL!$E:$E,I817))</f>
        <v/>
      </c>
      <c r="M817" s="19" t="str">
        <f aca="false">IF(OR(B817=0,I817=0),"",ROUND(G817-L817,2))</f>
        <v/>
      </c>
      <c r="N817" s="5" t="str">
        <f aca="false">IF(A817="","",IF(B817=0,"NOT FOUND: bank ID",IF(I817=0,"NOT FOUND: GL ID",IF(INDEX(GL!$H:$H,I817)&lt;&gt;A817,"BROKEN: GL points elsewhere",IF(OR(INDEX(Bank!$F:$F,B817)&lt;&gt;"Y",INDEX(GL!$F:$F,I817)&lt;&gt;"Y"),"BROKEN: Status not Y","OK")))))</f>
        <v/>
      </c>
    </row>
    <row r="818" customFormat="false" ht="15" hidden="false" customHeight="false" outlineLevel="0" collapsed="false">
      <c r="A818" s="41"/>
      <c r="B818" s="5" t="n">
        <f aca="false">IF(A818="",0,IFERROR(MATCH(A818,Bank!$A:$A,0),0))</f>
        <v>0</v>
      </c>
      <c r="C818" s="5" t="str">
        <f aca="false">IF(B818=0,"",IF(INDEX(Bank!$G:$G,B818)="","",INDEX(Bank!$G:$G,B818)))</f>
        <v/>
      </c>
      <c r="D818" s="5" t="str">
        <f aca="false">IF(B818=0,"",IF(INDEX(Bank!$J:$J,B818)="","",INDEX(Bank!$J:$J,B818)))</f>
        <v/>
      </c>
      <c r="E818" s="32" t="str">
        <f aca="false">IF(B818=0,"",INDEX(Bank!$B:$B,B818))</f>
        <v/>
      </c>
      <c r="F818" s="5" t="str">
        <f aca="false">IF(B818=0,"",IF(INDEX(Bank!$C:$C,B818)="","",INDEX(Bank!$C:$C,B818)))</f>
        <v/>
      </c>
      <c r="G818" s="19" t="str">
        <f aca="false">IF(B818=0,"",INDEX(Bank!$E:$E,B818))</f>
        <v/>
      </c>
      <c r="H818" s="5" t="str">
        <f aca="false">IF(B818=0,"",IF(INDEX(Bank!$H:$H,B818)="","",INDEX(Bank!$H:$H,B818)))</f>
        <v/>
      </c>
      <c r="I818" s="5" t="n">
        <f aca="false">IF(H818="",0,IFERROR(MATCH(H818,GL!$A:$A,0),0))</f>
        <v>0</v>
      </c>
      <c r="J818" s="32" t="str">
        <f aca="false">IF(I818=0,"",INDEX(GL!$B:$B,I818))</f>
        <v/>
      </c>
      <c r="K818" s="5" t="str">
        <f aca="false">IF(I818=0,"",IF(INDEX(GL!$C:$C,I818)="","",INDEX(GL!$C:$C,I818)))</f>
        <v/>
      </c>
      <c r="L818" s="19" t="str">
        <f aca="false">IF(I818=0,"",INDEX(GL!$E:$E,I818))</f>
        <v/>
      </c>
      <c r="M818" s="19" t="str">
        <f aca="false">IF(OR(B818=0,I818=0),"",ROUND(G818-L818,2))</f>
        <v/>
      </c>
      <c r="N818" s="5" t="str">
        <f aca="false">IF(A818="","",IF(B818=0,"NOT FOUND: bank ID",IF(I818=0,"NOT FOUND: GL ID",IF(INDEX(GL!$H:$H,I818)&lt;&gt;A818,"BROKEN: GL points elsewhere",IF(OR(INDEX(Bank!$F:$F,B818)&lt;&gt;"Y",INDEX(GL!$F:$F,I818)&lt;&gt;"Y"),"BROKEN: Status not Y","OK")))))</f>
        <v/>
      </c>
    </row>
    <row r="819" customFormat="false" ht="15" hidden="false" customHeight="false" outlineLevel="0" collapsed="false">
      <c r="A819" s="41"/>
      <c r="B819" s="5" t="n">
        <f aca="false">IF(A819="",0,IFERROR(MATCH(A819,Bank!$A:$A,0),0))</f>
        <v>0</v>
      </c>
      <c r="C819" s="5" t="str">
        <f aca="false">IF(B819=0,"",IF(INDEX(Bank!$G:$G,B819)="","",INDEX(Bank!$G:$G,B819)))</f>
        <v/>
      </c>
      <c r="D819" s="5" t="str">
        <f aca="false">IF(B819=0,"",IF(INDEX(Bank!$J:$J,B819)="","",INDEX(Bank!$J:$J,B819)))</f>
        <v/>
      </c>
      <c r="E819" s="32" t="str">
        <f aca="false">IF(B819=0,"",INDEX(Bank!$B:$B,B819))</f>
        <v/>
      </c>
      <c r="F819" s="5" t="str">
        <f aca="false">IF(B819=0,"",IF(INDEX(Bank!$C:$C,B819)="","",INDEX(Bank!$C:$C,B819)))</f>
        <v/>
      </c>
      <c r="G819" s="19" t="str">
        <f aca="false">IF(B819=0,"",INDEX(Bank!$E:$E,B819))</f>
        <v/>
      </c>
      <c r="H819" s="5" t="str">
        <f aca="false">IF(B819=0,"",IF(INDEX(Bank!$H:$H,B819)="","",INDEX(Bank!$H:$H,B819)))</f>
        <v/>
      </c>
      <c r="I819" s="5" t="n">
        <f aca="false">IF(H819="",0,IFERROR(MATCH(H819,GL!$A:$A,0),0))</f>
        <v>0</v>
      </c>
      <c r="J819" s="32" t="str">
        <f aca="false">IF(I819=0,"",INDEX(GL!$B:$B,I819))</f>
        <v/>
      </c>
      <c r="K819" s="5" t="str">
        <f aca="false">IF(I819=0,"",IF(INDEX(GL!$C:$C,I819)="","",INDEX(GL!$C:$C,I819)))</f>
        <v/>
      </c>
      <c r="L819" s="19" t="str">
        <f aca="false">IF(I819=0,"",INDEX(GL!$E:$E,I819))</f>
        <v/>
      </c>
      <c r="M819" s="19" t="str">
        <f aca="false">IF(OR(B819=0,I819=0),"",ROUND(G819-L819,2))</f>
        <v/>
      </c>
      <c r="N819" s="5" t="str">
        <f aca="false">IF(A819="","",IF(B819=0,"NOT FOUND: bank ID",IF(I819=0,"NOT FOUND: GL ID",IF(INDEX(GL!$H:$H,I819)&lt;&gt;A819,"BROKEN: GL points elsewhere",IF(OR(INDEX(Bank!$F:$F,B819)&lt;&gt;"Y",INDEX(GL!$F:$F,I819)&lt;&gt;"Y"),"BROKEN: Status not Y","OK")))))</f>
        <v/>
      </c>
    </row>
    <row r="820" customFormat="false" ht="15" hidden="false" customHeight="false" outlineLevel="0" collapsed="false">
      <c r="A820" s="41"/>
      <c r="B820" s="5" t="n">
        <f aca="false">IF(A820="",0,IFERROR(MATCH(A820,Bank!$A:$A,0),0))</f>
        <v>0</v>
      </c>
      <c r="C820" s="5" t="str">
        <f aca="false">IF(B820=0,"",IF(INDEX(Bank!$G:$G,B820)="","",INDEX(Bank!$G:$G,B820)))</f>
        <v/>
      </c>
      <c r="D820" s="5" t="str">
        <f aca="false">IF(B820=0,"",IF(INDEX(Bank!$J:$J,B820)="","",INDEX(Bank!$J:$J,B820)))</f>
        <v/>
      </c>
      <c r="E820" s="32" t="str">
        <f aca="false">IF(B820=0,"",INDEX(Bank!$B:$B,B820))</f>
        <v/>
      </c>
      <c r="F820" s="5" t="str">
        <f aca="false">IF(B820=0,"",IF(INDEX(Bank!$C:$C,B820)="","",INDEX(Bank!$C:$C,B820)))</f>
        <v/>
      </c>
      <c r="G820" s="19" t="str">
        <f aca="false">IF(B820=0,"",INDEX(Bank!$E:$E,B820))</f>
        <v/>
      </c>
      <c r="H820" s="5" t="str">
        <f aca="false">IF(B820=0,"",IF(INDEX(Bank!$H:$H,B820)="","",INDEX(Bank!$H:$H,B820)))</f>
        <v/>
      </c>
      <c r="I820" s="5" t="n">
        <f aca="false">IF(H820="",0,IFERROR(MATCH(H820,GL!$A:$A,0),0))</f>
        <v>0</v>
      </c>
      <c r="J820" s="32" t="str">
        <f aca="false">IF(I820=0,"",INDEX(GL!$B:$B,I820))</f>
        <v/>
      </c>
      <c r="K820" s="5" t="str">
        <f aca="false">IF(I820=0,"",IF(INDEX(GL!$C:$C,I820)="","",INDEX(GL!$C:$C,I820)))</f>
        <v/>
      </c>
      <c r="L820" s="19" t="str">
        <f aca="false">IF(I820=0,"",INDEX(GL!$E:$E,I820))</f>
        <v/>
      </c>
      <c r="M820" s="19" t="str">
        <f aca="false">IF(OR(B820=0,I820=0),"",ROUND(G820-L820,2))</f>
        <v/>
      </c>
      <c r="N820" s="5" t="str">
        <f aca="false">IF(A820="","",IF(B820=0,"NOT FOUND: bank ID",IF(I820=0,"NOT FOUND: GL ID",IF(INDEX(GL!$H:$H,I820)&lt;&gt;A820,"BROKEN: GL points elsewhere",IF(OR(INDEX(Bank!$F:$F,B820)&lt;&gt;"Y",INDEX(GL!$F:$F,I820)&lt;&gt;"Y"),"BROKEN: Status not Y","OK")))))</f>
        <v/>
      </c>
    </row>
    <row r="821" customFormat="false" ht="15" hidden="false" customHeight="false" outlineLevel="0" collapsed="false">
      <c r="A821" s="41"/>
      <c r="B821" s="5" t="n">
        <f aca="false">IF(A821="",0,IFERROR(MATCH(A821,Bank!$A:$A,0),0))</f>
        <v>0</v>
      </c>
      <c r="C821" s="5" t="str">
        <f aca="false">IF(B821=0,"",IF(INDEX(Bank!$G:$G,B821)="","",INDEX(Bank!$G:$G,B821)))</f>
        <v/>
      </c>
      <c r="D821" s="5" t="str">
        <f aca="false">IF(B821=0,"",IF(INDEX(Bank!$J:$J,B821)="","",INDEX(Bank!$J:$J,B821)))</f>
        <v/>
      </c>
      <c r="E821" s="32" t="str">
        <f aca="false">IF(B821=0,"",INDEX(Bank!$B:$B,B821))</f>
        <v/>
      </c>
      <c r="F821" s="5" t="str">
        <f aca="false">IF(B821=0,"",IF(INDEX(Bank!$C:$C,B821)="","",INDEX(Bank!$C:$C,B821)))</f>
        <v/>
      </c>
      <c r="G821" s="19" t="str">
        <f aca="false">IF(B821=0,"",INDEX(Bank!$E:$E,B821))</f>
        <v/>
      </c>
      <c r="H821" s="5" t="str">
        <f aca="false">IF(B821=0,"",IF(INDEX(Bank!$H:$H,B821)="","",INDEX(Bank!$H:$H,B821)))</f>
        <v/>
      </c>
      <c r="I821" s="5" t="n">
        <f aca="false">IF(H821="",0,IFERROR(MATCH(H821,GL!$A:$A,0),0))</f>
        <v>0</v>
      </c>
      <c r="J821" s="32" t="str">
        <f aca="false">IF(I821=0,"",INDEX(GL!$B:$B,I821))</f>
        <v/>
      </c>
      <c r="K821" s="5" t="str">
        <f aca="false">IF(I821=0,"",IF(INDEX(GL!$C:$C,I821)="","",INDEX(GL!$C:$C,I821)))</f>
        <v/>
      </c>
      <c r="L821" s="19" t="str">
        <f aca="false">IF(I821=0,"",INDEX(GL!$E:$E,I821))</f>
        <v/>
      </c>
      <c r="M821" s="19" t="str">
        <f aca="false">IF(OR(B821=0,I821=0),"",ROUND(G821-L821,2))</f>
        <v/>
      </c>
      <c r="N821" s="5" t="str">
        <f aca="false">IF(A821="","",IF(B821=0,"NOT FOUND: bank ID",IF(I821=0,"NOT FOUND: GL ID",IF(INDEX(GL!$H:$H,I821)&lt;&gt;A821,"BROKEN: GL points elsewhere",IF(OR(INDEX(Bank!$F:$F,B821)&lt;&gt;"Y",INDEX(GL!$F:$F,I821)&lt;&gt;"Y"),"BROKEN: Status not Y","OK")))))</f>
        <v/>
      </c>
    </row>
    <row r="822" customFormat="false" ht="15" hidden="false" customHeight="false" outlineLevel="0" collapsed="false">
      <c r="A822" s="41"/>
      <c r="B822" s="5" t="n">
        <f aca="false">IF(A822="",0,IFERROR(MATCH(A822,Bank!$A:$A,0),0))</f>
        <v>0</v>
      </c>
      <c r="C822" s="5" t="str">
        <f aca="false">IF(B822=0,"",IF(INDEX(Bank!$G:$G,B822)="","",INDEX(Bank!$G:$G,B822)))</f>
        <v/>
      </c>
      <c r="D822" s="5" t="str">
        <f aca="false">IF(B822=0,"",IF(INDEX(Bank!$J:$J,B822)="","",INDEX(Bank!$J:$J,B822)))</f>
        <v/>
      </c>
      <c r="E822" s="32" t="str">
        <f aca="false">IF(B822=0,"",INDEX(Bank!$B:$B,B822))</f>
        <v/>
      </c>
      <c r="F822" s="5" t="str">
        <f aca="false">IF(B822=0,"",IF(INDEX(Bank!$C:$C,B822)="","",INDEX(Bank!$C:$C,B822)))</f>
        <v/>
      </c>
      <c r="G822" s="19" t="str">
        <f aca="false">IF(B822=0,"",INDEX(Bank!$E:$E,B822))</f>
        <v/>
      </c>
      <c r="H822" s="5" t="str">
        <f aca="false">IF(B822=0,"",IF(INDEX(Bank!$H:$H,B822)="","",INDEX(Bank!$H:$H,B822)))</f>
        <v/>
      </c>
      <c r="I822" s="5" t="n">
        <f aca="false">IF(H822="",0,IFERROR(MATCH(H822,GL!$A:$A,0),0))</f>
        <v>0</v>
      </c>
      <c r="J822" s="32" t="str">
        <f aca="false">IF(I822=0,"",INDEX(GL!$B:$B,I822))</f>
        <v/>
      </c>
      <c r="K822" s="5" t="str">
        <f aca="false">IF(I822=0,"",IF(INDEX(GL!$C:$C,I822)="","",INDEX(GL!$C:$C,I822)))</f>
        <v/>
      </c>
      <c r="L822" s="19" t="str">
        <f aca="false">IF(I822=0,"",INDEX(GL!$E:$E,I822))</f>
        <v/>
      </c>
      <c r="M822" s="19" t="str">
        <f aca="false">IF(OR(B822=0,I822=0),"",ROUND(G822-L822,2))</f>
        <v/>
      </c>
      <c r="N822" s="5" t="str">
        <f aca="false">IF(A822="","",IF(B822=0,"NOT FOUND: bank ID",IF(I822=0,"NOT FOUND: GL ID",IF(INDEX(GL!$H:$H,I822)&lt;&gt;A822,"BROKEN: GL points elsewhere",IF(OR(INDEX(Bank!$F:$F,B822)&lt;&gt;"Y",INDEX(GL!$F:$F,I822)&lt;&gt;"Y"),"BROKEN: Status not Y","OK")))))</f>
        <v/>
      </c>
    </row>
    <row r="823" customFormat="false" ht="15" hidden="false" customHeight="false" outlineLevel="0" collapsed="false">
      <c r="A823" s="41"/>
      <c r="B823" s="5" t="n">
        <f aca="false">IF(A823="",0,IFERROR(MATCH(A823,Bank!$A:$A,0),0))</f>
        <v>0</v>
      </c>
      <c r="C823" s="5" t="str">
        <f aca="false">IF(B823=0,"",IF(INDEX(Bank!$G:$G,B823)="","",INDEX(Bank!$G:$G,B823)))</f>
        <v/>
      </c>
      <c r="D823" s="5" t="str">
        <f aca="false">IF(B823=0,"",IF(INDEX(Bank!$J:$J,B823)="","",INDEX(Bank!$J:$J,B823)))</f>
        <v/>
      </c>
      <c r="E823" s="32" t="str">
        <f aca="false">IF(B823=0,"",INDEX(Bank!$B:$B,B823))</f>
        <v/>
      </c>
      <c r="F823" s="5" t="str">
        <f aca="false">IF(B823=0,"",IF(INDEX(Bank!$C:$C,B823)="","",INDEX(Bank!$C:$C,B823)))</f>
        <v/>
      </c>
      <c r="G823" s="19" t="str">
        <f aca="false">IF(B823=0,"",INDEX(Bank!$E:$E,B823))</f>
        <v/>
      </c>
      <c r="H823" s="5" t="str">
        <f aca="false">IF(B823=0,"",IF(INDEX(Bank!$H:$H,B823)="","",INDEX(Bank!$H:$H,B823)))</f>
        <v/>
      </c>
      <c r="I823" s="5" t="n">
        <f aca="false">IF(H823="",0,IFERROR(MATCH(H823,GL!$A:$A,0),0))</f>
        <v>0</v>
      </c>
      <c r="J823" s="32" t="str">
        <f aca="false">IF(I823=0,"",INDEX(GL!$B:$B,I823))</f>
        <v/>
      </c>
      <c r="K823" s="5" t="str">
        <f aca="false">IF(I823=0,"",IF(INDEX(GL!$C:$C,I823)="","",INDEX(GL!$C:$C,I823)))</f>
        <v/>
      </c>
      <c r="L823" s="19" t="str">
        <f aca="false">IF(I823=0,"",INDEX(GL!$E:$E,I823))</f>
        <v/>
      </c>
      <c r="M823" s="19" t="str">
        <f aca="false">IF(OR(B823=0,I823=0),"",ROUND(G823-L823,2))</f>
        <v/>
      </c>
      <c r="N823" s="5" t="str">
        <f aca="false">IF(A823="","",IF(B823=0,"NOT FOUND: bank ID",IF(I823=0,"NOT FOUND: GL ID",IF(INDEX(GL!$H:$H,I823)&lt;&gt;A823,"BROKEN: GL points elsewhere",IF(OR(INDEX(Bank!$F:$F,B823)&lt;&gt;"Y",INDEX(GL!$F:$F,I823)&lt;&gt;"Y"),"BROKEN: Status not Y","OK")))))</f>
        <v/>
      </c>
    </row>
    <row r="824" customFormat="false" ht="15" hidden="false" customHeight="false" outlineLevel="0" collapsed="false">
      <c r="A824" s="41"/>
      <c r="B824" s="5" t="n">
        <f aca="false">IF(A824="",0,IFERROR(MATCH(A824,Bank!$A:$A,0),0))</f>
        <v>0</v>
      </c>
      <c r="C824" s="5" t="str">
        <f aca="false">IF(B824=0,"",IF(INDEX(Bank!$G:$G,B824)="","",INDEX(Bank!$G:$G,B824)))</f>
        <v/>
      </c>
      <c r="D824" s="5" t="str">
        <f aca="false">IF(B824=0,"",IF(INDEX(Bank!$J:$J,B824)="","",INDEX(Bank!$J:$J,B824)))</f>
        <v/>
      </c>
      <c r="E824" s="32" t="str">
        <f aca="false">IF(B824=0,"",INDEX(Bank!$B:$B,B824))</f>
        <v/>
      </c>
      <c r="F824" s="5" t="str">
        <f aca="false">IF(B824=0,"",IF(INDEX(Bank!$C:$C,B824)="","",INDEX(Bank!$C:$C,B824)))</f>
        <v/>
      </c>
      <c r="G824" s="19" t="str">
        <f aca="false">IF(B824=0,"",INDEX(Bank!$E:$E,B824))</f>
        <v/>
      </c>
      <c r="H824" s="5" t="str">
        <f aca="false">IF(B824=0,"",IF(INDEX(Bank!$H:$H,B824)="","",INDEX(Bank!$H:$H,B824)))</f>
        <v/>
      </c>
      <c r="I824" s="5" t="n">
        <f aca="false">IF(H824="",0,IFERROR(MATCH(H824,GL!$A:$A,0),0))</f>
        <v>0</v>
      </c>
      <c r="J824" s="32" t="str">
        <f aca="false">IF(I824=0,"",INDEX(GL!$B:$B,I824))</f>
        <v/>
      </c>
      <c r="K824" s="5" t="str">
        <f aca="false">IF(I824=0,"",IF(INDEX(GL!$C:$C,I824)="","",INDEX(GL!$C:$C,I824)))</f>
        <v/>
      </c>
      <c r="L824" s="19" t="str">
        <f aca="false">IF(I824=0,"",INDEX(GL!$E:$E,I824))</f>
        <v/>
      </c>
      <c r="M824" s="19" t="str">
        <f aca="false">IF(OR(B824=0,I824=0),"",ROUND(G824-L824,2))</f>
        <v/>
      </c>
      <c r="N824" s="5" t="str">
        <f aca="false">IF(A824="","",IF(B824=0,"NOT FOUND: bank ID",IF(I824=0,"NOT FOUND: GL ID",IF(INDEX(GL!$H:$H,I824)&lt;&gt;A824,"BROKEN: GL points elsewhere",IF(OR(INDEX(Bank!$F:$F,B824)&lt;&gt;"Y",INDEX(GL!$F:$F,I824)&lt;&gt;"Y"),"BROKEN: Status not Y","OK")))))</f>
        <v/>
      </c>
    </row>
    <row r="825" customFormat="false" ht="15" hidden="false" customHeight="false" outlineLevel="0" collapsed="false">
      <c r="A825" s="41"/>
      <c r="B825" s="5" t="n">
        <f aca="false">IF(A825="",0,IFERROR(MATCH(A825,Bank!$A:$A,0),0))</f>
        <v>0</v>
      </c>
      <c r="C825" s="5" t="str">
        <f aca="false">IF(B825=0,"",IF(INDEX(Bank!$G:$G,B825)="","",INDEX(Bank!$G:$G,B825)))</f>
        <v/>
      </c>
      <c r="D825" s="5" t="str">
        <f aca="false">IF(B825=0,"",IF(INDEX(Bank!$J:$J,B825)="","",INDEX(Bank!$J:$J,B825)))</f>
        <v/>
      </c>
      <c r="E825" s="32" t="str">
        <f aca="false">IF(B825=0,"",INDEX(Bank!$B:$B,B825))</f>
        <v/>
      </c>
      <c r="F825" s="5" t="str">
        <f aca="false">IF(B825=0,"",IF(INDEX(Bank!$C:$C,B825)="","",INDEX(Bank!$C:$C,B825)))</f>
        <v/>
      </c>
      <c r="G825" s="19" t="str">
        <f aca="false">IF(B825=0,"",INDEX(Bank!$E:$E,B825))</f>
        <v/>
      </c>
      <c r="H825" s="5" t="str">
        <f aca="false">IF(B825=0,"",IF(INDEX(Bank!$H:$H,B825)="","",INDEX(Bank!$H:$H,B825)))</f>
        <v/>
      </c>
      <c r="I825" s="5" t="n">
        <f aca="false">IF(H825="",0,IFERROR(MATCH(H825,GL!$A:$A,0),0))</f>
        <v>0</v>
      </c>
      <c r="J825" s="32" t="str">
        <f aca="false">IF(I825=0,"",INDEX(GL!$B:$B,I825))</f>
        <v/>
      </c>
      <c r="K825" s="5" t="str">
        <f aca="false">IF(I825=0,"",IF(INDEX(GL!$C:$C,I825)="","",INDEX(GL!$C:$C,I825)))</f>
        <v/>
      </c>
      <c r="L825" s="19" t="str">
        <f aca="false">IF(I825=0,"",INDEX(GL!$E:$E,I825))</f>
        <v/>
      </c>
      <c r="M825" s="19" t="str">
        <f aca="false">IF(OR(B825=0,I825=0),"",ROUND(G825-L825,2))</f>
        <v/>
      </c>
      <c r="N825" s="5" t="str">
        <f aca="false">IF(A825="","",IF(B825=0,"NOT FOUND: bank ID",IF(I825=0,"NOT FOUND: GL ID",IF(INDEX(GL!$H:$H,I825)&lt;&gt;A825,"BROKEN: GL points elsewhere",IF(OR(INDEX(Bank!$F:$F,B825)&lt;&gt;"Y",INDEX(GL!$F:$F,I825)&lt;&gt;"Y"),"BROKEN: Status not Y","OK")))))</f>
        <v/>
      </c>
    </row>
    <row r="826" customFormat="false" ht="15" hidden="false" customHeight="false" outlineLevel="0" collapsed="false">
      <c r="A826" s="41"/>
      <c r="B826" s="5" t="n">
        <f aca="false">IF(A826="",0,IFERROR(MATCH(A826,Bank!$A:$A,0),0))</f>
        <v>0</v>
      </c>
      <c r="C826" s="5" t="str">
        <f aca="false">IF(B826=0,"",IF(INDEX(Bank!$G:$G,B826)="","",INDEX(Bank!$G:$G,B826)))</f>
        <v/>
      </c>
      <c r="D826" s="5" t="str">
        <f aca="false">IF(B826=0,"",IF(INDEX(Bank!$J:$J,B826)="","",INDEX(Bank!$J:$J,B826)))</f>
        <v/>
      </c>
      <c r="E826" s="32" t="str">
        <f aca="false">IF(B826=0,"",INDEX(Bank!$B:$B,B826))</f>
        <v/>
      </c>
      <c r="F826" s="5" t="str">
        <f aca="false">IF(B826=0,"",IF(INDEX(Bank!$C:$C,B826)="","",INDEX(Bank!$C:$C,B826)))</f>
        <v/>
      </c>
      <c r="G826" s="19" t="str">
        <f aca="false">IF(B826=0,"",INDEX(Bank!$E:$E,B826))</f>
        <v/>
      </c>
      <c r="H826" s="5" t="str">
        <f aca="false">IF(B826=0,"",IF(INDEX(Bank!$H:$H,B826)="","",INDEX(Bank!$H:$H,B826)))</f>
        <v/>
      </c>
      <c r="I826" s="5" t="n">
        <f aca="false">IF(H826="",0,IFERROR(MATCH(H826,GL!$A:$A,0),0))</f>
        <v>0</v>
      </c>
      <c r="J826" s="32" t="str">
        <f aca="false">IF(I826=0,"",INDEX(GL!$B:$B,I826))</f>
        <v/>
      </c>
      <c r="K826" s="5" t="str">
        <f aca="false">IF(I826=0,"",IF(INDEX(GL!$C:$C,I826)="","",INDEX(GL!$C:$C,I826)))</f>
        <v/>
      </c>
      <c r="L826" s="19" t="str">
        <f aca="false">IF(I826=0,"",INDEX(GL!$E:$E,I826))</f>
        <v/>
      </c>
      <c r="M826" s="19" t="str">
        <f aca="false">IF(OR(B826=0,I826=0),"",ROUND(G826-L826,2))</f>
        <v/>
      </c>
      <c r="N826" s="5" t="str">
        <f aca="false">IF(A826="","",IF(B826=0,"NOT FOUND: bank ID",IF(I826=0,"NOT FOUND: GL ID",IF(INDEX(GL!$H:$H,I826)&lt;&gt;A826,"BROKEN: GL points elsewhere",IF(OR(INDEX(Bank!$F:$F,B826)&lt;&gt;"Y",INDEX(GL!$F:$F,I826)&lt;&gt;"Y"),"BROKEN: Status not Y","OK")))))</f>
        <v/>
      </c>
    </row>
    <row r="827" customFormat="false" ht="15" hidden="false" customHeight="false" outlineLevel="0" collapsed="false">
      <c r="A827" s="41"/>
      <c r="B827" s="5" t="n">
        <f aca="false">IF(A827="",0,IFERROR(MATCH(A827,Bank!$A:$A,0),0))</f>
        <v>0</v>
      </c>
      <c r="C827" s="5" t="str">
        <f aca="false">IF(B827=0,"",IF(INDEX(Bank!$G:$G,B827)="","",INDEX(Bank!$G:$G,B827)))</f>
        <v/>
      </c>
      <c r="D827" s="5" t="str">
        <f aca="false">IF(B827=0,"",IF(INDEX(Bank!$J:$J,B827)="","",INDEX(Bank!$J:$J,B827)))</f>
        <v/>
      </c>
      <c r="E827" s="32" t="str">
        <f aca="false">IF(B827=0,"",INDEX(Bank!$B:$B,B827))</f>
        <v/>
      </c>
      <c r="F827" s="5" t="str">
        <f aca="false">IF(B827=0,"",IF(INDEX(Bank!$C:$C,B827)="","",INDEX(Bank!$C:$C,B827)))</f>
        <v/>
      </c>
      <c r="G827" s="19" t="str">
        <f aca="false">IF(B827=0,"",INDEX(Bank!$E:$E,B827))</f>
        <v/>
      </c>
      <c r="H827" s="5" t="str">
        <f aca="false">IF(B827=0,"",IF(INDEX(Bank!$H:$H,B827)="","",INDEX(Bank!$H:$H,B827)))</f>
        <v/>
      </c>
      <c r="I827" s="5" t="n">
        <f aca="false">IF(H827="",0,IFERROR(MATCH(H827,GL!$A:$A,0),0))</f>
        <v>0</v>
      </c>
      <c r="J827" s="32" t="str">
        <f aca="false">IF(I827=0,"",INDEX(GL!$B:$B,I827))</f>
        <v/>
      </c>
      <c r="K827" s="5" t="str">
        <f aca="false">IF(I827=0,"",IF(INDEX(GL!$C:$C,I827)="","",INDEX(GL!$C:$C,I827)))</f>
        <v/>
      </c>
      <c r="L827" s="19" t="str">
        <f aca="false">IF(I827=0,"",INDEX(GL!$E:$E,I827))</f>
        <v/>
      </c>
      <c r="M827" s="19" t="str">
        <f aca="false">IF(OR(B827=0,I827=0),"",ROUND(G827-L827,2))</f>
        <v/>
      </c>
      <c r="N827" s="5" t="str">
        <f aca="false">IF(A827="","",IF(B827=0,"NOT FOUND: bank ID",IF(I827=0,"NOT FOUND: GL ID",IF(INDEX(GL!$H:$H,I827)&lt;&gt;A827,"BROKEN: GL points elsewhere",IF(OR(INDEX(Bank!$F:$F,B827)&lt;&gt;"Y",INDEX(GL!$F:$F,I827)&lt;&gt;"Y"),"BROKEN: Status not Y","OK")))))</f>
        <v/>
      </c>
    </row>
    <row r="828" customFormat="false" ht="15" hidden="false" customHeight="false" outlineLevel="0" collapsed="false">
      <c r="A828" s="41"/>
      <c r="B828" s="5" t="n">
        <f aca="false">IF(A828="",0,IFERROR(MATCH(A828,Bank!$A:$A,0),0))</f>
        <v>0</v>
      </c>
      <c r="C828" s="5" t="str">
        <f aca="false">IF(B828=0,"",IF(INDEX(Bank!$G:$G,B828)="","",INDEX(Bank!$G:$G,B828)))</f>
        <v/>
      </c>
      <c r="D828" s="5" t="str">
        <f aca="false">IF(B828=0,"",IF(INDEX(Bank!$J:$J,B828)="","",INDEX(Bank!$J:$J,B828)))</f>
        <v/>
      </c>
      <c r="E828" s="32" t="str">
        <f aca="false">IF(B828=0,"",INDEX(Bank!$B:$B,B828))</f>
        <v/>
      </c>
      <c r="F828" s="5" t="str">
        <f aca="false">IF(B828=0,"",IF(INDEX(Bank!$C:$C,B828)="","",INDEX(Bank!$C:$C,B828)))</f>
        <v/>
      </c>
      <c r="G828" s="19" t="str">
        <f aca="false">IF(B828=0,"",INDEX(Bank!$E:$E,B828))</f>
        <v/>
      </c>
      <c r="H828" s="5" t="str">
        <f aca="false">IF(B828=0,"",IF(INDEX(Bank!$H:$H,B828)="","",INDEX(Bank!$H:$H,B828)))</f>
        <v/>
      </c>
      <c r="I828" s="5" t="n">
        <f aca="false">IF(H828="",0,IFERROR(MATCH(H828,GL!$A:$A,0),0))</f>
        <v>0</v>
      </c>
      <c r="J828" s="32" t="str">
        <f aca="false">IF(I828=0,"",INDEX(GL!$B:$B,I828))</f>
        <v/>
      </c>
      <c r="K828" s="5" t="str">
        <f aca="false">IF(I828=0,"",IF(INDEX(GL!$C:$C,I828)="","",INDEX(GL!$C:$C,I828)))</f>
        <v/>
      </c>
      <c r="L828" s="19" t="str">
        <f aca="false">IF(I828=0,"",INDEX(GL!$E:$E,I828))</f>
        <v/>
      </c>
      <c r="M828" s="19" t="str">
        <f aca="false">IF(OR(B828=0,I828=0),"",ROUND(G828-L828,2))</f>
        <v/>
      </c>
      <c r="N828" s="5" t="str">
        <f aca="false">IF(A828="","",IF(B828=0,"NOT FOUND: bank ID",IF(I828=0,"NOT FOUND: GL ID",IF(INDEX(GL!$H:$H,I828)&lt;&gt;A828,"BROKEN: GL points elsewhere",IF(OR(INDEX(Bank!$F:$F,B828)&lt;&gt;"Y",INDEX(GL!$F:$F,I828)&lt;&gt;"Y"),"BROKEN: Status not Y","OK")))))</f>
        <v/>
      </c>
    </row>
    <row r="829" customFormat="false" ht="15" hidden="false" customHeight="false" outlineLevel="0" collapsed="false">
      <c r="A829" s="41"/>
      <c r="B829" s="5" t="n">
        <f aca="false">IF(A829="",0,IFERROR(MATCH(A829,Bank!$A:$A,0),0))</f>
        <v>0</v>
      </c>
      <c r="C829" s="5" t="str">
        <f aca="false">IF(B829=0,"",IF(INDEX(Bank!$G:$G,B829)="","",INDEX(Bank!$G:$G,B829)))</f>
        <v/>
      </c>
      <c r="D829" s="5" t="str">
        <f aca="false">IF(B829=0,"",IF(INDEX(Bank!$J:$J,B829)="","",INDEX(Bank!$J:$J,B829)))</f>
        <v/>
      </c>
      <c r="E829" s="32" t="str">
        <f aca="false">IF(B829=0,"",INDEX(Bank!$B:$B,B829))</f>
        <v/>
      </c>
      <c r="F829" s="5" t="str">
        <f aca="false">IF(B829=0,"",IF(INDEX(Bank!$C:$C,B829)="","",INDEX(Bank!$C:$C,B829)))</f>
        <v/>
      </c>
      <c r="G829" s="19" t="str">
        <f aca="false">IF(B829=0,"",INDEX(Bank!$E:$E,B829))</f>
        <v/>
      </c>
      <c r="H829" s="5" t="str">
        <f aca="false">IF(B829=0,"",IF(INDEX(Bank!$H:$H,B829)="","",INDEX(Bank!$H:$H,B829)))</f>
        <v/>
      </c>
      <c r="I829" s="5" t="n">
        <f aca="false">IF(H829="",0,IFERROR(MATCH(H829,GL!$A:$A,0),0))</f>
        <v>0</v>
      </c>
      <c r="J829" s="32" t="str">
        <f aca="false">IF(I829=0,"",INDEX(GL!$B:$B,I829))</f>
        <v/>
      </c>
      <c r="K829" s="5" t="str">
        <f aca="false">IF(I829=0,"",IF(INDEX(GL!$C:$C,I829)="","",INDEX(GL!$C:$C,I829)))</f>
        <v/>
      </c>
      <c r="L829" s="19" t="str">
        <f aca="false">IF(I829=0,"",INDEX(GL!$E:$E,I829))</f>
        <v/>
      </c>
      <c r="M829" s="19" t="str">
        <f aca="false">IF(OR(B829=0,I829=0),"",ROUND(G829-L829,2))</f>
        <v/>
      </c>
      <c r="N829" s="5" t="str">
        <f aca="false">IF(A829="","",IF(B829=0,"NOT FOUND: bank ID",IF(I829=0,"NOT FOUND: GL ID",IF(INDEX(GL!$H:$H,I829)&lt;&gt;A829,"BROKEN: GL points elsewhere",IF(OR(INDEX(Bank!$F:$F,B829)&lt;&gt;"Y",INDEX(GL!$F:$F,I829)&lt;&gt;"Y"),"BROKEN: Status not Y","OK")))))</f>
        <v/>
      </c>
    </row>
    <row r="830" customFormat="false" ht="15" hidden="false" customHeight="false" outlineLevel="0" collapsed="false">
      <c r="A830" s="41"/>
      <c r="B830" s="5" t="n">
        <f aca="false">IF(A830="",0,IFERROR(MATCH(A830,Bank!$A:$A,0),0))</f>
        <v>0</v>
      </c>
      <c r="C830" s="5" t="str">
        <f aca="false">IF(B830=0,"",IF(INDEX(Bank!$G:$G,B830)="","",INDEX(Bank!$G:$G,B830)))</f>
        <v/>
      </c>
      <c r="D830" s="5" t="str">
        <f aca="false">IF(B830=0,"",IF(INDEX(Bank!$J:$J,B830)="","",INDEX(Bank!$J:$J,B830)))</f>
        <v/>
      </c>
      <c r="E830" s="32" t="str">
        <f aca="false">IF(B830=0,"",INDEX(Bank!$B:$B,B830))</f>
        <v/>
      </c>
      <c r="F830" s="5" t="str">
        <f aca="false">IF(B830=0,"",IF(INDEX(Bank!$C:$C,B830)="","",INDEX(Bank!$C:$C,B830)))</f>
        <v/>
      </c>
      <c r="G830" s="19" t="str">
        <f aca="false">IF(B830=0,"",INDEX(Bank!$E:$E,B830))</f>
        <v/>
      </c>
      <c r="H830" s="5" t="str">
        <f aca="false">IF(B830=0,"",IF(INDEX(Bank!$H:$H,B830)="","",INDEX(Bank!$H:$H,B830)))</f>
        <v/>
      </c>
      <c r="I830" s="5" t="n">
        <f aca="false">IF(H830="",0,IFERROR(MATCH(H830,GL!$A:$A,0),0))</f>
        <v>0</v>
      </c>
      <c r="J830" s="32" t="str">
        <f aca="false">IF(I830=0,"",INDEX(GL!$B:$B,I830))</f>
        <v/>
      </c>
      <c r="K830" s="5" t="str">
        <f aca="false">IF(I830=0,"",IF(INDEX(GL!$C:$C,I830)="","",INDEX(GL!$C:$C,I830)))</f>
        <v/>
      </c>
      <c r="L830" s="19" t="str">
        <f aca="false">IF(I830=0,"",INDEX(GL!$E:$E,I830))</f>
        <v/>
      </c>
      <c r="M830" s="19" t="str">
        <f aca="false">IF(OR(B830=0,I830=0),"",ROUND(G830-L830,2))</f>
        <v/>
      </c>
      <c r="N830" s="5" t="str">
        <f aca="false">IF(A830="","",IF(B830=0,"NOT FOUND: bank ID",IF(I830=0,"NOT FOUND: GL ID",IF(INDEX(GL!$H:$H,I830)&lt;&gt;A830,"BROKEN: GL points elsewhere",IF(OR(INDEX(Bank!$F:$F,B830)&lt;&gt;"Y",INDEX(GL!$F:$F,I830)&lt;&gt;"Y"),"BROKEN: Status not Y","OK")))))</f>
        <v/>
      </c>
    </row>
    <row r="831" customFormat="false" ht="15" hidden="false" customHeight="false" outlineLevel="0" collapsed="false">
      <c r="A831" s="41"/>
      <c r="B831" s="5" t="n">
        <f aca="false">IF(A831="",0,IFERROR(MATCH(A831,Bank!$A:$A,0),0))</f>
        <v>0</v>
      </c>
      <c r="C831" s="5" t="str">
        <f aca="false">IF(B831=0,"",IF(INDEX(Bank!$G:$G,B831)="","",INDEX(Bank!$G:$G,B831)))</f>
        <v/>
      </c>
      <c r="D831" s="5" t="str">
        <f aca="false">IF(B831=0,"",IF(INDEX(Bank!$J:$J,B831)="","",INDEX(Bank!$J:$J,B831)))</f>
        <v/>
      </c>
      <c r="E831" s="32" t="str">
        <f aca="false">IF(B831=0,"",INDEX(Bank!$B:$B,B831))</f>
        <v/>
      </c>
      <c r="F831" s="5" t="str">
        <f aca="false">IF(B831=0,"",IF(INDEX(Bank!$C:$C,B831)="","",INDEX(Bank!$C:$C,B831)))</f>
        <v/>
      </c>
      <c r="G831" s="19" t="str">
        <f aca="false">IF(B831=0,"",INDEX(Bank!$E:$E,B831))</f>
        <v/>
      </c>
      <c r="H831" s="5" t="str">
        <f aca="false">IF(B831=0,"",IF(INDEX(Bank!$H:$H,B831)="","",INDEX(Bank!$H:$H,B831)))</f>
        <v/>
      </c>
      <c r="I831" s="5" t="n">
        <f aca="false">IF(H831="",0,IFERROR(MATCH(H831,GL!$A:$A,0),0))</f>
        <v>0</v>
      </c>
      <c r="J831" s="32" t="str">
        <f aca="false">IF(I831=0,"",INDEX(GL!$B:$B,I831))</f>
        <v/>
      </c>
      <c r="K831" s="5" t="str">
        <f aca="false">IF(I831=0,"",IF(INDEX(GL!$C:$C,I831)="","",INDEX(GL!$C:$C,I831)))</f>
        <v/>
      </c>
      <c r="L831" s="19" t="str">
        <f aca="false">IF(I831=0,"",INDEX(GL!$E:$E,I831))</f>
        <v/>
      </c>
      <c r="M831" s="19" t="str">
        <f aca="false">IF(OR(B831=0,I831=0),"",ROUND(G831-L831,2))</f>
        <v/>
      </c>
      <c r="N831" s="5" t="str">
        <f aca="false">IF(A831="","",IF(B831=0,"NOT FOUND: bank ID",IF(I831=0,"NOT FOUND: GL ID",IF(INDEX(GL!$H:$H,I831)&lt;&gt;A831,"BROKEN: GL points elsewhere",IF(OR(INDEX(Bank!$F:$F,B831)&lt;&gt;"Y",INDEX(GL!$F:$F,I831)&lt;&gt;"Y"),"BROKEN: Status not Y","OK")))))</f>
        <v/>
      </c>
    </row>
    <row r="832" customFormat="false" ht="15" hidden="false" customHeight="false" outlineLevel="0" collapsed="false">
      <c r="A832" s="41"/>
      <c r="B832" s="5" t="n">
        <f aca="false">IF(A832="",0,IFERROR(MATCH(A832,Bank!$A:$A,0),0))</f>
        <v>0</v>
      </c>
      <c r="C832" s="5" t="str">
        <f aca="false">IF(B832=0,"",IF(INDEX(Bank!$G:$G,B832)="","",INDEX(Bank!$G:$G,B832)))</f>
        <v/>
      </c>
      <c r="D832" s="5" t="str">
        <f aca="false">IF(B832=0,"",IF(INDEX(Bank!$J:$J,B832)="","",INDEX(Bank!$J:$J,B832)))</f>
        <v/>
      </c>
      <c r="E832" s="32" t="str">
        <f aca="false">IF(B832=0,"",INDEX(Bank!$B:$B,B832))</f>
        <v/>
      </c>
      <c r="F832" s="5" t="str">
        <f aca="false">IF(B832=0,"",IF(INDEX(Bank!$C:$C,B832)="","",INDEX(Bank!$C:$C,B832)))</f>
        <v/>
      </c>
      <c r="G832" s="19" t="str">
        <f aca="false">IF(B832=0,"",INDEX(Bank!$E:$E,B832))</f>
        <v/>
      </c>
      <c r="H832" s="5" t="str">
        <f aca="false">IF(B832=0,"",IF(INDEX(Bank!$H:$H,B832)="","",INDEX(Bank!$H:$H,B832)))</f>
        <v/>
      </c>
      <c r="I832" s="5" t="n">
        <f aca="false">IF(H832="",0,IFERROR(MATCH(H832,GL!$A:$A,0),0))</f>
        <v>0</v>
      </c>
      <c r="J832" s="32" t="str">
        <f aca="false">IF(I832=0,"",INDEX(GL!$B:$B,I832))</f>
        <v/>
      </c>
      <c r="K832" s="5" t="str">
        <f aca="false">IF(I832=0,"",IF(INDEX(GL!$C:$C,I832)="","",INDEX(GL!$C:$C,I832)))</f>
        <v/>
      </c>
      <c r="L832" s="19" t="str">
        <f aca="false">IF(I832=0,"",INDEX(GL!$E:$E,I832))</f>
        <v/>
      </c>
      <c r="M832" s="19" t="str">
        <f aca="false">IF(OR(B832=0,I832=0),"",ROUND(G832-L832,2))</f>
        <v/>
      </c>
      <c r="N832" s="5" t="str">
        <f aca="false">IF(A832="","",IF(B832=0,"NOT FOUND: bank ID",IF(I832=0,"NOT FOUND: GL ID",IF(INDEX(GL!$H:$H,I832)&lt;&gt;A832,"BROKEN: GL points elsewhere",IF(OR(INDEX(Bank!$F:$F,B832)&lt;&gt;"Y",INDEX(GL!$F:$F,I832)&lt;&gt;"Y"),"BROKEN: Status not Y","OK")))))</f>
        <v/>
      </c>
    </row>
    <row r="833" customFormat="false" ht="15" hidden="false" customHeight="false" outlineLevel="0" collapsed="false">
      <c r="A833" s="41"/>
      <c r="B833" s="5" t="n">
        <f aca="false">IF(A833="",0,IFERROR(MATCH(A833,Bank!$A:$A,0),0))</f>
        <v>0</v>
      </c>
      <c r="C833" s="5" t="str">
        <f aca="false">IF(B833=0,"",IF(INDEX(Bank!$G:$G,B833)="","",INDEX(Bank!$G:$G,B833)))</f>
        <v/>
      </c>
      <c r="D833" s="5" t="str">
        <f aca="false">IF(B833=0,"",IF(INDEX(Bank!$J:$J,B833)="","",INDEX(Bank!$J:$J,B833)))</f>
        <v/>
      </c>
      <c r="E833" s="32" t="str">
        <f aca="false">IF(B833=0,"",INDEX(Bank!$B:$B,B833))</f>
        <v/>
      </c>
      <c r="F833" s="5" t="str">
        <f aca="false">IF(B833=0,"",IF(INDEX(Bank!$C:$C,B833)="","",INDEX(Bank!$C:$C,B833)))</f>
        <v/>
      </c>
      <c r="G833" s="19" t="str">
        <f aca="false">IF(B833=0,"",INDEX(Bank!$E:$E,B833))</f>
        <v/>
      </c>
      <c r="H833" s="5" t="str">
        <f aca="false">IF(B833=0,"",IF(INDEX(Bank!$H:$H,B833)="","",INDEX(Bank!$H:$H,B833)))</f>
        <v/>
      </c>
      <c r="I833" s="5" t="n">
        <f aca="false">IF(H833="",0,IFERROR(MATCH(H833,GL!$A:$A,0),0))</f>
        <v>0</v>
      </c>
      <c r="J833" s="32" t="str">
        <f aca="false">IF(I833=0,"",INDEX(GL!$B:$B,I833))</f>
        <v/>
      </c>
      <c r="K833" s="5" t="str">
        <f aca="false">IF(I833=0,"",IF(INDEX(GL!$C:$C,I833)="","",INDEX(GL!$C:$C,I833)))</f>
        <v/>
      </c>
      <c r="L833" s="19" t="str">
        <f aca="false">IF(I833=0,"",INDEX(GL!$E:$E,I833))</f>
        <v/>
      </c>
      <c r="M833" s="19" t="str">
        <f aca="false">IF(OR(B833=0,I833=0),"",ROUND(G833-L833,2))</f>
        <v/>
      </c>
      <c r="N833" s="5" t="str">
        <f aca="false">IF(A833="","",IF(B833=0,"NOT FOUND: bank ID",IF(I833=0,"NOT FOUND: GL ID",IF(INDEX(GL!$H:$H,I833)&lt;&gt;A833,"BROKEN: GL points elsewhere",IF(OR(INDEX(Bank!$F:$F,B833)&lt;&gt;"Y",INDEX(GL!$F:$F,I833)&lt;&gt;"Y"),"BROKEN: Status not Y","OK")))))</f>
        <v/>
      </c>
    </row>
    <row r="834" customFormat="false" ht="15" hidden="false" customHeight="false" outlineLevel="0" collapsed="false">
      <c r="A834" s="41"/>
      <c r="B834" s="5" t="n">
        <f aca="false">IF(A834="",0,IFERROR(MATCH(A834,Bank!$A:$A,0),0))</f>
        <v>0</v>
      </c>
      <c r="C834" s="5" t="str">
        <f aca="false">IF(B834=0,"",IF(INDEX(Bank!$G:$G,B834)="","",INDEX(Bank!$G:$G,B834)))</f>
        <v/>
      </c>
      <c r="D834" s="5" t="str">
        <f aca="false">IF(B834=0,"",IF(INDEX(Bank!$J:$J,B834)="","",INDEX(Bank!$J:$J,B834)))</f>
        <v/>
      </c>
      <c r="E834" s="32" t="str">
        <f aca="false">IF(B834=0,"",INDEX(Bank!$B:$B,B834))</f>
        <v/>
      </c>
      <c r="F834" s="5" t="str">
        <f aca="false">IF(B834=0,"",IF(INDEX(Bank!$C:$C,B834)="","",INDEX(Bank!$C:$C,B834)))</f>
        <v/>
      </c>
      <c r="G834" s="19" t="str">
        <f aca="false">IF(B834=0,"",INDEX(Bank!$E:$E,B834))</f>
        <v/>
      </c>
      <c r="H834" s="5" t="str">
        <f aca="false">IF(B834=0,"",IF(INDEX(Bank!$H:$H,B834)="","",INDEX(Bank!$H:$H,B834)))</f>
        <v/>
      </c>
      <c r="I834" s="5" t="n">
        <f aca="false">IF(H834="",0,IFERROR(MATCH(H834,GL!$A:$A,0),0))</f>
        <v>0</v>
      </c>
      <c r="J834" s="32" t="str">
        <f aca="false">IF(I834=0,"",INDEX(GL!$B:$B,I834))</f>
        <v/>
      </c>
      <c r="K834" s="5" t="str">
        <f aca="false">IF(I834=0,"",IF(INDEX(GL!$C:$C,I834)="","",INDEX(GL!$C:$C,I834)))</f>
        <v/>
      </c>
      <c r="L834" s="19" t="str">
        <f aca="false">IF(I834=0,"",INDEX(GL!$E:$E,I834))</f>
        <v/>
      </c>
      <c r="M834" s="19" t="str">
        <f aca="false">IF(OR(B834=0,I834=0),"",ROUND(G834-L834,2))</f>
        <v/>
      </c>
      <c r="N834" s="5" t="str">
        <f aca="false">IF(A834="","",IF(B834=0,"NOT FOUND: bank ID",IF(I834=0,"NOT FOUND: GL ID",IF(INDEX(GL!$H:$H,I834)&lt;&gt;A834,"BROKEN: GL points elsewhere",IF(OR(INDEX(Bank!$F:$F,B834)&lt;&gt;"Y",INDEX(GL!$F:$F,I834)&lt;&gt;"Y"),"BROKEN: Status not Y","OK")))))</f>
        <v/>
      </c>
    </row>
    <row r="835" customFormat="false" ht="15" hidden="false" customHeight="false" outlineLevel="0" collapsed="false">
      <c r="A835" s="41"/>
      <c r="B835" s="5" t="n">
        <f aca="false">IF(A835="",0,IFERROR(MATCH(A835,Bank!$A:$A,0),0))</f>
        <v>0</v>
      </c>
      <c r="C835" s="5" t="str">
        <f aca="false">IF(B835=0,"",IF(INDEX(Bank!$G:$G,B835)="","",INDEX(Bank!$G:$G,B835)))</f>
        <v/>
      </c>
      <c r="D835" s="5" t="str">
        <f aca="false">IF(B835=0,"",IF(INDEX(Bank!$J:$J,B835)="","",INDEX(Bank!$J:$J,B835)))</f>
        <v/>
      </c>
      <c r="E835" s="32" t="str">
        <f aca="false">IF(B835=0,"",INDEX(Bank!$B:$B,B835))</f>
        <v/>
      </c>
      <c r="F835" s="5" t="str">
        <f aca="false">IF(B835=0,"",IF(INDEX(Bank!$C:$C,B835)="","",INDEX(Bank!$C:$C,B835)))</f>
        <v/>
      </c>
      <c r="G835" s="19" t="str">
        <f aca="false">IF(B835=0,"",INDEX(Bank!$E:$E,B835))</f>
        <v/>
      </c>
      <c r="H835" s="5" t="str">
        <f aca="false">IF(B835=0,"",IF(INDEX(Bank!$H:$H,B835)="","",INDEX(Bank!$H:$H,B835)))</f>
        <v/>
      </c>
      <c r="I835" s="5" t="n">
        <f aca="false">IF(H835="",0,IFERROR(MATCH(H835,GL!$A:$A,0),0))</f>
        <v>0</v>
      </c>
      <c r="J835" s="32" t="str">
        <f aca="false">IF(I835=0,"",INDEX(GL!$B:$B,I835))</f>
        <v/>
      </c>
      <c r="K835" s="5" t="str">
        <f aca="false">IF(I835=0,"",IF(INDEX(GL!$C:$C,I835)="","",INDEX(GL!$C:$C,I835)))</f>
        <v/>
      </c>
      <c r="L835" s="19" t="str">
        <f aca="false">IF(I835=0,"",INDEX(GL!$E:$E,I835))</f>
        <v/>
      </c>
      <c r="M835" s="19" t="str">
        <f aca="false">IF(OR(B835=0,I835=0),"",ROUND(G835-L835,2))</f>
        <v/>
      </c>
      <c r="N835" s="5" t="str">
        <f aca="false">IF(A835="","",IF(B835=0,"NOT FOUND: bank ID",IF(I835=0,"NOT FOUND: GL ID",IF(INDEX(GL!$H:$H,I835)&lt;&gt;A835,"BROKEN: GL points elsewhere",IF(OR(INDEX(Bank!$F:$F,B835)&lt;&gt;"Y",INDEX(GL!$F:$F,I835)&lt;&gt;"Y"),"BROKEN: Status not Y","OK")))))</f>
        <v/>
      </c>
    </row>
    <row r="836" customFormat="false" ht="15" hidden="false" customHeight="false" outlineLevel="0" collapsed="false">
      <c r="A836" s="41"/>
      <c r="B836" s="5" t="n">
        <f aca="false">IF(A836="",0,IFERROR(MATCH(A836,Bank!$A:$A,0),0))</f>
        <v>0</v>
      </c>
      <c r="C836" s="5" t="str">
        <f aca="false">IF(B836=0,"",IF(INDEX(Bank!$G:$G,B836)="","",INDEX(Bank!$G:$G,B836)))</f>
        <v/>
      </c>
      <c r="D836" s="5" t="str">
        <f aca="false">IF(B836=0,"",IF(INDEX(Bank!$J:$J,B836)="","",INDEX(Bank!$J:$J,B836)))</f>
        <v/>
      </c>
      <c r="E836" s="32" t="str">
        <f aca="false">IF(B836=0,"",INDEX(Bank!$B:$B,B836))</f>
        <v/>
      </c>
      <c r="F836" s="5" t="str">
        <f aca="false">IF(B836=0,"",IF(INDEX(Bank!$C:$C,B836)="","",INDEX(Bank!$C:$C,B836)))</f>
        <v/>
      </c>
      <c r="G836" s="19" t="str">
        <f aca="false">IF(B836=0,"",INDEX(Bank!$E:$E,B836))</f>
        <v/>
      </c>
      <c r="H836" s="5" t="str">
        <f aca="false">IF(B836=0,"",IF(INDEX(Bank!$H:$H,B836)="","",INDEX(Bank!$H:$H,B836)))</f>
        <v/>
      </c>
      <c r="I836" s="5" t="n">
        <f aca="false">IF(H836="",0,IFERROR(MATCH(H836,GL!$A:$A,0),0))</f>
        <v>0</v>
      </c>
      <c r="J836" s="32" t="str">
        <f aca="false">IF(I836=0,"",INDEX(GL!$B:$B,I836))</f>
        <v/>
      </c>
      <c r="K836" s="5" t="str">
        <f aca="false">IF(I836=0,"",IF(INDEX(GL!$C:$C,I836)="","",INDEX(GL!$C:$C,I836)))</f>
        <v/>
      </c>
      <c r="L836" s="19" t="str">
        <f aca="false">IF(I836=0,"",INDEX(GL!$E:$E,I836))</f>
        <v/>
      </c>
      <c r="M836" s="19" t="str">
        <f aca="false">IF(OR(B836=0,I836=0),"",ROUND(G836-L836,2))</f>
        <v/>
      </c>
      <c r="N836" s="5" t="str">
        <f aca="false">IF(A836="","",IF(B836=0,"NOT FOUND: bank ID",IF(I836=0,"NOT FOUND: GL ID",IF(INDEX(GL!$H:$H,I836)&lt;&gt;A836,"BROKEN: GL points elsewhere",IF(OR(INDEX(Bank!$F:$F,B836)&lt;&gt;"Y",INDEX(GL!$F:$F,I836)&lt;&gt;"Y"),"BROKEN: Status not Y","OK")))))</f>
        <v/>
      </c>
    </row>
    <row r="837" customFormat="false" ht="15" hidden="false" customHeight="false" outlineLevel="0" collapsed="false">
      <c r="A837" s="41"/>
      <c r="B837" s="5" t="n">
        <f aca="false">IF(A837="",0,IFERROR(MATCH(A837,Bank!$A:$A,0),0))</f>
        <v>0</v>
      </c>
      <c r="C837" s="5" t="str">
        <f aca="false">IF(B837=0,"",IF(INDEX(Bank!$G:$G,B837)="","",INDEX(Bank!$G:$G,B837)))</f>
        <v/>
      </c>
      <c r="D837" s="5" t="str">
        <f aca="false">IF(B837=0,"",IF(INDEX(Bank!$J:$J,B837)="","",INDEX(Bank!$J:$J,B837)))</f>
        <v/>
      </c>
      <c r="E837" s="32" t="str">
        <f aca="false">IF(B837=0,"",INDEX(Bank!$B:$B,B837))</f>
        <v/>
      </c>
      <c r="F837" s="5" t="str">
        <f aca="false">IF(B837=0,"",IF(INDEX(Bank!$C:$C,B837)="","",INDEX(Bank!$C:$C,B837)))</f>
        <v/>
      </c>
      <c r="G837" s="19" t="str">
        <f aca="false">IF(B837=0,"",INDEX(Bank!$E:$E,B837))</f>
        <v/>
      </c>
      <c r="H837" s="5" t="str">
        <f aca="false">IF(B837=0,"",IF(INDEX(Bank!$H:$H,B837)="","",INDEX(Bank!$H:$H,B837)))</f>
        <v/>
      </c>
      <c r="I837" s="5" t="n">
        <f aca="false">IF(H837="",0,IFERROR(MATCH(H837,GL!$A:$A,0),0))</f>
        <v>0</v>
      </c>
      <c r="J837" s="32" t="str">
        <f aca="false">IF(I837=0,"",INDEX(GL!$B:$B,I837))</f>
        <v/>
      </c>
      <c r="K837" s="5" t="str">
        <f aca="false">IF(I837=0,"",IF(INDEX(GL!$C:$C,I837)="","",INDEX(GL!$C:$C,I837)))</f>
        <v/>
      </c>
      <c r="L837" s="19" t="str">
        <f aca="false">IF(I837=0,"",INDEX(GL!$E:$E,I837))</f>
        <v/>
      </c>
      <c r="M837" s="19" t="str">
        <f aca="false">IF(OR(B837=0,I837=0),"",ROUND(G837-L837,2))</f>
        <v/>
      </c>
      <c r="N837" s="5" t="str">
        <f aca="false">IF(A837="","",IF(B837=0,"NOT FOUND: bank ID",IF(I837=0,"NOT FOUND: GL ID",IF(INDEX(GL!$H:$H,I837)&lt;&gt;A837,"BROKEN: GL points elsewhere",IF(OR(INDEX(Bank!$F:$F,B837)&lt;&gt;"Y",INDEX(GL!$F:$F,I837)&lt;&gt;"Y"),"BROKEN: Status not Y","OK")))))</f>
        <v/>
      </c>
    </row>
    <row r="838" customFormat="false" ht="15" hidden="false" customHeight="false" outlineLevel="0" collapsed="false">
      <c r="A838" s="41"/>
      <c r="B838" s="5" t="n">
        <f aca="false">IF(A838="",0,IFERROR(MATCH(A838,Bank!$A:$A,0),0))</f>
        <v>0</v>
      </c>
      <c r="C838" s="5" t="str">
        <f aca="false">IF(B838=0,"",IF(INDEX(Bank!$G:$G,B838)="","",INDEX(Bank!$G:$G,B838)))</f>
        <v/>
      </c>
      <c r="D838" s="5" t="str">
        <f aca="false">IF(B838=0,"",IF(INDEX(Bank!$J:$J,B838)="","",INDEX(Bank!$J:$J,B838)))</f>
        <v/>
      </c>
      <c r="E838" s="32" t="str">
        <f aca="false">IF(B838=0,"",INDEX(Bank!$B:$B,B838))</f>
        <v/>
      </c>
      <c r="F838" s="5" t="str">
        <f aca="false">IF(B838=0,"",IF(INDEX(Bank!$C:$C,B838)="","",INDEX(Bank!$C:$C,B838)))</f>
        <v/>
      </c>
      <c r="G838" s="19" t="str">
        <f aca="false">IF(B838=0,"",INDEX(Bank!$E:$E,B838))</f>
        <v/>
      </c>
      <c r="H838" s="5" t="str">
        <f aca="false">IF(B838=0,"",IF(INDEX(Bank!$H:$H,B838)="","",INDEX(Bank!$H:$H,B838)))</f>
        <v/>
      </c>
      <c r="I838" s="5" t="n">
        <f aca="false">IF(H838="",0,IFERROR(MATCH(H838,GL!$A:$A,0),0))</f>
        <v>0</v>
      </c>
      <c r="J838" s="32" t="str">
        <f aca="false">IF(I838=0,"",INDEX(GL!$B:$B,I838))</f>
        <v/>
      </c>
      <c r="K838" s="5" t="str">
        <f aca="false">IF(I838=0,"",IF(INDEX(GL!$C:$C,I838)="","",INDEX(GL!$C:$C,I838)))</f>
        <v/>
      </c>
      <c r="L838" s="19" t="str">
        <f aca="false">IF(I838=0,"",INDEX(GL!$E:$E,I838))</f>
        <v/>
      </c>
      <c r="M838" s="19" t="str">
        <f aca="false">IF(OR(B838=0,I838=0),"",ROUND(G838-L838,2))</f>
        <v/>
      </c>
      <c r="N838" s="5" t="str">
        <f aca="false">IF(A838="","",IF(B838=0,"NOT FOUND: bank ID",IF(I838=0,"NOT FOUND: GL ID",IF(INDEX(GL!$H:$H,I838)&lt;&gt;A838,"BROKEN: GL points elsewhere",IF(OR(INDEX(Bank!$F:$F,B838)&lt;&gt;"Y",INDEX(GL!$F:$F,I838)&lt;&gt;"Y"),"BROKEN: Status not Y","OK")))))</f>
        <v/>
      </c>
    </row>
    <row r="839" customFormat="false" ht="15" hidden="false" customHeight="false" outlineLevel="0" collapsed="false">
      <c r="A839" s="41"/>
      <c r="B839" s="5" t="n">
        <f aca="false">IF(A839="",0,IFERROR(MATCH(A839,Bank!$A:$A,0),0))</f>
        <v>0</v>
      </c>
      <c r="C839" s="5" t="str">
        <f aca="false">IF(B839=0,"",IF(INDEX(Bank!$G:$G,B839)="","",INDEX(Bank!$G:$G,B839)))</f>
        <v/>
      </c>
      <c r="D839" s="5" t="str">
        <f aca="false">IF(B839=0,"",IF(INDEX(Bank!$J:$J,B839)="","",INDEX(Bank!$J:$J,B839)))</f>
        <v/>
      </c>
      <c r="E839" s="32" t="str">
        <f aca="false">IF(B839=0,"",INDEX(Bank!$B:$B,B839))</f>
        <v/>
      </c>
      <c r="F839" s="5" t="str">
        <f aca="false">IF(B839=0,"",IF(INDEX(Bank!$C:$C,B839)="","",INDEX(Bank!$C:$C,B839)))</f>
        <v/>
      </c>
      <c r="G839" s="19" t="str">
        <f aca="false">IF(B839=0,"",INDEX(Bank!$E:$E,B839))</f>
        <v/>
      </c>
      <c r="H839" s="5" t="str">
        <f aca="false">IF(B839=0,"",IF(INDEX(Bank!$H:$H,B839)="","",INDEX(Bank!$H:$H,B839)))</f>
        <v/>
      </c>
      <c r="I839" s="5" t="n">
        <f aca="false">IF(H839="",0,IFERROR(MATCH(H839,GL!$A:$A,0),0))</f>
        <v>0</v>
      </c>
      <c r="J839" s="32" t="str">
        <f aca="false">IF(I839=0,"",INDEX(GL!$B:$B,I839))</f>
        <v/>
      </c>
      <c r="K839" s="5" t="str">
        <f aca="false">IF(I839=0,"",IF(INDEX(GL!$C:$C,I839)="","",INDEX(GL!$C:$C,I839)))</f>
        <v/>
      </c>
      <c r="L839" s="19" t="str">
        <f aca="false">IF(I839=0,"",INDEX(GL!$E:$E,I839))</f>
        <v/>
      </c>
      <c r="M839" s="19" t="str">
        <f aca="false">IF(OR(B839=0,I839=0),"",ROUND(G839-L839,2))</f>
        <v/>
      </c>
      <c r="N839" s="5" t="str">
        <f aca="false">IF(A839="","",IF(B839=0,"NOT FOUND: bank ID",IF(I839=0,"NOT FOUND: GL ID",IF(INDEX(GL!$H:$H,I839)&lt;&gt;A839,"BROKEN: GL points elsewhere",IF(OR(INDEX(Bank!$F:$F,B839)&lt;&gt;"Y",INDEX(GL!$F:$F,I839)&lt;&gt;"Y"),"BROKEN: Status not Y","OK")))))</f>
        <v/>
      </c>
    </row>
    <row r="840" customFormat="false" ht="15" hidden="false" customHeight="false" outlineLevel="0" collapsed="false">
      <c r="A840" s="41"/>
      <c r="B840" s="5" t="n">
        <f aca="false">IF(A840="",0,IFERROR(MATCH(A840,Bank!$A:$A,0),0))</f>
        <v>0</v>
      </c>
      <c r="C840" s="5" t="str">
        <f aca="false">IF(B840=0,"",IF(INDEX(Bank!$G:$G,B840)="","",INDEX(Bank!$G:$G,B840)))</f>
        <v/>
      </c>
      <c r="D840" s="5" t="str">
        <f aca="false">IF(B840=0,"",IF(INDEX(Bank!$J:$J,B840)="","",INDEX(Bank!$J:$J,B840)))</f>
        <v/>
      </c>
      <c r="E840" s="32" t="str">
        <f aca="false">IF(B840=0,"",INDEX(Bank!$B:$B,B840))</f>
        <v/>
      </c>
      <c r="F840" s="5" t="str">
        <f aca="false">IF(B840=0,"",IF(INDEX(Bank!$C:$C,B840)="","",INDEX(Bank!$C:$C,B840)))</f>
        <v/>
      </c>
      <c r="G840" s="19" t="str">
        <f aca="false">IF(B840=0,"",INDEX(Bank!$E:$E,B840))</f>
        <v/>
      </c>
      <c r="H840" s="5" t="str">
        <f aca="false">IF(B840=0,"",IF(INDEX(Bank!$H:$H,B840)="","",INDEX(Bank!$H:$H,B840)))</f>
        <v/>
      </c>
      <c r="I840" s="5" t="n">
        <f aca="false">IF(H840="",0,IFERROR(MATCH(H840,GL!$A:$A,0),0))</f>
        <v>0</v>
      </c>
      <c r="J840" s="32" t="str">
        <f aca="false">IF(I840=0,"",INDEX(GL!$B:$B,I840))</f>
        <v/>
      </c>
      <c r="K840" s="5" t="str">
        <f aca="false">IF(I840=0,"",IF(INDEX(GL!$C:$C,I840)="","",INDEX(GL!$C:$C,I840)))</f>
        <v/>
      </c>
      <c r="L840" s="19" t="str">
        <f aca="false">IF(I840=0,"",INDEX(GL!$E:$E,I840))</f>
        <v/>
      </c>
      <c r="M840" s="19" t="str">
        <f aca="false">IF(OR(B840=0,I840=0),"",ROUND(G840-L840,2))</f>
        <v/>
      </c>
      <c r="N840" s="5" t="str">
        <f aca="false">IF(A840="","",IF(B840=0,"NOT FOUND: bank ID",IF(I840=0,"NOT FOUND: GL ID",IF(INDEX(GL!$H:$H,I840)&lt;&gt;A840,"BROKEN: GL points elsewhere",IF(OR(INDEX(Bank!$F:$F,B840)&lt;&gt;"Y",INDEX(GL!$F:$F,I840)&lt;&gt;"Y"),"BROKEN: Status not Y","OK")))))</f>
        <v/>
      </c>
    </row>
    <row r="841" customFormat="false" ht="15" hidden="false" customHeight="false" outlineLevel="0" collapsed="false">
      <c r="A841" s="41"/>
      <c r="B841" s="5" t="n">
        <f aca="false">IF(A841="",0,IFERROR(MATCH(A841,Bank!$A:$A,0),0))</f>
        <v>0</v>
      </c>
      <c r="C841" s="5" t="str">
        <f aca="false">IF(B841=0,"",IF(INDEX(Bank!$G:$G,B841)="","",INDEX(Bank!$G:$G,B841)))</f>
        <v/>
      </c>
      <c r="D841" s="5" t="str">
        <f aca="false">IF(B841=0,"",IF(INDEX(Bank!$J:$J,B841)="","",INDEX(Bank!$J:$J,B841)))</f>
        <v/>
      </c>
      <c r="E841" s="32" t="str">
        <f aca="false">IF(B841=0,"",INDEX(Bank!$B:$B,B841))</f>
        <v/>
      </c>
      <c r="F841" s="5" t="str">
        <f aca="false">IF(B841=0,"",IF(INDEX(Bank!$C:$C,B841)="","",INDEX(Bank!$C:$C,B841)))</f>
        <v/>
      </c>
      <c r="G841" s="19" t="str">
        <f aca="false">IF(B841=0,"",INDEX(Bank!$E:$E,B841))</f>
        <v/>
      </c>
      <c r="H841" s="5" t="str">
        <f aca="false">IF(B841=0,"",IF(INDEX(Bank!$H:$H,B841)="","",INDEX(Bank!$H:$H,B841)))</f>
        <v/>
      </c>
      <c r="I841" s="5" t="n">
        <f aca="false">IF(H841="",0,IFERROR(MATCH(H841,GL!$A:$A,0),0))</f>
        <v>0</v>
      </c>
      <c r="J841" s="32" t="str">
        <f aca="false">IF(I841=0,"",INDEX(GL!$B:$B,I841))</f>
        <v/>
      </c>
      <c r="K841" s="5" t="str">
        <f aca="false">IF(I841=0,"",IF(INDEX(GL!$C:$C,I841)="","",INDEX(GL!$C:$C,I841)))</f>
        <v/>
      </c>
      <c r="L841" s="19" t="str">
        <f aca="false">IF(I841=0,"",INDEX(GL!$E:$E,I841))</f>
        <v/>
      </c>
      <c r="M841" s="19" t="str">
        <f aca="false">IF(OR(B841=0,I841=0),"",ROUND(G841-L841,2))</f>
        <v/>
      </c>
      <c r="N841" s="5" t="str">
        <f aca="false">IF(A841="","",IF(B841=0,"NOT FOUND: bank ID",IF(I841=0,"NOT FOUND: GL ID",IF(INDEX(GL!$H:$H,I841)&lt;&gt;A841,"BROKEN: GL points elsewhere",IF(OR(INDEX(Bank!$F:$F,B841)&lt;&gt;"Y",INDEX(GL!$F:$F,I841)&lt;&gt;"Y"),"BROKEN: Status not Y","OK")))))</f>
        <v/>
      </c>
    </row>
    <row r="842" customFormat="false" ht="15" hidden="false" customHeight="false" outlineLevel="0" collapsed="false">
      <c r="A842" s="41"/>
      <c r="B842" s="5" t="n">
        <f aca="false">IF(A842="",0,IFERROR(MATCH(A842,Bank!$A:$A,0),0))</f>
        <v>0</v>
      </c>
      <c r="C842" s="5" t="str">
        <f aca="false">IF(B842=0,"",IF(INDEX(Bank!$G:$G,B842)="","",INDEX(Bank!$G:$G,B842)))</f>
        <v/>
      </c>
      <c r="D842" s="5" t="str">
        <f aca="false">IF(B842=0,"",IF(INDEX(Bank!$J:$J,B842)="","",INDEX(Bank!$J:$J,B842)))</f>
        <v/>
      </c>
      <c r="E842" s="32" t="str">
        <f aca="false">IF(B842=0,"",INDEX(Bank!$B:$B,B842))</f>
        <v/>
      </c>
      <c r="F842" s="5" t="str">
        <f aca="false">IF(B842=0,"",IF(INDEX(Bank!$C:$C,B842)="","",INDEX(Bank!$C:$C,B842)))</f>
        <v/>
      </c>
      <c r="G842" s="19" t="str">
        <f aca="false">IF(B842=0,"",INDEX(Bank!$E:$E,B842))</f>
        <v/>
      </c>
      <c r="H842" s="5" t="str">
        <f aca="false">IF(B842=0,"",IF(INDEX(Bank!$H:$H,B842)="","",INDEX(Bank!$H:$H,B842)))</f>
        <v/>
      </c>
      <c r="I842" s="5" t="n">
        <f aca="false">IF(H842="",0,IFERROR(MATCH(H842,GL!$A:$A,0),0))</f>
        <v>0</v>
      </c>
      <c r="J842" s="32" t="str">
        <f aca="false">IF(I842=0,"",INDEX(GL!$B:$B,I842))</f>
        <v/>
      </c>
      <c r="K842" s="5" t="str">
        <f aca="false">IF(I842=0,"",IF(INDEX(GL!$C:$C,I842)="","",INDEX(GL!$C:$C,I842)))</f>
        <v/>
      </c>
      <c r="L842" s="19" t="str">
        <f aca="false">IF(I842=0,"",INDEX(GL!$E:$E,I842))</f>
        <v/>
      </c>
      <c r="M842" s="19" t="str">
        <f aca="false">IF(OR(B842=0,I842=0),"",ROUND(G842-L842,2))</f>
        <v/>
      </c>
      <c r="N842" s="5" t="str">
        <f aca="false">IF(A842="","",IF(B842=0,"NOT FOUND: bank ID",IF(I842=0,"NOT FOUND: GL ID",IF(INDEX(GL!$H:$H,I842)&lt;&gt;A842,"BROKEN: GL points elsewhere",IF(OR(INDEX(Bank!$F:$F,B842)&lt;&gt;"Y",INDEX(GL!$F:$F,I842)&lt;&gt;"Y"),"BROKEN: Status not Y","OK")))))</f>
        <v/>
      </c>
    </row>
    <row r="843" customFormat="false" ht="15" hidden="false" customHeight="false" outlineLevel="0" collapsed="false">
      <c r="A843" s="41"/>
      <c r="B843" s="5" t="n">
        <f aca="false">IF(A843="",0,IFERROR(MATCH(A843,Bank!$A:$A,0),0))</f>
        <v>0</v>
      </c>
      <c r="C843" s="5" t="str">
        <f aca="false">IF(B843=0,"",IF(INDEX(Bank!$G:$G,B843)="","",INDEX(Bank!$G:$G,B843)))</f>
        <v/>
      </c>
      <c r="D843" s="5" t="str">
        <f aca="false">IF(B843=0,"",IF(INDEX(Bank!$J:$J,B843)="","",INDEX(Bank!$J:$J,B843)))</f>
        <v/>
      </c>
      <c r="E843" s="32" t="str">
        <f aca="false">IF(B843=0,"",INDEX(Bank!$B:$B,B843))</f>
        <v/>
      </c>
      <c r="F843" s="5" t="str">
        <f aca="false">IF(B843=0,"",IF(INDEX(Bank!$C:$C,B843)="","",INDEX(Bank!$C:$C,B843)))</f>
        <v/>
      </c>
      <c r="G843" s="19" t="str">
        <f aca="false">IF(B843=0,"",INDEX(Bank!$E:$E,B843))</f>
        <v/>
      </c>
      <c r="H843" s="5" t="str">
        <f aca="false">IF(B843=0,"",IF(INDEX(Bank!$H:$H,B843)="","",INDEX(Bank!$H:$H,B843)))</f>
        <v/>
      </c>
      <c r="I843" s="5" t="n">
        <f aca="false">IF(H843="",0,IFERROR(MATCH(H843,GL!$A:$A,0),0))</f>
        <v>0</v>
      </c>
      <c r="J843" s="32" t="str">
        <f aca="false">IF(I843=0,"",INDEX(GL!$B:$B,I843))</f>
        <v/>
      </c>
      <c r="K843" s="5" t="str">
        <f aca="false">IF(I843=0,"",IF(INDEX(GL!$C:$C,I843)="","",INDEX(GL!$C:$C,I843)))</f>
        <v/>
      </c>
      <c r="L843" s="19" t="str">
        <f aca="false">IF(I843=0,"",INDEX(GL!$E:$E,I843))</f>
        <v/>
      </c>
      <c r="M843" s="19" t="str">
        <f aca="false">IF(OR(B843=0,I843=0),"",ROUND(G843-L843,2))</f>
        <v/>
      </c>
      <c r="N843" s="5" t="str">
        <f aca="false">IF(A843="","",IF(B843=0,"NOT FOUND: bank ID",IF(I843=0,"NOT FOUND: GL ID",IF(INDEX(GL!$H:$H,I843)&lt;&gt;A843,"BROKEN: GL points elsewhere",IF(OR(INDEX(Bank!$F:$F,B843)&lt;&gt;"Y",INDEX(GL!$F:$F,I843)&lt;&gt;"Y"),"BROKEN: Status not Y","OK")))))</f>
        <v/>
      </c>
    </row>
    <row r="844" customFormat="false" ht="15" hidden="false" customHeight="false" outlineLevel="0" collapsed="false">
      <c r="A844" s="41"/>
      <c r="B844" s="5" t="n">
        <f aca="false">IF(A844="",0,IFERROR(MATCH(A844,Bank!$A:$A,0),0))</f>
        <v>0</v>
      </c>
      <c r="C844" s="5" t="str">
        <f aca="false">IF(B844=0,"",IF(INDEX(Bank!$G:$G,B844)="","",INDEX(Bank!$G:$G,B844)))</f>
        <v/>
      </c>
      <c r="D844" s="5" t="str">
        <f aca="false">IF(B844=0,"",IF(INDEX(Bank!$J:$J,B844)="","",INDEX(Bank!$J:$J,B844)))</f>
        <v/>
      </c>
      <c r="E844" s="32" t="str">
        <f aca="false">IF(B844=0,"",INDEX(Bank!$B:$B,B844))</f>
        <v/>
      </c>
      <c r="F844" s="5" t="str">
        <f aca="false">IF(B844=0,"",IF(INDEX(Bank!$C:$C,B844)="","",INDEX(Bank!$C:$C,B844)))</f>
        <v/>
      </c>
      <c r="G844" s="19" t="str">
        <f aca="false">IF(B844=0,"",INDEX(Bank!$E:$E,B844))</f>
        <v/>
      </c>
      <c r="H844" s="5" t="str">
        <f aca="false">IF(B844=0,"",IF(INDEX(Bank!$H:$H,B844)="","",INDEX(Bank!$H:$H,B844)))</f>
        <v/>
      </c>
      <c r="I844" s="5" t="n">
        <f aca="false">IF(H844="",0,IFERROR(MATCH(H844,GL!$A:$A,0),0))</f>
        <v>0</v>
      </c>
      <c r="J844" s="32" t="str">
        <f aca="false">IF(I844=0,"",INDEX(GL!$B:$B,I844))</f>
        <v/>
      </c>
      <c r="K844" s="5" t="str">
        <f aca="false">IF(I844=0,"",IF(INDEX(GL!$C:$C,I844)="","",INDEX(GL!$C:$C,I844)))</f>
        <v/>
      </c>
      <c r="L844" s="19" t="str">
        <f aca="false">IF(I844=0,"",INDEX(GL!$E:$E,I844))</f>
        <v/>
      </c>
      <c r="M844" s="19" t="str">
        <f aca="false">IF(OR(B844=0,I844=0),"",ROUND(G844-L844,2))</f>
        <v/>
      </c>
      <c r="N844" s="5" t="str">
        <f aca="false">IF(A844="","",IF(B844=0,"NOT FOUND: bank ID",IF(I844=0,"NOT FOUND: GL ID",IF(INDEX(GL!$H:$H,I844)&lt;&gt;A844,"BROKEN: GL points elsewhere",IF(OR(INDEX(Bank!$F:$F,B844)&lt;&gt;"Y",INDEX(GL!$F:$F,I844)&lt;&gt;"Y"),"BROKEN: Status not Y","OK")))))</f>
        <v/>
      </c>
    </row>
    <row r="845" customFormat="false" ht="15" hidden="false" customHeight="false" outlineLevel="0" collapsed="false">
      <c r="A845" s="41"/>
      <c r="B845" s="5" t="n">
        <f aca="false">IF(A845="",0,IFERROR(MATCH(A845,Bank!$A:$A,0),0))</f>
        <v>0</v>
      </c>
      <c r="C845" s="5" t="str">
        <f aca="false">IF(B845=0,"",IF(INDEX(Bank!$G:$G,B845)="","",INDEX(Bank!$G:$G,B845)))</f>
        <v/>
      </c>
      <c r="D845" s="5" t="str">
        <f aca="false">IF(B845=0,"",IF(INDEX(Bank!$J:$J,B845)="","",INDEX(Bank!$J:$J,B845)))</f>
        <v/>
      </c>
      <c r="E845" s="32" t="str">
        <f aca="false">IF(B845=0,"",INDEX(Bank!$B:$B,B845))</f>
        <v/>
      </c>
      <c r="F845" s="5" t="str">
        <f aca="false">IF(B845=0,"",IF(INDEX(Bank!$C:$C,B845)="","",INDEX(Bank!$C:$C,B845)))</f>
        <v/>
      </c>
      <c r="G845" s="19" t="str">
        <f aca="false">IF(B845=0,"",INDEX(Bank!$E:$E,B845))</f>
        <v/>
      </c>
      <c r="H845" s="5" t="str">
        <f aca="false">IF(B845=0,"",IF(INDEX(Bank!$H:$H,B845)="","",INDEX(Bank!$H:$H,B845)))</f>
        <v/>
      </c>
      <c r="I845" s="5" t="n">
        <f aca="false">IF(H845="",0,IFERROR(MATCH(H845,GL!$A:$A,0),0))</f>
        <v>0</v>
      </c>
      <c r="J845" s="32" t="str">
        <f aca="false">IF(I845=0,"",INDEX(GL!$B:$B,I845))</f>
        <v/>
      </c>
      <c r="K845" s="5" t="str">
        <f aca="false">IF(I845=0,"",IF(INDEX(GL!$C:$C,I845)="","",INDEX(GL!$C:$C,I845)))</f>
        <v/>
      </c>
      <c r="L845" s="19" t="str">
        <f aca="false">IF(I845=0,"",INDEX(GL!$E:$E,I845))</f>
        <v/>
      </c>
      <c r="M845" s="19" t="str">
        <f aca="false">IF(OR(B845=0,I845=0),"",ROUND(G845-L845,2))</f>
        <v/>
      </c>
      <c r="N845" s="5" t="str">
        <f aca="false">IF(A845="","",IF(B845=0,"NOT FOUND: bank ID",IF(I845=0,"NOT FOUND: GL ID",IF(INDEX(GL!$H:$H,I845)&lt;&gt;A845,"BROKEN: GL points elsewhere",IF(OR(INDEX(Bank!$F:$F,B845)&lt;&gt;"Y",INDEX(GL!$F:$F,I845)&lt;&gt;"Y"),"BROKEN: Status not Y","OK")))))</f>
        <v/>
      </c>
    </row>
    <row r="846" customFormat="false" ht="15" hidden="false" customHeight="false" outlineLevel="0" collapsed="false">
      <c r="A846" s="41"/>
      <c r="B846" s="5" t="n">
        <f aca="false">IF(A846="",0,IFERROR(MATCH(A846,Bank!$A:$A,0),0))</f>
        <v>0</v>
      </c>
      <c r="C846" s="5" t="str">
        <f aca="false">IF(B846=0,"",IF(INDEX(Bank!$G:$G,B846)="","",INDEX(Bank!$G:$G,B846)))</f>
        <v/>
      </c>
      <c r="D846" s="5" t="str">
        <f aca="false">IF(B846=0,"",IF(INDEX(Bank!$J:$J,B846)="","",INDEX(Bank!$J:$J,B846)))</f>
        <v/>
      </c>
      <c r="E846" s="32" t="str">
        <f aca="false">IF(B846=0,"",INDEX(Bank!$B:$B,B846))</f>
        <v/>
      </c>
      <c r="F846" s="5" t="str">
        <f aca="false">IF(B846=0,"",IF(INDEX(Bank!$C:$C,B846)="","",INDEX(Bank!$C:$C,B846)))</f>
        <v/>
      </c>
      <c r="G846" s="19" t="str">
        <f aca="false">IF(B846=0,"",INDEX(Bank!$E:$E,B846))</f>
        <v/>
      </c>
      <c r="H846" s="5" t="str">
        <f aca="false">IF(B846=0,"",IF(INDEX(Bank!$H:$H,B846)="","",INDEX(Bank!$H:$H,B846)))</f>
        <v/>
      </c>
      <c r="I846" s="5" t="n">
        <f aca="false">IF(H846="",0,IFERROR(MATCH(H846,GL!$A:$A,0),0))</f>
        <v>0</v>
      </c>
      <c r="J846" s="32" t="str">
        <f aca="false">IF(I846=0,"",INDEX(GL!$B:$B,I846))</f>
        <v/>
      </c>
      <c r="K846" s="5" t="str">
        <f aca="false">IF(I846=0,"",IF(INDEX(GL!$C:$C,I846)="","",INDEX(GL!$C:$C,I846)))</f>
        <v/>
      </c>
      <c r="L846" s="19" t="str">
        <f aca="false">IF(I846=0,"",INDEX(GL!$E:$E,I846))</f>
        <v/>
      </c>
      <c r="M846" s="19" t="str">
        <f aca="false">IF(OR(B846=0,I846=0),"",ROUND(G846-L846,2))</f>
        <v/>
      </c>
      <c r="N846" s="5" t="str">
        <f aca="false">IF(A846="","",IF(B846=0,"NOT FOUND: bank ID",IF(I846=0,"NOT FOUND: GL ID",IF(INDEX(GL!$H:$H,I846)&lt;&gt;A846,"BROKEN: GL points elsewhere",IF(OR(INDEX(Bank!$F:$F,B846)&lt;&gt;"Y",INDEX(GL!$F:$F,I846)&lt;&gt;"Y"),"BROKEN: Status not Y","OK")))))</f>
        <v/>
      </c>
    </row>
    <row r="847" customFormat="false" ht="15" hidden="false" customHeight="false" outlineLevel="0" collapsed="false">
      <c r="A847" s="41"/>
      <c r="B847" s="5" t="n">
        <f aca="false">IF(A847="",0,IFERROR(MATCH(A847,Bank!$A:$A,0),0))</f>
        <v>0</v>
      </c>
      <c r="C847" s="5" t="str">
        <f aca="false">IF(B847=0,"",IF(INDEX(Bank!$G:$G,B847)="","",INDEX(Bank!$G:$G,B847)))</f>
        <v/>
      </c>
      <c r="D847" s="5" t="str">
        <f aca="false">IF(B847=0,"",IF(INDEX(Bank!$J:$J,B847)="","",INDEX(Bank!$J:$J,B847)))</f>
        <v/>
      </c>
      <c r="E847" s="32" t="str">
        <f aca="false">IF(B847=0,"",INDEX(Bank!$B:$B,B847))</f>
        <v/>
      </c>
      <c r="F847" s="5" t="str">
        <f aca="false">IF(B847=0,"",IF(INDEX(Bank!$C:$C,B847)="","",INDEX(Bank!$C:$C,B847)))</f>
        <v/>
      </c>
      <c r="G847" s="19" t="str">
        <f aca="false">IF(B847=0,"",INDEX(Bank!$E:$E,B847))</f>
        <v/>
      </c>
      <c r="H847" s="5" t="str">
        <f aca="false">IF(B847=0,"",IF(INDEX(Bank!$H:$H,B847)="","",INDEX(Bank!$H:$H,B847)))</f>
        <v/>
      </c>
      <c r="I847" s="5" t="n">
        <f aca="false">IF(H847="",0,IFERROR(MATCH(H847,GL!$A:$A,0),0))</f>
        <v>0</v>
      </c>
      <c r="J847" s="32" t="str">
        <f aca="false">IF(I847=0,"",INDEX(GL!$B:$B,I847))</f>
        <v/>
      </c>
      <c r="K847" s="5" t="str">
        <f aca="false">IF(I847=0,"",IF(INDEX(GL!$C:$C,I847)="","",INDEX(GL!$C:$C,I847)))</f>
        <v/>
      </c>
      <c r="L847" s="19" t="str">
        <f aca="false">IF(I847=0,"",INDEX(GL!$E:$E,I847))</f>
        <v/>
      </c>
      <c r="M847" s="19" t="str">
        <f aca="false">IF(OR(B847=0,I847=0),"",ROUND(G847-L847,2))</f>
        <v/>
      </c>
      <c r="N847" s="5" t="str">
        <f aca="false">IF(A847="","",IF(B847=0,"NOT FOUND: bank ID",IF(I847=0,"NOT FOUND: GL ID",IF(INDEX(GL!$H:$H,I847)&lt;&gt;A847,"BROKEN: GL points elsewhere",IF(OR(INDEX(Bank!$F:$F,B847)&lt;&gt;"Y",INDEX(GL!$F:$F,I847)&lt;&gt;"Y"),"BROKEN: Status not Y","OK")))))</f>
        <v/>
      </c>
    </row>
    <row r="848" customFormat="false" ht="15" hidden="false" customHeight="false" outlineLevel="0" collapsed="false">
      <c r="A848" s="41"/>
      <c r="B848" s="5" t="n">
        <f aca="false">IF(A848="",0,IFERROR(MATCH(A848,Bank!$A:$A,0),0))</f>
        <v>0</v>
      </c>
      <c r="C848" s="5" t="str">
        <f aca="false">IF(B848=0,"",IF(INDEX(Bank!$G:$G,B848)="","",INDEX(Bank!$G:$G,B848)))</f>
        <v/>
      </c>
      <c r="D848" s="5" t="str">
        <f aca="false">IF(B848=0,"",IF(INDEX(Bank!$J:$J,B848)="","",INDEX(Bank!$J:$J,B848)))</f>
        <v/>
      </c>
      <c r="E848" s="32" t="str">
        <f aca="false">IF(B848=0,"",INDEX(Bank!$B:$B,B848))</f>
        <v/>
      </c>
      <c r="F848" s="5" t="str">
        <f aca="false">IF(B848=0,"",IF(INDEX(Bank!$C:$C,B848)="","",INDEX(Bank!$C:$C,B848)))</f>
        <v/>
      </c>
      <c r="G848" s="19" t="str">
        <f aca="false">IF(B848=0,"",INDEX(Bank!$E:$E,B848))</f>
        <v/>
      </c>
      <c r="H848" s="5" t="str">
        <f aca="false">IF(B848=0,"",IF(INDEX(Bank!$H:$H,B848)="","",INDEX(Bank!$H:$H,B848)))</f>
        <v/>
      </c>
      <c r="I848" s="5" t="n">
        <f aca="false">IF(H848="",0,IFERROR(MATCH(H848,GL!$A:$A,0),0))</f>
        <v>0</v>
      </c>
      <c r="J848" s="32" t="str">
        <f aca="false">IF(I848=0,"",INDEX(GL!$B:$B,I848))</f>
        <v/>
      </c>
      <c r="K848" s="5" t="str">
        <f aca="false">IF(I848=0,"",IF(INDEX(GL!$C:$C,I848)="","",INDEX(GL!$C:$C,I848)))</f>
        <v/>
      </c>
      <c r="L848" s="19" t="str">
        <f aca="false">IF(I848=0,"",INDEX(GL!$E:$E,I848))</f>
        <v/>
      </c>
      <c r="M848" s="19" t="str">
        <f aca="false">IF(OR(B848=0,I848=0),"",ROUND(G848-L848,2))</f>
        <v/>
      </c>
      <c r="N848" s="5" t="str">
        <f aca="false">IF(A848="","",IF(B848=0,"NOT FOUND: bank ID",IF(I848=0,"NOT FOUND: GL ID",IF(INDEX(GL!$H:$H,I848)&lt;&gt;A848,"BROKEN: GL points elsewhere",IF(OR(INDEX(Bank!$F:$F,B848)&lt;&gt;"Y",INDEX(GL!$F:$F,I848)&lt;&gt;"Y"),"BROKEN: Status not Y","OK")))))</f>
        <v/>
      </c>
    </row>
    <row r="849" customFormat="false" ht="15" hidden="false" customHeight="false" outlineLevel="0" collapsed="false">
      <c r="A849" s="41"/>
      <c r="B849" s="5" t="n">
        <f aca="false">IF(A849="",0,IFERROR(MATCH(A849,Bank!$A:$A,0),0))</f>
        <v>0</v>
      </c>
      <c r="C849" s="5" t="str">
        <f aca="false">IF(B849=0,"",IF(INDEX(Bank!$G:$G,B849)="","",INDEX(Bank!$G:$G,B849)))</f>
        <v/>
      </c>
      <c r="D849" s="5" t="str">
        <f aca="false">IF(B849=0,"",IF(INDEX(Bank!$J:$J,B849)="","",INDEX(Bank!$J:$J,B849)))</f>
        <v/>
      </c>
      <c r="E849" s="32" t="str">
        <f aca="false">IF(B849=0,"",INDEX(Bank!$B:$B,B849))</f>
        <v/>
      </c>
      <c r="F849" s="5" t="str">
        <f aca="false">IF(B849=0,"",IF(INDEX(Bank!$C:$C,B849)="","",INDEX(Bank!$C:$C,B849)))</f>
        <v/>
      </c>
      <c r="G849" s="19" t="str">
        <f aca="false">IF(B849=0,"",INDEX(Bank!$E:$E,B849))</f>
        <v/>
      </c>
      <c r="H849" s="5" t="str">
        <f aca="false">IF(B849=0,"",IF(INDEX(Bank!$H:$H,B849)="","",INDEX(Bank!$H:$H,B849)))</f>
        <v/>
      </c>
      <c r="I849" s="5" t="n">
        <f aca="false">IF(H849="",0,IFERROR(MATCH(H849,GL!$A:$A,0),0))</f>
        <v>0</v>
      </c>
      <c r="J849" s="32" t="str">
        <f aca="false">IF(I849=0,"",INDEX(GL!$B:$B,I849))</f>
        <v/>
      </c>
      <c r="K849" s="5" t="str">
        <f aca="false">IF(I849=0,"",IF(INDEX(GL!$C:$C,I849)="","",INDEX(GL!$C:$C,I849)))</f>
        <v/>
      </c>
      <c r="L849" s="19" t="str">
        <f aca="false">IF(I849=0,"",INDEX(GL!$E:$E,I849))</f>
        <v/>
      </c>
      <c r="M849" s="19" t="str">
        <f aca="false">IF(OR(B849=0,I849=0),"",ROUND(G849-L849,2))</f>
        <v/>
      </c>
      <c r="N849" s="5" t="str">
        <f aca="false">IF(A849="","",IF(B849=0,"NOT FOUND: bank ID",IF(I849=0,"NOT FOUND: GL ID",IF(INDEX(GL!$H:$H,I849)&lt;&gt;A849,"BROKEN: GL points elsewhere",IF(OR(INDEX(Bank!$F:$F,B849)&lt;&gt;"Y",INDEX(GL!$F:$F,I849)&lt;&gt;"Y"),"BROKEN: Status not Y","OK")))))</f>
        <v/>
      </c>
    </row>
    <row r="850" customFormat="false" ht="15" hidden="false" customHeight="false" outlineLevel="0" collapsed="false">
      <c r="A850" s="41"/>
      <c r="B850" s="5" t="n">
        <f aca="false">IF(A850="",0,IFERROR(MATCH(A850,Bank!$A:$A,0),0))</f>
        <v>0</v>
      </c>
      <c r="C850" s="5" t="str">
        <f aca="false">IF(B850=0,"",IF(INDEX(Bank!$G:$G,B850)="","",INDEX(Bank!$G:$G,B850)))</f>
        <v/>
      </c>
      <c r="D850" s="5" t="str">
        <f aca="false">IF(B850=0,"",IF(INDEX(Bank!$J:$J,B850)="","",INDEX(Bank!$J:$J,B850)))</f>
        <v/>
      </c>
      <c r="E850" s="32" t="str">
        <f aca="false">IF(B850=0,"",INDEX(Bank!$B:$B,B850))</f>
        <v/>
      </c>
      <c r="F850" s="5" t="str">
        <f aca="false">IF(B850=0,"",IF(INDEX(Bank!$C:$C,B850)="","",INDEX(Bank!$C:$C,B850)))</f>
        <v/>
      </c>
      <c r="G850" s="19" t="str">
        <f aca="false">IF(B850=0,"",INDEX(Bank!$E:$E,B850))</f>
        <v/>
      </c>
      <c r="H850" s="5" t="str">
        <f aca="false">IF(B850=0,"",IF(INDEX(Bank!$H:$H,B850)="","",INDEX(Bank!$H:$H,B850)))</f>
        <v/>
      </c>
      <c r="I850" s="5" t="n">
        <f aca="false">IF(H850="",0,IFERROR(MATCH(H850,GL!$A:$A,0),0))</f>
        <v>0</v>
      </c>
      <c r="J850" s="32" t="str">
        <f aca="false">IF(I850=0,"",INDEX(GL!$B:$B,I850))</f>
        <v/>
      </c>
      <c r="K850" s="5" t="str">
        <f aca="false">IF(I850=0,"",IF(INDEX(GL!$C:$C,I850)="","",INDEX(GL!$C:$C,I850)))</f>
        <v/>
      </c>
      <c r="L850" s="19" t="str">
        <f aca="false">IF(I850=0,"",INDEX(GL!$E:$E,I850))</f>
        <v/>
      </c>
      <c r="M850" s="19" t="str">
        <f aca="false">IF(OR(B850=0,I850=0),"",ROUND(G850-L850,2))</f>
        <v/>
      </c>
      <c r="N850" s="5" t="str">
        <f aca="false">IF(A850="","",IF(B850=0,"NOT FOUND: bank ID",IF(I850=0,"NOT FOUND: GL ID",IF(INDEX(GL!$H:$H,I850)&lt;&gt;A850,"BROKEN: GL points elsewhere",IF(OR(INDEX(Bank!$F:$F,B850)&lt;&gt;"Y",INDEX(GL!$F:$F,I850)&lt;&gt;"Y"),"BROKEN: Status not Y","OK")))))</f>
        <v/>
      </c>
    </row>
    <row r="851" customFormat="false" ht="15" hidden="false" customHeight="false" outlineLevel="0" collapsed="false">
      <c r="A851" s="41"/>
      <c r="B851" s="5" t="n">
        <f aca="false">IF(A851="",0,IFERROR(MATCH(A851,Bank!$A:$A,0),0))</f>
        <v>0</v>
      </c>
      <c r="C851" s="5" t="str">
        <f aca="false">IF(B851=0,"",IF(INDEX(Bank!$G:$G,B851)="","",INDEX(Bank!$G:$G,B851)))</f>
        <v/>
      </c>
      <c r="D851" s="5" t="str">
        <f aca="false">IF(B851=0,"",IF(INDEX(Bank!$J:$J,B851)="","",INDEX(Bank!$J:$J,B851)))</f>
        <v/>
      </c>
      <c r="E851" s="32" t="str">
        <f aca="false">IF(B851=0,"",INDEX(Bank!$B:$B,B851))</f>
        <v/>
      </c>
      <c r="F851" s="5" t="str">
        <f aca="false">IF(B851=0,"",IF(INDEX(Bank!$C:$C,B851)="","",INDEX(Bank!$C:$C,B851)))</f>
        <v/>
      </c>
      <c r="G851" s="19" t="str">
        <f aca="false">IF(B851=0,"",INDEX(Bank!$E:$E,B851))</f>
        <v/>
      </c>
      <c r="H851" s="5" t="str">
        <f aca="false">IF(B851=0,"",IF(INDEX(Bank!$H:$H,B851)="","",INDEX(Bank!$H:$H,B851)))</f>
        <v/>
      </c>
      <c r="I851" s="5" t="n">
        <f aca="false">IF(H851="",0,IFERROR(MATCH(H851,GL!$A:$A,0),0))</f>
        <v>0</v>
      </c>
      <c r="J851" s="32" t="str">
        <f aca="false">IF(I851=0,"",INDEX(GL!$B:$B,I851))</f>
        <v/>
      </c>
      <c r="K851" s="5" t="str">
        <f aca="false">IF(I851=0,"",IF(INDEX(GL!$C:$C,I851)="","",INDEX(GL!$C:$C,I851)))</f>
        <v/>
      </c>
      <c r="L851" s="19" t="str">
        <f aca="false">IF(I851=0,"",INDEX(GL!$E:$E,I851))</f>
        <v/>
      </c>
      <c r="M851" s="19" t="str">
        <f aca="false">IF(OR(B851=0,I851=0),"",ROUND(G851-L851,2))</f>
        <v/>
      </c>
      <c r="N851" s="5" t="str">
        <f aca="false">IF(A851="","",IF(B851=0,"NOT FOUND: bank ID",IF(I851=0,"NOT FOUND: GL ID",IF(INDEX(GL!$H:$H,I851)&lt;&gt;A851,"BROKEN: GL points elsewhere",IF(OR(INDEX(Bank!$F:$F,B851)&lt;&gt;"Y",INDEX(GL!$F:$F,I851)&lt;&gt;"Y"),"BROKEN: Status not Y","OK")))))</f>
        <v/>
      </c>
    </row>
    <row r="852" customFormat="false" ht="15" hidden="false" customHeight="false" outlineLevel="0" collapsed="false">
      <c r="A852" s="41"/>
      <c r="B852" s="5" t="n">
        <f aca="false">IF(A852="",0,IFERROR(MATCH(A852,Bank!$A:$A,0),0))</f>
        <v>0</v>
      </c>
      <c r="C852" s="5" t="str">
        <f aca="false">IF(B852=0,"",IF(INDEX(Bank!$G:$G,B852)="","",INDEX(Bank!$G:$G,B852)))</f>
        <v/>
      </c>
      <c r="D852" s="5" t="str">
        <f aca="false">IF(B852=0,"",IF(INDEX(Bank!$J:$J,B852)="","",INDEX(Bank!$J:$J,B852)))</f>
        <v/>
      </c>
      <c r="E852" s="32" t="str">
        <f aca="false">IF(B852=0,"",INDEX(Bank!$B:$B,B852))</f>
        <v/>
      </c>
      <c r="F852" s="5" t="str">
        <f aca="false">IF(B852=0,"",IF(INDEX(Bank!$C:$C,B852)="","",INDEX(Bank!$C:$C,B852)))</f>
        <v/>
      </c>
      <c r="G852" s="19" t="str">
        <f aca="false">IF(B852=0,"",INDEX(Bank!$E:$E,B852))</f>
        <v/>
      </c>
      <c r="H852" s="5" t="str">
        <f aca="false">IF(B852=0,"",IF(INDEX(Bank!$H:$H,B852)="","",INDEX(Bank!$H:$H,B852)))</f>
        <v/>
      </c>
      <c r="I852" s="5" t="n">
        <f aca="false">IF(H852="",0,IFERROR(MATCH(H852,GL!$A:$A,0),0))</f>
        <v>0</v>
      </c>
      <c r="J852" s="32" t="str">
        <f aca="false">IF(I852=0,"",INDEX(GL!$B:$B,I852))</f>
        <v/>
      </c>
      <c r="K852" s="5" t="str">
        <f aca="false">IF(I852=0,"",IF(INDEX(GL!$C:$C,I852)="","",INDEX(GL!$C:$C,I852)))</f>
        <v/>
      </c>
      <c r="L852" s="19" t="str">
        <f aca="false">IF(I852=0,"",INDEX(GL!$E:$E,I852))</f>
        <v/>
      </c>
      <c r="M852" s="19" t="str">
        <f aca="false">IF(OR(B852=0,I852=0),"",ROUND(G852-L852,2))</f>
        <v/>
      </c>
      <c r="N852" s="5" t="str">
        <f aca="false">IF(A852="","",IF(B852=0,"NOT FOUND: bank ID",IF(I852=0,"NOT FOUND: GL ID",IF(INDEX(GL!$H:$H,I852)&lt;&gt;A852,"BROKEN: GL points elsewhere",IF(OR(INDEX(Bank!$F:$F,B852)&lt;&gt;"Y",INDEX(GL!$F:$F,I852)&lt;&gt;"Y"),"BROKEN: Status not Y","OK")))))</f>
        <v/>
      </c>
    </row>
    <row r="853" customFormat="false" ht="15" hidden="false" customHeight="false" outlineLevel="0" collapsed="false">
      <c r="A853" s="41"/>
      <c r="B853" s="5" t="n">
        <f aca="false">IF(A853="",0,IFERROR(MATCH(A853,Bank!$A:$A,0),0))</f>
        <v>0</v>
      </c>
      <c r="C853" s="5" t="str">
        <f aca="false">IF(B853=0,"",IF(INDEX(Bank!$G:$G,B853)="","",INDEX(Bank!$G:$G,B853)))</f>
        <v/>
      </c>
      <c r="D853" s="5" t="str">
        <f aca="false">IF(B853=0,"",IF(INDEX(Bank!$J:$J,B853)="","",INDEX(Bank!$J:$J,B853)))</f>
        <v/>
      </c>
      <c r="E853" s="32" t="str">
        <f aca="false">IF(B853=0,"",INDEX(Bank!$B:$B,B853))</f>
        <v/>
      </c>
      <c r="F853" s="5" t="str">
        <f aca="false">IF(B853=0,"",IF(INDEX(Bank!$C:$C,B853)="","",INDEX(Bank!$C:$C,B853)))</f>
        <v/>
      </c>
      <c r="G853" s="19" t="str">
        <f aca="false">IF(B853=0,"",INDEX(Bank!$E:$E,B853))</f>
        <v/>
      </c>
      <c r="H853" s="5" t="str">
        <f aca="false">IF(B853=0,"",IF(INDEX(Bank!$H:$H,B853)="","",INDEX(Bank!$H:$H,B853)))</f>
        <v/>
      </c>
      <c r="I853" s="5" t="n">
        <f aca="false">IF(H853="",0,IFERROR(MATCH(H853,GL!$A:$A,0),0))</f>
        <v>0</v>
      </c>
      <c r="J853" s="32" t="str">
        <f aca="false">IF(I853=0,"",INDEX(GL!$B:$B,I853))</f>
        <v/>
      </c>
      <c r="K853" s="5" t="str">
        <f aca="false">IF(I853=0,"",IF(INDEX(GL!$C:$C,I853)="","",INDEX(GL!$C:$C,I853)))</f>
        <v/>
      </c>
      <c r="L853" s="19" t="str">
        <f aca="false">IF(I853=0,"",INDEX(GL!$E:$E,I853))</f>
        <v/>
      </c>
      <c r="M853" s="19" t="str">
        <f aca="false">IF(OR(B853=0,I853=0),"",ROUND(G853-L853,2))</f>
        <v/>
      </c>
      <c r="N853" s="5" t="str">
        <f aca="false">IF(A853="","",IF(B853=0,"NOT FOUND: bank ID",IF(I853=0,"NOT FOUND: GL ID",IF(INDEX(GL!$H:$H,I853)&lt;&gt;A853,"BROKEN: GL points elsewhere",IF(OR(INDEX(Bank!$F:$F,B853)&lt;&gt;"Y",INDEX(GL!$F:$F,I853)&lt;&gt;"Y"),"BROKEN: Status not Y","OK")))))</f>
        <v/>
      </c>
    </row>
    <row r="854" customFormat="false" ht="15" hidden="false" customHeight="false" outlineLevel="0" collapsed="false">
      <c r="A854" s="41"/>
      <c r="B854" s="5" t="n">
        <f aca="false">IF(A854="",0,IFERROR(MATCH(A854,Bank!$A:$A,0),0))</f>
        <v>0</v>
      </c>
      <c r="C854" s="5" t="str">
        <f aca="false">IF(B854=0,"",IF(INDEX(Bank!$G:$G,B854)="","",INDEX(Bank!$G:$G,B854)))</f>
        <v/>
      </c>
      <c r="D854" s="5" t="str">
        <f aca="false">IF(B854=0,"",IF(INDEX(Bank!$J:$J,B854)="","",INDEX(Bank!$J:$J,B854)))</f>
        <v/>
      </c>
      <c r="E854" s="32" t="str">
        <f aca="false">IF(B854=0,"",INDEX(Bank!$B:$B,B854))</f>
        <v/>
      </c>
      <c r="F854" s="5" t="str">
        <f aca="false">IF(B854=0,"",IF(INDEX(Bank!$C:$C,B854)="","",INDEX(Bank!$C:$C,B854)))</f>
        <v/>
      </c>
      <c r="G854" s="19" t="str">
        <f aca="false">IF(B854=0,"",INDEX(Bank!$E:$E,B854))</f>
        <v/>
      </c>
      <c r="H854" s="5" t="str">
        <f aca="false">IF(B854=0,"",IF(INDEX(Bank!$H:$H,B854)="","",INDEX(Bank!$H:$H,B854)))</f>
        <v/>
      </c>
      <c r="I854" s="5" t="n">
        <f aca="false">IF(H854="",0,IFERROR(MATCH(H854,GL!$A:$A,0),0))</f>
        <v>0</v>
      </c>
      <c r="J854" s="32" t="str">
        <f aca="false">IF(I854=0,"",INDEX(GL!$B:$B,I854))</f>
        <v/>
      </c>
      <c r="K854" s="5" t="str">
        <f aca="false">IF(I854=0,"",IF(INDEX(GL!$C:$C,I854)="","",INDEX(GL!$C:$C,I854)))</f>
        <v/>
      </c>
      <c r="L854" s="19" t="str">
        <f aca="false">IF(I854=0,"",INDEX(GL!$E:$E,I854))</f>
        <v/>
      </c>
      <c r="M854" s="19" t="str">
        <f aca="false">IF(OR(B854=0,I854=0),"",ROUND(G854-L854,2))</f>
        <v/>
      </c>
      <c r="N854" s="5" t="str">
        <f aca="false">IF(A854="","",IF(B854=0,"NOT FOUND: bank ID",IF(I854=0,"NOT FOUND: GL ID",IF(INDEX(GL!$H:$H,I854)&lt;&gt;A854,"BROKEN: GL points elsewhere",IF(OR(INDEX(Bank!$F:$F,B854)&lt;&gt;"Y",INDEX(GL!$F:$F,I854)&lt;&gt;"Y"),"BROKEN: Status not Y","OK")))))</f>
        <v/>
      </c>
    </row>
    <row r="855" customFormat="false" ht="15" hidden="false" customHeight="false" outlineLevel="0" collapsed="false">
      <c r="A855" s="41"/>
      <c r="B855" s="5" t="n">
        <f aca="false">IF(A855="",0,IFERROR(MATCH(A855,Bank!$A:$A,0),0))</f>
        <v>0</v>
      </c>
      <c r="C855" s="5" t="str">
        <f aca="false">IF(B855=0,"",IF(INDEX(Bank!$G:$G,B855)="","",INDEX(Bank!$G:$G,B855)))</f>
        <v/>
      </c>
      <c r="D855" s="5" t="str">
        <f aca="false">IF(B855=0,"",IF(INDEX(Bank!$J:$J,B855)="","",INDEX(Bank!$J:$J,B855)))</f>
        <v/>
      </c>
      <c r="E855" s="32" t="str">
        <f aca="false">IF(B855=0,"",INDEX(Bank!$B:$B,B855))</f>
        <v/>
      </c>
      <c r="F855" s="5" t="str">
        <f aca="false">IF(B855=0,"",IF(INDEX(Bank!$C:$C,B855)="","",INDEX(Bank!$C:$C,B855)))</f>
        <v/>
      </c>
      <c r="G855" s="19" t="str">
        <f aca="false">IF(B855=0,"",INDEX(Bank!$E:$E,B855))</f>
        <v/>
      </c>
      <c r="H855" s="5" t="str">
        <f aca="false">IF(B855=0,"",IF(INDEX(Bank!$H:$H,B855)="","",INDEX(Bank!$H:$H,B855)))</f>
        <v/>
      </c>
      <c r="I855" s="5" t="n">
        <f aca="false">IF(H855="",0,IFERROR(MATCH(H855,GL!$A:$A,0),0))</f>
        <v>0</v>
      </c>
      <c r="J855" s="32" t="str">
        <f aca="false">IF(I855=0,"",INDEX(GL!$B:$B,I855))</f>
        <v/>
      </c>
      <c r="K855" s="5" t="str">
        <f aca="false">IF(I855=0,"",IF(INDEX(GL!$C:$C,I855)="","",INDEX(GL!$C:$C,I855)))</f>
        <v/>
      </c>
      <c r="L855" s="19" t="str">
        <f aca="false">IF(I855=0,"",INDEX(GL!$E:$E,I855))</f>
        <v/>
      </c>
      <c r="M855" s="19" t="str">
        <f aca="false">IF(OR(B855=0,I855=0),"",ROUND(G855-L855,2))</f>
        <v/>
      </c>
      <c r="N855" s="5" t="str">
        <f aca="false">IF(A855="","",IF(B855=0,"NOT FOUND: bank ID",IF(I855=0,"NOT FOUND: GL ID",IF(INDEX(GL!$H:$H,I855)&lt;&gt;A855,"BROKEN: GL points elsewhere",IF(OR(INDEX(Bank!$F:$F,B855)&lt;&gt;"Y",INDEX(GL!$F:$F,I855)&lt;&gt;"Y"),"BROKEN: Status not Y","OK")))))</f>
        <v/>
      </c>
    </row>
    <row r="856" customFormat="false" ht="15" hidden="false" customHeight="false" outlineLevel="0" collapsed="false">
      <c r="A856" s="41"/>
      <c r="B856" s="5" t="n">
        <f aca="false">IF(A856="",0,IFERROR(MATCH(A856,Bank!$A:$A,0),0))</f>
        <v>0</v>
      </c>
      <c r="C856" s="5" t="str">
        <f aca="false">IF(B856=0,"",IF(INDEX(Bank!$G:$G,B856)="","",INDEX(Bank!$G:$G,B856)))</f>
        <v/>
      </c>
      <c r="D856" s="5" t="str">
        <f aca="false">IF(B856=0,"",IF(INDEX(Bank!$J:$J,B856)="","",INDEX(Bank!$J:$J,B856)))</f>
        <v/>
      </c>
      <c r="E856" s="32" t="str">
        <f aca="false">IF(B856=0,"",INDEX(Bank!$B:$B,B856))</f>
        <v/>
      </c>
      <c r="F856" s="5" t="str">
        <f aca="false">IF(B856=0,"",IF(INDEX(Bank!$C:$C,B856)="","",INDEX(Bank!$C:$C,B856)))</f>
        <v/>
      </c>
      <c r="G856" s="19" t="str">
        <f aca="false">IF(B856=0,"",INDEX(Bank!$E:$E,B856))</f>
        <v/>
      </c>
      <c r="H856" s="5" t="str">
        <f aca="false">IF(B856=0,"",IF(INDEX(Bank!$H:$H,B856)="","",INDEX(Bank!$H:$H,B856)))</f>
        <v/>
      </c>
      <c r="I856" s="5" t="n">
        <f aca="false">IF(H856="",0,IFERROR(MATCH(H856,GL!$A:$A,0),0))</f>
        <v>0</v>
      </c>
      <c r="J856" s="32" t="str">
        <f aca="false">IF(I856=0,"",INDEX(GL!$B:$B,I856))</f>
        <v/>
      </c>
      <c r="K856" s="5" t="str">
        <f aca="false">IF(I856=0,"",IF(INDEX(GL!$C:$C,I856)="","",INDEX(GL!$C:$C,I856)))</f>
        <v/>
      </c>
      <c r="L856" s="19" t="str">
        <f aca="false">IF(I856=0,"",INDEX(GL!$E:$E,I856))</f>
        <v/>
      </c>
      <c r="M856" s="19" t="str">
        <f aca="false">IF(OR(B856=0,I856=0),"",ROUND(G856-L856,2))</f>
        <v/>
      </c>
      <c r="N856" s="5" t="str">
        <f aca="false">IF(A856="","",IF(B856=0,"NOT FOUND: bank ID",IF(I856=0,"NOT FOUND: GL ID",IF(INDEX(GL!$H:$H,I856)&lt;&gt;A856,"BROKEN: GL points elsewhere",IF(OR(INDEX(Bank!$F:$F,B856)&lt;&gt;"Y",INDEX(GL!$F:$F,I856)&lt;&gt;"Y"),"BROKEN: Status not Y","OK")))))</f>
        <v/>
      </c>
    </row>
    <row r="857" customFormat="false" ht="15" hidden="false" customHeight="false" outlineLevel="0" collapsed="false">
      <c r="A857" s="41"/>
      <c r="B857" s="5" t="n">
        <f aca="false">IF(A857="",0,IFERROR(MATCH(A857,Bank!$A:$A,0),0))</f>
        <v>0</v>
      </c>
      <c r="C857" s="5" t="str">
        <f aca="false">IF(B857=0,"",IF(INDEX(Bank!$G:$G,B857)="","",INDEX(Bank!$G:$G,B857)))</f>
        <v/>
      </c>
      <c r="D857" s="5" t="str">
        <f aca="false">IF(B857=0,"",IF(INDEX(Bank!$J:$J,B857)="","",INDEX(Bank!$J:$J,B857)))</f>
        <v/>
      </c>
      <c r="E857" s="32" t="str">
        <f aca="false">IF(B857=0,"",INDEX(Bank!$B:$B,B857))</f>
        <v/>
      </c>
      <c r="F857" s="5" t="str">
        <f aca="false">IF(B857=0,"",IF(INDEX(Bank!$C:$C,B857)="","",INDEX(Bank!$C:$C,B857)))</f>
        <v/>
      </c>
      <c r="G857" s="19" t="str">
        <f aca="false">IF(B857=0,"",INDEX(Bank!$E:$E,B857))</f>
        <v/>
      </c>
      <c r="H857" s="5" t="str">
        <f aca="false">IF(B857=0,"",IF(INDEX(Bank!$H:$H,B857)="","",INDEX(Bank!$H:$H,B857)))</f>
        <v/>
      </c>
      <c r="I857" s="5" t="n">
        <f aca="false">IF(H857="",0,IFERROR(MATCH(H857,GL!$A:$A,0),0))</f>
        <v>0</v>
      </c>
      <c r="J857" s="32" t="str">
        <f aca="false">IF(I857=0,"",INDEX(GL!$B:$B,I857))</f>
        <v/>
      </c>
      <c r="K857" s="5" t="str">
        <f aca="false">IF(I857=0,"",IF(INDEX(GL!$C:$C,I857)="","",INDEX(GL!$C:$C,I857)))</f>
        <v/>
      </c>
      <c r="L857" s="19" t="str">
        <f aca="false">IF(I857=0,"",INDEX(GL!$E:$E,I857))</f>
        <v/>
      </c>
      <c r="M857" s="19" t="str">
        <f aca="false">IF(OR(B857=0,I857=0),"",ROUND(G857-L857,2))</f>
        <v/>
      </c>
      <c r="N857" s="5" t="str">
        <f aca="false">IF(A857="","",IF(B857=0,"NOT FOUND: bank ID",IF(I857=0,"NOT FOUND: GL ID",IF(INDEX(GL!$H:$H,I857)&lt;&gt;A857,"BROKEN: GL points elsewhere",IF(OR(INDEX(Bank!$F:$F,B857)&lt;&gt;"Y",INDEX(GL!$F:$F,I857)&lt;&gt;"Y"),"BROKEN: Status not Y","OK")))))</f>
        <v/>
      </c>
    </row>
    <row r="858" customFormat="false" ht="15" hidden="false" customHeight="false" outlineLevel="0" collapsed="false">
      <c r="A858" s="41"/>
      <c r="B858" s="5" t="n">
        <f aca="false">IF(A858="",0,IFERROR(MATCH(A858,Bank!$A:$A,0),0))</f>
        <v>0</v>
      </c>
      <c r="C858" s="5" t="str">
        <f aca="false">IF(B858=0,"",IF(INDEX(Bank!$G:$G,B858)="","",INDEX(Bank!$G:$G,B858)))</f>
        <v/>
      </c>
      <c r="D858" s="5" t="str">
        <f aca="false">IF(B858=0,"",IF(INDEX(Bank!$J:$J,B858)="","",INDEX(Bank!$J:$J,B858)))</f>
        <v/>
      </c>
      <c r="E858" s="32" t="str">
        <f aca="false">IF(B858=0,"",INDEX(Bank!$B:$B,B858))</f>
        <v/>
      </c>
      <c r="F858" s="5" t="str">
        <f aca="false">IF(B858=0,"",IF(INDEX(Bank!$C:$C,B858)="","",INDEX(Bank!$C:$C,B858)))</f>
        <v/>
      </c>
      <c r="G858" s="19" t="str">
        <f aca="false">IF(B858=0,"",INDEX(Bank!$E:$E,B858))</f>
        <v/>
      </c>
      <c r="H858" s="5" t="str">
        <f aca="false">IF(B858=0,"",IF(INDEX(Bank!$H:$H,B858)="","",INDEX(Bank!$H:$H,B858)))</f>
        <v/>
      </c>
      <c r="I858" s="5" t="n">
        <f aca="false">IF(H858="",0,IFERROR(MATCH(H858,GL!$A:$A,0),0))</f>
        <v>0</v>
      </c>
      <c r="J858" s="32" t="str">
        <f aca="false">IF(I858=0,"",INDEX(GL!$B:$B,I858))</f>
        <v/>
      </c>
      <c r="K858" s="5" t="str">
        <f aca="false">IF(I858=0,"",IF(INDEX(GL!$C:$C,I858)="","",INDEX(GL!$C:$C,I858)))</f>
        <v/>
      </c>
      <c r="L858" s="19" t="str">
        <f aca="false">IF(I858=0,"",INDEX(GL!$E:$E,I858))</f>
        <v/>
      </c>
      <c r="M858" s="19" t="str">
        <f aca="false">IF(OR(B858=0,I858=0),"",ROUND(G858-L858,2))</f>
        <v/>
      </c>
      <c r="N858" s="5" t="str">
        <f aca="false">IF(A858="","",IF(B858=0,"NOT FOUND: bank ID",IF(I858=0,"NOT FOUND: GL ID",IF(INDEX(GL!$H:$H,I858)&lt;&gt;A858,"BROKEN: GL points elsewhere",IF(OR(INDEX(Bank!$F:$F,B858)&lt;&gt;"Y",INDEX(GL!$F:$F,I858)&lt;&gt;"Y"),"BROKEN: Status not Y","OK")))))</f>
        <v/>
      </c>
    </row>
    <row r="859" customFormat="false" ht="15" hidden="false" customHeight="false" outlineLevel="0" collapsed="false">
      <c r="A859" s="41"/>
      <c r="B859" s="5" t="n">
        <f aca="false">IF(A859="",0,IFERROR(MATCH(A859,Bank!$A:$A,0),0))</f>
        <v>0</v>
      </c>
      <c r="C859" s="5" t="str">
        <f aca="false">IF(B859=0,"",IF(INDEX(Bank!$G:$G,B859)="","",INDEX(Bank!$G:$G,B859)))</f>
        <v/>
      </c>
      <c r="D859" s="5" t="str">
        <f aca="false">IF(B859=0,"",IF(INDEX(Bank!$J:$J,B859)="","",INDEX(Bank!$J:$J,B859)))</f>
        <v/>
      </c>
      <c r="E859" s="32" t="str">
        <f aca="false">IF(B859=0,"",INDEX(Bank!$B:$B,B859))</f>
        <v/>
      </c>
      <c r="F859" s="5" t="str">
        <f aca="false">IF(B859=0,"",IF(INDEX(Bank!$C:$C,B859)="","",INDEX(Bank!$C:$C,B859)))</f>
        <v/>
      </c>
      <c r="G859" s="19" t="str">
        <f aca="false">IF(B859=0,"",INDEX(Bank!$E:$E,B859))</f>
        <v/>
      </c>
      <c r="H859" s="5" t="str">
        <f aca="false">IF(B859=0,"",IF(INDEX(Bank!$H:$H,B859)="","",INDEX(Bank!$H:$H,B859)))</f>
        <v/>
      </c>
      <c r="I859" s="5" t="n">
        <f aca="false">IF(H859="",0,IFERROR(MATCH(H859,GL!$A:$A,0),0))</f>
        <v>0</v>
      </c>
      <c r="J859" s="32" t="str">
        <f aca="false">IF(I859=0,"",INDEX(GL!$B:$B,I859))</f>
        <v/>
      </c>
      <c r="K859" s="5" t="str">
        <f aca="false">IF(I859=0,"",IF(INDEX(GL!$C:$C,I859)="","",INDEX(GL!$C:$C,I859)))</f>
        <v/>
      </c>
      <c r="L859" s="19" t="str">
        <f aca="false">IF(I859=0,"",INDEX(GL!$E:$E,I859))</f>
        <v/>
      </c>
      <c r="M859" s="19" t="str">
        <f aca="false">IF(OR(B859=0,I859=0),"",ROUND(G859-L859,2))</f>
        <v/>
      </c>
      <c r="N859" s="5" t="str">
        <f aca="false">IF(A859="","",IF(B859=0,"NOT FOUND: bank ID",IF(I859=0,"NOT FOUND: GL ID",IF(INDEX(GL!$H:$H,I859)&lt;&gt;A859,"BROKEN: GL points elsewhere",IF(OR(INDEX(Bank!$F:$F,B859)&lt;&gt;"Y",INDEX(GL!$F:$F,I859)&lt;&gt;"Y"),"BROKEN: Status not Y","OK")))))</f>
        <v/>
      </c>
    </row>
    <row r="860" customFormat="false" ht="15" hidden="false" customHeight="false" outlineLevel="0" collapsed="false">
      <c r="A860" s="41"/>
      <c r="B860" s="5" t="n">
        <f aca="false">IF(A860="",0,IFERROR(MATCH(A860,Bank!$A:$A,0),0))</f>
        <v>0</v>
      </c>
      <c r="C860" s="5" t="str">
        <f aca="false">IF(B860=0,"",IF(INDEX(Bank!$G:$G,B860)="","",INDEX(Bank!$G:$G,B860)))</f>
        <v/>
      </c>
      <c r="D860" s="5" t="str">
        <f aca="false">IF(B860=0,"",IF(INDEX(Bank!$J:$J,B860)="","",INDEX(Bank!$J:$J,B860)))</f>
        <v/>
      </c>
      <c r="E860" s="32" t="str">
        <f aca="false">IF(B860=0,"",INDEX(Bank!$B:$B,B860))</f>
        <v/>
      </c>
      <c r="F860" s="5" t="str">
        <f aca="false">IF(B860=0,"",IF(INDEX(Bank!$C:$C,B860)="","",INDEX(Bank!$C:$C,B860)))</f>
        <v/>
      </c>
      <c r="G860" s="19" t="str">
        <f aca="false">IF(B860=0,"",INDEX(Bank!$E:$E,B860))</f>
        <v/>
      </c>
      <c r="H860" s="5" t="str">
        <f aca="false">IF(B860=0,"",IF(INDEX(Bank!$H:$H,B860)="","",INDEX(Bank!$H:$H,B860)))</f>
        <v/>
      </c>
      <c r="I860" s="5" t="n">
        <f aca="false">IF(H860="",0,IFERROR(MATCH(H860,GL!$A:$A,0),0))</f>
        <v>0</v>
      </c>
      <c r="J860" s="32" t="str">
        <f aca="false">IF(I860=0,"",INDEX(GL!$B:$B,I860))</f>
        <v/>
      </c>
      <c r="K860" s="5" t="str">
        <f aca="false">IF(I860=0,"",IF(INDEX(GL!$C:$C,I860)="","",INDEX(GL!$C:$C,I860)))</f>
        <v/>
      </c>
      <c r="L860" s="19" t="str">
        <f aca="false">IF(I860=0,"",INDEX(GL!$E:$E,I860))</f>
        <v/>
      </c>
      <c r="M860" s="19" t="str">
        <f aca="false">IF(OR(B860=0,I860=0),"",ROUND(G860-L860,2))</f>
        <v/>
      </c>
      <c r="N860" s="5" t="str">
        <f aca="false">IF(A860="","",IF(B860=0,"NOT FOUND: bank ID",IF(I860=0,"NOT FOUND: GL ID",IF(INDEX(GL!$H:$H,I860)&lt;&gt;A860,"BROKEN: GL points elsewhere",IF(OR(INDEX(Bank!$F:$F,B860)&lt;&gt;"Y",INDEX(GL!$F:$F,I860)&lt;&gt;"Y"),"BROKEN: Status not Y","OK")))))</f>
        <v/>
      </c>
    </row>
    <row r="861" customFormat="false" ht="15" hidden="false" customHeight="false" outlineLevel="0" collapsed="false">
      <c r="A861" s="41"/>
      <c r="B861" s="5" t="n">
        <f aca="false">IF(A861="",0,IFERROR(MATCH(A861,Bank!$A:$A,0),0))</f>
        <v>0</v>
      </c>
      <c r="C861" s="5" t="str">
        <f aca="false">IF(B861=0,"",IF(INDEX(Bank!$G:$G,B861)="","",INDEX(Bank!$G:$G,B861)))</f>
        <v/>
      </c>
      <c r="D861" s="5" t="str">
        <f aca="false">IF(B861=0,"",IF(INDEX(Bank!$J:$J,B861)="","",INDEX(Bank!$J:$J,B861)))</f>
        <v/>
      </c>
      <c r="E861" s="32" t="str">
        <f aca="false">IF(B861=0,"",INDEX(Bank!$B:$B,B861))</f>
        <v/>
      </c>
      <c r="F861" s="5" t="str">
        <f aca="false">IF(B861=0,"",IF(INDEX(Bank!$C:$C,B861)="","",INDEX(Bank!$C:$C,B861)))</f>
        <v/>
      </c>
      <c r="G861" s="19" t="str">
        <f aca="false">IF(B861=0,"",INDEX(Bank!$E:$E,B861))</f>
        <v/>
      </c>
      <c r="H861" s="5" t="str">
        <f aca="false">IF(B861=0,"",IF(INDEX(Bank!$H:$H,B861)="","",INDEX(Bank!$H:$H,B861)))</f>
        <v/>
      </c>
      <c r="I861" s="5" t="n">
        <f aca="false">IF(H861="",0,IFERROR(MATCH(H861,GL!$A:$A,0),0))</f>
        <v>0</v>
      </c>
      <c r="J861" s="32" t="str">
        <f aca="false">IF(I861=0,"",INDEX(GL!$B:$B,I861))</f>
        <v/>
      </c>
      <c r="K861" s="5" t="str">
        <f aca="false">IF(I861=0,"",IF(INDEX(GL!$C:$C,I861)="","",INDEX(GL!$C:$C,I861)))</f>
        <v/>
      </c>
      <c r="L861" s="19" t="str">
        <f aca="false">IF(I861=0,"",INDEX(GL!$E:$E,I861))</f>
        <v/>
      </c>
      <c r="M861" s="19" t="str">
        <f aca="false">IF(OR(B861=0,I861=0),"",ROUND(G861-L861,2))</f>
        <v/>
      </c>
      <c r="N861" s="5" t="str">
        <f aca="false">IF(A861="","",IF(B861=0,"NOT FOUND: bank ID",IF(I861=0,"NOT FOUND: GL ID",IF(INDEX(GL!$H:$H,I861)&lt;&gt;A861,"BROKEN: GL points elsewhere",IF(OR(INDEX(Bank!$F:$F,B861)&lt;&gt;"Y",INDEX(GL!$F:$F,I861)&lt;&gt;"Y"),"BROKEN: Status not Y","OK")))))</f>
        <v/>
      </c>
    </row>
    <row r="862" customFormat="false" ht="15" hidden="false" customHeight="false" outlineLevel="0" collapsed="false">
      <c r="A862" s="41"/>
      <c r="B862" s="5" t="n">
        <f aca="false">IF(A862="",0,IFERROR(MATCH(A862,Bank!$A:$A,0),0))</f>
        <v>0</v>
      </c>
      <c r="C862" s="5" t="str">
        <f aca="false">IF(B862=0,"",IF(INDEX(Bank!$G:$G,B862)="","",INDEX(Bank!$G:$G,B862)))</f>
        <v/>
      </c>
      <c r="D862" s="5" t="str">
        <f aca="false">IF(B862=0,"",IF(INDEX(Bank!$J:$J,B862)="","",INDEX(Bank!$J:$J,B862)))</f>
        <v/>
      </c>
      <c r="E862" s="32" t="str">
        <f aca="false">IF(B862=0,"",INDEX(Bank!$B:$B,B862))</f>
        <v/>
      </c>
      <c r="F862" s="5" t="str">
        <f aca="false">IF(B862=0,"",IF(INDEX(Bank!$C:$C,B862)="","",INDEX(Bank!$C:$C,B862)))</f>
        <v/>
      </c>
      <c r="G862" s="19" t="str">
        <f aca="false">IF(B862=0,"",INDEX(Bank!$E:$E,B862))</f>
        <v/>
      </c>
      <c r="H862" s="5" t="str">
        <f aca="false">IF(B862=0,"",IF(INDEX(Bank!$H:$H,B862)="","",INDEX(Bank!$H:$H,B862)))</f>
        <v/>
      </c>
      <c r="I862" s="5" t="n">
        <f aca="false">IF(H862="",0,IFERROR(MATCH(H862,GL!$A:$A,0),0))</f>
        <v>0</v>
      </c>
      <c r="J862" s="32" t="str">
        <f aca="false">IF(I862=0,"",INDEX(GL!$B:$B,I862))</f>
        <v/>
      </c>
      <c r="K862" s="5" t="str">
        <f aca="false">IF(I862=0,"",IF(INDEX(GL!$C:$C,I862)="","",INDEX(GL!$C:$C,I862)))</f>
        <v/>
      </c>
      <c r="L862" s="19" t="str">
        <f aca="false">IF(I862=0,"",INDEX(GL!$E:$E,I862))</f>
        <v/>
      </c>
      <c r="M862" s="19" t="str">
        <f aca="false">IF(OR(B862=0,I862=0),"",ROUND(G862-L862,2))</f>
        <v/>
      </c>
      <c r="N862" s="5" t="str">
        <f aca="false">IF(A862="","",IF(B862=0,"NOT FOUND: bank ID",IF(I862=0,"NOT FOUND: GL ID",IF(INDEX(GL!$H:$H,I862)&lt;&gt;A862,"BROKEN: GL points elsewhere",IF(OR(INDEX(Bank!$F:$F,B862)&lt;&gt;"Y",INDEX(GL!$F:$F,I862)&lt;&gt;"Y"),"BROKEN: Status not Y","OK")))))</f>
        <v/>
      </c>
    </row>
    <row r="863" customFormat="false" ht="15" hidden="false" customHeight="false" outlineLevel="0" collapsed="false">
      <c r="A863" s="41"/>
      <c r="B863" s="5" t="n">
        <f aca="false">IF(A863="",0,IFERROR(MATCH(A863,Bank!$A:$A,0),0))</f>
        <v>0</v>
      </c>
      <c r="C863" s="5" t="str">
        <f aca="false">IF(B863=0,"",IF(INDEX(Bank!$G:$G,B863)="","",INDEX(Bank!$G:$G,B863)))</f>
        <v/>
      </c>
      <c r="D863" s="5" t="str">
        <f aca="false">IF(B863=0,"",IF(INDEX(Bank!$J:$J,B863)="","",INDEX(Bank!$J:$J,B863)))</f>
        <v/>
      </c>
      <c r="E863" s="32" t="str">
        <f aca="false">IF(B863=0,"",INDEX(Bank!$B:$B,B863))</f>
        <v/>
      </c>
      <c r="F863" s="5" t="str">
        <f aca="false">IF(B863=0,"",IF(INDEX(Bank!$C:$C,B863)="","",INDEX(Bank!$C:$C,B863)))</f>
        <v/>
      </c>
      <c r="G863" s="19" t="str">
        <f aca="false">IF(B863=0,"",INDEX(Bank!$E:$E,B863))</f>
        <v/>
      </c>
      <c r="H863" s="5" t="str">
        <f aca="false">IF(B863=0,"",IF(INDEX(Bank!$H:$H,B863)="","",INDEX(Bank!$H:$H,B863)))</f>
        <v/>
      </c>
      <c r="I863" s="5" t="n">
        <f aca="false">IF(H863="",0,IFERROR(MATCH(H863,GL!$A:$A,0),0))</f>
        <v>0</v>
      </c>
      <c r="J863" s="32" t="str">
        <f aca="false">IF(I863=0,"",INDEX(GL!$B:$B,I863))</f>
        <v/>
      </c>
      <c r="K863" s="5" t="str">
        <f aca="false">IF(I863=0,"",IF(INDEX(GL!$C:$C,I863)="","",INDEX(GL!$C:$C,I863)))</f>
        <v/>
      </c>
      <c r="L863" s="19" t="str">
        <f aca="false">IF(I863=0,"",INDEX(GL!$E:$E,I863))</f>
        <v/>
      </c>
      <c r="M863" s="19" t="str">
        <f aca="false">IF(OR(B863=0,I863=0),"",ROUND(G863-L863,2))</f>
        <v/>
      </c>
      <c r="N863" s="5" t="str">
        <f aca="false">IF(A863="","",IF(B863=0,"NOT FOUND: bank ID",IF(I863=0,"NOT FOUND: GL ID",IF(INDEX(GL!$H:$H,I863)&lt;&gt;A863,"BROKEN: GL points elsewhere",IF(OR(INDEX(Bank!$F:$F,B863)&lt;&gt;"Y",INDEX(GL!$F:$F,I863)&lt;&gt;"Y"),"BROKEN: Status not Y","OK")))))</f>
        <v/>
      </c>
    </row>
    <row r="864" customFormat="false" ht="15" hidden="false" customHeight="false" outlineLevel="0" collapsed="false">
      <c r="A864" s="41"/>
      <c r="B864" s="5" t="n">
        <f aca="false">IF(A864="",0,IFERROR(MATCH(A864,Bank!$A:$A,0),0))</f>
        <v>0</v>
      </c>
      <c r="C864" s="5" t="str">
        <f aca="false">IF(B864=0,"",IF(INDEX(Bank!$G:$G,B864)="","",INDEX(Bank!$G:$G,B864)))</f>
        <v/>
      </c>
      <c r="D864" s="5" t="str">
        <f aca="false">IF(B864=0,"",IF(INDEX(Bank!$J:$J,B864)="","",INDEX(Bank!$J:$J,B864)))</f>
        <v/>
      </c>
      <c r="E864" s="32" t="str">
        <f aca="false">IF(B864=0,"",INDEX(Bank!$B:$B,B864))</f>
        <v/>
      </c>
      <c r="F864" s="5" t="str">
        <f aca="false">IF(B864=0,"",IF(INDEX(Bank!$C:$C,B864)="","",INDEX(Bank!$C:$C,B864)))</f>
        <v/>
      </c>
      <c r="G864" s="19" t="str">
        <f aca="false">IF(B864=0,"",INDEX(Bank!$E:$E,B864))</f>
        <v/>
      </c>
      <c r="H864" s="5" t="str">
        <f aca="false">IF(B864=0,"",IF(INDEX(Bank!$H:$H,B864)="","",INDEX(Bank!$H:$H,B864)))</f>
        <v/>
      </c>
      <c r="I864" s="5" t="n">
        <f aca="false">IF(H864="",0,IFERROR(MATCH(H864,GL!$A:$A,0),0))</f>
        <v>0</v>
      </c>
      <c r="J864" s="32" t="str">
        <f aca="false">IF(I864=0,"",INDEX(GL!$B:$B,I864))</f>
        <v/>
      </c>
      <c r="K864" s="5" t="str">
        <f aca="false">IF(I864=0,"",IF(INDEX(GL!$C:$C,I864)="","",INDEX(GL!$C:$C,I864)))</f>
        <v/>
      </c>
      <c r="L864" s="19" t="str">
        <f aca="false">IF(I864=0,"",INDEX(GL!$E:$E,I864))</f>
        <v/>
      </c>
      <c r="M864" s="19" t="str">
        <f aca="false">IF(OR(B864=0,I864=0),"",ROUND(G864-L864,2))</f>
        <v/>
      </c>
      <c r="N864" s="5" t="str">
        <f aca="false">IF(A864="","",IF(B864=0,"NOT FOUND: bank ID",IF(I864=0,"NOT FOUND: GL ID",IF(INDEX(GL!$H:$H,I864)&lt;&gt;A864,"BROKEN: GL points elsewhere",IF(OR(INDEX(Bank!$F:$F,B864)&lt;&gt;"Y",INDEX(GL!$F:$F,I864)&lt;&gt;"Y"),"BROKEN: Status not Y","OK")))))</f>
        <v/>
      </c>
    </row>
    <row r="865" customFormat="false" ht="15" hidden="false" customHeight="false" outlineLevel="0" collapsed="false">
      <c r="A865" s="41"/>
      <c r="B865" s="5" t="n">
        <f aca="false">IF(A865="",0,IFERROR(MATCH(A865,Bank!$A:$A,0),0))</f>
        <v>0</v>
      </c>
      <c r="C865" s="5" t="str">
        <f aca="false">IF(B865=0,"",IF(INDEX(Bank!$G:$G,B865)="","",INDEX(Bank!$G:$G,B865)))</f>
        <v/>
      </c>
      <c r="D865" s="5" t="str">
        <f aca="false">IF(B865=0,"",IF(INDEX(Bank!$J:$J,B865)="","",INDEX(Bank!$J:$J,B865)))</f>
        <v/>
      </c>
      <c r="E865" s="32" t="str">
        <f aca="false">IF(B865=0,"",INDEX(Bank!$B:$B,B865))</f>
        <v/>
      </c>
      <c r="F865" s="5" t="str">
        <f aca="false">IF(B865=0,"",IF(INDEX(Bank!$C:$C,B865)="","",INDEX(Bank!$C:$C,B865)))</f>
        <v/>
      </c>
      <c r="G865" s="19" t="str">
        <f aca="false">IF(B865=0,"",INDEX(Bank!$E:$E,B865))</f>
        <v/>
      </c>
      <c r="H865" s="5" t="str">
        <f aca="false">IF(B865=0,"",IF(INDEX(Bank!$H:$H,B865)="","",INDEX(Bank!$H:$H,B865)))</f>
        <v/>
      </c>
      <c r="I865" s="5" t="n">
        <f aca="false">IF(H865="",0,IFERROR(MATCH(H865,GL!$A:$A,0),0))</f>
        <v>0</v>
      </c>
      <c r="J865" s="32" t="str">
        <f aca="false">IF(I865=0,"",INDEX(GL!$B:$B,I865))</f>
        <v/>
      </c>
      <c r="K865" s="5" t="str">
        <f aca="false">IF(I865=0,"",IF(INDEX(GL!$C:$C,I865)="","",INDEX(GL!$C:$C,I865)))</f>
        <v/>
      </c>
      <c r="L865" s="19" t="str">
        <f aca="false">IF(I865=0,"",INDEX(GL!$E:$E,I865))</f>
        <v/>
      </c>
      <c r="M865" s="19" t="str">
        <f aca="false">IF(OR(B865=0,I865=0),"",ROUND(G865-L865,2))</f>
        <v/>
      </c>
      <c r="N865" s="5" t="str">
        <f aca="false">IF(A865="","",IF(B865=0,"NOT FOUND: bank ID",IF(I865=0,"NOT FOUND: GL ID",IF(INDEX(GL!$H:$H,I865)&lt;&gt;A865,"BROKEN: GL points elsewhere",IF(OR(INDEX(Bank!$F:$F,B865)&lt;&gt;"Y",INDEX(GL!$F:$F,I865)&lt;&gt;"Y"),"BROKEN: Status not Y","OK")))))</f>
        <v/>
      </c>
    </row>
    <row r="866" customFormat="false" ht="15" hidden="false" customHeight="false" outlineLevel="0" collapsed="false">
      <c r="A866" s="41"/>
      <c r="B866" s="5" t="n">
        <f aca="false">IF(A866="",0,IFERROR(MATCH(A866,Bank!$A:$A,0),0))</f>
        <v>0</v>
      </c>
      <c r="C866" s="5" t="str">
        <f aca="false">IF(B866=0,"",IF(INDEX(Bank!$G:$G,B866)="","",INDEX(Bank!$G:$G,B866)))</f>
        <v/>
      </c>
      <c r="D866" s="5" t="str">
        <f aca="false">IF(B866=0,"",IF(INDEX(Bank!$J:$J,B866)="","",INDEX(Bank!$J:$J,B866)))</f>
        <v/>
      </c>
      <c r="E866" s="32" t="str">
        <f aca="false">IF(B866=0,"",INDEX(Bank!$B:$B,B866))</f>
        <v/>
      </c>
      <c r="F866" s="5" t="str">
        <f aca="false">IF(B866=0,"",IF(INDEX(Bank!$C:$C,B866)="","",INDEX(Bank!$C:$C,B866)))</f>
        <v/>
      </c>
      <c r="G866" s="19" t="str">
        <f aca="false">IF(B866=0,"",INDEX(Bank!$E:$E,B866))</f>
        <v/>
      </c>
      <c r="H866" s="5" t="str">
        <f aca="false">IF(B866=0,"",IF(INDEX(Bank!$H:$H,B866)="","",INDEX(Bank!$H:$H,B866)))</f>
        <v/>
      </c>
      <c r="I866" s="5" t="n">
        <f aca="false">IF(H866="",0,IFERROR(MATCH(H866,GL!$A:$A,0),0))</f>
        <v>0</v>
      </c>
      <c r="J866" s="32" t="str">
        <f aca="false">IF(I866=0,"",INDEX(GL!$B:$B,I866))</f>
        <v/>
      </c>
      <c r="K866" s="5" t="str">
        <f aca="false">IF(I866=0,"",IF(INDEX(GL!$C:$C,I866)="","",INDEX(GL!$C:$C,I866)))</f>
        <v/>
      </c>
      <c r="L866" s="19" t="str">
        <f aca="false">IF(I866=0,"",INDEX(GL!$E:$E,I866))</f>
        <v/>
      </c>
      <c r="M866" s="19" t="str">
        <f aca="false">IF(OR(B866=0,I866=0),"",ROUND(G866-L866,2))</f>
        <v/>
      </c>
      <c r="N866" s="5" t="str">
        <f aca="false">IF(A866="","",IF(B866=0,"NOT FOUND: bank ID",IF(I866=0,"NOT FOUND: GL ID",IF(INDEX(GL!$H:$H,I866)&lt;&gt;A866,"BROKEN: GL points elsewhere",IF(OR(INDEX(Bank!$F:$F,B866)&lt;&gt;"Y",INDEX(GL!$F:$F,I866)&lt;&gt;"Y"),"BROKEN: Status not Y","OK")))))</f>
        <v/>
      </c>
    </row>
    <row r="867" customFormat="false" ht="15" hidden="false" customHeight="false" outlineLevel="0" collapsed="false">
      <c r="A867" s="41"/>
      <c r="B867" s="5" t="n">
        <f aca="false">IF(A867="",0,IFERROR(MATCH(A867,Bank!$A:$A,0),0))</f>
        <v>0</v>
      </c>
      <c r="C867" s="5" t="str">
        <f aca="false">IF(B867=0,"",IF(INDEX(Bank!$G:$G,B867)="","",INDEX(Bank!$G:$G,B867)))</f>
        <v/>
      </c>
      <c r="D867" s="5" t="str">
        <f aca="false">IF(B867=0,"",IF(INDEX(Bank!$J:$J,B867)="","",INDEX(Bank!$J:$J,B867)))</f>
        <v/>
      </c>
      <c r="E867" s="32" t="str">
        <f aca="false">IF(B867=0,"",INDEX(Bank!$B:$B,B867))</f>
        <v/>
      </c>
      <c r="F867" s="5" t="str">
        <f aca="false">IF(B867=0,"",IF(INDEX(Bank!$C:$C,B867)="","",INDEX(Bank!$C:$C,B867)))</f>
        <v/>
      </c>
      <c r="G867" s="19" t="str">
        <f aca="false">IF(B867=0,"",INDEX(Bank!$E:$E,B867))</f>
        <v/>
      </c>
      <c r="H867" s="5" t="str">
        <f aca="false">IF(B867=0,"",IF(INDEX(Bank!$H:$H,B867)="","",INDEX(Bank!$H:$H,B867)))</f>
        <v/>
      </c>
      <c r="I867" s="5" t="n">
        <f aca="false">IF(H867="",0,IFERROR(MATCH(H867,GL!$A:$A,0),0))</f>
        <v>0</v>
      </c>
      <c r="J867" s="32" t="str">
        <f aca="false">IF(I867=0,"",INDEX(GL!$B:$B,I867))</f>
        <v/>
      </c>
      <c r="K867" s="5" t="str">
        <f aca="false">IF(I867=0,"",IF(INDEX(GL!$C:$C,I867)="","",INDEX(GL!$C:$C,I867)))</f>
        <v/>
      </c>
      <c r="L867" s="19" t="str">
        <f aca="false">IF(I867=0,"",INDEX(GL!$E:$E,I867))</f>
        <v/>
      </c>
      <c r="M867" s="19" t="str">
        <f aca="false">IF(OR(B867=0,I867=0),"",ROUND(G867-L867,2))</f>
        <v/>
      </c>
      <c r="N867" s="5" t="str">
        <f aca="false">IF(A867="","",IF(B867=0,"NOT FOUND: bank ID",IF(I867=0,"NOT FOUND: GL ID",IF(INDEX(GL!$H:$H,I867)&lt;&gt;A867,"BROKEN: GL points elsewhere",IF(OR(INDEX(Bank!$F:$F,B867)&lt;&gt;"Y",INDEX(GL!$F:$F,I867)&lt;&gt;"Y"),"BROKEN: Status not Y","OK")))))</f>
        <v/>
      </c>
    </row>
    <row r="868" customFormat="false" ht="15" hidden="false" customHeight="false" outlineLevel="0" collapsed="false">
      <c r="A868" s="41"/>
      <c r="B868" s="5" t="n">
        <f aca="false">IF(A868="",0,IFERROR(MATCH(A868,Bank!$A:$A,0),0))</f>
        <v>0</v>
      </c>
      <c r="C868" s="5" t="str">
        <f aca="false">IF(B868=0,"",IF(INDEX(Bank!$G:$G,B868)="","",INDEX(Bank!$G:$G,B868)))</f>
        <v/>
      </c>
      <c r="D868" s="5" t="str">
        <f aca="false">IF(B868=0,"",IF(INDEX(Bank!$J:$J,B868)="","",INDEX(Bank!$J:$J,B868)))</f>
        <v/>
      </c>
      <c r="E868" s="32" t="str">
        <f aca="false">IF(B868=0,"",INDEX(Bank!$B:$B,B868))</f>
        <v/>
      </c>
      <c r="F868" s="5" t="str">
        <f aca="false">IF(B868=0,"",IF(INDEX(Bank!$C:$C,B868)="","",INDEX(Bank!$C:$C,B868)))</f>
        <v/>
      </c>
      <c r="G868" s="19" t="str">
        <f aca="false">IF(B868=0,"",INDEX(Bank!$E:$E,B868))</f>
        <v/>
      </c>
      <c r="H868" s="5" t="str">
        <f aca="false">IF(B868=0,"",IF(INDEX(Bank!$H:$H,B868)="","",INDEX(Bank!$H:$H,B868)))</f>
        <v/>
      </c>
      <c r="I868" s="5" t="n">
        <f aca="false">IF(H868="",0,IFERROR(MATCH(H868,GL!$A:$A,0),0))</f>
        <v>0</v>
      </c>
      <c r="J868" s="32" t="str">
        <f aca="false">IF(I868=0,"",INDEX(GL!$B:$B,I868))</f>
        <v/>
      </c>
      <c r="K868" s="5" t="str">
        <f aca="false">IF(I868=0,"",IF(INDEX(GL!$C:$C,I868)="","",INDEX(GL!$C:$C,I868)))</f>
        <v/>
      </c>
      <c r="L868" s="19" t="str">
        <f aca="false">IF(I868=0,"",INDEX(GL!$E:$E,I868))</f>
        <v/>
      </c>
      <c r="M868" s="19" t="str">
        <f aca="false">IF(OR(B868=0,I868=0),"",ROUND(G868-L868,2))</f>
        <v/>
      </c>
      <c r="N868" s="5" t="str">
        <f aca="false">IF(A868="","",IF(B868=0,"NOT FOUND: bank ID",IF(I868=0,"NOT FOUND: GL ID",IF(INDEX(GL!$H:$H,I868)&lt;&gt;A868,"BROKEN: GL points elsewhere",IF(OR(INDEX(Bank!$F:$F,B868)&lt;&gt;"Y",INDEX(GL!$F:$F,I868)&lt;&gt;"Y"),"BROKEN: Status not Y","OK")))))</f>
        <v/>
      </c>
    </row>
    <row r="869" customFormat="false" ht="15" hidden="false" customHeight="false" outlineLevel="0" collapsed="false">
      <c r="A869" s="41"/>
      <c r="B869" s="5" t="n">
        <f aca="false">IF(A869="",0,IFERROR(MATCH(A869,Bank!$A:$A,0),0))</f>
        <v>0</v>
      </c>
      <c r="C869" s="5" t="str">
        <f aca="false">IF(B869=0,"",IF(INDEX(Bank!$G:$G,B869)="","",INDEX(Bank!$G:$G,B869)))</f>
        <v/>
      </c>
      <c r="D869" s="5" t="str">
        <f aca="false">IF(B869=0,"",IF(INDEX(Bank!$J:$J,B869)="","",INDEX(Bank!$J:$J,B869)))</f>
        <v/>
      </c>
      <c r="E869" s="32" t="str">
        <f aca="false">IF(B869=0,"",INDEX(Bank!$B:$B,B869))</f>
        <v/>
      </c>
      <c r="F869" s="5" t="str">
        <f aca="false">IF(B869=0,"",IF(INDEX(Bank!$C:$C,B869)="","",INDEX(Bank!$C:$C,B869)))</f>
        <v/>
      </c>
      <c r="G869" s="19" t="str">
        <f aca="false">IF(B869=0,"",INDEX(Bank!$E:$E,B869))</f>
        <v/>
      </c>
      <c r="H869" s="5" t="str">
        <f aca="false">IF(B869=0,"",IF(INDEX(Bank!$H:$H,B869)="","",INDEX(Bank!$H:$H,B869)))</f>
        <v/>
      </c>
      <c r="I869" s="5" t="n">
        <f aca="false">IF(H869="",0,IFERROR(MATCH(H869,GL!$A:$A,0),0))</f>
        <v>0</v>
      </c>
      <c r="J869" s="32" t="str">
        <f aca="false">IF(I869=0,"",INDEX(GL!$B:$B,I869))</f>
        <v/>
      </c>
      <c r="K869" s="5" t="str">
        <f aca="false">IF(I869=0,"",IF(INDEX(GL!$C:$C,I869)="","",INDEX(GL!$C:$C,I869)))</f>
        <v/>
      </c>
      <c r="L869" s="19" t="str">
        <f aca="false">IF(I869=0,"",INDEX(GL!$E:$E,I869))</f>
        <v/>
      </c>
      <c r="M869" s="19" t="str">
        <f aca="false">IF(OR(B869=0,I869=0),"",ROUND(G869-L869,2))</f>
        <v/>
      </c>
      <c r="N869" s="5" t="str">
        <f aca="false">IF(A869="","",IF(B869=0,"NOT FOUND: bank ID",IF(I869=0,"NOT FOUND: GL ID",IF(INDEX(GL!$H:$H,I869)&lt;&gt;A869,"BROKEN: GL points elsewhere",IF(OR(INDEX(Bank!$F:$F,B869)&lt;&gt;"Y",INDEX(GL!$F:$F,I869)&lt;&gt;"Y"),"BROKEN: Status not Y","OK")))))</f>
        <v/>
      </c>
    </row>
    <row r="870" customFormat="false" ht="15" hidden="false" customHeight="false" outlineLevel="0" collapsed="false">
      <c r="A870" s="41"/>
      <c r="B870" s="5" t="n">
        <f aca="false">IF(A870="",0,IFERROR(MATCH(A870,Bank!$A:$A,0),0))</f>
        <v>0</v>
      </c>
      <c r="C870" s="5" t="str">
        <f aca="false">IF(B870=0,"",IF(INDEX(Bank!$G:$G,B870)="","",INDEX(Bank!$G:$G,B870)))</f>
        <v/>
      </c>
      <c r="D870" s="5" t="str">
        <f aca="false">IF(B870=0,"",IF(INDEX(Bank!$J:$J,B870)="","",INDEX(Bank!$J:$J,B870)))</f>
        <v/>
      </c>
      <c r="E870" s="32" t="str">
        <f aca="false">IF(B870=0,"",INDEX(Bank!$B:$B,B870))</f>
        <v/>
      </c>
      <c r="F870" s="5" t="str">
        <f aca="false">IF(B870=0,"",IF(INDEX(Bank!$C:$C,B870)="","",INDEX(Bank!$C:$C,B870)))</f>
        <v/>
      </c>
      <c r="G870" s="19" t="str">
        <f aca="false">IF(B870=0,"",INDEX(Bank!$E:$E,B870))</f>
        <v/>
      </c>
      <c r="H870" s="5" t="str">
        <f aca="false">IF(B870=0,"",IF(INDEX(Bank!$H:$H,B870)="","",INDEX(Bank!$H:$H,B870)))</f>
        <v/>
      </c>
      <c r="I870" s="5" t="n">
        <f aca="false">IF(H870="",0,IFERROR(MATCH(H870,GL!$A:$A,0),0))</f>
        <v>0</v>
      </c>
      <c r="J870" s="32" t="str">
        <f aca="false">IF(I870=0,"",INDEX(GL!$B:$B,I870))</f>
        <v/>
      </c>
      <c r="K870" s="5" t="str">
        <f aca="false">IF(I870=0,"",IF(INDEX(GL!$C:$C,I870)="","",INDEX(GL!$C:$C,I870)))</f>
        <v/>
      </c>
      <c r="L870" s="19" t="str">
        <f aca="false">IF(I870=0,"",INDEX(GL!$E:$E,I870))</f>
        <v/>
      </c>
      <c r="M870" s="19" t="str">
        <f aca="false">IF(OR(B870=0,I870=0),"",ROUND(G870-L870,2))</f>
        <v/>
      </c>
      <c r="N870" s="5" t="str">
        <f aca="false">IF(A870="","",IF(B870=0,"NOT FOUND: bank ID",IF(I870=0,"NOT FOUND: GL ID",IF(INDEX(GL!$H:$H,I870)&lt;&gt;A870,"BROKEN: GL points elsewhere",IF(OR(INDEX(Bank!$F:$F,B870)&lt;&gt;"Y",INDEX(GL!$F:$F,I870)&lt;&gt;"Y"),"BROKEN: Status not Y","OK")))))</f>
        <v/>
      </c>
    </row>
    <row r="871" customFormat="false" ht="15" hidden="false" customHeight="false" outlineLevel="0" collapsed="false">
      <c r="A871" s="41"/>
      <c r="B871" s="5" t="n">
        <f aca="false">IF(A871="",0,IFERROR(MATCH(A871,Bank!$A:$A,0),0))</f>
        <v>0</v>
      </c>
      <c r="C871" s="5" t="str">
        <f aca="false">IF(B871=0,"",IF(INDEX(Bank!$G:$G,B871)="","",INDEX(Bank!$G:$G,B871)))</f>
        <v/>
      </c>
      <c r="D871" s="5" t="str">
        <f aca="false">IF(B871=0,"",IF(INDEX(Bank!$J:$J,B871)="","",INDEX(Bank!$J:$J,B871)))</f>
        <v/>
      </c>
      <c r="E871" s="32" t="str">
        <f aca="false">IF(B871=0,"",INDEX(Bank!$B:$B,B871))</f>
        <v/>
      </c>
      <c r="F871" s="5" t="str">
        <f aca="false">IF(B871=0,"",IF(INDEX(Bank!$C:$C,B871)="","",INDEX(Bank!$C:$C,B871)))</f>
        <v/>
      </c>
      <c r="G871" s="19" t="str">
        <f aca="false">IF(B871=0,"",INDEX(Bank!$E:$E,B871))</f>
        <v/>
      </c>
      <c r="H871" s="5" t="str">
        <f aca="false">IF(B871=0,"",IF(INDEX(Bank!$H:$H,B871)="","",INDEX(Bank!$H:$H,B871)))</f>
        <v/>
      </c>
      <c r="I871" s="5" t="n">
        <f aca="false">IF(H871="",0,IFERROR(MATCH(H871,GL!$A:$A,0),0))</f>
        <v>0</v>
      </c>
      <c r="J871" s="32" t="str">
        <f aca="false">IF(I871=0,"",INDEX(GL!$B:$B,I871))</f>
        <v/>
      </c>
      <c r="K871" s="5" t="str">
        <f aca="false">IF(I871=0,"",IF(INDEX(GL!$C:$C,I871)="","",INDEX(GL!$C:$C,I871)))</f>
        <v/>
      </c>
      <c r="L871" s="19" t="str">
        <f aca="false">IF(I871=0,"",INDEX(GL!$E:$E,I871))</f>
        <v/>
      </c>
      <c r="M871" s="19" t="str">
        <f aca="false">IF(OR(B871=0,I871=0),"",ROUND(G871-L871,2))</f>
        <v/>
      </c>
      <c r="N871" s="5" t="str">
        <f aca="false">IF(A871="","",IF(B871=0,"NOT FOUND: bank ID",IF(I871=0,"NOT FOUND: GL ID",IF(INDEX(GL!$H:$H,I871)&lt;&gt;A871,"BROKEN: GL points elsewhere",IF(OR(INDEX(Bank!$F:$F,B871)&lt;&gt;"Y",INDEX(GL!$F:$F,I871)&lt;&gt;"Y"),"BROKEN: Status not Y","OK")))))</f>
        <v/>
      </c>
    </row>
    <row r="872" customFormat="false" ht="15" hidden="false" customHeight="false" outlineLevel="0" collapsed="false">
      <c r="A872" s="41"/>
      <c r="B872" s="5" t="n">
        <f aca="false">IF(A872="",0,IFERROR(MATCH(A872,Bank!$A:$A,0),0))</f>
        <v>0</v>
      </c>
      <c r="C872" s="5" t="str">
        <f aca="false">IF(B872=0,"",IF(INDEX(Bank!$G:$G,B872)="","",INDEX(Bank!$G:$G,B872)))</f>
        <v/>
      </c>
      <c r="D872" s="5" t="str">
        <f aca="false">IF(B872=0,"",IF(INDEX(Bank!$J:$J,B872)="","",INDEX(Bank!$J:$J,B872)))</f>
        <v/>
      </c>
      <c r="E872" s="32" t="str">
        <f aca="false">IF(B872=0,"",INDEX(Bank!$B:$B,B872))</f>
        <v/>
      </c>
      <c r="F872" s="5" t="str">
        <f aca="false">IF(B872=0,"",IF(INDEX(Bank!$C:$C,B872)="","",INDEX(Bank!$C:$C,B872)))</f>
        <v/>
      </c>
      <c r="G872" s="19" t="str">
        <f aca="false">IF(B872=0,"",INDEX(Bank!$E:$E,B872))</f>
        <v/>
      </c>
      <c r="H872" s="5" t="str">
        <f aca="false">IF(B872=0,"",IF(INDEX(Bank!$H:$H,B872)="","",INDEX(Bank!$H:$H,B872)))</f>
        <v/>
      </c>
      <c r="I872" s="5" t="n">
        <f aca="false">IF(H872="",0,IFERROR(MATCH(H872,GL!$A:$A,0),0))</f>
        <v>0</v>
      </c>
      <c r="J872" s="32" t="str">
        <f aca="false">IF(I872=0,"",INDEX(GL!$B:$B,I872))</f>
        <v/>
      </c>
      <c r="K872" s="5" t="str">
        <f aca="false">IF(I872=0,"",IF(INDEX(GL!$C:$C,I872)="","",INDEX(GL!$C:$C,I872)))</f>
        <v/>
      </c>
      <c r="L872" s="19" t="str">
        <f aca="false">IF(I872=0,"",INDEX(GL!$E:$E,I872))</f>
        <v/>
      </c>
      <c r="M872" s="19" t="str">
        <f aca="false">IF(OR(B872=0,I872=0),"",ROUND(G872-L872,2))</f>
        <v/>
      </c>
      <c r="N872" s="5" t="str">
        <f aca="false">IF(A872="","",IF(B872=0,"NOT FOUND: bank ID",IF(I872=0,"NOT FOUND: GL ID",IF(INDEX(GL!$H:$H,I872)&lt;&gt;A872,"BROKEN: GL points elsewhere",IF(OR(INDEX(Bank!$F:$F,B872)&lt;&gt;"Y",INDEX(GL!$F:$F,I872)&lt;&gt;"Y"),"BROKEN: Status not Y","OK")))))</f>
        <v/>
      </c>
    </row>
    <row r="873" customFormat="false" ht="15" hidden="false" customHeight="false" outlineLevel="0" collapsed="false">
      <c r="A873" s="41"/>
      <c r="B873" s="5" t="n">
        <f aca="false">IF(A873="",0,IFERROR(MATCH(A873,Bank!$A:$A,0),0))</f>
        <v>0</v>
      </c>
      <c r="C873" s="5" t="str">
        <f aca="false">IF(B873=0,"",IF(INDEX(Bank!$G:$G,B873)="","",INDEX(Bank!$G:$G,B873)))</f>
        <v/>
      </c>
      <c r="D873" s="5" t="str">
        <f aca="false">IF(B873=0,"",IF(INDEX(Bank!$J:$J,B873)="","",INDEX(Bank!$J:$J,B873)))</f>
        <v/>
      </c>
      <c r="E873" s="32" t="str">
        <f aca="false">IF(B873=0,"",INDEX(Bank!$B:$B,B873))</f>
        <v/>
      </c>
      <c r="F873" s="5" t="str">
        <f aca="false">IF(B873=0,"",IF(INDEX(Bank!$C:$C,B873)="","",INDEX(Bank!$C:$C,B873)))</f>
        <v/>
      </c>
      <c r="G873" s="19" t="str">
        <f aca="false">IF(B873=0,"",INDEX(Bank!$E:$E,B873))</f>
        <v/>
      </c>
      <c r="H873" s="5" t="str">
        <f aca="false">IF(B873=0,"",IF(INDEX(Bank!$H:$H,B873)="","",INDEX(Bank!$H:$H,B873)))</f>
        <v/>
      </c>
      <c r="I873" s="5" t="n">
        <f aca="false">IF(H873="",0,IFERROR(MATCH(H873,GL!$A:$A,0),0))</f>
        <v>0</v>
      </c>
      <c r="J873" s="32" t="str">
        <f aca="false">IF(I873=0,"",INDEX(GL!$B:$B,I873))</f>
        <v/>
      </c>
      <c r="K873" s="5" t="str">
        <f aca="false">IF(I873=0,"",IF(INDEX(GL!$C:$C,I873)="","",INDEX(GL!$C:$C,I873)))</f>
        <v/>
      </c>
      <c r="L873" s="19" t="str">
        <f aca="false">IF(I873=0,"",INDEX(GL!$E:$E,I873))</f>
        <v/>
      </c>
      <c r="M873" s="19" t="str">
        <f aca="false">IF(OR(B873=0,I873=0),"",ROUND(G873-L873,2))</f>
        <v/>
      </c>
      <c r="N873" s="5" t="str">
        <f aca="false">IF(A873="","",IF(B873=0,"NOT FOUND: bank ID",IF(I873=0,"NOT FOUND: GL ID",IF(INDEX(GL!$H:$H,I873)&lt;&gt;A873,"BROKEN: GL points elsewhere",IF(OR(INDEX(Bank!$F:$F,B873)&lt;&gt;"Y",INDEX(GL!$F:$F,I873)&lt;&gt;"Y"),"BROKEN: Status not Y","OK")))))</f>
        <v/>
      </c>
    </row>
    <row r="874" customFormat="false" ht="15" hidden="false" customHeight="false" outlineLevel="0" collapsed="false">
      <c r="A874" s="41"/>
      <c r="B874" s="5" t="n">
        <f aca="false">IF(A874="",0,IFERROR(MATCH(A874,Bank!$A:$A,0),0))</f>
        <v>0</v>
      </c>
      <c r="C874" s="5" t="str">
        <f aca="false">IF(B874=0,"",IF(INDEX(Bank!$G:$G,B874)="","",INDEX(Bank!$G:$G,B874)))</f>
        <v/>
      </c>
      <c r="D874" s="5" t="str">
        <f aca="false">IF(B874=0,"",IF(INDEX(Bank!$J:$J,B874)="","",INDEX(Bank!$J:$J,B874)))</f>
        <v/>
      </c>
      <c r="E874" s="32" t="str">
        <f aca="false">IF(B874=0,"",INDEX(Bank!$B:$B,B874))</f>
        <v/>
      </c>
      <c r="F874" s="5" t="str">
        <f aca="false">IF(B874=0,"",IF(INDEX(Bank!$C:$C,B874)="","",INDEX(Bank!$C:$C,B874)))</f>
        <v/>
      </c>
      <c r="G874" s="19" t="str">
        <f aca="false">IF(B874=0,"",INDEX(Bank!$E:$E,B874))</f>
        <v/>
      </c>
      <c r="H874" s="5" t="str">
        <f aca="false">IF(B874=0,"",IF(INDEX(Bank!$H:$H,B874)="","",INDEX(Bank!$H:$H,B874)))</f>
        <v/>
      </c>
      <c r="I874" s="5" t="n">
        <f aca="false">IF(H874="",0,IFERROR(MATCH(H874,GL!$A:$A,0),0))</f>
        <v>0</v>
      </c>
      <c r="J874" s="32" t="str">
        <f aca="false">IF(I874=0,"",INDEX(GL!$B:$B,I874))</f>
        <v/>
      </c>
      <c r="K874" s="5" t="str">
        <f aca="false">IF(I874=0,"",IF(INDEX(GL!$C:$C,I874)="","",INDEX(GL!$C:$C,I874)))</f>
        <v/>
      </c>
      <c r="L874" s="19" t="str">
        <f aca="false">IF(I874=0,"",INDEX(GL!$E:$E,I874))</f>
        <v/>
      </c>
      <c r="M874" s="19" t="str">
        <f aca="false">IF(OR(B874=0,I874=0),"",ROUND(G874-L874,2))</f>
        <v/>
      </c>
      <c r="N874" s="5" t="str">
        <f aca="false">IF(A874="","",IF(B874=0,"NOT FOUND: bank ID",IF(I874=0,"NOT FOUND: GL ID",IF(INDEX(GL!$H:$H,I874)&lt;&gt;A874,"BROKEN: GL points elsewhere",IF(OR(INDEX(Bank!$F:$F,B874)&lt;&gt;"Y",INDEX(GL!$F:$F,I874)&lt;&gt;"Y"),"BROKEN: Status not Y","OK")))))</f>
        <v/>
      </c>
    </row>
    <row r="875" customFormat="false" ht="15" hidden="false" customHeight="false" outlineLevel="0" collapsed="false">
      <c r="A875" s="41"/>
      <c r="B875" s="5" t="n">
        <f aca="false">IF(A875="",0,IFERROR(MATCH(A875,Bank!$A:$A,0),0))</f>
        <v>0</v>
      </c>
      <c r="C875" s="5" t="str">
        <f aca="false">IF(B875=0,"",IF(INDEX(Bank!$G:$G,B875)="","",INDEX(Bank!$G:$G,B875)))</f>
        <v/>
      </c>
      <c r="D875" s="5" t="str">
        <f aca="false">IF(B875=0,"",IF(INDEX(Bank!$J:$J,B875)="","",INDEX(Bank!$J:$J,B875)))</f>
        <v/>
      </c>
      <c r="E875" s="32" t="str">
        <f aca="false">IF(B875=0,"",INDEX(Bank!$B:$B,B875))</f>
        <v/>
      </c>
      <c r="F875" s="5" t="str">
        <f aca="false">IF(B875=0,"",IF(INDEX(Bank!$C:$C,B875)="","",INDEX(Bank!$C:$C,B875)))</f>
        <v/>
      </c>
      <c r="G875" s="19" t="str">
        <f aca="false">IF(B875=0,"",INDEX(Bank!$E:$E,B875))</f>
        <v/>
      </c>
      <c r="H875" s="5" t="str">
        <f aca="false">IF(B875=0,"",IF(INDEX(Bank!$H:$H,B875)="","",INDEX(Bank!$H:$H,B875)))</f>
        <v/>
      </c>
      <c r="I875" s="5" t="n">
        <f aca="false">IF(H875="",0,IFERROR(MATCH(H875,GL!$A:$A,0),0))</f>
        <v>0</v>
      </c>
      <c r="J875" s="32" t="str">
        <f aca="false">IF(I875=0,"",INDEX(GL!$B:$B,I875))</f>
        <v/>
      </c>
      <c r="K875" s="5" t="str">
        <f aca="false">IF(I875=0,"",IF(INDEX(GL!$C:$C,I875)="","",INDEX(GL!$C:$C,I875)))</f>
        <v/>
      </c>
      <c r="L875" s="19" t="str">
        <f aca="false">IF(I875=0,"",INDEX(GL!$E:$E,I875))</f>
        <v/>
      </c>
      <c r="M875" s="19" t="str">
        <f aca="false">IF(OR(B875=0,I875=0),"",ROUND(G875-L875,2))</f>
        <v/>
      </c>
      <c r="N875" s="5" t="str">
        <f aca="false">IF(A875="","",IF(B875=0,"NOT FOUND: bank ID",IF(I875=0,"NOT FOUND: GL ID",IF(INDEX(GL!$H:$H,I875)&lt;&gt;A875,"BROKEN: GL points elsewhere",IF(OR(INDEX(Bank!$F:$F,B875)&lt;&gt;"Y",INDEX(GL!$F:$F,I875)&lt;&gt;"Y"),"BROKEN: Status not Y","OK")))))</f>
        <v/>
      </c>
    </row>
    <row r="876" customFormat="false" ht="15" hidden="false" customHeight="false" outlineLevel="0" collapsed="false">
      <c r="A876" s="41"/>
      <c r="B876" s="5" t="n">
        <f aca="false">IF(A876="",0,IFERROR(MATCH(A876,Bank!$A:$A,0),0))</f>
        <v>0</v>
      </c>
      <c r="C876" s="5" t="str">
        <f aca="false">IF(B876=0,"",IF(INDEX(Bank!$G:$G,B876)="","",INDEX(Bank!$G:$G,B876)))</f>
        <v/>
      </c>
      <c r="D876" s="5" t="str">
        <f aca="false">IF(B876=0,"",IF(INDEX(Bank!$J:$J,B876)="","",INDEX(Bank!$J:$J,B876)))</f>
        <v/>
      </c>
      <c r="E876" s="32" t="str">
        <f aca="false">IF(B876=0,"",INDEX(Bank!$B:$B,B876))</f>
        <v/>
      </c>
      <c r="F876" s="5" t="str">
        <f aca="false">IF(B876=0,"",IF(INDEX(Bank!$C:$C,B876)="","",INDEX(Bank!$C:$C,B876)))</f>
        <v/>
      </c>
      <c r="G876" s="19" t="str">
        <f aca="false">IF(B876=0,"",INDEX(Bank!$E:$E,B876))</f>
        <v/>
      </c>
      <c r="H876" s="5" t="str">
        <f aca="false">IF(B876=0,"",IF(INDEX(Bank!$H:$H,B876)="","",INDEX(Bank!$H:$H,B876)))</f>
        <v/>
      </c>
      <c r="I876" s="5" t="n">
        <f aca="false">IF(H876="",0,IFERROR(MATCH(H876,GL!$A:$A,0),0))</f>
        <v>0</v>
      </c>
      <c r="J876" s="32" t="str">
        <f aca="false">IF(I876=0,"",INDEX(GL!$B:$B,I876))</f>
        <v/>
      </c>
      <c r="K876" s="5" t="str">
        <f aca="false">IF(I876=0,"",IF(INDEX(GL!$C:$C,I876)="","",INDEX(GL!$C:$C,I876)))</f>
        <v/>
      </c>
      <c r="L876" s="19" t="str">
        <f aca="false">IF(I876=0,"",INDEX(GL!$E:$E,I876))</f>
        <v/>
      </c>
      <c r="M876" s="19" t="str">
        <f aca="false">IF(OR(B876=0,I876=0),"",ROUND(G876-L876,2))</f>
        <v/>
      </c>
      <c r="N876" s="5" t="str">
        <f aca="false">IF(A876="","",IF(B876=0,"NOT FOUND: bank ID",IF(I876=0,"NOT FOUND: GL ID",IF(INDEX(GL!$H:$H,I876)&lt;&gt;A876,"BROKEN: GL points elsewhere",IF(OR(INDEX(Bank!$F:$F,B876)&lt;&gt;"Y",INDEX(GL!$F:$F,I876)&lt;&gt;"Y"),"BROKEN: Status not Y","OK")))))</f>
        <v/>
      </c>
    </row>
    <row r="877" customFormat="false" ht="15" hidden="false" customHeight="false" outlineLevel="0" collapsed="false">
      <c r="A877" s="41"/>
      <c r="B877" s="5" t="n">
        <f aca="false">IF(A877="",0,IFERROR(MATCH(A877,Bank!$A:$A,0),0))</f>
        <v>0</v>
      </c>
      <c r="C877" s="5" t="str">
        <f aca="false">IF(B877=0,"",IF(INDEX(Bank!$G:$G,B877)="","",INDEX(Bank!$G:$G,B877)))</f>
        <v/>
      </c>
      <c r="D877" s="5" t="str">
        <f aca="false">IF(B877=0,"",IF(INDEX(Bank!$J:$J,B877)="","",INDEX(Bank!$J:$J,B877)))</f>
        <v/>
      </c>
      <c r="E877" s="32" t="str">
        <f aca="false">IF(B877=0,"",INDEX(Bank!$B:$B,B877))</f>
        <v/>
      </c>
      <c r="F877" s="5" t="str">
        <f aca="false">IF(B877=0,"",IF(INDEX(Bank!$C:$C,B877)="","",INDEX(Bank!$C:$C,B877)))</f>
        <v/>
      </c>
      <c r="G877" s="19" t="str">
        <f aca="false">IF(B877=0,"",INDEX(Bank!$E:$E,B877))</f>
        <v/>
      </c>
      <c r="H877" s="5" t="str">
        <f aca="false">IF(B877=0,"",IF(INDEX(Bank!$H:$H,B877)="","",INDEX(Bank!$H:$H,B877)))</f>
        <v/>
      </c>
      <c r="I877" s="5" t="n">
        <f aca="false">IF(H877="",0,IFERROR(MATCH(H877,GL!$A:$A,0),0))</f>
        <v>0</v>
      </c>
      <c r="J877" s="32" t="str">
        <f aca="false">IF(I877=0,"",INDEX(GL!$B:$B,I877))</f>
        <v/>
      </c>
      <c r="K877" s="5" t="str">
        <f aca="false">IF(I877=0,"",IF(INDEX(GL!$C:$C,I877)="","",INDEX(GL!$C:$C,I877)))</f>
        <v/>
      </c>
      <c r="L877" s="19" t="str">
        <f aca="false">IF(I877=0,"",INDEX(GL!$E:$E,I877))</f>
        <v/>
      </c>
      <c r="M877" s="19" t="str">
        <f aca="false">IF(OR(B877=0,I877=0),"",ROUND(G877-L877,2))</f>
        <v/>
      </c>
      <c r="N877" s="5" t="str">
        <f aca="false">IF(A877="","",IF(B877=0,"NOT FOUND: bank ID",IF(I877=0,"NOT FOUND: GL ID",IF(INDEX(GL!$H:$H,I877)&lt;&gt;A877,"BROKEN: GL points elsewhere",IF(OR(INDEX(Bank!$F:$F,B877)&lt;&gt;"Y",INDEX(GL!$F:$F,I877)&lt;&gt;"Y"),"BROKEN: Status not Y","OK")))))</f>
        <v/>
      </c>
    </row>
    <row r="878" customFormat="false" ht="15" hidden="false" customHeight="false" outlineLevel="0" collapsed="false">
      <c r="A878" s="41"/>
      <c r="B878" s="5" t="n">
        <f aca="false">IF(A878="",0,IFERROR(MATCH(A878,Bank!$A:$A,0),0))</f>
        <v>0</v>
      </c>
      <c r="C878" s="5" t="str">
        <f aca="false">IF(B878=0,"",IF(INDEX(Bank!$G:$G,B878)="","",INDEX(Bank!$G:$G,B878)))</f>
        <v/>
      </c>
      <c r="D878" s="5" t="str">
        <f aca="false">IF(B878=0,"",IF(INDEX(Bank!$J:$J,B878)="","",INDEX(Bank!$J:$J,B878)))</f>
        <v/>
      </c>
      <c r="E878" s="32" t="str">
        <f aca="false">IF(B878=0,"",INDEX(Bank!$B:$B,B878))</f>
        <v/>
      </c>
      <c r="F878" s="5" t="str">
        <f aca="false">IF(B878=0,"",IF(INDEX(Bank!$C:$C,B878)="","",INDEX(Bank!$C:$C,B878)))</f>
        <v/>
      </c>
      <c r="G878" s="19" t="str">
        <f aca="false">IF(B878=0,"",INDEX(Bank!$E:$E,B878))</f>
        <v/>
      </c>
      <c r="H878" s="5" t="str">
        <f aca="false">IF(B878=0,"",IF(INDEX(Bank!$H:$H,B878)="","",INDEX(Bank!$H:$H,B878)))</f>
        <v/>
      </c>
      <c r="I878" s="5" t="n">
        <f aca="false">IF(H878="",0,IFERROR(MATCH(H878,GL!$A:$A,0),0))</f>
        <v>0</v>
      </c>
      <c r="J878" s="32" t="str">
        <f aca="false">IF(I878=0,"",INDEX(GL!$B:$B,I878))</f>
        <v/>
      </c>
      <c r="K878" s="5" t="str">
        <f aca="false">IF(I878=0,"",IF(INDEX(GL!$C:$C,I878)="","",INDEX(GL!$C:$C,I878)))</f>
        <v/>
      </c>
      <c r="L878" s="19" t="str">
        <f aca="false">IF(I878=0,"",INDEX(GL!$E:$E,I878))</f>
        <v/>
      </c>
      <c r="M878" s="19" t="str">
        <f aca="false">IF(OR(B878=0,I878=0),"",ROUND(G878-L878,2))</f>
        <v/>
      </c>
      <c r="N878" s="5" t="str">
        <f aca="false">IF(A878="","",IF(B878=0,"NOT FOUND: bank ID",IF(I878=0,"NOT FOUND: GL ID",IF(INDEX(GL!$H:$H,I878)&lt;&gt;A878,"BROKEN: GL points elsewhere",IF(OR(INDEX(Bank!$F:$F,B878)&lt;&gt;"Y",INDEX(GL!$F:$F,I878)&lt;&gt;"Y"),"BROKEN: Status not Y","OK")))))</f>
        <v/>
      </c>
    </row>
    <row r="879" customFormat="false" ht="15" hidden="false" customHeight="false" outlineLevel="0" collapsed="false">
      <c r="A879" s="41"/>
      <c r="B879" s="5" t="n">
        <f aca="false">IF(A879="",0,IFERROR(MATCH(A879,Bank!$A:$A,0),0))</f>
        <v>0</v>
      </c>
      <c r="C879" s="5" t="str">
        <f aca="false">IF(B879=0,"",IF(INDEX(Bank!$G:$G,B879)="","",INDEX(Bank!$G:$G,B879)))</f>
        <v/>
      </c>
      <c r="D879" s="5" t="str">
        <f aca="false">IF(B879=0,"",IF(INDEX(Bank!$J:$J,B879)="","",INDEX(Bank!$J:$J,B879)))</f>
        <v/>
      </c>
      <c r="E879" s="32" t="str">
        <f aca="false">IF(B879=0,"",INDEX(Bank!$B:$B,B879))</f>
        <v/>
      </c>
      <c r="F879" s="5" t="str">
        <f aca="false">IF(B879=0,"",IF(INDEX(Bank!$C:$C,B879)="","",INDEX(Bank!$C:$C,B879)))</f>
        <v/>
      </c>
      <c r="G879" s="19" t="str">
        <f aca="false">IF(B879=0,"",INDEX(Bank!$E:$E,B879))</f>
        <v/>
      </c>
      <c r="H879" s="5" t="str">
        <f aca="false">IF(B879=0,"",IF(INDEX(Bank!$H:$H,B879)="","",INDEX(Bank!$H:$H,B879)))</f>
        <v/>
      </c>
      <c r="I879" s="5" t="n">
        <f aca="false">IF(H879="",0,IFERROR(MATCH(H879,GL!$A:$A,0),0))</f>
        <v>0</v>
      </c>
      <c r="J879" s="32" t="str">
        <f aca="false">IF(I879=0,"",INDEX(GL!$B:$B,I879))</f>
        <v/>
      </c>
      <c r="K879" s="5" t="str">
        <f aca="false">IF(I879=0,"",IF(INDEX(GL!$C:$C,I879)="","",INDEX(GL!$C:$C,I879)))</f>
        <v/>
      </c>
      <c r="L879" s="19" t="str">
        <f aca="false">IF(I879=0,"",INDEX(GL!$E:$E,I879))</f>
        <v/>
      </c>
      <c r="M879" s="19" t="str">
        <f aca="false">IF(OR(B879=0,I879=0),"",ROUND(G879-L879,2))</f>
        <v/>
      </c>
      <c r="N879" s="5" t="str">
        <f aca="false">IF(A879="","",IF(B879=0,"NOT FOUND: bank ID",IF(I879=0,"NOT FOUND: GL ID",IF(INDEX(GL!$H:$H,I879)&lt;&gt;A879,"BROKEN: GL points elsewhere",IF(OR(INDEX(Bank!$F:$F,B879)&lt;&gt;"Y",INDEX(GL!$F:$F,I879)&lt;&gt;"Y"),"BROKEN: Status not Y","OK")))))</f>
        <v/>
      </c>
    </row>
    <row r="880" customFormat="false" ht="15" hidden="false" customHeight="false" outlineLevel="0" collapsed="false">
      <c r="A880" s="41"/>
      <c r="B880" s="5" t="n">
        <f aca="false">IF(A880="",0,IFERROR(MATCH(A880,Bank!$A:$A,0),0))</f>
        <v>0</v>
      </c>
      <c r="C880" s="5" t="str">
        <f aca="false">IF(B880=0,"",IF(INDEX(Bank!$G:$G,B880)="","",INDEX(Bank!$G:$G,B880)))</f>
        <v/>
      </c>
      <c r="D880" s="5" t="str">
        <f aca="false">IF(B880=0,"",IF(INDEX(Bank!$J:$J,B880)="","",INDEX(Bank!$J:$J,B880)))</f>
        <v/>
      </c>
      <c r="E880" s="32" t="str">
        <f aca="false">IF(B880=0,"",INDEX(Bank!$B:$B,B880))</f>
        <v/>
      </c>
      <c r="F880" s="5" t="str">
        <f aca="false">IF(B880=0,"",IF(INDEX(Bank!$C:$C,B880)="","",INDEX(Bank!$C:$C,B880)))</f>
        <v/>
      </c>
      <c r="G880" s="19" t="str">
        <f aca="false">IF(B880=0,"",INDEX(Bank!$E:$E,B880))</f>
        <v/>
      </c>
      <c r="H880" s="5" t="str">
        <f aca="false">IF(B880=0,"",IF(INDEX(Bank!$H:$H,B880)="","",INDEX(Bank!$H:$H,B880)))</f>
        <v/>
      </c>
      <c r="I880" s="5" t="n">
        <f aca="false">IF(H880="",0,IFERROR(MATCH(H880,GL!$A:$A,0),0))</f>
        <v>0</v>
      </c>
      <c r="J880" s="32" t="str">
        <f aca="false">IF(I880=0,"",INDEX(GL!$B:$B,I880))</f>
        <v/>
      </c>
      <c r="K880" s="5" t="str">
        <f aca="false">IF(I880=0,"",IF(INDEX(GL!$C:$C,I880)="","",INDEX(GL!$C:$C,I880)))</f>
        <v/>
      </c>
      <c r="L880" s="19" t="str">
        <f aca="false">IF(I880=0,"",INDEX(GL!$E:$E,I880))</f>
        <v/>
      </c>
      <c r="M880" s="19" t="str">
        <f aca="false">IF(OR(B880=0,I880=0),"",ROUND(G880-L880,2))</f>
        <v/>
      </c>
      <c r="N880" s="5" t="str">
        <f aca="false">IF(A880="","",IF(B880=0,"NOT FOUND: bank ID",IF(I880=0,"NOT FOUND: GL ID",IF(INDEX(GL!$H:$H,I880)&lt;&gt;A880,"BROKEN: GL points elsewhere",IF(OR(INDEX(Bank!$F:$F,B880)&lt;&gt;"Y",INDEX(GL!$F:$F,I880)&lt;&gt;"Y"),"BROKEN: Status not Y","OK")))))</f>
        <v/>
      </c>
    </row>
    <row r="881" customFormat="false" ht="15" hidden="false" customHeight="false" outlineLevel="0" collapsed="false">
      <c r="A881" s="41"/>
      <c r="B881" s="5" t="n">
        <f aca="false">IF(A881="",0,IFERROR(MATCH(A881,Bank!$A:$A,0),0))</f>
        <v>0</v>
      </c>
      <c r="C881" s="5" t="str">
        <f aca="false">IF(B881=0,"",IF(INDEX(Bank!$G:$G,B881)="","",INDEX(Bank!$G:$G,B881)))</f>
        <v/>
      </c>
      <c r="D881" s="5" t="str">
        <f aca="false">IF(B881=0,"",IF(INDEX(Bank!$J:$J,B881)="","",INDEX(Bank!$J:$J,B881)))</f>
        <v/>
      </c>
      <c r="E881" s="32" t="str">
        <f aca="false">IF(B881=0,"",INDEX(Bank!$B:$B,B881))</f>
        <v/>
      </c>
      <c r="F881" s="5" t="str">
        <f aca="false">IF(B881=0,"",IF(INDEX(Bank!$C:$C,B881)="","",INDEX(Bank!$C:$C,B881)))</f>
        <v/>
      </c>
      <c r="G881" s="19" t="str">
        <f aca="false">IF(B881=0,"",INDEX(Bank!$E:$E,B881))</f>
        <v/>
      </c>
      <c r="H881" s="5" t="str">
        <f aca="false">IF(B881=0,"",IF(INDEX(Bank!$H:$H,B881)="","",INDEX(Bank!$H:$H,B881)))</f>
        <v/>
      </c>
      <c r="I881" s="5" t="n">
        <f aca="false">IF(H881="",0,IFERROR(MATCH(H881,GL!$A:$A,0),0))</f>
        <v>0</v>
      </c>
      <c r="J881" s="32" t="str">
        <f aca="false">IF(I881=0,"",INDEX(GL!$B:$B,I881))</f>
        <v/>
      </c>
      <c r="K881" s="5" t="str">
        <f aca="false">IF(I881=0,"",IF(INDEX(GL!$C:$C,I881)="","",INDEX(GL!$C:$C,I881)))</f>
        <v/>
      </c>
      <c r="L881" s="19" t="str">
        <f aca="false">IF(I881=0,"",INDEX(GL!$E:$E,I881))</f>
        <v/>
      </c>
      <c r="M881" s="19" t="str">
        <f aca="false">IF(OR(B881=0,I881=0),"",ROUND(G881-L881,2))</f>
        <v/>
      </c>
      <c r="N881" s="5" t="str">
        <f aca="false">IF(A881="","",IF(B881=0,"NOT FOUND: bank ID",IF(I881=0,"NOT FOUND: GL ID",IF(INDEX(GL!$H:$H,I881)&lt;&gt;A881,"BROKEN: GL points elsewhere",IF(OR(INDEX(Bank!$F:$F,B881)&lt;&gt;"Y",INDEX(GL!$F:$F,I881)&lt;&gt;"Y"),"BROKEN: Status not Y","OK")))))</f>
        <v/>
      </c>
    </row>
    <row r="882" customFormat="false" ht="15" hidden="false" customHeight="false" outlineLevel="0" collapsed="false">
      <c r="A882" s="41"/>
      <c r="B882" s="5" t="n">
        <f aca="false">IF(A882="",0,IFERROR(MATCH(A882,Bank!$A:$A,0),0))</f>
        <v>0</v>
      </c>
      <c r="C882" s="5" t="str">
        <f aca="false">IF(B882=0,"",IF(INDEX(Bank!$G:$G,B882)="","",INDEX(Bank!$G:$G,B882)))</f>
        <v/>
      </c>
      <c r="D882" s="5" t="str">
        <f aca="false">IF(B882=0,"",IF(INDEX(Bank!$J:$J,B882)="","",INDEX(Bank!$J:$J,B882)))</f>
        <v/>
      </c>
      <c r="E882" s="32" t="str">
        <f aca="false">IF(B882=0,"",INDEX(Bank!$B:$B,B882))</f>
        <v/>
      </c>
      <c r="F882" s="5" t="str">
        <f aca="false">IF(B882=0,"",IF(INDEX(Bank!$C:$C,B882)="","",INDEX(Bank!$C:$C,B882)))</f>
        <v/>
      </c>
      <c r="G882" s="19" t="str">
        <f aca="false">IF(B882=0,"",INDEX(Bank!$E:$E,B882))</f>
        <v/>
      </c>
      <c r="H882" s="5" t="str">
        <f aca="false">IF(B882=0,"",IF(INDEX(Bank!$H:$H,B882)="","",INDEX(Bank!$H:$H,B882)))</f>
        <v/>
      </c>
      <c r="I882" s="5" t="n">
        <f aca="false">IF(H882="",0,IFERROR(MATCH(H882,GL!$A:$A,0),0))</f>
        <v>0</v>
      </c>
      <c r="J882" s="32" t="str">
        <f aca="false">IF(I882=0,"",INDEX(GL!$B:$B,I882))</f>
        <v/>
      </c>
      <c r="K882" s="5" t="str">
        <f aca="false">IF(I882=0,"",IF(INDEX(GL!$C:$C,I882)="","",INDEX(GL!$C:$C,I882)))</f>
        <v/>
      </c>
      <c r="L882" s="19" t="str">
        <f aca="false">IF(I882=0,"",INDEX(GL!$E:$E,I882))</f>
        <v/>
      </c>
      <c r="M882" s="19" t="str">
        <f aca="false">IF(OR(B882=0,I882=0),"",ROUND(G882-L882,2))</f>
        <v/>
      </c>
      <c r="N882" s="5" t="str">
        <f aca="false">IF(A882="","",IF(B882=0,"NOT FOUND: bank ID",IF(I882=0,"NOT FOUND: GL ID",IF(INDEX(GL!$H:$H,I882)&lt;&gt;A882,"BROKEN: GL points elsewhere",IF(OR(INDEX(Bank!$F:$F,B882)&lt;&gt;"Y",INDEX(GL!$F:$F,I882)&lt;&gt;"Y"),"BROKEN: Status not Y","OK")))))</f>
        <v/>
      </c>
    </row>
    <row r="883" customFormat="false" ht="15" hidden="false" customHeight="false" outlineLevel="0" collapsed="false">
      <c r="A883" s="41"/>
      <c r="B883" s="5" t="n">
        <f aca="false">IF(A883="",0,IFERROR(MATCH(A883,Bank!$A:$A,0),0))</f>
        <v>0</v>
      </c>
      <c r="C883" s="5" t="str">
        <f aca="false">IF(B883=0,"",IF(INDEX(Bank!$G:$G,B883)="","",INDEX(Bank!$G:$G,B883)))</f>
        <v/>
      </c>
      <c r="D883" s="5" t="str">
        <f aca="false">IF(B883=0,"",IF(INDEX(Bank!$J:$J,B883)="","",INDEX(Bank!$J:$J,B883)))</f>
        <v/>
      </c>
      <c r="E883" s="32" t="str">
        <f aca="false">IF(B883=0,"",INDEX(Bank!$B:$B,B883))</f>
        <v/>
      </c>
      <c r="F883" s="5" t="str">
        <f aca="false">IF(B883=0,"",IF(INDEX(Bank!$C:$C,B883)="","",INDEX(Bank!$C:$C,B883)))</f>
        <v/>
      </c>
      <c r="G883" s="19" t="str">
        <f aca="false">IF(B883=0,"",INDEX(Bank!$E:$E,B883))</f>
        <v/>
      </c>
      <c r="H883" s="5" t="str">
        <f aca="false">IF(B883=0,"",IF(INDEX(Bank!$H:$H,B883)="","",INDEX(Bank!$H:$H,B883)))</f>
        <v/>
      </c>
      <c r="I883" s="5" t="n">
        <f aca="false">IF(H883="",0,IFERROR(MATCH(H883,GL!$A:$A,0),0))</f>
        <v>0</v>
      </c>
      <c r="J883" s="32" t="str">
        <f aca="false">IF(I883=0,"",INDEX(GL!$B:$B,I883))</f>
        <v/>
      </c>
      <c r="K883" s="5" t="str">
        <f aca="false">IF(I883=0,"",IF(INDEX(GL!$C:$C,I883)="","",INDEX(GL!$C:$C,I883)))</f>
        <v/>
      </c>
      <c r="L883" s="19" t="str">
        <f aca="false">IF(I883=0,"",INDEX(GL!$E:$E,I883))</f>
        <v/>
      </c>
      <c r="M883" s="19" t="str">
        <f aca="false">IF(OR(B883=0,I883=0),"",ROUND(G883-L883,2))</f>
        <v/>
      </c>
      <c r="N883" s="5" t="str">
        <f aca="false">IF(A883="","",IF(B883=0,"NOT FOUND: bank ID",IF(I883=0,"NOT FOUND: GL ID",IF(INDEX(GL!$H:$H,I883)&lt;&gt;A883,"BROKEN: GL points elsewhere",IF(OR(INDEX(Bank!$F:$F,B883)&lt;&gt;"Y",INDEX(GL!$F:$F,I883)&lt;&gt;"Y"),"BROKEN: Status not Y","OK")))))</f>
        <v/>
      </c>
    </row>
    <row r="884" customFormat="false" ht="15" hidden="false" customHeight="false" outlineLevel="0" collapsed="false">
      <c r="A884" s="41"/>
      <c r="B884" s="5" t="n">
        <f aca="false">IF(A884="",0,IFERROR(MATCH(A884,Bank!$A:$A,0),0))</f>
        <v>0</v>
      </c>
      <c r="C884" s="5" t="str">
        <f aca="false">IF(B884=0,"",IF(INDEX(Bank!$G:$G,B884)="","",INDEX(Bank!$G:$G,B884)))</f>
        <v/>
      </c>
      <c r="D884" s="5" t="str">
        <f aca="false">IF(B884=0,"",IF(INDEX(Bank!$J:$J,B884)="","",INDEX(Bank!$J:$J,B884)))</f>
        <v/>
      </c>
      <c r="E884" s="32" t="str">
        <f aca="false">IF(B884=0,"",INDEX(Bank!$B:$B,B884))</f>
        <v/>
      </c>
      <c r="F884" s="5" t="str">
        <f aca="false">IF(B884=0,"",IF(INDEX(Bank!$C:$C,B884)="","",INDEX(Bank!$C:$C,B884)))</f>
        <v/>
      </c>
      <c r="G884" s="19" t="str">
        <f aca="false">IF(B884=0,"",INDEX(Bank!$E:$E,B884))</f>
        <v/>
      </c>
      <c r="H884" s="5" t="str">
        <f aca="false">IF(B884=0,"",IF(INDEX(Bank!$H:$H,B884)="","",INDEX(Bank!$H:$H,B884)))</f>
        <v/>
      </c>
      <c r="I884" s="5" t="n">
        <f aca="false">IF(H884="",0,IFERROR(MATCH(H884,GL!$A:$A,0),0))</f>
        <v>0</v>
      </c>
      <c r="J884" s="32" t="str">
        <f aca="false">IF(I884=0,"",INDEX(GL!$B:$B,I884))</f>
        <v/>
      </c>
      <c r="K884" s="5" t="str">
        <f aca="false">IF(I884=0,"",IF(INDEX(GL!$C:$C,I884)="","",INDEX(GL!$C:$C,I884)))</f>
        <v/>
      </c>
      <c r="L884" s="19" t="str">
        <f aca="false">IF(I884=0,"",INDEX(GL!$E:$E,I884))</f>
        <v/>
      </c>
      <c r="M884" s="19" t="str">
        <f aca="false">IF(OR(B884=0,I884=0),"",ROUND(G884-L884,2))</f>
        <v/>
      </c>
      <c r="N884" s="5" t="str">
        <f aca="false">IF(A884="","",IF(B884=0,"NOT FOUND: bank ID",IF(I884=0,"NOT FOUND: GL ID",IF(INDEX(GL!$H:$H,I884)&lt;&gt;A884,"BROKEN: GL points elsewhere",IF(OR(INDEX(Bank!$F:$F,B884)&lt;&gt;"Y",INDEX(GL!$F:$F,I884)&lt;&gt;"Y"),"BROKEN: Status not Y","OK")))))</f>
        <v/>
      </c>
    </row>
    <row r="885" customFormat="false" ht="15" hidden="false" customHeight="false" outlineLevel="0" collapsed="false">
      <c r="A885" s="41"/>
      <c r="B885" s="5" t="n">
        <f aca="false">IF(A885="",0,IFERROR(MATCH(A885,Bank!$A:$A,0),0))</f>
        <v>0</v>
      </c>
      <c r="C885" s="5" t="str">
        <f aca="false">IF(B885=0,"",IF(INDEX(Bank!$G:$G,B885)="","",INDEX(Bank!$G:$G,B885)))</f>
        <v/>
      </c>
      <c r="D885" s="5" t="str">
        <f aca="false">IF(B885=0,"",IF(INDEX(Bank!$J:$J,B885)="","",INDEX(Bank!$J:$J,B885)))</f>
        <v/>
      </c>
      <c r="E885" s="32" t="str">
        <f aca="false">IF(B885=0,"",INDEX(Bank!$B:$B,B885))</f>
        <v/>
      </c>
      <c r="F885" s="5" t="str">
        <f aca="false">IF(B885=0,"",IF(INDEX(Bank!$C:$C,B885)="","",INDEX(Bank!$C:$C,B885)))</f>
        <v/>
      </c>
      <c r="G885" s="19" t="str">
        <f aca="false">IF(B885=0,"",INDEX(Bank!$E:$E,B885))</f>
        <v/>
      </c>
      <c r="H885" s="5" t="str">
        <f aca="false">IF(B885=0,"",IF(INDEX(Bank!$H:$H,B885)="","",INDEX(Bank!$H:$H,B885)))</f>
        <v/>
      </c>
      <c r="I885" s="5" t="n">
        <f aca="false">IF(H885="",0,IFERROR(MATCH(H885,GL!$A:$A,0),0))</f>
        <v>0</v>
      </c>
      <c r="J885" s="32" t="str">
        <f aca="false">IF(I885=0,"",INDEX(GL!$B:$B,I885))</f>
        <v/>
      </c>
      <c r="K885" s="5" t="str">
        <f aca="false">IF(I885=0,"",IF(INDEX(GL!$C:$C,I885)="","",INDEX(GL!$C:$C,I885)))</f>
        <v/>
      </c>
      <c r="L885" s="19" t="str">
        <f aca="false">IF(I885=0,"",INDEX(GL!$E:$E,I885))</f>
        <v/>
      </c>
      <c r="M885" s="19" t="str">
        <f aca="false">IF(OR(B885=0,I885=0),"",ROUND(G885-L885,2))</f>
        <v/>
      </c>
      <c r="N885" s="5" t="str">
        <f aca="false">IF(A885="","",IF(B885=0,"NOT FOUND: bank ID",IF(I885=0,"NOT FOUND: GL ID",IF(INDEX(GL!$H:$H,I885)&lt;&gt;A885,"BROKEN: GL points elsewhere",IF(OR(INDEX(Bank!$F:$F,B885)&lt;&gt;"Y",INDEX(GL!$F:$F,I885)&lt;&gt;"Y"),"BROKEN: Status not Y","OK")))))</f>
        <v/>
      </c>
    </row>
    <row r="886" customFormat="false" ht="15" hidden="false" customHeight="false" outlineLevel="0" collapsed="false">
      <c r="A886" s="41"/>
      <c r="B886" s="5" t="n">
        <f aca="false">IF(A886="",0,IFERROR(MATCH(A886,Bank!$A:$A,0),0))</f>
        <v>0</v>
      </c>
      <c r="C886" s="5" t="str">
        <f aca="false">IF(B886=0,"",IF(INDEX(Bank!$G:$G,B886)="","",INDEX(Bank!$G:$G,B886)))</f>
        <v/>
      </c>
      <c r="D886" s="5" t="str">
        <f aca="false">IF(B886=0,"",IF(INDEX(Bank!$J:$J,B886)="","",INDEX(Bank!$J:$J,B886)))</f>
        <v/>
      </c>
      <c r="E886" s="32" t="str">
        <f aca="false">IF(B886=0,"",INDEX(Bank!$B:$B,B886))</f>
        <v/>
      </c>
      <c r="F886" s="5" t="str">
        <f aca="false">IF(B886=0,"",IF(INDEX(Bank!$C:$C,B886)="","",INDEX(Bank!$C:$C,B886)))</f>
        <v/>
      </c>
      <c r="G886" s="19" t="str">
        <f aca="false">IF(B886=0,"",INDEX(Bank!$E:$E,B886))</f>
        <v/>
      </c>
      <c r="H886" s="5" t="str">
        <f aca="false">IF(B886=0,"",IF(INDEX(Bank!$H:$H,B886)="","",INDEX(Bank!$H:$H,B886)))</f>
        <v/>
      </c>
      <c r="I886" s="5" t="n">
        <f aca="false">IF(H886="",0,IFERROR(MATCH(H886,GL!$A:$A,0),0))</f>
        <v>0</v>
      </c>
      <c r="J886" s="32" t="str">
        <f aca="false">IF(I886=0,"",INDEX(GL!$B:$B,I886))</f>
        <v/>
      </c>
      <c r="K886" s="5" t="str">
        <f aca="false">IF(I886=0,"",IF(INDEX(GL!$C:$C,I886)="","",INDEX(GL!$C:$C,I886)))</f>
        <v/>
      </c>
      <c r="L886" s="19" t="str">
        <f aca="false">IF(I886=0,"",INDEX(GL!$E:$E,I886))</f>
        <v/>
      </c>
      <c r="M886" s="19" t="str">
        <f aca="false">IF(OR(B886=0,I886=0),"",ROUND(G886-L886,2))</f>
        <v/>
      </c>
      <c r="N886" s="5" t="str">
        <f aca="false">IF(A886="","",IF(B886=0,"NOT FOUND: bank ID",IF(I886=0,"NOT FOUND: GL ID",IF(INDEX(GL!$H:$H,I886)&lt;&gt;A886,"BROKEN: GL points elsewhere",IF(OR(INDEX(Bank!$F:$F,B886)&lt;&gt;"Y",INDEX(GL!$F:$F,I886)&lt;&gt;"Y"),"BROKEN: Status not Y","OK")))))</f>
        <v/>
      </c>
    </row>
    <row r="887" customFormat="false" ht="15" hidden="false" customHeight="false" outlineLevel="0" collapsed="false">
      <c r="A887" s="41"/>
      <c r="B887" s="5" t="n">
        <f aca="false">IF(A887="",0,IFERROR(MATCH(A887,Bank!$A:$A,0),0))</f>
        <v>0</v>
      </c>
      <c r="C887" s="5" t="str">
        <f aca="false">IF(B887=0,"",IF(INDEX(Bank!$G:$G,B887)="","",INDEX(Bank!$G:$G,B887)))</f>
        <v/>
      </c>
      <c r="D887" s="5" t="str">
        <f aca="false">IF(B887=0,"",IF(INDEX(Bank!$J:$J,B887)="","",INDEX(Bank!$J:$J,B887)))</f>
        <v/>
      </c>
      <c r="E887" s="32" t="str">
        <f aca="false">IF(B887=0,"",INDEX(Bank!$B:$B,B887))</f>
        <v/>
      </c>
      <c r="F887" s="5" t="str">
        <f aca="false">IF(B887=0,"",IF(INDEX(Bank!$C:$C,B887)="","",INDEX(Bank!$C:$C,B887)))</f>
        <v/>
      </c>
      <c r="G887" s="19" t="str">
        <f aca="false">IF(B887=0,"",INDEX(Bank!$E:$E,B887))</f>
        <v/>
      </c>
      <c r="H887" s="5" t="str">
        <f aca="false">IF(B887=0,"",IF(INDEX(Bank!$H:$H,B887)="","",INDEX(Bank!$H:$H,B887)))</f>
        <v/>
      </c>
      <c r="I887" s="5" t="n">
        <f aca="false">IF(H887="",0,IFERROR(MATCH(H887,GL!$A:$A,0),0))</f>
        <v>0</v>
      </c>
      <c r="J887" s="32" t="str">
        <f aca="false">IF(I887=0,"",INDEX(GL!$B:$B,I887))</f>
        <v/>
      </c>
      <c r="K887" s="5" t="str">
        <f aca="false">IF(I887=0,"",IF(INDEX(GL!$C:$C,I887)="","",INDEX(GL!$C:$C,I887)))</f>
        <v/>
      </c>
      <c r="L887" s="19" t="str">
        <f aca="false">IF(I887=0,"",INDEX(GL!$E:$E,I887))</f>
        <v/>
      </c>
      <c r="M887" s="19" t="str">
        <f aca="false">IF(OR(B887=0,I887=0),"",ROUND(G887-L887,2))</f>
        <v/>
      </c>
      <c r="N887" s="5" t="str">
        <f aca="false">IF(A887="","",IF(B887=0,"NOT FOUND: bank ID",IF(I887=0,"NOT FOUND: GL ID",IF(INDEX(GL!$H:$H,I887)&lt;&gt;A887,"BROKEN: GL points elsewhere",IF(OR(INDEX(Bank!$F:$F,B887)&lt;&gt;"Y",INDEX(GL!$F:$F,I887)&lt;&gt;"Y"),"BROKEN: Status not Y","OK")))))</f>
        <v/>
      </c>
    </row>
    <row r="888" customFormat="false" ht="15" hidden="false" customHeight="false" outlineLevel="0" collapsed="false">
      <c r="A888" s="41"/>
      <c r="B888" s="5" t="n">
        <f aca="false">IF(A888="",0,IFERROR(MATCH(A888,Bank!$A:$A,0),0))</f>
        <v>0</v>
      </c>
      <c r="C888" s="5" t="str">
        <f aca="false">IF(B888=0,"",IF(INDEX(Bank!$G:$G,B888)="","",INDEX(Bank!$G:$G,B888)))</f>
        <v/>
      </c>
      <c r="D888" s="5" t="str">
        <f aca="false">IF(B888=0,"",IF(INDEX(Bank!$J:$J,B888)="","",INDEX(Bank!$J:$J,B888)))</f>
        <v/>
      </c>
      <c r="E888" s="32" t="str">
        <f aca="false">IF(B888=0,"",INDEX(Bank!$B:$B,B888))</f>
        <v/>
      </c>
      <c r="F888" s="5" t="str">
        <f aca="false">IF(B888=0,"",IF(INDEX(Bank!$C:$C,B888)="","",INDEX(Bank!$C:$C,B888)))</f>
        <v/>
      </c>
      <c r="G888" s="19" t="str">
        <f aca="false">IF(B888=0,"",INDEX(Bank!$E:$E,B888))</f>
        <v/>
      </c>
      <c r="H888" s="5" t="str">
        <f aca="false">IF(B888=0,"",IF(INDEX(Bank!$H:$H,B888)="","",INDEX(Bank!$H:$H,B888)))</f>
        <v/>
      </c>
      <c r="I888" s="5" t="n">
        <f aca="false">IF(H888="",0,IFERROR(MATCH(H888,GL!$A:$A,0),0))</f>
        <v>0</v>
      </c>
      <c r="J888" s="32" t="str">
        <f aca="false">IF(I888=0,"",INDEX(GL!$B:$B,I888))</f>
        <v/>
      </c>
      <c r="K888" s="5" t="str">
        <f aca="false">IF(I888=0,"",IF(INDEX(GL!$C:$C,I888)="","",INDEX(GL!$C:$C,I888)))</f>
        <v/>
      </c>
      <c r="L888" s="19" t="str">
        <f aca="false">IF(I888=0,"",INDEX(GL!$E:$E,I888))</f>
        <v/>
      </c>
      <c r="M888" s="19" t="str">
        <f aca="false">IF(OR(B888=0,I888=0),"",ROUND(G888-L888,2))</f>
        <v/>
      </c>
      <c r="N888" s="5" t="str">
        <f aca="false">IF(A888="","",IF(B888=0,"NOT FOUND: bank ID",IF(I888=0,"NOT FOUND: GL ID",IF(INDEX(GL!$H:$H,I888)&lt;&gt;A888,"BROKEN: GL points elsewhere",IF(OR(INDEX(Bank!$F:$F,B888)&lt;&gt;"Y",INDEX(GL!$F:$F,I888)&lt;&gt;"Y"),"BROKEN: Status not Y","OK")))))</f>
        <v/>
      </c>
    </row>
    <row r="889" customFormat="false" ht="15" hidden="false" customHeight="false" outlineLevel="0" collapsed="false">
      <c r="A889" s="41"/>
      <c r="B889" s="5" t="n">
        <f aca="false">IF(A889="",0,IFERROR(MATCH(A889,Bank!$A:$A,0),0))</f>
        <v>0</v>
      </c>
      <c r="C889" s="5" t="str">
        <f aca="false">IF(B889=0,"",IF(INDEX(Bank!$G:$G,B889)="","",INDEX(Bank!$G:$G,B889)))</f>
        <v/>
      </c>
      <c r="D889" s="5" t="str">
        <f aca="false">IF(B889=0,"",IF(INDEX(Bank!$J:$J,B889)="","",INDEX(Bank!$J:$J,B889)))</f>
        <v/>
      </c>
      <c r="E889" s="32" t="str">
        <f aca="false">IF(B889=0,"",INDEX(Bank!$B:$B,B889))</f>
        <v/>
      </c>
      <c r="F889" s="5" t="str">
        <f aca="false">IF(B889=0,"",IF(INDEX(Bank!$C:$C,B889)="","",INDEX(Bank!$C:$C,B889)))</f>
        <v/>
      </c>
      <c r="G889" s="19" t="str">
        <f aca="false">IF(B889=0,"",INDEX(Bank!$E:$E,B889))</f>
        <v/>
      </c>
      <c r="H889" s="5" t="str">
        <f aca="false">IF(B889=0,"",IF(INDEX(Bank!$H:$H,B889)="","",INDEX(Bank!$H:$H,B889)))</f>
        <v/>
      </c>
      <c r="I889" s="5" t="n">
        <f aca="false">IF(H889="",0,IFERROR(MATCH(H889,GL!$A:$A,0),0))</f>
        <v>0</v>
      </c>
      <c r="J889" s="32" t="str">
        <f aca="false">IF(I889=0,"",INDEX(GL!$B:$B,I889))</f>
        <v/>
      </c>
      <c r="K889" s="5" t="str">
        <f aca="false">IF(I889=0,"",IF(INDEX(GL!$C:$C,I889)="","",INDEX(GL!$C:$C,I889)))</f>
        <v/>
      </c>
      <c r="L889" s="19" t="str">
        <f aca="false">IF(I889=0,"",INDEX(GL!$E:$E,I889))</f>
        <v/>
      </c>
      <c r="M889" s="19" t="str">
        <f aca="false">IF(OR(B889=0,I889=0),"",ROUND(G889-L889,2))</f>
        <v/>
      </c>
      <c r="N889" s="5" t="str">
        <f aca="false">IF(A889="","",IF(B889=0,"NOT FOUND: bank ID",IF(I889=0,"NOT FOUND: GL ID",IF(INDEX(GL!$H:$H,I889)&lt;&gt;A889,"BROKEN: GL points elsewhere",IF(OR(INDEX(Bank!$F:$F,B889)&lt;&gt;"Y",INDEX(GL!$F:$F,I889)&lt;&gt;"Y"),"BROKEN: Status not Y","OK")))))</f>
        <v/>
      </c>
    </row>
    <row r="890" customFormat="false" ht="15" hidden="false" customHeight="false" outlineLevel="0" collapsed="false">
      <c r="A890" s="41"/>
      <c r="B890" s="5" t="n">
        <f aca="false">IF(A890="",0,IFERROR(MATCH(A890,Bank!$A:$A,0),0))</f>
        <v>0</v>
      </c>
      <c r="C890" s="5" t="str">
        <f aca="false">IF(B890=0,"",IF(INDEX(Bank!$G:$G,B890)="","",INDEX(Bank!$G:$G,B890)))</f>
        <v/>
      </c>
      <c r="D890" s="5" t="str">
        <f aca="false">IF(B890=0,"",IF(INDEX(Bank!$J:$J,B890)="","",INDEX(Bank!$J:$J,B890)))</f>
        <v/>
      </c>
      <c r="E890" s="32" t="str">
        <f aca="false">IF(B890=0,"",INDEX(Bank!$B:$B,B890))</f>
        <v/>
      </c>
      <c r="F890" s="5" t="str">
        <f aca="false">IF(B890=0,"",IF(INDEX(Bank!$C:$C,B890)="","",INDEX(Bank!$C:$C,B890)))</f>
        <v/>
      </c>
      <c r="G890" s="19" t="str">
        <f aca="false">IF(B890=0,"",INDEX(Bank!$E:$E,B890))</f>
        <v/>
      </c>
      <c r="H890" s="5" t="str">
        <f aca="false">IF(B890=0,"",IF(INDEX(Bank!$H:$H,B890)="","",INDEX(Bank!$H:$H,B890)))</f>
        <v/>
      </c>
      <c r="I890" s="5" t="n">
        <f aca="false">IF(H890="",0,IFERROR(MATCH(H890,GL!$A:$A,0),0))</f>
        <v>0</v>
      </c>
      <c r="J890" s="32" t="str">
        <f aca="false">IF(I890=0,"",INDEX(GL!$B:$B,I890))</f>
        <v/>
      </c>
      <c r="K890" s="5" t="str">
        <f aca="false">IF(I890=0,"",IF(INDEX(GL!$C:$C,I890)="","",INDEX(GL!$C:$C,I890)))</f>
        <v/>
      </c>
      <c r="L890" s="19" t="str">
        <f aca="false">IF(I890=0,"",INDEX(GL!$E:$E,I890))</f>
        <v/>
      </c>
      <c r="M890" s="19" t="str">
        <f aca="false">IF(OR(B890=0,I890=0),"",ROUND(G890-L890,2))</f>
        <v/>
      </c>
      <c r="N890" s="5" t="str">
        <f aca="false">IF(A890="","",IF(B890=0,"NOT FOUND: bank ID",IF(I890=0,"NOT FOUND: GL ID",IF(INDEX(GL!$H:$H,I890)&lt;&gt;A890,"BROKEN: GL points elsewhere",IF(OR(INDEX(Bank!$F:$F,B890)&lt;&gt;"Y",INDEX(GL!$F:$F,I890)&lt;&gt;"Y"),"BROKEN: Status not Y","OK")))))</f>
        <v/>
      </c>
    </row>
    <row r="891" customFormat="false" ht="15" hidden="false" customHeight="false" outlineLevel="0" collapsed="false">
      <c r="A891" s="41"/>
      <c r="B891" s="5" t="n">
        <f aca="false">IF(A891="",0,IFERROR(MATCH(A891,Bank!$A:$A,0),0))</f>
        <v>0</v>
      </c>
      <c r="C891" s="5" t="str">
        <f aca="false">IF(B891=0,"",IF(INDEX(Bank!$G:$G,B891)="","",INDEX(Bank!$G:$G,B891)))</f>
        <v/>
      </c>
      <c r="D891" s="5" t="str">
        <f aca="false">IF(B891=0,"",IF(INDEX(Bank!$J:$J,B891)="","",INDEX(Bank!$J:$J,B891)))</f>
        <v/>
      </c>
      <c r="E891" s="32" t="str">
        <f aca="false">IF(B891=0,"",INDEX(Bank!$B:$B,B891))</f>
        <v/>
      </c>
      <c r="F891" s="5" t="str">
        <f aca="false">IF(B891=0,"",IF(INDEX(Bank!$C:$C,B891)="","",INDEX(Bank!$C:$C,B891)))</f>
        <v/>
      </c>
      <c r="G891" s="19" t="str">
        <f aca="false">IF(B891=0,"",INDEX(Bank!$E:$E,B891))</f>
        <v/>
      </c>
      <c r="H891" s="5" t="str">
        <f aca="false">IF(B891=0,"",IF(INDEX(Bank!$H:$H,B891)="","",INDEX(Bank!$H:$H,B891)))</f>
        <v/>
      </c>
      <c r="I891" s="5" t="n">
        <f aca="false">IF(H891="",0,IFERROR(MATCH(H891,GL!$A:$A,0),0))</f>
        <v>0</v>
      </c>
      <c r="J891" s="32" t="str">
        <f aca="false">IF(I891=0,"",INDEX(GL!$B:$B,I891))</f>
        <v/>
      </c>
      <c r="K891" s="5" t="str">
        <f aca="false">IF(I891=0,"",IF(INDEX(GL!$C:$C,I891)="","",INDEX(GL!$C:$C,I891)))</f>
        <v/>
      </c>
      <c r="L891" s="19" t="str">
        <f aca="false">IF(I891=0,"",INDEX(GL!$E:$E,I891))</f>
        <v/>
      </c>
      <c r="M891" s="19" t="str">
        <f aca="false">IF(OR(B891=0,I891=0),"",ROUND(G891-L891,2))</f>
        <v/>
      </c>
      <c r="N891" s="5" t="str">
        <f aca="false">IF(A891="","",IF(B891=0,"NOT FOUND: bank ID",IF(I891=0,"NOT FOUND: GL ID",IF(INDEX(GL!$H:$H,I891)&lt;&gt;A891,"BROKEN: GL points elsewhere",IF(OR(INDEX(Bank!$F:$F,B891)&lt;&gt;"Y",INDEX(GL!$F:$F,I891)&lt;&gt;"Y"),"BROKEN: Status not Y","OK")))))</f>
        <v/>
      </c>
    </row>
    <row r="892" customFormat="false" ht="15" hidden="false" customHeight="false" outlineLevel="0" collapsed="false">
      <c r="A892" s="41"/>
      <c r="B892" s="5" t="n">
        <f aca="false">IF(A892="",0,IFERROR(MATCH(A892,Bank!$A:$A,0),0))</f>
        <v>0</v>
      </c>
      <c r="C892" s="5" t="str">
        <f aca="false">IF(B892=0,"",IF(INDEX(Bank!$G:$G,B892)="","",INDEX(Bank!$G:$G,B892)))</f>
        <v/>
      </c>
      <c r="D892" s="5" t="str">
        <f aca="false">IF(B892=0,"",IF(INDEX(Bank!$J:$J,B892)="","",INDEX(Bank!$J:$J,B892)))</f>
        <v/>
      </c>
      <c r="E892" s="32" t="str">
        <f aca="false">IF(B892=0,"",INDEX(Bank!$B:$B,B892))</f>
        <v/>
      </c>
      <c r="F892" s="5" t="str">
        <f aca="false">IF(B892=0,"",IF(INDEX(Bank!$C:$C,B892)="","",INDEX(Bank!$C:$C,B892)))</f>
        <v/>
      </c>
      <c r="G892" s="19" t="str">
        <f aca="false">IF(B892=0,"",INDEX(Bank!$E:$E,B892))</f>
        <v/>
      </c>
      <c r="H892" s="5" t="str">
        <f aca="false">IF(B892=0,"",IF(INDEX(Bank!$H:$H,B892)="","",INDEX(Bank!$H:$H,B892)))</f>
        <v/>
      </c>
      <c r="I892" s="5" t="n">
        <f aca="false">IF(H892="",0,IFERROR(MATCH(H892,GL!$A:$A,0),0))</f>
        <v>0</v>
      </c>
      <c r="J892" s="32" t="str">
        <f aca="false">IF(I892=0,"",INDEX(GL!$B:$B,I892))</f>
        <v/>
      </c>
      <c r="K892" s="5" t="str">
        <f aca="false">IF(I892=0,"",IF(INDEX(GL!$C:$C,I892)="","",INDEX(GL!$C:$C,I892)))</f>
        <v/>
      </c>
      <c r="L892" s="19" t="str">
        <f aca="false">IF(I892=0,"",INDEX(GL!$E:$E,I892))</f>
        <v/>
      </c>
      <c r="M892" s="19" t="str">
        <f aca="false">IF(OR(B892=0,I892=0),"",ROUND(G892-L892,2))</f>
        <v/>
      </c>
      <c r="N892" s="5" t="str">
        <f aca="false">IF(A892="","",IF(B892=0,"NOT FOUND: bank ID",IF(I892=0,"NOT FOUND: GL ID",IF(INDEX(GL!$H:$H,I892)&lt;&gt;A892,"BROKEN: GL points elsewhere",IF(OR(INDEX(Bank!$F:$F,B892)&lt;&gt;"Y",INDEX(GL!$F:$F,I892)&lt;&gt;"Y"),"BROKEN: Status not Y","OK")))))</f>
        <v/>
      </c>
    </row>
    <row r="893" customFormat="false" ht="15" hidden="false" customHeight="false" outlineLevel="0" collapsed="false">
      <c r="A893" s="41"/>
      <c r="B893" s="5" t="n">
        <f aca="false">IF(A893="",0,IFERROR(MATCH(A893,Bank!$A:$A,0),0))</f>
        <v>0</v>
      </c>
      <c r="C893" s="5" t="str">
        <f aca="false">IF(B893=0,"",IF(INDEX(Bank!$G:$G,B893)="","",INDEX(Bank!$G:$G,B893)))</f>
        <v/>
      </c>
      <c r="D893" s="5" t="str">
        <f aca="false">IF(B893=0,"",IF(INDEX(Bank!$J:$J,B893)="","",INDEX(Bank!$J:$J,B893)))</f>
        <v/>
      </c>
      <c r="E893" s="32" t="str">
        <f aca="false">IF(B893=0,"",INDEX(Bank!$B:$B,B893))</f>
        <v/>
      </c>
      <c r="F893" s="5" t="str">
        <f aca="false">IF(B893=0,"",IF(INDEX(Bank!$C:$C,B893)="","",INDEX(Bank!$C:$C,B893)))</f>
        <v/>
      </c>
      <c r="G893" s="19" t="str">
        <f aca="false">IF(B893=0,"",INDEX(Bank!$E:$E,B893))</f>
        <v/>
      </c>
      <c r="H893" s="5" t="str">
        <f aca="false">IF(B893=0,"",IF(INDEX(Bank!$H:$H,B893)="","",INDEX(Bank!$H:$H,B893)))</f>
        <v/>
      </c>
      <c r="I893" s="5" t="n">
        <f aca="false">IF(H893="",0,IFERROR(MATCH(H893,GL!$A:$A,0),0))</f>
        <v>0</v>
      </c>
      <c r="J893" s="32" t="str">
        <f aca="false">IF(I893=0,"",INDEX(GL!$B:$B,I893))</f>
        <v/>
      </c>
      <c r="K893" s="5" t="str">
        <f aca="false">IF(I893=0,"",IF(INDEX(GL!$C:$C,I893)="","",INDEX(GL!$C:$C,I893)))</f>
        <v/>
      </c>
      <c r="L893" s="19" t="str">
        <f aca="false">IF(I893=0,"",INDEX(GL!$E:$E,I893))</f>
        <v/>
      </c>
      <c r="M893" s="19" t="str">
        <f aca="false">IF(OR(B893=0,I893=0),"",ROUND(G893-L893,2))</f>
        <v/>
      </c>
      <c r="N893" s="5" t="str">
        <f aca="false">IF(A893="","",IF(B893=0,"NOT FOUND: bank ID",IF(I893=0,"NOT FOUND: GL ID",IF(INDEX(GL!$H:$H,I893)&lt;&gt;A893,"BROKEN: GL points elsewhere",IF(OR(INDEX(Bank!$F:$F,B893)&lt;&gt;"Y",INDEX(GL!$F:$F,I893)&lt;&gt;"Y"),"BROKEN: Status not Y","OK")))))</f>
        <v/>
      </c>
    </row>
    <row r="894" customFormat="false" ht="15" hidden="false" customHeight="false" outlineLevel="0" collapsed="false">
      <c r="A894" s="41"/>
      <c r="B894" s="5" t="n">
        <f aca="false">IF(A894="",0,IFERROR(MATCH(A894,Bank!$A:$A,0),0))</f>
        <v>0</v>
      </c>
      <c r="C894" s="5" t="str">
        <f aca="false">IF(B894=0,"",IF(INDEX(Bank!$G:$G,B894)="","",INDEX(Bank!$G:$G,B894)))</f>
        <v/>
      </c>
      <c r="D894" s="5" t="str">
        <f aca="false">IF(B894=0,"",IF(INDEX(Bank!$J:$J,B894)="","",INDEX(Bank!$J:$J,B894)))</f>
        <v/>
      </c>
      <c r="E894" s="32" t="str">
        <f aca="false">IF(B894=0,"",INDEX(Bank!$B:$B,B894))</f>
        <v/>
      </c>
      <c r="F894" s="5" t="str">
        <f aca="false">IF(B894=0,"",IF(INDEX(Bank!$C:$C,B894)="","",INDEX(Bank!$C:$C,B894)))</f>
        <v/>
      </c>
      <c r="G894" s="19" t="str">
        <f aca="false">IF(B894=0,"",INDEX(Bank!$E:$E,B894))</f>
        <v/>
      </c>
      <c r="H894" s="5" t="str">
        <f aca="false">IF(B894=0,"",IF(INDEX(Bank!$H:$H,B894)="","",INDEX(Bank!$H:$H,B894)))</f>
        <v/>
      </c>
      <c r="I894" s="5" t="n">
        <f aca="false">IF(H894="",0,IFERROR(MATCH(H894,GL!$A:$A,0),0))</f>
        <v>0</v>
      </c>
      <c r="J894" s="32" t="str">
        <f aca="false">IF(I894=0,"",INDEX(GL!$B:$B,I894))</f>
        <v/>
      </c>
      <c r="K894" s="5" t="str">
        <f aca="false">IF(I894=0,"",IF(INDEX(GL!$C:$C,I894)="","",INDEX(GL!$C:$C,I894)))</f>
        <v/>
      </c>
      <c r="L894" s="19" t="str">
        <f aca="false">IF(I894=0,"",INDEX(GL!$E:$E,I894))</f>
        <v/>
      </c>
      <c r="M894" s="19" t="str">
        <f aca="false">IF(OR(B894=0,I894=0),"",ROUND(G894-L894,2))</f>
        <v/>
      </c>
      <c r="N894" s="5" t="str">
        <f aca="false">IF(A894="","",IF(B894=0,"NOT FOUND: bank ID",IF(I894=0,"NOT FOUND: GL ID",IF(INDEX(GL!$H:$H,I894)&lt;&gt;A894,"BROKEN: GL points elsewhere",IF(OR(INDEX(Bank!$F:$F,B894)&lt;&gt;"Y",INDEX(GL!$F:$F,I894)&lt;&gt;"Y"),"BROKEN: Status not Y","OK")))))</f>
        <v/>
      </c>
    </row>
    <row r="895" customFormat="false" ht="15" hidden="false" customHeight="false" outlineLevel="0" collapsed="false">
      <c r="A895" s="41"/>
      <c r="B895" s="5" t="n">
        <f aca="false">IF(A895="",0,IFERROR(MATCH(A895,Bank!$A:$A,0),0))</f>
        <v>0</v>
      </c>
      <c r="C895" s="5" t="str">
        <f aca="false">IF(B895=0,"",IF(INDEX(Bank!$G:$G,B895)="","",INDEX(Bank!$G:$G,B895)))</f>
        <v/>
      </c>
      <c r="D895" s="5" t="str">
        <f aca="false">IF(B895=0,"",IF(INDEX(Bank!$J:$J,B895)="","",INDEX(Bank!$J:$J,B895)))</f>
        <v/>
      </c>
      <c r="E895" s="32" t="str">
        <f aca="false">IF(B895=0,"",INDEX(Bank!$B:$B,B895))</f>
        <v/>
      </c>
      <c r="F895" s="5" t="str">
        <f aca="false">IF(B895=0,"",IF(INDEX(Bank!$C:$C,B895)="","",INDEX(Bank!$C:$C,B895)))</f>
        <v/>
      </c>
      <c r="G895" s="19" t="str">
        <f aca="false">IF(B895=0,"",INDEX(Bank!$E:$E,B895))</f>
        <v/>
      </c>
      <c r="H895" s="5" t="str">
        <f aca="false">IF(B895=0,"",IF(INDEX(Bank!$H:$H,B895)="","",INDEX(Bank!$H:$H,B895)))</f>
        <v/>
      </c>
      <c r="I895" s="5" t="n">
        <f aca="false">IF(H895="",0,IFERROR(MATCH(H895,GL!$A:$A,0),0))</f>
        <v>0</v>
      </c>
      <c r="J895" s="32" t="str">
        <f aca="false">IF(I895=0,"",INDEX(GL!$B:$B,I895))</f>
        <v/>
      </c>
      <c r="K895" s="5" t="str">
        <f aca="false">IF(I895=0,"",IF(INDEX(GL!$C:$C,I895)="","",INDEX(GL!$C:$C,I895)))</f>
        <v/>
      </c>
      <c r="L895" s="19" t="str">
        <f aca="false">IF(I895=0,"",INDEX(GL!$E:$E,I895))</f>
        <v/>
      </c>
      <c r="M895" s="19" t="str">
        <f aca="false">IF(OR(B895=0,I895=0),"",ROUND(G895-L895,2))</f>
        <v/>
      </c>
      <c r="N895" s="5" t="str">
        <f aca="false">IF(A895="","",IF(B895=0,"NOT FOUND: bank ID",IF(I895=0,"NOT FOUND: GL ID",IF(INDEX(GL!$H:$H,I895)&lt;&gt;A895,"BROKEN: GL points elsewhere",IF(OR(INDEX(Bank!$F:$F,B895)&lt;&gt;"Y",INDEX(GL!$F:$F,I895)&lt;&gt;"Y"),"BROKEN: Status not Y","OK")))))</f>
        <v/>
      </c>
    </row>
    <row r="896" customFormat="false" ht="15" hidden="false" customHeight="false" outlineLevel="0" collapsed="false">
      <c r="A896" s="41"/>
      <c r="B896" s="5" t="n">
        <f aca="false">IF(A896="",0,IFERROR(MATCH(A896,Bank!$A:$A,0),0))</f>
        <v>0</v>
      </c>
      <c r="C896" s="5" t="str">
        <f aca="false">IF(B896=0,"",IF(INDEX(Bank!$G:$G,B896)="","",INDEX(Bank!$G:$G,B896)))</f>
        <v/>
      </c>
      <c r="D896" s="5" t="str">
        <f aca="false">IF(B896=0,"",IF(INDEX(Bank!$J:$J,B896)="","",INDEX(Bank!$J:$J,B896)))</f>
        <v/>
      </c>
      <c r="E896" s="32" t="str">
        <f aca="false">IF(B896=0,"",INDEX(Bank!$B:$B,B896))</f>
        <v/>
      </c>
      <c r="F896" s="5" t="str">
        <f aca="false">IF(B896=0,"",IF(INDEX(Bank!$C:$C,B896)="","",INDEX(Bank!$C:$C,B896)))</f>
        <v/>
      </c>
      <c r="G896" s="19" t="str">
        <f aca="false">IF(B896=0,"",INDEX(Bank!$E:$E,B896))</f>
        <v/>
      </c>
      <c r="H896" s="5" t="str">
        <f aca="false">IF(B896=0,"",IF(INDEX(Bank!$H:$H,B896)="","",INDEX(Bank!$H:$H,B896)))</f>
        <v/>
      </c>
      <c r="I896" s="5" t="n">
        <f aca="false">IF(H896="",0,IFERROR(MATCH(H896,GL!$A:$A,0),0))</f>
        <v>0</v>
      </c>
      <c r="J896" s="32" t="str">
        <f aca="false">IF(I896=0,"",INDEX(GL!$B:$B,I896))</f>
        <v/>
      </c>
      <c r="K896" s="5" t="str">
        <f aca="false">IF(I896=0,"",IF(INDEX(GL!$C:$C,I896)="","",INDEX(GL!$C:$C,I896)))</f>
        <v/>
      </c>
      <c r="L896" s="19" t="str">
        <f aca="false">IF(I896=0,"",INDEX(GL!$E:$E,I896))</f>
        <v/>
      </c>
      <c r="M896" s="19" t="str">
        <f aca="false">IF(OR(B896=0,I896=0),"",ROUND(G896-L896,2))</f>
        <v/>
      </c>
      <c r="N896" s="5" t="str">
        <f aca="false">IF(A896="","",IF(B896=0,"NOT FOUND: bank ID",IF(I896=0,"NOT FOUND: GL ID",IF(INDEX(GL!$H:$H,I896)&lt;&gt;A896,"BROKEN: GL points elsewhere",IF(OR(INDEX(Bank!$F:$F,B896)&lt;&gt;"Y",INDEX(GL!$F:$F,I896)&lt;&gt;"Y"),"BROKEN: Status not Y","OK")))))</f>
        <v/>
      </c>
    </row>
    <row r="897" customFormat="false" ht="15" hidden="false" customHeight="false" outlineLevel="0" collapsed="false">
      <c r="A897" s="41"/>
      <c r="B897" s="5" t="n">
        <f aca="false">IF(A897="",0,IFERROR(MATCH(A897,Bank!$A:$A,0),0))</f>
        <v>0</v>
      </c>
      <c r="C897" s="5" t="str">
        <f aca="false">IF(B897=0,"",IF(INDEX(Bank!$G:$G,B897)="","",INDEX(Bank!$G:$G,B897)))</f>
        <v/>
      </c>
      <c r="D897" s="5" t="str">
        <f aca="false">IF(B897=0,"",IF(INDEX(Bank!$J:$J,B897)="","",INDEX(Bank!$J:$J,B897)))</f>
        <v/>
      </c>
      <c r="E897" s="32" t="str">
        <f aca="false">IF(B897=0,"",INDEX(Bank!$B:$B,B897))</f>
        <v/>
      </c>
      <c r="F897" s="5" t="str">
        <f aca="false">IF(B897=0,"",IF(INDEX(Bank!$C:$C,B897)="","",INDEX(Bank!$C:$C,B897)))</f>
        <v/>
      </c>
      <c r="G897" s="19" t="str">
        <f aca="false">IF(B897=0,"",INDEX(Bank!$E:$E,B897))</f>
        <v/>
      </c>
      <c r="H897" s="5" t="str">
        <f aca="false">IF(B897=0,"",IF(INDEX(Bank!$H:$H,B897)="","",INDEX(Bank!$H:$H,B897)))</f>
        <v/>
      </c>
      <c r="I897" s="5" t="n">
        <f aca="false">IF(H897="",0,IFERROR(MATCH(H897,GL!$A:$A,0),0))</f>
        <v>0</v>
      </c>
      <c r="J897" s="32" t="str">
        <f aca="false">IF(I897=0,"",INDEX(GL!$B:$B,I897))</f>
        <v/>
      </c>
      <c r="K897" s="5" t="str">
        <f aca="false">IF(I897=0,"",IF(INDEX(GL!$C:$C,I897)="","",INDEX(GL!$C:$C,I897)))</f>
        <v/>
      </c>
      <c r="L897" s="19" t="str">
        <f aca="false">IF(I897=0,"",INDEX(GL!$E:$E,I897))</f>
        <v/>
      </c>
      <c r="M897" s="19" t="str">
        <f aca="false">IF(OR(B897=0,I897=0),"",ROUND(G897-L897,2))</f>
        <v/>
      </c>
      <c r="N897" s="5" t="str">
        <f aca="false">IF(A897="","",IF(B897=0,"NOT FOUND: bank ID",IF(I897=0,"NOT FOUND: GL ID",IF(INDEX(GL!$H:$H,I897)&lt;&gt;A897,"BROKEN: GL points elsewhere",IF(OR(INDEX(Bank!$F:$F,B897)&lt;&gt;"Y",INDEX(GL!$F:$F,I897)&lt;&gt;"Y"),"BROKEN: Status not Y","OK")))))</f>
        <v/>
      </c>
    </row>
    <row r="898" customFormat="false" ht="15" hidden="false" customHeight="false" outlineLevel="0" collapsed="false">
      <c r="A898" s="41"/>
      <c r="B898" s="5" t="n">
        <f aca="false">IF(A898="",0,IFERROR(MATCH(A898,Bank!$A:$A,0),0))</f>
        <v>0</v>
      </c>
      <c r="C898" s="5" t="str">
        <f aca="false">IF(B898=0,"",IF(INDEX(Bank!$G:$G,B898)="","",INDEX(Bank!$G:$G,B898)))</f>
        <v/>
      </c>
      <c r="D898" s="5" t="str">
        <f aca="false">IF(B898=0,"",IF(INDEX(Bank!$J:$J,B898)="","",INDEX(Bank!$J:$J,B898)))</f>
        <v/>
      </c>
      <c r="E898" s="32" t="str">
        <f aca="false">IF(B898=0,"",INDEX(Bank!$B:$B,B898))</f>
        <v/>
      </c>
      <c r="F898" s="5" t="str">
        <f aca="false">IF(B898=0,"",IF(INDEX(Bank!$C:$C,B898)="","",INDEX(Bank!$C:$C,B898)))</f>
        <v/>
      </c>
      <c r="G898" s="19" t="str">
        <f aca="false">IF(B898=0,"",INDEX(Bank!$E:$E,B898))</f>
        <v/>
      </c>
      <c r="H898" s="5" t="str">
        <f aca="false">IF(B898=0,"",IF(INDEX(Bank!$H:$H,B898)="","",INDEX(Bank!$H:$H,B898)))</f>
        <v/>
      </c>
      <c r="I898" s="5" t="n">
        <f aca="false">IF(H898="",0,IFERROR(MATCH(H898,GL!$A:$A,0),0))</f>
        <v>0</v>
      </c>
      <c r="J898" s="32" t="str">
        <f aca="false">IF(I898=0,"",INDEX(GL!$B:$B,I898))</f>
        <v/>
      </c>
      <c r="K898" s="5" t="str">
        <f aca="false">IF(I898=0,"",IF(INDEX(GL!$C:$C,I898)="","",INDEX(GL!$C:$C,I898)))</f>
        <v/>
      </c>
      <c r="L898" s="19" t="str">
        <f aca="false">IF(I898=0,"",INDEX(GL!$E:$E,I898))</f>
        <v/>
      </c>
      <c r="M898" s="19" t="str">
        <f aca="false">IF(OR(B898=0,I898=0),"",ROUND(G898-L898,2))</f>
        <v/>
      </c>
      <c r="N898" s="5" t="str">
        <f aca="false">IF(A898="","",IF(B898=0,"NOT FOUND: bank ID",IF(I898=0,"NOT FOUND: GL ID",IF(INDEX(GL!$H:$H,I898)&lt;&gt;A898,"BROKEN: GL points elsewhere",IF(OR(INDEX(Bank!$F:$F,B898)&lt;&gt;"Y",INDEX(GL!$F:$F,I898)&lt;&gt;"Y"),"BROKEN: Status not Y","OK")))))</f>
        <v/>
      </c>
    </row>
    <row r="899" customFormat="false" ht="15" hidden="false" customHeight="false" outlineLevel="0" collapsed="false">
      <c r="A899" s="41"/>
      <c r="B899" s="5" t="n">
        <f aca="false">IF(A899="",0,IFERROR(MATCH(A899,Bank!$A:$A,0),0))</f>
        <v>0</v>
      </c>
      <c r="C899" s="5" t="str">
        <f aca="false">IF(B899=0,"",IF(INDEX(Bank!$G:$G,B899)="","",INDEX(Bank!$G:$G,B899)))</f>
        <v/>
      </c>
      <c r="D899" s="5" t="str">
        <f aca="false">IF(B899=0,"",IF(INDEX(Bank!$J:$J,B899)="","",INDEX(Bank!$J:$J,B899)))</f>
        <v/>
      </c>
      <c r="E899" s="32" t="str">
        <f aca="false">IF(B899=0,"",INDEX(Bank!$B:$B,B899))</f>
        <v/>
      </c>
      <c r="F899" s="5" t="str">
        <f aca="false">IF(B899=0,"",IF(INDEX(Bank!$C:$C,B899)="","",INDEX(Bank!$C:$C,B899)))</f>
        <v/>
      </c>
      <c r="G899" s="19" t="str">
        <f aca="false">IF(B899=0,"",INDEX(Bank!$E:$E,B899))</f>
        <v/>
      </c>
      <c r="H899" s="5" t="str">
        <f aca="false">IF(B899=0,"",IF(INDEX(Bank!$H:$H,B899)="","",INDEX(Bank!$H:$H,B899)))</f>
        <v/>
      </c>
      <c r="I899" s="5" t="n">
        <f aca="false">IF(H899="",0,IFERROR(MATCH(H899,GL!$A:$A,0),0))</f>
        <v>0</v>
      </c>
      <c r="J899" s="32" t="str">
        <f aca="false">IF(I899=0,"",INDEX(GL!$B:$B,I899))</f>
        <v/>
      </c>
      <c r="K899" s="5" t="str">
        <f aca="false">IF(I899=0,"",IF(INDEX(GL!$C:$C,I899)="","",INDEX(GL!$C:$C,I899)))</f>
        <v/>
      </c>
      <c r="L899" s="19" t="str">
        <f aca="false">IF(I899=0,"",INDEX(GL!$E:$E,I899))</f>
        <v/>
      </c>
      <c r="M899" s="19" t="str">
        <f aca="false">IF(OR(B899=0,I899=0),"",ROUND(G899-L899,2))</f>
        <v/>
      </c>
      <c r="N899" s="5" t="str">
        <f aca="false">IF(A899="","",IF(B899=0,"NOT FOUND: bank ID",IF(I899=0,"NOT FOUND: GL ID",IF(INDEX(GL!$H:$H,I899)&lt;&gt;A899,"BROKEN: GL points elsewhere",IF(OR(INDEX(Bank!$F:$F,B899)&lt;&gt;"Y",INDEX(GL!$F:$F,I899)&lt;&gt;"Y"),"BROKEN: Status not Y","OK")))))</f>
        <v/>
      </c>
    </row>
    <row r="900" customFormat="false" ht="15" hidden="false" customHeight="false" outlineLevel="0" collapsed="false">
      <c r="A900" s="41"/>
      <c r="B900" s="5" t="n">
        <f aca="false">IF(A900="",0,IFERROR(MATCH(A900,Bank!$A:$A,0),0))</f>
        <v>0</v>
      </c>
      <c r="C900" s="5" t="str">
        <f aca="false">IF(B900=0,"",IF(INDEX(Bank!$G:$G,B900)="","",INDEX(Bank!$G:$G,B900)))</f>
        <v/>
      </c>
      <c r="D900" s="5" t="str">
        <f aca="false">IF(B900=0,"",IF(INDEX(Bank!$J:$J,B900)="","",INDEX(Bank!$J:$J,B900)))</f>
        <v/>
      </c>
      <c r="E900" s="32" t="str">
        <f aca="false">IF(B900=0,"",INDEX(Bank!$B:$B,B900))</f>
        <v/>
      </c>
      <c r="F900" s="5" t="str">
        <f aca="false">IF(B900=0,"",IF(INDEX(Bank!$C:$C,B900)="","",INDEX(Bank!$C:$C,B900)))</f>
        <v/>
      </c>
      <c r="G900" s="19" t="str">
        <f aca="false">IF(B900=0,"",INDEX(Bank!$E:$E,B900))</f>
        <v/>
      </c>
      <c r="H900" s="5" t="str">
        <f aca="false">IF(B900=0,"",IF(INDEX(Bank!$H:$H,B900)="","",INDEX(Bank!$H:$H,B900)))</f>
        <v/>
      </c>
      <c r="I900" s="5" t="n">
        <f aca="false">IF(H900="",0,IFERROR(MATCH(H900,GL!$A:$A,0),0))</f>
        <v>0</v>
      </c>
      <c r="J900" s="32" t="str">
        <f aca="false">IF(I900=0,"",INDEX(GL!$B:$B,I900))</f>
        <v/>
      </c>
      <c r="K900" s="5" t="str">
        <f aca="false">IF(I900=0,"",IF(INDEX(GL!$C:$C,I900)="","",INDEX(GL!$C:$C,I900)))</f>
        <v/>
      </c>
      <c r="L900" s="19" t="str">
        <f aca="false">IF(I900=0,"",INDEX(GL!$E:$E,I900))</f>
        <v/>
      </c>
      <c r="M900" s="19" t="str">
        <f aca="false">IF(OR(B900=0,I900=0),"",ROUND(G900-L900,2))</f>
        <v/>
      </c>
      <c r="N900" s="5" t="str">
        <f aca="false">IF(A900="","",IF(B900=0,"NOT FOUND: bank ID",IF(I900=0,"NOT FOUND: GL ID",IF(INDEX(GL!$H:$H,I900)&lt;&gt;A900,"BROKEN: GL points elsewhere",IF(OR(INDEX(Bank!$F:$F,B900)&lt;&gt;"Y",INDEX(GL!$F:$F,I900)&lt;&gt;"Y"),"BROKEN: Status not Y","OK")))))</f>
        <v/>
      </c>
    </row>
    <row r="901" customFormat="false" ht="15" hidden="false" customHeight="false" outlineLevel="0" collapsed="false">
      <c r="A901" s="41"/>
      <c r="B901" s="5" t="n">
        <f aca="false">IF(A901="",0,IFERROR(MATCH(A901,Bank!$A:$A,0),0))</f>
        <v>0</v>
      </c>
      <c r="C901" s="5" t="str">
        <f aca="false">IF(B901=0,"",IF(INDEX(Bank!$G:$G,B901)="","",INDEX(Bank!$G:$G,B901)))</f>
        <v/>
      </c>
      <c r="D901" s="5" t="str">
        <f aca="false">IF(B901=0,"",IF(INDEX(Bank!$J:$J,B901)="","",INDEX(Bank!$J:$J,B901)))</f>
        <v/>
      </c>
      <c r="E901" s="32" t="str">
        <f aca="false">IF(B901=0,"",INDEX(Bank!$B:$B,B901))</f>
        <v/>
      </c>
      <c r="F901" s="5" t="str">
        <f aca="false">IF(B901=0,"",IF(INDEX(Bank!$C:$C,B901)="","",INDEX(Bank!$C:$C,B901)))</f>
        <v/>
      </c>
      <c r="G901" s="19" t="str">
        <f aca="false">IF(B901=0,"",INDEX(Bank!$E:$E,B901))</f>
        <v/>
      </c>
      <c r="H901" s="5" t="str">
        <f aca="false">IF(B901=0,"",IF(INDEX(Bank!$H:$H,B901)="","",INDEX(Bank!$H:$H,B901)))</f>
        <v/>
      </c>
      <c r="I901" s="5" t="n">
        <f aca="false">IF(H901="",0,IFERROR(MATCH(H901,GL!$A:$A,0),0))</f>
        <v>0</v>
      </c>
      <c r="J901" s="32" t="str">
        <f aca="false">IF(I901=0,"",INDEX(GL!$B:$B,I901))</f>
        <v/>
      </c>
      <c r="K901" s="5" t="str">
        <f aca="false">IF(I901=0,"",IF(INDEX(GL!$C:$C,I901)="","",INDEX(GL!$C:$C,I901)))</f>
        <v/>
      </c>
      <c r="L901" s="19" t="str">
        <f aca="false">IF(I901=0,"",INDEX(GL!$E:$E,I901))</f>
        <v/>
      </c>
      <c r="M901" s="19" t="str">
        <f aca="false">IF(OR(B901=0,I901=0),"",ROUND(G901-L901,2))</f>
        <v/>
      </c>
      <c r="N901" s="5" t="str">
        <f aca="false">IF(A901="","",IF(B901=0,"NOT FOUND: bank ID",IF(I901=0,"NOT FOUND: GL ID",IF(INDEX(GL!$H:$H,I901)&lt;&gt;A901,"BROKEN: GL points elsewhere",IF(OR(INDEX(Bank!$F:$F,B901)&lt;&gt;"Y",INDEX(GL!$F:$F,I901)&lt;&gt;"Y"),"BROKEN: Status not Y","OK")))))</f>
        <v/>
      </c>
    </row>
    <row r="902" customFormat="false" ht="15" hidden="false" customHeight="false" outlineLevel="0" collapsed="false">
      <c r="A902" s="41"/>
      <c r="B902" s="5" t="n">
        <f aca="false">IF(A902="",0,IFERROR(MATCH(A902,Bank!$A:$A,0),0))</f>
        <v>0</v>
      </c>
      <c r="C902" s="5" t="str">
        <f aca="false">IF(B902=0,"",IF(INDEX(Bank!$G:$G,B902)="","",INDEX(Bank!$G:$G,B902)))</f>
        <v/>
      </c>
      <c r="D902" s="5" t="str">
        <f aca="false">IF(B902=0,"",IF(INDEX(Bank!$J:$J,B902)="","",INDEX(Bank!$J:$J,B902)))</f>
        <v/>
      </c>
      <c r="E902" s="32" t="str">
        <f aca="false">IF(B902=0,"",INDEX(Bank!$B:$B,B902))</f>
        <v/>
      </c>
      <c r="F902" s="5" t="str">
        <f aca="false">IF(B902=0,"",IF(INDEX(Bank!$C:$C,B902)="","",INDEX(Bank!$C:$C,B902)))</f>
        <v/>
      </c>
      <c r="G902" s="19" t="str">
        <f aca="false">IF(B902=0,"",INDEX(Bank!$E:$E,B902))</f>
        <v/>
      </c>
      <c r="H902" s="5" t="str">
        <f aca="false">IF(B902=0,"",IF(INDEX(Bank!$H:$H,B902)="","",INDEX(Bank!$H:$H,B902)))</f>
        <v/>
      </c>
      <c r="I902" s="5" t="n">
        <f aca="false">IF(H902="",0,IFERROR(MATCH(H902,GL!$A:$A,0),0))</f>
        <v>0</v>
      </c>
      <c r="J902" s="32" t="str">
        <f aca="false">IF(I902=0,"",INDEX(GL!$B:$B,I902))</f>
        <v/>
      </c>
      <c r="K902" s="5" t="str">
        <f aca="false">IF(I902=0,"",IF(INDEX(GL!$C:$C,I902)="","",INDEX(GL!$C:$C,I902)))</f>
        <v/>
      </c>
      <c r="L902" s="19" t="str">
        <f aca="false">IF(I902=0,"",INDEX(GL!$E:$E,I902))</f>
        <v/>
      </c>
      <c r="M902" s="19" t="str">
        <f aca="false">IF(OR(B902=0,I902=0),"",ROUND(G902-L902,2))</f>
        <v/>
      </c>
      <c r="N902" s="5" t="str">
        <f aca="false">IF(A902="","",IF(B902=0,"NOT FOUND: bank ID",IF(I902=0,"NOT FOUND: GL ID",IF(INDEX(GL!$H:$H,I902)&lt;&gt;A902,"BROKEN: GL points elsewhere",IF(OR(INDEX(Bank!$F:$F,B902)&lt;&gt;"Y",INDEX(GL!$F:$F,I902)&lt;&gt;"Y"),"BROKEN: Status not Y","OK")))))</f>
        <v/>
      </c>
    </row>
    <row r="903" customFormat="false" ht="15" hidden="false" customHeight="false" outlineLevel="0" collapsed="false">
      <c r="A903" s="41"/>
      <c r="B903" s="5" t="n">
        <f aca="false">IF(A903="",0,IFERROR(MATCH(A903,Bank!$A:$A,0),0))</f>
        <v>0</v>
      </c>
      <c r="C903" s="5" t="str">
        <f aca="false">IF(B903=0,"",IF(INDEX(Bank!$G:$G,B903)="","",INDEX(Bank!$G:$G,B903)))</f>
        <v/>
      </c>
      <c r="D903" s="5" t="str">
        <f aca="false">IF(B903=0,"",IF(INDEX(Bank!$J:$J,B903)="","",INDEX(Bank!$J:$J,B903)))</f>
        <v/>
      </c>
      <c r="E903" s="32" t="str">
        <f aca="false">IF(B903=0,"",INDEX(Bank!$B:$B,B903))</f>
        <v/>
      </c>
      <c r="F903" s="5" t="str">
        <f aca="false">IF(B903=0,"",IF(INDEX(Bank!$C:$C,B903)="","",INDEX(Bank!$C:$C,B903)))</f>
        <v/>
      </c>
      <c r="G903" s="19" t="str">
        <f aca="false">IF(B903=0,"",INDEX(Bank!$E:$E,B903))</f>
        <v/>
      </c>
      <c r="H903" s="5" t="str">
        <f aca="false">IF(B903=0,"",IF(INDEX(Bank!$H:$H,B903)="","",INDEX(Bank!$H:$H,B903)))</f>
        <v/>
      </c>
      <c r="I903" s="5" t="n">
        <f aca="false">IF(H903="",0,IFERROR(MATCH(H903,GL!$A:$A,0),0))</f>
        <v>0</v>
      </c>
      <c r="J903" s="32" t="str">
        <f aca="false">IF(I903=0,"",INDEX(GL!$B:$B,I903))</f>
        <v/>
      </c>
      <c r="K903" s="5" t="str">
        <f aca="false">IF(I903=0,"",IF(INDEX(GL!$C:$C,I903)="","",INDEX(GL!$C:$C,I903)))</f>
        <v/>
      </c>
      <c r="L903" s="19" t="str">
        <f aca="false">IF(I903=0,"",INDEX(GL!$E:$E,I903))</f>
        <v/>
      </c>
      <c r="M903" s="19" t="str">
        <f aca="false">IF(OR(B903=0,I903=0),"",ROUND(G903-L903,2))</f>
        <v/>
      </c>
      <c r="N903" s="5" t="str">
        <f aca="false">IF(A903="","",IF(B903=0,"NOT FOUND: bank ID",IF(I903=0,"NOT FOUND: GL ID",IF(INDEX(GL!$H:$H,I903)&lt;&gt;A903,"BROKEN: GL points elsewhere",IF(OR(INDEX(Bank!$F:$F,B903)&lt;&gt;"Y",INDEX(GL!$F:$F,I903)&lt;&gt;"Y"),"BROKEN: Status not Y","OK")))))</f>
        <v/>
      </c>
    </row>
    <row r="904" customFormat="false" ht="15" hidden="false" customHeight="false" outlineLevel="0" collapsed="false">
      <c r="A904" s="41"/>
      <c r="B904" s="5" t="n">
        <f aca="false">IF(A904="",0,IFERROR(MATCH(A904,Bank!$A:$A,0),0))</f>
        <v>0</v>
      </c>
      <c r="C904" s="5" t="str">
        <f aca="false">IF(B904=0,"",IF(INDEX(Bank!$G:$G,B904)="","",INDEX(Bank!$G:$G,B904)))</f>
        <v/>
      </c>
      <c r="D904" s="5" t="str">
        <f aca="false">IF(B904=0,"",IF(INDEX(Bank!$J:$J,B904)="","",INDEX(Bank!$J:$J,B904)))</f>
        <v/>
      </c>
      <c r="E904" s="32" t="str">
        <f aca="false">IF(B904=0,"",INDEX(Bank!$B:$B,B904))</f>
        <v/>
      </c>
      <c r="F904" s="5" t="str">
        <f aca="false">IF(B904=0,"",IF(INDEX(Bank!$C:$C,B904)="","",INDEX(Bank!$C:$C,B904)))</f>
        <v/>
      </c>
      <c r="G904" s="19" t="str">
        <f aca="false">IF(B904=0,"",INDEX(Bank!$E:$E,B904))</f>
        <v/>
      </c>
      <c r="H904" s="5" t="str">
        <f aca="false">IF(B904=0,"",IF(INDEX(Bank!$H:$H,B904)="","",INDEX(Bank!$H:$H,B904)))</f>
        <v/>
      </c>
      <c r="I904" s="5" t="n">
        <f aca="false">IF(H904="",0,IFERROR(MATCH(H904,GL!$A:$A,0),0))</f>
        <v>0</v>
      </c>
      <c r="J904" s="32" t="str">
        <f aca="false">IF(I904=0,"",INDEX(GL!$B:$B,I904))</f>
        <v/>
      </c>
      <c r="K904" s="5" t="str">
        <f aca="false">IF(I904=0,"",IF(INDEX(GL!$C:$C,I904)="","",INDEX(GL!$C:$C,I904)))</f>
        <v/>
      </c>
      <c r="L904" s="19" t="str">
        <f aca="false">IF(I904=0,"",INDEX(GL!$E:$E,I904))</f>
        <v/>
      </c>
      <c r="M904" s="19" t="str">
        <f aca="false">IF(OR(B904=0,I904=0),"",ROUND(G904-L904,2))</f>
        <v/>
      </c>
      <c r="N904" s="5" t="str">
        <f aca="false">IF(A904="","",IF(B904=0,"NOT FOUND: bank ID",IF(I904=0,"NOT FOUND: GL ID",IF(INDEX(GL!$H:$H,I904)&lt;&gt;A904,"BROKEN: GL points elsewhere",IF(OR(INDEX(Bank!$F:$F,B904)&lt;&gt;"Y",INDEX(GL!$F:$F,I904)&lt;&gt;"Y"),"BROKEN: Status not Y","OK")))))</f>
        <v/>
      </c>
    </row>
    <row r="905" customFormat="false" ht="15" hidden="false" customHeight="false" outlineLevel="0" collapsed="false">
      <c r="A905" s="41"/>
      <c r="B905" s="5" t="n">
        <f aca="false">IF(A905="",0,IFERROR(MATCH(A905,Bank!$A:$A,0),0))</f>
        <v>0</v>
      </c>
      <c r="C905" s="5" t="str">
        <f aca="false">IF(B905=0,"",IF(INDEX(Bank!$G:$G,B905)="","",INDEX(Bank!$G:$G,B905)))</f>
        <v/>
      </c>
      <c r="D905" s="5" t="str">
        <f aca="false">IF(B905=0,"",IF(INDEX(Bank!$J:$J,B905)="","",INDEX(Bank!$J:$J,B905)))</f>
        <v/>
      </c>
      <c r="E905" s="32" t="str">
        <f aca="false">IF(B905=0,"",INDEX(Bank!$B:$B,B905))</f>
        <v/>
      </c>
      <c r="F905" s="5" t="str">
        <f aca="false">IF(B905=0,"",IF(INDEX(Bank!$C:$C,B905)="","",INDEX(Bank!$C:$C,B905)))</f>
        <v/>
      </c>
      <c r="G905" s="19" t="str">
        <f aca="false">IF(B905=0,"",INDEX(Bank!$E:$E,B905))</f>
        <v/>
      </c>
      <c r="H905" s="5" t="str">
        <f aca="false">IF(B905=0,"",IF(INDEX(Bank!$H:$H,B905)="","",INDEX(Bank!$H:$H,B905)))</f>
        <v/>
      </c>
      <c r="I905" s="5" t="n">
        <f aca="false">IF(H905="",0,IFERROR(MATCH(H905,GL!$A:$A,0),0))</f>
        <v>0</v>
      </c>
      <c r="J905" s="32" t="str">
        <f aca="false">IF(I905=0,"",INDEX(GL!$B:$B,I905))</f>
        <v/>
      </c>
      <c r="K905" s="5" t="str">
        <f aca="false">IF(I905=0,"",IF(INDEX(GL!$C:$C,I905)="","",INDEX(GL!$C:$C,I905)))</f>
        <v/>
      </c>
      <c r="L905" s="19" t="str">
        <f aca="false">IF(I905=0,"",INDEX(GL!$E:$E,I905))</f>
        <v/>
      </c>
      <c r="M905" s="19" t="str">
        <f aca="false">IF(OR(B905=0,I905=0),"",ROUND(G905-L905,2))</f>
        <v/>
      </c>
      <c r="N905" s="5" t="str">
        <f aca="false">IF(A905="","",IF(B905=0,"NOT FOUND: bank ID",IF(I905=0,"NOT FOUND: GL ID",IF(INDEX(GL!$H:$H,I905)&lt;&gt;A905,"BROKEN: GL points elsewhere",IF(OR(INDEX(Bank!$F:$F,B905)&lt;&gt;"Y",INDEX(GL!$F:$F,I905)&lt;&gt;"Y"),"BROKEN: Status not Y","OK")))))</f>
        <v/>
      </c>
    </row>
    <row r="906" customFormat="false" ht="15" hidden="false" customHeight="false" outlineLevel="0" collapsed="false">
      <c r="A906" s="41"/>
      <c r="B906" s="5" t="n">
        <f aca="false">IF(A906="",0,IFERROR(MATCH(A906,Bank!$A:$A,0),0))</f>
        <v>0</v>
      </c>
      <c r="C906" s="5" t="str">
        <f aca="false">IF(B906=0,"",IF(INDEX(Bank!$G:$G,B906)="","",INDEX(Bank!$G:$G,B906)))</f>
        <v/>
      </c>
      <c r="D906" s="5" t="str">
        <f aca="false">IF(B906=0,"",IF(INDEX(Bank!$J:$J,B906)="","",INDEX(Bank!$J:$J,B906)))</f>
        <v/>
      </c>
      <c r="E906" s="32" t="str">
        <f aca="false">IF(B906=0,"",INDEX(Bank!$B:$B,B906))</f>
        <v/>
      </c>
      <c r="F906" s="5" t="str">
        <f aca="false">IF(B906=0,"",IF(INDEX(Bank!$C:$C,B906)="","",INDEX(Bank!$C:$C,B906)))</f>
        <v/>
      </c>
      <c r="G906" s="19" t="str">
        <f aca="false">IF(B906=0,"",INDEX(Bank!$E:$E,B906))</f>
        <v/>
      </c>
      <c r="H906" s="5" t="str">
        <f aca="false">IF(B906=0,"",IF(INDEX(Bank!$H:$H,B906)="","",INDEX(Bank!$H:$H,B906)))</f>
        <v/>
      </c>
      <c r="I906" s="5" t="n">
        <f aca="false">IF(H906="",0,IFERROR(MATCH(H906,GL!$A:$A,0),0))</f>
        <v>0</v>
      </c>
      <c r="J906" s="32" t="str">
        <f aca="false">IF(I906=0,"",INDEX(GL!$B:$B,I906))</f>
        <v/>
      </c>
      <c r="K906" s="5" t="str">
        <f aca="false">IF(I906=0,"",IF(INDEX(GL!$C:$C,I906)="","",INDEX(GL!$C:$C,I906)))</f>
        <v/>
      </c>
      <c r="L906" s="19" t="str">
        <f aca="false">IF(I906=0,"",INDEX(GL!$E:$E,I906))</f>
        <v/>
      </c>
      <c r="M906" s="19" t="str">
        <f aca="false">IF(OR(B906=0,I906=0),"",ROUND(G906-L906,2))</f>
        <v/>
      </c>
      <c r="N906" s="5" t="str">
        <f aca="false">IF(A906="","",IF(B906=0,"NOT FOUND: bank ID",IF(I906=0,"NOT FOUND: GL ID",IF(INDEX(GL!$H:$H,I906)&lt;&gt;A906,"BROKEN: GL points elsewhere",IF(OR(INDEX(Bank!$F:$F,B906)&lt;&gt;"Y",INDEX(GL!$F:$F,I906)&lt;&gt;"Y"),"BROKEN: Status not Y","OK")))))</f>
        <v/>
      </c>
    </row>
    <row r="907" customFormat="false" ht="15" hidden="false" customHeight="false" outlineLevel="0" collapsed="false">
      <c r="A907" s="41"/>
      <c r="B907" s="5" t="n">
        <f aca="false">IF(A907="",0,IFERROR(MATCH(A907,Bank!$A:$A,0),0))</f>
        <v>0</v>
      </c>
      <c r="C907" s="5" t="str">
        <f aca="false">IF(B907=0,"",IF(INDEX(Bank!$G:$G,B907)="","",INDEX(Bank!$G:$G,B907)))</f>
        <v/>
      </c>
      <c r="D907" s="5" t="str">
        <f aca="false">IF(B907=0,"",IF(INDEX(Bank!$J:$J,B907)="","",INDEX(Bank!$J:$J,B907)))</f>
        <v/>
      </c>
      <c r="E907" s="32" t="str">
        <f aca="false">IF(B907=0,"",INDEX(Bank!$B:$B,B907))</f>
        <v/>
      </c>
      <c r="F907" s="5" t="str">
        <f aca="false">IF(B907=0,"",IF(INDEX(Bank!$C:$C,B907)="","",INDEX(Bank!$C:$C,B907)))</f>
        <v/>
      </c>
      <c r="G907" s="19" t="str">
        <f aca="false">IF(B907=0,"",INDEX(Bank!$E:$E,B907))</f>
        <v/>
      </c>
      <c r="H907" s="5" t="str">
        <f aca="false">IF(B907=0,"",IF(INDEX(Bank!$H:$H,B907)="","",INDEX(Bank!$H:$H,B907)))</f>
        <v/>
      </c>
      <c r="I907" s="5" t="n">
        <f aca="false">IF(H907="",0,IFERROR(MATCH(H907,GL!$A:$A,0),0))</f>
        <v>0</v>
      </c>
      <c r="J907" s="32" t="str">
        <f aca="false">IF(I907=0,"",INDEX(GL!$B:$B,I907))</f>
        <v/>
      </c>
      <c r="K907" s="5" t="str">
        <f aca="false">IF(I907=0,"",IF(INDEX(GL!$C:$C,I907)="","",INDEX(GL!$C:$C,I907)))</f>
        <v/>
      </c>
      <c r="L907" s="19" t="str">
        <f aca="false">IF(I907=0,"",INDEX(GL!$E:$E,I907))</f>
        <v/>
      </c>
      <c r="M907" s="19" t="str">
        <f aca="false">IF(OR(B907=0,I907=0),"",ROUND(G907-L907,2))</f>
        <v/>
      </c>
      <c r="N907" s="5" t="str">
        <f aca="false">IF(A907="","",IF(B907=0,"NOT FOUND: bank ID",IF(I907=0,"NOT FOUND: GL ID",IF(INDEX(GL!$H:$H,I907)&lt;&gt;A907,"BROKEN: GL points elsewhere",IF(OR(INDEX(Bank!$F:$F,B907)&lt;&gt;"Y",INDEX(GL!$F:$F,I907)&lt;&gt;"Y"),"BROKEN: Status not Y","OK")))))</f>
        <v/>
      </c>
    </row>
    <row r="908" customFormat="false" ht="15" hidden="false" customHeight="false" outlineLevel="0" collapsed="false">
      <c r="A908" s="41"/>
      <c r="B908" s="5" t="n">
        <f aca="false">IF(A908="",0,IFERROR(MATCH(A908,Bank!$A:$A,0),0))</f>
        <v>0</v>
      </c>
      <c r="C908" s="5" t="str">
        <f aca="false">IF(B908=0,"",IF(INDEX(Bank!$G:$G,B908)="","",INDEX(Bank!$G:$G,B908)))</f>
        <v/>
      </c>
      <c r="D908" s="5" t="str">
        <f aca="false">IF(B908=0,"",IF(INDEX(Bank!$J:$J,B908)="","",INDEX(Bank!$J:$J,B908)))</f>
        <v/>
      </c>
      <c r="E908" s="32" t="str">
        <f aca="false">IF(B908=0,"",INDEX(Bank!$B:$B,B908))</f>
        <v/>
      </c>
      <c r="F908" s="5" t="str">
        <f aca="false">IF(B908=0,"",IF(INDEX(Bank!$C:$C,B908)="","",INDEX(Bank!$C:$C,B908)))</f>
        <v/>
      </c>
      <c r="G908" s="19" t="str">
        <f aca="false">IF(B908=0,"",INDEX(Bank!$E:$E,B908))</f>
        <v/>
      </c>
      <c r="H908" s="5" t="str">
        <f aca="false">IF(B908=0,"",IF(INDEX(Bank!$H:$H,B908)="","",INDEX(Bank!$H:$H,B908)))</f>
        <v/>
      </c>
      <c r="I908" s="5" t="n">
        <f aca="false">IF(H908="",0,IFERROR(MATCH(H908,GL!$A:$A,0),0))</f>
        <v>0</v>
      </c>
      <c r="J908" s="32" t="str">
        <f aca="false">IF(I908=0,"",INDEX(GL!$B:$B,I908))</f>
        <v/>
      </c>
      <c r="K908" s="5" t="str">
        <f aca="false">IF(I908=0,"",IF(INDEX(GL!$C:$C,I908)="","",INDEX(GL!$C:$C,I908)))</f>
        <v/>
      </c>
      <c r="L908" s="19" t="str">
        <f aca="false">IF(I908=0,"",INDEX(GL!$E:$E,I908))</f>
        <v/>
      </c>
      <c r="M908" s="19" t="str">
        <f aca="false">IF(OR(B908=0,I908=0),"",ROUND(G908-L908,2))</f>
        <v/>
      </c>
      <c r="N908" s="5" t="str">
        <f aca="false">IF(A908="","",IF(B908=0,"NOT FOUND: bank ID",IF(I908=0,"NOT FOUND: GL ID",IF(INDEX(GL!$H:$H,I908)&lt;&gt;A908,"BROKEN: GL points elsewhere",IF(OR(INDEX(Bank!$F:$F,B908)&lt;&gt;"Y",INDEX(GL!$F:$F,I908)&lt;&gt;"Y"),"BROKEN: Status not Y","OK")))))</f>
        <v/>
      </c>
    </row>
    <row r="909" customFormat="false" ht="15" hidden="false" customHeight="false" outlineLevel="0" collapsed="false">
      <c r="A909" s="41"/>
      <c r="B909" s="5" t="n">
        <f aca="false">IF(A909="",0,IFERROR(MATCH(A909,Bank!$A:$A,0),0))</f>
        <v>0</v>
      </c>
      <c r="C909" s="5" t="str">
        <f aca="false">IF(B909=0,"",IF(INDEX(Bank!$G:$G,B909)="","",INDEX(Bank!$G:$G,B909)))</f>
        <v/>
      </c>
      <c r="D909" s="5" t="str">
        <f aca="false">IF(B909=0,"",IF(INDEX(Bank!$J:$J,B909)="","",INDEX(Bank!$J:$J,B909)))</f>
        <v/>
      </c>
      <c r="E909" s="32" t="str">
        <f aca="false">IF(B909=0,"",INDEX(Bank!$B:$B,B909))</f>
        <v/>
      </c>
      <c r="F909" s="5" t="str">
        <f aca="false">IF(B909=0,"",IF(INDEX(Bank!$C:$C,B909)="","",INDEX(Bank!$C:$C,B909)))</f>
        <v/>
      </c>
      <c r="G909" s="19" t="str">
        <f aca="false">IF(B909=0,"",INDEX(Bank!$E:$E,B909))</f>
        <v/>
      </c>
      <c r="H909" s="5" t="str">
        <f aca="false">IF(B909=0,"",IF(INDEX(Bank!$H:$H,B909)="","",INDEX(Bank!$H:$H,B909)))</f>
        <v/>
      </c>
      <c r="I909" s="5" t="n">
        <f aca="false">IF(H909="",0,IFERROR(MATCH(H909,GL!$A:$A,0),0))</f>
        <v>0</v>
      </c>
      <c r="J909" s="32" t="str">
        <f aca="false">IF(I909=0,"",INDEX(GL!$B:$B,I909))</f>
        <v/>
      </c>
      <c r="K909" s="5" t="str">
        <f aca="false">IF(I909=0,"",IF(INDEX(GL!$C:$C,I909)="","",INDEX(GL!$C:$C,I909)))</f>
        <v/>
      </c>
      <c r="L909" s="19" t="str">
        <f aca="false">IF(I909=0,"",INDEX(GL!$E:$E,I909))</f>
        <v/>
      </c>
      <c r="M909" s="19" t="str">
        <f aca="false">IF(OR(B909=0,I909=0),"",ROUND(G909-L909,2))</f>
        <v/>
      </c>
      <c r="N909" s="5" t="str">
        <f aca="false">IF(A909="","",IF(B909=0,"NOT FOUND: bank ID",IF(I909=0,"NOT FOUND: GL ID",IF(INDEX(GL!$H:$H,I909)&lt;&gt;A909,"BROKEN: GL points elsewhere",IF(OR(INDEX(Bank!$F:$F,B909)&lt;&gt;"Y",INDEX(GL!$F:$F,I909)&lt;&gt;"Y"),"BROKEN: Status not Y","OK")))))</f>
        <v/>
      </c>
    </row>
    <row r="910" customFormat="false" ht="15" hidden="false" customHeight="false" outlineLevel="0" collapsed="false">
      <c r="A910" s="41"/>
      <c r="B910" s="5" t="n">
        <f aca="false">IF(A910="",0,IFERROR(MATCH(A910,Bank!$A:$A,0),0))</f>
        <v>0</v>
      </c>
      <c r="C910" s="5" t="str">
        <f aca="false">IF(B910=0,"",IF(INDEX(Bank!$G:$G,B910)="","",INDEX(Bank!$G:$G,B910)))</f>
        <v/>
      </c>
      <c r="D910" s="5" t="str">
        <f aca="false">IF(B910=0,"",IF(INDEX(Bank!$J:$J,B910)="","",INDEX(Bank!$J:$J,B910)))</f>
        <v/>
      </c>
      <c r="E910" s="32" t="str">
        <f aca="false">IF(B910=0,"",INDEX(Bank!$B:$B,B910))</f>
        <v/>
      </c>
      <c r="F910" s="5" t="str">
        <f aca="false">IF(B910=0,"",IF(INDEX(Bank!$C:$C,B910)="","",INDEX(Bank!$C:$C,B910)))</f>
        <v/>
      </c>
      <c r="G910" s="19" t="str">
        <f aca="false">IF(B910=0,"",INDEX(Bank!$E:$E,B910))</f>
        <v/>
      </c>
      <c r="H910" s="5" t="str">
        <f aca="false">IF(B910=0,"",IF(INDEX(Bank!$H:$H,B910)="","",INDEX(Bank!$H:$H,B910)))</f>
        <v/>
      </c>
      <c r="I910" s="5" t="n">
        <f aca="false">IF(H910="",0,IFERROR(MATCH(H910,GL!$A:$A,0),0))</f>
        <v>0</v>
      </c>
      <c r="J910" s="32" t="str">
        <f aca="false">IF(I910=0,"",INDEX(GL!$B:$B,I910))</f>
        <v/>
      </c>
      <c r="K910" s="5" t="str">
        <f aca="false">IF(I910=0,"",IF(INDEX(GL!$C:$C,I910)="","",INDEX(GL!$C:$C,I910)))</f>
        <v/>
      </c>
      <c r="L910" s="19" t="str">
        <f aca="false">IF(I910=0,"",INDEX(GL!$E:$E,I910))</f>
        <v/>
      </c>
      <c r="M910" s="19" t="str">
        <f aca="false">IF(OR(B910=0,I910=0),"",ROUND(G910-L910,2))</f>
        <v/>
      </c>
      <c r="N910" s="5" t="str">
        <f aca="false">IF(A910="","",IF(B910=0,"NOT FOUND: bank ID",IF(I910=0,"NOT FOUND: GL ID",IF(INDEX(GL!$H:$H,I910)&lt;&gt;A910,"BROKEN: GL points elsewhere",IF(OR(INDEX(Bank!$F:$F,B910)&lt;&gt;"Y",INDEX(GL!$F:$F,I910)&lt;&gt;"Y"),"BROKEN: Status not Y","OK")))))</f>
        <v/>
      </c>
    </row>
    <row r="911" customFormat="false" ht="15" hidden="false" customHeight="false" outlineLevel="0" collapsed="false">
      <c r="A911" s="41"/>
      <c r="B911" s="5" t="n">
        <f aca="false">IF(A911="",0,IFERROR(MATCH(A911,Bank!$A:$A,0),0))</f>
        <v>0</v>
      </c>
      <c r="C911" s="5" t="str">
        <f aca="false">IF(B911=0,"",IF(INDEX(Bank!$G:$G,B911)="","",INDEX(Bank!$G:$G,B911)))</f>
        <v/>
      </c>
      <c r="D911" s="5" t="str">
        <f aca="false">IF(B911=0,"",IF(INDEX(Bank!$J:$J,B911)="","",INDEX(Bank!$J:$J,B911)))</f>
        <v/>
      </c>
      <c r="E911" s="32" t="str">
        <f aca="false">IF(B911=0,"",INDEX(Bank!$B:$B,B911))</f>
        <v/>
      </c>
      <c r="F911" s="5" t="str">
        <f aca="false">IF(B911=0,"",IF(INDEX(Bank!$C:$C,B911)="","",INDEX(Bank!$C:$C,B911)))</f>
        <v/>
      </c>
      <c r="G911" s="19" t="str">
        <f aca="false">IF(B911=0,"",INDEX(Bank!$E:$E,B911))</f>
        <v/>
      </c>
      <c r="H911" s="5" t="str">
        <f aca="false">IF(B911=0,"",IF(INDEX(Bank!$H:$H,B911)="","",INDEX(Bank!$H:$H,B911)))</f>
        <v/>
      </c>
      <c r="I911" s="5" t="n">
        <f aca="false">IF(H911="",0,IFERROR(MATCH(H911,GL!$A:$A,0),0))</f>
        <v>0</v>
      </c>
      <c r="J911" s="32" t="str">
        <f aca="false">IF(I911=0,"",INDEX(GL!$B:$B,I911))</f>
        <v/>
      </c>
      <c r="K911" s="5" t="str">
        <f aca="false">IF(I911=0,"",IF(INDEX(GL!$C:$C,I911)="","",INDEX(GL!$C:$C,I911)))</f>
        <v/>
      </c>
      <c r="L911" s="19" t="str">
        <f aca="false">IF(I911=0,"",INDEX(GL!$E:$E,I911))</f>
        <v/>
      </c>
      <c r="M911" s="19" t="str">
        <f aca="false">IF(OR(B911=0,I911=0),"",ROUND(G911-L911,2))</f>
        <v/>
      </c>
      <c r="N911" s="5" t="str">
        <f aca="false">IF(A911="","",IF(B911=0,"NOT FOUND: bank ID",IF(I911=0,"NOT FOUND: GL ID",IF(INDEX(GL!$H:$H,I911)&lt;&gt;A911,"BROKEN: GL points elsewhere",IF(OR(INDEX(Bank!$F:$F,B911)&lt;&gt;"Y",INDEX(GL!$F:$F,I911)&lt;&gt;"Y"),"BROKEN: Status not Y","OK")))))</f>
        <v/>
      </c>
    </row>
    <row r="912" customFormat="false" ht="15" hidden="false" customHeight="false" outlineLevel="0" collapsed="false">
      <c r="A912" s="41"/>
      <c r="B912" s="5" t="n">
        <f aca="false">IF(A912="",0,IFERROR(MATCH(A912,Bank!$A:$A,0),0))</f>
        <v>0</v>
      </c>
      <c r="C912" s="5" t="str">
        <f aca="false">IF(B912=0,"",IF(INDEX(Bank!$G:$G,B912)="","",INDEX(Bank!$G:$G,B912)))</f>
        <v/>
      </c>
      <c r="D912" s="5" t="str">
        <f aca="false">IF(B912=0,"",IF(INDEX(Bank!$J:$J,B912)="","",INDEX(Bank!$J:$J,B912)))</f>
        <v/>
      </c>
      <c r="E912" s="32" t="str">
        <f aca="false">IF(B912=0,"",INDEX(Bank!$B:$B,B912))</f>
        <v/>
      </c>
      <c r="F912" s="5" t="str">
        <f aca="false">IF(B912=0,"",IF(INDEX(Bank!$C:$C,B912)="","",INDEX(Bank!$C:$C,B912)))</f>
        <v/>
      </c>
      <c r="G912" s="19" t="str">
        <f aca="false">IF(B912=0,"",INDEX(Bank!$E:$E,B912))</f>
        <v/>
      </c>
      <c r="H912" s="5" t="str">
        <f aca="false">IF(B912=0,"",IF(INDEX(Bank!$H:$H,B912)="","",INDEX(Bank!$H:$H,B912)))</f>
        <v/>
      </c>
      <c r="I912" s="5" t="n">
        <f aca="false">IF(H912="",0,IFERROR(MATCH(H912,GL!$A:$A,0),0))</f>
        <v>0</v>
      </c>
      <c r="J912" s="32" t="str">
        <f aca="false">IF(I912=0,"",INDEX(GL!$B:$B,I912))</f>
        <v/>
      </c>
      <c r="K912" s="5" t="str">
        <f aca="false">IF(I912=0,"",IF(INDEX(GL!$C:$C,I912)="","",INDEX(GL!$C:$C,I912)))</f>
        <v/>
      </c>
      <c r="L912" s="19" t="str">
        <f aca="false">IF(I912=0,"",INDEX(GL!$E:$E,I912))</f>
        <v/>
      </c>
      <c r="M912" s="19" t="str">
        <f aca="false">IF(OR(B912=0,I912=0),"",ROUND(G912-L912,2))</f>
        <v/>
      </c>
      <c r="N912" s="5" t="str">
        <f aca="false">IF(A912="","",IF(B912=0,"NOT FOUND: bank ID",IF(I912=0,"NOT FOUND: GL ID",IF(INDEX(GL!$H:$H,I912)&lt;&gt;A912,"BROKEN: GL points elsewhere",IF(OR(INDEX(Bank!$F:$F,B912)&lt;&gt;"Y",INDEX(GL!$F:$F,I912)&lt;&gt;"Y"),"BROKEN: Status not Y","OK")))))</f>
        <v/>
      </c>
    </row>
    <row r="913" customFormat="false" ht="15" hidden="false" customHeight="false" outlineLevel="0" collapsed="false">
      <c r="A913" s="41"/>
      <c r="B913" s="5" t="n">
        <f aca="false">IF(A913="",0,IFERROR(MATCH(A913,Bank!$A:$A,0),0))</f>
        <v>0</v>
      </c>
      <c r="C913" s="5" t="str">
        <f aca="false">IF(B913=0,"",IF(INDEX(Bank!$G:$G,B913)="","",INDEX(Bank!$G:$G,B913)))</f>
        <v/>
      </c>
      <c r="D913" s="5" t="str">
        <f aca="false">IF(B913=0,"",IF(INDEX(Bank!$J:$J,B913)="","",INDEX(Bank!$J:$J,B913)))</f>
        <v/>
      </c>
      <c r="E913" s="32" t="str">
        <f aca="false">IF(B913=0,"",INDEX(Bank!$B:$B,B913))</f>
        <v/>
      </c>
      <c r="F913" s="5" t="str">
        <f aca="false">IF(B913=0,"",IF(INDEX(Bank!$C:$C,B913)="","",INDEX(Bank!$C:$C,B913)))</f>
        <v/>
      </c>
      <c r="G913" s="19" t="str">
        <f aca="false">IF(B913=0,"",INDEX(Bank!$E:$E,B913))</f>
        <v/>
      </c>
      <c r="H913" s="5" t="str">
        <f aca="false">IF(B913=0,"",IF(INDEX(Bank!$H:$H,B913)="","",INDEX(Bank!$H:$H,B913)))</f>
        <v/>
      </c>
      <c r="I913" s="5" t="n">
        <f aca="false">IF(H913="",0,IFERROR(MATCH(H913,GL!$A:$A,0),0))</f>
        <v>0</v>
      </c>
      <c r="J913" s="32" t="str">
        <f aca="false">IF(I913=0,"",INDEX(GL!$B:$B,I913))</f>
        <v/>
      </c>
      <c r="K913" s="5" t="str">
        <f aca="false">IF(I913=0,"",IF(INDEX(GL!$C:$C,I913)="","",INDEX(GL!$C:$C,I913)))</f>
        <v/>
      </c>
      <c r="L913" s="19" t="str">
        <f aca="false">IF(I913=0,"",INDEX(GL!$E:$E,I913))</f>
        <v/>
      </c>
      <c r="M913" s="19" t="str">
        <f aca="false">IF(OR(B913=0,I913=0),"",ROUND(G913-L913,2))</f>
        <v/>
      </c>
      <c r="N913" s="5" t="str">
        <f aca="false">IF(A913="","",IF(B913=0,"NOT FOUND: bank ID",IF(I913=0,"NOT FOUND: GL ID",IF(INDEX(GL!$H:$H,I913)&lt;&gt;A913,"BROKEN: GL points elsewhere",IF(OR(INDEX(Bank!$F:$F,B913)&lt;&gt;"Y",INDEX(GL!$F:$F,I913)&lt;&gt;"Y"),"BROKEN: Status not Y","OK")))))</f>
        <v/>
      </c>
    </row>
    <row r="914" customFormat="false" ht="15" hidden="false" customHeight="false" outlineLevel="0" collapsed="false">
      <c r="A914" s="41"/>
      <c r="B914" s="5" t="n">
        <f aca="false">IF(A914="",0,IFERROR(MATCH(A914,Bank!$A:$A,0),0))</f>
        <v>0</v>
      </c>
      <c r="C914" s="5" t="str">
        <f aca="false">IF(B914=0,"",IF(INDEX(Bank!$G:$G,B914)="","",INDEX(Bank!$G:$G,B914)))</f>
        <v/>
      </c>
      <c r="D914" s="5" t="str">
        <f aca="false">IF(B914=0,"",IF(INDEX(Bank!$J:$J,B914)="","",INDEX(Bank!$J:$J,B914)))</f>
        <v/>
      </c>
      <c r="E914" s="32" t="str">
        <f aca="false">IF(B914=0,"",INDEX(Bank!$B:$B,B914))</f>
        <v/>
      </c>
      <c r="F914" s="5" t="str">
        <f aca="false">IF(B914=0,"",IF(INDEX(Bank!$C:$C,B914)="","",INDEX(Bank!$C:$C,B914)))</f>
        <v/>
      </c>
      <c r="G914" s="19" t="str">
        <f aca="false">IF(B914=0,"",INDEX(Bank!$E:$E,B914))</f>
        <v/>
      </c>
      <c r="H914" s="5" t="str">
        <f aca="false">IF(B914=0,"",IF(INDEX(Bank!$H:$H,B914)="","",INDEX(Bank!$H:$H,B914)))</f>
        <v/>
      </c>
      <c r="I914" s="5" t="n">
        <f aca="false">IF(H914="",0,IFERROR(MATCH(H914,GL!$A:$A,0),0))</f>
        <v>0</v>
      </c>
      <c r="J914" s="32" t="str">
        <f aca="false">IF(I914=0,"",INDEX(GL!$B:$B,I914))</f>
        <v/>
      </c>
      <c r="K914" s="5" t="str">
        <f aca="false">IF(I914=0,"",IF(INDEX(GL!$C:$C,I914)="","",INDEX(GL!$C:$C,I914)))</f>
        <v/>
      </c>
      <c r="L914" s="19" t="str">
        <f aca="false">IF(I914=0,"",INDEX(GL!$E:$E,I914))</f>
        <v/>
      </c>
      <c r="M914" s="19" t="str">
        <f aca="false">IF(OR(B914=0,I914=0),"",ROUND(G914-L914,2))</f>
        <v/>
      </c>
      <c r="N914" s="5" t="str">
        <f aca="false">IF(A914="","",IF(B914=0,"NOT FOUND: bank ID",IF(I914=0,"NOT FOUND: GL ID",IF(INDEX(GL!$H:$H,I914)&lt;&gt;A914,"BROKEN: GL points elsewhere",IF(OR(INDEX(Bank!$F:$F,B914)&lt;&gt;"Y",INDEX(GL!$F:$F,I914)&lt;&gt;"Y"),"BROKEN: Status not Y","OK")))))</f>
        <v/>
      </c>
    </row>
    <row r="915" customFormat="false" ht="15" hidden="false" customHeight="false" outlineLevel="0" collapsed="false">
      <c r="A915" s="41"/>
      <c r="B915" s="5" t="n">
        <f aca="false">IF(A915="",0,IFERROR(MATCH(A915,Bank!$A:$A,0),0))</f>
        <v>0</v>
      </c>
      <c r="C915" s="5" t="str">
        <f aca="false">IF(B915=0,"",IF(INDEX(Bank!$G:$G,B915)="","",INDEX(Bank!$G:$G,B915)))</f>
        <v/>
      </c>
      <c r="D915" s="5" t="str">
        <f aca="false">IF(B915=0,"",IF(INDEX(Bank!$J:$J,B915)="","",INDEX(Bank!$J:$J,B915)))</f>
        <v/>
      </c>
      <c r="E915" s="32" t="str">
        <f aca="false">IF(B915=0,"",INDEX(Bank!$B:$B,B915))</f>
        <v/>
      </c>
      <c r="F915" s="5" t="str">
        <f aca="false">IF(B915=0,"",IF(INDEX(Bank!$C:$C,B915)="","",INDEX(Bank!$C:$C,B915)))</f>
        <v/>
      </c>
      <c r="G915" s="19" t="str">
        <f aca="false">IF(B915=0,"",INDEX(Bank!$E:$E,B915))</f>
        <v/>
      </c>
      <c r="H915" s="5" t="str">
        <f aca="false">IF(B915=0,"",IF(INDEX(Bank!$H:$H,B915)="","",INDEX(Bank!$H:$H,B915)))</f>
        <v/>
      </c>
      <c r="I915" s="5" t="n">
        <f aca="false">IF(H915="",0,IFERROR(MATCH(H915,GL!$A:$A,0),0))</f>
        <v>0</v>
      </c>
      <c r="J915" s="32" t="str">
        <f aca="false">IF(I915=0,"",INDEX(GL!$B:$B,I915))</f>
        <v/>
      </c>
      <c r="K915" s="5" t="str">
        <f aca="false">IF(I915=0,"",IF(INDEX(GL!$C:$C,I915)="","",INDEX(GL!$C:$C,I915)))</f>
        <v/>
      </c>
      <c r="L915" s="19" t="str">
        <f aca="false">IF(I915=0,"",INDEX(GL!$E:$E,I915))</f>
        <v/>
      </c>
      <c r="M915" s="19" t="str">
        <f aca="false">IF(OR(B915=0,I915=0),"",ROUND(G915-L915,2))</f>
        <v/>
      </c>
      <c r="N915" s="5" t="str">
        <f aca="false">IF(A915="","",IF(B915=0,"NOT FOUND: bank ID",IF(I915=0,"NOT FOUND: GL ID",IF(INDEX(GL!$H:$H,I915)&lt;&gt;A915,"BROKEN: GL points elsewhere",IF(OR(INDEX(Bank!$F:$F,B915)&lt;&gt;"Y",INDEX(GL!$F:$F,I915)&lt;&gt;"Y"),"BROKEN: Status not Y","OK")))))</f>
        <v/>
      </c>
    </row>
    <row r="916" customFormat="false" ht="15" hidden="false" customHeight="false" outlineLevel="0" collapsed="false">
      <c r="A916" s="41"/>
      <c r="B916" s="5" t="n">
        <f aca="false">IF(A916="",0,IFERROR(MATCH(A916,Bank!$A:$A,0),0))</f>
        <v>0</v>
      </c>
      <c r="C916" s="5" t="str">
        <f aca="false">IF(B916=0,"",IF(INDEX(Bank!$G:$G,B916)="","",INDEX(Bank!$G:$G,B916)))</f>
        <v/>
      </c>
      <c r="D916" s="5" t="str">
        <f aca="false">IF(B916=0,"",IF(INDEX(Bank!$J:$J,B916)="","",INDEX(Bank!$J:$J,B916)))</f>
        <v/>
      </c>
      <c r="E916" s="32" t="str">
        <f aca="false">IF(B916=0,"",INDEX(Bank!$B:$B,B916))</f>
        <v/>
      </c>
      <c r="F916" s="5" t="str">
        <f aca="false">IF(B916=0,"",IF(INDEX(Bank!$C:$C,B916)="","",INDEX(Bank!$C:$C,B916)))</f>
        <v/>
      </c>
      <c r="G916" s="19" t="str">
        <f aca="false">IF(B916=0,"",INDEX(Bank!$E:$E,B916))</f>
        <v/>
      </c>
      <c r="H916" s="5" t="str">
        <f aca="false">IF(B916=0,"",IF(INDEX(Bank!$H:$H,B916)="","",INDEX(Bank!$H:$H,B916)))</f>
        <v/>
      </c>
      <c r="I916" s="5" t="n">
        <f aca="false">IF(H916="",0,IFERROR(MATCH(H916,GL!$A:$A,0),0))</f>
        <v>0</v>
      </c>
      <c r="J916" s="32" t="str">
        <f aca="false">IF(I916=0,"",INDEX(GL!$B:$B,I916))</f>
        <v/>
      </c>
      <c r="K916" s="5" t="str">
        <f aca="false">IF(I916=0,"",IF(INDEX(GL!$C:$C,I916)="","",INDEX(GL!$C:$C,I916)))</f>
        <v/>
      </c>
      <c r="L916" s="19" t="str">
        <f aca="false">IF(I916=0,"",INDEX(GL!$E:$E,I916))</f>
        <v/>
      </c>
      <c r="M916" s="19" t="str">
        <f aca="false">IF(OR(B916=0,I916=0),"",ROUND(G916-L916,2))</f>
        <v/>
      </c>
      <c r="N916" s="5" t="str">
        <f aca="false">IF(A916="","",IF(B916=0,"NOT FOUND: bank ID",IF(I916=0,"NOT FOUND: GL ID",IF(INDEX(GL!$H:$H,I916)&lt;&gt;A916,"BROKEN: GL points elsewhere",IF(OR(INDEX(Bank!$F:$F,B916)&lt;&gt;"Y",INDEX(GL!$F:$F,I916)&lt;&gt;"Y"),"BROKEN: Status not Y","OK")))))</f>
        <v/>
      </c>
    </row>
    <row r="917" customFormat="false" ht="15" hidden="false" customHeight="false" outlineLevel="0" collapsed="false">
      <c r="A917" s="41"/>
      <c r="B917" s="5" t="n">
        <f aca="false">IF(A917="",0,IFERROR(MATCH(A917,Bank!$A:$A,0),0))</f>
        <v>0</v>
      </c>
      <c r="C917" s="5" t="str">
        <f aca="false">IF(B917=0,"",IF(INDEX(Bank!$G:$G,B917)="","",INDEX(Bank!$G:$G,B917)))</f>
        <v/>
      </c>
      <c r="D917" s="5" t="str">
        <f aca="false">IF(B917=0,"",IF(INDEX(Bank!$J:$J,B917)="","",INDEX(Bank!$J:$J,B917)))</f>
        <v/>
      </c>
      <c r="E917" s="32" t="str">
        <f aca="false">IF(B917=0,"",INDEX(Bank!$B:$B,B917))</f>
        <v/>
      </c>
      <c r="F917" s="5" t="str">
        <f aca="false">IF(B917=0,"",IF(INDEX(Bank!$C:$C,B917)="","",INDEX(Bank!$C:$C,B917)))</f>
        <v/>
      </c>
      <c r="G917" s="19" t="str">
        <f aca="false">IF(B917=0,"",INDEX(Bank!$E:$E,B917))</f>
        <v/>
      </c>
      <c r="H917" s="5" t="str">
        <f aca="false">IF(B917=0,"",IF(INDEX(Bank!$H:$H,B917)="","",INDEX(Bank!$H:$H,B917)))</f>
        <v/>
      </c>
      <c r="I917" s="5" t="n">
        <f aca="false">IF(H917="",0,IFERROR(MATCH(H917,GL!$A:$A,0),0))</f>
        <v>0</v>
      </c>
      <c r="J917" s="32" t="str">
        <f aca="false">IF(I917=0,"",INDEX(GL!$B:$B,I917))</f>
        <v/>
      </c>
      <c r="K917" s="5" t="str">
        <f aca="false">IF(I917=0,"",IF(INDEX(GL!$C:$C,I917)="","",INDEX(GL!$C:$C,I917)))</f>
        <v/>
      </c>
      <c r="L917" s="19" t="str">
        <f aca="false">IF(I917=0,"",INDEX(GL!$E:$E,I917))</f>
        <v/>
      </c>
      <c r="M917" s="19" t="str">
        <f aca="false">IF(OR(B917=0,I917=0),"",ROUND(G917-L917,2))</f>
        <v/>
      </c>
      <c r="N917" s="5" t="str">
        <f aca="false">IF(A917="","",IF(B917=0,"NOT FOUND: bank ID",IF(I917=0,"NOT FOUND: GL ID",IF(INDEX(GL!$H:$H,I917)&lt;&gt;A917,"BROKEN: GL points elsewhere",IF(OR(INDEX(Bank!$F:$F,B917)&lt;&gt;"Y",INDEX(GL!$F:$F,I917)&lt;&gt;"Y"),"BROKEN: Status not Y","OK")))))</f>
        <v/>
      </c>
    </row>
    <row r="918" customFormat="false" ht="15" hidden="false" customHeight="false" outlineLevel="0" collapsed="false">
      <c r="A918" s="41"/>
      <c r="B918" s="5" t="n">
        <f aca="false">IF(A918="",0,IFERROR(MATCH(A918,Bank!$A:$A,0),0))</f>
        <v>0</v>
      </c>
      <c r="C918" s="5" t="str">
        <f aca="false">IF(B918=0,"",IF(INDEX(Bank!$G:$G,B918)="","",INDEX(Bank!$G:$G,B918)))</f>
        <v/>
      </c>
      <c r="D918" s="5" t="str">
        <f aca="false">IF(B918=0,"",IF(INDEX(Bank!$J:$J,B918)="","",INDEX(Bank!$J:$J,B918)))</f>
        <v/>
      </c>
      <c r="E918" s="32" t="str">
        <f aca="false">IF(B918=0,"",INDEX(Bank!$B:$B,B918))</f>
        <v/>
      </c>
      <c r="F918" s="5" t="str">
        <f aca="false">IF(B918=0,"",IF(INDEX(Bank!$C:$C,B918)="","",INDEX(Bank!$C:$C,B918)))</f>
        <v/>
      </c>
      <c r="G918" s="19" t="str">
        <f aca="false">IF(B918=0,"",INDEX(Bank!$E:$E,B918))</f>
        <v/>
      </c>
      <c r="H918" s="5" t="str">
        <f aca="false">IF(B918=0,"",IF(INDEX(Bank!$H:$H,B918)="","",INDEX(Bank!$H:$H,B918)))</f>
        <v/>
      </c>
      <c r="I918" s="5" t="n">
        <f aca="false">IF(H918="",0,IFERROR(MATCH(H918,GL!$A:$A,0),0))</f>
        <v>0</v>
      </c>
      <c r="J918" s="32" t="str">
        <f aca="false">IF(I918=0,"",INDEX(GL!$B:$B,I918))</f>
        <v/>
      </c>
      <c r="K918" s="5" t="str">
        <f aca="false">IF(I918=0,"",IF(INDEX(GL!$C:$C,I918)="","",INDEX(GL!$C:$C,I918)))</f>
        <v/>
      </c>
      <c r="L918" s="19" t="str">
        <f aca="false">IF(I918=0,"",INDEX(GL!$E:$E,I918))</f>
        <v/>
      </c>
      <c r="M918" s="19" t="str">
        <f aca="false">IF(OR(B918=0,I918=0),"",ROUND(G918-L918,2))</f>
        <v/>
      </c>
      <c r="N918" s="5" t="str">
        <f aca="false">IF(A918="","",IF(B918=0,"NOT FOUND: bank ID",IF(I918=0,"NOT FOUND: GL ID",IF(INDEX(GL!$H:$H,I918)&lt;&gt;A918,"BROKEN: GL points elsewhere",IF(OR(INDEX(Bank!$F:$F,B918)&lt;&gt;"Y",INDEX(GL!$F:$F,I918)&lt;&gt;"Y"),"BROKEN: Status not Y","OK")))))</f>
        <v/>
      </c>
    </row>
    <row r="919" customFormat="false" ht="15" hidden="false" customHeight="false" outlineLevel="0" collapsed="false">
      <c r="A919" s="41"/>
      <c r="B919" s="5" t="n">
        <f aca="false">IF(A919="",0,IFERROR(MATCH(A919,Bank!$A:$A,0),0))</f>
        <v>0</v>
      </c>
      <c r="C919" s="5" t="str">
        <f aca="false">IF(B919=0,"",IF(INDEX(Bank!$G:$G,B919)="","",INDEX(Bank!$G:$G,B919)))</f>
        <v/>
      </c>
      <c r="D919" s="5" t="str">
        <f aca="false">IF(B919=0,"",IF(INDEX(Bank!$J:$J,B919)="","",INDEX(Bank!$J:$J,B919)))</f>
        <v/>
      </c>
      <c r="E919" s="32" t="str">
        <f aca="false">IF(B919=0,"",INDEX(Bank!$B:$B,B919))</f>
        <v/>
      </c>
      <c r="F919" s="5" t="str">
        <f aca="false">IF(B919=0,"",IF(INDEX(Bank!$C:$C,B919)="","",INDEX(Bank!$C:$C,B919)))</f>
        <v/>
      </c>
      <c r="G919" s="19" t="str">
        <f aca="false">IF(B919=0,"",INDEX(Bank!$E:$E,B919))</f>
        <v/>
      </c>
      <c r="H919" s="5" t="str">
        <f aca="false">IF(B919=0,"",IF(INDEX(Bank!$H:$H,B919)="","",INDEX(Bank!$H:$H,B919)))</f>
        <v/>
      </c>
      <c r="I919" s="5" t="n">
        <f aca="false">IF(H919="",0,IFERROR(MATCH(H919,GL!$A:$A,0),0))</f>
        <v>0</v>
      </c>
      <c r="J919" s="32" t="str">
        <f aca="false">IF(I919=0,"",INDEX(GL!$B:$B,I919))</f>
        <v/>
      </c>
      <c r="K919" s="5" t="str">
        <f aca="false">IF(I919=0,"",IF(INDEX(GL!$C:$C,I919)="","",INDEX(GL!$C:$C,I919)))</f>
        <v/>
      </c>
      <c r="L919" s="19" t="str">
        <f aca="false">IF(I919=0,"",INDEX(GL!$E:$E,I919))</f>
        <v/>
      </c>
      <c r="M919" s="19" t="str">
        <f aca="false">IF(OR(B919=0,I919=0),"",ROUND(G919-L919,2))</f>
        <v/>
      </c>
      <c r="N919" s="5" t="str">
        <f aca="false">IF(A919="","",IF(B919=0,"NOT FOUND: bank ID",IF(I919=0,"NOT FOUND: GL ID",IF(INDEX(GL!$H:$H,I919)&lt;&gt;A919,"BROKEN: GL points elsewhere",IF(OR(INDEX(Bank!$F:$F,B919)&lt;&gt;"Y",INDEX(GL!$F:$F,I919)&lt;&gt;"Y"),"BROKEN: Status not Y","OK")))))</f>
        <v/>
      </c>
    </row>
    <row r="920" customFormat="false" ht="15" hidden="false" customHeight="false" outlineLevel="0" collapsed="false">
      <c r="A920" s="41"/>
      <c r="B920" s="5" t="n">
        <f aca="false">IF(A920="",0,IFERROR(MATCH(A920,Bank!$A:$A,0),0))</f>
        <v>0</v>
      </c>
      <c r="C920" s="5" t="str">
        <f aca="false">IF(B920=0,"",IF(INDEX(Bank!$G:$G,B920)="","",INDEX(Bank!$G:$G,B920)))</f>
        <v/>
      </c>
      <c r="D920" s="5" t="str">
        <f aca="false">IF(B920=0,"",IF(INDEX(Bank!$J:$J,B920)="","",INDEX(Bank!$J:$J,B920)))</f>
        <v/>
      </c>
      <c r="E920" s="32" t="str">
        <f aca="false">IF(B920=0,"",INDEX(Bank!$B:$B,B920))</f>
        <v/>
      </c>
      <c r="F920" s="5" t="str">
        <f aca="false">IF(B920=0,"",IF(INDEX(Bank!$C:$C,B920)="","",INDEX(Bank!$C:$C,B920)))</f>
        <v/>
      </c>
      <c r="G920" s="19" t="str">
        <f aca="false">IF(B920=0,"",INDEX(Bank!$E:$E,B920))</f>
        <v/>
      </c>
      <c r="H920" s="5" t="str">
        <f aca="false">IF(B920=0,"",IF(INDEX(Bank!$H:$H,B920)="","",INDEX(Bank!$H:$H,B920)))</f>
        <v/>
      </c>
      <c r="I920" s="5" t="n">
        <f aca="false">IF(H920="",0,IFERROR(MATCH(H920,GL!$A:$A,0),0))</f>
        <v>0</v>
      </c>
      <c r="J920" s="32" t="str">
        <f aca="false">IF(I920=0,"",INDEX(GL!$B:$B,I920))</f>
        <v/>
      </c>
      <c r="K920" s="5" t="str">
        <f aca="false">IF(I920=0,"",IF(INDEX(GL!$C:$C,I920)="","",INDEX(GL!$C:$C,I920)))</f>
        <v/>
      </c>
      <c r="L920" s="19" t="str">
        <f aca="false">IF(I920=0,"",INDEX(GL!$E:$E,I920))</f>
        <v/>
      </c>
      <c r="M920" s="19" t="str">
        <f aca="false">IF(OR(B920=0,I920=0),"",ROUND(G920-L920,2))</f>
        <v/>
      </c>
      <c r="N920" s="5" t="str">
        <f aca="false">IF(A920="","",IF(B920=0,"NOT FOUND: bank ID",IF(I920=0,"NOT FOUND: GL ID",IF(INDEX(GL!$H:$H,I920)&lt;&gt;A920,"BROKEN: GL points elsewhere",IF(OR(INDEX(Bank!$F:$F,B920)&lt;&gt;"Y",INDEX(GL!$F:$F,I920)&lt;&gt;"Y"),"BROKEN: Status not Y","OK")))))</f>
        <v/>
      </c>
    </row>
    <row r="921" customFormat="false" ht="15" hidden="false" customHeight="false" outlineLevel="0" collapsed="false">
      <c r="A921" s="41"/>
      <c r="B921" s="5" t="n">
        <f aca="false">IF(A921="",0,IFERROR(MATCH(A921,Bank!$A:$A,0),0))</f>
        <v>0</v>
      </c>
      <c r="C921" s="5" t="str">
        <f aca="false">IF(B921=0,"",IF(INDEX(Bank!$G:$G,B921)="","",INDEX(Bank!$G:$G,B921)))</f>
        <v/>
      </c>
      <c r="D921" s="5" t="str">
        <f aca="false">IF(B921=0,"",IF(INDEX(Bank!$J:$J,B921)="","",INDEX(Bank!$J:$J,B921)))</f>
        <v/>
      </c>
      <c r="E921" s="32" t="str">
        <f aca="false">IF(B921=0,"",INDEX(Bank!$B:$B,B921))</f>
        <v/>
      </c>
      <c r="F921" s="5" t="str">
        <f aca="false">IF(B921=0,"",IF(INDEX(Bank!$C:$C,B921)="","",INDEX(Bank!$C:$C,B921)))</f>
        <v/>
      </c>
      <c r="G921" s="19" t="str">
        <f aca="false">IF(B921=0,"",INDEX(Bank!$E:$E,B921))</f>
        <v/>
      </c>
      <c r="H921" s="5" t="str">
        <f aca="false">IF(B921=0,"",IF(INDEX(Bank!$H:$H,B921)="","",INDEX(Bank!$H:$H,B921)))</f>
        <v/>
      </c>
      <c r="I921" s="5" t="n">
        <f aca="false">IF(H921="",0,IFERROR(MATCH(H921,GL!$A:$A,0),0))</f>
        <v>0</v>
      </c>
      <c r="J921" s="32" t="str">
        <f aca="false">IF(I921=0,"",INDEX(GL!$B:$B,I921))</f>
        <v/>
      </c>
      <c r="K921" s="5" t="str">
        <f aca="false">IF(I921=0,"",IF(INDEX(GL!$C:$C,I921)="","",INDEX(GL!$C:$C,I921)))</f>
        <v/>
      </c>
      <c r="L921" s="19" t="str">
        <f aca="false">IF(I921=0,"",INDEX(GL!$E:$E,I921))</f>
        <v/>
      </c>
      <c r="M921" s="19" t="str">
        <f aca="false">IF(OR(B921=0,I921=0),"",ROUND(G921-L921,2))</f>
        <v/>
      </c>
      <c r="N921" s="5" t="str">
        <f aca="false">IF(A921="","",IF(B921=0,"NOT FOUND: bank ID",IF(I921=0,"NOT FOUND: GL ID",IF(INDEX(GL!$H:$H,I921)&lt;&gt;A921,"BROKEN: GL points elsewhere",IF(OR(INDEX(Bank!$F:$F,B921)&lt;&gt;"Y",INDEX(GL!$F:$F,I921)&lt;&gt;"Y"),"BROKEN: Status not Y","OK")))))</f>
        <v/>
      </c>
    </row>
    <row r="922" customFormat="false" ht="15" hidden="false" customHeight="false" outlineLevel="0" collapsed="false">
      <c r="A922" s="41"/>
      <c r="B922" s="5" t="n">
        <f aca="false">IF(A922="",0,IFERROR(MATCH(A922,Bank!$A:$A,0),0))</f>
        <v>0</v>
      </c>
      <c r="C922" s="5" t="str">
        <f aca="false">IF(B922=0,"",IF(INDEX(Bank!$G:$G,B922)="","",INDEX(Bank!$G:$G,B922)))</f>
        <v/>
      </c>
      <c r="D922" s="5" t="str">
        <f aca="false">IF(B922=0,"",IF(INDEX(Bank!$J:$J,B922)="","",INDEX(Bank!$J:$J,B922)))</f>
        <v/>
      </c>
      <c r="E922" s="32" t="str">
        <f aca="false">IF(B922=0,"",INDEX(Bank!$B:$B,B922))</f>
        <v/>
      </c>
      <c r="F922" s="5" t="str">
        <f aca="false">IF(B922=0,"",IF(INDEX(Bank!$C:$C,B922)="","",INDEX(Bank!$C:$C,B922)))</f>
        <v/>
      </c>
      <c r="G922" s="19" t="str">
        <f aca="false">IF(B922=0,"",INDEX(Bank!$E:$E,B922))</f>
        <v/>
      </c>
      <c r="H922" s="5" t="str">
        <f aca="false">IF(B922=0,"",IF(INDEX(Bank!$H:$H,B922)="","",INDEX(Bank!$H:$H,B922)))</f>
        <v/>
      </c>
      <c r="I922" s="5" t="n">
        <f aca="false">IF(H922="",0,IFERROR(MATCH(H922,GL!$A:$A,0),0))</f>
        <v>0</v>
      </c>
      <c r="J922" s="32" t="str">
        <f aca="false">IF(I922=0,"",INDEX(GL!$B:$B,I922))</f>
        <v/>
      </c>
      <c r="K922" s="5" t="str">
        <f aca="false">IF(I922=0,"",IF(INDEX(GL!$C:$C,I922)="","",INDEX(GL!$C:$C,I922)))</f>
        <v/>
      </c>
      <c r="L922" s="19" t="str">
        <f aca="false">IF(I922=0,"",INDEX(GL!$E:$E,I922))</f>
        <v/>
      </c>
      <c r="M922" s="19" t="str">
        <f aca="false">IF(OR(B922=0,I922=0),"",ROUND(G922-L922,2))</f>
        <v/>
      </c>
      <c r="N922" s="5" t="str">
        <f aca="false">IF(A922="","",IF(B922=0,"NOT FOUND: bank ID",IF(I922=0,"NOT FOUND: GL ID",IF(INDEX(GL!$H:$H,I922)&lt;&gt;A922,"BROKEN: GL points elsewhere",IF(OR(INDEX(Bank!$F:$F,B922)&lt;&gt;"Y",INDEX(GL!$F:$F,I922)&lt;&gt;"Y"),"BROKEN: Status not Y","OK")))))</f>
        <v/>
      </c>
    </row>
    <row r="923" customFormat="false" ht="15" hidden="false" customHeight="false" outlineLevel="0" collapsed="false">
      <c r="A923" s="41"/>
      <c r="B923" s="5" t="n">
        <f aca="false">IF(A923="",0,IFERROR(MATCH(A923,Bank!$A:$A,0),0))</f>
        <v>0</v>
      </c>
      <c r="C923" s="5" t="str">
        <f aca="false">IF(B923=0,"",IF(INDEX(Bank!$G:$G,B923)="","",INDEX(Bank!$G:$G,B923)))</f>
        <v/>
      </c>
      <c r="D923" s="5" t="str">
        <f aca="false">IF(B923=0,"",IF(INDEX(Bank!$J:$J,B923)="","",INDEX(Bank!$J:$J,B923)))</f>
        <v/>
      </c>
      <c r="E923" s="32" t="str">
        <f aca="false">IF(B923=0,"",INDEX(Bank!$B:$B,B923))</f>
        <v/>
      </c>
      <c r="F923" s="5" t="str">
        <f aca="false">IF(B923=0,"",IF(INDEX(Bank!$C:$C,B923)="","",INDEX(Bank!$C:$C,B923)))</f>
        <v/>
      </c>
      <c r="G923" s="19" t="str">
        <f aca="false">IF(B923=0,"",INDEX(Bank!$E:$E,B923))</f>
        <v/>
      </c>
      <c r="H923" s="5" t="str">
        <f aca="false">IF(B923=0,"",IF(INDEX(Bank!$H:$H,B923)="","",INDEX(Bank!$H:$H,B923)))</f>
        <v/>
      </c>
      <c r="I923" s="5" t="n">
        <f aca="false">IF(H923="",0,IFERROR(MATCH(H923,GL!$A:$A,0),0))</f>
        <v>0</v>
      </c>
      <c r="J923" s="32" t="str">
        <f aca="false">IF(I923=0,"",INDEX(GL!$B:$B,I923))</f>
        <v/>
      </c>
      <c r="K923" s="5" t="str">
        <f aca="false">IF(I923=0,"",IF(INDEX(GL!$C:$C,I923)="","",INDEX(GL!$C:$C,I923)))</f>
        <v/>
      </c>
      <c r="L923" s="19" t="str">
        <f aca="false">IF(I923=0,"",INDEX(GL!$E:$E,I923))</f>
        <v/>
      </c>
      <c r="M923" s="19" t="str">
        <f aca="false">IF(OR(B923=0,I923=0),"",ROUND(G923-L923,2))</f>
        <v/>
      </c>
      <c r="N923" s="5" t="str">
        <f aca="false">IF(A923="","",IF(B923=0,"NOT FOUND: bank ID",IF(I923=0,"NOT FOUND: GL ID",IF(INDEX(GL!$H:$H,I923)&lt;&gt;A923,"BROKEN: GL points elsewhere",IF(OR(INDEX(Bank!$F:$F,B923)&lt;&gt;"Y",INDEX(GL!$F:$F,I923)&lt;&gt;"Y"),"BROKEN: Status not Y","OK")))))</f>
        <v/>
      </c>
    </row>
    <row r="924" customFormat="false" ht="15" hidden="false" customHeight="false" outlineLevel="0" collapsed="false">
      <c r="A924" s="41"/>
      <c r="B924" s="5" t="n">
        <f aca="false">IF(A924="",0,IFERROR(MATCH(A924,Bank!$A:$A,0),0))</f>
        <v>0</v>
      </c>
      <c r="C924" s="5" t="str">
        <f aca="false">IF(B924=0,"",IF(INDEX(Bank!$G:$G,B924)="","",INDEX(Bank!$G:$G,B924)))</f>
        <v/>
      </c>
      <c r="D924" s="5" t="str">
        <f aca="false">IF(B924=0,"",IF(INDEX(Bank!$J:$J,B924)="","",INDEX(Bank!$J:$J,B924)))</f>
        <v/>
      </c>
      <c r="E924" s="32" t="str">
        <f aca="false">IF(B924=0,"",INDEX(Bank!$B:$B,B924))</f>
        <v/>
      </c>
      <c r="F924" s="5" t="str">
        <f aca="false">IF(B924=0,"",IF(INDEX(Bank!$C:$C,B924)="","",INDEX(Bank!$C:$C,B924)))</f>
        <v/>
      </c>
      <c r="G924" s="19" t="str">
        <f aca="false">IF(B924=0,"",INDEX(Bank!$E:$E,B924))</f>
        <v/>
      </c>
      <c r="H924" s="5" t="str">
        <f aca="false">IF(B924=0,"",IF(INDEX(Bank!$H:$H,B924)="","",INDEX(Bank!$H:$H,B924)))</f>
        <v/>
      </c>
      <c r="I924" s="5" t="n">
        <f aca="false">IF(H924="",0,IFERROR(MATCH(H924,GL!$A:$A,0),0))</f>
        <v>0</v>
      </c>
      <c r="J924" s="32" t="str">
        <f aca="false">IF(I924=0,"",INDEX(GL!$B:$B,I924))</f>
        <v/>
      </c>
      <c r="K924" s="5" t="str">
        <f aca="false">IF(I924=0,"",IF(INDEX(GL!$C:$C,I924)="","",INDEX(GL!$C:$C,I924)))</f>
        <v/>
      </c>
      <c r="L924" s="19" t="str">
        <f aca="false">IF(I924=0,"",INDEX(GL!$E:$E,I924))</f>
        <v/>
      </c>
      <c r="M924" s="19" t="str">
        <f aca="false">IF(OR(B924=0,I924=0),"",ROUND(G924-L924,2))</f>
        <v/>
      </c>
      <c r="N924" s="5" t="str">
        <f aca="false">IF(A924="","",IF(B924=0,"NOT FOUND: bank ID",IF(I924=0,"NOT FOUND: GL ID",IF(INDEX(GL!$H:$H,I924)&lt;&gt;A924,"BROKEN: GL points elsewhere",IF(OR(INDEX(Bank!$F:$F,B924)&lt;&gt;"Y",INDEX(GL!$F:$F,I924)&lt;&gt;"Y"),"BROKEN: Status not Y","OK")))))</f>
        <v/>
      </c>
    </row>
    <row r="925" customFormat="false" ht="15" hidden="false" customHeight="false" outlineLevel="0" collapsed="false">
      <c r="A925" s="41"/>
      <c r="B925" s="5" t="n">
        <f aca="false">IF(A925="",0,IFERROR(MATCH(A925,Bank!$A:$A,0),0))</f>
        <v>0</v>
      </c>
      <c r="C925" s="5" t="str">
        <f aca="false">IF(B925=0,"",IF(INDEX(Bank!$G:$G,B925)="","",INDEX(Bank!$G:$G,B925)))</f>
        <v/>
      </c>
      <c r="D925" s="5" t="str">
        <f aca="false">IF(B925=0,"",IF(INDEX(Bank!$J:$J,B925)="","",INDEX(Bank!$J:$J,B925)))</f>
        <v/>
      </c>
      <c r="E925" s="32" t="str">
        <f aca="false">IF(B925=0,"",INDEX(Bank!$B:$B,B925))</f>
        <v/>
      </c>
      <c r="F925" s="5" t="str">
        <f aca="false">IF(B925=0,"",IF(INDEX(Bank!$C:$C,B925)="","",INDEX(Bank!$C:$C,B925)))</f>
        <v/>
      </c>
      <c r="G925" s="19" t="str">
        <f aca="false">IF(B925=0,"",INDEX(Bank!$E:$E,B925))</f>
        <v/>
      </c>
      <c r="H925" s="5" t="str">
        <f aca="false">IF(B925=0,"",IF(INDEX(Bank!$H:$H,B925)="","",INDEX(Bank!$H:$H,B925)))</f>
        <v/>
      </c>
      <c r="I925" s="5" t="n">
        <f aca="false">IF(H925="",0,IFERROR(MATCH(H925,GL!$A:$A,0),0))</f>
        <v>0</v>
      </c>
      <c r="J925" s="32" t="str">
        <f aca="false">IF(I925=0,"",INDEX(GL!$B:$B,I925))</f>
        <v/>
      </c>
      <c r="K925" s="5" t="str">
        <f aca="false">IF(I925=0,"",IF(INDEX(GL!$C:$C,I925)="","",INDEX(GL!$C:$C,I925)))</f>
        <v/>
      </c>
      <c r="L925" s="19" t="str">
        <f aca="false">IF(I925=0,"",INDEX(GL!$E:$E,I925))</f>
        <v/>
      </c>
      <c r="M925" s="19" t="str">
        <f aca="false">IF(OR(B925=0,I925=0),"",ROUND(G925-L925,2))</f>
        <v/>
      </c>
      <c r="N925" s="5" t="str">
        <f aca="false">IF(A925="","",IF(B925=0,"NOT FOUND: bank ID",IF(I925=0,"NOT FOUND: GL ID",IF(INDEX(GL!$H:$H,I925)&lt;&gt;A925,"BROKEN: GL points elsewhere",IF(OR(INDEX(Bank!$F:$F,B925)&lt;&gt;"Y",INDEX(GL!$F:$F,I925)&lt;&gt;"Y"),"BROKEN: Status not Y","OK")))))</f>
        <v/>
      </c>
    </row>
    <row r="926" customFormat="false" ht="15" hidden="false" customHeight="false" outlineLevel="0" collapsed="false">
      <c r="A926" s="41"/>
      <c r="B926" s="5" t="n">
        <f aca="false">IF(A926="",0,IFERROR(MATCH(A926,Bank!$A:$A,0),0))</f>
        <v>0</v>
      </c>
      <c r="C926" s="5" t="str">
        <f aca="false">IF(B926=0,"",IF(INDEX(Bank!$G:$G,B926)="","",INDEX(Bank!$G:$G,B926)))</f>
        <v/>
      </c>
      <c r="D926" s="5" t="str">
        <f aca="false">IF(B926=0,"",IF(INDEX(Bank!$J:$J,B926)="","",INDEX(Bank!$J:$J,B926)))</f>
        <v/>
      </c>
      <c r="E926" s="32" t="str">
        <f aca="false">IF(B926=0,"",INDEX(Bank!$B:$B,B926))</f>
        <v/>
      </c>
      <c r="F926" s="5" t="str">
        <f aca="false">IF(B926=0,"",IF(INDEX(Bank!$C:$C,B926)="","",INDEX(Bank!$C:$C,B926)))</f>
        <v/>
      </c>
      <c r="G926" s="19" t="str">
        <f aca="false">IF(B926=0,"",INDEX(Bank!$E:$E,B926))</f>
        <v/>
      </c>
      <c r="H926" s="5" t="str">
        <f aca="false">IF(B926=0,"",IF(INDEX(Bank!$H:$H,B926)="","",INDEX(Bank!$H:$H,B926)))</f>
        <v/>
      </c>
      <c r="I926" s="5" t="n">
        <f aca="false">IF(H926="",0,IFERROR(MATCH(H926,GL!$A:$A,0),0))</f>
        <v>0</v>
      </c>
      <c r="J926" s="32" t="str">
        <f aca="false">IF(I926=0,"",INDEX(GL!$B:$B,I926))</f>
        <v/>
      </c>
      <c r="K926" s="5" t="str">
        <f aca="false">IF(I926=0,"",IF(INDEX(GL!$C:$C,I926)="","",INDEX(GL!$C:$C,I926)))</f>
        <v/>
      </c>
      <c r="L926" s="19" t="str">
        <f aca="false">IF(I926=0,"",INDEX(GL!$E:$E,I926))</f>
        <v/>
      </c>
      <c r="M926" s="19" t="str">
        <f aca="false">IF(OR(B926=0,I926=0),"",ROUND(G926-L926,2))</f>
        <v/>
      </c>
      <c r="N926" s="5" t="str">
        <f aca="false">IF(A926="","",IF(B926=0,"NOT FOUND: bank ID",IF(I926=0,"NOT FOUND: GL ID",IF(INDEX(GL!$H:$H,I926)&lt;&gt;A926,"BROKEN: GL points elsewhere",IF(OR(INDEX(Bank!$F:$F,B926)&lt;&gt;"Y",INDEX(GL!$F:$F,I926)&lt;&gt;"Y"),"BROKEN: Status not Y","OK")))))</f>
        <v/>
      </c>
    </row>
    <row r="927" customFormat="false" ht="15" hidden="false" customHeight="false" outlineLevel="0" collapsed="false">
      <c r="A927" s="41"/>
      <c r="B927" s="5" t="n">
        <f aca="false">IF(A927="",0,IFERROR(MATCH(A927,Bank!$A:$A,0),0))</f>
        <v>0</v>
      </c>
      <c r="C927" s="5" t="str">
        <f aca="false">IF(B927=0,"",IF(INDEX(Bank!$G:$G,B927)="","",INDEX(Bank!$G:$G,B927)))</f>
        <v/>
      </c>
      <c r="D927" s="5" t="str">
        <f aca="false">IF(B927=0,"",IF(INDEX(Bank!$J:$J,B927)="","",INDEX(Bank!$J:$J,B927)))</f>
        <v/>
      </c>
      <c r="E927" s="32" t="str">
        <f aca="false">IF(B927=0,"",INDEX(Bank!$B:$B,B927))</f>
        <v/>
      </c>
      <c r="F927" s="5" t="str">
        <f aca="false">IF(B927=0,"",IF(INDEX(Bank!$C:$C,B927)="","",INDEX(Bank!$C:$C,B927)))</f>
        <v/>
      </c>
      <c r="G927" s="19" t="str">
        <f aca="false">IF(B927=0,"",INDEX(Bank!$E:$E,B927))</f>
        <v/>
      </c>
      <c r="H927" s="5" t="str">
        <f aca="false">IF(B927=0,"",IF(INDEX(Bank!$H:$H,B927)="","",INDEX(Bank!$H:$H,B927)))</f>
        <v/>
      </c>
      <c r="I927" s="5" t="n">
        <f aca="false">IF(H927="",0,IFERROR(MATCH(H927,GL!$A:$A,0),0))</f>
        <v>0</v>
      </c>
      <c r="J927" s="32" t="str">
        <f aca="false">IF(I927=0,"",INDEX(GL!$B:$B,I927))</f>
        <v/>
      </c>
      <c r="K927" s="5" t="str">
        <f aca="false">IF(I927=0,"",IF(INDEX(GL!$C:$C,I927)="","",INDEX(GL!$C:$C,I927)))</f>
        <v/>
      </c>
      <c r="L927" s="19" t="str">
        <f aca="false">IF(I927=0,"",INDEX(GL!$E:$E,I927))</f>
        <v/>
      </c>
      <c r="M927" s="19" t="str">
        <f aca="false">IF(OR(B927=0,I927=0),"",ROUND(G927-L927,2))</f>
        <v/>
      </c>
      <c r="N927" s="5" t="str">
        <f aca="false">IF(A927="","",IF(B927=0,"NOT FOUND: bank ID",IF(I927=0,"NOT FOUND: GL ID",IF(INDEX(GL!$H:$H,I927)&lt;&gt;A927,"BROKEN: GL points elsewhere",IF(OR(INDEX(Bank!$F:$F,B927)&lt;&gt;"Y",INDEX(GL!$F:$F,I927)&lt;&gt;"Y"),"BROKEN: Status not Y","OK")))))</f>
        <v/>
      </c>
    </row>
    <row r="928" customFormat="false" ht="15" hidden="false" customHeight="false" outlineLevel="0" collapsed="false">
      <c r="A928" s="41"/>
      <c r="B928" s="5" t="n">
        <f aca="false">IF(A928="",0,IFERROR(MATCH(A928,Bank!$A:$A,0),0))</f>
        <v>0</v>
      </c>
      <c r="C928" s="5" t="str">
        <f aca="false">IF(B928=0,"",IF(INDEX(Bank!$G:$G,B928)="","",INDEX(Bank!$G:$G,B928)))</f>
        <v/>
      </c>
      <c r="D928" s="5" t="str">
        <f aca="false">IF(B928=0,"",IF(INDEX(Bank!$J:$J,B928)="","",INDEX(Bank!$J:$J,B928)))</f>
        <v/>
      </c>
      <c r="E928" s="32" t="str">
        <f aca="false">IF(B928=0,"",INDEX(Bank!$B:$B,B928))</f>
        <v/>
      </c>
      <c r="F928" s="5" t="str">
        <f aca="false">IF(B928=0,"",IF(INDEX(Bank!$C:$C,B928)="","",INDEX(Bank!$C:$C,B928)))</f>
        <v/>
      </c>
      <c r="G928" s="19" t="str">
        <f aca="false">IF(B928=0,"",INDEX(Bank!$E:$E,B928))</f>
        <v/>
      </c>
      <c r="H928" s="5" t="str">
        <f aca="false">IF(B928=0,"",IF(INDEX(Bank!$H:$H,B928)="","",INDEX(Bank!$H:$H,B928)))</f>
        <v/>
      </c>
      <c r="I928" s="5" t="n">
        <f aca="false">IF(H928="",0,IFERROR(MATCH(H928,GL!$A:$A,0),0))</f>
        <v>0</v>
      </c>
      <c r="J928" s="32" t="str">
        <f aca="false">IF(I928=0,"",INDEX(GL!$B:$B,I928))</f>
        <v/>
      </c>
      <c r="K928" s="5" t="str">
        <f aca="false">IF(I928=0,"",IF(INDEX(GL!$C:$C,I928)="","",INDEX(GL!$C:$C,I928)))</f>
        <v/>
      </c>
      <c r="L928" s="19" t="str">
        <f aca="false">IF(I928=0,"",INDEX(GL!$E:$E,I928))</f>
        <v/>
      </c>
      <c r="M928" s="19" t="str">
        <f aca="false">IF(OR(B928=0,I928=0),"",ROUND(G928-L928,2))</f>
        <v/>
      </c>
      <c r="N928" s="5" t="str">
        <f aca="false">IF(A928="","",IF(B928=0,"NOT FOUND: bank ID",IF(I928=0,"NOT FOUND: GL ID",IF(INDEX(GL!$H:$H,I928)&lt;&gt;A928,"BROKEN: GL points elsewhere",IF(OR(INDEX(Bank!$F:$F,B928)&lt;&gt;"Y",INDEX(GL!$F:$F,I928)&lt;&gt;"Y"),"BROKEN: Status not Y","OK")))))</f>
        <v/>
      </c>
    </row>
    <row r="929" customFormat="false" ht="15" hidden="false" customHeight="false" outlineLevel="0" collapsed="false">
      <c r="A929" s="41"/>
      <c r="B929" s="5" t="n">
        <f aca="false">IF(A929="",0,IFERROR(MATCH(A929,Bank!$A:$A,0),0))</f>
        <v>0</v>
      </c>
      <c r="C929" s="5" t="str">
        <f aca="false">IF(B929=0,"",IF(INDEX(Bank!$G:$G,B929)="","",INDEX(Bank!$G:$G,B929)))</f>
        <v/>
      </c>
      <c r="D929" s="5" t="str">
        <f aca="false">IF(B929=0,"",IF(INDEX(Bank!$J:$J,B929)="","",INDEX(Bank!$J:$J,B929)))</f>
        <v/>
      </c>
      <c r="E929" s="32" t="str">
        <f aca="false">IF(B929=0,"",INDEX(Bank!$B:$B,B929))</f>
        <v/>
      </c>
      <c r="F929" s="5" t="str">
        <f aca="false">IF(B929=0,"",IF(INDEX(Bank!$C:$C,B929)="","",INDEX(Bank!$C:$C,B929)))</f>
        <v/>
      </c>
      <c r="G929" s="19" t="str">
        <f aca="false">IF(B929=0,"",INDEX(Bank!$E:$E,B929))</f>
        <v/>
      </c>
      <c r="H929" s="5" t="str">
        <f aca="false">IF(B929=0,"",IF(INDEX(Bank!$H:$H,B929)="","",INDEX(Bank!$H:$H,B929)))</f>
        <v/>
      </c>
      <c r="I929" s="5" t="n">
        <f aca="false">IF(H929="",0,IFERROR(MATCH(H929,GL!$A:$A,0),0))</f>
        <v>0</v>
      </c>
      <c r="J929" s="32" t="str">
        <f aca="false">IF(I929=0,"",INDEX(GL!$B:$B,I929))</f>
        <v/>
      </c>
      <c r="K929" s="5" t="str">
        <f aca="false">IF(I929=0,"",IF(INDEX(GL!$C:$C,I929)="","",INDEX(GL!$C:$C,I929)))</f>
        <v/>
      </c>
      <c r="L929" s="19" t="str">
        <f aca="false">IF(I929=0,"",INDEX(GL!$E:$E,I929))</f>
        <v/>
      </c>
      <c r="M929" s="19" t="str">
        <f aca="false">IF(OR(B929=0,I929=0),"",ROUND(G929-L929,2))</f>
        <v/>
      </c>
      <c r="N929" s="5" t="str">
        <f aca="false">IF(A929="","",IF(B929=0,"NOT FOUND: bank ID",IF(I929=0,"NOT FOUND: GL ID",IF(INDEX(GL!$H:$H,I929)&lt;&gt;A929,"BROKEN: GL points elsewhere",IF(OR(INDEX(Bank!$F:$F,B929)&lt;&gt;"Y",INDEX(GL!$F:$F,I929)&lt;&gt;"Y"),"BROKEN: Status not Y","OK")))))</f>
        <v/>
      </c>
    </row>
    <row r="930" customFormat="false" ht="15" hidden="false" customHeight="false" outlineLevel="0" collapsed="false">
      <c r="A930" s="41"/>
      <c r="B930" s="5" t="n">
        <f aca="false">IF(A930="",0,IFERROR(MATCH(A930,Bank!$A:$A,0),0))</f>
        <v>0</v>
      </c>
      <c r="C930" s="5" t="str">
        <f aca="false">IF(B930=0,"",IF(INDEX(Bank!$G:$G,B930)="","",INDEX(Bank!$G:$G,B930)))</f>
        <v/>
      </c>
      <c r="D930" s="5" t="str">
        <f aca="false">IF(B930=0,"",IF(INDEX(Bank!$J:$J,B930)="","",INDEX(Bank!$J:$J,B930)))</f>
        <v/>
      </c>
      <c r="E930" s="32" t="str">
        <f aca="false">IF(B930=0,"",INDEX(Bank!$B:$B,B930))</f>
        <v/>
      </c>
      <c r="F930" s="5" t="str">
        <f aca="false">IF(B930=0,"",IF(INDEX(Bank!$C:$C,B930)="","",INDEX(Bank!$C:$C,B930)))</f>
        <v/>
      </c>
      <c r="G930" s="19" t="str">
        <f aca="false">IF(B930=0,"",INDEX(Bank!$E:$E,B930))</f>
        <v/>
      </c>
      <c r="H930" s="5" t="str">
        <f aca="false">IF(B930=0,"",IF(INDEX(Bank!$H:$H,B930)="","",INDEX(Bank!$H:$H,B930)))</f>
        <v/>
      </c>
      <c r="I930" s="5" t="n">
        <f aca="false">IF(H930="",0,IFERROR(MATCH(H930,GL!$A:$A,0),0))</f>
        <v>0</v>
      </c>
      <c r="J930" s="32" t="str">
        <f aca="false">IF(I930=0,"",INDEX(GL!$B:$B,I930))</f>
        <v/>
      </c>
      <c r="K930" s="5" t="str">
        <f aca="false">IF(I930=0,"",IF(INDEX(GL!$C:$C,I930)="","",INDEX(GL!$C:$C,I930)))</f>
        <v/>
      </c>
      <c r="L930" s="19" t="str">
        <f aca="false">IF(I930=0,"",INDEX(GL!$E:$E,I930))</f>
        <v/>
      </c>
      <c r="M930" s="19" t="str">
        <f aca="false">IF(OR(B930=0,I930=0),"",ROUND(G930-L930,2))</f>
        <v/>
      </c>
      <c r="N930" s="5" t="str">
        <f aca="false">IF(A930="","",IF(B930=0,"NOT FOUND: bank ID",IF(I930=0,"NOT FOUND: GL ID",IF(INDEX(GL!$H:$H,I930)&lt;&gt;A930,"BROKEN: GL points elsewhere",IF(OR(INDEX(Bank!$F:$F,B930)&lt;&gt;"Y",INDEX(GL!$F:$F,I930)&lt;&gt;"Y"),"BROKEN: Status not Y","OK")))))</f>
        <v/>
      </c>
    </row>
    <row r="931" customFormat="false" ht="15" hidden="false" customHeight="false" outlineLevel="0" collapsed="false">
      <c r="A931" s="41"/>
      <c r="B931" s="5" t="n">
        <f aca="false">IF(A931="",0,IFERROR(MATCH(A931,Bank!$A:$A,0),0))</f>
        <v>0</v>
      </c>
      <c r="C931" s="5" t="str">
        <f aca="false">IF(B931=0,"",IF(INDEX(Bank!$G:$G,B931)="","",INDEX(Bank!$G:$G,B931)))</f>
        <v/>
      </c>
      <c r="D931" s="5" t="str">
        <f aca="false">IF(B931=0,"",IF(INDEX(Bank!$J:$J,B931)="","",INDEX(Bank!$J:$J,B931)))</f>
        <v/>
      </c>
      <c r="E931" s="32" t="str">
        <f aca="false">IF(B931=0,"",INDEX(Bank!$B:$B,B931))</f>
        <v/>
      </c>
      <c r="F931" s="5" t="str">
        <f aca="false">IF(B931=0,"",IF(INDEX(Bank!$C:$C,B931)="","",INDEX(Bank!$C:$C,B931)))</f>
        <v/>
      </c>
      <c r="G931" s="19" t="str">
        <f aca="false">IF(B931=0,"",INDEX(Bank!$E:$E,B931))</f>
        <v/>
      </c>
      <c r="H931" s="5" t="str">
        <f aca="false">IF(B931=0,"",IF(INDEX(Bank!$H:$H,B931)="","",INDEX(Bank!$H:$H,B931)))</f>
        <v/>
      </c>
      <c r="I931" s="5" t="n">
        <f aca="false">IF(H931="",0,IFERROR(MATCH(H931,GL!$A:$A,0),0))</f>
        <v>0</v>
      </c>
      <c r="J931" s="32" t="str">
        <f aca="false">IF(I931=0,"",INDEX(GL!$B:$B,I931))</f>
        <v/>
      </c>
      <c r="K931" s="5" t="str">
        <f aca="false">IF(I931=0,"",IF(INDEX(GL!$C:$C,I931)="","",INDEX(GL!$C:$C,I931)))</f>
        <v/>
      </c>
      <c r="L931" s="19" t="str">
        <f aca="false">IF(I931=0,"",INDEX(GL!$E:$E,I931))</f>
        <v/>
      </c>
      <c r="M931" s="19" t="str">
        <f aca="false">IF(OR(B931=0,I931=0),"",ROUND(G931-L931,2))</f>
        <v/>
      </c>
      <c r="N931" s="5" t="str">
        <f aca="false">IF(A931="","",IF(B931=0,"NOT FOUND: bank ID",IF(I931=0,"NOT FOUND: GL ID",IF(INDEX(GL!$H:$H,I931)&lt;&gt;A931,"BROKEN: GL points elsewhere",IF(OR(INDEX(Bank!$F:$F,B931)&lt;&gt;"Y",INDEX(GL!$F:$F,I931)&lt;&gt;"Y"),"BROKEN: Status not Y","OK")))))</f>
        <v/>
      </c>
    </row>
    <row r="932" customFormat="false" ht="15" hidden="false" customHeight="false" outlineLevel="0" collapsed="false">
      <c r="A932" s="41"/>
      <c r="B932" s="5" t="n">
        <f aca="false">IF(A932="",0,IFERROR(MATCH(A932,Bank!$A:$A,0),0))</f>
        <v>0</v>
      </c>
      <c r="C932" s="5" t="str">
        <f aca="false">IF(B932=0,"",IF(INDEX(Bank!$G:$G,B932)="","",INDEX(Bank!$G:$G,B932)))</f>
        <v/>
      </c>
      <c r="D932" s="5" t="str">
        <f aca="false">IF(B932=0,"",IF(INDEX(Bank!$J:$J,B932)="","",INDEX(Bank!$J:$J,B932)))</f>
        <v/>
      </c>
      <c r="E932" s="32" t="str">
        <f aca="false">IF(B932=0,"",INDEX(Bank!$B:$B,B932))</f>
        <v/>
      </c>
      <c r="F932" s="5" t="str">
        <f aca="false">IF(B932=0,"",IF(INDEX(Bank!$C:$C,B932)="","",INDEX(Bank!$C:$C,B932)))</f>
        <v/>
      </c>
      <c r="G932" s="19" t="str">
        <f aca="false">IF(B932=0,"",INDEX(Bank!$E:$E,B932))</f>
        <v/>
      </c>
      <c r="H932" s="5" t="str">
        <f aca="false">IF(B932=0,"",IF(INDEX(Bank!$H:$H,B932)="","",INDEX(Bank!$H:$H,B932)))</f>
        <v/>
      </c>
      <c r="I932" s="5" t="n">
        <f aca="false">IF(H932="",0,IFERROR(MATCH(H932,GL!$A:$A,0),0))</f>
        <v>0</v>
      </c>
      <c r="J932" s="32" t="str">
        <f aca="false">IF(I932=0,"",INDEX(GL!$B:$B,I932))</f>
        <v/>
      </c>
      <c r="K932" s="5" t="str">
        <f aca="false">IF(I932=0,"",IF(INDEX(GL!$C:$C,I932)="","",INDEX(GL!$C:$C,I932)))</f>
        <v/>
      </c>
      <c r="L932" s="19" t="str">
        <f aca="false">IF(I932=0,"",INDEX(GL!$E:$E,I932))</f>
        <v/>
      </c>
      <c r="M932" s="19" t="str">
        <f aca="false">IF(OR(B932=0,I932=0),"",ROUND(G932-L932,2))</f>
        <v/>
      </c>
      <c r="N932" s="5" t="str">
        <f aca="false">IF(A932="","",IF(B932=0,"NOT FOUND: bank ID",IF(I932=0,"NOT FOUND: GL ID",IF(INDEX(GL!$H:$H,I932)&lt;&gt;A932,"BROKEN: GL points elsewhere",IF(OR(INDEX(Bank!$F:$F,B932)&lt;&gt;"Y",INDEX(GL!$F:$F,I932)&lt;&gt;"Y"),"BROKEN: Status not Y","OK")))))</f>
        <v/>
      </c>
    </row>
    <row r="933" customFormat="false" ht="15" hidden="false" customHeight="false" outlineLevel="0" collapsed="false">
      <c r="A933" s="41"/>
      <c r="B933" s="5" t="n">
        <f aca="false">IF(A933="",0,IFERROR(MATCH(A933,Bank!$A:$A,0),0))</f>
        <v>0</v>
      </c>
      <c r="C933" s="5" t="str">
        <f aca="false">IF(B933=0,"",IF(INDEX(Bank!$G:$G,B933)="","",INDEX(Bank!$G:$G,B933)))</f>
        <v/>
      </c>
      <c r="D933" s="5" t="str">
        <f aca="false">IF(B933=0,"",IF(INDEX(Bank!$J:$J,B933)="","",INDEX(Bank!$J:$J,B933)))</f>
        <v/>
      </c>
      <c r="E933" s="32" t="str">
        <f aca="false">IF(B933=0,"",INDEX(Bank!$B:$B,B933))</f>
        <v/>
      </c>
      <c r="F933" s="5" t="str">
        <f aca="false">IF(B933=0,"",IF(INDEX(Bank!$C:$C,B933)="","",INDEX(Bank!$C:$C,B933)))</f>
        <v/>
      </c>
      <c r="G933" s="19" t="str">
        <f aca="false">IF(B933=0,"",INDEX(Bank!$E:$E,B933))</f>
        <v/>
      </c>
      <c r="H933" s="5" t="str">
        <f aca="false">IF(B933=0,"",IF(INDEX(Bank!$H:$H,B933)="","",INDEX(Bank!$H:$H,B933)))</f>
        <v/>
      </c>
      <c r="I933" s="5" t="n">
        <f aca="false">IF(H933="",0,IFERROR(MATCH(H933,GL!$A:$A,0),0))</f>
        <v>0</v>
      </c>
      <c r="J933" s="32" t="str">
        <f aca="false">IF(I933=0,"",INDEX(GL!$B:$B,I933))</f>
        <v/>
      </c>
      <c r="K933" s="5" t="str">
        <f aca="false">IF(I933=0,"",IF(INDEX(GL!$C:$C,I933)="","",INDEX(GL!$C:$C,I933)))</f>
        <v/>
      </c>
      <c r="L933" s="19" t="str">
        <f aca="false">IF(I933=0,"",INDEX(GL!$E:$E,I933))</f>
        <v/>
      </c>
      <c r="M933" s="19" t="str">
        <f aca="false">IF(OR(B933=0,I933=0),"",ROUND(G933-L933,2))</f>
        <v/>
      </c>
      <c r="N933" s="5" t="str">
        <f aca="false">IF(A933="","",IF(B933=0,"NOT FOUND: bank ID",IF(I933=0,"NOT FOUND: GL ID",IF(INDEX(GL!$H:$H,I933)&lt;&gt;A933,"BROKEN: GL points elsewhere",IF(OR(INDEX(Bank!$F:$F,B933)&lt;&gt;"Y",INDEX(GL!$F:$F,I933)&lt;&gt;"Y"),"BROKEN: Status not Y","OK")))))</f>
        <v/>
      </c>
    </row>
    <row r="934" customFormat="false" ht="15" hidden="false" customHeight="false" outlineLevel="0" collapsed="false">
      <c r="A934" s="41"/>
      <c r="B934" s="5" t="n">
        <f aca="false">IF(A934="",0,IFERROR(MATCH(A934,Bank!$A:$A,0),0))</f>
        <v>0</v>
      </c>
      <c r="C934" s="5" t="str">
        <f aca="false">IF(B934=0,"",IF(INDEX(Bank!$G:$G,B934)="","",INDEX(Bank!$G:$G,B934)))</f>
        <v/>
      </c>
      <c r="D934" s="5" t="str">
        <f aca="false">IF(B934=0,"",IF(INDEX(Bank!$J:$J,B934)="","",INDEX(Bank!$J:$J,B934)))</f>
        <v/>
      </c>
      <c r="E934" s="32" t="str">
        <f aca="false">IF(B934=0,"",INDEX(Bank!$B:$B,B934))</f>
        <v/>
      </c>
      <c r="F934" s="5" t="str">
        <f aca="false">IF(B934=0,"",IF(INDEX(Bank!$C:$C,B934)="","",INDEX(Bank!$C:$C,B934)))</f>
        <v/>
      </c>
      <c r="G934" s="19" t="str">
        <f aca="false">IF(B934=0,"",INDEX(Bank!$E:$E,B934))</f>
        <v/>
      </c>
      <c r="H934" s="5" t="str">
        <f aca="false">IF(B934=0,"",IF(INDEX(Bank!$H:$H,B934)="","",INDEX(Bank!$H:$H,B934)))</f>
        <v/>
      </c>
      <c r="I934" s="5" t="n">
        <f aca="false">IF(H934="",0,IFERROR(MATCH(H934,GL!$A:$A,0),0))</f>
        <v>0</v>
      </c>
      <c r="J934" s="32" t="str">
        <f aca="false">IF(I934=0,"",INDEX(GL!$B:$B,I934))</f>
        <v/>
      </c>
      <c r="K934" s="5" t="str">
        <f aca="false">IF(I934=0,"",IF(INDEX(GL!$C:$C,I934)="","",INDEX(GL!$C:$C,I934)))</f>
        <v/>
      </c>
      <c r="L934" s="19" t="str">
        <f aca="false">IF(I934=0,"",INDEX(GL!$E:$E,I934))</f>
        <v/>
      </c>
      <c r="M934" s="19" t="str">
        <f aca="false">IF(OR(B934=0,I934=0),"",ROUND(G934-L934,2))</f>
        <v/>
      </c>
      <c r="N934" s="5" t="str">
        <f aca="false">IF(A934="","",IF(B934=0,"NOT FOUND: bank ID",IF(I934=0,"NOT FOUND: GL ID",IF(INDEX(GL!$H:$H,I934)&lt;&gt;A934,"BROKEN: GL points elsewhere",IF(OR(INDEX(Bank!$F:$F,B934)&lt;&gt;"Y",INDEX(GL!$F:$F,I934)&lt;&gt;"Y"),"BROKEN: Status not Y","OK")))))</f>
        <v/>
      </c>
    </row>
    <row r="935" customFormat="false" ht="15" hidden="false" customHeight="false" outlineLevel="0" collapsed="false">
      <c r="A935" s="41"/>
      <c r="B935" s="5" t="n">
        <f aca="false">IF(A935="",0,IFERROR(MATCH(A935,Bank!$A:$A,0),0))</f>
        <v>0</v>
      </c>
      <c r="C935" s="5" t="str">
        <f aca="false">IF(B935=0,"",IF(INDEX(Bank!$G:$G,B935)="","",INDEX(Bank!$G:$G,B935)))</f>
        <v/>
      </c>
      <c r="D935" s="5" t="str">
        <f aca="false">IF(B935=0,"",IF(INDEX(Bank!$J:$J,B935)="","",INDEX(Bank!$J:$J,B935)))</f>
        <v/>
      </c>
      <c r="E935" s="32" t="str">
        <f aca="false">IF(B935=0,"",INDEX(Bank!$B:$B,B935))</f>
        <v/>
      </c>
      <c r="F935" s="5" t="str">
        <f aca="false">IF(B935=0,"",IF(INDEX(Bank!$C:$C,B935)="","",INDEX(Bank!$C:$C,B935)))</f>
        <v/>
      </c>
      <c r="G935" s="19" t="str">
        <f aca="false">IF(B935=0,"",INDEX(Bank!$E:$E,B935))</f>
        <v/>
      </c>
      <c r="H935" s="5" t="str">
        <f aca="false">IF(B935=0,"",IF(INDEX(Bank!$H:$H,B935)="","",INDEX(Bank!$H:$H,B935)))</f>
        <v/>
      </c>
      <c r="I935" s="5" t="n">
        <f aca="false">IF(H935="",0,IFERROR(MATCH(H935,GL!$A:$A,0),0))</f>
        <v>0</v>
      </c>
      <c r="J935" s="32" t="str">
        <f aca="false">IF(I935=0,"",INDEX(GL!$B:$B,I935))</f>
        <v/>
      </c>
      <c r="K935" s="5" t="str">
        <f aca="false">IF(I935=0,"",IF(INDEX(GL!$C:$C,I935)="","",INDEX(GL!$C:$C,I935)))</f>
        <v/>
      </c>
      <c r="L935" s="19" t="str">
        <f aca="false">IF(I935=0,"",INDEX(GL!$E:$E,I935))</f>
        <v/>
      </c>
      <c r="M935" s="19" t="str">
        <f aca="false">IF(OR(B935=0,I935=0),"",ROUND(G935-L935,2))</f>
        <v/>
      </c>
      <c r="N935" s="5" t="str">
        <f aca="false">IF(A935="","",IF(B935=0,"NOT FOUND: bank ID",IF(I935=0,"NOT FOUND: GL ID",IF(INDEX(GL!$H:$H,I935)&lt;&gt;A935,"BROKEN: GL points elsewhere",IF(OR(INDEX(Bank!$F:$F,B935)&lt;&gt;"Y",INDEX(GL!$F:$F,I935)&lt;&gt;"Y"),"BROKEN: Status not Y","OK")))))</f>
        <v/>
      </c>
    </row>
    <row r="936" customFormat="false" ht="15" hidden="false" customHeight="false" outlineLevel="0" collapsed="false">
      <c r="A936" s="41"/>
      <c r="B936" s="5" t="n">
        <f aca="false">IF(A936="",0,IFERROR(MATCH(A936,Bank!$A:$A,0),0))</f>
        <v>0</v>
      </c>
      <c r="C936" s="5" t="str">
        <f aca="false">IF(B936=0,"",IF(INDEX(Bank!$G:$G,B936)="","",INDEX(Bank!$G:$G,B936)))</f>
        <v/>
      </c>
      <c r="D936" s="5" t="str">
        <f aca="false">IF(B936=0,"",IF(INDEX(Bank!$J:$J,B936)="","",INDEX(Bank!$J:$J,B936)))</f>
        <v/>
      </c>
      <c r="E936" s="32" t="str">
        <f aca="false">IF(B936=0,"",INDEX(Bank!$B:$B,B936))</f>
        <v/>
      </c>
      <c r="F936" s="5" t="str">
        <f aca="false">IF(B936=0,"",IF(INDEX(Bank!$C:$C,B936)="","",INDEX(Bank!$C:$C,B936)))</f>
        <v/>
      </c>
      <c r="G936" s="19" t="str">
        <f aca="false">IF(B936=0,"",INDEX(Bank!$E:$E,B936))</f>
        <v/>
      </c>
      <c r="H936" s="5" t="str">
        <f aca="false">IF(B936=0,"",IF(INDEX(Bank!$H:$H,B936)="","",INDEX(Bank!$H:$H,B936)))</f>
        <v/>
      </c>
      <c r="I936" s="5" t="n">
        <f aca="false">IF(H936="",0,IFERROR(MATCH(H936,GL!$A:$A,0),0))</f>
        <v>0</v>
      </c>
      <c r="J936" s="32" t="str">
        <f aca="false">IF(I936=0,"",INDEX(GL!$B:$B,I936))</f>
        <v/>
      </c>
      <c r="K936" s="5" t="str">
        <f aca="false">IF(I936=0,"",IF(INDEX(GL!$C:$C,I936)="","",INDEX(GL!$C:$C,I936)))</f>
        <v/>
      </c>
      <c r="L936" s="19" t="str">
        <f aca="false">IF(I936=0,"",INDEX(GL!$E:$E,I936))</f>
        <v/>
      </c>
      <c r="M936" s="19" t="str">
        <f aca="false">IF(OR(B936=0,I936=0),"",ROUND(G936-L936,2))</f>
        <v/>
      </c>
      <c r="N936" s="5" t="str">
        <f aca="false">IF(A936="","",IF(B936=0,"NOT FOUND: bank ID",IF(I936=0,"NOT FOUND: GL ID",IF(INDEX(GL!$H:$H,I936)&lt;&gt;A936,"BROKEN: GL points elsewhere",IF(OR(INDEX(Bank!$F:$F,B936)&lt;&gt;"Y",INDEX(GL!$F:$F,I936)&lt;&gt;"Y"),"BROKEN: Status not Y","OK")))))</f>
        <v/>
      </c>
    </row>
    <row r="937" customFormat="false" ht="15" hidden="false" customHeight="false" outlineLevel="0" collapsed="false">
      <c r="A937" s="41"/>
      <c r="B937" s="5" t="n">
        <f aca="false">IF(A937="",0,IFERROR(MATCH(A937,Bank!$A:$A,0),0))</f>
        <v>0</v>
      </c>
      <c r="C937" s="5" t="str">
        <f aca="false">IF(B937=0,"",IF(INDEX(Bank!$G:$G,B937)="","",INDEX(Bank!$G:$G,B937)))</f>
        <v/>
      </c>
      <c r="D937" s="5" t="str">
        <f aca="false">IF(B937=0,"",IF(INDEX(Bank!$J:$J,B937)="","",INDEX(Bank!$J:$J,B937)))</f>
        <v/>
      </c>
      <c r="E937" s="32" t="str">
        <f aca="false">IF(B937=0,"",INDEX(Bank!$B:$B,B937))</f>
        <v/>
      </c>
      <c r="F937" s="5" t="str">
        <f aca="false">IF(B937=0,"",IF(INDEX(Bank!$C:$C,B937)="","",INDEX(Bank!$C:$C,B937)))</f>
        <v/>
      </c>
      <c r="G937" s="19" t="str">
        <f aca="false">IF(B937=0,"",INDEX(Bank!$E:$E,B937))</f>
        <v/>
      </c>
      <c r="H937" s="5" t="str">
        <f aca="false">IF(B937=0,"",IF(INDEX(Bank!$H:$H,B937)="","",INDEX(Bank!$H:$H,B937)))</f>
        <v/>
      </c>
      <c r="I937" s="5" t="n">
        <f aca="false">IF(H937="",0,IFERROR(MATCH(H937,GL!$A:$A,0),0))</f>
        <v>0</v>
      </c>
      <c r="J937" s="32" t="str">
        <f aca="false">IF(I937=0,"",INDEX(GL!$B:$B,I937))</f>
        <v/>
      </c>
      <c r="K937" s="5" t="str">
        <f aca="false">IF(I937=0,"",IF(INDEX(GL!$C:$C,I937)="","",INDEX(GL!$C:$C,I937)))</f>
        <v/>
      </c>
      <c r="L937" s="19" t="str">
        <f aca="false">IF(I937=0,"",INDEX(GL!$E:$E,I937))</f>
        <v/>
      </c>
      <c r="M937" s="19" t="str">
        <f aca="false">IF(OR(B937=0,I937=0),"",ROUND(G937-L937,2))</f>
        <v/>
      </c>
      <c r="N937" s="5" t="str">
        <f aca="false">IF(A937="","",IF(B937=0,"NOT FOUND: bank ID",IF(I937=0,"NOT FOUND: GL ID",IF(INDEX(GL!$H:$H,I937)&lt;&gt;A937,"BROKEN: GL points elsewhere",IF(OR(INDEX(Bank!$F:$F,B937)&lt;&gt;"Y",INDEX(GL!$F:$F,I937)&lt;&gt;"Y"),"BROKEN: Status not Y","OK")))))</f>
        <v/>
      </c>
    </row>
    <row r="938" customFormat="false" ht="15" hidden="false" customHeight="false" outlineLevel="0" collapsed="false">
      <c r="A938" s="41"/>
      <c r="B938" s="5" t="n">
        <f aca="false">IF(A938="",0,IFERROR(MATCH(A938,Bank!$A:$A,0),0))</f>
        <v>0</v>
      </c>
      <c r="C938" s="5" t="str">
        <f aca="false">IF(B938=0,"",IF(INDEX(Bank!$G:$G,B938)="","",INDEX(Bank!$G:$G,B938)))</f>
        <v/>
      </c>
      <c r="D938" s="5" t="str">
        <f aca="false">IF(B938=0,"",IF(INDEX(Bank!$J:$J,B938)="","",INDEX(Bank!$J:$J,B938)))</f>
        <v/>
      </c>
      <c r="E938" s="32" t="str">
        <f aca="false">IF(B938=0,"",INDEX(Bank!$B:$B,B938))</f>
        <v/>
      </c>
      <c r="F938" s="5" t="str">
        <f aca="false">IF(B938=0,"",IF(INDEX(Bank!$C:$C,B938)="","",INDEX(Bank!$C:$C,B938)))</f>
        <v/>
      </c>
      <c r="G938" s="19" t="str">
        <f aca="false">IF(B938=0,"",INDEX(Bank!$E:$E,B938))</f>
        <v/>
      </c>
      <c r="H938" s="5" t="str">
        <f aca="false">IF(B938=0,"",IF(INDEX(Bank!$H:$H,B938)="","",INDEX(Bank!$H:$H,B938)))</f>
        <v/>
      </c>
      <c r="I938" s="5" t="n">
        <f aca="false">IF(H938="",0,IFERROR(MATCH(H938,GL!$A:$A,0),0))</f>
        <v>0</v>
      </c>
      <c r="J938" s="32" t="str">
        <f aca="false">IF(I938=0,"",INDEX(GL!$B:$B,I938))</f>
        <v/>
      </c>
      <c r="K938" s="5" t="str">
        <f aca="false">IF(I938=0,"",IF(INDEX(GL!$C:$C,I938)="","",INDEX(GL!$C:$C,I938)))</f>
        <v/>
      </c>
      <c r="L938" s="19" t="str">
        <f aca="false">IF(I938=0,"",INDEX(GL!$E:$E,I938))</f>
        <v/>
      </c>
      <c r="M938" s="19" t="str">
        <f aca="false">IF(OR(B938=0,I938=0),"",ROUND(G938-L938,2))</f>
        <v/>
      </c>
      <c r="N938" s="5" t="str">
        <f aca="false">IF(A938="","",IF(B938=0,"NOT FOUND: bank ID",IF(I938=0,"NOT FOUND: GL ID",IF(INDEX(GL!$H:$H,I938)&lt;&gt;A938,"BROKEN: GL points elsewhere",IF(OR(INDEX(Bank!$F:$F,B938)&lt;&gt;"Y",INDEX(GL!$F:$F,I938)&lt;&gt;"Y"),"BROKEN: Status not Y","OK")))))</f>
        <v/>
      </c>
    </row>
    <row r="939" customFormat="false" ht="15" hidden="false" customHeight="false" outlineLevel="0" collapsed="false">
      <c r="A939" s="41"/>
      <c r="B939" s="5" t="n">
        <f aca="false">IF(A939="",0,IFERROR(MATCH(A939,Bank!$A:$A,0),0))</f>
        <v>0</v>
      </c>
      <c r="C939" s="5" t="str">
        <f aca="false">IF(B939=0,"",IF(INDEX(Bank!$G:$G,B939)="","",INDEX(Bank!$G:$G,B939)))</f>
        <v/>
      </c>
      <c r="D939" s="5" t="str">
        <f aca="false">IF(B939=0,"",IF(INDEX(Bank!$J:$J,B939)="","",INDEX(Bank!$J:$J,B939)))</f>
        <v/>
      </c>
      <c r="E939" s="32" t="str">
        <f aca="false">IF(B939=0,"",INDEX(Bank!$B:$B,B939))</f>
        <v/>
      </c>
      <c r="F939" s="5" t="str">
        <f aca="false">IF(B939=0,"",IF(INDEX(Bank!$C:$C,B939)="","",INDEX(Bank!$C:$C,B939)))</f>
        <v/>
      </c>
      <c r="G939" s="19" t="str">
        <f aca="false">IF(B939=0,"",INDEX(Bank!$E:$E,B939))</f>
        <v/>
      </c>
      <c r="H939" s="5" t="str">
        <f aca="false">IF(B939=0,"",IF(INDEX(Bank!$H:$H,B939)="","",INDEX(Bank!$H:$H,B939)))</f>
        <v/>
      </c>
      <c r="I939" s="5" t="n">
        <f aca="false">IF(H939="",0,IFERROR(MATCH(H939,GL!$A:$A,0),0))</f>
        <v>0</v>
      </c>
      <c r="J939" s="32" t="str">
        <f aca="false">IF(I939=0,"",INDEX(GL!$B:$B,I939))</f>
        <v/>
      </c>
      <c r="K939" s="5" t="str">
        <f aca="false">IF(I939=0,"",IF(INDEX(GL!$C:$C,I939)="","",INDEX(GL!$C:$C,I939)))</f>
        <v/>
      </c>
      <c r="L939" s="19" t="str">
        <f aca="false">IF(I939=0,"",INDEX(GL!$E:$E,I939))</f>
        <v/>
      </c>
      <c r="M939" s="19" t="str">
        <f aca="false">IF(OR(B939=0,I939=0),"",ROUND(G939-L939,2))</f>
        <v/>
      </c>
      <c r="N939" s="5" t="str">
        <f aca="false">IF(A939="","",IF(B939=0,"NOT FOUND: bank ID",IF(I939=0,"NOT FOUND: GL ID",IF(INDEX(GL!$H:$H,I939)&lt;&gt;A939,"BROKEN: GL points elsewhere",IF(OR(INDEX(Bank!$F:$F,B939)&lt;&gt;"Y",INDEX(GL!$F:$F,I939)&lt;&gt;"Y"),"BROKEN: Status not Y","OK")))))</f>
        <v/>
      </c>
    </row>
    <row r="940" customFormat="false" ht="15" hidden="false" customHeight="false" outlineLevel="0" collapsed="false">
      <c r="A940" s="41"/>
      <c r="B940" s="5" t="n">
        <f aca="false">IF(A940="",0,IFERROR(MATCH(A940,Bank!$A:$A,0),0))</f>
        <v>0</v>
      </c>
      <c r="C940" s="5" t="str">
        <f aca="false">IF(B940=0,"",IF(INDEX(Bank!$G:$G,B940)="","",INDEX(Bank!$G:$G,B940)))</f>
        <v/>
      </c>
      <c r="D940" s="5" t="str">
        <f aca="false">IF(B940=0,"",IF(INDEX(Bank!$J:$J,B940)="","",INDEX(Bank!$J:$J,B940)))</f>
        <v/>
      </c>
      <c r="E940" s="32" t="str">
        <f aca="false">IF(B940=0,"",INDEX(Bank!$B:$B,B940))</f>
        <v/>
      </c>
      <c r="F940" s="5" t="str">
        <f aca="false">IF(B940=0,"",IF(INDEX(Bank!$C:$C,B940)="","",INDEX(Bank!$C:$C,B940)))</f>
        <v/>
      </c>
      <c r="G940" s="19" t="str">
        <f aca="false">IF(B940=0,"",INDEX(Bank!$E:$E,B940))</f>
        <v/>
      </c>
      <c r="H940" s="5" t="str">
        <f aca="false">IF(B940=0,"",IF(INDEX(Bank!$H:$H,B940)="","",INDEX(Bank!$H:$H,B940)))</f>
        <v/>
      </c>
      <c r="I940" s="5" t="n">
        <f aca="false">IF(H940="",0,IFERROR(MATCH(H940,GL!$A:$A,0),0))</f>
        <v>0</v>
      </c>
      <c r="J940" s="32" t="str">
        <f aca="false">IF(I940=0,"",INDEX(GL!$B:$B,I940))</f>
        <v/>
      </c>
      <c r="K940" s="5" t="str">
        <f aca="false">IF(I940=0,"",IF(INDEX(GL!$C:$C,I940)="","",INDEX(GL!$C:$C,I940)))</f>
        <v/>
      </c>
      <c r="L940" s="19" t="str">
        <f aca="false">IF(I940=0,"",INDEX(GL!$E:$E,I940))</f>
        <v/>
      </c>
      <c r="M940" s="19" t="str">
        <f aca="false">IF(OR(B940=0,I940=0),"",ROUND(G940-L940,2))</f>
        <v/>
      </c>
      <c r="N940" s="5" t="str">
        <f aca="false">IF(A940="","",IF(B940=0,"NOT FOUND: bank ID",IF(I940=0,"NOT FOUND: GL ID",IF(INDEX(GL!$H:$H,I940)&lt;&gt;A940,"BROKEN: GL points elsewhere",IF(OR(INDEX(Bank!$F:$F,B940)&lt;&gt;"Y",INDEX(GL!$F:$F,I940)&lt;&gt;"Y"),"BROKEN: Status not Y","OK")))))</f>
        <v/>
      </c>
    </row>
    <row r="941" customFormat="false" ht="15" hidden="false" customHeight="false" outlineLevel="0" collapsed="false">
      <c r="A941" s="41"/>
      <c r="B941" s="5" t="n">
        <f aca="false">IF(A941="",0,IFERROR(MATCH(A941,Bank!$A:$A,0),0))</f>
        <v>0</v>
      </c>
      <c r="C941" s="5" t="str">
        <f aca="false">IF(B941=0,"",IF(INDEX(Bank!$G:$G,B941)="","",INDEX(Bank!$G:$G,B941)))</f>
        <v/>
      </c>
      <c r="D941" s="5" t="str">
        <f aca="false">IF(B941=0,"",IF(INDEX(Bank!$J:$J,B941)="","",INDEX(Bank!$J:$J,B941)))</f>
        <v/>
      </c>
      <c r="E941" s="32" t="str">
        <f aca="false">IF(B941=0,"",INDEX(Bank!$B:$B,B941))</f>
        <v/>
      </c>
      <c r="F941" s="5" t="str">
        <f aca="false">IF(B941=0,"",IF(INDEX(Bank!$C:$C,B941)="","",INDEX(Bank!$C:$C,B941)))</f>
        <v/>
      </c>
      <c r="G941" s="19" t="str">
        <f aca="false">IF(B941=0,"",INDEX(Bank!$E:$E,B941))</f>
        <v/>
      </c>
      <c r="H941" s="5" t="str">
        <f aca="false">IF(B941=0,"",IF(INDEX(Bank!$H:$H,B941)="","",INDEX(Bank!$H:$H,B941)))</f>
        <v/>
      </c>
      <c r="I941" s="5" t="n">
        <f aca="false">IF(H941="",0,IFERROR(MATCH(H941,GL!$A:$A,0),0))</f>
        <v>0</v>
      </c>
      <c r="J941" s="32" t="str">
        <f aca="false">IF(I941=0,"",INDEX(GL!$B:$B,I941))</f>
        <v/>
      </c>
      <c r="K941" s="5" t="str">
        <f aca="false">IF(I941=0,"",IF(INDEX(GL!$C:$C,I941)="","",INDEX(GL!$C:$C,I941)))</f>
        <v/>
      </c>
      <c r="L941" s="19" t="str">
        <f aca="false">IF(I941=0,"",INDEX(GL!$E:$E,I941))</f>
        <v/>
      </c>
      <c r="M941" s="19" t="str">
        <f aca="false">IF(OR(B941=0,I941=0),"",ROUND(G941-L941,2))</f>
        <v/>
      </c>
      <c r="N941" s="5" t="str">
        <f aca="false">IF(A941="","",IF(B941=0,"NOT FOUND: bank ID",IF(I941=0,"NOT FOUND: GL ID",IF(INDEX(GL!$H:$H,I941)&lt;&gt;A941,"BROKEN: GL points elsewhere",IF(OR(INDEX(Bank!$F:$F,B941)&lt;&gt;"Y",INDEX(GL!$F:$F,I941)&lt;&gt;"Y"),"BROKEN: Status not Y","OK")))))</f>
        <v/>
      </c>
    </row>
    <row r="942" customFormat="false" ht="15" hidden="false" customHeight="false" outlineLevel="0" collapsed="false">
      <c r="A942" s="41"/>
      <c r="B942" s="5" t="n">
        <f aca="false">IF(A942="",0,IFERROR(MATCH(A942,Bank!$A:$A,0),0))</f>
        <v>0</v>
      </c>
      <c r="C942" s="5" t="str">
        <f aca="false">IF(B942=0,"",IF(INDEX(Bank!$G:$G,B942)="","",INDEX(Bank!$G:$G,B942)))</f>
        <v/>
      </c>
      <c r="D942" s="5" t="str">
        <f aca="false">IF(B942=0,"",IF(INDEX(Bank!$J:$J,B942)="","",INDEX(Bank!$J:$J,B942)))</f>
        <v/>
      </c>
      <c r="E942" s="32" t="str">
        <f aca="false">IF(B942=0,"",INDEX(Bank!$B:$B,B942))</f>
        <v/>
      </c>
      <c r="F942" s="5" t="str">
        <f aca="false">IF(B942=0,"",IF(INDEX(Bank!$C:$C,B942)="","",INDEX(Bank!$C:$C,B942)))</f>
        <v/>
      </c>
      <c r="G942" s="19" t="str">
        <f aca="false">IF(B942=0,"",INDEX(Bank!$E:$E,B942))</f>
        <v/>
      </c>
      <c r="H942" s="5" t="str">
        <f aca="false">IF(B942=0,"",IF(INDEX(Bank!$H:$H,B942)="","",INDEX(Bank!$H:$H,B942)))</f>
        <v/>
      </c>
      <c r="I942" s="5" t="n">
        <f aca="false">IF(H942="",0,IFERROR(MATCH(H942,GL!$A:$A,0),0))</f>
        <v>0</v>
      </c>
      <c r="J942" s="32" t="str">
        <f aca="false">IF(I942=0,"",INDEX(GL!$B:$B,I942))</f>
        <v/>
      </c>
      <c r="K942" s="5" t="str">
        <f aca="false">IF(I942=0,"",IF(INDEX(GL!$C:$C,I942)="","",INDEX(GL!$C:$C,I942)))</f>
        <v/>
      </c>
      <c r="L942" s="19" t="str">
        <f aca="false">IF(I942=0,"",INDEX(GL!$E:$E,I942))</f>
        <v/>
      </c>
      <c r="M942" s="19" t="str">
        <f aca="false">IF(OR(B942=0,I942=0),"",ROUND(G942-L942,2))</f>
        <v/>
      </c>
      <c r="N942" s="5" t="str">
        <f aca="false">IF(A942="","",IF(B942=0,"NOT FOUND: bank ID",IF(I942=0,"NOT FOUND: GL ID",IF(INDEX(GL!$H:$H,I942)&lt;&gt;A942,"BROKEN: GL points elsewhere",IF(OR(INDEX(Bank!$F:$F,B942)&lt;&gt;"Y",INDEX(GL!$F:$F,I942)&lt;&gt;"Y"),"BROKEN: Status not Y","OK")))))</f>
        <v/>
      </c>
    </row>
    <row r="943" customFormat="false" ht="15" hidden="false" customHeight="false" outlineLevel="0" collapsed="false">
      <c r="A943" s="41"/>
      <c r="B943" s="5" t="n">
        <f aca="false">IF(A943="",0,IFERROR(MATCH(A943,Bank!$A:$A,0),0))</f>
        <v>0</v>
      </c>
      <c r="C943" s="5" t="str">
        <f aca="false">IF(B943=0,"",IF(INDEX(Bank!$G:$G,B943)="","",INDEX(Bank!$G:$G,B943)))</f>
        <v/>
      </c>
      <c r="D943" s="5" t="str">
        <f aca="false">IF(B943=0,"",IF(INDEX(Bank!$J:$J,B943)="","",INDEX(Bank!$J:$J,B943)))</f>
        <v/>
      </c>
      <c r="E943" s="32" t="str">
        <f aca="false">IF(B943=0,"",INDEX(Bank!$B:$B,B943))</f>
        <v/>
      </c>
      <c r="F943" s="5" t="str">
        <f aca="false">IF(B943=0,"",IF(INDEX(Bank!$C:$C,B943)="","",INDEX(Bank!$C:$C,B943)))</f>
        <v/>
      </c>
      <c r="G943" s="19" t="str">
        <f aca="false">IF(B943=0,"",INDEX(Bank!$E:$E,B943))</f>
        <v/>
      </c>
      <c r="H943" s="5" t="str">
        <f aca="false">IF(B943=0,"",IF(INDEX(Bank!$H:$H,B943)="","",INDEX(Bank!$H:$H,B943)))</f>
        <v/>
      </c>
      <c r="I943" s="5" t="n">
        <f aca="false">IF(H943="",0,IFERROR(MATCH(H943,GL!$A:$A,0),0))</f>
        <v>0</v>
      </c>
      <c r="J943" s="32" t="str">
        <f aca="false">IF(I943=0,"",INDEX(GL!$B:$B,I943))</f>
        <v/>
      </c>
      <c r="K943" s="5" t="str">
        <f aca="false">IF(I943=0,"",IF(INDEX(GL!$C:$C,I943)="","",INDEX(GL!$C:$C,I943)))</f>
        <v/>
      </c>
      <c r="L943" s="19" t="str">
        <f aca="false">IF(I943=0,"",INDEX(GL!$E:$E,I943))</f>
        <v/>
      </c>
      <c r="M943" s="19" t="str">
        <f aca="false">IF(OR(B943=0,I943=0),"",ROUND(G943-L943,2))</f>
        <v/>
      </c>
      <c r="N943" s="5" t="str">
        <f aca="false">IF(A943="","",IF(B943=0,"NOT FOUND: bank ID",IF(I943=0,"NOT FOUND: GL ID",IF(INDEX(GL!$H:$H,I943)&lt;&gt;A943,"BROKEN: GL points elsewhere",IF(OR(INDEX(Bank!$F:$F,B943)&lt;&gt;"Y",INDEX(GL!$F:$F,I943)&lt;&gt;"Y"),"BROKEN: Status not Y","OK")))))</f>
        <v/>
      </c>
    </row>
    <row r="944" customFormat="false" ht="15" hidden="false" customHeight="false" outlineLevel="0" collapsed="false">
      <c r="A944" s="41"/>
      <c r="B944" s="5" t="n">
        <f aca="false">IF(A944="",0,IFERROR(MATCH(A944,Bank!$A:$A,0),0))</f>
        <v>0</v>
      </c>
      <c r="C944" s="5" t="str">
        <f aca="false">IF(B944=0,"",IF(INDEX(Bank!$G:$G,B944)="","",INDEX(Bank!$G:$G,B944)))</f>
        <v/>
      </c>
      <c r="D944" s="5" t="str">
        <f aca="false">IF(B944=0,"",IF(INDEX(Bank!$J:$J,B944)="","",INDEX(Bank!$J:$J,B944)))</f>
        <v/>
      </c>
      <c r="E944" s="32" t="str">
        <f aca="false">IF(B944=0,"",INDEX(Bank!$B:$B,B944))</f>
        <v/>
      </c>
      <c r="F944" s="5" t="str">
        <f aca="false">IF(B944=0,"",IF(INDEX(Bank!$C:$C,B944)="","",INDEX(Bank!$C:$C,B944)))</f>
        <v/>
      </c>
      <c r="G944" s="19" t="str">
        <f aca="false">IF(B944=0,"",INDEX(Bank!$E:$E,B944))</f>
        <v/>
      </c>
      <c r="H944" s="5" t="str">
        <f aca="false">IF(B944=0,"",IF(INDEX(Bank!$H:$H,B944)="","",INDEX(Bank!$H:$H,B944)))</f>
        <v/>
      </c>
      <c r="I944" s="5" t="n">
        <f aca="false">IF(H944="",0,IFERROR(MATCH(H944,GL!$A:$A,0),0))</f>
        <v>0</v>
      </c>
      <c r="J944" s="32" t="str">
        <f aca="false">IF(I944=0,"",INDEX(GL!$B:$B,I944))</f>
        <v/>
      </c>
      <c r="K944" s="5" t="str">
        <f aca="false">IF(I944=0,"",IF(INDEX(GL!$C:$C,I944)="","",INDEX(GL!$C:$C,I944)))</f>
        <v/>
      </c>
      <c r="L944" s="19" t="str">
        <f aca="false">IF(I944=0,"",INDEX(GL!$E:$E,I944))</f>
        <v/>
      </c>
      <c r="M944" s="19" t="str">
        <f aca="false">IF(OR(B944=0,I944=0),"",ROUND(G944-L944,2))</f>
        <v/>
      </c>
      <c r="N944" s="5" t="str">
        <f aca="false">IF(A944="","",IF(B944=0,"NOT FOUND: bank ID",IF(I944=0,"NOT FOUND: GL ID",IF(INDEX(GL!$H:$H,I944)&lt;&gt;A944,"BROKEN: GL points elsewhere",IF(OR(INDEX(Bank!$F:$F,B944)&lt;&gt;"Y",INDEX(GL!$F:$F,I944)&lt;&gt;"Y"),"BROKEN: Status not Y","OK")))))</f>
        <v/>
      </c>
    </row>
    <row r="945" customFormat="false" ht="15" hidden="false" customHeight="false" outlineLevel="0" collapsed="false">
      <c r="A945" s="41"/>
      <c r="B945" s="5" t="n">
        <f aca="false">IF(A945="",0,IFERROR(MATCH(A945,Bank!$A:$A,0),0))</f>
        <v>0</v>
      </c>
      <c r="C945" s="5" t="str">
        <f aca="false">IF(B945=0,"",IF(INDEX(Bank!$G:$G,B945)="","",INDEX(Bank!$G:$G,B945)))</f>
        <v/>
      </c>
      <c r="D945" s="5" t="str">
        <f aca="false">IF(B945=0,"",IF(INDEX(Bank!$J:$J,B945)="","",INDEX(Bank!$J:$J,B945)))</f>
        <v/>
      </c>
      <c r="E945" s="32" t="str">
        <f aca="false">IF(B945=0,"",INDEX(Bank!$B:$B,B945))</f>
        <v/>
      </c>
      <c r="F945" s="5" t="str">
        <f aca="false">IF(B945=0,"",IF(INDEX(Bank!$C:$C,B945)="","",INDEX(Bank!$C:$C,B945)))</f>
        <v/>
      </c>
      <c r="G945" s="19" t="str">
        <f aca="false">IF(B945=0,"",INDEX(Bank!$E:$E,B945))</f>
        <v/>
      </c>
      <c r="H945" s="5" t="str">
        <f aca="false">IF(B945=0,"",IF(INDEX(Bank!$H:$H,B945)="","",INDEX(Bank!$H:$H,B945)))</f>
        <v/>
      </c>
      <c r="I945" s="5" t="n">
        <f aca="false">IF(H945="",0,IFERROR(MATCH(H945,GL!$A:$A,0),0))</f>
        <v>0</v>
      </c>
      <c r="J945" s="32" t="str">
        <f aca="false">IF(I945=0,"",INDEX(GL!$B:$B,I945))</f>
        <v/>
      </c>
      <c r="K945" s="5" t="str">
        <f aca="false">IF(I945=0,"",IF(INDEX(GL!$C:$C,I945)="","",INDEX(GL!$C:$C,I945)))</f>
        <v/>
      </c>
      <c r="L945" s="19" t="str">
        <f aca="false">IF(I945=0,"",INDEX(GL!$E:$E,I945))</f>
        <v/>
      </c>
      <c r="M945" s="19" t="str">
        <f aca="false">IF(OR(B945=0,I945=0),"",ROUND(G945-L945,2))</f>
        <v/>
      </c>
      <c r="N945" s="5" t="str">
        <f aca="false">IF(A945="","",IF(B945=0,"NOT FOUND: bank ID",IF(I945=0,"NOT FOUND: GL ID",IF(INDEX(GL!$H:$H,I945)&lt;&gt;A945,"BROKEN: GL points elsewhere",IF(OR(INDEX(Bank!$F:$F,B945)&lt;&gt;"Y",INDEX(GL!$F:$F,I945)&lt;&gt;"Y"),"BROKEN: Status not Y","OK")))))</f>
        <v/>
      </c>
    </row>
    <row r="946" customFormat="false" ht="15" hidden="false" customHeight="false" outlineLevel="0" collapsed="false">
      <c r="A946" s="41"/>
      <c r="B946" s="5" t="n">
        <f aca="false">IF(A946="",0,IFERROR(MATCH(A946,Bank!$A:$A,0),0))</f>
        <v>0</v>
      </c>
      <c r="C946" s="5" t="str">
        <f aca="false">IF(B946=0,"",IF(INDEX(Bank!$G:$G,B946)="","",INDEX(Bank!$G:$G,B946)))</f>
        <v/>
      </c>
      <c r="D946" s="5" t="str">
        <f aca="false">IF(B946=0,"",IF(INDEX(Bank!$J:$J,B946)="","",INDEX(Bank!$J:$J,B946)))</f>
        <v/>
      </c>
      <c r="E946" s="32" t="str">
        <f aca="false">IF(B946=0,"",INDEX(Bank!$B:$B,B946))</f>
        <v/>
      </c>
      <c r="F946" s="5" t="str">
        <f aca="false">IF(B946=0,"",IF(INDEX(Bank!$C:$C,B946)="","",INDEX(Bank!$C:$C,B946)))</f>
        <v/>
      </c>
      <c r="G946" s="19" t="str">
        <f aca="false">IF(B946=0,"",INDEX(Bank!$E:$E,B946))</f>
        <v/>
      </c>
      <c r="H946" s="5" t="str">
        <f aca="false">IF(B946=0,"",IF(INDEX(Bank!$H:$H,B946)="","",INDEX(Bank!$H:$H,B946)))</f>
        <v/>
      </c>
      <c r="I946" s="5" t="n">
        <f aca="false">IF(H946="",0,IFERROR(MATCH(H946,GL!$A:$A,0),0))</f>
        <v>0</v>
      </c>
      <c r="J946" s="32" t="str">
        <f aca="false">IF(I946=0,"",INDEX(GL!$B:$B,I946))</f>
        <v/>
      </c>
      <c r="K946" s="5" t="str">
        <f aca="false">IF(I946=0,"",IF(INDEX(GL!$C:$C,I946)="","",INDEX(GL!$C:$C,I946)))</f>
        <v/>
      </c>
      <c r="L946" s="19" t="str">
        <f aca="false">IF(I946=0,"",INDEX(GL!$E:$E,I946))</f>
        <v/>
      </c>
      <c r="M946" s="19" t="str">
        <f aca="false">IF(OR(B946=0,I946=0),"",ROUND(G946-L946,2))</f>
        <v/>
      </c>
      <c r="N946" s="5" t="str">
        <f aca="false">IF(A946="","",IF(B946=0,"NOT FOUND: bank ID",IF(I946=0,"NOT FOUND: GL ID",IF(INDEX(GL!$H:$H,I946)&lt;&gt;A946,"BROKEN: GL points elsewhere",IF(OR(INDEX(Bank!$F:$F,B946)&lt;&gt;"Y",INDEX(GL!$F:$F,I946)&lt;&gt;"Y"),"BROKEN: Status not Y","OK")))))</f>
        <v/>
      </c>
    </row>
    <row r="947" customFormat="false" ht="15" hidden="false" customHeight="false" outlineLevel="0" collapsed="false">
      <c r="A947" s="41"/>
      <c r="B947" s="5" t="n">
        <f aca="false">IF(A947="",0,IFERROR(MATCH(A947,Bank!$A:$A,0),0))</f>
        <v>0</v>
      </c>
      <c r="C947" s="5" t="str">
        <f aca="false">IF(B947=0,"",IF(INDEX(Bank!$G:$G,B947)="","",INDEX(Bank!$G:$G,B947)))</f>
        <v/>
      </c>
      <c r="D947" s="5" t="str">
        <f aca="false">IF(B947=0,"",IF(INDEX(Bank!$J:$J,B947)="","",INDEX(Bank!$J:$J,B947)))</f>
        <v/>
      </c>
      <c r="E947" s="32" t="str">
        <f aca="false">IF(B947=0,"",INDEX(Bank!$B:$B,B947))</f>
        <v/>
      </c>
      <c r="F947" s="5" t="str">
        <f aca="false">IF(B947=0,"",IF(INDEX(Bank!$C:$C,B947)="","",INDEX(Bank!$C:$C,B947)))</f>
        <v/>
      </c>
      <c r="G947" s="19" t="str">
        <f aca="false">IF(B947=0,"",INDEX(Bank!$E:$E,B947))</f>
        <v/>
      </c>
      <c r="H947" s="5" t="str">
        <f aca="false">IF(B947=0,"",IF(INDEX(Bank!$H:$H,B947)="","",INDEX(Bank!$H:$H,B947)))</f>
        <v/>
      </c>
      <c r="I947" s="5" t="n">
        <f aca="false">IF(H947="",0,IFERROR(MATCH(H947,GL!$A:$A,0),0))</f>
        <v>0</v>
      </c>
      <c r="J947" s="32" t="str">
        <f aca="false">IF(I947=0,"",INDEX(GL!$B:$B,I947))</f>
        <v/>
      </c>
      <c r="K947" s="5" t="str">
        <f aca="false">IF(I947=0,"",IF(INDEX(GL!$C:$C,I947)="","",INDEX(GL!$C:$C,I947)))</f>
        <v/>
      </c>
      <c r="L947" s="19" t="str">
        <f aca="false">IF(I947=0,"",INDEX(GL!$E:$E,I947))</f>
        <v/>
      </c>
      <c r="M947" s="19" t="str">
        <f aca="false">IF(OR(B947=0,I947=0),"",ROUND(G947-L947,2))</f>
        <v/>
      </c>
      <c r="N947" s="5" t="str">
        <f aca="false">IF(A947="","",IF(B947=0,"NOT FOUND: bank ID",IF(I947=0,"NOT FOUND: GL ID",IF(INDEX(GL!$H:$H,I947)&lt;&gt;A947,"BROKEN: GL points elsewhere",IF(OR(INDEX(Bank!$F:$F,B947)&lt;&gt;"Y",INDEX(GL!$F:$F,I947)&lt;&gt;"Y"),"BROKEN: Status not Y","OK")))))</f>
        <v/>
      </c>
    </row>
    <row r="948" customFormat="false" ht="15" hidden="false" customHeight="false" outlineLevel="0" collapsed="false">
      <c r="A948" s="41"/>
      <c r="B948" s="5" t="n">
        <f aca="false">IF(A948="",0,IFERROR(MATCH(A948,Bank!$A:$A,0),0))</f>
        <v>0</v>
      </c>
      <c r="C948" s="5" t="str">
        <f aca="false">IF(B948=0,"",IF(INDEX(Bank!$G:$G,B948)="","",INDEX(Bank!$G:$G,B948)))</f>
        <v/>
      </c>
      <c r="D948" s="5" t="str">
        <f aca="false">IF(B948=0,"",IF(INDEX(Bank!$J:$J,B948)="","",INDEX(Bank!$J:$J,B948)))</f>
        <v/>
      </c>
      <c r="E948" s="32" t="str">
        <f aca="false">IF(B948=0,"",INDEX(Bank!$B:$B,B948))</f>
        <v/>
      </c>
      <c r="F948" s="5" t="str">
        <f aca="false">IF(B948=0,"",IF(INDEX(Bank!$C:$C,B948)="","",INDEX(Bank!$C:$C,B948)))</f>
        <v/>
      </c>
      <c r="G948" s="19" t="str">
        <f aca="false">IF(B948=0,"",INDEX(Bank!$E:$E,B948))</f>
        <v/>
      </c>
      <c r="H948" s="5" t="str">
        <f aca="false">IF(B948=0,"",IF(INDEX(Bank!$H:$H,B948)="","",INDEX(Bank!$H:$H,B948)))</f>
        <v/>
      </c>
      <c r="I948" s="5" t="n">
        <f aca="false">IF(H948="",0,IFERROR(MATCH(H948,GL!$A:$A,0),0))</f>
        <v>0</v>
      </c>
      <c r="J948" s="32" t="str">
        <f aca="false">IF(I948=0,"",INDEX(GL!$B:$B,I948))</f>
        <v/>
      </c>
      <c r="K948" s="5" t="str">
        <f aca="false">IF(I948=0,"",IF(INDEX(GL!$C:$C,I948)="","",INDEX(GL!$C:$C,I948)))</f>
        <v/>
      </c>
      <c r="L948" s="19" t="str">
        <f aca="false">IF(I948=0,"",INDEX(GL!$E:$E,I948))</f>
        <v/>
      </c>
      <c r="M948" s="19" t="str">
        <f aca="false">IF(OR(B948=0,I948=0),"",ROUND(G948-L948,2))</f>
        <v/>
      </c>
      <c r="N948" s="5" t="str">
        <f aca="false">IF(A948="","",IF(B948=0,"NOT FOUND: bank ID",IF(I948=0,"NOT FOUND: GL ID",IF(INDEX(GL!$H:$H,I948)&lt;&gt;A948,"BROKEN: GL points elsewhere",IF(OR(INDEX(Bank!$F:$F,B948)&lt;&gt;"Y",INDEX(GL!$F:$F,I948)&lt;&gt;"Y"),"BROKEN: Status not Y","OK")))))</f>
        <v/>
      </c>
    </row>
    <row r="949" customFormat="false" ht="15" hidden="false" customHeight="false" outlineLevel="0" collapsed="false">
      <c r="A949" s="41"/>
      <c r="B949" s="5" t="n">
        <f aca="false">IF(A949="",0,IFERROR(MATCH(A949,Bank!$A:$A,0),0))</f>
        <v>0</v>
      </c>
      <c r="C949" s="5" t="str">
        <f aca="false">IF(B949=0,"",IF(INDEX(Bank!$G:$G,B949)="","",INDEX(Bank!$G:$G,B949)))</f>
        <v/>
      </c>
      <c r="D949" s="5" t="str">
        <f aca="false">IF(B949=0,"",IF(INDEX(Bank!$J:$J,B949)="","",INDEX(Bank!$J:$J,B949)))</f>
        <v/>
      </c>
      <c r="E949" s="32" t="str">
        <f aca="false">IF(B949=0,"",INDEX(Bank!$B:$B,B949))</f>
        <v/>
      </c>
      <c r="F949" s="5" t="str">
        <f aca="false">IF(B949=0,"",IF(INDEX(Bank!$C:$C,B949)="","",INDEX(Bank!$C:$C,B949)))</f>
        <v/>
      </c>
      <c r="G949" s="19" t="str">
        <f aca="false">IF(B949=0,"",INDEX(Bank!$E:$E,B949))</f>
        <v/>
      </c>
      <c r="H949" s="5" t="str">
        <f aca="false">IF(B949=0,"",IF(INDEX(Bank!$H:$H,B949)="","",INDEX(Bank!$H:$H,B949)))</f>
        <v/>
      </c>
      <c r="I949" s="5" t="n">
        <f aca="false">IF(H949="",0,IFERROR(MATCH(H949,GL!$A:$A,0),0))</f>
        <v>0</v>
      </c>
      <c r="J949" s="32" t="str">
        <f aca="false">IF(I949=0,"",INDEX(GL!$B:$B,I949))</f>
        <v/>
      </c>
      <c r="K949" s="5" t="str">
        <f aca="false">IF(I949=0,"",IF(INDEX(GL!$C:$C,I949)="","",INDEX(GL!$C:$C,I949)))</f>
        <v/>
      </c>
      <c r="L949" s="19" t="str">
        <f aca="false">IF(I949=0,"",INDEX(GL!$E:$E,I949))</f>
        <v/>
      </c>
      <c r="M949" s="19" t="str">
        <f aca="false">IF(OR(B949=0,I949=0),"",ROUND(G949-L949,2))</f>
        <v/>
      </c>
      <c r="N949" s="5" t="str">
        <f aca="false">IF(A949="","",IF(B949=0,"NOT FOUND: bank ID",IF(I949=0,"NOT FOUND: GL ID",IF(INDEX(GL!$H:$H,I949)&lt;&gt;A949,"BROKEN: GL points elsewhere",IF(OR(INDEX(Bank!$F:$F,B949)&lt;&gt;"Y",INDEX(GL!$F:$F,I949)&lt;&gt;"Y"),"BROKEN: Status not Y","OK")))))</f>
        <v/>
      </c>
    </row>
    <row r="950" customFormat="false" ht="15" hidden="false" customHeight="false" outlineLevel="0" collapsed="false">
      <c r="A950" s="41"/>
      <c r="B950" s="5" t="n">
        <f aca="false">IF(A950="",0,IFERROR(MATCH(A950,Bank!$A:$A,0),0))</f>
        <v>0</v>
      </c>
      <c r="C950" s="5" t="str">
        <f aca="false">IF(B950=0,"",IF(INDEX(Bank!$G:$G,B950)="","",INDEX(Bank!$G:$G,B950)))</f>
        <v/>
      </c>
      <c r="D950" s="5" t="str">
        <f aca="false">IF(B950=0,"",IF(INDEX(Bank!$J:$J,B950)="","",INDEX(Bank!$J:$J,B950)))</f>
        <v/>
      </c>
      <c r="E950" s="32" t="str">
        <f aca="false">IF(B950=0,"",INDEX(Bank!$B:$B,B950))</f>
        <v/>
      </c>
      <c r="F950" s="5" t="str">
        <f aca="false">IF(B950=0,"",IF(INDEX(Bank!$C:$C,B950)="","",INDEX(Bank!$C:$C,B950)))</f>
        <v/>
      </c>
      <c r="G950" s="19" t="str">
        <f aca="false">IF(B950=0,"",INDEX(Bank!$E:$E,B950))</f>
        <v/>
      </c>
      <c r="H950" s="5" t="str">
        <f aca="false">IF(B950=0,"",IF(INDEX(Bank!$H:$H,B950)="","",INDEX(Bank!$H:$H,B950)))</f>
        <v/>
      </c>
      <c r="I950" s="5" t="n">
        <f aca="false">IF(H950="",0,IFERROR(MATCH(H950,GL!$A:$A,0),0))</f>
        <v>0</v>
      </c>
      <c r="J950" s="32" t="str">
        <f aca="false">IF(I950=0,"",INDEX(GL!$B:$B,I950))</f>
        <v/>
      </c>
      <c r="K950" s="5" t="str">
        <f aca="false">IF(I950=0,"",IF(INDEX(GL!$C:$C,I950)="","",INDEX(GL!$C:$C,I950)))</f>
        <v/>
      </c>
      <c r="L950" s="19" t="str">
        <f aca="false">IF(I950=0,"",INDEX(GL!$E:$E,I950))</f>
        <v/>
      </c>
      <c r="M950" s="19" t="str">
        <f aca="false">IF(OR(B950=0,I950=0),"",ROUND(G950-L950,2))</f>
        <v/>
      </c>
      <c r="N950" s="5" t="str">
        <f aca="false">IF(A950="","",IF(B950=0,"NOT FOUND: bank ID",IF(I950=0,"NOT FOUND: GL ID",IF(INDEX(GL!$H:$H,I950)&lt;&gt;A950,"BROKEN: GL points elsewhere",IF(OR(INDEX(Bank!$F:$F,B950)&lt;&gt;"Y",INDEX(GL!$F:$F,I950)&lt;&gt;"Y"),"BROKEN: Status not Y","OK")))))</f>
        <v/>
      </c>
    </row>
    <row r="951" customFormat="false" ht="15" hidden="false" customHeight="false" outlineLevel="0" collapsed="false">
      <c r="A951" s="41"/>
      <c r="B951" s="5" t="n">
        <f aca="false">IF(A951="",0,IFERROR(MATCH(A951,Bank!$A:$A,0),0))</f>
        <v>0</v>
      </c>
      <c r="C951" s="5" t="str">
        <f aca="false">IF(B951=0,"",IF(INDEX(Bank!$G:$G,B951)="","",INDEX(Bank!$G:$G,B951)))</f>
        <v/>
      </c>
      <c r="D951" s="5" t="str">
        <f aca="false">IF(B951=0,"",IF(INDEX(Bank!$J:$J,B951)="","",INDEX(Bank!$J:$J,B951)))</f>
        <v/>
      </c>
      <c r="E951" s="32" t="str">
        <f aca="false">IF(B951=0,"",INDEX(Bank!$B:$B,B951))</f>
        <v/>
      </c>
      <c r="F951" s="5" t="str">
        <f aca="false">IF(B951=0,"",IF(INDEX(Bank!$C:$C,B951)="","",INDEX(Bank!$C:$C,B951)))</f>
        <v/>
      </c>
      <c r="G951" s="19" t="str">
        <f aca="false">IF(B951=0,"",INDEX(Bank!$E:$E,B951))</f>
        <v/>
      </c>
      <c r="H951" s="5" t="str">
        <f aca="false">IF(B951=0,"",IF(INDEX(Bank!$H:$H,B951)="","",INDEX(Bank!$H:$H,B951)))</f>
        <v/>
      </c>
      <c r="I951" s="5" t="n">
        <f aca="false">IF(H951="",0,IFERROR(MATCH(H951,GL!$A:$A,0),0))</f>
        <v>0</v>
      </c>
      <c r="J951" s="32" t="str">
        <f aca="false">IF(I951=0,"",INDEX(GL!$B:$B,I951))</f>
        <v/>
      </c>
      <c r="K951" s="5" t="str">
        <f aca="false">IF(I951=0,"",IF(INDEX(GL!$C:$C,I951)="","",INDEX(GL!$C:$C,I951)))</f>
        <v/>
      </c>
      <c r="L951" s="19" t="str">
        <f aca="false">IF(I951=0,"",INDEX(GL!$E:$E,I951))</f>
        <v/>
      </c>
      <c r="M951" s="19" t="str">
        <f aca="false">IF(OR(B951=0,I951=0),"",ROUND(G951-L951,2))</f>
        <v/>
      </c>
      <c r="N951" s="5" t="str">
        <f aca="false">IF(A951="","",IF(B951=0,"NOT FOUND: bank ID",IF(I951=0,"NOT FOUND: GL ID",IF(INDEX(GL!$H:$H,I951)&lt;&gt;A951,"BROKEN: GL points elsewhere",IF(OR(INDEX(Bank!$F:$F,B951)&lt;&gt;"Y",INDEX(GL!$F:$F,I951)&lt;&gt;"Y"),"BROKEN: Status not Y","OK")))))</f>
        <v/>
      </c>
    </row>
    <row r="952" customFormat="false" ht="15" hidden="false" customHeight="false" outlineLevel="0" collapsed="false">
      <c r="A952" s="41"/>
      <c r="B952" s="5" t="n">
        <f aca="false">IF(A952="",0,IFERROR(MATCH(A952,Bank!$A:$A,0),0))</f>
        <v>0</v>
      </c>
      <c r="C952" s="5" t="str">
        <f aca="false">IF(B952=0,"",IF(INDEX(Bank!$G:$G,B952)="","",INDEX(Bank!$G:$G,B952)))</f>
        <v/>
      </c>
      <c r="D952" s="5" t="str">
        <f aca="false">IF(B952=0,"",IF(INDEX(Bank!$J:$J,B952)="","",INDEX(Bank!$J:$J,B952)))</f>
        <v/>
      </c>
      <c r="E952" s="32" t="str">
        <f aca="false">IF(B952=0,"",INDEX(Bank!$B:$B,B952))</f>
        <v/>
      </c>
      <c r="F952" s="5" t="str">
        <f aca="false">IF(B952=0,"",IF(INDEX(Bank!$C:$C,B952)="","",INDEX(Bank!$C:$C,B952)))</f>
        <v/>
      </c>
      <c r="G952" s="19" t="str">
        <f aca="false">IF(B952=0,"",INDEX(Bank!$E:$E,B952))</f>
        <v/>
      </c>
      <c r="H952" s="5" t="str">
        <f aca="false">IF(B952=0,"",IF(INDEX(Bank!$H:$H,B952)="","",INDEX(Bank!$H:$H,B952)))</f>
        <v/>
      </c>
      <c r="I952" s="5" t="n">
        <f aca="false">IF(H952="",0,IFERROR(MATCH(H952,GL!$A:$A,0),0))</f>
        <v>0</v>
      </c>
      <c r="J952" s="32" t="str">
        <f aca="false">IF(I952=0,"",INDEX(GL!$B:$B,I952))</f>
        <v/>
      </c>
      <c r="K952" s="5" t="str">
        <f aca="false">IF(I952=0,"",IF(INDEX(GL!$C:$C,I952)="","",INDEX(GL!$C:$C,I952)))</f>
        <v/>
      </c>
      <c r="L952" s="19" t="str">
        <f aca="false">IF(I952=0,"",INDEX(GL!$E:$E,I952))</f>
        <v/>
      </c>
      <c r="M952" s="19" t="str">
        <f aca="false">IF(OR(B952=0,I952=0),"",ROUND(G952-L952,2))</f>
        <v/>
      </c>
      <c r="N952" s="5" t="str">
        <f aca="false">IF(A952="","",IF(B952=0,"NOT FOUND: bank ID",IF(I952=0,"NOT FOUND: GL ID",IF(INDEX(GL!$H:$H,I952)&lt;&gt;A952,"BROKEN: GL points elsewhere",IF(OR(INDEX(Bank!$F:$F,B952)&lt;&gt;"Y",INDEX(GL!$F:$F,I952)&lt;&gt;"Y"),"BROKEN: Status not Y","OK")))))</f>
        <v/>
      </c>
    </row>
    <row r="953" customFormat="false" ht="15" hidden="false" customHeight="false" outlineLevel="0" collapsed="false">
      <c r="A953" s="41"/>
      <c r="B953" s="5" t="n">
        <f aca="false">IF(A953="",0,IFERROR(MATCH(A953,Bank!$A:$A,0),0))</f>
        <v>0</v>
      </c>
      <c r="C953" s="5" t="str">
        <f aca="false">IF(B953=0,"",IF(INDEX(Bank!$G:$G,B953)="","",INDEX(Bank!$G:$G,B953)))</f>
        <v/>
      </c>
      <c r="D953" s="5" t="str">
        <f aca="false">IF(B953=0,"",IF(INDEX(Bank!$J:$J,B953)="","",INDEX(Bank!$J:$J,B953)))</f>
        <v/>
      </c>
      <c r="E953" s="32" t="str">
        <f aca="false">IF(B953=0,"",INDEX(Bank!$B:$B,B953))</f>
        <v/>
      </c>
      <c r="F953" s="5" t="str">
        <f aca="false">IF(B953=0,"",IF(INDEX(Bank!$C:$C,B953)="","",INDEX(Bank!$C:$C,B953)))</f>
        <v/>
      </c>
      <c r="G953" s="19" t="str">
        <f aca="false">IF(B953=0,"",INDEX(Bank!$E:$E,B953))</f>
        <v/>
      </c>
      <c r="H953" s="5" t="str">
        <f aca="false">IF(B953=0,"",IF(INDEX(Bank!$H:$H,B953)="","",INDEX(Bank!$H:$H,B953)))</f>
        <v/>
      </c>
      <c r="I953" s="5" t="n">
        <f aca="false">IF(H953="",0,IFERROR(MATCH(H953,GL!$A:$A,0),0))</f>
        <v>0</v>
      </c>
      <c r="J953" s="32" t="str">
        <f aca="false">IF(I953=0,"",INDEX(GL!$B:$B,I953))</f>
        <v/>
      </c>
      <c r="K953" s="5" t="str">
        <f aca="false">IF(I953=0,"",IF(INDEX(GL!$C:$C,I953)="","",INDEX(GL!$C:$C,I953)))</f>
        <v/>
      </c>
      <c r="L953" s="19" t="str">
        <f aca="false">IF(I953=0,"",INDEX(GL!$E:$E,I953))</f>
        <v/>
      </c>
      <c r="M953" s="19" t="str">
        <f aca="false">IF(OR(B953=0,I953=0),"",ROUND(G953-L953,2))</f>
        <v/>
      </c>
      <c r="N953" s="5" t="str">
        <f aca="false">IF(A953="","",IF(B953=0,"NOT FOUND: bank ID",IF(I953=0,"NOT FOUND: GL ID",IF(INDEX(GL!$H:$H,I953)&lt;&gt;A953,"BROKEN: GL points elsewhere",IF(OR(INDEX(Bank!$F:$F,B953)&lt;&gt;"Y",INDEX(GL!$F:$F,I953)&lt;&gt;"Y"),"BROKEN: Status not Y","OK")))))</f>
        <v/>
      </c>
    </row>
    <row r="954" customFormat="false" ht="15" hidden="false" customHeight="false" outlineLevel="0" collapsed="false">
      <c r="A954" s="41"/>
      <c r="B954" s="5" t="n">
        <f aca="false">IF(A954="",0,IFERROR(MATCH(A954,Bank!$A:$A,0),0))</f>
        <v>0</v>
      </c>
      <c r="C954" s="5" t="str">
        <f aca="false">IF(B954=0,"",IF(INDEX(Bank!$G:$G,B954)="","",INDEX(Bank!$G:$G,B954)))</f>
        <v/>
      </c>
      <c r="D954" s="5" t="str">
        <f aca="false">IF(B954=0,"",IF(INDEX(Bank!$J:$J,B954)="","",INDEX(Bank!$J:$J,B954)))</f>
        <v/>
      </c>
      <c r="E954" s="32" t="str">
        <f aca="false">IF(B954=0,"",INDEX(Bank!$B:$B,B954))</f>
        <v/>
      </c>
      <c r="F954" s="5" t="str">
        <f aca="false">IF(B954=0,"",IF(INDEX(Bank!$C:$C,B954)="","",INDEX(Bank!$C:$C,B954)))</f>
        <v/>
      </c>
      <c r="G954" s="19" t="str">
        <f aca="false">IF(B954=0,"",INDEX(Bank!$E:$E,B954))</f>
        <v/>
      </c>
      <c r="H954" s="5" t="str">
        <f aca="false">IF(B954=0,"",IF(INDEX(Bank!$H:$H,B954)="","",INDEX(Bank!$H:$H,B954)))</f>
        <v/>
      </c>
      <c r="I954" s="5" t="n">
        <f aca="false">IF(H954="",0,IFERROR(MATCH(H954,GL!$A:$A,0),0))</f>
        <v>0</v>
      </c>
      <c r="J954" s="32" t="str">
        <f aca="false">IF(I954=0,"",INDEX(GL!$B:$B,I954))</f>
        <v/>
      </c>
      <c r="K954" s="5" t="str">
        <f aca="false">IF(I954=0,"",IF(INDEX(GL!$C:$C,I954)="","",INDEX(GL!$C:$C,I954)))</f>
        <v/>
      </c>
      <c r="L954" s="19" t="str">
        <f aca="false">IF(I954=0,"",INDEX(GL!$E:$E,I954))</f>
        <v/>
      </c>
      <c r="M954" s="19" t="str">
        <f aca="false">IF(OR(B954=0,I954=0),"",ROUND(G954-L954,2))</f>
        <v/>
      </c>
      <c r="N954" s="5" t="str">
        <f aca="false">IF(A954="","",IF(B954=0,"NOT FOUND: bank ID",IF(I954=0,"NOT FOUND: GL ID",IF(INDEX(GL!$H:$H,I954)&lt;&gt;A954,"BROKEN: GL points elsewhere",IF(OR(INDEX(Bank!$F:$F,B954)&lt;&gt;"Y",INDEX(GL!$F:$F,I954)&lt;&gt;"Y"),"BROKEN: Status not Y","OK")))))</f>
        <v/>
      </c>
    </row>
    <row r="955" customFormat="false" ht="15" hidden="false" customHeight="false" outlineLevel="0" collapsed="false">
      <c r="A955" s="41"/>
      <c r="B955" s="5" t="n">
        <f aca="false">IF(A955="",0,IFERROR(MATCH(A955,Bank!$A:$A,0),0))</f>
        <v>0</v>
      </c>
      <c r="C955" s="5" t="str">
        <f aca="false">IF(B955=0,"",IF(INDEX(Bank!$G:$G,B955)="","",INDEX(Bank!$G:$G,B955)))</f>
        <v/>
      </c>
      <c r="D955" s="5" t="str">
        <f aca="false">IF(B955=0,"",IF(INDEX(Bank!$J:$J,B955)="","",INDEX(Bank!$J:$J,B955)))</f>
        <v/>
      </c>
      <c r="E955" s="32" t="str">
        <f aca="false">IF(B955=0,"",INDEX(Bank!$B:$B,B955))</f>
        <v/>
      </c>
      <c r="F955" s="5" t="str">
        <f aca="false">IF(B955=0,"",IF(INDEX(Bank!$C:$C,B955)="","",INDEX(Bank!$C:$C,B955)))</f>
        <v/>
      </c>
      <c r="G955" s="19" t="str">
        <f aca="false">IF(B955=0,"",INDEX(Bank!$E:$E,B955))</f>
        <v/>
      </c>
      <c r="H955" s="5" t="str">
        <f aca="false">IF(B955=0,"",IF(INDEX(Bank!$H:$H,B955)="","",INDEX(Bank!$H:$H,B955)))</f>
        <v/>
      </c>
      <c r="I955" s="5" t="n">
        <f aca="false">IF(H955="",0,IFERROR(MATCH(H955,GL!$A:$A,0),0))</f>
        <v>0</v>
      </c>
      <c r="J955" s="32" t="str">
        <f aca="false">IF(I955=0,"",INDEX(GL!$B:$B,I955))</f>
        <v/>
      </c>
      <c r="K955" s="5" t="str">
        <f aca="false">IF(I955=0,"",IF(INDEX(GL!$C:$C,I955)="","",INDEX(GL!$C:$C,I955)))</f>
        <v/>
      </c>
      <c r="L955" s="19" t="str">
        <f aca="false">IF(I955=0,"",INDEX(GL!$E:$E,I955))</f>
        <v/>
      </c>
      <c r="M955" s="19" t="str">
        <f aca="false">IF(OR(B955=0,I955=0),"",ROUND(G955-L955,2))</f>
        <v/>
      </c>
      <c r="N955" s="5" t="str">
        <f aca="false">IF(A955="","",IF(B955=0,"NOT FOUND: bank ID",IF(I955=0,"NOT FOUND: GL ID",IF(INDEX(GL!$H:$H,I955)&lt;&gt;A955,"BROKEN: GL points elsewhere",IF(OR(INDEX(Bank!$F:$F,B955)&lt;&gt;"Y",INDEX(GL!$F:$F,I955)&lt;&gt;"Y"),"BROKEN: Status not Y","OK")))))</f>
        <v/>
      </c>
    </row>
    <row r="956" customFormat="false" ht="15" hidden="false" customHeight="false" outlineLevel="0" collapsed="false">
      <c r="A956" s="41"/>
      <c r="B956" s="5" t="n">
        <f aca="false">IF(A956="",0,IFERROR(MATCH(A956,Bank!$A:$A,0),0))</f>
        <v>0</v>
      </c>
      <c r="C956" s="5" t="str">
        <f aca="false">IF(B956=0,"",IF(INDEX(Bank!$G:$G,B956)="","",INDEX(Bank!$G:$G,B956)))</f>
        <v/>
      </c>
      <c r="D956" s="5" t="str">
        <f aca="false">IF(B956=0,"",IF(INDEX(Bank!$J:$J,B956)="","",INDEX(Bank!$J:$J,B956)))</f>
        <v/>
      </c>
      <c r="E956" s="32" t="str">
        <f aca="false">IF(B956=0,"",INDEX(Bank!$B:$B,B956))</f>
        <v/>
      </c>
      <c r="F956" s="5" t="str">
        <f aca="false">IF(B956=0,"",IF(INDEX(Bank!$C:$C,B956)="","",INDEX(Bank!$C:$C,B956)))</f>
        <v/>
      </c>
      <c r="G956" s="19" t="str">
        <f aca="false">IF(B956=0,"",INDEX(Bank!$E:$E,B956))</f>
        <v/>
      </c>
      <c r="H956" s="5" t="str">
        <f aca="false">IF(B956=0,"",IF(INDEX(Bank!$H:$H,B956)="","",INDEX(Bank!$H:$H,B956)))</f>
        <v/>
      </c>
      <c r="I956" s="5" t="n">
        <f aca="false">IF(H956="",0,IFERROR(MATCH(H956,GL!$A:$A,0),0))</f>
        <v>0</v>
      </c>
      <c r="J956" s="32" t="str">
        <f aca="false">IF(I956=0,"",INDEX(GL!$B:$B,I956))</f>
        <v/>
      </c>
      <c r="K956" s="5" t="str">
        <f aca="false">IF(I956=0,"",IF(INDEX(GL!$C:$C,I956)="","",INDEX(GL!$C:$C,I956)))</f>
        <v/>
      </c>
      <c r="L956" s="19" t="str">
        <f aca="false">IF(I956=0,"",INDEX(GL!$E:$E,I956))</f>
        <v/>
      </c>
      <c r="M956" s="19" t="str">
        <f aca="false">IF(OR(B956=0,I956=0),"",ROUND(G956-L956,2))</f>
        <v/>
      </c>
      <c r="N956" s="5" t="str">
        <f aca="false">IF(A956="","",IF(B956=0,"NOT FOUND: bank ID",IF(I956=0,"NOT FOUND: GL ID",IF(INDEX(GL!$H:$H,I956)&lt;&gt;A956,"BROKEN: GL points elsewhere",IF(OR(INDEX(Bank!$F:$F,B956)&lt;&gt;"Y",INDEX(GL!$F:$F,I956)&lt;&gt;"Y"),"BROKEN: Status not Y","OK")))))</f>
        <v/>
      </c>
    </row>
    <row r="957" customFormat="false" ht="15" hidden="false" customHeight="false" outlineLevel="0" collapsed="false">
      <c r="A957" s="41"/>
      <c r="B957" s="5" t="n">
        <f aca="false">IF(A957="",0,IFERROR(MATCH(A957,Bank!$A:$A,0),0))</f>
        <v>0</v>
      </c>
      <c r="C957" s="5" t="str">
        <f aca="false">IF(B957=0,"",IF(INDEX(Bank!$G:$G,B957)="","",INDEX(Bank!$G:$G,B957)))</f>
        <v/>
      </c>
      <c r="D957" s="5" t="str">
        <f aca="false">IF(B957=0,"",IF(INDEX(Bank!$J:$J,B957)="","",INDEX(Bank!$J:$J,B957)))</f>
        <v/>
      </c>
      <c r="E957" s="32" t="str">
        <f aca="false">IF(B957=0,"",INDEX(Bank!$B:$B,B957))</f>
        <v/>
      </c>
      <c r="F957" s="5" t="str">
        <f aca="false">IF(B957=0,"",IF(INDEX(Bank!$C:$C,B957)="","",INDEX(Bank!$C:$C,B957)))</f>
        <v/>
      </c>
      <c r="G957" s="19" t="str">
        <f aca="false">IF(B957=0,"",INDEX(Bank!$E:$E,B957))</f>
        <v/>
      </c>
      <c r="H957" s="5" t="str">
        <f aca="false">IF(B957=0,"",IF(INDEX(Bank!$H:$H,B957)="","",INDEX(Bank!$H:$H,B957)))</f>
        <v/>
      </c>
      <c r="I957" s="5" t="n">
        <f aca="false">IF(H957="",0,IFERROR(MATCH(H957,GL!$A:$A,0),0))</f>
        <v>0</v>
      </c>
      <c r="J957" s="32" t="str">
        <f aca="false">IF(I957=0,"",INDEX(GL!$B:$B,I957))</f>
        <v/>
      </c>
      <c r="K957" s="5" t="str">
        <f aca="false">IF(I957=0,"",IF(INDEX(GL!$C:$C,I957)="","",INDEX(GL!$C:$C,I957)))</f>
        <v/>
      </c>
      <c r="L957" s="19" t="str">
        <f aca="false">IF(I957=0,"",INDEX(GL!$E:$E,I957))</f>
        <v/>
      </c>
      <c r="M957" s="19" t="str">
        <f aca="false">IF(OR(B957=0,I957=0),"",ROUND(G957-L957,2))</f>
        <v/>
      </c>
      <c r="N957" s="5" t="str">
        <f aca="false">IF(A957="","",IF(B957=0,"NOT FOUND: bank ID",IF(I957=0,"NOT FOUND: GL ID",IF(INDEX(GL!$H:$H,I957)&lt;&gt;A957,"BROKEN: GL points elsewhere",IF(OR(INDEX(Bank!$F:$F,B957)&lt;&gt;"Y",INDEX(GL!$F:$F,I957)&lt;&gt;"Y"),"BROKEN: Status not Y","OK")))))</f>
        <v/>
      </c>
    </row>
    <row r="958" customFormat="false" ht="15" hidden="false" customHeight="false" outlineLevel="0" collapsed="false">
      <c r="A958" s="41"/>
      <c r="B958" s="5" t="n">
        <f aca="false">IF(A958="",0,IFERROR(MATCH(A958,Bank!$A:$A,0),0))</f>
        <v>0</v>
      </c>
      <c r="C958" s="5" t="str">
        <f aca="false">IF(B958=0,"",IF(INDEX(Bank!$G:$G,B958)="","",INDEX(Bank!$G:$G,B958)))</f>
        <v/>
      </c>
      <c r="D958" s="5" t="str">
        <f aca="false">IF(B958=0,"",IF(INDEX(Bank!$J:$J,B958)="","",INDEX(Bank!$J:$J,B958)))</f>
        <v/>
      </c>
      <c r="E958" s="32" t="str">
        <f aca="false">IF(B958=0,"",INDEX(Bank!$B:$B,B958))</f>
        <v/>
      </c>
      <c r="F958" s="5" t="str">
        <f aca="false">IF(B958=0,"",IF(INDEX(Bank!$C:$C,B958)="","",INDEX(Bank!$C:$C,B958)))</f>
        <v/>
      </c>
      <c r="G958" s="19" t="str">
        <f aca="false">IF(B958=0,"",INDEX(Bank!$E:$E,B958))</f>
        <v/>
      </c>
      <c r="H958" s="5" t="str">
        <f aca="false">IF(B958=0,"",IF(INDEX(Bank!$H:$H,B958)="","",INDEX(Bank!$H:$H,B958)))</f>
        <v/>
      </c>
      <c r="I958" s="5" t="n">
        <f aca="false">IF(H958="",0,IFERROR(MATCH(H958,GL!$A:$A,0),0))</f>
        <v>0</v>
      </c>
      <c r="J958" s="32" t="str">
        <f aca="false">IF(I958=0,"",INDEX(GL!$B:$B,I958))</f>
        <v/>
      </c>
      <c r="K958" s="5" t="str">
        <f aca="false">IF(I958=0,"",IF(INDEX(GL!$C:$C,I958)="","",INDEX(GL!$C:$C,I958)))</f>
        <v/>
      </c>
      <c r="L958" s="19" t="str">
        <f aca="false">IF(I958=0,"",INDEX(GL!$E:$E,I958))</f>
        <v/>
      </c>
      <c r="M958" s="19" t="str">
        <f aca="false">IF(OR(B958=0,I958=0),"",ROUND(G958-L958,2))</f>
        <v/>
      </c>
      <c r="N958" s="5" t="str">
        <f aca="false">IF(A958="","",IF(B958=0,"NOT FOUND: bank ID",IF(I958=0,"NOT FOUND: GL ID",IF(INDEX(GL!$H:$H,I958)&lt;&gt;A958,"BROKEN: GL points elsewhere",IF(OR(INDEX(Bank!$F:$F,B958)&lt;&gt;"Y",INDEX(GL!$F:$F,I958)&lt;&gt;"Y"),"BROKEN: Status not Y","OK")))))</f>
        <v/>
      </c>
    </row>
    <row r="959" customFormat="false" ht="15" hidden="false" customHeight="false" outlineLevel="0" collapsed="false">
      <c r="A959" s="41"/>
      <c r="B959" s="5" t="n">
        <f aca="false">IF(A959="",0,IFERROR(MATCH(A959,Bank!$A:$A,0),0))</f>
        <v>0</v>
      </c>
      <c r="C959" s="5" t="str">
        <f aca="false">IF(B959=0,"",IF(INDEX(Bank!$G:$G,B959)="","",INDEX(Bank!$G:$G,B959)))</f>
        <v/>
      </c>
      <c r="D959" s="5" t="str">
        <f aca="false">IF(B959=0,"",IF(INDEX(Bank!$J:$J,B959)="","",INDEX(Bank!$J:$J,B959)))</f>
        <v/>
      </c>
      <c r="E959" s="32" t="str">
        <f aca="false">IF(B959=0,"",INDEX(Bank!$B:$B,B959))</f>
        <v/>
      </c>
      <c r="F959" s="5" t="str">
        <f aca="false">IF(B959=0,"",IF(INDEX(Bank!$C:$C,B959)="","",INDEX(Bank!$C:$C,B959)))</f>
        <v/>
      </c>
      <c r="G959" s="19" t="str">
        <f aca="false">IF(B959=0,"",INDEX(Bank!$E:$E,B959))</f>
        <v/>
      </c>
      <c r="H959" s="5" t="str">
        <f aca="false">IF(B959=0,"",IF(INDEX(Bank!$H:$H,B959)="","",INDEX(Bank!$H:$H,B959)))</f>
        <v/>
      </c>
      <c r="I959" s="5" t="n">
        <f aca="false">IF(H959="",0,IFERROR(MATCH(H959,GL!$A:$A,0),0))</f>
        <v>0</v>
      </c>
      <c r="J959" s="32" t="str">
        <f aca="false">IF(I959=0,"",INDEX(GL!$B:$B,I959))</f>
        <v/>
      </c>
      <c r="K959" s="5" t="str">
        <f aca="false">IF(I959=0,"",IF(INDEX(GL!$C:$C,I959)="","",INDEX(GL!$C:$C,I959)))</f>
        <v/>
      </c>
      <c r="L959" s="19" t="str">
        <f aca="false">IF(I959=0,"",INDEX(GL!$E:$E,I959))</f>
        <v/>
      </c>
      <c r="M959" s="19" t="str">
        <f aca="false">IF(OR(B959=0,I959=0),"",ROUND(G959-L959,2))</f>
        <v/>
      </c>
      <c r="N959" s="5" t="str">
        <f aca="false">IF(A959="","",IF(B959=0,"NOT FOUND: bank ID",IF(I959=0,"NOT FOUND: GL ID",IF(INDEX(GL!$H:$H,I959)&lt;&gt;A959,"BROKEN: GL points elsewhere",IF(OR(INDEX(Bank!$F:$F,B959)&lt;&gt;"Y",INDEX(GL!$F:$F,I959)&lt;&gt;"Y"),"BROKEN: Status not Y","OK")))))</f>
        <v/>
      </c>
    </row>
    <row r="960" customFormat="false" ht="15" hidden="false" customHeight="false" outlineLevel="0" collapsed="false">
      <c r="A960" s="41"/>
      <c r="B960" s="5" t="n">
        <f aca="false">IF(A960="",0,IFERROR(MATCH(A960,Bank!$A:$A,0),0))</f>
        <v>0</v>
      </c>
      <c r="C960" s="5" t="str">
        <f aca="false">IF(B960=0,"",IF(INDEX(Bank!$G:$G,B960)="","",INDEX(Bank!$G:$G,B960)))</f>
        <v/>
      </c>
      <c r="D960" s="5" t="str">
        <f aca="false">IF(B960=0,"",IF(INDEX(Bank!$J:$J,B960)="","",INDEX(Bank!$J:$J,B960)))</f>
        <v/>
      </c>
      <c r="E960" s="32" t="str">
        <f aca="false">IF(B960=0,"",INDEX(Bank!$B:$B,B960))</f>
        <v/>
      </c>
      <c r="F960" s="5" t="str">
        <f aca="false">IF(B960=0,"",IF(INDEX(Bank!$C:$C,B960)="","",INDEX(Bank!$C:$C,B960)))</f>
        <v/>
      </c>
      <c r="G960" s="19" t="str">
        <f aca="false">IF(B960=0,"",INDEX(Bank!$E:$E,B960))</f>
        <v/>
      </c>
      <c r="H960" s="5" t="str">
        <f aca="false">IF(B960=0,"",IF(INDEX(Bank!$H:$H,B960)="","",INDEX(Bank!$H:$H,B960)))</f>
        <v/>
      </c>
      <c r="I960" s="5" t="n">
        <f aca="false">IF(H960="",0,IFERROR(MATCH(H960,GL!$A:$A,0),0))</f>
        <v>0</v>
      </c>
      <c r="J960" s="32" t="str">
        <f aca="false">IF(I960=0,"",INDEX(GL!$B:$B,I960))</f>
        <v/>
      </c>
      <c r="K960" s="5" t="str">
        <f aca="false">IF(I960=0,"",IF(INDEX(GL!$C:$C,I960)="","",INDEX(GL!$C:$C,I960)))</f>
        <v/>
      </c>
      <c r="L960" s="19" t="str">
        <f aca="false">IF(I960=0,"",INDEX(GL!$E:$E,I960))</f>
        <v/>
      </c>
      <c r="M960" s="19" t="str">
        <f aca="false">IF(OR(B960=0,I960=0),"",ROUND(G960-L960,2))</f>
        <v/>
      </c>
      <c r="N960" s="5" t="str">
        <f aca="false">IF(A960="","",IF(B960=0,"NOT FOUND: bank ID",IF(I960=0,"NOT FOUND: GL ID",IF(INDEX(GL!$H:$H,I960)&lt;&gt;A960,"BROKEN: GL points elsewhere",IF(OR(INDEX(Bank!$F:$F,B960)&lt;&gt;"Y",INDEX(GL!$F:$F,I960)&lt;&gt;"Y"),"BROKEN: Status not Y","OK")))))</f>
        <v/>
      </c>
    </row>
    <row r="961" customFormat="false" ht="15" hidden="false" customHeight="false" outlineLevel="0" collapsed="false">
      <c r="A961" s="41"/>
      <c r="B961" s="5" t="n">
        <f aca="false">IF(A961="",0,IFERROR(MATCH(A961,Bank!$A:$A,0),0))</f>
        <v>0</v>
      </c>
      <c r="C961" s="5" t="str">
        <f aca="false">IF(B961=0,"",IF(INDEX(Bank!$G:$G,B961)="","",INDEX(Bank!$G:$G,B961)))</f>
        <v/>
      </c>
      <c r="D961" s="5" t="str">
        <f aca="false">IF(B961=0,"",IF(INDEX(Bank!$J:$J,B961)="","",INDEX(Bank!$J:$J,B961)))</f>
        <v/>
      </c>
      <c r="E961" s="32" t="str">
        <f aca="false">IF(B961=0,"",INDEX(Bank!$B:$B,B961))</f>
        <v/>
      </c>
      <c r="F961" s="5" t="str">
        <f aca="false">IF(B961=0,"",IF(INDEX(Bank!$C:$C,B961)="","",INDEX(Bank!$C:$C,B961)))</f>
        <v/>
      </c>
      <c r="G961" s="19" t="str">
        <f aca="false">IF(B961=0,"",INDEX(Bank!$E:$E,B961))</f>
        <v/>
      </c>
      <c r="H961" s="5" t="str">
        <f aca="false">IF(B961=0,"",IF(INDEX(Bank!$H:$H,B961)="","",INDEX(Bank!$H:$H,B961)))</f>
        <v/>
      </c>
      <c r="I961" s="5" t="n">
        <f aca="false">IF(H961="",0,IFERROR(MATCH(H961,GL!$A:$A,0),0))</f>
        <v>0</v>
      </c>
      <c r="J961" s="32" t="str">
        <f aca="false">IF(I961=0,"",INDEX(GL!$B:$B,I961))</f>
        <v/>
      </c>
      <c r="K961" s="5" t="str">
        <f aca="false">IF(I961=0,"",IF(INDEX(GL!$C:$C,I961)="","",INDEX(GL!$C:$C,I961)))</f>
        <v/>
      </c>
      <c r="L961" s="19" t="str">
        <f aca="false">IF(I961=0,"",INDEX(GL!$E:$E,I961))</f>
        <v/>
      </c>
      <c r="M961" s="19" t="str">
        <f aca="false">IF(OR(B961=0,I961=0),"",ROUND(G961-L961,2))</f>
        <v/>
      </c>
      <c r="N961" s="5" t="str">
        <f aca="false">IF(A961="","",IF(B961=0,"NOT FOUND: bank ID",IF(I961=0,"NOT FOUND: GL ID",IF(INDEX(GL!$H:$H,I961)&lt;&gt;A961,"BROKEN: GL points elsewhere",IF(OR(INDEX(Bank!$F:$F,B961)&lt;&gt;"Y",INDEX(GL!$F:$F,I961)&lt;&gt;"Y"),"BROKEN: Status not Y","OK")))))</f>
        <v/>
      </c>
    </row>
    <row r="962" customFormat="false" ht="15" hidden="false" customHeight="false" outlineLevel="0" collapsed="false">
      <c r="A962" s="41"/>
      <c r="B962" s="5" t="n">
        <f aca="false">IF(A962="",0,IFERROR(MATCH(A962,Bank!$A:$A,0),0))</f>
        <v>0</v>
      </c>
      <c r="C962" s="5" t="str">
        <f aca="false">IF(B962=0,"",IF(INDEX(Bank!$G:$G,B962)="","",INDEX(Bank!$G:$G,B962)))</f>
        <v/>
      </c>
      <c r="D962" s="5" t="str">
        <f aca="false">IF(B962=0,"",IF(INDEX(Bank!$J:$J,B962)="","",INDEX(Bank!$J:$J,B962)))</f>
        <v/>
      </c>
      <c r="E962" s="32" t="str">
        <f aca="false">IF(B962=0,"",INDEX(Bank!$B:$B,B962))</f>
        <v/>
      </c>
      <c r="F962" s="5" t="str">
        <f aca="false">IF(B962=0,"",IF(INDEX(Bank!$C:$C,B962)="","",INDEX(Bank!$C:$C,B962)))</f>
        <v/>
      </c>
      <c r="G962" s="19" t="str">
        <f aca="false">IF(B962=0,"",INDEX(Bank!$E:$E,B962))</f>
        <v/>
      </c>
      <c r="H962" s="5" t="str">
        <f aca="false">IF(B962=0,"",IF(INDEX(Bank!$H:$H,B962)="","",INDEX(Bank!$H:$H,B962)))</f>
        <v/>
      </c>
      <c r="I962" s="5" t="n">
        <f aca="false">IF(H962="",0,IFERROR(MATCH(H962,GL!$A:$A,0),0))</f>
        <v>0</v>
      </c>
      <c r="J962" s="32" t="str">
        <f aca="false">IF(I962=0,"",INDEX(GL!$B:$B,I962))</f>
        <v/>
      </c>
      <c r="K962" s="5" t="str">
        <f aca="false">IF(I962=0,"",IF(INDEX(GL!$C:$C,I962)="","",INDEX(GL!$C:$C,I962)))</f>
        <v/>
      </c>
      <c r="L962" s="19" t="str">
        <f aca="false">IF(I962=0,"",INDEX(GL!$E:$E,I962))</f>
        <v/>
      </c>
      <c r="M962" s="19" t="str">
        <f aca="false">IF(OR(B962=0,I962=0),"",ROUND(G962-L962,2))</f>
        <v/>
      </c>
      <c r="N962" s="5" t="str">
        <f aca="false">IF(A962="","",IF(B962=0,"NOT FOUND: bank ID",IF(I962=0,"NOT FOUND: GL ID",IF(INDEX(GL!$H:$H,I962)&lt;&gt;A962,"BROKEN: GL points elsewhere",IF(OR(INDEX(Bank!$F:$F,B962)&lt;&gt;"Y",INDEX(GL!$F:$F,I962)&lt;&gt;"Y"),"BROKEN: Status not Y","OK")))))</f>
        <v/>
      </c>
    </row>
    <row r="963" customFormat="false" ht="15" hidden="false" customHeight="false" outlineLevel="0" collapsed="false">
      <c r="A963" s="41"/>
      <c r="B963" s="5" t="n">
        <f aca="false">IF(A963="",0,IFERROR(MATCH(A963,Bank!$A:$A,0),0))</f>
        <v>0</v>
      </c>
      <c r="C963" s="5" t="str">
        <f aca="false">IF(B963=0,"",IF(INDEX(Bank!$G:$G,B963)="","",INDEX(Bank!$G:$G,B963)))</f>
        <v/>
      </c>
      <c r="D963" s="5" t="str">
        <f aca="false">IF(B963=0,"",IF(INDEX(Bank!$J:$J,B963)="","",INDEX(Bank!$J:$J,B963)))</f>
        <v/>
      </c>
      <c r="E963" s="32" t="str">
        <f aca="false">IF(B963=0,"",INDEX(Bank!$B:$B,B963))</f>
        <v/>
      </c>
      <c r="F963" s="5" t="str">
        <f aca="false">IF(B963=0,"",IF(INDEX(Bank!$C:$C,B963)="","",INDEX(Bank!$C:$C,B963)))</f>
        <v/>
      </c>
      <c r="G963" s="19" t="str">
        <f aca="false">IF(B963=0,"",INDEX(Bank!$E:$E,B963))</f>
        <v/>
      </c>
      <c r="H963" s="5" t="str">
        <f aca="false">IF(B963=0,"",IF(INDEX(Bank!$H:$H,B963)="","",INDEX(Bank!$H:$H,B963)))</f>
        <v/>
      </c>
      <c r="I963" s="5" t="n">
        <f aca="false">IF(H963="",0,IFERROR(MATCH(H963,GL!$A:$A,0),0))</f>
        <v>0</v>
      </c>
      <c r="J963" s="32" t="str">
        <f aca="false">IF(I963=0,"",INDEX(GL!$B:$B,I963))</f>
        <v/>
      </c>
      <c r="K963" s="5" t="str">
        <f aca="false">IF(I963=0,"",IF(INDEX(GL!$C:$C,I963)="","",INDEX(GL!$C:$C,I963)))</f>
        <v/>
      </c>
      <c r="L963" s="19" t="str">
        <f aca="false">IF(I963=0,"",INDEX(GL!$E:$E,I963))</f>
        <v/>
      </c>
      <c r="M963" s="19" t="str">
        <f aca="false">IF(OR(B963=0,I963=0),"",ROUND(G963-L963,2))</f>
        <v/>
      </c>
      <c r="N963" s="5" t="str">
        <f aca="false">IF(A963="","",IF(B963=0,"NOT FOUND: bank ID",IF(I963=0,"NOT FOUND: GL ID",IF(INDEX(GL!$H:$H,I963)&lt;&gt;A963,"BROKEN: GL points elsewhere",IF(OR(INDEX(Bank!$F:$F,B963)&lt;&gt;"Y",INDEX(GL!$F:$F,I963)&lt;&gt;"Y"),"BROKEN: Status not Y","OK")))))</f>
        <v/>
      </c>
    </row>
    <row r="964" customFormat="false" ht="15" hidden="false" customHeight="false" outlineLevel="0" collapsed="false">
      <c r="A964" s="41"/>
      <c r="B964" s="5" t="n">
        <f aca="false">IF(A964="",0,IFERROR(MATCH(A964,Bank!$A:$A,0),0))</f>
        <v>0</v>
      </c>
      <c r="C964" s="5" t="str">
        <f aca="false">IF(B964=0,"",IF(INDEX(Bank!$G:$G,B964)="","",INDEX(Bank!$G:$G,B964)))</f>
        <v/>
      </c>
      <c r="D964" s="5" t="str">
        <f aca="false">IF(B964=0,"",IF(INDEX(Bank!$J:$J,B964)="","",INDEX(Bank!$J:$J,B964)))</f>
        <v/>
      </c>
      <c r="E964" s="32" t="str">
        <f aca="false">IF(B964=0,"",INDEX(Bank!$B:$B,B964))</f>
        <v/>
      </c>
      <c r="F964" s="5" t="str">
        <f aca="false">IF(B964=0,"",IF(INDEX(Bank!$C:$C,B964)="","",INDEX(Bank!$C:$C,B964)))</f>
        <v/>
      </c>
      <c r="G964" s="19" t="str">
        <f aca="false">IF(B964=0,"",INDEX(Bank!$E:$E,B964))</f>
        <v/>
      </c>
      <c r="H964" s="5" t="str">
        <f aca="false">IF(B964=0,"",IF(INDEX(Bank!$H:$H,B964)="","",INDEX(Bank!$H:$H,B964)))</f>
        <v/>
      </c>
      <c r="I964" s="5" t="n">
        <f aca="false">IF(H964="",0,IFERROR(MATCH(H964,GL!$A:$A,0),0))</f>
        <v>0</v>
      </c>
      <c r="J964" s="32" t="str">
        <f aca="false">IF(I964=0,"",INDEX(GL!$B:$B,I964))</f>
        <v/>
      </c>
      <c r="K964" s="5" t="str">
        <f aca="false">IF(I964=0,"",IF(INDEX(GL!$C:$C,I964)="","",INDEX(GL!$C:$C,I964)))</f>
        <v/>
      </c>
      <c r="L964" s="19" t="str">
        <f aca="false">IF(I964=0,"",INDEX(GL!$E:$E,I964))</f>
        <v/>
      </c>
      <c r="M964" s="19" t="str">
        <f aca="false">IF(OR(B964=0,I964=0),"",ROUND(G964-L964,2))</f>
        <v/>
      </c>
      <c r="N964" s="5" t="str">
        <f aca="false">IF(A964="","",IF(B964=0,"NOT FOUND: bank ID",IF(I964=0,"NOT FOUND: GL ID",IF(INDEX(GL!$H:$H,I964)&lt;&gt;A964,"BROKEN: GL points elsewhere",IF(OR(INDEX(Bank!$F:$F,B964)&lt;&gt;"Y",INDEX(GL!$F:$F,I964)&lt;&gt;"Y"),"BROKEN: Status not Y","OK")))))</f>
        <v/>
      </c>
    </row>
    <row r="965" customFormat="false" ht="15" hidden="false" customHeight="false" outlineLevel="0" collapsed="false">
      <c r="A965" s="41"/>
      <c r="B965" s="5" t="n">
        <f aca="false">IF(A965="",0,IFERROR(MATCH(A965,Bank!$A:$A,0),0))</f>
        <v>0</v>
      </c>
      <c r="C965" s="5" t="str">
        <f aca="false">IF(B965=0,"",IF(INDEX(Bank!$G:$G,B965)="","",INDEX(Bank!$G:$G,B965)))</f>
        <v/>
      </c>
      <c r="D965" s="5" t="str">
        <f aca="false">IF(B965=0,"",IF(INDEX(Bank!$J:$J,B965)="","",INDEX(Bank!$J:$J,B965)))</f>
        <v/>
      </c>
      <c r="E965" s="32" t="str">
        <f aca="false">IF(B965=0,"",INDEX(Bank!$B:$B,B965))</f>
        <v/>
      </c>
      <c r="F965" s="5" t="str">
        <f aca="false">IF(B965=0,"",IF(INDEX(Bank!$C:$C,B965)="","",INDEX(Bank!$C:$C,B965)))</f>
        <v/>
      </c>
      <c r="G965" s="19" t="str">
        <f aca="false">IF(B965=0,"",INDEX(Bank!$E:$E,B965))</f>
        <v/>
      </c>
      <c r="H965" s="5" t="str">
        <f aca="false">IF(B965=0,"",IF(INDEX(Bank!$H:$H,B965)="","",INDEX(Bank!$H:$H,B965)))</f>
        <v/>
      </c>
      <c r="I965" s="5" t="n">
        <f aca="false">IF(H965="",0,IFERROR(MATCH(H965,GL!$A:$A,0),0))</f>
        <v>0</v>
      </c>
      <c r="J965" s="32" t="str">
        <f aca="false">IF(I965=0,"",INDEX(GL!$B:$B,I965))</f>
        <v/>
      </c>
      <c r="K965" s="5" t="str">
        <f aca="false">IF(I965=0,"",IF(INDEX(GL!$C:$C,I965)="","",INDEX(GL!$C:$C,I965)))</f>
        <v/>
      </c>
      <c r="L965" s="19" t="str">
        <f aca="false">IF(I965=0,"",INDEX(GL!$E:$E,I965))</f>
        <v/>
      </c>
      <c r="M965" s="19" t="str">
        <f aca="false">IF(OR(B965=0,I965=0),"",ROUND(G965-L965,2))</f>
        <v/>
      </c>
      <c r="N965" s="5" t="str">
        <f aca="false">IF(A965="","",IF(B965=0,"NOT FOUND: bank ID",IF(I965=0,"NOT FOUND: GL ID",IF(INDEX(GL!$H:$H,I965)&lt;&gt;A965,"BROKEN: GL points elsewhere",IF(OR(INDEX(Bank!$F:$F,B965)&lt;&gt;"Y",INDEX(GL!$F:$F,I965)&lt;&gt;"Y"),"BROKEN: Status not Y","OK")))))</f>
        <v/>
      </c>
    </row>
    <row r="966" customFormat="false" ht="15" hidden="false" customHeight="false" outlineLevel="0" collapsed="false">
      <c r="A966" s="41"/>
      <c r="B966" s="5" t="n">
        <f aca="false">IF(A966="",0,IFERROR(MATCH(A966,Bank!$A:$A,0),0))</f>
        <v>0</v>
      </c>
      <c r="C966" s="5" t="str">
        <f aca="false">IF(B966=0,"",IF(INDEX(Bank!$G:$G,B966)="","",INDEX(Bank!$G:$G,B966)))</f>
        <v/>
      </c>
      <c r="D966" s="5" t="str">
        <f aca="false">IF(B966=0,"",IF(INDEX(Bank!$J:$J,B966)="","",INDEX(Bank!$J:$J,B966)))</f>
        <v/>
      </c>
      <c r="E966" s="32" t="str">
        <f aca="false">IF(B966=0,"",INDEX(Bank!$B:$B,B966))</f>
        <v/>
      </c>
      <c r="F966" s="5" t="str">
        <f aca="false">IF(B966=0,"",IF(INDEX(Bank!$C:$C,B966)="","",INDEX(Bank!$C:$C,B966)))</f>
        <v/>
      </c>
      <c r="G966" s="19" t="str">
        <f aca="false">IF(B966=0,"",INDEX(Bank!$E:$E,B966))</f>
        <v/>
      </c>
      <c r="H966" s="5" t="str">
        <f aca="false">IF(B966=0,"",IF(INDEX(Bank!$H:$H,B966)="","",INDEX(Bank!$H:$H,B966)))</f>
        <v/>
      </c>
      <c r="I966" s="5" t="n">
        <f aca="false">IF(H966="",0,IFERROR(MATCH(H966,GL!$A:$A,0),0))</f>
        <v>0</v>
      </c>
      <c r="J966" s="32" t="str">
        <f aca="false">IF(I966=0,"",INDEX(GL!$B:$B,I966))</f>
        <v/>
      </c>
      <c r="K966" s="5" t="str">
        <f aca="false">IF(I966=0,"",IF(INDEX(GL!$C:$C,I966)="","",INDEX(GL!$C:$C,I966)))</f>
        <v/>
      </c>
      <c r="L966" s="19" t="str">
        <f aca="false">IF(I966=0,"",INDEX(GL!$E:$E,I966))</f>
        <v/>
      </c>
      <c r="M966" s="19" t="str">
        <f aca="false">IF(OR(B966=0,I966=0),"",ROUND(G966-L966,2))</f>
        <v/>
      </c>
      <c r="N966" s="5" t="str">
        <f aca="false">IF(A966="","",IF(B966=0,"NOT FOUND: bank ID",IF(I966=0,"NOT FOUND: GL ID",IF(INDEX(GL!$H:$H,I966)&lt;&gt;A966,"BROKEN: GL points elsewhere",IF(OR(INDEX(Bank!$F:$F,B966)&lt;&gt;"Y",INDEX(GL!$F:$F,I966)&lt;&gt;"Y"),"BROKEN: Status not Y","OK")))))</f>
        <v/>
      </c>
    </row>
    <row r="967" customFormat="false" ht="15" hidden="false" customHeight="false" outlineLevel="0" collapsed="false">
      <c r="A967" s="41"/>
      <c r="B967" s="5" t="n">
        <f aca="false">IF(A967="",0,IFERROR(MATCH(A967,Bank!$A:$A,0),0))</f>
        <v>0</v>
      </c>
      <c r="C967" s="5" t="str">
        <f aca="false">IF(B967=0,"",IF(INDEX(Bank!$G:$G,B967)="","",INDEX(Bank!$G:$G,B967)))</f>
        <v/>
      </c>
      <c r="D967" s="5" t="str">
        <f aca="false">IF(B967=0,"",IF(INDEX(Bank!$J:$J,B967)="","",INDEX(Bank!$J:$J,B967)))</f>
        <v/>
      </c>
      <c r="E967" s="32" t="str">
        <f aca="false">IF(B967=0,"",INDEX(Bank!$B:$B,B967))</f>
        <v/>
      </c>
      <c r="F967" s="5" t="str">
        <f aca="false">IF(B967=0,"",IF(INDEX(Bank!$C:$C,B967)="","",INDEX(Bank!$C:$C,B967)))</f>
        <v/>
      </c>
      <c r="G967" s="19" t="str">
        <f aca="false">IF(B967=0,"",INDEX(Bank!$E:$E,B967))</f>
        <v/>
      </c>
      <c r="H967" s="5" t="str">
        <f aca="false">IF(B967=0,"",IF(INDEX(Bank!$H:$H,B967)="","",INDEX(Bank!$H:$H,B967)))</f>
        <v/>
      </c>
      <c r="I967" s="5" t="n">
        <f aca="false">IF(H967="",0,IFERROR(MATCH(H967,GL!$A:$A,0),0))</f>
        <v>0</v>
      </c>
      <c r="J967" s="32" t="str">
        <f aca="false">IF(I967=0,"",INDEX(GL!$B:$B,I967))</f>
        <v/>
      </c>
      <c r="K967" s="5" t="str">
        <f aca="false">IF(I967=0,"",IF(INDEX(GL!$C:$C,I967)="","",INDEX(GL!$C:$C,I967)))</f>
        <v/>
      </c>
      <c r="L967" s="19" t="str">
        <f aca="false">IF(I967=0,"",INDEX(GL!$E:$E,I967))</f>
        <v/>
      </c>
      <c r="M967" s="19" t="str">
        <f aca="false">IF(OR(B967=0,I967=0),"",ROUND(G967-L967,2))</f>
        <v/>
      </c>
      <c r="N967" s="5" t="str">
        <f aca="false">IF(A967="","",IF(B967=0,"NOT FOUND: bank ID",IF(I967=0,"NOT FOUND: GL ID",IF(INDEX(GL!$H:$H,I967)&lt;&gt;A967,"BROKEN: GL points elsewhere",IF(OR(INDEX(Bank!$F:$F,B967)&lt;&gt;"Y",INDEX(GL!$F:$F,I967)&lt;&gt;"Y"),"BROKEN: Status not Y","OK")))))</f>
        <v/>
      </c>
    </row>
    <row r="968" customFormat="false" ht="15" hidden="false" customHeight="false" outlineLevel="0" collapsed="false">
      <c r="A968" s="41"/>
      <c r="B968" s="5" t="n">
        <f aca="false">IF(A968="",0,IFERROR(MATCH(A968,Bank!$A:$A,0),0))</f>
        <v>0</v>
      </c>
      <c r="C968" s="5" t="str">
        <f aca="false">IF(B968=0,"",IF(INDEX(Bank!$G:$G,B968)="","",INDEX(Bank!$G:$G,B968)))</f>
        <v/>
      </c>
      <c r="D968" s="5" t="str">
        <f aca="false">IF(B968=0,"",IF(INDEX(Bank!$J:$J,B968)="","",INDEX(Bank!$J:$J,B968)))</f>
        <v/>
      </c>
      <c r="E968" s="32" t="str">
        <f aca="false">IF(B968=0,"",INDEX(Bank!$B:$B,B968))</f>
        <v/>
      </c>
      <c r="F968" s="5" t="str">
        <f aca="false">IF(B968=0,"",IF(INDEX(Bank!$C:$C,B968)="","",INDEX(Bank!$C:$C,B968)))</f>
        <v/>
      </c>
      <c r="G968" s="19" t="str">
        <f aca="false">IF(B968=0,"",INDEX(Bank!$E:$E,B968))</f>
        <v/>
      </c>
      <c r="H968" s="5" t="str">
        <f aca="false">IF(B968=0,"",IF(INDEX(Bank!$H:$H,B968)="","",INDEX(Bank!$H:$H,B968)))</f>
        <v/>
      </c>
      <c r="I968" s="5" t="n">
        <f aca="false">IF(H968="",0,IFERROR(MATCH(H968,GL!$A:$A,0),0))</f>
        <v>0</v>
      </c>
      <c r="J968" s="32" t="str">
        <f aca="false">IF(I968=0,"",INDEX(GL!$B:$B,I968))</f>
        <v/>
      </c>
      <c r="K968" s="5" t="str">
        <f aca="false">IF(I968=0,"",IF(INDEX(GL!$C:$C,I968)="","",INDEX(GL!$C:$C,I968)))</f>
        <v/>
      </c>
      <c r="L968" s="19" t="str">
        <f aca="false">IF(I968=0,"",INDEX(GL!$E:$E,I968))</f>
        <v/>
      </c>
      <c r="M968" s="19" t="str">
        <f aca="false">IF(OR(B968=0,I968=0),"",ROUND(G968-L968,2))</f>
        <v/>
      </c>
      <c r="N968" s="5" t="str">
        <f aca="false">IF(A968="","",IF(B968=0,"NOT FOUND: bank ID",IF(I968=0,"NOT FOUND: GL ID",IF(INDEX(GL!$H:$H,I968)&lt;&gt;A968,"BROKEN: GL points elsewhere",IF(OR(INDEX(Bank!$F:$F,B968)&lt;&gt;"Y",INDEX(GL!$F:$F,I968)&lt;&gt;"Y"),"BROKEN: Status not Y","OK")))))</f>
        <v/>
      </c>
    </row>
    <row r="969" customFormat="false" ht="15" hidden="false" customHeight="false" outlineLevel="0" collapsed="false">
      <c r="A969" s="41"/>
      <c r="B969" s="5" t="n">
        <f aca="false">IF(A969="",0,IFERROR(MATCH(A969,Bank!$A:$A,0),0))</f>
        <v>0</v>
      </c>
      <c r="C969" s="5" t="str">
        <f aca="false">IF(B969=0,"",IF(INDEX(Bank!$G:$G,B969)="","",INDEX(Bank!$G:$G,B969)))</f>
        <v/>
      </c>
      <c r="D969" s="5" t="str">
        <f aca="false">IF(B969=0,"",IF(INDEX(Bank!$J:$J,B969)="","",INDEX(Bank!$J:$J,B969)))</f>
        <v/>
      </c>
      <c r="E969" s="32" t="str">
        <f aca="false">IF(B969=0,"",INDEX(Bank!$B:$B,B969))</f>
        <v/>
      </c>
      <c r="F969" s="5" t="str">
        <f aca="false">IF(B969=0,"",IF(INDEX(Bank!$C:$C,B969)="","",INDEX(Bank!$C:$C,B969)))</f>
        <v/>
      </c>
      <c r="G969" s="19" t="str">
        <f aca="false">IF(B969=0,"",INDEX(Bank!$E:$E,B969))</f>
        <v/>
      </c>
      <c r="H969" s="5" t="str">
        <f aca="false">IF(B969=0,"",IF(INDEX(Bank!$H:$H,B969)="","",INDEX(Bank!$H:$H,B969)))</f>
        <v/>
      </c>
      <c r="I969" s="5" t="n">
        <f aca="false">IF(H969="",0,IFERROR(MATCH(H969,GL!$A:$A,0),0))</f>
        <v>0</v>
      </c>
      <c r="J969" s="32" t="str">
        <f aca="false">IF(I969=0,"",INDEX(GL!$B:$B,I969))</f>
        <v/>
      </c>
      <c r="K969" s="5" t="str">
        <f aca="false">IF(I969=0,"",IF(INDEX(GL!$C:$C,I969)="","",INDEX(GL!$C:$C,I969)))</f>
        <v/>
      </c>
      <c r="L969" s="19" t="str">
        <f aca="false">IF(I969=0,"",INDEX(GL!$E:$E,I969))</f>
        <v/>
      </c>
      <c r="M969" s="19" t="str">
        <f aca="false">IF(OR(B969=0,I969=0),"",ROUND(G969-L969,2))</f>
        <v/>
      </c>
      <c r="N969" s="5" t="str">
        <f aca="false">IF(A969="","",IF(B969=0,"NOT FOUND: bank ID",IF(I969=0,"NOT FOUND: GL ID",IF(INDEX(GL!$H:$H,I969)&lt;&gt;A969,"BROKEN: GL points elsewhere",IF(OR(INDEX(Bank!$F:$F,B969)&lt;&gt;"Y",INDEX(GL!$F:$F,I969)&lt;&gt;"Y"),"BROKEN: Status not Y","OK")))))</f>
        <v/>
      </c>
    </row>
    <row r="970" customFormat="false" ht="15" hidden="false" customHeight="false" outlineLevel="0" collapsed="false">
      <c r="A970" s="41"/>
      <c r="B970" s="5" t="n">
        <f aca="false">IF(A970="",0,IFERROR(MATCH(A970,Bank!$A:$A,0),0))</f>
        <v>0</v>
      </c>
      <c r="C970" s="5" t="str">
        <f aca="false">IF(B970=0,"",IF(INDEX(Bank!$G:$G,B970)="","",INDEX(Bank!$G:$G,B970)))</f>
        <v/>
      </c>
      <c r="D970" s="5" t="str">
        <f aca="false">IF(B970=0,"",IF(INDEX(Bank!$J:$J,B970)="","",INDEX(Bank!$J:$J,B970)))</f>
        <v/>
      </c>
      <c r="E970" s="32" t="str">
        <f aca="false">IF(B970=0,"",INDEX(Bank!$B:$B,B970))</f>
        <v/>
      </c>
      <c r="F970" s="5" t="str">
        <f aca="false">IF(B970=0,"",IF(INDEX(Bank!$C:$C,B970)="","",INDEX(Bank!$C:$C,B970)))</f>
        <v/>
      </c>
      <c r="G970" s="19" t="str">
        <f aca="false">IF(B970=0,"",INDEX(Bank!$E:$E,B970))</f>
        <v/>
      </c>
      <c r="H970" s="5" t="str">
        <f aca="false">IF(B970=0,"",IF(INDEX(Bank!$H:$H,B970)="","",INDEX(Bank!$H:$H,B970)))</f>
        <v/>
      </c>
      <c r="I970" s="5" t="n">
        <f aca="false">IF(H970="",0,IFERROR(MATCH(H970,GL!$A:$A,0),0))</f>
        <v>0</v>
      </c>
      <c r="J970" s="32" t="str">
        <f aca="false">IF(I970=0,"",INDEX(GL!$B:$B,I970))</f>
        <v/>
      </c>
      <c r="K970" s="5" t="str">
        <f aca="false">IF(I970=0,"",IF(INDEX(GL!$C:$C,I970)="","",INDEX(GL!$C:$C,I970)))</f>
        <v/>
      </c>
      <c r="L970" s="19" t="str">
        <f aca="false">IF(I970=0,"",INDEX(GL!$E:$E,I970))</f>
        <v/>
      </c>
      <c r="M970" s="19" t="str">
        <f aca="false">IF(OR(B970=0,I970=0),"",ROUND(G970-L970,2))</f>
        <v/>
      </c>
      <c r="N970" s="5" t="str">
        <f aca="false">IF(A970="","",IF(B970=0,"NOT FOUND: bank ID",IF(I970=0,"NOT FOUND: GL ID",IF(INDEX(GL!$H:$H,I970)&lt;&gt;A970,"BROKEN: GL points elsewhere",IF(OR(INDEX(Bank!$F:$F,B970)&lt;&gt;"Y",INDEX(GL!$F:$F,I970)&lt;&gt;"Y"),"BROKEN: Status not Y","OK")))))</f>
        <v/>
      </c>
    </row>
    <row r="971" customFormat="false" ht="15" hidden="false" customHeight="false" outlineLevel="0" collapsed="false">
      <c r="A971" s="41"/>
      <c r="B971" s="5" t="n">
        <f aca="false">IF(A971="",0,IFERROR(MATCH(A971,Bank!$A:$A,0),0))</f>
        <v>0</v>
      </c>
      <c r="C971" s="5" t="str">
        <f aca="false">IF(B971=0,"",IF(INDEX(Bank!$G:$G,B971)="","",INDEX(Bank!$G:$G,B971)))</f>
        <v/>
      </c>
      <c r="D971" s="5" t="str">
        <f aca="false">IF(B971=0,"",IF(INDEX(Bank!$J:$J,B971)="","",INDEX(Bank!$J:$J,B971)))</f>
        <v/>
      </c>
      <c r="E971" s="32" t="str">
        <f aca="false">IF(B971=0,"",INDEX(Bank!$B:$B,B971))</f>
        <v/>
      </c>
      <c r="F971" s="5" t="str">
        <f aca="false">IF(B971=0,"",IF(INDEX(Bank!$C:$C,B971)="","",INDEX(Bank!$C:$C,B971)))</f>
        <v/>
      </c>
      <c r="G971" s="19" t="str">
        <f aca="false">IF(B971=0,"",INDEX(Bank!$E:$E,B971))</f>
        <v/>
      </c>
      <c r="H971" s="5" t="str">
        <f aca="false">IF(B971=0,"",IF(INDEX(Bank!$H:$H,B971)="","",INDEX(Bank!$H:$H,B971)))</f>
        <v/>
      </c>
      <c r="I971" s="5" t="n">
        <f aca="false">IF(H971="",0,IFERROR(MATCH(H971,GL!$A:$A,0),0))</f>
        <v>0</v>
      </c>
      <c r="J971" s="32" t="str">
        <f aca="false">IF(I971=0,"",INDEX(GL!$B:$B,I971))</f>
        <v/>
      </c>
      <c r="K971" s="5" t="str">
        <f aca="false">IF(I971=0,"",IF(INDEX(GL!$C:$C,I971)="","",INDEX(GL!$C:$C,I971)))</f>
        <v/>
      </c>
      <c r="L971" s="19" t="str">
        <f aca="false">IF(I971=0,"",INDEX(GL!$E:$E,I971))</f>
        <v/>
      </c>
      <c r="M971" s="19" t="str">
        <f aca="false">IF(OR(B971=0,I971=0),"",ROUND(G971-L971,2))</f>
        <v/>
      </c>
      <c r="N971" s="5" t="str">
        <f aca="false">IF(A971="","",IF(B971=0,"NOT FOUND: bank ID",IF(I971=0,"NOT FOUND: GL ID",IF(INDEX(GL!$H:$H,I971)&lt;&gt;A971,"BROKEN: GL points elsewhere",IF(OR(INDEX(Bank!$F:$F,B971)&lt;&gt;"Y",INDEX(GL!$F:$F,I971)&lt;&gt;"Y"),"BROKEN: Status not Y","OK")))))</f>
        <v/>
      </c>
    </row>
    <row r="972" customFormat="false" ht="15" hidden="false" customHeight="false" outlineLevel="0" collapsed="false">
      <c r="A972" s="41"/>
      <c r="B972" s="5" t="n">
        <f aca="false">IF(A972="",0,IFERROR(MATCH(A972,Bank!$A:$A,0),0))</f>
        <v>0</v>
      </c>
      <c r="C972" s="5" t="str">
        <f aca="false">IF(B972=0,"",IF(INDEX(Bank!$G:$G,B972)="","",INDEX(Bank!$G:$G,B972)))</f>
        <v/>
      </c>
      <c r="D972" s="5" t="str">
        <f aca="false">IF(B972=0,"",IF(INDEX(Bank!$J:$J,B972)="","",INDEX(Bank!$J:$J,B972)))</f>
        <v/>
      </c>
      <c r="E972" s="32" t="str">
        <f aca="false">IF(B972=0,"",INDEX(Bank!$B:$B,B972))</f>
        <v/>
      </c>
      <c r="F972" s="5" t="str">
        <f aca="false">IF(B972=0,"",IF(INDEX(Bank!$C:$C,B972)="","",INDEX(Bank!$C:$C,B972)))</f>
        <v/>
      </c>
      <c r="G972" s="19" t="str">
        <f aca="false">IF(B972=0,"",INDEX(Bank!$E:$E,B972))</f>
        <v/>
      </c>
      <c r="H972" s="5" t="str">
        <f aca="false">IF(B972=0,"",IF(INDEX(Bank!$H:$H,B972)="","",INDEX(Bank!$H:$H,B972)))</f>
        <v/>
      </c>
      <c r="I972" s="5" t="n">
        <f aca="false">IF(H972="",0,IFERROR(MATCH(H972,GL!$A:$A,0),0))</f>
        <v>0</v>
      </c>
      <c r="J972" s="32" t="str">
        <f aca="false">IF(I972=0,"",INDEX(GL!$B:$B,I972))</f>
        <v/>
      </c>
      <c r="K972" s="5" t="str">
        <f aca="false">IF(I972=0,"",IF(INDEX(GL!$C:$C,I972)="","",INDEX(GL!$C:$C,I972)))</f>
        <v/>
      </c>
      <c r="L972" s="19" t="str">
        <f aca="false">IF(I972=0,"",INDEX(GL!$E:$E,I972))</f>
        <v/>
      </c>
      <c r="M972" s="19" t="str">
        <f aca="false">IF(OR(B972=0,I972=0),"",ROUND(G972-L972,2))</f>
        <v/>
      </c>
      <c r="N972" s="5" t="str">
        <f aca="false">IF(A972="","",IF(B972=0,"NOT FOUND: bank ID",IF(I972=0,"NOT FOUND: GL ID",IF(INDEX(GL!$H:$H,I972)&lt;&gt;A972,"BROKEN: GL points elsewhere",IF(OR(INDEX(Bank!$F:$F,B972)&lt;&gt;"Y",INDEX(GL!$F:$F,I972)&lt;&gt;"Y"),"BROKEN: Status not Y","OK")))))</f>
        <v/>
      </c>
    </row>
    <row r="973" customFormat="false" ht="15" hidden="false" customHeight="false" outlineLevel="0" collapsed="false">
      <c r="A973" s="41"/>
      <c r="B973" s="5" t="n">
        <f aca="false">IF(A973="",0,IFERROR(MATCH(A973,Bank!$A:$A,0),0))</f>
        <v>0</v>
      </c>
      <c r="C973" s="5" t="str">
        <f aca="false">IF(B973=0,"",IF(INDEX(Bank!$G:$G,B973)="","",INDEX(Bank!$G:$G,B973)))</f>
        <v/>
      </c>
      <c r="D973" s="5" t="str">
        <f aca="false">IF(B973=0,"",IF(INDEX(Bank!$J:$J,B973)="","",INDEX(Bank!$J:$J,B973)))</f>
        <v/>
      </c>
      <c r="E973" s="32" t="str">
        <f aca="false">IF(B973=0,"",INDEX(Bank!$B:$B,B973))</f>
        <v/>
      </c>
      <c r="F973" s="5" t="str">
        <f aca="false">IF(B973=0,"",IF(INDEX(Bank!$C:$C,B973)="","",INDEX(Bank!$C:$C,B973)))</f>
        <v/>
      </c>
      <c r="G973" s="19" t="str">
        <f aca="false">IF(B973=0,"",INDEX(Bank!$E:$E,B973))</f>
        <v/>
      </c>
      <c r="H973" s="5" t="str">
        <f aca="false">IF(B973=0,"",IF(INDEX(Bank!$H:$H,B973)="","",INDEX(Bank!$H:$H,B973)))</f>
        <v/>
      </c>
      <c r="I973" s="5" t="n">
        <f aca="false">IF(H973="",0,IFERROR(MATCH(H973,GL!$A:$A,0),0))</f>
        <v>0</v>
      </c>
      <c r="J973" s="32" t="str">
        <f aca="false">IF(I973=0,"",INDEX(GL!$B:$B,I973))</f>
        <v/>
      </c>
      <c r="K973" s="5" t="str">
        <f aca="false">IF(I973=0,"",IF(INDEX(GL!$C:$C,I973)="","",INDEX(GL!$C:$C,I973)))</f>
        <v/>
      </c>
      <c r="L973" s="19" t="str">
        <f aca="false">IF(I973=0,"",INDEX(GL!$E:$E,I973))</f>
        <v/>
      </c>
      <c r="M973" s="19" t="str">
        <f aca="false">IF(OR(B973=0,I973=0),"",ROUND(G973-L973,2))</f>
        <v/>
      </c>
      <c r="N973" s="5" t="str">
        <f aca="false">IF(A973="","",IF(B973=0,"NOT FOUND: bank ID",IF(I973=0,"NOT FOUND: GL ID",IF(INDEX(GL!$H:$H,I973)&lt;&gt;A973,"BROKEN: GL points elsewhere",IF(OR(INDEX(Bank!$F:$F,B973)&lt;&gt;"Y",INDEX(GL!$F:$F,I973)&lt;&gt;"Y"),"BROKEN: Status not Y","OK")))))</f>
        <v/>
      </c>
    </row>
    <row r="974" customFormat="false" ht="15" hidden="false" customHeight="false" outlineLevel="0" collapsed="false">
      <c r="A974" s="41"/>
      <c r="B974" s="5" t="n">
        <f aca="false">IF(A974="",0,IFERROR(MATCH(A974,Bank!$A:$A,0),0))</f>
        <v>0</v>
      </c>
      <c r="C974" s="5" t="str">
        <f aca="false">IF(B974=0,"",IF(INDEX(Bank!$G:$G,B974)="","",INDEX(Bank!$G:$G,B974)))</f>
        <v/>
      </c>
      <c r="D974" s="5" t="str">
        <f aca="false">IF(B974=0,"",IF(INDEX(Bank!$J:$J,B974)="","",INDEX(Bank!$J:$J,B974)))</f>
        <v/>
      </c>
      <c r="E974" s="32" t="str">
        <f aca="false">IF(B974=0,"",INDEX(Bank!$B:$B,B974))</f>
        <v/>
      </c>
      <c r="F974" s="5" t="str">
        <f aca="false">IF(B974=0,"",IF(INDEX(Bank!$C:$C,B974)="","",INDEX(Bank!$C:$C,B974)))</f>
        <v/>
      </c>
      <c r="G974" s="19" t="str">
        <f aca="false">IF(B974=0,"",INDEX(Bank!$E:$E,B974))</f>
        <v/>
      </c>
      <c r="H974" s="5" t="str">
        <f aca="false">IF(B974=0,"",IF(INDEX(Bank!$H:$H,B974)="","",INDEX(Bank!$H:$H,B974)))</f>
        <v/>
      </c>
      <c r="I974" s="5" t="n">
        <f aca="false">IF(H974="",0,IFERROR(MATCH(H974,GL!$A:$A,0),0))</f>
        <v>0</v>
      </c>
      <c r="J974" s="32" t="str">
        <f aca="false">IF(I974=0,"",INDEX(GL!$B:$B,I974))</f>
        <v/>
      </c>
      <c r="K974" s="5" t="str">
        <f aca="false">IF(I974=0,"",IF(INDEX(GL!$C:$C,I974)="","",INDEX(GL!$C:$C,I974)))</f>
        <v/>
      </c>
      <c r="L974" s="19" t="str">
        <f aca="false">IF(I974=0,"",INDEX(GL!$E:$E,I974))</f>
        <v/>
      </c>
      <c r="M974" s="19" t="str">
        <f aca="false">IF(OR(B974=0,I974=0),"",ROUND(G974-L974,2))</f>
        <v/>
      </c>
      <c r="N974" s="5" t="str">
        <f aca="false">IF(A974="","",IF(B974=0,"NOT FOUND: bank ID",IF(I974=0,"NOT FOUND: GL ID",IF(INDEX(GL!$H:$H,I974)&lt;&gt;A974,"BROKEN: GL points elsewhere",IF(OR(INDEX(Bank!$F:$F,B974)&lt;&gt;"Y",INDEX(GL!$F:$F,I974)&lt;&gt;"Y"),"BROKEN: Status not Y","OK")))))</f>
        <v/>
      </c>
    </row>
    <row r="975" customFormat="false" ht="15" hidden="false" customHeight="false" outlineLevel="0" collapsed="false">
      <c r="A975" s="41"/>
      <c r="B975" s="5" t="n">
        <f aca="false">IF(A975="",0,IFERROR(MATCH(A975,Bank!$A:$A,0),0))</f>
        <v>0</v>
      </c>
      <c r="C975" s="5" t="str">
        <f aca="false">IF(B975=0,"",IF(INDEX(Bank!$G:$G,B975)="","",INDEX(Bank!$G:$G,B975)))</f>
        <v/>
      </c>
      <c r="D975" s="5" t="str">
        <f aca="false">IF(B975=0,"",IF(INDEX(Bank!$J:$J,B975)="","",INDEX(Bank!$J:$J,B975)))</f>
        <v/>
      </c>
      <c r="E975" s="32" t="str">
        <f aca="false">IF(B975=0,"",INDEX(Bank!$B:$B,B975))</f>
        <v/>
      </c>
      <c r="F975" s="5" t="str">
        <f aca="false">IF(B975=0,"",IF(INDEX(Bank!$C:$C,B975)="","",INDEX(Bank!$C:$C,B975)))</f>
        <v/>
      </c>
      <c r="G975" s="19" t="str">
        <f aca="false">IF(B975=0,"",INDEX(Bank!$E:$E,B975))</f>
        <v/>
      </c>
      <c r="H975" s="5" t="str">
        <f aca="false">IF(B975=0,"",IF(INDEX(Bank!$H:$H,B975)="","",INDEX(Bank!$H:$H,B975)))</f>
        <v/>
      </c>
      <c r="I975" s="5" t="n">
        <f aca="false">IF(H975="",0,IFERROR(MATCH(H975,GL!$A:$A,0),0))</f>
        <v>0</v>
      </c>
      <c r="J975" s="32" t="str">
        <f aca="false">IF(I975=0,"",INDEX(GL!$B:$B,I975))</f>
        <v/>
      </c>
      <c r="K975" s="5" t="str">
        <f aca="false">IF(I975=0,"",IF(INDEX(GL!$C:$C,I975)="","",INDEX(GL!$C:$C,I975)))</f>
        <v/>
      </c>
      <c r="L975" s="19" t="str">
        <f aca="false">IF(I975=0,"",INDEX(GL!$E:$E,I975))</f>
        <v/>
      </c>
      <c r="M975" s="19" t="str">
        <f aca="false">IF(OR(B975=0,I975=0),"",ROUND(G975-L975,2))</f>
        <v/>
      </c>
      <c r="N975" s="5" t="str">
        <f aca="false">IF(A975="","",IF(B975=0,"NOT FOUND: bank ID",IF(I975=0,"NOT FOUND: GL ID",IF(INDEX(GL!$H:$H,I975)&lt;&gt;A975,"BROKEN: GL points elsewhere",IF(OR(INDEX(Bank!$F:$F,B975)&lt;&gt;"Y",INDEX(GL!$F:$F,I975)&lt;&gt;"Y"),"BROKEN: Status not Y","OK")))))</f>
        <v/>
      </c>
    </row>
    <row r="976" customFormat="false" ht="15" hidden="false" customHeight="false" outlineLevel="0" collapsed="false">
      <c r="A976" s="41"/>
      <c r="B976" s="5" t="n">
        <f aca="false">IF(A976="",0,IFERROR(MATCH(A976,Bank!$A:$A,0),0))</f>
        <v>0</v>
      </c>
      <c r="C976" s="5" t="str">
        <f aca="false">IF(B976=0,"",IF(INDEX(Bank!$G:$G,B976)="","",INDEX(Bank!$G:$G,B976)))</f>
        <v/>
      </c>
      <c r="D976" s="5" t="str">
        <f aca="false">IF(B976=0,"",IF(INDEX(Bank!$J:$J,B976)="","",INDEX(Bank!$J:$J,B976)))</f>
        <v/>
      </c>
      <c r="E976" s="32" t="str">
        <f aca="false">IF(B976=0,"",INDEX(Bank!$B:$B,B976))</f>
        <v/>
      </c>
      <c r="F976" s="5" t="str">
        <f aca="false">IF(B976=0,"",IF(INDEX(Bank!$C:$C,B976)="","",INDEX(Bank!$C:$C,B976)))</f>
        <v/>
      </c>
      <c r="G976" s="19" t="str">
        <f aca="false">IF(B976=0,"",INDEX(Bank!$E:$E,B976))</f>
        <v/>
      </c>
      <c r="H976" s="5" t="str">
        <f aca="false">IF(B976=0,"",IF(INDEX(Bank!$H:$H,B976)="","",INDEX(Bank!$H:$H,B976)))</f>
        <v/>
      </c>
      <c r="I976" s="5" t="n">
        <f aca="false">IF(H976="",0,IFERROR(MATCH(H976,GL!$A:$A,0),0))</f>
        <v>0</v>
      </c>
      <c r="J976" s="32" t="str">
        <f aca="false">IF(I976=0,"",INDEX(GL!$B:$B,I976))</f>
        <v/>
      </c>
      <c r="K976" s="5" t="str">
        <f aca="false">IF(I976=0,"",IF(INDEX(GL!$C:$C,I976)="","",INDEX(GL!$C:$C,I976)))</f>
        <v/>
      </c>
      <c r="L976" s="19" t="str">
        <f aca="false">IF(I976=0,"",INDEX(GL!$E:$E,I976))</f>
        <v/>
      </c>
      <c r="M976" s="19" t="str">
        <f aca="false">IF(OR(B976=0,I976=0),"",ROUND(G976-L976,2))</f>
        <v/>
      </c>
      <c r="N976" s="5" t="str">
        <f aca="false">IF(A976="","",IF(B976=0,"NOT FOUND: bank ID",IF(I976=0,"NOT FOUND: GL ID",IF(INDEX(GL!$H:$H,I976)&lt;&gt;A976,"BROKEN: GL points elsewhere",IF(OR(INDEX(Bank!$F:$F,B976)&lt;&gt;"Y",INDEX(GL!$F:$F,I976)&lt;&gt;"Y"),"BROKEN: Status not Y","OK")))))</f>
        <v/>
      </c>
    </row>
    <row r="977" customFormat="false" ht="15" hidden="false" customHeight="false" outlineLevel="0" collapsed="false">
      <c r="A977" s="41"/>
      <c r="B977" s="5" t="n">
        <f aca="false">IF(A977="",0,IFERROR(MATCH(A977,Bank!$A:$A,0),0))</f>
        <v>0</v>
      </c>
      <c r="C977" s="5" t="str">
        <f aca="false">IF(B977=0,"",IF(INDEX(Bank!$G:$G,B977)="","",INDEX(Bank!$G:$G,B977)))</f>
        <v/>
      </c>
      <c r="D977" s="5" t="str">
        <f aca="false">IF(B977=0,"",IF(INDEX(Bank!$J:$J,B977)="","",INDEX(Bank!$J:$J,B977)))</f>
        <v/>
      </c>
      <c r="E977" s="32" t="str">
        <f aca="false">IF(B977=0,"",INDEX(Bank!$B:$B,B977))</f>
        <v/>
      </c>
      <c r="F977" s="5" t="str">
        <f aca="false">IF(B977=0,"",IF(INDEX(Bank!$C:$C,B977)="","",INDEX(Bank!$C:$C,B977)))</f>
        <v/>
      </c>
      <c r="G977" s="19" t="str">
        <f aca="false">IF(B977=0,"",INDEX(Bank!$E:$E,B977))</f>
        <v/>
      </c>
      <c r="H977" s="5" t="str">
        <f aca="false">IF(B977=0,"",IF(INDEX(Bank!$H:$H,B977)="","",INDEX(Bank!$H:$H,B977)))</f>
        <v/>
      </c>
      <c r="I977" s="5" t="n">
        <f aca="false">IF(H977="",0,IFERROR(MATCH(H977,GL!$A:$A,0),0))</f>
        <v>0</v>
      </c>
      <c r="J977" s="32" t="str">
        <f aca="false">IF(I977=0,"",INDEX(GL!$B:$B,I977))</f>
        <v/>
      </c>
      <c r="K977" s="5" t="str">
        <f aca="false">IF(I977=0,"",IF(INDEX(GL!$C:$C,I977)="","",INDEX(GL!$C:$C,I977)))</f>
        <v/>
      </c>
      <c r="L977" s="19" t="str">
        <f aca="false">IF(I977=0,"",INDEX(GL!$E:$E,I977))</f>
        <v/>
      </c>
      <c r="M977" s="19" t="str">
        <f aca="false">IF(OR(B977=0,I977=0),"",ROUND(G977-L977,2))</f>
        <v/>
      </c>
      <c r="N977" s="5" t="str">
        <f aca="false">IF(A977="","",IF(B977=0,"NOT FOUND: bank ID",IF(I977=0,"NOT FOUND: GL ID",IF(INDEX(GL!$H:$H,I977)&lt;&gt;A977,"BROKEN: GL points elsewhere",IF(OR(INDEX(Bank!$F:$F,B977)&lt;&gt;"Y",INDEX(GL!$F:$F,I977)&lt;&gt;"Y"),"BROKEN: Status not Y","OK")))))</f>
        <v/>
      </c>
    </row>
    <row r="978" customFormat="false" ht="15" hidden="false" customHeight="false" outlineLevel="0" collapsed="false">
      <c r="A978" s="41"/>
      <c r="B978" s="5" t="n">
        <f aca="false">IF(A978="",0,IFERROR(MATCH(A978,Bank!$A:$A,0),0))</f>
        <v>0</v>
      </c>
      <c r="C978" s="5" t="str">
        <f aca="false">IF(B978=0,"",IF(INDEX(Bank!$G:$G,B978)="","",INDEX(Bank!$G:$G,B978)))</f>
        <v/>
      </c>
      <c r="D978" s="5" t="str">
        <f aca="false">IF(B978=0,"",IF(INDEX(Bank!$J:$J,B978)="","",INDEX(Bank!$J:$J,B978)))</f>
        <v/>
      </c>
      <c r="E978" s="32" t="str">
        <f aca="false">IF(B978=0,"",INDEX(Bank!$B:$B,B978))</f>
        <v/>
      </c>
      <c r="F978" s="5" t="str">
        <f aca="false">IF(B978=0,"",IF(INDEX(Bank!$C:$C,B978)="","",INDEX(Bank!$C:$C,B978)))</f>
        <v/>
      </c>
      <c r="G978" s="19" t="str">
        <f aca="false">IF(B978=0,"",INDEX(Bank!$E:$E,B978))</f>
        <v/>
      </c>
      <c r="H978" s="5" t="str">
        <f aca="false">IF(B978=0,"",IF(INDEX(Bank!$H:$H,B978)="","",INDEX(Bank!$H:$H,B978)))</f>
        <v/>
      </c>
      <c r="I978" s="5" t="n">
        <f aca="false">IF(H978="",0,IFERROR(MATCH(H978,GL!$A:$A,0),0))</f>
        <v>0</v>
      </c>
      <c r="J978" s="32" t="str">
        <f aca="false">IF(I978=0,"",INDEX(GL!$B:$B,I978))</f>
        <v/>
      </c>
      <c r="K978" s="5" t="str">
        <f aca="false">IF(I978=0,"",IF(INDEX(GL!$C:$C,I978)="","",INDEX(GL!$C:$C,I978)))</f>
        <v/>
      </c>
      <c r="L978" s="19" t="str">
        <f aca="false">IF(I978=0,"",INDEX(GL!$E:$E,I978))</f>
        <v/>
      </c>
      <c r="M978" s="19" t="str">
        <f aca="false">IF(OR(B978=0,I978=0),"",ROUND(G978-L978,2))</f>
        <v/>
      </c>
      <c r="N978" s="5" t="str">
        <f aca="false">IF(A978="","",IF(B978=0,"NOT FOUND: bank ID",IF(I978=0,"NOT FOUND: GL ID",IF(INDEX(GL!$H:$H,I978)&lt;&gt;A978,"BROKEN: GL points elsewhere",IF(OR(INDEX(Bank!$F:$F,B978)&lt;&gt;"Y",INDEX(GL!$F:$F,I978)&lt;&gt;"Y"),"BROKEN: Status not Y","OK")))))</f>
        <v/>
      </c>
    </row>
    <row r="979" customFormat="false" ht="15" hidden="false" customHeight="false" outlineLevel="0" collapsed="false">
      <c r="A979" s="41"/>
      <c r="B979" s="5" t="n">
        <f aca="false">IF(A979="",0,IFERROR(MATCH(A979,Bank!$A:$A,0),0))</f>
        <v>0</v>
      </c>
      <c r="C979" s="5" t="str">
        <f aca="false">IF(B979=0,"",IF(INDEX(Bank!$G:$G,B979)="","",INDEX(Bank!$G:$G,B979)))</f>
        <v/>
      </c>
      <c r="D979" s="5" t="str">
        <f aca="false">IF(B979=0,"",IF(INDEX(Bank!$J:$J,B979)="","",INDEX(Bank!$J:$J,B979)))</f>
        <v/>
      </c>
      <c r="E979" s="32" t="str">
        <f aca="false">IF(B979=0,"",INDEX(Bank!$B:$B,B979))</f>
        <v/>
      </c>
      <c r="F979" s="5" t="str">
        <f aca="false">IF(B979=0,"",IF(INDEX(Bank!$C:$C,B979)="","",INDEX(Bank!$C:$C,B979)))</f>
        <v/>
      </c>
      <c r="G979" s="19" t="str">
        <f aca="false">IF(B979=0,"",INDEX(Bank!$E:$E,B979))</f>
        <v/>
      </c>
      <c r="H979" s="5" t="str">
        <f aca="false">IF(B979=0,"",IF(INDEX(Bank!$H:$H,B979)="","",INDEX(Bank!$H:$H,B979)))</f>
        <v/>
      </c>
      <c r="I979" s="5" t="n">
        <f aca="false">IF(H979="",0,IFERROR(MATCH(H979,GL!$A:$A,0),0))</f>
        <v>0</v>
      </c>
      <c r="J979" s="32" t="str">
        <f aca="false">IF(I979=0,"",INDEX(GL!$B:$B,I979))</f>
        <v/>
      </c>
      <c r="K979" s="5" t="str">
        <f aca="false">IF(I979=0,"",IF(INDEX(GL!$C:$C,I979)="","",INDEX(GL!$C:$C,I979)))</f>
        <v/>
      </c>
      <c r="L979" s="19" t="str">
        <f aca="false">IF(I979=0,"",INDEX(GL!$E:$E,I979))</f>
        <v/>
      </c>
      <c r="M979" s="19" t="str">
        <f aca="false">IF(OR(B979=0,I979=0),"",ROUND(G979-L979,2))</f>
        <v/>
      </c>
      <c r="N979" s="5" t="str">
        <f aca="false">IF(A979="","",IF(B979=0,"NOT FOUND: bank ID",IF(I979=0,"NOT FOUND: GL ID",IF(INDEX(GL!$H:$H,I979)&lt;&gt;A979,"BROKEN: GL points elsewhere",IF(OR(INDEX(Bank!$F:$F,B979)&lt;&gt;"Y",INDEX(GL!$F:$F,I979)&lt;&gt;"Y"),"BROKEN: Status not Y","OK")))))</f>
        <v/>
      </c>
    </row>
    <row r="980" customFormat="false" ht="15" hidden="false" customHeight="false" outlineLevel="0" collapsed="false">
      <c r="A980" s="41"/>
      <c r="B980" s="5" t="n">
        <f aca="false">IF(A980="",0,IFERROR(MATCH(A980,Bank!$A:$A,0),0))</f>
        <v>0</v>
      </c>
      <c r="C980" s="5" t="str">
        <f aca="false">IF(B980=0,"",IF(INDEX(Bank!$G:$G,B980)="","",INDEX(Bank!$G:$G,B980)))</f>
        <v/>
      </c>
      <c r="D980" s="5" t="str">
        <f aca="false">IF(B980=0,"",IF(INDEX(Bank!$J:$J,B980)="","",INDEX(Bank!$J:$J,B980)))</f>
        <v/>
      </c>
      <c r="E980" s="32" t="str">
        <f aca="false">IF(B980=0,"",INDEX(Bank!$B:$B,B980))</f>
        <v/>
      </c>
      <c r="F980" s="5" t="str">
        <f aca="false">IF(B980=0,"",IF(INDEX(Bank!$C:$C,B980)="","",INDEX(Bank!$C:$C,B980)))</f>
        <v/>
      </c>
      <c r="G980" s="19" t="str">
        <f aca="false">IF(B980=0,"",INDEX(Bank!$E:$E,B980))</f>
        <v/>
      </c>
      <c r="H980" s="5" t="str">
        <f aca="false">IF(B980=0,"",IF(INDEX(Bank!$H:$H,B980)="","",INDEX(Bank!$H:$H,B980)))</f>
        <v/>
      </c>
      <c r="I980" s="5" t="n">
        <f aca="false">IF(H980="",0,IFERROR(MATCH(H980,GL!$A:$A,0),0))</f>
        <v>0</v>
      </c>
      <c r="J980" s="32" t="str">
        <f aca="false">IF(I980=0,"",INDEX(GL!$B:$B,I980))</f>
        <v/>
      </c>
      <c r="K980" s="5" t="str">
        <f aca="false">IF(I980=0,"",IF(INDEX(GL!$C:$C,I980)="","",INDEX(GL!$C:$C,I980)))</f>
        <v/>
      </c>
      <c r="L980" s="19" t="str">
        <f aca="false">IF(I980=0,"",INDEX(GL!$E:$E,I980))</f>
        <v/>
      </c>
      <c r="M980" s="19" t="str">
        <f aca="false">IF(OR(B980=0,I980=0),"",ROUND(G980-L980,2))</f>
        <v/>
      </c>
      <c r="N980" s="5" t="str">
        <f aca="false">IF(A980="","",IF(B980=0,"NOT FOUND: bank ID",IF(I980=0,"NOT FOUND: GL ID",IF(INDEX(GL!$H:$H,I980)&lt;&gt;A980,"BROKEN: GL points elsewhere",IF(OR(INDEX(Bank!$F:$F,B980)&lt;&gt;"Y",INDEX(GL!$F:$F,I980)&lt;&gt;"Y"),"BROKEN: Status not Y","OK")))))</f>
        <v/>
      </c>
    </row>
    <row r="981" customFormat="false" ht="15" hidden="false" customHeight="false" outlineLevel="0" collapsed="false">
      <c r="A981" s="41"/>
      <c r="B981" s="5" t="n">
        <f aca="false">IF(A981="",0,IFERROR(MATCH(A981,Bank!$A:$A,0),0))</f>
        <v>0</v>
      </c>
      <c r="C981" s="5" t="str">
        <f aca="false">IF(B981=0,"",IF(INDEX(Bank!$G:$G,B981)="","",INDEX(Bank!$G:$G,B981)))</f>
        <v/>
      </c>
      <c r="D981" s="5" t="str">
        <f aca="false">IF(B981=0,"",IF(INDEX(Bank!$J:$J,B981)="","",INDEX(Bank!$J:$J,B981)))</f>
        <v/>
      </c>
      <c r="E981" s="32" t="str">
        <f aca="false">IF(B981=0,"",INDEX(Bank!$B:$B,B981))</f>
        <v/>
      </c>
      <c r="F981" s="5" t="str">
        <f aca="false">IF(B981=0,"",IF(INDEX(Bank!$C:$C,B981)="","",INDEX(Bank!$C:$C,B981)))</f>
        <v/>
      </c>
      <c r="G981" s="19" t="str">
        <f aca="false">IF(B981=0,"",INDEX(Bank!$E:$E,B981))</f>
        <v/>
      </c>
      <c r="H981" s="5" t="str">
        <f aca="false">IF(B981=0,"",IF(INDEX(Bank!$H:$H,B981)="","",INDEX(Bank!$H:$H,B981)))</f>
        <v/>
      </c>
      <c r="I981" s="5" t="n">
        <f aca="false">IF(H981="",0,IFERROR(MATCH(H981,GL!$A:$A,0),0))</f>
        <v>0</v>
      </c>
      <c r="J981" s="32" t="str">
        <f aca="false">IF(I981=0,"",INDEX(GL!$B:$B,I981))</f>
        <v/>
      </c>
      <c r="K981" s="5" t="str">
        <f aca="false">IF(I981=0,"",IF(INDEX(GL!$C:$C,I981)="","",INDEX(GL!$C:$C,I981)))</f>
        <v/>
      </c>
      <c r="L981" s="19" t="str">
        <f aca="false">IF(I981=0,"",INDEX(GL!$E:$E,I981))</f>
        <v/>
      </c>
      <c r="M981" s="19" t="str">
        <f aca="false">IF(OR(B981=0,I981=0),"",ROUND(G981-L981,2))</f>
        <v/>
      </c>
      <c r="N981" s="5" t="str">
        <f aca="false">IF(A981="","",IF(B981=0,"NOT FOUND: bank ID",IF(I981=0,"NOT FOUND: GL ID",IF(INDEX(GL!$H:$H,I981)&lt;&gt;A981,"BROKEN: GL points elsewhere",IF(OR(INDEX(Bank!$F:$F,B981)&lt;&gt;"Y",INDEX(GL!$F:$F,I981)&lt;&gt;"Y"),"BROKEN: Status not Y","OK")))))</f>
        <v/>
      </c>
    </row>
    <row r="982" customFormat="false" ht="15" hidden="false" customHeight="false" outlineLevel="0" collapsed="false">
      <c r="A982" s="41"/>
      <c r="B982" s="5" t="n">
        <f aca="false">IF(A982="",0,IFERROR(MATCH(A982,Bank!$A:$A,0),0))</f>
        <v>0</v>
      </c>
      <c r="C982" s="5" t="str">
        <f aca="false">IF(B982=0,"",IF(INDEX(Bank!$G:$G,B982)="","",INDEX(Bank!$G:$G,B982)))</f>
        <v/>
      </c>
      <c r="D982" s="5" t="str">
        <f aca="false">IF(B982=0,"",IF(INDEX(Bank!$J:$J,B982)="","",INDEX(Bank!$J:$J,B982)))</f>
        <v/>
      </c>
      <c r="E982" s="32" t="str">
        <f aca="false">IF(B982=0,"",INDEX(Bank!$B:$B,B982))</f>
        <v/>
      </c>
      <c r="F982" s="5" t="str">
        <f aca="false">IF(B982=0,"",IF(INDEX(Bank!$C:$C,B982)="","",INDEX(Bank!$C:$C,B982)))</f>
        <v/>
      </c>
      <c r="G982" s="19" t="str">
        <f aca="false">IF(B982=0,"",INDEX(Bank!$E:$E,B982))</f>
        <v/>
      </c>
      <c r="H982" s="5" t="str">
        <f aca="false">IF(B982=0,"",IF(INDEX(Bank!$H:$H,B982)="","",INDEX(Bank!$H:$H,B982)))</f>
        <v/>
      </c>
      <c r="I982" s="5" t="n">
        <f aca="false">IF(H982="",0,IFERROR(MATCH(H982,GL!$A:$A,0),0))</f>
        <v>0</v>
      </c>
      <c r="J982" s="32" t="str">
        <f aca="false">IF(I982=0,"",INDEX(GL!$B:$B,I982))</f>
        <v/>
      </c>
      <c r="K982" s="5" t="str">
        <f aca="false">IF(I982=0,"",IF(INDEX(GL!$C:$C,I982)="","",INDEX(GL!$C:$C,I982)))</f>
        <v/>
      </c>
      <c r="L982" s="19" t="str">
        <f aca="false">IF(I982=0,"",INDEX(GL!$E:$E,I982))</f>
        <v/>
      </c>
      <c r="M982" s="19" t="str">
        <f aca="false">IF(OR(B982=0,I982=0),"",ROUND(G982-L982,2))</f>
        <v/>
      </c>
      <c r="N982" s="5" t="str">
        <f aca="false">IF(A982="","",IF(B982=0,"NOT FOUND: bank ID",IF(I982=0,"NOT FOUND: GL ID",IF(INDEX(GL!$H:$H,I982)&lt;&gt;A982,"BROKEN: GL points elsewhere",IF(OR(INDEX(Bank!$F:$F,B982)&lt;&gt;"Y",INDEX(GL!$F:$F,I982)&lt;&gt;"Y"),"BROKEN: Status not Y","OK")))))</f>
        <v/>
      </c>
    </row>
    <row r="983" customFormat="false" ht="15" hidden="false" customHeight="false" outlineLevel="0" collapsed="false">
      <c r="A983" s="41"/>
      <c r="B983" s="5" t="n">
        <f aca="false">IF(A983="",0,IFERROR(MATCH(A983,Bank!$A:$A,0),0))</f>
        <v>0</v>
      </c>
      <c r="C983" s="5" t="str">
        <f aca="false">IF(B983=0,"",IF(INDEX(Bank!$G:$G,B983)="","",INDEX(Bank!$G:$G,B983)))</f>
        <v/>
      </c>
      <c r="D983" s="5" t="str">
        <f aca="false">IF(B983=0,"",IF(INDEX(Bank!$J:$J,B983)="","",INDEX(Bank!$J:$J,B983)))</f>
        <v/>
      </c>
      <c r="E983" s="32" t="str">
        <f aca="false">IF(B983=0,"",INDEX(Bank!$B:$B,B983))</f>
        <v/>
      </c>
      <c r="F983" s="5" t="str">
        <f aca="false">IF(B983=0,"",IF(INDEX(Bank!$C:$C,B983)="","",INDEX(Bank!$C:$C,B983)))</f>
        <v/>
      </c>
      <c r="G983" s="19" t="str">
        <f aca="false">IF(B983=0,"",INDEX(Bank!$E:$E,B983))</f>
        <v/>
      </c>
      <c r="H983" s="5" t="str">
        <f aca="false">IF(B983=0,"",IF(INDEX(Bank!$H:$H,B983)="","",INDEX(Bank!$H:$H,B983)))</f>
        <v/>
      </c>
      <c r="I983" s="5" t="n">
        <f aca="false">IF(H983="",0,IFERROR(MATCH(H983,GL!$A:$A,0),0))</f>
        <v>0</v>
      </c>
      <c r="J983" s="32" t="str">
        <f aca="false">IF(I983=0,"",INDEX(GL!$B:$B,I983))</f>
        <v/>
      </c>
      <c r="K983" s="5" t="str">
        <f aca="false">IF(I983=0,"",IF(INDEX(GL!$C:$C,I983)="","",INDEX(GL!$C:$C,I983)))</f>
        <v/>
      </c>
      <c r="L983" s="19" t="str">
        <f aca="false">IF(I983=0,"",INDEX(GL!$E:$E,I983))</f>
        <v/>
      </c>
      <c r="M983" s="19" t="str">
        <f aca="false">IF(OR(B983=0,I983=0),"",ROUND(G983-L983,2))</f>
        <v/>
      </c>
      <c r="N983" s="5" t="str">
        <f aca="false">IF(A983="","",IF(B983=0,"NOT FOUND: bank ID",IF(I983=0,"NOT FOUND: GL ID",IF(INDEX(GL!$H:$H,I983)&lt;&gt;A983,"BROKEN: GL points elsewhere",IF(OR(INDEX(Bank!$F:$F,B983)&lt;&gt;"Y",INDEX(GL!$F:$F,I983)&lt;&gt;"Y"),"BROKEN: Status not Y","OK")))))</f>
        <v/>
      </c>
    </row>
    <row r="984" customFormat="false" ht="15" hidden="false" customHeight="false" outlineLevel="0" collapsed="false">
      <c r="A984" s="41"/>
      <c r="B984" s="5" t="n">
        <f aca="false">IF(A984="",0,IFERROR(MATCH(A984,Bank!$A:$A,0),0))</f>
        <v>0</v>
      </c>
      <c r="C984" s="5" t="str">
        <f aca="false">IF(B984=0,"",IF(INDEX(Bank!$G:$G,B984)="","",INDEX(Bank!$G:$G,B984)))</f>
        <v/>
      </c>
      <c r="D984" s="5" t="str">
        <f aca="false">IF(B984=0,"",IF(INDEX(Bank!$J:$J,B984)="","",INDEX(Bank!$J:$J,B984)))</f>
        <v/>
      </c>
      <c r="E984" s="32" t="str">
        <f aca="false">IF(B984=0,"",INDEX(Bank!$B:$B,B984))</f>
        <v/>
      </c>
      <c r="F984" s="5" t="str">
        <f aca="false">IF(B984=0,"",IF(INDEX(Bank!$C:$C,B984)="","",INDEX(Bank!$C:$C,B984)))</f>
        <v/>
      </c>
      <c r="G984" s="19" t="str">
        <f aca="false">IF(B984=0,"",INDEX(Bank!$E:$E,B984))</f>
        <v/>
      </c>
      <c r="H984" s="5" t="str">
        <f aca="false">IF(B984=0,"",IF(INDEX(Bank!$H:$H,B984)="","",INDEX(Bank!$H:$H,B984)))</f>
        <v/>
      </c>
      <c r="I984" s="5" t="n">
        <f aca="false">IF(H984="",0,IFERROR(MATCH(H984,GL!$A:$A,0),0))</f>
        <v>0</v>
      </c>
      <c r="J984" s="32" t="str">
        <f aca="false">IF(I984=0,"",INDEX(GL!$B:$B,I984))</f>
        <v/>
      </c>
      <c r="K984" s="5" t="str">
        <f aca="false">IF(I984=0,"",IF(INDEX(GL!$C:$C,I984)="","",INDEX(GL!$C:$C,I984)))</f>
        <v/>
      </c>
      <c r="L984" s="19" t="str">
        <f aca="false">IF(I984=0,"",INDEX(GL!$E:$E,I984))</f>
        <v/>
      </c>
      <c r="M984" s="19" t="str">
        <f aca="false">IF(OR(B984=0,I984=0),"",ROUND(G984-L984,2))</f>
        <v/>
      </c>
      <c r="N984" s="5" t="str">
        <f aca="false">IF(A984="","",IF(B984=0,"NOT FOUND: bank ID",IF(I984=0,"NOT FOUND: GL ID",IF(INDEX(GL!$H:$H,I984)&lt;&gt;A984,"BROKEN: GL points elsewhere",IF(OR(INDEX(Bank!$F:$F,B984)&lt;&gt;"Y",INDEX(GL!$F:$F,I984)&lt;&gt;"Y"),"BROKEN: Status not Y","OK")))))</f>
        <v/>
      </c>
    </row>
    <row r="985" customFormat="false" ht="15" hidden="false" customHeight="false" outlineLevel="0" collapsed="false">
      <c r="A985" s="41"/>
      <c r="B985" s="5" t="n">
        <f aca="false">IF(A985="",0,IFERROR(MATCH(A985,Bank!$A:$A,0),0))</f>
        <v>0</v>
      </c>
      <c r="C985" s="5" t="str">
        <f aca="false">IF(B985=0,"",IF(INDEX(Bank!$G:$G,B985)="","",INDEX(Bank!$G:$G,B985)))</f>
        <v/>
      </c>
      <c r="D985" s="5" t="str">
        <f aca="false">IF(B985=0,"",IF(INDEX(Bank!$J:$J,B985)="","",INDEX(Bank!$J:$J,B985)))</f>
        <v/>
      </c>
      <c r="E985" s="32" t="str">
        <f aca="false">IF(B985=0,"",INDEX(Bank!$B:$B,B985))</f>
        <v/>
      </c>
      <c r="F985" s="5" t="str">
        <f aca="false">IF(B985=0,"",IF(INDEX(Bank!$C:$C,B985)="","",INDEX(Bank!$C:$C,B985)))</f>
        <v/>
      </c>
      <c r="G985" s="19" t="str">
        <f aca="false">IF(B985=0,"",INDEX(Bank!$E:$E,B985))</f>
        <v/>
      </c>
      <c r="H985" s="5" t="str">
        <f aca="false">IF(B985=0,"",IF(INDEX(Bank!$H:$H,B985)="","",INDEX(Bank!$H:$H,B985)))</f>
        <v/>
      </c>
      <c r="I985" s="5" t="n">
        <f aca="false">IF(H985="",0,IFERROR(MATCH(H985,GL!$A:$A,0),0))</f>
        <v>0</v>
      </c>
      <c r="J985" s="32" t="str">
        <f aca="false">IF(I985=0,"",INDEX(GL!$B:$B,I985))</f>
        <v/>
      </c>
      <c r="K985" s="5" t="str">
        <f aca="false">IF(I985=0,"",IF(INDEX(GL!$C:$C,I985)="","",INDEX(GL!$C:$C,I985)))</f>
        <v/>
      </c>
      <c r="L985" s="19" t="str">
        <f aca="false">IF(I985=0,"",INDEX(GL!$E:$E,I985))</f>
        <v/>
      </c>
      <c r="M985" s="19" t="str">
        <f aca="false">IF(OR(B985=0,I985=0),"",ROUND(G985-L985,2))</f>
        <v/>
      </c>
      <c r="N985" s="5" t="str">
        <f aca="false">IF(A985="","",IF(B985=0,"NOT FOUND: bank ID",IF(I985=0,"NOT FOUND: GL ID",IF(INDEX(GL!$H:$H,I985)&lt;&gt;A985,"BROKEN: GL points elsewhere",IF(OR(INDEX(Bank!$F:$F,B985)&lt;&gt;"Y",INDEX(GL!$F:$F,I985)&lt;&gt;"Y"),"BROKEN: Status not Y","OK")))))</f>
        <v/>
      </c>
    </row>
    <row r="986" customFormat="false" ht="15" hidden="false" customHeight="false" outlineLevel="0" collapsed="false">
      <c r="A986" s="41"/>
      <c r="B986" s="5" t="n">
        <f aca="false">IF(A986="",0,IFERROR(MATCH(A986,Bank!$A:$A,0),0))</f>
        <v>0</v>
      </c>
      <c r="C986" s="5" t="str">
        <f aca="false">IF(B986=0,"",IF(INDEX(Bank!$G:$G,B986)="","",INDEX(Bank!$G:$G,B986)))</f>
        <v/>
      </c>
      <c r="D986" s="5" t="str">
        <f aca="false">IF(B986=0,"",IF(INDEX(Bank!$J:$J,B986)="","",INDEX(Bank!$J:$J,B986)))</f>
        <v/>
      </c>
      <c r="E986" s="32" t="str">
        <f aca="false">IF(B986=0,"",INDEX(Bank!$B:$B,B986))</f>
        <v/>
      </c>
      <c r="F986" s="5" t="str">
        <f aca="false">IF(B986=0,"",IF(INDEX(Bank!$C:$C,B986)="","",INDEX(Bank!$C:$C,B986)))</f>
        <v/>
      </c>
      <c r="G986" s="19" t="str">
        <f aca="false">IF(B986=0,"",INDEX(Bank!$E:$E,B986))</f>
        <v/>
      </c>
      <c r="H986" s="5" t="str">
        <f aca="false">IF(B986=0,"",IF(INDEX(Bank!$H:$H,B986)="","",INDEX(Bank!$H:$H,B986)))</f>
        <v/>
      </c>
      <c r="I986" s="5" t="n">
        <f aca="false">IF(H986="",0,IFERROR(MATCH(H986,GL!$A:$A,0),0))</f>
        <v>0</v>
      </c>
      <c r="J986" s="32" t="str">
        <f aca="false">IF(I986=0,"",INDEX(GL!$B:$B,I986))</f>
        <v/>
      </c>
      <c r="K986" s="5" t="str">
        <f aca="false">IF(I986=0,"",IF(INDEX(GL!$C:$C,I986)="","",INDEX(GL!$C:$C,I986)))</f>
        <v/>
      </c>
      <c r="L986" s="19" t="str">
        <f aca="false">IF(I986=0,"",INDEX(GL!$E:$E,I986))</f>
        <v/>
      </c>
      <c r="M986" s="19" t="str">
        <f aca="false">IF(OR(B986=0,I986=0),"",ROUND(G986-L986,2))</f>
        <v/>
      </c>
      <c r="N986" s="5" t="str">
        <f aca="false">IF(A986="","",IF(B986=0,"NOT FOUND: bank ID",IF(I986=0,"NOT FOUND: GL ID",IF(INDEX(GL!$H:$H,I986)&lt;&gt;A986,"BROKEN: GL points elsewhere",IF(OR(INDEX(Bank!$F:$F,B986)&lt;&gt;"Y",INDEX(GL!$F:$F,I986)&lt;&gt;"Y"),"BROKEN: Status not Y","OK")))))</f>
        <v/>
      </c>
    </row>
    <row r="987" customFormat="false" ht="15" hidden="false" customHeight="false" outlineLevel="0" collapsed="false">
      <c r="A987" s="41"/>
      <c r="B987" s="5" t="n">
        <f aca="false">IF(A987="",0,IFERROR(MATCH(A987,Bank!$A:$A,0),0))</f>
        <v>0</v>
      </c>
      <c r="C987" s="5" t="str">
        <f aca="false">IF(B987=0,"",IF(INDEX(Bank!$G:$G,B987)="","",INDEX(Bank!$G:$G,B987)))</f>
        <v/>
      </c>
      <c r="D987" s="5" t="str">
        <f aca="false">IF(B987=0,"",IF(INDEX(Bank!$J:$J,B987)="","",INDEX(Bank!$J:$J,B987)))</f>
        <v/>
      </c>
      <c r="E987" s="32" t="str">
        <f aca="false">IF(B987=0,"",INDEX(Bank!$B:$B,B987))</f>
        <v/>
      </c>
      <c r="F987" s="5" t="str">
        <f aca="false">IF(B987=0,"",IF(INDEX(Bank!$C:$C,B987)="","",INDEX(Bank!$C:$C,B987)))</f>
        <v/>
      </c>
      <c r="G987" s="19" t="str">
        <f aca="false">IF(B987=0,"",INDEX(Bank!$E:$E,B987))</f>
        <v/>
      </c>
      <c r="H987" s="5" t="str">
        <f aca="false">IF(B987=0,"",IF(INDEX(Bank!$H:$H,B987)="","",INDEX(Bank!$H:$H,B987)))</f>
        <v/>
      </c>
      <c r="I987" s="5" t="n">
        <f aca="false">IF(H987="",0,IFERROR(MATCH(H987,GL!$A:$A,0),0))</f>
        <v>0</v>
      </c>
      <c r="J987" s="32" t="str">
        <f aca="false">IF(I987=0,"",INDEX(GL!$B:$B,I987))</f>
        <v/>
      </c>
      <c r="K987" s="5" t="str">
        <f aca="false">IF(I987=0,"",IF(INDEX(GL!$C:$C,I987)="","",INDEX(GL!$C:$C,I987)))</f>
        <v/>
      </c>
      <c r="L987" s="19" t="str">
        <f aca="false">IF(I987=0,"",INDEX(GL!$E:$E,I987))</f>
        <v/>
      </c>
      <c r="M987" s="19" t="str">
        <f aca="false">IF(OR(B987=0,I987=0),"",ROUND(G987-L987,2))</f>
        <v/>
      </c>
      <c r="N987" s="5" t="str">
        <f aca="false">IF(A987="","",IF(B987=0,"NOT FOUND: bank ID",IF(I987=0,"NOT FOUND: GL ID",IF(INDEX(GL!$H:$H,I987)&lt;&gt;A987,"BROKEN: GL points elsewhere",IF(OR(INDEX(Bank!$F:$F,B987)&lt;&gt;"Y",INDEX(GL!$F:$F,I987)&lt;&gt;"Y"),"BROKEN: Status not Y","OK")))))</f>
        <v/>
      </c>
    </row>
    <row r="988" customFormat="false" ht="15" hidden="false" customHeight="false" outlineLevel="0" collapsed="false">
      <c r="A988" s="41"/>
      <c r="B988" s="5" t="n">
        <f aca="false">IF(A988="",0,IFERROR(MATCH(A988,Bank!$A:$A,0),0))</f>
        <v>0</v>
      </c>
      <c r="C988" s="5" t="str">
        <f aca="false">IF(B988=0,"",IF(INDEX(Bank!$G:$G,B988)="","",INDEX(Bank!$G:$G,B988)))</f>
        <v/>
      </c>
      <c r="D988" s="5" t="str">
        <f aca="false">IF(B988=0,"",IF(INDEX(Bank!$J:$J,B988)="","",INDEX(Bank!$J:$J,B988)))</f>
        <v/>
      </c>
      <c r="E988" s="32" t="str">
        <f aca="false">IF(B988=0,"",INDEX(Bank!$B:$B,B988))</f>
        <v/>
      </c>
      <c r="F988" s="5" t="str">
        <f aca="false">IF(B988=0,"",IF(INDEX(Bank!$C:$C,B988)="","",INDEX(Bank!$C:$C,B988)))</f>
        <v/>
      </c>
      <c r="G988" s="19" t="str">
        <f aca="false">IF(B988=0,"",INDEX(Bank!$E:$E,B988))</f>
        <v/>
      </c>
      <c r="H988" s="5" t="str">
        <f aca="false">IF(B988=0,"",IF(INDEX(Bank!$H:$H,B988)="","",INDEX(Bank!$H:$H,B988)))</f>
        <v/>
      </c>
      <c r="I988" s="5" t="n">
        <f aca="false">IF(H988="",0,IFERROR(MATCH(H988,GL!$A:$A,0),0))</f>
        <v>0</v>
      </c>
      <c r="J988" s="32" t="str">
        <f aca="false">IF(I988=0,"",INDEX(GL!$B:$B,I988))</f>
        <v/>
      </c>
      <c r="K988" s="5" t="str">
        <f aca="false">IF(I988=0,"",IF(INDEX(GL!$C:$C,I988)="","",INDEX(GL!$C:$C,I988)))</f>
        <v/>
      </c>
      <c r="L988" s="19" t="str">
        <f aca="false">IF(I988=0,"",INDEX(GL!$E:$E,I988))</f>
        <v/>
      </c>
      <c r="M988" s="19" t="str">
        <f aca="false">IF(OR(B988=0,I988=0),"",ROUND(G988-L988,2))</f>
        <v/>
      </c>
      <c r="N988" s="5" t="str">
        <f aca="false">IF(A988="","",IF(B988=0,"NOT FOUND: bank ID",IF(I988=0,"NOT FOUND: GL ID",IF(INDEX(GL!$H:$H,I988)&lt;&gt;A988,"BROKEN: GL points elsewhere",IF(OR(INDEX(Bank!$F:$F,B988)&lt;&gt;"Y",INDEX(GL!$F:$F,I988)&lt;&gt;"Y"),"BROKEN: Status not Y","OK")))))</f>
        <v/>
      </c>
    </row>
    <row r="989" customFormat="false" ht="15" hidden="false" customHeight="false" outlineLevel="0" collapsed="false">
      <c r="A989" s="41"/>
      <c r="B989" s="5" t="n">
        <f aca="false">IF(A989="",0,IFERROR(MATCH(A989,Bank!$A:$A,0),0))</f>
        <v>0</v>
      </c>
      <c r="C989" s="5" t="str">
        <f aca="false">IF(B989=0,"",IF(INDEX(Bank!$G:$G,B989)="","",INDEX(Bank!$G:$G,B989)))</f>
        <v/>
      </c>
      <c r="D989" s="5" t="str">
        <f aca="false">IF(B989=0,"",IF(INDEX(Bank!$J:$J,B989)="","",INDEX(Bank!$J:$J,B989)))</f>
        <v/>
      </c>
      <c r="E989" s="32" t="str">
        <f aca="false">IF(B989=0,"",INDEX(Bank!$B:$B,B989))</f>
        <v/>
      </c>
      <c r="F989" s="5" t="str">
        <f aca="false">IF(B989=0,"",IF(INDEX(Bank!$C:$C,B989)="","",INDEX(Bank!$C:$C,B989)))</f>
        <v/>
      </c>
      <c r="G989" s="19" t="str">
        <f aca="false">IF(B989=0,"",INDEX(Bank!$E:$E,B989))</f>
        <v/>
      </c>
      <c r="H989" s="5" t="str">
        <f aca="false">IF(B989=0,"",IF(INDEX(Bank!$H:$H,B989)="","",INDEX(Bank!$H:$H,B989)))</f>
        <v/>
      </c>
      <c r="I989" s="5" t="n">
        <f aca="false">IF(H989="",0,IFERROR(MATCH(H989,GL!$A:$A,0),0))</f>
        <v>0</v>
      </c>
      <c r="J989" s="32" t="str">
        <f aca="false">IF(I989=0,"",INDEX(GL!$B:$B,I989))</f>
        <v/>
      </c>
      <c r="K989" s="5" t="str">
        <f aca="false">IF(I989=0,"",IF(INDEX(GL!$C:$C,I989)="","",INDEX(GL!$C:$C,I989)))</f>
        <v/>
      </c>
      <c r="L989" s="19" t="str">
        <f aca="false">IF(I989=0,"",INDEX(GL!$E:$E,I989))</f>
        <v/>
      </c>
      <c r="M989" s="19" t="str">
        <f aca="false">IF(OR(B989=0,I989=0),"",ROUND(G989-L989,2))</f>
        <v/>
      </c>
      <c r="N989" s="5" t="str">
        <f aca="false">IF(A989="","",IF(B989=0,"NOT FOUND: bank ID",IF(I989=0,"NOT FOUND: GL ID",IF(INDEX(GL!$H:$H,I989)&lt;&gt;A989,"BROKEN: GL points elsewhere",IF(OR(INDEX(Bank!$F:$F,B989)&lt;&gt;"Y",INDEX(GL!$F:$F,I989)&lt;&gt;"Y"),"BROKEN: Status not Y","OK")))))</f>
        <v/>
      </c>
    </row>
    <row r="990" customFormat="false" ht="15" hidden="false" customHeight="false" outlineLevel="0" collapsed="false">
      <c r="A990" s="41"/>
      <c r="B990" s="5" t="n">
        <f aca="false">IF(A990="",0,IFERROR(MATCH(A990,Bank!$A:$A,0),0))</f>
        <v>0</v>
      </c>
      <c r="C990" s="5" t="str">
        <f aca="false">IF(B990=0,"",IF(INDEX(Bank!$G:$G,B990)="","",INDEX(Bank!$G:$G,B990)))</f>
        <v/>
      </c>
      <c r="D990" s="5" t="str">
        <f aca="false">IF(B990=0,"",IF(INDEX(Bank!$J:$J,B990)="","",INDEX(Bank!$J:$J,B990)))</f>
        <v/>
      </c>
      <c r="E990" s="32" t="str">
        <f aca="false">IF(B990=0,"",INDEX(Bank!$B:$B,B990))</f>
        <v/>
      </c>
      <c r="F990" s="5" t="str">
        <f aca="false">IF(B990=0,"",IF(INDEX(Bank!$C:$C,B990)="","",INDEX(Bank!$C:$C,B990)))</f>
        <v/>
      </c>
      <c r="G990" s="19" t="str">
        <f aca="false">IF(B990=0,"",INDEX(Bank!$E:$E,B990))</f>
        <v/>
      </c>
      <c r="H990" s="5" t="str">
        <f aca="false">IF(B990=0,"",IF(INDEX(Bank!$H:$H,B990)="","",INDEX(Bank!$H:$H,B990)))</f>
        <v/>
      </c>
      <c r="I990" s="5" t="n">
        <f aca="false">IF(H990="",0,IFERROR(MATCH(H990,GL!$A:$A,0),0))</f>
        <v>0</v>
      </c>
      <c r="J990" s="32" t="str">
        <f aca="false">IF(I990=0,"",INDEX(GL!$B:$B,I990))</f>
        <v/>
      </c>
      <c r="K990" s="5" t="str">
        <f aca="false">IF(I990=0,"",IF(INDEX(GL!$C:$C,I990)="","",INDEX(GL!$C:$C,I990)))</f>
        <v/>
      </c>
      <c r="L990" s="19" t="str">
        <f aca="false">IF(I990=0,"",INDEX(GL!$E:$E,I990))</f>
        <v/>
      </c>
      <c r="M990" s="19" t="str">
        <f aca="false">IF(OR(B990=0,I990=0),"",ROUND(G990-L990,2))</f>
        <v/>
      </c>
      <c r="N990" s="5" t="str">
        <f aca="false">IF(A990="","",IF(B990=0,"NOT FOUND: bank ID",IF(I990=0,"NOT FOUND: GL ID",IF(INDEX(GL!$H:$H,I990)&lt;&gt;A990,"BROKEN: GL points elsewhere",IF(OR(INDEX(Bank!$F:$F,B990)&lt;&gt;"Y",INDEX(GL!$F:$F,I990)&lt;&gt;"Y"),"BROKEN: Status not Y","OK")))))</f>
        <v/>
      </c>
    </row>
    <row r="991" customFormat="false" ht="15" hidden="false" customHeight="false" outlineLevel="0" collapsed="false">
      <c r="A991" s="41"/>
      <c r="B991" s="5" t="n">
        <f aca="false">IF(A991="",0,IFERROR(MATCH(A991,Bank!$A:$A,0),0))</f>
        <v>0</v>
      </c>
      <c r="C991" s="5" t="str">
        <f aca="false">IF(B991=0,"",IF(INDEX(Bank!$G:$G,B991)="","",INDEX(Bank!$G:$G,B991)))</f>
        <v/>
      </c>
      <c r="D991" s="5" t="str">
        <f aca="false">IF(B991=0,"",IF(INDEX(Bank!$J:$J,B991)="","",INDEX(Bank!$J:$J,B991)))</f>
        <v/>
      </c>
      <c r="E991" s="32" t="str">
        <f aca="false">IF(B991=0,"",INDEX(Bank!$B:$B,B991))</f>
        <v/>
      </c>
      <c r="F991" s="5" t="str">
        <f aca="false">IF(B991=0,"",IF(INDEX(Bank!$C:$C,B991)="","",INDEX(Bank!$C:$C,B991)))</f>
        <v/>
      </c>
      <c r="G991" s="19" t="str">
        <f aca="false">IF(B991=0,"",INDEX(Bank!$E:$E,B991))</f>
        <v/>
      </c>
      <c r="H991" s="5" t="str">
        <f aca="false">IF(B991=0,"",IF(INDEX(Bank!$H:$H,B991)="","",INDEX(Bank!$H:$H,B991)))</f>
        <v/>
      </c>
      <c r="I991" s="5" t="n">
        <f aca="false">IF(H991="",0,IFERROR(MATCH(H991,GL!$A:$A,0),0))</f>
        <v>0</v>
      </c>
      <c r="J991" s="32" t="str">
        <f aca="false">IF(I991=0,"",INDEX(GL!$B:$B,I991))</f>
        <v/>
      </c>
      <c r="K991" s="5" t="str">
        <f aca="false">IF(I991=0,"",IF(INDEX(GL!$C:$C,I991)="","",INDEX(GL!$C:$C,I991)))</f>
        <v/>
      </c>
      <c r="L991" s="19" t="str">
        <f aca="false">IF(I991=0,"",INDEX(GL!$E:$E,I991))</f>
        <v/>
      </c>
      <c r="M991" s="19" t="str">
        <f aca="false">IF(OR(B991=0,I991=0),"",ROUND(G991-L991,2))</f>
        <v/>
      </c>
      <c r="N991" s="5" t="str">
        <f aca="false">IF(A991="","",IF(B991=0,"NOT FOUND: bank ID",IF(I991=0,"NOT FOUND: GL ID",IF(INDEX(GL!$H:$H,I991)&lt;&gt;A991,"BROKEN: GL points elsewhere",IF(OR(INDEX(Bank!$F:$F,B991)&lt;&gt;"Y",INDEX(GL!$F:$F,I991)&lt;&gt;"Y"),"BROKEN: Status not Y","OK")))))</f>
        <v/>
      </c>
    </row>
    <row r="992" customFormat="false" ht="15" hidden="false" customHeight="false" outlineLevel="0" collapsed="false">
      <c r="A992" s="41"/>
      <c r="B992" s="5" t="n">
        <f aca="false">IF(A992="",0,IFERROR(MATCH(A992,Bank!$A:$A,0),0))</f>
        <v>0</v>
      </c>
      <c r="C992" s="5" t="str">
        <f aca="false">IF(B992=0,"",IF(INDEX(Bank!$G:$G,B992)="","",INDEX(Bank!$G:$G,B992)))</f>
        <v/>
      </c>
      <c r="D992" s="5" t="str">
        <f aca="false">IF(B992=0,"",IF(INDEX(Bank!$J:$J,B992)="","",INDEX(Bank!$J:$J,B992)))</f>
        <v/>
      </c>
      <c r="E992" s="32" t="str">
        <f aca="false">IF(B992=0,"",INDEX(Bank!$B:$B,B992))</f>
        <v/>
      </c>
      <c r="F992" s="5" t="str">
        <f aca="false">IF(B992=0,"",IF(INDEX(Bank!$C:$C,B992)="","",INDEX(Bank!$C:$C,B992)))</f>
        <v/>
      </c>
      <c r="G992" s="19" t="str">
        <f aca="false">IF(B992=0,"",INDEX(Bank!$E:$E,B992))</f>
        <v/>
      </c>
      <c r="H992" s="5" t="str">
        <f aca="false">IF(B992=0,"",IF(INDEX(Bank!$H:$H,B992)="","",INDEX(Bank!$H:$H,B992)))</f>
        <v/>
      </c>
      <c r="I992" s="5" t="n">
        <f aca="false">IF(H992="",0,IFERROR(MATCH(H992,GL!$A:$A,0),0))</f>
        <v>0</v>
      </c>
      <c r="J992" s="32" t="str">
        <f aca="false">IF(I992=0,"",INDEX(GL!$B:$B,I992))</f>
        <v/>
      </c>
      <c r="K992" s="5" t="str">
        <f aca="false">IF(I992=0,"",IF(INDEX(GL!$C:$C,I992)="","",INDEX(GL!$C:$C,I992)))</f>
        <v/>
      </c>
      <c r="L992" s="19" t="str">
        <f aca="false">IF(I992=0,"",INDEX(GL!$E:$E,I992))</f>
        <v/>
      </c>
      <c r="M992" s="19" t="str">
        <f aca="false">IF(OR(B992=0,I992=0),"",ROUND(G992-L992,2))</f>
        <v/>
      </c>
      <c r="N992" s="5" t="str">
        <f aca="false">IF(A992="","",IF(B992=0,"NOT FOUND: bank ID",IF(I992=0,"NOT FOUND: GL ID",IF(INDEX(GL!$H:$H,I992)&lt;&gt;A992,"BROKEN: GL points elsewhere",IF(OR(INDEX(Bank!$F:$F,B992)&lt;&gt;"Y",INDEX(GL!$F:$F,I992)&lt;&gt;"Y"),"BROKEN: Status not Y","OK")))))</f>
        <v/>
      </c>
    </row>
    <row r="993" customFormat="false" ht="15" hidden="false" customHeight="false" outlineLevel="0" collapsed="false">
      <c r="A993" s="41"/>
      <c r="B993" s="5" t="n">
        <f aca="false">IF(A993="",0,IFERROR(MATCH(A993,Bank!$A:$A,0),0))</f>
        <v>0</v>
      </c>
      <c r="C993" s="5" t="str">
        <f aca="false">IF(B993=0,"",IF(INDEX(Bank!$G:$G,B993)="","",INDEX(Bank!$G:$G,B993)))</f>
        <v/>
      </c>
      <c r="D993" s="5" t="str">
        <f aca="false">IF(B993=0,"",IF(INDEX(Bank!$J:$J,B993)="","",INDEX(Bank!$J:$J,B993)))</f>
        <v/>
      </c>
      <c r="E993" s="32" t="str">
        <f aca="false">IF(B993=0,"",INDEX(Bank!$B:$B,B993))</f>
        <v/>
      </c>
      <c r="F993" s="5" t="str">
        <f aca="false">IF(B993=0,"",IF(INDEX(Bank!$C:$C,B993)="","",INDEX(Bank!$C:$C,B993)))</f>
        <v/>
      </c>
      <c r="G993" s="19" t="str">
        <f aca="false">IF(B993=0,"",INDEX(Bank!$E:$E,B993))</f>
        <v/>
      </c>
      <c r="H993" s="5" t="str">
        <f aca="false">IF(B993=0,"",IF(INDEX(Bank!$H:$H,B993)="","",INDEX(Bank!$H:$H,B993)))</f>
        <v/>
      </c>
      <c r="I993" s="5" t="n">
        <f aca="false">IF(H993="",0,IFERROR(MATCH(H993,GL!$A:$A,0),0))</f>
        <v>0</v>
      </c>
      <c r="J993" s="32" t="str">
        <f aca="false">IF(I993=0,"",INDEX(GL!$B:$B,I993))</f>
        <v/>
      </c>
      <c r="K993" s="5" t="str">
        <f aca="false">IF(I993=0,"",IF(INDEX(GL!$C:$C,I993)="","",INDEX(GL!$C:$C,I993)))</f>
        <v/>
      </c>
      <c r="L993" s="19" t="str">
        <f aca="false">IF(I993=0,"",INDEX(GL!$E:$E,I993))</f>
        <v/>
      </c>
      <c r="M993" s="19" t="str">
        <f aca="false">IF(OR(B993=0,I993=0),"",ROUND(G993-L993,2))</f>
        <v/>
      </c>
      <c r="N993" s="5" t="str">
        <f aca="false">IF(A993="","",IF(B993=0,"NOT FOUND: bank ID",IF(I993=0,"NOT FOUND: GL ID",IF(INDEX(GL!$H:$H,I993)&lt;&gt;A993,"BROKEN: GL points elsewhere",IF(OR(INDEX(Bank!$F:$F,B993)&lt;&gt;"Y",INDEX(GL!$F:$F,I993)&lt;&gt;"Y"),"BROKEN: Status not Y","OK")))))</f>
        <v/>
      </c>
    </row>
    <row r="994" customFormat="false" ht="15" hidden="false" customHeight="false" outlineLevel="0" collapsed="false">
      <c r="A994" s="41"/>
      <c r="B994" s="5" t="n">
        <f aca="false">IF(A994="",0,IFERROR(MATCH(A994,Bank!$A:$A,0),0))</f>
        <v>0</v>
      </c>
      <c r="C994" s="5" t="str">
        <f aca="false">IF(B994=0,"",IF(INDEX(Bank!$G:$G,B994)="","",INDEX(Bank!$G:$G,B994)))</f>
        <v/>
      </c>
      <c r="D994" s="5" t="str">
        <f aca="false">IF(B994=0,"",IF(INDEX(Bank!$J:$J,B994)="","",INDEX(Bank!$J:$J,B994)))</f>
        <v/>
      </c>
      <c r="E994" s="32" t="str">
        <f aca="false">IF(B994=0,"",INDEX(Bank!$B:$B,B994))</f>
        <v/>
      </c>
      <c r="F994" s="5" t="str">
        <f aca="false">IF(B994=0,"",IF(INDEX(Bank!$C:$C,B994)="","",INDEX(Bank!$C:$C,B994)))</f>
        <v/>
      </c>
      <c r="G994" s="19" t="str">
        <f aca="false">IF(B994=0,"",INDEX(Bank!$E:$E,B994))</f>
        <v/>
      </c>
      <c r="H994" s="5" t="str">
        <f aca="false">IF(B994=0,"",IF(INDEX(Bank!$H:$H,B994)="","",INDEX(Bank!$H:$H,B994)))</f>
        <v/>
      </c>
      <c r="I994" s="5" t="n">
        <f aca="false">IF(H994="",0,IFERROR(MATCH(H994,GL!$A:$A,0),0))</f>
        <v>0</v>
      </c>
      <c r="J994" s="32" t="str">
        <f aca="false">IF(I994=0,"",INDEX(GL!$B:$B,I994))</f>
        <v/>
      </c>
      <c r="K994" s="5" t="str">
        <f aca="false">IF(I994=0,"",IF(INDEX(GL!$C:$C,I994)="","",INDEX(GL!$C:$C,I994)))</f>
        <v/>
      </c>
      <c r="L994" s="19" t="str">
        <f aca="false">IF(I994=0,"",INDEX(GL!$E:$E,I994))</f>
        <v/>
      </c>
      <c r="M994" s="19" t="str">
        <f aca="false">IF(OR(B994=0,I994=0),"",ROUND(G994-L994,2))</f>
        <v/>
      </c>
      <c r="N994" s="5" t="str">
        <f aca="false">IF(A994="","",IF(B994=0,"NOT FOUND: bank ID",IF(I994=0,"NOT FOUND: GL ID",IF(INDEX(GL!$H:$H,I994)&lt;&gt;A994,"BROKEN: GL points elsewhere",IF(OR(INDEX(Bank!$F:$F,B994)&lt;&gt;"Y",INDEX(GL!$F:$F,I994)&lt;&gt;"Y"),"BROKEN: Status not Y","OK")))))</f>
        <v/>
      </c>
    </row>
    <row r="995" customFormat="false" ht="15" hidden="false" customHeight="false" outlineLevel="0" collapsed="false">
      <c r="A995" s="41"/>
      <c r="B995" s="5" t="n">
        <f aca="false">IF(A995="",0,IFERROR(MATCH(A995,Bank!$A:$A,0),0))</f>
        <v>0</v>
      </c>
      <c r="C995" s="5" t="str">
        <f aca="false">IF(B995=0,"",IF(INDEX(Bank!$G:$G,B995)="","",INDEX(Bank!$G:$G,B995)))</f>
        <v/>
      </c>
      <c r="D995" s="5" t="str">
        <f aca="false">IF(B995=0,"",IF(INDEX(Bank!$J:$J,B995)="","",INDEX(Bank!$J:$J,B995)))</f>
        <v/>
      </c>
      <c r="E995" s="32" t="str">
        <f aca="false">IF(B995=0,"",INDEX(Bank!$B:$B,B995))</f>
        <v/>
      </c>
      <c r="F995" s="5" t="str">
        <f aca="false">IF(B995=0,"",IF(INDEX(Bank!$C:$C,B995)="","",INDEX(Bank!$C:$C,B995)))</f>
        <v/>
      </c>
      <c r="G995" s="19" t="str">
        <f aca="false">IF(B995=0,"",INDEX(Bank!$E:$E,B995))</f>
        <v/>
      </c>
      <c r="H995" s="5" t="str">
        <f aca="false">IF(B995=0,"",IF(INDEX(Bank!$H:$H,B995)="","",INDEX(Bank!$H:$H,B995)))</f>
        <v/>
      </c>
      <c r="I995" s="5" t="n">
        <f aca="false">IF(H995="",0,IFERROR(MATCH(H995,GL!$A:$A,0),0))</f>
        <v>0</v>
      </c>
      <c r="J995" s="32" t="str">
        <f aca="false">IF(I995=0,"",INDEX(GL!$B:$B,I995))</f>
        <v/>
      </c>
      <c r="K995" s="5" t="str">
        <f aca="false">IF(I995=0,"",IF(INDEX(GL!$C:$C,I995)="","",INDEX(GL!$C:$C,I995)))</f>
        <v/>
      </c>
      <c r="L995" s="19" t="str">
        <f aca="false">IF(I995=0,"",INDEX(GL!$E:$E,I995))</f>
        <v/>
      </c>
      <c r="M995" s="19" t="str">
        <f aca="false">IF(OR(B995=0,I995=0),"",ROUND(G995-L995,2))</f>
        <v/>
      </c>
      <c r="N995" s="5" t="str">
        <f aca="false">IF(A995="","",IF(B995=0,"NOT FOUND: bank ID",IF(I995=0,"NOT FOUND: GL ID",IF(INDEX(GL!$H:$H,I995)&lt;&gt;A995,"BROKEN: GL points elsewhere",IF(OR(INDEX(Bank!$F:$F,B995)&lt;&gt;"Y",INDEX(GL!$F:$F,I995)&lt;&gt;"Y"),"BROKEN: Status not Y","OK")))))</f>
        <v/>
      </c>
    </row>
    <row r="996" customFormat="false" ht="15" hidden="false" customHeight="false" outlineLevel="0" collapsed="false">
      <c r="A996" s="41"/>
      <c r="B996" s="5" t="n">
        <f aca="false">IF(A996="",0,IFERROR(MATCH(A996,Bank!$A:$A,0),0))</f>
        <v>0</v>
      </c>
      <c r="C996" s="5" t="str">
        <f aca="false">IF(B996=0,"",IF(INDEX(Bank!$G:$G,B996)="","",INDEX(Bank!$G:$G,B996)))</f>
        <v/>
      </c>
      <c r="D996" s="5" t="str">
        <f aca="false">IF(B996=0,"",IF(INDEX(Bank!$J:$J,B996)="","",INDEX(Bank!$J:$J,B996)))</f>
        <v/>
      </c>
      <c r="E996" s="32" t="str">
        <f aca="false">IF(B996=0,"",INDEX(Bank!$B:$B,B996))</f>
        <v/>
      </c>
      <c r="F996" s="5" t="str">
        <f aca="false">IF(B996=0,"",IF(INDEX(Bank!$C:$C,B996)="","",INDEX(Bank!$C:$C,B996)))</f>
        <v/>
      </c>
      <c r="G996" s="19" t="str">
        <f aca="false">IF(B996=0,"",INDEX(Bank!$E:$E,B996))</f>
        <v/>
      </c>
      <c r="H996" s="5" t="str">
        <f aca="false">IF(B996=0,"",IF(INDEX(Bank!$H:$H,B996)="","",INDEX(Bank!$H:$H,B996)))</f>
        <v/>
      </c>
      <c r="I996" s="5" t="n">
        <f aca="false">IF(H996="",0,IFERROR(MATCH(H996,GL!$A:$A,0),0))</f>
        <v>0</v>
      </c>
      <c r="J996" s="32" t="str">
        <f aca="false">IF(I996=0,"",INDEX(GL!$B:$B,I996))</f>
        <v/>
      </c>
      <c r="K996" s="5" t="str">
        <f aca="false">IF(I996=0,"",IF(INDEX(GL!$C:$C,I996)="","",INDEX(GL!$C:$C,I996)))</f>
        <v/>
      </c>
      <c r="L996" s="19" t="str">
        <f aca="false">IF(I996=0,"",INDEX(GL!$E:$E,I996))</f>
        <v/>
      </c>
      <c r="M996" s="19" t="str">
        <f aca="false">IF(OR(B996=0,I996=0),"",ROUND(G996-L996,2))</f>
        <v/>
      </c>
      <c r="N996" s="5" t="str">
        <f aca="false">IF(A996="","",IF(B996=0,"NOT FOUND: bank ID",IF(I996=0,"NOT FOUND: GL ID",IF(INDEX(GL!$H:$H,I996)&lt;&gt;A996,"BROKEN: GL points elsewhere",IF(OR(INDEX(Bank!$F:$F,B996)&lt;&gt;"Y",INDEX(GL!$F:$F,I996)&lt;&gt;"Y"),"BROKEN: Status not Y","OK")))))</f>
        <v/>
      </c>
    </row>
    <row r="997" customFormat="false" ht="15" hidden="false" customHeight="false" outlineLevel="0" collapsed="false">
      <c r="A997" s="41"/>
      <c r="B997" s="5" t="n">
        <f aca="false">IF(A997="",0,IFERROR(MATCH(A997,Bank!$A:$A,0),0))</f>
        <v>0</v>
      </c>
      <c r="C997" s="5" t="str">
        <f aca="false">IF(B997=0,"",IF(INDEX(Bank!$G:$G,B997)="","",INDEX(Bank!$G:$G,B997)))</f>
        <v/>
      </c>
      <c r="D997" s="5" t="str">
        <f aca="false">IF(B997=0,"",IF(INDEX(Bank!$J:$J,B997)="","",INDEX(Bank!$J:$J,B997)))</f>
        <v/>
      </c>
      <c r="E997" s="32" t="str">
        <f aca="false">IF(B997=0,"",INDEX(Bank!$B:$B,B997))</f>
        <v/>
      </c>
      <c r="F997" s="5" t="str">
        <f aca="false">IF(B997=0,"",IF(INDEX(Bank!$C:$C,B997)="","",INDEX(Bank!$C:$C,B997)))</f>
        <v/>
      </c>
      <c r="G997" s="19" t="str">
        <f aca="false">IF(B997=0,"",INDEX(Bank!$E:$E,B997))</f>
        <v/>
      </c>
      <c r="H997" s="5" t="str">
        <f aca="false">IF(B997=0,"",IF(INDEX(Bank!$H:$H,B997)="","",INDEX(Bank!$H:$H,B997)))</f>
        <v/>
      </c>
      <c r="I997" s="5" t="n">
        <f aca="false">IF(H997="",0,IFERROR(MATCH(H997,GL!$A:$A,0),0))</f>
        <v>0</v>
      </c>
      <c r="J997" s="32" t="str">
        <f aca="false">IF(I997=0,"",INDEX(GL!$B:$B,I997))</f>
        <v/>
      </c>
      <c r="K997" s="5" t="str">
        <f aca="false">IF(I997=0,"",IF(INDEX(GL!$C:$C,I997)="","",INDEX(GL!$C:$C,I997)))</f>
        <v/>
      </c>
      <c r="L997" s="19" t="str">
        <f aca="false">IF(I997=0,"",INDEX(GL!$E:$E,I997))</f>
        <v/>
      </c>
      <c r="M997" s="19" t="str">
        <f aca="false">IF(OR(B997=0,I997=0),"",ROUND(G997-L997,2))</f>
        <v/>
      </c>
      <c r="N997" s="5" t="str">
        <f aca="false">IF(A997="","",IF(B997=0,"NOT FOUND: bank ID",IF(I997=0,"NOT FOUND: GL ID",IF(INDEX(GL!$H:$H,I997)&lt;&gt;A997,"BROKEN: GL points elsewhere",IF(OR(INDEX(Bank!$F:$F,B997)&lt;&gt;"Y",INDEX(GL!$F:$F,I997)&lt;&gt;"Y"),"BROKEN: Status not Y","OK")))))</f>
        <v/>
      </c>
    </row>
    <row r="998" customFormat="false" ht="15" hidden="false" customHeight="false" outlineLevel="0" collapsed="false">
      <c r="A998" s="41"/>
      <c r="B998" s="5" t="n">
        <f aca="false">IF(A998="",0,IFERROR(MATCH(A998,Bank!$A:$A,0),0))</f>
        <v>0</v>
      </c>
      <c r="C998" s="5" t="str">
        <f aca="false">IF(B998=0,"",IF(INDEX(Bank!$G:$G,B998)="","",INDEX(Bank!$G:$G,B998)))</f>
        <v/>
      </c>
      <c r="D998" s="5" t="str">
        <f aca="false">IF(B998=0,"",IF(INDEX(Bank!$J:$J,B998)="","",INDEX(Bank!$J:$J,B998)))</f>
        <v/>
      </c>
      <c r="E998" s="32" t="str">
        <f aca="false">IF(B998=0,"",INDEX(Bank!$B:$B,B998))</f>
        <v/>
      </c>
      <c r="F998" s="5" t="str">
        <f aca="false">IF(B998=0,"",IF(INDEX(Bank!$C:$C,B998)="","",INDEX(Bank!$C:$C,B998)))</f>
        <v/>
      </c>
      <c r="G998" s="19" t="str">
        <f aca="false">IF(B998=0,"",INDEX(Bank!$E:$E,B998))</f>
        <v/>
      </c>
      <c r="H998" s="5" t="str">
        <f aca="false">IF(B998=0,"",IF(INDEX(Bank!$H:$H,B998)="","",INDEX(Bank!$H:$H,B998)))</f>
        <v/>
      </c>
      <c r="I998" s="5" t="n">
        <f aca="false">IF(H998="",0,IFERROR(MATCH(H998,GL!$A:$A,0),0))</f>
        <v>0</v>
      </c>
      <c r="J998" s="32" t="str">
        <f aca="false">IF(I998=0,"",INDEX(GL!$B:$B,I998))</f>
        <v/>
      </c>
      <c r="K998" s="5" t="str">
        <f aca="false">IF(I998=0,"",IF(INDEX(GL!$C:$C,I998)="","",INDEX(GL!$C:$C,I998)))</f>
        <v/>
      </c>
      <c r="L998" s="19" t="str">
        <f aca="false">IF(I998=0,"",INDEX(GL!$E:$E,I998))</f>
        <v/>
      </c>
      <c r="M998" s="19" t="str">
        <f aca="false">IF(OR(B998=0,I998=0),"",ROUND(G998-L998,2))</f>
        <v/>
      </c>
      <c r="N998" s="5" t="str">
        <f aca="false">IF(A998="","",IF(B998=0,"NOT FOUND: bank ID",IF(I998=0,"NOT FOUND: GL ID",IF(INDEX(GL!$H:$H,I998)&lt;&gt;A998,"BROKEN: GL points elsewhere",IF(OR(INDEX(Bank!$F:$F,B998)&lt;&gt;"Y",INDEX(GL!$F:$F,I998)&lt;&gt;"Y"),"BROKEN: Status not Y","OK")))))</f>
        <v/>
      </c>
    </row>
    <row r="999" customFormat="false" ht="15" hidden="false" customHeight="false" outlineLevel="0" collapsed="false">
      <c r="A999" s="41"/>
      <c r="B999" s="5" t="n">
        <f aca="false">IF(A999="",0,IFERROR(MATCH(A999,Bank!$A:$A,0),0))</f>
        <v>0</v>
      </c>
      <c r="C999" s="5" t="str">
        <f aca="false">IF(B999=0,"",IF(INDEX(Bank!$G:$G,B999)="","",INDEX(Bank!$G:$G,B999)))</f>
        <v/>
      </c>
      <c r="D999" s="5" t="str">
        <f aca="false">IF(B999=0,"",IF(INDEX(Bank!$J:$J,B999)="","",INDEX(Bank!$J:$J,B999)))</f>
        <v/>
      </c>
      <c r="E999" s="32" t="str">
        <f aca="false">IF(B999=0,"",INDEX(Bank!$B:$B,B999))</f>
        <v/>
      </c>
      <c r="F999" s="5" t="str">
        <f aca="false">IF(B999=0,"",IF(INDEX(Bank!$C:$C,B999)="","",INDEX(Bank!$C:$C,B999)))</f>
        <v/>
      </c>
      <c r="G999" s="19" t="str">
        <f aca="false">IF(B999=0,"",INDEX(Bank!$E:$E,B999))</f>
        <v/>
      </c>
      <c r="H999" s="5" t="str">
        <f aca="false">IF(B999=0,"",IF(INDEX(Bank!$H:$H,B999)="","",INDEX(Bank!$H:$H,B999)))</f>
        <v/>
      </c>
      <c r="I999" s="5" t="n">
        <f aca="false">IF(H999="",0,IFERROR(MATCH(H999,GL!$A:$A,0),0))</f>
        <v>0</v>
      </c>
      <c r="J999" s="32" t="str">
        <f aca="false">IF(I999=0,"",INDEX(GL!$B:$B,I999))</f>
        <v/>
      </c>
      <c r="K999" s="5" t="str">
        <f aca="false">IF(I999=0,"",IF(INDEX(GL!$C:$C,I999)="","",INDEX(GL!$C:$C,I999)))</f>
        <v/>
      </c>
      <c r="L999" s="19" t="str">
        <f aca="false">IF(I999=0,"",INDEX(GL!$E:$E,I999))</f>
        <v/>
      </c>
      <c r="M999" s="19" t="str">
        <f aca="false">IF(OR(B999=0,I999=0),"",ROUND(G999-L999,2))</f>
        <v/>
      </c>
      <c r="N999" s="5" t="str">
        <f aca="false">IF(A999="","",IF(B999=0,"NOT FOUND: bank ID",IF(I999=0,"NOT FOUND: GL ID",IF(INDEX(GL!$H:$H,I999)&lt;&gt;A999,"BROKEN: GL points elsewhere",IF(OR(INDEX(Bank!$F:$F,B999)&lt;&gt;"Y",INDEX(GL!$F:$F,I999)&lt;&gt;"Y"),"BROKEN: Status not Y","OK")))))</f>
        <v/>
      </c>
    </row>
    <row r="1000" customFormat="false" ht="15" hidden="false" customHeight="false" outlineLevel="0" collapsed="false">
      <c r="A1000" s="41"/>
      <c r="B1000" s="5" t="n">
        <f aca="false">IF(A1000="",0,IFERROR(MATCH(A1000,Bank!$A:$A,0),0))</f>
        <v>0</v>
      </c>
      <c r="C1000" s="5" t="str">
        <f aca="false">IF(B1000=0,"",IF(INDEX(Bank!$G:$G,B1000)="","",INDEX(Bank!$G:$G,B1000)))</f>
        <v/>
      </c>
      <c r="D1000" s="5" t="str">
        <f aca="false">IF(B1000=0,"",IF(INDEX(Bank!$J:$J,B1000)="","",INDEX(Bank!$J:$J,B1000)))</f>
        <v/>
      </c>
      <c r="E1000" s="32" t="str">
        <f aca="false">IF(B1000=0,"",INDEX(Bank!$B:$B,B1000))</f>
        <v/>
      </c>
      <c r="F1000" s="5" t="str">
        <f aca="false">IF(B1000=0,"",IF(INDEX(Bank!$C:$C,B1000)="","",INDEX(Bank!$C:$C,B1000)))</f>
        <v/>
      </c>
      <c r="G1000" s="19" t="str">
        <f aca="false">IF(B1000=0,"",INDEX(Bank!$E:$E,B1000))</f>
        <v/>
      </c>
      <c r="H1000" s="5" t="str">
        <f aca="false">IF(B1000=0,"",IF(INDEX(Bank!$H:$H,B1000)="","",INDEX(Bank!$H:$H,B1000)))</f>
        <v/>
      </c>
      <c r="I1000" s="5" t="n">
        <f aca="false">IF(H1000="",0,IFERROR(MATCH(H1000,GL!$A:$A,0),0))</f>
        <v>0</v>
      </c>
      <c r="J1000" s="32" t="str">
        <f aca="false">IF(I1000=0,"",INDEX(GL!$B:$B,I1000))</f>
        <v/>
      </c>
      <c r="K1000" s="5" t="str">
        <f aca="false">IF(I1000=0,"",IF(INDEX(GL!$C:$C,I1000)="","",INDEX(GL!$C:$C,I1000)))</f>
        <v/>
      </c>
      <c r="L1000" s="19" t="str">
        <f aca="false">IF(I1000=0,"",INDEX(GL!$E:$E,I1000))</f>
        <v/>
      </c>
      <c r="M1000" s="19" t="str">
        <f aca="false">IF(OR(B1000=0,I1000=0),"",ROUND(G1000-L1000,2))</f>
        <v/>
      </c>
      <c r="N1000" s="5" t="str">
        <f aca="false">IF(A1000="","",IF(B1000=0,"NOT FOUND: bank ID",IF(I1000=0,"NOT FOUND: GL ID",IF(INDEX(GL!$H:$H,I1000)&lt;&gt;A1000,"BROKEN: GL points elsewhere",IF(OR(INDEX(Bank!$F:$F,B1000)&lt;&gt;"Y",INDEX(GL!$F:$F,I1000)&lt;&gt;"Y"),"BROKEN: Status not Y","OK")))))</f>
        <v/>
      </c>
    </row>
    <row r="1001" customFormat="false" ht="15" hidden="false" customHeight="false" outlineLevel="0" collapsed="false">
      <c r="A1001" s="41"/>
      <c r="B1001" s="5" t="n">
        <f aca="false">IF(A1001="",0,IFERROR(MATCH(A1001,Bank!$A:$A,0),0))</f>
        <v>0</v>
      </c>
      <c r="C1001" s="5" t="str">
        <f aca="false">IF(B1001=0,"",IF(INDEX(Bank!$G:$G,B1001)="","",INDEX(Bank!$G:$G,B1001)))</f>
        <v/>
      </c>
      <c r="D1001" s="5" t="str">
        <f aca="false">IF(B1001=0,"",IF(INDEX(Bank!$J:$J,B1001)="","",INDEX(Bank!$J:$J,B1001)))</f>
        <v/>
      </c>
      <c r="E1001" s="32" t="str">
        <f aca="false">IF(B1001=0,"",INDEX(Bank!$B:$B,B1001))</f>
        <v/>
      </c>
      <c r="F1001" s="5" t="str">
        <f aca="false">IF(B1001=0,"",IF(INDEX(Bank!$C:$C,B1001)="","",INDEX(Bank!$C:$C,B1001)))</f>
        <v/>
      </c>
      <c r="G1001" s="19" t="str">
        <f aca="false">IF(B1001=0,"",INDEX(Bank!$E:$E,B1001))</f>
        <v/>
      </c>
      <c r="H1001" s="5" t="str">
        <f aca="false">IF(B1001=0,"",IF(INDEX(Bank!$H:$H,B1001)="","",INDEX(Bank!$H:$H,B1001)))</f>
        <v/>
      </c>
      <c r="I1001" s="5" t="n">
        <f aca="false">IF(H1001="",0,IFERROR(MATCH(H1001,GL!$A:$A,0),0))</f>
        <v>0</v>
      </c>
      <c r="J1001" s="32" t="str">
        <f aca="false">IF(I1001=0,"",INDEX(GL!$B:$B,I1001))</f>
        <v/>
      </c>
      <c r="K1001" s="5" t="str">
        <f aca="false">IF(I1001=0,"",IF(INDEX(GL!$C:$C,I1001)="","",INDEX(GL!$C:$C,I1001)))</f>
        <v/>
      </c>
      <c r="L1001" s="19" t="str">
        <f aca="false">IF(I1001=0,"",INDEX(GL!$E:$E,I1001))</f>
        <v/>
      </c>
      <c r="M1001" s="19" t="str">
        <f aca="false">IF(OR(B1001=0,I1001=0),"",ROUND(G1001-L1001,2))</f>
        <v/>
      </c>
      <c r="N1001" s="5" t="str">
        <f aca="false">IF(A1001="","",IF(B1001=0,"NOT FOUND: bank ID",IF(I1001=0,"NOT FOUND: GL ID",IF(INDEX(GL!$H:$H,I1001)&lt;&gt;A1001,"BROKEN: GL points elsewhere",IF(OR(INDEX(Bank!$F:$F,B1001)&lt;&gt;"Y",INDEX(GL!$F:$F,I1001)&lt;&gt;"Y"),"BROKEN: Status not Y","OK")))))</f>
        <v/>
      </c>
    </row>
    <row r="1002" customFormat="false" ht="15" hidden="false" customHeight="false" outlineLevel="0" collapsed="false">
      <c r="A1002" s="41"/>
      <c r="B1002" s="5" t="n">
        <f aca="false">IF(A1002="",0,IFERROR(MATCH(A1002,Bank!$A:$A,0),0))</f>
        <v>0</v>
      </c>
      <c r="C1002" s="5" t="str">
        <f aca="false">IF(B1002=0,"",IF(INDEX(Bank!$G:$G,B1002)="","",INDEX(Bank!$G:$G,B1002)))</f>
        <v/>
      </c>
      <c r="D1002" s="5" t="str">
        <f aca="false">IF(B1002=0,"",IF(INDEX(Bank!$J:$J,B1002)="","",INDEX(Bank!$J:$J,B1002)))</f>
        <v/>
      </c>
      <c r="E1002" s="32" t="str">
        <f aca="false">IF(B1002=0,"",INDEX(Bank!$B:$B,B1002))</f>
        <v/>
      </c>
      <c r="F1002" s="5" t="str">
        <f aca="false">IF(B1002=0,"",IF(INDEX(Bank!$C:$C,B1002)="","",INDEX(Bank!$C:$C,B1002)))</f>
        <v/>
      </c>
      <c r="G1002" s="19" t="str">
        <f aca="false">IF(B1002=0,"",INDEX(Bank!$E:$E,B1002))</f>
        <v/>
      </c>
      <c r="H1002" s="5" t="str">
        <f aca="false">IF(B1002=0,"",IF(INDEX(Bank!$H:$H,B1002)="","",INDEX(Bank!$H:$H,B1002)))</f>
        <v/>
      </c>
      <c r="I1002" s="5" t="n">
        <f aca="false">IF(H1002="",0,IFERROR(MATCH(H1002,GL!$A:$A,0),0))</f>
        <v>0</v>
      </c>
      <c r="J1002" s="32" t="str">
        <f aca="false">IF(I1002=0,"",INDEX(GL!$B:$B,I1002))</f>
        <v/>
      </c>
      <c r="K1002" s="5" t="str">
        <f aca="false">IF(I1002=0,"",IF(INDEX(GL!$C:$C,I1002)="","",INDEX(GL!$C:$C,I1002)))</f>
        <v/>
      </c>
      <c r="L1002" s="19" t="str">
        <f aca="false">IF(I1002=0,"",INDEX(GL!$E:$E,I1002))</f>
        <v/>
      </c>
      <c r="M1002" s="19" t="str">
        <f aca="false">IF(OR(B1002=0,I1002=0),"",ROUND(G1002-L1002,2))</f>
        <v/>
      </c>
      <c r="N1002" s="5" t="str">
        <f aca="false">IF(A1002="","",IF(B1002=0,"NOT FOUND: bank ID",IF(I1002=0,"NOT FOUND: GL ID",IF(INDEX(GL!$H:$H,I1002)&lt;&gt;A1002,"BROKEN: GL points elsewhere",IF(OR(INDEX(Bank!$F:$F,B1002)&lt;&gt;"Y",INDEX(GL!$F:$F,I1002)&lt;&gt;"Y"),"BROKEN: Status not Y","OK")))))</f>
        <v/>
      </c>
    </row>
    <row r="1003" customFormat="false" ht="15" hidden="false" customHeight="false" outlineLevel="0" collapsed="false">
      <c r="A1003" s="41"/>
      <c r="B1003" s="5" t="n">
        <f aca="false">IF(A1003="",0,IFERROR(MATCH(A1003,Bank!$A:$A,0),0))</f>
        <v>0</v>
      </c>
      <c r="C1003" s="5" t="str">
        <f aca="false">IF(B1003=0,"",IF(INDEX(Bank!$G:$G,B1003)="","",INDEX(Bank!$G:$G,B1003)))</f>
        <v/>
      </c>
      <c r="D1003" s="5" t="str">
        <f aca="false">IF(B1003=0,"",IF(INDEX(Bank!$J:$J,B1003)="","",INDEX(Bank!$J:$J,B1003)))</f>
        <v/>
      </c>
      <c r="E1003" s="32" t="str">
        <f aca="false">IF(B1003=0,"",INDEX(Bank!$B:$B,B1003))</f>
        <v/>
      </c>
      <c r="F1003" s="5" t="str">
        <f aca="false">IF(B1003=0,"",IF(INDEX(Bank!$C:$C,B1003)="","",INDEX(Bank!$C:$C,B1003)))</f>
        <v/>
      </c>
      <c r="G1003" s="19" t="str">
        <f aca="false">IF(B1003=0,"",INDEX(Bank!$E:$E,B1003))</f>
        <v/>
      </c>
      <c r="H1003" s="5" t="str">
        <f aca="false">IF(B1003=0,"",IF(INDEX(Bank!$H:$H,B1003)="","",INDEX(Bank!$H:$H,B1003)))</f>
        <v/>
      </c>
      <c r="I1003" s="5" t="n">
        <f aca="false">IF(H1003="",0,IFERROR(MATCH(H1003,GL!$A:$A,0),0))</f>
        <v>0</v>
      </c>
      <c r="J1003" s="32" t="str">
        <f aca="false">IF(I1003=0,"",INDEX(GL!$B:$B,I1003))</f>
        <v/>
      </c>
      <c r="K1003" s="5" t="str">
        <f aca="false">IF(I1003=0,"",IF(INDEX(GL!$C:$C,I1003)="","",INDEX(GL!$C:$C,I1003)))</f>
        <v/>
      </c>
      <c r="L1003" s="19" t="str">
        <f aca="false">IF(I1003=0,"",INDEX(GL!$E:$E,I1003))</f>
        <v/>
      </c>
      <c r="M1003" s="19" t="str">
        <f aca="false">IF(OR(B1003=0,I1003=0),"",ROUND(G1003-L1003,2))</f>
        <v/>
      </c>
      <c r="N1003" s="5" t="str">
        <f aca="false">IF(A1003="","",IF(B1003=0,"NOT FOUND: bank ID",IF(I1003=0,"NOT FOUND: GL ID",IF(INDEX(GL!$H:$H,I1003)&lt;&gt;A1003,"BROKEN: GL points elsewhere",IF(OR(INDEX(Bank!$F:$F,B1003)&lt;&gt;"Y",INDEX(GL!$F:$F,I1003)&lt;&gt;"Y"),"BROKEN: Status not Y","OK")))))</f>
        <v/>
      </c>
    </row>
    <row r="1004" customFormat="false" ht="15" hidden="false" customHeight="false" outlineLevel="0" collapsed="false">
      <c r="A1004" s="41"/>
      <c r="B1004" s="5" t="n">
        <f aca="false">IF(A1004="",0,IFERROR(MATCH(A1004,Bank!$A:$A,0),0))</f>
        <v>0</v>
      </c>
      <c r="C1004" s="5" t="str">
        <f aca="false">IF(B1004=0,"",IF(INDEX(Bank!$G:$G,B1004)="","",INDEX(Bank!$G:$G,B1004)))</f>
        <v/>
      </c>
      <c r="D1004" s="5" t="str">
        <f aca="false">IF(B1004=0,"",IF(INDEX(Bank!$J:$J,B1004)="","",INDEX(Bank!$J:$J,B1004)))</f>
        <v/>
      </c>
      <c r="E1004" s="32" t="str">
        <f aca="false">IF(B1004=0,"",INDEX(Bank!$B:$B,B1004))</f>
        <v/>
      </c>
      <c r="F1004" s="5" t="str">
        <f aca="false">IF(B1004=0,"",IF(INDEX(Bank!$C:$C,B1004)="","",INDEX(Bank!$C:$C,B1004)))</f>
        <v/>
      </c>
      <c r="G1004" s="19" t="str">
        <f aca="false">IF(B1004=0,"",INDEX(Bank!$E:$E,B1004))</f>
        <v/>
      </c>
      <c r="H1004" s="5" t="str">
        <f aca="false">IF(B1004=0,"",IF(INDEX(Bank!$H:$H,B1004)="","",INDEX(Bank!$H:$H,B1004)))</f>
        <v/>
      </c>
      <c r="I1004" s="5" t="n">
        <f aca="false">IF(H1004="",0,IFERROR(MATCH(H1004,GL!$A:$A,0),0))</f>
        <v>0</v>
      </c>
      <c r="J1004" s="32" t="str">
        <f aca="false">IF(I1004=0,"",INDEX(GL!$B:$B,I1004))</f>
        <v/>
      </c>
      <c r="K1004" s="5" t="str">
        <f aca="false">IF(I1004=0,"",IF(INDEX(GL!$C:$C,I1004)="","",INDEX(GL!$C:$C,I1004)))</f>
        <v/>
      </c>
      <c r="L1004" s="19" t="str">
        <f aca="false">IF(I1004=0,"",INDEX(GL!$E:$E,I1004))</f>
        <v/>
      </c>
      <c r="M1004" s="19" t="str">
        <f aca="false">IF(OR(B1004=0,I1004=0),"",ROUND(G1004-L1004,2))</f>
        <v/>
      </c>
      <c r="N1004" s="5" t="str">
        <f aca="false">IF(A1004="","",IF(B1004=0,"NOT FOUND: bank ID",IF(I1004=0,"NOT FOUND: GL ID",IF(INDEX(GL!$H:$H,I1004)&lt;&gt;A1004,"BROKEN: GL points elsewhere",IF(OR(INDEX(Bank!$F:$F,B1004)&lt;&gt;"Y",INDEX(GL!$F:$F,I1004)&lt;&gt;"Y"),"BROKEN: Status not Y","OK")))))</f>
        <v/>
      </c>
    </row>
    <row r="1005" customFormat="false" ht="15" hidden="false" customHeight="false" outlineLevel="0" collapsed="false">
      <c r="A1005" s="41"/>
      <c r="B1005" s="5" t="n">
        <f aca="false">IF(A1005="",0,IFERROR(MATCH(A1005,Bank!$A:$A,0),0))</f>
        <v>0</v>
      </c>
      <c r="C1005" s="5" t="str">
        <f aca="false">IF(B1005=0,"",IF(INDEX(Bank!$G:$G,B1005)="","",INDEX(Bank!$G:$G,B1005)))</f>
        <v/>
      </c>
      <c r="D1005" s="5" t="str">
        <f aca="false">IF(B1005=0,"",IF(INDEX(Bank!$J:$J,B1005)="","",INDEX(Bank!$J:$J,B1005)))</f>
        <v/>
      </c>
      <c r="E1005" s="32" t="str">
        <f aca="false">IF(B1005=0,"",INDEX(Bank!$B:$B,B1005))</f>
        <v/>
      </c>
      <c r="F1005" s="5" t="str">
        <f aca="false">IF(B1005=0,"",IF(INDEX(Bank!$C:$C,B1005)="","",INDEX(Bank!$C:$C,B1005)))</f>
        <v/>
      </c>
      <c r="G1005" s="19" t="str">
        <f aca="false">IF(B1005=0,"",INDEX(Bank!$E:$E,B1005))</f>
        <v/>
      </c>
      <c r="H1005" s="5" t="str">
        <f aca="false">IF(B1005=0,"",IF(INDEX(Bank!$H:$H,B1005)="","",INDEX(Bank!$H:$H,B1005)))</f>
        <v/>
      </c>
      <c r="I1005" s="5" t="n">
        <f aca="false">IF(H1005="",0,IFERROR(MATCH(H1005,GL!$A:$A,0),0))</f>
        <v>0</v>
      </c>
      <c r="J1005" s="32" t="str">
        <f aca="false">IF(I1005=0,"",INDEX(GL!$B:$B,I1005))</f>
        <v/>
      </c>
      <c r="K1005" s="5" t="str">
        <f aca="false">IF(I1005=0,"",IF(INDEX(GL!$C:$C,I1005)="","",INDEX(GL!$C:$C,I1005)))</f>
        <v/>
      </c>
      <c r="L1005" s="19" t="str">
        <f aca="false">IF(I1005=0,"",INDEX(GL!$E:$E,I1005))</f>
        <v/>
      </c>
      <c r="M1005" s="19" t="str">
        <f aca="false">IF(OR(B1005=0,I1005=0),"",ROUND(G1005-L1005,2))</f>
        <v/>
      </c>
      <c r="N1005" s="5" t="str">
        <f aca="false">IF(A1005="","",IF(B1005=0,"NOT FOUND: bank ID",IF(I1005=0,"NOT FOUND: GL ID",IF(INDEX(GL!$H:$H,I1005)&lt;&gt;A1005,"BROKEN: GL points elsewhere",IF(OR(INDEX(Bank!$F:$F,B1005)&lt;&gt;"Y",INDEX(GL!$F:$F,I1005)&lt;&gt;"Y"),"BROKEN: Status not Y","OK")))))</f>
        <v/>
      </c>
    </row>
    <row r="1006" customFormat="false" ht="15" hidden="false" customHeight="false" outlineLevel="0" collapsed="false">
      <c r="A1006" s="41"/>
      <c r="B1006" s="5" t="n">
        <f aca="false">IF(A1006="",0,IFERROR(MATCH(A1006,Bank!$A:$A,0),0))</f>
        <v>0</v>
      </c>
      <c r="C1006" s="5" t="str">
        <f aca="false">IF(B1006=0,"",IF(INDEX(Bank!$G:$G,B1006)="","",INDEX(Bank!$G:$G,B1006)))</f>
        <v/>
      </c>
      <c r="D1006" s="5" t="str">
        <f aca="false">IF(B1006=0,"",IF(INDEX(Bank!$J:$J,B1006)="","",INDEX(Bank!$J:$J,B1006)))</f>
        <v/>
      </c>
      <c r="E1006" s="32" t="str">
        <f aca="false">IF(B1006=0,"",INDEX(Bank!$B:$B,B1006))</f>
        <v/>
      </c>
      <c r="F1006" s="5" t="str">
        <f aca="false">IF(B1006=0,"",IF(INDEX(Bank!$C:$C,B1006)="","",INDEX(Bank!$C:$C,B1006)))</f>
        <v/>
      </c>
      <c r="G1006" s="19" t="str">
        <f aca="false">IF(B1006=0,"",INDEX(Bank!$E:$E,B1006))</f>
        <v/>
      </c>
      <c r="H1006" s="5" t="str">
        <f aca="false">IF(B1006=0,"",IF(INDEX(Bank!$H:$H,B1006)="","",INDEX(Bank!$H:$H,B1006)))</f>
        <v/>
      </c>
      <c r="I1006" s="5" t="n">
        <f aca="false">IF(H1006="",0,IFERROR(MATCH(H1006,GL!$A:$A,0),0))</f>
        <v>0</v>
      </c>
      <c r="J1006" s="32" t="str">
        <f aca="false">IF(I1006=0,"",INDEX(GL!$B:$B,I1006))</f>
        <v/>
      </c>
      <c r="K1006" s="5" t="str">
        <f aca="false">IF(I1006=0,"",IF(INDEX(GL!$C:$C,I1006)="","",INDEX(GL!$C:$C,I1006)))</f>
        <v/>
      </c>
      <c r="L1006" s="19" t="str">
        <f aca="false">IF(I1006=0,"",INDEX(GL!$E:$E,I1006))</f>
        <v/>
      </c>
      <c r="M1006" s="19" t="str">
        <f aca="false">IF(OR(B1006=0,I1006=0),"",ROUND(G1006-L1006,2))</f>
        <v/>
      </c>
      <c r="N1006" s="5" t="str">
        <f aca="false">IF(A1006="","",IF(B1006=0,"NOT FOUND: bank ID",IF(I1006=0,"NOT FOUND: GL ID",IF(INDEX(GL!$H:$H,I1006)&lt;&gt;A1006,"BROKEN: GL points elsewhere",IF(OR(INDEX(Bank!$F:$F,B1006)&lt;&gt;"Y",INDEX(GL!$F:$F,I1006)&lt;&gt;"Y"),"BROKEN: Status not Y","OK")))))</f>
        <v/>
      </c>
    </row>
    <row r="1007" customFormat="false" ht="15" hidden="false" customHeight="false" outlineLevel="0" collapsed="false">
      <c r="A1007" s="41"/>
      <c r="B1007" s="5" t="n">
        <f aca="false">IF(A1007="",0,IFERROR(MATCH(A1007,Bank!$A:$A,0),0))</f>
        <v>0</v>
      </c>
      <c r="C1007" s="5" t="str">
        <f aca="false">IF(B1007=0,"",IF(INDEX(Bank!$G:$G,B1007)="","",INDEX(Bank!$G:$G,B1007)))</f>
        <v/>
      </c>
      <c r="D1007" s="5" t="str">
        <f aca="false">IF(B1007=0,"",IF(INDEX(Bank!$J:$J,B1007)="","",INDEX(Bank!$J:$J,B1007)))</f>
        <v/>
      </c>
      <c r="E1007" s="32" t="str">
        <f aca="false">IF(B1007=0,"",INDEX(Bank!$B:$B,B1007))</f>
        <v/>
      </c>
      <c r="F1007" s="5" t="str">
        <f aca="false">IF(B1007=0,"",IF(INDEX(Bank!$C:$C,B1007)="","",INDEX(Bank!$C:$C,B1007)))</f>
        <v/>
      </c>
      <c r="G1007" s="19" t="str">
        <f aca="false">IF(B1007=0,"",INDEX(Bank!$E:$E,B1007))</f>
        <v/>
      </c>
      <c r="H1007" s="5" t="str">
        <f aca="false">IF(B1007=0,"",IF(INDEX(Bank!$H:$H,B1007)="","",INDEX(Bank!$H:$H,B1007)))</f>
        <v/>
      </c>
      <c r="I1007" s="5" t="n">
        <f aca="false">IF(H1007="",0,IFERROR(MATCH(H1007,GL!$A:$A,0),0))</f>
        <v>0</v>
      </c>
      <c r="J1007" s="32" t="str">
        <f aca="false">IF(I1007=0,"",INDEX(GL!$B:$B,I1007))</f>
        <v/>
      </c>
      <c r="K1007" s="5" t="str">
        <f aca="false">IF(I1007=0,"",IF(INDEX(GL!$C:$C,I1007)="","",INDEX(GL!$C:$C,I1007)))</f>
        <v/>
      </c>
      <c r="L1007" s="19" t="str">
        <f aca="false">IF(I1007=0,"",INDEX(GL!$E:$E,I1007))</f>
        <v/>
      </c>
      <c r="M1007" s="19" t="str">
        <f aca="false">IF(OR(B1007=0,I1007=0),"",ROUND(G1007-L1007,2))</f>
        <v/>
      </c>
      <c r="N1007" s="5" t="str">
        <f aca="false">IF(A1007="","",IF(B1007=0,"NOT FOUND: bank ID",IF(I1007=0,"NOT FOUND: GL ID",IF(INDEX(GL!$H:$H,I1007)&lt;&gt;A1007,"BROKEN: GL points elsewhere",IF(OR(INDEX(Bank!$F:$F,B1007)&lt;&gt;"Y",INDEX(GL!$F:$F,I1007)&lt;&gt;"Y"),"BROKEN: Status not Y","OK")))))</f>
        <v/>
      </c>
    </row>
    <row r="1008" customFormat="false" ht="15" hidden="false" customHeight="false" outlineLevel="0" collapsed="false">
      <c r="A1008" s="41"/>
      <c r="B1008" s="5" t="n">
        <f aca="false">IF(A1008="",0,IFERROR(MATCH(A1008,Bank!$A:$A,0),0))</f>
        <v>0</v>
      </c>
      <c r="C1008" s="5" t="str">
        <f aca="false">IF(B1008=0,"",IF(INDEX(Bank!$G:$G,B1008)="","",INDEX(Bank!$G:$G,B1008)))</f>
        <v/>
      </c>
      <c r="D1008" s="5" t="str">
        <f aca="false">IF(B1008=0,"",IF(INDEX(Bank!$J:$J,B1008)="","",INDEX(Bank!$J:$J,B1008)))</f>
        <v/>
      </c>
      <c r="E1008" s="32" t="str">
        <f aca="false">IF(B1008=0,"",INDEX(Bank!$B:$B,B1008))</f>
        <v/>
      </c>
      <c r="F1008" s="5" t="str">
        <f aca="false">IF(B1008=0,"",IF(INDEX(Bank!$C:$C,B1008)="","",INDEX(Bank!$C:$C,B1008)))</f>
        <v/>
      </c>
      <c r="G1008" s="19" t="str">
        <f aca="false">IF(B1008=0,"",INDEX(Bank!$E:$E,B1008))</f>
        <v/>
      </c>
      <c r="H1008" s="5" t="str">
        <f aca="false">IF(B1008=0,"",IF(INDEX(Bank!$H:$H,B1008)="","",INDEX(Bank!$H:$H,B1008)))</f>
        <v/>
      </c>
      <c r="I1008" s="5" t="n">
        <f aca="false">IF(H1008="",0,IFERROR(MATCH(H1008,GL!$A:$A,0),0))</f>
        <v>0</v>
      </c>
      <c r="J1008" s="32" t="str">
        <f aca="false">IF(I1008=0,"",INDEX(GL!$B:$B,I1008))</f>
        <v/>
      </c>
      <c r="K1008" s="5" t="str">
        <f aca="false">IF(I1008=0,"",IF(INDEX(GL!$C:$C,I1008)="","",INDEX(GL!$C:$C,I1008)))</f>
        <v/>
      </c>
      <c r="L1008" s="19" t="str">
        <f aca="false">IF(I1008=0,"",INDEX(GL!$E:$E,I1008))</f>
        <v/>
      </c>
      <c r="M1008" s="19" t="str">
        <f aca="false">IF(OR(B1008=0,I1008=0),"",ROUND(G1008-L1008,2))</f>
        <v/>
      </c>
      <c r="N1008" s="5" t="str">
        <f aca="false">IF(A1008="","",IF(B1008=0,"NOT FOUND: bank ID",IF(I1008=0,"NOT FOUND: GL ID",IF(INDEX(GL!$H:$H,I1008)&lt;&gt;A1008,"BROKEN: GL points elsewhere",IF(OR(INDEX(Bank!$F:$F,B1008)&lt;&gt;"Y",INDEX(GL!$F:$F,I1008)&lt;&gt;"Y"),"BROKEN: Status not Y","OK")))))</f>
        <v/>
      </c>
    </row>
    <row r="1009" customFormat="false" ht="15" hidden="false" customHeight="false" outlineLevel="0" collapsed="false">
      <c r="A1009" s="41"/>
      <c r="B1009" s="5" t="n">
        <f aca="false">IF(A1009="",0,IFERROR(MATCH(A1009,Bank!$A:$A,0),0))</f>
        <v>0</v>
      </c>
      <c r="C1009" s="5" t="str">
        <f aca="false">IF(B1009=0,"",IF(INDEX(Bank!$G:$G,B1009)="","",INDEX(Bank!$G:$G,B1009)))</f>
        <v/>
      </c>
      <c r="D1009" s="5" t="str">
        <f aca="false">IF(B1009=0,"",IF(INDEX(Bank!$J:$J,B1009)="","",INDEX(Bank!$J:$J,B1009)))</f>
        <v/>
      </c>
      <c r="E1009" s="32" t="str">
        <f aca="false">IF(B1009=0,"",INDEX(Bank!$B:$B,B1009))</f>
        <v/>
      </c>
      <c r="F1009" s="5" t="str">
        <f aca="false">IF(B1009=0,"",IF(INDEX(Bank!$C:$C,B1009)="","",INDEX(Bank!$C:$C,B1009)))</f>
        <v/>
      </c>
      <c r="G1009" s="19" t="str">
        <f aca="false">IF(B1009=0,"",INDEX(Bank!$E:$E,B1009))</f>
        <v/>
      </c>
      <c r="H1009" s="5" t="str">
        <f aca="false">IF(B1009=0,"",IF(INDEX(Bank!$H:$H,B1009)="","",INDEX(Bank!$H:$H,B1009)))</f>
        <v/>
      </c>
      <c r="I1009" s="5" t="n">
        <f aca="false">IF(H1009="",0,IFERROR(MATCH(H1009,GL!$A:$A,0),0))</f>
        <v>0</v>
      </c>
      <c r="J1009" s="32" t="str">
        <f aca="false">IF(I1009=0,"",INDEX(GL!$B:$B,I1009))</f>
        <v/>
      </c>
      <c r="K1009" s="5" t="str">
        <f aca="false">IF(I1009=0,"",IF(INDEX(GL!$C:$C,I1009)="","",INDEX(GL!$C:$C,I1009)))</f>
        <v/>
      </c>
      <c r="L1009" s="19" t="str">
        <f aca="false">IF(I1009=0,"",INDEX(GL!$E:$E,I1009))</f>
        <v/>
      </c>
      <c r="M1009" s="19" t="str">
        <f aca="false">IF(OR(B1009=0,I1009=0),"",ROUND(G1009-L1009,2))</f>
        <v/>
      </c>
      <c r="N1009" s="5" t="str">
        <f aca="false">IF(A1009="","",IF(B1009=0,"NOT FOUND: bank ID",IF(I1009=0,"NOT FOUND: GL ID",IF(INDEX(GL!$H:$H,I1009)&lt;&gt;A1009,"BROKEN: GL points elsewhere",IF(OR(INDEX(Bank!$F:$F,B1009)&lt;&gt;"Y",INDEX(GL!$F:$F,I1009)&lt;&gt;"Y"),"BROKEN: Status not Y","OK")))))</f>
        <v/>
      </c>
    </row>
    <row r="1010" customFormat="false" ht="15" hidden="false" customHeight="false" outlineLevel="0" collapsed="false">
      <c r="A1010" s="41"/>
      <c r="B1010" s="5" t="n">
        <f aca="false">IF(A1010="",0,IFERROR(MATCH(A1010,Bank!$A:$A,0),0))</f>
        <v>0</v>
      </c>
      <c r="C1010" s="5" t="str">
        <f aca="false">IF(B1010=0,"",IF(INDEX(Bank!$G:$G,B1010)="","",INDEX(Bank!$G:$G,B1010)))</f>
        <v/>
      </c>
      <c r="D1010" s="5" t="str">
        <f aca="false">IF(B1010=0,"",IF(INDEX(Bank!$J:$J,B1010)="","",INDEX(Bank!$J:$J,B1010)))</f>
        <v/>
      </c>
      <c r="E1010" s="32" t="str">
        <f aca="false">IF(B1010=0,"",INDEX(Bank!$B:$B,B1010))</f>
        <v/>
      </c>
      <c r="F1010" s="5" t="str">
        <f aca="false">IF(B1010=0,"",IF(INDEX(Bank!$C:$C,B1010)="","",INDEX(Bank!$C:$C,B1010)))</f>
        <v/>
      </c>
      <c r="G1010" s="19" t="str">
        <f aca="false">IF(B1010=0,"",INDEX(Bank!$E:$E,B1010))</f>
        <v/>
      </c>
      <c r="H1010" s="5" t="str">
        <f aca="false">IF(B1010=0,"",IF(INDEX(Bank!$H:$H,B1010)="","",INDEX(Bank!$H:$H,B1010)))</f>
        <v/>
      </c>
      <c r="I1010" s="5" t="n">
        <f aca="false">IF(H1010="",0,IFERROR(MATCH(H1010,GL!$A:$A,0),0))</f>
        <v>0</v>
      </c>
      <c r="J1010" s="32" t="str">
        <f aca="false">IF(I1010=0,"",INDEX(GL!$B:$B,I1010))</f>
        <v/>
      </c>
      <c r="K1010" s="5" t="str">
        <f aca="false">IF(I1010=0,"",IF(INDEX(GL!$C:$C,I1010)="","",INDEX(GL!$C:$C,I1010)))</f>
        <v/>
      </c>
      <c r="L1010" s="19" t="str">
        <f aca="false">IF(I1010=0,"",INDEX(GL!$E:$E,I1010))</f>
        <v/>
      </c>
      <c r="M1010" s="19" t="str">
        <f aca="false">IF(OR(B1010=0,I1010=0),"",ROUND(G1010-L1010,2))</f>
        <v/>
      </c>
      <c r="N1010" s="5" t="str">
        <f aca="false">IF(A1010="","",IF(B1010=0,"NOT FOUND: bank ID",IF(I1010=0,"NOT FOUND: GL ID",IF(INDEX(GL!$H:$H,I1010)&lt;&gt;A1010,"BROKEN: GL points elsewhere",IF(OR(INDEX(Bank!$F:$F,B1010)&lt;&gt;"Y",INDEX(GL!$F:$F,I1010)&lt;&gt;"Y"),"BROKEN: Status not Y","OK")))))</f>
        <v/>
      </c>
    </row>
    <row r="1011" customFormat="false" ht="15" hidden="false" customHeight="false" outlineLevel="0" collapsed="false">
      <c r="A1011" s="41"/>
      <c r="B1011" s="5" t="n">
        <f aca="false">IF(A1011="",0,IFERROR(MATCH(A1011,Bank!$A:$A,0),0))</f>
        <v>0</v>
      </c>
      <c r="C1011" s="5" t="str">
        <f aca="false">IF(B1011=0,"",IF(INDEX(Bank!$G:$G,B1011)="","",INDEX(Bank!$G:$G,B1011)))</f>
        <v/>
      </c>
      <c r="D1011" s="5" t="str">
        <f aca="false">IF(B1011=0,"",IF(INDEX(Bank!$J:$J,B1011)="","",INDEX(Bank!$J:$J,B1011)))</f>
        <v/>
      </c>
      <c r="E1011" s="32" t="str">
        <f aca="false">IF(B1011=0,"",INDEX(Bank!$B:$B,B1011))</f>
        <v/>
      </c>
      <c r="F1011" s="5" t="str">
        <f aca="false">IF(B1011=0,"",IF(INDEX(Bank!$C:$C,B1011)="","",INDEX(Bank!$C:$C,B1011)))</f>
        <v/>
      </c>
      <c r="G1011" s="19" t="str">
        <f aca="false">IF(B1011=0,"",INDEX(Bank!$E:$E,B1011))</f>
        <v/>
      </c>
      <c r="H1011" s="5" t="str">
        <f aca="false">IF(B1011=0,"",IF(INDEX(Bank!$H:$H,B1011)="","",INDEX(Bank!$H:$H,B1011)))</f>
        <v/>
      </c>
      <c r="I1011" s="5" t="n">
        <f aca="false">IF(H1011="",0,IFERROR(MATCH(H1011,GL!$A:$A,0),0))</f>
        <v>0</v>
      </c>
      <c r="J1011" s="32" t="str">
        <f aca="false">IF(I1011=0,"",INDEX(GL!$B:$B,I1011))</f>
        <v/>
      </c>
      <c r="K1011" s="5" t="str">
        <f aca="false">IF(I1011=0,"",IF(INDEX(GL!$C:$C,I1011)="","",INDEX(GL!$C:$C,I1011)))</f>
        <v/>
      </c>
      <c r="L1011" s="19" t="str">
        <f aca="false">IF(I1011=0,"",INDEX(GL!$E:$E,I1011))</f>
        <v/>
      </c>
      <c r="M1011" s="19" t="str">
        <f aca="false">IF(OR(B1011=0,I1011=0),"",ROUND(G1011-L1011,2))</f>
        <v/>
      </c>
      <c r="N1011" s="5" t="str">
        <f aca="false">IF(A1011="","",IF(B1011=0,"NOT FOUND: bank ID",IF(I1011=0,"NOT FOUND: GL ID",IF(INDEX(GL!$H:$H,I1011)&lt;&gt;A1011,"BROKEN: GL points elsewhere",IF(OR(INDEX(Bank!$F:$F,B1011)&lt;&gt;"Y",INDEX(GL!$F:$F,I1011)&lt;&gt;"Y"),"BROKEN: Status not Y","OK")))))</f>
        <v/>
      </c>
    </row>
    <row r="1012" customFormat="false" ht="15" hidden="false" customHeight="false" outlineLevel="0" collapsed="false">
      <c r="A1012" s="41"/>
      <c r="B1012" s="5" t="n">
        <f aca="false">IF(A1012="",0,IFERROR(MATCH(A1012,Bank!$A:$A,0),0))</f>
        <v>0</v>
      </c>
      <c r="C1012" s="5" t="str">
        <f aca="false">IF(B1012=0,"",IF(INDEX(Bank!$G:$G,B1012)="","",INDEX(Bank!$G:$G,B1012)))</f>
        <v/>
      </c>
      <c r="D1012" s="5" t="str">
        <f aca="false">IF(B1012=0,"",IF(INDEX(Bank!$J:$J,B1012)="","",INDEX(Bank!$J:$J,B1012)))</f>
        <v/>
      </c>
      <c r="E1012" s="32" t="str">
        <f aca="false">IF(B1012=0,"",INDEX(Bank!$B:$B,B1012))</f>
        <v/>
      </c>
      <c r="F1012" s="5" t="str">
        <f aca="false">IF(B1012=0,"",IF(INDEX(Bank!$C:$C,B1012)="","",INDEX(Bank!$C:$C,B1012)))</f>
        <v/>
      </c>
      <c r="G1012" s="19" t="str">
        <f aca="false">IF(B1012=0,"",INDEX(Bank!$E:$E,B1012))</f>
        <v/>
      </c>
      <c r="H1012" s="5" t="str">
        <f aca="false">IF(B1012=0,"",IF(INDEX(Bank!$H:$H,B1012)="","",INDEX(Bank!$H:$H,B1012)))</f>
        <v/>
      </c>
      <c r="I1012" s="5" t="n">
        <f aca="false">IF(H1012="",0,IFERROR(MATCH(H1012,GL!$A:$A,0),0))</f>
        <v>0</v>
      </c>
      <c r="J1012" s="32" t="str">
        <f aca="false">IF(I1012=0,"",INDEX(GL!$B:$B,I1012))</f>
        <v/>
      </c>
      <c r="K1012" s="5" t="str">
        <f aca="false">IF(I1012=0,"",IF(INDEX(GL!$C:$C,I1012)="","",INDEX(GL!$C:$C,I1012)))</f>
        <v/>
      </c>
      <c r="L1012" s="19" t="str">
        <f aca="false">IF(I1012=0,"",INDEX(GL!$E:$E,I1012))</f>
        <v/>
      </c>
      <c r="M1012" s="19" t="str">
        <f aca="false">IF(OR(B1012=0,I1012=0),"",ROUND(G1012-L1012,2))</f>
        <v/>
      </c>
      <c r="N1012" s="5" t="str">
        <f aca="false">IF(A1012="","",IF(B1012=0,"NOT FOUND: bank ID",IF(I1012=0,"NOT FOUND: GL ID",IF(INDEX(GL!$H:$H,I1012)&lt;&gt;A1012,"BROKEN: GL points elsewhere",IF(OR(INDEX(Bank!$F:$F,B1012)&lt;&gt;"Y",INDEX(GL!$F:$F,I1012)&lt;&gt;"Y"),"BROKEN: Status not Y","OK")))))</f>
        <v/>
      </c>
    </row>
    <row r="1013" customFormat="false" ht="15" hidden="false" customHeight="false" outlineLevel="0" collapsed="false">
      <c r="A1013" s="41"/>
      <c r="B1013" s="5" t="n">
        <f aca="false">IF(A1013="",0,IFERROR(MATCH(A1013,Bank!$A:$A,0),0))</f>
        <v>0</v>
      </c>
      <c r="C1013" s="5" t="str">
        <f aca="false">IF(B1013=0,"",IF(INDEX(Bank!$G:$G,B1013)="","",INDEX(Bank!$G:$G,B1013)))</f>
        <v/>
      </c>
      <c r="D1013" s="5" t="str">
        <f aca="false">IF(B1013=0,"",IF(INDEX(Bank!$J:$J,B1013)="","",INDEX(Bank!$J:$J,B1013)))</f>
        <v/>
      </c>
      <c r="E1013" s="32" t="str">
        <f aca="false">IF(B1013=0,"",INDEX(Bank!$B:$B,B1013))</f>
        <v/>
      </c>
      <c r="F1013" s="5" t="str">
        <f aca="false">IF(B1013=0,"",IF(INDEX(Bank!$C:$C,B1013)="","",INDEX(Bank!$C:$C,B1013)))</f>
        <v/>
      </c>
      <c r="G1013" s="19" t="str">
        <f aca="false">IF(B1013=0,"",INDEX(Bank!$E:$E,B1013))</f>
        <v/>
      </c>
      <c r="H1013" s="5" t="str">
        <f aca="false">IF(B1013=0,"",IF(INDEX(Bank!$H:$H,B1013)="","",INDEX(Bank!$H:$H,B1013)))</f>
        <v/>
      </c>
      <c r="I1013" s="5" t="n">
        <f aca="false">IF(H1013="",0,IFERROR(MATCH(H1013,GL!$A:$A,0),0))</f>
        <v>0</v>
      </c>
      <c r="J1013" s="32" t="str">
        <f aca="false">IF(I1013=0,"",INDEX(GL!$B:$B,I1013))</f>
        <v/>
      </c>
      <c r="K1013" s="5" t="str">
        <f aca="false">IF(I1013=0,"",IF(INDEX(GL!$C:$C,I1013)="","",INDEX(GL!$C:$C,I1013)))</f>
        <v/>
      </c>
      <c r="L1013" s="19" t="str">
        <f aca="false">IF(I1013=0,"",INDEX(GL!$E:$E,I1013))</f>
        <v/>
      </c>
      <c r="M1013" s="19" t="str">
        <f aca="false">IF(OR(B1013=0,I1013=0),"",ROUND(G1013-L1013,2))</f>
        <v/>
      </c>
      <c r="N1013" s="5" t="str">
        <f aca="false">IF(A1013="","",IF(B1013=0,"NOT FOUND: bank ID",IF(I1013=0,"NOT FOUND: GL ID",IF(INDEX(GL!$H:$H,I1013)&lt;&gt;A1013,"BROKEN: GL points elsewhere",IF(OR(INDEX(Bank!$F:$F,B1013)&lt;&gt;"Y",INDEX(GL!$F:$F,I1013)&lt;&gt;"Y"),"BROKEN: Status not Y","OK")))))</f>
        <v/>
      </c>
    </row>
    <row r="1014" customFormat="false" ht="15" hidden="false" customHeight="false" outlineLevel="0" collapsed="false">
      <c r="A1014" s="41"/>
      <c r="B1014" s="5" t="n">
        <f aca="false">IF(A1014="",0,IFERROR(MATCH(A1014,Bank!$A:$A,0),0))</f>
        <v>0</v>
      </c>
      <c r="C1014" s="5" t="str">
        <f aca="false">IF(B1014=0,"",IF(INDEX(Bank!$G:$G,B1014)="","",INDEX(Bank!$G:$G,B1014)))</f>
        <v/>
      </c>
      <c r="D1014" s="5" t="str">
        <f aca="false">IF(B1014=0,"",IF(INDEX(Bank!$J:$J,B1014)="","",INDEX(Bank!$J:$J,B1014)))</f>
        <v/>
      </c>
      <c r="E1014" s="32" t="str">
        <f aca="false">IF(B1014=0,"",INDEX(Bank!$B:$B,B1014))</f>
        <v/>
      </c>
      <c r="F1014" s="5" t="str">
        <f aca="false">IF(B1014=0,"",IF(INDEX(Bank!$C:$C,B1014)="","",INDEX(Bank!$C:$C,B1014)))</f>
        <v/>
      </c>
      <c r="G1014" s="19" t="str">
        <f aca="false">IF(B1014=0,"",INDEX(Bank!$E:$E,B1014))</f>
        <v/>
      </c>
      <c r="H1014" s="5" t="str">
        <f aca="false">IF(B1014=0,"",IF(INDEX(Bank!$H:$H,B1014)="","",INDEX(Bank!$H:$H,B1014)))</f>
        <v/>
      </c>
      <c r="I1014" s="5" t="n">
        <f aca="false">IF(H1014="",0,IFERROR(MATCH(H1014,GL!$A:$A,0),0))</f>
        <v>0</v>
      </c>
      <c r="J1014" s="32" t="str">
        <f aca="false">IF(I1014=0,"",INDEX(GL!$B:$B,I1014))</f>
        <v/>
      </c>
      <c r="K1014" s="5" t="str">
        <f aca="false">IF(I1014=0,"",IF(INDEX(GL!$C:$C,I1014)="","",INDEX(GL!$C:$C,I1014)))</f>
        <v/>
      </c>
      <c r="L1014" s="19" t="str">
        <f aca="false">IF(I1014=0,"",INDEX(GL!$E:$E,I1014))</f>
        <v/>
      </c>
      <c r="M1014" s="19" t="str">
        <f aca="false">IF(OR(B1014=0,I1014=0),"",ROUND(G1014-L1014,2))</f>
        <v/>
      </c>
      <c r="N1014" s="5" t="str">
        <f aca="false">IF(A1014="","",IF(B1014=0,"NOT FOUND: bank ID",IF(I1014=0,"NOT FOUND: GL ID",IF(INDEX(GL!$H:$H,I1014)&lt;&gt;A1014,"BROKEN: GL points elsewhere",IF(OR(INDEX(Bank!$F:$F,B1014)&lt;&gt;"Y",INDEX(GL!$F:$F,I1014)&lt;&gt;"Y"),"BROKEN: Status not Y","OK")))))</f>
        <v/>
      </c>
    </row>
    <row r="1015" customFormat="false" ht="15" hidden="false" customHeight="false" outlineLevel="0" collapsed="false">
      <c r="A1015" s="41"/>
      <c r="B1015" s="5" t="n">
        <f aca="false">IF(A1015="",0,IFERROR(MATCH(A1015,Bank!$A:$A,0),0))</f>
        <v>0</v>
      </c>
      <c r="C1015" s="5" t="str">
        <f aca="false">IF(B1015=0,"",IF(INDEX(Bank!$G:$G,B1015)="","",INDEX(Bank!$G:$G,B1015)))</f>
        <v/>
      </c>
      <c r="D1015" s="5" t="str">
        <f aca="false">IF(B1015=0,"",IF(INDEX(Bank!$J:$J,B1015)="","",INDEX(Bank!$J:$J,B1015)))</f>
        <v/>
      </c>
      <c r="E1015" s="32" t="str">
        <f aca="false">IF(B1015=0,"",INDEX(Bank!$B:$B,B1015))</f>
        <v/>
      </c>
      <c r="F1015" s="5" t="str">
        <f aca="false">IF(B1015=0,"",IF(INDEX(Bank!$C:$C,B1015)="","",INDEX(Bank!$C:$C,B1015)))</f>
        <v/>
      </c>
      <c r="G1015" s="19" t="str">
        <f aca="false">IF(B1015=0,"",INDEX(Bank!$E:$E,B1015))</f>
        <v/>
      </c>
      <c r="H1015" s="5" t="str">
        <f aca="false">IF(B1015=0,"",IF(INDEX(Bank!$H:$H,B1015)="","",INDEX(Bank!$H:$H,B1015)))</f>
        <v/>
      </c>
      <c r="I1015" s="5" t="n">
        <f aca="false">IF(H1015="",0,IFERROR(MATCH(H1015,GL!$A:$A,0),0))</f>
        <v>0</v>
      </c>
      <c r="J1015" s="32" t="str">
        <f aca="false">IF(I1015=0,"",INDEX(GL!$B:$B,I1015))</f>
        <v/>
      </c>
      <c r="K1015" s="5" t="str">
        <f aca="false">IF(I1015=0,"",IF(INDEX(GL!$C:$C,I1015)="","",INDEX(GL!$C:$C,I1015)))</f>
        <v/>
      </c>
      <c r="L1015" s="19" t="str">
        <f aca="false">IF(I1015=0,"",INDEX(GL!$E:$E,I1015))</f>
        <v/>
      </c>
      <c r="M1015" s="19" t="str">
        <f aca="false">IF(OR(B1015=0,I1015=0),"",ROUND(G1015-L1015,2))</f>
        <v/>
      </c>
      <c r="N1015" s="5" t="str">
        <f aca="false">IF(A1015="","",IF(B1015=0,"NOT FOUND: bank ID",IF(I1015=0,"NOT FOUND: GL ID",IF(INDEX(GL!$H:$H,I1015)&lt;&gt;A1015,"BROKEN: GL points elsewhere",IF(OR(INDEX(Bank!$F:$F,B1015)&lt;&gt;"Y",INDEX(GL!$F:$F,I1015)&lt;&gt;"Y"),"BROKEN: Status not Y","OK")))))</f>
        <v/>
      </c>
    </row>
    <row r="1016" customFormat="false" ht="15" hidden="false" customHeight="false" outlineLevel="0" collapsed="false">
      <c r="A1016" s="41"/>
      <c r="B1016" s="5" t="n">
        <f aca="false">IF(A1016="",0,IFERROR(MATCH(A1016,Bank!$A:$A,0),0))</f>
        <v>0</v>
      </c>
      <c r="C1016" s="5" t="str">
        <f aca="false">IF(B1016=0,"",IF(INDEX(Bank!$G:$G,B1016)="","",INDEX(Bank!$G:$G,B1016)))</f>
        <v/>
      </c>
      <c r="D1016" s="5" t="str">
        <f aca="false">IF(B1016=0,"",IF(INDEX(Bank!$J:$J,B1016)="","",INDEX(Bank!$J:$J,B1016)))</f>
        <v/>
      </c>
      <c r="E1016" s="32" t="str">
        <f aca="false">IF(B1016=0,"",INDEX(Bank!$B:$B,B1016))</f>
        <v/>
      </c>
      <c r="F1016" s="5" t="str">
        <f aca="false">IF(B1016=0,"",IF(INDEX(Bank!$C:$C,B1016)="","",INDEX(Bank!$C:$C,B1016)))</f>
        <v/>
      </c>
      <c r="G1016" s="19" t="str">
        <f aca="false">IF(B1016=0,"",INDEX(Bank!$E:$E,B1016))</f>
        <v/>
      </c>
      <c r="H1016" s="5" t="str">
        <f aca="false">IF(B1016=0,"",IF(INDEX(Bank!$H:$H,B1016)="","",INDEX(Bank!$H:$H,B1016)))</f>
        <v/>
      </c>
      <c r="I1016" s="5" t="n">
        <f aca="false">IF(H1016="",0,IFERROR(MATCH(H1016,GL!$A:$A,0),0))</f>
        <v>0</v>
      </c>
      <c r="J1016" s="32" t="str">
        <f aca="false">IF(I1016=0,"",INDEX(GL!$B:$B,I1016))</f>
        <v/>
      </c>
      <c r="K1016" s="5" t="str">
        <f aca="false">IF(I1016=0,"",IF(INDEX(GL!$C:$C,I1016)="","",INDEX(GL!$C:$C,I1016)))</f>
        <v/>
      </c>
      <c r="L1016" s="19" t="str">
        <f aca="false">IF(I1016=0,"",INDEX(GL!$E:$E,I1016))</f>
        <v/>
      </c>
      <c r="M1016" s="19" t="str">
        <f aca="false">IF(OR(B1016=0,I1016=0),"",ROUND(G1016-L1016,2))</f>
        <v/>
      </c>
      <c r="N1016" s="5" t="str">
        <f aca="false">IF(A1016="","",IF(B1016=0,"NOT FOUND: bank ID",IF(I1016=0,"NOT FOUND: GL ID",IF(INDEX(GL!$H:$H,I1016)&lt;&gt;A1016,"BROKEN: GL points elsewhere",IF(OR(INDEX(Bank!$F:$F,B1016)&lt;&gt;"Y",INDEX(GL!$F:$F,I1016)&lt;&gt;"Y"),"BROKEN: Status not Y","OK")))))</f>
        <v/>
      </c>
    </row>
    <row r="1017" customFormat="false" ht="15" hidden="false" customHeight="false" outlineLevel="0" collapsed="false">
      <c r="A1017" s="41"/>
      <c r="B1017" s="5" t="n">
        <f aca="false">IF(A1017="",0,IFERROR(MATCH(A1017,Bank!$A:$A,0),0))</f>
        <v>0</v>
      </c>
      <c r="C1017" s="5" t="str">
        <f aca="false">IF(B1017=0,"",IF(INDEX(Bank!$G:$G,B1017)="","",INDEX(Bank!$G:$G,B1017)))</f>
        <v/>
      </c>
      <c r="D1017" s="5" t="str">
        <f aca="false">IF(B1017=0,"",IF(INDEX(Bank!$J:$J,B1017)="","",INDEX(Bank!$J:$J,B1017)))</f>
        <v/>
      </c>
      <c r="E1017" s="32" t="str">
        <f aca="false">IF(B1017=0,"",INDEX(Bank!$B:$B,B1017))</f>
        <v/>
      </c>
      <c r="F1017" s="5" t="str">
        <f aca="false">IF(B1017=0,"",IF(INDEX(Bank!$C:$C,B1017)="","",INDEX(Bank!$C:$C,B1017)))</f>
        <v/>
      </c>
      <c r="G1017" s="19" t="str">
        <f aca="false">IF(B1017=0,"",INDEX(Bank!$E:$E,B1017))</f>
        <v/>
      </c>
      <c r="H1017" s="5" t="str">
        <f aca="false">IF(B1017=0,"",IF(INDEX(Bank!$H:$H,B1017)="","",INDEX(Bank!$H:$H,B1017)))</f>
        <v/>
      </c>
      <c r="I1017" s="5" t="n">
        <f aca="false">IF(H1017="",0,IFERROR(MATCH(H1017,GL!$A:$A,0),0))</f>
        <v>0</v>
      </c>
      <c r="J1017" s="32" t="str">
        <f aca="false">IF(I1017=0,"",INDEX(GL!$B:$B,I1017))</f>
        <v/>
      </c>
      <c r="K1017" s="5" t="str">
        <f aca="false">IF(I1017=0,"",IF(INDEX(GL!$C:$C,I1017)="","",INDEX(GL!$C:$C,I1017)))</f>
        <v/>
      </c>
      <c r="L1017" s="19" t="str">
        <f aca="false">IF(I1017=0,"",INDEX(GL!$E:$E,I1017))</f>
        <v/>
      </c>
      <c r="M1017" s="19" t="str">
        <f aca="false">IF(OR(B1017=0,I1017=0),"",ROUND(G1017-L1017,2))</f>
        <v/>
      </c>
      <c r="N1017" s="5" t="str">
        <f aca="false">IF(A1017="","",IF(B1017=0,"NOT FOUND: bank ID",IF(I1017=0,"NOT FOUND: GL ID",IF(INDEX(GL!$H:$H,I1017)&lt;&gt;A1017,"BROKEN: GL points elsewhere",IF(OR(INDEX(Bank!$F:$F,B1017)&lt;&gt;"Y",INDEX(GL!$F:$F,I1017)&lt;&gt;"Y"),"BROKEN: Status not Y","OK")))))</f>
        <v/>
      </c>
    </row>
    <row r="1018" customFormat="false" ht="15" hidden="false" customHeight="false" outlineLevel="0" collapsed="false">
      <c r="A1018" s="41"/>
      <c r="B1018" s="5" t="n">
        <f aca="false">IF(A1018="",0,IFERROR(MATCH(A1018,Bank!$A:$A,0),0))</f>
        <v>0</v>
      </c>
      <c r="C1018" s="5" t="str">
        <f aca="false">IF(B1018=0,"",IF(INDEX(Bank!$G:$G,B1018)="","",INDEX(Bank!$G:$G,B1018)))</f>
        <v/>
      </c>
      <c r="D1018" s="5" t="str">
        <f aca="false">IF(B1018=0,"",IF(INDEX(Bank!$J:$J,B1018)="","",INDEX(Bank!$J:$J,B1018)))</f>
        <v/>
      </c>
      <c r="E1018" s="32" t="str">
        <f aca="false">IF(B1018=0,"",INDEX(Bank!$B:$B,B1018))</f>
        <v/>
      </c>
      <c r="F1018" s="5" t="str">
        <f aca="false">IF(B1018=0,"",IF(INDEX(Bank!$C:$C,B1018)="","",INDEX(Bank!$C:$C,B1018)))</f>
        <v/>
      </c>
      <c r="G1018" s="19" t="str">
        <f aca="false">IF(B1018=0,"",INDEX(Bank!$E:$E,B1018))</f>
        <v/>
      </c>
      <c r="H1018" s="5" t="str">
        <f aca="false">IF(B1018=0,"",IF(INDEX(Bank!$H:$H,B1018)="","",INDEX(Bank!$H:$H,B1018)))</f>
        <v/>
      </c>
      <c r="I1018" s="5" t="n">
        <f aca="false">IF(H1018="",0,IFERROR(MATCH(H1018,GL!$A:$A,0),0))</f>
        <v>0</v>
      </c>
      <c r="J1018" s="32" t="str">
        <f aca="false">IF(I1018=0,"",INDEX(GL!$B:$B,I1018))</f>
        <v/>
      </c>
      <c r="K1018" s="5" t="str">
        <f aca="false">IF(I1018=0,"",IF(INDEX(GL!$C:$C,I1018)="","",INDEX(GL!$C:$C,I1018)))</f>
        <v/>
      </c>
      <c r="L1018" s="19" t="str">
        <f aca="false">IF(I1018=0,"",INDEX(GL!$E:$E,I1018))</f>
        <v/>
      </c>
      <c r="M1018" s="19" t="str">
        <f aca="false">IF(OR(B1018=0,I1018=0),"",ROUND(G1018-L1018,2))</f>
        <v/>
      </c>
      <c r="N1018" s="5" t="str">
        <f aca="false">IF(A1018="","",IF(B1018=0,"NOT FOUND: bank ID",IF(I1018=0,"NOT FOUND: GL ID",IF(INDEX(GL!$H:$H,I1018)&lt;&gt;A1018,"BROKEN: GL points elsewhere",IF(OR(INDEX(Bank!$F:$F,B1018)&lt;&gt;"Y",INDEX(GL!$F:$F,I1018)&lt;&gt;"Y"),"BROKEN: Status not Y","OK")))))</f>
        <v/>
      </c>
    </row>
    <row r="1019" customFormat="false" ht="15" hidden="false" customHeight="false" outlineLevel="0" collapsed="false">
      <c r="A1019" s="41"/>
      <c r="B1019" s="5" t="n">
        <f aca="false">IF(A1019="",0,IFERROR(MATCH(A1019,Bank!$A:$A,0),0))</f>
        <v>0</v>
      </c>
      <c r="C1019" s="5" t="str">
        <f aca="false">IF(B1019=0,"",IF(INDEX(Bank!$G:$G,B1019)="","",INDEX(Bank!$G:$G,B1019)))</f>
        <v/>
      </c>
      <c r="D1019" s="5" t="str">
        <f aca="false">IF(B1019=0,"",IF(INDEX(Bank!$J:$J,B1019)="","",INDEX(Bank!$J:$J,B1019)))</f>
        <v/>
      </c>
      <c r="E1019" s="32" t="str">
        <f aca="false">IF(B1019=0,"",INDEX(Bank!$B:$B,B1019))</f>
        <v/>
      </c>
      <c r="F1019" s="5" t="str">
        <f aca="false">IF(B1019=0,"",IF(INDEX(Bank!$C:$C,B1019)="","",INDEX(Bank!$C:$C,B1019)))</f>
        <v/>
      </c>
      <c r="G1019" s="19" t="str">
        <f aca="false">IF(B1019=0,"",INDEX(Bank!$E:$E,B1019))</f>
        <v/>
      </c>
      <c r="H1019" s="5" t="str">
        <f aca="false">IF(B1019=0,"",IF(INDEX(Bank!$H:$H,B1019)="","",INDEX(Bank!$H:$H,B1019)))</f>
        <v/>
      </c>
      <c r="I1019" s="5" t="n">
        <f aca="false">IF(H1019="",0,IFERROR(MATCH(H1019,GL!$A:$A,0),0))</f>
        <v>0</v>
      </c>
      <c r="J1019" s="32" t="str">
        <f aca="false">IF(I1019=0,"",INDEX(GL!$B:$B,I1019))</f>
        <v/>
      </c>
      <c r="K1019" s="5" t="str">
        <f aca="false">IF(I1019=0,"",IF(INDEX(GL!$C:$C,I1019)="","",INDEX(GL!$C:$C,I1019)))</f>
        <v/>
      </c>
      <c r="L1019" s="19" t="str">
        <f aca="false">IF(I1019=0,"",INDEX(GL!$E:$E,I1019))</f>
        <v/>
      </c>
      <c r="M1019" s="19" t="str">
        <f aca="false">IF(OR(B1019=0,I1019=0),"",ROUND(G1019-L1019,2))</f>
        <v/>
      </c>
      <c r="N1019" s="5" t="str">
        <f aca="false">IF(A1019="","",IF(B1019=0,"NOT FOUND: bank ID",IF(I1019=0,"NOT FOUND: GL ID",IF(INDEX(GL!$H:$H,I1019)&lt;&gt;A1019,"BROKEN: GL points elsewhere",IF(OR(INDEX(Bank!$F:$F,B1019)&lt;&gt;"Y",INDEX(GL!$F:$F,I1019)&lt;&gt;"Y"),"BROKEN: Status not Y","OK")))))</f>
        <v/>
      </c>
    </row>
    <row r="1020" customFormat="false" ht="15" hidden="false" customHeight="false" outlineLevel="0" collapsed="false">
      <c r="A1020" s="41"/>
      <c r="B1020" s="5" t="n">
        <f aca="false">IF(A1020="",0,IFERROR(MATCH(A1020,Bank!$A:$A,0),0))</f>
        <v>0</v>
      </c>
      <c r="C1020" s="5" t="str">
        <f aca="false">IF(B1020=0,"",IF(INDEX(Bank!$G:$G,B1020)="","",INDEX(Bank!$G:$G,B1020)))</f>
        <v/>
      </c>
      <c r="D1020" s="5" t="str">
        <f aca="false">IF(B1020=0,"",IF(INDEX(Bank!$J:$J,B1020)="","",INDEX(Bank!$J:$J,B1020)))</f>
        <v/>
      </c>
      <c r="E1020" s="32" t="str">
        <f aca="false">IF(B1020=0,"",INDEX(Bank!$B:$B,B1020))</f>
        <v/>
      </c>
      <c r="F1020" s="5" t="str">
        <f aca="false">IF(B1020=0,"",IF(INDEX(Bank!$C:$C,B1020)="","",INDEX(Bank!$C:$C,B1020)))</f>
        <v/>
      </c>
      <c r="G1020" s="19" t="str">
        <f aca="false">IF(B1020=0,"",INDEX(Bank!$E:$E,B1020))</f>
        <v/>
      </c>
      <c r="H1020" s="5" t="str">
        <f aca="false">IF(B1020=0,"",IF(INDEX(Bank!$H:$H,B1020)="","",INDEX(Bank!$H:$H,B1020)))</f>
        <v/>
      </c>
      <c r="I1020" s="5" t="n">
        <f aca="false">IF(H1020="",0,IFERROR(MATCH(H1020,GL!$A:$A,0),0))</f>
        <v>0</v>
      </c>
      <c r="J1020" s="32" t="str">
        <f aca="false">IF(I1020=0,"",INDEX(GL!$B:$B,I1020))</f>
        <v/>
      </c>
      <c r="K1020" s="5" t="str">
        <f aca="false">IF(I1020=0,"",IF(INDEX(GL!$C:$C,I1020)="","",INDEX(GL!$C:$C,I1020)))</f>
        <v/>
      </c>
      <c r="L1020" s="19" t="str">
        <f aca="false">IF(I1020=0,"",INDEX(GL!$E:$E,I1020))</f>
        <v/>
      </c>
      <c r="M1020" s="19" t="str">
        <f aca="false">IF(OR(B1020=0,I1020=0),"",ROUND(G1020-L1020,2))</f>
        <v/>
      </c>
      <c r="N1020" s="5" t="str">
        <f aca="false">IF(A1020="","",IF(B1020=0,"NOT FOUND: bank ID",IF(I1020=0,"NOT FOUND: GL ID",IF(INDEX(GL!$H:$H,I1020)&lt;&gt;A1020,"BROKEN: GL points elsewhere",IF(OR(INDEX(Bank!$F:$F,B1020)&lt;&gt;"Y",INDEX(GL!$F:$F,I1020)&lt;&gt;"Y"),"BROKEN: Status not Y","OK")))))</f>
        <v/>
      </c>
    </row>
    <row r="1021" customFormat="false" ht="15" hidden="false" customHeight="false" outlineLevel="0" collapsed="false">
      <c r="A1021" s="41"/>
      <c r="B1021" s="5" t="n">
        <f aca="false">IF(A1021="",0,IFERROR(MATCH(A1021,Bank!$A:$A,0),0))</f>
        <v>0</v>
      </c>
      <c r="C1021" s="5" t="str">
        <f aca="false">IF(B1021=0,"",IF(INDEX(Bank!$G:$G,B1021)="","",INDEX(Bank!$G:$G,B1021)))</f>
        <v/>
      </c>
      <c r="D1021" s="5" t="str">
        <f aca="false">IF(B1021=0,"",IF(INDEX(Bank!$J:$J,B1021)="","",INDEX(Bank!$J:$J,B1021)))</f>
        <v/>
      </c>
      <c r="E1021" s="32" t="str">
        <f aca="false">IF(B1021=0,"",INDEX(Bank!$B:$B,B1021))</f>
        <v/>
      </c>
      <c r="F1021" s="5" t="str">
        <f aca="false">IF(B1021=0,"",IF(INDEX(Bank!$C:$C,B1021)="","",INDEX(Bank!$C:$C,B1021)))</f>
        <v/>
      </c>
      <c r="G1021" s="19" t="str">
        <f aca="false">IF(B1021=0,"",INDEX(Bank!$E:$E,B1021))</f>
        <v/>
      </c>
      <c r="H1021" s="5" t="str">
        <f aca="false">IF(B1021=0,"",IF(INDEX(Bank!$H:$H,B1021)="","",INDEX(Bank!$H:$H,B1021)))</f>
        <v/>
      </c>
      <c r="I1021" s="5" t="n">
        <f aca="false">IF(H1021="",0,IFERROR(MATCH(H1021,GL!$A:$A,0),0))</f>
        <v>0</v>
      </c>
      <c r="J1021" s="32" t="str">
        <f aca="false">IF(I1021=0,"",INDEX(GL!$B:$B,I1021))</f>
        <v/>
      </c>
      <c r="K1021" s="5" t="str">
        <f aca="false">IF(I1021=0,"",IF(INDEX(GL!$C:$C,I1021)="","",INDEX(GL!$C:$C,I1021)))</f>
        <v/>
      </c>
      <c r="L1021" s="19" t="str">
        <f aca="false">IF(I1021=0,"",INDEX(GL!$E:$E,I1021))</f>
        <v/>
      </c>
      <c r="M1021" s="19" t="str">
        <f aca="false">IF(OR(B1021=0,I1021=0),"",ROUND(G1021-L1021,2))</f>
        <v/>
      </c>
      <c r="N1021" s="5" t="str">
        <f aca="false">IF(A1021="","",IF(B1021=0,"NOT FOUND: bank ID",IF(I1021=0,"NOT FOUND: GL ID",IF(INDEX(GL!$H:$H,I1021)&lt;&gt;A1021,"BROKEN: GL points elsewhere",IF(OR(INDEX(Bank!$F:$F,B1021)&lt;&gt;"Y",INDEX(GL!$F:$F,I1021)&lt;&gt;"Y"),"BROKEN: Status not Y","OK")))))</f>
        <v/>
      </c>
    </row>
    <row r="1022" customFormat="false" ht="15" hidden="false" customHeight="false" outlineLevel="0" collapsed="false">
      <c r="A1022" s="41"/>
      <c r="B1022" s="5" t="n">
        <f aca="false">IF(A1022="",0,IFERROR(MATCH(A1022,Bank!$A:$A,0),0))</f>
        <v>0</v>
      </c>
      <c r="C1022" s="5" t="str">
        <f aca="false">IF(B1022=0,"",IF(INDEX(Bank!$G:$G,B1022)="","",INDEX(Bank!$G:$G,B1022)))</f>
        <v/>
      </c>
      <c r="D1022" s="5" t="str">
        <f aca="false">IF(B1022=0,"",IF(INDEX(Bank!$J:$J,B1022)="","",INDEX(Bank!$J:$J,B1022)))</f>
        <v/>
      </c>
      <c r="E1022" s="32" t="str">
        <f aca="false">IF(B1022=0,"",INDEX(Bank!$B:$B,B1022))</f>
        <v/>
      </c>
      <c r="F1022" s="5" t="str">
        <f aca="false">IF(B1022=0,"",IF(INDEX(Bank!$C:$C,B1022)="","",INDEX(Bank!$C:$C,B1022)))</f>
        <v/>
      </c>
      <c r="G1022" s="19" t="str">
        <f aca="false">IF(B1022=0,"",INDEX(Bank!$E:$E,B1022))</f>
        <v/>
      </c>
      <c r="H1022" s="5" t="str">
        <f aca="false">IF(B1022=0,"",IF(INDEX(Bank!$H:$H,B1022)="","",INDEX(Bank!$H:$H,B1022)))</f>
        <v/>
      </c>
      <c r="I1022" s="5" t="n">
        <f aca="false">IF(H1022="",0,IFERROR(MATCH(H1022,GL!$A:$A,0),0))</f>
        <v>0</v>
      </c>
      <c r="J1022" s="32" t="str">
        <f aca="false">IF(I1022=0,"",INDEX(GL!$B:$B,I1022))</f>
        <v/>
      </c>
      <c r="K1022" s="5" t="str">
        <f aca="false">IF(I1022=0,"",IF(INDEX(GL!$C:$C,I1022)="","",INDEX(GL!$C:$C,I1022)))</f>
        <v/>
      </c>
      <c r="L1022" s="19" t="str">
        <f aca="false">IF(I1022=0,"",INDEX(GL!$E:$E,I1022))</f>
        <v/>
      </c>
      <c r="M1022" s="19" t="str">
        <f aca="false">IF(OR(B1022=0,I1022=0),"",ROUND(G1022-L1022,2))</f>
        <v/>
      </c>
      <c r="N1022" s="5" t="str">
        <f aca="false">IF(A1022="","",IF(B1022=0,"NOT FOUND: bank ID",IF(I1022=0,"NOT FOUND: GL ID",IF(INDEX(GL!$H:$H,I1022)&lt;&gt;A1022,"BROKEN: GL points elsewhere",IF(OR(INDEX(Bank!$F:$F,B1022)&lt;&gt;"Y",INDEX(GL!$F:$F,I1022)&lt;&gt;"Y"),"BROKEN: Status not Y","OK")))))</f>
        <v/>
      </c>
    </row>
    <row r="1023" customFormat="false" ht="15" hidden="false" customHeight="false" outlineLevel="0" collapsed="false">
      <c r="A1023" s="41"/>
      <c r="B1023" s="5" t="n">
        <f aca="false">IF(A1023="",0,IFERROR(MATCH(A1023,Bank!$A:$A,0),0))</f>
        <v>0</v>
      </c>
      <c r="C1023" s="5" t="str">
        <f aca="false">IF(B1023=0,"",IF(INDEX(Bank!$G:$G,B1023)="","",INDEX(Bank!$G:$G,B1023)))</f>
        <v/>
      </c>
      <c r="D1023" s="5" t="str">
        <f aca="false">IF(B1023=0,"",IF(INDEX(Bank!$J:$J,B1023)="","",INDEX(Bank!$J:$J,B1023)))</f>
        <v/>
      </c>
      <c r="E1023" s="32" t="str">
        <f aca="false">IF(B1023=0,"",INDEX(Bank!$B:$B,B1023))</f>
        <v/>
      </c>
      <c r="F1023" s="5" t="str">
        <f aca="false">IF(B1023=0,"",IF(INDEX(Bank!$C:$C,B1023)="","",INDEX(Bank!$C:$C,B1023)))</f>
        <v/>
      </c>
      <c r="G1023" s="19" t="str">
        <f aca="false">IF(B1023=0,"",INDEX(Bank!$E:$E,B1023))</f>
        <v/>
      </c>
      <c r="H1023" s="5" t="str">
        <f aca="false">IF(B1023=0,"",IF(INDEX(Bank!$H:$H,B1023)="","",INDEX(Bank!$H:$H,B1023)))</f>
        <v/>
      </c>
      <c r="I1023" s="5" t="n">
        <f aca="false">IF(H1023="",0,IFERROR(MATCH(H1023,GL!$A:$A,0),0))</f>
        <v>0</v>
      </c>
      <c r="J1023" s="32" t="str">
        <f aca="false">IF(I1023=0,"",INDEX(GL!$B:$B,I1023))</f>
        <v/>
      </c>
      <c r="K1023" s="5" t="str">
        <f aca="false">IF(I1023=0,"",IF(INDEX(GL!$C:$C,I1023)="","",INDEX(GL!$C:$C,I1023)))</f>
        <v/>
      </c>
      <c r="L1023" s="19" t="str">
        <f aca="false">IF(I1023=0,"",INDEX(GL!$E:$E,I1023))</f>
        <v/>
      </c>
      <c r="M1023" s="19" t="str">
        <f aca="false">IF(OR(B1023=0,I1023=0),"",ROUND(G1023-L1023,2))</f>
        <v/>
      </c>
      <c r="N1023" s="5" t="str">
        <f aca="false">IF(A1023="","",IF(B1023=0,"NOT FOUND: bank ID",IF(I1023=0,"NOT FOUND: GL ID",IF(INDEX(GL!$H:$H,I1023)&lt;&gt;A1023,"BROKEN: GL points elsewhere",IF(OR(INDEX(Bank!$F:$F,B1023)&lt;&gt;"Y",INDEX(GL!$F:$F,I1023)&lt;&gt;"Y"),"BROKEN: Status not Y","OK")))))</f>
        <v/>
      </c>
    </row>
    <row r="1024" customFormat="false" ht="15" hidden="false" customHeight="false" outlineLevel="0" collapsed="false">
      <c r="A1024" s="41"/>
      <c r="B1024" s="5" t="n">
        <f aca="false">IF(A1024="",0,IFERROR(MATCH(A1024,Bank!$A:$A,0),0))</f>
        <v>0</v>
      </c>
      <c r="C1024" s="5" t="str">
        <f aca="false">IF(B1024=0,"",IF(INDEX(Bank!$G:$G,B1024)="","",INDEX(Bank!$G:$G,B1024)))</f>
        <v/>
      </c>
      <c r="D1024" s="5" t="str">
        <f aca="false">IF(B1024=0,"",IF(INDEX(Bank!$J:$J,B1024)="","",INDEX(Bank!$J:$J,B1024)))</f>
        <v/>
      </c>
      <c r="E1024" s="32" t="str">
        <f aca="false">IF(B1024=0,"",INDEX(Bank!$B:$B,B1024))</f>
        <v/>
      </c>
      <c r="F1024" s="5" t="str">
        <f aca="false">IF(B1024=0,"",IF(INDEX(Bank!$C:$C,B1024)="","",INDEX(Bank!$C:$C,B1024)))</f>
        <v/>
      </c>
      <c r="G1024" s="19" t="str">
        <f aca="false">IF(B1024=0,"",INDEX(Bank!$E:$E,B1024))</f>
        <v/>
      </c>
      <c r="H1024" s="5" t="str">
        <f aca="false">IF(B1024=0,"",IF(INDEX(Bank!$H:$H,B1024)="","",INDEX(Bank!$H:$H,B1024)))</f>
        <v/>
      </c>
      <c r="I1024" s="5" t="n">
        <f aca="false">IF(H1024="",0,IFERROR(MATCH(H1024,GL!$A:$A,0),0))</f>
        <v>0</v>
      </c>
      <c r="J1024" s="32" t="str">
        <f aca="false">IF(I1024=0,"",INDEX(GL!$B:$B,I1024))</f>
        <v/>
      </c>
      <c r="K1024" s="5" t="str">
        <f aca="false">IF(I1024=0,"",IF(INDEX(GL!$C:$C,I1024)="","",INDEX(GL!$C:$C,I1024)))</f>
        <v/>
      </c>
      <c r="L1024" s="19" t="str">
        <f aca="false">IF(I1024=0,"",INDEX(GL!$E:$E,I1024))</f>
        <v/>
      </c>
      <c r="M1024" s="19" t="str">
        <f aca="false">IF(OR(B1024=0,I1024=0),"",ROUND(G1024-L1024,2))</f>
        <v/>
      </c>
      <c r="N1024" s="5" t="str">
        <f aca="false">IF(A1024="","",IF(B1024=0,"NOT FOUND: bank ID",IF(I1024=0,"NOT FOUND: GL ID",IF(INDEX(GL!$H:$H,I1024)&lt;&gt;A1024,"BROKEN: GL points elsewhere",IF(OR(INDEX(Bank!$F:$F,B1024)&lt;&gt;"Y",INDEX(GL!$F:$F,I1024)&lt;&gt;"Y"),"BROKEN: Status not Y","OK")))))</f>
        <v/>
      </c>
    </row>
    <row r="1025" customFormat="false" ht="15" hidden="false" customHeight="false" outlineLevel="0" collapsed="false">
      <c r="A1025" s="41"/>
      <c r="B1025" s="5" t="n">
        <f aca="false">IF(A1025="",0,IFERROR(MATCH(A1025,Bank!$A:$A,0),0))</f>
        <v>0</v>
      </c>
      <c r="C1025" s="5" t="str">
        <f aca="false">IF(B1025=0,"",IF(INDEX(Bank!$G:$G,B1025)="","",INDEX(Bank!$G:$G,B1025)))</f>
        <v/>
      </c>
      <c r="D1025" s="5" t="str">
        <f aca="false">IF(B1025=0,"",IF(INDEX(Bank!$J:$J,B1025)="","",INDEX(Bank!$J:$J,B1025)))</f>
        <v/>
      </c>
      <c r="E1025" s="32" t="str">
        <f aca="false">IF(B1025=0,"",INDEX(Bank!$B:$B,B1025))</f>
        <v/>
      </c>
      <c r="F1025" s="5" t="str">
        <f aca="false">IF(B1025=0,"",IF(INDEX(Bank!$C:$C,B1025)="","",INDEX(Bank!$C:$C,B1025)))</f>
        <v/>
      </c>
      <c r="G1025" s="19" t="str">
        <f aca="false">IF(B1025=0,"",INDEX(Bank!$E:$E,B1025))</f>
        <v/>
      </c>
      <c r="H1025" s="5" t="str">
        <f aca="false">IF(B1025=0,"",IF(INDEX(Bank!$H:$H,B1025)="","",INDEX(Bank!$H:$H,B1025)))</f>
        <v/>
      </c>
      <c r="I1025" s="5" t="n">
        <f aca="false">IF(H1025="",0,IFERROR(MATCH(H1025,GL!$A:$A,0),0))</f>
        <v>0</v>
      </c>
      <c r="J1025" s="32" t="str">
        <f aca="false">IF(I1025=0,"",INDEX(GL!$B:$B,I1025))</f>
        <v/>
      </c>
      <c r="K1025" s="5" t="str">
        <f aca="false">IF(I1025=0,"",IF(INDEX(GL!$C:$C,I1025)="","",INDEX(GL!$C:$C,I1025)))</f>
        <v/>
      </c>
      <c r="L1025" s="19" t="str">
        <f aca="false">IF(I1025=0,"",INDEX(GL!$E:$E,I1025))</f>
        <v/>
      </c>
      <c r="M1025" s="19" t="str">
        <f aca="false">IF(OR(B1025=0,I1025=0),"",ROUND(G1025-L1025,2))</f>
        <v/>
      </c>
      <c r="N1025" s="5" t="str">
        <f aca="false">IF(A1025="","",IF(B1025=0,"NOT FOUND: bank ID",IF(I1025=0,"NOT FOUND: GL ID",IF(INDEX(GL!$H:$H,I1025)&lt;&gt;A1025,"BROKEN: GL points elsewhere",IF(OR(INDEX(Bank!$F:$F,B1025)&lt;&gt;"Y",INDEX(GL!$F:$F,I1025)&lt;&gt;"Y"),"BROKEN: Status not Y","OK")))))</f>
        <v/>
      </c>
    </row>
    <row r="1026" customFormat="false" ht="15" hidden="false" customHeight="false" outlineLevel="0" collapsed="false">
      <c r="A1026" s="41"/>
      <c r="B1026" s="5" t="n">
        <f aca="false">IF(A1026="",0,IFERROR(MATCH(A1026,Bank!$A:$A,0),0))</f>
        <v>0</v>
      </c>
      <c r="C1026" s="5" t="str">
        <f aca="false">IF(B1026=0,"",IF(INDEX(Bank!$G:$G,B1026)="","",INDEX(Bank!$G:$G,B1026)))</f>
        <v/>
      </c>
      <c r="D1026" s="5" t="str">
        <f aca="false">IF(B1026=0,"",IF(INDEX(Bank!$J:$J,B1026)="","",INDEX(Bank!$J:$J,B1026)))</f>
        <v/>
      </c>
      <c r="E1026" s="32" t="str">
        <f aca="false">IF(B1026=0,"",INDEX(Bank!$B:$B,B1026))</f>
        <v/>
      </c>
      <c r="F1026" s="5" t="str">
        <f aca="false">IF(B1026=0,"",IF(INDEX(Bank!$C:$C,B1026)="","",INDEX(Bank!$C:$C,B1026)))</f>
        <v/>
      </c>
      <c r="G1026" s="19" t="str">
        <f aca="false">IF(B1026=0,"",INDEX(Bank!$E:$E,B1026))</f>
        <v/>
      </c>
      <c r="H1026" s="5" t="str">
        <f aca="false">IF(B1026=0,"",IF(INDEX(Bank!$H:$H,B1026)="","",INDEX(Bank!$H:$H,B1026)))</f>
        <v/>
      </c>
      <c r="I1026" s="5" t="n">
        <f aca="false">IF(H1026="",0,IFERROR(MATCH(H1026,GL!$A:$A,0),0))</f>
        <v>0</v>
      </c>
      <c r="J1026" s="32" t="str">
        <f aca="false">IF(I1026=0,"",INDEX(GL!$B:$B,I1026))</f>
        <v/>
      </c>
      <c r="K1026" s="5" t="str">
        <f aca="false">IF(I1026=0,"",IF(INDEX(GL!$C:$C,I1026)="","",INDEX(GL!$C:$C,I1026)))</f>
        <v/>
      </c>
      <c r="L1026" s="19" t="str">
        <f aca="false">IF(I1026=0,"",INDEX(GL!$E:$E,I1026))</f>
        <v/>
      </c>
      <c r="M1026" s="19" t="str">
        <f aca="false">IF(OR(B1026=0,I1026=0),"",ROUND(G1026-L1026,2))</f>
        <v/>
      </c>
      <c r="N1026" s="5" t="str">
        <f aca="false">IF(A1026="","",IF(B1026=0,"NOT FOUND: bank ID",IF(I1026=0,"NOT FOUND: GL ID",IF(INDEX(GL!$H:$H,I1026)&lt;&gt;A1026,"BROKEN: GL points elsewhere",IF(OR(INDEX(Bank!$F:$F,B1026)&lt;&gt;"Y",INDEX(GL!$F:$F,I1026)&lt;&gt;"Y"),"BROKEN: Status not Y","OK")))))</f>
        <v/>
      </c>
    </row>
    <row r="1027" customFormat="false" ht="15" hidden="false" customHeight="false" outlineLevel="0" collapsed="false">
      <c r="A1027" s="41"/>
      <c r="B1027" s="5" t="n">
        <f aca="false">IF(A1027="",0,IFERROR(MATCH(A1027,Bank!$A:$A,0),0))</f>
        <v>0</v>
      </c>
      <c r="C1027" s="5" t="str">
        <f aca="false">IF(B1027=0,"",IF(INDEX(Bank!$G:$G,B1027)="","",INDEX(Bank!$G:$G,B1027)))</f>
        <v/>
      </c>
      <c r="D1027" s="5" t="str">
        <f aca="false">IF(B1027=0,"",IF(INDEX(Bank!$J:$J,B1027)="","",INDEX(Bank!$J:$J,B1027)))</f>
        <v/>
      </c>
      <c r="E1027" s="32" t="str">
        <f aca="false">IF(B1027=0,"",INDEX(Bank!$B:$B,B1027))</f>
        <v/>
      </c>
      <c r="F1027" s="5" t="str">
        <f aca="false">IF(B1027=0,"",IF(INDEX(Bank!$C:$C,B1027)="","",INDEX(Bank!$C:$C,B1027)))</f>
        <v/>
      </c>
      <c r="G1027" s="19" t="str">
        <f aca="false">IF(B1027=0,"",INDEX(Bank!$E:$E,B1027))</f>
        <v/>
      </c>
      <c r="H1027" s="5" t="str">
        <f aca="false">IF(B1027=0,"",IF(INDEX(Bank!$H:$H,B1027)="","",INDEX(Bank!$H:$H,B1027)))</f>
        <v/>
      </c>
      <c r="I1027" s="5" t="n">
        <f aca="false">IF(H1027="",0,IFERROR(MATCH(H1027,GL!$A:$A,0),0))</f>
        <v>0</v>
      </c>
      <c r="J1027" s="32" t="str">
        <f aca="false">IF(I1027=0,"",INDEX(GL!$B:$B,I1027))</f>
        <v/>
      </c>
      <c r="K1027" s="5" t="str">
        <f aca="false">IF(I1027=0,"",IF(INDEX(GL!$C:$C,I1027)="","",INDEX(GL!$C:$C,I1027)))</f>
        <v/>
      </c>
      <c r="L1027" s="19" t="str">
        <f aca="false">IF(I1027=0,"",INDEX(GL!$E:$E,I1027))</f>
        <v/>
      </c>
      <c r="M1027" s="19" t="str">
        <f aca="false">IF(OR(B1027=0,I1027=0),"",ROUND(G1027-L1027,2))</f>
        <v/>
      </c>
      <c r="N1027" s="5" t="str">
        <f aca="false">IF(A1027="","",IF(B1027=0,"NOT FOUND: bank ID",IF(I1027=0,"NOT FOUND: GL ID",IF(INDEX(GL!$H:$H,I1027)&lt;&gt;A1027,"BROKEN: GL points elsewhere",IF(OR(INDEX(Bank!$F:$F,B1027)&lt;&gt;"Y",INDEX(GL!$F:$F,I1027)&lt;&gt;"Y"),"BROKEN: Status not Y","OK")))))</f>
        <v/>
      </c>
    </row>
    <row r="1028" customFormat="false" ht="15" hidden="false" customHeight="false" outlineLevel="0" collapsed="false">
      <c r="A1028" s="41"/>
      <c r="B1028" s="5" t="n">
        <f aca="false">IF(A1028="",0,IFERROR(MATCH(A1028,Bank!$A:$A,0),0))</f>
        <v>0</v>
      </c>
      <c r="C1028" s="5" t="str">
        <f aca="false">IF(B1028=0,"",IF(INDEX(Bank!$G:$G,B1028)="","",INDEX(Bank!$G:$G,B1028)))</f>
        <v/>
      </c>
      <c r="D1028" s="5" t="str">
        <f aca="false">IF(B1028=0,"",IF(INDEX(Bank!$J:$J,B1028)="","",INDEX(Bank!$J:$J,B1028)))</f>
        <v/>
      </c>
      <c r="E1028" s="32" t="str">
        <f aca="false">IF(B1028=0,"",INDEX(Bank!$B:$B,B1028))</f>
        <v/>
      </c>
      <c r="F1028" s="5" t="str">
        <f aca="false">IF(B1028=0,"",IF(INDEX(Bank!$C:$C,B1028)="","",INDEX(Bank!$C:$C,B1028)))</f>
        <v/>
      </c>
      <c r="G1028" s="19" t="str">
        <f aca="false">IF(B1028=0,"",INDEX(Bank!$E:$E,B1028))</f>
        <v/>
      </c>
      <c r="H1028" s="5" t="str">
        <f aca="false">IF(B1028=0,"",IF(INDEX(Bank!$H:$H,B1028)="","",INDEX(Bank!$H:$H,B1028)))</f>
        <v/>
      </c>
      <c r="I1028" s="5" t="n">
        <f aca="false">IF(H1028="",0,IFERROR(MATCH(H1028,GL!$A:$A,0),0))</f>
        <v>0</v>
      </c>
      <c r="J1028" s="32" t="str">
        <f aca="false">IF(I1028=0,"",INDEX(GL!$B:$B,I1028))</f>
        <v/>
      </c>
      <c r="K1028" s="5" t="str">
        <f aca="false">IF(I1028=0,"",IF(INDEX(GL!$C:$C,I1028)="","",INDEX(GL!$C:$C,I1028)))</f>
        <v/>
      </c>
      <c r="L1028" s="19" t="str">
        <f aca="false">IF(I1028=0,"",INDEX(GL!$E:$E,I1028))</f>
        <v/>
      </c>
      <c r="M1028" s="19" t="str">
        <f aca="false">IF(OR(B1028=0,I1028=0),"",ROUND(G1028-L1028,2))</f>
        <v/>
      </c>
      <c r="N1028" s="5" t="str">
        <f aca="false">IF(A1028="","",IF(B1028=0,"NOT FOUND: bank ID",IF(I1028=0,"NOT FOUND: GL ID",IF(INDEX(GL!$H:$H,I1028)&lt;&gt;A1028,"BROKEN: GL points elsewhere",IF(OR(INDEX(Bank!$F:$F,B1028)&lt;&gt;"Y",INDEX(GL!$F:$F,I1028)&lt;&gt;"Y"),"BROKEN: Status not Y","OK")))))</f>
        <v/>
      </c>
    </row>
    <row r="1029" customFormat="false" ht="15" hidden="false" customHeight="false" outlineLevel="0" collapsed="false">
      <c r="A1029" s="41"/>
      <c r="B1029" s="5" t="n">
        <f aca="false">IF(A1029="",0,IFERROR(MATCH(A1029,Bank!$A:$A,0),0))</f>
        <v>0</v>
      </c>
      <c r="C1029" s="5" t="str">
        <f aca="false">IF(B1029=0,"",IF(INDEX(Bank!$G:$G,B1029)="","",INDEX(Bank!$G:$G,B1029)))</f>
        <v/>
      </c>
      <c r="D1029" s="5" t="str">
        <f aca="false">IF(B1029=0,"",IF(INDEX(Bank!$J:$J,B1029)="","",INDEX(Bank!$J:$J,B1029)))</f>
        <v/>
      </c>
      <c r="E1029" s="32" t="str">
        <f aca="false">IF(B1029=0,"",INDEX(Bank!$B:$B,B1029))</f>
        <v/>
      </c>
      <c r="F1029" s="5" t="str">
        <f aca="false">IF(B1029=0,"",IF(INDEX(Bank!$C:$C,B1029)="","",INDEX(Bank!$C:$C,B1029)))</f>
        <v/>
      </c>
      <c r="G1029" s="19" t="str">
        <f aca="false">IF(B1029=0,"",INDEX(Bank!$E:$E,B1029))</f>
        <v/>
      </c>
      <c r="H1029" s="5" t="str">
        <f aca="false">IF(B1029=0,"",IF(INDEX(Bank!$H:$H,B1029)="","",INDEX(Bank!$H:$H,B1029)))</f>
        <v/>
      </c>
      <c r="I1029" s="5" t="n">
        <f aca="false">IF(H1029="",0,IFERROR(MATCH(H1029,GL!$A:$A,0),0))</f>
        <v>0</v>
      </c>
      <c r="J1029" s="32" t="str">
        <f aca="false">IF(I1029=0,"",INDEX(GL!$B:$B,I1029))</f>
        <v/>
      </c>
      <c r="K1029" s="5" t="str">
        <f aca="false">IF(I1029=0,"",IF(INDEX(GL!$C:$C,I1029)="","",INDEX(GL!$C:$C,I1029)))</f>
        <v/>
      </c>
      <c r="L1029" s="19" t="str">
        <f aca="false">IF(I1029=0,"",INDEX(GL!$E:$E,I1029))</f>
        <v/>
      </c>
      <c r="M1029" s="19" t="str">
        <f aca="false">IF(OR(B1029=0,I1029=0),"",ROUND(G1029-L1029,2))</f>
        <v/>
      </c>
      <c r="N1029" s="5" t="str">
        <f aca="false">IF(A1029="","",IF(B1029=0,"NOT FOUND: bank ID",IF(I1029=0,"NOT FOUND: GL ID",IF(INDEX(GL!$H:$H,I1029)&lt;&gt;A1029,"BROKEN: GL points elsewhere",IF(OR(INDEX(Bank!$F:$F,B1029)&lt;&gt;"Y",INDEX(GL!$F:$F,I1029)&lt;&gt;"Y"),"BROKEN: Status not Y","OK")))))</f>
        <v/>
      </c>
    </row>
    <row r="1030" customFormat="false" ht="15" hidden="false" customHeight="false" outlineLevel="0" collapsed="false">
      <c r="A1030" s="41"/>
      <c r="B1030" s="5" t="n">
        <f aca="false">IF(A1030="",0,IFERROR(MATCH(A1030,Bank!$A:$A,0),0))</f>
        <v>0</v>
      </c>
      <c r="C1030" s="5" t="str">
        <f aca="false">IF(B1030=0,"",IF(INDEX(Bank!$G:$G,B1030)="","",INDEX(Bank!$G:$G,B1030)))</f>
        <v/>
      </c>
      <c r="D1030" s="5" t="str">
        <f aca="false">IF(B1030=0,"",IF(INDEX(Bank!$J:$J,B1030)="","",INDEX(Bank!$J:$J,B1030)))</f>
        <v/>
      </c>
      <c r="E1030" s="32" t="str">
        <f aca="false">IF(B1030=0,"",INDEX(Bank!$B:$B,B1030))</f>
        <v/>
      </c>
      <c r="F1030" s="5" t="str">
        <f aca="false">IF(B1030=0,"",IF(INDEX(Bank!$C:$C,B1030)="","",INDEX(Bank!$C:$C,B1030)))</f>
        <v/>
      </c>
      <c r="G1030" s="19" t="str">
        <f aca="false">IF(B1030=0,"",INDEX(Bank!$E:$E,B1030))</f>
        <v/>
      </c>
      <c r="H1030" s="5" t="str">
        <f aca="false">IF(B1030=0,"",IF(INDEX(Bank!$H:$H,B1030)="","",INDEX(Bank!$H:$H,B1030)))</f>
        <v/>
      </c>
      <c r="I1030" s="5" t="n">
        <f aca="false">IF(H1030="",0,IFERROR(MATCH(H1030,GL!$A:$A,0),0))</f>
        <v>0</v>
      </c>
      <c r="J1030" s="32" t="str">
        <f aca="false">IF(I1030=0,"",INDEX(GL!$B:$B,I1030))</f>
        <v/>
      </c>
      <c r="K1030" s="5" t="str">
        <f aca="false">IF(I1030=0,"",IF(INDEX(GL!$C:$C,I1030)="","",INDEX(GL!$C:$C,I1030)))</f>
        <v/>
      </c>
      <c r="L1030" s="19" t="str">
        <f aca="false">IF(I1030=0,"",INDEX(GL!$E:$E,I1030))</f>
        <v/>
      </c>
      <c r="M1030" s="19" t="str">
        <f aca="false">IF(OR(B1030=0,I1030=0),"",ROUND(G1030-L1030,2))</f>
        <v/>
      </c>
      <c r="N1030" s="5" t="str">
        <f aca="false">IF(A1030="","",IF(B1030=0,"NOT FOUND: bank ID",IF(I1030=0,"NOT FOUND: GL ID",IF(INDEX(GL!$H:$H,I1030)&lt;&gt;A1030,"BROKEN: GL points elsewhere",IF(OR(INDEX(Bank!$F:$F,B1030)&lt;&gt;"Y",INDEX(GL!$F:$F,I1030)&lt;&gt;"Y"),"BROKEN: Status not Y","OK")))))</f>
        <v/>
      </c>
    </row>
    <row r="1031" customFormat="false" ht="15" hidden="false" customHeight="false" outlineLevel="0" collapsed="false">
      <c r="A1031" s="41"/>
      <c r="B1031" s="5" t="n">
        <f aca="false">IF(A1031="",0,IFERROR(MATCH(A1031,Bank!$A:$A,0),0))</f>
        <v>0</v>
      </c>
      <c r="C1031" s="5" t="str">
        <f aca="false">IF(B1031=0,"",IF(INDEX(Bank!$G:$G,B1031)="","",INDEX(Bank!$G:$G,B1031)))</f>
        <v/>
      </c>
      <c r="D1031" s="5" t="str">
        <f aca="false">IF(B1031=0,"",IF(INDEX(Bank!$J:$J,B1031)="","",INDEX(Bank!$J:$J,B1031)))</f>
        <v/>
      </c>
      <c r="E1031" s="32" t="str">
        <f aca="false">IF(B1031=0,"",INDEX(Bank!$B:$B,B1031))</f>
        <v/>
      </c>
      <c r="F1031" s="5" t="str">
        <f aca="false">IF(B1031=0,"",IF(INDEX(Bank!$C:$C,B1031)="","",INDEX(Bank!$C:$C,B1031)))</f>
        <v/>
      </c>
      <c r="G1031" s="19" t="str">
        <f aca="false">IF(B1031=0,"",INDEX(Bank!$E:$E,B1031))</f>
        <v/>
      </c>
      <c r="H1031" s="5" t="str">
        <f aca="false">IF(B1031=0,"",IF(INDEX(Bank!$H:$H,B1031)="","",INDEX(Bank!$H:$H,B1031)))</f>
        <v/>
      </c>
      <c r="I1031" s="5" t="n">
        <f aca="false">IF(H1031="",0,IFERROR(MATCH(H1031,GL!$A:$A,0),0))</f>
        <v>0</v>
      </c>
      <c r="J1031" s="32" t="str">
        <f aca="false">IF(I1031=0,"",INDEX(GL!$B:$B,I1031))</f>
        <v/>
      </c>
      <c r="K1031" s="5" t="str">
        <f aca="false">IF(I1031=0,"",IF(INDEX(GL!$C:$C,I1031)="","",INDEX(GL!$C:$C,I1031)))</f>
        <v/>
      </c>
      <c r="L1031" s="19" t="str">
        <f aca="false">IF(I1031=0,"",INDEX(GL!$E:$E,I1031))</f>
        <v/>
      </c>
      <c r="M1031" s="19" t="str">
        <f aca="false">IF(OR(B1031=0,I1031=0),"",ROUND(G1031-L1031,2))</f>
        <v/>
      </c>
      <c r="N1031" s="5" t="str">
        <f aca="false">IF(A1031="","",IF(B1031=0,"NOT FOUND: bank ID",IF(I1031=0,"NOT FOUND: GL ID",IF(INDEX(GL!$H:$H,I1031)&lt;&gt;A1031,"BROKEN: GL points elsewhere",IF(OR(INDEX(Bank!$F:$F,B1031)&lt;&gt;"Y",INDEX(GL!$F:$F,I1031)&lt;&gt;"Y"),"BROKEN: Status not Y","OK")))))</f>
        <v/>
      </c>
    </row>
    <row r="1032" customFormat="false" ht="15" hidden="false" customHeight="false" outlineLevel="0" collapsed="false">
      <c r="A1032" s="41"/>
      <c r="B1032" s="5" t="n">
        <f aca="false">IF(A1032="",0,IFERROR(MATCH(A1032,Bank!$A:$A,0),0))</f>
        <v>0</v>
      </c>
      <c r="C1032" s="5" t="str">
        <f aca="false">IF(B1032=0,"",IF(INDEX(Bank!$G:$G,B1032)="","",INDEX(Bank!$G:$G,B1032)))</f>
        <v/>
      </c>
      <c r="D1032" s="5" t="str">
        <f aca="false">IF(B1032=0,"",IF(INDEX(Bank!$J:$J,B1032)="","",INDEX(Bank!$J:$J,B1032)))</f>
        <v/>
      </c>
      <c r="E1032" s="32" t="str">
        <f aca="false">IF(B1032=0,"",INDEX(Bank!$B:$B,B1032))</f>
        <v/>
      </c>
      <c r="F1032" s="5" t="str">
        <f aca="false">IF(B1032=0,"",IF(INDEX(Bank!$C:$C,B1032)="","",INDEX(Bank!$C:$C,B1032)))</f>
        <v/>
      </c>
      <c r="G1032" s="19" t="str">
        <f aca="false">IF(B1032=0,"",INDEX(Bank!$E:$E,B1032))</f>
        <v/>
      </c>
      <c r="H1032" s="5" t="str">
        <f aca="false">IF(B1032=0,"",IF(INDEX(Bank!$H:$H,B1032)="","",INDEX(Bank!$H:$H,B1032)))</f>
        <v/>
      </c>
      <c r="I1032" s="5" t="n">
        <f aca="false">IF(H1032="",0,IFERROR(MATCH(H1032,GL!$A:$A,0),0))</f>
        <v>0</v>
      </c>
      <c r="J1032" s="32" t="str">
        <f aca="false">IF(I1032=0,"",INDEX(GL!$B:$B,I1032))</f>
        <v/>
      </c>
      <c r="K1032" s="5" t="str">
        <f aca="false">IF(I1032=0,"",IF(INDEX(GL!$C:$C,I1032)="","",INDEX(GL!$C:$C,I1032)))</f>
        <v/>
      </c>
      <c r="L1032" s="19" t="str">
        <f aca="false">IF(I1032=0,"",INDEX(GL!$E:$E,I1032))</f>
        <v/>
      </c>
      <c r="M1032" s="19" t="str">
        <f aca="false">IF(OR(B1032=0,I1032=0),"",ROUND(G1032-L1032,2))</f>
        <v/>
      </c>
      <c r="N1032" s="5" t="str">
        <f aca="false">IF(A1032="","",IF(B1032=0,"NOT FOUND: bank ID",IF(I1032=0,"NOT FOUND: GL ID",IF(INDEX(GL!$H:$H,I1032)&lt;&gt;A1032,"BROKEN: GL points elsewhere",IF(OR(INDEX(Bank!$F:$F,B1032)&lt;&gt;"Y",INDEX(GL!$F:$F,I1032)&lt;&gt;"Y"),"BROKEN: Status not Y","OK")))))</f>
        <v/>
      </c>
    </row>
    <row r="1033" customFormat="false" ht="15" hidden="false" customHeight="false" outlineLevel="0" collapsed="false">
      <c r="A1033" s="41"/>
      <c r="B1033" s="5" t="n">
        <f aca="false">IF(A1033="",0,IFERROR(MATCH(A1033,Bank!$A:$A,0),0))</f>
        <v>0</v>
      </c>
      <c r="C1033" s="5" t="str">
        <f aca="false">IF(B1033=0,"",IF(INDEX(Bank!$G:$G,B1033)="","",INDEX(Bank!$G:$G,B1033)))</f>
        <v/>
      </c>
      <c r="D1033" s="5" t="str">
        <f aca="false">IF(B1033=0,"",IF(INDEX(Bank!$J:$J,B1033)="","",INDEX(Bank!$J:$J,B1033)))</f>
        <v/>
      </c>
      <c r="E1033" s="32" t="str">
        <f aca="false">IF(B1033=0,"",INDEX(Bank!$B:$B,B1033))</f>
        <v/>
      </c>
      <c r="F1033" s="5" t="str">
        <f aca="false">IF(B1033=0,"",IF(INDEX(Bank!$C:$C,B1033)="","",INDEX(Bank!$C:$C,B1033)))</f>
        <v/>
      </c>
      <c r="G1033" s="19" t="str">
        <f aca="false">IF(B1033=0,"",INDEX(Bank!$E:$E,B1033))</f>
        <v/>
      </c>
      <c r="H1033" s="5" t="str">
        <f aca="false">IF(B1033=0,"",IF(INDEX(Bank!$H:$H,B1033)="","",INDEX(Bank!$H:$H,B1033)))</f>
        <v/>
      </c>
      <c r="I1033" s="5" t="n">
        <f aca="false">IF(H1033="",0,IFERROR(MATCH(H1033,GL!$A:$A,0),0))</f>
        <v>0</v>
      </c>
      <c r="J1033" s="32" t="str">
        <f aca="false">IF(I1033=0,"",INDEX(GL!$B:$B,I1033))</f>
        <v/>
      </c>
      <c r="K1033" s="5" t="str">
        <f aca="false">IF(I1033=0,"",IF(INDEX(GL!$C:$C,I1033)="","",INDEX(GL!$C:$C,I1033)))</f>
        <v/>
      </c>
      <c r="L1033" s="19" t="str">
        <f aca="false">IF(I1033=0,"",INDEX(GL!$E:$E,I1033))</f>
        <v/>
      </c>
      <c r="M1033" s="19" t="str">
        <f aca="false">IF(OR(B1033=0,I1033=0),"",ROUND(G1033-L1033,2))</f>
        <v/>
      </c>
      <c r="N1033" s="5" t="str">
        <f aca="false">IF(A1033="","",IF(B1033=0,"NOT FOUND: bank ID",IF(I1033=0,"NOT FOUND: GL ID",IF(INDEX(GL!$H:$H,I1033)&lt;&gt;A1033,"BROKEN: GL points elsewhere",IF(OR(INDEX(Bank!$F:$F,B1033)&lt;&gt;"Y",INDEX(GL!$F:$F,I1033)&lt;&gt;"Y"),"BROKEN: Status not Y","OK")))))</f>
        <v/>
      </c>
    </row>
    <row r="1034" customFormat="false" ht="15" hidden="false" customHeight="false" outlineLevel="0" collapsed="false">
      <c r="A1034" s="41"/>
      <c r="B1034" s="5" t="n">
        <f aca="false">IF(A1034="",0,IFERROR(MATCH(A1034,Bank!$A:$A,0),0))</f>
        <v>0</v>
      </c>
      <c r="C1034" s="5" t="str">
        <f aca="false">IF(B1034=0,"",IF(INDEX(Bank!$G:$G,B1034)="","",INDEX(Bank!$G:$G,B1034)))</f>
        <v/>
      </c>
      <c r="D1034" s="5" t="str">
        <f aca="false">IF(B1034=0,"",IF(INDEX(Bank!$J:$J,B1034)="","",INDEX(Bank!$J:$J,B1034)))</f>
        <v/>
      </c>
      <c r="E1034" s="32" t="str">
        <f aca="false">IF(B1034=0,"",INDEX(Bank!$B:$B,B1034))</f>
        <v/>
      </c>
      <c r="F1034" s="5" t="str">
        <f aca="false">IF(B1034=0,"",IF(INDEX(Bank!$C:$C,B1034)="","",INDEX(Bank!$C:$C,B1034)))</f>
        <v/>
      </c>
      <c r="G1034" s="19" t="str">
        <f aca="false">IF(B1034=0,"",INDEX(Bank!$E:$E,B1034))</f>
        <v/>
      </c>
      <c r="H1034" s="5" t="str">
        <f aca="false">IF(B1034=0,"",IF(INDEX(Bank!$H:$H,B1034)="","",INDEX(Bank!$H:$H,B1034)))</f>
        <v/>
      </c>
      <c r="I1034" s="5" t="n">
        <f aca="false">IF(H1034="",0,IFERROR(MATCH(H1034,GL!$A:$A,0),0))</f>
        <v>0</v>
      </c>
      <c r="J1034" s="32" t="str">
        <f aca="false">IF(I1034=0,"",INDEX(GL!$B:$B,I1034))</f>
        <v/>
      </c>
      <c r="K1034" s="5" t="str">
        <f aca="false">IF(I1034=0,"",IF(INDEX(GL!$C:$C,I1034)="","",INDEX(GL!$C:$C,I1034)))</f>
        <v/>
      </c>
      <c r="L1034" s="19" t="str">
        <f aca="false">IF(I1034=0,"",INDEX(GL!$E:$E,I1034))</f>
        <v/>
      </c>
      <c r="M1034" s="19" t="str">
        <f aca="false">IF(OR(B1034=0,I1034=0),"",ROUND(G1034-L1034,2))</f>
        <v/>
      </c>
      <c r="N1034" s="5" t="str">
        <f aca="false">IF(A1034="","",IF(B1034=0,"NOT FOUND: bank ID",IF(I1034=0,"NOT FOUND: GL ID",IF(INDEX(GL!$H:$H,I1034)&lt;&gt;A1034,"BROKEN: GL points elsewhere",IF(OR(INDEX(Bank!$F:$F,B1034)&lt;&gt;"Y",INDEX(GL!$F:$F,I1034)&lt;&gt;"Y"),"BROKEN: Status not Y","OK")))))</f>
        <v/>
      </c>
    </row>
    <row r="1035" customFormat="false" ht="15" hidden="false" customHeight="false" outlineLevel="0" collapsed="false">
      <c r="A1035" s="41"/>
      <c r="B1035" s="5" t="n">
        <f aca="false">IF(A1035="",0,IFERROR(MATCH(A1035,Bank!$A:$A,0),0))</f>
        <v>0</v>
      </c>
      <c r="C1035" s="5" t="str">
        <f aca="false">IF(B1035=0,"",IF(INDEX(Bank!$G:$G,B1035)="","",INDEX(Bank!$G:$G,B1035)))</f>
        <v/>
      </c>
      <c r="D1035" s="5" t="str">
        <f aca="false">IF(B1035=0,"",IF(INDEX(Bank!$J:$J,B1035)="","",INDEX(Bank!$J:$J,B1035)))</f>
        <v/>
      </c>
      <c r="E1035" s="32" t="str">
        <f aca="false">IF(B1035=0,"",INDEX(Bank!$B:$B,B1035))</f>
        <v/>
      </c>
      <c r="F1035" s="5" t="str">
        <f aca="false">IF(B1035=0,"",IF(INDEX(Bank!$C:$C,B1035)="","",INDEX(Bank!$C:$C,B1035)))</f>
        <v/>
      </c>
      <c r="G1035" s="19" t="str">
        <f aca="false">IF(B1035=0,"",INDEX(Bank!$E:$E,B1035))</f>
        <v/>
      </c>
      <c r="H1035" s="5" t="str">
        <f aca="false">IF(B1035=0,"",IF(INDEX(Bank!$H:$H,B1035)="","",INDEX(Bank!$H:$H,B1035)))</f>
        <v/>
      </c>
      <c r="I1035" s="5" t="n">
        <f aca="false">IF(H1035="",0,IFERROR(MATCH(H1035,GL!$A:$A,0),0))</f>
        <v>0</v>
      </c>
      <c r="J1035" s="32" t="str">
        <f aca="false">IF(I1035=0,"",INDEX(GL!$B:$B,I1035))</f>
        <v/>
      </c>
      <c r="K1035" s="5" t="str">
        <f aca="false">IF(I1035=0,"",IF(INDEX(GL!$C:$C,I1035)="","",INDEX(GL!$C:$C,I1035)))</f>
        <v/>
      </c>
      <c r="L1035" s="19" t="str">
        <f aca="false">IF(I1035=0,"",INDEX(GL!$E:$E,I1035))</f>
        <v/>
      </c>
      <c r="M1035" s="19" t="str">
        <f aca="false">IF(OR(B1035=0,I1035=0),"",ROUND(G1035-L1035,2))</f>
        <v/>
      </c>
      <c r="N1035" s="5" t="str">
        <f aca="false">IF(A1035="","",IF(B1035=0,"NOT FOUND: bank ID",IF(I1035=0,"NOT FOUND: GL ID",IF(INDEX(GL!$H:$H,I1035)&lt;&gt;A1035,"BROKEN: GL points elsewhere",IF(OR(INDEX(Bank!$F:$F,B1035)&lt;&gt;"Y",INDEX(GL!$F:$F,I1035)&lt;&gt;"Y"),"BROKEN: Status not Y","OK")))))</f>
        <v/>
      </c>
    </row>
    <row r="1036" customFormat="false" ht="15" hidden="false" customHeight="false" outlineLevel="0" collapsed="false">
      <c r="A1036" s="41"/>
      <c r="B1036" s="5" t="n">
        <f aca="false">IF(A1036="",0,IFERROR(MATCH(A1036,Bank!$A:$A,0),0))</f>
        <v>0</v>
      </c>
      <c r="C1036" s="5" t="str">
        <f aca="false">IF(B1036=0,"",IF(INDEX(Bank!$G:$G,B1036)="","",INDEX(Bank!$G:$G,B1036)))</f>
        <v/>
      </c>
      <c r="D1036" s="5" t="str">
        <f aca="false">IF(B1036=0,"",IF(INDEX(Bank!$J:$J,B1036)="","",INDEX(Bank!$J:$J,B1036)))</f>
        <v/>
      </c>
      <c r="E1036" s="32" t="str">
        <f aca="false">IF(B1036=0,"",INDEX(Bank!$B:$B,B1036))</f>
        <v/>
      </c>
      <c r="F1036" s="5" t="str">
        <f aca="false">IF(B1036=0,"",IF(INDEX(Bank!$C:$C,B1036)="","",INDEX(Bank!$C:$C,B1036)))</f>
        <v/>
      </c>
      <c r="G1036" s="19" t="str">
        <f aca="false">IF(B1036=0,"",INDEX(Bank!$E:$E,B1036))</f>
        <v/>
      </c>
      <c r="H1036" s="5" t="str">
        <f aca="false">IF(B1036=0,"",IF(INDEX(Bank!$H:$H,B1036)="","",INDEX(Bank!$H:$H,B1036)))</f>
        <v/>
      </c>
      <c r="I1036" s="5" t="n">
        <f aca="false">IF(H1036="",0,IFERROR(MATCH(H1036,GL!$A:$A,0),0))</f>
        <v>0</v>
      </c>
      <c r="J1036" s="32" t="str">
        <f aca="false">IF(I1036=0,"",INDEX(GL!$B:$B,I1036))</f>
        <v/>
      </c>
      <c r="K1036" s="5" t="str">
        <f aca="false">IF(I1036=0,"",IF(INDEX(GL!$C:$C,I1036)="","",INDEX(GL!$C:$C,I1036)))</f>
        <v/>
      </c>
      <c r="L1036" s="19" t="str">
        <f aca="false">IF(I1036=0,"",INDEX(GL!$E:$E,I1036))</f>
        <v/>
      </c>
      <c r="M1036" s="19" t="str">
        <f aca="false">IF(OR(B1036=0,I1036=0),"",ROUND(G1036-L1036,2))</f>
        <v/>
      </c>
      <c r="N1036" s="5" t="str">
        <f aca="false">IF(A1036="","",IF(B1036=0,"NOT FOUND: bank ID",IF(I1036=0,"NOT FOUND: GL ID",IF(INDEX(GL!$H:$H,I1036)&lt;&gt;A1036,"BROKEN: GL points elsewhere",IF(OR(INDEX(Bank!$F:$F,B1036)&lt;&gt;"Y",INDEX(GL!$F:$F,I1036)&lt;&gt;"Y"),"BROKEN: Status not Y","OK")))))</f>
        <v/>
      </c>
    </row>
    <row r="1037" customFormat="false" ht="15" hidden="false" customHeight="false" outlineLevel="0" collapsed="false">
      <c r="A1037" s="41"/>
      <c r="B1037" s="5" t="n">
        <f aca="false">IF(A1037="",0,IFERROR(MATCH(A1037,Bank!$A:$A,0),0))</f>
        <v>0</v>
      </c>
      <c r="C1037" s="5" t="str">
        <f aca="false">IF(B1037=0,"",IF(INDEX(Bank!$G:$G,B1037)="","",INDEX(Bank!$G:$G,B1037)))</f>
        <v/>
      </c>
      <c r="D1037" s="5" t="str">
        <f aca="false">IF(B1037=0,"",IF(INDEX(Bank!$J:$J,B1037)="","",INDEX(Bank!$J:$J,B1037)))</f>
        <v/>
      </c>
      <c r="E1037" s="32" t="str">
        <f aca="false">IF(B1037=0,"",INDEX(Bank!$B:$B,B1037))</f>
        <v/>
      </c>
      <c r="F1037" s="5" t="str">
        <f aca="false">IF(B1037=0,"",IF(INDEX(Bank!$C:$C,B1037)="","",INDEX(Bank!$C:$C,B1037)))</f>
        <v/>
      </c>
      <c r="G1037" s="19" t="str">
        <f aca="false">IF(B1037=0,"",INDEX(Bank!$E:$E,B1037))</f>
        <v/>
      </c>
      <c r="H1037" s="5" t="str">
        <f aca="false">IF(B1037=0,"",IF(INDEX(Bank!$H:$H,B1037)="","",INDEX(Bank!$H:$H,B1037)))</f>
        <v/>
      </c>
      <c r="I1037" s="5" t="n">
        <f aca="false">IF(H1037="",0,IFERROR(MATCH(H1037,GL!$A:$A,0),0))</f>
        <v>0</v>
      </c>
      <c r="J1037" s="32" t="str">
        <f aca="false">IF(I1037=0,"",INDEX(GL!$B:$B,I1037))</f>
        <v/>
      </c>
      <c r="K1037" s="5" t="str">
        <f aca="false">IF(I1037=0,"",IF(INDEX(GL!$C:$C,I1037)="","",INDEX(GL!$C:$C,I1037)))</f>
        <v/>
      </c>
      <c r="L1037" s="19" t="str">
        <f aca="false">IF(I1037=0,"",INDEX(GL!$E:$E,I1037))</f>
        <v/>
      </c>
      <c r="M1037" s="19" t="str">
        <f aca="false">IF(OR(B1037=0,I1037=0),"",ROUND(G1037-L1037,2))</f>
        <v/>
      </c>
      <c r="N1037" s="5" t="str">
        <f aca="false">IF(A1037="","",IF(B1037=0,"NOT FOUND: bank ID",IF(I1037=0,"NOT FOUND: GL ID",IF(INDEX(GL!$H:$H,I1037)&lt;&gt;A1037,"BROKEN: GL points elsewhere",IF(OR(INDEX(Bank!$F:$F,B1037)&lt;&gt;"Y",INDEX(GL!$F:$F,I1037)&lt;&gt;"Y"),"BROKEN: Status not Y","OK")))))</f>
        <v/>
      </c>
    </row>
    <row r="1038" customFormat="false" ht="15" hidden="false" customHeight="false" outlineLevel="0" collapsed="false">
      <c r="A1038" s="41"/>
      <c r="B1038" s="5" t="n">
        <f aca="false">IF(A1038="",0,IFERROR(MATCH(A1038,Bank!$A:$A,0),0))</f>
        <v>0</v>
      </c>
      <c r="C1038" s="5" t="str">
        <f aca="false">IF(B1038=0,"",IF(INDEX(Bank!$G:$G,B1038)="","",INDEX(Bank!$G:$G,B1038)))</f>
        <v/>
      </c>
      <c r="D1038" s="5" t="str">
        <f aca="false">IF(B1038=0,"",IF(INDEX(Bank!$J:$J,B1038)="","",INDEX(Bank!$J:$J,B1038)))</f>
        <v/>
      </c>
      <c r="E1038" s="32" t="str">
        <f aca="false">IF(B1038=0,"",INDEX(Bank!$B:$B,B1038))</f>
        <v/>
      </c>
      <c r="F1038" s="5" t="str">
        <f aca="false">IF(B1038=0,"",IF(INDEX(Bank!$C:$C,B1038)="","",INDEX(Bank!$C:$C,B1038)))</f>
        <v/>
      </c>
      <c r="G1038" s="19" t="str">
        <f aca="false">IF(B1038=0,"",INDEX(Bank!$E:$E,B1038))</f>
        <v/>
      </c>
      <c r="H1038" s="5" t="str">
        <f aca="false">IF(B1038=0,"",IF(INDEX(Bank!$H:$H,B1038)="","",INDEX(Bank!$H:$H,B1038)))</f>
        <v/>
      </c>
      <c r="I1038" s="5" t="n">
        <f aca="false">IF(H1038="",0,IFERROR(MATCH(H1038,GL!$A:$A,0),0))</f>
        <v>0</v>
      </c>
      <c r="J1038" s="32" t="str">
        <f aca="false">IF(I1038=0,"",INDEX(GL!$B:$B,I1038))</f>
        <v/>
      </c>
      <c r="K1038" s="5" t="str">
        <f aca="false">IF(I1038=0,"",IF(INDEX(GL!$C:$C,I1038)="","",INDEX(GL!$C:$C,I1038)))</f>
        <v/>
      </c>
      <c r="L1038" s="19" t="str">
        <f aca="false">IF(I1038=0,"",INDEX(GL!$E:$E,I1038))</f>
        <v/>
      </c>
      <c r="M1038" s="19" t="str">
        <f aca="false">IF(OR(B1038=0,I1038=0),"",ROUND(G1038-L1038,2))</f>
        <v/>
      </c>
      <c r="N1038" s="5" t="str">
        <f aca="false">IF(A1038="","",IF(B1038=0,"NOT FOUND: bank ID",IF(I1038=0,"NOT FOUND: GL ID",IF(INDEX(GL!$H:$H,I1038)&lt;&gt;A1038,"BROKEN: GL points elsewhere",IF(OR(INDEX(Bank!$F:$F,B1038)&lt;&gt;"Y",INDEX(GL!$F:$F,I1038)&lt;&gt;"Y"),"BROKEN: Status not Y","OK")))))</f>
        <v/>
      </c>
    </row>
    <row r="1039" customFormat="false" ht="15" hidden="false" customHeight="false" outlineLevel="0" collapsed="false">
      <c r="A1039" s="41"/>
      <c r="B1039" s="5" t="n">
        <f aca="false">IF(A1039="",0,IFERROR(MATCH(A1039,Bank!$A:$A,0),0))</f>
        <v>0</v>
      </c>
      <c r="C1039" s="5" t="str">
        <f aca="false">IF(B1039=0,"",IF(INDEX(Bank!$G:$G,B1039)="","",INDEX(Bank!$G:$G,B1039)))</f>
        <v/>
      </c>
      <c r="D1039" s="5" t="str">
        <f aca="false">IF(B1039=0,"",IF(INDEX(Bank!$J:$J,B1039)="","",INDEX(Bank!$J:$J,B1039)))</f>
        <v/>
      </c>
      <c r="E1039" s="32" t="str">
        <f aca="false">IF(B1039=0,"",INDEX(Bank!$B:$B,B1039))</f>
        <v/>
      </c>
      <c r="F1039" s="5" t="str">
        <f aca="false">IF(B1039=0,"",IF(INDEX(Bank!$C:$C,B1039)="","",INDEX(Bank!$C:$C,B1039)))</f>
        <v/>
      </c>
      <c r="G1039" s="19" t="str">
        <f aca="false">IF(B1039=0,"",INDEX(Bank!$E:$E,B1039))</f>
        <v/>
      </c>
      <c r="H1039" s="5" t="str">
        <f aca="false">IF(B1039=0,"",IF(INDEX(Bank!$H:$H,B1039)="","",INDEX(Bank!$H:$H,B1039)))</f>
        <v/>
      </c>
      <c r="I1039" s="5" t="n">
        <f aca="false">IF(H1039="",0,IFERROR(MATCH(H1039,GL!$A:$A,0),0))</f>
        <v>0</v>
      </c>
      <c r="J1039" s="32" t="str">
        <f aca="false">IF(I1039=0,"",INDEX(GL!$B:$B,I1039))</f>
        <v/>
      </c>
      <c r="K1039" s="5" t="str">
        <f aca="false">IF(I1039=0,"",IF(INDEX(GL!$C:$C,I1039)="","",INDEX(GL!$C:$C,I1039)))</f>
        <v/>
      </c>
      <c r="L1039" s="19" t="str">
        <f aca="false">IF(I1039=0,"",INDEX(GL!$E:$E,I1039))</f>
        <v/>
      </c>
      <c r="M1039" s="19" t="str">
        <f aca="false">IF(OR(B1039=0,I1039=0),"",ROUND(G1039-L1039,2))</f>
        <v/>
      </c>
      <c r="N1039" s="5" t="str">
        <f aca="false">IF(A1039="","",IF(B1039=0,"NOT FOUND: bank ID",IF(I1039=0,"NOT FOUND: GL ID",IF(INDEX(GL!$H:$H,I1039)&lt;&gt;A1039,"BROKEN: GL points elsewhere",IF(OR(INDEX(Bank!$F:$F,B1039)&lt;&gt;"Y",INDEX(GL!$F:$F,I1039)&lt;&gt;"Y"),"BROKEN: Status not Y","OK")))))</f>
        <v/>
      </c>
    </row>
    <row r="1040" customFormat="false" ht="15" hidden="false" customHeight="false" outlineLevel="0" collapsed="false">
      <c r="A1040" s="41"/>
      <c r="B1040" s="5" t="n">
        <f aca="false">IF(A1040="",0,IFERROR(MATCH(A1040,Bank!$A:$A,0),0))</f>
        <v>0</v>
      </c>
      <c r="C1040" s="5" t="str">
        <f aca="false">IF(B1040=0,"",IF(INDEX(Bank!$G:$G,B1040)="","",INDEX(Bank!$G:$G,B1040)))</f>
        <v/>
      </c>
      <c r="D1040" s="5" t="str">
        <f aca="false">IF(B1040=0,"",IF(INDEX(Bank!$J:$J,B1040)="","",INDEX(Bank!$J:$J,B1040)))</f>
        <v/>
      </c>
      <c r="E1040" s="32" t="str">
        <f aca="false">IF(B1040=0,"",INDEX(Bank!$B:$B,B1040))</f>
        <v/>
      </c>
      <c r="F1040" s="5" t="str">
        <f aca="false">IF(B1040=0,"",IF(INDEX(Bank!$C:$C,B1040)="","",INDEX(Bank!$C:$C,B1040)))</f>
        <v/>
      </c>
      <c r="G1040" s="19" t="str">
        <f aca="false">IF(B1040=0,"",INDEX(Bank!$E:$E,B1040))</f>
        <v/>
      </c>
      <c r="H1040" s="5" t="str">
        <f aca="false">IF(B1040=0,"",IF(INDEX(Bank!$H:$H,B1040)="","",INDEX(Bank!$H:$H,B1040)))</f>
        <v/>
      </c>
      <c r="I1040" s="5" t="n">
        <f aca="false">IF(H1040="",0,IFERROR(MATCH(H1040,GL!$A:$A,0),0))</f>
        <v>0</v>
      </c>
      <c r="J1040" s="32" t="str">
        <f aca="false">IF(I1040=0,"",INDEX(GL!$B:$B,I1040))</f>
        <v/>
      </c>
      <c r="K1040" s="5" t="str">
        <f aca="false">IF(I1040=0,"",IF(INDEX(GL!$C:$C,I1040)="","",INDEX(GL!$C:$C,I1040)))</f>
        <v/>
      </c>
      <c r="L1040" s="19" t="str">
        <f aca="false">IF(I1040=0,"",INDEX(GL!$E:$E,I1040))</f>
        <v/>
      </c>
      <c r="M1040" s="19" t="str">
        <f aca="false">IF(OR(B1040=0,I1040=0),"",ROUND(G1040-L1040,2))</f>
        <v/>
      </c>
      <c r="N1040" s="5" t="str">
        <f aca="false">IF(A1040="","",IF(B1040=0,"NOT FOUND: bank ID",IF(I1040=0,"NOT FOUND: GL ID",IF(INDEX(GL!$H:$H,I1040)&lt;&gt;A1040,"BROKEN: GL points elsewhere",IF(OR(INDEX(Bank!$F:$F,B1040)&lt;&gt;"Y",INDEX(GL!$F:$F,I1040)&lt;&gt;"Y"),"BROKEN: Status not Y","OK")))))</f>
        <v/>
      </c>
    </row>
    <row r="1041" customFormat="false" ht="15" hidden="false" customHeight="false" outlineLevel="0" collapsed="false">
      <c r="A1041" s="41"/>
      <c r="B1041" s="5" t="n">
        <f aca="false">IF(A1041="",0,IFERROR(MATCH(A1041,Bank!$A:$A,0),0))</f>
        <v>0</v>
      </c>
      <c r="C1041" s="5" t="str">
        <f aca="false">IF(B1041=0,"",IF(INDEX(Bank!$G:$G,B1041)="","",INDEX(Bank!$G:$G,B1041)))</f>
        <v/>
      </c>
      <c r="D1041" s="5" t="str">
        <f aca="false">IF(B1041=0,"",IF(INDEX(Bank!$J:$J,B1041)="","",INDEX(Bank!$J:$J,B1041)))</f>
        <v/>
      </c>
      <c r="E1041" s="32" t="str">
        <f aca="false">IF(B1041=0,"",INDEX(Bank!$B:$B,B1041))</f>
        <v/>
      </c>
      <c r="F1041" s="5" t="str">
        <f aca="false">IF(B1041=0,"",IF(INDEX(Bank!$C:$C,B1041)="","",INDEX(Bank!$C:$C,B1041)))</f>
        <v/>
      </c>
      <c r="G1041" s="19" t="str">
        <f aca="false">IF(B1041=0,"",INDEX(Bank!$E:$E,B1041))</f>
        <v/>
      </c>
      <c r="H1041" s="5" t="str">
        <f aca="false">IF(B1041=0,"",IF(INDEX(Bank!$H:$H,B1041)="","",INDEX(Bank!$H:$H,B1041)))</f>
        <v/>
      </c>
      <c r="I1041" s="5" t="n">
        <f aca="false">IF(H1041="",0,IFERROR(MATCH(H1041,GL!$A:$A,0),0))</f>
        <v>0</v>
      </c>
      <c r="J1041" s="32" t="str">
        <f aca="false">IF(I1041=0,"",INDEX(GL!$B:$B,I1041))</f>
        <v/>
      </c>
      <c r="K1041" s="5" t="str">
        <f aca="false">IF(I1041=0,"",IF(INDEX(GL!$C:$C,I1041)="","",INDEX(GL!$C:$C,I1041)))</f>
        <v/>
      </c>
      <c r="L1041" s="19" t="str">
        <f aca="false">IF(I1041=0,"",INDEX(GL!$E:$E,I1041))</f>
        <v/>
      </c>
      <c r="M1041" s="19" t="str">
        <f aca="false">IF(OR(B1041=0,I1041=0),"",ROUND(G1041-L1041,2))</f>
        <v/>
      </c>
      <c r="N1041" s="5" t="str">
        <f aca="false">IF(A1041="","",IF(B1041=0,"NOT FOUND: bank ID",IF(I1041=0,"NOT FOUND: GL ID",IF(INDEX(GL!$H:$H,I1041)&lt;&gt;A1041,"BROKEN: GL points elsewhere",IF(OR(INDEX(Bank!$F:$F,B1041)&lt;&gt;"Y",INDEX(GL!$F:$F,I1041)&lt;&gt;"Y"),"BROKEN: Status not Y","OK")))))</f>
        <v/>
      </c>
    </row>
    <row r="1042" customFormat="false" ht="15" hidden="false" customHeight="false" outlineLevel="0" collapsed="false">
      <c r="A1042" s="41"/>
      <c r="B1042" s="5" t="n">
        <f aca="false">IF(A1042="",0,IFERROR(MATCH(A1042,Bank!$A:$A,0),0))</f>
        <v>0</v>
      </c>
      <c r="C1042" s="5" t="str">
        <f aca="false">IF(B1042=0,"",IF(INDEX(Bank!$G:$G,B1042)="","",INDEX(Bank!$G:$G,B1042)))</f>
        <v/>
      </c>
      <c r="D1042" s="5" t="str">
        <f aca="false">IF(B1042=0,"",IF(INDEX(Bank!$J:$J,B1042)="","",INDEX(Bank!$J:$J,B1042)))</f>
        <v/>
      </c>
      <c r="E1042" s="32" t="str">
        <f aca="false">IF(B1042=0,"",INDEX(Bank!$B:$B,B1042))</f>
        <v/>
      </c>
      <c r="F1042" s="5" t="str">
        <f aca="false">IF(B1042=0,"",IF(INDEX(Bank!$C:$C,B1042)="","",INDEX(Bank!$C:$C,B1042)))</f>
        <v/>
      </c>
      <c r="G1042" s="19" t="str">
        <f aca="false">IF(B1042=0,"",INDEX(Bank!$E:$E,B1042))</f>
        <v/>
      </c>
      <c r="H1042" s="5" t="str">
        <f aca="false">IF(B1042=0,"",IF(INDEX(Bank!$H:$H,B1042)="","",INDEX(Bank!$H:$H,B1042)))</f>
        <v/>
      </c>
      <c r="I1042" s="5" t="n">
        <f aca="false">IF(H1042="",0,IFERROR(MATCH(H1042,GL!$A:$A,0),0))</f>
        <v>0</v>
      </c>
      <c r="J1042" s="32" t="str">
        <f aca="false">IF(I1042=0,"",INDEX(GL!$B:$B,I1042))</f>
        <v/>
      </c>
      <c r="K1042" s="5" t="str">
        <f aca="false">IF(I1042=0,"",IF(INDEX(GL!$C:$C,I1042)="","",INDEX(GL!$C:$C,I1042)))</f>
        <v/>
      </c>
      <c r="L1042" s="19" t="str">
        <f aca="false">IF(I1042=0,"",INDEX(GL!$E:$E,I1042))</f>
        <v/>
      </c>
      <c r="M1042" s="19" t="str">
        <f aca="false">IF(OR(B1042=0,I1042=0),"",ROUND(G1042-L1042,2))</f>
        <v/>
      </c>
      <c r="N1042" s="5" t="str">
        <f aca="false">IF(A1042="","",IF(B1042=0,"NOT FOUND: bank ID",IF(I1042=0,"NOT FOUND: GL ID",IF(INDEX(GL!$H:$H,I1042)&lt;&gt;A1042,"BROKEN: GL points elsewhere",IF(OR(INDEX(Bank!$F:$F,B1042)&lt;&gt;"Y",INDEX(GL!$F:$F,I1042)&lt;&gt;"Y"),"BROKEN: Status not Y","OK")))))</f>
        <v/>
      </c>
    </row>
    <row r="1043" customFormat="false" ht="15" hidden="false" customHeight="false" outlineLevel="0" collapsed="false">
      <c r="A1043" s="41"/>
      <c r="B1043" s="5" t="n">
        <f aca="false">IF(A1043="",0,IFERROR(MATCH(A1043,Bank!$A:$A,0),0))</f>
        <v>0</v>
      </c>
      <c r="C1043" s="5" t="str">
        <f aca="false">IF(B1043=0,"",IF(INDEX(Bank!$G:$G,B1043)="","",INDEX(Bank!$G:$G,B1043)))</f>
        <v/>
      </c>
      <c r="D1043" s="5" t="str">
        <f aca="false">IF(B1043=0,"",IF(INDEX(Bank!$J:$J,B1043)="","",INDEX(Bank!$J:$J,B1043)))</f>
        <v/>
      </c>
      <c r="E1043" s="32" t="str">
        <f aca="false">IF(B1043=0,"",INDEX(Bank!$B:$B,B1043))</f>
        <v/>
      </c>
      <c r="F1043" s="5" t="str">
        <f aca="false">IF(B1043=0,"",IF(INDEX(Bank!$C:$C,B1043)="","",INDEX(Bank!$C:$C,B1043)))</f>
        <v/>
      </c>
      <c r="G1043" s="19" t="str">
        <f aca="false">IF(B1043=0,"",INDEX(Bank!$E:$E,B1043))</f>
        <v/>
      </c>
      <c r="H1043" s="5" t="str">
        <f aca="false">IF(B1043=0,"",IF(INDEX(Bank!$H:$H,B1043)="","",INDEX(Bank!$H:$H,B1043)))</f>
        <v/>
      </c>
      <c r="I1043" s="5" t="n">
        <f aca="false">IF(H1043="",0,IFERROR(MATCH(H1043,GL!$A:$A,0),0))</f>
        <v>0</v>
      </c>
      <c r="J1043" s="32" t="str">
        <f aca="false">IF(I1043=0,"",INDEX(GL!$B:$B,I1043))</f>
        <v/>
      </c>
      <c r="K1043" s="5" t="str">
        <f aca="false">IF(I1043=0,"",IF(INDEX(GL!$C:$C,I1043)="","",INDEX(GL!$C:$C,I1043)))</f>
        <v/>
      </c>
      <c r="L1043" s="19" t="str">
        <f aca="false">IF(I1043=0,"",INDEX(GL!$E:$E,I1043))</f>
        <v/>
      </c>
      <c r="M1043" s="19" t="str">
        <f aca="false">IF(OR(B1043=0,I1043=0),"",ROUND(G1043-L1043,2))</f>
        <v/>
      </c>
      <c r="N1043" s="5" t="str">
        <f aca="false">IF(A1043="","",IF(B1043=0,"NOT FOUND: bank ID",IF(I1043=0,"NOT FOUND: GL ID",IF(INDEX(GL!$H:$H,I1043)&lt;&gt;A1043,"BROKEN: GL points elsewhere",IF(OR(INDEX(Bank!$F:$F,B1043)&lt;&gt;"Y",INDEX(GL!$F:$F,I1043)&lt;&gt;"Y"),"BROKEN: Status not Y","OK")))))</f>
        <v/>
      </c>
    </row>
    <row r="1044" customFormat="false" ht="15" hidden="false" customHeight="false" outlineLevel="0" collapsed="false">
      <c r="A1044" s="41"/>
      <c r="B1044" s="5" t="n">
        <f aca="false">IF(A1044="",0,IFERROR(MATCH(A1044,Bank!$A:$A,0),0))</f>
        <v>0</v>
      </c>
      <c r="C1044" s="5" t="str">
        <f aca="false">IF(B1044=0,"",IF(INDEX(Bank!$G:$G,B1044)="","",INDEX(Bank!$G:$G,B1044)))</f>
        <v/>
      </c>
      <c r="D1044" s="5" t="str">
        <f aca="false">IF(B1044=0,"",IF(INDEX(Bank!$J:$J,B1044)="","",INDEX(Bank!$J:$J,B1044)))</f>
        <v/>
      </c>
      <c r="E1044" s="32" t="str">
        <f aca="false">IF(B1044=0,"",INDEX(Bank!$B:$B,B1044))</f>
        <v/>
      </c>
      <c r="F1044" s="5" t="str">
        <f aca="false">IF(B1044=0,"",IF(INDEX(Bank!$C:$C,B1044)="","",INDEX(Bank!$C:$C,B1044)))</f>
        <v/>
      </c>
      <c r="G1044" s="19" t="str">
        <f aca="false">IF(B1044=0,"",INDEX(Bank!$E:$E,B1044))</f>
        <v/>
      </c>
      <c r="H1044" s="5" t="str">
        <f aca="false">IF(B1044=0,"",IF(INDEX(Bank!$H:$H,B1044)="","",INDEX(Bank!$H:$H,B1044)))</f>
        <v/>
      </c>
      <c r="I1044" s="5" t="n">
        <f aca="false">IF(H1044="",0,IFERROR(MATCH(H1044,GL!$A:$A,0),0))</f>
        <v>0</v>
      </c>
      <c r="J1044" s="32" t="str">
        <f aca="false">IF(I1044=0,"",INDEX(GL!$B:$B,I1044))</f>
        <v/>
      </c>
      <c r="K1044" s="5" t="str">
        <f aca="false">IF(I1044=0,"",IF(INDEX(GL!$C:$C,I1044)="","",INDEX(GL!$C:$C,I1044)))</f>
        <v/>
      </c>
      <c r="L1044" s="19" t="str">
        <f aca="false">IF(I1044=0,"",INDEX(GL!$E:$E,I1044))</f>
        <v/>
      </c>
      <c r="M1044" s="19" t="str">
        <f aca="false">IF(OR(B1044=0,I1044=0),"",ROUND(G1044-L1044,2))</f>
        <v/>
      </c>
      <c r="N1044" s="5" t="str">
        <f aca="false">IF(A1044="","",IF(B1044=0,"NOT FOUND: bank ID",IF(I1044=0,"NOT FOUND: GL ID",IF(INDEX(GL!$H:$H,I1044)&lt;&gt;A1044,"BROKEN: GL points elsewhere",IF(OR(INDEX(Bank!$F:$F,B1044)&lt;&gt;"Y",INDEX(GL!$F:$F,I1044)&lt;&gt;"Y"),"BROKEN: Status not Y","OK")))))</f>
        <v/>
      </c>
    </row>
    <row r="1045" customFormat="false" ht="15" hidden="false" customHeight="false" outlineLevel="0" collapsed="false">
      <c r="A1045" s="41"/>
      <c r="B1045" s="5" t="n">
        <f aca="false">IF(A1045="",0,IFERROR(MATCH(A1045,Bank!$A:$A,0),0))</f>
        <v>0</v>
      </c>
      <c r="C1045" s="5" t="str">
        <f aca="false">IF(B1045=0,"",IF(INDEX(Bank!$G:$G,B1045)="","",INDEX(Bank!$G:$G,B1045)))</f>
        <v/>
      </c>
      <c r="D1045" s="5" t="str">
        <f aca="false">IF(B1045=0,"",IF(INDEX(Bank!$J:$J,B1045)="","",INDEX(Bank!$J:$J,B1045)))</f>
        <v/>
      </c>
      <c r="E1045" s="32" t="str">
        <f aca="false">IF(B1045=0,"",INDEX(Bank!$B:$B,B1045))</f>
        <v/>
      </c>
      <c r="F1045" s="5" t="str">
        <f aca="false">IF(B1045=0,"",IF(INDEX(Bank!$C:$C,B1045)="","",INDEX(Bank!$C:$C,B1045)))</f>
        <v/>
      </c>
      <c r="G1045" s="19" t="str">
        <f aca="false">IF(B1045=0,"",INDEX(Bank!$E:$E,B1045))</f>
        <v/>
      </c>
      <c r="H1045" s="5" t="str">
        <f aca="false">IF(B1045=0,"",IF(INDEX(Bank!$H:$H,B1045)="","",INDEX(Bank!$H:$H,B1045)))</f>
        <v/>
      </c>
      <c r="I1045" s="5" t="n">
        <f aca="false">IF(H1045="",0,IFERROR(MATCH(H1045,GL!$A:$A,0),0))</f>
        <v>0</v>
      </c>
      <c r="J1045" s="32" t="str">
        <f aca="false">IF(I1045=0,"",INDEX(GL!$B:$B,I1045))</f>
        <v/>
      </c>
      <c r="K1045" s="5" t="str">
        <f aca="false">IF(I1045=0,"",IF(INDEX(GL!$C:$C,I1045)="","",INDEX(GL!$C:$C,I1045)))</f>
        <v/>
      </c>
      <c r="L1045" s="19" t="str">
        <f aca="false">IF(I1045=0,"",INDEX(GL!$E:$E,I1045))</f>
        <v/>
      </c>
      <c r="M1045" s="19" t="str">
        <f aca="false">IF(OR(B1045=0,I1045=0),"",ROUND(G1045-L1045,2))</f>
        <v/>
      </c>
      <c r="N1045" s="5" t="str">
        <f aca="false">IF(A1045="","",IF(B1045=0,"NOT FOUND: bank ID",IF(I1045=0,"NOT FOUND: GL ID",IF(INDEX(GL!$H:$H,I1045)&lt;&gt;A1045,"BROKEN: GL points elsewhere",IF(OR(INDEX(Bank!$F:$F,B1045)&lt;&gt;"Y",INDEX(GL!$F:$F,I1045)&lt;&gt;"Y"),"BROKEN: Status not Y","OK")))))</f>
        <v/>
      </c>
    </row>
    <row r="1046" customFormat="false" ht="15" hidden="false" customHeight="false" outlineLevel="0" collapsed="false">
      <c r="A1046" s="41"/>
      <c r="B1046" s="5" t="n">
        <f aca="false">IF(A1046="",0,IFERROR(MATCH(A1046,Bank!$A:$A,0),0))</f>
        <v>0</v>
      </c>
      <c r="C1046" s="5" t="str">
        <f aca="false">IF(B1046=0,"",IF(INDEX(Bank!$G:$G,B1046)="","",INDEX(Bank!$G:$G,B1046)))</f>
        <v/>
      </c>
      <c r="D1046" s="5" t="str">
        <f aca="false">IF(B1046=0,"",IF(INDEX(Bank!$J:$J,B1046)="","",INDEX(Bank!$J:$J,B1046)))</f>
        <v/>
      </c>
      <c r="E1046" s="32" t="str">
        <f aca="false">IF(B1046=0,"",INDEX(Bank!$B:$B,B1046))</f>
        <v/>
      </c>
      <c r="F1046" s="5" t="str">
        <f aca="false">IF(B1046=0,"",IF(INDEX(Bank!$C:$C,B1046)="","",INDEX(Bank!$C:$C,B1046)))</f>
        <v/>
      </c>
      <c r="G1046" s="19" t="str">
        <f aca="false">IF(B1046=0,"",INDEX(Bank!$E:$E,B1046))</f>
        <v/>
      </c>
      <c r="H1046" s="5" t="str">
        <f aca="false">IF(B1046=0,"",IF(INDEX(Bank!$H:$H,B1046)="","",INDEX(Bank!$H:$H,B1046)))</f>
        <v/>
      </c>
      <c r="I1046" s="5" t="n">
        <f aca="false">IF(H1046="",0,IFERROR(MATCH(H1046,GL!$A:$A,0),0))</f>
        <v>0</v>
      </c>
      <c r="J1046" s="32" t="str">
        <f aca="false">IF(I1046=0,"",INDEX(GL!$B:$B,I1046))</f>
        <v/>
      </c>
      <c r="K1046" s="5" t="str">
        <f aca="false">IF(I1046=0,"",IF(INDEX(GL!$C:$C,I1046)="","",INDEX(GL!$C:$C,I1046)))</f>
        <v/>
      </c>
      <c r="L1046" s="19" t="str">
        <f aca="false">IF(I1046=0,"",INDEX(GL!$E:$E,I1046))</f>
        <v/>
      </c>
      <c r="M1046" s="19" t="str">
        <f aca="false">IF(OR(B1046=0,I1046=0),"",ROUND(G1046-L1046,2))</f>
        <v/>
      </c>
      <c r="N1046" s="5" t="str">
        <f aca="false">IF(A1046="","",IF(B1046=0,"NOT FOUND: bank ID",IF(I1046=0,"NOT FOUND: GL ID",IF(INDEX(GL!$H:$H,I1046)&lt;&gt;A1046,"BROKEN: GL points elsewhere",IF(OR(INDEX(Bank!$F:$F,B1046)&lt;&gt;"Y",INDEX(GL!$F:$F,I1046)&lt;&gt;"Y"),"BROKEN: Status not Y","OK")))))</f>
        <v/>
      </c>
    </row>
    <row r="1047" customFormat="false" ht="15" hidden="false" customHeight="false" outlineLevel="0" collapsed="false">
      <c r="A1047" s="41"/>
      <c r="B1047" s="5" t="n">
        <f aca="false">IF(A1047="",0,IFERROR(MATCH(A1047,Bank!$A:$A,0),0))</f>
        <v>0</v>
      </c>
      <c r="C1047" s="5" t="str">
        <f aca="false">IF(B1047=0,"",IF(INDEX(Bank!$G:$G,B1047)="","",INDEX(Bank!$G:$G,B1047)))</f>
        <v/>
      </c>
      <c r="D1047" s="5" t="str">
        <f aca="false">IF(B1047=0,"",IF(INDEX(Bank!$J:$J,B1047)="","",INDEX(Bank!$J:$J,B1047)))</f>
        <v/>
      </c>
      <c r="E1047" s="32" t="str">
        <f aca="false">IF(B1047=0,"",INDEX(Bank!$B:$B,B1047))</f>
        <v/>
      </c>
      <c r="F1047" s="5" t="str">
        <f aca="false">IF(B1047=0,"",IF(INDEX(Bank!$C:$C,B1047)="","",INDEX(Bank!$C:$C,B1047)))</f>
        <v/>
      </c>
      <c r="G1047" s="19" t="str">
        <f aca="false">IF(B1047=0,"",INDEX(Bank!$E:$E,B1047))</f>
        <v/>
      </c>
      <c r="H1047" s="5" t="str">
        <f aca="false">IF(B1047=0,"",IF(INDEX(Bank!$H:$H,B1047)="","",INDEX(Bank!$H:$H,B1047)))</f>
        <v/>
      </c>
      <c r="I1047" s="5" t="n">
        <f aca="false">IF(H1047="",0,IFERROR(MATCH(H1047,GL!$A:$A,0),0))</f>
        <v>0</v>
      </c>
      <c r="J1047" s="32" t="str">
        <f aca="false">IF(I1047=0,"",INDEX(GL!$B:$B,I1047))</f>
        <v/>
      </c>
      <c r="K1047" s="5" t="str">
        <f aca="false">IF(I1047=0,"",IF(INDEX(GL!$C:$C,I1047)="","",INDEX(GL!$C:$C,I1047)))</f>
        <v/>
      </c>
      <c r="L1047" s="19" t="str">
        <f aca="false">IF(I1047=0,"",INDEX(GL!$E:$E,I1047))</f>
        <v/>
      </c>
      <c r="M1047" s="19" t="str">
        <f aca="false">IF(OR(B1047=0,I1047=0),"",ROUND(G1047-L1047,2))</f>
        <v/>
      </c>
      <c r="N1047" s="5" t="str">
        <f aca="false">IF(A1047="","",IF(B1047=0,"NOT FOUND: bank ID",IF(I1047=0,"NOT FOUND: GL ID",IF(INDEX(GL!$H:$H,I1047)&lt;&gt;A1047,"BROKEN: GL points elsewhere",IF(OR(INDEX(Bank!$F:$F,B1047)&lt;&gt;"Y",INDEX(GL!$F:$F,I1047)&lt;&gt;"Y"),"BROKEN: Status not Y","OK")))))</f>
        <v/>
      </c>
    </row>
    <row r="1048" customFormat="false" ht="15" hidden="false" customHeight="false" outlineLevel="0" collapsed="false">
      <c r="A1048" s="41"/>
      <c r="B1048" s="5" t="n">
        <f aca="false">IF(A1048="",0,IFERROR(MATCH(A1048,Bank!$A:$A,0),0))</f>
        <v>0</v>
      </c>
      <c r="C1048" s="5" t="str">
        <f aca="false">IF(B1048=0,"",IF(INDEX(Bank!$G:$G,B1048)="","",INDEX(Bank!$G:$G,B1048)))</f>
        <v/>
      </c>
      <c r="D1048" s="5" t="str">
        <f aca="false">IF(B1048=0,"",IF(INDEX(Bank!$J:$J,B1048)="","",INDEX(Bank!$J:$J,B1048)))</f>
        <v/>
      </c>
      <c r="E1048" s="32" t="str">
        <f aca="false">IF(B1048=0,"",INDEX(Bank!$B:$B,B1048))</f>
        <v/>
      </c>
      <c r="F1048" s="5" t="str">
        <f aca="false">IF(B1048=0,"",IF(INDEX(Bank!$C:$C,B1048)="","",INDEX(Bank!$C:$C,B1048)))</f>
        <v/>
      </c>
      <c r="G1048" s="19" t="str">
        <f aca="false">IF(B1048=0,"",INDEX(Bank!$E:$E,B1048))</f>
        <v/>
      </c>
      <c r="H1048" s="5" t="str">
        <f aca="false">IF(B1048=0,"",IF(INDEX(Bank!$H:$H,B1048)="","",INDEX(Bank!$H:$H,B1048)))</f>
        <v/>
      </c>
      <c r="I1048" s="5" t="n">
        <f aca="false">IF(H1048="",0,IFERROR(MATCH(H1048,GL!$A:$A,0),0))</f>
        <v>0</v>
      </c>
      <c r="J1048" s="32" t="str">
        <f aca="false">IF(I1048=0,"",INDEX(GL!$B:$B,I1048))</f>
        <v/>
      </c>
      <c r="K1048" s="5" t="str">
        <f aca="false">IF(I1048=0,"",IF(INDEX(GL!$C:$C,I1048)="","",INDEX(GL!$C:$C,I1048)))</f>
        <v/>
      </c>
      <c r="L1048" s="19" t="str">
        <f aca="false">IF(I1048=0,"",INDEX(GL!$E:$E,I1048))</f>
        <v/>
      </c>
      <c r="M1048" s="19" t="str">
        <f aca="false">IF(OR(B1048=0,I1048=0),"",ROUND(G1048-L1048,2))</f>
        <v/>
      </c>
      <c r="N1048" s="5" t="str">
        <f aca="false">IF(A1048="","",IF(B1048=0,"NOT FOUND: bank ID",IF(I1048=0,"NOT FOUND: GL ID",IF(INDEX(GL!$H:$H,I1048)&lt;&gt;A1048,"BROKEN: GL points elsewhere",IF(OR(INDEX(Bank!$F:$F,B1048)&lt;&gt;"Y",INDEX(GL!$F:$F,I1048)&lt;&gt;"Y"),"BROKEN: Status not Y","OK")))))</f>
        <v/>
      </c>
    </row>
    <row r="1049" customFormat="false" ht="15" hidden="false" customHeight="false" outlineLevel="0" collapsed="false">
      <c r="A1049" s="41"/>
      <c r="B1049" s="5" t="n">
        <f aca="false">IF(A1049="",0,IFERROR(MATCH(A1049,Bank!$A:$A,0),0))</f>
        <v>0</v>
      </c>
      <c r="C1049" s="5" t="str">
        <f aca="false">IF(B1049=0,"",IF(INDEX(Bank!$G:$G,B1049)="","",INDEX(Bank!$G:$G,B1049)))</f>
        <v/>
      </c>
      <c r="D1049" s="5" t="str">
        <f aca="false">IF(B1049=0,"",IF(INDEX(Bank!$J:$J,B1049)="","",INDEX(Bank!$J:$J,B1049)))</f>
        <v/>
      </c>
      <c r="E1049" s="32" t="str">
        <f aca="false">IF(B1049=0,"",INDEX(Bank!$B:$B,B1049))</f>
        <v/>
      </c>
      <c r="F1049" s="5" t="str">
        <f aca="false">IF(B1049=0,"",IF(INDEX(Bank!$C:$C,B1049)="","",INDEX(Bank!$C:$C,B1049)))</f>
        <v/>
      </c>
      <c r="G1049" s="19" t="str">
        <f aca="false">IF(B1049=0,"",INDEX(Bank!$E:$E,B1049))</f>
        <v/>
      </c>
      <c r="H1049" s="5" t="str">
        <f aca="false">IF(B1049=0,"",IF(INDEX(Bank!$H:$H,B1049)="","",INDEX(Bank!$H:$H,B1049)))</f>
        <v/>
      </c>
      <c r="I1049" s="5" t="n">
        <f aca="false">IF(H1049="",0,IFERROR(MATCH(H1049,GL!$A:$A,0),0))</f>
        <v>0</v>
      </c>
      <c r="J1049" s="32" t="str">
        <f aca="false">IF(I1049=0,"",INDEX(GL!$B:$B,I1049))</f>
        <v/>
      </c>
      <c r="K1049" s="5" t="str">
        <f aca="false">IF(I1049=0,"",IF(INDEX(GL!$C:$C,I1049)="","",INDEX(GL!$C:$C,I1049)))</f>
        <v/>
      </c>
      <c r="L1049" s="19" t="str">
        <f aca="false">IF(I1049=0,"",INDEX(GL!$E:$E,I1049))</f>
        <v/>
      </c>
      <c r="M1049" s="19" t="str">
        <f aca="false">IF(OR(B1049=0,I1049=0),"",ROUND(G1049-L1049,2))</f>
        <v/>
      </c>
      <c r="N1049" s="5" t="str">
        <f aca="false">IF(A1049="","",IF(B1049=0,"NOT FOUND: bank ID",IF(I1049=0,"NOT FOUND: GL ID",IF(INDEX(GL!$H:$H,I1049)&lt;&gt;A1049,"BROKEN: GL points elsewhere",IF(OR(INDEX(Bank!$F:$F,B1049)&lt;&gt;"Y",INDEX(GL!$F:$F,I1049)&lt;&gt;"Y"),"BROKEN: Status not Y","OK")))))</f>
        <v/>
      </c>
    </row>
    <row r="1050" customFormat="false" ht="15" hidden="false" customHeight="false" outlineLevel="0" collapsed="false">
      <c r="A1050" s="41"/>
      <c r="B1050" s="5" t="n">
        <f aca="false">IF(A1050="",0,IFERROR(MATCH(A1050,Bank!$A:$A,0),0))</f>
        <v>0</v>
      </c>
      <c r="C1050" s="5" t="str">
        <f aca="false">IF(B1050=0,"",IF(INDEX(Bank!$G:$G,B1050)="","",INDEX(Bank!$G:$G,B1050)))</f>
        <v/>
      </c>
      <c r="D1050" s="5" t="str">
        <f aca="false">IF(B1050=0,"",IF(INDEX(Bank!$J:$J,B1050)="","",INDEX(Bank!$J:$J,B1050)))</f>
        <v/>
      </c>
      <c r="E1050" s="32" t="str">
        <f aca="false">IF(B1050=0,"",INDEX(Bank!$B:$B,B1050))</f>
        <v/>
      </c>
      <c r="F1050" s="5" t="str">
        <f aca="false">IF(B1050=0,"",IF(INDEX(Bank!$C:$C,B1050)="","",INDEX(Bank!$C:$C,B1050)))</f>
        <v/>
      </c>
      <c r="G1050" s="19" t="str">
        <f aca="false">IF(B1050=0,"",INDEX(Bank!$E:$E,B1050))</f>
        <v/>
      </c>
      <c r="H1050" s="5" t="str">
        <f aca="false">IF(B1050=0,"",IF(INDEX(Bank!$H:$H,B1050)="","",INDEX(Bank!$H:$H,B1050)))</f>
        <v/>
      </c>
      <c r="I1050" s="5" t="n">
        <f aca="false">IF(H1050="",0,IFERROR(MATCH(H1050,GL!$A:$A,0),0))</f>
        <v>0</v>
      </c>
      <c r="J1050" s="32" t="str">
        <f aca="false">IF(I1050=0,"",INDEX(GL!$B:$B,I1050))</f>
        <v/>
      </c>
      <c r="K1050" s="5" t="str">
        <f aca="false">IF(I1050=0,"",IF(INDEX(GL!$C:$C,I1050)="","",INDEX(GL!$C:$C,I1050)))</f>
        <v/>
      </c>
      <c r="L1050" s="19" t="str">
        <f aca="false">IF(I1050=0,"",INDEX(GL!$E:$E,I1050))</f>
        <v/>
      </c>
      <c r="M1050" s="19" t="str">
        <f aca="false">IF(OR(B1050=0,I1050=0),"",ROUND(G1050-L1050,2))</f>
        <v/>
      </c>
      <c r="N1050" s="5" t="str">
        <f aca="false">IF(A1050="","",IF(B1050=0,"NOT FOUND: bank ID",IF(I1050=0,"NOT FOUND: GL ID",IF(INDEX(GL!$H:$H,I1050)&lt;&gt;A1050,"BROKEN: GL points elsewhere",IF(OR(INDEX(Bank!$F:$F,B1050)&lt;&gt;"Y",INDEX(GL!$F:$F,I1050)&lt;&gt;"Y"),"BROKEN: Status not Y","OK")))))</f>
        <v/>
      </c>
    </row>
    <row r="1051" customFormat="false" ht="15" hidden="false" customHeight="false" outlineLevel="0" collapsed="false">
      <c r="A1051" s="41"/>
      <c r="B1051" s="5" t="n">
        <f aca="false">IF(A1051="",0,IFERROR(MATCH(A1051,Bank!$A:$A,0),0))</f>
        <v>0</v>
      </c>
      <c r="C1051" s="5" t="str">
        <f aca="false">IF(B1051=0,"",IF(INDEX(Bank!$G:$G,B1051)="","",INDEX(Bank!$G:$G,B1051)))</f>
        <v/>
      </c>
      <c r="D1051" s="5" t="str">
        <f aca="false">IF(B1051=0,"",IF(INDEX(Bank!$J:$J,B1051)="","",INDEX(Bank!$J:$J,B1051)))</f>
        <v/>
      </c>
      <c r="E1051" s="32" t="str">
        <f aca="false">IF(B1051=0,"",INDEX(Bank!$B:$B,B1051))</f>
        <v/>
      </c>
      <c r="F1051" s="5" t="str">
        <f aca="false">IF(B1051=0,"",IF(INDEX(Bank!$C:$C,B1051)="","",INDEX(Bank!$C:$C,B1051)))</f>
        <v/>
      </c>
      <c r="G1051" s="19" t="str">
        <f aca="false">IF(B1051=0,"",INDEX(Bank!$E:$E,B1051))</f>
        <v/>
      </c>
      <c r="H1051" s="5" t="str">
        <f aca="false">IF(B1051=0,"",IF(INDEX(Bank!$H:$H,B1051)="","",INDEX(Bank!$H:$H,B1051)))</f>
        <v/>
      </c>
      <c r="I1051" s="5" t="n">
        <f aca="false">IF(H1051="",0,IFERROR(MATCH(H1051,GL!$A:$A,0),0))</f>
        <v>0</v>
      </c>
      <c r="J1051" s="32" t="str">
        <f aca="false">IF(I1051=0,"",INDEX(GL!$B:$B,I1051))</f>
        <v/>
      </c>
      <c r="K1051" s="5" t="str">
        <f aca="false">IF(I1051=0,"",IF(INDEX(GL!$C:$C,I1051)="","",INDEX(GL!$C:$C,I1051)))</f>
        <v/>
      </c>
      <c r="L1051" s="19" t="str">
        <f aca="false">IF(I1051=0,"",INDEX(GL!$E:$E,I1051))</f>
        <v/>
      </c>
      <c r="M1051" s="19" t="str">
        <f aca="false">IF(OR(B1051=0,I1051=0),"",ROUND(G1051-L1051,2))</f>
        <v/>
      </c>
      <c r="N1051" s="5" t="str">
        <f aca="false">IF(A1051="","",IF(B1051=0,"NOT FOUND: bank ID",IF(I1051=0,"NOT FOUND: GL ID",IF(INDEX(GL!$H:$H,I1051)&lt;&gt;A1051,"BROKEN: GL points elsewhere",IF(OR(INDEX(Bank!$F:$F,B1051)&lt;&gt;"Y",INDEX(GL!$F:$F,I1051)&lt;&gt;"Y"),"BROKEN: Status not Y","OK")))))</f>
        <v/>
      </c>
    </row>
    <row r="1052" customFormat="false" ht="15" hidden="false" customHeight="false" outlineLevel="0" collapsed="false">
      <c r="A1052" s="41"/>
      <c r="B1052" s="5" t="n">
        <f aca="false">IF(A1052="",0,IFERROR(MATCH(A1052,Bank!$A:$A,0),0))</f>
        <v>0</v>
      </c>
      <c r="C1052" s="5" t="str">
        <f aca="false">IF(B1052=0,"",IF(INDEX(Bank!$G:$G,B1052)="","",INDEX(Bank!$G:$G,B1052)))</f>
        <v/>
      </c>
      <c r="D1052" s="5" t="str">
        <f aca="false">IF(B1052=0,"",IF(INDEX(Bank!$J:$J,B1052)="","",INDEX(Bank!$J:$J,B1052)))</f>
        <v/>
      </c>
      <c r="E1052" s="32" t="str">
        <f aca="false">IF(B1052=0,"",INDEX(Bank!$B:$B,B1052))</f>
        <v/>
      </c>
      <c r="F1052" s="5" t="str">
        <f aca="false">IF(B1052=0,"",IF(INDEX(Bank!$C:$C,B1052)="","",INDEX(Bank!$C:$C,B1052)))</f>
        <v/>
      </c>
      <c r="G1052" s="19" t="str">
        <f aca="false">IF(B1052=0,"",INDEX(Bank!$E:$E,B1052))</f>
        <v/>
      </c>
      <c r="H1052" s="5" t="str">
        <f aca="false">IF(B1052=0,"",IF(INDEX(Bank!$H:$H,B1052)="","",INDEX(Bank!$H:$H,B1052)))</f>
        <v/>
      </c>
      <c r="I1052" s="5" t="n">
        <f aca="false">IF(H1052="",0,IFERROR(MATCH(H1052,GL!$A:$A,0),0))</f>
        <v>0</v>
      </c>
      <c r="J1052" s="32" t="str">
        <f aca="false">IF(I1052=0,"",INDEX(GL!$B:$B,I1052))</f>
        <v/>
      </c>
      <c r="K1052" s="5" t="str">
        <f aca="false">IF(I1052=0,"",IF(INDEX(GL!$C:$C,I1052)="","",INDEX(GL!$C:$C,I1052)))</f>
        <v/>
      </c>
      <c r="L1052" s="19" t="str">
        <f aca="false">IF(I1052=0,"",INDEX(GL!$E:$E,I1052))</f>
        <v/>
      </c>
      <c r="M1052" s="19" t="str">
        <f aca="false">IF(OR(B1052=0,I1052=0),"",ROUND(G1052-L1052,2))</f>
        <v/>
      </c>
      <c r="N1052" s="5" t="str">
        <f aca="false">IF(A1052="","",IF(B1052=0,"NOT FOUND: bank ID",IF(I1052=0,"NOT FOUND: GL ID",IF(INDEX(GL!$H:$H,I1052)&lt;&gt;A1052,"BROKEN: GL points elsewhere",IF(OR(INDEX(Bank!$F:$F,B1052)&lt;&gt;"Y",INDEX(GL!$F:$F,I1052)&lt;&gt;"Y"),"BROKEN: Status not Y","OK")))))</f>
        <v/>
      </c>
    </row>
    <row r="1053" customFormat="false" ht="15" hidden="false" customHeight="false" outlineLevel="0" collapsed="false">
      <c r="A1053" s="41"/>
      <c r="B1053" s="5" t="n">
        <f aca="false">IF(A1053="",0,IFERROR(MATCH(A1053,Bank!$A:$A,0),0))</f>
        <v>0</v>
      </c>
      <c r="C1053" s="5" t="str">
        <f aca="false">IF(B1053=0,"",IF(INDEX(Bank!$G:$G,B1053)="","",INDEX(Bank!$G:$G,B1053)))</f>
        <v/>
      </c>
      <c r="D1053" s="5" t="str">
        <f aca="false">IF(B1053=0,"",IF(INDEX(Bank!$J:$J,B1053)="","",INDEX(Bank!$J:$J,B1053)))</f>
        <v/>
      </c>
      <c r="E1053" s="32" t="str">
        <f aca="false">IF(B1053=0,"",INDEX(Bank!$B:$B,B1053))</f>
        <v/>
      </c>
      <c r="F1053" s="5" t="str">
        <f aca="false">IF(B1053=0,"",IF(INDEX(Bank!$C:$C,B1053)="","",INDEX(Bank!$C:$C,B1053)))</f>
        <v/>
      </c>
      <c r="G1053" s="19" t="str">
        <f aca="false">IF(B1053=0,"",INDEX(Bank!$E:$E,B1053))</f>
        <v/>
      </c>
      <c r="H1053" s="5" t="str">
        <f aca="false">IF(B1053=0,"",IF(INDEX(Bank!$H:$H,B1053)="","",INDEX(Bank!$H:$H,B1053)))</f>
        <v/>
      </c>
      <c r="I1053" s="5" t="n">
        <f aca="false">IF(H1053="",0,IFERROR(MATCH(H1053,GL!$A:$A,0),0))</f>
        <v>0</v>
      </c>
      <c r="J1053" s="32" t="str">
        <f aca="false">IF(I1053=0,"",INDEX(GL!$B:$B,I1053))</f>
        <v/>
      </c>
      <c r="K1053" s="5" t="str">
        <f aca="false">IF(I1053=0,"",IF(INDEX(GL!$C:$C,I1053)="","",INDEX(GL!$C:$C,I1053)))</f>
        <v/>
      </c>
      <c r="L1053" s="19" t="str">
        <f aca="false">IF(I1053=0,"",INDEX(GL!$E:$E,I1053))</f>
        <v/>
      </c>
      <c r="M1053" s="19" t="str">
        <f aca="false">IF(OR(B1053=0,I1053=0),"",ROUND(G1053-L1053,2))</f>
        <v/>
      </c>
      <c r="N1053" s="5" t="str">
        <f aca="false">IF(A1053="","",IF(B1053=0,"NOT FOUND: bank ID",IF(I1053=0,"NOT FOUND: GL ID",IF(INDEX(GL!$H:$H,I1053)&lt;&gt;A1053,"BROKEN: GL points elsewhere",IF(OR(INDEX(Bank!$F:$F,B1053)&lt;&gt;"Y",INDEX(GL!$F:$F,I1053)&lt;&gt;"Y"),"BROKEN: Status not Y","OK")))))</f>
        <v/>
      </c>
    </row>
    <row r="1054" customFormat="false" ht="15" hidden="false" customHeight="false" outlineLevel="0" collapsed="false">
      <c r="A1054" s="41"/>
      <c r="B1054" s="5" t="n">
        <f aca="false">IF(A1054="",0,IFERROR(MATCH(A1054,Bank!$A:$A,0),0))</f>
        <v>0</v>
      </c>
      <c r="C1054" s="5" t="str">
        <f aca="false">IF(B1054=0,"",IF(INDEX(Bank!$G:$G,B1054)="","",INDEX(Bank!$G:$G,B1054)))</f>
        <v/>
      </c>
      <c r="D1054" s="5" t="str">
        <f aca="false">IF(B1054=0,"",IF(INDEX(Bank!$J:$J,B1054)="","",INDEX(Bank!$J:$J,B1054)))</f>
        <v/>
      </c>
      <c r="E1054" s="32" t="str">
        <f aca="false">IF(B1054=0,"",INDEX(Bank!$B:$B,B1054))</f>
        <v/>
      </c>
      <c r="F1054" s="5" t="str">
        <f aca="false">IF(B1054=0,"",IF(INDEX(Bank!$C:$C,B1054)="","",INDEX(Bank!$C:$C,B1054)))</f>
        <v/>
      </c>
      <c r="G1054" s="19" t="str">
        <f aca="false">IF(B1054=0,"",INDEX(Bank!$E:$E,B1054))</f>
        <v/>
      </c>
      <c r="H1054" s="5" t="str">
        <f aca="false">IF(B1054=0,"",IF(INDEX(Bank!$H:$H,B1054)="","",INDEX(Bank!$H:$H,B1054)))</f>
        <v/>
      </c>
      <c r="I1054" s="5" t="n">
        <f aca="false">IF(H1054="",0,IFERROR(MATCH(H1054,GL!$A:$A,0),0))</f>
        <v>0</v>
      </c>
      <c r="J1054" s="32" t="str">
        <f aca="false">IF(I1054=0,"",INDEX(GL!$B:$B,I1054))</f>
        <v/>
      </c>
      <c r="K1054" s="5" t="str">
        <f aca="false">IF(I1054=0,"",IF(INDEX(GL!$C:$C,I1054)="","",INDEX(GL!$C:$C,I1054)))</f>
        <v/>
      </c>
      <c r="L1054" s="19" t="str">
        <f aca="false">IF(I1054=0,"",INDEX(GL!$E:$E,I1054))</f>
        <v/>
      </c>
      <c r="M1054" s="19" t="str">
        <f aca="false">IF(OR(B1054=0,I1054=0),"",ROUND(G1054-L1054,2))</f>
        <v/>
      </c>
      <c r="N1054" s="5" t="str">
        <f aca="false">IF(A1054="","",IF(B1054=0,"NOT FOUND: bank ID",IF(I1054=0,"NOT FOUND: GL ID",IF(INDEX(GL!$H:$H,I1054)&lt;&gt;A1054,"BROKEN: GL points elsewhere",IF(OR(INDEX(Bank!$F:$F,B1054)&lt;&gt;"Y",INDEX(GL!$F:$F,I1054)&lt;&gt;"Y"),"BROKEN: Status not Y","OK")))))</f>
        <v/>
      </c>
    </row>
    <row r="1055" customFormat="false" ht="15" hidden="false" customHeight="false" outlineLevel="0" collapsed="false">
      <c r="A1055" s="41"/>
      <c r="B1055" s="5" t="n">
        <f aca="false">IF(A1055="",0,IFERROR(MATCH(A1055,Bank!$A:$A,0),0))</f>
        <v>0</v>
      </c>
      <c r="C1055" s="5" t="str">
        <f aca="false">IF(B1055=0,"",IF(INDEX(Bank!$G:$G,B1055)="","",INDEX(Bank!$G:$G,B1055)))</f>
        <v/>
      </c>
      <c r="D1055" s="5" t="str">
        <f aca="false">IF(B1055=0,"",IF(INDEX(Bank!$J:$J,B1055)="","",INDEX(Bank!$J:$J,B1055)))</f>
        <v/>
      </c>
      <c r="E1055" s="32" t="str">
        <f aca="false">IF(B1055=0,"",INDEX(Bank!$B:$B,B1055))</f>
        <v/>
      </c>
      <c r="F1055" s="5" t="str">
        <f aca="false">IF(B1055=0,"",IF(INDEX(Bank!$C:$C,B1055)="","",INDEX(Bank!$C:$C,B1055)))</f>
        <v/>
      </c>
      <c r="G1055" s="19" t="str">
        <f aca="false">IF(B1055=0,"",INDEX(Bank!$E:$E,B1055))</f>
        <v/>
      </c>
      <c r="H1055" s="5" t="str">
        <f aca="false">IF(B1055=0,"",IF(INDEX(Bank!$H:$H,B1055)="","",INDEX(Bank!$H:$H,B1055)))</f>
        <v/>
      </c>
      <c r="I1055" s="5" t="n">
        <f aca="false">IF(H1055="",0,IFERROR(MATCH(H1055,GL!$A:$A,0),0))</f>
        <v>0</v>
      </c>
      <c r="J1055" s="32" t="str">
        <f aca="false">IF(I1055=0,"",INDEX(GL!$B:$B,I1055))</f>
        <v/>
      </c>
      <c r="K1055" s="5" t="str">
        <f aca="false">IF(I1055=0,"",IF(INDEX(GL!$C:$C,I1055)="","",INDEX(GL!$C:$C,I1055)))</f>
        <v/>
      </c>
      <c r="L1055" s="19" t="str">
        <f aca="false">IF(I1055=0,"",INDEX(GL!$E:$E,I1055))</f>
        <v/>
      </c>
      <c r="M1055" s="19" t="str">
        <f aca="false">IF(OR(B1055=0,I1055=0),"",ROUND(G1055-L1055,2))</f>
        <v/>
      </c>
      <c r="N1055" s="5" t="str">
        <f aca="false">IF(A1055="","",IF(B1055=0,"NOT FOUND: bank ID",IF(I1055=0,"NOT FOUND: GL ID",IF(INDEX(GL!$H:$H,I1055)&lt;&gt;A1055,"BROKEN: GL points elsewhere",IF(OR(INDEX(Bank!$F:$F,B1055)&lt;&gt;"Y",INDEX(GL!$F:$F,I1055)&lt;&gt;"Y"),"BROKEN: Status not Y","OK")))))</f>
        <v/>
      </c>
    </row>
    <row r="1056" customFormat="false" ht="15" hidden="false" customHeight="false" outlineLevel="0" collapsed="false">
      <c r="A1056" s="41"/>
      <c r="B1056" s="5" t="n">
        <f aca="false">IF(A1056="",0,IFERROR(MATCH(A1056,Bank!$A:$A,0),0))</f>
        <v>0</v>
      </c>
      <c r="C1056" s="5" t="str">
        <f aca="false">IF(B1056=0,"",IF(INDEX(Bank!$G:$G,B1056)="","",INDEX(Bank!$G:$G,B1056)))</f>
        <v/>
      </c>
      <c r="D1056" s="5" t="str">
        <f aca="false">IF(B1056=0,"",IF(INDEX(Bank!$J:$J,B1056)="","",INDEX(Bank!$J:$J,B1056)))</f>
        <v/>
      </c>
      <c r="E1056" s="32" t="str">
        <f aca="false">IF(B1056=0,"",INDEX(Bank!$B:$B,B1056))</f>
        <v/>
      </c>
      <c r="F1056" s="5" t="str">
        <f aca="false">IF(B1056=0,"",IF(INDEX(Bank!$C:$C,B1056)="","",INDEX(Bank!$C:$C,B1056)))</f>
        <v/>
      </c>
      <c r="G1056" s="19" t="str">
        <f aca="false">IF(B1056=0,"",INDEX(Bank!$E:$E,B1056))</f>
        <v/>
      </c>
      <c r="H1056" s="5" t="str">
        <f aca="false">IF(B1056=0,"",IF(INDEX(Bank!$H:$H,B1056)="","",INDEX(Bank!$H:$H,B1056)))</f>
        <v/>
      </c>
      <c r="I1056" s="5" t="n">
        <f aca="false">IF(H1056="",0,IFERROR(MATCH(H1056,GL!$A:$A,0),0))</f>
        <v>0</v>
      </c>
      <c r="J1056" s="32" t="str">
        <f aca="false">IF(I1056=0,"",INDEX(GL!$B:$B,I1056))</f>
        <v/>
      </c>
      <c r="K1056" s="5" t="str">
        <f aca="false">IF(I1056=0,"",IF(INDEX(GL!$C:$C,I1056)="","",INDEX(GL!$C:$C,I1056)))</f>
        <v/>
      </c>
      <c r="L1056" s="19" t="str">
        <f aca="false">IF(I1056=0,"",INDEX(GL!$E:$E,I1056))</f>
        <v/>
      </c>
      <c r="M1056" s="19" t="str">
        <f aca="false">IF(OR(B1056=0,I1056=0),"",ROUND(G1056-L1056,2))</f>
        <v/>
      </c>
      <c r="N1056" s="5" t="str">
        <f aca="false">IF(A1056="","",IF(B1056=0,"NOT FOUND: bank ID",IF(I1056=0,"NOT FOUND: GL ID",IF(INDEX(GL!$H:$H,I1056)&lt;&gt;A1056,"BROKEN: GL points elsewhere",IF(OR(INDEX(Bank!$F:$F,B1056)&lt;&gt;"Y",INDEX(GL!$F:$F,I1056)&lt;&gt;"Y"),"BROKEN: Status not Y","OK")))))</f>
        <v/>
      </c>
    </row>
    <row r="1057" customFormat="false" ht="15" hidden="false" customHeight="false" outlineLevel="0" collapsed="false">
      <c r="A1057" s="41"/>
      <c r="B1057" s="5" t="n">
        <f aca="false">IF(A1057="",0,IFERROR(MATCH(A1057,Bank!$A:$A,0),0))</f>
        <v>0</v>
      </c>
      <c r="C1057" s="5" t="str">
        <f aca="false">IF(B1057=0,"",IF(INDEX(Bank!$G:$G,B1057)="","",INDEX(Bank!$G:$G,B1057)))</f>
        <v/>
      </c>
      <c r="D1057" s="5" t="str">
        <f aca="false">IF(B1057=0,"",IF(INDEX(Bank!$J:$J,B1057)="","",INDEX(Bank!$J:$J,B1057)))</f>
        <v/>
      </c>
      <c r="E1057" s="32" t="str">
        <f aca="false">IF(B1057=0,"",INDEX(Bank!$B:$B,B1057))</f>
        <v/>
      </c>
      <c r="F1057" s="5" t="str">
        <f aca="false">IF(B1057=0,"",IF(INDEX(Bank!$C:$C,B1057)="","",INDEX(Bank!$C:$C,B1057)))</f>
        <v/>
      </c>
      <c r="G1057" s="19" t="str">
        <f aca="false">IF(B1057=0,"",INDEX(Bank!$E:$E,B1057))</f>
        <v/>
      </c>
      <c r="H1057" s="5" t="str">
        <f aca="false">IF(B1057=0,"",IF(INDEX(Bank!$H:$H,B1057)="","",INDEX(Bank!$H:$H,B1057)))</f>
        <v/>
      </c>
      <c r="I1057" s="5" t="n">
        <f aca="false">IF(H1057="",0,IFERROR(MATCH(H1057,GL!$A:$A,0),0))</f>
        <v>0</v>
      </c>
      <c r="J1057" s="32" t="str">
        <f aca="false">IF(I1057=0,"",INDEX(GL!$B:$B,I1057))</f>
        <v/>
      </c>
      <c r="K1057" s="5" t="str">
        <f aca="false">IF(I1057=0,"",IF(INDEX(GL!$C:$C,I1057)="","",INDEX(GL!$C:$C,I1057)))</f>
        <v/>
      </c>
      <c r="L1057" s="19" t="str">
        <f aca="false">IF(I1057=0,"",INDEX(GL!$E:$E,I1057))</f>
        <v/>
      </c>
      <c r="M1057" s="19" t="str">
        <f aca="false">IF(OR(B1057=0,I1057=0),"",ROUND(G1057-L1057,2))</f>
        <v/>
      </c>
      <c r="N1057" s="5" t="str">
        <f aca="false">IF(A1057="","",IF(B1057=0,"NOT FOUND: bank ID",IF(I1057=0,"NOT FOUND: GL ID",IF(INDEX(GL!$H:$H,I1057)&lt;&gt;A1057,"BROKEN: GL points elsewhere",IF(OR(INDEX(Bank!$F:$F,B1057)&lt;&gt;"Y",INDEX(GL!$F:$F,I1057)&lt;&gt;"Y"),"BROKEN: Status not Y","OK")))))</f>
        <v/>
      </c>
    </row>
    <row r="1058" customFormat="false" ht="15" hidden="false" customHeight="false" outlineLevel="0" collapsed="false">
      <c r="A1058" s="41"/>
      <c r="B1058" s="5" t="n">
        <f aca="false">IF(A1058="",0,IFERROR(MATCH(A1058,Bank!$A:$A,0),0))</f>
        <v>0</v>
      </c>
      <c r="C1058" s="5" t="str">
        <f aca="false">IF(B1058=0,"",IF(INDEX(Bank!$G:$G,B1058)="","",INDEX(Bank!$G:$G,B1058)))</f>
        <v/>
      </c>
      <c r="D1058" s="5" t="str">
        <f aca="false">IF(B1058=0,"",IF(INDEX(Bank!$J:$J,B1058)="","",INDEX(Bank!$J:$J,B1058)))</f>
        <v/>
      </c>
      <c r="E1058" s="32" t="str">
        <f aca="false">IF(B1058=0,"",INDEX(Bank!$B:$B,B1058))</f>
        <v/>
      </c>
      <c r="F1058" s="5" t="str">
        <f aca="false">IF(B1058=0,"",IF(INDEX(Bank!$C:$C,B1058)="","",INDEX(Bank!$C:$C,B1058)))</f>
        <v/>
      </c>
      <c r="G1058" s="19" t="str">
        <f aca="false">IF(B1058=0,"",INDEX(Bank!$E:$E,B1058))</f>
        <v/>
      </c>
      <c r="H1058" s="5" t="str">
        <f aca="false">IF(B1058=0,"",IF(INDEX(Bank!$H:$H,B1058)="","",INDEX(Bank!$H:$H,B1058)))</f>
        <v/>
      </c>
      <c r="I1058" s="5" t="n">
        <f aca="false">IF(H1058="",0,IFERROR(MATCH(H1058,GL!$A:$A,0),0))</f>
        <v>0</v>
      </c>
      <c r="J1058" s="32" t="str">
        <f aca="false">IF(I1058=0,"",INDEX(GL!$B:$B,I1058))</f>
        <v/>
      </c>
      <c r="K1058" s="5" t="str">
        <f aca="false">IF(I1058=0,"",IF(INDEX(GL!$C:$C,I1058)="","",INDEX(GL!$C:$C,I1058)))</f>
        <v/>
      </c>
      <c r="L1058" s="19" t="str">
        <f aca="false">IF(I1058=0,"",INDEX(GL!$E:$E,I1058))</f>
        <v/>
      </c>
      <c r="M1058" s="19" t="str">
        <f aca="false">IF(OR(B1058=0,I1058=0),"",ROUND(G1058-L1058,2))</f>
        <v/>
      </c>
      <c r="N1058" s="5" t="str">
        <f aca="false">IF(A1058="","",IF(B1058=0,"NOT FOUND: bank ID",IF(I1058=0,"NOT FOUND: GL ID",IF(INDEX(GL!$H:$H,I1058)&lt;&gt;A1058,"BROKEN: GL points elsewhere",IF(OR(INDEX(Bank!$F:$F,B1058)&lt;&gt;"Y",INDEX(GL!$F:$F,I1058)&lt;&gt;"Y"),"BROKEN: Status not Y","OK")))))</f>
        <v/>
      </c>
    </row>
    <row r="1059" customFormat="false" ht="15" hidden="false" customHeight="false" outlineLevel="0" collapsed="false">
      <c r="A1059" s="41"/>
      <c r="B1059" s="5" t="n">
        <f aca="false">IF(A1059="",0,IFERROR(MATCH(A1059,Bank!$A:$A,0),0))</f>
        <v>0</v>
      </c>
      <c r="C1059" s="5" t="str">
        <f aca="false">IF(B1059=0,"",IF(INDEX(Bank!$G:$G,B1059)="","",INDEX(Bank!$G:$G,B1059)))</f>
        <v/>
      </c>
      <c r="D1059" s="5" t="str">
        <f aca="false">IF(B1059=0,"",IF(INDEX(Bank!$J:$J,B1059)="","",INDEX(Bank!$J:$J,B1059)))</f>
        <v/>
      </c>
      <c r="E1059" s="32" t="str">
        <f aca="false">IF(B1059=0,"",INDEX(Bank!$B:$B,B1059))</f>
        <v/>
      </c>
      <c r="F1059" s="5" t="str">
        <f aca="false">IF(B1059=0,"",IF(INDEX(Bank!$C:$C,B1059)="","",INDEX(Bank!$C:$C,B1059)))</f>
        <v/>
      </c>
      <c r="G1059" s="19" t="str">
        <f aca="false">IF(B1059=0,"",INDEX(Bank!$E:$E,B1059))</f>
        <v/>
      </c>
      <c r="H1059" s="5" t="str">
        <f aca="false">IF(B1059=0,"",IF(INDEX(Bank!$H:$H,B1059)="","",INDEX(Bank!$H:$H,B1059)))</f>
        <v/>
      </c>
      <c r="I1059" s="5" t="n">
        <f aca="false">IF(H1059="",0,IFERROR(MATCH(H1059,GL!$A:$A,0),0))</f>
        <v>0</v>
      </c>
      <c r="J1059" s="32" t="str">
        <f aca="false">IF(I1059=0,"",INDEX(GL!$B:$B,I1059))</f>
        <v/>
      </c>
      <c r="K1059" s="5" t="str">
        <f aca="false">IF(I1059=0,"",IF(INDEX(GL!$C:$C,I1059)="","",INDEX(GL!$C:$C,I1059)))</f>
        <v/>
      </c>
      <c r="L1059" s="19" t="str">
        <f aca="false">IF(I1059=0,"",INDEX(GL!$E:$E,I1059))</f>
        <v/>
      </c>
      <c r="M1059" s="19" t="str">
        <f aca="false">IF(OR(B1059=0,I1059=0),"",ROUND(G1059-L1059,2))</f>
        <v/>
      </c>
      <c r="N1059" s="5" t="str">
        <f aca="false">IF(A1059="","",IF(B1059=0,"NOT FOUND: bank ID",IF(I1059=0,"NOT FOUND: GL ID",IF(INDEX(GL!$H:$H,I1059)&lt;&gt;A1059,"BROKEN: GL points elsewhere",IF(OR(INDEX(Bank!$F:$F,B1059)&lt;&gt;"Y",INDEX(GL!$F:$F,I1059)&lt;&gt;"Y"),"BROKEN: Status not Y","OK")))))</f>
        <v/>
      </c>
    </row>
    <row r="1060" customFormat="false" ht="15" hidden="false" customHeight="false" outlineLevel="0" collapsed="false">
      <c r="A1060" s="41"/>
      <c r="B1060" s="5" t="n">
        <f aca="false">IF(A1060="",0,IFERROR(MATCH(A1060,Bank!$A:$A,0),0))</f>
        <v>0</v>
      </c>
      <c r="C1060" s="5" t="str">
        <f aca="false">IF(B1060=0,"",IF(INDEX(Bank!$G:$G,B1060)="","",INDEX(Bank!$G:$G,B1060)))</f>
        <v/>
      </c>
      <c r="D1060" s="5" t="str">
        <f aca="false">IF(B1060=0,"",IF(INDEX(Bank!$J:$J,B1060)="","",INDEX(Bank!$J:$J,B1060)))</f>
        <v/>
      </c>
      <c r="E1060" s="32" t="str">
        <f aca="false">IF(B1060=0,"",INDEX(Bank!$B:$B,B1060))</f>
        <v/>
      </c>
      <c r="F1060" s="5" t="str">
        <f aca="false">IF(B1060=0,"",IF(INDEX(Bank!$C:$C,B1060)="","",INDEX(Bank!$C:$C,B1060)))</f>
        <v/>
      </c>
      <c r="G1060" s="19" t="str">
        <f aca="false">IF(B1060=0,"",INDEX(Bank!$E:$E,B1060))</f>
        <v/>
      </c>
      <c r="H1060" s="5" t="str">
        <f aca="false">IF(B1060=0,"",IF(INDEX(Bank!$H:$H,B1060)="","",INDEX(Bank!$H:$H,B1060)))</f>
        <v/>
      </c>
      <c r="I1060" s="5" t="n">
        <f aca="false">IF(H1060="",0,IFERROR(MATCH(H1060,GL!$A:$A,0),0))</f>
        <v>0</v>
      </c>
      <c r="J1060" s="32" t="str">
        <f aca="false">IF(I1060=0,"",INDEX(GL!$B:$B,I1060))</f>
        <v/>
      </c>
      <c r="K1060" s="5" t="str">
        <f aca="false">IF(I1060=0,"",IF(INDEX(GL!$C:$C,I1060)="","",INDEX(GL!$C:$C,I1060)))</f>
        <v/>
      </c>
      <c r="L1060" s="19" t="str">
        <f aca="false">IF(I1060=0,"",INDEX(GL!$E:$E,I1060))</f>
        <v/>
      </c>
      <c r="M1060" s="19" t="str">
        <f aca="false">IF(OR(B1060=0,I1060=0),"",ROUND(G1060-L1060,2))</f>
        <v/>
      </c>
      <c r="N1060" s="5" t="str">
        <f aca="false">IF(A1060="","",IF(B1060=0,"NOT FOUND: bank ID",IF(I1060=0,"NOT FOUND: GL ID",IF(INDEX(GL!$H:$H,I1060)&lt;&gt;A1060,"BROKEN: GL points elsewhere",IF(OR(INDEX(Bank!$F:$F,B1060)&lt;&gt;"Y",INDEX(GL!$F:$F,I1060)&lt;&gt;"Y"),"BROKEN: Status not Y","OK")))))</f>
        <v/>
      </c>
    </row>
    <row r="1061" customFormat="false" ht="15" hidden="false" customHeight="false" outlineLevel="0" collapsed="false">
      <c r="A1061" s="41"/>
      <c r="B1061" s="5" t="n">
        <f aca="false">IF(A1061="",0,IFERROR(MATCH(A1061,Bank!$A:$A,0),0))</f>
        <v>0</v>
      </c>
      <c r="C1061" s="5" t="str">
        <f aca="false">IF(B1061=0,"",IF(INDEX(Bank!$G:$G,B1061)="","",INDEX(Bank!$G:$G,B1061)))</f>
        <v/>
      </c>
      <c r="D1061" s="5" t="str">
        <f aca="false">IF(B1061=0,"",IF(INDEX(Bank!$J:$J,B1061)="","",INDEX(Bank!$J:$J,B1061)))</f>
        <v/>
      </c>
      <c r="E1061" s="32" t="str">
        <f aca="false">IF(B1061=0,"",INDEX(Bank!$B:$B,B1061))</f>
        <v/>
      </c>
      <c r="F1061" s="5" t="str">
        <f aca="false">IF(B1061=0,"",IF(INDEX(Bank!$C:$C,B1061)="","",INDEX(Bank!$C:$C,B1061)))</f>
        <v/>
      </c>
      <c r="G1061" s="19" t="str">
        <f aca="false">IF(B1061=0,"",INDEX(Bank!$E:$E,B1061))</f>
        <v/>
      </c>
      <c r="H1061" s="5" t="str">
        <f aca="false">IF(B1061=0,"",IF(INDEX(Bank!$H:$H,B1061)="","",INDEX(Bank!$H:$H,B1061)))</f>
        <v/>
      </c>
      <c r="I1061" s="5" t="n">
        <f aca="false">IF(H1061="",0,IFERROR(MATCH(H1061,GL!$A:$A,0),0))</f>
        <v>0</v>
      </c>
      <c r="J1061" s="32" t="str">
        <f aca="false">IF(I1061=0,"",INDEX(GL!$B:$B,I1061))</f>
        <v/>
      </c>
      <c r="K1061" s="5" t="str">
        <f aca="false">IF(I1061=0,"",IF(INDEX(GL!$C:$C,I1061)="","",INDEX(GL!$C:$C,I1061)))</f>
        <v/>
      </c>
      <c r="L1061" s="19" t="str">
        <f aca="false">IF(I1061=0,"",INDEX(GL!$E:$E,I1061))</f>
        <v/>
      </c>
      <c r="M1061" s="19" t="str">
        <f aca="false">IF(OR(B1061=0,I1061=0),"",ROUND(G1061-L1061,2))</f>
        <v/>
      </c>
      <c r="N1061" s="5" t="str">
        <f aca="false">IF(A1061="","",IF(B1061=0,"NOT FOUND: bank ID",IF(I1061=0,"NOT FOUND: GL ID",IF(INDEX(GL!$H:$H,I1061)&lt;&gt;A1061,"BROKEN: GL points elsewhere",IF(OR(INDEX(Bank!$F:$F,B1061)&lt;&gt;"Y",INDEX(GL!$F:$F,I1061)&lt;&gt;"Y"),"BROKEN: Status not Y","OK")))))</f>
        <v/>
      </c>
    </row>
    <row r="1062" customFormat="false" ht="15" hidden="false" customHeight="false" outlineLevel="0" collapsed="false">
      <c r="A1062" s="41"/>
      <c r="B1062" s="5" t="n">
        <f aca="false">IF(A1062="",0,IFERROR(MATCH(A1062,Bank!$A:$A,0),0))</f>
        <v>0</v>
      </c>
      <c r="C1062" s="5" t="str">
        <f aca="false">IF(B1062=0,"",IF(INDEX(Bank!$G:$G,B1062)="","",INDEX(Bank!$G:$G,B1062)))</f>
        <v/>
      </c>
      <c r="D1062" s="5" t="str">
        <f aca="false">IF(B1062=0,"",IF(INDEX(Bank!$J:$J,B1062)="","",INDEX(Bank!$J:$J,B1062)))</f>
        <v/>
      </c>
      <c r="E1062" s="32" t="str">
        <f aca="false">IF(B1062=0,"",INDEX(Bank!$B:$B,B1062))</f>
        <v/>
      </c>
      <c r="F1062" s="5" t="str">
        <f aca="false">IF(B1062=0,"",IF(INDEX(Bank!$C:$C,B1062)="","",INDEX(Bank!$C:$C,B1062)))</f>
        <v/>
      </c>
      <c r="G1062" s="19" t="str">
        <f aca="false">IF(B1062=0,"",INDEX(Bank!$E:$E,B1062))</f>
        <v/>
      </c>
      <c r="H1062" s="5" t="str">
        <f aca="false">IF(B1062=0,"",IF(INDEX(Bank!$H:$H,B1062)="","",INDEX(Bank!$H:$H,B1062)))</f>
        <v/>
      </c>
      <c r="I1062" s="5" t="n">
        <f aca="false">IF(H1062="",0,IFERROR(MATCH(H1062,GL!$A:$A,0),0))</f>
        <v>0</v>
      </c>
      <c r="J1062" s="32" t="str">
        <f aca="false">IF(I1062=0,"",INDEX(GL!$B:$B,I1062))</f>
        <v/>
      </c>
      <c r="K1062" s="5" t="str">
        <f aca="false">IF(I1062=0,"",IF(INDEX(GL!$C:$C,I1062)="","",INDEX(GL!$C:$C,I1062)))</f>
        <v/>
      </c>
      <c r="L1062" s="19" t="str">
        <f aca="false">IF(I1062=0,"",INDEX(GL!$E:$E,I1062))</f>
        <v/>
      </c>
      <c r="M1062" s="19" t="str">
        <f aca="false">IF(OR(B1062=0,I1062=0),"",ROUND(G1062-L1062,2))</f>
        <v/>
      </c>
      <c r="N1062" s="5" t="str">
        <f aca="false">IF(A1062="","",IF(B1062=0,"NOT FOUND: bank ID",IF(I1062=0,"NOT FOUND: GL ID",IF(INDEX(GL!$H:$H,I1062)&lt;&gt;A1062,"BROKEN: GL points elsewhere",IF(OR(INDEX(Bank!$F:$F,B1062)&lt;&gt;"Y",INDEX(GL!$F:$F,I1062)&lt;&gt;"Y"),"BROKEN: Status not Y","OK")))))</f>
        <v/>
      </c>
    </row>
    <row r="1063" customFormat="false" ht="15" hidden="false" customHeight="false" outlineLevel="0" collapsed="false">
      <c r="A1063" s="41"/>
      <c r="B1063" s="5" t="n">
        <f aca="false">IF(A1063="",0,IFERROR(MATCH(A1063,Bank!$A:$A,0),0))</f>
        <v>0</v>
      </c>
      <c r="C1063" s="5" t="str">
        <f aca="false">IF(B1063=0,"",IF(INDEX(Bank!$G:$G,B1063)="","",INDEX(Bank!$G:$G,B1063)))</f>
        <v/>
      </c>
      <c r="D1063" s="5" t="str">
        <f aca="false">IF(B1063=0,"",IF(INDEX(Bank!$J:$J,B1063)="","",INDEX(Bank!$J:$J,B1063)))</f>
        <v/>
      </c>
      <c r="E1063" s="32" t="str">
        <f aca="false">IF(B1063=0,"",INDEX(Bank!$B:$B,B1063))</f>
        <v/>
      </c>
      <c r="F1063" s="5" t="str">
        <f aca="false">IF(B1063=0,"",IF(INDEX(Bank!$C:$C,B1063)="","",INDEX(Bank!$C:$C,B1063)))</f>
        <v/>
      </c>
      <c r="G1063" s="19" t="str">
        <f aca="false">IF(B1063=0,"",INDEX(Bank!$E:$E,B1063))</f>
        <v/>
      </c>
      <c r="H1063" s="5" t="str">
        <f aca="false">IF(B1063=0,"",IF(INDEX(Bank!$H:$H,B1063)="","",INDEX(Bank!$H:$H,B1063)))</f>
        <v/>
      </c>
      <c r="I1063" s="5" t="n">
        <f aca="false">IF(H1063="",0,IFERROR(MATCH(H1063,GL!$A:$A,0),0))</f>
        <v>0</v>
      </c>
      <c r="J1063" s="32" t="str">
        <f aca="false">IF(I1063=0,"",INDEX(GL!$B:$B,I1063))</f>
        <v/>
      </c>
      <c r="K1063" s="5" t="str">
        <f aca="false">IF(I1063=0,"",IF(INDEX(GL!$C:$C,I1063)="","",INDEX(GL!$C:$C,I1063)))</f>
        <v/>
      </c>
      <c r="L1063" s="19" t="str">
        <f aca="false">IF(I1063=0,"",INDEX(GL!$E:$E,I1063))</f>
        <v/>
      </c>
      <c r="M1063" s="19" t="str">
        <f aca="false">IF(OR(B1063=0,I1063=0),"",ROUND(G1063-L1063,2))</f>
        <v/>
      </c>
      <c r="N1063" s="5" t="str">
        <f aca="false">IF(A1063="","",IF(B1063=0,"NOT FOUND: bank ID",IF(I1063=0,"NOT FOUND: GL ID",IF(INDEX(GL!$H:$H,I1063)&lt;&gt;A1063,"BROKEN: GL points elsewhere",IF(OR(INDEX(Bank!$F:$F,B1063)&lt;&gt;"Y",INDEX(GL!$F:$F,I1063)&lt;&gt;"Y"),"BROKEN: Status not Y","OK")))))</f>
        <v/>
      </c>
    </row>
    <row r="1064" customFormat="false" ht="15" hidden="false" customHeight="false" outlineLevel="0" collapsed="false">
      <c r="A1064" s="41"/>
      <c r="B1064" s="5" t="n">
        <f aca="false">IF(A1064="",0,IFERROR(MATCH(A1064,Bank!$A:$A,0),0))</f>
        <v>0</v>
      </c>
      <c r="C1064" s="5" t="str">
        <f aca="false">IF(B1064=0,"",IF(INDEX(Bank!$G:$G,B1064)="","",INDEX(Bank!$G:$G,B1064)))</f>
        <v/>
      </c>
      <c r="D1064" s="5" t="str">
        <f aca="false">IF(B1064=0,"",IF(INDEX(Bank!$J:$J,B1064)="","",INDEX(Bank!$J:$J,B1064)))</f>
        <v/>
      </c>
      <c r="E1064" s="32" t="str">
        <f aca="false">IF(B1064=0,"",INDEX(Bank!$B:$B,B1064))</f>
        <v/>
      </c>
      <c r="F1064" s="5" t="str">
        <f aca="false">IF(B1064=0,"",IF(INDEX(Bank!$C:$C,B1064)="","",INDEX(Bank!$C:$C,B1064)))</f>
        <v/>
      </c>
      <c r="G1064" s="19" t="str">
        <f aca="false">IF(B1064=0,"",INDEX(Bank!$E:$E,B1064))</f>
        <v/>
      </c>
      <c r="H1064" s="5" t="str">
        <f aca="false">IF(B1064=0,"",IF(INDEX(Bank!$H:$H,B1064)="","",INDEX(Bank!$H:$H,B1064)))</f>
        <v/>
      </c>
      <c r="I1064" s="5" t="n">
        <f aca="false">IF(H1064="",0,IFERROR(MATCH(H1064,GL!$A:$A,0),0))</f>
        <v>0</v>
      </c>
      <c r="J1064" s="32" t="str">
        <f aca="false">IF(I1064=0,"",INDEX(GL!$B:$B,I1064))</f>
        <v/>
      </c>
      <c r="K1064" s="5" t="str">
        <f aca="false">IF(I1064=0,"",IF(INDEX(GL!$C:$C,I1064)="","",INDEX(GL!$C:$C,I1064)))</f>
        <v/>
      </c>
      <c r="L1064" s="19" t="str">
        <f aca="false">IF(I1064=0,"",INDEX(GL!$E:$E,I1064))</f>
        <v/>
      </c>
      <c r="M1064" s="19" t="str">
        <f aca="false">IF(OR(B1064=0,I1064=0),"",ROUND(G1064-L1064,2))</f>
        <v/>
      </c>
      <c r="N1064" s="5" t="str">
        <f aca="false">IF(A1064="","",IF(B1064=0,"NOT FOUND: bank ID",IF(I1064=0,"NOT FOUND: GL ID",IF(INDEX(GL!$H:$H,I1064)&lt;&gt;A1064,"BROKEN: GL points elsewhere",IF(OR(INDEX(Bank!$F:$F,B1064)&lt;&gt;"Y",INDEX(GL!$F:$F,I1064)&lt;&gt;"Y"),"BROKEN: Status not Y","OK")))))</f>
        <v/>
      </c>
    </row>
    <row r="1065" customFormat="false" ht="15" hidden="false" customHeight="false" outlineLevel="0" collapsed="false">
      <c r="A1065" s="41"/>
      <c r="B1065" s="5" t="n">
        <f aca="false">IF(A1065="",0,IFERROR(MATCH(A1065,Bank!$A:$A,0),0))</f>
        <v>0</v>
      </c>
      <c r="C1065" s="5" t="str">
        <f aca="false">IF(B1065=0,"",IF(INDEX(Bank!$G:$G,B1065)="","",INDEX(Bank!$G:$G,B1065)))</f>
        <v/>
      </c>
      <c r="D1065" s="5" t="str">
        <f aca="false">IF(B1065=0,"",IF(INDEX(Bank!$J:$J,B1065)="","",INDEX(Bank!$J:$J,B1065)))</f>
        <v/>
      </c>
      <c r="E1065" s="32" t="str">
        <f aca="false">IF(B1065=0,"",INDEX(Bank!$B:$B,B1065))</f>
        <v/>
      </c>
      <c r="F1065" s="5" t="str">
        <f aca="false">IF(B1065=0,"",IF(INDEX(Bank!$C:$C,B1065)="","",INDEX(Bank!$C:$C,B1065)))</f>
        <v/>
      </c>
      <c r="G1065" s="19" t="str">
        <f aca="false">IF(B1065=0,"",INDEX(Bank!$E:$E,B1065))</f>
        <v/>
      </c>
      <c r="H1065" s="5" t="str">
        <f aca="false">IF(B1065=0,"",IF(INDEX(Bank!$H:$H,B1065)="","",INDEX(Bank!$H:$H,B1065)))</f>
        <v/>
      </c>
      <c r="I1065" s="5" t="n">
        <f aca="false">IF(H1065="",0,IFERROR(MATCH(H1065,GL!$A:$A,0),0))</f>
        <v>0</v>
      </c>
      <c r="J1065" s="32" t="str">
        <f aca="false">IF(I1065=0,"",INDEX(GL!$B:$B,I1065))</f>
        <v/>
      </c>
      <c r="K1065" s="5" t="str">
        <f aca="false">IF(I1065=0,"",IF(INDEX(GL!$C:$C,I1065)="","",INDEX(GL!$C:$C,I1065)))</f>
        <v/>
      </c>
      <c r="L1065" s="19" t="str">
        <f aca="false">IF(I1065=0,"",INDEX(GL!$E:$E,I1065))</f>
        <v/>
      </c>
      <c r="M1065" s="19" t="str">
        <f aca="false">IF(OR(B1065=0,I1065=0),"",ROUND(G1065-L1065,2))</f>
        <v/>
      </c>
      <c r="N1065" s="5" t="str">
        <f aca="false">IF(A1065="","",IF(B1065=0,"NOT FOUND: bank ID",IF(I1065=0,"NOT FOUND: GL ID",IF(INDEX(GL!$H:$H,I1065)&lt;&gt;A1065,"BROKEN: GL points elsewhere",IF(OR(INDEX(Bank!$F:$F,B1065)&lt;&gt;"Y",INDEX(GL!$F:$F,I1065)&lt;&gt;"Y"),"BROKEN: Status not Y","OK")))))</f>
        <v/>
      </c>
    </row>
    <row r="1066" customFormat="false" ht="15" hidden="false" customHeight="false" outlineLevel="0" collapsed="false">
      <c r="A1066" s="41"/>
      <c r="B1066" s="5" t="n">
        <f aca="false">IF(A1066="",0,IFERROR(MATCH(A1066,Bank!$A:$A,0),0))</f>
        <v>0</v>
      </c>
      <c r="C1066" s="5" t="str">
        <f aca="false">IF(B1066=0,"",IF(INDEX(Bank!$G:$G,B1066)="","",INDEX(Bank!$G:$G,B1066)))</f>
        <v/>
      </c>
      <c r="D1066" s="5" t="str">
        <f aca="false">IF(B1066=0,"",IF(INDEX(Bank!$J:$J,B1066)="","",INDEX(Bank!$J:$J,B1066)))</f>
        <v/>
      </c>
      <c r="E1066" s="32" t="str">
        <f aca="false">IF(B1066=0,"",INDEX(Bank!$B:$B,B1066))</f>
        <v/>
      </c>
      <c r="F1066" s="5" t="str">
        <f aca="false">IF(B1066=0,"",IF(INDEX(Bank!$C:$C,B1066)="","",INDEX(Bank!$C:$C,B1066)))</f>
        <v/>
      </c>
      <c r="G1066" s="19" t="str">
        <f aca="false">IF(B1066=0,"",INDEX(Bank!$E:$E,B1066))</f>
        <v/>
      </c>
      <c r="H1066" s="5" t="str">
        <f aca="false">IF(B1066=0,"",IF(INDEX(Bank!$H:$H,B1066)="","",INDEX(Bank!$H:$H,B1066)))</f>
        <v/>
      </c>
      <c r="I1066" s="5" t="n">
        <f aca="false">IF(H1066="",0,IFERROR(MATCH(H1066,GL!$A:$A,0),0))</f>
        <v>0</v>
      </c>
      <c r="J1066" s="32" t="str">
        <f aca="false">IF(I1066=0,"",INDEX(GL!$B:$B,I1066))</f>
        <v/>
      </c>
      <c r="K1066" s="5" t="str">
        <f aca="false">IF(I1066=0,"",IF(INDEX(GL!$C:$C,I1066)="","",INDEX(GL!$C:$C,I1066)))</f>
        <v/>
      </c>
      <c r="L1066" s="19" t="str">
        <f aca="false">IF(I1066=0,"",INDEX(GL!$E:$E,I1066))</f>
        <v/>
      </c>
      <c r="M1066" s="19" t="str">
        <f aca="false">IF(OR(B1066=0,I1066=0),"",ROUND(G1066-L1066,2))</f>
        <v/>
      </c>
      <c r="N1066" s="5" t="str">
        <f aca="false">IF(A1066="","",IF(B1066=0,"NOT FOUND: bank ID",IF(I1066=0,"NOT FOUND: GL ID",IF(INDEX(GL!$H:$H,I1066)&lt;&gt;A1066,"BROKEN: GL points elsewhere",IF(OR(INDEX(Bank!$F:$F,B1066)&lt;&gt;"Y",INDEX(GL!$F:$F,I1066)&lt;&gt;"Y"),"BROKEN: Status not Y","OK")))))</f>
        <v/>
      </c>
    </row>
    <row r="1067" customFormat="false" ht="15" hidden="false" customHeight="false" outlineLevel="0" collapsed="false">
      <c r="A1067" s="41"/>
      <c r="B1067" s="5" t="n">
        <f aca="false">IF(A1067="",0,IFERROR(MATCH(A1067,Bank!$A:$A,0),0))</f>
        <v>0</v>
      </c>
      <c r="C1067" s="5" t="str">
        <f aca="false">IF(B1067=0,"",IF(INDEX(Bank!$G:$G,B1067)="","",INDEX(Bank!$G:$G,B1067)))</f>
        <v/>
      </c>
      <c r="D1067" s="5" t="str">
        <f aca="false">IF(B1067=0,"",IF(INDEX(Bank!$J:$J,B1067)="","",INDEX(Bank!$J:$J,B1067)))</f>
        <v/>
      </c>
      <c r="E1067" s="32" t="str">
        <f aca="false">IF(B1067=0,"",INDEX(Bank!$B:$B,B1067))</f>
        <v/>
      </c>
      <c r="F1067" s="5" t="str">
        <f aca="false">IF(B1067=0,"",IF(INDEX(Bank!$C:$C,B1067)="","",INDEX(Bank!$C:$C,B1067)))</f>
        <v/>
      </c>
      <c r="G1067" s="19" t="str">
        <f aca="false">IF(B1067=0,"",INDEX(Bank!$E:$E,B1067))</f>
        <v/>
      </c>
      <c r="H1067" s="5" t="str">
        <f aca="false">IF(B1067=0,"",IF(INDEX(Bank!$H:$H,B1067)="","",INDEX(Bank!$H:$H,B1067)))</f>
        <v/>
      </c>
      <c r="I1067" s="5" t="n">
        <f aca="false">IF(H1067="",0,IFERROR(MATCH(H1067,GL!$A:$A,0),0))</f>
        <v>0</v>
      </c>
      <c r="J1067" s="32" t="str">
        <f aca="false">IF(I1067=0,"",INDEX(GL!$B:$B,I1067))</f>
        <v/>
      </c>
      <c r="K1067" s="5" t="str">
        <f aca="false">IF(I1067=0,"",IF(INDEX(GL!$C:$C,I1067)="","",INDEX(GL!$C:$C,I1067)))</f>
        <v/>
      </c>
      <c r="L1067" s="19" t="str">
        <f aca="false">IF(I1067=0,"",INDEX(GL!$E:$E,I1067))</f>
        <v/>
      </c>
      <c r="M1067" s="19" t="str">
        <f aca="false">IF(OR(B1067=0,I1067=0),"",ROUND(G1067-L1067,2))</f>
        <v/>
      </c>
      <c r="N1067" s="5" t="str">
        <f aca="false">IF(A1067="","",IF(B1067=0,"NOT FOUND: bank ID",IF(I1067=0,"NOT FOUND: GL ID",IF(INDEX(GL!$H:$H,I1067)&lt;&gt;A1067,"BROKEN: GL points elsewhere",IF(OR(INDEX(Bank!$F:$F,B1067)&lt;&gt;"Y",INDEX(GL!$F:$F,I1067)&lt;&gt;"Y"),"BROKEN: Status not Y","OK")))))</f>
        <v/>
      </c>
    </row>
    <row r="1068" customFormat="false" ht="15" hidden="false" customHeight="false" outlineLevel="0" collapsed="false">
      <c r="A1068" s="41"/>
      <c r="B1068" s="5" t="n">
        <f aca="false">IF(A1068="",0,IFERROR(MATCH(A1068,Bank!$A:$A,0),0))</f>
        <v>0</v>
      </c>
      <c r="C1068" s="5" t="str">
        <f aca="false">IF(B1068=0,"",IF(INDEX(Bank!$G:$G,B1068)="","",INDEX(Bank!$G:$G,B1068)))</f>
        <v/>
      </c>
      <c r="D1068" s="5" t="str">
        <f aca="false">IF(B1068=0,"",IF(INDEX(Bank!$J:$J,B1068)="","",INDEX(Bank!$J:$J,B1068)))</f>
        <v/>
      </c>
      <c r="E1068" s="32" t="str">
        <f aca="false">IF(B1068=0,"",INDEX(Bank!$B:$B,B1068))</f>
        <v/>
      </c>
      <c r="F1068" s="5" t="str">
        <f aca="false">IF(B1068=0,"",IF(INDEX(Bank!$C:$C,B1068)="","",INDEX(Bank!$C:$C,B1068)))</f>
        <v/>
      </c>
      <c r="G1068" s="19" t="str">
        <f aca="false">IF(B1068=0,"",INDEX(Bank!$E:$E,B1068))</f>
        <v/>
      </c>
      <c r="H1068" s="5" t="str">
        <f aca="false">IF(B1068=0,"",IF(INDEX(Bank!$H:$H,B1068)="","",INDEX(Bank!$H:$H,B1068)))</f>
        <v/>
      </c>
      <c r="I1068" s="5" t="n">
        <f aca="false">IF(H1068="",0,IFERROR(MATCH(H1068,GL!$A:$A,0),0))</f>
        <v>0</v>
      </c>
      <c r="J1068" s="32" t="str">
        <f aca="false">IF(I1068=0,"",INDEX(GL!$B:$B,I1068))</f>
        <v/>
      </c>
      <c r="K1068" s="5" t="str">
        <f aca="false">IF(I1068=0,"",IF(INDEX(GL!$C:$C,I1068)="","",INDEX(GL!$C:$C,I1068)))</f>
        <v/>
      </c>
      <c r="L1068" s="19" t="str">
        <f aca="false">IF(I1068=0,"",INDEX(GL!$E:$E,I1068))</f>
        <v/>
      </c>
      <c r="M1068" s="19" t="str">
        <f aca="false">IF(OR(B1068=0,I1068=0),"",ROUND(G1068-L1068,2))</f>
        <v/>
      </c>
      <c r="N1068" s="5" t="str">
        <f aca="false">IF(A1068="","",IF(B1068=0,"NOT FOUND: bank ID",IF(I1068=0,"NOT FOUND: GL ID",IF(INDEX(GL!$H:$H,I1068)&lt;&gt;A1068,"BROKEN: GL points elsewhere",IF(OR(INDEX(Bank!$F:$F,B1068)&lt;&gt;"Y",INDEX(GL!$F:$F,I1068)&lt;&gt;"Y"),"BROKEN: Status not Y","OK")))))</f>
        <v/>
      </c>
    </row>
    <row r="1069" customFormat="false" ht="15" hidden="false" customHeight="false" outlineLevel="0" collapsed="false">
      <c r="A1069" s="41"/>
      <c r="B1069" s="5" t="n">
        <f aca="false">IF(A1069="",0,IFERROR(MATCH(A1069,Bank!$A:$A,0),0))</f>
        <v>0</v>
      </c>
      <c r="C1069" s="5" t="str">
        <f aca="false">IF(B1069=0,"",IF(INDEX(Bank!$G:$G,B1069)="","",INDEX(Bank!$G:$G,B1069)))</f>
        <v/>
      </c>
      <c r="D1069" s="5" t="str">
        <f aca="false">IF(B1069=0,"",IF(INDEX(Bank!$J:$J,B1069)="","",INDEX(Bank!$J:$J,B1069)))</f>
        <v/>
      </c>
      <c r="E1069" s="32" t="str">
        <f aca="false">IF(B1069=0,"",INDEX(Bank!$B:$B,B1069))</f>
        <v/>
      </c>
      <c r="F1069" s="5" t="str">
        <f aca="false">IF(B1069=0,"",IF(INDEX(Bank!$C:$C,B1069)="","",INDEX(Bank!$C:$C,B1069)))</f>
        <v/>
      </c>
      <c r="G1069" s="19" t="str">
        <f aca="false">IF(B1069=0,"",INDEX(Bank!$E:$E,B1069))</f>
        <v/>
      </c>
      <c r="H1069" s="5" t="str">
        <f aca="false">IF(B1069=0,"",IF(INDEX(Bank!$H:$H,B1069)="","",INDEX(Bank!$H:$H,B1069)))</f>
        <v/>
      </c>
      <c r="I1069" s="5" t="n">
        <f aca="false">IF(H1069="",0,IFERROR(MATCH(H1069,GL!$A:$A,0),0))</f>
        <v>0</v>
      </c>
      <c r="J1069" s="32" t="str">
        <f aca="false">IF(I1069=0,"",INDEX(GL!$B:$B,I1069))</f>
        <v/>
      </c>
      <c r="K1069" s="5" t="str">
        <f aca="false">IF(I1069=0,"",IF(INDEX(GL!$C:$C,I1069)="","",INDEX(GL!$C:$C,I1069)))</f>
        <v/>
      </c>
      <c r="L1069" s="19" t="str">
        <f aca="false">IF(I1069=0,"",INDEX(GL!$E:$E,I1069))</f>
        <v/>
      </c>
      <c r="M1069" s="19" t="str">
        <f aca="false">IF(OR(B1069=0,I1069=0),"",ROUND(G1069-L1069,2))</f>
        <v/>
      </c>
      <c r="N1069" s="5" t="str">
        <f aca="false">IF(A1069="","",IF(B1069=0,"NOT FOUND: bank ID",IF(I1069=0,"NOT FOUND: GL ID",IF(INDEX(GL!$H:$H,I1069)&lt;&gt;A1069,"BROKEN: GL points elsewhere",IF(OR(INDEX(Bank!$F:$F,B1069)&lt;&gt;"Y",INDEX(GL!$F:$F,I1069)&lt;&gt;"Y"),"BROKEN: Status not Y","OK")))))</f>
        <v/>
      </c>
    </row>
    <row r="1070" customFormat="false" ht="15" hidden="false" customHeight="false" outlineLevel="0" collapsed="false">
      <c r="A1070" s="41"/>
      <c r="B1070" s="5" t="n">
        <f aca="false">IF(A1070="",0,IFERROR(MATCH(A1070,Bank!$A:$A,0),0))</f>
        <v>0</v>
      </c>
      <c r="C1070" s="5" t="str">
        <f aca="false">IF(B1070=0,"",IF(INDEX(Bank!$G:$G,B1070)="","",INDEX(Bank!$G:$G,B1070)))</f>
        <v/>
      </c>
      <c r="D1070" s="5" t="str">
        <f aca="false">IF(B1070=0,"",IF(INDEX(Bank!$J:$J,B1070)="","",INDEX(Bank!$J:$J,B1070)))</f>
        <v/>
      </c>
      <c r="E1070" s="32" t="str">
        <f aca="false">IF(B1070=0,"",INDEX(Bank!$B:$B,B1070))</f>
        <v/>
      </c>
      <c r="F1070" s="5" t="str">
        <f aca="false">IF(B1070=0,"",IF(INDEX(Bank!$C:$C,B1070)="","",INDEX(Bank!$C:$C,B1070)))</f>
        <v/>
      </c>
      <c r="G1070" s="19" t="str">
        <f aca="false">IF(B1070=0,"",INDEX(Bank!$E:$E,B1070))</f>
        <v/>
      </c>
      <c r="H1070" s="5" t="str">
        <f aca="false">IF(B1070=0,"",IF(INDEX(Bank!$H:$H,B1070)="","",INDEX(Bank!$H:$H,B1070)))</f>
        <v/>
      </c>
      <c r="I1070" s="5" t="n">
        <f aca="false">IF(H1070="",0,IFERROR(MATCH(H1070,GL!$A:$A,0),0))</f>
        <v>0</v>
      </c>
      <c r="J1070" s="32" t="str">
        <f aca="false">IF(I1070=0,"",INDEX(GL!$B:$B,I1070))</f>
        <v/>
      </c>
      <c r="K1070" s="5" t="str">
        <f aca="false">IF(I1070=0,"",IF(INDEX(GL!$C:$C,I1070)="","",INDEX(GL!$C:$C,I1070)))</f>
        <v/>
      </c>
      <c r="L1070" s="19" t="str">
        <f aca="false">IF(I1070=0,"",INDEX(GL!$E:$E,I1070))</f>
        <v/>
      </c>
      <c r="M1070" s="19" t="str">
        <f aca="false">IF(OR(B1070=0,I1070=0),"",ROUND(G1070-L1070,2))</f>
        <v/>
      </c>
      <c r="N1070" s="5" t="str">
        <f aca="false">IF(A1070="","",IF(B1070=0,"NOT FOUND: bank ID",IF(I1070=0,"NOT FOUND: GL ID",IF(INDEX(GL!$H:$H,I1070)&lt;&gt;A1070,"BROKEN: GL points elsewhere",IF(OR(INDEX(Bank!$F:$F,B1070)&lt;&gt;"Y",INDEX(GL!$F:$F,I1070)&lt;&gt;"Y"),"BROKEN: Status not Y","OK")))))</f>
        <v/>
      </c>
    </row>
    <row r="1071" customFormat="false" ht="15" hidden="false" customHeight="false" outlineLevel="0" collapsed="false">
      <c r="A1071" s="41"/>
      <c r="B1071" s="5" t="n">
        <f aca="false">IF(A1071="",0,IFERROR(MATCH(A1071,Bank!$A:$A,0),0))</f>
        <v>0</v>
      </c>
      <c r="C1071" s="5" t="str">
        <f aca="false">IF(B1071=0,"",IF(INDEX(Bank!$G:$G,B1071)="","",INDEX(Bank!$G:$G,B1071)))</f>
        <v/>
      </c>
      <c r="D1071" s="5" t="str">
        <f aca="false">IF(B1071=0,"",IF(INDEX(Bank!$J:$J,B1071)="","",INDEX(Bank!$J:$J,B1071)))</f>
        <v/>
      </c>
      <c r="E1071" s="32" t="str">
        <f aca="false">IF(B1071=0,"",INDEX(Bank!$B:$B,B1071))</f>
        <v/>
      </c>
      <c r="F1071" s="5" t="str">
        <f aca="false">IF(B1071=0,"",IF(INDEX(Bank!$C:$C,B1071)="","",INDEX(Bank!$C:$C,B1071)))</f>
        <v/>
      </c>
      <c r="G1071" s="19" t="str">
        <f aca="false">IF(B1071=0,"",INDEX(Bank!$E:$E,B1071))</f>
        <v/>
      </c>
      <c r="H1071" s="5" t="str">
        <f aca="false">IF(B1071=0,"",IF(INDEX(Bank!$H:$H,B1071)="","",INDEX(Bank!$H:$H,B1071)))</f>
        <v/>
      </c>
      <c r="I1071" s="5" t="n">
        <f aca="false">IF(H1071="",0,IFERROR(MATCH(H1071,GL!$A:$A,0),0))</f>
        <v>0</v>
      </c>
      <c r="J1071" s="32" t="str">
        <f aca="false">IF(I1071=0,"",INDEX(GL!$B:$B,I1071))</f>
        <v/>
      </c>
      <c r="K1071" s="5" t="str">
        <f aca="false">IF(I1071=0,"",IF(INDEX(GL!$C:$C,I1071)="","",INDEX(GL!$C:$C,I1071)))</f>
        <v/>
      </c>
      <c r="L1071" s="19" t="str">
        <f aca="false">IF(I1071=0,"",INDEX(GL!$E:$E,I1071))</f>
        <v/>
      </c>
      <c r="M1071" s="19" t="str">
        <f aca="false">IF(OR(B1071=0,I1071=0),"",ROUND(G1071-L1071,2))</f>
        <v/>
      </c>
      <c r="N1071" s="5" t="str">
        <f aca="false">IF(A1071="","",IF(B1071=0,"NOT FOUND: bank ID",IF(I1071=0,"NOT FOUND: GL ID",IF(INDEX(GL!$H:$H,I1071)&lt;&gt;A1071,"BROKEN: GL points elsewhere",IF(OR(INDEX(Bank!$F:$F,B1071)&lt;&gt;"Y",INDEX(GL!$F:$F,I1071)&lt;&gt;"Y"),"BROKEN: Status not Y","OK")))))</f>
        <v/>
      </c>
    </row>
    <row r="1072" customFormat="false" ht="15" hidden="false" customHeight="false" outlineLevel="0" collapsed="false">
      <c r="A1072" s="41"/>
      <c r="B1072" s="5" t="n">
        <f aca="false">IF(A1072="",0,IFERROR(MATCH(A1072,Bank!$A:$A,0),0))</f>
        <v>0</v>
      </c>
      <c r="C1072" s="5" t="str">
        <f aca="false">IF(B1072=0,"",IF(INDEX(Bank!$G:$G,B1072)="","",INDEX(Bank!$G:$G,B1072)))</f>
        <v/>
      </c>
      <c r="D1072" s="5" t="str">
        <f aca="false">IF(B1072=0,"",IF(INDEX(Bank!$J:$J,B1072)="","",INDEX(Bank!$J:$J,B1072)))</f>
        <v/>
      </c>
      <c r="E1072" s="32" t="str">
        <f aca="false">IF(B1072=0,"",INDEX(Bank!$B:$B,B1072))</f>
        <v/>
      </c>
      <c r="F1072" s="5" t="str">
        <f aca="false">IF(B1072=0,"",IF(INDEX(Bank!$C:$C,B1072)="","",INDEX(Bank!$C:$C,B1072)))</f>
        <v/>
      </c>
      <c r="G1072" s="19" t="str">
        <f aca="false">IF(B1072=0,"",INDEX(Bank!$E:$E,B1072))</f>
        <v/>
      </c>
      <c r="H1072" s="5" t="str">
        <f aca="false">IF(B1072=0,"",IF(INDEX(Bank!$H:$H,B1072)="","",INDEX(Bank!$H:$H,B1072)))</f>
        <v/>
      </c>
      <c r="I1072" s="5" t="n">
        <f aca="false">IF(H1072="",0,IFERROR(MATCH(H1072,GL!$A:$A,0),0))</f>
        <v>0</v>
      </c>
      <c r="J1072" s="32" t="str">
        <f aca="false">IF(I1072=0,"",INDEX(GL!$B:$B,I1072))</f>
        <v/>
      </c>
      <c r="K1072" s="5" t="str">
        <f aca="false">IF(I1072=0,"",IF(INDEX(GL!$C:$C,I1072)="","",INDEX(GL!$C:$C,I1072)))</f>
        <v/>
      </c>
      <c r="L1072" s="19" t="str">
        <f aca="false">IF(I1072=0,"",INDEX(GL!$E:$E,I1072))</f>
        <v/>
      </c>
      <c r="M1072" s="19" t="str">
        <f aca="false">IF(OR(B1072=0,I1072=0),"",ROUND(G1072-L1072,2))</f>
        <v/>
      </c>
      <c r="N1072" s="5" t="str">
        <f aca="false">IF(A1072="","",IF(B1072=0,"NOT FOUND: bank ID",IF(I1072=0,"NOT FOUND: GL ID",IF(INDEX(GL!$H:$H,I1072)&lt;&gt;A1072,"BROKEN: GL points elsewhere",IF(OR(INDEX(Bank!$F:$F,B1072)&lt;&gt;"Y",INDEX(GL!$F:$F,I1072)&lt;&gt;"Y"),"BROKEN: Status not Y","OK")))))</f>
        <v/>
      </c>
    </row>
    <row r="1073" customFormat="false" ht="15" hidden="false" customHeight="false" outlineLevel="0" collapsed="false">
      <c r="A1073" s="41"/>
      <c r="B1073" s="5" t="n">
        <f aca="false">IF(A1073="",0,IFERROR(MATCH(A1073,Bank!$A:$A,0),0))</f>
        <v>0</v>
      </c>
      <c r="C1073" s="5" t="str">
        <f aca="false">IF(B1073=0,"",IF(INDEX(Bank!$G:$G,B1073)="","",INDEX(Bank!$G:$G,B1073)))</f>
        <v/>
      </c>
      <c r="D1073" s="5" t="str">
        <f aca="false">IF(B1073=0,"",IF(INDEX(Bank!$J:$J,B1073)="","",INDEX(Bank!$J:$J,B1073)))</f>
        <v/>
      </c>
      <c r="E1073" s="32" t="str">
        <f aca="false">IF(B1073=0,"",INDEX(Bank!$B:$B,B1073))</f>
        <v/>
      </c>
      <c r="F1073" s="5" t="str">
        <f aca="false">IF(B1073=0,"",IF(INDEX(Bank!$C:$C,B1073)="","",INDEX(Bank!$C:$C,B1073)))</f>
        <v/>
      </c>
      <c r="G1073" s="19" t="str">
        <f aca="false">IF(B1073=0,"",INDEX(Bank!$E:$E,B1073))</f>
        <v/>
      </c>
      <c r="H1073" s="5" t="str">
        <f aca="false">IF(B1073=0,"",IF(INDEX(Bank!$H:$H,B1073)="","",INDEX(Bank!$H:$H,B1073)))</f>
        <v/>
      </c>
      <c r="I1073" s="5" t="n">
        <f aca="false">IF(H1073="",0,IFERROR(MATCH(H1073,GL!$A:$A,0),0))</f>
        <v>0</v>
      </c>
      <c r="J1073" s="32" t="str">
        <f aca="false">IF(I1073=0,"",INDEX(GL!$B:$B,I1073))</f>
        <v/>
      </c>
      <c r="K1073" s="5" t="str">
        <f aca="false">IF(I1073=0,"",IF(INDEX(GL!$C:$C,I1073)="","",INDEX(GL!$C:$C,I1073)))</f>
        <v/>
      </c>
      <c r="L1073" s="19" t="str">
        <f aca="false">IF(I1073=0,"",INDEX(GL!$E:$E,I1073))</f>
        <v/>
      </c>
      <c r="M1073" s="19" t="str">
        <f aca="false">IF(OR(B1073=0,I1073=0),"",ROUND(G1073-L1073,2))</f>
        <v/>
      </c>
      <c r="N1073" s="5" t="str">
        <f aca="false">IF(A1073="","",IF(B1073=0,"NOT FOUND: bank ID",IF(I1073=0,"NOT FOUND: GL ID",IF(INDEX(GL!$H:$H,I1073)&lt;&gt;A1073,"BROKEN: GL points elsewhere",IF(OR(INDEX(Bank!$F:$F,B1073)&lt;&gt;"Y",INDEX(GL!$F:$F,I1073)&lt;&gt;"Y"),"BROKEN: Status not Y","OK")))))</f>
        <v/>
      </c>
    </row>
    <row r="1074" customFormat="false" ht="15" hidden="false" customHeight="false" outlineLevel="0" collapsed="false">
      <c r="A1074" s="41"/>
      <c r="B1074" s="5" t="n">
        <f aca="false">IF(A1074="",0,IFERROR(MATCH(A1074,Bank!$A:$A,0),0))</f>
        <v>0</v>
      </c>
      <c r="C1074" s="5" t="str">
        <f aca="false">IF(B1074=0,"",IF(INDEX(Bank!$G:$G,B1074)="","",INDEX(Bank!$G:$G,B1074)))</f>
        <v/>
      </c>
      <c r="D1074" s="5" t="str">
        <f aca="false">IF(B1074=0,"",IF(INDEX(Bank!$J:$J,B1074)="","",INDEX(Bank!$J:$J,B1074)))</f>
        <v/>
      </c>
      <c r="E1074" s="32" t="str">
        <f aca="false">IF(B1074=0,"",INDEX(Bank!$B:$B,B1074))</f>
        <v/>
      </c>
      <c r="F1074" s="5" t="str">
        <f aca="false">IF(B1074=0,"",IF(INDEX(Bank!$C:$C,B1074)="","",INDEX(Bank!$C:$C,B1074)))</f>
        <v/>
      </c>
      <c r="G1074" s="19" t="str">
        <f aca="false">IF(B1074=0,"",INDEX(Bank!$E:$E,B1074))</f>
        <v/>
      </c>
      <c r="H1074" s="5" t="str">
        <f aca="false">IF(B1074=0,"",IF(INDEX(Bank!$H:$H,B1074)="","",INDEX(Bank!$H:$H,B1074)))</f>
        <v/>
      </c>
      <c r="I1074" s="5" t="n">
        <f aca="false">IF(H1074="",0,IFERROR(MATCH(H1074,GL!$A:$A,0),0))</f>
        <v>0</v>
      </c>
      <c r="J1074" s="32" t="str">
        <f aca="false">IF(I1074=0,"",INDEX(GL!$B:$B,I1074))</f>
        <v/>
      </c>
      <c r="K1074" s="5" t="str">
        <f aca="false">IF(I1074=0,"",IF(INDEX(GL!$C:$C,I1074)="","",INDEX(GL!$C:$C,I1074)))</f>
        <v/>
      </c>
      <c r="L1074" s="19" t="str">
        <f aca="false">IF(I1074=0,"",INDEX(GL!$E:$E,I1074))</f>
        <v/>
      </c>
      <c r="M1074" s="19" t="str">
        <f aca="false">IF(OR(B1074=0,I1074=0),"",ROUND(G1074-L1074,2))</f>
        <v/>
      </c>
      <c r="N1074" s="5" t="str">
        <f aca="false">IF(A1074="","",IF(B1074=0,"NOT FOUND: bank ID",IF(I1074=0,"NOT FOUND: GL ID",IF(INDEX(GL!$H:$H,I1074)&lt;&gt;A1074,"BROKEN: GL points elsewhere",IF(OR(INDEX(Bank!$F:$F,B1074)&lt;&gt;"Y",INDEX(GL!$F:$F,I1074)&lt;&gt;"Y"),"BROKEN: Status not Y","OK")))))</f>
        <v/>
      </c>
    </row>
    <row r="1075" customFormat="false" ht="15" hidden="false" customHeight="false" outlineLevel="0" collapsed="false">
      <c r="A1075" s="41"/>
      <c r="B1075" s="5" t="n">
        <f aca="false">IF(A1075="",0,IFERROR(MATCH(A1075,Bank!$A:$A,0),0))</f>
        <v>0</v>
      </c>
      <c r="C1075" s="5" t="str">
        <f aca="false">IF(B1075=0,"",IF(INDEX(Bank!$G:$G,B1075)="","",INDEX(Bank!$G:$G,B1075)))</f>
        <v/>
      </c>
      <c r="D1075" s="5" t="str">
        <f aca="false">IF(B1075=0,"",IF(INDEX(Bank!$J:$J,B1075)="","",INDEX(Bank!$J:$J,B1075)))</f>
        <v/>
      </c>
      <c r="E1075" s="32" t="str">
        <f aca="false">IF(B1075=0,"",INDEX(Bank!$B:$B,B1075))</f>
        <v/>
      </c>
      <c r="F1075" s="5" t="str">
        <f aca="false">IF(B1075=0,"",IF(INDEX(Bank!$C:$C,B1075)="","",INDEX(Bank!$C:$C,B1075)))</f>
        <v/>
      </c>
      <c r="G1075" s="19" t="str">
        <f aca="false">IF(B1075=0,"",INDEX(Bank!$E:$E,B1075))</f>
        <v/>
      </c>
      <c r="H1075" s="5" t="str">
        <f aca="false">IF(B1075=0,"",IF(INDEX(Bank!$H:$H,B1075)="","",INDEX(Bank!$H:$H,B1075)))</f>
        <v/>
      </c>
      <c r="I1075" s="5" t="n">
        <f aca="false">IF(H1075="",0,IFERROR(MATCH(H1075,GL!$A:$A,0),0))</f>
        <v>0</v>
      </c>
      <c r="J1075" s="32" t="str">
        <f aca="false">IF(I1075=0,"",INDEX(GL!$B:$B,I1075))</f>
        <v/>
      </c>
      <c r="K1075" s="5" t="str">
        <f aca="false">IF(I1075=0,"",IF(INDEX(GL!$C:$C,I1075)="","",INDEX(GL!$C:$C,I1075)))</f>
        <v/>
      </c>
      <c r="L1075" s="19" t="str">
        <f aca="false">IF(I1075=0,"",INDEX(GL!$E:$E,I1075))</f>
        <v/>
      </c>
      <c r="M1075" s="19" t="str">
        <f aca="false">IF(OR(B1075=0,I1075=0),"",ROUND(G1075-L1075,2))</f>
        <v/>
      </c>
      <c r="N1075" s="5" t="str">
        <f aca="false">IF(A1075="","",IF(B1075=0,"NOT FOUND: bank ID",IF(I1075=0,"NOT FOUND: GL ID",IF(INDEX(GL!$H:$H,I1075)&lt;&gt;A1075,"BROKEN: GL points elsewhere",IF(OR(INDEX(Bank!$F:$F,B1075)&lt;&gt;"Y",INDEX(GL!$F:$F,I1075)&lt;&gt;"Y"),"BROKEN: Status not Y","OK")))))</f>
        <v/>
      </c>
    </row>
    <row r="1076" customFormat="false" ht="15" hidden="false" customHeight="false" outlineLevel="0" collapsed="false">
      <c r="A1076" s="41"/>
      <c r="B1076" s="5" t="n">
        <f aca="false">IF(A1076="",0,IFERROR(MATCH(A1076,Bank!$A:$A,0),0))</f>
        <v>0</v>
      </c>
      <c r="C1076" s="5" t="str">
        <f aca="false">IF(B1076=0,"",IF(INDEX(Bank!$G:$G,B1076)="","",INDEX(Bank!$G:$G,B1076)))</f>
        <v/>
      </c>
      <c r="D1076" s="5" t="str">
        <f aca="false">IF(B1076=0,"",IF(INDEX(Bank!$J:$J,B1076)="","",INDEX(Bank!$J:$J,B1076)))</f>
        <v/>
      </c>
      <c r="E1076" s="32" t="str">
        <f aca="false">IF(B1076=0,"",INDEX(Bank!$B:$B,B1076))</f>
        <v/>
      </c>
      <c r="F1076" s="5" t="str">
        <f aca="false">IF(B1076=0,"",IF(INDEX(Bank!$C:$C,B1076)="","",INDEX(Bank!$C:$C,B1076)))</f>
        <v/>
      </c>
      <c r="G1076" s="19" t="str">
        <f aca="false">IF(B1076=0,"",INDEX(Bank!$E:$E,B1076))</f>
        <v/>
      </c>
      <c r="H1076" s="5" t="str">
        <f aca="false">IF(B1076=0,"",IF(INDEX(Bank!$H:$H,B1076)="","",INDEX(Bank!$H:$H,B1076)))</f>
        <v/>
      </c>
      <c r="I1076" s="5" t="n">
        <f aca="false">IF(H1076="",0,IFERROR(MATCH(H1076,GL!$A:$A,0),0))</f>
        <v>0</v>
      </c>
      <c r="J1076" s="32" t="str">
        <f aca="false">IF(I1076=0,"",INDEX(GL!$B:$B,I1076))</f>
        <v/>
      </c>
      <c r="K1076" s="5" t="str">
        <f aca="false">IF(I1076=0,"",IF(INDEX(GL!$C:$C,I1076)="","",INDEX(GL!$C:$C,I1076)))</f>
        <v/>
      </c>
      <c r="L1076" s="19" t="str">
        <f aca="false">IF(I1076=0,"",INDEX(GL!$E:$E,I1076))</f>
        <v/>
      </c>
      <c r="M1076" s="19" t="str">
        <f aca="false">IF(OR(B1076=0,I1076=0),"",ROUND(G1076-L1076,2))</f>
        <v/>
      </c>
      <c r="N1076" s="5" t="str">
        <f aca="false">IF(A1076="","",IF(B1076=0,"NOT FOUND: bank ID",IF(I1076=0,"NOT FOUND: GL ID",IF(INDEX(GL!$H:$H,I1076)&lt;&gt;A1076,"BROKEN: GL points elsewhere",IF(OR(INDEX(Bank!$F:$F,B1076)&lt;&gt;"Y",INDEX(GL!$F:$F,I1076)&lt;&gt;"Y"),"BROKEN: Status not Y","OK")))))</f>
        <v/>
      </c>
    </row>
    <row r="1077" customFormat="false" ht="15" hidden="false" customHeight="false" outlineLevel="0" collapsed="false">
      <c r="A1077" s="41"/>
      <c r="B1077" s="5" t="n">
        <f aca="false">IF(A1077="",0,IFERROR(MATCH(A1077,Bank!$A:$A,0),0))</f>
        <v>0</v>
      </c>
      <c r="C1077" s="5" t="str">
        <f aca="false">IF(B1077=0,"",IF(INDEX(Bank!$G:$G,B1077)="","",INDEX(Bank!$G:$G,B1077)))</f>
        <v/>
      </c>
      <c r="D1077" s="5" t="str">
        <f aca="false">IF(B1077=0,"",IF(INDEX(Bank!$J:$J,B1077)="","",INDEX(Bank!$J:$J,B1077)))</f>
        <v/>
      </c>
      <c r="E1077" s="32" t="str">
        <f aca="false">IF(B1077=0,"",INDEX(Bank!$B:$B,B1077))</f>
        <v/>
      </c>
      <c r="F1077" s="5" t="str">
        <f aca="false">IF(B1077=0,"",IF(INDEX(Bank!$C:$C,B1077)="","",INDEX(Bank!$C:$C,B1077)))</f>
        <v/>
      </c>
      <c r="G1077" s="19" t="str">
        <f aca="false">IF(B1077=0,"",INDEX(Bank!$E:$E,B1077))</f>
        <v/>
      </c>
      <c r="H1077" s="5" t="str">
        <f aca="false">IF(B1077=0,"",IF(INDEX(Bank!$H:$H,B1077)="","",INDEX(Bank!$H:$H,B1077)))</f>
        <v/>
      </c>
      <c r="I1077" s="5" t="n">
        <f aca="false">IF(H1077="",0,IFERROR(MATCH(H1077,GL!$A:$A,0),0))</f>
        <v>0</v>
      </c>
      <c r="J1077" s="32" t="str">
        <f aca="false">IF(I1077=0,"",INDEX(GL!$B:$B,I1077))</f>
        <v/>
      </c>
      <c r="K1077" s="5" t="str">
        <f aca="false">IF(I1077=0,"",IF(INDEX(GL!$C:$C,I1077)="","",INDEX(GL!$C:$C,I1077)))</f>
        <v/>
      </c>
      <c r="L1077" s="19" t="str">
        <f aca="false">IF(I1077=0,"",INDEX(GL!$E:$E,I1077))</f>
        <v/>
      </c>
      <c r="M1077" s="19" t="str">
        <f aca="false">IF(OR(B1077=0,I1077=0),"",ROUND(G1077-L1077,2))</f>
        <v/>
      </c>
      <c r="N1077" s="5" t="str">
        <f aca="false">IF(A1077="","",IF(B1077=0,"NOT FOUND: bank ID",IF(I1077=0,"NOT FOUND: GL ID",IF(INDEX(GL!$H:$H,I1077)&lt;&gt;A1077,"BROKEN: GL points elsewhere",IF(OR(INDEX(Bank!$F:$F,B1077)&lt;&gt;"Y",INDEX(GL!$F:$F,I1077)&lt;&gt;"Y"),"BROKEN: Status not Y","OK")))))</f>
        <v/>
      </c>
    </row>
    <row r="1078" customFormat="false" ht="15" hidden="false" customHeight="false" outlineLevel="0" collapsed="false">
      <c r="A1078" s="41"/>
      <c r="B1078" s="5" t="n">
        <f aca="false">IF(A1078="",0,IFERROR(MATCH(A1078,Bank!$A:$A,0),0))</f>
        <v>0</v>
      </c>
      <c r="C1078" s="5" t="str">
        <f aca="false">IF(B1078=0,"",IF(INDEX(Bank!$G:$G,B1078)="","",INDEX(Bank!$G:$G,B1078)))</f>
        <v/>
      </c>
      <c r="D1078" s="5" t="str">
        <f aca="false">IF(B1078=0,"",IF(INDEX(Bank!$J:$J,B1078)="","",INDEX(Bank!$J:$J,B1078)))</f>
        <v/>
      </c>
      <c r="E1078" s="32" t="str">
        <f aca="false">IF(B1078=0,"",INDEX(Bank!$B:$B,B1078))</f>
        <v/>
      </c>
      <c r="F1078" s="5" t="str">
        <f aca="false">IF(B1078=0,"",IF(INDEX(Bank!$C:$C,B1078)="","",INDEX(Bank!$C:$C,B1078)))</f>
        <v/>
      </c>
      <c r="G1078" s="19" t="str">
        <f aca="false">IF(B1078=0,"",INDEX(Bank!$E:$E,B1078))</f>
        <v/>
      </c>
      <c r="H1078" s="5" t="str">
        <f aca="false">IF(B1078=0,"",IF(INDEX(Bank!$H:$H,B1078)="","",INDEX(Bank!$H:$H,B1078)))</f>
        <v/>
      </c>
      <c r="I1078" s="5" t="n">
        <f aca="false">IF(H1078="",0,IFERROR(MATCH(H1078,GL!$A:$A,0),0))</f>
        <v>0</v>
      </c>
      <c r="J1078" s="32" t="str">
        <f aca="false">IF(I1078=0,"",INDEX(GL!$B:$B,I1078))</f>
        <v/>
      </c>
      <c r="K1078" s="5" t="str">
        <f aca="false">IF(I1078=0,"",IF(INDEX(GL!$C:$C,I1078)="","",INDEX(GL!$C:$C,I1078)))</f>
        <v/>
      </c>
      <c r="L1078" s="19" t="str">
        <f aca="false">IF(I1078=0,"",INDEX(GL!$E:$E,I1078))</f>
        <v/>
      </c>
      <c r="M1078" s="19" t="str">
        <f aca="false">IF(OR(B1078=0,I1078=0),"",ROUND(G1078-L1078,2))</f>
        <v/>
      </c>
      <c r="N1078" s="5" t="str">
        <f aca="false">IF(A1078="","",IF(B1078=0,"NOT FOUND: bank ID",IF(I1078=0,"NOT FOUND: GL ID",IF(INDEX(GL!$H:$H,I1078)&lt;&gt;A1078,"BROKEN: GL points elsewhere",IF(OR(INDEX(Bank!$F:$F,B1078)&lt;&gt;"Y",INDEX(GL!$F:$F,I1078)&lt;&gt;"Y"),"BROKEN: Status not Y","OK")))))</f>
        <v/>
      </c>
    </row>
    <row r="1079" customFormat="false" ht="15" hidden="false" customHeight="false" outlineLevel="0" collapsed="false">
      <c r="A1079" s="41"/>
      <c r="B1079" s="5" t="n">
        <f aca="false">IF(A1079="",0,IFERROR(MATCH(A1079,Bank!$A:$A,0),0))</f>
        <v>0</v>
      </c>
      <c r="C1079" s="5" t="str">
        <f aca="false">IF(B1079=0,"",IF(INDEX(Bank!$G:$G,B1079)="","",INDEX(Bank!$G:$G,B1079)))</f>
        <v/>
      </c>
      <c r="D1079" s="5" t="str">
        <f aca="false">IF(B1079=0,"",IF(INDEX(Bank!$J:$J,B1079)="","",INDEX(Bank!$J:$J,B1079)))</f>
        <v/>
      </c>
      <c r="E1079" s="32" t="str">
        <f aca="false">IF(B1079=0,"",INDEX(Bank!$B:$B,B1079))</f>
        <v/>
      </c>
      <c r="F1079" s="5" t="str">
        <f aca="false">IF(B1079=0,"",IF(INDEX(Bank!$C:$C,B1079)="","",INDEX(Bank!$C:$C,B1079)))</f>
        <v/>
      </c>
      <c r="G1079" s="19" t="str">
        <f aca="false">IF(B1079=0,"",INDEX(Bank!$E:$E,B1079))</f>
        <v/>
      </c>
      <c r="H1079" s="5" t="str">
        <f aca="false">IF(B1079=0,"",IF(INDEX(Bank!$H:$H,B1079)="","",INDEX(Bank!$H:$H,B1079)))</f>
        <v/>
      </c>
      <c r="I1079" s="5" t="n">
        <f aca="false">IF(H1079="",0,IFERROR(MATCH(H1079,GL!$A:$A,0),0))</f>
        <v>0</v>
      </c>
      <c r="J1079" s="32" t="str">
        <f aca="false">IF(I1079=0,"",INDEX(GL!$B:$B,I1079))</f>
        <v/>
      </c>
      <c r="K1079" s="5" t="str">
        <f aca="false">IF(I1079=0,"",IF(INDEX(GL!$C:$C,I1079)="","",INDEX(GL!$C:$C,I1079)))</f>
        <v/>
      </c>
      <c r="L1079" s="19" t="str">
        <f aca="false">IF(I1079=0,"",INDEX(GL!$E:$E,I1079))</f>
        <v/>
      </c>
      <c r="M1079" s="19" t="str">
        <f aca="false">IF(OR(B1079=0,I1079=0),"",ROUND(G1079-L1079,2))</f>
        <v/>
      </c>
      <c r="N1079" s="5" t="str">
        <f aca="false">IF(A1079="","",IF(B1079=0,"NOT FOUND: bank ID",IF(I1079=0,"NOT FOUND: GL ID",IF(INDEX(GL!$H:$H,I1079)&lt;&gt;A1079,"BROKEN: GL points elsewhere",IF(OR(INDEX(Bank!$F:$F,B1079)&lt;&gt;"Y",INDEX(GL!$F:$F,I1079)&lt;&gt;"Y"),"BROKEN: Status not Y","OK")))))</f>
        <v/>
      </c>
    </row>
    <row r="1080" customFormat="false" ht="15" hidden="false" customHeight="false" outlineLevel="0" collapsed="false">
      <c r="A1080" s="41"/>
      <c r="B1080" s="5" t="n">
        <f aca="false">IF(A1080="",0,IFERROR(MATCH(A1080,Bank!$A:$A,0),0))</f>
        <v>0</v>
      </c>
      <c r="C1080" s="5" t="str">
        <f aca="false">IF(B1080=0,"",IF(INDEX(Bank!$G:$G,B1080)="","",INDEX(Bank!$G:$G,B1080)))</f>
        <v/>
      </c>
      <c r="D1080" s="5" t="str">
        <f aca="false">IF(B1080=0,"",IF(INDEX(Bank!$J:$J,B1080)="","",INDEX(Bank!$J:$J,B1080)))</f>
        <v/>
      </c>
      <c r="E1080" s="32" t="str">
        <f aca="false">IF(B1080=0,"",INDEX(Bank!$B:$B,B1080))</f>
        <v/>
      </c>
      <c r="F1080" s="5" t="str">
        <f aca="false">IF(B1080=0,"",IF(INDEX(Bank!$C:$C,B1080)="","",INDEX(Bank!$C:$C,B1080)))</f>
        <v/>
      </c>
      <c r="G1080" s="19" t="str">
        <f aca="false">IF(B1080=0,"",INDEX(Bank!$E:$E,B1080))</f>
        <v/>
      </c>
      <c r="H1080" s="5" t="str">
        <f aca="false">IF(B1080=0,"",IF(INDEX(Bank!$H:$H,B1080)="","",INDEX(Bank!$H:$H,B1080)))</f>
        <v/>
      </c>
      <c r="I1080" s="5" t="n">
        <f aca="false">IF(H1080="",0,IFERROR(MATCH(H1080,GL!$A:$A,0),0))</f>
        <v>0</v>
      </c>
      <c r="J1080" s="32" t="str">
        <f aca="false">IF(I1080=0,"",INDEX(GL!$B:$B,I1080))</f>
        <v/>
      </c>
      <c r="K1080" s="5" t="str">
        <f aca="false">IF(I1080=0,"",IF(INDEX(GL!$C:$C,I1080)="","",INDEX(GL!$C:$C,I1080)))</f>
        <v/>
      </c>
      <c r="L1080" s="19" t="str">
        <f aca="false">IF(I1080=0,"",INDEX(GL!$E:$E,I1080))</f>
        <v/>
      </c>
      <c r="M1080" s="19" t="str">
        <f aca="false">IF(OR(B1080=0,I1080=0),"",ROUND(G1080-L1080,2))</f>
        <v/>
      </c>
      <c r="N1080" s="5" t="str">
        <f aca="false">IF(A1080="","",IF(B1080=0,"NOT FOUND: bank ID",IF(I1080=0,"NOT FOUND: GL ID",IF(INDEX(GL!$H:$H,I1080)&lt;&gt;A1080,"BROKEN: GL points elsewhere",IF(OR(INDEX(Bank!$F:$F,B1080)&lt;&gt;"Y",INDEX(GL!$F:$F,I1080)&lt;&gt;"Y"),"BROKEN: Status not Y","OK")))))</f>
        <v/>
      </c>
    </row>
    <row r="1081" customFormat="false" ht="15" hidden="false" customHeight="false" outlineLevel="0" collapsed="false">
      <c r="A1081" s="41"/>
      <c r="B1081" s="5" t="n">
        <f aca="false">IF(A1081="",0,IFERROR(MATCH(A1081,Bank!$A:$A,0),0))</f>
        <v>0</v>
      </c>
      <c r="C1081" s="5" t="str">
        <f aca="false">IF(B1081=0,"",IF(INDEX(Bank!$G:$G,B1081)="","",INDEX(Bank!$G:$G,B1081)))</f>
        <v/>
      </c>
      <c r="D1081" s="5" t="str">
        <f aca="false">IF(B1081=0,"",IF(INDEX(Bank!$J:$J,B1081)="","",INDEX(Bank!$J:$J,B1081)))</f>
        <v/>
      </c>
      <c r="E1081" s="32" t="str">
        <f aca="false">IF(B1081=0,"",INDEX(Bank!$B:$B,B1081))</f>
        <v/>
      </c>
      <c r="F1081" s="5" t="str">
        <f aca="false">IF(B1081=0,"",IF(INDEX(Bank!$C:$C,B1081)="","",INDEX(Bank!$C:$C,B1081)))</f>
        <v/>
      </c>
      <c r="G1081" s="19" t="str">
        <f aca="false">IF(B1081=0,"",INDEX(Bank!$E:$E,B1081))</f>
        <v/>
      </c>
      <c r="H1081" s="5" t="str">
        <f aca="false">IF(B1081=0,"",IF(INDEX(Bank!$H:$H,B1081)="","",INDEX(Bank!$H:$H,B1081)))</f>
        <v/>
      </c>
      <c r="I1081" s="5" t="n">
        <f aca="false">IF(H1081="",0,IFERROR(MATCH(H1081,GL!$A:$A,0),0))</f>
        <v>0</v>
      </c>
      <c r="J1081" s="32" t="str">
        <f aca="false">IF(I1081=0,"",INDEX(GL!$B:$B,I1081))</f>
        <v/>
      </c>
      <c r="K1081" s="5" t="str">
        <f aca="false">IF(I1081=0,"",IF(INDEX(GL!$C:$C,I1081)="","",INDEX(GL!$C:$C,I1081)))</f>
        <v/>
      </c>
      <c r="L1081" s="19" t="str">
        <f aca="false">IF(I1081=0,"",INDEX(GL!$E:$E,I1081))</f>
        <v/>
      </c>
      <c r="M1081" s="19" t="str">
        <f aca="false">IF(OR(B1081=0,I1081=0),"",ROUND(G1081-L1081,2))</f>
        <v/>
      </c>
      <c r="N1081" s="5" t="str">
        <f aca="false">IF(A1081="","",IF(B1081=0,"NOT FOUND: bank ID",IF(I1081=0,"NOT FOUND: GL ID",IF(INDEX(GL!$H:$H,I1081)&lt;&gt;A1081,"BROKEN: GL points elsewhere",IF(OR(INDEX(Bank!$F:$F,B1081)&lt;&gt;"Y",INDEX(GL!$F:$F,I1081)&lt;&gt;"Y"),"BROKEN: Status not Y","OK")))))</f>
        <v/>
      </c>
    </row>
    <row r="1082" customFormat="false" ht="15" hidden="false" customHeight="false" outlineLevel="0" collapsed="false">
      <c r="A1082" s="41"/>
      <c r="B1082" s="5" t="n">
        <f aca="false">IF(A1082="",0,IFERROR(MATCH(A1082,Bank!$A:$A,0),0))</f>
        <v>0</v>
      </c>
      <c r="C1082" s="5" t="str">
        <f aca="false">IF(B1082=0,"",IF(INDEX(Bank!$G:$G,B1082)="","",INDEX(Bank!$G:$G,B1082)))</f>
        <v/>
      </c>
      <c r="D1082" s="5" t="str">
        <f aca="false">IF(B1082=0,"",IF(INDEX(Bank!$J:$J,B1082)="","",INDEX(Bank!$J:$J,B1082)))</f>
        <v/>
      </c>
      <c r="E1082" s="32" t="str">
        <f aca="false">IF(B1082=0,"",INDEX(Bank!$B:$B,B1082))</f>
        <v/>
      </c>
      <c r="F1082" s="5" t="str">
        <f aca="false">IF(B1082=0,"",IF(INDEX(Bank!$C:$C,B1082)="","",INDEX(Bank!$C:$C,B1082)))</f>
        <v/>
      </c>
      <c r="G1082" s="19" t="str">
        <f aca="false">IF(B1082=0,"",INDEX(Bank!$E:$E,B1082))</f>
        <v/>
      </c>
      <c r="H1082" s="5" t="str">
        <f aca="false">IF(B1082=0,"",IF(INDEX(Bank!$H:$H,B1082)="","",INDEX(Bank!$H:$H,B1082)))</f>
        <v/>
      </c>
      <c r="I1082" s="5" t="n">
        <f aca="false">IF(H1082="",0,IFERROR(MATCH(H1082,GL!$A:$A,0),0))</f>
        <v>0</v>
      </c>
      <c r="J1082" s="32" t="str">
        <f aca="false">IF(I1082=0,"",INDEX(GL!$B:$B,I1082))</f>
        <v/>
      </c>
      <c r="K1082" s="5" t="str">
        <f aca="false">IF(I1082=0,"",IF(INDEX(GL!$C:$C,I1082)="","",INDEX(GL!$C:$C,I1082)))</f>
        <v/>
      </c>
      <c r="L1082" s="19" t="str">
        <f aca="false">IF(I1082=0,"",INDEX(GL!$E:$E,I1082))</f>
        <v/>
      </c>
      <c r="M1082" s="19" t="str">
        <f aca="false">IF(OR(B1082=0,I1082=0),"",ROUND(G1082-L1082,2))</f>
        <v/>
      </c>
      <c r="N1082" s="5" t="str">
        <f aca="false">IF(A1082="","",IF(B1082=0,"NOT FOUND: bank ID",IF(I1082=0,"NOT FOUND: GL ID",IF(INDEX(GL!$H:$H,I1082)&lt;&gt;A1082,"BROKEN: GL points elsewhere",IF(OR(INDEX(Bank!$F:$F,B1082)&lt;&gt;"Y",INDEX(GL!$F:$F,I1082)&lt;&gt;"Y"),"BROKEN: Status not Y","OK")))))</f>
        <v/>
      </c>
    </row>
    <row r="1083" customFormat="false" ht="15" hidden="false" customHeight="false" outlineLevel="0" collapsed="false">
      <c r="A1083" s="41"/>
      <c r="B1083" s="5" t="n">
        <f aca="false">IF(A1083="",0,IFERROR(MATCH(A1083,Bank!$A:$A,0),0))</f>
        <v>0</v>
      </c>
      <c r="C1083" s="5" t="str">
        <f aca="false">IF(B1083=0,"",IF(INDEX(Bank!$G:$G,B1083)="","",INDEX(Bank!$G:$G,B1083)))</f>
        <v/>
      </c>
      <c r="D1083" s="5" t="str">
        <f aca="false">IF(B1083=0,"",IF(INDEX(Bank!$J:$J,B1083)="","",INDEX(Bank!$J:$J,B1083)))</f>
        <v/>
      </c>
      <c r="E1083" s="32" t="str">
        <f aca="false">IF(B1083=0,"",INDEX(Bank!$B:$B,B1083))</f>
        <v/>
      </c>
      <c r="F1083" s="5" t="str">
        <f aca="false">IF(B1083=0,"",IF(INDEX(Bank!$C:$C,B1083)="","",INDEX(Bank!$C:$C,B1083)))</f>
        <v/>
      </c>
      <c r="G1083" s="19" t="str">
        <f aca="false">IF(B1083=0,"",INDEX(Bank!$E:$E,B1083))</f>
        <v/>
      </c>
      <c r="H1083" s="5" t="str">
        <f aca="false">IF(B1083=0,"",IF(INDEX(Bank!$H:$H,B1083)="","",INDEX(Bank!$H:$H,B1083)))</f>
        <v/>
      </c>
      <c r="I1083" s="5" t="n">
        <f aca="false">IF(H1083="",0,IFERROR(MATCH(H1083,GL!$A:$A,0),0))</f>
        <v>0</v>
      </c>
      <c r="J1083" s="32" t="str">
        <f aca="false">IF(I1083=0,"",INDEX(GL!$B:$B,I1083))</f>
        <v/>
      </c>
      <c r="K1083" s="5" t="str">
        <f aca="false">IF(I1083=0,"",IF(INDEX(GL!$C:$C,I1083)="","",INDEX(GL!$C:$C,I1083)))</f>
        <v/>
      </c>
      <c r="L1083" s="19" t="str">
        <f aca="false">IF(I1083=0,"",INDEX(GL!$E:$E,I1083))</f>
        <v/>
      </c>
      <c r="M1083" s="19" t="str">
        <f aca="false">IF(OR(B1083=0,I1083=0),"",ROUND(G1083-L1083,2))</f>
        <v/>
      </c>
      <c r="N1083" s="5" t="str">
        <f aca="false">IF(A1083="","",IF(B1083=0,"NOT FOUND: bank ID",IF(I1083=0,"NOT FOUND: GL ID",IF(INDEX(GL!$H:$H,I1083)&lt;&gt;A1083,"BROKEN: GL points elsewhere",IF(OR(INDEX(Bank!$F:$F,B1083)&lt;&gt;"Y",INDEX(GL!$F:$F,I1083)&lt;&gt;"Y"),"BROKEN: Status not Y","OK")))))</f>
        <v/>
      </c>
    </row>
    <row r="1084" customFormat="false" ht="15" hidden="false" customHeight="false" outlineLevel="0" collapsed="false">
      <c r="A1084" s="41"/>
      <c r="B1084" s="5" t="n">
        <f aca="false">IF(A1084="",0,IFERROR(MATCH(A1084,Bank!$A:$A,0),0))</f>
        <v>0</v>
      </c>
      <c r="C1084" s="5" t="str">
        <f aca="false">IF(B1084=0,"",IF(INDEX(Bank!$G:$G,B1084)="","",INDEX(Bank!$G:$G,B1084)))</f>
        <v/>
      </c>
      <c r="D1084" s="5" t="str">
        <f aca="false">IF(B1084=0,"",IF(INDEX(Bank!$J:$J,B1084)="","",INDEX(Bank!$J:$J,B1084)))</f>
        <v/>
      </c>
      <c r="E1084" s="32" t="str">
        <f aca="false">IF(B1084=0,"",INDEX(Bank!$B:$B,B1084))</f>
        <v/>
      </c>
      <c r="F1084" s="5" t="str">
        <f aca="false">IF(B1084=0,"",IF(INDEX(Bank!$C:$C,B1084)="","",INDEX(Bank!$C:$C,B1084)))</f>
        <v/>
      </c>
      <c r="G1084" s="19" t="str">
        <f aca="false">IF(B1084=0,"",INDEX(Bank!$E:$E,B1084))</f>
        <v/>
      </c>
      <c r="H1084" s="5" t="str">
        <f aca="false">IF(B1084=0,"",IF(INDEX(Bank!$H:$H,B1084)="","",INDEX(Bank!$H:$H,B1084)))</f>
        <v/>
      </c>
      <c r="I1084" s="5" t="n">
        <f aca="false">IF(H1084="",0,IFERROR(MATCH(H1084,GL!$A:$A,0),0))</f>
        <v>0</v>
      </c>
      <c r="J1084" s="32" t="str">
        <f aca="false">IF(I1084=0,"",INDEX(GL!$B:$B,I1084))</f>
        <v/>
      </c>
      <c r="K1084" s="5" t="str">
        <f aca="false">IF(I1084=0,"",IF(INDEX(GL!$C:$C,I1084)="","",INDEX(GL!$C:$C,I1084)))</f>
        <v/>
      </c>
      <c r="L1084" s="19" t="str">
        <f aca="false">IF(I1084=0,"",INDEX(GL!$E:$E,I1084))</f>
        <v/>
      </c>
      <c r="M1084" s="19" t="str">
        <f aca="false">IF(OR(B1084=0,I1084=0),"",ROUND(G1084-L1084,2))</f>
        <v/>
      </c>
      <c r="N1084" s="5" t="str">
        <f aca="false">IF(A1084="","",IF(B1084=0,"NOT FOUND: bank ID",IF(I1084=0,"NOT FOUND: GL ID",IF(INDEX(GL!$H:$H,I1084)&lt;&gt;A1084,"BROKEN: GL points elsewhere",IF(OR(INDEX(Bank!$F:$F,B1084)&lt;&gt;"Y",INDEX(GL!$F:$F,I1084)&lt;&gt;"Y"),"BROKEN: Status not Y","OK")))))</f>
        <v/>
      </c>
    </row>
    <row r="1085" customFormat="false" ht="15" hidden="false" customHeight="false" outlineLevel="0" collapsed="false">
      <c r="A1085" s="41"/>
      <c r="B1085" s="5" t="n">
        <f aca="false">IF(A1085="",0,IFERROR(MATCH(A1085,Bank!$A:$A,0),0))</f>
        <v>0</v>
      </c>
      <c r="C1085" s="5" t="str">
        <f aca="false">IF(B1085=0,"",IF(INDEX(Bank!$G:$G,B1085)="","",INDEX(Bank!$G:$G,B1085)))</f>
        <v/>
      </c>
      <c r="D1085" s="5" t="str">
        <f aca="false">IF(B1085=0,"",IF(INDEX(Bank!$J:$J,B1085)="","",INDEX(Bank!$J:$J,B1085)))</f>
        <v/>
      </c>
      <c r="E1085" s="32" t="str">
        <f aca="false">IF(B1085=0,"",INDEX(Bank!$B:$B,B1085))</f>
        <v/>
      </c>
      <c r="F1085" s="5" t="str">
        <f aca="false">IF(B1085=0,"",IF(INDEX(Bank!$C:$C,B1085)="","",INDEX(Bank!$C:$C,B1085)))</f>
        <v/>
      </c>
      <c r="G1085" s="19" t="str">
        <f aca="false">IF(B1085=0,"",INDEX(Bank!$E:$E,B1085))</f>
        <v/>
      </c>
      <c r="H1085" s="5" t="str">
        <f aca="false">IF(B1085=0,"",IF(INDEX(Bank!$H:$H,B1085)="","",INDEX(Bank!$H:$H,B1085)))</f>
        <v/>
      </c>
      <c r="I1085" s="5" t="n">
        <f aca="false">IF(H1085="",0,IFERROR(MATCH(H1085,GL!$A:$A,0),0))</f>
        <v>0</v>
      </c>
      <c r="J1085" s="32" t="str">
        <f aca="false">IF(I1085=0,"",INDEX(GL!$B:$B,I1085))</f>
        <v/>
      </c>
      <c r="K1085" s="5" t="str">
        <f aca="false">IF(I1085=0,"",IF(INDEX(GL!$C:$C,I1085)="","",INDEX(GL!$C:$C,I1085)))</f>
        <v/>
      </c>
      <c r="L1085" s="19" t="str">
        <f aca="false">IF(I1085=0,"",INDEX(GL!$E:$E,I1085))</f>
        <v/>
      </c>
      <c r="M1085" s="19" t="str">
        <f aca="false">IF(OR(B1085=0,I1085=0),"",ROUND(G1085-L1085,2))</f>
        <v/>
      </c>
      <c r="N1085" s="5" t="str">
        <f aca="false">IF(A1085="","",IF(B1085=0,"NOT FOUND: bank ID",IF(I1085=0,"NOT FOUND: GL ID",IF(INDEX(GL!$H:$H,I1085)&lt;&gt;A1085,"BROKEN: GL points elsewhere",IF(OR(INDEX(Bank!$F:$F,B1085)&lt;&gt;"Y",INDEX(GL!$F:$F,I1085)&lt;&gt;"Y"),"BROKEN: Status not Y","OK")))))</f>
        <v/>
      </c>
    </row>
    <row r="1086" customFormat="false" ht="15" hidden="false" customHeight="false" outlineLevel="0" collapsed="false">
      <c r="A1086" s="41"/>
      <c r="B1086" s="5" t="n">
        <f aca="false">IF(A1086="",0,IFERROR(MATCH(A1086,Bank!$A:$A,0),0))</f>
        <v>0</v>
      </c>
      <c r="C1086" s="5" t="str">
        <f aca="false">IF(B1086=0,"",IF(INDEX(Bank!$G:$G,B1086)="","",INDEX(Bank!$G:$G,B1086)))</f>
        <v/>
      </c>
      <c r="D1086" s="5" t="str">
        <f aca="false">IF(B1086=0,"",IF(INDEX(Bank!$J:$J,B1086)="","",INDEX(Bank!$J:$J,B1086)))</f>
        <v/>
      </c>
      <c r="E1086" s="32" t="str">
        <f aca="false">IF(B1086=0,"",INDEX(Bank!$B:$B,B1086))</f>
        <v/>
      </c>
      <c r="F1086" s="5" t="str">
        <f aca="false">IF(B1086=0,"",IF(INDEX(Bank!$C:$C,B1086)="","",INDEX(Bank!$C:$C,B1086)))</f>
        <v/>
      </c>
      <c r="G1086" s="19" t="str">
        <f aca="false">IF(B1086=0,"",INDEX(Bank!$E:$E,B1086))</f>
        <v/>
      </c>
      <c r="H1086" s="5" t="str">
        <f aca="false">IF(B1086=0,"",IF(INDEX(Bank!$H:$H,B1086)="","",INDEX(Bank!$H:$H,B1086)))</f>
        <v/>
      </c>
      <c r="I1086" s="5" t="n">
        <f aca="false">IF(H1086="",0,IFERROR(MATCH(H1086,GL!$A:$A,0),0))</f>
        <v>0</v>
      </c>
      <c r="J1086" s="32" t="str">
        <f aca="false">IF(I1086=0,"",INDEX(GL!$B:$B,I1086))</f>
        <v/>
      </c>
      <c r="K1086" s="5" t="str">
        <f aca="false">IF(I1086=0,"",IF(INDEX(GL!$C:$C,I1086)="","",INDEX(GL!$C:$C,I1086)))</f>
        <v/>
      </c>
      <c r="L1086" s="19" t="str">
        <f aca="false">IF(I1086=0,"",INDEX(GL!$E:$E,I1086))</f>
        <v/>
      </c>
      <c r="M1086" s="19" t="str">
        <f aca="false">IF(OR(B1086=0,I1086=0),"",ROUND(G1086-L1086,2))</f>
        <v/>
      </c>
      <c r="N1086" s="5" t="str">
        <f aca="false">IF(A1086="","",IF(B1086=0,"NOT FOUND: bank ID",IF(I1086=0,"NOT FOUND: GL ID",IF(INDEX(GL!$H:$H,I1086)&lt;&gt;A1086,"BROKEN: GL points elsewhere",IF(OR(INDEX(Bank!$F:$F,B1086)&lt;&gt;"Y",INDEX(GL!$F:$F,I1086)&lt;&gt;"Y"),"BROKEN: Status not Y","OK")))))</f>
        <v/>
      </c>
    </row>
    <row r="1087" customFormat="false" ht="15" hidden="false" customHeight="false" outlineLevel="0" collapsed="false">
      <c r="A1087" s="41"/>
      <c r="B1087" s="5" t="n">
        <f aca="false">IF(A1087="",0,IFERROR(MATCH(A1087,Bank!$A:$A,0),0))</f>
        <v>0</v>
      </c>
      <c r="C1087" s="5" t="str">
        <f aca="false">IF(B1087=0,"",IF(INDEX(Bank!$G:$G,B1087)="","",INDEX(Bank!$G:$G,B1087)))</f>
        <v/>
      </c>
      <c r="D1087" s="5" t="str">
        <f aca="false">IF(B1087=0,"",IF(INDEX(Bank!$J:$J,B1087)="","",INDEX(Bank!$J:$J,B1087)))</f>
        <v/>
      </c>
      <c r="E1087" s="32" t="str">
        <f aca="false">IF(B1087=0,"",INDEX(Bank!$B:$B,B1087))</f>
        <v/>
      </c>
      <c r="F1087" s="5" t="str">
        <f aca="false">IF(B1087=0,"",IF(INDEX(Bank!$C:$C,B1087)="","",INDEX(Bank!$C:$C,B1087)))</f>
        <v/>
      </c>
      <c r="G1087" s="19" t="str">
        <f aca="false">IF(B1087=0,"",INDEX(Bank!$E:$E,B1087))</f>
        <v/>
      </c>
      <c r="H1087" s="5" t="str">
        <f aca="false">IF(B1087=0,"",IF(INDEX(Bank!$H:$H,B1087)="","",INDEX(Bank!$H:$H,B1087)))</f>
        <v/>
      </c>
      <c r="I1087" s="5" t="n">
        <f aca="false">IF(H1087="",0,IFERROR(MATCH(H1087,GL!$A:$A,0),0))</f>
        <v>0</v>
      </c>
      <c r="J1087" s="32" t="str">
        <f aca="false">IF(I1087=0,"",INDEX(GL!$B:$B,I1087))</f>
        <v/>
      </c>
      <c r="K1087" s="5" t="str">
        <f aca="false">IF(I1087=0,"",IF(INDEX(GL!$C:$C,I1087)="","",INDEX(GL!$C:$C,I1087)))</f>
        <v/>
      </c>
      <c r="L1087" s="19" t="str">
        <f aca="false">IF(I1087=0,"",INDEX(GL!$E:$E,I1087))</f>
        <v/>
      </c>
      <c r="M1087" s="19" t="str">
        <f aca="false">IF(OR(B1087=0,I1087=0),"",ROUND(G1087-L1087,2))</f>
        <v/>
      </c>
      <c r="N1087" s="5" t="str">
        <f aca="false">IF(A1087="","",IF(B1087=0,"NOT FOUND: bank ID",IF(I1087=0,"NOT FOUND: GL ID",IF(INDEX(GL!$H:$H,I1087)&lt;&gt;A1087,"BROKEN: GL points elsewhere",IF(OR(INDEX(Bank!$F:$F,B1087)&lt;&gt;"Y",INDEX(GL!$F:$F,I1087)&lt;&gt;"Y"),"BROKEN: Status not Y","OK")))))</f>
        <v/>
      </c>
    </row>
    <row r="1088" customFormat="false" ht="15" hidden="false" customHeight="false" outlineLevel="0" collapsed="false">
      <c r="A1088" s="41"/>
      <c r="B1088" s="5" t="n">
        <f aca="false">IF(A1088="",0,IFERROR(MATCH(A1088,Bank!$A:$A,0),0))</f>
        <v>0</v>
      </c>
      <c r="C1088" s="5" t="str">
        <f aca="false">IF(B1088=0,"",IF(INDEX(Bank!$G:$G,B1088)="","",INDEX(Bank!$G:$G,B1088)))</f>
        <v/>
      </c>
      <c r="D1088" s="5" t="str">
        <f aca="false">IF(B1088=0,"",IF(INDEX(Bank!$J:$J,B1088)="","",INDEX(Bank!$J:$J,B1088)))</f>
        <v/>
      </c>
      <c r="E1088" s="32" t="str">
        <f aca="false">IF(B1088=0,"",INDEX(Bank!$B:$B,B1088))</f>
        <v/>
      </c>
      <c r="F1088" s="5" t="str">
        <f aca="false">IF(B1088=0,"",IF(INDEX(Bank!$C:$C,B1088)="","",INDEX(Bank!$C:$C,B1088)))</f>
        <v/>
      </c>
      <c r="G1088" s="19" t="str">
        <f aca="false">IF(B1088=0,"",INDEX(Bank!$E:$E,B1088))</f>
        <v/>
      </c>
      <c r="H1088" s="5" t="str">
        <f aca="false">IF(B1088=0,"",IF(INDEX(Bank!$H:$H,B1088)="","",INDEX(Bank!$H:$H,B1088)))</f>
        <v/>
      </c>
      <c r="I1088" s="5" t="n">
        <f aca="false">IF(H1088="",0,IFERROR(MATCH(H1088,GL!$A:$A,0),0))</f>
        <v>0</v>
      </c>
      <c r="J1088" s="32" t="str">
        <f aca="false">IF(I1088=0,"",INDEX(GL!$B:$B,I1088))</f>
        <v/>
      </c>
      <c r="K1088" s="5" t="str">
        <f aca="false">IF(I1088=0,"",IF(INDEX(GL!$C:$C,I1088)="","",INDEX(GL!$C:$C,I1088)))</f>
        <v/>
      </c>
      <c r="L1088" s="19" t="str">
        <f aca="false">IF(I1088=0,"",INDEX(GL!$E:$E,I1088))</f>
        <v/>
      </c>
      <c r="M1088" s="19" t="str">
        <f aca="false">IF(OR(B1088=0,I1088=0),"",ROUND(G1088-L1088,2))</f>
        <v/>
      </c>
      <c r="N1088" s="5" t="str">
        <f aca="false">IF(A1088="","",IF(B1088=0,"NOT FOUND: bank ID",IF(I1088=0,"NOT FOUND: GL ID",IF(INDEX(GL!$H:$H,I1088)&lt;&gt;A1088,"BROKEN: GL points elsewhere",IF(OR(INDEX(Bank!$F:$F,B1088)&lt;&gt;"Y",INDEX(GL!$F:$F,I1088)&lt;&gt;"Y"),"BROKEN: Status not Y","OK")))))</f>
        <v/>
      </c>
    </row>
    <row r="1089" customFormat="false" ht="15" hidden="false" customHeight="false" outlineLevel="0" collapsed="false">
      <c r="A1089" s="41"/>
      <c r="B1089" s="5" t="n">
        <f aca="false">IF(A1089="",0,IFERROR(MATCH(A1089,Bank!$A:$A,0),0))</f>
        <v>0</v>
      </c>
      <c r="C1089" s="5" t="str">
        <f aca="false">IF(B1089=0,"",IF(INDEX(Bank!$G:$G,B1089)="","",INDEX(Bank!$G:$G,B1089)))</f>
        <v/>
      </c>
      <c r="D1089" s="5" t="str">
        <f aca="false">IF(B1089=0,"",IF(INDEX(Bank!$J:$J,B1089)="","",INDEX(Bank!$J:$J,B1089)))</f>
        <v/>
      </c>
      <c r="E1089" s="32" t="str">
        <f aca="false">IF(B1089=0,"",INDEX(Bank!$B:$B,B1089))</f>
        <v/>
      </c>
      <c r="F1089" s="5" t="str">
        <f aca="false">IF(B1089=0,"",IF(INDEX(Bank!$C:$C,B1089)="","",INDEX(Bank!$C:$C,B1089)))</f>
        <v/>
      </c>
      <c r="G1089" s="19" t="str">
        <f aca="false">IF(B1089=0,"",INDEX(Bank!$E:$E,B1089))</f>
        <v/>
      </c>
      <c r="H1089" s="5" t="str">
        <f aca="false">IF(B1089=0,"",IF(INDEX(Bank!$H:$H,B1089)="","",INDEX(Bank!$H:$H,B1089)))</f>
        <v/>
      </c>
      <c r="I1089" s="5" t="n">
        <f aca="false">IF(H1089="",0,IFERROR(MATCH(H1089,GL!$A:$A,0),0))</f>
        <v>0</v>
      </c>
      <c r="J1089" s="32" t="str">
        <f aca="false">IF(I1089=0,"",INDEX(GL!$B:$B,I1089))</f>
        <v/>
      </c>
      <c r="K1089" s="5" t="str">
        <f aca="false">IF(I1089=0,"",IF(INDEX(GL!$C:$C,I1089)="","",INDEX(GL!$C:$C,I1089)))</f>
        <v/>
      </c>
      <c r="L1089" s="19" t="str">
        <f aca="false">IF(I1089=0,"",INDEX(GL!$E:$E,I1089))</f>
        <v/>
      </c>
      <c r="M1089" s="19" t="str">
        <f aca="false">IF(OR(B1089=0,I1089=0),"",ROUND(G1089-L1089,2))</f>
        <v/>
      </c>
      <c r="N1089" s="5" t="str">
        <f aca="false">IF(A1089="","",IF(B1089=0,"NOT FOUND: bank ID",IF(I1089=0,"NOT FOUND: GL ID",IF(INDEX(GL!$H:$H,I1089)&lt;&gt;A1089,"BROKEN: GL points elsewhere",IF(OR(INDEX(Bank!$F:$F,B1089)&lt;&gt;"Y",INDEX(GL!$F:$F,I1089)&lt;&gt;"Y"),"BROKEN: Status not Y","OK")))))</f>
        <v/>
      </c>
    </row>
    <row r="1090" customFormat="false" ht="15" hidden="false" customHeight="false" outlineLevel="0" collapsed="false">
      <c r="A1090" s="41"/>
      <c r="B1090" s="5" t="n">
        <f aca="false">IF(A1090="",0,IFERROR(MATCH(A1090,Bank!$A:$A,0),0))</f>
        <v>0</v>
      </c>
      <c r="C1090" s="5" t="str">
        <f aca="false">IF(B1090=0,"",IF(INDEX(Bank!$G:$G,B1090)="","",INDEX(Bank!$G:$G,B1090)))</f>
        <v/>
      </c>
      <c r="D1090" s="5" t="str">
        <f aca="false">IF(B1090=0,"",IF(INDEX(Bank!$J:$J,B1090)="","",INDEX(Bank!$J:$J,B1090)))</f>
        <v/>
      </c>
      <c r="E1090" s="32" t="str">
        <f aca="false">IF(B1090=0,"",INDEX(Bank!$B:$B,B1090))</f>
        <v/>
      </c>
      <c r="F1090" s="5" t="str">
        <f aca="false">IF(B1090=0,"",IF(INDEX(Bank!$C:$C,B1090)="","",INDEX(Bank!$C:$C,B1090)))</f>
        <v/>
      </c>
      <c r="G1090" s="19" t="str">
        <f aca="false">IF(B1090=0,"",INDEX(Bank!$E:$E,B1090))</f>
        <v/>
      </c>
      <c r="H1090" s="5" t="str">
        <f aca="false">IF(B1090=0,"",IF(INDEX(Bank!$H:$H,B1090)="","",INDEX(Bank!$H:$H,B1090)))</f>
        <v/>
      </c>
      <c r="I1090" s="5" t="n">
        <f aca="false">IF(H1090="",0,IFERROR(MATCH(H1090,GL!$A:$A,0),0))</f>
        <v>0</v>
      </c>
      <c r="J1090" s="32" t="str">
        <f aca="false">IF(I1090=0,"",INDEX(GL!$B:$B,I1090))</f>
        <v/>
      </c>
      <c r="K1090" s="5" t="str">
        <f aca="false">IF(I1090=0,"",IF(INDEX(GL!$C:$C,I1090)="","",INDEX(GL!$C:$C,I1090)))</f>
        <v/>
      </c>
      <c r="L1090" s="19" t="str">
        <f aca="false">IF(I1090=0,"",INDEX(GL!$E:$E,I1090))</f>
        <v/>
      </c>
      <c r="M1090" s="19" t="str">
        <f aca="false">IF(OR(B1090=0,I1090=0),"",ROUND(G1090-L1090,2))</f>
        <v/>
      </c>
      <c r="N1090" s="5" t="str">
        <f aca="false">IF(A1090="","",IF(B1090=0,"NOT FOUND: bank ID",IF(I1090=0,"NOT FOUND: GL ID",IF(INDEX(GL!$H:$H,I1090)&lt;&gt;A1090,"BROKEN: GL points elsewhere",IF(OR(INDEX(Bank!$F:$F,B1090)&lt;&gt;"Y",INDEX(GL!$F:$F,I1090)&lt;&gt;"Y"),"BROKEN: Status not Y","OK")))))</f>
        <v/>
      </c>
    </row>
    <row r="1091" customFormat="false" ht="15" hidden="false" customHeight="false" outlineLevel="0" collapsed="false">
      <c r="A1091" s="41"/>
      <c r="B1091" s="5" t="n">
        <f aca="false">IF(A1091="",0,IFERROR(MATCH(A1091,Bank!$A:$A,0),0))</f>
        <v>0</v>
      </c>
      <c r="C1091" s="5" t="str">
        <f aca="false">IF(B1091=0,"",IF(INDEX(Bank!$G:$G,B1091)="","",INDEX(Bank!$G:$G,B1091)))</f>
        <v/>
      </c>
      <c r="D1091" s="5" t="str">
        <f aca="false">IF(B1091=0,"",IF(INDEX(Bank!$J:$J,B1091)="","",INDEX(Bank!$J:$J,B1091)))</f>
        <v/>
      </c>
      <c r="E1091" s="32" t="str">
        <f aca="false">IF(B1091=0,"",INDEX(Bank!$B:$B,B1091))</f>
        <v/>
      </c>
      <c r="F1091" s="5" t="str">
        <f aca="false">IF(B1091=0,"",IF(INDEX(Bank!$C:$C,B1091)="","",INDEX(Bank!$C:$C,B1091)))</f>
        <v/>
      </c>
      <c r="G1091" s="19" t="str">
        <f aca="false">IF(B1091=0,"",INDEX(Bank!$E:$E,B1091))</f>
        <v/>
      </c>
      <c r="H1091" s="5" t="str">
        <f aca="false">IF(B1091=0,"",IF(INDEX(Bank!$H:$H,B1091)="","",INDEX(Bank!$H:$H,B1091)))</f>
        <v/>
      </c>
      <c r="I1091" s="5" t="n">
        <f aca="false">IF(H1091="",0,IFERROR(MATCH(H1091,GL!$A:$A,0),0))</f>
        <v>0</v>
      </c>
      <c r="J1091" s="32" t="str">
        <f aca="false">IF(I1091=0,"",INDEX(GL!$B:$B,I1091))</f>
        <v/>
      </c>
      <c r="K1091" s="5" t="str">
        <f aca="false">IF(I1091=0,"",IF(INDEX(GL!$C:$C,I1091)="","",INDEX(GL!$C:$C,I1091)))</f>
        <v/>
      </c>
      <c r="L1091" s="19" t="str">
        <f aca="false">IF(I1091=0,"",INDEX(GL!$E:$E,I1091))</f>
        <v/>
      </c>
      <c r="M1091" s="19" t="str">
        <f aca="false">IF(OR(B1091=0,I1091=0),"",ROUND(G1091-L1091,2))</f>
        <v/>
      </c>
      <c r="N1091" s="5" t="str">
        <f aca="false">IF(A1091="","",IF(B1091=0,"NOT FOUND: bank ID",IF(I1091=0,"NOT FOUND: GL ID",IF(INDEX(GL!$H:$H,I1091)&lt;&gt;A1091,"BROKEN: GL points elsewhere",IF(OR(INDEX(Bank!$F:$F,B1091)&lt;&gt;"Y",INDEX(GL!$F:$F,I1091)&lt;&gt;"Y"),"BROKEN: Status not Y","OK")))))</f>
        <v/>
      </c>
    </row>
    <row r="1092" customFormat="false" ht="15" hidden="false" customHeight="false" outlineLevel="0" collapsed="false">
      <c r="A1092" s="41"/>
      <c r="B1092" s="5" t="n">
        <f aca="false">IF(A1092="",0,IFERROR(MATCH(A1092,Bank!$A:$A,0),0))</f>
        <v>0</v>
      </c>
      <c r="C1092" s="5" t="str">
        <f aca="false">IF(B1092=0,"",IF(INDEX(Bank!$G:$G,B1092)="","",INDEX(Bank!$G:$G,B1092)))</f>
        <v/>
      </c>
      <c r="D1092" s="5" t="str">
        <f aca="false">IF(B1092=0,"",IF(INDEX(Bank!$J:$J,B1092)="","",INDEX(Bank!$J:$J,B1092)))</f>
        <v/>
      </c>
      <c r="E1092" s="32" t="str">
        <f aca="false">IF(B1092=0,"",INDEX(Bank!$B:$B,B1092))</f>
        <v/>
      </c>
      <c r="F1092" s="5" t="str">
        <f aca="false">IF(B1092=0,"",IF(INDEX(Bank!$C:$C,B1092)="","",INDEX(Bank!$C:$C,B1092)))</f>
        <v/>
      </c>
      <c r="G1092" s="19" t="str">
        <f aca="false">IF(B1092=0,"",INDEX(Bank!$E:$E,B1092))</f>
        <v/>
      </c>
      <c r="H1092" s="5" t="str">
        <f aca="false">IF(B1092=0,"",IF(INDEX(Bank!$H:$H,B1092)="","",INDEX(Bank!$H:$H,B1092)))</f>
        <v/>
      </c>
      <c r="I1092" s="5" t="n">
        <f aca="false">IF(H1092="",0,IFERROR(MATCH(H1092,GL!$A:$A,0),0))</f>
        <v>0</v>
      </c>
      <c r="J1092" s="32" t="str">
        <f aca="false">IF(I1092=0,"",INDEX(GL!$B:$B,I1092))</f>
        <v/>
      </c>
      <c r="K1092" s="5" t="str">
        <f aca="false">IF(I1092=0,"",IF(INDEX(GL!$C:$C,I1092)="","",INDEX(GL!$C:$C,I1092)))</f>
        <v/>
      </c>
      <c r="L1092" s="19" t="str">
        <f aca="false">IF(I1092=0,"",INDEX(GL!$E:$E,I1092))</f>
        <v/>
      </c>
      <c r="M1092" s="19" t="str">
        <f aca="false">IF(OR(B1092=0,I1092=0),"",ROUND(G1092-L1092,2))</f>
        <v/>
      </c>
      <c r="N1092" s="5" t="str">
        <f aca="false">IF(A1092="","",IF(B1092=0,"NOT FOUND: bank ID",IF(I1092=0,"NOT FOUND: GL ID",IF(INDEX(GL!$H:$H,I1092)&lt;&gt;A1092,"BROKEN: GL points elsewhere",IF(OR(INDEX(Bank!$F:$F,B1092)&lt;&gt;"Y",INDEX(GL!$F:$F,I1092)&lt;&gt;"Y"),"BROKEN: Status not Y","OK")))))</f>
        <v/>
      </c>
    </row>
    <row r="1093" customFormat="false" ht="15" hidden="false" customHeight="false" outlineLevel="0" collapsed="false">
      <c r="A1093" s="41"/>
      <c r="B1093" s="5" t="n">
        <f aca="false">IF(A1093="",0,IFERROR(MATCH(A1093,Bank!$A:$A,0),0))</f>
        <v>0</v>
      </c>
      <c r="C1093" s="5" t="str">
        <f aca="false">IF(B1093=0,"",IF(INDEX(Bank!$G:$G,B1093)="","",INDEX(Bank!$G:$G,B1093)))</f>
        <v/>
      </c>
      <c r="D1093" s="5" t="str">
        <f aca="false">IF(B1093=0,"",IF(INDEX(Bank!$J:$J,B1093)="","",INDEX(Bank!$J:$J,B1093)))</f>
        <v/>
      </c>
      <c r="E1093" s="32" t="str">
        <f aca="false">IF(B1093=0,"",INDEX(Bank!$B:$B,B1093))</f>
        <v/>
      </c>
      <c r="F1093" s="5" t="str">
        <f aca="false">IF(B1093=0,"",IF(INDEX(Bank!$C:$C,B1093)="","",INDEX(Bank!$C:$C,B1093)))</f>
        <v/>
      </c>
      <c r="G1093" s="19" t="str">
        <f aca="false">IF(B1093=0,"",INDEX(Bank!$E:$E,B1093))</f>
        <v/>
      </c>
      <c r="H1093" s="5" t="str">
        <f aca="false">IF(B1093=0,"",IF(INDEX(Bank!$H:$H,B1093)="","",INDEX(Bank!$H:$H,B1093)))</f>
        <v/>
      </c>
      <c r="I1093" s="5" t="n">
        <f aca="false">IF(H1093="",0,IFERROR(MATCH(H1093,GL!$A:$A,0),0))</f>
        <v>0</v>
      </c>
      <c r="J1093" s="32" t="str">
        <f aca="false">IF(I1093=0,"",INDEX(GL!$B:$B,I1093))</f>
        <v/>
      </c>
      <c r="K1093" s="5" t="str">
        <f aca="false">IF(I1093=0,"",IF(INDEX(GL!$C:$C,I1093)="","",INDEX(GL!$C:$C,I1093)))</f>
        <v/>
      </c>
      <c r="L1093" s="19" t="str">
        <f aca="false">IF(I1093=0,"",INDEX(GL!$E:$E,I1093))</f>
        <v/>
      </c>
      <c r="M1093" s="19" t="str">
        <f aca="false">IF(OR(B1093=0,I1093=0),"",ROUND(G1093-L1093,2))</f>
        <v/>
      </c>
      <c r="N1093" s="5" t="str">
        <f aca="false">IF(A1093="","",IF(B1093=0,"NOT FOUND: bank ID",IF(I1093=0,"NOT FOUND: GL ID",IF(INDEX(GL!$H:$H,I1093)&lt;&gt;A1093,"BROKEN: GL points elsewhere",IF(OR(INDEX(Bank!$F:$F,B1093)&lt;&gt;"Y",INDEX(GL!$F:$F,I1093)&lt;&gt;"Y"),"BROKEN: Status not Y","OK")))))</f>
        <v/>
      </c>
    </row>
    <row r="1094" customFormat="false" ht="15" hidden="false" customHeight="false" outlineLevel="0" collapsed="false">
      <c r="A1094" s="41"/>
      <c r="B1094" s="5" t="n">
        <f aca="false">IF(A1094="",0,IFERROR(MATCH(A1094,Bank!$A:$A,0),0))</f>
        <v>0</v>
      </c>
      <c r="C1094" s="5" t="str">
        <f aca="false">IF(B1094=0,"",IF(INDEX(Bank!$G:$G,B1094)="","",INDEX(Bank!$G:$G,B1094)))</f>
        <v/>
      </c>
      <c r="D1094" s="5" t="str">
        <f aca="false">IF(B1094=0,"",IF(INDEX(Bank!$J:$J,B1094)="","",INDEX(Bank!$J:$J,B1094)))</f>
        <v/>
      </c>
      <c r="E1094" s="32" t="str">
        <f aca="false">IF(B1094=0,"",INDEX(Bank!$B:$B,B1094))</f>
        <v/>
      </c>
      <c r="F1094" s="5" t="str">
        <f aca="false">IF(B1094=0,"",IF(INDEX(Bank!$C:$C,B1094)="","",INDEX(Bank!$C:$C,B1094)))</f>
        <v/>
      </c>
      <c r="G1094" s="19" t="str">
        <f aca="false">IF(B1094=0,"",INDEX(Bank!$E:$E,B1094))</f>
        <v/>
      </c>
      <c r="H1094" s="5" t="str">
        <f aca="false">IF(B1094=0,"",IF(INDEX(Bank!$H:$H,B1094)="","",INDEX(Bank!$H:$H,B1094)))</f>
        <v/>
      </c>
      <c r="I1094" s="5" t="n">
        <f aca="false">IF(H1094="",0,IFERROR(MATCH(H1094,GL!$A:$A,0),0))</f>
        <v>0</v>
      </c>
      <c r="J1094" s="32" t="str">
        <f aca="false">IF(I1094=0,"",INDEX(GL!$B:$B,I1094))</f>
        <v/>
      </c>
      <c r="K1094" s="5" t="str">
        <f aca="false">IF(I1094=0,"",IF(INDEX(GL!$C:$C,I1094)="","",INDEX(GL!$C:$C,I1094)))</f>
        <v/>
      </c>
      <c r="L1094" s="19" t="str">
        <f aca="false">IF(I1094=0,"",INDEX(GL!$E:$E,I1094))</f>
        <v/>
      </c>
      <c r="M1094" s="19" t="str">
        <f aca="false">IF(OR(B1094=0,I1094=0),"",ROUND(G1094-L1094,2))</f>
        <v/>
      </c>
      <c r="N1094" s="5" t="str">
        <f aca="false">IF(A1094="","",IF(B1094=0,"NOT FOUND: bank ID",IF(I1094=0,"NOT FOUND: GL ID",IF(INDEX(GL!$H:$H,I1094)&lt;&gt;A1094,"BROKEN: GL points elsewhere",IF(OR(INDEX(Bank!$F:$F,B1094)&lt;&gt;"Y",INDEX(GL!$F:$F,I1094)&lt;&gt;"Y"),"BROKEN: Status not Y","OK")))))</f>
        <v/>
      </c>
    </row>
    <row r="1095" customFormat="false" ht="15" hidden="false" customHeight="false" outlineLevel="0" collapsed="false">
      <c r="A1095" s="41"/>
      <c r="B1095" s="5" t="n">
        <f aca="false">IF(A1095="",0,IFERROR(MATCH(A1095,Bank!$A:$A,0),0))</f>
        <v>0</v>
      </c>
      <c r="C1095" s="5" t="str">
        <f aca="false">IF(B1095=0,"",IF(INDEX(Bank!$G:$G,B1095)="","",INDEX(Bank!$G:$G,B1095)))</f>
        <v/>
      </c>
      <c r="D1095" s="5" t="str">
        <f aca="false">IF(B1095=0,"",IF(INDEX(Bank!$J:$J,B1095)="","",INDEX(Bank!$J:$J,B1095)))</f>
        <v/>
      </c>
      <c r="E1095" s="32" t="str">
        <f aca="false">IF(B1095=0,"",INDEX(Bank!$B:$B,B1095))</f>
        <v/>
      </c>
      <c r="F1095" s="5" t="str">
        <f aca="false">IF(B1095=0,"",IF(INDEX(Bank!$C:$C,B1095)="","",INDEX(Bank!$C:$C,B1095)))</f>
        <v/>
      </c>
      <c r="G1095" s="19" t="str">
        <f aca="false">IF(B1095=0,"",INDEX(Bank!$E:$E,B1095))</f>
        <v/>
      </c>
      <c r="H1095" s="5" t="str">
        <f aca="false">IF(B1095=0,"",IF(INDEX(Bank!$H:$H,B1095)="","",INDEX(Bank!$H:$H,B1095)))</f>
        <v/>
      </c>
      <c r="I1095" s="5" t="n">
        <f aca="false">IF(H1095="",0,IFERROR(MATCH(H1095,GL!$A:$A,0),0))</f>
        <v>0</v>
      </c>
      <c r="J1095" s="32" t="str">
        <f aca="false">IF(I1095=0,"",INDEX(GL!$B:$B,I1095))</f>
        <v/>
      </c>
      <c r="K1095" s="5" t="str">
        <f aca="false">IF(I1095=0,"",IF(INDEX(GL!$C:$C,I1095)="","",INDEX(GL!$C:$C,I1095)))</f>
        <v/>
      </c>
      <c r="L1095" s="19" t="str">
        <f aca="false">IF(I1095=0,"",INDEX(GL!$E:$E,I1095))</f>
        <v/>
      </c>
      <c r="M1095" s="19" t="str">
        <f aca="false">IF(OR(B1095=0,I1095=0),"",ROUND(G1095-L1095,2))</f>
        <v/>
      </c>
      <c r="N1095" s="5" t="str">
        <f aca="false">IF(A1095="","",IF(B1095=0,"NOT FOUND: bank ID",IF(I1095=0,"NOT FOUND: GL ID",IF(INDEX(GL!$H:$H,I1095)&lt;&gt;A1095,"BROKEN: GL points elsewhere",IF(OR(INDEX(Bank!$F:$F,B1095)&lt;&gt;"Y",INDEX(GL!$F:$F,I1095)&lt;&gt;"Y"),"BROKEN: Status not Y","OK")))))</f>
        <v/>
      </c>
    </row>
    <row r="1096" customFormat="false" ht="15" hidden="false" customHeight="false" outlineLevel="0" collapsed="false">
      <c r="A1096" s="41"/>
      <c r="B1096" s="5" t="n">
        <f aca="false">IF(A1096="",0,IFERROR(MATCH(A1096,Bank!$A:$A,0),0))</f>
        <v>0</v>
      </c>
      <c r="C1096" s="5" t="str">
        <f aca="false">IF(B1096=0,"",IF(INDEX(Bank!$G:$G,B1096)="","",INDEX(Bank!$G:$G,B1096)))</f>
        <v/>
      </c>
      <c r="D1096" s="5" t="str">
        <f aca="false">IF(B1096=0,"",IF(INDEX(Bank!$J:$J,B1096)="","",INDEX(Bank!$J:$J,B1096)))</f>
        <v/>
      </c>
      <c r="E1096" s="32" t="str">
        <f aca="false">IF(B1096=0,"",INDEX(Bank!$B:$B,B1096))</f>
        <v/>
      </c>
      <c r="F1096" s="5" t="str">
        <f aca="false">IF(B1096=0,"",IF(INDEX(Bank!$C:$C,B1096)="","",INDEX(Bank!$C:$C,B1096)))</f>
        <v/>
      </c>
      <c r="G1096" s="19" t="str">
        <f aca="false">IF(B1096=0,"",INDEX(Bank!$E:$E,B1096))</f>
        <v/>
      </c>
      <c r="H1096" s="5" t="str">
        <f aca="false">IF(B1096=0,"",IF(INDEX(Bank!$H:$H,B1096)="","",INDEX(Bank!$H:$H,B1096)))</f>
        <v/>
      </c>
      <c r="I1096" s="5" t="n">
        <f aca="false">IF(H1096="",0,IFERROR(MATCH(H1096,GL!$A:$A,0),0))</f>
        <v>0</v>
      </c>
      <c r="J1096" s="32" t="str">
        <f aca="false">IF(I1096=0,"",INDEX(GL!$B:$B,I1096))</f>
        <v/>
      </c>
      <c r="K1096" s="5" t="str">
        <f aca="false">IF(I1096=0,"",IF(INDEX(GL!$C:$C,I1096)="","",INDEX(GL!$C:$C,I1096)))</f>
        <v/>
      </c>
      <c r="L1096" s="19" t="str">
        <f aca="false">IF(I1096=0,"",INDEX(GL!$E:$E,I1096))</f>
        <v/>
      </c>
      <c r="M1096" s="19" t="str">
        <f aca="false">IF(OR(B1096=0,I1096=0),"",ROUND(G1096-L1096,2))</f>
        <v/>
      </c>
      <c r="N1096" s="5" t="str">
        <f aca="false">IF(A1096="","",IF(B1096=0,"NOT FOUND: bank ID",IF(I1096=0,"NOT FOUND: GL ID",IF(INDEX(GL!$H:$H,I1096)&lt;&gt;A1096,"BROKEN: GL points elsewhere",IF(OR(INDEX(Bank!$F:$F,B1096)&lt;&gt;"Y",INDEX(GL!$F:$F,I1096)&lt;&gt;"Y"),"BROKEN: Status not Y","OK")))))</f>
        <v/>
      </c>
    </row>
    <row r="1097" customFormat="false" ht="15" hidden="false" customHeight="false" outlineLevel="0" collapsed="false">
      <c r="A1097" s="41"/>
      <c r="B1097" s="5" t="n">
        <f aca="false">IF(A1097="",0,IFERROR(MATCH(A1097,Bank!$A:$A,0),0))</f>
        <v>0</v>
      </c>
      <c r="C1097" s="5" t="str">
        <f aca="false">IF(B1097=0,"",IF(INDEX(Bank!$G:$G,B1097)="","",INDEX(Bank!$G:$G,B1097)))</f>
        <v/>
      </c>
      <c r="D1097" s="5" t="str">
        <f aca="false">IF(B1097=0,"",IF(INDEX(Bank!$J:$J,B1097)="","",INDEX(Bank!$J:$J,B1097)))</f>
        <v/>
      </c>
      <c r="E1097" s="32" t="str">
        <f aca="false">IF(B1097=0,"",INDEX(Bank!$B:$B,B1097))</f>
        <v/>
      </c>
      <c r="F1097" s="5" t="str">
        <f aca="false">IF(B1097=0,"",IF(INDEX(Bank!$C:$C,B1097)="","",INDEX(Bank!$C:$C,B1097)))</f>
        <v/>
      </c>
      <c r="G1097" s="19" t="str">
        <f aca="false">IF(B1097=0,"",INDEX(Bank!$E:$E,B1097))</f>
        <v/>
      </c>
      <c r="H1097" s="5" t="str">
        <f aca="false">IF(B1097=0,"",IF(INDEX(Bank!$H:$H,B1097)="","",INDEX(Bank!$H:$H,B1097)))</f>
        <v/>
      </c>
      <c r="I1097" s="5" t="n">
        <f aca="false">IF(H1097="",0,IFERROR(MATCH(H1097,GL!$A:$A,0),0))</f>
        <v>0</v>
      </c>
      <c r="J1097" s="32" t="str">
        <f aca="false">IF(I1097=0,"",INDEX(GL!$B:$B,I1097))</f>
        <v/>
      </c>
      <c r="K1097" s="5" t="str">
        <f aca="false">IF(I1097=0,"",IF(INDEX(GL!$C:$C,I1097)="","",INDEX(GL!$C:$C,I1097)))</f>
        <v/>
      </c>
      <c r="L1097" s="19" t="str">
        <f aca="false">IF(I1097=0,"",INDEX(GL!$E:$E,I1097))</f>
        <v/>
      </c>
      <c r="M1097" s="19" t="str">
        <f aca="false">IF(OR(B1097=0,I1097=0),"",ROUND(G1097-L1097,2))</f>
        <v/>
      </c>
      <c r="N1097" s="5" t="str">
        <f aca="false">IF(A1097="","",IF(B1097=0,"NOT FOUND: bank ID",IF(I1097=0,"NOT FOUND: GL ID",IF(INDEX(GL!$H:$H,I1097)&lt;&gt;A1097,"BROKEN: GL points elsewhere",IF(OR(INDEX(Bank!$F:$F,B1097)&lt;&gt;"Y",INDEX(GL!$F:$F,I1097)&lt;&gt;"Y"),"BROKEN: Status not Y","OK")))))</f>
        <v/>
      </c>
    </row>
    <row r="1098" customFormat="false" ht="15" hidden="false" customHeight="false" outlineLevel="0" collapsed="false">
      <c r="A1098" s="41"/>
      <c r="B1098" s="5" t="n">
        <f aca="false">IF(A1098="",0,IFERROR(MATCH(A1098,Bank!$A:$A,0),0))</f>
        <v>0</v>
      </c>
      <c r="C1098" s="5" t="str">
        <f aca="false">IF(B1098=0,"",IF(INDEX(Bank!$G:$G,B1098)="","",INDEX(Bank!$G:$G,B1098)))</f>
        <v/>
      </c>
      <c r="D1098" s="5" t="str">
        <f aca="false">IF(B1098=0,"",IF(INDEX(Bank!$J:$J,B1098)="","",INDEX(Bank!$J:$J,B1098)))</f>
        <v/>
      </c>
      <c r="E1098" s="32" t="str">
        <f aca="false">IF(B1098=0,"",INDEX(Bank!$B:$B,B1098))</f>
        <v/>
      </c>
      <c r="F1098" s="5" t="str">
        <f aca="false">IF(B1098=0,"",IF(INDEX(Bank!$C:$C,B1098)="","",INDEX(Bank!$C:$C,B1098)))</f>
        <v/>
      </c>
      <c r="G1098" s="19" t="str">
        <f aca="false">IF(B1098=0,"",INDEX(Bank!$E:$E,B1098))</f>
        <v/>
      </c>
      <c r="H1098" s="5" t="str">
        <f aca="false">IF(B1098=0,"",IF(INDEX(Bank!$H:$H,B1098)="","",INDEX(Bank!$H:$H,B1098)))</f>
        <v/>
      </c>
      <c r="I1098" s="5" t="n">
        <f aca="false">IF(H1098="",0,IFERROR(MATCH(H1098,GL!$A:$A,0),0))</f>
        <v>0</v>
      </c>
      <c r="J1098" s="32" t="str">
        <f aca="false">IF(I1098=0,"",INDEX(GL!$B:$B,I1098))</f>
        <v/>
      </c>
      <c r="K1098" s="5" t="str">
        <f aca="false">IF(I1098=0,"",IF(INDEX(GL!$C:$C,I1098)="","",INDEX(GL!$C:$C,I1098)))</f>
        <v/>
      </c>
      <c r="L1098" s="19" t="str">
        <f aca="false">IF(I1098=0,"",INDEX(GL!$E:$E,I1098))</f>
        <v/>
      </c>
      <c r="M1098" s="19" t="str">
        <f aca="false">IF(OR(B1098=0,I1098=0),"",ROUND(G1098-L1098,2))</f>
        <v/>
      </c>
      <c r="N1098" s="5" t="str">
        <f aca="false">IF(A1098="","",IF(B1098=0,"NOT FOUND: bank ID",IF(I1098=0,"NOT FOUND: GL ID",IF(INDEX(GL!$H:$H,I1098)&lt;&gt;A1098,"BROKEN: GL points elsewhere",IF(OR(INDEX(Bank!$F:$F,B1098)&lt;&gt;"Y",INDEX(GL!$F:$F,I1098)&lt;&gt;"Y"),"BROKEN: Status not Y","OK")))))</f>
        <v/>
      </c>
    </row>
    <row r="1099" customFormat="false" ht="15" hidden="false" customHeight="false" outlineLevel="0" collapsed="false">
      <c r="A1099" s="41"/>
      <c r="B1099" s="5" t="n">
        <f aca="false">IF(A1099="",0,IFERROR(MATCH(A1099,Bank!$A:$A,0),0))</f>
        <v>0</v>
      </c>
      <c r="C1099" s="5" t="str">
        <f aca="false">IF(B1099=0,"",IF(INDEX(Bank!$G:$G,B1099)="","",INDEX(Bank!$G:$G,B1099)))</f>
        <v/>
      </c>
      <c r="D1099" s="5" t="str">
        <f aca="false">IF(B1099=0,"",IF(INDEX(Bank!$J:$J,B1099)="","",INDEX(Bank!$J:$J,B1099)))</f>
        <v/>
      </c>
      <c r="E1099" s="32" t="str">
        <f aca="false">IF(B1099=0,"",INDEX(Bank!$B:$B,B1099))</f>
        <v/>
      </c>
      <c r="F1099" s="5" t="str">
        <f aca="false">IF(B1099=0,"",IF(INDEX(Bank!$C:$C,B1099)="","",INDEX(Bank!$C:$C,B1099)))</f>
        <v/>
      </c>
      <c r="G1099" s="19" t="str">
        <f aca="false">IF(B1099=0,"",INDEX(Bank!$E:$E,B1099))</f>
        <v/>
      </c>
      <c r="H1099" s="5" t="str">
        <f aca="false">IF(B1099=0,"",IF(INDEX(Bank!$H:$H,B1099)="","",INDEX(Bank!$H:$H,B1099)))</f>
        <v/>
      </c>
      <c r="I1099" s="5" t="n">
        <f aca="false">IF(H1099="",0,IFERROR(MATCH(H1099,GL!$A:$A,0),0))</f>
        <v>0</v>
      </c>
      <c r="J1099" s="32" t="str">
        <f aca="false">IF(I1099=0,"",INDEX(GL!$B:$B,I1099))</f>
        <v/>
      </c>
      <c r="K1099" s="5" t="str">
        <f aca="false">IF(I1099=0,"",IF(INDEX(GL!$C:$C,I1099)="","",INDEX(GL!$C:$C,I1099)))</f>
        <v/>
      </c>
      <c r="L1099" s="19" t="str">
        <f aca="false">IF(I1099=0,"",INDEX(GL!$E:$E,I1099))</f>
        <v/>
      </c>
      <c r="M1099" s="19" t="str">
        <f aca="false">IF(OR(B1099=0,I1099=0),"",ROUND(G1099-L1099,2))</f>
        <v/>
      </c>
      <c r="N1099" s="5" t="str">
        <f aca="false">IF(A1099="","",IF(B1099=0,"NOT FOUND: bank ID",IF(I1099=0,"NOT FOUND: GL ID",IF(INDEX(GL!$H:$H,I1099)&lt;&gt;A1099,"BROKEN: GL points elsewhere",IF(OR(INDEX(Bank!$F:$F,B1099)&lt;&gt;"Y",INDEX(GL!$F:$F,I1099)&lt;&gt;"Y"),"BROKEN: Status not Y","OK")))))</f>
        <v/>
      </c>
    </row>
    <row r="1100" customFormat="false" ht="15" hidden="false" customHeight="false" outlineLevel="0" collapsed="false">
      <c r="A1100" s="41"/>
      <c r="B1100" s="5" t="n">
        <f aca="false">IF(A1100="",0,IFERROR(MATCH(A1100,Bank!$A:$A,0),0))</f>
        <v>0</v>
      </c>
      <c r="C1100" s="5" t="str">
        <f aca="false">IF(B1100=0,"",IF(INDEX(Bank!$G:$G,B1100)="","",INDEX(Bank!$G:$G,B1100)))</f>
        <v/>
      </c>
      <c r="D1100" s="5" t="str">
        <f aca="false">IF(B1100=0,"",IF(INDEX(Bank!$J:$J,B1100)="","",INDEX(Bank!$J:$J,B1100)))</f>
        <v/>
      </c>
      <c r="E1100" s="32" t="str">
        <f aca="false">IF(B1100=0,"",INDEX(Bank!$B:$B,B1100))</f>
        <v/>
      </c>
      <c r="F1100" s="5" t="str">
        <f aca="false">IF(B1100=0,"",IF(INDEX(Bank!$C:$C,B1100)="","",INDEX(Bank!$C:$C,B1100)))</f>
        <v/>
      </c>
      <c r="G1100" s="19" t="str">
        <f aca="false">IF(B1100=0,"",INDEX(Bank!$E:$E,B1100))</f>
        <v/>
      </c>
      <c r="H1100" s="5" t="str">
        <f aca="false">IF(B1100=0,"",IF(INDEX(Bank!$H:$H,B1100)="","",INDEX(Bank!$H:$H,B1100)))</f>
        <v/>
      </c>
      <c r="I1100" s="5" t="n">
        <f aca="false">IF(H1100="",0,IFERROR(MATCH(H1100,GL!$A:$A,0),0))</f>
        <v>0</v>
      </c>
      <c r="J1100" s="32" t="str">
        <f aca="false">IF(I1100=0,"",INDEX(GL!$B:$B,I1100))</f>
        <v/>
      </c>
      <c r="K1100" s="5" t="str">
        <f aca="false">IF(I1100=0,"",IF(INDEX(GL!$C:$C,I1100)="","",INDEX(GL!$C:$C,I1100)))</f>
        <v/>
      </c>
      <c r="L1100" s="19" t="str">
        <f aca="false">IF(I1100=0,"",INDEX(GL!$E:$E,I1100))</f>
        <v/>
      </c>
      <c r="M1100" s="19" t="str">
        <f aca="false">IF(OR(B1100=0,I1100=0),"",ROUND(G1100-L1100,2))</f>
        <v/>
      </c>
      <c r="N1100" s="5" t="str">
        <f aca="false">IF(A1100="","",IF(B1100=0,"NOT FOUND: bank ID",IF(I1100=0,"NOT FOUND: GL ID",IF(INDEX(GL!$H:$H,I1100)&lt;&gt;A1100,"BROKEN: GL points elsewhere",IF(OR(INDEX(Bank!$F:$F,B1100)&lt;&gt;"Y",INDEX(GL!$F:$F,I1100)&lt;&gt;"Y"),"BROKEN: Status not Y","OK")))))</f>
        <v/>
      </c>
    </row>
    <row r="1101" customFormat="false" ht="15" hidden="false" customHeight="false" outlineLevel="0" collapsed="false">
      <c r="A1101" s="41"/>
      <c r="B1101" s="5" t="n">
        <f aca="false">IF(A1101="",0,IFERROR(MATCH(A1101,Bank!$A:$A,0),0))</f>
        <v>0</v>
      </c>
      <c r="C1101" s="5" t="str">
        <f aca="false">IF(B1101=0,"",IF(INDEX(Bank!$G:$G,B1101)="","",INDEX(Bank!$G:$G,B1101)))</f>
        <v/>
      </c>
      <c r="D1101" s="5" t="str">
        <f aca="false">IF(B1101=0,"",IF(INDEX(Bank!$J:$J,B1101)="","",INDEX(Bank!$J:$J,B1101)))</f>
        <v/>
      </c>
      <c r="E1101" s="32" t="str">
        <f aca="false">IF(B1101=0,"",INDEX(Bank!$B:$B,B1101))</f>
        <v/>
      </c>
      <c r="F1101" s="5" t="str">
        <f aca="false">IF(B1101=0,"",IF(INDEX(Bank!$C:$C,B1101)="","",INDEX(Bank!$C:$C,B1101)))</f>
        <v/>
      </c>
      <c r="G1101" s="19" t="str">
        <f aca="false">IF(B1101=0,"",INDEX(Bank!$E:$E,B1101))</f>
        <v/>
      </c>
      <c r="H1101" s="5" t="str">
        <f aca="false">IF(B1101=0,"",IF(INDEX(Bank!$H:$H,B1101)="","",INDEX(Bank!$H:$H,B1101)))</f>
        <v/>
      </c>
      <c r="I1101" s="5" t="n">
        <f aca="false">IF(H1101="",0,IFERROR(MATCH(H1101,GL!$A:$A,0),0))</f>
        <v>0</v>
      </c>
      <c r="J1101" s="32" t="str">
        <f aca="false">IF(I1101=0,"",INDEX(GL!$B:$B,I1101))</f>
        <v/>
      </c>
      <c r="K1101" s="5" t="str">
        <f aca="false">IF(I1101=0,"",IF(INDEX(GL!$C:$C,I1101)="","",INDEX(GL!$C:$C,I1101)))</f>
        <v/>
      </c>
      <c r="L1101" s="19" t="str">
        <f aca="false">IF(I1101=0,"",INDEX(GL!$E:$E,I1101))</f>
        <v/>
      </c>
      <c r="M1101" s="19" t="str">
        <f aca="false">IF(OR(B1101=0,I1101=0),"",ROUND(G1101-L1101,2))</f>
        <v/>
      </c>
      <c r="N1101" s="5" t="str">
        <f aca="false">IF(A1101="","",IF(B1101=0,"NOT FOUND: bank ID",IF(I1101=0,"NOT FOUND: GL ID",IF(INDEX(GL!$H:$H,I1101)&lt;&gt;A1101,"BROKEN: GL points elsewhere",IF(OR(INDEX(Bank!$F:$F,B1101)&lt;&gt;"Y",INDEX(GL!$F:$F,I1101)&lt;&gt;"Y"),"BROKEN: Status not Y","OK")))))</f>
        <v/>
      </c>
    </row>
    <row r="1102" customFormat="false" ht="15" hidden="false" customHeight="false" outlineLevel="0" collapsed="false">
      <c r="A1102" s="41"/>
      <c r="B1102" s="5" t="n">
        <f aca="false">IF(A1102="",0,IFERROR(MATCH(A1102,Bank!$A:$A,0),0))</f>
        <v>0</v>
      </c>
      <c r="C1102" s="5" t="str">
        <f aca="false">IF(B1102=0,"",IF(INDEX(Bank!$G:$G,B1102)="","",INDEX(Bank!$G:$G,B1102)))</f>
        <v/>
      </c>
      <c r="D1102" s="5" t="str">
        <f aca="false">IF(B1102=0,"",IF(INDEX(Bank!$J:$J,B1102)="","",INDEX(Bank!$J:$J,B1102)))</f>
        <v/>
      </c>
      <c r="E1102" s="32" t="str">
        <f aca="false">IF(B1102=0,"",INDEX(Bank!$B:$B,B1102))</f>
        <v/>
      </c>
      <c r="F1102" s="5" t="str">
        <f aca="false">IF(B1102=0,"",IF(INDEX(Bank!$C:$C,B1102)="","",INDEX(Bank!$C:$C,B1102)))</f>
        <v/>
      </c>
      <c r="G1102" s="19" t="str">
        <f aca="false">IF(B1102=0,"",INDEX(Bank!$E:$E,B1102))</f>
        <v/>
      </c>
      <c r="H1102" s="5" t="str">
        <f aca="false">IF(B1102=0,"",IF(INDEX(Bank!$H:$H,B1102)="","",INDEX(Bank!$H:$H,B1102)))</f>
        <v/>
      </c>
      <c r="I1102" s="5" t="n">
        <f aca="false">IF(H1102="",0,IFERROR(MATCH(H1102,GL!$A:$A,0),0))</f>
        <v>0</v>
      </c>
      <c r="J1102" s="32" t="str">
        <f aca="false">IF(I1102=0,"",INDEX(GL!$B:$B,I1102))</f>
        <v/>
      </c>
      <c r="K1102" s="5" t="str">
        <f aca="false">IF(I1102=0,"",IF(INDEX(GL!$C:$C,I1102)="","",INDEX(GL!$C:$C,I1102)))</f>
        <v/>
      </c>
      <c r="L1102" s="19" t="str">
        <f aca="false">IF(I1102=0,"",INDEX(GL!$E:$E,I1102))</f>
        <v/>
      </c>
      <c r="M1102" s="19" t="str">
        <f aca="false">IF(OR(B1102=0,I1102=0),"",ROUND(G1102-L1102,2))</f>
        <v/>
      </c>
      <c r="N1102" s="5" t="str">
        <f aca="false">IF(A1102="","",IF(B1102=0,"NOT FOUND: bank ID",IF(I1102=0,"NOT FOUND: GL ID",IF(INDEX(GL!$H:$H,I1102)&lt;&gt;A1102,"BROKEN: GL points elsewhere",IF(OR(INDEX(Bank!$F:$F,B1102)&lt;&gt;"Y",INDEX(GL!$F:$F,I1102)&lt;&gt;"Y"),"BROKEN: Status not Y","OK")))))</f>
        <v/>
      </c>
    </row>
    <row r="1103" customFormat="false" ht="15" hidden="false" customHeight="false" outlineLevel="0" collapsed="false">
      <c r="A1103" s="41"/>
      <c r="B1103" s="5" t="n">
        <f aca="false">IF(A1103="",0,IFERROR(MATCH(A1103,Bank!$A:$A,0),0))</f>
        <v>0</v>
      </c>
      <c r="C1103" s="5" t="str">
        <f aca="false">IF(B1103=0,"",IF(INDEX(Bank!$G:$G,B1103)="","",INDEX(Bank!$G:$G,B1103)))</f>
        <v/>
      </c>
      <c r="D1103" s="5" t="str">
        <f aca="false">IF(B1103=0,"",IF(INDEX(Bank!$J:$J,B1103)="","",INDEX(Bank!$J:$J,B1103)))</f>
        <v/>
      </c>
      <c r="E1103" s="32" t="str">
        <f aca="false">IF(B1103=0,"",INDEX(Bank!$B:$B,B1103))</f>
        <v/>
      </c>
      <c r="F1103" s="5" t="str">
        <f aca="false">IF(B1103=0,"",IF(INDEX(Bank!$C:$C,B1103)="","",INDEX(Bank!$C:$C,B1103)))</f>
        <v/>
      </c>
      <c r="G1103" s="19" t="str">
        <f aca="false">IF(B1103=0,"",INDEX(Bank!$E:$E,B1103))</f>
        <v/>
      </c>
      <c r="H1103" s="5" t="str">
        <f aca="false">IF(B1103=0,"",IF(INDEX(Bank!$H:$H,B1103)="","",INDEX(Bank!$H:$H,B1103)))</f>
        <v/>
      </c>
      <c r="I1103" s="5" t="n">
        <f aca="false">IF(H1103="",0,IFERROR(MATCH(H1103,GL!$A:$A,0),0))</f>
        <v>0</v>
      </c>
      <c r="J1103" s="32" t="str">
        <f aca="false">IF(I1103=0,"",INDEX(GL!$B:$B,I1103))</f>
        <v/>
      </c>
      <c r="K1103" s="5" t="str">
        <f aca="false">IF(I1103=0,"",IF(INDEX(GL!$C:$C,I1103)="","",INDEX(GL!$C:$C,I1103)))</f>
        <v/>
      </c>
      <c r="L1103" s="19" t="str">
        <f aca="false">IF(I1103=0,"",INDEX(GL!$E:$E,I1103))</f>
        <v/>
      </c>
      <c r="M1103" s="19" t="str">
        <f aca="false">IF(OR(B1103=0,I1103=0),"",ROUND(G1103-L1103,2))</f>
        <v/>
      </c>
      <c r="N1103" s="5" t="str">
        <f aca="false">IF(A1103="","",IF(B1103=0,"NOT FOUND: bank ID",IF(I1103=0,"NOT FOUND: GL ID",IF(INDEX(GL!$H:$H,I1103)&lt;&gt;A1103,"BROKEN: GL points elsewhere",IF(OR(INDEX(Bank!$F:$F,B1103)&lt;&gt;"Y",INDEX(GL!$F:$F,I1103)&lt;&gt;"Y"),"BROKEN: Status not Y","OK")))))</f>
        <v/>
      </c>
    </row>
    <row r="1104" customFormat="false" ht="15" hidden="false" customHeight="false" outlineLevel="0" collapsed="false">
      <c r="A1104" s="41"/>
      <c r="B1104" s="5" t="n">
        <f aca="false">IF(A1104="",0,IFERROR(MATCH(A1104,Bank!$A:$A,0),0))</f>
        <v>0</v>
      </c>
      <c r="C1104" s="5" t="str">
        <f aca="false">IF(B1104=0,"",IF(INDEX(Bank!$G:$G,B1104)="","",INDEX(Bank!$G:$G,B1104)))</f>
        <v/>
      </c>
      <c r="D1104" s="5" t="str">
        <f aca="false">IF(B1104=0,"",IF(INDEX(Bank!$J:$J,B1104)="","",INDEX(Bank!$J:$J,B1104)))</f>
        <v/>
      </c>
      <c r="E1104" s="32" t="str">
        <f aca="false">IF(B1104=0,"",INDEX(Bank!$B:$B,B1104))</f>
        <v/>
      </c>
      <c r="F1104" s="5" t="str">
        <f aca="false">IF(B1104=0,"",IF(INDEX(Bank!$C:$C,B1104)="","",INDEX(Bank!$C:$C,B1104)))</f>
        <v/>
      </c>
      <c r="G1104" s="19" t="str">
        <f aca="false">IF(B1104=0,"",INDEX(Bank!$E:$E,B1104))</f>
        <v/>
      </c>
      <c r="H1104" s="5" t="str">
        <f aca="false">IF(B1104=0,"",IF(INDEX(Bank!$H:$H,B1104)="","",INDEX(Bank!$H:$H,B1104)))</f>
        <v/>
      </c>
      <c r="I1104" s="5" t="n">
        <f aca="false">IF(H1104="",0,IFERROR(MATCH(H1104,GL!$A:$A,0),0))</f>
        <v>0</v>
      </c>
      <c r="J1104" s="32" t="str">
        <f aca="false">IF(I1104=0,"",INDEX(GL!$B:$B,I1104))</f>
        <v/>
      </c>
      <c r="K1104" s="5" t="str">
        <f aca="false">IF(I1104=0,"",IF(INDEX(GL!$C:$C,I1104)="","",INDEX(GL!$C:$C,I1104)))</f>
        <v/>
      </c>
      <c r="L1104" s="19" t="str">
        <f aca="false">IF(I1104=0,"",INDEX(GL!$E:$E,I1104))</f>
        <v/>
      </c>
      <c r="M1104" s="19" t="str">
        <f aca="false">IF(OR(B1104=0,I1104=0),"",ROUND(G1104-L1104,2))</f>
        <v/>
      </c>
      <c r="N1104" s="5" t="str">
        <f aca="false">IF(A1104="","",IF(B1104=0,"NOT FOUND: bank ID",IF(I1104=0,"NOT FOUND: GL ID",IF(INDEX(GL!$H:$H,I1104)&lt;&gt;A1104,"BROKEN: GL points elsewhere",IF(OR(INDEX(Bank!$F:$F,B1104)&lt;&gt;"Y",INDEX(GL!$F:$F,I1104)&lt;&gt;"Y"),"BROKEN: Status not Y","OK")))))</f>
        <v/>
      </c>
    </row>
    <row r="1105" customFormat="false" ht="15" hidden="false" customHeight="false" outlineLevel="0" collapsed="false">
      <c r="A1105" s="41"/>
      <c r="B1105" s="5" t="n">
        <f aca="false">IF(A1105="",0,IFERROR(MATCH(A1105,Bank!$A:$A,0),0))</f>
        <v>0</v>
      </c>
      <c r="C1105" s="5" t="str">
        <f aca="false">IF(B1105=0,"",IF(INDEX(Bank!$G:$G,B1105)="","",INDEX(Bank!$G:$G,B1105)))</f>
        <v/>
      </c>
      <c r="D1105" s="5" t="str">
        <f aca="false">IF(B1105=0,"",IF(INDEX(Bank!$J:$J,B1105)="","",INDEX(Bank!$J:$J,B1105)))</f>
        <v/>
      </c>
      <c r="E1105" s="32" t="str">
        <f aca="false">IF(B1105=0,"",INDEX(Bank!$B:$B,B1105))</f>
        <v/>
      </c>
      <c r="F1105" s="5" t="str">
        <f aca="false">IF(B1105=0,"",IF(INDEX(Bank!$C:$C,B1105)="","",INDEX(Bank!$C:$C,B1105)))</f>
        <v/>
      </c>
      <c r="G1105" s="19" t="str">
        <f aca="false">IF(B1105=0,"",INDEX(Bank!$E:$E,B1105))</f>
        <v/>
      </c>
      <c r="H1105" s="5" t="str">
        <f aca="false">IF(B1105=0,"",IF(INDEX(Bank!$H:$H,B1105)="","",INDEX(Bank!$H:$H,B1105)))</f>
        <v/>
      </c>
      <c r="I1105" s="5" t="n">
        <f aca="false">IF(H1105="",0,IFERROR(MATCH(H1105,GL!$A:$A,0),0))</f>
        <v>0</v>
      </c>
      <c r="J1105" s="32" t="str">
        <f aca="false">IF(I1105=0,"",INDEX(GL!$B:$B,I1105))</f>
        <v/>
      </c>
      <c r="K1105" s="5" t="str">
        <f aca="false">IF(I1105=0,"",IF(INDEX(GL!$C:$C,I1105)="","",INDEX(GL!$C:$C,I1105)))</f>
        <v/>
      </c>
      <c r="L1105" s="19" t="str">
        <f aca="false">IF(I1105=0,"",INDEX(GL!$E:$E,I1105))</f>
        <v/>
      </c>
      <c r="M1105" s="19" t="str">
        <f aca="false">IF(OR(B1105=0,I1105=0),"",ROUND(G1105-L1105,2))</f>
        <v/>
      </c>
      <c r="N1105" s="5" t="str">
        <f aca="false">IF(A1105="","",IF(B1105=0,"NOT FOUND: bank ID",IF(I1105=0,"NOT FOUND: GL ID",IF(INDEX(GL!$H:$H,I1105)&lt;&gt;A1105,"BROKEN: GL points elsewhere",IF(OR(INDEX(Bank!$F:$F,B1105)&lt;&gt;"Y",INDEX(GL!$F:$F,I1105)&lt;&gt;"Y"),"BROKEN: Status not Y","OK")))))</f>
        <v/>
      </c>
    </row>
    <row r="1106" customFormat="false" ht="15" hidden="false" customHeight="false" outlineLevel="0" collapsed="false">
      <c r="A1106" s="41"/>
      <c r="B1106" s="5" t="n">
        <f aca="false">IF(A1106="",0,IFERROR(MATCH(A1106,Bank!$A:$A,0),0))</f>
        <v>0</v>
      </c>
      <c r="C1106" s="5" t="str">
        <f aca="false">IF(B1106=0,"",IF(INDEX(Bank!$G:$G,B1106)="","",INDEX(Bank!$G:$G,B1106)))</f>
        <v/>
      </c>
      <c r="D1106" s="5" t="str">
        <f aca="false">IF(B1106=0,"",IF(INDEX(Bank!$J:$J,B1106)="","",INDEX(Bank!$J:$J,B1106)))</f>
        <v/>
      </c>
      <c r="E1106" s="32" t="str">
        <f aca="false">IF(B1106=0,"",INDEX(Bank!$B:$B,B1106))</f>
        <v/>
      </c>
      <c r="F1106" s="5" t="str">
        <f aca="false">IF(B1106=0,"",IF(INDEX(Bank!$C:$C,B1106)="","",INDEX(Bank!$C:$C,B1106)))</f>
        <v/>
      </c>
      <c r="G1106" s="19" t="str">
        <f aca="false">IF(B1106=0,"",INDEX(Bank!$E:$E,B1106))</f>
        <v/>
      </c>
      <c r="H1106" s="5" t="str">
        <f aca="false">IF(B1106=0,"",IF(INDEX(Bank!$H:$H,B1106)="","",INDEX(Bank!$H:$H,B1106)))</f>
        <v/>
      </c>
      <c r="I1106" s="5" t="n">
        <f aca="false">IF(H1106="",0,IFERROR(MATCH(H1106,GL!$A:$A,0),0))</f>
        <v>0</v>
      </c>
      <c r="J1106" s="32" t="str">
        <f aca="false">IF(I1106=0,"",INDEX(GL!$B:$B,I1106))</f>
        <v/>
      </c>
      <c r="K1106" s="5" t="str">
        <f aca="false">IF(I1106=0,"",IF(INDEX(GL!$C:$C,I1106)="","",INDEX(GL!$C:$C,I1106)))</f>
        <v/>
      </c>
      <c r="L1106" s="19" t="str">
        <f aca="false">IF(I1106=0,"",INDEX(GL!$E:$E,I1106))</f>
        <v/>
      </c>
      <c r="M1106" s="19" t="str">
        <f aca="false">IF(OR(B1106=0,I1106=0),"",ROUND(G1106-L1106,2))</f>
        <v/>
      </c>
      <c r="N1106" s="5" t="str">
        <f aca="false">IF(A1106="","",IF(B1106=0,"NOT FOUND: bank ID",IF(I1106=0,"NOT FOUND: GL ID",IF(INDEX(GL!$H:$H,I1106)&lt;&gt;A1106,"BROKEN: GL points elsewhere",IF(OR(INDEX(Bank!$F:$F,B1106)&lt;&gt;"Y",INDEX(GL!$F:$F,I1106)&lt;&gt;"Y"),"BROKEN: Status not Y","OK")))))</f>
        <v/>
      </c>
    </row>
    <row r="1107" customFormat="false" ht="15" hidden="false" customHeight="false" outlineLevel="0" collapsed="false">
      <c r="A1107" s="41"/>
      <c r="B1107" s="5" t="n">
        <f aca="false">IF(A1107="",0,IFERROR(MATCH(A1107,Bank!$A:$A,0),0))</f>
        <v>0</v>
      </c>
      <c r="C1107" s="5" t="str">
        <f aca="false">IF(B1107=0,"",IF(INDEX(Bank!$G:$G,B1107)="","",INDEX(Bank!$G:$G,B1107)))</f>
        <v/>
      </c>
      <c r="D1107" s="5" t="str">
        <f aca="false">IF(B1107=0,"",IF(INDEX(Bank!$J:$J,B1107)="","",INDEX(Bank!$J:$J,B1107)))</f>
        <v/>
      </c>
      <c r="E1107" s="32" t="str">
        <f aca="false">IF(B1107=0,"",INDEX(Bank!$B:$B,B1107))</f>
        <v/>
      </c>
      <c r="F1107" s="5" t="str">
        <f aca="false">IF(B1107=0,"",IF(INDEX(Bank!$C:$C,B1107)="","",INDEX(Bank!$C:$C,B1107)))</f>
        <v/>
      </c>
      <c r="G1107" s="19" t="str">
        <f aca="false">IF(B1107=0,"",INDEX(Bank!$E:$E,B1107))</f>
        <v/>
      </c>
      <c r="H1107" s="5" t="str">
        <f aca="false">IF(B1107=0,"",IF(INDEX(Bank!$H:$H,B1107)="","",INDEX(Bank!$H:$H,B1107)))</f>
        <v/>
      </c>
      <c r="I1107" s="5" t="n">
        <f aca="false">IF(H1107="",0,IFERROR(MATCH(H1107,GL!$A:$A,0),0))</f>
        <v>0</v>
      </c>
      <c r="J1107" s="32" t="str">
        <f aca="false">IF(I1107=0,"",INDEX(GL!$B:$B,I1107))</f>
        <v/>
      </c>
      <c r="K1107" s="5" t="str">
        <f aca="false">IF(I1107=0,"",IF(INDEX(GL!$C:$C,I1107)="","",INDEX(GL!$C:$C,I1107)))</f>
        <v/>
      </c>
      <c r="L1107" s="19" t="str">
        <f aca="false">IF(I1107=0,"",INDEX(GL!$E:$E,I1107))</f>
        <v/>
      </c>
      <c r="M1107" s="19" t="str">
        <f aca="false">IF(OR(B1107=0,I1107=0),"",ROUND(G1107-L1107,2))</f>
        <v/>
      </c>
      <c r="N1107" s="5" t="str">
        <f aca="false">IF(A1107="","",IF(B1107=0,"NOT FOUND: bank ID",IF(I1107=0,"NOT FOUND: GL ID",IF(INDEX(GL!$H:$H,I1107)&lt;&gt;A1107,"BROKEN: GL points elsewhere",IF(OR(INDEX(Bank!$F:$F,B1107)&lt;&gt;"Y",INDEX(GL!$F:$F,I1107)&lt;&gt;"Y"),"BROKEN: Status not Y","OK")))))</f>
        <v/>
      </c>
    </row>
    <row r="1108" customFormat="false" ht="15" hidden="false" customHeight="false" outlineLevel="0" collapsed="false">
      <c r="A1108" s="41"/>
      <c r="B1108" s="5" t="n">
        <f aca="false">IF(A1108="",0,IFERROR(MATCH(A1108,Bank!$A:$A,0),0))</f>
        <v>0</v>
      </c>
      <c r="C1108" s="5" t="str">
        <f aca="false">IF(B1108=0,"",IF(INDEX(Bank!$G:$G,B1108)="","",INDEX(Bank!$G:$G,B1108)))</f>
        <v/>
      </c>
      <c r="D1108" s="5" t="str">
        <f aca="false">IF(B1108=0,"",IF(INDEX(Bank!$J:$J,B1108)="","",INDEX(Bank!$J:$J,B1108)))</f>
        <v/>
      </c>
      <c r="E1108" s="32" t="str">
        <f aca="false">IF(B1108=0,"",INDEX(Bank!$B:$B,B1108))</f>
        <v/>
      </c>
      <c r="F1108" s="5" t="str">
        <f aca="false">IF(B1108=0,"",IF(INDEX(Bank!$C:$C,B1108)="","",INDEX(Bank!$C:$C,B1108)))</f>
        <v/>
      </c>
      <c r="G1108" s="19" t="str">
        <f aca="false">IF(B1108=0,"",INDEX(Bank!$E:$E,B1108))</f>
        <v/>
      </c>
      <c r="H1108" s="5" t="str">
        <f aca="false">IF(B1108=0,"",IF(INDEX(Bank!$H:$H,B1108)="","",INDEX(Bank!$H:$H,B1108)))</f>
        <v/>
      </c>
      <c r="I1108" s="5" t="n">
        <f aca="false">IF(H1108="",0,IFERROR(MATCH(H1108,GL!$A:$A,0),0))</f>
        <v>0</v>
      </c>
      <c r="J1108" s="32" t="str">
        <f aca="false">IF(I1108=0,"",INDEX(GL!$B:$B,I1108))</f>
        <v/>
      </c>
      <c r="K1108" s="5" t="str">
        <f aca="false">IF(I1108=0,"",IF(INDEX(GL!$C:$C,I1108)="","",INDEX(GL!$C:$C,I1108)))</f>
        <v/>
      </c>
      <c r="L1108" s="19" t="str">
        <f aca="false">IF(I1108=0,"",INDEX(GL!$E:$E,I1108))</f>
        <v/>
      </c>
      <c r="M1108" s="19" t="str">
        <f aca="false">IF(OR(B1108=0,I1108=0),"",ROUND(G1108-L1108,2))</f>
        <v/>
      </c>
      <c r="N1108" s="5" t="str">
        <f aca="false">IF(A1108="","",IF(B1108=0,"NOT FOUND: bank ID",IF(I1108=0,"NOT FOUND: GL ID",IF(INDEX(GL!$H:$H,I1108)&lt;&gt;A1108,"BROKEN: GL points elsewhere",IF(OR(INDEX(Bank!$F:$F,B1108)&lt;&gt;"Y",INDEX(GL!$F:$F,I1108)&lt;&gt;"Y"),"BROKEN: Status not Y","OK")))))</f>
        <v/>
      </c>
    </row>
    <row r="1109" customFormat="false" ht="15" hidden="false" customHeight="false" outlineLevel="0" collapsed="false">
      <c r="A1109" s="41"/>
      <c r="B1109" s="5" t="n">
        <f aca="false">IF(A1109="",0,IFERROR(MATCH(A1109,Bank!$A:$A,0),0))</f>
        <v>0</v>
      </c>
      <c r="C1109" s="5" t="str">
        <f aca="false">IF(B1109=0,"",IF(INDEX(Bank!$G:$G,B1109)="","",INDEX(Bank!$G:$G,B1109)))</f>
        <v/>
      </c>
      <c r="D1109" s="5" t="str">
        <f aca="false">IF(B1109=0,"",IF(INDEX(Bank!$J:$J,B1109)="","",INDEX(Bank!$J:$J,B1109)))</f>
        <v/>
      </c>
      <c r="E1109" s="32" t="str">
        <f aca="false">IF(B1109=0,"",INDEX(Bank!$B:$B,B1109))</f>
        <v/>
      </c>
      <c r="F1109" s="5" t="str">
        <f aca="false">IF(B1109=0,"",IF(INDEX(Bank!$C:$C,B1109)="","",INDEX(Bank!$C:$C,B1109)))</f>
        <v/>
      </c>
      <c r="G1109" s="19" t="str">
        <f aca="false">IF(B1109=0,"",INDEX(Bank!$E:$E,B1109))</f>
        <v/>
      </c>
      <c r="H1109" s="5" t="str">
        <f aca="false">IF(B1109=0,"",IF(INDEX(Bank!$H:$H,B1109)="","",INDEX(Bank!$H:$H,B1109)))</f>
        <v/>
      </c>
      <c r="I1109" s="5" t="n">
        <f aca="false">IF(H1109="",0,IFERROR(MATCH(H1109,GL!$A:$A,0),0))</f>
        <v>0</v>
      </c>
      <c r="J1109" s="32" t="str">
        <f aca="false">IF(I1109=0,"",INDEX(GL!$B:$B,I1109))</f>
        <v/>
      </c>
      <c r="K1109" s="5" t="str">
        <f aca="false">IF(I1109=0,"",IF(INDEX(GL!$C:$C,I1109)="","",INDEX(GL!$C:$C,I1109)))</f>
        <v/>
      </c>
      <c r="L1109" s="19" t="str">
        <f aca="false">IF(I1109=0,"",INDEX(GL!$E:$E,I1109))</f>
        <v/>
      </c>
      <c r="M1109" s="19" t="str">
        <f aca="false">IF(OR(B1109=0,I1109=0),"",ROUND(G1109-L1109,2))</f>
        <v/>
      </c>
      <c r="N1109" s="5" t="str">
        <f aca="false">IF(A1109="","",IF(B1109=0,"NOT FOUND: bank ID",IF(I1109=0,"NOT FOUND: GL ID",IF(INDEX(GL!$H:$H,I1109)&lt;&gt;A1109,"BROKEN: GL points elsewhere",IF(OR(INDEX(Bank!$F:$F,B1109)&lt;&gt;"Y",INDEX(GL!$F:$F,I1109)&lt;&gt;"Y"),"BROKEN: Status not Y","OK")))))</f>
        <v/>
      </c>
    </row>
    <row r="1110" customFormat="false" ht="15" hidden="false" customHeight="false" outlineLevel="0" collapsed="false">
      <c r="A1110" s="41"/>
      <c r="B1110" s="5" t="n">
        <f aca="false">IF(A1110="",0,IFERROR(MATCH(A1110,Bank!$A:$A,0),0))</f>
        <v>0</v>
      </c>
      <c r="C1110" s="5" t="str">
        <f aca="false">IF(B1110=0,"",IF(INDEX(Bank!$G:$G,B1110)="","",INDEX(Bank!$G:$G,B1110)))</f>
        <v/>
      </c>
      <c r="D1110" s="5" t="str">
        <f aca="false">IF(B1110=0,"",IF(INDEX(Bank!$J:$J,B1110)="","",INDEX(Bank!$J:$J,B1110)))</f>
        <v/>
      </c>
      <c r="E1110" s="32" t="str">
        <f aca="false">IF(B1110=0,"",INDEX(Bank!$B:$B,B1110))</f>
        <v/>
      </c>
      <c r="F1110" s="5" t="str">
        <f aca="false">IF(B1110=0,"",IF(INDEX(Bank!$C:$C,B1110)="","",INDEX(Bank!$C:$C,B1110)))</f>
        <v/>
      </c>
      <c r="G1110" s="19" t="str">
        <f aca="false">IF(B1110=0,"",INDEX(Bank!$E:$E,B1110))</f>
        <v/>
      </c>
      <c r="H1110" s="5" t="str">
        <f aca="false">IF(B1110=0,"",IF(INDEX(Bank!$H:$H,B1110)="","",INDEX(Bank!$H:$H,B1110)))</f>
        <v/>
      </c>
      <c r="I1110" s="5" t="n">
        <f aca="false">IF(H1110="",0,IFERROR(MATCH(H1110,GL!$A:$A,0),0))</f>
        <v>0</v>
      </c>
      <c r="J1110" s="32" t="str">
        <f aca="false">IF(I1110=0,"",INDEX(GL!$B:$B,I1110))</f>
        <v/>
      </c>
      <c r="K1110" s="5" t="str">
        <f aca="false">IF(I1110=0,"",IF(INDEX(GL!$C:$C,I1110)="","",INDEX(GL!$C:$C,I1110)))</f>
        <v/>
      </c>
      <c r="L1110" s="19" t="str">
        <f aca="false">IF(I1110=0,"",INDEX(GL!$E:$E,I1110))</f>
        <v/>
      </c>
      <c r="M1110" s="19" t="str">
        <f aca="false">IF(OR(B1110=0,I1110=0),"",ROUND(G1110-L1110,2))</f>
        <v/>
      </c>
      <c r="N1110" s="5" t="str">
        <f aca="false">IF(A1110="","",IF(B1110=0,"NOT FOUND: bank ID",IF(I1110=0,"NOT FOUND: GL ID",IF(INDEX(GL!$H:$H,I1110)&lt;&gt;A1110,"BROKEN: GL points elsewhere",IF(OR(INDEX(Bank!$F:$F,B1110)&lt;&gt;"Y",INDEX(GL!$F:$F,I1110)&lt;&gt;"Y"),"BROKEN: Status not Y","OK")))))</f>
        <v/>
      </c>
    </row>
    <row r="1111" customFormat="false" ht="15" hidden="false" customHeight="false" outlineLevel="0" collapsed="false">
      <c r="A1111" s="41"/>
      <c r="B1111" s="5" t="n">
        <f aca="false">IF(A1111="",0,IFERROR(MATCH(A1111,Bank!$A:$A,0),0))</f>
        <v>0</v>
      </c>
      <c r="C1111" s="5" t="str">
        <f aca="false">IF(B1111=0,"",IF(INDEX(Bank!$G:$G,B1111)="","",INDEX(Bank!$G:$G,B1111)))</f>
        <v/>
      </c>
      <c r="D1111" s="5" t="str">
        <f aca="false">IF(B1111=0,"",IF(INDEX(Bank!$J:$J,B1111)="","",INDEX(Bank!$J:$J,B1111)))</f>
        <v/>
      </c>
      <c r="E1111" s="32" t="str">
        <f aca="false">IF(B1111=0,"",INDEX(Bank!$B:$B,B1111))</f>
        <v/>
      </c>
      <c r="F1111" s="5" t="str">
        <f aca="false">IF(B1111=0,"",IF(INDEX(Bank!$C:$C,B1111)="","",INDEX(Bank!$C:$C,B1111)))</f>
        <v/>
      </c>
      <c r="G1111" s="19" t="str">
        <f aca="false">IF(B1111=0,"",INDEX(Bank!$E:$E,B1111))</f>
        <v/>
      </c>
      <c r="H1111" s="5" t="str">
        <f aca="false">IF(B1111=0,"",IF(INDEX(Bank!$H:$H,B1111)="","",INDEX(Bank!$H:$H,B1111)))</f>
        <v/>
      </c>
      <c r="I1111" s="5" t="n">
        <f aca="false">IF(H1111="",0,IFERROR(MATCH(H1111,GL!$A:$A,0),0))</f>
        <v>0</v>
      </c>
      <c r="J1111" s="32" t="str">
        <f aca="false">IF(I1111=0,"",INDEX(GL!$B:$B,I1111))</f>
        <v/>
      </c>
      <c r="K1111" s="5" t="str">
        <f aca="false">IF(I1111=0,"",IF(INDEX(GL!$C:$C,I1111)="","",INDEX(GL!$C:$C,I1111)))</f>
        <v/>
      </c>
      <c r="L1111" s="19" t="str">
        <f aca="false">IF(I1111=0,"",INDEX(GL!$E:$E,I1111))</f>
        <v/>
      </c>
      <c r="M1111" s="19" t="str">
        <f aca="false">IF(OR(B1111=0,I1111=0),"",ROUND(G1111-L1111,2))</f>
        <v/>
      </c>
      <c r="N1111" s="5" t="str">
        <f aca="false">IF(A1111="","",IF(B1111=0,"NOT FOUND: bank ID",IF(I1111=0,"NOT FOUND: GL ID",IF(INDEX(GL!$H:$H,I1111)&lt;&gt;A1111,"BROKEN: GL points elsewhere",IF(OR(INDEX(Bank!$F:$F,B1111)&lt;&gt;"Y",INDEX(GL!$F:$F,I1111)&lt;&gt;"Y"),"BROKEN: Status not Y","OK")))))</f>
        <v/>
      </c>
    </row>
    <row r="1112" customFormat="false" ht="15" hidden="false" customHeight="false" outlineLevel="0" collapsed="false">
      <c r="A1112" s="41"/>
      <c r="B1112" s="5" t="n">
        <f aca="false">IF(A1112="",0,IFERROR(MATCH(A1112,Bank!$A:$A,0),0))</f>
        <v>0</v>
      </c>
      <c r="C1112" s="5" t="str">
        <f aca="false">IF(B1112=0,"",IF(INDEX(Bank!$G:$G,B1112)="","",INDEX(Bank!$G:$G,B1112)))</f>
        <v/>
      </c>
      <c r="D1112" s="5" t="str">
        <f aca="false">IF(B1112=0,"",IF(INDEX(Bank!$J:$J,B1112)="","",INDEX(Bank!$J:$J,B1112)))</f>
        <v/>
      </c>
      <c r="E1112" s="32" t="str">
        <f aca="false">IF(B1112=0,"",INDEX(Bank!$B:$B,B1112))</f>
        <v/>
      </c>
      <c r="F1112" s="5" t="str">
        <f aca="false">IF(B1112=0,"",IF(INDEX(Bank!$C:$C,B1112)="","",INDEX(Bank!$C:$C,B1112)))</f>
        <v/>
      </c>
      <c r="G1112" s="19" t="str">
        <f aca="false">IF(B1112=0,"",INDEX(Bank!$E:$E,B1112))</f>
        <v/>
      </c>
      <c r="H1112" s="5" t="str">
        <f aca="false">IF(B1112=0,"",IF(INDEX(Bank!$H:$H,B1112)="","",INDEX(Bank!$H:$H,B1112)))</f>
        <v/>
      </c>
      <c r="I1112" s="5" t="n">
        <f aca="false">IF(H1112="",0,IFERROR(MATCH(H1112,GL!$A:$A,0),0))</f>
        <v>0</v>
      </c>
      <c r="J1112" s="32" t="str">
        <f aca="false">IF(I1112=0,"",INDEX(GL!$B:$B,I1112))</f>
        <v/>
      </c>
      <c r="K1112" s="5" t="str">
        <f aca="false">IF(I1112=0,"",IF(INDEX(GL!$C:$C,I1112)="","",INDEX(GL!$C:$C,I1112)))</f>
        <v/>
      </c>
      <c r="L1112" s="19" t="str">
        <f aca="false">IF(I1112=0,"",INDEX(GL!$E:$E,I1112))</f>
        <v/>
      </c>
      <c r="M1112" s="19" t="str">
        <f aca="false">IF(OR(B1112=0,I1112=0),"",ROUND(G1112-L1112,2))</f>
        <v/>
      </c>
      <c r="N1112" s="5" t="str">
        <f aca="false">IF(A1112="","",IF(B1112=0,"NOT FOUND: bank ID",IF(I1112=0,"NOT FOUND: GL ID",IF(INDEX(GL!$H:$H,I1112)&lt;&gt;A1112,"BROKEN: GL points elsewhere",IF(OR(INDEX(Bank!$F:$F,B1112)&lt;&gt;"Y",INDEX(GL!$F:$F,I1112)&lt;&gt;"Y"),"BROKEN: Status not Y","OK")))))</f>
        <v/>
      </c>
    </row>
    <row r="1113" customFormat="false" ht="15" hidden="false" customHeight="false" outlineLevel="0" collapsed="false">
      <c r="A1113" s="41"/>
      <c r="B1113" s="5" t="n">
        <f aca="false">IF(A1113="",0,IFERROR(MATCH(A1113,Bank!$A:$A,0),0))</f>
        <v>0</v>
      </c>
      <c r="C1113" s="5" t="str">
        <f aca="false">IF(B1113=0,"",IF(INDEX(Bank!$G:$G,B1113)="","",INDEX(Bank!$G:$G,B1113)))</f>
        <v/>
      </c>
      <c r="D1113" s="5" t="str">
        <f aca="false">IF(B1113=0,"",IF(INDEX(Bank!$J:$J,B1113)="","",INDEX(Bank!$J:$J,B1113)))</f>
        <v/>
      </c>
      <c r="E1113" s="32" t="str">
        <f aca="false">IF(B1113=0,"",INDEX(Bank!$B:$B,B1113))</f>
        <v/>
      </c>
      <c r="F1113" s="5" t="str">
        <f aca="false">IF(B1113=0,"",IF(INDEX(Bank!$C:$C,B1113)="","",INDEX(Bank!$C:$C,B1113)))</f>
        <v/>
      </c>
      <c r="G1113" s="19" t="str">
        <f aca="false">IF(B1113=0,"",INDEX(Bank!$E:$E,B1113))</f>
        <v/>
      </c>
      <c r="H1113" s="5" t="str">
        <f aca="false">IF(B1113=0,"",IF(INDEX(Bank!$H:$H,B1113)="","",INDEX(Bank!$H:$H,B1113)))</f>
        <v/>
      </c>
      <c r="I1113" s="5" t="n">
        <f aca="false">IF(H1113="",0,IFERROR(MATCH(H1113,GL!$A:$A,0),0))</f>
        <v>0</v>
      </c>
      <c r="J1113" s="32" t="str">
        <f aca="false">IF(I1113=0,"",INDEX(GL!$B:$B,I1113))</f>
        <v/>
      </c>
      <c r="K1113" s="5" t="str">
        <f aca="false">IF(I1113=0,"",IF(INDEX(GL!$C:$C,I1113)="","",INDEX(GL!$C:$C,I1113)))</f>
        <v/>
      </c>
      <c r="L1113" s="19" t="str">
        <f aca="false">IF(I1113=0,"",INDEX(GL!$E:$E,I1113))</f>
        <v/>
      </c>
      <c r="M1113" s="19" t="str">
        <f aca="false">IF(OR(B1113=0,I1113=0),"",ROUND(G1113-L1113,2))</f>
        <v/>
      </c>
      <c r="N1113" s="5" t="str">
        <f aca="false">IF(A1113="","",IF(B1113=0,"NOT FOUND: bank ID",IF(I1113=0,"NOT FOUND: GL ID",IF(INDEX(GL!$H:$H,I1113)&lt;&gt;A1113,"BROKEN: GL points elsewhere",IF(OR(INDEX(Bank!$F:$F,B1113)&lt;&gt;"Y",INDEX(GL!$F:$F,I1113)&lt;&gt;"Y"),"BROKEN: Status not Y","OK")))))</f>
        <v/>
      </c>
    </row>
    <row r="1114" customFormat="false" ht="15" hidden="false" customHeight="false" outlineLevel="0" collapsed="false">
      <c r="A1114" s="41"/>
      <c r="B1114" s="5" t="n">
        <f aca="false">IF(A1114="",0,IFERROR(MATCH(A1114,Bank!$A:$A,0),0))</f>
        <v>0</v>
      </c>
      <c r="C1114" s="5" t="str">
        <f aca="false">IF(B1114=0,"",IF(INDEX(Bank!$G:$G,B1114)="","",INDEX(Bank!$G:$G,B1114)))</f>
        <v/>
      </c>
      <c r="D1114" s="5" t="str">
        <f aca="false">IF(B1114=0,"",IF(INDEX(Bank!$J:$J,B1114)="","",INDEX(Bank!$J:$J,B1114)))</f>
        <v/>
      </c>
      <c r="E1114" s="32" t="str">
        <f aca="false">IF(B1114=0,"",INDEX(Bank!$B:$B,B1114))</f>
        <v/>
      </c>
      <c r="F1114" s="5" t="str">
        <f aca="false">IF(B1114=0,"",IF(INDEX(Bank!$C:$C,B1114)="","",INDEX(Bank!$C:$C,B1114)))</f>
        <v/>
      </c>
      <c r="G1114" s="19" t="str">
        <f aca="false">IF(B1114=0,"",INDEX(Bank!$E:$E,B1114))</f>
        <v/>
      </c>
      <c r="H1114" s="5" t="str">
        <f aca="false">IF(B1114=0,"",IF(INDEX(Bank!$H:$H,B1114)="","",INDEX(Bank!$H:$H,B1114)))</f>
        <v/>
      </c>
      <c r="I1114" s="5" t="n">
        <f aca="false">IF(H1114="",0,IFERROR(MATCH(H1114,GL!$A:$A,0),0))</f>
        <v>0</v>
      </c>
      <c r="J1114" s="32" t="str">
        <f aca="false">IF(I1114=0,"",INDEX(GL!$B:$B,I1114))</f>
        <v/>
      </c>
      <c r="K1114" s="5" t="str">
        <f aca="false">IF(I1114=0,"",IF(INDEX(GL!$C:$C,I1114)="","",INDEX(GL!$C:$C,I1114)))</f>
        <v/>
      </c>
      <c r="L1114" s="19" t="str">
        <f aca="false">IF(I1114=0,"",INDEX(GL!$E:$E,I1114))</f>
        <v/>
      </c>
      <c r="M1114" s="19" t="str">
        <f aca="false">IF(OR(B1114=0,I1114=0),"",ROUND(G1114-L1114,2))</f>
        <v/>
      </c>
      <c r="N1114" s="5" t="str">
        <f aca="false">IF(A1114="","",IF(B1114=0,"NOT FOUND: bank ID",IF(I1114=0,"NOT FOUND: GL ID",IF(INDEX(GL!$H:$H,I1114)&lt;&gt;A1114,"BROKEN: GL points elsewhere",IF(OR(INDEX(Bank!$F:$F,B1114)&lt;&gt;"Y",INDEX(GL!$F:$F,I1114)&lt;&gt;"Y"),"BROKEN: Status not Y","OK")))))</f>
        <v/>
      </c>
    </row>
    <row r="1115" customFormat="false" ht="15" hidden="false" customHeight="false" outlineLevel="0" collapsed="false">
      <c r="A1115" s="41"/>
      <c r="B1115" s="5" t="n">
        <f aca="false">IF(A1115="",0,IFERROR(MATCH(A1115,Bank!$A:$A,0),0))</f>
        <v>0</v>
      </c>
      <c r="C1115" s="5" t="str">
        <f aca="false">IF(B1115=0,"",IF(INDEX(Bank!$G:$G,B1115)="","",INDEX(Bank!$G:$G,B1115)))</f>
        <v/>
      </c>
      <c r="D1115" s="5" t="str">
        <f aca="false">IF(B1115=0,"",IF(INDEX(Bank!$J:$J,B1115)="","",INDEX(Bank!$J:$J,B1115)))</f>
        <v/>
      </c>
      <c r="E1115" s="32" t="str">
        <f aca="false">IF(B1115=0,"",INDEX(Bank!$B:$B,B1115))</f>
        <v/>
      </c>
      <c r="F1115" s="5" t="str">
        <f aca="false">IF(B1115=0,"",IF(INDEX(Bank!$C:$C,B1115)="","",INDEX(Bank!$C:$C,B1115)))</f>
        <v/>
      </c>
      <c r="G1115" s="19" t="str">
        <f aca="false">IF(B1115=0,"",INDEX(Bank!$E:$E,B1115))</f>
        <v/>
      </c>
      <c r="H1115" s="5" t="str">
        <f aca="false">IF(B1115=0,"",IF(INDEX(Bank!$H:$H,B1115)="","",INDEX(Bank!$H:$H,B1115)))</f>
        <v/>
      </c>
      <c r="I1115" s="5" t="n">
        <f aca="false">IF(H1115="",0,IFERROR(MATCH(H1115,GL!$A:$A,0),0))</f>
        <v>0</v>
      </c>
      <c r="J1115" s="32" t="str">
        <f aca="false">IF(I1115=0,"",INDEX(GL!$B:$B,I1115))</f>
        <v/>
      </c>
      <c r="K1115" s="5" t="str">
        <f aca="false">IF(I1115=0,"",IF(INDEX(GL!$C:$C,I1115)="","",INDEX(GL!$C:$C,I1115)))</f>
        <v/>
      </c>
      <c r="L1115" s="19" t="str">
        <f aca="false">IF(I1115=0,"",INDEX(GL!$E:$E,I1115))</f>
        <v/>
      </c>
      <c r="M1115" s="19" t="str">
        <f aca="false">IF(OR(B1115=0,I1115=0),"",ROUND(G1115-L1115,2))</f>
        <v/>
      </c>
      <c r="N1115" s="5" t="str">
        <f aca="false">IF(A1115="","",IF(B1115=0,"NOT FOUND: bank ID",IF(I1115=0,"NOT FOUND: GL ID",IF(INDEX(GL!$H:$H,I1115)&lt;&gt;A1115,"BROKEN: GL points elsewhere",IF(OR(INDEX(Bank!$F:$F,B1115)&lt;&gt;"Y",INDEX(GL!$F:$F,I1115)&lt;&gt;"Y"),"BROKEN: Status not Y","OK")))))</f>
        <v/>
      </c>
    </row>
    <row r="1116" customFormat="false" ht="15" hidden="false" customHeight="false" outlineLevel="0" collapsed="false">
      <c r="A1116" s="41"/>
      <c r="B1116" s="5" t="n">
        <f aca="false">IF(A1116="",0,IFERROR(MATCH(A1116,Bank!$A:$A,0),0))</f>
        <v>0</v>
      </c>
      <c r="C1116" s="5" t="str">
        <f aca="false">IF(B1116=0,"",IF(INDEX(Bank!$G:$G,B1116)="","",INDEX(Bank!$G:$G,B1116)))</f>
        <v/>
      </c>
      <c r="D1116" s="5" t="str">
        <f aca="false">IF(B1116=0,"",IF(INDEX(Bank!$J:$J,B1116)="","",INDEX(Bank!$J:$J,B1116)))</f>
        <v/>
      </c>
      <c r="E1116" s="32" t="str">
        <f aca="false">IF(B1116=0,"",INDEX(Bank!$B:$B,B1116))</f>
        <v/>
      </c>
      <c r="F1116" s="5" t="str">
        <f aca="false">IF(B1116=0,"",IF(INDEX(Bank!$C:$C,B1116)="","",INDEX(Bank!$C:$C,B1116)))</f>
        <v/>
      </c>
      <c r="G1116" s="19" t="str">
        <f aca="false">IF(B1116=0,"",INDEX(Bank!$E:$E,B1116))</f>
        <v/>
      </c>
      <c r="H1116" s="5" t="str">
        <f aca="false">IF(B1116=0,"",IF(INDEX(Bank!$H:$H,B1116)="","",INDEX(Bank!$H:$H,B1116)))</f>
        <v/>
      </c>
      <c r="I1116" s="5" t="n">
        <f aca="false">IF(H1116="",0,IFERROR(MATCH(H1116,GL!$A:$A,0),0))</f>
        <v>0</v>
      </c>
      <c r="J1116" s="32" t="str">
        <f aca="false">IF(I1116=0,"",INDEX(GL!$B:$B,I1116))</f>
        <v/>
      </c>
      <c r="K1116" s="5" t="str">
        <f aca="false">IF(I1116=0,"",IF(INDEX(GL!$C:$C,I1116)="","",INDEX(GL!$C:$C,I1116)))</f>
        <v/>
      </c>
      <c r="L1116" s="19" t="str">
        <f aca="false">IF(I1116=0,"",INDEX(GL!$E:$E,I1116))</f>
        <v/>
      </c>
      <c r="M1116" s="19" t="str">
        <f aca="false">IF(OR(B1116=0,I1116=0),"",ROUND(G1116-L1116,2))</f>
        <v/>
      </c>
      <c r="N1116" s="5" t="str">
        <f aca="false">IF(A1116="","",IF(B1116=0,"NOT FOUND: bank ID",IF(I1116=0,"NOT FOUND: GL ID",IF(INDEX(GL!$H:$H,I1116)&lt;&gt;A1116,"BROKEN: GL points elsewhere",IF(OR(INDEX(Bank!$F:$F,B1116)&lt;&gt;"Y",INDEX(GL!$F:$F,I1116)&lt;&gt;"Y"),"BROKEN: Status not Y","OK")))))</f>
        <v/>
      </c>
    </row>
    <row r="1117" customFormat="false" ht="15" hidden="false" customHeight="false" outlineLevel="0" collapsed="false">
      <c r="A1117" s="41"/>
      <c r="B1117" s="5" t="n">
        <f aca="false">IF(A1117="",0,IFERROR(MATCH(A1117,Bank!$A:$A,0),0))</f>
        <v>0</v>
      </c>
      <c r="C1117" s="5" t="str">
        <f aca="false">IF(B1117=0,"",IF(INDEX(Bank!$G:$G,B1117)="","",INDEX(Bank!$G:$G,B1117)))</f>
        <v/>
      </c>
      <c r="D1117" s="5" t="str">
        <f aca="false">IF(B1117=0,"",IF(INDEX(Bank!$J:$J,B1117)="","",INDEX(Bank!$J:$J,B1117)))</f>
        <v/>
      </c>
      <c r="E1117" s="32" t="str">
        <f aca="false">IF(B1117=0,"",INDEX(Bank!$B:$B,B1117))</f>
        <v/>
      </c>
      <c r="F1117" s="5" t="str">
        <f aca="false">IF(B1117=0,"",IF(INDEX(Bank!$C:$C,B1117)="","",INDEX(Bank!$C:$C,B1117)))</f>
        <v/>
      </c>
      <c r="G1117" s="19" t="str">
        <f aca="false">IF(B1117=0,"",INDEX(Bank!$E:$E,B1117))</f>
        <v/>
      </c>
      <c r="H1117" s="5" t="str">
        <f aca="false">IF(B1117=0,"",IF(INDEX(Bank!$H:$H,B1117)="","",INDEX(Bank!$H:$H,B1117)))</f>
        <v/>
      </c>
      <c r="I1117" s="5" t="n">
        <f aca="false">IF(H1117="",0,IFERROR(MATCH(H1117,GL!$A:$A,0),0))</f>
        <v>0</v>
      </c>
      <c r="J1117" s="32" t="str">
        <f aca="false">IF(I1117=0,"",INDEX(GL!$B:$B,I1117))</f>
        <v/>
      </c>
      <c r="K1117" s="5" t="str">
        <f aca="false">IF(I1117=0,"",IF(INDEX(GL!$C:$C,I1117)="","",INDEX(GL!$C:$C,I1117)))</f>
        <v/>
      </c>
      <c r="L1117" s="19" t="str">
        <f aca="false">IF(I1117=0,"",INDEX(GL!$E:$E,I1117))</f>
        <v/>
      </c>
      <c r="M1117" s="19" t="str">
        <f aca="false">IF(OR(B1117=0,I1117=0),"",ROUND(G1117-L1117,2))</f>
        <v/>
      </c>
      <c r="N1117" s="5" t="str">
        <f aca="false">IF(A1117="","",IF(B1117=0,"NOT FOUND: bank ID",IF(I1117=0,"NOT FOUND: GL ID",IF(INDEX(GL!$H:$H,I1117)&lt;&gt;A1117,"BROKEN: GL points elsewhere",IF(OR(INDEX(Bank!$F:$F,B1117)&lt;&gt;"Y",INDEX(GL!$F:$F,I1117)&lt;&gt;"Y"),"BROKEN: Status not Y","OK")))))</f>
        <v/>
      </c>
    </row>
    <row r="1118" customFormat="false" ht="15" hidden="false" customHeight="false" outlineLevel="0" collapsed="false">
      <c r="A1118" s="41"/>
      <c r="B1118" s="5" t="n">
        <f aca="false">IF(A1118="",0,IFERROR(MATCH(A1118,Bank!$A:$A,0),0))</f>
        <v>0</v>
      </c>
      <c r="C1118" s="5" t="str">
        <f aca="false">IF(B1118=0,"",IF(INDEX(Bank!$G:$G,B1118)="","",INDEX(Bank!$G:$G,B1118)))</f>
        <v/>
      </c>
      <c r="D1118" s="5" t="str">
        <f aca="false">IF(B1118=0,"",IF(INDEX(Bank!$J:$J,B1118)="","",INDEX(Bank!$J:$J,B1118)))</f>
        <v/>
      </c>
      <c r="E1118" s="32" t="str">
        <f aca="false">IF(B1118=0,"",INDEX(Bank!$B:$B,B1118))</f>
        <v/>
      </c>
      <c r="F1118" s="5" t="str">
        <f aca="false">IF(B1118=0,"",IF(INDEX(Bank!$C:$C,B1118)="","",INDEX(Bank!$C:$C,B1118)))</f>
        <v/>
      </c>
      <c r="G1118" s="19" t="str">
        <f aca="false">IF(B1118=0,"",INDEX(Bank!$E:$E,B1118))</f>
        <v/>
      </c>
      <c r="H1118" s="5" t="str">
        <f aca="false">IF(B1118=0,"",IF(INDEX(Bank!$H:$H,B1118)="","",INDEX(Bank!$H:$H,B1118)))</f>
        <v/>
      </c>
      <c r="I1118" s="5" t="n">
        <f aca="false">IF(H1118="",0,IFERROR(MATCH(H1118,GL!$A:$A,0),0))</f>
        <v>0</v>
      </c>
      <c r="J1118" s="32" t="str">
        <f aca="false">IF(I1118=0,"",INDEX(GL!$B:$B,I1118))</f>
        <v/>
      </c>
      <c r="K1118" s="5" t="str">
        <f aca="false">IF(I1118=0,"",IF(INDEX(GL!$C:$C,I1118)="","",INDEX(GL!$C:$C,I1118)))</f>
        <v/>
      </c>
      <c r="L1118" s="19" t="str">
        <f aca="false">IF(I1118=0,"",INDEX(GL!$E:$E,I1118))</f>
        <v/>
      </c>
      <c r="M1118" s="19" t="str">
        <f aca="false">IF(OR(B1118=0,I1118=0),"",ROUND(G1118-L1118,2))</f>
        <v/>
      </c>
      <c r="N1118" s="5" t="str">
        <f aca="false">IF(A1118="","",IF(B1118=0,"NOT FOUND: bank ID",IF(I1118=0,"NOT FOUND: GL ID",IF(INDEX(GL!$H:$H,I1118)&lt;&gt;A1118,"BROKEN: GL points elsewhere",IF(OR(INDEX(Bank!$F:$F,B1118)&lt;&gt;"Y",INDEX(GL!$F:$F,I1118)&lt;&gt;"Y"),"BROKEN: Status not Y","OK")))))</f>
        <v/>
      </c>
    </row>
    <row r="1119" customFormat="false" ht="15" hidden="false" customHeight="false" outlineLevel="0" collapsed="false">
      <c r="A1119" s="41"/>
      <c r="B1119" s="5" t="n">
        <f aca="false">IF(A1119="",0,IFERROR(MATCH(A1119,Bank!$A:$A,0),0))</f>
        <v>0</v>
      </c>
      <c r="C1119" s="5" t="str">
        <f aca="false">IF(B1119=0,"",IF(INDEX(Bank!$G:$G,B1119)="","",INDEX(Bank!$G:$G,B1119)))</f>
        <v/>
      </c>
      <c r="D1119" s="5" t="str">
        <f aca="false">IF(B1119=0,"",IF(INDEX(Bank!$J:$J,B1119)="","",INDEX(Bank!$J:$J,B1119)))</f>
        <v/>
      </c>
      <c r="E1119" s="32" t="str">
        <f aca="false">IF(B1119=0,"",INDEX(Bank!$B:$B,B1119))</f>
        <v/>
      </c>
      <c r="F1119" s="5" t="str">
        <f aca="false">IF(B1119=0,"",IF(INDEX(Bank!$C:$C,B1119)="","",INDEX(Bank!$C:$C,B1119)))</f>
        <v/>
      </c>
      <c r="G1119" s="19" t="str">
        <f aca="false">IF(B1119=0,"",INDEX(Bank!$E:$E,B1119))</f>
        <v/>
      </c>
      <c r="H1119" s="5" t="str">
        <f aca="false">IF(B1119=0,"",IF(INDEX(Bank!$H:$H,B1119)="","",INDEX(Bank!$H:$H,B1119)))</f>
        <v/>
      </c>
      <c r="I1119" s="5" t="n">
        <f aca="false">IF(H1119="",0,IFERROR(MATCH(H1119,GL!$A:$A,0),0))</f>
        <v>0</v>
      </c>
      <c r="J1119" s="32" t="str">
        <f aca="false">IF(I1119=0,"",INDEX(GL!$B:$B,I1119))</f>
        <v/>
      </c>
      <c r="K1119" s="5" t="str">
        <f aca="false">IF(I1119=0,"",IF(INDEX(GL!$C:$C,I1119)="","",INDEX(GL!$C:$C,I1119)))</f>
        <v/>
      </c>
      <c r="L1119" s="19" t="str">
        <f aca="false">IF(I1119=0,"",INDEX(GL!$E:$E,I1119))</f>
        <v/>
      </c>
      <c r="M1119" s="19" t="str">
        <f aca="false">IF(OR(B1119=0,I1119=0),"",ROUND(G1119-L1119,2))</f>
        <v/>
      </c>
      <c r="N1119" s="5" t="str">
        <f aca="false">IF(A1119="","",IF(B1119=0,"NOT FOUND: bank ID",IF(I1119=0,"NOT FOUND: GL ID",IF(INDEX(GL!$H:$H,I1119)&lt;&gt;A1119,"BROKEN: GL points elsewhere",IF(OR(INDEX(Bank!$F:$F,B1119)&lt;&gt;"Y",INDEX(GL!$F:$F,I1119)&lt;&gt;"Y"),"BROKEN: Status not Y","OK")))))</f>
        <v/>
      </c>
    </row>
    <row r="1120" customFormat="false" ht="15" hidden="false" customHeight="false" outlineLevel="0" collapsed="false">
      <c r="A1120" s="41"/>
      <c r="B1120" s="5" t="n">
        <f aca="false">IF(A1120="",0,IFERROR(MATCH(A1120,Bank!$A:$A,0),0))</f>
        <v>0</v>
      </c>
      <c r="C1120" s="5" t="str">
        <f aca="false">IF(B1120=0,"",IF(INDEX(Bank!$G:$G,B1120)="","",INDEX(Bank!$G:$G,B1120)))</f>
        <v/>
      </c>
      <c r="D1120" s="5" t="str">
        <f aca="false">IF(B1120=0,"",IF(INDEX(Bank!$J:$J,B1120)="","",INDEX(Bank!$J:$J,B1120)))</f>
        <v/>
      </c>
      <c r="E1120" s="32" t="str">
        <f aca="false">IF(B1120=0,"",INDEX(Bank!$B:$B,B1120))</f>
        <v/>
      </c>
      <c r="F1120" s="5" t="str">
        <f aca="false">IF(B1120=0,"",IF(INDEX(Bank!$C:$C,B1120)="","",INDEX(Bank!$C:$C,B1120)))</f>
        <v/>
      </c>
      <c r="G1120" s="19" t="str">
        <f aca="false">IF(B1120=0,"",INDEX(Bank!$E:$E,B1120))</f>
        <v/>
      </c>
      <c r="H1120" s="5" t="str">
        <f aca="false">IF(B1120=0,"",IF(INDEX(Bank!$H:$H,B1120)="","",INDEX(Bank!$H:$H,B1120)))</f>
        <v/>
      </c>
      <c r="I1120" s="5" t="n">
        <f aca="false">IF(H1120="",0,IFERROR(MATCH(H1120,GL!$A:$A,0),0))</f>
        <v>0</v>
      </c>
      <c r="J1120" s="32" t="str">
        <f aca="false">IF(I1120=0,"",INDEX(GL!$B:$B,I1120))</f>
        <v/>
      </c>
      <c r="K1120" s="5" t="str">
        <f aca="false">IF(I1120=0,"",IF(INDEX(GL!$C:$C,I1120)="","",INDEX(GL!$C:$C,I1120)))</f>
        <v/>
      </c>
      <c r="L1120" s="19" t="str">
        <f aca="false">IF(I1120=0,"",INDEX(GL!$E:$E,I1120))</f>
        <v/>
      </c>
      <c r="M1120" s="19" t="str">
        <f aca="false">IF(OR(B1120=0,I1120=0),"",ROUND(G1120-L1120,2))</f>
        <v/>
      </c>
      <c r="N1120" s="5" t="str">
        <f aca="false">IF(A1120="","",IF(B1120=0,"NOT FOUND: bank ID",IF(I1120=0,"NOT FOUND: GL ID",IF(INDEX(GL!$H:$H,I1120)&lt;&gt;A1120,"BROKEN: GL points elsewhere",IF(OR(INDEX(Bank!$F:$F,B1120)&lt;&gt;"Y",INDEX(GL!$F:$F,I1120)&lt;&gt;"Y"),"BROKEN: Status not Y","OK")))))</f>
        <v/>
      </c>
    </row>
    <row r="1121" customFormat="false" ht="15" hidden="false" customHeight="false" outlineLevel="0" collapsed="false">
      <c r="A1121" s="41"/>
      <c r="B1121" s="5" t="n">
        <f aca="false">IF(A1121="",0,IFERROR(MATCH(A1121,Bank!$A:$A,0),0))</f>
        <v>0</v>
      </c>
      <c r="C1121" s="5" t="str">
        <f aca="false">IF(B1121=0,"",IF(INDEX(Bank!$G:$G,B1121)="","",INDEX(Bank!$G:$G,B1121)))</f>
        <v/>
      </c>
      <c r="D1121" s="5" t="str">
        <f aca="false">IF(B1121=0,"",IF(INDEX(Bank!$J:$J,B1121)="","",INDEX(Bank!$J:$J,B1121)))</f>
        <v/>
      </c>
      <c r="E1121" s="32" t="str">
        <f aca="false">IF(B1121=0,"",INDEX(Bank!$B:$B,B1121))</f>
        <v/>
      </c>
      <c r="F1121" s="5" t="str">
        <f aca="false">IF(B1121=0,"",IF(INDEX(Bank!$C:$C,B1121)="","",INDEX(Bank!$C:$C,B1121)))</f>
        <v/>
      </c>
      <c r="G1121" s="19" t="str">
        <f aca="false">IF(B1121=0,"",INDEX(Bank!$E:$E,B1121))</f>
        <v/>
      </c>
      <c r="H1121" s="5" t="str">
        <f aca="false">IF(B1121=0,"",IF(INDEX(Bank!$H:$H,B1121)="","",INDEX(Bank!$H:$H,B1121)))</f>
        <v/>
      </c>
      <c r="I1121" s="5" t="n">
        <f aca="false">IF(H1121="",0,IFERROR(MATCH(H1121,GL!$A:$A,0),0))</f>
        <v>0</v>
      </c>
      <c r="J1121" s="32" t="str">
        <f aca="false">IF(I1121=0,"",INDEX(GL!$B:$B,I1121))</f>
        <v/>
      </c>
      <c r="K1121" s="5" t="str">
        <f aca="false">IF(I1121=0,"",IF(INDEX(GL!$C:$C,I1121)="","",INDEX(GL!$C:$C,I1121)))</f>
        <v/>
      </c>
      <c r="L1121" s="19" t="str">
        <f aca="false">IF(I1121=0,"",INDEX(GL!$E:$E,I1121))</f>
        <v/>
      </c>
      <c r="M1121" s="19" t="str">
        <f aca="false">IF(OR(B1121=0,I1121=0),"",ROUND(G1121-L1121,2))</f>
        <v/>
      </c>
      <c r="N1121" s="5" t="str">
        <f aca="false">IF(A1121="","",IF(B1121=0,"NOT FOUND: bank ID",IF(I1121=0,"NOT FOUND: GL ID",IF(INDEX(GL!$H:$H,I1121)&lt;&gt;A1121,"BROKEN: GL points elsewhere",IF(OR(INDEX(Bank!$F:$F,B1121)&lt;&gt;"Y",INDEX(GL!$F:$F,I1121)&lt;&gt;"Y"),"BROKEN: Status not Y","OK")))))</f>
        <v/>
      </c>
    </row>
    <row r="1122" customFormat="false" ht="15" hidden="false" customHeight="false" outlineLevel="0" collapsed="false">
      <c r="A1122" s="41"/>
      <c r="B1122" s="5" t="n">
        <f aca="false">IF(A1122="",0,IFERROR(MATCH(A1122,Bank!$A:$A,0),0))</f>
        <v>0</v>
      </c>
      <c r="C1122" s="5" t="str">
        <f aca="false">IF(B1122=0,"",IF(INDEX(Bank!$G:$G,B1122)="","",INDEX(Bank!$G:$G,B1122)))</f>
        <v/>
      </c>
      <c r="D1122" s="5" t="str">
        <f aca="false">IF(B1122=0,"",IF(INDEX(Bank!$J:$J,B1122)="","",INDEX(Bank!$J:$J,B1122)))</f>
        <v/>
      </c>
      <c r="E1122" s="32" t="str">
        <f aca="false">IF(B1122=0,"",INDEX(Bank!$B:$B,B1122))</f>
        <v/>
      </c>
      <c r="F1122" s="5" t="str">
        <f aca="false">IF(B1122=0,"",IF(INDEX(Bank!$C:$C,B1122)="","",INDEX(Bank!$C:$C,B1122)))</f>
        <v/>
      </c>
      <c r="G1122" s="19" t="str">
        <f aca="false">IF(B1122=0,"",INDEX(Bank!$E:$E,B1122))</f>
        <v/>
      </c>
      <c r="H1122" s="5" t="str">
        <f aca="false">IF(B1122=0,"",IF(INDEX(Bank!$H:$H,B1122)="","",INDEX(Bank!$H:$H,B1122)))</f>
        <v/>
      </c>
      <c r="I1122" s="5" t="n">
        <f aca="false">IF(H1122="",0,IFERROR(MATCH(H1122,GL!$A:$A,0),0))</f>
        <v>0</v>
      </c>
      <c r="J1122" s="32" t="str">
        <f aca="false">IF(I1122=0,"",INDEX(GL!$B:$B,I1122))</f>
        <v/>
      </c>
      <c r="K1122" s="5" t="str">
        <f aca="false">IF(I1122=0,"",IF(INDEX(GL!$C:$C,I1122)="","",INDEX(GL!$C:$C,I1122)))</f>
        <v/>
      </c>
      <c r="L1122" s="19" t="str">
        <f aca="false">IF(I1122=0,"",INDEX(GL!$E:$E,I1122))</f>
        <v/>
      </c>
      <c r="M1122" s="19" t="str">
        <f aca="false">IF(OR(B1122=0,I1122=0),"",ROUND(G1122-L1122,2))</f>
        <v/>
      </c>
      <c r="N1122" s="5" t="str">
        <f aca="false">IF(A1122="","",IF(B1122=0,"NOT FOUND: bank ID",IF(I1122=0,"NOT FOUND: GL ID",IF(INDEX(GL!$H:$H,I1122)&lt;&gt;A1122,"BROKEN: GL points elsewhere",IF(OR(INDEX(Bank!$F:$F,B1122)&lt;&gt;"Y",INDEX(GL!$F:$F,I1122)&lt;&gt;"Y"),"BROKEN: Status not Y","OK")))))</f>
        <v/>
      </c>
    </row>
    <row r="1123" customFormat="false" ht="15" hidden="false" customHeight="false" outlineLevel="0" collapsed="false">
      <c r="A1123" s="41"/>
      <c r="B1123" s="5" t="n">
        <f aca="false">IF(A1123="",0,IFERROR(MATCH(A1123,Bank!$A:$A,0),0))</f>
        <v>0</v>
      </c>
      <c r="C1123" s="5" t="str">
        <f aca="false">IF(B1123=0,"",IF(INDEX(Bank!$G:$G,B1123)="","",INDEX(Bank!$G:$G,B1123)))</f>
        <v/>
      </c>
      <c r="D1123" s="5" t="str">
        <f aca="false">IF(B1123=0,"",IF(INDEX(Bank!$J:$J,B1123)="","",INDEX(Bank!$J:$J,B1123)))</f>
        <v/>
      </c>
      <c r="E1123" s="32" t="str">
        <f aca="false">IF(B1123=0,"",INDEX(Bank!$B:$B,B1123))</f>
        <v/>
      </c>
      <c r="F1123" s="5" t="str">
        <f aca="false">IF(B1123=0,"",IF(INDEX(Bank!$C:$C,B1123)="","",INDEX(Bank!$C:$C,B1123)))</f>
        <v/>
      </c>
      <c r="G1123" s="19" t="str">
        <f aca="false">IF(B1123=0,"",INDEX(Bank!$E:$E,B1123))</f>
        <v/>
      </c>
      <c r="H1123" s="5" t="str">
        <f aca="false">IF(B1123=0,"",IF(INDEX(Bank!$H:$H,B1123)="","",INDEX(Bank!$H:$H,B1123)))</f>
        <v/>
      </c>
      <c r="I1123" s="5" t="n">
        <f aca="false">IF(H1123="",0,IFERROR(MATCH(H1123,GL!$A:$A,0),0))</f>
        <v>0</v>
      </c>
      <c r="J1123" s="32" t="str">
        <f aca="false">IF(I1123=0,"",INDEX(GL!$B:$B,I1123))</f>
        <v/>
      </c>
      <c r="K1123" s="5" t="str">
        <f aca="false">IF(I1123=0,"",IF(INDEX(GL!$C:$C,I1123)="","",INDEX(GL!$C:$C,I1123)))</f>
        <v/>
      </c>
      <c r="L1123" s="19" t="str">
        <f aca="false">IF(I1123=0,"",INDEX(GL!$E:$E,I1123))</f>
        <v/>
      </c>
      <c r="M1123" s="19" t="str">
        <f aca="false">IF(OR(B1123=0,I1123=0),"",ROUND(G1123-L1123,2))</f>
        <v/>
      </c>
      <c r="N1123" s="5" t="str">
        <f aca="false">IF(A1123="","",IF(B1123=0,"NOT FOUND: bank ID",IF(I1123=0,"NOT FOUND: GL ID",IF(INDEX(GL!$H:$H,I1123)&lt;&gt;A1123,"BROKEN: GL points elsewhere",IF(OR(INDEX(Bank!$F:$F,B1123)&lt;&gt;"Y",INDEX(GL!$F:$F,I1123)&lt;&gt;"Y"),"BROKEN: Status not Y","OK")))))</f>
        <v/>
      </c>
    </row>
    <row r="1124" customFormat="false" ht="15" hidden="false" customHeight="false" outlineLevel="0" collapsed="false">
      <c r="A1124" s="41"/>
      <c r="B1124" s="5" t="n">
        <f aca="false">IF(A1124="",0,IFERROR(MATCH(A1124,Bank!$A:$A,0),0))</f>
        <v>0</v>
      </c>
      <c r="C1124" s="5" t="str">
        <f aca="false">IF(B1124=0,"",IF(INDEX(Bank!$G:$G,B1124)="","",INDEX(Bank!$G:$G,B1124)))</f>
        <v/>
      </c>
      <c r="D1124" s="5" t="str">
        <f aca="false">IF(B1124=0,"",IF(INDEX(Bank!$J:$J,B1124)="","",INDEX(Bank!$J:$J,B1124)))</f>
        <v/>
      </c>
      <c r="E1124" s="32" t="str">
        <f aca="false">IF(B1124=0,"",INDEX(Bank!$B:$B,B1124))</f>
        <v/>
      </c>
      <c r="F1124" s="5" t="str">
        <f aca="false">IF(B1124=0,"",IF(INDEX(Bank!$C:$C,B1124)="","",INDEX(Bank!$C:$C,B1124)))</f>
        <v/>
      </c>
      <c r="G1124" s="19" t="str">
        <f aca="false">IF(B1124=0,"",INDEX(Bank!$E:$E,B1124))</f>
        <v/>
      </c>
      <c r="H1124" s="5" t="str">
        <f aca="false">IF(B1124=0,"",IF(INDEX(Bank!$H:$H,B1124)="","",INDEX(Bank!$H:$H,B1124)))</f>
        <v/>
      </c>
      <c r="I1124" s="5" t="n">
        <f aca="false">IF(H1124="",0,IFERROR(MATCH(H1124,GL!$A:$A,0),0))</f>
        <v>0</v>
      </c>
      <c r="J1124" s="32" t="str">
        <f aca="false">IF(I1124=0,"",INDEX(GL!$B:$B,I1124))</f>
        <v/>
      </c>
      <c r="K1124" s="5" t="str">
        <f aca="false">IF(I1124=0,"",IF(INDEX(GL!$C:$C,I1124)="","",INDEX(GL!$C:$C,I1124)))</f>
        <v/>
      </c>
      <c r="L1124" s="19" t="str">
        <f aca="false">IF(I1124=0,"",INDEX(GL!$E:$E,I1124))</f>
        <v/>
      </c>
      <c r="M1124" s="19" t="str">
        <f aca="false">IF(OR(B1124=0,I1124=0),"",ROUND(G1124-L1124,2))</f>
        <v/>
      </c>
      <c r="N1124" s="5" t="str">
        <f aca="false">IF(A1124="","",IF(B1124=0,"NOT FOUND: bank ID",IF(I1124=0,"NOT FOUND: GL ID",IF(INDEX(GL!$H:$H,I1124)&lt;&gt;A1124,"BROKEN: GL points elsewhere",IF(OR(INDEX(Bank!$F:$F,B1124)&lt;&gt;"Y",INDEX(GL!$F:$F,I1124)&lt;&gt;"Y"),"BROKEN: Status not Y","OK")))))</f>
        <v/>
      </c>
    </row>
    <row r="1125" customFormat="false" ht="15" hidden="false" customHeight="false" outlineLevel="0" collapsed="false">
      <c r="A1125" s="41"/>
      <c r="B1125" s="5" t="n">
        <f aca="false">IF(A1125="",0,IFERROR(MATCH(A1125,Bank!$A:$A,0),0))</f>
        <v>0</v>
      </c>
      <c r="C1125" s="5" t="str">
        <f aca="false">IF(B1125=0,"",IF(INDEX(Bank!$G:$G,B1125)="","",INDEX(Bank!$G:$G,B1125)))</f>
        <v/>
      </c>
      <c r="D1125" s="5" t="str">
        <f aca="false">IF(B1125=0,"",IF(INDEX(Bank!$J:$J,B1125)="","",INDEX(Bank!$J:$J,B1125)))</f>
        <v/>
      </c>
      <c r="E1125" s="32" t="str">
        <f aca="false">IF(B1125=0,"",INDEX(Bank!$B:$B,B1125))</f>
        <v/>
      </c>
      <c r="F1125" s="5" t="str">
        <f aca="false">IF(B1125=0,"",IF(INDEX(Bank!$C:$C,B1125)="","",INDEX(Bank!$C:$C,B1125)))</f>
        <v/>
      </c>
      <c r="G1125" s="19" t="str">
        <f aca="false">IF(B1125=0,"",INDEX(Bank!$E:$E,B1125))</f>
        <v/>
      </c>
      <c r="H1125" s="5" t="str">
        <f aca="false">IF(B1125=0,"",IF(INDEX(Bank!$H:$H,B1125)="","",INDEX(Bank!$H:$H,B1125)))</f>
        <v/>
      </c>
      <c r="I1125" s="5" t="n">
        <f aca="false">IF(H1125="",0,IFERROR(MATCH(H1125,GL!$A:$A,0),0))</f>
        <v>0</v>
      </c>
      <c r="J1125" s="32" t="str">
        <f aca="false">IF(I1125=0,"",INDEX(GL!$B:$B,I1125))</f>
        <v/>
      </c>
      <c r="K1125" s="5" t="str">
        <f aca="false">IF(I1125=0,"",IF(INDEX(GL!$C:$C,I1125)="","",INDEX(GL!$C:$C,I1125)))</f>
        <v/>
      </c>
      <c r="L1125" s="19" t="str">
        <f aca="false">IF(I1125=0,"",INDEX(GL!$E:$E,I1125))</f>
        <v/>
      </c>
      <c r="M1125" s="19" t="str">
        <f aca="false">IF(OR(B1125=0,I1125=0),"",ROUND(G1125-L1125,2))</f>
        <v/>
      </c>
      <c r="N1125" s="5" t="str">
        <f aca="false">IF(A1125="","",IF(B1125=0,"NOT FOUND: bank ID",IF(I1125=0,"NOT FOUND: GL ID",IF(INDEX(GL!$H:$H,I1125)&lt;&gt;A1125,"BROKEN: GL points elsewhere",IF(OR(INDEX(Bank!$F:$F,B1125)&lt;&gt;"Y",INDEX(GL!$F:$F,I1125)&lt;&gt;"Y"),"BROKEN: Status not Y","OK")))))</f>
        <v/>
      </c>
    </row>
    <row r="1126" customFormat="false" ht="15" hidden="false" customHeight="false" outlineLevel="0" collapsed="false">
      <c r="A1126" s="41"/>
      <c r="B1126" s="5" t="n">
        <f aca="false">IF(A1126="",0,IFERROR(MATCH(A1126,Bank!$A:$A,0),0))</f>
        <v>0</v>
      </c>
      <c r="C1126" s="5" t="str">
        <f aca="false">IF(B1126=0,"",IF(INDEX(Bank!$G:$G,B1126)="","",INDEX(Bank!$G:$G,B1126)))</f>
        <v/>
      </c>
      <c r="D1126" s="5" t="str">
        <f aca="false">IF(B1126=0,"",IF(INDEX(Bank!$J:$J,B1126)="","",INDEX(Bank!$J:$J,B1126)))</f>
        <v/>
      </c>
      <c r="E1126" s="32" t="str">
        <f aca="false">IF(B1126=0,"",INDEX(Bank!$B:$B,B1126))</f>
        <v/>
      </c>
      <c r="F1126" s="5" t="str">
        <f aca="false">IF(B1126=0,"",IF(INDEX(Bank!$C:$C,B1126)="","",INDEX(Bank!$C:$C,B1126)))</f>
        <v/>
      </c>
      <c r="G1126" s="19" t="str">
        <f aca="false">IF(B1126=0,"",INDEX(Bank!$E:$E,B1126))</f>
        <v/>
      </c>
      <c r="H1126" s="5" t="str">
        <f aca="false">IF(B1126=0,"",IF(INDEX(Bank!$H:$H,B1126)="","",INDEX(Bank!$H:$H,B1126)))</f>
        <v/>
      </c>
      <c r="I1126" s="5" t="n">
        <f aca="false">IF(H1126="",0,IFERROR(MATCH(H1126,GL!$A:$A,0),0))</f>
        <v>0</v>
      </c>
      <c r="J1126" s="32" t="str">
        <f aca="false">IF(I1126=0,"",INDEX(GL!$B:$B,I1126))</f>
        <v/>
      </c>
      <c r="K1126" s="5" t="str">
        <f aca="false">IF(I1126=0,"",IF(INDEX(GL!$C:$C,I1126)="","",INDEX(GL!$C:$C,I1126)))</f>
        <v/>
      </c>
      <c r="L1126" s="19" t="str">
        <f aca="false">IF(I1126=0,"",INDEX(GL!$E:$E,I1126))</f>
        <v/>
      </c>
      <c r="M1126" s="19" t="str">
        <f aca="false">IF(OR(B1126=0,I1126=0),"",ROUND(G1126-L1126,2))</f>
        <v/>
      </c>
      <c r="N1126" s="5" t="str">
        <f aca="false">IF(A1126="","",IF(B1126=0,"NOT FOUND: bank ID",IF(I1126=0,"NOT FOUND: GL ID",IF(INDEX(GL!$H:$H,I1126)&lt;&gt;A1126,"BROKEN: GL points elsewhere",IF(OR(INDEX(Bank!$F:$F,B1126)&lt;&gt;"Y",INDEX(GL!$F:$F,I1126)&lt;&gt;"Y"),"BROKEN: Status not Y","OK")))))</f>
        <v/>
      </c>
    </row>
    <row r="1127" customFormat="false" ht="15" hidden="false" customHeight="false" outlineLevel="0" collapsed="false">
      <c r="A1127" s="41"/>
      <c r="B1127" s="5" t="n">
        <f aca="false">IF(A1127="",0,IFERROR(MATCH(A1127,Bank!$A:$A,0),0))</f>
        <v>0</v>
      </c>
      <c r="C1127" s="5" t="str">
        <f aca="false">IF(B1127=0,"",IF(INDEX(Bank!$G:$G,B1127)="","",INDEX(Bank!$G:$G,B1127)))</f>
        <v/>
      </c>
      <c r="D1127" s="5" t="str">
        <f aca="false">IF(B1127=0,"",IF(INDEX(Bank!$J:$J,B1127)="","",INDEX(Bank!$J:$J,B1127)))</f>
        <v/>
      </c>
      <c r="E1127" s="32" t="str">
        <f aca="false">IF(B1127=0,"",INDEX(Bank!$B:$B,B1127))</f>
        <v/>
      </c>
      <c r="F1127" s="5" t="str">
        <f aca="false">IF(B1127=0,"",IF(INDEX(Bank!$C:$C,B1127)="","",INDEX(Bank!$C:$C,B1127)))</f>
        <v/>
      </c>
      <c r="G1127" s="19" t="str">
        <f aca="false">IF(B1127=0,"",INDEX(Bank!$E:$E,B1127))</f>
        <v/>
      </c>
      <c r="H1127" s="5" t="str">
        <f aca="false">IF(B1127=0,"",IF(INDEX(Bank!$H:$H,B1127)="","",INDEX(Bank!$H:$H,B1127)))</f>
        <v/>
      </c>
      <c r="I1127" s="5" t="n">
        <f aca="false">IF(H1127="",0,IFERROR(MATCH(H1127,GL!$A:$A,0),0))</f>
        <v>0</v>
      </c>
      <c r="J1127" s="32" t="str">
        <f aca="false">IF(I1127=0,"",INDEX(GL!$B:$B,I1127))</f>
        <v/>
      </c>
      <c r="K1127" s="5" t="str">
        <f aca="false">IF(I1127=0,"",IF(INDEX(GL!$C:$C,I1127)="","",INDEX(GL!$C:$C,I1127)))</f>
        <v/>
      </c>
      <c r="L1127" s="19" t="str">
        <f aca="false">IF(I1127=0,"",INDEX(GL!$E:$E,I1127))</f>
        <v/>
      </c>
      <c r="M1127" s="19" t="str">
        <f aca="false">IF(OR(B1127=0,I1127=0),"",ROUND(G1127-L1127,2))</f>
        <v/>
      </c>
      <c r="N1127" s="5" t="str">
        <f aca="false">IF(A1127="","",IF(B1127=0,"NOT FOUND: bank ID",IF(I1127=0,"NOT FOUND: GL ID",IF(INDEX(GL!$H:$H,I1127)&lt;&gt;A1127,"BROKEN: GL points elsewhere",IF(OR(INDEX(Bank!$F:$F,B1127)&lt;&gt;"Y",INDEX(GL!$F:$F,I1127)&lt;&gt;"Y"),"BROKEN: Status not Y","OK")))))</f>
        <v/>
      </c>
    </row>
    <row r="1128" customFormat="false" ht="15" hidden="false" customHeight="false" outlineLevel="0" collapsed="false">
      <c r="A1128" s="41"/>
      <c r="B1128" s="5" t="n">
        <f aca="false">IF(A1128="",0,IFERROR(MATCH(A1128,Bank!$A:$A,0),0))</f>
        <v>0</v>
      </c>
      <c r="C1128" s="5" t="str">
        <f aca="false">IF(B1128=0,"",IF(INDEX(Bank!$G:$G,B1128)="","",INDEX(Bank!$G:$G,B1128)))</f>
        <v/>
      </c>
      <c r="D1128" s="5" t="str">
        <f aca="false">IF(B1128=0,"",IF(INDEX(Bank!$J:$J,B1128)="","",INDEX(Bank!$J:$J,B1128)))</f>
        <v/>
      </c>
      <c r="E1128" s="32" t="str">
        <f aca="false">IF(B1128=0,"",INDEX(Bank!$B:$B,B1128))</f>
        <v/>
      </c>
      <c r="F1128" s="5" t="str">
        <f aca="false">IF(B1128=0,"",IF(INDEX(Bank!$C:$C,B1128)="","",INDEX(Bank!$C:$C,B1128)))</f>
        <v/>
      </c>
      <c r="G1128" s="19" t="str">
        <f aca="false">IF(B1128=0,"",INDEX(Bank!$E:$E,B1128))</f>
        <v/>
      </c>
      <c r="H1128" s="5" t="str">
        <f aca="false">IF(B1128=0,"",IF(INDEX(Bank!$H:$H,B1128)="","",INDEX(Bank!$H:$H,B1128)))</f>
        <v/>
      </c>
      <c r="I1128" s="5" t="n">
        <f aca="false">IF(H1128="",0,IFERROR(MATCH(H1128,GL!$A:$A,0),0))</f>
        <v>0</v>
      </c>
      <c r="J1128" s="32" t="str">
        <f aca="false">IF(I1128=0,"",INDEX(GL!$B:$B,I1128))</f>
        <v/>
      </c>
      <c r="K1128" s="5" t="str">
        <f aca="false">IF(I1128=0,"",IF(INDEX(GL!$C:$C,I1128)="","",INDEX(GL!$C:$C,I1128)))</f>
        <v/>
      </c>
      <c r="L1128" s="19" t="str">
        <f aca="false">IF(I1128=0,"",INDEX(GL!$E:$E,I1128))</f>
        <v/>
      </c>
      <c r="M1128" s="19" t="str">
        <f aca="false">IF(OR(B1128=0,I1128=0),"",ROUND(G1128-L1128,2))</f>
        <v/>
      </c>
      <c r="N1128" s="5" t="str">
        <f aca="false">IF(A1128="","",IF(B1128=0,"NOT FOUND: bank ID",IF(I1128=0,"NOT FOUND: GL ID",IF(INDEX(GL!$H:$H,I1128)&lt;&gt;A1128,"BROKEN: GL points elsewhere",IF(OR(INDEX(Bank!$F:$F,B1128)&lt;&gt;"Y",INDEX(GL!$F:$F,I1128)&lt;&gt;"Y"),"BROKEN: Status not Y","OK")))))</f>
        <v/>
      </c>
    </row>
    <row r="1129" customFormat="false" ht="15" hidden="false" customHeight="false" outlineLevel="0" collapsed="false">
      <c r="A1129" s="41"/>
      <c r="B1129" s="5" t="n">
        <f aca="false">IF(A1129="",0,IFERROR(MATCH(A1129,Bank!$A:$A,0),0))</f>
        <v>0</v>
      </c>
      <c r="C1129" s="5" t="str">
        <f aca="false">IF(B1129=0,"",IF(INDEX(Bank!$G:$G,B1129)="","",INDEX(Bank!$G:$G,B1129)))</f>
        <v/>
      </c>
      <c r="D1129" s="5" t="str">
        <f aca="false">IF(B1129=0,"",IF(INDEX(Bank!$J:$J,B1129)="","",INDEX(Bank!$J:$J,B1129)))</f>
        <v/>
      </c>
      <c r="E1129" s="32" t="str">
        <f aca="false">IF(B1129=0,"",INDEX(Bank!$B:$B,B1129))</f>
        <v/>
      </c>
      <c r="F1129" s="5" t="str">
        <f aca="false">IF(B1129=0,"",IF(INDEX(Bank!$C:$C,B1129)="","",INDEX(Bank!$C:$C,B1129)))</f>
        <v/>
      </c>
      <c r="G1129" s="19" t="str">
        <f aca="false">IF(B1129=0,"",INDEX(Bank!$E:$E,B1129))</f>
        <v/>
      </c>
      <c r="H1129" s="5" t="str">
        <f aca="false">IF(B1129=0,"",IF(INDEX(Bank!$H:$H,B1129)="","",INDEX(Bank!$H:$H,B1129)))</f>
        <v/>
      </c>
      <c r="I1129" s="5" t="n">
        <f aca="false">IF(H1129="",0,IFERROR(MATCH(H1129,GL!$A:$A,0),0))</f>
        <v>0</v>
      </c>
      <c r="J1129" s="32" t="str">
        <f aca="false">IF(I1129=0,"",INDEX(GL!$B:$B,I1129))</f>
        <v/>
      </c>
      <c r="K1129" s="5" t="str">
        <f aca="false">IF(I1129=0,"",IF(INDEX(GL!$C:$C,I1129)="","",INDEX(GL!$C:$C,I1129)))</f>
        <v/>
      </c>
      <c r="L1129" s="19" t="str">
        <f aca="false">IF(I1129=0,"",INDEX(GL!$E:$E,I1129))</f>
        <v/>
      </c>
      <c r="M1129" s="19" t="str">
        <f aca="false">IF(OR(B1129=0,I1129=0),"",ROUND(G1129-L1129,2))</f>
        <v/>
      </c>
      <c r="N1129" s="5" t="str">
        <f aca="false">IF(A1129="","",IF(B1129=0,"NOT FOUND: bank ID",IF(I1129=0,"NOT FOUND: GL ID",IF(INDEX(GL!$H:$H,I1129)&lt;&gt;A1129,"BROKEN: GL points elsewhere",IF(OR(INDEX(Bank!$F:$F,B1129)&lt;&gt;"Y",INDEX(GL!$F:$F,I1129)&lt;&gt;"Y"),"BROKEN: Status not Y","OK")))))</f>
        <v/>
      </c>
    </row>
    <row r="1130" customFormat="false" ht="15" hidden="false" customHeight="false" outlineLevel="0" collapsed="false">
      <c r="A1130" s="41"/>
      <c r="B1130" s="5" t="n">
        <f aca="false">IF(A1130="",0,IFERROR(MATCH(A1130,Bank!$A:$A,0),0))</f>
        <v>0</v>
      </c>
      <c r="C1130" s="5" t="str">
        <f aca="false">IF(B1130=0,"",IF(INDEX(Bank!$G:$G,B1130)="","",INDEX(Bank!$G:$G,B1130)))</f>
        <v/>
      </c>
      <c r="D1130" s="5" t="str">
        <f aca="false">IF(B1130=0,"",IF(INDEX(Bank!$J:$J,B1130)="","",INDEX(Bank!$J:$J,B1130)))</f>
        <v/>
      </c>
      <c r="E1130" s="32" t="str">
        <f aca="false">IF(B1130=0,"",INDEX(Bank!$B:$B,B1130))</f>
        <v/>
      </c>
      <c r="F1130" s="5" t="str">
        <f aca="false">IF(B1130=0,"",IF(INDEX(Bank!$C:$C,B1130)="","",INDEX(Bank!$C:$C,B1130)))</f>
        <v/>
      </c>
      <c r="G1130" s="19" t="str">
        <f aca="false">IF(B1130=0,"",INDEX(Bank!$E:$E,B1130))</f>
        <v/>
      </c>
      <c r="H1130" s="5" t="str">
        <f aca="false">IF(B1130=0,"",IF(INDEX(Bank!$H:$H,B1130)="","",INDEX(Bank!$H:$H,B1130)))</f>
        <v/>
      </c>
      <c r="I1130" s="5" t="n">
        <f aca="false">IF(H1130="",0,IFERROR(MATCH(H1130,GL!$A:$A,0),0))</f>
        <v>0</v>
      </c>
      <c r="J1130" s="32" t="str">
        <f aca="false">IF(I1130=0,"",INDEX(GL!$B:$B,I1130))</f>
        <v/>
      </c>
      <c r="K1130" s="5" t="str">
        <f aca="false">IF(I1130=0,"",IF(INDEX(GL!$C:$C,I1130)="","",INDEX(GL!$C:$C,I1130)))</f>
        <v/>
      </c>
      <c r="L1130" s="19" t="str">
        <f aca="false">IF(I1130=0,"",INDEX(GL!$E:$E,I1130))</f>
        <v/>
      </c>
      <c r="M1130" s="19" t="str">
        <f aca="false">IF(OR(B1130=0,I1130=0),"",ROUND(G1130-L1130,2))</f>
        <v/>
      </c>
      <c r="N1130" s="5" t="str">
        <f aca="false">IF(A1130="","",IF(B1130=0,"NOT FOUND: bank ID",IF(I1130=0,"NOT FOUND: GL ID",IF(INDEX(GL!$H:$H,I1130)&lt;&gt;A1130,"BROKEN: GL points elsewhere",IF(OR(INDEX(Bank!$F:$F,B1130)&lt;&gt;"Y",INDEX(GL!$F:$F,I1130)&lt;&gt;"Y"),"BROKEN: Status not Y","OK")))))</f>
        <v/>
      </c>
    </row>
    <row r="1131" customFormat="false" ht="15" hidden="false" customHeight="false" outlineLevel="0" collapsed="false">
      <c r="A1131" s="41"/>
      <c r="B1131" s="5" t="n">
        <f aca="false">IF(A1131="",0,IFERROR(MATCH(A1131,Bank!$A:$A,0),0))</f>
        <v>0</v>
      </c>
      <c r="C1131" s="5" t="str">
        <f aca="false">IF(B1131=0,"",IF(INDEX(Bank!$G:$G,B1131)="","",INDEX(Bank!$G:$G,B1131)))</f>
        <v/>
      </c>
      <c r="D1131" s="5" t="str">
        <f aca="false">IF(B1131=0,"",IF(INDEX(Bank!$J:$J,B1131)="","",INDEX(Bank!$J:$J,B1131)))</f>
        <v/>
      </c>
      <c r="E1131" s="32" t="str">
        <f aca="false">IF(B1131=0,"",INDEX(Bank!$B:$B,B1131))</f>
        <v/>
      </c>
      <c r="F1131" s="5" t="str">
        <f aca="false">IF(B1131=0,"",IF(INDEX(Bank!$C:$C,B1131)="","",INDEX(Bank!$C:$C,B1131)))</f>
        <v/>
      </c>
      <c r="G1131" s="19" t="str">
        <f aca="false">IF(B1131=0,"",INDEX(Bank!$E:$E,B1131))</f>
        <v/>
      </c>
      <c r="H1131" s="5" t="str">
        <f aca="false">IF(B1131=0,"",IF(INDEX(Bank!$H:$H,B1131)="","",INDEX(Bank!$H:$H,B1131)))</f>
        <v/>
      </c>
      <c r="I1131" s="5" t="n">
        <f aca="false">IF(H1131="",0,IFERROR(MATCH(H1131,GL!$A:$A,0),0))</f>
        <v>0</v>
      </c>
      <c r="J1131" s="32" t="str">
        <f aca="false">IF(I1131=0,"",INDEX(GL!$B:$B,I1131))</f>
        <v/>
      </c>
      <c r="K1131" s="5" t="str">
        <f aca="false">IF(I1131=0,"",IF(INDEX(GL!$C:$C,I1131)="","",INDEX(GL!$C:$C,I1131)))</f>
        <v/>
      </c>
      <c r="L1131" s="19" t="str">
        <f aca="false">IF(I1131=0,"",INDEX(GL!$E:$E,I1131))</f>
        <v/>
      </c>
      <c r="M1131" s="19" t="str">
        <f aca="false">IF(OR(B1131=0,I1131=0),"",ROUND(G1131-L1131,2))</f>
        <v/>
      </c>
      <c r="N1131" s="5" t="str">
        <f aca="false">IF(A1131="","",IF(B1131=0,"NOT FOUND: bank ID",IF(I1131=0,"NOT FOUND: GL ID",IF(INDEX(GL!$H:$H,I1131)&lt;&gt;A1131,"BROKEN: GL points elsewhere",IF(OR(INDEX(Bank!$F:$F,B1131)&lt;&gt;"Y",INDEX(GL!$F:$F,I1131)&lt;&gt;"Y"),"BROKEN: Status not Y","OK")))))</f>
        <v/>
      </c>
    </row>
    <row r="1132" customFormat="false" ht="15" hidden="false" customHeight="false" outlineLevel="0" collapsed="false">
      <c r="A1132" s="41"/>
      <c r="B1132" s="5" t="n">
        <f aca="false">IF(A1132="",0,IFERROR(MATCH(A1132,Bank!$A:$A,0),0))</f>
        <v>0</v>
      </c>
      <c r="C1132" s="5" t="str">
        <f aca="false">IF(B1132=0,"",IF(INDEX(Bank!$G:$G,B1132)="","",INDEX(Bank!$G:$G,B1132)))</f>
        <v/>
      </c>
      <c r="D1132" s="5" t="str">
        <f aca="false">IF(B1132=0,"",IF(INDEX(Bank!$J:$J,B1132)="","",INDEX(Bank!$J:$J,B1132)))</f>
        <v/>
      </c>
      <c r="E1132" s="32" t="str">
        <f aca="false">IF(B1132=0,"",INDEX(Bank!$B:$B,B1132))</f>
        <v/>
      </c>
      <c r="F1132" s="5" t="str">
        <f aca="false">IF(B1132=0,"",IF(INDEX(Bank!$C:$C,B1132)="","",INDEX(Bank!$C:$C,B1132)))</f>
        <v/>
      </c>
      <c r="G1132" s="19" t="str">
        <f aca="false">IF(B1132=0,"",INDEX(Bank!$E:$E,B1132))</f>
        <v/>
      </c>
      <c r="H1132" s="5" t="str">
        <f aca="false">IF(B1132=0,"",IF(INDEX(Bank!$H:$H,B1132)="","",INDEX(Bank!$H:$H,B1132)))</f>
        <v/>
      </c>
      <c r="I1132" s="5" t="n">
        <f aca="false">IF(H1132="",0,IFERROR(MATCH(H1132,GL!$A:$A,0),0))</f>
        <v>0</v>
      </c>
      <c r="J1132" s="32" t="str">
        <f aca="false">IF(I1132=0,"",INDEX(GL!$B:$B,I1132))</f>
        <v/>
      </c>
      <c r="K1132" s="5" t="str">
        <f aca="false">IF(I1132=0,"",IF(INDEX(GL!$C:$C,I1132)="","",INDEX(GL!$C:$C,I1132)))</f>
        <v/>
      </c>
      <c r="L1132" s="19" t="str">
        <f aca="false">IF(I1132=0,"",INDEX(GL!$E:$E,I1132))</f>
        <v/>
      </c>
      <c r="M1132" s="19" t="str">
        <f aca="false">IF(OR(B1132=0,I1132=0),"",ROUND(G1132-L1132,2))</f>
        <v/>
      </c>
      <c r="N1132" s="5" t="str">
        <f aca="false">IF(A1132="","",IF(B1132=0,"NOT FOUND: bank ID",IF(I1132=0,"NOT FOUND: GL ID",IF(INDEX(GL!$H:$H,I1132)&lt;&gt;A1132,"BROKEN: GL points elsewhere",IF(OR(INDEX(Bank!$F:$F,B1132)&lt;&gt;"Y",INDEX(GL!$F:$F,I1132)&lt;&gt;"Y"),"BROKEN: Status not Y","OK")))))</f>
        <v/>
      </c>
    </row>
    <row r="1133" customFormat="false" ht="15" hidden="false" customHeight="false" outlineLevel="0" collapsed="false">
      <c r="A1133" s="41"/>
      <c r="B1133" s="5" t="n">
        <f aca="false">IF(A1133="",0,IFERROR(MATCH(A1133,Bank!$A:$A,0),0))</f>
        <v>0</v>
      </c>
      <c r="C1133" s="5" t="str">
        <f aca="false">IF(B1133=0,"",IF(INDEX(Bank!$G:$G,B1133)="","",INDEX(Bank!$G:$G,B1133)))</f>
        <v/>
      </c>
      <c r="D1133" s="5" t="str">
        <f aca="false">IF(B1133=0,"",IF(INDEX(Bank!$J:$J,B1133)="","",INDEX(Bank!$J:$J,B1133)))</f>
        <v/>
      </c>
      <c r="E1133" s="32" t="str">
        <f aca="false">IF(B1133=0,"",INDEX(Bank!$B:$B,B1133))</f>
        <v/>
      </c>
      <c r="F1133" s="5" t="str">
        <f aca="false">IF(B1133=0,"",IF(INDEX(Bank!$C:$C,B1133)="","",INDEX(Bank!$C:$C,B1133)))</f>
        <v/>
      </c>
      <c r="G1133" s="19" t="str">
        <f aca="false">IF(B1133=0,"",INDEX(Bank!$E:$E,B1133))</f>
        <v/>
      </c>
      <c r="H1133" s="5" t="str">
        <f aca="false">IF(B1133=0,"",IF(INDEX(Bank!$H:$H,B1133)="","",INDEX(Bank!$H:$H,B1133)))</f>
        <v/>
      </c>
      <c r="I1133" s="5" t="n">
        <f aca="false">IF(H1133="",0,IFERROR(MATCH(H1133,GL!$A:$A,0),0))</f>
        <v>0</v>
      </c>
      <c r="J1133" s="32" t="str">
        <f aca="false">IF(I1133=0,"",INDEX(GL!$B:$B,I1133))</f>
        <v/>
      </c>
      <c r="K1133" s="5" t="str">
        <f aca="false">IF(I1133=0,"",IF(INDEX(GL!$C:$C,I1133)="","",INDEX(GL!$C:$C,I1133)))</f>
        <v/>
      </c>
      <c r="L1133" s="19" t="str">
        <f aca="false">IF(I1133=0,"",INDEX(GL!$E:$E,I1133))</f>
        <v/>
      </c>
      <c r="M1133" s="19" t="str">
        <f aca="false">IF(OR(B1133=0,I1133=0),"",ROUND(G1133-L1133,2))</f>
        <v/>
      </c>
      <c r="N1133" s="5" t="str">
        <f aca="false">IF(A1133="","",IF(B1133=0,"NOT FOUND: bank ID",IF(I1133=0,"NOT FOUND: GL ID",IF(INDEX(GL!$H:$H,I1133)&lt;&gt;A1133,"BROKEN: GL points elsewhere",IF(OR(INDEX(Bank!$F:$F,B1133)&lt;&gt;"Y",INDEX(GL!$F:$F,I1133)&lt;&gt;"Y"),"BROKEN: Status not Y","OK")))))</f>
        <v/>
      </c>
    </row>
    <row r="1134" customFormat="false" ht="15" hidden="false" customHeight="false" outlineLevel="0" collapsed="false">
      <c r="A1134" s="41"/>
      <c r="B1134" s="5" t="n">
        <f aca="false">IF(A1134="",0,IFERROR(MATCH(A1134,Bank!$A:$A,0),0))</f>
        <v>0</v>
      </c>
      <c r="C1134" s="5" t="str">
        <f aca="false">IF(B1134=0,"",IF(INDEX(Bank!$G:$G,B1134)="","",INDEX(Bank!$G:$G,B1134)))</f>
        <v/>
      </c>
      <c r="D1134" s="5" t="str">
        <f aca="false">IF(B1134=0,"",IF(INDEX(Bank!$J:$J,B1134)="","",INDEX(Bank!$J:$J,B1134)))</f>
        <v/>
      </c>
      <c r="E1134" s="32" t="str">
        <f aca="false">IF(B1134=0,"",INDEX(Bank!$B:$B,B1134))</f>
        <v/>
      </c>
      <c r="F1134" s="5" t="str">
        <f aca="false">IF(B1134=0,"",IF(INDEX(Bank!$C:$C,B1134)="","",INDEX(Bank!$C:$C,B1134)))</f>
        <v/>
      </c>
      <c r="G1134" s="19" t="str">
        <f aca="false">IF(B1134=0,"",INDEX(Bank!$E:$E,B1134))</f>
        <v/>
      </c>
      <c r="H1134" s="5" t="str">
        <f aca="false">IF(B1134=0,"",IF(INDEX(Bank!$H:$H,B1134)="","",INDEX(Bank!$H:$H,B1134)))</f>
        <v/>
      </c>
      <c r="I1134" s="5" t="n">
        <f aca="false">IF(H1134="",0,IFERROR(MATCH(H1134,GL!$A:$A,0),0))</f>
        <v>0</v>
      </c>
      <c r="J1134" s="32" t="str">
        <f aca="false">IF(I1134=0,"",INDEX(GL!$B:$B,I1134))</f>
        <v/>
      </c>
      <c r="K1134" s="5" t="str">
        <f aca="false">IF(I1134=0,"",IF(INDEX(GL!$C:$C,I1134)="","",INDEX(GL!$C:$C,I1134)))</f>
        <v/>
      </c>
      <c r="L1134" s="19" t="str">
        <f aca="false">IF(I1134=0,"",INDEX(GL!$E:$E,I1134))</f>
        <v/>
      </c>
      <c r="M1134" s="19" t="str">
        <f aca="false">IF(OR(B1134=0,I1134=0),"",ROUND(G1134-L1134,2))</f>
        <v/>
      </c>
      <c r="N1134" s="5" t="str">
        <f aca="false">IF(A1134="","",IF(B1134=0,"NOT FOUND: bank ID",IF(I1134=0,"NOT FOUND: GL ID",IF(INDEX(GL!$H:$H,I1134)&lt;&gt;A1134,"BROKEN: GL points elsewhere",IF(OR(INDEX(Bank!$F:$F,B1134)&lt;&gt;"Y",INDEX(GL!$F:$F,I1134)&lt;&gt;"Y"),"BROKEN: Status not Y","OK")))))</f>
        <v/>
      </c>
    </row>
    <row r="1135" customFormat="false" ht="15" hidden="false" customHeight="false" outlineLevel="0" collapsed="false">
      <c r="A1135" s="41"/>
      <c r="B1135" s="5" t="n">
        <f aca="false">IF(A1135="",0,IFERROR(MATCH(A1135,Bank!$A:$A,0),0))</f>
        <v>0</v>
      </c>
      <c r="C1135" s="5" t="str">
        <f aca="false">IF(B1135=0,"",IF(INDEX(Bank!$G:$G,B1135)="","",INDEX(Bank!$G:$G,B1135)))</f>
        <v/>
      </c>
      <c r="D1135" s="5" t="str">
        <f aca="false">IF(B1135=0,"",IF(INDEX(Bank!$J:$J,B1135)="","",INDEX(Bank!$J:$J,B1135)))</f>
        <v/>
      </c>
      <c r="E1135" s="32" t="str">
        <f aca="false">IF(B1135=0,"",INDEX(Bank!$B:$B,B1135))</f>
        <v/>
      </c>
      <c r="F1135" s="5" t="str">
        <f aca="false">IF(B1135=0,"",IF(INDEX(Bank!$C:$C,B1135)="","",INDEX(Bank!$C:$C,B1135)))</f>
        <v/>
      </c>
      <c r="G1135" s="19" t="str">
        <f aca="false">IF(B1135=0,"",INDEX(Bank!$E:$E,B1135))</f>
        <v/>
      </c>
      <c r="H1135" s="5" t="str">
        <f aca="false">IF(B1135=0,"",IF(INDEX(Bank!$H:$H,B1135)="","",INDEX(Bank!$H:$H,B1135)))</f>
        <v/>
      </c>
      <c r="I1135" s="5" t="n">
        <f aca="false">IF(H1135="",0,IFERROR(MATCH(H1135,GL!$A:$A,0),0))</f>
        <v>0</v>
      </c>
      <c r="J1135" s="32" t="str">
        <f aca="false">IF(I1135=0,"",INDEX(GL!$B:$B,I1135))</f>
        <v/>
      </c>
      <c r="K1135" s="5" t="str">
        <f aca="false">IF(I1135=0,"",IF(INDEX(GL!$C:$C,I1135)="","",INDEX(GL!$C:$C,I1135)))</f>
        <v/>
      </c>
      <c r="L1135" s="19" t="str">
        <f aca="false">IF(I1135=0,"",INDEX(GL!$E:$E,I1135))</f>
        <v/>
      </c>
      <c r="M1135" s="19" t="str">
        <f aca="false">IF(OR(B1135=0,I1135=0),"",ROUND(G1135-L1135,2))</f>
        <v/>
      </c>
      <c r="N1135" s="5" t="str">
        <f aca="false">IF(A1135="","",IF(B1135=0,"NOT FOUND: bank ID",IF(I1135=0,"NOT FOUND: GL ID",IF(INDEX(GL!$H:$H,I1135)&lt;&gt;A1135,"BROKEN: GL points elsewhere",IF(OR(INDEX(Bank!$F:$F,B1135)&lt;&gt;"Y",INDEX(GL!$F:$F,I1135)&lt;&gt;"Y"),"BROKEN: Status not Y","OK")))))</f>
        <v/>
      </c>
    </row>
    <row r="1136" customFormat="false" ht="15" hidden="false" customHeight="false" outlineLevel="0" collapsed="false">
      <c r="A1136" s="41"/>
      <c r="B1136" s="5" t="n">
        <f aca="false">IF(A1136="",0,IFERROR(MATCH(A1136,Bank!$A:$A,0),0))</f>
        <v>0</v>
      </c>
      <c r="C1136" s="5" t="str">
        <f aca="false">IF(B1136=0,"",IF(INDEX(Bank!$G:$G,B1136)="","",INDEX(Bank!$G:$G,B1136)))</f>
        <v/>
      </c>
      <c r="D1136" s="5" t="str">
        <f aca="false">IF(B1136=0,"",IF(INDEX(Bank!$J:$J,B1136)="","",INDEX(Bank!$J:$J,B1136)))</f>
        <v/>
      </c>
      <c r="E1136" s="32" t="str">
        <f aca="false">IF(B1136=0,"",INDEX(Bank!$B:$B,B1136))</f>
        <v/>
      </c>
      <c r="F1136" s="5" t="str">
        <f aca="false">IF(B1136=0,"",IF(INDEX(Bank!$C:$C,B1136)="","",INDEX(Bank!$C:$C,B1136)))</f>
        <v/>
      </c>
      <c r="G1136" s="19" t="str">
        <f aca="false">IF(B1136=0,"",INDEX(Bank!$E:$E,B1136))</f>
        <v/>
      </c>
      <c r="H1136" s="5" t="str">
        <f aca="false">IF(B1136=0,"",IF(INDEX(Bank!$H:$H,B1136)="","",INDEX(Bank!$H:$H,B1136)))</f>
        <v/>
      </c>
      <c r="I1136" s="5" t="n">
        <f aca="false">IF(H1136="",0,IFERROR(MATCH(H1136,GL!$A:$A,0),0))</f>
        <v>0</v>
      </c>
      <c r="J1136" s="32" t="str">
        <f aca="false">IF(I1136=0,"",INDEX(GL!$B:$B,I1136))</f>
        <v/>
      </c>
      <c r="K1136" s="5" t="str">
        <f aca="false">IF(I1136=0,"",IF(INDEX(GL!$C:$C,I1136)="","",INDEX(GL!$C:$C,I1136)))</f>
        <v/>
      </c>
      <c r="L1136" s="19" t="str">
        <f aca="false">IF(I1136=0,"",INDEX(GL!$E:$E,I1136))</f>
        <v/>
      </c>
      <c r="M1136" s="19" t="str">
        <f aca="false">IF(OR(B1136=0,I1136=0),"",ROUND(G1136-L1136,2))</f>
        <v/>
      </c>
      <c r="N1136" s="5" t="str">
        <f aca="false">IF(A1136="","",IF(B1136=0,"NOT FOUND: bank ID",IF(I1136=0,"NOT FOUND: GL ID",IF(INDEX(GL!$H:$H,I1136)&lt;&gt;A1136,"BROKEN: GL points elsewhere",IF(OR(INDEX(Bank!$F:$F,B1136)&lt;&gt;"Y",INDEX(GL!$F:$F,I1136)&lt;&gt;"Y"),"BROKEN: Status not Y","OK")))))</f>
        <v/>
      </c>
    </row>
    <row r="1137" customFormat="false" ht="15" hidden="false" customHeight="false" outlineLevel="0" collapsed="false">
      <c r="A1137" s="41"/>
      <c r="B1137" s="5" t="n">
        <f aca="false">IF(A1137="",0,IFERROR(MATCH(A1137,Bank!$A:$A,0),0))</f>
        <v>0</v>
      </c>
      <c r="C1137" s="5" t="str">
        <f aca="false">IF(B1137=0,"",IF(INDEX(Bank!$G:$G,B1137)="","",INDEX(Bank!$G:$G,B1137)))</f>
        <v/>
      </c>
      <c r="D1137" s="5" t="str">
        <f aca="false">IF(B1137=0,"",IF(INDEX(Bank!$J:$J,B1137)="","",INDEX(Bank!$J:$J,B1137)))</f>
        <v/>
      </c>
      <c r="E1137" s="32" t="str">
        <f aca="false">IF(B1137=0,"",INDEX(Bank!$B:$B,B1137))</f>
        <v/>
      </c>
      <c r="F1137" s="5" t="str">
        <f aca="false">IF(B1137=0,"",IF(INDEX(Bank!$C:$C,B1137)="","",INDEX(Bank!$C:$C,B1137)))</f>
        <v/>
      </c>
      <c r="G1137" s="19" t="str">
        <f aca="false">IF(B1137=0,"",INDEX(Bank!$E:$E,B1137))</f>
        <v/>
      </c>
      <c r="H1137" s="5" t="str">
        <f aca="false">IF(B1137=0,"",IF(INDEX(Bank!$H:$H,B1137)="","",INDEX(Bank!$H:$H,B1137)))</f>
        <v/>
      </c>
      <c r="I1137" s="5" t="n">
        <f aca="false">IF(H1137="",0,IFERROR(MATCH(H1137,GL!$A:$A,0),0))</f>
        <v>0</v>
      </c>
      <c r="J1137" s="32" t="str">
        <f aca="false">IF(I1137=0,"",INDEX(GL!$B:$B,I1137))</f>
        <v/>
      </c>
      <c r="K1137" s="5" t="str">
        <f aca="false">IF(I1137=0,"",IF(INDEX(GL!$C:$C,I1137)="","",INDEX(GL!$C:$C,I1137)))</f>
        <v/>
      </c>
      <c r="L1137" s="19" t="str">
        <f aca="false">IF(I1137=0,"",INDEX(GL!$E:$E,I1137))</f>
        <v/>
      </c>
      <c r="M1137" s="19" t="str">
        <f aca="false">IF(OR(B1137=0,I1137=0),"",ROUND(G1137-L1137,2))</f>
        <v/>
      </c>
      <c r="N1137" s="5" t="str">
        <f aca="false">IF(A1137="","",IF(B1137=0,"NOT FOUND: bank ID",IF(I1137=0,"NOT FOUND: GL ID",IF(INDEX(GL!$H:$H,I1137)&lt;&gt;A1137,"BROKEN: GL points elsewhere",IF(OR(INDEX(Bank!$F:$F,B1137)&lt;&gt;"Y",INDEX(GL!$F:$F,I1137)&lt;&gt;"Y"),"BROKEN: Status not Y","OK")))))</f>
        <v/>
      </c>
    </row>
    <row r="1138" customFormat="false" ht="15" hidden="false" customHeight="false" outlineLevel="0" collapsed="false">
      <c r="A1138" s="41"/>
      <c r="B1138" s="5" t="n">
        <f aca="false">IF(A1138="",0,IFERROR(MATCH(A1138,Bank!$A:$A,0),0))</f>
        <v>0</v>
      </c>
      <c r="C1138" s="5" t="str">
        <f aca="false">IF(B1138=0,"",IF(INDEX(Bank!$G:$G,B1138)="","",INDEX(Bank!$G:$G,B1138)))</f>
        <v/>
      </c>
      <c r="D1138" s="5" t="str">
        <f aca="false">IF(B1138=0,"",IF(INDEX(Bank!$J:$J,B1138)="","",INDEX(Bank!$J:$J,B1138)))</f>
        <v/>
      </c>
      <c r="E1138" s="32" t="str">
        <f aca="false">IF(B1138=0,"",INDEX(Bank!$B:$B,B1138))</f>
        <v/>
      </c>
      <c r="F1138" s="5" t="str">
        <f aca="false">IF(B1138=0,"",IF(INDEX(Bank!$C:$C,B1138)="","",INDEX(Bank!$C:$C,B1138)))</f>
        <v/>
      </c>
      <c r="G1138" s="19" t="str">
        <f aca="false">IF(B1138=0,"",INDEX(Bank!$E:$E,B1138))</f>
        <v/>
      </c>
      <c r="H1138" s="5" t="str">
        <f aca="false">IF(B1138=0,"",IF(INDEX(Bank!$H:$H,B1138)="","",INDEX(Bank!$H:$H,B1138)))</f>
        <v/>
      </c>
      <c r="I1138" s="5" t="n">
        <f aca="false">IF(H1138="",0,IFERROR(MATCH(H1138,GL!$A:$A,0),0))</f>
        <v>0</v>
      </c>
      <c r="J1138" s="32" t="str">
        <f aca="false">IF(I1138=0,"",INDEX(GL!$B:$B,I1138))</f>
        <v/>
      </c>
      <c r="K1138" s="5" t="str">
        <f aca="false">IF(I1138=0,"",IF(INDEX(GL!$C:$C,I1138)="","",INDEX(GL!$C:$C,I1138)))</f>
        <v/>
      </c>
      <c r="L1138" s="19" t="str">
        <f aca="false">IF(I1138=0,"",INDEX(GL!$E:$E,I1138))</f>
        <v/>
      </c>
      <c r="M1138" s="19" t="str">
        <f aca="false">IF(OR(B1138=0,I1138=0),"",ROUND(G1138-L1138,2))</f>
        <v/>
      </c>
      <c r="N1138" s="5" t="str">
        <f aca="false">IF(A1138="","",IF(B1138=0,"NOT FOUND: bank ID",IF(I1138=0,"NOT FOUND: GL ID",IF(INDEX(GL!$H:$H,I1138)&lt;&gt;A1138,"BROKEN: GL points elsewhere",IF(OR(INDEX(Bank!$F:$F,B1138)&lt;&gt;"Y",INDEX(GL!$F:$F,I1138)&lt;&gt;"Y"),"BROKEN: Status not Y","OK")))))</f>
        <v/>
      </c>
    </row>
    <row r="1139" customFormat="false" ht="15" hidden="false" customHeight="false" outlineLevel="0" collapsed="false">
      <c r="A1139" s="41"/>
      <c r="B1139" s="5" t="n">
        <f aca="false">IF(A1139="",0,IFERROR(MATCH(A1139,Bank!$A:$A,0),0))</f>
        <v>0</v>
      </c>
      <c r="C1139" s="5" t="str">
        <f aca="false">IF(B1139=0,"",IF(INDEX(Bank!$G:$G,B1139)="","",INDEX(Bank!$G:$G,B1139)))</f>
        <v/>
      </c>
      <c r="D1139" s="5" t="str">
        <f aca="false">IF(B1139=0,"",IF(INDEX(Bank!$J:$J,B1139)="","",INDEX(Bank!$J:$J,B1139)))</f>
        <v/>
      </c>
      <c r="E1139" s="32" t="str">
        <f aca="false">IF(B1139=0,"",INDEX(Bank!$B:$B,B1139))</f>
        <v/>
      </c>
      <c r="F1139" s="5" t="str">
        <f aca="false">IF(B1139=0,"",IF(INDEX(Bank!$C:$C,B1139)="","",INDEX(Bank!$C:$C,B1139)))</f>
        <v/>
      </c>
      <c r="G1139" s="19" t="str">
        <f aca="false">IF(B1139=0,"",INDEX(Bank!$E:$E,B1139))</f>
        <v/>
      </c>
      <c r="H1139" s="5" t="str">
        <f aca="false">IF(B1139=0,"",IF(INDEX(Bank!$H:$H,B1139)="","",INDEX(Bank!$H:$H,B1139)))</f>
        <v/>
      </c>
      <c r="I1139" s="5" t="n">
        <f aca="false">IF(H1139="",0,IFERROR(MATCH(H1139,GL!$A:$A,0),0))</f>
        <v>0</v>
      </c>
      <c r="J1139" s="32" t="str">
        <f aca="false">IF(I1139=0,"",INDEX(GL!$B:$B,I1139))</f>
        <v/>
      </c>
      <c r="K1139" s="5" t="str">
        <f aca="false">IF(I1139=0,"",IF(INDEX(GL!$C:$C,I1139)="","",INDEX(GL!$C:$C,I1139)))</f>
        <v/>
      </c>
      <c r="L1139" s="19" t="str">
        <f aca="false">IF(I1139=0,"",INDEX(GL!$E:$E,I1139))</f>
        <v/>
      </c>
      <c r="M1139" s="19" t="str">
        <f aca="false">IF(OR(B1139=0,I1139=0),"",ROUND(G1139-L1139,2))</f>
        <v/>
      </c>
      <c r="N1139" s="5" t="str">
        <f aca="false">IF(A1139="","",IF(B1139=0,"NOT FOUND: bank ID",IF(I1139=0,"NOT FOUND: GL ID",IF(INDEX(GL!$H:$H,I1139)&lt;&gt;A1139,"BROKEN: GL points elsewhere",IF(OR(INDEX(Bank!$F:$F,B1139)&lt;&gt;"Y",INDEX(GL!$F:$F,I1139)&lt;&gt;"Y"),"BROKEN: Status not Y","OK")))))</f>
        <v/>
      </c>
    </row>
    <row r="1140" customFormat="false" ht="15" hidden="false" customHeight="false" outlineLevel="0" collapsed="false">
      <c r="A1140" s="41"/>
      <c r="B1140" s="5" t="n">
        <f aca="false">IF(A1140="",0,IFERROR(MATCH(A1140,Bank!$A:$A,0),0))</f>
        <v>0</v>
      </c>
      <c r="C1140" s="5" t="str">
        <f aca="false">IF(B1140=0,"",IF(INDEX(Bank!$G:$G,B1140)="","",INDEX(Bank!$G:$G,B1140)))</f>
        <v/>
      </c>
      <c r="D1140" s="5" t="str">
        <f aca="false">IF(B1140=0,"",IF(INDEX(Bank!$J:$J,B1140)="","",INDEX(Bank!$J:$J,B1140)))</f>
        <v/>
      </c>
      <c r="E1140" s="32" t="str">
        <f aca="false">IF(B1140=0,"",INDEX(Bank!$B:$B,B1140))</f>
        <v/>
      </c>
      <c r="F1140" s="5" t="str">
        <f aca="false">IF(B1140=0,"",IF(INDEX(Bank!$C:$C,B1140)="","",INDEX(Bank!$C:$C,B1140)))</f>
        <v/>
      </c>
      <c r="G1140" s="19" t="str">
        <f aca="false">IF(B1140=0,"",INDEX(Bank!$E:$E,B1140))</f>
        <v/>
      </c>
      <c r="H1140" s="5" t="str">
        <f aca="false">IF(B1140=0,"",IF(INDEX(Bank!$H:$H,B1140)="","",INDEX(Bank!$H:$H,B1140)))</f>
        <v/>
      </c>
      <c r="I1140" s="5" t="n">
        <f aca="false">IF(H1140="",0,IFERROR(MATCH(H1140,GL!$A:$A,0),0))</f>
        <v>0</v>
      </c>
      <c r="J1140" s="32" t="str">
        <f aca="false">IF(I1140=0,"",INDEX(GL!$B:$B,I1140))</f>
        <v/>
      </c>
      <c r="K1140" s="5" t="str">
        <f aca="false">IF(I1140=0,"",IF(INDEX(GL!$C:$C,I1140)="","",INDEX(GL!$C:$C,I1140)))</f>
        <v/>
      </c>
      <c r="L1140" s="19" t="str">
        <f aca="false">IF(I1140=0,"",INDEX(GL!$E:$E,I1140))</f>
        <v/>
      </c>
      <c r="M1140" s="19" t="str">
        <f aca="false">IF(OR(B1140=0,I1140=0),"",ROUND(G1140-L1140,2))</f>
        <v/>
      </c>
      <c r="N1140" s="5" t="str">
        <f aca="false">IF(A1140="","",IF(B1140=0,"NOT FOUND: bank ID",IF(I1140=0,"NOT FOUND: GL ID",IF(INDEX(GL!$H:$H,I1140)&lt;&gt;A1140,"BROKEN: GL points elsewhere",IF(OR(INDEX(Bank!$F:$F,B1140)&lt;&gt;"Y",INDEX(GL!$F:$F,I1140)&lt;&gt;"Y"),"BROKEN: Status not Y","OK")))))</f>
        <v/>
      </c>
    </row>
    <row r="1141" customFormat="false" ht="15" hidden="false" customHeight="false" outlineLevel="0" collapsed="false">
      <c r="A1141" s="41"/>
      <c r="B1141" s="5" t="n">
        <f aca="false">IF(A1141="",0,IFERROR(MATCH(A1141,Bank!$A:$A,0),0))</f>
        <v>0</v>
      </c>
      <c r="C1141" s="5" t="str">
        <f aca="false">IF(B1141=0,"",IF(INDEX(Bank!$G:$G,B1141)="","",INDEX(Bank!$G:$G,B1141)))</f>
        <v/>
      </c>
      <c r="D1141" s="5" t="str">
        <f aca="false">IF(B1141=0,"",IF(INDEX(Bank!$J:$J,B1141)="","",INDEX(Bank!$J:$J,B1141)))</f>
        <v/>
      </c>
      <c r="E1141" s="32" t="str">
        <f aca="false">IF(B1141=0,"",INDEX(Bank!$B:$B,B1141))</f>
        <v/>
      </c>
      <c r="F1141" s="5" t="str">
        <f aca="false">IF(B1141=0,"",IF(INDEX(Bank!$C:$C,B1141)="","",INDEX(Bank!$C:$C,B1141)))</f>
        <v/>
      </c>
      <c r="G1141" s="19" t="str">
        <f aca="false">IF(B1141=0,"",INDEX(Bank!$E:$E,B1141))</f>
        <v/>
      </c>
      <c r="H1141" s="5" t="str">
        <f aca="false">IF(B1141=0,"",IF(INDEX(Bank!$H:$H,B1141)="","",INDEX(Bank!$H:$H,B1141)))</f>
        <v/>
      </c>
      <c r="I1141" s="5" t="n">
        <f aca="false">IF(H1141="",0,IFERROR(MATCH(H1141,GL!$A:$A,0),0))</f>
        <v>0</v>
      </c>
      <c r="J1141" s="32" t="str">
        <f aca="false">IF(I1141=0,"",INDEX(GL!$B:$B,I1141))</f>
        <v/>
      </c>
      <c r="K1141" s="5" t="str">
        <f aca="false">IF(I1141=0,"",IF(INDEX(GL!$C:$C,I1141)="","",INDEX(GL!$C:$C,I1141)))</f>
        <v/>
      </c>
      <c r="L1141" s="19" t="str">
        <f aca="false">IF(I1141=0,"",INDEX(GL!$E:$E,I1141))</f>
        <v/>
      </c>
      <c r="M1141" s="19" t="str">
        <f aca="false">IF(OR(B1141=0,I1141=0),"",ROUND(G1141-L1141,2))</f>
        <v/>
      </c>
      <c r="N1141" s="5" t="str">
        <f aca="false">IF(A1141="","",IF(B1141=0,"NOT FOUND: bank ID",IF(I1141=0,"NOT FOUND: GL ID",IF(INDEX(GL!$H:$H,I1141)&lt;&gt;A1141,"BROKEN: GL points elsewhere",IF(OR(INDEX(Bank!$F:$F,B1141)&lt;&gt;"Y",INDEX(GL!$F:$F,I1141)&lt;&gt;"Y"),"BROKEN: Status not Y","OK")))))</f>
        <v/>
      </c>
    </row>
    <row r="1142" customFormat="false" ht="15" hidden="false" customHeight="false" outlineLevel="0" collapsed="false">
      <c r="A1142" s="41"/>
      <c r="B1142" s="5" t="n">
        <f aca="false">IF(A1142="",0,IFERROR(MATCH(A1142,Bank!$A:$A,0),0))</f>
        <v>0</v>
      </c>
      <c r="C1142" s="5" t="str">
        <f aca="false">IF(B1142=0,"",IF(INDEX(Bank!$G:$G,B1142)="","",INDEX(Bank!$G:$G,B1142)))</f>
        <v/>
      </c>
      <c r="D1142" s="5" t="str">
        <f aca="false">IF(B1142=0,"",IF(INDEX(Bank!$J:$J,B1142)="","",INDEX(Bank!$J:$J,B1142)))</f>
        <v/>
      </c>
      <c r="E1142" s="32" t="str">
        <f aca="false">IF(B1142=0,"",INDEX(Bank!$B:$B,B1142))</f>
        <v/>
      </c>
      <c r="F1142" s="5" t="str">
        <f aca="false">IF(B1142=0,"",IF(INDEX(Bank!$C:$C,B1142)="","",INDEX(Bank!$C:$C,B1142)))</f>
        <v/>
      </c>
      <c r="G1142" s="19" t="str">
        <f aca="false">IF(B1142=0,"",INDEX(Bank!$E:$E,B1142))</f>
        <v/>
      </c>
      <c r="H1142" s="5" t="str">
        <f aca="false">IF(B1142=0,"",IF(INDEX(Bank!$H:$H,B1142)="","",INDEX(Bank!$H:$H,B1142)))</f>
        <v/>
      </c>
      <c r="I1142" s="5" t="n">
        <f aca="false">IF(H1142="",0,IFERROR(MATCH(H1142,GL!$A:$A,0),0))</f>
        <v>0</v>
      </c>
      <c r="J1142" s="32" t="str">
        <f aca="false">IF(I1142=0,"",INDEX(GL!$B:$B,I1142))</f>
        <v/>
      </c>
      <c r="K1142" s="5" t="str">
        <f aca="false">IF(I1142=0,"",IF(INDEX(GL!$C:$C,I1142)="","",INDEX(GL!$C:$C,I1142)))</f>
        <v/>
      </c>
      <c r="L1142" s="19" t="str">
        <f aca="false">IF(I1142=0,"",INDEX(GL!$E:$E,I1142))</f>
        <v/>
      </c>
      <c r="M1142" s="19" t="str">
        <f aca="false">IF(OR(B1142=0,I1142=0),"",ROUND(G1142-L1142,2))</f>
        <v/>
      </c>
      <c r="N1142" s="5" t="str">
        <f aca="false">IF(A1142="","",IF(B1142=0,"NOT FOUND: bank ID",IF(I1142=0,"NOT FOUND: GL ID",IF(INDEX(GL!$H:$H,I1142)&lt;&gt;A1142,"BROKEN: GL points elsewhere",IF(OR(INDEX(Bank!$F:$F,B1142)&lt;&gt;"Y",INDEX(GL!$F:$F,I1142)&lt;&gt;"Y"),"BROKEN: Status not Y","OK")))))</f>
        <v/>
      </c>
    </row>
    <row r="1143" customFormat="false" ht="15" hidden="false" customHeight="false" outlineLevel="0" collapsed="false">
      <c r="A1143" s="41"/>
      <c r="B1143" s="5" t="n">
        <f aca="false">IF(A1143="",0,IFERROR(MATCH(A1143,Bank!$A:$A,0),0))</f>
        <v>0</v>
      </c>
      <c r="C1143" s="5" t="str">
        <f aca="false">IF(B1143=0,"",IF(INDEX(Bank!$G:$G,B1143)="","",INDEX(Bank!$G:$G,B1143)))</f>
        <v/>
      </c>
      <c r="D1143" s="5" t="str">
        <f aca="false">IF(B1143=0,"",IF(INDEX(Bank!$J:$J,B1143)="","",INDEX(Bank!$J:$J,B1143)))</f>
        <v/>
      </c>
      <c r="E1143" s="32" t="str">
        <f aca="false">IF(B1143=0,"",INDEX(Bank!$B:$B,B1143))</f>
        <v/>
      </c>
      <c r="F1143" s="5" t="str">
        <f aca="false">IF(B1143=0,"",IF(INDEX(Bank!$C:$C,B1143)="","",INDEX(Bank!$C:$C,B1143)))</f>
        <v/>
      </c>
      <c r="G1143" s="19" t="str">
        <f aca="false">IF(B1143=0,"",INDEX(Bank!$E:$E,B1143))</f>
        <v/>
      </c>
      <c r="H1143" s="5" t="str">
        <f aca="false">IF(B1143=0,"",IF(INDEX(Bank!$H:$H,B1143)="","",INDEX(Bank!$H:$H,B1143)))</f>
        <v/>
      </c>
      <c r="I1143" s="5" t="n">
        <f aca="false">IF(H1143="",0,IFERROR(MATCH(H1143,GL!$A:$A,0),0))</f>
        <v>0</v>
      </c>
      <c r="J1143" s="32" t="str">
        <f aca="false">IF(I1143=0,"",INDEX(GL!$B:$B,I1143))</f>
        <v/>
      </c>
      <c r="K1143" s="5" t="str">
        <f aca="false">IF(I1143=0,"",IF(INDEX(GL!$C:$C,I1143)="","",INDEX(GL!$C:$C,I1143)))</f>
        <v/>
      </c>
      <c r="L1143" s="19" t="str">
        <f aca="false">IF(I1143=0,"",INDEX(GL!$E:$E,I1143))</f>
        <v/>
      </c>
      <c r="M1143" s="19" t="str">
        <f aca="false">IF(OR(B1143=0,I1143=0),"",ROUND(G1143-L1143,2))</f>
        <v/>
      </c>
      <c r="N1143" s="5" t="str">
        <f aca="false">IF(A1143="","",IF(B1143=0,"NOT FOUND: bank ID",IF(I1143=0,"NOT FOUND: GL ID",IF(INDEX(GL!$H:$H,I1143)&lt;&gt;A1143,"BROKEN: GL points elsewhere",IF(OR(INDEX(Bank!$F:$F,B1143)&lt;&gt;"Y",INDEX(GL!$F:$F,I1143)&lt;&gt;"Y"),"BROKEN: Status not Y","OK")))))</f>
        <v/>
      </c>
    </row>
    <row r="1144" customFormat="false" ht="15" hidden="false" customHeight="false" outlineLevel="0" collapsed="false">
      <c r="A1144" s="41"/>
      <c r="B1144" s="5" t="n">
        <f aca="false">IF(A1144="",0,IFERROR(MATCH(A1144,Bank!$A:$A,0),0))</f>
        <v>0</v>
      </c>
      <c r="C1144" s="5" t="str">
        <f aca="false">IF(B1144=0,"",IF(INDEX(Bank!$G:$G,B1144)="","",INDEX(Bank!$G:$G,B1144)))</f>
        <v/>
      </c>
      <c r="D1144" s="5" t="str">
        <f aca="false">IF(B1144=0,"",IF(INDEX(Bank!$J:$J,B1144)="","",INDEX(Bank!$J:$J,B1144)))</f>
        <v/>
      </c>
      <c r="E1144" s="32" t="str">
        <f aca="false">IF(B1144=0,"",INDEX(Bank!$B:$B,B1144))</f>
        <v/>
      </c>
      <c r="F1144" s="5" t="str">
        <f aca="false">IF(B1144=0,"",IF(INDEX(Bank!$C:$C,B1144)="","",INDEX(Bank!$C:$C,B1144)))</f>
        <v/>
      </c>
      <c r="G1144" s="19" t="str">
        <f aca="false">IF(B1144=0,"",INDEX(Bank!$E:$E,B1144))</f>
        <v/>
      </c>
      <c r="H1144" s="5" t="str">
        <f aca="false">IF(B1144=0,"",IF(INDEX(Bank!$H:$H,B1144)="","",INDEX(Bank!$H:$H,B1144)))</f>
        <v/>
      </c>
      <c r="I1144" s="5" t="n">
        <f aca="false">IF(H1144="",0,IFERROR(MATCH(H1144,GL!$A:$A,0),0))</f>
        <v>0</v>
      </c>
      <c r="J1144" s="32" t="str">
        <f aca="false">IF(I1144=0,"",INDEX(GL!$B:$B,I1144))</f>
        <v/>
      </c>
      <c r="K1144" s="5" t="str">
        <f aca="false">IF(I1144=0,"",IF(INDEX(GL!$C:$C,I1144)="","",INDEX(GL!$C:$C,I1144)))</f>
        <v/>
      </c>
      <c r="L1144" s="19" t="str">
        <f aca="false">IF(I1144=0,"",INDEX(GL!$E:$E,I1144))</f>
        <v/>
      </c>
      <c r="M1144" s="19" t="str">
        <f aca="false">IF(OR(B1144=0,I1144=0),"",ROUND(G1144-L1144,2))</f>
        <v/>
      </c>
      <c r="N1144" s="5" t="str">
        <f aca="false">IF(A1144="","",IF(B1144=0,"NOT FOUND: bank ID",IF(I1144=0,"NOT FOUND: GL ID",IF(INDEX(GL!$H:$H,I1144)&lt;&gt;A1144,"BROKEN: GL points elsewhere",IF(OR(INDEX(Bank!$F:$F,B1144)&lt;&gt;"Y",INDEX(GL!$F:$F,I1144)&lt;&gt;"Y"),"BROKEN: Status not Y","OK")))))</f>
        <v/>
      </c>
    </row>
    <row r="1145" customFormat="false" ht="15" hidden="false" customHeight="false" outlineLevel="0" collapsed="false">
      <c r="A1145" s="41"/>
      <c r="B1145" s="5" t="n">
        <f aca="false">IF(A1145="",0,IFERROR(MATCH(A1145,Bank!$A:$A,0),0))</f>
        <v>0</v>
      </c>
      <c r="C1145" s="5" t="str">
        <f aca="false">IF(B1145=0,"",IF(INDEX(Bank!$G:$G,B1145)="","",INDEX(Bank!$G:$G,B1145)))</f>
        <v/>
      </c>
      <c r="D1145" s="5" t="str">
        <f aca="false">IF(B1145=0,"",IF(INDEX(Bank!$J:$J,B1145)="","",INDEX(Bank!$J:$J,B1145)))</f>
        <v/>
      </c>
      <c r="E1145" s="32" t="str">
        <f aca="false">IF(B1145=0,"",INDEX(Bank!$B:$B,B1145))</f>
        <v/>
      </c>
      <c r="F1145" s="5" t="str">
        <f aca="false">IF(B1145=0,"",IF(INDEX(Bank!$C:$C,B1145)="","",INDEX(Bank!$C:$C,B1145)))</f>
        <v/>
      </c>
      <c r="G1145" s="19" t="str">
        <f aca="false">IF(B1145=0,"",INDEX(Bank!$E:$E,B1145))</f>
        <v/>
      </c>
      <c r="H1145" s="5" t="str">
        <f aca="false">IF(B1145=0,"",IF(INDEX(Bank!$H:$H,B1145)="","",INDEX(Bank!$H:$H,B1145)))</f>
        <v/>
      </c>
      <c r="I1145" s="5" t="n">
        <f aca="false">IF(H1145="",0,IFERROR(MATCH(H1145,GL!$A:$A,0),0))</f>
        <v>0</v>
      </c>
      <c r="J1145" s="32" t="str">
        <f aca="false">IF(I1145=0,"",INDEX(GL!$B:$B,I1145))</f>
        <v/>
      </c>
      <c r="K1145" s="5" t="str">
        <f aca="false">IF(I1145=0,"",IF(INDEX(GL!$C:$C,I1145)="","",INDEX(GL!$C:$C,I1145)))</f>
        <v/>
      </c>
      <c r="L1145" s="19" t="str">
        <f aca="false">IF(I1145=0,"",INDEX(GL!$E:$E,I1145))</f>
        <v/>
      </c>
      <c r="M1145" s="19" t="str">
        <f aca="false">IF(OR(B1145=0,I1145=0),"",ROUND(G1145-L1145,2))</f>
        <v/>
      </c>
      <c r="N1145" s="5" t="str">
        <f aca="false">IF(A1145="","",IF(B1145=0,"NOT FOUND: bank ID",IF(I1145=0,"NOT FOUND: GL ID",IF(INDEX(GL!$H:$H,I1145)&lt;&gt;A1145,"BROKEN: GL points elsewhere",IF(OR(INDEX(Bank!$F:$F,B1145)&lt;&gt;"Y",INDEX(GL!$F:$F,I1145)&lt;&gt;"Y"),"BROKEN: Status not Y","OK")))))</f>
        <v/>
      </c>
    </row>
    <row r="1146" customFormat="false" ht="15" hidden="false" customHeight="false" outlineLevel="0" collapsed="false">
      <c r="A1146" s="41"/>
      <c r="B1146" s="5" t="n">
        <f aca="false">IF(A1146="",0,IFERROR(MATCH(A1146,Bank!$A:$A,0),0))</f>
        <v>0</v>
      </c>
      <c r="C1146" s="5" t="str">
        <f aca="false">IF(B1146=0,"",IF(INDEX(Bank!$G:$G,B1146)="","",INDEX(Bank!$G:$G,B1146)))</f>
        <v/>
      </c>
      <c r="D1146" s="5" t="str">
        <f aca="false">IF(B1146=0,"",IF(INDEX(Bank!$J:$J,B1146)="","",INDEX(Bank!$J:$J,B1146)))</f>
        <v/>
      </c>
      <c r="E1146" s="32" t="str">
        <f aca="false">IF(B1146=0,"",INDEX(Bank!$B:$B,B1146))</f>
        <v/>
      </c>
      <c r="F1146" s="5" t="str">
        <f aca="false">IF(B1146=0,"",IF(INDEX(Bank!$C:$C,B1146)="","",INDEX(Bank!$C:$C,B1146)))</f>
        <v/>
      </c>
      <c r="G1146" s="19" t="str">
        <f aca="false">IF(B1146=0,"",INDEX(Bank!$E:$E,B1146))</f>
        <v/>
      </c>
      <c r="H1146" s="5" t="str">
        <f aca="false">IF(B1146=0,"",IF(INDEX(Bank!$H:$H,B1146)="","",INDEX(Bank!$H:$H,B1146)))</f>
        <v/>
      </c>
      <c r="I1146" s="5" t="n">
        <f aca="false">IF(H1146="",0,IFERROR(MATCH(H1146,GL!$A:$A,0),0))</f>
        <v>0</v>
      </c>
      <c r="J1146" s="32" t="str">
        <f aca="false">IF(I1146=0,"",INDEX(GL!$B:$B,I1146))</f>
        <v/>
      </c>
      <c r="K1146" s="5" t="str">
        <f aca="false">IF(I1146=0,"",IF(INDEX(GL!$C:$C,I1146)="","",INDEX(GL!$C:$C,I1146)))</f>
        <v/>
      </c>
      <c r="L1146" s="19" t="str">
        <f aca="false">IF(I1146=0,"",INDEX(GL!$E:$E,I1146))</f>
        <v/>
      </c>
      <c r="M1146" s="19" t="str">
        <f aca="false">IF(OR(B1146=0,I1146=0),"",ROUND(G1146-L1146,2))</f>
        <v/>
      </c>
      <c r="N1146" s="5" t="str">
        <f aca="false">IF(A1146="","",IF(B1146=0,"NOT FOUND: bank ID",IF(I1146=0,"NOT FOUND: GL ID",IF(INDEX(GL!$H:$H,I1146)&lt;&gt;A1146,"BROKEN: GL points elsewhere",IF(OR(INDEX(Bank!$F:$F,B1146)&lt;&gt;"Y",INDEX(GL!$F:$F,I1146)&lt;&gt;"Y"),"BROKEN: Status not Y","OK")))))</f>
        <v/>
      </c>
    </row>
    <row r="1147" customFormat="false" ht="15" hidden="false" customHeight="false" outlineLevel="0" collapsed="false">
      <c r="A1147" s="41"/>
      <c r="B1147" s="5" t="n">
        <f aca="false">IF(A1147="",0,IFERROR(MATCH(A1147,Bank!$A:$A,0),0))</f>
        <v>0</v>
      </c>
      <c r="C1147" s="5" t="str">
        <f aca="false">IF(B1147=0,"",IF(INDEX(Bank!$G:$G,B1147)="","",INDEX(Bank!$G:$G,B1147)))</f>
        <v/>
      </c>
      <c r="D1147" s="5" t="str">
        <f aca="false">IF(B1147=0,"",IF(INDEX(Bank!$J:$J,B1147)="","",INDEX(Bank!$J:$J,B1147)))</f>
        <v/>
      </c>
      <c r="E1147" s="32" t="str">
        <f aca="false">IF(B1147=0,"",INDEX(Bank!$B:$B,B1147))</f>
        <v/>
      </c>
      <c r="F1147" s="5" t="str">
        <f aca="false">IF(B1147=0,"",IF(INDEX(Bank!$C:$C,B1147)="","",INDEX(Bank!$C:$C,B1147)))</f>
        <v/>
      </c>
      <c r="G1147" s="19" t="str">
        <f aca="false">IF(B1147=0,"",INDEX(Bank!$E:$E,B1147))</f>
        <v/>
      </c>
      <c r="H1147" s="5" t="str">
        <f aca="false">IF(B1147=0,"",IF(INDEX(Bank!$H:$H,B1147)="","",INDEX(Bank!$H:$H,B1147)))</f>
        <v/>
      </c>
      <c r="I1147" s="5" t="n">
        <f aca="false">IF(H1147="",0,IFERROR(MATCH(H1147,GL!$A:$A,0),0))</f>
        <v>0</v>
      </c>
      <c r="J1147" s="32" t="str">
        <f aca="false">IF(I1147=0,"",INDEX(GL!$B:$B,I1147))</f>
        <v/>
      </c>
      <c r="K1147" s="5" t="str">
        <f aca="false">IF(I1147=0,"",IF(INDEX(GL!$C:$C,I1147)="","",INDEX(GL!$C:$C,I1147)))</f>
        <v/>
      </c>
      <c r="L1147" s="19" t="str">
        <f aca="false">IF(I1147=0,"",INDEX(GL!$E:$E,I1147))</f>
        <v/>
      </c>
      <c r="M1147" s="19" t="str">
        <f aca="false">IF(OR(B1147=0,I1147=0),"",ROUND(G1147-L1147,2))</f>
        <v/>
      </c>
      <c r="N1147" s="5" t="str">
        <f aca="false">IF(A1147="","",IF(B1147=0,"NOT FOUND: bank ID",IF(I1147=0,"NOT FOUND: GL ID",IF(INDEX(GL!$H:$H,I1147)&lt;&gt;A1147,"BROKEN: GL points elsewhere",IF(OR(INDEX(Bank!$F:$F,B1147)&lt;&gt;"Y",INDEX(GL!$F:$F,I1147)&lt;&gt;"Y"),"BROKEN: Status not Y","OK")))))</f>
        <v/>
      </c>
    </row>
    <row r="1148" customFormat="false" ht="15" hidden="false" customHeight="false" outlineLevel="0" collapsed="false">
      <c r="A1148" s="41"/>
      <c r="B1148" s="5" t="n">
        <f aca="false">IF(A1148="",0,IFERROR(MATCH(A1148,Bank!$A:$A,0),0))</f>
        <v>0</v>
      </c>
      <c r="C1148" s="5" t="str">
        <f aca="false">IF(B1148=0,"",IF(INDEX(Bank!$G:$G,B1148)="","",INDEX(Bank!$G:$G,B1148)))</f>
        <v/>
      </c>
      <c r="D1148" s="5" t="str">
        <f aca="false">IF(B1148=0,"",IF(INDEX(Bank!$J:$J,B1148)="","",INDEX(Bank!$J:$J,B1148)))</f>
        <v/>
      </c>
      <c r="E1148" s="32" t="str">
        <f aca="false">IF(B1148=0,"",INDEX(Bank!$B:$B,B1148))</f>
        <v/>
      </c>
      <c r="F1148" s="5" t="str">
        <f aca="false">IF(B1148=0,"",IF(INDEX(Bank!$C:$C,B1148)="","",INDEX(Bank!$C:$C,B1148)))</f>
        <v/>
      </c>
      <c r="G1148" s="19" t="str">
        <f aca="false">IF(B1148=0,"",INDEX(Bank!$E:$E,B1148))</f>
        <v/>
      </c>
      <c r="H1148" s="5" t="str">
        <f aca="false">IF(B1148=0,"",IF(INDEX(Bank!$H:$H,B1148)="","",INDEX(Bank!$H:$H,B1148)))</f>
        <v/>
      </c>
      <c r="I1148" s="5" t="n">
        <f aca="false">IF(H1148="",0,IFERROR(MATCH(H1148,GL!$A:$A,0),0))</f>
        <v>0</v>
      </c>
      <c r="J1148" s="32" t="str">
        <f aca="false">IF(I1148=0,"",INDEX(GL!$B:$B,I1148))</f>
        <v/>
      </c>
      <c r="K1148" s="5" t="str">
        <f aca="false">IF(I1148=0,"",IF(INDEX(GL!$C:$C,I1148)="","",INDEX(GL!$C:$C,I1148)))</f>
        <v/>
      </c>
      <c r="L1148" s="19" t="str">
        <f aca="false">IF(I1148=0,"",INDEX(GL!$E:$E,I1148))</f>
        <v/>
      </c>
      <c r="M1148" s="19" t="str">
        <f aca="false">IF(OR(B1148=0,I1148=0),"",ROUND(G1148-L1148,2))</f>
        <v/>
      </c>
      <c r="N1148" s="5" t="str">
        <f aca="false">IF(A1148="","",IF(B1148=0,"NOT FOUND: bank ID",IF(I1148=0,"NOT FOUND: GL ID",IF(INDEX(GL!$H:$H,I1148)&lt;&gt;A1148,"BROKEN: GL points elsewhere",IF(OR(INDEX(Bank!$F:$F,B1148)&lt;&gt;"Y",INDEX(GL!$F:$F,I1148)&lt;&gt;"Y"),"BROKEN: Status not Y","OK")))))</f>
        <v/>
      </c>
    </row>
    <row r="1149" customFormat="false" ht="15" hidden="false" customHeight="false" outlineLevel="0" collapsed="false">
      <c r="A1149" s="41"/>
      <c r="B1149" s="5" t="n">
        <f aca="false">IF(A1149="",0,IFERROR(MATCH(A1149,Bank!$A:$A,0),0))</f>
        <v>0</v>
      </c>
      <c r="C1149" s="5" t="str">
        <f aca="false">IF(B1149=0,"",IF(INDEX(Bank!$G:$G,B1149)="","",INDEX(Bank!$G:$G,B1149)))</f>
        <v/>
      </c>
      <c r="D1149" s="5" t="str">
        <f aca="false">IF(B1149=0,"",IF(INDEX(Bank!$J:$J,B1149)="","",INDEX(Bank!$J:$J,B1149)))</f>
        <v/>
      </c>
      <c r="E1149" s="32" t="str">
        <f aca="false">IF(B1149=0,"",INDEX(Bank!$B:$B,B1149))</f>
        <v/>
      </c>
      <c r="F1149" s="5" t="str">
        <f aca="false">IF(B1149=0,"",IF(INDEX(Bank!$C:$C,B1149)="","",INDEX(Bank!$C:$C,B1149)))</f>
        <v/>
      </c>
      <c r="G1149" s="19" t="str">
        <f aca="false">IF(B1149=0,"",INDEX(Bank!$E:$E,B1149))</f>
        <v/>
      </c>
      <c r="H1149" s="5" t="str">
        <f aca="false">IF(B1149=0,"",IF(INDEX(Bank!$H:$H,B1149)="","",INDEX(Bank!$H:$H,B1149)))</f>
        <v/>
      </c>
      <c r="I1149" s="5" t="n">
        <f aca="false">IF(H1149="",0,IFERROR(MATCH(H1149,GL!$A:$A,0),0))</f>
        <v>0</v>
      </c>
      <c r="J1149" s="32" t="str">
        <f aca="false">IF(I1149=0,"",INDEX(GL!$B:$B,I1149))</f>
        <v/>
      </c>
      <c r="K1149" s="5" t="str">
        <f aca="false">IF(I1149=0,"",IF(INDEX(GL!$C:$C,I1149)="","",INDEX(GL!$C:$C,I1149)))</f>
        <v/>
      </c>
      <c r="L1149" s="19" t="str">
        <f aca="false">IF(I1149=0,"",INDEX(GL!$E:$E,I1149))</f>
        <v/>
      </c>
      <c r="M1149" s="19" t="str">
        <f aca="false">IF(OR(B1149=0,I1149=0),"",ROUND(G1149-L1149,2))</f>
        <v/>
      </c>
      <c r="N1149" s="5" t="str">
        <f aca="false">IF(A1149="","",IF(B1149=0,"NOT FOUND: bank ID",IF(I1149=0,"NOT FOUND: GL ID",IF(INDEX(GL!$H:$H,I1149)&lt;&gt;A1149,"BROKEN: GL points elsewhere",IF(OR(INDEX(Bank!$F:$F,B1149)&lt;&gt;"Y",INDEX(GL!$F:$F,I1149)&lt;&gt;"Y"),"BROKEN: Status not Y","OK")))))</f>
        <v/>
      </c>
    </row>
    <row r="1150" customFormat="false" ht="15" hidden="false" customHeight="false" outlineLevel="0" collapsed="false">
      <c r="A1150" s="41"/>
      <c r="B1150" s="5" t="n">
        <f aca="false">IF(A1150="",0,IFERROR(MATCH(A1150,Bank!$A:$A,0),0))</f>
        <v>0</v>
      </c>
      <c r="C1150" s="5" t="str">
        <f aca="false">IF(B1150=0,"",IF(INDEX(Bank!$G:$G,B1150)="","",INDEX(Bank!$G:$G,B1150)))</f>
        <v/>
      </c>
      <c r="D1150" s="5" t="str">
        <f aca="false">IF(B1150=0,"",IF(INDEX(Bank!$J:$J,B1150)="","",INDEX(Bank!$J:$J,B1150)))</f>
        <v/>
      </c>
      <c r="E1150" s="32" t="str">
        <f aca="false">IF(B1150=0,"",INDEX(Bank!$B:$B,B1150))</f>
        <v/>
      </c>
      <c r="F1150" s="5" t="str">
        <f aca="false">IF(B1150=0,"",IF(INDEX(Bank!$C:$C,B1150)="","",INDEX(Bank!$C:$C,B1150)))</f>
        <v/>
      </c>
      <c r="G1150" s="19" t="str">
        <f aca="false">IF(B1150=0,"",INDEX(Bank!$E:$E,B1150))</f>
        <v/>
      </c>
      <c r="H1150" s="5" t="str">
        <f aca="false">IF(B1150=0,"",IF(INDEX(Bank!$H:$H,B1150)="","",INDEX(Bank!$H:$H,B1150)))</f>
        <v/>
      </c>
      <c r="I1150" s="5" t="n">
        <f aca="false">IF(H1150="",0,IFERROR(MATCH(H1150,GL!$A:$A,0),0))</f>
        <v>0</v>
      </c>
      <c r="J1150" s="32" t="str">
        <f aca="false">IF(I1150=0,"",INDEX(GL!$B:$B,I1150))</f>
        <v/>
      </c>
      <c r="K1150" s="5" t="str">
        <f aca="false">IF(I1150=0,"",IF(INDEX(GL!$C:$C,I1150)="","",INDEX(GL!$C:$C,I1150)))</f>
        <v/>
      </c>
      <c r="L1150" s="19" t="str">
        <f aca="false">IF(I1150=0,"",INDEX(GL!$E:$E,I1150))</f>
        <v/>
      </c>
      <c r="M1150" s="19" t="str">
        <f aca="false">IF(OR(B1150=0,I1150=0),"",ROUND(G1150-L1150,2))</f>
        <v/>
      </c>
      <c r="N1150" s="5" t="str">
        <f aca="false">IF(A1150="","",IF(B1150=0,"NOT FOUND: bank ID",IF(I1150=0,"NOT FOUND: GL ID",IF(INDEX(GL!$H:$H,I1150)&lt;&gt;A1150,"BROKEN: GL points elsewhere",IF(OR(INDEX(Bank!$F:$F,B1150)&lt;&gt;"Y",INDEX(GL!$F:$F,I1150)&lt;&gt;"Y"),"BROKEN: Status not Y","OK")))))</f>
        <v/>
      </c>
    </row>
    <row r="1151" customFormat="false" ht="15" hidden="false" customHeight="false" outlineLevel="0" collapsed="false">
      <c r="A1151" s="41"/>
      <c r="B1151" s="5" t="n">
        <f aca="false">IF(A1151="",0,IFERROR(MATCH(A1151,Bank!$A:$A,0),0))</f>
        <v>0</v>
      </c>
      <c r="C1151" s="5" t="str">
        <f aca="false">IF(B1151=0,"",IF(INDEX(Bank!$G:$G,B1151)="","",INDEX(Bank!$G:$G,B1151)))</f>
        <v/>
      </c>
      <c r="D1151" s="5" t="str">
        <f aca="false">IF(B1151=0,"",IF(INDEX(Bank!$J:$J,B1151)="","",INDEX(Bank!$J:$J,B1151)))</f>
        <v/>
      </c>
      <c r="E1151" s="32" t="str">
        <f aca="false">IF(B1151=0,"",INDEX(Bank!$B:$B,B1151))</f>
        <v/>
      </c>
      <c r="F1151" s="5" t="str">
        <f aca="false">IF(B1151=0,"",IF(INDEX(Bank!$C:$C,B1151)="","",INDEX(Bank!$C:$C,B1151)))</f>
        <v/>
      </c>
      <c r="G1151" s="19" t="str">
        <f aca="false">IF(B1151=0,"",INDEX(Bank!$E:$E,B1151))</f>
        <v/>
      </c>
      <c r="H1151" s="5" t="str">
        <f aca="false">IF(B1151=0,"",IF(INDEX(Bank!$H:$H,B1151)="","",INDEX(Bank!$H:$H,B1151)))</f>
        <v/>
      </c>
      <c r="I1151" s="5" t="n">
        <f aca="false">IF(H1151="",0,IFERROR(MATCH(H1151,GL!$A:$A,0),0))</f>
        <v>0</v>
      </c>
      <c r="J1151" s="32" t="str">
        <f aca="false">IF(I1151=0,"",INDEX(GL!$B:$B,I1151))</f>
        <v/>
      </c>
      <c r="K1151" s="5" t="str">
        <f aca="false">IF(I1151=0,"",IF(INDEX(GL!$C:$C,I1151)="","",INDEX(GL!$C:$C,I1151)))</f>
        <v/>
      </c>
      <c r="L1151" s="19" t="str">
        <f aca="false">IF(I1151=0,"",INDEX(GL!$E:$E,I1151))</f>
        <v/>
      </c>
      <c r="M1151" s="19" t="str">
        <f aca="false">IF(OR(B1151=0,I1151=0),"",ROUND(G1151-L1151,2))</f>
        <v/>
      </c>
      <c r="N1151" s="5" t="str">
        <f aca="false">IF(A1151="","",IF(B1151=0,"NOT FOUND: bank ID",IF(I1151=0,"NOT FOUND: GL ID",IF(INDEX(GL!$H:$H,I1151)&lt;&gt;A1151,"BROKEN: GL points elsewhere",IF(OR(INDEX(Bank!$F:$F,B1151)&lt;&gt;"Y",INDEX(GL!$F:$F,I1151)&lt;&gt;"Y"),"BROKEN: Status not Y","OK")))))</f>
        <v/>
      </c>
    </row>
    <row r="1152" customFormat="false" ht="15" hidden="false" customHeight="false" outlineLevel="0" collapsed="false">
      <c r="A1152" s="41"/>
      <c r="B1152" s="5" t="n">
        <f aca="false">IF(A1152="",0,IFERROR(MATCH(A1152,Bank!$A:$A,0),0))</f>
        <v>0</v>
      </c>
      <c r="C1152" s="5" t="str">
        <f aca="false">IF(B1152=0,"",IF(INDEX(Bank!$G:$G,B1152)="","",INDEX(Bank!$G:$G,B1152)))</f>
        <v/>
      </c>
      <c r="D1152" s="5" t="str">
        <f aca="false">IF(B1152=0,"",IF(INDEX(Bank!$J:$J,B1152)="","",INDEX(Bank!$J:$J,B1152)))</f>
        <v/>
      </c>
      <c r="E1152" s="32" t="str">
        <f aca="false">IF(B1152=0,"",INDEX(Bank!$B:$B,B1152))</f>
        <v/>
      </c>
      <c r="F1152" s="5" t="str">
        <f aca="false">IF(B1152=0,"",IF(INDEX(Bank!$C:$C,B1152)="","",INDEX(Bank!$C:$C,B1152)))</f>
        <v/>
      </c>
      <c r="G1152" s="19" t="str">
        <f aca="false">IF(B1152=0,"",INDEX(Bank!$E:$E,B1152))</f>
        <v/>
      </c>
      <c r="H1152" s="5" t="str">
        <f aca="false">IF(B1152=0,"",IF(INDEX(Bank!$H:$H,B1152)="","",INDEX(Bank!$H:$H,B1152)))</f>
        <v/>
      </c>
      <c r="I1152" s="5" t="n">
        <f aca="false">IF(H1152="",0,IFERROR(MATCH(H1152,GL!$A:$A,0),0))</f>
        <v>0</v>
      </c>
      <c r="J1152" s="32" t="str">
        <f aca="false">IF(I1152=0,"",INDEX(GL!$B:$B,I1152))</f>
        <v/>
      </c>
      <c r="K1152" s="5" t="str">
        <f aca="false">IF(I1152=0,"",IF(INDEX(GL!$C:$C,I1152)="","",INDEX(GL!$C:$C,I1152)))</f>
        <v/>
      </c>
      <c r="L1152" s="19" t="str">
        <f aca="false">IF(I1152=0,"",INDEX(GL!$E:$E,I1152))</f>
        <v/>
      </c>
      <c r="M1152" s="19" t="str">
        <f aca="false">IF(OR(B1152=0,I1152=0),"",ROUND(G1152-L1152,2))</f>
        <v/>
      </c>
      <c r="N1152" s="5" t="str">
        <f aca="false">IF(A1152="","",IF(B1152=0,"NOT FOUND: bank ID",IF(I1152=0,"NOT FOUND: GL ID",IF(INDEX(GL!$H:$H,I1152)&lt;&gt;A1152,"BROKEN: GL points elsewhere",IF(OR(INDEX(Bank!$F:$F,B1152)&lt;&gt;"Y",INDEX(GL!$F:$F,I1152)&lt;&gt;"Y"),"BROKEN: Status not Y","OK")))))</f>
        <v/>
      </c>
    </row>
    <row r="1153" customFormat="false" ht="15" hidden="false" customHeight="false" outlineLevel="0" collapsed="false">
      <c r="A1153" s="41"/>
      <c r="B1153" s="5" t="n">
        <f aca="false">IF(A1153="",0,IFERROR(MATCH(A1153,Bank!$A:$A,0),0))</f>
        <v>0</v>
      </c>
      <c r="C1153" s="5" t="str">
        <f aca="false">IF(B1153=0,"",IF(INDEX(Bank!$G:$G,B1153)="","",INDEX(Bank!$G:$G,B1153)))</f>
        <v/>
      </c>
      <c r="D1153" s="5" t="str">
        <f aca="false">IF(B1153=0,"",IF(INDEX(Bank!$J:$J,B1153)="","",INDEX(Bank!$J:$J,B1153)))</f>
        <v/>
      </c>
      <c r="E1153" s="32" t="str">
        <f aca="false">IF(B1153=0,"",INDEX(Bank!$B:$B,B1153))</f>
        <v/>
      </c>
      <c r="F1153" s="5" t="str">
        <f aca="false">IF(B1153=0,"",IF(INDEX(Bank!$C:$C,B1153)="","",INDEX(Bank!$C:$C,B1153)))</f>
        <v/>
      </c>
      <c r="G1153" s="19" t="str">
        <f aca="false">IF(B1153=0,"",INDEX(Bank!$E:$E,B1153))</f>
        <v/>
      </c>
      <c r="H1153" s="5" t="str">
        <f aca="false">IF(B1153=0,"",IF(INDEX(Bank!$H:$H,B1153)="","",INDEX(Bank!$H:$H,B1153)))</f>
        <v/>
      </c>
      <c r="I1153" s="5" t="n">
        <f aca="false">IF(H1153="",0,IFERROR(MATCH(H1153,GL!$A:$A,0),0))</f>
        <v>0</v>
      </c>
      <c r="J1153" s="32" t="str">
        <f aca="false">IF(I1153=0,"",INDEX(GL!$B:$B,I1153))</f>
        <v/>
      </c>
      <c r="K1153" s="5" t="str">
        <f aca="false">IF(I1153=0,"",IF(INDEX(GL!$C:$C,I1153)="","",INDEX(GL!$C:$C,I1153)))</f>
        <v/>
      </c>
      <c r="L1153" s="19" t="str">
        <f aca="false">IF(I1153=0,"",INDEX(GL!$E:$E,I1153))</f>
        <v/>
      </c>
      <c r="M1153" s="19" t="str">
        <f aca="false">IF(OR(B1153=0,I1153=0),"",ROUND(G1153-L1153,2))</f>
        <v/>
      </c>
      <c r="N1153" s="5" t="str">
        <f aca="false">IF(A1153="","",IF(B1153=0,"NOT FOUND: bank ID",IF(I1153=0,"NOT FOUND: GL ID",IF(INDEX(GL!$H:$H,I1153)&lt;&gt;A1153,"BROKEN: GL points elsewhere",IF(OR(INDEX(Bank!$F:$F,B1153)&lt;&gt;"Y",INDEX(GL!$F:$F,I1153)&lt;&gt;"Y"),"BROKEN: Status not Y","OK")))))</f>
        <v/>
      </c>
    </row>
    <row r="1154" customFormat="false" ht="15" hidden="false" customHeight="false" outlineLevel="0" collapsed="false">
      <c r="A1154" s="41"/>
      <c r="B1154" s="5" t="n">
        <f aca="false">IF(A1154="",0,IFERROR(MATCH(A1154,Bank!$A:$A,0),0))</f>
        <v>0</v>
      </c>
      <c r="C1154" s="5" t="str">
        <f aca="false">IF(B1154=0,"",IF(INDEX(Bank!$G:$G,B1154)="","",INDEX(Bank!$G:$G,B1154)))</f>
        <v/>
      </c>
      <c r="D1154" s="5" t="str">
        <f aca="false">IF(B1154=0,"",IF(INDEX(Bank!$J:$J,B1154)="","",INDEX(Bank!$J:$J,B1154)))</f>
        <v/>
      </c>
      <c r="E1154" s="32" t="str">
        <f aca="false">IF(B1154=0,"",INDEX(Bank!$B:$B,B1154))</f>
        <v/>
      </c>
      <c r="F1154" s="5" t="str">
        <f aca="false">IF(B1154=0,"",IF(INDEX(Bank!$C:$C,B1154)="","",INDEX(Bank!$C:$C,B1154)))</f>
        <v/>
      </c>
      <c r="G1154" s="19" t="str">
        <f aca="false">IF(B1154=0,"",INDEX(Bank!$E:$E,B1154))</f>
        <v/>
      </c>
      <c r="H1154" s="5" t="str">
        <f aca="false">IF(B1154=0,"",IF(INDEX(Bank!$H:$H,B1154)="","",INDEX(Bank!$H:$H,B1154)))</f>
        <v/>
      </c>
      <c r="I1154" s="5" t="n">
        <f aca="false">IF(H1154="",0,IFERROR(MATCH(H1154,GL!$A:$A,0),0))</f>
        <v>0</v>
      </c>
      <c r="J1154" s="32" t="str">
        <f aca="false">IF(I1154=0,"",INDEX(GL!$B:$B,I1154))</f>
        <v/>
      </c>
      <c r="K1154" s="5" t="str">
        <f aca="false">IF(I1154=0,"",IF(INDEX(GL!$C:$C,I1154)="","",INDEX(GL!$C:$C,I1154)))</f>
        <v/>
      </c>
      <c r="L1154" s="19" t="str">
        <f aca="false">IF(I1154=0,"",INDEX(GL!$E:$E,I1154))</f>
        <v/>
      </c>
      <c r="M1154" s="19" t="str">
        <f aca="false">IF(OR(B1154=0,I1154=0),"",ROUND(G1154-L1154,2))</f>
        <v/>
      </c>
      <c r="N1154" s="5" t="str">
        <f aca="false">IF(A1154="","",IF(B1154=0,"NOT FOUND: bank ID",IF(I1154=0,"NOT FOUND: GL ID",IF(INDEX(GL!$H:$H,I1154)&lt;&gt;A1154,"BROKEN: GL points elsewhere",IF(OR(INDEX(Bank!$F:$F,B1154)&lt;&gt;"Y",INDEX(GL!$F:$F,I1154)&lt;&gt;"Y"),"BROKEN: Status not Y","OK")))))</f>
        <v/>
      </c>
    </row>
    <row r="1155" customFormat="false" ht="15" hidden="false" customHeight="false" outlineLevel="0" collapsed="false">
      <c r="A1155" s="41"/>
      <c r="B1155" s="5" t="n">
        <f aca="false">IF(A1155="",0,IFERROR(MATCH(A1155,Bank!$A:$A,0),0))</f>
        <v>0</v>
      </c>
      <c r="C1155" s="5" t="str">
        <f aca="false">IF(B1155=0,"",IF(INDEX(Bank!$G:$G,B1155)="","",INDEX(Bank!$G:$G,B1155)))</f>
        <v/>
      </c>
      <c r="D1155" s="5" t="str">
        <f aca="false">IF(B1155=0,"",IF(INDEX(Bank!$J:$J,B1155)="","",INDEX(Bank!$J:$J,B1155)))</f>
        <v/>
      </c>
      <c r="E1155" s="32" t="str">
        <f aca="false">IF(B1155=0,"",INDEX(Bank!$B:$B,B1155))</f>
        <v/>
      </c>
      <c r="F1155" s="5" t="str">
        <f aca="false">IF(B1155=0,"",IF(INDEX(Bank!$C:$C,B1155)="","",INDEX(Bank!$C:$C,B1155)))</f>
        <v/>
      </c>
      <c r="G1155" s="19" t="str">
        <f aca="false">IF(B1155=0,"",INDEX(Bank!$E:$E,B1155))</f>
        <v/>
      </c>
      <c r="H1155" s="5" t="str">
        <f aca="false">IF(B1155=0,"",IF(INDEX(Bank!$H:$H,B1155)="","",INDEX(Bank!$H:$H,B1155)))</f>
        <v/>
      </c>
      <c r="I1155" s="5" t="n">
        <f aca="false">IF(H1155="",0,IFERROR(MATCH(H1155,GL!$A:$A,0),0))</f>
        <v>0</v>
      </c>
      <c r="J1155" s="32" t="str">
        <f aca="false">IF(I1155=0,"",INDEX(GL!$B:$B,I1155))</f>
        <v/>
      </c>
      <c r="K1155" s="5" t="str">
        <f aca="false">IF(I1155=0,"",IF(INDEX(GL!$C:$C,I1155)="","",INDEX(GL!$C:$C,I1155)))</f>
        <v/>
      </c>
      <c r="L1155" s="19" t="str">
        <f aca="false">IF(I1155=0,"",INDEX(GL!$E:$E,I1155))</f>
        <v/>
      </c>
      <c r="M1155" s="19" t="str">
        <f aca="false">IF(OR(B1155=0,I1155=0),"",ROUND(G1155-L1155,2))</f>
        <v/>
      </c>
      <c r="N1155" s="5" t="str">
        <f aca="false">IF(A1155="","",IF(B1155=0,"NOT FOUND: bank ID",IF(I1155=0,"NOT FOUND: GL ID",IF(INDEX(GL!$H:$H,I1155)&lt;&gt;A1155,"BROKEN: GL points elsewhere",IF(OR(INDEX(Bank!$F:$F,B1155)&lt;&gt;"Y",INDEX(GL!$F:$F,I1155)&lt;&gt;"Y"),"BROKEN: Status not Y","OK")))))</f>
        <v/>
      </c>
    </row>
    <row r="1156" customFormat="false" ht="15" hidden="false" customHeight="false" outlineLevel="0" collapsed="false">
      <c r="A1156" s="41"/>
      <c r="B1156" s="5" t="n">
        <f aca="false">IF(A1156="",0,IFERROR(MATCH(A1156,Bank!$A:$A,0),0))</f>
        <v>0</v>
      </c>
      <c r="C1156" s="5" t="str">
        <f aca="false">IF(B1156=0,"",IF(INDEX(Bank!$G:$G,B1156)="","",INDEX(Bank!$G:$G,B1156)))</f>
        <v/>
      </c>
      <c r="D1156" s="5" t="str">
        <f aca="false">IF(B1156=0,"",IF(INDEX(Bank!$J:$J,B1156)="","",INDEX(Bank!$J:$J,B1156)))</f>
        <v/>
      </c>
      <c r="E1156" s="32" t="str">
        <f aca="false">IF(B1156=0,"",INDEX(Bank!$B:$B,B1156))</f>
        <v/>
      </c>
      <c r="F1156" s="5" t="str">
        <f aca="false">IF(B1156=0,"",IF(INDEX(Bank!$C:$C,B1156)="","",INDEX(Bank!$C:$C,B1156)))</f>
        <v/>
      </c>
      <c r="G1156" s="19" t="str">
        <f aca="false">IF(B1156=0,"",INDEX(Bank!$E:$E,B1156))</f>
        <v/>
      </c>
      <c r="H1156" s="5" t="str">
        <f aca="false">IF(B1156=0,"",IF(INDEX(Bank!$H:$H,B1156)="","",INDEX(Bank!$H:$H,B1156)))</f>
        <v/>
      </c>
      <c r="I1156" s="5" t="n">
        <f aca="false">IF(H1156="",0,IFERROR(MATCH(H1156,GL!$A:$A,0),0))</f>
        <v>0</v>
      </c>
      <c r="J1156" s="32" t="str">
        <f aca="false">IF(I1156=0,"",INDEX(GL!$B:$B,I1156))</f>
        <v/>
      </c>
      <c r="K1156" s="5" t="str">
        <f aca="false">IF(I1156=0,"",IF(INDEX(GL!$C:$C,I1156)="","",INDEX(GL!$C:$C,I1156)))</f>
        <v/>
      </c>
      <c r="L1156" s="19" t="str">
        <f aca="false">IF(I1156=0,"",INDEX(GL!$E:$E,I1156))</f>
        <v/>
      </c>
      <c r="M1156" s="19" t="str">
        <f aca="false">IF(OR(B1156=0,I1156=0),"",ROUND(G1156-L1156,2))</f>
        <v/>
      </c>
      <c r="N1156" s="5" t="str">
        <f aca="false">IF(A1156="","",IF(B1156=0,"NOT FOUND: bank ID",IF(I1156=0,"NOT FOUND: GL ID",IF(INDEX(GL!$H:$H,I1156)&lt;&gt;A1156,"BROKEN: GL points elsewhere",IF(OR(INDEX(Bank!$F:$F,B1156)&lt;&gt;"Y",INDEX(GL!$F:$F,I1156)&lt;&gt;"Y"),"BROKEN: Status not Y","OK")))))</f>
        <v/>
      </c>
    </row>
    <row r="1157" customFormat="false" ht="15" hidden="false" customHeight="false" outlineLevel="0" collapsed="false">
      <c r="A1157" s="41"/>
      <c r="B1157" s="5" t="n">
        <f aca="false">IF(A1157="",0,IFERROR(MATCH(A1157,Bank!$A:$A,0),0))</f>
        <v>0</v>
      </c>
      <c r="C1157" s="5" t="str">
        <f aca="false">IF(B1157=0,"",IF(INDEX(Bank!$G:$G,B1157)="","",INDEX(Bank!$G:$G,B1157)))</f>
        <v/>
      </c>
      <c r="D1157" s="5" t="str">
        <f aca="false">IF(B1157=0,"",IF(INDEX(Bank!$J:$J,B1157)="","",INDEX(Bank!$J:$J,B1157)))</f>
        <v/>
      </c>
      <c r="E1157" s="32" t="str">
        <f aca="false">IF(B1157=0,"",INDEX(Bank!$B:$B,B1157))</f>
        <v/>
      </c>
      <c r="F1157" s="5" t="str">
        <f aca="false">IF(B1157=0,"",IF(INDEX(Bank!$C:$C,B1157)="","",INDEX(Bank!$C:$C,B1157)))</f>
        <v/>
      </c>
      <c r="G1157" s="19" t="str">
        <f aca="false">IF(B1157=0,"",INDEX(Bank!$E:$E,B1157))</f>
        <v/>
      </c>
      <c r="H1157" s="5" t="str">
        <f aca="false">IF(B1157=0,"",IF(INDEX(Bank!$H:$H,B1157)="","",INDEX(Bank!$H:$H,B1157)))</f>
        <v/>
      </c>
      <c r="I1157" s="5" t="n">
        <f aca="false">IF(H1157="",0,IFERROR(MATCH(H1157,GL!$A:$A,0),0))</f>
        <v>0</v>
      </c>
      <c r="J1157" s="32" t="str">
        <f aca="false">IF(I1157=0,"",INDEX(GL!$B:$B,I1157))</f>
        <v/>
      </c>
      <c r="K1157" s="5" t="str">
        <f aca="false">IF(I1157=0,"",IF(INDEX(GL!$C:$C,I1157)="","",INDEX(GL!$C:$C,I1157)))</f>
        <v/>
      </c>
      <c r="L1157" s="19" t="str">
        <f aca="false">IF(I1157=0,"",INDEX(GL!$E:$E,I1157))</f>
        <v/>
      </c>
      <c r="M1157" s="19" t="str">
        <f aca="false">IF(OR(B1157=0,I1157=0),"",ROUND(G1157-L1157,2))</f>
        <v/>
      </c>
      <c r="N1157" s="5" t="str">
        <f aca="false">IF(A1157="","",IF(B1157=0,"NOT FOUND: bank ID",IF(I1157=0,"NOT FOUND: GL ID",IF(INDEX(GL!$H:$H,I1157)&lt;&gt;A1157,"BROKEN: GL points elsewhere",IF(OR(INDEX(Bank!$F:$F,B1157)&lt;&gt;"Y",INDEX(GL!$F:$F,I1157)&lt;&gt;"Y"),"BROKEN: Status not Y","OK")))))</f>
        <v/>
      </c>
    </row>
    <row r="1158" customFormat="false" ht="15" hidden="false" customHeight="false" outlineLevel="0" collapsed="false">
      <c r="A1158" s="41"/>
      <c r="B1158" s="5" t="n">
        <f aca="false">IF(A1158="",0,IFERROR(MATCH(A1158,Bank!$A:$A,0),0))</f>
        <v>0</v>
      </c>
      <c r="C1158" s="5" t="str">
        <f aca="false">IF(B1158=0,"",IF(INDEX(Bank!$G:$G,B1158)="","",INDEX(Bank!$G:$G,B1158)))</f>
        <v/>
      </c>
      <c r="D1158" s="5" t="str">
        <f aca="false">IF(B1158=0,"",IF(INDEX(Bank!$J:$J,B1158)="","",INDEX(Bank!$J:$J,B1158)))</f>
        <v/>
      </c>
      <c r="E1158" s="32" t="str">
        <f aca="false">IF(B1158=0,"",INDEX(Bank!$B:$B,B1158))</f>
        <v/>
      </c>
      <c r="F1158" s="5" t="str">
        <f aca="false">IF(B1158=0,"",IF(INDEX(Bank!$C:$C,B1158)="","",INDEX(Bank!$C:$C,B1158)))</f>
        <v/>
      </c>
      <c r="G1158" s="19" t="str">
        <f aca="false">IF(B1158=0,"",INDEX(Bank!$E:$E,B1158))</f>
        <v/>
      </c>
      <c r="H1158" s="5" t="str">
        <f aca="false">IF(B1158=0,"",IF(INDEX(Bank!$H:$H,B1158)="","",INDEX(Bank!$H:$H,B1158)))</f>
        <v/>
      </c>
      <c r="I1158" s="5" t="n">
        <f aca="false">IF(H1158="",0,IFERROR(MATCH(H1158,GL!$A:$A,0),0))</f>
        <v>0</v>
      </c>
      <c r="J1158" s="32" t="str">
        <f aca="false">IF(I1158=0,"",INDEX(GL!$B:$B,I1158))</f>
        <v/>
      </c>
      <c r="K1158" s="5" t="str">
        <f aca="false">IF(I1158=0,"",IF(INDEX(GL!$C:$C,I1158)="","",INDEX(GL!$C:$C,I1158)))</f>
        <v/>
      </c>
      <c r="L1158" s="19" t="str">
        <f aca="false">IF(I1158=0,"",INDEX(GL!$E:$E,I1158))</f>
        <v/>
      </c>
      <c r="M1158" s="19" t="str">
        <f aca="false">IF(OR(B1158=0,I1158=0),"",ROUND(G1158-L1158,2))</f>
        <v/>
      </c>
      <c r="N1158" s="5" t="str">
        <f aca="false">IF(A1158="","",IF(B1158=0,"NOT FOUND: bank ID",IF(I1158=0,"NOT FOUND: GL ID",IF(INDEX(GL!$H:$H,I1158)&lt;&gt;A1158,"BROKEN: GL points elsewhere",IF(OR(INDEX(Bank!$F:$F,B1158)&lt;&gt;"Y",INDEX(GL!$F:$F,I1158)&lt;&gt;"Y"),"BROKEN: Status not Y","OK")))))</f>
        <v/>
      </c>
    </row>
    <row r="1159" customFormat="false" ht="15" hidden="false" customHeight="false" outlineLevel="0" collapsed="false">
      <c r="A1159" s="41"/>
      <c r="B1159" s="5" t="n">
        <f aca="false">IF(A1159="",0,IFERROR(MATCH(A1159,Bank!$A:$A,0),0))</f>
        <v>0</v>
      </c>
      <c r="C1159" s="5" t="str">
        <f aca="false">IF(B1159=0,"",IF(INDEX(Bank!$G:$G,B1159)="","",INDEX(Bank!$G:$G,B1159)))</f>
        <v/>
      </c>
      <c r="D1159" s="5" t="str">
        <f aca="false">IF(B1159=0,"",IF(INDEX(Bank!$J:$J,B1159)="","",INDEX(Bank!$J:$J,B1159)))</f>
        <v/>
      </c>
      <c r="E1159" s="32" t="str">
        <f aca="false">IF(B1159=0,"",INDEX(Bank!$B:$B,B1159))</f>
        <v/>
      </c>
      <c r="F1159" s="5" t="str">
        <f aca="false">IF(B1159=0,"",IF(INDEX(Bank!$C:$C,B1159)="","",INDEX(Bank!$C:$C,B1159)))</f>
        <v/>
      </c>
      <c r="G1159" s="19" t="str">
        <f aca="false">IF(B1159=0,"",INDEX(Bank!$E:$E,B1159))</f>
        <v/>
      </c>
      <c r="H1159" s="5" t="str">
        <f aca="false">IF(B1159=0,"",IF(INDEX(Bank!$H:$H,B1159)="","",INDEX(Bank!$H:$H,B1159)))</f>
        <v/>
      </c>
      <c r="I1159" s="5" t="n">
        <f aca="false">IF(H1159="",0,IFERROR(MATCH(H1159,GL!$A:$A,0),0))</f>
        <v>0</v>
      </c>
      <c r="J1159" s="32" t="str">
        <f aca="false">IF(I1159=0,"",INDEX(GL!$B:$B,I1159))</f>
        <v/>
      </c>
      <c r="K1159" s="5" t="str">
        <f aca="false">IF(I1159=0,"",IF(INDEX(GL!$C:$C,I1159)="","",INDEX(GL!$C:$C,I1159)))</f>
        <v/>
      </c>
      <c r="L1159" s="19" t="str">
        <f aca="false">IF(I1159=0,"",INDEX(GL!$E:$E,I1159))</f>
        <v/>
      </c>
      <c r="M1159" s="19" t="str">
        <f aca="false">IF(OR(B1159=0,I1159=0),"",ROUND(G1159-L1159,2))</f>
        <v/>
      </c>
      <c r="N1159" s="5" t="str">
        <f aca="false">IF(A1159="","",IF(B1159=0,"NOT FOUND: bank ID",IF(I1159=0,"NOT FOUND: GL ID",IF(INDEX(GL!$H:$H,I1159)&lt;&gt;A1159,"BROKEN: GL points elsewhere",IF(OR(INDEX(Bank!$F:$F,B1159)&lt;&gt;"Y",INDEX(GL!$F:$F,I1159)&lt;&gt;"Y"),"BROKEN: Status not Y","OK")))))</f>
        <v/>
      </c>
    </row>
    <row r="1160" customFormat="false" ht="15" hidden="false" customHeight="false" outlineLevel="0" collapsed="false">
      <c r="A1160" s="41"/>
      <c r="B1160" s="5" t="n">
        <f aca="false">IF(A1160="",0,IFERROR(MATCH(A1160,Bank!$A:$A,0),0))</f>
        <v>0</v>
      </c>
      <c r="C1160" s="5" t="str">
        <f aca="false">IF(B1160=0,"",IF(INDEX(Bank!$G:$G,B1160)="","",INDEX(Bank!$G:$G,B1160)))</f>
        <v/>
      </c>
      <c r="D1160" s="5" t="str">
        <f aca="false">IF(B1160=0,"",IF(INDEX(Bank!$J:$J,B1160)="","",INDEX(Bank!$J:$J,B1160)))</f>
        <v/>
      </c>
      <c r="E1160" s="32" t="str">
        <f aca="false">IF(B1160=0,"",INDEX(Bank!$B:$B,B1160))</f>
        <v/>
      </c>
      <c r="F1160" s="5" t="str">
        <f aca="false">IF(B1160=0,"",IF(INDEX(Bank!$C:$C,B1160)="","",INDEX(Bank!$C:$C,B1160)))</f>
        <v/>
      </c>
      <c r="G1160" s="19" t="str">
        <f aca="false">IF(B1160=0,"",INDEX(Bank!$E:$E,B1160))</f>
        <v/>
      </c>
      <c r="H1160" s="5" t="str">
        <f aca="false">IF(B1160=0,"",IF(INDEX(Bank!$H:$H,B1160)="","",INDEX(Bank!$H:$H,B1160)))</f>
        <v/>
      </c>
      <c r="I1160" s="5" t="n">
        <f aca="false">IF(H1160="",0,IFERROR(MATCH(H1160,GL!$A:$A,0),0))</f>
        <v>0</v>
      </c>
      <c r="J1160" s="32" t="str">
        <f aca="false">IF(I1160=0,"",INDEX(GL!$B:$B,I1160))</f>
        <v/>
      </c>
      <c r="K1160" s="5" t="str">
        <f aca="false">IF(I1160=0,"",IF(INDEX(GL!$C:$C,I1160)="","",INDEX(GL!$C:$C,I1160)))</f>
        <v/>
      </c>
      <c r="L1160" s="19" t="str">
        <f aca="false">IF(I1160=0,"",INDEX(GL!$E:$E,I1160))</f>
        <v/>
      </c>
      <c r="M1160" s="19" t="str">
        <f aca="false">IF(OR(B1160=0,I1160=0),"",ROUND(G1160-L1160,2))</f>
        <v/>
      </c>
      <c r="N1160" s="5" t="str">
        <f aca="false">IF(A1160="","",IF(B1160=0,"NOT FOUND: bank ID",IF(I1160=0,"NOT FOUND: GL ID",IF(INDEX(GL!$H:$H,I1160)&lt;&gt;A1160,"BROKEN: GL points elsewhere",IF(OR(INDEX(Bank!$F:$F,B1160)&lt;&gt;"Y",INDEX(GL!$F:$F,I1160)&lt;&gt;"Y"),"BROKEN: Status not Y","OK")))))</f>
        <v/>
      </c>
    </row>
    <row r="1161" customFormat="false" ht="15" hidden="false" customHeight="false" outlineLevel="0" collapsed="false">
      <c r="A1161" s="41"/>
      <c r="B1161" s="5" t="n">
        <f aca="false">IF(A1161="",0,IFERROR(MATCH(A1161,Bank!$A:$A,0),0))</f>
        <v>0</v>
      </c>
      <c r="C1161" s="5" t="str">
        <f aca="false">IF(B1161=0,"",IF(INDEX(Bank!$G:$G,B1161)="","",INDEX(Bank!$G:$G,B1161)))</f>
        <v/>
      </c>
      <c r="D1161" s="5" t="str">
        <f aca="false">IF(B1161=0,"",IF(INDEX(Bank!$J:$J,B1161)="","",INDEX(Bank!$J:$J,B1161)))</f>
        <v/>
      </c>
      <c r="E1161" s="32" t="str">
        <f aca="false">IF(B1161=0,"",INDEX(Bank!$B:$B,B1161))</f>
        <v/>
      </c>
      <c r="F1161" s="5" t="str">
        <f aca="false">IF(B1161=0,"",IF(INDEX(Bank!$C:$C,B1161)="","",INDEX(Bank!$C:$C,B1161)))</f>
        <v/>
      </c>
      <c r="G1161" s="19" t="str">
        <f aca="false">IF(B1161=0,"",INDEX(Bank!$E:$E,B1161))</f>
        <v/>
      </c>
      <c r="H1161" s="5" t="str">
        <f aca="false">IF(B1161=0,"",IF(INDEX(Bank!$H:$H,B1161)="","",INDEX(Bank!$H:$H,B1161)))</f>
        <v/>
      </c>
      <c r="I1161" s="5" t="n">
        <f aca="false">IF(H1161="",0,IFERROR(MATCH(H1161,GL!$A:$A,0),0))</f>
        <v>0</v>
      </c>
      <c r="J1161" s="32" t="str">
        <f aca="false">IF(I1161=0,"",INDEX(GL!$B:$B,I1161))</f>
        <v/>
      </c>
      <c r="K1161" s="5" t="str">
        <f aca="false">IF(I1161=0,"",IF(INDEX(GL!$C:$C,I1161)="","",INDEX(GL!$C:$C,I1161)))</f>
        <v/>
      </c>
      <c r="L1161" s="19" t="str">
        <f aca="false">IF(I1161=0,"",INDEX(GL!$E:$E,I1161))</f>
        <v/>
      </c>
      <c r="M1161" s="19" t="str">
        <f aca="false">IF(OR(B1161=0,I1161=0),"",ROUND(G1161-L1161,2))</f>
        <v/>
      </c>
      <c r="N1161" s="5" t="str">
        <f aca="false">IF(A1161="","",IF(B1161=0,"NOT FOUND: bank ID",IF(I1161=0,"NOT FOUND: GL ID",IF(INDEX(GL!$H:$H,I1161)&lt;&gt;A1161,"BROKEN: GL points elsewhere",IF(OR(INDEX(Bank!$F:$F,B1161)&lt;&gt;"Y",INDEX(GL!$F:$F,I1161)&lt;&gt;"Y"),"BROKEN: Status not Y","OK")))))</f>
        <v/>
      </c>
    </row>
    <row r="1162" customFormat="false" ht="15" hidden="false" customHeight="false" outlineLevel="0" collapsed="false">
      <c r="A1162" s="41"/>
      <c r="B1162" s="5" t="n">
        <f aca="false">IF(A1162="",0,IFERROR(MATCH(A1162,Bank!$A:$A,0),0))</f>
        <v>0</v>
      </c>
      <c r="C1162" s="5" t="str">
        <f aca="false">IF(B1162=0,"",IF(INDEX(Bank!$G:$G,B1162)="","",INDEX(Bank!$G:$G,B1162)))</f>
        <v/>
      </c>
      <c r="D1162" s="5" t="str">
        <f aca="false">IF(B1162=0,"",IF(INDEX(Bank!$J:$J,B1162)="","",INDEX(Bank!$J:$J,B1162)))</f>
        <v/>
      </c>
      <c r="E1162" s="32" t="str">
        <f aca="false">IF(B1162=0,"",INDEX(Bank!$B:$B,B1162))</f>
        <v/>
      </c>
      <c r="F1162" s="5" t="str">
        <f aca="false">IF(B1162=0,"",IF(INDEX(Bank!$C:$C,B1162)="","",INDEX(Bank!$C:$C,B1162)))</f>
        <v/>
      </c>
      <c r="G1162" s="19" t="str">
        <f aca="false">IF(B1162=0,"",INDEX(Bank!$E:$E,B1162))</f>
        <v/>
      </c>
      <c r="H1162" s="5" t="str">
        <f aca="false">IF(B1162=0,"",IF(INDEX(Bank!$H:$H,B1162)="","",INDEX(Bank!$H:$H,B1162)))</f>
        <v/>
      </c>
      <c r="I1162" s="5" t="n">
        <f aca="false">IF(H1162="",0,IFERROR(MATCH(H1162,GL!$A:$A,0),0))</f>
        <v>0</v>
      </c>
      <c r="J1162" s="32" t="str">
        <f aca="false">IF(I1162=0,"",INDEX(GL!$B:$B,I1162))</f>
        <v/>
      </c>
      <c r="K1162" s="5" t="str">
        <f aca="false">IF(I1162=0,"",IF(INDEX(GL!$C:$C,I1162)="","",INDEX(GL!$C:$C,I1162)))</f>
        <v/>
      </c>
      <c r="L1162" s="19" t="str">
        <f aca="false">IF(I1162=0,"",INDEX(GL!$E:$E,I1162))</f>
        <v/>
      </c>
      <c r="M1162" s="19" t="str">
        <f aca="false">IF(OR(B1162=0,I1162=0),"",ROUND(G1162-L1162,2))</f>
        <v/>
      </c>
      <c r="N1162" s="5" t="str">
        <f aca="false">IF(A1162="","",IF(B1162=0,"NOT FOUND: bank ID",IF(I1162=0,"NOT FOUND: GL ID",IF(INDEX(GL!$H:$H,I1162)&lt;&gt;A1162,"BROKEN: GL points elsewhere",IF(OR(INDEX(Bank!$F:$F,B1162)&lt;&gt;"Y",INDEX(GL!$F:$F,I1162)&lt;&gt;"Y"),"BROKEN: Status not Y","OK")))))</f>
        <v/>
      </c>
    </row>
    <row r="1163" customFormat="false" ht="15" hidden="false" customHeight="false" outlineLevel="0" collapsed="false">
      <c r="A1163" s="41"/>
      <c r="B1163" s="5" t="n">
        <f aca="false">IF(A1163="",0,IFERROR(MATCH(A1163,Bank!$A:$A,0),0))</f>
        <v>0</v>
      </c>
      <c r="C1163" s="5" t="str">
        <f aca="false">IF(B1163=0,"",IF(INDEX(Bank!$G:$G,B1163)="","",INDEX(Bank!$G:$G,B1163)))</f>
        <v/>
      </c>
      <c r="D1163" s="5" t="str">
        <f aca="false">IF(B1163=0,"",IF(INDEX(Bank!$J:$J,B1163)="","",INDEX(Bank!$J:$J,B1163)))</f>
        <v/>
      </c>
      <c r="E1163" s="32" t="str">
        <f aca="false">IF(B1163=0,"",INDEX(Bank!$B:$B,B1163))</f>
        <v/>
      </c>
      <c r="F1163" s="5" t="str">
        <f aca="false">IF(B1163=0,"",IF(INDEX(Bank!$C:$C,B1163)="","",INDEX(Bank!$C:$C,B1163)))</f>
        <v/>
      </c>
      <c r="G1163" s="19" t="str">
        <f aca="false">IF(B1163=0,"",INDEX(Bank!$E:$E,B1163))</f>
        <v/>
      </c>
      <c r="H1163" s="5" t="str">
        <f aca="false">IF(B1163=0,"",IF(INDEX(Bank!$H:$H,B1163)="","",INDEX(Bank!$H:$H,B1163)))</f>
        <v/>
      </c>
      <c r="I1163" s="5" t="n">
        <f aca="false">IF(H1163="",0,IFERROR(MATCH(H1163,GL!$A:$A,0),0))</f>
        <v>0</v>
      </c>
      <c r="J1163" s="32" t="str">
        <f aca="false">IF(I1163=0,"",INDEX(GL!$B:$B,I1163))</f>
        <v/>
      </c>
      <c r="K1163" s="5" t="str">
        <f aca="false">IF(I1163=0,"",IF(INDEX(GL!$C:$C,I1163)="","",INDEX(GL!$C:$C,I1163)))</f>
        <v/>
      </c>
      <c r="L1163" s="19" t="str">
        <f aca="false">IF(I1163=0,"",INDEX(GL!$E:$E,I1163))</f>
        <v/>
      </c>
      <c r="M1163" s="19" t="str">
        <f aca="false">IF(OR(B1163=0,I1163=0),"",ROUND(G1163-L1163,2))</f>
        <v/>
      </c>
      <c r="N1163" s="5" t="str">
        <f aca="false">IF(A1163="","",IF(B1163=0,"NOT FOUND: bank ID",IF(I1163=0,"NOT FOUND: GL ID",IF(INDEX(GL!$H:$H,I1163)&lt;&gt;A1163,"BROKEN: GL points elsewhere",IF(OR(INDEX(Bank!$F:$F,B1163)&lt;&gt;"Y",INDEX(GL!$F:$F,I1163)&lt;&gt;"Y"),"BROKEN: Status not Y","OK")))))</f>
        <v/>
      </c>
    </row>
    <row r="1164" customFormat="false" ht="15" hidden="false" customHeight="false" outlineLevel="0" collapsed="false">
      <c r="A1164" s="41"/>
      <c r="B1164" s="5" t="n">
        <f aca="false">IF(A1164="",0,IFERROR(MATCH(A1164,Bank!$A:$A,0),0))</f>
        <v>0</v>
      </c>
      <c r="C1164" s="5" t="str">
        <f aca="false">IF(B1164=0,"",IF(INDEX(Bank!$G:$G,B1164)="","",INDEX(Bank!$G:$G,B1164)))</f>
        <v/>
      </c>
      <c r="D1164" s="5" t="str">
        <f aca="false">IF(B1164=0,"",IF(INDEX(Bank!$J:$J,B1164)="","",INDEX(Bank!$J:$J,B1164)))</f>
        <v/>
      </c>
      <c r="E1164" s="32" t="str">
        <f aca="false">IF(B1164=0,"",INDEX(Bank!$B:$B,B1164))</f>
        <v/>
      </c>
      <c r="F1164" s="5" t="str">
        <f aca="false">IF(B1164=0,"",IF(INDEX(Bank!$C:$C,B1164)="","",INDEX(Bank!$C:$C,B1164)))</f>
        <v/>
      </c>
      <c r="G1164" s="19" t="str">
        <f aca="false">IF(B1164=0,"",INDEX(Bank!$E:$E,B1164))</f>
        <v/>
      </c>
      <c r="H1164" s="5" t="str">
        <f aca="false">IF(B1164=0,"",IF(INDEX(Bank!$H:$H,B1164)="","",INDEX(Bank!$H:$H,B1164)))</f>
        <v/>
      </c>
      <c r="I1164" s="5" t="n">
        <f aca="false">IF(H1164="",0,IFERROR(MATCH(H1164,GL!$A:$A,0),0))</f>
        <v>0</v>
      </c>
      <c r="J1164" s="32" t="str">
        <f aca="false">IF(I1164=0,"",INDEX(GL!$B:$B,I1164))</f>
        <v/>
      </c>
      <c r="K1164" s="5" t="str">
        <f aca="false">IF(I1164=0,"",IF(INDEX(GL!$C:$C,I1164)="","",INDEX(GL!$C:$C,I1164)))</f>
        <v/>
      </c>
      <c r="L1164" s="19" t="str">
        <f aca="false">IF(I1164=0,"",INDEX(GL!$E:$E,I1164))</f>
        <v/>
      </c>
      <c r="M1164" s="19" t="str">
        <f aca="false">IF(OR(B1164=0,I1164=0),"",ROUND(G1164-L1164,2))</f>
        <v/>
      </c>
      <c r="N1164" s="5" t="str">
        <f aca="false">IF(A1164="","",IF(B1164=0,"NOT FOUND: bank ID",IF(I1164=0,"NOT FOUND: GL ID",IF(INDEX(GL!$H:$H,I1164)&lt;&gt;A1164,"BROKEN: GL points elsewhere",IF(OR(INDEX(Bank!$F:$F,B1164)&lt;&gt;"Y",INDEX(GL!$F:$F,I1164)&lt;&gt;"Y"),"BROKEN: Status not Y","OK")))))</f>
        <v/>
      </c>
    </row>
    <row r="1165" customFormat="false" ht="15" hidden="false" customHeight="false" outlineLevel="0" collapsed="false">
      <c r="A1165" s="41"/>
      <c r="B1165" s="5" t="n">
        <f aca="false">IF(A1165="",0,IFERROR(MATCH(A1165,Bank!$A:$A,0),0))</f>
        <v>0</v>
      </c>
      <c r="C1165" s="5" t="str">
        <f aca="false">IF(B1165=0,"",IF(INDEX(Bank!$G:$G,B1165)="","",INDEX(Bank!$G:$G,B1165)))</f>
        <v/>
      </c>
      <c r="D1165" s="5" t="str">
        <f aca="false">IF(B1165=0,"",IF(INDEX(Bank!$J:$J,B1165)="","",INDEX(Bank!$J:$J,B1165)))</f>
        <v/>
      </c>
      <c r="E1165" s="32" t="str">
        <f aca="false">IF(B1165=0,"",INDEX(Bank!$B:$B,B1165))</f>
        <v/>
      </c>
      <c r="F1165" s="5" t="str">
        <f aca="false">IF(B1165=0,"",IF(INDEX(Bank!$C:$C,B1165)="","",INDEX(Bank!$C:$C,B1165)))</f>
        <v/>
      </c>
      <c r="G1165" s="19" t="str">
        <f aca="false">IF(B1165=0,"",INDEX(Bank!$E:$E,B1165))</f>
        <v/>
      </c>
      <c r="H1165" s="5" t="str">
        <f aca="false">IF(B1165=0,"",IF(INDEX(Bank!$H:$H,B1165)="","",INDEX(Bank!$H:$H,B1165)))</f>
        <v/>
      </c>
      <c r="I1165" s="5" t="n">
        <f aca="false">IF(H1165="",0,IFERROR(MATCH(H1165,GL!$A:$A,0),0))</f>
        <v>0</v>
      </c>
      <c r="J1165" s="32" t="str">
        <f aca="false">IF(I1165=0,"",INDEX(GL!$B:$B,I1165))</f>
        <v/>
      </c>
      <c r="K1165" s="5" t="str">
        <f aca="false">IF(I1165=0,"",IF(INDEX(GL!$C:$C,I1165)="","",INDEX(GL!$C:$C,I1165)))</f>
        <v/>
      </c>
      <c r="L1165" s="19" t="str">
        <f aca="false">IF(I1165=0,"",INDEX(GL!$E:$E,I1165))</f>
        <v/>
      </c>
      <c r="M1165" s="19" t="str">
        <f aca="false">IF(OR(B1165=0,I1165=0),"",ROUND(G1165-L1165,2))</f>
        <v/>
      </c>
      <c r="N1165" s="5" t="str">
        <f aca="false">IF(A1165="","",IF(B1165=0,"NOT FOUND: bank ID",IF(I1165=0,"NOT FOUND: GL ID",IF(INDEX(GL!$H:$H,I1165)&lt;&gt;A1165,"BROKEN: GL points elsewhere",IF(OR(INDEX(Bank!$F:$F,B1165)&lt;&gt;"Y",INDEX(GL!$F:$F,I1165)&lt;&gt;"Y"),"BROKEN: Status not Y","OK")))))</f>
        <v/>
      </c>
    </row>
    <row r="1166" customFormat="false" ht="15" hidden="false" customHeight="false" outlineLevel="0" collapsed="false">
      <c r="A1166" s="41"/>
      <c r="B1166" s="5" t="n">
        <f aca="false">IF(A1166="",0,IFERROR(MATCH(A1166,Bank!$A:$A,0),0))</f>
        <v>0</v>
      </c>
      <c r="C1166" s="5" t="str">
        <f aca="false">IF(B1166=0,"",IF(INDEX(Bank!$G:$G,B1166)="","",INDEX(Bank!$G:$G,B1166)))</f>
        <v/>
      </c>
      <c r="D1166" s="5" t="str">
        <f aca="false">IF(B1166=0,"",IF(INDEX(Bank!$J:$J,B1166)="","",INDEX(Bank!$J:$J,B1166)))</f>
        <v/>
      </c>
      <c r="E1166" s="32" t="str">
        <f aca="false">IF(B1166=0,"",INDEX(Bank!$B:$B,B1166))</f>
        <v/>
      </c>
      <c r="F1166" s="5" t="str">
        <f aca="false">IF(B1166=0,"",IF(INDEX(Bank!$C:$C,B1166)="","",INDEX(Bank!$C:$C,B1166)))</f>
        <v/>
      </c>
      <c r="G1166" s="19" t="str">
        <f aca="false">IF(B1166=0,"",INDEX(Bank!$E:$E,B1166))</f>
        <v/>
      </c>
      <c r="H1166" s="5" t="str">
        <f aca="false">IF(B1166=0,"",IF(INDEX(Bank!$H:$H,B1166)="","",INDEX(Bank!$H:$H,B1166)))</f>
        <v/>
      </c>
      <c r="I1166" s="5" t="n">
        <f aca="false">IF(H1166="",0,IFERROR(MATCH(H1166,GL!$A:$A,0),0))</f>
        <v>0</v>
      </c>
      <c r="J1166" s="32" t="str">
        <f aca="false">IF(I1166=0,"",INDEX(GL!$B:$B,I1166))</f>
        <v/>
      </c>
      <c r="K1166" s="5" t="str">
        <f aca="false">IF(I1166=0,"",IF(INDEX(GL!$C:$C,I1166)="","",INDEX(GL!$C:$C,I1166)))</f>
        <v/>
      </c>
      <c r="L1166" s="19" t="str">
        <f aca="false">IF(I1166=0,"",INDEX(GL!$E:$E,I1166))</f>
        <v/>
      </c>
      <c r="M1166" s="19" t="str">
        <f aca="false">IF(OR(B1166=0,I1166=0),"",ROUND(G1166-L1166,2))</f>
        <v/>
      </c>
      <c r="N1166" s="5" t="str">
        <f aca="false">IF(A1166="","",IF(B1166=0,"NOT FOUND: bank ID",IF(I1166=0,"NOT FOUND: GL ID",IF(INDEX(GL!$H:$H,I1166)&lt;&gt;A1166,"BROKEN: GL points elsewhere",IF(OR(INDEX(Bank!$F:$F,B1166)&lt;&gt;"Y",INDEX(GL!$F:$F,I1166)&lt;&gt;"Y"),"BROKEN: Status not Y","OK")))))</f>
        <v/>
      </c>
    </row>
    <row r="1167" customFormat="false" ht="15" hidden="false" customHeight="false" outlineLevel="0" collapsed="false">
      <c r="A1167" s="41"/>
      <c r="B1167" s="5" t="n">
        <f aca="false">IF(A1167="",0,IFERROR(MATCH(A1167,Bank!$A:$A,0),0))</f>
        <v>0</v>
      </c>
      <c r="C1167" s="5" t="str">
        <f aca="false">IF(B1167=0,"",IF(INDEX(Bank!$G:$G,B1167)="","",INDEX(Bank!$G:$G,B1167)))</f>
        <v/>
      </c>
      <c r="D1167" s="5" t="str">
        <f aca="false">IF(B1167=0,"",IF(INDEX(Bank!$J:$J,B1167)="","",INDEX(Bank!$J:$J,B1167)))</f>
        <v/>
      </c>
      <c r="E1167" s="32" t="str">
        <f aca="false">IF(B1167=0,"",INDEX(Bank!$B:$B,B1167))</f>
        <v/>
      </c>
      <c r="F1167" s="5" t="str">
        <f aca="false">IF(B1167=0,"",IF(INDEX(Bank!$C:$C,B1167)="","",INDEX(Bank!$C:$C,B1167)))</f>
        <v/>
      </c>
      <c r="G1167" s="19" t="str">
        <f aca="false">IF(B1167=0,"",INDEX(Bank!$E:$E,B1167))</f>
        <v/>
      </c>
      <c r="H1167" s="5" t="str">
        <f aca="false">IF(B1167=0,"",IF(INDEX(Bank!$H:$H,B1167)="","",INDEX(Bank!$H:$H,B1167)))</f>
        <v/>
      </c>
      <c r="I1167" s="5" t="n">
        <f aca="false">IF(H1167="",0,IFERROR(MATCH(H1167,GL!$A:$A,0),0))</f>
        <v>0</v>
      </c>
      <c r="J1167" s="32" t="str">
        <f aca="false">IF(I1167=0,"",INDEX(GL!$B:$B,I1167))</f>
        <v/>
      </c>
      <c r="K1167" s="5" t="str">
        <f aca="false">IF(I1167=0,"",IF(INDEX(GL!$C:$C,I1167)="","",INDEX(GL!$C:$C,I1167)))</f>
        <v/>
      </c>
      <c r="L1167" s="19" t="str">
        <f aca="false">IF(I1167=0,"",INDEX(GL!$E:$E,I1167))</f>
        <v/>
      </c>
      <c r="M1167" s="19" t="str">
        <f aca="false">IF(OR(B1167=0,I1167=0),"",ROUND(G1167-L1167,2))</f>
        <v/>
      </c>
      <c r="N1167" s="5" t="str">
        <f aca="false">IF(A1167="","",IF(B1167=0,"NOT FOUND: bank ID",IF(I1167=0,"NOT FOUND: GL ID",IF(INDEX(GL!$H:$H,I1167)&lt;&gt;A1167,"BROKEN: GL points elsewhere",IF(OR(INDEX(Bank!$F:$F,B1167)&lt;&gt;"Y",INDEX(GL!$F:$F,I1167)&lt;&gt;"Y"),"BROKEN: Status not Y","OK")))))</f>
        <v/>
      </c>
    </row>
    <row r="1168" customFormat="false" ht="15" hidden="false" customHeight="false" outlineLevel="0" collapsed="false">
      <c r="A1168" s="41"/>
      <c r="B1168" s="5" t="n">
        <f aca="false">IF(A1168="",0,IFERROR(MATCH(A1168,Bank!$A:$A,0),0))</f>
        <v>0</v>
      </c>
      <c r="C1168" s="5" t="str">
        <f aca="false">IF(B1168=0,"",IF(INDEX(Bank!$G:$G,B1168)="","",INDEX(Bank!$G:$G,B1168)))</f>
        <v/>
      </c>
      <c r="D1168" s="5" t="str">
        <f aca="false">IF(B1168=0,"",IF(INDEX(Bank!$J:$J,B1168)="","",INDEX(Bank!$J:$J,B1168)))</f>
        <v/>
      </c>
      <c r="E1168" s="32" t="str">
        <f aca="false">IF(B1168=0,"",INDEX(Bank!$B:$B,B1168))</f>
        <v/>
      </c>
      <c r="F1168" s="5" t="str">
        <f aca="false">IF(B1168=0,"",IF(INDEX(Bank!$C:$C,B1168)="","",INDEX(Bank!$C:$C,B1168)))</f>
        <v/>
      </c>
      <c r="G1168" s="19" t="str">
        <f aca="false">IF(B1168=0,"",INDEX(Bank!$E:$E,B1168))</f>
        <v/>
      </c>
      <c r="H1168" s="5" t="str">
        <f aca="false">IF(B1168=0,"",IF(INDEX(Bank!$H:$H,B1168)="","",INDEX(Bank!$H:$H,B1168)))</f>
        <v/>
      </c>
      <c r="I1168" s="5" t="n">
        <f aca="false">IF(H1168="",0,IFERROR(MATCH(H1168,GL!$A:$A,0),0))</f>
        <v>0</v>
      </c>
      <c r="J1168" s="32" t="str">
        <f aca="false">IF(I1168=0,"",INDEX(GL!$B:$B,I1168))</f>
        <v/>
      </c>
      <c r="K1168" s="5" t="str">
        <f aca="false">IF(I1168=0,"",IF(INDEX(GL!$C:$C,I1168)="","",INDEX(GL!$C:$C,I1168)))</f>
        <v/>
      </c>
      <c r="L1168" s="19" t="str">
        <f aca="false">IF(I1168=0,"",INDEX(GL!$E:$E,I1168))</f>
        <v/>
      </c>
      <c r="M1168" s="19" t="str">
        <f aca="false">IF(OR(B1168=0,I1168=0),"",ROUND(G1168-L1168,2))</f>
        <v/>
      </c>
      <c r="N1168" s="5" t="str">
        <f aca="false">IF(A1168="","",IF(B1168=0,"NOT FOUND: bank ID",IF(I1168=0,"NOT FOUND: GL ID",IF(INDEX(GL!$H:$H,I1168)&lt;&gt;A1168,"BROKEN: GL points elsewhere",IF(OR(INDEX(Bank!$F:$F,B1168)&lt;&gt;"Y",INDEX(GL!$F:$F,I1168)&lt;&gt;"Y"),"BROKEN: Status not Y","OK")))))</f>
        <v/>
      </c>
    </row>
    <row r="1169" customFormat="false" ht="15" hidden="false" customHeight="false" outlineLevel="0" collapsed="false">
      <c r="A1169" s="41"/>
      <c r="B1169" s="5" t="n">
        <f aca="false">IF(A1169="",0,IFERROR(MATCH(A1169,Bank!$A:$A,0),0))</f>
        <v>0</v>
      </c>
      <c r="C1169" s="5" t="str">
        <f aca="false">IF(B1169=0,"",IF(INDEX(Bank!$G:$G,B1169)="","",INDEX(Bank!$G:$G,B1169)))</f>
        <v/>
      </c>
      <c r="D1169" s="5" t="str">
        <f aca="false">IF(B1169=0,"",IF(INDEX(Bank!$J:$J,B1169)="","",INDEX(Bank!$J:$J,B1169)))</f>
        <v/>
      </c>
      <c r="E1169" s="32" t="str">
        <f aca="false">IF(B1169=0,"",INDEX(Bank!$B:$B,B1169))</f>
        <v/>
      </c>
      <c r="F1169" s="5" t="str">
        <f aca="false">IF(B1169=0,"",IF(INDEX(Bank!$C:$C,B1169)="","",INDEX(Bank!$C:$C,B1169)))</f>
        <v/>
      </c>
      <c r="G1169" s="19" t="str">
        <f aca="false">IF(B1169=0,"",INDEX(Bank!$E:$E,B1169))</f>
        <v/>
      </c>
      <c r="H1169" s="5" t="str">
        <f aca="false">IF(B1169=0,"",IF(INDEX(Bank!$H:$H,B1169)="","",INDEX(Bank!$H:$H,B1169)))</f>
        <v/>
      </c>
      <c r="I1169" s="5" t="n">
        <f aca="false">IF(H1169="",0,IFERROR(MATCH(H1169,GL!$A:$A,0),0))</f>
        <v>0</v>
      </c>
      <c r="J1169" s="32" t="str">
        <f aca="false">IF(I1169=0,"",INDEX(GL!$B:$B,I1169))</f>
        <v/>
      </c>
      <c r="K1169" s="5" t="str">
        <f aca="false">IF(I1169=0,"",IF(INDEX(GL!$C:$C,I1169)="","",INDEX(GL!$C:$C,I1169)))</f>
        <v/>
      </c>
      <c r="L1169" s="19" t="str">
        <f aca="false">IF(I1169=0,"",INDEX(GL!$E:$E,I1169))</f>
        <v/>
      </c>
      <c r="M1169" s="19" t="str">
        <f aca="false">IF(OR(B1169=0,I1169=0),"",ROUND(G1169-L1169,2))</f>
        <v/>
      </c>
      <c r="N1169" s="5" t="str">
        <f aca="false">IF(A1169="","",IF(B1169=0,"NOT FOUND: bank ID",IF(I1169=0,"NOT FOUND: GL ID",IF(INDEX(GL!$H:$H,I1169)&lt;&gt;A1169,"BROKEN: GL points elsewhere",IF(OR(INDEX(Bank!$F:$F,B1169)&lt;&gt;"Y",INDEX(GL!$F:$F,I1169)&lt;&gt;"Y"),"BROKEN: Status not Y","OK")))))</f>
        <v/>
      </c>
    </row>
    <row r="1170" customFormat="false" ht="15" hidden="false" customHeight="false" outlineLevel="0" collapsed="false">
      <c r="A1170" s="41"/>
      <c r="B1170" s="5" t="n">
        <f aca="false">IF(A1170="",0,IFERROR(MATCH(A1170,Bank!$A:$A,0),0))</f>
        <v>0</v>
      </c>
      <c r="C1170" s="5" t="str">
        <f aca="false">IF(B1170=0,"",IF(INDEX(Bank!$G:$G,B1170)="","",INDEX(Bank!$G:$G,B1170)))</f>
        <v/>
      </c>
      <c r="D1170" s="5" t="str">
        <f aca="false">IF(B1170=0,"",IF(INDEX(Bank!$J:$J,B1170)="","",INDEX(Bank!$J:$J,B1170)))</f>
        <v/>
      </c>
      <c r="E1170" s="32" t="str">
        <f aca="false">IF(B1170=0,"",INDEX(Bank!$B:$B,B1170))</f>
        <v/>
      </c>
      <c r="F1170" s="5" t="str">
        <f aca="false">IF(B1170=0,"",IF(INDEX(Bank!$C:$C,B1170)="","",INDEX(Bank!$C:$C,B1170)))</f>
        <v/>
      </c>
      <c r="G1170" s="19" t="str">
        <f aca="false">IF(B1170=0,"",INDEX(Bank!$E:$E,B1170))</f>
        <v/>
      </c>
      <c r="H1170" s="5" t="str">
        <f aca="false">IF(B1170=0,"",IF(INDEX(Bank!$H:$H,B1170)="","",INDEX(Bank!$H:$H,B1170)))</f>
        <v/>
      </c>
      <c r="I1170" s="5" t="n">
        <f aca="false">IF(H1170="",0,IFERROR(MATCH(H1170,GL!$A:$A,0),0))</f>
        <v>0</v>
      </c>
      <c r="J1170" s="32" t="str">
        <f aca="false">IF(I1170=0,"",INDEX(GL!$B:$B,I1170))</f>
        <v/>
      </c>
      <c r="K1170" s="5" t="str">
        <f aca="false">IF(I1170=0,"",IF(INDEX(GL!$C:$C,I1170)="","",INDEX(GL!$C:$C,I1170)))</f>
        <v/>
      </c>
      <c r="L1170" s="19" t="str">
        <f aca="false">IF(I1170=0,"",INDEX(GL!$E:$E,I1170))</f>
        <v/>
      </c>
      <c r="M1170" s="19" t="str">
        <f aca="false">IF(OR(B1170=0,I1170=0),"",ROUND(G1170-L1170,2))</f>
        <v/>
      </c>
      <c r="N1170" s="5" t="str">
        <f aca="false">IF(A1170="","",IF(B1170=0,"NOT FOUND: bank ID",IF(I1170=0,"NOT FOUND: GL ID",IF(INDEX(GL!$H:$H,I1170)&lt;&gt;A1170,"BROKEN: GL points elsewhere",IF(OR(INDEX(Bank!$F:$F,B1170)&lt;&gt;"Y",INDEX(GL!$F:$F,I1170)&lt;&gt;"Y"),"BROKEN: Status not Y","OK")))))</f>
        <v/>
      </c>
    </row>
    <row r="1171" customFormat="false" ht="15" hidden="false" customHeight="false" outlineLevel="0" collapsed="false">
      <c r="A1171" s="41"/>
      <c r="B1171" s="5" t="n">
        <f aca="false">IF(A1171="",0,IFERROR(MATCH(A1171,Bank!$A:$A,0),0))</f>
        <v>0</v>
      </c>
      <c r="C1171" s="5" t="str">
        <f aca="false">IF(B1171=0,"",IF(INDEX(Bank!$G:$G,B1171)="","",INDEX(Bank!$G:$G,B1171)))</f>
        <v/>
      </c>
      <c r="D1171" s="5" t="str">
        <f aca="false">IF(B1171=0,"",IF(INDEX(Bank!$J:$J,B1171)="","",INDEX(Bank!$J:$J,B1171)))</f>
        <v/>
      </c>
      <c r="E1171" s="32" t="str">
        <f aca="false">IF(B1171=0,"",INDEX(Bank!$B:$B,B1171))</f>
        <v/>
      </c>
      <c r="F1171" s="5" t="str">
        <f aca="false">IF(B1171=0,"",IF(INDEX(Bank!$C:$C,B1171)="","",INDEX(Bank!$C:$C,B1171)))</f>
        <v/>
      </c>
      <c r="G1171" s="19" t="str">
        <f aca="false">IF(B1171=0,"",INDEX(Bank!$E:$E,B1171))</f>
        <v/>
      </c>
      <c r="H1171" s="5" t="str">
        <f aca="false">IF(B1171=0,"",IF(INDEX(Bank!$H:$H,B1171)="","",INDEX(Bank!$H:$H,B1171)))</f>
        <v/>
      </c>
      <c r="I1171" s="5" t="n">
        <f aca="false">IF(H1171="",0,IFERROR(MATCH(H1171,GL!$A:$A,0),0))</f>
        <v>0</v>
      </c>
      <c r="J1171" s="32" t="str">
        <f aca="false">IF(I1171=0,"",INDEX(GL!$B:$B,I1171))</f>
        <v/>
      </c>
      <c r="K1171" s="5" t="str">
        <f aca="false">IF(I1171=0,"",IF(INDEX(GL!$C:$C,I1171)="","",INDEX(GL!$C:$C,I1171)))</f>
        <v/>
      </c>
      <c r="L1171" s="19" t="str">
        <f aca="false">IF(I1171=0,"",INDEX(GL!$E:$E,I1171))</f>
        <v/>
      </c>
      <c r="M1171" s="19" t="str">
        <f aca="false">IF(OR(B1171=0,I1171=0),"",ROUND(G1171-L1171,2))</f>
        <v/>
      </c>
      <c r="N1171" s="5" t="str">
        <f aca="false">IF(A1171="","",IF(B1171=0,"NOT FOUND: bank ID",IF(I1171=0,"NOT FOUND: GL ID",IF(INDEX(GL!$H:$H,I1171)&lt;&gt;A1171,"BROKEN: GL points elsewhere",IF(OR(INDEX(Bank!$F:$F,B1171)&lt;&gt;"Y",INDEX(GL!$F:$F,I1171)&lt;&gt;"Y"),"BROKEN: Status not Y","OK")))))</f>
        <v/>
      </c>
    </row>
    <row r="1172" customFormat="false" ht="15" hidden="false" customHeight="false" outlineLevel="0" collapsed="false">
      <c r="A1172" s="41"/>
      <c r="B1172" s="5" t="n">
        <f aca="false">IF(A1172="",0,IFERROR(MATCH(A1172,Bank!$A:$A,0),0))</f>
        <v>0</v>
      </c>
      <c r="C1172" s="5" t="str">
        <f aca="false">IF(B1172=0,"",IF(INDEX(Bank!$G:$G,B1172)="","",INDEX(Bank!$G:$G,B1172)))</f>
        <v/>
      </c>
      <c r="D1172" s="5" t="str">
        <f aca="false">IF(B1172=0,"",IF(INDEX(Bank!$J:$J,B1172)="","",INDEX(Bank!$J:$J,B1172)))</f>
        <v/>
      </c>
      <c r="E1172" s="32" t="str">
        <f aca="false">IF(B1172=0,"",INDEX(Bank!$B:$B,B1172))</f>
        <v/>
      </c>
      <c r="F1172" s="5" t="str">
        <f aca="false">IF(B1172=0,"",IF(INDEX(Bank!$C:$C,B1172)="","",INDEX(Bank!$C:$C,B1172)))</f>
        <v/>
      </c>
      <c r="G1172" s="19" t="str">
        <f aca="false">IF(B1172=0,"",INDEX(Bank!$E:$E,B1172))</f>
        <v/>
      </c>
      <c r="H1172" s="5" t="str">
        <f aca="false">IF(B1172=0,"",IF(INDEX(Bank!$H:$H,B1172)="","",INDEX(Bank!$H:$H,B1172)))</f>
        <v/>
      </c>
      <c r="I1172" s="5" t="n">
        <f aca="false">IF(H1172="",0,IFERROR(MATCH(H1172,GL!$A:$A,0),0))</f>
        <v>0</v>
      </c>
      <c r="J1172" s="32" t="str">
        <f aca="false">IF(I1172=0,"",INDEX(GL!$B:$B,I1172))</f>
        <v/>
      </c>
      <c r="K1172" s="5" t="str">
        <f aca="false">IF(I1172=0,"",IF(INDEX(GL!$C:$C,I1172)="","",INDEX(GL!$C:$C,I1172)))</f>
        <v/>
      </c>
      <c r="L1172" s="19" t="str">
        <f aca="false">IF(I1172=0,"",INDEX(GL!$E:$E,I1172))</f>
        <v/>
      </c>
      <c r="M1172" s="19" t="str">
        <f aca="false">IF(OR(B1172=0,I1172=0),"",ROUND(G1172-L1172,2))</f>
        <v/>
      </c>
      <c r="N1172" s="5" t="str">
        <f aca="false">IF(A1172="","",IF(B1172=0,"NOT FOUND: bank ID",IF(I1172=0,"NOT FOUND: GL ID",IF(INDEX(GL!$H:$H,I1172)&lt;&gt;A1172,"BROKEN: GL points elsewhere",IF(OR(INDEX(Bank!$F:$F,B1172)&lt;&gt;"Y",INDEX(GL!$F:$F,I1172)&lt;&gt;"Y"),"BROKEN: Status not Y","OK")))))</f>
        <v/>
      </c>
    </row>
    <row r="1173" customFormat="false" ht="15" hidden="false" customHeight="false" outlineLevel="0" collapsed="false">
      <c r="A1173" s="41"/>
      <c r="B1173" s="5" t="n">
        <f aca="false">IF(A1173="",0,IFERROR(MATCH(A1173,Bank!$A:$A,0),0))</f>
        <v>0</v>
      </c>
      <c r="C1173" s="5" t="str">
        <f aca="false">IF(B1173=0,"",IF(INDEX(Bank!$G:$G,B1173)="","",INDEX(Bank!$G:$G,B1173)))</f>
        <v/>
      </c>
      <c r="D1173" s="5" t="str">
        <f aca="false">IF(B1173=0,"",IF(INDEX(Bank!$J:$J,B1173)="","",INDEX(Bank!$J:$J,B1173)))</f>
        <v/>
      </c>
      <c r="E1173" s="32" t="str">
        <f aca="false">IF(B1173=0,"",INDEX(Bank!$B:$B,B1173))</f>
        <v/>
      </c>
      <c r="F1173" s="5" t="str">
        <f aca="false">IF(B1173=0,"",IF(INDEX(Bank!$C:$C,B1173)="","",INDEX(Bank!$C:$C,B1173)))</f>
        <v/>
      </c>
      <c r="G1173" s="19" t="str">
        <f aca="false">IF(B1173=0,"",INDEX(Bank!$E:$E,B1173))</f>
        <v/>
      </c>
      <c r="H1173" s="5" t="str">
        <f aca="false">IF(B1173=0,"",IF(INDEX(Bank!$H:$H,B1173)="","",INDEX(Bank!$H:$H,B1173)))</f>
        <v/>
      </c>
      <c r="I1173" s="5" t="n">
        <f aca="false">IF(H1173="",0,IFERROR(MATCH(H1173,GL!$A:$A,0),0))</f>
        <v>0</v>
      </c>
      <c r="J1173" s="32" t="str">
        <f aca="false">IF(I1173=0,"",INDEX(GL!$B:$B,I1173))</f>
        <v/>
      </c>
      <c r="K1173" s="5" t="str">
        <f aca="false">IF(I1173=0,"",IF(INDEX(GL!$C:$C,I1173)="","",INDEX(GL!$C:$C,I1173)))</f>
        <v/>
      </c>
      <c r="L1173" s="19" t="str">
        <f aca="false">IF(I1173=0,"",INDEX(GL!$E:$E,I1173))</f>
        <v/>
      </c>
      <c r="M1173" s="19" t="str">
        <f aca="false">IF(OR(B1173=0,I1173=0),"",ROUND(G1173-L1173,2))</f>
        <v/>
      </c>
      <c r="N1173" s="5" t="str">
        <f aca="false">IF(A1173="","",IF(B1173=0,"NOT FOUND: bank ID",IF(I1173=0,"NOT FOUND: GL ID",IF(INDEX(GL!$H:$H,I1173)&lt;&gt;A1173,"BROKEN: GL points elsewhere",IF(OR(INDEX(Bank!$F:$F,B1173)&lt;&gt;"Y",INDEX(GL!$F:$F,I1173)&lt;&gt;"Y"),"BROKEN: Status not Y","OK")))))</f>
        <v/>
      </c>
    </row>
    <row r="1174" customFormat="false" ht="15" hidden="false" customHeight="false" outlineLevel="0" collapsed="false">
      <c r="A1174" s="41"/>
      <c r="B1174" s="5" t="n">
        <f aca="false">IF(A1174="",0,IFERROR(MATCH(A1174,Bank!$A:$A,0),0))</f>
        <v>0</v>
      </c>
      <c r="C1174" s="5" t="str">
        <f aca="false">IF(B1174=0,"",IF(INDEX(Bank!$G:$G,B1174)="","",INDEX(Bank!$G:$G,B1174)))</f>
        <v/>
      </c>
      <c r="D1174" s="5" t="str">
        <f aca="false">IF(B1174=0,"",IF(INDEX(Bank!$J:$J,B1174)="","",INDEX(Bank!$J:$J,B1174)))</f>
        <v/>
      </c>
      <c r="E1174" s="32" t="str">
        <f aca="false">IF(B1174=0,"",INDEX(Bank!$B:$B,B1174))</f>
        <v/>
      </c>
      <c r="F1174" s="5" t="str">
        <f aca="false">IF(B1174=0,"",IF(INDEX(Bank!$C:$C,B1174)="","",INDEX(Bank!$C:$C,B1174)))</f>
        <v/>
      </c>
      <c r="G1174" s="19" t="str">
        <f aca="false">IF(B1174=0,"",INDEX(Bank!$E:$E,B1174))</f>
        <v/>
      </c>
      <c r="H1174" s="5" t="str">
        <f aca="false">IF(B1174=0,"",IF(INDEX(Bank!$H:$H,B1174)="","",INDEX(Bank!$H:$H,B1174)))</f>
        <v/>
      </c>
      <c r="I1174" s="5" t="n">
        <f aca="false">IF(H1174="",0,IFERROR(MATCH(H1174,GL!$A:$A,0),0))</f>
        <v>0</v>
      </c>
      <c r="J1174" s="32" t="str">
        <f aca="false">IF(I1174=0,"",INDEX(GL!$B:$B,I1174))</f>
        <v/>
      </c>
      <c r="K1174" s="5" t="str">
        <f aca="false">IF(I1174=0,"",IF(INDEX(GL!$C:$C,I1174)="","",INDEX(GL!$C:$C,I1174)))</f>
        <v/>
      </c>
      <c r="L1174" s="19" t="str">
        <f aca="false">IF(I1174=0,"",INDEX(GL!$E:$E,I1174))</f>
        <v/>
      </c>
      <c r="M1174" s="19" t="str">
        <f aca="false">IF(OR(B1174=0,I1174=0),"",ROUND(G1174-L1174,2))</f>
        <v/>
      </c>
      <c r="N1174" s="5" t="str">
        <f aca="false">IF(A1174="","",IF(B1174=0,"NOT FOUND: bank ID",IF(I1174=0,"NOT FOUND: GL ID",IF(INDEX(GL!$H:$H,I1174)&lt;&gt;A1174,"BROKEN: GL points elsewhere",IF(OR(INDEX(Bank!$F:$F,B1174)&lt;&gt;"Y",INDEX(GL!$F:$F,I1174)&lt;&gt;"Y"),"BROKEN: Status not Y","OK")))))</f>
        <v/>
      </c>
    </row>
    <row r="1175" customFormat="false" ht="15" hidden="false" customHeight="false" outlineLevel="0" collapsed="false">
      <c r="A1175" s="41"/>
      <c r="B1175" s="5" t="n">
        <f aca="false">IF(A1175="",0,IFERROR(MATCH(A1175,Bank!$A:$A,0),0))</f>
        <v>0</v>
      </c>
      <c r="C1175" s="5" t="str">
        <f aca="false">IF(B1175=0,"",IF(INDEX(Bank!$G:$G,B1175)="","",INDEX(Bank!$G:$G,B1175)))</f>
        <v/>
      </c>
      <c r="D1175" s="5" t="str">
        <f aca="false">IF(B1175=0,"",IF(INDEX(Bank!$J:$J,B1175)="","",INDEX(Bank!$J:$J,B1175)))</f>
        <v/>
      </c>
      <c r="E1175" s="32" t="str">
        <f aca="false">IF(B1175=0,"",INDEX(Bank!$B:$B,B1175))</f>
        <v/>
      </c>
      <c r="F1175" s="5" t="str">
        <f aca="false">IF(B1175=0,"",IF(INDEX(Bank!$C:$C,B1175)="","",INDEX(Bank!$C:$C,B1175)))</f>
        <v/>
      </c>
      <c r="G1175" s="19" t="str">
        <f aca="false">IF(B1175=0,"",INDEX(Bank!$E:$E,B1175))</f>
        <v/>
      </c>
      <c r="H1175" s="5" t="str">
        <f aca="false">IF(B1175=0,"",IF(INDEX(Bank!$H:$H,B1175)="","",INDEX(Bank!$H:$H,B1175)))</f>
        <v/>
      </c>
      <c r="I1175" s="5" t="n">
        <f aca="false">IF(H1175="",0,IFERROR(MATCH(H1175,GL!$A:$A,0),0))</f>
        <v>0</v>
      </c>
      <c r="J1175" s="32" t="str">
        <f aca="false">IF(I1175=0,"",INDEX(GL!$B:$B,I1175))</f>
        <v/>
      </c>
      <c r="K1175" s="5" t="str">
        <f aca="false">IF(I1175=0,"",IF(INDEX(GL!$C:$C,I1175)="","",INDEX(GL!$C:$C,I1175)))</f>
        <v/>
      </c>
      <c r="L1175" s="19" t="str">
        <f aca="false">IF(I1175=0,"",INDEX(GL!$E:$E,I1175))</f>
        <v/>
      </c>
      <c r="M1175" s="19" t="str">
        <f aca="false">IF(OR(B1175=0,I1175=0),"",ROUND(G1175-L1175,2))</f>
        <v/>
      </c>
      <c r="N1175" s="5" t="str">
        <f aca="false">IF(A1175="","",IF(B1175=0,"NOT FOUND: bank ID",IF(I1175=0,"NOT FOUND: GL ID",IF(INDEX(GL!$H:$H,I1175)&lt;&gt;A1175,"BROKEN: GL points elsewhere",IF(OR(INDEX(Bank!$F:$F,B1175)&lt;&gt;"Y",INDEX(GL!$F:$F,I1175)&lt;&gt;"Y"),"BROKEN: Status not Y","OK")))))</f>
        <v/>
      </c>
    </row>
    <row r="1176" customFormat="false" ht="15" hidden="false" customHeight="false" outlineLevel="0" collapsed="false">
      <c r="A1176" s="41"/>
      <c r="B1176" s="5" t="n">
        <f aca="false">IF(A1176="",0,IFERROR(MATCH(A1176,Bank!$A:$A,0),0))</f>
        <v>0</v>
      </c>
      <c r="C1176" s="5" t="str">
        <f aca="false">IF(B1176=0,"",IF(INDEX(Bank!$G:$G,B1176)="","",INDEX(Bank!$G:$G,B1176)))</f>
        <v/>
      </c>
      <c r="D1176" s="5" t="str">
        <f aca="false">IF(B1176=0,"",IF(INDEX(Bank!$J:$J,B1176)="","",INDEX(Bank!$J:$J,B1176)))</f>
        <v/>
      </c>
      <c r="E1176" s="32" t="str">
        <f aca="false">IF(B1176=0,"",INDEX(Bank!$B:$B,B1176))</f>
        <v/>
      </c>
      <c r="F1176" s="5" t="str">
        <f aca="false">IF(B1176=0,"",IF(INDEX(Bank!$C:$C,B1176)="","",INDEX(Bank!$C:$C,B1176)))</f>
        <v/>
      </c>
      <c r="G1176" s="19" t="str">
        <f aca="false">IF(B1176=0,"",INDEX(Bank!$E:$E,B1176))</f>
        <v/>
      </c>
      <c r="H1176" s="5" t="str">
        <f aca="false">IF(B1176=0,"",IF(INDEX(Bank!$H:$H,B1176)="","",INDEX(Bank!$H:$H,B1176)))</f>
        <v/>
      </c>
      <c r="I1176" s="5" t="n">
        <f aca="false">IF(H1176="",0,IFERROR(MATCH(H1176,GL!$A:$A,0),0))</f>
        <v>0</v>
      </c>
      <c r="J1176" s="32" t="str">
        <f aca="false">IF(I1176=0,"",INDEX(GL!$B:$B,I1176))</f>
        <v/>
      </c>
      <c r="K1176" s="5" t="str">
        <f aca="false">IF(I1176=0,"",IF(INDEX(GL!$C:$C,I1176)="","",INDEX(GL!$C:$C,I1176)))</f>
        <v/>
      </c>
      <c r="L1176" s="19" t="str">
        <f aca="false">IF(I1176=0,"",INDEX(GL!$E:$E,I1176))</f>
        <v/>
      </c>
      <c r="M1176" s="19" t="str">
        <f aca="false">IF(OR(B1176=0,I1176=0),"",ROUND(G1176-L1176,2))</f>
        <v/>
      </c>
      <c r="N1176" s="5" t="str">
        <f aca="false">IF(A1176="","",IF(B1176=0,"NOT FOUND: bank ID",IF(I1176=0,"NOT FOUND: GL ID",IF(INDEX(GL!$H:$H,I1176)&lt;&gt;A1176,"BROKEN: GL points elsewhere",IF(OR(INDEX(Bank!$F:$F,B1176)&lt;&gt;"Y",INDEX(GL!$F:$F,I1176)&lt;&gt;"Y"),"BROKEN: Status not Y","OK")))))</f>
        <v/>
      </c>
    </row>
    <row r="1177" customFormat="false" ht="15" hidden="false" customHeight="false" outlineLevel="0" collapsed="false">
      <c r="A1177" s="41"/>
      <c r="B1177" s="5" t="n">
        <f aca="false">IF(A1177="",0,IFERROR(MATCH(A1177,Bank!$A:$A,0),0))</f>
        <v>0</v>
      </c>
      <c r="C1177" s="5" t="str">
        <f aca="false">IF(B1177=0,"",IF(INDEX(Bank!$G:$G,B1177)="","",INDEX(Bank!$G:$G,B1177)))</f>
        <v/>
      </c>
      <c r="D1177" s="5" t="str">
        <f aca="false">IF(B1177=0,"",IF(INDEX(Bank!$J:$J,B1177)="","",INDEX(Bank!$J:$J,B1177)))</f>
        <v/>
      </c>
      <c r="E1177" s="32" t="str">
        <f aca="false">IF(B1177=0,"",INDEX(Bank!$B:$B,B1177))</f>
        <v/>
      </c>
      <c r="F1177" s="5" t="str">
        <f aca="false">IF(B1177=0,"",IF(INDEX(Bank!$C:$C,B1177)="","",INDEX(Bank!$C:$C,B1177)))</f>
        <v/>
      </c>
      <c r="G1177" s="19" t="str">
        <f aca="false">IF(B1177=0,"",INDEX(Bank!$E:$E,B1177))</f>
        <v/>
      </c>
      <c r="H1177" s="5" t="str">
        <f aca="false">IF(B1177=0,"",IF(INDEX(Bank!$H:$H,B1177)="","",INDEX(Bank!$H:$H,B1177)))</f>
        <v/>
      </c>
      <c r="I1177" s="5" t="n">
        <f aca="false">IF(H1177="",0,IFERROR(MATCH(H1177,GL!$A:$A,0),0))</f>
        <v>0</v>
      </c>
      <c r="J1177" s="32" t="str">
        <f aca="false">IF(I1177=0,"",INDEX(GL!$B:$B,I1177))</f>
        <v/>
      </c>
      <c r="K1177" s="5" t="str">
        <f aca="false">IF(I1177=0,"",IF(INDEX(GL!$C:$C,I1177)="","",INDEX(GL!$C:$C,I1177)))</f>
        <v/>
      </c>
      <c r="L1177" s="19" t="str">
        <f aca="false">IF(I1177=0,"",INDEX(GL!$E:$E,I1177))</f>
        <v/>
      </c>
      <c r="M1177" s="19" t="str">
        <f aca="false">IF(OR(B1177=0,I1177=0),"",ROUND(G1177-L1177,2))</f>
        <v/>
      </c>
      <c r="N1177" s="5" t="str">
        <f aca="false">IF(A1177="","",IF(B1177=0,"NOT FOUND: bank ID",IF(I1177=0,"NOT FOUND: GL ID",IF(INDEX(GL!$H:$H,I1177)&lt;&gt;A1177,"BROKEN: GL points elsewhere",IF(OR(INDEX(Bank!$F:$F,B1177)&lt;&gt;"Y",INDEX(GL!$F:$F,I1177)&lt;&gt;"Y"),"BROKEN: Status not Y","OK")))))</f>
        <v/>
      </c>
    </row>
    <row r="1178" customFormat="false" ht="15" hidden="false" customHeight="false" outlineLevel="0" collapsed="false">
      <c r="A1178" s="41"/>
      <c r="B1178" s="5" t="n">
        <f aca="false">IF(A1178="",0,IFERROR(MATCH(A1178,Bank!$A:$A,0),0))</f>
        <v>0</v>
      </c>
      <c r="C1178" s="5" t="str">
        <f aca="false">IF(B1178=0,"",IF(INDEX(Bank!$G:$G,B1178)="","",INDEX(Bank!$G:$G,B1178)))</f>
        <v/>
      </c>
      <c r="D1178" s="5" t="str">
        <f aca="false">IF(B1178=0,"",IF(INDEX(Bank!$J:$J,B1178)="","",INDEX(Bank!$J:$J,B1178)))</f>
        <v/>
      </c>
      <c r="E1178" s="32" t="str">
        <f aca="false">IF(B1178=0,"",INDEX(Bank!$B:$B,B1178))</f>
        <v/>
      </c>
      <c r="F1178" s="5" t="str">
        <f aca="false">IF(B1178=0,"",IF(INDEX(Bank!$C:$C,B1178)="","",INDEX(Bank!$C:$C,B1178)))</f>
        <v/>
      </c>
      <c r="G1178" s="19" t="str">
        <f aca="false">IF(B1178=0,"",INDEX(Bank!$E:$E,B1178))</f>
        <v/>
      </c>
      <c r="H1178" s="5" t="str">
        <f aca="false">IF(B1178=0,"",IF(INDEX(Bank!$H:$H,B1178)="","",INDEX(Bank!$H:$H,B1178)))</f>
        <v/>
      </c>
      <c r="I1178" s="5" t="n">
        <f aca="false">IF(H1178="",0,IFERROR(MATCH(H1178,GL!$A:$A,0),0))</f>
        <v>0</v>
      </c>
      <c r="J1178" s="32" t="str">
        <f aca="false">IF(I1178=0,"",INDEX(GL!$B:$B,I1178))</f>
        <v/>
      </c>
      <c r="K1178" s="5" t="str">
        <f aca="false">IF(I1178=0,"",IF(INDEX(GL!$C:$C,I1178)="","",INDEX(GL!$C:$C,I1178)))</f>
        <v/>
      </c>
      <c r="L1178" s="19" t="str">
        <f aca="false">IF(I1178=0,"",INDEX(GL!$E:$E,I1178))</f>
        <v/>
      </c>
      <c r="M1178" s="19" t="str">
        <f aca="false">IF(OR(B1178=0,I1178=0),"",ROUND(G1178-L1178,2))</f>
        <v/>
      </c>
      <c r="N1178" s="5" t="str">
        <f aca="false">IF(A1178="","",IF(B1178=0,"NOT FOUND: bank ID",IF(I1178=0,"NOT FOUND: GL ID",IF(INDEX(GL!$H:$H,I1178)&lt;&gt;A1178,"BROKEN: GL points elsewhere",IF(OR(INDEX(Bank!$F:$F,B1178)&lt;&gt;"Y",INDEX(GL!$F:$F,I1178)&lt;&gt;"Y"),"BROKEN: Status not Y","OK")))))</f>
        <v/>
      </c>
    </row>
    <row r="1179" customFormat="false" ht="15" hidden="false" customHeight="false" outlineLevel="0" collapsed="false">
      <c r="A1179" s="41"/>
      <c r="B1179" s="5" t="n">
        <f aca="false">IF(A1179="",0,IFERROR(MATCH(A1179,Bank!$A:$A,0),0))</f>
        <v>0</v>
      </c>
      <c r="C1179" s="5" t="str">
        <f aca="false">IF(B1179=0,"",IF(INDEX(Bank!$G:$G,B1179)="","",INDEX(Bank!$G:$G,B1179)))</f>
        <v/>
      </c>
      <c r="D1179" s="5" t="str">
        <f aca="false">IF(B1179=0,"",IF(INDEX(Bank!$J:$J,B1179)="","",INDEX(Bank!$J:$J,B1179)))</f>
        <v/>
      </c>
      <c r="E1179" s="32" t="str">
        <f aca="false">IF(B1179=0,"",INDEX(Bank!$B:$B,B1179))</f>
        <v/>
      </c>
      <c r="F1179" s="5" t="str">
        <f aca="false">IF(B1179=0,"",IF(INDEX(Bank!$C:$C,B1179)="","",INDEX(Bank!$C:$C,B1179)))</f>
        <v/>
      </c>
      <c r="G1179" s="19" t="str">
        <f aca="false">IF(B1179=0,"",INDEX(Bank!$E:$E,B1179))</f>
        <v/>
      </c>
      <c r="H1179" s="5" t="str">
        <f aca="false">IF(B1179=0,"",IF(INDEX(Bank!$H:$H,B1179)="","",INDEX(Bank!$H:$H,B1179)))</f>
        <v/>
      </c>
      <c r="I1179" s="5" t="n">
        <f aca="false">IF(H1179="",0,IFERROR(MATCH(H1179,GL!$A:$A,0),0))</f>
        <v>0</v>
      </c>
      <c r="J1179" s="32" t="str">
        <f aca="false">IF(I1179=0,"",INDEX(GL!$B:$B,I1179))</f>
        <v/>
      </c>
      <c r="K1179" s="5" t="str">
        <f aca="false">IF(I1179=0,"",IF(INDEX(GL!$C:$C,I1179)="","",INDEX(GL!$C:$C,I1179)))</f>
        <v/>
      </c>
      <c r="L1179" s="19" t="str">
        <f aca="false">IF(I1179=0,"",INDEX(GL!$E:$E,I1179))</f>
        <v/>
      </c>
      <c r="M1179" s="19" t="str">
        <f aca="false">IF(OR(B1179=0,I1179=0),"",ROUND(G1179-L1179,2))</f>
        <v/>
      </c>
      <c r="N1179" s="5" t="str">
        <f aca="false">IF(A1179="","",IF(B1179=0,"NOT FOUND: bank ID",IF(I1179=0,"NOT FOUND: GL ID",IF(INDEX(GL!$H:$H,I1179)&lt;&gt;A1179,"BROKEN: GL points elsewhere",IF(OR(INDEX(Bank!$F:$F,B1179)&lt;&gt;"Y",INDEX(GL!$F:$F,I1179)&lt;&gt;"Y"),"BROKEN: Status not Y","OK")))))</f>
        <v/>
      </c>
    </row>
    <row r="1180" customFormat="false" ht="15" hidden="false" customHeight="false" outlineLevel="0" collapsed="false">
      <c r="A1180" s="41"/>
      <c r="B1180" s="5" t="n">
        <f aca="false">IF(A1180="",0,IFERROR(MATCH(A1180,Bank!$A:$A,0),0))</f>
        <v>0</v>
      </c>
      <c r="C1180" s="5" t="str">
        <f aca="false">IF(B1180=0,"",IF(INDEX(Bank!$G:$G,B1180)="","",INDEX(Bank!$G:$G,B1180)))</f>
        <v/>
      </c>
      <c r="D1180" s="5" t="str">
        <f aca="false">IF(B1180=0,"",IF(INDEX(Bank!$J:$J,B1180)="","",INDEX(Bank!$J:$J,B1180)))</f>
        <v/>
      </c>
      <c r="E1180" s="32" t="str">
        <f aca="false">IF(B1180=0,"",INDEX(Bank!$B:$B,B1180))</f>
        <v/>
      </c>
      <c r="F1180" s="5" t="str">
        <f aca="false">IF(B1180=0,"",IF(INDEX(Bank!$C:$C,B1180)="","",INDEX(Bank!$C:$C,B1180)))</f>
        <v/>
      </c>
      <c r="G1180" s="19" t="str">
        <f aca="false">IF(B1180=0,"",INDEX(Bank!$E:$E,B1180))</f>
        <v/>
      </c>
      <c r="H1180" s="5" t="str">
        <f aca="false">IF(B1180=0,"",IF(INDEX(Bank!$H:$H,B1180)="","",INDEX(Bank!$H:$H,B1180)))</f>
        <v/>
      </c>
      <c r="I1180" s="5" t="n">
        <f aca="false">IF(H1180="",0,IFERROR(MATCH(H1180,GL!$A:$A,0),0))</f>
        <v>0</v>
      </c>
      <c r="J1180" s="32" t="str">
        <f aca="false">IF(I1180=0,"",INDEX(GL!$B:$B,I1180))</f>
        <v/>
      </c>
      <c r="K1180" s="5" t="str">
        <f aca="false">IF(I1180=0,"",IF(INDEX(GL!$C:$C,I1180)="","",INDEX(GL!$C:$C,I1180)))</f>
        <v/>
      </c>
      <c r="L1180" s="19" t="str">
        <f aca="false">IF(I1180=0,"",INDEX(GL!$E:$E,I1180))</f>
        <v/>
      </c>
      <c r="M1180" s="19" t="str">
        <f aca="false">IF(OR(B1180=0,I1180=0),"",ROUND(G1180-L1180,2))</f>
        <v/>
      </c>
      <c r="N1180" s="5" t="str">
        <f aca="false">IF(A1180="","",IF(B1180=0,"NOT FOUND: bank ID",IF(I1180=0,"NOT FOUND: GL ID",IF(INDEX(GL!$H:$H,I1180)&lt;&gt;A1180,"BROKEN: GL points elsewhere",IF(OR(INDEX(Bank!$F:$F,B1180)&lt;&gt;"Y",INDEX(GL!$F:$F,I1180)&lt;&gt;"Y"),"BROKEN: Status not Y","OK")))))</f>
        <v/>
      </c>
    </row>
    <row r="1181" customFormat="false" ht="15" hidden="false" customHeight="false" outlineLevel="0" collapsed="false">
      <c r="A1181" s="41"/>
      <c r="B1181" s="5" t="n">
        <f aca="false">IF(A1181="",0,IFERROR(MATCH(A1181,Bank!$A:$A,0),0))</f>
        <v>0</v>
      </c>
      <c r="C1181" s="5" t="str">
        <f aca="false">IF(B1181=0,"",IF(INDEX(Bank!$G:$G,B1181)="","",INDEX(Bank!$G:$G,B1181)))</f>
        <v/>
      </c>
      <c r="D1181" s="5" t="str">
        <f aca="false">IF(B1181=0,"",IF(INDEX(Bank!$J:$J,B1181)="","",INDEX(Bank!$J:$J,B1181)))</f>
        <v/>
      </c>
      <c r="E1181" s="32" t="str">
        <f aca="false">IF(B1181=0,"",INDEX(Bank!$B:$B,B1181))</f>
        <v/>
      </c>
      <c r="F1181" s="5" t="str">
        <f aca="false">IF(B1181=0,"",IF(INDEX(Bank!$C:$C,B1181)="","",INDEX(Bank!$C:$C,B1181)))</f>
        <v/>
      </c>
      <c r="G1181" s="19" t="str">
        <f aca="false">IF(B1181=0,"",INDEX(Bank!$E:$E,B1181))</f>
        <v/>
      </c>
      <c r="H1181" s="5" t="str">
        <f aca="false">IF(B1181=0,"",IF(INDEX(Bank!$H:$H,B1181)="","",INDEX(Bank!$H:$H,B1181)))</f>
        <v/>
      </c>
      <c r="I1181" s="5" t="n">
        <f aca="false">IF(H1181="",0,IFERROR(MATCH(H1181,GL!$A:$A,0),0))</f>
        <v>0</v>
      </c>
      <c r="J1181" s="32" t="str">
        <f aca="false">IF(I1181=0,"",INDEX(GL!$B:$B,I1181))</f>
        <v/>
      </c>
      <c r="K1181" s="5" t="str">
        <f aca="false">IF(I1181=0,"",IF(INDEX(GL!$C:$C,I1181)="","",INDEX(GL!$C:$C,I1181)))</f>
        <v/>
      </c>
      <c r="L1181" s="19" t="str">
        <f aca="false">IF(I1181=0,"",INDEX(GL!$E:$E,I1181))</f>
        <v/>
      </c>
      <c r="M1181" s="19" t="str">
        <f aca="false">IF(OR(B1181=0,I1181=0),"",ROUND(G1181-L1181,2))</f>
        <v/>
      </c>
      <c r="N1181" s="5" t="str">
        <f aca="false">IF(A1181="","",IF(B1181=0,"NOT FOUND: bank ID",IF(I1181=0,"NOT FOUND: GL ID",IF(INDEX(GL!$H:$H,I1181)&lt;&gt;A1181,"BROKEN: GL points elsewhere",IF(OR(INDEX(Bank!$F:$F,B1181)&lt;&gt;"Y",INDEX(GL!$F:$F,I1181)&lt;&gt;"Y"),"BROKEN: Status not Y","OK")))))</f>
        <v/>
      </c>
    </row>
    <row r="1182" customFormat="false" ht="15" hidden="false" customHeight="false" outlineLevel="0" collapsed="false">
      <c r="A1182" s="41"/>
      <c r="B1182" s="5" t="n">
        <f aca="false">IF(A1182="",0,IFERROR(MATCH(A1182,Bank!$A:$A,0),0))</f>
        <v>0</v>
      </c>
      <c r="C1182" s="5" t="str">
        <f aca="false">IF(B1182=0,"",IF(INDEX(Bank!$G:$G,B1182)="","",INDEX(Bank!$G:$G,B1182)))</f>
        <v/>
      </c>
      <c r="D1182" s="5" t="str">
        <f aca="false">IF(B1182=0,"",IF(INDEX(Bank!$J:$J,B1182)="","",INDEX(Bank!$J:$J,B1182)))</f>
        <v/>
      </c>
      <c r="E1182" s="32" t="str">
        <f aca="false">IF(B1182=0,"",INDEX(Bank!$B:$B,B1182))</f>
        <v/>
      </c>
      <c r="F1182" s="5" t="str">
        <f aca="false">IF(B1182=0,"",IF(INDEX(Bank!$C:$C,B1182)="","",INDEX(Bank!$C:$C,B1182)))</f>
        <v/>
      </c>
      <c r="G1182" s="19" t="str">
        <f aca="false">IF(B1182=0,"",INDEX(Bank!$E:$E,B1182))</f>
        <v/>
      </c>
      <c r="H1182" s="5" t="str">
        <f aca="false">IF(B1182=0,"",IF(INDEX(Bank!$H:$H,B1182)="","",INDEX(Bank!$H:$H,B1182)))</f>
        <v/>
      </c>
      <c r="I1182" s="5" t="n">
        <f aca="false">IF(H1182="",0,IFERROR(MATCH(H1182,GL!$A:$A,0),0))</f>
        <v>0</v>
      </c>
      <c r="J1182" s="32" t="str">
        <f aca="false">IF(I1182=0,"",INDEX(GL!$B:$B,I1182))</f>
        <v/>
      </c>
      <c r="K1182" s="5" t="str">
        <f aca="false">IF(I1182=0,"",IF(INDEX(GL!$C:$C,I1182)="","",INDEX(GL!$C:$C,I1182)))</f>
        <v/>
      </c>
      <c r="L1182" s="19" t="str">
        <f aca="false">IF(I1182=0,"",INDEX(GL!$E:$E,I1182))</f>
        <v/>
      </c>
      <c r="M1182" s="19" t="str">
        <f aca="false">IF(OR(B1182=0,I1182=0),"",ROUND(G1182-L1182,2))</f>
        <v/>
      </c>
      <c r="N1182" s="5" t="str">
        <f aca="false">IF(A1182="","",IF(B1182=0,"NOT FOUND: bank ID",IF(I1182=0,"NOT FOUND: GL ID",IF(INDEX(GL!$H:$H,I1182)&lt;&gt;A1182,"BROKEN: GL points elsewhere",IF(OR(INDEX(Bank!$F:$F,B1182)&lt;&gt;"Y",INDEX(GL!$F:$F,I1182)&lt;&gt;"Y"),"BROKEN: Status not Y","OK")))))</f>
        <v/>
      </c>
    </row>
    <row r="1183" customFormat="false" ht="15" hidden="false" customHeight="false" outlineLevel="0" collapsed="false">
      <c r="A1183" s="41"/>
      <c r="B1183" s="5" t="n">
        <f aca="false">IF(A1183="",0,IFERROR(MATCH(A1183,Bank!$A:$A,0),0))</f>
        <v>0</v>
      </c>
      <c r="C1183" s="5" t="str">
        <f aca="false">IF(B1183=0,"",IF(INDEX(Bank!$G:$G,B1183)="","",INDEX(Bank!$G:$G,B1183)))</f>
        <v/>
      </c>
      <c r="D1183" s="5" t="str">
        <f aca="false">IF(B1183=0,"",IF(INDEX(Bank!$J:$J,B1183)="","",INDEX(Bank!$J:$J,B1183)))</f>
        <v/>
      </c>
      <c r="E1183" s="32" t="str">
        <f aca="false">IF(B1183=0,"",INDEX(Bank!$B:$B,B1183))</f>
        <v/>
      </c>
      <c r="F1183" s="5" t="str">
        <f aca="false">IF(B1183=0,"",IF(INDEX(Bank!$C:$C,B1183)="","",INDEX(Bank!$C:$C,B1183)))</f>
        <v/>
      </c>
      <c r="G1183" s="19" t="str">
        <f aca="false">IF(B1183=0,"",INDEX(Bank!$E:$E,B1183))</f>
        <v/>
      </c>
      <c r="H1183" s="5" t="str">
        <f aca="false">IF(B1183=0,"",IF(INDEX(Bank!$H:$H,B1183)="","",INDEX(Bank!$H:$H,B1183)))</f>
        <v/>
      </c>
      <c r="I1183" s="5" t="n">
        <f aca="false">IF(H1183="",0,IFERROR(MATCH(H1183,GL!$A:$A,0),0))</f>
        <v>0</v>
      </c>
      <c r="J1183" s="32" t="str">
        <f aca="false">IF(I1183=0,"",INDEX(GL!$B:$B,I1183))</f>
        <v/>
      </c>
      <c r="K1183" s="5" t="str">
        <f aca="false">IF(I1183=0,"",IF(INDEX(GL!$C:$C,I1183)="","",INDEX(GL!$C:$C,I1183)))</f>
        <v/>
      </c>
      <c r="L1183" s="19" t="str">
        <f aca="false">IF(I1183=0,"",INDEX(GL!$E:$E,I1183))</f>
        <v/>
      </c>
      <c r="M1183" s="19" t="str">
        <f aca="false">IF(OR(B1183=0,I1183=0),"",ROUND(G1183-L1183,2))</f>
        <v/>
      </c>
      <c r="N1183" s="5" t="str">
        <f aca="false">IF(A1183="","",IF(B1183=0,"NOT FOUND: bank ID",IF(I1183=0,"NOT FOUND: GL ID",IF(INDEX(GL!$H:$H,I1183)&lt;&gt;A1183,"BROKEN: GL points elsewhere",IF(OR(INDEX(Bank!$F:$F,B1183)&lt;&gt;"Y",INDEX(GL!$F:$F,I1183)&lt;&gt;"Y"),"BROKEN: Status not Y","OK")))))</f>
        <v/>
      </c>
    </row>
    <row r="1184" customFormat="false" ht="15" hidden="false" customHeight="false" outlineLevel="0" collapsed="false">
      <c r="A1184" s="41"/>
      <c r="B1184" s="5" t="n">
        <f aca="false">IF(A1184="",0,IFERROR(MATCH(A1184,Bank!$A:$A,0),0))</f>
        <v>0</v>
      </c>
      <c r="C1184" s="5" t="str">
        <f aca="false">IF(B1184=0,"",IF(INDEX(Bank!$G:$G,B1184)="","",INDEX(Bank!$G:$G,B1184)))</f>
        <v/>
      </c>
      <c r="D1184" s="5" t="str">
        <f aca="false">IF(B1184=0,"",IF(INDEX(Bank!$J:$J,B1184)="","",INDEX(Bank!$J:$J,B1184)))</f>
        <v/>
      </c>
      <c r="E1184" s="32" t="str">
        <f aca="false">IF(B1184=0,"",INDEX(Bank!$B:$B,B1184))</f>
        <v/>
      </c>
      <c r="F1184" s="5" t="str">
        <f aca="false">IF(B1184=0,"",IF(INDEX(Bank!$C:$C,B1184)="","",INDEX(Bank!$C:$C,B1184)))</f>
        <v/>
      </c>
      <c r="G1184" s="19" t="str">
        <f aca="false">IF(B1184=0,"",INDEX(Bank!$E:$E,B1184))</f>
        <v/>
      </c>
      <c r="H1184" s="5" t="str">
        <f aca="false">IF(B1184=0,"",IF(INDEX(Bank!$H:$H,B1184)="","",INDEX(Bank!$H:$H,B1184)))</f>
        <v/>
      </c>
      <c r="I1184" s="5" t="n">
        <f aca="false">IF(H1184="",0,IFERROR(MATCH(H1184,GL!$A:$A,0),0))</f>
        <v>0</v>
      </c>
      <c r="J1184" s="32" t="str">
        <f aca="false">IF(I1184=0,"",INDEX(GL!$B:$B,I1184))</f>
        <v/>
      </c>
      <c r="K1184" s="5" t="str">
        <f aca="false">IF(I1184=0,"",IF(INDEX(GL!$C:$C,I1184)="","",INDEX(GL!$C:$C,I1184)))</f>
        <v/>
      </c>
      <c r="L1184" s="19" t="str">
        <f aca="false">IF(I1184=0,"",INDEX(GL!$E:$E,I1184))</f>
        <v/>
      </c>
      <c r="M1184" s="19" t="str">
        <f aca="false">IF(OR(B1184=0,I1184=0),"",ROUND(G1184-L1184,2))</f>
        <v/>
      </c>
      <c r="N1184" s="5" t="str">
        <f aca="false">IF(A1184="","",IF(B1184=0,"NOT FOUND: bank ID",IF(I1184=0,"NOT FOUND: GL ID",IF(INDEX(GL!$H:$H,I1184)&lt;&gt;A1184,"BROKEN: GL points elsewhere",IF(OR(INDEX(Bank!$F:$F,B1184)&lt;&gt;"Y",INDEX(GL!$F:$F,I1184)&lt;&gt;"Y"),"BROKEN: Status not Y","OK")))))</f>
        <v/>
      </c>
    </row>
    <row r="1185" customFormat="false" ht="15" hidden="false" customHeight="false" outlineLevel="0" collapsed="false">
      <c r="A1185" s="41"/>
      <c r="B1185" s="5" t="n">
        <f aca="false">IF(A1185="",0,IFERROR(MATCH(A1185,Bank!$A:$A,0),0))</f>
        <v>0</v>
      </c>
      <c r="C1185" s="5" t="str">
        <f aca="false">IF(B1185=0,"",IF(INDEX(Bank!$G:$G,B1185)="","",INDEX(Bank!$G:$G,B1185)))</f>
        <v/>
      </c>
      <c r="D1185" s="5" t="str">
        <f aca="false">IF(B1185=0,"",IF(INDEX(Bank!$J:$J,B1185)="","",INDEX(Bank!$J:$J,B1185)))</f>
        <v/>
      </c>
      <c r="E1185" s="32" t="str">
        <f aca="false">IF(B1185=0,"",INDEX(Bank!$B:$B,B1185))</f>
        <v/>
      </c>
      <c r="F1185" s="5" t="str">
        <f aca="false">IF(B1185=0,"",IF(INDEX(Bank!$C:$C,B1185)="","",INDEX(Bank!$C:$C,B1185)))</f>
        <v/>
      </c>
      <c r="G1185" s="19" t="str">
        <f aca="false">IF(B1185=0,"",INDEX(Bank!$E:$E,B1185))</f>
        <v/>
      </c>
      <c r="H1185" s="5" t="str">
        <f aca="false">IF(B1185=0,"",IF(INDEX(Bank!$H:$H,B1185)="","",INDEX(Bank!$H:$H,B1185)))</f>
        <v/>
      </c>
      <c r="I1185" s="5" t="n">
        <f aca="false">IF(H1185="",0,IFERROR(MATCH(H1185,GL!$A:$A,0),0))</f>
        <v>0</v>
      </c>
      <c r="J1185" s="32" t="str">
        <f aca="false">IF(I1185=0,"",INDEX(GL!$B:$B,I1185))</f>
        <v/>
      </c>
      <c r="K1185" s="5" t="str">
        <f aca="false">IF(I1185=0,"",IF(INDEX(GL!$C:$C,I1185)="","",INDEX(GL!$C:$C,I1185)))</f>
        <v/>
      </c>
      <c r="L1185" s="19" t="str">
        <f aca="false">IF(I1185=0,"",INDEX(GL!$E:$E,I1185))</f>
        <v/>
      </c>
      <c r="M1185" s="19" t="str">
        <f aca="false">IF(OR(B1185=0,I1185=0),"",ROUND(G1185-L1185,2))</f>
        <v/>
      </c>
      <c r="N1185" s="5" t="str">
        <f aca="false">IF(A1185="","",IF(B1185=0,"NOT FOUND: bank ID",IF(I1185=0,"NOT FOUND: GL ID",IF(INDEX(GL!$H:$H,I1185)&lt;&gt;A1185,"BROKEN: GL points elsewhere",IF(OR(INDEX(Bank!$F:$F,B1185)&lt;&gt;"Y",INDEX(GL!$F:$F,I1185)&lt;&gt;"Y"),"BROKEN: Status not Y","OK")))))</f>
        <v/>
      </c>
    </row>
    <row r="1186" customFormat="false" ht="15" hidden="false" customHeight="false" outlineLevel="0" collapsed="false">
      <c r="A1186" s="41"/>
      <c r="B1186" s="5" t="n">
        <f aca="false">IF(A1186="",0,IFERROR(MATCH(A1186,Bank!$A:$A,0),0))</f>
        <v>0</v>
      </c>
      <c r="C1186" s="5" t="str">
        <f aca="false">IF(B1186=0,"",IF(INDEX(Bank!$G:$G,B1186)="","",INDEX(Bank!$G:$G,B1186)))</f>
        <v/>
      </c>
      <c r="D1186" s="5" t="str">
        <f aca="false">IF(B1186=0,"",IF(INDEX(Bank!$J:$J,B1186)="","",INDEX(Bank!$J:$J,B1186)))</f>
        <v/>
      </c>
      <c r="E1186" s="32" t="str">
        <f aca="false">IF(B1186=0,"",INDEX(Bank!$B:$B,B1186))</f>
        <v/>
      </c>
      <c r="F1186" s="5" t="str">
        <f aca="false">IF(B1186=0,"",IF(INDEX(Bank!$C:$C,B1186)="","",INDEX(Bank!$C:$C,B1186)))</f>
        <v/>
      </c>
      <c r="G1186" s="19" t="str">
        <f aca="false">IF(B1186=0,"",INDEX(Bank!$E:$E,B1186))</f>
        <v/>
      </c>
      <c r="H1186" s="5" t="str">
        <f aca="false">IF(B1186=0,"",IF(INDEX(Bank!$H:$H,B1186)="","",INDEX(Bank!$H:$H,B1186)))</f>
        <v/>
      </c>
      <c r="I1186" s="5" t="n">
        <f aca="false">IF(H1186="",0,IFERROR(MATCH(H1186,GL!$A:$A,0),0))</f>
        <v>0</v>
      </c>
      <c r="J1186" s="32" t="str">
        <f aca="false">IF(I1186=0,"",INDEX(GL!$B:$B,I1186))</f>
        <v/>
      </c>
      <c r="K1186" s="5" t="str">
        <f aca="false">IF(I1186=0,"",IF(INDEX(GL!$C:$C,I1186)="","",INDEX(GL!$C:$C,I1186)))</f>
        <v/>
      </c>
      <c r="L1186" s="19" t="str">
        <f aca="false">IF(I1186=0,"",INDEX(GL!$E:$E,I1186))</f>
        <v/>
      </c>
      <c r="M1186" s="19" t="str">
        <f aca="false">IF(OR(B1186=0,I1186=0),"",ROUND(G1186-L1186,2))</f>
        <v/>
      </c>
      <c r="N1186" s="5" t="str">
        <f aca="false">IF(A1186="","",IF(B1186=0,"NOT FOUND: bank ID",IF(I1186=0,"NOT FOUND: GL ID",IF(INDEX(GL!$H:$H,I1186)&lt;&gt;A1186,"BROKEN: GL points elsewhere",IF(OR(INDEX(Bank!$F:$F,B1186)&lt;&gt;"Y",INDEX(GL!$F:$F,I1186)&lt;&gt;"Y"),"BROKEN: Status not Y","OK")))))</f>
        <v/>
      </c>
    </row>
    <row r="1187" customFormat="false" ht="15" hidden="false" customHeight="false" outlineLevel="0" collapsed="false">
      <c r="A1187" s="41"/>
      <c r="B1187" s="5" t="n">
        <f aca="false">IF(A1187="",0,IFERROR(MATCH(A1187,Bank!$A:$A,0),0))</f>
        <v>0</v>
      </c>
      <c r="C1187" s="5" t="str">
        <f aca="false">IF(B1187=0,"",IF(INDEX(Bank!$G:$G,B1187)="","",INDEX(Bank!$G:$G,B1187)))</f>
        <v/>
      </c>
      <c r="D1187" s="5" t="str">
        <f aca="false">IF(B1187=0,"",IF(INDEX(Bank!$J:$J,B1187)="","",INDEX(Bank!$J:$J,B1187)))</f>
        <v/>
      </c>
      <c r="E1187" s="32" t="str">
        <f aca="false">IF(B1187=0,"",INDEX(Bank!$B:$B,B1187))</f>
        <v/>
      </c>
      <c r="F1187" s="5" t="str">
        <f aca="false">IF(B1187=0,"",IF(INDEX(Bank!$C:$C,B1187)="","",INDEX(Bank!$C:$C,B1187)))</f>
        <v/>
      </c>
      <c r="G1187" s="19" t="str">
        <f aca="false">IF(B1187=0,"",INDEX(Bank!$E:$E,B1187))</f>
        <v/>
      </c>
      <c r="H1187" s="5" t="str">
        <f aca="false">IF(B1187=0,"",IF(INDEX(Bank!$H:$H,B1187)="","",INDEX(Bank!$H:$H,B1187)))</f>
        <v/>
      </c>
      <c r="I1187" s="5" t="n">
        <f aca="false">IF(H1187="",0,IFERROR(MATCH(H1187,GL!$A:$A,0),0))</f>
        <v>0</v>
      </c>
      <c r="J1187" s="32" t="str">
        <f aca="false">IF(I1187=0,"",INDEX(GL!$B:$B,I1187))</f>
        <v/>
      </c>
      <c r="K1187" s="5" t="str">
        <f aca="false">IF(I1187=0,"",IF(INDEX(GL!$C:$C,I1187)="","",INDEX(GL!$C:$C,I1187)))</f>
        <v/>
      </c>
      <c r="L1187" s="19" t="str">
        <f aca="false">IF(I1187=0,"",INDEX(GL!$E:$E,I1187))</f>
        <v/>
      </c>
      <c r="M1187" s="19" t="str">
        <f aca="false">IF(OR(B1187=0,I1187=0),"",ROUND(G1187-L1187,2))</f>
        <v/>
      </c>
      <c r="N1187" s="5" t="str">
        <f aca="false">IF(A1187="","",IF(B1187=0,"NOT FOUND: bank ID",IF(I1187=0,"NOT FOUND: GL ID",IF(INDEX(GL!$H:$H,I1187)&lt;&gt;A1187,"BROKEN: GL points elsewhere",IF(OR(INDEX(Bank!$F:$F,B1187)&lt;&gt;"Y",INDEX(GL!$F:$F,I1187)&lt;&gt;"Y"),"BROKEN: Status not Y","OK")))))</f>
        <v/>
      </c>
    </row>
    <row r="1188" customFormat="false" ht="15" hidden="false" customHeight="false" outlineLevel="0" collapsed="false">
      <c r="A1188" s="41"/>
      <c r="B1188" s="5" t="n">
        <f aca="false">IF(A1188="",0,IFERROR(MATCH(A1188,Bank!$A:$A,0),0))</f>
        <v>0</v>
      </c>
      <c r="C1188" s="5" t="str">
        <f aca="false">IF(B1188=0,"",IF(INDEX(Bank!$G:$G,B1188)="","",INDEX(Bank!$G:$G,B1188)))</f>
        <v/>
      </c>
      <c r="D1188" s="5" t="str">
        <f aca="false">IF(B1188=0,"",IF(INDEX(Bank!$J:$J,B1188)="","",INDEX(Bank!$J:$J,B1188)))</f>
        <v/>
      </c>
      <c r="E1188" s="32" t="str">
        <f aca="false">IF(B1188=0,"",INDEX(Bank!$B:$B,B1188))</f>
        <v/>
      </c>
      <c r="F1188" s="5" t="str">
        <f aca="false">IF(B1188=0,"",IF(INDEX(Bank!$C:$C,B1188)="","",INDEX(Bank!$C:$C,B1188)))</f>
        <v/>
      </c>
      <c r="G1188" s="19" t="str">
        <f aca="false">IF(B1188=0,"",INDEX(Bank!$E:$E,B1188))</f>
        <v/>
      </c>
      <c r="H1188" s="5" t="str">
        <f aca="false">IF(B1188=0,"",IF(INDEX(Bank!$H:$H,B1188)="","",INDEX(Bank!$H:$H,B1188)))</f>
        <v/>
      </c>
      <c r="I1188" s="5" t="n">
        <f aca="false">IF(H1188="",0,IFERROR(MATCH(H1188,GL!$A:$A,0),0))</f>
        <v>0</v>
      </c>
      <c r="J1188" s="32" t="str">
        <f aca="false">IF(I1188=0,"",INDEX(GL!$B:$B,I1188))</f>
        <v/>
      </c>
      <c r="K1188" s="5" t="str">
        <f aca="false">IF(I1188=0,"",IF(INDEX(GL!$C:$C,I1188)="","",INDEX(GL!$C:$C,I1188)))</f>
        <v/>
      </c>
      <c r="L1188" s="19" t="str">
        <f aca="false">IF(I1188=0,"",INDEX(GL!$E:$E,I1188))</f>
        <v/>
      </c>
      <c r="M1188" s="19" t="str">
        <f aca="false">IF(OR(B1188=0,I1188=0),"",ROUND(G1188-L1188,2))</f>
        <v/>
      </c>
      <c r="N1188" s="5" t="str">
        <f aca="false">IF(A1188="","",IF(B1188=0,"NOT FOUND: bank ID",IF(I1188=0,"NOT FOUND: GL ID",IF(INDEX(GL!$H:$H,I1188)&lt;&gt;A1188,"BROKEN: GL points elsewhere",IF(OR(INDEX(Bank!$F:$F,B1188)&lt;&gt;"Y",INDEX(GL!$F:$F,I1188)&lt;&gt;"Y"),"BROKEN: Status not Y","OK")))))</f>
        <v/>
      </c>
    </row>
    <row r="1189" customFormat="false" ht="15" hidden="false" customHeight="false" outlineLevel="0" collapsed="false">
      <c r="A1189" s="41"/>
      <c r="B1189" s="5" t="n">
        <f aca="false">IF(A1189="",0,IFERROR(MATCH(A1189,Bank!$A:$A,0),0))</f>
        <v>0</v>
      </c>
      <c r="C1189" s="5" t="str">
        <f aca="false">IF(B1189=0,"",IF(INDEX(Bank!$G:$G,B1189)="","",INDEX(Bank!$G:$G,B1189)))</f>
        <v/>
      </c>
      <c r="D1189" s="5" t="str">
        <f aca="false">IF(B1189=0,"",IF(INDEX(Bank!$J:$J,B1189)="","",INDEX(Bank!$J:$J,B1189)))</f>
        <v/>
      </c>
      <c r="E1189" s="32" t="str">
        <f aca="false">IF(B1189=0,"",INDEX(Bank!$B:$B,B1189))</f>
        <v/>
      </c>
      <c r="F1189" s="5" t="str">
        <f aca="false">IF(B1189=0,"",IF(INDEX(Bank!$C:$C,B1189)="","",INDEX(Bank!$C:$C,B1189)))</f>
        <v/>
      </c>
      <c r="G1189" s="19" t="str">
        <f aca="false">IF(B1189=0,"",INDEX(Bank!$E:$E,B1189))</f>
        <v/>
      </c>
      <c r="H1189" s="5" t="str">
        <f aca="false">IF(B1189=0,"",IF(INDEX(Bank!$H:$H,B1189)="","",INDEX(Bank!$H:$H,B1189)))</f>
        <v/>
      </c>
      <c r="I1189" s="5" t="n">
        <f aca="false">IF(H1189="",0,IFERROR(MATCH(H1189,GL!$A:$A,0),0))</f>
        <v>0</v>
      </c>
      <c r="J1189" s="32" t="str">
        <f aca="false">IF(I1189=0,"",INDEX(GL!$B:$B,I1189))</f>
        <v/>
      </c>
      <c r="K1189" s="5" t="str">
        <f aca="false">IF(I1189=0,"",IF(INDEX(GL!$C:$C,I1189)="","",INDEX(GL!$C:$C,I1189)))</f>
        <v/>
      </c>
      <c r="L1189" s="19" t="str">
        <f aca="false">IF(I1189=0,"",INDEX(GL!$E:$E,I1189))</f>
        <v/>
      </c>
      <c r="M1189" s="19" t="str">
        <f aca="false">IF(OR(B1189=0,I1189=0),"",ROUND(G1189-L1189,2))</f>
        <v/>
      </c>
      <c r="N1189" s="5" t="str">
        <f aca="false">IF(A1189="","",IF(B1189=0,"NOT FOUND: bank ID",IF(I1189=0,"NOT FOUND: GL ID",IF(INDEX(GL!$H:$H,I1189)&lt;&gt;A1189,"BROKEN: GL points elsewhere",IF(OR(INDEX(Bank!$F:$F,B1189)&lt;&gt;"Y",INDEX(GL!$F:$F,I1189)&lt;&gt;"Y"),"BROKEN: Status not Y","OK")))))</f>
        <v/>
      </c>
    </row>
    <row r="1190" customFormat="false" ht="15" hidden="false" customHeight="false" outlineLevel="0" collapsed="false">
      <c r="A1190" s="41"/>
      <c r="B1190" s="5" t="n">
        <f aca="false">IF(A1190="",0,IFERROR(MATCH(A1190,Bank!$A:$A,0),0))</f>
        <v>0</v>
      </c>
      <c r="C1190" s="5" t="str">
        <f aca="false">IF(B1190=0,"",IF(INDEX(Bank!$G:$G,B1190)="","",INDEX(Bank!$G:$G,B1190)))</f>
        <v/>
      </c>
      <c r="D1190" s="5" t="str">
        <f aca="false">IF(B1190=0,"",IF(INDEX(Bank!$J:$J,B1190)="","",INDEX(Bank!$J:$J,B1190)))</f>
        <v/>
      </c>
      <c r="E1190" s="32" t="str">
        <f aca="false">IF(B1190=0,"",INDEX(Bank!$B:$B,B1190))</f>
        <v/>
      </c>
      <c r="F1190" s="5" t="str">
        <f aca="false">IF(B1190=0,"",IF(INDEX(Bank!$C:$C,B1190)="","",INDEX(Bank!$C:$C,B1190)))</f>
        <v/>
      </c>
      <c r="G1190" s="19" t="str">
        <f aca="false">IF(B1190=0,"",INDEX(Bank!$E:$E,B1190))</f>
        <v/>
      </c>
      <c r="H1190" s="5" t="str">
        <f aca="false">IF(B1190=0,"",IF(INDEX(Bank!$H:$H,B1190)="","",INDEX(Bank!$H:$H,B1190)))</f>
        <v/>
      </c>
      <c r="I1190" s="5" t="n">
        <f aca="false">IF(H1190="",0,IFERROR(MATCH(H1190,GL!$A:$A,0),0))</f>
        <v>0</v>
      </c>
      <c r="J1190" s="32" t="str">
        <f aca="false">IF(I1190=0,"",INDEX(GL!$B:$B,I1190))</f>
        <v/>
      </c>
      <c r="K1190" s="5" t="str">
        <f aca="false">IF(I1190=0,"",IF(INDEX(GL!$C:$C,I1190)="","",INDEX(GL!$C:$C,I1190)))</f>
        <v/>
      </c>
      <c r="L1190" s="19" t="str">
        <f aca="false">IF(I1190=0,"",INDEX(GL!$E:$E,I1190))</f>
        <v/>
      </c>
      <c r="M1190" s="19" t="str">
        <f aca="false">IF(OR(B1190=0,I1190=0),"",ROUND(G1190-L1190,2))</f>
        <v/>
      </c>
      <c r="N1190" s="5" t="str">
        <f aca="false">IF(A1190="","",IF(B1190=0,"NOT FOUND: bank ID",IF(I1190=0,"NOT FOUND: GL ID",IF(INDEX(GL!$H:$H,I1190)&lt;&gt;A1190,"BROKEN: GL points elsewhere",IF(OR(INDEX(Bank!$F:$F,B1190)&lt;&gt;"Y",INDEX(GL!$F:$F,I1190)&lt;&gt;"Y"),"BROKEN: Status not Y","OK")))))</f>
        <v/>
      </c>
    </row>
    <row r="1191" customFormat="false" ht="15" hidden="false" customHeight="false" outlineLevel="0" collapsed="false">
      <c r="A1191" s="41"/>
      <c r="B1191" s="5" t="n">
        <f aca="false">IF(A1191="",0,IFERROR(MATCH(A1191,Bank!$A:$A,0),0))</f>
        <v>0</v>
      </c>
      <c r="C1191" s="5" t="str">
        <f aca="false">IF(B1191=0,"",IF(INDEX(Bank!$G:$G,B1191)="","",INDEX(Bank!$G:$G,B1191)))</f>
        <v/>
      </c>
      <c r="D1191" s="5" t="str">
        <f aca="false">IF(B1191=0,"",IF(INDEX(Bank!$J:$J,B1191)="","",INDEX(Bank!$J:$J,B1191)))</f>
        <v/>
      </c>
      <c r="E1191" s="32" t="str">
        <f aca="false">IF(B1191=0,"",INDEX(Bank!$B:$B,B1191))</f>
        <v/>
      </c>
      <c r="F1191" s="5" t="str">
        <f aca="false">IF(B1191=0,"",IF(INDEX(Bank!$C:$C,B1191)="","",INDEX(Bank!$C:$C,B1191)))</f>
        <v/>
      </c>
      <c r="G1191" s="19" t="str">
        <f aca="false">IF(B1191=0,"",INDEX(Bank!$E:$E,B1191))</f>
        <v/>
      </c>
      <c r="H1191" s="5" t="str">
        <f aca="false">IF(B1191=0,"",IF(INDEX(Bank!$H:$H,B1191)="","",INDEX(Bank!$H:$H,B1191)))</f>
        <v/>
      </c>
      <c r="I1191" s="5" t="n">
        <f aca="false">IF(H1191="",0,IFERROR(MATCH(H1191,GL!$A:$A,0),0))</f>
        <v>0</v>
      </c>
      <c r="J1191" s="32" t="str">
        <f aca="false">IF(I1191=0,"",INDEX(GL!$B:$B,I1191))</f>
        <v/>
      </c>
      <c r="K1191" s="5" t="str">
        <f aca="false">IF(I1191=0,"",IF(INDEX(GL!$C:$C,I1191)="","",INDEX(GL!$C:$C,I1191)))</f>
        <v/>
      </c>
      <c r="L1191" s="19" t="str">
        <f aca="false">IF(I1191=0,"",INDEX(GL!$E:$E,I1191))</f>
        <v/>
      </c>
      <c r="M1191" s="19" t="str">
        <f aca="false">IF(OR(B1191=0,I1191=0),"",ROUND(G1191-L1191,2))</f>
        <v/>
      </c>
      <c r="N1191" s="5" t="str">
        <f aca="false">IF(A1191="","",IF(B1191=0,"NOT FOUND: bank ID",IF(I1191=0,"NOT FOUND: GL ID",IF(INDEX(GL!$H:$H,I1191)&lt;&gt;A1191,"BROKEN: GL points elsewhere",IF(OR(INDEX(Bank!$F:$F,B1191)&lt;&gt;"Y",INDEX(GL!$F:$F,I1191)&lt;&gt;"Y"),"BROKEN: Status not Y","OK")))))</f>
        <v/>
      </c>
    </row>
    <row r="1192" customFormat="false" ht="15" hidden="false" customHeight="false" outlineLevel="0" collapsed="false">
      <c r="A1192" s="41"/>
      <c r="B1192" s="5" t="n">
        <f aca="false">IF(A1192="",0,IFERROR(MATCH(A1192,Bank!$A:$A,0),0))</f>
        <v>0</v>
      </c>
      <c r="C1192" s="5" t="str">
        <f aca="false">IF(B1192=0,"",IF(INDEX(Bank!$G:$G,B1192)="","",INDEX(Bank!$G:$G,B1192)))</f>
        <v/>
      </c>
      <c r="D1192" s="5" t="str">
        <f aca="false">IF(B1192=0,"",IF(INDEX(Bank!$J:$J,B1192)="","",INDEX(Bank!$J:$J,B1192)))</f>
        <v/>
      </c>
      <c r="E1192" s="32" t="str">
        <f aca="false">IF(B1192=0,"",INDEX(Bank!$B:$B,B1192))</f>
        <v/>
      </c>
      <c r="F1192" s="5" t="str">
        <f aca="false">IF(B1192=0,"",IF(INDEX(Bank!$C:$C,B1192)="","",INDEX(Bank!$C:$C,B1192)))</f>
        <v/>
      </c>
      <c r="G1192" s="19" t="str">
        <f aca="false">IF(B1192=0,"",INDEX(Bank!$E:$E,B1192))</f>
        <v/>
      </c>
      <c r="H1192" s="5" t="str">
        <f aca="false">IF(B1192=0,"",IF(INDEX(Bank!$H:$H,B1192)="","",INDEX(Bank!$H:$H,B1192)))</f>
        <v/>
      </c>
      <c r="I1192" s="5" t="n">
        <f aca="false">IF(H1192="",0,IFERROR(MATCH(H1192,GL!$A:$A,0),0))</f>
        <v>0</v>
      </c>
      <c r="J1192" s="32" t="str">
        <f aca="false">IF(I1192=0,"",INDEX(GL!$B:$B,I1192))</f>
        <v/>
      </c>
      <c r="K1192" s="5" t="str">
        <f aca="false">IF(I1192=0,"",IF(INDEX(GL!$C:$C,I1192)="","",INDEX(GL!$C:$C,I1192)))</f>
        <v/>
      </c>
      <c r="L1192" s="19" t="str">
        <f aca="false">IF(I1192=0,"",INDEX(GL!$E:$E,I1192))</f>
        <v/>
      </c>
      <c r="M1192" s="19" t="str">
        <f aca="false">IF(OR(B1192=0,I1192=0),"",ROUND(G1192-L1192,2))</f>
        <v/>
      </c>
      <c r="N1192" s="5" t="str">
        <f aca="false">IF(A1192="","",IF(B1192=0,"NOT FOUND: bank ID",IF(I1192=0,"NOT FOUND: GL ID",IF(INDEX(GL!$H:$H,I1192)&lt;&gt;A1192,"BROKEN: GL points elsewhere",IF(OR(INDEX(Bank!$F:$F,B1192)&lt;&gt;"Y",INDEX(GL!$F:$F,I1192)&lt;&gt;"Y"),"BROKEN: Status not Y","OK")))))</f>
        <v/>
      </c>
    </row>
    <row r="1193" customFormat="false" ht="15" hidden="false" customHeight="false" outlineLevel="0" collapsed="false">
      <c r="A1193" s="41"/>
      <c r="B1193" s="5" t="n">
        <f aca="false">IF(A1193="",0,IFERROR(MATCH(A1193,Bank!$A:$A,0),0))</f>
        <v>0</v>
      </c>
      <c r="C1193" s="5" t="str">
        <f aca="false">IF(B1193=0,"",IF(INDEX(Bank!$G:$G,B1193)="","",INDEX(Bank!$G:$G,B1193)))</f>
        <v/>
      </c>
      <c r="D1193" s="5" t="str">
        <f aca="false">IF(B1193=0,"",IF(INDEX(Bank!$J:$J,B1193)="","",INDEX(Bank!$J:$J,B1193)))</f>
        <v/>
      </c>
      <c r="E1193" s="32" t="str">
        <f aca="false">IF(B1193=0,"",INDEX(Bank!$B:$B,B1193))</f>
        <v/>
      </c>
      <c r="F1193" s="5" t="str">
        <f aca="false">IF(B1193=0,"",IF(INDEX(Bank!$C:$C,B1193)="","",INDEX(Bank!$C:$C,B1193)))</f>
        <v/>
      </c>
      <c r="G1193" s="19" t="str">
        <f aca="false">IF(B1193=0,"",INDEX(Bank!$E:$E,B1193))</f>
        <v/>
      </c>
      <c r="H1193" s="5" t="str">
        <f aca="false">IF(B1193=0,"",IF(INDEX(Bank!$H:$H,B1193)="","",INDEX(Bank!$H:$H,B1193)))</f>
        <v/>
      </c>
      <c r="I1193" s="5" t="n">
        <f aca="false">IF(H1193="",0,IFERROR(MATCH(H1193,GL!$A:$A,0),0))</f>
        <v>0</v>
      </c>
      <c r="J1193" s="32" t="str">
        <f aca="false">IF(I1193=0,"",INDEX(GL!$B:$B,I1193))</f>
        <v/>
      </c>
      <c r="K1193" s="5" t="str">
        <f aca="false">IF(I1193=0,"",IF(INDEX(GL!$C:$C,I1193)="","",INDEX(GL!$C:$C,I1193)))</f>
        <v/>
      </c>
      <c r="L1193" s="19" t="str">
        <f aca="false">IF(I1193=0,"",INDEX(GL!$E:$E,I1193))</f>
        <v/>
      </c>
      <c r="M1193" s="19" t="str">
        <f aca="false">IF(OR(B1193=0,I1193=0),"",ROUND(G1193-L1193,2))</f>
        <v/>
      </c>
      <c r="N1193" s="5" t="str">
        <f aca="false">IF(A1193="","",IF(B1193=0,"NOT FOUND: bank ID",IF(I1193=0,"NOT FOUND: GL ID",IF(INDEX(GL!$H:$H,I1193)&lt;&gt;A1193,"BROKEN: GL points elsewhere",IF(OR(INDEX(Bank!$F:$F,B1193)&lt;&gt;"Y",INDEX(GL!$F:$F,I1193)&lt;&gt;"Y"),"BROKEN: Status not Y","OK")))))</f>
        <v/>
      </c>
    </row>
    <row r="1194" customFormat="false" ht="15" hidden="false" customHeight="false" outlineLevel="0" collapsed="false">
      <c r="A1194" s="41"/>
      <c r="B1194" s="5" t="n">
        <f aca="false">IF(A1194="",0,IFERROR(MATCH(A1194,Bank!$A:$A,0),0))</f>
        <v>0</v>
      </c>
      <c r="C1194" s="5" t="str">
        <f aca="false">IF(B1194=0,"",IF(INDEX(Bank!$G:$G,B1194)="","",INDEX(Bank!$G:$G,B1194)))</f>
        <v/>
      </c>
      <c r="D1194" s="5" t="str">
        <f aca="false">IF(B1194=0,"",IF(INDEX(Bank!$J:$J,B1194)="","",INDEX(Bank!$J:$J,B1194)))</f>
        <v/>
      </c>
      <c r="E1194" s="32" t="str">
        <f aca="false">IF(B1194=0,"",INDEX(Bank!$B:$B,B1194))</f>
        <v/>
      </c>
      <c r="F1194" s="5" t="str">
        <f aca="false">IF(B1194=0,"",IF(INDEX(Bank!$C:$C,B1194)="","",INDEX(Bank!$C:$C,B1194)))</f>
        <v/>
      </c>
      <c r="G1194" s="19" t="str">
        <f aca="false">IF(B1194=0,"",INDEX(Bank!$E:$E,B1194))</f>
        <v/>
      </c>
      <c r="H1194" s="5" t="str">
        <f aca="false">IF(B1194=0,"",IF(INDEX(Bank!$H:$H,B1194)="","",INDEX(Bank!$H:$H,B1194)))</f>
        <v/>
      </c>
      <c r="I1194" s="5" t="n">
        <f aca="false">IF(H1194="",0,IFERROR(MATCH(H1194,GL!$A:$A,0),0))</f>
        <v>0</v>
      </c>
      <c r="J1194" s="32" t="str">
        <f aca="false">IF(I1194=0,"",INDEX(GL!$B:$B,I1194))</f>
        <v/>
      </c>
      <c r="K1194" s="5" t="str">
        <f aca="false">IF(I1194=0,"",IF(INDEX(GL!$C:$C,I1194)="","",INDEX(GL!$C:$C,I1194)))</f>
        <v/>
      </c>
      <c r="L1194" s="19" t="str">
        <f aca="false">IF(I1194=0,"",INDEX(GL!$E:$E,I1194))</f>
        <v/>
      </c>
      <c r="M1194" s="19" t="str">
        <f aca="false">IF(OR(B1194=0,I1194=0),"",ROUND(G1194-L1194,2))</f>
        <v/>
      </c>
      <c r="N1194" s="5" t="str">
        <f aca="false">IF(A1194="","",IF(B1194=0,"NOT FOUND: bank ID",IF(I1194=0,"NOT FOUND: GL ID",IF(INDEX(GL!$H:$H,I1194)&lt;&gt;A1194,"BROKEN: GL points elsewhere",IF(OR(INDEX(Bank!$F:$F,B1194)&lt;&gt;"Y",INDEX(GL!$F:$F,I1194)&lt;&gt;"Y"),"BROKEN: Status not Y","OK")))))</f>
        <v/>
      </c>
    </row>
    <row r="1195" customFormat="false" ht="15" hidden="false" customHeight="false" outlineLevel="0" collapsed="false">
      <c r="A1195" s="41"/>
      <c r="B1195" s="5" t="n">
        <f aca="false">IF(A1195="",0,IFERROR(MATCH(A1195,Bank!$A:$A,0),0))</f>
        <v>0</v>
      </c>
      <c r="C1195" s="5" t="str">
        <f aca="false">IF(B1195=0,"",IF(INDEX(Bank!$G:$G,B1195)="","",INDEX(Bank!$G:$G,B1195)))</f>
        <v/>
      </c>
      <c r="D1195" s="5" t="str">
        <f aca="false">IF(B1195=0,"",IF(INDEX(Bank!$J:$J,B1195)="","",INDEX(Bank!$J:$J,B1195)))</f>
        <v/>
      </c>
      <c r="E1195" s="32" t="str">
        <f aca="false">IF(B1195=0,"",INDEX(Bank!$B:$B,B1195))</f>
        <v/>
      </c>
      <c r="F1195" s="5" t="str">
        <f aca="false">IF(B1195=0,"",IF(INDEX(Bank!$C:$C,B1195)="","",INDEX(Bank!$C:$C,B1195)))</f>
        <v/>
      </c>
      <c r="G1195" s="19" t="str">
        <f aca="false">IF(B1195=0,"",INDEX(Bank!$E:$E,B1195))</f>
        <v/>
      </c>
      <c r="H1195" s="5" t="str">
        <f aca="false">IF(B1195=0,"",IF(INDEX(Bank!$H:$H,B1195)="","",INDEX(Bank!$H:$H,B1195)))</f>
        <v/>
      </c>
      <c r="I1195" s="5" t="n">
        <f aca="false">IF(H1195="",0,IFERROR(MATCH(H1195,GL!$A:$A,0),0))</f>
        <v>0</v>
      </c>
      <c r="J1195" s="32" t="str">
        <f aca="false">IF(I1195=0,"",INDEX(GL!$B:$B,I1195))</f>
        <v/>
      </c>
      <c r="K1195" s="5" t="str">
        <f aca="false">IF(I1195=0,"",IF(INDEX(GL!$C:$C,I1195)="","",INDEX(GL!$C:$C,I1195)))</f>
        <v/>
      </c>
      <c r="L1195" s="19" t="str">
        <f aca="false">IF(I1195=0,"",INDEX(GL!$E:$E,I1195))</f>
        <v/>
      </c>
      <c r="M1195" s="19" t="str">
        <f aca="false">IF(OR(B1195=0,I1195=0),"",ROUND(G1195-L1195,2))</f>
        <v/>
      </c>
      <c r="N1195" s="5" t="str">
        <f aca="false">IF(A1195="","",IF(B1195=0,"NOT FOUND: bank ID",IF(I1195=0,"NOT FOUND: GL ID",IF(INDEX(GL!$H:$H,I1195)&lt;&gt;A1195,"BROKEN: GL points elsewhere",IF(OR(INDEX(Bank!$F:$F,B1195)&lt;&gt;"Y",INDEX(GL!$F:$F,I1195)&lt;&gt;"Y"),"BROKEN: Status not Y","OK")))))</f>
        <v/>
      </c>
    </row>
    <row r="1196" customFormat="false" ht="15" hidden="false" customHeight="false" outlineLevel="0" collapsed="false">
      <c r="A1196" s="41"/>
      <c r="B1196" s="5" t="n">
        <f aca="false">IF(A1196="",0,IFERROR(MATCH(A1196,Bank!$A:$A,0),0))</f>
        <v>0</v>
      </c>
      <c r="C1196" s="5" t="str">
        <f aca="false">IF(B1196=0,"",IF(INDEX(Bank!$G:$G,B1196)="","",INDEX(Bank!$G:$G,B1196)))</f>
        <v/>
      </c>
      <c r="D1196" s="5" t="str">
        <f aca="false">IF(B1196=0,"",IF(INDEX(Bank!$J:$J,B1196)="","",INDEX(Bank!$J:$J,B1196)))</f>
        <v/>
      </c>
      <c r="E1196" s="32" t="str">
        <f aca="false">IF(B1196=0,"",INDEX(Bank!$B:$B,B1196))</f>
        <v/>
      </c>
      <c r="F1196" s="5" t="str">
        <f aca="false">IF(B1196=0,"",IF(INDEX(Bank!$C:$C,B1196)="","",INDEX(Bank!$C:$C,B1196)))</f>
        <v/>
      </c>
      <c r="G1196" s="19" t="str">
        <f aca="false">IF(B1196=0,"",INDEX(Bank!$E:$E,B1196))</f>
        <v/>
      </c>
      <c r="H1196" s="5" t="str">
        <f aca="false">IF(B1196=0,"",IF(INDEX(Bank!$H:$H,B1196)="","",INDEX(Bank!$H:$H,B1196)))</f>
        <v/>
      </c>
      <c r="I1196" s="5" t="n">
        <f aca="false">IF(H1196="",0,IFERROR(MATCH(H1196,GL!$A:$A,0),0))</f>
        <v>0</v>
      </c>
      <c r="J1196" s="32" t="str">
        <f aca="false">IF(I1196=0,"",INDEX(GL!$B:$B,I1196))</f>
        <v/>
      </c>
      <c r="K1196" s="5" t="str">
        <f aca="false">IF(I1196=0,"",IF(INDEX(GL!$C:$C,I1196)="","",INDEX(GL!$C:$C,I1196)))</f>
        <v/>
      </c>
      <c r="L1196" s="19" t="str">
        <f aca="false">IF(I1196=0,"",INDEX(GL!$E:$E,I1196))</f>
        <v/>
      </c>
      <c r="M1196" s="19" t="str">
        <f aca="false">IF(OR(B1196=0,I1196=0),"",ROUND(G1196-L1196,2))</f>
        <v/>
      </c>
      <c r="N1196" s="5" t="str">
        <f aca="false">IF(A1196="","",IF(B1196=0,"NOT FOUND: bank ID",IF(I1196=0,"NOT FOUND: GL ID",IF(INDEX(GL!$H:$H,I1196)&lt;&gt;A1196,"BROKEN: GL points elsewhere",IF(OR(INDEX(Bank!$F:$F,B1196)&lt;&gt;"Y",INDEX(GL!$F:$F,I1196)&lt;&gt;"Y"),"BROKEN: Status not Y","OK")))))</f>
        <v/>
      </c>
    </row>
    <row r="1197" customFormat="false" ht="15" hidden="false" customHeight="false" outlineLevel="0" collapsed="false">
      <c r="A1197" s="41"/>
      <c r="B1197" s="5" t="n">
        <f aca="false">IF(A1197="",0,IFERROR(MATCH(A1197,Bank!$A:$A,0),0))</f>
        <v>0</v>
      </c>
      <c r="C1197" s="5" t="str">
        <f aca="false">IF(B1197=0,"",IF(INDEX(Bank!$G:$G,B1197)="","",INDEX(Bank!$G:$G,B1197)))</f>
        <v/>
      </c>
      <c r="D1197" s="5" t="str">
        <f aca="false">IF(B1197=0,"",IF(INDEX(Bank!$J:$J,B1197)="","",INDEX(Bank!$J:$J,B1197)))</f>
        <v/>
      </c>
      <c r="E1197" s="32" t="str">
        <f aca="false">IF(B1197=0,"",INDEX(Bank!$B:$B,B1197))</f>
        <v/>
      </c>
      <c r="F1197" s="5" t="str">
        <f aca="false">IF(B1197=0,"",IF(INDEX(Bank!$C:$C,B1197)="","",INDEX(Bank!$C:$C,B1197)))</f>
        <v/>
      </c>
      <c r="G1197" s="19" t="str">
        <f aca="false">IF(B1197=0,"",INDEX(Bank!$E:$E,B1197))</f>
        <v/>
      </c>
      <c r="H1197" s="5" t="str">
        <f aca="false">IF(B1197=0,"",IF(INDEX(Bank!$H:$H,B1197)="","",INDEX(Bank!$H:$H,B1197)))</f>
        <v/>
      </c>
      <c r="I1197" s="5" t="n">
        <f aca="false">IF(H1197="",0,IFERROR(MATCH(H1197,GL!$A:$A,0),0))</f>
        <v>0</v>
      </c>
      <c r="J1197" s="32" t="str">
        <f aca="false">IF(I1197=0,"",INDEX(GL!$B:$B,I1197))</f>
        <v/>
      </c>
      <c r="K1197" s="5" t="str">
        <f aca="false">IF(I1197=0,"",IF(INDEX(GL!$C:$C,I1197)="","",INDEX(GL!$C:$C,I1197)))</f>
        <v/>
      </c>
      <c r="L1197" s="19" t="str">
        <f aca="false">IF(I1197=0,"",INDEX(GL!$E:$E,I1197))</f>
        <v/>
      </c>
      <c r="M1197" s="19" t="str">
        <f aca="false">IF(OR(B1197=0,I1197=0),"",ROUND(G1197-L1197,2))</f>
        <v/>
      </c>
      <c r="N1197" s="5" t="str">
        <f aca="false">IF(A1197="","",IF(B1197=0,"NOT FOUND: bank ID",IF(I1197=0,"NOT FOUND: GL ID",IF(INDEX(GL!$H:$H,I1197)&lt;&gt;A1197,"BROKEN: GL points elsewhere",IF(OR(INDEX(Bank!$F:$F,B1197)&lt;&gt;"Y",INDEX(GL!$F:$F,I1197)&lt;&gt;"Y"),"BROKEN: Status not Y","OK")))))</f>
        <v/>
      </c>
    </row>
    <row r="1198" customFormat="false" ht="15" hidden="false" customHeight="false" outlineLevel="0" collapsed="false">
      <c r="A1198" s="41"/>
      <c r="B1198" s="5" t="n">
        <f aca="false">IF(A1198="",0,IFERROR(MATCH(A1198,Bank!$A:$A,0),0))</f>
        <v>0</v>
      </c>
      <c r="C1198" s="5" t="str">
        <f aca="false">IF(B1198=0,"",IF(INDEX(Bank!$G:$G,B1198)="","",INDEX(Bank!$G:$G,B1198)))</f>
        <v/>
      </c>
      <c r="D1198" s="5" t="str">
        <f aca="false">IF(B1198=0,"",IF(INDEX(Bank!$J:$J,B1198)="","",INDEX(Bank!$J:$J,B1198)))</f>
        <v/>
      </c>
      <c r="E1198" s="32" t="str">
        <f aca="false">IF(B1198=0,"",INDEX(Bank!$B:$B,B1198))</f>
        <v/>
      </c>
      <c r="F1198" s="5" t="str">
        <f aca="false">IF(B1198=0,"",IF(INDEX(Bank!$C:$C,B1198)="","",INDEX(Bank!$C:$C,B1198)))</f>
        <v/>
      </c>
      <c r="G1198" s="19" t="str">
        <f aca="false">IF(B1198=0,"",INDEX(Bank!$E:$E,B1198))</f>
        <v/>
      </c>
      <c r="H1198" s="5" t="str">
        <f aca="false">IF(B1198=0,"",IF(INDEX(Bank!$H:$H,B1198)="","",INDEX(Bank!$H:$H,B1198)))</f>
        <v/>
      </c>
      <c r="I1198" s="5" t="n">
        <f aca="false">IF(H1198="",0,IFERROR(MATCH(H1198,GL!$A:$A,0),0))</f>
        <v>0</v>
      </c>
      <c r="J1198" s="32" t="str">
        <f aca="false">IF(I1198=0,"",INDEX(GL!$B:$B,I1198))</f>
        <v/>
      </c>
      <c r="K1198" s="5" t="str">
        <f aca="false">IF(I1198=0,"",IF(INDEX(GL!$C:$C,I1198)="","",INDEX(GL!$C:$C,I1198)))</f>
        <v/>
      </c>
      <c r="L1198" s="19" t="str">
        <f aca="false">IF(I1198=0,"",INDEX(GL!$E:$E,I1198))</f>
        <v/>
      </c>
      <c r="M1198" s="19" t="str">
        <f aca="false">IF(OR(B1198=0,I1198=0),"",ROUND(G1198-L1198,2))</f>
        <v/>
      </c>
      <c r="N1198" s="5" t="str">
        <f aca="false">IF(A1198="","",IF(B1198=0,"NOT FOUND: bank ID",IF(I1198=0,"NOT FOUND: GL ID",IF(INDEX(GL!$H:$H,I1198)&lt;&gt;A1198,"BROKEN: GL points elsewhere",IF(OR(INDEX(Bank!$F:$F,B1198)&lt;&gt;"Y",INDEX(GL!$F:$F,I1198)&lt;&gt;"Y"),"BROKEN: Status not Y","OK")))))</f>
        <v/>
      </c>
    </row>
    <row r="1199" customFormat="false" ht="15" hidden="false" customHeight="false" outlineLevel="0" collapsed="false">
      <c r="A1199" s="41"/>
      <c r="B1199" s="5" t="n">
        <f aca="false">IF(A1199="",0,IFERROR(MATCH(A1199,Bank!$A:$A,0),0))</f>
        <v>0</v>
      </c>
      <c r="C1199" s="5" t="str">
        <f aca="false">IF(B1199=0,"",IF(INDEX(Bank!$G:$G,B1199)="","",INDEX(Bank!$G:$G,B1199)))</f>
        <v/>
      </c>
      <c r="D1199" s="5" t="str">
        <f aca="false">IF(B1199=0,"",IF(INDEX(Bank!$J:$J,B1199)="","",INDEX(Bank!$J:$J,B1199)))</f>
        <v/>
      </c>
      <c r="E1199" s="32" t="str">
        <f aca="false">IF(B1199=0,"",INDEX(Bank!$B:$B,B1199))</f>
        <v/>
      </c>
      <c r="F1199" s="5" t="str">
        <f aca="false">IF(B1199=0,"",IF(INDEX(Bank!$C:$C,B1199)="","",INDEX(Bank!$C:$C,B1199)))</f>
        <v/>
      </c>
      <c r="G1199" s="19" t="str">
        <f aca="false">IF(B1199=0,"",INDEX(Bank!$E:$E,B1199))</f>
        <v/>
      </c>
      <c r="H1199" s="5" t="str">
        <f aca="false">IF(B1199=0,"",IF(INDEX(Bank!$H:$H,B1199)="","",INDEX(Bank!$H:$H,B1199)))</f>
        <v/>
      </c>
      <c r="I1199" s="5" t="n">
        <f aca="false">IF(H1199="",0,IFERROR(MATCH(H1199,GL!$A:$A,0),0))</f>
        <v>0</v>
      </c>
      <c r="J1199" s="32" t="str">
        <f aca="false">IF(I1199=0,"",INDEX(GL!$B:$B,I1199))</f>
        <v/>
      </c>
      <c r="K1199" s="5" t="str">
        <f aca="false">IF(I1199=0,"",IF(INDEX(GL!$C:$C,I1199)="","",INDEX(GL!$C:$C,I1199)))</f>
        <v/>
      </c>
      <c r="L1199" s="19" t="str">
        <f aca="false">IF(I1199=0,"",INDEX(GL!$E:$E,I1199))</f>
        <v/>
      </c>
      <c r="M1199" s="19" t="str">
        <f aca="false">IF(OR(B1199=0,I1199=0),"",ROUND(G1199-L1199,2))</f>
        <v/>
      </c>
      <c r="N1199" s="5" t="str">
        <f aca="false">IF(A1199="","",IF(B1199=0,"NOT FOUND: bank ID",IF(I1199=0,"NOT FOUND: GL ID",IF(INDEX(GL!$H:$H,I1199)&lt;&gt;A1199,"BROKEN: GL points elsewhere",IF(OR(INDEX(Bank!$F:$F,B1199)&lt;&gt;"Y",INDEX(GL!$F:$F,I1199)&lt;&gt;"Y"),"BROKEN: Status not Y","OK")))))</f>
        <v/>
      </c>
    </row>
    <row r="1200" customFormat="false" ht="15" hidden="false" customHeight="false" outlineLevel="0" collapsed="false">
      <c r="A1200" s="41"/>
      <c r="B1200" s="5" t="n">
        <f aca="false">IF(A1200="",0,IFERROR(MATCH(A1200,Bank!$A:$A,0),0))</f>
        <v>0</v>
      </c>
      <c r="C1200" s="5" t="str">
        <f aca="false">IF(B1200=0,"",IF(INDEX(Bank!$G:$G,B1200)="","",INDEX(Bank!$G:$G,B1200)))</f>
        <v/>
      </c>
      <c r="D1200" s="5" t="str">
        <f aca="false">IF(B1200=0,"",IF(INDEX(Bank!$J:$J,B1200)="","",INDEX(Bank!$J:$J,B1200)))</f>
        <v/>
      </c>
      <c r="E1200" s="32" t="str">
        <f aca="false">IF(B1200=0,"",INDEX(Bank!$B:$B,B1200))</f>
        <v/>
      </c>
      <c r="F1200" s="5" t="str">
        <f aca="false">IF(B1200=0,"",IF(INDEX(Bank!$C:$C,B1200)="","",INDEX(Bank!$C:$C,B1200)))</f>
        <v/>
      </c>
      <c r="G1200" s="19" t="str">
        <f aca="false">IF(B1200=0,"",INDEX(Bank!$E:$E,B1200))</f>
        <v/>
      </c>
      <c r="H1200" s="5" t="str">
        <f aca="false">IF(B1200=0,"",IF(INDEX(Bank!$H:$H,B1200)="","",INDEX(Bank!$H:$H,B1200)))</f>
        <v/>
      </c>
      <c r="I1200" s="5" t="n">
        <f aca="false">IF(H1200="",0,IFERROR(MATCH(H1200,GL!$A:$A,0),0))</f>
        <v>0</v>
      </c>
      <c r="J1200" s="32" t="str">
        <f aca="false">IF(I1200=0,"",INDEX(GL!$B:$B,I1200))</f>
        <v/>
      </c>
      <c r="K1200" s="5" t="str">
        <f aca="false">IF(I1200=0,"",IF(INDEX(GL!$C:$C,I1200)="","",INDEX(GL!$C:$C,I1200)))</f>
        <v/>
      </c>
      <c r="L1200" s="19" t="str">
        <f aca="false">IF(I1200=0,"",INDEX(GL!$E:$E,I1200))</f>
        <v/>
      </c>
      <c r="M1200" s="19" t="str">
        <f aca="false">IF(OR(B1200=0,I1200=0),"",ROUND(G1200-L1200,2))</f>
        <v/>
      </c>
      <c r="N1200" s="5" t="str">
        <f aca="false">IF(A1200="","",IF(B1200=0,"NOT FOUND: bank ID",IF(I1200=0,"NOT FOUND: GL ID",IF(INDEX(GL!$H:$H,I1200)&lt;&gt;A1200,"BROKEN: GL points elsewhere",IF(OR(INDEX(Bank!$F:$F,B1200)&lt;&gt;"Y",INDEX(GL!$F:$F,I1200)&lt;&gt;"Y"),"BROKEN: Status not Y","OK")))))</f>
        <v/>
      </c>
    </row>
    <row r="1201" customFormat="false" ht="15" hidden="false" customHeight="false" outlineLevel="0" collapsed="false">
      <c r="A1201" s="41"/>
      <c r="B1201" s="5" t="n">
        <f aca="false">IF(A1201="",0,IFERROR(MATCH(A1201,Bank!$A:$A,0),0))</f>
        <v>0</v>
      </c>
      <c r="C1201" s="5" t="str">
        <f aca="false">IF(B1201=0,"",IF(INDEX(Bank!$G:$G,B1201)="","",INDEX(Bank!$G:$G,B1201)))</f>
        <v/>
      </c>
      <c r="D1201" s="5" t="str">
        <f aca="false">IF(B1201=0,"",IF(INDEX(Bank!$J:$J,B1201)="","",INDEX(Bank!$J:$J,B1201)))</f>
        <v/>
      </c>
      <c r="E1201" s="32" t="str">
        <f aca="false">IF(B1201=0,"",INDEX(Bank!$B:$B,B1201))</f>
        <v/>
      </c>
      <c r="F1201" s="5" t="str">
        <f aca="false">IF(B1201=0,"",IF(INDEX(Bank!$C:$C,B1201)="","",INDEX(Bank!$C:$C,B1201)))</f>
        <v/>
      </c>
      <c r="G1201" s="19" t="str">
        <f aca="false">IF(B1201=0,"",INDEX(Bank!$E:$E,B1201))</f>
        <v/>
      </c>
      <c r="H1201" s="5" t="str">
        <f aca="false">IF(B1201=0,"",IF(INDEX(Bank!$H:$H,B1201)="","",INDEX(Bank!$H:$H,B1201)))</f>
        <v/>
      </c>
      <c r="I1201" s="5" t="n">
        <f aca="false">IF(H1201="",0,IFERROR(MATCH(H1201,GL!$A:$A,0),0))</f>
        <v>0</v>
      </c>
      <c r="J1201" s="32" t="str">
        <f aca="false">IF(I1201=0,"",INDEX(GL!$B:$B,I1201))</f>
        <v/>
      </c>
      <c r="K1201" s="5" t="str">
        <f aca="false">IF(I1201=0,"",IF(INDEX(GL!$C:$C,I1201)="","",INDEX(GL!$C:$C,I1201)))</f>
        <v/>
      </c>
      <c r="L1201" s="19" t="str">
        <f aca="false">IF(I1201=0,"",INDEX(GL!$E:$E,I1201))</f>
        <v/>
      </c>
      <c r="M1201" s="19" t="str">
        <f aca="false">IF(OR(B1201=0,I1201=0),"",ROUND(G1201-L1201,2))</f>
        <v/>
      </c>
      <c r="N1201" s="5" t="str">
        <f aca="false">IF(A1201="","",IF(B1201=0,"NOT FOUND: bank ID",IF(I1201=0,"NOT FOUND: GL ID",IF(INDEX(GL!$H:$H,I1201)&lt;&gt;A1201,"BROKEN: GL points elsewhere",IF(OR(INDEX(Bank!$F:$F,B1201)&lt;&gt;"Y",INDEX(GL!$F:$F,I1201)&lt;&gt;"Y"),"BROKEN: Status not Y","OK")))))</f>
        <v/>
      </c>
    </row>
    <row r="1202" customFormat="false" ht="15" hidden="false" customHeight="false" outlineLevel="0" collapsed="false">
      <c r="A1202" s="41"/>
      <c r="B1202" s="5" t="n">
        <f aca="false">IF(A1202="",0,IFERROR(MATCH(A1202,Bank!$A:$A,0),0))</f>
        <v>0</v>
      </c>
      <c r="C1202" s="5" t="str">
        <f aca="false">IF(B1202=0,"",IF(INDEX(Bank!$G:$G,B1202)="","",INDEX(Bank!$G:$G,B1202)))</f>
        <v/>
      </c>
      <c r="D1202" s="5" t="str">
        <f aca="false">IF(B1202=0,"",IF(INDEX(Bank!$J:$J,B1202)="","",INDEX(Bank!$J:$J,B1202)))</f>
        <v/>
      </c>
      <c r="E1202" s="32" t="str">
        <f aca="false">IF(B1202=0,"",INDEX(Bank!$B:$B,B1202))</f>
        <v/>
      </c>
      <c r="F1202" s="5" t="str">
        <f aca="false">IF(B1202=0,"",IF(INDEX(Bank!$C:$C,B1202)="","",INDEX(Bank!$C:$C,B1202)))</f>
        <v/>
      </c>
      <c r="G1202" s="19" t="str">
        <f aca="false">IF(B1202=0,"",INDEX(Bank!$E:$E,B1202))</f>
        <v/>
      </c>
      <c r="H1202" s="5" t="str">
        <f aca="false">IF(B1202=0,"",IF(INDEX(Bank!$H:$H,B1202)="","",INDEX(Bank!$H:$H,B1202)))</f>
        <v/>
      </c>
      <c r="I1202" s="5" t="n">
        <f aca="false">IF(H1202="",0,IFERROR(MATCH(H1202,GL!$A:$A,0),0))</f>
        <v>0</v>
      </c>
      <c r="J1202" s="32" t="str">
        <f aca="false">IF(I1202=0,"",INDEX(GL!$B:$B,I1202))</f>
        <v/>
      </c>
      <c r="K1202" s="5" t="str">
        <f aca="false">IF(I1202=0,"",IF(INDEX(GL!$C:$C,I1202)="","",INDEX(GL!$C:$C,I1202)))</f>
        <v/>
      </c>
      <c r="L1202" s="19" t="str">
        <f aca="false">IF(I1202=0,"",INDEX(GL!$E:$E,I1202))</f>
        <v/>
      </c>
      <c r="M1202" s="19" t="str">
        <f aca="false">IF(OR(B1202=0,I1202=0),"",ROUND(G1202-L1202,2))</f>
        <v/>
      </c>
      <c r="N1202" s="5" t="str">
        <f aca="false">IF(A1202="","",IF(B1202=0,"NOT FOUND: bank ID",IF(I1202=0,"NOT FOUND: GL ID",IF(INDEX(GL!$H:$H,I1202)&lt;&gt;A1202,"BROKEN: GL points elsewhere",IF(OR(INDEX(Bank!$F:$F,B1202)&lt;&gt;"Y",INDEX(GL!$F:$F,I1202)&lt;&gt;"Y"),"BROKEN: Status not Y","OK")))))</f>
        <v/>
      </c>
    </row>
    <row r="1203" customFormat="false" ht="15" hidden="false" customHeight="false" outlineLevel="0" collapsed="false">
      <c r="A1203" s="41"/>
      <c r="B1203" s="5" t="n">
        <f aca="false">IF(A1203="",0,IFERROR(MATCH(A1203,Bank!$A:$A,0),0))</f>
        <v>0</v>
      </c>
      <c r="C1203" s="5" t="str">
        <f aca="false">IF(B1203=0,"",IF(INDEX(Bank!$G:$G,B1203)="","",INDEX(Bank!$G:$G,B1203)))</f>
        <v/>
      </c>
      <c r="D1203" s="5" t="str">
        <f aca="false">IF(B1203=0,"",IF(INDEX(Bank!$J:$J,B1203)="","",INDEX(Bank!$J:$J,B1203)))</f>
        <v/>
      </c>
      <c r="E1203" s="32" t="str">
        <f aca="false">IF(B1203=0,"",INDEX(Bank!$B:$B,B1203))</f>
        <v/>
      </c>
      <c r="F1203" s="5" t="str">
        <f aca="false">IF(B1203=0,"",IF(INDEX(Bank!$C:$C,B1203)="","",INDEX(Bank!$C:$C,B1203)))</f>
        <v/>
      </c>
      <c r="G1203" s="19" t="str">
        <f aca="false">IF(B1203=0,"",INDEX(Bank!$E:$E,B1203))</f>
        <v/>
      </c>
      <c r="H1203" s="5" t="str">
        <f aca="false">IF(B1203=0,"",IF(INDEX(Bank!$H:$H,B1203)="","",INDEX(Bank!$H:$H,B1203)))</f>
        <v/>
      </c>
      <c r="I1203" s="5" t="n">
        <f aca="false">IF(H1203="",0,IFERROR(MATCH(H1203,GL!$A:$A,0),0))</f>
        <v>0</v>
      </c>
      <c r="J1203" s="32" t="str">
        <f aca="false">IF(I1203=0,"",INDEX(GL!$B:$B,I1203))</f>
        <v/>
      </c>
      <c r="K1203" s="5" t="str">
        <f aca="false">IF(I1203=0,"",IF(INDEX(GL!$C:$C,I1203)="","",INDEX(GL!$C:$C,I1203)))</f>
        <v/>
      </c>
      <c r="L1203" s="19" t="str">
        <f aca="false">IF(I1203=0,"",INDEX(GL!$E:$E,I1203))</f>
        <v/>
      </c>
      <c r="M1203" s="19" t="str">
        <f aca="false">IF(OR(B1203=0,I1203=0),"",ROUND(G1203-L1203,2))</f>
        <v/>
      </c>
      <c r="N1203" s="5" t="str">
        <f aca="false">IF(A1203="","",IF(B1203=0,"NOT FOUND: bank ID",IF(I1203=0,"NOT FOUND: GL ID",IF(INDEX(GL!$H:$H,I1203)&lt;&gt;A1203,"BROKEN: GL points elsewhere",IF(OR(INDEX(Bank!$F:$F,B1203)&lt;&gt;"Y",INDEX(GL!$F:$F,I1203)&lt;&gt;"Y"),"BROKEN: Status not Y","OK")))))</f>
        <v/>
      </c>
    </row>
    <row r="1204" customFormat="false" ht="15" hidden="false" customHeight="false" outlineLevel="0" collapsed="false">
      <c r="A1204" s="41"/>
      <c r="B1204" s="5" t="n">
        <f aca="false">IF(A1204="",0,IFERROR(MATCH(A1204,Bank!$A:$A,0),0))</f>
        <v>0</v>
      </c>
      <c r="C1204" s="5" t="str">
        <f aca="false">IF(B1204=0,"",IF(INDEX(Bank!$G:$G,B1204)="","",INDEX(Bank!$G:$G,B1204)))</f>
        <v/>
      </c>
      <c r="D1204" s="5" t="str">
        <f aca="false">IF(B1204=0,"",IF(INDEX(Bank!$J:$J,B1204)="","",INDEX(Bank!$J:$J,B1204)))</f>
        <v/>
      </c>
      <c r="E1204" s="32" t="str">
        <f aca="false">IF(B1204=0,"",INDEX(Bank!$B:$B,B1204))</f>
        <v/>
      </c>
      <c r="F1204" s="5" t="str">
        <f aca="false">IF(B1204=0,"",IF(INDEX(Bank!$C:$C,B1204)="","",INDEX(Bank!$C:$C,B1204)))</f>
        <v/>
      </c>
      <c r="G1204" s="19" t="str">
        <f aca="false">IF(B1204=0,"",INDEX(Bank!$E:$E,B1204))</f>
        <v/>
      </c>
      <c r="H1204" s="5" t="str">
        <f aca="false">IF(B1204=0,"",IF(INDEX(Bank!$H:$H,B1204)="","",INDEX(Bank!$H:$H,B1204)))</f>
        <v/>
      </c>
      <c r="I1204" s="5" t="n">
        <f aca="false">IF(H1204="",0,IFERROR(MATCH(H1204,GL!$A:$A,0),0))</f>
        <v>0</v>
      </c>
      <c r="J1204" s="32" t="str">
        <f aca="false">IF(I1204=0,"",INDEX(GL!$B:$B,I1204))</f>
        <v/>
      </c>
      <c r="K1204" s="5" t="str">
        <f aca="false">IF(I1204=0,"",IF(INDEX(GL!$C:$C,I1204)="","",INDEX(GL!$C:$C,I1204)))</f>
        <v/>
      </c>
      <c r="L1204" s="19" t="str">
        <f aca="false">IF(I1204=0,"",INDEX(GL!$E:$E,I1204))</f>
        <v/>
      </c>
      <c r="M1204" s="19" t="str">
        <f aca="false">IF(OR(B1204=0,I1204=0),"",ROUND(G1204-L1204,2))</f>
        <v/>
      </c>
      <c r="N1204" s="5" t="str">
        <f aca="false">IF(A1204="","",IF(B1204=0,"NOT FOUND: bank ID",IF(I1204=0,"NOT FOUND: GL ID",IF(INDEX(GL!$H:$H,I1204)&lt;&gt;A1204,"BROKEN: GL points elsewhere",IF(OR(INDEX(Bank!$F:$F,B1204)&lt;&gt;"Y",INDEX(GL!$F:$F,I1204)&lt;&gt;"Y"),"BROKEN: Status not Y","OK")))))</f>
        <v/>
      </c>
    </row>
    <row r="1205" customFormat="false" ht="15" hidden="false" customHeight="false" outlineLevel="0" collapsed="false">
      <c r="A1205" s="41"/>
      <c r="B1205" s="5" t="n">
        <f aca="false">IF(A1205="",0,IFERROR(MATCH(A1205,Bank!$A:$A,0),0))</f>
        <v>0</v>
      </c>
      <c r="C1205" s="5" t="str">
        <f aca="false">IF(B1205=0,"",IF(INDEX(Bank!$G:$G,B1205)="","",INDEX(Bank!$G:$G,B1205)))</f>
        <v/>
      </c>
      <c r="D1205" s="5" t="str">
        <f aca="false">IF(B1205=0,"",IF(INDEX(Bank!$J:$J,B1205)="","",INDEX(Bank!$J:$J,B1205)))</f>
        <v/>
      </c>
      <c r="E1205" s="32" t="str">
        <f aca="false">IF(B1205=0,"",INDEX(Bank!$B:$B,B1205))</f>
        <v/>
      </c>
      <c r="F1205" s="5" t="str">
        <f aca="false">IF(B1205=0,"",IF(INDEX(Bank!$C:$C,B1205)="","",INDEX(Bank!$C:$C,B1205)))</f>
        <v/>
      </c>
      <c r="G1205" s="19" t="str">
        <f aca="false">IF(B1205=0,"",INDEX(Bank!$E:$E,B1205))</f>
        <v/>
      </c>
      <c r="H1205" s="5" t="str">
        <f aca="false">IF(B1205=0,"",IF(INDEX(Bank!$H:$H,B1205)="","",INDEX(Bank!$H:$H,B1205)))</f>
        <v/>
      </c>
      <c r="I1205" s="5" t="n">
        <f aca="false">IF(H1205="",0,IFERROR(MATCH(H1205,GL!$A:$A,0),0))</f>
        <v>0</v>
      </c>
      <c r="J1205" s="32" t="str">
        <f aca="false">IF(I1205=0,"",INDEX(GL!$B:$B,I1205))</f>
        <v/>
      </c>
      <c r="K1205" s="5" t="str">
        <f aca="false">IF(I1205=0,"",IF(INDEX(GL!$C:$C,I1205)="","",INDEX(GL!$C:$C,I1205)))</f>
        <v/>
      </c>
      <c r="L1205" s="19" t="str">
        <f aca="false">IF(I1205=0,"",INDEX(GL!$E:$E,I1205))</f>
        <v/>
      </c>
      <c r="M1205" s="19" t="str">
        <f aca="false">IF(OR(B1205=0,I1205=0),"",ROUND(G1205-L1205,2))</f>
        <v/>
      </c>
      <c r="N1205" s="5" t="str">
        <f aca="false">IF(A1205="","",IF(B1205=0,"NOT FOUND: bank ID",IF(I1205=0,"NOT FOUND: GL ID",IF(INDEX(GL!$H:$H,I1205)&lt;&gt;A1205,"BROKEN: GL points elsewhere",IF(OR(INDEX(Bank!$F:$F,B1205)&lt;&gt;"Y",INDEX(GL!$F:$F,I1205)&lt;&gt;"Y"),"BROKEN: Status not Y","OK")))))</f>
        <v/>
      </c>
    </row>
    <row r="1206" customFormat="false" ht="15" hidden="false" customHeight="false" outlineLevel="0" collapsed="false">
      <c r="A1206" s="41"/>
      <c r="B1206" s="5" t="n">
        <f aca="false">IF(A1206="",0,IFERROR(MATCH(A1206,Bank!$A:$A,0),0))</f>
        <v>0</v>
      </c>
      <c r="C1206" s="5" t="str">
        <f aca="false">IF(B1206=0,"",IF(INDEX(Bank!$G:$G,B1206)="","",INDEX(Bank!$G:$G,B1206)))</f>
        <v/>
      </c>
      <c r="D1206" s="5" t="str">
        <f aca="false">IF(B1206=0,"",IF(INDEX(Bank!$J:$J,B1206)="","",INDEX(Bank!$J:$J,B1206)))</f>
        <v/>
      </c>
      <c r="E1206" s="32" t="str">
        <f aca="false">IF(B1206=0,"",INDEX(Bank!$B:$B,B1206))</f>
        <v/>
      </c>
      <c r="F1206" s="5" t="str">
        <f aca="false">IF(B1206=0,"",IF(INDEX(Bank!$C:$C,B1206)="","",INDEX(Bank!$C:$C,B1206)))</f>
        <v/>
      </c>
      <c r="G1206" s="19" t="str">
        <f aca="false">IF(B1206=0,"",INDEX(Bank!$E:$E,B1206))</f>
        <v/>
      </c>
      <c r="H1206" s="5" t="str">
        <f aca="false">IF(B1206=0,"",IF(INDEX(Bank!$H:$H,B1206)="","",INDEX(Bank!$H:$H,B1206)))</f>
        <v/>
      </c>
      <c r="I1206" s="5" t="n">
        <f aca="false">IF(H1206="",0,IFERROR(MATCH(H1206,GL!$A:$A,0),0))</f>
        <v>0</v>
      </c>
      <c r="J1206" s="32" t="str">
        <f aca="false">IF(I1206=0,"",INDEX(GL!$B:$B,I1206))</f>
        <v/>
      </c>
      <c r="K1206" s="5" t="str">
        <f aca="false">IF(I1206=0,"",IF(INDEX(GL!$C:$C,I1206)="","",INDEX(GL!$C:$C,I1206)))</f>
        <v/>
      </c>
      <c r="L1206" s="19" t="str">
        <f aca="false">IF(I1206=0,"",INDEX(GL!$E:$E,I1206))</f>
        <v/>
      </c>
      <c r="M1206" s="19" t="str">
        <f aca="false">IF(OR(B1206=0,I1206=0),"",ROUND(G1206-L1206,2))</f>
        <v/>
      </c>
      <c r="N1206" s="5" t="str">
        <f aca="false">IF(A1206="","",IF(B1206=0,"NOT FOUND: bank ID",IF(I1206=0,"NOT FOUND: GL ID",IF(INDEX(GL!$H:$H,I1206)&lt;&gt;A1206,"BROKEN: GL points elsewhere",IF(OR(INDEX(Bank!$F:$F,B1206)&lt;&gt;"Y",INDEX(GL!$F:$F,I1206)&lt;&gt;"Y"),"BROKEN: Status not Y","OK")))))</f>
        <v/>
      </c>
    </row>
    <row r="1207" customFormat="false" ht="15" hidden="false" customHeight="false" outlineLevel="0" collapsed="false">
      <c r="A1207" s="41"/>
      <c r="B1207" s="5" t="n">
        <f aca="false">IF(A1207="",0,IFERROR(MATCH(A1207,Bank!$A:$A,0),0))</f>
        <v>0</v>
      </c>
      <c r="C1207" s="5" t="str">
        <f aca="false">IF(B1207=0,"",IF(INDEX(Bank!$G:$G,B1207)="","",INDEX(Bank!$G:$G,B1207)))</f>
        <v/>
      </c>
      <c r="D1207" s="5" t="str">
        <f aca="false">IF(B1207=0,"",IF(INDEX(Bank!$J:$J,B1207)="","",INDEX(Bank!$J:$J,B1207)))</f>
        <v/>
      </c>
      <c r="E1207" s="32" t="str">
        <f aca="false">IF(B1207=0,"",INDEX(Bank!$B:$B,B1207))</f>
        <v/>
      </c>
      <c r="F1207" s="5" t="str">
        <f aca="false">IF(B1207=0,"",IF(INDEX(Bank!$C:$C,B1207)="","",INDEX(Bank!$C:$C,B1207)))</f>
        <v/>
      </c>
      <c r="G1207" s="19" t="str">
        <f aca="false">IF(B1207=0,"",INDEX(Bank!$E:$E,B1207))</f>
        <v/>
      </c>
      <c r="H1207" s="5" t="str">
        <f aca="false">IF(B1207=0,"",IF(INDEX(Bank!$H:$H,B1207)="","",INDEX(Bank!$H:$H,B1207)))</f>
        <v/>
      </c>
      <c r="I1207" s="5" t="n">
        <f aca="false">IF(H1207="",0,IFERROR(MATCH(H1207,GL!$A:$A,0),0))</f>
        <v>0</v>
      </c>
      <c r="J1207" s="32" t="str">
        <f aca="false">IF(I1207=0,"",INDEX(GL!$B:$B,I1207))</f>
        <v/>
      </c>
      <c r="K1207" s="5" t="str">
        <f aca="false">IF(I1207=0,"",IF(INDEX(GL!$C:$C,I1207)="","",INDEX(GL!$C:$C,I1207)))</f>
        <v/>
      </c>
      <c r="L1207" s="19" t="str">
        <f aca="false">IF(I1207=0,"",INDEX(GL!$E:$E,I1207))</f>
        <v/>
      </c>
      <c r="M1207" s="19" t="str">
        <f aca="false">IF(OR(B1207=0,I1207=0),"",ROUND(G1207-L1207,2))</f>
        <v/>
      </c>
      <c r="N1207" s="5" t="str">
        <f aca="false">IF(A1207="","",IF(B1207=0,"NOT FOUND: bank ID",IF(I1207=0,"NOT FOUND: GL ID",IF(INDEX(GL!$H:$H,I1207)&lt;&gt;A1207,"BROKEN: GL points elsewhere",IF(OR(INDEX(Bank!$F:$F,B1207)&lt;&gt;"Y",INDEX(GL!$F:$F,I1207)&lt;&gt;"Y"),"BROKEN: Status not Y","OK")))))</f>
        <v/>
      </c>
    </row>
    <row r="1208" customFormat="false" ht="15" hidden="false" customHeight="false" outlineLevel="0" collapsed="false">
      <c r="A1208" s="41"/>
      <c r="B1208" s="5" t="n">
        <f aca="false">IF(A1208="",0,IFERROR(MATCH(A1208,Bank!$A:$A,0),0))</f>
        <v>0</v>
      </c>
      <c r="C1208" s="5" t="str">
        <f aca="false">IF(B1208=0,"",IF(INDEX(Bank!$G:$G,B1208)="","",INDEX(Bank!$G:$G,B1208)))</f>
        <v/>
      </c>
      <c r="D1208" s="5" t="str">
        <f aca="false">IF(B1208=0,"",IF(INDEX(Bank!$J:$J,B1208)="","",INDEX(Bank!$J:$J,B1208)))</f>
        <v/>
      </c>
      <c r="E1208" s="32" t="str">
        <f aca="false">IF(B1208=0,"",INDEX(Bank!$B:$B,B1208))</f>
        <v/>
      </c>
      <c r="F1208" s="5" t="str">
        <f aca="false">IF(B1208=0,"",IF(INDEX(Bank!$C:$C,B1208)="","",INDEX(Bank!$C:$C,B1208)))</f>
        <v/>
      </c>
      <c r="G1208" s="19" t="str">
        <f aca="false">IF(B1208=0,"",INDEX(Bank!$E:$E,B1208))</f>
        <v/>
      </c>
      <c r="H1208" s="5" t="str">
        <f aca="false">IF(B1208=0,"",IF(INDEX(Bank!$H:$H,B1208)="","",INDEX(Bank!$H:$H,B1208)))</f>
        <v/>
      </c>
      <c r="I1208" s="5" t="n">
        <f aca="false">IF(H1208="",0,IFERROR(MATCH(H1208,GL!$A:$A,0),0))</f>
        <v>0</v>
      </c>
      <c r="J1208" s="32" t="str">
        <f aca="false">IF(I1208=0,"",INDEX(GL!$B:$B,I1208))</f>
        <v/>
      </c>
      <c r="K1208" s="5" t="str">
        <f aca="false">IF(I1208=0,"",IF(INDEX(GL!$C:$C,I1208)="","",INDEX(GL!$C:$C,I1208)))</f>
        <v/>
      </c>
      <c r="L1208" s="19" t="str">
        <f aca="false">IF(I1208=0,"",INDEX(GL!$E:$E,I1208))</f>
        <v/>
      </c>
      <c r="M1208" s="19" t="str">
        <f aca="false">IF(OR(B1208=0,I1208=0),"",ROUND(G1208-L1208,2))</f>
        <v/>
      </c>
      <c r="N1208" s="5" t="str">
        <f aca="false">IF(A1208="","",IF(B1208=0,"NOT FOUND: bank ID",IF(I1208=0,"NOT FOUND: GL ID",IF(INDEX(GL!$H:$H,I1208)&lt;&gt;A1208,"BROKEN: GL points elsewhere",IF(OR(INDEX(Bank!$F:$F,B1208)&lt;&gt;"Y",INDEX(GL!$F:$F,I1208)&lt;&gt;"Y"),"BROKEN: Status not Y","OK")))))</f>
        <v/>
      </c>
    </row>
    <row r="1209" customFormat="false" ht="15" hidden="false" customHeight="false" outlineLevel="0" collapsed="false">
      <c r="A1209" s="41"/>
      <c r="B1209" s="5" t="n">
        <f aca="false">IF(A1209="",0,IFERROR(MATCH(A1209,Bank!$A:$A,0),0))</f>
        <v>0</v>
      </c>
      <c r="C1209" s="5" t="str">
        <f aca="false">IF(B1209=0,"",IF(INDEX(Bank!$G:$G,B1209)="","",INDEX(Bank!$G:$G,B1209)))</f>
        <v/>
      </c>
      <c r="D1209" s="5" t="str">
        <f aca="false">IF(B1209=0,"",IF(INDEX(Bank!$J:$J,B1209)="","",INDEX(Bank!$J:$J,B1209)))</f>
        <v/>
      </c>
      <c r="E1209" s="32" t="str">
        <f aca="false">IF(B1209=0,"",INDEX(Bank!$B:$B,B1209))</f>
        <v/>
      </c>
      <c r="F1209" s="5" t="str">
        <f aca="false">IF(B1209=0,"",IF(INDEX(Bank!$C:$C,B1209)="","",INDEX(Bank!$C:$C,B1209)))</f>
        <v/>
      </c>
      <c r="G1209" s="19" t="str">
        <f aca="false">IF(B1209=0,"",INDEX(Bank!$E:$E,B1209))</f>
        <v/>
      </c>
      <c r="H1209" s="5" t="str">
        <f aca="false">IF(B1209=0,"",IF(INDEX(Bank!$H:$H,B1209)="","",INDEX(Bank!$H:$H,B1209)))</f>
        <v/>
      </c>
      <c r="I1209" s="5" t="n">
        <f aca="false">IF(H1209="",0,IFERROR(MATCH(H1209,GL!$A:$A,0),0))</f>
        <v>0</v>
      </c>
      <c r="J1209" s="32" t="str">
        <f aca="false">IF(I1209=0,"",INDEX(GL!$B:$B,I1209))</f>
        <v/>
      </c>
      <c r="K1209" s="5" t="str">
        <f aca="false">IF(I1209=0,"",IF(INDEX(GL!$C:$C,I1209)="","",INDEX(GL!$C:$C,I1209)))</f>
        <v/>
      </c>
      <c r="L1209" s="19" t="str">
        <f aca="false">IF(I1209=0,"",INDEX(GL!$E:$E,I1209))</f>
        <v/>
      </c>
      <c r="M1209" s="19" t="str">
        <f aca="false">IF(OR(B1209=0,I1209=0),"",ROUND(G1209-L1209,2))</f>
        <v/>
      </c>
      <c r="N1209" s="5" t="str">
        <f aca="false">IF(A1209="","",IF(B1209=0,"NOT FOUND: bank ID",IF(I1209=0,"NOT FOUND: GL ID",IF(INDEX(GL!$H:$H,I1209)&lt;&gt;A1209,"BROKEN: GL points elsewhere",IF(OR(INDEX(Bank!$F:$F,B1209)&lt;&gt;"Y",INDEX(GL!$F:$F,I1209)&lt;&gt;"Y"),"BROKEN: Status not Y","OK")))))</f>
        <v/>
      </c>
    </row>
    <row r="1210" customFormat="false" ht="15" hidden="false" customHeight="false" outlineLevel="0" collapsed="false">
      <c r="A1210" s="41"/>
      <c r="B1210" s="5" t="n">
        <f aca="false">IF(A1210="",0,IFERROR(MATCH(A1210,Bank!$A:$A,0),0))</f>
        <v>0</v>
      </c>
      <c r="C1210" s="5" t="str">
        <f aca="false">IF(B1210=0,"",IF(INDEX(Bank!$G:$G,B1210)="","",INDEX(Bank!$G:$G,B1210)))</f>
        <v/>
      </c>
      <c r="D1210" s="5" t="str">
        <f aca="false">IF(B1210=0,"",IF(INDEX(Bank!$J:$J,B1210)="","",INDEX(Bank!$J:$J,B1210)))</f>
        <v/>
      </c>
      <c r="E1210" s="32" t="str">
        <f aca="false">IF(B1210=0,"",INDEX(Bank!$B:$B,B1210))</f>
        <v/>
      </c>
      <c r="F1210" s="5" t="str">
        <f aca="false">IF(B1210=0,"",IF(INDEX(Bank!$C:$C,B1210)="","",INDEX(Bank!$C:$C,B1210)))</f>
        <v/>
      </c>
      <c r="G1210" s="19" t="str">
        <f aca="false">IF(B1210=0,"",INDEX(Bank!$E:$E,B1210))</f>
        <v/>
      </c>
      <c r="H1210" s="5" t="str">
        <f aca="false">IF(B1210=0,"",IF(INDEX(Bank!$H:$H,B1210)="","",INDEX(Bank!$H:$H,B1210)))</f>
        <v/>
      </c>
      <c r="I1210" s="5" t="n">
        <f aca="false">IF(H1210="",0,IFERROR(MATCH(H1210,GL!$A:$A,0),0))</f>
        <v>0</v>
      </c>
      <c r="J1210" s="32" t="str">
        <f aca="false">IF(I1210=0,"",INDEX(GL!$B:$B,I1210))</f>
        <v/>
      </c>
      <c r="K1210" s="5" t="str">
        <f aca="false">IF(I1210=0,"",IF(INDEX(GL!$C:$C,I1210)="","",INDEX(GL!$C:$C,I1210)))</f>
        <v/>
      </c>
      <c r="L1210" s="19" t="str">
        <f aca="false">IF(I1210=0,"",INDEX(GL!$E:$E,I1210))</f>
        <v/>
      </c>
      <c r="M1210" s="19" t="str">
        <f aca="false">IF(OR(B1210=0,I1210=0),"",ROUND(G1210-L1210,2))</f>
        <v/>
      </c>
      <c r="N1210" s="5" t="str">
        <f aca="false">IF(A1210="","",IF(B1210=0,"NOT FOUND: bank ID",IF(I1210=0,"NOT FOUND: GL ID",IF(INDEX(GL!$H:$H,I1210)&lt;&gt;A1210,"BROKEN: GL points elsewhere",IF(OR(INDEX(Bank!$F:$F,B1210)&lt;&gt;"Y",INDEX(GL!$F:$F,I1210)&lt;&gt;"Y"),"BROKEN: Status not Y","OK")))))</f>
        <v/>
      </c>
    </row>
    <row r="1211" customFormat="false" ht="15" hidden="false" customHeight="false" outlineLevel="0" collapsed="false">
      <c r="A1211" s="41"/>
      <c r="B1211" s="5" t="n">
        <f aca="false">IF(A1211="",0,IFERROR(MATCH(A1211,Bank!$A:$A,0),0))</f>
        <v>0</v>
      </c>
      <c r="C1211" s="5" t="str">
        <f aca="false">IF(B1211=0,"",IF(INDEX(Bank!$G:$G,B1211)="","",INDEX(Bank!$G:$G,B1211)))</f>
        <v/>
      </c>
      <c r="D1211" s="5" t="str">
        <f aca="false">IF(B1211=0,"",IF(INDEX(Bank!$J:$J,B1211)="","",INDEX(Bank!$J:$J,B1211)))</f>
        <v/>
      </c>
      <c r="E1211" s="32" t="str">
        <f aca="false">IF(B1211=0,"",INDEX(Bank!$B:$B,B1211))</f>
        <v/>
      </c>
      <c r="F1211" s="5" t="str">
        <f aca="false">IF(B1211=0,"",IF(INDEX(Bank!$C:$C,B1211)="","",INDEX(Bank!$C:$C,B1211)))</f>
        <v/>
      </c>
      <c r="G1211" s="19" t="str">
        <f aca="false">IF(B1211=0,"",INDEX(Bank!$E:$E,B1211))</f>
        <v/>
      </c>
      <c r="H1211" s="5" t="str">
        <f aca="false">IF(B1211=0,"",IF(INDEX(Bank!$H:$H,B1211)="","",INDEX(Bank!$H:$H,B1211)))</f>
        <v/>
      </c>
      <c r="I1211" s="5" t="n">
        <f aca="false">IF(H1211="",0,IFERROR(MATCH(H1211,GL!$A:$A,0),0))</f>
        <v>0</v>
      </c>
      <c r="J1211" s="32" t="str">
        <f aca="false">IF(I1211=0,"",INDEX(GL!$B:$B,I1211))</f>
        <v/>
      </c>
      <c r="K1211" s="5" t="str">
        <f aca="false">IF(I1211=0,"",IF(INDEX(GL!$C:$C,I1211)="","",INDEX(GL!$C:$C,I1211)))</f>
        <v/>
      </c>
      <c r="L1211" s="19" t="str">
        <f aca="false">IF(I1211=0,"",INDEX(GL!$E:$E,I1211))</f>
        <v/>
      </c>
      <c r="M1211" s="19" t="str">
        <f aca="false">IF(OR(B1211=0,I1211=0),"",ROUND(G1211-L1211,2))</f>
        <v/>
      </c>
      <c r="N1211" s="5" t="str">
        <f aca="false">IF(A1211="","",IF(B1211=0,"NOT FOUND: bank ID",IF(I1211=0,"NOT FOUND: GL ID",IF(INDEX(GL!$H:$H,I1211)&lt;&gt;A1211,"BROKEN: GL points elsewhere",IF(OR(INDEX(Bank!$F:$F,B1211)&lt;&gt;"Y",INDEX(GL!$F:$F,I1211)&lt;&gt;"Y"),"BROKEN: Status not Y","OK")))))</f>
        <v/>
      </c>
    </row>
    <row r="1212" customFormat="false" ht="15" hidden="false" customHeight="false" outlineLevel="0" collapsed="false">
      <c r="A1212" s="41"/>
      <c r="B1212" s="5" t="n">
        <f aca="false">IF(A1212="",0,IFERROR(MATCH(A1212,Bank!$A:$A,0),0))</f>
        <v>0</v>
      </c>
      <c r="C1212" s="5" t="str">
        <f aca="false">IF(B1212=0,"",IF(INDEX(Bank!$G:$G,B1212)="","",INDEX(Bank!$G:$G,B1212)))</f>
        <v/>
      </c>
      <c r="D1212" s="5" t="str">
        <f aca="false">IF(B1212=0,"",IF(INDEX(Bank!$J:$J,B1212)="","",INDEX(Bank!$J:$J,B1212)))</f>
        <v/>
      </c>
      <c r="E1212" s="32" t="str">
        <f aca="false">IF(B1212=0,"",INDEX(Bank!$B:$B,B1212))</f>
        <v/>
      </c>
      <c r="F1212" s="5" t="str">
        <f aca="false">IF(B1212=0,"",IF(INDEX(Bank!$C:$C,B1212)="","",INDEX(Bank!$C:$C,B1212)))</f>
        <v/>
      </c>
      <c r="G1212" s="19" t="str">
        <f aca="false">IF(B1212=0,"",INDEX(Bank!$E:$E,B1212))</f>
        <v/>
      </c>
      <c r="H1212" s="5" t="str">
        <f aca="false">IF(B1212=0,"",IF(INDEX(Bank!$H:$H,B1212)="","",INDEX(Bank!$H:$H,B1212)))</f>
        <v/>
      </c>
      <c r="I1212" s="5" t="n">
        <f aca="false">IF(H1212="",0,IFERROR(MATCH(H1212,GL!$A:$A,0),0))</f>
        <v>0</v>
      </c>
      <c r="J1212" s="32" t="str">
        <f aca="false">IF(I1212=0,"",INDEX(GL!$B:$B,I1212))</f>
        <v/>
      </c>
      <c r="K1212" s="5" t="str">
        <f aca="false">IF(I1212=0,"",IF(INDEX(GL!$C:$C,I1212)="","",INDEX(GL!$C:$C,I1212)))</f>
        <v/>
      </c>
      <c r="L1212" s="19" t="str">
        <f aca="false">IF(I1212=0,"",INDEX(GL!$E:$E,I1212))</f>
        <v/>
      </c>
      <c r="M1212" s="19" t="str">
        <f aca="false">IF(OR(B1212=0,I1212=0),"",ROUND(G1212-L1212,2))</f>
        <v/>
      </c>
      <c r="N1212" s="5" t="str">
        <f aca="false">IF(A1212="","",IF(B1212=0,"NOT FOUND: bank ID",IF(I1212=0,"NOT FOUND: GL ID",IF(INDEX(GL!$H:$H,I1212)&lt;&gt;A1212,"BROKEN: GL points elsewhere",IF(OR(INDEX(Bank!$F:$F,B1212)&lt;&gt;"Y",INDEX(GL!$F:$F,I1212)&lt;&gt;"Y"),"BROKEN: Status not Y","OK")))))</f>
        <v/>
      </c>
    </row>
    <row r="1213" customFormat="false" ht="15" hidden="false" customHeight="false" outlineLevel="0" collapsed="false">
      <c r="A1213" s="41"/>
      <c r="B1213" s="5" t="n">
        <f aca="false">IF(A1213="",0,IFERROR(MATCH(A1213,Bank!$A:$A,0),0))</f>
        <v>0</v>
      </c>
      <c r="C1213" s="5" t="str">
        <f aca="false">IF(B1213=0,"",IF(INDEX(Bank!$G:$G,B1213)="","",INDEX(Bank!$G:$G,B1213)))</f>
        <v/>
      </c>
      <c r="D1213" s="5" t="str">
        <f aca="false">IF(B1213=0,"",IF(INDEX(Bank!$J:$J,B1213)="","",INDEX(Bank!$J:$J,B1213)))</f>
        <v/>
      </c>
      <c r="E1213" s="32" t="str">
        <f aca="false">IF(B1213=0,"",INDEX(Bank!$B:$B,B1213))</f>
        <v/>
      </c>
      <c r="F1213" s="5" t="str">
        <f aca="false">IF(B1213=0,"",IF(INDEX(Bank!$C:$C,B1213)="","",INDEX(Bank!$C:$C,B1213)))</f>
        <v/>
      </c>
      <c r="G1213" s="19" t="str">
        <f aca="false">IF(B1213=0,"",INDEX(Bank!$E:$E,B1213))</f>
        <v/>
      </c>
      <c r="H1213" s="5" t="str">
        <f aca="false">IF(B1213=0,"",IF(INDEX(Bank!$H:$H,B1213)="","",INDEX(Bank!$H:$H,B1213)))</f>
        <v/>
      </c>
      <c r="I1213" s="5" t="n">
        <f aca="false">IF(H1213="",0,IFERROR(MATCH(H1213,GL!$A:$A,0),0))</f>
        <v>0</v>
      </c>
      <c r="J1213" s="32" t="str">
        <f aca="false">IF(I1213=0,"",INDEX(GL!$B:$B,I1213))</f>
        <v/>
      </c>
      <c r="K1213" s="5" t="str">
        <f aca="false">IF(I1213=0,"",IF(INDEX(GL!$C:$C,I1213)="","",INDEX(GL!$C:$C,I1213)))</f>
        <v/>
      </c>
      <c r="L1213" s="19" t="str">
        <f aca="false">IF(I1213=0,"",INDEX(GL!$E:$E,I1213))</f>
        <v/>
      </c>
      <c r="M1213" s="19" t="str">
        <f aca="false">IF(OR(B1213=0,I1213=0),"",ROUND(G1213-L1213,2))</f>
        <v/>
      </c>
      <c r="N1213" s="5" t="str">
        <f aca="false">IF(A1213="","",IF(B1213=0,"NOT FOUND: bank ID",IF(I1213=0,"NOT FOUND: GL ID",IF(INDEX(GL!$H:$H,I1213)&lt;&gt;A1213,"BROKEN: GL points elsewhere",IF(OR(INDEX(Bank!$F:$F,B1213)&lt;&gt;"Y",INDEX(GL!$F:$F,I1213)&lt;&gt;"Y"),"BROKEN: Status not Y","OK")))))</f>
        <v/>
      </c>
    </row>
    <row r="1214" customFormat="false" ht="15" hidden="false" customHeight="false" outlineLevel="0" collapsed="false">
      <c r="A1214" s="41"/>
      <c r="B1214" s="5" t="n">
        <f aca="false">IF(A1214="",0,IFERROR(MATCH(A1214,Bank!$A:$A,0),0))</f>
        <v>0</v>
      </c>
      <c r="C1214" s="5" t="str">
        <f aca="false">IF(B1214=0,"",IF(INDEX(Bank!$G:$G,B1214)="","",INDEX(Bank!$G:$G,B1214)))</f>
        <v/>
      </c>
      <c r="D1214" s="5" t="str">
        <f aca="false">IF(B1214=0,"",IF(INDEX(Bank!$J:$J,B1214)="","",INDEX(Bank!$J:$J,B1214)))</f>
        <v/>
      </c>
      <c r="E1214" s="32" t="str">
        <f aca="false">IF(B1214=0,"",INDEX(Bank!$B:$B,B1214))</f>
        <v/>
      </c>
      <c r="F1214" s="5" t="str">
        <f aca="false">IF(B1214=0,"",IF(INDEX(Bank!$C:$C,B1214)="","",INDEX(Bank!$C:$C,B1214)))</f>
        <v/>
      </c>
      <c r="G1214" s="19" t="str">
        <f aca="false">IF(B1214=0,"",INDEX(Bank!$E:$E,B1214))</f>
        <v/>
      </c>
      <c r="H1214" s="5" t="str">
        <f aca="false">IF(B1214=0,"",IF(INDEX(Bank!$H:$H,B1214)="","",INDEX(Bank!$H:$H,B1214)))</f>
        <v/>
      </c>
      <c r="I1214" s="5" t="n">
        <f aca="false">IF(H1214="",0,IFERROR(MATCH(H1214,GL!$A:$A,0),0))</f>
        <v>0</v>
      </c>
      <c r="J1214" s="32" t="str">
        <f aca="false">IF(I1214=0,"",INDEX(GL!$B:$B,I1214))</f>
        <v/>
      </c>
      <c r="K1214" s="5" t="str">
        <f aca="false">IF(I1214=0,"",IF(INDEX(GL!$C:$C,I1214)="","",INDEX(GL!$C:$C,I1214)))</f>
        <v/>
      </c>
      <c r="L1214" s="19" t="str">
        <f aca="false">IF(I1214=0,"",INDEX(GL!$E:$E,I1214))</f>
        <v/>
      </c>
      <c r="M1214" s="19" t="str">
        <f aca="false">IF(OR(B1214=0,I1214=0),"",ROUND(G1214-L1214,2))</f>
        <v/>
      </c>
      <c r="N1214" s="5" t="str">
        <f aca="false">IF(A1214="","",IF(B1214=0,"NOT FOUND: bank ID",IF(I1214=0,"NOT FOUND: GL ID",IF(INDEX(GL!$H:$H,I1214)&lt;&gt;A1214,"BROKEN: GL points elsewhere",IF(OR(INDEX(Bank!$F:$F,B1214)&lt;&gt;"Y",INDEX(GL!$F:$F,I1214)&lt;&gt;"Y"),"BROKEN: Status not Y","OK")))))</f>
        <v/>
      </c>
    </row>
    <row r="1215" customFormat="false" ht="15" hidden="false" customHeight="false" outlineLevel="0" collapsed="false">
      <c r="A1215" s="41"/>
      <c r="B1215" s="5" t="n">
        <f aca="false">IF(A1215="",0,IFERROR(MATCH(A1215,Bank!$A:$A,0),0))</f>
        <v>0</v>
      </c>
      <c r="C1215" s="5" t="str">
        <f aca="false">IF(B1215=0,"",IF(INDEX(Bank!$G:$G,B1215)="","",INDEX(Bank!$G:$G,B1215)))</f>
        <v/>
      </c>
      <c r="D1215" s="5" t="str">
        <f aca="false">IF(B1215=0,"",IF(INDEX(Bank!$J:$J,B1215)="","",INDEX(Bank!$J:$J,B1215)))</f>
        <v/>
      </c>
      <c r="E1215" s="32" t="str">
        <f aca="false">IF(B1215=0,"",INDEX(Bank!$B:$B,B1215))</f>
        <v/>
      </c>
      <c r="F1215" s="5" t="str">
        <f aca="false">IF(B1215=0,"",IF(INDEX(Bank!$C:$C,B1215)="","",INDEX(Bank!$C:$C,B1215)))</f>
        <v/>
      </c>
      <c r="G1215" s="19" t="str">
        <f aca="false">IF(B1215=0,"",INDEX(Bank!$E:$E,B1215))</f>
        <v/>
      </c>
      <c r="H1215" s="5" t="str">
        <f aca="false">IF(B1215=0,"",IF(INDEX(Bank!$H:$H,B1215)="","",INDEX(Bank!$H:$H,B1215)))</f>
        <v/>
      </c>
      <c r="I1215" s="5" t="n">
        <f aca="false">IF(H1215="",0,IFERROR(MATCH(H1215,GL!$A:$A,0),0))</f>
        <v>0</v>
      </c>
      <c r="J1215" s="32" t="str">
        <f aca="false">IF(I1215=0,"",INDEX(GL!$B:$B,I1215))</f>
        <v/>
      </c>
      <c r="K1215" s="5" t="str">
        <f aca="false">IF(I1215=0,"",IF(INDEX(GL!$C:$C,I1215)="","",INDEX(GL!$C:$C,I1215)))</f>
        <v/>
      </c>
      <c r="L1215" s="19" t="str">
        <f aca="false">IF(I1215=0,"",INDEX(GL!$E:$E,I1215))</f>
        <v/>
      </c>
      <c r="M1215" s="19" t="str">
        <f aca="false">IF(OR(B1215=0,I1215=0),"",ROUND(G1215-L1215,2))</f>
        <v/>
      </c>
      <c r="N1215" s="5" t="str">
        <f aca="false">IF(A1215="","",IF(B1215=0,"NOT FOUND: bank ID",IF(I1215=0,"NOT FOUND: GL ID",IF(INDEX(GL!$H:$H,I1215)&lt;&gt;A1215,"BROKEN: GL points elsewhere",IF(OR(INDEX(Bank!$F:$F,B1215)&lt;&gt;"Y",INDEX(GL!$F:$F,I1215)&lt;&gt;"Y"),"BROKEN: Status not Y","OK")))))</f>
        <v/>
      </c>
    </row>
    <row r="1216" customFormat="false" ht="15" hidden="false" customHeight="false" outlineLevel="0" collapsed="false">
      <c r="A1216" s="41"/>
      <c r="B1216" s="5" t="n">
        <f aca="false">IF(A1216="",0,IFERROR(MATCH(A1216,Bank!$A:$A,0),0))</f>
        <v>0</v>
      </c>
      <c r="C1216" s="5" t="str">
        <f aca="false">IF(B1216=0,"",IF(INDEX(Bank!$G:$G,B1216)="","",INDEX(Bank!$G:$G,B1216)))</f>
        <v/>
      </c>
      <c r="D1216" s="5" t="str">
        <f aca="false">IF(B1216=0,"",IF(INDEX(Bank!$J:$J,B1216)="","",INDEX(Bank!$J:$J,B1216)))</f>
        <v/>
      </c>
      <c r="E1216" s="32" t="str">
        <f aca="false">IF(B1216=0,"",INDEX(Bank!$B:$B,B1216))</f>
        <v/>
      </c>
      <c r="F1216" s="5" t="str">
        <f aca="false">IF(B1216=0,"",IF(INDEX(Bank!$C:$C,B1216)="","",INDEX(Bank!$C:$C,B1216)))</f>
        <v/>
      </c>
      <c r="G1216" s="19" t="str">
        <f aca="false">IF(B1216=0,"",INDEX(Bank!$E:$E,B1216))</f>
        <v/>
      </c>
      <c r="H1216" s="5" t="str">
        <f aca="false">IF(B1216=0,"",IF(INDEX(Bank!$H:$H,B1216)="","",INDEX(Bank!$H:$H,B1216)))</f>
        <v/>
      </c>
      <c r="I1216" s="5" t="n">
        <f aca="false">IF(H1216="",0,IFERROR(MATCH(H1216,GL!$A:$A,0),0))</f>
        <v>0</v>
      </c>
      <c r="J1216" s="32" t="str">
        <f aca="false">IF(I1216=0,"",INDEX(GL!$B:$B,I1216))</f>
        <v/>
      </c>
      <c r="K1216" s="5" t="str">
        <f aca="false">IF(I1216=0,"",IF(INDEX(GL!$C:$C,I1216)="","",INDEX(GL!$C:$C,I1216)))</f>
        <v/>
      </c>
      <c r="L1216" s="19" t="str">
        <f aca="false">IF(I1216=0,"",INDEX(GL!$E:$E,I1216))</f>
        <v/>
      </c>
      <c r="M1216" s="19" t="str">
        <f aca="false">IF(OR(B1216=0,I1216=0),"",ROUND(G1216-L1216,2))</f>
        <v/>
      </c>
      <c r="N1216" s="5" t="str">
        <f aca="false">IF(A1216="","",IF(B1216=0,"NOT FOUND: bank ID",IF(I1216=0,"NOT FOUND: GL ID",IF(INDEX(GL!$H:$H,I1216)&lt;&gt;A1216,"BROKEN: GL points elsewhere",IF(OR(INDEX(Bank!$F:$F,B1216)&lt;&gt;"Y",INDEX(GL!$F:$F,I1216)&lt;&gt;"Y"),"BROKEN: Status not Y","OK")))))</f>
        <v/>
      </c>
    </row>
    <row r="1217" customFormat="false" ht="15" hidden="false" customHeight="false" outlineLevel="0" collapsed="false">
      <c r="A1217" s="41"/>
      <c r="B1217" s="5" t="n">
        <f aca="false">IF(A1217="",0,IFERROR(MATCH(A1217,Bank!$A:$A,0),0))</f>
        <v>0</v>
      </c>
      <c r="C1217" s="5" t="str">
        <f aca="false">IF(B1217=0,"",IF(INDEX(Bank!$G:$G,B1217)="","",INDEX(Bank!$G:$G,B1217)))</f>
        <v/>
      </c>
      <c r="D1217" s="5" t="str">
        <f aca="false">IF(B1217=0,"",IF(INDEX(Bank!$J:$J,B1217)="","",INDEX(Bank!$J:$J,B1217)))</f>
        <v/>
      </c>
      <c r="E1217" s="32" t="str">
        <f aca="false">IF(B1217=0,"",INDEX(Bank!$B:$B,B1217))</f>
        <v/>
      </c>
      <c r="F1217" s="5" t="str">
        <f aca="false">IF(B1217=0,"",IF(INDEX(Bank!$C:$C,B1217)="","",INDEX(Bank!$C:$C,B1217)))</f>
        <v/>
      </c>
      <c r="G1217" s="19" t="str">
        <f aca="false">IF(B1217=0,"",INDEX(Bank!$E:$E,B1217))</f>
        <v/>
      </c>
      <c r="H1217" s="5" t="str">
        <f aca="false">IF(B1217=0,"",IF(INDEX(Bank!$H:$H,B1217)="","",INDEX(Bank!$H:$H,B1217)))</f>
        <v/>
      </c>
      <c r="I1217" s="5" t="n">
        <f aca="false">IF(H1217="",0,IFERROR(MATCH(H1217,GL!$A:$A,0),0))</f>
        <v>0</v>
      </c>
      <c r="J1217" s="32" t="str">
        <f aca="false">IF(I1217=0,"",INDEX(GL!$B:$B,I1217))</f>
        <v/>
      </c>
      <c r="K1217" s="5" t="str">
        <f aca="false">IF(I1217=0,"",IF(INDEX(GL!$C:$C,I1217)="","",INDEX(GL!$C:$C,I1217)))</f>
        <v/>
      </c>
      <c r="L1217" s="19" t="str">
        <f aca="false">IF(I1217=0,"",INDEX(GL!$E:$E,I1217))</f>
        <v/>
      </c>
      <c r="M1217" s="19" t="str">
        <f aca="false">IF(OR(B1217=0,I1217=0),"",ROUND(G1217-L1217,2))</f>
        <v/>
      </c>
      <c r="N1217" s="5" t="str">
        <f aca="false">IF(A1217="","",IF(B1217=0,"NOT FOUND: bank ID",IF(I1217=0,"NOT FOUND: GL ID",IF(INDEX(GL!$H:$H,I1217)&lt;&gt;A1217,"BROKEN: GL points elsewhere",IF(OR(INDEX(Bank!$F:$F,B1217)&lt;&gt;"Y",INDEX(GL!$F:$F,I1217)&lt;&gt;"Y"),"BROKEN: Status not Y","OK")))))</f>
        <v/>
      </c>
    </row>
    <row r="1218" customFormat="false" ht="15" hidden="false" customHeight="false" outlineLevel="0" collapsed="false">
      <c r="A1218" s="41"/>
      <c r="B1218" s="5" t="n">
        <f aca="false">IF(A1218="",0,IFERROR(MATCH(A1218,Bank!$A:$A,0),0))</f>
        <v>0</v>
      </c>
      <c r="C1218" s="5" t="str">
        <f aca="false">IF(B1218=0,"",IF(INDEX(Bank!$G:$G,B1218)="","",INDEX(Bank!$G:$G,B1218)))</f>
        <v/>
      </c>
      <c r="D1218" s="5" t="str">
        <f aca="false">IF(B1218=0,"",IF(INDEX(Bank!$J:$J,B1218)="","",INDEX(Bank!$J:$J,B1218)))</f>
        <v/>
      </c>
      <c r="E1218" s="32" t="str">
        <f aca="false">IF(B1218=0,"",INDEX(Bank!$B:$B,B1218))</f>
        <v/>
      </c>
      <c r="F1218" s="5" t="str">
        <f aca="false">IF(B1218=0,"",IF(INDEX(Bank!$C:$C,B1218)="","",INDEX(Bank!$C:$C,B1218)))</f>
        <v/>
      </c>
      <c r="G1218" s="19" t="str">
        <f aca="false">IF(B1218=0,"",INDEX(Bank!$E:$E,B1218))</f>
        <v/>
      </c>
      <c r="H1218" s="5" t="str">
        <f aca="false">IF(B1218=0,"",IF(INDEX(Bank!$H:$H,B1218)="","",INDEX(Bank!$H:$H,B1218)))</f>
        <v/>
      </c>
      <c r="I1218" s="5" t="n">
        <f aca="false">IF(H1218="",0,IFERROR(MATCH(H1218,GL!$A:$A,0),0))</f>
        <v>0</v>
      </c>
      <c r="J1218" s="32" t="str">
        <f aca="false">IF(I1218=0,"",INDEX(GL!$B:$B,I1218))</f>
        <v/>
      </c>
      <c r="K1218" s="5" t="str">
        <f aca="false">IF(I1218=0,"",IF(INDEX(GL!$C:$C,I1218)="","",INDEX(GL!$C:$C,I1218)))</f>
        <v/>
      </c>
      <c r="L1218" s="19" t="str">
        <f aca="false">IF(I1218=0,"",INDEX(GL!$E:$E,I1218))</f>
        <v/>
      </c>
      <c r="M1218" s="19" t="str">
        <f aca="false">IF(OR(B1218=0,I1218=0),"",ROUND(G1218-L1218,2))</f>
        <v/>
      </c>
      <c r="N1218" s="5" t="str">
        <f aca="false">IF(A1218="","",IF(B1218=0,"NOT FOUND: bank ID",IF(I1218=0,"NOT FOUND: GL ID",IF(INDEX(GL!$H:$H,I1218)&lt;&gt;A1218,"BROKEN: GL points elsewhere",IF(OR(INDEX(Bank!$F:$F,B1218)&lt;&gt;"Y",INDEX(GL!$F:$F,I1218)&lt;&gt;"Y"),"BROKEN: Status not Y","OK")))))</f>
        <v/>
      </c>
    </row>
    <row r="1219" customFormat="false" ht="15" hidden="false" customHeight="false" outlineLevel="0" collapsed="false">
      <c r="A1219" s="41"/>
      <c r="B1219" s="5" t="n">
        <f aca="false">IF(A1219="",0,IFERROR(MATCH(A1219,Bank!$A:$A,0),0))</f>
        <v>0</v>
      </c>
      <c r="C1219" s="5" t="str">
        <f aca="false">IF(B1219=0,"",IF(INDEX(Bank!$G:$G,B1219)="","",INDEX(Bank!$G:$G,B1219)))</f>
        <v/>
      </c>
      <c r="D1219" s="5" t="str">
        <f aca="false">IF(B1219=0,"",IF(INDEX(Bank!$J:$J,B1219)="","",INDEX(Bank!$J:$J,B1219)))</f>
        <v/>
      </c>
      <c r="E1219" s="32" t="str">
        <f aca="false">IF(B1219=0,"",INDEX(Bank!$B:$B,B1219))</f>
        <v/>
      </c>
      <c r="F1219" s="5" t="str">
        <f aca="false">IF(B1219=0,"",IF(INDEX(Bank!$C:$C,B1219)="","",INDEX(Bank!$C:$C,B1219)))</f>
        <v/>
      </c>
      <c r="G1219" s="19" t="str">
        <f aca="false">IF(B1219=0,"",INDEX(Bank!$E:$E,B1219))</f>
        <v/>
      </c>
      <c r="H1219" s="5" t="str">
        <f aca="false">IF(B1219=0,"",IF(INDEX(Bank!$H:$H,B1219)="","",INDEX(Bank!$H:$H,B1219)))</f>
        <v/>
      </c>
      <c r="I1219" s="5" t="n">
        <f aca="false">IF(H1219="",0,IFERROR(MATCH(H1219,GL!$A:$A,0),0))</f>
        <v>0</v>
      </c>
      <c r="J1219" s="32" t="str">
        <f aca="false">IF(I1219=0,"",INDEX(GL!$B:$B,I1219))</f>
        <v/>
      </c>
      <c r="K1219" s="5" t="str">
        <f aca="false">IF(I1219=0,"",IF(INDEX(GL!$C:$C,I1219)="","",INDEX(GL!$C:$C,I1219)))</f>
        <v/>
      </c>
      <c r="L1219" s="19" t="str">
        <f aca="false">IF(I1219=0,"",INDEX(GL!$E:$E,I1219))</f>
        <v/>
      </c>
      <c r="M1219" s="19" t="str">
        <f aca="false">IF(OR(B1219=0,I1219=0),"",ROUND(G1219-L1219,2))</f>
        <v/>
      </c>
      <c r="N1219" s="5" t="str">
        <f aca="false">IF(A1219="","",IF(B1219=0,"NOT FOUND: bank ID",IF(I1219=0,"NOT FOUND: GL ID",IF(INDEX(GL!$H:$H,I1219)&lt;&gt;A1219,"BROKEN: GL points elsewhere",IF(OR(INDEX(Bank!$F:$F,B1219)&lt;&gt;"Y",INDEX(GL!$F:$F,I1219)&lt;&gt;"Y"),"BROKEN: Status not Y","OK")))))</f>
        <v/>
      </c>
    </row>
    <row r="1220" customFormat="false" ht="15" hidden="false" customHeight="false" outlineLevel="0" collapsed="false">
      <c r="A1220" s="41"/>
      <c r="B1220" s="5" t="n">
        <f aca="false">IF(A1220="",0,IFERROR(MATCH(A1220,Bank!$A:$A,0),0))</f>
        <v>0</v>
      </c>
      <c r="C1220" s="5" t="str">
        <f aca="false">IF(B1220=0,"",IF(INDEX(Bank!$G:$G,B1220)="","",INDEX(Bank!$G:$G,B1220)))</f>
        <v/>
      </c>
      <c r="D1220" s="5" t="str">
        <f aca="false">IF(B1220=0,"",IF(INDEX(Bank!$J:$J,B1220)="","",INDEX(Bank!$J:$J,B1220)))</f>
        <v/>
      </c>
      <c r="E1220" s="32" t="str">
        <f aca="false">IF(B1220=0,"",INDEX(Bank!$B:$B,B1220))</f>
        <v/>
      </c>
      <c r="F1220" s="5" t="str">
        <f aca="false">IF(B1220=0,"",IF(INDEX(Bank!$C:$C,B1220)="","",INDEX(Bank!$C:$C,B1220)))</f>
        <v/>
      </c>
      <c r="G1220" s="19" t="str">
        <f aca="false">IF(B1220=0,"",INDEX(Bank!$E:$E,B1220))</f>
        <v/>
      </c>
      <c r="H1220" s="5" t="str">
        <f aca="false">IF(B1220=0,"",IF(INDEX(Bank!$H:$H,B1220)="","",INDEX(Bank!$H:$H,B1220)))</f>
        <v/>
      </c>
      <c r="I1220" s="5" t="n">
        <f aca="false">IF(H1220="",0,IFERROR(MATCH(H1220,GL!$A:$A,0),0))</f>
        <v>0</v>
      </c>
      <c r="J1220" s="32" t="str">
        <f aca="false">IF(I1220=0,"",INDEX(GL!$B:$B,I1220))</f>
        <v/>
      </c>
      <c r="K1220" s="5" t="str">
        <f aca="false">IF(I1220=0,"",IF(INDEX(GL!$C:$C,I1220)="","",INDEX(GL!$C:$C,I1220)))</f>
        <v/>
      </c>
      <c r="L1220" s="19" t="str">
        <f aca="false">IF(I1220=0,"",INDEX(GL!$E:$E,I1220))</f>
        <v/>
      </c>
      <c r="M1220" s="19" t="str">
        <f aca="false">IF(OR(B1220=0,I1220=0),"",ROUND(G1220-L1220,2))</f>
        <v/>
      </c>
      <c r="N1220" s="5" t="str">
        <f aca="false">IF(A1220="","",IF(B1220=0,"NOT FOUND: bank ID",IF(I1220=0,"NOT FOUND: GL ID",IF(INDEX(GL!$H:$H,I1220)&lt;&gt;A1220,"BROKEN: GL points elsewhere",IF(OR(INDEX(Bank!$F:$F,B1220)&lt;&gt;"Y",INDEX(GL!$F:$F,I1220)&lt;&gt;"Y"),"BROKEN: Status not Y","OK")))))</f>
        <v/>
      </c>
    </row>
    <row r="1221" customFormat="false" ht="15" hidden="false" customHeight="false" outlineLevel="0" collapsed="false">
      <c r="A1221" s="41"/>
      <c r="B1221" s="5" t="n">
        <f aca="false">IF(A1221="",0,IFERROR(MATCH(A1221,Bank!$A:$A,0),0))</f>
        <v>0</v>
      </c>
      <c r="C1221" s="5" t="str">
        <f aca="false">IF(B1221=0,"",IF(INDEX(Bank!$G:$G,B1221)="","",INDEX(Bank!$G:$G,B1221)))</f>
        <v/>
      </c>
      <c r="D1221" s="5" t="str">
        <f aca="false">IF(B1221=0,"",IF(INDEX(Bank!$J:$J,B1221)="","",INDEX(Bank!$J:$J,B1221)))</f>
        <v/>
      </c>
      <c r="E1221" s="32" t="str">
        <f aca="false">IF(B1221=0,"",INDEX(Bank!$B:$B,B1221))</f>
        <v/>
      </c>
      <c r="F1221" s="5" t="str">
        <f aca="false">IF(B1221=0,"",IF(INDEX(Bank!$C:$C,B1221)="","",INDEX(Bank!$C:$C,B1221)))</f>
        <v/>
      </c>
      <c r="G1221" s="19" t="str">
        <f aca="false">IF(B1221=0,"",INDEX(Bank!$E:$E,B1221))</f>
        <v/>
      </c>
      <c r="H1221" s="5" t="str">
        <f aca="false">IF(B1221=0,"",IF(INDEX(Bank!$H:$H,B1221)="","",INDEX(Bank!$H:$H,B1221)))</f>
        <v/>
      </c>
      <c r="I1221" s="5" t="n">
        <f aca="false">IF(H1221="",0,IFERROR(MATCH(H1221,GL!$A:$A,0),0))</f>
        <v>0</v>
      </c>
      <c r="J1221" s="32" t="str">
        <f aca="false">IF(I1221=0,"",INDEX(GL!$B:$B,I1221))</f>
        <v/>
      </c>
      <c r="K1221" s="5" t="str">
        <f aca="false">IF(I1221=0,"",IF(INDEX(GL!$C:$C,I1221)="","",INDEX(GL!$C:$C,I1221)))</f>
        <v/>
      </c>
      <c r="L1221" s="19" t="str">
        <f aca="false">IF(I1221=0,"",INDEX(GL!$E:$E,I1221))</f>
        <v/>
      </c>
      <c r="M1221" s="19" t="str">
        <f aca="false">IF(OR(B1221=0,I1221=0),"",ROUND(G1221-L1221,2))</f>
        <v/>
      </c>
      <c r="N1221" s="5" t="str">
        <f aca="false">IF(A1221="","",IF(B1221=0,"NOT FOUND: bank ID",IF(I1221=0,"NOT FOUND: GL ID",IF(INDEX(GL!$H:$H,I1221)&lt;&gt;A1221,"BROKEN: GL points elsewhere",IF(OR(INDEX(Bank!$F:$F,B1221)&lt;&gt;"Y",INDEX(GL!$F:$F,I1221)&lt;&gt;"Y"),"BROKEN: Status not Y","OK")))))</f>
        <v/>
      </c>
    </row>
    <row r="1222" customFormat="false" ht="15" hidden="false" customHeight="false" outlineLevel="0" collapsed="false">
      <c r="A1222" s="41"/>
      <c r="B1222" s="5" t="n">
        <f aca="false">IF(A1222="",0,IFERROR(MATCH(A1222,Bank!$A:$A,0),0))</f>
        <v>0</v>
      </c>
      <c r="C1222" s="5" t="str">
        <f aca="false">IF(B1222=0,"",IF(INDEX(Bank!$G:$G,B1222)="","",INDEX(Bank!$G:$G,B1222)))</f>
        <v/>
      </c>
      <c r="D1222" s="5" t="str">
        <f aca="false">IF(B1222=0,"",IF(INDEX(Bank!$J:$J,B1222)="","",INDEX(Bank!$J:$J,B1222)))</f>
        <v/>
      </c>
      <c r="E1222" s="32" t="str">
        <f aca="false">IF(B1222=0,"",INDEX(Bank!$B:$B,B1222))</f>
        <v/>
      </c>
      <c r="F1222" s="5" t="str">
        <f aca="false">IF(B1222=0,"",IF(INDEX(Bank!$C:$C,B1222)="","",INDEX(Bank!$C:$C,B1222)))</f>
        <v/>
      </c>
      <c r="G1222" s="19" t="str">
        <f aca="false">IF(B1222=0,"",INDEX(Bank!$E:$E,B1222))</f>
        <v/>
      </c>
      <c r="H1222" s="5" t="str">
        <f aca="false">IF(B1222=0,"",IF(INDEX(Bank!$H:$H,B1222)="","",INDEX(Bank!$H:$H,B1222)))</f>
        <v/>
      </c>
      <c r="I1222" s="5" t="n">
        <f aca="false">IF(H1222="",0,IFERROR(MATCH(H1222,GL!$A:$A,0),0))</f>
        <v>0</v>
      </c>
      <c r="J1222" s="32" t="str">
        <f aca="false">IF(I1222=0,"",INDEX(GL!$B:$B,I1222))</f>
        <v/>
      </c>
      <c r="K1222" s="5" t="str">
        <f aca="false">IF(I1222=0,"",IF(INDEX(GL!$C:$C,I1222)="","",INDEX(GL!$C:$C,I1222)))</f>
        <v/>
      </c>
      <c r="L1222" s="19" t="str">
        <f aca="false">IF(I1222=0,"",INDEX(GL!$E:$E,I1222))</f>
        <v/>
      </c>
      <c r="M1222" s="19" t="str">
        <f aca="false">IF(OR(B1222=0,I1222=0),"",ROUND(G1222-L1222,2))</f>
        <v/>
      </c>
      <c r="N1222" s="5" t="str">
        <f aca="false">IF(A1222="","",IF(B1222=0,"NOT FOUND: bank ID",IF(I1222=0,"NOT FOUND: GL ID",IF(INDEX(GL!$H:$H,I1222)&lt;&gt;A1222,"BROKEN: GL points elsewhere",IF(OR(INDEX(Bank!$F:$F,B1222)&lt;&gt;"Y",INDEX(GL!$F:$F,I1222)&lt;&gt;"Y"),"BROKEN: Status not Y","OK")))))</f>
        <v/>
      </c>
    </row>
    <row r="1223" customFormat="false" ht="15" hidden="false" customHeight="false" outlineLevel="0" collapsed="false">
      <c r="A1223" s="41"/>
      <c r="B1223" s="5" t="n">
        <f aca="false">IF(A1223="",0,IFERROR(MATCH(A1223,Bank!$A:$A,0),0))</f>
        <v>0</v>
      </c>
      <c r="C1223" s="5" t="str">
        <f aca="false">IF(B1223=0,"",IF(INDEX(Bank!$G:$G,B1223)="","",INDEX(Bank!$G:$G,B1223)))</f>
        <v/>
      </c>
      <c r="D1223" s="5" t="str">
        <f aca="false">IF(B1223=0,"",IF(INDEX(Bank!$J:$J,B1223)="","",INDEX(Bank!$J:$J,B1223)))</f>
        <v/>
      </c>
      <c r="E1223" s="32" t="str">
        <f aca="false">IF(B1223=0,"",INDEX(Bank!$B:$B,B1223))</f>
        <v/>
      </c>
      <c r="F1223" s="5" t="str">
        <f aca="false">IF(B1223=0,"",IF(INDEX(Bank!$C:$C,B1223)="","",INDEX(Bank!$C:$C,B1223)))</f>
        <v/>
      </c>
      <c r="G1223" s="19" t="str">
        <f aca="false">IF(B1223=0,"",INDEX(Bank!$E:$E,B1223))</f>
        <v/>
      </c>
      <c r="H1223" s="5" t="str">
        <f aca="false">IF(B1223=0,"",IF(INDEX(Bank!$H:$H,B1223)="","",INDEX(Bank!$H:$H,B1223)))</f>
        <v/>
      </c>
      <c r="I1223" s="5" t="n">
        <f aca="false">IF(H1223="",0,IFERROR(MATCH(H1223,GL!$A:$A,0),0))</f>
        <v>0</v>
      </c>
      <c r="J1223" s="32" t="str">
        <f aca="false">IF(I1223=0,"",INDEX(GL!$B:$B,I1223))</f>
        <v/>
      </c>
      <c r="K1223" s="5" t="str">
        <f aca="false">IF(I1223=0,"",IF(INDEX(GL!$C:$C,I1223)="","",INDEX(GL!$C:$C,I1223)))</f>
        <v/>
      </c>
      <c r="L1223" s="19" t="str">
        <f aca="false">IF(I1223=0,"",INDEX(GL!$E:$E,I1223))</f>
        <v/>
      </c>
      <c r="M1223" s="19" t="str">
        <f aca="false">IF(OR(B1223=0,I1223=0),"",ROUND(G1223-L1223,2))</f>
        <v/>
      </c>
      <c r="N1223" s="5" t="str">
        <f aca="false">IF(A1223="","",IF(B1223=0,"NOT FOUND: bank ID",IF(I1223=0,"NOT FOUND: GL ID",IF(INDEX(GL!$H:$H,I1223)&lt;&gt;A1223,"BROKEN: GL points elsewhere",IF(OR(INDEX(Bank!$F:$F,B1223)&lt;&gt;"Y",INDEX(GL!$F:$F,I1223)&lt;&gt;"Y"),"BROKEN: Status not Y","OK")))))</f>
        <v/>
      </c>
    </row>
    <row r="1224" customFormat="false" ht="15" hidden="false" customHeight="false" outlineLevel="0" collapsed="false">
      <c r="A1224" s="41"/>
      <c r="B1224" s="5" t="n">
        <f aca="false">IF(A1224="",0,IFERROR(MATCH(A1224,Bank!$A:$A,0),0))</f>
        <v>0</v>
      </c>
      <c r="C1224" s="5" t="str">
        <f aca="false">IF(B1224=0,"",IF(INDEX(Bank!$G:$G,B1224)="","",INDEX(Bank!$G:$G,B1224)))</f>
        <v/>
      </c>
      <c r="D1224" s="5" t="str">
        <f aca="false">IF(B1224=0,"",IF(INDEX(Bank!$J:$J,B1224)="","",INDEX(Bank!$J:$J,B1224)))</f>
        <v/>
      </c>
      <c r="E1224" s="32" t="str">
        <f aca="false">IF(B1224=0,"",INDEX(Bank!$B:$B,B1224))</f>
        <v/>
      </c>
      <c r="F1224" s="5" t="str">
        <f aca="false">IF(B1224=0,"",IF(INDEX(Bank!$C:$C,B1224)="","",INDEX(Bank!$C:$C,B1224)))</f>
        <v/>
      </c>
      <c r="G1224" s="19" t="str">
        <f aca="false">IF(B1224=0,"",INDEX(Bank!$E:$E,B1224))</f>
        <v/>
      </c>
      <c r="H1224" s="5" t="str">
        <f aca="false">IF(B1224=0,"",IF(INDEX(Bank!$H:$H,B1224)="","",INDEX(Bank!$H:$H,B1224)))</f>
        <v/>
      </c>
      <c r="I1224" s="5" t="n">
        <f aca="false">IF(H1224="",0,IFERROR(MATCH(H1224,GL!$A:$A,0),0))</f>
        <v>0</v>
      </c>
      <c r="J1224" s="32" t="str">
        <f aca="false">IF(I1224=0,"",INDEX(GL!$B:$B,I1224))</f>
        <v/>
      </c>
      <c r="K1224" s="5" t="str">
        <f aca="false">IF(I1224=0,"",IF(INDEX(GL!$C:$C,I1224)="","",INDEX(GL!$C:$C,I1224)))</f>
        <v/>
      </c>
      <c r="L1224" s="19" t="str">
        <f aca="false">IF(I1224=0,"",INDEX(GL!$E:$E,I1224))</f>
        <v/>
      </c>
      <c r="M1224" s="19" t="str">
        <f aca="false">IF(OR(B1224=0,I1224=0),"",ROUND(G1224-L1224,2))</f>
        <v/>
      </c>
      <c r="N1224" s="5" t="str">
        <f aca="false">IF(A1224="","",IF(B1224=0,"NOT FOUND: bank ID",IF(I1224=0,"NOT FOUND: GL ID",IF(INDEX(GL!$H:$H,I1224)&lt;&gt;A1224,"BROKEN: GL points elsewhere",IF(OR(INDEX(Bank!$F:$F,B1224)&lt;&gt;"Y",INDEX(GL!$F:$F,I1224)&lt;&gt;"Y"),"BROKEN: Status not Y","OK")))))</f>
        <v/>
      </c>
    </row>
    <row r="1225" customFormat="false" ht="15" hidden="false" customHeight="false" outlineLevel="0" collapsed="false">
      <c r="A1225" s="41"/>
      <c r="B1225" s="5" t="n">
        <f aca="false">IF(A1225="",0,IFERROR(MATCH(A1225,Bank!$A:$A,0),0))</f>
        <v>0</v>
      </c>
      <c r="C1225" s="5" t="str">
        <f aca="false">IF(B1225=0,"",IF(INDEX(Bank!$G:$G,B1225)="","",INDEX(Bank!$G:$G,B1225)))</f>
        <v/>
      </c>
      <c r="D1225" s="5" t="str">
        <f aca="false">IF(B1225=0,"",IF(INDEX(Bank!$J:$J,B1225)="","",INDEX(Bank!$J:$J,B1225)))</f>
        <v/>
      </c>
      <c r="E1225" s="32" t="str">
        <f aca="false">IF(B1225=0,"",INDEX(Bank!$B:$B,B1225))</f>
        <v/>
      </c>
      <c r="F1225" s="5" t="str">
        <f aca="false">IF(B1225=0,"",IF(INDEX(Bank!$C:$C,B1225)="","",INDEX(Bank!$C:$C,B1225)))</f>
        <v/>
      </c>
      <c r="G1225" s="19" t="str">
        <f aca="false">IF(B1225=0,"",INDEX(Bank!$E:$E,B1225))</f>
        <v/>
      </c>
      <c r="H1225" s="5" t="str">
        <f aca="false">IF(B1225=0,"",IF(INDEX(Bank!$H:$H,B1225)="","",INDEX(Bank!$H:$H,B1225)))</f>
        <v/>
      </c>
      <c r="I1225" s="5" t="n">
        <f aca="false">IF(H1225="",0,IFERROR(MATCH(H1225,GL!$A:$A,0),0))</f>
        <v>0</v>
      </c>
      <c r="J1225" s="32" t="str">
        <f aca="false">IF(I1225=0,"",INDEX(GL!$B:$B,I1225))</f>
        <v/>
      </c>
      <c r="K1225" s="5" t="str">
        <f aca="false">IF(I1225=0,"",IF(INDEX(GL!$C:$C,I1225)="","",INDEX(GL!$C:$C,I1225)))</f>
        <v/>
      </c>
      <c r="L1225" s="19" t="str">
        <f aca="false">IF(I1225=0,"",INDEX(GL!$E:$E,I1225))</f>
        <v/>
      </c>
      <c r="M1225" s="19" t="str">
        <f aca="false">IF(OR(B1225=0,I1225=0),"",ROUND(G1225-L1225,2))</f>
        <v/>
      </c>
      <c r="N1225" s="5" t="str">
        <f aca="false">IF(A1225="","",IF(B1225=0,"NOT FOUND: bank ID",IF(I1225=0,"NOT FOUND: GL ID",IF(INDEX(GL!$H:$H,I1225)&lt;&gt;A1225,"BROKEN: GL points elsewhere",IF(OR(INDEX(Bank!$F:$F,B1225)&lt;&gt;"Y",INDEX(GL!$F:$F,I1225)&lt;&gt;"Y"),"BROKEN: Status not Y","OK")))))</f>
        <v/>
      </c>
    </row>
    <row r="1226" customFormat="false" ht="15" hidden="false" customHeight="false" outlineLevel="0" collapsed="false">
      <c r="A1226" s="41"/>
      <c r="B1226" s="5" t="n">
        <f aca="false">IF(A1226="",0,IFERROR(MATCH(A1226,Bank!$A:$A,0),0))</f>
        <v>0</v>
      </c>
      <c r="C1226" s="5" t="str">
        <f aca="false">IF(B1226=0,"",IF(INDEX(Bank!$G:$G,B1226)="","",INDEX(Bank!$G:$G,B1226)))</f>
        <v/>
      </c>
      <c r="D1226" s="5" t="str">
        <f aca="false">IF(B1226=0,"",IF(INDEX(Bank!$J:$J,B1226)="","",INDEX(Bank!$J:$J,B1226)))</f>
        <v/>
      </c>
      <c r="E1226" s="32" t="str">
        <f aca="false">IF(B1226=0,"",INDEX(Bank!$B:$B,B1226))</f>
        <v/>
      </c>
      <c r="F1226" s="5" t="str">
        <f aca="false">IF(B1226=0,"",IF(INDEX(Bank!$C:$C,B1226)="","",INDEX(Bank!$C:$C,B1226)))</f>
        <v/>
      </c>
      <c r="G1226" s="19" t="str">
        <f aca="false">IF(B1226=0,"",INDEX(Bank!$E:$E,B1226))</f>
        <v/>
      </c>
      <c r="H1226" s="5" t="str">
        <f aca="false">IF(B1226=0,"",IF(INDEX(Bank!$H:$H,B1226)="","",INDEX(Bank!$H:$H,B1226)))</f>
        <v/>
      </c>
      <c r="I1226" s="5" t="n">
        <f aca="false">IF(H1226="",0,IFERROR(MATCH(H1226,GL!$A:$A,0),0))</f>
        <v>0</v>
      </c>
      <c r="J1226" s="32" t="str">
        <f aca="false">IF(I1226=0,"",INDEX(GL!$B:$B,I1226))</f>
        <v/>
      </c>
      <c r="K1226" s="5" t="str">
        <f aca="false">IF(I1226=0,"",IF(INDEX(GL!$C:$C,I1226)="","",INDEX(GL!$C:$C,I1226)))</f>
        <v/>
      </c>
      <c r="L1226" s="19" t="str">
        <f aca="false">IF(I1226=0,"",INDEX(GL!$E:$E,I1226))</f>
        <v/>
      </c>
      <c r="M1226" s="19" t="str">
        <f aca="false">IF(OR(B1226=0,I1226=0),"",ROUND(G1226-L1226,2))</f>
        <v/>
      </c>
      <c r="N1226" s="5" t="str">
        <f aca="false">IF(A1226="","",IF(B1226=0,"NOT FOUND: bank ID",IF(I1226=0,"NOT FOUND: GL ID",IF(INDEX(GL!$H:$H,I1226)&lt;&gt;A1226,"BROKEN: GL points elsewhere",IF(OR(INDEX(Bank!$F:$F,B1226)&lt;&gt;"Y",INDEX(GL!$F:$F,I1226)&lt;&gt;"Y"),"BROKEN: Status not Y","OK")))))</f>
        <v/>
      </c>
    </row>
    <row r="1227" customFormat="false" ht="15" hidden="false" customHeight="false" outlineLevel="0" collapsed="false">
      <c r="A1227" s="41"/>
      <c r="B1227" s="5" t="n">
        <f aca="false">IF(A1227="",0,IFERROR(MATCH(A1227,Bank!$A:$A,0),0))</f>
        <v>0</v>
      </c>
      <c r="C1227" s="5" t="str">
        <f aca="false">IF(B1227=0,"",IF(INDEX(Bank!$G:$G,B1227)="","",INDEX(Bank!$G:$G,B1227)))</f>
        <v/>
      </c>
      <c r="D1227" s="5" t="str">
        <f aca="false">IF(B1227=0,"",IF(INDEX(Bank!$J:$J,B1227)="","",INDEX(Bank!$J:$J,B1227)))</f>
        <v/>
      </c>
      <c r="E1227" s="32" t="str">
        <f aca="false">IF(B1227=0,"",INDEX(Bank!$B:$B,B1227))</f>
        <v/>
      </c>
      <c r="F1227" s="5" t="str">
        <f aca="false">IF(B1227=0,"",IF(INDEX(Bank!$C:$C,B1227)="","",INDEX(Bank!$C:$C,B1227)))</f>
        <v/>
      </c>
      <c r="G1227" s="19" t="str">
        <f aca="false">IF(B1227=0,"",INDEX(Bank!$E:$E,B1227))</f>
        <v/>
      </c>
      <c r="H1227" s="5" t="str">
        <f aca="false">IF(B1227=0,"",IF(INDEX(Bank!$H:$H,B1227)="","",INDEX(Bank!$H:$H,B1227)))</f>
        <v/>
      </c>
      <c r="I1227" s="5" t="n">
        <f aca="false">IF(H1227="",0,IFERROR(MATCH(H1227,GL!$A:$A,0),0))</f>
        <v>0</v>
      </c>
      <c r="J1227" s="32" t="str">
        <f aca="false">IF(I1227=0,"",INDEX(GL!$B:$B,I1227))</f>
        <v/>
      </c>
      <c r="K1227" s="5" t="str">
        <f aca="false">IF(I1227=0,"",IF(INDEX(GL!$C:$C,I1227)="","",INDEX(GL!$C:$C,I1227)))</f>
        <v/>
      </c>
      <c r="L1227" s="19" t="str">
        <f aca="false">IF(I1227=0,"",INDEX(GL!$E:$E,I1227))</f>
        <v/>
      </c>
      <c r="M1227" s="19" t="str">
        <f aca="false">IF(OR(B1227=0,I1227=0),"",ROUND(G1227-L1227,2))</f>
        <v/>
      </c>
      <c r="N1227" s="5" t="str">
        <f aca="false">IF(A1227="","",IF(B1227=0,"NOT FOUND: bank ID",IF(I1227=0,"NOT FOUND: GL ID",IF(INDEX(GL!$H:$H,I1227)&lt;&gt;A1227,"BROKEN: GL points elsewhere",IF(OR(INDEX(Bank!$F:$F,B1227)&lt;&gt;"Y",INDEX(GL!$F:$F,I1227)&lt;&gt;"Y"),"BROKEN: Status not Y","OK")))))</f>
        <v/>
      </c>
    </row>
    <row r="1228" customFormat="false" ht="15" hidden="false" customHeight="false" outlineLevel="0" collapsed="false">
      <c r="A1228" s="41"/>
      <c r="B1228" s="5" t="n">
        <f aca="false">IF(A1228="",0,IFERROR(MATCH(A1228,Bank!$A:$A,0),0))</f>
        <v>0</v>
      </c>
      <c r="C1228" s="5" t="str">
        <f aca="false">IF(B1228=0,"",IF(INDEX(Bank!$G:$G,B1228)="","",INDEX(Bank!$G:$G,B1228)))</f>
        <v/>
      </c>
      <c r="D1228" s="5" t="str">
        <f aca="false">IF(B1228=0,"",IF(INDEX(Bank!$J:$J,B1228)="","",INDEX(Bank!$J:$J,B1228)))</f>
        <v/>
      </c>
      <c r="E1228" s="32" t="str">
        <f aca="false">IF(B1228=0,"",INDEX(Bank!$B:$B,B1228))</f>
        <v/>
      </c>
      <c r="F1228" s="5" t="str">
        <f aca="false">IF(B1228=0,"",IF(INDEX(Bank!$C:$C,B1228)="","",INDEX(Bank!$C:$C,B1228)))</f>
        <v/>
      </c>
      <c r="G1228" s="19" t="str">
        <f aca="false">IF(B1228=0,"",INDEX(Bank!$E:$E,B1228))</f>
        <v/>
      </c>
      <c r="H1228" s="5" t="str">
        <f aca="false">IF(B1228=0,"",IF(INDEX(Bank!$H:$H,B1228)="","",INDEX(Bank!$H:$H,B1228)))</f>
        <v/>
      </c>
      <c r="I1228" s="5" t="n">
        <f aca="false">IF(H1228="",0,IFERROR(MATCH(H1228,GL!$A:$A,0),0))</f>
        <v>0</v>
      </c>
      <c r="J1228" s="32" t="str">
        <f aca="false">IF(I1228=0,"",INDEX(GL!$B:$B,I1228))</f>
        <v/>
      </c>
      <c r="K1228" s="5" t="str">
        <f aca="false">IF(I1228=0,"",IF(INDEX(GL!$C:$C,I1228)="","",INDEX(GL!$C:$C,I1228)))</f>
        <v/>
      </c>
      <c r="L1228" s="19" t="str">
        <f aca="false">IF(I1228=0,"",INDEX(GL!$E:$E,I1228))</f>
        <v/>
      </c>
      <c r="M1228" s="19" t="str">
        <f aca="false">IF(OR(B1228=0,I1228=0),"",ROUND(G1228-L1228,2))</f>
        <v/>
      </c>
      <c r="N1228" s="5" t="str">
        <f aca="false">IF(A1228="","",IF(B1228=0,"NOT FOUND: bank ID",IF(I1228=0,"NOT FOUND: GL ID",IF(INDEX(GL!$H:$H,I1228)&lt;&gt;A1228,"BROKEN: GL points elsewhere",IF(OR(INDEX(Bank!$F:$F,B1228)&lt;&gt;"Y",INDEX(GL!$F:$F,I1228)&lt;&gt;"Y"),"BROKEN: Status not Y","OK")))))</f>
        <v/>
      </c>
    </row>
    <row r="1229" customFormat="false" ht="15" hidden="false" customHeight="false" outlineLevel="0" collapsed="false">
      <c r="A1229" s="41"/>
      <c r="B1229" s="5" t="n">
        <f aca="false">IF(A1229="",0,IFERROR(MATCH(A1229,Bank!$A:$A,0),0))</f>
        <v>0</v>
      </c>
      <c r="C1229" s="5" t="str">
        <f aca="false">IF(B1229=0,"",IF(INDEX(Bank!$G:$G,B1229)="","",INDEX(Bank!$G:$G,B1229)))</f>
        <v/>
      </c>
      <c r="D1229" s="5" t="str">
        <f aca="false">IF(B1229=0,"",IF(INDEX(Bank!$J:$J,B1229)="","",INDEX(Bank!$J:$J,B1229)))</f>
        <v/>
      </c>
      <c r="E1229" s="32" t="str">
        <f aca="false">IF(B1229=0,"",INDEX(Bank!$B:$B,B1229))</f>
        <v/>
      </c>
      <c r="F1229" s="5" t="str">
        <f aca="false">IF(B1229=0,"",IF(INDEX(Bank!$C:$C,B1229)="","",INDEX(Bank!$C:$C,B1229)))</f>
        <v/>
      </c>
      <c r="G1229" s="19" t="str">
        <f aca="false">IF(B1229=0,"",INDEX(Bank!$E:$E,B1229))</f>
        <v/>
      </c>
      <c r="H1229" s="5" t="str">
        <f aca="false">IF(B1229=0,"",IF(INDEX(Bank!$H:$H,B1229)="","",INDEX(Bank!$H:$H,B1229)))</f>
        <v/>
      </c>
      <c r="I1229" s="5" t="n">
        <f aca="false">IF(H1229="",0,IFERROR(MATCH(H1229,GL!$A:$A,0),0))</f>
        <v>0</v>
      </c>
      <c r="J1229" s="32" t="str">
        <f aca="false">IF(I1229=0,"",INDEX(GL!$B:$B,I1229))</f>
        <v/>
      </c>
      <c r="K1229" s="5" t="str">
        <f aca="false">IF(I1229=0,"",IF(INDEX(GL!$C:$C,I1229)="","",INDEX(GL!$C:$C,I1229)))</f>
        <v/>
      </c>
      <c r="L1229" s="19" t="str">
        <f aca="false">IF(I1229=0,"",INDEX(GL!$E:$E,I1229))</f>
        <v/>
      </c>
      <c r="M1229" s="19" t="str">
        <f aca="false">IF(OR(B1229=0,I1229=0),"",ROUND(G1229-L1229,2))</f>
        <v/>
      </c>
      <c r="N1229" s="5" t="str">
        <f aca="false">IF(A1229="","",IF(B1229=0,"NOT FOUND: bank ID",IF(I1229=0,"NOT FOUND: GL ID",IF(INDEX(GL!$H:$H,I1229)&lt;&gt;A1229,"BROKEN: GL points elsewhere",IF(OR(INDEX(Bank!$F:$F,B1229)&lt;&gt;"Y",INDEX(GL!$F:$F,I1229)&lt;&gt;"Y"),"BROKEN: Status not Y","OK")))))</f>
        <v/>
      </c>
    </row>
    <row r="1230" customFormat="false" ht="15" hidden="false" customHeight="false" outlineLevel="0" collapsed="false">
      <c r="A1230" s="41"/>
      <c r="B1230" s="5" t="n">
        <f aca="false">IF(A1230="",0,IFERROR(MATCH(A1230,Bank!$A:$A,0),0))</f>
        <v>0</v>
      </c>
      <c r="C1230" s="5" t="str">
        <f aca="false">IF(B1230=0,"",IF(INDEX(Bank!$G:$G,B1230)="","",INDEX(Bank!$G:$G,B1230)))</f>
        <v/>
      </c>
      <c r="D1230" s="5" t="str">
        <f aca="false">IF(B1230=0,"",IF(INDEX(Bank!$J:$J,B1230)="","",INDEX(Bank!$J:$J,B1230)))</f>
        <v/>
      </c>
      <c r="E1230" s="32" t="str">
        <f aca="false">IF(B1230=0,"",INDEX(Bank!$B:$B,B1230))</f>
        <v/>
      </c>
      <c r="F1230" s="5" t="str">
        <f aca="false">IF(B1230=0,"",IF(INDEX(Bank!$C:$C,B1230)="","",INDEX(Bank!$C:$C,B1230)))</f>
        <v/>
      </c>
      <c r="G1230" s="19" t="str">
        <f aca="false">IF(B1230=0,"",INDEX(Bank!$E:$E,B1230))</f>
        <v/>
      </c>
      <c r="H1230" s="5" t="str">
        <f aca="false">IF(B1230=0,"",IF(INDEX(Bank!$H:$H,B1230)="","",INDEX(Bank!$H:$H,B1230)))</f>
        <v/>
      </c>
      <c r="I1230" s="5" t="n">
        <f aca="false">IF(H1230="",0,IFERROR(MATCH(H1230,GL!$A:$A,0),0))</f>
        <v>0</v>
      </c>
      <c r="J1230" s="32" t="str">
        <f aca="false">IF(I1230=0,"",INDEX(GL!$B:$B,I1230))</f>
        <v/>
      </c>
      <c r="K1230" s="5" t="str">
        <f aca="false">IF(I1230=0,"",IF(INDEX(GL!$C:$C,I1230)="","",INDEX(GL!$C:$C,I1230)))</f>
        <v/>
      </c>
      <c r="L1230" s="19" t="str">
        <f aca="false">IF(I1230=0,"",INDEX(GL!$E:$E,I1230))</f>
        <v/>
      </c>
      <c r="M1230" s="19" t="str">
        <f aca="false">IF(OR(B1230=0,I1230=0),"",ROUND(G1230-L1230,2))</f>
        <v/>
      </c>
      <c r="N1230" s="5" t="str">
        <f aca="false">IF(A1230="","",IF(B1230=0,"NOT FOUND: bank ID",IF(I1230=0,"NOT FOUND: GL ID",IF(INDEX(GL!$H:$H,I1230)&lt;&gt;A1230,"BROKEN: GL points elsewhere",IF(OR(INDEX(Bank!$F:$F,B1230)&lt;&gt;"Y",INDEX(GL!$F:$F,I1230)&lt;&gt;"Y"),"BROKEN: Status not Y","OK")))))</f>
        <v/>
      </c>
    </row>
    <row r="1231" customFormat="false" ht="15" hidden="false" customHeight="false" outlineLevel="0" collapsed="false">
      <c r="A1231" s="41"/>
      <c r="B1231" s="5" t="n">
        <f aca="false">IF(A1231="",0,IFERROR(MATCH(A1231,Bank!$A:$A,0),0))</f>
        <v>0</v>
      </c>
      <c r="C1231" s="5" t="str">
        <f aca="false">IF(B1231=0,"",IF(INDEX(Bank!$G:$G,B1231)="","",INDEX(Bank!$G:$G,B1231)))</f>
        <v/>
      </c>
      <c r="D1231" s="5" t="str">
        <f aca="false">IF(B1231=0,"",IF(INDEX(Bank!$J:$J,B1231)="","",INDEX(Bank!$J:$J,B1231)))</f>
        <v/>
      </c>
      <c r="E1231" s="32" t="str">
        <f aca="false">IF(B1231=0,"",INDEX(Bank!$B:$B,B1231))</f>
        <v/>
      </c>
      <c r="F1231" s="5" t="str">
        <f aca="false">IF(B1231=0,"",IF(INDEX(Bank!$C:$C,B1231)="","",INDEX(Bank!$C:$C,B1231)))</f>
        <v/>
      </c>
      <c r="G1231" s="19" t="str">
        <f aca="false">IF(B1231=0,"",INDEX(Bank!$E:$E,B1231))</f>
        <v/>
      </c>
      <c r="H1231" s="5" t="str">
        <f aca="false">IF(B1231=0,"",IF(INDEX(Bank!$H:$H,B1231)="","",INDEX(Bank!$H:$H,B1231)))</f>
        <v/>
      </c>
      <c r="I1231" s="5" t="n">
        <f aca="false">IF(H1231="",0,IFERROR(MATCH(H1231,GL!$A:$A,0),0))</f>
        <v>0</v>
      </c>
      <c r="J1231" s="32" t="str">
        <f aca="false">IF(I1231=0,"",INDEX(GL!$B:$B,I1231))</f>
        <v/>
      </c>
      <c r="K1231" s="5" t="str">
        <f aca="false">IF(I1231=0,"",IF(INDEX(GL!$C:$C,I1231)="","",INDEX(GL!$C:$C,I1231)))</f>
        <v/>
      </c>
      <c r="L1231" s="19" t="str">
        <f aca="false">IF(I1231=0,"",INDEX(GL!$E:$E,I1231))</f>
        <v/>
      </c>
      <c r="M1231" s="19" t="str">
        <f aca="false">IF(OR(B1231=0,I1231=0),"",ROUND(G1231-L1231,2))</f>
        <v/>
      </c>
      <c r="N1231" s="5" t="str">
        <f aca="false">IF(A1231="","",IF(B1231=0,"NOT FOUND: bank ID",IF(I1231=0,"NOT FOUND: GL ID",IF(INDEX(GL!$H:$H,I1231)&lt;&gt;A1231,"BROKEN: GL points elsewhere",IF(OR(INDEX(Bank!$F:$F,B1231)&lt;&gt;"Y",INDEX(GL!$F:$F,I1231)&lt;&gt;"Y"),"BROKEN: Status not Y","OK")))))</f>
        <v/>
      </c>
    </row>
    <row r="1232" customFormat="false" ht="15" hidden="false" customHeight="false" outlineLevel="0" collapsed="false">
      <c r="A1232" s="41"/>
      <c r="B1232" s="5" t="n">
        <f aca="false">IF(A1232="",0,IFERROR(MATCH(A1232,Bank!$A:$A,0),0))</f>
        <v>0</v>
      </c>
      <c r="C1232" s="5" t="str">
        <f aca="false">IF(B1232=0,"",IF(INDEX(Bank!$G:$G,B1232)="","",INDEX(Bank!$G:$G,B1232)))</f>
        <v/>
      </c>
      <c r="D1232" s="5" t="str">
        <f aca="false">IF(B1232=0,"",IF(INDEX(Bank!$J:$J,B1232)="","",INDEX(Bank!$J:$J,B1232)))</f>
        <v/>
      </c>
      <c r="E1232" s="32" t="str">
        <f aca="false">IF(B1232=0,"",INDEX(Bank!$B:$B,B1232))</f>
        <v/>
      </c>
      <c r="F1232" s="5" t="str">
        <f aca="false">IF(B1232=0,"",IF(INDEX(Bank!$C:$C,B1232)="","",INDEX(Bank!$C:$C,B1232)))</f>
        <v/>
      </c>
      <c r="G1232" s="19" t="str">
        <f aca="false">IF(B1232=0,"",INDEX(Bank!$E:$E,B1232))</f>
        <v/>
      </c>
      <c r="H1232" s="5" t="str">
        <f aca="false">IF(B1232=0,"",IF(INDEX(Bank!$H:$H,B1232)="","",INDEX(Bank!$H:$H,B1232)))</f>
        <v/>
      </c>
      <c r="I1232" s="5" t="n">
        <f aca="false">IF(H1232="",0,IFERROR(MATCH(H1232,GL!$A:$A,0),0))</f>
        <v>0</v>
      </c>
      <c r="J1232" s="32" t="str">
        <f aca="false">IF(I1232=0,"",INDEX(GL!$B:$B,I1232))</f>
        <v/>
      </c>
      <c r="K1232" s="5" t="str">
        <f aca="false">IF(I1232=0,"",IF(INDEX(GL!$C:$C,I1232)="","",INDEX(GL!$C:$C,I1232)))</f>
        <v/>
      </c>
      <c r="L1232" s="19" t="str">
        <f aca="false">IF(I1232=0,"",INDEX(GL!$E:$E,I1232))</f>
        <v/>
      </c>
      <c r="M1232" s="19" t="str">
        <f aca="false">IF(OR(B1232=0,I1232=0),"",ROUND(G1232-L1232,2))</f>
        <v/>
      </c>
      <c r="N1232" s="5" t="str">
        <f aca="false">IF(A1232="","",IF(B1232=0,"NOT FOUND: bank ID",IF(I1232=0,"NOT FOUND: GL ID",IF(INDEX(GL!$H:$H,I1232)&lt;&gt;A1232,"BROKEN: GL points elsewhere",IF(OR(INDEX(Bank!$F:$F,B1232)&lt;&gt;"Y",INDEX(GL!$F:$F,I1232)&lt;&gt;"Y"),"BROKEN: Status not Y","OK")))))</f>
        <v/>
      </c>
    </row>
    <row r="1233" customFormat="false" ht="15" hidden="false" customHeight="false" outlineLevel="0" collapsed="false">
      <c r="A1233" s="41"/>
      <c r="B1233" s="5" t="n">
        <f aca="false">IF(A1233="",0,IFERROR(MATCH(A1233,Bank!$A:$A,0),0))</f>
        <v>0</v>
      </c>
      <c r="C1233" s="5" t="str">
        <f aca="false">IF(B1233=0,"",IF(INDEX(Bank!$G:$G,B1233)="","",INDEX(Bank!$G:$G,B1233)))</f>
        <v/>
      </c>
      <c r="D1233" s="5" t="str">
        <f aca="false">IF(B1233=0,"",IF(INDEX(Bank!$J:$J,B1233)="","",INDEX(Bank!$J:$J,B1233)))</f>
        <v/>
      </c>
      <c r="E1233" s="32" t="str">
        <f aca="false">IF(B1233=0,"",INDEX(Bank!$B:$B,B1233))</f>
        <v/>
      </c>
      <c r="F1233" s="5" t="str">
        <f aca="false">IF(B1233=0,"",IF(INDEX(Bank!$C:$C,B1233)="","",INDEX(Bank!$C:$C,B1233)))</f>
        <v/>
      </c>
      <c r="G1233" s="19" t="str">
        <f aca="false">IF(B1233=0,"",INDEX(Bank!$E:$E,B1233))</f>
        <v/>
      </c>
      <c r="H1233" s="5" t="str">
        <f aca="false">IF(B1233=0,"",IF(INDEX(Bank!$H:$H,B1233)="","",INDEX(Bank!$H:$H,B1233)))</f>
        <v/>
      </c>
      <c r="I1233" s="5" t="n">
        <f aca="false">IF(H1233="",0,IFERROR(MATCH(H1233,GL!$A:$A,0),0))</f>
        <v>0</v>
      </c>
      <c r="J1233" s="32" t="str">
        <f aca="false">IF(I1233=0,"",INDEX(GL!$B:$B,I1233))</f>
        <v/>
      </c>
      <c r="K1233" s="5" t="str">
        <f aca="false">IF(I1233=0,"",IF(INDEX(GL!$C:$C,I1233)="","",INDEX(GL!$C:$C,I1233)))</f>
        <v/>
      </c>
      <c r="L1233" s="19" t="str">
        <f aca="false">IF(I1233=0,"",INDEX(GL!$E:$E,I1233))</f>
        <v/>
      </c>
      <c r="M1233" s="19" t="str">
        <f aca="false">IF(OR(B1233=0,I1233=0),"",ROUND(G1233-L1233,2))</f>
        <v/>
      </c>
      <c r="N1233" s="5" t="str">
        <f aca="false">IF(A1233="","",IF(B1233=0,"NOT FOUND: bank ID",IF(I1233=0,"NOT FOUND: GL ID",IF(INDEX(GL!$H:$H,I1233)&lt;&gt;A1233,"BROKEN: GL points elsewhere",IF(OR(INDEX(Bank!$F:$F,B1233)&lt;&gt;"Y",INDEX(GL!$F:$F,I1233)&lt;&gt;"Y"),"BROKEN: Status not Y","OK")))))</f>
        <v/>
      </c>
    </row>
    <row r="1234" customFormat="false" ht="15" hidden="false" customHeight="false" outlineLevel="0" collapsed="false">
      <c r="A1234" s="41"/>
      <c r="B1234" s="5" t="n">
        <f aca="false">IF(A1234="",0,IFERROR(MATCH(A1234,Bank!$A:$A,0),0))</f>
        <v>0</v>
      </c>
      <c r="C1234" s="5" t="str">
        <f aca="false">IF(B1234=0,"",IF(INDEX(Bank!$G:$G,B1234)="","",INDEX(Bank!$G:$G,B1234)))</f>
        <v/>
      </c>
      <c r="D1234" s="5" t="str">
        <f aca="false">IF(B1234=0,"",IF(INDEX(Bank!$J:$J,B1234)="","",INDEX(Bank!$J:$J,B1234)))</f>
        <v/>
      </c>
      <c r="E1234" s="32" t="str">
        <f aca="false">IF(B1234=0,"",INDEX(Bank!$B:$B,B1234))</f>
        <v/>
      </c>
      <c r="F1234" s="5" t="str">
        <f aca="false">IF(B1234=0,"",IF(INDEX(Bank!$C:$C,B1234)="","",INDEX(Bank!$C:$C,B1234)))</f>
        <v/>
      </c>
      <c r="G1234" s="19" t="str">
        <f aca="false">IF(B1234=0,"",INDEX(Bank!$E:$E,B1234))</f>
        <v/>
      </c>
      <c r="H1234" s="5" t="str">
        <f aca="false">IF(B1234=0,"",IF(INDEX(Bank!$H:$H,B1234)="","",INDEX(Bank!$H:$H,B1234)))</f>
        <v/>
      </c>
      <c r="I1234" s="5" t="n">
        <f aca="false">IF(H1234="",0,IFERROR(MATCH(H1234,GL!$A:$A,0),0))</f>
        <v>0</v>
      </c>
      <c r="J1234" s="32" t="str">
        <f aca="false">IF(I1234=0,"",INDEX(GL!$B:$B,I1234))</f>
        <v/>
      </c>
      <c r="K1234" s="5" t="str">
        <f aca="false">IF(I1234=0,"",IF(INDEX(GL!$C:$C,I1234)="","",INDEX(GL!$C:$C,I1234)))</f>
        <v/>
      </c>
      <c r="L1234" s="19" t="str">
        <f aca="false">IF(I1234=0,"",INDEX(GL!$E:$E,I1234))</f>
        <v/>
      </c>
      <c r="M1234" s="19" t="str">
        <f aca="false">IF(OR(B1234=0,I1234=0),"",ROUND(G1234-L1234,2))</f>
        <v/>
      </c>
      <c r="N1234" s="5" t="str">
        <f aca="false">IF(A1234="","",IF(B1234=0,"NOT FOUND: bank ID",IF(I1234=0,"NOT FOUND: GL ID",IF(INDEX(GL!$H:$H,I1234)&lt;&gt;A1234,"BROKEN: GL points elsewhere",IF(OR(INDEX(Bank!$F:$F,B1234)&lt;&gt;"Y",INDEX(GL!$F:$F,I1234)&lt;&gt;"Y"),"BROKEN: Status not Y","OK")))))</f>
        <v/>
      </c>
    </row>
    <row r="1235" customFormat="false" ht="15" hidden="false" customHeight="false" outlineLevel="0" collapsed="false">
      <c r="A1235" s="41"/>
      <c r="B1235" s="5" t="n">
        <f aca="false">IF(A1235="",0,IFERROR(MATCH(A1235,Bank!$A:$A,0),0))</f>
        <v>0</v>
      </c>
      <c r="C1235" s="5" t="str">
        <f aca="false">IF(B1235=0,"",IF(INDEX(Bank!$G:$G,B1235)="","",INDEX(Bank!$G:$G,B1235)))</f>
        <v/>
      </c>
      <c r="D1235" s="5" t="str">
        <f aca="false">IF(B1235=0,"",IF(INDEX(Bank!$J:$J,B1235)="","",INDEX(Bank!$J:$J,B1235)))</f>
        <v/>
      </c>
      <c r="E1235" s="32" t="str">
        <f aca="false">IF(B1235=0,"",INDEX(Bank!$B:$B,B1235))</f>
        <v/>
      </c>
      <c r="F1235" s="5" t="str">
        <f aca="false">IF(B1235=0,"",IF(INDEX(Bank!$C:$C,B1235)="","",INDEX(Bank!$C:$C,B1235)))</f>
        <v/>
      </c>
      <c r="G1235" s="19" t="str">
        <f aca="false">IF(B1235=0,"",INDEX(Bank!$E:$E,B1235))</f>
        <v/>
      </c>
      <c r="H1235" s="5" t="str">
        <f aca="false">IF(B1235=0,"",IF(INDEX(Bank!$H:$H,B1235)="","",INDEX(Bank!$H:$H,B1235)))</f>
        <v/>
      </c>
      <c r="I1235" s="5" t="n">
        <f aca="false">IF(H1235="",0,IFERROR(MATCH(H1235,GL!$A:$A,0),0))</f>
        <v>0</v>
      </c>
      <c r="J1235" s="32" t="str">
        <f aca="false">IF(I1235=0,"",INDEX(GL!$B:$B,I1235))</f>
        <v/>
      </c>
      <c r="K1235" s="5" t="str">
        <f aca="false">IF(I1235=0,"",IF(INDEX(GL!$C:$C,I1235)="","",INDEX(GL!$C:$C,I1235)))</f>
        <v/>
      </c>
      <c r="L1235" s="19" t="str">
        <f aca="false">IF(I1235=0,"",INDEX(GL!$E:$E,I1235))</f>
        <v/>
      </c>
      <c r="M1235" s="19" t="str">
        <f aca="false">IF(OR(B1235=0,I1235=0),"",ROUND(G1235-L1235,2))</f>
        <v/>
      </c>
      <c r="N1235" s="5" t="str">
        <f aca="false">IF(A1235="","",IF(B1235=0,"NOT FOUND: bank ID",IF(I1235=0,"NOT FOUND: GL ID",IF(INDEX(GL!$H:$H,I1235)&lt;&gt;A1235,"BROKEN: GL points elsewhere",IF(OR(INDEX(Bank!$F:$F,B1235)&lt;&gt;"Y",INDEX(GL!$F:$F,I1235)&lt;&gt;"Y"),"BROKEN: Status not Y","OK")))))</f>
        <v/>
      </c>
    </row>
    <row r="1236" customFormat="false" ht="15" hidden="false" customHeight="false" outlineLevel="0" collapsed="false">
      <c r="A1236" s="41"/>
      <c r="B1236" s="5" t="n">
        <f aca="false">IF(A1236="",0,IFERROR(MATCH(A1236,Bank!$A:$A,0),0))</f>
        <v>0</v>
      </c>
      <c r="C1236" s="5" t="str">
        <f aca="false">IF(B1236=0,"",IF(INDEX(Bank!$G:$G,B1236)="","",INDEX(Bank!$G:$G,B1236)))</f>
        <v/>
      </c>
      <c r="D1236" s="5" t="str">
        <f aca="false">IF(B1236=0,"",IF(INDEX(Bank!$J:$J,B1236)="","",INDEX(Bank!$J:$J,B1236)))</f>
        <v/>
      </c>
      <c r="E1236" s="32" t="str">
        <f aca="false">IF(B1236=0,"",INDEX(Bank!$B:$B,B1236))</f>
        <v/>
      </c>
      <c r="F1236" s="5" t="str">
        <f aca="false">IF(B1236=0,"",IF(INDEX(Bank!$C:$C,B1236)="","",INDEX(Bank!$C:$C,B1236)))</f>
        <v/>
      </c>
      <c r="G1236" s="19" t="str">
        <f aca="false">IF(B1236=0,"",INDEX(Bank!$E:$E,B1236))</f>
        <v/>
      </c>
      <c r="H1236" s="5" t="str">
        <f aca="false">IF(B1236=0,"",IF(INDEX(Bank!$H:$H,B1236)="","",INDEX(Bank!$H:$H,B1236)))</f>
        <v/>
      </c>
      <c r="I1236" s="5" t="n">
        <f aca="false">IF(H1236="",0,IFERROR(MATCH(H1236,GL!$A:$A,0),0))</f>
        <v>0</v>
      </c>
      <c r="J1236" s="32" t="str">
        <f aca="false">IF(I1236=0,"",INDEX(GL!$B:$B,I1236))</f>
        <v/>
      </c>
      <c r="K1236" s="5" t="str">
        <f aca="false">IF(I1236=0,"",IF(INDEX(GL!$C:$C,I1236)="","",INDEX(GL!$C:$C,I1236)))</f>
        <v/>
      </c>
      <c r="L1236" s="19" t="str">
        <f aca="false">IF(I1236=0,"",INDEX(GL!$E:$E,I1236))</f>
        <v/>
      </c>
      <c r="M1236" s="19" t="str">
        <f aca="false">IF(OR(B1236=0,I1236=0),"",ROUND(G1236-L1236,2))</f>
        <v/>
      </c>
      <c r="N1236" s="5" t="str">
        <f aca="false">IF(A1236="","",IF(B1236=0,"NOT FOUND: bank ID",IF(I1236=0,"NOT FOUND: GL ID",IF(INDEX(GL!$H:$H,I1236)&lt;&gt;A1236,"BROKEN: GL points elsewhere",IF(OR(INDEX(Bank!$F:$F,B1236)&lt;&gt;"Y",INDEX(GL!$F:$F,I1236)&lt;&gt;"Y"),"BROKEN: Status not Y","OK")))))</f>
        <v/>
      </c>
    </row>
    <row r="1237" customFormat="false" ht="15" hidden="false" customHeight="false" outlineLevel="0" collapsed="false">
      <c r="A1237" s="41"/>
      <c r="B1237" s="5" t="n">
        <f aca="false">IF(A1237="",0,IFERROR(MATCH(A1237,Bank!$A:$A,0),0))</f>
        <v>0</v>
      </c>
      <c r="C1237" s="5" t="str">
        <f aca="false">IF(B1237=0,"",IF(INDEX(Bank!$G:$G,B1237)="","",INDEX(Bank!$G:$G,B1237)))</f>
        <v/>
      </c>
      <c r="D1237" s="5" t="str">
        <f aca="false">IF(B1237=0,"",IF(INDEX(Bank!$J:$J,B1237)="","",INDEX(Bank!$J:$J,B1237)))</f>
        <v/>
      </c>
      <c r="E1237" s="32" t="str">
        <f aca="false">IF(B1237=0,"",INDEX(Bank!$B:$B,B1237))</f>
        <v/>
      </c>
      <c r="F1237" s="5" t="str">
        <f aca="false">IF(B1237=0,"",IF(INDEX(Bank!$C:$C,B1237)="","",INDEX(Bank!$C:$C,B1237)))</f>
        <v/>
      </c>
      <c r="G1237" s="19" t="str">
        <f aca="false">IF(B1237=0,"",INDEX(Bank!$E:$E,B1237))</f>
        <v/>
      </c>
      <c r="H1237" s="5" t="str">
        <f aca="false">IF(B1237=0,"",IF(INDEX(Bank!$H:$H,B1237)="","",INDEX(Bank!$H:$H,B1237)))</f>
        <v/>
      </c>
      <c r="I1237" s="5" t="n">
        <f aca="false">IF(H1237="",0,IFERROR(MATCH(H1237,GL!$A:$A,0),0))</f>
        <v>0</v>
      </c>
      <c r="J1237" s="32" t="str">
        <f aca="false">IF(I1237=0,"",INDEX(GL!$B:$B,I1237))</f>
        <v/>
      </c>
      <c r="K1237" s="5" t="str">
        <f aca="false">IF(I1237=0,"",IF(INDEX(GL!$C:$C,I1237)="","",INDEX(GL!$C:$C,I1237)))</f>
        <v/>
      </c>
      <c r="L1237" s="19" t="str">
        <f aca="false">IF(I1237=0,"",INDEX(GL!$E:$E,I1237))</f>
        <v/>
      </c>
      <c r="M1237" s="19" t="str">
        <f aca="false">IF(OR(B1237=0,I1237=0),"",ROUND(G1237-L1237,2))</f>
        <v/>
      </c>
      <c r="N1237" s="5" t="str">
        <f aca="false">IF(A1237="","",IF(B1237=0,"NOT FOUND: bank ID",IF(I1237=0,"NOT FOUND: GL ID",IF(INDEX(GL!$H:$H,I1237)&lt;&gt;A1237,"BROKEN: GL points elsewhere",IF(OR(INDEX(Bank!$F:$F,B1237)&lt;&gt;"Y",INDEX(GL!$F:$F,I1237)&lt;&gt;"Y"),"BROKEN: Status not Y","OK")))))</f>
        <v/>
      </c>
    </row>
    <row r="1238" customFormat="false" ht="15" hidden="false" customHeight="false" outlineLevel="0" collapsed="false">
      <c r="A1238" s="41"/>
      <c r="B1238" s="5" t="n">
        <f aca="false">IF(A1238="",0,IFERROR(MATCH(A1238,Bank!$A:$A,0),0))</f>
        <v>0</v>
      </c>
      <c r="C1238" s="5" t="str">
        <f aca="false">IF(B1238=0,"",IF(INDEX(Bank!$G:$G,B1238)="","",INDEX(Bank!$G:$G,B1238)))</f>
        <v/>
      </c>
      <c r="D1238" s="5" t="str">
        <f aca="false">IF(B1238=0,"",IF(INDEX(Bank!$J:$J,B1238)="","",INDEX(Bank!$J:$J,B1238)))</f>
        <v/>
      </c>
      <c r="E1238" s="32" t="str">
        <f aca="false">IF(B1238=0,"",INDEX(Bank!$B:$B,B1238))</f>
        <v/>
      </c>
      <c r="F1238" s="5" t="str">
        <f aca="false">IF(B1238=0,"",IF(INDEX(Bank!$C:$C,B1238)="","",INDEX(Bank!$C:$C,B1238)))</f>
        <v/>
      </c>
      <c r="G1238" s="19" t="str">
        <f aca="false">IF(B1238=0,"",INDEX(Bank!$E:$E,B1238))</f>
        <v/>
      </c>
      <c r="H1238" s="5" t="str">
        <f aca="false">IF(B1238=0,"",IF(INDEX(Bank!$H:$H,B1238)="","",INDEX(Bank!$H:$H,B1238)))</f>
        <v/>
      </c>
      <c r="I1238" s="5" t="n">
        <f aca="false">IF(H1238="",0,IFERROR(MATCH(H1238,GL!$A:$A,0),0))</f>
        <v>0</v>
      </c>
      <c r="J1238" s="32" t="str">
        <f aca="false">IF(I1238=0,"",INDEX(GL!$B:$B,I1238))</f>
        <v/>
      </c>
      <c r="K1238" s="5" t="str">
        <f aca="false">IF(I1238=0,"",IF(INDEX(GL!$C:$C,I1238)="","",INDEX(GL!$C:$C,I1238)))</f>
        <v/>
      </c>
      <c r="L1238" s="19" t="str">
        <f aca="false">IF(I1238=0,"",INDEX(GL!$E:$E,I1238))</f>
        <v/>
      </c>
      <c r="M1238" s="19" t="str">
        <f aca="false">IF(OR(B1238=0,I1238=0),"",ROUND(G1238-L1238,2))</f>
        <v/>
      </c>
      <c r="N1238" s="5" t="str">
        <f aca="false">IF(A1238="","",IF(B1238=0,"NOT FOUND: bank ID",IF(I1238=0,"NOT FOUND: GL ID",IF(INDEX(GL!$H:$H,I1238)&lt;&gt;A1238,"BROKEN: GL points elsewhere",IF(OR(INDEX(Bank!$F:$F,B1238)&lt;&gt;"Y",INDEX(GL!$F:$F,I1238)&lt;&gt;"Y"),"BROKEN: Status not Y","OK")))))</f>
        <v/>
      </c>
    </row>
    <row r="1239" customFormat="false" ht="15" hidden="false" customHeight="false" outlineLevel="0" collapsed="false">
      <c r="A1239" s="41"/>
      <c r="B1239" s="5" t="n">
        <f aca="false">IF(A1239="",0,IFERROR(MATCH(A1239,Bank!$A:$A,0),0))</f>
        <v>0</v>
      </c>
      <c r="C1239" s="5" t="str">
        <f aca="false">IF(B1239=0,"",IF(INDEX(Bank!$G:$G,B1239)="","",INDEX(Bank!$G:$G,B1239)))</f>
        <v/>
      </c>
      <c r="D1239" s="5" t="str">
        <f aca="false">IF(B1239=0,"",IF(INDEX(Bank!$J:$J,B1239)="","",INDEX(Bank!$J:$J,B1239)))</f>
        <v/>
      </c>
      <c r="E1239" s="32" t="str">
        <f aca="false">IF(B1239=0,"",INDEX(Bank!$B:$B,B1239))</f>
        <v/>
      </c>
      <c r="F1239" s="5" t="str">
        <f aca="false">IF(B1239=0,"",IF(INDEX(Bank!$C:$C,B1239)="","",INDEX(Bank!$C:$C,B1239)))</f>
        <v/>
      </c>
      <c r="G1239" s="19" t="str">
        <f aca="false">IF(B1239=0,"",INDEX(Bank!$E:$E,B1239))</f>
        <v/>
      </c>
      <c r="H1239" s="5" t="str">
        <f aca="false">IF(B1239=0,"",IF(INDEX(Bank!$H:$H,B1239)="","",INDEX(Bank!$H:$H,B1239)))</f>
        <v/>
      </c>
      <c r="I1239" s="5" t="n">
        <f aca="false">IF(H1239="",0,IFERROR(MATCH(H1239,GL!$A:$A,0),0))</f>
        <v>0</v>
      </c>
      <c r="J1239" s="32" t="str">
        <f aca="false">IF(I1239=0,"",INDEX(GL!$B:$B,I1239))</f>
        <v/>
      </c>
      <c r="K1239" s="5" t="str">
        <f aca="false">IF(I1239=0,"",IF(INDEX(GL!$C:$C,I1239)="","",INDEX(GL!$C:$C,I1239)))</f>
        <v/>
      </c>
      <c r="L1239" s="19" t="str">
        <f aca="false">IF(I1239=0,"",INDEX(GL!$E:$E,I1239))</f>
        <v/>
      </c>
      <c r="M1239" s="19" t="str">
        <f aca="false">IF(OR(B1239=0,I1239=0),"",ROUND(G1239-L1239,2))</f>
        <v/>
      </c>
      <c r="N1239" s="5" t="str">
        <f aca="false">IF(A1239="","",IF(B1239=0,"NOT FOUND: bank ID",IF(I1239=0,"NOT FOUND: GL ID",IF(INDEX(GL!$H:$H,I1239)&lt;&gt;A1239,"BROKEN: GL points elsewhere",IF(OR(INDEX(Bank!$F:$F,B1239)&lt;&gt;"Y",INDEX(GL!$F:$F,I1239)&lt;&gt;"Y"),"BROKEN: Status not Y","OK")))))</f>
        <v/>
      </c>
    </row>
    <row r="1240" customFormat="false" ht="15" hidden="false" customHeight="false" outlineLevel="0" collapsed="false">
      <c r="A1240" s="41"/>
      <c r="B1240" s="5" t="n">
        <f aca="false">IF(A1240="",0,IFERROR(MATCH(A1240,Bank!$A:$A,0),0))</f>
        <v>0</v>
      </c>
      <c r="C1240" s="5" t="str">
        <f aca="false">IF(B1240=0,"",IF(INDEX(Bank!$G:$G,B1240)="","",INDEX(Bank!$G:$G,B1240)))</f>
        <v/>
      </c>
      <c r="D1240" s="5" t="str">
        <f aca="false">IF(B1240=0,"",IF(INDEX(Bank!$J:$J,B1240)="","",INDEX(Bank!$J:$J,B1240)))</f>
        <v/>
      </c>
      <c r="E1240" s="32" t="str">
        <f aca="false">IF(B1240=0,"",INDEX(Bank!$B:$B,B1240))</f>
        <v/>
      </c>
      <c r="F1240" s="5" t="str">
        <f aca="false">IF(B1240=0,"",IF(INDEX(Bank!$C:$C,B1240)="","",INDEX(Bank!$C:$C,B1240)))</f>
        <v/>
      </c>
      <c r="G1240" s="19" t="str">
        <f aca="false">IF(B1240=0,"",INDEX(Bank!$E:$E,B1240))</f>
        <v/>
      </c>
      <c r="H1240" s="5" t="str">
        <f aca="false">IF(B1240=0,"",IF(INDEX(Bank!$H:$H,B1240)="","",INDEX(Bank!$H:$H,B1240)))</f>
        <v/>
      </c>
      <c r="I1240" s="5" t="n">
        <f aca="false">IF(H1240="",0,IFERROR(MATCH(H1240,GL!$A:$A,0),0))</f>
        <v>0</v>
      </c>
      <c r="J1240" s="32" t="str">
        <f aca="false">IF(I1240=0,"",INDEX(GL!$B:$B,I1240))</f>
        <v/>
      </c>
      <c r="K1240" s="5" t="str">
        <f aca="false">IF(I1240=0,"",IF(INDEX(GL!$C:$C,I1240)="","",INDEX(GL!$C:$C,I1240)))</f>
        <v/>
      </c>
      <c r="L1240" s="19" t="str">
        <f aca="false">IF(I1240=0,"",INDEX(GL!$E:$E,I1240))</f>
        <v/>
      </c>
      <c r="M1240" s="19" t="str">
        <f aca="false">IF(OR(B1240=0,I1240=0),"",ROUND(G1240-L1240,2))</f>
        <v/>
      </c>
      <c r="N1240" s="5" t="str">
        <f aca="false">IF(A1240="","",IF(B1240=0,"NOT FOUND: bank ID",IF(I1240=0,"NOT FOUND: GL ID",IF(INDEX(GL!$H:$H,I1240)&lt;&gt;A1240,"BROKEN: GL points elsewhere",IF(OR(INDEX(Bank!$F:$F,B1240)&lt;&gt;"Y",INDEX(GL!$F:$F,I1240)&lt;&gt;"Y"),"BROKEN: Status not Y","OK")))))</f>
        <v/>
      </c>
    </row>
    <row r="1241" customFormat="false" ht="15" hidden="false" customHeight="false" outlineLevel="0" collapsed="false">
      <c r="A1241" s="41"/>
      <c r="B1241" s="5" t="n">
        <f aca="false">IF(A1241="",0,IFERROR(MATCH(A1241,Bank!$A:$A,0),0))</f>
        <v>0</v>
      </c>
      <c r="C1241" s="5" t="str">
        <f aca="false">IF(B1241=0,"",IF(INDEX(Bank!$G:$G,B1241)="","",INDEX(Bank!$G:$G,B1241)))</f>
        <v/>
      </c>
      <c r="D1241" s="5" t="str">
        <f aca="false">IF(B1241=0,"",IF(INDEX(Bank!$J:$J,B1241)="","",INDEX(Bank!$J:$J,B1241)))</f>
        <v/>
      </c>
      <c r="E1241" s="32" t="str">
        <f aca="false">IF(B1241=0,"",INDEX(Bank!$B:$B,B1241))</f>
        <v/>
      </c>
      <c r="F1241" s="5" t="str">
        <f aca="false">IF(B1241=0,"",IF(INDEX(Bank!$C:$C,B1241)="","",INDEX(Bank!$C:$C,B1241)))</f>
        <v/>
      </c>
      <c r="G1241" s="19" t="str">
        <f aca="false">IF(B1241=0,"",INDEX(Bank!$E:$E,B1241))</f>
        <v/>
      </c>
      <c r="H1241" s="5" t="str">
        <f aca="false">IF(B1241=0,"",IF(INDEX(Bank!$H:$H,B1241)="","",INDEX(Bank!$H:$H,B1241)))</f>
        <v/>
      </c>
      <c r="I1241" s="5" t="n">
        <f aca="false">IF(H1241="",0,IFERROR(MATCH(H1241,GL!$A:$A,0),0))</f>
        <v>0</v>
      </c>
      <c r="J1241" s="32" t="str">
        <f aca="false">IF(I1241=0,"",INDEX(GL!$B:$B,I1241))</f>
        <v/>
      </c>
      <c r="K1241" s="5" t="str">
        <f aca="false">IF(I1241=0,"",IF(INDEX(GL!$C:$C,I1241)="","",INDEX(GL!$C:$C,I1241)))</f>
        <v/>
      </c>
      <c r="L1241" s="19" t="str">
        <f aca="false">IF(I1241=0,"",INDEX(GL!$E:$E,I1241))</f>
        <v/>
      </c>
      <c r="M1241" s="19" t="str">
        <f aca="false">IF(OR(B1241=0,I1241=0),"",ROUND(G1241-L1241,2))</f>
        <v/>
      </c>
      <c r="N1241" s="5" t="str">
        <f aca="false">IF(A1241="","",IF(B1241=0,"NOT FOUND: bank ID",IF(I1241=0,"NOT FOUND: GL ID",IF(INDEX(GL!$H:$H,I1241)&lt;&gt;A1241,"BROKEN: GL points elsewhere",IF(OR(INDEX(Bank!$F:$F,B1241)&lt;&gt;"Y",INDEX(GL!$F:$F,I1241)&lt;&gt;"Y"),"BROKEN: Status not Y","OK")))))</f>
        <v/>
      </c>
    </row>
    <row r="1242" customFormat="false" ht="15" hidden="false" customHeight="false" outlineLevel="0" collapsed="false">
      <c r="A1242" s="41"/>
      <c r="B1242" s="5" t="n">
        <f aca="false">IF(A1242="",0,IFERROR(MATCH(A1242,Bank!$A:$A,0),0))</f>
        <v>0</v>
      </c>
      <c r="C1242" s="5" t="str">
        <f aca="false">IF(B1242=0,"",IF(INDEX(Bank!$G:$G,B1242)="","",INDEX(Bank!$G:$G,B1242)))</f>
        <v/>
      </c>
      <c r="D1242" s="5" t="str">
        <f aca="false">IF(B1242=0,"",IF(INDEX(Bank!$J:$J,B1242)="","",INDEX(Bank!$J:$J,B1242)))</f>
        <v/>
      </c>
      <c r="E1242" s="32" t="str">
        <f aca="false">IF(B1242=0,"",INDEX(Bank!$B:$B,B1242))</f>
        <v/>
      </c>
      <c r="F1242" s="5" t="str">
        <f aca="false">IF(B1242=0,"",IF(INDEX(Bank!$C:$C,B1242)="","",INDEX(Bank!$C:$C,B1242)))</f>
        <v/>
      </c>
      <c r="G1242" s="19" t="str">
        <f aca="false">IF(B1242=0,"",INDEX(Bank!$E:$E,B1242))</f>
        <v/>
      </c>
      <c r="H1242" s="5" t="str">
        <f aca="false">IF(B1242=0,"",IF(INDEX(Bank!$H:$H,B1242)="","",INDEX(Bank!$H:$H,B1242)))</f>
        <v/>
      </c>
      <c r="I1242" s="5" t="n">
        <f aca="false">IF(H1242="",0,IFERROR(MATCH(H1242,GL!$A:$A,0),0))</f>
        <v>0</v>
      </c>
      <c r="J1242" s="32" t="str">
        <f aca="false">IF(I1242=0,"",INDEX(GL!$B:$B,I1242))</f>
        <v/>
      </c>
      <c r="K1242" s="5" t="str">
        <f aca="false">IF(I1242=0,"",IF(INDEX(GL!$C:$C,I1242)="","",INDEX(GL!$C:$C,I1242)))</f>
        <v/>
      </c>
      <c r="L1242" s="19" t="str">
        <f aca="false">IF(I1242=0,"",INDEX(GL!$E:$E,I1242))</f>
        <v/>
      </c>
      <c r="M1242" s="19" t="str">
        <f aca="false">IF(OR(B1242=0,I1242=0),"",ROUND(G1242-L1242,2))</f>
        <v/>
      </c>
      <c r="N1242" s="5" t="str">
        <f aca="false">IF(A1242="","",IF(B1242=0,"NOT FOUND: bank ID",IF(I1242=0,"NOT FOUND: GL ID",IF(INDEX(GL!$H:$H,I1242)&lt;&gt;A1242,"BROKEN: GL points elsewhere",IF(OR(INDEX(Bank!$F:$F,B1242)&lt;&gt;"Y",INDEX(GL!$F:$F,I1242)&lt;&gt;"Y"),"BROKEN: Status not Y","OK")))))</f>
        <v/>
      </c>
    </row>
    <row r="1243" customFormat="false" ht="15" hidden="false" customHeight="false" outlineLevel="0" collapsed="false">
      <c r="A1243" s="41"/>
      <c r="B1243" s="5" t="n">
        <f aca="false">IF(A1243="",0,IFERROR(MATCH(A1243,Bank!$A:$A,0),0))</f>
        <v>0</v>
      </c>
      <c r="C1243" s="5" t="str">
        <f aca="false">IF(B1243=0,"",IF(INDEX(Bank!$G:$G,B1243)="","",INDEX(Bank!$G:$G,B1243)))</f>
        <v/>
      </c>
      <c r="D1243" s="5" t="str">
        <f aca="false">IF(B1243=0,"",IF(INDEX(Bank!$J:$J,B1243)="","",INDEX(Bank!$J:$J,B1243)))</f>
        <v/>
      </c>
      <c r="E1243" s="32" t="str">
        <f aca="false">IF(B1243=0,"",INDEX(Bank!$B:$B,B1243))</f>
        <v/>
      </c>
      <c r="F1243" s="5" t="str">
        <f aca="false">IF(B1243=0,"",IF(INDEX(Bank!$C:$C,B1243)="","",INDEX(Bank!$C:$C,B1243)))</f>
        <v/>
      </c>
      <c r="G1243" s="19" t="str">
        <f aca="false">IF(B1243=0,"",INDEX(Bank!$E:$E,B1243))</f>
        <v/>
      </c>
      <c r="H1243" s="5" t="str">
        <f aca="false">IF(B1243=0,"",IF(INDEX(Bank!$H:$H,B1243)="","",INDEX(Bank!$H:$H,B1243)))</f>
        <v/>
      </c>
      <c r="I1243" s="5" t="n">
        <f aca="false">IF(H1243="",0,IFERROR(MATCH(H1243,GL!$A:$A,0),0))</f>
        <v>0</v>
      </c>
      <c r="J1243" s="32" t="str">
        <f aca="false">IF(I1243=0,"",INDEX(GL!$B:$B,I1243))</f>
        <v/>
      </c>
      <c r="K1243" s="5" t="str">
        <f aca="false">IF(I1243=0,"",IF(INDEX(GL!$C:$C,I1243)="","",INDEX(GL!$C:$C,I1243)))</f>
        <v/>
      </c>
      <c r="L1243" s="19" t="str">
        <f aca="false">IF(I1243=0,"",INDEX(GL!$E:$E,I1243))</f>
        <v/>
      </c>
      <c r="M1243" s="19" t="str">
        <f aca="false">IF(OR(B1243=0,I1243=0),"",ROUND(G1243-L1243,2))</f>
        <v/>
      </c>
      <c r="N1243" s="5" t="str">
        <f aca="false">IF(A1243="","",IF(B1243=0,"NOT FOUND: bank ID",IF(I1243=0,"NOT FOUND: GL ID",IF(INDEX(GL!$H:$H,I1243)&lt;&gt;A1243,"BROKEN: GL points elsewhere",IF(OR(INDEX(Bank!$F:$F,B1243)&lt;&gt;"Y",INDEX(GL!$F:$F,I1243)&lt;&gt;"Y"),"BROKEN: Status not Y","OK")))))</f>
        <v/>
      </c>
    </row>
    <row r="1244" customFormat="false" ht="15" hidden="false" customHeight="false" outlineLevel="0" collapsed="false">
      <c r="A1244" s="41"/>
      <c r="B1244" s="5" t="n">
        <f aca="false">IF(A1244="",0,IFERROR(MATCH(A1244,Bank!$A:$A,0),0))</f>
        <v>0</v>
      </c>
      <c r="C1244" s="5" t="str">
        <f aca="false">IF(B1244=0,"",IF(INDEX(Bank!$G:$G,B1244)="","",INDEX(Bank!$G:$G,B1244)))</f>
        <v/>
      </c>
      <c r="D1244" s="5" t="str">
        <f aca="false">IF(B1244=0,"",IF(INDEX(Bank!$J:$J,B1244)="","",INDEX(Bank!$J:$J,B1244)))</f>
        <v/>
      </c>
      <c r="E1244" s="32" t="str">
        <f aca="false">IF(B1244=0,"",INDEX(Bank!$B:$B,B1244))</f>
        <v/>
      </c>
      <c r="F1244" s="5" t="str">
        <f aca="false">IF(B1244=0,"",IF(INDEX(Bank!$C:$C,B1244)="","",INDEX(Bank!$C:$C,B1244)))</f>
        <v/>
      </c>
      <c r="G1244" s="19" t="str">
        <f aca="false">IF(B1244=0,"",INDEX(Bank!$E:$E,B1244))</f>
        <v/>
      </c>
      <c r="H1244" s="5" t="str">
        <f aca="false">IF(B1244=0,"",IF(INDEX(Bank!$H:$H,B1244)="","",INDEX(Bank!$H:$H,B1244)))</f>
        <v/>
      </c>
      <c r="I1244" s="5" t="n">
        <f aca="false">IF(H1244="",0,IFERROR(MATCH(H1244,GL!$A:$A,0),0))</f>
        <v>0</v>
      </c>
      <c r="J1244" s="32" t="str">
        <f aca="false">IF(I1244=0,"",INDEX(GL!$B:$B,I1244))</f>
        <v/>
      </c>
      <c r="K1244" s="5" t="str">
        <f aca="false">IF(I1244=0,"",IF(INDEX(GL!$C:$C,I1244)="","",INDEX(GL!$C:$C,I1244)))</f>
        <v/>
      </c>
      <c r="L1244" s="19" t="str">
        <f aca="false">IF(I1244=0,"",INDEX(GL!$E:$E,I1244))</f>
        <v/>
      </c>
      <c r="M1244" s="19" t="str">
        <f aca="false">IF(OR(B1244=0,I1244=0),"",ROUND(G1244-L1244,2))</f>
        <v/>
      </c>
      <c r="N1244" s="5" t="str">
        <f aca="false">IF(A1244="","",IF(B1244=0,"NOT FOUND: bank ID",IF(I1244=0,"NOT FOUND: GL ID",IF(INDEX(GL!$H:$H,I1244)&lt;&gt;A1244,"BROKEN: GL points elsewhere",IF(OR(INDEX(Bank!$F:$F,B1244)&lt;&gt;"Y",INDEX(GL!$F:$F,I1244)&lt;&gt;"Y"),"BROKEN: Status not Y","OK")))))</f>
        <v/>
      </c>
    </row>
    <row r="1245" customFormat="false" ht="15" hidden="false" customHeight="false" outlineLevel="0" collapsed="false">
      <c r="A1245" s="41"/>
      <c r="B1245" s="5" t="n">
        <f aca="false">IF(A1245="",0,IFERROR(MATCH(A1245,Bank!$A:$A,0),0))</f>
        <v>0</v>
      </c>
      <c r="C1245" s="5" t="str">
        <f aca="false">IF(B1245=0,"",IF(INDEX(Bank!$G:$G,B1245)="","",INDEX(Bank!$G:$G,B1245)))</f>
        <v/>
      </c>
      <c r="D1245" s="5" t="str">
        <f aca="false">IF(B1245=0,"",IF(INDEX(Bank!$J:$J,B1245)="","",INDEX(Bank!$J:$J,B1245)))</f>
        <v/>
      </c>
      <c r="E1245" s="32" t="str">
        <f aca="false">IF(B1245=0,"",INDEX(Bank!$B:$B,B1245))</f>
        <v/>
      </c>
      <c r="F1245" s="5" t="str">
        <f aca="false">IF(B1245=0,"",IF(INDEX(Bank!$C:$C,B1245)="","",INDEX(Bank!$C:$C,B1245)))</f>
        <v/>
      </c>
      <c r="G1245" s="19" t="str">
        <f aca="false">IF(B1245=0,"",INDEX(Bank!$E:$E,B1245))</f>
        <v/>
      </c>
      <c r="H1245" s="5" t="str">
        <f aca="false">IF(B1245=0,"",IF(INDEX(Bank!$H:$H,B1245)="","",INDEX(Bank!$H:$H,B1245)))</f>
        <v/>
      </c>
      <c r="I1245" s="5" t="n">
        <f aca="false">IF(H1245="",0,IFERROR(MATCH(H1245,GL!$A:$A,0),0))</f>
        <v>0</v>
      </c>
      <c r="J1245" s="32" t="str">
        <f aca="false">IF(I1245=0,"",INDEX(GL!$B:$B,I1245))</f>
        <v/>
      </c>
      <c r="K1245" s="5" t="str">
        <f aca="false">IF(I1245=0,"",IF(INDEX(GL!$C:$C,I1245)="","",INDEX(GL!$C:$C,I1245)))</f>
        <v/>
      </c>
      <c r="L1245" s="19" t="str">
        <f aca="false">IF(I1245=0,"",INDEX(GL!$E:$E,I1245))</f>
        <v/>
      </c>
      <c r="M1245" s="19" t="str">
        <f aca="false">IF(OR(B1245=0,I1245=0),"",ROUND(G1245-L1245,2))</f>
        <v/>
      </c>
      <c r="N1245" s="5" t="str">
        <f aca="false">IF(A1245="","",IF(B1245=0,"NOT FOUND: bank ID",IF(I1245=0,"NOT FOUND: GL ID",IF(INDEX(GL!$H:$H,I1245)&lt;&gt;A1245,"BROKEN: GL points elsewhere",IF(OR(INDEX(Bank!$F:$F,B1245)&lt;&gt;"Y",INDEX(GL!$F:$F,I1245)&lt;&gt;"Y"),"BROKEN: Status not Y","OK")))))</f>
        <v/>
      </c>
    </row>
    <row r="1246" customFormat="false" ht="15" hidden="false" customHeight="false" outlineLevel="0" collapsed="false">
      <c r="A1246" s="41"/>
      <c r="B1246" s="5" t="n">
        <f aca="false">IF(A1246="",0,IFERROR(MATCH(A1246,Bank!$A:$A,0),0))</f>
        <v>0</v>
      </c>
      <c r="C1246" s="5" t="str">
        <f aca="false">IF(B1246=0,"",IF(INDEX(Bank!$G:$G,B1246)="","",INDEX(Bank!$G:$G,B1246)))</f>
        <v/>
      </c>
      <c r="D1246" s="5" t="str">
        <f aca="false">IF(B1246=0,"",IF(INDEX(Bank!$J:$J,B1246)="","",INDEX(Bank!$J:$J,B1246)))</f>
        <v/>
      </c>
      <c r="E1246" s="32" t="str">
        <f aca="false">IF(B1246=0,"",INDEX(Bank!$B:$B,B1246))</f>
        <v/>
      </c>
      <c r="F1246" s="5" t="str">
        <f aca="false">IF(B1246=0,"",IF(INDEX(Bank!$C:$C,B1246)="","",INDEX(Bank!$C:$C,B1246)))</f>
        <v/>
      </c>
      <c r="G1246" s="19" t="str">
        <f aca="false">IF(B1246=0,"",INDEX(Bank!$E:$E,B1246))</f>
        <v/>
      </c>
      <c r="H1246" s="5" t="str">
        <f aca="false">IF(B1246=0,"",IF(INDEX(Bank!$H:$H,B1246)="","",INDEX(Bank!$H:$H,B1246)))</f>
        <v/>
      </c>
      <c r="I1246" s="5" t="n">
        <f aca="false">IF(H1246="",0,IFERROR(MATCH(H1246,GL!$A:$A,0),0))</f>
        <v>0</v>
      </c>
      <c r="J1246" s="32" t="str">
        <f aca="false">IF(I1246=0,"",INDEX(GL!$B:$B,I1246))</f>
        <v/>
      </c>
      <c r="K1246" s="5" t="str">
        <f aca="false">IF(I1246=0,"",IF(INDEX(GL!$C:$C,I1246)="","",INDEX(GL!$C:$C,I1246)))</f>
        <v/>
      </c>
      <c r="L1246" s="19" t="str">
        <f aca="false">IF(I1246=0,"",INDEX(GL!$E:$E,I1246))</f>
        <v/>
      </c>
      <c r="M1246" s="19" t="str">
        <f aca="false">IF(OR(B1246=0,I1246=0),"",ROUND(G1246-L1246,2))</f>
        <v/>
      </c>
      <c r="N1246" s="5" t="str">
        <f aca="false">IF(A1246="","",IF(B1246=0,"NOT FOUND: bank ID",IF(I1246=0,"NOT FOUND: GL ID",IF(INDEX(GL!$H:$H,I1246)&lt;&gt;A1246,"BROKEN: GL points elsewhere",IF(OR(INDEX(Bank!$F:$F,B1246)&lt;&gt;"Y",INDEX(GL!$F:$F,I1246)&lt;&gt;"Y"),"BROKEN: Status not Y","OK")))))</f>
        <v/>
      </c>
    </row>
    <row r="1247" customFormat="false" ht="15" hidden="false" customHeight="false" outlineLevel="0" collapsed="false">
      <c r="A1247" s="41"/>
      <c r="B1247" s="5" t="n">
        <f aca="false">IF(A1247="",0,IFERROR(MATCH(A1247,Bank!$A:$A,0),0))</f>
        <v>0</v>
      </c>
      <c r="C1247" s="5" t="str">
        <f aca="false">IF(B1247=0,"",IF(INDEX(Bank!$G:$G,B1247)="","",INDEX(Bank!$G:$G,B1247)))</f>
        <v/>
      </c>
      <c r="D1247" s="5" t="str">
        <f aca="false">IF(B1247=0,"",IF(INDEX(Bank!$J:$J,B1247)="","",INDEX(Bank!$J:$J,B1247)))</f>
        <v/>
      </c>
      <c r="E1247" s="32" t="str">
        <f aca="false">IF(B1247=0,"",INDEX(Bank!$B:$B,B1247))</f>
        <v/>
      </c>
      <c r="F1247" s="5" t="str">
        <f aca="false">IF(B1247=0,"",IF(INDEX(Bank!$C:$C,B1247)="","",INDEX(Bank!$C:$C,B1247)))</f>
        <v/>
      </c>
      <c r="G1247" s="19" t="str">
        <f aca="false">IF(B1247=0,"",INDEX(Bank!$E:$E,B1247))</f>
        <v/>
      </c>
      <c r="H1247" s="5" t="str">
        <f aca="false">IF(B1247=0,"",IF(INDEX(Bank!$H:$H,B1247)="","",INDEX(Bank!$H:$H,B1247)))</f>
        <v/>
      </c>
      <c r="I1247" s="5" t="n">
        <f aca="false">IF(H1247="",0,IFERROR(MATCH(H1247,GL!$A:$A,0),0))</f>
        <v>0</v>
      </c>
      <c r="J1247" s="32" t="str">
        <f aca="false">IF(I1247=0,"",INDEX(GL!$B:$B,I1247))</f>
        <v/>
      </c>
      <c r="K1247" s="5" t="str">
        <f aca="false">IF(I1247=0,"",IF(INDEX(GL!$C:$C,I1247)="","",INDEX(GL!$C:$C,I1247)))</f>
        <v/>
      </c>
      <c r="L1247" s="19" t="str">
        <f aca="false">IF(I1247=0,"",INDEX(GL!$E:$E,I1247))</f>
        <v/>
      </c>
      <c r="M1247" s="19" t="str">
        <f aca="false">IF(OR(B1247=0,I1247=0),"",ROUND(G1247-L1247,2))</f>
        <v/>
      </c>
      <c r="N1247" s="5" t="str">
        <f aca="false">IF(A1247="","",IF(B1247=0,"NOT FOUND: bank ID",IF(I1247=0,"NOT FOUND: GL ID",IF(INDEX(GL!$H:$H,I1247)&lt;&gt;A1247,"BROKEN: GL points elsewhere",IF(OR(INDEX(Bank!$F:$F,B1247)&lt;&gt;"Y",INDEX(GL!$F:$F,I1247)&lt;&gt;"Y"),"BROKEN: Status not Y","OK")))))</f>
        <v/>
      </c>
    </row>
    <row r="1248" customFormat="false" ht="15" hidden="false" customHeight="false" outlineLevel="0" collapsed="false">
      <c r="A1248" s="41"/>
      <c r="B1248" s="5" t="n">
        <f aca="false">IF(A1248="",0,IFERROR(MATCH(A1248,Bank!$A:$A,0),0))</f>
        <v>0</v>
      </c>
      <c r="C1248" s="5" t="str">
        <f aca="false">IF(B1248=0,"",IF(INDEX(Bank!$G:$G,B1248)="","",INDEX(Bank!$G:$G,B1248)))</f>
        <v/>
      </c>
      <c r="D1248" s="5" t="str">
        <f aca="false">IF(B1248=0,"",IF(INDEX(Bank!$J:$J,B1248)="","",INDEX(Bank!$J:$J,B1248)))</f>
        <v/>
      </c>
      <c r="E1248" s="32" t="str">
        <f aca="false">IF(B1248=0,"",INDEX(Bank!$B:$B,B1248))</f>
        <v/>
      </c>
      <c r="F1248" s="5" t="str">
        <f aca="false">IF(B1248=0,"",IF(INDEX(Bank!$C:$C,B1248)="","",INDEX(Bank!$C:$C,B1248)))</f>
        <v/>
      </c>
      <c r="G1248" s="19" t="str">
        <f aca="false">IF(B1248=0,"",INDEX(Bank!$E:$E,B1248))</f>
        <v/>
      </c>
      <c r="H1248" s="5" t="str">
        <f aca="false">IF(B1248=0,"",IF(INDEX(Bank!$H:$H,B1248)="","",INDEX(Bank!$H:$H,B1248)))</f>
        <v/>
      </c>
      <c r="I1248" s="5" t="n">
        <f aca="false">IF(H1248="",0,IFERROR(MATCH(H1248,GL!$A:$A,0),0))</f>
        <v>0</v>
      </c>
      <c r="J1248" s="32" t="str">
        <f aca="false">IF(I1248=0,"",INDEX(GL!$B:$B,I1248))</f>
        <v/>
      </c>
      <c r="K1248" s="5" t="str">
        <f aca="false">IF(I1248=0,"",IF(INDEX(GL!$C:$C,I1248)="","",INDEX(GL!$C:$C,I1248)))</f>
        <v/>
      </c>
      <c r="L1248" s="19" t="str">
        <f aca="false">IF(I1248=0,"",INDEX(GL!$E:$E,I1248))</f>
        <v/>
      </c>
      <c r="M1248" s="19" t="str">
        <f aca="false">IF(OR(B1248=0,I1248=0),"",ROUND(G1248-L1248,2))</f>
        <v/>
      </c>
      <c r="N1248" s="5" t="str">
        <f aca="false">IF(A1248="","",IF(B1248=0,"NOT FOUND: bank ID",IF(I1248=0,"NOT FOUND: GL ID",IF(INDEX(GL!$H:$H,I1248)&lt;&gt;A1248,"BROKEN: GL points elsewhere",IF(OR(INDEX(Bank!$F:$F,B1248)&lt;&gt;"Y",INDEX(GL!$F:$F,I1248)&lt;&gt;"Y"),"BROKEN: Status not Y","OK")))))</f>
        <v/>
      </c>
    </row>
    <row r="1249" customFormat="false" ht="15" hidden="false" customHeight="false" outlineLevel="0" collapsed="false">
      <c r="A1249" s="41"/>
      <c r="B1249" s="5" t="n">
        <f aca="false">IF(A1249="",0,IFERROR(MATCH(A1249,Bank!$A:$A,0),0))</f>
        <v>0</v>
      </c>
      <c r="C1249" s="5" t="str">
        <f aca="false">IF(B1249=0,"",IF(INDEX(Bank!$G:$G,B1249)="","",INDEX(Bank!$G:$G,B1249)))</f>
        <v/>
      </c>
      <c r="D1249" s="5" t="str">
        <f aca="false">IF(B1249=0,"",IF(INDEX(Bank!$J:$J,B1249)="","",INDEX(Bank!$J:$J,B1249)))</f>
        <v/>
      </c>
      <c r="E1249" s="32" t="str">
        <f aca="false">IF(B1249=0,"",INDEX(Bank!$B:$B,B1249))</f>
        <v/>
      </c>
      <c r="F1249" s="5" t="str">
        <f aca="false">IF(B1249=0,"",IF(INDEX(Bank!$C:$C,B1249)="","",INDEX(Bank!$C:$C,B1249)))</f>
        <v/>
      </c>
      <c r="G1249" s="19" t="str">
        <f aca="false">IF(B1249=0,"",INDEX(Bank!$E:$E,B1249))</f>
        <v/>
      </c>
      <c r="H1249" s="5" t="str">
        <f aca="false">IF(B1249=0,"",IF(INDEX(Bank!$H:$H,B1249)="","",INDEX(Bank!$H:$H,B1249)))</f>
        <v/>
      </c>
      <c r="I1249" s="5" t="n">
        <f aca="false">IF(H1249="",0,IFERROR(MATCH(H1249,GL!$A:$A,0),0))</f>
        <v>0</v>
      </c>
      <c r="J1249" s="32" t="str">
        <f aca="false">IF(I1249=0,"",INDEX(GL!$B:$B,I1249))</f>
        <v/>
      </c>
      <c r="K1249" s="5" t="str">
        <f aca="false">IF(I1249=0,"",IF(INDEX(GL!$C:$C,I1249)="","",INDEX(GL!$C:$C,I1249)))</f>
        <v/>
      </c>
      <c r="L1249" s="19" t="str">
        <f aca="false">IF(I1249=0,"",INDEX(GL!$E:$E,I1249))</f>
        <v/>
      </c>
      <c r="M1249" s="19" t="str">
        <f aca="false">IF(OR(B1249=0,I1249=0),"",ROUND(G1249-L1249,2))</f>
        <v/>
      </c>
      <c r="N1249" s="5" t="str">
        <f aca="false">IF(A1249="","",IF(B1249=0,"NOT FOUND: bank ID",IF(I1249=0,"NOT FOUND: GL ID",IF(INDEX(GL!$H:$H,I1249)&lt;&gt;A1249,"BROKEN: GL points elsewhere",IF(OR(INDEX(Bank!$F:$F,B1249)&lt;&gt;"Y",INDEX(GL!$F:$F,I1249)&lt;&gt;"Y"),"BROKEN: Status not Y","OK")))))</f>
        <v/>
      </c>
    </row>
    <row r="1250" customFormat="false" ht="15" hidden="false" customHeight="false" outlineLevel="0" collapsed="false">
      <c r="A1250" s="41"/>
      <c r="B1250" s="5" t="n">
        <f aca="false">IF(A1250="",0,IFERROR(MATCH(A1250,Bank!$A:$A,0),0))</f>
        <v>0</v>
      </c>
      <c r="C1250" s="5" t="str">
        <f aca="false">IF(B1250=0,"",IF(INDEX(Bank!$G:$G,B1250)="","",INDEX(Bank!$G:$G,B1250)))</f>
        <v/>
      </c>
      <c r="D1250" s="5" t="str">
        <f aca="false">IF(B1250=0,"",IF(INDEX(Bank!$J:$J,B1250)="","",INDEX(Bank!$J:$J,B1250)))</f>
        <v/>
      </c>
      <c r="E1250" s="32" t="str">
        <f aca="false">IF(B1250=0,"",INDEX(Bank!$B:$B,B1250))</f>
        <v/>
      </c>
      <c r="F1250" s="5" t="str">
        <f aca="false">IF(B1250=0,"",IF(INDEX(Bank!$C:$C,B1250)="","",INDEX(Bank!$C:$C,B1250)))</f>
        <v/>
      </c>
      <c r="G1250" s="19" t="str">
        <f aca="false">IF(B1250=0,"",INDEX(Bank!$E:$E,B1250))</f>
        <v/>
      </c>
      <c r="H1250" s="5" t="str">
        <f aca="false">IF(B1250=0,"",IF(INDEX(Bank!$H:$H,B1250)="","",INDEX(Bank!$H:$H,B1250)))</f>
        <v/>
      </c>
      <c r="I1250" s="5" t="n">
        <f aca="false">IF(H1250="",0,IFERROR(MATCH(H1250,GL!$A:$A,0),0))</f>
        <v>0</v>
      </c>
      <c r="J1250" s="32" t="str">
        <f aca="false">IF(I1250=0,"",INDEX(GL!$B:$B,I1250))</f>
        <v/>
      </c>
      <c r="K1250" s="5" t="str">
        <f aca="false">IF(I1250=0,"",IF(INDEX(GL!$C:$C,I1250)="","",INDEX(GL!$C:$C,I1250)))</f>
        <v/>
      </c>
      <c r="L1250" s="19" t="str">
        <f aca="false">IF(I1250=0,"",INDEX(GL!$E:$E,I1250))</f>
        <v/>
      </c>
      <c r="M1250" s="19" t="str">
        <f aca="false">IF(OR(B1250=0,I1250=0),"",ROUND(G1250-L1250,2))</f>
        <v/>
      </c>
      <c r="N1250" s="5" t="str">
        <f aca="false">IF(A1250="","",IF(B1250=0,"NOT FOUND: bank ID",IF(I1250=0,"NOT FOUND: GL ID",IF(INDEX(GL!$H:$H,I1250)&lt;&gt;A1250,"BROKEN: GL points elsewhere",IF(OR(INDEX(Bank!$F:$F,B1250)&lt;&gt;"Y",INDEX(GL!$F:$F,I1250)&lt;&gt;"Y"),"BROKEN: Status not Y","OK")))))</f>
        <v/>
      </c>
    </row>
    <row r="1251" customFormat="false" ht="15" hidden="false" customHeight="false" outlineLevel="0" collapsed="false">
      <c r="A1251" s="41"/>
      <c r="B1251" s="5" t="n">
        <f aca="false">IF(A1251="",0,IFERROR(MATCH(A1251,Bank!$A:$A,0),0))</f>
        <v>0</v>
      </c>
      <c r="C1251" s="5" t="str">
        <f aca="false">IF(B1251=0,"",IF(INDEX(Bank!$G:$G,B1251)="","",INDEX(Bank!$G:$G,B1251)))</f>
        <v/>
      </c>
      <c r="D1251" s="5" t="str">
        <f aca="false">IF(B1251=0,"",IF(INDEX(Bank!$J:$J,B1251)="","",INDEX(Bank!$J:$J,B1251)))</f>
        <v/>
      </c>
      <c r="E1251" s="32" t="str">
        <f aca="false">IF(B1251=0,"",INDEX(Bank!$B:$B,B1251))</f>
        <v/>
      </c>
      <c r="F1251" s="5" t="str">
        <f aca="false">IF(B1251=0,"",IF(INDEX(Bank!$C:$C,B1251)="","",INDEX(Bank!$C:$C,B1251)))</f>
        <v/>
      </c>
      <c r="G1251" s="19" t="str">
        <f aca="false">IF(B1251=0,"",INDEX(Bank!$E:$E,B1251))</f>
        <v/>
      </c>
      <c r="H1251" s="5" t="str">
        <f aca="false">IF(B1251=0,"",IF(INDEX(Bank!$H:$H,B1251)="","",INDEX(Bank!$H:$H,B1251)))</f>
        <v/>
      </c>
      <c r="I1251" s="5" t="n">
        <f aca="false">IF(H1251="",0,IFERROR(MATCH(H1251,GL!$A:$A,0),0))</f>
        <v>0</v>
      </c>
      <c r="J1251" s="32" t="str">
        <f aca="false">IF(I1251=0,"",INDEX(GL!$B:$B,I1251))</f>
        <v/>
      </c>
      <c r="K1251" s="5" t="str">
        <f aca="false">IF(I1251=0,"",IF(INDEX(GL!$C:$C,I1251)="","",INDEX(GL!$C:$C,I1251)))</f>
        <v/>
      </c>
      <c r="L1251" s="19" t="str">
        <f aca="false">IF(I1251=0,"",INDEX(GL!$E:$E,I1251))</f>
        <v/>
      </c>
      <c r="M1251" s="19" t="str">
        <f aca="false">IF(OR(B1251=0,I1251=0),"",ROUND(G1251-L1251,2))</f>
        <v/>
      </c>
      <c r="N1251" s="5" t="str">
        <f aca="false">IF(A1251="","",IF(B1251=0,"NOT FOUND: bank ID",IF(I1251=0,"NOT FOUND: GL ID",IF(INDEX(GL!$H:$H,I1251)&lt;&gt;A1251,"BROKEN: GL points elsewhere",IF(OR(INDEX(Bank!$F:$F,B1251)&lt;&gt;"Y",INDEX(GL!$F:$F,I1251)&lt;&gt;"Y"),"BROKEN: Status not Y","OK")))))</f>
        <v/>
      </c>
    </row>
    <row r="1252" customFormat="false" ht="15" hidden="false" customHeight="false" outlineLevel="0" collapsed="false">
      <c r="A1252" s="41"/>
      <c r="B1252" s="5" t="n">
        <f aca="false">IF(A1252="",0,IFERROR(MATCH(A1252,Bank!$A:$A,0),0))</f>
        <v>0</v>
      </c>
      <c r="C1252" s="5" t="str">
        <f aca="false">IF(B1252=0,"",IF(INDEX(Bank!$G:$G,B1252)="","",INDEX(Bank!$G:$G,B1252)))</f>
        <v/>
      </c>
      <c r="D1252" s="5" t="str">
        <f aca="false">IF(B1252=0,"",IF(INDEX(Bank!$J:$J,B1252)="","",INDEX(Bank!$J:$J,B1252)))</f>
        <v/>
      </c>
      <c r="E1252" s="32" t="str">
        <f aca="false">IF(B1252=0,"",INDEX(Bank!$B:$B,B1252))</f>
        <v/>
      </c>
      <c r="F1252" s="5" t="str">
        <f aca="false">IF(B1252=0,"",IF(INDEX(Bank!$C:$C,B1252)="","",INDEX(Bank!$C:$C,B1252)))</f>
        <v/>
      </c>
      <c r="G1252" s="19" t="str">
        <f aca="false">IF(B1252=0,"",INDEX(Bank!$E:$E,B1252))</f>
        <v/>
      </c>
      <c r="H1252" s="5" t="str">
        <f aca="false">IF(B1252=0,"",IF(INDEX(Bank!$H:$H,B1252)="","",INDEX(Bank!$H:$H,B1252)))</f>
        <v/>
      </c>
      <c r="I1252" s="5" t="n">
        <f aca="false">IF(H1252="",0,IFERROR(MATCH(H1252,GL!$A:$A,0),0))</f>
        <v>0</v>
      </c>
      <c r="J1252" s="32" t="str">
        <f aca="false">IF(I1252=0,"",INDEX(GL!$B:$B,I1252))</f>
        <v/>
      </c>
      <c r="K1252" s="5" t="str">
        <f aca="false">IF(I1252=0,"",IF(INDEX(GL!$C:$C,I1252)="","",INDEX(GL!$C:$C,I1252)))</f>
        <v/>
      </c>
      <c r="L1252" s="19" t="str">
        <f aca="false">IF(I1252=0,"",INDEX(GL!$E:$E,I1252))</f>
        <v/>
      </c>
      <c r="M1252" s="19" t="str">
        <f aca="false">IF(OR(B1252=0,I1252=0),"",ROUND(G1252-L1252,2))</f>
        <v/>
      </c>
      <c r="N1252" s="5" t="str">
        <f aca="false">IF(A1252="","",IF(B1252=0,"NOT FOUND: bank ID",IF(I1252=0,"NOT FOUND: GL ID",IF(INDEX(GL!$H:$H,I1252)&lt;&gt;A1252,"BROKEN: GL points elsewhere",IF(OR(INDEX(Bank!$F:$F,B1252)&lt;&gt;"Y",INDEX(GL!$F:$F,I1252)&lt;&gt;"Y"),"BROKEN: Status not Y","OK")))))</f>
        <v/>
      </c>
    </row>
    <row r="1253" customFormat="false" ht="15" hidden="false" customHeight="false" outlineLevel="0" collapsed="false">
      <c r="A1253" s="41"/>
      <c r="B1253" s="5" t="n">
        <f aca="false">IF(A1253="",0,IFERROR(MATCH(A1253,Bank!$A:$A,0),0))</f>
        <v>0</v>
      </c>
      <c r="C1253" s="5" t="str">
        <f aca="false">IF(B1253=0,"",IF(INDEX(Bank!$G:$G,B1253)="","",INDEX(Bank!$G:$G,B1253)))</f>
        <v/>
      </c>
      <c r="D1253" s="5" t="str">
        <f aca="false">IF(B1253=0,"",IF(INDEX(Bank!$J:$J,B1253)="","",INDEX(Bank!$J:$J,B1253)))</f>
        <v/>
      </c>
      <c r="E1253" s="32" t="str">
        <f aca="false">IF(B1253=0,"",INDEX(Bank!$B:$B,B1253))</f>
        <v/>
      </c>
      <c r="F1253" s="5" t="str">
        <f aca="false">IF(B1253=0,"",IF(INDEX(Bank!$C:$C,B1253)="","",INDEX(Bank!$C:$C,B1253)))</f>
        <v/>
      </c>
      <c r="G1253" s="19" t="str">
        <f aca="false">IF(B1253=0,"",INDEX(Bank!$E:$E,B1253))</f>
        <v/>
      </c>
      <c r="H1253" s="5" t="str">
        <f aca="false">IF(B1253=0,"",IF(INDEX(Bank!$H:$H,B1253)="","",INDEX(Bank!$H:$H,B1253)))</f>
        <v/>
      </c>
      <c r="I1253" s="5" t="n">
        <f aca="false">IF(H1253="",0,IFERROR(MATCH(H1253,GL!$A:$A,0),0))</f>
        <v>0</v>
      </c>
      <c r="J1253" s="32" t="str">
        <f aca="false">IF(I1253=0,"",INDEX(GL!$B:$B,I1253))</f>
        <v/>
      </c>
      <c r="K1253" s="5" t="str">
        <f aca="false">IF(I1253=0,"",IF(INDEX(GL!$C:$C,I1253)="","",INDEX(GL!$C:$C,I1253)))</f>
        <v/>
      </c>
      <c r="L1253" s="19" t="str">
        <f aca="false">IF(I1253=0,"",INDEX(GL!$E:$E,I1253))</f>
        <v/>
      </c>
      <c r="M1253" s="19" t="str">
        <f aca="false">IF(OR(B1253=0,I1253=0),"",ROUND(G1253-L1253,2))</f>
        <v/>
      </c>
      <c r="N1253" s="5" t="str">
        <f aca="false">IF(A1253="","",IF(B1253=0,"NOT FOUND: bank ID",IF(I1253=0,"NOT FOUND: GL ID",IF(INDEX(GL!$H:$H,I1253)&lt;&gt;A1253,"BROKEN: GL points elsewhere",IF(OR(INDEX(Bank!$F:$F,B1253)&lt;&gt;"Y",INDEX(GL!$F:$F,I1253)&lt;&gt;"Y"),"BROKEN: Status not Y","OK")))))</f>
        <v/>
      </c>
    </row>
    <row r="1254" customFormat="false" ht="15" hidden="false" customHeight="false" outlineLevel="0" collapsed="false">
      <c r="A1254" s="41"/>
      <c r="B1254" s="5" t="n">
        <f aca="false">IF(A1254="",0,IFERROR(MATCH(A1254,Bank!$A:$A,0),0))</f>
        <v>0</v>
      </c>
      <c r="C1254" s="5" t="str">
        <f aca="false">IF(B1254=0,"",IF(INDEX(Bank!$G:$G,B1254)="","",INDEX(Bank!$G:$G,B1254)))</f>
        <v/>
      </c>
      <c r="D1254" s="5" t="str">
        <f aca="false">IF(B1254=0,"",IF(INDEX(Bank!$J:$J,B1254)="","",INDEX(Bank!$J:$J,B1254)))</f>
        <v/>
      </c>
      <c r="E1254" s="32" t="str">
        <f aca="false">IF(B1254=0,"",INDEX(Bank!$B:$B,B1254))</f>
        <v/>
      </c>
      <c r="F1254" s="5" t="str">
        <f aca="false">IF(B1254=0,"",IF(INDEX(Bank!$C:$C,B1254)="","",INDEX(Bank!$C:$C,B1254)))</f>
        <v/>
      </c>
      <c r="G1254" s="19" t="str">
        <f aca="false">IF(B1254=0,"",INDEX(Bank!$E:$E,B1254))</f>
        <v/>
      </c>
      <c r="H1254" s="5" t="str">
        <f aca="false">IF(B1254=0,"",IF(INDEX(Bank!$H:$H,B1254)="","",INDEX(Bank!$H:$H,B1254)))</f>
        <v/>
      </c>
      <c r="I1254" s="5" t="n">
        <f aca="false">IF(H1254="",0,IFERROR(MATCH(H1254,GL!$A:$A,0),0))</f>
        <v>0</v>
      </c>
      <c r="J1254" s="32" t="str">
        <f aca="false">IF(I1254=0,"",INDEX(GL!$B:$B,I1254))</f>
        <v/>
      </c>
      <c r="K1254" s="5" t="str">
        <f aca="false">IF(I1254=0,"",IF(INDEX(GL!$C:$C,I1254)="","",INDEX(GL!$C:$C,I1254)))</f>
        <v/>
      </c>
      <c r="L1254" s="19" t="str">
        <f aca="false">IF(I1254=0,"",INDEX(GL!$E:$E,I1254))</f>
        <v/>
      </c>
      <c r="M1254" s="19" t="str">
        <f aca="false">IF(OR(B1254=0,I1254=0),"",ROUND(G1254-L1254,2))</f>
        <v/>
      </c>
      <c r="N1254" s="5" t="str">
        <f aca="false">IF(A1254="","",IF(B1254=0,"NOT FOUND: bank ID",IF(I1254=0,"NOT FOUND: GL ID",IF(INDEX(GL!$H:$H,I1254)&lt;&gt;A1254,"BROKEN: GL points elsewhere",IF(OR(INDEX(Bank!$F:$F,B1254)&lt;&gt;"Y",INDEX(GL!$F:$F,I1254)&lt;&gt;"Y"),"BROKEN: Status not Y","OK")))))</f>
        <v/>
      </c>
    </row>
    <row r="1255" customFormat="false" ht="15" hidden="false" customHeight="false" outlineLevel="0" collapsed="false">
      <c r="A1255" s="41"/>
      <c r="B1255" s="5" t="n">
        <f aca="false">IF(A1255="",0,IFERROR(MATCH(A1255,Bank!$A:$A,0),0))</f>
        <v>0</v>
      </c>
      <c r="C1255" s="5" t="str">
        <f aca="false">IF(B1255=0,"",IF(INDEX(Bank!$G:$G,B1255)="","",INDEX(Bank!$G:$G,B1255)))</f>
        <v/>
      </c>
      <c r="D1255" s="5" t="str">
        <f aca="false">IF(B1255=0,"",IF(INDEX(Bank!$J:$J,B1255)="","",INDEX(Bank!$J:$J,B1255)))</f>
        <v/>
      </c>
      <c r="E1255" s="32" t="str">
        <f aca="false">IF(B1255=0,"",INDEX(Bank!$B:$B,B1255))</f>
        <v/>
      </c>
      <c r="F1255" s="5" t="str">
        <f aca="false">IF(B1255=0,"",IF(INDEX(Bank!$C:$C,B1255)="","",INDEX(Bank!$C:$C,B1255)))</f>
        <v/>
      </c>
      <c r="G1255" s="19" t="str">
        <f aca="false">IF(B1255=0,"",INDEX(Bank!$E:$E,B1255))</f>
        <v/>
      </c>
      <c r="H1255" s="5" t="str">
        <f aca="false">IF(B1255=0,"",IF(INDEX(Bank!$H:$H,B1255)="","",INDEX(Bank!$H:$H,B1255)))</f>
        <v/>
      </c>
      <c r="I1255" s="5" t="n">
        <f aca="false">IF(H1255="",0,IFERROR(MATCH(H1255,GL!$A:$A,0),0))</f>
        <v>0</v>
      </c>
      <c r="J1255" s="32" t="str">
        <f aca="false">IF(I1255=0,"",INDEX(GL!$B:$B,I1255))</f>
        <v/>
      </c>
      <c r="K1255" s="5" t="str">
        <f aca="false">IF(I1255=0,"",IF(INDEX(GL!$C:$C,I1255)="","",INDEX(GL!$C:$C,I1255)))</f>
        <v/>
      </c>
      <c r="L1255" s="19" t="str">
        <f aca="false">IF(I1255=0,"",INDEX(GL!$E:$E,I1255))</f>
        <v/>
      </c>
      <c r="M1255" s="19" t="str">
        <f aca="false">IF(OR(B1255=0,I1255=0),"",ROUND(G1255-L1255,2))</f>
        <v/>
      </c>
      <c r="N1255" s="5" t="str">
        <f aca="false">IF(A1255="","",IF(B1255=0,"NOT FOUND: bank ID",IF(I1255=0,"NOT FOUND: GL ID",IF(INDEX(GL!$H:$H,I1255)&lt;&gt;A1255,"BROKEN: GL points elsewhere",IF(OR(INDEX(Bank!$F:$F,B1255)&lt;&gt;"Y",INDEX(GL!$F:$F,I1255)&lt;&gt;"Y"),"BROKEN: Status not Y","OK")))))</f>
        <v/>
      </c>
    </row>
    <row r="1256" customFormat="false" ht="15" hidden="false" customHeight="false" outlineLevel="0" collapsed="false">
      <c r="A1256" s="41"/>
      <c r="B1256" s="5" t="n">
        <f aca="false">IF(A1256="",0,IFERROR(MATCH(A1256,Bank!$A:$A,0),0))</f>
        <v>0</v>
      </c>
      <c r="C1256" s="5" t="str">
        <f aca="false">IF(B1256=0,"",IF(INDEX(Bank!$G:$G,B1256)="","",INDEX(Bank!$G:$G,B1256)))</f>
        <v/>
      </c>
      <c r="D1256" s="5" t="str">
        <f aca="false">IF(B1256=0,"",IF(INDEX(Bank!$J:$J,B1256)="","",INDEX(Bank!$J:$J,B1256)))</f>
        <v/>
      </c>
      <c r="E1256" s="32" t="str">
        <f aca="false">IF(B1256=0,"",INDEX(Bank!$B:$B,B1256))</f>
        <v/>
      </c>
      <c r="F1256" s="5" t="str">
        <f aca="false">IF(B1256=0,"",IF(INDEX(Bank!$C:$C,B1256)="","",INDEX(Bank!$C:$C,B1256)))</f>
        <v/>
      </c>
      <c r="G1256" s="19" t="str">
        <f aca="false">IF(B1256=0,"",INDEX(Bank!$E:$E,B1256))</f>
        <v/>
      </c>
      <c r="H1256" s="5" t="str">
        <f aca="false">IF(B1256=0,"",IF(INDEX(Bank!$H:$H,B1256)="","",INDEX(Bank!$H:$H,B1256)))</f>
        <v/>
      </c>
      <c r="I1256" s="5" t="n">
        <f aca="false">IF(H1256="",0,IFERROR(MATCH(H1256,GL!$A:$A,0),0))</f>
        <v>0</v>
      </c>
      <c r="J1256" s="32" t="str">
        <f aca="false">IF(I1256=0,"",INDEX(GL!$B:$B,I1256))</f>
        <v/>
      </c>
      <c r="K1256" s="5" t="str">
        <f aca="false">IF(I1256=0,"",IF(INDEX(GL!$C:$C,I1256)="","",INDEX(GL!$C:$C,I1256)))</f>
        <v/>
      </c>
      <c r="L1256" s="19" t="str">
        <f aca="false">IF(I1256=0,"",INDEX(GL!$E:$E,I1256))</f>
        <v/>
      </c>
      <c r="M1256" s="19" t="str">
        <f aca="false">IF(OR(B1256=0,I1256=0),"",ROUND(G1256-L1256,2))</f>
        <v/>
      </c>
      <c r="N1256" s="5" t="str">
        <f aca="false">IF(A1256="","",IF(B1256=0,"NOT FOUND: bank ID",IF(I1256=0,"NOT FOUND: GL ID",IF(INDEX(GL!$H:$H,I1256)&lt;&gt;A1256,"BROKEN: GL points elsewhere",IF(OR(INDEX(Bank!$F:$F,B1256)&lt;&gt;"Y",INDEX(GL!$F:$F,I1256)&lt;&gt;"Y"),"BROKEN: Status not Y","OK")))))</f>
        <v/>
      </c>
    </row>
    <row r="1257" customFormat="false" ht="15" hidden="false" customHeight="false" outlineLevel="0" collapsed="false">
      <c r="A1257" s="41"/>
      <c r="B1257" s="5" t="n">
        <f aca="false">IF(A1257="",0,IFERROR(MATCH(A1257,Bank!$A:$A,0),0))</f>
        <v>0</v>
      </c>
      <c r="C1257" s="5" t="str">
        <f aca="false">IF(B1257=0,"",IF(INDEX(Bank!$G:$G,B1257)="","",INDEX(Bank!$G:$G,B1257)))</f>
        <v/>
      </c>
      <c r="D1257" s="5" t="str">
        <f aca="false">IF(B1257=0,"",IF(INDEX(Bank!$J:$J,B1257)="","",INDEX(Bank!$J:$J,B1257)))</f>
        <v/>
      </c>
      <c r="E1257" s="32" t="str">
        <f aca="false">IF(B1257=0,"",INDEX(Bank!$B:$B,B1257))</f>
        <v/>
      </c>
      <c r="F1257" s="5" t="str">
        <f aca="false">IF(B1257=0,"",IF(INDEX(Bank!$C:$C,B1257)="","",INDEX(Bank!$C:$C,B1257)))</f>
        <v/>
      </c>
      <c r="G1257" s="19" t="str">
        <f aca="false">IF(B1257=0,"",INDEX(Bank!$E:$E,B1257))</f>
        <v/>
      </c>
      <c r="H1257" s="5" t="str">
        <f aca="false">IF(B1257=0,"",IF(INDEX(Bank!$H:$H,B1257)="","",INDEX(Bank!$H:$H,B1257)))</f>
        <v/>
      </c>
      <c r="I1257" s="5" t="n">
        <f aca="false">IF(H1257="",0,IFERROR(MATCH(H1257,GL!$A:$A,0),0))</f>
        <v>0</v>
      </c>
      <c r="J1257" s="32" t="str">
        <f aca="false">IF(I1257=0,"",INDEX(GL!$B:$B,I1257))</f>
        <v/>
      </c>
      <c r="K1257" s="5" t="str">
        <f aca="false">IF(I1257=0,"",IF(INDEX(GL!$C:$C,I1257)="","",INDEX(GL!$C:$C,I1257)))</f>
        <v/>
      </c>
      <c r="L1257" s="19" t="str">
        <f aca="false">IF(I1257=0,"",INDEX(GL!$E:$E,I1257))</f>
        <v/>
      </c>
      <c r="M1257" s="19" t="str">
        <f aca="false">IF(OR(B1257=0,I1257=0),"",ROUND(G1257-L1257,2))</f>
        <v/>
      </c>
      <c r="N1257" s="5" t="str">
        <f aca="false">IF(A1257="","",IF(B1257=0,"NOT FOUND: bank ID",IF(I1257=0,"NOT FOUND: GL ID",IF(INDEX(GL!$H:$H,I1257)&lt;&gt;A1257,"BROKEN: GL points elsewhere",IF(OR(INDEX(Bank!$F:$F,B1257)&lt;&gt;"Y",INDEX(GL!$F:$F,I1257)&lt;&gt;"Y"),"BROKEN: Status not Y","OK")))))</f>
        <v/>
      </c>
    </row>
    <row r="1258" customFormat="false" ht="15" hidden="false" customHeight="false" outlineLevel="0" collapsed="false">
      <c r="A1258" s="41"/>
      <c r="B1258" s="5" t="n">
        <f aca="false">IF(A1258="",0,IFERROR(MATCH(A1258,Bank!$A:$A,0),0))</f>
        <v>0</v>
      </c>
      <c r="C1258" s="5" t="str">
        <f aca="false">IF(B1258=0,"",IF(INDEX(Bank!$G:$G,B1258)="","",INDEX(Bank!$G:$G,B1258)))</f>
        <v/>
      </c>
      <c r="D1258" s="5" t="str">
        <f aca="false">IF(B1258=0,"",IF(INDEX(Bank!$J:$J,B1258)="","",INDEX(Bank!$J:$J,B1258)))</f>
        <v/>
      </c>
      <c r="E1258" s="32" t="str">
        <f aca="false">IF(B1258=0,"",INDEX(Bank!$B:$B,B1258))</f>
        <v/>
      </c>
      <c r="F1258" s="5" t="str">
        <f aca="false">IF(B1258=0,"",IF(INDEX(Bank!$C:$C,B1258)="","",INDEX(Bank!$C:$C,B1258)))</f>
        <v/>
      </c>
      <c r="G1258" s="19" t="str">
        <f aca="false">IF(B1258=0,"",INDEX(Bank!$E:$E,B1258))</f>
        <v/>
      </c>
      <c r="H1258" s="5" t="str">
        <f aca="false">IF(B1258=0,"",IF(INDEX(Bank!$H:$H,B1258)="","",INDEX(Bank!$H:$H,B1258)))</f>
        <v/>
      </c>
      <c r="I1258" s="5" t="n">
        <f aca="false">IF(H1258="",0,IFERROR(MATCH(H1258,GL!$A:$A,0),0))</f>
        <v>0</v>
      </c>
      <c r="J1258" s="32" t="str">
        <f aca="false">IF(I1258=0,"",INDEX(GL!$B:$B,I1258))</f>
        <v/>
      </c>
      <c r="K1258" s="5" t="str">
        <f aca="false">IF(I1258=0,"",IF(INDEX(GL!$C:$C,I1258)="","",INDEX(GL!$C:$C,I1258)))</f>
        <v/>
      </c>
      <c r="L1258" s="19" t="str">
        <f aca="false">IF(I1258=0,"",INDEX(GL!$E:$E,I1258))</f>
        <v/>
      </c>
      <c r="M1258" s="19" t="str">
        <f aca="false">IF(OR(B1258=0,I1258=0),"",ROUND(G1258-L1258,2))</f>
        <v/>
      </c>
      <c r="N1258" s="5" t="str">
        <f aca="false">IF(A1258="","",IF(B1258=0,"NOT FOUND: bank ID",IF(I1258=0,"NOT FOUND: GL ID",IF(INDEX(GL!$H:$H,I1258)&lt;&gt;A1258,"BROKEN: GL points elsewhere",IF(OR(INDEX(Bank!$F:$F,B1258)&lt;&gt;"Y",INDEX(GL!$F:$F,I1258)&lt;&gt;"Y"),"BROKEN: Status not Y","OK")))))</f>
        <v/>
      </c>
    </row>
    <row r="1259" customFormat="false" ht="15" hidden="false" customHeight="false" outlineLevel="0" collapsed="false">
      <c r="A1259" s="41"/>
      <c r="B1259" s="5" t="n">
        <f aca="false">IF(A1259="",0,IFERROR(MATCH(A1259,Bank!$A:$A,0),0))</f>
        <v>0</v>
      </c>
      <c r="C1259" s="5" t="str">
        <f aca="false">IF(B1259=0,"",IF(INDEX(Bank!$G:$G,B1259)="","",INDEX(Bank!$G:$G,B1259)))</f>
        <v/>
      </c>
      <c r="D1259" s="5" t="str">
        <f aca="false">IF(B1259=0,"",IF(INDEX(Bank!$J:$J,B1259)="","",INDEX(Bank!$J:$J,B1259)))</f>
        <v/>
      </c>
      <c r="E1259" s="32" t="str">
        <f aca="false">IF(B1259=0,"",INDEX(Bank!$B:$B,B1259))</f>
        <v/>
      </c>
      <c r="F1259" s="5" t="str">
        <f aca="false">IF(B1259=0,"",IF(INDEX(Bank!$C:$C,B1259)="","",INDEX(Bank!$C:$C,B1259)))</f>
        <v/>
      </c>
      <c r="G1259" s="19" t="str">
        <f aca="false">IF(B1259=0,"",INDEX(Bank!$E:$E,B1259))</f>
        <v/>
      </c>
      <c r="H1259" s="5" t="str">
        <f aca="false">IF(B1259=0,"",IF(INDEX(Bank!$H:$H,B1259)="","",INDEX(Bank!$H:$H,B1259)))</f>
        <v/>
      </c>
      <c r="I1259" s="5" t="n">
        <f aca="false">IF(H1259="",0,IFERROR(MATCH(H1259,GL!$A:$A,0),0))</f>
        <v>0</v>
      </c>
      <c r="J1259" s="32" t="str">
        <f aca="false">IF(I1259=0,"",INDEX(GL!$B:$B,I1259))</f>
        <v/>
      </c>
      <c r="K1259" s="5" t="str">
        <f aca="false">IF(I1259=0,"",IF(INDEX(GL!$C:$C,I1259)="","",INDEX(GL!$C:$C,I1259)))</f>
        <v/>
      </c>
      <c r="L1259" s="19" t="str">
        <f aca="false">IF(I1259=0,"",INDEX(GL!$E:$E,I1259))</f>
        <v/>
      </c>
      <c r="M1259" s="19" t="str">
        <f aca="false">IF(OR(B1259=0,I1259=0),"",ROUND(G1259-L1259,2))</f>
        <v/>
      </c>
      <c r="N1259" s="5" t="str">
        <f aca="false">IF(A1259="","",IF(B1259=0,"NOT FOUND: bank ID",IF(I1259=0,"NOT FOUND: GL ID",IF(INDEX(GL!$H:$H,I1259)&lt;&gt;A1259,"BROKEN: GL points elsewhere",IF(OR(INDEX(Bank!$F:$F,B1259)&lt;&gt;"Y",INDEX(GL!$F:$F,I1259)&lt;&gt;"Y"),"BROKEN: Status not Y","OK")))))</f>
        <v/>
      </c>
    </row>
    <row r="1260" customFormat="false" ht="15" hidden="false" customHeight="false" outlineLevel="0" collapsed="false">
      <c r="A1260" s="41"/>
      <c r="B1260" s="5" t="n">
        <f aca="false">IF(A1260="",0,IFERROR(MATCH(A1260,Bank!$A:$A,0),0))</f>
        <v>0</v>
      </c>
      <c r="C1260" s="5" t="str">
        <f aca="false">IF(B1260=0,"",IF(INDEX(Bank!$G:$G,B1260)="","",INDEX(Bank!$G:$G,B1260)))</f>
        <v/>
      </c>
      <c r="D1260" s="5" t="str">
        <f aca="false">IF(B1260=0,"",IF(INDEX(Bank!$J:$J,B1260)="","",INDEX(Bank!$J:$J,B1260)))</f>
        <v/>
      </c>
      <c r="E1260" s="32" t="str">
        <f aca="false">IF(B1260=0,"",INDEX(Bank!$B:$B,B1260))</f>
        <v/>
      </c>
      <c r="F1260" s="5" t="str">
        <f aca="false">IF(B1260=0,"",IF(INDEX(Bank!$C:$C,B1260)="","",INDEX(Bank!$C:$C,B1260)))</f>
        <v/>
      </c>
      <c r="G1260" s="19" t="str">
        <f aca="false">IF(B1260=0,"",INDEX(Bank!$E:$E,B1260))</f>
        <v/>
      </c>
      <c r="H1260" s="5" t="str">
        <f aca="false">IF(B1260=0,"",IF(INDEX(Bank!$H:$H,B1260)="","",INDEX(Bank!$H:$H,B1260)))</f>
        <v/>
      </c>
      <c r="I1260" s="5" t="n">
        <f aca="false">IF(H1260="",0,IFERROR(MATCH(H1260,GL!$A:$A,0),0))</f>
        <v>0</v>
      </c>
      <c r="J1260" s="32" t="str">
        <f aca="false">IF(I1260=0,"",INDEX(GL!$B:$B,I1260))</f>
        <v/>
      </c>
      <c r="K1260" s="5" t="str">
        <f aca="false">IF(I1260=0,"",IF(INDEX(GL!$C:$C,I1260)="","",INDEX(GL!$C:$C,I1260)))</f>
        <v/>
      </c>
      <c r="L1260" s="19" t="str">
        <f aca="false">IF(I1260=0,"",INDEX(GL!$E:$E,I1260))</f>
        <v/>
      </c>
      <c r="M1260" s="19" t="str">
        <f aca="false">IF(OR(B1260=0,I1260=0),"",ROUND(G1260-L1260,2))</f>
        <v/>
      </c>
      <c r="N1260" s="5" t="str">
        <f aca="false">IF(A1260="","",IF(B1260=0,"NOT FOUND: bank ID",IF(I1260=0,"NOT FOUND: GL ID",IF(INDEX(GL!$H:$H,I1260)&lt;&gt;A1260,"BROKEN: GL points elsewhere",IF(OR(INDEX(Bank!$F:$F,B1260)&lt;&gt;"Y",INDEX(GL!$F:$F,I1260)&lt;&gt;"Y"),"BROKEN: Status not Y","OK")))))</f>
        <v/>
      </c>
    </row>
    <row r="1261" customFormat="false" ht="15" hidden="false" customHeight="false" outlineLevel="0" collapsed="false">
      <c r="A1261" s="41"/>
      <c r="B1261" s="5" t="n">
        <f aca="false">IF(A1261="",0,IFERROR(MATCH(A1261,Bank!$A:$A,0),0))</f>
        <v>0</v>
      </c>
      <c r="C1261" s="5" t="str">
        <f aca="false">IF(B1261=0,"",IF(INDEX(Bank!$G:$G,B1261)="","",INDEX(Bank!$G:$G,B1261)))</f>
        <v/>
      </c>
      <c r="D1261" s="5" t="str">
        <f aca="false">IF(B1261=0,"",IF(INDEX(Bank!$J:$J,B1261)="","",INDEX(Bank!$J:$J,B1261)))</f>
        <v/>
      </c>
      <c r="E1261" s="32" t="str">
        <f aca="false">IF(B1261=0,"",INDEX(Bank!$B:$B,B1261))</f>
        <v/>
      </c>
      <c r="F1261" s="5" t="str">
        <f aca="false">IF(B1261=0,"",IF(INDEX(Bank!$C:$C,B1261)="","",INDEX(Bank!$C:$C,B1261)))</f>
        <v/>
      </c>
      <c r="G1261" s="19" t="str">
        <f aca="false">IF(B1261=0,"",INDEX(Bank!$E:$E,B1261))</f>
        <v/>
      </c>
      <c r="H1261" s="5" t="str">
        <f aca="false">IF(B1261=0,"",IF(INDEX(Bank!$H:$H,B1261)="","",INDEX(Bank!$H:$H,B1261)))</f>
        <v/>
      </c>
      <c r="I1261" s="5" t="n">
        <f aca="false">IF(H1261="",0,IFERROR(MATCH(H1261,GL!$A:$A,0),0))</f>
        <v>0</v>
      </c>
      <c r="J1261" s="32" t="str">
        <f aca="false">IF(I1261=0,"",INDEX(GL!$B:$B,I1261))</f>
        <v/>
      </c>
      <c r="K1261" s="5" t="str">
        <f aca="false">IF(I1261=0,"",IF(INDEX(GL!$C:$C,I1261)="","",INDEX(GL!$C:$C,I1261)))</f>
        <v/>
      </c>
      <c r="L1261" s="19" t="str">
        <f aca="false">IF(I1261=0,"",INDEX(GL!$E:$E,I1261))</f>
        <v/>
      </c>
      <c r="M1261" s="19" t="str">
        <f aca="false">IF(OR(B1261=0,I1261=0),"",ROUND(G1261-L1261,2))</f>
        <v/>
      </c>
      <c r="N1261" s="5" t="str">
        <f aca="false">IF(A1261="","",IF(B1261=0,"NOT FOUND: bank ID",IF(I1261=0,"NOT FOUND: GL ID",IF(INDEX(GL!$H:$H,I1261)&lt;&gt;A1261,"BROKEN: GL points elsewhere",IF(OR(INDEX(Bank!$F:$F,B1261)&lt;&gt;"Y",INDEX(GL!$F:$F,I1261)&lt;&gt;"Y"),"BROKEN: Status not Y","OK")))))</f>
        <v/>
      </c>
    </row>
    <row r="1262" customFormat="false" ht="15" hidden="false" customHeight="false" outlineLevel="0" collapsed="false">
      <c r="A1262" s="41"/>
      <c r="B1262" s="5" t="n">
        <f aca="false">IF(A1262="",0,IFERROR(MATCH(A1262,Bank!$A:$A,0),0))</f>
        <v>0</v>
      </c>
      <c r="C1262" s="5" t="str">
        <f aca="false">IF(B1262=0,"",IF(INDEX(Bank!$G:$G,B1262)="","",INDEX(Bank!$G:$G,B1262)))</f>
        <v/>
      </c>
      <c r="D1262" s="5" t="str">
        <f aca="false">IF(B1262=0,"",IF(INDEX(Bank!$J:$J,B1262)="","",INDEX(Bank!$J:$J,B1262)))</f>
        <v/>
      </c>
      <c r="E1262" s="32" t="str">
        <f aca="false">IF(B1262=0,"",INDEX(Bank!$B:$B,B1262))</f>
        <v/>
      </c>
      <c r="F1262" s="5" t="str">
        <f aca="false">IF(B1262=0,"",IF(INDEX(Bank!$C:$C,B1262)="","",INDEX(Bank!$C:$C,B1262)))</f>
        <v/>
      </c>
      <c r="G1262" s="19" t="str">
        <f aca="false">IF(B1262=0,"",INDEX(Bank!$E:$E,B1262))</f>
        <v/>
      </c>
      <c r="H1262" s="5" t="str">
        <f aca="false">IF(B1262=0,"",IF(INDEX(Bank!$H:$H,B1262)="","",INDEX(Bank!$H:$H,B1262)))</f>
        <v/>
      </c>
      <c r="I1262" s="5" t="n">
        <f aca="false">IF(H1262="",0,IFERROR(MATCH(H1262,GL!$A:$A,0),0))</f>
        <v>0</v>
      </c>
      <c r="J1262" s="32" t="str">
        <f aca="false">IF(I1262=0,"",INDEX(GL!$B:$B,I1262))</f>
        <v/>
      </c>
      <c r="K1262" s="5" t="str">
        <f aca="false">IF(I1262=0,"",IF(INDEX(GL!$C:$C,I1262)="","",INDEX(GL!$C:$C,I1262)))</f>
        <v/>
      </c>
      <c r="L1262" s="19" t="str">
        <f aca="false">IF(I1262=0,"",INDEX(GL!$E:$E,I1262))</f>
        <v/>
      </c>
      <c r="M1262" s="19" t="str">
        <f aca="false">IF(OR(B1262=0,I1262=0),"",ROUND(G1262-L1262,2))</f>
        <v/>
      </c>
      <c r="N1262" s="5" t="str">
        <f aca="false">IF(A1262="","",IF(B1262=0,"NOT FOUND: bank ID",IF(I1262=0,"NOT FOUND: GL ID",IF(INDEX(GL!$H:$H,I1262)&lt;&gt;A1262,"BROKEN: GL points elsewhere",IF(OR(INDEX(Bank!$F:$F,B1262)&lt;&gt;"Y",INDEX(GL!$F:$F,I1262)&lt;&gt;"Y"),"BROKEN: Status not Y","OK")))))</f>
        <v/>
      </c>
    </row>
    <row r="1263" customFormat="false" ht="15" hidden="false" customHeight="false" outlineLevel="0" collapsed="false">
      <c r="A1263" s="41"/>
      <c r="B1263" s="5" t="n">
        <f aca="false">IF(A1263="",0,IFERROR(MATCH(A1263,Bank!$A:$A,0),0))</f>
        <v>0</v>
      </c>
      <c r="C1263" s="5" t="str">
        <f aca="false">IF(B1263=0,"",IF(INDEX(Bank!$G:$G,B1263)="","",INDEX(Bank!$G:$G,B1263)))</f>
        <v/>
      </c>
      <c r="D1263" s="5" t="str">
        <f aca="false">IF(B1263=0,"",IF(INDEX(Bank!$J:$J,B1263)="","",INDEX(Bank!$J:$J,B1263)))</f>
        <v/>
      </c>
      <c r="E1263" s="32" t="str">
        <f aca="false">IF(B1263=0,"",INDEX(Bank!$B:$B,B1263))</f>
        <v/>
      </c>
      <c r="F1263" s="5" t="str">
        <f aca="false">IF(B1263=0,"",IF(INDEX(Bank!$C:$C,B1263)="","",INDEX(Bank!$C:$C,B1263)))</f>
        <v/>
      </c>
      <c r="G1263" s="19" t="str">
        <f aca="false">IF(B1263=0,"",INDEX(Bank!$E:$E,B1263))</f>
        <v/>
      </c>
      <c r="H1263" s="5" t="str">
        <f aca="false">IF(B1263=0,"",IF(INDEX(Bank!$H:$H,B1263)="","",INDEX(Bank!$H:$H,B1263)))</f>
        <v/>
      </c>
      <c r="I1263" s="5" t="n">
        <f aca="false">IF(H1263="",0,IFERROR(MATCH(H1263,GL!$A:$A,0),0))</f>
        <v>0</v>
      </c>
      <c r="J1263" s="32" t="str">
        <f aca="false">IF(I1263=0,"",INDEX(GL!$B:$B,I1263))</f>
        <v/>
      </c>
      <c r="K1263" s="5" t="str">
        <f aca="false">IF(I1263=0,"",IF(INDEX(GL!$C:$C,I1263)="","",INDEX(GL!$C:$C,I1263)))</f>
        <v/>
      </c>
      <c r="L1263" s="19" t="str">
        <f aca="false">IF(I1263=0,"",INDEX(GL!$E:$E,I1263))</f>
        <v/>
      </c>
      <c r="M1263" s="19" t="str">
        <f aca="false">IF(OR(B1263=0,I1263=0),"",ROUND(G1263-L1263,2))</f>
        <v/>
      </c>
      <c r="N1263" s="5" t="str">
        <f aca="false">IF(A1263="","",IF(B1263=0,"NOT FOUND: bank ID",IF(I1263=0,"NOT FOUND: GL ID",IF(INDEX(GL!$H:$H,I1263)&lt;&gt;A1263,"BROKEN: GL points elsewhere",IF(OR(INDEX(Bank!$F:$F,B1263)&lt;&gt;"Y",INDEX(GL!$F:$F,I1263)&lt;&gt;"Y"),"BROKEN: Status not Y","OK")))))</f>
        <v/>
      </c>
    </row>
    <row r="1264" customFormat="false" ht="15" hidden="false" customHeight="false" outlineLevel="0" collapsed="false">
      <c r="A1264" s="41"/>
      <c r="B1264" s="5" t="n">
        <f aca="false">IF(A1264="",0,IFERROR(MATCH(A1264,Bank!$A:$A,0),0))</f>
        <v>0</v>
      </c>
      <c r="C1264" s="5" t="str">
        <f aca="false">IF(B1264=0,"",IF(INDEX(Bank!$G:$G,B1264)="","",INDEX(Bank!$G:$G,B1264)))</f>
        <v/>
      </c>
      <c r="D1264" s="5" t="str">
        <f aca="false">IF(B1264=0,"",IF(INDEX(Bank!$J:$J,B1264)="","",INDEX(Bank!$J:$J,B1264)))</f>
        <v/>
      </c>
      <c r="E1264" s="32" t="str">
        <f aca="false">IF(B1264=0,"",INDEX(Bank!$B:$B,B1264))</f>
        <v/>
      </c>
      <c r="F1264" s="5" t="str">
        <f aca="false">IF(B1264=0,"",IF(INDEX(Bank!$C:$C,B1264)="","",INDEX(Bank!$C:$C,B1264)))</f>
        <v/>
      </c>
      <c r="G1264" s="19" t="str">
        <f aca="false">IF(B1264=0,"",INDEX(Bank!$E:$E,B1264))</f>
        <v/>
      </c>
      <c r="H1264" s="5" t="str">
        <f aca="false">IF(B1264=0,"",IF(INDEX(Bank!$H:$H,B1264)="","",INDEX(Bank!$H:$H,B1264)))</f>
        <v/>
      </c>
      <c r="I1264" s="5" t="n">
        <f aca="false">IF(H1264="",0,IFERROR(MATCH(H1264,GL!$A:$A,0),0))</f>
        <v>0</v>
      </c>
      <c r="J1264" s="32" t="str">
        <f aca="false">IF(I1264=0,"",INDEX(GL!$B:$B,I1264))</f>
        <v/>
      </c>
      <c r="K1264" s="5" t="str">
        <f aca="false">IF(I1264=0,"",IF(INDEX(GL!$C:$C,I1264)="","",INDEX(GL!$C:$C,I1264)))</f>
        <v/>
      </c>
      <c r="L1264" s="19" t="str">
        <f aca="false">IF(I1264=0,"",INDEX(GL!$E:$E,I1264))</f>
        <v/>
      </c>
      <c r="M1264" s="19" t="str">
        <f aca="false">IF(OR(B1264=0,I1264=0),"",ROUND(G1264-L1264,2))</f>
        <v/>
      </c>
      <c r="N1264" s="5" t="str">
        <f aca="false">IF(A1264="","",IF(B1264=0,"NOT FOUND: bank ID",IF(I1264=0,"NOT FOUND: GL ID",IF(INDEX(GL!$H:$H,I1264)&lt;&gt;A1264,"BROKEN: GL points elsewhere",IF(OR(INDEX(Bank!$F:$F,B1264)&lt;&gt;"Y",INDEX(GL!$F:$F,I1264)&lt;&gt;"Y"),"BROKEN: Status not Y","OK")))))</f>
        <v/>
      </c>
    </row>
    <row r="1265" customFormat="false" ht="15" hidden="false" customHeight="false" outlineLevel="0" collapsed="false">
      <c r="A1265" s="41"/>
      <c r="B1265" s="5" t="n">
        <f aca="false">IF(A1265="",0,IFERROR(MATCH(A1265,Bank!$A:$A,0),0))</f>
        <v>0</v>
      </c>
      <c r="C1265" s="5" t="str">
        <f aca="false">IF(B1265=0,"",IF(INDEX(Bank!$G:$G,B1265)="","",INDEX(Bank!$G:$G,B1265)))</f>
        <v/>
      </c>
      <c r="D1265" s="5" t="str">
        <f aca="false">IF(B1265=0,"",IF(INDEX(Bank!$J:$J,B1265)="","",INDEX(Bank!$J:$J,B1265)))</f>
        <v/>
      </c>
      <c r="E1265" s="32" t="str">
        <f aca="false">IF(B1265=0,"",INDEX(Bank!$B:$B,B1265))</f>
        <v/>
      </c>
      <c r="F1265" s="5" t="str">
        <f aca="false">IF(B1265=0,"",IF(INDEX(Bank!$C:$C,B1265)="","",INDEX(Bank!$C:$C,B1265)))</f>
        <v/>
      </c>
      <c r="G1265" s="19" t="str">
        <f aca="false">IF(B1265=0,"",INDEX(Bank!$E:$E,B1265))</f>
        <v/>
      </c>
      <c r="H1265" s="5" t="str">
        <f aca="false">IF(B1265=0,"",IF(INDEX(Bank!$H:$H,B1265)="","",INDEX(Bank!$H:$H,B1265)))</f>
        <v/>
      </c>
      <c r="I1265" s="5" t="n">
        <f aca="false">IF(H1265="",0,IFERROR(MATCH(H1265,GL!$A:$A,0),0))</f>
        <v>0</v>
      </c>
      <c r="J1265" s="32" t="str">
        <f aca="false">IF(I1265=0,"",INDEX(GL!$B:$B,I1265))</f>
        <v/>
      </c>
      <c r="K1265" s="5" t="str">
        <f aca="false">IF(I1265=0,"",IF(INDEX(GL!$C:$C,I1265)="","",INDEX(GL!$C:$C,I1265)))</f>
        <v/>
      </c>
      <c r="L1265" s="19" t="str">
        <f aca="false">IF(I1265=0,"",INDEX(GL!$E:$E,I1265))</f>
        <v/>
      </c>
      <c r="M1265" s="19" t="str">
        <f aca="false">IF(OR(B1265=0,I1265=0),"",ROUND(G1265-L1265,2))</f>
        <v/>
      </c>
      <c r="N1265" s="5" t="str">
        <f aca="false">IF(A1265="","",IF(B1265=0,"NOT FOUND: bank ID",IF(I1265=0,"NOT FOUND: GL ID",IF(INDEX(GL!$H:$H,I1265)&lt;&gt;A1265,"BROKEN: GL points elsewhere",IF(OR(INDEX(Bank!$F:$F,B1265)&lt;&gt;"Y",INDEX(GL!$F:$F,I1265)&lt;&gt;"Y"),"BROKEN: Status not Y","OK")))))</f>
        <v/>
      </c>
    </row>
    <row r="1266" customFormat="false" ht="15" hidden="false" customHeight="false" outlineLevel="0" collapsed="false">
      <c r="A1266" s="41"/>
      <c r="B1266" s="5" t="n">
        <f aca="false">IF(A1266="",0,IFERROR(MATCH(A1266,Bank!$A:$A,0),0))</f>
        <v>0</v>
      </c>
      <c r="C1266" s="5" t="str">
        <f aca="false">IF(B1266=0,"",IF(INDEX(Bank!$G:$G,B1266)="","",INDEX(Bank!$G:$G,B1266)))</f>
        <v/>
      </c>
      <c r="D1266" s="5" t="str">
        <f aca="false">IF(B1266=0,"",IF(INDEX(Bank!$J:$J,B1266)="","",INDEX(Bank!$J:$J,B1266)))</f>
        <v/>
      </c>
      <c r="E1266" s="32" t="str">
        <f aca="false">IF(B1266=0,"",INDEX(Bank!$B:$B,B1266))</f>
        <v/>
      </c>
      <c r="F1266" s="5" t="str">
        <f aca="false">IF(B1266=0,"",IF(INDEX(Bank!$C:$C,B1266)="","",INDEX(Bank!$C:$C,B1266)))</f>
        <v/>
      </c>
      <c r="G1266" s="19" t="str">
        <f aca="false">IF(B1266=0,"",INDEX(Bank!$E:$E,B1266))</f>
        <v/>
      </c>
      <c r="H1266" s="5" t="str">
        <f aca="false">IF(B1266=0,"",IF(INDEX(Bank!$H:$H,B1266)="","",INDEX(Bank!$H:$H,B1266)))</f>
        <v/>
      </c>
      <c r="I1266" s="5" t="n">
        <f aca="false">IF(H1266="",0,IFERROR(MATCH(H1266,GL!$A:$A,0),0))</f>
        <v>0</v>
      </c>
      <c r="J1266" s="32" t="str">
        <f aca="false">IF(I1266=0,"",INDEX(GL!$B:$B,I1266))</f>
        <v/>
      </c>
      <c r="K1266" s="5" t="str">
        <f aca="false">IF(I1266=0,"",IF(INDEX(GL!$C:$C,I1266)="","",INDEX(GL!$C:$C,I1266)))</f>
        <v/>
      </c>
      <c r="L1266" s="19" t="str">
        <f aca="false">IF(I1266=0,"",INDEX(GL!$E:$E,I1266))</f>
        <v/>
      </c>
      <c r="M1266" s="19" t="str">
        <f aca="false">IF(OR(B1266=0,I1266=0),"",ROUND(G1266-L1266,2))</f>
        <v/>
      </c>
      <c r="N1266" s="5" t="str">
        <f aca="false">IF(A1266="","",IF(B1266=0,"NOT FOUND: bank ID",IF(I1266=0,"NOT FOUND: GL ID",IF(INDEX(GL!$H:$H,I1266)&lt;&gt;A1266,"BROKEN: GL points elsewhere",IF(OR(INDEX(Bank!$F:$F,B1266)&lt;&gt;"Y",INDEX(GL!$F:$F,I1266)&lt;&gt;"Y"),"BROKEN: Status not Y","OK")))))</f>
        <v/>
      </c>
    </row>
    <row r="1267" customFormat="false" ht="15" hidden="false" customHeight="false" outlineLevel="0" collapsed="false">
      <c r="A1267" s="41"/>
      <c r="B1267" s="5" t="n">
        <f aca="false">IF(A1267="",0,IFERROR(MATCH(A1267,Bank!$A:$A,0),0))</f>
        <v>0</v>
      </c>
      <c r="C1267" s="5" t="str">
        <f aca="false">IF(B1267=0,"",IF(INDEX(Bank!$G:$G,B1267)="","",INDEX(Bank!$G:$G,B1267)))</f>
        <v/>
      </c>
      <c r="D1267" s="5" t="str">
        <f aca="false">IF(B1267=0,"",IF(INDEX(Bank!$J:$J,B1267)="","",INDEX(Bank!$J:$J,B1267)))</f>
        <v/>
      </c>
      <c r="E1267" s="32" t="str">
        <f aca="false">IF(B1267=0,"",INDEX(Bank!$B:$B,B1267))</f>
        <v/>
      </c>
      <c r="F1267" s="5" t="str">
        <f aca="false">IF(B1267=0,"",IF(INDEX(Bank!$C:$C,B1267)="","",INDEX(Bank!$C:$C,B1267)))</f>
        <v/>
      </c>
      <c r="G1267" s="19" t="str">
        <f aca="false">IF(B1267=0,"",INDEX(Bank!$E:$E,B1267))</f>
        <v/>
      </c>
      <c r="H1267" s="5" t="str">
        <f aca="false">IF(B1267=0,"",IF(INDEX(Bank!$H:$H,B1267)="","",INDEX(Bank!$H:$H,B1267)))</f>
        <v/>
      </c>
      <c r="I1267" s="5" t="n">
        <f aca="false">IF(H1267="",0,IFERROR(MATCH(H1267,GL!$A:$A,0),0))</f>
        <v>0</v>
      </c>
      <c r="J1267" s="32" t="str">
        <f aca="false">IF(I1267=0,"",INDEX(GL!$B:$B,I1267))</f>
        <v/>
      </c>
      <c r="K1267" s="5" t="str">
        <f aca="false">IF(I1267=0,"",IF(INDEX(GL!$C:$C,I1267)="","",INDEX(GL!$C:$C,I1267)))</f>
        <v/>
      </c>
      <c r="L1267" s="19" t="str">
        <f aca="false">IF(I1267=0,"",INDEX(GL!$E:$E,I1267))</f>
        <v/>
      </c>
      <c r="M1267" s="19" t="str">
        <f aca="false">IF(OR(B1267=0,I1267=0),"",ROUND(G1267-L1267,2))</f>
        <v/>
      </c>
      <c r="N1267" s="5" t="str">
        <f aca="false">IF(A1267="","",IF(B1267=0,"NOT FOUND: bank ID",IF(I1267=0,"NOT FOUND: GL ID",IF(INDEX(GL!$H:$H,I1267)&lt;&gt;A1267,"BROKEN: GL points elsewhere",IF(OR(INDEX(Bank!$F:$F,B1267)&lt;&gt;"Y",INDEX(GL!$F:$F,I1267)&lt;&gt;"Y"),"BROKEN: Status not Y","OK")))))</f>
        <v/>
      </c>
    </row>
    <row r="1268" customFormat="false" ht="15" hidden="false" customHeight="false" outlineLevel="0" collapsed="false">
      <c r="A1268" s="41"/>
      <c r="B1268" s="5" t="n">
        <f aca="false">IF(A1268="",0,IFERROR(MATCH(A1268,Bank!$A:$A,0),0))</f>
        <v>0</v>
      </c>
      <c r="C1268" s="5" t="str">
        <f aca="false">IF(B1268=0,"",IF(INDEX(Bank!$G:$G,B1268)="","",INDEX(Bank!$G:$G,B1268)))</f>
        <v/>
      </c>
      <c r="D1268" s="5" t="str">
        <f aca="false">IF(B1268=0,"",IF(INDEX(Bank!$J:$J,B1268)="","",INDEX(Bank!$J:$J,B1268)))</f>
        <v/>
      </c>
      <c r="E1268" s="32" t="str">
        <f aca="false">IF(B1268=0,"",INDEX(Bank!$B:$B,B1268))</f>
        <v/>
      </c>
      <c r="F1268" s="5" t="str">
        <f aca="false">IF(B1268=0,"",IF(INDEX(Bank!$C:$C,B1268)="","",INDEX(Bank!$C:$C,B1268)))</f>
        <v/>
      </c>
      <c r="G1268" s="19" t="str">
        <f aca="false">IF(B1268=0,"",INDEX(Bank!$E:$E,B1268))</f>
        <v/>
      </c>
      <c r="H1268" s="5" t="str">
        <f aca="false">IF(B1268=0,"",IF(INDEX(Bank!$H:$H,B1268)="","",INDEX(Bank!$H:$H,B1268)))</f>
        <v/>
      </c>
      <c r="I1268" s="5" t="n">
        <f aca="false">IF(H1268="",0,IFERROR(MATCH(H1268,GL!$A:$A,0),0))</f>
        <v>0</v>
      </c>
      <c r="J1268" s="32" t="str">
        <f aca="false">IF(I1268=0,"",INDEX(GL!$B:$B,I1268))</f>
        <v/>
      </c>
      <c r="K1268" s="5" t="str">
        <f aca="false">IF(I1268=0,"",IF(INDEX(GL!$C:$C,I1268)="","",INDEX(GL!$C:$C,I1268)))</f>
        <v/>
      </c>
      <c r="L1268" s="19" t="str">
        <f aca="false">IF(I1268=0,"",INDEX(GL!$E:$E,I1268))</f>
        <v/>
      </c>
      <c r="M1268" s="19" t="str">
        <f aca="false">IF(OR(B1268=0,I1268=0),"",ROUND(G1268-L1268,2))</f>
        <v/>
      </c>
      <c r="N1268" s="5" t="str">
        <f aca="false">IF(A1268="","",IF(B1268=0,"NOT FOUND: bank ID",IF(I1268=0,"NOT FOUND: GL ID",IF(INDEX(GL!$H:$H,I1268)&lt;&gt;A1268,"BROKEN: GL points elsewhere",IF(OR(INDEX(Bank!$F:$F,B1268)&lt;&gt;"Y",INDEX(GL!$F:$F,I1268)&lt;&gt;"Y"),"BROKEN: Status not Y","OK")))))</f>
        <v/>
      </c>
    </row>
    <row r="1269" customFormat="false" ht="15" hidden="false" customHeight="false" outlineLevel="0" collapsed="false">
      <c r="A1269" s="41"/>
      <c r="B1269" s="5" t="n">
        <f aca="false">IF(A1269="",0,IFERROR(MATCH(A1269,Bank!$A:$A,0),0))</f>
        <v>0</v>
      </c>
      <c r="C1269" s="5" t="str">
        <f aca="false">IF(B1269=0,"",IF(INDEX(Bank!$G:$G,B1269)="","",INDEX(Bank!$G:$G,B1269)))</f>
        <v/>
      </c>
      <c r="D1269" s="5" t="str">
        <f aca="false">IF(B1269=0,"",IF(INDEX(Bank!$J:$J,B1269)="","",INDEX(Bank!$J:$J,B1269)))</f>
        <v/>
      </c>
      <c r="E1269" s="32" t="str">
        <f aca="false">IF(B1269=0,"",INDEX(Bank!$B:$B,B1269))</f>
        <v/>
      </c>
      <c r="F1269" s="5" t="str">
        <f aca="false">IF(B1269=0,"",IF(INDEX(Bank!$C:$C,B1269)="","",INDEX(Bank!$C:$C,B1269)))</f>
        <v/>
      </c>
      <c r="G1269" s="19" t="str">
        <f aca="false">IF(B1269=0,"",INDEX(Bank!$E:$E,B1269))</f>
        <v/>
      </c>
      <c r="H1269" s="5" t="str">
        <f aca="false">IF(B1269=0,"",IF(INDEX(Bank!$H:$H,B1269)="","",INDEX(Bank!$H:$H,B1269)))</f>
        <v/>
      </c>
      <c r="I1269" s="5" t="n">
        <f aca="false">IF(H1269="",0,IFERROR(MATCH(H1269,GL!$A:$A,0),0))</f>
        <v>0</v>
      </c>
      <c r="J1269" s="32" t="str">
        <f aca="false">IF(I1269=0,"",INDEX(GL!$B:$B,I1269))</f>
        <v/>
      </c>
      <c r="K1269" s="5" t="str">
        <f aca="false">IF(I1269=0,"",IF(INDEX(GL!$C:$C,I1269)="","",INDEX(GL!$C:$C,I1269)))</f>
        <v/>
      </c>
      <c r="L1269" s="19" t="str">
        <f aca="false">IF(I1269=0,"",INDEX(GL!$E:$E,I1269))</f>
        <v/>
      </c>
      <c r="M1269" s="19" t="str">
        <f aca="false">IF(OR(B1269=0,I1269=0),"",ROUND(G1269-L1269,2))</f>
        <v/>
      </c>
      <c r="N1269" s="5" t="str">
        <f aca="false">IF(A1269="","",IF(B1269=0,"NOT FOUND: bank ID",IF(I1269=0,"NOT FOUND: GL ID",IF(INDEX(GL!$H:$H,I1269)&lt;&gt;A1269,"BROKEN: GL points elsewhere",IF(OR(INDEX(Bank!$F:$F,B1269)&lt;&gt;"Y",INDEX(GL!$F:$F,I1269)&lt;&gt;"Y"),"BROKEN: Status not Y","OK")))))</f>
        <v/>
      </c>
    </row>
    <row r="1270" customFormat="false" ht="15" hidden="false" customHeight="false" outlineLevel="0" collapsed="false">
      <c r="A1270" s="41"/>
      <c r="B1270" s="5" t="n">
        <f aca="false">IF(A1270="",0,IFERROR(MATCH(A1270,Bank!$A:$A,0),0))</f>
        <v>0</v>
      </c>
      <c r="C1270" s="5" t="str">
        <f aca="false">IF(B1270=0,"",IF(INDEX(Bank!$G:$G,B1270)="","",INDEX(Bank!$G:$G,B1270)))</f>
        <v/>
      </c>
      <c r="D1270" s="5" t="str">
        <f aca="false">IF(B1270=0,"",IF(INDEX(Bank!$J:$J,B1270)="","",INDEX(Bank!$J:$J,B1270)))</f>
        <v/>
      </c>
      <c r="E1270" s="32" t="str">
        <f aca="false">IF(B1270=0,"",INDEX(Bank!$B:$B,B1270))</f>
        <v/>
      </c>
      <c r="F1270" s="5" t="str">
        <f aca="false">IF(B1270=0,"",IF(INDEX(Bank!$C:$C,B1270)="","",INDEX(Bank!$C:$C,B1270)))</f>
        <v/>
      </c>
      <c r="G1270" s="19" t="str">
        <f aca="false">IF(B1270=0,"",INDEX(Bank!$E:$E,B1270))</f>
        <v/>
      </c>
      <c r="H1270" s="5" t="str">
        <f aca="false">IF(B1270=0,"",IF(INDEX(Bank!$H:$H,B1270)="","",INDEX(Bank!$H:$H,B1270)))</f>
        <v/>
      </c>
      <c r="I1270" s="5" t="n">
        <f aca="false">IF(H1270="",0,IFERROR(MATCH(H1270,GL!$A:$A,0),0))</f>
        <v>0</v>
      </c>
      <c r="J1270" s="32" t="str">
        <f aca="false">IF(I1270=0,"",INDEX(GL!$B:$B,I1270))</f>
        <v/>
      </c>
      <c r="K1270" s="5" t="str">
        <f aca="false">IF(I1270=0,"",IF(INDEX(GL!$C:$C,I1270)="","",INDEX(GL!$C:$C,I1270)))</f>
        <v/>
      </c>
      <c r="L1270" s="19" t="str">
        <f aca="false">IF(I1270=0,"",INDEX(GL!$E:$E,I1270))</f>
        <v/>
      </c>
      <c r="M1270" s="19" t="str">
        <f aca="false">IF(OR(B1270=0,I1270=0),"",ROUND(G1270-L1270,2))</f>
        <v/>
      </c>
      <c r="N1270" s="5" t="str">
        <f aca="false">IF(A1270="","",IF(B1270=0,"NOT FOUND: bank ID",IF(I1270=0,"NOT FOUND: GL ID",IF(INDEX(GL!$H:$H,I1270)&lt;&gt;A1270,"BROKEN: GL points elsewhere",IF(OR(INDEX(Bank!$F:$F,B1270)&lt;&gt;"Y",INDEX(GL!$F:$F,I1270)&lt;&gt;"Y"),"BROKEN: Status not Y","OK")))))</f>
        <v/>
      </c>
    </row>
    <row r="1271" customFormat="false" ht="15" hidden="false" customHeight="false" outlineLevel="0" collapsed="false">
      <c r="A1271" s="41"/>
      <c r="B1271" s="5" t="n">
        <f aca="false">IF(A1271="",0,IFERROR(MATCH(A1271,Bank!$A:$A,0),0))</f>
        <v>0</v>
      </c>
      <c r="C1271" s="5" t="str">
        <f aca="false">IF(B1271=0,"",IF(INDEX(Bank!$G:$G,B1271)="","",INDEX(Bank!$G:$G,B1271)))</f>
        <v/>
      </c>
      <c r="D1271" s="5" t="str">
        <f aca="false">IF(B1271=0,"",IF(INDEX(Bank!$J:$J,B1271)="","",INDEX(Bank!$J:$J,B1271)))</f>
        <v/>
      </c>
      <c r="E1271" s="32" t="str">
        <f aca="false">IF(B1271=0,"",INDEX(Bank!$B:$B,B1271))</f>
        <v/>
      </c>
      <c r="F1271" s="5" t="str">
        <f aca="false">IF(B1271=0,"",IF(INDEX(Bank!$C:$C,B1271)="","",INDEX(Bank!$C:$C,B1271)))</f>
        <v/>
      </c>
      <c r="G1271" s="19" t="str">
        <f aca="false">IF(B1271=0,"",INDEX(Bank!$E:$E,B1271))</f>
        <v/>
      </c>
      <c r="H1271" s="5" t="str">
        <f aca="false">IF(B1271=0,"",IF(INDEX(Bank!$H:$H,B1271)="","",INDEX(Bank!$H:$H,B1271)))</f>
        <v/>
      </c>
      <c r="I1271" s="5" t="n">
        <f aca="false">IF(H1271="",0,IFERROR(MATCH(H1271,GL!$A:$A,0),0))</f>
        <v>0</v>
      </c>
      <c r="J1271" s="32" t="str">
        <f aca="false">IF(I1271=0,"",INDEX(GL!$B:$B,I1271))</f>
        <v/>
      </c>
      <c r="K1271" s="5" t="str">
        <f aca="false">IF(I1271=0,"",IF(INDEX(GL!$C:$C,I1271)="","",INDEX(GL!$C:$C,I1271)))</f>
        <v/>
      </c>
      <c r="L1271" s="19" t="str">
        <f aca="false">IF(I1271=0,"",INDEX(GL!$E:$E,I1271))</f>
        <v/>
      </c>
      <c r="M1271" s="19" t="str">
        <f aca="false">IF(OR(B1271=0,I1271=0),"",ROUND(G1271-L1271,2))</f>
        <v/>
      </c>
      <c r="N1271" s="5" t="str">
        <f aca="false">IF(A1271="","",IF(B1271=0,"NOT FOUND: bank ID",IF(I1271=0,"NOT FOUND: GL ID",IF(INDEX(GL!$H:$H,I1271)&lt;&gt;A1271,"BROKEN: GL points elsewhere",IF(OR(INDEX(Bank!$F:$F,B1271)&lt;&gt;"Y",INDEX(GL!$F:$F,I1271)&lt;&gt;"Y"),"BROKEN: Status not Y","OK")))))</f>
        <v/>
      </c>
    </row>
    <row r="1272" customFormat="false" ht="15" hidden="false" customHeight="false" outlineLevel="0" collapsed="false">
      <c r="A1272" s="41"/>
      <c r="B1272" s="5" t="n">
        <f aca="false">IF(A1272="",0,IFERROR(MATCH(A1272,Bank!$A:$A,0),0))</f>
        <v>0</v>
      </c>
      <c r="C1272" s="5" t="str">
        <f aca="false">IF(B1272=0,"",IF(INDEX(Bank!$G:$G,B1272)="","",INDEX(Bank!$G:$G,B1272)))</f>
        <v/>
      </c>
      <c r="D1272" s="5" t="str">
        <f aca="false">IF(B1272=0,"",IF(INDEX(Bank!$J:$J,B1272)="","",INDEX(Bank!$J:$J,B1272)))</f>
        <v/>
      </c>
      <c r="E1272" s="32" t="str">
        <f aca="false">IF(B1272=0,"",INDEX(Bank!$B:$B,B1272))</f>
        <v/>
      </c>
      <c r="F1272" s="5" t="str">
        <f aca="false">IF(B1272=0,"",IF(INDEX(Bank!$C:$C,B1272)="","",INDEX(Bank!$C:$C,B1272)))</f>
        <v/>
      </c>
      <c r="G1272" s="19" t="str">
        <f aca="false">IF(B1272=0,"",INDEX(Bank!$E:$E,B1272))</f>
        <v/>
      </c>
      <c r="H1272" s="5" t="str">
        <f aca="false">IF(B1272=0,"",IF(INDEX(Bank!$H:$H,B1272)="","",INDEX(Bank!$H:$H,B1272)))</f>
        <v/>
      </c>
      <c r="I1272" s="5" t="n">
        <f aca="false">IF(H1272="",0,IFERROR(MATCH(H1272,GL!$A:$A,0),0))</f>
        <v>0</v>
      </c>
      <c r="J1272" s="32" t="str">
        <f aca="false">IF(I1272=0,"",INDEX(GL!$B:$B,I1272))</f>
        <v/>
      </c>
      <c r="K1272" s="5" t="str">
        <f aca="false">IF(I1272=0,"",IF(INDEX(GL!$C:$C,I1272)="","",INDEX(GL!$C:$C,I1272)))</f>
        <v/>
      </c>
      <c r="L1272" s="19" t="str">
        <f aca="false">IF(I1272=0,"",INDEX(GL!$E:$E,I1272))</f>
        <v/>
      </c>
      <c r="M1272" s="19" t="str">
        <f aca="false">IF(OR(B1272=0,I1272=0),"",ROUND(G1272-L1272,2))</f>
        <v/>
      </c>
      <c r="N1272" s="5" t="str">
        <f aca="false">IF(A1272="","",IF(B1272=0,"NOT FOUND: bank ID",IF(I1272=0,"NOT FOUND: GL ID",IF(INDEX(GL!$H:$H,I1272)&lt;&gt;A1272,"BROKEN: GL points elsewhere",IF(OR(INDEX(Bank!$F:$F,B1272)&lt;&gt;"Y",INDEX(GL!$F:$F,I1272)&lt;&gt;"Y"),"BROKEN: Status not Y","OK")))))</f>
        <v/>
      </c>
    </row>
    <row r="1273" customFormat="false" ht="15" hidden="false" customHeight="false" outlineLevel="0" collapsed="false">
      <c r="A1273" s="41"/>
      <c r="B1273" s="5" t="n">
        <f aca="false">IF(A1273="",0,IFERROR(MATCH(A1273,Bank!$A:$A,0),0))</f>
        <v>0</v>
      </c>
      <c r="C1273" s="5" t="str">
        <f aca="false">IF(B1273=0,"",IF(INDEX(Bank!$G:$G,B1273)="","",INDEX(Bank!$G:$G,B1273)))</f>
        <v/>
      </c>
      <c r="D1273" s="5" t="str">
        <f aca="false">IF(B1273=0,"",IF(INDEX(Bank!$J:$J,B1273)="","",INDEX(Bank!$J:$J,B1273)))</f>
        <v/>
      </c>
      <c r="E1273" s="32" t="str">
        <f aca="false">IF(B1273=0,"",INDEX(Bank!$B:$B,B1273))</f>
        <v/>
      </c>
      <c r="F1273" s="5" t="str">
        <f aca="false">IF(B1273=0,"",IF(INDEX(Bank!$C:$C,B1273)="","",INDEX(Bank!$C:$C,B1273)))</f>
        <v/>
      </c>
      <c r="G1273" s="19" t="str">
        <f aca="false">IF(B1273=0,"",INDEX(Bank!$E:$E,B1273))</f>
        <v/>
      </c>
      <c r="H1273" s="5" t="str">
        <f aca="false">IF(B1273=0,"",IF(INDEX(Bank!$H:$H,B1273)="","",INDEX(Bank!$H:$H,B1273)))</f>
        <v/>
      </c>
      <c r="I1273" s="5" t="n">
        <f aca="false">IF(H1273="",0,IFERROR(MATCH(H1273,GL!$A:$A,0),0))</f>
        <v>0</v>
      </c>
      <c r="J1273" s="32" t="str">
        <f aca="false">IF(I1273=0,"",INDEX(GL!$B:$B,I1273))</f>
        <v/>
      </c>
      <c r="K1273" s="5" t="str">
        <f aca="false">IF(I1273=0,"",IF(INDEX(GL!$C:$C,I1273)="","",INDEX(GL!$C:$C,I1273)))</f>
        <v/>
      </c>
      <c r="L1273" s="19" t="str">
        <f aca="false">IF(I1273=0,"",INDEX(GL!$E:$E,I1273))</f>
        <v/>
      </c>
      <c r="M1273" s="19" t="str">
        <f aca="false">IF(OR(B1273=0,I1273=0),"",ROUND(G1273-L1273,2))</f>
        <v/>
      </c>
      <c r="N1273" s="5" t="str">
        <f aca="false">IF(A1273="","",IF(B1273=0,"NOT FOUND: bank ID",IF(I1273=0,"NOT FOUND: GL ID",IF(INDEX(GL!$H:$H,I1273)&lt;&gt;A1273,"BROKEN: GL points elsewhere",IF(OR(INDEX(Bank!$F:$F,B1273)&lt;&gt;"Y",INDEX(GL!$F:$F,I1273)&lt;&gt;"Y"),"BROKEN: Status not Y","OK")))))</f>
        <v/>
      </c>
    </row>
    <row r="1274" customFormat="false" ht="15" hidden="false" customHeight="false" outlineLevel="0" collapsed="false">
      <c r="A1274" s="41"/>
      <c r="B1274" s="5" t="n">
        <f aca="false">IF(A1274="",0,IFERROR(MATCH(A1274,Bank!$A:$A,0),0))</f>
        <v>0</v>
      </c>
      <c r="C1274" s="5" t="str">
        <f aca="false">IF(B1274=0,"",IF(INDEX(Bank!$G:$G,B1274)="","",INDEX(Bank!$G:$G,B1274)))</f>
        <v/>
      </c>
      <c r="D1274" s="5" t="str">
        <f aca="false">IF(B1274=0,"",IF(INDEX(Bank!$J:$J,B1274)="","",INDEX(Bank!$J:$J,B1274)))</f>
        <v/>
      </c>
      <c r="E1274" s="32" t="str">
        <f aca="false">IF(B1274=0,"",INDEX(Bank!$B:$B,B1274))</f>
        <v/>
      </c>
      <c r="F1274" s="5" t="str">
        <f aca="false">IF(B1274=0,"",IF(INDEX(Bank!$C:$C,B1274)="","",INDEX(Bank!$C:$C,B1274)))</f>
        <v/>
      </c>
      <c r="G1274" s="19" t="str">
        <f aca="false">IF(B1274=0,"",INDEX(Bank!$E:$E,B1274))</f>
        <v/>
      </c>
      <c r="H1274" s="5" t="str">
        <f aca="false">IF(B1274=0,"",IF(INDEX(Bank!$H:$H,B1274)="","",INDEX(Bank!$H:$H,B1274)))</f>
        <v/>
      </c>
      <c r="I1274" s="5" t="n">
        <f aca="false">IF(H1274="",0,IFERROR(MATCH(H1274,GL!$A:$A,0),0))</f>
        <v>0</v>
      </c>
      <c r="J1274" s="32" t="str">
        <f aca="false">IF(I1274=0,"",INDEX(GL!$B:$B,I1274))</f>
        <v/>
      </c>
      <c r="K1274" s="5" t="str">
        <f aca="false">IF(I1274=0,"",IF(INDEX(GL!$C:$C,I1274)="","",INDEX(GL!$C:$C,I1274)))</f>
        <v/>
      </c>
      <c r="L1274" s="19" t="str">
        <f aca="false">IF(I1274=0,"",INDEX(GL!$E:$E,I1274))</f>
        <v/>
      </c>
      <c r="M1274" s="19" t="str">
        <f aca="false">IF(OR(B1274=0,I1274=0),"",ROUND(G1274-L1274,2))</f>
        <v/>
      </c>
      <c r="N1274" s="5" t="str">
        <f aca="false">IF(A1274="","",IF(B1274=0,"NOT FOUND: bank ID",IF(I1274=0,"NOT FOUND: GL ID",IF(INDEX(GL!$H:$H,I1274)&lt;&gt;A1274,"BROKEN: GL points elsewhere",IF(OR(INDEX(Bank!$F:$F,B1274)&lt;&gt;"Y",INDEX(GL!$F:$F,I1274)&lt;&gt;"Y"),"BROKEN: Status not Y","OK")))))</f>
        <v/>
      </c>
    </row>
    <row r="1275" customFormat="false" ht="15" hidden="false" customHeight="false" outlineLevel="0" collapsed="false">
      <c r="A1275" s="41"/>
      <c r="B1275" s="5" t="n">
        <f aca="false">IF(A1275="",0,IFERROR(MATCH(A1275,Bank!$A:$A,0),0))</f>
        <v>0</v>
      </c>
      <c r="C1275" s="5" t="str">
        <f aca="false">IF(B1275=0,"",IF(INDEX(Bank!$G:$G,B1275)="","",INDEX(Bank!$G:$G,B1275)))</f>
        <v/>
      </c>
      <c r="D1275" s="5" t="str">
        <f aca="false">IF(B1275=0,"",IF(INDEX(Bank!$J:$J,B1275)="","",INDEX(Bank!$J:$J,B1275)))</f>
        <v/>
      </c>
      <c r="E1275" s="32" t="str">
        <f aca="false">IF(B1275=0,"",INDEX(Bank!$B:$B,B1275))</f>
        <v/>
      </c>
      <c r="F1275" s="5" t="str">
        <f aca="false">IF(B1275=0,"",IF(INDEX(Bank!$C:$C,B1275)="","",INDEX(Bank!$C:$C,B1275)))</f>
        <v/>
      </c>
      <c r="G1275" s="19" t="str">
        <f aca="false">IF(B1275=0,"",INDEX(Bank!$E:$E,B1275))</f>
        <v/>
      </c>
      <c r="H1275" s="5" t="str">
        <f aca="false">IF(B1275=0,"",IF(INDEX(Bank!$H:$H,B1275)="","",INDEX(Bank!$H:$H,B1275)))</f>
        <v/>
      </c>
      <c r="I1275" s="5" t="n">
        <f aca="false">IF(H1275="",0,IFERROR(MATCH(H1275,GL!$A:$A,0),0))</f>
        <v>0</v>
      </c>
      <c r="J1275" s="32" t="str">
        <f aca="false">IF(I1275=0,"",INDEX(GL!$B:$B,I1275))</f>
        <v/>
      </c>
      <c r="K1275" s="5" t="str">
        <f aca="false">IF(I1275=0,"",IF(INDEX(GL!$C:$C,I1275)="","",INDEX(GL!$C:$C,I1275)))</f>
        <v/>
      </c>
      <c r="L1275" s="19" t="str">
        <f aca="false">IF(I1275=0,"",INDEX(GL!$E:$E,I1275))</f>
        <v/>
      </c>
      <c r="M1275" s="19" t="str">
        <f aca="false">IF(OR(B1275=0,I1275=0),"",ROUND(G1275-L1275,2))</f>
        <v/>
      </c>
      <c r="N1275" s="5" t="str">
        <f aca="false">IF(A1275="","",IF(B1275=0,"NOT FOUND: bank ID",IF(I1275=0,"NOT FOUND: GL ID",IF(INDEX(GL!$H:$H,I1275)&lt;&gt;A1275,"BROKEN: GL points elsewhere",IF(OR(INDEX(Bank!$F:$F,B1275)&lt;&gt;"Y",INDEX(GL!$F:$F,I1275)&lt;&gt;"Y"),"BROKEN: Status not Y","OK")))))</f>
        <v/>
      </c>
    </row>
    <row r="1276" customFormat="false" ht="15" hidden="false" customHeight="false" outlineLevel="0" collapsed="false">
      <c r="A1276" s="41"/>
      <c r="B1276" s="5" t="n">
        <f aca="false">IF(A1276="",0,IFERROR(MATCH(A1276,Bank!$A:$A,0),0))</f>
        <v>0</v>
      </c>
      <c r="C1276" s="5" t="str">
        <f aca="false">IF(B1276=0,"",IF(INDEX(Bank!$G:$G,B1276)="","",INDEX(Bank!$G:$G,B1276)))</f>
        <v/>
      </c>
      <c r="D1276" s="5" t="str">
        <f aca="false">IF(B1276=0,"",IF(INDEX(Bank!$J:$J,B1276)="","",INDEX(Bank!$J:$J,B1276)))</f>
        <v/>
      </c>
      <c r="E1276" s="32" t="str">
        <f aca="false">IF(B1276=0,"",INDEX(Bank!$B:$B,B1276))</f>
        <v/>
      </c>
      <c r="F1276" s="5" t="str">
        <f aca="false">IF(B1276=0,"",IF(INDEX(Bank!$C:$C,B1276)="","",INDEX(Bank!$C:$C,B1276)))</f>
        <v/>
      </c>
      <c r="G1276" s="19" t="str">
        <f aca="false">IF(B1276=0,"",INDEX(Bank!$E:$E,B1276))</f>
        <v/>
      </c>
      <c r="H1276" s="5" t="str">
        <f aca="false">IF(B1276=0,"",IF(INDEX(Bank!$H:$H,B1276)="","",INDEX(Bank!$H:$H,B1276)))</f>
        <v/>
      </c>
      <c r="I1276" s="5" t="n">
        <f aca="false">IF(H1276="",0,IFERROR(MATCH(H1276,GL!$A:$A,0),0))</f>
        <v>0</v>
      </c>
      <c r="J1276" s="32" t="str">
        <f aca="false">IF(I1276=0,"",INDEX(GL!$B:$B,I1276))</f>
        <v/>
      </c>
      <c r="K1276" s="5" t="str">
        <f aca="false">IF(I1276=0,"",IF(INDEX(GL!$C:$C,I1276)="","",INDEX(GL!$C:$C,I1276)))</f>
        <v/>
      </c>
      <c r="L1276" s="19" t="str">
        <f aca="false">IF(I1276=0,"",INDEX(GL!$E:$E,I1276))</f>
        <v/>
      </c>
      <c r="M1276" s="19" t="str">
        <f aca="false">IF(OR(B1276=0,I1276=0),"",ROUND(G1276-L1276,2))</f>
        <v/>
      </c>
      <c r="N1276" s="5" t="str">
        <f aca="false">IF(A1276="","",IF(B1276=0,"NOT FOUND: bank ID",IF(I1276=0,"NOT FOUND: GL ID",IF(INDEX(GL!$H:$H,I1276)&lt;&gt;A1276,"BROKEN: GL points elsewhere",IF(OR(INDEX(Bank!$F:$F,B1276)&lt;&gt;"Y",INDEX(GL!$F:$F,I1276)&lt;&gt;"Y"),"BROKEN: Status not Y","OK")))))</f>
        <v/>
      </c>
    </row>
    <row r="1277" customFormat="false" ht="15" hidden="false" customHeight="false" outlineLevel="0" collapsed="false">
      <c r="A1277" s="41"/>
      <c r="B1277" s="5" t="n">
        <f aca="false">IF(A1277="",0,IFERROR(MATCH(A1277,Bank!$A:$A,0),0))</f>
        <v>0</v>
      </c>
      <c r="C1277" s="5" t="str">
        <f aca="false">IF(B1277=0,"",IF(INDEX(Bank!$G:$G,B1277)="","",INDEX(Bank!$G:$G,B1277)))</f>
        <v/>
      </c>
      <c r="D1277" s="5" t="str">
        <f aca="false">IF(B1277=0,"",IF(INDEX(Bank!$J:$J,B1277)="","",INDEX(Bank!$J:$J,B1277)))</f>
        <v/>
      </c>
      <c r="E1277" s="32" t="str">
        <f aca="false">IF(B1277=0,"",INDEX(Bank!$B:$B,B1277))</f>
        <v/>
      </c>
      <c r="F1277" s="5" t="str">
        <f aca="false">IF(B1277=0,"",IF(INDEX(Bank!$C:$C,B1277)="","",INDEX(Bank!$C:$C,B1277)))</f>
        <v/>
      </c>
      <c r="G1277" s="19" t="str">
        <f aca="false">IF(B1277=0,"",INDEX(Bank!$E:$E,B1277))</f>
        <v/>
      </c>
      <c r="H1277" s="5" t="str">
        <f aca="false">IF(B1277=0,"",IF(INDEX(Bank!$H:$H,B1277)="","",INDEX(Bank!$H:$H,B1277)))</f>
        <v/>
      </c>
      <c r="I1277" s="5" t="n">
        <f aca="false">IF(H1277="",0,IFERROR(MATCH(H1277,GL!$A:$A,0),0))</f>
        <v>0</v>
      </c>
      <c r="J1277" s="32" t="str">
        <f aca="false">IF(I1277=0,"",INDEX(GL!$B:$B,I1277))</f>
        <v/>
      </c>
      <c r="K1277" s="5" t="str">
        <f aca="false">IF(I1277=0,"",IF(INDEX(GL!$C:$C,I1277)="","",INDEX(GL!$C:$C,I1277)))</f>
        <v/>
      </c>
      <c r="L1277" s="19" t="str">
        <f aca="false">IF(I1277=0,"",INDEX(GL!$E:$E,I1277))</f>
        <v/>
      </c>
      <c r="M1277" s="19" t="str">
        <f aca="false">IF(OR(B1277=0,I1277=0),"",ROUND(G1277-L1277,2))</f>
        <v/>
      </c>
      <c r="N1277" s="5" t="str">
        <f aca="false">IF(A1277="","",IF(B1277=0,"NOT FOUND: bank ID",IF(I1277=0,"NOT FOUND: GL ID",IF(INDEX(GL!$H:$H,I1277)&lt;&gt;A1277,"BROKEN: GL points elsewhere",IF(OR(INDEX(Bank!$F:$F,B1277)&lt;&gt;"Y",INDEX(GL!$F:$F,I1277)&lt;&gt;"Y"),"BROKEN: Status not Y","OK")))))</f>
        <v/>
      </c>
    </row>
    <row r="1278" customFormat="false" ht="15" hidden="false" customHeight="false" outlineLevel="0" collapsed="false">
      <c r="A1278" s="41"/>
      <c r="B1278" s="5" t="n">
        <f aca="false">IF(A1278="",0,IFERROR(MATCH(A1278,Bank!$A:$A,0),0))</f>
        <v>0</v>
      </c>
      <c r="C1278" s="5" t="str">
        <f aca="false">IF(B1278=0,"",IF(INDEX(Bank!$G:$G,B1278)="","",INDEX(Bank!$G:$G,B1278)))</f>
        <v/>
      </c>
      <c r="D1278" s="5" t="str">
        <f aca="false">IF(B1278=0,"",IF(INDEX(Bank!$J:$J,B1278)="","",INDEX(Bank!$J:$J,B1278)))</f>
        <v/>
      </c>
      <c r="E1278" s="32" t="str">
        <f aca="false">IF(B1278=0,"",INDEX(Bank!$B:$B,B1278))</f>
        <v/>
      </c>
      <c r="F1278" s="5" t="str">
        <f aca="false">IF(B1278=0,"",IF(INDEX(Bank!$C:$C,B1278)="","",INDEX(Bank!$C:$C,B1278)))</f>
        <v/>
      </c>
      <c r="G1278" s="19" t="str">
        <f aca="false">IF(B1278=0,"",INDEX(Bank!$E:$E,B1278))</f>
        <v/>
      </c>
      <c r="H1278" s="5" t="str">
        <f aca="false">IF(B1278=0,"",IF(INDEX(Bank!$H:$H,B1278)="","",INDEX(Bank!$H:$H,B1278)))</f>
        <v/>
      </c>
      <c r="I1278" s="5" t="n">
        <f aca="false">IF(H1278="",0,IFERROR(MATCH(H1278,GL!$A:$A,0),0))</f>
        <v>0</v>
      </c>
      <c r="J1278" s="32" t="str">
        <f aca="false">IF(I1278=0,"",INDEX(GL!$B:$B,I1278))</f>
        <v/>
      </c>
      <c r="K1278" s="5" t="str">
        <f aca="false">IF(I1278=0,"",IF(INDEX(GL!$C:$C,I1278)="","",INDEX(GL!$C:$C,I1278)))</f>
        <v/>
      </c>
      <c r="L1278" s="19" t="str">
        <f aca="false">IF(I1278=0,"",INDEX(GL!$E:$E,I1278))</f>
        <v/>
      </c>
      <c r="M1278" s="19" t="str">
        <f aca="false">IF(OR(B1278=0,I1278=0),"",ROUND(G1278-L1278,2))</f>
        <v/>
      </c>
      <c r="N1278" s="5" t="str">
        <f aca="false">IF(A1278="","",IF(B1278=0,"NOT FOUND: bank ID",IF(I1278=0,"NOT FOUND: GL ID",IF(INDEX(GL!$H:$H,I1278)&lt;&gt;A1278,"BROKEN: GL points elsewhere",IF(OR(INDEX(Bank!$F:$F,B1278)&lt;&gt;"Y",INDEX(GL!$F:$F,I1278)&lt;&gt;"Y"),"BROKEN: Status not Y","OK")))))</f>
        <v/>
      </c>
    </row>
    <row r="1279" customFormat="false" ht="15" hidden="false" customHeight="false" outlineLevel="0" collapsed="false">
      <c r="A1279" s="41"/>
      <c r="B1279" s="5" t="n">
        <f aca="false">IF(A1279="",0,IFERROR(MATCH(A1279,Bank!$A:$A,0),0))</f>
        <v>0</v>
      </c>
      <c r="C1279" s="5" t="str">
        <f aca="false">IF(B1279=0,"",IF(INDEX(Bank!$G:$G,B1279)="","",INDEX(Bank!$G:$G,B1279)))</f>
        <v/>
      </c>
      <c r="D1279" s="5" t="str">
        <f aca="false">IF(B1279=0,"",IF(INDEX(Bank!$J:$J,B1279)="","",INDEX(Bank!$J:$J,B1279)))</f>
        <v/>
      </c>
      <c r="E1279" s="32" t="str">
        <f aca="false">IF(B1279=0,"",INDEX(Bank!$B:$B,B1279))</f>
        <v/>
      </c>
      <c r="F1279" s="5" t="str">
        <f aca="false">IF(B1279=0,"",IF(INDEX(Bank!$C:$C,B1279)="","",INDEX(Bank!$C:$C,B1279)))</f>
        <v/>
      </c>
      <c r="G1279" s="19" t="str">
        <f aca="false">IF(B1279=0,"",INDEX(Bank!$E:$E,B1279))</f>
        <v/>
      </c>
      <c r="H1279" s="5" t="str">
        <f aca="false">IF(B1279=0,"",IF(INDEX(Bank!$H:$H,B1279)="","",INDEX(Bank!$H:$H,B1279)))</f>
        <v/>
      </c>
      <c r="I1279" s="5" t="n">
        <f aca="false">IF(H1279="",0,IFERROR(MATCH(H1279,GL!$A:$A,0),0))</f>
        <v>0</v>
      </c>
      <c r="J1279" s="32" t="str">
        <f aca="false">IF(I1279=0,"",INDEX(GL!$B:$B,I1279))</f>
        <v/>
      </c>
      <c r="K1279" s="5" t="str">
        <f aca="false">IF(I1279=0,"",IF(INDEX(GL!$C:$C,I1279)="","",INDEX(GL!$C:$C,I1279)))</f>
        <v/>
      </c>
      <c r="L1279" s="19" t="str">
        <f aca="false">IF(I1279=0,"",INDEX(GL!$E:$E,I1279))</f>
        <v/>
      </c>
      <c r="M1279" s="19" t="str">
        <f aca="false">IF(OR(B1279=0,I1279=0),"",ROUND(G1279-L1279,2))</f>
        <v/>
      </c>
      <c r="N1279" s="5" t="str">
        <f aca="false">IF(A1279="","",IF(B1279=0,"NOT FOUND: bank ID",IF(I1279=0,"NOT FOUND: GL ID",IF(INDEX(GL!$H:$H,I1279)&lt;&gt;A1279,"BROKEN: GL points elsewhere",IF(OR(INDEX(Bank!$F:$F,B1279)&lt;&gt;"Y",INDEX(GL!$F:$F,I1279)&lt;&gt;"Y"),"BROKEN: Status not Y","OK")))))</f>
        <v/>
      </c>
    </row>
    <row r="1280" customFormat="false" ht="15" hidden="false" customHeight="false" outlineLevel="0" collapsed="false">
      <c r="A1280" s="41"/>
      <c r="B1280" s="5" t="n">
        <f aca="false">IF(A1280="",0,IFERROR(MATCH(A1280,Bank!$A:$A,0),0))</f>
        <v>0</v>
      </c>
      <c r="C1280" s="5" t="str">
        <f aca="false">IF(B1280=0,"",IF(INDEX(Bank!$G:$G,B1280)="","",INDEX(Bank!$G:$G,B1280)))</f>
        <v/>
      </c>
      <c r="D1280" s="5" t="str">
        <f aca="false">IF(B1280=0,"",IF(INDEX(Bank!$J:$J,B1280)="","",INDEX(Bank!$J:$J,B1280)))</f>
        <v/>
      </c>
      <c r="E1280" s="32" t="str">
        <f aca="false">IF(B1280=0,"",INDEX(Bank!$B:$B,B1280))</f>
        <v/>
      </c>
      <c r="F1280" s="5" t="str">
        <f aca="false">IF(B1280=0,"",IF(INDEX(Bank!$C:$C,B1280)="","",INDEX(Bank!$C:$C,B1280)))</f>
        <v/>
      </c>
      <c r="G1280" s="19" t="str">
        <f aca="false">IF(B1280=0,"",INDEX(Bank!$E:$E,B1280))</f>
        <v/>
      </c>
      <c r="H1280" s="5" t="str">
        <f aca="false">IF(B1280=0,"",IF(INDEX(Bank!$H:$H,B1280)="","",INDEX(Bank!$H:$H,B1280)))</f>
        <v/>
      </c>
      <c r="I1280" s="5" t="n">
        <f aca="false">IF(H1280="",0,IFERROR(MATCH(H1280,GL!$A:$A,0),0))</f>
        <v>0</v>
      </c>
      <c r="J1280" s="32" t="str">
        <f aca="false">IF(I1280=0,"",INDEX(GL!$B:$B,I1280))</f>
        <v/>
      </c>
      <c r="K1280" s="5" t="str">
        <f aca="false">IF(I1280=0,"",IF(INDEX(GL!$C:$C,I1280)="","",INDEX(GL!$C:$C,I1280)))</f>
        <v/>
      </c>
      <c r="L1280" s="19" t="str">
        <f aca="false">IF(I1280=0,"",INDEX(GL!$E:$E,I1280))</f>
        <v/>
      </c>
      <c r="M1280" s="19" t="str">
        <f aca="false">IF(OR(B1280=0,I1280=0),"",ROUND(G1280-L1280,2))</f>
        <v/>
      </c>
      <c r="N1280" s="5" t="str">
        <f aca="false">IF(A1280="","",IF(B1280=0,"NOT FOUND: bank ID",IF(I1280=0,"NOT FOUND: GL ID",IF(INDEX(GL!$H:$H,I1280)&lt;&gt;A1280,"BROKEN: GL points elsewhere",IF(OR(INDEX(Bank!$F:$F,B1280)&lt;&gt;"Y",INDEX(GL!$F:$F,I1280)&lt;&gt;"Y"),"BROKEN: Status not Y","OK")))))</f>
        <v/>
      </c>
    </row>
    <row r="1281" customFormat="false" ht="15" hidden="false" customHeight="false" outlineLevel="0" collapsed="false">
      <c r="A1281" s="41"/>
      <c r="B1281" s="5" t="n">
        <f aca="false">IF(A1281="",0,IFERROR(MATCH(A1281,Bank!$A:$A,0),0))</f>
        <v>0</v>
      </c>
      <c r="C1281" s="5" t="str">
        <f aca="false">IF(B1281=0,"",IF(INDEX(Bank!$G:$G,B1281)="","",INDEX(Bank!$G:$G,B1281)))</f>
        <v/>
      </c>
      <c r="D1281" s="5" t="str">
        <f aca="false">IF(B1281=0,"",IF(INDEX(Bank!$J:$J,B1281)="","",INDEX(Bank!$J:$J,B1281)))</f>
        <v/>
      </c>
      <c r="E1281" s="32" t="str">
        <f aca="false">IF(B1281=0,"",INDEX(Bank!$B:$B,B1281))</f>
        <v/>
      </c>
      <c r="F1281" s="5" t="str">
        <f aca="false">IF(B1281=0,"",IF(INDEX(Bank!$C:$C,B1281)="","",INDEX(Bank!$C:$C,B1281)))</f>
        <v/>
      </c>
      <c r="G1281" s="19" t="str">
        <f aca="false">IF(B1281=0,"",INDEX(Bank!$E:$E,B1281))</f>
        <v/>
      </c>
      <c r="H1281" s="5" t="str">
        <f aca="false">IF(B1281=0,"",IF(INDEX(Bank!$H:$H,B1281)="","",INDEX(Bank!$H:$H,B1281)))</f>
        <v/>
      </c>
      <c r="I1281" s="5" t="n">
        <f aca="false">IF(H1281="",0,IFERROR(MATCH(H1281,GL!$A:$A,0),0))</f>
        <v>0</v>
      </c>
      <c r="J1281" s="32" t="str">
        <f aca="false">IF(I1281=0,"",INDEX(GL!$B:$B,I1281))</f>
        <v/>
      </c>
      <c r="K1281" s="5" t="str">
        <f aca="false">IF(I1281=0,"",IF(INDEX(GL!$C:$C,I1281)="","",INDEX(GL!$C:$C,I1281)))</f>
        <v/>
      </c>
      <c r="L1281" s="19" t="str">
        <f aca="false">IF(I1281=0,"",INDEX(GL!$E:$E,I1281))</f>
        <v/>
      </c>
      <c r="M1281" s="19" t="str">
        <f aca="false">IF(OR(B1281=0,I1281=0),"",ROUND(G1281-L1281,2))</f>
        <v/>
      </c>
      <c r="N1281" s="5" t="str">
        <f aca="false">IF(A1281="","",IF(B1281=0,"NOT FOUND: bank ID",IF(I1281=0,"NOT FOUND: GL ID",IF(INDEX(GL!$H:$H,I1281)&lt;&gt;A1281,"BROKEN: GL points elsewhere",IF(OR(INDEX(Bank!$F:$F,B1281)&lt;&gt;"Y",INDEX(GL!$F:$F,I1281)&lt;&gt;"Y"),"BROKEN: Status not Y","OK")))))</f>
        <v/>
      </c>
    </row>
    <row r="1282" customFormat="false" ht="15" hidden="false" customHeight="false" outlineLevel="0" collapsed="false">
      <c r="A1282" s="41"/>
      <c r="B1282" s="5" t="n">
        <f aca="false">IF(A1282="",0,IFERROR(MATCH(A1282,Bank!$A:$A,0),0))</f>
        <v>0</v>
      </c>
      <c r="C1282" s="5" t="str">
        <f aca="false">IF(B1282=0,"",IF(INDEX(Bank!$G:$G,B1282)="","",INDEX(Bank!$G:$G,B1282)))</f>
        <v/>
      </c>
      <c r="D1282" s="5" t="str">
        <f aca="false">IF(B1282=0,"",IF(INDEX(Bank!$J:$J,B1282)="","",INDEX(Bank!$J:$J,B1282)))</f>
        <v/>
      </c>
      <c r="E1282" s="32" t="str">
        <f aca="false">IF(B1282=0,"",INDEX(Bank!$B:$B,B1282))</f>
        <v/>
      </c>
      <c r="F1282" s="5" t="str">
        <f aca="false">IF(B1282=0,"",IF(INDEX(Bank!$C:$C,B1282)="","",INDEX(Bank!$C:$C,B1282)))</f>
        <v/>
      </c>
      <c r="G1282" s="19" t="str">
        <f aca="false">IF(B1282=0,"",INDEX(Bank!$E:$E,B1282))</f>
        <v/>
      </c>
      <c r="H1282" s="5" t="str">
        <f aca="false">IF(B1282=0,"",IF(INDEX(Bank!$H:$H,B1282)="","",INDEX(Bank!$H:$H,B1282)))</f>
        <v/>
      </c>
      <c r="I1282" s="5" t="n">
        <f aca="false">IF(H1282="",0,IFERROR(MATCH(H1282,GL!$A:$A,0),0))</f>
        <v>0</v>
      </c>
      <c r="J1282" s="32" t="str">
        <f aca="false">IF(I1282=0,"",INDEX(GL!$B:$B,I1282))</f>
        <v/>
      </c>
      <c r="K1282" s="5" t="str">
        <f aca="false">IF(I1282=0,"",IF(INDEX(GL!$C:$C,I1282)="","",INDEX(GL!$C:$C,I1282)))</f>
        <v/>
      </c>
      <c r="L1282" s="19" t="str">
        <f aca="false">IF(I1282=0,"",INDEX(GL!$E:$E,I1282))</f>
        <v/>
      </c>
      <c r="M1282" s="19" t="str">
        <f aca="false">IF(OR(B1282=0,I1282=0),"",ROUND(G1282-L1282,2))</f>
        <v/>
      </c>
      <c r="N1282" s="5" t="str">
        <f aca="false">IF(A1282="","",IF(B1282=0,"NOT FOUND: bank ID",IF(I1282=0,"NOT FOUND: GL ID",IF(INDEX(GL!$H:$H,I1282)&lt;&gt;A1282,"BROKEN: GL points elsewhere",IF(OR(INDEX(Bank!$F:$F,B1282)&lt;&gt;"Y",INDEX(GL!$F:$F,I1282)&lt;&gt;"Y"),"BROKEN: Status not Y","OK")))))</f>
        <v/>
      </c>
    </row>
    <row r="1283" customFormat="false" ht="15" hidden="false" customHeight="false" outlineLevel="0" collapsed="false">
      <c r="A1283" s="41"/>
      <c r="B1283" s="5" t="n">
        <f aca="false">IF(A1283="",0,IFERROR(MATCH(A1283,Bank!$A:$A,0),0))</f>
        <v>0</v>
      </c>
      <c r="C1283" s="5" t="str">
        <f aca="false">IF(B1283=0,"",IF(INDEX(Bank!$G:$G,B1283)="","",INDEX(Bank!$G:$G,B1283)))</f>
        <v/>
      </c>
      <c r="D1283" s="5" t="str">
        <f aca="false">IF(B1283=0,"",IF(INDEX(Bank!$J:$J,B1283)="","",INDEX(Bank!$J:$J,B1283)))</f>
        <v/>
      </c>
      <c r="E1283" s="32" t="str">
        <f aca="false">IF(B1283=0,"",INDEX(Bank!$B:$B,B1283))</f>
        <v/>
      </c>
      <c r="F1283" s="5" t="str">
        <f aca="false">IF(B1283=0,"",IF(INDEX(Bank!$C:$C,B1283)="","",INDEX(Bank!$C:$C,B1283)))</f>
        <v/>
      </c>
      <c r="G1283" s="19" t="str">
        <f aca="false">IF(B1283=0,"",INDEX(Bank!$E:$E,B1283))</f>
        <v/>
      </c>
      <c r="H1283" s="5" t="str">
        <f aca="false">IF(B1283=0,"",IF(INDEX(Bank!$H:$H,B1283)="","",INDEX(Bank!$H:$H,B1283)))</f>
        <v/>
      </c>
      <c r="I1283" s="5" t="n">
        <f aca="false">IF(H1283="",0,IFERROR(MATCH(H1283,GL!$A:$A,0),0))</f>
        <v>0</v>
      </c>
      <c r="J1283" s="32" t="str">
        <f aca="false">IF(I1283=0,"",INDEX(GL!$B:$B,I1283))</f>
        <v/>
      </c>
      <c r="K1283" s="5" t="str">
        <f aca="false">IF(I1283=0,"",IF(INDEX(GL!$C:$C,I1283)="","",INDEX(GL!$C:$C,I1283)))</f>
        <v/>
      </c>
      <c r="L1283" s="19" t="str">
        <f aca="false">IF(I1283=0,"",INDEX(GL!$E:$E,I1283))</f>
        <v/>
      </c>
      <c r="M1283" s="19" t="str">
        <f aca="false">IF(OR(B1283=0,I1283=0),"",ROUND(G1283-L1283,2))</f>
        <v/>
      </c>
      <c r="N1283" s="5" t="str">
        <f aca="false">IF(A1283="","",IF(B1283=0,"NOT FOUND: bank ID",IF(I1283=0,"NOT FOUND: GL ID",IF(INDEX(GL!$H:$H,I1283)&lt;&gt;A1283,"BROKEN: GL points elsewhere",IF(OR(INDEX(Bank!$F:$F,B1283)&lt;&gt;"Y",INDEX(GL!$F:$F,I1283)&lt;&gt;"Y"),"BROKEN: Status not Y","OK")))))</f>
        <v/>
      </c>
    </row>
    <row r="1284" customFormat="false" ht="15" hidden="false" customHeight="false" outlineLevel="0" collapsed="false">
      <c r="A1284" s="41"/>
      <c r="B1284" s="5" t="n">
        <f aca="false">IF(A1284="",0,IFERROR(MATCH(A1284,Bank!$A:$A,0),0))</f>
        <v>0</v>
      </c>
      <c r="C1284" s="5" t="str">
        <f aca="false">IF(B1284=0,"",IF(INDEX(Bank!$G:$G,B1284)="","",INDEX(Bank!$G:$G,B1284)))</f>
        <v/>
      </c>
      <c r="D1284" s="5" t="str">
        <f aca="false">IF(B1284=0,"",IF(INDEX(Bank!$J:$J,B1284)="","",INDEX(Bank!$J:$J,B1284)))</f>
        <v/>
      </c>
      <c r="E1284" s="32" t="str">
        <f aca="false">IF(B1284=0,"",INDEX(Bank!$B:$B,B1284))</f>
        <v/>
      </c>
      <c r="F1284" s="5" t="str">
        <f aca="false">IF(B1284=0,"",IF(INDEX(Bank!$C:$C,B1284)="","",INDEX(Bank!$C:$C,B1284)))</f>
        <v/>
      </c>
      <c r="G1284" s="19" t="str">
        <f aca="false">IF(B1284=0,"",INDEX(Bank!$E:$E,B1284))</f>
        <v/>
      </c>
      <c r="H1284" s="5" t="str">
        <f aca="false">IF(B1284=0,"",IF(INDEX(Bank!$H:$H,B1284)="","",INDEX(Bank!$H:$H,B1284)))</f>
        <v/>
      </c>
      <c r="I1284" s="5" t="n">
        <f aca="false">IF(H1284="",0,IFERROR(MATCH(H1284,GL!$A:$A,0),0))</f>
        <v>0</v>
      </c>
      <c r="J1284" s="32" t="str">
        <f aca="false">IF(I1284=0,"",INDEX(GL!$B:$B,I1284))</f>
        <v/>
      </c>
      <c r="K1284" s="5" t="str">
        <f aca="false">IF(I1284=0,"",IF(INDEX(GL!$C:$C,I1284)="","",INDEX(GL!$C:$C,I1284)))</f>
        <v/>
      </c>
      <c r="L1284" s="19" t="str">
        <f aca="false">IF(I1284=0,"",INDEX(GL!$E:$E,I1284))</f>
        <v/>
      </c>
      <c r="M1284" s="19" t="str">
        <f aca="false">IF(OR(B1284=0,I1284=0),"",ROUND(G1284-L1284,2))</f>
        <v/>
      </c>
      <c r="N1284" s="5" t="str">
        <f aca="false">IF(A1284="","",IF(B1284=0,"NOT FOUND: bank ID",IF(I1284=0,"NOT FOUND: GL ID",IF(INDEX(GL!$H:$H,I1284)&lt;&gt;A1284,"BROKEN: GL points elsewhere",IF(OR(INDEX(Bank!$F:$F,B1284)&lt;&gt;"Y",INDEX(GL!$F:$F,I1284)&lt;&gt;"Y"),"BROKEN: Status not Y","OK")))))</f>
        <v/>
      </c>
    </row>
    <row r="1285" customFormat="false" ht="15" hidden="false" customHeight="false" outlineLevel="0" collapsed="false">
      <c r="A1285" s="41"/>
      <c r="B1285" s="5" t="n">
        <f aca="false">IF(A1285="",0,IFERROR(MATCH(A1285,Bank!$A:$A,0),0))</f>
        <v>0</v>
      </c>
      <c r="C1285" s="5" t="str">
        <f aca="false">IF(B1285=0,"",IF(INDEX(Bank!$G:$G,B1285)="","",INDEX(Bank!$G:$G,B1285)))</f>
        <v/>
      </c>
      <c r="D1285" s="5" t="str">
        <f aca="false">IF(B1285=0,"",IF(INDEX(Bank!$J:$J,B1285)="","",INDEX(Bank!$J:$J,B1285)))</f>
        <v/>
      </c>
      <c r="E1285" s="32" t="str">
        <f aca="false">IF(B1285=0,"",INDEX(Bank!$B:$B,B1285))</f>
        <v/>
      </c>
      <c r="F1285" s="5" t="str">
        <f aca="false">IF(B1285=0,"",IF(INDEX(Bank!$C:$C,B1285)="","",INDEX(Bank!$C:$C,B1285)))</f>
        <v/>
      </c>
      <c r="G1285" s="19" t="str">
        <f aca="false">IF(B1285=0,"",INDEX(Bank!$E:$E,B1285))</f>
        <v/>
      </c>
      <c r="H1285" s="5" t="str">
        <f aca="false">IF(B1285=0,"",IF(INDEX(Bank!$H:$H,B1285)="","",INDEX(Bank!$H:$H,B1285)))</f>
        <v/>
      </c>
      <c r="I1285" s="5" t="n">
        <f aca="false">IF(H1285="",0,IFERROR(MATCH(H1285,GL!$A:$A,0),0))</f>
        <v>0</v>
      </c>
      <c r="J1285" s="32" t="str">
        <f aca="false">IF(I1285=0,"",INDEX(GL!$B:$B,I1285))</f>
        <v/>
      </c>
      <c r="K1285" s="5" t="str">
        <f aca="false">IF(I1285=0,"",IF(INDEX(GL!$C:$C,I1285)="","",INDEX(GL!$C:$C,I1285)))</f>
        <v/>
      </c>
      <c r="L1285" s="19" t="str">
        <f aca="false">IF(I1285=0,"",INDEX(GL!$E:$E,I1285))</f>
        <v/>
      </c>
      <c r="M1285" s="19" t="str">
        <f aca="false">IF(OR(B1285=0,I1285=0),"",ROUND(G1285-L1285,2))</f>
        <v/>
      </c>
      <c r="N1285" s="5" t="str">
        <f aca="false">IF(A1285="","",IF(B1285=0,"NOT FOUND: bank ID",IF(I1285=0,"NOT FOUND: GL ID",IF(INDEX(GL!$H:$H,I1285)&lt;&gt;A1285,"BROKEN: GL points elsewhere",IF(OR(INDEX(Bank!$F:$F,B1285)&lt;&gt;"Y",INDEX(GL!$F:$F,I1285)&lt;&gt;"Y"),"BROKEN: Status not Y","OK")))))</f>
        <v/>
      </c>
    </row>
    <row r="1286" customFormat="false" ht="15" hidden="false" customHeight="false" outlineLevel="0" collapsed="false">
      <c r="A1286" s="41"/>
      <c r="B1286" s="5" t="n">
        <f aca="false">IF(A1286="",0,IFERROR(MATCH(A1286,Bank!$A:$A,0),0))</f>
        <v>0</v>
      </c>
      <c r="C1286" s="5" t="str">
        <f aca="false">IF(B1286=0,"",IF(INDEX(Bank!$G:$G,B1286)="","",INDEX(Bank!$G:$G,B1286)))</f>
        <v/>
      </c>
      <c r="D1286" s="5" t="str">
        <f aca="false">IF(B1286=0,"",IF(INDEX(Bank!$J:$J,B1286)="","",INDEX(Bank!$J:$J,B1286)))</f>
        <v/>
      </c>
      <c r="E1286" s="32" t="str">
        <f aca="false">IF(B1286=0,"",INDEX(Bank!$B:$B,B1286))</f>
        <v/>
      </c>
      <c r="F1286" s="5" t="str">
        <f aca="false">IF(B1286=0,"",IF(INDEX(Bank!$C:$C,B1286)="","",INDEX(Bank!$C:$C,B1286)))</f>
        <v/>
      </c>
      <c r="G1286" s="19" t="str">
        <f aca="false">IF(B1286=0,"",INDEX(Bank!$E:$E,B1286))</f>
        <v/>
      </c>
      <c r="H1286" s="5" t="str">
        <f aca="false">IF(B1286=0,"",IF(INDEX(Bank!$H:$H,B1286)="","",INDEX(Bank!$H:$H,B1286)))</f>
        <v/>
      </c>
      <c r="I1286" s="5" t="n">
        <f aca="false">IF(H1286="",0,IFERROR(MATCH(H1286,GL!$A:$A,0),0))</f>
        <v>0</v>
      </c>
      <c r="J1286" s="32" t="str">
        <f aca="false">IF(I1286=0,"",INDEX(GL!$B:$B,I1286))</f>
        <v/>
      </c>
      <c r="K1286" s="5" t="str">
        <f aca="false">IF(I1286=0,"",IF(INDEX(GL!$C:$C,I1286)="","",INDEX(GL!$C:$C,I1286)))</f>
        <v/>
      </c>
      <c r="L1286" s="19" t="str">
        <f aca="false">IF(I1286=0,"",INDEX(GL!$E:$E,I1286))</f>
        <v/>
      </c>
      <c r="M1286" s="19" t="str">
        <f aca="false">IF(OR(B1286=0,I1286=0),"",ROUND(G1286-L1286,2))</f>
        <v/>
      </c>
      <c r="N1286" s="5" t="str">
        <f aca="false">IF(A1286="","",IF(B1286=0,"NOT FOUND: bank ID",IF(I1286=0,"NOT FOUND: GL ID",IF(INDEX(GL!$H:$H,I1286)&lt;&gt;A1286,"BROKEN: GL points elsewhere",IF(OR(INDEX(Bank!$F:$F,B1286)&lt;&gt;"Y",INDEX(GL!$F:$F,I1286)&lt;&gt;"Y"),"BROKEN: Status not Y","OK")))))</f>
        <v/>
      </c>
    </row>
    <row r="1287" customFormat="false" ht="15" hidden="false" customHeight="false" outlineLevel="0" collapsed="false">
      <c r="A1287" s="41"/>
      <c r="B1287" s="5" t="n">
        <f aca="false">IF(A1287="",0,IFERROR(MATCH(A1287,Bank!$A:$A,0),0))</f>
        <v>0</v>
      </c>
      <c r="C1287" s="5" t="str">
        <f aca="false">IF(B1287=0,"",IF(INDEX(Bank!$G:$G,B1287)="","",INDEX(Bank!$G:$G,B1287)))</f>
        <v/>
      </c>
      <c r="D1287" s="5" t="str">
        <f aca="false">IF(B1287=0,"",IF(INDEX(Bank!$J:$J,B1287)="","",INDEX(Bank!$J:$J,B1287)))</f>
        <v/>
      </c>
      <c r="E1287" s="32" t="str">
        <f aca="false">IF(B1287=0,"",INDEX(Bank!$B:$B,B1287))</f>
        <v/>
      </c>
      <c r="F1287" s="5" t="str">
        <f aca="false">IF(B1287=0,"",IF(INDEX(Bank!$C:$C,B1287)="","",INDEX(Bank!$C:$C,B1287)))</f>
        <v/>
      </c>
      <c r="G1287" s="19" t="str">
        <f aca="false">IF(B1287=0,"",INDEX(Bank!$E:$E,B1287))</f>
        <v/>
      </c>
      <c r="H1287" s="5" t="str">
        <f aca="false">IF(B1287=0,"",IF(INDEX(Bank!$H:$H,B1287)="","",INDEX(Bank!$H:$H,B1287)))</f>
        <v/>
      </c>
      <c r="I1287" s="5" t="n">
        <f aca="false">IF(H1287="",0,IFERROR(MATCH(H1287,GL!$A:$A,0),0))</f>
        <v>0</v>
      </c>
      <c r="J1287" s="32" t="str">
        <f aca="false">IF(I1287=0,"",INDEX(GL!$B:$B,I1287))</f>
        <v/>
      </c>
      <c r="K1287" s="5" t="str">
        <f aca="false">IF(I1287=0,"",IF(INDEX(GL!$C:$C,I1287)="","",INDEX(GL!$C:$C,I1287)))</f>
        <v/>
      </c>
      <c r="L1287" s="19" t="str">
        <f aca="false">IF(I1287=0,"",INDEX(GL!$E:$E,I1287))</f>
        <v/>
      </c>
      <c r="M1287" s="19" t="str">
        <f aca="false">IF(OR(B1287=0,I1287=0),"",ROUND(G1287-L1287,2))</f>
        <v/>
      </c>
      <c r="N1287" s="5" t="str">
        <f aca="false">IF(A1287="","",IF(B1287=0,"NOT FOUND: bank ID",IF(I1287=0,"NOT FOUND: GL ID",IF(INDEX(GL!$H:$H,I1287)&lt;&gt;A1287,"BROKEN: GL points elsewhere",IF(OR(INDEX(Bank!$F:$F,B1287)&lt;&gt;"Y",INDEX(GL!$F:$F,I1287)&lt;&gt;"Y"),"BROKEN: Status not Y","OK")))))</f>
        <v/>
      </c>
    </row>
    <row r="1288" customFormat="false" ht="15" hidden="false" customHeight="false" outlineLevel="0" collapsed="false">
      <c r="A1288" s="41"/>
      <c r="B1288" s="5" t="n">
        <f aca="false">IF(A1288="",0,IFERROR(MATCH(A1288,Bank!$A:$A,0),0))</f>
        <v>0</v>
      </c>
      <c r="C1288" s="5" t="str">
        <f aca="false">IF(B1288=0,"",IF(INDEX(Bank!$G:$G,B1288)="","",INDEX(Bank!$G:$G,B1288)))</f>
        <v/>
      </c>
      <c r="D1288" s="5" t="str">
        <f aca="false">IF(B1288=0,"",IF(INDEX(Bank!$J:$J,B1288)="","",INDEX(Bank!$J:$J,B1288)))</f>
        <v/>
      </c>
      <c r="E1288" s="32" t="str">
        <f aca="false">IF(B1288=0,"",INDEX(Bank!$B:$B,B1288))</f>
        <v/>
      </c>
      <c r="F1288" s="5" t="str">
        <f aca="false">IF(B1288=0,"",IF(INDEX(Bank!$C:$C,B1288)="","",INDEX(Bank!$C:$C,B1288)))</f>
        <v/>
      </c>
      <c r="G1288" s="19" t="str">
        <f aca="false">IF(B1288=0,"",INDEX(Bank!$E:$E,B1288))</f>
        <v/>
      </c>
      <c r="H1288" s="5" t="str">
        <f aca="false">IF(B1288=0,"",IF(INDEX(Bank!$H:$H,B1288)="","",INDEX(Bank!$H:$H,B1288)))</f>
        <v/>
      </c>
      <c r="I1288" s="5" t="n">
        <f aca="false">IF(H1288="",0,IFERROR(MATCH(H1288,GL!$A:$A,0),0))</f>
        <v>0</v>
      </c>
      <c r="J1288" s="32" t="str">
        <f aca="false">IF(I1288=0,"",INDEX(GL!$B:$B,I1288))</f>
        <v/>
      </c>
      <c r="K1288" s="5" t="str">
        <f aca="false">IF(I1288=0,"",IF(INDEX(GL!$C:$C,I1288)="","",INDEX(GL!$C:$C,I1288)))</f>
        <v/>
      </c>
      <c r="L1288" s="19" t="str">
        <f aca="false">IF(I1288=0,"",INDEX(GL!$E:$E,I1288))</f>
        <v/>
      </c>
      <c r="M1288" s="19" t="str">
        <f aca="false">IF(OR(B1288=0,I1288=0),"",ROUND(G1288-L1288,2))</f>
        <v/>
      </c>
      <c r="N1288" s="5" t="str">
        <f aca="false">IF(A1288="","",IF(B1288=0,"NOT FOUND: bank ID",IF(I1288=0,"NOT FOUND: GL ID",IF(INDEX(GL!$H:$H,I1288)&lt;&gt;A1288,"BROKEN: GL points elsewhere",IF(OR(INDEX(Bank!$F:$F,B1288)&lt;&gt;"Y",INDEX(GL!$F:$F,I1288)&lt;&gt;"Y"),"BROKEN: Status not Y","OK")))))</f>
        <v/>
      </c>
    </row>
    <row r="1289" customFormat="false" ht="15" hidden="false" customHeight="false" outlineLevel="0" collapsed="false">
      <c r="A1289" s="41"/>
      <c r="B1289" s="5" t="n">
        <f aca="false">IF(A1289="",0,IFERROR(MATCH(A1289,Bank!$A:$A,0),0))</f>
        <v>0</v>
      </c>
      <c r="C1289" s="5" t="str">
        <f aca="false">IF(B1289=0,"",IF(INDEX(Bank!$G:$G,B1289)="","",INDEX(Bank!$G:$G,B1289)))</f>
        <v/>
      </c>
      <c r="D1289" s="5" t="str">
        <f aca="false">IF(B1289=0,"",IF(INDEX(Bank!$J:$J,B1289)="","",INDEX(Bank!$J:$J,B1289)))</f>
        <v/>
      </c>
      <c r="E1289" s="32" t="str">
        <f aca="false">IF(B1289=0,"",INDEX(Bank!$B:$B,B1289))</f>
        <v/>
      </c>
      <c r="F1289" s="5" t="str">
        <f aca="false">IF(B1289=0,"",IF(INDEX(Bank!$C:$C,B1289)="","",INDEX(Bank!$C:$C,B1289)))</f>
        <v/>
      </c>
      <c r="G1289" s="19" t="str">
        <f aca="false">IF(B1289=0,"",INDEX(Bank!$E:$E,B1289))</f>
        <v/>
      </c>
      <c r="H1289" s="5" t="str">
        <f aca="false">IF(B1289=0,"",IF(INDEX(Bank!$H:$H,B1289)="","",INDEX(Bank!$H:$H,B1289)))</f>
        <v/>
      </c>
      <c r="I1289" s="5" t="n">
        <f aca="false">IF(H1289="",0,IFERROR(MATCH(H1289,GL!$A:$A,0),0))</f>
        <v>0</v>
      </c>
      <c r="J1289" s="32" t="str">
        <f aca="false">IF(I1289=0,"",INDEX(GL!$B:$B,I1289))</f>
        <v/>
      </c>
      <c r="K1289" s="5" t="str">
        <f aca="false">IF(I1289=0,"",IF(INDEX(GL!$C:$C,I1289)="","",INDEX(GL!$C:$C,I1289)))</f>
        <v/>
      </c>
      <c r="L1289" s="19" t="str">
        <f aca="false">IF(I1289=0,"",INDEX(GL!$E:$E,I1289))</f>
        <v/>
      </c>
      <c r="M1289" s="19" t="str">
        <f aca="false">IF(OR(B1289=0,I1289=0),"",ROUND(G1289-L1289,2))</f>
        <v/>
      </c>
      <c r="N1289" s="5" t="str">
        <f aca="false">IF(A1289="","",IF(B1289=0,"NOT FOUND: bank ID",IF(I1289=0,"NOT FOUND: GL ID",IF(INDEX(GL!$H:$H,I1289)&lt;&gt;A1289,"BROKEN: GL points elsewhere",IF(OR(INDEX(Bank!$F:$F,B1289)&lt;&gt;"Y",INDEX(GL!$F:$F,I1289)&lt;&gt;"Y"),"BROKEN: Status not Y","OK")))))</f>
        <v/>
      </c>
    </row>
    <row r="1290" customFormat="false" ht="15" hidden="false" customHeight="false" outlineLevel="0" collapsed="false">
      <c r="A1290" s="41"/>
      <c r="B1290" s="5" t="n">
        <f aca="false">IF(A1290="",0,IFERROR(MATCH(A1290,Bank!$A:$A,0),0))</f>
        <v>0</v>
      </c>
      <c r="C1290" s="5" t="str">
        <f aca="false">IF(B1290=0,"",IF(INDEX(Bank!$G:$G,B1290)="","",INDEX(Bank!$G:$G,B1290)))</f>
        <v/>
      </c>
      <c r="D1290" s="5" t="str">
        <f aca="false">IF(B1290=0,"",IF(INDEX(Bank!$J:$J,B1290)="","",INDEX(Bank!$J:$J,B1290)))</f>
        <v/>
      </c>
      <c r="E1290" s="32" t="str">
        <f aca="false">IF(B1290=0,"",INDEX(Bank!$B:$B,B1290))</f>
        <v/>
      </c>
      <c r="F1290" s="5" t="str">
        <f aca="false">IF(B1290=0,"",IF(INDEX(Bank!$C:$C,B1290)="","",INDEX(Bank!$C:$C,B1290)))</f>
        <v/>
      </c>
      <c r="G1290" s="19" t="str">
        <f aca="false">IF(B1290=0,"",INDEX(Bank!$E:$E,B1290))</f>
        <v/>
      </c>
      <c r="H1290" s="5" t="str">
        <f aca="false">IF(B1290=0,"",IF(INDEX(Bank!$H:$H,B1290)="","",INDEX(Bank!$H:$H,B1290)))</f>
        <v/>
      </c>
      <c r="I1290" s="5" t="n">
        <f aca="false">IF(H1290="",0,IFERROR(MATCH(H1290,GL!$A:$A,0),0))</f>
        <v>0</v>
      </c>
      <c r="J1290" s="32" t="str">
        <f aca="false">IF(I1290=0,"",INDEX(GL!$B:$B,I1290))</f>
        <v/>
      </c>
      <c r="K1290" s="5" t="str">
        <f aca="false">IF(I1290=0,"",IF(INDEX(GL!$C:$C,I1290)="","",INDEX(GL!$C:$C,I1290)))</f>
        <v/>
      </c>
      <c r="L1290" s="19" t="str">
        <f aca="false">IF(I1290=0,"",INDEX(GL!$E:$E,I1290))</f>
        <v/>
      </c>
      <c r="M1290" s="19" t="str">
        <f aca="false">IF(OR(B1290=0,I1290=0),"",ROUND(G1290-L1290,2))</f>
        <v/>
      </c>
      <c r="N1290" s="5" t="str">
        <f aca="false">IF(A1290="","",IF(B1290=0,"NOT FOUND: bank ID",IF(I1290=0,"NOT FOUND: GL ID",IF(INDEX(GL!$H:$H,I1290)&lt;&gt;A1290,"BROKEN: GL points elsewhere",IF(OR(INDEX(Bank!$F:$F,B1290)&lt;&gt;"Y",INDEX(GL!$F:$F,I1290)&lt;&gt;"Y"),"BROKEN: Status not Y","OK")))))</f>
        <v/>
      </c>
    </row>
    <row r="1291" customFormat="false" ht="15" hidden="false" customHeight="false" outlineLevel="0" collapsed="false">
      <c r="A1291" s="41"/>
      <c r="B1291" s="5" t="n">
        <f aca="false">IF(A1291="",0,IFERROR(MATCH(A1291,Bank!$A:$A,0),0))</f>
        <v>0</v>
      </c>
      <c r="C1291" s="5" t="str">
        <f aca="false">IF(B1291=0,"",IF(INDEX(Bank!$G:$G,B1291)="","",INDEX(Bank!$G:$G,B1291)))</f>
        <v/>
      </c>
      <c r="D1291" s="5" t="str">
        <f aca="false">IF(B1291=0,"",IF(INDEX(Bank!$J:$J,B1291)="","",INDEX(Bank!$J:$J,B1291)))</f>
        <v/>
      </c>
      <c r="E1291" s="32" t="str">
        <f aca="false">IF(B1291=0,"",INDEX(Bank!$B:$B,B1291))</f>
        <v/>
      </c>
      <c r="F1291" s="5" t="str">
        <f aca="false">IF(B1291=0,"",IF(INDEX(Bank!$C:$C,B1291)="","",INDEX(Bank!$C:$C,B1291)))</f>
        <v/>
      </c>
      <c r="G1291" s="19" t="str">
        <f aca="false">IF(B1291=0,"",INDEX(Bank!$E:$E,B1291))</f>
        <v/>
      </c>
      <c r="H1291" s="5" t="str">
        <f aca="false">IF(B1291=0,"",IF(INDEX(Bank!$H:$H,B1291)="","",INDEX(Bank!$H:$H,B1291)))</f>
        <v/>
      </c>
      <c r="I1291" s="5" t="n">
        <f aca="false">IF(H1291="",0,IFERROR(MATCH(H1291,GL!$A:$A,0),0))</f>
        <v>0</v>
      </c>
      <c r="J1291" s="32" t="str">
        <f aca="false">IF(I1291=0,"",INDEX(GL!$B:$B,I1291))</f>
        <v/>
      </c>
      <c r="K1291" s="5" t="str">
        <f aca="false">IF(I1291=0,"",IF(INDEX(GL!$C:$C,I1291)="","",INDEX(GL!$C:$C,I1291)))</f>
        <v/>
      </c>
      <c r="L1291" s="19" t="str">
        <f aca="false">IF(I1291=0,"",INDEX(GL!$E:$E,I1291))</f>
        <v/>
      </c>
      <c r="M1291" s="19" t="str">
        <f aca="false">IF(OR(B1291=0,I1291=0),"",ROUND(G1291-L1291,2))</f>
        <v/>
      </c>
      <c r="N1291" s="5" t="str">
        <f aca="false">IF(A1291="","",IF(B1291=0,"NOT FOUND: bank ID",IF(I1291=0,"NOT FOUND: GL ID",IF(INDEX(GL!$H:$H,I1291)&lt;&gt;A1291,"BROKEN: GL points elsewhere",IF(OR(INDEX(Bank!$F:$F,B1291)&lt;&gt;"Y",INDEX(GL!$F:$F,I1291)&lt;&gt;"Y"),"BROKEN: Status not Y","OK")))))</f>
        <v/>
      </c>
    </row>
    <row r="1292" customFormat="false" ht="15" hidden="false" customHeight="false" outlineLevel="0" collapsed="false">
      <c r="A1292" s="41"/>
      <c r="B1292" s="5" t="n">
        <f aca="false">IF(A1292="",0,IFERROR(MATCH(A1292,Bank!$A:$A,0),0))</f>
        <v>0</v>
      </c>
      <c r="C1292" s="5" t="str">
        <f aca="false">IF(B1292=0,"",IF(INDEX(Bank!$G:$G,B1292)="","",INDEX(Bank!$G:$G,B1292)))</f>
        <v/>
      </c>
      <c r="D1292" s="5" t="str">
        <f aca="false">IF(B1292=0,"",IF(INDEX(Bank!$J:$J,B1292)="","",INDEX(Bank!$J:$J,B1292)))</f>
        <v/>
      </c>
      <c r="E1292" s="32" t="str">
        <f aca="false">IF(B1292=0,"",INDEX(Bank!$B:$B,B1292))</f>
        <v/>
      </c>
      <c r="F1292" s="5" t="str">
        <f aca="false">IF(B1292=0,"",IF(INDEX(Bank!$C:$C,B1292)="","",INDEX(Bank!$C:$C,B1292)))</f>
        <v/>
      </c>
      <c r="G1292" s="19" t="str">
        <f aca="false">IF(B1292=0,"",INDEX(Bank!$E:$E,B1292))</f>
        <v/>
      </c>
      <c r="H1292" s="5" t="str">
        <f aca="false">IF(B1292=0,"",IF(INDEX(Bank!$H:$H,B1292)="","",INDEX(Bank!$H:$H,B1292)))</f>
        <v/>
      </c>
      <c r="I1292" s="5" t="n">
        <f aca="false">IF(H1292="",0,IFERROR(MATCH(H1292,GL!$A:$A,0),0))</f>
        <v>0</v>
      </c>
      <c r="J1292" s="32" t="str">
        <f aca="false">IF(I1292=0,"",INDEX(GL!$B:$B,I1292))</f>
        <v/>
      </c>
      <c r="K1292" s="5" t="str">
        <f aca="false">IF(I1292=0,"",IF(INDEX(GL!$C:$C,I1292)="","",INDEX(GL!$C:$C,I1292)))</f>
        <v/>
      </c>
      <c r="L1292" s="19" t="str">
        <f aca="false">IF(I1292=0,"",INDEX(GL!$E:$E,I1292))</f>
        <v/>
      </c>
      <c r="M1292" s="19" t="str">
        <f aca="false">IF(OR(B1292=0,I1292=0),"",ROUND(G1292-L1292,2))</f>
        <v/>
      </c>
      <c r="N1292" s="5" t="str">
        <f aca="false">IF(A1292="","",IF(B1292=0,"NOT FOUND: bank ID",IF(I1292=0,"NOT FOUND: GL ID",IF(INDEX(GL!$H:$H,I1292)&lt;&gt;A1292,"BROKEN: GL points elsewhere",IF(OR(INDEX(Bank!$F:$F,B1292)&lt;&gt;"Y",INDEX(GL!$F:$F,I1292)&lt;&gt;"Y"),"BROKEN: Status not Y","OK")))))</f>
        <v/>
      </c>
    </row>
    <row r="1293" customFormat="false" ht="15" hidden="false" customHeight="false" outlineLevel="0" collapsed="false">
      <c r="A1293" s="41"/>
      <c r="B1293" s="5" t="n">
        <f aca="false">IF(A1293="",0,IFERROR(MATCH(A1293,Bank!$A:$A,0),0))</f>
        <v>0</v>
      </c>
      <c r="C1293" s="5" t="str">
        <f aca="false">IF(B1293=0,"",IF(INDEX(Bank!$G:$G,B1293)="","",INDEX(Bank!$G:$G,B1293)))</f>
        <v/>
      </c>
      <c r="D1293" s="5" t="str">
        <f aca="false">IF(B1293=0,"",IF(INDEX(Bank!$J:$J,B1293)="","",INDEX(Bank!$J:$J,B1293)))</f>
        <v/>
      </c>
      <c r="E1293" s="32" t="str">
        <f aca="false">IF(B1293=0,"",INDEX(Bank!$B:$B,B1293))</f>
        <v/>
      </c>
      <c r="F1293" s="5" t="str">
        <f aca="false">IF(B1293=0,"",IF(INDEX(Bank!$C:$C,B1293)="","",INDEX(Bank!$C:$C,B1293)))</f>
        <v/>
      </c>
      <c r="G1293" s="19" t="str">
        <f aca="false">IF(B1293=0,"",INDEX(Bank!$E:$E,B1293))</f>
        <v/>
      </c>
      <c r="H1293" s="5" t="str">
        <f aca="false">IF(B1293=0,"",IF(INDEX(Bank!$H:$H,B1293)="","",INDEX(Bank!$H:$H,B1293)))</f>
        <v/>
      </c>
      <c r="I1293" s="5" t="n">
        <f aca="false">IF(H1293="",0,IFERROR(MATCH(H1293,GL!$A:$A,0),0))</f>
        <v>0</v>
      </c>
      <c r="J1293" s="32" t="str">
        <f aca="false">IF(I1293=0,"",INDEX(GL!$B:$B,I1293))</f>
        <v/>
      </c>
      <c r="K1293" s="5" t="str">
        <f aca="false">IF(I1293=0,"",IF(INDEX(GL!$C:$C,I1293)="","",INDEX(GL!$C:$C,I1293)))</f>
        <v/>
      </c>
      <c r="L1293" s="19" t="str">
        <f aca="false">IF(I1293=0,"",INDEX(GL!$E:$E,I1293))</f>
        <v/>
      </c>
      <c r="M1293" s="19" t="str">
        <f aca="false">IF(OR(B1293=0,I1293=0),"",ROUND(G1293-L1293,2))</f>
        <v/>
      </c>
      <c r="N1293" s="5" t="str">
        <f aca="false">IF(A1293="","",IF(B1293=0,"NOT FOUND: bank ID",IF(I1293=0,"NOT FOUND: GL ID",IF(INDEX(GL!$H:$H,I1293)&lt;&gt;A1293,"BROKEN: GL points elsewhere",IF(OR(INDEX(Bank!$F:$F,B1293)&lt;&gt;"Y",INDEX(GL!$F:$F,I1293)&lt;&gt;"Y"),"BROKEN: Status not Y","OK")))))</f>
        <v/>
      </c>
    </row>
    <row r="1294" customFormat="false" ht="15" hidden="false" customHeight="false" outlineLevel="0" collapsed="false">
      <c r="A1294" s="41"/>
      <c r="B1294" s="5" t="n">
        <f aca="false">IF(A1294="",0,IFERROR(MATCH(A1294,Bank!$A:$A,0),0))</f>
        <v>0</v>
      </c>
      <c r="C1294" s="5" t="str">
        <f aca="false">IF(B1294=0,"",IF(INDEX(Bank!$G:$G,B1294)="","",INDEX(Bank!$G:$G,B1294)))</f>
        <v/>
      </c>
      <c r="D1294" s="5" t="str">
        <f aca="false">IF(B1294=0,"",IF(INDEX(Bank!$J:$J,B1294)="","",INDEX(Bank!$J:$J,B1294)))</f>
        <v/>
      </c>
      <c r="E1294" s="32" t="str">
        <f aca="false">IF(B1294=0,"",INDEX(Bank!$B:$B,B1294))</f>
        <v/>
      </c>
      <c r="F1294" s="5" t="str">
        <f aca="false">IF(B1294=0,"",IF(INDEX(Bank!$C:$C,B1294)="","",INDEX(Bank!$C:$C,B1294)))</f>
        <v/>
      </c>
      <c r="G1294" s="19" t="str">
        <f aca="false">IF(B1294=0,"",INDEX(Bank!$E:$E,B1294))</f>
        <v/>
      </c>
      <c r="H1294" s="5" t="str">
        <f aca="false">IF(B1294=0,"",IF(INDEX(Bank!$H:$H,B1294)="","",INDEX(Bank!$H:$H,B1294)))</f>
        <v/>
      </c>
      <c r="I1294" s="5" t="n">
        <f aca="false">IF(H1294="",0,IFERROR(MATCH(H1294,GL!$A:$A,0),0))</f>
        <v>0</v>
      </c>
      <c r="J1294" s="32" t="str">
        <f aca="false">IF(I1294=0,"",INDEX(GL!$B:$B,I1294))</f>
        <v/>
      </c>
      <c r="K1294" s="5" t="str">
        <f aca="false">IF(I1294=0,"",IF(INDEX(GL!$C:$C,I1294)="","",INDEX(GL!$C:$C,I1294)))</f>
        <v/>
      </c>
      <c r="L1294" s="19" t="str">
        <f aca="false">IF(I1294=0,"",INDEX(GL!$E:$E,I1294))</f>
        <v/>
      </c>
      <c r="M1294" s="19" t="str">
        <f aca="false">IF(OR(B1294=0,I1294=0),"",ROUND(G1294-L1294,2))</f>
        <v/>
      </c>
      <c r="N1294" s="5" t="str">
        <f aca="false">IF(A1294="","",IF(B1294=0,"NOT FOUND: bank ID",IF(I1294=0,"NOT FOUND: GL ID",IF(INDEX(GL!$H:$H,I1294)&lt;&gt;A1294,"BROKEN: GL points elsewhere",IF(OR(INDEX(Bank!$F:$F,B1294)&lt;&gt;"Y",INDEX(GL!$F:$F,I1294)&lt;&gt;"Y"),"BROKEN: Status not Y","OK")))))</f>
        <v/>
      </c>
    </row>
    <row r="1295" customFormat="false" ht="15" hidden="false" customHeight="false" outlineLevel="0" collapsed="false">
      <c r="A1295" s="41"/>
      <c r="B1295" s="5" t="n">
        <f aca="false">IF(A1295="",0,IFERROR(MATCH(A1295,Bank!$A:$A,0),0))</f>
        <v>0</v>
      </c>
      <c r="C1295" s="5" t="str">
        <f aca="false">IF(B1295=0,"",IF(INDEX(Bank!$G:$G,B1295)="","",INDEX(Bank!$G:$G,B1295)))</f>
        <v/>
      </c>
      <c r="D1295" s="5" t="str">
        <f aca="false">IF(B1295=0,"",IF(INDEX(Bank!$J:$J,B1295)="","",INDEX(Bank!$J:$J,B1295)))</f>
        <v/>
      </c>
      <c r="E1295" s="32" t="str">
        <f aca="false">IF(B1295=0,"",INDEX(Bank!$B:$B,B1295))</f>
        <v/>
      </c>
      <c r="F1295" s="5" t="str">
        <f aca="false">IF(B1295=0,"",IF(INDEX(Bank!$C:$C,B1295)="","",INDEX(Bank!$C:$C,B1295)))</f>
        <v/>
      </c>
      <c r="G1295" s="19" t="str">
        <f aca="false">IF(B1295=0,"",INDEX(Bank!$E:$E,B1295))</f>
        <v/>
      </c>
      <c r="H1295" s="5" t="str">
        <f aca="false">IF(B1295=0,"",IF(INDEX(Bank!$H:$H,B1295)="","",INDEX(Bank!$H:$H,B1295)))</f>
        <v/>
      </c>
      <c r="I1295" s="5" t="n">
        <f aca="false">IF(H1295="",0,IFERROR(MATCH(H1295,GL!$A:$A,0),0))</f>
        <v>0</v>
      </c>
      <c r="J1295" s="32" t="str">
        <f aca="false">IF(I1295=0,"",INDEX(GL!$B:$B,I1295))</f>
        <v/>
      </c>
      <c r="K1295" s="5" t="str">
        <f aca="false">IF(I1295=0,"",IF(INDEX(GL!$C:$C,I1295)="","",INDEX(GL!$C:$C,I1295)))</f>
        <v/>
      </c>
      <c r="L1295" s="19" t="str">
        <f aca="false">IF(I1295=0,"",INDEX(GL!$E:$E,I1295))</f>
        <v/>
      </c>
      <c r="M1295" s="19" t="str">
        <f aca="false">IF(OR(B1295=0,I1295=0),"",ROUND(G1295-L1295,2))</f>
        <v/>
      </c>
      <c r="N1295" s="5" t="str">
        <f aca="false">IF(A1295="","",IF(B1295=0,"NOT FOUND: bank ID",IF(I1295=0,"NOT FOUND: GL ID",IF(INDEX(GL!$H:$H,I1295)&lt;&gt;A1295,"BROKEN: GL points elsewhere",IF(OR(INDEX(Bank!$F:$F,B1295)&lt;&gt;"Y",INDEX(GL!$F:$F,I1295)&lt;&gt;"Y"),"BROKEN: Status not Y","OK")))))</f>
        <v/>
      </c>
    </row>
    <row r="1296" customFormat="false" ht="15" hidden="false" customHeight="false" outlineLevel="0" collapsed="false">
      <c r="A1296" s="41"/>
      <c r="B1296" s="5" t="n">
        <f aca="false">IF(A1296="",0,IFERROR(MATCH(A1296,Bank!$A:$A,0),0))</f>
        <v>0</v>
      </c>
      <c r="C1296" s="5" t="str">
        <f aca="false">IF(B1296=0,"",IF(INDEX(Bank!$G:$G,B1296)="","",INDEX(Bank!$G:$G,B1296)))</f>
        <v/>
      </c>
      <c r="D1296" s="5" t="str">
        <f aca="false">IF(B1296=0,"",IF(INDEX(Bank!$J:$J,B1296)="","",INDEX(Bank!$J:$J,B1296)))</f>
        <v/>
      </c>
      <c r="E1296" s="32" t="str">
        <f aca="false">IF(B1296=0,"",INDEX(Bank!$B:$B,B1296))</f>
        <v/>
      </c>
      <c r="F1296" s="5" t="str">
        <f aca="false">IF(B1296=0,"",IF(INDEX(Bank!$C:$C,B1296)="","",INDEX(Bank!$C:$C,B1296)))</f>
        <v/>
      </c>
      <c r="G1296" s="19" t="str">
        <f aca="false">IF(B1296=0,"",INDEX(Bank!$E:$E,B1296))</f>
        <v/>
      </c>
      <c r="H1296" s="5" t="str">
        <f aca="false">IF(B1296=0,"",IF(INDEX(Bank!$H:$H,B1296)="","",INDEX(Bank!$H:$H,B1296)))</f>
        <v/>
      </c>
      <c r="I1296" s="5" t="n">
        <f aca="false">IF(H1296="",0,IFERROR(MATCH(H1296,GL!$A:$A,0),0))</f>
        <v>0</v>
      </c>
      <c r="J1296" s="32" t="str">
        <f aca="false">IF(I1296=0,"",INDEX(GL!$B:$B,I1296))</f>
        <v/>
      </c>
      <c r="K1296" s="5" t="str">
        <f aca="false">IF(I1296=0,"",IF(INDEX(GL!$C:$C,I1296)="","",INDEX(GL!$C:$C,I1296)))</f>
        <v/>
      </c>
      <c r="L1296" s="19" t="str">
        <f aca="false">IF(I1296=0,"",INDEX(GL!$E:$E,I1296))</f>
        <v/>
      </c>
      <c r="M1296" s="19" t="str">
        <f aca="false">IF(OR(B1296=0,I1296=0),"",ROUND(G1296-L1296,2))</f>
        <v/>
      </c>
      <c r="N1296" s="5" t="str">
        <f aca="false">IF(A1296="","",IF(B1296=0,"NOT FOUND: bank ID",IF(I1296=0,"NOT FOUND: GL ID",IF(INDEX(GL!$H:$H,I1296)&lt;&gt;A1296,"BROKEN: GL points elsewhere",IF(OR(INDEX(Bank!$F:$F,B1296)&lt;&gt;"Y",INDEX(GL!$F:$F,I1296)&lt;&gt;"Y"),"BROKEN: Status not Y","OK")))))</f>
        <v/>
      </c>
    </row>
    <row r="1297" customFormat="false" ht="15" hidden="false" customHeight="false" outlineLevel="0" collapsed="false">
      <c r="A1297" s="41"/>
      <c r="B1297" s="5" t="n">
        <f aca="false">IF(A1297="",0,IFERROR(MATCH(A1297,Bank!$A:$A,0),0))</f>
        <v>0</v>
      </c>
      <c r="C1297" s="5" t="str">
        <f aca="false">IF(B1297=0,"",IF(INDEX(Bank!$G:$G,B1297)="","",INDEX(Bank!$G:$G,B1297)))</f>
        <v/>
      </c>
      <c r="D1297" s="5" t="str">
        <f aca="false">IF(B1297=0,"",IF(INDEX(Bank!$J:$J,B1297)="","",INDEX(Bank!$J:$J,B1297)))</f>
        <v/>
      </c>
      <c r="E1297" s="32" t="str">
        <f aca="false">IF(B1297=0,"",INDEX(Bank!$B:$B,B1297))</f>
        <v/>
      </c>
      <c r="F1297" s="5" t="str">
        <f aca="false">IF(B1297=0,"",IF(INDEX(Bank!$C:$C,B1297)="","",INDEX(Bank!$C:$C,B1297)))</f>
        <v/>
      </c>
      <c r="G1297" s="19" t="str">
        <f aca="false">IF(B1297=0,"",INDEX(Bank!$E:$E,B1297))</f>
        <v/>
      </c>
      <c r="H1297" s="5" t="str">
        <f aca="false">IF(B1297=0,"",IF(INDEX(Bank!$H:$H,B1297)="","",INDEX(Bank!$H:$H,B1297)))</f>
        <v/>
      </c>
      <c r="I1297" s="5" t="n">
        <f aca="false">IF(H1297="",0,IFERROR(MATCH(H1297,GL!$A:$A,0),0))</f>
        <v>0</v>
      </c>
      <c r="J1297" s="32" t="str">
        <f aca="false">IF(I1297=0,"",INDEX(GL!$B:$B,I1297))</f>
        <v/>
      </c>
      <c r="K1297" s="5" t="str">
        <f aca="false">IF(I1297=0,"",IF(INDEX(GL!$C:$C,I1297)="","",INDEX(GL!$C:$C,I1297)))</f>
        <v/>
      </c>
      <c r="L1297" s="19" t="str">
        <f aca="false">IF(I1297=0,"",INDEX(GL!$E:$E,I1297))</f>
        <v/>
      </c>
      <c r="M1297" s="19" t="str">
        <f aca="false">IF(OR(B1297=0,I1297=0),"",ROUND(G1297-L1297,2))</f>
        <v/>
      </c>
      <c r="N1297" s="5" t="str">
        <f aca="false">IF(A1297="","",IF(B1297=0,"NOT FOUND: bank ID",IF(I1297=0,"NOT FOUND: GL ID",IF(INDEX(GL!$H:$H,I1297)&lt;&gt;A1297,"BROKEN: GL points elsewhere",IF(OR(INDEX(Bank!$F:$F,B1297)&lt;&gt;"Y",INDEX(GL!$F:$F,I1297)&lt;&gt;"Y"),"BROKEN: Status not Y","OK")))))</f>
        <v/>
      </c>
    </row>
    <row r="1298" customFormat="false" ht="15" hidden="false" customHeight="false" outlineLevel="0" collapsed="false">
      <c r="A1298" s="41"/>
      <c r="B1298" s="5" t="n">
        <f aca="false">IF(A1298="",0,IFERROR(MATCH(A1298,Bank!$A:$A,0),0))</f>
        <v>0</v>
      </c>
      <c r="C1298" s="5" t="str">
        <f aca="false">IF(B1298=0,"",IF(INDEX(Bank!$G:$G,B1298)="","",INDEX(Bank!$G:$G,B1298)))</f>
        <v/>
      </c>
      <c r="D1298" s="5" t="str">
        <f aca="false">IF(B1298=0,"",IF(INDEX(Bank!$J:$J,B1298)="","",INDEX(Bank!$J:$J,B1298)))</f>
        <v/>
      </c>
      <c r="E1298" s="32" t="str">
        <f aca="false">IF(B1298=0,"",INDEX(Bank!$B:$B,B1298))</f>
        <v/>
      </c>
      <c r="F1298" s="5" t="str">
        <f aca="false">IF(B1298=0,"",IF(INDEX(Bank!$C:$C,B1298)="","",INDEX(Bank!$C:$C,B1298)))</f>
        <v/>
      </c>
      <c r="G1298" s="19" t="str">
        <f aca="false">IF(B1298=0,"",INDEX(Bank!$E:$E,B1298))</f>
        <v/>
      </c>
      <c r="H1298" s="5" t="str">
        <f aca="false">IF(B1298=0,"",IF(INDEX(Bank!$H:$H,B1298)="","",INDEX(Bank!$H:$H,B1298)))</f>
        <v/>
      </c>
      <c r="I1298" s="5" t="n">
        <f aca="false">IF(H1298="",0,IFERROR(MATCH(H1298,GL!$A:$A,0),0))</f>
        <v>0</v>
      </c>
      <c r="J1298" s="32" t="str">
        <f aca="false">IF(I1298=0,"",INDEX(GL!$B:$B,I1298))</f>
        <v/>
      </c>
      <c r="K1298" s="5" t="str">
        <f aca="false">IF(I1298=0,"",IF(INDEX(GL!$C:$C,I1298)="","",INDEX(GL!$C:$C,I1298)))</f>
        <v/>
      </c>
      <c r="L1298" s="19" t="str">
        <f aca="false">IF(I1298=0,"",INDEX(GL!$E:$E,I1298))</f>
        <v/>
      </c>
      <c r="M1298" s="19" t="str">
        <f aca="false">IF(OR(B1298=0,I1298=0),"",ROUND(G1298-L1298,2))</f>
        <v/>
      </c>
      <c r="N1298" s="5" t="str">
        <f aca="false">IF(A1298="","",IF(B1298=0,"NOT FOUND: bank ID",IF(I1298=0,"NOT FOUND: GL ID",IF(INDEX(GL!$H:$H,I1298)&lt;&gt;A1298,"BROKEN: GL points elsewhere",IF(OR(INDEX(Bank!$F:$F,B1298)&lt;&gt;"Y",INDEX(GL!$F:$F,I1298)&lt;&gt;"Y"),"BROKEN: Status not Y","OK")))))</f>
        <v/>
      </c>
    </row>
    <row r="1299" customFormat="false" ht="15" hidden="false" customHeight="false" outlineLevel="0" collapsed="false">
      <c r="A1299" s="41"/>
      <c r="B1299" s="5" t="n">
        <f aca="false">IF(A1299="",0,IFERROR(MATCH(A1299,Bank!$A:$A,0),0))</f>
        <v>0</v>
      </c>
      <c r="C1299" s="5" t="str">
        <f aca="false">IF(B1299=0,"",IF(INDEX(Bank!$G:$G,B1299)="","",INDEX(Bank!$G:$G,B1299)))</f>
        <v/>
      </c>
      <c r="D1299" s="5" t="str">
        <f aca="false">IF(B1299=0,"",IF(INDEX(Bank!$J:$J,B1299)="","",INDEX(Bank!$J:$J,B1299)))</f>
        <v/>
      </c>
      <c r="E1299" s="32" t="str">
        <f aca="false">IF(B1299=0,"",INDEX(Bank!$B:$B,B1299))</f>
        <v/>
      </c>
      <c r="F1299" s="5" t="str">
        <f aca="false">IF(B1299=0,"",IF(INDEX(Bank!$C:$C,B1299)="","",INDEX(Bank!$C:$C,B1299)))</f>
        <v/>
      </c>
      <c r="G1299" s="19" t="str">
        <f aca="false">IF(B1299=0,"",INDEX(Bank!$E:$E,B1299))</f>
        <v/>
      </c>
      <c r="H1299" s="5" t="str">
        <f aca="false">IF(B1299=0,"",IF(INDEX(Bank!$H:$H,B1299)="","",INDEX(Bank!$H:$H,B1299)))</f>
        <v/>
      </c>
      <c r="I1299" s="5" t="n">
        <f aca="false">IF(H1299="",0,IFERROR(MATCH(H1299,GL!$A:$A,0),0))</f>
        <v>0</v>
      </c>
      <c r="J1299" s="32" t="str">
        <f aca="false">IF(I1299=0,"",INDEX(GL!$B:$B,I1299))</f>
        <v/>
      </c>
      <c r="K1299" s="5" t="str">
        <f aca="false">IF(I1299=0,"",IF(INDEX(GL!$C:$C,I1299)="","",INDEX(GL!$C:$C,I1299)))</f>
        <v/>
      </c>
      <c r="L1299" s="19" t="str">
        <f aca="false">IF(I1299=0,"",INDEX(GL!$E:$E,I1299))</f>
        <v/>
      </c>
      <c r="M1299" s="19" t="str">
        <f aca="false">IF(OR(B1299=0,I1299=0),"",ROUND(G1299-L1299,2))</f>
        <v/>
      </c>
      <c r="N1299" s="5" t="str">
        <f aca="false">IF(A1299="","",IF(B1299=0,"NOT FOUND: bank ID",IF(I1299=0,"NOT FOUND: GL ID",IF(INDEX(GL!$H:$H,I1299)&lt;&gt;A1299,"BROKEN: GL points elsewhere",IF(OR(INDEX(Bank!$F:$F,B1299)&lt;&gt;"Y",INDEX(GL!$F:$F,I1299)&lt;&gt;"Y"),"BROKEN: Status not Y","OK")))))</f>
        <v/>
      </c>
    </row>
    <row r="1300" customFormat="false" ht="15" hidden="false" customHeight="false" outlineLevel="0" collapsed="false">
      <c r="A1300" s="41"/>
      <c r="B1300" s="5" t="n">
        <f aca="false">IF(A1300="",0,IFERROR(MATCH(A1300,Bank!$A:$A,0),0))</f>
        <v>0</v>
      </c>
      <c r="C1300" s="5" t="str">
        <f aca="false">IF(B1300=0,"",IF(INDEX(Bank!$G:$G,B1300)="","",INDEX(Bank!$G:$G,B1300)))</f>
        <v/>
      </c>
      <c r="D1300" s="5" t="str">
        <f aca="false">IF(B1300=0,"",IF(INDEX(Bank!$J:$J,B1300)="","",INDEX(Bank!$J:$J,B1300)))</f>
        <v/>
      </c>
      <c r="E1300" s="32" t="str">
        <f aca="false">IF(B1300=0,"",INDEX(Bank!$B:$B,B1300))</f>
        <v/>
      </c>
      <c r="F1300" s="5" t="str">
        <f aca="false">IF(B1300=0,"",IF(INDEX(Bank!$C:$C,B1300)="","",INDEX(Bank!$C:$C,B1300)))</f>
        <v/>
      </c>
      <c r="G1300" s="19" t="str">
        <f aca="false">IF(B1300=0,"",INDEX(Bank!$E:$E,B1300))</f>
        <v/>
      </c>
      <c r="H1300" s="5" t="str">
        <f aca="false">IF(B1300=0,"",IF(INDEX(Bank!$H:$H,B1300)="","",INDEX(Bank!$H:$H,B1300)))</f>
        <v/>
      </c>
      <c r="I1300" s="5" t="n">
        <f aca="false">IF(H1300="",0,IFERROR(MATCH(H1300,GL!$A:$A,0),0))</f>
        <v>0</v>
      </c>
      <c r="J1300" s="32" t="str">
        <f aca="false">IF(I1300=0,"",INDEX(GL!$B:$B,I1300))</f>
        <v/>
      </c>
      <c r="K1300" s="5" t="str">
        <f aca="false">IF(I1300=0,"",IF(INDEX(GL!$C:$C,I1300)="","",INDEX(GL!$C:$C,I1300)))</f>
        <v/>
      </c>
      <c r="L1300" s="19" t="str">
        <f aca="false">IF(I1300=0,"",INDEX(GL!$E:$E,I1300))</f>
        <v/>
      </c>
      <c r="M1300" s="19" t="str">
        <f aca="false">IF(OR(B1300=0,I1300=0),"",ROUND(G1300-L1300,2))</f>
        <v/>
      </c>
      <c r="N1300" s="5" t="str">
        <f aca="false">IF(A1300="","",IF(B1300=0,"NOT FOUND: bank ID",IF(I1300=0,"NOT FOUND: GL ID",IF(INDEX(GL!$H:$H,I1300)&lt;&gt;A1300,"BROKEN: GL points elsewhere",IF(OR(INDEX(Bank!$F:$F,B1300)&lt;&gt;"Y",INDEX(GL!$F:$F,I1300)&lt;&gt;"Y"),"BROKEN: Status not Y","OK")))))</f>
        <v/>
      </c>
    </row>
    <row r="1301" customFormat="false" ht="15" hidden="false" customHeight="false" outlineLevel="0" collapsed="false">
      <c r="A1301" s="41"/>
      <c r="B1301" s="5" t="n">
        <f aca="false">IF(A1301="",0,IFERROR(MATCH(A1301,Bank!$A:$A,0),0))</f>
        <v>0</v>
      </c>
      <c r="C1301" s="5" t="str">
        <f aca="false">IF(B1301=0,"",IF(INDEX(Bank!$G:$G,B1301)="","",INDEX(Bank!$G:$G,B1301)))</f>
        <v/>
      </c>
      <c r="D1301" s="5" t="str">
        <f aca="false">IF(B1301=0,"",IF(INDEX(Bank!$J:$J,B1301)="","",INDEX(Bank!$J:$J,B1301)))</f>
        <v/>
      </c>
      <c r="E1301" s="32" t="str">
        <f aca="false">IF(B1301=0,"",INDEX(Bank!$B:$B,B1301))</f>
        <v/>
      </c>
      <c r="F1301" s="5" t="str">
        <f aca="false">IF(B1301=0,"",IF(INDEX(Bank!$C:$C,B1301)="","",INDEX(Bank!$C:$C,B1301)))</f>
        <v/>
      </c>
      <c r="G1301" s="19" t="str">
        <f aca="false">IF(B1301=0,"",INDEX(Bank!$E:$E,B1301))</f>
        <v/>
      </c>
      <c r="H1301" s="5" t="str">
        <f aca="false">IF(B1301=0,"",IF(INDEX(Bank!$H:$H,B1301)="","",INDEX(Bank!$H:$H,B1301)))</f>
        <v/>
      </c>
      <c r="I1301" s="5" t="n">
        <f aca="false">IF(H1301="",0,IFERROR(MATCH(H1301,GL!$A:$A,0),0))</f>
        <v>0</v>
      </c>
      <c r="J1301" s="32" t="str">
        <f aca="false">IF(I1301=0,"",INDEX(GL!$B:$B,I1301))</f>
        <v/>
      </c>
      <c r="K1301" s="5" t="str">
        <f aca="false">IF(I1301=0,"",IF(INDEX(GL!$C:$C,I1301)="","",INDEX(GL!$C:$C,I1301)))</f>
        <v/>
      </c>
      <c r="L1301" s="19" t="str">
        <f aca="false">IF(I1301=0,"",INDEX(GL!$E:$E,I1301))</f>
        <v/>
      </c>
      <c r="M1301" s="19" t="str">
        <f aca="false">IF(OR(B1301=0,I1301=0),"",ROUND(G1301-L1301,2))</f>
        <v/>
      </c>
      <c r="N1301" s="5" t="str">
        <f aca="false">IF(A1301="","",IF(B1301=0,"NOT FOUND: bank ID",IF(I1301=0,"NOT FOUND: GL ID",IF(INDEX(GL!$H:$H,I1301)&lt;&gt;A1301,"BROKEN: GL points elsewhere",IF(OR(INDEX(Bank!$F:$F,B1301)&lt;&gt;"Y",INDEX(GL!$F:$F,I1301)&lt;&gt;"Y"),"BROKEN: Status not Y","OK")))))</f>
        <v/>
      </c>
    </row>
    <row r="1302" customFormat="false" ht="15" hidden="false" customHeight="false" outlineLevel="0" collapsed="false">
      <c r="A1302" s="41"/>
      <c r="B1302" s="5" t="n">
        <f aca="false">IF(A1302="",0,IFERROR(MATCH(A1302,Bank!$A:$A,0),0))</f>
        <v>0</v>
      </c>
      <c r="C1302" s="5" t="str">
        <f aca="false">IF(B1302=0,"",IF(INDEX(Bank!$G:$G,B1302)="","",INDEX(Bank!$G:$G,B1302)))</f>
        <v/>
      </c>
      <c r="D1302" s="5" t="str">
        <f aca="false">IF(B1302=0,"",IF(INDEX(Bank!$J:$J,B1302)="","",INDEX(Bank!$J:$J,B1302)))</f>
        <v/>
      </c>
      <c r="E1302" s="32" t="str">
        <f aca="false">IF(B1302=0,"",INDEX(Bank!$B:$B,B1302))</f>
        <v/>
      </c>
      <c r="F1302" s="5" t="str">
        <f aca="false">IF(B1302=0,"",IF(INDEX(Bank!$C:$C,B1302)="","",INDEX(Bank!$C:$C,B1302)))</f>
        <v/>
      </c>
      <c r="G1302" s="19" t="str">
        <f aca="false">IF(B1302=0,"",INDEX(Bank!$E:$E,B1302))</f>
        <v/>
      </c>
      <c r="H1302" s="5" t="str">
        <f aca="false">IF(B1302=0,"",IF(INDEX(Bank!$H:$H,B1302)="","",INDEX(Bank!$H:$H,B1302)))</f>
        <v/>
      </c>
      <c r="I1302" s="5" t="n">
        <f aca="false">IF(H1302="",0,IFERROR(MATCH(H1302,GL!$A:$A,0),0))</f>
        <v>0</v>
      </c>
      <c r="J1302" s="32" t="str">
        <f aca="false">IF(I1302=0,"",INDEX(GL!$B:$B,I1302))</f>
        <v/>
      </c>
      <c r="K1302" s="5" t="str">
        <f aca="false">IF(I1302=0,"",IF(INDEX(GL!$C:$C,I1302)="","",INDEX(GL!$C:$C,I1302)))</f>
        <v/>
      </c>
      <c r="L1302" s="19" t="str">
        <f aca="false">IF(I1302=0,"",INDEX(GL!$E:$E,I1302))</f>
        <v/>
      </c>
      <c r="M1302" s="19" t="str">
        <f aca="false">IF(OR(B1302=0,I1302=0),"",ROUND(G1302-L1302,2))</f>
        <v/>
      </c>
      <c r="N1302" s="5" t="str">
        <f aca="false">IF(A1302="","",IF(B1302=0,"NOT FOUND: bank ID",IF(I1302=0,"NOT FOUND: GL ID",IF(INDEX(GL!$H:$H,I1302)&lt;&gt;A1302,"BROKEN: GL points elsewhere",IF(OR(INDEX(Bank!$F:$F,B1302)&lt;&gt;"Y",INDEX(GL!$F:$F,I1302)&lt;&gt;"Y"),"BROKEN: Status not Y","OK")))))</f>
        <v/>
      </c>
    </row>
    <row r="1303" customFormat="false" ht="15" hidden="false" customHeight="false" outlineLevel="0" collapsed="false">
      <c r="A1303" s="41"/>
      <c r="B1303" s="5" t="n">
        <f aca="false">IF(A1303="",0,IFERROR(MATCH(A1303,Bank!$A:$A,0),0))</f>
        <v>0</v>
      </c>
      <c r="C1303" s="5" t="str">
        <f aca="false">IF(B1303=0,"",IF(INDEX(Bank!$G:$G,B1303)="","",INDEX(Bank!$G:$G,B1303)))</f>
        <v/>
      </c>
      <c r="D1303" s="5" t="str">
        <f aca="false">IF(B1303=0,"",IF(INDEX(Bank!$J:$J,B1303)="","",INDEX(Bank!$J:$J,B1303)))</f>
        <v/>
      </c>
      <c r="E1303" s="32" t="str">
        <f aca="false">IF(B1303=0,"",INDEX(Bank!$B:$B,B1303))</f>
        <v/>
      </c>
      <c r="F1303" s="5" t="str">
        <f aca="false">IF(B1303=0,"",IF(INDEX(Bank!$C:$C,B1303)="","",INDEX(Bank!$C:$C,B1303)))</f>
        <v/>
      </c>
      <c r="G1303" s="19" t="str">
        <f aca="false">IF(B1303=0,"",INDEX(Bank!$E:$E,B1303))</f>
        <v/>
      </c>
      <c r="H1303" s="5" t="str">
        <f aca="false">IF(B1303=0,"",IF(INDEX(Bank!$H:$H,B1303)="","",INDEX(Bank!$H:$H,B1303)))</f>
        <v/>
      </c>
      <c r="I1303" s="5" t="n">
        <f aca="false">IF(H1303="",0,IFERROR(MATCH(H1303,GL!$A:$A,0),0))</f>
        <v>0</v>
      </c>
      <c r="J1303" s="32" t="str">
        <f aca="false">IF(I1303=0,"",INDEX(GL!$B:$B,I1303))</f>
        <v/>
      </c>
      <c r="K1303" s="5" t="str">
        <f aca="false">IF(I1303=0,"",IF(INDEX(GL!$C:$C,I1303)="","",INDEX(GL!$C:$C,I1303)))</f>
        <v/>
      </c>
      <c r="L1303" s="19" t="str">
        <f aca="false">IF(I1303=0,"",INDEX(GL!$E:$E,I1303))</f>
        <v/>
      </c>
      <c r="M1303" s="19" t="str">
        <f aca="false">IF(OR(B1303=0,I1303=0),"",ROUND(G1303-L1303,2))</f>
        <v/>
      </c>
      <c r="N1303" s="5" t="str">
        <f aca="false">IF(A1303="","",IF(B1303=0,"NOT FOUND: bank ID",IF(I1303=0,"NOT FOUND: GL ID",IF(INDEX(GL!$H:$H,I1303)&lt;&gt;A1303,"BROKEN: GL points elsewhere",IF(OR(INDEX(Bank!$F:$F,B1303)&lt;&gt;"Y",INDEX(GL!$F:$F,I1303)&lt;&gt;"Y"),"BROKEN: Status not Y","OK")))))</f>
        <v/>
      </c>
    </row>
    <row r="1304" customFormat="false" ht="15" hidden="false" customHeight="false" outlineLevel="0" collapsed="false">
      <c r="A1304" s="41"/>
      <c r="B1304" s="5" t="n">
        <f aca="false">IF(A1304="",0,IFERROR(MATCH(A1304,Bank!$A:$A,0),0))</f>
        <v>0</v>
      </c>
      <c r="C1304" s="5" t="str">
        <f aca="false">IF(B1304=0,"",IF(INDEX(Bank!$G:$G,B1304)="","",INDEX(Bank!$G:$G,B1304)))</f>
        <v/>
      </c>
      <c r="D1304" s="5" t="str">
        <f aca="false">IF(B1304=0,"",IF(INDEX(Bank!$J:$J,B1304)="","",INDEX(Bank!$J:$J,B1304)))</f>
        <v/>
      </c>
      <c r="E1304" s="32" t="str">
        <f aca="false">IF(B1304=0,"",INDEX(Bank!$B:$B,B1304))</f>
        <v/>
      </c>
      <c r="F1304" s="5" t="str">
        <f aca="false">IF(B1304=0,"",IF(INDEX(Bank!$C:$C,B1304)="","",INDEX(Bank!$C:$C,B1304)))</f>
        <v/>
      </c>
      <c r="G1304" s="19" t="str">
        <f aca="false">IF(B1304=0,"",INDEX(Bank!$E:$E,B1304))</f>
        <v/>
      </c>
      <c r="H1304" s="5" t="str">
        <f aca="false">IF(B1304=0,"",IF(INDEX(Bank!$H:$H,B1304)="","",INDEX(Bank!$H:$H,B1304)))</f>
        <v/>
      </c>
      <c r="I1304" s="5" t="n">
        <f aca="false">IF(H1304="",0,IFERROR(MATCH(H1304,GL!$A:$A,0),0))</f>
        <v>0</v>
      </c>
      <c r="J1304" s="32" t="str">
        <f aca="false">IF(I1304=0,"",INDEX(GL!$B:$B,I1304))</f>
        <v/>
      </c>
      <c r="K1304" s="5" t="str">
        <f aca="false">IF(I1304=0,"",IF(INDEX(GL!$C:$C,I1304)="","",INDEX(GL!$C:$C,I1304)))</f>
        <v/>
      </c>
      <c r="L1304" s="19" t="str">
        <f aca="false">IF(I1304=0,"",INDEX(GL!$E:$E,I1304))</f>
        <v/>
      </c>
      <c r="M1304" s="19" t="str">
        <f aca="false">IF(OR(B1304=0,I1304=0),"",ROUND(G1304-L1304,2))</f>
        <v/>
      </c>
      <c r="N1304" s="5" t="str">
        <f aca="false">IF(A1304="","",IF(B1304=0,"NOT FOUND: bank ID",IF(I1304=0,"NOT FOUND: GL ID",IF(INDEX(GL!$H:$H,I1304)&lt;&gt;A1304,"BROKEN: GL points elsewhere",IF(OR(INDEX(Bank!$F:$F,B1304)&lt;&gt;"Y",INDEX(GL!$F:$F,I1304)&lt;&gt;"Y"),"BROKEN: Status not Y","OK")))))</f>
        <v/>
      </c>
    </row>
    <row r="1305" customFormat="false" ht="15" hidden="false" customHeight="false" outlineLevel="0" collapsed="false">
      <c r="A1305" s="41"/>
      <c r="B1305" s="5" t="n">
        <f aca="false">IF(A1305="",0,IFERROR(MATCH(A1305,Bank!$A:$A,0),0))</f>
        <v>0</v>
      </c>
      <c r="C1305" s="5" t="str">
        <f aca="false">IF(B1305=0,"",IF(INDEX(Bank!$G:$G,B1305)="","",INDEX(Bank!$G:$G,B1305)))</f>
        <v/>
      </c>
      <c r="D1305" s="5" t="str">
        <f aca="false">IF(B1305=0,"",IF(INDEX(Bank!$J:$J,B1305)="","",INDEX(Bank!$J:$J,B1305)))</f>
        <v/>
      </c>
      <c r="E1305" s="32" t="str">
        <f aca="false">IF(B1305=0,"",INDEX(Bank!$B:$B,B1305))</f>
        <v/>
      </c>
      <c r="F1305" s="5" t="str">
        <f aca="false">IF(B1305=0,"",IF(INDEX(Bank!$C:$C,B1305)="","",INDEX(Bank!$C:$C,B1305)))</f>
        <v/>
      </c>
      <c r="G1305" s="19" t="str">
        <f aca="false">IF(B1305=0,"",INDEX(Bank!$E:$E,B1305))</f>
        <v/>
      </c>
      <c r="H1305" s="5" t="str">
        <f aca="false">IF(B1305=0,"",IF(INDEX(Bank!$H:$H,B1305)="","",INDEX(Bank!$H:$H,B1305)))</f>
        <v/>
      </c>
      <c r="I1305" s="5" t="n">
        <f aca="false">IF(H1305="",0,IFERROR(MATCH(H1305,GL!$A:$A,0),0))</f>
        <v>0</v>
      </c>
      <c r="J1305" s="32" t="str">
        <f aca="false">IF(I1305=0,"",INDEX(GL!$B:$B,I1305))</f>
        <v/>
      </c>
      <c r="K1305" s="5" t="str">
        <f aca="false">IF(I1305=0,"",IF(INDEX(GL!$C:$C,I1305)="","",INDEX(GL!$C:$C,I1305)))</f>
        <v/>
      </c>
      <c r="L1305" s="19" t="str">
        <f aca="false">IF(I1305=0,"",INDEX(GL!$E:$E,I1305))</f>
        <v/>
      </c>
      <c r="M1305" s="19" t="str">
        <f aca="false">IF(OR(B1305=0,I1305=0),"",ROUND(G1305-L1305,2))</f>
        <v/>
      </c>
      <c r="N1305" s="5" t="str">
        <f aca="false">IF(A1305="","",IF(B1305=0,"NOT FOUND: bank ID",IF(I1305=0,"NOT FOUND: GL ID",IF(INDEX(GL!$H:$H,I1305)&lt;&gt;A1305,"BROKEN: GL points elsewhere",IF(OR(INDEX(Bank!$F:$F,B1305)&lt;&gt;"Y",INDEX(GL!$F:$F,I1305)&lt;&gt;"Y"),"BROKEN: Status not Y","OK")))))</f>
        <v/>
      </c>
    </row>
    <row r="1306" customFormat="false" ht="15" hidden="false" customHeight="false" outlineLevel="0" collapsed="false">
      <c r="A1306" s="41"/>
      <c r="B1306" s="5" t="n">
        <f aca="false">IF(A1306="",0,IFERROR(MATCH(A1306,Bank!$A:$A,0),0))</f>
        <v>0</v>
      </c>
      <c r="C1306" s="5" t="str">
        <f aca="false">IF(B1306=0,"",IF(INDEX(Bank!$G:$G,B1306)="","",INDEX(Bank!$G:$G,B1306)))</f>
        <v/>
      </c>
      <c r="D1306" s="5" t="str">
        <f aca="false">IF(B1306=0,"",IF(INDEX(Bank!$J:$J,B1306)="","",INDEX(Bank!$J:$J,B1306)))</f>
        <v/>
      </c>
      <c r="E1306" s="32" t="str">
        <f aca="false">IF(B1306=0,"",INDEX(Bank!$B:$B,B1306))</f>
        <v/>
      </c>
      <c r="F1306" s="5" t="str">
        <f aca="false">IF(B1306=0,"",IF(INDEX(Bank!$C:$C,B1306)="","",INDEX(Bank!$C:$C,B1306)))</f>
        <v/>
      </c>
      <c r="G1306" s="19" t="str">
        <f aca="false">IF(B1306=0,"",INDEX(Bank!$E:$E,B1306))</f>
        <v/>
      </c>
      <c r="H1306" s="5" t="str">
        <f aca="false">IF(B1306=0,"",IF(INDEX(Bank!$H:$H,B1306)="","",INDEX(Bank!$H:$H,B1306)))</f>
        <v/>
      </c>
      <c r="I1306" s="5" t="n">
        <f aca="false">IF(H1306="",0,IFERROR(MATCH(H1306,GL!$A:$A,0),0))</f>
        <v>0</v>
      </c>
      <c r="J1306" s="32" t="str">
        <f aca="false">IF(I1306=0,"",INDEX(GL!$B:$B,I1306))</f>
        <v/>
      </c>
      <c r="K1306" s="5" t="str">
        <f aca="false">IF(I1306=0,"",IF(INDEX(GL!$C:$C,I1306)="","",INDEX(GL!$C:$C,I1306)))</f>
        <v/>
      </c>
      <c r="L1306" s="19" t="str">
        <f aca="false">IF(I1306=0,"",INDEX(GL!$E:$E,I1306))</f>
        <v/>
      </c>
      <c r="M1306" s="19" t="str">
        <f aca="false">IF(OR(B1306=0,I1306=0),"",ROUND(G1306-L1306,2))</f>
        <v/>
      </c>
      <c r="N1306" s="5" t="str">
        <f aca="false">IF(A1306="","",IF(B1306=0,"NOT FOUND: bank ID",IF(I1306=0,"NOT FOUND: GL ID",IF(INDEX(GL!$H:$H,I1306)&lt;&gt;A1306,"BROKEN: GL points elsewhere",IF(OR(INDEX(Bank!$F:$F,B1306)&lt;&gt;"Y",INDEX(GL!$F:$F,I1306)&lt;&gt;"Y"),"BROKEN: Status not Y","OK")))))</f>
        <v/>
      </c>
    </row>
    <row r="1307" customFormat="false" ht="15" hidden="false" customHeight="false" outlineLevel="0" collapsed="false">
      <c r="A1307" s="41"/>
      <c r="B1307" s="5" t="n">
        <f aca="false">IF(A1307="",0,IFERROR(MATCH(A1307,Bank!$A:$A,0),0))</f>
        <v>0</v>
      </c>
      <c r="C1307" s="5" t="str">
        <f aca="false">IF(B1307=0,"",IF(INDEX(Bank!$G:$G,B1307)="","",INDEX(Bank!$G:$G,B1307)))</f>
        <v/>
      </c>
      <c r="D1307" s="5" t="str">
        <f aca="false">IF(B1307=0,"",IF(INDEX(Bank!$J:$J,B1307)="","",INDEX(Bank!$J:$J,B1307)))</f>
        <v/>
      </c>
      <c r="E1307" s="32" t="str">
        <f aca="false">IF(B1307=0,"",INDEX(Bank!$B:$B,B1307))</f>
        <v/>
      </c>
      <c r="F1307" s="5" t="str">
        <f aca="false">IF(B1307=0,"",IF(INDEX(Bank!$C:$C,B1307)="","",INDEX(Bank!$C:$C,B1307)))</f>
        <v/>
      </c>
      <c r="G1307" s="19" t="str">
        <f aca="false">IF(B1307=0,"",INDEX(Bank!$E:$E,B1307))</f>
        <v/>
      </c>
      <c r="H1307" s="5" t="str">
        <f aca="false">IF(B1307=0,"",IF(INDEX(Bank!$H:$H,B1307)="","",INDEX(Bank!$H:$H,B1307)))</f>
        <v/>
      </c>
      <c r="I1307" s="5" t="n">
        <f aca="false">IF(H1307="",0,IFERROR(MATCH(H1307,GL!$A:$A,0),0))</f>
        <v>0</v>
      </c>
      <c r="J1307" s="32" t="str">
        <f aca="false">IF(I1307=0,"",INDEX(GL!$B:$B,I1307))</f>
        <v/>
      </c>
      <c r="K1307" s="5" t="str">
        <f aca="false">IF(I1307=0,"",IF(INDEX(GL!$C:$C,I1307)="","",INDEX(GL!$C:$C,I1307)))</f>
        <v/>
      </c>
      <c r="L1307" s="19" t="str">
        <f aca="false">IF(I1307=0,"",INDEX(GL!$E:$E,I1307))</f>
        <v/>
      </c>
      <c r="M1307" s="19" t="str">
        <f aca="false">IF(OR(B1307=0,I1307=0),"",ROUND(G1307-L1307,2))</f>
        <v/>
      </c>
      <c r="N1307" s="5" t="str">
        <f aca="false">IF(A1307="","",IF(B1307=0,"NOT FOUND: bank ID",IF(I1307=0,"NOT FOUND: GL ID",IF(INDEX(GL!$H:$H,I1307)&lt;&gt;A1307,"BROKEN: GL points elsewhere",IF(OR(INDEX(Bank!$F:$F,B1307)&lt;&gt;"Y",INDEX(GL!$F:$F,I1307)&lt;&gt;"Y"),"BROKEN: Status not Y","OK")))))</f>
        <v/>
      </c>
    </row>
    <row r="1308" customFormat="false" ht="15" hidden="false" customHeight="false" outlineLevel="0" collapsed="false">
      <c r="A1308" s="41"/>
      <c r="B1308" s="5" t="n">
        <f aca="false">IF(A1308="",0,IFERROR(MATCH(A1308,Bank!$A:$A,0),0))</f>
        <v>0</v>
      </c>
      <c r="C1308" s="5" t="str">
        <f aca="false">IF(B1308=0,"",IF(INDEX(Bank!$G:$G,B1308)="","",INDEX(Bank!$G:$G,B1308)))</f>
        <v/>
      </c>
      <c r="D1308" s="5" t="str">
        <f aca="false">IF(B1308=0,"",IF(INDEX(Bank!$J:$J,B1308)="","",INDEX(Bank!$J:$J,B1308)))</f>
        <v/>
      </c>
      <c r="E1308" s="32" t="str">
        <f aca="false">IF(B1308=0,"",INDEX(Bank!$B:$B,B1308))</f>
        <v/>
      </c>
      <c r="F1308" s="5" t="str">
        <f aca="false">IF(B1308=0,"",IF(INDEX(Bank!$C:$C,B1308)="","",INDEX(Bank!$C:$C,B1308)))</f>
        <v/>
      </c>
      <c r="G1308" s="19" t="str">
        <f aca="false">IF(B1308=0,"",INDEX(Bank!$E:$E,B1308))</f>
        <v/>
      </c>
      <c r="H1308" s="5" t="str">
        <f aca="false">IF(B1308=0,"",IF(INDEX(Bank!$H:$H,B1308)="","",INDEX(Bank!$H:$H,B1308)))</f>
        <v/>
      </c>
      <c r="I1308" s="5" t="n">
        <f aca="false">IF(H1308="",0,IFERROR(MATCH(H1308,GL!$A:$A,0),0))</f>
        <v>0</v>
      </c>
      <c r="J1308" s="32" t="str">
        <f aca="false">IF(I1308=0,"",INDEX(GL!$B:$B,I1308))</f>
        <v/>
      </c>
      <c r="K1308" s="5" t="str">
        <f aca="false">IF(I1308=0,"",IF(INDEX(GL!$C:$C,I1308)="","",INDEX(GL!$C:$C,I1308)))</f>
        <v/>
      </c>
      <c r="L1308" s="19" t="str">
        <f aca="false">IF(I1308=0,"",INDEX(GL!$E:$E,I1308))</f>
        <v/>
      </c>
      <c r="M1308" s="19" t="str">
        <f aca="false">IF(OR(B1308=0,I1308=0),"",ROUND(G1308-L1308,2))</f>
        <v/>
      </c>
      <c r="N1308" s="5" t="str">
        <f aca="false">IF(A1308="","",IF(B1308=0,"NOT FOUND: bank ID",IF(I1308=0,"NOT FOUND: GL ID",IF(INDEX(GL!$H:$H,I1308)&lt;&gt;A1308,"BROKEN: GL points elsewhere",IF(OR(INDEX(Bank!$F:$F,B1308)&lt;&gt;"Y",INDEX(GL!$F:$F,I1308)&lt;&gt;"Y"),"BROKEN: Status not Y","OK")))))</f>
        <v/>
      </c>
    </row>
    <row r="1309" customFormat="false" ht="15" hidden="false" customHeight="false" outlineLevel="0" collapsed="false">
      <c r="A1309" s="41"/>
      <c r="B1309" s="5" t="n">
        <f aca="false">IF(A1309="",0,IFERROR(MATCH(A1309,Bank!$A:$A,0),0))</f>
        <v>0</v>
      </c>
      <c r="C1309" s="5" t="str">
        <f aca="false">IF(B1309=0,"",IF(INDEX(Bank!$G:$G,B1309)="","",INDEX(Bank!$G:$G,B1309)))</f>
        <v/>
      </c>
      <c r="D1309" s="5" t="str">
        <f aca="false">IF(B1309=0,"",IF(INDEX(Bank!$J:$J,B1309)="","",INDEX(Bank!$J:$J,B1309)))</f>
        <v/>
      </c>
      <c r="E1309" s="32" t="str">
        <f aca="false">IF(B1309=0,"",INDEX(Bank!$B:$B,B1309))</f>
        <v/>
      </c>
      <c r="F1309" s="5" t="str">
        <f aca="false">IF(B1309=0,"",IF(INDEX(Bank!$C:$C,B1309)="","",INDEX(Bank!$C:$C,B1309)))</f>
        <v/>
      </c>
      <c r="G1309" s="19" t="str">
        <f aca="false">IF(B1309=0,"",INDEX(Bank!$E:$E,B1309))</f>
        <v/>
      </c>
      <c r="H1309" s="5" t="str">
        <f aca="false">IF(B1309=0,"",IF(INDEX(Bank!$H:$H,B1309)="","",INDEX(Bank!$H:$H,B1309)))</f>
        <v/>
      </c>
      <c r="I1309" s="5" t="n">
        <f aca="false">IF(H1309="",0,IFERROR(MATCH(H1309,GL!$A:$A,0),0))</f>
        <v>0</v>
      </c>
      <c r="J1309" s="32" t="str">
        <f aca="false">IF(I1309=0,"",INDEX(GL!$B:$B,I1309))</f>
        <v/>
      </c>
      <c r="K1309" s="5" t="str">
        <f aca="false">IF(I1309=0,"",IF(INDEX(GL!$C:$C,I1309)="","",INDEX(GL!$C:$C,I1309)))</f>
        <v/>
      </c>
      <c r="L1309" s="19" t="str">
        <f aca="false">IF(I1309=0,"",INDEX(GL!$E:$E,I1309))</f>
        <v/>
      </c>
      <c r="M1309" s="19" t="str">
        <f aca="false">IF(OR(B1309=0,I1309=0),"",ROUND(G1309-L1309,2))</f>
        <v/>
      </c>
      <c r="N1309" s="5" t="str">
        <f aca="false">IF(A1309="","",IF(B1309=0,"NOT FOUND: bank ID",IF(I1309=0,"NOT FOUND: GL ID",IF(INDEX(GL!$H:$H,I1309)&lt;&gt;A1309,"BROKEN: GL points elsewhere",IF(OR(INDEX(Bank!$F:$F,B1309)&lt;&gt;"Y",INDEX(GL!$F:$F,I1309)&lt;&gt;"Y"),"BROKEN: Status not Y","OK")))))</f>
        <v/>
      </c>
    </row>
    <row r="1310" customFormat="false" ht="15" hidden="false" customHeight="false" outlineLevel="0" collapsed="false">
      <c r="A1310" s="41"/>
      <c r="B1310" s="5" t="n">
        <f aca="false">IF(A1310="",0,IFERROR(MATCH(A1310,Bank!$A:$A,0),0))</f>
        <v>0</v>
      </c>
      <c r="C1310" s="5" t="str">
        <f aca="false">IF(B1310=0,"",IF(INDEX(Bank!$G:$G,B1310)="","",INDEX(Bank!$G:$G,B1310)))</f>
        <v/>
      </c>
      <c r="D1310" s="5" t="str">
        <f aca="false">IF(B1310=0,"",IF(INDEX(Bank!$J:$J,B1310)="","",INDEX(Bank!$J:$J,B1310)))</f>
        <v/>
      </c>
      <c r="E1310" s="32" t="str">
        <f aca="false">IF(B1310=0,"",INDEX(Bank!$B:$B,B1310))</f>
        <v/>
      </c>
      <c r="F1310" s="5" t="str">
        <f aca="false">IF(B1310=0,"",IF(INDEX(Bank!$C:$C,B1310)="","",INDEX(Bank!$C:$C,B1310)))</f>
        <v/>
      </c>
      <c r="G1310" s="19" t="str">
        <f aca="false">IF(B1310=0,"",INDEX(Bank!$E:$E,B1310))</f>
        <v/>
      </c>
      <c r="H1310" s="5" t="str">
        <f aca="false">IF(B1310=0,"",IF(INDEX(Bank!$H:$H,B1310)="","",INDEX(Bank!$H:$H,B1310)))</f>
        <v/>
      </c>
      <c r="I1310" s="5" t="n">
        <f aca="false">IF(H1310="",0,IFERROR(MATCH(H1310,GL!$A:$A,0),0))</f>
        <v>0</v>
      </c>
      <c r="J1310" s="32" t="str">
        <f aca="false">IF(I1310=0,"",INDEX(GL!$B:$B,I1310))</f>
        <v/>
      </c>
      <c r="K1310" s="5" t="str">
        <f aca="false">IF(I1310=0,"",IF(INDEX(GL!$C:$C,I1310)="","",INDEX(GL!$C:$C,I1310)))</f>
        <v/>
      </c>
      <c r="L1310" s="19" t="str">
        <f aca="false">IF(I1310=0,"",INDEX(GL!$E:$E,I1310))</f>
        <v/>
      </c>
      <c r="M1310" s="19" t="str">
        <f aca="false">IF(OR(B1310=0,I1310=0),"",ROUND(G1310-L1310,2))</f>
        <v/>
      </c>
      <c r="N1310" s="5" t="str">
        <f aca="false">IF(A1310="","",IF(B1310=0,"NOT FOUND: bank ID",IF(I1310=0,"NOT FOUND: GL ID",IF(INDEX(GL!$H:$H,I1310)&lt;&gt;A1310,"BROKEN: GL points elsewhere",IF(OR(INDEX(Bank!$F:$F,B1310)&lt;&gt;"Y",INDEX(GL!$F:$F,I1310)&lt;&gt;"Y"),"BROKEN: Status not Y","OK")))))</f>
        <v/>
      </c>
    </row>
    <row r="1311" customFormat="false" ht="15" hidden="false" customHeight="false" outlineLevel="0" collapsed="false">
      <c r="A1311" s="41"/>
      <c r="B1311" s="5" t="n">
        <f aca="false">IF(A1311="",0,IFERROR(MATCH(A1311,Bank!$A:$A,0),0))</f>
        <v>0</v>
      </c>
      <c r="C1311" s="5" t="str">
        <f aca="false">IF(B1311=0,"",IF(INDEX(Bank!$G:$G,B1311)="","",INDEX(Bank!$G:$G,B1311)))</f>
        <v/>
      </c>
      <c r="D1311" s="5" t="str">
        <f aca="false">IF(B1311=0,"",IF(INDEX(Bank!$J:$J,B1311)="","",INDEX(Bank!$J:$J,B1311)))</f>
        <v/>
      </c>
      <c r="E1311" s="32" t="str">
        <f aca="false">IF(B1311=0,"",INDEX(Bank!$B:$B,B1311))</f>
        <v/>
      </c>
      <c r="F1311" s="5" t="str">
        <f aca="false">IF(B1311=0,"",IF(INDEX(Bank!$C:$C,B1311)="","",INDEX(Bank!$C:$C,B1311)))</f>
        <v/>
      </c>
      <c r="G1311" s="19" t="str">
        <f aca="false">IF(B1311=0,"",INDEX(Bank!$E:$E,B1311))</f>
        <v/>
      </c>
      <c r="H1311" s="5" t="str">
        <f aca="false">IF(B1311=0,"",IF(INDEX(Bank!$H:$H,B1311)="","",INDEX(Bank!$H:$H,B1311)))</f>
        <v/>
      </c>
      <c r="I1311" s="5" t="n">
        <f aca="false">IF(H1311="",0,IFERROR(MATCH(H1311,GL!$A:$A,0),0))</f>
        <v>0</v>
      </c>
      <c r="J1311" s="32" t="str">
        <f aca="false">IF(I1311=0,"",INDEX(GL!$B:$B,I1311))</f>
        <v/>
      </c>
      <c r="K1311" s="5" t="str">
        <f aca="false">IF(I1311=0,"",IF(INDEX(GL!$C:$C,I1311)="","",INDEX(GL!$C:$C,I1311)))</f>
        <v/>
      </c>
      <c r="L1311" s="19" t="str">
        <f aca="false">IF(I1311=0,"",INDEX(GL!$E:$E,I1311))</f>
        <v/>
      </c>
      <c r="M1311" s="19" t="str">
        <f aca="false">IF(OR(B1311=0,I1311=0),"",ROUND(G1311-L1311,2))</f>
        <v/>
      </c>
      <c r="N1311" s="5" t="str">
        <f aca="false">IF(A1311="","",IF(B1311=0,"NOT FOUND: bank ID",IF(I1311=0,"NOT FOUND: GL ID",IF(INDEX(GL!$H:$H,I1311)&lt;&gt;A1311,"BROKEN: GL points elsewhere",IF(OR(INDEX(Bank!$F:$F,B1311)&lt;&gt;"Y",INDEX(GL!$F:$F,I1311)&lt;&gt;"Y"),"BROKEN: Status not Y","OK")))))</f>
        <v/>
      </c>
    </row>
    <row r="1312" customFormat="false" ht="15" hidden="false" customHeight="false" outlineLevel="0" collapsed="false">
      <c r="A1312" s="41"/>
      <c r="B1312" s="5" t="n">
        <f aca="false">IF(A1312="",0,IFERROR(MATCH(A1312,Bank!$A:$A,0),0))</f>
        <v>0</v>
      </c>
      <c r="C1312" s="5" t="str">
        <f aca="false">IF(B1312=0,"",IF(INDEX(Bank!$G:$G,B1312)="","",INDEX(Bank!$G:$G,B1312)))</f>
        <v/>
      </c>
      <c r="D1312" s="5" t="str">
        <f aca="false">IF(B1312=0,"",IF(INDEX(Bank!$J:$J,B1312)="","",INDEX(Bank!$J:$J,B1312)))</f>
        <v/>
      </c>
      <c r="E1312" s="32" t="str">
        <f aca="false">IF(B1312=0,"",INDEX(Bank!$B:$B,B1312))</f>
        <v/>
      </c>
      <c r="F1312" s="5" t="str">
        <f aca="false">IF(B1312=0,"",IF(INDEX(Bank!$C:$C,B1312)="","",INDEX(Bank!$C:$C,B1312)))</f>
        <v/>
      </c>
      <c r="G1312" s="19" t="str">
        <f aca="false">IF(B1312=0,"",INDEX(Bank!$E:$E,B1312))</f>
        <v/>
      </c>
      <c r="H1312" s="5" t="str">
        <f aca="false">IF(B1312=0,"",IF(INDEX(Bank!$H:$H,B1312)="","",INDEX(Bank!$H:$H,B1312)))</f>
        <v/>
      </c>
      <c r="I1312" s="5" t="n">
        <f aca="false">IF(H1312="",0,IFERROR(MATCH(H1312,GL!$A:$A,0),0))</f>
        <v>0</v>
      </c>
      <c r="J1312" s="32" t="str">
        <f aca="false">IF(I1312=0,"",INDEX(GL!$B:$B,I1312))</f>
        <v/>
      </c>
      <c r="K1312" s="5" t="str">
        <f aca="false">IF(I1312=0,"",IF(INDEX(GL!$C:$C,I1312)="","",INDEX(GL!$C:$C,I1312)))</f>
        <v/>
      </c>
      <c r="L1312" s="19" t="str">
        <f aca="false">IF(I1312=0,"",INDEX(GL!$E:$E,I1312))</f>
        <v/>
      </c>
      <c r="M1312" s="19" t="str">
        <f aca="false">IF(OR(B1312=0,I1312=0),"",ROUND(G1312-L1312,2))</f>
        <v/>
      </c>
      <c r="N1312" s="5" t="str">
        <f aca="false">IF(A1312="","",IF(B1312=0,"NOT FOUND: bank ID",IF(I1312=0,"NOT FOUND: GL ID",IF(INDEX(GL!$H:$H,I1312)&lt;&gt;A1312,"BROKEN: GL points elsewhere",IF(OR(INDEX(Bank!$F:$F,B1312)&lt;&gt;"Y",INDEX(GL!$F:$F,I1312)&lt;&gt;"Y"),"BROKEN: Status not Y","OK")))))</f>
        <v/>
      </c>
    </row>
    <row r="1313" customFormat="false" ht="15" hidden="false" customHeight="false" outlineLevel="0" collapsed="false">
      <c r="A1313" s="41"/>
      <c r="B1313" s="5" t="n">
        <f aca="false">IF(A1313="",0,IFERROR(MATCH(A1313,Bank!$A:$A,0),0))</f>
        <v>0</v>
      </c>
      <c r="C1313" s="5" t="str">
        <f aca="false">IF(B1313=0,"",IF(INDEX(Bank!$G:$G,B1313)="","",INDEX(Bank!$G:$G,B1313)))</f>
        <v/>
      </c>
      <c r="D1313" s="5" t="str">
        <f aca="false">IF(B1313=0,"",IF(INDEX(Bank!$J:$J,B1313)="","",INDEX(Bank!$J:$J,B1313)))</f>
        <v/>
      </c>
      <c r="E1313" s="32" t="str">
        <f aca="false">IF(B1313=0,"",INDEX(Bank!$B:$B,B1313))</f>
        <v/>
      </c>
      <c r="F1313" s="5" t="str">
        <f aca="false">IF(B1313=0,"",IF(INDEX(Bank!$C:$C,B1313)="","",INDEX(Bank!$C:$C,B1313)))</f>
        <v/>
      </c>
      <c r="G1313" s="19" t="str">
        <f aca="false">IF(B1313=0,"",INDEX(Bank!$E:$E,B1313))</f>
        <v/>
      </c>
      <c r="H1313" s="5" t="str">
        <f aca="false">IF(B1313=0,"",IF(INDEX(Bank!$H:$H,B1313)="","",INDEX(Bank!$H:$H,B1313)))</f>
        <v/>
      </c>
      <c r="I1313" s="5" t="n">
        <f aca="false">IF(H1313="",0,IFERROR(MATCH(H1313,GL!$A:$A,0),0))</f>
        <v>0</v>
      </c>
      <c r="J1313" s="32" t="str">
        <f aca="false">IF(I1313=0,"",INDEX(GL!$B:$B,I1313))</f>
        <v/>
      </c>
      <c r="K1313" s="5" t="str">
        <f aca="false">IF(I1313=0,"",IF(INDEX(GL!$C:$C,I1313)="","",INDEX(GL!$C:$C,I1313)))</f>
        <v/>
      </c>
      <c r="L1313" s="19" t="str">
        <f aca="false">IF(I1313=0,"",INDEX(GL!$E:$E,I1313))</f>
        <v/>
      </c>
      <c r="M1313" s="19" t="str">
        <f aca="false">IF(OR(B1313=0,I1313=0),"",ROUND(G1313-L1313,2))</f>
        <v/>
      </c>
      <c r="N1313" s="5" t="str">
        <f aca="false">IF(A1313="","",IF(B1313=0,"NOT FOUND: bank ID",IF(I1313=0,"NOT FOUND: GL ID",IF(INDEX(GL!$H:$H,I1313)&lt;&gt;A1313,"BROKEN: GL points elsewhere",IF(OR(INDEX(Bank!$F:$F,B1313)&lt;&gt;"Y",INDEX(GL!$F:$F,I1313)&lt;&gt;"Y"),"BROKEN: Status not Y","OK")))))</f>
        <v/>
      </c>
    </row>
    <row r="1314" customFormat="false" ht="15" hidden="false" customHeight="false" outlineLevel="0" collapsed="false">
      <c r="A1314" s="41"/>
      <c r="B1314" s="5" t="n">
        <f aca="false">IF(A1314="",0,IFERROR(MATCH(A1314,Bank!$A:$A,0),0))</f>
        <v>0</v>
      </c>
      <c r="C1314" s="5" t="str">
        <f aca="false">IF(B1314=0,"",IF(INDEX(Bank!$G:$G,B1314)="","",INDEX(Bank!$G:$G,B1314)))</f>
        <v/>
      </c>
      <c r="D1314" s="5" t="str">
        <f aca="false">IF(B1314=0,"",IF(INDEX(Bank!$J:$J,B1314)="","",INDEX(Bank!$J:$J,B1314)))</f>
        <v/>
      </c>
      <c r="E1314" s="32" t="str">
        <f aca="false">IF(B1314=0,"",INDEX(Bank!$B:$B,B1314))</f>
        <v/>
      </c>
      <c r="F1314" s="5" t="str">
        <f aca="false">IF(B1314=0,"",IF(INDEX(Bank!$C:$C,B1314)="","",INDEX(Bank!$C:$C,B1314)))</f>
        <v/>
      </c>
      <c r="G1314" s="19" t="str">
        <f aca="false">IF(B1314=0,"",INDEX(Bank!$E:$E,B1314))</f>
        <v/>
      </c>
      <c r="H1314" s="5" t="str">
        <f aca="false">IF(B1314=0,"",IF(INDEX(Bank!$H:$H,B1314)="","",INDEX(Bank!$H:$H,B1314)))</f>
        <v/>
      </c>
      <c r="I1314" s="5" t="n">
        <f aca="false">IF(H1314="",0,IFERROR(MATCH(H1314,GL!$A:$A,0),0))</f>
        <v>0</v>
      </c>
      <c r="J1314" s="32" t="str">
        <f aca="false">IF(I1314=0,"",INDEX(GL!$B:$B,I1314))</f>
        <v/>
      </c>
      <c r="K1314" s="5" t="str">
        <f aca="false">IF(I1314=0,"",IF(INDEX(GL!$C:$C,I1314)="","",INDEX(GL!$C:$C,I1314)))</f>
        <v/>
      </c>
      <c r="L1314" s="19" t="str">
        <f aca="false">IF(I1314=0,"",INDEX(GL!$E:$E,I1314))</f>
        <v/>
      </c>
      <c r="M1314" s="19" t="str">
        <f aca="false">IF(OR(B1314=0,I1314=0),"",ROUND(G1314-L1314,2))</f>
        <v/>
      </c>
      <c r="N1314" s="5" t="str">
        <f aca="false">IF(A1314="","",IF(B1314=0,"NOT FOUND: bank ID",IF(I1314=0,"NOT FOUND: GL ID",IF(INDEX(GL!$H:$H,I1314)&lt;&gt;A1314,"BROKEN: GL points elsewhere",IF(OR(INDEX(Bank!$F:$F,B1314)&lt;&gt;"Y",INDEX(GL!$F:$F,I1314)&lt;&gt;"Y"),"BROKEN: Status not Y","OK")))))</f>
        <v/>
      </c>
    </row>
    <row r="1315" customFormat="false" ht="15" hidden="false" customHeight="false" outlineLevel="0" collapsed="false">
      <c r="A1315" s="41"/>
      <c r="B1315" s="5" t="n">
        <f aca="false">IF(A1315="",0,IFERROR(MATCH(A1315,Bank!$A:$A,0),0))</f>
        <v>0</v>
      </c>
      <c r="C1315" s="5" t="str">
        <f aca="false">IF(B1315=0,"",IF(INDEX(Bank!$G:$G,B1315)="","",INDEX(Bank!$G:$G,B1315)))</f>
        <v/>
      </c>
      <c r="D1315" s="5" t="str">
        <f aca="false">IF(B1315=0,"",IF(INDEX(Bank!$J:$J,B1315)="","",INDEX(Bank!$J:$J,B1315)))</f>
        <v/>
      </c>
      <c r="E1315" s="32" t="str">
        <f aca="false">IF(B1315=0,"",INDEX(Bank!$B:$B,B1315))</f>
        <v/>
      </c>
      <c r="F1315" s="5" t="str">
        <f aca="false">IF(B1315=0,"",IF(INDEX(Bank!$C:$C,B1315)="","",INDEX(Bank!$C:$C,B1315)))</f>
        <v/>
      </c>
      <c r="G1315" s="19" t="str">
        <f aca="false">IF(B1315=0,"",INDEX(Bank!$E:$E,B1315))</f>
        <v/>
      </c>
      <c r="H1315" s="5" t="str">
        <f aca="false">IF(B1315=0,"",IF(INDEX(Bank!$H:$H,B1315)="","",INDEX(Bank!$H:$H,B1315)))</f>
        <v/>
      </c>
      <c r="I1315" s="5" t="n">
        <f aca="false">IF(H1315="",0,IFERROR(MATCH(H1315,GL!$A:$A,0),0))</f>
        <v>0</v>
      </c>
      <c r="J1315" s="32" t="str">
        <f aca="false">IF(I1315=0,"",INDEX(GL!$B:$B,I1315))</f>
        <v/>
      </c>
      <c r="K1315" s="5" t="str">
        <f aca="false">IF(I1315=0,"",IF(INDEX(GL!$C:$C,I1315)="","",INDEX(GL!$C:$C,I1315)))</f>
        <v/>
      </c>
      <c r="L1315" s="19" t="str">
        <f aca="false">IF(I1315=0,"",INDEX(GL!$E:$E,I1315))</f>
        <v/>
      </c>
      <c r="M1315" s="19" t="str">
        <f aca="false">IF(OR(B1315=0,I1315=0),"",ROUND(G1315-L1315,2))</f>
        <v/>
      </c>
      <c r="N1315" s="5" t="str">
        <f aca="false">IF(A1315="","",IF(B1315=0,"NOT FOUND: bank ID",IF(I1315=0,"NOT FOUND: GL ID",IF(INDEX(GL!$H:$H,I1315)&lt;&gt;A1315,"BROKEN: GL points elsewhere",IF(OR(INDEX(Bank!$F:$F,B1315)&lt;&gt;"Y",INDEX(GL!$F:$F,I1315)&lt;&gt;"Y"),"BROKEN: Status not Y","OK")))))</f>
        <v/>
      </c>
    </row>
    <row r="1316" customFormat="false" ht="15" hidden="false" customHeight="false" outlineLevel="0" collapsed="false">
      <c r="A1316" s="41"/>
      <c r="B1316" s="5" t="n">
        <f aca="false">IF(A1316="",0,IFERROR(MATCH(A1316,Bank!$A:$A,0),0))</f>
        <v>0</v>
      </c>
      <c r="C1316" s="5" t="str">
        <f aca="false">IF(B1316=0,"",IF(INDEX(Bank!$G:$G,B1316)="","",INDEX(Bank!$G:$G,B1316)))</f>
        <v/>
      </c>
      <c r="D1316" s="5" t="str">
        <f aca="false">IF(B1316=0,"",IF(INDEX(Bank!$J:$J,B1316)="","",INDEX(Bank!$J:$J,B1316)))</f>
        <v/>
      </c>
      <c r="E1316" s="32" t="str">
        <f aca="false">IF(B1316=0,"",INDEX(Bank!$B:$B,B1316))</f>
        <v/>
      </c>
      <c r="F1316" s="5" t="str">
        <f aca="false">IF(B1316=0,"",IF(INDEX(Bank!$C:$C,B1316)="","",INDEX(Bank!$C:$C,B1316)))</f>
        <v/>
      </c>
      <c r="G1316" s="19" t="str">
        <f aca="false">IF(B1316=0,"",INDEX(Bank!$E:$E,B1316))</f>
        <v/>
      </c>
      <c r="H1316" s="5" t="str">
        <f aca="false">IF(B1316=0,"",IF(INDEX(Bank!$H:$H,B1316)="","",INDEX(Bank!$H:$H,B1316)))</f>
        <v/>
      </c>
      <c r="I1316" s="5" t="n">
        <f aca="false">IF(H1316="",0,IFERROR(MATCH(H1316,GL!$A:$A,0),0))</f>
        <v>0</v>
      </c>
      <c r="J1316" s="32" t="str">
        <f aca="false">IF(I1316=0,"",INDEX(GL!$B:$B,I1316))</f>
        <v/>
      </c>
      <c r="K1316" s="5" t="str">
        <f aca="false">IF(I1316=0,"",IF(INDEX(GL!$C:$C,I1316)="","",INDEX(GL!$C:$C,I1316)))</f>
        <v/>
      </c>
      <c r="L1316" s="19" t="str">
        <f aca="false">IF(I1316=0,"",INDEX(GL!$E:$E,I1316))</f>
        <v/>
      </c>
      <c r="M1316" s="19" t="str">
        <f aca="false">IF(OR(B1316=0,I1316=0),"",ROUND(G1316-L1316,2))</f>
        <v/>
      </c>
      <c r="N1316" s="5" t="str">
        <f aca="false">IF(A1316="","",IF(B1316=0,"NOT FOUND: bank ID",IF(I1316=0,"NOT FOUND: GL ID",IF(INDEX(GL!$H:$H,I1316)&lt;&gt;A1316,"BROKEN: GL points elsewhere",IF(OR(INDEX(Bank!$F:$F,B1316)&lt;&gt;"Y",INDEX(GL!$F:$F,I1316)&lt;&gt;"Y"),"BROKEN: Status not Y","OK")))))</f>
        <v/>
      </c>
    </row>
    <row r="1317" customFormat="false" ht="15" hidden="false" customHeight="false" outlineLevel="0" collapsed="false">
      <c r="A1317" s="41"/>
      <c r="B1317" s="5" t="n">
        <f aca="false">IF(A1317="",0,IFERROR(MATCH(A1317,Bank!$A:$A,0),0))</f>
        <v>0</v>
      </c>
      <c r="C1317" s="5" t="str">
        <f aca="false">IF(B1317=0,"",IF(INDEX(Bank!$G:$G,B1317)="","",INDEX(Bank!$G:$G,B1317)))</f>
        <v/>
      </c>
      <c r="D1317" s="5" t="str">
        <f aca="false">IF(B1317=0,"",IF(INDEX(Bank!$J:$J,B1317)="","",INDEX(Bank!$J:$J,B1317)))</f>
        <v/>
      </c>
      <c r="E1317" s="32" t="str">
        <f aca="false">IF(B1317=0,"",INDEX(Bank!$B:$B,B1317))</f>
        <v/>
      </c>
      <c r="F1317" s="5" t="str">
        <f aca="false">IF(B1317=0,"",IF(INDEX(Bank!$C:$C,B1317)="","",INDEX(Bank!$C:$C,B1317)))</f>
        <v/>
      </c>
      <c r="G1317" s="19" t="str">
        <f aca="false">IF(B1317=0,"",INDEX(Bank!$E:$E,B1317))</f>
        <v/>
      </c>
      <c r="H1317" s="5" t="str">
        <f aca="false">IF(B1317=0,"",IF(INDEX(Bank!$H:$H,B1317)="","",INDEX(Bank!$H:$H,B1317)))</f>
        <v/>
      </c>
      <c r="I1317" s="5" t="n">
        <f aca="false">IF(H1317="",0,IFERROR(MATCH(H1317,GL!$A:$A,0),0))</f>
        <v>0</v>
      </c>
      <c r="J1317" s="32" t="str">
        <f aca="false">IF(I1317=0,"",INDEX(GL!$B:$B,I1317))</f>
        <v/>
      </c>
      <c r="K1317" s="5" t="str">
        <f aca="false">IF(I1317=0,"",IF(INDEX(GL!$C:$C,I1317)="","",INDEX(GL!$C:$C,I1317)))</f>
        <v/>
      </c>
      <c r="L1317" s="19" t="str">
        <f aca="false">IF(I1317=0,"",INDEX(GL!$E:$E,I1317))</f>
        <v/>
      </c>
      <c r="M1317" s="19" t="str">
        <f aca="false">IF(OR(B1317=0,I1317=0),"",ROUND(G1317-L1317,2))</f>
        <v/>
      </c>
      <c r="N1317" s="5" t="str">
        <f aca="false">IF(A1317="","",IF(B1317=0,"NOT FOUND: bank ID",IF(I1317=0,"NOT FOUND: GL ID",IF(INDEX(GL!$H:$H,I1317)&lt;&gt;A1317,"BROKEN: GL points elsewhere",IF(OR(INDEX(Bank!$F:$F,B1317)&lt;&gt;"Y",INDEX(GL!$F:$F,I1317)&lt;&gt;"Y"),"BROKEN: Status not Y","OK")))))</f>
        <v/>
      </c>
    </row>
    <row r="1318" customFormat="false" ht="15" hidden="false" customHeight="false" outlineLevel="0" collapsed="false">
      <c r="A1318" s="41"/>
      <c r="B1318" s="5" t="n">
        <f aca="false">IF(A1318="",0,IFERROR(MATCH(A1318,Bank!$A:$A,0),0))</f>
        <v>0</v>
      </c>
      <c r="C1318" s="5" t="str">
        <f aca="false">IF(B1318=0,"",IF(INDEX(Bank!$G:$G,B1318)="","",INDEX(Bank!$G:$G,B1318)))</f>
        <v/>
      </c>
      <c r="D1318" s="5" t="str">
        <f aca="false">IF(B1318=0,"",IF(INDEX(Bank!$J:$J,B1318)="","",INDEX(Bank!$J:$J,B1318)))</f>
        <v/>
      </c>
      <c r="E1318" s="32" t="str">
        <f aca="false">IF(B1318=0,"",INDEX(Bank!$B:$B,B1318))</f>
        <v/>
      </c>
      <c r="F1318" s="5" t="str">
        <f aca="false">IF(B1318=0,"",IF(INDEX(Bank!$C:$C,B1318)="","",INDEX(Bank!$C:$C,B1318)))</f>
        <v/>
      </c>
      <c r="G1318" s="19" t="str">
        <f aca="false">IF(B1318=0,"",INDEX(Bank!$E:$E,B1318))</f>
        <v/>
      </c>
      <c r="H1318" s="5" t="str">
        <f aca="false">IF(B1318=0,"",IF(INDEX(Bank!$H:$H,B1318)="","",INDEX(Bank!$H:$H,B1318)))</f>
        <v/>
      </c>
      <c r="I1318" s="5" t="n">
        <f aca="false">IF(H1318="",0,IFERROR(MATCH(H1318,GL!$A:$A,0),0))</f>
        <v>0</v>
      </c>
      <c r="J1318" s="32" t="str">
        <f aca="false">IF(I1318=0,"",INDEX(GL!$B:$B,I1318))</f>
        <v/>
      </c>
      <c r="K1318" s="5" t="str">
        <f aca="false">IF(I1318=0,"",IF(INDEX(GL!$C:$C,I1318)="","",INDEX(GL!$C:$C,I1318)))</f>
        <v/>
      </c>
      <c r="L1318" s="19" t="str">
        <f aca="false">IF(I1318=0,"",INDEX(GL!$E:$E,I1318))</f>
        <v/>
      </c>
      <c r="M1318" s="19" t="str">
        <f aca="false">IF(OR(B1318=0,I1318=0),"",ROUND(G1318-L1318,2))</f>
        <v/>
      </c>
      <c r="N1318" s="5" t="str">
        <f aca="false">IF(A1318="","",IF(B1318=0,"NOT FOUND: bank ID",IF(I1318=0,"NOT FOUND: GL ID",IF(INDEX(GL!$H:$H,I1318)&lt;&gt;A1318,"BROKEN: GL points elsewhere",IF(OR(INDEX(Bank!$F:$F,B1318)&lt;&gt;"Y",INDEX(GL!$F:$F,I1318)&lt;&gt;"Y"),"BROKEN: Status not Y","OK")))))</f>
        <v/>
      </c>
    </row>
    <row r="1319" customFormat="false" ht="15" hidden="false" customHeight="false" outlineLevel="0" collapsed="false">
      <c r="A1319" s="41"/>
      <c r="B1319" s="5" t="n">
        <f aca="false">IF(A1319="",0,IFERROR(MATCH(A1319,Bank!$A:$A,0),0))</f>
        <v>0</v>
      </c>
      <c r="C1319" s="5" t="str">
        <f aca="false">IF(B1319=0,"",IF(INDEX(Bank!$G:$G,B1319)="","",INDEX(Bank!$G:$G,B1319)))</f>
        <v/>
      </c>
      <c r="D1319" s="5" t="str">
        <f aca="false">IF(B1319=0,"",IF(INDEX(Bank!$J:$J,B1319)="","",INDEX(Bank!$J:$J,B1319)))</f>
        <v/>
      </c>
      <c r="E1319" s="32" t="str">
        <f aca="false">IF(B1319=0,"",INDEX(Bank!$B:$B,B1319))</f>
        <v/>
      </c>
      <c r="F1319" s="5" t="str">
        <f aca="false">IF(B1319=0,"",IF(INDEX(Bank!$C:$C,B1319)="","",INDEX(Bank!$C:$C,B1319)))</f>
        <v/>
      </c>
      <c r="G1319" s="19" t="str">
        <f aca="false">IF(B1319=0,"",INDEX(Bank!$E:$E,B1319))</f>
        <v/>
      </c>
      <c r="H1319" s="5" t="str">
        <f aca="false">IF(B1319=0,"",IF(INDEX(Bank!$H:$H,B1319)="","",INDEX(Bank!$H:$H,B1319)))</f>
        <v/>
      </c>
      <c r="I1319" s="5" t="n">
        <f aca="false">IF(H1319="",0,IFERROR(MATCH(H1319,GL!$A:$A,0),0))</f>
        <v>0</v>
      </c>
      <c r="J1319" s="32" t="str">
        <f aca="false">IF(I1319=0,"",INDEX(GL!$B:$B,I1319))</f>
        <v/>
      </c>
      <c r="K1319" s="5" t="str">
        <f aca="false">IF(I1319=0,"",IF(INDEX(GL!$C:$C,I1319)="","",INDEX(GL!$C:$C,I1319)))</f>
        <v/>
      </c>
      <c r="L1319" s="19" t="str">
        <f aca="false">IF(I1319=0,"",INDEX(GL!$E:$E,I1319))</f>
        <v/>
      </c>
      <c r="M1319" s="19" t="str">
        <f aca="false">IF(OR(B1319=0,I1319=0),"",ROUND(G1319-L1319,2))</f>
        <v/>
      </c>
      <c r="N1319" s="5" t="str">
        <f aca="false">IF(A1319="","",IF(B1319=0,"NOT FOUND: bank ID",IF(I1319=0,"NOT FOUND: GL ID",IF(INDEX(GL!$H:$H,I1319)&lt;&gt;A1319,"BROKEN: GL points elsewhere",IF(OR(INDEX(Bank!$F:$F,B1319)&lt;&gt;"Y",INDEX(GL!$F:$F,I1319)&lt;&gt;"Y"),"BROKEN: Status not Y","OK")))))</f>
        <v/>
      </c>
    </row>
    <row r="1320" customFormat="false" ht="15" hidden="false" customHeight="false" outlineLevel="0" collapsed="false">
      <c r="A1320" s="41"/>
      <c r="B1320" s="5" t="n">
        <f aca="false">IF(A1320="",0,IFERROR(MATCH(A1320,Bank!$A:$A,0),0))</f>
        <v>0</v>
      </c>
      <c r="C1320" s="5" t="str">
        <f aca="false">IF(B1320=0,"",IF(INDEX(Bank!$G:$G,B1320)="","",INDEX(Bank!$G:$G,B1320)))</f>
        <v/>
      </c>
      <c r="D1320" s="5" t="str">
        <f aca="false">IF(B1320=0,"",IF(INDEX(Bank!$J:$J,B1320)="","",INDEX(Bank!$J:$J,B1320)))</f>
        <v/>
      </c>
      <c r="E1320" s="32" t="str">
        <f aca="false">IF(B1320=0,"",INDEX(Bank!$B:$B,B1320))</f>
        <v/>
      </c>
      <c r="F1320" s="5" t="str">
        <f aca="false">IF(B1320=0,"",IF(INDEX(Bank!$C:$C,B1320)="","",INDEX(Bank!$C:$C,B1320)))</f>
        <v/>
      </c>
      <c r="G1320" s="19" t="str">
        <f aca="false">IF(B1320=0,"",INDEX(Bank!$E:$E,B1320))</f>
        <v/>
      </c>
      <c r="H1320" s="5" t="str">
        <f aca="false">IF(B1320=0,"",IF(INDEX(Bank!$H:$H,B1320)="","",INDEX(Bank!$H:$H,B1320)))</f>
        <v/>
      </c>
      <c r="I1320" s="5" t="n">
        <f aca="false">IF(H1320="",0,IFERROR(MATCH(H1320,GL!$A:$A,0),0))</f>
        <v>0</v>
      </c>
      <c r="J1320" s="32" t="str">
        <f aca="false">IF(I1320=0,"",INDEX(GL!$B:$B,I1320))</f>
        <v/>
      </c>
      <c r="K1320" s="5" t="str">
        <f aca="false">IF(I1320=0,"",IF(INDEX(GL!$C:$C,I1320)="","",INDEX(GL!$C:$C,I1320)))</f>
        <v/>
      </c>
      <c r="L1320" s="19" t="str">
        <f aca="false">IF(I1320=0,"",INDEX(GL!$E:$E,I1320))</f>
        <v/>
      </c>
      <c r="M1320" s="19" t="str">
        <f aca="false">IF(OR(B1320=0,I1320=0),"",ROUND(G1320-L1320,2))</f>
        <v/>
      </c>
      <c r="N1320" s="5" t="str">
        <f aca="false">IF(A1320="","",IF(B1320=0,"NOT FOUND: bank ID",IF(I1320=0,"NOT FOUND: GL ID",IF(INDEX(GL!$H:$H,I1320)&lt;&gt;A1320,"BROKEN: GL points elsewhere",IF(OR(INDEX(Bank!$F:$F,B1320)&lt;&gt;"Y",INDEX(GL!$F:$F,I1320)&lt;&gt;"Y"),"BROKEN: Status not Y","OK")))))</f>
        <v/>
      </c>
    </row>
    <row r="1321" customFormat="false" ht="15" hidden="false" customHeight="false" outlineLevel="0" collapsed="false">
      <c r="A1321" s="41"/>
      <c r="B1321" s="5" t="n">
        <f aca="false">IF(A1321="",0,IFERROR(MATCH(A1321,Bank!$A:$A,0),0))</f>
        <v>0</v>
      </c>
      <c r="C1321" s="5" t="str">
        <f aca="false">IF(B1321=0,"",IF(INDEX(Bank!$G:$G,B1321)="","",INDEX(Bank!$G:$G,B1321)))</f>
        <v/>
      </c>
      <c r="D1321" s="5" t="str">
        <f aca="false">IF(B1321=0,"",IF(INDEX(Bank!$J:$J,B1321)="","",INDEX(Bank!$J:$J,B1321)))</f>
        <v/>
      </c>
      <c r="E1321" s="32" t="str">
        <f aca="false">IF(B1321=0,"",INDEX(Bank!$B:$B,B1321))</f>
        <v/>
      </c>
      <c r="F1321" s="5" t="str">
        <f aca="false">IF(B1321=0,"",IF(INDEX(Bank!$C:$C,B1321)="","",INDEX(Bank!$C:$C,B1321)))</f>
        <v/>
      </c>
      <c r="G1321" s="19" t="str">
        <f aca="false">IF(B1321=0,"",INDEX(Bank!$E:$E,B1321))</f>
        <v/>
      </c>
      <c r="H1321" s="5" t="str">
        <f aca="false">IF(B1321=0,"",IF(INDEX(Bank!$H:$H,B1321)="","",INDEX(Bank!$H:$H,B1321)))</f>
        <v/>
      </c>
      <c r="I1321" s="5" t="n">
        <f aca="false">IF(H1321="",0,IFERROR(MATCH(H1321,GL!$A:$A,0),0))</f>
        <v>0</v>
      </c>
      <c r="J1321" s="32" t="str">
        <f aca="false">IF(I1321=0,"",INDEX(GL!$B:$B,I1321))</f>
        <v/>
      </c>
      <c r="K1321" s="5" t="str">
        <f aca="false">IF(I1321=0,"",IF(INDEX(GL!$C:$C,I1321)="","",INDEX(GL!$C:$C,I1321)))</f>
        <v/>
      </c>
      <c r="L1321" s="19" t="str">
        <f aca="false">IF(I1321=0,"",INDEX(GL!$E:$E,I1321))</f>
        <v/>
      </c>
      <c r="M1321" s="19" t="str">
        <f aca="false">IF(OR(B1321=0,I1321=0),"",ROUND(G1321-L1321,2))</f>
        <v/>
      </c>
      <c r="N1321" s="5" t="str">
        <f aca="false">IF(A1321="","",IF(B1321=0,"NOT FOUND: bank ID",IF(I1321=0,"NOT FOUND: GL ID",IF(INDEX(GL!$H:$H,I1321)&lt;&gt;A1321,"BROKEN: GL points elsewhere",IF(OR(INDEX(Bank!$F:$F,B1321)&lt;&gt;"Y",INDEX(GL!$F:$F,I1321)&lt;&gt;"Y"),"BROKEN: Status not Y","OK")))))</f>
        <v/>
      </c>
    </row>
    <row r="1322" customFormat="false" ht="15" hidden="false" customHeight="false" outlineLevel="0" collapsed="false">
      <c r="A1322" s="41"/>
      <c r="B1322" s="5" t="n">
        <f aca="false">IF(A1322="",0,IFERROR(MATCH(A1322,Bank!$A:$A,0),0))</f>
        <v>0</v>
      </c>
      <c r="C1322" s="5" t="str">
        <f aca="false">IF(B1322=0,"",IF(INDEX(Bank!$G:$G,B1322)="","",INDEX(Bank!$G:$G,B1322)))</f>
        <v/>
      </c>
      <c r="D1322" s="5" t="str">
        <f aca="false">IF(B1322=0,"",IF(INDEX(Bank!$J:$J,B1322)="","",INDEX(Bank!$J:$J,B1322)))</f>
        <v/>
      </c>
      <c r="E1322" s="32" t="str">
        <f aca="false">IF(B1322=0,"",INDEX(Bank!$B:$B,B1322))</f>
        <v/>
      </c>
      <c r="F1322" s="5" t="str">
        <f aca="false">IF(B1322=0,"",IF(INDEX(Bank!$C:$C,B1322)="","",INDEX(Bank!$C:$C,B1322)))</f>
        <v/>
      </c>
      <c r="G1322" s="19" t="str">
        <f aca="false">IF(B1322=0,"",INDEX(Bank!$E:$E,B1322))</f>
        <v/>
      </c>
      <c r="H1322" s="5" t="str">
        <f aca="false">IF(B1322=0,"",IF(INDEX(Bank!$H:$H,B1322)="","",INDEX(Bank!$H:$H,B1322)))</f>
        <v/>
      </c>
      <c r="I1322" s="5" t="n">
        <f aca="false">IF(H1322="",0,IFERROR(MATCH(H1322,GL!$A:$A,0),0))</f>
        <v>0</v>
      </c>
      <c r="J1322" s="32" t="str">
        <f aca="false">IF(I1322=0,"",INDEX(GL!$B:$B,I1322))</f>
        <v/>
      </c>
      <c r="K1322" s="5" t="str">
        <f aca="false">IF(I1322=0,"",IF(INDEX(GL!$C:$C,I1322)="","",INDEX(GL!$C:$C,I1322)))</f>
        <v/>
      </c>
      <c r="L1322" s="19" t="str">
        <f aca="false">IF(I1322=0,"",INDEX(GL!$E:$E,I1322))</f>
        <v/>
      </c>
      <c r="M1322" s="19" t="str">
        <f aca="false">IF(OR(B1322=0,I1322=0),"",ROUND(G1322-L1322,2))</f>
        <v/>
      </c>
      <c r="N1322" s="5" t="str">
        <f aca="false">IF(A1322="","",IF(B1322=0,"NOT FOUND: bank ID",IF(I1322=0,"NOT FOUND: GL ID",IF(INDEX(GL!$H:$H,I1322)&lt;&gt;A1322,"BROKEN: GL points elsewhere",IF(OR(INDEX(Bank!$F:$F,B1322)&lt;&gt;"Y",INDEX(GL!$F:$F,I1322)&lt;&gt;"Y"),"BROKEN: Status not Y","OK")))))</f>
        <v/>
      </c>
    </row>
    <row r="1323" customFormat="false" ht="15" hidden="false" customHeight="false" outlineLevel="0" collapsed="false">
      <c r="A1323" s="41"/>
      <c r="B1323" s="5" t="n">
        <f aca="false">IF(A1323="",0,IFERROR(MATCH(A1323,Bank!$A:$A,0),0))</f>
        <v>0</v>
      </c>
      <c r="C1323" s="5" t="str">
        <f aca="false">IF(B1323=0,"",IF(INDEX(Bank!$G:$G,B1323)="","",INDEX(Bank!$G:$G,B1323)))</f>
        <v/>
      </c>
      <c r="D1323" s="5" t="str">
        <f aca="false">IF(B1323=0,"",IF(INDEX(Bank!$J:$J,B1323)="","",INDEX(Bank!$J:$J,B1323)))</f>
        <v/>
      </c>
      <c r="E1323" s="32" t="str">
        <f aca="false">IF(B1323=0,"",INDEX(Bank!$B:$B,B1323))</f>
        <v/>
      </c>
      <c r="F1323" s="5" t="str">
        <f aca="false">IF(B1323=0,"",IF(INDEX(Bank!$C:$C,B1323)="","",INDEX(Bank!$C:$C,B1323)))</f>
        <v/>
      </c>
      <c r="G1323" s="19" t="str">
        <f aca="false">IF(B1323=0,"",INDEX(Bank!$E:$E,B1323))</f>
        <v/>
      </c>
      <c r="H1323" s="5" t="str">
        <f aca="false">IF(B1323=0,"",IF(INDEX(Bank!$H:$H,B1323)="","",INDEX(Bank!$H:$H,B1323)))</f>
        <v/>
      </c>
      <c r="I1323" s="5" t="n">
        <f aca="false">IF(H1323="",0,IFERROR(MATCH(H1323,GL!$A:$A,0),0))</f>
        <v>0</v>
      </c>
      <c r="J1323" s="32" t="str">
        <f aca="false">IF(I1323=0,"",INDEX(GL!$B:$B,I1323))</f>
        <v/>
      </c>
      <c r="K1323" s="5" t="str">
        <f aca="false">IF(I1323=0,"",IF(INDEX(GL!$C:$C,I1323)="","",INDEX(GL!$C:$C,I1323)))</f>
        <v/>
      </c>
      <c r="L1323" s="19" t="str">
        <f aca="false">IF(I1323=0,"",INDEX(GL!$E:$E,I1323))</f>
        <v/>
      </c>
      <c r="M1323" s="19" t="str">
        <f aca="false">IF(OR(B1323=0,I1323=0),"",ROUND(G1323-L1323,2))</f>
        <v/>
      </c>
      <c r="N1323" s="5" t="str">
        <f aca="false">IF(A1323="","",IF(B1323=0,"NOT FOUND: bank ID",IF(I1323=0,"NOT FOUND: GL ID",IF(INDEX(GL!$H:$H,I1323)&lt;&gt;A1323,"BROKEN: GL points elsewhere",IF(OR(INDEX(Bank!$F:$F,B1323)&lt;&gt;"Y",INDEX(GL!$F:$F,I1323)&lt;&gt;"Y"),"BROKEN: Status not Y","OK")))))</f>
        <v/>
      </c>
    </row>
    <row r="1324" customFormat="false" ht="15" hidden="false" customHeight="false" outlineLevel="0" collapsed="false">
      <c r="A1324" s="41"/>
      <c r="B1324" s="5" t="n">
        <f aca="false">IF(A1324="",0,IFERROR(MATCH(A1324,Bank!$A:$A,0),0))</f>
        <v>0</v>
      </c>
      <c r="C1324" s="5" t="str">
        <f aca="false">IF(B1324=0,"",IF(INDEX(Bank!$G:$G,B1324)="","",INDEX(Bank!$G:$G,B1324)))</f>
        <v/>
      </c>
      <c r="D1324" s="5" t="str">
        <f aca="false">IF(B1324=0,"",IF(INDEX(Bank!$J:$J,B1324)="","",INDEX(Bank!$J:$J,B1324)))</f>
        <v/>
      </c>
      <c r="E1324" s="32" t="str">
        <f aca="false">IF(B1324=0,"",INDEX(Bank!$B:$B,B1324))</f>
        <v/>
      </c>
      <c r="F1324" s="5" t="str">
        <f aca="false">IF(B1324=0,"",IF(INDEX(Bank!$C:$C,B1324)="","",INDEX(Bank!$C:$C,B1324)))</f>
        <v/>
      </c>
      <c r="G1324" s="19" t="str">
        <f aca="false">IF(B1324=0,"",INDEX(Bank!$E:$E,B1324))</f>
        <v/>
      </c>
      <c r="H1324" s="5" t="str">
        <f aca="false">IF(B1324=0,"",IF(INDEX(Bank!$H:$H,B1324)="","",INDEX(Bank!$H:$H,B1324)))</f>
        <v/>
      </c>
      <c r="I1324" s="5" t="n">
        <f aca="false">IF(H1324="",0,IFERROR(MATCH(H1324,GL!$A:$A,0),0))</f>
        <v>0</v>
      </c>
      <c r="J1324" s="32" t="str">
        <f aca="false">IF(I1324=0,"",INDEX(GL!$B:$B,I1324))</f>
        <v/>
      </c>
      <c r="K1324" s="5" t="str">
        <f aca="false">IF(I1324=0,"",IF(INDEX(GL!$C:$C,I1324)="","",INDEX(GL!$C:$C,I1324)))</f>
        <v/>
      </c>
      <c r="L1324" s="19" t="str">
        <f aca="false">IF(I1324=0,"",INDEX(GL!$E:$E,I1324))</f>
        <v/>
      </c>
      <c r="M1324" s="19" t="str">
        <f aca="false">IF(OR(B1324=0,I1324=0),"",ROUND(G1324-L1324,2))</f>
        <v/>
      </c>
      <c r="N1324" s="5" t="str">
        <f aca="false">IF(A1324="","",IF(B1324=0,"NOT FOUND: bank ID",IF(I1324=0,"NOT FOUND: GL ID",IF(INDEX(GL!$H:$H,I1324)&lt;&gt;A1324,"BROKEN: GL points elsewhere",IF(OR(INDEX(Bank!$F:$F,B1324)&lt;&gt;"Y",INDEX(GL!$F:$F,I1324)&lt;&gt;"Y"),"BROKEN: Status not Y","OK")))))</f>
        <v/>
      </c>
    </row>
    <row r="1325" customFormat="false" ht="15" hidden="false" customHeight="false" outlineLevel="0" collapsed="false">
      <c r="A1325" s="41"/>
      <c r="B1325" s="5" t="n">
        <f aca="false">IF(A1325="",0,IFERROR(MATCH(A1325,Bank!$A:$A,0),0))</f>
        <v>0</v>
      </c>
      <c r="C1325" s="5" t="str">
        <f aca="false">IF(B1325=0,"",IF(INDEX(Bank!$G:$G,B1325)="","",INDEX(Bank!$G:$G,B1325)))</f>
        <v/>
      </c>
      <c r="D1325" s="5" t="str">
        <f aca="false">IF(B1325=0,"",IF(INDEX(Bank!$J:$J,B1325)="","",INDEX(Bank!$J:$J,B1325)))</f>
        <v/>
      </c>
      <c r="E1325" s="32" t="str">
        <f aca="false">IF(B1325=0,"",INDEX(Bank!$B:$B,B1325))</f>
        <v/>
      </c>
      <c r="F1325" s="5" t="str">
        <f aca="false">IF(B1325=0,"",IF(INDEX(Bank!$C:$C,B1325)="","",INDEX(Bank!$C:$C,B1325)))</f>
        <v/>
      </c>
      <c r="G1325" s="19" t="str">
        <f aca="false">IF(B1325=0,"",INDEX(Bank!$E:$E,B1325))</f>
        <v/>
      </c>
      <c r="H1325" s="5" t="str">
        <f aca="false">IF(B1325=0,"",IF(INDEX(Bank!$H:$H,B1325)="","",INDEX(Bank!$H:$H,B1325)))</f>
        <v/>
      </c>
      <c r="I1325" s="5" t="n">
        <f aca="false">IF(H1325="",0,IFERROR(MATCH(H1325,GL!$A:$A,0),0))</f>
        <v>0</v>
      </c>
      <c r="J1325" s="32" t="str">
        <f aca="false">IF(I1325=0,"",INDEX(GL!$B:$B,I1325))</f>
        <v/>
      </c>
      <c r="K1325" s="5" t="str">
        <f aca="false">IF(I1325=0,"",IF(INDEX(GL!$C:$C,I1325)="","",INDEX(GL!$C:$C,I1325)))</f>
        <v/>
      </c>
      <c r="L1325" s="19" t="str">
        <f aca="false">IF(I1325=0,"",INDEX(GL!$E:$E,I1325))</f>
        <v/>
      </c>
      <c r="M1325" s="19" t="str">
        <f aca="false">IF(OR(B1325=0,I1325=0),"",ROUND(G1325-L1325,2))</f>
        <v/>
      </c>
      <c r="N1325" s="5" t="str">
        <f aca="false">IF(A1325="","",IF(B1325=0,"NOT FOUND: bank ID",IF(I1325=0,"NOT FOUND: GL ID",IF(INDEX(GL!$H:$H,I1325)&lt;&gt;A1325,"BROKEN: GL points elsewhere",IF(OR(INDEX(Bank!$F:$F,B1325)&lt;&gt;"Y",INDEX(GL!$F:$F,I1325)&lt;&gt;"Y"),"BROKEN: Status not Y","OK")))))</f>
        <v/>
      </c>
    </row>
    <row r="1326" customFormat="false" ht="15" hidden="false" customHeight="false" outlineLevel="0" collapsed="false">
      <c r="A1326" s="41"/>
      <c r="B1326" s="5" t="n">
        <f aca="false">IF(A1326="",0,IFERROR(MATCH(A1326,Bank!$A:$A,0),0))</f>
        <v>0</v>
      </c>
      <c r="C1326" s="5" t="str">
        <f aca="false">IF(B1326=0,"",IF(INDEX(Bank!$G:$G,B1326)="","",INDEX(Bank!$G:$G,B1326)))</f>
        <v/>
      </c>
      <c r="D1326" s="5" t="str">
        <f aca="false">IF(B1326=0,"",IF(INDEX(Bank!$J:$J,B1326)="","",INDEX(Bank!$J:$J,B1326)))</f>
        <v/>
      </c>
      <c r="E1326" s="32" t="str">
        <f aca="false">IF(B1326=0,"",INDEX(Bank!$B:$B,B1326))</f>
        <v/>
      </c>
      <c r="F1326" s="5" t="str">
        <f aca="false">IF(B1326=0,"",IF(INDEX(Bank!$C:$C,B1326)="","",INDEX(Bank!$C:$C,B1326)))</f>
        <v/>
      </c>
      <c r="G1326" s="19" t="str">
        <f aca="false">IF(B1326=0,"",INDEX(Bank!$E:$E,B1326))</f>
        <v/>
      </c>
      <c r="H1326" s="5" t="str">
        <f aca="false">IF(B1326=0,"",IF(INDEX(Bank!$H:$H,B1326)="","",INDEX(Bank!$H:$H,B1326)))</f>
        <v/>
      </c>
      <c r="I1326" s="5" t="n">
        <f aca="false">IF(H1326="",0,IFERROR(MATCH(H1326,GL!$A:$A,0),0))</f>
        <v>0</v>
      </c>
      <c r="J1326" s="32" t="str">
        <f aca="false">IF(I1326=0,"",INDEX(GL!$B:$B,I1326))</f>
        <v/>
      </c>
      <c r="K1326" s="5" t="str">
        <f aca="false">IF(I1326=0,"",IF(INDEX(GL!$C:$C,I1326)="","",INDEX(GL!$C:$C,I1326)))</f>
        <v/>
      </c>
      <c r="L1326" s="19" t="str">
        <f aca="false">IF(I1326=0,"",INDEX(GL!$E:$E,I1326))</f>
        <v/>
      </c>
      <c r="M1326" s="19" t="str">
        <f aca="false">IF(OR(B1326=0,I1326=0),"",ROUND(G1326-L1326,2))</f>
        <v/>
      </c>
      <c r="N1326" s="5" t="str">
        <f aca="false">IF(A1326="","",IF(B1326=0,"NOT FOUND: bank ID",IF(I1326=0,"NOT FOUND: GL ID",IF(INDEX(GL!$H:$H,I1326)&lt;&gt;A1326,"BROKEN: GL points elsewhere",IF(OR(INDEX(Bank!$F:$F,B1326)&lt;&gt;"Y",INDEX(GL!$F:$F,I1326)&lt;&gt;"Y"),"BROKEN: Status not Y","OK")))))</f>
        <v/>
      </c>
    </row>
    <row r="1327" customFormat="false" ht="15" hidden="false" customHeight="false" outlineLevel="0" collapsed="false">
      <c r="A1327" s="41"/>
      <c r="B1327" s="5" t="n">
        <f aca="false">IF(A1327="",0,IFERROR(MATCH(A1327,Bank!$A:$A,0),0))</f>
        <v>0</v>
      </c>
      <c r="C1327" s="5" t="str">
        <f aca="false">IF(B1327=0,"",IF(INDEX(Bank!$G:$G,B1327)="","",INDEX(Bank!$G:$G,B1327)))</f>
        <v/>
      </c>
      <c r="D1327" s="5" t="str">
        <f aca="false">IF(B1327=0,"",IF(INDEX(Bank!$J:$J,B1327)="","",INDEX(Bank!$J:$J,B1327)))</f>
        <v/>
      </c>
      <c r="E1327" s="32" t="str">
        <f aca="false">IF(B1327=0,"",INDEX(Bank!$B:$B,B1327))</f>
        <v/>
      </c>
      <c r="F1327" s="5" t="str">
        <f aca="false">IF(B1327=0,"",IF(INDEX(Bank!$C:$C,B1327)="","",INDEX(Bank!$C:$C,B1327)))</f>
        <v/>
      </c>
      <c r="G1327" s="19" t="str">
        <f aca="false">IF(B1327=0,"",INDEX(Bank!$E:$E,B1327))</f>
        <v/>
      </c>
      <c r="H1327" s="5" t="str">
        <f aca="false">IF(B1327=0,"",IF(INDEX(Bank!$H:$H,B1327)="","",INDEX(Bank!$H:$H,B1327)))</f>
        <v/>
      </c>
      <c r="I1327" s="5" t="n">
        <f aca="false">IF(H1327="",0,IFERROR(MATCH(H1327,GL!$A:$A,0),0))</f>
        <v>0</v>
      </c>
      <c r="J1327" s="32" t="str">
        <f aca="false">IF(I1327=0,"",INDEX(GL!$B:$B,I1327))</f>
        <v/>
      </c>
      <c r="K1327" s="5" t="str">
        <f aca="false">IF(I1327=0,"",IF(INDEX(GL!$C:$C,I1327)="","",INDEX(GL!$C:$C,I1327)))</f>
        <v/>
      </c>
      <c r="L1327" s="19" t="str">
        <f aca="false">IF(I1327=0,"",INDEX(GL!$E:$E,I1327))</f>
        <v/>
      </c>
      <c r="M1327" s="19" t="str">
        <f aca="false">IF(OR(B1327=0,I1327=0),"",ROUND(G1327-L1327,2))</f>
        <v/>
      </c>
      <c r="N1327" s="5" t="str">
        <f aca="false">IF(A1327="","",IF(B1327=0,"NOT FOUND: bank ID",IF(I1327=0,"NOT FOUND: GL ID",IF(INDEX(GL!$H:$H,I1327)&lt;&gt;A1327,"BROKEN: GL points elsewhere",IF(OR(INDEX(Bank!$F:$F,B1327)&lt;&gt;"Y",INDEX(GL!$F:$F,I1327)&lt;&gt;"Y"),"BROKEN: Status not Y","OK")))))</f>
        <v/>
      </c>
    </row>
    <row r="1328" customFormat="false" ht="15" hidden="false" customHeight="false" outlineLevel="0" collapsed="false">
      <c r="A1328" s="41"/>
      <c r="B1328" s="5" t="n">
        <f aca="false">IF(A1328="",0,IFERROR(MATCH(A1328,Bank!$A:$A,0),0))</f>
        <v>0</v>
      </c>
      <c r="C1328" s="5" t="str">
        <f aca="false">IF(B1328=0,"",IF(INDEX(Bank!$G:$G,B1328)="","",INDEX(Bank!$G:$G,B1328)))</f>
        <v/>
      </c>
      <c r="D1328" s="5" t="str">
        <f aca="false">IF(B1328=0,"",IF(INDEX(Bank!$J:$J,B1328)="","",INDEX(Bank!$J:$J,B1328)))</f>
        <v/>
      </c>
      <c r="E1328" s="32" t="str">
        <f aca="false">IF(B1328=0,"",INDEX(Bank!$B:$B,B1328))</f>
        <v/>
      </c>
      <c r="F1328" s="5" t="str">
        <f aca="false">IF(B1328=0,"",IF(INDEX(Bank!$C:$C,B1328)="","",INDEX(Bank!$C:$C,B1328)))</f>
        <v/>
      </c>
      <c r="G1328" s="19" t="str">
        <f aca="false">IF(B1328=0,"",INDEX(Bank!$E:$E,B1328))</f>
        <v/>
      </c>
      <c r="H1328" s="5" t="str">
        <f aca="false">IF(B1328=0,"",IF(INDEX(Bank!$H:$H,B1328)="","",INDEX(Bank!$H:$H,B1328)))</f>
        <v/>
      </c>
      <c r="I1328" s="5" t="n">
        <f aca="false">IF(H1328="",0,IFERROR(MATCH(H1328,GL!$A:$A,0),0))</f>
        <v>0</v>
      </c>
      <c r="J1328" s="32" t="str">
        <f aca="false">IF(I1328=0,"",INDEX(GL!$B:$B,I1328))</f>
        <v/>
      </c>
      <c r="K1328" s="5" t="str">
        <f aca="false">IF(I1328=0,"",IF(INDEX(GL!$C:$C,I1328)="","",INDEX(GL!$C:$C,I1328)))</f>
        <v/>
      </c>
      <c r="L1328" s="19" t="str">
        <f aca="false">IF(I1328=0,"",INDEX(GL!$E:$E,I1328))</f>
        <v/>
      </c>
      <c r="M1328" s="19" t="str">
        <f aca="false">IF(OR(B1328=0,I1328=0),"",ROUND(G1328-L1328,2))</f>
        <v/>
      </c>
      <c r="N1328" s="5" t="str">
        <f aca="false">IF(A1328="","",IF(B1328=0,"NOT FOUND: bank ID",IF(I1328=0,"NOT FOUND: GL ID",IF(INDEX(GL!$H:$H,I1328)&lt;&gt;A1328,"BROKEN: GL points elsewhere",IF(OR(INDEX(Bank!$F:$F,B1328)&lt;&gt;"Y",INDEX(GL!$F:$F,I1328)&lt;&gt;"Y"),"BROKEN: Status not Y","OK")))))</f>
        <v/>
      </c>
    </row>
    <row r="1329" customFormat="false" ht="15" hidden="false" customHeight="false" outlineLevel="0" collapsed="false">
      <c r="A1329" s="41"/>
      <c r="B1329" s="5" t="n">
        <f aca="false">IF(A1329="",0,IFERROR(MATCH(A1329,Bank!$A:$A,0),0))</f>
        <v>0</v>
      </c>
      <c r="C1329" s="5" t="str">
        <f aca="false">IF(B1329=0,"",IF(INDEX(Bank!$G:$G,B1329)="","",INDEX(Bank!$G:$G,B1329)))</f>
        <v/>
      </c>
      <c r="D1329" s="5" t="str">
        <f aca="false">IF(B1329=0,"",IF(INDEX(Bank!$J:$J,B1329)="","",INDEX(Bank!$J:$J,B1329)))</f>
        <v/>
      </c>
      <c r="E1329" s="32" t="str">
        <f aca="false">IF(B1329=0,"",INDEX(Bank!$B:$B,B1329))</f>
        <v/>
      </c>
      <c r="F1329" s="5" t="str">
        <f aca="false">IF(B1329=0,"",IF(INDEX(Bank!$C:$C,B1329)="","",INDEX(Bank!$C:$C,B1329)))</f>
        <v/>
      </c>
      <c r="G1329" s="19" t="str">
        <f aca="false">IF(B1329=0,"",INDEX(Bank!$E:$E,B1329))</f>
        <v/>
      </c>
      <c r="H1329" s="5" t="str">
        <f aca="false">IF(B1329=0,"",IF(INDEX(Bank!$H:$H,B1329)="","",INDEX(Bank!$H:$H,B1329)))</f>
        <v/>
      </c>
      <c r="I1329" s="5" t="n">
        <f aca="false">IF(H1329="",0,IFERROR(MATCH(H1329,GL!$A:$A,0),0))</f>
        <v>0</v>
      </c>
      <c r="J1329" s="32" t="str">
        <f aca="false">IF(I1329=0,"",INDEX(GL!$B:$B,I1329))</f>
        <v/>
      </c>
      <c r="K1329" s="5" t="str">
        <f aca="false">IF(I1329=0,"",IF(INDEX(GL!$C:$C,I1329)="","",INDEX(GL!$C:$C,I1329)))</f>
        <v/>
      </c>
      <c r="L1329" s="19" t="str">
        <f aca="false">IF(I1329=0,"",INDEX(GL!$E:$E,I1329))</f>
        <v/>
      </c>
      <c r="M1329" s="19" t="str">
        <f aca="false">IF(OR(B1329=0,I1329=0),"",ROUND(G1329-L1329,2))</f>
        <v/>
      </c>
      <c r="N1329" s="5" t="str">
        <f aca="false">IF(A1329="","",IF(B1329=0,"NOT FOUND: bank ID",IF(I1329=0,"NOT FOUND: GL ID",IF(INDEX(GL!$H:$H,I1329)&lt;&gt;A1329,"BROKEN: GL points elsewhere",IF(OR(INDEX(Bank!$F:$F,B1329)&lt;&gt;"Y",INDEX(GL!$F:$F,I1329)&lt;&gt;"Y"),"BROKEN: Status not Y","OK")))))</f>
        <v/>
      </c>
    </row>
    <row r="1330" customFormat="false" ht="15" hidden="false" customHeight="false" outlineLevel="0" collapsed="false">
      <c r="A1330" s="41"/>
      <c r="B1330" s="5" t="n">
        <f aca="false">IF(A1330="",0,IFERROR(MATCH(A1330,Bank!$A:$A,0),0))</f>
        <v>0</v>
      </c>
      <c r="C1330" s="5" t="str">
        <f aca="false">IF(B1330=0,"",IF(INDEX(Bank!$G:$G,B1330)="","",INDEX(Bank!$G:$G,B1330)))</f>
        <v/>
      </c>
      <c r="D1330" s="5" t="str">
        <f aca="false">IF(B1330=0,"",IF(INDEX(Bank!$J:$J,B1330)="","",INDEX(Bank!$J:$J,B1330)))</f>
        <v/>
      </c>
      <c r="E1330" s="32" t="str">
        <f aca="false">IF(B1330=0,"",INDEX(Bank!$B:$B,B1330))</f>
        <v/>
      </c>
      <c r="F1330" s="5" t="str">
        <f aca="false">IF(B1330=0,"",IF(INDEX(Bank!$C:$C,B1330)="","",INDEX(Bank!$C:$C,B1330)))</f>
        <v/>
      </c>
      <c r="G1330" s="19" t="str">
        <f aca="false">IF(B1330=0,"",INDEX(Bank!$E:$E,B1330))</f>
        <v/>
      </c>
      <c r="H1330" s="5" t="str">
        <f aca="false">IF(B1330=0,"",IF(INDEX(Bank!$H:$H,B1330)="","",INDEX(Bank!$H:$H,B1330)))</f>
        <v/>
      </c>
      <c r="I1330" s="5" t="n">
        <f aca="false">IF(H1330="",0,IFERROR(MATCH(H1330,GL!$A:$A,0),0))</f>
        <v>0</v>
      </c>
      <c r="J1330" s="32" t="str">
        <f aca="false">IF(I1330=0,"",INDEX(GL!$B:$B,I1330))</f>
        <v/>
      </c>
      <c r="K1330" s="5" t="str">
        <f aca="false">IF(I1330=0,"",IF(INDEX(GL!$C:$C,I1330)="","",INDEX(GL!$C:$C,I1330)))</f>
        <v/>
      </c>
      <c r="L1330" s="19" t="str">
        <f aca="false">IF(I1330=0,"",INDEX(GL!$E:$E,I1330))</f>
        <v/>
      </c>
      <c r="M1330" s="19" t="str">
        <f aca="false">IF(OR(B1330=0,I1330=0),"",ROUND(G1330-L1330,2))</f>
        <v/>
      </c>
      <c r="N1330" s="5" t="str">
        <f aca="false">IF(A1330="","",IF(B1330=0,"NOT FOUND: bank ID",IF(I1330=0,"NOT FOUND: GL ID",IF(INDEX(GL!$H:$H,I1330)&lt;&gt;A1330,"BROKEN: GL points elsewhere",IF(OR(INDEX(Bank!$F:$F,B1330)&lt;&gt;"Y",INDEX(GL!$F:$F,I1330)&lt;&gt;"Y"),"BROKEN: Status not Y","OK")))))</f>
        <v/>
      </c>
    </row>
    <row r="1331" customFormat="false" ht="15" hidden="false" customHeight="false" outlineLevel="0" collapsed="false">
      <c r="A1331" s="41"/>
      <c r="B1331" s="5" t="n">
        <f aca="false">IF(A1331="",0,IFERROR(MATCH(A1331,Bank!$A:$A,0),0))</f>
        <v>0</v>
      </c>
      <c r="C1331" s="5" t="str">
        <f aca="false">IF(B1331=0,"",IF(INDEX(Bank!$G:$G,B1331)="","",INDEX(Bank!$G:$G,B1331)))</f>
        <v/>
      </c>
      <c r="D1331" s="5" t="str">
        <f aca="false">IF(B1331=0,"",IF(INDEX(Bank!$J:$J,B1331)="","",INDEX(Bank!$J:$J,B1331)))</f>
        <v/>
      </c>
      <c r="E1331" s="32" t="str">
        <f aca="false">IF(B1331=0,"",INDEX(Bank!$B:$B,B1331))</f>
        <v/>
      </c>
      <c r="F1331" s="5" t="str">
        <f aca="false">IF(B1331=0,"",IF(INDEX(Bank!$C:$C,B1331)="","",INDEX(Bank!$C:$C,B1331)))</f>
        <v/>
      </c>
      <c r="G1331" s="19" t="str">
        <f aca="false">IF(B1331=0,"",INDEX(Bank!$E:$E,B1331))</f>
        <v/>
      </c>
      <c r="H1331" s="5" t="str">
        <f aca="false">IF(B1331=0,"",IF(INDEX(Bank!$H:$H,B1331)="","",INDEX(Bank!$H:$H,B1331)))</f>
        <v/>
      </c>
      <c r="I1331" s="5" t="n">
        <f aca="false">IF(H1331="",0,IFERROR(MATCH(H1331,GL!$A:$A,0),0))</f>
        <v>0</v>
      </c>
      <c r="J1331" s="32" t="str">
        <f aca="false">IF(I1331=0,"",INDEX(GL!$B:$B,I1331))</f>
        <v/>
      </c>
      <c r="K1331" s="5" t="str">
        <f aca="false">IF(I1331=0,"",IF(INDEX(GL!$C:$C,I1331)="","",INDEX(GL!$C:$C,I1331)))</f>
        <v/>
      </c>
      <c r="L1331" s="19" t="str">
        <f aca="false">IF(I1331=0,"",INDEX(GL!$E:$E,I1331))</f>
        <v/>
      </c>
      <c r="M1331" s="19" t="str">
        <f aca="false">IF(OR(B1331=0,I1331=0),"",ROUND(G1331-L1331,2))</f>
        <v/>
      </c>
      <c r="N1331" s="5" t="str">
        <f aca="false">IF(A1331="","",IF(B1331=0,"NOT FOUND: bank ID",IF(I1331=0,"NOT FOUND: GL ID",IF(INDEX(GL!$H:$H,I1331)&lt;&gt;A1331,"BROKEN: GL points elsewhere",IF(OR(INDEX(Bank!$F:$F,B1331)&lt;&gt;"Y",INDEX(GL!$F:$F,I1331)&lt;&gt;"Y"),"BROKEN: Status not Y","OK")))))</f>
        <v/>
      </c>
    </row>
    <row r="1332" customFormat="false" ht="15" hidden="false" customHeight="false" outlineLevel="0" collapsed="false">
      <c r="A1332" s="41"/>
      <c r="B1332" s="5" t="n">
        <f aca="false">IF(A1332="",0,IFERROR(MATCH(A1332,Bank!$A:$A,0),0))</f>
        <v>0</v>
      </c>
      <c r="C1332" s="5" t="str">
        <f aca="false">IF(B1332=0,"",IF(INDEX(Bank!$G:$G,B1332)="","",INDEX(Bank!$G:$G,B1332)))</f>
        <v/>
      </c>
      <c r="D1332" s="5" t="str">
        <f aca="false">IF(B1332=0,"",IF(INDEX(Bank!$J:$J,B1332)="","",INDEX(Bank!$J:$J,B1332)))</f>
        <v/>
      </c>
      <c r="E1332" s="32" t="str">
        <f aca="false">IF(B1332=0,"",INDEX(Bank!$B:$B,B1332))</f>
        <v/>
      </c>
      <c r="F1332" s="5" t="str">
        <f aca="false">IF(B1332=0,"",IF(INDEX(Bank!$C:$C,B1332)="","",INDEX(Bank!$C:$C,B1332)))</f>
        <v/>
      </c>
      <c r="G1332" s="19" t="str">
        <f aca="false">IF(B1332=0,"",INDEX(Bank!$E:$E,B1332))</f>
        <v/>
      </c>
      <c r="H1332" s="5" t="str">
        <f aca="false">IF(B1332=0,"",IF(INDEX(Bank!$H:$H,B1332)="","",INDEX(Bank!$H:$H,B1332)))</f>
        <v/>
      </c>
      <c r="I1332" s="5" t="n">
        <f aca="false">IF(H1332="",0,IFERROR(MATCH(H1332,GL!$A:$A,0),0))</f>
        <v>0</v>
      </c>
      <c r="J1332" s="32" t="str">
        <f aca="false">IF(I1332=0,"",INDEX(GL!$B:$B,I1332))</f>
        <v/>
      </c>
      <c r="K1332" s="5" t="str">
        <f aca="false">IF(I1332=0,"",IF(INDEX(GL!$C:$C,I1332)="","",INDEX(GL!$C:$C,I1332)))</f>
        <v/>
      </c>
      <c r="L1332" s="19" t="str">
        <f aca="false">IF(I1332=0,"",INDEX(GL!$E:$E,I1332))</f>
        <v/>
      </c>
      <c r="M1332" s="19" t="str">
        <f aca="false">IF(OR(B1332=0,I1332=0),"",ROUND(G1332-L1332,2))</f>
        <v/>
      </c>
      <c r="N1332" s="5" t="str">
        <f aca="false">IF(A1332="","",IF(B1332=0,"NOT FOUND: bank ID",IF(I1332=0,"NOT FOUND: GL ID",IF(INDEX(GL!$H:$H,I1332)&lt;&gt;A1332,"BROKEN: GL points elsewhere",IF(OR(INDEX(Bank!$F:$F,B1332)&lt;&gt;"Y",INDEX(GL!$F:$F,I1332)&lt;&gt;"Y"),"BROKEN: Status not Y","OK")))))</f>
        <v/>
      </c>
    </row>
    <row r="1333" customFormat="false" ht="15" hidden="false" customHeight="false" outlineLevel="0" collapsed="false">
      <c r="A1333" s="41"/>
      <c r="B1333" s="5" t="n">
        <f aca="false">IF(A1333="",0,IFERROR(MATCH(A1333,Bank!$A:$A,0),0))</f>
        <v>0</v>
      </c>
      <c r="C1333" s="5" t="str">
        <f aca="false">IF(B1333=0,"",IF(INDEX(Bank!$G:$G,B1333)="","",INDEX(Bank!$G:$G,B1333)))</f>
        <v/>
      </c>
      <c r="D1333" s="5" t="str">
        <f aca="false">IF(B1333=0,"",IF(INDEX(Bank!$J:$J,B1333)="","",INDEX(Bank!$J:$J,B1333)))</f>
        <v/>
      </c>
      <c r="E1333" s="32" t="str">
        <f aca="false">IF(B1333=0,"",INDEX(Bank!$B:$B,B1333))</f>
        <v/>
      </c>
      <c r="F1333" s="5" t="str">
        <f aca="false">IF(B1333=0,"",IF(INDEX(Bank!$C:$C,B1333)="","",INDEX(Bank!$C:$C,B1333)))</f>
        <v/>
      </c>
      <c r="G1333" s="19" t="str">
        <f aca="false">IF(B1333=0,"",INDEX(Bank!$E:$E,B1333))</f>
        <v/>
      </c>
      <c r="H1333" s="5" t="str">
        <f aca="false">IF(B1333=0,"",IF(INDEX(Bank!$H:$H,B1333)="","",INDEX(Bank!$H:$H,B1333)))</f>
        <v/>
      </c>
      <c r="I1333" s="5" t="n">
        <f aca="false">IF(H1333="",0,IFERROR(MATCH(H1333,GL!$A:$A,0),0))</f>
        <v>0</v>
      </c>
      <c r="J1333" s="32" t="str">
        <f aca="false">IF(I1333=0,"",INDEX(GL!$B:$B,I1333))</f>
        <v/>
      </c>
      <c r="K1333" s="5" t="str">
        <f aca="false">IF(I1333=0,"",IF(INDEX(GL!$C:$C,I1333)="","",INDEX(GL!$C:$C,I1333)))</f>
        <v/>
      </c>
      <c r="L1333" s="19" t="str">
        <f aca="false">IF(I1333=0,"",INDEX(GL!$E:$E,I1333))</f>
        <v/>
      </c>
      <c r="M1333" s="19" t="str">
        <f aca="false">IF(OR(B1333=0,I1333=0),"",ROUND(G1333-L1333,2))</f>
        <v/>
      </c>
      <c r="N1333" s="5" t="str">
        <f aca="false">IF(A1333="","",IF(B1333=0,"NOT FOUND: bank ID",IF(I1333=0,"NOT FOUND: GL ID",IF(INDEX(GL!$H:$H,I1333)&lt;&gt;A1333,"BROKEN: GL points elsewhere",IF(OR(INDEX(Bank!$F:$F,B1333)&lt;&gt;"Y",INDEX(GL!$F:$F,I1333)&lt;&gt;"Y"),"BROKEN: Status not Y","OK")))))</f>
        <v/>
      </c>
    </row>
    <row r="1334" customFormat="false" ht="15" hidden="false" customHeight="false" outlineLevel="0" collapsed="false">
      <c r="A1334" s="41"/>
      <c r="B1334" s="5" t="n">
        <f aca="false">IF(A1334="",0,IFERROR(MATCH(A1334,Bank!$A:$A,0),0))</f>
        <v>0</v>
      </c>
      <c r="C1334" s="5" t="str">
        <f aca="false">IF(B1334=0,"",IF(INDEX(Bank!$G:$G,B1334)="","",INDEX(Bank!$G:$G,B1334)))</f>
        <v/>
      </c>
      <c r="D1334" s="5" t="str">
        <f aca="false">IF(B1334=0,"",IF(INDEX(Bank!$J:$J,B1334)="","",INDEX(Bank!$J:$J,B1334)))</f>
        <v/>
      </c>
      <c r="E1334" s="32" t="str">
        <f aca="false">IF(B1334=0,"",INDEX(Bank!$B:$B,B1334))</f>
        <v/>
      </c>
      <c r="F1334" s="5" t="str">
        <f aca="false">IF(B1334=0,"",IF(INDEX(Bank!$C:$C,B1334)="","",INDEX(Bank!$C:$C,B1334)))</f>
        <v/>
      </c>
      <c r="G1334" s="19" t="str">
        <f aca="false">IF(B1334=0,"",INDEX(Bank!$E:$E,B1334))</f>
        <v/>
      </c>
      <c r="H1334" s="5" t="str">
        <f aca="false">IF(B1334=0,"",IF(INDEX(Bank!$H:$H,B1334)="","",INDEX(Bank!$H:$H,B1334)))</f>
        <v/>
      </c>
      <c r="I1334" s="5" t="n">
        <f aca="false">IF(H1334="",0,IFERROR(MATCH(H1334,GL!$A:$A,0),0))</f>
        <v>0</v>
      </c>
      <c r="J1334" s="32" t="str">
        <f aca="false">IF(I1334=0,"",INDEX(GL!$B:$B,I1334))</f>
        <v/>
      </c>
      <c r="K1334" s="5" t="str">
        <f aca="false">IF(I1334=0,"",IF(INDEX(GL!$C:$C,I1334)="","",INDEX(GL!$C:$C,I1334)))</f>
        <v/>
      </c>
      <c r="L1334" s="19" t="str">
        <f aca="false">IF(I1334=0,"",INDEX(GL!$E:$E,I1334))</f>
        <v/>
      </c>
      <c r="M1334" s="19" t="str">
        <f aca="false">IF(OR(B1334=0,I1334=0),"",ROUND(G1334-L1334,2))</f>
        <v/>
      </c>
      <c r="N1334" s="5" t="str">
        <f aca="false">IF(A1334="","",IF(B1334=0,"NOT FOUND: bank ID",IF(I1334=0,"NOT FOUND: GL ID",IF(INDEX(GL!$H:$H,I1334)&lt;&gt;A1334,"BROKEN: GL points elsewhere",IF(OR(INDEX(Bank!$F:$F,B1334)&lt;&gt;"Y",INDEX(GL!$F:$F,I1334)&lt;&gt;"Y"),"BROKEN: Status not Y","OK")))))</f>
        <v/>
      </c>
    </row>
    <row r="1335" customFormat="false" ht="15" hidden="false" customHeight="false" outlineLevel="0" collapsed="false">
      <c r="A1335" s="41"/>
      <c r="B1335" s="5" t="n">
        <f aca="false">IF(A1335="",0,IFERROR(MATCH(A1335,Bank!$A:$A,0),0))</f>
        <v>0</v>
      </c>
      <c r="C1335" s="5" t="str">
        <f aca="false">IF(B1335=0,"",IF(INDEX(Bank!$G:$G,B1335)="","",INDEX(Bank!$G:$G,B1335)))</f>
        <v/>
      </c>
      <c r="D1335" s="5" t="str">
        <f aca="false">IF(B1335=0,"",IF(INDEX(Bank!$J:$J,B1335)="","",INDEX(Bank!$J:$J,B1335)))</f>
        <v/>
      </c>
      <c r="E1335" s="32" t="str">
        <f aca="false">IF(B1335=0,"",INDEX(Bank!$B:$B,B1335))</f>
        <v/>
      </c>
      <c r="F1335" s="5" t="str">
        <f aca="false">IF(B1335=0,"",IF(INDEX(Bank!$C:$C,B1335)="","",INDEX(Bank!$C:$C,B1335)))</f>
        <v/>
      </c>
      <c r="G1335" s="19" t="str">
        <f aca="false">IF(B1335=0,"",INDEX(Bank!$E:$E,B1335))</f>
        <v/>
      </c>
      <c r="H1335" s="5" t="str">
        <f aca="false">IF(B1335=0,"",IF(INDEX(Bank!$H:$H,B1335)="","",INDEX(Bank!$H:$H,B1335)))</f>
        <v/>
      </c>
      <c r="I1335" s="5" t="n">
        <f aca="false">IF(H1335="",0,IFERROR(MATCH(H1335,GL!$A:$A,0),0))</f>
        <v>0</v>
      </c>
      <c r="J1335" s="32" t="str">
        <f aca="false">IF(I1335=0,"",INDEX(GL!$B:$B,I1335))</f>
        <v/>
      </c>
      <c r="K1335" s="5" t="str">
        <f aca="false">IF(I1335=0,"",IF(INDEX(GL!$C:$C,I1335)="","",INDEX(GL!$C:$C,I1335)))</f>
        <v/>
      </c>
      <c r="L1335" s="19" t="str">
        <f aca="false">IF(I1335=0,"",INDEX(GL!$E:$E,I1335))</f>
        <v/>
      </c>
      <c r="M1335" s="19" t="str">
        <f aca="false">IF(OR(B1335=0,I1335=0),"",ROUND(G1335-L1335,2))</f>
        <v/>
      </c>
      <c r="N1335" s="5" t="str">
        <f aca="false">IF(A1335="","",IF(B1335=0,"NOT FOUND: bank ID",IF(I1335=0,"NOT FOUND: GL ID",IF(INDEX(GL!$H:$H,I1335)&lt;&gt;A1335,"BROKEN: GL points elsewhere",IF(OR(INDEX(Bank!$F:$F,B1335)&lt;&gt;"Y",INDEX(GL!$F:$F,I1335)&lt;&gt;"Y"),"BROKEN: Status not Y","OK")))))</f>
        <v/>
      </c>
    </row>
    <row r="1336" customFormat="false" ht="15" hidden="false" customHeight="false" outlineLevel="0" collapsed="false">
      <c r="A1336" s="41"/>
      <c r="B1336" s="5" t="n">
        <f aca="false">IF(A1336="",0,IFERROR(MATCH(A1336,Bank!$A:$A,0),0))</f>
        <v>0</v>
      </c>
      <c r="C1336" s="5" t="str">
        <f aca="false">IF(B1336=0,"",IF(INDEX(Bank!$G:$G,B1336)="","",INDEX(Bank!$G:$G,B1336)))</f>
        <v/>
      </c>
      <c r="D1336" s="5" t="str">
        <f aca="false">IF(B1336=0,"",IF(INDEX(Bank!$J:$J,B1336)="","",INDEX(Bank!$J:$J,B1336)))</f>
        <v/>
      </c>
      <c r="E1336" s="32" t="str">
        <f aca="false">IF(B1336=0,"",INDEX(Bank!$B:$B,B1336))</f>
        <v/>
      </c>
      <c r="F1336" s="5" t="str">
        <f aca="false">IF(B1336=0,"",IF(INDEX(Bank!$C:$C,B1336)="","",INDEX(Bank!$C:$C,B1336)))</f>
        <v/>
      </c>
      <c r="G1336" s="19" t="str">
        <f aca="false">IF(B1336=0,"",INDEX(Bank!$E:$E,B1336))</f>
        <v/>
      </c>
      <c r="H1336" s="5" t="str">
        <f aca="false">IF(B1336=0,"",IF(INDEX(Bank!$H:$H,B1336)="","",INDEX(Bank!$H:$H,B1336)))</f>
        <v/>
      </c>
      <c r="I1336" s="5" t="n">
        <f aca="false">IF(H1336="",0,IFERROR(MATCH(H1336,GL!$A:$A,0),0))</f>
        <v>0</v>
      </c>
      <c r="J1336" s="32" t="str">
        <f aca="false">IF(I1336=0,"",INDEX(GL!$B:$B,I1336))</f>
        <v/>
      </c>
      <c r="K1336" s="5" t="str">
        <f aca="false">IF(I1336=0,"",IF(INDEX(GL!$C:$C,I1336)="","",INDEX(GL!$C:$C,I1336)))</f>
        <v/>
      </c>
      <c r="L1336" s="19" t="str">
        <f aca="false">IF(I1336=0,"",INDEX(GL!$E:$E,I1336))</f>
        <v/>
      </c>
      <c r="M1336" s="19" t="str">
        <f aca="false">IF(OR(B1336=0,I1336=0),"",ROUND(G1336-L1336,2))</f>
        <v/>
      </c>
      <c r="N1336" s="5" t="str">
        <f aca="false">IF(A1336="","",IF(B1336=0,"NOT FOUND: bank ID",IF(I1336=0,"NOT FOUND: GL ID",IF(INDEX(GL!$H:$H,I1336)&lt;&gt;A1336,"BROKEN: GL points elsewhere",IF(OR(INDEX(Bank!$F:$F,B1336)&lt;&gt;"Y",INDEX(GL!$F:$F,I1336)&lt;&gt;"Y"),"BROKEN: Status not Y","OK")))))</f>
        <v/>
      </c>
    </row>
    <row r="1337" customFormat="false" ht="15" hidden="false" customHeight="false" outlineLevel="0" collapsed="false">
      <c r="A1337" s="41"/>
      <c r="B1337" s="5" t="n">
        <f aca="false">IF(A1337="",0,IFERROR(MATCH(A1337,Bank!$A:$A,0),0))</f>
        <v>0</v>
      </c>
      <c r="C1337" s="5" t="str">
        <f aca="false">IF(B1337=0,"",IF(INDEX(Bank!$G:$G,B1337)="","",INDEX(Bank!$G:$G,B1337)))</f>
        <v/>
      </c>
      <c r="D1337" s="5" t="str">
        <f aca="false">IF(B1337=0,"",IF(INDEX(Bank!$J:$J,B1337)="","",INDEX(Bank!$J:$J,B1337)))</f>
        <v/>
      </c>
      <c r="E1337" s="32" t="str">
        <f aca="false">IF(B1337=0,"",INDEX(Bank!$B:$B,B1337))</f>
        <v/>
      </c>
      <c r="F1337" s="5" t="str">
        <f aca="false">IF(B1337=0,"",IF(INDEX(Bank!$C:$C,B1337)="","",INDEX(Bank!$C:$C,B1337)))</f>
        <v/>
      </c>
      <c r="G1337" s="19" t="str">
        <f aca="false">IF(B1337=0,"",INDEX(Bank!$E:$E,B1337))</f>
        <v/>
      </c>
      <c r="H1337" s="5" t="str">
        <f aca="false">IF(B1337=0,"",IF(INDEX(Bank!$H:$H,B1337)="","",INDEX(Bank!$H:$H,B1337)))</f>
        <v/>
      </c>
      <c r="I1337" s="5" t="n">
        <f aca="false">IF(H1337="",0,IFERROR(MATCH(H1337,GL!$A:$A,0),0))</f>
        <v>0</v>
      </c>
      <c r="J1337" s="32" t="str">
        <f aca="false">IF(I1337=0,"",INDEX(GL!$B:$B,I1337))</f>
        <v/>
      </c>
      <c r="K1337" s="5" t="str">
        <f aca="false">IF(I1337=0,"",IF(INDEX(GL!$C:$C,I1337)="","",INDEX(GL!$C:$C,I1337)))</f>
        <v/>
      </c>
      <c r="L1337" s="19" t="str">
        <f aca="false">IF(I1337=0,"",INDEX(GL!$E:$E,I1337))</f>
        <v/>
      </c>
      <c r="M1337" s="19" t="str">
        <f aca="false">IF(OR(B1337=0,I1337=0),"",ROUND(G1337-L1337,2))</f>
        <v/>
      </c>
      <c r="N1337" s="5" t="str">
        <f aca="false">IF(A1337="","",IF(B1337=0,"NOT FOUND: bank ID",IF(I1337=0,"NOT FOUND: GL ID",IF(INDEX(GL!$H:$H,I1337)&lt;&gt;A1337,"BROKEN: GL points elsewhere",IF(OR(INDEX(Bank!$F:$F,B1337)&lt;&gt;"Y",INDEX(GL!$F:$F,I1337)&lt;&gt;"Y"),"BROKEN: Status not Y","OK")))))</f>
        <v/>
      </c>
    </row>
    <row r="1338" customFormat="false" ht="15" hidden="false" customHeight="false" outlineLevel="0" collapsed="false">
      <c r="A1338" s="41"/>
      <c r="B1338" s="5" t="n">
        <f aca="false">IF(A1338="",0,IFERROR(MATCH(A1338,Bank!$A:$A,0),0))</f>
        <v>0</v>
      </c>
      <c r="C1338" s="5" t="str">
        <f aca="false">IF(B1338=0,"",IF(INDEX(Bank!$G:$G,B1338)="","",INDEX(Bank!$G:$G,B1338)))</f>
        <v/>
      </c>
      <c r="D1338" s="5" t="str">
        <f aca="false">IF(B1338=0,"",IF(INDEX(Bank!$J:$J,B1338)="","",INDEX(Bank!$J:$J,B1338)))</f>
        <v/>
      </c>
      <c r="E1338" s="32" t="str">
        <f aca="false">IF(B1338=0,"",INDEX(Bank!$B:$B,B1338))</f>
        <v/>
      </c>
      <c r="F1338" s="5" t="str">
        <f aca="false">IF(B1338=0,"",IF(INDEX(Bank!$C:$C,B1338)="","",INDEX(Bank!$C:$C,B1338)))</f>
        <v/>
      </c>
      <c r="G1338" s="19" t="str">
        <f aca="false">IF(B1338=0,"",INDEX(Bank!$E:$E,B1338))</f>
        <v/>
      </c>
      <c r="H1338" s="5" t="str">
        <f aca="false">IF(B1338=0,"",IF(INDEX(Bank!$H:$H,B1338)="","",INDEX(Bank!$H:$H,B1338)))</f>
        <v/>
      </c>
      <c r="I1338" s="5" t="n">
        <f aca="false">IF(H1338="",0,IFERROR(MATCH(H1338,GL!$A:$A,0),0))</f>
        <v>0</v>
      </c>
      <c r="J1338" s="32" t="str">
        <f aca="false">IF(I1338=0,"",INDEX(GL!$B:$B,I1338))</f>
        <v/>
      </c>
      <c r="K1338" s="5" t="str">
        <f aca="false">IF(I1338=0,"",IF(INDEX(GL!$C:$C,I1338)="","",INDEX(GL!$C:$C,I1338)))</f>
        <v/>
      </c>
      <c r="L1338" s="19" t="str">
        <f aca="false">IF(I1338=0,"",INDEX(GL!$E:$E,I1338))</f>
        <v/>
      </c>
      <c r="M1338" s="19" t="str">
        <f aca="false">IF(OR(B1338=0,I1338=0),"",ROUND(G1338-L1338,2))</f>
        <v/>
      </c>
      <c r="N1338" s="5" t="str">
        <f aca="false">IF(A1338="","",IF(B1338=0,"NOT FOUND: bank ID",IF(I1338=0,"NOT FOUND: GL ID",IF(INDEX(GL!$H:$H,I1338)&lt;&gt;A1338,"BROKEN: GL points elsewhere",IF(OR(INDEX(Bank!$F:$F,B1338)&lt;&gt;"Y",INDEX(GL!$F:$F,I1338)&lt;&gt;"Y"),"BROKEN: Status not Y","OK")))))</f>
        <v/>
      </c>
    </row>
    <row r="1339" customFormat="false" ht="15" hidden="false" customHeight="false" outlineLevel="0" collapsed="false">
      <c r="A1339" s="41"/>
      <c r="B1339" s="5" t="n">
        <f aca="false">IF(A1339="",0,IFERROR(MATCH(A1339,Bank!$A:$A,0),0))</f>
        <v>0</v>
      </c>
      <c r="C1339" s="5" t="str">
        <f aca="false">IF(B1339=0,"",IF(INDEX(Bank!$G:$G,B1339)="","",INDEX(Bank!$G:$G,B1339)))</f>
        <v/>
      </c>
      <c r="D1339" s="5" t="str">
        <f aca="false">IF(B1339=0,"",IF(INDEX(Bank!$J:$J,B1339)="","",INDEX(Bank!$J:$J,B1339)))</f>
        <v/>
      </c>
      <c r="E1339" s="32" t="str">
        <f aca="false">IF(B1339=0,"",INDEX(Bank!$B:$B,B1339))</f>
        <v/>
      </c>
      <c r="F1339" s="5" t="str">
        <f aca="false">IF(B1339=0,"",IF(INDEX(Bank!$C:$C,B1339)="","",INDEX(Bank!$C:$C,B1339)))</f>
        <v/>
      </c>
      <c r="G1339" s="19" t="str">
        <f aca="false">IF(B1339=0,"",INDEX(Bank!$E:$E,B1339))</f>
        <v/>
      </c>
      <c r="H1339" s="5" t="str">
        <f aca="false">IF(B1339=0,"",IF(INDEX(Bank!$H:$H,B1339)="","",INDEX(Bank!$H:$H,B1339)))</f>
        <v/>
      </c>
      <c r="I1339" s="5" t="n">
        <f aca="false">IF(H1339="",0,IFERROR(MATCH(H1339,GL!$A:$A,0),0))</f>
        <v>0</v>
      </c>
      <c r="J1339" s="32" t="str">
        <f aca="false">IF(I1339=0,"",INDEX(GL!$B:$B,I1339))</f>
        <v/>
      </c>
      <c r="K1339" s="5" t="str">
        <f aca="false">IF(I1339=0,"",IF(INDEX(GL!$C:$C,I1339)="","",INDEX(GL!$C:$C,I1339)))</f>
        <v/>
      </c>
      <c r="L1339" s="19" t="str">
        <f aca="false">IF(I1339=0,"",INDEX(GL!$E:$E,I1339))</f>
        <v/>
      </c>
      <c r="M1339" s="19" t="str">
        <f aca="false">IF(OR(B1339=0,I1339=0),"",ROUND(G1339-L1339,2))</f>
        <v/>
      </c>
      <c r="N1339" s="5" t="str">
        <f aca="false">IF(A1339="","",IF(B1339=0,"NOT FOUND: bank ID",IF(I1339=0,"NOT FOUND: GL ID",IF(INDEX(GL!$H:$H,I1339)&lt;&gt;A1339,"BROKEN: GL points elsewhere",IF(OR(INDEX(Bank!$F:$F,B1339)&lt;&gt;"Y",INDEX(GL!$F:$F,I1339)&lt;&gt;"Y"),"BROKEN: Status not Y","OK")))))</f>
        <v/>
      </c>
    </row>
    <row r="1340" customFormat="false" ht="15" hidden="false" customHeight="false" outlineLevel="0" collapsed="false">
      <c r="A1340" s="41"/>
      <c r="B1340" s="5" t="n">
        <f aca="false">IF(A1340="",0,IFERROR(MATCH(A1340,Bank!$A:$A,0),0))</f>
        <v>0</v>
      </c>
      <c r="C1340" s="5" t="str">
        <f aca="false">IF(B1340=0,"",IF(INDEX(Bank!$G:$G,B1340)="","",INDEX(Bank!$G:$G,B1340)))</f>
        <v/>
      </c>
      <c r="D1340" s="5" t="str">
        <f aca="false">IF(B1340=0,"",IF(INDEX(Bank!$J:$J,B1340)="","",INDEX(Bank!$J:$J,B1340)))</f>
        <v/>
      </c>
      <c r="E1340" s="32" t="str">
        <f aca="false">IF(B1340=0,"",INDEX(Bank!$B:$B,B1340))</f>
        <v/>
      </c>
      <c r="F1340" s="5" t="str">
        <f aca="false">IF(B1340=0,"",IF(INDEX(Bank!$C:$C,B1340)="","",INDEX(Bank!$C:$C,B1340)))</f>
        <v/>
      </c>
      <c r="G1340" s="19" t="str">
        <f aca="false">IF(B1340=0,"",INDEX(Bank!$E:$E,B1340))</f>
        <v/>
      </c>
      <c r="H1340" s="5" t="str">
        <f aca="false">IF(B1340=0,"",IF(INDEX(Bank!$H:$H,B1340)="","",INDEX(Bank!$H:$H,B1340)))</f>
        <v/>
      </c>
      <c r="I1340" s="5" t="n">
        <f aca="false">IF(H1340="",0,IFERROR(MATCH(H1340,GL!$A:$A,0),0))</f>
        <v>0</v>
      </c>
      <c r="J1340" s="32" t="str">
        <f aca="false">IF(I1340=0,"",INDEX(GL!$B:$B,I1340))</f>
        <v/>
      </c>
      <c r="K1340" s="5" t="str">
        <f aca="false">IF(I1340=0,"",IF(INDEX(GL!$C:$C,I1340)="","",INDEX(GL!$C:$C,I1340)))</f>
        <v/>
      </c>
      <c r="L1340" s="19" t="str">
        <f aca="false">IF(I1340=0,"",INDEX(GL!$E:$E,I1340))</f>
        <v/>
      </c>
      <c r="M1340" s="19" t="str">
        <f aca="false">IF(OR(B1340=0,I1340=0),"",ROUND(G1340-L1340,2))</f>
        <v/>
      </c>
      <c r="N1340" s="5" t="str">
        <f aca="false">IF(A1340="","",IF(B1340=0,"NOT FOUND: bank ID",IF(I1340=0,"NOT FOUND: GL ID",IF(INDEX(GL!$H:$H,I1340)&lt;&gt;A1340,"BROKEN: GL points elsewhere",IF(OR(INDEX(Bank!$F:$F,B1340)&lt;&gt;"Y",INDEX(GL!$F:$F,I1340)&lt;&gt;"Y"),"BROKEN: Status not Y","OK")))))</f>
        <v/>
      </c>
    </row>
    <row r="1341" customFormat="false" ht="15" hidden="false" customHeight="false" outlineLevel="0" collapsed="false">
      <c r="A1341" s="41"/>
      <c r="B1341" s="5" t="n">
        <f aca="false">IF(A1341="",0,IFERROR(MATCH(A1341,Bank!$A:$A,0),0))</f>
        <v>0</v>
      </c>
      <c r="C1341" s="5" t="str">
        <f aca="false">IF(B1341=0,"",IF(INDEX(Bank!$G:$G,B1341)="","",INDEX(Bank!$G:$G,B1341)))</f>
        <v/>
      </c>
      <c r="D1341" s="5" t="str">
        <f aca="false">IF(B1341=0,"",IF(INDEX(Bank!$J:$J,B1341)="","",INDEX(Bank!$J:$J,B1341)))</f>
        <v/>
      </c>
      <c r="E1341" s="32" t="str">
        <f aca="false">IF(B1341=0,"",INDEX(Bank!$B:$B,B1341))</f>
        <v/>
      </c>
      <c r="F1341" s="5" t="str">
        <f aca="false">IF(B1341=0,"",IF(INDEX(Bank!$C:$C,B1341)="","",INDEX(Bank!$C:$C,B1341)))</f>
        <v/>
      </c>
      <c r="G1341" s="19" t="str">
        <f aca="false">IF(B1341=0,"",INDEX(Bank!$E:$E,B1341))</f>
        <v/>
      </c>
      <c r="H1341" s="5" t="str">
        <f aca="false">IF(B1341=0,"",IF(INDEX(Bank!$H:$H,B1341)="","",INDEX(Bank!$H:$H,B1341)))</f>
        <v/>
      </c>
      <c r="I1341" s="5" t="n">
        <f aca="false">IF(H1341="",0,IFERROR(MATCH(H1341,GL!$A:$A,0),0))</f>
        <v>0</v>
      </c>
      <c r="J1341" s="32" t="str">
        <f aca="false">IF(I1341=0,"",INDEX(GL!$B:$B,I1341))</f>
        <v/>
      </c>
      <c r="K1341" s="5" t="str">
        <f aca="false">IF(I1341=0,"",IF(INDEX(GL!$C:$C,I1341)="","",INDEX(GL!$C:$C,I1341)))</f>
        <v/>
      </c>
      <c r="L1341" s="19" t="str">
        <f aca="false">IF(I1341=0,"",INDEX(GL!$E:$E,I1341))</f>
        <v/>
      </c>
      <c r="M1341" s="19" t="str">
        <f aca="false">IF(OR(B1341=0,I1341=0),"",ROUND(G1341-L1341,2))</f>
        <v/>
      </c>
      <c r="N1341" s="5" t="str">
        <f aca="false">IF(A1341="","",IF(B1341=0,"NOT FOUND: bank ID",IF(I1341=0,"NOT FOUND: GL ID",IF(INDEX(GL!$H:$H,I1341)&lt;&gt;A1341,"BROKEN: GL points elsewhere",IF(OR(INDEX(Bank!$F:$F,B1341)&lt;&gt;"Y",INDEX(GL!$F:$F,I1341)&lt;&gt;"Y"),"BROKEN: Status not Y","OK")))))</f>
        <v/>
      </c>
    </row>
    <row r="1342" customFormat="false" ht="15" hidden="false" customHeight="false" outlineLevel="0" collapsed="false">
      <c r="A1342" s="41"/>
      <c r="B1342" s="5" t="n">
        <f aca="false">IF(A1342="",0,IFERROR(MATCH(A1342,Bank!$A:$A,0),0))</f>
        <v>0</v>
      </c>
      <c r="C1342" s="5" t="str">
        <f aca="false">IF(B1342=0,"",IF(INDEX(Bank!$G:$G,B1342)="","",INDEX(Bank!$G:$G,B1342)))</f>
        <v/>
      </c>
      <c r="D1342" s="5" t="str">
        <f aca="false">IF(B1342=0,"",IF(INDEX(Bank!$J:$J,B1342)="","",INDEX(Bank!$J:$J,B1342)))</f>
        <v/>
      </c>
      <c r="E1342" s="32" t="str">
        <f aca="false">IF(B1342=0,"",INDEX(Bank!$B:$B,B1342))</f>
        <v/>
      </c>
      <c r="F1342" s="5" t="str">
        <f aca="false">IF(B1342=0,"",IF(INDEX(Bank!$C:$C,B1342)="","",INDEX(Bank!$C:$C,B1342)))</f>
        <v/>
      </c>
      <c r="G1342" s="19" t="str">
        <f aca="false">IF(B1342=0,"",INDEX(Bank!$E:$E,B1342))</f>
        <v/>
      </c>
      <c r="H1342" s="5" t="str">
        <f aca="false">IF(B1342=0,"",IF(INDEX(Bank!$H:$H,B1342)="","",INDEX(Bank!$H:$H,B1342)))</f>
        <v/>
      </c>
      <c r="I1342" s="5" t="n">
        <f aca="false">IF(H1342="",0,IFERROR(MATCH(H1342,GL!$A:$A,0),0))</f>
        <v>0</v>
      </c>
      <c r="J1342" s="32" t="str">
        <f aca="false">IF(I1342=0,"",INDEX(GL!$B:$B,I1342))</f>
        <v/>
      </c>
      <c r="K1342" s="5" t="str">
        <f aca="false">IF(I1342=0,"",IF(INDEX(GL!$C:$C,I1342)="","",INDEX(GL!$C:$C,I1342)))</f>
        <v/>
      </c>
      <c r="L1342" s="19" t="str">
        <f aca="false">IF(I1342=0,"",INDEX(GL!$E:$E,I1342))</f>
        <v/>
      </c>
      <c r="M1342" s="19" t="str">
        <f aca="false">IF(OR(B1342=0,I1342=0),"",ROUND(G1342-L1342,2))</f>
        <v/>
      </c>
      <c r="N1342" s="5" t="str">
        <f aca="false">IF(A1342="","",IF(B1342=0,"NOT FOUND: bank ID",IF(I1342=0,"NOT FOUND: GL ID",IF(INDEX(GL!$H:$H,I1342)&lt;&gt;A1342,"BROKEN: GL points elsewhere",IF(OR(INDEX(Bank!$F:$F,B1342)&lt;&gt;"Y",INDEX(GL!$F:$F,I1342)&lt;&gt;"Y"),"BROKEN: Status not Y","OK")))))</f>
        <v/>
      </c>
    </row>
    <row r="1343" customFormat="false" ht="15" hidden="false" customHeight="false" outlineLevel="0" collapsed="false">
      <c r="A1343" s="41"/>
      <c r="B1343" s="5" t="n">
        <f aca="false">IF(A1343="",0,IFERROR(MATCH(A1343,Bank!$A:$A,0),0))</f>
        <v>0</v>
      </c>
      <c r="C1343" s="5" t="str">
        <f aca="false">IF(B1343=0,"",IF(INDEX(Bank!$G:$G,B1343)="","",INDEX(Bank!$G:$G,B1343)))</f>
        <v/>
      </c>
      <c r="D1343" s="5" t="str">
        <f aca="false">IF(B1343=0,"",IF(INDEX(Bank!$J:$J,B1343)="","",INDEX(Bank!$J:$J,B1343)))</f>
        <v/>
      </c>
      <c r="E1343" s="32" t="str">
        <f aca="false">IF(B1343=0,"",INDEX(Bank!$B:$B,B1343))</f>
        <v/>
      </c>
      <c r="F1343" s="5" t="str">
        <f aca="false">IF(B1343=0,"",IF(INDEX(Bank!$C:$C,B1343)="","",INDEX(Bank!$C:$C,B1343)))</f>
        <v/>
      </c>
      <c r="G1343" s="19" t="str">
        <f aca="false">IF(B1343=0,"",INDEX(Bank!$E:$E,B1343))</f>
        <v/>
      </c>
      <c r="H1343" s="5" t="str">
        <f aca="false">IF(B1343=0,"",IF(INDEX(Bank!$H:$H,B1343)="","",INDEX(Bank!$H:$H,B1343)))</f>
        <v/>
      </c>
      <c r="I1343" s="5" t="n">
        <f aca="false">IF(H1343="",0,IFERROR(MATCH(H1343,GL!$A:$A,0),0))</f>
        <v>0</v>
      </c>
      <c r="J1343" s="32" t="str">
        <f aca="false">IF(I1343=0,"",INDEX(GL!$B:$B,I1343))</f>
        <v/>
      </c>
      <c r="K1343" s="5" t="str">
        <f aca="false">IF(I1343=0,"",IF(INDEX(GL!$C:$C,I1343)="","",INDEX(GL!$C:$C,I1343)))</f>
        <v/>
      </c>
      <c r="L1343" s="19" t="str">
        <f aca="false">IF(I1343=0,"",INDEX(GL!$E:$E,I1343))</f>
        <v/>
      </c>
      <c r="M1343" s="19" t="str">
        <f aca="false">IF(OR(B1343=0,I1343=0),"",ROUND(G1343-L1343,2))</f>
        <v/>
      </c>
      <c r="N1343" s="5" t="str">
        <f aca="false">IF(A1343="","",IF(B1343=0,"NOT FOUND: bank ID",IF(I1343=0,"NOT FOUND: GL ID",IF(INDEX(GL!$H:$H,I1343)&lt;&gt;A1343,"BROKEN: GL points elsewhere",IF(OR(INDEX(Bank!$F:$F,B1343)&lt;&gt;"Y",INDEX(GL!$F:$F,I1343)&lt;&gt;"Y"),"BROKEN: Status not Y","OK")))))</f>
        <v/>
      </c>
    </row>
    <row r="1344" customFormat="false" ht="15" hidden="false" customHeight="false" outlineLevel="0" collapsed="false">
      <c r="A1344" s="41"/>
      <c r="B1344" s="5" t="n">
        <f aca="false">IF(A1344="",0,IFERROR(MATCH(A1344,Bank!$A:$A,0),0))</f>
        <v>0</v>
      </c>
      <c r="C1344" s="5" t="str">
        <f aca="false">IF(B1344=0,"",IF(INDEX(Bank!$G:$G,B1344)="","",INDEX(Bank!$G:$G,B1344)))</f>
        <v/>
      </c>
      <c r="D1344" s="5" t="str">
        <f aca="false">IF(B1344=0,"",IF(INDEX(Bank!$J:$J,B1344)="","",INDEX(Bank!$J:$J,B1344)))</f>
        <v/>
      </c>
      <c r="E1344" s="32" t="str">
        <f aca="false">IF(B1344=0,"",INDEX(Bank!$B:$B,B1344))</f>
        <v/>
      </c>
      <c r="F1344" s="5" t="str">
        <f aca="false">IF(B1344=0,"",IF(INDEX(Bank!$C:$C,B1344)="","",INDEX(Bank!$C:$C,B1344)))</f>
        <v/>
      </c>
      <c r="G1344" s="19" t="str">
        <f aca="false">IF(B1344=0,"",INDEX(Bank!$E:$E,B1344))</f>
        <v/>
      </c>
      <c r="H1344" s="5" t="str">
        <f aca="false">IF(B1344=0,"",IF(INDEX(Bank!$H:$H,B1344)="","",INDEX(Bank!$H:$H,B1344)))</f>
        <v/>
      </c>
      <c r="I1344" s="5" t="n">
        <f aca="false">IF(H1344="",0,IFERROR(MATCH(H1344,GL!$A:$A,0),0))</f>
        <v>0</v>
      </c>
      <c r="J1344" s="32" t="str">
        <f aca="false">IF(I1344=0,"",INDEX(GL!$B:$B,I1344))</f>
        <v/>
      </c>
      <c r="K1344" s="5" t="str">
        <f aca="false">IF(I1344=0,"",IF(INDEX(GL!$C:$C,I1344)="","",INDEX(GL!$C:$C,I1344)))</f>
        <v/>
      </c>
      <c r="L1344" s="19" t="str">
        <f aca="false">IF(I1344=0,"",INDEX(GL!$E:$E,I1344))</f>
        <v/>
      </c>
      <c r="M1344" s="19" t="str">
        <f aca="false">IF(OR(B1344=0,I1344=0),"",ROUND(G1344-L1344,2))</f>
        <v/>
      </c>
      <c r="N1344" s="5" t="str">
        <f aca="false">IF(A1344="","",IF(B1344=0,"NOT FOUND: bank ID",IF(I1344=0,"NOT FOUND: GL ID",IF(INDEX(GL!$H:$H,I1344)&lt;&gt;A1344,"BROKEN: GL points elsewhere",IF(OR(INDEX(Bank!$F:$F,B1344)&lt;&gt;"Y",INDEX(GL!$F:$F,I1344)&lt;&gt;"Y"),"BROKEN: Status not Y","OK")))))</f>
        <v/>
      </c>
    </row>
    <row r="1345" customFormat="false" ht="15" hidden="false" customHeight="false" outlineLevel="0" collapsed="false">
      <c r="A1345" s="41"/>
      <c r="B1345" s="5" t="n">
        <f aca="false">IF(A1345="",0,IFERROR(MATCH(A1345,Bank!$A:$A,0),0))</f>
        <v>0</v>
      </c>
      <c r="C1345" s="5" t="str">
        <f aca="false">IF(B1345=0,"",IF(INDEX(Bank!$G:$G,B1345)="","",INDEX(Bank!$G:$G,B1345)))</f>
        <v/>
      </c>
      <c r="D1345" s="5" t="str">
        <f aca="false">IF(B1345=0,"",IF(INDEX(Bank!$J:$J,B1345)="","",INDEX(Bank!$J:$J,B1345)))</f>
        <v/>
      </c>
      <c r="E1345" s="32" t="str">
        <f aca="false">IF(B1345=0,"",INDEX(Bank!$B:$B,B1345))</f>
        <v/>
      </c>
      <c r="F1345" s="5" t="str">
        <f aca="false">IF(B1345=0,"",IF(INDEX(Bank!$C:$C,B1345)="","",INDEX(Bank!$C:$C,B1345)))</f>
        <v/>
      </c>
      <c r="G1345" s="19" t="str">
        <f aca="false">IF(B1345=0,"",INDEX(Bank!$E:$E,B1345))</f>
        <v/>
      </c>
      <c r="H1345" s="5" t="str">
        <f aca="false">IF(B1345=0,"",IF(INDEX(Bank!$H:$H,B1345)="","",INDEX(Bank!$H:$H,B1345)))</f>
        <v/>
      </c>
      <c r="I1345" s="5" t="n">
        <f aca="false">IF(H1345="",0,IFERROR(MATCH(H1345,GL!$A:$A,0),0))</f>
        <v>0</v>
      </c>
      <c r="J1345" s="32" t="str">
        <f aca="false">IF(I1345=0,"",INDEX(GL!$B:$B,I1345))</f>
        <v/>
      </c>
      <c r="K1345" s="5" t="str">
        <f aca="false">IF(I1345=0,"",IF(INDEX(GL!$C:$C,I1345)="","",INDEX(GL!$C:$C,I1345)))</f>
        <v/>
      </c>
      <c r="L1345" s="19" t="str">
        <f aca="false">IF(I1345=0,"",INDEX(GL!$E:$E,I1345))</f>
        <v/>
      </c>
      <c r="M1345" s="19" t="str">
        <f aca="false">IF(OR(B1345=0,I1345=0),"",ROUND(G1345-L1345,2))</f>
        <v/>
      </c>
      <c r="N1345" s="5" t="str">
        <f aca="false">IF(A1345="","",IF(B1345=0,"NOT FOUND: bank ID",IF(I1345=0,"NOT FOUND: GL ID",IF(INDEX(GL!$H:$H,I1345)&lt;&gt;A1345,"BROKEN: GL points elsewhere",IF(OR(INDEX(Bank!$F:$F,B1345)&lt;&gt;"Y",INDEX(GL!$F:$F,I1345)&lt;&gt;"Y"),"BROKEN: Status not Y","OK")))))</f>
        <v/>
      </c>
    </row>
    <row r="1346" customFormat="false" ht="15" hidden="false" customHeight="false" outlineLevel="0" collapsed="false">
      <c r="A1346" s="41"/>
      <c r="B1346" s="5" t="n">
        <f aca="false">IF(A1346="",0,IFERROR(MATCH(A1346,Bank!$A:$A,0),0))</f>
        <v>0</v>
      </c>
      <c r="C1346" s="5" t="str">
        <f aca="false">IF(B1346=0,"",IF(INDEX(Bank!$G:$G,B1346)="","",INDEX(Bank!$G:$G,B1346)))</f>
        <v/>
      </c>
      <c r="D1346" s="5" t="str">
        <f aca="false">IF(B1346=0,"",IF(INDEX(Bank!$J:$J,B1346)="","",INDEX(Bank!$J:$J,B1346)))</f>
        <v/>
      </c>
      <c r="E1346" s="32" t="str">
        <f aca="false">IF(B1346=0,"",INDEX(Bank!$B:$B,B1346))</f>
        <v/>
      </c>
      <c r="F1346" s="5" t="str">
        <f aca="false">IF(B1346=0,"",IF(INDEX(Bank!$C:$C,B1346)="","",INDEX(Bank!$C:$C,B1346)))</f>
        <v/>
      </c>
      <c r="G1346" s="19" t="str">
        <f aca="false">IF(B1346=0,"",INDEX(Bank!$E:$E,B1346))</f>
        <v/>
      </c>
      <c r="H1346" s="5" t="str">
        <f aca="false">IF(B1346=0,"",IF(INDEX(Bank!$H:$H,B1346)="","",INDEX(Bank!$H:$H,B1346)))</f>
        <v/>
      </c>
      <c r="I1346" s="5" t="n">
        <f aca="false">IF(H1346="",0,IFERROR(MATCH(H1346,GL!$A:$A,0),0))</f>
        <v>0</v>
      </c>
      <c r="J1346" s="32" t="str">
        <f aca="false">IF(I1346=0,"",INDEX(GL!$B:$B,I1346))</f>
        <v/>
      </c>
      <c r="K1346" s="5" t="str">
        <f aca="false">IF(I1346=0,"",IF(INDEX(GL!$C:$C,I1346)="","",INDEX(GL!$C:$C,I1346)))</f>
        <v/>
      </c>
      <c r="L1346" s="19" t="str">
        <f aca="false">IF(I1346=0,"",INDEX(GL!$E:$E,I1346))</f>
        <v/>
      </c>
      <c r="M1346" s="19" t="str">
        <f aca="false">IF(OR(B1346=0,I1346=0),"",ROUND(G1346-L1346,2))</f>
        <v/>
      </c>
      <c r="N1346" s="5" t="str">
        <f aca="false">IF(A1346="","",IF(B1346=0,"NOT FOUND: bank ID",IF(I1346=0,"NOT FOUND: GL ID",IF(INDEX(GL!$H:$H,I1346)&lt;&gt;A1346,"BROKEN: GL points elsewhere",IF(OR(INDEX(Bank!$F:$F,B1346)&lt;&gt;"Y",INDEX(GL!$F:$F,I1346)&lt;&gt;"Y"),"BROKEN: Status not Y","OK")))))</f>
        <v/>
      </c>
    </row>
    <row r="1347" customFormat="false" ht="15" hidden="false" customHeight="false" outlineLevel="0" collapsed="false">
      <c r="A1347" s="41"/>
      <c r="B1347" s="5" t="n">
        <f aca="false">IF(A1347="",0,IFERROR(MATCH(A1347,Bank!$A:$A,0),0))</f>
        <v>0</v>
      </c>
      <c r="C1347" s="5" t="str">
        <f aca="false">IF(B1347=0,"",IF(INDEX(Bank!$G:$G,B1347)="","",INDEX(Bank!$G:$G,B1347)))</f>
        <v/>
      </c>
      <c r="D1347" s="5" t="str">
        <f aca="false">IF(B1347=0,"",IF(INDEX(Bank!$J:$J,B1347)="","",INDEX(Bank!$J:$J,B1347)))</f>
        <v/>
      </c>
      <c r="E1347" s="32" t="str">
        <f aca="false">IF(B1347=0,"",INDEX(Bank!$B:$B,B1347))</f>
        <v/>
      </c>
      <c r="F1347" s="5" t="str">
        <f aca="false">IF(B1347=0,"",IF(INDEX(Bank!$C:$C,B1347)="","",INDEX(Bank!$C:$C,B1347)))</f>
        <v/>
      </c>
      <c r="G1347" s="19" t="str">
        <f aca="false">IF(B1347=0,"",INDEX(Bank!$E:$E,B1347))</f>
        <v/>
      </c>
      <c r="H1347" s="5" t="str">
        <f aca="false">IF(B1347=0,"",IF(INDEX(Bank!$H:$H,B1347)="","",INDEX(Bank!$H:$H,B1347)))</f>
        <v/>
      </c>
      <c r="I1347" s="5" t="n">
        <f aca="false">IF(H1347="",0,IFERROR(MATCH(H1347,GL!$A:$A,0),0))</f>
        <v>0</v>
      </c>
      <c r="J1347" s="32" t="str">
        <f aca="false">IF(I1347=0,"",INDEX(GL!$B:$B,I1347))</f>
        <v/>
      </c>
      <c r="K1347" s="5" t="str">
        <f aca="false">IF(I1347=0,"",IF(INDEX(GL!$C:$C,I1347)="","",INDEX(GL!$C:$C,I1347)))</f>
        <v/>
      </c>
      <c r="L1347" s="19" t="str">
        <f aca="false">IF(I1347=0,"",INDEX(GL!$E:$E,I1347))</f>
        <v/>
      </c>
      <c r="M1347" s="19" t="str">
        <f aca="false">IF(OR(B1347=0,I1347=0),"",ROUND(G1347-L1347,2))</f>
        <v/>
      </c>
      <c r="N1347" s="5" t="str">
        <f aca="false">IF(A1347="","",IF(B1347=0,"NOT FOUND: bank ID",IF(I1347=0,"NOT FOUND: GL ID",IF(INDEX(GL!$H:$H,I1347)&lt;&gt;A1347,"BROKEN: GL points elsewhere",IF(OR(INDEX(Bank!$F:$F,B1347)&lt;&gt;"Y",INDEX(GL!$F:$F,I1347)&lt;&gt;"Y"),"BROKEN: Status not Y","OK")))))</f>
        <v/>
      </c>
    </row>
    <row r="1348" customFormat="false" ht="15" hidden="false" customHeight="false" outlineLevel="0" collapsed="false">
      <c r="A1348" s="41"/>
      <c r="B1348" s="5" t="n">
        <f aca="false">IF(A1348="",0,IFERROR(MATCH(A1348,Bank!$A:$A,0),0))</f>
        <v>0</v>
      </c>
      <c r="C1348" s="5" t="str">
        <f aca="false">IF(B1348=0,"",IF(INDEX(Bank!$G:$G,B1348)="","",INDEX(Bank!$G:$G,B1348)))</f>
        <v/>
      </c>
      <c r="D1348" s="5" t="str">
        <f aca="false">IF(B1348=0,"",IF(INDEX(Bank!$J:$J,B1348)="","",INDEX(Bank!$J:$J,B1348)))</f>
        <v/>
      </c>
      <c r="E1348" s="32" t="str">
        <f aca="false">IF(B1348=0,"",INDEX(Bank!$B:$B,B1348))</f>
        <v/>
      </c>
      <c r="F1348" s="5" t="str">
        <f aca="false">IF(B1348=0,"",IF(INDEX(Bank!$C:$C,B1348)="","",INDEX(Bank!$C:$C,B1348)))</f>
        <v/>
      </c>
      <c r="G1348" s="19" t="str">
        <f aca="false">IF(B1348=0,"",INDEX(Bank!$E:$E,B1348))</f>
        <v/>
      </c>
      <c r="H1348" s="5" t="str">
        <f aca="false">IF(B1348=0,"",IF(INDEX(Bank!$H:$H,B1348)="","",INDEX(Bank!$H:$H,B1348)))</f>
        <v/>
      </c>
      <c r="I1348" s="5" t="n">
        <f aca="false">IF(H1348="",0,IFERROR(MATCH(H1348,GL!$A:$A,0),0))</f>
        <v>0</v>
      </c>
      <c r="J1348" s="32" t="str">
        <f aca="false">IF(I1348=0,"",INDEX(GL!$B:$B,I1348))</f>
        <v/>
      </c>
      <c r="K1348" s="5" t="str">
        <f aca="false">IF(I1348=0,"",IF(INDEX(GL!$C:$C,I1348)="","",INDEX(GL!$C:$C,I1348)))</f>
        <v/>
      </c>
      <c r="L1348" s="19" t="str">
        <f aca="false">IF(I1348=0,"",INDEX(GL!$E:$E,I1348))</f>
        <v/>
      </c>
      <c r="M1348" s="19" t="str">
        <f aca="false">IF(OR(B1348=0,I1348=0),"",ROUND(G1348-L1348,2))</f>
        <v/>
      </c>
      <c r="N1348" s="5" t="str">
        <f aca="false">IF(A1348="","",IF(B1348=0,"NOT FOUND: bank ID",IF(I1348=0,"NOT FOUND: GL ID",IF(INDEX(GL!$H:$H,I1348)&lt;&gt;A1348,"BROKEN: GL points elsewhere",IF(OR(INDEX(Bank!$F:$F,B1348)&lt;&gt;"Y",INDEX(GL!$F:$F,I1348)&lt;&gt;"Y"),"BROKEN: Status not Y","OK")))))</f>
        <v/>
      </c>
    </row>
    <row r="1349" customFormat="false" ht="15" hidden="false" customHeight="false" outlineLevel="0" collapsed="false">
      <c r="A1349" s="41"/>
      <c r="B1349" s="5" t="n">
        <f aca="false">IF(A1349="",0,IFERROR(MATCH(A1349,Bank!$A:$A,0),0))</f>
        <v>0</v>
      </c>
      <c r="C1349" s="5" t="str">
        <f aca="false">IF(B1349=0,"",IF(INDEX(Bank!$G:$G,B1349)="","",INDEX(Bank!$G:$G,B1349)))</f>
        <v/>
      </c>
      <c r="D1349" s="5" t="str">
        <f aca="false">IF(B1349=0,"",IF(INDEX(Bank!$J:$J,B1349)="","",INDEX(Bank!$J:$J,B1349)))</f>
        <v/>
      </c>
      <c r="E1349" s="32" t="str">
        <f aca="false">IF(B1349=0,"",INDEX(Bank!$B:$B,B1349))</f>
        <v/>
      </c>
      <c r="F1349" s="5" t="str">
        <f aca="false">IF(B1349=0,"",IF(INDEX(Bank!$C:$C,B1349)="","",INDEX(Bank!$C:$C,B1349)))</f>
        <v/>
      </c>
      <c r="G1349" s="19" t="str">
        <f aca="false">IF(B1349=0,"",INDEX(Bank!$E:$E,B1349))</f>
        <v/>
      </c>
      <c r="H1349" s="5" t="str">
        <f aca="false">IF(B1349=0,"",IF(INDEX(Bank!$H:$H,B1349)="","",INDEX(Bank!$H:$H,B1349)))</f>
        <v/>
      </c>
      <c r="I1349" s="5" t="n">
        <f aca="false">IF(H1349="",0,IFERROR(MATCH(H1349,GL!$A:$A,0),0))</f>
        <v>0</v>
      </c>
      <c r="J1349" s="32" t="str">
        <f aca="false">IF(I1349=0,"",INDEX(GL!$B:$B,I1349))</f>
        <v/>
      </c>
      <c r="K1349" s="5" t="str">
        <f aca="false">IF(I1349=0,"",IF(INDEX(GL!$C:$C,I1349)="","",INDEX(GL!$C:$C,I1349)))</f>
        <v/>
      </c>
      <c r="L1349" s="19" t="str">
        <f aca="false">IF(I1349=0,"",INDEX(GL!$E:$E,I1349))</f>
        <v/>
      </c>
      <c r="M1349" s="19" t="str">
        <f aca="false">IF(OR(B1349=0,I1349=0),"",ROUND(G1349-L1349,2))</f>
        <v/>
      </c>
      <c r="N1349" s="5" t="str">
        <f aca="false">IF(A1349="","",IF(B1349=0,"NOT FOUND: bank ID",IF(I1349=0,"NOT FOUND: GL ID",IF(INDEX(GL!$H:$H,I1349)&lt;&gt;A1349,"BROKEN: GL points elsewhere",IF(OR(INDEX(Bank!$F:$F,B1349)&lt;&gt;"Y",INDEX(GL!$F:$F,I1349)&lt;&gt;"Y"),"BROKEN: Status not Y","OK")))))</f>
        <v/>
      </c>
    </row>
    <row r="1350" customFormat="false" ht="15" hidden="false" customHeight="false" outlineLevel="0" collapsed="false">
      <c r="A1350" s="41"/>
      <c r="B1350" s="5" t="n">
        <f aca="false">IF(A1350="",0,IFERROR(MATCH(A1350,Bank!$A:$A,0),0))</f>
        <v>0</v>
      </c>
      <c r="C1350" s="5" t="str">
        <f aca="false">IF(B1350=0,"",IF(INDEX(Bank!$G:$G,B1350)="","",INDEX(Bank!$G:$G,B1350)))</f>
        <v/>
      </c>
      <c r="D1350" s="5" t="str">
        <f aca="false">IF(B1350=0,"",IF(INDEX(Bank!$J:$J,B1350)="","",INDEX(Bank!$J:$J,B1350)))</f>
        <v/>
      </c>
      <c r="E1350" s="32" t="str">
        <f aca="false">IF(B1350=0,"",INDEX(Bank!$B:$B,B1350))</f>
        <v/>
      </c>
      <c r="F1350" s="5" t="str">
        <f aca="false">IF(B1350=0,"",IF(INDEX(Bank!$C:$C,B1350)="","",INDEX(Bank!$C:$C,B1350)))</f>
        <v/>
      </c>
      <c r="G1350" s="19" t="str">
        <f aca="false">IF(B1350=0,"",INDEX(Bank!$E:$E,B1350))</f>
        <v/>
      </c>
      <c r="H1350" s="5" t="str">
        <f aca="false">IF(B1350=0,"",IF(INDEX(Bank!$H:$H,B1350)="","",INDEX(Bank!$H:$H,B1350)))</f>
        <v/>
      </c>
      <c r="I1350" s="5" t="n">
        <f aca="false">IF(H1350="",0,IFERROR(MATCH(H1350,GL!$A:$A,0),0))</f>
        <v>0</v>
      </c>
      <c r="J1350" s="32" t="str">
        <f aca="false">IF(I1350=0,"",INDEX(GL!$B:$B,I1350))</f>
        <v/>
      </c>
      <c r="K1350" s="5" t="str">
        <f aca="false">IF(I1350=0,"",IF(INDEX(GL!$C:$C,I1350)="","",INDEX(GL!$C:$C,I1350)))</f>
        <v/>
      </c>
      <c r="L1350" s="19" t="str">
        <f aca="false">IF(I1350=0,"",INDEX(GL!$E:$E,I1350))</f>
        <v/>
      </c>
      <c r="M1350" s="19" t="str">
        <f aca="false">IF(OR(B1350=0,I1350=0),"",ROUND(G1350-L1350,2))</f>
        <v/>
      </c>
      <c r="N1350" s="5" t="str">
        <f aca="false">IF(A1350="","",IF(B1350=0,"NOT FOUND: bank ID",IF(I1350=0,"NOT FOUND: GL ID",IF(INDEX(GL!$H:$H,I1350)&lt;&gt;A1350,"BROKEN: GL points elsewhere",IF(OR(INDEX(Bank!$F:$F,B1350)&lt;&gt;"Y",INDEX(GL!$F:$F,I1350)&lt;&gt;"Y"),"BROKEN: Status not Y","OK")))))</f>
        <v/>
      </c>
    </row>
    <row r="1351" customFormat="false" ht="15" hidden="false" customHeight="false" outlineLevel="0" collapsed="false">
      <c r="A1351" s="41"/>
      <c r="B1351" s="5" t="n">
        <f aca="false">IF(A1351="",0,IFERROR(MATCH(A1351,Bank!$A:$A,0),0))</f>
        <v>0</v>
      </c>
      <c r="C1351" s="5" t="str">
        <f aca="false">IF(B1351=0,"",IF(INDEX(Bank!$G:$G,B1351)="","",INDEX(Bank!$G:$G,B1351)))</f>
        <v/>
      </c>
      <c r="D1351" s="5" t="str">
        <f aca="false">IF(B1351=0,"",IF(INDEX(Bank!$J:$J,B1351)="","",INDEX(Bank!$J:$J,B1351)))</f>
        <v/>
      </c>
      <c r="E1351" s="32" t="str">
        <f aca="false">IF(B1351=0,"",INDEX(Bank!$B:$B,B1351))</f>
        <v/>
      </c>
      <c r="F1351" s="5" t="str">
        <f aca="false">IF(B1351=0,"",IF(INDEX(Bank!$C:$C,B1351)="","",INDEX(Bank!$C:$C,B1351)))</f>
        <v/>
      </c>
      <c r="G1351" s="19" t="str">
        <f aca="false">IF(B1351=0,"",INDEX(Bank!$E:$E,B1351))</f>
        <v/>
      </c>
      <c r="H1351" s="5" t="str">
        <f aca="false">IF(B1351=0,"",IF(INDEX(Bank!$H:$H,B1351)="","",INDEX(Bank!$H:$H,B1351)))</f>
        <v/>
      </c>
      <c r="I1351" s="5" t="n">
        <f aca="false">IF(H1351="",0,IFERROR(MATCH(H1351,GL!$A:$A,0),0))</f>
        <v>0</v>
      </c>
      <c r="J1351" s="32" t="str">
        <f aca="false">IF(I1351=0,"",INDEX(GL!$B:$B,I1351))</f>
        <v/>
      </c>
      <c r="K1351" s="5" t="str">
        <f aca="false">IF(I1351=0,"",IF(INDEX(GL!$C:$C,I1351)="","",INDEX(GL!$C:$C,I1351)))</f>
        <v/>
      </c>
      <c r="L1351" s="19" t="str">
        <f aca="false">IF(I1351=0,"",INDEX(GL!$E:$E,I1351))</f>
        <v/>
      </c>
      <c r="M1351" s="19" t="str">
        <f aca="false">IF(OR(B1351=0,I1351=0),"",ROUND(G1351-L1351,2))</f>
        <v/>
      </c>
      <c r="N1351" s="5" t="str">
        <f aca="false">IF(A1351="","",IF(B1351=0,"NOT FOUND: bank ID",IF(I1351=0,"NOT FOUND: GL ID",IF(INDEX(GL!$H:$H,I1351)&lt;&gt;A1351,"BROKEN: GL points elsewhere",IF(OR(INDEX(Bank!$F:$F,B1351)&lt;&gt;"Y",INDEX(GL!$F:$F,I1351)&lt;&gt;"Y"),"BROKEN: Status not Y","OK")))))</f>
        <v/>
      </c>
    </row>
    <row r="1352" customFormat="false" ht="15" hidden="false" customHeight="false" outlineLevel="0" collapsed="false">
      <c r="A1352" s="41"/>
      <c r="B1352" s="5" t="n">
        <f aca="false">IF(A1352="",0,IFERROR(MATCH(A1352,Bank!$A:$A,0),0))</f>
        <v>0</v>
      </c>
      <c r="C1352" s="5" t="str">
        <f aca="false">IF(B1352=0,"",IF(INDEX(Bank!$G:$G,B1352)="","",INDEX(Bank!$G:$G,B1352)))</f>
        <v/>
      </c>
      <c r="D1352" s="5" t="str">
        <f aca="false">IF(B1352=0,"",IF(INDEX(Bank!$J:$J,B1352)="","",INDEX(Bank!$J:$J,B1352)))</f>
        <v/>
      </c>
      <c r="E1352" s="32" t="str">
        <f aca="false">IF(B1352=0,"",INDEX(Bank!$B:$B,B1352))</f>
        <v/>
      </c>
      <c r="F1352" s="5" t="str">
        <f aca="false">IF(B1352=0,"",IF(INDEX(Bank!$C:$C,B1352)="","",INDEX(Bank!$C:$C,B1352)))</f>
        <v/>
      </c>
      <c r="G1352" s="19" t="str">
        <f aca="false">IF(B1352=0,"",INDEX(Bank!$E:$E,B1352))</f>
        <v/>
      </c>
      <c r="H1352" s="5" t="str">
        <f aca="false">IF(B1352=0,"",IF(INDEX(Bank!$H:$H,B1352)="","",INDEX(Bank!$H:$H,B1352)))</f>
        <v/>
      </c>
      <c r="I1352" s="5" t="n">
        <f aca="false">IF(H1352="",0,IFERROR(MATCH(H1352,GL!$A:$A,0),0))</f>
        <v>0</v>
      </c>
      <c r="J1352" s="32" t="str">
        <f aca="false">IF(I1352=0,"",INDEX(GL!$B:$B,I1352))</f>
        <v/>
      </c>
      <c r="K1352" s="5" t="str">
        <f aca="false">IF(I1352=0,"",IF(INDEX(GL!$C:$C,I1352)="","",INDEX(GL!$C:$C,I1352)))</f>
        <v/>
      </c>
      <c r="L1352" s="19" t="str">
        <f aca="false">IF(I1352=0,"",INDEX(GL!$E:$E,I1352))</f>
        <v/>
      </c>
      <c r="M1352" s="19" t="str">
        <f aca="false">IF(OR(B1352=0,I1352=0),"",ROUND(G1352-L1352,2))</f>
        <v/>
      </c>
      <c r="N1352" s="5" t="str">
        <f aca="false">IF(A1352="","",IF(B1352=0,"NOT FOUND: bank ID",IF(I1352=0,"NOT FOUND: GL ID",IF(INDEX(GL!$H:$H,I1352)&lt;&gt;A1352,"BROKEN: GL points elsewhere",IF(OR(INDEX(Bank!$F:$F,B1352)&lt;&gt;"Y",INDEX(GL!$F:$F,I1352)&lt;&gt;"Y"),"BROKEN: Status not Y","OK")))))</f>
        <v/>
      </c>
    </row>
    <row r="1353" customFormat="false" ht="15" hidden="false" customHeight="false" outlineLevel="0" collapsed="false">
      <c r="A1353" s="41"/>
      <c r="B1353" s="5" t="n">
        <f aca="false">IF(A1353="",0,IFERROR(MATCH(A1353,Bank!$A:$A,0),0))</f>
        <v>0</v>
      </c>
      <c r="C1353" s="5" t="str">
        <f aca="false">IF(B1353=0,"",IF(INDEX(Bank!$G:$G,B1353)="","",INDEX(Bank!$G:$G,B1353)))</f>
        <v/>
      </c>
      <c r="D1353" s="5" t="str">
        <f aca="false">IF(B1353=0,"",IF(INDEX(Bank!$J:$J,B1353)="","",INDEX(Bank!$J:$J,B1353)))</f>
        <v/>
      </c>
      <c r="E1353" s="32" t="str">
        <f aca="false">IF(B1353=0,"",INDEX(Bank!$B:$B,B1353))</f>
        <v/>
      </c>
      <c r="F1353" s="5" t="str">
        <f aca="false">IF(B1353=0,"",IF(INDEX(Bank!$C:$C,B1353)="","",INDEX(Bank!$C:$C,B1353)))</f>
        <v/>
      </c>
      <c r="G1353" s="19" t="str">
        <f aca="false">IF(B1353=0,"",INDEX(Bank!$E:$E,B1353))</f>
        <v/>
      </c>
      <c r="H1353" s="5" t="str">
        <f aca="false">IF(B1353=0,"",IF(INDEX(Bank!$H:$H,B1353)="","",INDEX(Bank!$H:$H,B1353)))</f>
        <v/>
      </c>
      <c r="I1353" s="5" t="n">
        <f aca="false">IF(H1353="",0,IFERROR(MATCH(H1353,GL!$A:$A,0),0))</f>
        <v>0</v>
      </c>
      <c r="J1353" s="32" t="str">
        <f aca="false">IF(I1353=0,"",INDEX(GL!$B:$B,I1353))</f>
        <v/>
      </c>
      <c r="K1353" s="5" t="str">
        <f aca="false">IF(I1353=0,"",IF(INDEX(GL!$C:$C,I1353)="","",INDEX(GL!$C:$C,I1353)))</f>
        <v/>
      </c>
      <c r="L1353" s="19" t="str">
        <f aca="false">IF(I1353=0,"",INDEX(GL!$E:$E,I1353))</f>
        <v/>
      </c>
      <c r="M1353" s="19" t="str">
        <f aca="false">IF(OR(B1353=0,I1353=0),"",ROUND(G1353-L1353,2))</f>
        <v/>
      </c>
      <c r="N1353" s="5" t="str">
        <f aca="false">IF(A1353="","",IF(B1353=0,"NOT FOUND: bank ID",IF(I1353=0,"NOT FOUND: GL ID",IF(INDEX(GL!$H:$H,I1353)&lt;&gt;A1353,"BROKEN: GL points elsewhere",IF(OR(INDEX(Bank!$F:$F,B1353)&lt;&gt;"Y",INDEX(GL!$F:$F,I1353)&lt;&gt;"Y"),"BROKEN: Status not Y","OK")))))</f>
        <v/>
      </c>
    </row>
    <row r="1354" customFormat="false" ht="15" hidden="false" customHeight="false" outlineLevel="0" collapsed="false">
      <c r="A1354" s="41"/>
      <c r="B1354" s="5" t="n">
        <f aca="false">IF(A1354="",0,IFERROR(MATCH(A1354,Bank!$A:$A,0),0))</f>
        <v>0</v>
      </c>
      <c r="C1354" s="5" t="str">
        <f aca="false">IF(B1354=0,"",IF(INDEX(Bank!$G:$G,B1354)="","",INDEX(Bank!$G:$G,B1354)))</f>
        <v/>
      </c>
      <c r="D1354" s="5" t="str">
        <f aca="false">IF(B1354=0,"",IF(INDEX(Bank!$J:$J,B1354)="","",INDEX(Bank!$J:$J,B1354)))</f>
        <v/>
      </c>
      <c r="E1354" s="32" t="str">
        <f aca="false">IF(B1354=0,"",INDEX(Bank!$B:$B,B1354))</f>
        <v/>
      </c>
      <c r="F1354" s="5" t="str">
        <f aca="false">IF(B1354=0,"",IF(INDEX(Bank!$C:$C,B1354)="","",INDEX(Bank!$C:$C,B1354)))</f>
        <v/>
      </c>
      <c r="G1354" s="19" t="str">
        <f aca="false">IF(B1354=0,"",INDEX(Bank!$E:$E,B1354))</f>
        <v/>
      </c>
      <c r="H1354" s="5" t="str">
        <f aca="false">IF(B1354=0,"",IF(INDEX(Bank!$H:$H,B1354)="","",INDEX(Bank!$H:$H,B1354)))</f>
        <v/>
      </c>
      <c r="I1354" s="5" t="n">
        <f aca="false">IF(H1354="",0,IFERROR(MATCH(H1354,GL!$A:$A,0),0))</f>
        <v>0</v>
      </c>
      <c r="J1354" s="32" t="str">
        <f aca="false">IF(I1354=0,"",INDEX(GL!$B:$B,I1354))</f>
        <v/>
      </c>
      <c r="K1354" s="5" t="str">
        <f aca="false">IF(I1354=0,"",IF(INDEX(GL!$C:$C,I1354)="","",INDEX(GL!$C:$C,I1354)))</f>
        <v/>
      </c>
      <c r="L1354" s="19" t="str">
        <f aca="false">IF(I1354=0,"",INDEX(GL!$E:$E,I1354))</f>
        <v/>
      </c>
      <c r="M1354" s="19" t="str">
        <f aca="false">IF(OR(B1354=0,I1354=0),"",ROUND(G1354-L1354,2))</f>
        <v/>
      </c>
      <c r="N1354" s="5" t="str">
        <f aca="false">IF(A1354="","",IF(B1354=0,"NOT FOUND: bank ID",IF(I1354=0,"NOT FOUND: GL ID",IF(INDEX(GL!$H:$H,I1354)&lt;&gt;A1354,"BROKEN: GL points elsewhere",IF(OR(INDEX(Bank!$F:$F,B1354)&lt;&gt;"Y",INDEX(GL!$F:$F,I1354)&lt;&gt;"Y"),"BROKEN: Status not Y","OK")))))</f>
        <v/>
      </c>
    </row>
    <row r="1355" customFormat="false" ht="15" hidden="false" customHeight="false" outlineLevel="0" collapsed="false">
      <c r="A1355" s="41"/>
      <c r="B1355" s="5" t="n">
        <f aca="false">IF(A1355="",0,IFERROR(MATCH(A1355,Bank!$A:$A,0),0))</f>
        <v>0</v>
      </c>
      <c r="C1355" s="5" t="str">
        <f aca="false">IF(B1355=0,"",IF(INDEX(Bank!$G:$G,B1355)="","",INDEX(Bank!$G:$G,B1355)))</f>
        <v/>
      </c>
      <c r="D1355" s="5" t="str">
        <f aca="false">IF(B1355=0,"",IF(INDEX(Bank!$J:$J,B1355)="","",INDEX(Bank!$J:$J,B1355)))</f>
        <v/>
      </c>
      <c r="E1355" s="32" t="str">
        <f aca="false">IF(B1355=0,"",INDEX(Bank!$B:$B,B1355))</f>
        <v/>
      </c>
      <c r="F1355" s="5" t="str">
        <f aca="false">IF(B1355=0,"",IF(INDEX(Bank!$C:$C,B1355)="","",INDEX(Bank!$C:$C,B1355)))</f>
        <v/>
      </c>
      <c r="G1355" s="19" t="str">
        <f aca="false">IF(B1355=0,"",INDEX(Bank!$E:$E,B1355))</f>
        <v/>
      </c>
      <c r="H1355" s="5" t="str">
        <f aca="false">IF(B1355=0,"",IF(INDEX(Bank!$H:$H,B1355)="","",INDEX(Bank!$H:$H,B1355)))</f>
        <v/>
      </c>
      <c r="I1355" s="5" t="n">
        <f aca="false">IF(H1355="",0,IFERROR(MATCH(H1355,GL!$A:$A,0),0))</f>
        <v>0</v>
      </c>
      <c r="J1355" s="32" t="str">
        <f aca="false">IF(I1355=0,"",INDEX(GL!$B:$B,I1355))</f>
        <v/>
      </c>
      <c r="K1355" s="5" t="str">
        <f aca="false">IF(I1355=0,"",IF(INDEX(GL!$C:$C,I1355)="","",INDEX(GL!$C:$C,I1355)))</f>
        <v/>
      </c>
      <c r="L1355" s="19" t="str">
        <f aca="false">IF(I1355=0,"",INDEX(GL!$E:$E,I1355))</f>
        <v/>
      </c>
      <c r="M1355" s="19" t="str">
        <f aca="false">IF(OR(B1355=0,I1355=0),"",ROUND(G1355-L1355,2))</f>
        <v/>
      </c>
      <c r="N1355" s="5" t="str">
        <f aca="false">IF(A1355="","",IF(B1355=0,"NOT FOUND: bank ID",IF(I1355=0,"NOT FOUND: GL ID",IF(INDEX(GL!$H:$H,I1355)&lt;&gt;A1355,"BROKEN: GL points elsewhere",IF(OR(INDEX(Bank!$F:$F,B1355)&lt;&gt;"Y",INDEX(GL!$F:$F,I1355)&lt;&gt;"Y"),"BROKEN: Status not Y","OK")))))</f>
        <v/>
      </c>
    </row>
    <row r="1356" customFormat="false" ht="15" hidden="false" customHeight="false" outlineLevel="0" collapsed="false">
      <c r="A1356" s="41"/>
      <c r="B1356" s="5" t="n">
        <f aca="false">IF(A1356="",0,IFERROR(MATCH(A1356,Bank!$A:$A,0),0))</f>
        <v>0</v>
      </c>
      <c r="C1356" s="5" t="str">
        <f aca="false">IF(B1356=0,"",IF(INDEX(Bank!$G:$G,B1356)="","",INDEX(Bank!$G:$G,B1356)))</f>
        <v/>
      </c>
      <c r="D1356" s="5" t="str">
        <f aca="false">IF(B1356=0,"",IF(INDEX(Bank!$J:$J,B1356)="","",INDEX(Bank!$J:$J,B1356)))</f>
        <v/>
      </c>
      <c r="E1356" s="32" t="str">
        <f aca="false">IF(B1356=0,"",INDEX(Bank!$B:$B,B1356))</f>
        <v/>
      </c>
      <c r="F1356" s="5" t="str">
        <f aca="false">IF(B1356=0,"",IF(INDEX(Bank!$C:$C,B1356)="","",INDEX(Bank!$C:$C,B1356)))</f>
        <v/>
      </c>
      <c r="G1356" s="19" t="str">
        <f aca="false">IF(B1356=0,"",INDEX(Bank!$E:$E,B1356))</f>
        <v/>
      </c>
      <c r="H1356" s="5" t="str">
        <f aca="false">IF(B1356=0,"",IF(INDEX(Bank!$H:$H,B1356)="","",INDEX(Bank!$H:$H,B1356)))</f>
        <v/>
      </c>
      <c r="I1356" s="5" t="n">
        <f aca="false">IF(H1356="",0,IFERROR(MATCH(H1356,GL!$A:$A,0),0))</f>
        <v>0</v>
      </c>
      <c r="J1356" s="32" t="str">
        <f aca="false">IF(I1356=0,"",INDEX(GL!$B:$B,I1356))</f>
        <v/>
      </c>
      <c r="K1356" s="5" t="str">
        <f aca="false">IF(I1356=0,"",IF(INDEX(GL!$C:$C,I1356)="","",INDEX(GL!$C:$C,I1356)))</f>
        <v/>
      </c>
      <c r="L1356" s="19" t="str">
        <f aca="false">IF(I1356=0,"",INDEX(GL!$E:$E,I1356))</f>
        <v/>
      </c>
      <c r="M1356" s="19" t="str">
        <f aca="false">IF(OR(B1356=0,I1356=0),"",ROUND(G1356-L1356,2))</f>
        <v/>
      </c>
      <c r="N1356" s="5" t="str">
        <f aca="false">IF(A1356="","",IF(B1356=0,"NOT FOUND: bank ID",IF(I1356=0,"NOT FOUND: GL ID",IF(INDEX(GL!$H:$H,I1356)&lt;&gt;A1356,"BROKEN: GL points elsewhere",IF(OR(INDEX(Bank!$F:$F,B1356)&lt;&gt;"Y",INDEX(GL!$F:$F,I1356)&lt;&gt;"Y"),"BROKEN: Status not Y","OK")))))</f>
        <v/>
      </c>
    </row>
    <row r="1357" customFormat="false" ht="15" hidden="false" customHeight="false" outlineLevel="0" collapsed="false">
      <c r="A1357" s="41"/>
      <c r="B1357" s="5" t="n">
        <f aca="false">IF(A1357="",0,IFERROR(MATCH(A1357,Bank!$A:$A,0),0))</f>
        <v>0</v>
      </c>
      <c r="C1357" s="5" t="str">
        <f aca="false">IF(B1357=0,"",IF(INDEX(Bank!$G:$G,B1357)="","",INDEX(Bank!$G:$G,B1357)))</f>
        <v/>
      </c>
      <c r="D1357" s="5" t="str">
        <f aca="false">IF(B1357=0,"",IF(INDEX(Bank!$J:$J,B1357)="","",INDEX(Bank!$J:$J,B1357)))</f>
        <v/>
      </c>
      <c r="E1357" s="32" t="str">
        <f aca="false">IF(B1357=0,"",INDEX(Bank!$B:$B,B1357))</f>
        <v/>
      </c>
      <c r="F1357" s="5" t="str">
        <f aca="false">IF(B1357=0,"",IF(INDEX(Bank!$C:$C,B1357)="","",INDEX(Bank!$C:$C,B1357)))</f>
        <v/>
      </c>
      <c r="G1357" s="19" t="str">
        <f aca="false">IF(B1357=0,"",INDEX(Bank!$E:$E,B1357))</f>
        <v/>
      </c>
      <c r="H1357" s="5" t="str">
        <f aca="false">IF(B1357=0,"",IF(INDEX(Bank!$H:$H,B1357)="","",INDEX(Bank!$H:$H,B1357)))</f>
        <v/>
      </c>
      <c r="I1357" s="5" t="n">
        <f aca="false">IF(H1357="",0,IFERROR(MATCH(H1357,GL!$A:$A,0),0))</f>
        <v>0</v>
      </c>
      <c r="J1357" s="32" t="str">
        <f aca="false">IF(I1357=0,"",INDEX(GL!$B:$B,I1357))</f>
        <v/>
      </c>
      <c r="K1357" s="5" t="str">
        <f aca="false">IF(I1357=0,"",IF(INDEX(GL!$C:$C,I1357)="","",INDEX(GL!$C:$C,I1357)))</f>
        <v/>
      </c>
      <c r="L1357" s="19" t="str">
        <f aca="false">IF(I1357=0,"",INDEX(GL!$E:$E,I1357))</f>
        <v/>
      </c>
      <c r="M1357" s="19" t="str">
        <f aca="false">IF(OR(B1357=0,I1357=0),"",ROUND(G1357-L1357,2))</f>
        <v/>
      </c>
      <c r="N1357" s="5" t="str">
        <f aca="false">IF(A1357="","",IF(B1357=0,"NOT FOUND: bank ID",IF(I1357=0,"NOT FOUND: GL ID",IF(INDEX(GL!$H:$H,I1357)&lt;&gt;A1357,"BROKEN: GL points elsewhere",IF(OR(INDEX(Bank!$F:$F,B1357)&lt;&gt;"Y",INDEX(GL!$F:$F,I1357)&lt;&gt;"Y"),"BROKEN: Status not Y","OK")))))</f>
        <v/>
      </c>
    </row>
    <row r="1358" customFormat="false" ht="15" hidden="false" customHeight="false" outlineLevel="0" collapsed="false">
      <c r="A1358" s="41"/>
      <c r="B1358" s="5" t="n">
        <f aca="false">IF(A1358="",0,IFERROR(MATCH(A1358,Bank!$A:$A,0),0))</f>
        <v>0</v>
      </c>
      <c r="C1358" s="5" t="str">
        <f aca="false">IF(B1358=0,"",IF(INDEX(Bank!$G:$G,B1358)="","",INDEX(Bank!$G:$G,B1358)))</f>
        <v/>
      </c>
      <c r="D1358" s="5" t="str">
        <f aca="false">IF(B1358=0,"",IF(INDEX(Bank!$J:$J,B1358)="","",INDEX(Bank!$J:$J,B1358)))</f>
        <v/>
      </c>
      <c r="E1358" s="32" t="str">
        <f aca="false">IF(B1358=0,"",INDEX(Bank!$B:$B,B1358))</f>
        <v/>
      </c>
      <c r="F1358" s="5" t="str">
        <f aca="false">IF(B1358=0,"",IF(INDEX(Bank!$C:$C,B1358)="","",INDEX(Bank!$C:$C,B1358)))</f>
        <v/>
      </c>
      <c r="G1358" s="19" t="str">
        <f aca="false">IF(B1358=0,"",INDEX(Bank!$E:$E,B1358))</f>
        <v/>
      </c>
      <c r="H1358" s="5" t="str">
        <f aca="false">IF(B1358=0,"",IF(INDEX(Bank!$H:$H,B1358)="","",INDEX(Bank!$H:$H,B1358)))</f>
        <v/>
      </c>
      <c r="I1358" s="5" t="n">
        <f aca="false">IF(H1358="",0,IFERROR(MATCH(H1358,GL!$A:$A,0),0))</f>
        <v>0</v>
      </c>
      <c r="J1358" s="32" t="str">
        <f aca="false">IF(I1358=0,"",INDEX(GL!$B:$B,I1358))</f>
        <v/>
      </c>
      <c r="K1358" s="5" t="str">
        <f aca="false">IF(I1358=0,"",IF(INDEX(GL!$C:$C,I1358)="","",INDEX(GL!$C:$C,I1358)))</f>
        <v/>
      </c>
      <c r="L1358" s="19" t="str">
        <f aca="false">IF(I1358=0,"",INDEX(GL!$E:$E,I1358))</f>
        <v/>
      </c>
      <c r="M1358" s="19" t="str">
        <f aca="false">IF(OR(B1358=0,I1358=0),"",ROUND(G1358-L1358,2))</f>
        <v/>
      </c>
      <c r="N1358" s="5" t="str">
        <f aca="false">IF(A1358="","",IF(B1358=0,"NOT FOUND: bank ID",IF(I1358=0,"NOT FOUND: GL ID",IF(INDEX(GL!$H:$H,I1358)&lt;&gt;A1358,"BROKEN: GL points elsewhere",IF(OR(INDEX(Bank!$F:$F,B1358)&lt;&gt;"Y",INDEX(GL!$F:$F,I1358)&lt;&gt;"Y"),"BROKEN: Status not Y","OK")))))</f>
        <v/>
      </c>
    </row>
    <row r="1359" customFormat="false" ht="15" hidden="false" customHeight="false" outlineLevel="0" collapsed="false">
      <c r="A1359" s="41"/>
      <c r="B1359" s="5" t="n">
        <f aca="false">IF(A1359="",0,IFERROR(MATCH(A1359,Bank!$A:$A,0),0))</f>
        <v>0</v>
      </c>
      <c r="C1359" s="5" t="str">
        <f aca="false">IF(B1359=0,"",IF(INDEX(Bank!$G:$G,B1359)="","",INDEX(Bank!$G:$G,B1359)))</f>
        <v/>
      </c>
      <c r="D1359" s="5" t="str">
        <f aca="false">IF(B1359=0,"",IF(INDEX(Bank!$J:$J,B1359)="","",INDEX(Bank!$J:$J,B1359)))</f>
        <v/>
      </c>
      <c r="E1359" s="32" t="str">
        <f aca="false">IF(B1359=0,"",INDEX(Bank!$B:$B,B1359))</f>
        <v/>
      </c>
      <c r="F1359" s="5" t="str">
        <f aca="false">IF(B1359=0,"",IF(INDEX(Bank!$C:$C,B1359)="","",INDEX(Bank!$C:$C,B1359)))</f>
        <v/>
      </c>
      <c r="G1359" s="19" t="str">
        <f aca="false">IF(B1359=0,"",INDEX(Bank!$E:$E,B1359))</f>
        <v/>
      </c>
      <c r="H1359" s="5" t="str">
        <f aca="false">IF(B1359=0,"",IF(INDEX(Bank!$H:$H,B1359)="","",INDEX(Bank!$H:$H,B1359)))</f>
        <v/>
      </c>
      <c r="I1359" s="5" t="n">
        <f aca="false">IF(H1359="",0,IFERROR(MATCH(H1359,GL!$A:$A,0),0))</f>
        <v>0</v>
      </c>
      <c r="J1359" s="32" t="str">
        <f aca="false">IF(I1359=0,"",INDEX(GL!$B:$B,I1359))</f>
        <v/>
      </c>
      <c r="K1359" s="5" t="str">
        <f aca="false">IF(I1359=0,"",IF(INDEX(GL!$C:$C,I1359)="","",INDEX(GL!$C:$C,I1359)))</f>
        <v/>
      </c>
      <c r="L1359" s="19" t="str">
        <f aca="false">IF(I1359=0,"",INDEX(GL!$E:$E,I1359))</f>
        <v/>
      </c>
      <c r="M1359" s="19" t="str">
        <f aca="false">IF(OR(B1359=0,I1359=0),"",ROUND(G1359-L1359,2))</f>
        <v/>
      </c>
      <c r="N1359" s="5" t="str">
        <f aca="false">IF(A1359="","",IF(B1359=0,"NOT FOUND: bank ID",IF(I1359=0,"NOT FOUND: GL ID",IF(INDEX(GL!$H:$H,I1359)&lt;&gt;A1359,"BROKEN: GL points elsewhere",IF(OR(INDEX(Bank!$F:$F,B1359)&lt;&gt;"Y",INDEX(GL!$F:$F,I1359)&lt;&gt;"Y"),"BROKEN: Status not Y","OK")))))</f>
        <v/>
      </c>
    </row>
    <row r="1360" customFormat="false" ht="15" hidden="false" customHeight="false" outlineLevel="0" collapsed="false">
      <c r="A1360" s="41"/>
      <c r="B1360" s="5" t="n">
        <f aca="false">IF(A1360="",0,IFERROR(MATCH(A1360,Bank!$A:$A,0),0))</f>
        <v>0</v>
      </c>
      <c r="C1360" s="5" t="str">
        <f aca="false">IF(B1360=0,"",IF(INDEX(Bank!$G:$G,B1360)="","",INDEX(Bank!$G:$G,B1360)))</f>
        <v/>
      </c>
      <c r="D1360" s="5" t="str">
        <f aca="false">IF(B1360=0,"",IF(INDEX(Bank!$J:$J,B1360)="","",INDEX(Bank!$J:$J,B1360)))</f>
        <v/>
      </c>
      <c r="E1360" s="32" t="str">
        <f aca="false">IF(B1360=0,"",INDEX(Bank!$B:$B,B1360))</f>
        <v/>
      </c>
      <c r="F1360" s="5" t="str">
        <f aca="false">IF(B1360=0,"",IF(INDEX(Bank!$C:$C,B1360)="","",INDEX(Bank!$C:$C,B1360)))</f>
        <v/>
      </c>
      <c r="G1360" s="19" t="str">
        <f aca="false">IF(B1360=0,"",INDEX(Bank!$E:$E,B1360))</f>
        <v/>
      </c>
      <c r="H1360" s="5" t="str">
        <f aca="false">IF(B1360=0,"",IF(INDEX(Bank!$H:$H,B1360)="","",INDEX(Bank!$H:$H,B1360)))</f>
        <v/>
      </c>
      <c r="I1360" s="5" t="n">
        <f aca="false">IF(H1360="",0,IFERROR(MATCH(H1360,GL!$A:$A,0),0))</f>
        <v>0</v>
      </c>
      <c r="J1360" s="32" t="str">
        <f aca="false">IF(I1360=0,"",INDEX(GL!$B:$B,I1360))</f>
        <v/>
      </c>
      <c r="K1360" s="5" t="str">
        <f aca="false">IF(I1360=0,"",IF(INDEX(GL!$C:$C,I1360)="","",INDEX(GL!$C:$C,I1360)))</f>
        <v/>
      </c>
      <c r="L1360" s="19" t="str">
        <f aca="false">IF(I1360=0,"",INDEX(GL!$E:$E,I1360))</f>
        <v/>
      </c>
      <c r="M1360" s="19" t="str">
        <f aca="false">IF(OR(B1360=0,I1360=0),"",ROUND(G1360-L1360,2))</f>
        <v/>
      </c>
      <c r="N1360" s="5" t="str">
        <f aca="false">IF(A1360="","",IF(B1360=0,"NOT FOUND: bank ID",IF(I1360=0,"NOT FOUND: GL ID",IF(INDEX(GL!$H:$H,I1360)&lt;&gt;A1360,"BROKEN: GL points elsewhere",IF(OR(INDEX(Bank!$F:$F,B1360)&lt;&gt;"Y",INDEX(GL!$F:$F,I1360)&lt;&gt;"Y"),"BROKEN: Status not Y","OK")))))</f>
        <v/>
      </c>
    </row>
    <row r="1361" customFormat="false" ht="15" hidden="false" customHeight="false" outlineLevel="0" collapsed="false">
      <c r="A1361" s="41"/>
      <c r="B1361" s="5" t="n">
        <f aca="false">IF(A1361="",0,IFERROR(MATCH(A1361,Bank!$A:$A,0),0))</f>
        <v>0</v>
      </c>
      <c r="C1361" s="5" t="str">
        <f aca="false">IF(B1361=0,"",IF(INDEX(Bank!$G:$G,B1361)="","",INDEX(Bank!$G:$G,B1361)))</f>
        <v/>
      </c>
      <c r="D1361" s="5" t="str">
        <f aca="false">IF(B1361=0,"",IF(INDEX(Bank!$J:$J,B1361)="","",INDEX(Bank!$J:$J,B1361)))</f>
        <v/>
      </c>
      <c r="E1361" s="32" t="str">
        <f aca="false">IF(B1361=0,"",INDEX(Bank!$B:$B,B1361))</f>
        <v/>
      </c>
      <c r="F1361" s="5" t="str">
        <f aca="false">IF(B1361=0,"",IF(INDEX(Bank!$C:$C,B1361)="","",INDEX(Bank!$C:$C,B1361)))</f>
        <v/>
      </c>
      <c r="G1361" s="19" t="str">
        <f aca="false">IF(B1361=0,"",INDEX(Bank!$E:$E,B1361))</f>
        <v/>
      </c>
      <c r="H1361" s="5" t="str">
        <f aca="false">IF(B1361=0,"",IF(INDEX(Bank!$H:$H,B1361)="","",INDEX(Bank!$H:$H,B1361)))</f>
        <v/>
      </c>
      <c r="I1361" s="5" t="n">
        <f aca="false">IF(H1361="",0,IFERROR(MATCH(H1361,GL!$A:$A,0),0))</f>
        <v>0</v>
      </c>
      <c r="J1361" s="32" t="str">
        <f aca="false">IF(I1361=0,"",INDEX(GL!$B:$B,I1361))</f>
        <v/>
      </c>
      <c r="K1361" s="5" t="str">
        <f aca="false">IF(I1361=0,"",IF(INDEX(GL!$C:$C,I1361)="","",INDEX(GL!$C:$C,I1361)))</f>
        <v/>
      </c>
      <c r="L1361" s="19" t="str">
        <f aca="false">IF(I1361=0,"",INDEX(GL!$E:$E,I1361))</f>
        <v/>
      </c>
      <c r="M1361" s="19" t="str">
        <f aca="false">IF(OR(B1361=0,I1361=0),"",ROUND(G1361-L1361,2))</f>
        <v/>
      </c>
      <c r="N1361" s="5" t="str">
        <f aca="false">IF(A1361="","",IF(B1361=0,"NOT FOUND: bank ID",IF(I1361=0,"NOT FOUND: GL ID",IF(INDEX(GL!$H:$H,I1361)&lt;&gt;A1361,"BROKEN: GL points elsewhere",IF(OR(INDEX(Bank!$F:$F,B1361)&lt;&gt;"Y",INDEX(GL!$F:$F,I1361)&lt;&gt;"Y"),"BROKEN: Status not Y","OK")))))</f>
        <v/>
      </c>
    </row>
    <row r="1362" customFormat="false" ht="15" hidden="false" customHeight="false" outlineLevel="0" collapsed="false">
      <c r="A1362" s="41"/>
      <c r="B1362" s="5" t="n">
        <f aca="false">IF(A1362="",0,IFERROR(MATCH(A1362,Bank!$A:$A,0),0))</f>
        <v>0</v>
      </c>
      <c r="C1362" s="5" t="str">
        <f aca="false">IF(B1362=0,"",IF(INDEX(Bank!$G:$G,B1362)="","",INDEX(Bank!$G:$G,B1362)))</f>
        <v/>
      </c>
      <c r="D1362" s="5" t="str">
        <f aca="false">IF(B1362=0,"",IF(INDEX(Bank!$J:$J,B1362)="","",INDEX(Bank!$J:$J,B1362)))</f>
        <v/>
      </c>
      <c r="E1362" s="32" t="str">
        <f aca="false">IF(B1362=0,"",INDEX(Bank!$B:$B,B1362))</f>
        <v/>
      </c>
      <c r="F1362" s="5" t="str">
        <f aca="false">IF(B1362=0,"",IF(INDEX(Bank!$C:$C,B1362)="","",INDEX(Bank!$C:$C,B1362)))</f>
        <v/>
      </c>
      <c r="G1362" s="19" t="str">
        <f aca="false">IF(B1362=0,"",INDEX(Bank!$E:$E,B1362))</f>
        <v/>
      </c>
      <c r="H1362" s="5" t="str">
        <f aca="false">IF(B1362=0,"",IF(INDEX(Bank!$H:$H,B1362)="","",INDEX(Bank!$H:$H,B1362)))</f>
        <v/>
      </c>
      <c r="I1362" s="5" t="n">
        <f aca="false">IF(H1362="",0,IFERROR(MATCH(H1362,GL!$A:$A,0),0))</f>
        <v>0</v>
      </c>
      <c r="J1362" s="32" t="str">
        <f aca="false">IF(I1362=0,"",INDEX(GL!$B:$B,I1362))</f>
        <v/>
      </c>
      <c r="K1362" s="5" t="str">
        <f aca="false">IF(I1362=0,"",IF(INDEX(GL!$C:$C,I1362)="","",INDEX(GL!$C:$C,I1362)))</f>
        <v/>
      </c>
      <c r="L1362" s="19" t="str">
        <f aca="false">IF(I1362=0,"",INDEX(GL!$E:$E,I1362))</f>
        <v/>
      </c>
      <c r="M1362" s="19" t="str">
        <f aca="false">IF(OR(B1362=0,I1362=0),"",ROUND(G1362-L1362,2))</f>
        <v/>
      </c>
      <c r="N1362" s="5" t="str">
        <f aca="false">IF(A1362="","",IF(B1362=0,"NOT FOUND: bank ID",IF(I1362=0,"NOT FOUND: GL ID",IF(INDEX(GL!$H:$H,I1362)&lt;&gt;A1362,"BROKEN: GL points elsewhere",IF(OR(INDEX(Bank!$F:$F,B1362)&lt;&gt;"Y",INDEX(GL!$F:$F,I1362)&lt;&gt;"Y"),"BROKEN: Status not Y","OK")))))</f>
        <v/>
      </c>
    </row>
    <row r="1363" customFormat="false" ht="15" hidden="false" customHeight="false" outlineLevel="0" collapsed="false">
      <c r="A1363" s="41"/>
      <c r="B1363" s="5" t="n">
        <f aca="false">IF(A1363="",0,IFERROR(MATCH(A1363,Bank!$A:$A,0),0))</f>
        <v>0</v>
      </c>
      <c r="C1363" s="5" t="str">
        <f aca="false">IF(B1363=0,"",IF(INDEX(Bank!$G:$G,B1363)="","",INDEX(Bank!$G:$G,B1363)))</f>
        <v/>
      </c>
      <c r="D1363" s="5" t="str">
        <f aca="false">IF(B1363=0,"",IF(INDEX(Bank!$J:$J,B1363)="","",INDEX(Bank!$J:$J,B1363)))</f>
        <v/>
      </c>
      <c r="E1363" s="32" t="str">
        <f aca="false">IF(B1363=0,"",INDEX(Bank!$B:$B,B1363))</f>
        <v/>
      </c>
      <c r="F1363" s="5" t="str">
        <f aca="false">IF(B1363=0,"",IF(INDEX(Bank!$C:$C,B1363)="","",INDEX(Bank!$C:$C,B1363)))</f>
        <v/>
      </c>
      <c r="G1363" s="19" t="str">
        <f aca="false">IF(B1363=0,"",INDEX(Bank!$E:$E,B1363))</f>
        <v/>
      </c>
      <c r="H1363" s="5" t="str">
        <f aca="false">IF(B1363=0,"",IF(INDEX(Bank!$H:$H,B1363)="","",INDEX(Bank!$H:$H,B1363)))</f>
        <v/>
      </c>
      <c r="I1363" s="5" t="n">
        <f aca="false">IF(H1363="",0,IFERROR(MATCH(H1363,GL!$A:$A,0),0))</f>
        <v>0</v>
      </c>
      <c r="J1363" s="32" t="str">
        <f aca="false">IF(I1363=0,"",INDEX(GL!$B:$B,I1363))</f>
        <v/>
      </c>
      <c r="K1363" s="5" t="str">
        <f aca="false">IF(I1363=0,"",IF(INDEX(GL!$C:$C,I1363)="","",INDEX(GL!$C:$C,I1363)))</f>
        <v/>
      </c>
      <c r="L1363" s="19" t="str">
        <f aca="false">IF(I1363=0,"",INDEX(GL!$E:$E,I1363))</f>
        <v/>
      </c>
      <c r="M1363" s="19" t="str">
        <f aca="false">IF(OR(B1363=0,I1363=0),"",ROUND(G1363-L1363,2))</f>
        <v/>
      </c>
      <c r="N1363" s="5" t="str">
        <f aca="false">IF(A1363="","",IF(B1363=0,"NOT FOUND: bank ID",IF(I1363=0,"NOT FOUND: GL ID",IF(INDEX(GL!$H:$H,I1363)&lt;&gt;A1363,"BROKEN: GL points elsewhere",IF(OR(INDEX(Bank!$F:$F,B1363)&lt;&gt;"Y",INDEX(GL!$F:$F,I1363)&lt;&gt;"Y"),"BROKEN: Status not Y","OK")))))</f>
        <v/>
      </c>
    </row>
    <row r="1364" customFormat="false" ht="15" hidden="false" customHeight="false" outlineLevel="0" collapsed="false">
      <c r="A1364" s="41"/>
      <c r="B1364" s="5" t="n">
        <f aca="false">IF(A1364="",0,IFERROR(MATCH(A1364,Bank!$A:$A,0),0))</f>
        <v>0</v>
      </c>
      <c r="C1364" s="5" t="str">
        <f aca="false">IF(B1364=0,"",IF(INDEX(Bank!$G:$G,B1364)="","",INDEX(Bank!$G:$G,B1364)))</f>
        <v/>
      </c>
      <c r="D1364" s="5" t="str">
        <f aca="false">IF(B1364=0,"",IF(INDEX(Bank!$J:$J,B1364)="","",INDEX(Bank!$J:$J,B1364)))</f>
        <v/>
      </c>
      <c r="E1364" s="32" t="str">
        <f aca="false">IF(B1364=0,"",INDEX(Bank!$B:$B,B1364))</f>
        <v/>
      </c>
      <c r="F1364" s="5" t="str">
        <f aca="false">IF(B1364=0,"",IF(INDEX(Bank!$C:$C,B1364)="","",INDEX(Bank!$C:$C,B1364)))</f>
        <v/>
      </c>
      <c r="G1364" s="19" t="str">
        <f aca="false">IF(B1364=0,"",INDEX(Bank!$E:$E,B1364))</f>
        <v/>
      </c>
      <c r="H1364" s="5" t="str">
        <f aca="false">IF(B1364=0,"",IF(INDEX(Bank!$H:$H,B1364)="","",INDEX(Bank!$H:$H,B1364)))</f>
        <v/>
      </c>
      <c r="I1364" s="5" t="n">
        <f aca="false">IF(H1364="",0,IFERROR(MATCH(H1364,GL!$A:$A,0),0))</f>
        <v>0</v>
      </c>
      <c r="J1364" s="32" t="str">
        <f aca="false">IF(I1364=0,"",INDEX(GL!$B:$B,I1364))</f>
        <v/>
      </c>
      <c r="K1364" s="5" t="str">
        <f aca="false">IF(I1364=0,"",IF(INDEX(GL!$C:$C,I1364)="","",INDEX(GL!$C:$C,I1364)))</f>
        <v/>
      </c>
      <c r="L1364" s="19" t="str">
        <f aca="false">IF(I1364=0,"",INDEX(GL!$E:$E,I1364))</f>
        <v/>
      </c>
      <c r="M1364" s="19" t="str">
        <f aca="false">IF(OR(B1364=0,I1364=0),"",ROUND(G1364-L1364,2))</f>
        <v/>
      </c>
      <c r="N1364" s="5" t="str">
        <f aca="false">IF(A1364="","",IF(B1364=0,"NOT FOUND: bank ID",IF(I1364=0,"NOT FOUND: GL ID",IF(INDEX(GL!$H:$H,I1364)&lt;&gt;A1364,"BROKEN: GL points elsewhere",IF(OR(INDEX(Bank!$F:$F,B1364)&lt;&gt;"Y",INDEX(GL!$F:$F,I1364)&lt;&gt;"Y"),"BROKEN: Status not Y","OK")))))</f>
        <v/>
      </c>
    </row>
    <row r="1365" customFormat="false" ht="15" hidden="false" customHeight="false" outlineLevel="0" collapsed="false">
      <c r="A1365" s="41"/>
      <c r="B1365" s="5" t="n">
        <f aca="false">IF(A1365="",0,IFERROR(MATCH(A1365,Bank!$A:$A,0),0))</f>
        <v>0</v>
      </c>
      <c r="C1365" s="5" t="str">
        <f aca="false">IF(B1365=0,"",IF(INDEX(Bank!$G:$G,B1365)="","",INDEX(Bank!$G:$G,B1365)))</f>
        <v/>
      </c>
      <c r="D1365" s="5" t="str">
        <f aca="false">IF(B1365=0,"",IF(INDEX(Bank!$J:$J,B1365)="","",INDEX(Bank!$J:$J,B1365)))</f>
        <v/>
      </c>
      <c r="E1365" s="32" t="str">
        <f aca="false">IF(B1365=0,"",INDEX(Bank!$B:$B,B1365))</f>
        <v/>
      </c>
      <c r="F1365" s="5" t="str">
        <f aca="false">IF(B1365=0,"",IF(INDEX(Bank!$C:$C,B1365)="","",INDEX(Bank!$C:$C,B1365)))</f>
        <v/>
      </c>
      <c r="G1365" s="19" t="str">
        <f aca="false">IF(B1365=0,"",INDEX(Bank!$E:$E,B1365))</f>
        <v/>
      </c>
      <c r="H1365" s="5" t="str">
        <f aca="false">IF(B1365=0,"",IF(INDEX(Bank!$H:$H,B1365)="","",INDEX(Bank!$H:$H,B1365)))</f>
        <v/>
      </c>
      <c r="I1365" s="5" t="n">
        <f aca="false">IF(H1365="",0,IFERROR(MATCH(H1365,GL!$A:$A,0),0))</f>
        <v>0</v>
      </c>
      <c r="J1365" s="32" t="str">
        <f aca="false">IF(I1365=0,"",INDEX(GL!$B:$B,I1365))</f>
        <v/>
      </c>
      <c r="K1365" s="5" t="str">
        <f aca="false">IF(I1365=0,"",IF(INDEX(GL!$C:$C,I1365)="","",INDEX(GL!$C:$C,I1365)))</f>
        <v/>
      </c>
      <c r="L1365" s="19" t="str">
        <f aca="false">IF(I1365=0,"",INDEX(GL!$E:$E,I1365))</f>
        <v/>
      </c>
      <c r="M1365" s="19" t="str">
        <f aca="false">IF(OR(B1365=0,I1365=0),"",ROUND(G1365-L1365,2))</f>
        <v/>
      </c>
      <c r="N1365" s="5" t="str">
        <f aca="false">IF(A1365="","",IF(B1365=0,"NOT FOUND: bank ID",IF(I1365=0,"NOT FOUND: GL ID",IF(INDEX(GL!$H:$H,I1365)&lt;&gt;A1365,"BROKEN: GL points elsewhere",IF(OR(INDEX(Bank!$F:$F,B1365)&lt;&gt;"Y",INDEX(GL!$F:$F,I1365)&lt;&gt;"Y"),"BROKEN: Status not Y","OK")))))</f>
        <v/>
      </c>
    </row>
    <row r="1366" customFormat="false" ht="15" hidden="false" customHeight="false" outlineLevel="0" collapsed="false">
      <c r="A1366" s="41"/>
      <c r="B1366" s="5" t="n">
        <f aca="false">IF(A1366="",0,IFERROR(MATCH(A1366,Bank!$A:$A,0),0))</f>
        <v>0</v>
      </c>
      <c r="C1366" s="5" t="str">
        <f aca="false">IF(B1366=0,"",IF(INDEX(Bank!$G:$G,B1366)="","",INDEX(Bank!$G:$G,B1366)))</f>
        <v/>
      </c>
      <c r="D1366" s="5" t="str">
        <f aca="false">IF(B1366=0,"",IF(INDEX(Bank!$J:$J,B1366)="","",INDEX(Bank!$J:$J,B1366)))</f>
        <v/>
      </c>
      <c r="E1366" s="32" t="str">
        <f aca="false">IF(B1366=0,"",INDEX(Bank!$B:$B,B1366))</f>
        <v/>
      </c>
      <c r="F1366" s="5" t="str">
        <f aca="false">IF(B1366=0,"",IF(INDEX(Bank!$C:$C,B1366)="","",INDEX(Bank!$C:$C,B1366)))</f>
        <v/>
      </c>
      <c r="G1366" s="19" t="str">
        <f aca="false">IF(B1366=0,"",INDEX(Bank!$E:$E,B1366))</f>
        <v/>
      </c>
      <c r="H1366" s="5" t="str">
        <f aca="false">IF(B1366=0,"",IF(INDEX(Bank!$H:$H,B1366)="","",INDEX(Bank!$H:$H,B1366)))</f>
        <v/>
      </c>
      <c r="I1366" s="5" t="n">
        <f aca="false">IF(H1366="",0,IFERROR(MATCH(H1366,GL!$A:$A,0),0))</f>
        <v>0</v>
      </c>
      <c r="J1366" s="32" t="str">
        <f aca="false">IF(I1366=0,"",INDEX(GL!$B:$B,I1366))</f>
        <v/>
      </c>
      <c r="K1366" s="5" t="str">
        <f aca="false">IF(I1366=0,"",IF(INDEX(GL!$C:$C,I1366)="","",INDEX(GL!$C:$C,I1366)))</f>
        <v/>
      </c>
      <c r="L1366" s="19" t="str">
        <f aca="false">IF(I1366=0,"",INDEX(GL!$E:$E,I1366))</f>
        <v/>
      </c>
      <c r="M1366" s="19" t="str">
        <f aca="false">IF(OR(B1366=0,I1366=0),"",ROUND(G1366-L1366,2))</f>
        <v/>
      </c>
      <c r="N1366" s="5" t="str">
        <f aca="false">IF(A1366="","",IF(B1366=0,"NOT FOUND: bank ID",IF(I1366=0,"NOT FOUND: GL ID",IF(INDEX(GL!$H:$H,I1366)&lt;&gt;A1366,"BROKEN: GL points elsewhere",IF(OR(INDEX(Bank!$F:$F,B1366)&lt;&gt;"Y",INDEX(GL!$F:$F,I1366)&lt;&gt;"Y"),"BROKEN: Status not Y","OK")))))</f>
        <v/>
      </c>
    </row>
    <row r="1367" customFormat="false" ht="15" hidden="false" customHeight="false" outlineLevel="0" collapsed="false">
      <c r="A1367" s="41"/>
      <c r="B1367" s="5" t="n">
        <f aca="false">IF(A1367="",0,IFERROR(MATCH(A1367,Bank!$A:$A,0),0))</f>
        <v>0</v>
      </c>
      <c r="C1367" s="5" t="str">
        <f aca="false">IF(B1367=0,"",IF(INDEX(Bank!$G:$G,B1367)="","",INDEX(Bank!$G:$G,B1367)))</f>
        <v/>
      </c>
      <c r="D1367" s="5" t="str">
        <f aca="false">IF(B1367=0,"",IF(INDEX(Bank!$J:$J,B1367)="","",INDEX(Bank!$J:$J,B1367)))</f>
        <v/>
      </c>
      <c r="E1367" s="32" t="str">
        <f aca="false">IF(B1367=0,"",INDEX(Bank!$B:$B,B1367))</f>
        <v/>
      </c>
      <c r="F1367" s="5" t="str">
        <f aca="false">IF(B1367=0,"",IF(INDEX(Bank!$C:$C,B1367)="","",INDEX(Bank!$C:$C,B1367)))</f>
        <v/>
      </c>
      <c r="G1367" s="19" t="str">
        <f aca="false">IF(B1367=0,"",INDEX(Bank!$E:$E,B1367))</f>
        <v/>
      </c>
      <c r="H1367" s="5" t="str">
        <f aca="false">IF(B1367=0,"",IF(INDEX(Bank!$H:$H,B1367)="","",INDEX(Bank!$H:$H,B1367)))</f>
        <v/>
      </c>
      <c r="I1367" s="5" t="n">
        <f aca="false">IF(H1367="",0,IFERROR(MATCH(H1367,GL!$A:$A,0),0))</f>
        <v>0</v>
      </c>
      <c r="J1367" s="32" t="str">
        <f aca="false">IF(I1367=0,"",INDEX(GL!$B:$B,I1367))</f>
        <v/>
      </c>
      <c r="K1367" s="5" t="str">
        <f aca="false">IF(I1367=0,"",IF(INDEX(GL!$C:$C,I1367)="","",INDEX(GL!$C:$C,I1367)))</f>
        <v/>
      </c>
      <c r="L1367" s="19" t="str">
        <f aca="false">IF(I1367=0,"",INDEX(GL!$E:$E,I1367))</f>
        <v/>
      </c>
      <c r="M1367" s="19" t="str">
        <f aca="false">IF(OR(B1367=0,I1367=0),"",ROUND(G1367-L1367,2))</f>
        <v/>
      </c>
      <c r="N1367" s="5" t="str">
        <f aca="false">IF(A1367="","",IF(B1367=0,"NOT FOUND: bank ID",IF(I1367=0,"NOT FOUND: GL ID",IF(INDEX(GL!$H:$H,I1367)&lt;&gt;A1367,"BROKEN: GL points elsewhere",IF(OR(INDEX(Bank!$F:$F,B1367)&lt;&gt;"Y",INDEX(GL!$F:$F,I1367)&lt;&gt;"Y"),"BROKEN: Status not Y","OK")))))</f>
        <v/>
      </c>
    </row>
    <row r="1368" customFormat="false" ht="15" hidden="false" customHeight="false" outlineLevel="0" collapsed="false">
      <c r="A1368" s="41"/>
      <c r="B1368" s="5" t="n">
        <f aca="false">IF(A1368="",0,IFERROR(MATCH(A1368,Bank!$A:$A,0),0))</f>
        <v>0</v>
      </c>
      <c r="C1368" s="5" t="str">
        <f aca="false">IF(B1368=0,"",IF(INDEX(Bank!$G:$G,B1368)="","",INDEX(Bank!$G:$G,B1368)))</f>
        <v/>
      </c>
      <c r="D1368" s="5" t="str">
        <f aca="false">IF(B1368=0,"",IF(INDEX(Bank!$J:$J,B1368)="","",INDEX(Bank!$J:$J,B1368)))</f>
        <v/>
      </c>
      <c r="E1368" s="32" t="str">
        <f aca="false">IF(B1368=0,"",INDEX(Bank!$B:$B,B1368))</f>
        <v/>
      </c>
      <c r="F1368" s="5" t="str">
        <f aca="false">IF(B1368=0,"",IF(INDEX(Bank!$C:$C,B1368)="","",INDEX(Bank!$C:$C,B1368)))</f>
        <v/>
      </c>
      <c r="G1368" s="19" t="str">
        <f aca="false">IF(B1368=0,"",INDEX(Bank!$E:$E,B1368))</f>
        <v/>
      </c>
      <c r="H1368" s="5" t="str">
        <f aca="false">IF(B1368=0,"",IF(INDEX(Bank!$H:$H,B1368)="","",INDEX(Bank!$H:$H,B1368)))</f>
        <v/>
      </c>
      <c r="I1368" s="5" t="n">
        <f aca="false">IF(H1368="",0,IFERROR(MATCH(H1368,GL!$A:$A,0),0))</f>
        <v>0</v>
      </c>
      <c r="J1368" s="32" t="str">
        <f aca="false">IF(I1368=0,"",INDEX(GL!$B:$B,I1368))</f>
        <v/>
      </c>
      <c r="K1368" s="5" t="str">
        <f aca="false">IF(I1368=0,"",IF(INDEX(GL!$C:$C,I1368)="","",INDEX(GL!$C:$C,I1368)))</f>
        <v/>
      </c>
      <c r="L1368" s="19" t="str">
        <f aca="false">IF(I1368=0,"",INDEX(GL!$E:$E,I1368))</f>
        <v/>
      </c>
      <c r="M1368" s="19" t="str">
        <f aca="false">IF(OR(B1368=0,I1368=0),"",ROUND(G1368-L1368,2))</f>
        <v/>
      </c>
      <c r="N1368" s="5" t="str">
        <f aca="false">IF(A1368="","",IF(B1368=0,"NOT FOUND: bank ID",IF(I1368=0,"NOT FOUND: GL ID",IF(INDEX(GL!$H:$H,I1368)&lt;&gt;A1368,"BROKEN: GL points elsewhere",IF(OR(INDEX(Bank!$F:$F,B1368)&lt;&gt;"Y",INDEX(GL!$F:$F,I1368)&lt;&gt;"Y"),"BROKEN: Status not Y","OK")))))</f>
        <v/>
      </c>
    </row>
    <row r="1369" customFormat="false" ht="15" hidden="false" customHeight="false" outlineLevel="0" collapsed="false">
      <c r="A1369" s="41"/>
      <c r="B1369" s="5" t="n">
        <f aca="false">IF(A1369="",0,IFERROR(MATCH(A1369,Bank!$A:$A,0),0))</f>
        <v>0</v>
      </c>
      <c r="C1369" s="5" t="str">
        <f aca="false">IF(B1369=0,"",IF(INDEX(Bank!$G:$G,B1369)="","",INDEX(Bank!$G:$G,B1369)))</f>
        <v/>
      </c>
      <c r="D1369" s="5" t="str">
        <f aca="false">IF(B1369=0,"",IF(INDEX(Bank!$J:$J,B1369)="","",INDEX(Bank!$J:$J,B1369)))</f>
        <v/>
      </c>
      <c r="E1369" s="32" t="str">
        <f aca="false">IF(B1369=0,"",INDEX(Bank!$B:$B,B1369))</f>
        <v/>
      </c>
      <c r="F1369" s="5" t="str">
        <f aca="false">IF(B1369=0,"",IF(INDEX(Bank!$C:$C,B1369)="","",INDEX(Bank!$C:$C,B1369)))</f>
        <v/>
      </c>
      <c r="G1369" s="19" t="str">
        <f aca="false">IF(B1369=0,"",INDEX(Bank!$E:$E,B1369))</f>
        <v/>
      </c>
      <c r="H1369" s="5" t="str">
        <f aca="false">IF(B1369=0,"",IF(INDEX(Bank!$H:$H,B1369)="","",INDEX(Bank!$H:$H,B1369)))</f>
        <v/>
      </c>
      <c r="I1369" s="5" t="n">
        <f aca="false">IF(H1369="",0,IFERROR(MATCH(H1369,GL!$A:$A,0),0))</f>
        <v>0</v>
      </c>
      <c r="J1369" s="32" t="str">
        <f aca="false">IF(I1369=0,"",INDEX(GL!$B:$B,I1369))</f>
        <v/>
      </c>
      <c r="K1369" s="5" t="str">
        <f aca="false">IF(I1369=0,"",IF(INDEX(GL!$C:$C,I1369)="","",INDEX(GL!$C:$C,I1369)))</f>
        <v/>
      </c>
      <c r="L1369" s="19" t="str">
        <f aca="false">IF(I1369=0,"",INDEX(GL!$E:$E,I1369))</f>
        <v/>
      </c>
      <c r="M1369" s="19" t="str">
        <f aca="false">IF(OR(B1369=0,I1369=0),"",ROUND(G1369-L1369,2))</f>
        <v/>
      </c>
      <c r="N1369" s="5" t="str">
        <f aca="false">IF(A1369="","",IF(B1369=0,"NOT FOUND: bank ID",IF(I1369=0,"NOT FOUND: GL ID",IF(INDEX(GL!$H:$H,I1369)&lt;&gt;A1369,"BROKEN: GL points elsewhere",IF(OR(INDEX(Bank!$F:$F,B1369)&lt;&gt;"Y",INDEX(GL!$F:$F,I1369)&lt;&gt;"Y"),"BROKEN: Status not Y","OK")))))</f>
        <v/>
      </c>
    </row>
    <row r="1370" customFormat="false" ht="15" hidden="false" customHeight="false" outlineLevel="0" collapsed="false">
      <c r="A1370" s="41"/>
      <c r="B1370" s="5" t="n">
        <f aca="false">IF(A1370="",0,IFERROR(MATCH(A1370,Bank!$A:$A,0),0))</f>
        <v>0</v>
      </c>
      <c r="C1370" s="5" t="str">
        <f aca="false">IF(B1370=0,"",IF(INDEX(Bank!$G:$G,B1370)="","",INDEX(Bank!$G:$G,B1370)))</f>
        <v/>
      </c>
      <c r="D1370" s="5" t="str">
        <f aca="false">IF(B1370=0,"",IF(INDEX(Bank!$J:$J,B1370)="","",INDEX(Bank!$J:$J,B1370)))</f>
        <v/>
      </c>
      <c r="E1370" s="32" t="str">
        <f aca="false">IF(B1370=0,"",INDEX(Bank!$B:$B,B1370))</f>
        <v/>
      </c>
      <c r="F1370" s="5" t="str">
        <f aca="false">IF(B1370=0,"",IF(INDEX(Bank!$C:$C,B1370)="","",INDEX(Bank!$C:$C,B1370)))</f>
        <v/>
      </c>
      <c r="G1370" s="19" t="str">
        <f aca="false">IF(B1370=0,"",INDEX(Bank!$E:$E,B1370))</f>
        <v/>
      </c>
      <c r="H1370" s="5" t="str">
        <f aca="false">IF(B1370=0,"",IF(INDEX(Bank!$H:$H,B1370)="","",INDEX(Bank!$H:$H,B1370)))</f>
        <v/>
      </c>
      <c r="I1370" s="5" t="n">
        <f aca="false">IF(H1370="",0,IFERROR(MATCH(H1370,GL!$A:$A,0),0))</f>
        <v>0</v>
      </c>
      <c r="J1370" s="32" t="str">
        <f aca="false">IF(I1370=0,"",INDEX(GL!$B:$B,I1370))</f>
        <v/>
      </c>
      <c r="K1370" s="5" t="str">
        <f aca="false">IF(I1370=0,"",IF(INDEX(GL!$C:$C,I1370)="","",INDEX(GL!$C:$C,I1370)))</f>
        <v/>
      </c>
      <c r="L1370" s="19" t="str">
        <f aca="false">IF(I1370=0,"",INDEX(GL!$E:$E,I1370))</f>
        <v/>
      </c>
      <c r="M1370" s="19" t="str">
        <f aca="false">IF(OR(B1370=0,I1370=0),"",ROUND(G1370-L1370,2))</f>
        <v/>
      </c>
      <c r="N1370" s="5" t="str">
        <f aca="false">IF(A1370="","",IF(B1370=0,"NOT FOUND: bank ID",IF(I1370=0,"NOT FOUND: GL ID",IF(INDEX(GL!$H:$H,I1370)&lt;&gt;A1370,"BROKEN: GL points elsewhere",IF(OR(INDEX(Bank!$F:$F,B1370)&lt;&gt;"Y",INDEX(GL!$F:$F,I1370)&lt;&gt;"Y"),"BROKEN: Status not Y","OK")))))</f>
        <v/>
      </c>
    </row>
    <row r="1371" customFormat="false" ht="15" hidden="false" customHeight="false" outlineLevel="0" collapsed="false">
      <c r="A1371" s="41"/>
      <c r="B1371" s="5" t="n">
        <f aca="false">IF(A1371="",0,IFERROR(MATCH(A1371,Bank!$A:$A,0),0))</f>
        <v>0</v>
      </c>
      <c r="C1371" s="5" t="str">
        <f aca="false">IF(B1371=0,"",IF(INDEX(Bank!$G:$G,B1371)="","",INDEX(Bank!$G:$G,B1371)))</f>
        <v/>
      </c>
      <c r="D1371" s="5" t="str">
        <f aca="false">IF(B1371=0,"",IF(INDEX(Bank!$J:$J,B1371)="","",INDEX(Bank!$J:$J,B1371)))</f>
        <v/>
      </c>
      <c r="E1371" s="32" t="str">
        <f aca="false">IF(B1371=0,"",INDEX(Bank!$B:$B,B1371))</f>
        <v/>
      </c>
      <c r="F1371" s="5" t="str">
        <f aca="false">IF(B1371=0,"",IF(INDEX(Bank!$C:$C,B1371)="","",INDEX(Bank!$C:$C,B1371)))</f>
        <v/>
      </c>
      <c r="G1371" s="19" t="str">
        <f aca="false">IF(B1371=0,"",INDEX(Bank!$E:$E,B1371))</f>
        <v/>
      </c>
      <c r="H1371" s="5" t="str">
        <f aca="false">IF(B1371=0,"",IF(INDEX(Bank!$H:$H,B1371)="","",INDEX(Bank!$H:$H,B1371)))</f>
        <v/>
      </c>
      <c r="I1371" s="5" t="n">
        <f aca="false">IF(H1371="",0,IFERROR(MATCH(H1371,GL!$A:$A,0),0))</f>
        <v>0</v>
      </c>
      <c r="J1371" s="32" t="str">
        <f aca="false">IF(I1371=0,"",INDEX(GL!$B:$B,I1371))</f>
        <v/>
      </c>
      <c r="K1371" s="5" t="str">
        <f aca="false">IF(I1371=0,"",IF(INDEX(GL!$C:$C,I1371)="","",INDEX(GL!$C:$C,I1371)))</f>
        <v/>
      </c>
      <c r="L1371" s="19" t="str">
        <f aca="false">IF(I1371=0,"",INDEX(GL!$E:$E,I1371))</f>
        <v/>
      </c>
      <c r="M1371" s="19" t="str">
        <f aca="false">IF(OR(B1371=0,I1371=0),"",ROUND(G1371-L1371,2))</f>
        <v/>
      </c>
      <c r="N1371" s="5" t="str">
        <f aca="false">IF(A1371="","",IF(B1371=0,"NOT FOUND: bank ID",IF(I1371=0,"NOT FOUND: GL ID",IF(INDEX(GL!$H:$H,I1371)&lt;&gt;A1371,"BROKEN: GL points elsewhere",IF(OR(INDEX(Bank!$F:$F,B1371)&lt;&gt;"Y",INDEX(GL!$F:$F,I1371)&lt;&gt;"Y"),"BROKEN: Status not Y","OK")))))</f>
        <v/>
      </c>
    </row>
    <row r="1372" customFormat="false" ht="15" hidden="false" customHeight="false" outlineLevel="0" collapsed="false">
      <c r="A1372" s="41"/>
      <c r="B1372" s="5" t="n">
        <f aca="false">IF(A1372="",0,IFERROR(MATCH(A1372,Bank!$A:$A,0),0))</f>
        <v>0</v>
      </c>
      <c r="C1372" s="5" t="str">
        <f aca="false">IF(B1372=0,"",IF(INDEX(Bank!$G:$G,B1372)="","",INDEX(Bank!$G:$G,B1372)))</f>
        <v/>
      </c>
      <c r="D1372" s="5" t="str">
        <f aca="false">IF(B1372=0,"",IF(INDEX(Bank!$J:$J,B1372)="","",INDEX(Bank!$J:$J,B1372)))</f>
        <v/>
      </c>
      <c r="E1372" s="32" t="str">
        <f aca="false">IF(B1372=0,"",INDEX(Bank!$B:$B,B1372))</f>
        <v/>
      </c>
      <c r="F1372" s="5" t="str">
        <f aca="false">IF(B1372=0,"",IF(INDEX(Bank!$C:$C,B1372)="","",INDEX(Bank!$C:$C,B1372)))</f>
        <v/>
      </c>
      <c r="G1372" s="19" t="str">
        <f aca="false">IF(B1372=0,"",INDEX(Bank!$E:$E,B1372))</f>
        <v/>
      </c>
      <c r="H1372" s="5" t="str">
        <f aca="false">IF(B1372=0,"",IF(INDEX(Bank!$H:$H,B1372)="","",INDEX(Bank!$H:$H,B1372)))</f>
        <v/>
      </c>
      <c r="I1372" s="5" t="n">
        <f aca="false">IF(H1372="",0,IFERROR(MATCH(H1372,GL!$A:$A,0),0))</f>
        <v>0</v>
      </c>
      <c r="J1372" s="32" t="str">
        <f aca="false">IF(I1372=0,"",INDEX(GL!$B:$B,I1372))</f>
        <v/>
      </c>
      <c r="K1372" s="5" t="str">
        <f aca="false">IF(I1372=0,"",IF(INDEX(GL!$C:$C,I1372)="","",INDEX(GL!$C:$C,I1372)))</f>
        <v/>
      </c>
      <c r="L1372" s="19" t="str">
        <f aca="false">IF(I1372=0,"",INDEX(GL!$E:$E,I1372))</f>
        <v/>
      </c>
      <c r="M1372" s="19" t="str">
        <f aca="false">IF(OR(B1372=0,I1372=0),"",ROUND(G1372-L1372,2))</f>
        <v/>
      </c>
      <c r="N1372" s="5" t="str">
        <f aca="false">IF(A1372="","",IF(B1372=0,"NOT FOUND: bank ID",IF(I1372=0,"NOT FOUND: GL ID",IF(INDEX(GL!$H:$H,I1372)&lt;&gt;A1372,"BROKEN: GL points elsewhere",IF(OR(INDEX(Bank!$F:$F,B1372)&lt;&gt;"Y",INDEX(GL!$F:$F,I1372)&lt;&gt;"Y"),"BROKEN: Status not Y","OK")))))</f>
        <v/>
      </c>
    </row>
    <row r="1373" customFormat="false" ht="15" hidden="false" customHeight="false" outlineLevel="0" collapsed="false">
      <c r="A1373" s="41"/>
      <c r="B1373" s="5" t="n">
        <f aca="false">IF(A1373="",0,IFERROR(MATCH(A1373,Bank!$A:$A,0),0))</f>
        <v>0</v>
      </c>
      <c r="C1373" s="5" t="str">
        <f aca="false">IF(B1373=0,"",IF(INDEX(Bank!$G:$G,B1373)="","",INDEX(Bank!$G:$G,B1373)))</f>
        <v/>
      </c>
      <c r="D1373" s="5" t="str">
        <f aca="false">IF(B1373=0,"",IF(INDEX(Bank!$J:$J,B1373)="","",INDEX(Bank!$J:$J,B1373)))</f>
        <v/>
      </c>
      <c r="E1373" s="32" t="str">
        <f aca="false">IF(B1373=0,"",INDEX(Bank!$B:$B,B1373))</f>
        <v/>
      </c>
      <c r="F1373" s="5" t="str">
        <f aca="false">IF(B1373=0,"",IF(INDEX(Bank!$C:$C,B1373)="","",INDEX(Bank!$C:$C,B1373)))</f>
        <v/>
      </c>
      <c r="G1373" s="19" t="str">
        <f aca="false">IF(B1373=0,"",INDEX(Bank!$E:$E,B1373))</f>
        <v/>
      </c>
      <c r="H1373" s="5" t="str">
        <f aca="false">IF(B1373=0,"",IF(INDEX(Bank!$H:$H,B1373)="","",INDEX(Bank!$H:$H,B1373)))</f>
        <v/>
      </c>
      <c r="I1373" s="5" t="n">
        <f aca="false">IF(H1373="",0,IFERROR(MATCH(H1373,GL!$A:$A,0),0))</f>
        <v>0</v>
      </c>
      <c r="J1373" s="32" t="str">
        <f aca="false">IF(I1373=0,"",INDEX(GL!$B:$B,I1373))</f>
        <v/>
      </c>
      <c r="K1373" s="5" t="str">
        <f aca="false">IF(I1373=0,"",IF(INDEX(GL!$C:$C,I1373)="","",INDEX(GL!$C:$C,I1373)))</f>
        <v/>
      </c>
      <c r="L1373" s="19" t="str">
        <f aca="false">IF(I1373=0,"",INDEX(GL!$E:$E,I1373))</f>
        <v/>
      </c>
      <c r="M1373" s="19" t="str">
        <f aca="false">IF(OR(B1373=0,I1373=0),"",ROUND(G1373-L1373,2))</f>
        <v/>
      </c>
      <c r="N1373" s="5" t="str">
        <f aca="false">IF(A1373="","",IF(B1373=0,"NOT FOUND: bank ID",IF(I1373=0,"NOT FOUND: GL ID",IF(INDEX(GL!$H:$H,I1373)&lt;&gt;A1373,"BROKEN: GL points elsewhere",IF(OR(INDEX(Bank!$F:$F,B1373)&lt;&gt;"Y",INDEX(GL!$F:$F,I1373)&lt;&gt;"Y"),"BROKEN: Status not Y","OK")))))</f>
        <v/>
      </c>
    </row>
    <row r="1374" customFormat="false" ht="15" hidden="false" customHeight="false" outlineLevel="0" collapsed="false">
      <c r="A1374" s="41"/>
      <c r="B1374" s="5" t="n">
        <f aca="false">IF(A1374="",0,IFERROR(MATCH(A1374,Bank!$A:$A,0),0))</f>
        <v>0</v>
      </c>
      <c r="C1374" s="5" t="str">
        <f aca="false">IF(B1374=0,"",IF(INDEX(Bank!$G:$G,B1374)="","",INDEX(Bank!$G:$G,B1374)))</f>
        <v/>
      </c>
      <c r="D1374" s="5" t="str">
        <f aca="false">IF(B1374=0,"",IF(INDEX(Bank!$J:$J,B1374)="","",INDEX(Bank!$J:$J,B1374)))</f>
        <v/>
      </c>
      <c r="E1374" s="32" t="str">
        <f aca="false">IF(B1374=0,"",INDEX(Bank!$B:$B,B1374))</f>
        <v/>
      </c>
      <c r="F1374" s="5" t="str">
        <f aca="false">IF(B1374=0,"",IF(INDEX(Bank!$C:$C,B1374)="","",INDEX(Bank!$C:$C,B1374)))</f>
        <v/>
      </c>
      <c r="G1374" s="19" t="str">
        <f aca="false">IF(B1374=0,"",INDEX(Bank!$E:$E,B1374))</f>
        <v/>
      </c>
      <c r="H1374" s="5" t="str">
        <f aca="false">IF(B1374=0,"",IF(INDEX(Bank!$H:$H,B1374)="","",INDEX(Bank!$H:$H,B1374)))</f>
        <v/>
      </c>
      <c r="I1374" s="5" t="n">
        <f aca="false">IF(H1374="",0,IFERROR(MATCH(H1374,GL!$A:$A,0),0))</f>
        <v>0</v>
      </c>
      <c r="J1374" s="32" t="str">
        <f aca="false">IF(I1374=0,"",INDEX(GL!$B:$B,I1374))</f>
        <v/>
      </c>
      <c r="K1374" s="5" t="str">
        <f aca="false">IF(I1374=0,"",IF(INDEX(GL!$C:$C,I1374)="","",INDEX(GL!$C:$C,I1374)))</f>
        <v/>
      </c>
      <c r="L1374" s="19" t="str">
        <f aca="false">IF(I1374=0,"",INDEX(GL!$E:$E,I1374))</f>
        <v/>
      </c>
      <c r="M1374" s="19" t="str">
        <f aca="false">IF(OR(B1374=0,I1374=0),"",ROUND(G1374-L1374,2))</f>
        <v/>
      </c>
      <c r="N1374" s="5" t="str">
        <f aca="false">IF(A1374="","",IF(B1374=0,"NOT FOUND: bank ID",IF(I1374=0,"NOT FOUND: GL ID",IF(INDEX(GL!$H:$H,I1374)&lt;&gt;A1374,"BROKEN: GL points elsewhere",IF(OR(INDEX(Bank!$F:$F,B1374)&lt;&gt;"Y",INDEX(GL!$F:$F,I1374)&lt;&gt;"Y"),"BROKEN: Status not Y","OK")))))</f>
        <v/>
      </c>
    </row>
    <row r="1375" customFormat="false" ht="15" hidden="false" customHeight="false" outlineLevel="0" collapsed="false">
      <c r="A1375" s="41"/>
      <c r="B1375" s="5" t="n">
        <f aca="false">IF(A1375="",0,IFERROR(MATCH(A1375,Bank!$A:$A,0),0))</f>
        <v>0</v>
      </c>
      <c r="C1375" s="5" t="str">
        <f aca="false">IF(B1375=0,"",IF(INDEX(Bank!$G:$G,B1375)="","",INDEX(Bank!$G:$G,B1375)))</f>
        <v/>
      </c>
      <c r="D1375" s="5" t="str">
        <f aca="false">IF(B1375=0,"",IF(INDEX(Bank!$J:$J,B1375)="","",INDEX(Bank!$J:$J,B1375)))</f>
        <v/>
      </c>
      <c r="E1375" s="32" t="str">
        <f aca="false">IF(B1375=0,"",INDEX(Bank!$B:$B,B1375))</f>
        <v/>
      </c>
      <c r="F1375" s="5" t="str">
        <f aca="false">IF(B1375=0,"",IF(INDEX(Bank!$C:$C,B1375)="","",INDEX(Bank!$C:$C,B1375)))</f>
        <v/>
      </c>
      <c r="G1375" s="19" t="str">
        <f aca="false">IF(B1375=0,"",INDEX(Bank!$E:$E,B1375))</f>
        <v/>
      </c>
      <c r="H1375" s="5" t="str">
        <f aca="false">IF(B1375=0,"",IF(INDEX(Bank!$H:$H,B1375)="","",INDEX(Bank!$H:$H,B1375)))</f>
        <v/>
      </c>
      <c r="I1375" s="5" t="n">
        <f aca="false">IF(H1375="",0,IFERROR(MATCH(H1375,GL!$A:$A,0),0))</f>
        <v>0</v>
      </c>
      <c r="J1375" s="32" t="str">
        <f aca="false">IF(I1375=0,"",INDEX(GL!$B:$B,I1375))</f>
        <v/>
      </c>
      <c r="K1375" s="5" t="str">
        <f aca="false">IF(I1375=0,"",IF(INDEX(GL!$C:$C,I1375)="","",INDEX(GL!$C:$C,I1375)))</f>
        <v/>
      </c>
      <c r="L1375" s="19" t="str">
        <f aca="false">IF(I1375=0,"",INDEX(GL!$E:$E,I1375))</f>
        <v/>
      </c>
      <c r="M1375" s="19" t="str">
        <f aca="false">IF(OR(B1375=0,I1375=0),"",ROUND(G1375-L1375,2))</f>
        <v/>
      </c>
      <c r="N1375" s="5" t="str">
        <f aca="false">IF(A1375="","",IF(B1375=0,"NOT FOUND: bank ID",IF(I1375=0,"NOT FOUND: GL ID",IF(INDEX(GL!$H:$H,I1375)&lt;&gt;A1375,"BROKEN: GL points elsewhere",IF(OR(INDEX(Bank!$F:$F,B1375)&lt;&gt;"Y",INDEX(GL!$F:$F,I1375)&lt;&gt;"Y"),"BROKEN: Status not Y","OK")))))</f>
        <v/>
      </c>
    </row>
    <row r="1376" customFormat="false" ht="15" hidden="false" customHeight="false" outlineLevel="0" collapsed="false">
      <c r="A1376" s="41"/>
      <c r="B1376" s="5" t="n">
        <f aca="false">IF(A1376="",0,IFERROR(MATCH(A1376,Bank!$A:$A,0),0))</f>
        <v>0</v>
      </c>
      <c r="C1376" s="5" t="str">
        <f aca="false">IF(B1376=0,"",IF(INDEX(Bank!$G:$G,B1376)="","",INDEX(Bank!$G:$G,B1376)))</f>
        <v/>
      </c>
      <c r="D1376" s="5" t="str">
        <f aca="false">IF(B1376=0,"",IF(INDEX(Bank!$J:$J,B1376)="","",INDEX(Bank!$J:$J,B1376)))</f>
        <v/>
      </c>
      <c r="E1376" s="32" t="str">
        <f aca="false">IF(B1376=0,"",INDEX(Bank!$B:$B,B1376))</f>
        <v/>
      </c>
      <c r="F1376" s="5" t="str">
        <f aca="false">IF(B1376=0,"",IF(INDEX(Bank!$C:$C,B1376)="","",INDEX(Bank!$C:$C,B1376)))</f>
        <v/>
      </c>
      <c r="G1376" s="19" t="str">
        <f aca="false">IF(B1376=0,"",INDEX(Bank!$E:$E,B1376))</f>
        <v/>
      </c>
      <c r="H1376" s="5" t="str">
        <f aca="false">IF(B1376=0,"",IF(INDEX(Bank!$H:$H,B1376)="","",INDEX(Bank!$H:$H,B1376)))</f>
        <v/>
      </c>
      <c r="I1376" s="5" t="n">
        <f aca="false">IF(H1376="",0,IFERROR(MATCH(H1376,GL!$A:$A,0),0))</f>
        <v>0</v>
      </c>
      <c r="J1376" s="32" t="str">
        <f aca="false">IF(I1376=0,"",INDEX(GL!$B:$B,I1376))</f>
        <v/>
      </c>
      <c r="K1376" s="5" t="str">
        <f aca="false">IF(I1376=0,"",IF(INDEX(GL!$C:$C,I1376)="","",INDEX(GL!$C:$C,I1376)))</f>
        <v/>
      </c>
      <c r="L1376" s="19" t="str">
        <f aca="false">IF(I1376=0,"",INDEX(GL!$E:$E,I1376))</f>
        <v/>
      </c>
      <c r="M1376" s="19" t="str">
        <f aca="false">IF(OR(B1376=0,I1376=0),"",ROUND(G1376-L1376,2))</f>
        <v/>
      </c>
      <c r="N1376" s="5" t="str">
        <f aca="false">IF(A1376="","",IF(B1376=0,"NOT FOUND: bank ID",IF(I1376=0,"NOT FOUND: GL ID",IF(INDEX(GL!$H:$H,I1376)&lt;&gt;A1376,"BROKEN: GL points elsewhere",IF(OR(INDEX(Bank!$F:$F,B1376)&lt;&gt;"Y",INDEX(GL!$F:$F,I1376)&lt;&gt;"Y"),"BROKEN: Status not Y","OK")))))</f>
        <v/>
      </c>
    </row>
    <row r="1377" customFormat="false" ht="15" hidden="false" customHeight="false" outlineLevel="0" collapsed="false">
      <c r="A1377" s="41"/>
      <c r="B1377" s="5" t="n">
        <f aca="false">IF(A1377="",0,IFERROR(MATCH(A1377,Bank!$A:$A,0),0))</f>
        <v>0</v>
      </c>
      <c r="C1377" s="5" t="str">
        <f aca="false">IF(B1377=0,"",IF(INDEX(Bank!$G:$G,B1377)="","",INDEX(Bank!$G:$G,B1377)))</f>
        <v/>
      </c>
      <c r="D1377" s="5" t="str">
        <f aca="false">IF(B1377=0,"",IF(INDEX(Bank!$J:$J,B1377)="","",INDEX(Bank!$J:$J,B1377)))</f>
        <v/>
      </c>
      <c r="E1377" s="32" t="str">
        <f aca="false">IF(B1377=0,"",INDEX(Bank!$B:$B,B1377))</f>
        <v/>
      </c>
      <c r="F1377" s="5" t="str">
        <f aca="false">IF(B1377=0,"",IF(INDEX(Bank!$C:$C,B1377)="","",INDEX(Bank!$C:$C,B1377)))</f>
        <v/>
      </c>
      <c r="G1377" s="19" t="str">
        <f aca="false">IF(B1377=0,"",INDEX(Bank!$E:$E,B1377))</f>
        <v/>
      </c>
      <c r="H1377" s="5" t="str">
        <f aca="false">IF(B1377=0,"",IF(INDEX(Bank!$H:$H,B1377)="","",INDEX(Bank!$H:$H,B1377)))</f>
        <v/>
      </c>
      <c r="I1377" s="5" t="n">
        <f aca="false">IF(H1377="",0,IFERROR(MATCH(H1377,GL!$A:$A,0),0))</f>
        <v>0</v>
      </c>
      <c r="J1377" s="32" t="str">
        <f aca="false">IF(I1377=0,"",INDEX(GL!$B:$B,I1377))</f>
        <v/>
      </c>
      <c r="K1377" s="5" t="str">
        <f aca="false">IF(I1377=0,"",IF(INDEX(GL!$C:$C,I1377)="","",INDEX(GL!$C:$C,I1377)))</f>
        <v/>
      </c>
      <c r="L1377" s="19" t="str">
        <f aca="false">IF(I1377=0,"",INDEX(GL!$E:$E,I1377))</f>
        <v/>
      </c>
      <c r="M1377" s="19" t="str">
        <f aca="false">IF(OR(B1377=0,I1377=0),"",ROUND(G1377-L1377,2))</f>
        <v/>
      </c>
      <c r="N1377" s="5" t="str">
        <f aca="false">IF(A1377="","",IF(B1377=0,"NOT FOUND: bank ID",IF(I1377=0,"NOT FOUND: GL ID",IF(INDEX(GL!$H:$H,I1377)&lt;&gt;A1377,"BROKEN: GL points elsewhere",IF(OR(INDEX(Bank!$F:$F,B1377)&lt;&gt;"Y",INDEX(GL!$F:$F,I1377)&lt;&gt;"Y"),"BROKEN: Status not Y","OK")))))</f>
        <v/>
      </c>
    </row>
    <row r="1378" customFormat="false" ht="15" hidden="false" customHeight="false" outlineLevel="0" collapsed="false">
      <c r="A1378" s="41"/>
      <c r="B1378" s="5" t="n">
        <f aca="false">IF(A1378="",0,IFERROR(MATCH(A1378,Bank!$A:$A,0),0))</f>
        <v>0</v>
      </c>
      <c r="C1378" s="5" t="str">
        <f aca="false">IF(B1378=0,"",IF(INDEX(Bank!$G:$G,B1378)="","",INDEX(Bank!$G:$G,B1378)))</f>
        <v/>
      </c>
      <c r="D1378" s="5" t="str">
        <f aca="false">IF(B1378=0,"",IF(INDEX(Bank!$J:$J,B1378)="","",INDEX(Bank!$J:$J,B1378)))</f>
        <v/>
      </c>
      <c r="E1378" s="32" t="str">
        <f aca="false">IF(B1378=0,"",INDEX(Bank!$B:$B,B1378))</f>
        <v/>
      </c>
      <c r="F1378" s="5" t="str">
        <f aca="false">IF(B1378=0,"",IF(INDEX(Bank!$C:$C,B1378)="","",INDEX(Bank!$C:$C,B1378)))</f>
        <v/>
      </c>
      <c r="G1378" s="19" t="str">
        <f aca="false">IF(B1378=0,"",INDEX(Bank!$E:$E,B1378))</f>
        <v/>
      </c>
      <c r="H1378" s="5" t="str">
        <f aca="false">IF(B1378=0,"",IF(INDEX(Bank!$H:$H,B1378)="","",INDEX(Bank!$H:$H,B1378)))</f>
        <v/>
      </c>
      <c r="I1378" s="5" t="n">
        <f aca="false">IF(H1378="",0,IFERROR(MATCH(H1378,GL!$A:$A,0),0))</f>
        <v>0</v>
      </c>
      <c r="J1378" s="32" t="str">
        <f aca="false">IF(I1378=0,"",INDEX(GL!$B:$B,I1378))</f>
        <v/>
      </c>
      <c r="K1378" s="5" t="str">
        <f aca="false">IF(I1378=0,"",IF(INDEX(GL!$C:$C,I1378)="","",INDEX(GL!$C:$C,I1378)))</f>
        <v/>
      </c>
      <c r="L1378" s="19" t="str">
        <f aca="false">IF(I1378=0,"",INDEX(GL!$E:$E,I1378))</f>
        <v/>
      </c>
      <c r="M1378" s="19" t="str">
        <f aca="false">IF(OR(B1378=0,I1378=0),"",ROUND(G1378-L1378,2))</f>
        <v/>
      </c>
      <c r="N1378" s="5" t="str">
        <f aca="false">IF(A1378="","",IF(B1378=0,"NOT FOUND: bank ID",IF(I1378=0,"NOT FOUND: GL ID",IF(INDEX(GL!$H:$H,I1378)&lt;&gt;A1378,"BROKEN: GL points elsewhere",IF(OR(INDEX(Bank!$F:$F,B1378)&lt;&gt;"Y",INDEX(GL!$F:$F,I1378)&lt;&gt;"Y"),"BROKEN: Status not Y","OK")))))</f>
        <v/>
      </c>
    </row>
    <row r="1379" customFormat="false" ht="15" hidden="false" customHeight="false" outlineLevel="0" collapsed="false">
      <c r="A1379" s="41"/>
      <c r="B1379" s="5" t="n">
        <f aca="false">IF(A1379="",0,IFERROR(MATCH(A1379,Bank!$A:$A,0),0))</f>
        <v>0</v>
      </c>
      <c r="C1379" s="5" t="str">
        <f aca="false">IF(B1379=0,"",IF(INDEX(Bank!$G:$G,B1379)="","",INDEX(Bank!$G:$G,B1379)))</f>
        <v/>
      </c>
      <c r="D1379" s="5" t="str">
        <f aca="false">IF(B1379=0,"",IF(INDEX(Bank!$J:$J,B1379)="","",INDEX(Bank!$J:$J,B1379)))</f>
        <v/>
      </c>
      <c r="E1379" s="32" t="str">
        <f aca="false">IF(B1379=0,"",INDEX(Bank!$B:$B,B1379))</f>
        <v/>
      </c>
      <c r="F1379" s="5" t="str">
        <f aca="false">IF(B1379=0,"",IF(INDEX(Bank!$C:$C,B1379)="","",INDEX(Bank!$C:$C,B1379)))</f>
        <v/>
      </c>
      <c r="G1379" s="19" t="str">
        <f aca="false">IF(B1379=0,"",INDEX(Bank!$E:$E,B1379))</f>
        <v/>
      </c>
      <c r="H1379" s="5" t="str">
        <f aca="false">IF(B1379=0,"",IF(INDEX(Bank!$H:$H,B1379)="","",INDEX(Bank!$H:$H,B1379)))</f>
        <v/>
      </c>
      <c r="I1379" s="5" t="n">
        <f aca="false">IF(H1379="",0,IFERROR(MATCH(H1379,GL!$A:$A,0),0))</f>
        <v>0</v>
      </c>
      <c r="J1379" s="32" t="str">
        <f aca="false">IF(I1379=0,"",INDEX(GL!$B:$B,I1379))</f>
        <v/>
      </c>
      <c r="K1379" s="5" t="str">
        <f aca="false">IF(I1379=0,"",IF(INDEX(GL!$C:$C,I1379)="","",INDEX(GL!$C:$C,I1379)))</f>
        <v/>
      </c>
      <c r="L1379" s="19" t="str">
        <f aca="false">IF(I1379=0,"",INDEX(GL!$E:$E,I1379))</f>
        <v/>
      </c>
      <c r="M1379" s="19" t="str">
        <f aca="false">IF(OR(B1379=0,I1379=0),"",ROUND(G1379-L1379,2))</f>
        <v/>
      </c>
      <c r="N1379" s="5" t="str">
        <f aca="false">IF(A1379="","",IF(B1379=0,"NOT FOUND: bank ID",IF(I1379=0,"NOT FOUND: GL ID",IF(INDEX(GL!$H:$H,I1379)&lt;&gt;A1379,"BROKEN: GL points elsewhere",IF(OR(INDEX(Bank!$F:$F,B1379)&lt;&gt;"Y",INDEX(GL!$F:$F,I1379)&lt;&gt;"Y"),"BROKEN: Status not Y","OK")))))</f>
        <v/>
      </c>
    </row>
    <row r="1380" customFormat="false" ht="15" hidden="false" customHeight="false" outlineLevel="0" collapsed="false">
      <c r="A1380" s="41"/>
      <c r="B1380" s="5" t="n">
        <f aca="false">IF(A1380="",0,IFERROR(MATCH(A1380,Bank!$A:$A,0),0))</f>
        <v>0</v>
      </c>
      <c r="C1380" s="5" t="str">
        <f aca="false">IF(B1380=0,"",IF(INDEX(Bank!$G:$G,B1380)="","",INDEX(Bank!$G:$G,B1380)))</f>
        <v/>
      </c>
      <c r="D1380" s="5" t="str">
        <f aca="false">IF(B1380=0,"",IF(INDEX(Bank!$J:$J,B1380)="","",INDEX(Bank!$J:$J,B1380)))</f>
        <v/>
      </c>
      <c r="E1380" s="32" t="str">
        <f aca="false">IF(B1380=0,"",INDEX(Bank!$B:$B,B1380))</f>
        <v/>
      </c>
      <c r="F1380" s="5" t="str">
        <f aca="false">IF(B1380=0,"",IF(INDEX(Bank!$C:$C,B1380)="","",INDEX(Bank!$C:$C,B1380)))</f>
        <v/>
      </c>
      <c r="G1380" s="19" t="str">
        <f aca="false">IF(B1380=0,"",INDEX(Bank!$E:$E,B1380))</f>
        <v/>
      </c>
      <c r="H1380" s="5" t="str">
        <f aca="false">IF(B1380=0,"",IF(INDEX(Bank!$H:$H,B1380)="","",INDEX(Bank!$H:$H,B1380)))</f>
        <v/>
      </c>
      <c r="I1380" s="5" t="n">
        <f aca="false">IF(H1380="",0,IFERROR(MATCH(H1380,GL!$A:$A,0),0))</f>
        <v>0</v>
      </c>
      <c r="J1380" s="32" t="str">
        <f aca="false">IF(I1380=0,"",INDEX(GL!$B:$B,I1380))</f>
        <v/>
      </c>
      <c r="K1380" s="5" t="str">
        <f aca="false">IF(I1380=0,"",IF(INDEX(GL!$C:$C,I1380)="","",INDEX(GL!$C:$C,I1380)))</f>
        <v/>
      </c>
      <c r="L1380" s="19" t="str">
        <f aca="false">IF(I1380=0,"",INDEX(GL!$E:$E,I1380))</f>
        <v/>
      </c>
      <c r="M1380" s="19" t="str">
        <f aca="false">IF(OR(B1380=0,I1380=0),"",ROUND(G1380-L1380,2))</f>
        <v/>
      </c>
      <c r="N1380" s="5" t="str">
        <f aca="false">IF(A1380="","",IF(B1380=0,"NOT FOUND: bank ID",IF(I1380=0,"NOT FOUND: GL ID",IF(INDEX(GL!$H:$H,I1380)&lt;&gt;A1380,"BROKEN: GL points elsewhere",IF(OR(INDEX(Bank!$F:$F,B1380)&lt;&gt;"Y",INDEX(GL!$F:$F,I1380)&lt;&gt;"Y"),"BROKEN: Status not Y","OK")))))</f>
        <v/>
      </c>
    </row>
    <row r="1381" customFormat="false" ht="15" hidden="false" customHeight="false" outlineLevel="0" collapsed="false">
      <c r="A1381" s="41"/>
      <c r="B1381" s="5" t="n">
        <f aca="false">IF(A1381="",0,IFERROR(MATCH(A1381,Bank!$A:$A,0),0))</f>
        <v>0</v>
      </c>
      <c r="C1381" s="5" t="str">
        <f aca="false">IF(B1381=0,"",IF(INDEX(Bank!$G:$G,B1381)="","",INDEX(Bank!$G:$G,B1381)))</f>
        <v/>
      </c>
      <c r="D1381" s="5" t="str">
        <f aca="false">IF(B1381=0,"",IF(INDEX(Bank!$J:$J,B1381)="","",INDEX(Bank!$J:$J,B1381)))</f>
        <v/>
      </c>
      <c r="E1381" s="32" t="str">
        <f aca="false">IF(B1381=0,"",INDEX(Bank!$B:$B,B1381))</f>
        <v/>
      </c>
      <c r="F1381" s="5" t="str">
        <f aca="false">IF(B1381=0,"",IF(INDEX(Bank!$C:$C,B1381)="","",INDEX(Bank!$C:$C,B1381)))</f>
        <v/>
      </c>
      <c r="G1381" s="19" t="str">
        <f aca="false">IF(B1381=0,"",INDEX(Bank!$E:$E,B1381))</f>
        <v/>
      </c>
      <c r="H1381" s="5" t="str">
        <f aca="false">IF(B1381=0,"",IF(INDEX(Bank!$H:$H,B1381)="","",INDEX(Bank!$H:$H,B1381)))</f>
        <v/>
      </c>
      <c r="I1381" s="5" t="n">
        <f aca="false">IF(H1381="",0,IFERROR(MATCH(H1381,GL!$A:$A,0),0))</f>
        <v>0</v>
      </c>
      <c r="J1381" s="32" t="str">
        <f aca="false">IF(I1381=0,"",INDEX(GL!$B:$B,I1381))</f>
        <v/>
      </c>
      <c r="K1381" s="5" t="str">
        <f aca="false">IF(I1381=0,"",IF(INDEX(GL!$C:$C,I1381)="","",INDEX(GL!$C:$C,I1381)))</f>
        <v/>
      </c>
      <c r="L1381" s="19" t="str">
        <f aca="false">IF(I1381=0,"",INDEX(GL!$E:$E,I1381))</f>
        <v/>
      </c>
      <c r="M1381" s="19" t="str">
        <f aca="false">IF(OR(B1381=0,I1381=0),"",ROUND(G1381-L1381,2))</f>
        <v/>
      </c>
      <c r="N1381" s="5" t="str">
        <f aca="false">IF(A1381="","",IF(B1381=0,"NOT FOUND: bank ID",IF(I1381=0,"NOT FOUND: GL ID",IF(INDEX(GL!$H:$H,I1381)&lt;&gt;A1381,"BROKEN: GL points elsewhere",IF(OR(INDEX(Bank!$F:$F,B1381)&lt;&gt;"Y",INDEX(GL!$F:$F,I1381)&lt;&gt;"Y"),"BROKEN: Status not Y","OK")))))</f>
        <v/>
      </c>
    </row>
    <row r="1382" customFormat="false" ht="15" hidden="false" customHeight="false" outlineLevel="0" collapsed="false">
      <c r="A1382" s="41"/>
      <c r="B1382" s="5" t="n">
        <f aca="false">IF(A1382="",0,IFERROR(MATCH(A1382,Bank!$A:$A,0),0))</f>
        <v>0</v>
      </c>
      <c r="C1382" s="5" t="str">
        <f aca="false">IF(B1382=0,"",IF(INDEX(Bank!$G:$G,B1382)="","",INDEX(Bank!$G:$G,B1382)))</f>
        <v/>
      </c>
      <c r="D1382" s="5" t="str">
        <f aca="false">IF(B1382=0,"",IF(INDEX(Bank!$J:$J,B1382)="","",INDEX(Bank!$J:$J,B1382)))</f>
        <v/>
      </c>
      <c r="E1382" s="32" t="str">
        <f aca="false">IF(B1382=0,"",INDEX(Bank!$B:$B,B1382))</f>
        <v/>
      </c>
      <c r="F1382" s="5" t="str">
        <f aca="false">IF(B1382=0,"",IF(INDEX(Bank!$C:$C,B1382)="","",INDEX(Bank!$C:$C,B1382)))</f>
        <v/>
      </c>
      <c r="G1382" s="19" t="str">
        <f aca="false">IF(B1382=0,"",INDEX(Bank!$E:$E,B1382))</f>
        <v/>
      </c>
      <c r="H1382" s="5" t="str">
        <f aca="false">IF(B1382=0,"",IF(INDEX(Bank!$H:$H,B1382)="","",INDEX(Bank!$H:$H,B1382)))</f>
        <v/>
      </c>
      <c r="I1382" s="5" t="n">
        <f aca="false">IF(H1382="",0,IFERROR(MATCH(H1382,GL!$A:$A,0),0))</f>
        <v>0</v>
      </c>
      <c r="J1382" s="32" t="str">
        <f aca="false">IF(I1382=0,"",INDEX(GL!$B:$B,I1382))</f>
        <v/>
      </c>
      <c r="K1382" s="5" t="str">
        <f aca="false">IF(I1382=0,"",IF(INDEX(GL!$C:$C,I1382)="","",INDEX(GL!$C:$C,I1382)))</f>
        <v/>
      </c>
      <c r="L1382" s="19" t="str">
        <f aca="false">IF(I1382=0,"",INDEX(GL!$E:$E,I1382))</f>
        <v/>
      </c>
      <c r="M1382" s="19" t="str">
        <f aca="false">IF(OR(B1382=0,I1382=0),"",ROUND(G1382-L1382,2))</f>
        <v/>
      </c>
      <c r="N1382" s="5" t="str">
        <f aca="false">IF(A1382="","",IF(B1382=0,"NOT FOUND: bank ID",IF(I1382=0,"NOT FOUND: GL ID",IF(INDEX(GL!$H:$H,I1382)&lt;&gt;A1382,"BROKEN: GL points elsewhere",IF(OR(INDEX(Bank!$F:$F,B1382)&lt;&gt;"Y",INDEX(GL!$F:$F,I1382)&lt;&gt;"Y"),"BROKEN: Status not Y","OK")))))</f>
        <v/>
      </c>
    </row>
    <row r="1383" customFormat="false" ht="15" hidden="false" customHeight="false" outlineLevel="0" collapsed="false">
      <c r="A1383" s="41"/>
      <c r="B1383" s="5" t="n">
        <f aca="false">IF(A1383="",0,IFERROR(MATCH(A1383,Bank!$A:$A,0),0))</f>
        <v>0</v>
      </c>
      <c r="C1383" s="5" t="str">
        <f aca="false">IF(B1383=0,"",IF(INDEX(Bank!$G:$G,B1383)="","",INDEX(Bank!$G:$G,B1383)))</f>
        <v/>
      </c>
      <c r="D1383" s="5" t="str">
        <f aca="false">IF(B1383=0,"",IF(INDEX(Bank!$J:$J,B1383)="","",INDEX(Bank!$J:$J,B1383)))</f>
        <v/>
      </c>
      <c r="E1383" s="32" t="str">
        <f aca="false">IF(B1383=0,"",INDEX(Bank!$B:$B,B1383))</f>
        <v/>
      </c>
      <c r="F1383" s="5" t="str">
        <f aca="false">IF(B1383=0,"",IF(INDEX(Bank!$C:$C,B1383)="","",INDEX(Bank!$C:$C,B1383)))</f>
        <v/>
      </c>
      <c r="G1383" s="19" t="str">
        <f aca="false">IF(B1383=0,"",INDEX(Bank!$E:$E,B1383))</f>
        <v/>
      </c>
      <c r="H1383" s="5" t="str">
        <f aca="false">IF(B1383=0,"",IF(INDEX(Bank!$H:$H,B1383)="","",INDEX(Bank!$H:$H,B1383)))</f>
        <v/>
      </c>
      <c r="I1383" s="5" t="n">
        <f aca="false">IF(H1383="",0,IFERROR(MATCH(H1383,GL!$A:$A,0),0))</f>
        <v>0</v>
      </c>
      <c r="J1383" s="32" t="str">
        <f aca="false">IF(I1383=0,"",INDEX(GL!$B:$B,I1383))</f>
        <v/>
      </c>
      <c r="K1383" s="5" t="str">
        <f aca="false">IF(I1383=0,"",IF(INDEX(GL!$C:$C,I1383)="","",INDEX(GL!$C:$C,I1383)))</f>
        <v/>
      </c>
      <c r="L1383" s="19" t="str">
        <f aca="false">IF(I1383=0,"",INDEX(GL!$E:$E,I1383))</f>
        <v/>
      </c>
      <c r="M1383" s="19" t="str">
        <f aca="false">IF(OR(B1383=0,I1383=0),"",ROUND(G1383-L1383,2))</f>
        <v/>
      </c>
      <c r="N1383" s="5" t="str">
        <f aca="false">IF(A1383="","",IF(B1383=0,"NOT FOUND: bank ID",IF(I1383=0,"NOT FOUND: GL ID",IF(INDEX(GL!$H:$H,I1383)&lt;&gt;A1383,"BROKEN: GL points elsewhere",IF(OR(INDEX(Bank!$F:$F,B1383)&lt;&gt;"Y",INDEX(GL!$F:$F,I1383)&lt;&gt;"Y"),"BROKEN: Status not Y","OK")))))</f>
        <v/>
      </c>
    </row>
    <row r="1384" customFormat="false" ht="15" hidden="false" customHeight="false" outlineLevel="0" collapsed="false">
      <c r="A1384" s="41"/>
      <c r="B1384" s="5" t="n">
        <f aca="false">IF(A1384="",0,IFERROR(MATCH(A1384,Bank!$A:$A,0),0))</f>
        <v>0</v>
      </c>
      <c r="C1384" s="5" t="str">
        <f aca="false">IF(B1384=0,"",IF(INDEX(Bank!$G:$G,B1384)="","",INDEX(Bank!$G:$G,B1384)))</f>
        <v/>
      </c>
      <c r="D1384" s="5" t="str">
        <f aca="false">IF(B1384=0,"",IF(INDEX(Bank!$J:$J,B1384)="","",INDEX(Bank!$J:$J,B1384)))</f>
        <v/>
      </c>
      <c r="E1384" s="32" t="str">
        <f aca="false">IF(B1384=0,"",INDEX(Bank!$B:$B,B1384))</f>
        <v/>
      </c>
      <c r="F1384" s="5" t="str">
        <f aca="false">IF(B1384=0,"",IF(INDEX(Bank!$C:$C,B1384)="","",INDEX(Bank!$C:$C,B1384)))</f>
        <v/>
      </c>
      <c r="G1384" s="19" t="str">
        <f aca="false">IF(B1384=0,"",INDEX(Bank!$E:$E,B1384))</f>
        <v/>
      </c>
      <c r="H1384" s="5" t="str">
        <f aca="false">IF(B1384=0,"",IF(INDEX(Bank!$H:$H,B1384)="","",INDEX(Bank!$H:$H,B1384)))</f>
        <v/>
      </c>
      <c r="I1384" s="5" t="n">
        <f aca="false">IF(H1384="",0,IFERROR(MATCH(H1384,GL!$A:$A,0),0))</f>
        <v>0</v>
      </c>
      <c r="J1384" s="32" t="str">
        <f aca="false">IF(I1384=0,"",INDEX(GL!$B:$B,I1384))</f>
        <v/>
      </c>
      <c r="K1384" s="5" t="str">
        <f aca="false">IF(I1384=0,"",IF(INDEX(GL!$C:$C,I1384)="","",INDEX(GL!$C:$C,I1384)))</f>
        <v/>
      </c>
      <c r="L1384" s="19" t="str">
        <f aca="false">IF(I1384=0,"",INDEX(GL!$E:$E,I1384))</f>
        <v/>
      </c>
      <c r="M1384" s="19" t="str">
        <f aca="false">IF(OR(B1384=0,I1384=0),"",ROUND(G1384-L1384,2))</f>
        <v/>
      </c>
      <c r="N1384" s="5" t="str">
        <f aca="false">IF(A1384="","",IF(B1384=0,"NOT FOUND: bank ID",IF(I1384=0,"NOT FOUND: GL ID",IF(INDEX(GL!$H:$H,I1384)&lt;&gt;A1384,"BROKEN: GL points elsewhere",IF(OR(INDEX(Bank!$F:$F,B1384)&lt;&gt;"Y",INDEX(GL!$F:$F,I1384)&lt;&gt;"Y"),"BROKEN: Status not Y","OK")))))</f>
        <v/>
      </c>
    </row>
    <row r="1385" customFormat="false" ht="15" hidden="false" customHeight="false" outlineLevel="0" collapsed="false">
      <c r="A1385" s="41"/>
      <c r="B1385" s="5" t="n">
        <f aca="false">IF(A1385="",0,IFERROR(MATCH(A1385,Bank!$A:$A,0),0))</f>
        <v>0</v>
      </c>
      <c r="C1385" s="5" t="str">
        <f aca="false">IF(B1385=0,"",IF(INDEX(Bank!$G:$G,B1385)="","",INDEX(Bank!$G:$G,B1385)))</f>
        <v/>
      </c>
      <c r="D1385" s="5" t="str">
        <f aca="false">IF(B1385=0,"",IF(INDEX(Bank!$J:$J,B1385)="","",INDEX(Bank!$J:$J,B1385)))</f>
        <v/>
      </c>
      <c r="E1385" s="32" t="str">
        <f aca="false">IF(B1385=0,"",INDEX(Bank!$B:$B,B1385))</f>
        <v/>
      </c>
      <c r="F1385" s="5" t="str">
        <f aca="false">IF(B1385=0,"",IF(INDEX(Bank!$C:$C,B1385)="","",INDEX(Bank!$C:$C,B1385)))</f>
        <v/>
      </c>
      <c r="G1385" s="19" t="str">
        <f aca="false">IF(B1385=0,"",INDEX(Bank!$E:$E,B1385))</f>
        <v/>
      </c>
      <c r="H1385" s="5" t="str">
        <f aca="false">IF(B1385=0,"",IF(INDEX(Bank!$H:$H,B1385)="","",INDEX(Bank!$H:$H,B1385)))</f>
        <v/>
      </c>
      <c r="I1385" s="5" t="n">
        <f aca="false">IF(H1385="",0,IFERROR(MATCH(H1385,GL!$A:$A,0),0))</f>
        <v>0</v>
      </c>
      <c r="J1385" s="32" t="str">
        <f aca="false">IF(I1385=0,"",INDEX(GL!$B:$B,I1385))</f>
        <v/>
      </c>
      <c r="K1385" s="5" t="str">
        <f aca="false">IF(I1385=0,"",IF(INDEX(GL!$C:$C,I1385)="","",INDEX(GL!$C:$C,I1385)))</f>
        <v/>
      </c>
      <c r="L1385" s="19" t="str">
        <f aca="false">IF(I1385=0,"",INDEX(GL!$E:$E,I1385))</f>
        <v/>
      </c>
      <c r="M1385" s="19" t="str">
        <f aca="false">IF(OR(B1385=0,I1385=0),"",ROUND(G1385-L1385,2))</f>
        <v/>
      </c>
      <c r="N1385" s="5" t="str">
        <f aca="false">IF(A1385="","",IF(B1385=0,"NOT FOUND: bank ID",IF(I1385=0,"NOT FOUND: GL ID",IF(INDEX(GL!$H:$H,I1385)&lt;&gt;A1385,"BROKEN: GL points elsewhere",IF(OR(INDEX(Bank!$F:$F,B1385)&lt;&gt;"Y",INDEX(GL!$F:$F,I1385)&lt;&gt;"Y"),"BROKEN: Status not Y","OK")))))</f>
        <v/>
      </c>
    </row>
    <row r="1386" customFormat="false" ht="15" hidden="false" customHeight="false" outlineLevel="0" collapsed="false">
      <c r="A1386" s="41"/>
      <c r="B1386" s="5" t="n">
        <f aca="false">IF(A1386="",0,IFERROR(MATCH(A1386,Bank!$A:$A,0),0))</f>
        <v>0</v>
      </c>
      <c r="C1386" s="5" t="str">
        <f aca="false">IF(B1386=0,"",IF(INDEX(Bank!$G:$G,B1386)="","",INDEX(Bank!$G:$G,B1386)))</f>
        <v/>
      </c>
      <c r="D1386" s="5" t="str">
        <f aca="false">IF(B1386=0,"",IF(INDEX(Bank!$J:$J,B1386)="","",INDEX(Bank!$J:$J,B1386)))</f>
        <v/>
      </c>
      <c r="E1386" s="32" t="str">
        <f aca="false">IF(B1386=0,"",INDEX(Bank!$B:$B,B1386))</f>
        <v/>
      </c>
      <c r="F1386" s="5" t="str">
        <f aca="false">IF(B1386=0,"",IF(INDEX(Bank!$C:$C,B1386)="","",INDEX(Bank!$C:$C,B1386)))</f>
        <v/>
      </c>
      <c r="G1386" s="19" t="str">
        <f aca="false">IF(B1386=0,"",INDEX(Bank!$E:$E,B1386))</f>
        <v/>
      </c>
      <c r="H1386" s="5" t="str">
        <f aca="false">IF(B1386=0,"",IF(INDEX(Bank!$H:$H,B1386)="","",INDEX(Bank!$H:$H,B1386)))</f>
        <v/>
      </c>
      <c r="I1386" s="5" t="n">
        <f aca="false">IF(H1386="",0,IFERROR(MATCH(H1386,GL!$A:$A,0),0))</f>
        <v>0</v>
      </c>
      <c r="J1386" s="32" t="str">
        <f aca="false">IF(I1386=0,"",INDEX(GL!$B:$B,I1386))</f>
        <v/>
      </c>
      <c r="K1386" s="5" t="str">
        <f aca="false">IF(I1386=0,"",IF(INDEX(GL!$C:$C,I1386)="","",INDEX(GL!$C:$C,I1386)))</f>
        <v/>
      </c>
      <c r="L1386" s="19" t="str">
        <f aca="false">IF(I1386=0,"",INDEX(GL!$E:$E,I1386))</f>
        <v/>
      </c>
      <c r="M1386" s="19" t="str">
        <f aca="false">IF(OR(B1386=0,I1386=0),"",ROUND(G1386-L1386,2))</f>
        <v/>
      </c>
      <c r="N1386" s="5" t="str">
        <f aca="false">IF(A1386="","",IF(B1386=0,"NOT FOUND: bank ID",IF(I1386=0,"NOT FOUND: GL ID",IF(INDEX(GL!$H:$H,I1386)&lt;&gt;A1386,"BROKEN: GL points elsewhere",IF(OR(INDEX(Bank!$F:$F,B1386)&lt;&gt;"Y",INDEX(GL!$F:$F,I1386)&lt;&gt;"Y"),"BROKEN: Status not Y","OK")))))</f>
        <v/>
      </c>
    </row>
    <row r="1387" customFormat="false" ht="15" hidden="false" customHeight="false" outlineLevel="0" collapsed="false">
      <c r="A1387" s="41"/>
      <c r="B1387" s="5" t="n">
        <f aca="false">IF(A1387="",0,IFERROR(MATCH(A1387,Bank!$A:$A,0),0))</f>
        <v>0</v>
      </c>
      <c r="C1387" s="5" t="str">
        <f aca="false">IF(B1387=0,"",IF(INDEX(Bank!$G:$G,B1387)="","",INDEX(Bank!$G:$G,B1387)))</f>
        <v/>
      </c>
      <c r="D1387" s="5" t="str">
        <f aca="false">IF(B1387=0,"",IF(INDEX(Bank!$J:$J,B1387)="","",INDEX(Bank!$J:$J,B1387)))</f>
        <v/>
      </c>
      <c r="E1387" s="32" t="str">
        <f aca="false">IF(B1387=0,"",INDEX(Bank!$B:$B,B1387))</f>
        <v/>
      </c>
      <c r="F1387" s="5" t="str">
        <f aca="false">IF(B1387=0,"",IF(INDEX(Bank!$C:$C,B1387)="","",INDEX(Bank!$C:$C,B1387)))</f>
        <v/>
      </c>
      <c r="G1387" s="19" t="str">
        <f aca="false">IF(B1387=0,"",INDEX(Bank!$E:$E,B1387))</f>
        <v/>
      </c>
      <c r="H1387" s="5" t="str">
        <f aca="false">IF(B1387=0,"",IF(INDEX(Bank!$H:$H,B1387)="","",INDEX(Bank!$H:$H,B1387)))</f>
        <v/>
      </c>
      <c r="I1387" s="5" t="n">
        <f aca="false">IF(H1387="",0,IFERROR(MATCH(H1387,GL!$A:$A,0),0))</f>
        <v>0</v>
      </c>
      <c r="J1387" s="32" t="str">
        <f aca="false">IF(I1387=0,"",INDEX(GL!$B:$B,I1387))</f>
        <v/>
      </c>
      <c r="K1387" s="5" t="str">
        <f aca="false">IF(I1387=0,"",IF(INDEX(GL!$C:$C,I1387)="","",INDEX(GL!$C:$C,I1387)))</f>
        <v/>
      </c>
      <c r="L1387" s="19" t="str">
        <f aca="false">IF(I1387=0,"",INDEX(GL!$E:$E,I1387))</f>
        <v/>
      </c>
      <c r="M1387" s="19" t="str">
        <f aca="false">IF(OR(B1387=0,I1387=0),"",ROUND(G1387-L1387,2))</f>
        <v/>
      </c>
      <c r="N1387" s="5" t="str">
        <f aca="false">IF(A1387="","",IF(B1387=0,"NOT FOUND: bank ID",IF(I1387=0,"NOT FOUND: GL ID",IF(INDEX(GL!$H:$H,I1387)&lt;&gt;A1387,"BROKEN: GL points elsewhere",IF(OR(INDEX(Bank!$F:$F,B1387)&lt;&gt;"Y",INDEX(GL!$F:$F,I1387)&lt;&gt;"Y"),"BROKEN: Status not Y","OK")))))</f>
        <v/>
      </c>
    </row>
    <row r="1388" customFormat="false" ht="15" hidden="false" customHeight="false" outlineLevel="0" collapsed="false">
      <c r="A1388" s="41"/>
      <c r="B1388" s="5" t="n">
        <f aca="false">IF(A1388="",0,IFERROR(MATCH(A1388,Bank!$A:$A,0),0))</f>
        <v>0</v>
      </c>
      <c r="C1388" s="5" t="str">
        <f aca="false">IF(B1388=0,"",IF(INDEX(Bank!$G:$G,B1388)="","",INDEX(Bank!$G:$G,B1388)))</f>
        <v/>
      </c>
      <c r="D1388" s="5" t="str">
        <f aca="false">IF(B1388=0,"",IF(INDEX(Bank!$J:$J,B1388)="","",INDEX(Bank!$J:$J,B1388)))</f>
        <v/>
      </c>
      <c r="E1388" s="32" t="str">
        <f aca="false">IF(B1388=0,"",INDEX(Bank!$B:$B,B1388))</f>
        <v/>
      </c>
      <c r="F1388" s="5" t="str">
        <f aca="false">IF(B1388=0,"",IF(INDEX(Bank!$C:$C,B1388)="","",INDEX(Bank!$C:$C,B1388)))</f>
        <v/>
      </c>
      <c r="G1388" s="19" t="str">
        <f aca="false">IF(B1388=0,"",INDEX(Bank!$E:$E,B1388))</f>
        <v/>
      </c>
      <c r="H1388" s="5" t="str">
        <f aca="false">IF(B1388=0,"",IF(INDEX(Bank!$H:$H,B1388)="","",INDEX(Bank!$H:$H,B1388)))</f>
        <v/>
      </c>
      <c r="I1388" s="5" t="n">
        <f aca="false">IF(H1388="",0,IFERROR(MATCH(H1388,GL!$A:$A,0),0))</f>
        <v>0</v>
      </c>
      <c r="J1388" s="32" t="str">
        <f aca="false">IF(I1388=0,"",INDEX(GL!$B:$B,I1388))</f>
        <v/>
      </c>
      <c r="K1388" s="5" t="str">
        <f aca="false">IF(I1388=0,"",IF(INDEX(GL!$C:$C,I1388)="","",INDEX(GL!$C:$C,I1388)))</f>
        <v/>
      </c>
      <c r="L1388" s="19" t="str">
        <f aca="false">IF(I1388=0,"",INDEX(GL!$E:$E,I1388))</f>
        <v/>
      </c>
      <c r="M1388" s="19" t="str">
        <f aca="false">IF(OR(B1388=0,I1388=0),"",ROUND(G1388-L1388,2))</f>
        <v/>
      </c>
      <c r="N1388" s="5" t="str">
        <f aca="false">IF(A1388="","",IF(B1388=0,"NOT FOUND: bank ID",IF(I1388=0,"NOT FOUND: GL ID",IF(INDEX(GL!$H:$H,I1388)&lt;&gt;A1388,"BROKEN: GL points elsewhere",IF(OR(INDEX(Bank!$F:$F,B1388)&lt;&gt;"Y",INDEX(GL!$F:$F,I1388)&lt;&gt;"Y"),"BROKEN: Status not Y","OK")))))</f>
        <v/>
      </c>
    </row>
    <row r="1389" customFormat="false" ht="15" hidden="false" customHeight="false" outlineLevel="0" collapsed="false">
      <c r="A1389" s="41"/>
      <c r="B1389" s="5" t="n">
        <f aca="false">IF(A1389="",0,IFERROR(MATCH(A1389,Bank!$A:$A,0),0))</f>
        <v>0</v>
      </c>
      <c r="C1389" s="5" t="str">
        <f aca="false">IF(B1389=0,"",IF(INDEX(Bank!$G:$G,B1389)="","",INDEX(Bank!$G:$G,B1389)))</f>
        <v/>
      </c>
      <c r="D1389" s="5" t="str">
        <f aca="false">IF(B1389=0,"",IF(INDEX(Bank!$J:$J,B1389)="","",INDEX(Bank!$J:$J,B1389)))</f>
        <v/>
      </c>
      <c r="E1389" s="32" t="str">
        <f aca="false">IF(B1389=0,"",INDEX(Bank!$B:$B,B1389))</f>
        <v/>
      </c>
      <c r="F1389" s="5" t="str">
        <f aca="false">IF(B1389=0,"",IF(INDEX(Bank!$C:$C,B1389)="","",INDEX(Bank!$C:$C,B1389)))</f>
        <v/>
      </c>
      <c r="G1389" s="19" t="str">
        <f aca="false">IF(B1389=0,"",INDEX(Bank!$E:$E,B1389))</f>
        <v/>
      </c>
      <c r="H1389" s="5" t="str">
        <f aca="false">IF(B1389=0,"",IF(INDEX(Bank!$H:$H,B1389)="","",INDEX(Bank!$H:$H,B1389)))</f>
        <v/>
      </c>
      <c r="I1389" s="5" t="n">
        <f aca="false">IF(H1389="",0,IFERROR(MATCH(H1389,GL!$A:$A,0),0))</f>
        <v>0</v>
      </c>
      <c r="J1389" s="32" t="str">
        <f aca="false">IF(I1389=0,"",INDEX(GL!$B:$B,I1389))</f>
        <v/>
      </c>
      <c r="K1389" s="5" t="str">
        <f aca="false">IF(I1389=0,"",IF(INDEX(GL!$C:$C,I1389)="","",INDEX(GL!$C:$C,I1389)))</f>
        <v/>
      </c>
      <c r="L1389" s="19" t="str">
        <f aca="false">IF(I1389=0,"",INDEX(GL!$E:$E,I1389))</f>
        <v/>
      </c>
      <c r="M1389" s="19" t="str">
        <f aca="false">IF(OR(B1389=0,I1389=0),"",ROUND(G1389-L1389,2))</f>
        <v/>
      </c>
      <c r="N1389" s="5" t="str">
        <f aca="false">IF(A1389="","",IF(B1389=0,"NOT FOUND: bank ID",IF(I1389=0,"NOT FOUND: GL ID",IF(INDEX(GL!$H:$H,I1389)&lt;&gt;A1389,"BROKEN: GL points elsewhere",IF(OR(INDEX(Bank!$F:$F,B1389)&lt;&gt;"Y",INDEX(GL!$F:$F,I1389)&lt;&gt;"Y"),"BROKEN: Status not Y","OK")))))</f>
        <v/>
      </c>
    </row>
    <row r="1390" customFormat="false" ht="15" hidden="false" customHeight="false" outlineLevel="0" collapsed="false">
      <c r="A1390" s="41"/>
      <c r="B1390" s="5" t="n">
        <f aca="false">IF(A1390="",0,IFERROR(MATCH(A1390,Bank!$A:$A,0),0))</f>
        <v>0</v>
      </c>
      <c r="C1390" s="5" t="str">
        <f aca="false">IF(B1390=0,"",IF(INDEX(Bank!$G:$G,B1390)="","",INDEX(Bank!$G:$G,B1390)))</f>
        <v/>
      </c>
      <c r="D1390" s="5" t="str">
        <f aca="false">IF(B1390=0,"",IF(INDEX(Bank!$J:$J,B1390)="","",INDEX(Bank!$J:$J,B1390)))</f>
        <v/>
      </c>
      <c r="E1390" s="32" t="str">
        <f aca="false">IF(B1390=0,"",INDEX(Bank!$B:$B,B1390))</f>
        <v/>
      </c>
      <c r="F1390" s="5" t="str">
        <f aca="false">IF(B1390=0,"",IF(INDEX(Bank!$C:$C,B1390)="","",INDEX(Bank!$C:$C,B1390)))</f>
        <v/>
      </c>
      <c r="G1390" s="19" t="str">
        <f aca="false">IF(B1390=0,"",INDEX(Bank!$E:$E,B1390))</f>
        <v/>
      </c>
      <c r="H1390" s="5" t="str">
        <f aca="false">IF(B1390=0,"",IF(INDEX(Bank!$H:$H,B1390)="","",INDEX(Bank!$H:$H,B1390)))</f>
        <v/>
      </c>
      <c r="I1390" s="5" t="n">
        <f aca="false">IF(H1390="",0,IFERROR(MATCH(H1390,GL!$A:$A,0),0))</f>
        <v>0</v>
      </c>
      <c r="J1390" s="32" t="str">
        <f aca="false">IF(I1390=0,"",INDEX(GL!$B:$B,I1390))</f>
        <v/>
      </c>
      <c r="K1390" s="5" t="str">
        <f aca="false">IF(I1390=0,"",IF(INDEX(GL!$C:$C,I1390)="","",INDEX(GL!$C:$C,I1390)))</f>
        <v/>
      </c>
      <c r="L1390" s="19" t="str">
        <f aca="false">IF(I1390=0,"",INDEX(GL!$E:$E,I1390))</f>
        <v/>
      </c>
      <c r="M1390" s="19" t="str">
        <f aca="false">IF(OR(B1390=0,I1390=0),"",ROUND(G1390-L1390,2))</f>
        <v/>
      </c>
      <c r="N1390" s="5" t="str">
        <f aca="false">IF(A1390="","",IF(B1390=0,"NOT FOUND: bank ID",IF(I1390=0,"NOT FOUND: GL ID",IF(INDEX(GL!$H:$H,I1390)&lt;&gt;A1390,"BROKEN: GL points elsewhere",IF(OR(INDEX(Bank!$F:$F,B1390)&lt;&gt;"Y",INDEX(GL!$F:$F,I1390)&lt;&gt;"Y"),"BROKEN: Status not Y","OK")))))</f>
        <v/>
      </c>
    </row>
    <row r="1391" customFormat="false" ht="15" hidden="false" customHeight="false" outlineLevel="0" collapsed="false">
      <c r="A1391" s="41"/>
      <c r="B1391" s="5" t="n">
        <f aca="false">IF(A1391="",0,IFERROR(MATCH(A1391,Bank!$A:$A,0),0))</f>
        <v>0</v>
      </c>
      <c r="C1391" s="5" t="str">
        <f aca="false">IF(B1391=0,"",IF(INDEX(Bank!$G:$G,B1391)="","",INDEX(Bank!$G:$G,B1391)))</f>
        <v/>
      </c>
      <c r="D1391" s="5" t="str">
        <f aca="false">IF(B1391=0,"",IF(INDEX(Bank!$J:$J,B1391)="","",INDEX(Bank!$J:$J,B1391)))</f>
        <v/>
      </c>
      <c r="E1391" s="32" t="str">
        <f aca="false">IF(B1391=0,"",INDEX(Bank!$B:$B,B1391))</f>
        <v/>
      </c>
      <c r="F1391" s="5" t="str">
        <f aca="false">IF(B1391=0,"",IF(INDEX(Bank!$C:$C,B1391)="","",INDEX(Bank!$C:$C,B1391)))</f>
        <v/>
      </c>
      <c r="G1391" s="19" t="str">
        <f aca="false">IF(B1391=0,"",INDEX(Bank!$E:$E,B1391))</f>
        <v/>
      </c>
      <c r="H1391" s="5" t="str">
        <f aca="false">IF(B1391=0,"",IF(INDEX(Bank!$H:$H,B1391)="","",INDEX(Bank!$H:$H,B1391)))</f>
        <v/>
      </c>
      <c r="I1391" s="5" t="n">
        <f aca="false">IF(H1391="",0,IFERROR(MATCH(H1391,GL!$A:$A,0),0))</f>
        <v>0</v>
      </c>
      <c r="J1391" s="32" t="str">
        <f aca="false">IF(I1391=0,"",INDEX(GL!$B:$B,I1391))</f>
        <v/>
      </c>
      <c r="K1391" s="5" t="str">
        <f aca="false">IF(I1391=0,"",IF(INDEX(GL!$C:$C,I1391)="","",INDEX(GL!$C:$C,I1391)))</f>
        <v/>
      </c>
      <c r="L1391" s="19" t="str">
        <f aca="false">IF(I1391=0,"",INDEX(GL!$E:$E,I1391))</f>
        <v/>
      </c>
      <c r="M1391" s="19" t="str">
        <f aca="false">IF(OR(B1391=0,I1391=0),"",ROUND(G1391-L1391,2))</f>
        <v/>
      </c>
      <c r="N1391" s="5" t="str">
        <f aca="false">IF(A1391="","",IF(B1391=0,"NOT FOUND: bank ID",IF(I1391=0,"NOT FOUND: GL ID",IF(INDEX(GL!$H:$H,I1391)&lt;&gt;A1391,"BROKEN: GL points elsewhere",IF(OR(INDEX(Bank!$F:$F,B1391)&lt;&gt;"Y",INDEX(GL!$F:$F,I1391)&lt;&gt;"Y"),"BROKEN: Status not Y","OK")))))</f>
        <v/>
      </c>
    </row>
    <row r="1392" customFormat="false" ht="15" hidden="false" customHeight="false" outlineLevel="0" collapsed="false">
      <c r="A1392" s="41"/>
      <c r="B1392" s="5" t="n">
        <f aca="false">IF(A1392="",0,IFERROR(MATCH(A1392,Bank!$A:$A,0),0))</f>
        <v>0</v>
      </c>
      <c r="C1392" s="5" t="str">
        <f aca="false">IF(B1392=0,"",IF(INDEX(Bank!$G:$G,B1392)="","",INDEX(Bank!$G:$G,B1392)))</f>
        <v/>
      </c>
      <c r="D1392" s="5" t="str">
        <f aca="false">IF(B1392=0,"",IF(INDEX(Bank!$J:$J,B1392)="","",INDEX(Bank!$J:$J,B1392)))</f>
        <v/>
      </c>
      <c r="E1392" s="32" t="str">
        <f aca="false">IF(B1392=0,"",INDEX(Bank!$B:$B,B1392))</f>
        <v/>
      </c>
      <c r="F1392" s="5" t="str">
        <f aca="false">IF(B1392=0,"",IF(INDEX(Bank!$C:$C,B1392)="","",INDEX(Bank!$C:$C,B1392)))</f>
        <v/>
      </c>
      <c r="G1392" s="19" t="str">
        <f aca="false">IF(B1392=0,"",INDEX(Bank!$E:$E,B1392))</f>
        <v/>
      </c>
      <c r="H1392" s="5" t="str">
        <f aca="false">IF(B1392=0,"",IF(INDEX(Bank!$H:$H,B1392)="","",INDEX(Bank!$H:$H,B1392)))</f>
        <v/>
      </c>
      <c r="I1392" s="5" t="n">
        <f aca="false">IF(H1392="",0,IFERROR(MATCH(H1392,GL!$A:$A,0),0))</f>
        <v>0</v>
      </c>
      <c r="J1392" s="32" t="str">
        <f aca="false">IF(I1392=0,"",INDEX(GL!$B:$B,I1392))</f>
        <v/>
      </c>
      <c r="K1392" s="5" t="str">
        <f aca="false">IF(I1392=0,"",IF(INDEX(GL!$C:$C,I1392)="","",INDEX(GL!$C:$C,I1392)))</f>
        <v/>
      </c>
      <c r="L1392" s="19" t="str">
        <f aca="false">IF(I1392=0,"",INDEX(GL!$E:$E,I1392))</f>
        <v/>
      </c>
      <c r="M1392" s="19" t="str">
        <f aca="false">IF(OR(B1392=0,I1392=0),"",ROUND(G1392-L1392,2))</f>
        <v/>
      </c>
      <c r="N1392" s="5" t="str">
        <f aca="false">IF(A1392="","",IF(B1392=0,"NOT FOUND: bank ID",IF(I1392=0,"NOT FOUND: GL ID",IF(INDEX(GL!$H:$H,I1392)&lt;&gt;A1392,"BROKEN: GL points elsewhere",IF(OR(INDEX(Bank!$F:$F,B1392)&lt;&gt;"Y",INDEX(GL!$F:$F,I1392)&lt;&gt;"Y"),"BROKEN: Status not Y","OK")))))</f>
        <v/>
      </c>
    </row>
    <row r="1393" customFormat="false" ht="15" hidden="false" customHeight="false" outlineLevel="0" collapsed="false">
      <c r="A1393" s="41"/>
      <c r="B1393" s="5" t="n">
        <f aca="false">IF(A1393="",0,IFERROR(MATCH(A1393,Bank!$A:$A,0),0))</f>
        <v>0</v>
      </c>
      <c r="C1393" s="5" t="str">
        <f aca="false">IF(B1393=0,"",IF(INDEX(Bank!$G:$G,B1393)="","",INDEX(Bank!$G:$G,B1393)))</f>
        <v/>
      </c>
      <c r="D1393" s="5" t="str">
        <f aca="false">IF(B1393=0,"",IF(INDEX(Bank!$J:$J,B1393)="","",INDEX(Bank!$J:$J,B1393)))</f>
        <v/>
      </c>
      <c r="E1393" s="32" t="str">
        <f aca="false">IF(B1393=0,"",INDEX(Bank!$B:$B,B1393))</f>
        <v/>
      </c>
      <c r="F1393" s="5" t="str">
        <f aca="false">IF(B1393=0,"",IF(INDEX(Bank!$C:$C,B1393)="","",INDEX(Bank!$C:$C,B1393)))</f>
        <v/>
      </c>
      <c r="G1393" s="19" t="str">
        <f aca="false">IF(B1393=0,"",INDEX(Bank!$E:$E,B1393))</f>
        <v/>
      </c>
      <c r="H1393" s="5" t="str">
        <f aca="false">IF(B1393=0,"",IF(INDEX(Bank!$H:$H,B1393)="","",INDEX(Bank!$H:$H,B1393)))</f>
        <v/>
      </c>
      <c r="I1393" s="5" t="n">
        <f aca="false">IF(H1393="",0,IFERROR(MATCH(H1393,GL!$A:$A,0),0))</f>
        <v>0</v>
      </c>
      <c r="J1393" s="32" t="str">
        <f aca="false">IF(I1393=0,"",INDEX(GL!$B:$B,I1393))</f>
        <v/>
      </c>
      <c r="K1393" s="5" t="str">
        <f aca="false">IF(I1393=0,"",IF(INDEX(GL!$C:$C,I1393)="","",INDEX(GL!$C:$C,I1393)))</f>
        <v/>
      </c>
      <c r="L1393" s="19" t="str">
        <f aca="false">IF(I1393=0,"",INDEX(GL!$E:$E,I1393))</f>
        <v/>
      </c>
      <c r="M1393" s="19" t="str">
        <f aca="false">IF(OR(B1393=0,I1393=0),"",ROUND(G1393-L1393,2))</f>
        <v/>
      </c>
      <c r="N1393" s="5" t="str">
        <f aca="false">IF(A1393="","",IF(B1393=0,"NOT FOUND: bank ID",IF(I1393=0,"NOT FOUND: GL ID",IF(INDEX(GL!$H:$H,I1393)&lt;&gt;A1393,"BROKEN: GL points elsewhere",IF(OR(INDEX(Bank!$F:$F,B1393)&lt;&gt;"Y",INDEX(GL!$F:$F,I1393)&lt;&gt;"Y"),"BROKEN: Status not Y","OK")))))</f>
        <v/>
      </c>
    </row>
    <row r="1394" customFormat="false" ht="15" hidden="false" customHeight="false" outlineLevel="0" collapsed="false">
      <c r="A1394" s="41"/>
      <c r="B1394" s="5" t="n">
        <f aca="false">IF(A1394="",0,IFERROR(MATCH(A1394,Bank!$A:$A,0),0))</f>
        <v>0</v>
      </c>
      <c r="C1394" s="5" t="str">
        <f aca="false">IF(B1394=0,"",IF(INDEX(Bank!$G:$G,B1394)="","",INDEX(Bank!$G:$G,B1394)))</f>
        <v/>
      </c>
      <c r="D1394" s="5" t="str">
        <f aca="false">IF(B1394=0,"",IF(INDEX(Bank!$J:$J,B1394)="","",INDEX(Bank!$J:$J,B1394)))</f>
        <v/>
      </c>
      <c r="E1394" s="32" t="str">
        <f aca="false">IF(B1394=0,"",INDEX(Bank!$B:$B,B1394))</f>
        <v/>
      </c>
      <c r="F1394" s="5" t="str">
        <f aca="false">IF(B1394=0,"",IF(INDEX(Bank!$C:$C,B1394)="","",INDEX(Bank!$C:$C,B1394)))</f>
        <v/>
      </c>
      <c r="G1394" s="19" t="str">
        <f aca="false">IF(B1394=0,"",INDEX(Bank!$E:$E,B1394))</f>
        <v/>
      </c>
      <c r="H1394" s="5" t="str">
        <f aca="false">IF(B1394=0,"",IF(INDEX(Bank!$H:$H,B1394)="","",INDEX(Bank!$H:$H,B1394)))</f>
        <v/>
      </c>
      <c r="I1394" s="5" t="n">
        <f aca="false">IF(H1394="",0,IFERROR(MATCH(H1394,GL!$A:$A,0),0))</f>
        <v>0</v>
      </c>
      <c r="J1394" s="32" t="str">
        <f aca="false">IF(I1394=0,"",INDEX(GL!$B:$B,I1394))</f>
        <v/>
      </c>
      <c r="K1394" s="5" t="str">
        <f aca="false">IF(I1394=0,"",IF(INDEX(GL!$C:$C,I1394)="","",INDEX(GL!$C:$C,I1394)))</f>
        <v/>
      </c>
      <c r="L1394" s="19" t="str">
        <f aca="false">IF(I1394=0,"",INDEX(GL!$E:$E,I1394))</f>
        <v/>
      </c>
      <c r="M1394" s="19" t="str">
        <f aca="false">IF(OR(B1394=0,I1394=0),"",ROUND(G1394-L1394,2))</f>
        <v/>
      </c>
      <c r="N1394" s="5" t="str">
        <f aca="false">IF(A1394="","",IF(B1394=0,"NOT FOUND: bank ID",IF(I1394=0,"NOT FOUND: GL ID",IF(INDEX(GL!$H:$H,I1394)&lt;&gt;A1394,"BROKEN: GL points elsewhere",IF(OR(INDEX(Bank!$F:$F,B1394)&lt;&gt;"Y",INDEX(GL!$F:$F,I1394)&lt;&gt;"Y"),"BROKEN: Status not Y","OK")))))</f>
        <v/>
      </c>
    </row>
    <row r="1395" customFormat="false" ht="15" hidden="false" customHeight="false" outlineLevel="0" collapsed="false">
      <c r="A1395" s="41"/>
      <c r="B1395" s="5" t="n">
        <f aca="false">IF(A1395="",0,IFERROR(MATCH(A1395,Bank!$A:$A,0),0))</f>
        <v>0</v>
      </c>
      <c r="C1395" s="5" t="str">
        <f aca="false">IF(B1395=0,"",IF(INDEX(Bank!$G:$G,B1395)="","",INDEX(Bank!$G:$G,B1395)))</f>
        <v/>
      </c>
      <c r="D1395" s="5" t="str">
        <f aca="false">IF(B1395=0,"",IF(INDEX(Bank!$J:$J,B1395)="","",INDEX(Bank!$J:$J,B1395)))</f>
        <v/>
      </c>
      <c r="E1395" s="32" t="str">
        <f aca="false">IF(B1395=0,"",INDEX(Bank!$B:$B,B1395))</f>
        <v/>
      </c>
      <c r="F1395" s="5" t="str">
        <f aca="false">IF(B1395=0,"",IF(INDEX(Bank!$C:$C,B1395)="","",INDEX(Bank!$C:$C,B1395)))</f>
        <v/>
      </c>
      <c r="G1395" s="19" t="str">
        <f aca="false">IF(B1395=0,"",INDEX(Bank!$E:$E,B1395))</f>
        <v/>
      </c>
      <c r="H1395" s="5" t="str">
        <f aca="false">IF(B1395=0,"",IF(INDEX(Bank!$H:$H,B1395)="","",INDEX(Bank!$H:$H,B1395)))</f>
        <v/>
      </c>
      <c r="I1395" s="5" t="n">
        <f aca="false">IF(H1395="",0,IFERROR(MATCH(H1395,GL!$A:$A,0),0))</f>
        <v>0</v>
      </c>
      <c r="J1395" s="32" t="str">
        <f aca="false">IF(I1395=0,"",INDEX(GL!$B:$B,I1395))</f>
        <v/>
      </c>
      <c r="K1395" s="5" t="str">
        <f aca="false">IF(I1395=0,"",IF(INDEX(GL!$C:$C,I1395)="","",INDEX(GL!$C:$C,I1395)))</f>
        <v/>
      </c>
      <c r="L1395" s="19" t="str">
        <f aca="false">IF(I1395=0,"",INDEX(GL!$E:$E,I1395))</f>
        <v/>
      </c>
      <c r="M1395" s="19" t="str">
        <f aca="false">IF(OR(B1395=0,I1395=0),"",ROUND(G1395-L1395,2))</f>
        <v/>
      </c>
      <c r="N1395" s="5" t="str">
        <f aca="false">IF(A1395="","",IF(B1395=0,"NOT FOUND: bank ID",IF(I1395=0,"NOT FOUND: GL ID",IF(INDEX(GL!$H:$H,I1395)&lt;&gt;A1395,"BROKEN: GL points elsewhere",IF(OR(INDEX(Bank!$F:$F,B1395)&lt;&gt;"Y",INDEX(GL!$F:$F,I1395)&lt;&gt;"Y"),"BROKEN: Status not Y","OK")))))</f>
        <v/>
      </c>
    </row>
    <row r="1396" customFormat="false" ht="15" hidden="false" customHeight="false" outlineLevel="0" collapsed="false">
      <c r="A1396" s="41"/>
      <c r="B1396" s="5" t="n">
        <f aca="false">IF(A1396="",0,IFERROR(MATCH(A1396,Bank!$A:$A,0),0))</f>
        <v>0</v>
      </c>
      <c r="C1396" s="5" t="str">
        <f aca="false">IF(B1396=0,"",IF(INDEX(Bank!$G:$G,B1396)="","",INDEX(Bank!$G:$G,B1396)))</f>
        <v/>
      </c>
      <c r="D1396" s="5" t="str">
        <f aca="false">IF(B1396=0,"",IF(INDEX(Bank!$J:$J,B1396)="","",INDEX(Bank!$J:$J,B1396)))</f>
        <v/>
      </c>
      <c r="E1396" s="32" t="str">
        <f aca="false">IF(B1396=0,"",INDEX(Bank!$B:$B,B1396))</f>
        <v/>
      </c>
      <c r="F1396" s="5" t="str">
        <f aca="false">IF(B1396=0,"",IF(INDEX(Bank!$C:$C,B1396)="","",INDEX(Bank!$C:$C,B1396)))</f>
        <v/>
      </c>
      <c r="G1396" s="19" t="str">
        <f aca="false">IF(B1396=0,"",INDEX(Bank!$E:$E,B1396))</f>
        <v/>
      </c>
      <c r="H1396" s="5" t="str">
        <f aca="false">IF(B1396=0,"",IF(INDEX(Bank!$H:$H,B1396)="","",INDEX(Bank!$H:$H,B1396)))</f>
        <v/>
      </c>
      <c r="I1396" s="5" t="n">
        <f aca="false">IF(H1396="",0,IFERROR(MATCH(H1396,GL!$A:$A,0),0))</f>
        <v>0</v>
      </c>
      <c r="J1396" s="32" t="str">
        <f aca="false">IF(I1396=0,"",INDEX(GL!$B:$B,I1396))</f>
        <v/>
      </c>
      <c r="K1396" s="5" t="str">
        <f aca="false">IF(I1396=0,"",IF(INDEX(GL!$C:$C,I1396)="","",INDEX(GL!$C:$C,I1396)))</f>
        <v/>
      </c>
      <c r="L1396" s="19" t="str">
        <f aca="false">IF(I1396=0,"",INDEX(GL!$E:$E,I1396))</f>
        <v/>
      </c>
      <c r="M1396" s="19" t="str">
        <f aca="false">IF(OR(B1396=0,I1396=0),"",ROUND(G1396-L1396,2))</f>
        <v/>
      </c>
      <c r="N1396" s="5" t="str">
        <f aca="false">IF(A1396="","",IF(B1396=0,"NOT FOUND: bank ID",IF(I1396=0,"NOT FOUND: GL ID",IF(INDEX(GL!$H:$H,I1396)&lt;&gt;A1396,"BROKEN: GL points elsewhere",IF(OR(INDEX(Bank!$F:$F,B1396)&lt;&gt;"Y",INDEX(GL!$F:$F,I1396)&lt;&gt;"Y"),"BROKEN: Status not Y","OK")))))</f>
        <v/>
      </c>
    </row>
    <row r="1397" customFormat="false" ht="15" hidden="false" customHeight="false" outlineLevel="0" collapsed="false">
      <c r="A1397" s="41"/>
      <c r="B1397" s="5" t="n">
        <f aca="false">IF(A1397="",0,IFERROR(MATCH(A1397,Bank!$A:$A,0),0))</f>
        <v>0</v>
      </c>
      <c r="C1397" s="5" t="str">
        <f aca="false">IF(B1397=0,"",IF(INDEX(Bank!$G:$G,B1397)="","",INDEX(Bank!$G:$G,B1397)))</f>
        <v/>
      </c>
      <c r="D1397" s="5" t="str">
        <f aca="false">IF(B1397=0,"",IF(INDEX(Bank!$J:$J,B1397)="","",INDEX(Bank!$J:$J,B1397)))</f>
        <v/>
      </c>
      <c r="E1397" s="32" t="str">
        <f aca="false">IF(B1397=0,"",INDEX(Bank!$B:$B,B1397))</f>
        <v/>
      </c>
      <c r="F1397" s="5" t="str">
        <f aca="false">IF(B1397=0,"",IF(INDEX(Bank!$C:$C,B1397)="","",INDEX(Bank!$C:$C,B1397)))</f>
        <v/>
      </c>
      <c r="G1397" s="19" t="str">
        <f aca="false">IF(B1397=0,"",INDEX(Bank!$E:$E,B1397))</f>
        <v/>
      </c>
      <c r="H1397" s="5" t="str">
        <f aca="false">IF(B1397=0,"",IF(INDEX(Bank!$H:$H,B1397)="","",INDEX(Bank!$H:$H,B1397)))</f>
        <v/>
      </c>
      <c r="I1397" s="5" t="n">
        <f aca="false">IF(H1397="",0,IFERROR(MATCH(H1397,GL!$A:$A,0),0))</f>
        <v>0</v>
      </c>
      <c r="J1397" s="32" t="str">
        <f aca="false">IF(I1397=0,"",INDEX(GL!$B:$B,I1397))</f>
        <v/>
      </c>
      <c r="K1397" s="5" t="str">
        <f aca="false">IF(I1397=0,"",IF(INDEX(GL!$C:$C,I1397)="","",INDEX(GL!$C:$C,I1397)))</f>
        <v/>
      </c>
      <c r="L1397" s="19" t="str">
        <f aca="false">IF(I1397=0,"",INDEX(GL!$E:$E,I1397))</f>
        <v/>
      </c>
      <c r="M1397" s="19" t="str">
        <f aca="false">IF(OR(B1397=0,I1397=0),"",ROUND(G1397-L1397,2))</f>
        <v/>
      </c>
      <c r="N1397" s="5" t="str">
        <f aca="false">IF(A1397="","",IF(B1397=0,"NOT FOUND: bank ID",IF(I1397=0,"NOT FOUND: GL ID",IF(INDEX(GL!$H:$H,I1397)&lt;&gt;A1397,"BROKEN: GL points elsewhere",IF(OR(INDEX(Bank!$F:$F,B1397)&lt;&gt;"Y",INDEX(GL!$F:$F,I1397)&lt;&gt;"Y"),"BROKEN: Status not Y","OK")))))</f>
        <v/>
      </c>
    </row>
    <row r="1398" customFormat="false" ht="15" hidden="false" customHeight="false" outlineLevel="0" collapsed="false">
      <c r="A1398" s="41"/>
      <c r="B1398" s="5" t="n">
        <f aca="false">IF(A1398="",0,IFERROR(MATCH(A1398,Bank!$A:$A,0),0))</f>
        <v>0</v>
      </c>
      <c r="C1398" s="5" t="str">
        <f aca="false">IF(B1398=0,"",IF(INDEX(Bank!$G:$G,B1398)="","",INDEX(Bank!$G:$G,B1398)))</f>
        <v/>
      </c>
      <c r="D1398" s="5" t="str">
        <f aca="false">IF(B1398=0,"",IF(INDEX(Bank!$J:$J,B1398)="","",INDEX(Bank!$J:$J,B1398)))</f>
        <v/>
      </c>
      <c r="E1398" s="32" t="str">
        <f aca="false">IF(B1398=0,"",INDEX(Bank!$B:$B,B1398))</f>
        <v/>
      </c>
      <c r="F1398" s="5" t="str">
        <f aca="false">IF(B1398=0,"",IF(INDEX(Bank!$C:$C,B1398)="","",INDEX(Bank!$C:$C,B1398)))</f>
        <v/>
      </c>
      <c r="G1398" s="19" t="str">
        <f aca="false">IF(B1398=0,"",INDEX(Bank!$E:$E,B1398))</f>
        <v/>
      </c>
      <c r="H1398" s="5" t="str">
        <f aca="false">IF(B1398=0,"",IF(INDEX(Bank!$H:$H,B1398)="","",INDEX(Bank!$H:$H,B1398)))</f>
        <v/>
      </c>
      <c r="I1398" s="5" t="n">
        <f aca="false">IF(H1398="",0,IFERROR(MATCH(H1398,GL!$A:$A,0),0))</f>
        <v>0</v>
      </c>
      <c r="J1398" s="32" t="str">
        <f aca="false">IF(I1398=0,"",INDEX(GL!$B:$B,I1398))</f>
        <v/>
      </c>
      <c r="K1398" s="5" t="str">
        <f aca="false">IF(I1398=0,"",IF(INDEX(GL!$C:$C,I1398)="","",INDEX(GL!$C:$C,I1398)))</f>
        <v/>
      </c>
      <c r="L1398" s="19" t="str">
        <f aca="false">IF(I1398=0,"",INDEX(GL!$E:$E,I1398))</f>
        <v/>
      </c>
      <c r="M1398" s="19" t="str">
        <f aca="false">IF(OR(B1398=0,I1398=0),"",ROUND(G1398-L1398,2))</f>
        <v/>
      </c>
      <c r="N1398" s="5" t="str">
        <f aca="false">IF(A1398="","",IF(B1398=0,"NOT FOUND: bank ID",IF(I1398=0,"NOT FOUND: GL ID",IF(INDEX(GL!$H:$H,I1398)&lt;&gt;A1398,"BROKEN: GL points elsewhere",IF(OR(INDEX(Bank!$F:$F,B1398)&lt;&gt;"Y",INDEX(GL!$F:$F,I1398)&lt;&gt;"Y"),"BROKEN: Status not Y","OK")))))</f>
        <v/>
      </c>
    </row>
    <row r="1399" customFormat="false" ht="15" hidden="false" customHeight="false" outlineLevel="0" collapsed="false">
      <c r="A1399" s="41"/>
      <c r="B1399" s="5" t="n">
        <f aca="false">IF(A1399="",0,IFERROR(MATCH(A1399,Bank!$A:$A,0),0))</f>
        <v>0</v>
      </c>
      <c r="C1399" s="5" t="str">
        <f aca="false">IF(B1399=0,"",IF(INDEX(Bank!$G:$G,B1399)="","",INDEX(Bank!$G:$G,B1399)))</f>
        <v/>
      </c>
      <c r="D1399" s="5" t="str">
        <f aca="false">IF(B1399=0,"",IF(INDEX(Bank!$J:$J,B1399)="","",INDEX(Bank!$J:$J,B1399)))</f>
        <v/>
      </c>
      <c r="E1399" s="32" t="str">
        <f aca="false">IF(B1399=0,"",INDEX(Bank!$B:$B,B1399))</f>
        <v/>
      </c>
      <c r="F1399" s="5" t="str">
        <f aca="false">IF(B1399=0,"",IF(INDEX(Bank!$C:$C,B1399)="","",INDEX(Bank!$C:$C,B1399)))</f>
        <v/>
      </c>
      <c r="G1399" s="19" t="str">
        <f aca="false">IF(B1399=0,"",INDEX(Bank!$E:$E,B1399))</f>
        <v/>
      </c>
      <c r="H1399" s="5" t="str">
        <f aca="false">IF(B1399=0,"",IF(INDEX(Bank!$H:$H,B1399)="","",INDEX(Bank!$H:$H,B1399)))</f>
        <v/>
      </c>
      <c r="I1399" s="5" t="n">
        <f aca="false">IF(H1399="",0,IFERROR(MATCH(H1399,GL!$A:$A,0),0))</f>
        <v>0</v>
      </c>
      <c r="J1399" s="32" t="str">
        <f aca="false">IF(I1399=0,"",INDEX(GL!$B:$B,I1399))</f>
        <v/>
      </c>
      <c r="K1399" s="5" t="str">
        <f aca="false">IF(I1399=0,"",IF(INDEX(GL!$C:$C,I1399)="","",INDEX(GL!$C:$C,I1399)))</f>
        <v/>
      </c>
      <c r="L1399" s="19" t="str">
        <f aca="false">IF(I1399=0,"",INDEX(GL!$E:$E,I1399))</f>
        <v/>
      </c>
      <c r="M1399" s="19" t="str">
        <f aca="false">IF(OR(B1399=0,I1399=0),"",ROUND(G1399-L1399,2))</f>
        <v/>
      </c>
      <c r="N1399" s="5" t="str">
        <f aca="false">IF(A1399="","",IF(B1399=0,"NOT FOUND: bank ID",IF(I1399=0,"NOT FOUND: GL ID",IF(INDEX(GL!$H:$H,I1399)&lt;&gt;A1399,"BROKEN: GL points elsewhere",IF(OR(INDEX(Bank!$F:$F,B1399)&lt;&gt;"Y",INDEX(GL!$F:$F,I1399)&lt;&gt;"Y"),"BROKEN: Status not Y","OK")))))</f>
        <v/>
      </c>
    </row>
    <row r="1400" customFormat="false" ht="15" hidden="false" customHeight="false" outlineLevel="0" collapsed="false">
      <c r="A1400" s="41"/>
      <c r="B1400" s="5" t="n">
        <f aca="false">IF(A1400="",0,IFERROR(MATCH(A1400,Bank!$A:$A,0),0))</f>
        <v>0</v>
      </c>
      <c r="C1400" s="5" t="str">
        <f aca="false">IF(B1400=0,"",IF(INDEX(Bank!$G:$G,B1400)="","",INDEX(Bank!$G:$G,B1400)))</f>
        <v/>
      </c>
      <c r="D1400" s="5" t="str">
        <f aca="false">IF(B1400=0,"",IF(INDEX(Bank!$J:$J,B1400)="","",INDEX(Bank!$J:$J,B1400)))</f>
        <v/>
      </c>
      <c r="E1400" s="32" t="str">
        <f aca="false">IF(B1400=0,"",INDEX(Bank!$B:$B,B1400))</f>
        <v/>
      </c>
      <c r="F1400" s="5" t="str">
        <f aca="false">IF(B1400=0,"",IF(INDEX(Bank!$C:$C,B1400)="","",INDEX(Bank!$C:$C,B1400)))</f>
        <v/>
      </c>
      <c r="G1400" s="19" t="str">
        <f aca="false">IF(B1400=0,"",INDEX(Bank!$E:$E,B1400))</f>
        <v/>
      </c>
      <c r="H1400" s="5" t="str">
        <f aca="false">IF(B1400=0,"",IF(INDEX(Bank!$H:$H,B1400)="","",INDEX(Bank!$H:$H,B1400)))</f>
        <v/>
      </c>
      <c r="I1400" s="5" t="n">
        <f aca="false">IF(H1400="",0,IFERROR(MATCH(H1400,GL!$A:$A,0),0))</f>
        <v>0</v>
      </c>
      <c r="J1400" s="32" t="str">
        <f aca="false">IF(I1400=0,"",INDEX(GL!$B:$B,I1400))</f>
        <v/>
      </c>
      <c r="K1400" s="5" t="str">
        <f aca="false">IF(I1400=0,"",IF(INDEX(GL!$C:$C,I1400)="","",INDEX(GL!$C:$C,I1400)))</f>
        <v/>
      </c>
      <c r="L1400" s="19" t="str">
        <f aca="false">IF(I1400=0,"",INDEX(GL!$E:$E,I1400))</f>
        <v/>
      </c>
      <c r="M1400" s="19" t="str">
        <f aca="false">IF(OR(B1400=0,I1400=0),"",ROUND(G1400-L1400,2))</f>
        <v/>
      </c>
      <c r="N1400" s="5" t="str">
        <f aca="false">IF(A1400="","",IF(B1400=0,"NOT FOUND: bank ID",IF(I1400=0,"NOT FOUND: GL ID",IF(INDEX(GL!$H:$H,I1400)&lt;&gt;A1400,"BROKEN: GL points elsewhere",IF(OR(INDEX(Bank!$F:$F,B1400)&lt;&gt;"Y",INDEX(GL!$F:$F,I1400)&lt;&gt;"Y"),"BROKEN: Status not Y","OK")))))</f>
        <v/>
      </c>
    </row>
    <row r="1401" customFormat="false" ht="15" hidden="false" customHeight="false" outlineLevel="0" collapsed="false">
      <c r="A1401" s="41"/>
      <c r="B1401" s="5" t="n">
        <f aca="false">IF(A1401="",0,IFERROR(MATCH(A1401,Bank!$A:$A,0),0))</f>
        <v>0</v>
      </c>
      <c r="C1401" s="5" t="str">
        <f aca="false">IF(B1401=0,"",IF(INDEX(Bank!$G:$G,B1401)="","",INDEX(Bank!$G:$G,B1401)))</f>
        <v/>
      </c>
      <c r="D1401" s="5" t="str">
        <f aca="false">IF(B1401=0,"",IF(INDEX(Bank!$J:$J,B1401)="","",INDEX(Bank!$J:$J,B1401)))</f>
        <v/>
      </c>
      <c r="E1401" s="32" t="str">
        <f aca="false">IF(B1401=0,"",INDEX(Bank!$B:$B,B1401))</f>
        <v/>
      </c>
      <c r="F1401" s="5" t="str">
        <f aca="false">IF(B1401=0,"",IF(INDEX(Bank!$C:$C,B1401)="","",INDEX(Bank!$C:$C,B1401)))</f>
        <v/>
      </c>
      <c r="G1401" s="19" t="str">
        <f aca="false">IF(B1401=0,"",INDEX(Bank!$E:$E,B1401))</f>
        <v/>
      </c>
      <c r="H1401" s="5" t="str">
        <f aca="false">IF(B1401=0,"",IF(INDEX(Bank!$H:$H,B1401)="","",INDEX(Bank!$H:$H,B1401)))</f>
        <v/>
      </c>
      <c r="I1401" s="5" t="n">
        <f aca="false">IF(H1401="",0,IFERROR(MATCH(H1401,GL!$A:$A,0),0))</f>
        <v>0</v>
      </c>
      <c r="J1401" s="32" t="str">
        <f aca="false">IF(I1401=0,"",INDEX(GL!$B:$B,I1401))</f>
        <v/>
      </c>
      <c r="K1401" s="5" t="str">
        <f aca="false">IF(I1401=0,"",IF(INDEX(GL!$C:$C,I1401)="","",INDEX(GL!$C:$C,I1401)))</f>
        <v/>
      </c>
      <c r="L1401" s="19" t="str">
        <f aca="false">IF(I1401=0,"",INDEX(GL!$E:$E,I1401))</f>
        <v/>
      </c>
      <c r="M1401" s="19" t="str">
        <f aca="false">IF(OR(B1401=0,I1401=0),"",ROUND(G1401-L1401,2))</f>
        <v/>
      </c>
      <c r="N1401" s="5" t="str">
        <f aca="false">IF(A1401="","",IF(B1401=0,"NOT FOUND: bank ID",IF(I1401=0,"NOT FOUND: GL ID",IF(INDEX(GL!$H:$H,I1401)&lt;&gt;A1401,"BROKEN: GL points elsewhere",IF(OR(INDEX(Bank!$F:$F,B1401)&lt;&gt;"Y",INDEX(GL!$F:$F,I1401)&lt;&gt;"Y"),"BROKEN: Status not Y","OK")))))</f>
        <v/>
      </c>
    </row>
    <row r="1402" customFormat="false" ht="15" hidden="false" customHeight="false" outlineLevel="0" collapsed="false">
      <c r="A1402" s="41"/>
      <c r="B1402" s="5" t="n">
        <f aca="false">IF(A1402="",0,IFERROR(MATCH(A1402,Bank!$A:$A,0),0))</f>
        <v>0</v>
      </c>
      <c r="C1402" s="5" t="str">
        <f aca="false">IF(B1402=0,"",IF(INDEX(Bank!$G:$G,B1402)="","",INDEX(Bank!$G:$G,B1402)))</f>
        <v/>
      </c>
      <c r="D1402" s="5" t="str">
        <f aca="false">IF(B1402=0,"",IF(INDEX(Bank!$J:$J,B1402)="","",INDEX(Bank!$J:$J,B1402)))</f>
        <v/>
      </c>
      <c r="E1402" s="32" t="str">
        <f aca="false">IF(B1402=0,"",INDEX(Bank!$B:$B,B1402))</f>
        <v/>
      </c>
      <c r="F1402" s="5" t="str">
        <f aca="false">IF(B1402=0,"",IF(INDEX(Bank!$C:$C,B1402)="","",INDEX(Bank!$C:$C,B1402)))</f>
        <v/>
      </c>
      <c r="G1402" s="19" t="str">
        <f aca="false">IF(B1402=0,"",INDEX(Bank!$E:$E,B1402))</f>
        <v/>
      </c>
      <c r="H1402" s="5" t="str">
        <f aca="false">IF(B1402=0,"",IF(INDEX(Bank!$H:$H,B1402)="","",INDEX(Bank!$H:$H,B1402)))</f>
        <v/>
      </c>
      <c r="I1402" s="5" t="n">
        <f aca="false">IF(H1402="",0,IFERROR(MATCH(H1402,GL!$A:$A,0),0))</f>
        <v>0</v>
      </c>
      <c r="J1402" s="32" t="str">
        <f aca="false">IF(I1402=0,"",INDEX(GL!$B:$B,I1402))</f>
        <v/>
      </c>
      <c r="K1402" s="5" t="str">
        <f aca="false">IF(I1402=0,"",IF(INDEX(GL!$C:$C,I1402)="","",INDEX(GL!$C:$C,I1402)))</f>
        <v/>
      </c>
      <c r="L1402" s="19" t="str">
        <f aca="false">IF(I1402=0,"",INDEX(GL!$E:$E,I1402))</f>
        <v/>
      </c>
      <c r="M1402" s="19" t="str">
        <f aca="false">IF(OR(B1402=0,I1402=0),"",ROUND(G1402-L1402,2))</f>
        <v/>
      </c>
      <c r="N1402" s="5" t="str">
        <f aca="false">IF(A1402="","",IF(B1402=0,"NOT FOUND: bank ID",IF(I1402=0,"NOT FOUND: GL ID",IF(INDEX(GL!$H:$H,I1402)&lt;&gt;A1402,"BROKEN: GL points elsewhere",IF(OR(INDEX(Bank!$F:$F,B1402)&lt;&gt;"Y",INDEX(GL!$F:$F,I1402)&lt;&gt;"Y"),"BROKEN: Status not Y","OK")))))</f>
        <v/>
      </c>
    </row>
    <row r="1403" customFormat="false" ht="15" hidden="false" customHeight="false" outlineLevel="0" collapsed="false">
      <c r="A1403" s="41"/>
      <c r="B1403" s="5" t="n">
        <f aca="false">IF(A1403="",0,IFERROR(MATCH(A1403,Bank!$A:$A,0),0))</f>
        <v>0</v>
      </c>
      <c r="C1403" s="5" t="str">
        <f aca="false">IF(B1403=0,"",IF(INDEX(Bank!$G:$G,B1403)="","",INDEX(Bank!$G:$G,B1403)))</f>
        <v/>
      </c>
      <c r="D1403" s="5" t="str">
        <f aca="false">IF(B1403=0,"",IF(INDEX(Bank!$J:$J,B1403)="","",INDEX(Bank!$J:$J,B1403)))</f>
        <v/>
      </c>
      <c r="E1403" s="32" t="str">
        <f aca="false">IF(B1403=0,"",INDEX(Bank!$B:$B,B1403))</f>
        <v/>
      </c>
      <c r="F1403" s="5" t="str">
        <f aca="false">IF(B1403=0,"",IF(INDEX(Bank!$C:$C,B1403)="","",INDEX(Bank!$C:$C,B1403)))</f>
        <v/>
      </c>
      <c r="G1403" s="19" t="str">
        <f aca="false">IF(B1403=0,"",INDEX(Bank!$E:$E,B1403))</f>
        <v/>
      </c>
      <c r="H1403" s="5" t="str">
        <f aca="false">IF(B1403=0,"",IF(INDEX(Bank!$H:$H,B1403)="","",INDEX(Bank!$H:$H,B1403)))</f>
        <v/>
      </c>
      <c r="I1403" s="5" t="n">
        <f aca="false">IF(H1403="",0,IFERROR(MATCH(H1403,GL!$A:$A,0),0))</f>
        <v>0</v>
      </c>
      <c r="J1403" s="32" t="str">
        <f aca="false">IF(I1403=0,"",INDEX(GL!$B:$B,I1403))</f>
        <v/>
      </c>
      <c r="K1403" s="5" t="str">
        <f aca="false">IF(I1403=0,"",IF(INDEX(GL!$C:$C,I1403)="","",INDEX(GL!$C:$C,I1403)))</f>
        <v/>
      </c>
      <c r="L1403" s="19" t="str">
        <f aca="false">IF(I1403=0,"",INDEX(GL!$E:$E,I1403))</f>
        <v/>
      </c>
      <c r="M1403" s="19" t="str">
        <f aca="false">IF(OR(B1403=0,I1403=0),"",ROUND(G1403-L1403,2))</f>
        <v/>
      </c>
      <c r="N1403" s="5" t="str">
        <f aca="false">IF(A1403="","",IF(B1403=0,"NOT FOUND: bank ID",IF(I1403=0,"NOT FOUND: GL ID",IF(INDEX(GL!$H:$H,I1403)&lt;&gt;A1403,"BROKEN: GL points elsewhere",IF(OR(INDEX(Bank!$F:$F,B1403)&lt;&gt;"Y",INDEX(GL!$F:$F,I1403)&lt;&gt;"Y"),"BROKEN: Status not Y","OK")))))</f>
        <v/>
      </c>
    </row>
    <row r="1404" customFormat="false" ht="15" hidden="false" customHeight="false" outlineLevel="0" collapsed="false">
      <c r="A1404" s="41"/>
      <c r="B1404" s="5" t="n">
        <f aca="false">IF(A1404="",0,IFERROR(MATCH(A1404,Bank!$A:$A,0),0))</f>
        <v>0</v>
      </c>
      <c r="C1404" s="5" t="str">
        <f aca="false">IF(B1404=0,"",IF(INDEX(Bank!$G:$G,B1404)="","",INDEX(Bank!$G:$G,B1404)))</f>
        <v/>
      </c>
      <c r="D1404" s="5" t="str">
        <f aca="false">IF(B1404=0,"",IF(INDEX(Bank!$J:$J,B1404)="","",INDEX(Bank!$J:$J,B1404)))</f>
        <v/>
      </c>
      <c r="E1404" s="32" t="str">
        <f aca="false">IF(B1404=0,"",INDEX(Bank!$B:$B,B1404))</f>
        <v/>
      </c>
      <c r="F1404" s="5" t="str">
        <f aca="false">IF(B1404=0,"",IF(INDEX(Bank!$C:$C,B1404)="","",INDEX(Bank!$C:$C,B1404)))</f>
        <v/>
      </c>
      <c r="G1404" s="19" t="str">
        <f aca="false">IF(B1404=0,"",INDEX(Bank!$E:$E,B1404))</f>
        <v/>
      </c>
      <c r="H1404" s="5" t="str">
        <f aca="false">IF(B1404=0,"",IF(INDEX(Bank!$H:$H,B1404)="","",INDEX(Bank!$H:$H,B1404)))</f>
        <v/>
      </c>
      <c r="I1404" s="5" t="n">
        <f aca="false">IF(H1404="",0,IFERROR(MATCH(H1404,GL!$A:$A,0),0))</f>
        <v>0</v>
      </c>
      <c r="J1404" s="32" t="str">
        <f aca="false">IF(I1404=0,"",INDEX(GL!$B:$B,I1404))</f>
        <v/>
      </c>
      <c r="K1404" s="5" t="str">
        <f aca="false">IF(I1404=0,"",IF(INDEX(GL!$C:$C,I1404)="","",INDEX(GL!$C:$C,I1404)))</f>
        <v/>
      </c>
      <c r="L1404" s="19" t="str">
        <f aca="false">IF(I1404=0,"",INDEX(GL!$E:$E,I1404))</f>
        <v/>
      </c>
      <c r="M1404" s="19" t="str">
        <f aca="false">IF(OR(B1404=0,I1404=0),"",ROUND(G1404-L1404,2))</f>
        <v/>
      </c>
      <c r="N1404" s="5" t="str">
        <f aca="false">IF(A1404="","",IF(B1404=0,"NOT FOUND: bank ID",IF(I1404=0,"NOT FOUND: GL ID",IF(INDEX(GL!$H:$H,I1404)&lt;&gt;A1404,"BROKEN: GL points elsewhere",IF(OR(INDEX(Bank!$F:$F,B1404)&lt;&gt;"Y",INDEX(GL!$F:$F,I1404)&lt;&gt;"Y"),"BROKEN: Status not Y","OK")))))</f>
        <v/>
      </c>
    </row>
    <row r="1405" customFormat="false" ht="15" hidden="false" customHeight="false" outlineLevel="0" collapsed="false">
      <c r="A1405" s="41"/>
      <c r="B1405" s="5" t="n">
        <f aca="false">IF(A1405="",0,IFERROR(MATCH(A1405,Bank!$A:$A,0),0))</f>
        <v>0</v>
      </c>
      <c r="C1405" s="5" t="str">
        <f aca="false">IF(B1405=0,"",IF(INDEX(Bank!$G:$G,B1405)="","",INDEX(Bank!$G:$G,B1405)))</f>
        <v/>
      </c>
      <c r="D1405" s="5" t="str">
        <f aca="false">IF(B1405=0,"",IF(INDEX(Bank!$J:$J,B1405)="","",INDEX(Bank!$J:$J,B1405)))</f>
        <v/>
      </c>
      <c r="E1405" s="32" t="str">
        <f aca="false">IF(B1405=0,"",INDEX(Bank!$B:$B,B1405))</f>
        <v/>
      </c>
      <c r="F1405" s="5" t="str">
        <f aca="false">IF(B1405=0,"",IF(INDEX(Bank!$C:$C,B1405)="","",INDEX(Bank!$C:$C,B1405)))</f>
        <v/>
      </c>
      <c r="G1405" s="19" t="str">
        <f aca="false">IF(B1405=0,"",INDEX(Bank!$E:$E,B1405))</f>
        <v/>
      </c>
      <c r="H1405" s="5" t="str">
        <f aca="false">IF(B1405=0,"",IF(INDEX(Bank!$H:$H,B1405)="","",INDEX(Bank!$H:$H,B1405)))</f>
        <v/>
      </c>
      <c r="I1405" s="5" t="n">
        <f aca="false">IF(H1405="",0,IFERROR(MATCH(H1405,GL!$A:$A,0),0))</f>
        <v>0</v>
      </c>
      <c r="J1405" s="32" t="str">
        <f aca="false">IF(I1405=0,"",INDEX(GL!$B:$B,I1405))</f>
        <v/>
      </c>
      <c r="K1405" s="5" t="str">
        <f aca="false">IF(I1405=0,"",IF(INDEX(GL!$C:$C,I1405)="","",INDEX(GL!$C:$C,I1405)))</f>
        <v/>
      </c>
      <c r="L1405" s="19" t="str">
        <f aca="false">IF(I1405=0,"",INDEX(GL!$E:$E,I1405))</f>
        <v/>
      </c>
      <c r="M1405" s="19" t="str">
        <f aca="false">IF(OR(B1405=0,I1405=0),"",ROUND(G1405-L1405,2))</f>
        <v/>
      </c>
      <c r="N1405" s="5" t="str">
        <f aca="false">IF(A1405="","",IF(B1405=0,"NOT FOUND: bank ID",IF(I1405=0,"NOT FOUND: GL ID",IF(INDEX(GL!$H:$H,I1405)&lt;&gt;A1405,"BROKEN: GL points elsewhere",IF(OR(INDEX(Bank!$F:$F,B1405)&lt;&gt;"Y",INDEX(GL!$F:$F,I1405)&lt;&gt;"Y"),"BROKEN: Status not Y","OK")))))</f>
        <v/>
      </c>
    </row>
    <row r="1406" customFormat="false" ht="15" hidden="false" customHeight="false" outlineLevel="0" collapsed="false">
      <c r="A1406" s="41"/>
      <c r="B1406" s="5" t="n">
        <f aca="false">IF(A1406="",0,IFERROR(MATCH(A1406,Bank!$A:$A,0),0))</f>
        <v>0</v>
      </c>
      <c r="C1406" s="5" t="str">
        <f aca="false">IF(B1406=0,"",IF(INDEX(Bank!$G:$G,B1406)="","",INDEX(Bank!$G:$G,B1406)))</f>
        <v/>
      </c>
      <c r="D1406" s="5" t="str">
        <f aca="false">IF(B1406=0,"",IF(INDEX(Bank!$J:$J,B1406)="","",INDEX(Bank!$J:$J,B1406)))</f>
        <v/>
      </c>
      <c r="E1406" s="32" t="str">
        <f aca="false">IF(B1406=0,"",INDEX(Bank!$B:$B,B1406))</f>
        <v/>
      </c>
      <c r="F1406" s="5" t="str">
        <f aca="false">IF(B1406=0,"",IF(INDEX(Bank!$C:$C,B1406)="","",INDEX(Bank!$C:$C,B1406)))</f>
        <v/>
      </c>
      <c r="G1406" s="19" t="str">
        <f aca="false">IF(B1406=0,"",INDEX(Bank!$E:$E,B1406))</f>
        <v/>
      </c>
      <c r="H1406" s="5" t="str">
        <f aca="false">IF(B1406=0,"",IF(INDEX(Bank!$H:$H,B1406)="","",INDEX(Bank!$H:$H,B1406)))</f>
        <v/>
      </c>
      <c r="I1406" s="5" t="n">
        <f aca="false">IF(H1406="",0,IFERROR(MATCH(H1406,GL!$A:$A,0),0))</f>
        <v>0</v>
      </c>
      <c r="J1406" s="32" t="str">
        <f aca="false">IF(I1406=0,"",INDEX(GL!$B:$B,I1406))</f>
        <v/>
      </c>
      <c r="K1406" s="5" t="str">
        <f aca="false">IF(I1406=0,"",IF(INDEX(GL!$C:$C,I1406)="","",INDEX(GL!$C:$C,I1406)))</f>
        <v/>
      </c>
      <c r="L1406" s="19" t="str">
        <f aca="false">IF(I1406=0,"",INDEX(GL!$E:$E,I1406))</f>
        <v/>
      </c>
      <c r="M1406" s="19" t="str">
        <f aca="false">IF(OR(B1406=0,I1406=0),"",ROUND(G1406-L1406,2))</f>
        <v/>
      </c>
      <c r="N1406" s="5" t="str">
        <f aca="false">IF(A1406="","",IF(B1406=0,"NOT FOUND: bank ID",IF(I1406=0,"NOT FOUND: GL ID",IF(INDEX(GL!$H:$H,I1406)&lt;&gt;A1406,"BROKEN: GL points elsewhere",IF(OR(INDEX(Bank!$F:$F,B1406)&lt;&gt;"Y",INDEX(GL!$F:$F,I1406)&lt;&gt;"Y"),"BROKEN: Status not Y","OK")))))</f>
        <v/>
      </c>
    </row>
    <row r="1407" customFormat="false" ht="15" hidden="false" customHeight="false" outlineLevel="0" collapsed="false">
      <c r="A1407" s="41"/>
      <c r="B1407" s="5" t="n">
        <f aca="false">IF(A1407="",0,IFERROR(MATCH(A1407,Bank!$A:$A,0),0))</f>
        <v>0</v>
      </c>
      <c r="C1407" s="5" t="str">
        <f aca="false">IF(B1407=0,"",IF(INDEX(Bank!$G:$G,B1407)="","",INDEX(Bank!$G:$G,B1407)))</f>
        <v/>
      </c>
      <c r="D1407" s="5" t="str">
        <f aca="false">IF(B1407=0,"",IF(INDEX(Bank!$J:$J,B1407)="","",INDEX(Bank!$J:$J,B1407)))</f>
        <v/>
      </c>
      <c r="E1407" s="32" t="str">
        <f aca="false">IF(B1407=0,"",INDEX(Bank!$B:$B,B1407))</f>
        <v/>
      </c>
      <c r="F1407" s="5" t="str">
        <f aca="false">IF(B1407=0,"",IF(INDEX(Bank!$C:$C,B1407)="","",INDEX(Bank!$C:$C,B1407)))</f>
        <v/>
      </c>
      <c r="G1407" s="19" t="str">
        <f aca="false">IF(B1407=0,"",INDEX(Bank!$E:$E,B1407))</f>
        <v/>
      </c>
      <c r="H1407" s="5" t="str">
        <f aca="false">IF(B1407=0,"",IF(INDEX(Bank!$H:$H,B1407)="","",INDEX(Bank!$H:$H,B1407)))</f>
        <v/>
      </c>
      <c r="I1407" s="5" t="n">
        <f aca="false">IF(H1407="",0,IFERROR(MATCH(H1407,GL!$A:$A,0),0))</f>
        <v>0</v>
      </c>
      <c r="J1407" s="32" t="str">
        <f aca="false">IF(I1407=0,"",INDEX(GL!$B:$B,I1407))</f>
        <v/>
      </c>
      <c r="K1407" s="5" t="str">
        <f aca="false">IF(I1407=0,"",IF(INDEX(GL!$C:$C,I1407)="","",INDEX(GL!$C:$C,I1407)))</f>
        <v/>
      </c>
      <c r="L1407" s="19" t="str">
        <f aca="false">IF(I1407=0,"",INDEX(GL!$E:$E,I1407))</f>
        <v/>
      </c>
      <c r="M1407" s="19" t="str">
        <f aca="false">IF(OR(B1407=0,I1407=0),"",ROUND(G1407-L1407,2))</f>
        <v/>
      </c>
      <c r="N1407" s="5" t="str">
        <f aca="false">IF(A1407="","",IF(B1407=0,"NOT FOUND: bank ID",IF(I1407=0,"NOT FOUND: GL ID",IF(INDEX(GL!$H:$H,I1407)&lt;&gt;A1407,"BROKEN: GL points elsewhere",IF(OR(INDEX(Bank!$F:$F,B1407)&lt;&gt;"Y",INDEX(GL!$F:$F,I1407)&lt;&gt;"Y"),"BROKEN: Status not Y","OK")))))</f>
        <v/>
      </c>
    </row>
    <row r="1408" customFormat="false" ht="15" hidden="false" customHeight="false" outlineLevel="0" collapsed="false">
      <c r="A1408" s="41"/>
      <c r="B1408" s="5" t="n">
        <f aca="false">IF(A1408="",0,IFERROR(MATCH(A1408,Bank!$A:$A,0),0))</f>
        <v>0</v>
      </c>
      <c r="C1408" s="5" t="str">
        <f aca="false">IF(B1408=0,"",IF(INDEX(Bank!$G:$G,B1408)="","",INDEX(Bank!$G:$G,B1408)))</f>
        <v/>
      </c>
      <c r="D1408" s="5" t="str">
        <f aca="false">IF(B1408=0,"",IF(INDEX(Bank!$J:$J,B1408)="","",INDEX(Bank!$J:$J,B1408)))</f>
        <v/>
      </c>
      <c r="E1408" s="32" t="str">
        <f aca="false">IF(B1408=0,"",INDEX(Bank!$B:$B,B1408))</f>
        <v/>
      </c>
      <c r="F1408" s="5" t="str">
        <f aca="false">IF(B1408=0,"",IF(INDEX(Bank!$C:$C,B1408)="","",INDEX(Bank!$C:$C,B1408)))</f>
        <v/>
      </c>
      <c r="G1408" s="19" t="str">
        <f aca="false">IF(B1408=0,"",INDEX(Bank!$E:$E,B1408))</f>
        <v/>
      </c>
      <c r="H1408" s="5" t="str">
        <f aca="false">IF(B1408=0,"",IF(INDEX(Bank!$H:$H,B1408)="","",INDEX(Bank!$H:$H,B1408)))</f>
        <v/>
      </c>
      <c r="I1408" s="5" t="n">
        <f aca="false">IF(H1408="",0,IFERROR(MATCH(H1408,GL!$A:$A,0),0))</f>
        <v>0</v>
      </c>
      <c r="J1408" s="32" t="str">
        <f aca="false">IF(I1408=0,"",INDEX(GL!$B:$B,I1408))</f>
        <v/>
      </c>
      <c r="K1408" s="5" t="str">
        <f aca="false">IF(I1408=0,"",IF(INDEX(GL!$C:$C,I1408)="","",INDEX(GL!$C:$C,I1408)))</f>
        <v/>
      </c>
      <c r="L1408" s="19" t="str">
        <f aca="false">IF(I1408=0,"",INDEX(GL!$E:$E,I1408))</f>
        <v/>
      </c>
      <c r="M1408" s="19" t="str">
        <f aca="false">IF(OR(B1408=0,I1408=0),"",ROUND(G1408-L1408,2))</f>
        <v/>
      </c>
      <c r="N1408" s="5" t="str">
        <f aca="false">IF(A1408="","",IF(B1408=0,"NOT FOUND: bank ID",IF(I1408=0,"NOT FOUND: GL ID",IF(INDEX(GL!$H:$H,I1408)&lt;&gt;A1408,"BROKEN: GL points elsewhere",IF(OR(INDEX(Bank!$F:$F,B1408)&lt;&gt;"Y",INDEX(GL!$F:$F,I1408)&lt;&gt;"Y"),"BROKEN: Status not Y","OK")))))</f>
        <v/>
      </c>
    </row>
    <row r="1409" customFormat="false" ht="15" hidden="false" customHeight="false" outlineLevel="0" collapsed="false">
      <c r="A1409" s="41"/>
      <c r="B1409" s="5" t="n">
        <f aca="false">IF(A1409="",0,IFERROR(MATCH(A1409,Bank!$A:$A,0),0))</f>
        <v>0</v>
      </c>
      <c r="C1409" s="5" t="str">
        <f aca="false">IF(B1409=0,"",IF(INDEX(Bank!$G:$G,B1409)="","",INDEX(Bank!$G:$G,B1409)))</f>
        <v/>
      </c>
      <c r="D1409" s="5" t="str">
        <f aca="false">IF(B1409=0,"",IF(INDEX(Bank!$J:$J,B1409)="","",INDEX(Bank!$J:$J,B1409)))</f>
        <v/>
      </c>
      <c r="E1409" s="32" t="str">
        <f aca="false">IF(B1409=0,"",INDEX(Bank!$B:$B,B1409))</f>
        <v/>
      </c>
      <c r="F1409" s="5" t="str">
        <f aca="false">IF(B1409=0,"",IF(INDEX(Bank!$C:$C,B1409)="","",INDEX(Bank!$C:$C,B1409)))</f>
        <v/>
      </c>
      <c r="G1409" s="19" t="str">
        <f aca="false">IF(B1409=0,"",INDEX(Bank!$E:$E,B1409))</f>
        <v/>
      </c>
      <c r="H1409" s="5" t="str">
        <f aca="false">IF(B1409=0,"",IF(INDEX(Bank!$H:$H,B1409)="","",INDEX(Bank!$H:$H,B1409)))</f>
        <v/>
      </c>
      <c r="I1409" s="5" t="n">
        <f aca="false">IF(H1409="",0,IFERROR(MATCH(H1409,GL!$A:$A,0),0))</f>
        <v>0</v>
      </c>
      <c r="J1409" s="32" t="str">
        <f aca="false">IF(I1409=0,"",INDEX(GL!$B:$B,I1409))</f>
        <v/>
      </c>
      <c r="K1409" s="5" t="str">
        <f aca="false">IF(I1409=0,"",IF(INDEX(GL!$C:$C,I1409)="","",INDEX(GL!$C:$C,I1409)))</f>
        <v/>
      </c>
      <c r="L1409" s="19" t="str">
        <f aca="false">IF(I1409=0,"",INDEX(GL!$E:$E,I1409))</f>
        <v/>
      </c>
      <c r="M1409" s="19" t="str">
        <f aca="false">IF(OR(B1409=0,I1409=0),"",ROUND(G1409-L1409,2))</f>
        <v/>
      </c>
      <c r="N1409" s="5" t="str">
        <f aca="false">IF(A1409="","",IF(B1409=0,"NOT FOUND: bank ID",IF(I1409=0,"NOT FOUND: GL ID",IF(INDEX(GL!$H:$H,I1409)&lt;&gt;A1409,"BROKEN: GL points elsewhere",IF(OR(INDEX(Bank!$F:$F,B1409)&lt;&gt;"Y",INDEX(GL!$F:$F,I1409)&lt;&gt;"Y"),"BROKEN: Status not Y","OK")))))</f>
        <v/>
      </c>
    </row>
    <row r="1410" customFormat="false" ht="15" hidden="false" customHeight="false" outlineLevel="0" collapsed="false">
      <c r="A1410" s="41"/>
      <c r="B1410" s="5" t="n">
        <f aca="false">IF(A1410="",0,IFERROR(MATCH(A1410,Bank!$A:$A,0),0))</f>
        <v>0</v>
      </c>
      <c r="C1410" s="5" t="str">
        <f aca="false">IF(B1410=0,"",IF(INDEX(Bank!$G:$G,B1410)="","",INDEX(Bank!$G:$G,B1410)))</f>
        <v/>
      </c>
      <c r="D1410" s="5" t="str">
        <f aca="false">IF(B1410=0,"",IF(INDEX(Bank!$J:$J,B1410)="","",INDEX(Bank!$J:$J,B1410)))</f>
        <v/>
      </c>
      <c r="E1410" s="32" t="str">
        <f aca="false">IF(B1410=0,"",INDEX(Bank!$B:$B,B1410))</f>
        <v/>
      </c>
      <c r="F1410" s="5" t="str">
        <f aca="false">IF(B1410=0,"",IF(INDEX(Bank!$C:$C,B1410)="","",INDEX(Bank!$C:$C,B1410)))</f>
        <v/>
      </c>
      <c r="G1410" s="19" t="str">
        <f aca="false">IF(B1410=0,"",INDEX(Bank!$E:$E,B1410))</f>
        <v/>
      </c>
      <c r="H1410" s="5" t="str">
        <f aca="false">IF(B1410=0,"",IF(INDEX(Bank!$H:$H,B1410)="","",INDEX(Bank!$H:$H,B1410)))</f>
        <v/>
      </c>
      <c r="I1410" s="5" t="n">
        <f aca="false">IF(H1410="",0,IFERROR(MATCH(H1410,GL!$A:$A,0),0))</f>
        <v>0</v>
      </c>
      <c r="J1410" s="32" t="str">
        <f aca="false">IF(I1410=0,"",INDEX(GL!$B:$B,I1410))</f>
        <v/>
      </c>
      <c r="K1410" s="5" t="str">
        <f aca="false">IF(I1410=0,"",IF(INDEX(GL!$C:$C,I1410)="","",INDEX(GL!$C:$C,I1410)))</f>
        <v/>
      </c>
      <c r="L1410" s="19" t="str">
        <f aca="false">IF(I1410=0,"",INDEX(GL!$E:$E,I1410))</f>
        <v/>
      </c>
      <c r="M1410" s="19" t="str">
        <f aca="false">IF(OR(B1410=0,I1410=0),"",ROUND(G1410-L1410,2))</f>
        <v/>
      </c>
      <c r="N1410" s="5" t="str">
        <f aca="false">IF(A1410="","",IF(B1410=0,"NOT FOUND: bank ID",IF(I1410=0,"NOT FOUND: GL ID",IF(INDEX(GL!$H:$H,I1410)&lt;&gt;A1410,"BROKEN: GL points elsewhere",IF(OR(INDEX(Bank!$F:$F,B1410)&lt;&gt;"Y",INDEX(GL!$F:$F,I1410)&lt;&gt;"Y"),"BROKEN: Status not Y","OK")))))</f>
        <v/>
      </c>
    </row>
    <row r="1411" customFormat="false" ht="15" hidden="false" customHeight="false" outlineLevel="0" collapsed="false">
      <c r="A1411" s="41"/>
      <c r="B1411" s="5" t="n">
        <f aca="false">IF(A1411="",0,IFERROR(MATCH(A1411,Bank!$A:$A,0),0))</f>
        <v>0</v>
      </c>
      <c r="C1411" s="5" t="str">
        <f aca="false">IF(B1411=0,"",IF(INDEX(Bank!$G:$G,B1411)="","",INDEX(Bank!$G:$G,B1411)))</f>
        <v/>
      </c>
      <c r="D1411" s="5" t="str">
        <f aca="false">IF(B1411=0,"",IF(INDEX(Bank!$J:$J,B1411)="","",INDEX(Bank!$J:$J,B1411)))</f>
        <v/>
      </c>
      <c r="E1411" s="32" t="str">
        <f aca="false">IF(B1411=0,"",INDEX(Bank!$B:$B,B1411))</f>
        <v/>
      </c>
      <c r="F1411" s="5" t="str">
        <f aca="false">IF(B1411=0,"",IF(INDEX(Bank!$C:$C,B1411)="","",INDEX(Bank!$C:$C,B1411)))</f>
        <v/>
      </c>
      <c r="G1411" s="19" t="str">
        <f aca="false">IF(B1411=0,"",INDEX(Bank!$E:$E,B1411))</f>
        <v/>
      </c>
      <c r="H1411" s="5" t="str">
        <f aca="false">IF(B1411=0,"",IF(INDEX(Bank!$H:$H,B1411)="","",INDEX(Bank!$H:$H,B1411)))</f>
        <v/>
      </c>
      <c r="I1411" s="5" t="n">
        <f aca="false">IF(H1411="",0,IFERROR(MATCH(H1411,GL!$A:$A,0),0))</f>
        <v>0</v>
      </c>
      <c r="J1411" s="32" t="str">
        <f aca="false">IF(I1411=0,"",INDEX(GL!$B:$B,I1411))</f>
        <v/>
      </c>
      <c r="K1411" s="5" t="str">
        <f aca="false">IF(I1411=0,"",IF(INDEX(GL!$C:$C,I1411)="","",INDEX(GL!$C:$C,I1411)))</f>
        <v/>
      </c>
      <c r="L1411" s="19" t="str">
        <f aca="false">IF(I1411=0,"",INDEX(GL!$E:$E,I1411))</f>
        <v/>
      </c>
      <c r="M1411" s="19" t="str">
        <f aca="false">IF(OR(B1411=0,I1411=0),"",ROUND(G1411-L1411,2))</f>
        <v/>
      </c>
      <c r="N1411" s="5" t="str">
        <f aca="false">IF(A1411="","",IF(B1411=0,"NOT FOUND: bank ID",IF(I1411=0,"NOT FOUND: GL ID",IF(INDEX(GL!$H:$H,I1411)&lt;&gt;A1411,"BROKEN: GL points elsewhere",IF(OR(INDEX(Bank!$F:$F,B1411)&lt;&gt;"Y",INDEX(GL!$F:$F,I1411)&lt;&gt;"Y"),"BROKEN: Status not Y","OK")))))</f>
        <v/>
      </c>
    </row>
    <row r="1412" customFormat="false" ht="15" hidden="false" customHeight="false" outlineLevel="0" collapsed="false">
      <c r="A1412" s="41"/>
      <c r="B1412" s="5" t="n">
        <f aca="false">IF(A1412="",0,IFERROR(MATCH(A1412,Bank!$A:$A,0),0))</f>
        <v>0</v>
      </c>
      <c r="C1412" s="5" t="str">
        <f aca="false">IF(B1412=0,"",IF(INDEX(Bank!$G:$G,B1412)="","",INDEX(Bank!$G:$G,B1412)))</f>
        <v/>
      </c>
      <c r="D1412" s="5" t="str">
        <f aca="false">IF(B1412=0,"",IF(INDEX(Bank!$J:$J,B1412)="","",INDEX(Bank!$J:$J,B1412)))</f>
        <v/>
      </c>
      <c r="E1412" s="32" t="str">
        <f aca="false">IF(B1412=0,"",INDEX(Bank!$B:$B,B1412))</f>
        <v/>
      </c>
      <c r="F1412" s="5" t="str">
        <f aca="false">IF(B1412=0,"",IF(INDEX(Bank!$C:$C,B1412)="","",INDEX(Bank!$C:$C,B1412)))</f>
        <v/>
      </c>
      <c r="G1412" s="19" t="str">
        <f aca="false">IF(B1412=0,"",INDEX(Bank!$E:$E,B1412))</f>
        <v/>
      </c>
      <c r="H1412" s="5" t="str">
        <f aca="false">IF(B1412=0,"",IF(INDEX(Bank!$H:$H,B1412)="","",INDEX(Bank!$H:$H,B1412)))</f>
        <v/>
      </c>
      <c r="I1412" s="5" t="n">
        <f aca="false">IF(H1412="",0,IFERROR(MATCH(H1412,GL!$A:$A,0),0))</f>
        <v>0</v>
      </c>
      <c r="J1412" s="32" t="str">
        <f aca="false">IF(I1412=0,"",INDEX(GL!$B:$B,I1412))</f>
        <v/>
      </c>
      <c r="K1412" s="5" t="str">
        <f aca="false">IF(I1412=0,"",IF(INDEX(GL!$C:$C,I1412)="","",INDEX(GL!$C:$C,I1412)))</f>
        <v/>
      </c>
      <c r="L1412" s="19" t="str">
        <f aca="false">IF(I1412=0,"",INDEX(GL!$E:$E,I1412))</f>
        <v/>
      </c>
      <c r="M1412" s="19" t="str">
        <f aca="false">IF(OR(B1412=0,I1412=0),"",ROUND(G1412-L1412,2))</f>
        <v/>
      </c>
      <c r="N1412" s="5" t="str">
        <f aca="false">IF(A1412="","",IF(B1412=0,"NOT FOUND: bank ID",IF(I1412=0,"NOT FOUND: GL ID",IF(INDEX(GL!$H:$H,I1412)&lt;&gt;A1412,"BROKEN: GL points elsewhere",IF(OR(INDEX(Bank!$F:$F,B1412)&lt;&gt;"Y",INDEX(GL!$F:$F,I1412)&lt;&gt;"Y"),"BROKEN: Status not Y","OK")))))</f>
        <v/>
      </c>
    </row>
    <row r="1413" customFormat="false" ht="15" hidden="false" customHeight="false" outlineLevel="0" collapsed="false">
      <c r="A1413" s="41"/>
      <c r="B1413" s="5" t="n">
        <f aca="false">IF(A1413="",0,IFERROR(MATCH(A1413,Bank!$A:$A,0),0))</f>
        <v>0</v>
      </c>
      <c r="C1413" s="5" t="str">
        <f aca="false">IF(B1413=0,"",IF(INDEX(Bank!$G:$G,B1413)="","",INDEX(Bank!$G:$G,B1413)))</f>
        <v/>
      </c>
      <c r="D1413" s="5" t="str">
        <f aca="false">IF(B1413=0,"",IF(INDEX(Bank!$J:$J,B1413)="","",INDEX(Bank!$J:$J,B1413)))</f>
        <v/>
      </c>
      <c r="E1413" s="32" t="str">
        <f aca="false">IF(B1413=0,"",INDEX(Bank!$B:$B,B1413))</f>
        <v/>
      </c>
      <c r="F1413" s="5" t="str">
        <f aca="false">IF(B1413=0,"",IF(INDEX(Bank!$C:$C,B1413)="","",INDEX(Bank!$C:$C,B1413)))</f>
        <v/>
      </c>
      <c r="G1413" s="19" t="str">
        <f aca="false">IF(B1413=0,"",INDEX(Bank!$E:$E,B1413))</f>
        <v/>
      </c>
      <c r="H1413" s="5" t="str">
        <f aca="false">IF(B1413=0,"",IF(INDEX(Bank!$H:$H,B1413)="","",INDEX(Bank!$H:$H,B1413)))</f>
        <v/>
      </c>
      <c r="I1413" s="5" t="n">
        <f aca="false">IF(H1413="",0,IFERROR(MATCH(H1413,GL!$A:$A,0),0))</f>
        <v>0</v>
      </c>
      <c r="J1413" s="32" t="str">
        <f aca="false">IF(I1413=0,"",INDEX(GL!$B:$B,I1413))</f>
        <v/>
      </c>
      <c r="K1413" s="5" t="str">
        <f aca="false">IF(I1413=0,"",IF(INDEX(GL!$C:$C,I1413)="","",INDEX(GL!$C:$C,I1413)))</f>
        <v/>
      </c>
      <c r="L1413" s="19" t="str">
        <f aca="false">IF(I1413=0,"",INDEX(GL!$E:$E,I1413))</f>
        <v/>
      </c>
      <c r="M1413" s="19" t="str">
        <f aca="false">IF(OR(B1413=0,I1413=0),"",ROUND(G1413-L1413,2))</f>
        <v/>
      </c>
      <c r="N1413" s="5" t="str">
        <f aca="false">IF(A1413="","",IF(B1413=0,"NOT FOUND: bank ID",IF(I1413=0,"NOT FOUND: GL ID",IF(INDEX(GL!$H:$H,I1413)&lt;&gt;A1413,"BROKEN: GL points elsewhere",IF(OR(INDEX(Bank!$F:$F,B1413)&lt;&gt;"Y",INDEX(GL!$F:$F,I1413)&lt;&gt;"Y"),"BROKEN: Status not Y","OK")))))</f>
        <v/>
      </c>
    </row>
    <row r="1414" customFormat="false" ht="15" hidden="false" customHeight="false" outlineLevel="0" collapsed="false">
      <c r="A1414" s="41"/>
      <c r="B1414" s="5" t="n">
        <f aca="false">IF(A1414="",0,IFERROR(MATCH(A1414,Bank!$A:$A,0),0))</f>
        <v>0</v>
      </c>
      <c r="C1414" s="5" t="str">
        <f aca="false">IF(B1414=0,"",IF(INDEX(Bank!$G:$G,B1414)="","",INDEX(Bank!$G:$G,B1414)))</f>
        <v/>
      </c>
      <c r="D1414" s="5" t="str">
        <f aca="false">IF(B1414=0,"",IF(INDEX(Bank!$J:$J,B1414)="","",INDEX(Bank!$J:$J,B1414)))</f>
        <v/>
      </c>
      <c r="E1414" s="32" t="str">
        <f aca="false">IF(B1414=0,"",INDEX(Bank!$B:$B,B1414))</f>
        <v/>
      </c>
      <c r="F1414" s="5" t="str">
        <f aca="false">IF(B1414=0,"",IF(INDEX(Bank!$C:$C,B1414)="","",INDEX(Bank!$C:$C,B1414)))</f>
        <v/>
      </c>
      <c r="G1414" s="19" t="str">
        <f aca="false">IF(B1414=0,"",INDEX(Bank!$E:$E,B1414))</f>
        <v/>
      </c>
      <c r="H1414" s="5" t="str">
        <f aca="false">IF(B1414=0,"",IF(INDEX(Bank!$H:$H,B1414)="","",INDEX(Bank!$H:$H,B1414)))</f>
        <v/>
      </c>
      <c r="I1414" s="5" t="n">
        <f aca="false">IF(H1414="",0,IFERROR(MATCH(H1414,GL!$A:$A,0),0))</f>
        <v>0</v>
      </c>
      <c r="J1414" s="32" t="str">
        <f aca="false">IF(I1414=0,"",INDEX(GL!$B:$B,I1414))</f>
        <v/>
      </c>
      <c r="K1414" s="5" t="str">
        <f aca="false">IF(I1414=0,"",IF(INDEX(GL!$C:$C,I1414)="","",INDEX(GL!$C:$C,I1414)))</f>
        <v/>
      </c>
      <c r="L1414" s="19" t="str">
        <f aca="false">IF(I1414=0,"",INDEX(GL!$E:$E,I1414))</f>
        <v/>
      </c>
      <c r="M1414" s="19" t="str">
        <f aca="false">IF(OR(B1414=0,I1414=0),"",ROUND(G1414-L1414,2))</f>
        <v/>
      </c>
      <c r="N1414" s="5" t="str">
        <f aca="false">IF(A1414="","",IF(B1414=0,"NOT FOUND: bank ID",IF(I1414=0,"NOT FOUND: GL ID",IF(INDEX(GL!$H:$H,I1414)&lt;&gt;A1414,"BROKEN: GL points elsewhere",IF(OR(INDEX(Bank!$F:$F,B1414)&lt;&gt;"Y",INDEX(GL!$F:$F,I1414)&lt;&gt;"Y"),"BROKEN: Status not Y","OK")))))</f>
        <v/>
      </c>
    </row>
    <row r="1415" customFormat="false" ht="15" hidden="false" customHeight="false" outlineLevel="0" collapsed="false">
      <c r="A1415" s="41"/>
      <c r="B1415" s="5" t="n">
        <f aca="false">IF(A1415="",0,IFERROR(MATCH(A1415,Bank!$A:$A,0),0))</f>
        <v>0</v>
      </c>
      <c r="C1415" s="5" t="str">
        <f aca="false">IF(B1415=0,"",IF(INDEX(Bank!$G:$G,B1415)="","",INDEX(Bank!$G:$G,B1415)))</f>
        <v/>
      </c>
      <c r="D1415" s="5" t="str">
        <f aca="false">IF(B1415=0,"",IF(INDEX(Bank!$J:$J,B1415)="","",INDEX(Bank!$J:$J,B1415)))</f>
        <v/>
      </c>
      <c r="E1415" s="32" t="str">
        <f aca="false">IF(B1415=0,"",INDEX(Bank!$B:$B,B1415))</f>
        <v/>
      </c>
      <c r="F1415" s="5" t="str">
        <f aca="false">IF(B1415=0,"",IF(INDEX(Bank!$C:$C,B1415)="","",INDEX(Bank!$C:$C,B1415)))</f>
        <v/>
      </c>
      <c r="G1415" s="19" t="str">
        <f aca="false">IF(B1415=0,"",INDEX(Bank!$E:$E,B1415))</f>
        <v/>
      </c>
      <c r="H1415" s="5" t="str">
        <f aca="false">IF(B1415=0,"",IF(INDEX(Bank!$H:$H,B1415)="","",INDEX(Bank!$H:$H,B1415)))</f>
        <v/>
      </c>
      <c r="I1415" s="5" t="n">
        <f aca="false">IF(H1415="",0,IFERROR(MATCH(H1415,GL!$A:$A,0),0))</f>
        <v>0</v>
      </c>
      <c r="J1415" s="32" t="str">
        <f aca="false">IF(I1415=0,"",INDEX(GL!$B:$B,I1415))</f>
        <v/>
      </c>
      <c r="K1415" s="5" t="str">
        <f aca="false">IF(I1415=0,"",IF(INDEX(GL!$C:$C,I1415)="","",INDEX(GL!$C:$C,I1415)))</f>
        <v/>
      </c>
      <c r="L1415" s="19" t="str">
        <f aca="false">IF(I1415=0,"",INDEX(GL!$E:$E,I1415))</f>
        <v/>
      </c>
      <c r="M1415" s="19" t="str">
        <f aca="false">IF(OR(B1415=0,I1415=0),"",ROUND(G1415-L1415,2))</f>
        <v/>
      </c>
      <c r="N1415" s="5" t="str">
        <f aca="false">IF(A1415="","",IF(B1415=0,"NOT FOUND: bank ID",IF(I1415=0,"NOT FOUND: GL ID",IF(INDEX(GL!$H:$H,I1415)&lt;&gt;A1415,"BROKEN: GL points elsewhere",IF(OR(INDEX(Bank!$F:$F,B1415)&lt;&gt;"Y",INDEX(GL!$F:$F,I1415)&lt;&gt;"Y"),"BROKEN: Status not Y","OK")))))</f>
        <v/>
      </c>
    </row>
    <row r="1416" customFormat="false" ht="15" hidden="false" customHeight="false" outlineLevel="0" collapsed="false">
      <c r="A1416" s="41"/>
      <c r="B1416" s="5" t="n">
        <f aca="false">IF(A1416="",0,IFERROR(MATCH(A1416,Bank!$A:$A,0),0))</f>
        <v>0</v>
      </c>
      <c r="C1416" s="5" t="str">
        <f aca="false">IF(B1416=0,"",IF(INDEX(Bank!$G:$G,B1416)="","",INDEX(Bank!$G:$G,B1416)))</f>
        <v/>
      </c>
      <c r="D1416" s="5" t="str">
        <f aca="false">IF(B1416=0,"",IF(INDEX(Bank!$J:$J,B1416)="","",INDEX(Bank!$J:$J,B1416)))</f>
        <v/>
      </c>
      <c r="E1416" s="32" t="str">
        <f aca="false">IF(B1416=0,"",INDEX(Bank!$B:$B,B1416))</f>
        <v/>
      </c>
      <c r="F1416" s="5" t="str">
        <f aca="false">IF(B1416=0,"",IF(INDEX(Bank!$C:$C,B1416)="","",INDEX(Bank!$C:$C,B1416)))</f>
        <v/>
      </c>
      <c r="G1416" s="19" t="str">
        <f aca="false">IF(B1416=0,"",INDEX(Bank!$E:$E,B1416))</f>
        <v/>
      </c>
      <c r="H1416" s="5" t="str">
        <f aca="false">IF(B1416=0,"",IF(INDEX(Bank!$H:$H,B1416)="","",INDEX(Bank!$H:$H,B1416)))</f>
        <v/>
      </c>
      <c r="I1416" s="5" t="n">
        <f aca="false">IF(H1416="",0,IFERROR(MATCH(H1416,GL!$A:$A,0),0))</f>
        <v>0</v>
      </c>
      <c r="J1416" s="32" t="str">
        <f aca="false">IF(I1416=0,"",INDEX(GL!$B:$B,I1416))</f>
        <v/>
      </c>
      <c r="K1416" s="5" t="str">
        <f aca="false">IF(I1416=0,"",IF(INDEX(GL!$C:$C,I1416)="","",INDEX(GL!$C:$C,I1416)))</f>
        <v/>
      </c>
      <c r="L1416" s="19" t="str">
        <f aca="false">IF(I1416=0,"",INDEX(GL!$E:$E,I1416))</f>
        <v/>
      </c>
      <c r="M1416" s="19" t="str">
        <f aca="false">IF(OR(B1416=0,I1416=0),"",ROUND(G1416-L1416,2))</f>
        <v/>
      </c>
      <c r="N1416" s="5" t="str">
        <f aca="false">IF(A1416="","",IF(B1416=0,"NOT FOUND: bank ID",IF(I1416=0,"NOT FOUND: GL ID",IF(INDEX(GL!$H:$H,I1416)&lt;&gt;A1416,"BROKEN: GL points elsewhere",IF(OR(INDEX(Bank!$F:$F,B1416)&lt;&gt;"Y",INDEX(GL!$F:$F,I1416)&lt;&gt;"Y"),"BROKEN: Status not Y","OK")))))</f>
        <v/>
      </c>
    </row>
    <row r="1417" customFormat="false" ht="15" hidden="false" customHeight="false" outlineLevel="0" collapsed="false">
      <c r="A1417" s="41"/>
      <c r="B1417" s="5" t="n">
        <f aca="false">IF(A1417="",0,IFERROR(MATCH(A1417,Bank!$A:$A,0),0))</f>
        <v>0</v>
      </c>
      <c r="C1417" s="5" t="str">
        <f aca="false">IF(B1417=0,"",IF(INDEX(Bank!$G:$G,B1417)="","",INDEX(Bank!$G:$G,B1417)))</f>
        <v/>
      </c>
      <c r="D1417" s="5" t="str">
        <f aca="false">IF(B1417=0,"",IF(INDEX(Bank!$J:$J,B1417)="","",INDEX(Bank!$J:$J,B1417)))</f>
        <v/>
      </c>
      <c r="E1417" s="32" t="str">
        <f aca="false">IF(B1417=0,"",INDEX(Bank!$B:$B,B1417))</f>
        <v/>
      </c>
      <c r="F1417" s="5" t="str">
        <f aca="false">IF(B1417=0,"",IF(INDEX(Bank!$C:$C,B1417)="","",INDEX(Bank!$C:$C,B1417)))</f>
        <v/>
      </c>
      <c r="G1417" s="19" t="str">
        <f aca="false">IF(B1417=0,"",INDEX(Bank!$E:$E,B1417))</f>
        <v/>
      </c>
      <c r="H1417" s="5" t="str">
        <f aca="false">IF(B1417=0,"",IF(INDEX(Bank!$H:$H,B1417)="","",INDEX(Bank!$H:$H,B1417)))</f>
        <v/>
      </c>
      <c r="I1417" s="5" t="n">
        <f aca="false">IF(H1417="",0,IFERROR(MATCH(H1417,GL!$A:$A,0),0))</f>
        <v>0</v>
      </c>
      <c r="J1417" s="32" t="str">
        <f aca="false">IF(I1417=0,"",INDEX(GL!$B:$B,I1417))</f>
        <v/>
      </c>
      <c r="K1417" s="5" t="str">
        <f aca="false">IF(I1417=0,"",IF(INDEX(GL!$C:$C,I1417)="","",INDEX(GL!$C:$C,I1417)))</f>
        <v/>
      </c>
      <c r="L1417" s="19" t="str">
        <f aca="false">IF(I1417=0,"",INDEX(GL!$E:$E,I1417))</f>
        <v/>
      </c>
      <c r="M1417" s="19" t="str">
        <f aca="false">IF(OR(B1417=0,I1417=0),"",ROUND(G1417-L1417,2))</f>
        <v/>
      </c>
      <c r="N1417" s="5" t="str">
        <f aca="false">IF(A1417="","",IF(B1417=0,"NOT FOUND: bank ID",IF(I1417=0,"NOT FOUND: GL ID",IF(INDEX(GL!$H:$H,I1417)&lt;&gt;A1417,"BROKEN: GL points elsewhere",IF(OR(INDEX(Bank!$F:$F,B1417)&lt;&gt;"Y",INDEX(GL!$F:$F,I1417)&lt;&gt;"Y"),"BROKEN: Status not Y","OK")))))</f>
        <v/>
      </c>
    </row>
    <row r="1418" customFormat="false" ht="15" hidden="false" customHeight="false" outlineLevel="0" collapsed="false">
      <c r="A1418" s="41"/>
      <c r="B1418" s="5" t="n">
        <f aca="false">IF(A1418="",0,IFERROR(MATCH(A1418,Bank!$A:$A,0),0))</f>
        <v>0</v>
      </c>
      <c r="C1418" s="5" t="str">
        <f aca="false">IF(B1418=0,"",IF(INDEX(Bank!$G:$G,B1418)="","",INDEX(Bank!$G:$G,B1418)))</f>
        <v/>
      </c>
      <c r="D1418" s="5" t="str">
        <f aca="false">IF(B1418=0,"",IF(INDEX(Bank!$J:$J,B1418)="","",INDEX(Bank!$J:$J,B1418)))</f>
        <v/>
      </c>
      <c r="E1418" s="32" t="str">
        <f aca="false">IF(B1418=0,"",INDEX(Bank!$B:$B,B1418))</f>
        <v/>
      </c>
      <c r="F1418" s="5" t="str">
        <f aca="false">IF(B1418=0,"",IF(INDEX(Bank!$C:$C,B1418)="","",INDEX(Bank!$C:$C,B1418)))</f>
        <v/>
      </c>
      <c r="G1418" s="19" t="str">
        <f aca="false">IF(B1418=0,"",INDEX(Bank!$E:$E,B1418))</f>
        <v/>
      </c>
      <c r="H1418" s="5" t="str">
        <f aca="false">IF(B1418=0,"",IF(INDEX(Bank!$H:$H,B1418)="","",INDEX(Bank!$H:$H,B1418)))</f>
        <v/>
      </c>
      <c r="I1418" s="5" t="n">
        <f aca="false">IF(H1418="",0,IFERROR(MATCH(H1418,GL!$A:$A,0),0))</f>
        <v>0</v>
      </c>
      <c r="J1418" s="32" t="str">
        <f aca="false">IF(I1418=0,"",INDEX(GL!$B:$B,I1418))</f>
        <v/>
      </c>
      <c r="K1418" s="5" t="str">
        <f aca="false">IF(I1418=0,"",IF(INDEX(GL!$C:$C,I1418)="","",INDEX(GL!$C:$C,I1418)))</f>
        <v/>
      </c>
      <c r="L1418" s="19" t="str">
        <f aca="false">IF(I1418=0,"",INDEX(GL!$E:$E,I1418))</f>
        <v/>
      </c>
      <c r="M1418" s="19" t="str">
        <f aca="false">IF(OR(B1418=0,I1418=0),"",ROUND(G1418-L1418,2))</f>
        <v/>
      </c>
      <c r="N1418" s="5" t="str">
        <f aca="false">IF(A1418="","",IF(B1418=0,"NOT FOUND: bank ID",IF(I1418=0,"NOT FOUND: GL ID",IF(INDEX(GL!$H:$H,I1418)&lt;&gt;A1418,"BROKEN: GL points elsewhere",IF(OR(INDEX(Bank!$F:$F,B1418)&lt;&gt;"Y",INDEX(GL!$F:$F,I1418)&lt;&gt;"Y"),"BROKEN: Status not Y","OK")))))</f>
        <v/>
      </c>
    </row>
    <row r="1419" customFormat="false" ht="15" hidden="false" customHeight="false" outlineLevel="0" collapsed="false">
      <c r="A1419" s="41"/>
      <c r="B1419" s="5" t="n">
        <f aca="false">IF(A1419="",0,IFERROR(MATCH(A1419,Bank!$A:$A,0),0))</f>
        <v>0</v>
      </c>
      <c r="C1419" s="5" t="str">
        <f aca="false">IF(B1419=0,"",IF(INDEX(Bank!$G:$G,B1419)="","",INDEX(Bank!$G:$G,B1419)))</f>
        <v/>
      </c>
      <c r="D1419" s="5" t="str">
        <f aca="false">IF(B1419=0,"",IF(INDEX(Bank!$J:$J,B1419)="","",INDEX(Bank!$J:$J,B1419)))</f>
        <v/>
      </c>
      <c r="E1419" s="32" t="str">
        <f aca="false">IF(B1419=0,"",INDEX(Bank!$B:$B,B1419))</f>
        <v/>
      </c>
      <c r="F1419" s="5" t="str">
        <f aca="false">IF(B1419=0,"",IF(INDEX(Bank!$C:$C,B1419)="","",INDEX(Bank!$C:$C,B1419)))</f>
        <v/>
      </c>
      <c r="G1419" s="19" t="str">
        <f aca="false">IF(B1419=0,"",INDEX(Bank!$E:$E,B1419))</f>
        <v/>
      </c>
      <c r="H1419" s="5" t="str">
        <f aca="false">IF(B1419=0,"",IF(INDEX(Bank!$H:$H,B1419)="","",INDEX(Bank!$H:$H,B1419)))</f>
        <v/>
      </c>
      <c r="I1419" s="5" t="n">
        <f aca="false">IF(H1419="",0,IFERROR(MATCH(H1419,GL!$A:$A,0),0))</f>
        <v>0</v>
      </c>
      <c r="J1419" s="32" t="str">
        <f aca="false">IF(I1419=0,"",INDEX(GL!$B:$B,I1419))</f>
        <v/>
      </c>
      <c r="K1419" s="5" t="str">
        <f aca="false">IF(I1419=0,"",IF(INDEX(GL!$C:$C,I1419)="","",INDEX(GL!$C:$C,I1419)))</f>
        <v/>
      </c>
      <c r="L1419" s="19" t="str">
        <f aca="false">IF(I1419=0,"",INDEX(GL!$E:$E,I1419))</f>
        <v/>
      </c>
      <c r="M1419" s="19" t="str">
        <f aca="false">IF(OR(B1419=0,I1419=0),"",ROUND(G1419-L1419,2))</f>
        <v/>
      </c>
      <c r="N1419" s="5" t="str">
        <f aca="false">IF(A1419="","",IF(B1419=0,"NOT FOUND: bank ID",IF(I1419=0,"NOT FOUND: GL ID",IF(INDEX(GL!$H:$H,I1419)&lt;&gt;A1419,"BROKEN: GL points elsewhere",IF(OR(INDEX(Bank!$F:$F,B1419)&lt;&gt;"Y",INDEX(GL!$F:$F,I1419)&lt;&gt;"Y"),"BROKEN: Status not Y","OK")))))</f>
        <v/>
      </c>
    </row>
    <row r="1420" customFormat="false" ht="15" hidden="false" customHeight="false" outlineLevel="0" collapsed="false">
      <c r="A1420" s="41"/>
      <c r="B1420" s="5" t="n">
        <f aca="false">IF(A1420="",0,IFERROR(MATCH(A1420,Bank!$A:$A,0),0))</f>
        <v>0</v>
      </c>
      <c r="C1420" s="5" t="str">
        <f aca="false">IF(B1420=0,"",IF(INDEX(Bank!$G:$G,B1420)="","",INDEX(Bank!$G:$G,B1420)))</f>
        <v/>
      </c>
      <c r="D1420" s="5" t="str">
        <f aca="false">IF(B1420=0,"",IF(INDEX(Bank!$J:$J,B1420)="","",INDEX(Bank!$J:$J,B1420)))</f>
        <v/>
      </c>
      <c r="E1420" s="32" t="str">
        <f aca="false">IF(B1420=0,"",INDEX(Bank!$B:$B,B1420))</f>
        <v/>
      </c>
      <c r="F1420" s="5" t="str">
        <f aca="false">IF(B1420=0,"",IF(INDEX(Bank!$C:$C,B1420)="","",INDEX(Bank!$C:$C,B1420)))</f>
        <v/>
      </c>
      <c r="G1420" s="19" t="str">
        <f aca="false">IF(B1420=0,"",INDEX(Bank!$E:$E,B1420))</f>
        <v/>
      </c>
      <c r="H1420" s="5" t="str">
        <f aca="false">IF(B1420=0,"",IF(INDEX(Bank!$H:$H,B1420)="","",INDEX(Bank!$H:$H,B1420)))</f>
        <v/>
      </c>
      <c r="I1420" s="5" t="n">
        <f aca="false">IF(H1420="",0,IFERROR(MATCH(H1420,GL!$A:$A,0),0))</f>
        <v>0</v>
      </c>
      <c r="J1420" s="32" t="str">
        <f aca="false">IF(I1420=0,"",INDEX(GL!$B:$B,I1420))</f>
        <v/>
      </c>
      <c r="K1420" s="5" t="str">
        <f aca="false">IF(I1420=0,"",IF(INDEX(GL!$C:$C,I1420)="","",INDEX(GL!$C:$C,I1420)))</f>
        <v/>
      </c>
      <c r="L1420" s="19" t="str">
        <f aca="false">IF(I1420=0,"",INDEX(GL!$E:$E,I1420))</f>
        <v/>
      </c>
      <c r="M1420" s="19" t="str">
        <f aca="false">IF(OR(B1420=0,I1420=0),"",ROUND(G1420-L1420,2))</f>
        <v/>
      </c>
      <c r="N1420" s="5" t="str">
        <f aca="false">IF(A1420="","",IF(B1420=0,"NOT FOUND: bank ID",IF(I1420=0,"NOT FOUND: GL ID",IF(INDEX(GL!$H:$H,I1420)&lt;&gt;A1420,"BROKEN: GL points elsewhere",IF(OR(INDEX(Bank!$F:$F,B1420)&lt;&gt;"Y",INDEX(GL!$F:$F,I1420)&lt;&gt;"Y"),"BROKEN: Status not Y","OK")))))</f>
        <v/>
      </c>
    </row>
    <row r="1421" customFormat="false" ht="15" hidden="false" customHeight="false" outlineLevel="0" collapsed="false">
      <c r="A1421" s="41"/>
      <c r="B1421" s="5" t="n">
        <f aca="false">IF(A1421="",0,IFERROR(MATCH(A1421,Bank!$A:$A,0),0))</f>
        <v>0</v>
      </c>
      <c r="C1421" s="5" t="str">
        <f aca="false">IF(B1421=0,"",IF(INDEX(Bank!$G:$G,B1421)="","",INDEX(Bank!$G:$G,B1421)))</f>
        <v/>
      </c>
      <c r="D1421" s="5" t="str">
        <f aca="false">IF(B1421=0,"",IF(INDEX(Bank!$J:$J,B1421)="","",INDEX(Bank!$J:$J,B1421)))</f>
        <v/>
      </c>
      <c r="E1421" s="32" t="str">
        <f aca="false">IF(B1421=0,"",INDEX(Bank!$B:$B,B1421))</f>
        <v/>
      </c>
      <c r="F1421" s="5" t="str">
        <f aca="false">IF(B1421=0,"",IF(INDEX(Bank!$C:$C,B1421)="","",INDEX(Bank!$C:$C,B1421)))</f>
        <v/>
      </c>
      <c r="G1421" s="19" t="str">
        <f aca="false">IF(B1421=0,"",INDEX(Bank!$E:$E,B1421))</f>
        <v/>
      </c>
      <c r="H1421" s="5" t="str">
        <f aca="false">IF(B1421=0,"",IF(INDEX(Bank!$H:$H,B1421)="","",INDEX(Bank!$H:$H,B1421)))</f>
        <v/>
      </c>
      <c r="I1421" s="5" t="n">
        <f aca="false">IF(H1421="",0,IFERROR(MATCH(H1421,GL!$A:$A,0),0))</f>
        <v>0</v>
      </c>
      <c r="J1421" s="32" t="str">
        <f aca="false">IF(I1421=0,"",INDEX(GL!$B:$B,I1421))</f>
        <v/>
      </c>
      <c r="K1421" s="5" t="str">
        <f aca="false">IF(I1421=0,"",IF(INDEX(GL!$C:$C,I1421)="","",INDEX(GL!$C:$C,I1421)))</f>
        <v/>
      </c>
      <c r="L1421" s="19" t="str">
        <f aca="false">IF(I1421=0,"",INDEX(GL!$E:$E,I1421))</f>
        <v/>
      </c>
      <c r="M1421" s="19" t="str">
        <f aca="false">IF(OR(B1421=0,I1421=0),"",ROUND(G1421-L1421,2))</f>
        <v/>
      </c>
      <c r="N1421" s="5" t="str">
        <f aca="false">IF(A1421="","",IF(B1421=0,"NOT FOUND: bank ID",IF(I1421=0,"NOT FOUND: GL ID",IF(INDEX(GL!$H:$H,I1421)&lt;&gt;A1421,"BROKEN: GL points elsewhere",IF(OR(INDEX(Bank!$F:$F,B1421)&lt;&gt;"Y",INDEX(GL!$F:$F,I1421)&lt;&gt;"Y"),"BROKEN: Status not Y","OK")))))</f>
        <v/>
      </c>
    </row>
    <row r="1422" customFormat="false" ht="15" hidden="false" customHeight="false" outlineLevel="0" collapsed="false">
      <c r="A1422" s="41"/>
      <c r="B1422" s="5" t="n">
        <f aca="false">IF(A1422="",0,IFERROR(MATCH(A1422,Bank!$A:$A,0),0))</f>
        <v>0</v>
      </c>
      <c r="C1422" s="5" t="str">
        <f aca="false">IF(B1422=0,"",IF(INDEX(Bank!$G:$G,B1422)="","",INDEX(Bank!$G:$G,B1422)))</f>
        <v/>
      </c>
      <c r="D1422" s="5" t="str">
        <f aca="false">IF(B1422=0,"",IF(INDEX(Bank!$J:$J,B1422)="","",INDEX(Bank!$J:$J,B1422)))</f>
        <v/>
      </c>
      <c r="E1422" s="32" t="str">
        <f aca="false">IF(B1422=0,"",INDEX(Bank!$B:$B,B1422))</f>
        <v/>
      </c>
      <c r="F1422" s="5" t="str">
        <f aca="false">IF(B1422=0,"",IF(INDEX(Bank!$C:$C,B1422)="","",INDEX(Bank!$C:$C,B1422)))</f>
        <v/>
      </c>
      <c r="G1422" s="19" t="str">
        <f aca="false">IF(B1422=0,"",INDEX(Bank!$E:$E,B1422))</f>
        <v/>
      </c>
      <c r="H1422" s="5" t="str">
        <f aca="false">IF(B1422=0,"",IF(INDEX(Bank!$H:$H,B1422)="","",INDEX(Bank!$H:$H,B1422)))</f>
        <v/>
      </c>
      <c r="I1422" s="5" t="n">
        <f aca="false">IF(H1422="",0,IFERROR(MATCH(H1422,GL!$A:$A,0),0))</f>
        <v>0</v>
      </c>
      <c r="J1422" s="32" t="str">
        <f aca="false">IF(I1422=0,"",INDEX(GL!$B:$B,I1422))</f>
        <v/>
      </c>
      <c r="K1422" s="5" t="str">
        <f aca="false">IF(I1422=0,"",IF(INDEX(GL!$C:$C,I1422)="","",INDEX(GL!$C:$C,I1422)))</f>
        <v/>
      </c>
      <c r="L1422" s="19" t="str">
        <f aca="false">IF(I1422=0,"",INDEX(GL!$E:$E,I1422))</f>
        <v/>
      </c>
      <c r="M1422" s="19" t="str">
        <f aca="false">IF(OR(B1422=0,I1422=0),"",ROUND(G1422-L1422,2))</f>
        <v/>
      </c>
      <c r="N1422" s="5" t="str">
        <f aca="false">IF(A1422="","",IF(B1422=0,"NOT FOUND: bank ID",IF(I1422=0,"NOT FOUND: GL ID",IF(INDEX(GL!$H:$H,I1422)&lt;&gt;A1422,"BROKEN: GL points elsewhere",IF(OR(INDEX(Bank!$F:$F,B1422)&lt;&gt;"Y",INDEX(GL!$F:$F,I1422)&lt;&gt;"Y"),"BROKEN: Status not Y","OK")))))</f>
        <v/>
      </c>
    </row>
    <row r="1423" customFormat="false" ht="15" hidden="false" customHeight="false" outlineLevel="0" collapsed="false">
      <c r="A1423" s="41"/>
      <c r="B1423" s="5" t="n">
        <f aca="false">IF(A1423="",0,IFERROR(MATCH(A1423,Bank!$A:$A,0),0))</f>
        <v>0</v>
      </c>
      <c r="C1423" s="5" t="str">
        <f aca="false">IF(B1423=0,"",IF(INDEX(Bank!$G:$G,B1423)="","",INDEX(Bank!$G:$G,B1423)))</f>
        <v/>
      </c>
      <c r="D1423" s="5" t="str">
        <f aca="false">IF(B1423=0,"",IF(INDEX(Bank!$J:$J,B1423)="","",INDEX(Bank!$J:$J,B1423)))</f>
        <v/>
      </c>
      <c r="E1423" s="32" t="str">
        <f aca="false">IF(B1423=0,"",INDEX(Bank!$B:$B,B1423))</f>
        <v/>
      </c>
      <c r="F1423" s="5" t="str">
        <f aca="false">IF(B1423=0,"",IF(INDEX(Bank!$C:$C,B1423)="","",INDEX(Bank!$C:$C,B1423)))</f>
        <v/>
      </c>
      <c r="G1423" s="19" t="str">
        <f aca="false">IF(B1423=0,"",INDEX(Bank!$E:$E,B1423))</f>
        <v/>
      </c>
      <c r="H1423" s="5" t="str">
        <f aca="false">IF(B1423=0,"",IF(INDEX(Bank!$H:$H,B1423)="","",INDEX(Bank!$H:$H,B1423)))</f>
        <v/>
      </c>
      <c r="I1423" s="5" t="n">
        <f aca="false">IF(H1423="",0,IFERROR(MATCH(H1423,GL!$A:$A,0),0))</f>
        <v>0</v>
      </c>
      <c r="J1423" s="32" t="str">
        <f aca="false">IF(I1423=0,"",INDEX(GL!$B:$B,I1423))</f>
        <v/>
      </c>
      <c r="K1423" s="5" t="str">
        <f aca="false">IF(I1423=0,"",IF(INDEX(GL!$C:$C,I1423)="","",INDEX(GL!$C:$C,I1423)))</f>
        <v/>
      </c>
      <c r="L1423" s="19" t="str">
        <f aca="false">IF(I1423=0,"",INDEX(GL!$E:$E,I1423))</f>
        <v/>
      </c>
      <c r="M1423" s="19" t="str">
        <f aca="false">IF(OR(B1423=0,I1423=0),"",ROUND(G1423-L1423,2))</f>
        <v/>
      </c>
      <c r="N1423" s="5" t="str">
        <f aca="false">IF(A1423="","",IF(B1423=0,"NOT FOUND: bank ID",IF(I1423=0,"NOT FOUND: GL ID",IF(INDEX(GL!$H:$H,I1423)&lt;&gt;A1423,"BROKEN: GL points elsewhere",IF(OR(INDEX(Bank!$F:$F,B1423)&lt;&gt;"Y",INDEX(GL!$F:$F,I1423)&lt;&gt;"Y"),"BROKEN: Status not Y","OK")))))</f>
        <v/>
      </c>
    </row>
    <row r="1424" customFormat="false" ht="15" hidden="false" customHeight="false" outlineLevel="0" collapsed="false">
      <c r="A1424" s="41"/>
      <c r="B1424" s="5" t="n">
        <f aca="false">IF(A1424="",0,IFERROR(MATCH(A1424,Bank!$A:$A,0),0))</f>
        <v>0</v>
      </c>
      <c r="C1424" s="5" t="str">
        <f aca="false">IF(B1424=0,"",IF(INDEX(Bank!$G:$G,B1424)="","",INDEX(Bank!$G:$G,B1424)))</f>
        <v/>
      </c>
      <c r="D1424" s="5" t="str">
        <f aca="false">IF(B1424=0,"",IF(INDEX(Bank!$J:$J,B1424)="","",INDEX(Bank!$J:$J,B1424)))</f>
        <v/>
      </c>
      <c r="E1424" s="32" t="str">
        <f aca="false">IF(B1424=0,"",INDEX(Bank!$B:$B,B1424))</f>
        <v/>
      </c>
      <c r="F1424" s="5" t="str">
        <f aca="false">IF(B1424=0,"",IF(INDEX(Bank!$C:$C,B1424)="","",INDEX(Bank!$C:$C,B1424)))</f>
        <v/>
      </c>
      <c r="G1424" s="19" t="str">
        <f aca="false">IF(B1424=0,"",INDEX(Bank!$E:$E,B1424))</f>
        <v/>
      </c>
      <c r="H1424" s="5" t="str">
        <f aca="false">IF(B1424=0,"",IF(INDEX(Bank!$H:$H,B1424)="","",INDEX(Bank!$H:$H,B1424)))</f>
        <v/>
      </c>
      <c r="I1424" s="5" t="n">
        <f aca="false">IF(H1424="",0,IFERROR(MATCH(H1424,GL!$A:$A,0),0))</f>
        <v>0</v>
      </c>
      <c r="J1424" s="32" t="str">
        <f aca="false">IF(I1424=0,"",INDEX(GL!$B:$B,I1424))</f>
        <v/>
      </c>
      <c r="K1424" s="5" t="str">
        <f aca="false">IF(I1424=0,"",IF(INDEX(GL!$C:$C,I1424)="","",INDEX(GL!$C:$C,I1424)))</f>
        <v/>
      </c>
      <c r="L1424" s="19" t="str">
        <f aca="false">IF(I1424=0,"",INDEX(GL!$E:$E,I1424))</f>
        <v/>
      </c>
      <c r="M1424" s="19" t="str">
        <f aca="false">IF(OR(B1424=0,I1424=0),"",ROUND(G1424-L1424,2))</f>
        <v/>
      </c>
      <c r="N1424" s="5" t="str">
        <f aca="false">IF(A1424="","",IF(B1424=0,"NOT FOUND: bank ID",IF(I1424=0,"NOT FOUND: GL ID",IF(INDEX(GL!$H:$H,I1424)&lt;&gt;A1424,"BROKEN: GL points elsewhere",IF(OR(INDEX(Bank!$F:$F,B1424)&lt;&gt;"Y",INDEX(GL!$F:$F,I1424)&lt;&gt;"Y"),"BROKEN: Status not Y","OK")))))</f>
        <v/>
      </c>
    </row>
    <row r="1425" customFormat="false" ht="15" hidden="false" customHeight="false" outlineLevel="0" collapsed="false">
      <c r="A1425" s="41"/>
      <c r="B1425" s="5" t="n">
        <f aca="false">IF(A1425="",0,IFERROR(MATCH(A1425,Bank!$A:$A,0),0))</f>
        <v>0</v>
      </c>
      <c r="C1425" s="5" t="str">
        <f aca="false">IF(B1425=0,"",IF(INDEX(Bank!$G:$G,B1425)="","",INDEX(Bank!$G:$G,B1425)))</f>
        <v/>
      </c>
      <c r="D1425" s="5" t="str">
        <f aca="false">IF(B1425=0,"",IF(INDEX(Bank!$J:$J,B1425)="","",INDEX(Bank!$J:$J,B1425)))</f>
        <v/>
      </c>
      <c r="E1425" s="32" t="str">
        <f aca="false">IF(B1425=0,"",INDEX(Bank!$B:$B,B1425))</f>
        <v/>
      </c>
      <c r="F1425" s="5" t="str">
        <f aca="false">IF(B1425=0,"",IF(INDEX(Bank!$C:$C,B1425)="","",INDEX(Bank!$C:$C,B1425)))</f>
        <v/>
      </c>
      <c r="G1425" s="19" t="str">
        <f aca="false">IF(B1425=0,"",INDEX(Bank!$E:$E,B1425))</f>
        <v/>
      </c>
      <c r="H1425" s="5" t="str">
        <f aca="false">IF(B1425=0,"",IF(INDEX(Bank!$H:$H,B1425)="","",INDEX(Bank!$H:$H,B1425)))</f>
        <v/>
      </c>
      <c r="I1425" s="5" t="n">
        <f aca="false">IF(H1425="",0,IFERROR(MATCH(H1425,GL!$A:$A,0),0))</f>
        <v>0</v>
      </c>
      <c r="J1425" s="32" t="str">
        <f aca="false">IF(I1425=0,"",INDEX(GL!$B:$B,I1425))</f>
        <v/>
      </c>
      <c r="K1425" s="5" t="str">
        <f aca="false">IF(I1425=0,"",IF(INDEX(GL!$C:$C,I1425)="","",INDEX(GL!$C:$C,I1425)))</f>
        <v/>
      </c>
      <c r="L1425" s="19" t="str">
        <f aca="false">IF(I1425=0,"",INDEX(GL!$E:$E,I1425))</f>
        <v/>
      </c>
      <c r="M1425" s="19" t="str">
        <f aca="false">IF(OR(B1425=0,I1425=0),"",ROUND(G1425-L1425,2))</f>
        <v/>
      </c>
      <c r="N1425" s="5" t="str">
        <f aca="false">IF(A1425="","",IF(B1425=0,"NOT FOUND: bank ID",IF(I1425=0,"NOT FOUND: GL ID",IF(INDEX(GL!$H:$H,I1425)&lt;&gt;A1425,"BROKEN: GL points elsewhere",IF(OR(INDEX(Bank!$F:$F,B1425)&lt;&gt;"Y",INDEX(GL!$F:$F,I1425)&lt;&gt;"Y"),"BROKEN: Status not Y","OK")))))</f>
        <v/>
      </c>
    </row>
    <row r="1426" customFormat="false" ht="15" hidden="false" customHeight="false" outlineLevel="0" collapsed="false">
      <c r="A1426" s="41"/>
      <c r="B1426" s="5" t="n">
        <f aca="false">IF(A1426="",0,IFERROR(MATCH(A1426,Bank!$A:$A,0),0))</f>
        <v>0</v>
      </c>
      <c r="C1426" s="5" t="str">
        <f aca="false">IF(B1426=0,"",IF(INDEX(Bank!$G:$G,B1426)="","",INDEX(Bank!$G:$G,B1426)))</f>
        <v/>
      </c>
      <c r="D1426" s="5" t="str">
        <f aca="false">IF(B1426=0,"",IF(INDEX(Bank!$J:$J,B1426)="","",INDEX(Bank!$J:$J,B1426)))</f>
        <v/>
      </c>
      <c r="E1426" s="32" t="str">
        <f aca="false">IF(B1426=0,"",INDEX(Bank!$B:$B,B1426))</f>
        <v/>
      </c>
      <c r="F1426" s="5" t="str">
        <f aca="false">IF(B1426=0,"",IF(INDEX(Bank!$C:$C,B1426)="","",INDEX(Bank!$C:$C,B1426)))</f>
        <v/>
      </c>
      <c r="G1426" s="19" t="str">
        <f aca="false">IF(B1426=0,"",INDEX(Bank!$E:$E,B1426))</f>
        <v/>
      </c>
      <c r="H1426" s="5" t="str">
        <f aca="false">IF(B1426=0,"",IF(INDEX(Bank!$H:$H,B1426)="","",INDEX(Bank!$H:$H,B1426)))</f>
        <v/>
      </c>
      <c r="I1426" s="5" t="n">
        <f aca="false">IF(H1426="",0,IFERROR(MATCH(H1426,GL!$A:$A,0),0))</f>
        <v>0</v>
      </c>
      <c r="J1426" s="32" t="str">
        <f aca="false">IF(I1426=0,"",INDEX(GL!$B:$B,I1426))</f>
        <v/>
      </c>
      <c r="K1426" s="5" t="str">
        <f aca="false">IF(I1426=0,"",IF(INDEX(GL!$C:$C,I1426)="","",INDEX(GL!$C:$C,I1426)))</f>
        <v/>
      </c>
      <c r="L1426" s="19" t="str">
        <f aca="false">IF(I1426=0,"",INDEX(GL!$E:$E,I1426))</f>
        <v/>
      </c>
      <c r="M1426" s="19" t="str">
        <f aca="false">IF(OR(B1426=0,I1426=0),"",ROUND(G1426-L1426,2))</f>
        <v/>
      </c>
      <c r="N1426" s="5" t="str">
        <f aca="false">IF(A1426="","",IF(B1426=0,"NOT FOUND: bank ID",IF(I1426=0,"NOT FOUND: GL ID",IF(INDEX(GL!$H:$H,I1426)&lt;&gt;A1426,"BROKEN: GL points elsewhere",IF(OR(INDEX(Bank!$F:$F,B1426)&lt;&gt;"Y",INDEX(GL!$F:$F,I1426)&lt;&gt;"Y"),"BROKEN: Status not Y","OK")))))</f>
        <v/>
      </c>
    </row>
    <row r="1427" customFormat="false" ht="15" hidden="false" customHeight="false" outlineLevel="0" collapsed="false">
      <c r="A1427" s="41"/>
      <c r="B1427" s="5" t="n">
        <f aca="false">IF(A1427="",0,IFERROR(MATCH(A1427,Bank!$A:$A,0),0))</f>
        <v>0</v>
      </c>
      <c r="C1427" s="5" t="str">
        <f aca="false">IF(B1427=0,"",IF(INDEX(Bank!$G:$G,B1427)="","",INDEX(Bank!$G:$G,B1427)))</f>
        <v/>
      </c>
      <c r="D1427" s="5" t="str">
        <f aca="false">IF(B1427=0,"",IF(INDEX(Bank!$J:$J,B1427)="","",INDEX(Bank!$J:$J,B1427)))</f>
        <v/>
      </c>
      <c r="E1427" s="32" t="str">
        <f aca="false">IF(B1427=0,"",INDEX(Bank!$B:$B,B1427))</f>
        <v/>
      </c>
      <c r="F1427" s="5" t="str">
        <f aca="false">IF(B1427=0,"",IF(INDEX(Bank!$C:$C,B1427)="","",INDEX(Bank!$C:$C,B1427)))</f>
        <v/>
      </c>
      <c r="G1427" s="19" t="str">
        <f aca="false">IF(B1427=0,"",INDEX(Bank!$E:$E,B1427))</f>
        <v/>
      </c>
      <c r="H1427" s="5" t="str">
        <f aca="false">IF(B1427=0,"",IF(INDEX(Bank!$H:$H,B1427)="","",INDEX(Bank!$H:$H,B1427)))</f>
        <v/>
      </c>
      <c r="I1427" s="5" t="n">
        <f aca="false">IF(H1427="",0,IFERROR(MATCH(H1427,GL!$A:$A,0),0))</f>
        <v>0</v>
      </c>
      <c r="J1427" s="32" t="str">
        <f aca="false">IF(I1427=0,"",INDEX(GL!$B:$B,I1427))</f>
        <v/>
      </c>
      <c r="K1427" s="5" t="str">
        <f aca="false">IF(I1427=0,"",IF(INDEX(GL!$C:$C,I1427)="","",INDEX(GL!$C:$C,I1427)))</f>
        <v/>
      </c>
      <c r="L1427" s="19" t="str">
        <f aca="false">IF(I1427=0,"",INDEX(GL!$E:$E,I1427))</f>
        <v/>
      </c>
      <c r="M1427" s="19" t="str">
        <f aca="false">IF(OR(B1427=0,I1427=0),"",ROUND(G1427-L1427,2))</f>
        <v/>
      </c>
      <c r="N1427" s="5" t="str">
        <f aca="false">IF(A1427="","",IF(B1427=0,"NOT FOUND: bank ID",IF(I1427=0,"NOT FOUND: GL ID",IF(INDEX(GL!$H:$H,I1427)&lt;&gt;A1427,"BROKEN: GL points elsewhere",IF(OR(INDEX(Bank!$F:$F,B1427)&lt;&gt;"Y",INDEX(GL!$F:$F,I1427)&lt;&gt;"Y"),"BROKEN: Status not Y","OK")))))</f>
        <v/>
      </c>
    </row>
    <row r="1428" customFormat="false" ht="15" hidden="false" customHeight="false" outlineLevel="0" collapsed="false">
      <c r="A1428" s="41"/>
      <c r="B1428" s="5" t="n">
        <f aca="false">IF(A1428="",0,IFERROR(MATCH(A1428,Bank!$A:$A,0),0))</f>
        <v>0</v>
      </c>
      <c r="C1428" s="5" t="str">
        <f aca="false">IF(B1428=0,"",IF(INDEX(Bank!$G:$G,B1428)="","",INDEX(Bank!$G:$G,B1428)))</f>
        <v/>
      </c>
      <c r="D1428" s="5" t="str">
        <f aca="false">IF(B1428=0,"",IF(INDEX(Bank!$J:$J,B1428)="","",INDEX(Bank!$J:$J,B1428)))</f>
        <v/>
      </c>
      <c r="E1428" s="32" t="str">
        <f aca="false">IF(B1428=0,"",INDEX(Bank!$B:$B,B1428))</f>
        <v/>
      </c>
      <c r="F1428" s="5" t="str">
        <f aca="false">IF(B1428=0,"",IF(INDEX(Bank!$C:$C,B1428)="","",INDEX(Bank!$C:$C,B1428)))</f>
        <v/>
      </c>
      <c r="G1428" s="19" t="str">
        <f aca="false">IF(B1428=0,"",INDEX(Bank!$E:$E,B1428))</f>
        <v/>
      </c>
      <c r="H1428" s="5" t="str">
        <f aca="false">IF(B1428=0,"",IF(INDEX(Bank!$H:$H,B1428)="","",INDEX(Bank!$H:$H,B1428)))</f>
        <v/>
      </c>
      <c r="I1428" s="5" t="n">
        <f aca="false">IF(H1428="",0,IFERROR(MATCH(H1428,GL!$A:$A,0),0))</f>
        <v>0</v>
      </c>
      <c r="J1428" s="32" t="str">
        <f aca="false">IF(I1428=0,"",INDEX(GL!$B:$B,I1428))</f>
        <v/>
      </c>
      <c r="K1428" s="5" t="str">
        <f aca="false">IF(I1428=0,"",IF(INDEX(GL!$C:$C,I1428)="","",INDEX(GL!$C:$C,I1428)))</f>
        <v/>
      </c>
      <c r="L1428" s="19" t="str">
        <f aca="false">IF(I1428=0,"",INDEX(GL!$E:$E,I1428))</f>
        <v/>
      </c>
      <c r="M1428" s="19" t="str">
        <f aca="false">IF(OR(B1428=0,I1428=0),"",ROUND(G1428-L1428,2))</f>
        <v/>
      </c>
      <c r="N1428" s="5" t="str">
        <f aca="false">IF(A1428="","",IF(B1428=0,"NOT FOUND: bank ID",IF(I1428=0,"NOT FOUND: GL ID",IF(INDEX(GL!$H:$H,I1428)&lt;&gt;A1428,"BROKEN: GL points elsewhere",IF(OR(INDEX(Bank!$F:$F,B1428)&lt;&gt;"Y",INDEX(GL!$F:$F,I1428)&lt;&gt;"Y"),"BROKEN: Status not Y","OK")))))</f>
        <v/>
      </c>
    </row>
    <row r="1429" customFormat="false" ht="15" hidden="false" customHeight="false" outlineLevel="0" collapsed="false">
      <c r="A1429" s="41"/>
      <c r="B1429" s="5" t="n">
        <f aca="false">IF(A1429="",0,IFERROR(MATCH(A1429,Bank!$A:$A,0),0))</f>
        <v>0</v>
      </c>
      <c r="C1429" s="5" t="str">
        <f aca="false">IF(B1429=0,"",IF(INDEX(Bank!$G:$G,B1429)="","",INDEX(Bank!$G:$G,B1429)))</f>
        <v/>
      </c>
      <c r="D1429" s="5" t="str">
        <f aca="false">IF(B1429=0,"",IF(INDEX(Bank!$J:$J,B1429)="","",INDEX(Bank!$J:$J,B1429)))</f>
        <v/>
      </c>
      <c r="E1429" s="32" t="str">
        <f aca="false">IF(B1429=0,"",INDEX(Bank!$B:$B,B1429))</f>
        <v/>
      </c>
      <c r="F1429" s="5" t="str">
        <f aca="false">IF(B1429=0,"",IF(INDEX(Bank!$C:$C,B1429)="","",INDEX(Bank!$C:$C,B1429)))</f>
        <v/>
      </c>
      <c r="G1429" s="19" t="str">
        <f aca="false">IF(B1429=0,"",INDEX(Bank!$E:$E,B1429))</f>
        <v/>
      </c>
      <c r="H1429" s="5" t="str">
        <f aca="false">IF(B1429=0,"",IF(INDEX(Bank!$H:$H,B1429)="","",INDEX(Bank!$H:$H,B1429)))</f>
        <v/>
      </c>
      <c r="I1429" s="5" t="n">
        <f aca="false">IF(H1429="",0,IFERROR(MATCH(H1429,GL!$A:$A,0),0))</f>
        <v>0</v>
      </c>
      <c r="J1429" s="32" t="str">
        <f aca="false">IF(I1429=0,"",INDEX(GL!$B:$B,I1429))</f>
        <v/>
      </c>
      <c r="K1429" s="5" t="str">
        <f aca="false">IF(I1429=0,"",IF(INDEX(GL!$C:$C,I1429)="","",INDEX(GL!$C:$C,I1429)))</f>
        <v/>
      </c>
      <c r="L1429" s="19" t="str">
        <f aca="false">IF(I1429=0,"",INDEX(GL!$E:$E,I1429))</f>
        <v/>
      </c>
      <c r="M1429" s="19" t="str">
        <f aca="false">IF(OR(B1429=0,I1429=0),"",ROUND(G1429-L1429,2))</f>
        <v/>
      </c>
      <c r="N1429" s="5" t="str">
        <f aca="false">IF(A1429="","",IF(B1429=0,"NOT FOUND: bank ID",IF(I1429=0,"NOT FOUND: GL ID",IF(INDEX(GL!$H:$H,I1429)&lt;&gt;A1429,"BROKEN: GL points elsewhere",IF(OR(INDEX(Bank!$F:$F,B1429)&lt;&gt;"Y",INDEX(GL!$F:$F,I1429)&lt;&gt;"Y"),"BROKEN: Status not Y","OK")))))</f>
        <v/>
      </c>
    </row>
    <row r="1430" customFormat="false" ht="15" hidden="false" customHeight="false" outlineLevel="0" collapsed="false">
      <c r="A1430" s="41"/>
      <c r="B1430" s="5" t="n">
        <f aca="false">IF(A1430="",0,IFERROR(MATCH(A1430,Bank!$A:$A,0),0))</f>
        <v>0</v>
      </c>
      <c r="C1430" s="5" t="str">
        <f aca="false">IF(B1430=0,"",IF(INDEX(Bank!$G:$G,B1430)="","",INDEX(Bank!$G:$G,B1430)))</f>
        <v/>
      </c>
      <c r="D1430" s="5" t="str">
        <f aca="false">IF(B1430=0,"",IF(INDEX(Bank!$J:$J,B1430)="","",INDEX(Bank!$J:$J,B1430)))</f>
        <v/>
      </c>
      <c r="E1430" s="32" t="str">
        <f aca="false">IF(B1430=0,"",INDEX(Bank!$B:$B,B1430))</f>
        <v/>
      </c>
      <c r="F1430" s="5" t="str">
        <f aca="false">IF(B1430=0,"",IF(INDEX(Bank!$C:$C,B1430)="","",INDEX(Bank!$C:$C,B1430)))</f>
        <v/>
      </c>
      <c r="G1430" s="19" t="str">
        <f aca="false">IF(B1430=0,"",INDEX(Bank!$E:$E,B1430))</f>
        <v/>
      </c>
      <c r="H1430" s="5" t="str">
        <f aca="false">IF(B1430=0,"",IF(INDEX(Bank!$H:$H,B1430)="","",INDEX(Bank!$H:$H,B1430)))</f>
        <v/>
      </c>
      <c r="I1430" s="5" t="n">
        <f aca="false">IF(H1430="",0,IFERROR(MATCH(H1430,GL!$A:$A,0),0))</f>
        <v>0</v>
      </c>
      <c r="J1430" s="32" t="str">
        <f aca="false">IF(I1430=0,"",INDEX(GL!$B:$B,I1430))</f>
        <v/>
      </c>
      <c r="K1430" s="5" t="str">
        <f aca="false">IF(I1430=0,"",IF(INDEX(GL!$C:$C,I1430)="","",INDEX(GL!$C:$C,I1430)))</f>
        <v/>
      </c>
      <c r="L1430" s="19" t="str">
        <f aca="false">IF(I1430=0,"",INDEX(GL!$E:$E,I1430))</f>
        <v/>
      </c>
      <c r="M1430" s="19" t="str">
        <f aca="false">IF(OR(B1430=0,I1430=0),"",ROUND(G1430-L1430,2))</f>
        <v/>
      </c>
      <c r="N1430" s="5" t="str">
        <f aca="false">IF(A1430="","",IF(B1430=0,"NOT FOUND: bank ID",IF(I1430=0,"NOT FOUND: GL ID",IF(INDEX(GL!$H:$H,I1430)&lt;&gt;A1430,"BROKEN: GL points elsewhere",IF(OR(INDEX(Bank!$F:$F,B1430)&lt;&gt;"Y",INDEX(GL!$F:$F,I1430)&lt;&gt;"Y"),"BROKEN: Status not Y","OK")))))</f>
        <v/>
      </c>
    </row>
    <row r="1431" customFormat="false" ht="15" hidden="false" customHeight="false" outlineLevel="0" collapsed="false">
      <c r="A1431" s="41"/>
      <c r="B1431" s="5" t="n">
        <f aca="false">IF(A1431="",0,IFERROR(MATCH(A1431,Bank!$A:$A,0),0))</f>
        <v>0</v>
      </c>
      <c r="C1431" s="5" t="str">
        <f aca="false">IF(B1431=0,"",IF(INDEX(Bank!$G:$G,B1431)="","",INDEX(Bank!$G:$G,B1431)))</f>
        <v/>
      </c>
      <c r="D1431" s="5" t="str">
        <f aca="false">IF(B1431=0,"",IF(INDEX(Bank!$J:$J,B1431)="","",INDEX(Bank!$J:$J,B1431)))</f>
        <v/>
      </c>
      <c r="E1431" s="32" t="str">
        <f aca="false">IF(B1431=0,"",INDEX(Bank!$B:$B,B1431))</f>
        <v/>
      </c>
      <c r="F1431" s="5" t="str">
        <f aca="false">IF(B1431=0,"",IF(INDEX(Bank!$C:$C,B1431)="","",INDEX(Bank!$C:$C,B1431)))</f>
        <v/>
      </c>
      <c r="G1431" s="19" t="str">
        <f aca="false">IF(B1431=0,"",INDEX(Bank!$E:$E,B1431))</f>
        <v/>
      </c>
      <c r="H1431" s="5" t="str">
        <f aca="false">IF(B1431=0,"",IF(INDEX(Bank!$H:$H,B1431)="","",INDEX(Bank!$H:$H,B1431)))</f>
        <v/>
      </c>
      <c r="I1431" s="5" t="n">
        <f aca="false">IF(H1431="",0,IFERROR(MATCH(H1431,GL!$A:$A,0),0))</f>
        <v>0</v>
      </c>
      <c r="J1431" s="32" t="str">
        <f aca="false">IF(I1431=0,"",INDEX(GL!$B:$B,I1431))</f>
        <v/>
      </c>
      <c r="K1431" s="5" t="str">
        <f aca="false">IF(I1431=0,"",IF(INDEX(GL!$C:$C,I1431)="","",INDEX(GL!$C:$C,I1431)))</f>
        <v/>
      </c>
      <c r="L1431" s="19" t="str">
        <f aca="false">IF(I1431=0,"",INDEX(GL!$E:$E,I1431))</f>
        <v/>
      </c>
      <c r="M1431" s="19" t="str">
        <f aca="false">IF(OR(B1431=0,I1431=0),"",ROUND(G1431-L1431,2))</f>
        <v/>
      </c>
      <c r="N1431" s="5" t="str">
        <f aca="false">IF(A1431="","",IF(B1431=0,"NOT FOUND: bank ID",IF(I1431=0,"NOT FOUND: GL ID",IF(INDEX(GL!$H:$H,I1431)&lt;&gt;A1431,"BROKEN: GL points elsewhere",IF(OR(INDEX(Bank!$F:$F,B1431)&lt;&gt;"Y",INDEX(GL!$F:$F,I1431)&lt;&gt;"Y"),"BROKEN: Status not Y","OK")))))</f>
        <v/>
      </c>
    </row>
    <row r="1432" customFormat="false" ht="15" hidden="false" customHeight="false" outlineLevel="0" collapsed="false">
      <c r="A1432" s="41"/>
      <c r="B1432" s="5" t="n">
        <f aca="false">IF(A1432="",0,IFERROR(MATCH(A1432,Bank!$A:$A,0),0))</f>
        <v>0</v>
      </c>
      <c r="C1432" s="5" t="str">
        <f aca="false">IF(B1432=0,"",IF(INDEX(Bank!$G:$G,B1432)="","",INDEX(Bank!$G:$G,B1432)))</f>
        <v/>
      </c>
      <c r="D1432" s="5" t="str">
        <f aca="false">IF(B1432=0,"",IF(INDEX(Bank!$J:$J,B1432)="","",INDEX(Bank!$J:$J,B1432)))</f>
        <v/>
      </c>
      <c r="E1432" s="32" t="str">
        <f aca="false">IF(B1432=0,"",INDEX(Bank!$B:$B,B1432))</f>
        <v/>
      </c>
      <c r="F1432" s="5" t="str">
        <f aca="false">IF(B1432=0,"",IF(INDEX(Bank!$C:$C,B1432)="","",INDEX(Bank!$C:$C,B1432)))</f>
        <v/>
      </c>
      <c r="G1432" s="19" t="str">
        <f aca="false">IF(B1432=0,"",INDEX(Bank!$E:$E,B1432))</f>
        <v/>
      </c>
      <c r="H1432" s="5" t="str">
        <f aca="false">IF(B1432=0,"",IF(INDEX(Bank!$H:$H,B1432)="","",INDEX(Bank!$H:$H,B1432)))</f>
        <v/>
      </c>
      <c r="I1432" s="5" t="n">
        <f aca="false">IF(H1432="",0,IFERROR(MATCH(H1432,GL!$A:$A,0),0))</f>
        <v>0</v>
      </c>
      <c r="J1432" s="32" t="str">
        <f aca="false">IF(I1432=0,"",INDEX(GL!$B:$B,I1432))</f>
        <v/>
      </c>
      <c r="K1432" s="5" t="str">
        <f aca="false">IF(I1432=0,"",IF(INDEX(GL!$C:$C,I1432)="","",INDEX(GL!$C:$C,I1432)))</f>
        <v/>
      </c>
      <c r="L1432" s="19" t="str">
        <f aca="false">IF(I1432=0,"",INDEX(GL!$E:$E,I1432))</f>
        <v/>
      </c>
      <c r="M1432" s="19" t="str">
        <f aca="false">IF(OR(B1432=0,I1432=0),"",ROUND(G1432-L1432,2))</f>
        <v/>
      </c>
      <c r="N1432" s="5" t="str">
        <f aca="false">IF(A1432="","",IF(B1432=0,"NOT FOUND: bank ID",IF(I1432=0,"NOT FOUND: GL ID",IF(INDEX(GL!$H:$H,I1432)&lt;&gt;A1432,"BROKEN: GL points elsewhere",IF(OR(INDEX(Bank!$F:$F,B1432)&lt;&gt;"Y",INDEX(GL!$F:$F,I1432)&lt;&gt;"Y"),"BROKEN: Status not Y","OK")))))</f>
        <v/>
      </c>
    </row>
    <row r="1433" customFormat="false" ht="15" hidden="false" customHeight="false" outlineLevel="0" collapsed="false">
      <c r="A1433" s="41"/>
      <c r="B1433" s="5" t="n">
        <f aca="false">IF(A1433="",0,IFERROR(MATCH(A1433,Bank!$A:$A,0),0))</f>
        <v>0</v>
      </c>
      <c r="C1433" s="5" t="str">
        <f aca="false">IF(B1433=0,"",IF(INDEX(Bank!$G:$G,B1433)="","",INDEX(Bank!$G:$G,B1433)))</f>
        <v/>
      </c>
      <c r="D1433" s="5" t="str">
        <f aca="false">IF(B1433=0,"",IF(INDEX(Bank!$J:$J,B1433)="","",INDEX(Bank!$J:$J,B1433)))</f>
        <v/>
      </c>
      <c r="E1433" s="32" t="str">
        <f aca="false">IF(B1433=0,"",INDEX(Bank!$B:$B,B1433))</f>
        <v/>
      </c>
      <c r="F1433" s="5" t="str">
        <f aca="false">IF(B1433=0,"",IF(INDEX(Bank!$C:$C,B1433)="","",INDEX(Bank!$C:$C,B1433)))</f>
        <v/>
      </c>
      <c r="G1433" s="19" t="str">
        <f aca="false">IF(B1433=0,"",INDEX(Bank!$E:$E,B1433))</f>
        <v/>
      </c>
      <c r="H1433" s="5" t="str">
        <f aca="false">IF(B1433=0,"",IF(INDEX(Bank!$H:$H,B1433)="","",INDEX(Bank!$H:$H,B1433)))</f>
        <v/>
      </c>
      <c r="I1433" s="5" t="n">
        <f aca="false">IF(H1433="",0,IFERROR(MATCH(H1433,GL!$A:$A,0),0))</f>
        <v>0</v>
      </c>
      <c r="J1433" s="32" t="str">
        <f aca="false">IF(I1433=0,"",INDEX(GL!$B:$B,I1433))</f>
        <v/>
      </c>
      <c r="K1433" s="5" t="str">
        <f aca="false">IF(I1433=0,"",IF(INDEX(GL!$C:$C,I1433)="","",INDEX(GL!$C:$C,I1433)))</f>
        <v/>
      </c>
      <c r="L1433" s="19" t="str">
        <f aca="false">IF(I1433=0,"",INDEX(GL!$E:$E,I1433))</f>
        <v/>
      </c>
      <c r="M1433" s="19" t="str">
        <f aca="false">IF(OR(B1433=0,I1433=0),"",ROUND(G1433-L1433,2))</f>
        <v/>
      </c>
      <c r="N1433" s="5" t="str">
        <f aca="false">IF(A1433="","",IF(B1433=0,"NOT FOUND: bank ID",IF(I1433=0,"NOT FOUND: GL ID",IF(INDEX(GL!$H:$H,I1433)&lt;&gt;A1433,"BROKEN: GL points elsewhere",IF(OR(INDEX(Bank!$F:$F,B1433)&lt;&gt;"Y",INDEX(GL!$F:$F,I1433)&lt;&gt;"Y"),"BROKEN: Status not Y","OK")))))</f>
        <v/>
      </c>
    </row>
    <row r="1434" customFormat="false" ht="15" hidden="false" customHeight="false" outlineLevel="0" collapsed="false">
      <c r="A1434" s="41"/>
      <c r="B1434" s="5" t="n">
        <f aca="false">IF(A1434="",0,IFERROR(MATCH(A1434,Bank!$A:$A,0),0))</f>
        <v>0</v>
      </c>
      <c r="C1434" s="5" t="str">
        <f aca="false">IF(B1434=0,"",IF(INDEX(Bank!$G:$G,B1434)="","",INDEX(Bank!$G:$G,B1434)))</f>
        <v/>
      </c>
      <c r="D1434" s="5" t="str">
        <f aca="false">IF(B1434=0,"",IF(INDEX(Bank!$J:$J,B1434)="","",INDEX(Bank!$J:$J,B1434)))</f>
        <v/>
      </c>
      <c r="E1434" s="32" t="str">
        <f aca="false">IF(B1434=0,"",INDEX(Bank!$B:$B,B1434))</f>
        <v/>
      </c>
      <c r="F1434" s="5" t="str">
        <f aca="false">IF(B1434=0,"",IF(INDEX(Bank!$C:$C,B1434)="","",INDEX(Bank!$C:$C,B1434)))</f>
        <v/>
      </c>
      <c r="G1434" s="19" t="str">
        <f aca="false">IF(B1434=0,"",INDEX(Bank!$E:$E,B1434))</f>
        <v/>
      </c>
      <c r="H1434" s="5" t="str">
        <f aca="false">IF(B1434=0,"",IF(INDEX(Bank!$H:$H,B1434)="","",INDEX(Bank!$H:$H,B1434)))</f>
        <v/>
      </c>
      <c r="I1434" s="5" t="n">
        <f aca="false">IF(H1434="",0,IFERROR(MATCH(H1434,GL!$A:$A,0),0))</f>
        <v>0</v>
      </c>
      <c r="J1434" s="32" t="str">
        <f aca="false">IF(I1434=0,"",INDEX(GL!$B:$B,I1434))</f>
        <v/>
      </c>
      <c r="K1434" s="5" t="str">
        <f aca="false">IF(I1434=0,"",IF(INDEX(GL!$C:$C,I1434)="","",INDEX(GL!$C:$C,I1434)))</f>
        <v/>
      </c>
      <c r="L1434" s="19" t="str">
        <f aca="false">IF(I1434=0,"",INDEX(GL!$E:$E,I1434))</f>
        <v/>
      </c>
      <c r="M1434" s="19" t="str">
        <f aca="false">IF(OR(B1434=0,I1434=0),"",ROUND(G1434-L1434,2))</f>
        <v/>
      </c>
      <c r="N1434" s="5" t="str">
        <f aca="false">IF(A1434="","",IF(B1434=0,"NOT FOUND: bank ID",IF(I1434=0,"NOT FOUND: GL ID",IF(INDEX(GL!$H:$H,I1434)&lt;&gt;A1434,"BROKEN: GL points elsewhere",IF(OR(INDEX(Bank!$F:$F,B1434)&lt;&gt;"Y",INDEX(GL!$F:$F,I1434)&lt;&gt;"Y"),"BROKEN: Status not Y","OK")))))</f>
        <v/>
      </c>
    </row>
    <row r="1435" customFormat="false" ht="15" hidden="false" customHeight="false" outlineLevel="0" collapsed="false">
      <c r="A1435" s="41"/>
      <c r="B1435" s="5" t="n">
        <f aca="false">IF(A1435="",0,IFERROR(MATCH(A1435,Bank!$A:$A,0),0))</f>
        <v>0</v>
      </c>
      <c r="C1435" s="5" t="str">
        <f aca="false">IF(B1435=0,"",IF(INDEX(Bank!$G:$G,B1435)="","",INDEX(Bank!$G:$G,B1435)))</f>
        <v/>
      </c>
      <c r="D1435" s="5" t="str">
        <f aca="false">IF(B1435=0,"",IF(INDEX(Bank!$J:$J,B1435)="","",INDEX(Bank!$J:$J,B1435)))</f>
        <v/>
      </c>
      <c r="E1435" s="32" t="str">
        <f aca="false">IF(B1435=0,"",INDEX(Bank!$B:$B,B1435))</f>
        <v/>
      </c>
      <c r="F1435" s="5" t="str">
        <f aca="false">IF(B1435=0,"",IF(INDEX(Bank!$C:$C,B1435)="","",INDEX(Bank!$C:$C,B1435)))</f>
        <v/>
      </c>
      <c r="G1435" s="19" t="str">
        <f aca="false">IF(B1435=0,"",INDEX(Bank!$E:$E,B1435))</f>
        <v/>
      </c>
      <c r="H1435" s="5" t="str">
        <f aca="false">IF(B1435=0,"",IF(INDEX(Bank!$H:$H,B1435)="","",INDEX(Bank!$H:$H,B1435)))</f>
        <v/>
      </c>
      <c r="I1435" s="5" t="n">
        <f aca="false">IF(H1435="",0,IFERROR(MATCH(H1435,GL!$A:$A,0),0))</f>
        <v>0</v>
      </c>
      <c r="J1435" s="32" t="str">
        <f aca="false">IF(I1435=0,"",INDEX(GL!$B:$B,I1435))</f>
        <v/>
      </c>
      <c r="K1435" s="5" t="str">
        <f aca="false">IF(I1435=0,"",IF(INDEX(GL!$C:$C,I1435)="","",INDEX(GL!$C:$C,I1435)))</f>
        <v/>
      </c>
      <c r="L1435" s="19" t="str">
        <f aca="false">IF(I1435=0,"",INDEX(GL!$E:$E,I1435))</f>
        <v/>
      </c>
      <c r="M1435" s="19" t="str">
        <f aca="false">IF(OR(B1435=0,I1435=0),"",ROUND(G1435-L1435,2))</f>
        <v/>
      </c>
      <c r="N1435" s="5" t="str">
        <f aca="false">IF(A1435="","",IF(B1435=0,"NOT FOUND: bank ID",IF(I1435=0,"NOT FOUND: GL ID",IF(INDEX(GL!$H:$H,I1435)&lt;&gt;A1435,"BROKEN: GL points elsewhere",IF(OR(INDEX(Bank!$F:$F,B1435)&lt;&gt;"Y",INDEX(GL!$F:$F,I1435)&lt;&gt;"Y"),"BROKEN: Status not Y","OK")))))</f>
        <v/>
      </c>
    </row>
    <row r="1436" customFormat="false" ht="15" hidden="false" customHeight="false" outlineLevel="0" collapsed="false">
      <c r="A1436" s="41"/>
      <c r="B1436" s="5" t="n">
        <f aca="false">IF(A1436="",0,IFERROR(MATCH(A1436,Bank!$A:$A,0),0))</f>
        <v>0</v>
      </c>
      <c r="C1436" s="5" t="str">
        <f aca="false">IF(B1436=0,"",IF(INDEX(Bank!$G:$G,B1436)="","",INDEX(Bank!$G:$G,B1436)))</f>
        <v/>
      </c>
      <c r="D1436" s="5" t="str">
        <f aca="false">IF(B1436=0,"",IF(INDEX(Bank!$J:$J,B1436)="","",INDEX(Bank!$J:$J,B1436)))</f>
        <v/>
      </c>
      <c r="E1436" s="32" t="str">
        <f aca="false">IF(B1436=0,"",INDEX(Bank!$B:$B,B1436))</f>
        <v/>
      </c>
      <c r="F1436" s="5" t="str">
        <f aca="false">IF(B1436=0,"",IF(INDEX(Bank!$C:$C,B1436)="","",INDEX(Bank!$C:$C,B1436)))</f>
        <v/>
      </c>
      <c r="G1436" s="19" t="str">
        <f aca="false">IF(B1436=0,"",INDEX(Bank!$E:$E,B1436))</f>
        <v/>
      </c>
      <c r="H1436" s="5" t="str">
        <f aca="false">IF(B1436=0,"",IF(INDEX(Bank!$H:$H,B1436)="","",INDEX(Bank!$H:$H,B1436)))</f>
        <v/>
      </c>
      <c r="I1436" s="5" t="n">
        <f aca="false">IF(H1436="",0,IFERROR(MATCH(H1436,GL!$A:$A,0),0))</f>
        <v>0</v>
      </c>
      <c r="J1436" s="32" t="str">
        <f aca="false">IF(I1436=0,"",INDEX(GL!$B:$B,I1436))</f>
        <v/>
      </c>
      <c r="K1436" s="5" t="str">
        <f aca="false">IF(I1436=0,"",IF(INDEX(GL!$C:$C,I1436)="","",INDEX(GL!$C:$C,I1436)))</f>
        <v/>
      </c>
      <c r="L1436" s="19" t="str">
        <f aca="false">IF(I1436=0,"",INDEX(GL!$E:$E,I1436))</f>
        <v/>
      </c>
      <c r="M1436" s="19" t="str">
        <f aca="false">IF(OR(B1436=0,I1436=0),"",ROUND(G1436-L1436,2))</f>
        <v/>
      </c>
      <c r="N1436" s="5" t="str">
        <f aca="false">IF(A1436="","",IF(B1436=0,"NOT FOUND: bank ID",IF(I1436=0,"NOT FOUND: GL ID",IF(INDEX(GL!$H:$H,I1436)&lt;&gt;A1436,"BROKEN: GL points elsewhere",IF(OR(INDEX(Bank!$F:$F,B1436)&lt;&gt;"Y",INDEX(GL!$F:$F,I1436)&lt;&gt;"Y"),"BROKEN: Status not Y","OK")))))</f>
        <v/>
      </c>
    </row>
    <row r="1437" customFormat="false" ht="15" hidden="false" customHeight="false" outlineLevel="0" collapsed="false">
      <c r="A1437" s="41"/>
      <c r="B1437" s="5" t="n">
        <f aca="false">IF(A1437="",0,IFERROR(MATCH(A1437,Bank!$A:$A,0),0))</f>
        <v>0</v>
      </c>
      <c r="C1437" s="5" t="str">
        <f aca="false">IF(B1437=0,"",IF(INDEX(Bank!$G:$G,B1437)="","",INDEX(Bank!$G:$G,B1437)))</f>
        <v/>
      </c>
      <c r="D1437" s="5" t="str">
        <f aca="false">IF(B1437=0,"",IF(INDEX(Bank!$J:$J,B1437)="","",INDEX(Bank!$J:$J,B1437)))</f>
        <v/>
      </c>
      <c r="E1437" s="32" t="str">
        <f aca="false">IF(B1437=0,"",INDEX(Bank!$B:$B,B1437))</f>
        <v/>
      </c>
      <c r="F1437" s="5" t="str">
        <f aca="false">IF(B1437=0,"",IF(INDEX(Bank!$C:$C,B1437)="","",INDEX(Bank!$C:$C,B1437)))</f>
        <v/>
      </c>
      <c r="G1437" s="19" t="str">
        <f aca="false">IF(B1437=0,"",INDEX(Bank!$E:$E,B1437))</f>
        <v/>
      </c>
      <c r="H1437" s="5" t="str">
        <f aca="false">IF(B1437=0,"",IF(INDEX(Bank!$H:$H,B1437)="","",INDEX(Bank!$H:$H,B1437)))</f>
        <v/>
      </c>
      <c r="I1437" s="5" t="n">
        <f aca="false">IF(H1437="",0,IFERROR(MATCH(H1437,GL!$A:$A,0),0))</f>
        <v>0</v>
      </c>
      <c r="J1437" s="32" t="str">
        <f aca="false">IF(I1437=0,"",INDEX(GL!$B:$B,I1437))</f>
        <v/>
      </c>
      <c r="K1437" s="5" t="str">
        <f aca="false">IF(I1437=0,"",IF(INDEX(GL!$C:$C,I1437)="","",INDEX(GL!$C:$C,I1437)))</f>
        <v/>
      </c>
      <c r="L1437" s="19" t="str">
        <f aca="false">IF(I1437=0,"",INDEX(GL!$E:$E,I1437))</f>
        <v/>
      </c>
      <c r="M1437" s="19" t="str">
        <f aca="false">IF(OR(B1437=0,I1437=0),"",ROUND(G1437-L1437,2))</f>
        <v/>
      </c>
      <c r="N1437" s="5" t="str">
        <f aca="false">IF(A1437="","",IF(B1437=0,"NOT FOUND: bank ID",IF(I1437=0,"NOT FOUND: GL ID",IF(INDEX(GL!$H:$H,I1437)&lt;&gt;A1437,"BROKEN: GL points elsewhere",IF(OR(INDEX(Bank!$F:$F,B1437)&lt;&gt;"Y",INDEX(GL!$F:$F,I1437)&lt;&gt;"Y"),"BROKEN: Status not Y","OK")))))</f>
        <v/>
      </c>
    </row>
    <row r="1438" customFormat="false" ht="15" hidden="false" customHeight="false" outlineLevel="0" collapsed="false">
      <c r="A1438" s="41"/>
      <c r="B1438" s="5" t="n">
        <f aca="false">IF(A1438="",0,IFERROR(MATCH(A1438,Bank!$A:$A,0),0))</f>
        <v>0</v>
      </c>
      <c r="C1438" s="5" t="str">
        <f aca="false">IF(B1438=0,"",IF(INDEX(Bank!$G:$G,B1438)="","",INDEX(Bank!$G:$G,B1438)))</f>
        <v/>
      </c>
      <c r="D1438" s="5" t="str">
        <f aca="false">IF(B1438=0,"",IF(INDEX(Bank!$J:$J,B1438)="","",INDEX(Bank!$J:$J,B1438)))</f>
        <v/>
      </c>
      <c r="E1438" s="32" t="str">
        <f aca="false">IF(B1438=0,"",INDEX(Bank!$B:$B,B1438))</f>
        <v/>
      </c>
      <c r="F1438" s="5" t="str">
        <f aca="false">IF(B1438=0,"",IF(INDEX(Bank!$C:$C,B1438)="","",INDEX(Bank!$C:$C,B1438)))</f>
        <v/>
      </c>
      <c r="G1438" s="19" t="str">
        <f aca="false">IF(B1438=0,"",INDEX(Bank!$E:$E,B1438))</f>
        <v/>
      </c>
      <c r="H1438" s="5" t="str">
        <f aca="false">IF(B1438=0,"",IF(INDEX(Bank!$H:$H,B1438)="","",INDEX(Bank!$H:$H,B1438)))</f>
        <v/>
      </c>
      <c r="I1438" s="5" t="n">
        <f aca="false">IF(H1438="",0,IFERROR(MATCH(H1438,GL!$A:$A,0),0))</f>
        <v>0</v>
      </c>
      <c r="J1438" s="32" t="str">
        <f aca="false">IF(I1438=0,"",INDEX(GL!$B:$B,I1438))</f>
        <v/>
      </c>
      <c r="K1438" s="5" t="str">
        <f aca="false">IF(I1438=0,"",IF(INDEX(GL!$C:$C,I1438)="","",INDEX(GL!$C:$C,I1438)))</f>
        <v/>
      </c>
      <c r="L1438" s="19" t="str">
        <f aca="false">IF(I1438=0,"",INDEX(GL!$E:$E,I1438))</f>
        <v/>
      </c>
      <c r="M1438" s="19" t="str">
        <f aca="false">IF(OR(B1438=0,I1438=0),"",ROUND(G1438-L1438,2))</f>
        <v/>
      </c>
      <c r="N1438" s="5" t="str">
        <f aca="false">IF(A1438="","",IF(B1438=0,"NOT FOUND: bank ID",IF(I1438=0,"NOT FOUND: GL ID",IF(INDEX(GL!$H:$H,I1438)&lt;&gt;A1438,"BROKEN: GL points elsewhere",IF(OR(INDEX(Bank!$F:$F,B1438)&lt;&gt;"Y",INDEX(GL!$F:$F,I1438)&lt;&gt;"Y"),"BROKEN: Status not Y","OK")))))</f>
        <v/>
      </c>
    </row>
    <row r="1439" customFormat="false" ht="15" hidden="false" customHeight="false" outlineLevel="0" collapsed="false">
      <c r="A1439" s="41"/>
      <c r="B1439" s="5" t="n">
        <f aca="false">IF(A1439="",0,IFERROR(MATCH(A1439,Bank!$A:$A,0),0))</f>
        <v>0</v>
      </c>
      <c r="C1439" s="5" t="str">
        <f aca="false">IF(B1439=0,"",IF(INDEX(Bank!$G:$G,B1439)="","",INDEX(Bank!$G:$G,B1439)))</f>
        <v/>
      </c>
      <c r="D1439" s="5" t="str">
        <f aca="false">IF(B1439=0,"",IF(INDEX(Bank!$J:$J,B1439)="","",INDEX(Bank!$J:$J,B1439)))</f>
        <v/>
      </c>
      <c r="E1439" s="32" t="str">
        <f aca="false">IF(B1439=0,"",INDEX(Bank!$B:$B,B1439))</f>
        <v/>
      </c>
      <c r="F1439" s="5" t="str">
        <f aca="false">IF(B1439=0,"",IF(INDEX(Bank!$C:$C,B1439)="","",INDEX(Bank!$C:$C,B1439)))</f>
        <v/>
      </c>
      <c r="G1439" s="19" t="str">
        <f aca="false">IF(B1439=0,"",INDEX(Bank!$E:$E,B1439))</f>
        <v/>
      </c>
      <c r="H1439" s="5" t="str">
        <f aca="false">IF(B1439=0,"",IF(INDEX(Bank!$H:$H,B1439)="","",INDEX(Bank!$H:$H,B1439)))</f>
        <v/>
      </c>
      <c r="I1439" s="5" t="n">
        <f aca="false">IF(H1439="",0,IFERROR(MATCH(H1439,GL!$A:$A,0),0))</f>
        <v>0</v>
      </c>
      <c r="J1439" s="32" t="str">
        <f aca="false">IF(I1439=0,"",INDEX(GL!$B:$B,I1439))</f>
        <v/>
      </c>
      <c r="K1439" s="5" t="str">
        <f aca="false">IF(I1439=0,"",IF(INDEX(GL!$C:$C,I1439)="","",INDEX(GL!$C:$C,I1439)))</f>
        <v/>
      </c>
      <c r="L1439" s="19" t="str">
        <f aca="false">IF(I1439=0,"",INDEX(GL!$E:$E,I1439))</f>
        <v/>
      </c>
      <c r="M1439" s="19" t="str">
        <f aca="false">IF(OR(B1439=0,I1439=0),"",ROUND(G1439-L1439,2))</f>
        <v/>
      </c>
      <c r="N1439" s="5" t="str">
        <f aca="false">IF(A1439="","",IF(B1439=0,"NOT FOUND: bank ID",IF(I1439=0,"NOT FOUND: GL ID",IF(INDEX(GL!$H:$H,I1439)&lt;&gt;A1439,"BROKEN: GL points elsewhere",IF(OR(INDEX(Bank!$F:$F,B1439)&lt;&gt;"Y",INDEX(GL!$F:$F,I1439)&lt;&gt;"Y"),"BROKEN: Status not Y","OK")))))</f>
        <v/>
      </c>
    </row>
    <row r="1440" customFormat="false" ht="15" hidden="false" customHeight="false" outlineLevel="0" collapsed="false">
      <c r="A1440" s="41"/>
      <c r="B1440" s="5" t="n">
        <f aca="false">IF(A1440="",0,IFERROR(MATCH(A1440,Bank!$A:$A,0),0))</f>
        <v>0</v>
      </c>
      <c r="C1440" s="5" t="str">
        <f aca="false">IF(B1440=0,"",IF(INDEX(Bank!$G:$G,B1440)="","",INDEX(Bank!$G:$G,B1440)))</f>
        <v/>
      </c>
      <c r="D1440" s="5" t="str">
        <f aca="false">IF(B1440=0,"",IF(INDEX(Bank!$J:$J,B1440)="","",INDEX(Bank!$J:$J,B1440)))</f>
        <v/>
      </c>
      <c r="E1440" s="32" t="str">
        <f aca="false">IF(B1440=0,"",INDEX(Bank!$B:$B,B1440))</f>
        <v/>
      </c>
      <c r="F1440" s="5" t="str">
        <f aca="false">IF(B1440=0,"",IF(INDEX(Bank!$C:$C,B1440)="","",INDEX(Bank!$C:$C,B1440)))</f>
        <v/>
      </c>
      <c r="G1440" s="19" t="str">
        <f aca="false">IF(B1440=0,"",INDEX(Bank!$E:$E,B1440))</f>
        <v/>
      </c>
      <c r="H1440" s="5" t="str">
        <f aca="false">IF(B1440=0,"",IF(INDEX(Bank!$H:$H,B1440)="","",INDEX(Bank!$H:$H,B1440)))</f>
        <v/>
      </c>
      <c r="I1440" s="5" t="n">
        <f aca="false">IF(H1440="",0,IFERROR(MATCH(H1440,GL!$A:$A,0),0))</f>
        <v>0</v>
      </c>
      <c r="J1440" s="32" t="str">
        <f aca="false">IF(I1440=0,"",INDEX(GL!$B:$B,I1440))</f>
        <v/>
      </c>
      <c r="K1440" s="5" t="str">
        <f aca="false">IF(I1440=0,"",IF(INDEX(GL!$C:$C,I1440)="","",INDEX(GL!$C:$C,I1440)))</f>
        <v/>
      </c>
      <c r="L1440" s="19" t="str">
        <f aca="false">IF(I1440=0,"",INDEX(GL!$E:$E,I1440))</f>
        <v/>
      </c>
      <c r="M1440" s="19" t="str">
        <f aca="false">IF(OR(B1440=0,I1440=0),"",ROUND(G1440-L1440,2))</f>
        <v/>
      </c>
      <c r="N1440" s="5" t="str">
        <f aca="false">IF(A1440="","",IF(B1440=0,"NOT FOUND: bank ID",IF(I1440=0,"NOT FOUND: GL ID",IF(INDEX(GL!$H:$H,I1440)&lt;&gt;A1440,"BROKEN: GL points elsewhere",IF(OR(INDEX(Bank!$F:$F,B1440)&lt;&gt;"Y",INDEX(GL!$F:$F,I1440)&lt;&gt;"Y"),"BROKEN: Status not Y","OK")))))</f>
        <v/>
      </c>
    </row>
    <row r="1441" customFormat="false" ht="15" hidden="false" customHeight="false" outlineLevel="0" collapsed="false">
      <c r="A1441" s="41"/>
      <c r="B1441" s="5" t="n">
        <f aca="false">IF(A1441="",0,IFERROR(MATCH(A1441,Bank!$A:$A,0),0))</f>
        <v>0</v>
      </c>
      <c r="C1441" s="5" t="str">
        <f aca="false">IF(B1441=0,"",IF(INDEX(Bank!$G:$G,B1441)="","",INDEX(Bank!$G:$G,B1441)))</f>
        <v/>
      </c>
      <c r="D1441" s="5" t="str">
        <f aca="false">IF(B1441=0,"",IF(INDEX(Bank!$J:$J,B1441)="","",INDEX(Bank!$J:$J,B1441)))</f>
        <v/>
      </c>
      <c r="E1441" s="32" t="str">
        <f aca="false">IF(B1441=0,"",INDEX(Bank!$B:$B,B1441))</f>
        <v/>
      </c>
      <c r="F1441" s="5" t="str">
        <f aca="false">IF(B1441=0,"",IF(INDEX(Bank!$C:$C,B1441)="","",INDEX(Bank!$C:$C,B1441)))</f>
        <v/>
      </c>
      <c r="G1441" s="19" t="str">
        <f aca="false">IF(B1441=0,"",INDEX(Bank!$E:$E,B1441))</f>
        <v/>
      </c>
      <c r="H1441" s="5" t="str">
        <f aca="false">IF(B1441=0,"",IF(INDEX(Bank!$H:$H,B1441)="","",INDEX(Bank!$H:$H,B1441)))</f>
        <v/>
      </c>
      <c r="I1441" s="5" t="n">
        <f aca="false">IF(H1441="",0,IFERROR(MATCH(H1441,GL!$A:$A,0),0))</f>
        <v>0</v>
      </c>
      <c r="J1441" s="32" t="str">
        <f aca="false">IF(I1441=0,"",INDEX(GL!$B:$B,I1441))</f>
        <v/>
      </c>
      <c r="K1441" s="5" t="str">
        <f aca="false">IF(I1441=0,"",IF(INDEX(GL!$C:$C,I1441)="","",INDEX(GL!$C:$C,I1441)))</f>
        <v/>
      </c>
      <c r="L1441" s="19" t="str">
        <f aca="false">IF(I1441=0,"",INDEX(GL!$E:$E,I1441))</f>
        <v/>
      </c>
      <c r="M1441" s="19" t="str">
        <f aca="false">IF(OR(B1441=0,I1441=0),"",ROUND(G1441-L1441,2))</f>
        <v/>
      </c>
      <c r="N1441" s="5" t="str">
        <f aca="false">IF(A1441="","",IF(B1441=0,"NOT FOUND: bank ID",IF(I1441=0,"NOT FOUND: GL ID",IF(INDEX(GL!$H:$H,I1441)&lt;&gt;A1441,"BROKEN: GL points elsewhere",IF(OR(INDEX(Bank!$F:$F,B1441)&lt;&gt;"Y",INDEX(GL!$F:$F,I1441)&lt;&gt;"Y"),"BROKEN: Status not Y","OK")))))</f>
        <v/>
      </c>
    </row>
    <row r="1442" customFormat="false" ht="15" hidden="false" customHeight="false" outlineLevel="0" collapsed="false">
      <c r="A1442" s="41"/>
      <c r="B1442" s="5" t="n">
        <f aca="false">IF(A1442="",0,IFERROR(MATCH(A1442,Bank!$A:$A,0),0))</f>
        <v>0</v>
      </c>
      <c r="C1442" s="5" t="str">
        <f aca="false">IF(B1442=0,"",IF(INDEX(Bank!$G:$G,B1442)="","",INDEX(Bank!$G:$G,B1442)))</f>
        <v/>
      </c>
      <c r="D1442" s="5" t="str">
        <f aca="false">IF(B1442=0,"",IF(INDEX(Bank!$J:$J,B1442)="","",INDEX(Bank!$J:$J,B1442)))</f>
        <v/>
      </c>
      <c r="E1442" s="32" t="str">
        <f aca="false">IF(B1442=0,"",INDEX(Bank!$B:$B,B1442))</f>
        <v/>
      </c>
      <c r="F1442" s="5" t="str">
        <f aca="false">IF(B1442=0,"",IF(INDEX(Bank!$C:$C,B1442)="","",INDEX(Bank!$C:$C,B1442)))</f>
        <v/>
      </c>
      <c r="G1442" s="19" t="str">
        <f aca="false">IF(B1442=0,"",INDEX(Bank!$E:$E,B1442))</f>
        <v/>
      </c>
      <c r="H1442" s="5" t="str">
        <f aca="false">IF(B1442=0,"",IF(INDEX(Bank!$H:$H,B1442)="","",INDEX(Bank!$H:$H,B1442)))</f>
        <v/>
      </c>
      <c r="I1442" s="5" t="n">
        <f aca="false">IF(H1442="",0,IFERROR(MATCH(H1442,GL!$A:$A,0),0))</f>
        <v>0</v>
      </c>
      <c r="J1442" s="32" t="str">
        <f aca="false">IF(I1442=0,"",INDEX(GL!$B:$B,I1442))</f>
        <v/>
      </c>
      <c r="K1442" s="5" t="str">
        <f aca="false">IF(I1442=0,"",IF(INDEX(GL!$C:$C,I1442)="","",INDEX(GL!$C:$C,I1442)))</f>
        <v/>
      </c>
      <c r="L1442" s="19" t="str">
        <f aca="false">IF(I1442=0,"",INDEX(GL!$E:$E,I1442))</f>
        <v/>
      </c>
      <c r="M1442" s="19" t="str">
        <f aca="false">IF(OR(B1442=0,I1442=0),"",ROUND(G1442-L1442,2))</f>
        <v/>
      </c>
      <c r="N1442" s="5" t="str">
        <f aca="false">IF(A1442="","",IF(B1442=0,"NOT FOUND: bank ID",IF(I1442=0,"NOT FOUND: GL ID",IF(INDEX(GL!$H:$H,I1442)&lt;&gt;A1442,"BROKEN: GL points elsewhere",IF(OR(INDEX(Bank!$F:$F,B1442)&lt;&gt;"Y",INDEX(GL!$F:$F,I1442)&lt;&gt;"Y"),"BROKEN: Status not Y","OK")))))</f>
        <v/>
      </c>
    </row>
    <row r="1443" customFormat="false" ht="15" hidden="false" customHeight="false" outlineLevel="0" collapsed="false">
      <c r="A1443" s="41"/>
      <c r="B1443" s="5" t="n">
        <f aca="false">IF(A1443="",0,IFERROR(MATCH(A1443,Bank!$A:$A,0),0))</f>
        <v>0</v>
      </c>
      <c r="C1443" s="5" t="str">
        <f aca="false">IF(B1443=0,"",IF(INDEX(Bank!$G:$G,B1443)="","",INDEX(Bank!$G:$G,B1443)))</f>
        <v/>
      </c>
      <c r="D1443" s="5" t="str">
        <f aca="false">IF(B1443=0,"",IF(INDEX(Bank!$J:$J,B1443)="","",INDEX(Bank!$J:$J,B1443)))</f>
        <v/>
      </c>
      <c r="E1443" s="32" t="str">
        <f aca="false">IF(B1443=0,"",INDEX(Bank!$B:$B,B1443))</f>
        <v/>
      </c>
      <c r="F1443" s="5" t="str">
        <f aca="false">IF(B1443=0,"",IF(INDEX(Bank!$C:$C,B1443)="","",INDEX(Bank!$C:$C,B1443)))</f>
        <v/>
      </c>
      <c r="G1443" s="19" t="str">
        <f aca="false">IF(B1443=0,"",INDEX(Bank!$E:$E,B1443))</f>
        <v/>
      </c>
      <c r="H1443" s="5" t="str">
        <f aca="false">IF(B1443=0,"",IF(INDEX(Bank!$H:$H,B1443)="","",INDEX(Bank!$H:$H,B1443)))</f>
        <v/>
      </c>
      <c r="I1443" s="5" t="n">
        <f aca="false">IF(H1443="",0,IFERROR(MATCH(H1443,GL!$A:$A,0),0))</f>
        <v>0</v>
      </c>
      <c r="J1443" s="32" t="str">
        <f aca="false">IF(I1443=0,"",INDEX(GL!$B:$B,I1443))</f>
        <v/>
      </c>
      <c r="K1443" s="5" t="str">
        <f aca="false">IF(I1443=0,"",IF(INDEX(GL!$C:$C,I1443)="","",INDEX(GL!$C:$C,I1443)))</f>
        <v/>
      </c>
      <c r="L1443" s="19" t="str">
        <f aca="false">IF(I1443=0,"",INDEX(GL!$E:$E,I1443))</f>
        <v/>
      </c>
      <c r="M1443" s="19" t="str">
        <f aca="false">IF(OR(B1443=0,I1443=0),"",ROUND(G1443-L1443,2))</f>
        <v/>
      </c>
      <c r="N1443" s="5" t="str">
        <f aca="false">IF(A1443="","",IF(B1443=0,"NOT FOUND: bank ID",IF(I1443=0,"NOT FOUND: GL ID",IF(INDEX(GL!$H:$H,I1443)&lt;&gt;A1443,"BROKEN: GL points elsewhere",IF(OR(INDEX(Bank!$F:$F,B1443)&lt;&gt;"Y",INDEX(GL!$F:$F,I1443)&lt;&gt;"Y"),"BROKEN: Status not Y","OK")))))</f>
        <v/>
      </c>
    </row>
    <row r="1444" customFormat="false" ht="15" hidden="false" customHeight="false" outlineLevel="0" collapsed="false">
      <c r="A1444" s="41"/>
      <c r="B1444" s="5" t="n">
        <f aca="false">IF(A1444="",0,IFERROR(MATCH(A1444,Bank!$A:$A,0),0))</f>
        <v>0</v>
      </c>
      <c r="C1444" s="5" t="str">
        <f aca="false">IF(B1444=0,"",IF(INDEX(Bank!$G:$G,B1444)="","",INDEX(Bank!$G:$G,B1444)))</f>
        <v/>
      </c>
      <c r="D1444" s="5" t="str">
        <f aca="false">IF(B1444=0,"",IF(INDEX(Bank!$J:$J,B1444)="","",INDEX(Bank!$J:$J,B1444)))</f>
        <v/>
      </c>
      <c r="E1444" s="32" t="str">
        <f aca="false">IF(B1444=0,"",INDEX(Bank!$B:$B,B1444))</f>
        <v/>
      </c>
      <c r="F1444" s="5" t="str">
        <f aca="false">IF(B1444=0,"",IF(INDEX(Bank!$C:$C,B1444)="","",INDEX(Bank!$C:$C,B1444)))</f>
        <v/>
      </c>
      <c r="G1444" s="19" t="str">
        <f aca="false">IF(B1444=0,"",INDEX(Bank!$E:$E,B1444))</f>
        <v/>
      </c>
      <c r="H1444" s="5" t="str">
        <f aca="false">IF(B1444=0,"",IF(INDEX(Bank!$H:$H,B1444)="","",INDEX(Bank!$H:$H,B1444)))</f>
        <v/>
      </c>
      <c r="I1444" s="5" t="n">
        <f aca="false">IF(H1444="",0,IFERROR(MATCH(H1444,GL!$A:$A,0),0))</f>
        <v>0</v>
      </c>
      <c r="J1444" s="32" t="str">
        <f aca="false">IF(I1444=0,"",INDEX(GL!$B:$B,I1444))</f>
        <v/>
      </c>
      <c r="K1444" s="5" t="str">
        <f aca="false">IF(I1444=0,"",IF(INDEX(GL!$C:$C,I1444)="","",INDEX(GL!$C:$C,I1444)))</f>
        <v/>
      </c>
      <c r="L1444" s="19" t="str">
        <f aca="false">IF(I1444=0,"",INDEX(GL!$E:$E,I1444))</f>
        <v/>
      </c>
      <c r="M1444" s="19" t="str">
        <f aca="false">IF(OR(B1444=0,I1444=0),"",ROUND(G1444-L1444,2))</f>
        <v/>
      </c>
      <c r="N1444" s="5" t="str">
        <f aca="false">IF(A1444="","",IF(B1444=0,"NOT FOUND: bank ID",IF(I1444=0,"NOT FOUND: GL ID",IF(INDEX(GL!$H:$H,I1444)&lt;&gt;A1444,"BROKEN: GL points elsewhere",IF(OR(INDEX(Bank!$F:$F,B1444)&lt;&gt;"Y",INDEX(GL!$F:$F,I1444)&lt;&gt;"Y"),"BROKEN: Status not Y","OK")))))</f>
        <v/>
      </c>
    </row>
    <row r="1445" customFormat="false" ht="15" hidden="false" customHeight="false" outlineLevel="0" collapsed="false">
      <c r="A1445" s="41"/>
      <c r="B1445" s="5" t="n">
        <f aca="false">IF(A1445="",0,IFERROR(MATCH(A1445,Bank!$A:$A,0),0))</f>
        <v>0</v>
      </c>
      <c r="C1445" s="5" t="str">
        <f aca="false">IF(B1445=0,"",IF(INDEX(Bank!$G:$G,B1445)="","",INDEX(Bank!$G:$G,B1445)))</f>
        <v/>
      </c>
      <c r="D1445" s="5" t="str">
        <f aca="false">IF(B1445=0,"",IF(INDEX(Bank!$J:$J,B1445)="","",INDEX(Bank!$J:$J,B1445)))</f>
        <v/>
      </c>
      <c r="E1445" s="32" t="str">
        <f aca="false">IF(B1445=0,"",INDEX(Bank!$B:$B,B1445))</f>
        <v/>
      </c>
      <c r="F1445" s="5" t="str">
        <f aca="false">IF(B1445=0,"",IF(INDEX(Bank!$C:$C,B1445)="","",INDEX(Bank!$C:$C,B1445)))</f>
        <v/>
      </c>
      <c r="G1445" s="19" t="str">
        <f aca="false">IF(B1445=0,"",INDEX(Bank!$E:$E,B1445))</f>
        <v/>
      </c>
      <c r="H1445" s="5" t="str">
        <f aca="false">IF(B1445=0,"",IF(INDEX(Bank!$H:$H,B1445)="","",INDEX(Bank!$H:$H,B1445)))</f>
        <v/>
      </c>
      <c r="I1445" s="5" t="n">
        <f aca="false">IF(H1445="",0,IFERROR(MATCH(H1445,GL!$A:$A,0),0))</f>
        <v>0</v>
      </c>
      <c r="J1445" s="32" t="str">
        <f aca="false">IF(I1445=0,"",INDEX(GL!$B:$B,I1445))</f>
        <v/>
      </c>
      <c r="K1445" s="5" t="str">
        <f aca="false">IF(I1445=0,"",IF(INDEX(GL!$C:$C,I1445)="","",INDEX(GL!$C:$C,I1445)))</f>
        <v/>
      </c>
      <c r="L1445" s="19" t="str">
        <f aca="false">IF(I1445=0,"",INDEX(GL!$E:$E,I1445))</f>
        <v/>
      </c>
      <c r="M1445" s="19" t="str">
        <f aca="false">IF(OR(B1445=0,I1445=0),"",ROUND(G1445-L1445,2))</f>
        <v/>
      </c>
      <c r="N1445" s="5" t="str">
        <f aca="false">IF(A1445="","",IF(B1445=0,"NOT FOUND: bank ID",IF(I1445=0,"NOT FOUND: GL ID",IF(INDEX(GL!$H:$H,I1445)&lt;&gt;A1445,"BROKEN: GL points elsewhere",IF(OR(INDEX(Bank!$F:$F,B1445)&lt;&gt;"Y",INDEX(GL!$F:$F,I1445)&lt;&gt;"Y"),"BROKEN: Status not Y","OK")))))</f>
        <v/>
      </c>
    </row>
    <row r="1446" customFormat="false" ht="15" hidden="false" customHeight="false" outlineLevel="0" collapsed="false">
      <c r="A1446" s="41"/>
      <c r="B1446" s="5" t="n">
        <f aca="false">IF(A1446="",0,IFERROR(MATCH(A1446,Bank!$A:$A,0),0))</f>
        <v>0</v>
      </c>
      <c r="C1446" s="5" t="str">
        <f aca="false">IF(B1446=0,"",IF(INDEX(Bank!$G:$G,B1446)="","",INDEX(Bank!$G:$G,B1446)))</f>
        <v/>
      </c>
      <c r="D1446" s="5" t="str">
        <f aca="false">IF(B1446=0,"",IF(INDEX(Bank!$J:$J,B1446)="","",INDEX(Bank!$J:$J,B1446)))</f>
        <v/>
      </c>
      <c r="E1446" s="32" t="str">
        <f aca="false">IF(B1446=0,"",INDEX(Bank!$B:$B,B1446))</f>
        <v/>
      </c>
      <c r="F1446" s="5" t="str">
        <f aca="false">IF(B1446=0,"",IF(INDEX(Bank!$C:$C,B1446)="","",INDEX(Bank!$C:$C,B1446)))</f>
        <v/>
      </c>
      <c r="G1446" s="19" t="str">
        <f aca="false">IF(B1446=0,"",INDEX(Bank!$E:$E,B1446))</f>
        <v/>
      </c>
      <c r="H1446" s="5" t="str">
        <f aca="false">IF(B1446=0,"",IF(INDEX(Bank!$H:$H,B1446)="","",INDEX(Bank!$H:$H,B1446)))</f>
        <v/>
      </c>
      <c r="I1446" s="5" t="n">
        <f aca="false">IF(H1446="",0,IFERROR(MATCH(H1446,GL!$A:$A,0),0))</f>
        <v>0</v>
      </c>
      <c r="J1446" s="32" t="str">
        <f aca="false">IF(I1446=0,"",INDEX(GL!$B:$B,I1446))</f>
        <v/>
      </c>
      <c r="K1446" s="5" t="str">
        <f aca="false">IF(I1446=0,"",IF(INDEX(GL!$C:$C,I1446)="","",INDEX(GL!$C:$C,I1446)))</f>
        <v/>
      </c>
      <c r="L1446" s="19" t="str">
        <f aca="false">IF(I1446=0,"",INDEX(GL!$E:$E,I1446))</f>
        <v/>
      </c>
      <c r="M1446" s="19" t="str">
        <f aca="false">IF(OR(B1446=0,I1446=0),"",ROUND(G1446-L1446,2))</f>
        <v/>
      </c>
      <c r="N1446" s="5" t="str">
        <f aca="false">IF(A1446="","",IF(B1446=0,"NOT FOUND: bank ID",IF(I1446=0,"NOT FOUND: GL ID",IF(INDEX(GL!$H:$H,I1446)&lt;&gt;A1446,"BROKEN: GL points elsewhere",IF(OR(INDEX(Bank!$F:$F,B1446)&lt;&gt;"Y",INDEX(GL!$F:$F,I1446)&lt;&gt;"Y"),"BROKEN: Status not Y","OK")))))</f>
        <v/>
      </c>
    </row>
    <row r="1447" customFormat="false" ht="15" hidden="false" customHeight="false" outlineLevel="0" collapsed="false">
      <c r="A1447" s="41"/>
      <c r="B1447" s="5" t="n">
        <f aca="false">IF(A1447="",0,IFERROR(MATCH(A1447,Bank!$A:$A,0),0))</f>
        <v>0</v>
      </c>
      <c r="C1447" s="5" t="str">
        <f aca="false">IF(B1447=0,"",IF(INDEX(Bank!$G:$G,B1447)="","",INDEX(Bank!$G:$G,B1447)))</f>
        <v/>
      </c>
      <c r="D1447" s="5" t="str">
        <f aca="false">IF(B1447=0,"",IF(INDEX(Bank!$J:$J,B1447)="","",INDEX(Bank!$J:$J,B1447)))</f>
        <v/>
      </c>
      <c r="E1447" s="32" t="str">
        <f aca="false">IF(B1447=0,"",INDEX(Bank!$B:$B,B1447))</f>
        <v/>
      </c>
      <c r="F1447" s="5" t="str">
        <f aca="false">IF(B1447=0,"",IF(INDEX(Bank!$C:$C,B1447)="","",INDEX(Bank!$C:$C,B1447)))</f>
        <v/>
      </c>
      <c r="G1447" s="19" t="str">
        <f aca="false">IF(B1447=0,"",INDEX(Bank!$E:$E,B1447))</f>
        <v/>
      </c>
      <c r="H1447" s="5" t="str">
        <f aca="false">IF(B1447=0,"",IF(INDEX(Bank!$H:$H,B1447)="","",INDEX(Bank!$H:$H,B1447)))</f>
        <v/>
      </c>
      <c r="I1447" s="5" t="n">
        <f aca="false">IF(H1447="",0,IFERROR(MATCH(H1447,GL!$A:$A,0),0))</f>
        <v>0</v>
      </c>
      <c r="J1447" s="32" t="str">
        <f aca="false">IF(I1447=0,"",INDEX(GL!$B:$B,I1447))</f>
        <v/>
      </c>
      <c r="K1447" s="5" t="str">
        <f aca="false">IF(I1447=0,"",IF(INDEX(GL!$C:$C,I1447)="","",INDEX(GL!$C:$C,I1447)))</f>
        <v/>
      </c>
      <c r="L1447" s="19" t="str">
        <f aca="false">IF(I1447=0,"",INDEX(GL!$E:$E,I1447))</f>
        <v/>
      </c>
      <c r="M1447" s="19" t="str">
        <f aca="false">IF(OR(B1447=0,I1447=0),"",ROUND(G1447-L1447,2))</f>
        <v/>
      </c>
      <c r="N1447" s="5" t="str">
        <f aca="false">IF(A1447="","",IF(B1447=0,"NOT FOUND: bank ID",IF(I1447=0,"NOT FOUND: GL ID",IF(INDEX(GL!$H:$H,I1447)&lt;&gt;A1447,"BROKEN: GL points elsewhere",IF(OR(INDEX(Bank!$F:$F,B1447)&lt;&gt;"Y",INDEX(GL!$F:$F,I1447)&lt;&gt;"Y"),"BROKEN: Status not Y","OK")))))</f>
        <v/>
      </c>
    </row>
    <row r="1448" customFormat="false" ht="15" hidden="false" customHeight="false" outlineLevel="0" collapsed="false">
      <c r="A1448" s="41"/>
      <c r="B1448" s="5" t="n">
        <f aca="false">IF(A1448="",0,IFERROR(MATCH(A1448,Bank!$A:$A,0),0))</f>
        <v>0</v>
      </c>
      <c r="C1448" s="5" t="str">
        <f aca="false">IF(B1448=0,"",IF(INDEX(Bank!$G:$G,B1448)="","",INDEX(Bank!$G:$G,B1448)))</f>
        <v/>
      </c>
      <c r="D1448" s="5" t="str">
        <f aca="false">IF(B1448=0,"",IF(INDEX(Bank!$J:$J,B1448)="","",INDEX(Bank!$J:$J,B1448)))</f>
        <v/>
      </c>
      <c r="E1448" s="32" t="str">
        <f aca="false">IF(B1448=0,"",INDEX(Bank!$B:$B,B1448))</f>
        <v/>
      </c>
      <c r="F1448" s="5" t="str">
        <f aca="false">IF(B1448=0,"",IF(INDEX(Bank!$C:$C,B1448)="","",INDEX(Bank!$C:$C,B1448)))</f>
        <v/>
      </c>
      <c r="G1448" s="19" t="str">
        <f aca="false">IF(B1448=0,"",INDEX(Bank!$E:$E,B1448))</f>
        <v/>
      </c>
      <c r="H1448" s="5" t="str">
        <f aca="false">IF(B1448=0,"",IF(INDEX(Bank!$H:$H,B1448)="","",INDEX(Bank!$H:$H,B1448)))</f>
        <v/>
      </c>
      <c r="I1448" s="5" t="n">
        <f aca="false">IF(H1448="",0,IFERROR(MATCH(H1448,GL!$A:$A,0),0))</f>
        <v>0</v>
      </c>
      <c r="J1448" s="32" t="str">
        <f aca="false">IF(I1448=0,"",INDEX(GL!$B:$B,I1448))</f>
        <v/>
      </c>
      <c r="K1448" s="5" t="str">
        <f aca="false">IF(I1448=0,"",IF(INDEX(GL!$C:$C,I1448)="","",INDEX(GL!$C:$C,I1448)))</f>
        <v/>
      </c>
      <c r="L1448" s="19" t="str">
        <f aca="false">IF(I1448=0,"",INDEX(GL!$E:$E,I1448))</f>
        <v/>
      </c>
      <c r="M1448" s="19" t="str">
        <f aca="false">IF(OR(B1448=0,I1448=0),"",ROUND(G1448-L1448,2))</f>
        <v/>
      </c>
      <c r="N1448" s="5" t="str">
        <f aca="false">IF(A1448="","",IF(B1448=0,"NOT FOUND: bank ID",IF(I1448=0,"NOT FOUND: GL ID",IF(INDEX(GL!$H:$H,I1448)&lt;&gt;A1448,"BROKEN: GL points elsewhere",IF(OR(INDEX(Bank!$F:$F,B1448)&lt;&gt;"Y",INDEX(GL!$F:$F,I1448)&lt;&gt;"Y"),"BROKEN: Status not Y","OK")))))</f>
        <v/>
      </c>
    </row>
    <row r="1449" customFormat="false" ht="15" hidden="false" customHeight="false" outlineLevel="0" collapsed="false">
      <c r="A1449" s="41"/>
      <c r="B1449" s="5" t="n">
        <f aca="false">IF(A1449="",0,IFERROR(MATCH(A1449,Bank!$A:$A,0),0))</f>
        <v>0</v>
      </c>
      <c r="C1449" s="5" t="str">
        <f aca="false">IF(B1449=0,"",IF(INDEX(Bank!$G:$G,B1449)="","",INDEX(Bank!$G:$G,B1449)))</f>
        <v/>
      </c>
      <c r="D1449" s="5" t="str">
        <f aca="false">IF(B1449=0,"",IF(INDEX(Bank!$J:$J,B1449)="","",INDEX(Bank!$J:$J,B1449)))</f>
        <v/>
      </c>
      <c r="E1449" s="32" t="str">
        <f aca="false">IF(B1449=0,"",INDEX(Bank!$B:$B,B1449))</f>
        <v/>
      </c>
      <c r="F1449" s="5" t="str">
        <f aca="false">IF(B1449=0,"",IF(INDEX(Bank!$C:$C,B1449)="","",INDEX(Bank!$C:$C,B1449)))</f>
        <v/>
      </c>
      <c r="G1449" s="19" t="str">
        <f aca="false">IF(B1449=0,"",INDEX(Bank!$E:$E,B1449))</f>
        <v/>
      </c>
      <c r="H1449" s="5" t="str">
        <f aca="false">IF(B1449=0,"",IF(INDEX(Bank!$H:$H,B1449)="","",INDEX(Bank!$H:$H,B1449)))</f>
        <v/>
      </c>
      <c r="I1449" s="5" t="n">
        <f aca="false">IF(H1449="",0,IFERROR(MATCH(H1449,GL!$A:$A,0),0))</f>
        <v>0</v>
      </c>
      <c r="J1449" s="32" t="str">
        <f aca="false">IF(I1449=0,"",INDEX(GL!$B:$B,I1449))</f>
        <v/>
      </c>
      <c r="K1449" s="5" t="str">
        <f aca="false">IF(I1449=0,"",IF(INDEX(GL!$C:$C,I1449)="","",INDEX(GL!$C:$C,I1449)))</f>
        <v/>
      </c>
      <c r="L1449" s="19" t="str">
        <f aca="false">IF(I1449=0,"",INDEX(GL!$E:$E,I1449))</f>
        <v/>
      </c>
      <c r="M1449" s="19" t="str">
        <f aca="false">IF(OR(B1449=0,I1449=0),"",ROUND(G1449-L1449,2))</f>
        <v/>
      </c>
      <c r="N1449" s="5" t="str">
        <f aca="false">IF(A1449="","",IF(B1449=0,"NOT FOUND: bank ID",IF(I1449=0,"NOT FOUND: GL ID",IF(INDEX(GL!$H:$H,I1449)&lt;&gt;A1449,"BROKEN: GL points elsewhere",IF(OR(INDEX(Bank!$F:$F,B1449)&lt;&gt;"Y",INDEX(GL!$F:$F,I1449)&lt;&gt;"Y"),"BROKEN: Status not Y","OK")))))</f>
        <v/>
      </c>
    </row>
    <row r="1450" customFormat="false" ht="15" hidden="false" customHeight="false" outlineLevel="0" collapsed="false">
      <c r="A1450" s="41"/>
      <c r="B1450" s="5" t="n">
        <f aca="false">IF(A1450="",0,IFERROR(MATCH(A1450,Bank!$A:$A,0),0))</f>
        <v>0</v>
      </c>
      <c r="C1450" s="5" t="str">
        <f aca="false">IF(B1450=0,"",IF(INDEX(Bank!$G:$G,B1450)="","",INDEX(Bank!$G:$G,B1450)))</f>
        <v/>
      </c>
      <c r="D1450" s="5" t="str">
        <f aca="false">IF(B1450=0,"",IF(INDEX(Bank!$J:$J,B1450)="","",INDEX(Bank!$J:$J,B1450)))</f>
        <v/>
      </c>
      <c r="E1450" s="32" t="str">
        <f aca="false">IF(B1450=0,"",INDEX(Bank!$B:$B,B1450))</f>
        <v/>
      </c>
      <c r="F1450" s="5" t="str">
        <f aca="false">IF(B1450=0,"",IF(INDEX(Bank!$C:$C,B1450)="","",INDEX(Bank!$C:$C,B1450)))</f>
        <v/>
      </c>
      <c r="G1450" s="19" t="str">
        <f aca="false">IF(B1450=0,"",INDEX(Bank!$E:$E,B1450))</f>
        <v/>
      </c>
      <c r="H1450" s="5" t="str">
        <f aca="false">IF(B1450=0,"",IF(INDEX(Bank!$H:$H,B1450)="","",INDEX(Bank!$H:$H,B1450)))</f>
        <v/>
      </c>
      <c r="I1450" s="5" t="n">
        <f aca="false">IF(H1450="",0,IFERROR(MATCH(H1450,GL!$A:$A,0),0))</f>
        <v>0</v>
      </c>
      <c r="J1450" s="32" t="str">
        <f aca="false">IF(I1450=0,"",INDEX(GL!$B:$B,I1450))</f>
        <v/>
      </c>
      <c r="K1450" s="5" t="str">
        <f aca="false">IF(I1450=0,"",IF(INDEX(GL!$C:$C,I1450)="","",INDEX(GL!$C:$C,I1450)))</f>
        <v/>
      </c>
      <c r="L1450" s="19" t="str">
        <f aca="false">IF(I1450=0,"",INDEX(GL!$E:$E,I1450))</f>
        <v/>
      </c>
      <c r="M1450" s="19" t="str">
        <f aca="false">IF(OR(B1450=0,I1450=0),"",ROUND(G1450-L1450,2))</f>
        <v/>
      </c>
      <c r="N1450" s="5" t="str">
        <f aca="false">IF(A1450="","",IF(B1450=0,"NOT FOUND: bank ID",IF(I1450=0,"NOT FOUND: GL ID",IF(INDEX(GL!$H:$H,I1450)&lt;&gt;A1450,"BROKEN: GL points elsewhere",IF(OR(INDEX(Bank!$F:$F,B1450)&lt;&gt;"Y",INDEX(GL!$F:$F,I1450)&lt;&gt;"Y"),"BROKEN: Status not Y","OK")))))</f>
        <v/>
      </c>
    </row>
    <row r="1451" customFormat="false" ht="15" hidden="false" customHeight="false" outlineLevel="0" collapsed="false">
      <c r="A1451" s="41"/>
      <c r="B1451" s="5" t="n">
        <f aca="false">IF(A1451="",0,IFERROR(MATCH(A1451,Bank!$A:$A,0),0))</f>
        <v>0</v>
      </c>
      <c r="C1451" s="5" t="str">
        <f aca="false">IF(B1451=0,"",IF(INDEX(Bank!$G:$G,B1451)="","",INDEX(Bank!$G:$G,B1451)))</f>
        <v/>
      </c>
      <c r="D1451" s="5" t="str">
        <f aca="false">IF(B1451=0,"",IF(INDEX(Bank!$J:$J,B1451)="","",INDEX(Bank!$J:$J,B1451)))</f>
        <v/>
      </c>
      <c r="E1451" s="32" t="str">
        <f aca="false">IF(B1451=0,"",INDEX(Bank!$B:$B,B1451))</f>
        <v/>
      </c>
      <c r="F1451" s="5" t="str">
        <f aca="false">IF(B1451=0,"",IF(INDEX(Bank!$C:$C,B1451)="","",INDEX(Bank!$C:$C,B1451)))</f>
        <v/>
      </c>
      <c r="G1451" s="19" t="str">
        <f aca="false">IF(B1451=0,"",INDEX(Bank!$E:$E,B1451))</f>
        <v/>
      </c>
      <c r="H1451" s="5" t="str">
        <f aca="false">IF(B1451=0,"",IF(INDEX(Bank!$H:$H,B1451)="","",INDEX(Bank!$H:$H,B1451)))</f>
        <v/>
      </c>
      <c r="I1451" s="5" t="n">
        <f aca="false">IF(H1451="",0,IFERROR(MATCH(H1451,GL!$A:$A,0),0))</f>
        <v>0</v>
      </c>
      <c r="J1451" s="32" t="str">
        <f aca="false">IF(I1451=0,"",INDEX(GL!$B:$B,I1451))</f>
        <v/>
      </c>
      <c r="K1451" s="5" t="str">
        <f aca="false">IF(I1451=0,"",IF(INDEX(GL!$C:$C,I1451)="","",INDEX(GL!$C:$C,I1451)))</f>
        <v/>
      </c>
      <c r="L1451" s="19" t="str">
        <f aca="false">IF(I1451=0,"",INDEX(GL!$E:$E,I1451))</f>
        <v/>
      </c>
      <c r="M1451" s="19" t="str">
        <f aca="false">IF(OR(B1451=0,I1451=0),"",ROUND(G1451-L1451,2))</f>
        <v/>
      </c>
      <c r="N1451" s="5" t="str">
        <f aca="false">IF(A1451="","",IF(B1451=0,"NOT FOUND: bank ID",IF(I1451=0,"NOT FOUND: GL ID",IF(INDEX(GL!$H:$H,I1451)&lt;&gt;A1451,"BROKEN: GL points elsewhere",IF(OR(INDEX(Bank!$F:$F,B1451)&lt;&gt;"Y",INDEX(GL!$F:$F,I1451)&lt;&gt;"Y"),"BROKEN: Status not Y","OK")))))</f>
        <v/>
      </c>
    </row>
    <row r="1452" customFormat="false" ht="15" hidden="false" customHeight="false" outlineLevel="0" collapsed="false">
      <c r="A1452" s="41"/>
      <c r="B1452" s="5" t="n">
        <f aca="false">IF(A1452="",0,IFERROR(MATCH(A1452,Bank!$A:$A,0),0))</f>
        <v>0</v>
      </c>
      <c r="C1452" s="5" t="str">
        <f aca="false">IF(B1452=0,"",IF(INDEX(Bank!$G:$G,B1452)="","",INDEX(Bank!$G:$G,B1452)))</f>
        <v/>
      </c>
      <c r="D1452" s="5" t="str">
        <f aca="false">IF(B1452=0,"",IF(INDEX(Bank!$J:$J,B1452)="","",INDEX(Bank!$J:$J,B1452)))</f>
        <v/>
      </c>
      <c r="E1452" s="32" t="str">
        <f aca="false">IF(B1452=0,"",INDEX(Bank!$B:$B,B1452))</f>
        <v/>
      </c>
      <c r="F1452" s="5" t="str">
        <f aca="false">IF(B1452=0,"",IF(INDEX(Bank!$C:$C,B1452)="","",INDEX(Bank!$C:$C,B1452)))</f>
        <v/>
      </c>
      <c r="G1452" s="19" t="str">
        <f aca="false">IF(B1452=0,"",INDEX(Bank!$E:$E,B1452))</f>
        <v/>
      </c>
      <c r="H1452" s="5" t="str">
        <f aca="false">IF(B1452=0,"",IF(INDEX(Bank!$H:$H,B1452)="","",INDEX(Bank!$H:$H,B1452)))</f>
        <v/>
      </c>
      <c r="I1452" s="5" t="n">
        <f aca="false">IF(H1452="",0,IFERROR(MATCH(H1452,GL!$A:$A,0),0))</f>
        <v>0</v>
      </c>
      <c r="J1452" s="32" t="str">
        <f aca="false">IF(I1452=0,"",INDEX(GL!$B:$B,I1452))</f>
        <v/>
      </c>
      <c r="K1452" s="5" t="str">
        <f aca="false">IF(I1452=0,"",IF(INDEX(GL!$C:$C,I1452)="","",INDEX(GL!$C:$C,I1452)))</f>
        <v/>
      </c>
      <c r="L1452" s="19" t="str">
        <f aca="false">IF(I1452=0,"",INDEX(GL!$E:$E,I1452))</f>
        <v/>
      </c>
      <c r="M1452" s="19" t="str">
        <f aca="false">IF(OR(B1452=0,I1452=0),"",ROUND(G1452-L1452,2))</f>
        <v/>
      </c>
      <c r="N1452" s="5" t="str">
        <f aca="false">IF(A1452="","",IF(B1452=0,"NOT FOUND: bank ID",IF(I1452=0,"NOT FOUND: GL ID",IF(INDEX(GL!$H:$H,I1452)&lt;&gt;A1452,"BROKEN: GL points elsewhere",IF(OR(INDEX(Bank!$F:$F,B1452)&lt;&gt;"Y",INDEX(GL!$F:$F,I1452)&lt;&gt;"Y"),"BROKEN: Status not Y","OK")))))</f>
        <v/>
      </c>
    </row>
    <row r="1453" customFormat="false" ht="15" hidden="false" customHeight="false" outlineLevel="0" collapsed="false">
      <c r="A1453" s="41"/>
      <c r="B1453" s="5" t="n">
        <f aca="false">IF(A1453="",0,IFERROR(MATCH(A1453,Bank!$A:$A,0),0))</f>
        <v>0</v>
      </c>
      <c r="C1453" s="5" t="str">
        <f aca="false">IF(B1453=0,"",IF(INDEX(Bank!$G:$G,B1453)="","",INDEX(Bank!$G:$G,B1453)))</f>
        <v/>
      </c>
      <c r="D1453" s="5" t="str">
        <f aca="false">IF(B1453=0,"",IF(INDEX(Bank!$J:$J,B1453)="","",INDEX(Bank!$J:$J,B1453)))</f>
        <v/>
      </c>
      <c r="E1453" s="32" t="str">
        <f aca="false">IF(B1453=0,"",INDEX(Bank!$B:$B,B1453))</f>
        <v/>
      </c>
      <c r="F1453" s="5" t="str">
        <f aca="false">IF(B1453=0,"",IF(INDEX(Bank!$C:$C,B1453)="","",INDEX(Bank!$C:$C,B1453)))</f>
        <v/>
      </c>
      <c r="G1453" s="19" t="str">
        <f aca="false">IF(B1453=0,"",INDEX(Bank!$E:$E,B1453))</f>
        <v/>
      </c>
      <c r="H1453" s="5" t="str">
        <f aca="false">IF(B1453=0,"",IF(INDEX(Bank!$H:$H,B1453)="","",INDEX(Bank!$H:$H,B1453)))</f>
        <v/>
      </c>
      <c r="I1453" s="5" t="n">
        <f aca="false">IF(H1453="",0,IFERROR(MATCH(H1453,GL!$A:$A,0),0))</f>
        <v>0</v>
      </c>
      <c r="J1453" s="32" t="str">
        <f aca="false">IF(I1453=0,"",INDEX(GL!$B:$B,I1453))</f>
        <v/>
      </c>
      <c r="K1453" s="5" t="str">
        <f aca="false">IF(I1453=0,"",IF(INDEX(GL!$C:$C,I1453)="","",INDEX(GL!$C:$C,I1453)))</f>
        <v/>
      </c>
      <c r="L1453" s="19" t="str">
        <f aca="false">IF(I1453=0,"",INDEX(GL!$E:$E,I1453))</f>
        <v/>
      </c>
      <c r="M1453" s="19" t="str">
        <f aca="false">IF(OR(B1453=0,I1453=0),"",ROUND(G1453-L1453,2))</f>
        <v/>
      </c>
      <c r="N1453" s="5" t="str">
        <f aca="false">IF(A1453="","",IF(B1453=0,"NOT FOUND: bank ID",IF(I1453=0,"NOT FOUND: GL ID",IF(INDEX(GL!$H:$H,I1453)&lt;&gt;A1453,"BROKEN: GL points elsewhere",IF(OR(INDEX(Bank!$F:$F,B1453)&lt;&gt;"Y",INDEX(GL!$F:$F,I1453)&lt;&gt;"Y"),"BROKEN: Status not Y","OK")))))</f>
        <v/>
      </c>
    </row>
    <row r="1454" customFormat="false" ht="15" hidden="false" customHeight="false" outlineLevel="0" collapsed="false">
      <c r="A1454" s="41"/>
      <c r="B1454" s="5" t="n">
        <f aca="false">IF(A1454="",0,IFERROR(MATCH(A1454,Bank!$A:$A,0),0))</f>
        <v>0</v>
      </c>
      <c r="C1454" s="5" t="str">
        <f aca="false">IF(B1454=0,"",IF(INDEX(Bank!$G:$G,B1454)="","",INDEX(Bank!$G:$G,B1454)))</f>
        <v/>
      </c>
      <c r="D1454" s="5" t="str">
        <f aca="false">IF(B1454=0,"",IF(INDEX(Bank!$J:$J,B1454)="","",INDEX(Bank!$J:$J,B1454)))</f>
        <v/>
      </c>
      <c r="E1454" s="32" t="str">
        <f aca="false">IF(B1454=0,"",INDEX(Bank!$B:$B,B1454))</f>
        <v/>
      </c>
      <c r="F1454" s="5" t="str">
        <f aca="false">IF(B1454=0,"",IF(INDEX(Bank!$C:$C,B1454)="","",INDEX(Bank!$C:$C,B1454)))</f>
        <v/>
      </c>
      <c r="G1454" s="19" t="str">
        <f aca="false">IF(B1454=0,"",INDEX(Bank!$E:$E,B1454))</f>
        <v/>
      </c>
      <c r="H1454" s="5" t="str">
        <f aca="false">IF(B1454=0,"",IF(INDEX(Bank!$H:$H,B1454)="","",INDEX(Bank!$H:$H,B1454)))</f>
        <v/>
      </c>
      <c r="I1454" s="5" t="n">
        <f aca="false">IF(H1454="",0,IFERROR(MATCH(H1454,GL!$A:$A,0),0))</f>
        <v>0</v>
      </c>
      <c r="J1454" s="32" t="str">
        <f aca="false">IF(I1454=0,"",INDEX(GL!$B:$B,I1454))</f>
        <v/>
      </c>
      <c r="K1454" s="5" t="str">
        <f aca="false">IF(I1454=0,"",IF(INDEX(GL!$C:$C,I1454)="","",INDEX(GL!$C:$C,I1454)))</f>
        <v/>
      </c>
      <c r="L1454" s="19" t="str">
        <f aca="false">IF(I1454=0,"",INDEX(GL!$E:$E,I1454))</f>
        <v/>
      </c>
      <c r="M1454" s="19" t="str">
        <f aca="false">IF(OR(B1454=0,I1454=0),"",ROUND(G1454-L1454,2))</f>
        <v/>
      </c>
      <c r="N1454" s="5" t="str">
        <f aca="false">IF(A1454="","",IF(B1454=0,"NOT FOUND: bank ID",IF(I1454=0,"NOT FOUND: GL ID",IF(INDEX(GL!$H:$H,I1454)&lt;&gt;A1454,"BROKEN: GL points elsewhere",IF(OR(INDEX(Bank!$F:$F,B1454)&lt;&gt;"Y",INDEX(GL!$F:$F,I1454)&lt;&gt;"Y"),"BROKEN: Status not Y","OK")))))</f>
        <v/>
      </c>
    </row>
    <row r="1455" customFormat="false" ht="15" hidden="false" customHeight="false" outlineLevel="0" collapsed="false">
      <c r="A1455" s="41"/>
      <c r="B1455" s="5" t="n">
        <f aca="false">IF(A1455="",0,IFERROR(MATCH(A1455,Bank!$A:$A,0),0))</f>
        <v>0</v>
      </c>
      <c r="C1455" s="5" t="str">
        <f aca="false">IF(B1455=0,"",IF(INDEX(Bank!$G:$G,B1455)="","",INDEX(Bank!$G:$G,B1455)))</f>
        <v/>
      </c>
      <c r="D1455" s="5" t="str">
        <f aca="false">IF(B1455=0,"",IF(INDEX(Bank!$J:$J,B1455)="","",INDEX(Bank!$J:$J,B1455)))</f>
        <v/>
      </c>
      <c r="E1455" s="32" t="str">
        <f aca="false">IF(B1455=0,"",INDEX(Bank!$B:$B,B1455))</f>
        <v/>
      </c>
      <c r="F1455" s="5" t="str">
        <f aca="false">IF(B1455=0,"",IF(INDEX(Bank!$C:$C,B1455)="","",INDEX(Bank!$C:$C,B1455)))</f>
        <v/>
      </c>
      <c r="G1455" s="19" t="str">
        <f aca="false">IF(B1455=0,"",INDEX(Bank!$E:$E,B1455))</f>
        <v/>
      </c>
      <c r="H1455" s="5" t="str">
        <f aca="false">IF(B1455=0,"",IF(INDEX(Bank!$H:$H,B1455)="","",INDEX(Bank!$H:$H,B1455)))</f>
        <v/>
      </c>
      <c r="I1455" s="5" t="n">
        <f aca="false">IF(H1455="",0,IFERROR(MATCH(H1455,GL!$A:$A,0),0))</f>
        <v>0</v>
      </c>
      <c r="J1455" s="32" t="str">
        <f aca="false">IF(I1455=0,"",INDEX(GL!$B:$B,I1455))</f>
        <v/>
      </c>
      <c r="K1455" s="5" t="str">
        <f aca="false">IF(I1455=0,"",IF(INDEX(GL!$C:$C,I1455)="","",INDEX(GL!$C:$C,I1455)))</f>
        <v/>
      </c>
      <c r="L1455" s="19" t="str">
        <f aca="false">IF(I1455=0,"",INDEX(GL!$E:$E,I1455))</f>
        <v/>
      </c>
      <c r="M1455" s="19" t="str">
        <f aca="false">IF(OR(B1455=0,I1455=0),"",ROUND(G1455-L1455,2))</f>
        <v/>
      </c>
      <c r="N1455" s="5" t="str">
        <f aca="false">IF(A1455="","",IF(B1455=0,"NOT FOUND: bank ID",IF(I1455=0,"NOT FOUND: GL ID",IF(INDEX(GL!$H:$H,I1455)&lt;&gt;A1455,"BROKEN: GL points elsewhere",IF(OR(INDEX(Bank!$F:$F,B1455)&lt;&gt;"Y",INDEX(GL!$F:$F,I1455)&lt;&gt;"Y"),"BROKEN: Status not Y","OK")))))</f>
        <v/>
      </c>
    </row>
    <row r="1456" customFormat="false" ht="15" hidden="false" customHeight="false" outlineLevel="0" collapsed="false">
      <c r="A1456" s="41"/>
      <c r="B1456" s="5" t="n">
        <f aca="false">IF(A1456="",0,IFERROR(MATCH(A1456,Bank!$A:$A,0),0))</f>
        <v>0</v>
      </c>
      <c r="C1456" s="5" t="str">
        <f aca="false">IF(B1456=0,"",IF(INDEX(Bank!$G:$G,B1456)="","",INDEX(Bank!$G:$G,B1456)))</f>
        <v/>
      </c>
      <c r="D1456" s="5" t="str">
        <f aca="false">IF(B1456=0,"",IF(INDEX(Bank!$J:$J,B1456)="","",INDEX(Bank!$J:$J,B1456)))</f>
        <v/>
      </c>
      <c r="E1456" s="32" t="str">
        <f aca="false">IF(B1456=0,"",INDEX(Bank!$B:$B,B1456))</f>
        <v/>
      </c>
      <c r="F1456" s="5" t="str">
        <f aca="false">IF(B1456=0,"",IF(INDEX(Bank!$C:$C,B1456)="","",INDEX(Bank!$C:$C,B1456)))</f>
        <v/>
      </c>
      <c r="G1456" s="19" t="str">
        <f aca="false">IF(B1456=0,"",INDEX(Bank!$E:$E,B1456))</f>
        <v/>
      </c>
      <c r="H1456" s="5" t="str">
        <f aca="false">IF(B1456=0,"",IF(INDEX(Bank!$H:$H,B1456)="","",INDEX(Bank!$H:$H,B1456)))</f>
        <v/>
      </c>
      <c r="I1456" s="5" t="n">
        <f aca="false">IF(H1456="",0,IFERROR(MATCH(H1456,GL!$A:$A,0),0))</f>
        <v>0</v>
      </c>
      <c r="J1456" s="32" t="str">
        <f aca="false">IF(I1456=0,"",INDEX(GL!$B:$B,I1456))</f>
        <v/>
      </c>
      <c r="K1456" s="5" t="str">
        <f aca="false">IF(I1456=0,"",IF(INDEX(GL!$C:$C,I1456)="","",INDEX(GL!$C:$C,I1456)))</f>
        <v/>
      </c>
      <c r="L1456" s="19" t="str">
        <f aca="false">IF(I1456=0,"",INDEX(GL!$E:$E,I1456))</f>
        <v/>
      </c>
      <c r="M1456" s="19" t="str">
        <f aca="false">IF(OR(B1456=0,I1456=0),"",ROUND(G1456-L1456,2))</f>
        <v/>
      </c>
      <c r="N1456" s="5" t="str">
        <f aca="false">IF(A1456="","",IF(B1456=0,"NOT FOUND: bank ID",IF(I1456=0,"NOT FOUND: GL ID",IF(INDEX(GL!$H:$H,I1456)&lt;&gt;A1456,"BROKEN: GL points elsewhere",IF(OR(INDEX(Bank!$F:$F,B1456)&lt;&gt;"Y",INDEX(GL!$F:$F,I1456)&lt;&gt;"Y"),"BROKEN: Status not Y","OK")))))</f>
        <v/>
      </c>
    </row>
    <row r="1457" customFormat="false" ht="15" hidden="false" customHeight="false" outlineLevel="0" collapsed="false">
      <c r="A1457" s="41"/>
      <c r="B1457" s="5" t="n">
        <f aca="false">IF(A1457="",0,IFERROR(MATCH(A1457,Bank!$A:$A,0),0))</f>
        <v>0</v>
      </c>
      <c r="C1457" s="5" t="str">
        <f aca="false">IF(B1457=0,"",IF(INDEX(Bank!$G:$G,B1457)="","",INDEX(Bank!$G:$G,B1457)))</f>
        <v/>
      </c>
      <c r="D1457" s="5" t="str">
        <f aca="false">IF(B1457=0,"",IF(INDEX(Bank!$J:$J,B1457)="","",INDEX(Bank!$J:$J,B1457)))</f>
        <v/>
      </c>
      <c r="E1457" s="32" t="str">
        <f aca="false">IF(B1457=0,"",INDEX(Bank!$B:$B,B1457))</f>
        <v/>
      </c>
      <c r="F1457" s="5" t="str">
        <f aca="false">IF(B1457=0,"",IF(INDEX(Bank!$C:$C,B1457)="","",INDEX(Bank!$C:$C,B1457)))</f>
        <v/>
      </c>
      <c r="G1457" s="19" t="str">
        <f aca="false">IF(B1457=0,"",INDEX(Bank!$E:$E,B1457))</f>
        <v/>
      </c>
      <c r="H1457" s="5" t="str">
        <f aca="false">IF(B1457=0,"",IF(INDEX(Bank!$H:$H,B1457)="","",INDEX(Bank!$H:$H,B1457)))</f>
        <v/>
      </c>
      <c r="I1457" s="5" t="n">
        <f aca="false">IF(H1457="",0,IFERROR(MATCH(H1457,GL!$A:$A,0),0))</f>
        <v>0</v>
      </c>
      <c r="J1457" s="32" t="str">
        <f aca="false">IF(I1457=0,"",INDEX(GL!$B:$B,I1457))</f>
        <v/>
      </c>
      <c r="K1457" s="5" t="str">
        <f aca="false">IF(I1457=0,"",IF(INDEX(GL!$C:$C,I1457)="","",INDEX(GL!$C:$C,I1457)))</f>
        <v/>
      </c>
      <c r="L1457" s="19" t="str">
        <f aca="false">IF(I1457=0,"",INDEX(GL!$E:$E,I1457))</f>
        <v/>
      </c>
      <c r="M1457" s="19" t="str">
        <f aca="false">IF(OR(B1457=0,I1457=0),"",ROUND(G1457-L1457,2))</f>
        <v/>
      </c>
      <c r="N1457" s="5" t="str">
        <f aca="false">IF(A1457="","",IF(B1457=0,"NOT FOUND: bank ID",IF(I1457=0,"NOT FOUND: GL ID",IF(INDEX(GL!$H:$H,I1457)&lt;&gt;A1457,"BROKEN: GL points elsewhere",IF(OR(INDEX(Bank!$F:$F,B1457)&lt;&gt;"Y",INDEX(GL!$F:$F,I1457)&lt;&gt;"Y"),"BROKEN: Status not Y","OK")))))</f>
        <v/>
      </c>
    </row>
    <row r="1458" customFormat="false" ht="15" hidden="false" customHeight="false" outlineLevel="0" collapsed="false">
      <c r="A1458" s="41"/>
      <c r="B1458" s="5" t="n">
        <f aca="false">IF(A1458="",0,IFERROR(MATCH(A1458,Bank!$A:$A,0),0))</f>
        <v>0</v>
      </c>
      <c r="C1458" s="5" t="str">
        <f aca="false">IF(B1458=0,"",IF(INDEX(Bank!$G:$G,B1458)="","",INDEX(Bank!$G:$G,B1458)))</f>
        <v/>
      </c>
      <c r="D1458" s="5" t="str">
        <f aca="false">IF(B1458=0,"",IF(INDEX(Bank!$J:$J,B1458)="","",INDEX(Bank!$J:$J,B1458)))</f>
        <v/>
      </c>
      <c r="E1458" s="32" t="str">
        <f aca="false">IF(B1458=0,"",INDEX(Bank!$B:$B,B1458))</f>
        <v/>
      </c>
      <c r="F1458" s="5" t="str">
        <f aca="false">IF(B1458=0,"",IF(INDEX(Bank!$C:$C,B1458)="","",INDEX(Bank!$C:$C,B1458)))</f>
        <v/>
      </c>
      <c r="G1458" s="19" t="str">
        <f aca="false">IF(B1458=0,"",INDEX(Bank!$E:$E,B1458))</f>
        <v/>
      </c>
      <c r="H1458" s="5" t="str">
        <f aca="false">IF(B1458=0,"",IF(INDEX(Bank!$H:$H,B1458)="","",INDEX(Bank!$H:$H,B1458)))</f>
        <v/>
      </c>
      <c r="I1458" s="5" t="n">
        <f aca="false">IF(H1458="",0,IFERROR(MATCH(H1458,GL!$A:$A,0),0))</f>
        <v>0</v>
      </c>
      <c r="J1458" s="32" t="str">
        <f aca="false">IF(I1458=0,"",INDEX(GL!$B:$B,I1458))</f>
        <v/>
      </c>
      <c r="K1458" s="5" t="str">
        <f aca="false">IF(I1458=0,"",IF(INDEX(GL!$C:$C,I1458)="","",INDEX(GL!$C:$C,I1458)))</f>
        <v/>
      </c>
      <c r="L1458" s="19" t="str">
        <f aca="false">IF(I1458=0,"",INDEX(GL!$E:$E,I1458))</f>
        <v/>
      </c>
      <c r="M1458" s="19" t="str">
        <f aca="false">IF(OR(B1458=0,I1458=0),"",ROUND(G1458-L1458,2))</f>
        <v/>
      </c>
      <c r="N1458" s="5" t="str">
        <f aca="false">IF(A1458="","",IF(B1458=0,"NOT FOUND: bank ID",IF(I1458=0,"NOT FOUND: GL ID",IF(INDEX(GL!$H:$H,I1458)&lt;&gt;A1458,"BROKEN: GL points elsewhere",IF(OR(INDEX(Bank!$F:$F,B1458)&lt;&gt;"Y",INDEX(GL!$F:$F,I1458)&lt;&gt;"Y"),"BROKEN: Status not Y","OK")))))</f>
        <v/>
      </c>
    </row>
    <row r="1459" customFormat="false" ht="15" hidden="false" customHeight="false" outlineLevel="0" collapsed="false">
      <c r="A1459" s="41"/>
      <c r="B1459" s="5" t="n">
        <f aca="false">IF(A1459="",0,IFERROR(MATCH(A1459,Bank!$A:$A,0),0))</f>
        <v>0</v>
      </c>
      <c r="C1459" s="5" t="str">
        <f aca="false">IF(B1459=0,"",IF(INDEX(Bank!$G:$G,B1459)="","",INDEX(Bank!$G:$G,B1459)))</f>
        <v/>
      </c>
      <c r="D1459" s="5" t="str">
        <f aca="false">IF(B1459=0,"",IF(INDEX(Bank!$J:$J,B1459)="","",INDEX(Bank!$J:$J,B1459)))</f>
        <v/>
      </c>
      <c r="E1459" s="32" t="str">
        <f aca="false">IF(B1459=0,"",INDEX(Bank!$B:$B,B1459))</f>
        <v/>
      </c>
      <c r="F1459" s="5" t="str">
        <f aca="false">IF(B1459=0,"",IF(INDEX(Bank!$C:$C,B1459)="","",INDEX(Bank!$C:$C,B1459)))</f>
        <v/>
      </c>
      <c r="G1459" s="19" t="str">
        <f aca="false">IF(B1459=0,"",INDEX(Bank!$E:$E,B1459))</f>
        <v/>
      </c>
      <c r="H1459" s="5" t="str">
        <f aca="false">IF(B1459=0,"",IF(INDEX(Bank!$H:$H,B1459)="","",INDEX(Bank!$H:$H,B1459)))</f>
        <v/>
      </c>
      <c r="I1459" s="5" t="n">
        <f aca="false">IF(H1459="",0,IFERROR(MATCH(H1459,GL!$A:$A,0),0))</f>
        <v>0</v>
      </c>
      <c r="J1459" s="32" t="str">
        <f aca="false">IF(I1459=0,"",INDEX(GL!$B:$B,I1459))</f>
        <v/>
      </c>
      <c r="K1459" s="5" t="str">
        <f aca="false">IF(I1459=0,"",IF(INDEX(GL!$C:$C,I1459)="","",INDEX(GL!$C:$C,I1459)))</f>
        <v/>
      </c>
      <c r="L1459" s="19" t="str">
        <f aca="false">IF(I1459=0,"",INDEX(GL!$E:$E,I1459))</f>
        <v/>
      </c>
      <c r="M1459" s="19" t="str">
        <f aca="false">IF(OR(B1459=0,I1459=0),"",ROUND(G1459-L1459,2))</f>
        <v/>
      </c>
      <c r="N1459" s="5" t="str">
        <f aca="false">IF(A1459="","",IF(B1459=0,"NOT FOUND: bank ID",IF(I1459=0,"NOT FOUND: GL ID",IF(INDEX(GL!$H:$H,I1459)&lt;&gt;A1459,"BROKEN: GL points elsewhere",IF(OR(INDEX(Bank!$F:$F,B1459)&lt;&gt;"Y",INDEX(GL!$F:$F,I1459)&lt;&gt;"Y"),"BROKEN: Status not Y","OK")))))</f>
        <v/>
      </c>
    </row>
    <row r="1460" customFormat="false" ht="15" hidden="false" customHeight="false" outlineLevel="0" collapsed="false">
      <c r="A1460" s="41"/>
      <c r="B1460" s="5" t="n">
        <f aca="false">IF(A1460="",0,IFERROR(MATCH(A1460,Bank!$A:$A,0),0))</f>
        <v>0</v>
      </c>
      <c r="C1460" s="5" t="str">
        <f aca="false">IF(B1460=0,"",IF(INDEX(Bank!$G:$G,B1460)="","",INDEX(Bank!$G:$G,B1460)))</f>
        <v/>
      </c>
      <c r="D1460" s="5" t="str">
        <f aca="false">IF(B1460=0,"",IF(INDEX(Bank!$J:$J,B1460)="","",INDEX(Bank!$J:$J,B1460)))</f>
        <v/>
      </c>
      <c r="E1460" s="32" t="str">
        <f aca="false">IF(B1460=0,"",INDEX(Bank!$B:$B,B1460))</f>
        <v/>
      </c>
      <c r="F1460" s="5" t="str">
        <f aca="false">IF(B1460=0,"",IF(INDEX(Bank!$C:$C,B1460)="","",INDEX(Bank!$C:$C,B1460)))</f>
        <v/>
      </c>
      <c r="G1460" s="19" t="str">
        <f aca="false">IF(B1460=0,"",INDEX(Bank!$E:$E,B1460))</f>
        <v/>
      </c>
      <c r="H1460" s="5" t="str">
        <f aca="false">IF(B1460=0,"",IF(INDEX(Bank!$H:$H,B1460)="","",INDEX(Bank!$H:$H,B1460)))</f>
        <v/>
      </c>
      <c r="I1460" s="5" t="n">
        <f aca="false">IF(H1460="",0,IFERROR(MATCH(H1460,GL!$A:$A,0),0))</f>
        <v>0</v>
      </c>
      <c r="J1460" s="32" t="str">
        <f aca="false">IF(I1460=0,"",INDEX(GL!$B:$B,I1460))</f>
        <v/>
      </c>
      <c r="K1460" s="5" t="str">
        <f aca="false">IF(I1460=0,"",IF(INDEX(GL!$C:$C,I1460)="","",INDEX(GL!$C:$C,I1460)))</f>
        <v/>
      </c>
      <c r="L1460" s="19" t="str">
        <f aca="false">IF(I1460=0,"",INDEX(GL!$E:$E,I1460))</f>
        <v/>
      </c>
      <c r="M1460" s="19" t="str">
        <f aca="false">IF(OR(B1460=0,I1460=0),"",ROUND(G1460-L1460,2))</f>
        <v/>
      </c>
      <c r="N1460" s="5" t="str">
        <f aca="false">IF(A1460="","",IF(B1460=0,"NOT FOUND: bank ID",IF(I1460=0,"NOT FOUND: GL ID",IF(INDEX(GL!$H:$H,I1460)&lt;&gt;A1460,"BROKEN: GL points elsewhere",IF(OR(INDEX(Bank!$F:$F,B1460)&lt;&gt;"Y",INDEX(GL!$F:$F,I1460)&lt;&gt;"Y"),"BROKEN: Status not Y","OK")))))</f>
        <v/>
      </c>
    </row>
    <row r="1461" customFormat="false" ht="15" hidden="false" customHeight="false" outlineLevel="0" collapsed="false">
      <c r="A1461" s="41"/>
      <c r="B1461" s="5" t="n">
        <f aca="false">IF(A1461="",0,IFERROR(MATCH(A1461,Bank!$A:$A,0),0))</f>
        <v>0</v>
      </c>
      <c r="C1461" s="5" t="str">
        <f aca="false">IF(B1461=0,"",IF(INDEX(Bank!$G:$G,B1461)="","",INDEX(Bank!$G:$G,B1461)))</f>
        <v/>
      </c>
      <c r="D1461" s="5" t="str">
        <f aca="false">IF(B1461=0,"",IF(INDEX(Bank!$J:$J,B1461)="","",INDEX(Bank!$J:$J,B1461)))</f>
        <v/>
      </c>
      <c r="E1461" s="32" t="str">
        <f aca="false">IF(B1461=0,"",INDEX(Bank!$B:$B,B1461))</f>
        <v/>
      </c>
      <c r="F1461" s="5" t="str">
        <f aca="false">IF(B1461=0,"",IF(INDEX(Bank!$C:$C,B1461)="","",INDEX(Bank!$C:$C,B1461)))</f>
        <v/>
      </c>
      <c r="G1461" s="19" t="str">
        <f aca="false">IF(B1461=0,"",INDEX(Bank!$E:$E,B1461))</f>
        <v/>
      </c>
      <c r="H1461" s="5" t="str">
        <f aca="false">IF(B1461=0,"",IF(INDEX(Bank!$H:$H,B1461)="","",INDEX(Bank!$H:$H,B1461)))</f>
        <v/>
      </c>
      <c r="I1461" s="5" t="n">
        <f aca="false">IF(H1461="",0,IFERROR(MATCH(H1461,GL!$A:$A,0),0))</f>
        <v>0</v>
      </c>
      <c r="J1461" s="32" t="str">
        <f aca="false">IF(I1461=0,"",INDEX(GL!$B:$B,I1461))</f>
        <v/>
      </c>
      <c r="K1461" s="5" t="str">
        <f aca="false">IF(I1461=0,"",IF(INDEX(GL!$C:$C,I1461)="","",INDEX(GL!$C:$C,I1461)))</f>
        <v/>
      </c>
      <c r="L1461" s="19" t="str">
        <f aca="false">IF(I1461=0,"",INDEX(GL!$E:$E,I1461))</f>
        <v/>
      </c>
      <c r="M1461" s="19" t="str">
        <f aca="false">IF(OR(B1461=0,I1461=0),"",ROUND(G1461-L1461,2))</f>
        <v/>
      </c>
      <c r="N1461" s="5" t="str">
        <f aca="false">IF(A1461="","",IF(B1461=0,"NOT FOUND: bank ID",IF(I1461=0,"NOT FOUND: GL ID",IF(INDEX(GL!$H:$H,I1461)&lt;&gt;A1461,"BROKEN: GL points elsewhere",IF(OR(INDEX(Bank!$F:$F,B1461)&lt;&gt;"Y",INDEX(GL!$F:$F,I1461)&lt;&gt;"Y"),"BROKEN: Status not Y","OK")))))</f>
        <v/>
      </c>
    </row>
    <row r="1462" customFormat="false" ht="15" hidden="false" customHeight="false" outlineLevel="0" collapsed="false">
      <c r="A1462" s="41"/>
      <c r="B1462" s="5" t="n">
        <f aca="false">IF(A1462="",0,IFERROR(MATCH(A1462,Bank!$A:$A,0),0))</f>
        <v>0</v>
      </c>
      <c r="C1462" s="5" t="str">
        <f aca="false">IF(B1462=0,"",IF(INDEX(Bank!$G:$G,B1462)="","",INDEX(Bank!$G:$G,B1462)))</f>
        <v/>
      </c>
      <c r="D1462" s="5" t="str">
        <f aca="false">IF(B1462=0,"",IF(INDEX(Bank!$J:$J,B1462)="","",INDEX(Bank!$J:$J,B1462)))</f>
        <v/>
      </c>
      <c r="E1462" s="32" t="str">
        <f aca="false">IF(B1462=0,"",INDEX(Bank!$B:$B,B1462))</f>
        <v/>
      </c>
      <c r="F1462" s="5" t="str">
        <f aca="false">IF(B1462=0,"",IF(INDEX(Bank!$C:$C,B1462)="","",INDEX(Bank!$C:$C,B1462)))</f>
        <v/>
      </c>
      <c r="G1462" s="19" t="str">
        <f aca="false">IF(B1462=0,"",INDEX(Bank!$E:$E,B1462))</f>
        <v/>
      </c>
      <c r="H1462" s="5" t="str">
        <f aca="false">IF(B1462=0,"",IF(INDEX(Bank!$H:$H,B1462)="","",INDEX(Bank!$H:$H,B1462)))</f>
        <v/>
      </c>
      <c r="I1462" s="5" t="n">
        <f aca="false">IF(H1462="",0,IFERROR(MATCH(H1462,GL!$A:$A,0),0))</f>
        <v>0</v>
      </c>
      <c r="J1462" s="32" t="str">
        <f aca="false">IF(I1462=0,"",INDEX(GL!$B:$B,I1462))</f>
        <v/>
      </c>
      <c r="K1462" s="5" t="str">
        <f aca="false">IF(I1462=0,"",IF(INDEX(GL!$C:$C,I1462)="","",INDEX(GL!$C:$C,I1462)))</f>
        <v/>
      </c>
      <c r="L1462" s="19" t="str">
        <f aca="false">IF(I1462=0,"",INDEX(GL!$E:$E,I1462))</f>
        <v/>
      </c>
      <c r="M1462" s="19" t="str">
        <f aca="false">IF(OR(B1462=0,I1462=0),"",ROUND(G1462-L1462,2))</f>
        <v/>
      </c>
      <c r="N1462" s="5" t="str">
        <f aca="false">IF(A1462="","",IF(B1462=0,"NOT FOUND: bank ID",IF(I1462=0,"NOT FOUND: GL ID",IF(INDEX(GL!$H:$H,I1462)&lt;&gt;A1462,"BROKEN: GL points elsewhere",IF(OR(INDEX(Bank!$F:$F,B1462)&lt;&gt;"Y",INDEX(GL!$F:$F,I1462)&lt;&gt;"Y"),"BROKEN: Status not Y","OK")))))</f>
        <v/>
      </c>
    </row>
    <row r="1463" customFormat="false" ht="15" hidden="false" customHeight="false" outlineLevel="0" collapsed="false">
      <c r="A1463" s="41"/>
      <c r="B1463" s="5" t="n">
        <f aca="false">IF(A1463="",0,IFERROR(MATCH(A1463,Bank!$A:$A,0),0))</f>
        <v>0</v>
      </c>
      <c r="C1463" s="5" t="str">
        <f aca="false">IF(B1463=0,"",IF(INDEX(Bank!$G:$G,B1463)="","",INDEX(Bank!$G:$G,B1463)))</f>
        <v/>
      </c>
      <c r="D1463" s="5" t="str">
        <f aca="false">IF(B1463=0,"",IF(INDEX(Bank!$J:$J,B1463)="","",INDEX(Bank!$J:$J,B1463)))</f>
        <v/>
      </c>
      <c r="E1463" s="32" t="str">
        <f aca="false">IF(B1463=0,"",INDEX(Bank!$B:$B,B1463))</f>
        <v/>
      </c>
      <c r="F1463" s="5" t="str">
        <f aca="false">IF(B1463=0,"",IF(INDEX(Bank!$C:$C,B1463)="","",INDEX(Bank!$C:$C,B1463)))</f>
        <v/>
      </c>
      <c r="G1463" s="19" t="str">
        <f aca="false">IF(B1463=0,"",INDEX(Bank!$E:$E,B1463))</f>
        <v/>
      </c>
      <c r="H1463" s="5" t="str">
        <f aca="false">IF(B1463=0,"",IF(INDEX(Bank!$H:$H,B1463)="","",INDEX(Bank!$H:$H,B1463)))</f>
        <v/>
      </c>
      <c r="I1463" s="5" t="n">
        <f aca="false">IF(H1463="",0,IFERROR(MATCH(H1463,GL!$A:$A,0),0))</f>
        <v>0</v>
      </c>
      <c r="J1463" s="32" t="str">
        <f aca="false">IF(I1463=0,"",INDEX(GL!$B:$B,I1463))</f>
        <v/>
      </c>
      <c r="K1463" s="5" t="str">
        <f aca="false">IF(I1463=0,"",IF(INDEX(GL!$C:$C,I1463)="","",INDEX(GL!$C:$C,I1463)))</f>
        <v/>
      </c>
      <c r="L1463" s="19" t="str">
        <f aca="false">IF(I1463=0,"",INDEX(GL!$E:$E,I1463))</f>
        <v/>
      </c>
      <c r="M1463" s="19" t="str">
        <f aca="false">IF(OR(B1463=0,I1463=0),"",ROUND(G1463-L1463,2))</f>
        <v/>
      </c>
      <c r="N1463" s="5" t="str">
        <f aca="false">IF(A1463="","",IF(B1463=0,"NOT FOUND: bank ID",IF(I1463=0,"NOT FOUND: GL ID",IF(INDEX(GL!$H:$H,I1463)&lt;&gt;A1463,"BROKEN: GL points elsewhere",IF(OR(INDEX(Bank!$F:$F,B1463)&lt;&gt;"Y",INDEX(GL!$F:$F,I1463)&lt;&gt;"Y"),"BROKEN: Status not Y","OK")))))</f>
        <v/>
      </c>
    </row>
    <row r="1464" customFormat="false" ht="15" hidden="false" customHeight="false" outlineLevel="0" collapsed="false">
      <c r="A1464" s="41"/>
      <c r="B1464" s="5" t="n">
        <f aca="false">IF(A1464="",0,IFERROR(MATCH(A1464,Bank!$A:$A,0),0))</f>
        <v>0</v>
      </c>
      <c r="C1464" s="5" t="str">
        <f aca="false">IF(B1464=0,"",IF(INDEX(Bank!$G:$G,B1464)="","",INDEX(Bank!$G:$G,B1464)))</f>
        <v/>
      </c>
      <c r="D1464" s="5" t="str">
        <f aca="false">IF(B1464=0,"",IF(INDEX(Bank!$J:$J,B1464)="","",INDEX(Bank!$J:$J,B1464)))</f>
        <v/>
      </c>
      <c r="E1464" s="32" t="str">
        <f aca="false">IF(B1464=0,"",INDEX(Bank!$B:$B,B1464))</f>
        <v/>
      </c>
      <c r="F1464" s="5" t="str">
        <f aca="false">IF(B1464=0,"",IF(INDEX(Bank!$C:$C,B1464)="","",INDEX(Bank!$C:$C,B1464)))</f>
        <v/>
      </c>
      <c r="G1464" s="19" t="str">
        <f aca="false">IF(B1464=0,"",INDEX(Bank!$E:$E,B1464))</f>
        <v/>
      </c>
      <c r="H1464" s="5" t="str">
        <f aca="false">IF(B1464=0,"",IF(INDEX(Bank!$H:$H,B1464)="","",INDEX(Bank!$H:$H,B1464)))</f>
        <v/>
      </c>
      <c r="I1464" s="5" t="n">
        <f aca="false">IF(H1464="",0,IFERROR(MATCH(H1464,GL!$A:$A,0),0))</f>
        <v>0</v>
      </c>
      <c r="J1464" s="32" t="str">
        <f aca="false">IF(I1464=0,"",INDEX(GL!$B:$B,I1464))</f>
        <v/>
      </c>
      <c r="K1464" s="5" t="str">
        <f aca="false">IF(I1464=0,"",IF(INDEX(GL!$C:$C,I1464)="","",INDEX(GL!$C:$C,I1464)))</f>
        <v/>
      </c>
      <c r="L1464" s="19" t="str">
        <f aca="false">IF(I1464=0,"",INDEX(GL!$E:$E,I1464))</f>
        <v/>
      </c>
      <c r="M1464" s="19" t="str">
        <f aca="false">IF(OR(B1464=0,I1464=0),"",ROUND(G1464-L1464,2))</f>
        <v/>
      </c>
      <c r="N1464" s="5" t="str">
        <f aca="false">IF(A1464="","",IF(B1464=0,"NOT FOUND: bank ID",IF(I1464=0,"NOT FOUND: GL ID",IF(INDEX(GL!$H:$H,I1464)&lt;&gt;A1464,"BROKEN: GL points elsewhere",IF(OR(INDEX(Bank!$F:$F,B1464)&lt;&gt;"Y",INDEX(GL!$F:$F,I1464)&lt;&gt;"Y"),"BROKEN: Status not Y","OK")))))</f>
        <v/>
      </c>
    </row>
    <row r="1465" customFormat="false" ht="15" hidden="false" customHeight="false" outlineLevel="0" collapsed="false">
      <c r="A1465" s="41"/>
      <c r="B1465" s="5" t="n">
        <f aca="false">IF(A1465="",0,IFERROR(MATCH(A1465,Bank!$A:$A,0),0))</f>
        <v>0</v>
      </c>
      <c r="C1465" s="5" t="str">
        <f aca="false">IF(B1465=0,"",IF(INDEX(Bank!$G:$G,B1465)="","",INDEX(Bank!$G:$G,B1465)))</f>
        <v/>
      </c>
      <c r="D1465" s="5" t="str">
        <f aca="false">IF(B1465=0,"",IF(INDEX(Bank!$J:$J,B1465)="","",INDEX(Bank!$J:$J,B1465)))</f>
        <v/>
      </c>
      <c r="E1465" s="32" t="str">
        <f aca="false">IF(B1465=0,"",INDEX(Bank!$B:$B,B1465))</f>
        <v/>
      </c>
      <c r="F1465" s="5" t="str">
        <f aca="false">IF(B1465=0,"",IF(INDEX(Bank!$C:$C,B1465)="","",INDEX(Bank!$C:$C,B1465)))</f>
        <v/>
      </c>
      <c r="G1465" s="19" t="str">
        <f aca="false">IF(B1465=0,"",INDEX(Bank!$E:$E,B1465))</f>
        <v/>
      </c>
      <c r="H1465" s="5" t="str">
        <f aca="false">IF(B1465=0,"",IF(INDEX(Bank!$H:$H,B1465)="","",INDEX(Bank!$H:$H,B1465)))</f>
        <v/>
      </c>
      <c r="I1465" s="5" t="n">
        <f aca="false">IF(H1465="",0,IFERROR(MATCH(H1465,GL!$A:$A,0),0))</f>
        <v>0</v>
      </c>
      <c r="J1465" s="32" t="str">
        <f aca="false">IF(I1465=0,"",INDEX(GL!$B:$B,I1465))</f>
        <v/>
      </c>
      <c r="K1465" s="5" t="str">
        <f aca="false">IF(I1465=0,"",IF(INDEX(GL!$C:$C,I1465)="","",INDEX(GL!$C:$C,I1465)))</f>
        <v/>
      </c>
      <c r="L1465" s="19" t="str">
        <f aca="false">IF(I1465=0,"",INDEX(GL!$E:$E,I1465))</f>
        <v/>
      </c>
      <c r="M1465" s="19" t="str">
        <f aca="false">IF(OR(B1465=0,I1465=0),"",ROUND(G1465-L1465,2))</f>
        <v/>
      </c>
      <c r="N1465" s="5" t="str">
        <f aca="false">IF(A1465="","",IF(B1465=0,"NOT FOUND: bank ID",IF(I1465=0,"NOT FOUND: GL ID",IF(INDEX(GL!$H:$H,I1465)&lt;&gt;A1465,"BROKEN: GL points elsewhere",IF(OR(INDEX(Bank!$F:$F,B1465)&lt;&gt;"Y",INDEX(GL!$F:$F,I1465)&lt;&gt;"Y"),"BROKEN: Status not Y","OK")))))</f>
        <v/>
      </c>
    </row>
    <row r="1466" customFormat="false" ht="15" hidden="false" customHeight="false" outlineLevel="0" collapsed="false">
      <c r="A1466" s="41"/>
      <c r="B1466" s="5" t="n">
        <f aca="false">IF(A1466="",0,IFERROR(MATCH(A1466,Bank!$A:$A,0),0))</f>
        <v>0</v>
      </c>
      <c r="C1466" s="5" t="str">
        <f aca="false">IF(B1466=0,"",IF(INDEX(Bank!$G:$G,B1466)="","",INDEX(Bank!$G:$G,B1466)))</f>
        <v/>
      </c>
      <c r="D1466" s="5" t="str">
        <f aca="false">IF(B1466=0,"",IF(INDEX(Bank!$J:$J,B1466)="","",INDEX(Bank!$J:$J,B1466)))</f>
        <v/>
      </c>
      <c r="E1466" s="32" t="str">
        <f aca="false">IF(B1466=0,"",INDEX(Bank!$B:$B,B1466))</f>
        <v/>
      </c>
      <c r="F1466" s="5" t="str">
        <f aca="false">IF(B1466=0,"",IF(INDEX(Bank!$C:$C,B1466)="","",INDEX(Bank!$C:$C,B1466)))</f>
        <v/>
      </c>
      <c r="G1466" s="19" t="str">
        <f aca="false">IF(B1466=0,"",INDEX(Bank!$E:$E,B1466))</f>
        <v/>
      </c>
      <c r="H1466" s="5" t="str">
        <f aca="false">IF(B1466=0,"",IF(INDEX(Bank!$H:$H,B1466)="","",INDEX(Bank!$H:$H,B1466)))</f>
        <v/>
      </c>
      <c r="I1466" s="5" t="n">
        <f aca="false">IF(H1466="",0,IFERROR(MATCH(H1466,GL!$A:$A,0),0))</f>
        <v>0</v>
      </c>
      <c r="J1466" s="32" t="str">
        <f aca="false">IF(I1466=0,"",INDEX(GL!$B:$B,I1466))</f>
        <v/>
      </c>
      <c r="K1466" s="5" t="str">
        <f aca="false">IF(I1466=0,"",IF(INDEX(GL!$C:$C,I1466)="","",INDEX(GL!$C:$C,I1466)))</f>
        <v/>
      </c>
      <c r="L1466" s="19" t="str">
        <f aca="false">IF(I1466=0,"",INDEX(GL!$E:$E,I1466))</f>
        <v/>
      </c>
      <c r="M1466" s="19" t="str">
        <f aca="false">IF(OR(B1466=0,I1466=0),"",ROUND(G1466-L1466,2))</f>
        <v/>
      </c>
      <c r="N1466" s="5" t="str">
        <f aca="false">IF(A1466="","",IF(B1466=0,"NOT FOUND: bank ID",IF(I1466=0,"NOT FOUND: GL ID",IF(INDEX(GL!$H:$H,I1466)&lt;&gt;A1466,"BROKEN: GL points elsewhere",IF(OR(INDEX(Bank!$F:$F,B1466)&lt;&gt;"Y",INDEX(GL!$F:$F,I1466)&lt;&gt;"Y"),"BROKEN: Status not Y","OK")))))</f>
        <v/>
      </c>
    </row>
    <row r="1467" customFormat="false" ht="15" hidden="false" customHeight="false" outlineLevel="0" collapsed="false">
      <c r="A1467" s="41"/>
      <c r="B1467" s="5" t="n">
        <f aca="false">IF(A1467="",0,IFERROR(MATCH(A1467,Bank!$A:$A,0),0))</f>
        <v>0</v>
      </c>
      <c r="C1467" s="5" t="str">
        <f aca="false">IF(B1467=0,"",IF(INDEX(Bank!$G:$G,B1467)="","",INDEX(Bank!$G:$G,B1467)))</f>
        <v/>
      </c>
      <c r="D1467" s="5" t="str">
        <f aca="false">IF(B1467=0,"",IF(INDEX(Bank!$J:$J,B1467)="","",INDEX(Bank!$J:$J,B1467)))</f>
        <v/>
      </c>
      <c r="E1467" s="32" t="str">
        <f aca="false">IF(B1467=0,"",INDEX(Bank!$B:$B,B1467))</f>
        <v/>
      </c>
      <c r="F1467" s="5" t="str">
        <f aca="false">IF(B1467=0,"",IF(INDEX(Bank!$C:$C,B1467)="","",INDEX(Bank!$C:$C,B1467)))</f>
        <v/>
      </c>
      <c r="G1467" s="19" t="str">
        <f aca="false">IF(B1467=0,"",INDEX(Bank!$E:$E,B1467))</f>
        <v/>
      </c>
      <c r="H1467" s="5" t="str">
        <f aca="false">IF(B1467=0,"",IF(INDEX(Bank!$H:$H,B1467)="","",INDEX(Bank!$H:$H,B1467)))</f>
        <v/>
      </c>
      <c r="I1467" s="5" t="n">
        <f aca="false">IF(H1467="",0,IFERROR(MATCH(H1467,GL!$A:$A,0),0))</f>
        <v>0</v>
      </c>
      <c r="J1467" s="32" t="str">
        <f aca="false">IF(I1467=0,"",INDEX(GL!$B:$B,I1467))</f>
        <v/>
      </c>
      <c r="K1467" s="5" t="str">
        <f aca="false">IF(I1467=0,"",IF(INDEX(GL!$C:$C,I1467)="","",INDEX(GL!$C:$C,I1467)))</f>
        <v/>
      </c>
      <c r="L1467" s="19" t="str">
        <f aca="false">IF(I1467=0,"",INDEX(GL!$E:$E,I1467))</f>
        <v/>
      </c>
      <c r="M1467" s="19" t="str">
        <f aca="false">IF(OR(B1467=0,I1467=0),"",ROUND(G1467-L1467,2))</f>
        <v/>
      </c>
      <c r="N1467" s="5" t="str">
        <f aca="false">IF(A1467="","",IF(B1467=0,"NOT FOUND: bank ID",IF(I1467=0,"NOT FOUND: GL ID",IF(INDEX(GL!$H:$H,I1467)&lt;&gt;A1467,"BROKEN: GL points elsewhere",IF(OR(INDEX(Bank!$F:$F,B1467)&lt;&gt;"Y",INDEX(GL!$F:$F,I1467)&lt;&gt;"Y"),"BROKEN: Status not Y","OK")))))</f>
        <v/>
      </c>
    </row>
    <row r="1468" customFormat="false" ht="15" hidden="false" customHeight="false" outlineLevel="0" collapsed="false">
      <c r="A1468" s="41"/>
      <c r="B1468" s="5" t="n">
        <f aca="false">IF(A1468="",0,IFERROR(MATCH(A1468,Bank!$A:$A,0),0))</f>
        <v>0</v>
      </c>
      <c r="C1468" s="5" t="str">
        <f aca="false">IF(B1468=0,"",IF(INDEX(Bank!$G:$G,B1468)="","",INDEX(Bank!$G:$G,B1468)))</f>
        <v/>
      </c>
      <c r="D1468" s="5" t="str">
        <f aca="false">IF(B1468=0,"",IF(INDEX(Bank!$J:$J,B1468)="","",INDEX(Bank!$J:$J,B1468)))</f>
        <v/>
      </c>
      <c r="E1468" s="32" t="str">
        <f aca="false">IF(B1468=0,"",INDEX(Bank!$B:$B,B1468))</f>
        <v/>
      </c>
      <c r="F1468" s="5" t="str">
        <f aca="false">IF(B1468=0,"",IF(INDEX(Bank!$C:$C,B1468)="","",INDEX(Bank!$C:$C,B1468)))</f>
        <v/>
      </c>
      <c r="G1468" s="19" t="str">
        <f aca="false">IF(B1468=0,"",INDEX(Bank!$E:$E,B1468))</f>
        <v/>
      </c>
      <c r="H1468" s="5" t="str">
        <f aca="false">IF(B1468=0,"",IF(INDEX(Bank!$H:$H,B1468)="","",INDEX(Bank!$H:$H,B1468)))</f>
        <v/>
      </c>
      <c r="I1468" s="5" t="n">
        <f aca="false">IF(H1468="",0,IFERROR(MATCH(H1468,GL!$A:$A,0),0))</f>
        <v>0</v>
      </c>
      <c r="J1468" s="32" t="str">
        <f aca="false">IF(I1468=0,"",INDEX(GL!$B:$B,I1468))</f>
        <v/>
      </c>
      <c r="K1468" s="5" t="str">
        <f aca="false">IF(I1468=0,"",IF(INDEX(GL!$C:$C,I1468)="","",INDEX(GL!$C:$C,I1468)))</f>
        <v/>
      </c>
      <c r="L1468" s="19" t="str">
        <f aca="false">IF(I1468=0,"",INDEX(GL!$E:$E,I1468))</f>
        <v/>
      </c>
      <c r="M1468" s="19" t="str">
        <f aca="false">IF(OR(B1468=0,I1468=0),"",ROUND(G1468-L1468,2))</f>
        <v/>
      </c>
      <c r="N1468" s="5" t="str">
        <f aca="false">IF(A1468="","",IF(B1468=0,"NOT FOUND: bank ID",IF(I1468=0,"NOT FOUND: GL ID",IF(INDEX(GL!$H:$H,I1468)&lt;&gt;A1468,"BROKEN: GL points elsewhere",IF(OR(INDEX(Bank!$F:$F,B1468)&lt;&gt;"Y",INDEX(GL!$F:$F,I1468)&lt;&gt;"Y"),"BROKEN: Status not Y","OK")))))</f>
        <v/>
      </c>
    </row>
    <row r="1469" customFormat="false" ht="15" hidden="false" customHeight="false" outlineLevel="0" collapsed="false">
      <c r="A1469" s="41"/>
      <c r="B1469" s="5" t="n">
        <f aca="false">IF(A1469="",0,IFERROR(MATCH(A1469,Bank!$A:$A,0),0))</f>
        <v>0</v>
      </c>
      <c r="C1469" s="5" t="str">
        <f aca="false">IF(B1469=0,"",IF(INDEX(Bank!$G:$G,B1469)="","",INDEX(Bank!$G:$G,B1469)))</f>
        <v/>
      </c>
      <c r="D1469" s="5" t="str">
        <f aca="false">IF(B1469=0,"",IF(INDEX(Bank!$J:$J,B1469)="","",INDEX(Bank!$J:$J,B1469)))</f>
        <v/>
      </c>
      <c r="E1469" s="32" t="str">
        <f aca="false">IF(B1469=0,"",INDEX(Bank!$B:$B,B1469))</f>
        <v/>
      </c>
      <c r="F1469" s="5" t="str">
        <f aca="false">IF(B1469=0,"",IF(INDEX(Bank!$C:$C,B1469)="","",INDEX(Bank!$C:$C,B1469)))</f>
        <v/>
      </c>
      <c r="G1469" s="19" t="str">
        <f aca="false">IF(B1469=0,"",INDEX(Bank!$E:$E,B1469))</f>
        <v/>
      </c>
      <c r="H1469" s="5" t="str">
        <f aca="false">IF(B1469=0,"",IF(INDEX(Bank!$H:$H,B1469)="","",INDEX(Bank!$H:$H,B1469)))</f>
        <v/>
      </c>
      <c r="I1469" s="5" t="n">
        <f aca="false">IF(H1469="",0,IFERROR(MATCH(H1469,GL!$A:$A,0),0))</f>
        <v>0</v>
      </c>
      <c r="J1469" s="32" t="str">
        <f aca="false">IF(I1469=0,"",INDEX(GL!$B:$B,I1469))</f>
        <v/>
      </c>
      <c r="K1469" s="5" t="str">
        <f aca="false">IF(I1469=0,"",IF(INDEX(GL!$C:$C,I1469)="","",INDEX(GL!$C:$C,I1469)))</f>
        <v/>
      </c>
      <c r="L1469" s="19" t="str">
        <f aca="false">IF(I1469=0,"",INDEX(GL!$E:$E,I1469))</f>
        <v/>
      </c>
      <c r="M1469" s="19" t="str">
        <f aca="false">IF(OR(B1469=0,I1469=0),"",ROUND(G1469-L1469,2))</f>
        <v/>
      </c>
      <c r="N1469" s="5" t="str">
        <f aca="false">IF(A1469="","",IF(B1469=0,"NOT FOUND: bank ID",IF(I1469=0,"NOT FOUND: GL ID",IF(INDEX(GL!$H:$H,I1469)&lt;&gt;A1469,"BROKEN: GL points elsewhere",IF(OR(INDEX(Bank!$F:$F,B1469)&lt;&gt;"Y",INDEX(GL!$F:$F,I1469)&lt;&gt;"Y"),"BROKEN: Status not Y","OK")))))</f>
        <v/>
      </c>
    </row>
    <row r="1470" customFormat="false" ht="15" hidden="false" customHeight="false" outlineLevel="0" collapsed="false">
      <c r="A1470" s="41"/>
      <c r="B1470" s="5" t="n">
        <f aca="false">IF(A1470="",0,IFERROR(MATCH(A1470,Bank!$A:$A,0),0))</f>
        <v>0</v>
      </c>
      <c r="C1470" s="5" t="str">
        <f aca="false">IF(B1470=0,"",IF(INDEX(Bank!$G:$G,B1470)="","",INDEX(Bank!$G:$G,B1470)))</f>
        <v/>
      </c>
      <c r="D1470" s="5" t="str">
        <f aca="false">IF(B1470=0,"",IF(INDEX(Bank!$J:$J,B1470)="","",INDEX(Bank!$J:$J,B1470)))</f>
        <v/>
      </c>
      <c r="E1470" s="32" t="str">
        <f aca="false">IF(B1470=0,"",INDEX(Bank!$B:$B,B1470))</f>
        <v/>
      </c>
      <c r="F1470" s="5" t="str">
        <f aca="false">IF(B1470=0,"",IF(INDEX(Bank!$C:$C,B1470)="","",INDEX(Bank!$C:$C,B1470)))</f>
        <v/>
      </c>
      <c r="G1470" s="19" t="str">
        <f aca="false">IF(B1470=0,"",INDEX(Bank!$E:$E,B1470))</f>
        <v/>
      </c>
      <c r="H1470" s="5" t="str">
        <f aca="false">IF(B1470=0,"",IF(INDEX(Bank!$H:$H,B1470)="","",INDEX(Bank!$H:$H,B1470)))</f>
        <v/>
      </c>
      <c r="I1470" s="5" t="n">
        <f aca="false">IF(H1470="",0,IFERROR(MATCH(H1470,GL!$A:$A,0),0))</f>
        <v>0</v>
      </c>
      <c r="J1470" s="32" t="str">
        <f aca="false">IF(I1470=0,"",INDEX(GL!$B:$B,I1470))</f>
        <v/>
      </c>
      <c r="K1470" s="5" t="str">
        <f aca="false">IF(I1470=0,"",IF(INDEX(GL!$C:$C,I1470)="","",INDEX(GL!$C:$C,I1470)))</f>
        <v/>
      </c>
      <c r="L1470" s="19" t="str">
        <f aca="false">IF(I1470=0,"",INDEX(GL!$E:$E,I1470))</f>
        <v/>
      </c>
      <c r="M1470" s="19" t="str">
        <f aca="false">IF(OR(B1470=0,I1470=0),"",ROUND(G1470-L1470,2))</f>
        <v/>
      </c>
      <c r="N1470" s="5" t="str">
        <f aca="false">IF(A1470="","",IF(B1470=0,"NOT FOUND: bank ID",IF(I1470=0,"NOT FOUND: GL ID",IF(INDEX(GL!$H:$H,I1470)&lt;&gt;A1470,"BROKEN: GL points elsewhere",IF(OR(INDEX(Bank!$F:$F,B1470)&lt;&gt;"Y",INDEX(GL!$F:$F,I1470)&lt;&gt;"Y"),"BROKEN: Status not Y","OK")))))</f>
        <v/>
      </c>
    </row>
    <row r="1471" customFormat="false" ht="15" hidden="false" customHeight="false" outlineLevel="0" collapsed="false">
      <c r="A1471" s="41"/>
      <c r="B1471" s="5" t="n">
        <f aca="false">IF(A1471="",0,IFERROR(MATCH(A1471,Bank!$A:$A,0),0))</f>
        <v>0</v>
      </c>
      <c r="C1471" s="5" t="str">
        <f aca="false">IF(B1471=0,"",IF(INDEX(Bank!$G:$G,B1471)="","",INDEX(Bank!$G:$G,B1471)))</f>
        <v/>
      </c>
      <c r="D1471" s="5" t="str">
        <f aca="false">IF(B1471=0,"",IF(INDEX(Bank!$J:$J,B1471)="","",INDEX(Bank!$J:$J,B1471)))</f>
        <v/>
      </c>
      <c r="E1471" s="32" t="str">
        <f aca="false">IF(B1471=0,"",INDEX(Bank!$B:$B,B1471))</f>
        <v/>
      </c>
      <c r="F1471" s="5" t="str">
        <f aca="false">IF(B1471=0,"",IF(INDEX(Bank!$C:$C,B1471)="","",INDEX(Bank!$C:$C,B1471)))</f>
        <v/>
      </c>
      <c r="G1471" s="19" t="str">
        <f aca="false">IF(B1471=0,"",INDEX(Bank!$E:$E,B1471))</f>
        <v/>
      </c>
      <c r="H1471" s="5" t="str">
        <f aca="false">IF(B1471=0,"",IF(INDEX(Bank!$H:$H,B1471)="","",INDEX(Bank!$H:$H,B1471)))</f>
        <v/>
      </c>
      <c r="I1471" s="5" t="n">
        <f aca="false">IF(H1471="",0,IFERROR(MATCH(H1471,GL!$A:$A,0),0))</f>
        <v>0</v>
      </c>
      <c r="J1471" s="32" t="str">
        <f aca="false">IF(I1471=0,"",INDEX(GL!$B:$B,I1471))</f>
        <v/>
      </c>
      <c r="K1471" s="5" t="str">
        <f aca="false">IF(I1471=0,"",IF(INDEX(GL!$C:$C,I1471)="","",INDEX(GL!$C:$C,I1471)))</f>
        <v/>
      </c>
      <c r="L1471" s="19" t="str">
        <f aca="false">IF(I1471=0,"",INDEX(GL!$E:$E,I1471))</f>
        <v/>
      </c>
      <c r="M1471" s="19" t="str">
        <f aca="false">IF(OR(B1471=0,I1471=0),"",ROUND(G1471-L1471,2))</f>
        <v/>
      </c>
      <c r="N1471" s="5" t="str">
        <f aca="false">IF(A1471="","",IF(B1471=0,"NOT FOUND: bank ID",IF(I1471=0,"NOT FOUND: GL ID",IF(INDEX(GL!$H:$H,I1471)&lt;&gt;A1471,"BROKEN: GL points elsewhere",IF(OR(INDEX(Bank!$F:$F,B1471)&lt;&gt;"Y",INDEX(GL!$F:$F,I1471)&lt;&gt;"Y"),"BROKEN: Status not Y","OK")))))</f>
        <v/>
      </c>
    </row>
    <row r="1472" customFormat="false" ht="15" hidden="false" customHeight="false" outlineLevel="0" collapsed="false">
      <c r="A1472" s="41"/>
      <c r="B1472" s="5" t="n">
        <f aca="false">IF(A1472="",0,IFERROR(MATCH(A1472,Bank!$A:$A,0),0))</f>
        <v>0</v>
      </c>
      <c r="C1472" s="5" t="str">
        <f aca="false">IF(B1472=0,"",IF(INDEX(Bank!$G:$G,B1472)="","",INDEX(Bank!$G:$G,B1472)))</f>
        <v/>
      </c>
      <c r="D1472" s="5" t="str">
        <f aca="false">IF(B1472=0,"",IF(INDEX(Bank!$J:$J,B1472)="","",INDEX(Bank!$J:$J,B1472)))</f>
        <v/>
      </c>
      <c r="E1472" s="32" t="str">
        <f aca="false">IF(B1472=0,"",INDEX(Bank!$B:$B,B1472))</f>
        <v/>
      </c>
      <c r="F1472" s="5" t="str">
        <f aca="false">IF(B1472=0,"",IF(INDEX(Bank!$C:$C,B1472)="","",INDEX(Bank!$C:$C,B1472)))</f>
        <v/>
      </c>
      <c r="G1472" s="19" t="str">
        <f aca="false">IF(B1472=0,"",INDEX(Bank!$E:$E,B1472))</f>
        <v/>
      </c>
      <c r="H1472" s="5" t="str">
        <f aca="false">IF(B1472=0,"",IF(INDEX(Bank!$H:$H,B1472)="","",INDEX(Bank!$H:$H,B1472)))</f>
        <v/>
      </c>
      <c r="I1472" s="5" t="n">
        <f aca="false">IF(H1472="",0,IFERROR(MATCH(H1472,GL!$A:$A,0),0))</f>
        <v>0</v>
      </c>
      <c r="J1472" s="32" t="str">
        <f aca="false">IF(I1472=0,"",INDEX(GL!$B:$B,I1472))</f>
        <v/>
      </c>
      <c r="K1472" s="5" t="str">
        <f aca="false">IF(I1472=0,"",IF(INDEX(GL!$C:$C,I1472)="","",INDEX(GL!$C:$C,I1472)))</f>
        <v/>
      </c>
      <c r="L1472" s="19" t="str">
        <f aca="false">IF(I1472=0,"",INDEX(GL!$E:$E,I1472))</f>
        <v/>
      </c>
      <c r="M1472" s="19" t="str">
        <f aca="false">IF(OR(B1472=0,I1472=0),"",ROUND(G1472-L1472,2))</f>
        <v/>
      </c>
      <c r="N1472" s="5" t="str">
        <f aca="false">IF(A1472="","",IF(B1472=0,"NOT FOUND: bank ID",IF(I1472=0,"NOT FOUND: GL ID",IF(INDEX(GL!$H:$H,I1472)&lt;&gt;A1472,"BROKEN: GL points elsewhere",IF(OR(INDEX(Bank!$F:$F,B1472)&lt;&gt;"Y",INDEX(GL!$F:$F,I1472)&lt;&gt;"Y"),"BROKEN: Status not Y","OK")))))</f>
        <v/>
      </c>
    </row>
    <row r="1473" customFormat="false" ht="15" hidden="false" customHeight="false" outlineLevel="0" collapsed="false">
      <c r="A1473" s="41"/>
      <c r="B1473" s="5" t="n">
        <f aca="false">IF(A1473="",0,IFERROR(MATCH(A1473,Bank!$A:$A,0),0))</f>
        <v>0</v>
      </c>
      <c r="C1473" s="5" t="str">
        <f aca="false">IF(B1473=0,"",IF(INDEX(Bank!$G:$G,B1473)="","",INDEX(Bank!$G:$G,B1473)))</f>
        <v/>
      </c>
      <c r="D1473" s="5" t="str">
        <f aca="false">IF(B1473=0,"",IF(INDEX(Bank!$J:$J,B1473)="","",INDEX(Bank!$J:$J,B1473)))</f>
        <v/>
      </c>
      <c r="E1473" s="32" t="str">
        <f aca="false">IF(B1473=0,"",INDEX(Bank!$B:$B,B1473))</f>
        <v/>
      </c>
      <c r="F1473" s="5" t="str">
        <f aca="false">IF(B1473=0,"",IF(INDEX(Bank!$C:$C,B1473)="","",INDEX(Bank!$C:$C,B1473)))</f>
        <v/>
      </c>
      <c r="G1473" s="19" t="str">
        <f aca="false">IF(B1473=0,"",INDEX(Bank!$E:$E,B1473))</f>
        <v/>
      </c>
      <c r="H1473" s="5" t="str">
        <f aca="false">IF(B1473=0,"",IF(INDEX(Bank!$H:$H,B1473)="","",INDEX(Bank!$H:$H,B1473)))</f>
        <v/>
      </c>
      <c r="I1473" s="5" t="n">
        <f aca="false">IF(H1473="",0,IFERROR(MATCH(H1473,GL!$A:$A,0),0))</f>
        <v>0</v>
      </c>
      <c r="J1473" s="32" t="str">
        <f aca="false">IF(I1473=0,"",INDEX(GL!$B:$B,I1473))</f>
        <v/>
      </c>
      <c r="K1473" s="5" t="str">
        <f aca="false">IF(I1473=0,"",IF(INDEX(GL!$C:$C,I1473)="","",INDEX(GL!$C:$C,I1473)))</f>
        <v/>
      </c>
      <c r="L1473" s="19" t="str">
        <f aca="false">IF(I1473=0,"",INDEX(GL!$E:$E,I1473))</f>
        <v/>
      </c>
      <c r="M1473" s="19" t="str">
        <f aca="false">IF(OR(B1473=0,I1473=0),"",ROUND(G1473-L1473,2))</f>
        <v/>
      </c>
      <c r="N1473" s="5" t="str">
        <f aca="false">IF(A1473="","",IF(B1473=0,"NOT FOUND: bank ID",IF(I1473=0,"NOT FOUND: GL ID",IF(INDEX(GL!$H:$H,I1473)&lt;&gt;A1473,"BROKEN: GL points elsewhere",IF(OR(INDEX(Bank!$F:$F,B1473)&lt;&gt;"Y",INDEX(GL!$F:$F,I1473)&lt;&gt;"Y"),"BROKEN: Status not Y","OK")))))</f>
        <v/>
      </c>
    </row>
    <row r="1474" customFormat="false" ht="15" hidden="false" customHeight="false" outlineLevel="0" collapsed="false">
      <c r="A1474" s="41"/>
      <c r="B1474" s="5" t="n">
        <f aca="false">IF(A1474="",0,IFERROR(MATCH(A1474,Bank!$A:$A,0),0))</f>
        <v>0</v>
      </c>
      <c r="C1474" s="5" t="str">
        <f aca="false">IF(B1474=0,"",IF(INDEX(Bank!$G:$G,B1474)="","",INDEX(Bank!$G:$G,B1474)))</f>
        <v/>
      </c>
      <c r="D1474" s="5" t="str">
        <f aca="false">IF(B1474=0,"",IF(INDEX(Bank!$J:$J,B1474)="","",INDEX(Bank!$J:$J,B1474)))</f>
        <v/>
      </c>
      <c r="E1474" s="32" t="str">
        <f aca="false">IF(B1474=0,"",INDEX(Bank!$B:$B,B1474))</f>
        <v/>
      </c>
      <c r="F1474" s="5" t="str">
        <f aca="false">IF(B1474=0,"",IF(INDEX(Bank!$C:$C,B1474)="","",INDEX(Bank!$C:$C,B1474)))</f>
        <v/>
      </c>
      <c r="G1474" s="19" t="str">
        <f aca="false">IF(B1474=0,"",INDEX(Bank!$E:$E,B1474))</f>
        <v/>
      </c>
      <c r="H1474" s="5" t="str">
        <f aca="false">IF(B1474=0,"",IF(INDEX(Bank!$H:$H,B1474)="","",INDEX(Bank!$H:$H,B1474)))</f>
        <v/>
      </c>
      <c r="I1474" s="5" t="n">
        <f aca="false">IF(H1474="",0,IFERROR(MATCH(H1474,GL!$A:$A,0),0))</f>
        <v>0</v>
      </c>
      <c r="J1474" s="32" t="str">
        <f aca="false">IF(I1474=0,"",INDEX(GL!$B:$B,I1474))</f>
        <v/>
      </c>
      <c r="K1474" s="5" t="str">
        <f aca="false">IF(I1474=0,"",IF(INDEX(GL!$C:$C,I1474)="","",INDEX(GL!$C:$C,I1474)))</f>
        <v/>
      </c>
      <c r="L1474" s="19" t="str">
        <f aca="false">IF(I1474=0,"",INDEX(GL!$E:$E,I1474))</f>
        <v/>
      </c>
      <c r="M1474" s="19" t="str">
        <f aca="false">IF(OR(B1474=0,I1474=0),"",ROUND(G1474-L1474,2))</f>
        <v/>
      </c>
      <c r="N1474" s="5" t="str">
        <f aca="false">IF(A1474="","",IF(B1474=0,"NOT FOUND: bank ID",IF(I1474=0,"NOT FOUND: GL ID",IF(INDEX(GL!$H:$H,I1474)&lt;&gt;A1474,"BROKEN: GL points elsewhere",IF(OR(INDEX(Bank!$F:$F,B1474)&lt;&gt;"Y",INDEX(GL!$F:$F,I1474)&lt;&gt;"Y"),"BROKEN: Status not Y","OK")))))</f>
        <v/>
      </c>
    </row>
    <row r="1475" customFormat="false" ht="15" hidden="false" customHeight="false" outlineLevel="0" collapsed="false">
      <c r="A1475" s="41"/>
      <c r="B1475" s="5" t="n">
        <f aca="false">IF(A1475="",0,IFERROR(MATCH(A1475,Bank!$A:$A,0),0))</f>
        <v>0</v>
      </c>
      <c r="C1475" s="5" t="str">
        <f aca="false">IF(B1475=0,"",IF(INDEX(Bank!$G:$G,B1475)="","",INDEX(Bank!$G:$G,B1475)))</f>
        <v/>
      </c>
      <c r="D1475" s="5" t="str">
        <f aca="false">IF(B1475=0,"",IF(INDEX(Bank!$J:$J,B1475)="","",INDEX(Bank!$J:$J,B1475)))</f>
        <v/>
      </c>
      <c r="E1475" s="32" t="str">
        <f aca="false">IF(B1475=0,"",INDEX(Bank!$B:$B,B1475))</f>
        <v/>
      </c>
      <c r="F1475" s="5" t="str">
        <f aca="false">IF(B1475=0,"",IF(INDEX(Bank!$C:$C,B1475)="","",INDEX(Bank!$C:$C,B1475)))</f>
        <v/>
      </c>
      <c r="G1475" s="19" t="str">
        <f aca="false">IF(B1475=0,"",INDEX(Bank!$E:$E,B1475))</f>
        <v/>
      </c>
      <c r="H1475" s="5" t="str">
        <f aca="false">IF(B1475=0,"",IF(INDEX(Bank!$H:$H,B1475)="","",INDEX(Bank!$H:$H,B1475)))</f>
        <v/>
      </c>
      <c r="I1475" s="5" t="n">
        <f aca="false">IF(H1475="",0,IFERROR(MATCH(H1475,GL!$A:$A,0),0))</f>
        <v>0</v>
      </c>
      <c r="J1475" s="32" t="str">
        <f aca="false">IF(I1475=0,"",INDEX(GL!$B:$B,I1475))</f>
        <v/>
      </c>
      <c r="K1475" s="5" t="str">
        <f aca="false">IF(I1475=0,"",IF(INDEX(GL!$C:$C,I1475)="","",INDEX(GL!$C:$C,I1475)))</f>
        <v/>
      </c>
      <c r="L1475" s="19" t="str">
        <f aca="false">IF(I1475=0,"",INDEX(GL!$E:$E,I1475))</f>
        <v/>
      </c>
      <c r="M1475" s="19" t="str">
        <f aca="false">IF(OR(B1475=0,I1475=0),"",ROUND(G1475-L1475,2))</f>
        <v/>
      </c>
      <c r="N1475" s="5" t="str">
        <f aca="false">IF(A1475="","",IF(B1475=0,"NOT FOUND: bank ID",IF(I1475=0,"NOT FOUND: GL ID",IF(INDEX(GL!$H:$H,I1475)&lt;&gt;A1475,"BROKEN: GL points elsewhere",IF(OR(INDEX(Bank!$F:$F,B1475)&lt;&gt;"Y",INDEX(GL!$F:$F,I1475)&lt;&gt;"Y"),"BROKEN: Status not Y","OK")))))</f>
        <v/>
      </c>
    </row>
    <row r="1476" customFormat="false" ht="15" hidden="false" customHeight="false" outlineLevel="0" collapsed="false">
      <c r="A1476" s="41"/>
      <c r="B1476" s="5" t="n">
        <f aca="false">IF(A1476="",0,IFERROR(MATCH(A1476,Bank!$A:$A,0),0))</f>
        <v>0</v>
      </c>
      <c r="C1476" s="5" t="str">
        <f aca="false">IF(B1476=0,"",IF(INDEX(Bank!$G:$G,B1476)="","",INDEX(Bank!$G:$G,B1476)))</f>
        <v/>
      </c>
      <c r="D1476" s="5" t="str">
        <f aca="false">IF(B1476=0,"",IF(INDEX(Bank!$J:$J,B1476)="","",INDEX(Bank!$J:$J,B1476)))</f>
        <v/>
      </c>
      <c r="E1476" s="32" t="str">
        <f aca="false">IF(B1476=0,"",INDEX(Bank!$B:$B,B1476))</f>
        <v/>
      </c>
      <c r="F1476" s="5" t="str">
        <f aca="false">IF(B1476=0,"",IF(INDEX(Bank!$C:$C,B1476)="","",INDEX(Bank!$C:$C,B1476)))</f>
        <v/>
      </c>
      <c r="G1476" s="19" t="str">
        <f aca="false">IF(B1476=0,"",INDEX(Bank!$E:$E,B1476))</f>
        <v/>
      </c>
      <c r="H1476" s="5" t="str">
        <f aca="false">IF(B1476=0,"",IF(INDEX(Bank!$H:$H,B1476)="","",INDEX(Bank!$H:$H,B1476)))</f>
        <v/>
      </c>
      <c r="I1476" s="5" t="n">
        <f aca="false">IF(H1476="",0,IFERROR(MATCH(H1476,GL!$A:$A,0),0))</f>
        <v>0</v>
      </c>
      <c r="J1476" s="32" t="str">
        <f aca="false">IF(I1476=0,"",INDEX(GL!$B:$B,I1476))</f>
        <v/>
      </c>
      <c r="K1476" s="5" t="str">
        <f aca="false">IF(I1476=0,"",IF(INDEX(GL!$C:$C,I1476)="","",INDEX(GL!$C:$C,I1476)))</f>
        <v/>
      </c>
      <c r="L1476" s="19" t="str">
        <f aca="false">IF(I1476=0,"",INDEX(GL!$E:$E,I1476))</f>
        <v/>
      </c>
      <c r="M1476" s="19" t="str">
        <f aca="false">IF(OR(B1476=0,I1476=0),"",ROUND(G1476-L1476,2))</f>
        <v/>
      </c>
      <c r="N1476" s="5" t="str">
        <f aca="false">IF(A1476="","",IF(B1476=0,"NOT FOUND: bank ID",IF(I1476=0,"NOT FOUND: GL ID",IF(INDEX(GL!$H:$H,I1476)&lt;&gt;A1476,"BROKEN: GL points elsewhere",IF(OR(INDEX(Bank!$F:$F,B1476)&lt;&gt;"Y",INDEX(GL!$F:$F,I1476)&lt;&gt;"Y"),"BROKEN: Status not Y","OK")))))</f>
        <v/>
      </c>
    </row>
    <row r="1477" customFormat="false" ht="15" hidden="false" customHeight="false" outlineLevel="0" collapsed="false">
      <c r="A1477" s="41"/>
      <c r="B1477" s="5" t="n">
        <f aca="false">IF(A1477="",0,IFERROR(MATCH(A1477,Bank!$A:$A,0),0))</f>
        <v>0</v>
      </c>
      <c r="C1477" s="5" t="str">
        <f aca="false">IF(B1477=0,"",IF(INDEX(Bank!$G:$G,B1477)="","",INDEX(Bank!$G:$G,B1477)))</f>
        <v/>
      </c>
      <c r="D1477" s="5" t="str">
        <f aca="false">IF(B1477=0,"",IF(INDEX(Bank!$J:$J,B1477)="","",INDEX(Bank!$J:$J,B1477)))</f>
        <v/>
      </c>
      <c r="E1477" s="32" t="str">
        <f aca="false">IF(B1477=0,"",INDEX(Bank!$B:$B,B1477))</f>
        <v/>
      </c>
      <c r="F1477" s="5" t="str">
        <f aca="false">IF(B1477=0,"",IF(INDEX(Bank!$C:$C,B1477)="","",INDEX(Bank!$C:$C,B1477)))</f>
        <v/>
      </c>
      <c r="G1477" s="19" t="str">
        <f aca="false">IF(B1477=0,"",INDEX(Bank!$E:$E,B1477))</f>
        <v/>
      </c>
      <c r="H1477" s="5" t="str">
        <f aca="false">IF(B1477=0,"",IF(INDEX(Bank!$H:$H,B1477)="","",INDEX(Bank!$H:$H,B1477)))</f>
        <v/>
      </c>
      <c r="I1477" s="5" t="n">
        <f aca="false">IF(H1477="",0,IFERROR(MATCH(H1477,GL!$A:$A,0),0))</f>
        <v>0</v>
      </c>
      <c r="J1477" s="32" t="str">
        <f aca="false">IF(I1477=0,"",INDEX(GL!$B:$B,I1477))</f>
        <v/>
      </c>
      <c r="K1477" s="5" t="str">
        <f aca="false">IF(I1477=0,"",IF(INDEX(GL!$C:$C,I1477)="","",INDEX(GL!$C:$C,I1477)))</f>
        <v/>
      </c>
      <c r="L1477" s="19" t="str">
        <f aca="false">IF(I1477=0,"",INDEX(GL!$E:$E,I1477))</f>
        <v/>
      </c>
      <c r="M1477" s="19" t="str">
        <f aca="false">IF(OR(B1477=0,I1477=0),"",ROUND(G1477-L1477,2))</f>
        <v/>
      </c>
      <c r="N1477" s="5" t="str">
        <f aca="false">IF(A1477="","",IF(B1477=0,"NOT FOUND: bank ID",IF(I1477=0,"NOT FOUND: GL ID",IF(INDEX(GL!$H:$H,I1477)&lt;&gt;A1477,"BROKEN: GL points elsewhere",IF(OR(INDEX(Bank!$F:$F,B1477)&lt;&gt;"Y",INDEX(GL!$F:$F,I1477)&lt;&gt;"Y"),"BROKEN: Status not Y","OK")))))</f>
        <v/>
      </c>
    </row>
    <row r="1478" customFormat="false" ht="15" hidden="false" customHeight="false" outlineLevel="0" collapsed="false">
      <c r="A1478" s="41"/>
      <c r="B1478" s="5" t="n">
        <f aca="false">IF(A1478="",0,IFERROR(MATCH(A1478,Bank!$A:$A,0),0))</f>
        <v>0</v>
      </c>
      <c r="C1478" s="5" t="str">
        <f aca="false">IF(B1478=0,"",IF(INDEX(Bank!$G:$G,B1478)="","",INDEX(Bank!$G:$G,B1478)))</f>
        <v/>
      </c>
      <c r="D1478" s="5" t="str">
        <f aca="false">IF(B1478=0,"",IF(INDEX(Bank!$J:$J,B1478)="","",INDEX(Bank!$J:$J,B1478)))</f>
        <v/>
      </c>
      <c r="E1478" s="32" t="str">
        <f aca="false">IF(B1478=0,"",INDEX(Bank!$B:$B,B1478))</f>
        <v/>
      </c>
      <c r="F1478" s="5" t="str">
        <f aca="false">IF(B1478=0,"",IF(INDEX(Bank!$C:$C,B1478)="","",INDEX(Bank!$C:$C,B1478)))</f>
        <v/>
      </c>
      <c r="G1478" s="19" t="str">
        <f aca="false">IF(B1478=0,"",INDEX(Bank!$E:$E,B1478))</f>
        <v/>
      </c>
      <c r="H1478" s="5" t="str">
        <f aca="false">IF(B1478=0,"",IF(INDEX(Bank!$H:$H,B1478)="","",INDEX(Bank!$H:$H,B1478)))</f>
        <v/>
      </c>
      <c r="I1478" s="5" t="n">
        <f aca="false">IF(H1478="",0,IFERROR(MATCH(H1478,GL!$A:$A,0),0))</f>
        <v>0</v>
      </c>
      <c r="J1478" s="32" t="str">
        <f aca="false">IF(I1478=0,"",INDEX(GL!$B:$B,I1478))</f>
        <v/>
      </c>
      <c r="K1478" s="5" t="str">
        <f aca="false">IF(I1478=0,"",IF(INDEX(GL!$C:$C,I1478)="","",INDEX(GL!$C:$C,I1478)))</f>
        <v/>
      </c>
      <c r="L1478" s="19" t="str">
        <f aca="false">IF(I1478=0,"",INDEX(GL!$E:$E,I1478))</f>
        <v/>
      </c>
      <c r="M1478" s="19" t="str">
        <f aca="false">IF(OR(B1478=0,I1478=0),"",ROUND(G1478-L1478,2))</f>
        <v/>
      </c>
      <c r="N1478" s="5" t="str">
        <f aca="false">IF(A1478="","",IF(B1478=0,"NOT FOUND: bank ID",IF(I1478=0,"NOT FOUND: GL ID",IF(INDEX(GL!$H:$H,I1478)&lt;&gt;A1478,"BROKEN: GL points elsewhere",IF(OR(INDEX(Bank!$F:$F,B1478)&lt;&gt;"Y",INDEX(GL!$F:$F,I1478)&lt;&gt;"Y"),"BROKEN: Status not Y","OK")))))</f>
        <v/>
      </c>
    </row>
    <row r="1479" customFormat="false" ht="15" hidden="false" customHeight="false" outlineLevel="0" collapsed="false">
      <c r="A1479" s="41"/>
      <c r="B1479" s="5" t="n">
        <f aca="false">IF(A1479="",0,IFERROR(MATCH(A1479,Bank!$A:$A,0),0))</f>
        <v>0</v>
      </c>
      <c r="C1479" s="5" t="str">
        <f aca="false">IF(B1479=0,"",IF(INDEX(Bank!$G:$G,B1479)="","",INDEX(Bank!$G:$G,B1479)))</f>
        <v/>
      </c>
      <c r="D1479" s="5" t="str">
        <f aca="false">IF(B1479=0,"",IF(INDEX(Bank!$J:$J,B1479)="","",INDEX(Bank!$J:$J,B1479)))</f>
        <v/>
      </c>
      <c r="E1479" s="32" t="str">
        <f aca="false">IF(B1479=0,"",INDEX(Bank!$B:$B,B1479))</f>
        <v/>
      </c>
      <c r="F1479" s="5" t="str">
        <f aca="false">IF(B1479=0,"",IF(INDEX(Bank!$C:$C,B1479)="","",INDEX(Bank!$C:$C,B1479)))</f>
        <v/>
      </c>
      <c r="G1479" s="19" t="str">
        <f aca="false">IF(B1479=0,"",INDEX(Bank!$E:$E,B1479))</f>
        <v/>
      </c>
      <c r="H1479" s="5" t="str">
        <f aca="false">IF(B1479=0,"",IF(INDEX(Bank!$H:$H,B1479)="","",INDEX(Bank!$H:$H,B1479)))</f>
        <v/>
      </c>
      <c r="I1479" s="5" t="n">
        <f aca="false">IF(H1479="",0,IFERROR(MATCH(H1479,GL!$A:$A,0),0))</f>
        <v>0</v>
      </c>
      <c r="J1479" s="32" t="str">
        <f aca="false">IF(I1479=0,"",INDEX(GL!$B:$B,I1479))</f>
        <v/>
      </c>
      <c r="K1479" s="5" t="str">
        <f aca="false">IF(I1479=0,"",IF(INDEX(GL!$C:$C,I1479)="","",INDEX(GL!$C:$C,I1479)))</f>
        <v/>
      </c>
      <c r="L1479" s="19" t="str">
        <f aca="false">IF(I1479=0,"",INDEX(GL!$E:$E,I1479))</f>
        <v/>
      </c>
      <c r="M1479" s="19" t="str">
        <f aca="false">IF(OR(B1479=0,I1479=0),"",ROUND(G1479-L1479,2))</f>
        <v/>
      </c>
      <c r="N1479" s="5" t="str">
        <f aca="false">IF(A1479="","",IF(B1479=0,"NOT FOUND: bank ID",IF(I1479=0,"NOT FOUND: GL ID",IF(INDEX(GL!$H:$H,I1479)&lt;&gt;A1479,"BROKEN: GL points elsewhere",IF(OR(INDEX(Bank!$F:$F,B1479)&lt;&gt;"Y",INDEX(GL!$F:$F,I1479)&lt;&gt;"Y"),"BROKEN: Status not Y","OK")))))</f>
        <v/>
      </c>
    </row>
    <row r="1480" customFormat="false" ht="15" hidden="false" customHeight="false" outlineLevel="0" collapsed="false">
      <c r="A1480" s="41"/>
      <c r="B1480" s="5" t="n">
        <f aca="false">IF(A1480="",0,IFERROR(MATCH(A1480,Bank!$A:$A,0),0))</f>
        <v>0</v>
      </c>
      <c r="C1480" s="5" t="str">
        <f aca="false">IF(B1480=0,"",IF(INDEX(Bank!$G:$G,B1480)="","",INDEX(Bank!$G:$G,B1480)))</f>
        <v/>
      </c>
      <c r="D1480" s="5" t="str">
        <f aca="false">IF(B1480=0,"",IF(INDEX(Bank!$J:$J,B1480)="","",INDEX(Bank!$J:$J,B1480)))</f>
        <v/>
      </c>
      <c r="E1480" s="32" t="str">
        <f aca="false">IF(B1480=0,"",INDEX(Bank!$B:$B,B1480))</f>
        <v/>
      </c>
      <c r="F1480" s="5" t="str">
        <f aca="false">IF(B1480=0,"",IF(INDEX(Bank!$C:$C,B1480)="","",INDEX(Bank!$C:$C,B1480)))</f>
        <v/>
      </c>
      <c r="G1480" s="19" t="str">
        <f aca="false">IF(B1480=0,"",INDEX(Bank!$E:$E,B1480))</f>
        <v/>
      </c>
      <c r="H1480" s="5" t="str">
        <f aca="false">IF(B1480=0,"",IF(INDEX(Bank!$H:$H,B1480)="","",INDEX(Bank!$H:$H,B1480)))</f>
        <v/>
      </c>
      <c r="I1480" s="5" t="n">
        <f aca="false">IF(H1480="",0,IFERROR(MATCH(H1480,GL!$A:$A,0),0))</f>
        <v>0</v>
      </c>
      <c r="J1480" s="32" t="str">
        <f aca="false">IF(I1480=0,"",INDEX(GL!$B:$B,I1480))</f>
        <v/>
      </c>
      <c r="K1480" s="5" t="str">
        <f aca="false">IF(I1480=0,"",IF(INDEX(GL!$C:$C,I1480)="","",INDEX(GL!$C:$C,I1480)))</f>
        <v/>
      </c>
      <c r="L1480" s="19" t="str">
        <f aca="false">IF(I1480=0,"",INDEX(GL!$E:$E,I1480))</f>
        <v/>
      </c>
      <c r="M1480" s="19" t="str">
        <f aca="false">IF(OR(B1480=0,I1480=0),"",ROUND(G1480-L1480,2))</f>
        <v/>
      </c>
      <c r="N1480" s="5" t="str">
        <f aca="false">IF(A1480="","",IF(B1480=0,"NOT FOUND: bank ID",IF(I1480=0,"NOT FOUND: GL ID",IF(INDEX(GL!$H:$H,I1480)&lt;&gt;A1480,"BROKEN: GL points elsewhere",IF(OR(INDEX(Bank!$F:$F,B1480)&lt;&gt;"Y",INDEX(GL!$F:$F,I1480)&lt;&gt;"Y"),"BROKEN: Status not Y","OK")))))</f>
        <v/>
      </c>
    </row>
    <row r="1481" customFormat="false" ht="15" hidden="false" customHeight="false" outlineLevel="0" collapsed="false">
      <c r="A1481" s="41"/>
      <c r="B1481" s="5" t="n">
        <f aca="false">IF(A1481="",0,IFERROR(MATCH(A1481,Bank!$A:$A,0),0))</f>
        <v>0</v>
      </c>
      <c r="C1481" s="5" t="str">
        <f aca="false">IF(B1481=0,"",IF(INDEX(Bank!$G:$G,B1481)="","",INDEX(Bank!$G:$G,B1481)))</f>
        <v/>
      </c>
      <c r="D1481" s="5" t="str">
        <f aca="false">IF(B1481=0,"",IF(INDEX(Bank!$J:$J,B1481)="","",INDEX(Bank!$J:$J,B1481)))</f>
        <v/>
      </c>
      <c r="E1481" s="32" t="str">
        <f aca="false">IF(B1481=0,"",INDEX(Bank!$B:$B,B1481))</f>
        <v/>
      </c>
      <c r="F1481" s="5" t="str">
        <f aca="false">IF(B1481=0,"",IF(INDEX(Bank!$C:$C,B1481)="","",INDEX(Bank!$C:$C,B1481)))</f>
        <v/>
      </c>
      <c r="G1481" s="19" t="str">
        <f aca="false">IF(B1481=0,"",INDEX(Bank!$E:$E,B1481))</f>
        <v/>
      </c>
      <c r="H1481" s="5" t="str">
        <f aca="false">IF(B1481=0,"",IF(INDEX(Bank!$H:$H,B1481)="","",INDEX(Bank!$H:$H,B1481)))</f>
        <v/>
      </c>
      <c r="I1481" s="5" t="n">
        <f aca="false">IF(H1481="",0,IFERROR(MATCH(H1481,GL!$A:$A,0),0))</f>
        <v>0</v>
      </c>
      <c r="J1481" s="32" t="str">
        <f aca="false">IF(I1481=0,"",INDEX(GL!$B:$B,I1481))</f>
        <v/>
      </c>
      <c r="K1481" s="5" t="str">
        <f aca="false">IF(I1481=0,"",IF(INDEX(GL!$C:$C,I1481)="","",INDEX(GL!$C:$C,I1481)))</f>
        <v/>
      </c>
      <c r="L1481" s="19" t="str">
        <f aca="false">IF(I1481=0,"",INDEX(GL!$E:$E,I1481))</f>
        <v/>
      </c>
      <c r="M1481" s="19" t="str">
        <f aca="false">IF(OR(B1481=0,I1481=0),"",ROUND(G1481-L1481,2))</f>
        <v/>
      </c>
      <c r="N1481" s="5" t="str">
        <f aca="false">IF(A1481="","",IF(B1481=0,"NOT FOUND: bank ID",IF(I1481=0,"NOT FOUND: GL ID",IF(INDEX(GL!$H:$H,I1481)&lt;&gt;A1481,"BROKEN: GL points elsewhere",IF(OR(INDEX(Bank!$F:$F,B1481)&lt;&gt;"Y",INDEX(GL!$F:$F,I1481)&lt;&gt;"Y"),"BROKEN: Status not Y","OK")))))</f>
        <v/>
      </c>
    </row>
    <row r="1482" customFormat="false" ht="15" hidden="false" customHeight="false" outlineLevel="0" collapsed="false">
      <c r="A1482" s="41"/>
      <c r="B1482" s="5" t="n">
        <f aca="false">IF(A1482="",0,IFERROR(MATCH(A1482,Bank!$A:$A,0),0))</f>
        <v>0</v>
      </c>
      <c r="C1482" s="5" t="str">
        <f aca="false">IF(B1482=0,"",IF(INDEX(Bank!$G:$G,B1482)="","",INDEX(Bank!$G:$G,B1482)))</f>
        <v/>
      </c>
      <c r="D1482" s="5" t="str">
        <f aca="false">IF(B1482=0,"",IF(INDEX(Bank!$J:$J,B1482)="","",INDEX(Bank!$J:$J,B1482)))</f>
        <v/>
      </c>
      <c r="E1482" s="32" t="str">
        <f aca="false">IF(B1482=0,"",INDEX(Bank!$B:$B,B1482))</f>
        <v/>
      </c>
      <c r="F1482" s="5" t="str">
        <f aca="false">IF(B1482=0,"",IF(INDEX(Bank!$C:$C,B1482)="","",INDEX(Bank!$C:$C,B1482)))</f>
        <v/>
      </c>
      <c r="G1482" s="19" t="str">
        <f aca="false">IF(B1482=0,"",INDEX(Bank!$E:$E,B1482))</f>
        <v/>
      </c>
      <c r="H1482" s="5" t="str">
        <f aca="false">IF(B1482=0,"",IF(INDEX(Bank!$H:$H,B1482)="","",INDEX(Bank!$H:$H,B1482)))</f>
        <v/>
      </c>
      <c r="I1482" s="5" t="n">
        <f aca="false">IF(H1482="",0,IFERROR(MATCH(H1482,GL!$A:$A,0),0))</f>
        <v>0</v>
      </c>
      <c r="J1482" s="32" t="str">
        <f aca="false">IF(I1482=0,"",INDEX(GL!$B:$B,I1482))</f>
        <v/>
      </c>
      <c r="K1482" s="5" t="str">
        <f aca="false">IF(I1482=0,"",IF(INDEX(GL!$C:$C,I1482)="","",INDEX(GL!$C:$C,I1482)))</f>
        <v/>
      </c>
      <c r="L1482" s="19" t="str">
        <f aca="false">IF(I1482=0,"",INDEX(GL!$E:$E,I1482))</f>
        <v/>
      </c>
      <c r="M1482" s="19" t="str">
        <f aca="false">IF(OR(B1482=0,I1482=0),"",ROUND(G1482-L1482,2))</f>
        <v/>
      </c>
      <c r="N1482" s="5" t="str">
        <f aca="false">IF(A1482="","",IF(B1482=0,"NOT FOUND: bank ID",IF(I1482=0,"NOT FOUND: GL ID",IF(INDEX(GL!$H:$H,I1482)&lt;&gt;A1482,"BROKEN: GL points elsewhere",IF(OR(INDEX(Bank!$F:$F,B1482)&lt;&gt;"Y",INDEX(GL!$F:$F,I1482)&lt;&gt;"Y"),"BROKEN: Status not Y","OK")))))</f>
        <v/>
      </c>
    </row>
    <row r="1483" customFormat="false" ht="15" hidden="false" customHeight="false" outlineLevel="0" collapsed="false">
      <c r="A1483" s="41"/>
      <c r="B1483" s="5" t="n">
        <f aca="false">IF(A1483="",0,IFERROR(MATCH(A1483,Bank!$A:$A,0),0))</f>
        <v>0</v>
      </c>
      <c r="C1483" s="5" t="str">
        <f aca="false">IF(B1483=0,"",IF(INDEX(Bank!$G:$G,B1483)="","",INDEX(Bank!$G:$G,B1483)))</f>
        <v/>
      </c>
      <c r="D1483" s="5" t="str">
        <f aca="false">IF(B1483=0,"",IF(INDEX(Bank!$J:$J,B1483)="","",INDEX(Bank!$J:$J,B1483)))</f>
        <v/>
      </c>
      <c r="E1483" s="32" t="str">
        <f aca="false">IF(B1483=0,"",INDEX(Bank!$B:$B,B1483))</f>
        <v/>
      </c>
      <c r="F1483" s="5" t="str">
        <f aca="false">IF(B1483=0,"",IF(INDEX(Bank!$C:$C,B1483)="","",INDEX(Bank!$C:$C,B1483)))</f>
        <v/>
      </c>
      <c r="G1483" s="19" t="str">
        <f aca="false">IF(B1483=0,"",INDEX(Bank!$E:$E,B1483))</f>
        <v/>
      </c>
      <c r="H1483" s="5" t="str">
        <f aca="false">IF(B1483=0,"",IF(INDEX(Bank!$H:$H,B1483)="","",INDEX(Bank!$H:$H,B1483)))</f>
        <v/>
      </c>
      <c r="I1483" s="5" t="n">
        <f aca="false">IF(H1483="",0,IFERROR(MATCH(H1483,GL!$A:$A,0),0))</f>
        <v>0</v>
      </c>
      <c r="J1483" s="32" t="str">
        <f aca="false">IF(I1483=0,"",INDEX(GL!$B:$B,I1483))</f>
        <v/>
      </c>
      <c r="K1483" s="5" t="str">
        <f aca="false">IF(I1483=0,"",IF(INDEX(GL!$C:$C,I1483)="","",INDEX(GL!$C:$C,I1483)))</f>
        <v/>
      </c>
      <c r="L1483" s="19" t="str">
        <f aca="false">IF(I1483=0,"",INDEX(GL!$E:$E,I1483))</f>
        <v/>
      </c>
      <c r="M1483" s="19" t="str">
        <f aca="false">IF(OR(B1483=0,I1483=0),"",ROUND(G1483-L1483,2))</f>
        <v/>
      </c>
      <c r="N1483" s="5" t="str">
        <f aca="false">IF(A1483="","",IF(B1483=0,"NOT FOUND: bank ID",IF(I1483=0,"NOT FOUND: GL ID",IF(INDEX(GL!$H:$H,I1483)&lt;&gt;A1483,"BROKEN: GL points elsewhere",IF(OR(INDEX(Bank!$F:$F,B1483)&lt;&gt;"Y",INDEX(GL!$F:$F,I1483)&lt;&gt;"Y"),"BROKEN: Status not Y","OK")))))</f>
        <v/>
      </c>
    </row>
    <row r="1484" customFormat="false" ht="15" hidden="false" customHeight="false" outlineLevel="0" collapsed="false">
      <c r="A1484" s="41"/>
      <c r="B1484" s="5" t="n">
        <f aca="false">IF(A1484="",0,IFERROR(MATCH(A1484,Bank!$A:$A,0),0))</f>
        <v>0</v>
      </c>
      <c r="C1484" s="5" t="str">
        <f aca="false">IF(B1484=0,"",IF(INDEX(Bank!$G:$G,B1484)="","",INDEX(Bank!$G:$G,B1484)))</f>
        <v/>
      </c>
      <c r="D1484" s="5" t="str">
        <f aca="false">IF(B1484=0,"",IF(INDEX(Bank!$J:$J,B1484)="","",INDEX(Bank!$J:$J,B1484)))</f>
        <v/>
      </c>
      <c r="E1484" s="32" t="str">
        <f aca="false">IF(B1484=0,"",INDEX(Bank!$B:$B,B1484))</f>
        <v/>
      </c>
      <c r="F1484" s="5" t="str">
        <f aca="false">IF(B1484=0,"",IF(INDEX(Bank!$C:$C,B1484)="","",INDEX(Bank!$C:$C,B1484)))</f>
        <v/>
      </c>
      <c r="G1484" s="19" t="str">
        <f aca="false">IF(B1484=0,"",INDEX(Bank!$E:$E,B1484))</f>
        <v/>
      </c>
      <c r="H1484" s="5" t="str">
        <f aca="false">IF(B1484=0,"",IF(INDEX(Bank!$H:$H,B1484)="","",INDEX(Bank!$H:$H,B1484)))</f>
        <v/>
      </c>
      <c r="I1484" s="5" t="n">
        <f aca="false">IF(H1484="",0,IFERROR(MATCH(H1484,GL!$A:$A,0),0))</f>
        <v>0</v>
      </c>
      <c r="J1484" s="32" t="str">
        <f aca="false">IF(I1484=0,"",INDEX(GL!$B:$B,I1484))</f>
        <v/>
      </c>
      <c r="K1484" s="5" t="str">
        <f aca="false">IF(I1484=0,"",IF(INDEX(GL!$C:$C,I1484)="","",INDEX(GL!$C:$C,I1484)))</f>
        <v/>
      </c>
      <c r="L1484" s="19" t="str">
        <f aca="false">IF(I1484=0,"",INDEX(GL!$E:$E,I1484))</f>
        <v/>
      </c>
      <c r="M1484" s="19" t="str">
        <f aca="false">IF(OR(B1484=0,I1484=0),"",ROUND(G1484-L1484,2))</f>
        <v/>
      </c>
      <c r="N1484" s="5" t="str">
        <f aca="false">IF(A1484="","",IF(B1484=0,"NOT FOUND: bank ID",IF(I1484=0,"NOT FOUND: GL ID",IF(INDEX(GL!$H:$H,I1484)&lt;&gt;A1484,"BROKEN: GL points elsewhere",IF(OR(INDEX(Bank!$F:$F,B1484)&lt;&gt;"Y",INDEX(GL!$F:$F,I1484)&lt;&gt;"Y"),"BROKEN: Status not Y","OK")))))</f>
        <v/>
      </c>
    </row>
    <row r="1485" customFormat="false" ht="15" hidden="false" customHeight="false" outlineLevel="0" collapsed="false">
      <c r="A1485" s="41"/>
      <c r="B1485" s="5" t="n">
        <f aca="false">IF(A1485="",0,IFERROR(MATCH(A1485,Bank!$A:$A,0),0))</f>
        <v>0</v>
      </c>
      <c r="C1485" s="5" t="str">
        <f aca="false">IF(B1485=0,"",IF(INDEX(Bank!$G:$G,B1485)="","",INDEX(Bank!$G:$G,B1485)))</f>
        <v/>
      </c>
      <c r="D1485" s="5" t="str">
        <f aca="false">IF(B1485=0,"",IF(INDEX(Bank!$J:$J,B1485)="","",INDEX(Bank!$J:$J,B1485)))</f>
        <v/>
      </c>
      <c r="E1485" s="32" t="str">
        <f aca="false">IF(B1485=0,"",INDEX(Bank!$B:$B,B1485))</f>
        <v/>
      </c>
      <c r="F1485" s="5" t="str">
        <f aca="false">IF(B1485=0,"",IF(INDEX(Bank!$C:$C,B1485)="","",INDEX(Bank!$C:$C,B1485)))</f>
        <v/>
      </c>
      <c r="G1485" s="19" t="str">
        <f aca="false">IF(B1485=0,"",INDEX(Bank!$E:$E,B1485))</f>
        <v/>
      </c>
      <c r="H1485" s="5" t="str">
        <f aca="false">IF(B1485=0,"",IF(INDEX(Bank!$H:$H,B1485)="","",INDEX(Bank!$H:$H,B1485)))</f>
        <v/>
      </c>
      <c r="I1485" s="5" t="n">
        <f aca="false">IF(H1485="",0,IFERROR(MATCH(H1485,GL!$A:$A,0),0))</f>
        <v>0</v>
      </c>
      <c r="J1485" s="32" t="str">
        <f aca="false">IF(I1485=0,"",INDEX(GL!$B:$B,I1485))</f>
        <v/>
      </c>
      <c r="K1485" s="5" t="str">
        <f aca="false">IF(I1485=0,"",IF(INDEX(GL!$C:$C,I1485)="","",INDEX(GL!$C:$C,I1485)))</f>
        <v/>
      </c>
      <c r="L1485" s="19" t="str">
        <f aca="false">IF(I1485=0,"",INDEX(GL!$E:$E,I1485))</f>
        <v/>
      </c>
      <c r="M1485" s="19" t="str">
        <f aca="false">IF(OR(B1485=0,I1485=0),"",ROUND(G1485-L1485,2))</f>
        <v/>
      </c>
      <c r="N1485" s="5" t="str">
        <f aca="false">IF(A1485="","",IF(B1485=0,"NOT FOUND: bank ID",IF(I1485=0,"NOT FOUND: GL ID",IF(INDEX(GL!$H:$H,I1485)&lt;&gt;A1485,"BROKEN: GL points elsewhere",IF(OR(INDEX(Bank!$F:$F,B1485)&lt;&gt;"Y",INDEX(GL!$F:$F,I1485)&lt;&gt;"Y"),"BROKEN: Status not Y","OK")))))</f>
        <v/>
      </c>
    </row>
    <row r="1486" customFormat="false" ht="15" hidden="false" customHeight="false" outlineLevel="0" collapsed="false">
      <c r="A1486" s="41"/>
      <c r="B1486" s="5" t="n">
        <f aca="false">IF(A1486="",0,IFERROR(MATCH(A1486,Bank!$A:$A,0),0))</f>
        <v>0</v>
      </c>
      <c r="C1486" s="5" t="str">
        <f aca="false">IF(B1486=0,"",IF(INDEX(Bank!$G:$G,B1486)="","",INDEX(Bank!$G:$G,B1486)))</f>
        <v/>
      </c>
      <c r="D1486" s="5" t="str">
        <f aca="false">IF(B1486=0,"",IF(INDEX(Bank!$J:$J,B1486)="","",INDEX(Bank!$J:$J,B1486)))</f>
        <v/>
      </c>
      <c r="E1486" s="32" t="str">
        <f aca="false">IF(B1486=0,"",INDEX(Bank!$B:$B,B1486))</f>
        <v/>
      </c>
      <c r="F1486" s="5" t="str">
        <f aca="false">IF(B1486=0,"",IF(INDEX(Bank!$C:$C,B1486)="","",INDEX(Bank!$C:$C,B1486)))</f>
        <v/>
      </c>
      <c r="G1486" s="19" t="str">
        <f aca="false">IF(B1486=0,"",INDEX(Bank!$E:$E,B1486))</f>
        <v/>
      </c>
      <c r="H1486" s="5" t="str">
        <f aca="false">IF(B1486=0,"",IF(INDEX(Bank!$H:$H,B1486)="","",INDEX(Bank!$H:$H,B1486)))</f>
        <v/>
      </c>
      <c r="I1486" s="5" t="n">
        <f aca="false">IF(H1486="",0,IFERROR(MATCH(H1486,GL!$A:$A,0),0))</f>
        <v>0</v>
      </c>
      <c r="J1486" s="32" t="str">
        <f aca="false">IF(I1486=0,"",INDEX(GL!$B:$B,I1486))</f>
        <v/>
      </c>
      <c r="K1486" s="5" t="str">
        <f aca="false">IF(I1486=0,"",IF(INDEX(GL!$C:$C,I1486)="","",INDEX(GL!$C:$C,I1486)))</f>
        <v/>
      </c>
      <c r="L1486" s="19" t="str">
        <f aca="false">IF(I1486=0,"",INDEX(GL!$E:$E,I1486))</f>
        <v/>
      </c>
      <c r="M1486" s="19" t="str">
        <f aca="false">IF(OR(B1486=0,I1486=0),"",ROUND(G1486-L1486,2))</f>
        <v/>
      </c>
      <c r="N1486" s="5" t="str">
        <f aca="false">IF(A1486="","",IF(B1486=0,"NOT FOUND: bank ID",IF(I1486=0,"NOT FOUND: GL ID",IF(INDEX(GL!$H:$H,I1486)&lt;&gt;A1486,"BROKEN: GL points elsewhere",IF(OR(INDEX(Bank!$F:$F,B1486)&lt;&gt;"Y",INDEX(GL!$F:$F,I1486)&lt;&gt;"Y"),"BROKEN: Status not Y","OK")))))</f>
        <v/>
      </c>
    </row>
    <row r="1487" customFormat="false" ht="15" hidden="false" customHeight="false" outlineLevel="0" collapsed="false">
      <c r="A1487" s="41"/>
      <c r="B1487" s="5" t="n">
        <f aca="false">IF(A1487="",0,IFERROR(MATCH(A1487,Bank!$A:$A,0),0))</f>
        <v>0</v>
      </c>
      <c r="C1487" s="5" t="str">
        <f aca="false">IF(B1487=0,"",IF(INDEX(Bank!$G:$G,B1487)="","",INDEX(Bank!$G:$G,B1487)))</f>
        <v/>
      </c>
      <c r="D1487" s="5" t="str">
        <f aca="false">IF(B1487=0,"",IF(INDEX(Bank!$J:$J,B1487)="","",INDEX(Bank!$J:$J,B1487)))</f>
        <v/>
      </c>
      <c r="E1487" s="32" t="str">
        <f aca="false">IF(B1487=0,"",INDEX(Bank!$B:$B,B1487))</f>
        <v/>
      </c>
      <c r="F1487" s="5" t="str">
        <f aca="false">IF(B1487=0,"",IF(INDEX(Bank!$C:$C,B1487)="","",INDEX(Bank!$C:$C,B1487)))</f>
        <v/>
      </c>
      <c r="G1487" s="19" t="str">
        <f aca="false">IF(B1487=0,"",INDEX(Bank!$E:$E,B1487))</f>
        <v/>
      </c>
      <c r="H1487" s="5" t="str">
        <f aca="false">IF(B1487=0,"",IF(INDEX(Bank!$H:$H,B1487)="","",INDEX(Bank!$H:$H,B1487)))</f>
        <v/>
      </c>
      <c r="I1487" s="5" t="n">
        <f aca="false">IF(H1487="",0,IFERROR(MATCH(H1487,GL!$A:$A,0),0))</f>
        <v>0</v>
      </c>
      <c r="J1487" s="32" t="str">
        <f aca="false">IF(I1487=0,"",INDEX(GL!$B:$B,I1487))</f>
        <v/>
      </c>
      <c r="K1487" s="5" t="str">
        <f aca="false">IF(I1487=0,"",IF(INDEX(GL!$C:$C,I1487)="","",INDEX(GL!$C:$C,I1487)))</f>
        <v/>
      </c>
      <c r="L1487" s="19" t="str">
        <f aca="false">IF(I1487=0,"",INDEX(GL!$E:$E,I1487))</f>
        <v/>
      </c>
      <c r="M1487" s="19" t="str">
        <f aca="false">IF(OR(B1487=0,I1487=0),"",ROUND(G1487-L1487,2))</f>
        <v/>
      </c>
      <c r="N1487" s="5" t="str">
        <f aca="false">IF(A1487="","",IF(B1487=0,"NOT FOUND: bank ID",IF(I1487=0,"NOT FOUND: GL ID",IF(INDEX(GL!$H:$H,I1487)&lt;&gt;A1487,"BROKEN: GL points elsewhere",IF(OR(INDEX(Bank!$F:$F,B1487)&lt;&gt;"Y",INDEX(GL!$F:$F,I1487)&lt;&gt;"Y"),"BROKEN: Status not Y","OK")))))</f>
        <v/>
      </c>
    </row>
    <row r="1488" customFormat="false" ht="15" hidden="false" customHeight="false" outlineLevel="0" collapsed="false">
      <c r="A1488" s="41"/>
      <c r="B1488" s="5" t="n">
        <f aca="false">IF(A1488="",0,IFERROR(MATCH(A1488,Bank!$A:$A,0),0))</f>
        <v>0</v>
      </c>
      <c r="C1488" s="5" t="str">
        <f aca="false">IF(B1488=0,"",IF(INDEX(Bank!$G:$G,B1488)="","",INDEX(Bank!$G:$G,B1488)))</f>
        <v/>
      </c>
      <c r="D1488" s="5" t="str">
        <f aca="false">IF(B1488=0,"",IF(INDEX(Bank!$J:$J,B1488)="","",INDEX(Bank!$J:$J,B1488)))</f>
        <v/>
      </c>
      <c r="E1488" s="32" t="str">
        <f aca="false">IF(B1488=0,"",INDEX(Bank!$B:$B,B1488))</f>
        <v/>
      </c>
      <c r="F1488" s="5" t="str">
        <f aca="false">IF(B1488=0,"",IF(INDEX(Bank!$C:$C,B1488)="","",INDEX(Bank!$C:$C,B1488)))</f>
        <v/>
      </c>
      <c r="G1488" s="19" t="str">
        <f aca="false">IF(B1488=0,"",INDEX(Bank!$E:$E,B1488))</f>
        <v/>
      </c>
      <c r="H1488" s="5" t="str">
        <f aca="false">IF(B1488=0,"",IF(INDEX(Bank!$H:$H,B1488)="","",INDEX(Bank!$H:$H,B1488)))</f>
        <v/>
      </c>
      <c r="I1488" s="5" t="n">
        <f aca="false">IF(H1488="",0,IFERROR(MATCH(H1488,GL!$A:$A,0),0))</f>
        <v>0</v>
      </c>
      <c r="J1488" s="32" t="str">
        <f aca="false">IF(I1488=0,"",INDEX(GL!$B:$B,I1488))</f>
        <v/>
      </c>
      <c r="K1488" s="5" t="str">
        <f aca="false">IF(I1488=0,"",IF(INDEX(GL!$C:$C,I1488)="","",INDEX(GL!$C:$C,I1488)))</f>
        <v/>
      </c>
      <c r="L1488" s="19" t="str">
        <f aca="false">IF(I1488=0,"",INDEX(GL!$E:$E,I1488))</f>
        <v/>
      </c>
      <c r="M1488" s="19" t="str">
        <f aca="false">IF(OR(B1488=0,I1488=0),"",ROUND(G1488-L1488,2))</f>
        <v/>
      </c>
      <c r="N1488" s="5" t="str">
        <f aca="false">IF(A1488="","",IF(B1488=0,"NOT FOUND: bank ID",IF(I1488=0,"NOT FOUND: GL ID",IF(INDEX(GL!$H:$H,I1488)&lt;&gt;A1488,"BROKEN: GL points elsewhere",IF(OR(INDEX(Bank!$F:$F,B1488)&lt;&gt;"Y",INDEX(GL!$F:$F,I1488)&lt;&gt;"Y"),"BROKEN: Status not Y","OK")))))</f>
        <v/>
      </c>
    </row>
    <row r="1489" customFormat="false" ht="15" hidden="false" customHeight="false" outlineLevel="0" collapsed="false">
      <c r="A1489" s="41"/>
      <c r="B1489" s="5" t="n">
        <f aca="false">IF(A1489="",0,IFERROR(MATCH(A1489,Bank!$A:$A,0),0))</f>
        <v>0</v>
      </c>
      <c r="C1489" s="5" t="str">
        <f aca="false">IF(B1489=0,"",IF(INDEX(Bank!$G:$G,B1489)="","",INDEX(Bank!$G:$G,B1489)))</f>
        <v/>
      </c>
      <c r="D1489" s="5" t="str">
        <f aca="false">IF(B1489=0,"",IF(INDEX(Bank!$J:$J,B1489)="","",INDEX(Bank!$J:$J,B1489)))</f>
        <v/>
      </c>
      <c r="E1489" s="32" t="str">
        <f aca="false">IF(B1489=0,"",INDEX(Bank!$B:$B,B1489))</f>
        <v/>
      </c>
      <c r="F1489" s="5" t="str">
        <f aca="false">IF(B1489=0,"",IF(INDEX(Bank!$C:$C,B1489)="","",INDEX(Bank!$C:$C,B1489)))</f>
        <v/>
      </c>
      <c r="G1489" s="19" t="str">
        <f aca="false">IF(B1489=0,"",INDEX(Bank!$E:$E,B1489))</f>
        <v/>
      </c>
      <c r="H1489" s="5" t="str">
        <f aca="false">IF(B1489=0,"",IF(INDEX(Bank!$H:$H,B1489)="","",INDEX(Bank!$H:$H,B1489)))</f>
        <v/>
      </c>
      <c r="I1489" s="5" t="n">
        <f aca="false">IF(H1489="",0,IFERROR(MATCH(H1489,GL!$A:$A,0),0))</f>
        <v>0</v>
      </c>
      <c r="J1489" s="32" t="str">
        <f aca="false">IF(I1489=0,"",INDEX(GL!$B:$B,I1489))</f>
        <v/>
      </c>
      <c r="K1489" s="5" t="str">
        <f aca="false">IF(I1489=0,"",IF(INDEX(GL!$C:$C,I1489)="","",INDEX(GL!$C:$C,I1489)))</f>
        <v/>
      </c>
      <c r="L1489" s="19" t="str">
        <f aca="false">IF(I1489=0,"",INDEX(GL!$E:$E,I1489))</f>
        <v/>
      </c>
      <c r="M1489" s="19" t="str">
        <f aca="false">IF(OR(B1489=0,I1489=0),"",ROUND(G1489-L1489,2))</f>
        <v/>
      </c>
      <c r="N1489" s="5" t="str">
        <f aca="false">IF(A1489="","",IF(B1489=0,"NOT FOUND: bank ID",IF(I1489=0,"NOT FOUND: GL ID",IF(INDEX(GL!$H:$H,I1489)&lt;&gt;A1489,"BROKEN: GL points elsewhere",IF(OR(INDEX(Bank!$F:$F,B1489)&lt;&gt;"Y",INDEX(GL!$F:$F,I1489)&lt;&gt;"Y"),"BROKEN: Status not Y","OK")))))</f>
        <v/>
      </c>
    </row>
    <row r="1490" customFormat="false" ht="15" hidden="false" customHeight="false" outlineLevel="0" collapsed="false">
      <c r="A1490" s="41"/>
      <c r="B1490" s="5" t="n">
        <f aca="false">IF(A1490="",0,IFERROR(MATCH(A1490,Bank!$A:$A,0),0))</f>
        <v>0</v>
      </c>
      <c r="C1490" s="5" t="str">
        <f aca="false">IF(B1490=0,"",IF(INDEX(Bank!$G:$G,B1490)="","",INDEX(Bank!$G:$G,B1490)))</f>
        <v/>
      </c>
      <c r="D1490" s="5" t="str">
        <f aca="false">IF(B1490=0,"",IF(INDEX(Bank!$J:$J,B1490)="","",INDEX(Bank!$J:$J,B1490)))</f>
        <v/>
      </c>
      <c r="E1490" s="32" t="str">
        <f aca="false">IF(B1490=0,"",INDEX(Bank!$B:$B,B1490))</f>
        <v/>
      </c>
      <c r="F1490" s="5" t="str">
        <f aca="false">IF(B1490=0,"",IF(INDEX(Bank!$C:$C,B1490)="","",INDEX(Bank!$C:$C,B1490)))</f>
        <v/>
      </c>
      <c r="G1490" s="19" t="str">
        <f aca="false">IF(B1490=0,"",INDEX(Bank!$E:$E,B1490))</f>
        <v/>
      </c>
      <c r="H1490" s="5" t="str">
        <f aca="false">IF(B1490=0,"",IF(INDEX(Bank!$H:$H,B1490)="","",INDEX(Bank!$H:$H,B1490)))</f>
        <v/>
      </c>
      <c r="I1490" s="5" t="n">
        <f aca="false">IF(H1490="",0,IFERROR(MATCH(H1490,GL!$A:$A,0),0))</f>
        <v>0</v>
      </c>
      <c r="J1490" s="32" t="str">
        <f aca="false">IF(I1490=0,"",INDEX(GL!$B:$B,I1490))</f>
        <v/>
      </c>
      <c r="K1490" s="5" t="str">
        <f aca="false">IF(I1490=0,"",IF(INDEX(GL!$C:$C,I1490)="","",INDEX(GL!$C:$C,I1490)))</f>
        <v/>
      </c>
      <c r="L1490" s="19" t="str">
        <f aca="false">IF(I1490=0,"",INDEX(GL!$E:$E,I1490))</f>
        <v/>
      </c>
      <c r="M1490" s="19" t="str">
        <f aca="false">IF(OR(B1490=0,I1490=0),"",ROUND(G1490-L1490,2))</f>
        <v/>
      </c>
      <c r="N1490" s="5" t="str">
        <f aca="false">IF(A1490="","",IF(B1490=0,"NOT FOUND: bank ID",IF(I1490=0,"NOT FOUND: GL ID",IF(INDEX(GL!$H:$H,I1490)&lt;&gt;A1490,"BROKEN: GL points elsewhere",IF(OR(INDEX(Bank!$F:$F,B1490)&lt;&gt;"Y",INDEX(GL!$F:$F,I1490)&lt;&gt;"Y"),"BROKEN: Status not Y","OK")))))</f>
        <v/>
      </c>
    </row>
    <row r="1491" customFormat="false" ht="15" hidden="false" customHeight="false" outlineLevel="0" collapsed="false">
      <c r="A1491" s="41"/>
      <c r="B1491" s="5" t="n">
        <f aca="false">IF(A1491="",0,IFERROR(MATCH(A1491,Bank!$A:$A,0),0))</f>
        <v>0</v>
      </c>
      <c r="C1491" s="5" t="str">
        <f aca="false">IF(B1491=0,"",IF(INDEX(Bank!$G:$G,B1491)="","",INDEX(Bank!$G:$G,B1491)))</f>
        <v/>
      </c>
      <c r="D1491" s="5" t="str">
        <f aca="false">IF(B1491=0,"",IF(INDEX(Bank!$J:$J,B1491)="","",INDEX(Bank!$J:$J,B1491)))</f>
        <v/>
      </c>
      <c r="E1491" s="32" t="str">
        <f aca="false">IF(B1491=0,"",INDEX(Bank!$B:$B,B1491))</f>
        <v/>
      </c>
      <c r="F1491" s="5" t="str">
        <f aca="false">IF(B1491=0,"",IF(INDEX(Bank!$C:$C,B1491)="","",INDEX(Bank!$C:$C,B1491)))</f>
        <v/>
      </c>
      <c r="G1491" s="19" t="str">
        <f aca="false">IF(B1491=0,"",INDEX(Bank!$E:$E,B1491))</f>
        <v/>
      </c>
      <c r="H1491" s="5" t="str">
        <f aca="false">IF(B1491=0,"",IF(INDEX(Bank!$H:$H,B1491)="","",INDEX(Bank!$H:$H,B1491)))</f>
        <v/>
      </c>
      <c r="I1491" s="5" t="n">
        <f aca="false">IF(H1491="",0,IFERROR(MATCH(H1491,GL!$A:$A,0),0))</f>
        <v>0</v>
      </c>
      <c r="J1491" s="32" t="str">
        <f aca="false">IF(I1491=0,"",INDEX(GL!$B:$B,I1491))</f>
        <v/>
      </c>
      <c r="K1491" s="5" t="str">
        <f aca="false">IF(I1491=0,"",IF(INDEX(GL!$C:$C,I1491)="","",INDEX(GL!$C:$C,I1491)))</f>
        <v/>
      </c>
      <c r="L1491" s="19" t="str">
        <f aca="false">IF(I1491=0,"",INDEX(GL!$E:$E,I1491))</f>
        <v/>
      </c>
      <c r="M1491" s="19" t="str">
        <f aca="false">IF(OR(B1491=0,I1491=0),"",ROUND(G1491-L1491,2))</f>
        <v/>
      </c>
      <c r="N1491" s="5" t="str">
        <f aca="false">IF(A1491="","",IF(B1491=0,"NOT FOUND: bank ID",IF(I1491=0,"NOT FOUND: GL ID",IF(INDEX(GL!$H:$H,I1491)&lt;&gt;A1491,"BROKEN: GL points elsewhere",IF(OR(INDEX(Bank!$F:$F,B1491)&lt;&gt;"Y",INDEX(GL!$F:$F,I1491)&lt;&gt;"Y"),"BROKEN: Status not Y","OK")))))</f>
        <v/>
      </c>
    </row>
    <row r="1492" customFormat="false" ht="15" hidden="false" customHeight="false" outlineLevel="0" collapsed="false">
      <c r="A1492" s="41"/>
      <c r="B1492" s="5" t="n">
        <f aca="false">IF(A1492="",0,IFERROR(MATCH(A1492,Bank!$A:$A,0),0))</f>
        <v>0</v>
      </c>
      <c r="C1492" s="5" t="str">
        <f aca="false">IF(B1492=0,"",IF(INDEX(Bank!$G:$G,B1492)="","",INDEX(Bank!$G:$G,B1492)))</f>
        <v/>
      </c>
      <c r="D1492" s="5" t="str">
        <f aca="false">IF(B1492=0,"",IF(INDEX(Bank!$J:$J,B1492)="","",INDEX(Bank!$J:$J,B1492)))</f>
        <v/>
      </c>
      <c r="E1492" s="32" t="str">
        <f aca="false">IF(B1492=0,"",INDEX(Bank!$B:$B,B1492))</f>
        <v/>
      </c>
      <c r="F1492" s="5" t="str">
        <f aca="false">IF(B1492=0,"",IF(INDEX(Bank!$C:$C,B1492)="","",INDEX(Bank!$C:$C,B1492)))</f>
        <v/>
      </c>
      <c r="G1492" s="19" t="str">
        <f aca="false">IF(B1492=0,"",INDEX(Bank!$E:$E,B1492))</f>
        <v/>
      </c>
      <c r="H1492" s="5" t="str">
        <f aca="false">IF(B1492=0,"",IF(INDEX(Bank!$H:$H,B1492)="","",INDEX(Bank!$H:$H,B1492)))</f>
        <v/>
      </c>
      <c r="I1492" s="5" t="n">
        <f aca="false">IF(H1492="",0,IFERROR(MATCH(H1492,GL!$A:$A,0),0))</f>
        <v>0</v>
      </c>
      <c r="J1492" s="32" t="str">
        <f aca="false">IF(I1492=0,"",INDEX(GL!$B:$B,I1492))</f>
        <v/>
      </c>
      <c r="K1492" s="5" t="str">
        <f aca="false">IF(I1492=0,"",IF(INDEX(GL!$C:$C,I1492)="","",INDEX(GL!$C:$C,I1492)))</f>
        <v/>
      </c>
      <c r="L1492" s="19" t="str">
        <f aca="false">IF(I1492=0,"",INDEX(GL!$E:$E,I1492))</f>
        <v/>
      </c>
      <c r="M1492" s="19" t="str">
        <f aca="false">IF(OR(B1492=0,I1492=0),"",ROUND(G1492-L1492,2))</f>
        <v/>
      </c>
      <c r="N1492" s="5" t="str">
        <f aca="false">IF(A1492="","",IF(B1492=0,"NOT FOUND: bank ID",IF(I1492=0,"NOT FOUND: GL ID",IF(INDEX(GL!$H:$H,I1492)&lt;&gt;A1492,"BROKEN: GL points elsewhere",IF(OR(INDEX(Bank!$F:$F,B1492)&lt;&gt;"Y",INDEX(GL!$F:$F,I1492)&lt;&gt;"Y"),"BROKEN: Status not Y","OK")))))</f>
        <v/>
      </c>
    </row>
    <row r="1493" customFormat="false" ht="15" hidden="false" customHeight="false" outlineLevel="0" collapsed="false">
      <c r="A1493" s="41"/>
      <c r="B1493" s="5" t="n">
        <f aca="false">IF(A1493="",0,IFERROR(MATCH(A1493,Bank!$A:$A,0),0))</f>
        <v>0</v>
      </c>
      <c r="C1493" s="5" t="str">
        <f aca="false">IF(B1493=0,"",IF(INDEX(Bank!$G:$G,B1493)="","",INDEX(Bank!$G:$G,B1493)))</f>
        <v/>
      </c>
      <c r="D1493" s="5" t="str">
        <f aca="false">IF(B1493=0,"",IF(INDEX(Bank!$J:$J,B1493)="","",INDEX(Bank!$J:$J,B1493)))</f>
        <v/>
      </c>
      <c r="E1493" s="32" t="str">
        <f aca="false">IF(B1493=0,"",INDEX(Bank!$B:$B,B1493))</f>
        <v/>
      </c>
      <c r="F1493" s="5" t="str">
        <f aca="false">IF(B1493=0,"",IF(INDEX(Bank!$C:$C,B1493)="","",INDEX(Bank!$C:$C,B1493)))</f>
        <v/>
      </c>
      <c r="G1493" s="19" t="str">
        <f aca="false">IF(B1493=0,"",INDEX(Bank!$E:$E,B1493))</f>
        <v/>
      </c>
      <c r="H1493" s="5" t="str">
        <f aca="false">IF(B1493=0,"",IF(INDEX(Bank!$H:$H,B1493)="","",INDEX(Bank!$H:$H,B1493)))</f>
        <v/>
      </c>
      <c r="I1493" s="5" t="n">
        <f aca="false">IF(H1493="",0,IFERROR(MATCH(H1493,GL!$A:$A,0),0))</f>
        <v>0</v>
      </c>
      <c r="J1493" s="32" t="str">
        <f aca="false">IF(I1493=0,"",INDEX(GL!$B:$B,I1493))</f>
        <v/>
      </c>
      <c r="K1493" s="5" t="str">
        <f aca="false">IF(I1493=0,"",IF(INDEX(GL!$C:$C,I1493)="","",INDEX(GL!$C:$C,I1493)))</f>
        <v/>
      </c>
      <c r="L1493" s="19" t="str">
        <f aca="false">IF(I1493=0,"",INDEX(GL!$E:$E,I1493))</f>
        <v/>
      </c>
      <c r="M1493" s="19" t="str">
        <f aca="false">IF(OR(B1493=0,I1493=0),"",ROUND(G1493-L1493,2))</f>
        <v/>
      </c>
      <c r="N1493" s="5" t="str">
        <f aca="false">IF(A1493="","",IF(B1493=0,"NOT FOUND: bank ID",IF(I1493=0,"NOT FOUND: GL ID",IF(INDEX(GL!$H:$H,I1493)&lt;&gt;A1493,"BROKEN: GL points elsewhere",IF(OR(INDEX(Bank!$F:$F,B1493)&lt;&gt;"Y",INDEX(GL!$F:$F,I1493)&lt;&gt;"Y"),"BROKEN: Status not Y","OK")))))</f>
        <v/>
      </c>
    </row>
    <row r="1494" customFormat="false" ht="15" hidden="false" customHeight="false" outlineLevel="0" collapsed="false">
      <c r="A1494" s="41"/>
      <c r="B1494" s="5" t="n">
        <f aca="false">IF(A1494="",0,IFERROR(MATCH(A1494,Bank!$A:$A,0),0))</f>
        <v>0</v>
      </c>
      <c r="C1494" s="5" t="str">
        <f aca="false">IF(B1494=0,"",IF(INDEX(Bank!$G:$G,B1494)="","",INDEX(Bank!$G:$G,B1494)))</f>
        <v/>
      </c>
      <c r="D1494" s="5" t="str">
        <f aca="false">IF(B1494=0,"",IF(INDEX(Bank!$J:$J,B1494)="","",INDEX(Bank!$J:$J,B1494)))</f>
        <v/>
      </c>
      <c r="E1494" s="32" t="str">
        <f aca="false">IF(B1494=0,"",INDEX(Bank!$B:$B,B1494))</f>
        <v/>
      </c>
      <c r="F1494" s="5" t="str">
        <f aca="false">IF(B1494=0,"",IF(INDEX(Bank!$C:$C,B1494)="","",INDEX(Bank!$C:$C,B1494)))</f>
        <v/>
      </c>
      <c r="G1494" s="19" t="str">
        <f aca="false">IF(B1494=0,"",INDEX(Bank!$E:$E,B1494))</f>
        <v/>
      </c>
      <c r="H1494" s="5" t="str">
        <f aca="false">IF(B1494=0,"",IF(INDEX(Bank!$H:$H,B1494)="","",INDEX(Bank!$H:$H,B1494)))</f>
        <v/>
      </c>
      <c r="I1494" s="5" t="n">
        <f aca="false">IF(H1494="",0,IFERROR(MATCH(H1494,GL!$A:$A,0),0))</f>
        <v>0</v>
      </c>
      <c r="J1494" s="32" t="str">
        <f aca="false">IF(I1494=0,"",INDEX(GL!$B:$B,I1494))</f>
        <v/>
      </c>
      <c r="K1494" s="5" t="str">
        <f aca="false">IF(I1494=0,"",IF(INDEX(GL!$C:$C,I1494)="","",INDEX(GL!$C:$C,I1494)))</f>
        <v/>
      </c>
      <c r="L1494" s="19" t="str">
        <f aca="false">IF(I1494=0,"",INDEX(GL!$E:$E,I1494))</f>
        <v/>
      </c>
      <c r="M1494" s="19" t="str">
        <f aca="false">IF(OR(B1494=0,I1494=0),"",ROUND(G1494-L1494,2))</f>
        <v/>
      </c>
      <c r="N1494" s="5" t="str">
        <f aca="false">IF(A1494="","",IF(B1494=0,"NOT FOUND: bank ID",IF(I1494=0,"NOT FOUND: GL ID",IF(INDEX(GL!$H:$H,I1494)&lt;&gt;A1494,"BROKEN: GL points elsewhere",IF(OR(INDEX(Bank!$F:$F,B1494)&lt;&gt;"Y",INDEX(GL!$F:$F,I1494)&lt;&gt;"Y"),"BROKEN: Status not Y","OK")))))</f>
        <v/>
      </c>
    </row>
    <row r="1495" customFormat="false" ht="15" hidden="false" customHeight="false" outlineLevel="0" collapsed="false">
      <c r="A1495" s="41"/>
      <c r="B1495" s="5" t="n">
        <f aca="false">IF(A1495="",0,IFERROR(MATCH(A1495,Bank!$A:$A,0),0))</f>
        <v>0</v>
      </c>
      <c r="C1495" s="5" t="str">
        <f aca="false">IF(B1495=0,"",IF(INDEX(Bank!$G:$G,B1495)="","",INDEX(Bank!$G:$G,B1495)))</f>
        <v/>
      </c>
      <c r="D1495" s="5" t="str">
        <f aca="false">IF(B1495=0,"",IF(INDEX(Bank!$J:$J,B1495)="","",INDEX(Bank!$J:$J,B1495)))</f>
        <v/>
      </c>
      <c r="E1495" s="32" t="str">
        <f aca="false">IF(B1495=0,"",INDEX(Bank!$B:$B,B1495))</f>
        <v/>
      </c>
      <c r="F1495" s="5" t="str">
        <f aca="false">IF(B1495=0,"",IF(INDEX(Bank!$C:$C,B1495)="","",INDEX(Bank!$C:$C,B1495)))</f>
        <v/>
      </c>
      <c r="G1495" s="19" t="str">
        <f aca="false">IF(B1495=0,"",INDEX(Bank!$E:$E,B1495))</f>
        <v/>
      </c>
      <c r="H1495" s="5" t="str">
        <f aca="false">IF(B1495=0,"",IF(INDEX(Bank!$H:$H,B1495)="","",INDEX(Bank!$H:$H,B1495)))</f>
        <v/>
      </c>
      <c r="I1495" s="5" t="n">
        <f aca="false">IF(H1495="",0,IFERROR(MATCH(H1495,GL!$A:$A,0),0))</f>
        <v>0</v>
      </c>
      <c r="J1495" s="32" t="str">
        <f aca="false">IF(I1495=0,"",INDEX(GL!$B:$B,I1495))</f>
        <v/>
      </c>
      <c r="K1495" s="5" t="str">
        <f aca="false">IF(I1495=0,"",IF(INDEX(GL!$C:$C,I1495)="","",INDEX(GL!$C:$C,I1495)))</f>
        <v/>
      </c>
      <c r="L1495" s="19" t="str">
        <f aca="false">IF(I1495=0,"",INDEX(GL!$E:$E,I1495))</f>
        <v/>
      </c>
      <c r="M1495" s="19" t="str">
        <f aca="false">IF(OR(B1495=0,I1495=0),"",ROUND(G1495-L1495,2))</f>
        <v/>
      </c>
      <c r="N1495" s="5" t="str">
        <f aca="false">IF(A1495="","",IF(B1495=0,"NOT FOUND: bank ID",IF(I1495=0,"NOT FOUND: GL ID",IF(INDEX(GL!$H:$H,I1495)&lt;&gt;A1495,"BROKEN: GL points elsewhere",IF(OR(INDEX(Bank!$F:$F,B1495)&lt;&gt;"Y",INDEX(GL!$F:$F,I1495)&lt;&gt;"Y"),"BROKEN: Status not Y","OK")))))</f>
        <v/>
      </c>
    </row>
    <row r="1496" customFormat="false" ht="15" hidden="false" customHeight="false" outlineLevel="0" collapsed="false">
      <c r="A1496" s="41"/>
      <c r="B1496" s="5" t="n">
        <f aca="false">IF(A1496="",0,IFERROR(MATCH(A1496,Bank!$A:$A,0),0))</f>
        <v>0</v>
      </c>
      <c r="C1496" s="5" t="str">
        <f aca="false">IF(B1496=0,"",IF(INDEX(Bank!$G:$G,B1496)="","",INDEX(Bank!$G:$G,B1496)))</f>
        <v/>
      </c>
      <c r="D1496" s="5" t="str">
        <f aca="false">IF(B1496=0,"",IF(INDEX(Bank!$J:$J,B1496)="","",INDEX(Bank!$J:$J,B1496)))</f>
        <v/>
      </c>
      <c r="E1496" s="32" t="str">
        <f aca="false">IF(B1496=0,"",INDEX(Bank!$B:$B,B1496))</f>
        <v/>
      </c>
      <c r="F1496" s="5" t="str">
        <f aca="false">IF(B1496=0,"",IF(INDEX(Bank!$C:$C,B1496)="","",INDEX(Bank!$C:$C,B1496)))</f>
        <v/>
      </c>
      <c r="G1496" s="19" t="str">
        <f aca="false">IF(B1496=0,"",INDEX(Bank!$E:$E,B1496))</f>
        <v/>
      </c>
      <c r="H1496" s="5" t="str">
        <f aca="false">IF(B1496=0,"",IF(INDEX(Bank!$H:$H,B1496)="","",INDEX(Bank!$H:$H,B1496)))</f>
        <v/>
      </c>
      <c r="I1496" s="5" t="n">
        <f aca="false">IF(H1496="",0,IFERROR(MATCH(H1496,GL!$A:$A,0),0))</f>
        <v>0</v>
      </c>
      <c r="J1496" s="32" t="str">
        <f aca="false">IF(I1496=0,"",INDEX(GL!$B:$B,I1496))</f>
        <v/>
      </c>
      <c r="K1496" s="5" t="str">
        <f aca="false">IF(I1496=0,"",IF(INDEX(GL!$C:$C,I1496)="","",INDEX(GL!$C:$C,I1496)))</f>
        <v/>
      </c>
      <c r="L1496" s="19" t="str">
        <f aca="false">IF(I1496=0,"",INDEX(GL!$E:$E,I1496))</f>
        <v/>
      </c>
      <c r="M1496" s="19" t="str">
        <f aca="false">IF(OR(B1496=0,I1496=0),"",ROUND(G1496-L1496,2))</f>
        <v/>
      </c>
      <c r="N1496" s="5" t="str">
        <f aca="false">IF(A1496="","",IF(B1496=0,"NOT FOUND: bank ID",IF(I1496=0,"NOT FOUND: GL ID",IF(INDEX(GL!$H:$H,I1496)&lt;&gt;A1496,"BROKEN: GL points elsewhere",IF(OR(INDEX(Bank!$F:$F,B1496)&lt;&gt;"Y",INDEX(GL!$F:$F,I1496)&lt;&gt;"Y"),"BROKEN: Status not Y","OK")))))</f>
        <v/>
      </c>
    </row>
    <row r="1497" customFormat="false" ht="15" hidden="false" customHeight="false" outlineLevel="0" collapsed="false">
      <c r="A1497" s="41"/>
      <c r="B1497" s="5" t="n">
        <f aca="false">IF(A1497="",0,IFERROR(MATCH(A1497,Bank!$A:$A,0),0))</f>
        <v>0</v>
      </c>
      <c r="C1497" s="5" t="str">
        <f aca="false">IF(B1497=0,"",IF(INDEX(Bank!$G:$G,B1497)="","",INDEX(Bank!$G:$G,B1497)))</f>
        <v/>
      </c>
      <c r="D1497" s="5" t="str">
        <f aca="false">IF(B1497=0,"",IF(INDEX(Bank!$J:$J,B1497)="","",INDEX(Bank!$J:$J,B1497)))</f>
        <v/>
      </c>
      <c r="E1497" s="32" t="str">
        <f aca="false">IF(B1497=0,"",INDEX(Bank!$B:$B,B1497))</f>
        <v/>
      </c>
      <c r="F1497" s="5" t="str">
        <f aca="false">IF(B1497=0,"",IF(INDEX(Bank!$C:$C,B1497)="","",INDEX(Bank!$C:$C,B1497)))</f>
        <v/>
      </c>
      <c r="G1497" s="19" t="str">
        <f aca="false">IF(B1497=0,"",INDEX(Bank!$E:$E,B1497))</f>
        <v/>
      </c>
      <c r="H1497" s="5" t="str">
        <f aca="false">IF(B1497=0,"",IF(INDEX(Bank!$H:$H,B1497)="","",INDEX(Bank!$H:$H,B1497)))</f>
        <v/>
      </c>
      <c r="I1497" s="5" t="n">
        <f aca="false">IF(H1497="",0,IFERROR(MATCH(H1497,GL!$A:$A,0),0))</f>
        <v>0</v>
      </c>
      <c r="J1497" s="32" t="str">
        <f aca="false">IF(I1497=0,"",INDEX(GL!$B:$B,I1497))</f>
        <v/>
      </c>
      <c r="K1497" s="5" t="str">
        <f aca="false">IF(I1497=0,"",IF(INDEX(GL!$C:$C,I1497)="","",INDEX(GL!$C:$C,I1497)))</f>
        <v/>
      </c>
      <c r="L1497" s="19" t="str">
        <f aca="false">IF(I1497=0,"",INDEX(GL!$E:$E,I1497))</f>
        <v/>
      </c>
      <c r="M1497" s="19" t="str">
        <f aca="false">IF(OR(B1497=0,I1497=0),"",ROUND(G1497-L1497,2))</f>
        <v/>
      </c>
      <c r="N1497" s="5" t="str">
        <f aca="false">IF(A1497="","",IF(B1497=0,"NOT FOUND: bank ID",IF(I1497=0,"NOT FOUND: GL ID",IF(INDEX(GL!$H:$H,I1497)&lt;&gt;A1497,"BROKEN: GL points elsewhere",IF(OR(INDEX(Bank!$F:$F,B1497)&lt;&gt;"Y",INDEX(GL!$F:$F,I1497)&lt;&gt;"Y"),"BROKEN: Status not Y","OK")))))</f>
        <v/>
      </c>
    </row>
    <row r="1498" customFormat="false" ht="15" hidden="false" customHeight="false" outlineLevel="0" collapsed="false">
      <c r="A1498" s="41"/>
      <c r="B1498" s="5" t="n">
        <f aca="false">IF(A1498="",0,IFERROR(MATCH(A1498,Bank!$A:$A,0),0))</f>
        <v>0</v>
      </c>
      <c r="C1498" s="5" t="str">
        <f aca="false">IF(B1498=0,"",IF(INDEX(Bank!$G:$G,B1498)="","",INDEX(Bank!$G:$G,B1498)))</f>
        <v/>
      </c>
      <c r="D1498" s="5" t="str">
        <f aca="false">IF(B1498=0,"",IF(INDEX(Bank!$J:$J,B1498)="","",INDEX(Bank!$J:$J,B1498)))</f>
        <v/>
      </c>
      <c r="E1498" s="32" t="str">
        <f aca="false">IF(B1498=0,"",INDEX(Bank!$B:$B,B1498))</f>
        <v/>
      </c>
      <c r="F1498" s="5" t="str">
        <f aca="false">IF(B1498=0,"",IF(INDEX(Bank!$C:$C,B1498)="","",INDEX(Bank!$C:$C,B1498)))</f>
        <v/>
      </c>
      <c r="G1498" s="19" t="str">
        <f aca="false">IF(B1498=0,"",INDEX(Bank!$E:$E,B1498))</f>
        <v/>
      </c>
      <c r="H1498" s="5" t="str">
        <f aca="false">IF(B1498=0,"",IF(INDEX(Bank!$H:$H,B1498)="","",INDEX(Bank!$H:$H,B1498)))</f>
        <v/>
      </c>
      <c r="I1498" s="5" t="n">
        <f aca="false">IF(H1498="",0,IFERROR(MATCH(H1498,GL!$A:$A,0),0))</f>
        <v>0</v>
      </c>
      <c r="J1498" s="32" t="str">
        <f aca="false">IF(I1498=0,"",INDEX(GL!$B:$B,I1498))</f>
        <v/>
      </c>
      <c r="K1498" s="5" t="str">
        <f aca="false">IF(I1498=0,"",IF(INDEX(GL!$C:$C,I1498)="","",INDEX(GL!$C:$C,I1498)))</f>
        <v/>
      </c>
      <c r="L1498" s="19" t="str">
        <f aca="false">IF(I1498=0,"",INDEX(GL!$E:$E,I1498))</f>
        <v/>
      </c>
      <c r="M1498" s="19" t="str">
        <f aca="false">IF(OR(B1498=0,I1498=0),"",ROUND(G1498-L1498,2))</f>
        <v/>
      </c>
      <c r="N1498" s="5" t="str">
        <f aca="false">IF(A1498="","",IF(B1498=0,"NOT FOUND: bank ID",IF(I1498=0,"NOT FOUND: GL ID",IF(INDEX(GL!$H:$H,I1498)&lt;&gt;A1498,"BROKEN: GL points elsewhere",IF(OR(INDEX(Bank!$F:$F,B1498)&lt;&gt;"Y",INDEX(GL!$F:$F,I1498)&lt;&gt;"Y"),"BROKEN: Status not Y","OK")))))</f>
        <v/>
      </c>
    </row>
    <row r="1499" customFormat="false" ht="15" hidden="false" customHeight="false" outlineLevel="0" collapsed="false">
      <c r="A1499" s="41"/>
      <c r="B1499" s="5" t="n">
        <f aca="false">IF(A1499="",0,IFERROR(MATCH(A1499,Bank!$A:$A,0),0))</f>
        <v>0</v>
      </c>
      <c r="C1499" s="5" t="str">
        <f aca="false">IF(B1499=0,"",IF(INDEX(Bank!$G:$G,B1499)="","",INDEX(Bank!$G:$G,B1499)))</f>
        <v/>
      </c>
      <c r="D1499" s="5" t="str">
        <f aca="false">IF(B1499=0,"",IF(INDEX(Bank!$J:$J,B1499)="","",INDEX(Bank!$J:$J,B1499)))</f>
        <v/>
      </c>
      <c r="E1499" s="32" t="str">
        <f aca="false">IF(B1499=0,"",INDEX(Bank!$B:$B,B1499))</f>
        <v/>
      </c>
      <c r="F1499" s="5" t="str">
        <f aca="false">IF(B1499=0,"",IF(INDEX(Bank!$C:$C,B1499)="","",INDEX(Bank!$C:$C,B1499)))</f>
        <v/>
      </c>
      <c r="G1499" s="19" t="str">
        <f aca="false">IF(B1499=0,"",INDEX(Bank!$E:$E,B1499))</f>
        <v/>
      </c>
      <c r="H1499" s="5" t="str">
        <f aca="false">IF(B1499=0,"",IF(INDEX(Bank!$H:$H,B1499)="","",INDEX(Bank!$H:$H,B1499)))</f>
        <v/>
      </c>
      <c r="I1499" s="5" t="n">
        <f aca="false">IF(H1499="",0,IFERROR(MATCH(H1499,GL!$A:$A,0),0))</f>
        <v>0</v>
      </c>
      <c r="J1499" s="32" t="str">
        <f aca="false">IF(I1499=0,"",INDEX(GL!$B:$B,I1499))</f>
        <v/>
      </c>
      <c r="K1499" s="5" t="str">
        <f aca="false">IF(I1499=0,"",IF(INDEX(GL!$C:$C,I1499)="","",INDEX(GL!$C:$C,I1499)))</f>
        <v/>
      </c>
      <c r="L1499" s="19" t="str">
        <f aca="false">IF(I1499=0,"",INDEX(GL!$E:$E,I1499))</f>
        <v/>
      </c>
      <c r="M1499" s="19" t="str">
        <f aca="false">IF(OR(B1499=0,I1499=0),"",ROUND(G1499-L1499,2))</f>
        <v/>
      </c>
      <c r="N1499" s="5" t="str">
        <f aca="false">IF(A1499="","",IF(B1499=0,"NOT FOUND: bank ID",IF(I1499=0,"NOT FOUND: GL ID",IF(INDEX(GL!$H:$H,I1499)&lt;&gt;A1499,"BROKEN: GL points elsewhere",IF(OR(INDEX(Bank!$F:$F,B1499)&lt;&gt;"Y",INDEX(GL!$F:$F,I1499)&lt;&gt;"Y"),"BROKEN: Status not Y","OK")))))</f>
        <v/>
      </c>
    </row>
    <row r="1500" customFormat="false" ht="15" hidden="false" customHeight="false" outlineLevel="0" collapsed="false">
      <c r="A1500" s="41"/>
      <c r="B1500" s="5" t="n">
        <f aca="false">IF(A1500="",0,IFERROR(MATCH(A1500,Bank!$A:$A,0),0))</f>
        <v>0</v>
      </c>
      <c r="C1500" s="5" t="str">
        <f aca="false">IF(B1500=0,"",IF(INDEX(Bank!$G:$G,B1500)="","",INDEX(Bank!$G:$G,B1500)))</f>
        <v/>
      </c>
      <c r="D1500" s="5" t="str">
        <f aca="false">IF(B1500=0,"",IF(INDEX(Bank!$J:$J,B1500)="","",INDEX(Bank!$J:$J,B1500)))</f>
        <v/>
      </c>
      <c r="E1500" s="32" t="str">
        <f aca="false">IF(B1500=0,"",INDEX(Bank!$B:$B,B1500))</f>
        <v/>
      </c>
      <c r="F1500" s="5" t="str">
        <f aca="false">IF(B1500=0,"",IF(INDEX(Bank!$C:$C,B1500)="","",INDEX(Bank!$C:$C,B1500)))</f>
        <v/>
      </c>
      <c r="G1500" s="19" t="str">
        <f aca="false">IF(B1500=0,"",INDEX(Bank!$E:$E,B1500))</f>
        <v/>
      </c>
      <c r="H1500" s="5" t="str">
        <f aca="false">IF(B1500=0,"",IF(INDEX(Bank!$H:$H,B1500)="","",INDEX(Bank!$H:$H,B1500)))</f>
        <v/>
      </c>
      <c r="I1500" s="5" t="n">
        <f aca="false">IF(H1500="",0,IFERROR(MATCH(H1500,GL!$A:$A,0),0))</f>
        <v>0</v>
      </c>
      <c r="J1500" s="32" t="str">
        <f aca="false">IF(I1500=0,"",INDEX(GL!$B:$B,I1500))</f>
        <v/>
      </c>
      <c r="K1500" s="5" t="str">
        <f aca="false">IF(I1500=0,"",IF(INDEX(GL!$C:$C,I1500)="","",INDEX(GL!$C:$C,I1500)))</f>
        <v/>
      </c>
      <c r="L1500" s="19" t="str">
        <f aca="false">IF(I1500=0,"",INDEX(GL!$E:$E,I1500))</f>
        <v/>
      </c>
      <c r="M1500" s="19" t="str">
        <f aca="false">IF(OR(B1500=0,I1500=0),"",ROUND(G1500-L1500,2))</f>
        <v/>
      </c>
      <c r="N1500" s="5" t="str">
        <f aca="false">IF(A1500="","",IF(B1500=0,"NOT FOUND: bank ID",IF(I1500=0,"NOT FOUND: GL ID",IF(INDEX(GL!$H:$H,I1500)&lt;&gt;A1500,"BROKEN: GL points elsewhere",IF(OR(INDEX(Bank!$F:$F,B1500)&lt;&gt;"Y",INDEX(GL!$F:$F,I1500)&lt;&gt;"Y"),"BROKEN: Status not Y","OK")))))</f>
        <v/>
      </c>
    </row>
    <row r="1501" customFormat="false" ht="15" hidden="false" customHeight="false" outlineLevel="0" collapsed="false">
      <c r="A1501" s="41"/>
      <c r="B1501" s="5" t="n">
        <f aca="false">IF(A1501="",0,IFERROR(MATCH(A1501,Bank!$A:$A,0),0))</f>
        <v>0</v>
      </c>
      <c r="C1501" s="5" t="str">
        <f aca="false">IF(B1501=0,"",IF(INDEX(Bank!$G:$G,B1501)="","",INDEX(Bank!$G:$G,B1501)))</f>
        <v/>
      </c>
      <c r="D1501" s="5" t="str">
        <f aca="false">IF(B1501=0,"",IF(INDEX(Bank!$J:$J,B1501)="","",INDEX(Bank!$J:$J,B1501)))</f>
        <v/>
      </c>
      <c r="E1501" s="32" t="str">
        <f aca="false">IF(B1501=0,"",INDEX(Bank!$B:$B,B1501))</f>
        <v/>
      </c>
      <c r="F1501" s="5" t="str">
        <f aca="false">IF(B1501=0,"",IF(INDEX(Bank!$C:$C,B1501)="","",INDEX(Bank!$C:$C,B1501)))</f>
        <v/>
      </c>
      <c r="G1501" s="19" t="str">
        <f aca="false">IF(B1501=0,"",INDEX(Bank!$E:$E,B1501))</f>
        <v/>
      </c>
      <c r="H1501" s="5" t="str">
        <f aca="false">IF(B1501=0,"",IF(INDEX(Bank!$H:$H,B1501)="","",INDEX(Bank!$H:$H,B1501)))</f>
        <v/>
      </c>
      <c r="I1501" s="5" t="n">
        <f aca="false">IF(H1501="",0,IFERROR(MATCH(H1501,GL!$A:$A,0),0))</f>
        <v>0</v>
      </c>
      <c r="J1501" s="32" t="str">
        <f aca="false">IF(I1501=0,"",INDEX(GL!$B:$B,I1501))</f>
        <v/>
      </c>
      <c r="K1501" s="5" t="str">
        <f aca="false">IF(I1501=0,"",IF(INDEX(GL!$C:$C,I1501)="","",INDEX(GL!$C:$C,I1501)))</f>
        <v/>
      </c>
      <c r="L1501" s="19" t="str">
        <f aca="false">IF(I1501=0,"",INDEX(GL!$E:$E,I1501))</f>
        <v/>
      </c>
      <c r="M1501" s="19" t="str">
        <f aca="false">IF(OR(B1501=0,I1501=0),"",ROUND(G1501-L1501,2))</f>
        <v/>
      </c>
      <c r="N1501" s="5" t="str">
        <f aca="false">IF(A1501="","",IF(B1501=0,"NOT FOUND: bank ID",IF(I1501=0,"NOT FOUND: GL ID",IF(INDEX(GL!$H:$H,I1501)&lt;&gt;A1501,"BROKEN: GL points elsewhere",IF(OR(INDEX(Bank!$F:$F,B1501)&lt;&gt;"Y",INDEX(GL!$F:$F,I1501)&lt;&gt;"Y"),"BROKEN: Status not Y","OK")))))</f>
        <v/>
      </c>
    </row>
    <row r="1502" customFormat="false" ht="15" hidden="false" customHeight="false" outlineLevel="0" collapsed="false">
      <c r="A1502" s="41"/>
      <c r="B1502" s="5" t="n">
        <f aca="false">IF(A1502="",0,IFERROR(MATCH(A1502,Bank!$A:$A,0),0))</f>
        <v>0</v>
      </c>
      <c r="C1502" s="5" t="str">
        <f aca="false">IF(B1502=0,"",IF(INDEX(Bank!$G:$G,B1502)="","",INDEX(Bank!$G:$G,B1502)))</f>
        <v/>
      </c>
      <c r="D1502" s="5" t="str">
        <f aca="false">IF(B1502=0,"",IF(INDEX(Bank!$J:$J,B1502)="","",INDEX(Bank!$J:$J,B1502)))</f>
        <v/>
      </c>
      <c r="E1502" s="32" t="str">
        <f aca="false">IF(B1502=0,"",INDEX(Bank!$B:$B,B1502))</f>
        <v/>
      </c>
      <c r="F1502" s="5" t="str">
        <f aca="false">IF(B1502=0,"",IF(INDEX(Bank!$C:$C,B1502)="","",INDEX(Bank!$C:$C,B1502)))</f>
        <v/>
      </c>
      <c r="G1502" s="19" t="str">
        <f aca="false">IF(B1502=0,"",INDEX(Bank!$E:$E,B1502))</f>
        <v/>
      </c>
      <c r="H1502" s="5" t="str">
        <f aca="false">IF(B1502=0,"",IF(INDEX(Bank!$H:$H,B1502)="","",INDEX(Bank!$H:$H,B1502)))</f>
        <v/>
      </c>
      <c r="I1502" s="5" t="n">
        <f aca="false">IF(H1502="",0,IFERROR(MATCH(H1502,GL!$A:$A,0),0))</f>
        <v>0</v>
      </c>
      <c r="J1502" s="32" t="str">
        <f aca="false">IF(I1502=0,"",INDEX(GL!$B:$B,I1502))</f>
        <v/>
      </c>
      <c r="K1502" s="5" t="str">
        <f aca="false">IF(I1502=0,"",IF(INDEX(GL!$C:$C,I1502)="","",INDEX(GL!$C:$C,I1502)))</f>
        <v/>
      </c>
      <c r="L1502" s="19" t="str">
        <f aca="false">IF(I1502=0,"",INDEX(GL!$E:$E,I1502))</f>
        <v/>
      </c>
      <c r="M1502" s="19" t="str">
        <f aca="false">IF(OR(B1502=0,I1502=0),"",ROUND(G1502-L1502,2))</f>
        <v/>
      </c>
      <c r="N1502" s="5" t="str">
        <f aca="false">IF(A1502="","",IF(B1502=0,"NOT FOUND: bank ID",IF(I1502=0,"NOT FOUND: GL ID",IF(INDEX(GL!$H:$H,I1502)&lt;&gt;A1502,"BROKEN: GL points elsewhere",IF(OR(INDEX(Bank!$F:$F,B1502)&lt;&gt;"Y",INDEX(GL!$F:$F,I1502)&lt;&gt;"Y"),"BROKEN: Status not Y","OK")))))</f>
        <v/>
      </c>
    </row>
    <row r="1503" customFormat="false" ht="15" hidden="false" customHeight="false" outlineLevel="0" collapsed="false">
      <c r="A1503" s="41"/>
      <c r="B1503" s="5" t="n">
        <f aca="false">IF(A1503="",0,IFERROR(MATCH(A1503,Bank!$A:$A,0),0))</f>
        <v>0</v>
      </c>
      <c r="C1503" s="5" t="str">
        <f aca="false">IF(B1503=0,"",IF(INDEX(Bank!$G:$G,B1503)="","",INDEX(Bank!$G:$G,B1503)))</f>
        <v/>
      </c>
      <c r="D1503" s="5" t="str">
        <f aca="false">IF(B1503=0,"",IF(INDEX(Bank!$J:$J,B1503)="","",INDEX(Bank!$J:$J,B1503)))</f>
        <v/>
      </c>
      <c r="E1503" s="32" t="str">
        <f aca="false">IF(B1503=0,"",INDEX(Bank!$B:$B,B1503))</f>
        <v/>
      </c>
      <c r="F1503" s="5" t="str">
        <f aca="false">IF(B1503=0,"",IF(INDEX(Bank!$C:$C,B1503)="","",INDEX(Bank!$C:$C,B1503)))</f>
        <v/>
      </c>
      <c r="G1503" s="19" t="str">
        <f aca="false">IF(B1503=0,"",INDEX(Bank!$E:$E,B1503))</f>
        <v/>
      </c>
      <c r="H1503" s="5" t="str">
        <f aca="false">IF(B1503=0,"",IF(INDEX(Bank!$H:$H,B1503)="","",INDEX(Bank!$H:$H,B1503)))</f>
        <v/>
      </c>
      <c r="I1503" s="5" t="n">
        <f aca="false">IF(H1503="",0,IFERROR(MATCH(H1503,GL!$A:$A,0),0))</f>
        <v>0</v>
      </c>
      <c r="J1503" s="32" t="str">
        <f aca="false">IF(I1503=0,"",INDEX(GL!$B:$B,I1503))</f>
        <v/>
      </c>
      <c r="K1503" s="5" t="str">
        <f aca="false">IF(I1503=0,"",IF(INDEX(GL!$C:$C,I1503)="","",INDEX(GL!$C:$C,I1503)))</f>
        <v/>
      </c>
      <c r="L1503" s="19" t="str">
        <f aca="false">IF(I1503=0,"",INDEX(GL!$E:$E,I1503))</f>
        <v/>
      </c>
      <c r="M1503" s="19" t="str">
        <f aca="false">IF(OR(B1503=0,I1503=0),"",ROUND(G1503-L1503,2))</f>
        <v/>
      </c>
      <c r="N1503" s="5" t="str">
        <f aca="false">IF(A1503="","",IF(B1503=0,"NOT FOUND: bank ID",IF(I1503=0,"NOT FOUND: GL ID",IF(INDEX(GL!$H:$H,I1503)&lt;&gt;A1503,"BROKEN: GL points elsewhere",IF(OR(INDEX(Bank!$F:$F,B1503)&lt;&gt;"Y",INDEX(GL!$F:$F,I1503)&lt;&gt;"Y"),"BROKEN: Status not Y","OK")))))</f>
        <v/>
      </c>
    </row>
    <row r="1504" customFormat="false" ht="15" hidden="false" customHeight="false" outlineLevel="0" collapsed="false">
      <c r="A1504" s="41"/>
      <c r="B1504" s="5" t="n">
        <f aca="false">IF(A1504="",0,IFERROR(MATCH(A1504,Bank!$A:$A,0),0))</f>
        <v>0</v>
      </c>
      <c r="C1504" s="5" t="str">
        <f aca="false">IF(B1504=0,"",IF(INDEX(Bank!$G:$G,B1504)="","",INDEX(Bank!$G:$G,B1504)))</f>
        <v/>
      </c>
      <c r="D1504" s="5" t="str">
        <f aca="false">IF(B1504=0,"",IF(INDEX(Bank!$J:$J,B1504)="","",INDEX(Bank!$J:$J,B1504)))</f>
        <v/>
      </c>
      <c r="E1504" s="32" t="str">
        <f aca="false">IF(B1504=0,"",INDEX(Bank!$B:$B,B1504))</f>
        <v/>
      </c>
      <c r="F1504" s="5" t="str">
        <f aca="false">IF(B1504=0,"",IF(INDEX(Bank!$C:$C,B1504)="","",INDEX(Bank!$C:$C,B1504)))</f>
        <v/>
      </c>
      <c r="G1504" s="19" t="str">
        <f aca="false">IF(B1504=0,"",INDEX(Bank!$E:$E,B1504))</f>
        <v/>
      </c>
      <c r="H1504" s="5" t="str">
        <f aca="false">IF(B1504=0,"",IF(INDEX(Bank!$H:$H,B1504)="","",INDEX(Bank!$H:$H,B1504)))</f>
        <v/>
      </c>
      <c r="I1504" s="5" t="n">
        <f aca="false">IF(H1504="",0,IFERROR(MATCH(H1504,GL!$A:$A,0),0))</f>
        <v>0</v>
      </c>
      <c r="J1504" s="32" t="str">
        <f aca="false">IF(I1504=0,"",INDEX(GL!$B:$B,I1504))</f>
        <v/>
      </c>
      <c r="K1504" s="5" t="str">
        <f aca="false">IF(I1504=0,"",IF(INDEX(GL!$C:$C,I1504)="","",INDEX(GL!$C:$C,I1504)))</f>
        <v/>
      </c>
      <c r="L1504" s="19" t="str">
        <f aca="false">IF(I1504=0,"",INDEX(GL!$E:$E,I1504))</f>
        <v/>
      </c>
      <c r="M1504" s="19" t="str">
        <f aca="false">IF(OR(B1504=0,I1504=0),"",ROUND(G1504-L1504,2))</f>
        <v/>
      </c>
      <c r="N1504" s="5" t="str">
        <f aca="false">IF(A1504="","",IF(B1504=0,"NOT FOUND: bank ID",IF(I1504=0,"NOT FOUND: GL ID",IF(INDEX(GL!$H:$H,I1504)&lt;&gt;A1504,"BROKEN: GL points elsewhere",IF(OR(INDEX(Bank!$F:$F,B1504)&lt;&gt;"Y",INDEX(GL!$F:$F,I1504)&lt;&gt;"Y"),"BROKEN: Status not Y","OK")))))</f>
        <v/>
      </c>
    </row>
    <row r="1505" customFormat="false" ht="15" hidden="false" customHeight="false" outlineLevel="0" collapsed="false">
      <c r="A1505" s="41"/>
      <c r="B1505" s="5" t="n">
        <f aca="false">IF(A1505="",0,IFERROR(MATCH(A1505,Bank!$A:$A,0),0))</f>
        <v>0</v>
      </c>
      <c r="C1505" s="5" t="str">
        <f aca="false">IF(B1505=0,"",IF(INDEX(Bank!$G:$G,B1505)="","",INDEX(Bank!$G:$G,B1505)))</f>
        <v/>
      </c>
      <c r="D1505" s="5" t="str">
        <f aca="false">IF(B1505=0,"",IF(INDEX(Bank!$J:$J,B1505)="","",INDEX(Bank!$J:$J,B1505)))</f>
        <v/>
      </c>
      <c r="E1505" s="32" t="str">
        <f aca="false">IF(B1505=0,"",INDEX(Bank!$B:$B,B1505))</f>
        <v/>
      </c>
      <c r="F1505" s="5" t="str">
        <f aca="false">IF(B1505=0,"",IF(INDEX(Bank!$C:$C,B1505)="","",INDEX(Bank!$C:$C,B1505)))</f>
        <v/>
      </c>
      <c r="G1505" s="19" t="str">
        <f aca="false">IF(B1505=0,"",INDEX(Bank!$E:$E,B1505))</f>
        <v/>
      </c>
      <c r="H1505" s="5" t="str">
        <f aca="false">IF(B1505=0,"",IF(INDEX(Bank!$H:$H,B1505)="","",INDEX(Bank!$H:$H,B1505)))</f>
        <v/>
      </c>
      <c r="I1505" s="5" t="n">
        <f aca="false">IF(H1505="",0,IFERROR(MATCH(H1505,GL!$A:$A,0),0))</f>
        <v>0</v>
      </c>
      <c r="J1505" s="32" t="str">
        <f aca="false">IF(I1505=0,"",INDEX(GL!$B:$B,I1505))</f>
        <v/>
      </c>
      <c r="K1505" s="5" t="str">
        <f aca="false">IF(I1505=0,"",IF(INDEX(GL!$C:$C,I1505)="","",INDEX(GL!$C:$C,I1505)))</f>
        <v/>
      </c>
      <c r="L1505" s="19" t="str">
        <f aca="false">IF(I1505=0,"",INDEX(GL!$E:$E,I1505))</f>
        <v/>
      </c>
      <c r="M1505" s="19" t="str">
        <f aca="false">IF(OR(B1505=0,I1505=0),"",ROUND(G1505-L1505,2))</f>
        <v/>
      </c>
      <c r="N1505" s="5" t="str">
        <f aca="false">IF(A1505="","",IF(B1505=0,"NOT FOUND: bank ID",IF(I1505=0,"NOT FOUND: GL ID",IF(INDEX(GL!$H:$H,I1505)&lt;&gt;A1505,"BROKEN: GL points elsewhere",IF(OR(INDEX(Bank!$F:$F,B1505)&lt;&gt;"Y",INDEX(GL!$F:$F,I1505)&lt;&gt;"Y"),"BROKEN: Status not Y","OK")))))</f>
        <v/>
      </c>
    </row>
    <row r="1506" customFormat="false" ht="15" hidden="false" customHeight="false" outlineLevel="0" collapsed="false">
      <c r="A1506" s="41"/>
      <c r="B1506" s="5" t="n">
        <f aca="false">IF(A1506="",0,IFERROR(MATCH(A1506,Bank!$A:$A,0),0))</f>
        <v>0</v>
      </c>
      <c r="C1506" s="5" t="str">
        <f aca="false">IF(B1506=0,"",IF(INDEX(Bank!$G:$G,B1506)="","",INDEX(Bank!$G:$G,B1506)))</f>
        <v/>
      </c>
      <c r="D1506" s="5" t="str">
        <f aca="false">IF(B1506=0,"",IF(INDEX(Bank!$J:$J,B1506)="","",INDEX(Bank!$J:$J,B1506)))</f>
        <v/>
      </c>
      <c r="E1506" s="32" t="str">
        <f aca="false">IF(B1506=0,"",INDEX(Bank!$B:$B,B1506))</f>
        <v/>
      </c>
      <c r="F1506" s="5" t="str">
        <f aca="false">IF(B1506=0,"",IF(INDEX(Bank!$C:$C,B1506)="","",INDEX(Bank!$C:$C,B1506)))</f>
        <v/>
      </c>
      <c r="G1506" s="19" t="str">
        <f aca="false">IF(B1506=0,"",INDEX(Bank!$E:$E,B1506))</f>
        <v/>
      </c>
      <c r="H1506" s="5" t="str">
        <f aca="false">IF(B1506=0,"",IF(INDEX(Bank!$H:$H,B1506)="","",INDEX(Bank!$H:$H,B1506)))</f>
        <v/>
      </c>
      <c r="I1506" s="5" t="n">
        <f aca="false">IF(H1506="",0,IFERROR(MATCH(H1506,GL!$A:$A,0),0))</f>
        <v>0</v>
      </c>
      <c r="J1506" s="32" t="str">
        <f aca="false">IF(I1506=0,"",INDEX(GL!$B:$B,I1506))</f>
        <v/>
      </c>
      <c r="K1506" s="5" t="str">
        <f aca="false">IF(I1506=0,"",IF(INDEX(GL!$C:$C,I1506)="","",INDEX(GL!$C:$C,I1506)))</f>
        <v/>
      </c>
      <c r="L1506" s="19" t="str">
        <f aca="false">IF(I1506=0,"",INDEX(GL!$E:$E,I1506))</f>
        <v/>
      </c>
      <c r="M1506" s="19" t="str">
        <f aca="false">IF(OR(B1506=0,I1506=0),"",ROUND(G1506-L1506,2))</f>
        <v/>
      </c>
      <c r="N1506" s="5" t="str">
        <f aca="false">IF(A1506="","",IF(B1506=0,"NOT FOUND: bank ID",IF(I1506=0,"NOT FOUND: GL ID",IF(INDEX(GL!$H:$H,I1506)&lt;&gt;A1506,"BROKEN: GL points elsewhere",IF(OR(INDEX(Bank!$F:$F,B1506)&lt;&gt;"Y",INDEX(GL!$F:$F,I1506)&lt;&gt;"Y"),"BROKEN: Status not Y","OK")))))</f>
        <v/>
      </c>
    </row>
    <row r="1507" customFormat="false" ht="15" hidden="false" customHeight="false" outlineLevel="0" collapsed="false">
      <c r="A1507" s="41"/>
      <c r="B1507" s="5" t="n">
        <f aca="false">IF(A1507="",0,IFERROR(MATCH(A1507,Bank!$A:$A,0),0))</f>
        <v>0</v>
      </c>
      <c r="C1507" s="5" t="str">
        <f aca="false">IF(B1507=0,"",IF(INDEX(Bank!$G:$G,B1507)="","",INDEX(Bank!$G:$G,B1507)))</f>
        <v/>
      </c>
      <c r="D1507" s="5" t="str">
        <f aca="false">IF(B1507=0,"",IF(INDEX(Bank!$J:$J,B1507)="","",INDEX(Bank!$J:$J,B1507)))</f>
        <v/>
      </c>
      <c r="E1507" s="32" t="str">
        <f aca="false">IF(B1507=0,"",INDEX(Bank!$B:$B,B1507))</f>
        <v/>
      </c>
      <c r="F1507" s="5" t="str">
        <f aca="false">IF(B1507=0,"",IF(INDEX(Bank!$C:$C,B1507)="","",INDEX(Bank!$C:$C,B1507)))</f>
        <v/>
      </c>
      <c r="G1507" s="19" t="str">
        <f aca="false">IF(B1507=0,"",INDEX(Bank!$E:$E,B1507))</f>
        <v/>
      </c>
      <c r="H1507" s="5" t="str">
        <f aca="false">IF(B1507=0,"",IF(INDEX(Bank!$H:$H,B1507)="","",INDEX(Bank!$H:$H,B1507)))</f>
        <v/>
      </c>
      <c r="I1507" s="5" t="n">
        <f aca="false">IF(H1507="",0,IFERROR(MATCH(H1507,GL!$A:$A,0),0))</f>
        <v>0</v>
      </c>
      <c r="J1507" s="32" t="str">
        <f aca="false">IF(I1507=0,"",INDEX(GL!$B:$B,I1507))</f>
        <v/>
      </c>
      <c r="K1507" s="5" t="str">
        <f aca="false">IF(I1507=0,"",IF(INDEX(GL!$C:$C,I1507)="","",INDEX(GL!$C:$C,I1507)))</f>
        <v/>
      </c>
      <c r="L1507" s="19" t="str">
        <f aca="false">IF(I1507=0,"",INDEX(GL!$E:$E,I1507))</f>
        <v/>
      </c>
      <c r="M1507" s="19" t="str">
        <f aca="false">IF(OR(B1507=0,I1507=0),"",ROUND(G1507-L1507,2))</f>
        <v/>
      </c>
      <c r="N1507" s="5" t="str">
        <f aca="false">IF(A1507="","",IF(B1507=0,"NOT FOUND: bank ID",IF(I1507=0,"NOT FOUND: GL ID",IF(INDEX(GL!$H:$H,I1507)&lt;&gt;A1507,"BROKEN: GL points elsewhere",IF(OR(INDEX(Bank!$F:$F,B1507)&lt;&gt;"Y",INDEX(GL!$F:$F,I1507)&lt;&gt;"Y"),"BROKEN: Status not Y","OK")))))</f>
        <v/>
      </c>
    </row>
    <row r="1508" customFormat="false" ht="15" hidden="false" customHeight="false" outlineLevel="0" collapsed="false">
      <c r="A1508" s="41"/>
      <c r="B1508" s="5" t="n">
        <f aca="false">IF(A1508="",0,IFERROR(MATCH(A1508,Bank!$A:$A,0),0))</f>
        <v>0</v>
      </c>
      <c r="C1508" s="5" t="str">
        <f aca="false">IF(B1508=0,"",IF(INDEX(Bank!$G:$G,B1508)="","",INDEX(Bank!$G:$G,B1508)))</f>
        <v/>
      </c>
      <c r="D1508" s="5" t="str">
        <f aca="false">IF(B1508=0,"",IF(INDEX(Bank!$J:$J,B1508)="","",INDEX(Bank!$J:$J,B1508)))</f>
        <v/>
      </c>
      <c r="E1508" s="32" t="str">
        <f aca="false">IF(B1508=0,"",INDEX(Bank!$B:$B,B1508))</f>
        <v/>
      </c>
      <c r="F1508" s="5" t="str">
        <f aca="false">IF(B1508=0,"",IF(INDEX(Bank!$C:$C,B1508)="","",INDEX(Bank!$C:$C,B1508)))</f>
        <v/>
      </c>
      <c r="G1508" s="19" t="str">
        <f aca="false">IF(B1508=0,"",INDEX(Bank!$E:$E,B1508))</f>
        <v/>
      </c>
      <c r="H1508" s="5" t="str">
        <f aca="false">IF(B1508=0,"",IF(INDEX(Bank!$H:$H,B1508)="","",INDEX(Bank!$H:$H,B1508)))</f>
        <v/>
      </c>
      <c r="I1508" s="5" t="n">
        <f aca="false">IF(H1508="",0,IFERROR(MATCH(H1508,GL!$A:$A,0),0))</f>
        <v>0</v>
      </c>
      <c r="J1508" s="32" t="str">
        <f aca="false">IF(I1508=0,"",INDEX(GL!$B:$B,I1508))</f>
        <v/>
      </c>
      <c r="K1508" s="5" t="str">
        <f aca="false">IF(I1508=0,"",IF(INDEX(GL!$C:$C,I1508)="","",INDEX(GL!$C:$C,I1508)))</f>
        <v/>
      </c>
      <c r="L1508" s="19" t="str">
        <f aca="false">IF(I1508=0,"",INDEX(GL!$E:$E,I1508))</f>
        <v/>
      </c>
      <c r="M1508" s="19" t="str">
        <f aca="false">IF(OR(B1508=0,I1508=0),"",ROUND(G1508-L1508,2))</f>
        <v/>
      </c>
      <c r="N1508" s="5" t="str">
        <f aca="false">IF(A1508="","",IF(B1508=0,"NOT FOUND: bank ID",IF(I1508=0,"NOT FOUND: GL ID",IF(INDEX(GL!$H:$H,I1508)&lt;&gt;A1508,"BROKEN: GL points elsewhere",IF(OR(INDEX(Bank!$F:$F,B1508)&lt;&gt;"Y",INDEX(GL!$F:$F,I1508)&lt;&gt;"Y"),"BROKEN: Status not Y","OK")))))</f>
        <v/>
      </c>
    </row>
    <row r="1509" customFormat="false" ht="15" hidden="false" customHeight="false" outlineLevel="0" collapsed="false">
      <c r="A1509" s="41"/>
      <c r="B1509" s="5" t="n">
        <f aca="false">IF(A1509="",0,IFERROR(MATCH(A1509,Bank!$A:$A,0),0))</f>
        <v>0</v>
      </c>
      <c r="C1509" s="5" t="str">
        <f aca="false">IF(B1509=0,"",IF(INDEX(Bank!$G:$G,B1509)="","",INDEX(Bank!$G:$G,B1509)))</f>
        <v/>
      </c>
      <c r="D1509" s="5" t="str">
        <f aca="false">IF(B1509=0,"",IF(INDEX(Bank!$J:$J,B1509)="","",INDEX(Bank!$J:$J,B1509)))</f>
        <v/>
      </c>
      <c r="E1509" s="32" t="str">
        <f aca="false">IF(B1509=0,"",INDEX(Bank!$B:$B,B1509))</f>
        <v/>
      </c>
      <c r="F1509" s="5" t="str">
        <f aca="false">IF(B1509=0,"",IF(INDEX(Bank!$C:$C,B1509)="","",INDEX(Bank!$C:$C,B1509)))</f>
        <v/>
      </c>
      <c r="G1509" s="19" t="str">
        <f aca="false">IF(B1509=0,"",INDEX(Bank!$E:$E,B1509))</f>
        <v/>
      </c>
      <c r="H1509" s="5" t="str">
        <f aca="false">IF(B1509=0,"",IF(INDEX(Bank!$H:$H,B1509)="","",INDEX(Bank!$H:$H,B1509)))</f>
        <v/>
      </c>
      <c r="I1509" s="5" t="n">
        <f aca="false">IF(H1509="",0,IFERROR(MATCH(H1509,GL!$A:$A,0),0))</f>
        <v>0</v>
      </c>
      <c r="J1509" s="32" t="str">
        <f aca="false">IF(I1509=0,"",INDEX(GL!$B:$B,I1509))</f>
        <v/>
      </c>
      <c r="K1509" s="5" t="str">
        <f aca="false">IF(I1509=0,"",IF(INDEX(GL!$C:$C,I1509)="","",INDEX(GL!$C:$C,I1509)))</f>
        <v/>
      </c>
      <c r="L1509" s="19" t="str">
        <f aca="false">IF(I1509=0,"",INDEX(GL!$E:$E,I1509))</f>
        <v/>
      </c>
      <c r="M1509" s="19" t="str">
        <f aca="false">IF(OR(B1509=0,I1509=0),"",ROUND(G1509-L1509,2))</f>
        <v/>
      </c>
      <c r="N1509" s="5" t="str">
        <f aca="false">IF(A1509="","",IF(B1509=0,"NOT FOUND: bank ID",IF(I1509=0,"NOT FOUND: GL ID",IF(INDEX(GL!$H:$H,I1509)&lt;&gt;A1509,"BROKEN: GL points elsewhere",IF(OR(INDEX(Bank!$F:$F,B1509)&lt;&gt;"Y",INDEX(GL!$F:$F,I1509)&lt;&gt;"Y"),"BROKEN: Status not Y","OK")))))</f>
        <v/>
      </c>
    </row>
    <row r="1510" customFormat="false" ht="15" hidden="false" customHeight="false" outlineLevel="0" collapsed="false">
      <c r="A1510" s="41"/>
      <c r="B1510" s="5" t="n">
        <f aca="false">IF(A1510="",0,IFERROR(MATCH(A1510,Bank!$A:$A,0),0))</f>
        <v>0</v>
      </c>
      <c r="C1510" s="5" t="str">
        <f aca="false">IF(B1510=0,"",IF(INDEX(Bank!$G:$G,B1510)="","",INDEX(Bank!$G:$G,B1510)))</f>
        <v/>
      </c>
      <c r="D1510" s="5" t="str">
        <f aca="false">IF(B1510=0,"",IF(INDEX(Bank!$J:$J,B1510)="","",INDEX(Bank!$J:$J,B1510)))</f>
        <v/>
      </c>
      <c r="E1510" s="32" t="str">
        <f aca="false">IF(B1510=0,"",INDEX(Bank!$B:$B,B1510))</f>
        <v/>
      </c>
      <c r="F1510" s="5" t="str">
        <f aca="false">IF(B1510=0,"",IF(INDEX(Bank!$C:$C,B1510)="","",INDEX(Bank!$C:$C,B1510)))</f>
        <v/>
      </c>
      <c r="G1510" s="19" t="str">
        <f aca="false">IF(B1510=0,"",INDEX(Bank!$E:$E,B1510))</f>
        <v/>
      </c>
      <c r="H1510" s="5" t="str">
        <f aca="false">IF(B1510=0,"",IF(INDEX(Bank!$H:$H,B1510)="","",INDEX(Bank!$H:$H,B1510)))</f>
        <v/>
      </c>
      <c r="I1510" s="5" t="n">
        <f aca="false">IF(H1510="",0,IFERROR(MATCH(H1510,GL!$A:$A,0),0))</f>
        <v>0</v>
      </c>
      <c r="J1510" s="32" t="str">
        <f aca="false">IF(I1510=0,"",INDEX(GL!$B:$B,I1510))</f>
        <v/>
      </c>
      <c r="K1510" s="5" t="str">
        <f aca="false">IF(I1510=0,"",IF(INDEX(GL!$C:$C,I1510)="","",INDEX(GL!$C:$C,I1510)))</f>
        <v/>
      </c>
      <c r="L1510" s="19" t="str">
        <f aca="false">IF(I1510=0,"",INDEX(GL!$E:$E,I1510))</f>
        <v/>
      </c>
      <c r="M1510" s="19" t="str">
        <f aca="false">IF(OR(B1510=0,I1510=0),"",ROUND(G1510-L1510,2))</f>
        <v/>
      </c>
      <c r="N1510" s="5" t="str">
        <f aca="false">IF(A1510="","",IF(B1510=0,"NOT FOUND: bank ID",IF(I1510=0,"NOT FOUND: GL ID",IF(INDEX(GL!$H:$H,I1510)&lt;&gt;A1510,"BROKEN: GL points elsewhere",IF(OR(INDEX(Bank!$F:$F,B1510)&lt;&gt;"Y",INDEX(GL!$F:$F,I1510)&lt;&gt;"Y"),"BROKEN: Status not Y","OK")))))</f>
        <v/>
      </c>
    </row>
    <row r="1511" customFormat="false" ht="15" hidden="false" customHeight="false" outlineLevel="0" collapsed="false">
      <c r="A1511" s="41"/>
      <c r="B1511" s="5" t="n">
        <f aca="false">IF(A1511="",0,IFERROR(MATCH(A1511,Bank!$A:$A,0),0))</f>
        <v>0</v>
      </c>
      <c r="C1511" s="5" t="str">
        <f aca="false">IF(B1511=0,"",IF(INDEX(Bank!$G:$G,B1511)="","",INDEX(Bank!$G:$G,B1511)))</f>
        <v/>
      </c>
      <c r="D1511" s="5" t="str">
        <f aca="false">IF(B1511=0,"",IF(INDEX(Bank!$J:$J,B1511)="","",INDEX(Bank!$J:$J,B1511)))</f>
        <v/>
      </c>
      <c r="E1511" s="32" t="str">
        <f aca="false">IF(B1511=0,"",INDEX(Bank!$B:$B,B1511))</f>
        <v/>
      </c>
      <c r="F1511" s="5" t="str">
        <f aca="false">IF(B1511=0,"",IF(INDEX(Bank!$C:$C,B1511)="","",INDEX(Bank!$C:$C,B1511)))</f>
        <v/>
      </c>
      <c r="G1511" s="19" t="str">
        <f aca="false">IF(B1511=0,"",INDEX(Bank!$E:$E,B1511))</f>
        <v/>
      </c>
      <c r="H1511" s="5" t="str">
        <f aca="false">IF(B1511=0,"",IF(INDEX(Bank!$H:$H,B1511)="","",INDEX(Bank!$H:$H,B1511)))</f>
        <v/>
      </c>
      <c r="I1511" s="5" t="n">
        <f aca="false">IF(H1511="",0,IFERROR(MATCH(H1511,GL!$A:$A,0),0))</f>
        <v>0</v>
      </c>
      <c r="J1511" s="32" t="str">
        <f aca="false">IF(I1511=0,"",INDEX(GL!$B:$B,I1511))</f>
        <v/>
      </c>
      <c r="K1511" s="5" t="str">
        <f aca="false">IF(I1511=0,"",IF(INDEX(GL!$C:$C,I1511)="","",INDEX(GL!$C:$C,I1511)))</f>
        <v/>
      </c>
      <c r="L1511" s="19" t="str">
        <f aca="false">IF(I1511=0,"",INDEX(GL!$E:$E,I1511))</f>
        <v/>
      </c>
      <c r="M1511" s="19" t="str">
        <f aca="false">IF(OR(B1511=0,I1511=0),"",ROUND(G1511-L1511,2))</f>
        <v/>
      </c>
      <c r="N1511" s="5" t="str">
        <f aca="false">IF(A1511="","",IF(B1511=0,"NOT FOUND: bank ID",IF(I1511=0,"NOT FOUND: GL ID",IF(INDEX(GL!$H:$H,I1511)&lt;&gt;A1511,"BROKEN: GL points elsewhere",IF(OR(INDEX(Bank!$F:$F,B1511)&lt;&gt;"Y",INDEX(GL!$F:$F,I1511)&lt;&gt;"Y"),"BROKEN: Status not Y","OK")))))</f>
        <v/>
      </c>
    </row>
    <row r="1512" customFormat="false" ht="15" hidden="false" customHeight="false" outlineLevel="0" collapsed="false">
      <c r="A1512" s="41"/>
      <c r="B1512" s="5" t="n">
        <f aca="false">IF(A1512="",0,IFERROR(MATCH(A1512,Bank!$A:$A,0),0))</f>
        <v>0</v>
      </c>
      <c r="C1512" s="5" t="str">
        <f aca="false">IF(B1512=0,"",IF(INDEX(Bank!$G:$G,B1512)="","",INDEX(Bank!$G:$G,B1512)))</f>
        <v/>
      </c>
      <c r="D1512" s="5" t="str">
        <f aca="false">IF(B1512=0,"",IF(INDEX(Bank!$J:$J,B1512)="","",INDEX(Bank!$J:$J,B1512)))</f>
        <v/>
      </c>
      <c r="E1512" s="32" t="str">
        <f aca="false">IF(B1512=0,"",INDEX(Bank!$B:$B,B1512))</f>
        <v/>
      </c>
      <c r="F1512" s="5" t="str">
        <f aca="false">IF(B1512=0,"",IF(INDEX(Bank!$C:$C,B1512)="","",INDEX(Bank!$C:$C,B1512)))</f>
        <v/>
      </c>
      <c r="G1512" s="19" t="str">
        <f aca="false">IF(B1512=0,"",INDEX(Bank!$E:$E,B1512))</f>
        <v/>
      </c>
      <c r="H1512" s="5" t="str">
        <f aca="false">IF(B1512=0,"",IF(INDEX(Bank!$H:$H,B1512)="","",INDEX(Bank!$H:$H,B1512)))</f>
        <v/>
      </c>
      <c r="I1512" s="5" t="n">
        <f aca="false">IF(H1512="",0,IFERROR(MATCH(H1512,GL!$A:$A,0),0))</f>
        <v>0</v>
      </c>
      <c r="J1512" s="32" t="str">
        <f aca="false">IF(I1512=0,"",INDEX(GL!$B:$B,I1512))</f>
        <v/>
      </c>
      <c r="K1512" s="5" t="str">
        <f aca="false">IF(I1512=0,"",IF(INDEX(GL!$C:$C,I1512)="","",INDEX(GL!$C:$C,I1512)))</f>
        <v/>
      </c>
      <c r="L1512" s="19" t="str">
        <f aca="false">IF(I1512=0,"",INDEX(GL!$E:$E,I1512))</f>
        <v/>
      </c>
      <c r="M1512" s="19" t="str">
        <f aca="false">IF(OR(B1512=0,I1512=0),"",ROUND(G1512-L1512,2))</f>
        <v/>
      </c>
      <c r="N1512" s="5" t="str">
        <f aca="false">IF(A1512="","",IF(B1512=0,"NOT FOUND: bank ID",IF(I1512=0,"NOT FOUND: GL ID",IF(INDEX(GL!$H:$H,I1512)&lt;&gt;A1512,"BROKEN: GL points elsewhere",IF(OR(INDEX(Bank!$F:$F,B1512)&lt;&gt;"Y",INDEX(GL!$F:$F,I1512)&lt;&gt;"Y"),"BROKEN: Status not Y","OK")))))</f>
        <v/>
      </c>
    </row>
    <row r="1513" customFormat="false" ht="15" hidden="false" customHeight="false" outlineLevel="0" collapsed="false">
      <c r="A1513" s="41"/>
      <c r="B1513" s="5" t="n">
        <f aca="false">IF(A1513="",0,IFERROR(MATCH(A1513,Bank!$A:$A,0),0))</f>
        <v>0</v>
      </c>
      <c r="C1513" s="5" t="str">
        <f aca="false">IF(B1513=0,"",IF(INDEX(Bank!$G:$G,B1513)="","",INDEX(Bank!$G:$G,B1513)))</f>
        <v/>
      </c>
      <c r="D1513" s="5" t="str">
        <f aca="false">IF(B1513=0,"",IF(INDEX(Bank!$J:$J,B1513)="","",INDEX(Bank!$J:$J,B1513)))</f>
        <v/>
      </c>
      <c r="E1513" s="32" t="str">
        <f aca="false">IF(B1513=0,"",INDEX(Bank!$B:$B,B1513))</f>
        <v/>
      </c>
      <c r="F1513" s="5" t="str">
        <f aca="false">IF(B1513=0,"",IF(INDEX(Bank!$C:$C,B1513)="","",INDEX(Bank!$C:$C,B1513)))</f>
        <v/>
      </c>
      <c r="G1513" s="19" t="str">
        <f aca="false">IF(B1513=0,"",INDEX(Bank!$E:$E,B1513))</f>
        <v/>
      </c>
      <c r="H1513" s="5" t="str">
        <f aca="false">IF(B1513=0,"",IF(INDEX(Bank!$H:$H,B1513)="","",INDEX(Bank!$H:$H,B1513)))</f>
        <v/>
      </c>
      <c r="I1513" s="5" t="n">
        <f aca="false">IF(H1513="",0,IFERROR(MATCH(H1513,GL!$A:$A,0),0))</f>
        <v>0</v>
      </c>
      <c r="J1513" s="32" t="str">
        <f aca="false">IF(I1513=0,"",INDEX(GL!$B:$B,I1513))</f>
        <v/>
      </c>
      <c r="K1513" s="5" t="str">
        <f aca="false">IF(I1513=0,"",IF(INDEX(GL!$C:$C,I1513)="","",INDEX(GL!$C:$C,I1513)))</f>
        <v/>
      </c>
      <c r="L1513" s="19" t="str">
        <f aca="false">IF(I1513=0,"",INDEX(GL!$E:$E,I1513))</f>
        <v/>
      </c>
      <c r="M1513" s="19" t="str">
        <f aca="false">IF(OR(B1513=0,I1513=0),"",ROUND(G1513-L1513,2))</f>
        <v/>
      </c>
      <c r="N1513" s="5" t="str">
        <f aca="false">IF(A1513="","",IF(B1513=0,"NOT FOUND: bank ID",IF(I1513=0,"NOT FOUND: GL ID",IF(INDEX(GL!$H:$H,I1513)&lt;&gt;A1513,"BROKEN: GL points elsewhere",IF(OR(INDEX(Bank!$F:$F,B1513)&lt;&gt;"Y",INDEX(GL!$F:$F,I1513)&lt;&gt;"Y"),"BROKEN: Status not Y","OK")))))</f>
        <v/>
      </c>
    </row>
    <row r="1514" customFormat="false" ht="15" hidden="false" customHeight="false" outlineLevel="0" collapsed="false">
      <c r="A1514" s="41"/>
      <c r="B1514" s="5" t="n">
        <f aca="false">IF(A1514="",0,IFERROR(MATCH(A1514,Bank!$A:$A,0),0))</f>
        <v>0</v>
      </c>
      <c r="C1514" s="5" t="str">
        <f aca="false">IF(B1514=0,"",IF(INDEX(Bank!$G:$G,B1514)="","",INDEX(Bank!$G:$G,B1514)))</f>
        <v/>
      </c>
      <c r="D1514" s="5" t="str">
        <f aca="false">IF(B1514=0,"",IF(INDEX(Bank!$J:$J,B1514)="","",INDEX(Bank!$J:$J,B1514)))</f>
        <v/>
      </c>
      <c r="E1514" s="32" t="str">
        <f aca="false">IF(B1514=0,"",INDEX(Bank!$B:$B,B1514))</f>
        <v/>
      </c>
      <c r="F1514" s="5" t="str">
        <f aca="false">IF(B1514=0,"",IF(INDEX(Bank!$C:$C,B1514)="","",INDEX(Bank!$C:$C,B1514)))</f>
        <v/>
      </c>
      <c r="G1514" s="19" t="str">
        <f aca="false">IF(B1514=0,"",INDEX(Bank!$E:$E,B1514))</f>
        <v/>
      </c>
      <c r="H1514" s="5" t="str">
        <f aca="false">IF(B1514=0,"",IF(INDEX(Bank!$H:$H,B1514)="","",INDEX(Bank!$H:$H,B1514)))</f>
        <v/>
      </c>
      <c r="I1514" s="5" t="n">
        <f aca="false">IF(H1514="",0,IFERROR(MATCH(H1514,GL!$A:$A,0),0))</f>
        <v>0</v>
      </c>
      <c r="J1514" s="32" t="str">
        <f aca="false">IF(I1514=0,"",INDEX(GL!$B:$B,I1514))</f>
        <v/>
      </c>
      <c r="K1514" s="5" t="str">
        <f aca="false">IF(I1514=0,"",IF(INDEX(GL!$C:$C,I1514)="","",INDEX(GL!$C:$C,I1514)))</f>
        <v/>
      </c>
      <c r="L1514" s="19" t="str">
        <f aca="false">IF(I1514=0,"",INDEX(GL!$E:$E,I1514))</f>
        <v/>
      </c>
      <c r="M1514" s="19" t="str">
        <f aca="false">IF(OR(B1514=0,I1514=0),"",ROUND(G1514-L1514,2))</f>
        <v/>
      </c>
      <c r="N1514" s="5" t="str">
        <f aca="false">IF(A1514="","",IF(B1514=0,"NOT FOUND: bank ID",IF(I1514=0,"NOT FOUND: GL ID",IF(INDEX(GL!$H:$H,I1514)&lt;&gt;A1514,"BROKEN: GL points elsewhere",IF(OR(INDEX(Bank!$F:$F,B1514)&lt;&gt;"Y",INDEX(GL!$F:$F,I1514)&lt;&gt;"Y"),"BROKEN: Status not Y","OK")))))</f>
        <v/>
      </c>
    </row>
    <row r="1515" customFormat="false" ht="15" hidden="false" customHeight="false" outlineLevel="0" collapsed="false">
      <c r="A1515" s="41"/>
      <c r="B1515" s="5" t="n">
        <f aca="false">IF(A1515="",0,IFERROR(MATCH(A1515,Bank!$A:$A,0),0))</f>
        <v>0</v>
      </c>
      <c r="C1515" s="5" t="str">
        <f aca="false">IF(B1515=0,"",IF(INDEX(Bank!$G:$G,B1515)="","",INDEX(Bank!$G:$G,B1515)))</f>
        <v/>
      </c>
      <c r="D1515" s="5" t="str">
        <f aca="false">IF(B1515=0,"",IF(INDEX(Bank!$J:$J,B1515)="","",INDEX(Bank!$J:$J,B1515)))</f>
        <v/>
      </c>
      <c r="E1515" s="32" t="str">
        <f aca="false">IF(B1515=0,"",INDEX(Bank!$B:$B,B1515))</f>
        <v/>
      </c>
      <c r="F1515" s="5" t="str">
        <f aca="false">IF(B1515=0,"",IF(INDEX(Bank!$C:$C,B1515)="","",INDEX(Bank!$C:$C,B1515)))</f>
        <v/>
      </c>
      <c r="G1515" s="19" t="str">
        <f aca="false">IF(B1515=0,"",INDEX(Bank!$E:$E,B1515))</f>
        <v/>
      </c>
      <c r="H1515" s="5" t="str">
        <f aca="false">IF(B1515=0,"",IF(INDEX(Bank!$H:$H,B1515)="","",INDEX(Bank!$H:$H,B1515)))</f>
        <v/>
      </c>
      <c r="I1515" s="5" t="n">
        <f aca="false">IF(H1515="",0,IFERROR(MATCH(H1515,GL!$A:$A,0),0))</f>
        <v>0</v>
      </c>
      <c r="J1515" s="32" t="str">
        <f aca="false">IF(I1515=0,"",INDEX(GL!$B:$B,I1515))</f>
        <v/>
      </c>
      <c r="K1515" s="5" t="str">
        <f aca="false">IF(I1515=0,"",IF(INDEX(GL!$C:$C,I1515)="","",INDEX(GL!$C:$C,I1515)))</f>
        <v/>
      </c>
      <c r="L1515" s="19" t="str">
        <f aca="false">IF(I1515=0,"",INDEX(GL!$E:$E,I1515))</f>
        <v/>
      </c>
      <c r="M1515" s="19" t="str">
        <f aca="false">IF(OR(B1515=0,I1515=0),"",ROUND(G1515-L1515,2))</f>
        <v/>
      </c>
      <c r="N1515" s="5" t="str">
        <f aca="false">IF(A1515="","",IF(B1515=0,"NOT FOUND: bank ID",IF(I1515=0,"NOT FOUND: GL ID",IF(INDEX(GL!$H:$H,I1515)&lt;&gt;A1515,"BROKEN: GL points elsewhere",IF(OR(INDEX(Bank!$F:$F,B1515)&lt;&gt;"Y",INDEX(GL!$F:$F,I1515)&lt;&gt;"Y"),"BROKEN: Status not Y","OK")))))</f>
        <v/>
      </c>
    </row>
    <row r="1516" customFormat="false" ht="15" hidden="false" customHeight="false" outlineLevel="0" collapsed="false">
      <c r="A1516" s="41"/>
      <c r="B1516" s="5" t="n">
        <f aca="false">IF(A1516="",0,IFERROR(MATCH(A1516,Bank!$A:$A,0),0))</f>
        <v>0</v>
      </c>
      <c r="C1516" s="5" t="str">
        <f aca="false">IF(B1516=0,"",IF(INDEX(Bank!$G:$G,B1516)="","",INDEX(Bank!$G:$G,B1516)))</f>
        <v/>
      </c>
      <c r="D1516" s="5" t="str">
        <f aca="false">IF(B1516=0,"",IF(INDEX(Bank!$J:$J,B1516)="","",INDEX(Bank!$J:$J,B1516)))</f>
        <v/>
      </c>
      <c r="E1516" s="32" t="str">
        <f aca="false">IF(B1516=0,"",INDEX(Bank!$B:$B,B1516))</f>
        <v/>
      </c>
      <c r="F1516" s="5" t="str">
        <f aca="false">IF(B1516=0,"",IF(INDEX(Bank!$C:$C,B1516)="","",INDEX(Bank!$C:$C,B1516)))</f>
        <v/>
      </c>
      <c r="G1516" s="19" t="str">
        <f aca="false">IF(B1516=0,"",INDEX(Bank!$E:$E,B1516))</f>
        <v/>
      </c>
      <c r="H1516" s="5" t="str">
        <f aca="false">IF(B1516=0,"",IF(INDEX(Bank!$H:$H,B1516)="","",INDEX(Bank!$H:$H,B1516)))</f>
        <v/>
      </c>
      <c r="I1516" s="5" t="n">
        <f aca="false">IF(H1516="",0,IFERROR(MATCH(H1516,GL!$A:$A,0),0))</f>
        <v>0</v>
      </c>
      <c r="J1516" s="32" t="str">
        <f aca="false">IF(I1516=0,"",INDEX(GL!$B:$B,I1516))</f>
        <v/>
      </c>
      <c r="K1516" s="5" t="str">
        <f aca="false">IF(I1516=0,"",IF(INDEX(GL!$C:$C,I1516)="","",INDEX(GL!$C:$C,I1516)))</f>
        <v/>
      </c>
      <c r="L1516" s="19" t="str">
        <f aca="false">IF(I1516=0,"",INDEX(GL!$E:$E,I1516))</f>
        <v/>
      </c>
      <c r="M1516" s="19" t="str">
        <f aca="false">IF(OR(B1516=0,I1516=0),"",ROUND(G1516-L1516,2))</f>
        <v/>
      </c>
      <c r="N1516" s="5" t="str">
        <f aca="false">IF(A1516="","",IF(B1516=0,"NOT FOUND: bank ID",IF(I1516=0,"NOT FOUND: GL ID",IF(INDEX(GL!$H:$H,I1516)&lt;&gt;A1516,"BROKEN: GL points elsewhere",IF(OR(INDEX(Bank!$F:$F,B1516)&lt;&gt;"Y",INDEX(GL!$F:$F,I1516)&lt;&gt;"Y"),"BROKEN: Status not Y","OK")))))</f>
        <v/>
      </c>
    </row>
    <row r="1517" customFormat="false" ht="15" hidden="false" customHeight="false" outlineLevel="0" collapsed="false">
      <c r="A1517" s="41"/>
      <c r="B1517" s="5" t="n">
        <f aca="false">IF(A1517="",0,IFERROR(MATCH(A1517,Bank!$A:$A,0),0))</f>
        <v>0</v>
      </c>
      <c r="C1517" s="5" t="str">
        <f aca="false">IF(B1517=0,"",IF(INDEX(Bank!$G:$G,B1517)="","",INDEX(Bank!$G:$G,B1517)))</f>
        <v/>
      </c>
      <c r="D1517" s="5" t="str">
        <f aca="false">IF(B1517=0,"",IF(INDEX(Bank!$J:$J,B1517)="","",INDEX(Bank!$J:$J,B1517)))</f>
        <v/>
      </c>
      <c r="E1517" s="32" t="str">
        <f aca="false">IF(B1517=0,"",INDEX(Bank!$B:$B,B1517))</f>
        <v/>
      </c>
      <c r="F1517" s="5" t="str">
        <f aca="false">IF(B1517=0,"",IF(INDEX(Bank!$C:$C,B1517)="","",INDEX(Bank!$C:$C,B1517)))</f>
        <v/>
      </c>
      <c r="G1517" s="19" t="str">
        <f aca="false">IF(B1517=0,"",INDEX(Bank!$E:$E,B1517))</f>
        <v/>
      </c>
      <c r="H1517" s="5" t="str">
        <f aca="false">IF(B1517=0,"",IF(INDEX(Bank!$H:$H,B1517)="","",INDEX(Bank!$H:$H,B1517)))</f>
        <v/>
      </c>
      <c r="I1517" s="5" t="n">
        <f aca="false">IF(H1517="",0,IFERROR(MATCH(H1517,GL!$A:$A,0),0))</f>
        <v>0</v>
      </c>
      <c r="J1517" s="32" t="str">
        <f aca="false">IF(I1517=0,"",INDEX(GL!$B:$B,I1517))</f>
        <v/>
      </c>
      <c r="K1517" s="5" t="str">
        <f aca="false">IF(I1517=0,"",IF(INDEX(GL!$C:$C,I1517)="","",INDEX(GL!$C:$C,I1517)))</f>
        <v/>
      </c>
      <c r="L1517" s="19" t="str">
        <f aca="false">IF(I1517=0,"",INDEX(GL!$E:$E,I1517))</f>
        <v/>
      </c>
      <c r="M1517" s="19" t="str">
        <f aca="false">IF(OR(B1517=0,I1517=0),"",ROUND(G1517-L1517,2))</f>
        <v/>
      </c>
      <c r="N1517" s="5" t="str">
        <f aca="false">IF(A1517="","",IF(B1517=0,"NOT FOUND: bank ID",IF(I1517=0,"NOT FOUND: GL ID",IF(INDEX(GL!$H:$H,I1517)&lt;&gt;A1517,"BROKEN: GL points elsewhere",IF(OR(INDEX(Bank!$F:$F,B1517)&lt;&gt;"Y",INDEX(GL!$F:$F,I1517)&lt;&gt;"Y"),"BROKEN: Status not Y","OK")))))</f>
        <v/>
      </c>
    </row>
    <row r="1518" customFormat="false" ht="15" hidden="false" customHeight="false" outlineLevel="0" collapsed="false">
      <c r="A1518" s="41"/>
      <c r="B1518" s="5" t="n">
        <f aca="false">IF(A1518="",0,IFERROR(MATCH(A1518,Bank!$A:$A,0),0))</f>
        <v>0</v>
      </c>
      <c r="C1518" s="5" t="str">
        <f aca="false">IF(B1518=0,"",IF(INDEX(Bank!$G:$G,B1518)="","",INDEX(Bank!$G:$G,B1518)))</f>
        <v/>
      </c>
      <c r="D1518" s="5" t="str">
        <f aca="false">IF(B1518=0,"",IF(INDEX(Bank!$J:$J,B1518)="","",INDEX(Bank!$J:$J,B1518)))</f>
        <v/>
      </c>
      <c r="E1518" s="32" t="str">
        <f aca="false">IF(B1518=0,"",INDEX(Bank!$B:$B,B1518))</f>
        <v/>
      </c>
      <c r="F1518" s="5" t="str">
        <f aca="false">IF(B1518=0,"",IF(INDEX(Bank!$C:$C,B1518)="","",INDEX(Bank!$C:$C,B1518)))</f>
        <v/>
      </c>
      <c r="G1518" s="19" t="str">
        <f aca="false">IF(B1518=0,"",INDEX(Bank!$E:$E,B1518))</f>
        <v/>
      </c>
      <c r="H1518" s="5" t="str">
        <f aca="false">IF(B1518=0,"",IF(INDEX(Bank!$H:$H,B1518)="","",INDEX(Bank!$H:$H,B1518)))</f>
        <v/>
      </c>
      <c r="I1518" s="5" t="n">
        <f aca="false">IF(H1518="",0,IFERROR(MATCH(H1518,GL!$A:$A,0),0))</f>
        <v>0</v>
      </c>
      <c r="J1518" s="32" t="str">
        <f aca="false">IF(I1518=0,"",INDEX(GL!$B:$B,I1518))</f>
        <v/>
      </c>
      <c r="K1518" s="5" t="str">
        <f aca="false">IF(I1518=0,"",IF(INDEX(GL!$C:$C,I1518)="","",INDEX(GL!$C:$C,I1518)))</f>
        <v/>
      </c>
      <c r="L1518" s="19" t="str">
        <f aca="false">IF(I1518=0,"",INDEX(GL!$E:$E,I1518))</f>
        <v/>
      </c>
      <c r="M1518" s="19" t="str">
        <f aca="false">IF(OR(B1518=0,I1518=0),"",ROUND(G1518-L1518,2))</f>
        <v/>
      </c>
      <c r="N1518" s="5" t="str">
        <f aca="false">IF(A1518="","",IF(B1518=0,"NOT FOUND: bank ID",IF(I1518=0,"NOT FOUND: GL ID",IF(INDEX(GL!$H:$H,I1518)&lt;&gt;A1518,"BROKEN: GL points elsewhere",IF(OR(INDEX(Bank!$F:$F,B1518)&lt;&gt;"Y",INDEX(GL!$F:$F,I1518)&lt;&gt;"Y"),"BROKEN: Status not Y","OK")))))</f>
        <v/>
      </c>
    </row>
    <row r="1519" customFormat="false" ht="15" hidden="false" customHeight="false" outlineLevel="0" collapsed="false">
      <c r="A1519" s="41"/>
      <c r="B1519" s="5" t="n">
        <f aca="false">IF(A1519="",0,IFERROR(MATCH(A1519,Bank!$A:$A,0),0))</f>
        <v>0</v>
      </c>
      <c r="C1519" s="5" t="str">
        <f aca="false">IF(B1519=0,"",IF(INDEX(Bank!$G:$G,B1519)="","",INDEX(Bank!$G:$G,B1519)))</f>
        <v/>
      </c>
      <c r="D1519" s="5" t="str">
        <f aca="false">IF(B1519=0,"",IF(INDEX(Bank!$J:$J,B1519)="","",INDEX(Bank!$J:$J,B1519)))</f>
        <v/>
      </c>
      <c r="E1519" s="32" t="str">
        <f aca="false">IF(B1519=0,"",INDEX(Bank!$B:$B,B1519))</f>
        <v/>
      </c>
      <c r="F1519" s="5" t="str">
        <f aca="false">IF(B1519=0,"",IF(INDEX(Bank!$C:$C,B1519)="","",INDEX(Bank!$C:$C,B1519)))</f>
        <v/>
      </c>
      <c r="G1519" s="19" t="str">
        <f aca="false">IF(B1519=0,"",INDEX(Bank!$E:$E,B1519))</f>
        <v/>
      </c>
      <c r="H1519" s="5" t="str">
        <f aca="false">IF(B1519=0,"",IF(INDEX(Bank!$H:$H,B1519)="","",INDEX(Bank!$H:$H,B1519)))</f>
        <v/>
      </c>
      <c r="I1519" s="5" t="n">
        <f aca="false">IF(H1519="",0,IFERROR(MATCH(H1519,GL!$A:$A,0),0))</f>
        <v>0</v>
      </c>
      <c r="J1519" s="32" t="str">
        <f aca="false">IF(I1519=0,"",INDEX(GL!$B:$B,I1519))</f>
        <v/>
      </c>
      <c r="K1519" s="5" t="str">
        <f aca="false">IF(I1519=0,"",IF(INDEX(GL!$C:$C,I1519)="","",INDEX(GL!$C:$C,I1519)))</f>
        <v/>
      </c>
      <c r="L1519" s="19" t="str">
        <f aca="false">IF(I1519=0,"",INDEX(GL!$E:$E,I1519))</f>
        <v/>
      </c>
      <c r="M1519" s="19" t="str">
        <f aca="false">IF(OR(B1519=0,I1519=0),"",ROUND(G1519-L1519,2))</f>
        <v/>
      </c>
      <c r="N1519" s="5" t="str">
        <f aca="false">IF(A1519="","",IF(B1519=0,"NOT FOUND: bank ID",IF(I1519=0,"NOT FOUND: GL ID",IF(INDEX(GL!$H:$H,I1519)&lt;&gt;A1519,"BROKEN: GL points elsewhere",IF(OR(INDEX(Bank!$F:$F,B1519)&lt;&gt;"Y",INDEX(GL!$F:$F,I1519)&lt;&gt;"Y"),"BROKEN: Status not Y","OK")))))</f>
        <v/>
      </c>
    </row>
    <row r="1520" customFormat="false" ht="15" hidden="false" customHeight="false" outlineLevel="0" collapsed="false">
      <c r="A1520" s="41"/>
      <c r="B1520" s="5" t="n">
        <f aca="false">IF(A1520="",0,IFERROR(MATCH(A1520,Bank!$A:$A,0),0))</f>
        <v>0</v>
      </c>
      <c r="C1520" s="5" t="str">
        <f aca="false">IF(B1520=0,"",IF(INDEX(Bank!$G:$G,B1520)="","",INDEX(Bank!$G:$G,B1520)))</f>
        <v/>
      </c>
      <c r="D1520" s="5" t="str">
        <f aca="false">IF(B1520=0,"",IF(INDEX(Bank!$J:$J,B1520)="","",INDEX(Bank!$J:$J,B1520)))</f>
        <v/>
      </c>
      <c r="E1520" s="32" t="str">
        <f aca="false">IF(B1520=0,"",INDEX(Bank!$B:$B,B1520))</f>
        <v/>
      </c>
      <c r="F1520" s="5" t="str">
        <f aca="false">IF(B1520=0,"",IF(INDEX(Bank!$C:$C,B1520)="","",INDEX(Bank!$C:$C,B1520)))</f>
        <v/>
      </c>
      <c r="G1520" s="19" t="str">
        <f aca="false">IF(B1520=0,"",INDEX(Bank!$E:$E,B1520))</f>
        <v/>
      </c>
      <c r="H1520" s="5" t="str">
        <f aca="false">IF(B1520=0,"",IF(INDEX(Bank!$H:$H,B1520)="","",INDEX(Bank!$H:$H,B1520)))</f>
        <v/>
      </c>
      <c r="I1520" s="5" t="n">
        <f aca="false">IF(H1520="",0,IFERROR(MATCH(H1520,GL!$A:$A,0),0))</f>
        <v>0</v>
      </c>
      <c r="J1520" s="32" t="str">
        <f aca="false">IF(I1520=0,"",INDEX(GL!$B:$B,I1520))</f>
        <v/>
      </c>
      <c r="K1520" s="5" t="str">
        <f aca="false">IF(I1520=0,"",IF(INDEX(GL!$C:$C,I1520)="","",INDEX(GL!$C:$C,I1520)))</f>
        <v/>
      </c>
      <c r="L1520" s="19" t="str">
        <f aca="false">IF(I1520=0,"",INDEX(GL!$E:$E,I1520))</f>
        <v/>
      </c>
      <c r="M1520" s="19" t="str">
        <f aca="false">IF(OR(B1520=0,I1520=0),"",ROUND(G1520-L1520,2))</f>
        <v/>
      </c>
      <c r="N1520" s="5" t="str">
        <f aca="false">IF(A1520="","",IF(B1520=0,"NOT FOUND: bank ID",IF(I1520=0,"NOT FOUND: GL ID",IF(INDEX(GL!$H:$H,I1520)&lt;&gt;A1520,"BROKEN: GL points elsewhere",IF(OR(INDEX(Bank!$F:$F,B1520)&lt;&gt;"Y",INDEX(GL!$F:$F,I1520)&lt;&gt;"Y"),"BROKEN: Status not Y","OK")))))</f>
        <v/>
      </c>
    </row>
    <row r="1521" customFormat="false" ht="15" hidden="false" customHeight="false" outlineLevel="0" collapsed="false">
      <c r="A1521" s="41"/>
      <c r="B1521" s="5" t="n">
        <f aca="false">IF(A1521="",0,IFERROR(MATCH(A1521,Bank!$A:$A,0),0))</f>
        <v>0</v>
      </c>
      <c r="C1521" s="5" t="str">
        <f aca="false">IF(B1521=0,"",IF(INDEX(Bank!$G:$G,B1521)="","",INDEX(Bank!$G:$G,B1521)))</f>
        <v/>
      </c>
      <c r="D1521" s="5" t="str">
        <f aca="false">IF(B1521=0,"",IF(INDEX(Bank!$J:$J,B1521)="","",INDEX(Bank!$J:$J,B1521)))</f>
        <v/>
      </c>
      <c r="E1521" s="32" t="str">
        <f aca="false">IF(B1521=0,"",INDEX(Bank!$B:$B,B1521))</f>
        <v/>
      </c>
      <c r="F1521" s="5" t="str">
        <f aca="false">IF(B1521=0,"",IF(INDEX(Bank!$C:$C,B1521)="","",INDEX(Bank!$C:$C,B1521)))</f>
        <v/>
      </c>
      <c r="G1521" s="19" t="str">
        <f aca="false">IF(B1521=0,"",INDEX(Bank!$E:$E,B1521))</f>
        <v/>
      </c>
      <c r="H1521" s="5" t="str">
        <f aca="false">IF(B1521=0,"",IF(INDEX(Bank!$H:$H,B1521)="","",INDEX(Bank!$H:$H,B1521)))</f>
        <v/>
      </c>
      <c r="I1521" s="5" t="n">
        <f aca="false">IF(H1521="",0,IFERROR(MATCH(H1521,GL!$A:$A,0),0))</f>
        <v>0</v>
      </c>
      <c r="J1521" s="32" t="str">
        <f aca="false">IF(I1521=0,"",INDEX(GL!$B:$B,I1521))</f>
        <v/>
      </c>
      <c r="K1521" s="5" t="str">
        <f aca="false">IF(I1521=0,"",IF(INDEX(GL!$C:$C,I1521)="","",INDEX(GL!$C:$C,I1521)))</f>
        <v/>
      </c>
      <c r="L1521" s="19" t="str">
        <f aca="false">IF(I1521=0,"",INDEX(GL!$E:$E,I1521))</f>
        <v/>
      </c>
      <c r="M1521" s="19" t="str">
        <f aca="false">IF(OR(B1521=0,I1521=0),"",ROUND(G1521-L1521,2))</f>
        <v/>
      </c>
      <c r="N1521" s="5" t="str">
        <f aca="false">IF(A1521="","",IF(B1521=0,"NOT FOUND: bank ID",IF(I1521=0,"NOT FOUND: GL ID",IF(INDEX(GL!$H:$H,I1521)&lt;&gt;A1521,"BROKEN: GL points elsewhere",IF(OR(INDEX(Bank!$F:$F,B1521)&lt;&gt;"Y",INDEX(GL!$F:$F,I1521)&lt;&gt;"Y"),"BROKEN: Status not Y","OK")))))</f>
        <v/>
      </c>
    </row>
    <row r="1522" customFormat="false" ht="15" hidden="false" customHeight="false" outlineLevel="0" collapsed="false">
      <c r="A1522" s="41"/>
      <c r="B1522" s="5" t="n">
        <f aca="false">IF(A1522="",0,IFERROR(MATCH(A1522,Bank!$A:$A,0),0))</f>
        <v>0</v>
      </c>
      <c r="C1522" s="5" t="str">
        <f aca="false">IF(B1522=0,"",IF(INDEX(Bank!$G:$G,B1522)="","",INDEX(Bank!$G:$G,B1522)))</f>
        <v/>
      </c>
      <c r="D1522" s="5" t="str">
        <f aca="false">IF(B1522=0,"",IF(INDEX(Bank!$J:$J,B1522)="","",INDEX(Bank!$J:$J,B1522)))</f>
        <v/>
      </c>
      <c r="E1522" s="32" t="str">
        <f aca="false">IF(B1522=0,"",INDEX(Bank!$B:$B,B1522))</f>
        <v/>
      </c>
      <c r="F1522" s="5" t="str">
        <f aca="false">IF(B1522=0,"",IF(INDEX(Bank!$C:$C,B1522)="","",INDEX(Bank!$C:$C,B1522)))</f>
        <v/>
      </c>
      <c r="G1522" s="19" t="str">
        <f aca="false">IF(B1522=0,"",INDEX(Bank!$E:$E,B1522))</f>
        <v/>
      </c>
      <c r="H1522" s="5" t="str">
        <f aca="false">IF(B1522=0,"",IF(INDEX(Bank!$H:$H,B1522)="","",INDEX(Bank!$H:$H,B1522)))</f>
        <v/>
      </c>
      <c r="I1522" s="5" t="n">
        <f aca="false">IF(H1522="",0,IFERROR(MATCH(H1522,GL!$A:$A,0),0))</f>
        <v>0</v>
      </c>
      <c r="J1522" s="32" t="str">
        <f aca="false">IF(I1522=0,"",INDEX(GL!$B:$B,I1522))</f>
        <v/>
      </c>
      <c r="K1522" s="5" t="str">
        <f aca="false">IF(I1522=0,"",IF(INDEX(GL!$C:$C,I1522)="","",INDEX(GL!$C:$C,I1522)))</f>
        <v/>
      </c>
      <c r="L1522" s="19" t="str">
        <f aca="false">IF(I1522=0,"",INDEX(GL!$E:$E,I1522))</f>
        <v/>
      </c>
      <c r="M1522" s="19" t="str">
        <f aca="false">IF(OR(B1522=0,I1522=0),"",ROUND(G1522-L1522,2))</f>
        <v/>
      </c>
      <c r="N1522" s="5" t="str">
        <f aca="false">IF(A1522="","",IF(B1522=0,"NOT FOUND: bank ID",IF(I1522=0,"NOT FOUND: GL ID",IF(INDEX(GL!$H:$H,I1522)&lt;&gt;A1522,"BROKEN: GL points elsewhere",IF(OR(INDEX(Bank!$F:$F,B1522)&lt;&gt;"Y",INDEX(GL!$F:$F,I1522)&lt;&gt;"Y"),"BROKEN: Status not Y","OK")))))</f>
        <v/>
      </c>
    </row>
    <row r="1523" customFormat="false" ht="15" hidden="false" customHeight="false" outlineLevel="0" collapsed="false">
      <c r="A1523" s="41"/>
      <c r="B1523" s="5" t="n">
        <f aca="false">IF(A1523="",0,IFERROR(MATCH(A1523,Bank!$A:$A,0),0))</f>
        <v>0</v>
      </c>
      <c r="C1523" s="5" t="str">
        <f aca="false">IF(B1523=0,"",IF(INDEX(Bank!$G:$G,B1523)="","",INDEX(Bank!$G:$G,B1523)))</f>
        <v/>
      </c>
      <c r="D1523" s="5" t="str">
        <f aca="false">IF(B1523=0,"",IF(INDEX(Bank!$J:$J,B1523)="","",INDEX(Bank!$J:$J,B1523)))</f>
        <v/>
      </c>
      <c r="E1523" s="32" t="str">
        <f aca="false">IF(B1523=0,"",INDEX(Bank!$B:$B,B1523))</f>
        <v/>
      </c>
      <c r="F1523" s="5" t="str">
        <f aca="false">IF(B1523=0,"",IF(INDEX(Bank!$C:$C,B1523)="","",INDEX(Bank!$C:$C,B1523)))</f>
        <v/>
      </c>
      <c r="G1523" s="19" t="str">
        <f aca="false">IF(B1523=0,"",INDEX(Bank!$E:$E,B1523))</f>
        <v/>
      </c>
      <c r="H1523" s="5" t="str">
        <f aca="false">IF(B1523=0,"",IF(INDEX(Bank!$H:$H,B1523)="","",INDEX(Bank!$H:$H,B1523)))</f>
        <v/>
      </c>
      <c r="I1523" s="5" t="n">
        <f aca="false">IF(H1523="",0,IFERROR(MATCH(H1523,GL!$A:$A,0),0))</f>
        <v>0</v>
      </c>
      <c r="J1523" s="32" t="str">
        <f aca="false">IF(I1523=0,"",INDEX(GL!$B:$B,I1523))</f>
        <v/>
      </c>
      <c r="K1523" s="5" t="str">
        <f aca="false">IF(I1523=0,"",IF(INDEX(GL!$C:$C,I1523)="","",INDEX(GL!$C:$C,I1523)))</f>
        <v/>
      </c>
      <c r="L1523" s="19" t="str">
        <f aca="false">IF(I1523=0,"",INDEX(GL!$E:$E,I1523))</f>
        <v/>
      </c>
      <c r="M1523" s="19" t="str">
        <f aca="false">IF(OR(B1523=0,I1523=0),"",ROUND(G1523-L1523,2))</f>
        <v/>
      </c>
      <c r="N1523" s="5" t="str">
        <f aca="false">IF(A1523="","",IF(B1523=0,"NOT FOUND: bank ID",IF(I1523=0,"NOT FOUND: GL ID",IF(INDEX(GL!$H:$H,I1523)&lt;&gt;A1523,"BROKEN: GL points elsewhere",IF(OR(INDEX(Bank!$F:$F,B1523)&lt;&gt;"Y",INDEX(GL!$F:$F,I1523)&lt;&gt;"Y"),"BROKEN: Status not Y","OK")))))</f>
        <v/>
      </c>
    </row>
    <row r="1524" customFormat="false" ht="15" hidden="false" customHeight="false" outlineLevel="0" collapsed="false">
      <c r="A1524" s="41"/>
      <c r="B1524" s="5" t="n">
        <f aca="false">IF(A1524="",0,IFERROR(MATCH(A1524,Bank!$A:$A,0),0))</f>
        <v>0</v>
      </c>
      <c r="C1524" s="5" t="str">
        <f aca="false">IF(B1524=0,"",IF(INDEX(Bank!$G:$G,B1524)="","",INDEX(Bank!$G:$G,B1524)))</f>
        <v/>
      </c>
      <c r="D1524" s="5" t="str">
        <f aca="false">IF(B1524=0,"",IF(INDEX(Bank!$J:$J,B1524)="","",INDEX(Bank!$J:$J,B1524)))</f>
        <v/>
      </c>
      <c r="E1524" s="32" t="str">
        <f aca="false">IF(B1524=0,"",INDEX(Bank!$B:$B,B1524))</f>
        <v/>
      </c>
      <c r="F1524" s="5" t="str">
        <f aca="false">IF(B1524=0,"",IF(INDEX(Bank!$C:$C,B1524)="","",INDEX(Bank!$C:$C,B1524)))</f>
        <v/>
      </c>
      <c r="G1524" s="19" t="str">
        <f aca="false">IF(B1524=0,"",INDEX(Bank!$E:$E,B1524))</f>
        <v/>
      </c>
      <c r="H1524" s="5" t="str">
        <f aca="false">IF(B1524=0,"",IF(INDEX(Bank!$H:$H,B1524)="","",INDEX(Bank!$H:$H,B1524)))</f>
        <v/>
      </c>
      <c r="I1524" s="5" t="n">
        <f aca="false">IF(H1524="",0,IFERROR(MATCH(H1524,GL!$A:$A,0),0))</f>
        <v>0</v>
      </c>
      <c r="J1524" s="32" t="str">
        <f aca="false">IF(I1524=0,"",INDEX(GL!$B:$B,I1524))</f>
        <v/>
      </c>
      <c r="K1524" s="5" t="str">
        <f aca="false">IF(I1524=0,"",IF(INDEX(GL!$C:$C,I1524)="","",INDEX(GL!$C:$C,I1524)))</f>
        <v/>
      </c>
      <c r="L1524" s="19" t="str">
        <f aca="false">IF(I1524=0,"",INDEX(GL!$E:$E,I1524))</f>
        <v/>
      </c>
      <c r="M1524" s="19" t="str">
        <f aca="false">IF(OR(B1524=0,I1524=0),"",ROUND(G1524-L1524,2))</f>
        <v/>
      </c>
      <c r="N1524" s="5" t="str">
        <f aca="false">IF(A1524="","",IF(B1524=0,"NOT FOUND: bank ID",IF(I1524=0,"NOT FOUND: GL ID",IF(INDEX(GL!$H:$H,I1524)&lt;&gt;A1524,"BROKEN: GL points elsewhere",IF(OR(INDEX(Bank!$F:$F,B1524)&lt;&gt;"Y",INDEX(GL!$F:$F,I1524)&lt;&gt;"Y"),"BROKEN: Status not Y","OK")))))</f>
        <v/>
      </c>
    </row>
    <row r="1525" customFormat="false" ht="15" hidden="false" customHeight="false" outlineLevel="0" collapsed="false">
      <c r="A1525" s="41"/>
      <c r="B1525" s="5" t="n">
        <f aca="false">IF(A1525="",0,IFERROR(MATCH(A1525,Bank!$A:$A,0),0))</f>
        <v>0</v>
      </c>
      <c r="C1525" s="5" t="str">
        <f aca="false">IF(B1525=0,"",IF(INDEX(Bank!$G:$G,B1525)="","",INDEX(Bank!$G:$G,B1525)))</f>
        <v/>
      </c>
      <c r="D1525" s="5" t="str">
        <f aca="false">IF(B1525=0,"",IF(INDEX(Bank!$J:$J,B1525)="","",INDEX(Bank!$J:$J,B1525)))</f>
        <v/>
      </c>
      <c r="E1525" s="32" t="str">
        <f aca="false">IF(B1525=0,"",INDEX(Bank!$B:$B,B1525))</f>
        <v/>
      </c>
      <c r="F1525" s="5" t="str">
        <f aca="false">IF(B1525=0,"",IF(INDEX(Bank!$C:$C,B1525)="","",INDEX(Bank!$C:$C,B1525)))</f>
        <v/>
      </c>
      <c r="G1525" s="19" t="str">
        <f aca="false">IF(B1525=0,"",INDEX(Bank!$E:$E,B1525))</f>
        <v/>
      </c>
      <c r="H1525" s="5" t="str">
        <f aca="false">IF(B1525=0,"",IF(INDEX(Bank!$H:$H,B1525)="","",INDEX(Bank!$H:$H,B1525)))</f>
        <v/>
      </c>
      <c r="I1525" s="5" t="n">
        <f aca="false">IF(H1525="",0,IFERROR(MATCH(H1525,GL!$A:$A,0),0))</f>
        <v>0</v>
      </c>
      <c r="J1525" s="32" t="str">
        <f aca="false">IF(I1525=0,"",INDEX(GL!$B:$B,I1525))</f>
        <v/>
      </c>
      <c r="K1525" s="5" t="str">
        <f aca="false">IF(I1525=0,"",IF(INDEX(GL!$C:$C,I1525)="","",INDEX(GL!$C:$C,I1525)))</f>
        <v/>
      </c>
      <c r="L1525" s="19" t="str">
        <f aca="false">IF(I1525=0,"",INDEX(GL!$E:$E,I1525))</f>
        <v/>
      </c>
      <c r="M1525" s="19" t="str">
        <f aca="false">IF(OR(B1525=0,I1525=0),"",ROUND(G1525-L1525,2))</f>
        <v/>
      </c>
      <c r="N1525" s="5" t="str">
        <f aca="false">IF(A1525="","",IF(B1525=0,"NOT FOUND: bank ID",IF(I1525=0,"NOT FOUND: GL ID",IF(INDEX(GL!$H:$H,I1525)&lt;&gt;A1525,"BROKEN: GL points elsewhere",IF(OR(INDEX(Bank!$F:$F,B1525)&lt;&gt;"Y",INDEX(GL!$F:$F,I1525)&lt;&gt;"Y"),"BROKEN: Status not Y","OK")))))</f>
        <v/>
      </c>
    </row>
    <row r="1526" customFormat="false" ht="15" hidden="false" customHeight="false" outlineLevel="0" collapsed="false">
      <c r="A1526" s="41"/>
      <c r="B1526" s="5" t="n">
        <f aca="false">IF(A1526="",0,IFERROR(MATCH(A1526,Bank!$A:$A,0),0))</f>
        <v>0</v>
      </c>
      <c r="C1526" s="5" t="str">
        <f aca="false">IF(B1526=0,"",IF(INDEX(Bank!$G:$G,B1526)="","",INDEX(Bank!$G:$G,B1526)))</f>
        <v/>
      </c>
      <c r="D1526" s="5" t="str">
        <f aca="false">IF(B1526=0,"",IF(INDEX(Bank!$J:$J,B1526)="","",INDEX(Bank!$J:$J,B1526)))</f>
        <v/>
      </c>
      <c r="E1526" s="32" t="str">
        <f aca="false">IF(B1526=0,"",INDEX(Bank!$B:$B,B1526))</f>
        <v/>
      </c>
      <c r="F1526" s="5" t="str">
        <f aca="false">IF(B1526=0,"",IF(INDEX(Bank!$C:$C,B1526)="","",INDEX(Bank!$C:$C,B1526)))</f>
        <v/>
      </c>
      <c r="G1526" s="19" t="str">
        <f aca="false">IF(B1526=0,"",INDEX(Bank!$E:$E,B1526))</f>
        <v/>
      </c>
      <c r="H1526" s="5" t="str">
        <f aca="false">IF(B1526=0,"",IF(INDEX(Bank!$H:$H,B1526)="","",INDEX(Bank!$H:$H,B1526)))</f>
        <v/>
      </c>
      <c r="I1526" s="5" t="n">
        <f aca="false">IF(H1526="",0,IFERROR(MATCH(H1526,GL!$A:$A,0),0))</f>
        <v>0</v>
      </c>
      <c r="J1526" s="32" t="str">
        <f aca="false">IF(I1526=0,"",INDEX(GL!$B:$B,I1526))</f>
        <v/>
      </c>
      <c r="K1526" s="5" t="str">
        <f aca="false">IF(I1526=0,"",IF(INDEX(GL!$C:$C,I1526)="","",INDEX(GL!$C:$C,I1526)))</f>
        <v/>
      </c>
      <c r="L1526" s="19" t="str">
        <f aca="false">IF(I1526=0,"",INDEX(GL!$E:$E,I1526))</f>
        <v/>
      </c>
      <c r="M1526" s="19" t="str">
        <f aca="false">IF(OR(B1526=0,I1526=0),"",ROUND(G1526-L1526,2))</f>
        <v/>
      </c>
      <c r="N1526" s="5" t="str">
        <f aca="false">IF(A1526="","",IF(B1526=0,"NOT FOUND: bank ID",IF(I1526=0,"NOT FOUND: GL ID",IF(INDEX(GL!$H:$H,I1526)&lt;&gt;A1526,"BROKEN: GL points elsewhere",IF(OR(INDEX(Bank!$F:$F,B1526)&lt;&gt;"Y",INDEX(GL!$F:$F,I1526)&lt;&gt;"Y"),"BROKEN: Status not Y","OK")))))</f>
        <v/>
      </c>
    </row>
    <row r="1527" customFormat="false" ht="15" hidden="false" customHeight="false" outlineLevel="0" collapsed="false">
      <c r="A1527" s="41"/>
      <c r="B1527" s="5" t="n">
        <f aca="false">IF(A1527="",0,IFERROR(MATCH(A1527,Bank!$A:$A,0),0))</f>
        <v>0</v>
      </c>
      <c r="C1527" s="5" t="str">
        <f aca="false">IF(B1527=0,"",IF(INDEX(Bank!$G:$G,B1527)="","",INDEX(Bank!$G:$G,B1527)))</f>
        <v/>
      </c>
      <c r="D1527" s="5" t="str">
        <f aca="false">IF(B1527=0,"",IF(INDEX(Bank!$J:$J,B1527)="","",INDEX(Bank!$J:$J,B1527)))</f>
        <v/>
      </c>
      <c r="E1527" s="32" t="str">
        <f aca="false">IF(B1527=0,"",INDEX(Bank!$B:$B,B1527))</f>
        <v/>
      </c>
      <c r="F1527" s="5" t="str">
        <f aca="false">IF(B1527=0,"",IF(INDEX(Bank!$C:$C,B1527)="","",INDEX(Bank!$C:$C,B1527)))</f>
        <v/>
      </c>
      <c r="G1527" s="19" t="str">
        <f aca="false">IF(B1527=0,"",INDEX(Bank!$E:$E,B1527))</f>
        <v/>
      </c>
      <c r="H1527" s="5" t="str">
        <f aca="false">IF(B1527=0,"",IF(INDEX(Bank!$H:$H,B1527)="","",INDEX(Bank!$H:$H,B1527)))</f>
        <v/>
      </c>
      <c r="I1527" s="5" t="n">
        <f aca="false">IF(H1527="",0,IFERROR(MATCH(H1527,GL!$A:$A,0),0))</f>
        <v>0</v>
      </c>
      <c r="J1527" s="32" t="str">
        <f aca="false">IF(I1527=0,"",INDEX(GL!$B:$B,I1527))</f>
        <v/>
      </c>
      <c r="K1527" s="5" t="str">
        <f aca="false">IF(I1527=0,"",IF(INDEX(GL!$C:$C,I1527)="","",INDEX(GL!$C:$C,I1527)))</f>
        <v/>
      </c>
      <c r="L1527" s="19" t="str">
        <f aca="false">IF(I1527=0,"",INDEX(GL!$E:$E,I1527))</f>
        <v/>
      </c>
      <c r="M1527" s="19" t="str">
        <f aca="false">IF(OR(B1527=0,I1527=0),"",ROUND(G1527-L1527,2))</f>
        <v/>
      </c>
      <c r="N1527" s="5" t="str">
        <f aca="false">IF(A1527="","",IF(B1527=0,"NOT FOUND: bank ID",IF(I1527=0,"NOT FOUND: GL ID",IF(INDEX(GL!$H:$H,I1527)&lt;&gt;A1527,"BROKEN: GL points elsewhere",IF(OR(INDEX(Bank!$F:$F,B1527)&lt;&gt;"Y",INDEX(GL!$F:$F,I1527)&lt;&gt;"Y"),"BROKEN: Status not Y","OK")))))</f>
        <v/>
      </c>
    </row>
    <row r="1528" customFormat="false" ht="15" hidden="false" customHeight="false" outlineLevel="0" collapsed="false">
      <c r="A1528" s="41"/>
      <c r="B1528" s="5" t="n">
        <f aca="false">IF(A1528="",0,IFERROR(MATCH(A1528,Bank!$A:$A,0),0))</f>
        <v>0</v>
      </c>
      <c r="C1528" s="5" t="str">
        <f aca="false">IF(B1528=0,"",IF(INDEX(Bank!$G:$G,B1528)="","",INDEX(Bank!$G:$G,B1528)))</f>
        <v/>
      </c>
      <c r="D1528" s="5" t="str">
        <f aca="false">IF(B1528=0,"",IF(INDEX(Bank!$J:$J,B1528)="","",INDEX(Bank!$J:$J,B1528)))</f>
        <v/>
      </c>
      <c r="E1528" s="32" t="str">
        <f aca="false">IF(B1528=0,"",INDEX(Bank!$B:$B,B1528))</f>
        <v/>
      </c>
      <c r="F1528" s="5" t="str">
        <f aca="false">IF(B1528=0,"",IF(INDEX(Bank!$C:$C,B1528)="","",INDEX(Bank!$C:$C,B1528)))</f>
        <v/>
      </c>
      <c r="G1528" s="19" t="str">
        <f aca="false">IF(B1528=0,"",INDEX(Bank!$E:$E,B1528))</f>
        <v/>
      </c>
      <c r="H1528" s="5" t="str">
        <f aca="false">IF(B1528=0,"",IF(INDEX(Bank!$H:$H,B1528)="","",INDEX(Bank!$H:$H,B1528)))</f>
        <v/>
      </c>
      <c r="I1528" s="5" t="n">
        <f aca="false">IF(H1528="",0,IFERROR(MATCH(H1528,GL!$A:$A,0),0))</f>
        <v>0</v>
      </c>
      <c r="J1528" s="32" t="str">
        <f aca="false">IF(I1528=0,"",INDEX(GL!$B:$B,I1528))</f>
        <v/>
      </c>
      <c r="K1528" s="5" t="str">
        <f aca="false">IF(I1528=0,"",IF(INDEX(GL!$C:$C,I1528)="","",INDEX(GL!$C:$C,I1528)))</f>
        <v/>
      </c>
      <c r="L1528" s="19" t="str">
        <f aca="false">IF(I1528=0,"",INDEX(GL!$E:$E,I1528))</f>
        <v/>
      </c>
      <c r="M1528" s="19" t="str">
        <f aca="false">IF(OR(B1528=0,I1528=0),"",ROUND(G1528-L1528,2))</f>
        <v/>
      </c>
      <c r="N1528" s="5" t="str">
        <f aca="false">IF(A1528="","",IF(B1528=0,"NOT FOUND: bank ID",IF(I1528=0,"NOT FOUND: GL ID",IF(INDEX(GL!$H:$H,I1528)&lt;&gt;A1528,"BROKEN: GL points elsewhere",IF(OR(INDEX(Bank!$F:$F,B1528)&lt;&gt;"Y",INDEX(GL!$F:$F,I1528)&lt;&gt;"Y"),"BROKEN: Status not Y","OK")))))</f>
        <v/>
      </c>
    </row>
    <row r="1529" customFormat="false" ht="15" hidden="false" customHeight="false" outlineLevel="0" collapsed="false">
      <c r="A1529" s="41"/>
      <c r="B1529" s="5" t="n">
        <f aca="false">IF(A1529="",0,IFERROR(MATCH(A1529,Bank!$A:$A,0),0))</f>
        <v>0</v>
      </c>
      <c r="C1529" s="5" t="str">
        <f aca="false">IF(B1529=0,"",IF(INDEX(Bank!$G:$G,B1529)="","",INDEX(Bank!$G:$G,B1529)))</f>
        <v/>
      </c>
      <c r="D1529" s="5" t="str">
        <f aca="false">IF(B1529=0,"",IF(INDEX(Bank!$J:$J,B1529)="","",INDEX(Bank!$J:$J,B1529)))</f>
        <v/>
      </c>
      <c r="E1529" s="32" t="str">
        <f aca="false">IF(B1529=0,"",INDEX(Bank!$B:$B,B1529))</f>
        <v/>
      </c>
      <c r="F1529" s="5" t="str">
        <f aca="false">IF(B1529=0,"",IF(INDEX(Bank!$C:$C,B1529)="","",INDEX(Bank!$C:$C,B1529)))</f>
        <v/>
      </c>
      <c r="G1529" s="19" t="str">
        <f aca="false">IF(B1529=0,"",INDEX(Bank!$E:$E,B1529))</f>
        <v/>
      </c>
      <c r="H1529" s="5" t="str">
        <f aca="false">IF(B1529=0,"",IF(INDEX(Bank!$H:$H,B1529)="","",INDEX(Bank!$H:$H,B1529)))</f>
        <v/>
      </c>
      <c r="I1529" s="5" t="n">
        <f aca="false">IF(H1529="",0,IFERROR(MATCH(H1529,GL!$A:$A,0),0))</f>
        <v>0</v>
      </c>
      <c r="J1529" s="32" t="str">
        <f aca="false">IF(I1529=0,"",INDEX(GL!$B:$B,I1529))</f>
        <v/>
      </c>
      <c r="K1529" s="5" t="str">
        <f aca="false">IF(I1529=0,"",IF(INDEX(GL!$C:$C,I1529)="","",INDEX(GL!$C:$C,I1529)))</f>
        <v/>
      </c>
      <c r="L1529" s="19" t="str">
        <f aca="false">IF(I1529=0,"",INDEX(GL!$E:$E,I1529))</f>
        <v/>
      </c>
      <c r="M1529" s="19" t="str">
        <f aca="false">IF(OR(B1529=0,I1529=0),"",ROUND(G1529-L1529,2))</f>
        <v/>
      </c>
      <c r="N1529" s="5" t="str">
        <f aca="false">IF(A1529="","",IF(B1529=0,"NOT FOUND: bank ID",IF(I1529=0,"NOT FOUND: GL ID",IF(INDEX(GL!$H:$H,I1529)&lt;&gt;A1529,"BROKEN: GL points elsewhere",IF(OR(INDEX(Bank!$F:$F,B1529)&lt;&gt;"Y",INDEX(GL!$F:$F,I1529)&lt;&gt;"Y"),"BROKEN: Status not Y","OK")))))</f>
        <v/>
      </c>
    </row>
    <row r="1530" customFormat="false" ht="15" hidden="false" customHeight="false" outlineLevel="0" collapsed="false">
      <c r="A1530" s="41"/>
      <c r="B1530" s="5" t="n">
        <f aca="false">IF(A1530="",0,IFERROR(MATCH(A1530,Bank!$A:$A,0),0))</f>
        <v>0</v>
      </c>
      <c r="C1530" s="5" t="str">
        <f aca="false">IF(B1530=0,"",IF(INDEX(Bank!$G:$G,B1530)="","",INDEX(Bank!$G:$G,B1530)))</f>
        <v/>
      </c>
      <c r="D1530" s="5" t="str">
        <f aca="false">IF(B1530=0,"",IF(INDEX(Bank!$J:$J,B1530)="","",INDEX(Bank!$J:$J,B1530)))</f>
        <v/>
      </c>
      <c r="E1530" s="32" t="str">
        <f aca="false">IF(B1530=0,"",INDEX(Bank!$B:$B,B1530))</f>
        <v/>
      </c>
      <c r="F1530" s="5" t="str">
        <f aca="false">IF(B1530=0,"",IF(INDEX(Bank!$C:$C,B1530)="","",INDEX(Bank!$C:$C,B1530)))</f>
        <v/>
      </c>
      <c r="G1530" s="19" t="str">
        <f aca="false">IF(B1530=0,"",INDEX(Bank!$E:$E,B1530))</f>
        <v/>
      </c>
      <c r="H1530" s="5" t="str">
        <f aca="false">IF(B1530=0,"",IF(INDEX(Bank!$H:$H,B1530)="","",INDEX(Bank!$H:$H,B1530)))</f>
        <v/>
      </c>
      <c r="I1530" s="5" t="n">
        <f aca="false">IF(H1530="",0,IFERROR(MATCH(H1530,GL!$A:$A,0),0))</f>
        <v>0</v>
      </c>
      <c r="J1530" s="32" t="str">
        <f aca="false">IF(I1530=0,"",INDEX(GL!$B:$B,I1530))</f>
        <v/>
      </c>
      <c r="K1530" s="5" t="str">
        <f aca="false">IF(I1530=0,"",IF(INDEX(GL!$C:$C,I1530)="","",INDEX(GL!$C:$C,I1530)))</f>
        <v/>
      </c>
      <c r="L1530" s="19" t="str">
        <f aca="false">IF(I1530=0,"",INDEX(GL!$E:$E,I1530))</f>
        <v/>
      </c>
      <c r="M1530" s="19" t="str">
        <f aca="false">IF(OR(B1530=0,I1530=0),"",ROUND(G1530-L1530,2))</f>
        <v/>
      </c>
      <c r="N1530" s="5" t="str">
        <f aca="false">IF(A1530="","",IF(B1530=0,"NOT FOUND: bank ID",IF(I1530=0,"NOT FOUND: GL ID",IF(INDEX(GL!$H:$H,I1530)&lt;&gt;A1530,"BROKEN: GL points elsewhere",IF(OR(INDEX(Bank!$F:$F,B1530)&lt;&gt;"Y",INDEX(GL!$F:$F,I1530)&lt;&gt;"Y"),"BROKEN: Status not Y","OK")))))</f>
        <v/>
      </c>
    </row>
    <row r="1531" customFormat="false" ht="15" hidden="false" customHeight="false" outlineLevel="0" collapsed="false">
      <c r="A1531" s="41"/>
      <c r="B1531" s="5" t="n">
        <f aca="false">IF(A1531="",0,IFERROR(MATCH(A1531,Bank!$A:$A,0),0))</f>
        <v>0</v>
      </c>
      <c r="C1531" s="5" t="str">
        <f aca="false">IF(B1531=0,"",IF(INDEX(Bank!$G:$G,B1531)="","",INDEX(Bank!$G:$G,B1531)))</f>
        <v/>
      </c>
      <c r="D1531" s="5" t="str">
        <f aca="false">IF(B1531=0,"",IF(INDEX(Bank!$J:$J,B1531)="","",INDEX(Bank!$J:$J,B1531)))</f>
        <v/>
      </c>
      <c r="E1531" s="32" t="str">
        <f aca="false">IF(B1531=0,"",INDEX(Bank!$B:$B,B1531))</f>
        <v/>
      </c>
      <c r="F1531" s="5" t="str">
        <f aca="false">IF(B1531=0,"",IF(INDEX(Bank!$C:$C,B1531)="","",INDEX(Bank!$C:$C,B1531)))</f>
        <v/>
      </c>
      <c r="G1531" s="19" t="str">
        <f aca="false">IF(B1531=0,"",INDEX(Bank!$E:$E,B1531))</f>
        <v/>
      </c>
      <c r="H1531" s="5" t="str">
        <f aca="false">IF(B1531=0,"",IF(INDEX(Bank!$H:$H,B1531)="","",INDEX(Bank!$H:$H,B1531)))</f>
        <v/>
      </c>
      <c r="I1531" s="5" t="n">
        <f aca="false">IF(H1531="",0,IFERROR(MATCH(H1531,GL!$A:$A,0),0))</f>
        <v>0</v>
      </c>
      <c r="J1531" s="32" t="str">
        <f aca="false">IF(I1531=0,"",INDEX(GL!$B:$B,I1531))</f>
        <v/>
      </c>
      <c r="K1531" s="5" t="str">
        <f aca="false">IF(I1531=0,"",IF(INDEX(GL!$C:$C,I1531)="","",INDEX(GL!$C:$C,I1531)))</f>
        <v/>
      </c>
      <c r="L1531" s="19" t="str">
        <f aca="false">IF(I1531=0,"",INDEX(GL!$E:$E,I1531))</f>
        <v/>
      </c>
      <c r="M1531" s="19" t="str">
        <f aca="false">IF(OR(B1531=0,I1531=0),"",ROUND(G1531-L1531,2))</f>
        <v/>
      </c>
      <c r="N1531" s="5" t="str">
        <f aca="false">IF(A1531="","",IF(B1531=0,"NOT FOUND: bank ID",IF(I1531=0,"NOT FOUND: GL ID",IF(INDEX(GL!$H:$H,I1531)&lt;&gt;A1531,"BROKEN: GL points elsewhere",IF(OR(INDEX(Bank!$F:$F,B1531)&lt;&gt;"Y",INDEX(GL!$F:$F,I1531)&lt;&gt;"Y"),"BROKEN: Status not Y","OK")))))</f>
        <v/>
      </c>
    </row>
    <row r="1532" customFormat="false" ht="15" hidden="false" customHeight="false" outlineLevel="0" collapsed="false">
      <c r="A1532" s="41"/>
      <c r="B1532" s="5" t="n">
        <f aca="false">IF(A1532="",0,IFERROR(MATCH(A1532,Bank!$A:$A,0),0))</f>
        <v>0</v>
      </c>
      <c r="C1532" s="5" t="str">
        <f aca="false">IF(B1532=0,"",IF(INDEX(Bank!$G:$G,B1532)="","",INDEX(Bank!$G:$G,B1532)))</f>
        <v/>
      </c>
      <c r="D1532" s="5" t="str">
        <f aca="false">IF(B1532=0,"",IF(INDEX(Bank!$J:$J,B1532)="","",INDEX(Bank!$J:$J,B1532)))</f>
        <v/>
      </c>
      <c r="E1532" s="32" t="str">
        <f aca="false">IF(B1532=0,"",INDEX(Bank!$B:$B,B1532))</f>
        <v/>
      </c>
      <c r="F1532" s="5" t="str">
        <f aca="false">IF(B1532=0,"",IF(INDEX(Bank!$C:$C,B1532)="","",INDEX(Bank!$C:$C,B1532)))</f>
        <v/>
      </c>
      <c r="G1532" s="19" t="str">
        <f aca="false">IF(B1532=0,"",INDEX(Bank!$E:$E,B1532))</f>
        <v/>
      </c>
      <c r="H1532" s="5" t="str">
        <f aca="false">IF(B1532=0,"",IF(INDEX(Bank!$H:$H,B1532)="","",INDEX(Bank!$H:$H,B1532)))</f>
        <v/>
      </c>
      <c r="I1532" s="5" t="n">
        <f aca="false">IF(H1532="",0,IFERROR(MATCH(H1532,GL!$A:$A,0),0))</f>
        <v>0</v>
      </c>
      <c r="J1532" s="32" t="str">
        <f aca="false">IF(I1532=0,"",INDEX(GL!$B:$B,I1532))</f>
        <v/>
      </c>
      <c r="K1532" s="5" t="str">
        <f aca="false">IF(I1532=0,"",IF(INDEX(GL!$C:$C,I1532)="","",INDEX(GL!$C:$C,I1532)))</f>
        <v/>
      </c>
      <c r="L1532" s="19" t="str">
        <f aca="false">IF(I1532=0,"",INDEX(GL!$E:$E,I1532))</f>
        <v/>
      </c>
      <c r="M1532" s="19" t="str">
        <f aca="false">IF(OR(B1532=0,I1532=0),"",ROUND(G1532-L1532,2))</f>
        <v/>
      </c>
      <c r="N1532" s="5" t="str">
        <f aca="false">IF(A1532="","",IF(B1532=0,"NOT FOUND: bank ID",IF(I1532=0,"NOT FOUND: GL ID",IF(INDEX(GL!$H:$H,I1532)&lt;&gt;A1532,"BROKEN: GL points elsewhere",IF(OR(INDEX(Bank!$F:$F,B1532)&lt;&gt;"Y",INDEX(GL!$F:$F,I1532)&lt;&gt;"Y"),"BROKEN: Status not Y","OK")))))</f>
        <v/>
      </c>
    </row>
    <row r="1533" customFormat="false" ht="15" hidden="false" customHeight="false" outlineLevel="0" collapsed="false">
      <c r="A1533" s="41"/>
      <c r="B1533" s="5" t="n">
        <f aca="false">IF(A1533="",0,IFERROR(MATCH(A1533,Bank!$A:$A,0),0))</f>
        <v>0</v>
      </c>
      <c r="C1533" s="5" t="str">
        <f aca="false">IF(B1533=0,"",IF(INDEX(Bank!$G:$G,B1533)="","",INDEX(Bank!$G:$G,B1533)))</f>
        <v/>
      </c>
      <c r="D1533" s="5" t="str">
        <f aca="false">IF(B1533=0,"",IF(INDEX(Bank!$J:$J,B1533)="","",INDEX(Bank!$J:$J,B1533)))</f>
        <v/>
      </c>
      <c r="E1533" s="32" t="str">
        <f aca="false">IF(B1533=0,"",INDEX(Bank!$B:$B,B1533))</f>
        <v/>
      </c>
      <c r="F1533" s="5" t="str">
        <f aca="false">IF(B1533=0,"",IF(INDEX(Bank!$C:$C,B1533)="","",INDEX(Bank!$C:$C,B1533)))</f>
        <v/>
      </c>
      <c r="G1533" s="19" t="str">
        <f aca="false">IF(B1533=0,"",INDEX(Bank!$E:$E,B1533))</f>
        <v/>
      </c>
      <c r="H1533" s="5" t="str">
        <f aca="false">IF(B1533=0,"",IF(INDEX(Bank!$H:$H,B1533)="","",INDEX(Bank!$H:$H,B1533)))</f>
        <v/>
      </c>
      <c r="I1533" s="5" t="n">
        <f aca="false">IF(H1533="",0,IFERROR(MATCH(H1533,GL!$A:$A,0),0))</f>
        <v>0</v>
      </c>
      <c r="J1533" s="32" t="str">
        <f aca="false">IF(I1533=0,"",INDEX(GL!$B:$B,I1533))</f>
        <v/>
      </c>
      <c r="K1533" s="5" t="str">
        <f aca="false">IF(I1533=0,"",IF(INDEX(GL!$C:$C,I1533)="","",INDEX(GL!$C:$C,I1533)))</f>
        <v/>
      </c>
      <c r="L1533" s="19" t="str">
        <f aca="false">IF(I1533=0,"",INDEX(GL!$E:$E,I1533))</f>
        <v/>
      </c>
      <c r="M1533" s="19" t="str">
        <f aca="false">IF(OR(B1533=0,I1533=0),"",ROUND(G1533-L1533,2))</f>
        <v/>
      </c>
      <c r="N1533" s="5" t="str">
        <f aca="false">IF(A1533="","",IF(B1533=0,"NOT FOUND: bank ID",IF(I1533=0,"NOT FOUND: GL ID",IF(INDEX(GL!$H:$H,I1533)&lt;&gt;A1533,"BROKEN: GL points elsewhere",IF(OR(INDEX(Bank!$F:$F,B1533)&lt;&gt;"Y",INDEX(GL!$F:$F,I1533)&lt;&gt;"Y"),"BROKEN: Status not Y","OK")))))</f>
        <v/>
      </c>
    </row>
    <row r="1534" customFormat="false" ht="15" hidden="false" customHeight="false" outlineLevel="0" collapsed="false">
      <c r="A1534" s="41"/>
      <c r="B1534" s="5" t="n">
        <f aca="false">IF(A1534="",0,IFERROR(MATCH(A1534,Bank!$A:$A,0),0))</f>
        <v>0</v>
      </c>
      <c r="C1534" s="5" t="str">
        <f aca="false">IF(B1534=0,"",IF(INDEX(Bank!$G:$G,B1534)="","",INDEX(Bank!$G:$G,B1534)))</f>
        <v/>
      </c>
      <c r="D1534" s="5" t="str">
        <f aca="false">IF(B1534=0,"",IF(INDEX(Bank!$J:$J,B1534)="","",INDEX(Bank!$J:$J,B1534)))</f>
        <v/>
      </c>
      <c r="E1534" s="32" t="str">
        <f aca="false">IF(B1534=0,"",INDEX(Bank!$B:$B,B1534))</f>
        <v/>
      </c>
      <c r="F1534" s="5" t="str">
        <f aca="false">IF(B1534=0,"",IF(INDEX(Bank!$C:$C,B1534)="","",INDEX(Bank!$C:$C,B1534)))</f>
        <v/>
      </c>
      <c r="G1534" s="19" t="str">
        <f aca="false">IF(B1534=0,"",INDEX(Bank!$E:$E,B1534))</f>
        <v/>
      </c>
      <c r="H1534" s="5" t="str">
        <f aca="false">IF(B1534=0,"",IF(INDEX(Bank!$H:$H,B1534)="","",INDEX(Bank!$H:$H,B1534)))</f>
        <v/>
      </c>
      <c r="I1534" s="5" t="n">
        <f aca="false">IF(H1534="",0,IFERROR(MATCH(H1534,GL!$A:$A,0),0))</f>
        <v>0</v>
      </c>
      <c r="J1534" s="32" t="str">
        <f aca="false">IF(I1534=0,"",INDEX(GL!$B:$B,I1534))</f>
        <v/>
      </c>
      <c r="K1534" s="5" t="str">
        <f aca="false">IF(I1534=0,"",IF(INDEX(GL!$C:$C,I1534)="","",INDEX(GL!$C:$C,I1534)))</f>
        <v/>
      </c>
      <c r="L1534" s="19" t="str">
        <f aca="false">IF(I1534=0,"",INDEX(GL!$E:$E,I1534))</f>
        <v/>
      </c>
      <c r="M1534" s="19" t="str">
        <f aca="false">IF(OR(B1534=0,I1534=0),"",ROUND(G1534-L1534,2))</f>
        <v/>
      </c>
      <c r="N1534" s="5" t="str">
        <f aca="false">IF(A1534="","",IF(B1534=0,"NOT FOUND: bank ID",IF(I1534=0,"NOT FOUND: GL ID",IF(INDEX(GL!$H:$H,I1534)&lt;&gt;A1534,"BROKEN: GL points elsewhere",IF(OR(INDEX(Bank!$F:$F,B1534)&lt;&gt;"Y",INDEX(GL!$F:$F,I1534)&lt;&gt;"Y"),"BROKEN: Status not Y","OK")))))</f>
        <v/>
      </c>
    </row>
    <row r="1535" customFormat="false" ht="15" hidden="false" customHeight="false" outlineLevel="0" collapsed="false">
      <c r="A1535" s="41"/>
      <c r="B1535" s="5" t="n">
        <f aca="false">IF(A1535="",0,IFERROR(MATCH(A1535,Bank!$A:$A,0),0))</f>
        <v>0</v>
      </c>
      <c r="C1535" s="5" t="str">
        <f aca="false">IF(B1535=0,"",IF(INDEX(Bank!$G:$G,B1535)="","",INDEX(Bank!$G:$G,B1535)))</f>
        <v/>
      </c>
      <c r="D1535" s="5" t="str">
        <f aca="false">IF(B1535=0,"",IF(INDEX(Bank!$J:$J,B1535)="","",INDEX(Bank!$J:$J,B1535)))</f>
        <v/>
      </c>
      <c r="E1535" s="32" t="str">
        <f aca="false">IF(B1535=0,"",INDEX(Bank!$B:$B,B1535))</f>
        <v/>
      </c>
      <c r="F1535" s="5" t="str">
        <f aca="false">IF(B1535=0,"",IF(INDEX(Bank!$C:$C,B1535)="","",INDEX(Bank!$C:$C,B1535)))</f>
        <v/>
      </c>
      <c r="G1535" s="19" t="str">
        <f aca="false">IF(B1535=0,"",INDEX(Bank!$E:$E,B1535))</f>
        <v/>
      </c>
      <c r="H1535" s="5" t="str">
        <f aca="false">IF(B1535=0,"",IF(INDEX(Bank!$H:$H,B1535)="","",INDEX(Bank!$H:$H,B1535)))</f>
        <v/>
      </c>
      <c r="I1535" s="5" t="n">
        <f aca="false">IF(H1535="",0,IFERROR(MATCH(H1535,GL!$A:$A,0),0))</f>
        <v>0</v>
      </c>
      <c r="J1535" s="32" t="str">
        <f aca="false">IF(I1535=0,"",INDEX(GL!$B:$B,I1535))</f>
        <v/>
      </c>
      <c r="K1535" s="5" t="str">
        <f aca="false">IF(I1535=0,"",IF(INDEX(GL!$C:$C,I1535)="","",INDEX(GL!$C:$C,I1535)))</f>
        <v/>
      </c>
      <c r="L1535" s="19" t="str">
        <f aca="false">IF(I1535=0,"",INDEX(GL!$E:$E,I1535))</f>
        <v/>
      </c>
      <c r="M1535" s="19" t="str">
        <f aca="false">IF(OR(B1535=0,I1535=0),"",ROUND(G1535-L1535,2))</f>
        <v/>
      </c>
      <c r="N1535" s="5" t="str">
        <f aca="false">IF(A1535="","",IF(B1535=0,"NOT FOUND: bank ID",IF(I1535=0,"NOT FOUND: GL ID",IF(INDEX(GL!$H:$H,I1535)&lt;&gt;A1535,"BROKEN: GL points elsewhere",IF(OR(INDEX(Bank!$F:$F,B1535)&lt;&gt;"Y",INDEX(GL!$F:$F,I1535)&lt;&gt;"Y"),"BROKEN: Status not Y","OK")))))</f>
        <v/>
      </c>
    </row>
    <row r="1536" customFormat="false" ht="15" hidden="false" customHeight="false" outlineLevel="0" collapsed="false">
      <c r="A1536" s="41"/>
      <c r="B1536" s="5" t="n">
        <f aca="false">IF(A1536="",0,IFERROR(MATCH(A1536,Bank!$A:$A,0),0))</f>
        <v>0</v>
      </c>
      <c r="C1536" s="5" t="str">
        <f aca="false">IF(B1536=0,"",IF(INDEX(Bank!$G:$G,B1536)="","",INDEX(Bank!$G:$G,B1536)))</f>
        <v/>
      </c>
      <c r="D1536" s="5" t="str">
        <f aca="false">IF(B1536=0,"",IF(INDEX(Bank!$J:$J,B1536)="","",INDEX(Bank!$J:$J,B1536)))</f>
        <v/>
      </c>
      <c r="E1536" s="32" t="str">
        <f aca="false">IF(B1536=0,"",INDEX(Bank!$B:$B,B1536))</f>
        <v/>
      </c>
      <c r="F1536" s="5" t="str">
        <f aca="false">IF(B1536=0,"",IF(INDEX(Bank!$C:$C,B1536)="","",INDEX(Bank!$C:$C,B1536)))</f>
        <v/>
      </c>
      <c r="G1536" s="19" t="str">
        <f aca="false">IF(B1536=0,"",INDEX(Bank!$E:$E,B1536))</f>
        <v/>
      </c>
      <c r="H1536" s="5" t="str">
        <f aca="false">IF(B1536=0,"",IF(INDEX(Bank!$H:$H,B1536)="","",INDEX(Bank!$H:$H,B1536)))</f>
        <v/>
      </c>
      <c r="I1536" s="5" t="n">
        <f aca="false">IF(H1536="",0,IFERROR(MATCH(H1536,GL!$A:$A,0),0))</f>
        <v>0</v>
      </c>
      <c r="J1536" s="32" t="str">
        <f aca="false">IF(I1536=0,"",INDEX(GL!$B:$B,I1536))</f>
        <v/>
      </c>
      <c r="K1536" s="5" t="str">
        <f aca="false">IF(I1536=0,"",IF(INDEX(GL!$C:$C,I1536)="","",INDEX(GL!$C:$C,I1536)))</f>
        <v/>
      </c>
      <c r="L1536" s="19" t="str">
        <f aca="false">IF(I1536=0,"",INDEX(GL!$E:$E,I1536))</f>
        <v/>
      </c>
      <c r="M1536" s="19" t="str">
        <f aca="false">IF(OR(B1536=0,I1536=0),"",ROUND(G1536-L1536,2))</f>
        <v/>
      </c>
      <c r="N1536" s="5" t="str">
        <f aca="false">IF(A1536="","",IF(B1536=0,"NOT FOUND: bank ID",IF(I1536=0,"NOT FOUND: GL ID",IF(INDEX(GL!$H:$H,I1536)&lt;&gt;A1536,"BROKEN: GL points elsewhere",IF(OR(INDEX(Bank!$F:$F,B1536)&lt;&gt;"Y",INDEX(GL!$F:$F,I1536)&lt;&gt;"Y"),"BROKEN: Status not Y","OK")))))</f>
        <v/>
      </c>
    </row>
    <row r="1537" customFormat="false" ht="15" hidden="false" customHeight="false" outlineLevel="0" collapsed="false">
      <c r="A1537" s="41"/>
      <c r="B1537" s="5" t="n">
        <f aca="false">IF(A1537="",0,IFERROR(MATCH(A1537,Bank!$A:$A,0),0))</f>
        <v>0</v>
      </c>
      <c r="C1537" s="5" t="str">
        <f aca="false">IF(B1537=0,"",IF(INDEX(Bank!$G:$G,B1537)="","",INDEX(Bank!$G:$G,B1537)))</f>
        <v/>
      </c>
      <c r="D1537" s="5" t="str">
        <f aca="false">IF(B1537=0,"",IF(INDEX(Bank!$J:$J,B1537)="","",INDEX(Bank!$J:$J,B1537)))</f>
        <v/>
      </c>
      <c r="E1537" s="32" t="str">
        <f aca="false">IF(B1537=0,"",INDEX(Bank!$B:$B,B1537))</f>
        <v/>
      </c>
      <c r="F1537" s="5" t="str">
        <f aca="false">IF(B1537=0,"",IF(INDEX(Bank!$C:$C,B1537)="","",INDEX(Bank!$C:$C,B1537)))</f>
        <v/>
      </c>
      <c r="G1537" s="19" t="str">
        <f aca="false">IF(B1537=0,"",INDEX(Bank!$E:$E,B1537))</f>
        <v/>
      </c>
      <c r="H1537" s="5" t="str">
        <f aca="false">IF(B1537=0,"",IF(INDEX(Bank!$H:$H,B1537)="","",INDEX(Bank!$H:$H,B1537)))</f>
        <v/>
      </c>
      <c r="I1537" s="5" t="n">
        <f aca="false">IF(H1537="",0,IFERROR(MATCH(H1537,GL!$A:$A,0),0))</f>
        <v>0</v>
      </c>
      <c r="J1537" s="32" t="str">
        <f aca="false">IF(I1537=0,"",INDEX(GL!$B:$B,I1537))</f>
        <v/>
      </c>
      <c r="K1537" s="5" t="str">
        <f aca="false">IF(I1537=0,"",IF(INDEX(GL!$C:$C,I1537)="","",INDEX(GL!$C:$C,I1537)))</f>
        <v/>
      </c>
      <c r="L1537" s="19" t="str">
        <f aca="false">IF(I1537=0,"",INDEX(GL!$E:$E,I1537))</f>
        <v/>
      </c>
      <c r="M1537" s="19" t="str">
        <f aca="false">IF(OR(B1537=0,I1537=0),"",ROUND(G1537-L1537,2))</f>
        <v/>
      </c>
      <c r="N1537" s="5" t="str">
        <f aca="false">IF(A1537="","",IF(B1537=0,"NOT FOUND: bank ID",IF(I1537=0,"NOT FOUND: GL ID",IF(INDEX(GL!$H:$H,I1537)&lt;&gt;A1537,"BROKEN: GL points elsewhere",IF(OR(INDEX(Bank!$F:$F,B1537)&lt;&gt;"Y",INDEX(GL!$F:$F,I1537)&lt;&gt;"Y"),"BROKEN: Status not Y","OK")))))</f>
        <v/>
      </c>
    </row>
    <row r="1538" customFormat="false" ht="15" hidden="false" customHeight="false" outlineLevel="0" collapsed="false">
      <c r="A1538" s="41"/>
      <c r="B1538" s="5" t="n">
        <f aca="false">IF(A1538="",0,IFERROR(MATCH(A1538,Bank!$A:$A,0),0))</f>
        <v>0</v>
      </c>
      <c r="C1538" s="5" t="str">
        <f aca="false">IF(B1538=0,"",IF(INDEX(Bank!$G:$G,B1538)="","",INDEX(Bank!$G:$G,B1538)))</f>
        <v/>
      </c>
      <c r="D1538" s="5" t="str">
        <f aca="false">IF(B1538=0,"",IF(INDEX(Bank!$J:$J,B1538)="","",INDEX(Bank!$J:$J,B1538)))</f>
        <v/>
      </c>
      <c r="E1538" s="32" t="str">
        <f aca="false">IF(B1538=0,"",INDEX(Bank!$B:$B,B1538))</f>
        <v/>
      </c>
      <c r="F1538" s="5" t="str">
        <f aca="false">IF(B1538=0,"",IF(INDEX(Bank!$C:$C,B1538)="","",INDEX(Bank!$C:$C,B1538)))</f>
        <v/>
      </c>
      <c r="G1538" s="19" t="str">
        <f aca="false">IF(B1538=0,"",INDEX(Bank!$E:$E,B1538))</f>
        <v/>
      </c>
      <c r="H1538" s="5" t="str">
        <f aca="false">IF(B1538=0,"",IF(INDEX(Bank!$H:$H,B1538)="","",INDEX(Bank!$H:$H,B1538)))</f>
        <v/>
      </c>
      <c r="I1538" s="5" t="n">
        <f aca="false">IF(H1538="",0,IFERROR(MATCH(H1538,GL!$A:$A,0),0))</f>
        <v>0</v>
      </c>
      <c r="J1538" s="32" t="str">
        <f aca="false">IF(I1538=0,"",INDEX(GL!$B:$B,I1538))</f>
        <v/>
      </c>
      <c r="K1538" s="5" t="str">
        <f aca="false">IF(I1538=0,"",IF(INDEX(GL!$C:$C,I1538)="","",INDEX(GL!$C:$C,I1538)))</f>
        <v/>
      </c>
      <c r="L1538" s="19" t="str">
        <f aca="false">IF(I1538=0,"",INDEX(GL!$E:$E,I1538))</f>
        <v/>
      </c>
      <c r="M1538" s="19" t="str">
        <f aca="false">IF(OR(B1538=0,I1538=0),"",ROUND(G1538-L1538,2))</f>
        <v/>
      </c>
      <c r="N1538" s="5" t="str">
        <f aca="false">IF(A1538="","",IF(B1538=0,"NOT FOUND: bank ID",IF(I1538=0,"NOT FOUND: GL ID",IF(INDEX(GL!$H:$H,I1538)&lt;&gt;A1538,"BROKEN: GL points elsewhere",IF(OR(INDEX(Bank!$F:$F,B1538)&lt;&gt;"Y",INDEX(GL!$F:$F,I1538)&lt;&gt;"Y"),"BROKEN: Status not Y","OK")))))</f>
        <v/>
      </c>
    </row>
    <row r="1539" customFormat="false" ht="15" hidden="false" customHeight="false" outlineLevel="0" collapsed="false">
      <c r="A1539" s="41"/>
      <c r="B1539" s="5" t="n">
        <f aca="false">IF(A1539="",0,IFERROR(MATCH(A1539,Bank!$A:$A,0),0))</f>
        <v>0</v>
      </c>
      <c r="C1539" s="5" t="str">
        <f aca="false">IF(B1539=0,"",IF(INDEX(Bank!$G:$G,B1539)="","",INDEX(Bank!$G:$G,B1539)))</f>
        <v/>
      </c>
      <c r="D1539" s="5" t="str">
        <f aca="false">IF(B1539=0,"",IF(INDEX(Bank!$J:$J,B1539)="","",INDEX(Bank!$J:$J,B1539)))</f>
        <v/>
      </c>
      <c r="E1539" s="32" t="str">
        <f aca="false">IF(B1539=0,"",INDEX(Bank!$B:$B,B1539))</f>
        <v/>
      </c>
      <c r="F1539" s="5" t="str">
        <f aca="false">IF(B1539=0,"",IF(INDEX(Bank!$C:$C,B1539)="","",INDEX(Bank!$C:$C,B1539)))</f>
        <v/>
      </c>
      <c r="G1539" s="19" t="str">
        <f aca="false">IF(B1539=0,"",INDEX(Bank!$E:$E,B1539))</f>
        <v/>
      </c>
      <c r="H1539" s="5" t="str">
        <f aca="false">IF(B1539=0,"",IF(INDEX(Bank!$H:$H,B1539)="","",INDEX(Bank!$H:$H,B1539)))</f>
        <v/>
      </c>
      <c r="I1539" s="5" t="n">
        <f aca="false">IF(H1539="",0,IFERROR(MATCH(H1539,GL!$A:$A,0),0))</f>
        <v>0</v>
      </c>
      <c r="J1539" s="32" t="str">
        <f aca="false">IF(I1539=0,"",INDEX(GL!$B:$B,I1539))</f>
        <v/>
      </c>
      <c r="K1539" s="5" t="str">
        <f aca="false">IF(I1539=0,"",IF(INDEX(GL!$C:$C,I1539)="","",INDEX(GL!$C:$C,I1539)))</f>
        <v/>
      </c>
      <c r="L1539" s="19" t="str">
        <f aca="false">IF(I1539=0,"",INDEX(GL!$E:$E,I1539))</f>
        <v/>
      </c>
      <c r="M1539" s="19" t="str">
        <f aca="false">IF(OR(B1539=0,I1539=0),"",ROUND(G1539-L1539,2))</f>
        <v/>
      </c>
      <c r="N1539" s="5" t="str">
        <f aca="false">IF(A1539="","",IF(B1539=0,"NOT FOUND: bank ID",IF(I1539=0,"NOT FOUND: GL ID",IF(INDEX(GL!$H:$H,I1539)&lt;&gt;A1539,"BROKEN: GL points elsewhere",IF(OR(INDEX(Bank!$F:$F,B1539)&lt;&gt;"Y",INDEX(GL!$F:$F,I1539)&lt;&gt;"Y"),"BROKEN: Status not Y","OK")))))</f>
        <v/>
      </c>
    </row>
    <row r="1540" customFormat="false" ht="15" hidden="false" customHeight="false" outlineLevel="0" collapsed="false">
      <c r="A1540" s="41"/>
      <c r="B1540" s="5" t="n">
        <f aca="false">IF(A1540="",0,IFERROR(MATCH(A1540,Bank!$A:$A,0),0))</f>
        <v>0</v>
      </c>
      <c r="C1540" s="5" t="str">
        <f aca="false">IF(B1540=0,"",IF(INDEX(Bank!$G:$G,B1540)="","",INDEX(Bank!$G:$G,B1540)))</f>
        <v/>
      </c>
      <c r="D1540" s="5" t="str">
        <f aca="false">IF(B1540=0,"",IF(INDEX(Bank!$J:$J,B1540)="","",INDEX(Bank!$J:$J,B1540)))</f>
        <v/>
      </c>
      <c r="E1540" s="32" t="str">
        <f aca="false">IF(B1540=0,"",INDEX(Bank!$B:$B,B1540))</f>
        <v/>
      </c>
      <c r="F1540" s="5" t="str">
        <f aca="false">IF(B1540=0,"",IF(INDEX(Bank!$C:$C,B1540)="","",INDEX(Bank!$C:$C,B1540)))</f>
        <v/>
      </c>
      <c r="G1540" s="19" t="str">
        <f aca="false">IF(B1540=0,"",INDEX(Bank!$E:$E,B1540))</f>
        <v/>
      </c>
      <c r="H1540" s="5" t="str">
        <f aca="false">IF(B1540=0,"",IF(INDEX(Bank!$H:$H,B1540)="","",INDEX(Bank!$H:$H,B1540)))</f>
        <v/>
      </c>
      <c r="I1540" s="5" t="n">
        <f aca="false">IF(H1540="",0,IFERROR(MATCH(H1540,GL!$A:$A,0),0))</f>
        <v>0</v>
      </c>
      <c r="J1540" s="32" t="str">
        <f aca="false">IF(I1540=0,"",INDEX(GL!$B:$B,I1540))</f>
        <v/>
      </c>
      <c r="K1540" s="5" t="str">
        <f aca="false">IF(I1540=0,"",IF(INDEX(GL!$C:$C,I1540)="","",INDEX(GL!$C:$C,I1540)))</f>
        <v/>
      </c>
      <c r="L1540" s="19" t="str">
        <f aca="false">IF(I1540=0,"",INDEX(GL!$E:$E,I1540))</f>
        <v/>
      </c>
      <c r="M1540" s="19" t="str">
        <f aca="false">IF(OR(B1540=0,I1540=0),"",ROUND(G1540-L1540,2))</f>
        <v/>
      </c>
      <c r="N1540" s="5" t="str">
        <f aca="false">IF(A1540="","",IF(B1540=0,"NOT FOUND: bank ID",IF(I1540=0,"NOT FOUND: GL ID",IF(INDEX(GL!$H:$H,I1540)&lt;&gt;A1540,"BROKEN: GL points elsewhere",IF(OR(INDEX(Bank!$F:$F,B1540)&lt;&gt;"Y",INDEX(GL!$F:$F,I1540)&lt;&gt;"Y"),"BROKEN: Status not Y","OK")))))</f>
        <v/>
      </c>
    </row>
    <row r="1541" customFormat="false" ht="15" hidden="false" customHeight="false" outlineLevel="0" collapsed="false">
      <c r="A1541" s="41"/>
      <c r="B1541" s="5" t="n">
        <f aca="false">IF(A1541="",0,IFERROR(MATCH(A1541,Bank!$A:$A,0),0))</f>
        <v>0</v>
      </c>
      <c r="C1541" s="5" t="str">
        <f aca="false">IF(B1541=0,"",IF(INDEX(Bank!$G:$G,B1541)="","",INDEX(Bank!$G:$G,B1541)))</f>
        <v/>
      </c>
      <c r="D1541" s="5" t="str">
        <f aca="false">IF(B1541=0,"",IF(INDEX(Bank!$J:$J,B1541)="","",INDEX(Bank!$J:$J,B1541)))</f>
        <v/>
      </c>
      <c r="E1541" s="32" t="str">
        <f aca="false">IF(B1541=0,"",INDEX(Bank!$B:$B,B1541))</f>
        <v/>
      </c>
      <c r="F1541" s="5" t="str">
        <f aca="false">IF(B1541=0,"",IF(INDEX(Bank!$C:$C,B1541)="","",INDEX(Bank!$C:$C,B1541)))</f>
        <v/>
      </c>
      <c r="G1541" s="19" t="str">
        <f aca="false">IF(B1541=0,"",INDEX(Bank!$E:$E,B1541))</f>
        <v/>
      </c>
      <c r="H1541" s="5" t="str">
        <f aca="false">IF(B1541=0,"",IF(INDEX(Bank!$H:$H,B1541)="","",INDEX(Bank!$H:$H,B1541)))</f>
        <v/>
      </c>
      <c r="I1541" s="5" t="n">
        <f aca="false">IF(H1541="",0,IFERROR(MATCH(H1541,GL!$A:$A,0),0))</f>
        <v>0</v>
      </c>
      <c r="J1541" s="32" t="str">
        <f aca="false">IF(I1541=0,"",INDEX(GL!$B:$B,I1541))</f>
        <v/>
      </c>
      <c r="K1541" s="5" t="str">
        <f aca="false">IF(I1541=0,"",IF(INDEX(GL!$C:$C,I1541)="","",INDEX(GL!$C:$C,I1541)))</f>
        <v/>
      </c>
      <c r="L1541" s="19" t="str">
        <f aca="false">IF(I1541=0,"",INDEX(GL!$E:$E,I1541))</f>
        <v/>
      </c>
      <c r="M1541" s="19" t="str">
        <f aca="false">IF(OR(B1541=0,I1541=0),"",ROUND(G1541-L1541,2))</f>
        <v/>
      </c>
      <c r="N1541" s="5" t="str">
        <f aca="false">IF(A1541="","",IF(B1541=0,"NOT FOUND: bank ID",IF(I1541=0,"NOT FOUND: GL ID",IF(INDEX(GL!$H:$H,I1541)&lt;&gt;A1541,"BROKEN: GL points elsewhere",IF(OR(INDEX(Bank!$F:$F,B1541)&lt;&gt;"Y",INDEX(GL!$F:$F,I1541)&lt;&gt;"Y"),"BROKEN: Status not Y","OK")))))</f>
        <v/>
      </c>
    </row>
    <row r="1542" customFormat="false" ht="15" hidden="false" customHeight="false" outlineLevel="0" collapsed="false">
      <c r="A1542" s="41"/>
      <c r="B1542" s="5" t="n">
        <f aca="false">IF(A1542="",0,IFERROR(MATCH(A1542,Bank!$A:$A,0),0))</f>
        <v>0</v>
      </c>
      <c r="C1542" s="5" t="str">
        <f aca="false">IF(B1542=0,"",IF(INDEX(Bank!$G:$G,B1542)="","",INDEX(Bank!$G:$G,B1542)))</f>
        <v/>
      </c>
      <c r="D1542" s="5" t="str">
        <f aca="false">IF(B1542=0,"",IF(INDEX(Bank!$J:$J,B1542)="","",INDEX(Bank!$J:$J,B1542)))</f>
        <v/>
      </c>
      <c r="E1542" s="32" t="str">
        <f aca="false">IF(B1542=0,"",INDEX(Bank!$B:$B,B1542))</f>
        <v/>
      </c>
      <c r="F1542" s="5" t="str">
        <f aca="false">IF(B1542=0,"",IF(INDEX(Bank!$C:$C,B1542)="","",INDEX(Bank!$C:$C,B1542)))</f>
        <v/>
      </c>
      <c r="G1542" s="19" t="str">
        <f aca="false">IF(B1542=0,"",INDEX(Bank!$E:$E,B1542))</f>
        <v/>
      </c>
      <c r="H1542" s="5" t="str">
        <f aca="false">IF(B1542=0,"",IF(INDEX(Bank!$H:$H,B1542)="","",INDEX(Bank!$H:$H,B1542)))</f>
        <v/>
      </c>
      <c r="I1542" s="5" t="n">
        <f aca="false">IF(H1542="",0,IFERROR(MATCH(H1542,GL!$A:$A,0),0))</f>
        <v>0</v>
      </c>
      <c r="J1542" s="32" t="str">
        <f aca="false">IF(I1542=0,"",INDEX(GL!$B:$B,I1542))</f>
        <v/>
      </c>
      <c r="K1542" s="5" t="str">
        <f aca="false">IF(I1542=0,"",IF(INDEX(GL!$C:$C,I1542)="","",INDEX(GL!$C:$C,I1542)))</f>
        <v/>
      </c>
      <c r="L1542" s="19" t="str">
        <f aca="false">IF(I1542=0,"",INDEX(GL!$E:$E,I1542))</f>
        <v/>
      </c>
      <c r="M1542" s="19" t="str">
        <f aca="false">IF(OR(B1542=0,I1542=0),"",ROUND(G1542-L1542,2))</f>
        <v/>
      </c>
      <c r="N1542" s="5" t="str">
        <f aca="false">IF(A1542="","",IF(B1542=0,"NOT FOUND: bank ID",IF(I1542=0,"NOT FOUND: GL ID",IF(INDEX(GL!$H:$H,I1542)&lt;&gt;A1542,"BROKEN: GL points elsewhere",IF(OR(INDEX(Bank!$F:$F,B1542)&lt;&gt;"Y",INDEX(GL!$F:$F,I1542)&lt;&gt;"Y"),"BROKEN: Status not Y","OK")))))</f>
        <v/>
      </c>
    </row>
    <row r="1543" customFormat="false" ht="15" hidden="false" customHeight="false" outlineLevel="0" collapsed="false">
      <c r="A1543" s="41"/>
      <c r="B1543" s="5" t="n">
        <f aca="false">IF(A1543="",0,IFERROR(MATCH(A1543,Bank!$A:$A,0),0))</f>
        <v>0</v>
      </c>
      <c r="C1543" s="5" t="str">
        <f aca="false">IF(B1543=0,"",IF(INDEX(Bank!$G:$G,B1543)="","",INDEX(Bank!$G:$G,B1543)))</f>
        <v/>
      </c>
      <c r="D1543" s="5" t="str">
        <f aca="false">IF(B1543=0,"",IF(INDEX(Bank!$J:$J,B1543)="","",INDEX(Bank!$J:$J,B1543)))</f>
        <v/>
      </c>
      <c r="E1543" s="32" t="str">
        <f aca="false">IF(B1543=0,"",INDEX(Bank!$B:$B,B1543))</f>
        <v/>
      </c>
      <c r="F1543" s="5" t="str">
        <f aca="false">IF(B1543=0,"",IF(INDEX(Bank!$C:$C,B1543)="","",INDEX(Bank!$C:$C,B1543)))</f>
        <v/>
      </c>
      <c r="G1543" s="19" t="str">
        <f aca="false">IF(B1543=0,"",INDEX(Bank!$E:$E,B1543))</f>
        <v/>
      </c>
      <c r="H1543" s="5" t="str">
        <f aca="false">IF(B1543=0,"",IF(INDEX(Bank!$H:$H,B1543)="","",INDEX(Bank!$H:$H,B1543)))</f>
        <v/>
      </c>
      <c r="I1543" s="5" t="n">
        <f aca="false">IF(H1543="",0,IFERROR(MATCH(H1543,GL!$A:$A,0),0))</f>
        <v>0</v>
      </c>
      <c r="J1543" s="32" t="str">
        <f aca="false">IF(I1543=0,"",INDEX(GL!$B:$B,I1543))</f>
        <v/>
      </c>
      <c r="K1543" s="5" t="str">
        <f aca="false">IF(I1543=0,"",IF(INDEX(GL!$C:$C,I1543)="","",INDEX(GL!$C:$C,I1543)))</f>
        <v/>
      </c>
      <c r="L1543" s="19" t="str">
        <f aca="false">IF(I1543=0,"",INDEX(GL!$E:$E,I1543))</f>
        <v/>
      </c>
      <c r="M1543" s="19" t="str">
        <f aca="false">IF(OR(B1543=0,I1543=0),"",ROUND(G1543-L1543,2))</f>
        <v/>
      </c>
      <c r="N1543" s="5" t="str">
        <f aca="false">IF(A1543="","",IF(B1543=0,"NOT FOUND: bank ID",IF(I1543=0,"NOT FOUND: GL ID",IF(INDEX(GL!$H:$H,I1543)&lt;&gt;A1543,"BROKEN: GL points elsewhere",IF(OR(INDEX(Bank!$F:$F,B1543)&lt;&gt;"Y",INDEX(GL!$F:$F,I1543)&lt;&gt;"Y"),"BROKEN: Status not Y","OK")))))</f>
        <v/>
      </c>
    </row>
    <row r="1544" customFormat="false" ht="15" hidden="false" customHeight="false" outlineLevel="0" collapsed="false">
      <c r="A1544" s="41"/>
      <c r="B1544" s="5" t="n">
        <f aca="false">IF(A1544="",0,IFERROR(MATCH(A1544,Bank!$A:$A,0),0))</f>
        <v>0</v>
      </c>
      <c r="C1544" s="5" t="str">
        <f aca="false">IF(B1544=0,"",IF(INDEX(Bank!$G:$G,B1544)="","",INDEX(Bank!$G:$G,B1544)))</f>
        <v/>
      </c>
      <c r="D1544" s="5" t="str">
        <f aca="false">IF(B1544=0,"",IF(INDEX(Bank!$J:$J,B1544)="","",INDEX(Bank!$J:$J,B1544)))</f>
        <v/>
      </c>
      <c r="E1544" s="32" t="str">
        <f aca="false">IF(B1544=0,"",INDEX(Bank!$B:$B,B1544))</f>
        <v/>
      </c>
      <c r="F1544" s="5" t="str">
        <f aca="false">IF(B1544=0,"",IF(INDEX(Bank!$C:$C,B1544)="","",INDEX(Bank!$C:$C,B1544)))</f>
        <v/>
      </c>
      <c r="G1544" s="19" t="str">
        <f aca="false">IF(B1544=0,"",INDEX(Bank!$E:$E,B1544))</f>
        <v/>
      </c>
      <c r="H1544" s="5" t="str">
        <f aca="false">IF(B1544=0,"",IF(INDEX(Bank!$H:$H,B1544)="","",INDEX(Bank!$H:$H,B1544)))</f>
        <v/>
      </c>
      <c r="I1544" s="5" t="n">
        <f aca="false">IF(H1544="",0,IFERROR(MATCH(H1544,GL!$A:$A,0),0))</f>
        <v>0</v>
      </c>
      <c r="J1544" s="32" t="str">
        <f aca="false">IF(I1544=0,"",INDEX(GL!$B:$B,I1544))</f>
        <v/>
      </c>
      <c r="K1544" s="5" t="str">
        <f aca="false">IF(I1544=0,"",IF(INDEX(GL!$C:$C,I1544)="","",INDEX(GL!$C:$C,I1544)))</f>
        <v/>
      </c>
      <c r="L1544" s="19" t="str">
        <f aca="false">IF(I1544=0,"",INDEX(GL!$E:$E,I1544))</f>
        <v/>
      </c>
      <c r="M1544" s="19" t="str">
        <f aca="false">IF(OR(B1544=0,I1544=0),"",ROUND(G1544-L1544,2))</f>
        <v/>
      </c>
      <c r="N1544" s="5" t="str">
        <f aca="false">IF(A1544="","",IF(B1544=0,"NOT FOUND: bank ID",IF(I1544=0,"NOT FOUND: GL ID",IF(INDEX(GL!$H:$H,I1544)&lt;&gt;A1544,"BROKEN: GL points elsewhere",IF(OR(INDEX(Bank!$F:$F,B1544)&lt;&gt;"Y",INDEX(GL!$F:$F,I1544)&lt;&gt;"Y"),"BROKEN: Status not Y","OK")))))</f>
        <v/>
      </c>
    </row>
    <row r="1545" customFormat="false" ht="15" hidden="false" customHeight="false" outlineLevel="0" collapsed="false">
      <c r="A1545" s="41"/>
      <c r="B1545" s="5" t="n">
        <f aca="false">IF(A1545="",0,IFERROR(MATCH(A1545,Bank!$A:$A,0),0))</f>
        <v>0</v>
      </c>
      <c r="C1545" s="5" t="str">
        <f aca="false">IF(B1545=0,"",IF(INDEX(Bank!$G:$G,B1545)="","",INDEX(Bank!$G:$G,B1545)))</f>
        <v/>
      </c>
      <c r="D1545" s="5" t="str">
        <f aca="false">IF(B1545=0,"",IF(INDEX(Bank!$J:$J,B1545)="","",INDEX(Bank!$J:$J,B1545)))</f>
        <v/>
      </c>
      <c r="E1545" s="32" t="str">
        <f aca="false">IF(B1545=0,"",INDEX(Bank!$B:$B,B1545))</f>
        <v/>
      </c>
      <c r="F1545" s="5" t="str">
        <f aca="false">IF(B1545=0,"",IF(INDEX(Bank!$C:$C,B1545)="","",INDEX(Bank!$C:$C,B1545)))</f>
        <v/>
      </c>
      <c r="G1545" s="19" t="str">
        <f aca="false">IF(B1545=0,"",INDEX(Bank!$E:$E,B1545))</f>
        <v/>
      </c>
      <c r="H1545" s="5" t="str">
        <f aca="false">IF(B1545=0,"",IF(INDEX(Bank!$H:$H,B1545)="","",INDEX(Bank!$H:$H,B1545)))</f>
        <v/>
      </c>
      <c r="I1545" s="5" t="n">
        <f aca="false">IF(H1545="",0,IFERROR(MATCH(H1545,GL!$A:$A,0),0))</f>
        <v>0</v>
      </c>
      <c r="J1545" s="32" t="str">
        <f aca="false">IF(I1545=0,"",INDEX(GL!$B:$B,I1545))</f>
        <v/>
      </c>
      <c r="K1545" s="5" t="str">
        <f aca="false">IF(I1545=0,"",IF(INDEX(GL!$C:$C,I1545)="","",INDEX(GL!$C:$C,I1545)))</f>
        <v/>
      </c>
      <c r="L1545" s="19" t="str">
        <f aca="false">IF(I1545=0,"",INDEX(GL!$E:$E,I1545))</f>
        <v/>
      </c>
      <c r="M1545" s="19" t="str">
        <f aca="false">IF(OR(B1545=0,I1545=0),"",ROUND(G1545-L1545,2))</f>
        <v/>
      </c>
      <c r="N1545" s="5" t="str">
        <f aca="false">IF(A1545="","",IF(B1545=0,"NOT FOUND: bank ID",IF(I1545=0,"NOT FOUND: GL ID",IF(INDEX(GL!$H:$H,I1545)&lt;&gt;A1545,"BROKEN: GL points elsewhere",IF(OR(INDEX(Bank!$F:$F,B1545)&lt;&gt;"Y",INDEX(GL!$F:$F,I1545)&lt;&gt;"Y"),"BROKEN: Status not Y","OK")))))</f>
        <v/>
      </c>
    </row>
    <row r="1546" customFormat="false" ht="15" hidden="false" customHeight="false" outlineLevel="0" collapsed="false">
      <c r="A1546" s="41"/>
      <c r="B1546" s="5" t="n">
        <f aca="false">IF(A1546="",0,IFERROR(MATCH(A1546,Bank!$A:$A,0),0))</f>
        <v>0</v>
      </c>
      <c r="C1546" s="5" t="str">
        <f aca="false">IF(B1546=0,"",IF(INDEX(Bank!$G:$G,B1546)="","",INDEX(Bank!$G:$G,B1546)))</f>
        <v/>
      </c>
      <c r="D1546" s="5" t="str">
        <f aca="false">IF(B1546=0,"",IF(INDEX(Bank!$J:$J,B1546)="","",INDEX(Bank!$J:$J,B1546)))</f>
        <v/>
      </c>
      <c r="E1546" s="32" t="str">
        <f aca="false">IF(B1546=0,"",INDEX(Bank!$B:$B,B1546))</f>
        <v/>
      </c>
      <c r="F1546" s="5" t="str">
        <f aca="false">IF(B1546=0,"",IF(INDEX(Bank!$C:$C,B1546)="","",INDEX(Bank!$C:$C,B1546)))</f>
        <v/>
      </c>
      <c r="G1546" s="19" t="str">
        <f aca="false">IF(B1546=0,"",INDEX(Bank!$E:$E,B1546))</f>
        <v/>
      </c>
      <c r="H1546" s="5" t="str">
        <f aca="false">IF(B1546=0,"",IF(INDEX(Bank!$H:$H,B1546)="","",INDEX(Bank!$H:$H,B1546)))</f>
        <v/>
      </c>
      <c r="I1546" s="5" t="n">
        <f aca="false">IF(H1546="",0,IFERROR(MATCH(H1546,GL!$A:$A,0),0))</f>
        <v>0</v>
      </c>
      <c r="J1546" s="32" t="str">
        <f aca="false">IF(I1546=0,"",INDEX(GL!$B:$B,I1546))</f>
        <v/>
      </c>
      <c r="K1546" s="5" t="str">
        <f aca="false">IF(I1546=0,"",IF(INDEX(GL!$C:$C,I1546)="","",INDEX(GL!$C:$C,I1546)))</f>
        <v/>
      </c>
      <c r="L1546" s="19" t="str">
        <f aca="false">IF(I1546=0,"",INDEX(GL!$E:$E,I1546))</f>
        <v/>
      </c>
      <c r="M1546" s="19" t="str">
        <f aca="false">IF(OR(B1546=0,I1546=0),"",ROUND(G1546-L1546,2))</f>
        <v/>
      </c>
      <c r="N1546" s="5" t="str">
        <f aca="false">IF(A1546="","",IF(B1546=0,"NOT FOUND: bank ID",IF(I1546=0,"NOT FOUND: GL ID",IF(INDEX(GL!$H:$H,I1546)&lt;&gt;A1546,"BROKEN: GL points elsewhere",IF(OR(INDEX(Bank!$F:$F,B1546)&lt;&gt;"Y",INDEX(GL!$F:$F,I1546)&lt;&gt;"Y"),"BROKEN: Status not Y","OK")))))</f>
        <v/>
      </c>
    </row>
    <row r="1547" customFormat="false" ht="15" hidden="false" customHeight="false" outlineLevel="0" collapsed="false">
      <c r="A1547" s="41"/>
      <c r="B1547" s="5" t="n">
        <f aca="false">IF(A1547="",0,IFERROR(MATCH(A1547,Bank!$A:$A,0),0))</f>
        <v>0</v>
      </c>
      <c r="C1547" s="5" t="str">
        <f aca="false">IF(B1547=0,"",IF(INDEX(Bank!$G:$G,B1547)="","",INDEX(Bank!$G:$G,B1547)))</f>
        <v/>
      </c>
      <c r="D1547" s="5" t="str">
        <f aca="false">IF(B1547=0,"",IF(INDEX(Bank!$J:$J,B1547)="","",INDEX(Bank!$J:$J,B1547)))</f>
        <v/>
      </c>
      <c r="E1547" s="32" t="str">
        <f aca="false">IF(B1547=0,"",INDEX(Bank!$B:$B,B1547))</f>
        <v/>
      </c>
      <c r="F1547" s="5" t="str">
        <f aca="false">IF(B1547=0,"",IF(INDEX(Bank!$C:$C,B1547)="","",INDEX(Bank!$C:$C,B1547)))</f>
        <v/>
      </c>
      <c r="G1547" s="19" t="str">
        <f aca="false">IF(B1547=0,"",INDEX(Bank!$E:$E,B1547))</f>
        <v/>
      </c>
      <c r="H1547" s="5" t="str">
        <f aca="false">IF(B1547=0,"",IF(INDEX(Bank!$H:$H,B1547)="","",INDEX(Bank!$H:$H,B1547)))</f>
        <v/>
      </c>
      <c r="I1547" s="5" t="n">
        <f aca="false">IF(H1547="",0,IFERROR(MATCH(H1547,GL!$A:$A,0),0))</f>
        <v>0</v>
      </c>
      <c r="J1547" s="32" t="str">
        <f aca="false">IF(I1547=0,"",INDEX(GL!$B:$B,I1547))</f>
        <v/>
      </c>
      <c r="K1547" s="5" t="str">
        <f aca="false">IF(I1547=0,"",IF(INDEX(GL!$C:$C,I1547)="","",INDEX(GL!$C:$C,I1547)))</f>
        <v/>
      </c>
      <c r="L1547" s="19" t="str">
        <f aca="false">IF(I1547=0,"",INDEX(GL!$E:$E,I1547))</f>
        <v/>
      </c>
      <c r="M1547" s="19" t="str">
        <f aca="false">IF(OR(B1547=0,I1547=0),"",ROUND(G1547-L1547,2))</f>
        <v/>
      </c>
      <c r="N1547" s="5" t="str">
        <f aca="false">IF(A1547="","",IF(B1547=0,"NOT FOUND: bank ID",IF(I1547=0,"NOT FOUND: GL ID",IF(INDEX(GL!$H:$H,I1547)&lt;&gt;A1547,"BROKEN: GL points elsewhere",IF(OR(INDEX(Bank!$F:$F,B1547)&lt;&gt;"Y",INDEX(GL!$F:$F,I1547)&lt;&gt;"Y"),"BROKEN: Status not Y","OK")))))</f>
        <v/>
      </c>
    </row>
    <row r="1548" customFormat="false" ht="15" hidden="false" customHeight="false" outlineLevel="0" collapsed="false">
      <c r="A1548" s="41"/>
      <c r="B1548" s="5" t="n">
        <f aca="false">IF(A1548="",0,IFERROR(MATCH(A1548,Bank!$A:$A,0),0))</f>
        <v>0</v>
      </c>
      <c r="C1548" s="5" t="str">
        <f aca="false">IF(B1548=0,"",IF(INDEX(Bank!$G:$G,B1548)="","",INDEX(Bank!$G:$G,B1548)))</f>
        <v/>
      </c>
      <c r="D1548" s="5" t="str">
        <f aca="false">IF(B1548=0,"",IF(INDEX(Bank!$J:$J,B1548)="","",INDEX(Bank!$J:$J,B1548)))</f>
        <v/>
      </c>
      <c r="E1548" s="32" t="str">
        <f aca="false">IF(B1548=0,"",INDEX(Bank!$B:$B,B1548))</f>
        <v/>
      </c>
      <c r="F1548" s="5" t="str">
        <f aca="false">IF(B1548=0,"",IF(INDEX(Bank!$C:$C,B1548)="","",INDEX(Bank!$C:$C,B1548)))</f>
        <v/>
      </c>
      <c r="G1548" s="19" t="str">
        <f aca="false">IF(B1548=0,"",INDEX(Bank!$E:$E,B1548))</f>
        <v/>
      </c>
      <c r="H1548" s="5" t="str">
        <f aca="false">IF(B1548=0,"",IF(INDEX(Bank!$H:$H,B1548)="","",INDEX(Bank!$H:$H,B1548)))</f>
        <v/>
      </c>
      <c r="I1548" s="5" t="n">
        <f aca="false">IF(H1548="",0,IFERROR(MATCH(H1548,GL!$A:$A,0),0))</f>
        <v>0</v>
      </c>
      <c r="J1548" s="32" t="str">
        <f aca="false">IF(I1548=0,"",INDEX(GL!$B:$B,I1548))</f>
        <v/>
      </c>
      <c r="K1548" s="5" t="str">
        <f aca="false">IF(I1548=0,"",IF(INDEX(GL!$C:$C,I1548)="","",INDEX(GL!$C:$C,I1548)))</f>
        <v/>
      </c>
      <c r="L1548" s="19" t="str">
        <f aca="false">IF(I1548=0,"",INDEX(GL!$E:$E,I1548))</f>
        <v/>
      </c>
      <c r="M1548" s="19" t="str">
        <f aca="false">IF(OR(B1548=0,I1548=0),"",ROUND(G1548-L1548,2))</f>
        <v/>
      </c>
      <c r="N1548" s="5" t="str">
        <f aca="false">IF(A1548="","",IF(B1548=0,"NOT FOUND: bank ID",IF(I1548=0,"NOT FOUND: GL ID",IF(INDEX(GL!$H:$H,I1548)&lt;&gt;A1548,"BROKEN: GL points elsewhere",IF(OR(INDEX(Bank!$F:$F,B1548)&lt;&gt;"Y",INDEX(GL!$F:$F,I1548)&lt;&gt;"Y"),"BROKEN: Status not Y","OK")))))</f>
        <v/>
      </c>
    </row>
    <row r="1549" customFormat="false" ht="15" hidden="false" customHeight="false" outlineLevel="0" collapsed="false">
      <c r="A1549" s="41"/>
      <c r="B1549" s="5" t="n">
        <f aca="false">IF(A1549="",0,IFERROR(MATCH(A1549,Bank!$A:$A,0),0))</f>
        <v>0</v>
      </c>
      <c r="C1549" s="5" t="str">
        <f aca="false">IF(B1549=0,"",IF(INDEX(Bank!$G:$G,B1549)="","",INDEX(Bank!$G:$G,B1549)))</f>
        <v/>
      </c>
      <c r="D1549" s="5" t="str">
        <f aca="false">IF(B1549=0,"",IF(INDEX(Bank!$J:$J,B1549)="","",INDEX(Bank!$J:$J,B1549)))</f>
        <v/>
      </c>
      <c r="E1549" s="32" t="str">
        <f aca="false">IF(B1549=0,"",INDEX(Bank!$B:$B,B1549))</f>
        <v/>
      </c>
      <c r="F1549" s="5" t="str">
        <f aca="false">IF(B1549=0,"",IF(INDEX(Bank!$C:$C,B1549)="","",INDEX(Bank!$C:$C,B1549)))</f>
        <v/>
      </c>
      <c r="G1549" s="19" t="str">
        <f aca="false">IF(B1549=0,"",INDEX(Bank!$E:$E,B1549))</f>
        <v/>
      </c>
      <c r="H1549" s="5" t="str">
        <f aca="false">IF(B1549=0,"",IF(INDEX(Bank!$H:$H,B1549)="","",INDEX(Bank!$H:$H,B1549)))</f>
        <v/>
      </c>
      <c r="I1549" s="5" t="n">
        <f aca="false">IF(H1549="",0,IFERROR(MATCH(H1549,GL!$A:$A,0),0))</f>
        <v>0</v>
      </c>
      <c r="J1549" s="32" t="str">
        <f aca="false">IF(I1549=0,"",INDEX(GL!$B:$B,I1549))</f>
        <v/>
      </c>
      <c r="K1549" s="5" t="str">
        <f aca="false">IF(I1549=0,"",IF(INDEX(GL!$C:$C,I1549)="","",INDEX(GL!$C:$C,I1549)))</f>
        <v/>
      </c>
      <c r="L1549" s="19" t="str">
        <f aca="false">IF(I1549=0,"",INDEX(GL!$E:$E,I1549))</f>
        <v/>
      </c>
      <c r="M1549" s="19" t="str">
        <f aca="false">IF(OR(B1549=0,I1549=0),"",ROUND(G1549-L1549,2))</f>
        <v/>
      </c>
      <c r="N1549" s="5" t="str">
        <f aca="false">IF(A1549="","",IF(B1549=0,"NOT FOUND: bank ID",IF(I1549=0,"NOT FOUND: GL ID",IF(INDEX(GL!$H:$H,I1549)&lt;&gt;A1549,"BROKEN: GL points elsewhere",IF(OR(INDEX(Bank!$F:$F,B1549)&lt;&gt;"Y",INDEX(GL!$F:$F,I1549)&lt;&gt;"Y"),"BROKEN: Status not Y","OK")))))</f>
        <v/>
      </c>
    </row>
    <row r="1550" customFormat="false" ht="15" hidden="false" customHeight="false" outlineLevel="0" collapsed="false">
      <c r="A1550" s="41"/>
      <c r="B1550" s="5" t="n">
        <f aca="false">IF(A1550="",0,IFERROR(MATCH(A1550,Bank!$A:$A,0),0))</f>
        <v>0</v>
      </c>
      <c r="C1550" s="5" t="str">
        <f aca="false">IF(B1550=0,"",IF(INDEX(Bank!$G:$G,B1550)="","",INDEX(Bank!$G:$G,B1550)))</f>
        <v/>
      </c>
      <c r="D1550" s="5" t="str">
        <f aca="false">IF(B1550=0,"",IF(INDEX(Bank!$J:$J,B1550)="","",INDEX(Bank!$J:$J,B1550)))</f>
        <v/>
      </c>
      <c r="E1550" s="32" t="str">
        <f aca="false">IF(B1550=0,"",INDEX(Bank!$B:$B,B1550))</f>
        <v/>
      </c>
      <c r="F1550" s="5" t="str">
        <f aca="false">IF(B1550=0,"",IF(INDEX(Bank!$C:$C,B1550)="","",INDEX(Bank!$C:$C,B1550)))</f>
        <v/>
      </c>
      <c r="G1550" s="19" t="str">
        <f aca="false">IF(B1550=0,"",INDEX(Bank!$E:$E,B1550))</f>
        <v/>
      </c>
      <c r="H1550" s="5" t="str">
        <f aca="false">IF(B1550=0,"",IF(INDEX(Bank!$H:$H,B1550)="","",INDEX(Bank!$H:$H,B1550)))</f>
        <v/>
      </c>
      <c r="I1550" s="5" t="n">
        <f aca="false">IF(H1550="",0,IFERROR(MATCH(H1550,GL!$A:$A,0),0))</f>
        <v>0</v>
      </c>
      <c r="J1550" s="32" t="str">
        <f aca="false">IF(I1550=0,"",INDEX(GL!$B:$B,I1550))</f>
        <v/>
      </c>
      <c r="K1550" s="5" t="str">
        <f aca="false">IF(I1550=0,"",IF(INDEX(GL!$C:$C,I1550)="","",INDEX(GL!$C:$C,I1550)))</f>
        <v/>
      </c>
      <c r="L1550" s="19" t="str">
        <f aca="false">IF(I1550=0,"",INDEX(GL!$E:$E,I1550))</f>
        <v/>
      </c>
      <c r="M1550" s="19" t="str">
        <f aca="false">IF(OR(B1550=0,I1550=0),"",ROUND(G1550-L1550,2))</f>
        <v/>
      </c>
      <c r="N1550" s="5" t="str">
        <f aca="false">IF(A1550="","",IF(B1550=0,"NOT FOUND: bank ID",IF(I1550=0,"NOT FOUND: GL ID",IF(INDEX(GL!$H:$H,I1550)&lt;&gt;A1550,"BROKEN: GL points elsewhere",IF(OR(INDEX(Bank!$F:$F,B1550)&lt;&gt;"Y",INDEX(GL!$F:$F,I1550)&lt;&gt;"Y"),"BROKEN: Status not Y","OK")))))</f>
        <v/>
      </c>
    </row>
    <row r="1551" customFormat="false" ht="15" hidden="false" customHeight="false" outlineLevel="0" collapsed="false">
      <c r="A1551" s="41"/>
      <c r="B1551" s="5" t="n">
        <f aca="false">IF(A1551="",0,IFERROR(MATCH(A1551,Bank!$A:$A,0),0))</f>
        <v>0</v>
      </c>
      <c r="C1551" s="5" t="str">
        <f aca="false">IF(B1551=0,"",IF(INDEX(Bank!$G:$G,B1551)="","",INDEX(Bank!$G:$G,B1551)))</f>
        <v/>
      </c>
      <c r="D1551" s="5" t="str">
        <f aca="false">IF(B1551=0,"",IF(INDEX(Bank!$J:$J,B1551)="","",INDEX(Bank!$J:$J,B1551)))</f>
        <v/>
      </c>
      <c r="E1551" s="32" t="str">
        <f aca="false">IF(B1551=0,"",INDEX(Bank!$B:$B,B1551))</f>
        <v/>
      </c>
      <c r="F1551" s="5" t="str">
        <f aca="false">IF(B1551=0,"",IF(INDEX(Bank!$C:$C,B1551)="","",INDEX(Bank!$C:$C,B1551)))</f>
        <v/>
      </c>
      <c r="G1551" s="19" t="str">
        <f aca="false">IF(B1551=0,"",INDEX(Bank!$E:$E,B1551))</f>
        <v/>
      </c>
      <c r="H1551" s="5" t="str">
        <f aca="false">IF(B1551=0,"",IF(INDEX(Bank!$H:$H,B1551)="","",INDEX(Bank!$H:$H,B1551)))</f>
        <v/>
      </c>
      <c r="I1551" s="5" t="n">
        <f aca="false">IF(H1551="",0,IFERROR(MATCH(H1551,GL!$A:$A,0),0))</f>
        <v>0</v>
      </c>
      <c r="J1551" s="32" t="str">
        <f aca="false">IF(I1551=0,"",INDEX(GL!$B:$B,I1551))</f>
        <v/>
      </c>
      <c r="K1551" s="5" t="str">
        <f aca="false">IF(I1551=0,"",IF(INDEX(GL!$C:$C,I1551)="","",INDEX(GL!$C:$C,I1551)))</f>
        <v/>
      </c>
      <c r="L1551" s="19" t="str">
        <f aca="false">IF(I1551=0,"",INDEX(GL!$E:$E,I1551))</f>
        <v/>
      </c>
      <c r="M1551" s="19" t="str">
        <f aca="false">IF(OR(B1551=0,I1551=0),"",ROUND(G1551-L1551,2))</f>
        <v/>
      </c>
      <c r="N1551" s="5" t="str">
        <f aca="false">IF(A1551="","",IF(B1551=0,"NOT FOUND: bank ID",IF(I1551=0,"NOT FOUND: GL ID",IF(INDEX(GL!$H:$H,I1551)&lt;&gt;A1551,"BROKEN: GL points elsewhere",IF(OR(INDEX(Bank!$F:$F,B1551)&lt;&gt;"Y",INDEX(GL!$F:$F,I1551)&lt;&gt;"Y"),"BROKEN: Status not Y","OK")))))</f>
        <v/>
      </c>
    </row>
    <row r="1552" customFormat="false" ht="15" hidden="false" customHeight="false" outlineLevel="0" collapsed="false">
      <c r="A1552" s="41"/>
      <c r="B1552" s="5" t="n">
        <f aca="false">IF(A1552="",0,IFERROR(MATCH(A1552,Bank!$A:$A,0),0))</f>
        <v>0</v>
      </c>
      <c r="C1552" s="5" t="str">
        <f aca="false">IF(B1552=0,"",IF(INDEX(Bank!$G:$G,B1552)="","",INDEX(Bank!$G:$G,B1552)))</f>
        <v/>
      </c>
      <c r="D1552" s="5" t="str">
        <f aca="false">IF(B1552=0,"",IF(INDEX(Bank!$J:$J,B1552)="","",INDEX(Bank!$J:$J,B1552)))</f>
        <v/>
      </c>
      <c r="E1552" s="32" t="str">
        <f aca="false">IF(B1552=0,"",INDEX(Bank!$B:$B,B1552))</f>
        <v/>
      </c>
      <c r="F1552" s="5" t="str">
        <f aca="false">IF(B1552=0,"",IF(INDEX(Bank!$C:$C,B1552)="","",INDEX(Bank!$C:$C,B1552)))</f>
        <v/>
      </c>
      <c r="G1552" s="19" t="str">
        <f aca="false">IF(B1552=0,"",INDEX(Bank!$E:$E,B1552))</f>
        <v/>
      </c>
      <c r="H1552" s="5" t="str">
        <f aca="false">IF(B1552=0,"",IF(INDEX(Bank!$H:$H,B1552)="","",INDEX(Bank!$H:$H,B1552)))</f>
        <v/>
      </c>
      <c r="I1552" s="5" t="n">
        <f aca="false">IF(H1552="",0,IFERROR(MATCH(H1552,GL!$A:$A,0),0))</f>
        <v>0</v>
      </c>
      <c r="J1552" s="32" t="str">
        <f aca="false">IF(I1552=0,"",INDEX(GL!$B:$B,I1552))</f>
        <v/>
      </c>
      <c r="K1552" s="5" t="str">
        <f aca="false">IF(I1552=0,"",IF(INDEX(GL!$C:$C,I1552)="","",INDEX(GL!$C:$C,I1552)))</f>
        <v/>
      </c>
      <c r="L1552" s="19" t="str">
        <f aca="false">IF(I1552=0,"",INDEX(GL!$E:$E,I1552))</f>
        <v/>
      </c>
      <c r="M1552" s="19" t="str">
        <f aca="false">IF(OR(B1552=0,I1552=0),"",ROUND(G1552-L1552,2))</f>
        <v/>
      </c>
      <c r="N1552" s="5" t="str">
        <f aca="false">IF(A1552="","",IF(B1552=0,"NOT FOUND: bank ID",IF(I1552=0,"NOT FOUND: GL ID",IF(INDEX(GL!$H:$H,I1552)&lt;&gt;A1552,"BROKEN: GL points elsewhere",IF(OR(INDEX(Bank!$F:$F,B1552)&lt;&gt;"Y",INDEX(GL!$F:$F,I1552)&lt;&gt;"Y"),"BROKEN: Status not Y","OK")))))</f>
        <v/>
      </c>
    </row>
    <row r="1553" customFormat="false" ht="15" hidden="false" customHeight="false" outlineLevel="0" collapsed="false">
      <c r="A1553" s="41"/>
      <c r="B1553" s="5" t="n">
        <f aca="false">IF(A1553="",0,IFERROR(MATCH(A1553,Bank!$A:$A,0),0))</f>
        <v>0</v>
      </c>
      <c r="C1553" s="5" t="str">
        <f aca="false">IF(B1553=0,"",IF(INDEX(Bank!$G:$G,B1553)="","",INDEX(Bank!$G:$G,B1553)))</f>
        <v/>
      </c>
      <c r="D1553" s="5" t="str">
        <f aca="false">IF(B1553=0,"",IF(INDEX(Bank!$J:$J,B1553)="","",INDEX(Bank!$J:$J,B1553)))</f>
        <v/>
      </c>
      <c r="E1553" s="32" t="str">
        <f aca="false">IF(B1553=0,"",INDEX(Bank!$B:$B,B1553))</f>
        <v/>
      </c>
      <c r="F1553" s="5" t="str">
        <f aca="false">IF(B1553=0,"",IF(INDEX(Bank!$C:$C,B1553)="","",INDEX(Bank!$C:$C,B1553)))</f>
        <v/>
      </c>
      <c r="G1553" s="19" t="str">
        <f aca="false">IF(B1553=0,"",INDEX(Bank!$E:$E,B1553))</f>
        <v/>
      </c>
      <c r="H1553" s="5" t="str">
        <f aca="false">IF(B1553=0,"",IF(INDEX(Bank!$H:$H,B1553)="","",INDEX(Bank!$H:$H,B1553)))</f>
        <v/>
      </c>
      <c r="I1553" s="5" t="n">
        <f aca="false">IF(H1553="",0,IFERROR(MATCH(H1553,GL!$A:$A,0),0))</f>
        <v>0</v>
      </c>
      <c r="J1553" s="32" t="str">
        <f aca="false">IF(I1553=0,"",INDEX(GL!$B:$B,I1553))</f>
        <v/>
      </c>
      <c r="K1553" s="5" t="str">
        <f aca="false">IF(I1553=0,"",IF(INDEX(GL!$C:$C,I1553)="","",INDEX(GL!$C:$C,I1553)))</f>
        <v/>
      </c>
      <c r="L1553" s="19" t="str">
        <f aca="false">IF(I1553=0,"",INDEX(GL!$E:$E,I1553))</f>
        <v/>
      </c>
      <c r="M1553" s="19" t="str">
        <f aca="false">IF(OR(B1553=0,I1553=0),"",ROUND(G1553-L1553,2))</f>
        <v/>
      </c>
      <c r="N1553" s="5" t="str">
        <f aca="false">IF(A1553="","",IF(B1553=0,"NOT FOUND: bank ID",IF(I1553=0,"NOT FOUND: GL ID",IF(INDEX(GL!$H:$H,I1553)&lt;&gt;A1553,"BROKEN: GL points elsewhere",IF(OR(INDEX(Bank!$F:$F,B1553)&lt;&gt;"Y",INDEX(GL!$F:$F,I1553)&lt;&gt;"Y"),"BROKEN: Status not Y","OK")))))</f>
        <v/>
      </c>
    </row>
    <row r="1554" customFormat="false" ht="15" hidden="false" customHeight="false" outlineLevel="0" collapsed="false">
      <c r="A1554" s="41"/>
      <c r="B1554" s="5" t="n">
        <f aca="false">IF(A1554="",0,IFERROR(MATCH(A1554,Bank!$A:$A,0),0))</f>
        <v>0</v>
      </c>
      <c r="C1554" s="5" t="str">
        <f aca="false">IF(B1554=0,"",IF(INDEX(Bank!$G:$G,B1554)="","",INDEX(Bank!$G:$G,B1554)))</f>
        <v/>
      </c>
      <c r="D1554" s="5" t="str">
        <f aca="false">IF(B1554=0,"",IF(INDEX(Bank!$J:$J,B1554)="","",INDEX(Bank!$J:$J,B1554)))</f>
        <v/>
      </c>
      <c r="E1554" s="32" t="str">
        <f aca="false">IF(B1554=0,"",INDEX(Bank!$B:$B,B1554))</f>
        <v/>
      </c>
      <c r="F1554" s="5" t="str">
        <f aca="false">IF(B1554=0,"",IF(INDEX(Bank!$C:$C,B1554)="","",INDEX(Bank!$C:$C,B1554)))</f>
        <v/>
      </c>
      <c r="G1554" s="19" t="str">
        <f aca="false">IF(B1554=0,"",INDEX(Bank!$E:$E,B1554))</f>
        <v/>
      </c>
      <c r="H1554" s="5" t="str">
        <f aca="false">IF(B1554=0,"",IF(INDEX(Bank!$H:$H,B1554)="","",INDEX(Bank!$H:$H,B1554)))</f>
        <v/>
      </c>
      <c r="I1554" s="5" t="n">
        <f aca="false">IF(H1554="",0,IFERROR(MATCH(H1554,GL!$A:$A,0),0))</f>
        <v>0</v>
      </c>
      <c r="J1554" s="32" t="str">
        <f aca="false">IF(I1554=0,"",INDEX(GL!$B:$B,I1554))</f>
        <v/>
      </c>
      <c r="K1554" s="5" t="str">
        <f aca="false">IF(I1554=0,"",IF(INDEX(GL!$C:$C,I1554)="","",INDEX(GL!$C:$C,I1554)))</f>
        <v/>
      </c>
      <c r="L1554" s="19" t="str">
        <f aca="false">IF(I1554=0,"",INDEX(GL!$E:$E,I1554))</f>
        <v/>
      </c>
      <c r="M1554" s="19" t="str">
        <f aca="false">IF(OR(B1554=0,I1554=0),"",ROUND(G1554-L1554,2))</f>
        <v/>
      </c>
      <c r="N1554" s="5" t="str">
        <f aca="false">IF(A1554="","",IF(B1554=0,"NOT FOUND: bank ID",IF(I1554=0,"NOT FOUND: GL ID",IF(INDEX(GL!$H:$H,I1554)&lt;&gt;A1554,"BROKEN: GL points elsewhere",IF(OR(INDEX(Bank!$F:$F,B1554)&lt;&gt;"Y",INDEX(GL!$F:$F,I1554)&lt;&gt;"Y"),"BROKEN: Status not Y","OK")))))</f>
        <v/>
      </c>
    </row>
    <row r="1555" customFormat="false" ht="15" hidden="false" customHeight="false" outlineLevel="0" collapsed="false">
      <c r="A1555" s="41"/>
      <c r="B1555" s="5" t="n">
        <f aca="false">IF(A1555="",0,IFERROR(MATCH(A1555,Bank!$A:$A,0),0))</f>
        <v>0</v>
      </c>
      <c r="C1555" s="5" t="str">
        <f aca="false">IF(B1555=0,"",IF(INDEX(Bank!$G:$G,B1555)="","",INDEX(Bank!$G:$G,B1555)))</f>
        <v/>
      </c>
      <c r="D1555" s="5" t="str">
        <f aca="false">IF(B1555=0,"",IF(INDEX(Bank!$J:$J,B1555)="","",INDEX(Bank!$J:$J,B1555)))</f>
        <v/>
      </c>
      <c r="E1555" s="32" t="str">
        <f aca="false">IF(B1555=0,"",INDEX(Bank!$B:$B,B1555))</f>
        <v/>
      </c>
      <c r="F1555" s="5" t="str">
        <f aca="false">IF(B1555=0,"",IF(INDEX(Bank!$C:$C,B1555)="","",INDEX(Bank!$C:$C,B1555)))</f>
        <v/>
      </c>
      <c r="G1555" s="19" t="str">
        <f aca="false">IF(B1555=0,"",INDEX(Bank!$E:$E,B1555))</f>
        <v/>
      </c>
      <c r="H1555" s="5" t="str">
        <f aca="false">IF(B1555=0,"",IF(INDEX(Bank!$H:$H,B1555)="","",INDEX(Bank!$H:$H,B1555)))</f>
        <v/>
      </c>
      <c r="I1555" s="5" t="n">
        <f aca="false">IF(H1555="",0,IFERROR(MATCH(H1555,GL!$A:$A,0),0))</f>
        <v>0</v>
      </c>
      <c r="J1555" s="32" t="str">
        <f aca="false">IF(I1555=0,"",INDEX(GL!$B:$B,I1555))</f>
        <v/>
      </c>
      <c r="K1555" s="5" t="str">
        <f aca="false">IF(I1555=0,"",IF(INDEX(GL!$C:$C,I1555)="","",INDEX(GL!$C:$C,I1555)))</f>
        <v/>
      </c>
      <c r="L1555" s="19" t="str">
        <f aca="false">IF(I1555=0,"",INDEX(GL!$E:$E,I1555))</f>
        <v/>
      </c>
      <c r="M1555" s="19" t="str">
        <f aca="false">IF(OR(B1555=0,I1555=0),"",ROUND(G1555-L1555,2))</f>
        <v/>
      </c>
      <c r="N1555" s="5" t="str">
        <f aca="false">IF(A1555="","",IF(B1555=0,"NOT FOUND: bank ID",IF(I1555=0,"NOT FOUND: GL ID",IF(INDEX(GL!$H:$H,I1555)&lt;&gt;A1555,"BROKEN: GL points elsewhere",IF(OR(INDEX(Bank!$F:$F,B1555)&lt;&gt;"Y",INDEX(GL!$F:$F,I1555)&lt;&gt;"Y"),"BROKEN: Status not Y","OK")))))</f>
        <v/>
      </c>
    </row>
    <row r="1556" customFormat="false" ht="15" hidden="false" customHeight="false" outlineLevel="0" collapsed="false">
      <c r="A1556" s="41"/>
      <c r="B1556" s="5" t="n">
        <f aca="false">IF(A1556="",0,IFERROR(MATCH(A1556,Bank!$A:$A,0),0))</f>
        <v>0</v>
      </c>
      <c r="C1556" s="5" t="str">
        <f aca="false">IF(B1556=0,"",IF(INDEX(Bank!$G:$G,B1556)="","",INDEX(Bank!$G:$G,B1556)))</f>
        <v/>
      </c>
      <c r="D1556" s="5" t="str">
        <f aca="false">IF(B1556=0,"",IF(INDEX(Bank!$J:$J,B1556)="","",INDEX(Bank!$J:$J,B1556)))</f>
        <v/>
      </c>
      <c r="E1556" s="32" t="str">
        <f aca="false">IF(B1556=0,"",INDEX(Bank!$B:$B,B1556))</f>
        <v/>
      </c>
      <c r="F1556" s="5" t="str">
        <f aca="false">IF(B1556=0,"",IF(INDEX(Bank!$C:$C,B1556)="","",INDEX(Bank!$C:$C,B1556)))</f>
        <v/>
      </c>
      <c r="G1556" s="19" t="str">
        <f aca="false">IF(B1556=0,"",INDEX(Bank!$E:$E,B1556))</f>
        <v/>
      </c>
      <c r="H1556" s="5" t="str">
        <f aca="false">IF(B1556=0,"",IF(INDEX(Bank!$H:$H,B1556)="","",INDEX(Bank!$H:$H,B1556)))</f>
        <v/>
      </c>
      <c r="I1556" s="5" t="n">
        <f aca="false">IF(H1556="",0,IFERROR(MATCH(H1556,GL!$A:$A,0),0))</f>
        <v>0</v>
      </c>
      <c r="J1556" s="32" t="str">
        <f aca="false">IF(I1556=0,"",INDEX(GL!$B:$B,I1556))</f>
        <v/>
      </c>
      <c r="K1556" s="5" t="str">
        <f aca="false">IF(I1556=0,"",IF(INDEX(GL!$C:$C,I1556)="","",INDEX(GL!$C:$C,I1556)))</f>
        <v/>
      </c>
      <c r="L1556" s="19" t="str">
        <f aca="false">IF(I1556=0,"",INDEX(GL!$E:$E,I1556))</f>
        <v/>
      </c>
      <c r="M1556" s="19" t="str">
        <f aca="false">IF(OR(B1556=0,I1556=0),"",ROUND(G1556-L1556,2))</f>
        <v/>
      </c>
      <c r="N1556" s="5" t="str">
        <f aca="false">IF(A1556="","",IF(B1556=0,"NOT FOUND: bank ID",IF(I1556=0,"NOT FOUND: GL ID",IF(INDEX(GL!$H:$H,I1556)&lt;&gt;A1556,"BROKEN: GL points elsewhere",IF(OR(INDEX(Bank!$F:$F,B1556)&lt;&gt;"Y",INDEX(GL!$F:$F,I1556)&lt;&gt;"Y"),"BROKEN: Status not Y","OK")))))</f>
        <v/>
      </c>
    </row>
    <row r="1557" customFormat="false" ht="15" hidden="false" customHeight="false" outlineLevel="0" collapsed="false">
      <c r="A1557" s="41"/>
      <c r="B1557" s="5" t="n">
        <f aca="false">IF(A1557="",0,IFERROR(MATCH(A1557,Bank!$A:$A,0),0))</f>
        <v>0</v>
      </c>
      <c r="C1557" s="5" t="str">
        <f aca="false">IF(B1557=0,"",IF(INDEX(Bank!$G:$G,B1557)="","",INDEX(Bank!$G:$G,B1557)))</f>
        <v/>
      </c>
      <c r="D1557" s="5" t="str">
        <f aca="false">IF(B1557=0,"",IF(INDEX(Bank!$J:$J,B1557)="","",INDEX(Bank!$J:$J,B1557)))</f>
        <v/>
      </c>
      <c r="E1557" s="32" t="str">
        <f aca="false">IF(B1557=0,"",INDEX(Bank!$B:$B,B1557))</f>
        <v/>
      </c>
      <c r="F1557" s="5" t="str">
        <f aca="false">IF(B1557=0,"",IF(INDEX(Bank!$C:$C,B1557)="","",INDEX(Bank!$C:$C,B1557)))</f>
        <v/>
      </c>
      <c r="G1557" s="19" t="str">
        <f aca="false">IF(B1557=0,"",INDEX(Bank!$E:$E,B1557))</f>
        <v/>
      </c>
      <c r="H1557" s="5" t="str">
        <f aca="false">IF(B1557=0,"",IF(INDEX(Bank!$H:$H,B1557)="","",INDEX(Bank!$H:$H,B1557)))</f>
        <v/>
      </c>
      <c r="I1557" s="5" t="n">
        <f aca="false">IF(H1557="",0,IFERROR(MATCH(H1557,GL!$A:$A,0),0))</f>
        <v>0</v>
      </c>
      <c r="J1557" s="32" t="str">
        <f aca="false">IF(I1557=0,"",INDEX(GL!$B:$B,I1557))</f>
        <v/>
      </c>
      <c r="K1557" s="5" t="str">
        <f aca="false">IF(I1557=0,"",IF(INDEX(GL!$C:$C,I1557)="","",INDEX(GL!$C:$C,I1557)))</f>
        <v/>
      </c>
      <c r="L1557" s="19" t="str">
        <f aca="false">IF(I1557=0,"",INDEX(GL!$E:$E,I1557))</f>
        <v/>
      </c>
      <c r="M1557" s="19" t="str">
        <f aca="false">IF(OR(B1557=0,I1557=0),"",ROUND(G1557-L1557,2))</f>
        <v/>
      </c>
      <c r="N1557" s="5" t="str">
        <f aca="false">IF(A1557="","",IF(B1557=0,"NOT FOUND: bank ID",IF(I1557=0,"NOT FOUND: GL ID",IF(INDEX(GL!$H:$H,I1557)&lt;&gt;A1557,"BROKEN: GL points elsewhere",IF(OR(INDEX(Bank!$F:$F,B1557)&lt;&gt;"Y",INDEX(GL!$F:$F,I1557)&lt;&gt;"Y"),"BROKEN: Status not Y","OK")))))</f>
        <v/>
      </c>
    </row>
    <row r="1558" customFormat="false" ht="15" hidden="false" customHeight="false" outlineLevel="0" collapsed="false">
      <c r="A1558" s="41"/>
      <c r="B1558" s="5" t="n">
        <f aca="false">IF(A1558="",0,IFERROR(MATCH(A1558,Bank!$A:$A,0),0))</f>
        <v>0</v>
      </c>
      <c r="C1558" s="5" t="str">
        <f aca="false">IF(B1558=0,"",IF(INDEX(Bank!$G:$G,B1558)="","",INDEX(Bank!$G:$G,B1558)))</f>
        <v/>
      </c>
      <c r="D1558" s="5" t="str">
        <f aca="false">IF(B1558=0,"",IF(INDEX(Bank!$J:$J,B1558)="","",INDEX(Bank!$J:$J,B1558)))</f>
        <v/>
      </c>
      <c r="E1558" s="32" t="str">
        <f aca="false">IF(B1558=0,"",INDEX(Bank!$B:$B,B1558))</f>
        <v/>
      </c>
      <c r="F1558" s="5" t="str">
        <f aca="false">IF(B1558=0,"",IF(INDEX(Bank!$C:$C,B1558)="","",INDEX(Bank!$C:$C,B1558)))</f>
        <v/>
      </c>
      <c r="G1558" s="19" t="str">
        <f aca="false">IF(B1558=0,"",INDEX(Bank!$E:$E,B1558))</f>
        <v/>
      </c>
      <c r="H1558" s="5" t="str">
        <f aca="false">IF(B1558=0,"",IF(INDEX(Bank!$H:$H,B1558)="","",INDEX(Bank!$H:$H,B1558)))</f>
        <v/>
      </c>
      <c r="I1558" s="5" t="n">
        <f aca="false">IF(H1558="",0,IFERROR(MATCH(H1558,GL!$A:$A,0),0))</f>
        <v>0</v>
      </c>
      <c r="J1558" s="32" t="str">
        <f aca="false">IF(I1558=0,"",INDEX(GL!$B:$B,I1558))</f>
        <v/>
      </c>
      <c r="K1558" s="5" t="str">
        <f aca="false">IF(I1558=0,"",IF(INDEX(GL!$C:$C,I1558)="","",INDEX(GL!$C:$C,I1558)))</f>
        <v/>
      </c>
      <c r="L1558" s="19" t="str">
        <f aca="false">IF(I1558=0,"",INDEX(GL!$E:$E,I1558))</f>
        <v/>
      </c>
      <c r="M1558" s="19" t="str">
        <f aca="false">IF(OR(B1558=0,I1558=0),"",ROUND(G1558-L1558,2))</f>
        <v/>
      </c>
      <c r="N1558" s="5" t="str">
        <f aca="false">IF(A1558="","",IF(B1558=0,"NOT FOUND: bank ID",IF(I1558=0,"NOT FOUND: GL ID",IF(INDEX(GL!$H:$H,I1558)&lt;&gt;A1558,"BROKEN: GL points elsewhere",IF(OR(INDEX(Bank!$F:$F,B1558)&lt;&gt;"Y",INDEX(GL!$F:$F,I1558)&lt;&gt;"Y"),"BROKEN: Status not Y","OK")))))</f>
        <v/>
      </c>
    </row>
    <row r="1559" customFormat="false" ht="15" hidden="false" customHeight="false" outlineLevel="0" collapsed="false">
      <c r="A1559" s="41"/>
      <c r="B1559" s="5" t="n">
        <f aca="false">IF(A1559="",0,IFERROR(MATCH(A1559,Bank!$A:$A,0),0))</f>
        <v>0</v>
      </c>
      <c r="C1559" s="5" t="str">
        <f aca="false">IF(B1559=0,"",IF(INDEX(Bank!$G:$G,B1559)="","",INDEX(Bank!$G:$G,B1559)))</f>
        <v/>
      </c>
      <c r="D1559" s="5" t="str">
        <f aca="false">IF(B1559=0,"",IF(INDEX(Bank!$J:$J,B1559)="","",INDEX(Bank!$J:$J,B1559)))</f>
        <v/>
      </c>
      <c r="E1559" s="32" t="str">
        <f aca="false">IF(B1559=0,"",INDEX(Bank!$B:$B,B1559))</f>
        <v/>
      </c>
      <c r="F1559" s="5" t="str">
        <f aca="false">IF(B1559=0,"",IF(INDEX(Bank!$C:$C,B1559)="","",INDEX(Bank!$C:$C,B1559)))</f>
        <v/>
      </c>
      <c r="G1559" s="19" t="str">
        <f aca="false">IF(B1559=0,"",INDEX(Bank!$E:$E,B1559))</f>
        <v/>
      </c>
      <c r="H1559" s="5" t="str">
        <f aca="false">IF(B1559=0,"",IF(INDEX(Bank!$H:$H,B1559)="","",INDEX(Bank!$H:$H,B1559)))</f>
        <v/>
      </c>
      <c r="I1559" s="5" t="n">
        <f aca="false">IF(H1559="",0,IFERROR(MATCH(H1559,GL!$A:$A,0),0))</f>
        <v>0</v>
      </c>
      <c r="J1559" s="32" t="str">
        <f aca="false">IF(I1559=0,"",INDEX(GL!$B:$B,I1559))</f>
        <v/>
      </c>
      <c r="K1559" s="5" t="str">
        <f aca="false">IF(I1559=0,"",IF(INDEX(GL!$C:$C,I1559)="","",INDEX(GL!$C:$C,I1559)))</f>
        <v/>
      </c>
      <c r="L1559" s="19" t="str">
        <f aca="false">IF(I1559=0,"",INDEX(GL!$E:$E,I1559))</f>
        <v/>
      </c>
      <c r="M1559" s="19" t="str">
        <f aca="false">IF(OR(B1559=0,I1559=0),"",ROUND(G1559-L1559,2))</f>
        <v/>
      </c>
      <c r="N1559" s="5" t="str">
        <f aca="false">IF(A1559="","",IF(B1559=0,"NOT FOUND: bank ID",IF(I1559=0,"NOT FOUND: GL ID",IF(INDEX(GL!$H:$H,I1559)&lt;&gt;A1559,"BROKEN: GL points elsewhere",IF(OR(INDEX(Bank!$F:$F,B1559)&lt;&gt;"Y",INDEX(GL!$F:$F,I1559)&lt;&gt;"Y"),"BROKEN: Status not Y","OK")))))</f>
        <v/>
      </c>
    </row>
    <row r="1560" customFormat="false" ht="15" hidden="false" customHeight="false" outlineLevel="0" collapsed="false">
      <c r="A1560" s="41"/>
      <c r="B1560" s="5" t="n">
        <f aca="false">IF(A1560="",0,IFERROR(MATCH(A1560,Bank!$A:$A,0),0))</f>
        <v>0</v>
      </c>
      <c r="C1560" s="5" t="str">
        <f aca="false">IF(B1560=0,"",IF(INDEX(Bank!$G:$G,B1560)="","",INDEX(Bank!$G:$G,B1560)))</f>
        <v/>
      </c>
      <c r="D1560" s="5" t="str">
        <f aca="false">IF(B1560=0,"",IF(INDEX(Bank!$J:$J,B1560)="","",INDEX(Bank!$J:$J,B1560)))</f>
        <v/>
      </c>
      <c r="E1560" s="32" t="str">
        <f aca="false">IF(B1560=0,"",INDEX(Bank!$B:$B,B1560))</f>
        <v/>
      </c>
      <c r="F1560" s="5" t="str">
        <f aca="false">IF(B1560=0,"",IF(INDEX(Bank!$C:$C,B1560)="","",INDEX(Bank!$C:$C,B1560)))</f>
        <v/>
      </c>
      <c r="G1560" s="19" t="str">
        <f aca="false">IF(B1560=0,"",INDEX(Bank!$E:$E,B1560))</f>
        <v/>
      </c>
      <c r="H1560" s="5" t="str">
        <f aca="false">IF(B1560=0,"",IF(INDEX(Bank!$H:$H,B1560)="","",INDEX(Bank!$H:$H,B1560)))</f>
        <v/>
      </c>
      <c r="I1560" s="5" t="n">
        <f aca="false">IF(H1560="",0,IFERROR(MATCH(H1560,GL!$A:$A,0),0))</f>
        <v>0</v>
      </c>
      <c r="J1560" s="32" t="str">
        <f aca="false">IF(I1560=0,"",INDEX(GL!$B:$B,I1560))</f>
        <v/>
      </c>
      <c r="K1560" s="5" t="str">
        <f aca="false">IF(I1560=0,"",IF(INDEX(GL!$C:$C,I1560)="","",INDEX(GL!$C:$C,I1560)))</f>
        <v/>
      </c>
      <c r="L1560" s="19" t="str">
        <f aca="false">IF(I1560=0,"",INDEX(GL!$E:$E,I1560))</f>
        <v/>
      </c>
      <c r="M1560" s="19" t="str">
        <f aca="false">IF(OR(B1560=0,I1560=0),"",ROUND(G1560-L1560,2))</f>
        <v/>
      </c>
      <c r="N1560" s="5" t="str">
        <f aca="false">IF(A1560="","",IF(B1560=0,"NOT FOUND: bank ID",IF(I1560=0,"NOT FOUND: GL ID",IF(INDEX(GL!$H:$H,I1560)&lt;&gt;A1560,"BROKEN: GL points elsewhere",IF(OR(INDEX(Bank!$F:$F,B1560)&lt;&gt;"Y",INDEX(GL!$F:$F,I1560)&lt;&gt;"Y"),"BROKEN: Status not Y","OK")))))</f>
        <v/>
      </c>
    </row>
    <row r="1561" customFormat="false" ht="15" hidden="false" customHeight="false" outlineLevel="0" collapsed="false">
      <c r="A1561" s="41"/>
      <c r="B1561" s="5" t="n">
        <f aca="false">IF(A1561="",0,IFERROR(MATCH(A1561,Bank!$A:$A,0),0))</f>
        <v>0</v>
      </c>
      <c r="C1561" s="5" t="str">
        <f aca="false">IF(B1561=0,"",IF(INDEX(Bank!$G:$G,B1561)="","",INDEX(Bank!$G:$G,B1561)))</f>
        <v/>
      </c>
      <c r="D1561" s="5" t="str">
        <f aca="false">IF(B1561=0,"",IF(INDEX(Bank!$J:$J,B1561)="","",INDEX(Bank!$J:$J,B1561)))</f>
        <v/>
      </c>
      <c r="E1561" s="32" t="str">
        <f aca="false">IF(B1561=0,"",INDEX(Bank!$B:$B,B1561))</f>
        <v/>
      </c>
      <c r="F1561" s="5" t="str">
        <f aca="false">IF(B1561=0,"",IF(INDEX(Bank!$C:$C,B1561)="","",INDEX(Bank!$C:$C,B1561)))</f>
        <v/>
      </c>
      <c r="G1561" s="19" t="str">
        <f aca="false">IF(B1561=0,"",INDEX(Bank!$E:$E,B1561))</f>
        <v/>
      </c>
      <c r="H1561" s="5" t="str">
        <f aca="false">IF(B1561=0,"",IF(INDEX(Bank!$H:$H,B1561)="","",INDEX(Bank!$H:$H,B1561)))</f>
        <v/>
      </c>
      <c r="I1561" s="5" t="n">
        <f aca="false">IF(H1561="",0,IFERROR(MATCH(H1561,GL!$A:$A,0),0))</f>
        <v>0</v>
      </c>
      <c r="J1561" s="32" t="str">
        <f aca="false">IF(I1561=0,"",INDEX(GL!$B:$B,I1561))</f>
        <v/>
      </c>
      <c r="K1561" s="5" t="str">
        <f aca="false">IF(I1561=0,"",IF(INDEX(GL!$C:$C,I1561)="","",INDEX(GL!$C:$C,I1561)))</f>
        <v/>
      </c>
      <c r="L1561" s="19" t="str">
        <f aca="false">IF(I1561=0,"",INDEX(GL!$E:$E,I1561))</f>
        <v/>
      </c>
      <c r="M1561" s="19" t="str">
        <f aca="false">IF(OR(B1561=0,I1561=0),"",ROUND(G1561-L1561,2))</f>
        <v/>
      </c>
      <c r="N1561" s="5" t="str">
        <f aca="false">IF(A1561="","",IF(B1561=0,"NOT FOUND: bank ID",IF(I1561=0,"NOT FOUND: GL ID",IF(INDEX(GL!$H:$H,I1561)&lt;&gt;A1561,"BROKEN: GL points elsewhere",IF(OR(INDEX(Bank!$F:$F,B1561)&lt;&gt;"Y",INDEX(GL!$F:$F,I1561)&lt;&gt;"Y"),"BROKEN: Status not Y","OK")))))</f>
        <v/>
      </c>
    </row>
    <row r="1562" customFormat="false" ht="15" hidden="false" customHeight="false" outlineLevel="0" collapsed="false">
      <c r="A1562" s="41"/>
      <c r="B1562" s="5" t="n">
        <f aca="false">IF(A1562="",0,IFERROR(MATCH(A1562,Bank!$A:$A,0),0))</f>
        <v>0</v>
      </c>
      <c r="C1562" s="5" t="str">
        <f aca="false">IF(B1562=0,"",IF(INDEX(Bank!$G:$G,B1562)="","",INDEX(Bank!$G:$G,B1562)))</f>
        <v/>
      </c>
      <c r="D1562" s="5" t="str">
        <f aca="false">IF(B1562=0,"",IF(INDEX(Bank!$J:$J,B1562)="","",INDEX(Bank!$J:$J,B1562)))</f>
        <v/>
      </c>
      <c r="E1562" s="32" t="str">
        <f aca="false">IF(B1562=0,"",INDEX(Bank!$B:$B,B1562))</f>
        <v/>
      </c>
      <c r="F1562" s="5" t="str">
        <f aca="false">IF(B1562=0,"",IF(INDEX(Bank!$C:$C,B1562)="","",INDEX(Bank!$C:$C,B1562)))</f>
        <v/>
      </c>
      <c r="G1562" s="19" t="str">
        <f aca="false">IF(B1562=0,"",INDEX(Bank!$E:$E,B1562))</f>
        <v/>
      </c>
      <c r="H1562" s="5" t="str">
        <f aca="false">IF(B1562=0,"",IF(INDEX(Bank!$H:$H,B1562)="","",INDEX(Bank!$H:$H,B1562)))</f>
        <v/>
      </c>
      <c r="I1562" s="5" t="n">
        <f aca="false">IF(H1562="",0,IFERROR(MATCH(H1562,GL!$A:$A,0),0))</f>
        <v>0</v>
      </c>
      <c r="J1562" s="32" t="str">
        <f aca="false">IF(I1562=0,"",INDEX(GL!$B:$B,I1562))</f>
        <v/>
      </c>
      <c r="K1562" s="5" t="str">
        <f aca="false">IF(I1562=0,"",IF(INDEX(GL!$C:$C,I1562)="","",INDEX(GL!$C:$C,I1562)))</f>
        <v/>
      </c>
      <c r="L1562" s="19" t="str">
        <f aca="false">IF(I1562=0,"",INDEX(GL!$E:$E,I1562))</f>
        <v/>
      </c>
      <c r="M1562" s="19" t="str">
        <f aca="false">IF(OR(B1562=0,I1562=0),"",ROUND(G1562-L1562,2))</f>
        <v/>
      </c>
      <c r="N1562" s="5" t="str">
        <f aca="false">IF(A1562="","",IF(B1562=0,"NOT FOUND: bank ID",IF(I1562=0,"NOT FOUND: GL ID",IF(INDEX(GL!$H:$H,I1562)&lt;&gt;A1562,"BROKEN: GL points elsewhere",IF(OR(INDEX(Bank!$F:$F,B1562)&lt;&gt;"Y",INDEX(GL!$F:$F,I1562)&lt;&gt;"Y"),"BROKEN: Status not Y","OK")))))</f>
        <v/>
      </c>
    </row>
    <row r="1563" customFormat="false" ht="15" hidden="false" customHeight="false" outlineLevel="0" collapsed="false">
      <c r="A1563" s="41"/>
      <c r="B1563" s="5" t="n">
        <f aca="false">IF(A1563="",0,IFERROR(MATCH(A1563,Bank!$A:$A,0),0))</f>
        <v>0</v>
      </c>
      <c r="C1563" s="5" t="str">
        <f aca="false">IF(B1563=0,"",IF(INDEX(Bank!$G:$G,B1563)="","",INDEX(Bank!$G:$G,B1563)))</f>
        <v/>
      </c>
      <c r="D1563" s="5" t="str">
        <f aca="false">IF(B1563=0,"",IF(INDEX(Bank!$J:$J,B1563)="","",INDEX(Bank!$J:$J,B1563)))</f>
        <v/>
      </c>
      <c r="E1563" s="32" t="str">
        <f aca="false">IF(B1563=0,"",INDEX(Bank!$B:$B,B1563))</f>
        <v/>
      </c>
      <c r="F1563" s="5" t="str">
        <f aca="false">IF(B1563=0,"",IF(INDEX(Bank!$C:$C,B1563)="","",INDEX(Bank!$C:$C,B1563)))</f>
        <v/>
      </c>
      <c r="G1563" s="19" t="str">
        <f aca="false">IF(B1563=0,"",INDEX(Bank!$E:$E,B1563))</f>
        <v/>
      </c>
      <c r="H1563" s="5" t="str">
        <f aca="false">IF(B1563=0,"",IF(INDEX(Bank!$H:$H,B1563)="","",INDEX(Bank!$H:$H,B1563)))</f>
        <v/>
      </c>
      <c r="I1563" s="5" t="n">
        <f aca="false">IF(H1563="",0,IFERROR(MATCH(H1563,GL!$A:$A,0),0))</f>
        <v>0</v>
      </c>
      <c r="J1563" s="32" t="str">
        <f aca="false">IF(I1563=0,"",INDEX(GL!$B:$B,I1563))</f>
        <v/>
      </c>
      <c r="K1563" s="5" t="str">
        <f aca="false">IF(I1563=0,"",IF(INDEX(GL!$C:$C,I1563)="","",INDEX(GL!$C:$C,I1563)))</f>
        <v/>
      </c>
      <c r="L1563" s="19" t="str">
        <f aca="false">IF(I1563=0,"",INDEX(GL!$E:$E,I1563))</f>
        <v/>
      </c>
      <c r="M1563" s="19" t="str">
        <f aca="false">IF(OR(B1563=0,I1563=0),"",ROUND(G1563-L1563,2))</f>
        <v/>
      </c>
      <c r="N1563" s="5" t="str">
        <f aca="false">IF(A1563="","",IF(B1563=0,"NOT FOUND: bank ID",IF(I1563=0,"NOT FOUND: GL ID",IF(INDEX(GL!$H:$H,I1563)&lt;&gt;A1563,"BROKEN: GL points elsewhere",IF(OR(INDEX(Bank!$F:$F,B1563)&lt;&gt;"Y",INDEX(GL!$F:$F,I1563)&lt;&gt;"Y"),"BROKEN: Status not Y","OK")))))</f>
        <v/>
      </c>
    </row>
    <row r="1564" customFormat="false" ht="15" hidden="false" customHeight="false" outlineLevel="0" collapsed="false">
      <c r="A1564" s="41"/>
      <c r="B1564" s="5" t="n">
        <f aca="false">IF(A1564="",0,IFERROR(MATCH(A1564,Bank!$A:$A,0),0))</f>
        <v>0</v>
      </c>
      <c r="C1564" s="5" t="str">
        <f aca="false">IF(B1564=0,"",IF(INDEX(Bank!$G:$G,B1564)="","",INDEX(Bank!$G:$G,B1564)))</f>
        <v/>
      </c>
      <c r="D1564" s="5" t="str">
        <f aca="false">IF(B1564=0,"",IF(INDEX(Bank!$J:$J,B1564)="","",INDEX(Bank!$J:$J,B1564)))</f>
        <v/>
      </c>
      <c r="E1564" s="32" t="str">
        <f aca="false">IF(B1564=0,"",INDEX(Bank!$B:$B,B1564))</f>
        <v/>
      </c>
      <c r="F1564" s="5" t="str">
        <f aca="false">IF(B1564=0,"",IF(INDEX(Bank!$C:$C,B1564)="","",INDEX(Bank!$C:$C,B1564)))</f>
        <v/>
      </c>
      <c r="G1564" s="19" t="str">
        <f aca="false">IF(B1564=0,"",INDEX(Bank!$E:$E,B1564))</f>
        <v/>
      </c>
      <c r="H1564" s="5" t="str">
        <f aca="false">IF(B1564=0,"",IF(INDEX(Bank!$H:$H,B1564)="","",INDEX(Bank!$H:$H,B1564)))</f>
        <v/>
      </c>
      <c r="I1564" s="5" t="n">
        <f aca="false">IF(H1564="",0,IFERROR(MATCH(H1564,GL!$A:$A,0),0))</f>
        <v>0</v>
      </c>
      <c r="J1564" s="32" t="str">
        <f aca="false">IF(I1564=0,"",INDEX(GL!$B:$B,I1564))</f>
        <v/>
      </c>
      <c r="K1564" s="5" t="str">
        <f aca="false">IF(I1564=0,"",IF(INDEX(GL!$C:$C,I1564)="","",INDEX(GL!$C:$C,I1564)))</f>
        <v/>
      </c>
      <c r="L1564" s="19" t="str">
        <f aca="false">IF(I1564=0,"",INDEX(GL!$E:$E,I1564))</f>
        <v/>
      </c>
      <c r="M1564" s="19" t="str">
        <f aca="false">IF(OR(B1564=0,I1564=0),"",ROUND(G1564-L1564,2))</f>
        <v/>
      </c>
      <c r="N1564" s="5" t="str">
        <f aca="false">IF(A1564="","",IF(B1564=0,"NOT FOUND: bank ID",IF(I1564=0,"NOT FOUND: GL ID",IF(INDEX(GL!$H:$H,I1564)&lt;&gt;A1564,"BROKEN: GL points elsewhere",IF(OR(INDEX(Bank!$F:$F,B1564)&lt;&gt;"Y",INDEX(GL!$F:$F,I1564)&lt;&gt;"Y"),"BROKEN: Status not Y","OK")))))</f>
        <v/>
      </c>
    </row>
    <row r="1565" customFormat="false" ht="15" hidden="false" customHeight="false" outlineLevel="0" collapsed="false">
      <c r="A1565" s="41"/>
      <c r="B1565" s="5" t="n">
        <f aca="false">IF(A1565="",0,IFERROR(MATCH(A1565,Bank!$A:$A,0),0))</f>
        <v>0</v>
      </c>
      <c r="C1565" s="5" t="str">
        <f aca="false">IF(B1565=0,"",IF(INDEX(Bank!$G:$G,B1565)="","",INDEX(Bank!$G:$G,B1565)))</f>
        <v/>
      </c>
      <c r="D1565" s="5" t="str">
        <f aca="false">IF(B1565=0,"",IF(INDEX(Bank!$J:$J,B1565)="","",INDEX(Bank!$J:$J,B1565)))</f>
        <v/>
      </c>
      <c r="E1565" s="32" t="str">
        <f aca="false">IF(B1565=0,"",INDEX(Bank!$B:$B,B1565))</f>
        <v/>
      </c>
      <c r="F1565" s="5" t="str">
        <f aca="false">IF(B1565=0,"",IF(INDEX(Bank!$C:$C,B1565)="","",INDEX(Bank!$C:$C,B1565)))</f>
        <v/>
      </c>
      <c r="G1565" s="19" t="str">
        <f aca="false">IF(B1565=0,"",INDEX(Bank!$E:$E,B1565))</f>
        <v/>
      </c>
      <c r="H1565" s="5" t="str">
        <f aca="false">IF(B1565=0,"",IF(INDEX(Bank!$H:$H,B1565)="","",INDEX(Bank!$H:$H,B1565)))</f>
        <v/>
      </c>
      <c r="I1565" s="5" t="n">
        <f aca="false">IF(H1565="",0,IFERROR(MATCH(H1565,GL!$A:$A,0),0))</f>
        <v>0</v>
      </c>
      <c r="J1565" s="32" t="str">
        <f aca="false">IF(I1565=0,"",INDEX(GL!$B:$B,I1565))</f>
        <v/>
      </c>
      <c r="K1565" s="5" t="str">
        <f aca="false">IF(I1565=0,"",IF(INDEX(GL!$C:$C,I1565)="","",INDEX(GL!$C:$C,I1565)))</f>
        <v/>
      </c>
      <c r="L1565" s="19" t="str">
        <f aca="false">IF(I1565=0,"",INDEX(GL!$E:$E,I1565))</f>
        <v/>
      </c>
      <c r="M1565" s="19" t="str">
        <f aca="false">IF(OR(B1565=0,I1565=0),"",ROUND(G1565-L1565,2))</f>
        <v/>
      </c>
      <c r="N1565" s="5" t="str">
        <f aca="false">IF(A1565="","",IF(B1565=0,"NOT FOUND: bank ID",IF(I1565=0,"NOT FOUND: GL ID",IF(INDEX(GL!$H:$H,I1565)&lt;&gt;A1565,"BROKEN: GL points elsewhere",IF(OR(INDEX(Bank!$F:$F,B1565)&lt;&gt;"Y",INDEX(GL!$F:$F,I1565)&lt;&gt;"Y"),"BROKEN: Status not Y","OK")))))</f>
        <v/>
      </c>
    </row>
    <row r="1566" customFormat="false" ht="15" hidden="false" customHeight="false" outlineLevel="0" collapsed="false">
      <c r="A1566" s="41"/>
      <c r="B1566" s="5" t="n">
        <f aca="false">IF(A1566="",0,IFERROR(MATCH(A1566,Bank!$A:$A,0),0))</f>
        <v>0</v>
      </c>
      <c r="C1566" s="5" t="str">
        <f aca="false">IF(B1566=0,"",IF(INDEX(Bank!$G:$G,B1566)="","",INDEX(Bank!$G:$G,B1566)))</f>
        <v/>
      </c>
      <c r="D1566" s="5" t="str">
        <f aca="false">IF(B1566=0,"",IF(INDEX(Bank!$J:$J,B1566)="","",INDEX(Bank!$J:$J,B1566)))</f>
        <v/>
      </c>
      <c r="E1566" s="32" t="str">
        <f aca="false">IF(B1566=0,"",INDEX(Bank!$B:$B,B1566))</f>
        <v/>
      </c>
      <c r="F1566" s="5" t="str">
        <f aca="false">IF(B1566=0,"",IF(INDEX(Bank!$C:$C,B1566)="","",INDEX(Bank!$C:$C,B1566)))</f>
        <v/>
      </c>
      <c r="G1566" s="19" t="str">
        <f aca="false">IF(B1566=0,"",INDEX(Bank!$E:$E,B1566))</f>
        <v/>
      </c>
      <c r="H1566" s="5" t="str">
        <f aca="false">IF(B1566=0,"",IF(INDEX(Bank!$H:$H,B1566)="","",INDEX(Bank!$H:$H,B1566)))</f>
        <v/>
      </c>
      <c r="I1566" s="5" t="n">
        <f aca="false">IF(H1566="",0,IFERROR(MATCH(H1566,GL!$A:$A,0),0))</f>
        <v>0</v>
      </c>
      <c r="J1566" s="32" t="str">
        <f aca="false">IF(I1566=0,"",INDEX(GL!$B:$B,I1566))</f>
        <v/>
      </c>
      <c r="K1566" s="5" t="str">
        <f aca="false">IF(I1566=0,"",IF(INDEX(GL!$C:$C,I1566)="","",INDEX(GL!$C:$C,I1566)))</f>
        <v/>
      </c>
      <c r="L1566" s="19" t="str">
        <f aca="false">IF(I1566=0,"",INDEX(GL!$E:$E,I1566))</f>
        <v/>
      </c>
      <c r="M1566" s="19" t="str">
        <f aca="false">IF(OR(B1566=0,I1566=0),"",ROUND(G1566-L1566,2))</f>
        <v/>
      </c>
      <c r="N1566" s="5" t="str">
        <f aca="false">IF(A1566="","",IF(B1566=0,"NOT FOUND: bank ID",IF(I1566=0,"NOT FOUND: GL ID",IF(INDEX(GL!$H:$H,I1566)&lt;&gt;A1566,"BROKEN: GL points elsewhere",IF(OR(INDEX(Bank!$F:$F,B1566)&lt;&gt;"Y",INDEX(GL!$F:$F,I1566)&lt;&gt;"Y"),"BROKEN: Status not Y","OK")))))</f>
        <v/>
      </c>
    </row>
    <row r="1567" customFormat="false" ht="15" hidden="false" customHeight="false" outlineLevel="0" collapsed="false">
      <c r="A1567" s="41"/>
      <c r="B1567" s="5" t="n">
        <f aca="false">IF(A1567="",0,IFERROR(MATCH(A1567,Bank!$A:$A,0),0))</f>
        <v>0</v>
      </c>
      <c r="C1567" s="5" t="str">
        <f aca="false">IF(B1567=0,"",IF(INDEX(Bank!$G:$G,B1567)="","",INDEX(Bank!$G:$G,B1567)))</f>
        <v/>
      </c>
      <c r="D1567" s="5" t="str">
        <f aca="false">IF(B1567=0,"",IF(INDEX(Bank!$J:$J,B1567)="","",INDEX(Bank!$J:$J,B1567)))</f>
        <v/>
      </c>
      <c r="E1567" s="32" t="str">
        <f aca="false">IF(B1567=0,"",INDEX(Bank!$B:$B,B1567))</f>
        <v/>
      </c>
      <c r="F1567" s="5" t="str">
        <f aca="false">IF(B1567=0,"",IF(INDEX(Bank!$C:$C,B1567)="","",INDEX(Bank!$C:$C,B1567)))</f>
        <v/>
      </c>
      <c r="G1567" s="19" t="str">
        <f aca="false">IF(B1567=0,"",INDEX(Bank!$E:$E,B1567))</f>
        <v/>
      </c>
      <c r="H1567" s="5" t="str">
        <f aca="false">IF(B1567=0,"",IF(INDEX(Bank!$H:$H,B1567)="","",INDEX(Bank!$H:$H,B1567)))</f>
        <v/>
      </c>
      <c r="I1567" s="5" t="n">
        <f aca="false">IF(H1567="",0,IFERROR(MATCH(H1567,GL!$A:$A,0),0))</f>
        <v>0</v>
      </c>
      <c r="J1567" s="32" t="str">
        <f aca="false">IF(I1567=0,"",INDEX(GL!$B:$B,I1567))</f>
        <v/>
      </c>
      <c r="K1567" s="5" t="str">
        <f aca="false">IF(I1567=0,"",IF(INDEX(GL!$C:$C,I1567)="","",INDEX(GL!$C:$C,I1567)))</f>
        <v/>
      </c>
      <c r="L1567" s="19" t="str">
        <f aca="false">IF(I1567=0,"",INDEX(GL!$E:$E,I1567))</f>
        <v/>
      </c>
      <c r="M1567" s="19" t="str">
        <f aca="false">IF(OR(B1567=0,I1567=0),"",ROUND(G1567-L1567,2))</f>
        <v/>
      </c>
      <c r="N1567" s="5" t="str">
        <f aca="false">IF(A1567="","",IF(B1567=0,"NOT FOUND: bank ID",IF(I1567=0,"NOT FOUND: GL ID",IF(INDEX(GL!$H:$H,I1567)&lt;&gt;A1567,"BROKEN: GL points elsewhere",IF(OR(INDEX(Bank!$F:$F,B1567)&lt;&gt;"Y",INDEX(GL!$F:$F,I1567)&lt;&gt;"Y"),"BROKEN: Status not Y","OK")))))</f>
        <v/>
      </c>
    </row>
    <row r="1568" customFormat="false" ht="15" hidden="false" customHeight="false" outlineLevel="0" collapsed="false">
      <c r="A1568" s="41"/>
      <c r="B1568" s="5" t="n">
        <f aca="false">IF(A1568="",0,IFERROR(MATCH(A1568,Bank!$A:$A,0),0))</f>
        <v>0</v>
      </c>
      <c r="C1568" s="5" t="str">
        <f aca="false">IF(B1568=0,"",IF(INDEX(Bank!$G:$G,B1568)="","",INDEX(Bank!$G:$G,B1568)))</f>
        <v/>
      </c>
      <c r="D1568" s="5" t="str">
        <f aca="false">IF(B1568=0,"",IF(INDEX(Bank!$J:$J,B1568)="","",INDEX(Bank!$J:$J,B1568)))</f>
        <v/>
      </c>
      <c r="E1568" s="32" t="str">
        <f aca="false">IF(B1568=0,"",INDEX(Bank!$B:$B,B1568))</f>
        <v/>
      </c>
      <c r="F1568" s="5" t="str">
        <f aca="false">IF(B1568=0,"",IF(INDEX(Bank!$C:$C,B1568)="","",INDEX(Bank!$C:$C,B1568)))</f>
        <v/>
      </c>
      <c r="G1568" s="19" t="str">
        <f aca="false">IF(B1568=0,"",INDEX(Bank!$E:$E,B1568))</f>
        <v/>
      </c>
      <c r="H1568" s="5" t="str">
        <f aca="false">IF(B1568=0,"",IF(INDEX(Bank!$H:$H,B1568)="","",INDEX(Bank!$H:$H,B1568)))</f>
        <v/>
      </c>
      <c r="I1568" s="5" t="n">
        <f aca="false">IF(H1568="",0,IFERROR(MATCH(H1568,GL!$A:$A,0),0))</f>
        <v>0</v>
      </c>
      <c r="J1568" s="32" t="str">
        <f aca="false">IF(I1568=0,"",INDEX(GL!$B:$B,I1568))</f>
        <v/>
      </c>
      <c r="K1568" s="5" t="str">
        <f aca="false">IF(I1568=0,"",IF(INDEX(GL!$C:$C,I1568)="","",INDEX(GL!$C:$C,I1568)))</f>
        <v/>
      </c>
      <c r="L1568" s="19" t="str">
        <f aca="false">IF(I1568=0,"",INDEX(GL!$E:$E,I1568))</f>
        <v/>
      </c>
      <c r="M1568" s="19" t="str">
        <f aca="false">IF(OR(B1568=0,I1568=0),"",ROUND(G1568-L1568,2))</f>
        <v/>
      </c>
      <c r="N1568" s="5" t="str">
        <f aca="false">IF(A1568="","",IF(B1568=0,"NOT FOUND: bank ID",IF(I1568=0,"NOT FOUND: GL ID",IF(INDEX(GL!$H:$H,I1568)&lt;&gt;A1568,"BROKEN: GL points elsewhere",IF(OR(INDEX(Bank!$F:$F,B1568)&lt;&gt;"Y",INDEX(GL!$F:$F,I1568)&lt;&gt;"Y"),"BROKEN: Status not Y","OK")))))</f>
        <v/>
      </c>
    </row>
    <row r="1569" customFormat="false" ht="15" hidden="false" customHeight="false" outlineLevel="0" collapsed="false">
      <c r="A1569" s="41"/>
      <c r="B1569" s="5" t="n">
        <f aca="false">IF(A1569="",0,IFERROR(MATCH(A1569,Bank!$A:$A,0),0))</f>
        <v>0</v>
      </c>
      <c r="C1569" s="5" t="str">
        <f aca="false">IF(B1569=0,"",IF(INDEX(Bank!$G:$G,B1569)="","",INDEX(Bank!$G:$G,B1569)))</f>
        <v/>
      </c>
      <c r="D1569" s="5" t="str">
        <f aca="false">IF(B1569=0,"",IF(INDEX(Bank!$J:$J,B1569)="","",INDEX(Bank!$J:$J,B1569)))</f>
        <v/>
      </c>
      <c r="E1569" s="32" t="str">
        <f aca="false">IF(B1569=0,"",INDEX(Bank!$B:$B,B1569))</f>
        <v/>
      </c>
      <c r="F1569" s="5" t="str">
        <f aca="false">IF(B1569=0,"",IF(INDEX(Bank!$C:$C,B1569)="","",INDEX(Bank!$C:$C,B1569)))</f>
        <v/>
      </c>
      <c r="G1569" s="19" t="str">
        <f aca="false">IF(B1569=0,"",INDEX(Bank!$E:$E,B1569))</f>
        <v/>
      </c>
      <c r="H1569" s="5" t="str">
        <f aca="false">IF(B1569=0,"",IF(INDEX(Bank!$H:$H,B1569)="","",INDEX(Bank!$H:$H,B1569)))</f>
        <v/>
      </c>
      <c r="I1569" s="5" t="n">
        <f aca="false">IF(H1569="",0,IFERROR(MATCH(H1569,GL!$A:$A,0),0))</f>
        <v>0</v>
      </c>
      <c r="J1569" s="32" t="str">
        <f aca="false">IF(I1569=0,"",INDEX(GL!$B:$B,I1569))</f>
        <v/>
      </c>
      <c r="K1569" s="5" t="str">
        <f aca="false">IF(I1569=0,"",IF(INDEX(GL!$C:$C,I1569)="","",INDEX(GL!$C:$C,I1569)))</f>
        <v/>
      </c>
      <c r="L1569" s="19" t="str">
        <f aca="false">IF(I1569=0,"",INDEX(GL!$E:$E,I1569))</f>
        <v/>
      </c>
      <c r="M1569" s="19" t="str">
        <f aca="false">IF(OR(B1569=0,I1569=0),"",ROUND(G1569-L1569,2))</f>
        <v/>
      </c>
      <c r="N1569" s="5" t="str">
        <f aca="false">IF(A1569="","",IF(B1569=0,"NOT FOUND: bank ID",IF(I1569=0,"NOT FOUND: GL ID",IF(INDEX(GL!$H:$H,I1569)&lt;&gt;A1569,"BROKEN: GL points elsewhere",IF(OR(INDEX(Bank!$F:$F,B1569)&lt;&gt;"Y",INDEX(GL!$F:$F,I1569)&lt;&gt;"Y"),"BROKEN: Status not Y","OK")))))</f>
        <v/>
      </c>
    </row>
    <row r="1570" customFormat="false" ht="15" hidden="false" customHeight="false" outlineLevel="0" collapsed="false">
      <c r="A1570" s="41"/>
      <c r="B1570" s="5" t="n">
        <f aca="false">IF(A1570="",0,IFERROR(MATCH(A1570,Bank!$A:$A,0),0))</f>
        <v>0</v>
      </c>
      <c r="C1570" s="5" t="str">
        <f aca="false">IF(B1570=0,"",IF(INDEX(Bank!$G:$G,B1570)="","",INDEX(Bank!$G:$G,B1570)))</f>
        <v/>
      </c>
      <c r="D1570" s="5" t="str">
        <f aca="false">IF(B1570=0,"",IF(INDEX(Bank!$J:$J,B1570)="","",INDEX(Bank!$J:$J,B1570)))</f>
        <v/>
      </c>
      <c r="E1570" s="32" t="str">
        <f aca="false">IF(B1570=0,"",INDEX(Bank!$B:$B,B1570))</f>
        <v/>
      </c>
      <c r="F1570" s="5" t="str">
        <f aca="false">IF(B1570=0,"",IF(INDEX(Bank!$C:$C,B1570)="","",INDEX(Bank!$C:$C,B1570)))</f>
        <v/>
      </c>
      <c r="G1570" s="19" t="str">
        <f aca="false">IF(B1570=0,"",INDEX(Bank!$E:$E,B1570))</f>
        <v/>
      </c>
      <c r="H1570" s="5" t="str">
        <f aca="false">IF(B1570=0,"",IF(INDEX(Bank!$H:$H,B1570)="","",INDEX(Bank!$H:$H,B1570)))</f>
        <v/>
      </c>
      <c r="I1570" s="5" t="n">
        <f aca="false">IF(H1570="",0,IFERROR(MATCH(H1570,GL!$A:$A,0),0))</f>
        <v>0</v>
      </c>
      <c r="J1570" s="32" t="str">
        <f aca="false">IF(I1570=0,"",INDEX(GL!$B:$B,I1570))</f>
        <v/>
      </c>
      <c r="K1570" s="5" t="str">
        <f aca="false">IF(I1570=0,"",IF(INDEX(GL!$C:$C,I1570)="","",INDEX(GL!$C:$C,I1570)))</f>
        <v/>
      </c>
      <c r="L1570" s="19" t="str">
        <f aca="false">IF(I1570=0,"",INDEX(GL!$E:$E,I1570))</f>
        <v/>
      </c>
      <c r="M1570" s="19" t="str">
        <f aca="false">IF(OR(B1570=0,I1570=0),"",ROUND(G1570-L1570,2))</f>
        <v/>
      </c>
      <c r="N1570" s="5" t="str">
        <f aca="false">IF(A1570="","",IF(B1570=0,"NOT FOUND: bank ID",IF(I1570=0,"NOT FOUND: GL ID",IF(INDEX(GL!$H:$H,I1570)&lt;&gt;A1570,"BROKEN: GL points elsewhere",IF(OR(INDEX(Bank!$F:$F,B1570)&lt;&gt;"Y",INDEX(GL!$F:$F,I1570)&lt;&gt;"Y"),"BROKEN: Status not Y","OK")))))</f>
        <v/>
      </c>
    </row>
    <row r="1571" customFormat="false" ht="15" hidden="false" customHeight="false" outlineLevel="0" collapsed="false">
      <c r="A1571" s="41"/>
      <c r="B1571" s="5" t="n">
        <f aca="false">IF(A1571="",0,IFERROR(MATCH(A1571,Bank!$A:$A,0),0))</f>
        <v>0</v>
      </c>
      <c r="C1571" s="5" t="str">
        <f aca="false">IF(B1571=0,"",IF(INDEX(Bank!$G:$G,B1571)="","",INDEX(Bank!$G:$G,B1571)))</f>
        <v/>
      </c>
      <c r="D1571" s="5" t="str">
        <f aca="false">IF(B1571=0,"",IF(INDEX(Bank!$J:$J,B1571)="","",INDEX(Bank!$J:$J,B1571)))</f>
        <v/>
      </c>
      <c r="E1571" s="32" t="str">
        <f aca="false">IF(B1571=0,"",INDEX(Bank!$B:$B,B1571))</f>
        <v/>
      </c>
      <c r="F1571" s="5" t="str">
        <f aca="false">IF(B1571=0,"",IF(INDEX(Bank!$C:$C,B1571)="","",INDEX(Bank!$C:$C,B1571)))</f>
        <v/>
      </c>
      <c r="G1571" s="19" t="str">
        <f aca="false">IF(B1571=0,"",INDEX(Bank!$E:$E,B1571))</f>
        <v/>
      </c>
      <c r="H1571" s="5" t="str">
        <f aca="false">IF(B1571=0,"",IF(INDEX(Bank!$H:$H,B1571)="","",INDEX(Bank!$H:$H,B1571)))</f>
        <v/>
      </c>
      <c r="I1571" s="5" t="n">
        <f aca="false">IF(H1571="",0,IFERROR(MATCH(H1571,GL!$A:$A,0),0))</f>
        <v>0</v>
      </c>
      <c r="J1571" s="32" t="str">
        <f aca="false">IF(I1571=0,"",INDEX(GL!$B:$B,I1571))</f>
        <v/>
      </c>
      <c r="K1571" s="5" t="str">
        <f aca="false">IF(I1571=0,"",IF(INDEX(GL!$C:$C,I1571)="","",INDEX(GL!$C:$C,I1571)))</f>
        <v/>
      </c>
      <c r="L1571" s="19" t="str">
        <f aca="false">IF(I1571=0,"",INDEX(GL!$E:$E,I1571))</f>
        <v/>
      </c>
      <c r="M1571" s="19" t="str">
        <f aca="false">IF(OR(B1571=0,I1571=0),"",ROUND(G1571-L1571,2))</f>
        <v/>
      </c>
      <c r="N1571" s="5" t="str">
        <f aca="false">IF(A1571="","",IF(B1571=0,"NOT FOUND: bank ID",IF(I1571=0,"NOT FOUND: GL ID",IF(INDEX(GL!$H:$H,I1571)&lt;&gt;A1571,"BROKEN: GL points elsewhere",IF(OR(INDEX(Bank!$F:$F,B1571)&lt;&gt;"Y",INDEX(GL!$F:$F,I1571)&lt;&gt;"Y"),"BROKEN: Status not Y","OK")))))</f>
        <v/>
      </c>
    </row>
    <row r="1572" customFormat="false" ht="15" hidden="false" customHeight="false" outlineLevel="0" collapsed="false">
      <c r="A1572" s="41"/>
      <c r="B1572" s="5" t="n">
        <f aca="false">IF(A1572="",0,IFERROR(MATCH(A1572,Bank!$A:$A,0),0))</f>
        <v>0</v>
      </c>
      <c r="C1572" s="5" t="str">
        <f aca="false">IF(B1572=0,"",IF(INDEX(Bank!$G:$G,B1572)="","",INDEX(Bank!$G:$G,B1572)))</f>
        <v/>
      </c>
      <c r="D1572" s="5" t="str">
        <f aca="false">IF(B1572=0,"",IF(INDEX(Bank!$J:$J,B1572)="","",INDEX(Bank!$J:$J,B1572)))</f>
        <v/>
      </c>
      <c r="E1572" s="32" t="str">
        <f aca="false">IF(B1572=0,"",INDEX(Bank!$B:$B,B1572))</f>
        <v/>
      </c>
      <c r="F1572" s="5" t="str">
        <f aca="false">IF(B1572=0,"",IF(INDEX(Bank!$C:$C,B1572)="","",INDEX(Bank!$C:$C,B1572)))</f>
        <v/>
      </c>
      <c r="G1572" s="19" t="str">
        <f aca="false">IF(B1572=0,"",INDEX(Bank!$E:$E,B1572))</f>
        <v/>
      </c>
      <c r="H1572" s="5" t="str">
        <f aca="false">IF(B1572=0,"",IF(INDEX(Bank!$H:$H,B1572)="","",INDEX(Bank!$H:$H,B1572)))</f>
        <v/>
      </c>
      <c r="I1572" s="5" t="n">
        <f aca="false">IF(H1572="",0,IFERROR(MATCH(H1572,GL!$A:$A,0),0))</f>
        <v>0</v>
      </c>
      <c r="J1572" s="32" t="str">
        <f aca="false">IF(I1572=0,"",INDEX(GL!$B:$B,I1572))</f>
        <v/>
      </c>
      <c r="K1572" s="5" t="str">
        <f aca="false">IF(I1572=0,"",IF(INDEX(GL!$C:$C,I1572)="","",INDEX(GL!$C:$C,I1572)))</f>
        <v/>
      </c>
      <c r="L1572" s="19" t="str">
        <f aca="false">IF(I1572=0,"",INDEX(GL!$E:$E,I1572))</f>
        <v/>
      </c>
      <c r="M1572" s="19" t="str">
        <f aca="false">IF(OR(B1572=0,I1572=0),"",ROUND(G1572-L1572,2))</f>
        <v/>
      </c>
      <c r="N1572" s="5" t="str">
        <f aca="false">IF(A1572="","",IF(B1572=0,"NOT FOUND: bank ID",IF(I1572=0,"NOT FOUND: GL ID",IF(INDEX(GL!$H:$H,I1572)&lt;&gt;A1572,"BROKEN: GL points elsewhere",IF(OR(INDEX(Bank!$F:$F,B1572)&lt;&gt;"Y",INDEX(GL!$F:$F,I1572)&lt;&gt;"Y"),"BROKEN: Status not Y","OK")))))</f>
        <v/>
      </c>
    </row>
    <row r="1573" customFormat="false" ht="15" hidden="false" customHeight="false" outlineLevel="0" collapsed="false">
      <c r="A1573" s="41"/>
      <c r="B1573" s="5" t="n">
        <f aca="false">IF(A1573="",0,IFERROR(MATCH(A1573,Bank!$A:$A,0),0))</f>
        <v>0</v>
      </c>
      <c r="C1573" s="5" t="str">
        <f aca="false">IF(B1573=0,"",IF(INDEX(Bank!$G:$G,B1573)="","",INDEX(Bank!$G:$G,B1573)))</f>
        <v/>
      </c>
      <c r="D1573" s="5" t="str">
        <f aca="false">IF(B1573=0,"",IF(INDEX(Bank!$J:$J,B1573)="","",INDEX(Bank!$J:$J,B1573)))</f>
        <v/>
      </c>
      <c r="E1573" s="32" t="str">
        <f aca="false">IF(B1573=0,"",INDEX(Bank!$B:$B,B1573))</f>
        <v/>
      </c>
      <c r="F1573" s="5" t="str">
        <f aca="false">IF(B1573=0,"",IF(INDEX(Bank!$C:$C,B1573)="","",INDEX(Bank!$C:$C,B1573)))</f>
        <v/>
      </c>
      <c r="G1573" s="19" t="str">
        <f aca="false">IF(B1573=0,"",INDEX(Bank!$E:$E,B1573))</f>
        <v/>
      </c>
      <c r="H1573" s="5" t="str">
        <f aca="false">IF(B1573=0,"",IF(INDEX(Bank!$H:$H,B1573)="","",INDEX(Bank!$H:$H,B1573)))</f>
        <v/>
      </c>
      <c r="I1573" s="5" t="n">
        <f aca="false">IF(H1573="",0,IFERROR(MATCH(H1573,GL!$A:$A,0),0))</f>
        <v>0</v>
      </c>
      <c r="J1573" s="32" t="str">
        <f aca="false">IF(I1573=0,"",INDEX(GL!$B:$B,I1573))</f>
        <v/>
      </c>
      <c r="K1573" s="5" t="str">
        <f aca="false">IF(I1573=0,"",IF(INDEX(GL!$C:$C,I1573)="","",INDEX(GL!$C:$C,I1573)))</f>
        <v/>
      </c>
      <c r="L1573" s="19" t="str">
        <f aca="false">IF(I1573=0,"",INDEX(GL!$E:$E,I1573))</f>
        <v/>
      </c>
      <c r="M1573" s="19" t="str">
        <f aca="false">IF(OR(B1573=0,I1573=0),"",ROUND(G1573-L1573,2))</f>
        <v/>
      </c>
      <c r="N1573" s="5" t="str">
        <f aca="false">IF(A1573="","",IF(B1573=0,"NOT FOUND: bank ID",IF(I1573=0,"NOT FOUND: GL ID",IF(INDEX(GL!$H:$H,I1573)&lt;&gt;A1573,"BROKEN: GL points elsewhere",IF(OR(INDEX(Bank!$F:$F,B1573)&lt;&gt;"Y",INDEX(GL!$F:$F,I1573)&lt;&gt;"Y"),"BROKEN: Status not Y","OK")))))</f>
        <v/>
      </c>
    </row>
    <row r="1574" customFormat="false" ht="15" hidden="false" customHeight="false" outlineLevel="0" collapsed="false">
      <c r="A1574" s="41"/>
      <c r="B1574" s="5" t="n">
        <f aca="false">IF(A1574="",0,IFERROR(MATCH(A1574,Bank!$A:$A,0),0))</f>
        <v>0</v>
      </c>
      <c r="C1574" s="5" t="str">
        <f aca="false">IF(B1574=0,"",IF(INDEX(Bank!$G:$G,B1574)="","",INDEX(Bank!$G:$G,B1574)))</f>
        <v/>
      </c>
      <c r="D1574" s="5" t="str">
        <f aca="false">IF(B1574=0,"",IF(INDEX(Bank!$J:$J,B1574)="","",INDEX(Bank!$J:$J,B1574)))</f>
        <v/>
      </c>
      <c r="E1574" s="32" t="str">
        <f aca="false">IF(B1574=0,"",INDEX(Bank!$B:$B,B1574))</f>
        <v/>
      </c>
      <c r="F1574" s="5" t="str">
        <f aca="false">IF(B1574=0,"",IF(INDEX(Bank!$C:$C,B1574)="","",INDEX(Bank!$C:$C,B1574)))</f>
        <v/>
      </c>
      <c r="G1574" s="19" t="str">
        <f aca="false">IF(B1574=0,"",INDEX(Bank!$E:$E,B1574))</f>
        <v/>
      </c>
      <c r="H1574" s="5" t="str">
        <f aca="false">IF(B1574=0,"",IF(INDEX(Bank!$H:$H,B1574)="","",INDEX(Bank!$H:$H,B1574)))</f>
        <v/>
      </c>
      <c r="I1574" s="5" t="n">
        <f aca="false">IF(H1574="",0,IFERROR(MATCH(H1574,GL!$A:$A,0),0))</f>
        <v>0</v>
      </c>
      <c r="J1574" s="32" t="str">
        <f aca="false">IF(I1574=0,"",INDEX(GL!$B:$B,I1574))</f>
        <v/>
      </c>
      <c r="K1574" s="5" t="str">
        <f aca="false">IF(I1574=0,"",IF(INDEX(GL!$C:$C,I1574)="","",INDEX(GL!$C:$C,I1574)))</f>
        <v/>
      </c>
      <c r="L1574" s="19" t="str">
        <f aca="false">IF(I1574=0,"",INDEX(GL!$E:$E,I1574))</f>
        <v/>
      </c>
      <c r="M1574" s="19" t="str">
        <f aca="false">IF(OR(B1574=0,I1574=0),"",ROUND(G1574-L1574,2))</f>
        <v/>
      </c>
      <c r="N1574" s="5" t="str">
        <f aca="false">IF(A1574="","",IF(B1574=0,"NOT FOUND: bank ID",IF(I1574=0,"NOT FOUND: GL ID",IF(INDEX(GL!$H:$H,I1574)&lt;&gt;A1574,"BROKEN: GL points elsewhere",IF(OR(INDEX(Bank!$F:$F,B1574)&lt;&gt;"Y",INDEX(GL!$F:$F,I1574)&lt;&gt;"Y"),"BROKEN: Status not Y","OK")))))</f>
        <v/>
      </c>
    </row>
    <row r="1575" customFormat="false" ht="15" hidden="false" customHeight="false" outlineLevel="0" collapsed="false">
      <c r="A1575" s="41"/>
      <c r="B1575" s="5" t="n">
        <f aca="false">IF(A1575="",0,IFERROR(MATCH(A1575,Bank!$A:$A,0),0))</f>
        <v>0</v>
      </c>
      <c r="C1575" s="5" t="str">
        <f aca="false">IF(B1575=0,"",IF(INDEX(Bank!$G:$G,B1575)="","",INDEX(Bank!$G:$G,B1575)))</f>
        <v/>
      </c>
      <c r="D1575" s="5" t="str">
        <f aca="false">IF(B1575=0,"",IF(INDEX(Bank!$J:$J,B1575)="","",INDEX(Bank!$J:$J,B1575)))</f>
        <v/>
      </c>
      <c r="E1575" s="32" t="str">
        <f aca="false">IF(B1575=0,"",INDEX(Bank!$B:$B,B1575))</f>
        <v/>
      </c>
      <c r="F1575" s="5" t="str">
        <f aca="false">IF(B1575=0,"",IF(INDEX(Bank!$C:$C,B1575)="","",INDEX(Bank!$C:$C,B1575)))</f>
        <v/>
      </c>
      <c r="G1575" s="19" t="str">
        <f aca="false">IF(B1575=0,"",INDEX(Bank!$E:$E,B1575))</f>
        <v/>
      </c>
      <c r="H1575" s="5" t="str">
        <f aca="false">IF(B1575=0,"",IF(INDEX(Bank!$H:$H,B1575)="","",INDEX(Bank!$H:$H,B1575)))</f>
        <v/>
      </c>
      <c r="I1575" s="5" t="n">
        <f aca="false">IF(H1575="",0,IFERROR(MATCH(H1575,GL!$A:$A,0),0))</f>
        <v>0</v>
      </c>
      <c r="J1575" s="32" t="str">
        <f aca="false">IF(I1575=0,"",INDEX(GL!$B:$B,I1575))</f>
        <v/>
      </c>
      <c r="K1575" s="5" t="str">
        <f aca="false">IF(I1575=0,"",IF(INDEX(GL!$C:$C,I1575)="","",INDEX(GL!$C:$C,I1575)))</f>
        <v/>
      </c>
      <c r="L1575" s="19" t="str">
        <f aca="false">IF(I1575=0,"",INDEX(GL!$E:$E,I1575))</f>
        <v/>
      </c>
      <c r="M1575" s="19" t="str">
        <f aca="false">IF(OR(B1575=0,I1575=0),"",ROUND(G1575-L1575,2))</f>
        <v/>
      </c>
      <c r="N1575" s="5" t="str">
        <f aca="false">IF(A1575="","",IF(B1575=0,"NOT FOUND: bank ID",IF(I1575=0,"NOT FOUND: GL ID",IF(INDEX(GL!$H:$H,I1575)&lt;&gt;A1575,"BROKEN: GL points elsewhere",IF(OR(INDEX(Bank!$F:$F,B1575)&lt;&gt;"Y",INDEX(GL!$F:$F,I1575)&lt;&gt;"Y"),"BROKEN: Status not Y","OK")))))</f>
        <v/>
      </c>
    </row>
    <row r="1576" customFormat="false" ht="15" hidden="false" customHeight="false" outlineLevel="0" collapsed="false">
      <c r="A1576" s="41"/>
      <c r="B1576" s="5" t="n">
        <f aca="false">IF(A1576="",0,IFERROR(MATCH(A1576,Bank!$A:$A,0),0))</f>
        <v>0</v>
      </c>
      <c r="C1576" s="5" t="str">
        <f aca="false">IF(B1576=0,"",IF(INDEX(Bank!$G:$G,B1576)="","",INDEX(Bank!$G:$G,B1576)))</f>
        <v/>
      </c>
      <c r="D1576" s="5" t="str">
        <f aca="false">IF(B1576=0,"",IF(INDEX(Bank!$J:$J,B1576)="","",INDEX(Bank!$J:$J,B1576)))</f>
        <v/>
      </c>
      <c r="E1576" s="32" t="str">
        <f aca="false">IF(B1576=0,"",INDEX(Bank!$B:$B,B1576))</f>
        <v/>
      </c>
      <c r="F1576" s="5" t="str">
        <f aca="false">IF(B1576=0,"",IF(INDEX(Bank!$C:$C,B1576)="","",INDEX(Bank!$C:$C,B1576)))</f>
        <v/>
      </c>
      <c r="G1576" s="19" t="str">
        <f aca="false">IF(B1576=0,"",INDEX(Bank!$E:$E,B1576))</f>
        <v/>
      </c>
      <c r="H1576" s="5" t="str">
        <f aca="false">IF(B1576=0,"",IF(INDEX(Bank!$H:$H,B1576)="","",INDEX(Bank!$H:$H,B1576)))</f>
        <v/>
      </c>
      <c r="I1576" s="5" t="n">
        <f aca="false">IF(H1576="",0,IFERROR(MATCH(H1576,GL!$A:$A,0),0))</f>
        <v>0</v>
      </c>
      <c r="J1576" s="32" t="str">
        <f aca="false">IF(I1576=0,"",INDEX(GL!$B:$B,I1576))</f>
        <v/>
      </c>
      <c r="K1576" s="5" t="str">
        <f aca="false">IF(I1576=0,"",IF(INDEX(GL!$C:$C,I1576)="","",INDEX(GL!$C:$C,I1576)))</f>
        <v/>
      </c>
      <c r="L1576" s="19" t="str">
        <f aca="false">IF(I1576=0,"",INDEX(GL!$E:$E,I1576))</f>
        <v/>
      </c>
      <c r="M1576" s="19" t="str">
        <f aca="false">IF(OR(B1576=0,I1576=0),"",ROUND(G1576-L1576,2))</f>
        <v/>
      </c>
      <c r="N1576" s="5" t="str">
        <f aca="false">IF(A1576="","",IF(B1576=0,"NOT FOUND: bank ID",IF(I1576=0,"NOT FOUND: GL ID",IF(INDEX(GL!$H:$H,I1576)&lt;&gt;A1576,"BROKEN: GL points elsewhere",IF(OR(INDEX(Bank!$F:$F,B1576)&lt;&gt;"Y",INDEX(GL!$F:$F,I1576)&lt;&gt;"Y"),"BROKEN: Status not Y","OK")))))</f>
        <v/>
      </c>
    </row>
    <row r="1577" customFormat="false" ht="15" hidden="false" customHeight="false" outlineLevel="0" collapsed="false">
      <c r="A1577" s="41"/>
      <c r="B1577" s="5" t="n">
        <f aca="false">IF(A1577="",0,IFERROR(MATCH(A1577,Bank!$A:$A,0),0))</f>
        <v>0</v>
      </c>
      <c r="C1577" s="5" t="str">
        <f aca="false">IF(B1577=0,"",IF(INDEX(Bank!$G:$G,B1577)="","",INDEX(Bank!$G:$G,B1577)))</f>
        <v/>
      </c>
      <c r="D1577" s="5" t="str">
        <f aca="false">IF(B1577=0,"",IF(INDEX(Bank!$J:$J,B1577)="","",INDEX(Bank!$J:$J,B1577)))</f>
        <v/>
      </c>
      <c r="E1577" s="32" t="str">
        <f aca="false">IF(B1577=0,"",INDEX(Bank!$B:$B,B1577))</f>
        <v/>
      </c>
      <c r="F1577" s="5" t="str">
        <f aca="false">IF(B1577=0,"",IF(INDEX(Bank!$C:$C,B1577)="","",INDEX(Bank!$C:$C,B1577)))</f>
        <v/>
      </c>
      <c r="G1577" s="19" t="str">
        <f aca="false">IF(B1577=0,"",INDEX(Bank!$E:$E,B1577))</f>
        <v/>
      </c>
      <c r="H1577" s="5" t="str">
        <f aca="false">IF(B1577=0,"",IF(INDEX(Bank!$H:$H,B1577)="","",INDEX(Bank!$H:$H,B1577)))</f>
        <v/>
      </c>
      <c r="I1577" s="5" t="n">
        <f aca="false">IF(H1577="",0,IFERROR(MATCH(H1577,GL!$A:$A,0),0))</f>
        <v>0</v>
      </c>
      <c r="J1577" s="32" t="str">
        <f aca="false">IF(I1577=0,"",INDEX(GL!$B:$B,I1577))</f>
        <v/>
      </c>
      <c r="K1577" s="5" t="str">
        <f aca="false">IF(I1577=0,"",IF(INDEX(GL!$C:$C,I1577)="","",INDEX(GL!$C:$C,I1577)))</f>
        <v/>
      </c>
      <c r="L1577" s="19" t="str">
        <f aca="false">IF(I1577=0,"",INDEX(GL!$E:$E,I1577))</f>
        <v/>
      </c>
      <c r="M1577" s="19" t="str">
        <f aca="false">IF(OR(B1577=0,I1577=0),"",ROUND(G1577-L1577,2))</f>
        <v/>
      </c>
      <c r="N1577" s="5" t="str">
        <f aca="false">IF(A1577="","",IF(B1577=0,"NOT FOUND: bank ID",IF(I1577=0,"NOT FOUND: GL ID",IF(INDEX(GL!$H:$H,I1577)&lt;&gt;A1577,"BROKEN: GL points elsewhere",IF(OR(INDEX(Bank!$F:$F,B1577)&lt;&gt;"Y",INDEX(GL!$F:$F,I1577)&lt;&gt;"Y"),"BROKEN: Status not Y","OK")))))</f>
        <v/>
      </c>
    </row>
    <row r="1578" customFormat="false" ht="15" hidden="false" customHeight="false" outlineLevel="0" collapsed="false">
      <c r="A1578" s="41"/>
      <c r="B1578" s="5" t="n">
        <f aca="false">IF(A1578="",0,IFERROR(MATCH(A1578,Bank!$A:$A,0),0))</f>
        <v>0</v>
      </c>
      <c r="C1578" s="5" t="str">
        <f aca="false">IF(B1578=0,"",IF(INDEX(Bank!$G:$G,B1578)="","",INDEX(Bank!$G:$G,B1578)))</f>
        <v/>
      </c>
      <c r="D1578" s="5" t="str">
        <f aca="false">IF(B1578=0,"",IF(INDEX(Bank!$J:$J,B1578)="","",INDEX(Bank!$J:$J,B1578)))</f>
        <v/>
      </c>
      <c r="E1578" s="32" t="str">
        <f aca="false">IF(B1578=0,"",INDEX(Bank!$B:$B,B1578))</f>
        <v/>
      </c>
      <c r="F1578" s="5" t="str">
        <f aca="false">IF(B1578=0,"",IF(INDEX(Bank!$C:$C,B1578)="","",INDEX(Bank!$C:$C,B1578)))</f>
        <v/>
      </c>
      <c r="G1578" s="19" t="str">
        <f aca="false">IF(B1578=0,"",INDEX(Bank!$E:$E,B1578))</f>
        <v/>
      </c>
      <c r="H1578" s="5" t="str">
        <f aca="false">IF(B1578=0,"",IF(INDEX(Bank!$H:$H,B1578)="","",INDEX(Bank!$H:$H,B1578)))</f>
        <v/>
      </c>
      <c r="I1578" s="5" t="n">
        <f aca="false">IF(H1578="",0,IFERROR(MATCH(H1578,GL!$A:$A,0),0))</f>
        <v>0</v>
      </c>
      <c r="J1578" s="32" t="str">
        <f aca="false">IF(I1578=0,"",INDEX(GL!$B:$B,I1578))</f>
        <v/>
      </c>
      <c r="K1578" s="5" t="str">
        <f aca="false">IF(I1578=0,"",IF(INDEX(GL!$C:$C,I1578)="","",INDEX(GL!$C:$C,I1578)))</f>
        <v/>
      </c>
      <c r="L1578" s="19" t="str">
        <f aca="false">IF(I1578=0,"",INDEX(GL!$E:$E,I1578))</f>
        <v/>
      </c>
      <c r="M1578" s="19" t="str">
        <f aca="false">IF(OR(B1578=0,I1578=0),"",ROUND(G1578-L1578,2))</f>
        <v/>
      </c>
      <c r="N1578" s="5" t="str">
        <f aca="false">IF(A1578="","",IF(B1578=0,"NOT FOUND: bank ID",IF(I1578=0,"NOT FOUND: GL ID",IF(INDEX(GL!$H:$H,I1578)&lt;&gt;A1578,"BROKEN: GL points elsewhere",IF(OR(INDEX(Bank!$F:$F,B1578)&lt;&gt;"Y",INDEX(GL!$F:$F,I1578)&lt;&gt;"Y"),"BROKEN: Status not Y","OK")))))</f>
        <v/>
      </c>
    </row>
    <row r="1579" customFormat="false" ht="15" hidden="false" customHeight="false" outlineLevel="0" collapsed="false">
      <c r="A1579" s="41"/>
      <c r="B1579" s="5" t="n">
        <f aca="false">IF(A1579="",0,IFERROR(MATCH(A1579,Bank!$A:$A,0),0))</f>
        <v>0</v>
      </c>
      <c r="C1579" s="5" t="str">
        <f aca="false">IF(B1579=0,"",IF(INDEX(Bank!$G:$G,B1579)="","",INDEX(Bank!$G:$G,B1579)))</f>
        <v/>
      </c>
      <c r="D1579" s="5" t="str">
        <f aca="false">IF(B1579=0,"",IF(INDEX(Bank!$J:$J,B1579)="","",INDEX(Bank!$J:$J,B1579)))</f>
        <v/>
      </c>
      <c r="E1579" s="32" t="str">
        <f aca="false">IF(B1579=0,"",INDEX(Bank!$B:$B,B1579))</f>
        <v/>
      </c>
      <c r="F1579" s="5" t="str">
        <f aca="false">IF(B1579=0,"",IF(INDEX(Bank!$C:$C,B1579)="","",INDEX(Bank!$C:$C,B1579)))</f>
        <v/>
      </c>
      <c r="G1579" s="19" t="str">
        <f aca="false">IF(B1579=0,"",INDEX(Bank!$E:$E,B1579))</f>
        <v/>
      </c>
      <c r="H1579" s="5" t="str">
        <f aca="false">IF(B1579=0,"",IF(INDEX(Bank!$H:$H,B1579)="","",INDEX(Bank!$H:$H,B1579)))</f>
        <v/>
      </c>
      <c r="I1579" s="5" t="n">
        <f aca="false">IF(H1579="",0,IFERROR(MATCH(H1579,GL!$A:$A,0),0))</f>
        <v>0</v>
      </c>
      <c r="J1579" s="32" t="str">
        <f aca="false">IF(I1579=0,"",INDEX(GL!$B:$B,I1579))</f>
        <v/>
      </c>
      <c r="K1579" s="5" t="str">
        <f aca="false">IF(I1579=0,"",IF(INDEX(GL!$C:$C,I1579)="","",INDEX(GL!$C:$C,I1579)))</f>
        <v/>
      </c>
      <c r="L1579" s="19" t="str">
        <f aca="false">IF(I1579=0,"",INDEX(GL!$E:$E,I1579))</f>
        <v/>
      </c>
      <c r="M1579" s="19" t="str">
        <f aca="false">IF(OR(B1579=0,I1579=0),"",ROUND(G1579-L1579,2))</f>
        <v/>
      </c>
      <c r="N1579" s="5" t="str">
        <f aca="false">IF(A1579="","",IF(B1579=0,"NOT FOUND: bank ID",IF(I1579=0,"NOT FOUND: GL ID",IF(INDEX(GL!$H:$H,I1579)&lt;&gt;A1579,"BROKEN: GL points elsewhere",IF(OR(INDEX(Bank!$F:$F,B1579)&lt;&gt;"Y",INDEX(GL!$F:$F,I1579)&lt;&gt;"Y"),"BROKEN: Status not Y","OK")))))</f>
        <v/>
      </c>
    </row>
    <row r="1580" customFormat="false" ht="15" hidden="false" customHeight="false" outlineLevel="0" collapsed="false">
      <c r="A1580" s="41"/>
      <c r="B1580" s="5" t="n">
        <f aca="false">IF(A1580="",0,IFERROR(MATCH(A1580,Bank!$A:$A,0),0))</f>
        <v>0</v>
      </c>
      <c r="C1580" s="5" t="str">
        <f aca="false">IF(B1580=0,"",IF(INDEX(Bank!$G:$G,B1580)="","",INDEX(Bank!$G:$G,B1580)))</f>
        <v/>
      </c>
      <c r="D1580" s="5" t="str">
        <f aca="false">IF(B1580=0,"",IF(INDEX(Bank!$J:$J,B1580)="","",INDEX(Bank!$J:$J,B1580)))</f>
        <v/>
      </c>
      <c r="E1580" s="32" t="str">
        <f aca="false">IF(B1580=0,"",INDEX(Bank!$B:$B,B1580))</f>
        <v/>
      </c>
      <c r="F1580" s="5" t="str">
        <f aca="false">IF(B1580=0,"",IF(INDEX(Bank!$C:$C,B1580)="","",INDEX(Bank!$C:$C,B1580)))</f>
        <v/>
      </c>
      <c r="G1580" s="19" t="str">
        <f aca="false">IF(B1580=0,"",INDEX(Bank!$E:$E,B1580))</f>
        <v/>
      </c>
      <c r="H1580" s="5" t="str">
        <f aca="false">IF(B1580=0,"",IF(INDEX(Bank!$H:$H,B1580)="","",INDEX(Bank!$H:$H,B1580)))</f>
        <v/>
      </c>
      <c r="I1580" s="5" t="n">
        <f aca="false">IF(H1580="",0,IFERROR(MATCH(H1580,GL!$A:$A,0),0))</f>
        <v>0</v>
      </c>
      <c r="J1580" s="32" t="str">
        <f aca="false">IF(I1580=0,"",INDEX(GL!$B:$B,I1580))</f>
        <v/>
      </c>
      <c r="K1580" s="5" t="str">
        <f aca="false">IF(I1580=0,"",IF(INDEX(GL!$C:$C,I1580)="","",INDEX(GL!$C:$C,I1580)))</f>
        <v/>
      </c>
      <c r="L1580" s="19" t="str">
        <f aca="false">IF(I1580=0,"",INDEX(GL!$E:$E,I1580))</f>
        <v/>
      </c>
      <c r="M1580" s="19" t="str">
        <f aca="false">IF(OR(B1580=0,I1580=0),"",ROUND(G1580-L1580,2))</f>
        <v/>
      </c>
      <c r="N1580" s="5" t="str">
        <f aca="false">IF(A1580="","",IF(B1580=0,"NOT FOUND: bank ID",IF(I1580=0,"NOT FOUND: GL ID",IF(INDEX(GL!$H:$H,I1580)&lt;&gt;A1580,"BROKEN: GL points elsewhere",IF(OR(INDEX(Bank!$F:$F,B1580)&lt;&gt;"Y",INDEX(GL!$F:$F,I1580)&lt;&gt;"Y"),"BROKEN: Status not Y","OK")))))</f>
        <v/>
      </c>
    </row>
    <row r="1581" customFormat="false" ht="15" hidden="false" customHeight="false" outlineLevel="0" collapsed="false">
      <c r="A1581" s="41"/>
      <c r="B1581" s="5" t="n">
        <f aca="false">IF(A1581="",0,IFERROR(MATCH(A1581,Bank!$A:$A,0),0))</f>
        <v>0</v>
      </c>
      <c r="C1581" s="5" t="str">
        <f aca="false">IF(B1581=0,"",IF(INDEX(Bank!$G:$G,B1581)="","",INDEX(Bank!$G:$G,B1581)))</f>
        <v/>
      </c>
      <c r="D1581" s="5" t="str">
        <f aca="false">IF(B1581=0,"",IF(INDEX(Bank!$J:$J,B1581)="","",INDEX(Bank!$J:$J,B1581)))</f>
        <v/>
      </c>
      <c r="E1581" s="32" t="str">
        <f aca="false">IF(B1581=0,"",INDEX(Bank!$B:$B,B1581))</f>
        <v/>
      </c>
      <c r="F1581" s="5" t="str">
        <f aca="false">IF(B1581=0,"",IF(INDEX(Bank!$C:$C,B1581)="","",INDEX(Bank!$C:$C,B1581)))</f>
        <v/>
      </c>
      <c r="G1581" s="19" t="str">
        <f aca="false">IF(B1581=0,"",INDEX(Bank!$E:$E,B1581))</f>
        <v/>
      </c>
      <c r="H1581" s="5" t="str">
        <f aca="false">IF(B1581=0,"",IF(INDEX(Bank!$H:$H,B1581)="","",INDEX(Bank!$H:$H,B1581)))</f>
        <v/>
      </c>
      <c r="I1581" s="5" t="n">
        <f aca="false">IF(H1581="",0,IFERROR(MATCH(H1581,GL!$A:$A,0),0))</f>
        <v>0</v>
      </c>
      <c r="J1581" s="32" t="str">
        <f aca="false">IF(I1581=0,"",INDEX(GL!$B:$B,I1581))</f>
        <v/>
      </c>
      <c r="K1581" s="5" t="str">
        <f aca="false">IF(I1581=0,"",IF(INDEX(GL!$C:$C,I1581)="","",INDEX(GL!$C:$C,I1581)))</f>
        <v/>
      </c>
      <c r="L1581" s="19" t="str">
        <f aca="false">IF(I1581=0,"",INDEX(GL!$E:$E,I1581))</f>
        <v/>
      </c>
      <c r="M1581" s="19" t="str">
        <f aca="false">IF(OR(B1581=0,I1581=0),"",ROUND(G1581-L1581,2))</f>
        <v/>
      </c>
      <c r="N1581" s="5" t="str">
        <f aca="false">IF(A1581="","",IF(B1581=0,"NOT FOUND: bank ID",IF(I1581=0,"NOT FOUND: GL ID",IF(INDEX(GL!$H:$H,I1581)&lt;&gt;A1581,"BROKEN: GL points elsewhere",IF(OR(INDEX(Bank!$F:$F,B1581)&lt;&gt;"Y",INDEX(GL!$F:$F,I1581)&lt;&gt;"Y"),"BROKEN: Status not Y","OK")))))</f>
        <v/>
      </c>
    </row>
    <row r="1582" customFormat="false" ht="15" hidden="false" customHeight="false" outlineLevel="0" collapsed="false">
      <c r="A1582" s="41"/>
      <c r="B1582" s="5" t="n">
        <f aca="false">IF(A1582="",0,IFERROR(MATCH(A1582,Bank!$A:$A,0),0))</f>
        <v>0</v>
      </c>
      <c r="C1582" s="5" t="str">
        <f aca="false">IF(B1582=0,"",IF(INDEX(Bank!$G:$G,B1582)="","",INDEX(Bank!$G:$G,B1582)))</f>
        <v/>
      </c>
      <c r="D1582" s="5" t="str">
        <f aca="false">IF(B1582=0,"",IF(INDEX(Bank!$J:$J,B1582)="","",INDEX(Bank!$J:$J,B1582)))</f>
        <v/>
      </c>
      <c r="E1582" s="32" t="str">
        <f aca="false">IF(B1582=0,"",INDEX(Bank!$B:$B,B1582))</f>
        <v/>
      </c>
      <c r="F1582" s="5" t="str">
        <f aca="false">IF(B1582=0,"",IF(INDEX(Bank!$C:$C,B1582)="","",INDEX(Bank!$C:$C,B1582)))</f>
        <v/>
      </c>
      <c r="G1582" s="19" t="str">
        <f aca="false">IF(B1582=0,"",INDEX(Bank!$E:$E,B1582))</f>
        <v/>
      </c>
      <c r="H1582" s="5" t="str">
        <f aca="false">IF(B1582=0,"",IF(INDEX(Bank!$H:$H,B1582)="","",INDEX(Bank!$H:$H,B1582)))</f>
        <v/>
      </c>
      <c r="I1582" s="5" t="n">
        <f aca="false">IF(H1582="",0,IFERROR(MATCH(H1582,GL!$A:$A,0),0))</f>
        <v>0</v>
      </c>
      <c r="J1582" s="32" t="str">
        <f aca="false">IF(I1582=0,"",INDEX(GL!$B:$B,I1582))</f>
        <v/>
      </c>
      <c r="K1582" s="5" t="str">
        <f aca="false">IF(I1582=0,"",IF(INDEX(GL!$C:$C,I1582)="","",INDEX(GL!$C:$C,I1582)))</f>
        <v/>
      </c>
      <c r="L1582" s="19" t="str">
        <f aca="false">IF(I1582=0,"",INDEX(GL!$E:$E,I1582))</f>
        <v/>
      </c>
      <c r="M1582" s="19" t="str">
        <f aca="false">IF(OR(B1582=0,I1582=0),"",ROUND(G1582-L1582,2))</f>
        <v/>
      </c>
      <c r="N1582" s="5" t="str">
        <f aca="false">IF(A1582="","",IF(B1582=0,"NOT FOUND: bank ID",IF(I1582=0,"NOT FOUND: GL ID",IF(INDEX(GL!$H:$H,I1582)&lt;&gt;A1582,"BROKEN: GL points elsewhere",IF(OR(INDEX(Bank!$F:$F,B1582)&lt;&gt;"Y",INDEX(GL!$F:$F,I1582)&lt;&gt;"Y"),"BROKEN: Status not Y","OK")))))</f>
        <v/>
      </c>
    </row>
    <row r="1583" customFormat="false" ht="15" hidden="false" customHeight="false" outlineLevel="0" collapsed="false">
      <c r="A1583" s="41"/>
      <c r="B1583" s="5" t="n">
        <f aca="false">IF(A1583="",0,IFERROR(MATCH(A1583,Bank!$A:$A,0),0))</f>
        <v>0</v>
      </c>
      <c r="C1583" s="5" t="str">
        <f aca="false">IF(B1583=0,"",IF(INDEX(Bank!$G:$G,B1583)="","",INDEX(Bank!$G:$G,B1583)))</f>
        <v/>
      </c>
      <c r="D1583" s="5" t="str">
        <f aca="false">IF(B1583=0,"",IF(INDEX(Bank!$J:$J,B1583)="","",INDEX(Bank!$J:$J,B1583)))</f>
        <v/>
      </c>
      <c r="E1583" s="32" t="str">
        <f aca="false">IF(B1583=0,"",INDEX(Bank!$B:$B,B1583))</f>
        <v/>
      </c>
      <c r="F1583" s="5" t="str">
        <f aca="false">IF(B1583=0,"",IF(INDEX(Bank!$C:$C,B1583)="","",INDEX(Bank!$C:$C,B1583)))</f>
        <v/>
      </c>
      <c r="G1583" s="19" t="str">
        <f aca="false">IF(B1583=0,"",INDEX(Bank!$E:$E,B1583))</f>
        <v/>
      </c>
      <c r="H1583" s="5" t="str">
        <f aca="false">IF(B1583=0,"",IF(INDEX(Bank!$H:$H,B1583)="","",INDEX(Bank!$H:$H,B1583)))</f>
        <v/>
      </c>
      <c r="I1583" s="5" t="n">
        <f aca="false">IF(H1583="",0,IFERROR(MATCH(H1583,GL!$A:$A,0),0))</f>
        <v>0</v>
      </c>
      <c r="J1583" s="32" t="str">
        <f aca="false">IF(I1583=0,"",INDEX(GL!$B:$B,I1583))</f>
        <v/>
      </c>
      <c r="K1583" s="5" t="str">
        <f aca="false">IF(I1583=0,"",IF(INDEX(GL!$C:$C,I1583)="","",INDEX(GL!$C:$C,I1583)))</f>
        <v/>
      </c>
      <c r="L1583" s="19" t="str">
        <f aca="false">IF(I1583=0,"",INDEX(GL!$E:$E,I1583))</f>
        <v/>
      </c>
      <c r="M1583" s="19" t="str">
        <f aca="false">IF(OR(B1583=0,I1583=0),"",ROUND(G1583-L1583,2))</f>
        <v/>
      </c>
      <c r="N1583" s="5" t="str">
        <f aca="false">IF(A1583="","",IF(B1583=0,"NOT FOUND: bank ID",IF(I1583=0,"NOT FOUND: GL ID",IF(INDEX(GL!$H:$H,I1583)&lt;&gt;A1583,"BROKEN: GL points elsewhere",IF(OR(INDEX(Bank!$F:$F,B1583)&lt;&gt;"Y",INDEX(GL!$F:$F,I1583)&lt;&gt;"Y"),"BROKEN: Status not Y","OK")))))</f>
        <v/>
      </c>
    </row>
    <row r="1584" customFormat="false" ht="15" hidden="false" customHeight="false" outlineLevel="0" collapsed="false">
      <c r="A1584" s="41"/>
      <c r="B1584" s="5" t="n">
        <f aca="false">IF(A1584="",0,IFERROR(MATCH(A1584,Bank!$A:$A,0),0))</f>
        <v>0</v>
      </c>
      <c r="C1584" s="5" t="str">
        <f aca="false">IF(B1584=0,"",IF(INDEX(Bank!$G:$G,B1584)="","",INDEX(Bank!$G:$G,B1584)))</f>
        <v/>
      </c>
      <c r="D1584" s="5" t="str">
        <f aca="false">IF(B1584=0,"",IF(INDEX(Bank!$J:$J,B1584)="","",INDEX(Bank!$J:$J,B1584)))</f>
        <v/>
      </c>
      <c r="E1584" s="32" t="str">
        <f aca="false">IF(B1584=0,"",INDEX(Bank!$B:$B,B1584))</f>
        <v/>
      </c>
      <c r="F1584" s="5" t="str">
        <f aca="false">IF(B1584=0,"",IF(INDEX(Bank!$C:$C,B1584)="","",INDEX(Bank!$C:$C,B1584)))</f>
        <v/>
      </c>
      <c r="G1584" s="19" t="str">
        <f aca="false">IF(B1584=0,"",INDEX(Bank!$E:$E,B1584))</f>
        <v/>
      </c>
      <c r="H1584" s="5" t="str">
        <f aca="false">IF(B1584=0,"",IF(INDEX(Bank!$H:$H,B1584)="","",INDEX(Bank!$H:$H,B1584)))</f>
        <v/>
      </c>
      <c r="I1584" s="5" t="n">
        <f aca="false">IF(H1584="",0,IFERROR(MATCH(H1584,GL!$A:$A,0),0))</f>
        <v>0</v>
      </c>
      <c r="J1584" s="32" t="str">
        <f aca="false">IF(I1584=0,"",INDEX(GL!$B:$B,I1584))</f>
        <v/>
      </c>
      <c r="K1584" s="5" t="str">
        <f aca="false">IF(I1584=0,"",IF(INDEX(GL!$C:$C,I1584)="","",INDEX(GL!$C:$C,I1584)))</f>
        <v/>
      </c>
      <c r="L1584" s="19" t="str">
        <f aca="false">IF(I1584=0,"",INDEX(GL!$E:$E,I1584))</f>
        <v/>
      </c>
      <c r="M1584" s="19" t="str">
        <f aca="false">IF(OR(B1584=0,I1584=0),"",ROUND(G1584-L1584,2))</f>
        <v/>
      </c>
      <c r="N1584" s="5" t="str">
        <f aca="false">IF(A1584="","",IF(B1584=0,"NOT FOUND: bank ID",IF(I1584=0,"NOT FOUND: GL ID",IF(INDEX(GL!$H:$H,I1584)&lt;&gt;A1584,"BROKEN: GL points elsewhere",IF(OR(INDEX(Bank!$F:$F,B1584)&lt;&gt;"Y",INDEX(GL!$F:$F,I1584)&lt;&gt;"Y"),"BROKEN: Status not Y","OK")))))</f>
        <v/>
      </c>
    </row>
    <row r="1585" customFormat="false" ht="15" hidden="false" customHeight="false" outlineLevel="0" collapsed="false">
      <c r="A1585" s="41"/>
      <c r="B1585" s="5" t="n">
        <f aca="false">IF(A1585="",0,IFERROR(MATCH(A1585,Bank!$A:$A,0),0))</f>
        <v>0</v>
      </c>
      <c r="C1585" s="5" t="str">
        <f aca="false">IF(B1585=0,"",IF(INDEX(Bank!$G:$G,B1585)="","",INDEX(Bank!$G:$G,B1585)))</f>
        <v/>
      </c>
      <c r="D1585" s="5" t="str">
        <f aca="false">IF(B1585=0,"",IF(INDEX(Bank!$J:$J,B1585)="","",INDEX(Bank!$J:$J,B1585)))</f>
        <v/>
      </c>
      <c r="E1585" s="32" t="str">
        <f aca="false">IF(B1585=0,"",INDEX(Bank!$B:$B,B1585))</f>
        <v/>
      </c>
      <c r="F1585" s="5" t="str">
        <f aca="false">IF(B1585=0,"",IF(INDEX(Bank!$C:$C,B1585)="","",INDEX(Bank!$C:$C,B1585)))</f>
        <v/>
      </c>
      <c r="G1585" s="19" t="str">
        <f aca="false">IF(B1585=0,"",INDEX(Bank!$E:$E,B1585))</f>
        <v/>
      </c>
      <c r="H1585" s="5" t="str">
        <f aca="false">IF(B1585=0,"",IF(INDEX(Bank!$H:$H,B1585)="","",INDEX(Bank!$H:$H,B1585)))</f>
        <v/>
      </c>
      <c r="I1585" s="5" t="n">
        <f aca="false">IF(H1585="",0,IFERROR(MATCH(H1585,GL!$A:$A,0),0))</f>
        <v>0</v>
      </c>
      <c r="J1585" s="32" t="str">
        <f aca="false">IF(I1585=0,"",INDEX(GL!$B:$B,I1585))</f>
        <v/>
      </c>
      <c r="K1585" s="5" t="str">
        <f aca="false">IF(I1585=0,"",IF(INDEX(GL!$C:$C,I1585)="","",INDEX(GL!$C:$C,I1585)))</f>
        <v/>
      </c>
      <c r="L1585" s="19" t="str">
        <f aca="false">IF(I1585=0,"",INDEX(GL!$E:$E,I1585))</f>
        <v/>
      </c>
      <c r="M1585" s="19" t="str">
        <f aca="false">IF(OR(B1585=0,I1585=0),"",ROUND(G1585-L1585,2))</f>
        <v/>
      </c>
      <c r="N1585" s="5" t="str">
        <f aca="false">IF(A1585="","",IF(B1585=0,"NOT FOUND: bank ID",IF(I1585=0,"NOT FOUND: GL ID",IF(INDEX(GL!$H:$H,I1585)&lt;&gt;A1585,"BROKEN: GL points elsewhere",IF(OR(INDEX(Bank!$F:$F,B1585)&lt;&gt;"Y",INDEX(GL!$F:$F,I1585)&lt;&gt;"Y"),"BROKEN: Status not Y","OK")))))</f>
        <v/>
      </c>
    </row>
    <row r="1586" customFormat="false" ht="15" hidden="false" customHeight="false" outlineLevel="0" collapsed="false">
      <c r="A1586" s="41"/>
      <c r="B1586" s="5" t="n">
        <f aca="false">IF(A1586="",0,IFERROR(MATCH(A1586,Bank!$A:$A,0),0))</f>
        <v>0</v>
      </c>
      <c r="C1586" s="5" t="str">
        <f aca="false">IF(B1586=0,"",IF(INDEX(Bank!$G:$G,B1586)="","",INDEX(Bank!$G:$G,B1586)))</f>
        <v/>
      </c>
      <c r="D1586" s="5" t="str">
        <f aca="false">IF(B1586=0,"",IF(INDEX(Bank!$J:$J,B1586)="","",INDEX(Bank!$J:$J,B1586)))</f>
        <v/>
      </c>
      <c r="E1586" s="32" t="str">
        <f aca="false">IF(B1586=0,"",INDEX(Bank!$B:$B,B1586))</f>
        <v/>
      </c>
      <c r="F1586" s="5" t="str">
        <f aca="false">IF(B1586=0,"",IF(INDEX(Bank!$C:$C,B1586)="","",INDEX(Bank!$C:$C,B1586)))</f>
        <v/>
      </c>
      <c r="G1586" s="19" t="str">
        <f aca="false">IF(B1586=0,"",INDEX(Bank!$E:$E,B1586))</f>
        <v/>
      </c>
      <c r="H1586" s="5" t="str">
        <f aca="false">IF(B1586=0,"",IF(INDEX(Bank!$H:$H,B1586)="","",INDEX(Bank!$H:$H,B1586)))</f>
        <v/>
      </c>
      <c r="I1586" s="5" t="n">
        <f aca="false">IF(H1586="",0,IFERROR(MATCH(H1586,GL!$A:$A,0),0))</f>
        <v>0</v>
      </c>
      <c r="J1586" s="32" t="str">
        <f aca="false">IF(I1586=0,"",INDEX(GL!$B:$B,I1586))</f>
        <v/>
      </c>
      <c r="K1586" s="5" t="str">
        <f aca="false">IF(I1586=0,"",IF(INDEX(GL!$C:$C,I1586)="","",INDEX(GL!$C:$C,I1586)))</f>
        <v/>
      </c>
      <c r="L1586" s="19" t="str">
        <f aca="false">IF(I1586=0,"",INDEX(GL!$E:$E,I1586))</f>
        <v/>
      </c>
      <c r="M1586" s="19" t="str">
        <f aca="false">IF(OR(B1586=0,I1586=0),"",ROUND(G1586-L1586,2))</f>
        <v/>
      </c>
      <c r="N1586" s="5" t="str">
        <f aca="false">IF(A1586="","",IF(B1586=0,"NOT FOUND: bank ID",IF(I1586=0,"NOT FOUND: GL ID",IF(INDEX(GL!$H:$H,I1586)&lt;&gt;A1586,"BROKEN: GL points elsewhere",IF(OR(INDEX(Bank!$F:$F,B1586)&lt;&gt;"Y",INDEX(GL!$F:$F,I1586)&lt;&gt;"Y"),"BROKEN: Status not Y","OK")))))</f>
        <v/>
      </c>
    </row>
    <row r="1587" customFormat="false" ht="15" hidden="false" customHeight="false" outlineLevel="0" collapsed="false">
      <c r="A1587" s="41"/>
      <c r="B1587" s="5" t="n">
        <f aca="false">IF(A1587="",0,IFERROR(MATCH(A1587,Bank!$A:$A,0),0))</f>
        <v>0</v>
      </c>
      <c r="C1587" s="5" t="str">
        <f aca="false">IF(B1587=0,"",IF(INDEX(Bank!$G:$G,B1587)="","",INDEX(Bank!$G:$G,B1587)))</f>
        <v/>
      </c>
      <c r="D1587" s="5" t="str">
        <f aca="false">IF(B1587=0,"",IF(INDEX(Bank!$J:$J,B1587)="","",INDEX(Bank!$J:$J,B1587)))</f>
        <v/>
      </c>
      <c r="E1587" s="32" t="str">
        <f aca="false">IF(B1587=0,"",INDEX(Bank!$B:$B,B1587))</f>
        <v/>
      </c>
      <c r="F1587" s="5" t="str">
        <f aca="false">IF(B1587=0,"",IF(INDEX(Bank!$C:$C,B1587)="","",INDEX(Bank!$C:$C,B1587)))</f>
        <v/>
      </c>
      <c r="G1587" s="19" t="str">
        <f aca="false">IF(B1587=0,"",INDEX(Bank!$E:$E,B1587))</f>
        <v/>
      </c>
      <c r="H1587" s="5" t="str">
        <f aca="false">IF(B1587=0,"",IF(INDEX(Bank!$H:$H,B1587)="","",INDEX(Bank!$H:$H,B1587)))</f>
        <v/>
      </c>
      <c r="I1587" s="5" t="n">
        <f aca="false">IF(H1587="",0,IFERROR(MATCH(H1587,GL!$A:$A,0),0))</f>
        <v>0</v>
      </c>
      <c r="J1587" s="32" t="str">
        <f aca="false">IF(I1587=0,"",INDEX(GL!$B:$B,I1587))</f>
        <v/>
      </c>
      <c r="K1587" s="5" t="str">
        <f aca="false">IF(I1587=0,"",IF(INDEX(GL!$C:$C,I1587)="","",INDEX(GL!$C:$C,I1587)))</f>
        <v/>
      </c>
      <c r="L1587" s="19" t="str">
        <f aca="false">IF(I1587=0,"",INDEX(GL!$E:$E,I1587))</f>
        <v/>
      </c>
      <c r="M1587" s="19" t="str">
        <f aca="false">IF(OR(B1587=0,I1587=0),"",ROUND(G1587-L1587,2))</f>
        <v/>
      </c>
      <c r="N1587" s="5" t="str">
        <f aca="false">IF(A1587="","",IF(B1587=0,"NOT FOUND: bank ID",IF(I1587=0,"NOT FOUND: GL ID",IF(INDEX(GL!$H:$H,I1587)&lt;&gt;A1587,"BROKEN: GL points elsewhere",IF(OR(INDEX(Bank!$F:$F,B1587)&lt;&gt;"Y",INDEX(GL!$F:$F,I1587)&lt;&gt;"Y"),"BROKEN: Status not Y","OK")))))</f>
        <v/>
      </c>
    </row>
    <row r="1588" customFormat="false" ht="15" hidden="false" customHeight="false" outlineLevel="0" collapsed="false">
      <c r="A1588" s="41"/>
      <c r="B1588" s="5" t="n">
        <f aca="false">IF(A1588="",0,IFERROR(MATCH(A1588,Bank!$A:$A,0),0))</f>
        <v>0</v>
      </c>
      <c r="C1588" s="5" t="str">
        <f aca="false">IF(B1588=0,"",IF(INDEX(Bank!$G:$G,B1588)="","",INDEX(Bank!$G:$G,B1588)))</f>
        <v/>
      </c>
      <c r="D1588" s="5" t="str">
        <f aca="false">IF(B1588=0,"",IF(INDEX(Bank!$J:$J,B1588)="","",INDEX(Bank!$J:$J,B1588)))</f>
        <v/>
      </c>
      <c r="E1588" s="32" t="str">
        <f aca="false">IF(B1588=0,"",INDEX(Bank!$B:$B,B1588))</f>
        <v/>
      </c>
      <c r="F1588" s="5" t="str">
        <f aca="false">IF(B1588=0,"",IF(INDEX(Bank!$C:$C,B1588)="","",INDEX(Bank!$C:$C,B1588)))</f>
        <v/>
      </c>
      <c r="G1588" s="19" t="str">
        <f aca="false">IF(B1588=0,"",INDEX(Bank!$E:$E,B1588))</f>
        <v/>
      </c>
      <c r="H1588" s="5" t="str">
        <f aca="false">IF(B1588=0,"",IF(INDEX(Bank!$H:$H,B1588)="","",INDEX(Bank!$H:$H,B1588)))</f>
        <v/>
      </c>
      <c r="I1588" s="5" t="n">
        <f aca="false">IF(H1588="",0,IFERROR(MATCH(H1588,GL!$A:$A,0),0))</f>
        <v>0</v>
      </c>
      <c r="J1588" s="32" t="str">
        <f aca="false">IF(I1588=0,"",INDEX(GL!$B:$B,I1588))</f>
        <v/>
      </c>
      <c r="K1588" s="5" t="str">
        <f aca="false">IF(I1588=0,"",IF(INDEX(GL!$C:$C,I1588)="","",INDEX(GL!$C:$C,I1588)))</f>
        <v/>
      </c>
      <c r="L1588" s="19" t="str">
        <f aca="false">IF(I1588=0,"",INDEX(GL!$E:$E,I1588))</f>
        <v/>
      </c>
      <c r="M1588" s="19" t="str">
        <f aca="false">IF(OR(B1588=0,I1588=0),"",ROUND(G1588-L1588,2))</f>
        <v/>
      </c>
      <c r="N1588" s="5" t="str">
        <f aca="false">IF(A1588="","",IF(B1588=0,"NOT FOUND: bank ID",IF(I1588=0,"NOT FOUND: GL ID",IF(INDEX(GL!$H:$H,I1588)&lt;&gt;A1588,"BROKEN: GL points elsewhere",IF(OR(INDEX(Bank!$F:$F,B1588)&lt;&gt;"Y",INDEX(GL!$F:$F,I1588)&lt;&gt;"Y"),"BROKEN: Status not Y","OK")))))</f>
        <v/>
      </c>
    </row>
    <row r="1589" customFormat="false" ht="15" hidden="false" customHeight="false" outlineLevel="0" collapsed="false">
      <c r="A1589" s="41"/>
      <c r="B1589" s="5" t="n">
        <f aca="false">IF(A1589="",0,IFERROR(MATCH(A1589,Bank!$A:$A,0),0))</f>
        <v>0</v>
      </c>
      <c r="C1589" s="5" t="str">
        <f aca="false">IF(B1589=0,"",IF(INDEX(Bank!$G:$G,B1589)="","",INDEX(Bank!$G:$G,B1589)))</f>
        <v/>
      </c>
      <c r="D1589" s="5" t="str">
        <f aca="false">IF(B1589=0,"",IF(INDEX(Bank!$J:$J,B1589)="","",INDEX(Bank!$J:$J,B1589)))</f>
        <v/>
      </c>
      <c r="E1589" s="32" t="str">
        <f aca="false">IF(B1589=0,"",INDEX(Bank!$B:$B,B1589))</f>
        <v/>
      </c>
      <c r="F1589" s="5" t="str">
        <f aca="false">IF(B1589=0,"",IF(INDEX(Bank!$C:$C,B1589)="","",INDEX(Bank!$C:$C,B1589)))</f>
        <v/>
      </c>
      <c r="G1589" s="19" t="str">
        <f aca="false">IF(B1589=0,"",INDEX(Bank!$E:$E,B1589))</f>
        <v/>
      </c>
      <c r="H1589" s="5" t="str">
        <f aca="false">IF(B1589=0,"",IF(INDEX(Bank!$H:$H,B1589)="","",INDEX(Bank!$H:$H,B1589)))</f>
        <v/>
      </c>
      <c r="I1589" s="5" t="n">
        <f aca="false">IF(H1589="",0,IFERROR(MATCH(H1589,GL!$A:$A,0),0))</f>
        <v>0</v>
      </c>
      <c r="J1589" s="32" t="str">
        <f aca="false">IF(I1589=0,"",INDEX(GL!$B:$B,I1589))</f>
        <v/>
      </c>
      <c r="K1589" s="5" t="str">
        <f aca="false">IF(I1589=0,"",IF(INDEX(GL!$C:$C,I1589)="","",INDEX(GL!$C:$C,I1589)))</f>
        <v/>
      </c>
      <c r="L1589" s="19" t="str">
        <f aca="false">IF(I1589=0,"",INDEX(GL!$E:$E,I1589))</f>
        <v/>
      </c>
      <c r="M1589" s="19" t="str">
        <f aca="false">IF(OR(B1589=0,I1589=0),"",ROUND(G1589-L1589,2))</f>
        <v/>
      </c>
      <c r="N1589" s="5" t="str">
        <f aca="false">IF(A1589="","",IF(B1589=0,"NOT FOUND: bank ID",IF(I1589=0,"NOT FOUND: GL ID",IF(INDEX(GL!$H:$H,I1589)&lt;&gt;A1589,"BROKEN: GL points elsewhere",IF(OR(INDEX(Bank!$F:$F,B1589)&lt;&gt;"Y",INDEX(GL!$F:$F,I1589)&lt;&gt;"Y"),"BROKEN: Status not Y","OK")))))</f>
        <v/>
      </c>
    </row>
    <row r="1590" customFormat="false" ht="15" hidden="false" customHeight="false" outlineLevel="0" collapsed="false">
      <c r="A1590" s="41"/>
      <c r="B1590" s="5" t="n">
        <f aca="false">IF(A1590="",0,IFERROR(MATCH(A1590,Bank!$A:$A,0),0))</f>
        <v>0</v>
      </c>
      <c r="C1590" s="5" t="str">
        <f aca="false">IF(B1590=0,"",IF(INDEX(Bank!$G:$G,B1590)="","",INDEX(Bank!$G:$G,B1590)))</f>
        <v/>
      </c>
      <c r="D1590" s="5" t="str">
        <f aca="false">IF(B1590=0,"",IF(INDEX(Bank!$J:$J,B1590)="","",INDEX(Bank!$J:$J,B1590)))</f>
        <v/>
      </c>
      <c r="E1590" s="32" t="str">
        <f aca="false">IF(B1590=0,"",INDEX(Bank!$B:$B,B1590))</f>
        <v/>
      </c>
      <c r="F1590" s="5" t="str">
        <f aca="false">IF(B1590=0,"",IF(INDEX(Bank!$C:$C,B1590)="","",INDEX(Bank!$C:$C,B1590)))</f>
        <v/>
      </c>
      <c r="G1590" s="19" t="str">
        <f aca="false">IF(B1590=0,"",INDEX(Bank!$E:$E,B1590))</f>
        <v/>
      </c>
      <c r="H1590" s="5" t="str">
        <f aca="false">IF(B1590=0,"",IF(INDEX(Bank!$H:$H,B1590)="","",INDEX(Bank!$H:$H,B1590)))</f>
        <v/>
      </c>
      <c r="I1590" s="5" t="n">
        <f aca="false">IF(H1590="",0,IFERROR(MATCH(H1590,GL!$A:$A,0),0))</f>
        <v>0</v>
      </c>
      <c r="J1590" s="32" t="str">
        <f aca="false">IF(I1590=0,"",INDEX(GL!$B:$B,I1590))</f>
        <v/>
      </c>
      <c r="K1590" s="5" t="str">
        <f aca="false">IF(I1590=0,"",IF(INDEX(GL!$C:$C,I1590)="","",INDEX(GL!$C:$C,I1590)))</f>
        <v/>
      </c>
      <c r="L1590" s="19" t="str">
        <f aca="false">IF(I1590=0,"",INDEX(GL!$E:$E,I1590))</f>
        <v/>
      </c>
      <c r="M1590" s="19" t="str">
        <f aca="false">IF(OR(B1590=0,I1590=0),"",ROUND(G1590-L1590,2))</f>
        <v/>
      </c>
      <c r="N1590" s="5" t="str">
        <f aca="false">IF(A1590="","",IF(B1590=0,"NOT FOUND: bank ID",IF(I1590=0,"NOT FOUND: GL ID",IF(INDEX(GL!$H:$H,I1590)&lt;&gt;A1590,"BROKEN: GL points elsewhere",IF(OR(INDEX(Bank!$F:$F,B1590)&lt;&gt;"Y",INDEX(GL!$F:$F,I1590)&lt;&gt;"Y"),"BROKEN: Status not Y","OK")))))</f>
        <v/>
      </c>
    </row>
    <row r="1591" customFormat="false" ht="15" hidden="false" customHeight="false" outlineLevel="0" collapsed="false">
      <c r="A1591" s="41"/>
      <c r="B1591" s="5" t="n">
        <f aca="false">IF(A1591="",0,IFERROR(MATCH(A1591,Bank!$A:$A,0),0))</f>
        <v>0</v>
      </c>
      <c r="C1591" s="5" t="str">
        <f aca="false">IF(B1591=0,"",IF(INDEX(Bank!$G:$G,B1591)="","",INDEX(Bank!$G:$G,B1591)))</f>
        <v/>
      </c>
      <c r="D1591" s="5" t="str">
        <f aca="false">IF(B1591=0,"",IF(INDEX(Bank!$J:$J,B1591)="","",INDEX(Bank!$J:$J,B1591)))</f>
        <v/>
      </c>
      <c r="E1591" s="32" t="str">
        <f aca="false">IF(B1591=0,"",INDEX(Bank!$B:$B,B1591))</f>
        <v/>
      </c>
      <c r="F1591" s="5" t="str">
        <f aca="false">IF(B1591=0,"",IF(INDEX(Bank!$C:$C,B1591)="","",INDEX(Bank!$C:$C,B1591)))</f>
        <v/>
      </c>
      <c r="G1591" s="19" t="str">
        <f aca="false">IF(B1591=0,"",INDEX(Bank!$E:$E,B1591))</f>
        <v/>
      </c>
      <c r="H1591" s="5" t="str">
        <f aca="false">IF(B1591=0,"",IF(INDEX(Bank!$H:$H,B1591)="","",INDEX(Bank!$H:$H,B1591)))</f>
        <v/>
      </c>
      <c r="I1591" s="5" t="n">
        <f aca="false">IF(H1591="",0,IFERROR(MATCH(H1591,GL!$A:$A,0),0))</f>
        <v>0</v>
      </c>
      <c r="J1591" s="32" t="str">
        <f aca="false">IF(I1591=0,"",INDEX(GL!$B:$B,I1591))</f>
        <v/>
      </c>
      <c r="K1591" s="5" t="str">
        <f aca="false">IF(I1591=0,"",IF(INDEX(GL!$C:$C,I1591)="","",INDEX(GL!$C:$C,I1591)))</f>
        <v/>
      </c>
      <c r="L1591" s="19" t="str">
        <f aca="false">IF(I1591=0,"",INDEX(GL!$E:$E,I1591))</f>
        <v/>
      </c>
      <c r="M1591" s="19" t="str">
        <f aca="false">IF(OR(B1591=0,I1591=0),"",ROUND(G1591-L1591,2))</f>
        <v/>
      </c>
      <c r="N1591" s="5" t="str">
        <f aca="false">IF(A1591="","",IF(B1591=0,"NOT FOUND: bank ID",IF(I1591=0,"NOT FOUND: GL ID",IF(INDEX(GL!$H:$H,I1591)&lt;&gt;A1591,"BROKEN: GL points elsewhere",IF(OR(INDEX(Bank!$F:$F,B1591)&lt;&gt;"Y",INDEX(GL!$F:$F,I1591)&lt;&gt;"Y"),"BROKEN: Status not Y","OK")))))</f>
        <v/>
      </c>
    </row>
    <row r="1592" customFormat="false" ht="15" hidden="false" customHeight="false" outlineLevel="0" collapsed="false">
      <c r="A1592" s="41"/>
      <c r="B1592" s="5" t="n">
        <f aca="false">IF(A1592="",0,IFERROR(MATCH(A1592,Bank!$A:$A,0),0))</f>
        <v>0</v>
      </c>
      <c r="C1592" s="5" t="str">
        <f aca="false">IF(B1592=0,"",IF(INDEX(Bank!$G:$G,B1592)="","",INDEX(Bank!$G:$G,B1592)))</f>
        <v/>
      </c>
      <c r="D1592" s="5" t="str">
        <f aca="false">IF(B1592=0,"",IF(INDEX(Bank!$J:$J,B1592)="","",INDEX(Bank!$J:$J,B1592)))</f>
        <v/>
      </c>
      <c r="E1592" s="32" t="str">
        <f aca="false">IF(B1592=0,"",INDEX(Bank!$B:$B,B1592))</f>
        <v/>
      </c>
      <c r="F1592" s="5" t="str">
        <f aca="false">IF(B1592=0,"",IF(INDEX(Bank!$C:$C,B1592)="","",INDEX(Bank!$C:$C,B1592)))</f>
        <v/>
      </c>
      <c r="G1592" s="19" t="str">
        <f aca="false">IF(B1592=0,"",INDEX(Bank!$E:$E,B1592))</f>
        <v/>
      </c>
      <c r="H1592" s="5" t="str">
        <f aca="false">IF(B1592=0,"",IF(INDEX(Bank!$H:$H,B1592)="","",INDEX(Bank!$H:$H,B1592)))</f>
        <v/>
      </c>
      <c r="I1592" s="5" t="n">
        <f aca="false">IF(H1592="",0,IFERROR(MATCH(H1592,GL!$A:$A,0),0))</f>
        <v>0</v>
      </c>
      <c r="J1592" s="32" t="str">
        <f aca="false">IF(I1592=0,"",INDEX(GL!$B:$B,I1592))</f>
        <v/>
      </c>
      <c r="K1592" s="5" t="str">
        <f aca="false">IF(I1592=0,"",IF(INDEX(GL!$C:$C,I1592)="","",INDEX(GL!$C:$C,I1592)))</f>
        <v/>
      </c>
      <c r="L1592" s="19" t="str">
        <f aca="false">IF(I1592=0,"",INDEX(GL!$E:$E,I1592))</f>
        <v/>
      </c>
      <c r="M1592" s="19" t="str">
        <f aca="false">IF(OR(B1592=0,I1592=0),"",ROUND(G1592-L1592,2))</f>
        <v/>
      </c>
      <c r="N1592" s="5" t="str">
        <f aca="false">IF(A1592="","",IF(B1592=0,"NOT FOUND: bank ID",IF(I1592=0,"NOT FOUND: GL ID",IF(INDEX(GL!$H:$H,I1592)&lt;&gt;A1592,"BROKEN: GL points elsewhere",IF(OR(INDEX(Bank!$F:$F,B1592)&lt;&gt;"Y",INDEX(GL!$F:$F,I1592)&lt;&gt;"Y"),"BROKEN: Status not Y","OK")))))</f>
        <v/>
      </c>
    </row>
    <row r="1593" customFormat="false" ht="15" hidden="false" customHeight="false" outlineLevel="0" collapsed="false">
      <c r="A1593" s="41"/>
      <c r="B1593" s="5" t="n">
        <f aca="false">IF(A1593="",0,IFERROR(MATCH(A1593,Bank!$A:$A,0),0))</f>
        <v>0</v>
      </c>
      <c r="C1593" s="5" t="str">
        <f aca="false">IF(B1593=0,"",IF(INDEX(Bank!$G:$G,B1593)="","",INDEX(Bank!$G:$G,B1593)))</f>
        <v/>
      </c>
      <c r="D1593" s="5" t="str">
        <f aca="false">IF(B1593=0,"",IF(INDEX(Bank!$J:$J,B1593)="","",INDEX(Bank!$J:$J,B1593)))</f>
        <v/>
      </c>
      <c r="E1593" s="32" t="str">
        <f aca="false">IF(B1593=0,"",INDEX(Bank!$B:$B,B1593))</f>
        <v/>
      </c>
      <c r="F1593" s="5" t="str">
        <f aca="false">IF(B1593=0,"",IF(INDEX(Bank!$C:$C,B1593)="","",INDEX(Bank!$C:$C,B1593)))</f>
        <v/>
      </c>
      <c r="G1593" s="19" t="str">
        <f aca="false">IF(B1593=0,"",INDEX(Bank!$E:$E,B1593))</f>
        <v/>
      </c>
      <c r="H1593" s="5" t="str">
        <f aca="false">IF(B1593=0,"",IF(INDEX(Bank!$H:$H,B1593)="","",INDEX(Bank!$H:$H,B1593)))</f>
        <v/>
      </c>
      <c r="I1593" s="5" t="n">
        <f aca="false">IF(H1593="",0,IFERROR(MATCH(H1593,GL!$A:$A,0),0))</f>
        <v>0</v>
      </c>
      <c r="J1593" s="32" t="str">
        <f aca="false">IF(I1593=0,"",INDEX(GL!$B:$B,I1593))</f>
        <v/>
      </c>
      <c r="K1593" s="5" t="str">
        <f aca="false">IF(I1593=0,"",IF(INDEX(GL!$C:$C,I1593)="","",INDEX(GL!$C:$C,I1593)))</f>
        <v/>
      </c>
      <c r="L1593" s="19" t="str">
        <f aca="false">IF(I1593=0,"",INDEX(GL!$E:$E,I1593))</f>
        <v/>
      </c>
      <c r="M1593" s="19" t="str">
        <f aca="false">IF(OR(B1593=0,I1593=0),"",ROUND(G1593-L1593,2))</f>
        <v/>
      </c>
      <c r="N1593" s="5" t="str">
        <f aca="false">IF(A1593="","",IF(B1593=0,"NOT FOUND: bank ID",IF(I1593=0,"NOT FOUND: GL ID",IF(INDEX(GL!$H:$H,I1593)&lt;&gt;A1593,"BROKEN: GL points elsewhere",IF(OR(INDEX(Bank!$F:$F,B1593)&lt;&gt;"Y",INDEX(GL!$F:$F,I1593)&lt;&gt;"Y"),"BROKEN: Status not Y","OK")))))</f>
        <v/>
      </c>
    </row>
    <row r="1594" customFormat="false" ht="15" hidden="false" customHeight="false" outlineLevel="0" collapsed="false">
      <c r="A1594" s="41"/>
      <c r="B1594" s="5" t="n">
        <f aca="false">IF(A1594="",0,IFERROR(MATCH(A1594,Bank!$A:$A,0),0))</f>
        <v>0</v>
      </c>
      <c r="C1594" s="5" t="str">
        <f aca="false">IF(B1594=0,"",IF(INDEX(Bank!$G:$G,B1594)="","",INDEX(Bank!$G:$G,B1594)))</f>
        <v/>
      </c>
      <c r="D1594" s="5" t="str">
        <f aca="false">IF(B1594=0,"",IF(INDEX(Bank!$J:$J,B1594)="","",INDEX(Bank!$J:$J,B1594)))</f>
        <v/>
      </c>
      <c r="E1594" s="32" t="str">
        <f aca="false">IF(B1594=0,"",INDEX(Bank!$B:$B,B1594))</f>
        <v/>
      </c>
      <c r="F1594" s="5" t="str">
        <f aca="false">IF(B1594=0,"",IF(INDEX(Bank!$C:$C,B1594)="","",INDEX(Bank!$C:$C,B1594)))</f>
        <v/>
      </c>
      <c r="G1594" s="19" t="str">
        <f aca="false">IF(B1594=0,"",INDEX(Bank!$E:$E,B1594))</f>
        <v/>
      </c>
      <c r="H1594" s="5" t="str">
        <f aca="false">IF(B1594=0,"",IF(INDEX(Bank!$H:$H,B1594)="","",INDEX(Bank!$H:$H,B1594)))</f>
        <v/>
      </c>
      <c r="I1594" s="5" t="n">
        <f aca="false">IF(H1594="",0,IFERROR(MATCH(H1594,GL!$A:$A,0),0))</f>
        <v>0</v>
      </c>
      <c r="J1594" s="32" t="str">
        <f aca="false">IF(I1594=0,"",INDEX(GL!$B:$B,I1594))</f>
        <v/>
      </c>
      <c r="K1594" s="5" t="str">
        <f aca="false">IF(I1594=0,"",IF(INDEX(GL!$C:$C,I1594)="","",INDEX(GL!$C:$C,I1594)))</f>
        <v/>
      </c>
      <c r="L1594" s="19" t="str">
        <f aca="false">IF(I1594=0,"",INDEX(GL!$E:$E,I1594))</f>
        <v/>
      </c>
      <c r="M1594" s="19" t="str">
        <f aca="false">IF(OR(B1594=0,I1594=0),"",ROUND(G1594-L1594,2))</f>
        <v/>
      </c>
      <c r="N1594" s="5" t="str">
        <f aca="false">IF(A1594="","",IF(B1594=0,"NOT FOUND: bank ID",IF(I1594=0,"NOT FOUND: GL ID",IF(INDEX(GL!$H:$H,I1594)&lt;&gt;A1594,"BROKEN: GL points elsewhere",IF(OR(INDEX(Bank!$F:$F,B1594)&lt;&gt;"Y",INDEX(GL!$F:$F,I1594)&lt;&gt;"Y"),"BROKEN: Status not Y","OK")))))</f>
        <v/>
      </c>
    </row>
    <row r="1595" customFormat="false" ht="15" hidden="false" customHeight="false" outlineLevel="0" collapsed="false">
      <c r="A1595" s="41"/>
      <c r="B1595" s="5" t="n">
        <f aca="false">IF(A1595="",0,IFERROR(MATCH(A1595,Bank!$A:$A,0),0))</f>
        <v>0</v>
      </c>
      <c r="C1595" s="5" t="str">
        <f aca="false">IF(B1595=0,"",IF(INDEX(Bank!$G:$G,B1595)="","",INDEX(Bank!$G:$G,B1595)))</f>
        <v/>
      </c>
      <c r="D1595" s="5" t="str">
        <f aca="false">IF(B1595=0,"",IF(INDEX(Bank!$J:$J,B1595)="","",INDEX(Bank!$J:$J,B1595)))</f>
        <v/>
      </c>
      <c r="E1595" s="32" t="str">
        <f aca="false">IF(B1595=0,"",INDEX(Bank!$B:$B,B1595))</f>
        <v/>
      </c>
      <c r="F1595" s="5" t="str">
        <f aca="false">IF(B1595=0,"",IF(INDEX(Bank!$C:$C,B1595)="","",INDEX(Bank!$C:$C,B1595)))</f>
        <v/>
      </c>
      <c r="G1595" s="19" t="str">
        <f aca="false">IF(B1595=0,"",INDEX(Bank!$E:$E,B1595))</f>
        <v/>
      </c>
      <c r="H1595" s="5" t="str">
        <f aca="false">IF(B1595=0,"",IF(INDEX(Bank!$H:$H,B1595)="","",INDEX(Bank!$H:$H,B1595)))</f>
        <v/>
      </c>
      <c r="I1595" s="5" t="n">
        <f aca="false">IF(H1595="",0,IFERROR(MATCH(H1595,GL!$A:$A,0),0))</f>
        <v>0</v>
      </c>
      <c r="J1595" s="32" t="str">
        <f aca="false">IF(I1595=0,"",INDEX(GL!$B:$B,I1595))</f>
        <v/>
      </c>
      <c r="K1595" s="5" t="str">
        <f aca="false">IF(I1595=0,"",IF(INDEX(GL!$C:$C,I1595)="","",INDEX(GL!$C:$C,I1595)))</f>
        <v/>
      </c>
      <c r="L1595" s="19" t="str">
        <f aca="false">IF(I1595=0,"",INDEX(GL!$E:$E,I1595))</f>
        <v/>
      </c>
      <c r="M1595" s="19" t="str">
        <f aca="false">IF(OR(B1595=0,I1595=0),"",ROUND(G1595-L1595,2))</f>
        <v/>
      </c>
      <c r="N1595" s="5" t="str">
        <f aca="false">IF(A1595="","",IF(B1595=0,"NOT FOUND: bank ID",IF(I1595=0,"NOT FOUND: GL ID",IF(INDEX(GL!$H:$H,I1595)&lt;&gt;A1595,"BROKEN: GL points elsewhere",IF(OR(INDEX(Bank!$F:$F,B1595)&lt;&gt;"Y",INDEX(GL!$F:$F,I1595)&lt;&gt;"Y"),"BROKEN: Status not Y","OK")))))</f>
        <v/>
      </c>
    </row>
    <row r="1596" customFormat="false" ht="15" hidden="false" customHeight="false" outlineLevel="0" collapsed="false">
      <c r="A1596" s="41"/>
      <c r="B1596" s="5" t="n">
        <f aca="false">IF(A1596="",0,IFERROR(MATCH(A1596,Bank!$A:$A,0),0))</f>
        <v>0</v>
      </c>
      <c r="C1596" s="5" t="str">
        <f aca="false">IF(B1596=0,"",IF(INDEX(Bank!$G:$G,B1596)="","",INDEX(Bank!$G:$G,B1596)))</f>
        <v/>
      </c>
      <c r="D1596" s="5" t="str">
        <f aca="false">IF(B1596=0,"",IF(INDEX(Bank!$J:$J,B1596)="","",INDEX(Bank!$J:$J,B1596)))</f>
        <v/>
      </c>
      <c r="E1596" s="32" t="str">
        <f aca="false">IF(B1596=0,"",INDEX(Bank!$B:$B,B1596))</f>
        <v/>
      </c>
      <c r="F1596" s="5" t="str">
        <f aca="false">IF(B1596=0,"",IF(INDEX(Bank!$C:$C,B1596)="","",INDEX(Bank!$C:$C,B1596)))</f>
        <v/>
      </c>
      <c r="G1596" s="19" t="str">
        <f aca="false">IF(B1596=0,"",INDEX(Bank!$E:$E,B1596))</f>
        <v/>
      </c>
      <c r="H1596" s="5" t="str">
        <f aca="false">IF(B1596=0,"",IF(INDEX(Bank!$H:$H,B1596)="","",INDEX(Bank!$H:$H,B1596)))</f>
        <v/>
      </c>
      <c r="I1596" s="5" t="n">
        <f aca="false">IF(H1596="",0,IFERROR(MATCH(H1596,GL!$A:$A,0),0))</f>
        <v>0</v>
      </c>
      <c r="J1596" s="32" t="str">
        <f aca="false">IF(I1596=0,"",INDEX(GL!$B:$B,I1596))</f>
        <v/>
      </c>
      <c r="K1596" s="5" t="str">
        <f aca="false">IF(I1596=0,"",IF(INDEX(GL!$C:$C,I1596)="","",INDEX(GL!$C:$C,I1596)))</f>
        <v/>
      </c>
      <c r="L1596" s="19" t="str">
        <f aca="false">IF(I1596=0,"",INDEX(GL!$E:$E,I1596))</f>
        <v/>
      </c>
      <c r="M1596" s="19" t="str">
        <f aca="false">IF(OR(B1596=0,I1596=0),"",ROUND(G1596-L1596,2))</f>
        <v/>
      </c>
      <c r="N1596" s="5" t="str">
        <f aca="false">IF(A1596="","",IF(B1596=0,"NOT FOUND: bank ID",IF(I1596=0,"NOT FOUND: GL ID",IF(INDEX(GL!$H:$H,I1596)&lt;&gt;A1596,"BROKEN: GL points elsewhere",IF(OR(INDEX(Bank!$F:$F,B1596)&lt;&gt;"Y",INDEX(GL!$F:$F,I1596)&lt;&gt;"Y"),"BROKEN: Status not Y","OK")))))</f>
        <v/>
      </c>
    </row>
    <row r="1597" customFormat="false" ht="15" hidden="false" customHeight="false" outlineLevel="0" collapsed="false">
      <c r="A1597" s="41"/>
      <c r="B1597" s="5" t="n">
        <f aca="false">IF(A1597="",0,IFERROR(MATCH(A1597,Bank!$A:$A,0),0))</f>
        <v>0</v>
      </c>
      <c r="C1597" s="5" t="str">
        <f aca="false">IF(B1597=0,"",IF(INDEX(Bank!$G:$G,B1597)="","",INDEX(Bank!$G:$G,B1597)))</f>
        <v/>
      </c>
      <c r="D1597" s="5" t="str">
        <f aca="false">IF(B1597=0,"",IF(INDEX(Bank!$J:$J,B1597)="","",INDEX(Bank!$J:$J,B1597)))</f>
        <v/>
      </c>
      <c r="E1597" s="32" t="str">
        <f aca="false">IF(B1597=0,"",INDEX(Bank!$B:$B,B1597))</f>
        <v/>
      </c>
      <c r="F1597" s="5" t="str">
        <f aca="false">IF(B1597=0,"",IF(INDEX(Bank!$C:$C,B1597)="","",INDEX(Bank!$C:$C,B1597)))</f>
        <v/>
      </c>
      <c r="G1597" s="19" t="str">
        <f aca="false">IF(B1597=0,"",INDEX(Bank!$E:$E,B1597))</f>
        <v/>
      </c>
      <c r="H1597" s="5" t="str">
        <f aca="false">IF(B1597=0,"",IF(INDEX(Bank!$H:$H,B1597)="","",INDEX(Bank!$H:$H,B1597)))</f>
        <v/>
      </c>
      <c r="I1597" s="5" t="n">
        <f aca="false">IF(H1597="",0,IFERROR(MATCH(H1597,GL!$A:$A,0),0))</f>
        <v>0</v>
      </c>
      <c r="J1597" s="32" t="str">
        <f aca="false">IF(I1597=0,"",INDEX(GL!$B:$B,I1597))</f>
        <v/>
      </c>
      <c r="K1597" s="5" t="str">
        <f aca="false">IF(I1597=0,"",IF(INDEX(GL!$C:$C,I1597)="","",INDEX(GL!$C:$C,I1597)))</f>
        <v/>
      </c>
      <c r="L1597" s="19" t="str">
        <f aca="false">IF(I1597=0,"",INDEX(GL!$E:$E,I1597))</f>
        <v/>
      </c>
      <c r="M1597" s="19" t="str">
        <f aca="false">IF(OR(B1597=0,I1597=0),"",ROUND(G1597-L1597,2))</f>
        <v/>
      </c>
      <c r="N1597" s="5" t="str">
        <f aca="false">IF(A1597="","",IF(B1597=0,"NOT FOUND: bank ID",IF(I1597=0,"NOT FOUND: GL ID",IF(INDEX(GL!$H:$H,I1597)&lt;&gt;A1597,"BROKEN: GL points elsewhere",IF(OR(INDEX(Bank!$F:$F,B1597)&lt;&gt;"Y",INDEX(GL!$F:$F,I1597)&lt;&gt;"Y"),"BROKEN: Status not Y","OK")))))</f>
        <v/>
      </c>
    </row>
    <row r="1598" customFormat="false" ht="15" hidden="false" customHeight="false" outlineLevel="0" collapsed="false">
      <c r="A1598" s="41"/>
      <c r="B1598" s="5" t="n">
        <f aca="false">IF(A1598="",0,IFERROR(MATCH(A1598,Bank!$A:$A,0),0))</f>
        <v>0</v>
      </c>
      <c r="C1598" s="5" t="str">
        <f aca="false">IF(B1598=0,"",IF(INDEX(Bank!$G:$G,B1598)="","",INDEX(Bank!$G:$G,B1598)))</f>
        <v/>
      </c>
      <c r="D1598" s="5" t="str">
        <f aca="false">IF(B1598=0,"",IF(INDEX(Bank!$J:$J,B1598)="","",INDEX(Bank!$J:$J,B1598)))</f>
        <v/>
      </c>
      <c r="E1598" s="32" t="str">
        <f aca="false">IF(B1598=0,"",INDEX(Bank!$B:$B,B1598))</f>
        <v/>
      </c>
      <c r="F1598" s="5" t="str">
        <f aca="false">IF(B1598=0,"",IF(INDEX(Bank!$C:$C,B1598)="","",INDEX(Bank!$C:$C,B1598)))</f>
        <v/>
      </c>
      <c r="G1598" s="19" t="str">
        <f aca="false">IF(B1598=0,"",INDEX(Bank!$E:$E,B1598))</f>
        <v/>
      </c>
      <c r="H1598" s="5" t="str">
        <f aca="false">IF(B1598=0,"",IF(INDEX(Bank!$H:$H,B1598)="","",INDEX(Bank!$H:$H,B1598)))</f>
        <v/>
      </c>
      <c r="I1598" s="5" t="n">
        <f aca="false">IF(H1598="",0,IFERROR(MATCH(H1598,GL!$A:$A,0),0))</f>
        <v>0</v>
      </c>
      <c r="J1598" s="32" t="str">
        <f aca="false">IF(I1598=0,"",INDEX(GL!$B:$B,I1598))</f>
        <v/>
      </c>
      <c r="K1598" s="5" t="str">
        <f aca="false">IF(I1598=0,"",IF(INDEX(GL!$C:$C,I1598)="","",INDEX(GL!$C:$C,I1598)))</f>
        <v/>
      </c>
      <c r="L1598" s="19" t="str">
        <f aca="false">IF(I1598=0,"",INDEX(GL!$E:$E,I1598))</f>
        <v/>
      </c>
      <c r="M1598" s="19" t="str">
        <f aca="false">IF(OR(B1598=0,I1598=0),"",ROUND(G1598-L1598,2))</f>
        <v/>
      </c>
      <c r="N1598" s="5" t="str">
        <f aca="false">IF(A1598="","",IF(B1598=0,"NOT FOUND: bank ID",IF(I1598=0,"NOT FOUND: GL ID",IF(INDEX(GL!$H:$H,I1598)&lt;&gt;A1598,"BROKEN: GL points elsewhere",IF(OR(INDEX(Bank!$F:$F,B1598)&lt;&gt;"Y",INDEX(GL!$F:$F,I1598)&lt;&gt;"Y"),"BROKEN: Status not Y","OK")))))</f>
        <v/>
      </c>
    </row>
    <row r="1599" customFormat="false" ht="15" hidden="false" customHeight="false" outlineLevel="0" collapsed="false">
      <c r="A1599" s="41"/>
      <c r="B1599" s="5" t="n">
        <f aca="false">IF(A1599="",0,IFERROR(MATCH(A1599,Bank!$A:$A,0),0))</f>
        <v>0</v>
      </c>
      <c r="C1599" s="5" t="str">
        <f aca="false">IF(B1599=0,"",IF(INDEX(Bank!$G:$G,B1599)="","",INDEX(Bank!$G:$G,B1599)))</f>
        <v/>
      </c>
      <c r="D1599" s="5" t="str">
        <f aca="false">IF(B1599=0,"",IF(INDEX(Bank!$J:$J,B1599)="","",INDEX(Bank!$J:$J,B1599)))</f>
        <v/>
      </c>
      <c r="E1599" s="32" t="str">
        <f aca="false">IF(B1599=0,"",INDEX(Bank!$B:$B,B1599))</f>
        <v/>
      </c>
      <c r="F1599" s="5" t="str">
        <f aca="false">IF(B1599=0,"",IF(INDEX(Bank!$C:$C,B1599)="","",INDEX(Bank!$C:$C,B1599)))</f>
        <v/>
      </c>
      <c r="G1599" s="19" t="str">
        <f aca="false">IF(B1599=0,"",INDEX(Bank!$E:$E,B1599))</f>
        <v/>
      </c>
      <c r="H1599" s="5" t="str">
        <f aca="false">IF(B1599=0,"",IF(INDEX(Bank!$H:$H,B1599)="","",INDEX(Bank!$H:$H,B1599)))</f>
        <v/>
      </c>
      <c r="I1599" s="5" t="n">
        <f aca="false">IF(H1599="",0,IFERROR(MATCH(H1599,GL!$A:$A,0),0))</f>
        <v>0</v>
      </c>
      <c r="J1599" s="32" t="str">
        <f aca="false">IF(I1599=0,"",INDEX(GL!$B:$B,I1599))</f>
        <v/>
      </c>
      <c r="K1599" s="5" t="str">
        <f aca="false">IF(I1599=0,"",IF(INDEX(GL!$C:$C,I1599)="","",INDEX(GL!$C:$C,I1599)))</f>
        <v/>
      </c>
      <c r="L1599" s="19" t="str">
        <f aca="false">IF(I1599=0,"",INDEX(GL!$E:$E,I1599))</f>
        <v/>
      </c>
      <c r="M1599" s="19" t="str">
        <f aca="false">IF(OR(B1599=0,I1599=0),"",ROUND(G1599-L1599,2))</f>
        <v/>
      </c>
      <c r="N1599" s="5" t="str">
        <f aca="false">IF(A1599="","",IF(B1599=0,"NOT FOUND: bank ID",IF(I1599=0,"NOT FOUND: GL ID",IF(INDEX(GL!$H:$H,I1599)&lt;&gt;A1599,"BROKEN: GL points elsewhere",IF(OR(INDEX(Bank!$F:$F,B1599)&lt;&gt;"Y",INDEX(GL!$F:$F,I1599)&lt;&gt;"Y"),"BROKEN: Status not Y","OK")))))</f>
        <v/>
      </c>
    </row>
    <row r="1600" customFormat="false" ht="15" hidden="false" customHeight="false" outlineLevel="0" collapsed="false">
      <c r="A1600" s="41"/>
      <c r="B1600" s="5" t="n">
        <f aca="false">IF(A1600="",0,IFERROR(MATCH(A1600,Bank!$A:$A,0),0))</f>
        <v>0</v>
      </c>
      <c r="C1600" s="5" t="str">
        <f aca="false">IF(B1600=0,"",IF(INDEX(Bank!$G:$G,B1600)="","",INDEX(Bank!$G:$G,B1600)))</f>
        <v/>
      </c>
      <c r="D1600" s="5" t="str">
        <f aca="false">IF(B1600=0,"",IF(INDEX(Bank!$J:$J,B1600)="","",INDEX(Bank!$J:$J,B1600)))</f>
        <v/>
      </c>
      <c r="E1600" s="32" t="str">
        <f aca="false">IF(B1600=0,"",INDEX(Bank!$B:$B,B1600))</f>
        <v/>
      </c>
      <c r="F1600" s="5" t="str">
        <f aca="false">IF(B1600=0,"",IF(INDEX(Bank!$C:$C,B1600)="","",INDEX(Bank!$C:$C,B1600)))</f>
        <v/>
      </c>
      <c r="G1600" s="19" t="str">
        <f aca="false">IF(B1600=0,"",INDEX(Bank!$E:$E,B1600))</f>
        <v/>
      </c>
      <c r="H1600" s="5" t="str">
        <f aca="false">IF(B1600=0,"",IF(INDEX(Bank!$H:$H,B1600)="","",INDEX(Bank!$H:$H,B1600)))</f>
        <v/>
      </c>
      <c r="I1600" s="5" t="n">
        <f aca="false">IF(H1600="",0,IFERROR(MATCH(H1600,GL!$A:$A,0),0))</f>
        <v>0</v>
      </c>
      <c r="J1600" s="32" t="str">
        <f aca="false">IF(I1600=0,"",INDEX(GL!$B:$B,I1600))</f>
        <v/>
      </c>
      <c r="K1600" s="5" t="str">
        <f aca="false">IF(I1600=0,"",IF(INDEX(GL!$C:$C,I1600)="","",INDEX(GL!$C:$C,I1600)))</f>
        <v/>
      </c>
      <c r="L1600" s="19" t="str">
        <f aca="false">IF(I1600=0,"",INDEX(GL!$E:$E,I1600))</f>
        <v/>
      </c>
      <c r="M1600" s="19" t="str">
        <f aca="false">IF(OR(B1600=0,I1600=0),"",ROUND(G1600-L1600,2))</f>
        <v/>
      </c>
      <c r="N1600" s="5" t="str">
        <f aca="false">IF(A1600="","",IF(B1600=0,"NOT FOUND: bank ID",IF(I1600=0,"NOT FOUND: GL ID",IF(INDEX(GL!$H:$H,I1600)&lt;&gt;A1600,"BROKEN: GL points elsewhere",IF(OR(INDEX(Bank!$F:$F,B1600)&lt;&gt;"Y",INDEX(GL!$F:$F,I1600)&lt;&gt;"Y"),"BROKEN: Status not Y","OK")))))</f>
        <v/>
      </c>
    </row>
    <row r="1601" customFormat="false" ht="15" hidden="false" customHeight="false" outlineLevel="0" collapsed="false">
      <c r="A1601" s="41"/>
      <c r="B1601" s="5" t="n">
        <f aca="false">IF(A1601="",0,IFERROR(MATCH(A1601,Bank!$A:$A,0),0))</f>
        <v>0</v>
      </c>
      <c r="C1601" s="5" t="str">
        <f aca="false">IF(B1601=0,"",IF(INDEX(Bank!$G:$G,B1601)="","",INDEX(Bank!$G:$G,B1601)))</f>
        <v/>
      </c>
      <c r="D1601" s="5" t="str">
        <f aca="false">IF(B1601=0,"",IF(INDEX(Bank!$J:$J,B1601)="","",INDEX(Bank!$J:$J,B1601)))</f>
        <v/>
      </c>
      <c r="E1601" s="32" t="str">
        <f aca="false">IF(B1601=0,"",INDEX(Bank!$B:$B,B1601))</f>
        <v/>
      </c>
      <c r="F1601" s="5" t="str">
        <f aca="false">IF(B1601=0,"",IF(INDEX(Bank!$C:$C,B1601)="","",INDEX(Bank!$C:$C,B1601)))</f>
        <v/>
      </c>
      <c r="G1601" s="19" t="str">
        <f aca="false">IF(B1601=0,"",INDEX(Bank!$E:$E,B1601))</f>
        <v/>
      </c>
      <c r="H1601" s="5" t="str">
        <f aca="false">IF(B1601=0,"",IF(INDEX(Bank!$H:$H,B1601)="","",INDEX(Bank!$H:$H,B1601)))</f>
        <v/>
      </c>
      <c r="I1601" s="5" t="n">
        <f aca="false">IF(H1601="",0,IFERROR(MATCH(H1601,GL!$A:$A,0),0))</f>
        <v>0</v>
      </c>
      <c r="J1601" s="32" t="str">
        <f aca="false">IF(I1601=0,"",INDEX(GL!$B:$B,I1601))</f>
        <v/>
      </c>
      <c r="K1601" s="5" t="str">
        <f aca="false">IF(I1601=0,"",IF(INDEX(GL!$C:$C,I1601)="","",INDEX(GL!$C:$C,I1601)))</f>
        <v/>
      </c>
      <c r="L1601" s="19" t="str">
        <f aca="false">IF(I1601=0,"",INDEX(GL!$E:$E,I1601))</f>
        <v/>
      </c>
      <c r="M1601" s="19" t="str">
        <f aca="false">IF(OR(B1601=0,I1601=0),"",ROUND(G1601-L1601,2))</f>
        <v/>
      </c>
      <c r="N1601" s="5" t="str">
        <f aca="false">IF(A1601="","",IF(B1601=0,"NOT FOUND: bank ID",IF(I1601=0,"NOT FOUND: GL ID",IF(INDEX(GL!$H:$H,I1601)&lt;&gt;A1601,"BROKEN: GL points elsewhere",IF(OR(INDEX(Bank!$F:$F,B1601)&lt;&gt;"Y",INDEX(GL!$F:$F,I1601)&lt;&gt;"Y"),"BROKEN: Status not Y","OK")))))</f>
        <v/>
      </c>
    </row>
    <row r="1602" customFormat="false" ht="15" hidden="false" customHeight="false" outlineLevel="0" collapsed="false">
      <c r="A1602" s="41"/>
      <c r="B1602" s="5" t="n">
        <f aca="false">IF(A1602="",0,IFERROR(MATCH(A1602,Bank!$A:$A,0),0))</f>
        <v>0</v>
      </c>
      <c r="C1602" s="5" t="str">
        <f aca="false">IF(B1602=0,"",IF(INDEX(Bank!$G:$G,B1602)="","",INDEX(Bank!$G:$G,B1602)))</f>
        <v/>
      </c>
      <c r="D1602" s="5" t="str">
        <f aca="false">IF(B1602=0,"",IF(INDEX(Bank!$J:$J,B1602)="","",INDEX(Bank!$J:$J,B1602)))</f>
        <v/>
      </c>
      <c r="E1602" s="32" t="str">
        <f aca="false">IF(B1602=0,"",INDEX(Bank!$B:$B,B1602))</f>
        <v/>
      </c>
      <c r="F1602" s="5" t="str">
        <f aca="false">IF(B1602=0,"",IF(INDEX(Bank!$C:$C,B1602)="","",INDEX(Bank!$C:$C,B1602)))</f>
        <v/>
      </c>
      <c r="G1602" s="19" t="str">
        <f aca="false">IF(B1602=0,"",INDEX(Bank!$E:$E,B1602))</f>
        <v/>
      </c>
      <c r="H1602" s="5" t="str">
        <f aca="false">IF(B1602=0,"",IF(INDEX(Bank!$H:$H,B1602)="","",INDEX(Bank!$H:$H,B1602)))</f>
        <v/>
      </c>
      <c r="I1602" s="5" t="n">
        <f aca="false">IF(H1602="",0,IFERROR(MATCH(H1602,GL!$A:$A,0),0))</f>
        <v>0</v>
      </c>
      <c r="J1602" s="32" t="str">
        <f aca="false">IF(I1602=0,"",INDEX(GL!$B:$B,I1602))</f>
        <v/>
      </c>
      <c r="K1602" s="5" t="str">
        <f aca="false">IF(I1602=0,"",IF(INDEX(GL!$C:$C,I1602)="","",INDEX(GL!$C:$C,I1602)))</f>
        <v/>
      </c>
      <c r="L1602" s="19" t="str">
        <f aca="false">IF(I1602=0,"",INDEX(GL!$E:$E,I1602))</f>
        <v/>
      </c>
      <c r="M1602" s="19" t="str">
        <f aca="false">IF(OR(B1602=0,I1602=0),"",ROUND(G1602-L1602,2))</f>
        <v/>
      </c>
      <c r="N1602" s="5" t="str">
        <f aca="false">IF(A1602="","",IF(B1602=0,"NOT FOUND: bank ID",IF(I1602=0,"NOT FOUND: GL ID",IF(INDEX(GL!$H:$H,I1602)&lt;&gt;A1602,"BROKEN: GL points elsewhere",IF(OR(INDEX(Bank!$F:$F,B1602)&lt;&gt;"Y",INDEX(GL!$F:$F,I1602)&lt;&gt;"Y"),"BROKEN: Status not Y","OK")))))</f>
        <v/>
      </c>
    </row>
    <row r="1603" customFormat="false" ht="15" hidden="false" customHeight="false" outlineLevel="0" collapsed="false">
      <c r="A1603" s="41"/>
      <c r="B1603" s="5" t="n">
        <f aca="false">IF(A1603="",0,IFERROR(MATCH(A1603,Bank!$A:$A,0),0))</f>
        <v>0</v>
      </c>
      <c r="C1603" s="5" t="str">
        <f aca="false">IF(B1603=0,"",IF(INDEX(Bank!$G:$G,B1603)="","",INDEX(Bank!$G:$G,B1603)))</f>
        <v/>
      </c>
      <c r="D1603" s="5" t="str">
        <f aca="false">IF(B1603=0,"",IF(INDEX(Bank!$J:$J,B1603)="","",INDEX(Bank!$J:$J,B1603)))</f>
        <v/>
      </c>
      <c r="E1603" s="32" t="str">
        <f aca="false">IF(B1603=0,"",INDEX(Bank!$B:$B,B1603))</f>
        <v/>
      </c>
      <c r="F1603" s="5" t="str">
        <f aca="false">IF(B1603=0,"",IF(INDEX(Bank!$C:$C,B1603)="","",INDEX(Bank!$C:$C,B1603)))</f>
        <v/>
      </c>
      <c r="G1603" s="19" t="str">
        <f aca="false">IF(B1603=0,"",INDEX(Bank!$E:$E,B1603))</f>
        <v/>
      </c>
      <c r="H1603" s="5" t="str">
        <f aca="false">IF(B1603=0,"",IF(INDEX(Bank!$H:$H,B1603)="","",INDEX(Bank!$H:$H,B1603)))</f>
        <v/>
      </c>
      <c r="I1603" s="5" t="n">
        <f aca="false">IF(H1603="",0,IFERROR(MATCH(H1603,GL!$A:$A,0),0))</f>
        <v>0</v>
      </c>
      <c r="J1603" s="32" t="str">
        <f aca="false">IF(I1603=0,"",INDEX(GL!$B:$B,I1603))</f>
        <v/>
      </c>
      <c r="K1603" s="5" t="str">
        <f aca="false">IF(I1603=0,"",IF(INDEX(GL!$C:$C,I1603)="","",INDEX(GL!$C:$C,I1603)))</f>
        <v/>
      </c>
      <c r="L1603" s="19" t="str">
        <f aca="false">IF(I1603=0,"",INDEX(GL!$E:$E,I1603))</f>
        <v/>
      </c>
      <c r="M1603" s="19" t="str">
        <f aca="false">IF(OR(B1603=0,I1603=0),"",ROUND(G1603-L1603,2))</f>
        <v/>
      </c>
      <c r="N1603" s="5" t="str">
        <f aca="false">IF(A1603="","",IF(B1603=0,"NOT FOUND: bank ID",IF(I1603=0,"NOT FOUND: GL ID",IF(INDEX(GL!$H:$H,I1603)&lt;&gt;A1603,"BROKEN: GL points elsewhere",IF(OR(INDEX(Bank!$F:$F,B1603)&lt;&gt;"Y",INDEX(GL!$F:$F,I1603)&lt;&gt;"Y"),"BROKEN: Status not Y","OK")))))</f>
        <v/>
      </c>
    </row>
    <row r="1604" customFormat="false" ht="15" hidden="false" customHeight="false" outlineLevel="0" collapsed="false">
      <c r="A1604" s="41"/>
      <c r="B1604" s="5" t="n">
        <f aca="false">IF(A1604="",0,IFERROR(MATCH(A1604,Bank!$A:$A,0),0))</f>
        <v>0</v>
      </c>
      <c r="C1604" s="5" t="str">
        <f aca="false">IF(B1604=0,"",IF(INDEX(Bank!$G:$G,B1604)="","",INDEX(Bank!$G:$G,B1604)))</f>
        <v/>
      </c>
      <c r="D1604" s="5" t="str">
        <f aca="false">IF(B1604=0,"",IF(INDEX(Bank!$J:$J,B1604)="","",INDEX(Bank!$J:$J,B1604)))</f>
        <v/>
      </c>
      <c r="E1604" s="32" t="str">
        <f aca="false">IF(B1604=0,"",INDEX(Bank!$B:$B,B1604))</f>
        <v/>
      </c>
      <c r="F1604" s="5" t="str">
        <f aca="false">IF(B1604=0,"",IF(INDEX(Bank!$C:$C,B1604)="","",INDEX(Bank!$C:$C,B1604)))</f>
        <v/>
      </c>
      <c r="G1604" s="19" t="str">
        <f aca="false">IF(B1604=0,"",INDEX(Bank!$E:$E,B1604))</f>
        <v/>
      </c>
      <c r="H1604" s="5" t="str">
        <f aca="false">IF(B1604=0,"",IF(INDEX(Bank!$H:$H,B1604)="","",INDEX(Bank!$H:$H,B1604)))</f>
        <v/>
      </c>
      <c r="I1604" s="5" t="n">
        <f aca="false">IF(H1604="",0,IFERROR(MATCH(H1604,GL!$A:$A,0),0))</f>
        <v>0</v>
      </c>
      <c r="J1604" s="32" t="str">
        <f aca="false">IF(I1604=0,"",INDEX(GL!$B:$B,I1604))</f>
        <v/>
      </c>
      <c r="K1604" s="5" t="str">
        <f aca="false">IF(I1604=0,"",IF(INDEX(GL!$C:$C,I1604)="","",INDEX(GL!$C:$C,I1604)))</f>
        <v/>
      </c>
      <c r="L1604" s="19" t="str">
        <f aca="false">IF(I1604=0,"",INDEX(GL!$E:$E,I1604))</f>
        <v/>
      </c>
      <c r="M1604" s="19" t="str">
        <f aca="false">IF(OR(B1604=0,I1604=0),"",ROUND(G1604-L1604,2))</f>
        <v/>
      </c>
      <c r="N1604" s="5" t="str">
        <f aca="false">IF(A1604="","",IF(B1604=0,"NOT FOUND: bank ID",IF(I1604=0,"NOT FOUND: GL ID",IF(INDEX(GL!$H:$H,I1604)&lt;&gt;A1604,"BROKEN: GL points elsewhere",IF(OR(INDEX(Bank!$F:$F,B1604)&lt;&gt;"Y",INDEX(GL!$F:$F,I1604)&lt;&gt;"Y"),"BROKEN: Status not Y","OK")))))</f>
        <v/>
      </c>
    </row>
    <row r="1605" customFormat="false" ht="15" hidden="false" customHeight="false" outlineLevel="0" collapsed="false">
      <c r="A1605" s="41"/>
      <c r="B1605" s="5" t="n">
        <f aca="false">IF(A1605="",0,IFERROR(MATCH(A1605,Bank!$A:$A,0),0))</f>
        <v>0</v>
      </c>
      <c r="C1605" s="5" t="str">
        <f aca="false">IF(B1605=0,"",IF(INDEX(Bank!$G:$G,B1605)="","",INDEX(Bank!$G:$G,B1605)))</f>
        <v/>
      </c>
      <c r="D1605" s="5" t="str">
        <f aca="false">IF(B1605=0,"",IF(INDEX(Bank!$J:$J,B1605)="","",INDEX(Bank!$J:$J,B1605)))</f>
        <v/>
      </c>
      <c r="E1605" s="32" t="str">
        <f aca="false">IF(B1605=0,"",INDEX(Bank!$B:$B,B1605))</f>
        <v/>
      </c>
      <c r="F1605" s="5" t="str">
        <f aca="false">IF(B1605=0,"",IF(INDEX(Bank!$C:$C,B1605)="","",INDEX(Bank!$C:$C,B1605)))</f>
        <v/>
      </c>
      <c r="G1605" s="19" t="str">
        <f aca="false">IF(B1605=0,"",INDEX(Bank!$E:$E,B1605))</f>
        <v/>
      </c>
      <c r="H1605" s="5" t="str">
        <f aca="false">IF(B1605=0,"",IF(INDEX(Bank!$H:$H,B1605)="","",INDEX(Bank!$H:$H,B1605)))</f>
        <v/>
      </c>
      <c r="I1605" s="5" t="n">
        <f aca="false">IF(H1605="",0,IFERROR(MATCH(H1605,GL!$A:$A,0),0))</f>
        <v>0</v>
      </c>
      <c r="J1605" s="32" t="str">
        <f aca="false">IF(I1605=0,"",INDEX(GL!$B:$B,I1605))</f>
        <v/>
      </c>
      <c r="K1605" s="5" t="str">
        <f aca="false">IF(I1605=0,"",IF(INDEX(GL!$C:$C,I1605)="","",INDEX(GL!$C:$C,I1605)))</f>
        <v/>
      </c>
      <c r="L1605" s="19" t="str">
        <f aca="false">IF(I1605=0,"",INDEX(GL!$E:$E,I1605))</f>
        <v/>
      </c>
      <c r="M1605" s="19" t="str">
        <f aca="false">IF(OR(B1605=0,I1605=0),"",ROUND(G1605-L1605,2))</f>
        <v/>
      </c>
      <c r="N1605" s="5" t="str">
        <f aca="false">IF(A1605="","",IF(B1605=0,"NOT FOUND: bank ID",IF(I1605=0,"NOT FOUND: GL ID",IF(INDEX(GL!$H:$H,I1605)&lt;&gt;A1605,"BROKEN: GL points elsewhere",IF(OR(INDEX(Bank!$F:$F,B1605)&lt;&gt;"Y",INDEX(GL!$F:$F,I1605)&lt;&gt;"Y"),"BROKEN: Status not Y","OK")))))</f>
        <v/>
      </c>
    </row>
    <row r="1606" customFormat="false" ht="15" hidden="false" customHeight="false" outlineLevel="0" collapsed="false">
      <c r="A1606" s="41"/>
      <c r="B1606" s="5" t="n">
        <f aca="false">IF(A1606="",0,IFERROR(MATCH(A1606,Bank!$A:$A,0),0))</f>
        <v>0</v>
      </c>
      <c r="C1606" s="5" t="str">
        <f aca="false">IF(B1606=0,"",IF(INDEX(Bank!$G:$G,B1606)="","",INDEX(Bank!$G:$G,B1606)))</f>
        <v/>
      </c>
      <c r="D1606" s="5" t="str">
        <f aca="false">IF(B1606=0,"",IF(INDEX(Bank!$J:$J,B1606)="","",INDEX(Bank!$J:$J,B1606)))</f>
        <v/>
      </c>
      <c r="E1606" s="32" t="str">
        <f aca="false">IF(B1606=0,"",INDEX(Bank!$B:$B,B1606))</f>
        <v/>
      </c>
      <c r="F1606" s="5" t="str">
        <f aca="false">IF(B1606=0,"",IF(INDEX(Bank!$C:$C,B1606)="","",INDEX(Bank!$C:$C,B1606)))</f>
        <v/>
      </c>
      <c r="G1606" s="19" t="str">
        <f aca="false">IF(B1606=0,"",INDEX(Bank!$E:$E,B1606))</f>
        <v/>
      </c>
      <c r="H1606" s="5" t="str">
        <f aca="false">IF(B1606=0,"",IF(INDEX(Bank!$H:$H,B1606)="","",INDEX(Bank!$H:$H,B1606)))</f>
        <v/>
      </c>
      <c r="I1606" s="5" t="n">
        <f aca="false">IF(H1606="",0,IFERROR(MATCH(H1606,GL!$A:$A,0),0))</f>
        <v>0</v>
      </c>
      <c r="J1606" s="32" t="str">
        <f aca="false">IF(I1606=0,"",INDEX(GL!$B:$B,I1606))</f>
        <v/>
      </c>
      <c r="K1606" s="5" t="str">
        <f aca="false">IF(I1606=0,"",IF(INDEX(GL!$C:$C,I1606)="","",INDEX(GL!$C:$C,I1606)))</f>
        <v/>
      </c>
      <c r="L1606" s="19" t="str">
        <f aca="false">IF(I1606=0,"",INDEX(GL!$E:$E,I1606))</f>
        <v/>
      </c>
      <c r="M1606" s="19" t="str">
        <f aca="false">IF(OR(B1606=0,I1606=0),"",ROUND(G1606-L1606,2))</f>
        <v/>
      </c>
      <c r="N1606" s="5" t="str">
        <f aca="false">IF(A1606="","",IF(B1606=0,"NOT FOUND: bank ID",IF(I1606=0,"NOT FOUND: GL ID",IF(INDEX(GL!$H:$H,I1606)&lt;&gt;A1606,"BROKEN: GL points elsewhere",IF(OR(INDEX(Bank!$F:$F,B1606)&lt;&gt;"Y",INDEX(GL!$F:$F,I1606)&lt;&gt;"Y"),"BROKEN: Status not Y","OK")))))</f>
        <v/>
      </c>
    </row>
    <row r="1607" customFormat="false" ht="15" hidden="false" customHeight="false" outlineLevel="0" collapsed="false">
      <c r="A1607" s="41"/>
      <c r="B1607" s="5" t="n">
        <f aca="false">IF(A1607="",0,IFERROR(MATCH(A1607,Bank!$A:$A,0),0))</f>
        <v>0</v>
      </c>
      <c r="C1607" s="5" t="str">
        <f aca="false">IF(B1607=0,"",IF(INDEX(Bank!$G:$G,B1607)="","",INDEX(Bank!$G:$G,B1607)))</f>
        <v/>
      </c>
      <c r="D1607" s="5" t="str">
        <f aca="false">IF(B1607=0,"",IF(INDEX(Bank!$J:$J,B1607)="","",INDEX(Bank!$J:$J,B1607)))</f>
        <v/>
      </c>
      <c r="E1607" s="32" t="str">
        <f aca="false">IF(B1607=0,"",INDEX(Bank!$B:$B,B1607))</f>
        <v/>
      </c>
      <c r="F1607" s="5" t="str">
        <f aca="false">IF(B1607=0,"",IF(INDEX(Bank!$C:$C,B1607)="","",INDEX(Bank!$C:$C,B1607)))</f>
        <v/>
      </c>
      <c r="G1607" s="19" t="str">
        <f aca="false">IF(B1607=0,"",INDEX(Bank!$E:$E,B1607))</f>
        <v/>
      </c>
      <c r="H1607" s="5" t="str">
        <f aca="false">IF(B1607=0,"",IF(INDEX(Bank!$H:$H,B1607)="","",INDEX(Bank!$H:$H,B1607)))</f>
        <v/>
      </c>
      <c r="I1607" s="5" t="n">
        <f aca="false">IF(H1607="",0,IFERROR(MATCH(H1607,GL!$A:$A,0),0))</f>
        <v>0</v>
      </c>
      <c r="J1607" s="32" t="str">
        <f aca="false">IF(I1607=0,"",INDEX(GL!$B:$B,I1607))</f>
        <v/>
      </c>
      <c r="K1607" s="5" t="str">
        <f aca="false">IF(I1607=0,"",IF(INDEX(GL!$C:$C,I1607)="","",INDEX(GL!$C:$C,I1607)))</f>
        <v/>
      </c>
      <c r="L1607" s="19" t="str">
        <f aca="false">IF(I1607=0,"",INDEX(GL!$E:$E,I1607))</f>
        <v/>
      </c>
      <c r="M1607" s="19" t="str">
        <f aca="false">IF(OR(B1607=0,I1607=0),"",ROUND(G1607-L1607,2))</f>
        <v/>
      </c>
      <c r="N1607" s="5" t="str">
        <f aca="false">IF(A1607="","",IF(B1607=0,"NOT FOUND: bank ID",IF(I1607=0,"NOT FOUND: GL ID",IF(INDEX(GL!$H:$H,I1607)&lt;&gt;A1607,"BROKEN: GL points elsewhere",IF(OR(INDEX(Bank!$F:$F,B1607)&lt;&gt;"Y",INDEX(GL!$F:$F,I1607)&lt;&gt;"Y"),"BROKEN: Status not Y","OK")))))</f>
        <v/>
      </c>
    </row>
    <row r="1608" customFormat="false" ht="15" hidden="false" customHeight="false" outlineLevel="0" collapsed="false">
      <c r="A1608" s="41"/>
      <c r="B1608" s="5" t="n">
        <f aca="false">IF(A1608="",0,IFERROR(MATCH(A1608,Bank!$A:$A,0),0))</f>
        <v>0</v>
      </c>
      <c r="C1608" s="5" t="str">
        <f aca="false">IF(B1608=0,"",IF(INDEX(Bank!$G:$G,B1608)="","",INDEX(Bank!$G:$G,B1608)))</f>
        <v/>
      </c>
      <c r="D1608" s="5" t="str">
        <f aca="false">IF(B1608=0,"",IF(INDEX(Bank!$J:$J,B1608)="","",INDEX(Bank!$J:$J,B1608)))</f>
        <v/>
      </c>
      <c r="E1608" s="32" t="str">
        <f aca="false">IF(B1608=0,"",INDEX(Bank!$B:$B,B1608))</f>
        <v/>
      </c>
      <c r="F1608" s="5" t="str">
        <f aca="false">IF(B1608=0,"",IF(INDEX(Bank!$C:$C,B1608)="","",INDEX(Bank!$C:$C,B1608)))</f>
        <v/>
      </c>
      <c r="G1608" s="19" t="str">
        <f aca="false">IF(B1608=0,"",INDEX(Bank!$E:$E,B1608))</f>
        <v/>
      </c>
      <c r="H1608" s="5" t="str">
        <f aca="false">IF(B1608=0,"",IF(INDEX(Bank!$H:$H,B1608)="","",INDEX(Bank!$H:$H,B1608)))</f>
        <v/>
      </c>
      <c r="I1608" s="5" t="n">
        <f aca="false">IF(H1608="",0,IFERROR(MATCH(H1608,GL!$A:$A,0),0))</f>
        <v>0</v>
      </c>
      <c r="J1608" s="32" t="str">
        <f aca="false">IF(I1608=0,"",INDEX(GL!$B:$B,I1608))</f>
        <v/>
      </c>
      <c r="K1608" s="5" t="str">
        <f aca="false">IF(I1608=0,"",IF(INDEX(GL!$C:$C,I1608)="","",INDEX(GL!$C:$C,I1608)))</f>
        <v/>
      </c>
      <c r="L1608" s="19" t="str">
        <f aca="false">IF(I1608=0,"",INDEX(GL!$E:$E,I1608))</f>
        <v/>
      </c>
      <c r="M1608" s="19" t="str">
        <f aca="false">IF(OR(B1608=0,I1608=0),"",ROUND(G1608-L1608,2))</f>
        <v/>
      </c>
      <c r="N1608" s="5" t="str">
        <f aca="false">IF(A1608="","",IF(B1608=0,"NOT FOUND: bank ID",IF(I1608=0,"NOT FOUND: GL ID",IF(INDEX(GL!$H:$H,I1608)&lt;&gt;A1608,"BROKEN: GL points elsewhere",IF(OR(INDEX(Bank!$F:$F,B1608)&lt;&gt;"Y",INDEX(GL!$F:$F,I1608)&lt;&gt;"Y"),"BROKEN: Status not Y","OK")))))</f>
        <v/>
      </c>
    </row>
    <row r="1609" customFormat="false" ht="15" hidden="false" customHeight="false" outlineLevel="0" collapsed="false">
      <c r="A1609" s="41"/>
      <c r="B1609" s="5" t="n">
        <f aca="false">IF(A1609="",0,IFERROR(MATCH(A1609,Bank!$A:$A,0),0))</f>
        <v>0</v>
      </c>
      <c r="C1609" s="5" t="str">
        <f aca="false">IF(B1609=0,"",IF(INDEX(Bank!$G:$G,B1609)="","",INDEX(Bank!$G:$G,B1609)))</f>
        <v/>
      </c>
      <c r="D1609" s="5" t="str">
        <f aca="false">IF(B1609=0,"",IF(INDEX(Bank!$J:$J,B1609)="","",INDEX(Bank!$J:$J,B1609)))</f>
        <v/>
      </c>
      <c r="E1609" s="32" t="str">
        <f aca="false">IF(B1609=0,"",INDEX(Bank!$B:$B,B1609))</f>
        <v/>
      </c>
      <c r="F1609" s="5" t="str">
        <f aca="false">IF(B1609=0,"",IF(INDEX(Bank!$C:$C,B1609)="","",INDEX(Bank!$C:$C,B1609)))</f>
        <v/>
      </c>
      <c r="G1609" s="19" t="str">
        <f aca="false">IF(B1609=0,"",INDEX(Bank!$E:$E,B1609))</f>
        <v/>
      </c>
      <c r="H1609" s="5" t="str">
        <f aca="false">IF(B1609=0,"",IF(INDEX(Bank!$H:$H,B1609)="","",INDEX(Bank!$H:$H,B1609)))</f>
        <v/>
      </c>
      <c r="I1609" s="5" t="n">
        <f aca="false">IF(H1609="",0,IFERROR(MATCH(H1609,GL!$A:$A,0),0))</f>
        <v>0</v>
      </c>
      <c r="J1609" s="32" t="str">
        <f aca="false">IF(I1609=0,"",INDEX(GL!$B:$B,I1609))</f>
        <v/>
      </c>
      <c r="K1609" s="5" t="str">
        <f aca="false">IF(I1609=0,"",IF(INDEX(GL!$C:$C,I1609)="","",INDEX(GL!$C:$C,I1609)))</f>
        <v/>
      </c>
      <c r="L1609" s="19" t="str">
        <f aca="false">IF(I1609=0,"",INDEX(GL!$E:$E,I1609))</f>
        <v/>
      </c>
      <c r="M1609" s="19" t="str">
        <f aca="false">IF(OR(B1609=0,I1609=0),"",ROUND(G1609-L1609,2))</f>
        <v/>
      </c>
      <c r="N1609" s="5" t="str">
        <f aca="false">IF(A1609="","",IF(B1609=0,"NOT FOUND: bank ID",IF(I1609=0,"NOT FOUND: GL ID",IF(INDEX(GL!$H:$H,I1609)&lt;&gt;A1609,"BROKEN: GL points elsewhere",IF(OR(INDEX(Bank!$F:$F,B1609)&lt;&gt;"Y",INDEX(GL!$F:$F,I1609)&lt;&gt;"Y"),"BROKEN: Status not Y","OK")))))</f>
        <v/>
      </c>
    </row>
    <row r="1610" customFormat="false" ht="15" hidden="false" customHeight="false" outlineLevel="0" collapsed="false">
      <c r="A1610" s="41"/>
      <c r="B1610" s="5" t="n">
        <f aca="false">IF(A1610="",0,IFERROR(MATCH(A1610,Bank!$A:$A,0),0))</f>
        <v>0</v>
      </c>
      <c r="C1610" s="5" t="str">
        <f aca="false">IF(B1610=0,"",IF(INDEX(Bank!$G:$G,B1610)="","",INDEX(Bank!$G:$G,B1610)))</f>
        <v/>
      </c>
      <c r="D1610" s="5" t="str">
        <f aca="false">IF(B1610=0,"",IF(INDEX(Bank!$J:$J,B1610)="","",INDEX(Bank!$J:$J,B1610)))</f>
        <v/>
      </c>
      <c r="E1610" s="32" t="str">
        <f aca="false">IF(B1610=0,"",INDEX(Bank!$B:$B,B1610))</f>
        <v/>
      </c>
      <c r="F1610" s="5" t="str">
        <f aca="false">IF(B1610=0,"",IF(INDEX(Bank!$C:$C,B1610)="","",INDEX(Bank!$C:$C,B1610)))</f>
        <v/>
      </c>
      <c r="G1610" s="19" t="str">
        <f aca="false">IF(B1610=0,"",INDEX(Bank!$E:$E,B1610))</f>
        <v/>
      </c>
      <c r="H1610" s="5" t="str">
        <f aca="false">IF(B1610=0,"",IF(INDEX(Bank!$H:$H,B1610)="","",INDEX(Bank!$H:$H,B1610)))</f>
        <v/>
      </c>
      <c r="I1610" s="5" t="n">
        <f aca="false">IF(H1610="",0,IFERROR(MATCH(H1610,GL!$A:$A,0),0))</f>
        <v>0</v>
      </c>
      <c r="J1610" s="32" t="str">
        <f aca="false">IF(I1610=0,"",INDEX(GL!$B:$B,I1610))</f>
        <v/>
      </c>
      <c r="K1610" s="5" t="str">
        <f aca="false">IF(I1610=0,"",IF(INDEX(GL!$C:$C,I1610)="","",INDEX(GL!$C:$C,I1610)))</f>
        <v/>
      </c>
      <c r="L1610" s="19" t="str">
        <f aca="false">IF(I1610=0,"",INDEX(GL!$E:$E,I1610))</f>
        <v/>
      </c>
      <c r="M1610" s="19" t="str">
        <f aca="false">IF(OR(B1610=0,I1610=0),"",ROUND(G1610-L1610,2))</f>
        <v/>
      </c>
      <c r="N1610" s="5" t="str">
        <f aca="false">IF(A1610="","",IF(B1610=0,"NOT FOUND: bank ID",IF(I1610=0,"NOT FOUND: GL ID",IF(INDEX(GL!$H:$H,I1610)&lt;&gt;A1610,"BROKEN: GL points elsewhere",IF(OR(INDEX(Bank!$F:$F,B1610)&lt;&gt;"Y",INDEX(GL!$F:$F,I1610)&lt;&gt;"Y"),"BROKEN: Status not Y","OK")))))</f>
        <v/>
      </c>
    </row>
    <row r="1611" customFormat="false" ht="15" hidden="false" customHeight="false" outlineLevel="0" collapsed="false">
      <c r="A1611" s="41"/>
      <c r="B1611" s="5" t="n">
        <f aca="false">IF(A1611="",0,IFERROR(MATCH(A1611,Bank!$A:$A,0),0))</f>
        <v>0</v>
      </c>
      <c r="C1611" s="5" t="str">
        <f aca="false">IF(B1611=0,"",IF(INDEX(Bank!$G:$G,B1611)="","",INDEX(Bank!$G:$G,B1611)))</f>
        <v/>
      </c>
      <c r="D1611" s="5" t="str">
        <f aca="false">IF(B1611=0,"",IF(INDEX(Bank!$J:$J,B1611)="","",INDEX(Bank!$J:$J,B1611)))</f>
        <v/>
      </c>
      <c r="E1611" s="32" t="str">
        <f aca="false">IF(B1611=0,"",INDEX(Bank!$B:$B,B1611))</f>
        <v/>
      </c>
      <c r="F1611" s="5" t="str">
        <f aca="false">IF(B1611=0,"",IF(INDEX(Bank!$C:$C,B1611)="","",INDEX(Bank!$C:$C,B1611)))</f>
        <v/>
      </c>
      <c r="G1611" s="19" t="str">
        <f aca="false">IF(B1611=0,"",INDEX(Bank!$E:$E,B1611))</f>
        <v/>
      </c>
      <c r="H1611" s="5" t="str">
        <f aca="false">IF(B1611=0,"",IF(INDEX(Bank!$H:$H,B1611)="","",INDEX(Bank!$H:$H,B1611)))</f>
        <v/>
      </c>
      <c r="I1611" s="5" t="n">
        <f aca="false">IF(H1611="",0,IFERROR(MATCH(H1611,GL!$A:$A,0),0))</f>
        <v>0</v>
      </c>
      <c r="J1611" s="32" t="str">
        <f aca="false">IF(I1611=0,"",INDEX(GL!$B:$B,I1611))</f>
        <v/>
      </c>
      <c r="K1611" s="5" t="str">
        <f aca="false">IF(I1611=0,"",IF(INDEX(GL!$C:$C,I1611)="","",INDEX(GL!$C:$C,I1611)))</f>
        <v/>
      </c>
      <c r="L1611" s="19" t="str">
        <f aca="false">IF(I1611=0,"",INDEX(GL!$E:$E,I1611))</f>
        <v/>
      </c>
      <c r="M1611" s="19" t="str">
        <f aca="false">IF(OR(B1611=0,I1611=0),"",ROUND(G1611-L1611,2))</f>
        <v/>
      </c>
      <c r="N1611" s="5" t="str">
        <f aca="false">IF(A1611="","",IF(B1611=0,"NOT FOUND: bank ID",IF(I1611=0,"NOT FOUND: GL ID",IF(INDEX(GL!$H:$H,I1611)&lt;&gt;A1611,"BROKEN: GL points elsewhere",IF(OR(INDEX(Bank!$F:$F,B1611)&lt;&gt;"Y",INDEX(GL!$F:$F,I1611)&lt;&gt;"Y"),"BROKEN: Status not Y","OK")))))</f>
        <v/>
      </c>
    </row>
    <row r="1612" customFormat="false" ht="15" hidden="false" customHeight="false" outlineLevel="0" collapsed="false">
      <c r="A1612" s="41"/>
      <c r="B1612" s="5" t="n">
        <f aca="false">IF(A1612="",0,IFERROR(MATCH(A1612,Bank!$A:$A,0),0))</f>
        <v>0</v>
      </c>
      <c r="C1612" s="5" t="str">
        <f aca="false">IF(B1612=0,"",IF(INDEX(Bank!$G:$G,B1612)="","",INDEX(Bank!$G:$G,B1612)))</f>
        <v/>
      </c>
      <c r="D1612" s="5" t="str">
        <f aca="false">IF(B1612=0,"",IF(INDEX(Bank!$J:$J,B1612)="","",INDEX(Bank!$J:$J,B1612)))</f>
        <v/>
      </c>
      <c r="E1612" s="32" t="str">
        <f aca="false">IF(B1612=0,"",INDEX(Bank!$B:$B,B1612))</f>
        <v/>
      </c>
      <c r="F1612" s="5" t="str">
        <f aca="false">IF(B1612=0,"",IF(INDEX(Bank!$C:$C,B1612)="","",INDEX(Bank!$C:$C,B1612)))</f>
        <v/>
      </c>
      <c r="G1612" s="19" t="str">
        <f aca="false">IF(B1612=0,"",INDEX(Bank!$E:$E,B1612))</f>
        <v/>
      </c>
      <c r="H1612" s="5" t="str">
        <f aca="false">IF(B1612=0,"",IF(INDEX(Bank!$H:$H,B1612)="","",INDEX(Bank!$H:$H,B1612)))</f>
        <v/>
      </c>
      <c r="I1612" s="5" t="n">
        <f aca="false">IF(H1612="",0,IFERROR(MATCH(H1612,GL!$A:$A,0),0))</f>
        <v>0</v>
      </c>
      <c r="J1612" s="32" t="str">
        <f aca="false">IF(I1612=0,"",INDEX(GL!$B:$B,I1612))</f>
        <v/>
      </c>
      <c r="K1612" s="5" t="str">
        <f aca="false">IF(I1612=0,"",IF(INDEX(GL!$C:$C,I1612)="","",INDEX(GL!$C:$C,I1612)))</f>
        <v/>
      </c>
      <c r="L1612" s="19" t="str">
        <f aca="false">IF(I1612=0,"",INDEX(GL!$E:$E,I1612))</f>
        <v/>
      </c>
      <c r="M1612" s="19" t="str">
        <f aca="false">IF(OR(B1612=0,I1612=0),"",ROUND(G1612-L1612,2))</f>
        <v/>
      </c>
      <c r="N1612" s="5" t="str">
        <f aca="false">IF(A1612="","",IF(B1612=0,"NOT FOUND: bank ID",IF(I1612=0,"NOT FOUND: GL ID",IF(INDEX(GL!$H:$H,I1612)&lt;&gt;A1612,"BROKEN: GL points elsewhere",IF(OR(INDEX(Bank!$F:$F,B1612)&lt;&gt;"Y",INDEX(GL!$F:$F,I1612)&lt;&gt;"Y"),"BROKEN: Status not Y","OK")))))</f>
        <v/>
      </c>
    </row>
    <row r="1613" customFormat="false" ht="15" hidden="false" customHeight="false" outlineLevel="0" collapsed="false">
      <c r="A1613" s="41"/>
      <c r="B1613" s="5" t="n">
        <f aca="false">IF(A1613="",0,IFERROR(MATCH(A1613,Bank!$A:$A,0),0))</f>
        <v>0</v>
      </c>
      <c r="C1613" s="5" t="str">
        <f aca="false">IF(B1613=0,"",IF(INDEX(Bank!$G:$G,B1613)="","",INDEX(Bank!$G:$G,B1613)))</f>
        <v/>
      </c>
      <c r="D1613" s="5" t="str">
        <f aca="false">IF(B1613=0,"",IF(INDEX(Bank!$J:$J,B1613)="","",INDEX(Bank!$J:$J,B1613)))</f>
        <v/>
      </c>
      <c r="E1613" s="32" t="str">
        <f aca="false">IF(B1613=0,"",INDEX(Bank!$B:$B,B1613))</f>
        <v/>
      </c>
      <c r="F1613" s="5" t="str">
        <f aca="false">IF(B1613=0,"",IF(INDEX(Bank!$C:$C,B1613)="","",INDEX(Bank!$C:$C,B1613)))</f>
        <v/>
      </c>
      <c r="G1613" s="19" t="str">
        <f aca="false">IF(B1613=0,"",INDEX(Bank!$E:$E,B1613))</f>
        <v/>
      </c>
      <c r="H1613" s="5" t="str">
        <f aca="false">IF(B1613=0,"",IF(INDEX(Bank!$H:$H,B1613)="","",INDEX(Bank!$H:$H,B1613)))</f>
        <v/>
      </c>
      <c r="I1613" s="5" t="n">
        <f aca="false">IF(H1613="",0,IFERROR(MATCH(H1613,GL!$A:$A,0),0))</f>
        <v>0</v>
      </c>
      <c r="J1613" s="32" t="str">
        <f aca="false">IF(I1613=0,"",INDEX(GL!$B:$B,I1613))</f>
        <v/>
      </c>
      <c r="K1613" s="5" t="str">
        <f aca="false">IF(I1613=0,"",IF(INDEX(GL!$C:$C,I1613)="","",INDEX(GL!$C:$C,I1613)))</f>
        <v/>
      </c>
      <c r="L1613" s="19" t="str">
        <f aca="false">IF(I1613=0,"",INDEX(GL!$E:$E,I1613))</f>
        <v/>
      </c>
      <c r="M1613" s="19" t="str">
        <f aca="false">IF(OR(B1613=0,I1613=0),"",ROUND(G1613-L1613,2))</f>
        <v/>
      </c>
      <c r="N1613" s="5" t="str">
        <f aca="false">IF(A1613="","",IF(B1613=0,"NOT FOUND: bank ID",IF(I1613=0,"NOT FOUND: GL ID",IF(INDEX(GL!$H:$H,I1613)&lt;&gt;A1613,"BROKEN: GL points elsewhere",IF(OR(INDEX(Bank!$F:$F,B1613)&lt;&gt;"Y",INDEX(GL!$F:$F,I1613)&lt;&gt;"Y"),"BROKEN: Status not Y","OK")))))</f>
        <v/>
      </c>
    </row>
    <row r="1614" customFormat="false" ht="15" hidden="false" customHeight="false" outlineLevel="0" collapsed="false">
      <c r="A1614" s="41"/>
      <c r="B1614" s="5" t="n">
        <f aca="false">IF(A1614="",0,IFERROR(MATCH(A1614,Bank!$A:$A,0),0))</f>
        <v>0</v>
      </c>
      <c r="C1614" s="5" t="str">
        <f aca="false">IF(B1614=0,"",IF(INDEX(Bank!$G:$G,B1614)="","",INDEX(Bank!$G:$G,B1614)))</f>
        <v/>
      </c>
      <c r="D1614" s="5" t="str">
        <f aca="false">IF(B1614=0,"",IF(INDEX(Bank!$J:$J,B1614)="","",INDEX(Bank!$J:$J,B1614)))</f>
        <v/>
      </c>
      <c r="E1614" s="32" t="str">
        <f aca="false">IF(B1614=0,"",INDEX(Bank!$B:$B,B1614))</f>
        <v/>
      </c>
      <c r="F1614" s="5" t="str">
        <f aca="false">IF(B1614=0,"",IF(INDEX(Bank!$C:$C,B1614)="","",INDEX(Bank!$C:$C,B1614)))</f>
        <v/>
      </c>
      <c r="G1614" s="19" t="str">
        <f aca="false">IF(B1614=0,"",INDEX(Bank!$E:$E,B1614))</f>
        <v/>
      </c>
      <c r="H1614" s="5" t="str">
        <f aca="false">IF(B1614=0,"",IF(INDEX(Bank!$H:$H,B1614)="","",INDEX(Bank!$H:$H,B1614)))</f>
        <v/>
      </c>
      <c r="I1614" s="5" t="n">
        <f aca="false">IF(H1614="",0,IFERROR(MATCH(H1614,GL!$A:$A,0),0))</f>
        <v>0</v>
      </c>
      <c r="J1614" s="32" t="str">
        <f aca="false">IF(I1614=0,"",INDEX(GL!$B:$B,I1614))</f>
        <v/>
      </c>
      <c r="K1614" s="5" t="str">
        <f aca="false">IF(I1614=0,"",IF(INDEX(GL!$C:$C,I1614)="","",INDEX(GL!$C:$C,I1614)))</f>
        <v/>
      </c>
      <c r="L1614" s="19" t="str">
        <f aca="false">IF(I1614=0,"",INDEX(GL!$E:$E,I1614))</f>
        <v/>
      </c>
      <c r="M1614" s="19" t="str">
        <f aca="false">IF(OR(B1614=0,I1614=0),"",ROUND(G1614-L1614,2))</f>
        <v/>
      </c>
      <c r="N1614" s="5" t="str">
        <f aca="false">IF(A1614="","",IF(B1614=0,"NOT FOUND: bank ID",IF(I1614=0,"NOT FOUND: GL ID",IF(INDEX(GL!$H:$H,I1614)&lt;&gt;A1614,"BROKEN: GL points elsewhere",IF(OR(INDEX(Bank!$F:$F,B1614)&lt;&gt;"Y",INDEX(GL!$F:$F,I1614)&lt;&gt;"Y"),"BROKEN: Status not Y","OK")))))</f>
        <v/>
      </c>
    </row>
    <row r="1615" customFormat="false" ht="15" hidden="false" customHeight="false" outlineLevel="0" collapsed="false">
      <c r="A1615" s="41"/>
      <c r="B1615" s="5" t="n">
        <f aca="false">IF(A1615="",0,IFERROR(MATCH(A1615,Bank!$A:$A,0),0))</f>
        <v>0</v>
      </c>
      <c r="C1615" s="5" t="str">
        <f aca="false">IF(B1615=0,"",IF(INDEX(Bank!$G:$G,B1615)="","",INDEX(Bank!$G:$G,B1615)))</f>
        <v/>
      </c>
      <c r="D1615" s="5" t="str">
        <f aca="false">IF(B1615=0,"",IF(INDEX(Bank!$J:$J,B1615)="","",INDEX(Bank!$J:$J,B1615)))</f>
        <v/>
      </c>
      <c r="E1615" s="32" t="str">
        <f aca="false">IF(B1615=0,"",INDEX(Bank!$B:$B,B1615))</f>
        <v/>
      </c>
      <c r="F1615" s="5" t="str">
        <f aca="false">IF(B1615=0,"",IF(INDEX(Bank!$C:$C,B1615)="","",INDEX(Bank!$C:$C,B1615)))</f>
        <v/>
      </c>
      <c r="G1615" s="19" t="str">
        <f aca="false">IF(B1615=0,"",INDEX(Bank!$E:$E,B1615))</f>
        <v/>
      </c>
      <c r="H1615" s="5" t="str">
        <f aca="false">IF(B1615=0,"",IF(INDEX(Bank!$H:$H,B1615)="","",INDEX(Bank!$H:$H,B1615)))</f>
        <v/>
      </c>
      <c r="I1615" s="5" t="n">
        <f aca="false">IF(H1615="",0,IFERROR(MATCH(H1615,GL!$A:$A,0),0))</f>
        <v>0</v>
      </c>
      <c r="J1615" s="32" t="str">
        <f aca="false">IF(I1615=0,"",INDEX(GL!$B:$B,I1615))</f>
        <v/>
      </c>
      <c r="K1615" s="5" t="str">
        <f aca="false">IF(I1615=0,"",IF(INDEX(GL!$C:$C,I1615)="","",INDEX(GL!$C:$C,I1615)))</f>
        <v/>
      </c>
      <c r="L1615" s="19" t="str">
        <f aca="false">IF(I1615=0,"",INDEX(GL!$E:$E,I1615))</f>
        <v/>
      </c>
      <c r="M1615" s="19" t="str">
        <f aca="false">IF(OR(B1615=0,I1615=0),"",ROUND(G1615-L1615,2))</f>
        <v/>
      </c>
      <c r="N1615" s="5" t="str">
        <f aca="false">IF(A1615="","",IF(B1615=0,"NOT FOUND: bank ID",IF(I1615=0,"NOT FOUND: GL ID",IF(INDEX(GL!$H:$H,I1615)&lt;&gt;A1615,"BROKEN: GL points elsewhere",IF(OR(INDEX(Bank!$F:$F,B1615)&lt;&gt;"Y",INDEX(GL!$F:$F,I1615)&lt;&gt;"Y"),"BROKEN: Status not Y","OK")))))</f>
        <v/>
      </c>
    </row>
    <row r="1616" customFormat="false" ht="15" hidden="false" customHeight="false" outlineLevel="0" collapsed="false">
      <c r="A1616" s="41"/>
      <c r="B1616" s="5" t="n">
        <f aca="false">IF(A1616="",0,IFERROR(MATCH(A1616,Bank!$A:$A,0),0))</f>
        <v>0</v>
      </c>
      <c r="C1616" s="5" t="str">
        <f aca="false">IF(B1616=0,"",IF(INDEX(Bank!$G:$G,B1616)="","",INDEX(Bank!$G:$G,B1616)))</f>
        <v/>
      </c>
      <c r="D1616" s="5" t="str">
        <f aca="false">IF(B1616=0,"",IF(INDEX(Bank!$J:$J,B1616)="","",INDEX(Bank!$J:$J,B1616)))</f>
        <v/>
      </c>
      <c r="E1616" s="32" t="str">
        <f aca="false">IF(B1616=0,"",INDEX(Bank!$B:$B,B1616))</f>
        <v/>
      </c>
      <c r="F1616" s="5" t="str">
        <f aca="false">IF(B1616=0,"",IF(INDEX(Bank!$C:$C,B1616)="","",INDEX(Bank!$C:$C,B1616)))</f>
        <v/>
      </c>
      <c r="G1616" s="19" t="str">
        <f aca="false">IF(B1616=0,"",INDEX(Bank!$E:$E,B1616))</f>
        <v/>
      </c>
      <c r="H1616" s="5" t="str">
        <f aca="false">IF(B1616=0,"",IF(INDEX(Bank!$H:$H,B1616)="","",INDEX(Bank!$H:$H,B1616)))</f>
        <v/>
      </c>
      <c r="I1616" s="5" t="n">
        <f aca="false">IF(H1616="",0,IFERROR(MATCH(H1616,GL!$A:$A,0),0))</f>
        <v>0</v>
      </c>
      <c r="J1616" s="32" t="str">
        <f aca="false">IF(I1616=0,"",INDEX(GL!$B:$B,I1616))</f>
        <v/>
      </c>
      <c r="K1616" s="5" t="str">
        <f aca="false">IF(I1616=0,"",IF(INDEX(GL!$C:$C,I1616)="","",INDEX(GL!$C:$C,I1616)))</f>
        <v/>
      </c>
      <c r="L1616" s="19" t="str">
        <f aca="false">IF(I1616=0,"",INDEX(GL!$E:$E,I1616))</f>
        <v/>
      </c>
      <c r="M1616" s="19" t="str">
        <f aca="false">IF(OR(B1616=0,I1616=0),"",ROUND(G1616-L1616,2))</f>
        <v/>
      </c>
      <c r="N1616" s="5" t="str">
        <f aca="false">IF(A1616="","",IF(B1616=0,"NOT FOUND: bank ID",IF(I1616=0,"NOT FOUND: GL ID",IF(INDEX(GL!$H:$H,I1616)&lt;&gt;A1616,"BROKEN: GL points elsewhere",IF(OR(INDEX(Bank!$F:$F,B1616)&lt;&gt;"Y",INDEX(GL!$F:$F,I1616)&lt;&gt;"Y"),"BROKEN: Status not Y","OK")))))</f>
        <v/>
      </c>
    </row>
    <row r="1617" customFormat="false" ht="15" hidden="false" customHeight="false" outlineLevel="0" collapsed="false">
      <c r="A1617" s="41"/>
      <c r="B1617" s="5" t="n">
        <f aca="false">IF(A1617="",0,IFERROR(MATCH(A1617,Bank!$A:$A,0),0))</f>
        <v>0</v>
      </c>
      <c r="C1617" s="5" t="str">
        <f aca="false">IF(B1617=0,"",IF(INDEX(Bank!$G:$G,B1617)="","",INDEX(Bank!$G:$G,B1617)))</f>
        <v/>
      </c>
      <c r="D1617" s="5" t="str">
        <f aca="false">IF(B1617=0,"",IF(INDEX(Bank!$J:$J,B1617)="","",INDEX(Bank!$J:$J,B1617)))</f>
        <v/>
      </c>
      <c r="E1617" s="32" t="str">
        <f aca="false">IF(B1617=0,"",INDEX(Bank!$B:$B,B1617))</f>
        <v/>
      </c>
      <c r="F1617" s="5" t="str">
        <f aca="false">IF(B1617=0,"",IF(INDEX(Bank!$C:$C,B1617)="","",INDEX(Bank!$C:$C,B1617)))</f>
        <v/>
      </c>
      <c r="G1617" s="19" t="str">
        <f aca="false">IF(B1617=0,"",INDEX(Bank!$E:$E,B1617))</f>
        <v/>
      </c>
      <c r="H1617" s="5" t="str">
        <f aca="false">IF(B1617=0,"",IF(INDEX(Bank!$H:$H,B1617)="","",INDEX(Bank!$H:$H,B1617)))</f>
        <v/>
      </c>
      <c r="I1617" s="5" t="n">
        <f aca="false">IF(H1617="",0,IFERROR(MATCH(H1617,GL!$A:$A,0),0))</f>
        <v>0</v>
      </c>
      <c r="J1617" s="32" t="str">
        <f aca="false">IF(I1617=0,"",INDEX(GL!$B:$B,I1617))</f>
        <v/>
      </c>
      <c r="K1617" s="5" t="str">
        <f aca="false">IF(I1617=0,"",IF(INDEX(GL!$C:$C,I1617)="","",INDEX(GL!$C:$C,I1617)))</f>
        <v/>
      </c>
      <c r="L1617" s="19" t="str">
        <f aca="false">IF(I1617=0,"",INDEX(GL!$E:$E,I1617))</f>
        <v/>
      </c>
      <c r="M1617" s="19" t="str">
        <f aca="false">IF(OR(B1617=0,I1617=0),"",ROUND(G1617-L1617,2))</f>
        <v/>
      </c>
      <c r="N1617" s="5" t="str">
        <f aca="false">IF(A1617="","",IF(B1617=0,"NOT FOUND: bank ID",IF(I1617=0,"NOT FOUND: GL ID",IF(INDEX(GL!$H:$H,I1617)&lt;&gt;A1617,"BROKEN: GL points elsewhere",IF(OR(INDEX(Bank!$F:$F,B1617)&lt;&gt;"Y",INDEX(GL!$F:$F,I1617)&lt;&gt;"Y"),"BROKEN: Status not Y","OK")))))</f>
        <v/>
      </c>
    </row>
    <row r="1618" customFormat="false" ht="15" hidden="false" customHeight="false" outlineLevel="0" collapsed="false">
      <c r="A1618" s="41"/>
      <c r="B1618" s="5" t="n">
        <f aca="false">IF(A1618="",0,IFERROR(MATCH(A1618,Bank!$A:$A,0),0))</f>
        <v>0</v>
      </c>
      <c r="C1618" s="5" t="str">
        <f aca="false">IF(B1618=0,"",IF(INDEX(Bank!$G:$G,B1618)="","",INDEX(Bank!$G:$G,B1618)))</f>
        <v/>
      </c>
      <c r="D1618" s="5" t="str">
        <f aca="false">IF(B1618=0,"",IF(INDEX(Bank!$J:$J,B1618)="","",INDEX(Bank!$J:$J,B1618)))</f>
        <v/>
      </c>
      <c r="E1618" s="32" t="str">
        <f aca="false">IF(B1618=0,"",INDEX(Bank!$B:$B,B1618))</f>
        <v/>
      </c>
      <c r="F1618" s="5" t="str">
        <f aca="false">IF(B1618=0,"",IF(INDEX(Bank!$C:$C,B1618)="","",INDEX(Bank!$C:$C,B1618)))</f>
        <v/>
      </c>
      <c r="G1618" s="19" t="str">
        <f aca="false">IF(B1618=0,"",INDEX(Bank!$E:$E,B1618))</f>
        <v/>
      </c>
      <c r="H1618" s="5" t="str">
        <f aca="false">IF(B1618=0,"",IF(INDEX(Bank!$H:$H,B1618)="","",INDEX(Bank!$H:$H,B1618)))</f>
        <v/>
      </c>
      <c r="I1618" s="5" t="n">
        <f aca="false">IF(H1618="",0,IFERROR(MATCH(H1618,GL!$A:$A,0),0))</f>
        <v>0</v>
      </c>
      <c r="J1618" s="32" t="str">
        <f aca="false">IF(I1618=0,"",INDEX(GL!$B:$B,I1618))</f>
        <v/>
      </c>
      <c r="K1618" s="5" t="str">
        <f aca="false">IF(I1618=0,"",IF(INDEX(GL!$C:$C,I1618)="","",INDEX(GL!$C:$C,I1618)))</f>
        <v/>
      </c>
      <c r="L1618" s="19" t="str">
        <f aca="false">IF(I1618=0,"",INDEX(GL!$E:$E,I1618))</f>
        <v/>
      </c>
      <c r="M1618" s="19" t="str">
        <f aca="false">IF(OR(B1618=0,I1618=0),"",ROUND(G1618-L1618,2))</f>
        <v/>
      </c>
      <c r="N1618" s="5" t="str">
        <f aca="false">IF(A1618="","",IF(B1618=0,"NOT FOUND: bank ID",IF(I1618=0,"NOT FOUND: GL ID",IF(INDEX(GL!$H:$H,I1618)&lt;&gt;A1618,"BROKEN: GL points elsewhere",IF(OR(INDEX(Bank!$F:$F,B1618)&lt;&gt;"Y",INDEX(GL!$F:$F,I1618)&lt;&gt;"Y"),"BROKEN: Status not Y","OK")))))</f>
        <v/>
      </c>
    </row>
    <row r="1619" customFormat="false" ht="15" hidden="false" customHeight="false" outlineLevel="0" collapsed="false">
      <c r="A1619" s="41"/>
      <c r="B1619" s="5" t="n">
        <f aca="false">IF(A1619="",0,IFERROR(MATCH(A1619,Bank!$A:$A,0),0))</f>
        <v>0</v>
      </c>
      <c r="C1619" s="5" t="str">
        <f aca="false">IF(B1619=0,"",IF(INDEX(Bank!$G:$G,B1619)="","",INDEX(Bank!$G:$G,B1619)))</f>
        <v/>
      </c>
      <c r="D1619" s="5" t="str">
        <f aca="false">IF(B1619=0,"",IF(INDEX(Bank!$J:$J,B1619)="","",INDEX(Bank!$J:$J,B1619)))</f>
        <v/>
      </c>
      <c r="E1619" s="32" t="str">
        <f aca="false">IF(B1619=0,"",INDEX(Bank!$B:$B,B1619))</f>
        <v/>
      </c>
      <c r="F1619" s="5" t="str">
        <f aca="false">IF(B1619=0,"",IF(INDEX(Bank!$C:$C,B1619)="","",INDEX(Bank!$C:$C,B1619)))</f>
        <v/>
      </c>
      <c r="G1619" s="19" t="str">
        <f aca="false">IF(B1619=0,"",INDEX(Bank!$E:$E,B1619))</f>
        <v/>
      </c>
      <c r="H1619" s="5" t="str">
        <f aca="false">IF(B1619=0,"",IF(INDEX(Bank!$H:$H,B1619)="","",INDEX(Bank!$H:$H,B1619)))</f>
        <v/>
      </c>
      <c r="I1619" s="5" t="n">
        <f aca="false">IF(H1619="",0,IFERROR(MATCH(H1619,GL!$A:$A,0),0))</f>
        <v>0</v>
      </c>
      <c r="J1619" s="32" t="str">
        <f aca="false">IF(I1619=0,"",INDEX(GL!$B:$B,I1619))</f>
        <v/>
      </c>
      <c r="K1619" s="5" t="str">
        <f aca="false">IF(I1619=0,"",IF(INDEX(GL!$C:$C,I1619)="","",INDEX(GL!$C:$C,I1619)))</f>
        <v/>
      </c>
      <c r="L1619" s="19" t="str">
        <f aca="false">IF(I1619=0,"",INDEX(GL!$E:$E,I1619))</f>
        <v/>
      </c>
      <c r="M1619" s="19" t="str">
        <f aca="false">IF(OR(B1619=0,I1619=0),"",ROUND(G1619-L1619,2))</f>
        <v/>
      </c>
      <c r="N1619" s="5" t="str">
        <f aca="false">IF(A1619="","",IF(B1619=0,"NOT FOUND: bank ID",IF(I1619=0,"NOT FOUND: GL ID",IF(INDEX(GL!$H:$H,I1619)&lt;&gt;A1619,"BROKEN: GL points elsewhere",IF(OR(INDEX(Bank!$F:$F,B1619)&lt;&gt;"Y",INDEX(GL!$F:$F,I1619)&lt;&gt;"Y"),"BROKEN: Status not Y","OK")))))</f>
        <v/>
      </c>
    </row>
    <row r="1620" customFormat="false" ht="15" hidden="false" customHeight="false" outlineLevel="0" collapsed="false">
      <c r="A1620" s="41"/>
      <c r="B1620" s="5" t="n">
        <f aca="false">IF(A1620="",0,IFERROR(MATCH(A1620,Bank!$A:$A,0),0))</f>
        <v>0</v>
      </c>
      <c r="C1620" s="5" t="str">
        <f aca="false">IF(B1620=0,"",IF(INDEX(Bank!$G:$G,B1620)="","",INDEX(Bank!$G:$G,B1620)))</f>
        <v/>
      </c>
      <c r="D1620" s="5" t="str">
        <f aca="false">IF(B1620=0,"",IF(INDEX(Bank!$J:$J,B1620)="","",INDEX(Bank!$J:$J,B1620)))</f>
        <v/>
      </c>
      <c r="E1620" s="32" t="str">
        <f aca="false">IF(B1620=0,"",INDEX(Bank!$B:$B,B1620))</f>
        <v/>
      </c>
      <c r="F1620" s="5" t="str">
        <f aca="false">IF(B1620=0,"",IF(INDEX(Bank!$C:$C,B1620)="","",INDEX(Bank!$C:$C,B1620)))</f>
        <v/>
      </c>
      <c r="G1620" s="19" t="str">
        <f aca="false">IF(B1620=0,"",INDEX(Bank!$E:$E,B1620))</f>
        <v/>
      </c>
      <c r="H1620" s="5" t="str">
        <f aca="false">IF(B1620=0,"",IF(INDEX(Bank!$H:$H,B1620)="","",INDEX(Bank!$H:$H,B1620)))</f>
        <v/>
      </c>
      <c r="I1620" s="5" t="n">
        <f aca="false">IF(H1620="",0,IFERROR(MATCH(H1620,GL!$A:$A,0),0))</f>
        <v>0</v>
      </c>
      <c r="J1620" s="32" t="str">
        <f aca="false">IF(I1620=0,"",INDEX(GL!$B:$B,I1620))</f>
        <v/>
      </c>
      <c r="K1620" s="5" t="str">
        <f aca="false">IF(I1620=0,"",IF(INDEX(GL!$C:$C,I1620)="","",INDEX(GL!$C:$C,I1620)))</f>
        <v/>
      </c>
      <c r="L1620" s="19" t="str">
        <f aca="false">IF(I1620=0,"",INDEX(GL!$E:$E,I1620))</f>
        <v/>
      </c>
      <c r="M1620" s="19" t="str">
        <f aca="false">IF(OR(B1620=0,I1620=0),"",ROUND(G1620-L1620,2))</f>
        <v/>
      </c>
      <c r="N1620" s="5" t="str">
        <f aca="false">IF(A1620="","",IF(B1620=0,"NOT FOUND: bank ID",IF(I1620=0,"NOT FOUND: GL ID",IF(INDEX(GL!$H:$H,I1620)&lt;&gt;A1620,"BROKEN: GL points elsewhere",IF(OR(INDEX(Bank!$F:$F,B1620)&lt;&gt;"Y",INDEX(GL!$F:$F,I1620)&lt;&gt;"Y"),"BROKEN: Status not Y","OK")))))</f>
        <v/>
      </c>
    </row>
    <row r="1621" customFormat="false" ht="15" hidden="false" customHeight="false" outlineLevel="0" collapsed="false">
      <c r="A1621" s="41"/>
      <c r="B1621" s="5" t="n">
        <f aca="false">IF(A1621="",0,IFERROR(MATCH(A1621,Bank!$A:$A,0),0))</f>
        <v>0</v>
      </c>
      <c r="C1621" s="5" t="str">
        <f aca="false">IF(B1621=0,"",IF(INDEX(Bank!$G:$G,B1621)="","",INDEX(Bank!$G:$G,B1621)))</f>
        <v/>
      </c>
      <c r="D1621" s="5" t="str">
        <f aca="false">IF(B1621=0,"",IF(INDEX(Bank!$J:$J,B1621)="","",INDEX(Bank!$J:$J,B1621)))</f>
        <v/>
      </c>
      <c r="E1621" s="32" t="str">
        <f aca="false">IF(B1621=0,"",INDEX(Bank!$B:$B,B1621))</f>
        <v/>
      </c>
      <c r="F1621" s="5" t="str">
        <f aca="false">IF(B1621=0,"",IF(INDEX(Bank!$C:$C,B1621)="","",INDEX(Bank!$C:$C,B1621)))</f>
        <v/>
      </c>
      <c r="G1621" s="19" t="str">
        <f aca="false">IF(B1621=0,"",INDEX(Bank!$E:$E,B1621))</f>
        <v/>
      </c>
      <c r="H1621" s="5" t="str">
        <f aca="false">IF(B1621=0,"",IF(INDEX(Bank!$H:$H,B1621)="","",INDEX(Bank!$H:$H,B1621)))</f>
        <v/>
      </c>
      <c r="I1621" s="5" t="n">
        <f aca="false">IF(H1621="",0,IFERROR(MATCH(H1621,GL!$A:$A,0),0))</f>
        <v>0</v>
      </c>
      <c r="J1621" s="32" t="str">
        <f aca="false">IF(I1621=0,"",INDEX(GL!$B:$B,I1621))</f>
        <v/>
      </c>
      <c r="K1621" s="5" t="str">
        <f aca="false">IF(I1621=0,"",IF(INDEX(GL!$C:$C,I1621)="","",INDEX(GL!$C:$C,I1621)))</f>
        <v/>
      </c>
      <c r="L1621" s="19" t="str">
        <f aca="false">IF(I1621=0,"",INDEX(GL!$E:$E,I1621))</f>
        <v/>
      </c>
      <c r="M1621" s="19" t="str">
        <f aca="false">IF(OR(B1621=0,I1621=0),"",ROUND(G1621-L1621,2))</f>
        <v/>
      </c>
      <c r="N1621" s="5" t="str">
        <f aca="false">IF(A1621="","",IF(B1621=0,"NOT FOUND: bank ID",IF(I1621=0,"NOT FOUND: GL ID",IF(INDEX(GL!$H:$H,I1621)&lt;&gt;A1621,"BROKEN: GL points elsewhere",IF(OR(INDEX(Bank!$F:$F,B1621)&lt;&gt;"Y",INDEX(GL!$F:$F,I1621)&lt;&gt;"Y"),"BROKEN: Status not Y","OK")))))</f>
        <v/>
      </c>
    </row>
    <row r="1622" customFormat="false" ht="15" hidden="false" customHeight="false" outlineLevel="0" collapsed="false">
      <c r="A1622" s="41"/>
      <c r="B1622" s="5" t="n">
        <f aca="false">IF(A1622="",0,IFERROR(MATCH(A1622,Bank!$A:$A,0),0))</f>
        <v>0</v>
      </c>
      <c r="C1622" s="5" t="str">
        <f aca="false">IF(B1622=0,"",IF(INDEX(Bank!$G:$G,B1622)="","",INDEX(Bank!$G:$G,B1622)))</f>
        <v/>
      </c>
      <c r="D1622" s="5" t="str">
        <f aca="false">IF(B1622=0,"",IF(INDEX(Bank!$J:$J,B1622)="","",INDEX(Bank!$J:$J,B1622)))</f>
        <v/>
      </c>
      <c r="E1622" s="32" t="str">
        <f aca="false">IF(B1622=0,"",INDEX(Bank!$B:$B,B1622))</f>
        <v/>
      </c>
      <c r="F1622" s="5" t="str">
        <f aca="false">IF(B1622=0,"",IF(INDEX(Bank!$C:$C,B1622)="","",INDEX(Bank!$C:$C,B1622)))</f>
        <v/>
      </c>
      <c r="G1622" s="19" t="str">
        <f aca="false">IF(B1622=0,"",INDEX(Bank!$E:$E,B1622))</f>
        <v/>
      </c>
      <c r="H1622" s="5" t="str">
        <f aca="false">IF(B1622=0,"",IF(INDEX(Bank!$H:$H,B1622)="","",INDEX(Bank!$H:$H,B1622)))</f>
        <v/>
      </c>
      <c r="I1622" s="5" t="n">
        <f aca="false">IF(H1622="",0,IFERROR(MATCH(H1622,GL!$A:$A,0),0))</f>
        <v>0</v>
      </c>
      <c r="J1622" s="32" t="str">
        <f aca="false">IF(I1622=0,"",INDEX(GL!$B:$B,I1622))</f>
        <v/>
      </c>
      <c r="K1622" s="5" t="str">
        <f aca="false">IF(I1622=0,"",IF(INDEX(GL!$C:$C,I1622)="","",INDEX(GL!$C:$C,I1622)))</f>
        <v/>
      </c>
      <c r="L1622" s="19" t="str">
        <f aca="false">IF(I1622=0,"",INDEX(GL!$E:$E,I1622))</f>
        <v/>
      </c>
      <c r="M1622" s="19" t="str">
        <f aca="false">IF(OR(B1622=0,I1622=0),"",ROUND(G1622-L1622,2))</f>
        <v/>
      </c>
      <c r="N1622" s="5" t="str">
        <f aca="false">IF(A1622="","",IF(B1622=0,"NOT FOUND: bank ID",IF(I1622=0,"NOT FOUND: GL ID",IF(INDEX(GL!$H:$H,I1622)&lt;&gt;A1622,"BROKEN: GL points elsewhere",IF(OR(INDEX(Bank!$F:$F,B1622)&lt;&gt;"Y",INDEX(GL!$F:$F,I1622)&lt;&gt;"Y"),"BROKEN: Status not Y","OK")))))</f>
        <v/>
      </c>
    </row>
    <row r="1623" customFormat="false" ht="15" hidden="false" customHeight="false" outlineLevel="0" collapsed="false">
      <c r="A1623" s="41"/>
      <c r="B1623" s="5" t="n">
        <f aca="false">IF(A1623="",0,IFERROR(MATCH(A1623,Bank!$A:$A,0),0))</f>
        <v>0</v>
      </c>
      <c r="C1623" s="5" t="str">
        <f aca="false">IF(B1623=0,"",IF(INDEX(Bank!$G:$G,B1623)="","",INDEX(Bank!$G:$G,B1623)))</f>
        <v/>
      </c>
      <c r="D1623" s="5" t="str">
        <f aca="false">IF(B1623=0,"",IF(INDEX(Bank!$J:$J,B1623)="","",INDEX(Bank!$J:$J,B1623)))</f>
        <v/>
      </c>
      <c r="E1623" s="32" t="str">
        <f aca="false">IF(B1623=0,"",INDEX(Bank!$B:$B,B1623))</f>
        <v/>
      </c>
      <c r="F1623" s="5" t="str">
        <f aca="false">IF(B1623=0,"",IF(INDEX(Bank!$C:$C,B1623)="","",INDEX(Bank!$C:$C,B1623)))</f>
        <v/>
      </c>
      <c r="G1623" s="19" t="str">
        <f aca="false">IF(B1623=0,"",INDEX(Bank!$E:$E,B1623))</f>
        <v/>
      </c>
      <c r="H1623" s="5" t="str">
        <f aca="false">IF(B1623=0,"",IF(INDEX(Bank!$H:$H,B1623)="","",INDEX(Bank!$H:$H,B1623)))</f>
        <v/>
      </c>
      <c r="I1623" s="5" t="n">
        <f aca="false">IF(H1623="",0,IFERROR(MATCH(H1623,GL!$A:$A,0),0))</f>
        <v>0</v>
      </c>
      <c r="J1623" s="32" t="str">
        <f aca="false">IF(I1623=0,"",INDEX(GL!$B:$B,I1623))</f>
        <v/>
      </c>
      <c r="K1623" s="5" t="str">
        <f aca="false">IF(I1623=0,"",IF(INDEX(GL!$C:$C,I1623)="","",INDEX(GL!$C:$C,I1623)))</f>
        <v/>
      </c>
      <c r="L1623" s="19" t="str">
        <f aca="false">IF(I1623=0,"",INDEX(GL!$E:$E,I1623))</f>
        <v/>
      </c>
      <c r="M1623" s="19" t="str">
        <f aca="false">IF(OR(B1623=0,I1623=0),"",ROUND(G1623-L1623,2))</f>
        <v/>
      </c>
      <c r="N1623" s="5" t="str">
        <f aca="false">IF(A1623="","",IF(B1623=0,"NOT FOUND: bank ID",IF(I1623=0,"NOT FOUND: GL ID",IF(INDEX(GL!$H:$H,I1623)&lt;&gt;A1623,"BROKEN: GL points elsewhere",IF(OR(INDEX(Bank!$F:$F,B1623)&lt;&gt;"Y",INDEX(GL!$F:$F,I1623)&lt;&gt;"Y"),"BROKEN: Status not Y","OK")))))</f>
        <v/>
      </c>
    </row>
    <row r="1624" customFormat="false" ht="15" hidden="false" customHeight="false" outlineLevel="0" collapsed="false">
      <c r="A1624" s="41"/>
      <c r="B1624" s="5" t="n">
        <f aca="false">IF(A1624="",0,IFERROR(MATCH(A1624,Bank!$A:$A,0),0))</f>
        <v>0</v>
      </c>
      <c r="C1624" s="5" t="str">
        <f aca="false">IF(B1624=0,"",IF(INDEX(Bank!$G:$G,B1624)="","",INDEX(Bank!$G:$G,B1624)))</f>
        <v/>
      </c>
      <c r="D1624" s="5" t="str">
        <f aca="false">IF(B1624=0,"",IF(INDEX(Bank!$J:$J,B1624)="","",INDEX(Bank!$J:$J,B1624)))</f>
        <v/>
      </c>
      <c r="E1624" s="32" t="str">
        <f aca="false">IF(B1624=0,"",INDEX(Bank!$B:$B,B1624))</f>
        <v/>
      </c>
      <c r="F1624" s="5" t="str">
        <f aca="false">IF(B1624=0,"",IF(INDEX(Bank!$C:$C,B1624)="","",INDEX(Bank!$C:$C,B1624)))</f>
        <v/>
      </c>
      <c r="G1624" s="19" t="str">
        <f aca="false">IF(B1624=0,"",INDEX(Bank!$E:$E,B1624))</f>
        <v/>
      </c>
      <c r="H1624" s="5" t="str">
        <f aca="false">IF(B1624=0,"",IF(INDEX(Bank!$H:$H,B1624)="","",INDEX(Bank!$H:$H,B1624)))</f>
        <v/>
      </c>
      <c r="I1624" s="5" t="n">
        <f aca="false">IF(H1624="",0,IFERROR(MATCH(H1624,GL!$A:$A,0),0))</f>
        <v>0</v>
      </c>
      <c r="J1624" s="32" t="str">
        <f aca="false">IF(I1624=0,"",INDEX(GL!$B:$B,I1624))</f>
        <v/>
      </c>
      <c r="K1624" s="5" t="str">
        <f aca="false">IF(I1624=0,"",IF(INDEX(GL!$C:$C,I1624)="","",INDEX(GL!$C:$C,I1624)))</f>
        <v/>
      </c>
      <c r="L1624" s="19" t="str">
        <f aca="false">IF(I1624=0,"",INDEX(GL!$E:$E,I1624))</f>
        <v/>
      </c>
      <c r="M1624" s="19" t="str">
        <f aca="false">IF(OR(B1624=0,I1624=0),"",ROUND(G1624-L1624,2))</f>
        <v/>
      </c>
      <c r="N1624" s="5" t="str">
        <f aca="false">IF(A1624="","",IF(B1624=0,"NOT FOUND: bank ID",IF(I1624=0,"NOT FOUND: GL ID",IF(INDEX(GL!$H:$H,I1624)&lt;&gt;A1624,"BROKEN: GL points elsewhere",IF(OR(INDEX(Bank!$F:$F,B1624)&lt;&gt;"Y",INDEX(GL!$F:$F,I1624)&lt;&gt;"Y"),"BROKEN: Status not Y","OK")))))</f>
        <v/>
      </c>
    </row>
    <row r="1625" customFormat="false" ht="15" hidden="false" customHeight="false" outlineLevel="0" collapsed="false">
      <c r="A1625" s="41"/>
      <c r="B1625" s="5" t="n">
        <f aca="false">IF(A1625="",0,IFERROR(MATCH(A1625,Bank!$A:$A,0),0))</f>
        <v>0</v>
      </c>
      <c r="C1625" s="5" t="str">
        <f aca="false">IF(B1625=0,"",IF(INDEX(Bank!$G:$G,B1625)="","",INDEX(Bank!$G:$G,B1625)))</f>
        <v/>
      </c>
      <c r="D1625" s="5" t="str">
        <f aca="false">IF(B1625=0,"",IF(INDEX(Bank!$J:$J,B1625)="","",INDEX(Bank!$J:$J,B1625)))</f>
        <v/>
      </c>
      <c r="E1625" s="32" t="str">
        <f aca="false">IF(B1625=0,"",INDEX(Bank!$B:$B,B1625))</f>
        <v/>
      </c>
      <c r="F1625" s="5" t="str">
        <f aca="false">IF(B1625=0,"",IF(INDEX(Bank!$C:$C,B1625)="","",INDEX(Bank!$C:$C,B1625)))</f>
        <v/>
      </c>
      <c r="G1625" s="19" t="str">
        <f aca="false">IF(B1625=0,"",INDEX(Bank!$E:$E,B1625))</f>
        <v/>
      </c>
      <c r="H1625" s="5" t="str">
        <f aca="false">IF(B1625=0,"",IF(INDEX(Bank!$H:$H,B1625)="","",INDEX(Bank!$H:$H,B1625)))</f>
        <v/>
      </c>
      <c r="I1625" s="5" t="n">
        <f aca="false">IF(H1625="",0,IFERROR(MATCH(H1625,GL!$A:$A,0),0))</f>
        <v>0</v>
      </c>
      <c r="J1625" s="32" t="str">
        <f aca="false">IF(I1625=0,"",INDEX(GL!$B:$B,I1625))</f>
        <v/>
      </c>
      <c r="K1625" s="5" t="str">
        <f aca="false">IF(I1625=0,"",IF(INDEX(GL!$C:$C,I1625)="","",INDEX(GL!$C:$C,I1625)))</f>
        <v/>
      </c>
      <c r="L1625" s="19" t="str">
        <f aca="false">IF(I1625=0,"",INDEX(GL!$E:$E,I1625))</f>
        <v/>
      </c>
      <c r="M1625" s="19" t="str">
        <f aca="false">IF(OR(B1625=0,I1625=0),"",ROUND(G1625-L1625,2))</f>
        <v/>
      </c>
      <c r="N1625" s="5" t="str">
        <f aca="false">IF(A1625="","",IF(B1625=0,"NOT FOUND: bank ID",IF(I1625=0,"NOT FOUND: GL ID",IF(INDEX(GL!$H:$H,I1625)&lt;&gt;A1625,"BROKEN: GL points elsewhere",IF(OR(INDEX(Bank!$F:$F,B1625)&lt;&gt;"Y",INDEX(GL!$F:$F,I1625)&lt;&gt;"Y"),"BROKEN: Status not Y","OK")))))</f>
        <v/>
      </c>
    </row>
    <row r="1626" customFormat="false" ht="15" hidden="false" customHeight="false" outlineLevel="0" collapsed="false">
      <c r="A1626" s="41"/>
      <c r="B1626" s="5" t="n">
        <f aca="false">IF(A1626="",0,IFERROR(MATCH(A1626,Bank!$A:$A,0),0))</f>
        <v>0</v>
      </c>
      <c r="C1626" s="5" t="str">
        <f aca="false">IF(B1626=0,"",IF(INDEX(Bank!$G:$G,B1626)="","",INDEX(Bank!$G:$G,B1626)))</f>
        <v/>
      </c>
      <c r="D1626" s="5" t="str">
        <f aca="false">IF(B1626=0,"",IF(INDEX(Bank!$J:$J,B1626)="","",INDEX(Bank!$J:$J,B1626)))</f>
        <v/>
      </c>
      <c r="E1626" s="32" t="str">
        <f aca="false">IF(B1626=0,"",INDEX(Bank!$B:$B,B1626))</f>
        <v/>
      </c>
      <c r="F1626" s="5" t="str">
        <f aca="false">IF(B1626=0,"",IF(INDEX(Bank!$C:$C,B1626)="","",INDEX(Bank!$C:$C,B1626)))</f>
        <v/>
      </c>
      <c r="G1626" s="19" t="str">
        <f aca="false">IF(B1626=0,"",INDEX(Bank!$E:$E,B1626))</f>
        <v/>
      </c>
      <c r="H1626" s="5" t="str">
        <f aca="false">IF(B1626=0,"",IF(INDEX(Bank!$H:$H,B1626)="","",INDEX(Bank!$H:$H,B1626)))</f>
        <v/>
      </c>
      <c r="I1626" s="5" t="n">
        <f aca="false">IF(H1626="",0,IFERROR(MATCH(H1626,GL!$A:$A,0),0))</f>
        <v>0</v>
      </c>
      <c r="J1626" s="32" t="str">
        <f aca="false">IF(I1626=0,"",INDEX(GL!$B:$B,I1626))</f>
        <v/>
      </c>
      <c r="K1626" s="5" t="str">
        <f aca="false">IF(I1626=0,"",IF(INDEX(GL!$C:$C,I1626)="","",INDEX(GL!$C:$C,I1626)))</f>
        <v/>
      </c>
      <c r="L1626" s="19" t="str">
        <f aca="false">IF(I1626=0,"",INDEX(GL!$E:$E,I1626))</f>
        <v/>
      </c>
      <c r="M1626" s="19" t="str">
        <f aca="false">IF(OR(B1626=0,I1626=0),"",ROUND(G1626-L1626,2))</f>
        <v/>
      </c>
      <c r="N1626" s="5" t="str">
        <f aca="false">IF(A1626="","",IF(B1626=0,"NOT FOUND: bank ID",IF(I1626=0,"NOT FOUND: GL ID",IF(INDEX(GL!$H:$H,I1626)&lt;&gt;A1626,"BROKEN: GL points elsewhere",IF(OR(INDEX(Bank!$F:$F,B1626)&lt;&gt;"Y",INDEX(GL!$F:$F,I1626)&lt;&gt;"Y"),"BROKEN: Status not Y","OK")))))</f>
        <v/>
      </c>
    </row>
    <row r="1627" customFormat="false" ht="15" hidden="false" customHeight="false" outlineLevel="0" collapsed="false">
      <c r="A1627" s="41"/>
      <c r="B1627" s="5" t="n">
        <f aca="false">IF(A1627="",0,IFERROR(MATCH(A1627,Bank!$A:$A,0),0))</f>
        <v>0</v>
      </c>
      <c r="C1627" s="5" t="str">
        <f aca="false">IF(B1627=0,"",IF(INDEX(Bank!$G:$G,B1627)="","",INDEX(Bank!$G:$G,B1627)))</f>
        <v/>
      </c>
      <c r="D1627" s="5" t="str">
        <f aca="false">IF(B1627=0,"",IF(INDEX(Bank!$J:$J,B1627)="","",INDEX(Bank!$J:$J,B1627)))</f>
        <v/>
      </c>
      <c r="E1627" s="32" t="str">
        <f aca="false">IF(B1627=0,"",INDEX(Bank!$B:$B,B1627))</f>
        <v/>
      </c>
      <c r="F1627" s="5" t="str">
        <f aca="false">IF(B1627=0,"",IF(INDEX(Bank!$C:$C,B1627)="","",INDEX(Bank!$C:$C,B1627)))</f>
        <v/>
      </c>
      <c r="G1627" s="19" t="str">
        <f aca="false">IF(B1627=0,"",INDEX(Bank!$E:$E,B1627))</f>
        <v/>
      </c>
      <c r="H1627" s="5" t="str">
        <f aca="false">IF(B1627=0,"",IF(INDEX(Bank!$H:$H,B1627)="","",INDEX(Bank!$H:$H,B1627)))</f>
        <v/>
      </c>
      <c r="I1627" s="5" t="n">
        <f aca="false">IF(H1627="",0,IFERROR(MATCH(H1627,GL!$A:$A,0),0))</f>
        <v>0</v>
      </c>
      <c r="J1627" s="32" t="str">
        <f aca="false">IF(I1627=0,"",INDEX(GL!$B:$B,I1627))</f>
        <v/>
      </c>
      <c r="K1627" s="5" t="str">
        <f aca="false">IF(I1627=0,"",IF(INDEX(GL!$C:$C,I1627)="","",INDEX(GL!$C:$C,I1627)))</f>
        <v/>
      </c>
      <c r="L1627" s="19" t="str">
        <f aca="false">IF(I1627=0,"",INDEX(GL!$E:$E,I1627))</f>
        <v/>
      </c>
      <c r="M1627" s="19" t="str">
        <f aca="false">IF(OR(B1627=0,I1627=0),"",ROUND(G1627-L1627,2))</f>
        <v/>
      </c>
      <c r="N1627" s="5" t="str">
        <f aca="false">IF(A1627="","",IF(B1627=0,"NOT FOUND: bank ID",IF(I1627=0,"NOT FOUND: GL ID",IF(INDEX(GL!$H:$H,I1627)&lt;&gt;A1627,"BROKEN: GL points elsewhere",IF(OR(INDEX(Bank!$F:$F,B1627)&lt;&gt;"Y",INDEX(GL!$F:$F,I1627)&lt;&gt;"Y"),"BROKEN: Status not Y","OK")))))</f>
        <v/>
      </c>
    </row>
    <row r="1628" customFormat="false" ht="15" hidden="false" customHeight="false" outlineLevel="0" collapsed="false">
      <c r="A1628" s="41"/>
      <c r="B1628" s="5" t="n">
        <f aca="false">IF(A1628="",0,IFERROR(MATCH(A1628,Bank!$A:$A,0),0))</f>
        <v>0</v>
      </c>
      <c r="C1628" s="5" t="str">
        <f aca="false">IF(B1628=0,"",IF(INDEX(Bank!$G:$G,B1628)="","",INDEX(Bank!$G:$G,B1628)))</f>
        <v/>
      </c>
      <c r="D1628" s="5" t="str">
        <f aca="false">IF(B1628=0,"",IF(INDEX(Bank!$J:$J,B1628)="","",INDEX(Bank!$J:$J,B1628)))</f>
        <v/>
      </c>
      <c r="E1628" s="32" t="str">
        <f aca="false">IF(B1628=0,"",INDEX(Bank!$B:$B,B1628))</f>
        <v/>
      </c>
      <c r="F1628" s="5" t="str">
        <f aca="false">IF(B1628=0,"",IF(INDEX(Bank!$C:$C,B1628)="","",INDEX(Bank!$C:$C,B1628)))</f>
        <v/>
      </c>
      <c r="G1628" s="19" t="str">
        <f aca="false">IF(B1628=0,"",INDEX(Bank!$E:$E,B1628))</f>
        <v/>
      </c>
      <c r="H1628" s="5" t="str">
        <f aca="false">IF(B1628=0,"",IF(INDEX(Bank!$H:$H,B1628)="","",INDEX(Bank!$H:$H,B1628)))</f>
        <v/>
      </c>
      <c r="I1628" s="5" t="n">
        <f aca="false">IF(H1628="",0,IFERROR(MATCH(H1628,GL!$A:$A,0),0))</f>
        <v>0</v>
      </c>
      <c r="J1628" s="32" t="str">
        <f aca="false">IF(I1628=0,"",INDEX(GL!$B:$B,I1628))</f>
        <v/>
      </c>
      <c r="K1628" s="5" t="str">
        <f aca="false">IF(I1628=0,"",IF(INDEX(GL!$C:$C,I1628)="","",INDEX(GL!$C:$C,I1628)))</f>
        <v/>
      </c>
      <c r="L1628" s="19" t="str">
        <f aca="false">IF(I1628=0,"",INDEX(GL!$E:$E,I1628))</f>
        <v/>
      </c>
      <c r="M1628" s="19" t="str">
        <f aca="false">IF(OR(B1628=0,I1628=0),"",ROUND(G1628-L1628,2))</f>
        <v/>
      </c>
      <c r="N1628" s="5" t="str">
        <f aca="false">IF(A1628="","",IF(B1628=0,"NOT FOUND: bank ID",IF(I1628=0,"NOT FOUND: GL ID",IF(INDEX(GL!$H:$H,I1628)&lt;&gt;A1628,"BROKEN: GL points elsewhere",IF(OR(INDEX(Bank!$F:$F,B1628)&lt;&gt;"Y",INDEX(GL!$F:$F,I1628)&lt;&gt;"Y"),"BROKEN: Status not Y","OK")))))</f>
        <v/>
      </c>
    </row>
    <row r="1629" customFormat="false" ht="15" hidden="false" customHeight="false" outlineLevel="0" collapsed="false">
      <c r="A1629" s="41"/>
      <c r="B1629" s="5" t="n">
        <f aca="false">IF(A1629="",0,IFERROR(MATCH(A1629,Bank!$A:$A,0),0))</f>
        <v>0</v>
      </c>
      <c r="C1629" s="5" t="str">
        <f aca="false">IF(B1629=0,"",IF(INDEX(Bank!$G:$G,B1629)="","",INDEX(Bank!$G:$G,B1629)))</f>
        <v/>
      </c>
      <c r="D1629" s="5" t="str">
        <f aca="false">IF(B1629=0,"",IF(INDEX(Bank!$J:$J,B1629)="","",INDEX(Bank!$J:$J,B1629)))</f>
        <v/>
      </c>
      <c r="E1629" s="32" t="str">
        <f aca="false">IF(B1629=0,"",INDEX(Bank!$B:$B,B1629))</f>
        <v/>
      </c>
      <c r="F1629" s="5" t="str">
        <f aca="false">IF(B1629=0,"",IF(INDEX(Bank!$C:$C,B1629)="","",INDEX(Bank!$C:$C,B1629)))</f>
        <v/>
      </c>
      <c r="G1629" s="19" t="str">
        <f aca="false">IF(B1629=0,"",INDEX(Bank!$E:$E,B1629))</f>
        <v/>
      </c>
      <c r="H1629" s="5" t="str">
        <f aca="false">IF(B1629=0,"",IF(INDEX(Bank!$H:$H,B1629)="","",INDEX(Bank!$H:$H,B1629)))</f>
        <v/>
      </c>
      <c r="I1629" s="5" t="n">
        <f aca="false">IF(H1629="",0,IFERROR(MATCH(H1629,GL!$A:$A,0),0))</f>
        <v>0</v>
      </c>
      <c r="J1629" s="32" t="str">
        <f aca="false">IF(I1629=0,"",INDEX(GL!$B:$B,I1629))</f>
        <v/>
      </c>
      <c r="K1629" s="5" t="str">
        <f aca="false">IF(I1629=0,"",IF(INDEX(GL!$C:$C,I1629)="","",INDEX(GL!$C:$C,I1629)))</f>
        <v/>
      </c>
      <c r="L1629" s="19" t="str">
        <f aca="false">IF(I1629=0,"",INDEX(GL!$E:$E,I1629))</f>
        <v/>
      </c>
      <c r="M1629" s="19" t="str">
        <f aca="false">IF(OR(B1629=0,I1629=0),"",ROUND(G1629-L1629,2))</f>
        <v/>
      </c>
      <c r="N1629" s="5" t="str">
        <f aca="false">IF(A1629="","",IF(B1629=0,"NOT FOUND: bank ID",IF(I1629=0,"NOT FOUND: GL ID",IF(INDEX(GL!$H:$H,I1629)&lt;&gt;A1629,"BROKEN: GL points elsewhere",IF(OR(INDEX(Bank!$F:$F,B1629)&lt;&gt;"Y",INDEX(GL!$F:$F,I1629)&lt;&gt;"Y"),"BROKEN: Status not Y","OK")))))</f>
        <v/>
      </c>
    </row>
    <row r="1630" customFormat="false" ht="15" hidden="false" customHeight="false" outlineLevel="0" collapsed="false">
      <c r="A1630" s="41"/>
      <c r="B1630" s="5" t="n">
        <f aca="false">IF(A1630="",0,IFERROR(MATCH(A1630,Bank!$A:$A,0),0))</f>
        <v>0</v>
      </c>
      <c r="C1630" s="5" t="str">
        <f aca="false">IF(B1630=0,"",IF(INDEX(Bank!$G:$G,B1630)="","",INDEX(Bank!$G:$G,B1630)))</f>
        <v/>
      </c>
      <c r="D1630" s="5" t="str">
        <f aca="false">IF(B1630=0,"",IF(INDEX(Bank!$J:$J,B1630)="","",INDEX(Bank!$J:$J,B1630)))</f>
        <v/>
      </c>
      <c r="E1630" s="32" t="str">
        <f aca="false">IF(B1630=0,"",INDEX(Bank!$B:$B,B1630))</f>
        <v/>
      </c>
      <c r="F1630" s="5" t="str">
        <f aca="false">IF(B1630=0,"",IF(INDEX(Bank!$C:$C,B1630)="","",INDEX(Bank!$C:$C,B1630)))</f>
        <v/>
      </c>
      <c r="G1630" s="19" t="str">
        <f aca="false">IF(B1630=0,"",INDEX(Bank!$E:$E,B1630))</f>
        <v/>
      </c>
      <c r="H1630" s="5" t="str">
        <f aca="false">IF(B1630=0,"",IF(INDEX(Bank!$H:$H,B1630)="","",INDEX(Bank!$H:$H,B1630)))</f>
        <v/>
      </c>
      <c r="I1630" s="5" t="n">
        <f aca="false">IF(H1630="",0,IFERROR(MATCH(H1630,GL!$A:$A,0),0))</f>
        <v>0</v>
      </c>
      <c r="J1630" s="32" t="str">
        <f aca="false">IF(I1630=0,"",INDEX(GL!$B:$B,I1630))</f>
        <v/>
      </c>
      <c r="K1630" s="5" t="str">
        <f aca="false">IF(I1630=0,"",IF(INDEX(GL!$C:$C,I1630)="","",INDEX(GL!$C:$C,I1630)))</f>
        <v/>
      </c>
      <c r="L1630" s="19" t="str">
        <f aca="false">IF(I1630=0,"",INDEX(GL!$E:$E,I1630))</f>
        <v/>
      </c>
      <c r="M1630" s="19" t="str">
        <f aca="false">IF(OR(B1630=0,I1630=0),"",ROUND(G1630-L1630,2))</f>
        <v/>
      </c>
      <c r="N1630" s="5" t="str">
        <f aca="false">IF(A1630="","",IF(B1630=0,"NOT FOUND: bank ID",IF(I1630=0,"NOT FOUND: GL ID",IF(INDEX(GL!$H:$H,I1630)&lt;&gt;A1630,"BROKEN: GL points elsewhere",IF(OR(INDEX(Bank!$F:$F,B1630)&lt;&gt;"Y",INDEX(GL!$F:$F,I1630)&lt;&gt;"Y"),"BROKEN: Status not Y","OK")))))</f>
        <v/>
      </c>
    </row>
    <row r="1631" customFormat="false" ht="15" hidden="false" customHeight="false" outlineLevel="0" collapsed="false">
      <c r="A1631" s="41"/>
      <c r="B1631" s="5" t="n">
        <f aca="false">IF(A1631="",0,IFERROR(MATCH(A1631,Bank!$A:$A,0),0))</f>
        <v>0</v>
      </c>
      <c r="C1631" s="5" t="str">
        <f aca="false">IF(B1631=0,"",IF(INDEX(Bank!$G:$G,B1631)="","",INDEX(Bank!$G:$G,B1631)))</f>
        <v/>
      </c>
      <c r="D1631" s="5" t="str">
        <f aca="false">IF(B1631=0,"",IF(INDEX(Bank!$J:$J,B1631)="","",INDEX(Bank!$J:$J,B1631)))</f>
        <v/>
      </c>
      <c r="E1631" s="32" t="str">
        <f aca="false">IF(B1631=0,"",INDEX(Bank!$B:$B,B1631))</f>
        <v/>
      </c>
      <c r="F1631" s="5" t="str">
        <f aca="false">IF(B1631=0,"",IF(INDEX(Bank!$C:$C,B1631)="","",INDEX(Bank!$C:$C,B1631)))</f>
        <v/>
      </c>
      <c r="G1631" s="19" t="str">
        <f aca="false">IF(B1631=0,"",INDEX(Bank!$E:$E,B1631))</f>
        <v/>
      </c>
      <c r="H1631" s="5" t="str">
        <f aca="false">IF(B1631=0,"",IF(INDEX(Bank!$H:$H,B1631)="","",INDEX(Bank!$H:$H,B1631)))</f>
        <v/>
      </c>
      <c r="I1631" s="5" t="n">
        <f aca="false">IF(H1631="",0,IFERROR(MATCH(H1631,GL!$A:$A,0),0))</f>
        <v>0</v>
      </c>
      <c r="J1631" s="32" t="str">
        <f aca="false">IF(I1631=0,"",INDEX(GL!$B:$B,I1631))</f>
        <v/>
      </c>
      <c r="K1631" s="5" t="str">
        <f aca="false">IF(I1631=0,"",IF(INDEX(GL!$C:$C,I1631)="","",INDEX(GL!$C:$C,I1631)))</f>
        <v/>
      </c>
      <c r="L1631" s="19" t="str">
        <f aca="false">IF(I1631=0,"",INDEX(GL!$E:$E,I1631))</f>
        <v/>
      </c>
      <c r="M1631" s="19" t="str">
        <f aca="false">IF(OR(B1631=0,I1631=0),"",ROUND(G1631-L1631,2))</f>
        <v/>
      </c>
      <c r="N1631" s="5" t="str">
        <f aca="false">IF(A1631="","",IF(B1631=0,"NOT FOUND: bank ID",IF(I1631=0,"NOT FOUND: GL ID",IF(INDEX(GL!$H:$H,I1631)&lt;&gt;A1631,"BROKEN: GL points elsewhere",IF(OR(INDEX(Bank!$F:$F,B1631)&lt;&gt;"Y",INDEX(GL!$F:$F,I1631)&lt;&gt;"Y"),"BROKEN: Status not Y","OK")))))</f>
        <v/>
      </c>
    </row>
    <row r="1632" customFormat="false" ht="15" hidden="false" customHeight="false" outlineLevel="0" collapsed="false">
      <c r="A1632" s="41"/>
      <c r="B1632" s="5" t="n">
        <f aca="false">IF(A1632="",0,IFERROR(MATCH(A1632,Bank!$A:$A,0),0))</f>
        <v>0</v>
      </c>
      <c r="C1632" s="5" t="str">
        <f aca="false">IF(B1632=0,"",IF(INDEX(Bank!$G:$G,B1632)="","",INDEX(Bank!$G:$G,B1632)))</f>
        <v/>
      </c>
      <c r="D1632" s="5" t="str">
        <f aca="false">IF(B1632=0,"",IF(INDEX(Bank!$J:$J,B1632)="","",INDEX(Bank!$J:$J,B1632)))</f>
        <v/>
      </c>
      <c r="E1632" s="32" t="str">
        <f aca="false">IF(B1632=0,"",INDEX(Bank!$B:$B,B1632))</f>
        <v/>
      </c>
      <c r="F1632" s="5" t="str">
        <f aca="false">IF(B1632=0,"",IF(INDEX(Bank!$C:$C,B1632)="","",INDEX(Bank!$C:$C,B1632)))</f>
        <v/>
      </c>
      <c r="G1632" s="19" t="str">
        <f aca="false">IF(B1632=0,"",INDEX(Bank!$E:$E,B1632))</f>
        <v/>
      </c>
      <c r="H1632" s="5" t="str">
        <f aca="false">IF(B1632=0,"",IF(INDEX(Bank!$H:$H,B1632)="","",INDEX(Bank!$H:$H,B1632)))</f>
        <v/>
      </c>
      <c r="I1632" s="5" t="n">
        <f aca="false">IF(H1632="",0,IFERROR(MATCH(H1632,GL!$A:$A,0),0))</f>
        <v>0</v>
      </c>
      <c r="J1632" s="32" t="str">
        <f aca="false">IF(I1632=0,"",INDEX(GL!$B:$B,I1632))</f>
        <v/>
      </c>
      <c r="K1632" s="5" t="str">
        <f aca="false">IF(I1632=0,"",IF(INDEX(GL!$C:$C,I1632)="","",INDEX(GL!$C:$C,I1632)))</f>
        <v/>
      </c>
      <c r="L1632" s="19" t="str">
        <f aca="false">IF(I1632=0,"",INDEX(GL!$E:$E,I1632))</f>
        <v/>
      </c>
      <c r="M1632" s="19" t="str">
        <f aca="false">IF(OR(B1632=0,I1632=0),"",ROUND(G1632-L1632,2))</f>
        <v/>
      </c>
      <c r="N1632" s="5" t="str">
        <f aca="false">IF(A1632="","",IF(B1632=0,"NOT FOUND: bank ID",IF(I1632=0,"NOT FOUND: GL ID",IF(INDEX(GL!$H:$H,I1632)&lt;&gt;A1632,"BROKEN: GL points elsewhere",IF(OR(INDEX(Bank!$F:$F,B1632)&lt;&gt;"Y",INDEX(GL!$F:$F,I1632)&lt;&gt;"Y"),"BROKEN: Status not Y","OK")))))</f>
        <v/>
      </c>
    </row>
    <row r="1633" customFormat="false" ht="15" hidden="false" customHeight="false" outlineLevel="0" collapsed="false">
      <c r="A1633" s="41"/>
      <c r="B1633" s="5" t="n">
        <f aca="false">IF(A1633="",0,IFERROR(MATCH(A1633,Bank!$A:$A,0),0))</f>
        <v>0</v>
      </c>
      <c r="C1633" s="5" t="str">
        <f aca="false">IF(B1633=0,"",IF(INDEX(Bank!$G:$G,B1633)="","",INDEX(Bank!$G:$G,B1633)))</f>
        <v/>
      </c>
      <c r="D1633" s="5" t="str">
        <f aca="false">IF(B1633=0,"",IF(INDEX(Bank!$J:$J,B1633)="","",INDEX(Bank!$J:$J,B1633)))</f>
        <v/>
      </c>
      <c r="E1633" s="32" t="str">
        <f aca="false">IF(B1633=0,"",INDEX(Bank!$B:$B,B1633))</f>
        <v/>
      </c>
      <c r="F1633" s="5" t="str">
        <f aca="false">IF(B1633=0,"",IF(INDEX(Bank!$C:$C,B1633)="","",INDEX(Bank!$C:$C,B1633)))</f>
        <v/>
      </c>
      <c r="G1633" s="19" t="str">
        <f aca="false">IF(B1633=0,"",INDEX(Bank!$E:$E,B1633))</f>
        <v/>
      </c>
      <c r="H1633" s="5" t="str">
        <f aca="false">IF(B1633=0,"",IF(INDEX(Bank!$H:$H,B1633)="","",INDEX(Bank!$H:$H,B1633)))</f>
        <v/>
      </c>
      <c r="I1633" s="5" t="n">
        <f aca="false">IF(H1633="",0,IFERROR(MATCH(H1633,GL!$A:$A,0),0))</f>
        <v>0</v>
      </c>
      <c r="J1633" s="32" t="str">
        <f aca="false">IF(I1633=0,"",INDEX(GL!$B:$B,I1633))</f>
        <v/>
      </c>
      <c r="K1633" s="5" t="str">
        <f aca="false">IF(I1633=0,"",IF(INDEX(GL!$C:$C,I1633)="","",INDEX(GL!$C:$C,I1633)))</f>
        <v/>
      </c>
      <c r="L1633" s="19" t="str">
        <f aca="false">IF(I1633=0,"",INDEX(GL!$E:$E,I1633))</f>
        <v/>
      </c>
      <c r="M1633" s="19" t="str">
        <f aca="false">IF(OR(B1633=0,I1633=0),"",ROUND(G1633-L1633,2))</f>
        <v/>
      </c>
      <c r="N1633" s="5" t="str">
        <f aca="false">IF(A1633="","",IF(B1633=0,"NOT FOUND: bank ID",IF(I1633=0,"NOT FOUND: GL ID",IF(INDEX(GL!$H:$H,I1633)&lt;&gt;A1633,"BROKEN: GL points elsewhere",IF(OR(INDEX(Bank!$F:$F,B1633)&lt;&gt;"Y",INDEX(GL!$F:$F,I1633)&lt;&gt;"Y"),"BROKEN: Status not Y","OK")))))</f>
        <v/>
      </c>
    </row>
    <row r="1634" customFormat="false" ht="15" hidden="false" customHeight="false" outlineLevel="0" collapsed="false">
      <c r="A1634" s="41"/>
      <c r="B1634" s="5" t="n">
        <f aca="false">IF(A1634="",0,IFERROR(MATCH(A1634,Bank!$A:$A,0),0))</f>
        <v>0</v>
      </c>
      <c r="C1634" s="5" t="str">
        <f aca="false">IF(B1634=0,"",IF(INDEX(Bank!$G:$G,B1634)="","",INDEX(Bank!$G:$G,B1634)))</f>
        <v/>
      </c>
      <c r="D1634" s="5" t="str">
        <f aca="false">IF(B1634=0,"",IF(INDEX(Bank!$J:$J,B1634)="","",INDEX(Bank!$J:$J,B1634)))</f>
        <v/>
      </c>
      <c r="E1634" s="32" t="str">
        <f aca="false">IF(B1634=0,"",INDEX(Bank!$B:$B,B1634))</f>
        <v/>
      </c>
      <c r="F1634" s="5" t="str">
        <f aca="false">IF(B1634=0,"",IF(INDEX(Bank!$C:$C,B1634)="","",INDEX(Bank!$C:$C,B1634)))</f>
        <v/>
      </c>
      <c r="G1634" s="19" t="str">
        <f aca="false">IF(B1634=0,"",INDEX(Bank!$E:$E,B1634))</f>
        <v/>
      </c>
      <c r="H1634" s="5" t="str">
        <f aca="false">IF(B1634=0,"",IF(INDEX(Bank!$H:$H,B1634)="","",INDEX(Bank!$H:$H,B1634)))</f>
        <v/>
      </c>
      <c r="I1634" s="5" t="n">
        <f aca="false">IF(H1634="",0,IFERROR(MATCH(H1634,GL!$A:$A,0),0))</f>
        <v>0</v>
      </c>
      <c r="J1634" s="32" t="str">
        <f aca="false">IF(I1634=0,"",INDEX(GL!$B:$B,I1634))</f>
        <v/>
      </c>
      <c r="K1634" s="5" t="str">
        <f aca="false">IF(I1634=0,"",IF(INDEX(GL!$C:$C,I1634)="","",INDEX(GL!$C:$C,I1634)))</f>
        <v/>
      </c>
      <c r="L1634" s="19" t="str">
        <f aca="false">IF(I1634=0,"",INDEX(GL!$E:$E,I1634))</f>
        <v/>
      </c>
      <c r="M1634" s="19" t="str">
        <f aca="false">IF(OR(B1634=0,I1634=0),"",ROUND(G1634-L1634,2))</f>
        <v/>
      </c>
      <c r="N1634" s="5" t="str">
        <f aca="false">IF(A1634="","",IF(B1634=0,"NOT FOUND: bank ID",IF(I1634=0,"NOT FOUND: GL ID",IF(INDEX(GL!$H:$H,I1634)&lt;&gt;A1634,"BROKEN: GL points elsewhere",IF(OR(INDEX(Bank!$F:$F,B1634)&lt;&gt;"Y",INDEX(GL!$F:$F,I1634)&lt;&gt;"Y"),"BROKEN: Status not Y","OK")))))</f>
        <v/>
      </c>
    </row>
    <row r="1635" customFormat="false" ht="15" hidden="false" customHeight="false" outlineLevel="0" collapsed="false">
      <c r="A1635" s="41"/>
      <c r="B1635" s="5" t="n">
        <f aca="false">IF(A1635="",0,IFERROR(MATCH(A1635,Bank!$A:$A,0),0))</f>
        <v>0</v>
      </c>
      <c r="C1635" s="5" t="str">
        <f aca="false">IF(B1635=0,"",IF(INDEX(Bank!$G:$G,B1635)="","",INDEX(Bank!$G:$G,B1635)))</f>
        <v/>
      </c>
      <c r="D1635" s="5" t="str">
        <f aca="false">IF(B1635=0,"",IF(INDEX(Bank!$J:$J,B1635)="","",INDEX(Bank!$J:$J,B1635)))</f>
        <v/>
      </c>
      <c r="E1635" s="32" t="str">
        <f aca="false">IF(B1635=0,"",INDEX(Bank!$B:$B,B1635))</f>
        <v/>
      </c>
      <c r="F1635" s="5" t="str">
        <f aca="false">IF(B1635=0,"",IF(INDEX(Bank!$C:$C,B1635)="","",INDEX(Bank!$C:$C,B1635)))</f>
        <v/>
      </c>
      <c r="G1635" s="19" t="str">
        <f aca="false">IF(B1635=0,"",INDEX(Bank!$E:$E,B1635))</f>
        <v/>
      </c>
      <c r="H1635" s="5" t="str">
        <f aca="false">IF(B1635=0,"",IF(INDEX(Bank!$H:$H,B1635)="","",INDEX(Bank!$H:$H,B1635)))</f>
        <v/>
      </c>
      <c r="I1635" s="5" t="n">
        <f aca="false">IF(H1635="",0,IFERROR(MATCH(H1635,GL!$A:$A,0),0))</f>
        <v>0</v>
      </c>
      <c r="J1635" s="32" t="str">
        <f aca="false">IF(I1635=0,"",INDEX(GL!$B:$B,I1635))</f>
        <v/>
      </c>
      <c r="K1635" s="5" t="str">
        <f aca="false">IF(I1635=0,"",IF(INDEX(GL!$C:$C,I1635)="","",INDEX(GL!$C:$C,I1635)))</f>
        <v/>
      </c>
      <c r="L1635" s="19" t="str">
        <f aca="false">IF(I1635=0,"",INDEX(GL!$E:$E,I1635))</f>
        <v/>
      </c>
      <c r="M1635" s="19" t="str">
        <f aca="false">IF(OR(B1635=0,I1635=0),"",ROUND(G1635-L1635,2))</f>
        <v/>
      </c>
      <c r="N1635" s="5" t="str">
        <f aca="false">IF(A1635="","",IF(B1635=0,"NOT FOUND: bank ID",IF(I1635=0,"NOT FOUND: GL ID",IF(INDEX(GL!$H:$H,I1635)&lt;&gt;A1635,"BROKEN: GL points elsewhere",IF(OR(INDEX(Bank!$F:$F,B1635)&lt;&gt;"Y",INDEX(GL!$F:$F,I1635)&lt;&gt;"Y"),"BROKEN: Status not Y","OK")))))</f>
        <v/>
      </c>
    </row>
    <row r="1636" customFormat="false" ht="15" hidden="false" customHeight="false" outlineLevel="0" collapsed="false">
      <c r="A1636" s="41"/>
      <c r="B1636" s="5" t="n">
        <f aca="false">IF(A1636="",0,IFERROR(MATCH(A1636,Bank!$A:$A,0),0))</f>
        <v>0</v>
      </c>
      <c r="C1636" s="5" t="str">
        <f aca="false">IF(B1636=0,"",IF(INDEX(Bank!$G:$G,B1636)="","",INDEX(Bank!$G:$G,B1636)))</f>
        <v/>
      </c>
      <c r="D1636" s="5" t="str">
        <f aca="false">IF(B1636=0,"",IF(INDEX(Bank!$J:$J,B1636)="","",INDEX(Bank!$J:$J,B1636)))</f>
        <v/>
      </c>
      <c r="E1636" s="32" t="str">
        <f aca="false">IF(B1636=0,"",INDEX(Bank!$B:$B,B1636))</f>
        <v/>
      </c>
      <c r="F1636" s="5" t="str">
        <f aca="false">IF(B1636=0,"",IF(INDEX(Bank!$C:$C,B1636)="","",INDEX(Bank!$C:$C,B1636)))</f>
        <v/>
      </c>
      <c r="G1636" s="19" t="str">
        <f aca="false">IF(B1636=0,"",INDEX(Bank!$E:$E,B1636))</f>
        <v/>
      </c>
      <c r="H1636" s="5" t="str">
        <f aca="false">IF(B1636=0,"",IF(INDEX(Bank!$H:$H,B1636)="","",INDEX(Bank!$H:$H,B1636)))</f>
        <v/>
      </c>
      <c r="I1636" s="5" t="n">
        <f aca="false">IF(H1636="",0,IFERROR(MATCH(H1636,GL!$A:$A,0),0))</f>
        <v>0</v>
      </c>
      <c r="J1636" s="32" t="str">
        <f aca="false">IF(I1636=0,"",INDEX(GL!$B:$B,I1636))</f>
        <v/>
      </c>
      <c r="K1636" s="5" t="str">
        <f aca="false">IF(I1636=0,"",IF(INDEX(GL!$C:$C,I1636)="","",INDEX(GL!$C:$C,I1636)))</f>
        <v/>
      </c>
      <c r="L1636" s="19" t="str">
        <f aca="false">IF(I1636=0,"",INDEX(GL!$E:$E,I1636))</f>
        <v/>
      </c>
      <c r="M1636" s="19" t="str">
        <f aca="false">IF(OR(B1636=0,I1636=0),"",ROUND(G1636-L1636,2))</f>
        <v/>
      </c>
      <c r="N1636" s="5" t="str">
        <f aca="false">IF(A1636="","",IF(B1636=0,"NOT FOUND: bank ID",IF(I1636=0,"NOT FOUND: GL ID",IF(INDEX(GL!$H:$H,I1636)&lt;&gt;A1636,"BROKEN: GL points elsewhere",IF(OR(INDEX(Bank!$F:$F,B1636)&lt;&gt;"Y",INDEX(GL!$F:$F,I1636)&lt;&gt;"Y"),"BROKEN: Status not Y","OK")))))</f>
        <v/>
      </c>
    </row>
    <row r="1637" customFormat="false" ht="15" hidden="false" customHeight="false" outlineLevel="0" collapsed="false">
      <c r="A1637" s="41"/>
      <c r="B1637" s="5" t="n">
        <f aca="false">IF(A1637="",0,IFERROR(MATCH(A1637,Bank!$A:$A,0),0))</f>
        <v>0</v>
      </c>
      <c r="C1637" s="5" t="str">
        <f aca="false">IF(B1637=0,"",IF(INDEX(Bank!$G:$G,B1637)="","",INDEX(Bank!$G:$G,B1637)))</f>
        <v/>
      </c>
      <c r="D1637" s="5" t="str">
        <f aca="false">IF(B1637=0,"",IF(INDEX(Bank!$J:$J,B1637)="","",INDEX(Bank!$J:$J,B1637)))</f>
        <v/>
      </c>
      <c r="E1637" s="32" t="str">
        <f aca="false">IF(B1637=0,"",INDEX(Bank!$B:$B,B1637))</f>
        <v/>
      </c>
      <c r="F1637" s="5" t="str">
        <f aca="false">IF(B1637=0,"",IF(INDEX(Bank!$C:$C,B1637)="","",INDEX(Bank!$C:$C,B1637)))</f>
        <v/>
      </c>
      <c r="G1637" s="19" t="str">
        <f aca="false">IF(B1637=0,"",INDEX(Bank!$E:$E,B1637))</f>
        <v/>
      </c>
      <c r="H1637" s="5" t="str">
        <f aca="false">IF(B1637=0,"",IF(INDEX(Bank!$H:$H,B1637)="","",INDEX(Bank!$H:$H,B1637)))</f>
        <v/>
      </c>
      <c r="I1637" s="5" t="n">
        <f aca="false">IF(H1637="",0,IFERROR(MATCH(H1637,GL!$A:$A,0),0))</f>
        <v>0</v>
      </c>
      <c r="J1637" s="32" t="str">
        <f aca="false">IF(I1637=0,"",INDEX(GL!$B:$B,I1637))</f>
        <v/>
      </c>
      <c r="K1637" s="5" t="str">
        <f aca="false">IF(I1637=0,"",IF(INDEX(GL!$C:$C,I1637)="","",INDEX(GL!$C:$C,I1637)))</f>
        <v/>
      </c>
      <c r="L1637" s="19" t="str">
        <f aca="false">IF(I1637=0,"",INDEX(GL!$E:$E,I1637))</f>
        <v/>
      </c>
      <c r="M1637" s="19" t="str">
        <f aca="false">IF(OR(B1637=0,I1637=0),"",ROUND(G1637-L1637,2))</f>
        <v/>
      </c>
      <c r="N1637" s="5" t="str">
        <f aca="false">IF(A1637="","",IF(B1637=0,"NOT FOUND: bank ID",IF(I1637=0,"NOT FOUND: GL ID",IF(INDEX(GL!$H:$H,I1637)&lt;&gt;A1637,"BROKEN: GL points elsewhere",IF(OR(INDEX(Bank!$F:$F,B1637)&lt;&gt;"Y",INDEX(GL!$F:$F,I1637)&lt;&gt;"Y"),"BROKEN: Status not Y","OK")))))</f>
        <v/>
      </c>
    </row>
    <row r="1638" customFormat="false" ht="15" hidden="false" customHeight="false" outlineLevel="0" collapsed="false">
      <c r="A1638" s="41"/>
      <c r="B1638" s="5" t="n">
        <f aca="false">IF(A1638="",0,IFERROR(MATCH(A1638,Bank!$A:$A,0),0))</f>
        <v>0</v>
      </c>
      <c r="C1638" s="5" t="str">
        <f aca="false">IF(B1638=0,"",IF(INDEX(Bank!$G:$G,B1638)="","",INDEX(Bank!$G:$G,B1638)))</f>
        <v/>
      </c>
      <c r="D1638" s="5" t="str">
        <f aca="false">IF(B1638=0,"",IF(INDEX(Bank!$J:$J,B1638)="","",INDEX(Bank!$J:$J,B1638)))</f>
        <v/>
      </c>
      <c r="E1638" s="32" t="str">
        <f aca="false">IF(B1638=0,"",INDEX(Bank!$B:$B,B1638))</f>
        <v/>
      </c>
      <c r="F1638" s="5" t="str">
        <f aca="false">IF(B1638=0,"",IF(INDEX(Bank!$C:$C,B1638)="","",INDEX(Bank!$C:$C,B1638)))</f>
        <v/>
      </c>
      <c r="G1638" s="19" t="str">
        <f aca="false">IF(B1638=0,"",INDEX(Bank!$E:$E,B1638))</f>
        <v/>
      </c>
      <c r="H1638" s="5" t="str">
        <f aca="false">IF(B1638=0,"",IF(INDEX(Bank!$H:$H,B1638)="","",INDEX(Bank!$H:$H,B1638)))</f>
        <v/>
      </c>
      <c r="I1638" s="5" t="n">
        <f aca="false">IF(H1638="",0,IFERROR(MATCH(H1638,GL!$A:$A,0),0))</f>
        <v>0</v>
      </c>
      <c r="J1638" s="32" t="str">
        <f aca="false">IF(I1638=0,"",INDEX(GL!$B:$B,I1638))</f>
        <v/>
      </c>
      <c r="K1638" s="5" t="str">
        <f aca="false">IF(I1638=0,"",IF(INDEX(GL!$C:$C,I1638)="","",INDEX(GL!$C:$C,I1638)))</f>
        <v/>
      </c>
      <c r="L1638" s="19" t="str">
        <f aca="false">IF(I1638=0,"",INDEX(GL!$E:$E,I1638))</f>
        <v/>
      </c>
      <c r="M1638" s="19" t="str">
        <f aca="false">IF(OR(B1638=0,I1638=0),"",ROUND(G1638-L1638,2))</f>
        <v/>
      </c>
      <c r="N1638" s="5" t="str">
        <f aca="false">IF(A1638="","",IF(B1638=0,"NOT FOUND: bank ID",IF(I1638=0,"NOT FOUND: GL ID",IF(INDEX(GL!$H:$H,I1638)&lt;&gt;A1638,"BROKEN: GL points elsewhere",IF(OR(INDEX(Bank!$F:$F,B1638)&lt;&gt;"Y",INDEX(GL!$F:$F,I1638)&lt;&gt;"Y"),"BROKEN: Status not Y","OK")))))</f>
        <v/>
      </c>
    </row>
    <row r="1639" customFormat="false" ht="15" hidden="false" customHeight="false" outlineLevel="0" collapsed="false">
      <c r="A1639" s="41"/>
      <c r="B1639" s="5" t="n">
        <f aca="false">IF(A1639="",0,IFERROR(MATCH(A1639,Bank!$A:$A,0),0))</f>
        <v>0</v>
      </c>
      <c r="C1639" s="5" t="str">
        <f aca="false">IF(B1639=0,"",IF(INDEX(Bank!$G:$G,B1639)="","",INDEX(Bank!$G:$G,B1639)))</f>
        <v/>
      </c>
      <c r="D1639" s="5" t="str">
        <f aca="false">IF(B1639=0,"",IF(INDEX(Bank!$J:$J,B1639)="","",INDEX(Bank!$J:$J,B1639)))</f>
        <v/>
      </c>
      <c r="E1639" s="32" t="str">
        <f aca="false">IF(B1639=0,"",INDEX(Bank!$B:$B,B1639))</f>
        <v/>
      </c>
      <c r="F1639" s="5" t="str">
        <f aca="false">IF(B1639=0,"",IF(INDEX(Bank!$C:$C,B1639)="","",INDEX(Bank!$C:$C,B1639)))</f>
        <v/>
      </c>
      <c r="G1639" s="19" t="str">
        <f aca="false">IF(B1639=0,"",INDEX(Bank!$E:$E,B1639))</f>
        <v/>
      </c>
      <c r="H1639" s="5" t="str">
        <f aca="false">IF(B1639=0,"",IF(INDEX(Bank!$H:$H,B1639)="","",INDEX(Bank!$H:$H,B1639)))</f>
        <v/>
      </c>
      <c r="I1639" s="5" t="n">
        <f aca="false">IF(H1639="",0,IFERROR(MATCH(H1639,GL!$A:$A,0),0))</f>
        <v>0</v>
      </c>
      <c r="J1639" s="32" t="str">
        <f aca="false">IF(I1639=0,"",INDEX(GL!$B:$B,I1639))</f>
        <v/>
      </c>
      <c r="K1639" s="5" t="str">
        <f aca="false">IF(I1639=0,"",IF(INDEX(GL!$C:$C,I1639)="","",INDEX(GL!$C:$C,I1639)))</f>
        <v/>
      </c>
      <c r="L1639" s="19" t="str">
        <f aca="false">IF(I1639=0,"",INDEX(GL!$E:$E,I1639))</f>
        <v/>
      </c>
      <c r="M1639" s="19" t="str">
        <f aca="false">IF(OR(B1639=0,I1639=0),"",ROUND(G1639-L1639,2))</f>
        <v/>
      </c>
      <c r="N1639" s="5" t="str">
        <f aca="false">IF(A1639="","",IF(B1639=0,"NOT FOUND: bank ID",IF(I1639=0,"NOT FOUND: GL ID",IF(INDEX(GL!$H:$H,I1639)&lt;&gt;A1639,"BROKEN: GL points elsewhere",IF(OR(INDEX(Bank!$F:$F,B1639)&lt;&gt;"Y",INDEX(GL!$F:$F,I1639)&lt;&gt;"Y"),"BROKEN: Status not Y","OK")))))</f>
        <v/>
      </c>
    </row>
    <row r="1640" customFormat="false" ht="15" hidden="false" customHeight="false" outlineLevel="0" collapsed="false">
      <c r="A1640" s="41"/>
      <c r="B1640" s="5" t="n">
        <f aca="false">IF(A1640="",0,IFERROR(MATCH(A1640,Bank!$A:$A,0),0))</f>
        <v>0</v>
      </c>
      <c r="C1640" s="5" t="str">
        <f aca="false">IF(B1640=0,"",IF(INDEX(Bank!$G:$G,B1640)="","",INDEX(Bank!$G:$G,B1640)))</f>
        <v/>
      </c>
      <c r="D1640" s="5" t="str">
        <f aca="false">IF(B1640=0,"",IF(INDEX(Bank!$J:$J,B1640)="","",INDEX(Bank!$J:$J,B1640)))</f>
        <v/>
      </c>
      <c r="E1640" s="32" t="str">
        <f aca="false">IF(B1640=0,"",INDEX(Bank!$B:$B,B1640))</f>
        <v/>
      </c>
      <c r="F1640" s="5" t="str">
        <f aca="false">IF(B1640=0,"",IF(INDEX(Bank!$C:$C,B1640)="","",INDEX(Bank!$C:$C,B1640)))</f>
        <v/>
      </c>
      <c r="G1640" s="19" t="str">
        <f aca="false">IF(B1640=0,"",INDEX(Bank!$E:$E,B1640))</f>
        <v/>
      </c>
      <c r="H1640" s="5" t="str">
        <f aca="false">IF(B1640=0,"",IF(INDEX(Bank!$H:$H,B1640)="","",INDEX(Bank!$H:$H,B1640)))</f>
        <v/>
      </c>
      <c r="I1640" s="5" t="n">
        <f aca="false">IF(H1640="",0,IFERROR(MATCH(H1640,GL!$A:$A,0),0))</f>
        <v>0</v>
      </c>
      <c r="J1640" s="32" t="str">
        <f aca="false">IF(I1640=0,"",INDEX(GL!$B:$B,I1640))</f>
        <v/>
      </c>
      <c r="K1640" s="5" t="str">
        <f aca="false">IF(I1640=0,"",IF(INDEX(GL!$C:$C,I1640)="","",INDEX(GL!$C:$C,I1640)))</f>
        <v/>
      </c>
      <c r="L1640" s="19" t="str">
        <f aca="false">IF(I1640=0,"",INDEX(GL!$E:$E,I1640))</f>
        <v/>
      </c>
      <c r="M1640" s="19" t="str">
        <f aca="false">IF(OR(B1640=0,I1640=0),"",ROUND(G1640-L1640,2))</f>
        <v/>
      </c>
      <c r="N1640" s="5" t="str">
        <f aca="false">IF(A1640="","",IF(B1640=0,"NOT FOUND: bank ID",IF(I1640=0,"NOT FOUND: GL ID",IF(INDEX(GL!$H:$H,I1640)&lt;&gt;A1640,"BROKEN: GL points elsewhere",IF(OR(INDEX(Bank!$F:$F,B1640)&lt;&gt;"Y",INDEX(GL!$F:$F,I1640)&lt;&gt;"Y"),"BROKEN: Status not Y","OK")))))</f>
        <v/>
      </c>
    </row>
    <row r="1641" customFormat="false" ht="15" hidden="false" customHeight="false" outlineLevel="0" collapsed="false">
      <c r="A1641" s="41"/>
      <c r="B1641" s="5" t="n">
        <f aca="false">IF(A1641="",0,IFERROR(MATCH(A1641,Bank!$A:$A,0),0))</f>
        <v>0</v>
      </c>
      <c r="C1641" s="5" t="str">
        <f aca="false">IF(B1641=0,"",IF(INDEX(Bank!$G:$G,B1641)="","",INDEX(Bank!$G:$G,B1641)))</f>
        <v/>
      </c>
      <c r="D1641" s="5" t="str">
        <f aca="false">IF(B1641=0,"",IF(INDEX(Bank!$J:$J,B1641)="","",INDEX(Bank!$J:$J,B1641)))</f>
        <v/>
      </c>
      <c r="E1641" s="32" t="str">
        <f aca="false">IF(B1641=0,"",INDEX(Bank!$B:$B,B1641))</f>
        <v/>
      </c>
      <c r="F1641" s="5" t="str">
        <f aca="false">IF(B1641=0,"",IF(INDEX(Bank!$C:$C,B1641)="","",INDEX(Bank!$C:$C,B1641)))</f>
        <v/>
      </c>
      <c r="G1641" s="19" t="str">
        <f aca="false">IF(B1641=0,"",INDEX(Bank!$E:$E,B1641))</f>
        <v/>
      </c>
      <c r="H1641" s="5" t="str">
        <f aca="false">IF(B1641=0,"",IF(INDEX(Bank!$H:$H,B1641)="","",INDEX(Bank!$H:$H,B1641)))</f>
        <v/>
      </c>
      <c r="I1641" s="5" t="n">
        <f aca="false">IF(H1641="",0,IFERROR(MATCH(H1641,GL!$A:$A,0),0))</f>
        <v>0</v>
      </c>
      <c r="J1641" s="32" t="str">
        <f aca="false">IF(I1641=0,"",INDEX(GL!$B:$B,I1641))</f>
        <v/>
      </c>
      <c r="K1641" s="5" t="str">
        <f aca="false">IF(I1641=0,"",IF(INDEX(GL!$C:$C,I1641)="","",INDEX(GL!$C:$C,I1641)))</f>
        <v/>
      </c>
      <c r="L1641" s="19" t="str">
        <f aca="false">IF(I1641=0,"",INDEX(GL!$E:$E,I1641))</f>
        <v/>
      </c>
      <c r="M1641" s="19" t="str">
        <f aca="false">IF(OR(B1641=0,I1641=0),"",ROUND(G1641-L1641,2))</f>
        <v/>
      </c>
      <c r="N1641" s="5" t="str">
        <f aca="false">IF(A1641="","",IF(B1641=0,"NOT FOUND: bank ID",IF(I1641=0,"NOT FOUND: GL ID",IF(INDEX(GL!$H:$H,I1641)&lt;&gt;A1641,"BROKEN: GL points elsewhere",IF(OR(INDEX(Bank!$F:$F,B1641)&lt;&gt;"Y",INDEX(GL!$F:$F,I1641)&lt;&gt;"Y"),"BROKEN: Status not Y","OK")))))</f>
        <v/>
      </c>
    </row>
    <row r="1642" customFormat="false" ht="15" hidden="false" customHeight="false" outlineLevel="0" collapsed="false">
      <c r="A1642" s="41"/>
      <c r="B1642" s="5" t="n">
        <f aca="false">IF(A1642="",0,IFERROR(MATCH(A1642,Bank!$A:$A,0),0))</f>
        <v>0</v>
      </c>
      <c r="C1642" s="5" t="str">
        <f aca="false">IF(B1642=0,"",IF(INDEX(Bank!$G:$G,B1642)="","",INDEX(Bank!$G:$G,B1642)))</f>
        <v/>
      </c>
      <c r="D1642" s="5" t="str">
        <f aca="false">IF(B1642=0,"",IF(INDEX(Bank!$J:$J,B1642)="","",INDEX(Bank!$J:$J,B1642)))</f>
        <v/>
      </c>
      <c r="E1642" s="32" t="str">
        <f aca="false">IF(B1642=0,"",INDEX(Bank!$B:$B,B1642))</f>
        <v/>
      </c>
      <c r="F1642" s="5" t="str">
        <f aca="false">IF(B1642=0,"",IF(INDEX(Bank!$C:$C,B1642)="","",INDEX(Bank!$C:$C,B1642)))</f>
        <v/>
      </c>
      <c r="G1642" s="19" t="str">
        <f aca="false">IF(B1642=0,"",INDEX(Bank!$E:$E,B1642))</f>
        <v/>
      </c>
      <c r="H1642" s="5" t="str">
        <f aca="false">IF(B1642=0,"",IF(INDEX(Bank!$H:$H,B1642)="","",INDEX(Bank!$H:$H,B1642)))</f>
        <v/>
      </c>
      <c r="I1642" s="5" t="n">
        <f aca="false">IF(H1642="",0,IFERROR(MATCH(H1642,GL!$A:$A,0),0))</f>
        <v>0</v>
      </c>
      <c r="J1642" s="32" t="str">
        <f aca="false">IF(I1642=0,"",INDEX(GL!$B:$B,I1642))</f>
        <v/>
      </c>
      <c r="K1642" s="5" t="str">
        <f aca="false">IF(I1642=0,"",IF(INDEX(GL!$C:$C,I1642)="","",INDEX(GL!$C:$C,I1642)))</f>
        <v/>
      </c>
      <c r="L1642" s="19" t="str">
        <f aca="false">IF(I1642=0,"",INDEX(GL!$E:$E,I1642))</f>
        <v/>
      </c>
      <c r="M1642" s="19" t="str">
        <f aca="false">IF(OR(B1642=0,I1642=0),"",ROUND(G1642-L1642,2))</f>
        <v/>
      </c>
      <c r="N1642" s="5" t="str">
        <f aca="false">IF(A1642="","",IF(B1642=0,"NOT FOUND: bank ID",IF(I1642=0,"NOT FOUND: GL ID",IF(INDEX(GL!$H:$H,I1642)&lt;&gt;A1642,"BROKEN: GL points elsewhere",IF(OR(INDEX(Bank!$F:$F,B1642)&lt;&gt;"Y",INDEX(GL!$F:$F,I1642)&lt;&gt;"Y"),"BROKEN: Status not Y","OK")))))</f>
        <v/>
      </c>
    </row>
    <row r="1643" customFormat="false" ht="15" hidden="false" customHeight="false" outlineLevel="0" collapsed="false">
      <c r="A1643" s="41"/>
      <c r="B1643" s="5" t="n">
        <f aca="false">IF(A1643="",0,IFERROR(MATCH(A1643,Bank!$A:$A,0),0))</f>
        <v>0</v>
      </c>
      <c r="C1643" s="5" t="str">
        <f aca="false">IF(B1643=0,"",IF(INDEX(Bank!$G:$G,B1643)="","",INDEX(Bank!$G:$G,B1643)))</f>
        <v/>
      </c>
      <c r="D1643" s="5" t="str">
        <f aca="false">IF(B1643=0,"",IF(INDEX(Bank!$J:$J,B1643)="","",INDEX(Bank!$J:$J,B1643)))</f>
        <v/>
      </c>
      <c r="E1643" s="32" t="str">
        <f aca="false">IF(B1643=0,"",INDEX(Bank!$B:$B,B1643))</f>
        <v/>
      </c>
      <c r="F1643" s="5" t="str">
        <f aca="false">IF(B1643=0,"",IF(INDEX(Bank!$C:$C,B1643)="","",INDEX(Bank!$C:$C,B1643)))</f>
        <v/>
      </c>
      <c r="G1643" s="19" t="str">
        <f aca="false">IF(B1643=0,"",INDEX(Bank!$E:$E,B1643))</f>
        <v/>
      </c>
      <c r="H1643" s="5" t="str">
        <f aca="false">IF(B1643=0,"",IF(INDEX(Bank!$H:$H,B1643)="","",INDEX(Bank!$H:$H,B1643)))</f>
        <v/>
      </c>
      <c r="I1643" s="5" t="n">
        <f aca="false">IF(H1643="",0,IFERROR(MATCH(H1643,GL!$A:$A,0),0))</f>
        <v>0</v>
      </c>
      <c r="J1643" s="32" t="str">
        <f aca="false">IF(I1643=0,"",INDEX(GL!$B:$B,I1643))</f>
        <v/>
      </c>
      <c r="K1643" s="5" t="str">
        <f aca="false">IF(I1643=0,"",IF(INDEX(GL!$C:$C,I1643)="","",INDEX(GL!$C:$C,I1643)))</f>
        <v/>
      </c>
      <c r="L1643" s="19" t="str">
        <f aca="false">IF(I1643=0,"",INDEX(GL!$E:$E,I1643))</f>
        <v/>
      </c>
      <c r="M1643" s="19" t="str">
        <f aca="false">IF(OR(B1643=0,I1643=0),"",ROUND(G1643-L1643,2))</f>
        <v/>
      </c>
      <c r="N1643" s="5" t="str">
        <f aca="false">IF(A1643="","",IF(B1643=0,"NOT FOUND: bank ID",IF(I1643=0,"NOT FOUND: GL ID",IF(INDEX(GL!$H:$H,I1643)&lt;&gt;A1643,"BROKEN: GL points elsewhere",IF(OR(INDEX(Bank!$F:$F,B1643)&lt;&gt;"Y",INDEX(GL!$F:$F,I1643)&lt;&gt;"Y"),"BROKEN: Status not Y","OK")))))</f>
        <v/>
      </c>
    </row>
    <row r="1644" customFormat="false" ht="15" hidden="false" customHeight="false" outlineLevel="0" collapsed="false">
      <c r="A1644" s="41"/>
      <c r="B1644" s="5" t="n">
        <f aca="false">IF(A1644="",0,IFERROR(MATCH(A1644,Bank!$A:$A,0),0))</f>
        <v>0</v>
      </c>
      <c r="C1644" s="5" t="str">
        <f aca="false">IF(B1644=0,"",IF(INDEX(Bank!$G:$G,B1644)="","",INDEX(Bank!$G:$G,B1644)))</f>
        <v/>
      </c>
      <c r="D1644" s="5" t="str">
        <f aca="false">IF(B1644=0,"",IF(INDEX(Bank!$J:$J,B1644)="","",INDEX(Bank!$J:$J,B1644)))</f>
        <v/>
      </c>
      <c r="E1644" s="32" t="str">
        <f aca="false">IF(B1644=0,"",INDEX(Bank!$B:$B,B1644))</f>
        <v/>
      </c>
      <c r="F1644" s="5" t="str">
        <f aca="false">IF(B1644=0,"",IF(INDEX(Bank!$C:$C,B1644)="","",INDEX(Bank!$C:$C,B1644)))</f>
        <v/>
      </c>
      <c r="G1644" s="19" t="str">
        <f aca="false">IF(B1644=0,"",INDEX(Bank!$E:$E,B1644))</f>
        <v/>
      </c>
      <c r="H1644" s="5" t="str">
        <f aca="false">IF(B1644=0,"",IF(INDEX(Bank!$H:$H,B1644)="","",INDEX(Bank!$H:$H,B1644)))</f>
        <v/>
      </c>
      <c r="I1644" s="5" t="n">
        <f aca="false">IF(H1644="",0,IFERROR(MATCH(H1644,GL!$A:$A,0),0))</f>
        <v>0</v>
      </c>
      <c r="J1644" s="32" t="str">
        <f aca="false">IF(I1644=0,"",INDEX(GL!$B:$B,I1644))</f>
        <v/>
      </c>
      <c r="K1644" s="5" t="str">
        <f aca="false">IF(I1644=0,"",IF(INDEX(GL!$C:$C,I1644)="","",INDEX(GL!$C:$C,I1644)))</f>
        <v/>
      </c>
      <c r="L1644" s="19" t="str">
        <f aca="false">IF(I1644=0,"",INDEX(GL!$E:$E,I1644))</f>
        <v/>
      </c>
      <c r="M1644" s="19" t="str">
        <f aca="false">IF(OR(B1644=0,I1644=0),"",ROUND(G1644-L1644,2))</f>
        <v/>
      </c>
      <c r="N1644" s="5" t="str">
        <f aca="false">IF(A1644="","",IF(B1644=0,"NOT FOUND: bank ID",IF(I1644=0,"NOT FOUND: GL ID",IF(INDEX(GL!$H:$H,I1644)&lt;&gt;A1644,"BROKEN: GL points elsewhere",IF(OR(INDEX(Bank!$F:$F,B1644)&lt;&gt;"Y",INDEX(GL!$F:$F,I1644)&lt;&gt;"Y"),"BROKEN: Status not Y","OK")))))</f>
        <v/>
      </c>
    </row>
    <row r="1645" customFormat="false" ht="15" hidden="false" customHeight="false" outlineLevel="0" collapsed="false">
      <c r="A1645" s="41"/>
      <c r="B1645" s="5" t="n">
        <f aca="false">IF(A1645="",0,IFERROR(MATCH(A1645,Bank!$A:$A,0),0))</f>
        <v>0</v>
      </c>
      <c r="C1645" s="5" t="str">
        <f aca="false">IF(B1645=0,"",IF(INDEX(Bank!$G:$G,B1645)="","",INDEX(Bank!$G:$G,B1645)))</f>
        <v/>
      </c>
      <c r="D1645" s="5" t="str">
        <f aca="false">IF(B1645=0,"",IF(INDEX(Bank!$J:$J,B1645)="","",INDEX(Bank!$J:$J,B1645)))</f>
        <v/>
      </c>
      <c r="E1645" s="32" t="str">
        <f aca="false">IF(B1645=0,"",INDEX(Bank!$B:$B,B1645))</f>
        <v/>
      </c>
      <c r="F1645" s="5" t="str">
        <f aca="false">IF(B1645=0,"",IF(INDEX(Bank!$C:$C,B1645)="","",INDEX(Bank!$C:$C,B1645)))</f>
        <v/>
      </c>
      <c r="G1645" s="19" t="str">
        <f aca="false">IF(B1645=0,"",INDEX(Bank!$E:$E,B1645))</f>
        <v/>
      </c>
      <c r="H1645" s="5" t="str">
        <f aca="false">IF(B1645=0,"",IF(INDEX(Bank!$H:$H,B1645)="","",INDEX(Bank!$H:$H,B1645)))</f>
        <v/>
      </c>
      <c r="I1645" s="5" t="n">
        <f aca="false">IF(H1645="",0,IFERROR(MATCH(H1645,GL!$A:$A,0),0))</f>
        <v>0</v>
      </c>
      <c r="J1645" s="32" t="str">
        <f aca="false">IF(I1645=0,"",INDEX(GL!$B:$B,I1645))</f>
        <v/>
      </c>
      <c r="K1645" s="5" t="str">
        <f aca="false">IF(I1645=0,"",IF(INDEX(GL!$C:$C,I1645)="","",INDEX(GL!$C:$C,I1645)))</f>
        <v/>
      </c>
      <c r="L1645" s="19" t="str">
        <f aca="false">IF(I1645=0,"",INDEX(GL!$E:$E,I1645))</f>
        <v/>
      </c>
      <c r="M1645" s="19" t="str">
        <f aca="false">IF(OR(B1645=0,I1645=0),"",ROUND(G1645-L1645,2))</f>
        <v/>
      </c>
      <c r="N1645" s="5" t="str">
        <f aca="false">IF(A1645="","",IF(B1645=0,"NOT FOUND: bank ID",IF(I1645=0,"NOT FOUND: GL ID",IF(INDEX(GL!$H:$H,I1645)&lt;&gt;A1645,"BROKEN: GL points elsewhere",IF(OR(INDEX(Bank!$F:$F,B1645)&lt;&gt;"Y",INDEX(GL!$F:$F,I1645)&lt;&gt;"Y"),"BROKEN: Status not Y","OK")))))</f>
        <v/>
      </c>
    </row>
    <row r="1646" customFormat="false" ht="15" hidden="false" customHeight="false" outlineLevel="0" collapsed="false">
      <c r="A1646" s="41"/>
      <c r="B1646" s="5" t="n">
        <f aca="false">IF(A1646="",0,IFERROR(MATCH(A1646,Bank!$A:$A,0),0))</f>
        <v>0</v>
      </c>
      <c r="C1646" s="5" t="str">
        <f aca="false">IF(B1646=0,"",IF(INDEX(Bank!$G:$G,B1646)="","",INDEX(Bank!$G:$G,B1646)))</f>
        <v/>
      </c>
      <c r="D1646" s="5" t="str">
        <f aca="false">IF(B1646=0,"",IF(INDEX(Bank!$J:$J,B1646)="","",INDEX(Bank!$J:$J,B1646)))</f>
        <v/>
      </c>
      <c r="E1646" s="32" t="str">
        <f aca="false">IF(B1646=0,"",INDEX(Bank!$B:$B,B1646))</f>
        <v/>
      </c>
      <c r="F1646" s="5" t="str">
        <f aca="false">IF(B1646=0,"",IF(INDEX(Bank!$C:$C,B1646)="","",INDEX(Bank!$C:$C,B1646)))</f>
        <v/>
      </c>
      <c r="G1646" s="19" t="str">
        <f aca="false">IF(B1646=0,"",INDEX(Bank!$E:$E,B1646))</f>
        <v/>
      </c>
      <c r="H1646" s="5" t="str">
        <f aca="false">IF(B1646=0,"",IF(INDEX(Bank!$H:$H,B1646)="","",INDEX(Bank!$H:$H,B1646)))</f>
        <v/>
      </c>
      <c r="I1646" s="5" t="n">
        <f aca="false">IF(H1646="",0,IFERROR(MATCH(H1646,GL!$A:$A,0),0))</f>
        <v>0</v>
      </c>
      <c r="J1646" s="32" t="str">
        <f aca="false">IF(I1646=0,"",INDEX(GL!$B:$B,I1646))</f>
        <v/>
      </c>
      <c r="K1646" s="5" t="str">
        <f aca="false">IF(I1646=0,"",IF(INDEX(GL!$C:$C,I1646)="","",INDEX(GL!$C:$C,I1646)))</f>
        <v/>
      </c>
      <c r="L1646" s="19" t="str">
        <f aca="false">IF(I1646=0,"",INDEX(GL!$E:$E,I1646))</f>
        <v/>
      </c>
      <c r="M1646" s="19" t="str">
        <f aca="false">IF(OR(B1646=0,I1646=0),"",ROUND(G1646-L1646,2))</f>
        <v/>
      </c>
      <c r="N1646" s="5" t="str">
        <f aca="false">IF(A1646="","",IF(B1646=0,"NOT FOUND: bank ID",IF(I1646=0,"NOT FOUND: GL ID",IF(INDEX(GL!$H:$H,I1646)&lt;&gt;A1646,"BROKEN: GL points elsewhere",IF(OR(INDEX(Bank!$F:$F,B1646)&lt;&gt;"Y",INDEX(GL!$F:$F,I1646)&lt;&gt;"Y"),"BROKEN: Status not Y","OK")))))</f>
        <v/>
      </c>
    </row>
    <row r="1647" customFormat="false" ht="15" hidden="false" customHeight="false" outlineLevel="0" collapsed="false">
      <c r="A1647" s="41"/>
      <c r="B1647" s="5" t="n">
        <f aca="false">IF(A1647="",0,IFERROR(MATCH(A1647,Bank!$A:$A,0),0))</f>
        <v>0</v>
      </c>
      <c r="C1647" s="5" t="str">
        <f aca="false">IF(B1647=0,"",IF(INDEX(Bank!$G:$G,B1647)="","",INDEX(Bank!$G:$G,B1647)))</f>
        <v/>
      </c>
      <c r="D1647" s="5" t="str">
        <f aca="false">IF(B1647=0,"",IF(INDEX(Bank!$J:$J,B1647)="","",INDEX(Bank!$J:$J,B1647)))</f>
        <v/>
      </c>
      <c r="E1647" s="32" t="str">
        <f aca="false">IF(B1647=0,"",INDEX(Bank!$B:$B,B1647))</f>
        <v/>
      </c>
      <c r="F1647" s="5" t="str">
        <f aca="false">IF(B1647=0,"",IF(INDEX(Bank!$C:$C,B1647)="","",INDEX(Bank!$C:$C,B1647)))</f>
        <v/>
      </c>
      <c r="G1647" s="19" t="str">
        <f aca="false">IF(B1647=0,"",INDEX(Bank!$E:$E,B1647))</f>
        <v/>
      </c>
      <c r="H1647" s="5" t="str">
        <f aca="false">IF(B1647=0,"",IF(INDEX(Bank!$H:$H,B1647)="","",INDEX(Bank!$H:$H,B1647)))</f>
        <v/>
      </c>
      <c r="I1647" s="5" t="n">
        <f aca="false">IF(H1647="",0,IFERROR(MATCH(H1647,GL!$A:$A,0),0))</f>
        <v>0</v>
      </c>
      <c r="J1647" s="32" t="str">
        <f aca="false">IF(I1647=0,"",INDEX(GL!$B:$B,I1647))</f>
        <v/>
      </c>
      <c r="K1647" s="5" t="str">
        <f aca="false">IF(I1647=0,"",IF(INDEX(GL!$C:$C,I1647)="","",INDEX(GL!$C:$C,I1647)))</f>
        <v/>
      </c>
      <c r="L1647" s="19" t="str">
        <f aca="false">IF(I1647=0,"",INDEX(GL!$E:$E,I1647))</f>
        <v/>
      </c>
      <c r="M1647" s="19" t="str">
        <f aca="false">IF(OR(B1647=0,I1647=0),"",ROUND(G1647-L1647,2))</f>
        <v/>
      </c>
      <c r="N1647" s="5" t="str">
        <f aca="false">IF(A1647="","",IF(B1647=0,"NOT FOUND: bank ID",IF(I1647=0,"NOT FOUND: GL ID",IF(INDEX(GL!$H:$H,I1647)&lt;&gt;A1647,"BROKEN: GL points elsewhere",IF(OR(INDEX(Bank!$F:$F,B1647)&lt;&gt;"Y",INDEX(GL!$F:$F,I1647)&lt;&gt;"Y"),"BROKEN: Status not Y","OK")))))</f>
        <v/>
      </c>
    </row>
    <row r="1648" customFormat="false" ht="15" hidden="false" customHeight="false" outlineLevel="0" collapsed="false">
      <c r="A1648" s="41"/>
      <c r="B1648" s="5" t="n">
        <f aca="false">IF(A1648="",0,IFERROR(MATCH(A1648,Bank!$A:$A,0),0))</f>
        <v>0</v>
      </c>
      <c r="C1648" s="5" t="str">
        <f aca="false">IF(B1648=0,"",IF(INDEX(Bank!$G:$G,B1648)="","",INDEX(Bank!$G:$G,B1648)))</f>
        <v/>
      </c>
      <c r="D1648" s="5" t="str">
        <f aca="false">IF(B1648=0,"",IF(INDEX(Bank!$J:$J,B1648)="","",INDEX(Bank!$J:$J,B1648)))</f>
        <v/>
      </c>
      <c r="E1648" s="32" t="str">
        <f aca="false">IF(B1648=0,"",INDEX(Bank!$B:$B,B1648))</f>
        <v/>
      </c>
      <c r="F1648" s="5" t="str">
        <f aca="false">IF(B1648=0,"",IF(INDEX(Bank!$C:$C,B1648)="","",INDEX(Bank!$C:$C,B1648)))</f>
        <v/>
      </c>
      <c r="G1648" s="19" t="str">
        <f aca="false">IF(B1648=0,"",INDEX(Bank!$E:$E,B1648))</f>
        <v/>
      </c>
      <c r="H1648" s="5" t="str">
        <f aca="false">IF(B1648=0,"",IF(INDEX(Bank!$H:$H,B1648)="","",INDEX(Bank!$H:$H,B1648)))</f>
        <v/>
      </c>
      <c r="I1648" s="5" t="n">
        <f aca="false">IF(H1648="",0,IFERROR(MATCH(H1648,GL!$A:$A,0),0))</f>
        <v>0</v>
      </c>
      <c r="J1648" s="32" t="str">
        <f aca="false">IF(I1648=0,"",INDEX(GL!$B:$B,I1648))</f>
        <v/>
      </c>
      <c r="K1648" s="5" t="str">
        <f aca="false">IF(I1648=0,"",IF(INDEX(GL!$C:$C,I1648)="","",INDEX(GL!$C:$C,I1648)))</f>
        <v/>
      </c>
      <c r="L1648" s="19" t="str">
        <f aca="false">IF(I1648=0,"",INDEX(GL!$E:$E,I1648))</f>
        <v/>
      </c>
      <c r="M1648" s="19" t="str">
        <f aca="false">IF(OR(B1648=0,I1648=0),"",ROUND(G1648-L1648,2))</f>
        <v/>
      </c>
      <c r="N1648" s="5" t="str">
        <f aca="false">IF(A1648="","",IF(B1648=0,"NOT FOUND: bank ID",IF(I1648=0,"NOT FOUND: GL ID",IF(INDEX(GL!$H:$H,I1648)&lt;&gt;A1648,"BROKEN: GL points elsewhere",IF(OR(INDEX(Bank!$F:$F,B1648)&lt;&gt;"Y",INDEX(GL!$F:$F,I1648)&lt;&gt;"Y"),"BROKEN: Status not Y","OK")))))</f>
        <v/>
      </c>
    </row>
    <row r="1649" customFormat="false" ht="15" hidden="false" customHeight="false" outlineLevel="0" collapsed="false">
      <c r="A1649" s="41"/>
      <c r="B1649" s="5" t="n">
        <f aca="false">IF(A1649="",0,IFERROR(MATCH(A1649,Bank!$A:$A,0),0))</f>
        <v>0</v>
      </c>
      <c r="C1649" s="5" t="str">
        <f aca="false">IF(B1649=0,"",IF(INDEX(Bank!$G:$G,B1649)="","",INDEX(Bank!$G:$G,B1649)))</f>
        <v/>
      </c>
      <c r="D1649" s="5" t="str">
        <f aca="false">IF(B1649=0,"",IF(INDEX(Bank!$J:$J,B1649)="","",INDEX(Bank!$J:$J,B1649)))</f>
        <v/>
      </c>
      <c r="E1649" s="32" t="str">
        <f aca="false">IF(B1649=0,"",INDEX(Bank!$B:$B,B1649))</f>
        <v/>
      </c>
      <c r="F1649" s="5" t="str">
        <f aca="false">IF(B1649=0,"",IF(INDEX(Bank!$C:$C,B1649)="","",INDEX(Bank!$C:$C,B1649)))</f>
        <v/>
      </c>
      <c r="G1649" s="19" t="str">
        <f aca="false">IF(B1649=0,"",INDEX(Bank!$E:$E,B1649))</f>
        <v/>
      </c>
      <c r="H1649" s="5" t="str">
        <f aca="false">IF(B1649=0,"",IF(INDEX(Bank!$H:$H,B1649)="","",INDEX(Bank!$H:$H,B1649)))</f>
        <v/>
      </c>
      <c r="I1649" s="5" t="n">
        <f aca="false">IF(H1649="",0,IFERROR(MATCH(H1649,GL!$A:$A,0),0))</f>
        <v>0</v>
      </c>
      <c r="J1649" s="32" t="str">
        <f aca="false">IF(I1649=0,"",INDEX(GL!$B:$B,I1649))</f>
        <v/>
      </c>
      <c r="K1649" s="5" t="str">
        <f aca="false">IF(I1649=0,"",IF(INDEX(GL!$C:$C,I1649)="","",INDEX(GL!$C:$C,I1649)))</f>
        <v/>
      </c>
      <c r="L1649" s="19" t="str">
        <f aca="false">IF(I1649=0,"",INDEX(GL!$E:$E,I1649))</f>
        <v/>
      </c>
      <c r="M1649" s="19" t="str">
        <f aca="false">IF(OR(B1649=0,I1649=0),"",ROUND(G1649-L1649,2))</f>
        <v/>
      </c>
      <c r="N1649" s="5" t="str">
        <f aca="false">IF(A1649="","",IF(B1649=0,"NOT FOUND: bank ID",IF(I1649=0,"NOT FOUND: GL ID",IF(INDEX(GL!$H:$H,I1649)&lt;&gt;A1649,"BROKEN: GL points elsewhere",IF(OR(INDEX(Bank!$F:$F,B1649)&lt;&gt;"Y",INDEX(GL!$F:$F,I1649)&lt;&gt;"Y"),"BROKEN: Status not Y","OK")))))</f>
        <v/>
      </c>
    </row>
    <row r="1650" customFormat="false" ht="15" hidden="false" customHeight="false" outlineLevel="0" collapsed="false">
      <c r="A1650" s="41"/>
      <c r="B1650" s="5" t="n">
        <f aca="false">IF(A1650="",0,IFERROR(MATCH(A1650,Bank!$A:$A,0),0))</f>
        <v>0</v>
      </c>
      <c r="C1650" s="5" t="str">
        <f aca="false">IF(B1650=0,"",IF(INDEX(Bank!$G:$G,B1650)="","",INDEX(Bank!$G:$G,B1650)))</f>
        <v/>
      </c>
      <c r="D1650" s="5" t="str">
        <f aca="false">IF(B1650=0,"",IF(INDEX(Bank!$J:$J,B1650)="","",INDEX(Bank!$J:$J,B1650)))</f>
        <v/>
      </c>
      <c r="E1650" s="32" t="str">
        <f aca="false">IF(B1650=0,"",INDEX(Bank!$B:$B,B1650))</f>
        <v/>
      </c>
      <c r="F1650" s="5" t="str">
        <f aca="false">IF(B1650=0,"",IF(INDEX(Bank!$C:$C,B1650)="","",INDEX(Bank!$C:$C,B1650)))</f>
        <v/>
      </c>
      <c r="G1650" s="19" t="str">
        <f aca="false">IF(B1650=0,"",INDEX(Bank!$E:$E,B1650))</f>
        <v/>
      </c>
      <c r="H1650" s="5" t="str">
        <f aca="false">IF(B1650=0,"",IF(INDEX(Bank!$H:$H,B1650)="","",INDEX(Bank!$H:$H,B1650)))</f>
        <v/>
      </c>
      <c r="I1650" s="5" t="n">
        <f aca="false">IF(H1650="",0,IFERROR(MATCH(H1650,GL!$A:$A,0),0))</f>
        <v>0</v>
      </c>
      <c r="J1650" s="32" t="str">
        <f aca="false">IF(I1650=0,"",INDEX(GL!$B:$B,I1650))</f>
        <v/>
      </c>
      <c r="K1650" s="5" t="str">
        <f aca="false">IF(I1650=0,"",IF(INDEX(GL!$C:$C,I1650)="","",INDEX(GL!$C:$C,I1650)))</f>
        <v/>
      </c>
      <c r="L1650" s="19" t="str">
        <f aca="false">IF(I1650=0,"",INDEX(GL!$E:$E,I1650))</f>
        <v/>
      </c>
      <c r="M1650" s="19" t="str">
        <f aca="false">IF(OR(B1650=0,I1650=0),"",ROUND(G1650-L1650,2))</f>
        <v/>
      </c>
      <c r="N1650" s="5" t="str">
        <f aca="false">IF(A1650="","",IF(B1650=0,"NOT FOUND: bank ID",IF(I1650=0,"NOT FOUND: GL ID",IF(INDEX(GL!$H:$H,I1650)&lt;&gt;A1650,"BROKEN: GL points elsewhere",IF(OR(INDEX(Bank!$F:$F,B1650)&lt;&gt;"Y",INDEX(GL!$F:$F,I1650)&lt;&gt;"Y"),"BROKEN: Status not Y","OK")))))</f>
        <v/>
      </c>
    </row>
    <row r="1651" customFormat="false" ht="15" hidden="false" customHeight="false" outlineLevel="0" collapsed="false">
      <c r="A1651" s="41"/>
      <c r="B1651" s="5" t="n">
        <f aca="false">IF(A1651="",0,IFERROR(MATCH(A1651,Bank!$A:$A,0),0))</f>
        <v>0</v>
      </c>
      <c r="C1651" s="5" t="str">
        <f aca="false">IF(B1651=0,"",IF(INDEX(Bank!$G:$G,B1651)="","",INDEX(Bank!$G:$G,B1651)))</f>
        <v/>
      </c>
      <c r="D1651" s="5" t="str">
        <f aca="false">IF(B1651=0,"",IF(INDEX(Bank!$J:$J,B1651)="","",INDEX(Bank!$J:$J,B1651)))</f>
        <v/>
      </c>
      <c r="E1651" s="32" t="str">
        <f aca="false">IF(B1651=0,"",INDEX(Bank!$B:$B,B1651))</f>
        <v/>
      </c>
      <c r="F1651" s="5" t="str">
        <f aca="false">IF(B1651=0,"",IF(INDEX(Bank!$C:$C,B1651)="","",INDEX(Bank!$C:$C,B1651)))</f>
        <v/>
      </c>
      <c r="G1651" s="19" t="str">
        <f aca="false">IF(B1651=0,"",INDEX(Bank!$E:$E,B1651))</f>
        <v/>
      </c>
      <c r="H1651" s="5" t="str">
        <f aca="false">IF(B1651=0,"",IF(INDEX(Bank!$H:$H,B1651)="","",INDEX(Bank!$H:$H,B1651)))</f>
        <v/>
      </c>
      <c r="I1651" s="5" t="n">
        <f aca="false">IF(H1651="",0,IFERROR(MATCH(H1651,GL!$A:$A,0),0))</f>
        <v>0</v>
      </c>
      <c r="J1651" s="32" t="str">
        <f aca="false">IF(I1651=0,"",INDEX(GL!$B:$B,I1651))</f>
        <v/>
      </c>
      <c r="K1651" s="5" t="str">
        <f aca="false">IF(I1651=0,"",IF(INDEX(GL!$C:$C,I1651)="","",INDEX(GL!$C:$C,I1651)))</f>
        <v/>
      </c>
      <c r="L1651" s="19" t="str">
        <f aca="false">IF(I1651=0,"",INDEX(GL!$E:$E,I1651))</f>
        <v/>
      </c>
      <c r="M1651" s="19" t="str">
        <f aca="false">IF(OR(B1651=0,I1651=0),"",ROUND(G1651-L1651,2))</f>
        <v/>
      </c>
      <c r="N1651" s="5" t="str">
        <f aca="false">IF(A1651="","",IF(B1651=0,"NOT FOUND: bank ID",IF(I1651=0,"NOT FOUND: GL ID",IF(INDEX(GL!$H:$H,I1651)&lt;&gt;A1651,"BROKEN: GL points elsewhere",IF(OR(INDEX(Bank!$F:$F,B1651)&lt;&gt;"Y",INDEX(GL!$F:$F,I1651)&lt;&gt;"Y"),"BROKEN: Status not Y","OK")))))</f>
        <v/>
      </c>
    </row>
    <row r="1652" customFormat="false" ht="15" hidden="false" customHeight="false" outlineLevel="0" collapsed="false">
      <c r="A1652" s="41"/>
      <c r="B1652" s="5" t="n">
        <f aca="false">IF(A1652="",0,IFERROR(MATCH(A1652,Bank!$A:$A,0),0))</f>
        <v>0</v>
      </c>
      <c r="C1652" s="5" t="str">
        <f aca="false">IF(B1652=0,"",IF(INDEX(Bank!$G:$G,B1652)="","",INDEX(Bank!$G:$G,B1652)))</f>
        <v/>
      </c>
      <c r="D1652" s="5" t="str">
        <f aca="false">IF(B1652=0,"",IF(INDEX(Bank!$J:$J,B1652)="","",INDEX(Bank!$J:$J,B1652)))</f>
        <v/>
      </c>
      <c r="E1652" s="32" t="str">
        <f aca="false">IF(B1652=0,"",INDEX(Bank!$B:$B,B1652))</f>
        <v/>
      </c>
      <c r="F1652" s="5" t="str">
        <f aca="false">IF(B1652=0,"",IF(INDEX(Bank!$C:$C,B1652)="","",INDEX(Bank!$C:$C,B1652)))</f>
        <v/>
      </c>
      <c r="G1652" s="19" t="str">
        <f aca="false">IF(B1652=0,"",INDEX(Bank!$E:$E,B1652))</f>
        <v/>
      </c>
      <c r="H1652" s="5" t="str">
        <f aca="false">IF(B1652=0,"",IF(INDEX(Bank!$H:$H,B1652)="","",INDEX(Bank!$H:$H,B1652)))</f>
        <v/>
      </c>
      <c r="I1652" s="5" t="n">
        <f aca="false">IF(H1652="",0,IFERROR(MATCH(H1652,GL!$A:$A,0),0))</f>
        <v>0</v>
      </c>
      <c r="J1652" s="32" t="str">
        <f aca="false">IF(I1652=0,"",INDEX(GL!$B:$B,I1652))</f>
        <v/>
      </c>
      <c r="K1652" s="5" t="str">
        <f aca="false">IF(I1652=0,"",IF(INDEX(GL!$C:$C,I1652)="","",INDEX(GL!$C:$C,I1652)))</f>
        <v/>
      </c>
      <c r="L1652" s="19" t="str">
        <f aca="false">IF(I1652=0,"",INDEX(GL!$E:$E,I1652))</f>
        <v/>
      </c>
      <c r="M1652" s="19" t="str">
        <f aca="false">IF(OR(B1652=0,I1652=0),"",ROUND(G1652-L1652,2))</f>
        <v/>
      </c>
      <c r="N1652" s="5" t="str">
        <f aca="false">IF(A1652="","",IF(B1652=0,"NOT FOUND: bank ID",IF(I1652=0,"NOT FOUND: GL ID",IF(INDEX(GL!$H:$H,I1652)&lt;&gt;A1652,"BROKEN: GL points elsewhere",IF(OR(INDEX(Bank!$F:$F,B1652)&lt;&gt;"Y",INDEX(GL!$F:$F,I1652)&lt;&gt;"Y"),"BROKEN: Status not Y","OK")))))</f>
        <v/>
      </c>
    </row>
    <row r="1653" customFormat="false" ht="15" hidden="false" customHeight="false" outlineLevel="0" collapsed="false">
      <c r="A1653" s="41"/>
      <c r="B1653" s="5" t="n">
        <f aca="false">IF(A1653="",0,IFERROR(MATCH(A1653,Bank!$A:$A,0),0))</f>
        <v>0</v>
      </c>
      <c r="C1653" s="5" t="str">
        <f aca="false">IF(B1653=0,"",IF(INDEX(Bank!$G:$G,B1653)="","",INDEX(Bank!$G:$G,B1653)))</f>
        <v/>
      </c>
      <c r="D1653" s="5" t="str">
        <f aca="false">IF(B1653=0,"",IF(INDEX(Bank!$J:$J,B1653)="","",INDEX(Bank!$J:$J,B1653)))</f>
        <v/>
      </c>
      <c r="E1653" s="32" t="str">
        <f aca="false">IF(B1653=0,"",INDEX(Bank!$B:$B,B1653))</f>
        <v/>
      </c>
      <c r="F1653" s="5" t="str">
        <f aca="false">IF(B1653=0,"",IF(INDEX(Bank!$C:$C,B1653)="","",INDEX(Bank!$C:$C,B1653)))</f>
        <v/>
      </c>
      <c r="G1653" s="19" t="str">
        <f aca="false">IF(B1653=0,"",INDEX(Bank!$E:$E,B1653))</f>
        <v/>
      </c>
      <c r="H1653" s="5" t="str">
        <f aca="false">IF(B1653=0,"",IF(INDEX(Bank!$H:$H,B1653)="","",INDEX(Bank!$H:$H,B1653)))</f>
        <v/>
      </c>
      <c r="I1653" s="5" t="n">
        <f aca="false">IF(H1653="",0,IFERROR(MATCH(H1653,GL!$A:$A,0),0))</f>
        <v>0</v>
      </c>
      <c r="J1653" s="32" t="str">
        <f aca="false">IF(I1653=0,"",INDEX(GL!$B:$B,I1653))</f>
        <v/>
      </c>
      <c r="K1653" s="5" t="str">
        <f aca="false">IF(I1653=0,"",IF(INDEX(GL!$C:$C,I1653)="","",INDEX(GL!$C:$C,I1653)))</f>
        <v/>
      </c>
      <c r="L1653" s="19" t="str">
        <f aca="false">IF(I1653=0,"",INDEX(GL!$E:$E,I1653))</f>
        <v/>
      </c>
      <c r="M1653" s="19" t="str">
        <f aca="false">IF(OR(B1653=0,I1653=0),"",ROUND(G1653-L1653,2))</f>
        <v/>
      </c>
      <c r="N1653" s="5" t="str">
        <f aca="false">IF(A1653="","",IF(B1653=0,"NOT FOUND: bank ID",IF(I1653=0,"NOT FOUND: GL ID",IF(INDEX(GL!$H:$H,I1653)&lt;&gt;A1653,"BROKEN: GL points elsewhere",IF(OR(INDEX(Bank!$F:$F,B1653)&lt;&gt;"Y",INDEX(GL!$F:$F,I1653)&lt;&gt;"Y"),"BROKEN: Status not Y","OK")))))</f>
        <v/>
      </c>
    </row>
    <row r="1654" customFormat="false" ht="15" hidden="false" customHeight="false" outlineLevel="0" collapsed="false">
      <c r="A1654" s="41"/>
      <c r="B1654" s="5" t="n">
        <f aca="false">IF(A1654="",0,IFERROR(MATCH(A1654,Bank!$A:$A,0),0))</f>
        <v>0</v>
      </c>
      <c r="C1654" s="5" t="str">
        <f aca="false">IF(B1654=0,"",IF(INDEX(Bank!$G:$G,B1654)="","",INDEX(Bank!$G:$G,B1654)))</f>
        <v/>
      </c>
      <c r="D1654" s="5" t="str">
        <f aca="false">IF(B1654=0,"",IF(INDEX(Bank!$J:$J,B1654)="","",INDEX(Bank!$J:$J,B1654)))</f>
        <v/>
      </c>
      <c r="E1654" s="32" t="str">
        <f aca="false">IF(B1654=0,"",INDEX(Bank!$B:$B,B1654))</f>
        <v/>
      </c>
      <c r="F1654" s="5" t="str">
        <f aca="false">IF(B1654=0,"",IF(INDEX(Bank!$C:$C,B1654)="","",INDEX(Bank!$C:$C,B1654)))</f>
        <v/>
      </c>
      <c r="G1654" s="19" t="str">
        <f aca="false">IF(B1654=0,"",INDEX(Bank!$E:$E,B1654))</f>
        <v/>
      </c>
      <c r="H1654" s="5" t="str">
        <f aca="false">IF(B1654=0,"",IF(INDEX(Bank!$H:$H,B1654)="","",INDEX(Bank!$H:$H,B1654)))</f>
        <v/>
      </c>
      <c r="I1654" s="5" t="n">
        <f aca="false">IF(H1654="",0,IFERROR(MATCH(H1654,GL!$A:$A,0),0))</f>
        <v>0</v>
      </c>
      <c r="J1654" s="32" t="str">
        <f aca="false">IF(I1654=0,"",INDEX(GL!$B:$B,I1654))</f>
        <v/>
      </c>
      <c r="K1654" s="5" t="str">
        <f aca="false">IF(I1654=0,"",IF(INDEX(GL!$C:$C,I1654)="","",INDEX(GL!$C:$C,I1654)))</f>
        <v/>
      </c>
      <c r="L1654" s="19" t="str">
        <f aca="false">IF(I1654=0,"",INDEX(GL!$E:$E,I1654))</f>
        <v/>
      </c>
      <c r="M1654" s="19" t="str">
        <f aca="false">IF(OR(B1654=0,I1654=0),"",ROUND(G1654-L1654,2))</f>
        <v/>
      </c>
      <c r="N1654" s="5" t="str">
        <f aca="false">IF(A1654="","",IF(B1654=0,"NOT FOUND: bank ID",IF(I1654=0,"NOT FOUND: GL ID",IF(INDEX(GL!$H:$H,I1654)&lt;&gt;A1654,"BROKEN: GL points elsewhere",IF(OR(INDEX(Bank!$F:$F,B1654)&lt;&gt;"Y",INDEX(GL!$F:$F,I1654)&lt;&gt;"Y"),"BROKEN: Status not Y","OK")))))</f>
        <v/>
      </c>
    </row>
    <row r="1655" customFormat="false" ht="15" hidden="false" customHeight="false" outlineLevel="0" collapsed="false">
      <c r="A1655" s="41"/>
      <c r="B1655" s="5" t="n">
        <f aca="false">IF(A1655="",0,IFERROR(MATCH(A1655,Bank!$A:$A,0),0))</f>
        <v>0</v>
      </c>
      <c r="C1655" s="5" t="str">
        <f aca="false">IF(B1655=0,"",IF(INDEX(Bank!$G:$G,B1655)="","",INDEX(Bank!$G:$G,B1655)))</f>
        <v/>
      </c>
      <c r="D1655" s="5" t="str">
        <f aca="false">IF(B1655=0,"",IF(INDEX(Bank!$J:$J,B1655)="","",INDEX(Bank!$J:$J,B1655)))</f>
        <v/>
      </c>
      <c r="E1655" s="32" t="str">
        <f aca="false">IF(B1655=0,"",INDEX(Bank!$B:$B,B1655))</f>
        <v/>
      </c>
      <c r="F1655" s="5" t="str">
        <f aca="false">IF(B1655=0,"",IF(INDEX(Bank!$C:$C,B1655)="","",INDEX(Bank!$C:$C,B1655)))</f>
        <v/>
      </c>
      <c r="G1655" s="19" t="str">
        <f aca="false">IF(B1655=0,"",INDEX(Bank!$E:$E,B1655))</f>
        <v/>
      </c>
      <c r="H1655" s="5" t="str">
        <f aca="false">IF(B1655=0,"",IF(INDEX(Bank!$H:$H,B1655)="","",INDEX(Bank!$H:$H,B1655)))</f>
        <v/>
      </c>
      <c r="I1655" s="5" t="n">
        <f aca="false">IF(H1655="",0,IFERROR(MATCH(H1655,GL!$A:$A,0),0))</f>
        <v>0</v>
      </c>
      <c r="J1655" s="32" t="str">
        <f aca="false">IF(I1655=0,"",INDEX(GL!$B:$B,I1655))</f>
        <v/>
      </c>
      <c r="K1655" s="5" t="str">
        <f aca="false">IF(I1655=0,"",IF(INDEX(GL!$C:$C,I1655)="","",INDEX(GL!$C:$C,I1655)))</f>
        <v/>
      </c>
      <c r="L1655" s="19" t="str">
        <f aca="false">IF(I1655=0,"",INDEX(GL!$E:$E,I1655))</f>
        <v/>
      </c>
      <c r="M1655" s="19" t="str">
        <f aca="false">IF(OR(B1655=0,I1655=0),"",ROUND(G1655-L1655,2))</f>
        <v/>
      </c>
      <c r="N1655" s="5" t="str">
        <f aca="false">IF(A1655="","",IF(B1655=0,"NOT FOUND: bank ID",IF(I1655=0,"NOT FOUND: GL ID",IF(INDEX(GL!$H:$H,I1655)&lt;&gt;A1655,"BROKEN: GL points elsewhere",IF(OR(INDEX(Bank!$F:$F,B1655)&lt;&gt;"Y",INDEX(GL!$F:$F,I1655)&lt;&gt;"Y"),"BROKEN: Status not Y","OK")))))</f>
        <v/>
      </c>
    </row>
    <row r="1656" customFormat="false" ht="15" hidden="false" customHeight="false" outlineLevel="0" collapsed="false">
      <c r="A1656" s="41"/>
      <c r="B1656" s="5" t="n">
        <f aca="false">IF(A1656="",0,IFERROR(MATCH(A1656,Bank!$A:$A,0),0))</f>
        <v>0</v>
      </c>
      <c r="C1656" s="5" t="str">
        <f aca="false">IF(B1656=0,"",IF(INDEX(Bank!$G:$G,B1656)="","",INDEX(Bank!$G:$G,B1656)))</f>
        <v/>
      </c>
      <c r="D1656" s="5" t="str">
        <f aca="false">IF(B1656=0,"",IF(INDEX(Bank!$J:$J,B1656)="","",INDEX(Bank!$J:$J,B1656)))</f>
        <v/>
      </c>
      <c r="E1656" s="32" t="str">
        <f aca="false">IF(B1656=0,"",INDEX(Bank!$B:$B,B1656))</f>
        <v/>
      </c>
      <c r="F1656" s="5" t="str">
        <f aca="false">IF(B1656=0,"",IF(INDEX(Bank!$C:$C,B1656)="","",INDEX(Bank!$C:$C,B1656)))</f>
        <v/>
      </c>
      <c r="G1656" s="19" t="str">
        <f aca="false">IF(B1656=0,"",INDEX(Bank!$E:$E,B1656))</f>
        <v/>
      </c>
      <c r="H1656" s="5" t="str">
        <f aca="false">IF(B1656=0,"",IF(INDEX(Bank!$H:$H,B1656)="","",INDEX(Bank!$H:$H,B1656)))</f>
        <v/>
      </c>
      <c r="I1656" s="5" t="n">
        <f aca="false">IF(H1656="",0,IFERROR(MATCH(H1656,GL!$A:$A,0),0))</f>
        <v>0</v>
      </c>
      <c r="J1656" s="32" t="str">
        <f aca="false">IF(I1656=0,"",INDEX(GL!$B:$B,I1656))</f>
        <v/>
      </c>
      <c r="K1656" s="5" t="str">
        <f aca="false">IF(I1656=0,"",IF(INDEX(GL!$C:$C,I1656)="","",INDEX(GL!$C:$C,I1656)))</f>
        <v/>
      </c>
      <c r="L1656" s="19" t="str">
        <f aca="false">IF(I1656=0,"",INDEX(GL!$E:$E,I1656))</f>
        <v/>
      </c>
      <c r="M1656" s="19" t="str">
        <f aca="false">IF(OR(B1656=0,I1656=0),"",ROUND(G1656-L1656,2))</f>
        <v/>
      </c>
      <c r="N1656" s="5" t="str">
        <f aca="false">IF(A1656="","",IF(B1656=0,"NOT FOUND: bank ID",IF(I1656=0,"NOT FOUND: GL ID",IF(INDEX(GL!$H:$H,I1656)&lt;&gt;A1656,"BROKEN: GL points elsewhere",IF(OR(INDEX(Bank!$F:$F,B1656)&lt;&gt;"Y",INDEX(GL!$F:$F,I1656)&lt;&gt;"Y"),"BROKEN: Status not Y","OK")))))</f>
        <v/>
      </c>
    </row>
    <row r="1657" customFormat="false" ht="15" hidden="false" customHeight="false" outlineLevel="0" collapsed="false">
      <c r="A1657" s="41"/>
      <c r="B1657" s="5" t="n">
        <f aca="false">IF(A1657="",0,IFERROR(MATCH(A1657,Bank!$A:$A,0),0))</f>
        <v>0</v>
      </c>
      <c r="C1657" s="5" t="str">
        <f aca="false">IF(B1657=0,"",IF(INDEX(Bank!$G:$G,B1657)="","",INDEX(Bank!$G:$G,B1657)))</f>
        <v/>
      </c>
      <c r="D1657" s="5" t="str">
        <f aca="false">IF(B1657=0,"",IF(INDEX(Bank!$J:$J,B1657)="","",INDEX(Bank!$J:$J,B1657)))</f>
        <v/>
      </c>
      <c r="E1657" s="32" t="str">
        <f aca="false">IF(B1657=0,"",INDEX(Bank!$B:$B,B1657))</f>
        <v/>
      </c>
      <c r="F1657" s="5" t="str">
        <f aca="false">IF(B1657=0,"",IF(INDEX(Bank!$C:$C,B1657)="","",INDEX(Bank!$C:$C,B1657)))</f>
        <v/>
      </c>
      <c r="G1657" s="19" t="str">
        <f aca="false">IF(B1657=0,"",INDEX(Bank!$E:$E,B1657))</f>
        <v/>
      </c>
      <c r="H1657" s="5" t="str">
        <f aca="false">IF(B1657=0,"",IF(INDEX(Bank!$H:$H,B1657)="","",INDEX(Bank!$H:$H,B1657)))</f>
        <v/>
      </c>
      <c r="I1657" s="5" t="n">
        <f aca="false">IF(H1657="",0,IFERROR(MATCH(H1657,GL!$A:$A,0),0))</f>
        <v>0</v>
      </c>
      <c r="J1657" s="32" t="str">
        <f aca="false">IF(I1657=0,"",INDEX(GL!$B:$B,I1657))</f>
        <v/>
      </c>
      <c r="K1657" s="5" t="str">
        <f aca="false">IF(I1657=0,"",IF(INDEX(GL!$C:$C,I1657)="","",INDEX(GL!$C:$C,I1657)))</f>
        <v/>
      </c>
      <c r="L1657" s="19" t="str">
        <f aca="false">IF(I1657=0,"",INDEX(GL!$E:$E,I1657))</f>
        <v/>
      </c>
      <c r="M1657" s="19" t="str">
        <f aca="false">IF(OR(B1657=0,I1657=0),"",ROUND(G1657-L1657,2))</f>
        <v/>
      </c>
      <c r="N1657" s="5" t="str">
        <f aca="false">IF(A1657="","",IF(B1657=0,"NOT FOUND: bank ID",IF(I1657=0,"NOT FOUND: GL ID",IF(INDEX(GL!$H:$H,I1657)&lt;&gt;A1657,"BROKEN: GL points elsewhere",IF(OR(INDEX(Bank!$F:$F,B1657)&lt;&gt;"Y",INDEX(GL!$F:$F,I1657)&lt;&gt;"Y"),"BROKEN: Status not Y","OK")))))</f>
        <v/>
      </c>
    </row>
    <row r="1658" customFormat="false" ht="15" hidden="false" customHeight="false" outlineLevel="0" collapsed="false">
      <c r="A1658" s="41"/>
      <c r="B1658" s="5" t="n">
        <f aca="false">IF(A1658="",0,IFERROR(MATCH(A1658,Bank!$A:$A,0),0))</f>
        <v>0</v>
      </c>
      <c r="C1658" s="5" t="str">
        <f aca="false">IF(B1658=0,"",IF(INDEX(Bank!$G:$G,B1658)="","",INDEX(Bank!$G:$G,B1658)))</f>
        <v/>
      </c>
      <c r="D1658" s="5" t="str">
        <f aca="false">IF(B1658=0,"",IF(INDEX(Bank!$J:$J,B1658)="","",INDEX(Bank!$J:$J,B1658)))</f>
        <v/>
      </c>
      <c r="E1658" s="32" t="str">
        <f aca="false">IF(B1658=0,"",INDEX(Bank!$B:$B,B1658))</f>
        <v/>
      </c>
      <c r="F1658" s="5" t="str">
        <f aca="false">IF(B1658=0,"",IF(INDEX(Bank!$C:$C,B1658)="","",INDEX(Bank!$C:$C,B1658)))</f>
        <v/>
      </c>
      <c r="G1658" s="19" t="str">
        <f aca="false">IF(B1658=0,"",INDEX(Bank!$E:$E,B1658))</f>
        <v/>
      </c>
      <c r="H1658" s="5" t="str">
        <f aca="false">IF(B1658=0,"",IF(INDEX(Bank!$H:$H,B1658)="","",INDEX(Bank!$H:$H,B1658)))</f>
        <v/>
      </c>
      <c r="I1658" s="5" t="n">
        <f aca="false">IF(H1658="",0,IFERROR(MATCH(H1658,GL!$A:$A,0),0))</f>
        <v>0</v>
      </c>
      <c r="J1658" s="32" t="str">
        <f aca="false">IF(I1658=0,"",INDEX(GL!$B:$B,I1658))</f>
        <v/>
      </c>
      <c r="K1658" s="5" t="str">
        <f aca="false">IF(I1658=0,"",IF(INDEX(GL!$C:$C,I1658)="","",INDEX(GL!$C:$C,I1658)))</f>
        <v/>
      </c>
      <c r="L1658" s="19" t="str">
        <f aca="false">IF(I1658=0,"",INDEX(GL!$E:$E,I1658))</f>
        <v/>
      </c>
      <c r="M1658" s="19" t="str">
        <f aca="false">IF(OR(B1658=0,I1658=0),"",ROUND(G1658-L1658,2))</f>
        <v/>
      </c>
      <c r="N1658" s="5" t="str">
        <f aca="false">IF(A1658="","",IF(B1658=0,"NOT FOUND: bank ID",IF(I1658=0,"NOT FOUND: GL ID",IF(INDEX(GL!$H:$H,I1658)&lt;&gt;A1658,"BROKEN: GL points elsewhere",IF(OR(INDEX(Bank!$F:$F,B1658)&lt;&gt;"Y",INDEX(GL!$F:$F,I1658)&lt;&gt;"Y"),"BROKEN: Status not Y","OK")))))</f>
        <v/>
      </c>
    </row>
    <row r="1659" customFormat="false" ht="15" hidden="false" customHeight="false" outlineLevel="0" collapsed="false">
      <c r="A1659" s="41"/>
      <c r="B1659" s="5" t="n">
        <f aca="false">IF(A1659="",0,IFERROR(MATCH(A1659,Bank!$A:$A,0),0))</f>
        <v>0</v>
      </c>
      <c r="C1659" s="5" t="str">
        <f aca="false">IF(B1659=0,"",IF(INDEX(Bank!$G:$G,B1659)="","",INDEX(Bank!$G:$G,B1659)))</f>
        <v/>
      </c>
      <c r="D1659" s="5" t="str">
        <f aca="false">IF(B1659=0,"",IF(INDEX(Bank!$J:$J,B1659)="","",INDEX(Bank!$J:$J,B1659)))</f>
        <v/>
      </c>
      <c r="E1659" s="32" t="str">
        <f aca="false">IF(B1659=0,"",INDEX(Bank!$B:$B,B1659))</f>
        <v/>
      </c>
      <c r="F1659" s="5" t="str">
        <f aca="false">IF(B1659=0,"",IF(INDEX(Bank!$C:$C,B1659)="","",INDEX(Bank!$C:$C,B1659)))</f>
        <v/>
      </c>
      <c r="G1659" s="19" t="str">
        <f aca="false">IF(B1659=0,"",INDEX(Bank!$E:$E,B1659))</f>
        <v/>
      </c>
      <c r="H1659" s="5" t="str">
        <f aca="false">IF(B1659=0,"",IF(INDEX(Bank!$H:$H,B1659)="","",INDEX(Bank!$H:$H,B1659)))</f>
        <v/>
      </c>
      <c r="I1659" s="5" t="n">
        <f aca="false">IF(H1659="",0,IFERROR(MATCH(H1659,GL!$A:$A,0),0))</f>
        <v>0</v>
      </c>
      <c r="J1659" s="32" t="str">
        <f aca="false">IF(I1659=0,"",INDEX(GL!$B:$B,I1659))</f>
        <v/>
      </c>
      <c r="K1659" s="5" t="str">
        <f aca="false">IF(I1659=0,"",IF(INDEX(GL!$C:$C,I1659)="","",INDEX(GL!$C:$C,I1659)))</f>
        <v/>
      </c>
      <c r="L1659" s="19" t="str">
        <f aca="false">IF(I1659=0,"",INDEX(GL!$E:$E,I1659))</f>
        <v/>
      </c>
      <c r="M1659" s="19" t="str">
        <f aca="false">IF(OR(B1659=0,I1659=0),"",ROUND(G1659-L1659,2))</f>
        <v/>
      </c>
      <c r="N1659" s="5" t="str">
        <f aca="false">IF(A1659="","",IF(B1659=0,"NOT FOUND: bank ID",IF(I1659=0,"NOT FOUND: GL ID",IF(INDEX(GL!$H:$H,I1659)&lt;&gt;A1659,"BROKEN: GL points elsewhere",IF(OR(INDEX(Bank!$F:$F,B1659)&lt;&gt;"Y",INDEX(GL!$F:$F,I1659)&lt;&gt;"Y"),"BROKEN: Status not Y","OK")))))</f>
        <v/>
      </c>
    </row>
    <row r="1660" customFormat="false" ht="15" hidden="false" customHeight="false" outlineLevel="0" collapsed="false">
      <c r="A1660" s="41"/>
      <c r="B1660" s="5" t="n">
        <f aca="false">IF(A1660="",0,IFERROR(MATCH(A1660,Bank!$A:$A,0),0))</f>
        <v>0</v>
      </c>
      <c r="C1660" s="5" t="str">
        <f aca="false">IF(B1660=0,"",IF(INDEX(Bank!$G:$G,B1660)="","",INDEX(Bank!$G:$G,B1660)))</f>
        <v/>
      </c>
      <c r="D1660" s="5" t="str">
        <f aca="false">IF(B1660=0,"",IF(INDEX(Bank!$J:$J,B1660)="","",INDEX(Bank!$J:$J,B1660)))</f>
        <v/>
      </c>
      <c r="E1660" s="32" t="str">
        <f aca="false">IF(B1660=0,"",INDEX(Bank!$B:$B,B1660))</f>
        <v/>
      </c>
      <c r="F1660" s="5" t="str">
        <f aca="false">IF(B1660=0,"",IF(INDEX(Bank!$C:$C,B1660)="","",INDEX(Bank!$C:$C,B1660)))</f>
        <v/>
      </c>
      <c r="G1660" s="19" t="str">
        <f aca="false">IF(B1660=0,"",INDEX(Bank!$E:$E,B1660))</f>
        <v/>
      </c>
      <c r="H1660" s="5" t="str">
        <f aca="false">IF(B1660=0,"",IF(INDEX(Bank!$H:$H,B1660)="","",INDEX(Bank!$H:$H,B1660)))</f>
        <v/>
      </c>
      <c r="I1660" s="5" t="n">
        <f aca="false">IF(H1660="",0,IFERROR(MATCH(H1660,GL!$A:$A,0),0))</f>
        <v>0</v>
      </c>
      <c r="J1660" s="32" t="str">
        <f aca="false">IF(I1660=0,"",INDEX(GL!$B:$B,I1660))</f>
        <v/>
      </c>
      <c r="K1660" s="5" t="str">
        <f aca="false">IF(I1660=0,"",IF(INDEX(GL!$C:$C,I1660)="","",INDEX(GL!$C:$C,I1660)))</f>
        <v/>
      </c>
      <c r="L1660" s="19" t="str">
        <f aca="false">IF(I1660=0,"",INDEX(GL!$E:$E,I1660))</f>
        <v/>
      </c>
      <c r="M1660" s="19" t="str">
        <f aca="false">IF(OR(B1660=0,I1660=0),"",ROUND(G1660-L1660,2))</f>
        <v/>
      </c>
      <c r="N1660" s="5" t="str">
        <f aca="false">IF(A1660="","",IF(B1660=0,"NOT FOUND: bank ID",IF(I1660=0,"NOT FOUND: GL ID",IF(INDEX(GL!$H:$H,I1660)&lt;&gt;A1660,"BROKEN: GL points elsewhere",IF(OR(INDEX(Bank!$F:$F,B1660)&lt;&gt;"Y",INDEX(GL!$F:$F,I1660)&lt;&gt;"Y"),"BROKEN: Status not Y","OK")))))</f>
        <v/>
      </c>
    </row>
    <row r="1661" customFormat="false" ht="15" hidden="false" customHeight="false" outlineLevel="0" collapsed="false">
      <c r="A1661" s="41"/>
      <c r="B1661" s="5" t="n">
        <f aca="false">IF(A1661="",0,IFERROR(MATCH(A1661,Bank!$A:$A,0),0))</f>
        <v>0</v>
      </c>
      <c r="C1661" s="5" t="str">
        <f aca="false">IF(B1661=0,"",IF(INDEX(Bank!$G:$G,B1661)="","",INDEX(Bank!$G:$G,B1661)))</f>
        <v/>
      </c>
      <c r="D1661" s="5" t="str">
        <f aca="false">IF(B1661=0,"",IF(INDEX(Bank!$J:$J,B1661)="","",INDEX(Bank!$J:$J,B1661)))</f>
        <v/>
      </c>
      <c r="E1661" s="32" t="str">
        <f aca="false">IF(B1661=0,"",INDEX(Bank!$B:$B,B1661))</f>
        <v/>
      </c>
      <c r="F1661" s="5" t="str">
        <f aca="false">IF(B1661=0,"",IF(INDEX(Bank!$C:$C,B1661)="","",INDEX(Bank!$C:$C,B1661)))</f>
        <v/>
      </c>
      <c r="G1661" s="19" t="str">
        <f aca="false">IF(B1661=0,"",INDEX(Bank!$E:$E,B1661))</f>
        <v/>
      </c>
      <c r="H1661" s="5" t="str">
        <f aca="false">IF(B1661=0,"",IF(INDEX(Bank!$H:$H,B1661)="","",INDEX(Bank!$H:$H,B1661)))</f>
        <v/>
      </c>
      <c r="I1661" s="5" t="n">
        <f aca="false">IF(H1661="",0,IFERROR(MATCH(H1661,GL!$A:$A,0),0))</f>
        <v>0</v>
      </c>
      <c r="J1661" s="32" t="str">
        <f aca="false">IF(I1661=0,"",INDEX(GL!$B:$B,I1661))</f>
        <v/>
      </c>
      <c r="K1661" s="5" t="str">
        <f aca="false">IF(I1661=0,"",IF(INDEX(GL!$C:$C,I1661)="","",INDEX(GL!$C:$C,I1661)))</f>
        <v/>
      </c>
      <c r="L1661" s="19" t="str">
        <f aca="false">IF(I1661=0,"",INDEX(GL!$E:$E,I1661))</f>
        <v/>
      </c>
      <c r="M1661" s="19" t="str">
        <f aca="false">IF(OR(B1661=0,I1661=0),"",ROUND(G1661-L1661,2))</f>
        <v/>
      </c>
      <c r="N1661" s="5" t="str">
        <f aca="false">IF(A1661="","",IF(B1661=0,"NOT FOUND: bank ID",IF(I1661=0,"NOT FOUND: GL ID",IF(INDEX(GL!$H:$H,I1661)&lt;&gt;A1661,"BROKEN: GL points elsewhere",IF(OR(INDEX(Bank!$F:$F,B1661)&lt;&gt;"Y",INDEX(GL!$F:$F,I1661)&lt;&gt;"Y"),"BROKEN: Status not Y","OK")))))</f>
        <v/>
      </c>
    </row>
    <row r="1662" customFormat="false" ht="15" hidden="false" customHeight="false" outlineLevel="0" collapsed="false">
      <c r="A1662" s="41"/>
      <c r="B1662" s="5" t="n">
        <f aca="false">IF(A1662="",0,IFERROR(MATCH(A1662,Bank!$A:$A,0),0))</f>
        <v>0</v>
      </c>
      <c r="C1662" s="5" t="str">
        <f aca="false">IF(B1662=0,"",IF(INDEX(Bank!$G:$G,B1662)="","",INDEX(Bank!$G:$G,B1662)))</f>
        <v/>
      </c>
      <c r="D1662" s="5" t="str">
        <f aca="false">IF(B1662=0,"",IF(INDEX(Bank!$J:$J,B1662)="","",INDEX(Bank!$J:$J,B1662)))</f>
        <v/>
      </c>
      <c r="E1662" s="32" t="str">
        <f aca="false">IF(B1662=0,"",INDEX(Bank!$B:$B,B1662))</f>
        <v/>
      </c>
      <c r="F1662" s="5" t="str">
        <f aca="false">IF(B1662=0,"",IF(INDEX(Bank!$C:$C,B1662)="","",INDEX(Bank!$C:$C,B1662)))</f>
        <v/>
      </c>
      <c r="G1662" s="19" t="str">
        <f aca="false">IF(B1662=0,"",INDEX(Bank!$E:$E,B1662))</f>
        <v/>
      </c>
      <c r="H1662" s="5" t="str">
        <f aca="false">IF(B1662=0,"",IF(INDEX(Bank!$H:$H,B1662)="","",INDEX(Bank!$H:$H,B1662)))</f>
        <v/>
      </c>
      <c r="I1662" s="5" t="n">
        <f aca="false">IF(H1662="",0,IFERROR(MATCH(H1662,GL!$A:$A,0),0))</f>
        <v>0</v>
      </c>
      <c r="J1662" s="32" t="str">
        <f aca="false">IF(I1662=0,"",INDEX(GL!$B:$B,I1662))</f>
        <v/>
      </c>
      <c r="K1662" s="5" t="str">
        <f aca="false">IF(I1662=0,"",IF(INDEX(GL!$C:$C,I1662)="","",INDEX(GL!$C:$C,I1662)))</f>
        <v/>
      </c>
      <c r="L1662" s="19" t="str">
        <f aca="false">IF(I1662=0,"",INDEX(GL!$E:$E,I1662))</f>
        <v/>
      </c>
      <c r="M1662" s="19" t="str">
        <f aca="false">IF(OR(B1662=0,I1662=0),"",ROUND(G1662-L1662,2))</f>
        <v/>
      </c>
      <c r="N1662" s="5" t="str">
        <f aca="false">IF(A1662="","",IF(B1662=0,"NOT FOUND: bank ID",IF(I1662=0,"NOT FOUND: GL ID",IF(INDEX(GL!$H:$H,I1662)&lt;&gt;A1662,"BROKEN: GL points elsewhere",IF(OR(INDEX(Bank!$F:$F,B1662)&lt;&gt;"Y",INDEX(GL!$F:$F,I1662)&lt;&gt;"Y"),"BROKEN: Status not Y","OK")))))</f>
        <v/>
      </c>
    </row>
    <row r="1663" customFormat="false" ht="15" hidden="false" customHeight="false" outlineLevel="0" collapsed="false">
      <c r="A1663" s="41"/>
      <c r="B1663" s="5" t="n">
        <f aca="false">IF(A1663="",0,IFERROR(MATCH(A1663,Bank!$A:$A,0),0))</f>
        <v>0</v>
      </c>
      <c r="C1663" s="5" t="str">
        <f aca="false">IF(B1663=0,"",IF(INDEX(Bank!$G:$G,B1663)="","",INDEX(Bank!$G:$G,B1663)))</f>
        <v/>
      </c>
      <c r="D1663" s="5" t="str">
        <f aca="false">IF(B1663=0,"",IF(INDEX(Bank!$J:$J,B1663)="","",INDEX(Bank!$J:$J,B1663)))</f>
        <v/>
      </c>
      <c r="E1663" s="32" t="str">
        <f aca="false">IF(B1663=0,"",INDEX(Bank!$B:$B,B1663))</f>
        <v/>
      </c>
      <c r="F1663" s="5" t="str">
        <f aca="false">IF(B1663=0,"",IF(INDEX(Bank!$C:$C,B1663)="","",INDEX(Bank!$C:$C,B1663)))</f>
        <v/>
      </c>
      <c r="G1663" s="19" t="str">
        <f aca="false">IF(B1663=0,"",INDEX(Bank!$E:$E,B1663))</f>
        <v/>
      </c>
      <c r="H1663" s="5" t="str">
        <f aca="false">IF(B1663=0,"",IF(INDEX(Bank!$H:$H,B1663)="","",INDEX(Bank!$H:$H,B1663)))</f>
        <v/>
      </c>
      <c r="I1663" s="5" t="n">
        <f aca="false">IF(H1663="",0,IFERROR(MATCH(H1663,GL!$A:$A,0),0))</f>
        <v>0</v>
      </c>
      <c r="J1663" s="32" t="str">
        <f aca="false">IF(I1663=0,"",INDEX(GL!$B:$B,I1663))</f>
        <v/>
      </c>
      <c r="K1663" s="5" t="str">
        <f aca="false">IF(I1663=0,"",IF(INDEX(GL!$C:$C,I1663)="","",INDEX(GL!$C:$C,I1663)))</f>
        <v/>
      </c>
      <c r="L1663" s="19" t="str">
        <f aca="false">IF(I1663=0,"",INDEX(GL!$E:$E,I1663))</f>
        <v/>
      </c>
      <c r="M1663" s="19" t="str">
        <f aca="false">IF(OR(B1663=0,I1663=0),"",ROUND(G1663-L1663,2))</f>
        <v/>
      </c>
      <c r="N1663" s="5" t="str">
        <f aca="false">IF(A1663="","",IF(B1663=0,"NOT FOUND: bank ID",IF(I1663=0,"NOT FOUND: GL ID",IF(INDEX(GL!$H:$H,I1663)&lt;&gt;A1663,"BROKEN: GL points elsewhere",IF(OR(INDEX(Bank!$F:$F,B1663)&lt;&gt;"Y",INDEX(GL!$F:$F,I1663)&lt;&gt;"Y"),"BROKEN: Status not Y","OK")))))</f>
        <v/>
      </c>
    </row>
    <row r="1664" customFormat="false" ht="15" hidden="false" customHeight="false" outlineLevel="0" collapsed="false">
      <c r="A1664" s="41"/>
      <c r="B1664" s="5" t="n">
        <f aca="false">IF(A1664="",0,IFERROR(MATCH(A1664,Bank!$A:$A,0),0))</f>
        <v>0</v>
      </c>
      <c r="C1664" s="5" t="str">
        <f aca="false">IF(B1664=0,"",IF(INDEX(Bank!$G:$G,B1664)="","",INDEX(Bank!$G:$G,B1664)))</f>
        <v/>
      </c>
      <c r="D1664" s="5" t="str">
        <f aca="false">IF(B1664=0,"",IF(INDEX(Bank!$J:$J,B1664)="","",INDEX(Bank!$J:$J,B1664)))</f>
        <v/>
      </c>
      <c r="E1664" s="32" t="str">
        <f aca="false">IF(B1664=0,"",INDEX(Bank!$B:$B,B1664))</f>
        <v/>
      </c>
      <c r="F1664" s="5" t="str">
        <f aca="false">IF(B1664=0,"",IF(INDEX(Bank!$C:$C,B1664)="","",INDEX(Bank!$C:$C,B1664)))</f>
        <v/>
      </c>
      <c r="G1664" s="19" t="str">
        <f aca="false">IF(B1664=0,"",INDEX(Bank!$E:$E,B1664))</f>
        <v/>
      </c>
      <c r="H1664" s="5" t="str">
        <f aca="false">IF(B1664=0,"",IF(INDEX(Bank!$H:$H,B1664)="","",INDEX(Bank!$H:$H,B1664)))</f>
        <v/>
      </c>
      <c r="I1664" s="5" t="n">
        <f aca="false">IF(H1664="",0,IFERROR(MATCH(H1664,GL!$A:$A,0),0))</f>
        <v>0</v>
      </c>
      <c r="J1664" s="32" t="str">
        <f aca="false">IF(I1664=0,"",INDEX(GL!$B:$B,I1664))</f>
        <v/>
      </c>
      <c r="K1664" s="5" t="str">
        <f aca="false">IF(I1664=0,"",IF(INDEX(GL!$C:$C,I1664)="","",INDEX(GL!$C:$C,I1664)))</f>
        <v/>
      </c>
      <c r="L1664" s="19" t="str">
        <f aca="false">IF(I1664=0,"",INDEX(GL!$E:$E,I1664))</f>
        <v/>
      </c>
      <c r="M1664" s="19" t="str">
        <f aca="false">IF(OR(B1664=0,I1664=0),"",ROUND(G1664-L1664,2))</f>
        <v/>
      </c>
      <c r="N1664" s="5" t="str">
        <f aca="false">IF(A1664="","",IF(B1664=0,"NOT FOUND: bank ID",IF(I1664=0,"NOT FOUND: GL ID",IF(INDEX(GL!$H:$H,I1664)&lt;&gt;A1664,"BROKEN: GL points elsewhere",IF(OR(INDEX(Bank!$F:$F,B1664)&lt;&gt;"Y",INDEX(GL!$F:$F,I1664)&lt;&gt;"Y"),"BROKEN: Status not Y","OK")))))</f>
        <v/>
      </c>
    </row>
    <row r="1665" customFormat="false" ht="15" hidden="false" customHeight="false" outlineLevel="0" collapsed="false">
      <c r="A1665" s="41"/>
      <c r="B1665" s="5" t="n">
        <f aca="false">IF(A1665="",0,IFERROR(MATCH(A1665,Bank!$A:$A,0),0))</f>
        <v>0</v>
      </c>
      <c r="C1665" s="5" t="str">
        <f aca="false">IF(B1665=0,"",IF(INDEX(Bank!$G:$G,B1665)="","",INDEX(Bank!$G:$G,B1665)))</f>
        <v/>
      </c>
      <c r="D1665" s="5" t="str">
        <f aca="false">IF(B1665=0,"",IF(INDEX(Bank!$J:$J,B1665)="","",INDEX(Bank!$J:$J,B1665)))</f>
        <v/>
      </c>
      <c r="E1665" s="32" t="str">
        <f aca="false">IF(B1665=0,"",INDEX(Bank!$B:$B,B1665))</f>
        <v/>
      </c>
      <c r="F1665" s="5" t="str">
        <f aca="false">IF(B1665=0,"",IF(INDEX(Bank!$C:$C,B1665)="","",INDEX(Bank!$C:$C,B1665)))</f>
        <v/>
      </c>
      <c r="G1665" s="19" t="str">
        <f aca="false">IF(B1665=0,"",INDEX(Bank!$E:$E,B1665))</f>
        <v/>
      </c>
      <c r="H1665" s="5" t="str">
        <f aca="false">IF(B1665=0,"",IF(INDEX(Bank!$H:$H,B1665)="","",INDEX(Bank!$H:$H,B1665)))</f>
        <v/>
      </c>
      <c r="I1665" s="5" t="n">
        <f aca="false">IF(H1665="",0,IFERROR(MATCH(H1665,GL!$A:$A,0),0))</f>
        <v>0</v>
      </c>
      <c r="J1665" s="32" t="str">
        <f aca="false">IF(I1665=0,"",INDEX(GL!$B:$B,I1665))</f>
        <v/>
      </c>
      <c r="K1665" s="5" t="str">
        <f aca="false">IF(I1665=0,"",IF(INDEX(GL!$C:$C,I1665)="","",INDEX(GL!$C:$C,I1665)))</f>
        <v/>
      </c>
      <c r="L1665" s="19" t="str">
        <f aca="false">IF(I1665=0,"",INDEX(GL!$E:$E,I1665))</f>
        <v/>
      </c>
      <c r="M1665" s="19" t="str">
        <f aca="false">IF(OR(B1665=0,I1665=0),"",ROUND(G1665-L1665,2))</f>
        <v/>
      </c>
      <c r="N1665" s="5" t="str">
        <f aca="false">IF(A1665="","",IF(B1665=0,"NOT FOUND: bank ID",IF(I1665=0,"NOT FOUND: GL ID",IF(INDEX(GL!$H:$H,I1665)&lt;&gt;A1665,"BROKEN: GL points elsewhere",IF(OR(INDEX(Bank!$F:$F,B1665)&lt;&gt;"Y",INDEX(GL!$F:$F,I1665)&lt;&gt;"Y"),"BROKEN: Status not Y","OK")))))</f>
        <v/>
      </c>
    </row>
    <row r="1666" customFormat="false" ht="15" hidden="false" customHeight="false" outlineLevel="0" collapsed="false">
      <c r="A1666" s="41"/>
      <c r="B1666" s="5" t="n">
        <f aca="false">IF(A1666="",0,IFERROR(MATCH(A1666,Bank!$A:$A,0),0))</f>
        <v>0</v>
      </c>
      <c r="C1666" s="5" t="str">
        <f aca="false">IF(B1666=0,"",IF(INDEX(Bank!$G:$G,B1666)="","",INDEX(Bank!$G:$G,B1666)))</f>
        <v/>
      </c>
      <c r="D1666" s="5" t="str">
        <f aca="false">IF(B1666=0,"",IF(INDEX(Bank!$J:$J,B1666)="","",INDEX(Bank!$J:$J,B1666)))</f>
        <v/>
      </c>
      <c r="E1666" s="32" t="str">
        <f aca="false">IF(B1666=0,"",INDEX(Bank!$B:$B,B1666))</f>
        <v/>
      </c>
      <c r="F1666" s="5" t="str">
        <f aca="false">IF(B1666=0,"",IF(INDEX(Bank!$C:$C,B1666)="","",INDEX(Bank!$C:$C,B1666)))</f>
        <v/>
      </c>
      <c r="G1666" s="19" t="str">
        <f aca="false">IF(B1666=0,"",INDEX(Bank!$E:$E,B1666))</f>
        <v/>
      </c>
      <c r="H1666" s="5" t="str">
        <f aca="false">IF(B1666=0,"",IF(INDEX(Bank!$H:$H,B1666)="","",INDEX(Bank!$H:$H,B1666)))</f>
        <v/>
      </c>
      <c r="I1666" s="5" t="n">
        <f aca="false">IF(H1666="",0,IFERROR(MATCH(H1666,GL!$A:$A,0),0))</f>
        <v>0</v>
      </c>
      <c r="J1666" s="32" t="str">
        <f aca="false">IF(I1666=0,"",INDEX(GL!$B:$B,I1666))</f>
        <v/>
      </c>
      <c r="K1666" s="5" t="str">
        <f aca="false">IF(I1666=0,"",IF(INDEX(GL!$C:$C,I1666)="","",INDEX(GL!$C:$C,I1666)))</f>
        <v/>
      </c>
      <c r="L1666" s="19" t="str">
        <f aca="false">IF(I1666=0,"",INDEX(GL!$E:$E,I1666))</f>
        <v/>
      </c>
      <c r="M1666" s="19" t="str">
        <f aca="false">IF(OR(B1666=0,I1666=0),"",ROUND(G1666-L1666,2))</f>
        <v/>
      </c>
      <c r="N1666" s="5" t="str">
        <f aca="false">IF(A1666="","",IF(B1666=0,"NOT FOUND: bank ID",IF(I1666=0,"NOT FOUND: GL ID",IF(INDEX(GL!$H:$H,I1666)&lt;&gt;A1666,"BROKEN: GL points elsewhere",IF(OR(INDEX(Bank!$F:$F,B1666)&lt;&gt;"Y",INDEX(GL!$F:$F,I1666)&lt;&gt;"Y"),"BROKEN: Status not Y","OK")))))</f>
        <v/>
      </c>
    </row>
    <row r="1667" customFormat="false" ht="15" hidden="false" customHeight="false" outlineLevel="0" collapsed="false">
      <c r="A1667" s="41"/>
      <c r="B1667" s="5" t="n">
        <f aca="false">IF(A1667="",0,IFERROR(MATCH(A1667,Bank!$A:$A,0),0))</f>
        <v>0</v>
      </c>
      <c r="C1667" s="5" t="str">
        <f aca="false">IF(B1667=0,"",IF(INDEX(Bank!$G:$G,B1667)="","",INDEX(Bank!$G:$G,B1667)))</f>
        <v/>
      </c>
      <c r="D1667" s="5" t="str">
        <f aca="false">IF(B1667=0,"",IF(INDEX(Bank!$J:$J,B1667)="","",INDEX(Bank!$J:$J,B1667)))</f>
        <v/>
      </c>
      <c r="E1667" s="32" t="str">
        <f aca="false">IF(B1667=0,"",INDEX(Bank!$B:$B,B1667))</f>
        <v/>
      </c>
      <c r="F1667" s="5" t="str">
        <f aca="false">IF(B1667=0,"",IF(INDEX(Bank!$C:$C,B1667)="","",INDEX(Bank!$C:$C,B1667)))</f>
        <v/>
      </c>
      <c r="G1667" s="19" t="str">
        <f aca="false">IF(B1667=0,"",INDEX(Bank!$E:$E,B1667))</f>
        <v/>
      </c>
      <c r="H1667" s="5" t="str">
        <f aca="false">IF(B1667=0,"",IF(INDEX(Bank!$H:$H,B1667)="","",INDEX(Bank!$H:$H,B1667)))</f>
        <v/>
      </c>
      <c r="I1667" s="5" t="n">
        <f aca="false">IF(H1667="",0,IFERROR(MATCH(H1667,GL!$A:$A,0),0))</f>
        <v>0</v>
      </c>
      <c r="J1667" s="32" t="str">
        <f aca="false">IF(I1667=0,"",INDEX(GL!$B:$B,I1667))</f>
        <v/>
      </c>
      <c r="K1667" s="5" t="str">
        <f aca="false">IF(I1667=0,"",IF(INDEX(GL!$C:$C,I1667)="","",INDEX(GL!$C:$C,I1667)))</f>
        <v/>
      </c>
      <c r="L1667" s="19" t="str">
        <f aca="false">IF(I1667=0,"",INDEX(GL!$E:$E,I1667))</f>
        <v/>
      </c>
      <c r="M1667" s="19" t="str">
        <f aca="false">IF(OR(B1667=0,I1667=0),"",ROUND(G1667-L1667,2))</f>
        <v/>
      </c>
      <c r="N1667" s="5" t="str">
        <f aca="false">IF(A1667="","",IF(B1667=0,"NOT FOUND: bank ID",IF(I1667=0,"NOT FOUND: GL ID",IF(INDEX(GL!$H:$H,I1667)&lt;&gt;A1667,"BROKEN: GL points elsewhere",IF(OR(INDEX(Bank!$F:$F,B1667)&lt;&gt;"Y",INDEX(GL!$F:$F,I1667)&lt;&gt;"Y"),"BROKEN: Status not Y","OK")))))</f>
        <v/>
      </c>
    </row>
    <row r="1668" customFormat="false" ht="15" hidden="false" customHeight="false" outlineLevel="0" collapsed="false">
      <c r="A1668" s="41"/>
      <c r="B1668" s="5" t="n">
        <f aca="false">IF(A1668="",0,IFERROR(MATCH(A1668,Bank!$A:$A,0),0))</f>
        <v>0</v>
      </c>
      <c r="C1668" s="5" t="str">
        <f aca="false">IF(B1668=0,"",IF(INDEX(Bank!$G:$G,B1668)="","",INDEX(Bank!$G:$G,B1668)))</f>
        <v/>
      </c>
      <c r="D1668" s="5" t="str">
        <f aca="false">IF(B1668=0,"",IF(INDEX(Bank!$J:$J,B1668)="","",INDEX(Bank!$J:$J,B1668)))</f>
        <v/>
      </c>
      <c r="E1668" s="32" t="str">
        <f aca="false">IF(B1668=0,"",INDEX(Bank!$B:$B,B1668))</f>
        <v/>
      </c>
      <c r="F1668" s="5" t="str">
        <f aca="false">IF(B1668=0,"",IF(INDEX(Bank!$C:$C,B1668)="","",INDEX(Bank!$C:$C,B1668)))</f>
        <v/>
      </c>
      <c r="G1668" s="19" t="str">
        <f aca="false">IF(B1668=0,"",INDEX(Bank!$E:$E,B1668))</f>
        <v/>
      </c>
      <c r="H1668" s="5" t="str">
        <f aca="false">IF(B1668=0,"",IF(INDEX(Bank!$H:$H,B1668)="","",INDEX(Bank!$H:$H,B1668)))</f>
        <v/>
      </c>
      <c r="I1668" s="5" t="n">
        <f aca="false">IF(H1668="",0,IFERROR(MATCH(H1668,GL!$A:$A,0),0))</f>
        <v>0</v>
      </c>
      <c r="J1668" s="32" t="str">
        <f aca="false">IF(I1668=0,"",INDEX(GL!$B:$B,I1668))</f>
        <v/>
      </c>
      <c r="K1668" s="5" t="str">
        <f aca="false">IF(I1668=0,"",IF(INDEX(GL!$C:$C,I1668)="","",INDEX(GL!$C:$C,I1668)))</f>
        <v/>
      </c>
      <c r="L1668" s="19" t="str">
        <f aca="false">IF(I1668=0,"",INDEX(GL!$E:$E,I1668))</f>
        <v/>
      </c>
      <c r="M1668" s="19" t="str">
        <f aca="false">IF(OR(B1668=0,I1668=0),"",ROUND(G1668-L1668,2))</f>
        <v/>
      </c>
      <c r="N1668" s="5" t="str">
        <f aca="false">IF(A1668="","",IF(B1668=0,"NOT FOUND: bank ID",IF(I1668=0,"NOT FOUND: GL ID",IF(INDEX(GL!$H:$H,I1668)&lt;&gt;A1668,"BROKEN: GL points elsewhere",IF(OR(INDEX(Bank!$F:$F,B1668)&lt;&gt;"Y",INDEX(GL!$F:$F,I1668)&lt;&gt;"Y"),"BROKEN: Status not Y","OK")))))</f>
        <v/>
      </c>
    </row>
    <row r="1669" customFormat="false" ht="15" hidden="false" customHeight="false" outlineLevel="0" collapsed="false">
      <c r="A1669" s="41"/>
      <c r="B1669" s="5" t="n">
        <f aca="false">IF(A1669="",0,IFERROR(MATCH(A1669,Bank!$A:$A,0),0))</f>
        <v>0</v>
      </c>
      <c r="C1669" s="5" t="str">
        <f aca="false">IF(B1669=0,"",IF(INDEX(Bank!$G:$G,B1669)="","",INDEX(Bank!$G:$G,B1669)))</f>
        <v/>
      </c>
      <c r="D1669" s="5" t="str">
        <f aca="false">IF(B1669=0,"",IF(INDEX(Bank!$J:$J,B1669)="","",INDEX(Bank!$J:$J,B1669)))</f>
        <v/>
      </c>
      <c r="E1669" s="32" t="str">
        <f aca="false">IF(B1669=0,"",INDEX(Bank!$B:$B,B1669))</f>
        <v/>
      </c>
      <c r="F1669" s="5" t="str">
        <f aca="false">IF(B1669=0,"",IF(INDEX(Bank!$C:$C,B1669)="","",INDEX(Bank!$C:$C,B1669)))</f>
        <v/>
      </c>
      <c r="G1669" s="19" t="str">
        <f aca="false">IF(B1669=0,"",INDEX(Bank!$E:$E,B1669))</f>
        <v/>
      </c>
      <c r="H1669" s="5" t="str">
        <f aca="false">IF(B1669=0,"",IF(INDEX(Bank!$H:$H,B1669)="","",INDEX(Bank!$H:$H,B1669)))</f>
        <v/>
      </c>
      <c r="I1669" s="5" t="n">
        <f aca="false">IF(H1669="",0,IFERROR(MATCH(H1669,GL!$A:$A,0),0))</f>
        <v>0</v>
      </c>
      <c r="J1669" s="32" t="str">
        <f aca="false">IF(I1669=0,"",INDEX(GL!$B:$B,I1669))</f>
        <v/>
      </c>
      <c r="K1669" s="5" t="str">
        <f aca="false">IF(I1669=0,"",IF(INDEX(GL!$C:$C,I1669)="","",INDEX(GL!$C:$C,I1669)))</f>
        <v/>
      </c>
      <c r="L1669" s="19" t="str">
        <f aca="false">IF(I1669=0,"",INDEX(GL!$E:$E,I1669))</f>
        <v/>
      </c>
      <c r="M1669" s="19" t="str">
        <f aca="false">IF(OR(B1669=0,I1669=0),"",ROUND(G1669-L1669,2))</f>
        <v/>
      </c>
      <c r="N1669" s="5" t="str">
        <f aca="false">IF(A1669="","",IF(B1669=0,"NOT FOUND: bank ID",IF(I1669=0,"NOT FOUND: GL ID",IF(INDEX(GL!$H:$H,I1669)&lt;&gt;A1669,"BROKEN: GL points elsewhere",IF(OR(INDEX(Bank!$F:$F,B1669)&lt;&gt;"Y",INDEX(GL!$F:$F,I1669)&lt;&gt;"Y"),"BROKEN: Status not Y","OK")))))</f>
        <v/>
      </c>
    </row>
    <row r="1670" customFormat="false" ht="15" hidden="false" customHeight="false" outlineLevel="0" collapsed="false">
      <c r="A1670" s="41"/>
      <c r="B1670" s="5" t="n">
        <f aca="false">IF(A1670="",0,IFERROR(MATCH(A1670,Bank!$A:$A,0),0))</f>
        <v>0</v>
      </c>
      <c r="C1670" s="5" t="str">
        <f aca="false">IF(B1670=0,"",IF(INDEX(Bank!$G:$G,B1670)="","",INDEX(Bank!$G:$G,B1670)))</f>
        <v/>
      </c>
      <c r="D1670" s="5" t="str">
        <f aca="false">IF(B1670=0,"",IF(INDEX(Bank!$J:$J,B1670)="","",INDEX(Bank!$J:$J,B1670)))</f>
        <v/>
      </c>
      <c r="E1670" s="32" t="str">
        <f aca="false">IF(B1670=0,"",INDEX(Bank!$B:$B,B1670))</f>
        <v/>
      </c>
      <c r="F1670" s="5" t="str">
        <f aca="false">IF(B1670=0,"",IF(INDEX(Bank!$C:$C,B1670)="","",INDEX(Bank!$C:$C,B1670)))</f>
        <v/>
      </c>
      <c r="G1670" s="19" t="str">
        <f aca="false">IF(B1670=0,"",INDEX(Bank!$E:$E,B1670))</f>
        <v/>
      </c>
      <c r="H1670" s="5" t="str">
        <f aca="false">IF(B1670=0,"",IF(INDEX(Bank!$H:$H,B1670)="","",INDEX(Bank!$H:$H,B1670)))</f>
        <v/>
      </c>
      <c r="I1670" s="5" t="n">
        <f aca="false">IF(H1670="",0,IFERROR(MATCH(H1670,GL!$A:$A,0),0))</f>
        <v>0</v>
      </c>
      <c r="J1670" s="32" t="str">
        <f aca="false">IF(I1670=0,"",INDEX(GL!$B:$B,I1670))</f>
        <v/>
      </c>
      <c r="K1670" s="5" t="str">
        <f aca="false">IF(I1670=0,"",IF(INDEX(GL!$C:$C,I1670)="","",INDEX(GL!$C:$C,I1670)))</f>
        <v/>
      </c>
      <c r="L1670" s="19" t="str">
        <f aca="false">IF(I1670=0,"",INDEX(GL!$E:$E,I1670))</f>
        <v/>
      </c>
      <c r="M1670" s="19" t="str">
        <f aca="false">IF(OR(B1670=0,I1670=0),"",ROUND(G1670-L1670,2))</f>
        <v/>
      </c>
      <c r="N1670" s="5" t="str">
        <f aca="false">IF(A1670="","",IF(B1670=0,"NOT FOUND: bank ID",IF(I1670=0,"NOT FOUND: GL ID",IF(INDEX(GL!$H:$H,I1670)&lt;&gt;A1670,"BROKEN: GL points elsewhere",IF(OR(INDEX(Bank!$F:$F,B1670)&lt;&gt;"Y",INDEX(GL!$F:$F,I1670)&lt;&gt;"Y"),"BROKEN: Status not Y","OK")))))</f>
        <v/>
      </c>
    </row>
    <row r="1671" customFormat="false" ht="15" hidden="false" customHeight="false" outlineLevel="0" collapsed="false">
      <c r="A1671" s="41"/>
      <c r="B1671" s="5" t="n">
        <f aca="false">IF(A1671="",0,IFERROR(MATCH(A1671,Bank!$A:$A,0),0))</f>
        <v>0</v>
      </c>
      <c r="C1671" s="5" t="str">
        <f aca="false">IF(B1671=0,"",IF(INDEX(Bank!$G:$G,B1671)="","",INDEX(Bank!$G:$G,B1671)))</f>
        <v/>
      </c>
      <c r="D1671" s="5" t="str">
        <f aca="false">IF(B1671=0,"",IF(INDEX(Bank!$J:$J,B1671)="","",INDEX(Bank!$J:$J,B1671)))</f>
        <v/>
      </c>
      <c r="E1671" s="32" t="str">
        <f aca="false">IF(B1671=0,"",INDEX(Bank!$B:$B,B1671))</f>
        <v/>
      </c>
      <c r="F1671" s="5" t="str">
        <f aca="false">IF(B1671=0,"",IF(INDEX(Bank!$C:$C,B1671)="","",INDEX(Bank!$C:$C,B1671)))</f>
        <v/>
      </c>
      <c r="G1671" s="19" t="str">
        <f aca="false">IF(B1671=0,"",INDEX(Bank!$E:$E,B1671))</f>
        <v/>
      </c>
      <c r="H1671" s="5" t="str">
        <f aca="false">IF(B1671=0,"",IF(INDEX(Bank!$H:$H,B1671)="","",INDEX(Bank!$H:$H,B1671)))</f>
        <v/>
      </c>
      <c r="I1671" s="5" t="n">
        <f aca="false">IF(H1671="",0,IFERROR(MATCH(H1671,GL!$A:$A,0),0))</f>
        <v>0</v>
      </c>
      <c r="J1671" s="32" t="str">
        <f aca="false">IF(I1671=0,"",INDEX(GL!$B:$B,I1671))</f>
        <v/>
      </c>
      <c r="K1671" s="5" t="str">
        <f aca="false">IF(I1671=0,"",IF(INDEX(GL!$C:$C,I1671)="","",INDEX(GL!$C:$C,I1671)))</f>
        <v/>
      </c>
      <c r="L1671" s="19" t="str">
        <f aca="false">IF(I1671=0,"",INDEX(GL!$E:$E,I1671))</f>
        <v/>
      </c>
      <c r="M1671" s="19" t="str">
        <f aca="false">IF(OR(B1671=0,I1671=0),"",ROUND(G1671-L1671,2))</f>
        <v/>
      </c>
      <c r="N1671" s="5" t="str">
        <f aca="false">IF(A1671="","",IF(B1671=0,"NOT FOUND: bank ID",IF(I1671=0,"NOT FOUND: GL ID",IF(INDEX(GL!$H:$H,I1671)&lt;&gt;A1671,"BROKEN: GL points elsewhere",IF(OR(INDEX(Bank!$F:$F,B1671)&lt;&gt;"Y",INDEX(GL!$F:$F,I1671)&lt;&gt;"Y"),"BROKEN: Status not Y","OK")))))</f>
        <v/>
      </c>
    </row>
    <row r="1672" customFormat="false" ht="15" hidden="false" customHeight="false" outlineLevel="0" collapsed="false">
      <c r="A1672" s="41"/>
      <c r="B1672" s="5" t="n">
        <f aca="false">IF(A1672="",0,IFERROR(MATCH(A1672,Bank!$A:$A,0),0))</f>
        <v>0</v>
      </c>
      <c r="C1672" s="5" t="str">
        <f aca="false">IF(B1672=0,"",IF(INDEX(Bank!$G:$G,B1672)="","",INDEX(Bank!$G:$G,B1672)))</f>
        <v/>
      </c>
      <c r="D1672" s="5" t="str">
        <f aca="false">IF(B1672=0,"",IF(INDEX(Bank!$J:$J,B1672)="","",INDEX(Bank!$J:$J,B1672)))</f>
        <v/>
      </c>
      <c r="E1672" s="32" t="str">
        <f aca="false">IF(B1672=0,"",INDEX(Bank!$B:$B,B1672))</f>
        <v/>
      </c>
      <c r="F1672" s="5" t="str">
        <f aca="false">IF(B1672=0,"",IF(INDEX(Bank!$C:$C,B1672)="","",INDEX(Bank!$C:$C,B1672)))</f>
        <v/>
      </c>
      <c r="G1672" s="19" t="str">
        <f aca="false">IF(B1672=0,"",INDEX(Bank!$E:$E,B1672))</f>
        <v/>
      </c>
      <c r="H1672" s="5" t="str">
        <f aca="false">IF(B1672=0,"",IF(INDEX(Bank!$H:$H,B1672)="","",INDEX(Bank!$H:$H,B1672)))</f>
        <v/>
      </c>
      <c r="I1672" s="5" t="n">
        <f aca="false">IF(H1672="",0,IFERROR(MATCH(H1672,GL!$A:$A,0),0))</f>
        <v>0</v>
      </c>
      <c r="J1672" s="32" t="str">
        <f aca="false">IF(I1672=0,"",INDEX(GL!$B:$B,I1672))</f>
        <v/>
      </c>
      <c r="K1672" s="5" t="str">
        <f aca="false">IF(I1672=0,"",IF(INDEX(GL!$C:$C,I1672)="","",INDEX(GL!$C:$C,I1672)))</f>
        <v/>
      </c>
      <c r="L1672" s="19" t="str">
        <f aca="false">IF(I1672=0,"",INDEX(GL!$E:$E,I1672))</f>
        <v/>
      </c>
      <c r="M1672" s="19" t="str">
        <f aca="false">IF(OR(B1672=0,I1672=0),"",ROUND(G1672-L1672,2))</f>
        <v/>
      </c>
      <c r="N1672" s="5" t="str">
        <f aca="false">IF(A1672="","",IF(B1672=0,"NOT FOUND: bank ID",IF(I1672=0,"NOT FOUND: GL ID",IF(INDEX(GL!$H:$H,I1672)&lt;&gt;A1672,"BROKEN: GL points elsewhere",IF(OR(INDEX(Bank!$F:$F,B1672)&lt;&gt;"Y",INDEX(GL!$F:$F,I1672)&lt;&gt;"Y"),"BROKEN: Status not Y","OK")))))</f>
        <v/>
      </c>
    </row>
    <row r="1673" customFormat="false" ht="15" hidden="false" customHeight="false" outlineLevel="0" collapsed="false">
      <c r="A1673" s="41"/>
      <c r="B1673" s="5" t="n">
        <f aca="false">IF(A1673="",0,IFERROR(MATCH(A1673,Bank!$A:$A,0),0))</f>
        <v>0</v>
      </c>
      <c r="C1673" s="5" t="str">
        <f aca="false">IF(B1673=0,"",IF(INDEX(Bank!$G:$G,B1673)="","",INDEX(Bank!$G:$G,B1673)))</f>
        <v/>
      </c>
      <c r="D1673" s="5" t="str">
        <f aca="false">IF(B1673=0,"",IF(INDEX(Bank!$J:$J,B1673)="","",INDEX(Bank!$J:$J,B1673)))</f>
        <v/>
      </c>
      <c r="E1673" s="32" t="str">
        <f aca="false">IF(B1673=0,"",INDEX(Bank!$B:$B,B1673))</f>
        <v/>
      </c>
      <c r="F1673" s="5" t="str">
        <f aca="false">IF(B1673=0,"",IF(INDEX(Bank!$C:$C,B1673)="","",INDEX(Bank!$C:$C,B1673)))</f>
        <v/>
      </c>
      <c r="G1673" s="19" t="str">
        <f aca="false">IF(B1673=0,"",INDEX(Bank!$E:$E,B1673))</f>
        <v/>
      </c>
      <c r="H1673" s="5" t="str">
        <f aca="false">IF(B1673=0,"",IF(INDEX(Bank!$H:$H,B1673)="","",INDEX(Bank!$H:$H,B1673)))</f>
        <v/>
      </c>
      <c r="I1673" s="5" t="n">
        <f aca="false">IF(H1673="",0,IFERROR(MATCH(H1673,GL!$A:$A,0),0))</f>
        <v>0</v>
      </c>
      <c r="J1673" s="32" t="str">
        <f aca="false">IF(I1673=0,"",INDEX(GL!$B:$B,I1673))</f>
        <v/>
      </c>
      <c r="K1673" s="5" t="str">
        <f aca="false">IF(I1673=0,"",IF(INDEX(GL!$C:$C,I1673)="","",INDEX(GL!$C:$C,I1673)))</f>
        <v/>
      </c>
      <c r="L1673" s="19" t="str">
        <f aca="false">IF(I1673=0,"",INDEX(GL!$E:$E,I1673))</f>
        <v/>
      </c>
      <c r="M1673" s="19" t="str">
        <f aca="false">IF(OR(B1673=0,I1673=0),"",ROUND(G1673-L1673,2))</f>
        <v/>
      </c>
      <c r="N1673" s="5" t="str">
        <f aca="false">IF(A1673="","",IF(B1673=0,"NOT FOUND: bank ID",IF(I1673=0,"NOT FOUND: GL ID",IF(INDEX(GL!$H:$H,I1673)&lt;&gt;A1673,"BROKEN: GL points elsewhere",IF(OR(INDEX(Bank!$F:$F,B1673)&lt;&gt;"Y",INDEX(GL!$F:$F,I1673)&lt;&gt;"Y"),"BROKEN: Status not Y","OK")))))</f>
        <v/>
      </c>
    </row>
    <row r="1674" customFormat="false" ht="15" hidden="false" customHeight="false" outlineLevel="0" collapsed="false">
      <c r="A1674" s="41"/>
      <c r="B1674" s="5" t="n">
        <f aca="false">IF(A1674="",0,IFERROR(MATCH(A1674,Bank!$A:$A,0),0))</f>
        <v>0</v>
      </c>
      <c r="C1674" s="5" t="str">
        <f aca="false">IF(B1674=0,"",IF(INDEX(Bank!$G:$G,B1674)="","",INDEX(Bank!$G:$G,B1674)))</f>
        <v/>
      </c>
      <c r="D1674" s="5" t="str">
        <f aca="false">IF(B1674=0,"",IF(INDEX(Bank!$J:$J,B1674)="","",INDEX(Bank!$J:$J,B1674)))</f>
        <v/>
      </c>
      <c r="E1674" s="32" t="str">
        <f aca="false">IF(B1674=0,"",INDEX(Bank!$B:$B,B1674))</f>
        <v/>
      </c>
      <c r="F1674" s="5" t="str">
        <f aca="false">IF(B1674=0,"",IF(INDEX(Bank!$C:$C,B1674)="","",INDEX(Bank!$C:$C,B1674)))</f>
        <v/>
      </c>
      <c r="G1674" s="19" t="str">
        <f aca="false">IF(B1674=0,"",INDEX(Bank!$E:$E,B1674))</f>
        <v/>
      </c>
      <c r="H1674" s="5" t="str">
        <f aca="false">IF(B1674=0,"",IF(INDEX(Bank!$H:$H,B1674)="","",INDEX(Bank!$H:$H,B1674)))</f>
        <v/>
      </c>
      <c r="I1674" s="5" t="n">
        <f aca="false">IF(H1674="",0,IFERROR(MATCH(H1674,GL!$A:$A,0),0))</f>
        <v>0</v>
      </c>
      <c r="J1674" s="32" t="str">
        <f aca="false">IF(I1674=0,"",INDEX(GL!$B:$B,I1674))</f>
        <v/>
      </c>
      <c r="K1674" s="5" t="str">
        <f aca="false">IF(I1674=0,"",IF(INDEX(GL!$C:$C,I1674)="","",INDEX(GL!$C:$C,I1674)))</f>
        <v/>
      </c>
      <c r="L1674" s="19" t="str">
        <f aca="false">IF(I1674=0,"",INDEX(GL!$E:$E,I1674))</f>
        <v/>
      </c>
      <c r="M1674" s="19" t="str">
        <f aca="false">IF(OR(B1674=0,I1674=0),"",ROUND(G1674-L1674,2))</f>
        <v/>
      </c>
      <c r="N1674" s="5" t="str">
        <f aca="false">IF(A1674="","",IF(B1674=0,"NOT FOUND: bank ID",IF(I1674=0,"NOT FOUND: GL ID",IF(INDEX(GL!$H:$H,I1674)&lt;&gt;A1674,"BROKEN: GL points elsewhere",IF(OR(INDEX(Bank!$F:$F,B1674)&lt;&gt;"Y",INDEX(GL!$F:$F,I1674)&lt;&gt;"Y"),"BROKEN: Status not Y","OK")))))</f>
        <v/>
      </c>
    </row>
    <row r="1675" customFormat="false" ht="15" hidden="false" customHeight="false" outlineLevel="0" collapsed="false">
      <c r="A1675" s="41"/>
      <c r="B1675" s="5" t="n">
        <f aca="false">IF(A1675="",0,IFERROR(MATCH(A1675,Bank!$A:$A,0),0))</f>
        <v>0</v>
      </c>
      <c r="C1675" s="5" t="str">
        <f aca="false">IF(B1675=0,"",IF(INDEX(Bank!$G:$G,B1675)="","",INDEX(Bank!$G:$G,B1675)))</f>
        <v/>
      </c>
      <c r="D1675" s="5" t="str">
        <f aca="false">IF(B1675=0,"",IF(INDEX(Bank!$J:$J,B1675)="","",INDEX(Bank!$J:$J,B1675)))</f>
        <v/>
      </c>
      <c r="E1675" s="32" t="str">
        <f aca="false">IF(B1675=0,"",INDEX(Bank!$B:$B,B1675))</f>
        <v/>
      </c>
      <c r="F1675" s="5" t="str">
        <f aca="false">IF(B1675=0,"",IF(INDEX(Bank!$C:$C,B1675)="","",INDEX(Bank!$C:$C,B1675)))</f>
        <v/>
      </c>
      <c r="G1675" s="19" t="str">
        <f aca="false">IF(B1675=0,"",INDEX(Bank!$E:$E,B1675))</f>
        <v/>
      </c>
      <c r="H1675" s="5" t="str">
        <f aca="false">IF(B1675=0,"",IF(INDEX(Bank!$H:$H,B1675)="","",INDEX(Bank!$H:$H,B1675)))</f>
        <v/>
      </c>
      <c r="I1675" s="5" t="n">
        <f aca="false">IF(H1675="",0,IFERROR(MATCH(H1675,GL!$A:$A,0),0))</f>
        <v>0</v>
      </c>
      <c r="J1675" s="32" t="str">
        <f aca="false">IF(I1675=0,"",INDEX(GL!$B:$B,I1675))</f>
        <v/>
      </c>
      <c r="K1675" s="5" t="str">
        <f aca="false">IF(I1675=0,"",IF(INDEX(GL!$C:$C,I1675)="","",INDEX(GL!$C:$C,I1675)))</f>
        <v/>
      </c>
      <c r="L1675" s="19" t="str">
        <f aca="false">IF(I1675=0,"",INDEX(GL!$E:$E,I1675))</f>
        <v/>
      </c>
      <c r="M1675" s="19" t="str">
        <f aca="false">IF(OR(B1675=0,I1675=0),"",ROUND(G1675-L1675,2))</f>
        <v/>
      </c>
      <c r="N1675" s="5" t="str">
        <f aca="false">IF(A1675="","",IF(B1675=0,"NOT FOUND: bank ID",IF(I1675=0,"NOT FOUND: GL ID",IF(INDEX(GL!$H:$H,I1675)&lt;&gt;A1675,"BROKEN: GL points elsewhere",IF(OR(INDEX(Bank!$F:$F,B1675)&lt;&gt;"Y",INDEX(GL!$F:$F,I1675)&lt;&gt;"Y"),"BROKEN: Status not Y","OK")))))</f>
        <v/>
      </c>
    </row>
    <row r="1676" customFormat="false" ht="15" hidden="false" customHeight="false" outlineLevel="0" collapsed="false">
      <c r="A1676" s="41"/>
      <c r="B1676" s="5" t="n">
        <f aca="false">IF(A1676="",0,IFERROR(MATCH(A1676,Bank!$A:$A,0),0))</f>
        <v>0</v>
      </c>
      <c r="C1676" s="5" t="str">
        <f aca="false">IF(B1676=0,"",IF(INDEX(Bank!$G:$G,B1676)="","",INDEX(Bank!$G:$G,B1676)))</f>
        <v/>
      </c>
      <c r="D1676" s="5" t="str">
        <f aca="false">IF(B1676=0,"",IF(INDEX(Bank!$J:$J,B1676)="","",INDEX(Bank!$J:$J,B1676)))</f>
        <v/>
      </c>
      <c r="E1676" s="32" t="str">
        <f aca="false">IF(B1676=0,"",INDEX(Bank!$B:$B,B1676))</f>
        <v/>
      </c>
      <c r="F1676" s="5" t="str">
        <f aca="false">IF(B1676=0,"",IF(INDEX(Bank!$C:$C,B1676)="","",INDEX(Bank!$C:$C,B1676)))</f>
        <v/>
      </c>
      <c r="G1676" s="19" t="str">
        <f aca="false">IF(B1676=0,"",INDEX(Bank!$E:$E,B1676))</f>
        <v/>
      </c>
      <c r="H1676" s="5" t="str">
        <f aca="false">IF(B1676=0,"",IF(INDEX(Bank!$H:$H,B1676)="","",INDEX(Bank!$H:$H,B1676)))</f>
        <v/>
      </c>
      <c r="I1676" s="5" t="n">
        <f aca="false">IF(H1676="",0,IFERROR(MATCH(H1676,GL!$A:$A,0),0))</f>
        <v>0</v>
      </c>
      <c r="J1676" s="32" t="str">
        <f aca="false">IF(I1676=0,"",INDEX(GL!$B:$B,I1676))</f>
        <v/>
      </c>
      <c r="K1676" s="5" t="str">
        <f aca="false">IF(I1676=0,"",IF(INDEX(GL!$C:$C,I1676)="","",INDEX(GL!$C:$C,I1676)))</f>
        <v/>
      </c>
      <c r="L1676" s="19" t="str">
        <f aca="false">IF(I1676=0,"",INDEX(GL!$E:$E,I1676))</f>
        <v/>
      </c>
      <c r="M1676" s="19" t="str">
        <f aca="false">IF(OR(B1676=0,I1676=0),"",ROUND(G1676-L1676,2))</f>
        <v/>
      </c>
      <c r="N1676" s="5" t="str">
        <f aca="false">IF(A1676="","",IF(B1676=0,"NOT FOUND: bank ID",IF(I1676=0,"NOT FOUND: GL ID",IF(INDEX(GL!$H:$H,I1676)&lt;&gt;A1676,"BROKEN: GL points elsewhere",IF(OR(INDEX(Bank!$F:$F,B1676)&lt;&gt;"Y",INDEX(GL!$F:$F,I1676)&lt;&gt;"Y"),"BROKEN: Status not Y","OK")))))</f>
        <v/>
      </c>
    </row>
    <row r="1677" customFormat="false" ht="15" hidden="false" customHeight="false" outlineLevel="0" collapsed="false">
      <c r="A1677" s="41"/>
      <c r="B1677" s="5" t="n">
        <f aca="false">IF(A1677="",0,IFERROR(MATCH(A1677,Bank!$A:$A,0),0))</f>
        <v>0</v>
      </c>
      <c r="C1677" s="5" t="str">
        <f aca="false">IF(B1677=0,"",IF(INDEX(Bank!$G:$G,B1677)="","",INDEX(Bank!$G:$G,B1677)))</f>
        <v/>
      </c>
      <c r="D1677" s="5" t="str">
        <f aca="false">IF(B1677=0,"",IF(INDEX(Bank!$J:$J,B1677)="","",INDEX(Bank!$J:$J,B1677)))</f>
        <v/>
      </c>
      <c r="E1677" s="32" t="str">
        <f aca="false">IF(B1677=0,"",INDEX(Bank!$B:$B,B1677))</f>
        <v/>
      </c>
      <c r="F1677" s="5" t="str">
        <f aca="false">IF(B1677=0,"",IF(INDEX(Bank!$C:$C,B1677)="","",INDEX(Bank!$C:$C,B1677)))</f>
        <v/>
      </c>
      <c r="G1677" s="19" t="str">
        <f aca="false">IF(B1677=0,"",INDEX(Bank!$E:$E,B1677))</f>
        <v/>
      </c>
      <c r="H1677" s="5" t="str">
        <f aca="false">IF(B1677=0,"",IF(INDEX(Bank!$H:$H,B1677)="","",INDEX(Bank!$H:$H,B1677)))</f>
        <v/>
      </c>
      <c r="I1677" s="5" t="n">
        <f aca="false">IF(H1677="",0,IFERROR(MATCH(H1677,GL!$A:$A,0),0))</f>
        <v>0</v>
      </c>
      <c r="J1677" s="32" t="str">
        <f aca="false">IF(I1677=0,"",INDEX(GL!$B:$B,I1677))</f>
        <v/>
      </c>
      <c r="K1677" s="5" t="str">
        <f aca="false">IF(I1677=0,"",IF(INDEX(GL!$C:$C,I1677)="","",INDEX(GL!$C:$C,I1677)))</f>
        <v/>
      </c>
      <c r="L1677" s="19" t="str">
        <f aca="false">IF(I1677=0,"",INDEX(GL!$E:$E,I1677))</f>
        <v/>
      </c>
      <c r="M1677" s="19" t="str">
        <f aca="false">IF(OR(B1677=0,I1677=0),"",ROUND(G1677-L1677,2))</f>
        <v/>
      </c>
      <c r="N1677" s="5" t="str">
        <f aca="false">IF(A1677="","",IF(B1677=0,"NOT FOUND: bank ID",IF(I1677=0,"NOT FOUND: GL ID",IF(INDEX(GL!$H:$H,I1677)&lt;&gt;A1677,"BROKEN: GL points elsewhere",IF(OR(INDEX(Bank!$F:$F,B1677)&lt;&gt;"Y",INDEX(GL!$F:$F,I1677)&lt;&gt;"Y"),"BROKEN: Status not Y","OK")))))</f>
        <v/>
      </c>
    </row>
    <row r="1678" customFormat="false" ht="15" hidden="false" customHeight="false" outlineLevel="0" collapsed="false">
      <c r="A1678" s="41"/>
      <c r="B1678" s="5" t="n">
        <f aca="false">IF(A1678="",0,IFERROR(MATCH(A1678,Bank!$A:$A,0),0))</f>
        <v>0</v>
      </c>
      <c r="C1678" s="5" t="str">
        <f aca="false">IF(B1678=0,"",IF(INDEX(Bank!$G:$G,B1678)="","",INDEX(Bank!$G:$G,B1678)))</f>
        <v/>
      </c>
      <c r="D1678" s="5" t="str">
        <f aca="false">IF(B1678=0,"",IF(INDEX(Bank!$J:$J,B1678)="","",INDEX(Bank!$J:$J,B1678)))</f>
        <v/>
      </c>
      <c r="E1678" s="32" t="str">
        <f aca="false">IF(B1678=0,"",INDEX(Bank!$B:$B,B1678))</f>
        <v/>
      </c>
      <c r="F1678" s="5" t="str">
        <f aca="false">IF(B1678=0,"",IF(INDEX(Bank!$C:$C,B1678)="","",INDEX(Bank!$C:$C,B1678)))</f>
        <v/>
      </c>
      <c r="G1678" s="19" t="str">
        <f aca="false">IF(B1678=0,"",INDEX(Bank!$E:$E,B1678))</f>
        <v/>
      </c>
      <c r="H1678" s="5" t="str">
        <f aca="false">IF(B1678=0,"",IF(INDEX(Bank!$H:$H,B1678)="","",INDEX(Bank!$H:$H,B1678)))</f>
        <v/>
      </c>
      <c r="I1678" s="5" t="n">
        <f aca="false">IF(H1678="",0,IFERROR(MATCH(H1678,GL!$A:$A,0),0))</f>
        <v>0</v>
      </c>
      <c r="J1678" s="32" t="str">
        <f aca="false">IF(I1678=0,"",INDEX(GL!$B:$B,I1678))</f>
        <v/>
      </c>
      <c r="K1678" s="5" t="str">
        <f aca="false">IF(I1678=0,"",IF(INDEX(GL!$C:$C,I1678)="","",INDEX(GL!$C:$C,I1678)))</f>
        <v/>
      </c>
      <c r="L1678" s="19" t="str">
        <f aca="false">IF(I1678=0,"",INDEX(GL!$E:$E,I1678))</f>
        <v/>
      </c>
      <c r="M1678" s="19" t="str">
        <f aca="false">IF(OR(B1678=0,I1678=0),"",ROUND(G1678-L1678,2))</f>
        <v/>
      </c>
      <c r="N1678" s="5" t="str">
        <f aca="false">IF(A1678="","",IF(B1678=0,"NOT FOUND: bank ID",IF(I1678=0,"NOT FOUND: GL ID",IF(INDEX(GL!$H:$H,I1678)&lt;&gt;A1678,"BROKEN: GL points elsewhere",IF(OR(INDEX(Bank!$F:$F,B1678)&lt;&gt;"Y",INDEX(GL!$F:$F,I1678)&lt;&gt;"Y"),"BROKEN: Status not Y","OK")))))</f>
        <v/>
      </c>
    </row>
    <row r="1679" customFormat="false" ht="15" hidden="false" customHeight="false" outlineLevel="0" collapsed="false">
      <c r="A1679" s="41"/>
      <c r="B1679" s="5" t="n">
        <f aca="false">IF(A1679="",0,IFERROR(MATCH(A1679,Bank!$A:$A,0),0))</f>
        <v>0</v>
      </c>
      <c r="C1679" s="5" t="str">
        <f aca="false">IF(B1679=0,"",IF(INDEX(Bank!$G:$G,B1679)="","",INDEX(Bank!$G:$G,B1679)))</f>
        <v/>
      </c>
      <c r="D1679" s="5" t="str">
        <f aca="false">IF(B1679=0,"",IF(INDEX(Bank!$J:$J,B1679)="","",INDEX(Bank!$J:$J,B1679)))</f>
        <v/>
      </c>
      <c r="E1679" s="32" t="str">
        <f aca="false">IF(B1679=0,"",INDEX(Bank!$B:$B,B1679))</f>
        <v/>
      </c>
      <c r="F1679" s="5" t="str">
        <f aca="false">IF(B1679=0,"",IF(INDEX(Bank!$C:$C,B1679)="","",INDEX(Bank!$C:$C,B1679)))</f>
        <v/>
      </c>
      <c r="G1679" s="19" t="str">
        <f aca="false">IF(B1679=0,"",INDEX(Bank!$E:$E,B1679))</f>
        <v/>
      </c>
      <c r="H1679" s="5" t="str">
        <f aca="false">IF(B1679=0,"",IF(INDEX(Bank!$H:$H,B1679)="","",INDEX(Bank!$H:$H,B1679)))</f>
        <v/>
      </c>
      <c r="I1679" s="5" t="n">
        <f aca="false">IF(H1679="",0,IFERROR(MATCH(H1679,GL!$A:$A,0),0))</f>
        <v>0</v>
      </c>
      <c r="J1679" s="32" t="str">
        <f aca="false">IF(I1679=0,"",INDEX(GL!$B:$B,I1679))</f>
        <v/>
      </c>
      <c r="K1679" s="5" t="str">
        <f aca="false">IF(I1679=0,"",IF(INDEX(GL!$C:$C,I1679)="","",INDEX(GL!$C:$C,I1679)))</f>
        <v/>
      </c>
      <c r="L1679" s="19" t="str">
        <f aca="false">IF(I1679=0,"",INDEX(GL!$E:$E,I1679))</f>
        <v/>
      </c>
      <c r="M1679" s="19" t="str">
        <f aca="false">IF(OR(B1679=0,I1679=0),"",ROUND(G1679-L1679,2))</f>
        <v/>
      </c>
      <c r="N1679" s="5" t="str">
        <f aca="false">IF(A1679="","",IF(B1679=0,"NOT FOUND: bank ID",IF(I1679=0,"NOT FOUND: GL ID",IF(INDEX(GL!$H:$H,I1679)&lt;&gt;A1679,"BROKEN: GL points elsewhere",IF(OR(INDEX(Bank!$F:$F,B1679)&lt;&gt;"Y",INDEX(GL!$F:$F,I1679)&lt;&gt;"Y"),"BROKEN: Status not Y","OK")))))</f>
        <v/>
      </c>
    </row>
    <row r="1680" customFormat="false" ht="15" hidden="false" customHeight="false" outlineLevel="0" collapsed="false">
      <c r="A1680" s="41"/>
      <c r="B1680" s="5" t="n">
        <f aca="false">IF(A1680="",0,IFERROR(MATCH(A1680,Bank!$A:$A,0),0))</f>
        <v>0</v>
      </c>
      <c r="C1680" s="5" t="str">
        <f aca="false">IF(B1680=0,"",IF(INDEX(Bank!$G:$G,B1680)="","",INDEX(Bank!$G:$G,B1680)))</f>
        <v/>
      </c>
      <c r="D1680" s="5" t="str">
        <f aca="false">IF(B1680=0,"",IF(INDEX(Bank!$J:$J,B1680)="","",INDEX(Bank!$J:$J,B1680)))</f>
        <v/>
      </c>
      <c r="E1680" s="32" t="str">
        <f aca="false">IF(B1680=0,"",INDEX(Bank!$B:$B,B1680))</f>
        <v/>
      </c>
      <c r="F1680" s="5" t="str">
        <f aca="false">IF(B1680=0,"",IF(INDEX(Bank!$C:$C,B1680)="","",INDEX(Bank!$C:$C,B1680)))</f>
        <v/>
      </c>
      <c r="G1680" s="19" t="str">
        <f aca="false">IF(B1680=0,"",INDEX(Bank!$E:$E,B1680))</f>
        <v/>
      </c>
      <c r="H1680" s="5" t="str">
        <f aca="false">IF(B1680=0,"",IF(INDEX(Bank!$H:$H,B1680)="","",INDEX(Bank!$H:$H,B1680)))</f>
        <v/>
      </c>
      <c r="I1680" s="5" t="n">
        <f aca="false">IF(H1680="",0,IFERROR(MATCH(H1680,GL!$A:$A,0),0))</f>
        <v>0</v>
      </c>
      <c r="J1680" s="32" t="str">
        <f aca="false">IF(I1680=0,"",INDEX(GL!$B:$B,I1680))</f>
        <v/>
      </c>
      <c r="K1680" s="5" t="str">
        <f aca="false">IF(I1680=0,"",IF(INDEX(GL!$C:$C,I1680)="","",INDEX(GL!$C:$C,I1680)))</f>
        <v/>
      </c>
      <c r="L1680" s="19" t="str">
        <f aca="false">IF(I1680=0,"",INDEX(GL!$E:$E,I1680))</f>
        <v/>
      </c>
      <c r="M1680" s="19" t="str">
        <f aca="false">IF(OR(B1680=0,I1680=0),"",ROUND(G1680-L1680,2))</f>
        <v/>
      </c>
      <c r="N1680" s="5" t="str">
        <f aca="false">IF(A1680="","",IF(B1680=0,"NOT FOUND: bank ID",IF(I1680=0,"NOT FOUND: GL ID",IF(INDEX(GL!$H:$H,I1680)&lt;&gt;A1680,"BROKEN: GL points elsewhere",IF(OR(INDEX(Bank!$F:$F,B1680)&lt;&gt;"Y",INDEX(GL!$F:$F,I1680)&lt;&gt;"Y"),"BROKEN: Status not Y","OK")))))</f>
        <v/>
      </c>
    </row>
    <row r="1681" customFormat="false" ht="15" hidden="false" customHeight="false" outlineLevel="0" collapsed="false">
      <c r="A1681" s="41"/>
      <c r="B1681" s="5" t="n">
        <f aca="false">IF(A1681="",0,IFERROR(MATCH(A1681,Bank!$A:$A,0),0))</f>
        <v>0</v>
      </c>
      <c r="C1681" s="5" t="str">
        <f aca="false">IF(B1681=0,"",IF(INDEX(Bank!$G:$G,B1681)="","",INDEX(Bank!$G:$G,B1681)))</f>
        <v/>
      </c>
      <c r="D1681" s="5" t="str">
        <f aca="false">IF(B1681=0,"",IF(INDEX(Bank!$J:$J,B1681)="","",INDEX(Bank!$J:$J,B1681)))</f>
        <v/>
      </c>
      <c r="E1681" s="32" t="str">
        <f aca="false">IF(B1681=0,"",INDEX(Bank!$B:$B,B1681))</f>
        <v/>
      </c>
      <c r="F1681" s="5" t="str">
        <f aca="false">IF(B1681=0,"",IF(INDEX(Bank!$C:$C,B1681)="","",INDEX(Bank!$C:$C,B1681)))</f>
        <v/>
      </c>
      <c r="G1681" s="19" t="str">
        <f aca="false">IF(B1681=0,"",INDEX(Bank!$E:$E,B1681))</f>
        <v/>
      </c>
      <c r="H1681" s="5" t="str">
        <f aca="false">IF(B1681=0,"",IF(INDEX(Bank!$H:$H,B1681)="","",INDEX(Bank!$H:$H,B1681)))</f>
        <v/>
      </c>
      <c r="I1681" s="5" t="n">
        <f aca="false">IF(H1681="",0,IFERROR(MATCH(H1681,GL!$A:$A,0),0))</f>
        <v>0</v>
      </c>
      <c r="J1681" s="32" t="str">
        <f aca="false">IF(I1681=0,"",INDEX(GL!$B:$B,I1681))</f>
        <v/>
      </c>
      <c r="K1681" s="5" t="str">
        <f aca="false">IF(I1681=0,"",IF(INDEX(GL!$C:$C,I1681)="","",INDEX(GL!$C:$C,I1681)))</f>
        <v/>
      </c>
      <c r="L1681" s="19" t="str">
        <f aca="false">IF(I1681=0,"",INDEX(GL!$E:$E,I1681))</f>
        <v/>
      </c>
      <c r="M1681" s="19" t="str">
        <f aca="false">IF(OR(B1681=0,I1681=0),"",ROUND(G1681-L1681,2))</f>
        <v/>
      </c>
      <c r="N1681" s="5" t="str">
        <f aca="false">IF(A1681="","",IF(B1681=0,"NOT FOUND: bank ID",IF(I1681=0,"NOT FOUND: GL ID",IF(INDEX(GL!$H:$H,I1681)&lt;&gt;A1681,"BROKEN: GL points elsewhere",IF(OR(INDEX(Bank!$F:$F,B1681)&lt;&gt;"Y",INDEX(GL!$F:$F,I1681)&lt;&gt;"Y"),"BROKEN: Status not Y","OK")))))</f>
        <v/>
      </c>
    </row>
    <row r="1682" customFormat="false" ht="15" hidden="false" customHeight="false" outlineLevel="0" collapsed="false">
      <c r="A1682" s="41"/>
      <c r="B1682" s="5" t="n">
        <f aca="false">IF(A1682="",0,IFERROR(MATCH(A1682,Bank!$A:$A,0),0))</f>
        <v>0</v>
      </c>
      <c r="C1682" s="5" t="str">
        <f aca="false">IF(B1682=0,"",IF(INDEX(Bank!$G:$G,B1682)="","",INDEX(Bank!$G:$G,B1682)))</f>
        <v/>
      </c>
      <c r="D1682" s="5" t="str">
        <f aca="false">IF(B1682=0,"",IF(INDEX(Bank!$J:$J,B1682)="","",INDEX(Bank!$J:$J,B1682)))</f>
        <v/>
      </c>
      <c r="E1682" s="32" t="str">
        <f aca="false">IF(B1682=0,"",INDEX(Bank!$B:$B,B1682))</f>
        <v/>
      </c>
      <c r="F1682" s="5" t="str">
        <f aca="false">IF(B1682=0,"",IF(INDEX(Bank!$C:$C,B1682)="","",INDEX(Bank!$C:$C,B1682)))</f>
        <v/>
      </c>
      <c r="G1682" s="19" t="str">
        <f aca="false">IF(B1682=0,"",INDEX(Bank!$E:$E,B1682))</f>
        <v/>
      </c>
      <c r="H1682" s="5" t="str">
        <f aca="false">IF(B1682=0,"",IF(INDEX(Bank!$H:$H,B1682)="","",INDEX(Bank!$H:$H,B1682)))</f>
        <v/>
      </c>
      <c r="I1682" s="5" t="n">
        <f aca="false">IF(H1682="",0,IFERROR(MATCH(H1682,GL!$A:$A,0),0))</f>
        <v>0</v>
      </c>
      <c r="J1682" s="32" t="str">
        <f aca="false">IF(I1682=0,"",INDEX(GL!$B:$B,I1682))</f>
        <v/>
      </c>
      <c r="K1682" s="5" t="str">
        <f aca="false">IF(I1682=0,"",IF(INDEX(GL!$C:$C,I1682)="","",INDEX(GL!$C:$C,I1682)))</f>
        <v/>
      </c>
      <c r="L1682" s="19" t="str">
        <f aca="false">IF(I1682=0,"",INDEX(GL!$E:$E,I1682))</f>
        <v/>
      </c>
      <c r="M1682" s="19" t="str">
        <f aca="false">IF(OR(B1682=0,I1682=0),"",ROUND(G1682-L1682,2))</f>
        <v/>
      </c>
      <c r="N1682" s="5" t="str">
        <f aca="false">IF(A1682="","",IF(B1682=0,"NOT FOUND: bank ID",IF(I1682=0,"NOT FOUND: GL ID",IF(INDEX(GL!$H:$H,I1682)&lt;&gt;A1682,"BROKEN: GL points elsewhere",IF(OR(INDEX(Bank!$F:$F,B1682)&lt;&gt;"Y",INDEX(GL!$F:$F,I1682)&lt;&gt;"Y"),"BROKEN: Status not Y","OK")))))</f>
        <v/>
      </c>
    </row>
    <row r="1683" customFormat="false" ht="15" hidden="false" customHeight="false" outlineLevel="0" collapsed="false">
      <c r="A1683" s="41"/>
      <c r="B1683" s="5" t="n">
        <f aca="false">IF(A1683="",0,IFERROR(MATCH(A1683,Bank!$A:$A,0),0))</f>
        <v>0</v>
      </c>
      <c r="C1683" s="5" t="str">
        <f aca="false">IF(B1683=0,"",IF(INDEX(Bank!$G:$G,B1683)="","",INDEX(Bank!$G:$G,B1683)))</f>
        <v/>
      </c>
      <c r="D1683" s="5" t="str">
        <f aca="false">IF(B1683=0,"",IF(INDEX(Bank!$J:$J,B1683)="","",INDEX(Bank!$J:$J,B1683)))</f>
        <v/>
      </c>
      <c r="E1683" s="32" t="str">
        <f aca="false">IF(B1683=0,"",INDEX(Bank!$B:$B,B1683))</f>
        <v/>
      </c>
      <c r="F1683" s="5" t="str">
        <f aca="false">IF(B1683=0,"",IF(INDEX(Bank!$C:$C,B1683)="","",INDEX(Bank!$C:$C,B1683)))</f>
        <v/>
      </c>
      <c r="G1683" s="19" t="str">
        <f aca="false">IF(B1683=0,"",INDEX(Bank!$E:$E,B1683))</f>
        <v/>
      </c>
      <c r="H1683" s="5" t="str">
        <f aca="false">IF(B1683=0,"",IF(INDEX(Bank!$H:$H,B1683)="","",INDEX(Bank!$H:$H,B1683)))</f>
        <v/>
      </c>
      <c r="I1683" s="5" t="n">
        <f aca="false">IF(H1683="",0,IFERROR(MATCH(H1683,GL!$A:$A,0),0))</f>
        <v>0</v>
      </c>
      <c r="J1683" s="32" t="str">
        <f aca="false">IF(I1683=0,"",INDEX(GL!$B:$B,I1683))</f>
        <v/>
      </c>
      <c r="K1683" s="5" t="str">
        <f aca="false">IF(I1683=0,"",IF(INDEX(GL!$C:$C,I1683)="","",INDEX(GL!$C:$C,I1683)))</f>
        <v/>
      </c>
      <c r="L1683" s="19" t="str">
        <f aca="false">IF(I1683=0,"",INDEX(GL!$E:$E,I1683))</f>
        <v/>
      </c>
      <c r="M1683" s="19" t="str">
        <f aca="false">IF(OR(B1683=0,I1683=0),"",ROUND(G1683-L1683,2))</f>
        <v/>
      </c>
      <c r="N1683" s="5" t="str">
        <f aca="false">IF(A1683="","",IF(B1683=0,"NOT FOUND: bank ID",IF(I1683=0,"NOT FOUND: GL ID",IF(INDEX(GL!$H:$H,I1683)&lt;&gt;A1683,"BROKEN: GL points elsewhere",IF(OR(INDEX(Bank!$F:$F,B1683)&lt;&gt;"Y",INDEX(GL!$F:$F,I1683)&lt;&gt;"Y"),"BROKEN: Status not Y","OK")))))</f>
        <v/>
      </c>
    </row>
    <row r="1684" customFormat="false" ht="15" hidden="false" customHeight="false" outlineLevel="0" collapsed="false">
      <c r="A1684" s="41"/>
      <c r="B1684" s="5" t="n">
        <f aca="false">IF(A1684="",0,IFERROR(MATCH(A1684,Bank!$A:$A,0),0))</f>
        <v>0</v>
      </c>
      <c r="C1684" s="5" t="str">
        <f aca="false">IF(B1684=0,"",IF(INDEX(Bank!$G:$G,B1684)="","",INDEX(Bank!$G:$G,B1684)))</f>
        <v/>
      </c>
      <c r="D1684" s="5" t="str">
        <f aca="false">IF(B1684=0,"",IF(INDEX(Bank!$J:$J,B1684)="","",INDEX(Bank!$J:$J,B1684)))</f>
        <v/>
      </c>
      <c r="E1684" s="32" t="str">
        <f aca="false">IF(B1684=0,"",INDEX(Bank!$B:$B,B1684))</f>
        <v/>
      </c>
      <c r="F1684" s="5" t="str">
        <f aca="false">IF(B1684=0,"",IF(INDEX(Bank!$C:$C,B1684)="","",INDEX(Bank!$C:$C,B1684)))</f>
        <v/>
      </c>
      <c r="G1684" s="19" t="str">
        <f aca="false">IF(B1684=0,"",INDEX(Bank!$E:$E,B1684))</f>
        <v/>
      </c>
      <c r="H1684" s="5" t="str">
        <f aca="false">IF(B1684=0,"",IF(INDEX(Bank!$H:$H,B1684)="","",INDEX(Bank!$H:$H,B1684)))</f>
        <v/>
      </c>
      <c r="I1684" s="5" t="n">
        <f aca="false">IF(H1684="",0,IFERROR(MATCH(H1684,GL!$A:$A,0),0))</f>
        <v>0</v>
      </c>
      <c r="J1684" s="32" t="str">
        <f aca="false">IF(I1684=0,"",INDEX(GL!$B:$B,I1684))</f>
        <v/>
      </c>
      <c r="K1684" s="5" t="str">
        <f aca="false">IF(I1684=0,"",IF(INDEX(GL!$C:$C,I1684)="","",INDEX(GL!$C:$C,I1684)))</f>
        <v/>
      </c>
      <c r="L1684" s="19" t="str">
        <f aca="false">IF(I1684=0,"",INDEX(GL!$E:$E,I1684))</f>
        <v/>
      </c>
      <c r="M1684" s="19" t="str">
        <f aca="false">IF(OR(B1684=0,I1684=0),"",ROUND(G1684-L1684,2))</f>
        <v/>
      </c>
      <c r="N1684" s="5" t="str">
        <f aca="false">IF(A1684="","",IF(B1684=0,"NOT FOUND: bank ID",IF(I1684=0,"NOT FOUND: GL ID",IF(INDEX(GL!$H:$H,I1684)&lt;&gt;A1684,"BROKEN: GL points elsewhere",IF(OR(INDEX(Bank!$F:$F,B1684)&lt;&gt;"Y",INDEX(GL!$F:$F,I1684)&lt;&gt;"Y"),"BROKEN: Status not Y","OK")))))</f>
        <v/>
      </c>
    </row>
    <row r="1685" customFormat="false" ht="15" hidden="false" customHeight="false" outlineLevel="0" collapsed="false">
      <c r="A1685" s="41"/>
      <c r="B1685" s="5" t="n">
        <f aca="false">IF(A1685="",0,IFERROR(MATCH(A1685,Bank!$A:$A,0),0))</f>
        <v>0</v>
      </c>
      <c r="C1685" s="5" t="str">
        <f aca="false">IF(B1685=0,"",IF(INDEX(Bank!$G:$G,B1685)="","",INDEX(Bank!$G:$G,B1685)))</f>
        <v/>
      </c>
      <c r="D1685" s="5" t="str">
        <f aca="false">IF(B1685=0,"",IF(INDEX(Bank!$J:$J,B1685)="","",INDEX(Bank!$J:$J,B1685)))</f>
        <v/>
      </c>
      <c r="E1685" s="32" t="str">
        <f aca="false">IF(B1685=0,"",INDEX(Bank!$B:$B,B1685))</f>
        <v/>
      </c>
      <c r="F1685" s="5" t="str">
        <f aca="false">IF(B1685=0,"",IF(INDEX(Bank!$C:$C,B1685)="","",INDEX(Bank!$C:$C,B1685)))</f>
        <v/>
      </c>
      <c r="G1685" s="19" t="str">
        <f aca="false">IF(B1685=0,"",INDEX(Bank!$E:$E,B1685))</f>
        <v/>
      </c>
      <c r="H1685" s="5" t="str">
        <f aca="false">IF(B1685=0,"",IF(INDEX(Bank!$H:$H,B1685)="","",INDEX(Bank!$H:$H,B1685)))</f>
        <v/>
      </c>
      <c r="I1685" s="5" t="n">
        <f aca="false">IF(H1685="",0,IFERROR(MATCH(H1685,GL!$A:$A,0),0))</f>
        <v>0</v>
      </c>
      <c r="J1685" s="32" t="str">
        <f aca="false">IF(I1685=0,"",INDEX(GL!$B:$B,I1685))</f>
        <v/>
      </c>
      <c r="K1685" s="5" t="str">
        <f aca="false">IF(I1685=0,"",IF(INDEX(GL!$C:$C,I1685)="","",INDEX(GL!$C:$C,I1685)))</f>
        <v/>
      </c>
      <c r="L1685" s="19" t="str">
        <f aca="false">IF(I1685=0,"",INDEX(GL!$E:$E,I1685))</f>
        <v/>
      </c>
      <c r="M1685" s="19" t="str">
        <f aca="false">IF(OR(B1685=0,I1685=0),"",ROUND(G1685-L1685,2))</f>
        <v/>
      </c>
      <c r="N1685" s="5" t="str">
        <f aca="false">IF(A1685="","",IF(B1685=0,"NOT FOUND: bank ID",IF(I1685=0,"NOT FOUND: GL ID",IF(INDEX(GL!$H:$H,I1685)&lt;&gt;A1685,"BROKEN: GL points elsewhere",IF(OR(INDEX(Bank!$F:$F,B1685)&lt;&gt;"Y",INDEX(GL!$F:$F,I1685)&lt;&gt;"Y"),"BROKEN: Status not Y","OK")))))</f>
        <v/>
      </c>
    </row>
    <row r="1686" customFormat="false" ht="15" hidden="false" customHeight="false" outlineLevel="0" collapsed="false">
      <c r="A1686" s="41"/>
      <c r="B1686" s="5" t="n">
        <f aca="false">IF(A1686="",0,IFERROR(MATCH(A1686,Bank!$A:$A,0),0))</f>
        <v>0</v>
      </c>
      <c r="C1686" s="5" t="str">
        <f aca="false">IF(B1686=0,"",IF(INDEX(Bank!$G:$G,B1686)="","",INDEX(Bank!$G:$G,B1686)))</f>
        <v/>
      </c>
      <c r="D1686" s="5" t="str">
        <f aca="false">IF(B1686=0,"",IF(INDEX(Bank!$J:$J,B1686)="","",INDEX(Bank!$J:$J,B1686)))</f>
        <v/>
      </c>
      <c r="E1686" s="32" t="str">
        <f aca="false">IF(B1686=0,"",INDEX(Bank!$B:$B,B1686))</f>
        <v/>
      </c>
      <c r="F1686" s="5" t="str">
        <f aca="false">IF(B1686=0,"",IF(INDEX(Bank!$C:$C,B1686)="","",INDEX(Bank!$C:$C,B1686)))</f>
        <v/>
      </c>
      <c r="G1686" s="19" t="str">
        <f aca="false">IF(B1686=0,"",INDEX(Bank!$E:$E,B1686))</f>
        <v/>
      </c>
      <c r="H1686" s="5" t="str">
        <f aca="false">IF(B1686=0,"",IF(INDEX(Bank!$H:$H,B1686)="","",INDEX(Bank!$H:$H,B1686)))</f>
        <v/>
      </c>
      <c r="I1686" s="5" t="n">
        <f aca="false">IF(H1686="",0,IFERROR(MATCH(H1686,GL!$A:$A,0),0))</f>
        <v>0</v>
      </c>
      <c r="J1686" s="32" t="str">
        <f aca="false">IF(I1686=0,"",INDEX(GL!$B:$B,I1686))</f>
        <v/>
      </c>
      <c r="K1686" s="5" t="str">
        <f aca="false">IF(I1686=0,"",IF(INDEX(GL!$C:$C,I1686)="","",INDEX(GL!$C:$C,I1686)))</f>
        <v/>
      </c>
      <c r="L1686" s="19" t="str">
        <f aca="false">IF(I1686=0,"",INDEX(GL!$E:$E,I1686))</f>
        <v/>
      </c>
      <c r="M1686" s="19" t="str">
        <f aca="false">IF(OR(B1686=0,I1686=0),"",ROUND(G1686-L1686,2))</f>
        <v/>
      </c>
      <c r="N1686" s="5" t="str">
        <f aca="false">IF(A1686="","",IF(B1686=0,"NOT FOUND: bank ID",IF(I1686=0,"NOT FOUND: GL ID",IF(INDEX(GL!$H:$H,I1686)&lt;&gt;A1686,"BROKEN: GL points elsewhere",IF(OR(INDEX(Bank!$F:$F,B1686)&lt;&gt;"Y",INDEX(GL!$F:$F,I1686)&lt;&gt;"Y"),"BROKEN: Status not Y","OK")))))</f>
        <v/>
      </c>
    </row>
    <row r="1687" customFormat="false" ht="15" hidden="false" customHeight="false" outlineLevel="0" collapsed="false">
      <c r="A1687" s="41"/>
      <c r="B1687" s="5" t="n">
        <f aca="false">IF(A1687="",0,IFERROR(MATCH(A1687,Bank!$A:$A,0),0))</f>
        <v>0</v>
      </c>
      <c r="C1687" s="5" t="str">
        <f aca="false">IF(B1687=0,"",IF(INDEX(Bank!$G:$G,B1687)="","",INDEX(Bank!$G:$G,B1687)))</f>
        <v/>
      </c>
      <c r="D1687" s="5" t="str">
        <f aca="false">IF(B1687=0,"",IF(INDEX(Bank!$J:$J,B1687)="","",INDEX(Bank!$J:$J,B1687)))</f>
        <v/>
      </c>
      <c r="E1687" s="32" t="str">
        <f aca="false">IF(B1687=0,"",INDEX(Bank!$B:$B,B1687))</f>
        <v/>
      </c>
      <c r="F1687" s="5" t="str">
        <f aca="false">IF(B1687=0,"",IF(INDEX(Bank!$C:$C,B1687)="","",INDEX(Bank!$C:$C,B1687)))</f>
        <v/>
      </c>
      <c r="G1687" s="19" t="str">
        <f aca="false">IF(B1687=0,"",INDEX(Bank!$E:$E,B1687))</f>
        <v/>
      </c>
      <c r="H1687" s="5" t="str">
        <f aca="false">IF(B1687=0,"",IF(INDEX(Bank!$H:$H,B1687)="","",INDEX(Bank!$H:$H,B1687)))</f>
        <v/>
      </c>
      <c r="I1687" s="5" t="n">
        <f aca="false">IF(H1687="",0,IFERROR(MATCH(H1687,GL!$A:$A,0),0))</f>
        <v>0</v>
      </c>
      <c r="J1687" s="32" t="str">
        <f aca="false">IF(I1687=0,"",INDEX(GL!$B:$B,I1687))</f>
        <v/>
      </c>
      <c r="K1687" s="5" t="str">
        <f aca="false">IF(I1687=0,"",IF(INDEX(GL!$C:$C,I1687)="","",INDEX(GL!$C:$C,I1687)))</f>
        <v/>
      </c>
      <c r="L1687" s="19" t="str">
        <f aca="false">IF(I1687=0,"",INDEX(GL!$E:$E,I1687))</f>
        <v/>
      </c>
      <c r="M1687" s="19" t="str">
        <f aca="false">IF(OR(B1687=0,I1687=0),"",ROUND(G1687-L1687,2))</f>
        <v/>
      </c>
      <c r="N1687" s="5" t="str">
        <f aca="false">IF(A1687="","",IF(B1687=0,"NOT FOUND: bank ID",IF(I1687=0,"NOT FOUND: GL ID",IF(INDEX(GL!$H:$H,I1687)&lt;&gt;A1687,"BROKEN: GL points elsewhere",IF(OR(INDEX(Bank!$F:$F,B1687)&lt;&gt;"Y",INDEX(GL!$F:$F,I1687)&lt;&gt;"Y"),"BROKEN: Status not Y","OK")))))</f>
        <v/>
      </c>
    </row>
    <row r="1688" customFormat="false" ht="15" hidden="false" customHeight="false" outlineLevel="0" collapsed="false">
      <c r="A1688" s="41"/>
      <c r="B1688" s="5" t="n">
        <f aca="false">IF(A1688="",0,IFERROR(MATCH(A1688,Bank!$A:$A,0),0))</f>
        <v>0</v>
      </c>
      <c r="C1688" s="5" t="str">
        <f aca="false">IF(B1688=0,"",IF(INDEX(Bank!$G:$G,B1688)="","",INDEX(Bank!$G:$G,B1688)))</f>
        <v/>
      </c>
      <c r="D1688" s="5" t="str">
        <f aca="false">IF(B1688=0,"",IF(INDEX(Bank!$J:$J,B1688)="","",INDEX(Bank!$J:$J,B1688)))</f>
        <v/>
      </c>
      <c r="E1688" s="32" t="str">
        <f aca="false">IF(B1688=0,"",INDEX(Bank!$B:$B,B1688))</f>
        <v/>
      </c>
      <c r="F1688" s="5" t="str">
        <f aca="false">IF(B1688=0,"",IF(INDEX(Bank!$C:$C,B1688)="","",INDEX(Bank!$C:$C,B1688)))</f>
        <v/>
      </c>
      <c r="G1688" s="19" t="str">
        <f aca="false">IF(B1688=0,"",INDEX(Bank!$E:$E,B1688))</f>
        <v/>
      </c>
      <c r="H1688" s="5" t="str">
        <f aca="false">IF(B1688=0,"",IF(INDEX(Bank!$H:$H,B1688)="","",INDEX(Bank!$H:$H,B1688)))</f>
        <v/>
      </c>
      <c r="I1688" s="5" t="n">
        <f aca="false">IF(H1688="",0,IFERROR(MATCH(H1688,GL!$A:$A,0),0))</f>
        <v>0</v>
      </c>
      <c r="J1688" s="32" t="str">
        <f aca="false">IF(I1688=0,"",INDEX(GL!$B:$B,I1688))</f>
        <v/>
      </c>
      <c r="K1688" s="5" t="str">
        <f aca="false">IF(I1688=0,"",IF(INDEX(GL!$C:$C,I1688)="","",INDEX(GL!$C:$C,I1688)))</f>
        <v/>
      </c>
      <c r="L1688" s="19" t="str">
        <f aca="false">IF(I1688=0,"",INDEX(GL!$E:$E,I1688))</f>
        <v/>
      </c>
      <c r="M1688" s="19" t="str">
        <f aca="false">IF(OR(B1688=0,I1688=0),"",ROUND(G1688-L1688,2))</f>
        <v/>
      </c>
      <c r="N1688" s="5" t="str">
        <f aca="false">IF(A1688="","",IF(B1688=0,"NOT FOUND: bank ID",IF(I1688=0,"NOT FOUND: GL ID",IF(INDEX(GL!$H:$H,I1688)&lt;&gt;A1688,"BROKEN: GL points elsewhere",IF(OR(INDEX(Bank!$F:$F,B1688)&lt;&gt;"Y",INDEX(GL!$F:$F,I1688)&lt;&gt;"Y"),"BROKEN: Status not Y","OK")))))</f>
        <v/>
      </c>
    </row>
    <row r="1689" customFormat="false" ht="15" hidden="false" customHeight="false" outlineLevel="0" collapsed="false">
      <c r="A1689" s="41"/>
      <c r="B1689" s="5" t="n">
        <f aca="false">IF(A1689="",0,IFERROR(MATCH(A1689,Bank!$A:$A,0),0))</f>
        <v>0</v>
      </c>
      <c r="C1689" s="5" t="str">
        <f aca="false">IF(B1689=0,"",IF(INDEX(Bank!$G:$G,B1689)="","",INDEX(Bank!$G:$G,B1689)))</f>
        <v/>
      </c>
      <c r="D1689" s="5" t="str">
        <f aca="false">IF(B1689=0,"",IF(INDEX(Bank!$J:$J,B1689)="","",INDEX(Bank!$J:$J,B1689)))</f>
        <v/>
      </c>
      <c r="E1689" s="32" t="str">
        <f aca="false">IF(B1689=0,"",INDEX(Bank!$B:$B,B1689))</f>
        <v/>
      </c>
      <c r="F1689" s="5" t="str">
        <f aca="false">IF(B1689=0,"",IF(INDEX(Bank!$C:$C,B1689)="","",INDEX(Bank!$C:$C,B1689)))</f>
        <v/>
      </c>
      <c r="G1689" s="19" t="str">
        <f aca="false">IF(B1689=0,"",INDEX(Bank!$E:$E,B1689))</f>
        <v/>
      </c>
      <c r="H1689" s="5" t="str">
        <f aca="false">IF(B1689=0,"",IF(INDEX(Bank!$H:$H,B1689)="","",INDEX(Bank!$H:$H,B1689)))</f>
        <v/>
      </c>
      <c r="I1689" s="5" t="n">
        <f aca="false">IF(H1689="",0,IFERROR(MATCH(H1689,GL!$A:$A,0),0))</f>
        <v>0</v>
      </c>
      <c r="J1689" s="32" t="str">
        <f aca="false">IF(I1689=0,"",INDEX(GL!$B:$B,I1689))</f>
        <v/>
      </c>
      <c r="K1689" s="5" t="str">
        <f aca="false">IF(I1689=0,"",IF(INDEX(GL!$C:$C,I1689)="","",INDEX(GL!$C:$C,I1689)))</f>
        <v/>
      </c>
      <c r="L1689" s="19" t="str">
        <f aca="false">IF(I1689=0,"",INDEX(GL!$E:$E,I1689))</f>
        <v/>
      </c>
      <c r="M1689" s="19" t="str">
        <f aca="false">IF(OR(B1689=0,I1689=0),"",ROUND(G1689-L1689,2))</f>
        <v/>
      </c>
      <c r="N1689" s="5" t="str">
        <f aca="false">IF(A1689="","",IF(B1689=0,"NOT FOUND: bank ID",IF(I1689=0,"NOT FOUND: GL ID",IF(INDEX(GL!$H:$H,I1689)&lt;&gt;A1689,"BROKEN: GL points elsewhere",IF(OR(INDEX(Bank!$F:$F,B1689)&lt;&gt;"Y",INDEX(GL!$F:$F,I1689)&lt;&gt;"Y"),"BROKEN: Status not Y","OK")))))</f>
        <v/>
      </c>
    </row>
    <row r="1690" customFormat="false" ht="15" hidden="false" customHeight="false" outlineLevel="0" collapsed="false">
      <c r="A1690" s="41"/>
      <c r="B1690" s="5" t="n">
        <f aca="false">IF(A1690="",0,IFERROR(MATCH(A1690,Bank!$A:$A,0),0))</f>
        <v>0</v>
      </c>
      <c r="C1690" s="5" t="str">
        <f aca="false">IF(B1690=0,"",IF(INDEX(Bank!$G:$G,B1690)="","",INDEX(Bank!$G:$G,B1690)))</f>
        <v/>
      </c>
      <c r="D1690" s="5" t="str">
        <f aca="false">IF(B1690=0,"",IF(INDEX(Bank!$J:$J,B1690)="","",INDEX(Bank!$J:$J,B1690)))</f>
        <v/>
      </c>
      <c r="E1690" s="32" t="str">
        <f aca="false">IF(B1690=0,"",INDEX(Bank!$B:$B,B1690))</f>
        <v/>
      </c>
      <c r="F1690" s="5" t="str">
        <f aca="false">IF(B1690=0,"",IF(INDEX(Bank!$C:$C,B1690)="","",INDEX(Bank!$C:$C,B1690)))</f>
        <v/>
      </c>
      <c r="G1690" s="19" t="str">
        <f aca="false">IF(B1690=0,"",INDEX(Bank!$E:$E,B1690))</f>
        <v/>
      </c>
      <c r="H1690" s="5" t="str">
        <f aca="false">IF(B1690=0,"",IF(INDEX(Bank!$H:$H,B1690)="","",INDEX(Bank!$H:$H,B1690)))</f>
        <v/>
      </c>
      <c r="I1690" s="5" t="n">
        <f aca="false">IF(H1690="",0,IFERROR(MATCH(H1690,GL!$A:$A,0),0))</f>
        <v>0</v>
      </c>
      <c r="J1690" s="32" t="str">
        <f aca="false">IF(I1690=0,"",INDEX(GL!$B:$B,I1690))</f>
        <v/>
      </c>
      <c r="K1690" s="5" t="str">
        <f aca="false">IF(I1690=0,"",IF(INDEX(GL!$C:$C,I1690)="","",INDEX(GL!$C:$C,I1690)))</f>
        <v/>
      </c>
      <c r="L1690" s="19" t="str">
        <f aca="false">IF(I1690=0,"",INDEX(GL!$E:$E,I1690))</f>
        <v/>
      </c>
      <c r="M1690" s="19" t="str">
        <f aca="false">IF(OR(B1690=0,I1690=0),"",ROUND(G1690-L1690,2))</f>
        <v/>
      </c>
      <c r="N1690" s="5" t="str">
        <f aca="false">IF(A1690="","",IF(B1690=0,"NOT FOUND: bank ID",IF(I1690=0,"NOT FOUND: GL ID",IF(INDEX(GL!$H:$H,I1690)&lt;&gt;A1690,"BROKEN: GL points elsewhere",IF(OR(INDEX(Bank!$F:$F,B1690)&lt;&gt;"Y",INDEX(GL!$F:$F,I1690)&lt;&gt;"Y"),"BROKEN: Status not Y","OK")))))</f>
        <v/>
      </c>
    </row>
    <row r="1691" customFormat="false" ht="15" hidden="false" customHeight="false" outlineLevel="0" collapsed="false">
      <c r="A1691" s="41"/>
      <c r="B1691" s="5" t="n">
        <f aca="false">IF(A1691="",0,IFERROR(MATCH(A1691,Bank!$A:$A,0),0))</f>
        <v>0</v>
      </c>
      <c r="C1691" s="5" t="str">
        <f aca="false">IF(B1691=0,"",IF(INDEX(Bank!$G:$G,B1691)="","",INDEX(Bank!$G:$G,B1691)))</f>
        <v/>
      </c>
      <c r="D1691" s="5" t="str">
        <f aca="false">IF(B1691=0,"",IF(INDEX(Bank!$J:$J,B1691)="","",INDEX(Bank!$J:$J,B1691)))</f>
        <v/>
      </c>
      <c r="E1691" s="32" t="str">
        <f aca="false">IF(B1691=0,"",INDEX(Bank!$B:$B,B1691))</f>
        <v/>
      </c>
      <c r="F1691" s="5" t="str">
        <f aca="false">IF(B1691=0,"",IF(INDEX(Bank!$C:$C,B1691)="","",INDEX(Bank!$C:$C,B1691)))</f>
        <v/>
      </c>
      <c r="G1691" s="19" t="str">
        <f aca="false">IF(B1691=0,"",INDEX(Bank!$E:$E,B1691))</f>
        <v/>
      </c>
      <c r="H1691" s="5" t="str">
        <f aca="false">IF(B1691=0,"",IF(INDEX(Bank!$H:$H,B1691)="","",INDEX(Bank!$H:$H,B1691)))</f>
        <v/>
      </c>
      <c r="I1691" s="5" t="n">
        <f aca="false">IF(H1691="",0,IFERROR(MATCH(H1691,GL!$A:$A,0),0))</f>
        <v>0</v>
      </c>
      <c r="J1691" s="32" t="str">
        <f aca="false">IF(I1691=0,"",INDEX(GL!$B:$B,I1691))</f>
        <v/>
      </c>
      <c r="K1691" s="5" t="str">
        <f aca="false">IF(I1691=0,"",IF(INDEX(GL!$C:$C,I1691)="","",INDEX(GL!$C:$C,I1691)))</f>
        <v/>
      </c>
      <c r="L1691" s="19" t="str">
        <f aca="false">IF(I1691=0,"",INDEX(GL!$E:$E,I1691))</f>
        <v/>
      </c>
      <c r="M1691" s="19" t="str">
        <f aca="false">IF(OR(B1691=0,I1691=0),"",ROUND(G1691-L1691,2))</f>
        <v/>
      </c>
      <c r="N1691" s="5" t="str">
        <f aca="false">IF(A1691="","",IF(B1691=0,"NOT FOUND: bank ID",IF(I1691=0,"NOT FOUND: GL ID",IF(INDEX(GL!$H:$H,I1691)&lt;&gt;A1691,"BROKEN: GL points elsewhere",IF(OR(INDEX(Bank!$F:$F,B1691)&lt;&gt;"Y",INDEX(GL!$F:$F,I1691)&lt;&gt;"Y"),"BROKEN: Status not Y","OK")))))</f>
        <v/>
      </c>
    </row>
    <row r="1692" customFormat="false" ht="15" hidden="false" customHeight="false" outlineLevel="0" collapsed="false">
      <c r="A1692" s="41"/>
      <c r="B1692" s="5" t="n">
        <f aca="false">IF(A1692="",0,IFERROR(MATCH(A1692,Bank!$A:$A,0),0))</f>
        <v>0</v>
      </c>
      <c r="C1692" s="5" t="str">
        <f aca="false">IF(B1692=0,"",IF(INDEX(Bank!$G:$G,B1692)="","",INDEX(Bank!$G:$G,B1692)))</f>
        <v/>
      </c>
      <c r="D1692" s="5" t="str">
        <f aca="false">IF(B1692=0,"",IF(INDEX(Bank!$J:$J,B1692)="","",INDEX(Bank!$J:$J,B1692)))</f>
        <v/>
      </c>
      <c r="E1692" s="32" t="str">
        <f aca="false">IF(B1692=0,"",INDEX(Bank!$B:$B,B1692))</f>
        <v/>
      </c>
      <c r="F1692" s="5" t="str">
        <f aca="false">IF(B1692=0,"",IF(INDEX(Bank!$C:$C,B1692)="","",INDEX(Bank!$C:$C,B1692)))</f>
        <v/>
      </c>
      <c r="G1692" s="19" t="str">
        <f aca="false">IF(B1692=0,"",INDEX(Bank!$E:$E,B1692))</f>
        <v/>
      </c>
      <c r="H1692" s="5" t="str">
        <f aca="false">IF(B1692=0,"",IF(INDEX(Bank!$H:$H,B1692)="","",INDEX(Bank!$H:$H,B1692)))</f>
        <v/>
      </c>
      <c r="I1692" s="5" t="n">
        <f aca="false">IF(H1692="",0,IFERROR(MATCH(H1692,GL!$A:$A,0),0))</f>
        <v>0</v>
      </c>
      <c r="J1692" s="32" t="str">
        <f aca="false">IF(I1692=0,"",INDEX(GL!$B:$B,I1692))</f>
        <v/>
      </c>
      <c r="K1692" s="5" t="str">
        <f aca="false">IF(I1692=0,"",IF(INDEX(GL!$C:$C,I1692)="","",INDEX(GL!$C:$C,I1692)))</f>
        <v/>
      </c>
      <c r="L1692" s="19" t="str">
        <f aca="false">IF(I1692=0,"",INDEX(GL!$E:$E,I1692))</f>
        <v/>
      </c>
      <c r="M1692" s="19" t="str">
        <f aca="false">IF(OR(B1692=0,I1692=0),"",ROUND(G1692-L1692,2))</f>
        <v/>
      </c>
      <c r="N1692" s="5" t="str">
        <f aca="false">IF(A1692="","",IF(B1692=0,"NOT FOUND: bank ID",IF(I1692=0,"NOT FOUND: GL ID",IF(INDEX(GL!$H:$H,I1692)&lt;&gt;A1692,"BROKEN: GL points elsewhere",IF(OR(INDEX(Bank!$F:$F,B1692)&lt;&gt;"Y",INDEX(GL!$F:$F,I1692)&lt;&gt;"Y"),"BROKEN: Status not Y","OK")))))</f>
        <v/>
      </c>
    </row>
    <row r="1693" customFormat="false" ht="15" hidden="false" customHeight="false" outlineLevel="0" collapsed="false">
      <c r="A1693" s="41"/>
      <c r="B1693" s="5" t="n">
        <f aca="false">IF(A1693="",0,IFERROR(MATCH(A1693,Bank!$A:$A,0),0))</f>
        <v>0</v>
      </c>
      <c r="C1693" s="5" t="str">
        <f aca="false">IF(B1693=0,"",IF(INDEX(Bank!$G:$G,B1693)="","",INDEX(Bank!$G:$G,B1693)))</f>
        <v/>
      </c>
      <c r="D1693" s="5" t="str">
        <f aca="false">IF(B1693=0,"",IF(INDEX(Bank!$J:$J,B1693)="","",INDEX(Bank!$J:$J,B1693)))</f>
        <v/>
      </c>
      <c r="E1693" s="32" t="str">
        <f aca="false">IF(B1693=0,"",INDEX(Bank!$B:$B,B1693))</f>
        <v/>
      </c>
      <c r="F1693" s="5" t="str">
        <f aca="false">IF(B1693=0,"",IF(INDEX(Bank!$C:$C,B1693)="","",INDEX(Bank!$C:$C,B1693)))</f>
        <v/>
      </c>
      <c r="G1693" s="19" t="str">
        <f aca="false">IF(B1693=0,"",INDEX(Bank!$E:$E,B1693))</f>
        <v/>
      </c>
      <c r="H1693" s="5" t="str">
        <f aca="false">IF(B1693=0,"",IF(INDEX(Bank!$H:$H,B1693)="","",INDEX(Bank!$H:$H,B1693)))</f>
        <v/>
      </c>
      <c r="I1693" s="5" t="n">
        <f aca="false">IF(H1693="",0,IFERROR(MATCH(H1693,GL!$A:$A,0),0))</f>
        <v>0</v>
      </c>
      <c r="J1693" s="32" t="str">
        <f aca="false">IF(I1693=0,"",INDEX(GL!$B:$B,I1693))</f>
        <v/>
      </c>
      <c r="K1693" s="5" t="str">
        <f aca="false">IF(I1693=0,"",IF(INDEX(GL!$C:$C,I1693)="","",INDEX(GL!$C:$C,I1693)))</f>
        <v/>
      </c>
      <c r="L1693" s="19" t="str">
        <f aca="false">IF(I1693=0,"",INDEX(GL!$E:$E,I1693))</f>
        <v/>
      </c>
      <c r="M1693" s="19" t="str">
        <f aca="false">IF(OR(B1693=0,I1693=0),"",ROUND(G1693-L1693,2))</f>
        <v/>
      </c>
      <c r="N1693" s="5" t="str">
        <f aca="false">IF(A1693="","",IF(B1693=0,"NOT FOUND: bank ID",IF(I1693=0,"NOT FOUND: GL ID",IF(INDEX(GL!$H:$H,I1693)&lt;&gt;A1693,"BROKEN: GL points elsewhere",IF(OR(INDEX(Bank!$F:$F,B1693)&lt;&gt;"Y",INDEX(GL!$F:$F,I1693)&lt;&gt;"Y"),"BROKEN: Status not Y","OK")))))</f>
        <v/>
      </c>
    </row>
    <row r="1694" customFormat="false" ht="15" hidden="false" customHeight="false" outlineLevel="0" collapsed="false">
      <c r="A1694" s="41"/>
      <c r="B1694" s="5" t="n">
        <f aca="false">IF(A1694="",0,IFERROR(MATCH(A1694,Bank!$A:$A,0),0))</f>
        <v>0</v>
      </c>
      <c r="C1694" s="5" t="str">
        <f aca="false">IF(B1694=0,"",IF(INDEX(Bank!$G:$G,B1694)="","",INDEX(Bank!$G:$G,B1694)))</f>
        <v/>
      </c>
      <c r="D1694" s="5" t="str">
        <f aca="false">IF(B1694=0,"",IF(INDEX(Bank!$J:$J,B1694)="","",INDEX(Bank!$J:$J,B1694)))</f>
        <v/>
      </c>
      <c r="E1694" s="32" t="str">
        <f aca="false">IF(B1694=0,"",INDEX(Bank!$B:$B,B1694))</f>
        <v/>
      </c>
      <c r="F1694" s="5" t="str">
        <f aca="false">IF(B1694=0,"",IF(INDEX(Bank!$C:$C,B1694)="","",INDEX(Bank!$C:$C,B1694)))</f>
        <v/>
      </c>
      <c r="G1694" s="19" t="str">
        <f aca="false">IF(B1694=0,"",INDEX(Bank!$E:$E,B1694))</f>
        <v/>
      </c>
      <c r="H1694" s="5" t="str">
        <f aca="false">IF(B1694=0,"",IF(INDEX(Bank!$H:$H,B1694)="","",INDEX(Bank!$H:$H,B1694)))</f>
        <v/>
      </c>
      <c r="I1694" s="5" t="n">
        <f aca="false">IF(H1694="",0,IFERROR(MATCH(H1694,GL!$A:$A,0),0))</f>
        <v>0</v>
      </c>
      <c r="J1694" s="32" t="str">
        <f aca="false">IF(I1694=0,"",INDEX(GL!$B:$B,I1694))</f>
        <v/>
      </c>
      <c r="K1694" s="5" t="str">
        <f aca="false">IF(I1694=0,"",IF(INDEX(GL!$C:$C,I1694)="","",INDEX(GL!$C:$C,I1694)))</f>
        <v/>
      </c>
      <c r="L1694" s="19" t="str">
        <f aca="false">IF(I1694=0,"",INDEX(GL!$E:$E,I1694))</f>
        <v/>
      </c>
      <c r="M1694" s="19" t="str">
        <f aca="false">IF(OR(B1694=0,I1694=0),"",ROUND(G1694-L1694,2))</f>
        <v/>
      </c>
      <c r="N1694" s="5" t="str">
        <f aca="false">IF(A1694="","",IF(B1694=0,"NOT FOUND: bank ID",IF(I1694=0,"NOT FOUND: GL ID",IF(INDEX(GL!$H:$H,I1694)&lt;&gt;A1694,"BROKEN: GL points elsewhere",IF(OR(INDEX(Bank!$F:$F,B1694)&lt;&gt;"Y",INDEX(GL!$F:$F,I1694)&lt;&gt;"Y"),"BROKEN: Status not Y","OK")))))</f>
        <v/>
      </c>
    </row>
    <row r="1695" customFormat="false" ht="15" hidden="false" customHeight="false" outlineLevel="0" collapsed="false">
      <c r="A1695" s="41"/>
      <c r="B1695" s="5" t="n">
        <f aca="false">IF(A1695="",0,IFERROR(MATCH(A1695,Bank!$A:$A,0),0))</f>
        <v>0</v>
      </c>
      <c r="C1695" s="5" t="str">
        <f aca="false">IF(B1695=0,"",IF(INDEX(Bank!$G:$G,B1695)="","",INDEX(Bank!$G:$G,B1695)))</f>
        <v/>
      </c>
      <c r="D1695" s="5" t="str">
        <f aca="false">IF(B1695=0,"",IF(INDEX(Bank!$J:$J,B1695)="","",INDEX(Bank!$J:$J,B1695)))</f>
        <v/>
      </c>
      <c r="E1695" s="32" t="str">
        <f aca="false">IF(B1695=0,"",INDEX(Bank!$B:$B,B1695))</f>
        <v/>
      </c>
      <c r="F1695" s="5" t="str">
        <f aca="false">IF(B1695=0,"",IF(INDEX(Bank!$C:$C,B1695)="","",INDEX(Bank!$C:$C,B1695)))</f>
        <v/>
      </c>
      <c r="G1695" s="19" t="str">
        <f aca="false">IF(B1695=0,"",INDEX(Bank!$E:$E,B1695))</f>
        <v/>
      </c>
      <c r="H1695" s="5" t="str">
        <f aca="false">IF(B1695=0,"",IF(INDEX(Bank!$H:$H,B1695)="","",INDEX(Bank!$H:$H,B1695)))</f>
        <v/>
      </c>
      <c r="I1695" s="5" t="n">
        <f aca="false">IF(H1695="",0,IFERROR(MATCH(H1695,GL!$A:$A,0),0))</f>
        <v>0</v>
      </c>
      <c r="J1695" s="32" t="str">
        <f aca="false">IF(I1695=0,"",INDEX(GL!$B:$B,I1695))</f>
        <v/>
      </c>
      <c r="K1695" s="5" t="str">
        <f aca="false">IF(I1695=0,"",IF(INDEX(GL!$C:$C,I1695)="","",INDEX(GL!$C:$C,I1695)))</f>
        <v/>
      </c>
      <c r="L1695" s="19" t="str">
        <f aca="false">IF(I1695=0,"",INDEX(GL!$E:$E,I1695))</f>
        <v/>
      </c>
      <c r="M1695" s="19" t="str">
        <f aca="false">IF(OR(B1695=0,I1695=0),"",ROUND(G1695-L1695,2))</f>
        <v/>
      </c>
      <c r="N1695" s="5" t="str">
        <f aca="false">IF(A1695="","",IF(B1695=0,"NOT FOUND: bank ID",IF(I1695=0,"NOT FOUND: GL ID",IF(INDEX(GL!$H:$H,I1695)&lt;&gt;A1695,"BROKEN: GL points elsewhere",IF(OR(INDEX(Bank!$F:$F,B1695)&lt;&gt;"Y",INDEX(GL!$F:$F,I1695)&lt;&gt;"Y"),"BROKEN: Status not Y","OK")))))</f>
        <v/>
      </c>
    </row>
    <row r="1696" customFormat="false" ht="15" hidden="false" customHeight="false" outlineLevel="0" collapsed="false">
      <c r="A1696" s="41"/>
      <c r="B1696" s="5" t="n">
        <f aca="false">IF(A1696="",0,IFERROR(MATCH(A1696,Bank!$A:$A,0),0))</f>
        <v>0</v>
      </c>
      <c r="C1696" s="5" t="str">
        <f aca="false">IF(B1696=0,"",IF(INDEX(Bank!$G:$G,B1696)="","",INDEX(Bank!$G:$G,B1696)))</f>
        <v/>
      </c>
      <c r="D1696" s="5" t="str">
        <f aca="false">IF(B1696=0,"",IF(INDEX(Bank!$J:$J,B1696)="","",INDEX(Bank!$J:$J,B1696)))</f>
        <v/>
      </c>
      <c r="E1696" s="32" t="str">
        <f aca="false">IF(B1696=0,"",INDEX(Bank!$B:$B,B1696))</f>
        <v/>
      </c>
      <c r="F1696" s="5" t="str">
        <f aca="false">IF(B1696=0,"",IF(INDEX(Bank!$C:$C,B1696)="","",INDEX(Bank!$C:$C,B1696)))</f>
        <v/>
      </c>
      <c r="G1696" s="19" t="str">
        <f aca="false">IF(B1696=0,"",INDEX(Bank!$E:$E,B1696))</f>
        <v/>
      </c>
      <c r="H1696" s="5" t="str">
        <f aca="false">IF(B1696=0,"",IF(INDEX(Bank!$H:$H,B1696)="","",INDEX(Bank!$H:$H,B1696)))</f>
        <v/>
      </c>
      <c r="I1696" s="5" t="n">
        <f aca="false">IF(H1696="",0,IFERROR(MATCH(H1696,GL!$A:$A,0),0))</f>
        <v>0</v>
      </c>
      <c r="J1696" s="32" t="str">
        <f aca="false">IF(I1696=0,"",INDEX(GL!$B:$B,I1696))</f>
        <v/>
      </c>
      <c r="K1696" s="5" t="str">
        <f aca="false">IF(I1696=0,"",IF(INDEX(GL!$C:$C,I1696)="","",INDEX(GL!$C:$C,I1696)))</f>
        <v/>
      </c>
      <c r="L1696" s="19" t="str">
        <f aca="false">IF(I1696=0,"",INDEX(GL!$E:$E,I1696))</f>
        <v/>
      </c>
      <c r="M1696" s="19" t="str">
        <f aca="false">IF(OR(B1696=0,I1696=0),"",ROUND(G1696-L1696,2))</f>
        <v/>
      </c>
      <c r="N1696" s="5" t="str">
        <f aca="false">IF(A1696="","",IF(B1696=0,"NOT FOUND: bank ID",IF(I1696=0,"NOT FOUND: GL ID",IF(INDEX(GL!$H:$H,I1696)&lt;&gt;A1696,"BROKEN: GL points elsewhere",IF(OR(INDEX(Bank!$F:$F,B1696)&lt;&gt;"Y",INDEX(GL!$F:$F,I1696)&lt;&gt;"Y"),"BROKEN: Status not Y","OK")))))</f>
        <v/>
      </c>
    </row>
    <row r="1697" customFormat="false" ht="15" hidden="false" customHeight="false" outlineLevel="0" collapsed="false">
      <c r="A1697" s="41"/>
      <c r="B1697" s="5" t="n">
        <f aca="false">IF(A1697="",0,IFERROR(MATCH(A1697,Bank!$A:$A,0),0))</f>
        <v>0</v>
      </c>
      <c r="C1697" s="5" t="str">
        <f aca="false">IF(B1697=0,"",IF(INDEX(Bank!$G:$G,B1697)="","",INDEX(Bank!$G:$G,B1697)))</f>
        <v/>
      </c>
      <c r="D1697" s="5" t="str">
        <f aca="false">IF(B1697=0,"",IF(INDEX(Bank!$J:$J,B1697)="","",INDEX(Bank!$J:$J,B1697)))</f>
        <v/>
      </c>
      <c r="E1697" s="32" t="str">
        <f aca="false">IF(B1697=0,"",INDEX(Bank!$B:$B,B1697))</f>
        <v/>
      </c>
      <c r="F1697" s="5" t="str">
        <f aca="false">IF(B1697=0,"",IF(INDEX(Bank!$C:$C,B1697)="","",INDEX(Bank!$C:$C,B1697)))</f>
        <v/>
      </c>
      <c r="G1697" s="19" t="str">
        <f aca="false">IF(B1697=0,"",INDEX(Bank!$E:$E,B1697))</f>
        <v/>
      </c>
      <c r="H1697" s="5" t="str">
        <f aca="false">IF(B1697=0,"",IF(INDEX(Bank!$H:$H,B1697)="","",INDEX(Bank!$H:$H,B1697)))</f>
        <v/>
      </c>
      <c r="I1697" s="5" t="n">
        <f aca="false">IF(H1697="",0,IFERROR(MATCH(H1697,GL!$A:$A,0),0))</f>
        <v>0</v>
      </c>
      <c r="J1697" s="32" t="str">
        <f aca="false">IF(I1697=0,"",INDEX(GL!$B:$B,I1697))</f>
        <v/>
      </c>
      <c r="K1697" s="5" t="str">
        <f aca="false">IF(I1697=0,"",IF(INDEX(GL!$C:$C,I1697)="","",INDEX(GL!$C:$C,I1697)))</f>
        <v/>
      </c>
      <c r="L1697" s="19" t="str">
        <f aca="false">IF(I1697=0,"",INDEX(GL!$E:$E,I1697))</f>
        <v/>
      </c>
      <c r="M1697" s="19" t="str">
        <f aca="false">IF(OR(B1697=0,I1697=0),"",ROUND(G1697-L1697,2))</f>
        <v/>
      </c>
      <c r="N1697" s="5" t="str">
        <f aca="false">IF(A1697="","",IF(B1697=0,"NOT FOUND: bank ID",IF(I1697=0,"NOT FOUND: GL ID",IF(INDEX(GL!$H:$H,I1697)&lt;&gt;A1697,"BROKEN: GL points elsewhere",IF(OR(INDEX(Bank!$F:$F,B1697)&lt;&gt;"Y",INDEX(GL!$F:$F,I1697)&lt;&gt;"Y"),"BROKEN: Status not Y","OK")))))</f>
        <v/>
      </c>
    </row>
    <row r="1698" customFormat="false" ht="15" hidden="false" customHeight="false" outlineLevel="0" collapsed="false">
      <c r="A1698" s="41"/>
      <c r="B1698" s="5" t="n">
        <f aca="false">IF(A1698="",0,IFERROR(MATCH(A1698,Bank!$A:$A,0),0))</f>
        <v>0</v>
      </c>
      <c r="C1698" s="5" t="str">
        <f aca="false">IF(B1698=0,"",IF(INDEX(Bank!$G:$G,B1698)="","",INDEX(Bank!$G:$G,B1698)))</f>
        <v/>
      </c>
      <c r="D1698" s="5" t="str">
        <f aca="false">IF(B1698=0,"",IF(INDEX(Bank!$J:$J,B1698)="","",INDEX(Bank!$J:$J,B1698)))</f>
        <v/>
      </c>
      <c r="E1698" s="32" t="str">
        <f aca="false">IF(B1698=0,"",INDEX(Bank!$B:$B,B1698))</f>
        <v/>
      </c>
      <c r="F1698" s="5" t="str">
        <f aca="false">IF(B1698=0,"",IF(INDEX(Bank!$C:$C,B1698)="","",INDEX(Bank!$C:$C,B1698)))</f>
        <v/>
      </c>
      <c r="G1698" s="19" t="str">
        <f aca="false">IF(B1698=0,"",INDEX(Bank!$E:$E,B1698))</f>
        <v/>
      </c>
      <c r="H1698" s="5" t="str">
        <f aca="false">IF(B1698=0,"",IF(INDEX(Bank!$H:$H,B1698)="","",INDEX(Bank!$H:$H,B1698)))</f>
        <v/>
      </c>
      <c r="I1698" s="5" t="n">
        <f aca="false">IF(H1698="",0,IFERROR(MATCH(H1698,GL!$A:$A,0),0))</f>
        <v>0</v>
      </c>
      <c r="J1698" s="32" t="str">
        <f aca="false">IF(I1698=0,"",INDEX(GL!$B:$B,I1698))</f>
        <v/>
      </c>
      <c r="K1698" s="5" t="str">
        <f aca="false">IF(I1698=0,"",IF(INDEX(GL!$C:$C,I1698)="","",INDEX(GL!$C:$C,I1698)))</f>
        <v/>
      </c>
      <c r="L1698" s="19" t="str">
        <f aca="false">IF(I1698=0,"",INDEX(GL!$E:$E,I1698))</f>
        <v/>
      </c>
      <c r="M1698" s="19" t="str">
        <f aca="false">IF(OR(B1698=0,I1698=0),"",ROUND(G1698-L1698,2))</f>
        <v/>
      </c>
      <c r="N1698" s="5" t="str">
        <f aca="false">IF(A1698="","",IF(B1698=0,"NOT FOUND: bank ID",IF(I1698=0,"NOT FOUND: GL ID",IF(INDEX(GL!$H:$H,I1698)&lt;&gt;A1698,"BROKEN: GL points elsewhere",IF(OR(INDEX(Bank!$F:$F,B1698)&lt;&gt;"Y",INDEX(GL!$F:$F,I1698)&lt;&gt;"Y"),"BROKEN: Status not Y","OK")))))</f>
        <v/>
      </c>
    </row>
    <row r="1699" customFormat="false" ht="15" hidden="false" customHeight="false" outlineLevel="0" collapsed="false">
      <c r="A1699" s="41"/>
      <c r="B1699" s="5" t="n">
        <f aca="false">IF(A1699="",0,IFERROR(MATCH(A1699,Bank!$A:$A,0),0))</f>
        <v>0</v>
      </c>
      <c r="C1699" s="5" t="str">
        <f aca="false">IF(B1699=0,"",IF(INDEX(Bank!$G:$G,B1699)="","",INDEX(Bank!$G:$G,B1699)))</f>
        <v/>
      </c>
      <c r="D1699" s="5" t="str">
        <f aca="false">IF(B1699=0,"",IF(INDEX(Bank!$J:$J,B1699)="","",INDEX(Bank!$J:$J,B1699)))</f>
        <v/>
      </c>
      <c r="E1699" s="32" t="str">
        <f aca="false">IF(B1699=0,"",INDEX(Bank!$B:$B,B1699))</f>
        <v/>
      </c>
      <c r="F1699" s="5" t="str">
        <f aca="false">IF(B1699=0,"",IF(INDEX(Bank!$C:$C,B1699)="","",INDEX(Bank!$C:$C,B1699)))</f>
        <v/>
      </c>
      <c r="G1699" s="19" t="str">
        <f aca="false">IF(B1699=0,"",INDEX(Bank!$E:$E,B1699))</f>
        <v/>
      </c>
      <c r="H1699" s="5" t="str">
        <f aca="false">IF(B1699=0,"",IF(INDEX(Bank!$H:$H,B1699)="","",INDEX(Bank!$H:$H,B1699)))</f>
        <v/>
      </c>
      <c r="I1699" s="5" t="n">
        <f aca="false">IF(H1699="",0,IFERROR(MATCH(H1699,GL!$A:$A,0),0))</f>
        <v>0</v>
      </c>
      <c r="J1699" s="32" t="str">
        <f aca="false">IF(I1699=0,"",INDEX(GL!$B:$B,I1699))</f>
        <v/>
      </c>
      <c r="K1699" s="5" t="str">
        <f aca="false">IF(I1699=0,"",IF(INDEX(GL!$C:$C,I1699)="","",INDEX(GL!$C:$C,I1699)))</f>
        <v/>
      </c>
      <c r="L1699" s="19" t="str">
        <f aca="false">IF(I1699=0,"",INDEX(GL!$E:$E,I1699))</f>
        <v/>
      </c>
      <c r="M1699" s="19" t="str">
        <f aca="false">IF(OR(B1699=0,I1699=0),"",ROUND(G1699-L1699,2))</f>
        <v/>
      </c>
      <c r="N1699" s="5" t="str">
        <f aca="false">IF(A1699="","",IF(B1699=0,"NOT FOUND: bank ID",IF(I1699=0,"NOT FOUND: GL ID",IF(INDEX(GL!$H:$H,I1699)&lt;&gt;A1699,"BROKEN: GL points elsewhere",IF(OR(INDEX(Bank!$F:$F,B1699)&lt;&gt;"Y",INDEX(GL!$F:$F,I1699)&lt;&gt;"Y"),"BROKEN: Status not Y","OK")))))</f>
        <v/>
      </c>
    </row>
    <row r="1700" customFormat="false" ht="15" hidden="false" customHeight="false" outlineLevel="0" collapsed="false">
      <c r="A1700" s="41"/>
      <c r="B1700" s="5" t="n">
        <f aca="false">IF(A1700="",0,IFERROR(MATCH(A1700,Bank!$A:$A,0),0))</f>
        <v>0</v>
      </c>
      <c r="C1700" s="5" t="str">
        <f aca="false">IF(B1700=0,"",IF(INDEX(Bank!$G:$G,B1700)="","",INDEX(Bank!$G:$G,B1700)))</f>
        <v/>
      </c>
      <c r="D1700" s="5" t="str">
        <f aca="false">IF(B1700=0,"",IF(INDEX(Bank!$J:$J,B1700)="","",INDEX(Bank!$J:$J,B1700)))</f>
        <v/>
      </c>
      <c r="E1700" s="32" t="str">
        <f aca="false">IF(B1700=0,"",INDEX(Bank!$B:$B,B1700))</f>
        <v/>
      </c>
      <c r="F1700" s="5" t="str">
        <f aca="false">IF(B1700=0,"",IF(INDEX(Bank!$C:$C,B1700)="","",INDEX(Bank!$C:$C,B1700)))</f>
        <v/>
      </c>
      <c r="G1700" s="19" t="str">
        <f aca="false">IF(B1700=0,"",INDEX(Bank!$E:$E,B1700))</f>
        <v/>
      </c>
      <c r="H1700" s="5" t="str">
        <f aca="false">IF(B1700=0,"",IF(INDEX(Bank!$H:$H,B1700)="","",INDEX(Bank!$H:$H,B1700)))</f>
        <v/>
      </c>
      <c r="I1700" s="5" t="n">
        <f aca="false">IF(H1700="",0,IFERROR(MATCH(H1700,GL!$A:$A,0),0))</f>
        <v>0</v>
      </c>
      <c r="J1700" s="32" t="str">
        <f aca="false">IF(I1700=0,"",INDEX(GL!$B:$B,I1700))</f>
        <v/>
      </c>
      <c r="K1700" s="5" t="str">
        <f aca="false">IF(I1700=0,"",IF(INDEX(GL!$C:$C,I1700)="","",INDEX(GL!$C:$C,I1700)))</f>
        <v/>
      </c>
      <c r="L1700" s="19" t="str">
        <f aca="false">IF(I1700=0,"",INDEX(GL!$E:$E,I1700))</f>
        <v/>
      </c>
      <c r="M1700" s="19" t="str">
        <f aca="false">IF(OR(B1700=0,I1700=0),"",ROUND(G1700-L1700,2))</f>
        <v/>
      </c>
      <c r="N1700" s="5" t="str">
        <f aca="false">IF(A1700="","",IF(B1700=0,"NOT FOUND: bank ID",IF(I1700=0,"NOT FOUND: GL ID",IF(INDEX(GL!$H:$H,I1700)&lt;&gt;A1700,"BROKEN: GL points elsewhere",IF(OR(INDEX(Bank!$F:$F,B1700)&lt;&gt;"Y",INDEX(GL!$F:$F,I1700)&lt;&gt;"Y"),"BROKEN: Status not Y","OK")))))</f>
        <v/>
      </c>
    </row>
    <row r="1701" customFormat="false" ht="15" hidden="false" customHeight="false" outlineLevel="0" collapsed="false">
      <c r="A1701" s="41"/>
      <c r="B1701" s="5" t="n">
        <f aca="false">IF(A1701="",0,IFERROR(MATCH(A1701,Bank!$A:$A,0),0))</f>
        <v>0</v>
      </c>
      <c r="C1701" s="5" t="str">
        <f aca="false">IF(B1701=0,"",IF(INDEX(Bank!$G:$G,B1701)="","",INDEX(Bank!$G:$G,B1701)))</f>
        <v/>
      </c>
      <c r="D1701" s="5" t="str">
        <f aca="false">IF(B1701=0,"",IF(INDEX(Bank!$J:$J,B1701)="","",INDEX(Bank!$J:$J,B1701)))</f>
        <v/>
      </c>
      <c r="E1701" s="32" t="str">
        <f aca="false">IF(B1701=0,"",INDEX(Bank!$B:$B,B1701))</f>
        <v/>
      </c>
      <c r="F1701" s="5" t="str">
        <f aca="false">IF(B1701=0,"",IF(INDEX(Bank!$C:$C,B1701)="","",INDEX(Bank!$C:$C,B1701)))</f>
        <v/>
      </c>
      <c r="G1701" s="19" t="str">
        <f aca="false">IF(B1701=0,"",INDEX(Bank!$E:$E,B1701))</f>
        <v/>
      </c>
      <c r="H1701" s="5" t="str">
        <f aca="false">IF(B1701=0,"",IF(INDEX(Bank!$H:$H,B1701)="","",INDEX(Bank!$H:$H,B1701)))</f>
        <v/>
      </c>
      <c r="I1701" s="5" t="n">
        <f aca="false">IF(H1701="",0,IFERROR(MATCH(H1701,GL!$A:$A,0),0))</f>
        <v>0</v>
      </c>
      <c r="J1701" s="32" t="str">
        <f aca="false">IF(I1701=0,"",INDEX(GL!$B:$B,I1701))</f>
        <v/>
      </c>
      <c r="K1701" s="5" t="str">
        <f aca="false">IF(I1701=0,"",IF(INDEX(GL!$C:$C,I1701)="","",INDEX(GL!$C:$C,I1701)))</f>
        <v/>
      </c>
      <c r="L1701" s="19" t="str">
        <f aca="false">IF(I1701=0,"",INDEX(GL!$E:$E,I1701))</f>
        <v/>
      </c>
      <c r="M1701" s="19" t="str">
        <f aca="false">IF(OR(B1701=0,I1701=0),"",ROUND(G1701-L1701,2))</f>
        <v/>
      </c>
      <c r="N1701" s="5" t="str">
        <f aca="false">IF(A1701="","",IF(B1701=0,"NOT FOUND: bank ID",IF(I1701=0,"NOT FOUND: GL ID",IF(INDEX(GL!$H:$H,I1701)&lt;&gt;A1701,"BROKEN: GL points elsewhere",IF(OR(INDEX(Bank!$F:$F,B1701)&lt;&gt;"Y",INDEX(GL!$F:$F,I1701)&lt;&gt;"Y"),"BROKEN: Status not Y","OK")))))</f>
        <v/>
      </c>
    </row>
    <row r="1702" customFormat="false" ht="15" hidden="false" customHeight="false" outlineLevel="0" collapsed="false">
      <c r="A1702" s="41"/>
      <c r="B1702" s="5" t="n">
        <f aca="false">IF(A1702="",0,IFERROR(MATCH(A1702,Bank!$A:$A,0),0))</f>
        <v>0</v>
      </c>
      <c r="C1702" s="5" t="str">
        <f aca="false">IF(B1702=0,"",IF(INDEX(Bank!$G:$G,B1702)="","",INDEX(Bank!$G:$G,B1702)))</f>
        <v/>
      </c>
      <c r="D1702" s="5" t="str">
        <f aca="false">IF(B1702=0,"",IF(INDEX(Bank!$J:$J,B1702)="","",INDEX(Bank!$J:$J,B1702)))</f>
        <v/>
      </c>
      <c r="E1702" s="32" t="str">
        <f aca="false">IF(B1702=0,"",INDEX(Bank!$B:$B,B1702))</f>
        <v/>
      </c>
      <c r="F1702" s="5" t="str">
        <f aca="false">IF(B1702=0,"",IF(INDEX(Bank!$C:$C,B1702)="","",INDEX(Bank!$C:$C,B1702)))</f>
        <v/>
      </c>
      <c r="G1702" s="19" t="str">
        <f aca="false">IF(B1702=0,"",INDEX(Bank!$E:$E,B1702))</f>
        <v/>
      </c>
      <c r="H1702" s="5" t="str">
        <f aca="false">IF(B1702=0,"",IF(INDEX(Bank!$H:$H,B1702)="","",INDEX(Bank!$H:$H,B1702)))</f>
        <v/>
      </c>
      <c r="I1702" s="5" t="n">
        <f aca="false">IF(H1702="",0,IFERROR(MATCH(H1702,GL!$A:$A,0),0))</f>
        <v>0</v>
      </c>
      <c r="J1702" s="32" t="str">
        <f aca="false">IF(I1702=0,"",INDEX(GL!$B:$B,I1702))</f>
        <v/>
      </c>
      <c r="K1702" s="5" t="str">
        <f aca="false">IF(I1702=0,"",IF(INDEX(GL!$C:$C,I1702)="","",INDEX(GL!$C:$C,I1702)))</f>
        <v/>
      </c>
      <c r="L1702" s="19" t="str">
        <f aca="false">IF(I1702=0,"",INDEX(GL!$E:$E,I1702))</f>
        <v/>
      </c>
      <c r="M1702" s="19" t="str">
        <f aca="false">IF(OR(B1702=0,I1702=0),"",ROUND(G1702-L1702,2))</f>
        <v/>
      </c>
      <c r="N1702" s="5" t="str">
        <f aca="false">IF(A1702="","",IF(B1702=0,"NOT FOUND: bank ID",IF(I1702=0,"NOT FOUND: GL ID",IF(INDEX(GL!$H:$H,I1702)&lt;&gt;A1702,"BROKEN: GL points elsewhere",IF(OR(INDEX(Bank!$F:$F,B1702)&lt;&gt;"Y",INDEX(GL!$F:$F,I1702)&lt;&gt;"Y"),"BROKEN: Status not Y","OK")))))</f>
        <v/>
      </c>
    </row>
    <row r="1703" customFormat="false" ht="15" hidden="false" customHeight="false" outlineLevel="0" collapsed="false">
      <c r="A1703" s="41"/>
      <c r="B1703" s="5" t="n">
        <f aca="false">IF(A1703="",0,IFERROR(MATCH(A1703,Bank!$A:$A,0),0))</f>
        <v>0</v>
      </c>
      <c r="C1703" s="5" t="str">
        <f aca="false">IF(B1703=0,"",IF(INDEX(Bank!$G:$G,B1703)="","",INDEX(Bank!$G:$G,B1703)))</f>
        <v/>
      </c>
      <c r="D1703" s="5" t="str">
        <f aca="false">IF(B1703=0,"",IF(INDEX(Bank!$J:$J,B1703)="","",INDEX(Bank!$J:$J,B1703)))</f>
        <v/>
      </c>
      <c r="E1703" s="32" t="str">
        <f aca="false">IF(B1703=0,"",INDEX(Bank!$B:$B,B1703))</f>
        <v/>
      </c>
      <c r="F1703" s="5" t="str">
        <f aca="false">IF(B1703=0,"",IF(INDEX(Bank!$C:$C,B1703)="","",INDEX(Bank!$C:$C,B1703)))</f>
        <v/>
      </c>
      <c r="G1703" s="19" t="str">
        <f aca="false">IF(B1703=0,"",INDEX(Bank!$E:$E,B1703))</f>
        <v/>
      </c>
      <c r="H1703" s="5" t="str">
        <f aca="false">IF(B1703=0,"",IF(INDEX(Bank!$H:$H,B1703)="","",INDEX(Bank!$H:$H,B1703)))</f>
        <v/>
      </c>
      <c r="I1703" s="5" t="n">
        <f aca="false">IF(H1703="",0,IFERROR(MATCH(H1703,GL!$A:$A,0),0))</f>
        <v>0</v>
      </c>
      <c r="J1703" s="32" t="str">
        <f aca="false">IF(I1703=0,"",INDEX(GL!$B:$B,I1703))</f>
        <v/>
      </c>
      <c r="K1703" s="5" t="str">
        <f aca="false">IF(I1703=0,"",IF(INDEX(GL!$C:$C,I1703)="","",INDEX(GL!$C:$C,I1703)))</f>
        <v/>
      </c>
      <c r="L1703" s="19" t="str">
        <f aca="false">IF(I1703=0,"",INDEX(GL!$E:$E,I1703))</f>
        <v/>
      </c>
      <c r="M1703" s="19" t="str">
        <f aca="false">IF(OR(B1703=0,I1703=0),"",ROUND(G1703-L1703,2))</f>
        <v/>
      </c>
      <c r="N1703" s="5" t="str">
        <f aca="false">IF(A1703="","",IF(B1703=0,"NOT FOUND: bank ID",IF(I1703=0,"NOT FOUND: GL ID",IF(INDEX(GL!$H:$H,I1703)&lt;&gt;A1703,"BROKEN: GL points elsewhere",IF(OR(INDEX(Bank!$F:$F,B1703)&lt;&gt;"Y",INDEX(GL!$F:$F,I1703)&lt;&gt;"Y"),"BROKEN: Status not Y","OK")))))</f>
        <v/>
      </c>
    </row>
    <row r="1704" customFormat="false" ht="15" hidden="false" customHeight="false" outlineLevel="0" collapsed="false">
      <c r="A1704" s="41"/>
      <c r="B1704" s="5" t="n">
        <f aca="false">IF(A1704="",0,IFERROR(MATCH(A1704,Bank!$A:$A,0),0))</f>
        <v>0</v>
      </c>
      <c r="C1704" s="5" t="str">
        <f aca="false">IF(B1704=0,"",IF(INDEX(Bank!$G:$G,B1704)="","",INDEX(Bank!$G:$G,B1704)))</f>
        <v/>
      </c>
      <c r="D1704" s="5" t="str">
        <f aca="false">IF(B1704=0,"",IF(INDEX(Bank!$J:$J,B1704)="","",INDEX(Bank!$J:$J,B1704)))</f>
        <v/>
      </c>
      <c r="E1704" s="32" t="str">
        <f aca="false">IF(B1704=0,"",INDEX(Bank!$B:$B,B1704))</f>
        <v/>
      </c>
      <c r="F1704" s="5" t="str">
        <f aca="false">IF(B1704=0,"",IF(INDEX(Bank!$C:$C,B1704)="","",INDEX(Bank!$C:$C,B1704)))</f>
        <v/>
      </c>
      <c r="G1704" s="19" t="str">
        <f aca="false">IF(B1704=0,"",INDEX(Bank!$E:$E,B1704))</f>
        <v/>
      </c>
      <c r="H1704" s="5" t="str">
        <f aca="false">IF(B1704=0,"",IF(INDEX(Bank!$H:$H,B1704)="","",INDEX(Bank!$H:$H,B1704)))</f>
        <v/>
      </c>
      <c r="I1704" s="5" t="n">
        <f aca="false">IF(H1704="",0,IFERROR(MATCH(H1704,GL!$A:$A,0),0))</f>
        <v>0</v>
      </c>
      <c r="J1704" s="32" t="str">
        <f aca="false">IF(I1704=0,"",INDEX(GL!$B:$B,I1704))</f>
        <v/>
      </c>
      <c r="K1704" s="5" t="str">
        <f aca="false">IF(I1704=0,"",IF(INDEX(GL!$C:$C,I1704)="","",INDEX(GL!$C:$C,I1704)))</f>
        <v/>
      </c>
      <c r="L1704" s="19" t="str">
        <f aca="false">IF(I1704=0,"",INDEX(GL!$E:$E,I1704))</f>
        <v/>
      </c>
      <c r="M1704" s="19" t="str">
        <f aca="false">IF(OR(B1704=0,I1704=0),"",ROUND(G1704-L1704,2))</f>
        <v/>
      </c>
      <c r="N1704" s="5" t="str">
        <f aca="false">IF(A1704="","",IF(B1704=0,"NOT FOUND: bank ID",IF(I1704=0,"NOT FOUND: GL ID",IF(INDEX(GL!$H:$H,I1704)&lt;&gt;A1704,"BROKEN: GL points elsewhere",IF(OR(INDEX(Bank!$F:$F,B1704)&lt;&gt;"Y",INDEX(GL!$F:$F,I1704)&lt;&gt;"Y"),"BROKEN: Status not Y","OK")))))</f>
        <v/>
      </c>
    </row>
    <row r="1705" customFormat="false" ht="15" hidden="false" customHeight="false" outlineLevel="0" collapsed="false">
      <c r="A1705" s="41"/>
      <c r="B1705" s="5" t="n">
        <f aca="false">IF(A1705="",0,IFERROR(MATCH(A1705,Bank!$A:$A,0),0))</f>
        <v>0</v>
      </c>
      <c r="C1705" s="5" t="str">
        <f aca="false">IF(B1705=0,"",IF(INDEX(Bank!$G:$G,B1705)="","",INDEX(Bank!$G:$G,B1705)))</f>
        <v/>
      </c>
      <c r="D1705" s="5" t="str">
        <f aca="false">IF(B1705=0,"",IF(INDEX(Bank!$J:$J,B1705)="","",INDEX(Bank!$J:$J,B1705)))</f>
        <v/>
      </c>
      <c r="E1705" s="32" t="str">
        <f aca="false">IF(B1705=0,"",INDEX(Bank!$B:$B,B1705))</f>
        <v/>
      </c>
      <c r="F1705" s="5" t="str">
        <f aca="false">IF(B1705=0,"",IF(INDEX(Bank!$C:$C,B1705)="","",INDEX(Bank!$C:$C,B1705)))</f>
        <v/>
      </c>
      <c r="G1705" s="19" t="str">
        <f aca="false">IF(B1705=0,"",INDEX(Bank!$E:$E,B1705))</f>
        <v/>
      </c>
      <c r="H1705" s="5" t="str">
        <f aca="false">IF(B1705=0,"",IF(INDEX(Bank!$H:$H,B1705)="","",INDEX(Bank!$H:$H,B1705)))</f>
        <v/>
      </c>
      <c r="I1705" s="5" t="n">
        <f aca="false">IF(H1705="",0,IFERROR(MATCH(H1705,GL!$A:$A,0),0))</f>
        <v>0</v>
      </c>
      <c r="J1705" s="32" t="str">
        <f aca="false">IF(I1705=0,"",INDEX(GL!$B:$B,I1705))</f>
        <v/>
      </c>
      <c r="K1705" s="5" t="str">
        <f aca="false">IF(I1705=0,"",IF(INDEX(GL!$C:$C,I1705)="","",INDEX(GL!$C:$C,I1705)))</f>
        <v/>
      </c>
      <c r="L1705" s="19" t="str">
        <f aca="false">IF(I1705=0,"",INDEX(GL!$E:$E,I1705))</f>
        <v/>
      </c>
      <c r="M1705" s="19" t="str">
        <f aca="false">IF(OR(B1705=0,I1705=0),"",ROUND(G1705-L1705,2))</f>
        <v/>
      </c>
      <c r="N1705" s="5" t="str">
        <f aca="false">IF(A1705="","",IF(B1705=0,"NOT FOUND: bank ID",IF(I1705=0,"NOT FOUND: GL ID",IF(INDEX(GL!$H:$H,I1705)&lt;&gt;A1705,"BROKEN: GL points elsewhere",IF(OR(INDEX(Bank!$F:$F,B1705)&lt;&gt;"Y",INDEX(GL!$F:$F,I1705)&lt;&gt;"Y"),"BROKEN: Status not Y","OK")))))</f>
        <v/>
      </c>
    </row>
    <row r="1706" customFormat="false" ht="15" hidden="false" customHeight="false" outlineLevel="0" collapsed="false">
      <c r="A1706" s="41"/>
      <c r="B1706" s="5" t="n">
        <f aca="false">IF(A1706="",0,IFERROR(MATCH(A1706,Bank!$A:$A,0),0))</f>
        <v>0</v>
      </c>
      <c r="C1706" s="5" t="str">
        <f aca="false">IF(B1706=0,"",IF(INDEX(Bank!$G:$G,B1706)="","",INDEX(Bank!$G:$G,B1706)))</f>
        <v/>
      </c>
      <c r="D1706" s="5" t="str">
        <f aca="false">IF(B1706=0,"",IF(INDEX(Bank!$J:$J,B1706)="","",INDEX(Bank!$J:$J,B1706)))</f>
        <v/>
      </c>
      <c r="E1706" s="32" t="str">
        <f aca="false">IF(B1706=0,"",INDEX(Bank!$B:$B,B1706))</f>
        <v/>
      </c>
      <c r="F1706" s="5" t="str">
        <f aca="false">IF(B1706=0,"",IF(INDEX(Bank!$C:$C,B1706)="","",INDEX(Bank!$C:$C,B1706)))</f>
        <v/>
      </c>
      <c r="G1706" s="19" t="str">
        <f aca="false">IF(B1706=0,"",INDEX(Bank!$E:$E,B1706))</f>
        <v/>
      </c>
      <c r="H1706" s="5" t="str">
        <f aca="false">IF(B1706=0,"",IF(INDEX(Bank!$H:$H,B1706)="","",INDEX(Bank!$H:$H,B1706)))</f>
        <v/>
      </c>
      <c r="I1706" s="5" t="n">
        <f aca="false">IF(H1706="",0,IFERROR(MATCH(H1706,GL!$A:$A,0),0))</f>
        <v>0</v>
      </c>
      <c r="J1706" s="32" t="str">
        <f aca="false">IF(I1706=0,"",INDEX(GL!$B:$B,I1706))</f>
        <v/>
      </c>
      <c r="K1706" s="5" t="str">
        <f aca="false">IF(I1706=0,"",IF(INDEX(GL!$C:$C,I1706)="","",INDEX(GL!$C:$C,I1706)))</f>
        <v/>
      </c>
      <c r="L1706" s="19" t="str">
        <f aca="false">IF(I1706=0,"",INDEX(GL!$E:$E,I1706))</f>
        <v/>
      </c>
      <c r="M1706" s="19" t="str">
        <f aca="false">IF(OR(B1706=0,I1706=0),"",ROUND(G1706-L1706,2))</f>
        <v/>
      </c>
      <c r="N1706" s="5" t="str">
        <f aca="false">IF(A1706="","",IF(B1706=0,"NOT FOUND: bank ID",IF(I1706=0,"NOT FOUND: GL ID",IF(INDEX(GL!$H:$H,I1706)&lt;&gt;A1706,"BROKEN: GL points elsewhere",IF(OR(INDEX(Bank!$F:$F,B1706)&lt;&gt;"Y",INDEX(GL!$F:$F,I1706)&lt;&gt;"Y"),"BROKEN: Status not Y","OK")))))</f>
        <v/>
      </c>
    </row>
    <row r="1707" customFormat="false" ht="15" hidden="false" customHeight="false" outlineLevel="0" collapsed="false">
      <c r="A1707" s="41"/>
      <c r="B1707" s="5" t="n">
        <f aca="false">IF(A1707="",0,IFERROR(MATCH(A1707,Bank!$A:$A,0),0))</f>
        <v>0</v>
      </c>
      <c r="C1707" s="5" t="str">
        <f aca="false">IF(B1707=0,"",IF(INDEX(Bank!$G:$G,B1707)="","",INDEX(Bank!$G:$G,B1707)))</f>
        <v/>
      </c>
      <c r="D1707" s="5" t="str">
        <f aca="false">IF(B1707=0,"",IF(INDEX(Bank!$J:$J,B1707)="","",INDEX(Bank!$J:$J,B1707)))</f>
        <v/>
      </c>
      <c r="E1707" s="32" t="str">
        <f aca="false">IF(B1707=0,"",INDEX(Bank!$B:$B,B1707))</f>
        <v/>
      </c>
      <c r="F1707" s="5" t="str">
        <f aca="false">IF(B1707=0,"",IF(INDEX(Bank!$C:$C,B1707)="","",INDEX(Bank!$C:$C,B1707)))</f>
        <v/>
      </c>
      <c r="G1707" s="19" t="str">
        <f aca="false">IF(B1707=0,"",INDEX(Bank!$E:$E,B1707))</f>
        <v/>
      </c>
      <c r="H1707" s="5" t="str">
        <f aca="false">IF(B1707=0,"",IF(INDEX(Bank!$H:$H,B1707)="","",INDEX(Bank!$H:$H,B1707)))</f>
        <v/>
      </c>
      <c r="I1707" s="5" t="n">
        <f aca="false">IF(H1707="",0,IFERROR(MATCH(H1707,GL!$A:$A,0),0))</f>
        <v>0</v>
      </c>
      <c r="J1707" s="32" t="str">
        <f aca="false">IF(I1707=0,"",INDEX(GL!$B:$B,I1707))</f>
        <v/>
      </c>
      <c r="K1707" s="5" t="str">
        <f aca="false">IF(I1707=0,"",IF(INDEX(GL!$C:$C,I1707)="","",INDEX(GL!$C:$C,I1707)))</f>
        <v/>
      </c>
      <c r="L1707" s="19" t="str">
        <f aca="false">IF(I1707=0,"",INDEX(GL!$E:$E,I1707))</f>
        <v/>
      </c>
      <c r="M1707" s="19" t="str">
        <f aca="false">IF(OR(B1707=0,I1707=0),"",ROUND(G1707-L1707,2))</f>
        <v/>
      </c>
      <c r="N1707" s="5" t="str">
        <f aca="false">IF(A1707="","",IF(B1707=0,"NOT FOUND: bank ID",IF(I1707=0,"NOT FOUND: GL ID",IF(INDEX(GL!$H:$H,I1707)&lt;&gt;A1707,"BROKEN: GL points elsewhere",IF(OR(INDEX(Bank!$F:$F,B1707)&lt;&gt;"Y",INDEX(GL!$F:$F,I1707)&lt;&gt;"Y"),"BROKEN: Status not Y","OK")))))</f>
        <v/>
      </c>
    </row>
    <row r="1708" customFormat="false" ht="15" hidden="false" customHeight="false" outlineLevel="0" collapsed="false">
      <c r="A1708" s="41"/>
      <c r="B1708" s="5" t="n">
        <f aca="false">IF(A1708="",0,IFERROR(MATCH(A1708,Bank!$A:$A,0),0))</f>
        <v>0</v>
      </c>
      <c r="C1708" s="5" t="str">
        <f aca="false">IF(B1708=0,"",IF(INDEX(Bank!$G:$G,B1708)="","",INDEX(Bank!$G:$G,B1708)))</f>
        <v/>
      </c>
      <c r="D1708" s="5" t="str">
        <f aca="false">IF(B1708=0,"",IF(INDEX(Bank!$J:$J,B1708)="","",INDEX(Bank!$J:$J,B1708)))</f>
        <v/>
      </c>
      <c r="E1708" s="32" t="str">
        <f aca="false">IF(B1708=0,"",INDEX(Bank!$B:$B,B1708))</f>
        <v/>
      </c>
      <c r="F1708" s="5" t="str">
        <f aca="false">IF(B1708=0,"",IF(INDEX(Bank!$C:$C,B1708)="","",INDEX(Bank!$C:$C,B1708)))</f>
        <v/>
      </c>
      <c r="G1708" s="19" t="str">
        <f aca="false">IF(B1708=0,"",INDEX(Bank!$E:$E,B1708))</f>
        <v/>
      </c>
      <c r="H1708" s="5" t="str">
        <f aca="false">IF(B1708=0,"",IF(INDEX(Bank!$H:$H,B1708)="","",INDEX(Bank!$H:$H,B1708)))</f>
        <v/>
      </c>
      <c r="I1708" s="5" t="n">
        <f aca="false">IF(H1708="",0,IFERROR(MATCH(H1708,GL!$A:$A,0),0))</f>
        <v>0</v>
      </c>
      <c r="J1708" s="32" t="str">
        <f aca="false">IF(I1708=0,"",INDEX(GL!$B:$B,I1708))</f>
        <v/>
      </c>
      <c r="K1708" s="5" t="str">
        <f aca="false">IF(I1708=0,"",IF(INDEX(GL!$C:$C,I1708)="","",INDEX(GL!$C:$C,I1708)))</f>
        <v/>
      </c>
      <c r="L1708" s="19" t="str">
        <f aca="false">IF(I1708=0,"",INDEX(GL!$E:$E,I1708))</f>
        <v/>
      </c>
      <c r="M1708" s="19" t="str">
        <f aca="false">IF(OR(B1708=0,I1708=0),"",ROUND(G1708-L1708,2))</f>
        <v/>
      </c>
      <c r="N1708" s="5" t="str">
        <f aca="false">IF(A1708="","",IF(B1708=0,"NOT FOUND: bank ID",IF(I1708=0,"NOT FOUND: GL ID",IF(INDEX(GL!$H:$H,I1708)&lt;&gt;A1708,"BROKEN: GL points elsewhere",IF(OR(INDEX(Bank!$F:$F,B1708)&lt;&gt;"Y",INDEX(GL!$F:$F,I1708)&lt;&gt;"Y"),"BROKEN: Status not Y","OK")))))</f>
        <v/>
      </c>
    </row>
    <row r="1709" customFormat="false" ht="15" hidden="false" customHeight="false" outlineLevel="0" collapsed="false">
      <c r="A1709" s="41"/>
      <c r="B1709" s="5" t="n">
        <f aca="false">IF(A1709="",0,IFERROR(MATCH(A1709,Bank!$A:$A,0),0))</f>
        <v>0</v>
      </c>
      <c r="C1709" s="5" t="str">
        <f aca="false">IF(B1709=0,"",IF(INDEX(Bank!$G:$G,B1709)="","",INDEX(Bank!$G:$G,B1709)))</f>
        <v/>
      </c>
      <c r="D1709" s="5" t="str">
        <f aca="false">IF(B1709=0,"",IF(INDEX(Bank!$J:$J,B1709)="","",INDEX(Bank!$J:$J,B1709)))</f>
        <v/>
      </c>
      <c r="E1709" s="32" t="str">
        <f aca="false">IF(B1709=0,"",INDEX(Bank!$B:$B,B1709))</f>
        <v/>
      </c>
      <c r="F1709" s="5" t="str">
        <f aca="false">IF(B1709=0,"",IF(INDEX(Bank!$C:$C,B1709)="","",INDEX(Bank!$C:$C,B1709)))</f>
        <v/>
      </c>
      <c r="G1709" s="19" t="str">
        <f aca="false">IF(B1709=0,"",INDEX(Bank!$E:$E,B1709))</f>
        <v/>
      </c>
      <c r="H1709" s="5" t="str">
        <f aca="false">IF(B1709=0,"",IF(INDEX(Bank!$H:$H,B1709)="","",INDEX(Bank!$H:$H,B1709)))</f>
        <v/>
      </c>
      <c r="I1709" s="5" t="n">
        <f aca="false">IF(H1709="",0,IFERROR(MATCH(H1709,GL!$A:$A,0),0))</f>
        <v>0</v>
      </c>
      <c r="J1709" s="32" t="str">
        <f aca="false">IF(I1709=0,"",INDEX(GL!$B:$B,I1709))</f>
        <v/>
      </c>
      <c r="K1709" s="5" t="str">
        <f aca="false">IF(I1709=0,"",IF(INDEX(GL!$C:$C,I1709)="","",INDEX(GL!$C:$C,I1709)))</f>
        <v/>
      </c>
      <c r="L1709" s="19" t="str">
        <f aca="false">IF(I1709=0,"",INDEX(GL!$E:$E,I1709))</f>
        <v/>
      </c>
      <c r="M1709" s="19" t="str">
        <f aca="false">IF(OR(B1709=0,I1709=0),"",ROUND(G1709-L1709,2))</f>
        <v/>
      </c>
      <c r="N1709" s="5" t="str">
        <f aca="false">IF(A1709="","",IF(B1709=0,"NOT FOUND: bank ID",IF(I1709=0,"NOT FOUND: GL ID",IF(INDEX(GL!$H:$H,I1709)&lt;&gt;A1709,"BROKEN: GL points elsewhere",IF(OR(INDEX(Bank!$F:$F,B1709)&lt;&gt;"Y",INDEX(GL!$F:$F,I1709)&lt;&gt;"Y"),"BROKEN: Status not Y","OK")))))</f>
        <v/>
      </c>
    </row>
    <row r="1710" customFormat="false" ht="15" hidden="false" customHeight="false" outlineLevel="0" collapsed="false">
      <c r="A1710" s="41"/>
      <c r="B1710" s="5" t="n">
        <f aca="false">IF(A1710="",0,IFERROR(MATCH(A1710,Bank!$A:$A,0),0))</f>
        <v>0</v>
      </c>
      <c r="C1710" s="5" t="str">
        <f aca="false">IF(B1710=0,"",IF(INDEX(Bank!$G:$G,B1710)="","",INDEX(Bank!$G:$G,B1710)))</f>
        <v/>
      </c>
      <c r="D1710" s="5" t="str">
        <f aca="false">IF(B1710=0,"",IF(INDEX(Bank!$J:$J,B1710)="","",INDEX(Bank!$J:$J,B1710)))</f>
        <v/>
      </c>
      <c r="E1710" s="32" t="str">
        <f aca="false">IF(B1710=0,"",INDEX(Bank!$B:$B,B1710))</f>
        <v/>
      </c>
      <c r="F1710" s="5" t="str">
        <f aca="false">IF(B1710=0,"",IF(INDEX(Bank!$C:$C,B1710)="","",INDEX(Bank!$C:$C,B1710)))</f>
        <v/>
      </c>
      <c r="G1710" s="19" t="str">
        <f aca="false">IF(B1710=0,"",INDEX(Bank!$E:$E,B1710))</f>
        <v/>
      </c>
      <c r="H1710" s="5" t="str">
        <f aca="false">IF(B1710=0,"",IF(INDEX(Bank!$H:$H,B1710)="","",INDEX(Bank!$H:$H,B1710)))</f>
        <v/>
      </c>
      <c r="I1710" s="5" t="n">
        <f aca="false">IF(H1710="",0,IFERROR(MATCH(H1710,GL!$A:$A,0),0))</f>
        <v>0</v>
      </c>
      <c r="J1710" s="32" t="str">
        <f aca="false">IF(I1710=0,"",INDEX(GL!$B:$B,I1710))</f>
        <v/>
      </c>
      <c r="K1710" s="5" t="str">
        <f aca="false">IF(I1710=0,"",IF(INDEX(GL!$C:$C,I1710)="","",INDEX(GL!$C:$C,I1710)))</f>
        <v/>
      </c>
      <c r="L1710" s="19" t="str">
        <f aca="false">IF(I1710=0,"",INDEX(GL!$E:$E,I1710))</f>
        <v/>
      </c>
      <c r="M1710" s="19" t="str">
        <f aca="false">IF(OR(B1710=0,I1710=0),"",ROUND(G1710-L1710,2))</f>
        <v/>
      </c>
      <c r="N1710" s="5" t="str">
        <f aca="false">IF(A1710="","",IF(B1710=0,"NOT FOUND: bank ID",IF(I1710=0,"NOT FOUND: GL ID",IF(INDEX(GL!$H:$H,I1710)&lt;&gt;A1710,"BROKEN: GL points elsewhere",IF(OR(INDEX(Bank!$F:$F,B1710)&lt;&gt;"Y",INDEX(GL!$F:$F,I1710)&lt;&gt;"Y"),"BROKEN: Status not Y","OK")))))</f>
        <v/>
      </c>
    </row>
    <row r="1711" customFormat="false" ht="15" hidden="false" customHeight="false" outlineLevel="0" collapsed="false">
      <c r="A1711" s="41"/>
      <c r="B1711" s="5" t="n">
        <f aca="false">IF(A1711="",0,IFERROR(MATCH(A1711,Bank!$A:$A,0),0))</f>
        <v>0</v>
      </c>
      <c r="C1711" s="5" t="str">
        <f aca="false">IF(B1711=0,"",IF(INDEX(Bank!$G:$G,B1711)="","",INDEX(Bank!$G:$G,B1711)))</f>
        <v/>
      </c>
      <c r="D1711" s="5" t="str">
        <f aca="false">IF(B1711=0,"",IF(INDEX(Bank!$J:$J,B1711)="","",INDEX(Bank!$J:$J,B1711)))</f>
        <v/>
      </c>
      <c r="E1711" s="32" t="str">
        <f aca="false">IF(B1711=0,"",INDEX(Bank!$B:$B,B1711))</f>
        <v/>
      </c>
      <c r="F1711" s="5" t="str">
        <f aca="false">IF(B1711=0,"",IF(INDEX(Bank!$C:$C,B1711)="","",INDEX(Bank!$C:$C,B1711)))</f>
        <v/>
      </c>
      <c r="G1711" s="19" t="str">
        <f aca="false">IF(B1711=0,"",INDEX(Bank!$E:$E,B1711))</f>
        <v/>
      </c>
      <c r="H1711" s="5" t="str">
        <f aca="false">IF(B1711=0,"",IF(INDEX(Bank!$H:$H,B1711)="","",INDEX(Bank!$H:$H,B1711)))</f>
        <v/>
      </c>
      <c r="I1711" s="5" t="n">
        <f aca="false">IF(H1711="",0,IFERROR(MATCH(H1711,GL!$A:$A,0),0))</f>
        <v>0</v>
      </c>
      <c r="J1711" s="32" t="str">
        <f aca="false">IF(I1711=0,"",INDEX(GL!$B:$B,I1711))</f>
        <v/>
      </c>
      <c r="K1711" s="5" t="str">
        <f aca="false">IF(I1711=0,"",IF(INDEX(GL!$C:$C,I1711)="","",INDEX(GL!$C:$C,I1711)))</f>
        <v/>
      </c>
      <c r="L1711" s="19" t="str">
        <f aca="false">IF(I1711=0,"",INDEX(GL!$E:$E,I1711))</f>
        <v/>
      </c>
      <c r="M1711" s="19" t="str">
        <f aca="false">IF(OR(B1711=0,I1711=0),"",ROUND(G1711-L1711,2))</f>
        <v/>
      </c>
      <c r="N1711" s="5" t="str">
        <f aca="false">IF(A1711="","",IF(B1711=0,"NOT FOUND: bank ID",IF(I1711=0,"NOT FOUND: GL ID",IF(INDEX(GL!$H:$H,I1711)&lt;&gt;A1711,"BROKEN: GL points elsewhere",IF(OR(INDEX(Bank!$F:$F,B1711)&lt;&gt;"Y",INDEX(GL!$F:$F,I1711)&lt;&gt;"Y"),"BROKEN: Status not Y","OK")))))</f>
        <v/>
      </c>
    </row>
    <row r="1712" customFormat="false" ht="15" hidden="false" customHeight="false" outlineLevel="0" collapsed="false">
      <c r="A1712" s="41"/>
      <c r="B1712" s="5" t="n">
        <f aca="false">IF(A1712="",0,IFERROR(MATCH(A1712,Bank!$A:$A,0),0))</f>
        <v>0</v>
      </c>
      <c r="C1712" s="5" t="str">
        <f aca="false">IF(B1712=0,"",IF(INDEX(Bank!$G:$G,B1712)="","",INDEX(Bank!$G:$G,B1712)))</f>
        <v/>
      </c>
      <c r="D1712" s="5" t="str">
        <f aca="false">IF(B1712=0,"",IF(INDEX(Bank!$J:$J,B1712)="","",INDEX(Bank!$J:$J,B1712)))</f>
        <v/>
      </c>
      <c r="E1712" s="32" t="str">
        <f aca="false">IF(B1712=0,"",INDEX(Bank!$B:$B,B1712))</f>
        <v/>
      </c>
      <c r="F1712" s="5" t="str">
        <f aca="false">IF(B1712=0,"",IF(INDEX(Bank!$C:$C,B1712)="","",INDEX(Bank!$C:$C,B1712)))</f>
        <v/>
      </c>
      <c r="G1712" s="19" t="str">
        <f aca="false">IF(B1712=0,"",INDEX(Bank!$E:$E,B1712))</f>
        <v/>
      </c>
      <c r="H1712" s="5" t="str">
        <f aca="false">IF(B1712=0,"",IF(INDEX(Bank!$H:$H,B1712)="","",INDEX(Bank!$H:$H,B1712)))</f>
        <v/>
      </c>
      <c r="I1712" s="5" t="n">
        <f aca="false">IF(H1712="",0,IFERROR(MATCH(H1712,GL!$A:$A,0),0))</f>
        <v>0</v>
      </c>
      <c r="J1712" s="32" t="str">
        <f aca="false">IF(I1712=0,"",INDEX(GL!$B:$B,I1712))</f>
        <v/>
      </c>
      <c r="K1712" s="5" t="str">
        <f aca="false">IF(I1712=0,"",IF(INDEX(GL!$C:$C,I1712)="","",INDEX(GL!$C:$C,I1712)))</f>
        <v/>
      </c>
      <c r="L1712" s="19" t="str">
        <f aca="false">IF(I1712=0,"",INDEX(GL!$E:$E,I1712))</f>
        <v/>
      </c>
      <c r="M1712" s="19" t="str">
        <f aca="false">IF(OR(B1712=0,I1712=0),"",ROUND(G1712-L1712,2))</f>
        <v/>
      </c>
      <c r="N1712" s="5" t="str">
        <f aca="false">IF(A1712="","",IF(B1712=0,"NOT FOUND: bank ID",IF(I1712=0,"NOT FOUND: GL ID",IF(INDEX(GL!$H:$H,I1712)&lt;&gt;A1712,"BROKEN: GL points elsewhere",IF(OR(INDEX(Bank!$F:$F,B1712)&lt;&gt;"Y",INDEX(GL!$F:$F,I1712)&lt;&gt;"Y"),"BROKEN: Status not Y","OK")))))</f>
        <v/>
      </c>
    </row>
    <row r="1713" customFormat="false" ht="15" hidden="false" customHeight="false" outlineLevel="0" collapsed="false">
      <c r="A1713" s="41"/>
      <c r="B1713" s="5" t="n">
        <f aca="false">IF(A1713="",0,IFERROR(MATCH(A1713,Bank!$A:$A,0),0))</f>
        <v>0</v>
      </c>
      <c r="C1713" s="5" t="str">
        <f aca="false">IF(B1713=0,"",IF(INDEX(Bank!$G:$G,B1713)="","",INDEX(Bank!$G:$G,B1713)))</f>
        <v/>
      </c>
      <c r="D1713" s="5" t="str">
        <f aca="false">IF(B1713=0,"",IF(INDEX(Bank!$J:$J,B1713)="","",INDEX(Bank!$J:$J,B1713)))</f>
        <v/>
      </c>
      <c r="E1713" s="32" t="str">
        <f aca="false">IF(B1713=0,"",INDEX(Bank!$B:$B,B1713))</f>
        <v/>
      </c>
      <c r="F1713" s="5" t="str">
        <f aca="false">IF(B1713=0,"",IF(INDEX(Bank!$C:$C,B1713)="","",INDEX(Bank!$C:$C,B1713)))</f>
        <v/>
      </c>
      <c r="G1713" s="19" t="str">
        <f aca="false">IF(B1713=0,"",INDEX(Bank!$E:$E,B1713))</f>
        <v/>
      </c>
      <c r="H1713" s="5" t="str">
        <f aca="false">IF(B1713=0,"",IF(INDEX(Bank!$H:$H,B1713)="","",INDEX(Bank!$H:$H,B1713)))</f>
        <v/>
      </c>
      <c r="I1713" s="5" t="n">
        <f aca="false">IF(H1713="",0,IFERROR(MATCH(H1713,GL!$A:$A,0),0))</f>
        <v>0</v>
      </c>
      <c r="J1713" s="32" t="str">
        <f aca="false">IF(I1713=0,"",INDEX(GL!$B:$B,I1713))</f>
        <v/>
      </c>
      <c r="K1713" s="5" t="str">
        <f aca="false">IF(I1713=0,"",IF(INDEX(GL!$C:$C,I1713)="","",INDEX(GL!$C:$C,I1713)))</f>
        <v/>
      </c>
      <c r="L1713" s="19" t="str">
        <f aca="false">IF(I1713=0,"",INDEX(GL!$E:$E,I1713))</f>
        <v/>
      </c>
      <c r="M1713" s="19" t="str">
        <f aca="false">IF(OR(B1713=0,I1713=0),"",ROUND(G1713-L1713,2))</f>
        <v/>
      </c>
      <c r="N1713" s="5" t="str">
        <f aca="false">IF(A1713="","",IF(B1713=0,"NOT FOUND: bank ID",IF(I1713=0,"NOT FOUND: GL ID",IF(INDEX(GL!$H:$H,I1713)&lt;&gt;A1713,"BROKEN: GL points elsewhere",IF(OR(INDEX(Bank!$F:$F,B1713)&lt;&gt;"Y",INDEX(GL!$F:$F,I1713)&lt;&gt;"Y"),"BROKEN: Status not Y","OK")))))</f>
        <v/>
      </c>
    </row>
    <row r="1714" customFormat="false" ht="15" hidden="false" customHeight="false" outlineLevel="0" collapsed="false">
      <c r="A1714" s="41"/>
      <c r="B1714" s="5" t="n">
        <f aca="false">IF(A1714="",0,IFERROR(MATCH(A1714,Bank!$A:$A,0),0))</f>
        <v>0</v>
      </c>
      <c r="C1714" s="5" t="str">
        <f aca="false">IF(B1714=0,"",IF(INDEX(Bank!$G:$G,B1714)="","",INDEX(Bank!$G:$G,B1714)))</f>
        <v/>
      </c>
      <c r="D1714" s="5" t="str">
        <f aca="false">IF(B1714=0,"",IF(INDEX(Bank!$J:$J,B1714)="","",INDEX(Bank!$J:$J,B1714)))</f>
        <v/>
      </c>
      <c r="E1714" s="32" t="str">
        <f aca="false">IF(B1714=0,"",INDEX(Bank!$B:$B,B1714))</f>
        <v/>
      </c>
      <c r="F1714" s="5" t="str">
        <f aca="false">IF(B1714=0,"",IF(INDEX(Bank!$C:$C,B1714)="","",INDEX(Bank!$C:$C,B1714)))</f>
        <v/>
      </c>
      <c r="G1714" s="19" t="str">
        <f aca="false">IF(B1714=0,"",INDEX(Bank!$E:$E,B1714))</f>
        <v/>
      </c>
      <c r="H1714" s="5" t="str">
        <f aca="false">IF(B1714=0,"",IF(INDEX(Bank!$H:$H,B1714)="","",INDEX(Bank!$H:$H,B1714)))</f>
        <v/>
      </c>
      <c r="I1714" s="5" t="n">
        <f aca="false">IF(H1714="",0,IFERROR(MATCH(H1714,GL!$A:$A,0),0))</f>
        <v>0</v>
      </c>
      <c r="J1714" s="32" t="str">
        <f aca="false">IF(I1714=0,"",INDEX(GL!$B:$B,I1714))</f>
        <v/>
      </c>
      <c r="K1714" s="5" t="str">
        <f aca="false">IF(I1714=0,"",IF(INDEX(GL!$C:$C,I1714)="","",INDEX(GL!$C:$C,I1714)))</f>
        <v/>
      </c>
      <c r="L1714" s="19" t="str">
        <f aca="false">IF(I1714=0,"",INDEX(GL!$E:$E,I1714))</f>
        <v/>
      </c>
      <c r="M1714" s="19" t="str">
        <f aca="false">IF(OR(B1714=0,I1714=0),"",ROUND(G1714-L1714,2))</f>
        <v/>
      </c>
      <c r="N1714" s="5" t="str">
        <f aca="false">IF(A1714="","",IF(B1714=0,"NOT FOUND: bank ID",IF(I1714=0,"NOT FOUND: GL ID",IF(INDEX(GL!$H:$H,I1714)&lt;&gt;A1714,"BROKEN: GL points elsewhere",IF(OR(INDEX(Bank!$F:$F,B1714)&lt;&gt;"Y",INDEX(GL!$F:$F,I1714)&lt;&gt;"Y"),"BROKEN: Status not Y","OK")))))</f>
        <v/>
      </c>
    </row>
    <row r="1715" customFormat="false" ht="15" hidden="false" customHeight="false" outlineLevel="0" collapsed="false">
      <c r="A1715" s="41"/>
      <c r="B1715" s="5" t="n">
        <f aca="false">IF(A1715="",0,IFERROR(MATCH(A1715,Bank!$A:$A,0),0))</f>
        <v>0</v>
      </c>
      <c r="C1715" s="5" t="str">
        <f aca="false">IF(B1715=0,"",IF(INDEX(Bank!$G:$G,B1715)="","",INDEX(Bank!$G:$G,B1715)))</f>
        <v/>
      </c>
      <c r="D1715" s="5" t="str">
        <f aca="false">IF(B1715=0,"",IF(INDEX(Bank!$J:$J,B1715)="","",INDEX(Bank!$J:$J,B1715)))</f>
        <v/>
      </c>
      <c r="E1715" s="32" t="str">
        <f aca="false">IF(B1715=0,"",INDEX(Bank!$B:$B,B1715))</f>
        <v/>
      </c>
      <c r="F1715" s="5" t="str">
        <f aca="false">IF(B1715=0,"",IF(INDEX(Bank!$C:$C,B1715)="","",INDEX(Bank!$C:$C,B1715)))</f>
        <v/>
      </c>
      <c r="G1715" s="19" t="str">
        <f aca="false">IF(B1715=0,"",INDEX(Bank!$E:$E,B1715))</f>
        <v/>
      </c>
      <c r="H1715" s="5" t="str">
        <f aca="false">IF(B1715=0,"",IF(INDEX(Bank!$H:$H,B1715)="","",INDEX(Bank!$H:$H,B1715)))</f>
        <v/>
      </c>
      <c r="I1715" s="5" t="n">
        <f aca="false">IF(H1715="",0,IFERROR(MATCH(H1715,GL!$A:$A,0),0))</f>
        <v>0</v>
      </c>
      <c r="J1715" s="32" t="str">
        <f aca="false">IF(I1715=0,"",INDEX(GL!$B:$B,I1715))</f>
        <v/>
      </c>
      <c r="K1715" s="5" t="str">
        <f aca="false">IF(I1715=0,"",IF(INDEX(GL!$C:$C,I1715)="","",INDEX(GL!$C:$C,I1715)))</f>
        <v/>
      </c>
      <c r="L1715" s="19" t="str">
        <f aca="false">IF(I1715=0,"",INDEX(GL!$E:$E,I1715))</f>
        <v/>
      </c>
      <c r="M1715" s="19" t="str">
        <f aca="false">IF(OR(B1715=0,I1715=0),"",ROUND(G1715-L1715,2))</f>
        <v/>
      </c>
      <c r="N1715" s="5" t="str">
        <f aca="false">IF(A1715="","",IF(B1715=0,"NOT FOUND: bank ID",IF(I1715=0,"NOT FOUND: GL ID",IF(INDEX(GL!$H:$H,I1715)&lt;&gt;A1715,"BROKEN: GL points elsewhere",IF(OR(INDEX(Bank!$F:$F,B1715)&lt;&gt;"Y",INDEX(GL!$F:$F,I1715)&lt;&gt;"Y"),"BROKEN: Status not Y","OK")))))</f>
        <v/>
      </c>
    </row>
    <row r="1716" customFormat="false" ht="15" hidden="false" customHeight="false" outlineLevel="0" collapsed="false">
      <c r="A1716" s="41"/>
      <c r="B1716" s="5" t="n">
        <f aca="false">IF(A1716="",0,IFERROR(MATCH(A1716,Bank!$A:$A,0),0))</f>
        <v>0</v>
      </c>
      <c r="C1716" s="5" t="str">
        <f aca="false">IF(B1716=0,"",IF(INDEX(Bank!$G:$G,B1716)="","",INDEX(Bank!$G:$G,B1716)))</f>
        <v/>
      </c>
      <c r="D1716" s="5" t="str">
        <f aca="false">IF(B1716=0,"",IF(INDEX(Bank!$J:$J,B1716)="","",INDEX(Bank!$J:$J,B1716)))</f>
        <v/>
      </c>
      <c r="E1716" s="32" t="str">
        <f aca="false">IF(B1716=0,"",INDEX(Bank!$B:$B,B1716))</f>
        <v/>
      </c>
      <c r="F1716" s="5" t="str">
        <f aca="false">IF(B1716=0,"",IF(INDEX(Bank!$C:$C,B1716)="","",INDEX(Bank!$C:$C,B1716)))</f>
        <v/>
      </c>
      <c r="G1716" s="19" t="str">
        <f aca="false">IF(B1716=0,"",INDEX(Bank!$E:$E,B1716))</f>
        <v/>
      </c>
      <c r="H1716" s="5" t="str">
        <f aca="false">IF(B1716=0,"",IF(INDEX(Bank!$H:$H,B1716)="","",INDEX(Bank!$H:$H,B1716)))</f>
        <v/>
      </c>
      <c r="I1716" s="5" t="n">
        <f aca="false">IF(H1716="",0,IFERROR(MATCH(H1716,GL!$A:$A,0),0))</f>
        <v>0</v>
      </c>
      <c r="J1716" s="32" t="str">
        <f aca="false">IF(I1716=0,"",INDEX(GL!$B:$B,I1716))</f>
        <v/>
      </c>
      <c r="K1716" s="5" t="str">
        <f aca="false">IF(I1716=0,"",IF(INDEX(GL!$C:$C,I1716)="","",INDEX(GL!$C:$C,I1716)))</f>
        <v/>
      </c>
      <c r="L1716" s="19" t="str">
        <f aca="false">IF(I1716=0,"",INDEX(GL!$E:$E,I1716))</f>
        <v/>
      </c>
      <c r="M1716" s="19" t="str">
        <f aca="false">IF(OR(B1716=0,I1716=0),"",ROUND(G1716-L1716,2))</f>
        <v/>
      </c>
      <c r="N1716" s="5" t="str">
        <f aca="false">IF(A1716="","",IF(B1716=0,"NOT FOUND: bank ID",IF(I1716=0,"NOT FOUND: GL ID",IF(INDEX(GL!$H:$H,I1716)&lt;&gt;A1716,"BROKEN: GL points elsewhere",IF(OR(INDEX(Bank!$F:$F,B1716)&lt;&gt;"Y",INDEX(GL!$F:$F,I1716)&lt;&gt;"Y"),"BROKEN: Status not Y","OK")))))</f>
        <v/>
      </c>
    </row>
    <row r="1717" customFormat="false" ht="15" hidden="false" customHeight="false" outlineLevel="0" collapsed="false">
      <c r="A1717" s="41"/>
      <c r="B1717" s="5" t="n">
        <f aca="false">IF(A1717="",0,IFERROR(MATCH(A1717,Bank!$A:$A,0),0))</f>
        <v>0</v>
      </c>
      <c r="C1717" s="5" t="str">
        <f aca="false">IF(B1717=0,"",IF(INDEX(Bank!$G:$G,B1717)="","",INDEX(Bank!$G:$G,B1717)))</f>
        <v/>
      </c>
      <c r="D1717" s="5" t="str">
        <f aca="false">IF(B1717=0,"",IF(INDEX(Bank!$J:$J,B1717)="","",INDEX(Bank!$J:$J,B1717)))</f>
        <v/>
      </c>
      <c r="E1717" s="32" t="str">
        <f aca="false">IF(B1717=0,"",INDEX(Bank!$B:$B,B1717))</f>
        <v/>
      </c>
      <c r="F1717" s="5" t="str">
        <f aca="false">IF(B1717=0,"",IF(INDEX(Bank!$C:$C,B1717)="","",INDEX(Bank!$C:$C,B1717)))</f>
        <v/>
      </c>
      <c r="G1717" s="19" t="str">
        <f aca="false">IF(B1717=0,"",INDEX(Bank!$E:$E,B1717))</f>
        <v/>
      </c>
      <c r="H1717" s="5" t="str">
        <f aca="false">IF(B1717=0,"",IF(INDEX(Bank!$H:$H,B1717)="","",INDEX(Bank!$H:$H,B1717)))</f>
        <v/>
      </c>
      <c r="I1717" s="5" t="n">
        <f aca="false">IF(H1717="",0,IFERROR(MATCH(H1717,GL!$A:$A,0),0))</f>
        <v>0</v>
      </c>
      <c r="J1717" s="32" t="str">
        <f aca="false">IF(I1717=0,"",INDEX(GL!$B:$B,I1717))</f>
        <v/>
      </c>
      <c r="K1717" s="5" t="str">
        <f aca="false">IF(I1717=0,"",IF(INDEX(GL!$C:$C,I1717)="","",INDEX(GL!$C:$C,I1717)))</f>
        <v/>
      </c>
      <c r="L1717" s="19" t="str">
        <f aca="false">IF(I1717=0,"",INDEX(GL!$E:$E,I1717))</f>
        <v/>
      </c>
      <c r="M1717" s="19" t="str">
        <f aca="false">IF(OR(B1717=0,I1717=0),"",ROUND(G1717-L1717,2))</f>
        <v/>
      </c>
      <c r="N1717" s="5" t="str">
        <f aca="false">IF(A1717="","",IF(B1717=0,"NOT FOUND: bank ID",IF(I1717=0,"NOT FOUND: GL ID",IF(INDEX(GL!$H:$H,I1717)&lt;&gt;A1717,"BROKEN: GL points elsewhere",IF(OR(INDEX(Bank!$F:$F,B1717)&lt;&gt;"Y",INDEX(GL!$F:$F,I1717)&lt;&gt;"Y"),"BROKEN: Status not Y","OK")))))</f>
        <v/>
      </c>
    </row>
    <row r="1718" customFormat="false" ht="15" hidden="false" customHeight="false" outlineLevel="0" collapsed="false">
      <c r="A1718" s="41"/>
      <c r="B1718" s="5" t="n">
        <f aca="false">IF(A1718="",0,IFERROR(MATCH(A1718,Bank!$A:$A,0),0))</f>
        <v>0</v>
      </c>
      <c r="C1718" s="5" t="str">
        <f aca="false">IF(B1718=0,"",IF(INDEX(Bank!$G:$G,B1718)="","",INDEX(Bank!$G:$G,B1718)))</f>
        <v/>
      </c>
      <c r="D1718" s="5" t="str">
        <f aca="false">IF(B1718=0,"",IF(INDEX(Bank!$J:$J,B1718)="","",INDEX(Bank!$J:$J,B1718)))</f>
        <v/>
      </c>
      <c r="E1718" s="32" t="str">
        <f aca="false">IF(B1718=0,"",INDEX(Bank!$B:$B,B1718))</f>
        <v/>
      </c>
      <c r="F1718" s="5" t="str">
        <f aca="false">IF(B1718=0,"",IF(INDEX(Bank!$C:$C,B1718)="","",INDEX(Bank!$C:$C,B1718)))</f>
        <v/>
      </c>
      <c r="G1718" s="19" t="str">
        <f aca="false">IF(B1718=0,"",INDEX(Bank!$E:$E,B1718))</f>
        <v/>
      </c>
      <c r="H1718" s="5" t="str">
        <f aca="false">IF(B1718=0,"",IF(INDEX(Bank!$H:$H,B1718)="","",INDEX(Bank!$H:$H,B1718)))</f>
        <v/>
      </c>
      <c r="I1718" s="5" t="n">
        <f aca="false">IF(H1718="",0,IFERROR(MATCH(H1718,GL!$A:$A,0),0))</f>
        <v>0</v>
      </c>
      <c r="J1718" s="32" t="str">
        <f aca="false">IF(I1718=0,"",INDEX(GL!$B:$B,I1718))</f>
        <v/>
      </c>
      <c r="K1718" s="5" t="str">
        <f aca="false">IF(I1718=0,"",IF(INDEX(GL!$C:$C,I1718)="","",INDEX(GL!$C:$C,I1718)))</f>
        <v/>
      </c>
      <c r="L1718" s="19" t="str">
        <f aca="false">IF(I1718=0,"",INDEX(GL!$E:$E,I1718))</f>
        <v/>
      </c>
      <c r="M1718" s="19" t="str">
        <f aca="false">IF(OR(B1718=0,I1718=0),"",ROUND(G1718-L1718,2))</f>
        <v/>
      </c>
      <c r="N1718" s="5" t="str">
        <f aca="false">IF(A1718="","",IF(B1718=0,"NOT FOUND: bank ID",IF(I1718=0,"NOT FOUND: GL ID",IF(INDEX(GL!$H:$H,I1718)&lt;&gt;A1718,"BROKEN: GL points elsewhere",IF(OR(INDEX(Bank!$F:$F,B1718)&lt;&gt;"Y",INDEX(GL!$F:$F,I1718)&lt;&gt;"Y"),"BROKEN: Status not Y","OK")))))</f>
        <v/>
      </c>
    </row>
    <row r="1719" customFormat="false" ht="15" hidden="false" customHeight="false" outlineLevel="0" collapsed="false">
      <c r="A1719" s="41"/>
      <c r="B1719" s="5" t="n">
        <f aca="false">IF(A1719="",0,IFERROR(MATCH(A1719,Bank!$A:$A,0),0))</f>
        <v>0</v>
      </c>
      <c r="C1719" s="5" t="str">
        <f aca="false">IF(B1719=0,"",IF(INDEX(Bank!$G:$G,B1719)="","",INDEX(Bank!$G:$G,B1719)))</f>
        <v/>
      </c>
      <c r="D1719" s="5" t="str">
        <f aca="false">IF(B1719=0,"",IF(INDEX(Bank!$J:$J,B1719)="","",INDEX(Bank!$J:$J,B1719)))</f>
        <v/>
      </c>
      <c r="E1719" s="32" t="str">
        <f aca="false">IF(B1719=0,"",INDEX(Bank!$B:$B,B1719))</f>
        <v/>
      </c>
      <c r="F1719" s="5" t="str">
        <f aca="false">IF(B1719=0,"",IF(INDEX(Bank!$C:$C,B1719)="","",INDEX(Bank!$C:$C,B1719)))</f>
        <v/>
      </c>
      <c r="G1719" s="19" t="str">
        <f aca="false">IF(B1719=0,"",INDEX(Bank!$E:$E,B1719))</f>
        <v/>
      </c>
      <c r="H1719" s="5" t="str">
        <f aca="false">IF(B1719=0,"",IF(INDEX(Bank!$H:$H,B1719)="","",INDEX(Bank!$H:$H,B1719)))</f>
        <v/>
      </c>
      <c r="I1719" s="5" t="n">
        <f aca="false">IF(H1719="",0,IFERROR(MATCH(H1719,GL!$A:$A,0),0))</f>
        <v>0</v>
      </c>
      <c r="J1719" s="32" t="str">
        <f aca="false">IF(I1719=0,"",INDEX(GL!$B:$B,I1719))</f>
        <v/>
      </c>
      <c r="K1719" s="5" t="str">
        <f aca="false">IF(I1719=0,"",IF(INDEX(GL!$C:$C,I1719)="","",INDEX(GL!$C:$C,I1719)))</f>
        <v/>
      </c>
      <c r="L1719" s="19" t="str">
        <f aca="false">IF(I1719=0,"",INDEX(GL!$E:$E,I1719))</f>
        <v/>
      </c>
      <c r="M1719" s="19" t="str">
        <f aca="false">IF(OR(B1719=0,I1719=0),"",ROUND(G1719-L1719,2))</f>
        <v/>
      </c>
      <c r="N1719" s="5" t="str">
        <f aca="false">IF(A1719="","",IF(B1719=0,"NOT FOUND: bank ID",IF(I1719=0,"NOT FOUND: GL ID",IF(INDEX(GL!$H:$H,I1719)&lt;&gt;A1719,"BROKEN: GL points elsewhere",IF(OR(INDEX(Bank!$F:$F,B1719)&lt;&gt;"Y",INDEX(GL!$F:$F,I1719)&lt;&gt;"Y"),"BROKEN: Status not Y","OK")))))</f>
        <v/>
      </c>
    </row>
    <row r="1720" customFormat="false" ht="15" hidden="false" customHeight="false" outlineLevel="0" collapsed="false">
      <c r="A1720" s="41"/>
      <c r="B1720" s="5" t="n">
        <f aca="false">IF(A1720="",0,IFERROR(MATCH(A1720,Bank!$A:$A,0),0))</f>
        <v>0</v>
      </c>
      <c r="C1720" s="5" t="str">
        <f aca="false">IF(B1720=0,"",IF(INDEX(Bank!$G:$G,B1720)="","",INDEX(Bank!$G:$G,B1720)))</f>
        <v/>
      </c>
      <c r="D1720" s="5" t="str">
        <f aca="false">IF(B1720=0,"",IF(INDEX(Bank!$J:$J,B1720)="","",INDEX(Bank!$J:$J,B1720)))</f>
        <v/>
      </c>
      <c r="E1720" s="32" t="str">
        <f aca="false">IF(B1720=0,"",INDEX(Bank!$B:$B,B1720))</f>
        <v/>
      </c>
      <c r="F1720" s="5" t="str">
        <f aca="false">IF(B1720=0,"",IF(INDEX(Bank!$C:$C,B1720)="","",INDEX(Bank!$C:$C,B1720)))</f>
        <v/>
      </c>
      <c r="G1720" s="19" t="str">
        <f aca="false">IF(B1720=0,"",INDEX(Bank!$E:$E,B1720))</f>
        <v/>
      </c>
      <c r="H1720" s="5" t="str">
        <f aca="false">IF(B1720=0,"",IF(INDEX(Bank!$H:$H,B1720)="","",INDEX(Bank!$H:$H,B1720)))</f>
        <v/>
      </c>
      <c r="I1720" s="5" t="n">
        <f aca="false">IF(H1720="",0,IFERROR(MATCH(H1720,GL!$A:$A,0),0))</f>
        <v>0</v>
      </c>
      <c r="J1720" s="32" t="str">
        <f aca="false">IF(I1720=0,"",INDEX(GL!$B:$B,I1720))</f>
        <v/>
      </c>
      <c r="K1720" s="5" t="str">
        <f aca="false">IF(I1720=0,"",IF(INDEX(GL!$C:$C,I1720)="","",INDEX(GL!$C:$C,I1720)))</f>
        <v/>
      </c>
      <c r="L1720" s="19" t="str">
        <f aca="false">IF(I1720=0,"",INDEX(GL!$E:$E,I1720))</f>
        <v/>
      </c>
      <c r="M1720" s="19" t="str">
        <f aca="false">IF(OR(B1720=0,I1720=0),"",ROUND(G1720-L1720,2))</f>
        <v/>
      </c>
      <c r="N1720" s="5" t="str">
        <f aca="false">IF(A1720="","",IF(B1720=0,"NOT FOUND: bank ID",IF(I1720=0,"NOT FOUND: GL ID",IF(INDEX(GL!$H:$H,I1720)&lt;&gt;A1720,"BROKEN: GL points elsewhere",IF(OR(INDEX(Bank!$F:$F,B1720)&lt;&gt;"Y",INDEX(GL!$F:$F,I1720)&lt;&gt;"Y"),"BROKEN: Status not Y","OK")))))</f>
        <v/>
      </c>
    </row>
    <row r="1721" customFormat="false" ht="15" hidden="false" customHeight="false" outlineLevel="0" collapsed="false">
      <c r="A1721" s="41"/>
      <c r="B1721" s="5" t="n">
        <f aca="false">IF(A1721="",0,IFERROR(MATCH(A1721,Bank!$A:$A,0),0))</f>
        <v>0</v>
      </c>
      <c r="C1721" s="5" t="str">
        <f aca="false">IF(B1721=0,"",IF(INDEX(Bank!$G:$G,B1721)="","",INDEX(Bank!$G:$G,B1721)))</f>
        <v/>
      </c>
      <c r="D1721" s="5" t="str">
        <f aca="false">IF(B1721=0,"",IF(INDEX(Bank!$J:$J,B1721)="","",INDEX(Bank!$J:$J,B1721)))</f>
        <v/>
      </c>
      <c r="E1721" s="32" t="str">
        <f aca="false">IF(B1721=0,"",INDEX(Bank!$B:$B,B1721))</f>
        <v/>
      </c>
      <c r="F1721" s="5" t="str">
        <f aca="false">IF(B1721=0,"",IF(INDEX(Bank!$C:$C,B1721)="","",INDEX(Bank!$C:$C,B1721)))</f>
        <v/>
      </c>
      <c r="G1721" s="19" t="str">
        <f aca="false">IF(B1721=0,"",INDEX(Bank!$E:$E,B1721))</f>
        <v/>
      </c>
      <c r="H1721" s="5" t="str">
        <f aca="false">IF(B1721=0,"",IF(INDEX(Bank!$H:$H,B1721)="","",INDEX(Bank!$H:$H,B1721)))</f>
        <v/>
      </c>
      <c r="I1721" s="5" t="n">
        <f aca="false">IF(H1721="",0,IFERROR(MATCH(H1721,GL!$A:$A,0),0))</f>
        <v>0</v>
      </c>
      <c r="J1721" s="32" t="str">
        <f aca="false">IF(I1721=0,"",INDEX(GL!$B:$B,I1721))</f>
        <v/>
      </c>
      <c r="K1721" s="5" t="str">
        <f aca="false">IF(I1721=0,"",IF(INDEX(GL!$C:$C,I1721)="","",INDEX(GL!$C:$C,I1721)))</f>
        <v/>
      </c>
      <c r="L1721" s="19" t="str">
        <f aca="false">IF(I1721=0,"",INDEX(GL!$E:$E,I1721))</f>
        <v/>
      </c>
      <c r="M1721" s="19" t="str">
        <f aca="false">IF(OR(B1721=0,I1721=0),"",ROUND(G1721-L1721,2))</f>
        <v/>
      </c>
      <c r="N1721" s="5" t="str">
        <f aca="false">IF(A1721="","",IF(B1721=0,"NOT FOUND: bank ID",IF(I1721=0,"NOT FOUND: GL ID",IF(INDEX(GL!$H:$H,I1721)&lt;&gt;A1721,"BROKEN: GL points elsewhere",IF(OR(INDEX(Bank!$F:$F,B1721)&lt;&gt;"Y",INDEX(GL!$F:$F,I1721)&lt;&gt;"Y"),"BROKEN: Status not Y","OK")))))</f>
        <v/>
      </c>
    </row>
    <row r="1722" customFormat="false" ht="15" hidden="false" customHeight="false" outlineLevel="0" collapsed="false">
      <c r="A1722" s="41"/>
      <c r="B1722" s="5" t="n">
        <f aca="false">IF(A1722="",0,IFERROR(MATCH(A1722,Bank!$A:$A,0),0))</f>
        <v>0</v>
      </c>
      <c r="C1722" s="5" t="str">
        <f aca="false">IF(B1722=0,"",IF(INDEX(Bank!$G:$G,B1722)="","",INDEX(Bank!$G:$G,B1722)))</f>
        <v/>
      </c>
      <c r="D1722" s="5" t="str">
        <f aca="false">IF(B1722=0,"",IF(INDEX(Bank!$J:$J,B1722)="","",INDEX(Bank!$J:$J,B1722)))</f>
        <v/>
      </c>
      <c r="E1722" s="32" t="str">
        <f aca="false">IF(B1722=0,"",INDEX(Bank!$B:$B,B1722))</f>
        <v/>
      </c>
      <c r="F1722" s="5" t="str">
        <f aca="false">IF(B1722=0,"",IF(INDEX(Bank!$C:$C,B1722)="","",INDEX(Bank!$C:$C,B1722)))</f>
        <v/>
      </c>
      <c r="G1722" s="19" t="str">
        <f aca="false">IF(B1722=0,"",INDEX(Bank!$E:$E,B1722))</f>
        <v/>
      </c>
      <c r="H1722" s="5" t="str">
        <f aca="false">IF(B1722=0,"",IF(INDEX(Bank!$H:$H,B1722)="","",INDEX(Bank!$H:$H,B1722)))</f>
        <v/>
      </c>
      <c r="I1722" s="5" t="n">
        <f aca="false">IF(H1722="",0,IFERROR(MATCH(H1722,GL!$A:$A,0),0))</f>
        <v>0</v>
      </c>
      <c r="J1722" s="32" t="str">
        <f aca="false">IF(I1722=0,"",INDEX(GL!$B:$B,I1722))</f>
        <v/>
      </c>
      <c r="K1722" s="5" t="str">
        <f aca="false">IF(I1722=0,"",IF(INDEX(GL!$C:$C,I1722)="","",INDEX(GL!$C:$C,I1722)))</f>
        <v/>
      </c>
      <c r="L1722" s="19" t="str">
        <f aca="false">IF(I1722=0,"",INDEX(GL!$E:$E,I1722))</f>
        <v/>
      </c>
      <c r="M1722" s="19" t="str">
        <f aca="false">IF(OR(B1722=0,I1722=0),"",ROUND(G1722-L1722,2))</f>
        <v/>
      </c>
      <c r="N1722" s="5" t="str">
        <f aca="false">IF(A1722="","",IF(B1722=0,"NOT FOUND: bank ID",IF(I1722=0,"NOT FOUND: GL ID",IF(INDEX(GL!$H:$H,I1722)&lt;&gt;A1722,"BROKEN: GL points elsewhere",IF(OR(INDEX(Bank!$F:$F,B1722)&lt;&gt;"Y",INDEX(GL!$F:$F,I1722)&lt;&gt;"Y"),"BROKEN: Status not Y","OK")))))</f>
        <v/>
      </c>
    </row>
    <row r="1723" customFormat="false" ht="15" hidden="false" customHeight="false" outlineLevel="0" collapsed="false">
      <c r="A1723" s="41"/>
      <c r="B1723" s="5" t="n">
        <f aca="false">IF(A1723="",0,IFERROR(MATCH(A1723,Bank!$A:$A,0),0))</f>
        <v>0</v>
      </c>
      <c r="C1723" s="5" t="str">
        <f aca="false">IF(B1723=0,"",IF(INDEX(Bank!$G:$G,B1723)="","",INDEX(Bank!$G:$G,B1723)))</f>
        <v/>
      </c>
      <c r="D1723" s="5" t="str">
        <f aca="false">IF(B1723=0,"",IF(INDEX(Bank!$J:$J,B1723)="","",INDEX(Bank!$J:$J,B1723)))</f>
        <v/>
      </c>
      <c r="E1723" s="32" t="str">
        <f aca="false">IF(B1723=0,"",INDEX(Bank!$B:$B,B1723))</f>
        <v/>
      </c>
      <c r="F1723" s="5" t="str">
        <f aca="false">IF(B1723=0,"",IF(INDEX(Bank!$C:$C,B1723)="","",INDEX(Bank!$C:$C,B1723)))</f>
        <v/>
      </c>
      <c r="G1723" s="19" t="str">
        <f aca="false">IF(B1723=0,"",INDEX(Bank!$E:$E,B1723))</f>
        <v/>
      </c>
      <c r="H1723" s="5" t="str">
        <f aca="false">IF(B1723=0,"",IF(INDEX(Bank!$H:$H,B1723)="","",INDEX(Bank!$H:$H,B1723)))</f>
        <v/>
      </c>
      <c r="I1723" s="5" t="n">
        <f aca="false">IF(H1723="",0,IFERROR(MATCH(H1723,GL!$A:$A,0),0))</f>
        <v>0</v>
      </c>
      <c r="J1723" s="32" t="str">
        <f aca="false">IF(I1723=0,"",INDEX(GL!$B:$B,I1723))</f>
        <v/>
      </c>
      <c r="K1723" s="5" t="str">
        <f aca="false">IF(I1723=0,"",IF(INDEX(GL!$C:$C,I1723)="","",INDEX(GL!$C:$C,I1723)))</f>
        <v/>
      </c>
      <c r="L1723" s="19" t="str">
        <f aca="false">IF(I1723=0,"",INDEX(GL!$E:$E,I1723))</f>
        <v/>
      </c>
      <c r="M1723" s="19" t="str">
        <f aca="false">IF(OR(B1723=0,I1723=0),"",ROUND(G1723-L1723,2))</f>
        <v/>
      </c>
      <c r="N1723" s="5" t="str">
        <f aca="false">IF(A1723="","",IF(B1723=0,"NOT FOUND: bank ID",IF(I1723=0,"NOT FOUND: GL ID",IF(INDEX(GL!$H:$H,I1723)&lt;&gt;A1723,"BROKEN: GL points elsewhere",IF(OR(INDEX(Bank!$F:$F,B1723)&lt;&gt;"Y",INDEX(GL!$F:$F,I1723)&lt;&gt;"Y"),"BROKEN: Status not Y","OK")))))</f>
        <v/>
      </c>
    </row>
    <row r="1724" customFormat="false" ht="15" hidden="false" customHeight="false" outlineLevel="0" collapsed="false">
      <c r="A1724" s="41"/>
      <c r="B1724" s="5" t="n">
        <f aca="false">IF(A1724="",0,IFERROR(MATCH(A1724,Bank!$A:$A,0),0))</f>
        <v>0</v>
      </c>
      <c r="C1724" s="5" t="str">
        <f aca="false">IF(B1724=0,"",IF(INDEX(Bank!$G:$G,B1724)="","",INDEX(Bank!$G:$G,B1724)))</f>
        <v/>
      </c>
      <c r="D1724" s="5" t="str">
        <f aca="false">IF(B1724=0,"",IF(INDEX(Bank!$J:$J,B1724)="","",INDEX(Bank!$J:$J,B1724)))</f>
        <v/>
      </c>
      <c r="E1724" s="32" t="str">
        <f aca="false">IF(B1724=0,"",INDEX(Bank!$B:$B,B1724))</f>
        <v/>
      </c>
      <c r="F1724" s="5" t="str">
        <f aca="false">IF(B1724=0,"",IF(INDEX(Bank!$C:$C,B1724)="","",INDEX(Bank!$C:$C,B1724)))</f>
        <v/>
      </c>
      <c r="G1724" s="19" t="str">
        <f aca="false">IF(B1724=0,"",INDEX(Bank!$E:$E,B1724))</f>
        <v/>
      </c>
      <c r="H1724" s="5" t="str">
        <f aca="false">IF(B1724=0,"",IF(INDEX(Bank!$H:$H,B1724)="","",INDEX(Bank!$H:$H,B1724)))</f>
        <v/>
      </c>
      <c r="I1724" s="5" t="n">
        <f aca="false">IF(H1724="",0,IFERROR(MATCH(H1724,GL!$A:$A,0),0))</f>
        <v>0</v>
      </c>
      <c r="J1724" s="32" t="str">
        <f aca="false">IF(I1724=0,"",INDEX(GL!$B:$B,I1724))</f>
        <v/>
      </c>
      <c r="K1724" s="5" t="str">
        <f aca="false">IF(I1724=0,"",IF(INDEX(GL!$C:$C,I1724)="","",INDEX(GL!$C:$C,I1724)))</f>
        <v/>
      </c>
      <c r="L1724" s="19" t="str">
        <f aca="false">IF(I1724=0,"",INDEX(GL!$E:$E,I1724))</f>
        <v/>
      </c>
      <c r="M1724" s="19" t="str">
        <f aca="false">IF(OR(B1724=0,I1724=0),"",ROUND(G1724-L1724,2))</f>
        <v/>
      </c>
      <c r="N1724" s="5" t="str">
        <f aca="false">IF(A1724="","",IF(B1724=0,"NOT FOUND: bank ID",IF(I1724=0,"NOT FOUND: GL ID",IF(INDEX(GL!$H:$H,I1724)&lt;&gt;A1724,"BROKEN: GL points elsewhere",IF(OR(INDEX(Bank!$F:$F,B1724)&lt;&gt;"Y",INDEX(GL!$F:$F,I1724)&lt;&gt;"Y"),"BROKEN: Status not Y","OK")))))</f>
        <v/>
      </c>
    </row>
    <row r="1725" customFormat="false" ht="15" hidden="false" customHeight="false" outlineLevel="0" collapsed="false">
      <c r="A1725" s="41"/>
      <c r="B1725" s="5" t="n">
        <f aca="false">IF(A1725="",0,IFERROR(MATCH(A1725,Bank!$A:$A,0),0))</f>
        <v>0</v>
      </c>
      <c r="C1725" s="5" t="str">
        <f aca="false">IF(B1725=0,"",IF(INDEX(Bank!$G:$G,B1725)="","",INDEX(Bank!$G:$G,B1725)))</f>
        <v/>
      </c>
      <c r="D1725" s="5" t="str">
        <f aca="false">IF(B1725=0,"",IF(INDEX(Bank!$J:$J,B1725)="","",INDEX(Bank!$J:$J,B1725)))</f>
        <v/>
      </c>
      <c r="E1725" s="32" t="str">
        <f aca="false">IF(B1725=0,"",INDEX(Bank!$B:$B,B1725))</f>
        <v/>
      </c>
      <c r="F1725" s="5" t="str">
        <f aca="false">IF(B1725=0,"",IF(INDEX(Bank!$C:$C,B1725)="","",INDEX(Bank!$C:$C,B1725)))</f>
        <v/>
      </c>
      <c r="G1725" s="19" t="str">
        <f aca="false">IF(B1725=0,"",INDEX(Bank!$E:$E,B1725))</f>
        <v/>
      </c>
      <c r="H1725" s="5" t="str">
        <f aca="false">IF(B1725=0,"",IF(INDEX(Bank!$H:$H,B1725)="","",INDEX(Bank!$H:$H,B1725)))</f>
        <v/>
      </c>
      <c r="I1725" s="5" t="n">
        <f aca="false">IF(H1725="",0,IFERROR(MATCH(H1725,GL!$A:$A,0),0))</f>
        <v>0</v>
      </c>
      <c r="J1725" s="32" t="str">
        <f aca="false">IF(I1725=0,"",INDEX(GL!$B:$B,I1725))</f>
        <v/>
      </c>
      <c r="K1725" s="5" t="str">
        <f aca="false">IF(I1725=0,"",IF(INDEX(GL!$C:$C,I1725)="","",INDEX(GL!$C:$C,I1725)))</f>
        <v/>
      </c>
      <c r="L1725" s="19" t="str">
        <f aca="false">IF(I1725=0,"",INDEX(GL!$E:$E,I1725))</f>
        <v/>
      </c>
      <c r="M1725" s="19" t="str">
        <f aca="false">IF(OR(B1725=0,I1725=0),"",ROUND(G1725-L1725,2))</f>
        <v/>
      </c>
      <c r="N1725" s="5" t="str">
        <f aca="false">IF(A1725="","",IF(B1725=0,"NOT FOUND: bank ID",IF(I1725=0,"NOT FOUND: GL ID",IF(INDEX(GL!$H:$H,I1725)&lt;&gt;A1725,"BROKEN: GL points elsewhere",IF(OR(INDEX(Bank!$F:$F,B1725)&lt;&gt;"Y",INDEX(GL!$F:$F,I1725)&lt;&gt;"Y"),"BROKEN: Status not Y","OK")))))</f>
        <v/>
      </c>
    </row>
    <row r="1726" customFormat="false" ht="15" hidden="false" customHeight="false" outlineLevel="0" collapsed="false">
      <c r="A1726" s="41"/>
      <c r="B1726" s="5" t="n">
        <f aca="false">IF(A1726="",0,IFERROR(MATCH(A1726,Bank!$A:$A,0),0))</f>
        <v>0</v>
      </c>
      <c r="C1726" s="5" t="str">
        <f aca="false">IF(B1726=0,"",IF(INDEX(Bank!$G:$G,B1726)="","",INDEX(Bank!$G:$G,B1726)))</f>
        <v/>
      </c>
      <c r="D1726" s="5" t="str">
        <f aca="false">IF(B1726=0,"",IF(INDEX(Bank!$J:$J,B1726)="","",INDEX(Bank!$J:$J,B1726)))</f>
        <v/>
      </c>
      <c r="E1726" s="32" t="str">
        <f aca="false">IF(B1726=0,"",INDEX(Bank!$B:$B,B1726))</f>
        <v/>
      </c>
      <c r="F1726" s="5" t="str">
        <f aca="false">IF(B1726=0,"",IF(INDEX(Bank!$C:$C,B1726)="","",INDEX(Bank!$C:$C,B1726)))</f>
        <v/>
      </c>
      <c r="G1726" s="19" t="str">
        <f aca="false">IF(B1726=0,"",INDEX(Bank!$E:$E,B1726))</f>
        <v/>
      </c>
      <c r="H1726" s="5" t="str">
        <f aca="false">IF(B1726=0,"",IF(INDEX(Bank!$H:$H,B1726)="","",INDEX(Bank!$H:$H,B1726)))</f>
        <v/>
      </c>
      <c r="I1726" s="5" t="n">
        <f aca="false">IF(H1726="",0,IFERROR(MATCH(H1726,GL!$A:$A,0),0))</f>
        <v>0</v>
      </c>
      <c r="J1726" s="32" t="str">
        <f aca="false">IF(I1726=0,"",INDEX(GL!$B:$B,I1726))</f>
        <v/>
      </c>
      <c r="K1726" s="5" t="str">
        <f aca="false">IF(I1726=0,"",IF(INDEX(GL!$C:$C,I1726)="","",INDEX(GL!$C:$C,I1726)))</f>
        <v/>
      </c>
      <c r="L1726" s="19" t="str">
        <f aca="false">IF(I1726=0,"",INDEX(GL!$E:$E,I1726))</f>
        <v/>
      </c>
      <c r="M1726" s="19" t="str">
        <f aca="false">IF(OR(B1726=0,I1726=0),"",ROUND(G1726-L1726,2))</f>
        <v/>
      </c>
      <c r="N1726" s="5" t="str">
        <f aca="false">IF(A1726="","",IF(B1726=0,"NOT FOUND: bank ID",IF(I1726=0,"NOT FOUND: GL ID",IF(INDEX(GL!$H:$H,I1726)&lt;&gt;A1726,"BROKEN: GL points elsewhere",IF(OR(INDEX(Bank!$F:$F,B1726)&lt;&gt;"Y",INDEX(GL!$F:$F,I1726)&lt;&gt;"Y"),"BROKEN: Status not Y","OK")))))</f>
        <v/>
      </c>
    </row>
    <row r="1727" customFormat="false" ht="15" hidden="false" customHeight="false" outlineLevel="0" collapsed="false">
      <c r="A1727" s="41"/>
      <c r="B1727" s="5" t="n">
        <f aca="false">IF(A1727="",0,IFERROR(MATCH(A1727,Bank!$A:$A,0),0))</f>
        <v>0</v>
      </c>
      <c r="C1727" s="5" t="str">
        <f aca="false">IF(B1727=0,"",IF(INDEX(Bank!$G:$G,B1727)="","",INDEX(Bank!$G:$G,B1727)))</f>
        <v/>
      </c>
      <c r="D1727" s="5" t="str">
        <f aca="false">IF(B1727=0,"",IF(INDEX(Bank!$J:$J,B1727)="","",INDEX(Bank!$J:$J,B1727)))</f>
        <v/>
      </c>
      <c r="E1727" s="32" t="str">
        <f aca="false">IF(B1727=0,"",INDEX(Bank!$B:$B,B1727))</f>
        <v/>
      </c>
      <c r="F1727" s="5" t="str">
        <f aca="false">IF(B1727=0,"",IF(INDEX(Bank!$C:$C,B1727)="","",INDEX(Bank!$C:$C,B1727)))</f>
        <v/>
      </c>
      <c r="G1727" s="19" t="str">
        <f aca="false">IF(B1727=0,"",INDEX(Bank!$E:$E,B1727))</f>
        <v/>
      </c>
      <c r="H1727" s="5" t="str">
        <f aca="false">IF(B1727=0,"",IF(INDEX(Bank!$H:$H,B1727)="","",INDEX(Bank!$H:$H,B1727)))</f>
        <v/>
      </c>
      <c r="I1727" s="5" t="n">
        <f aca="false">IF(H1727="",0,IFERROR(MATCH(H1727,GL!$A:$A,0),0))</f>
        <v>0</v>
      </c>
      <c r="J1727" s="32" t="str">
        <f aca="false">IF(I1727=0,"",INDEX(GL!$B:$B,I1727))</f>
        <v/>
      </c>
      <c r="K1727" s="5" t="str">
        <f aca="false">IF(I1727=0,"",IF(INDEX(GL!$C:$C,I1727)="","",INDEX(GL!$C:$C,I1727)))</f>
        <v/>
      </c>
      <c r="L1727" s="19" t="str">
        <f aca="false">IF(I1727=0,"",INDEX(GL!$E:$E,I1727))</f>
        <v/>
      </c>
      <c r="M1727" s="19" t="str">
        <f aca="false">IF(OR(B1727=0,I1727=0),"",ROUND(G1727-L1727,2))</f>
        <v/>
      </c>
      <c r="N1727" s="5" t="str">
        <f aca="false">IF(A1727="","",IF(B1727=0,"NOT FOUND: bank ID",IF(I1727=0,"NOT FOUND: GL ID",IF(INDEX(GL!$H:$H,I1727)&lt;&gt;A1727,"BROKEN: GL points elsewhere",IF(OR(INDEX(Bank!$F:$F,B1727)&lt;&gt;"Y",INDEX(GL!$F:$F,I1727)&lt;&gt;"Y"),"BROKEN: Status not Y","OK")))))</f>
        <v/>
      </c>
    </row>
    <row r="1728" customFormat="false" ht="15" hidden="false" customHeight="false" outlineLevel="0" collapsed="false">
      <c r="A1728" s="41"/>
      <c r="B1728" s="5" t="n">
        <f aca="false">IF(A1728="",0,IFERROR(MATCH(A1728,Bank!$A:$A,0),0))</f>
        <v>0</v>
      </c>
      <c r="C1728" s="5" t="str">
        <f aca="false">IF(B1728=0,"",IF(INDEX(Bank!$G:$G,B1728)="","",INDEX(Bank!$G:$G,B1728)))</f>
        <v/>
      </c>
      <c r="D1728" s="5" t="str">
        <f aca="false">IF(B1728=0,"",IF(INDEX(Bank!$J:$J,B1728)="","",INDEX(Bank!$J:$J,B1728)))</f>
        <v/>
      </c>
      <c r="E1728" s="32" t="str">
        <f aca="false">IF(B1728=0,"",INDEX(Bank!$B:$B,B1728))</f>
        <v/>
      </c>
      <c r="F1728" s="5" t="str">
        <f aca="false">IF(B1728=0,"",IF(INDEX(Bank!$C:$C,B1728)="","",INDEX(Bank!$C:$C,B1728)))</f>
        <v/>
      </c>
      <c r="G1728" s="19" t="str">
        <f aca="false">IF(B1728=0,"",INDEX(Bank!$E:$E,B1728))</f>
        <v/>
      </c>
      <c r="H1728" s="5" t="str">
        <f aca="false">IF(B1728=0,"",IF(INDEX(Bank!$H:$H,B1728)="","",INDEX(Bank!$H:$H,B1728)))</f>
        <v/>
      </c>
      <c r="I1728" s="5" t="n">
        <f aca="false">IF(H1728="",0,IFERROR(MATCH(H1728,GL!$A:$A,0),0))</f>
        <v>0</v>
      </c>
      <c r="J1728" s="32" t="str">
        <f aca="false">IF(I1728=0,"",INDEX(GL!$B:$B,I1728))</f>
        <v/>
      </c>
      <c r="K1728" s="5" t="str">
        <f aca="false">IF(I1728=0,"",IF(INDEX(GL!$C:$C,I1728)="","",INDEX(GL!$C:$C,I1728)))</f>
        <v/>
      </c>
      <c r="L1728" s="19" t="str">
        <f aca="false">IF(I1728=0,"",INDEX(GL!$E:$E,I1728))</f>
        <v/>
      </c>
      <c r="M1728" s="19" t="str">
        <f aca="false">IF(OR(B1728=0,I1728=0),"",ROUND(G1728-L1728,2))</f>
        <v/>
      </c>
      <c r="N1728" s="5" t="str">
        <f aca="false">IF(A1728="","",IF(B1728=0,"NOT FOUND: bank ID",IF(I1728=0,"NOT FOUND: GL ID",IF(INDEX(GL!$H:$H,I1728)&lt;&gt;A1728,"BROKEN: GL points elsewhere",IF(OR(INDEX(Bank!$F:$F,B1728)&lt;&gt;"Y",INDEX(GL!$F:$F,I1728)&lt;&gt;"Y"),"BROKEN: Status not Y","OK")))))</f>
        <v/>
      </c>
    </row>
    <row r="1729" customFormat="false" ht="15" hidden="false" customHeight="false" outlineLevel="0" collapsed="false">
      <c r="A1729" s="41"/>
      <c r="B1729" s="5" t="n">
        <f aca="false">IF(A1729="",0,IFERROR(MATCH(A1729,Bank!$A:$A,0),0))</f>
        <v>0</v>
      </c>
      <c r="C1729" s="5" t="str">
        <f aca="false">IF(B1729=0,"",IF(INDEX(Bank!$G:$G,B1729)="","",INDEX(Bank!$G:$G,B1729)))</f>
        <v/>
      </c>
      <c r="D1729" s="5" t="str">
        <f aca="false">IF(B1729=0,"",IF(INDEX(Bank!$J:$J,B1729)="","",INDEX(Bank!$J:$J,B1729)))</f>
        <v/>
      </c>
      <c r="E1729" s="32" t="str">
        <f aca="false">IF(B1729=0,"",INDEX(Bank!$B:$B,B1729))</f>
        <v/>
      </c>
      <c r="F1729" s="5" t="str">
        <f aca="false">IF(B1729=0,"",IF(INDEX(Bank!$C:$C,B1729)="","",INDEX(Bank!$C:$C,B1729)))</f>
        <v/>
      </c>
      <c r="G1729" s="19" t="str">
        <f aca="false">IF(B1729=0,"",INDEX(Bank!$E:$E,B1729))</f>
        <v/>
      </c>
      <c r="H1729" s="5" t="str">
        <f aca="false">IF(B1729=0,"",IF(INDEX(Bank!$H:$H,B1729)="","",INDEX(Bank!$H:$H,B1729)))</f>
        <v/>
      </c>
      <c r="I1729" s="5" t="n">
        <f aca="false">IF(H1729="",0,IFERROR(MATCH(H1729,GL!$A:$A,0),0))</f>
        <v>0</v>
      </c>
      <c r="J1729" s="32" t="str">
        <f aca="false">IF(I1729=0,"",INDEX(GL!$B:$B,I1729))</f>
        <v/>
      </c>
      <c r="K1729" s="5" t="str">
        <f aca="false">IF(I1729=0,"",IF(INDEX(GL!$C:$C,I1729)="","",INDEX(GL!$C:$C,I1729)))</f>
        <v/>
      </c>
      <c r="L1729" s="19" t="str">
        <f aca="false">IF(I1729=0,"",INDEX(GL!$E:$E,I1729))</f>
        <v/>
      </c>
      <c r="M1729" s="19" t="str">
        <f aca="false">IF(OR(B1729=0,I1729=0),"",ROUND(G1729-L1729,2))</f>
        <v/>
      </c>
      <c r="N1729" s="5" t="str">
        <f aca="false">IF(A1729="","",IF(B1729=0,"NOT FOUND: bank ID",IF(I1729=0,"NOT FOUND: GL ID",IF(INDEX(GL!$H:$H,I1729)&lt;&gt;A1729,"BROKEN: GL points elsewhere",IF(OR(INDEX(Bank!$F:$F,B1729)&lt;&gt;"Y",INDEX(GL!$F:$F,I1729)&lt;&gt;"Y"),"BROKEN: Status not Y","OK")))))</f>
        <v/>
      </c>
    </row>
    <row r="1730" customFormat="false" ht="15" hidden="false" customHeight="false" outlineLevel="0" collapsed="false">
      <c r="A1730" s="41"/>
      <c r="B1730" s="5" t="n">
        <f aca="false">IF(A1730="",0,IFERROR(MATCH(A1730,Bank!$A:$A,0),0))</f>
        <v>0</v>
      </c>
      <c r="C1730" s="5" t="str">
        <f aca="false">IF(B1730=0,"",IF(INDEX(Bank!$G:$G,B1730)="","",INDEX(Bank!$G:$G,B1730)))</f>
        <v/>
      </c>
      <c r="D1730" s="5" t="str">
        <f aca="false">IF(B1730=0,"",IF(INDEX(Bank!$J:$J,B1730)="","",INDEX(Bank!$J:$J,B1730)))</f>
        <v/>
      </c>
      <c r="E1730" s="32" t="str">
        <f aca="false">IF(B1730=0,"",INDEX(Bank!$B:$B,B1730))</f>
        <v/>
      </c>
      <c r="F1730" s="5" t="str">
        <f aca="false">IF(B1730=0,"",IF(INDEX(Bank!$C:$C,B1730)="","",INDEX(Bank!$C:$C,B1730)))</f>
        <v/>
      </c>
      <c r="G1730" s="19" t="str">
        <f aca="false">IF(B1730=0,"",INDEX(Bank!$E:$E,B1730))</f>
        <v/>
      </c>
      <c r="H1730" s="5" t="str">
        <f aca="false">IF(B1730=0,"",IF(INDEX(Bank!$H:$H,B1730)="","",INDEX(Bank!$H:$H,B1730)))</f>
        <v/>
      </c>
      <c r="I1730" s="5" t="n">
        <f aca="false">IF(H1730="",0,IFERROR(MATCH(H1730,GL!$A:$A,0),0))</f>
        <v>0</v>
      </c>
      <c r="J1730" s="32" t="str">
        <f aca="false">IF(I1730=0,"",INDEX(GL!$B:$B,I1730))</f>
        <v/>
      </c>
      <c r="K1730" s="5" t="str">
        <f aca="false">IF(I1730=0,"",IF(INDEX(GL!$C:$C,I1730)="","",INDEX(GL!$C:$C,I1730)))</f>
        <v/>
      </c>
      <c r="L1730" s="19" t="str">
        <f aca="false">IF(I1730=0,"",INDEX(GL!$E:$E,I1730))</f>
        <v/>
      </c>
      <c r="M1730" s="19" t="str">
        <f aca="false">IF(OR(B1730=0,I1730=0),"",ROUND(G1730-L1730,2))</f>
        <v/>
      </c>
      <c r="N1730" s="5" t="str">
        <f aca="false">IF(A1730="","",IF(B1730=0,"NOT FOUND: bank ID",IF(I1730=0,"NOT FOUND: GL ID",IF(INDEX(GL!$H:$H,I1730)&lt;&gt;A1730,"BROKEN: GL points elsewhere",IF(OR(INDEX(Bank!$F:$F,B1730)&lt;&gt;"Y",INDEX(GL!$F:$F,I1730)&lt;&gt;"Y"),"BROKEN: Status not Y","OK")))))</f>
        <v/>
      </c>
    </row>
    <row r="1731" customFormat="false" ht="15" hidden="false" customHeight="false" outlineLevel="0" collapsed="false">
      <c r="A1731" s="41"/>
      <c r="B1731" s="5" t="n">
        <f aca="false">IF(A1731="",0,IFERROR(MATCH(A1731,Bank!$A:$A,0),0))</f>
        <v>0</v>
      </c>
      <c r="C1731" s="5" t="str">
        <f aca="false">IF(B1731=0,"",IF(INDEX(Bank!$G:$G,B1731)="","",INDEX(Bank!$G:$G,B1731)))</f>
        <v/>
      </c>
      <c r="D1731" s="5" t="str">
        <f aca="false">IF(B1731=0,"",IF(INDEX(Bank!$J:$J,B1731)="","",INDEX(Bank!$J:$J,B1731)))</f>
        <v/>
      </c>
      <c r="E1731" s="32" t="str">
        <f aca="false">IF(B1731=0,"",INDEX(Bank!$B:$B,B1731))</f>
        <v/>
      </c>
      <c r="F1731" s="5" t="str">
        <f aca="false">IF(B1731=0,"",IF(INDEX(Bank!$C:$C,B1731)="","",INDEX(Bank!$C:$C,B1731)))</f>
        <v/>
      </c>
      <c r="G1731" s="19" t="str">
        <f aca="false">IF(B1731=0,"",INDEX(Bank!$E:$E,B1731))</f>
        <v/>
      </c>
      <c r="H1731" s="5" t="str">
        <f aca="false">IF(B1731=0,"",IF(INDEX(Bank!$H:$H,B1731)="","",INDEX(Bank!$H:$H,B1731)))</f>
        <v/>
      </c>
      <c r="I1731" s="5" t="n">
        <f aca="false">IF(H1731="",0,IFERROR(MATCH(H1731,GL!$A:$A,0),0))</f>
        <v>0</v>
      </c>
      <c r="J1731" s="32" t="str">
        <f aca="false">IF(I1731=0,"",INDEX(GL!$B:$B,I1731))</f>
        <v/>
      </c>
      <c r="K1731" s="5" t="str">
        <f aca="false">IF(I1731=0,"",IF(INDEX(GL!$C:$C,I1731)="","",INDEX(GL!$C:$C,I1731)))</f>
        <v/>
      </c>
      <c r="L1731" s="19" t="str">
        <f aca="false">IF(I1731=0,"",INDEX(GL!$E:$E,I1731))</f>
        <v/>
      </c>
      <c r="M1731" s="19" t="str">
        <f aca="false">IF(OR(B1731=0,I1731=0),"",ROUND(G1731-L1731,2))</f>
        <v/>
      </c>
      <c r="N1731" s="5" t="str">
        <f aca="false">IF(A1731="","",IF(B1731=0,"NOT FOUND: bank ID",IF(I1731=0,"NOT FOUND: GL ID",IF(INDEX(GL!$H:$H,I1731)&lt;&gt;A1731,"BROKEN: GL points elsewhere",IF(OR(INDEX(Bank!$F:$F,B1731)&lt;&gt;"Y",INDEX(GL!$F:$F,I1731)&lt;&gt;"Y"),"BROKEN: Status not Y","OK")))))</f>
        <v/>
      </c>
    </row>
    <row r="1732" customFormat="false" ht="15" hidden="false" customHeight="false" outlineLevel="0" collapsed="false">
      <c r="A1732" s="41"/>
      <c r="B1732" s="5" t="n">
        <f aca="false">IF(A1732="",0,IFERROR(MATCH(A1732,Bank!$A:$A,0),0))</f>
        <v>0</v>
      </c>
      <c r="C1732" s="5" t="str">
        <f aca="false">IF(B1732=0,"",IF(INDEX(Bank!$G:$G,B1732)="","",INDEX(Bank!$G:$G,B1732)))</f>
        <v/>
      </c>
      <c r="D1732" s="5" t="str">
        <f aca="false">IF(B1732=0,"",IF(INDEX(Bank!$J:$J,B1732)="","",INDEX(Bank!$J:$J,B1732)))</f>
        <v/>
      </c>
      <c r="E1732" s="32" t="str">
        <f aca="false">IF(B1732=0,"",INDEX(Bank!$B:$B,B1732))</f>
        <v/>
      </c>
      <c r="F1732" s="5" t="str">
        <f aca="false">IF(B1732=0,"",IF(INDEX(Bank!$C:$C,B1732)="","",INDEX(Bank!$C:$C,B1732)))</f>
        <v/>
      </c>
      <c r="G1732" s="19" t="str">
        <f aca="false">IF(B1732=0,"",INDEX(Bank!$E:$E,B1732))</f>
        <v/>
      </c>
      <c r="H1732" s="5" t="str">
        <f aca="false">IF(B1732=0,"",IF(INDEX(Bank!$H:$H,B1732)="","",INDEX(Bank!$H:$H,B1732)))</f>
        <v/>
      </c>
      <c r="I1732" s="5" t="n">
        <f aca="false">IF(H1732="",0,IFERROR(MATCH(H1732,GL!$A:$A,0),0))</f>
        <v>0</v>
      </c>
      <c r="J1732" s="32" t="str">
        <f aca="false">IF(I1732=0,"",INDEX(GL!$B:$B,I1732))</f>
        <v/>
      </c>
      <c r="K1732" s="5" t="str">
        <f aca="false">IF(I1732=0,"",IF(INDEX(GL!$C:$C,I1732)="","",INDEX(GL!$C:$C,I1732)))</f>
        <v/>
      </c>
      <c r="L1732" s="19" t="str">
        <f aca="false">IF(I1732=0,"",INDEX(GL!$E:$E,I1732))</f>
        <v/>
      </c>
      <c r="M1732" s="19" t="str">
        <f aca="false">IF(OR(B1732=0,I1732=0),"",ROUND(G1732-L1732,2))</f>
        <v/>
      </c>
      <c r="N1732" s="5" t="str">
        <f aca="false">IF(A1732="","",IF(B1732=0,"NOT FOUND: bank ID",IF(I1732=0,"NOT FOUND: GL ID",IF(INDEX(GL!$H:$H,I1732)&lt;&gt;A1732,"BROKEN: GL points elsewhere",IF(OR(INDEX(Bank!$F:$F,B1732)&lt;&gt;"Y",INDEX(GL!$F:$F,I1732)&lt;&gt;"Y"),"BROKEN: Status not Y","OK")))))</f>
        <v/>
      </c>
    </row>
    <row r="1733" customFormat="false" ht="15" hidden="false" customHeight="false" outlineLevel="0" collapsed="false">
      <c r="A1733" s="41"/>
      <c r="B1733" s="5" t="n">
        <f aca="false">IF(A1733="",0,IFERROR(MATCH(A1733,Bank!$A:$A,0),0))</f>
        <v>0</v>
      </c>
      <c r="C1733" s="5" t="str">
        <f aca="false">IF(B1733=0,"",IF(INDEX(Bank!$G:$G,B1733)="","",INDEX(Bank!$G:$G,B1733)))</f>
        <v/>
      </c>
      <c r="D1733" s="5" t="str">
        <f aca="false">IF(B1733=0,"",IF(INDEX(Bank!$J:$J,B1733)="","",INDEX(Bank!$J:$J,B1733)))</f>
        <v/>
      </c>
      <c r="E1733" s="32" t="str">
        <f aca="false">IF(B1733=0,"",INDEX(Bank!$B:$B,B1733))</f>
        <v/>
      </c>
      <c r="F1733" s="5" t="str">
        <f aca="false">IF(B1733=0,"",IF(INDEX(Bank!$C:$C,B1733)="","",INDEX(Bank!$C:$C,B1733)))</f>
        <v/>
      </c>
      <c r="G1733" s="19" t="str">
        <f aca="false">IF(B1733=0,"",INDEX(Bank!$E:$E,B1733))</f>
        <v/>
      </c>
      <c r="H1733" s="5" t="str">
        <f aca="false">IF(B1733=0,"",IF(INDEX(Bank!$H:$H,B1733)="","",INDEX(Bank!$H:$H,B1733)))</f>
        <v/>
      </c>
      <c r="I1733" s="5" t="n">
        <f aca="false">IF(H1733="",0,IFERROR(MATCH(H1733,GL!$A:$A,0),0))</f>
        <v>0</v>
      </c>
      <c r="J1733" s="32" t="str">
        <f aca="false">IF(I1733=0,"",INDEX(GL!$B:$B,I1733))</f>
        <v/>
      </c>
      <c r="K1733" s="5" t="str">
        <f aca="false">IF(I1733=0,"",IF(INDEX(GL!$C:$C,I1733)="","",INDEX(GL!$C:$C,I1733)))</f>
        <v/>
      </c>
      <c r="L1733" s="19" t="str">
        <f aca="false">IF(I1733=0,"",INDEX(GL!$E:$E,I1733))</f>
        <v/>
      </c>
      <c r="M1733" s="19" t="str">
        <f aca="false">IF(OR(B1733=0,I1733=0),"",ROUND(G1733-L1733,2))</f>
        <v/>
      </c>
      <c r="N1733" s="5" t="str">
        <f aca="false">IF(A1733="","",IF(B1733=0,"NOT FOUND: bank ID",IF(I1733=0,"NOT FOUND: GL ID",IF(INDEX(GL!$H:$H,I1733)&lt;&gt;A1733,"BROKEN: GL points elsewhere",IF(OR(INDEX(Bank!$F:$F,B1733)&lt;&gt;"Y",INDEX(GL!$F:$F,I1733)&lt;&gt;"Y"),"BROKEN: Status not Y","OK")))))</f>
        <v/>
      </c>
    </row>
    <row r="1734" customFormat="false" ht="15" hidden="false" customHeight="false" outlineLevel="0" collapsed="false">
      <c r="A1734" s="41"/>
      <c r="B1734" s="5" t="n">
        <f aca="false">IF(A1734="",0,IFERROR(MATCH(A1734,Bank!$A:$A,0),0))</f>
        <v>0</v>
      </c>
      <c r="C1734" s="5" t="str">
        <f aca="false">IF(B1734=0,"",IF(INDEX(Bank!$G:$G,B1734)="","",INDEX(Bank!$G:$G,B1734)))</f>
        <v/>
      </c>
      <c r="D1734" s="5" t="str">
        <f aca="false">IF(B1734=0,"",IF(INDEX(Bank!$J:$J,B1734)="","",INDEX(Bank!$J:$J,B1734)))</f>
        <v/>
      </c>
      <c r="E1734" s="32" t="str">
        <f aca="false">IF(B1734=0,"",INDEX(Bank!$B:$B,B1734))</f>
        <v/>
      </c>
      <c r="F1734" s="5" t="str">
        <f aca="false">IF(B1734=0,"",IF(INDEX(Bank!$C:$C,B1734)="","",INDEX(Bank!$C:$C,B1734)))</f>
        <v/>
      </c>
      <c r="G1734" s="19" t="str">
        <f aca="false">IF(B1734=0,"",INDEX(Bank!$E:$E,B1734))</f>
        <v/>
      </c>
      <c r="H1734" s="5" t="str">
        <f aca="false">IF(B1734=0,"",IF(INDEX(Bank!$H:$H,B1734)="","",INDEX(Bank!$H:$H,B1734)))</f>
        <v/>
      </c>
      <c r="I1734" s="5" t="n">
        <f aca="false">IF(H1734="",0,IFERROR(MATCH(H1734,GL!$A:$A,0),0))</f>
        <v>0</v>
      </c>
      <c r="J1734" s="32" t="str">
        <f aca="false">IF(I1734=0,"",INDEX(GL!$B:$B,I1734))</f>
        <v/>
      </c>
      <c r="K1734" s="5" t="str">
        <f aca="false">IF(I1734=0,"",IF(INDEX(GL!$C:$C,I1734)="","",INDEX(GL!$C:$C,I1734)))</f>
        <v/>
      </c>
      <c r="L1734" s="19" t="str">
        <f aca="false">IF(I1734=0,"",INDEX(GL!$E:$E,I1734))</f>
        <v/>
      </c>
      <c r="M1734" s="19" t="str">
        <f aca="false">IF(OR(B1734=0,I1734=0),"",ROUND(G1734-L1734,2))</f>
        <v/>
      </c>
      <c r="N1734" s="5" t="str">
        <f aca="false">IF(A1734="","",IF(B1734=0,"NOT FOUND: bank ID",IF(I1734=0,"NOT FOUND: GL ID",IF(INDEX(GL!$H:$H,I1734)&lt;&gt;A1734,"BROKEN: GL points elsewhere",IF(OR(INDEX(Bank!$F:$F,B1734)&lt;&gt;"Y",INDEX(GL!$F:$F,I1734)&lt;&gt;"Y"),"BROKEN: Status not Y","OK")))))</f>
        <v/>
      </c>
    </row>
    <row r="1735" customFormat="false" ht="15" hidden="false" customHeight="false" outlineLevel="0" collapsed="false">
      <c r="A1735" s="41"/>
      <c r="B1735" s="5" t="n">
        <f aca="false">IF(A1735="",0,IFERROR(MATCH(A1735,Bank!$A:$A,0),0))</f>
        <v>0</v>
      </c>
      <c r="C1735" s="5" t="str">
        <f aca="false">IF(B1735=0,"",IF(INDEX(Bank!$G:$G,B1735)="","",INDEX(Bank!$G:$G,B1735)))</f>
        <v/>
      </c>
      <c r="D1735" s="5" t="str">
        <f aca="false">IF(B1735=0,"",IF(INDEX(Bank!$J:$J,B1735)="","",INDEX(Bank!$J:$J,B1735)))</f>
        <v/>
      </c>
      <c r="E1735" s="32" t="str">
        <f aca="false">IF(B1735=0,"",INDEX(Bank!$B:$B,B1735))</f>
        <v/>
      </c>
      <c r="F1735" s="5" t="str">
        <f aca="false">IF(B1735=0,"",IF(INDEX(Bank!$C:$C,B1735)="","",INDEX(Bank!$C:$C,B1735)))</f>
        <v/>
      </c>
      <c r="G1735" s="19" t="str">
        <f aca="false">IF(B1735=0,"",INDEX(Bank!$E:$E,B1735))</f>
        <v/>
      </c>
      <c r="H1735" s="5" t="str">
        <f aca="false">IF(B1735=0,"",IF(INDEX(Bank!$H:$H,B1735)="","",INDEX(Bank!$H:$H,B1735)))</f>
        <v/>
      </c>
      <c r="I1735" s="5" t="n">
        <f aca="false">IF(H1735="",0,IFERROR(MATCH(H1735,GL!$A:$A,0),0))</f>
        <v>0</v>
      </c>
      <c r="J1735" s="32" t="str">
        <f aca="false">IF(I1735=0,"",INDEX(GL!$B:$B,I1735))</f>
        <v/>
      </c>
      <c r="K1735" s="5" t="str">
        <f aca="false">IF(I1735=0,"",IF(INDEX(GL!$C:$C,I1735)="","",INDEX(GL!$C:$C,I1735)))</f>
        <v/>
      </c>
      <c r="L1735" s="19" t="str">
        <f aca="false">IF(I1735=0,"",INDEX(GL!$E:$E,I1735))</f>
        <v/>
      </c>
      <c r="M1735" s="19" t="str">
        <f aca="false">IF(OR(B1735=0,I1735=0),"",ROUND(G1735-L1735,2))</f>
        <v/>
      </c>
      <c r="N1735" s="5" t="str">
        <f aca="false">IF(A1735="","",IF(B1735=0,"NOT FOUND: bank ID",IF(I1735=0,"NOT FOUND: GL ID",IF(INDEX(GL!$H:$H,I1735)&lt;&gt;A1735,"BROKEN: GL points elsewhere",IF(OR(INDEX(Bank!$F:$F,B1735)&lt;&gt;"Y",INDEX(GL!$F:$F,I1735)&lt;&gt;"Y"),"BROKEN: Status not Y","OK")))))</f>
        <v/>
      </c>
    </row>
    <row r="1736" customFormat="false" ht="15" hidden="false" customHeight="false" outlineLevel="0" collapsed="false">
      <c r="A1736" s="41"/>
      <c r="B1736" s="5" t="n">
        <f aca="false">IF(A1736="",0,IFERROR(MATCH(A1736,Bank!$A:$A,0),0))</f>
        <v>0</v>
      </c>
      <c r="C1736" s="5" t="str">
        <f aca="false">IF(B1736=0,"",IF(INDEX(Bank!$G:$G,B1736)="","",INDEX(Bank!$G:$G,B1736)))</f>
        <v/>
      </c>
      <c r="D1736" s="5" t="str">
        <f aca="false">IF(B1736=0,"",IF(INDEX(Bank!$J:$J,B1736)="","",INDEX(Bank!$J:$J,B1736)))</f>
        <v/>
      </c>
      <c r="E1736" s="32" t="str">
        <f aca="false">IF(B1736=0,"",INDEX(Bank!$B:$B,B1736))</f>
        <v/>
      </c>
      <c r="F1736" s="5" t="str">
        <f aca="false">IF(B1736=0,"",IF(INDEX(Bank!$C:$C,B1736)="","",INDEX(Bank!$C:$C,B1736)))</f>
        <v/>
      </c>
      <c r="G1736" s="19" t="str">
        <f aca="false">IF(B1736=0,"",INDEX(Bank!$E:$E,B1736))</f>
        <v/>
      </c>
      <c r="H1736" s="5" t="str">
        <f aca="false">IF(B1736=0,"",IF(INDEX(Bank!$H:$H,B1736)="","",INDEX(Bank!$H:$H,B1736)))</f>
        <v/>
      </c>
      <c r="I1736" s="5" t="n">
        <f aca="false">IF(H1736="",0,IFERROR(MATCH(H1736,GL!$A:$A,0),0))</f>
        <v>0</v>
      </c>
      <c r="J1736" s="32" t="str">
        <f aca="false">IF(I1736=0,"",INDEX(GL!$B:$B,I1736))</f>
        <v/>
      </c>
      <c r="K1736" s="5" t="str">
        <f aca="false">IF(I1736=0,"",IF(INDEX(GL!$C:$C,I1736)="","",INDEX(GL!$C:$C,I1736)))</f>
        <v/>
      </c>
      <c r="L1736" s="19" t="str">
        <f aca="false">IF(I1736=0,"",INDEX(GL!$E:$E,I1736))</f>
        <v/>
      </c>
      <c r="M1736" s="19" t="str">
        <f aca="false">IF(OR(B1736=0,I1736=0),"",ROUND(G1736-L1736,2))</f>
        <v/>
      </c>
      <c r="N1736" s="5" t="str">
        <f aca="false">IF(A1736="","",IF(B1736=0,"NOT FOUND: bank ID",IF(I1736=0,"NOT FOUND: GL ID",IF(INDEX(GL!$H:$H,I1736)&lt;&gt;A1736,"BROKEN: GL points elsewhere",IF(OR(INDEX(Bank!$F:$F,B1736)&lt;&gt;"Y",INDEX(GL!$F:$F,I1736)&lt;&gt;"Y"),"BROKEN: Status not Y","OK")))))</f>
        <v/>
      </c>
    </row>
    <row r="1737" customFormat="false" ht="15" hidden="false" customHeight="false" outlineLevel="0" collapsed="false">
      <c r="A1737" s="41"/>
      <c r="B1737" s="5" t="n">
        <f aca="false">IF(A1737="",0,IFERROR(MATCH(A1737,Bank!$A:$A,0),0))</f>
        <v>0</v>
      </c>
      <c r="C1737" s="5" t="str">
        <f aca="false">IF(B1737=0,"",IF(INDEX(Bank!$G:$G,B1737)="","",INDEX(Bank!$G:$G,B1737)))</f>
        <v/>
      </c>
      <c r="D1737" s="5" t="str">
        <f aca="false">IF(B1737=0,"",IF(INDEX(Bank!$J:$J,B1737)="","",INDEX(Bank!$J:$J,B1737)))</f>
        <v/>
      </c>
      <c r="E1737" s="32" t="str">
        <f aca="false">IF(B1737=0,"",INDEX(Bank!$B:$B,B1737))</f>
        <v/>
      </c>
      <c r="F1737" s="5" t="str">
        <f aca="false">IF(B1737=0,"",IF(INDEX(Bank!$C:$C,B1737)="","",INDEX(Bank!$C:$C,B1737)))</f>
        <v/>
      </c>
      <c r="G1737" s="19" t="str">
        <f aca="false">IF(B1737=0,"",INDEX(Bank!$E:$E,B1737))</f>
        <v/>
      </c>
      <c r="H1737" s="5" t="str">
        <f aca="false">IF(B1737=0,"",IF(INDEX(Bank!$H:$H,B1737)="","",INDEX(Bank!$H:$H,B1737)))</f>
        <v/>
      </c>
      <c r="I1737" s="5" t="n">
        <f aca="false">IF(H1737="",0,IFERROR(MATCH(H1737,GL!$A:$A,0),0))</f>
        <v>0</v>
      </c>
      <c r="J1737" s="32" t="str">
        <f aca="false">IF(I1737=0,"",INDEX(GL!$B:$B,I1737))</f>
        <v/>
      </c>
      <c r="K1737" s="5" t="str">
        <f aca="false">IF(I1737=0,"",IF(INDEX(GL!$C:$C,I1737)="","",INDEX(GL!$C:$C,I1737)))</f>
        <v/>
      </c>
      <c r="L1737" s="19" t="str">
        <f aca="false">IF(I1737=0,"",INDEX(GL!$E:$E,I1737))</f>
        <v/>
      </c>
      <c r="M1737" s="19" t="str">
        <f aca="false">IF(OR(B1737=0,I1737=0),"",ROUND(G1737-L1737,2))</f>
        <v/>
      </c>
      <c r="N1737" s="5" t="str">
        <f aca="false">IF(A1737="","",IF(B1737=0,"NOT FOUND: bank ID",IF(I1737=0,"NOT FOUND: GL ID",IF(INDEX(GL!$H:$H,I1737)&lt;&gt;A1737,"BROKEN: GL points elsewhere",IF(OR(INDEX(Bank!$F:$F,B1737)&lt;&gt;"Y",INDEX(GL!$F:$F,I1737)&lt;&gt;"Y"),"BROKEN: Status not Y","OK")))))</f>
        <v/>
      </c>
    </row>
    <row r="1738" customFormat="false" ht="15" hidden="false" customHeight="false" outlineLevel="0" collapsed="false">
      <c r="A1738" s="41"/>
      <c r="B1738" s="5" t="n">
        <f aca="false">IF(A1738="",0,IFERROR(MATCH(A1738,Bank!$A:$A,0),0))</f>
        <v>0</v>
      </c>
      <c r="C1738" s="5" t="str">
        <f aca="false">IF(B1738=0,"",IF(INDEX(Bank!$G:$G,B1738)="","",INDEX(Bank!$G:$G,B1738)))</f>
        <v/>
      </c>
      <c r="D1738" s="5" t="str">
        <f aca="false">IF(B1738=0,"",IF(INDEX(Bank!$J:$J,B1738)="","",INDEX(Bank!$J:$J,B1738)))</f>
        <v/>
      </c>
      <c r="E1738" s="32" t="str">
        <f aca="false">IF(B1738=0,"",INDEX(Bank!$B:$B,B1738))</f>
        <v/>
      </c>
      <c r="F1738" s="5" t="str">
        <f aca="false">IF(B1738=0,"",IF(INDEX(Bank!$C:$C,B1738)="","",INDEX(Bank!$C:$C,B1738)))</f>
        <v/>
      </c>
      <c r="G1738" s="19" t="str">
        <f aca="false">IF(B1738=0,"",INDEX(Bank!$E:$E,B1738))</f>
        <v/>
      </c>
      <c r="H1738" s="5" t="str">
        <f aca="false">IF(B1738=0,"",IF(INDEX(Bank!$H:$H,B1738)="","",INDEX(Bank!$H:$H,B1738)))</f>
        <v/>
      </c>
      <c r="I1738" s="5" t="n">
        <f aca="false">IF(H1738="",0,IFERROR(MATCH(H1738,GL!$A:$A,0),0))</f>
        <v>0</v>
      </c>
      <c r="J1738" s="32" t="str">
        <f aca="false">IF(I1738=0,"",INDEX(GL!$B:$B,I1738))</f>
        <v/>
      </c>
      <c r="K1738" s="5" t="str">
        <f aca="false">IF(I1738=0,"",IF(INDEX(GL!$C:$C,I1738)="","",INDEX(GL!$C:$C,I1738)))</f>
        <v/>
      </c>
      <c r="L1738" s="19" t="str">
        <f aca="false">IF(I1738=0,"",INDEX(GL!$E:$E,I1738))</f>
        <v/>
      </c>
      <c r="M1738" s="19" t="str">
        <f aca="false">IF(OR(B1738=0,I1738=0),"",ROUND(G1738-L1738,2))</f>
        <v/>
      </c>
      <c r="N1738" s="5" t="str">
        <f aca="false">IF(A1738="","",IF(B1738=0,"NOT FOUND: bank ID",IF(I1738=0,"NOT FOUND: GL ID",IF(INDEX(GL!$H:$H,I1738)&lt;&gt;A1738,"BROKEN: GL points elsewhere",IF(OR(INDEX(Bank!$F:$F,B1738)&lt;&gt;"Y",INDEX(GL!$F:$F,I1738)&lt;&gt;"Y"),"BROKEN: Status not Y","OK")))))</f>
        <v/>
      </c>
    </row>
    <row r="1739" customFormat="false" ht="15" hidden="false" customHeight="false" outlineLevel="0" collapsed="false">
      <c r="A1739" s="41"/>
      <c r="B1739" s="5" t="n">
        <f aca="false">IF(A1739="",0,IFERROR(MATCH(A1739,Bank!$A:$A,0),0))</f>
        <v>0</v>
      </c>
      <c r="C1739" s="5" t="str">
        <f aca="false">IF(B1739=0,"",IF(INDEX(Bank!$G:$G,B1739)="","",INDEX(Bank!$G:$G,B1739)))</f>
        <v/>
      </c>
      <c r="D1739" s="5" t="str">
        <f aca="false">IF(B1739=0,"",IF(INDEX(Bank!$J:$J,B1739)="","",INDEX(Bank!$J:$J,B1739)))</f>
        <v/>
      </c>
      <c r="E1739" s="32" t="str">
        <f aca="false">IF(B1739=0,"",INDEX(Bank!$B:$B,B1739))</f>
        <v/>
      </c>
      <c r="F1739" s="5" t="str">
        <f aca="false">IF(B1739=0,"",IF(INDEX(Bank!$C:$C,B1739)="","",INDEX(Bank!$C:$C,B1739)))</f>
        <v/>
      </c>
      <c r="G1739" s="19" t="str">
        <f aca="false">IF(B1739=0,"",INDEX(Bank!$E:$E,B1739))</f>
        <v/>
      </c>
      <c r="H1739" s="5" t="str">
        <f aca="false">IF(B1739=0,"",IF(INDEX(Bank!$H:$H,B1739)="","",INDEX(Bank!$H:$H,B1739)))</f>
        <v/>
      </c>
      <c r="I1739" s="5" t="n">
        <f aca="false">IF(H1739="",0,IFERROR(MATCH(H1739,GL!$A:$A,0),0))</f>
        <v>0</v>
      </c>
      <c r="J1739" s="32" t="str">
        <f aca="false">IF(I1739=0,"",INDEX(GL!$B:$B,I1739))</f>
        <v/>
      </c>
      <c r="K1739" s="5" t="str">
        <f aca="false">IF(I1739=0,"",IF(INDEX(GL!$C:$C,I1739)="","",INDEX(GL!$C:$C,I1739)))</f>
        <v/>
      </c>
      <c r="L1739" s="19" t="str">
        <f aca="false">IF(I1739=0,"",INDEX(GL!$E:$E,I1739))</f>
        <v/>
      </c>
      <c r="M1739" s="19" t="str">
        <f aca="false">IF(OR(B1739=0,I1739=0),"",ROUND(G1739-L1739,2))</f>
        <v/>
      </c>
      <c r="N1739" s="5" t="str">
        <f aca="false">IF(A1739="","",IF(B1739=0,"NOT FOUND: bank ID",IF(I1739=0,"NOT FOUND: GL ID",IF(INDEX(GL!$H:$H,I1739)&lt;&gt;A1739,"BROKEN: GL points elsewhere",IF(OR(INDEX(Bank!$F:$F,B1739)&lt;&gt;"Y",INDEX(GL!$F:$F,I1739)&lt;&gt;"Y"),"BROKEN: Status not Y","OK")))))</f>
        <v/>
      </c>
    </row>
    <row r="1740" customFormat="false" ht="15" hidden="false" customHeight="false" outlineLevel="0" collapsed="false">
      <c r="A1740" s="41"/>
      <c r="B1740" s="5" t="n">
        <f aca="false">IF(A1740="",0,IFERROR(MATCH(A1740,Bank!$A:$A,0),0))</f>
        <v>0</v>
      </c>
      <c r="C1740" s="5" t="str">
        <f aca="false">IF(B1740=0,"",IF(INDEX(Bank!$G:$G,B1740)="","",INDEX(Bank!$G:$G,B1740)))</f>
        <v/>
      </c>
      <c r="D1740" s="5" t="str">
        <f aca="false">IF(B1740=0,"",IF(INDEX(Bank!$J:$J,B1740)="","",INDEX(Bank!$J:$J,B1740)))</f>
        <v/>
      </c>
      <c r="E1740" s="32" t="str">
        <f aca="false">IF(B1740=0,"",INDEX(Bank!$B:$B,B1740))</f>
        <v/>
      </c>
      <c r="F1740" s="5" t="str">
        <f aca="false">IF(B1740=0,"",IF(INDEX(Bank!$C:$C,B1740)="","",INDEX(Bank!$C:$C,B1740)))</f>
        <v/>
      </c>
      <c r="G1740" s="19" t="str">
        <f aca="false">IF(B1740=0,"",INDEX(Bank!$E:$E,B1740))</f>
        <v/>
      </c>
      <c r="H1740" s="5" t="str">
        <f aca="false">IF(B1740=0,"",IF(INDEX(Bank!$H:$H,B1740)="","",INDEX(Bank!$H:$H,B1740)))</f>
        <v/>
      </c>
      <c r="I1740" s="5" t="n">
        <f aca="false">IF(H1740="",0,IFERROR(MATCH(H1740,GL!$A:$A,0),0))</f>
        <v>0</v>
      </c>
      <c r="J1740" s="32" t="str">
        <f aca="false">IF(I1740=0,"",INDEX(GL!$B:$B,I1740))</f>
        <v/>
      </c>
      <c r="K1740" s="5" t="str">
        <f aca="false">IF(I1740=0,"",IF(INDEX(GL!$C:$C,I1740)="","",INDEX(GL!$C:$C,I1740)))</f>
        <v/>
      </c>
      <c r="L1740" s="19" t="str">
        <f aca="false">IF(I1740=0,"",INDEX(GL!$E:$E,I1740))</f>
        <v/>
      </c>
      <c r="M1740" s="19" t="str">
        <f aca="false">IF(OR(B1740=0,I1740=0),"",ROUND(G1740-L1740,2))</f>
        <v/>
      </c>
      <c r="N1740" s="5" t="str">
        <f aca="false">IF(A1740="","",IF(B1740=0,"NOT FOUND: bank ID",IF(I1740=0,"NOT FOUND: GL ID",IF(INDEX(GL!$H:$H,I1740)&lt;&gt;A1740,"BROKEN: GL points elsewhere",IF(OR(INDEX(Bank!$F:$F,B1740)&lt;&gt;"Y",INDEX(GL!$F:$F,I1740)&lt;&gt;"Y"),"BROKEN: Status not Y","OK")))))</f>
        <v/>
      </c>
    </row>
    <row r="1741" customFormat="false" ht="15" hidden="false" customHeight="false" outlineLevel="0" collapsed="false">
      <c r="A1741" s="41"/>
      <c r="B1741" s="5" t="n">
        <f aca="false">IF(A1741="",0,IFERROR(MATCH(A1741,Bank!$A:$A,0),0))</f>
        <v>0</v>
      </c>
      <c r="C1741" s="5" t="str">
        <f aca="false">IF(B1741=0,"",IF(INDEX(Bank!$G:$G,B1741)="","",INDEX(Bank!$G:$G,B1741)))</f>
        <v/>
      </c>
      <c r="D1741" s="5" t="str">
        <f aca="false">IF(B1741=0,"",IF(INDEX(Bank!$J:$J,B1741)="","",INDEX(Bank!$J:$J,B1741)))</f>
        <v/>
      </c>
      <c r="E1741" s="32" t="str">
        <f aca="false">IF(B1741=0,"",INDEX(Bank!$B:$B,B1741))</f>
        <v/>
      </c>
      <c r="F1741" s="5" t="str">
        <f aca="false">IF(B1741=0,"",IF(INDEX(Bank!$C:$C,B1741)="","",INDEX(Bank!$C:$C,B1741)))</f>
        <v/>
      </c>
      <c r="G1741" s="19" t="str">
        <f aca="false">IF(B1741=0,"",INDEX(Bank!$E:$E,B1741))</f>
        <v/>
      </c>
      <c r="H1741" s="5" t="str">
        <f aca="false">IF(B1741=0,"",IF(INDEX(Bank!$H:$H,B1741)="","",INDEX(Bank!$H:$H,B1741)))</f>
        <v/>
      </c>
      <c r="I1741" s="5" t="n">
        <f aca="false">IF(H1741="",0,IFERROR(MATCH(H1741,GL!$A:$A,0),0))</f>
        <v>0</v>
      </c>
      <c r="J1741" s="32" t="str">
        <f aca="false">IF(I1741=0,"",INDEX(GL!$B:$B,I1741))</f>
        <v/>
      </c>
      <c r="K1741" s="5" t="str">
        <f aca="false">IF(I1741=0,"",IF(INDEX(GL!$C:$C,I1741)="","",INDEX(GL!$C:$C,I1741)))</f>
        <v/>
      </c>
      <c r="L1741" s="19" t="str">
        <f aca="false">IF(I1741=0,"",INDEX(GL!$E:$E,I1741))</f>
        <v/>
      </c>
      <c r="M1741" s="19" t="str">
        <f aca="false">IF(OR(B1741=0,I1741=0),"",ROUND(G1741-L1741,2))</f>
        <v/>
      </c>
      <c r="N1741" s="5" t="str">
        <f aca="false">IF(A1741="","",IF(B1741=0,"NOT FOUND: bank ID",IF(I1741=0,"NOT FOUND: GL ID",IF(INDEX(GL!$H:$H,I1741)&lt;&gt;A1741,"BROKEN: GL points elsewhere",IF(OR(INDEX(Bank!$F:$F,B1741)&lt;&gt;"Y",INDEX(GL!$F:$F,I1741)&lt;&gt;"Y"),"BROKEN: Status not Y","OK")))))</f>
        <v/>
      </c>
    </row>
    <row r="1742" customFormat="false" ht="15" hidden="false" customHeight="false" outlineLevel="0" collapsed="false">
      <c r="A1742" s="41"/>
      <c r="B1742" s="5" t="n">
        <f aca="false">IF(A1742="",0,IFERROR(MATCH(A1742,Bank!$A:$A,0),0))</f>
        <v>0</v>
      </c>
      <c r="C1742" s="5" t="str">
        <f aca="false">IF(B1742=0,"",IF(INDEX(Bank!$G:$G,B1742)="","",INDEX(Bank!$G:$G,B1742)))</f>
        <v/>
      </c>
      <c r="D1742" s="5" t="str">
        <f aca="false">IF(B1742=0,"",IF(INDEX(Bank!$J:$J,B1742)="","",INDEX(Bank!$J:$J,B1742)))</f>
        <v/>
      </c>
      <c r="E1742" s="32" t="str">
        <f aca="false">IF(B1742=0,"",INDEX(Bank!$B:$B,B1742))</f>
        <v/>
      </c>
      <c r="F1742" s="5" t="str">
        <f aca="false">IF(B1742=0,"",IF(INDEX(Bank!$C:$C,B1742)="","",INDEX(Bank!$C:$C,B1742)))</f>
        <v/>
      </c>
      <c r="G1742" s="19" t="str">
        <f aca="false">IF(B1742=0,"",INDEX(Bank!$E:$E,B1742))</f>
        <v/>
      </c>
      <c r="H1742" s="5" t="str">
        <f aca="false">IF(B1742=0,"",IF(INDEX(Bank!$H:$H,B1742)="","",INDEX(Bank!$H:$H,B1742)))</f>
        <v/>
      </c>
      <c r="I1742" s="5" t="n">
        <f aca="false">IF(H1742="",0,IFERROR(MATCH(H1742,GL!$A:$A,0),0))</f>
        <v>0</v>
      </c>
      <c r="J1742" s="32" t="str">
        <f aca="false">IF(I1742=0,"",INDEX(GL!$B:$B,I1742))</f>
        <v/>
      </c>
      <c r="K1742" s="5" t="str">
        <f aca="false">IF(I1742=0,"",IF(INDEX(GL!$C:$C,I1742)="","",INDEX(GL!$C:$C,I1742)))</f>
        <v/>
      </c>
      <c r="L1742" s="19" t="str">
        <f aca="false">IF(I1742=0,"",INDEX(GL!$E:$E,I1742))</f>
        <v/>
      </c>
      <c r="M1742" s="19" t="str">
        <f aca="false">IF(OR(B1742=0,I1742=0),"",ROUND(G1742-L1742,2))</f>
        <v/>
      </c>
      <c r="N1742" s="5" t="str">
        <f aca="false">IF(A1742="","",IF(B1742=0,"NOT FOUND: bank ID",IF(I1742=0,"NOT FOUND: GL ID",IF(INDEX(GL!$H:$H,I1742)&lt;&gt;A1742,"BROKEN: GL points elsewhere",IF(OR(INDEX(Bank!$F:$F,B1742)&lt;&gt;"Y",INDEX(GL!$F:$F,I1742)&lt;&gt;"Y"),"BROKEN: Status not Y","OK")))))</f>
        <v/>
      </c>
    </row>
    <row r="1743" customFormat="false" ht="15" hidden="false" customHeight="false" outlineLevel="0" collapsed="false">
      <c r="A1743" s="41"/>
      <c r="B1743" s="5" t="n">
        <f aca="false">IF(A1743="",0,IFERROR(MATCH(A1743,Bank!$A:$A,0),0))</f>
        <v>0</v>
      </c>
      <c r="C1743" s="5" t="str">
        <f aca="false">IF(B1743=0,"",IF(INDEX(Bank!$G:$G,B1743)="","",INDEX(Bank!$G:$G,B1743)))</f>
        <v/>
      </c>
      <c r="D1743" s="5" t="str">
        <f aca="false">IF(B1743=0,"",IF(INDEX(Bank!$J:$J,B1743)="","",INDEX(Bank!$J:$J,B1743)))</f>
        <v/>
      </c>
      <c r="E1743" s="32" t="str">
        <f aca="false">IF(B1743=0,"",INDEX(Bank!$B:$B,B1743))</f>
        <v/>
      </c>
      <c r="F1743" s="5" t="str">
        <f aca="false">IF(B1743=0,"",IF(INDEX(Bank!$C:$C,B1743)="","",INDEX(Bank!$C:$C,B1743)))</f>
        <v/>
      </c>
      <c r="G1743" s="19" t="str">
        <f aca="false">IF(B1743=0,"",INDEX(Bank!$E:$E,B1743))</f>
        <v/>
      </c>
      <c r="H1743" s="5" t="str">
        <f aca="false">IF(B1743=0,"",IF(INDEX(Bank!$H:$H,B1743)="","",INDEX(Bank!$H:$H,B1743)))</f>
        <v/>
      </c>
      <c r="I1743" s="5" t="n">
        <f aca="false">IF(H1743="",0,IFERROR(MATCH(H1743,GL!$A:$A,0),0))</f>
        <v>0</v>
      </c>
      <c r="J1743" s="32" t="str">
        <f aca="false">IF(I1743=0,"",INDEX(GL!$B:$B,I1743))</f>
        <v/>
      </c>
      <c r="K1743" s="5" t="str">
        <f aca="false">IF(I1743=0,"",IF(INDEX(GL!$C:$C,I1743)="","",INDEX(GL!$C:$C,I1743)))</f>
        <v/>
      </c>
      <c r="L1743" s="19" t="str">
        <f aca="false">IF(I1743=0,"",INDEX(GL!$E:$E,I1743))</f>
        <v/>
      </c>
      <c r="M1743" s="19" t="str">
        <f aca="false">IF(OR(B1743=0,I1743=0),"",ROUND(G1743-L1743,2))</f>
        <v/>
      </c>
      <c r="N1743" s="5" t="str">
        <f aca="false">IF(A1743="","",IF(B1743=0,"NOT FOUND: bank ID",IF(I1743=0,"NOT FOUND: GL ID",IF(INDEX(GL!$H:$H,I1743)&lt;&gt;A1743,"BROKEN: GL points elsewhere",IF(OR(INDEX(Bank!$F:$F,B1743)&lt;&gt;"Y",INDEX(GL!$F:$F,I1743)&lt;&gt;"Y"),"BROKEN: Status not Y","OK")))))</f>
        <v/>
      </c>
    </row>
    <row r="1744" customFormat="false" ht="15" hidden="false" customHeight="false" outlineLevel="0" collapsed="false">
      <c r="A1744" s="41"/>
      <c r="B1744" s="5" t="n">
        <f aca="false">IF(A1744="",0,IFERROR(MATCH(A1744,Bank!$A:$A,0),0))</f>
        <v>0</v>
      </c>
      <c r="C1744" s="5" t="str">
        <f aca="false">IF(B1744=0,"",IF(INDEX(Bank!$G:$G,B1744)="","",INDEX(Bank!$G:$G,B1744)))</f>
        <v/>
      </c>
      <c r="D1744" s="5" t="str">
        <f aca="false">IF(B1744=0,"",IF(INDEX(Bank!$J:$J,B1744)="","",INDEX(Bank!$J:$J,B1744)))</f>
        <v/>
      </c>
      <c r="E1744" s="32" t="str">
        <f aca="false">IF(B1744=0,"",INDEX(Bank!$B:$B,B1744))</f>
        <v/>
      </c>
      <c r="F1744" s="5" t="str">
        <f aca="false">IF(B1744=0,"",IF(INDEX(Bank!$C:$C,B1744)="","",INDEX(Bank!$C:$C,B1744)))</f>
        <v/>
      </c>
      <c r="G1744" s="19" t="str">
        <f aca="false">IF(B1744=0,"",INDEX(Bank!$E:$E,B1744))</f>
        <v/>
      </c>
      <c r="H1744" s="5" t="str">
        <f aca="false">IF(B1744=0,"",IF(INDEX(Bank!$H:$H,B1744)="","",INDEX(Bank!$H:$H,B1744)))</f>
        <v/>
      </c>
      <c r="I1744" s="5" t="n">
        <f aca="false">IF(H1744="",0,IFERROR(MATCH(H1744,GL!$A:$A,0),0))</f>
        <v>0</v>
      </c>
      <c r="J1744" s="32" t="str">
        <f aca="false">IF(I1744=0,"",INDEX(GL!$B:$B,I1744))</f>
        <v/>
      </c>
      <c r="K1744" s="5" t="str">
        <f aca="false">IF(I1744=0,"",IF(INDEX(GL!$C:$C,I1744)="","",INDEX(GL!$C:$C,I1744)))</f>
        <v/>
      </c>
      <c r="L1744" s="19" t="str">
        <f aca="false">IF(I1744=0,"",INDEX(GL!$E:$E,I1744))</f>
        <v/>
      </c>
      <c r="M1744" s="19" t="str">
        <f aca="false">IF(OR(B1744=0,I1744=0),"",ROUND(G1744-L1744,2))</f>
        <v/>
      </c>
      <c r="N1744" s="5" t="str">
        <f aca="false">IF(A1744="","",IF(B1744=0,"NOT FOUND: bank ID",IF(I1744=0,"NOT FOUND: GL ID",IF(INDEX(GL!$H:$H,I1744)&lt;&gt;A1744,"BROKEN: GL points elsewhere",IF(OR(INDEX(Bank!$F:$F,B1744)&lt;&gt;"Y",INDEX(GL!$F:$F,I1744)&lt;&gt;"Y"),"BROKEN: Status not Y","OK")))))</f>
        <v/>
      </c>
    </row>
    <row r="1745" customFormat="false" ht="15" hidden="false" customHeight="false" outlineLevel="0" collapsed="false">
      <c r="A1745" s="41"/>
      <c r="B1745" s="5" t="n">
        <f aca="false">IF(A1745="",0,IFERROR(MATCH(A1745,Bank!$A:$A,0),0))</f>
        <v>0</v>
      </c>
      <c r="C1745" s="5" t="str">
        <f aca="false">IF(B1745=0,"",IF(INDEX(Bank!$G:$G,B1745)="","",INDEX(Bank!$G:$G,B1745)))</f>
        <v/>
      </c>
      <c r="D1745" s="5" t="str">
        <f aca="false">IF(B1745=0,"",IF(INDEX(Bank!$J:$J,B1745)="","",INDEX(Bank!$J:$J,B1745)))</f>
        <v/>
      </c>
      <c r="E1745" s="32" t="str">
        <f aca="false">IF(B1745=0,"",INDEX(Bank!$B:$B,B1745))</f>
        <v/>
      </c>
      <c r="F1745" s="5" t="str">
        <f aca="false">IF(B1745=0,"",IF(INDEX(Bank!$C:$C,B1745)="","",INDEX(Bank!$C:$C,B1745)))</f>
        <v/>
      </c>
      <c r="G1745" s="19" t="str">
        <f aca="false">IF(B1745=0,"",INDEX(Bank!$E:$E,B1745))</f>
        <v/>
      </c>
      <c r="H1745" s="5" t="str">
        <f aca="false">IF(B1745=0,"",IF(INDEX(Bank!$H:$H,B1745)="","",INDEX(Bank!$H:$H,B1745)))</f>
        <v/>
      </c>
      <c r="I1745" s="5" t="n">
        <f aca="false">IF(H1745="",0,IFERROR(MATCH(H1745,GL!$A:$A,0),0))</f>
        <v>0</v>
      </c>
      <c r="J1745" s="32" t="str">
        <f aca="false">IF(I1745=0,"",INDEX(GL!$B:$B,I1745))</f>
        <v/>
      </c>
      <c r="K1745" s="5" t="str">
        <f aca="false">IF(I1745=0,"",IF(INDEX(GL!$C:$C,I1745)="","",INDEX(GL!$C:$C,I1745)))</f>
        <v/>
      </c>
      <c r="L1745" s="19" t="str">
        <f aca="false">IF(I1745=0,"",INDEX(GL!$E:$E,I1745))</f>
        <v/>
      </c>
      <c r="M1745" s="19" t="str">
        <f aca="false">IF(OR(B1745=0,I1745=0),"",ROUND(G1745-L1745,2))</f>
        <v/>
      </c>
      <c r="N1745" s="5" t="str">
        <f aca="false">IF(A1745="","",IF(B1745=0,"NOT FOUND: bank ID",IF(I1745=0,"NOT FOUND: GL ID",IF(INDEX(GL!$H:$H,I1745)&lt;&gt;A1745,"BROKEN: GL points elsewhere",IF(OR(INDEX(Bank!$F:$F,B1745)&lt;&gt;"Y",INDEX(GL!$F:$F,I1745)&lt;&gt;"Y"),"BROKEN: Status not Y","OK")))))</f>
        <v/>
      </c>
    </row>
    <row r="1746" customFormat="false" ht="15" hidden="false" customHeight="false" outlineLevel="0" collapsed="false">
      <c r="A1746" s="41"/>
      <c r="B1746" s="5" t="n">
        <f aca="false">IF(A1746="",0,IFERROR(MATCH(A1746,Bank!$A:$A,0),0))</f>
        <v>0</v>
      </c>
      <c r="C1746" s="5" t="str">
        <f aca="false">IF(B1746=0,"",IF(INDEX(Bank!$G:$G,B1746)="","",INDEX(Bank!$G:$G,B1746)))</f>
        <v/>
      </c>
      <c r="D1746" s="5" t="str">
        <f aca="false">IF(B1746=0,"",IF(INDEX(Bank!$J:$J,B1746)="","",INDEX(Bank!$J:$J,B1746)))</f>
        <v/>
      </c>
      <c r="E1746" s="32" t="str">
        <f aca="false">IF(B1746=0,"",INDEX(Bank!$B:$B,B1746))</f>
        <v/>
      </c>
      <c r="F1746" s="5" t="str">
        <f aca="false">IF(B1746=0,"",IF(INDEX(Bank!$C:$C,B1746)="","",INDEX(Bank!$C:$C,B1746)))</f>
        <v/>
      </c>
      <c r="G1746" s="19" t="str">
        <f aca="false">IF(B1746=0,"",INDEX(Bank!$E:$E,B1746))</f>
        <v/>
      </c>
      <c r="H1746" s="5" t="str">
        <f aca="false">IF(B1746=0,"",IF(INDEX(Bank!$H:$H,B1746)="","",INDEX(Bank!$H:$H,B1746)))</f>
        <v/>
      </c>
      <c r="I1746" s="5" t="n">
        <f aca="false">IF(H1746="",0,IFERROR(MATCH(H1746,GL!$A:$A,0),0))</f>
        <v>0</v>
      </c>
      <c r="J1746" s="32" t="str">
        <f aca="false">IF(I1746=0,"",INDEX(GL!$B:$B,I1746))</f>
        <v/>
      </c>
      <c r="K1746" s="5" t="str">
        <f aca="false">IF(I1746=0,"",IF(INDEX(GL!$C:$C,I1746)="","",INDEX(GL!$C:$C,I1746)))</f>
        <v/>
      </c>
      <c r="L1746" s="19" t="str">
        <f aca="false">IF(I1746=0,"",INDEX(GL!$E:$E,I1746))</f>
        <v/>
      </c>
      <c r="M1746" s="19" t="str">
        <f aca="false">IF(OR(B1746=0,I1746=0),"",ROUND(G1746-L1746,2))</f>
        <v/>
      </c>
      <c r="N1746" s="5" t="str">
        <f aca="false">IF(A1746="","",IF(B1746=0,"NOT FOUND: bank ID",IF(I1746=0,"NOT FOUND: GL ID",IF(INDEX(GL!$H:$H,I1746)&lt;&gt;A1746,"BROKEN: GL points elsewhere",IF(OR(INDEX(Bank!$F:$F,B1746)&lt;&gt;"Y",INDEX(GL!$F:$F,I1746)&lt;&gt;"Y"),"BROKEN: Status not Y","OK")))))</f>
        <v/>
      </c>
    </row>
    <row r="1747" customFormat="false" ht="15" hidden="false" customHeight="false" outlineLevel="0" collapsed="false">
      <c r="A1747" s="41"/>
      <c r="B1747" s="5" t="n">
        <f aca="false">IF(A1747="",0,IFERROR(MATCH(A1747,Bank!$A:$A,0),0))</f>
        <v>0</v>
      </c>
      <c r="C1747" s="5" t="str">
        <f aca="false">IF(B1747=0,"",IF(INDEX(Bank!$G:$G,B1747)="","",INDEX(Bank!$G:$G,B1747)))</f>
        <v/>
      </c>
      <c r="D1747" s="5" t="str">
        <f aca="false">IF(B1747=0,"",IF(INDEX(Bank!$J:$J,B1747)="","",INDEX(Bank!$J:$J,B1747)))</f>
        <v/>
      </c>
      <c r="E1747" s="32" t="str">
        <f aca="false">IF(B1747=0,"",INDEX(Bank!$B:$B,B1747))</f>
        <v/>
      </c>
      <c r="F1747" s="5" t="str">
        <f aca="false">IF(B1747=0,"",IF(INDEX(Bank!$C:$C,B1747)="","",INDEX(Bank!$C:$C,B1747)))</f>
        <v/>
      </c>
      <c r="G1747" s="19" t="str">
        <f aca="false">IF(B1747=0,"",INDEX(Bank!$E:$E,B1747))</f>
        <v/>
      </c>
      <c r="H1747" s="5" t="str">
        <f aca="false">IF(B1747=0,"",IF(INDEX(Bank!$H:$H,B1747)="","",INDEX(Bank!$H:$H,B1747)))</f>
        <v/>
      </c>
      <c r="I1747" s="5" t="n">
        <f aca="false">IF(H1747="",0,IFERROR(MATCH(H1747,GL!$A:$A,0),0))</f>
        <v>0</v>
      </c>
      <c r="J1747" s="32" t="str">
        <f aca="false">IF(I1747=0,"",INDEX(GL!$B:$B,I1747))</f>
        <v/>
      </c>
      <c r="K1747" s="5" t="str">
        <f aca="false">IF(I1747=0,"",IF(INDEX(GL!$C:$C,I1747)="","",INDEX(GL!$C:$C,I1747)))</f>
        <v/>
      </c>
      <c r="L1747" s="19" t="str">
        <f aca="false">IF(I1747=0,"",INDEX(GL!$E:$E,I1747))</f>
        <v/>
      </c>
      <c r="M1747" s="19" t="str">
        <f aca="false">IF(OR(B1747=0,I1747=0),"",ROUND(G1747-L1747,2))</f>
        <v/>
      </c>
      <c r="N1747" s="5" t="str">
        <f aca="false">IF(A1747="","",IF(B1747=0,"NOT FOUND: bank ID",IF(I1747=0,"NOT FOUND: GL ID",IF(INDEX(GL!$H:$H,I1747)&lt;&gt;A1747,"BROKEN: GL points elsewhere",IF(OR(INDEX(Bank!$F:$F,B1747)&lt;&gt;"Y",INDEX(GL!$F:$F,I1747)&lt;&gt;"Y"),"BROKEN: Status not Y","OK")))))</f>
        <v/>
      </c>
    </row>
    <row r="1748" customFormat="false" ht="15" hidden="false" customHeight="false" outlineLevel="0" collapsed="false">
      <c r="A1748" s="41"/>
      <c r="B1748" s="5" t="n">
        <f aca="false">IF(A1748="",0,IFERROR(MATCH(A1748,Bank!$A:$A,0),0))</f>
        <v>0</v>
      </c>
      <c r="C1748" s="5" t="str">
        <f aca="false">IF(B1748=0,"",IF(INDEX(Bank!$G:$G,B1748)="","",INDEX(Bank!$G:$G,B1748)))</f>
        <v/>
      </c>
      <c r="D1748" s="5" t="str">
        <f aca="false">IF(B1748=0,"",IF(INDEX(Bank!$J:$J,B1748)="","",INDEX(Bank!$J:$J,B1748)))</f>
        <v/>
      </c>
      <c r="E1748" s="32" t="str">
        <f aca="false">IF(B1748=0,"",INDEX(Bank!$B:$B,B1748))</f>
        <v/>
      </c>
      <c r="F1748" s="5" t="str">
        <f aca="false">IF(B1748=0,"",IF(INDEX(Bank!$C:$C,B1748)="","",INDEX(Bank!$C:$C,B1748)))</f>
        <v/>
      </c>
      <c r="G1748" s="19" t="str">
        <f aca="false">IF(B1748=0,"",INDEX(Bank!$E:$E,B1748))</f>
        <v/>
      </c>
      <c r="H1748" s="5" t="str">
        <f aca="false">IF(B1748=0,"",IF(INDEX(Bank!$H:$H,B1748)="","",INDEX(Bank!$H:$H,B1748)))</f>
        <v/>
      </c>
      <c r="I1748" s="5" t="n">
        <f aca="false">IF(H1748="",0,IFERROR(MATCH(H1748,GL!$A:$A,0),0))</f>
        <v>0</v>
      </c>
      <c r="J1748" s="32" t="str">
        <f aca="false">IF(I1748=0,"",INDEX(GL!$B:$B,I1748))</f>
        <v/>
      </c>
      <c r="K1748" s="5" t="str">
        <f aca="false">IF(I1748=0,"",IF(INDEX(GL!$C:$C,I1748)="","",INDEX(GL!$C:$C,I1748)))</f>
        <v/>
      </c>
      <c r="L1748" s="19" t="str">
        <f aca="false">IF(I1748=0,"",INDEX(GL!$E:$E,I1748))</f>
        <v/>
      </c>
      <c r="M1748" s="19" t="str">
        <f aca="false">IF(OR(B1748=0,I1748=0),"",ROUND(G1748-L1748,2))</f>
        <v/>
      </c>
      <c r="N1748" s="5" t="str">
        <f aca="false">IF(A1748="","",IF(B1748=0,"NOT FOUND: bank ID",IF(I1748=0,"NOT FOUND: GL ID",IF(INDEX(GL!$H:$H,I1748)&lt;&gt;A1748,"BROKEN: GL points elsewhere",IF(OR(INDEX(Bank!$F:$F,B1748)&lt;&gt;"Y",INDEX(GL!$F:$F,I1748)&lt;&gt;"Y"),"BROKEN: Status not Y","OK")))))</f>
        <v/>
      </c>
    </row>
    <row r="1749" customFormat="false" ht="15" hidden="false" customHeight="false" outlineLevel="0" collapsed="false">
      <c r="A1749" s="41"/>
      <c r="B1749" s="5" t="n">
        <f aca="false">IF(A1749="",0,IFERROR(MATCH(A1749,Bank!$A:$A,0),0))</f>
        <v>0</v>
      </c>
      <c r="C1749" s="5" t="str">
        <f aca="false">IF(B1749=0,"",IF(INDEX(Bank!$G:$G,B1749)="","",INDEX(Bank!$G:$G,B1749)))</f>
        <v/>
      </c>
      <c r="D1749" s="5" t="str">
        <f aca="false">IF(B1749=0,"",IF(INDEX(Bank!$J:$J,B1749)="","",INDEX(Bank!$J:$J,B1749)))</f>
        <v/>
      </c>
      <c r="E1749" s="32" t="str">
        <f aca="false">IF(B1749=0,"",INDEX(Bank!$B:$B,B1749))</f>
        <v/>
      </c>
      <c r="F1749" s="5" t="str">
        <f aca="false">IF(B1749=0,"",IF(INDEX(Bank!$C:$C,B1749)="","",INDEX(Bank!$C:$C,B1749)))</f>
        <v/>
      </c>
      <c r="G1749" s="19" t="str">
        <f aca="false">IF(B1749=0,"",INDEX(Bank!$E:$E,B1749))</f>
        <v/>
      </c>
      <c r="H1749" s="5" t="str">
        <f aca="false">IF(B1749=0,"",IF(INDEX(Bank!$H:$H,B1749)="","",INDEX(Bank!$H:$H,B1749)))</f>
        <v/>
      </c>
      <c r="I1749" s="5" t="n">
        <f aca="false">IF(H1749="",0,IFERROR(MATCH(H1749,GL!$A:$A,0),0))</f>
        <v>0</v>
      </c>
      <c r="J1749" s="32" t="str">
        <f aca="false">IF(I1749=0,"",INDEX(GL!$B:$B,I1749))</f>
        <v/>
      </c>
      <c r="K1749" s="5" t="str">
        <f aca="false">IF(I1749=0,"",IF(INDEX(GL!$C:$C,I1749)="","",INDEX(GL!$C:$C,I1749)))</f>
        <v/>
      </c>
      <c r="L1749" s="19" t="str">
        <f aca="false">IF(I1749=0,"",INDEX(GL!$E:$E,I1749))</f>
        <v/>
      </c>
      <c r="M1749" s="19" t="str">
        <f aca="false">IF(OR(B1749=0,I1749=0),"",ROUND(G1749-L1749,2))</f>
        <v/>
      </c>
      <c r="N1749" s="5" t="str">
        <f aca="false">IF(A1749="","",IF(B1749=0,"NOT FOUND: bank ID",IF(I1749=0,"NOT FOUND: GL ID",IF(INDEX(GL!$H:$H,I1749)&lt;&gt;A1749,"BROKEN: GL points elsewhere",IF(OR(INDEX(Bank!$F:$F,B1749)&lt;&gt;"Y",INDEX(GL!$F:$F,I1749)&lt;&gt;"Y"),"BROKEN: Status not Y","OK")))))</f>
        <v/>
      </c>
    </row>
    <row r="1750" customFormat="false" ht="15" hidden="false" customHeight="false" outlineLevel="0" collapsed="false">
      <c r="A1750" s="41"/>
      <c r="B1750" s="5" t="n">
        <f aca="false">IF(A1750="",0,IFERROR(MATCH(A1750,Bank!$A:$A,0),0))</f>
        <v>0</v>
      </c>
      <c r="C1750" s="5" t="str">
        <f aca="false">IF(B1750=0,"",IF(INDEX(Bank!$G:$G,B1750)="","",INDEX(Bank!$G:$G,B1750)))</f>
        <v/>
      </c>
      <c r="D1750" s="5" t="str">
        <f aca="false">IF(B1750=0,"",IF(INDEX(Bank!$J:$J,B1750)="","",INDEX(Bank!$J:$J,B1750)))</f>
        <v/>
      </c>
      <c r="E1750" s="32" t="str">
        <f aca="false">IF(B1750=0,"",INDEX(Bank!$B:$B,B1750))</f>
        <v/>
      </c>
      <c r="F1750" s="5" t="str">
        <f aca="false">IF(B1750=0,"",IF(INDEX(Bank!$C:$C,B1750)="","",INDEX(Bank!$C:$C,B1750)))</f>
        <v/>
      </c>
      <c r="G1750" s="19" t="str">
        <f aca="false">IF(B1750=0,"",INDEX(Bank!$E:$E,B1750))</f>
        <v/>
      </c>
      <c r="H1750" s="5" t="str">
        <f aca="false">IF(B1750=0,"",IF(INDEX(Bank!$H:$H,B1750)="","",INDEX(Bank!$H:$H,B1750)))</f>
        <v/>
      </c>
      <c r="I1750" s="5" t="n">
        <f aca="false">IF(H1750="",0,IFERROR(MATCH(H1750,GL!$A:$A,0),0))</f>
        <v>0</v>
      </c>
      <c r="J1750" s="32" t="str">
        <f aca="false">IF(I1750=0,"",INDEX(GL!$B:$B,I1750))</f>
        <v/>
      </c>
      <c r="K1750" s="5" t="str">
        <f aca="false">IF(I1750=0,"",IF(INDEX(GL!$C:$C,I1750)="","",INDEX(GL!$C:$C,I1750)))</f>
        <v/>
      </c>
      <c r="L1750" s="19" t="str">
        <f aca="false">IF(I1750=0,"",INDEX(GL!$E:$E,I1750))</f>
        <v/>
      </c>
      <c r="M1750" s="19" t="str">
        <f aca="false">IF(OR(B1750=0,I1750=0),"",ROUND(G1750-L1750,2))</f>
        <v/>
      </c>
      <c r="N1750" s="5" t="str">
        <f aca="false">IF(A1750="","",IF(B1750=0,"NOT FOUND: bank ID",IF(I1750=0,"NOT FOUND: GL ID",IF(INDEX(GL!$H:$H,I1750)&lt;&gt;A1750,"BROKEN: GL points elsewhere",IF(OR(INDEX(Bank!$F:$F,B1750)&lt;&gt;"Y",INDEX(GL!$F:$F,I1750)&lt;&gt;"Y"),"BROKEN: Status not Y","OK")))))</f>
        <v/>
      </c>
    </row>
    <row r="1751" customFormat="false" ht="15" hidden="false" customHeight="false" outlineLevel="0" collapsed="false">
      <c r="A1751" s="41"/>
      <c r="B1751" s="5" t="n">
        <f aca="false">IF(A1751="",0,IFERROR(MATCH(A1751,Bank!$A:$A,0),0))</f>
        <v>0</v>
      </c>
      <c r="C1751" s="5" t="str">
        <f aca="false">IF(B1751=0,"",IF(INDEX(Bank!$G:$G,B1751)="","",INDEX(Bank!$G:$G,B1751)))</f>
        <v/>
      </c>
      <c r="D1751" s="5" t="str">
        <f aca="false">IF(B1751=0,"",IF(INDEX(Bank!$J:$J,B1751)="","",INDEX(Bank!$J:$J,B1751)))</f>
        <v/>
      </c>
      <c r="E1751" s="32" t="str">
        <f aca="false">IF(B1751=0,"",INDEX(Bank!$B:$B,B1751))</f>
        <v/>
      </c>
      <c r="F1751" s="5" t="str">
        <f aca="false">IF(B1751=0,"",IF(INDEX(Bank!$C:$C,B1751)="","",INDEX(Bank!$C:$C,B1751)))</f>
        <v/>
      </c>
      <c r="G1751" s="19" t="str">
        <f aca="false">IF(B1751=0,"",INDEX(Bank!$E:$E,B1751))</f>
        <v/>
      </c>
      <c r="H1751" s="5" t="str">
        <f aca="false">IF(B1751=0,"",IF(INDEX(Bank!$H:$H,B1751)="","",INDEX(Bank!$H:$H,B1751)))</f>
        <v/>
      </c>
      <c r="I1751" s="5" t="n">
        <f aca="false">IF(H1751="",0,IFERROR(MATCH(H1751,GL!$A:$A,0),0))</f>
        <v>0</v>
      </c>
      <c r="J1751" s="32" t="str">
        <f aca="false">IF(I1751=0,"",INDEX(GL!$B:$B,I1751))</f>
        <v/>
      </c>
      <c r="K1751" s="5" t="str">
        <f aca="false">IF(I1751=0,"",IF(INDEX(GL!$C:$C,I1751)="","",INDEX(GL!$C:$C,I1751)))</f>
        <v/>
      </c>
      <c r="L1751" s="19" t="str">
        <f aca="false">IF(I1751=0,"",INDEX(GL!$E:$E,I1751))</f>
        <v/>
      </c>
      <c r="M1751" s="19" t="str">
        <f aca="false">IF(OR(B1751=0,I1751=0),"",ROUND(G1751-L1751,2))</f>
        <v/>
      </c>
      <c r="N1751" s="5" t="str">
        <f aca="false">IF(A1751="","",IF(B1751=0,"NOT FOUND: bank ID",IF(I1751=0,"NOT FOUND: GL ID",IF(INDEX(GL!$H:$H,I1751)&lt;&gt;A1751,"BROKEN: GL points elsewhere",IF(OR(INDEX(Bank!$F:$F,B1751)&lt;&gt;"Y",INDEX(GL!$F:$F,I1751)&lt;&gt;"Y"),"BROKEN: Status not Y","OK")))))</f>
        <v/>
      </c>
    </row>
    <row r="1752" customFormat="false" ht="15" hidden="false" customHeight="false" outlineLevel="0" collapsed="false">
      <c r="A1752" s="41"/>
      <c r="B1752" s="5" t="n">
        <f aca="false">IF(A1752="",0,IFERROR(MATCH(A1752,Bank!$A:$A,0),0))</f>
        <v>0</v>
      </c>
      <c r="C1752" s="5" t="str">
        <f aca="false">IF(B1752=0,"",IF(INDEX(Bank!$G:$G,B1752)="","",INDEX(Bank!$G:$G,B1752)))</f>
        <v/>
      </c>
      <c r="D1752" s="5" t="str">
        <f aca="false">IF(B1752=0,"",IF(INDEX(Bank!$J:$J,B1752)="","",INDEX(Bank!$J:$J,B1752)))</f>
        <v/>
      </c>
      <c r="E1752" s="32" t="str">
        <f aca="false">IF(B1752=0,"",INDEX(Bank!$B:$B,B1752))</f>
        <v/>
      </c>
      <c r="F1752" s="5" t="str">
        <f aca="false">IF(B1752=0,"",IF(INDEX(Bank!$C:$C,B1752)="","",INDEX(Bank!$C:$C,B1752)))</f>
        <v/>
      </c>
      <c r="G1752" s="19" t="str">
        <f aca="false">IF(B1752=0,"",INDEX(Bank!$E:$E,B1752))</f>
        <v/>
      </c>
      <c r="H1752" s="5" t="str">
        <f aca="false">IF(B1752=0,"",IF(INDEX(Bank!$H:$H,B1752)="","",INDEX(Bank!$H:$H,B1752)))</f>
        <v/>
      </c>
      <c r="I1752" s="5" t="n">
        <f aca="false">IF(H1752="",0,IFERROR(MATCH(H1752,GL!$A:$A,0),0))</f>
        <v>0</v>
      </c>
      <c r="J1752" s="32" t="str">
        <f aca="false">IF(I1752=0,"",INDEX(GL!$B:$B,I1752))</f>
        <v/>
      </c>
      <c r="K1752" s="5" t="str">
        <f aca="false">IF(I1752=0,"",IF(INDEX(GL!$C:$C,I1752)="","",INDEX(GL!$C:$C,I1752)))</f>
        <v/>
      </c>
      <c r="L1752" s="19" t="str">
        <f aca="false">IF(I1752=0,"",INDEX(GL!$E:$E,I1752))</f>
        <v/>
      </c>
      <c r="M1752" s="19" t="str">
        <f aca="false">IF(OR(B1752=0,I1752=0),"",ROUND(G1752-L1752,2))</f>
        <v/>
      </c>
      <c r="N1752" s="5" t="str">
        <f aca="false">IF(A1752="","",IF(B1752=0,"NOT FOUND: bank ID",IF(I1752=0,"NOT FOUND: GL ID",IF(INDEX(GL!$H:$H,I1752)&lt;&gt;A1752,"BROKEN: GL points elsewhere",IF(OR(INDEX(Bank!$F:$F,B1752)&lt;&gt;"Y",INDEX(GL!$F:$F,I1752)&lt;&gt;"Y"),"BROKEN: Status not Y","OK")))))</f>
        <v/>
      </c>
    </row>
    <row r="1753" customFormat="false" ht="15" hidden="false" customHeight="false" outlineLevel="0" collapsed="false">
      <c r="A1753" s="41"/>
      <c r="B1753" s="5" t="n">
        <f aca="false">IF(A1753="",0,IFERROR(MATCH(A1753,Bank!$A:$A,0),0))</f>
        <v>0</v>
      </c>
      <c r="C1753" s="5" t="str">
        <f aca="false">IF(B1753=0,"",IF(INDEX(Bank!$G:$G,B1753)="","",INDEX(Bank!$G:$G,B1753)))</f>
        <v/>
      </c>
      <c r="D1753" s="5" t="str">
        <f aca="false">IF(B1753=0,"",IF(INDEX(Bank!$J:$J,B1753)="","",INDEX(Bank!$J:$J,B1753)))</f>
        <v/>
      </c>
      <c r="E1753" s="32" t="str">
        <f aca="false">IF(B1753=0,"",INDEX(Bank!$B:$B,B1753))</f>
        <v/>
      </c>
      <c r="F1753" s="5" t="str">
        <f aca="false">IF(B1753=0,"",IF(INDEX(Bank!$C:$C,B1753)="","",INDEX(Bank!$C:$C,B1753)))</f>
        <v/>
      </c>
      <c r="G1753" s="19" t="str">
        <f aca="false">IF(B1753=0,"",INDEX(Bank!$E:$E,B1753))</f>
        <v/>
      </c>
      <c r="H1753" s="5" t="str">
        <f aca="false">IF(B1753=0,"",IF(INDEX(Bank!$H:$H,B1753)="","",INDEX(Bank!$H:$H,B1753)))</f>
        <v/>
      </c>
      <c r="I1753" s="5" t="n">
        <f aca="false">IF(H1753="",0,IFERROR(MATCH(H1753,GL!$A:$A,0),0))</f>
        <v>0</v>
      </c>
      <c r="J1753" s="32" t="str">
        <f aca="false">IF(I1753=0,"",INDEX(GL!$B:$B,I1753))</f>
        <v/>
      </c>
      <c r="K1753" s="5" t="str">
        <f aca="false">IF(I1753=0,"",IF(INDEX(GL!$C:$C,I1753)="","",INDEX(GL!$C:$C,I1753)))</f>
        <v/>
      </c>
      <c r="L1753" s="19" t="str">
        <f aca="false">IF(I1753=0,"",INDEX(GL!$E:$E,I1753))</f>
        <v/>
      </c>
      <c r="M1753" s="19" t="str">
        <f aca="false">IF(OR(B1753=0,I1753=0),"",ROUND(G1753-L1753,2))</f>
        <v/>
      </c>
      <c r="N1753" s="5" t="str">
        <f aca="false">IF(A1753="","",IF(B1753=0,"NOT FOUND: bank ID",IF(I1753=0,"NOT FOUND: GL ID",IF(INDEX(GL!$H:$H,I1753)&lt;&gt;A1753,"BROKEN: GL points elsewhere",IF(OR(INDEX(Bank!$F:$F,B1753)&lt;&gt;"Y",INDEX(GL!$F:$F,I1753)&lt;&gt;"Y"),"BROKEN: Status not Y","OK")))))</f>
        <v/>
      </c>
    </row>
    <row r="1754" customFormat="false" ht="15" hidden="false" customHeight="false" outlineLevel="0" collapsed="false">
      <c r="A1754" s="41"/>
      <c r="B1754" s="5" t="n">
        <f aca="false">IF(A1754="",0,IFERROR(MATCH(A1754,Bank!$A:$A,0),0))</f>
        <v>0</v>
      </c>
      <c r="C1754" s="5" t="str">
        <f aca="false">IF(B1754=0,"",IF(INDEX(Bank!$G:$G,B1754)="","",INDEX(Bank!$G:$G,B1754)))</f>
        <v/>
      </c>
      <c r="D1754" s="5" t="str">
        <f aca="false">IF(B1754=0,"",IF(INDEX(Bank!$J:$J,B1754)="","",INDEX(Bank!$J:$J,B1754)))</f>
        <v/>
      </c>
      <c r="E1754" s="32" t="str">
        <f aca="false">IF(B1754=0,"",INDEX(Bank!$B:$B,B1754))</f>
        <v/>
      </c>
      <c r="F1754" s="5" t="str">
        <f aca="false">IF(B1754=0,"",IF(INDEX(Bank!$C:$C,B1754)="","",INDEX(Bank!$C:$C,B1754)))</f>
        <v/>
      </c>
      <c r="G1754" s="19" t="str">
        <f aca="false">IF(B1754=0,"",INDEX(Bank!$E:$E,B1754))</f>
        <v/>
      </c>
      <c r="H1754" s="5" t="str">
        <f aca="false">IF(B1754=0,"",IF(INDEX(Bank!$H:$H,B1754)="","",INDEX(Bank!$H:$H,B1754)))</f>
        <v/>
      </c>
      <c r="I1754" s="5" t="n">
        <f aca="false">IF(H1754="",0,IFERROR(MATCH(H1754,GL!$A:$A,0),0))</f>
        <v>0</v>
      </c>
      <c r="J1754" s="32" t="str">
        <f aca="false">IF(I1754=0,"",INDEX(GL!$B:$B,I1754))</f>
        <v/>
      </c>
      <c r="K1754" s="5" t="str">
        <f aca="false">IF(I1754=0,"",IF(INDEX(GL!$C:$C,I1754)="","",INDEX(GL!$C:$C,I1754)))</f>
        <v/>
      </c>
      <c r="L1754" s="19" t="str">
        <f aca="false">IF(I1754=0,"",INDEX(GL!$E:$E,I1754))</f>
        <v/>
      </c>
      <c r="M1754" s="19" t="str">
        <f aca="false">IF(OR(B1754=0,I1754=0),"",ROUND(G1754-L1754,2))</f>
        <v/>
      </c>
      <c r="N1754" s="5" t="str">
        <f aca="false">IF(A1754="","",IF(B1754=0,"NOT FOUND: bank ID",IF(I1754=0,"NOT FOUND: GL ID",IF(INDEX(GL!$H:$H,I1754)&lt;&gt;A1754,"BROKEN: GL points elsewhere",IF(OR(INDEX(Bank!$F:$F,B1754)&lt;&gt;"Y",INDEX(GL!$F:$F,I1754)&lt;&gt;"Y"),"BROKEN: Status not Y","OK")))))</f>
        <v/>
      </c>
    </row>
    <row r="1755" customFormat="false" ht="15" hidden="false" customHeight="false" outlineLevel="0" collapsed="false">
      <c r="A1755" s="41"/>
      <c r="B1755" s="5" t="n">
        <f aca="false">IF(A1755="",0,IFERROR(MATCH(A1755,Bank!$A:$A,0),0))</f>
        <v>0</v>
      </c>
      <c r="C1755" s="5" t="str">
        <f aca="false">IF(B1755=0,"",IF(INDEX(Bank!$G:$G,B1755)="","",INDEX(Bank!$G:$G,B1755)))</f>
        <v/>
      </c>
      <c r="D1755" s="5" t="str">
        <f aca="false">IF(B1755=0,"",IF(INDEX(Bank!$J:$J,B1755)="","",INDEX(Bank!$J:$J,B1755)))</f>
        <v/>
      </c>
      <c r="E1755" s="32" t="str">
        <f aca="false">IF(B1755=0,"",INDEX(Bank!$B:$B,B1755))</f>
        <v/>
      </c>
      <c r="F1755" s="5" t="str">
        <f aca="false">IF(B1755=0,"",IF(INDEX(Bank!$C:$C,B1755)="","",INDEX(Bank!$C:$C,B1755)))</f>
        <v/>
      </c>
      <c r="G1755" s="19" t="str">
        <f aca="false">IF(B1755=0,"",INDEX(Bank!$E:$E,B1755))</f>
        <v/>
      </c>
      <c r="H1755" s="5" t="str">
        <f aca="false">IF(B1755=0,"",IF(INDEX(Bank!$H:$H,B1755)="","",INDEX(Bank!$H:$H,B1755)))</f>
        <v/>
      </c>
      <c r="I1755" s="5" t="n">
        <f aca="false">IF(H1755="",0,IFERROR(MATCH(H1755,GL!$A:$A,0),0))</f>
        <v>0</v>
      </c>
      <c r="J1755" s="32" t="str">
        <f aca="false">IF(I1755=0,"",INDEX(GL!$B:$B,I1755))</f>
        <v/>
      </c>
      <c r="K1755" s="5" t="str">
        <f aca="false">IF(I1755=0,"",IF(INDEX(GL!$C:$C,I1755)="","",INDEX(GL!$C:$C,I1755)))</f>
        <v/>
      </c>
      <c r="L1755" s="19" t="str">
        <f aca="false">IF(I1755=0,"",INDEX(GL!$E:$E,I1755))</f>
        <v/>
      </c>
      <c r="M1755" s="19" t="str">
        <f aca="false">IF(OR(B1755=0,I1755=0),"",ROUND(G1755-L1755,2))</f>
        <v/>
      </c>
      <c r="N1755" s="5" t="str">
        <f aca="false">IF(A1755="","",IF(B1755=0,"NOT FOUND: bank ID",IF(I1755=0,"NOT FOUND: GL ID",IF(INDEX(GL!$H:$H,I1755)&lt;&gt;A1755,"BROKEN: GL points elsewhere",IF(OR(INDEX(Bank!$F:$F,B1755)&lt;&gt;"Y",INDEX(GL!$F:$F,I1755)&lt;&gt;"Y"),"BROKEN: Status not Y","OK")))))</f>
        <v/>
      </c>
    </row>
    <row r="1756" customFormat="false" ht="15" hidden="false" customHeight="false" outlineLevel="0" collapsed="false">
      <c r="A1756" s="41"/>
      <c r="B1756" s="5" t="n">
        <f aca="false">IF(A1756="",0,IFERROR(MATCH(A1756,Bank!$A:$A,0),0))</f>
        <v>0</v>
      </c>
      <c r="C1756" s="5" t="str">
        <f aca="false">IF(B1756=0,"",IF(INDEX(Bank!$G:$G,B1756)="","",INDEX(Bank!$G:$G,B1756)))</f>
        <v/>
      </c>
      <c r="D1756" s="5" t="str">
        <f aca="false">IF(B1756=0,"",IF(INDEX(Bank!$J:$J,B1756)="","",INDEX(Bank!$J:$J,B1756)))</f>
        <v/>
      </c>
      <c r="E1756" s="32" t="str">
        <f aca="false">IF(B1756=0,"",INDEX(Bank!$B:$B,B1756))</f>
        <v/>
      </c>
      <c r="F1756" s="5" t="str">
        <f aca="false">IF(B1756=0,"",IF(INDEX(Bank!$C:$C,B1756)="","",INDEX(Bank!$C:$C,B1756)))</f>
        <v/>
      </c>
      <c r="G1756" s="19" t="str">
        <f aca="false">IF(B1756=0,"",INDEX(Bank!$E:$E,B1756))</f>
        <v/>
      </c>
      <c r="H1756" s="5" t="str">
        <f aca="false">IF(B1756=0,"",IF(INDEX(Bank!$H:$H,B1756)="","",INDEX(Bank!$H:$H,B1756)))</f>
        <v/>
      </c>
      <c r="I1756" s="5" t="n">
        <f aca="false">IF(H1756="",0,IFERROR(MATCH(H1756,GL!$A:$A,0),0))</f>
        <v>0</v>
      </c>
      <c r="J1756" s="32" t="str">
        <f aca="false">IF(I1756=0,"",INDEX(GL!$B:$B,I1756))</f>
        <v/>
      </c>
      <c r="K1756" s="5" t="str">
        <f aca="false">IF(I1756=0,"",IF(INDEX(GL!$C:$C,I1756)="","",INDEX(GL!$C:$C,I1756)))</f>
        <v/>
      </c>
      <c r="L1756" s="19" t="str">
        <f aca="false">IF(I1756=0,"",INDEX(GL!$E:$E,I1756))</f>
        <v/>
      </c>
      <c r="M1756" s="19" t="str">
        <f aca="false">IF(OR(B1756=0,I1756=0),"",ROUND(G1756-L1756,2))</f>
        <v/>
      </c>
      <c r="N1756" s="5" t="str">
        <f aca="false">IF(A1756="","",IF(B1756=0,"NOT FOUND: bank ID",IF(I1756=0,"NOT FOUND: GL ID",IF(INDEX(GL!$H:$H,I1756)&lt;&gt;A1756,"BROKEN: GL points elsewhere",IF(OR(INDEX(Bank!$F:$F,B1756)&lt;&gt;"Y",INDEX(GL!$F:$F,I1756)&lt;&gt;"Y"),"BROKEN: Status not Y","OK")))))</f>
        <v/>
      </c>
    </row>
    <row r="1757" customFormat="false" ht="15" hidden="false" customHeight="false" outlineLevel="0" collapsed="false">
      <c r="A1757" s="41"/>
      <c r="B1757" s="5" t="n">
        <f aca="false">IF(A1757="",0,IFERROR(MATCH(A1757,Bank!$A:$A,0),0))</f>
        <v>0</v>
      </c>
      <c r="C1757" s="5" t="str">
        <f aca="false">IF(B1757=0,"",IF(INDEX(Bank!$G:$G,B1757)="","",INDEX(Bank!$G:$G,B1757)))</f>
        <v/>
      </c>
      <c r="D1757" s="5" t="str">
        <f aca="false">IF(B1757=0,"",IF(INDEX(Bank!$J:$J,B1757)="","",INDEX(Bank!$J:$J,B1757)))</f>
        <v/>
      </c>
      <c r="E1757" s="32" t="str">
        <f aca="false">IF(B1757=0,"",INDEX(Bank!$B:$B,B1757))</f>
        <v/>
      </c>
      <c r="F1757" s="5" t="str">
        <f aca="false">IF(B1757=0,"",IF(INDEX(Bank!$C:$C,B1757)="","",INDEX(Bank!$C:$C,B1757)))</f>
        <v/>
      </c>
      <c r="G1757" s="19" t="str">
        <f aca="false">IF(B1757=0,"",INDEX(Bank!$E:$E,B1757))</f>
        <v/>
      </c>
      <c r="H1757" s="5" t="str">
        <f aca="false">IF(B1757=0,"",IF(INDEX(Bank!$H:$H,B1757)="","",INDEX(Bank!$H:$H,B1757)))</f>
        <v/>
      </c>
      <c r="I1757" s="5" t="n">
        <f aca="false">IF(H1757="",0,IFERROR(MATCH(H1757,GL!$A:$A,0),0))</f>
        <v>0</v>
      </c>
      <c r="J1757" s="32" t="str">
        <f aca="false">IF(I1757=0,"",INDEX(GL!$B:$B,I1757))</f>
        <v/>
      </c>
      <c r="K1757" s="5" t="str">
        <f aca="false">IF(I1757=0,"",IF(INDEX(GL!$C:$C,I1757)="","",INDEX(GL!$C:$C,I1757)))</f>
        <v/>
      </c>
      <c r="L1757" s="19" t="str">
        <f aca="false">IF(I1757=0,"",INDEX(GL!$E:$E,I1757))</f>
        <v/>
      </c>
      <c r="M1757" s="19" t="str">
        <f aca="false">IF(OR(B1757=0,I1757=0),"",ROUND(G1757-L1757,2))</f>
        <v/>
      </c>
      <c r="N1757" s="5" t="str">
        <f aca="false">IF(A1757="","",IF(B1757=0,"NOT FOUND: bank ID",IF(I1757=0,"NOT FOUND: GL ID",IF(INDEX(GL!$H:$H,I1757)&lt;&gt;A1757,"BROKEN: GL points elsewhere",IF(OR(INDEX(Bank!$F:$F,B1757)&lt;&gt;"Y",INDEX(GL!$F:$F,I1757)&lt;&gt;"Y"),"BROKEN: Status not Y","OK")))))</f>
        <v/>
      </c>
    </row>
    <row r="1758" customFormat="false" ht="15" hidden="false" customHeight="false" outlineLevel="0" collapsed="false">
      <c r="A1758" s="41"/>
      <c r="B1758" s="5" t="n">
        <f aca="false">IF(A1758="",0,IFERROR(MATCH(A1758,Bank!$A:$A,0),0))</f>
        <v>0</v>
      </c>
      <c r="C1758" s="5" t="str">
        <f aca="false">IF(B1758=0,"",IF(INDEX(Bank!$G:$G,B1758)="","",INDEX(Bank!$G:$G,B1758)))</f>
        <v/>
      </c>
      <c r="D1758" s="5" t="str">
        <f aca="false">IF(B1758=0,"",IF(INDEX(Bank!$J:$J,B1758)="","",INDEX(Bank!$J:$J,B1758)))</f>
        <v/>
      </c>
      <c r="E1758" s="32" t="str">
        <f aca="false">IF(B1758=0,"",INDEX(Bank!$B:$B,B1758))</f>
        <v/>
      </c>
      <c r="F1758" s="5" t="str">
        <f aca="false">IF(B1758=0,"",IF(INDEX(Bank!$C:$C,B1758)="","",INDEX(Bank!$C:$C,B1758)))</f>
        <v/>
      </c>
      <c r="G1758" s="19" t="str">
        <f aca="false">IF(B1758=0,"",INDEX(Bank!$E:$E,B1758))</f>
        <v/>
      </c>
      <c r="H1758" s="5" t="str">
        <f aca="false">IF(B1758=0,"",IF(INDEX(Bank!$H:$H,B1758)="","",INDEX(Bank!$H:$H,B1758)))</f>
        <v/>
      </c>
      <c r="I1758" s="5" t="n">
        <f aca="false">IF(H1758="",0,IFERROR(MATCH(H1758,GL!$A:$A,0),0))</f>
        <v>0</v>
      </c>
      <c r="J1758" s="32" t="str">
        <f aca="false">IF(I1758=0,"",INDEX(GL!$B:$B,I1758))</f>
        <v/>
      </c>
      <c r="K1758" s="5" t="str">
        <f aca="false">IF(I1758=0,"",IF(INDEX(GL!$C:$C,I1758)="","",INDEX(GL!$C:$C,I1758)))</f>
        <v/>
      </c>
      <c r="L1758" s="19" t="str">
        <f aca="false">IF(I1758=0,"",INDEX(GL!$E:$E,I1758))</f>
        <v/>
      </c>
      <c r="M1758" s="19" t="str">
        <f aca="false">IF(OR(B1758=0,I1758=0),"",ROUND(G1758-L1758,2))</f>
        <v/>
      </c>
      <c r="N1758" s="5" t="str">
        <f aca="false">IF(A1758="","",IF(B1758=0,"NOT FOUND: bank ID",IF(I1758=0,"NOT FOUND: GL ID",IF(INDEX(GL!$H:$H,I1758)&lt;&gt;A1758,"BROKEN: GL points elsewhere",IF(OR(INDEX(Bank!$F:$F,B1758)&lt;&gt;"Y",INDEX(GL!$F:$F,I1758)&lt;&gt;"Y"),"BROKEN: Status not Y","OK")))))</f>
        <v/>
      </c>
    </row>
    <row r="1759" customFormat="false" ht="15" hidden="false" customHeight="false" outlineLevel="0" collapsed="false">
      <c r="A1759" s="41"/>
      <c r="B1759" s="5" t="n">
        <f aca="false">IF(A1759="",0,IFERROR(MATCH(A1759,Bank!$A:$A,0),0))</f>
        <v>0</v>
      </c>
      <c r="C1759" s="5" t="str">
        <f aca="false">IF(B1759=0,"",IF(INDEX(Bank!$G:$G,B1759)="","",INDEX(Bank!$G:$G,B1759)))</f>
        <v/>
      </c>
      <c r="D1759" s="5" t="str">
        <f aca="false">IF(B1759=0,"",IF(INDEX(Bank!$J:$J,B1759)="","",INDEX(Bank!$J:$J,B1759)))</f>
        <v/>
      </c>
      <c r="E1759" s="32" t="str">
        <f aca="false">IF(B1759=0,"",INDEX(Bank!$B:$B,B1759))</f>
        <v/>
      </c>
      <c r="F1759" s="5" t="str">
        <f aca="false">IF(B1759=0,"",IF(INDEX(Bank!$C:$C,B1759)="","",INDEX(Bank!$C:$C,B1759)))</f>
        <v/>
      </c>
      <c r="G1759" s="19" t="str">
        <f aca="false">IF(B1759=0,"",INDEX(Bank!$E:$E,B1759))</f>
        <v/>
      </c>
      <c r="H1759" s="5" t="str">
        <f aca="false">IF(B1759=0,"",IF(INDEX(Bank!$H:$H,B1759)="","",INDEX(Bank!$H:$H,B1759)))</f>
        <v/>
      </c>
      <c r="I1759" s="5" t="n">
        <f aca="false">IF(H1759="",0,IFERROR(MATCH(H1759,GL!$A:$A,0),0))</f>
        <v>0</v>
      </c>
      <c r="J1759" s="32" t="str">
        <f aca="false">IF(I1759=0,"",INDEX(GL!$B:$B,I1759))</f>
        <v/>
      </c>
      <c r="K1759" s="5" t="str">
        <f aca="false">IF(I1759=0,"",IF(INDEX(GL!$C:$C,I1759)="","",INDEX(GL!$C:$C,I1759)))</f>
        <v/>
      </c>
      <c r="L1759" s="19" t="str">
        <f aca="false">IF(I1759=0,"",INDEX(GL!$E:$E,I1759))</f>
        <v/>
      </c>
      <c r="M1759" s="19" t="str">
        <f aca="false">IF(OR(B1759=0,I1759=0),"",ROUND(G1759-L1759,2))</f>
        <v/>
      </c>
      <c r="N1759" s="5" t="str">
        <f aca="false">IF(A1759="","",IF(B1759=0,"NOT FOUND: bank ID",IF(I1759=0,"NOT FOUND: GL ID",IF(INDEX(GL!$H:$H,I1759)&lt;&gt;A1759,"BROKEN: GL points elsewhere",IF(OR(INDEX(Bank!$F:$F,B1759)&lt;&gt;"Y",INDEX(GL!$F:$F,I1759)&lt;&gt;"Y"),"BROKEN: Status not Y","OK")))))</f>
        <v/>
      </c>
    </row>
    <row r="1760" customFormat="false" ht="15" hidden="false" customHeight="false" outlineLevel="0" collapsed="false">
      <c r="A1760" s="41"/>
      <c r="B1760" s="5" t="n">
        <f aca="false">IF(A1760="",0,IFERROR(MATCH(A1760,Bank!$A:$A,0),0))</f>
        <v>0</v>
      </c>
      <c r="C1760" s="5" t="str">
        <f aca="false">IF(B1760=0,"",IF(INDEX(Bank!$G:$G,B1760)="","",INDEX(Bank!$G:$G,B1760)))</f>
        <v/>
      </c>
      <c r="D1760" s="5" t="str">
        <f aca="false">IF(B1760=0,"",IF(INDEX(Bank!$J:$J,B1760)="","",INDEX(Bank!$J:$J,B1760)))</f>
        <v/>
      </c>
      <c r="E1760" s="32" t="str">
        <f aca="false">IF(B1760=0,"",INDEX(Bank!$B:$B,B1760))</f>
        <v/>
      </c>
      <c r="F1760" s="5" t="str">
        <f aca="false">IF(B1760=0,"",IF(INDEX(Bank!$C:$C,B1760)="","",INDEX(Bank!$C:$C,B1760)))</f>
        <v/>
      </c>
      <c r="G1760" s="19" t="str">
        <f aca="false">IF(B1760=0,"",INDEX(Bank!$E:$E,B1760))</f>
        <v/>
      </c>
      <c r="H1760" s="5" t="str">
        <f aca="false">IF(B1760=0,"",IF(INDEX(Bank!$H:$H,B1760)="","",INDEX(Bank!$H:$H,B1760)))</f>
        <v/>
      </c>
      <c r="I1760" s="5" t="n">
        <f aca="false">IF(H1760="",0,IFERROR(MATCH(H1760,GL!$A:$A,0),0))</f>
        <v>0</v>
      </c>
      <c r="J1760" s="32" t="str">
        <f aca="false">IF(I1760=0,"",INDEX(GL!$B:$B,I1760))</f>
        <v/>
      </c>
      <c r="K1760" s="5" t="str">
        <f aca="false">IF(I1760=0,"",IF(INDEX(GL!$C:$C,I1760)="","",INDEX(GL!$C:$C,I1760)))</f>
        <v/>
      </c>
      <c r="L1760" s="19" t="str">
        <f aca="false">IF(I1760=0,"",INDEX(GL!$E:$E,I1760))</f>
        <v/>
      </c>
      <c r="M1760" s="19" t="str">
        <f aca="false">IF(OR(B1760=0,I1760=0),"",ROUND(G1760-L1760,2))</f>
        <v/>
      </c>
      <c r="N1760" s="5" t="str">
        <f aca="false">IF(A1760="","",IF(B1760=0,"NOT FOUND: bank ID",IF(I1760=0,"NOT FOUND: GL ID",IF(INDEX(GL!$H:$H,I1760)&lt;&gt;A1760,"BROKEN: GL points elsewhere",IF(OR(INDEX(Bank!$F:$F,B1760)&lt;&gt;"Y",INDEX(GL!$F:$F,I1760)&lt;&gt;"Y"),"BROKEN: Status not Y","OK")))))</f>
        <v/>
      </c>
    </row>
    <row r="1761" customFormat="false" ht="15" hidden="false" customHeight="false" outlineLevel="0" collapsed="false">
      <c r="A1761" s="41"/>
      <c r="B1761" s="5" t="n">
        <f aca="false">IF(A1761="",0,IFERROR(MATCH(A1761,Bank!$A:$A,0),0))</f>
        <v>0</v>
      </c>
      <c r="C1761" s="5" t="str">
        <f aca="false">IF(B1761=0,"",IF(INDEX(Bank!$G:$G,B1761)="","",INDEX(Bank!$G:$G,B1761)))</f>
        <v/>
      </c>
      <c r="D1761" s="5" t="str">
        <f aca="false">IF(B1761=0,"",IF(INDEX(Bank!$J:$J,B1761)="","",INDEX(Bank!$J:$J,B1761)))</f>
        <v/>
      </c>
      <c r="E1761" s="32" t="str">
        <f aca="false">IF(B1761=0,"",INDEX(Bank!$B:$B,B1761))</f>
        <v/>
      </c>
      <c r="F1761" s="5" t="str">
        <f aca="false">IF(B1761=0,"",IF(INDEX(Bank!$C:$C,B1761)="","",INDEX(Bank!$C:$C,B1761)))</f>
        <v/>
      </c>
      <c r="G1761" s="19" t="str">
        <f aca="false">IF(B1761=0,"",INDEX(Bank!$E:$E,B1761))</f>
        <v/>
      </c>
      <c r="H1761" s="5" t="str">
        <f aca="false">IF(B1761=0,"",IF(INDEX(Bank!$H:$H,B1761)="","",INDEX(Bank!$H:$H,B1761)))</f>
        <v/>
      </c>
      <c r="I1761" s="5" t="n">
        <f aca="false">IF(H1761="",0,IFERROR(MATCH(H1761,GL!$A:$A,0),0))</f>
        <v>0</v>
      </c>
      <c r="J1761" s="32" t="str">
        <f aca="false">IF(I1761=0,"",INDEX(GL!$B:$B,I1761))</f>
        <v/>
      </c>
      <c r="K1761" s="5" t="str">
        <f aca="false">IF(I1761=0,"",IF(INDEX(GL!$C:$C,I1761)="","",INDEX(GL!$C:$C,I1761)))</f>
        <v/>
      </c>
      <c r="L1761" s="19" t="str">
        <f aca="false">IF(I1761=0,"",INDEX(GL!$E:$E,I1761))</f>
        <v/>
      </c>
      <c r="M1761" s="19" t="str">
        <f aca="false">IF(OR(B1761=0,I1761=0),"",ROUND(G1761-L1761,2))</f>
        <v/>
      </c>
      <c r="N1761" s="5" t="str">
        <f aca="false">IF(A1761="","",IF(B1761=0,"NOT FOUND: bank ID",IF(I1761=0,"NOT FOUND: GL ID",IF(INDEX(GL!$H:$H,I1761)&lt;&gt;A1761,"BROKEN: GL points elsewhere",IF(OR(INDEX(Bank!$F:$F,B1761)&lt;&gt;"Y",INDEX(GL!$F:$F,I1761)&lt;&gt;"Y"),"BROKEN: Status not Y","OK")))))</f>
        <v/>
      </c>
    </row>
    <row r="1762" customFormat="false" ht="15" hidden="false" customHeight="false" outlineLevel="0" collapsed="false">
      <c r="A1762" s="41"/>
      <c r="B1762" s="5" t="n">
        <f aca="false">IF(A1762="",0,IFERROR(MATCH(A1762,Bank!$A:$A,0),0))</f>
        <v>0</v>
      </c>
      <c r="C1762" s="5" t="str">
        <f aca="false">IF(B1762=0,"",IF(INDEX(Bank!$G:$G,B1762)="","",INDEX(Bank!$G:$G,B1762)))</f>
        <v/>
      </c>
      <c r="D1762" s="5" t="str">
        <f aca="false">IF(B1762=0,"",IF(INDEX(Bank!$J:$J,B1762)="","",INDEX(Bank!$J:$J,B1762)))</f>
        <v/>
      </c>
      <c r="E1762" s="32" t="str">
        <f aca="false">IF(B1762=0,"",INDEX(Bank!$B:$B,B1762))</f>
        <v/>
      </c>
      <c r="F1762" s="5" t="str">
        <f aca="false">IF(B1762=0,"",IF(INDEX(Bank!$C:$C,B1762)="","",INDEX(Bank!$C:$C,B1762)))</f>
        <v/>
      </c>
      <c r="G1762" s="19" t="str">
        <f aca="false">IF(B1762=0,"",INDEX(Bank!$E:$E,B1762))</f>
        <v/>
      </c>
      <c r="H1762" s="5" t="str">
        <f aca="false">IF(B1762=0,"",IF(INDEX(Bank!$H:$H,B1762)="","",INDEX(Bank!$H:$H,B1762)))</f>
        <v/>
      </c>
      <c r="I1762" s="5" t="n">
        <f aca="false">IF(H1762="",0,IFERROR(MATCH(H1762,GL!$A:$A,0),0))</f>
        <v>0</v>
      </c>
      <c r="J1762" s="32" t="str">
        <f aca="false">IF(I1762=0,"",INDEX(GL!$B:$B,I1762))</f>
        <v/>
      </c>
      <c r="K1762" s="5" t="str">
        <f aca="false">IF(I1762=0,"",IF(INDEX(GL!$C:$C,I1762)="","",INDEX(GL!$C:$C,I1762)))</f>
        <v/>
      </c>
      <c r="L1762" s="19" t="str">
        <f aca="false">IF(I1762=0,"",INDEX(GL!$E:$E,I1762))</f>
        <v/>
      </c>
      <c r="M1762" s="19" t="str">
        <f aca="false">IF(OR(B1762=0,I1762=0),"",ROUND(G1762-L1762,2))</f>
        <v/>
      </c>
      <c r="N1762" s="5" t="str">
        <f aca="false">IF(A1762="","",IF(B1762=0,"NOT FOUND: bank ID",IF(I1762=0,"NOT FOUND: GL ID",IF(INDEX(GL!$H:$H,I1762)&lt;&gt;A1762,"BROKEN: GL points elsewhere",IF(OR(INDEX(Bank!$F:$F,B1762)&lt;&gt;"Y",INDEX(GL!$F:$F,I1762)&lt;&gt;"Y"),"BROKEN: Status not Y","OK")))))</f>
        <v/>
      </c>
    </row>
    <row r="1763" customFormat="false" ht="15" hidden="false" customHeight="false" outlineLevel="0" collapsed="false">
      <c r="A1763" s="41"/>
      <c r="B1763" s="5" t="n">
        <f aca="false">IF(A1763="",0,IFERROR(MATCH(A1763,Bank!$A:$A,0),0))</f>
        <v>0</v>
      </c>
      <c r="C1763" s="5" t="str">
        <f aca="false">IF(B1763=0,"",IF(INDEX(Bank!$G:$G,B1763)="","",INDEX(Bank!$G:$G,B1763)))</f>
        <v/>
      </c>
      <c r="D1763" s="5" t="str">
        <f aca="false">IF(B1763=0,"",IF(INDEX(Bank!$J:$J,B1763)="","",INDEX(Bank!$J:$J,B1763)))</f>
        <v/>
      </c>
      <c r="E1763" s="32" t="str">
        <f aca="false">IF(B1763=0,"",INDEX(Bank!$B:$B,B1763))</f>
        <v/>
      </c>
      <c r="F1763" s="5" t="str">
        <f aca="false">IF(B1763=0,"",IF(INDEX(Bank!$C:$C,B1763)="","",INDEX(Bank!$C:$C,B1763)))</f>
        <v/>
      </c>
      <c r="G1763" s="19" t="str">
        <f aca="false">IF(B1763=0,"",INDEX(Bank!$E:$E,B1763))</f>
        <v/>
      </c>
      <c r="H1763" s="5" t="str">
        <f aca="false">IF(B1763=0,"",IF(INDEX(Bank!$H:$H,B1763)="","",INDEX(Bank!$H:$H,B1763)))</f>
        <v/>
      </c>
      <c r="I1763" s="5" t="n">
        <f aca="false">IF(H1763="",0,IFERROR(MATCH(H1763,GL!$A:$A,0),0))</f>
        <v>0</v>
      </c>
      <c r="J1763" s="32" t="str">
        <f aca="false">IF(I1763=0,"",INDEX(GL!$B:$B,I1763))</f>
        <v/>
      </c>
      <c r="K1763" s="5" t="str">
        <f aca="false">IF(I1763=0,"",IF(INDEX(GL!$C:$C,I1763)="","",INDEX(GL!$C:$C,I1763)))</f>
        <v/>
      </c>
      <c r="L1763" s="19" t="str">
        <f aca="false">IF(I1763=0,"",INDEX(GL!$E:$E,I1763))</f>
        <v/>
      </c>
      <c r="M1763" s="19" t="str">
        <f aca="false">IF(OR(B1763=0,I1763=0),"",ROUND(G1763-L1763,2))</f>
        <v/>
      </c>
      <c r="N1763" s="5" t="str">
        <f aca="false">IF(A1763="","",IF(B1763=0,"NOT FOUND: bank ID",IF(I1763=0,"NOT FOUND: GL ID",IF(INDEX(GL!$H:$H,I1763)&lt;&gt;A1763,"BROKEN: GL points elsewhere",IF(OR(INDEX(Bank!$F:$F,B1763)&lt;&gt;"Y",INDEX(GL!$F:$F,I1763)&lt;&gt;"Y"),"BROKEN: Status not Y","OK")))))</f>
        <v/>
      </c>
    </row>
    <row r="1764" customFormat="false" ht="15" hidden="false" customHeight="false" outlineLevel="0" collapsed="false">
      <c r="A1764" s="41"/>
      <c r="B1764" s="5" t="n">
        <f aca="false">IF(A1764="",0,IFERROR(MATCH(A1764,Bank!$A:$A,0),0))</f>
        <v>0</v>
      </c>
      <c r="C1764" s="5" t="str">
        <f aca="false">IF(B1764=0,"",IF(INDEX(Bank!$G:$G,B1764)="","",INDEX(Bank!$G:$G,B1764)))</f>
        <v/>
      </c>
      <c r="D1764" s="5" t="str">
        <f aca="false">IF(B1764=0,"",IF(INDEX(Bank!$J:$J,B1764)="","",INDEX(Bank!$J:$J,B1764)))</f>
        <v/>
      </c>
      <c r="E1764" s="32" t="str">
        <f aca="false">IF(B1764=0,"",INDEX(Bank!$B:$B,B1764))</f>
        <v/>
      </c>
      <c r="F1764" s="5" t="str">
        <f aca="false">IF(B1764=0,"",IF(INDEX(Bank!$C:$C,B1764)="","",INDEX(Bank!$C:$C,B1764)))</f>
        <v/>
      </c>
      <c r="G1764" s="19" t="str">
        <f aca="false">IF(B1764=0,"",INDEX(Bank!$E:$E,B1764))</f>
        <v/>
      </c>
      <c r="H1764" s="5" t="str">
        <f aca="false">IF(B1764=0,"",IF(INDEX(Bank!$H:$H,B1764)="","",INDEX(Bank!$H:$H,B1764)))</f>
        <v/>
      </c>
      <c r="I1764" s="5" t="n">
        <f aca="false">IF(H1764="",0,IFERROR(MATCH(H1764,GL!$A:$A,0),0))</f>
        <v>0</v>
      </c>
      <c r="J1764" s="32" t="str">
        <f aca="false">IF(I1764=0,"",INDEX(GL!$B:$B,I1764))</f>
        <v/>
      </c>
      <c r="K1764" s="5" t="str">
        <f aca="false">IF(I1764=0,"",IF(INDEX(GL!$C:$C,I1764)="","",INDEX(GL!$C:$C,I1764)))</f>
        <v/>
      </c>
      <c r="L1764" s="19" t="str">
        <f aca="false">IF(I1764=0,"",INDEX(GL!$E:$E,I1764))</f>
        <v/>
      </c>
      <c r="M1764" s="19" t="str">
        <f aca="false">IF(OR(B1764=0,I1764=0),"",ROUND(G1764-L1764,2))</f>
        <v/>
      </c>
      <c r="N1764" s="5" t="str">
        <f aca="false">IF(A1764="","",IF(B1764=0,"NOT FOUND: bank ID",IF(I1764=0,"NOT FOUND: GL ID",IF(INDEX(GL!$H:$H,I1764)&lt;&gt;A1764,"BROKEN: GL points elsewhere",IF(OR(INDEX(Bank!$F:$F,B1764)&lt;&gt;"Y",INDEX(GL!$F:$F,I1764)&lt;&gt;"Y"),"BROKEN: Status not Y","OK")))))</f>
        <v/>
      </c>
    </row>
    <row r="1765" customFormat="false" ht="15" hidden="false" customHeight="false" outlineLevel="0" collapsed="false">
      <c r="A1765" s="41"/>
      <c r="B1765" s="5" t="n">
        <f aca="false">IF(A1765="",0,IFERROR(MATCH(A1765,Bank!$A:$A,0),0))</f>
        <v>0</v>
      </c>
      <c r="C1765" s="5" t="str">
        <f aca="false">IF(B1765=0,"",IF(INDEX(Bank!$G:$G,B1765)="","",INDEX(Bank!$G:$G,B1765)))</f>
        <v/>
      </c>
      <c r="D1765" s="5" t="str">
        <f aca="false">IF(B1765=0,"",IF(INDEX(Bank!$J:$J,B1765)="","",INDEX(Bank!$J:$J,B1765)))</f>
        <v/>
      </c>
      <c r="E1765" s="32" t="str">
        <f aca="false">IF(B1765=0,"",INDEX(Bank!$B:$B,B1765))</f>
        <v/>
      </c>
      <c r="F1765" s="5" t="str">
        <f aca="false">IF(B1765=0,"",IF(INDEX(Bank!$C:$C,B1765)="","",INDEX(Bank!$C:$C,B1765)))</f>
        <v/>
      </c>
      <c r="G1765" s="19" t="str">
        <f aca="false">IF(B1765=0,"",INDEX(Bank!$E:$E,B1765))</f>
        <v/>
      </c>
      <c r="H1765" s="5" t="str">
        <f aca="false">IF(B1765=0,"",IF(INDEX(Bank!$H:$H,B1765)="","",INDEX(Bank!$H:$H,B1765)))</f>
        <v/>
      </c>
      <c r="I1765" s="5" t="n">
        <f aca="false">IF(H1765="",0,IFERROR(MATCH(H1765,GL!$A:$A,0),0))</f>
        <v>0</v>
      </c>
      <c r="J1765" s="32" t="str">
        <f aca="false">IF(I1765=0,"",INDEX(GL!$B:$B,I1765))</f>
        <v/>
      </c>
      <c r="K1765" s="5" t="str">
        <f aca="false">IF(I1765=0,"",IF(INDEX(GL!$C:$C,I1765)="","",INDEX(GL!$C:$C,I1765)))</f>
        <v/>
      </c>
      <c r="L1765" s="19" t="str">
        <f aca="false">IF(I1765=0,"",INDEX(GL!$E:$E,I1765))</f>
        <v/>
      </c>
      <c r="M1765" s="19" t="str">
        <f aca="false">IF(OR(B1765=0,I1765=0),"",ROUND(G1765-L1765,2))</f>
        <v/>
      </c>
      <c r="N1765" s="5" t="str">
        <f aca="false">IF(A1765="","",IF(B1765=0,"NOT FOUND: bank ID",IF(I1765=0,"NOT FOUND: GL ID",IF(INDEX(GL!$H:$H,I1765)&lt;&gt;A1765,"BROKEN: GL points elsewhere",IF(OR(INDEX(Bank!$F:$F,B1765)&lt;&gt;"Y",INDEX(GL!$F:$F,I1765)&lt;&gt;"Y"),"BROKEN: Status not Y","OK")))))</f>
        <v/>
      </c>
    </row>
    <row r="1766" customFormat="false" ht="15" hidden="false" customHeight="false" outlineLevel="0" collapsed="false">
      <c r="A1766" s="41"/>
      <c r="B1766" s="5" t="n">
        <f aca="false">IF(A1766="",0,IFERROR(MATCH(A1766,Bank!$A:$A,0),0))</f>
        <v>0</v>
      </c>
      <c r="C1766" s="5" t="str">
        <f aca="false">IF(B1766=0,"",IF(INDEX(Bank!$G:$G,B1766)="","",INDEX(Bank!$G:$G,B1766)))</f>
        <v/>
      </c>
      <c r="D1766" s="5" t="str">
        <f aca="false">IF(B1766=0,"",IF(INDEX(Bank!$J:$J,B1766)="","",INDEX(Bank!$J:$J,B1766)))</f>
        <v/>
      </c>
      <c r="E1766" s="32" t="str">
        <f aca="false">IF(B1766=0,"",INDEX(Bank!$B:$B,B1766))</f>
        <v/>
      </c>
      <c r="F1766" s="5" t="str">
        <f aca="false">IF(B1766=0,"",IF(INDEX(Bank!$C:$C,B1766)="","",INDEX(Bank!$C:$C,B1766)))</f>
        <v/>
      </c>
      <c r="G1766" s="19" t="str">
        <f aca="false">IF(B1766=0,"",INDEX(Bank!$E:$E,B1766))</f>
        <v/>
      </c>
      <c r="H1766" s="5" t="str">
        <f aca="false">IF(B1766=0,"",IF(INDEX(Bank!$H:$H,B1766)="","",INDEX(Bank!$H:$H,B1766)))</f>
        <v/>
      </c>
      <c r="I1766" s="5" t="n">
        <f aca="false">IF(H1766="",0,IFERROR(MATCH(H1766,GL!$A:$A,0),0))</f>
        <v>0</v>
      </c>
      <c r="J1766" s="32" t="str">
        <f aca="false">IF(I1766=0,"",INDEX(GL!$B:$B,I1766))</f>
        <v/>
      </c>
      <c r="K1766" s="5" t="str">
        <f aca="false">IF(I1766=0,"",IF(INDEX(GL!$C:$C,I1766)="","",INDEX(GL!$C:$C,I1766)))</f>
        <v/>
      </c>
      <c r="L1766" s="19" t="str">
        <f aca="false">IF(I1766=0,"",INDEX(GL!$E:$E,I1766))</f>
        <v/>
      </c>
      <c r="M1766" s="19" t="str">
        <f aca="false">IF(OR(B1766=0,I1766=0),"",ROUND(G1766-L1766,2))</f>
        <v/>
      </c>
      <c r="N1766" s="5" t="str">
        <f aca="false">IF(A1766="","",IF(B1766=0,"NOT FOUND: bank ID",IF(I1766=0,"NOT FOUND: GL ID",IF(INDEX(GL!$H:$H,I1766)&lt;&gt;A1766,"BROKEN: GL points elsewhere",IF(OR(INDEX(Bank!$F:$F,B1766)&lt;&gt;"Y",INDEX(GL!$F:$F,I1766)&lt;&gt;"Y"),"BROKEN: Status not Y","OK")))))</f>
        <v/>
      </c>
    </row>
    <row r="1767" customFormat="false" ht="15" hidden="false" customHeight="false" outlineLevel="0" collapsed="false">
      <c r="A1767" s="41"/>
      <c r="B1767" s="5" t="n">
        <f aca="false">IF(A1767="",0,IFERROR(MATCH(A1767,Bank!$A:$A,0),0))</f>
        <v>0</v>
      </c>
      <c r="C1767" s="5" t="str">
        <f aca="false">IF(B1767=0,"",IF(INDEX(Bank!$G:$G,B1767)="","",INDEX(Bank!$G:$G,B1767)))</f>
        <v/>
      </c>
      <c r="D1767" s="5" t="str">
        <f aca="false">IF(B1767=0,"",IF(INDEX(Bank!$J:$J,B1767)="","",INDEX(Bank!$J:$J,B1767)))</f>
        <v/>
      </c>
      <c r="E1767" s="32" t="str">
        <f aca="false">IF(B1767=0,"",INDEX(Bank!$B:$B,B1767))</f>
        <v/>
      </c>
      <c r="F1767" s="5" t="str">
        <f aca="false">IF(B1767=0,"",IF(INDEX(Bank!$C:$C,B1767)="","",INDEX(Bank!$C:$C,B1767)))</f>
        <v/>
      </c>
      <c r="G1767" s="19" t="str">
        <f aca="false">IF(B1767=0,"",INDEX(Bank!$E:$E,B1767))</f>
        <v/>
      </c>
      <c r="H1767" s="5" t="str">
        <f aca="false">IF(B1767=0,"",IF(INDEX(Bank!$H:$H,B1767)="","",INDEX(Bank!$H:$H,B1767)))</f>
        <v/>
      </c>
      <c r="I1767" s="5" t="n">
        <f aca="false">IF(H1767="",0,IFERROR(MATCH(H1767,GL!$A:$A,0),0))</f>
        <v>0</v>
      </c>
      <c r="J1767" s="32" t="str">
        <f aca="false">IF(I1767=0,"",INDEX(GL!$B:$B,I1767))</f>
        <v/>
      </c>
      <c r="K1767" s="5" t="str">
        <f aca="false">IF(I1767=0,"",IF(INDEX(GL!$C:$C,I1767)="","",INDEX(GL!$C:$C,I1767)))</f>
        <v/>
      </c>
      <c r="L1767" s="19" t="str">
        <f aca="false">IF(I1767=0,"",INDEX(GL!$E:$E,I1767))</f>
        <v/>
      </c>
      <c r="M1767" s="19" t="str">
        <f aca="false">IF(OR(B1767=0,I1767=0),"",ROUND(G1767-L1767,2))</f>
        <v/>
      </c>
      <c r="N1767" s="5" t="str">
        <f aca="false">IF(A1767="","",IF(B1767=0,"NOT FOUND: bank ID",IF(I1767=0,"NOT FOUND: GL ID",IF(INDEX(GL!$H:$H,I1767)&lt;&gt;A1767,"BROKEN: GL points elsewhere",IF(OR(INDEX(Bank!$F:$F,B1767)&lt;&gt;"Y",INDEX(GL!$F:$F,I1767)&lt;&gt;"Y"),"BROKEN: Status not Y","OK")))))</f>
        <v/>
      </c>
    </row>
    <row r="1768" customFormat="false" ht="15" hidden="false" customHeight="false" outlineLevel="0" collapsed="false">
      <c r="A1768" s="41"/>
      <c r="B1768" s="5" t="n">
        <f aca="false">IF(A1768="",0,IFERROR(MATCH(A1768,Bank!$A:$A,0),0))</f>
        <v>0</v>
      </c>
      <c r="C1768" s="5" t="str">
        <f aca="false">IF(B1768=0,"",IF(INDEX(Bank!$G:$G,B1768)="","",INDEX(Bank!$G:$G,B1768)))</f>
        <v/>
      </c>
      <c r="D1768" s="5" t="str">
        <f aca="false">IF(B1768=0,"",IF(INDEX(Bank!$J:$J,B1768)="","",INDEX(Bank!$J:$J,B1768)))</f>
        <v/>
      </c>
      <c r="E1768" s="32" t="str">
        <f aca="false">IF(B1768=0,"",INDEX(Bank!$B:$B,B1768))</f>
        <v/>
      </c>
      <c r="F1768" s="5" t="str">
        <f aca="false">IF(B1768=0,"",IF(INDEX(Bank!$C:$C,B1768)="","",INDEX(Bank!$C:$C,B1768)))</f>
        <v/>
      </c>
      <c r="G1768" s="19" t="str">
        <f aca="false">IF(B1768=0,"",INDEX(Bank!$E:$E,B1768))</f>
        <v/>
      </c>
      <c r="H1768" s="5" t="str">
        <f aca="false">IF(B1768=0,"",IF(INDEX(Bank!$H:$H,B1768)="","",INDEX(Bank!$H:$H,B1768)))</f>
        <v/>
      </c>
      <c r="I1768" s="5" t="n">
        <f aca="false">IF(H1768="",0,IFERROR(MATCH(H1768,GL!$A:$A,0),0))</f>
        <v>0</v>
      </c>
      <c r="J1768" s="32" t="str">
        <f aca="false">IF(I1768=0,"",INDEX(GL!$B:$B,I1768))</f>
        <v/>
      </c>
      <c r="K1768" s="5" t="str">
        <f aca="false">IF(I1768=0,"",IF(INDEX(GL!$C:$C,I1768)="","",INDEX(GL!$C:$C,I1768)))</f>
        <v/>
      </c>
      <c r="L1768" s="19" t="str">
        <f aca="false">IF(I1768=0,"",INDEX(GL!$E:$E,I1768))</f>
        <v/>
      </c>
      <c r="M1768" s="19" t="str">
        <f aca="false">IF(OR(B1768=0,I1768=0),"",ROUND(G1768-L1768,2))</f>
        <v/>
      </c>
      <c r="N1768" s="5" t="str">
        <f aca="false">IF(A1768="","",IF(B1768=0,"NOT FOUND: bank ID",IF(I1768=0,"NOT FOUND: GL ID",IF(INDEX(GL!$H:$H,I1768)&lt;&gt;A1768,"BROKEN: GL points elsewhere",IF(OR(INDEX(Bank!$F:$F,B1768)&lt;&gt;"Y",INDEX(GL!$F:$F,I1768)&lt;&gt;"Y"),"BROKEN: Status not Y","OK")))))</f>
        <v/>
      </c>
    </row>
    <row r="1769" customFormat="false" ht="15" hidden="false" customHeight="false" outlineLevel="0" collapsed="false">
      <c r="A1769" s="41"/>
      <c r="B1769" s="5" t="n">
        <f aca="false">IF(A1769="",0,IFERROR(MATCH(A1769,Bank!$A:$A,0),0))</f>
        <v>0</v>
      </c>
      <c r="C1769" s="5" t="str">
        <f aca="false">IF(B1769=0,"",IF(INDEX(Bank!$G:$G,B1769)="","",INDEX(Bank!$G:$G,B1769)))</f>
        <v/>
      </c>
      <c r="D1769" s="5" t="str">
        <f aca="false">IF(B1769=0,"",IF(INDEX(Bank!$J:$J,B1769)="","",INDEX(Bank!$J:$J,B1769)))</f>
        <v/>
      </c>
      <c r="E1769" s="32" t="str">
        <f aca="false">IF(B1769=0,"",INDEX(Bank!$B:$B,B1769))</f>
        <v/>
      </c>
      <c r="F1769" s="5" t="str">
        <f aca="false">IF(B1769=0,"",IF(INDEX(Bank!$C:$C,B1769)="","",INDEX(Bank!$C:$C,B1769)))</f>
        <v/>
      </c>
      <c r="G1769" s="19" t="str">
        <f aca="false">IF(B1769=0,"",INDEX(Bank!$E:$E,B1769))</f>
        <v/>
      </c>
      <c r="H1769" s="5" t="str">
        <f aca="false">IF(B1769=0,"",IF(INDEX(Bank!$H:$H,B1769)="","",INDEX(Bank!$H:$H,B1769)))</f>
        <v/>
      </c>
      <c r="I1769" s="5" t="n">
        <f aca="false">IF(H1769="",0,IFERROR(MATCH(H1769,GL!$A:$A,0),0))</f>
        <v>0</v>
      </c>
      <c r="J1769" s="32" t="str">
        <f aca="false">IF(I1769=0,"",INDEX(GL!$B:$B,I1769))</f>
        <v/>
      </c>
      <c r="K1769" s="5" t="str">
        <f aca="false">IF(I1769=0,"",IF(INDEX(GL!$C:$C,I1769)="","",INDEX(GL!$C:$C,I1769)))</f>
        <v/>
      </c>
      <c r="L1769" s="19" t="str">
        <f aca="false">IF(I1769=0,"",INDEX(GL!$E:$E,I1769))</f>
        <v/>
      </c>
      <c r="M1769" s="19" t="str">
        <f aca="false">IF(OR(B1769=0,I1769=0),"",ROUND(G1769-L1769,2))</f>
        <v/>
      </c>
      <c r="N1769" s="5" t="str">
        <f aca="false">IF(A1769="","",IF(B1769=0,"NOT FOUND: bank ID",IF(I1769=0,"NOT FOUND: GL ID",IF(INDEX(GL!$H:$H,I1769)&lt;&gt;A1769,"BROKEN: GL points elsewhere",IF(OR(INDEX(Bank!$F:$F,B1769)&lt;&gt;"Y",INDEX(GL!$F:$F,I1769)&lt;&gt;"Y"),"BROKEN: Status not Y","OK")))))</f>
        <v/>
      </c>
    </row>
    <row r="1770" customFormat="false" ht="15" hidden="false" customHeight="false" outlineLevel="0" collapsed="false">
      <c r="A1770" s="41"/>
      <c r="B1770" s="5" t="n">
        <f aca="false">IF(A1770="",0,IFERROR(MATCH(A1770,Bank!$A:$A,0),0))</f>
        <v>0</v>
      </c>
      <c r="C1770" s="5" t="str">
        <f aca="false">IF(B1770=0,"",IF(INDEX(Bank!$G:$G,B1770)="","",INDEX(Bank!$G:$G,B1770)))</f>
        <v/>
      </c>
      <c r="D1770" s="5" t="str">
        <f aca="false">IF(B1770=0,"",IF(INDEX(Bank!$J:$J,B1770)="","",INDEX(Bank!$J:$J,B1770)))</f>
        <v/>
      </c>
      <c r="E1770" s="32" t="str">
        <f aca="false">IF(B1770=0,"",INDEX(Bank!$B:$B,B1770))</f>
        <v/>
      </c>
      <c r="F1770" s="5" t="str">
        <f aca="false">IF(B1770=0,"",IF(INDEX(Bank!$C:$C,B1770)="","",INDEX(Bank!$C:$C,B1770)))</f>
        <v/>
      </c>
      <c r="G1770" s="19" t="str">
        <f aca="false">IF(B1770=0,"",INDEX(Bank!$E:$E,B1770))</f>
        <v/>
      </c>
      <c r="H1770" s="5" t="str">
        <f aca="false">IF(B1770=0,"",IF(INDEX(Bank!$H:$H,B1770)="","",INDEX(Bank!$H:$H,B1770)))</f>
        <v/>
      </c>
      <c r="I1770" s="5" t="n">
        <f aca="false">IF(H1770="",0,IFERROR(MATCH(H1770,GL!$A:$A,0),0))</f>
        <v>0</v>
      </c>
      <c r="J1770" s="32" t="str">
        <f aca="false">IF(I1770=0,"",INDEX(GL!$B:$B,I1770))</f>
        <v/>
      </c>
      <c r="K1770" s="5" t="str">
        <f aca="false">IF(I1770=0,"",IF(INDEX(GL!$C:$C,I1770)="","",INDEX(GL!$C:$C,I1770)))</f>
        <v/>
      </c>
      <c r="L1770" s="19" t="str">
        <f aca="false">IF(I1770=0,"",INDEX(GL!$E:$E,I1770))</f>
        <v/>
      </c>
      <c r="M1770" s="19" t="str">
        <f aca="false">IF(OR(B1770=0,I1770=0),"",ROUND(G1770-L1770,2))</f>
        <v/>
      </c>
      <c r="N1770" s="5" t="str">
        <f aca="false">IF(A1770="","",IF(B1770=0,"NOT FOUND: bank ID",IF(I1770=0,"NOT FOUND: GL ID",IF(INDEX(GL!$H:$H,I1770)&lt;&gt;A1770,"BROKEN: GL points elsewhere",IF(OR(INDEX(Bank!$F:$F,B1770)&lt;&gt;"Y",INDEX(GL!$F:$F,I1770)&lt;&gt;"Y"),"BROKEN: Status not Y","OK")))))</f>
        <v/>
      </c>
    </row>
    <row r="1771" customFormat="false" ht="15" hidden="false" customHeight="false" outlineLevel="0" collapsed="false">
      <c r="A1771" s="41"/>
      <c r="B1771" s="5" t="n">
        <f aca="false">IF(A1771="",0,IFERROR(MATCH(A1771,Bank!$A:$A,0),0))</f>
        <v>0</v>
      </c>
      <c r="C1771" s="5" t="str">
        <f aca="false">IF(B1771=0,"",IF(INDEX(Bank!$G:$G,B1771)="","",INDEX(Bank!$G:$G,B1771)))</f>
        <v/>
      </c>
      <c r="D1771" s="5" t="str">
        <f aca="false">IF(B1771=0,"",IF(INDEX(Bank!$J:$J,B1771)="","",INDEX(Bank!$J:$J,B1771)))</f>
        <v/>
      </c>
      <c r="E1771" s="32" t="str">
        <f aca="false">IF(B1771=0,"",INDEX(Bank!$B:$B,B1771))</f>
        <v/>
      </c>
      <c r="F1771" s="5" t="str">
        <f aca="false">IF(B1771=0,"",IF(INDEX(Bank!$C:$C,B1771)="","",INDEX(Bank!$C:$C,B1771)))</f>
        <v/>
      </c>
      <c r="G1771" s="19" t="str">
        <f aca="false">IF(B1771=0,"",INDEX(Bank!$E:$E,B1771))</f>
        <v/>
      </c>
      <c r="H1771" s="5" t="str">
        <f aca="false">IF(B1771=0,"",IF(INDEX(Bank!$H:$H,B1771)="","",INDEX(Bank!$H:$H,B1771)))</f>
        <v/>
      </c>
      <c r="I1771" s="5" t="n">
        <f aca="false">IF(H1771="",0,IFERROR(MATCH(H1771,GL!$A:$A,0),0))</f>
        <v>0</v>
      </c>
      <c r="J1771" s="32" t="str">
        <f aca="false">IF(I1771=0,"",INDEX(GL!$B:$B,I1771))</f>
        <v/>
      </c>
      <c r="K1771" s="5" t="str">
        <f aca="false">IF(I1771=0,"",IF(INDEX(GL!$C:$C,I1771)="","",INDEX(GL!$C:$C,I1771)))</f>
        <v/>
      </c>
      <c r="L1771" s="19" t="str">
        <f aca="false">IF(I1771=0,"",INDEX(GL!$E:$E,I1771))</f>
        <v/>
      </c>
      <c r="M1771" s="19" t="str">
        <f aca="false">IF(OR(B1771=0,I1771=0),"",ROUND(G1771-L1771,2))</f>
        <v/>
      </c>
      <c r="N1771" s="5" t="str">
        <f aca="false">IF(A1771="","",IF(B1771=0,"NOT FOUND: bank ID",IF(I1771=0,"NOT FOUND: GL ID",IF(INDEX(GL!$H:$H,I1771)&lt;&gt;A1771,"BROKEN: GL points elsewhere",IF(OR(INDEX(Bank!$F:$F,B1771)&lt;&gt;"Y",INDEX(GL!$F:$F,I1771)&lt;&gt;"Y"),"BROKEN: Status not Y","OK")))))</f>
        <v/>
      </c>
    </row>
    <row r="1772" customFormat="false" ht="15" hidden="false" customHeight="false" outlineLevel="0" collapsed="false">
      <c r="A1772" s="41"/>
      <c r="B1772" s="5" t="n">
        <f aca="false">IF(A1772="",0,IFERROR(MATCH(A1772,Bank!$A:$A,0),0))</f>
        <v>0</v>
      </c>
      <c r="C1772" s="5" t="str">
        <f aca="false">IF(B1772=0,"",IF(INDEX(Bank!$G:$G,B1772)="","",INDEX(Bank!$G:$G,B1772)))</f>
        <v/>
      </c>
      <c r="D1772" s="5" t="str">
        <f aca="false">IF(B1772=0,"",IF(INDEX(Bank!$J:$J,B1772)="","",INDEX(Bank!$J:$J,B1772)))</f>
        <v/>
      </c>
      <c r="E1772" s="32" t="str">
        <f aca="false">IF(B1772=0,"",INDEX(Bank!$B:$B,B1772))</f>
        <v/>
      </c>
      <c r="F1772" s="5" t="str">
        <f aca="false">IF(B1772=0,"",IF(INDEX(Bank!$C:$C,B1772)="","",INDEX(Bank!$C:$C,B1772)))</f>
        <v/>
      </c>
      <c r="G1772" s="19" t="str">
        <f aca="false">IF(B1772=0,"",INDEX(Bank!$E:$E,B1772))</f>
        <v/>
      </c>
      <c r="H1772" s="5" t="str">
        <f aca="false">IF(B1772=0,"",IF(INDEX(Bank!$H:$H,B1772)="","",INDEX(Bank!$H:$H,B1772)))</f>
        <v/>
      </c>
      <c r="I1772" s="5" t="n">
        <f aca="false">IF(H1772="",0,IFERROR(MATCH(H1772,GL!$A:$A,0),0))</f>
        <v>0</v>
      </c>
      <c r="J1772" s="32" t="str">
        <f aca="false">IF(I1772=0,"",INDEX(GL!$B:$B,I1772))</f>
        <v/>
      </c>
      <c r="K1772" s="5" t="str">
        <f aca="false">IF(I1772=0,"",IF(INDEX(GL!$C:$C,I1772)="","",INDEX(GL!$C:$C,I1772)))</f>
        <v/>
      </c>
      <c r="L1772" s="19" t="str">
        <f aca="false">IF(I1772=0,"",INDEX(GL!$E:$E,I1772))</f>
        <v/>
      </c>
      <c r="M1772" s="19" t="str">
        <f aca="false">IF(OR(B1772=0,I1772=0),"",ROUND(G1772-L1772,2))</f>
        <v/>
      </c>
      <c r="N1772" s="5" t="str">
        <f aca="false">IF(A1772="","",IF(B1772=0,"NOT FOUND: bank ID",IF(I1772=0,"NOT FOUND: GL ID",IF(INDEX(GL!$H:$H,I1772)&lt;&gt;A1772,"BROKEN: GL points elsewhere",IF(OR(INDEX(Bank!$F:$F,B1772)&lt;&gt;"Y",INDEX(GL!$F:$F,I1772)&lt;&gt;"Y"),"BROKEN: Status not Y","OK")))))</f>
        <v/>
      </c>
    </row>
    <row r="1773" customFormat="false" ht="15" hidden="false" customHeight="false" outlineLevel="0" collapsed="false">
      <c r="A1773" s="41"/>
      <c r="B1773" s="5" t="n">
        <f aca="false">IF(A1773="",0,IFERROR(MATCH(A1773,Bank!$A:$A,0),0))</f>
        <v>0</v>
      </c>
      <c r="C1773" s="5" t="str">
        <f aca="false">IF(B1773=0,"",IF(INDEX(Bank!$G:$G,B1773)="","",INDEX(Bank!$G:$G,B1773)))</f>
        <v/>
      </c>
      <c r="D1773" s="5" t="str">
        <f aca="false">IF(B1773=0,"",IF(INDEX(Bank!$J:$J,B1773)="","",INDEX(Bank!$J:$J,B1773)))</f>
        <v/>
      </c>
      <c r="E1773" s="32" t="str">
        <f aca="false">IF(B1773=0,"",INDEX(Bank!$B:$B,B1773))</f>
        <v/>
      </c>
      <c r="F1773" s="5" t="str">
        <f aca="false">IF(B1773=0,"",IF(INDEX(Bank!$C:$C,B1773)="","",INDEX(Bank!$C:$C,B1773)))</f>
        <v/>
      </c>
      <c r="G1773" s="19" t="str">
        <f aca="false">IF(B1773=0,"",INDEX(Bank!$E:$E,B1773))</f>
        <v/>
      </c>
      <c r="H1773" s="5" t="str">
        <f aca="false">IF(B1773=0,"",IF(INDEX(Bank!$H:$H,B1773)="","",INDEX(Bank!$H:$H,B1773)))</f>
        <v/>
      </c>
      <c r="I1773" s="5" t="n">
        <f aca="false">IF(H1773="",0,IFERROR(MATCH(H1773,GL!$A:$A,0),0))</f>
        <v>0</v>
      </c>
      <c r="J1773" s="32" t="str">
        <f aca="false">IF(I1773=0,"",INDEX(GL!$B:$B,I1773))</f>
        <v/>
      </c>
      <c r="K1773" s="5" t="str">
        <f aca="false">IF(I1773=0,"",IF(INDEX(GL!$C:$C,I1773)="","",INDEX(GL!$C:$C,I1773)))</f>
        <v/>
      </c>
      <c r="L1773" s="19" t="str">
        <f aca="false">IF(I1773=0,"",INDEX(GL!$E:$E,I1773))</f>
        <v/>
      </c>
      <c r="M1773" s="19" t="str">
        <f aca="false">IF(OR(B1773=0,I1773=0),"",ROUND(G1773-L1773,2))</f>
        <v/>
      </c>
      <c r="N1773" s="5" t="str">
        <f aca="false">IF(A1773="","",IF(B1773=0,"NOT FOUND: bank ID",IF(I1773=0,"NOT FOUND: GL ID",IF(INDEX(GL!$H:$H,I1773)&lt;&gt;A1773,"BROKEN: GL points elsewhere",IF(OR(INDEX(Bank!$F:$F,B1773)&lt;&gt;"Y",INDEX(GL!$F:$F,I1773)&lt;&gt;"Y"),"BROKEN: Status not Y","OK")))))</f>
        <v/>
      </c>
    </row>
    <row r="1774" customFormat="false" ht="15" hidden="false" customHeight="false" outlineLevel="0" collapsed="false">
      <c r="A1774" s="41"/>
      <c r="B1774" s="5" t="n">
        <f aca="false">IF(A1774="",0,IFERROR(MATCH(A1774,Bank!$A:$A,0),0))</f>
        <v>0</v>
      </c>
      <c r="C1774" s="5" t="str">
        <f aca="false">IF(B1774=0,"",IF(INDEX(Bank!$G:$G,B1774)="","",INDEX(Bank!$G:$G,B1774)))</f>
        <v/>
      </c>
      <c r="D1774" s="5" t="str">
        <f aca="false">IF(B1774=0,"",IF(INDEX(Bank!$J:$J,B1774)="","",INDEX(Bank!$J:$J,B1774)))</f>
        <v/>
      </c>
      <c r="E1774" s="32" t="str">
        <f aca="false">IF(B1774=0,"",INDEX(Bank!$B:$B,B1774))</f>
        <v/>
      </c>
      <c r="F1774" s="5" t="str">
        <f aca="false">IF(B1774=0,"",IF(INDEX(Bank!$C:$C,B1774)="","",INDEX(Bank!$C:$C,B1774)))</f>
        <v/>
      </c>
      <c r="G1774" s="19" t="str">
        <f aca="false">IF(B1774=0,"",INDEX(Bank!$E:$E,B1774))</f>
        <v/>
      </c>
      <c r="H1774" s="5" t="str">
        <f aca="false">IF(B1774=0,"",IF(INDEX(Bank!$H:$H,B1774)="","",INDEX(Bank!$H:$H,B1774)))</f>
        <v/>
      </c>
      <c r="I1774" s="5" t="n">
        <f aca="false">IF(H1774="",0,IFERROR(MATCH(H1774,GL!$A:$A,0),0))</f>
        <v>0</v>
      </c>
      <c r="J1774" s="32" t="str">
        <f aca="false">IF(I1774=0,"",INDEX(GL!$B:$B,I1774))</f>
        <v/>
      </c>
      <c r="K1774" s="5" t="str">
        <f aca="false">IF(I1774=0,"",IF(INDEX(GL!$C:$C,I1774)="","",INDEX(GL!$C:$C,I1774)))</f>
        <v/>
      </c>
      <c r="L1774" s="19" t="str">
        <f aca="false">IF(I1774=0,"",INDEX(GL!$E:$E,I1774))</f>
        <v/>
      </c>
      <c r="M1774" s="19" t="str">
        <f aca="false">IF(OR(B1774=0,I1774=0),"",ROUND(G1774-L1774,2))</f>
        <v/>
      </c>
      <c r="N1774" s="5" t="str">
        <f aca="false">IF(A1774="","",IF(B1774=0,"NOT FOUND: bank ID",IF(I1774=0,"NOT FOUND: GL ID",IF(INDEX(GL!$H:$H,I1774)&lt;&gt;A1774,"BROKEN: GL points elsewhere",IF(OR(INDEX(Bank!$F:$F,B1774)&lt;&gt;"Y",INDEX(GL!$F:$F,I1774)&lt;&gt;"Y"),"BROKEN: Status not Y","OK")))))</f>
        <v/>
      </c>
    </row>
    <row r="1775" customFormat="false" ht="15" hidden="false" customHeight="false" outlineLevel="0" collapsed="false">
      <c r="A1775" s="41"/>
      <c r="B1775" s="5" t="n">
        <f aca="false">IF(A1775="",0,IFERROR(MATCH(A1775,Bank!$A:$A,0),0))</f>
        <v>0</v>
      </c>
      <c r="C1775" s="5" t="str">
        <f aca="false">IF(B1775=0,"",IF(INDEX(Bank!$G:$G,B1775)="","",INDEX(Bank!$G:$G,B1775)))</f>
        <v/>
      </c>
      <c r="D1775" s="5" t="str">
        <f aca="false">IF(B1775=0,"",IF(INDEX(Bank!$J:$J,B1775)="","",INDEX(Bank!$J:$J,B1775)))</f>
        <v/>
      </c>
      <c r="E1775" s="32" t="str">
        <f aca="false">IF(B1775=0,"",INDEX(Bank!$B:$B,B1775))</f>
        <v/>
      </c>
      <c r="F1775" s="5" t="str">
        <f aca="false">IF(B1775=0,"",IF(INDEX(Bank!$C:$C,B1775)="","",INDEX(Bank!$C:$C,B1775)))</f>
        <v/>
      </c>
      <c r="G1775" s="19" t="str">
        <f aca="false">IF(B1775=0,"",INDEX(Bank!$E:$E,B1775))</f>
        <v/>
      </c>
      <c r="H1775" s="5" t="str">
        <f aca="false">IF(B1775=0,"",IF(INDEX(Bank!$H:$H,B1775)="","",INDEX(Bank!$H:$H,B1775)))</f>
        <v/>
      </c>
      <c r="I1775" s="5" t="n">
        <f aca="false">IF(H1775="",0,IFERROR(MATCH(H1775,GL!$A:$A,0),0))</f>
        <v>0</v>
      </c>
      <c r="J1775" s="32" t="str">
        <f aca="false">IF(I1775=0,"",INDEX(GL!$B:$B,I1775))</f>
        <v/>
      </c>
      <c r="K1775" s="5" t="str">
        <f aca="false">IF(I1775=0,"",IF(INDEX(GL!$C:$C,I1775)="","",INDEX(GL!$C:$C,I1775)))</f>
        <v/>
      </c>
      <c r="L1775" s="19" t="str">
        <f aca="false">IF(I1775=0,"",INDEX(GL!$E:$E,I1775))</f>
        <v/>
      </c>
      <c r="M1775" s="19" t="str">
        <f aca="false">IF(OR(B1775=0,I1775=0),"",ROUND(G1775-L1775,2))</f>
        <v/>
      </c>
      <c r="N1775" s="5" t="str">
        <f aca="false">IF(A1775="","",IF(B1775=0,"NOT FOUND: bank ID",IF(I1775=0,"NOT FOUND: GL ID",IF(INDEX(GL!$H:$H,I1775)&lt;&gt;A1775,"BROKEN: GL points elsewhere",IF(OR(INDEX(Bank!$F:$F,B1775)&lt;&gt;"Y",INDEX(GL!$F:$F,I1775)&lt;&gt;"Y"),"BROKEN: Status not Y","OK")))))</f>
        <v/>
      </c>
    </row>
    <row r="1776" customFormat="false" ht="15" hidden="false" customHeight="false" outlineLevel="0" collapsed="false">
      <c r="A1776" s="41"/>
      <c r="B1776" s="5" t="n">
        <f aca="false">IF(A1776="",0,IFERROR(MATCH(A1776,Bank!$A:$A,0),0))</f>
        <v>0</v>
      </c>
      <c r="C1776" s="5" t="str">
        <f aca="false">IF(B1776=0,"",IF(INDEX(Bank!$G:$G,B1776)="","",INDEX(Bank!$G:$G,B1776)))</f>
        <v/>
      </c>
      <c r="D1776" s="5" t="str">
        <f aca="false">IF(B1776=0,"",IF(INDEX(Bank!$J:$J,B1776)="","",INDEX(Bank!$J:$J,B1776)))</f>
        <v/>
      </c>
      <c r="E1776" s="32" t="str">
        <f aca="false">IF(B1776=0,"",INDEX(Bank!$B:$B,B1776))</f>
        <v/>
      </c>
      <c r="F1776" s="5" t="str">
        <f aca="false">IF(B1776=0,"",IF(INDEX(Bank!$C:$C,B1776)="","",INDEX(Bank!$C:$C,B1776)))</f>
        <v/>
      </c>
      <c r="G1776" s="19" t="str">
        <f aca="false">IF(B1776=0,"",INDEX(Bank!$E:$E,B1776))</f>
        <v/>
      </c>
      <c r="H1776" s="5" t="str">
        <f aca="false">IF(B1776=0,"",IF(INDEX(Bank!$H:$H,B1776)="","",INDEX(Bank!$H:$H,B1776)))</f>
        <v/>
      </c>
      <c r="I1776" s="5" t="n">
        <f aca="false">IF(H1776="",0,IFERROR(MATCH(H1776,GL!$A:$A,0),0))</f>
        <v>0</v>
      </c>
      <c r="J1776" s="32" t="str">
        <f aca="false">IF(I1776=0,"",INDEX(GL!$B:$B,I1776))</f>
        <v/>
      </c>
      <c r="K1776" s="5" t="str">
        <f aca="false">IF(I1776=0,"",IF(INDEX(GL!$C:$C,I1776)="","",INDEX(GL!$C:$C,I1776)))</f>
        <v/>
      </c>
      <c r="L1776" s="19" t="str">
        <f aca="false">IF(I1776=0,"",INDEX(GL!$E:$E,I1776))</f>
        <v/>
      </c>
      <c r="M1776" s="19" t="str">
        <f aca="false">IF(OR(B1776=0,I1776=0),"",ROUND(G1776-L1776,2))</f>
        <v/>
      </c>
      <c r="N1776" s="5" t="str">
        <f aca="false">IF(A1776="","",IF(B1776=0,"NOT FOUND: bank ID",IF(I1776=0,"NOT FOUND: GL ID",IF(INDEX(GL!$H:$H,I1776)&lt;&gt;A1776,"BROKEN: GL points elsewhere",IF(OR(INDEX(Bank!$F:$F,B1776)&lt;&gt;"Y",INDEX(GL!$F:$F,I1776)&lt;&gt;"Y"),"BROKEN: Status not Y","OK")))))</f>
        <v/>
      </c>
    </row>
    <row r="1777" customFormat="false" ht="15" hidden="false" customHeight="false" outlineLevel="0" collapsed="false">
      <c r="A1777" s="41"/>
      <c r="B1777" s="5" t="n">
        <f aca="false">IF(A1777="",0,IFERROR(MATCH(A1777,Bank!$A:$A,0),0))</f>
        <v>0</v>
      </c>
      <c r="C1777" s="5" t="str">
        <f aca="false">IF(B1777=0,"",IF(INDEX(Bank!$G:$G,B1777)="","",INDEX(Bank!$G:$G,B1777)))</f>
        <v/>
      </c>
      <c r="D1777" s="5" t="str">
        <f aca="false">IF(B1777=0,"",IF(INDEX(Bank!$J:$J,B1777)="","",INDEX(Bank!$J:$J,B1777)))</f>
        <v/>
      </c>
      <c r="E1777" s="32" t="str">
        <f aca="false">IF(B1777=0,"",INDEX(Bank!$B:$B,B1777))</f>
        <v/>
      </c>
      <c r="F1777" s="5" t="str">
        <f aca="false">IF(B1777=0,"",IF(INDEX(Bank!$C:$C,B1777)="","",INDEX(Bank!$C:$C,B1777)))</f>
        <v/>
      </c>
      <c r="G1777" s="19" t="str">
        <f aca="false">IF(B1777=0,"",INDEX(Bank!$E:$E,B1777))</f>
        <v/>
      </c>
      <c r="H1777" s="5" t="str">
        <f aca="false">IF(B1777=0,"",IF(INDEX(Bank!$H:$H,B1777)="","",INDEX(Bank!$H:$H,B1777)))</f>
        <v/>
      </c>
      <c r="I1777" s="5" t="n">
        <f aca="false">IF(H1777="",0,IFERROR(MATCH(H1777,GL!$A:$A,0),0))</f>
        <v>0</v>
      </c>
      <c r="J1777" s="32" t="str">
        <f aca="false">IF(I1777=0,"",INDEX(GL!$B:$B,I1777))</f>
        <v/>
      </c>
      <c r="K1777" s="5" t="str">
        <f aca="false">IF(I1777=0,"",IF(INDEX(GL!$C:$C,I1777)="","",INDEX(GL!$C:$C,I1777)))</f>
        <v/>
      </c>
      <c r="L1777" s="19" t="str">
        <f aca="false">IF(I1777=0,"",INDEX(GL!$E:$E,I1777))</f>
        <v/>
      </c>
      <c r="M1777" s="19" t="str">
        <f aca="false">IF(OR(B1777=0,I1777=0),"",ROUND(G1777-L1777,2))</f>
        <v/>
      </c>
      <c r="N1777" s="5" t="str">
        <f aca="false">IF(A1777="","",IF(B1777=0,"NOT FOUND: bank ID",IF(I1777=0,"NOT FOUND: GL ID",IF(INDEX(GL!$H:$H,I1777)&lt;&gt;A1777,"BROKEN: GL points elsewhere",IF(OR(INDEX(Bank!$F:$F,B1777)&lt;&gt;"Y",INDEX(GL!$F:$F,I1777)&lt;&gt;"Y"),"BROKEN: Status not Y","OK")))))</f>
        <v/>
      </c>
    </row>
    <row r="1778" customFormat="false" ht="15" hidden="false" customHeight="false" outlineLevel="0" collapsed="false">
      <c r="A1778" s="41"/>
      <c r="B1778" s="5" t="n">
        <f aca="false">IF(A1778="",0,IFERROR(MATCH(A1778,Bank!$A:$A,0),0))</f>
        <v>0</v>
      </c>
      <c r="C1778" s="5" t="str">
        <f aca="false">IF(B1778=0,"",IF(INDEX(Bank!$G:$G,B1778)="","",INDEX(Bank!$G:$G,B1778)))</f>
        <v/>
      </c>
      <c r="D1778" s="5" t="str">
        <f aca="false">IF(B1778=0,"",IF(INDEX(Bank!$J:$J,B1778)="","",INDEX(Bank!$J:$J,B1778)))</f>
        <v/>
      </c>
      <c r="E1778" s="32" t="str">
        <f aca="false">IF(B1778=0,"",INDEX(Bank!$B:$B,B1778))</f>
        <v/>
      </c>
      <c r="F1778" s="5" t="str">
        <f aca="false">IF(B1778=0,"",IF(INDEX(Bank!$C:$C,B1778)="","",INDEX(Bank!$C:$C,B1778)))</f>
        <v/>
      </c>
      <c r="G1778" s="19" t="str">
        <f aca="false">IF(B1778=0,"",INDEX(Bank!$E:$E,B1778))</f>
        <v/>
      </c>
      <c r="H1778" s="5" t="str">
        <f aca="false">IF(B1778=0,"",IF(INDEX(Bank!$H:$H,B1778)="","",INDEX(Bank!$H:$H,B1778)))</f>
        <v/>
      </c>
      <c r="I1778" s="5" t="n">
        <f aca="false">IF(H1778="",0,IFERROR(MATCH(H1778,GL!$A:$A,0),0))</f>
        <v>0</v>
      </c>
      <c r="J1778" s="32" t="str">
        <f aca="false">IF(I1778=0,"",INDEX(GL!$B:$B,I1778))</f>
        <v/>
      </c>
      <c r="K1778" s="5" t="str">
        <f aca="false">IF(I1778=0,"",IF(INDEX(GL!$C:$C,I1778)="","",INDEX(GL!$C:$C,I1778)))</f>
        <v/>
      </c>
      <c r="L1778" s="19" t="str">
        <f aca="false">IF(I1778=0,"",INDEX(GL!$E:$E,I1778))</f>
        <v/>
      </c>
      <c r="M1778" s="19" t="str">
        <f aca="false">IF(OR(B1778=0,I1778=0),"",ROUND(G1778-L1778,2))</f>
        <v/>
      </c>
      <c r="N1778" s="5" t="str">
        <f aca="false">IF(A1778="","",IF(B1778=0,"NOT FOUND: bank ID",IF(I1778=0,"NOT FOUND: GL ID",IF(INDEX(GL!$H:$H,I1778)&lt;&gt;A1778,"BROKEN: GL points elsewhere",IF(OR(INDEX(Bank!$F:$F,B1778)&lt;&gt;"Y",INDEX(GL!$F:$F,I1778)&lt;&gt;"Y"),"BROKEN: Status not Y","OK")))))</f>
        <v/>
      </c>
    </row>
    <row r="1779" customFormat="false" ht="15" hidden="false" customHeight="false" outlineLevel="0" collapsed="false">
      <c r="A1779" s="41"/>
      <c r="B1779" s="5" t="n">
        <f aca="false">IF(A1779="",0,IFERROR(MATCH(A1779,Bank!$A:$A,0),0))</f>
        <v>0</v>
      </c>
      <c r="C1779" s="5" t="str">
        <f aca="false">IF(B1779=0,"",IF(INDEX(Bank!$G:$G,B1779)="","",INDEX(Bank!$G:$G,B1779)))</f>
        <v/>
      </c>
      <c r="D1779" s="5" t="str">
        <f aca="false">IF(B1779=0,"",IF(INDEX(Bank!$J:$J,B1779)="","",INDEX(Bank!$J:$J,B1779)))</f>
        <v/>
      </c>
      <c r="E1779" s="32" t="str">
        <f aca="false">IF(B1779=0,"",INDEX(Bank!$B:$B,B1779))</f>
        <v/>
      </c>
      <c r="F1779" s="5" t="str">
        <f aca="false">IF(B1779=0,"",IF(INDEX(Bank!$C:$C,B1779)="","",INDEX(Bank!$C:$C,B1779)))</f>
        <v/>
      </c>
      <c r="G1779" s="19" t="str">
        <f aca="false">IF(B1779=0,"",INDEX(Bank!$E:$E,B1779))</f>
        <v/>
      </c>
      <c r="H1779" s="5" t="str">
        <f aca="false">IF(B1779=0,"",IF(INDEX(Bank!$H:$H,B1779)="","",INDEX(Bank!$H:$H,B1779)))</f>
        <v/>
      </c>
      <c r="I1779" s="5" t="n">
        <f aca="false">IF(H1779="",0,IFERROR(MATCH(H1779,GL!$A:$A,0),0))</f>
        <v>0</v>
      </c>
      <c r="J1779" s="32" t="str">
        <f aca="false">IF(I1779=0,"",INDEX(GL!$B:$B,I1779))</f>
        <v/>
      </c>
      <c r="K1779" s="5" t="str">
        <f aca="false">IF(I1779=0,"",IF(INDEX(GL!$C:$C,I1779)="","",INDEX(GL!$C:$C,I1779)))</f>
        <v/>
      </c>
      <c r="L1779" s="19" t="str">
        <f aca="false">IF(I1779=0,"",INDEX(GL!$E:$E,I1779))</f>
        <v/>
      </c>
      <c r="M1779" s="19" t="str">
        <f aca="false">IF(OR(B1779=0,I1779=0),"",ROUND(G1779-L1779,2))</f>
        <v/>
      </c>
      <c r="N1779" s="5" t="str">
        <f aca="false">IF(A1779="","",IF(B1779=0,"NOT FOUND: bank ID",IF(I1779=0,"NOT FOUND: GL ID",IF(INDEX(GL!$H:$H,I1779)&lt;&gt;A1779,"BROKEN: GL points elsewhere",IF(OR(INDEX(Bank!$F:$F,B1779)&lt;&gt;"Y",INDEX(GL!$F:$F,I1779)&lt;&gt;"Y"),"BROKEN: Status not Y","OK")))))</f>
        <v/>
      </c>
    </row>
    <row r="1780" customFormat="false" ht="15" hidden="false" customHeight="false" outlineLevel="0" collapsed="false">
      <c r="A1780" s="41"/>
      <c r="B1780" s="5" t="n">
        <f aca="false">IF(A1780="",0,IFERROR(MATCH(A1780,Bank!$A:$A,0),0))</f>
        <v>0</v>
      </c>
      <c r="C1780" s="5" t="str">
        <f aca="false">IF(B1780=0,"",IF(INDEX(Bank!$G:$G,B1780)="","",INDEX(Bank!$G:$G,B1780)))</f>
        <v/>
      </c>
      <c r="D1780" s="5" t="str">
        <f aca="false">IF(B1780=0,"",IF(INDEX(Bank!$J:$J,B1780)="","",INDEX(Bank!$J:$J,B1780)))</f>
        <v/>
      </c>
      <c r="E1780" s="32" t="str">
        <f aca="false">IF(B1780=0,"",INDEX(Bank!$B:$B,B1780))</f>
        <v/>
      </c>
      <c r="F1780" s="5" t="str">
        <f aca="false">IF(B1780=0,"",IF(INDEX(Bank!$C:$C,B1780)="","",INDEX(Bank!$C:$C,B1780)))</f>
        <v/>
      </c>
      <c r="G1780" s="19" t="str">
        <f aca="false">IF(B1780=0,"",INDEX(Bank!$E:$E,B1780))</f>
        <v/>
      </c>
      <c r="H1780" s="5" t="str">
        <f aca="false">IF(B1780=0,"",IF(INDEX(Bank!$H:$H,B1780)="","",INDEX(Bank!$H:$H,B1780)))</f>
        <v/>
      </c>
      <c r="I1780" s="5" t="n">
        <f aca="false">IF(H1780="",0,IFERROR(MATCH(H1780,GL!$A:$A,0),0))</f>
        <v>0</v>
      </c>
      <c r="J1780" s="32" t="str">
        <f aca="false">IF(I1780=0,"",INDEX(GL!$B:$B,I1780))</f>
        <v/>
      </c>
      <c r="K1780" s="5" t="str">
        <f aca="false">IF(I1780=0,"",IF(INDEX(GL!$C:$C,I1780)="","",INDEX(GL!$C:$C,I1780)))</f>
        <v/>
      </c>
      <c r="L1780" s="19" t="str">
        <f aca="false">IF(I1780=0,"",INDEX(GL!$E:$E,I1780))</f>
        <v/>
      </c>
      <c r="M1780" s="19" t="str">
        <f aca="false">IF(OR(B1780=0,I1780=0),"",ROUND(G1780-L1780,2))</f>
        <v/>
      </c>
      <c r="N1780" s="5" t="str">
        <f aca="false">IF(A1780="","",IF(B1780=0,"NOT FOUND: bank ID",IF(I1780=0,"NOT FOUND: GL ID",IF(INDEX(GL!$H:$H,I1780)&lt;&gt;A1780,"BROKEN: GL points elsewhere",IF(OR(INDEX(Bank!$F:$F,B1780)&lt;&gt;"Y",INDEX(GL!$F:$F,I1780)&lt;&gt;"Y"),"BROKEN: Status not Y","OK")))))</f>
        <v/>
      </c>
    </row>
    <row r="1781" customFormat="false" ht="15" hidden="false" customHeight="false" outlineLevel="0" collapsed="false">
      <c r="A1781" s="41"/>
      <c r="B1781" s="5" t="n">
        <f aca="false">IF(A1781="",0,IFERROR(MATCH(A1781,Bank!$A:$A,0),0))</f>
        <v>0</v>
      </c>
      <c r="C1781" s="5" t="str">
        <f aca="false">IF(B1781=0,"",IF(INDEX(Bank!$G:$G,B1781)="","",INDEX(Bank!$G:$G,B1781)))</f>
        <v/>
      </c>
      <c r="D1781" s="5" t="str">
        <f aca="false">IF(B1781=0,"",IF(INDEX(Bank!$J:$J,B1781)="","",INDEX(Bank!$J:$J,B1781)))</f>
        <v/>
      </c>
      <c r="E1781" s="32" t="str">
        <f aca="false">IF(B1781=0,"",INDEX(Bank!$B:$B,B1781))</f>
        <v/>
      </c>
      <c r="F1781" s="5" t="str">
        <f aca="false">IF(B1781=0,"",IF(INDEX(Bank!$C:$C,B1781)="","",INDEX(Bank!$C:$C,B1781)))</f>
        <v/>
      </c>
      <c r="G1781" s="19" t="str">
        <f aca="false">IF(B1781=0,"",INDEX(Bank!$E:$E,B1781))</f>
        <v/>
      </c>
      <c r="H1781" s="5" t="str">
        <f aca="false">IF(B1781=0,"",IF(INDEX(Bank!$H:$H,B1781)="","",INDEX(Bank!$H:$H,B1781)))</f>
        <v/>
      </c>
      <c r="I1781" s="5" t="n">
        <f aca="false">IF(H1781="",0,IFERROR(MATCH(H1781,GL!$A:$A,0),0))</f>
        <v>0</v>
      </c>
      <c r="J1781" s="32" t="str">
        <f aca="false">IF(I1781=0,"",INDEX(GL!$B:$B,I1781))</f>
        <v/>
      </c>
      <c r="K1781" s="5" t="str">
        <f aca="false">IF(I1781=0,"",IF(INDEX(GL!$C:$C,I1781)="","",INDEX(GL!$C:$C,I1781)))</f>
        <v/>
      </c>
      <c r="L1781" s="19" t="str">
        <f aca="false">IF(I1781=0,"",INDEX(GL!$E:$E,I1781))</f>
        <v/>
      </c>
      <c r="M1781" s="19" t="str">
        <f aca="false">IF(OR(B1781=0,I1781=0),"",ROUND(G1781-L1781,2))</f>
        <v/>
      </c>
      <c r="N1781" s="5" t="str">
        <f aca="false">IF(A1781="","",IF(B1781=0,"NOT FOUND: bank ID",IF(I1781=0,"NOT FOUND: GL ID",IF(INDEX(GL!$H:$H,I1781)&lt;&gt;A1781,"BROKEN: GL points elsewhere",IF(OR(INDEX(Bank!$F:$F,B1781)&lt;&gt;"Y",INDEX(GL!$F:$F,I1781)&lt;&gt;"Y"),"BROKEN: Status not Y","OK")))))</f>
        <v/>
      </c>
    </row>
    <row r="1782" customFormat="false" ht="15" hidden="false" customHeight="false" outlineLevel="0" collapsed="false">
      <c r="A1782" s="41"/>
      <c r="B1782" s="5" t="n">
        <f aca="false">IF(A1782="",0,IFERROR(MATCH(A1782,Bank!$A:$A,0),0))</f>
        <v>0</v>
      </c>
      <c r="C1782" s="5" t="str">
        <f aca="false">IF(B1782=0,"",IF(INDEX(Bank!$G:$G,B1782)="","",INDEX(Bank!$G:$G,B1782)))</f>
        <v/>
      </c>
      <c r="D1782" s="5" t="str">
        <f aca="false">IF(B1782=0,"",IF(INDEX(Bank!$J:$J,B1782)="","",INDEX(Bank!$J:$J,B1782)))</f>
        <v/>
      </c>
      <c r="E1782" s="32" t="str">
        <f aca="false">IF(B1782=0,"",INDEX(Bank!$B:$B,B1782))</f>
        <v/>
      </c>
      <c r="F1782" s="5" t="str">
        <f aca="false">IF(B1782=0,"",IF(INDEX(Bank!$C:$C,B1782)="","",INDEX(Bank!$C:$C,B1782)))</f>
        <v/>
      </c>
      <c r="G1782" s="19" t="str">
        <f aca="false">IF(B1782=0,"",INDEX(Bank!$E:$E,B1782))</f>
        <v/>
      </c>
      <c r="H1782" s="5" t="str">
        <f aca="false">IF(B1782=0,"",IF(INDEX(Bank!$H:$H,B1782)="","",INDEX(Bank!$H:$H,B1782)))</f>
        <v/>
      </c>
      <c r="I1782" s="5" t="n">
        <f aca="false">IF(H1782="",0,IFERROR(MATCH(H1782,GL!$A:$A,0),0))</f>
        <v>0</v>
      </c>
      <c r="J1782" s="32" t="str">
        <f aca="false">IF(I1782=0,"",INDEX(GL!$B:$B,I1782))</f>
        <v/>
      </c>
      <c r="K1782" s="5" t="str">
        <f aca="false">IF(I1782=0,"",IF(INDEX(GL!$C:$C,I1782)="","",INDEX(GL!$C:$C,I1782)))</f>
        <v/>
      </c>
      <c r="L1782" s="19" t="str">
        <f aca="false">IF(I1782=0,"",INDEX(GL!$E:$E,I1782))</f>
        <v/>
      </c>
      <c r="M1782" s="19" t="str">
        <f aca="false">IF(OR(B1782=0,I1782=0),"",ROUND(G1782-L1782,2))</f>
        <v/>
      </c>
      <c r="N1782" s="5" t="str">
        <f aca="false">IF(A1782="","",IF(B1782=0,"NOT FOUND: bank ID",IF(I1782=0,"NOT FOUND: GL ID",IF(INDEX(GL!$H:$H,I1782)&lt;&gt;A1782,"BROKEN: GL points elsewhere",IF(OR(INDEX(Bank!$F:$F,B1782)&lt;&gt;"Y",INDEX(GL!$F:$F,I1782)&lt;&gt;"Y"),"BROKEN: Status not Y","OK")))))</f>
        <v/>
      </c>
    </row>
    <row r="1783" customFormat="false" ht="15" hidden="false" customHeight="false" outlineLevel="0" collapsed="false">
      <c r="A1783" s="41"/>
      <c r="B1783" s="5" t="n">
        <f aca="false">IF(A1783="",0,IFERROR(MATCH(A1783,Bank!$A:$A,0),0))</f>
        <v>0</v>
      </c>
      <c r="C1783" s="5" t="str">
        <f aca="false">IF(B1783=0,"",IF(INDEX(Bank!$G:$G,B1783)="","",INDEX(Bank!$G:$G,B1783)))</f>
        <v/>
      </c>
      <c r="D1783" s="5" t="str">
        <f aca="false">IF(B1783=0,"",IF(INDEX(Bank!$J:$J,B1783)="","",INDEX(Bank!$J:$J,B1783)))</f>
        <v/>
      </c>
      <c r="E1783" s="32" t="str">
        <f aca="false">IF(B1783=0,"",INDEX(Bank!$B:$B,B1783))</f>
        <v/>
      </c>
      <c r="F1783" s="5" t="str">
        <f aca="false">IF(B1783=0,"",IF(INDEX(Bank!$C:$C,B1783)="","",INDEX(Bank!$C:$C,B1783)))</f>
        <v/>
      </c>
      <c r="G1783" s="19" t="str">
        <f aca="false">IF(B1783=0,"",INDEX(Bank!$E:$E,B1783))</f>
        <v/>
      </c>
      <c r="H1783" s="5" t="str">
        <f aca="false">IF(B1783=0,"",IF(INDEX(Bank!$H:$H,B1783)="","",INDEX(Bank!$H:$H,B1783)))</f>
        <v/>
      </c>
      <c r="I1783" s="5" t="n">
        <f aca="false">IF(H1783="",0,IFERROR(MATCH(H1783,GL!$A:$A,0),0))</f>
        <v>0</v>
      </c>
      <c r="J1783" s="32" t="str">
        <f aca="false">IF(I1783=0,"",INDEX(GL!$B:$B,I1783))</f>
        <v/>
      </c>
      <c r="K1783" s="5" t="str">
        <f aca="false">IF(I1783=0,"",IF(INDEX(GL!$C:$C,I1783)="","",INDEX(GL!$C:$C,I1783)))</f>
        <v/>
      </c>
      <c r="L1783" s="19" t="str">
        <f aca="false">IF(I1783=0,"",INDEX(GL!$E:$E,I1783))</f>
        <v/>
      </c>
      <c r="M1783" s="19" t="str">
        <f aca="false">IF(OR(B1783=0,I1783=0),"",ROUND(G1783-L1783,2))</f>
        <v/>
      </c>
      <c r="N1783" s="5" t="str">
        <f aca="false">IF(A1783="","",IF(B1783=0,"NOT FOUND: bank ID",IF(I1783=0,"NOT FOUND: GL ID",IF(INDEX(GL!$H:$H,I1783)&lt;&gt;A1783,"BROKEN: GL points elsewhere",IF(OR(INDEX(Bank!$F:$F,B1783)&lt;&gt;"Y",INDEX(GL!$F:$F,I1783)&lt;&gt;"Y"),"BROKEN: Status not Y","OK")))))</f>
        <v/>
      </c>
    </row>
    <row r="1784" customFormat="false" ht="15" hidden="false" customHeight="false" outlineLevel="0" collapsed="false">
      <c r="A1784" s="41"/>
      <c r="B1784" s="5" t="n">
        <f aca="false">IF(A1784="",0,IFERROR(MATCH(A1784,Bank!$A:$A,0),0))</f>
        <v>0</v>
      </c>
      <c r="C1784" s="5" t="str">
        <f aca="false">IF(B1784=0,"",IF(INDEX(Bank!$G:$G,B1784)="","",INDEX(Bank!$G:$G,B1784)))</f>
        <v/>
      </c>
      <c r="D1784" s="5" t="str">
        <f aca="false">IF(B1784=0,"",IF(INDEX(Bank!$J:$J,B1784)="","",INDEX(Bank!$J:$J,B1784)))</f>
        <v/>
      </c>
      <c r="E1784" s="32" t="str">
        <f aca="false">IF(B1784=0,"",INDEX(Bank!$B:$B,B1784))</f>
        <v/>
      </c>
      <c r="F1784" s="5" t="str">
        <f aca="false">IF(B1784=0,"",IF(INDEX(Bank!$C:$C,B1784)="","",INDEX(Bank!$C:$C,B1784)))</f>
        <v/>
      </c>
      <c r="G1784" s="19" t="str">
        <f aca="false">IF(B1784=0,"",INDEX(Bank!$E:$E,B1784))</f>
        <v/>
      </c>
      <c r="H1784" s="5" t="str">
        <f aca="false">IF(B1784=0,"",IF(INDEX(Bank!$H:$H,B1784)="","",INDEX(Bank!$H:$H,B1784)))</f>
        <v/>
      </c>
      <c r="I1784" s="5" t="n">
        <f aca="false">IF(H1784="",0,IFERROR(MATCH(H1784,GL!$A:$A,0),0))</f>
        <v>0</v>
      </c>
      <c r="J1784" s="32" t="str">
        <f aca="false">IF(I1784=0,"",INDEX(GL!$B:$B,I1784))</f>
        <v/>
      </c>
      <c r="K1784" s="5" t="str">
        <f aca="false">IF(I1784=0,"",IF(INDEX(GL!$C:$C,I1784)="","",INDEX(GL!$C:$C,I1784)))</f>
        <v/>
      </c>
      <c r="L1784" s="19" t="str">
        <f aca="false">IF(I1784=0,"",INDEX(GL!$E:$E,I1784))</f>
        <v/>
      </c>
      <c r="M1784" s="19" t="str">
        <f aca="false">IF(OR(B1784=0,I1784=0),"",ROUND(G1784-L1784,2))</f>
        <v/>
      </c>
      <c r="N1784" s="5" t="str">
        <f aca="false">IF(A1784="","",IF(B1784=0,"NOT FOUND: bank ID",IF(I1784=0,"NOT FOUND: GL ID",IF(INDEX(GL!$H:$H,I1784)&lt;&gt;A1784,"BROKEN: GL points elsewhere",IF(OR(INDEX(Bank!$F:$F,B1784)&lt;&gt;"Y",INDEX(GL!$F:$F,I1784)&lt;&gt;"Y"),"BROKEN: Status not Y","OK")))))</f>
        <v/>
      </c>
    </row>
    <row r="1785" customFormat="false" ht="15" hidden="false" customHeight="false" outlineLevel="0" collapsed="false">
      <c r="A1785" s="41"/>
      <c r="B1785" s="5" t="n">
        <f aca="false">IF(A1785="",0,IFERROR(MATCH(A1785,Bank!$A:$A,0),0))</f>
        <v>0</v>
      </c>
      <c r="C1785" s="5" t="str">
        <f aca="false">IF(B1785=0,"",IF(INDEX(Bank!$G:$G,B1785)="","",INDEX(Bank!$G:$G,B1785)))</f>
        <v/>
      </c>
      <c r="D1785" s="5" t="str">
        <f aca="false">IF(B1785=0,"",IF(INDEX(Bank!$J:$J,B1785)="","",INDEX(Bank!$J:$J,B1785)))</f>
        <v/>
      </c>
      <c r="E1785" s="32" t="str">
        <f aca="false">IF(B1785=0,"",INDEX(Bank!$B:$B,B1785))</f>
        <v/>
      </c>
      <c r="F1785" s="5" t="str">
        <f aca="false">IF(B1785=0,"",IF(INDEX(Bank!$C:$C,B1785)="","",INDEX(Bank!$C:$C,B1785)))</f>
        <v/>
      </c>
      <c r="G1785" s="19" t="str">
        <f aca="false">IF(B1785=0,"",INDEX(Bank!$E:$E,B1785))</f>
        <v/>
      </c>
      <c r="H1785" s="5" t="str">
        <f aca="false">IF(B1785=0,"",IF(INDEX(Bank!$H:$H,B1785)="","",INDEX(Bank!$H:$H,B1785)))</f>
        <v/>
      </c>
      <c r="I1785" s="5" t="n">
        <f aca="false">IF(H1785="",0,IFERROR(MATCH(H1785,GL!$A:$A,0),0))</f>
        <v>0</v>
      </c>
      <c r="J1785" s="32" t="str">
        <f aca="false">IF(I1785=0,"",INDEX(GL!$B:$B,I1785))</f>
        <v/>
      </c>
      <c r="K1785" s="5" t="str">
        <f aca="false">IF(I1785=0,"",IF(INDEX(GL!$C:$C,I1785)="","",INDEX(GL!$C:$C,I1785)))</f>
        <v/>
      </c>
      <c r="L1785" s="19" t="str">
        <f aca="false">IF(I1785=0,"",INDEX(GL!$E:$E,I1785))</f>
        <v/>
      </c>
      <c r="M1785" s="19" t="str">
        <f aca="false">IF(OR(B1785=0,I1785=0),"",ROUND(G1785-L1785,2))</f>
        <v/>
      </c>
      <c r="N1785" s="5" t="str">
        <f aca="false">IF(A1785="","",IF(B1785=0,"NOT FOUND: bank ID",IF(I1785=0,"NOT FOUND: GL ID",IF(INDEX(GL!$H:$H,I1785)&lt;&gt;A1785,"BROKEN: GL points elsewhere",IF(OR(INDEX(Bank!$F:$F,B1785)&lt;&gt;"Y",INDEX(GL!$F:$F,I1785)&lt;&gt;"Y"),"BROKEN: Status not Y","OK")))))</f>
        <v/>
      </c>
    </row>
    <row r="1786" customFormat="false" ht="15" hidden="false" customHeight="false" outlineLevel="0" collapsed="false">
      <c r="A1786" s="41"/>
      <c r="B1786" s="5" t="n">
        <f aca="false">IF(A1786="",0,IFERROR(MATCH(A1786,Bank!$A:$A,0),0))</f>
        <v>0</v>
      </c>
      <c r="C1786" s="5" t="str">
        <f aca="false">IF(B1786=0,"",IF(INDEX(Bank!$G:$G,B1786)="","",INDEX(Bank!$G:$G,B1786)))</f>
        <v/>
      </c>
      <c r="D1786" s="5" t="str">
        <f aca="false">IF(B1786=0,"",IF(INDEX(Bank!$J:$J,B1786)="","",INDEX(Bank!$J:$J,B1786)))</f>
        <v/>
      </c>
      <c r="E1786" s="32" t="str">
        <f aca="false">IF(B1786=0,"",INDEX(Bank!$B:$B,B1786))</f>
        <v/>
      </c>
      <c r="F1786" s="5" t="str">
        <f aca="false">IF(B1786=0,"",IF(INDEX(Bank!$C:$C,B1786)="","",INDEX(Bank!$C:$C,B1786)))</f>
        <v/>
      </c>
      <c r="G1786" s="19" t="str">
        <f aca="false">IF(B1786=0,"",INDEX(Bank!$E:$E,B1786))</f>
        <v/>
      </c>
      <c r="H1786" s="5" t="str">
        <f aca="false">IF(B1786=0,"",IF(INDEX(Bank!$H:$H,B1786)="","",INDEX(Bank!$H:$H,B1786)))</f>
        <v/>
      </c>
      <c r="I1786" s="5" t="n">
        <f aca="false">IF(H1786="",0,IFERROR(MATCH(H1786,GL!$A:$A,0),0))</f>
        <v>0</v>
      </c>
      <c r="J1786" s="32" t="str">
        <f aca="false">IF(I1786=0,"",INDEX(GL!$B:$B,I1786))</f>
        <v/>
      </c>
      <c r="K1786" s="5" t="str">
        <f aca="false">IF(I1786=0,"",IF(INDEX(GL!$C:$C,I1786)="","",INDEX(GL!$C:$C,I1786)))</f>
        <v/>
      </c>
      <c r="L1786" s="19" t="str">
        <f aca="false">IF(I1786=0,"",INDEX(GL!$E:$E,I1786))</f>
        <v/>
      </c>
      <c r="M1786" s="19" t="str">
        <f aca="false">IF(OR(B1786=0,I1786=0),"",ROUND(G1786-L1786,2))</f>
        <v/>
      </c>
      <c r="N1786" s="5" t="str">
        <f aca="false">IF(A1786="","",IF(B1786=0,"NOT FOUND: bank ID",IF(I1786=0,"NOT FOUND: GL ID",IF(INDEX(GL!$H:$H,I1786)&lt;&gt;A1786,"BROKEN: GL points elsewhere",IF(OR(INDEX(Bank!$F:$F,B1786)&lt;&gt;"Y",INDEX(GL!$F:$F,I1786)&lt;&gt;"Y"),"BROKEN: Status not Y","OK")))))</f>
        <v/>
      </c>
    </row>
    <row r="1787" customFormat="false" ht="15" hidden="false" customHeight="false" outlineLevel="0" collapsed="false">
      <c r="A1787" s="41"/>
      <c r="B1787" s="5" t="n">
        <f aca="false">IF(A1787="",0,IFERROR(MATCH(A1787,Bank!$A:$A,0),0))</f>
        <v>0</v>
      </c>
      <c r="C1787" s="5" t="str">
        <f aca="false">IF(B1787=0,"",IF(INDEX(Bank!$G:$G,B1787)="","",INDEX(Bank!$G:$G,B1787)))</f>
        <v/>
      </c>
      <c r="D1787" s="5" t="str">
        <f aca="false">IF(B1787=0,"",IF(INDEX(Bank!$J:$J,B1787)="","",INDEX(Bank!$J:$J,B1787)))</f>
        <v/>
      </c>
      <c r="E1787" s="32" t="str">
        <f aca="false">IF(B1787=0,"",INDEX(Bank!$B:$B,B1787))</f>
        <v/>
      </c>
      <c r="F1787" s="5" t="str">
        <f aca="false">IF(B1787=0,"",IF(INDEX(Bank!$C:$C,B1787)="","",INDEX(Bank!$C:$C,B1787)))</f>
        <v/>
      </c>
      <c r="G1787" s="19" t="str">
        <f aca="false">IF(B1787=0,"",INDEX(Bank!$E:$E,B1787))</f>
        <v/>
      </c>
      <c r="H1787" s="5" t="str">
        <f aca="false">IF(B1787=0,"",IF(INDEX(Bank!$H:$H,B1787)="","",INDEX(Bank!$H:$H,B1787)))</f>
        <v/>
      </c>
      <c r="I1787" s="5" t="n">
        <f aca="false">IF(H1787="",0,IFERROR(MATCH(H1787,GL!$A:$A,0),0))</f>
        <v>0</v>
      </c>
      <c r="J1787" s="32" t="str">
        <f aca="false">IF(I1787=0,"",INDEX(GL!$B:$B,I1787))</f>
        <v/>
      </c>
      <c r="K1787" s="5" t="str">
        <f aca="false">IF(I1787=0,"",IF(INDEX(GL!$C:$C,I1787)="","",INDEX(GL!$C:$C,I1787)))</f>
        <v/>
      </c>
      <c r="L1787" s="19" t="str">
        <f aca="false">IF(I1787=0,"",INDEX(GL!$E:$E,I1787))</f>
        <v/>
      </c>
      <c r="M1787" s="19" t="str">
        <f aca="false">IF(OR(B1787=0,I1787=0),"",ROUND(G1787-L1787,2))</f>
        <v/>
      </c>
      <c r="N1787" s="5" t="str">
        <f aca="false">IF(A1787="","",IF(B1787=0,"NOT FOUND: bank ID",IF(I1787=0,"NOT FOUND: GL ID",IF(INDEX(GL!$H:$H,I1787)&lt;&gt;A1787,"BROKEN: GL points elsewhere",IF(OR(INDEX(Bank!$F:$F,B1787)&lt;&gt;"Y",INDEX(GL!$F:$F,I1787)&lt;&gt;"Y"),"BROKEN: Status not Y","OK")))))</f>
        <v/>
      </c>
    </row>
    <row r="1788" customFormat="false" ht="15" hidden="false" customHeight="false" outlineLevel="0" collapsed="false">
      <c r="A1788" s="41"/>
      <c r="B1788" s="5" t="n">
        <f aca="false">IF(A1788="",0,IFERROR(MATCH(A1788,Bank!$A:$A,0),0))</f>
        <v>0</v>
      </c>
      <c r="C1788" s="5" t="str">
        <f aca="false">IF(B1788=0,"",IF(INDEX(Bank!$G:$G,B1788)="","",INDEX(Bank!$G:$G,B1788)))</f>
        <v/>
      </c>
      <c r="D1788" s="5" t="str">
        <f aca="false">IF(B1788=0,"",IF(INDEX(Bank!$J:$J,B1788)="","",INDEX(Bank!$J:$J,B1788)))</f>
        <v/>
      </c>
      <c r="E1788" s="32" t="str">
        <f aca="false">IF(B1788=0,"",INDEX(Bank!$B:$B,B1788))</f>
        <v/>
      </c>
      <c r="F1788" s="5" t="str">
        <f aca="false">IF(B1788=0,"",IF(INDEX(Bank!$C:$C,B1788)="","",INDEX(Bank!$C:$C,B1788)))</f>
        <v/>
      </c>
      <c r="G1788" s="19" t="str">
        <f aca="false">IF(B1788=0,"",INDEX(Bank!$E:$E,B1788))</f>
        <v/>
      </c>
      <c r="H1788" s="5" t="str">
        <f aca="false">IF(B1788=0,"",IF(INDEX(Bank!$H:$H,B1788)="","",INDEX(Bank!$H:$H,B1788)))</f>
        <v/>
      </c>
      <c r="I1788" s="5" t="n">
        <f aca="false">IF(H1788="",0,IFERROR(MATCH(H1788,GL!$A:$A,0),0))</f>
        <v>0</v>
      </c>
      <c r="J1788" s="32" t="str">
        <f aca="false">IF(I1788=0,"",INDEX(GL!$B:$B,I1788))</f>
        <v/>
      </c>
      <c r="K1788" s="5" t="str">
        <f aca="false">IF(I1788=0,"",IF(INDEX(GL!$C:$C,I1788)="","",INDEX(GL!$C:$C,I1788)))</f>
        <v/>
      </c>
      <c r="L1788" s="19" t="str">
        <f aca="false">IF(I1788=0,"",INDEX(GL!$E:$E,I1788))</f>
        <v/>
      </c>
      <c r="M1788" s="19" t="str">
        <f aca="false">IF(OR(B1788=0,I1788=0),"",ROUND(G1788-L1788,2))</f>
        <v/>
      </c>
      <c r="N1788" s="5" t="str">
        <f aca="false">IF(A1788="","",IF(B1788=0,"NOT FOUND: bank ID",IF(I1788=0,"NOT FOUND: GL ID",IF(INDEX(GL!$H:$H,I1788)&lt;&gt;A1788,"BROKEN: GL points elsewhere",IF(OR(INDEX(Bank!$F:$F,B1788)&lt;&gt;"Y",INDEX(GL!$F:$F,I1788)&lt;&gt;"Y"),"BROKEN: Status not Y","OK")))))</f>
        <v/>
      </c>
    </row>
    <row r="1789" customFormat="false" ht="15" hidden="false" customHeight="false" outlineLevel="0" collapsed="false">
      <c r="A1789" s="41"/>
      <c r="B1789" s="5" t="n">
        <f aca="false">IF(A1789="",0,IFERROR(MATCH(A1789,Bank!$A:$A,0),0))</f>
        <v>0</v>
      </c>
      <c r="C1789" s="5" t="str">
        <f aca="false">IF(B1789=0,"",IF(INDEX(Bank!$G:$G,B1789)="","",INDEX(Bank!$G:$G,B1789)))</f>
        <v/>
      </c>
      <c r="D1789" s="5" t="str">
        <f aca="false">IF(B1789=0,"",IF(INDEX(Bank!$J:$J,B1789)="","",INDEX(Bank!$J:$J,B1789)))</f>
        <v/>
      </c>
      <c r="E1789" s="32" t="str">
        <f aca="false">IF(B1789=0,"",INDEX(Bank!$B:$B,B1789))</f>
        <v/>
      </c>
      <c r="F1789" s="5" t="str">
        <f aca="false">IF(B1789=0,"",IF(INDEX(Bank!$C:$C,B1789)="","",INDEX(Bank!$C:$C,B1789)))</f>
        <v/>
      </c>
      <c r="G1789" s="19" t="str">
        <f aca="false">IF(B1789=0,"",INDEX(Bank!$E:$E,B1789))</f>
        <v/>
      </c>
      <c r="H1789" s="5" t="str">
        <f aca="false">IF(B1789=0,"",IF(INDEX(Bank!$H:$H,B1789)="","",INDEX(Bank!$H:$H,B1789)))</f>
        <v/>
      </c>
      <c r="I1789" s="5" t="n">
        <f aca="false">IF(H1789="",0,IFERROR(MATCH(H1789,GL!$A:$A,0),0))</f>
        <v>0</v>
      </c>
      <c r="J1789" s="32" t="str">
        <f aca="false">IF(I1789=0,"",INDEX(GL!$B:$B,I1789))</f>
        <v/>
      </c>
      <c r="K1789" s="5" t="str">
        <f aca="false">IF(I1789=0,"",IF(INDEX(GL!$C:$C,I1789)="","",INDEX(GL!$C:$C,I1789)))</f>
        <v/>
      </c>
      <c r="L1789" s="19" t="str">
        <f aca="false">IF(I1789=0,"",INDEX(GL!$E:$E,I1789))</f>
        <v/>
      </c>
      <c r="M1789" s="19" t="str">
        <f aca="false">IF(OR(B1789=0,I1789=0),"",ROUND(G1789-L1789,2))</f>
        <v/>
      </c>
      <c r="N1789" s="5" t="str">
        <f aca="false">IF(A1789="","",IF(B1789=0,"NOT FOUND: bank ID",IF(I1789=0,"NOT FOUND: GL ID",IF(INDEX(GL!$H:$H,I1789)&lt;&gt;A1789,"BROKEN: GL points elsewhere",IF(OR(INDEX(Bank!$F:$F,B1789)&lt;&gt;"Y",INDEX(GL!$F:$F,I1789)&lt;&gt;"Y"),"BROKEN: Status not Y","OK")))))</f>
        <v/>
      </c>
    </row>
    <row r="1790" customFormat="false" ht="15" hidden="false" customHeight="false" outlineLevel="0" collapsed="false">
      <c r="A1790" s="41"/>
      <c r="B1790" s="5" t="n">
        <f aca="false">IF(A1790="",0,IFERROR(MATCH(A1790,Bank!$A:$A,0),0))</f>
        <v>0</v>
      </c>
      <c r="C1790" s="5" t="str">
        <f aca="false">IF(B1790=0,"",IF(INDEX(Bank!$G:$G,B1790)="","",INDEX(Bank!$G:$G,B1790)))</f>
        <v/>
      </c>
      <c r="D1790" s="5" t="str">
        <f aca="false">IF(B1790=0,"",IF(INDEX(Bank!$J:$J,B1790)="","",INDEX(Bank!$J:$J,B1790)))</f>
        <v/>
      </c>
      <c r="E1790" s="32" t="str">
        <f aca="false">IF(B1790=0,"",INDEX(Bank!$B:$B,B1790))</f>
        <v/>
      </c>
      <c r="F1790" s="5" t="str">
        <f aca="false">IF(B1790=0,"",IF(INDEX(Bank!$C:$C,B1790)="","",INDEX(Bank!$C:$C,B1790)))</f>
        <v/>
      </c>
      <c r="G1790" s="19" t="str">
        <f aca="false">IF(B1790=0,"",INDEX(Bank!$E:$E,B1790))</f>
        <v/>
      </c>
      <c r="H1790" s="5" t="str">
        <f aca="false">IF(B1790=0,"",IF(INDEX(Bank!$H:$H,B1790)="","",INDEX(Bank!$H:$H,B1790)))</f>
        <v/>
      </c>
      <c r="I1790" s="5" t="n">
        <f aca="false">IF(H1790="",0,IFERROR(MATCH(H1790,GL!$A:$A,0),0))</f>
        <v>0</v>
      </c>
      <c r="J1790" s="32" t="str">
        <f aca="false">IF(I1790=0,"",INDEX(GL!$B:$B,I1790))</f>
        <v/>
      </c>
      <c r="K1790" s="5" t="str">
        <f aca="false">IF(I1790=0,"",IF(INDEX(GL!$C:$C,I1790)="","",INDEX(GL!$C:$C,I1790)))</f>
        <v/>
      </c>
      <c r="L1790" s="19" t="str">
        <f aca="false">IF(I1790=0,"",INDEX(GL!$E:$E,I1790))</f>
        <v/>
      </c>
      <c r="M1790" s="19" t="str">
        <f aca="false">IF(OR(B1790=0,I1790=0),"",ROUND(G1790-L1790,2))</f>
        <v/>
      </c>
      <c r="N1790" s="5" t="str">
        <f aca="false">IF(A1790="","",IF(B1790=0,"NOT FOUND: bank ID",IF(I1790=0,"NOT FOUND: GL ID",IF(INDEX(GL!$H:$H,I1790)&lt;&gt;A1790,"BROKEN: GL points elsewhere",IF(OR(INDEX(Bank!$F:$F,B1790)&lt;&gt;"Y",INDEX(GL!$F:$F,I1790)&lt;&gt;"Y"),"BROKEN: Status not Y","OK")))))</f>
        <v/>
      </c>
    </row>
    <row r="1791" customFormat="false" ht="15" hidden="false" customHeight="false" outlineLevel="0" collapsed="false">
      <c r="A1791" s="41"/>
      <c r="B1791" s="5" t="n">
        <f aca="false">IF(A1791="",0,IFERROR(MATCH(A1791,Bank!$A:$A,0),0))</f>
        <v>0</v>
      </c>
      <c r="C1791" s="5" t="str">
        <f aca="false">IF(B1791=0,"",IF(INDEX(Bank!$G:$G,B1791)="","",INDEX(Bank!$G:$G,B1791)))</f>
        <v/>
      </c>
      <c r="D1791" s="5" t="str">
        <f aca="false">IF(B1791=0,"",IF(INDEX(Bank!$J:$J,B1791)="","",INDEX(Bank!$J:$J,B1791)))</f>
        <v/>
      </c>
      <c r="E1791" s="32" t="str">
        <f aca="false">IF(B1791=0,"",INDEX(Bank!$B:$B,B1791))</f>
        <v/>
      </c>
      <c r="F1791" s="5" t="str">
        <f aca="false">IF(B1791=0,"",IF(INDEX(Bank!$C:$C,B1791)="","",INDEX(Bank!$C:$C,B1791)))</f>
        <v/>
      </c>
      <c r="G1791" s="19" t="str">
        <f aca="false">IF(B1791=0,"",INDEX(Bank!$E:$E,B1791))</f>
        <v/>
      </c>
      <c r="H1791" s="5" t="str">
        <f aca="false">IF(B1791=0,"",IF(INDEX(Bank!$H:$H,B1791)="","",INDEX(Bank!$H:$H,B1791)))</f>
        <v/>
      </c>
      <c r="I1791" s="5" t="n">
        <f aca="false">IF(H1791="",0,IFERROR(MATCH(H1791,GL!$A:$A,0),0))</f>
        <v>0</v>
      </c>
      <c r="J1791" s="32" t="str">
        <f aca="false">IF(I1791=0,"",INDEX(GL!$B:$B,I1791))</f>
        <v/>
      </c>
      <c r="K1791" s="5" t="str">
        <f aca="false">IF(I1791=0,"",IF(INDEX(GL!$C:$C,I1791)="","",INDEX(GL!$C:$C,I1791)))</f>
        <v/>
      </c>
      <c r="L1791" s="19" t="str">
        <f aca="false">IF(I1791=0,"",INDEX(GL!$E:$E,I1791))</f>
        <v/>
      </c>
      <c r="M1791" s="19" t="str">
        <f aca="false">IF(OR(B1791=0,I1791=0),"",ROUND(G1791-L1791,2))</f>
        <v/>
      </c>
      <c r="N1791" s="5" t="str">
        <f aca="false">IF(A1791="","",IF(B1791=0,"NOT FOUND: bank ID",IF(I1791=0,"NOT FOUND: GL ID",IF(INDEX(GL!$H:$H,I1791)&lt;&gt;A1791,"BROKEN: GL points elsewhere",IF(OR(INDEX(Bank!$F:$F,B1791)&lt;&gt;"Y",INDEX(GL!$F:$F,I1791)&lt;&gt;"Y"),"BROKEN: Status not Y","OK")))))</f>
        <v/>
      </c>
    </row>
    <row r="1792" customFormat="false" ht="15" hidden="false" customHeight="false" outlineLevel="0" collapsed="false">
      <c r="A1792" s="41"/>
      <c r="B1792" s="5" t="n">
        <f aca="false">IF(A1792="",0,IFERROR(MATCH(A1792,Bank!$A:$A,0),0))</f>
        <v>0</v>
      </c>
      <c r="C1792" s="5" t="str">
        <f aca="false">IF(B1792=0,"",IF(INDEX(Bank!$G:$G,B1792)="","",INDEX(Bank!$G:$G,B1792)))</f>
        <v/>
      </c>
      <c r="D1792" s="5" t="str">
        <f aca="false">IF(B1792=0,"",IF(INDEX(Bank!$J:$J,B1792)="","",INDEX(Bank!$J:$J,B1792)))</f>
        <v/>
      </c>
      <c r="E1792" s="32" t="str">
        <f aca="false">IF(B1792=0,"",INDEX(Bank!$B:$B,B1792))</f>
        <v/>
      </c>
      <c r="F1792" s="5" t="str">
        <f aca="false">IF(B1792=0,"",IF(INDEX(Bank!$C:$C,B1792)="","",INDEX(Bank!$C:$C,B1792)))</f>
        <v/>
      </c>
      <c r="G1792" s="19" t="str">
        <f aca="false">IF(B1792=0,"",INDEX(Bank!$E:$E,B1792))</f>
        <v/>
      </c>
      <c r="H1792" s="5" t="str">
        <f aca="false">IF(B1792=0,"",IF(INDEX(Bank!$H:$H,B1792)="","",INDEX(Bank!$H:$H,B1792)))</f>
        <v/>
      </c>
      <c r="I1792" s="5" t="n">
        <f aca="false">IF(H1792="",0,IFERROR(MATCH(H1792,GL!$A:$A,0),0))</f>
        <v>0</v>
      </c>
      <c r="J1792" s="32" t="str">
        <f aca="false">IF(I1792=0,"",INDEX(GL!$B:$B,I1792))</f>
        <v/>
      </c>
      <c r="K1792" s="5" t="str">
        <f aca="false">IF(I1792=0,"",IF(INDEX(GL!$C:$C,I1792)="","",INDEX(GL!$C:$C,I1792)))</f>
        <v/>
      </c>
      <c r="L1792" s="19" t="str">
        <f aca="false">IF(I1792=0,"",INDEX(GL!$E:$E,I1792))</f>
        <v/>
      </c>
      <c r="M1792" s="19" t="str">
        <f aca="false">IF(OR(B1792=0,I1792=0),"",ROUND(G1792-L1792,2))</f>
        <v/>
      </c>
      <c r="N1792" s="5" t="str">
        <f aca="false">IF(A1792="","",IF(B1792=0,"NOT FOUND: bank ID",IF(I1792=0,"NOT FOUND: GL ID",IF(INDEX(GL!$H:$H,I1792)&lt;&gt;A1792,"BROKEN: GL points elsewhere",IF(OR(INDEX(Bank!$F:$F,B1792)&lt;&gt;"Y",INDEX(GL!$F:$F,I1792)&lt;&gt;"Y"),"BROKEN: Status not Y","OK")))))</f>
        <v/>
      </c>
    </row>
    <row r="1793" customFormat="false" ht="15" hidden="false" customHeight="false" outlineLevel="0" collapsed="false">
      <c r="A1793" s="41"/>
      <c r="B1793" s="5" t="n">
        <f aca="false">IF(A1793="",0,IFERROR(MATCH(A1793,Bank!$A:$A,0),0))</f>
        <v>0</v>
      </c>
      <c r="C1793" s="5" t="str">
        <f aca="false">IF(B1793=0,"",IF(INDEX(Bank!$G:$G,B1793)="","",INDEX(Bank!$G:$G,B1793)))</f>
        <v/>
      </c>
      <c r="D1793" s="5" t="str">
        <f aca="false">IF(B1793=0,"",IF(INDEX(Bank!$J:$J,B1793)="","",INDEX(Bank!$J:$J,B1793)))</f>
        <v/>
      </c>
      <c r="E1793" s="32" t="str">
        <f aca="false">IF(B1793=0,"",INDEX(Bank!$B:$B,B1793))</f>
        <v/>
      </c>
      <c r="F1793" s="5" t="str">
        <f aca="false">IF(B1793=0,"",IF(INDEX(Bank!$C:$C,B1793)="","",INDEX(Bank!$C:$C,B1793)))</f>
        <v/>
      </c>
      <c r="G1793" s="19" t="str">
        <f aca="false">IF(B1793=0,"",INDEX(Bank!$E:$E,B1793))</f>
        <v/>
      </c>
      <c r="H1793" s="5" t="str">
        <f aca="false">IF(B1793=0,"",IF(INDEX(Bank!$H:$H,B1793)="","",INDEX(Bank!$H:$H,B1793)))</f>
        <v/>
      </c>
      <c r="I1793" s="5" t="n">
        <f aca="false">IF(H1793="",0,IFERROR(MATCH(H1793,GL!$A:$A,0),0))</f>
        <v>0</v>
      </c>
      <c r="J1793" s="32" t="str">
        <f aca="false">IF(I1793=0,"",INDEX(GL!$B:$B,I1793))</f>
        <v/>
      </c>
      <c r="K1793" s="5" t="str">
        <f aca="false">IF(I1793=0,"",IF(INDEX(GL!$C:$C,I1793)="","",INDEX(GL!$C:$C,I1793)))</f>
        <v/>
      </c>
      <c r="L1793" s="19" t="str">
        <f aca="false">IF(I1793=0,"",INDEX(GL!$E:$E,I1793))</f>
        <v/>
      </c>
      <c r="M1793" s="19" t="str">
        <f aca="false">IF(OR(B1793=0,I1793=0),"",ROUND(G1793-L1793,2))</f>
        <v/>
      </c>
      <c r="N1793" s="5" t="str">
        <f aca="false">IF(A1793="","",IF(B1793=0,"NOT FOUND: bank ID",IF(I1793=0,"NOT FOUND: GL ID",IF(INDEX(GL!$H:$H,I1793)&lt;&gt;A1793,"BROKEN: GL points elsewhere",IF(OR(INDEX(Bank!$F:$F,B1793)&lt;&gt;"Y",INDEX(GL!$F:$F,I1793)&lt;&gt;"Y"),"BROKEN: Status not Y","OK")))))</f>
        <v/>
      </c>
    </row>
    <row r="1794" customFormat="false" ht="15" hidden="false" customHeight="false" outlineLevel="0" collapsed="false">
      <c r="A1794" s="41"/>
      <c r="B1794" s="5" t="n">
        <f aca="false">IF(A1794="",0,IFERROR(MATCH(A1794,Bank!$A:$A,0),0))</f>
        <v>0</v>
      </c>
      <c r="C1794" s="5" t="str">
        <f aca="false">IF(B1794=0,"",IF(INDEX(Bank!$G:$G,B1794)="","",INDEX(Bank!$G:$G,B1794)))</f>
        <v/>
      </c>
      <c r="D1794" s="5" t="str">
        <f aca="false">IF(B1794=0,"",IF(INDEX(Bank!$J:$J,B1794)="","",INDEX(Bank!$J:$J,B1794)))</f>
        <v/>
      </c>
      <c r="E1794" s="32" t="str">
        <f aca="false">IF(B1794=0,"",INDEX(Bank!$B:$B,B1794))</f>
        <v/>
      </c>
      <c r="F1794" s="5" t="str">
        <f aca="false">IF(B1794=0,"",IF(INDEX(Bank!$C:$C,B1794)="","",INDEX(Bank!$C:$C,B1794)))</f>
        <v/>
      </c>
      <c r="G1794" s="19" t="str">
        <f aca="false">IF(B1794=0,"",INDEX(Bank!$E:$E,B1794))</f>
        <v/>
      </c>
      <c r="H1794" s="5" t="str">
        <f aca="false">IF(B1794=0,"",IF(INDEX(Bank!$H:$H,B1794)="","",INDEX(Bank!$H:$H,B1794)))</f>
        <v/>
      </c>
      <c r="I1794" s="5" t="n">
        <f aca="false">IF(H1794="",0,IFERROR(MATCH(H1794,GL!$A:$A,0),0))</f>
        <v>0</v>
      </c>
      <c r="J1794" s="32" t="str">
        <f aca="false">IF(I1794=0,"",INDEX(GL!$B:$B,I1794))</f>
        <v/>
      </c>
      <c r="K1794" s="5" t="str">
        <f aca="false">IF(I1794=0,"",IF(INDEX(GL!$C:$C,I1794)="","",INDEX(GL!$C:$C,I1794)))</f>
        <v/>
      </c>
      <c r="L1794" s="19" t="str">
        <f aca="false">IF(I1794=0,"",INDEX(GL!$E:$E,I1794))</f>
        <v/>
      </c>
      <c r="M1794" s="19" t="str">
        <f aca="false">IF(OR(B1794=0,I1794=0),"",ROUND(G1794-L1794,2))</f>
        <v/>
      </c>
      <c r="N1794" s="5" t="str">
        <f aca="false">IF(A1794="","",IF(B1794=0,"NOT FOUND: bank ID",IF(I1794=0,"NOT FOUND: GL ID",IF(INDEX(GL!$H:$H,I1794)&lt;&gt;A1794,"BROKEN: GL points elsewhere",IF(OR(INDEX(Bank!$F:$F,B1794)&lt;&gt;"Y",INDEX(GL!$F:$F,I1794)&lt;&gt;"Y"),"BROKEN: Status not Y","OK")))))</f>
        <v/>
      </c>
    </row>
    <row r="1795" customFormat="false" ht="15" hidden="false" customHeight="false" outlineLevel="0" collapsed="false">
      <c r="A1795" s="41"/>
      <c r="B1795" s="5" t="n">
        <f aca="false">IF(A1795="",0,IFERROR(MATCH(A1795,Bank!$A:$A,0),0))</f>
        <v>0</v>
      </c>
      <c r="C1795" s="5" t="str">
        <f aca="false">IF(B1795=0,"",IF(INDEX(Bank!$G:$G,B1795)="","",INDEX(Bank!$G:$G,B1795)))</f>
        <v/>
      </c>
      <c r="D1795" s="5" t="str">
        <f aca="false">IF(B1795=0,"",IF(INDEX(Bank!$J:$J,B1795)="","",INDEX(Bank!$J:$J,B1795)))</f>
        <v/>
      </c>
      <c r="E1795" s="32" t="str">
        <f aca="false">IF(B1795=0,"",INDEX(Bank!$B:$B,B1795))</f>
        <v/>
      </c>
      <c r="F1795" s="5" t="str">
        <f aca="false">IF(B1795=0,"",IF(INDEX(Bank!$C:$C,B1795)="","",INDEX(Bank!$C:$C,B1795)))</f>
        <v/>
      </c>
      <c r="G1795" s="19" t="str">
        <f aca="false">IF(B1795=0,"",INDEX(Bank!$E:$E,B1795))</f>
        <v/>
      </c>
      <c r="H1795" s="5" t="str">
        <f aca="false">IF(B1795=0,"",IF(INDEX(Bank!$H:$H,B1795)="","",INDEX(Bank!$H:$H,B1795)))</f>
        <v/>
      </c>
      <c r="I1795" s="5" t="n">
        <f aca="false">IF(H1795="",0,IFERROR(MATCH(H1795,GL!$A:$A,0),0))</f>
        <v>0</v>
      </c>
      <c r="J1795" s="32" t="str">
        <f aca="false">IF(I1795=0,"",INDEX(GL!$B:$B,I1795))</f>
        <v/>
      </c>
      <c r="K1795" s="5" t="str">
        <f aca="false">IF(I1795=0,"",IF(INDEX(GL!$C:$C,I1795)="","",INDEX(GL!$C:$C,I1795)))</f>
        <v/>
      </c>
      <c r="L1795" s="19" t="str">
        <f aca="false">IF(I1795=0,"",INDEX(GL!$E:$E,I1795))</f>
        <v/>
      </c>
      <c r="M1795" s="19" t="str">
        <f aca="false">IF(OR(B1795=0,I1795=0),"",ROUND(G1795-L1795,2))</f>
        <v/>
      </c>
      <c r="N1795" s="5" t="str">
        <f aca="false">IF(A1795="","",IF(B1795=0,"NOT FOUND: bank ID",IF(I1795=0,"NOT FOUND: GL ID",IF(INDEX(GL!$H:$H,I1795)&lt;&gt;A1795,"BROKEN: GL points elsewhere",IF(OR(INDEX(Bank!$F:$F,B1795)&lt;&gt;"Y",INDEX(GL!$F:$F,I1795)&lt;&gt;"Y"),"BROKEN: Status not Y","OK")))))</f>
        <v/>
      </c>
    </row>
    <row r="1796" customFormat="false" ht="15" hidden="false" customHeight="false" outlineLevel="0" collapsed="false">
      <c r="A1796" s="41"/>
      <c r="B1796" s="5" t="n">
        <f aca="false">IF(A1796="",0,IFERROR(MATCH(A1796,Bank!$A:$A,0),0))</f>
        <v>0</v>
      </c>
      <c r="C1796" s="5" t="str">
        <f aca="false">IF(B1796=0,"",IF(INDEX(Bank!$G:$G,B1796)="","",INDEX(Bank!$G:$G,B1796)))</f>
        <v/>
      </c>
      <c r="D1796" s="5" t="str">
        <f aca="false">IF(B1796=0,"",IF(INDEX(Bank!$J:$J,B1796)="","",INDEX(Bank!$J:$J,B1796)))</f>
        <v/>
      </c>
      <c r="E1796" s="32" t="str">
        <f aca="false">IF(B1796=0,"",INDEX(Bank!$B:$B,B1796))</f>
        <v/>
      </c>
      <c r="F1796" s="5" t="str">
        <f aca="false">IF(B1796=0,"",IF(INDEX(Bank!$C:$C,B1796)="","",INDEX(Bank!$C:$C,B1796)))</f>
        <v/>
      </c>
      <c r="G1796" s="19" t="str">
        <f aca="false">IF(B1796=0,"",INDEX(Bank!$E:$E,B1796))</f>
        <v/>
      </c>
      <c r="H1796" s="5" t="str">
        <f aca="false">IF(B1796=0,"",IF(INDEX(Bank!$H:$H,B1796)="","",INDEX(Bank!$H:$H,B1796)))</f>
        <v/>
      </c>
      <c r="I1796" s="5" t="n">
        <f aca="false">IF(H1796="",0,IFERROR(MATCH(H1796,GL!$A:$A,0),0))</f>
        <v>0</v>
      </c>
      <c r="J1796" s="32" t="str">
        <f aca="false">IF(I1796=0,"",INDEX(GL!$B:$B,I1796))</f>
        <v/>
      </c>
      <c r="K1796" s="5" t="str">
        <f aca="false">IF(I1796=0,"",IF(INDEX(GL!$C:$C,I1796)="","",INDEX(GL!$C:$C,I1796)))</f>
        <v/>
      </c>
      <c r="L1796" s="19" t="str">
        <f aca="false">IF(I1796=0,"",INDEX(GL!$E:$E,I1796))</f>
        <v/>
      </c>
      <c r="M1796" s="19" t="str">
        <f aca="false">IF(OR(B1796=0,I1796=0),"",ROUND(G1796-L1796,2))</f>
        <v/>
      </c>
      <c r="N1796" s="5" t="str">
        <f aca="false">IF(A1796="","",IF(B1796=0,"NOT FOUND: bank ID",IF(I1796=0,"NOT FOUND: GL ID",IF(INDEX(GL!$H:$H,I1796)&lt;&gt;A1796,"BROKEN: GL points elsewhere",IF(OR(INDEX(Bank!$F:$F,B1796)&lt;&gt;"Y",INDEX(GL!$F:$F,I1796)&lt;&gt;"Y"),"BROKEN: Status not Y","OK")))))</f>
        <v/>
      </c>
    </row>
    <row r="1797" customFormat="false" ht="15" hidden="false" customHeight="false" outlineLevel="0" collapsed="false">
      <c r="A1797" s="41"/>
      <c r="B1797" s="5" t="n">
        <f aca="false">IF(A1797="",0,IFERROR(MATCH(A1797,Bank!$A:$A,0),0))</f>
        <v>0</v>
      </c>
      <c r="C1797" s="5" t="str">
        <f aca="false">IF(B1797=0,"",IF(INDEX(Bank!$G:$G,B1797)="","",INDEX(Bank!$G:$G,B1797)))</f>
        <v/>
      </c>
      <c r="D1797" s="5" t="str">
        <f aca="false">IF(B1797=0,"",IF(INDEX(Bank!$J:$J,B1797)="","",INDEX(Bank!$J:$J,B1797)))</f>
        <v/>
      </c>
      <c r="E1797" s="32" t="str">
        <f aca="false">IF(B1797=0,"",INDEX(Bank!$B:$B,B1797))</f>
        <v/>
      </c>
      <c r="F1797" s="5" t="str">
        <f aca="false">IF(B1797=0,"",IF(INDEX(Bank!$C:$C,B1797)="","",INDEX(Bank!$C:$C,B1797)))</f>
        <v/>
      </c>
      <c r="G1797" s="19" t="str">
        <f aca="false">IF(B1797=0,"",INDEX(Bank!$E:$E,B1797))</f>
        <v/>
      </c>
      <c r="H1797" s="5" t="str">
        <f aca="false">IF(B1797=0,"",IF(INDEX(Bank!$H:$H,B1797)="","",INDEX(Bank!$H:$H,B1797)))</f>
        <v/>
      </c>
      <c r="I1797" s="5" t="n">
        <f aca="false">IF(H1797="",0,IFERROR(MATCH(H1797,GL!$A:$A,0),0))</f>
        <v>0</v>
      </c>
      <c r="J1797" s="32" t="str">
        <f aca="false">IF(I1797=0,"",INDEX(GL!$B:$B,I1797))</f>
        <v/>
      </c>
      <c r="K1797" s="5" t="str">
        <f aca="false">IF(I1797=0,"",IF(INDEX(GL!$C:$C,I1797)="","",INDEX(GL!$C:$C,I1797)))</f>
        <v/>
      </c>
      <c r="L1797" s="19" t="str">
        <f aca="false">IF(I1797=0,"",INDEX(GL!$E:$E,I1797))</f>
        <v/>
      </c>
      <c r="M1797" s="19" t="str">
        <f aca="false">IF(OR(B1797=0,I1797=0),"",ROUND(G1797-L1797,2))</f>
        <v/>
      </c>
      <c r="N1797" s="5" t="str">
        <f aca="false">IF(A1797="","",IF(B1797=0,"NOT FOUND: bank ID",IF(I1797=0,"NOT FOUND: GL ID",IF(INDEX(GL!$H:$H,I1797)&lt;&gt;A1797,"BROKEN: GL points elsewhere",IF(OR(INDEX(Bank!$F:$F,B1797)&lt;&gt;"Y",INDEX(GL!$F:$F,I1797)&lt;&gt;"Y"),"BROKEN: Status not Y","OK")))))</f>
        <v/>
      </c>
    </row>
    <row r="1798" customFormat="false" ht="15" hidden="false" customHeight="false" outlineLevel="0" collapsed="false">
      <c r="A1798" s="41"/>
      <c r="B1798" s="5" t="n">
        <f aca="false">IF(A1798="",0,IFERROR(MATCH(A1798,Bank!$A:$A,0),0))</f>
        <v>0</v>
      </c>
      <c r="C1798" s="5" t="str">
        <f aca="false">IF(B1798=0,"",IF(INDEX(Bank!$G:$G,B1798)="","",INDEX(Bank!$G:$G,B1798)))</f>
        <v/>
      </c>
      <c r="D1798" s="5" t="str">
        <f aca="false">IF(B1798=0,"",IF(INDEX(Bank!$J:$J,B1798)="","",INDEX(Bank!$J:$J,B1798)))</f>
        <v/>
      </c>
      <c r="E1798" s="32" t="str">
        <f aca="false">IF(B1798=0,"",INDEX(Bank!$B:$B,B1798))</f>
        <v/>
      </c>
      <c r="F1798" s="5" t="str">
        <f aca="false">IF(B1798=0,"",IF(INDEX(Bank!$C:$C,B1798)="","",INDEX(Bank!$C:$C,B1798)))</f>
        <v/>
      </c>
      <c r="G1798" s="19" t="str">
        <f aca="false">IF(B1798=0,"",INDEX(Bank!$E:$E,B1798))</f>
        <v/>
      </c>
      <c r="H1798" s="5" t="str">
        <f aca="false">IF(B1798=0,"",IF(INDEX(Bank!$H:$H,B1798)="","",INDEX(Bank!$H:$H,B1798)))</f>
        <v/>
      </c>
      <c r="I1798" s="5" t="n">
        <f aca="false">IF(H1798="",0,IFERROR(MATCH(H1798,GL!$A:$A,0),0))</f>
        <v>0</v>
      </c>
      <c r="J1798" s="32" t="str">
        <f aca="false">IF(I1798=0,"",INDEX(GL!$B:$B,I1798))</f>
        <v/>
      </c>
      <c r="K1798" s="5" t="str">
        <f aca="false">IF(I1798=0,"",IF(INDEX(GL!$C:$C,I1798)="","",INDEX(GL!$C:$C,I1798)))</f>
        <v/>
      </c>
      <c r="L1798" s="19" t="str">
        <f aca="false">IF(I1798=0,"",INDEX(GL!$E:$E,I1798))</f>
        <v/>
      </c>
      <c r="M1798" s="19" t="str">
        <f aca="false">IF(OR(B1798=0,I1798=0),"",ROUND(G1798-L1798,2))</f>
        <v/>
      </c>
      <c r="N1798" s="5" t="str">
        <f aca="false">IF(A1798="","",IF(B1798=0,"NOT FOUND: bank ID",IF(I1798=0,"NOT FOUND: GL ID",IF(INDEX(GL!$H:$H,I1798)&lt;&gt;A1798,"BROKEN: GL points elsewhere",IF(OR(INDEX(Bank!$F:$F,B1798)&lt;&gt;"Y",INDEX(GL!$F:$F,I1798)&lt;&gt;"Y"),"BROKEN: Status not Y","OK")))))</f>
        <v/>
      </c>
    </row>
    <row r="1799" customFormat="false" ht="15" hidden="false" customHeight="false" outlineLevel="0" collapsed="false">
      <c r="A1799" s="41"/>
      <c r="B1799" s="5" t="n">
        <f aca="false">IF(A1799="",0,IFERROR(MATCH(A1799,Bank!$A:$A,0),0))</f>
        <v>0</v>
      </c>
      <c r="C1799" s="5" t="str">
        <f aca="false">IF(B1799=0,"",IF(INDEX(Bank!$G:$G,B1799)="","",INDEX(Bank!$G:$G,B1799)))</f>
        <v/>
      </c>
      <c r="D1799" s="5" t="str">
        <f aca="false">IF(B1799=0,"",IF(INDEX(Bank!$J:$J,B1799)="","",INDEX(Bank!$J:$J,B1799)))</f>
        <v/>
      </c>
      <c r="E1799" s="32" t="str">
        <f aca="false">IF(B1799=0,"",INDEX(Bank!$B:$B,B1799))</f>
        <v/>
      </c>
      <c r="F1799" s="5" t="str">
        <f aca="false">IF(B1799=0,"",IF(INDEX(Bank!$C:$C,B1799)="","",INDEX(Bank!$C:$C,B1799)))</f>
        <v/>
      </c>
      <c r="G1799" s="19" t="str">
        <f aca="false">IF(B1799=0,"",INDEX(Bank!$E:$E,B1799))</f>
        <v/>
      </c>
      <c r="H1799" s="5" t="str">
        <f aca="false">IF(B1799=0,"",IF(INDEX(Bank!$H:$H,B1799)="","",INDEX(Bank!$H:$H,B1799)))</f>
        <v/>
      </c>
      <c r="I1799" s="5" t="n">
        <f aca="false">IF(H1799="",0,IFERROR(MATCH(H1799,GL!$A:$A,0),0))</f>
        <v>0</v>
      </c>
      <c r="J1799" s="32" t="str">
        <f aca="false">IF(I1799=0,"",INDEX(GL!$B:$B,I1799))</f>
        <v/>
      </c>
      <c r="K1799" s="5" t="str">
        <f aca="false">IF(I1799=0,"",IF(INDEX(GL!$C:$C,I1799)="","",INDEX(GL!$C:$C,I1799)))</f>
        <v/>
      </c>
      <c r="L1799" s="19" t="str">
        <f aca="false">IF(I1799=0,"",INDEX(GL!$E:$E,I1799))</f>
        <v/>
      </c>
      <c r="M1799" s="19" t="str">
        <f aca="false">IF(OR(B1799=0,I1799=0),"",ROUND(G1799-L1799,2))</f>
        <v/>
      </c>
      <c r="N1799" s="5" t="str">
        <f aca="false">IF(A1799="","",IF(B1799=0,"NOT FOUND: bank ID",IF(I1799=0,"NOT FOUND: GL ID",IF(INDEX(GL!$H:$H,I1799)&lt;&gt;A1799,"BROKEN: GL points elsewhere",IF(OR(INDEX(Bank!$F:$F,B1799)&lt;&gt;"Y",INDEX(GL!$F:$F,I1799)&lt;&gt;"Y"),"BROKEN: Status not Y","OK")))))</f>
        <v/>
      </c>
    </row>
    <row r="1800" customFormat="false" ht="15" hidden="false" customHeight="false" outlineLevel="0" collapsed="false">
      <c r="A1800" s="41"/>
      <c r="B1800" s="5" t="n">
        <f aca="false">IF(A1800="",0,IFERROR(MATCH(A1800,Bank!$A:$A,0),0))</f>
        <v>0</v>
      </c>
      <c r="C1800" s="5" t="str">
        <f aca="false">IF(B1800=0,"",IF(INDEX(Bank!$G:$G,B1800)="","",INDEX(Bank!$G:$G,B1800)))</f>
        <v/>
      </c>
      <c r="D1800" s="5" t="str">
        <f aca="false">IF(B1800=0,"",IF(INDEX(Bank!$J:$J,B1800)="","",INDEX(Bank!$J:$J,B1800)))</f>
        <v/>
      </c>
      <c r="E1800" s="32" t="str">
        <f aca="false">IF(B1800=0,"",INDEX(Bank!$B:$B,B1800))</f>
        <v/>
      </c>
      <c r="F1800" s="5" t="str">
        <f aca="false">IF(B1800=0,"",IF(INDEX(Bank!$C:$C,B1800)="","",INDEX(Bank!$C:$C,B1800)))</f>
        <v/>
      </c>
      <c r="G1800" s="19" t="str">
        <f aca="false">IF(B1800=0,"",INDEX(Bank!$E:$E,B1800))</f>
        <v/>
      </c>
      <c r="H1800" s="5" t="str">
        <f aca="false">IF(B1800=0,"",IF(INDEX(Bank!$H:$H,B1800)="","",INDEX(Bank!$H:$H,B1800)))</f>
        <v/>
      </c>
      <c r="I1800" s="5" t="n">
        <f aca="false">IF(H1800="",0,IFERROR(MATCH(H1800,GL!$A:$A,0),0))</f>
        <v>0</v>
      </c>
      <c r="J1800" s="32" t="str">
        <f aca="false">IF(I1800=0,"",INDEX(GL!$B:$B,I1800))</f>
        <v/>
      </c>
      <c r="K1800" s="5" t="str">
        <f aca="false">IF(I1800=0,"",IF(INDEX(GL!$C:$C,I1800)="","",INDEX(GL!$C:$C,I1800)))</f>
        <v/>
      </c>
      <c r="L1800" s="19" t="str">
        <f aca="false">IF(I1800=0,"",INDEX(GL!$E:$E,I1800))</f>
        <v/>
      </c>
      <c r="M1800" s="19" t="str">
        <f aca="false">IF(OR(B1800=0,I1800=0),"",ROUND(G1800-L1800,2))</f>
        <v/>
      </c>
      <c r="N1800" s="5" t="str">
        <f aca="false">IF(A1800="","",IF(B1800=0,"NOT FOUND: bank ID",IF(I1800=0,"NOT FOUND: GL ID",IF(INDEX(GL!$H:$H,I1800)&lt;&gt;A1800,"BROKEN: GL points elsewhere",IF(OR(INDEX(Bank!$F:$F,B1800)&lt;&gt;"Y",INDEX(GL!$F:$F,I1800)&lt;&gt;"Y"),"BROKEN: Status not Y","OK")))))</f>
        <v/>
      </c>
    </row>
    <row r="1801" customFormat="false" ht="15" hidden="false" customHeight="false" outlineLevel="0" collapsed="false">
      <c r="A1801" s="41"/>
      <c r="B1801" s="5" t="n">
        <f aca="false">IF(A1801="",0,IFERROR(MATCH(A1801,Bank!$A:$A,0),0))</f>
        <v>0</v>
      </c>
      <c r="C1801" s="5" t="str">
        <f aca="false">IF(B1801=0,"",IF(INDEX(Bank!$G:$G,B1801)="","",INDEX(Bank!$G:$G,B1801)))</f>
        <v/>
      </c>
      <c r="D1801" s="5" t="str">
        <f aca="false">IF(B1801=0,"",IF(INDEX(Bank!$J:$J,B1801)="","",INDEX(Bank!$J:$J,B1801)))</f>
        <v/>
      </c>
      <c r="E1801" s="32" t="str">
        <f aca="false">IF(B1801=0,"",INDEX(Bank!$B:$B,B1801))</f>
        <v/>
      </c>
      <c r="F1801" s="5" t="str">
        <f aca="false">IF(B1801=0,"",IF(INDEX(Bank!$C:$C,B1801)="","",INDEX(Bank!$C:$C,B1801)))</f>
        <v/>
      </c>
      <c r="G1801" s="19" t="str">
        <f aca="false">IF(B1801=0,"",INDEX(Bank!$E:$E,B1801))</f>
        <v/>
      </c>
      <c r="H1801" s="5" t="str">
        <f aca="false">IF(B1801=0,"",IF(INDEX(Bank!$H:$H,B1801)="","",INDEX(Bank!$H:$H,B1801)))</f>
        <v/>
      </c>
      <c r="I1801" s="5" t="n">
        <f aca="false">IF(H1801="",0,IFERROR(MATCH(H1801,GL!$A:$A,0),0))</f>
        <v>0</v>
      </c>
      <c r="J1801" s="32" t="str">
        <f aca="false">IF(I1801=0,"",INDEX(GL!$B:$B,I1801))</f>
        <v/>
      </c>
      <c r="K1801" s="5" t="str">
        <f aca="false">IF(I1801=0,"",IF(INDEX(GL!$C:$C,I1801)="","",INDEX(GL!$C:$C,I1801)))</f>
        <v/>
      </c>
      <c r="L1801" s="19" t="str">
        <f aca="false">IF(I1801=0,"",INDEX(GL!$E:$E,I1801))</f>
        <v/>
      </c>
      <c r="M1801" s="19" t="str">
        <f aca="false">IF(OR(B1801=0,I1801=0),"",ROUND(G1801-L1801,2))</f>
        <v/>
      </c>
      <c r="N1801" s="5" t="str">
        <f aca="false">IF(A1801="","",IF(B1801=0,"NOT FOUND: bank ID",IF(I1801=0,"NOT FOUND: GL ID",IF(INDEX(GL!$H:$H,I1801)&lt;&gt;A1801,"BROKEN: GL points elsewhere",IF(OR(INDEX(Bank!$F:$F,B1801)&lt;&gt;"Y",INDEX(GL!$F:$F,I1801)&lt;&gt;"Y"),"BROKEN: Status not Y","OK")))))</f>
        <v/>
      </c>
    </row>
    <row r="1802" customFormat="false" ht="15" hidden="false" customHeight="false" outlineLevel="0" collapsed="false">
      <c r="A1802" s="41"/>
      <c r="B1802" s="5" t="n">
        <f aca="false">IF(A1802="",0,IFERROR(MATCH(A1802,Bank!$A:$A,0),0))</f>
        <v>0</v>
      </c>
      <c r="C1802" s="5" t="str">
        <f aca="false">IF(B1802=0,"",IF(INDEX(Bank!$G:$G,B1802)="","",INDEX(Bank!$G:$G,B1802)))</f>
        <v/>
      </c>
      <c r="D1802" s="5" t="str">
        <f aca="false">IF(B1802=0,"",IF(INDEX(Bank!$J:$J,B1802)="","",INDEX(Bank!$J:$J,B1802)))</f>
        <v/>
      </c>
      <c r="E1802" s="32" t="str">
        <f aca="false">IF(B1802=0,"",INDEX(Bank!$B:$B,B1802))</f>
        <v/>
      </c>
      <c r="F1802" s="5" t="str">
        <f aca="false">IF(B1802=0,"",IF(INDEX(Bank!$C:$C,B1802)="","",INDEX(Bank!$C:$C,B1802)))</f>
        <v/>
      </c>
      <c r="G1802" s="19" t="str">
        <f aca="false">IF(B1802=0,"",INDEX(Bank!$E:$E,B1802))</f>
        <v/>
      </c>
      <c r="H1802" s="5" t="str">
        <f aca="false">IF(B1802=0,"",IF(INDEX(Bank!$H:$H,B1802)="","",INDEX(Bank!$H:$H,B1802)))</f>
        <v/>
      </c>
      <c r="I1802" s="5" t="n">
        <f aca="false">IF(H1802="",0,IFERROR(MATCH(H1802,GL!$A:$A,0),0))</f>
        <v>0</v>
      </c>
      <c r="J1802" s="32" t="str">
        <f aca="false">IF(I1802=0,"",INDEX(GL!$B:$B,I1802))</f>
        <v/>
      </c>
      <c r="K1802" s="5" t="str">
        <f aca="false">IF(I1802=0,"",IF(INDEX(GL!$C:$C,I1802)="","",INDEX(GL!$C:$C,I1802)))</f>
        <v/>
      </c>
      <c r="L1802" s="19" t="str">
        <f aca="false">IF(I1802=0,"",INDEX(GL!$E:$E,I1802))</f>
        <v/>
      </c>
      <c r="M1802" s="19" t="str">
        <f aca="false">IF(OR(B1802=0,I1802=0),"",ROUND(G1802-L1802,2))</f>
        <v/>
      </c>
      <c r="N1802" s="5" t="str">
        <f aca="false">IF(A1802="","",IF(B1802=0,"NOT FOUND: bank ID",IF(I1802=0,"NOT FOUND: GL ID",IF(INDEX(GL!$H:$H,I1802)&lt;&gt;A1802,"BROKEN: GL points elsewhere",IF(OR(INDEX(Bank!$F:$F,B1802)&lt;&gt;"Y",INDEX(GL!$F:$F,I1802)&lt;&gt;"Y"),"BROKEN: Status not Y","OK")))))</f>
        <v/>
      </c>
    </row>
    <row r="1803" customFormat="false" ht="15" hidden="false" customHeight="false" outlineLevel="0" collapsed="false">
      <c r="A1803" s="41"/>
      <c r="B1803" s="5" t="n">
        <f aca="false">IF(A1803="",0,IFERROR(MATCH(A1803,Bank!$A:$A,0),0))</f>
        <v>0</v>
      </c>
      <c r="C1803" s="5" t="str">
        <f aca="false">IF(B1803=0,"",IF(INDEX(Bank!$G:$G,B1803)="","",INDEX(Bank!$G:$G,B1803)))</f>
        <v/>
      </c>
      <c r="D1803" s="5" t="str">
        <f aca="false">IF(B1803=0,"",IF(INDEX(Bank!$J:$J,B1803)="","",INDEX(Bank!$J:$J,B1803)))</f>
        <v/>
      </c>
      <c r="E1803" s="32" t="str">
        <f aca="false">IF(B1803=0,"",INDEX(Bank!$B:$B,B1803))</f>
        <v/>
      </c>
      <c r="F1803" s="5" t="str">
        <f aca="false">IF(B1803=0,"",IF(INDEX(Bank!$C:$C,B1803)="","",INDEX(Bank!$C:$C,B1803)))</f>
        <v/>
      </c>
      <c r="G1803" s="19" t="str">
        <f aca="false">IF(B1803=0,"",INDEX(Bank!$E:$E,B1803))</f>
        <v/>
      </c>
      <c r="H1803" s="5" t="str">
        <f aca="false">IF(B1803=0,"",IF(INDEX(Bank!$H:$H,B1803)="","",INDEX(Bank!$H:$H,B1803)))</f>
        <v/>
      </c>
      <c r="I1803" s="5" t="n">
        <f aca="false">IF(H1803="",0,IFERROR(MATCH(H1803,GL!$A:$A,0),0))</f>
        <v>0</v>
      </c>
      <c r="J1803" s="32" t="str">
        <f aca="false">IF(I1803=0,"",INDEX(GL!$B:$B,I1803))</f>
        <v/>
      </c>
      <c r="K1803" s="5" t="str">
        <f aca="false">IF(I1803=0,"",IF(INDEX(GL!$C:$C,I1803)="","",INDEX(GL!$C:$C,I1803)))</f>
        <v/>
      </c>
      <c r="L1803" s="19" t="str">
        <f aca="false">IF(I1803=0,"",INDEX(GL!$E:$E,I1803))</f>
        <v/>
      </c>
      <c r="M1803" s="19" t="str">
        <f aca="false">IF(OR(B1803=0,I1803=0),"",ROUND(G1803-L1803,2))</f>
        <v/>
      </c>
      <c r="N1803" s="5" t="str">
        <f aca="false">IF(A1803="","",IF(B1803=0,"NOT FOUND: bank ID",IF(I1803=0,"NOT FOUND: GL ID",IF(INDEX(GL!$H:$H,I1803)&lt;&gt;A1803,"BROKEN: GL points elsewhere",IF(OR(INDEX(Bank!$F:$F,B1803)&lt;&gt;"Y",INDEX(GL!$F:$F,I1803)&lt;&gt;"Y"),"BROKEN: Status not Y","OK")))))</f>
        <v/>
      </c>
    </row>
    <row r="1804" customFormat="false" ht="15" hidden="false" customHeight="false" outlineLevel="0" collapsed="false">
      <c r="A1804" s="41"/>
      <c r="B1804" s="5" t="n">
        <f aca="false">IF(A1804="",0,IFERROR(MATCH(A1804,Bank!$A:$A,0),0))</f>
        <v>0</v>
      </c>
      <c r="C1804" s="5" t="str">
        <f aca="false">IF(B1804=0,"",IF(INDEX(Bank!$G:$G,B1804)="","",INDEX(Bank!$G:$G,B1804)))</f>
        <v/>
      </c>
      <c r="D1804" s="5" t="str">
        <f aca="false">IF(B1804=0,"",IF(INDEX(Bank!$J:$J,B1804)="","",INDEX(Bank!$J:$J,B1804)))</f>
        <v/>
      </c>
      <c r="E1804" s="32" t="str">
        <f aca="false">IF(B1804=0,"",INDEX(Bank!$B:$B,B1804))</f>
        <v/>
      </c>
      <c r="F1804" s="5" t="str">
        <f aca="false">IF(B1804=0,"",IF(INDEX(Bank!$C:$C,B1804)="","",INDEX(Bank!$C:$C,B1804)))</f>
        <v/>
      </c>
      <c r="G1804" s="19" t="str">
        <f aca="false">IF(B1804=0,"",INDEX(Bank!$E:$E,B1804))</f>
        <v/>
      </c>
      <c r="H1804" s="5" t="str">
        <f aca="false">IF(B1804=0,"",IF(INDEX(Bank!$H:$H,B1804)="","",INDEX(Bank!$H:$H,B1804)))</f>
        <v/>
      </c>
      <c r="I1804" s="5" t="n">
        <f aca="false">IF(H1804="",0,IFERROR(MATCH(H1804,GL!$A:$A,0),0))</f>
        <v>0</v>
      </c>
      <c r="J1804" s="32" t="str">
        <f aca="false">IF(I1804=0,"",INDEX(GL!$B:$B,I1804))</f>
        <v/>
      </c>
      <c r="K1804" s="5" t="str">
        <f aca="false">IF(I1804=0,"",IF(INDEX(GL!$C:$C,I1804)="","",INDEX(GL!$C:$C,I1804)))</f>
        <v/>
      </c>
      <c r="L1804" s="19" t="str">
        <f aca="false">IF(I1804=0,"",INDEX(GL!$E:$E,I1804))</f>
        <v/>
      </c>
      <c r="M1804" s="19" t="str">
        <f aca="false">IF(OR(B1804=0,I1804=0),"",ROUND(G1804-L1804,2))</f>
        <v/>
      </c>
      <c r="N1804" s="5" t="str">
        <f aca="false">IF(A1804="","",IF(B1804=0,"NOT FOUND: bank ID",IF(I1804=0,"NOT FOUND: GL ID",IF(INDEX(GL!$H:$H,I1804)&lt;&gt;A1804,"BROKEN: GL points elsewhere",IF(OR(INDEX(Bank!$F:$F,B1804)&lt;&gt;"Y",INDEX(GL!$F:$F,I1804)&lt;&gt;"Y"),"BROKEN: Status not Y","OK")))))</f>
        <v/>
      </c>
    </row>
    <row r="1805" customFormat="false" ht="15" hidden="false" customHeight="false" outlineLevel="0" collapsed="false">
      <c r="A1805" s="41"/>
      <c r="B1805" s="5" t="n">
        <f aca="false">IF(A1805="",0,IFERROR(MATCH(A1805,Bank!$A:$A,0),0))</f>
        <v>0</v>
      </c>
      <c r="C1805" s="5" t="str">
        <f aca="false">IF(B1805=0,"",IF(INDEX(Bank!$G:$G,B1805)="","",INDEX(Bank!$G:$G,B1805)))</f>
        <v/>
      </c>
      <c r="D1805" s="5" t="str">
        <f aca="false">IF(B1805=0,"",IF(INDEX(Bank!$J:$J,B1805)="","",INDEX(Bank!$J:$J,B1805)))</f>
        <v/>
      </c>
      <c r="E1805" s="32" t="str">
        <f aca="false">IF(B1805=0,"",INDEX(Bank!$B:$B,B1805))</f>
        <v/>
      </c>
      <c r="F1805" s="5" t="str">
        <f aca="false">IF(B1805=0,"",IF(INDEX(Bank!$C:$C,B1805)="","",INDEX(Bank!$C:$C,B1805)))</f>
        <v/>
      </c>
      <c r="G1805" s="19" t="str">
        <f aca="false">IF(B1805=0,"",INDEX(Bank!$E:$E,B1805))</f>
        <v/>
      </c>
      <c r="H1805" s="5" t="str">
        <f aca="false">IF(B1805=0,"",IF(INDEX(Bank!$H:$H,B1805)="","",INDEX(Bank!$H:$H,B1805)))</f>
        <v/>
      </c>
      <c r="I1805" s="5" t="n">
        <f aca="false">IF(H1805="",0,IFERROR(MATCH(H1805,GL!$A:$A,0),0))</f>
        <v>0</v>
      </c>
      <c r="J1805" s="32" t="str">
        <f aca="false">IF(I1805=0,"",INDEX(GL!$B:$B,I1805))</f>
        <v/>
      </c>
      <c r="K1805" s="5" t="str">
        <f aca="false">IF(I1805=0,"",IF(INDEX(GL!$C:$C,I1805)="","",INDEX(GL!$C:$C,I1805)))</f>
        <v/>
      </c>
      <c r="L1805" s="19" t="str">
        <f aca="false">IF(I1805=0,"",INDEX(GL!$E:$E,I1805))</f>
        <v/>
      </c>
      <c r="M1805" s="19" t="str">
        <f aca="false">IF(OR(B1805=0,I1805=0),"",ROUND(G1805-L1805,2))</f>
        <v/>
      </c>
      <c r="N1805" s="5" t="str">
        <f aca="false">IF(A1805="","",IF(B1805=0,"NOT FOUND: bank ID",IF(I1805=0,"NOT FOUND: GL ID",IF(INDEX(GL!$H:$H,I1805)&lt;&gt;A1805,"BROKEN: GL points elsewhere",IF(OR(INDEX(Bank!$F:$F,B1805)&lt;&gt;"Y",INDEX(GL!$F:$F,I1805)&lt;&gt;"Y"),"BROKEN: Status not Y","OK")))))</f>
        <v/>
      </c>
    </row>
    <row r="1806" customFormat="false" ht="15" hidden="false" customHeight="false" outlineLevel="0" collapsed="false">
      <c r="A1806" s="41"/>
      <c r="B1806" s="5" t="n">
        <f aca="false">IF(A1806="",0,IFERROR(MATCH(A1806,Bank!$A:$A,0),0))</f>
        <v>0</v>
      </c>
      <c r="C1806" s="5" t="str">
        <f aca="false">IF(B1806=0,"",IF(INDEX(Bank!$G:$G,B1806)="","",INDEX(Bank!$G:$G,B1806)))</f>
        <v/>
      </c>
      <c r="D1806" s="5" t="str">
        <f aca="false">IF(B1806=0,"",IF(INDEX(Bank!$J:$J,B1806)="","",INDEX(Bank!$J:$J,B1806)))</f>
        <v/>
      </c>
      <c r="E1806" s="32" t="str">
        <f aca="false">IF(B1806=0,"",INDEX(Bank!$B:$B,B1806))</f>
        <v/>
      </c>
      <c r="F1806" s="5" t="str">
        <f aca="false">IF(B1806=0,"",IF(INDEX(Bank!$C:$C,B1806)="","",INDEX(Bank!$C:$C,B1806)))</f>
        <v/>
      </c>
      <c r="G1806" s="19" t="str">
        <f aca="false">IF(B1806=0,"",INDEX(Bank!$E:$E,B1806))</f>
        <v/>
      </c>
      <c r="H1806" s="5" t="str">
        <f aca="false">IF(B1806=0,"",IF(INDEX(Bank!$H:$H,B1806)="","",INDEX(Bank!$H:$H,B1806)))</f>
        <v/>
      </c>
      <c r="I1806" s="5" t="n">
        <f aca="false">IF(H1806="",0,IFERROR(MATCH(H1806,GL!$A:$A,0),0))</f>
        <v>0</v>
      </c>
      <c r="J1806" s="32" t="str">
        <f aca="false">IF(I1806=0,"",INDEX(GL!$B:$B,I1806))</f>
        <v/>
      </c>
      <c r="K1806" s="5" t="str">
        <f aca="false">IF(I1806=0,"",IF(INDEX(GL!$C:$C,I1806)="","",INDEX(GL!$C:$C,I1806)))</f>
        <v/>
      </c>
      <c r="L1806" s="19" t="str">
        <f aca="false">IF(I1806=0,"",INDEX(GL!$E:$E,I1806))</f>
        <v/>
      </c>
      <c r="M1806" s="19" t="str">
        <f aca="false">IF(OR(B1806=0,I1806=0),"",ROUND(G1806-L1806,2))</f>
        <v/>
      </c>
      <c r="N1806" s="5" t="str">
        <f aca="false">IF(A1806="","",IF(B1806=0,"NOT FOUND: bank ID",IF(I1806=0,"NOT FOUND: GL ID",IF(INDEX(GL!$H:$H,I1806)&lt;&gt;A1806,"BROKEN: GL points elsewhere",IF(OR(INDEX(Bank!$F:$F,B1806)&lt;&gt;"Y",INDEX(GL!$F:$F,I1806)&lt;&gt;"Y"),"BROKEN: Status not Y","OK")))))</f>
        <v/>
      </c>
    </row>
    <row r="1807" customFormat="false" ht="15" hidden="false" customHeight="false" outlineLevel="0" collapsed="false">
      <c r="A1807" s="41"/>
      <c r="B1807" s="5" t="n">
        <f aca="false">IF(A1807="",0,IFERROR(MATCH(A1807,Bank!$A:$A,0),0))</f>
        <v>0</v>
      </c>
      <c r="C1807" s="5" t="str">
        <f aca="false">IF(B1807=0,"",IF(INDEX(Bank!$G:$G,B1807)="","",INDEX(Bank!$G:$G,B1807)))</f>
        <v/>
      </c>
      <c r="D1807" s="5" t="str">
        <f aca="false">IF(B1807=0,"",IF(INDEX(Bank!$J:$J,B1807)="","",INDEX(Bank!$J:$J,B1807)))</f>
        <v/>
      </c>
      <c r="E1807" s="32" t="str">
        <f aca="false">IF(B1807=0,"",INDEX(Bank!$B:$B,B1807))</f>
        <v/>
      </c>
      <c r="F1807" s="5" t="str">
        <f aca="false">IF(B1807=0,"",IF(INDEX(Bank!$C:$C,B1807)="","",INDEX(Bank!$C:$C,B1807)))</f>
        <v/>
      </c>
      <c r="G1807" s="19" t="str">
        <f aca="false">IF(B1807=0,"",INDEX(Bank!$E:$E,B1807))</f>
        <v/>
      </c>
      <c r="H1807" s="5" t="str">
        <f aca="false">IF(B1807=0,"",IF(INDEX(Bank!$H:$H,B1807)="","",INDEX(Bank!$H:$H,B1807)))</f>
        <v/>
      </c>
      <c r="I1807" s="5" t="n">
        <f aca="false">IF(H1807="",0,IFERROR(MATCH(H1807,GL!$A:$A,0),0))</f>
        <v>0</v>
      </c>
      <c r="J1807" s="32" t="str">
        <f aca="false">IF(I1807=0,"",INDEX(GL!$B:$B,I1807))</f>
        <v/>
      </c>
      <c r="K1807" s="5" t="str">
        <f aca="false">IF(I1807=0,"",IF(INDEX(GL!$C:$C,I1807)="","",INDEX(GL!$C:$C,I1807)))</f>
        <v/>
      </c>
      <c r="L1807" s="19" t="str">
        <f aca="false">IF(I1807=0,"",INDEX(GL!$E:$E,I1807))</f>
        <v/>
      </c>
      <c r="M1807" s="19" t="str">
        <f aca="false">IF(OR(B1807=0,I1807=0),"",ROUND(G1807-L1807,2))</f>
        <v/>
      </c>
      <c r="N1807" s="5" t="str">
        <f aca="false">IF(A1807="","",IF(B1807=0,"NOT FOUND: bank ID",IF(I1807=0,"NOT FOUND: GL ID",IF(INDEX(GL!$H:$H,I1807)&lt;&gt;A1807,"BROKEN: GL points elsewhere",IF(OR(INDEX(Bank!$F:$F,B1807)&lt;&gt;"Y",INDEX(GL!$F:$F,I1807)&lt;&gt;"Y"),"BROKEN: Status not Y","OK")))))</f>
        <v/>
      </c>
    </row>
    <row r="1808" customFormat="false" ht="15" hidden="false" customHeight="false" outlineLevel="0" collapsed="false">
      <c r="A1808" s="41"/>
      <c r="B1808" s="5" t="n">
        <f aca="false">IF(A1808="",0,IFERROR(MATCH(A1808,Bank!$A:$A,0),0))</f>
        <v>0</v>
      </c>
      <c r="C1808" s="5" t="str">
        <f aca="false">IF(B1808=0,"",IF(INDEX(Bank!$G:$G,B1808)="","",INDEX(Bank!$G:$G,B1808)))</f>
        <v/>
      </c>
      <c r="D1808" s="5" t="str">
        <f aca="false">IF(B1808=0,"",IF(INDEX(Bank!$J:$J,B1808)="","",INDEX(Bank!$J:$J,B1808)))</f>
        <v/>
      </c>
      <c r="E1808" s="32" t="str">
        <f aca="false">IF(B1808=0,"",INDEX(Bank!$B:$B,B1808))</f>
        <v/>
      </c>
      <c r="F1808" s="5" t="str">
        <f aca="false">IF(B1808=0,"",IF(INDEX(Bank!$C:$C,B1808)="","",INDEX(Bank!$C:$C,B1808)))</f>
        <v/>
      </c>
      <c r="G1808" s="19" t="str">
        <f aca="false">IF(B1808=0,"",INDEX(Bank!$E:$E,B1808))</f>
        <v/>
      </c>
      <c r="H1808" s="5" t="str">
        <f aca="false">IF(B1808=0,"",IF(INDEX(Bank!$H:$H,B1808)="","",INDEX(Bank!$H:$H,B1808)))</f>
        <v/>
      </c>
      <c r="I1808" s="5" t="n">
        <f aca="false">IF(H1808="",0,IFERROR(MATCH(H1808,GL!$A:$A,0),0))</f>
        <v>0</v>
      </c>
      <c r="J1808" s="32" t="str">
        <f aca="false">IF(I1808=0,"",INDEX(GL!$B:$B,I1808))</f>
        <v/>
      </c>
      <c r="K1808" s="5" t="str">
        <f aca="false">IF(I1808=0,"",IF(INDEX(GL!$C:$C,I1808)="","",INDEX(GL!$C:$C,I1808)))</f>
        <v/>
      </c>
      <c r="L1808" s="19" t="str">
        <f aca="false">IF(I1808=0,"",INDEX(GL!$E:$E,I1808))</f>
        <v/>
      </c>
      <c r="M1808" s="19" t="str">
        <f aca="false">IF(OR(B1808=0,I1808=0),"",ROUND(G1808-L1808,2))</f>
        <v/>
      </c>
      <c r="N1808" s="5" t="str">
        <f aca="false">IF(A1808="","",IF(B1808=0,"NOT FOUND: bank ID",IF(I1808=0,"NOT FOUND: GL ID",IF(INDEX(GL!$H:$H,I1808)&lt;&gt;A1808,"BROKEN: GL points elsewhere",IF(OR(INDEX(Bank!$F:$F,B1808)&lt;&gt;"Y",INDEX(GL!$F:$F,I1808)&lt;&gt;"Y"),"BROKEN: Status not Y","OK")))))</f>
        <v/>
      </c>
    </row>
    <row r="1809" customFormat="false" ht="15" hidden="false" customHeight="false" outlineLevel="0" collapsed="false">
      <c r="A1809" s="41"/>
      <c r="B1809" s="5" t="n">
        <f aca="false">IF(A1809="",0,IFERROR(MATCH(A1809,Bank!$A:$A,0),0))</f>
        <v>0</v>
      </c>
      <c r="C1809" s="5" t="str">
        <f aca="false">IF(B1809=0,"",IF(INDEX(Bank!$G:$G,B1809)="","",INDEX(Bank!$G:$G,B1809)))</f>
        <v/>
      </c>
      <c r="D1809" s="5" t="str">
        <f aca="false">IF(B1809=0,"",IF(INDEX(Bank!$J:$J,B1809)="","",INDEX(Bank!$J:$J,B1809)))</f>
        <v/>
      </c>
      <c r="E1809" s="32" t="str">
        <f aca="false">IF(B1809=0,"",INDEX(Bank!$B:$B,B1809))</f>
        <v/>
      </c>
      <c r="F1809" s="5" t="str">
        <f aca="false">IF(B1809=0,"",IF(INDEX(Bank!$C:$C,B1809)="","",INDEX(Bank!$C:$C,B1809)))</f>
        <v/>
      </c>
      <c r="G1809" s="19" t="str">
        <f aca="false">IF(B1809=0,"",INDEX(Bank!$E:$E,B1809))</f>
        <v/>
      </c>
      <c r="H1809" s="5" t="str">
        <f aca="false">IF(B1809=0,"",IF(INDEX(Bank!$H:$H,B1809)="","",INDEX(Bank!$H:$H,B1809)))</f>
        <v/>
      </c>
      <c r="I1809" s="5" t="n">
        <f aca="false">IF(H1809="",0,IFERROR(MATCH(H1809,GL!$A:$A,0),0))</f>
        <v>0</v>
      </c>
      <c r="J1809" s="32" t="str">
        <f aca="false">IF(I1809=0,"",INDEX(GL!$B:$B,I1809))</f>
        <v/>
      </c>
      <c r="K1809" s="5" t="str">
        <f aca="false">IF(I1809=0,"",IF(INDEX(GL!$C:$C,I1809)="","",INDEX(GL!$C:$C,I1809)))</f>
        <v/>
      </c>
      <c r="L1809" s="19" t="str">
        <f aca="false">IF(I1809=0,"",INDEX(GL!$E:$E,I1809))</f>
        <v/>
      </c>
      <c r="M1809" s="19" t="str">
        <f aca="false">IF(OR(B1809=0,I1809=0),"",ROUND(G1809-L1809,2))</f>
        <v/>
      </c>
      <c r="N1809" s="5" t="str">
        <f aca="false">IF(A1809="","",IF(B1809=0,"NOT FOUND: bank ID",IF(I1809=0,"NOT FOUND: GL ID",IF(INDEX(GL!$H:$H,I1809)&lt;&gt;A1809,"BROKEN: GL points elsewhere",IF(OR(INDEX(Bank!$F:$F,B1809)&lt;&gt;"Y",INDEX(GL!$F:$F,I1809)&lt;&gt;"Y"),"BROKEN: Status not Y","OK")))))</f>
        <v/>
      </c>
    </row>
    <row r="1810" customFormat="false" ht="15" hidden="false" customHeight="false" outlineLevel="0" collapsed="false">
      <c r="A1810" s="41"/>
      <c r="B1810" s="5" t="n">
        <f aca="false">IF(A1810="",0,IFERROR(MATCH(A1810,Bank!$A:$A,0),0))</f>
        <v>0</v>
      </c>
      <c r="C1810" s="5" t="str">
        <f aca="false">IF(B1810=0,"",IF(INDEX(Bank!$G:$G,B1810)="","",INDEX(Bank!$G:$G,B1810)))</f>
        <v/>
      </c>
      <c r="D1810" s="5" t="str">
        <f aca="false">IF(B1810=0,"",IF(INDEX(Bank!$J:$J,B1810)="","",INDEX(Bank!$J:$J,B1810)))</f>
        <v/>
      </c>
      <c r="E1810" s="32" t="str">
        <f aca="false">IF(B1810=0,"",INDEX(Bank!$B:$B,B1810))</f>
        <v/>
      </c>
      <c r="F1810" s="5" t="str">
        <f aca="false">IF(B1810=0,"",IF(INDEX(Bank!$C:$C,B1810)="","",INDEX(Bank!$C:$C,B1810)))</f>
        <v/>
      </c>
      <c r="G1810" s="19" t="str">
        <f aca="false">IF(B1810=0,"",INDEX(Bank!$E:$E,B1810))</f>
        <v/>
      </c>
      <c r="H1810" s="5" t="str">
        <f aca="false">IF(B1810=0,"",IF(INDEX(Bank!$H:$H,B1810)="","",INDEX(Bank!$H:$H,B1810)))</f>
        <v/>
      </c>
      <c r="I1810" s="5" t="n">
        <f aca="false">IF(H1810="",0,IFERROR(MATCH(H1810,GL!$A:$A,0),0))</f>
        <v>0</v>
      </c>
      <c r="J1810" s="32" t="str">
        <f aca="false">IF(I1810=0,"",INDEX(GL!$B:$B,I1810))</f>
        <v/>
      </c>
      <c r="K1810" s="5" t="str">
        <f aca="false">IF(I1810=0,"",IF(INDEX(GL!$C:$C,I1810)="","",INDEX(GL!$C:$C,I1810)))</f>
        <v/>
      </c>
      <c r="L1810" s="19" t="str">
        <f aca="false">IF(I1810=0,"",INDEX(GL!$E:$E,I1810))</f>
        <v/>
      </c>
      <c r="M1810" s="19" t="str">
        <f aca="false">IF(OR(B1810=0,I1810=0),"",ROUND(G1810-L1810,2))</f>
        <v/>
      </c>
      <c r="N1810" s="5" t="str">
        <f aca="false">IF(A1810="","",IF(B1810=0,"NOT FOUND: bank ID",IF(I1810=0,"NOT FOUND: GL ID",IF(INDEX(GL!$H:$H,I1810)&lt;&gt;A1810,"BROKEN: GL points elsewhere",IF(OR(INDEX(Bank!$F:$F,B1810)&lt;&gt;"Y",INDEX(GL!$F:$F,I1810)&lt;&gt;"Y"),"BROKEN: Status not Y","OK")))))</f>
        <v/>
      </c>
    </row>
    <row r="1811" customFormat="false" ht="15" hidden="false" customHeight="false" outlineLevel="0" collapsed="false">
      <c r="A1811" s="41"/>
      <c r="B1811" s="5" t="n">
        <f aca="false">IF(A1811="",0,IFERROR(MATCH(A1811,Bank!$A:$A,0),0))</f>
        <v>0</v>
      </c>
      <c r="C1811" s="5" t="str">
        <f aca="false">IF(B1811=0,"",IF(INDEX(Bank!$G:$G,B1811)="","",INDEX(Bank!$G:$G,B1811)))</f>
        <v/>
      </c>
      <c r="D1811" s="5" t="str">
        <f aca="false">IF(B1811=0,"",IF(INDEX(Bank!$J:$J,B1811)="","",INDEX(Bank!$J:$J,B1811)))</f>
        <v/>
      </c>
      <c r="E1811" s="32" t="str">
        <f aca="false">IF(B1811=0,"",INDEX(Bank!$B:$B,B1811))</f>
        <v/>
      </c>
      <c r="F1811" s="5" t="str">
        <f aca="false">IF(B1811=0,"",IF(INDEX(Bank!$C:$C,B1811)="","",INDEX(Bank!$C:$C,B1811)))</f>
        <v/>
      </c>
      <c r="G1811" s="19" t="str">
        <f aca="false">IF(B1811=0,"",INDEX(Bank!$E:$E,B1811))</f>
        <v/>
      </c>
      <c r="H1811" s="5" t="str">
        <f aca="false">IF(B1811=0,"",IF(INDEX(Bank!$H:$H,B1811)="","",INDEX(Bank!$H:$H,B1811)))</f>
        <v/>
      </c>
      <c r="I1811" s="5" t="n">
        <f aca="false">IF(H1811="",0,IFERROR(MATCH(H1811,GL!$A:$A,0),0))</f>
        <v>0</v>
      </c>
      <c r="J1811" s="32" t="str">
        <f aca="false">IF(I1811=0,"",INDEX(GL!$B:$B,I1811))</f>
        <v/>
      </c>
      <c r="K1811" s="5" t="str">
        <f aca="false">IF(I1811=0,"",IF(INDEX(GL!$C:$C,I1811)="","",INDEX(GL!$C:$C,I1811)))</f>
        <v/>
      </c>
      <c r="L1811" s="19" t="str">
        <f aca="false">IF(I1811=0,"",INDEX(GL!$E:$E,I1811))</f>
        <v/>
      </c>
      <c r="M1811" s="19" t="str">
        <f aca="false">IF(OR(B1811=0,I1811=0),"",ROUND(G1811-L1811,2))</f>
        <v/>
      </c>
      <c r="N1811" s="5" t="str">
        <f aca="false">IF(A1811="","",IF(B1811=0,"NOT FOUND: bank ID",IF(I1811=0,"NOT FOUND: GL ID",IF(INDEX(GL!$H:$H,I1811)&lt;&gt;A1811,"BROKEN: GL points elsewhere",IF(OR(INDEX(Bank!$F:$F,B1811)&lt;&gt;"Y",INDEX(GL!$F:$F,I1811)&lt;&gt;"Y"),"BROKEN: Status not Y","OK")))))</f>
        <v/>
      </c>
    </row>
    <row r="1812" customFormat="false" ht="15" hidden="false" customHeight="false" outlineLevel="0" collapsed="false">
      <c r="A1812" s="41"/>
      <c r="B1812" s="5" t="n">
        <f aca="false">IF(A1812="",0,IFERROR(MATCH(A1812,Bank!$A:$A,0),0))</f>
        <v>0</v>
      </c>
      <c r="C1812" s="5" t="str">
        <f aca="false">IF(B1812=0,"",IF(INDEX(Bank!$G:$G,B1812)="","",INDEX(Bank!$G:$G,B1812)))</f>
        <v/>
      </c>
      <c r="D1812" s="5" t="str">
        <f aca="false">IF(B1812=0,"",IF(INDEX(Bank!$J:$J,B1812)="","",INDEX(Bank!$J:$J,B1812)))</f>
        <v/>
      </c>
      <c r="E1812" s="32" t="str">
        <f aca="false">IF(B1812=0,"",INDEX(Bank!$B:$B,B1812))</f>
        <v/>
      </c>
      <c r="F1812" s="5" t="str">
        <f aca="false">IF(B1812=0,"",IF(INDEX(Bank!$C:$C,B1812)="","",INDEX(Bank!$C:$C,B1812)))</f>
        <v/>
      </c>
      <c r="G1812" s="19" t="str">
        <f aca="false">IF(B1812=0,"",INDEX(Bank!$E:$E,B1812))</f>
        <v/>
      </c>
      <c r="H1812" s="5" t="str">
        <f aca="false">IF(B1812=0,"",IF(INDEX(Bank!$H:$H,B1812)="","",INDEX(Bank!$H:$H,B1812)))</f>
        <v/>
      </c>
      <c r="I1812" s="5" t="n">
        <f aca="false">IF(H1812="",0,IFERROR(MATCH(H1812,GL!$A:$A,0),0))</f>
        <v>0</v>
      </c>
      <c r="J1812" s="32" t="str">
        <f aca="false">IF(I1812=0,"",INDEX(GL!$B:$B,I1812))</f>
        <v/>
      </c>
      <c r="K1812" s="5" t="str">
        <f aca="false">IF(I1812=0,"",IF(INDEX(GL!$C:$C,I1812)="","",INDEX(GL!$C:$C,I1812)))</f>
        <v/>
      </c>
      <c r="L1812" s="19" t="str">
        <f aca="false">IF(I1812=0,"",INDEX(GL!$E:$E,I1812))</f>
        <v/>
      </c>
      <c r="M1812" s="19" t="str">
        <f aca="false">IF(OR(B1812=0,I1812=0),"",ROUND(G1812-L1812,2))</f>
        <v/>
      </c>
      <c r="N1812" s="5" t="str">
        <f aca="false">IF(A1812="","",IF(B1812=0,"NOT FOUND: bank ID",IF(I1812=0,"NOT FOUND: GL ID",IF(INDEX(GL!$H:$H,I1812)&lt;&gt;A1812,"BROKEN: GL points elsewhere",IF(OR(INDEX(Bank!$F:$F,B1812)&lt;&gt;"Y",INDEX(GL!$F:$F,I1812)&lt;&gt;"Y"),"BROKEN: Status not Y","OK")))))</f>
        <v/>
      </c>
    </row>
    <row r="1813" customFormat="false" ht="15" hidden="false" customHeight="false" outlineLevel="0" collapsed="false">
      <c r="A1813" s="41"/>
      <c r="B1813" s="5" t="n">
        <f aca="false">IF(A1813="",0,IFERROR(MATCH(A1813,Bank!$A:$A,0),0))</f>
        <v>0</v>
      </c>
      <c r="C1813" s="5" t="str">
        <f aca="false">IF(B1813=0,"",IF(INDEX(Bank!$G:$G,B1813)="","",INDEX(Bank!$G:$G,B1813)))</f>
        <v/>
      </c>
      <c r="D1813" s="5" t="str">
        <f aca="false">IF(B1813=0,"",IF(INDEX(Bank!$J:$J,B1813)="","",INDEX(Bank!$J:$J,B1813)))</f>
        <v/>
      </c>
      <c r="E1813" s="32" t="str">
        <f aca="false">IF(B1813=0,"",INDEX(Bank!$B:$B,B1813))</f>
        <v/>
      </c>
      <c r="F1813" s="5" t="str">
        <f aca="false">IF(B1813=0,"",IF(INDEX(Bank!$C:$C,B1813)="","",INDEX(Bank!$C:$C,B1813)))</f>
        <v/>
      </c>
      <c r="G1813" s="19" t="str">
        <f aca="false">IF(B1813=0,"",INDEX(Bank!$E:$E,B1813))</f>
        <v/>
      </c>
      <c r="H1813" s="5" t="str">
        <f aca="false">IF(B1813=0,"",IF(INDEX(Bank!$H:$H,B1813)="","",INDEX(Bank!$H:$H,B1813)))</f>
        <v/>
      </c>
      <c r="I1813" s="5" t="n">
        <f aca="false">IF(H1813="",0,IFERROR(MATCH(H1813,GL!$A:$A,0),0))</f>
        <v>0</v>
      </c>
      <c r="J1813" s="32" t="str">
        <f aca="false">IF(I1813=0,"",INDEX(GL!$B:$B,I1813))</f>
        <v/>
      </c>
      <c r="K1813" s="5" t="str">
        <f aca="false">IF(I1813=0,"",IF(INDEX(GL!$C:$C,I1813)="","",INDEX(GL!$C:$C,I1813)))</f>
        <v/>
      </c>
      <c r="L1813" s="19" t="str">
        <f aca="false">IF(I1813=0,"",INDEX(GL!$E:$E,I1813))</f>
        <v/>
      </c>
      <c r="M1813" s="19" t="str">
        <f aca="false">IF(OR(B1813=0,I1813=0),"",ROUND(G1813-L1813,2))</f>
        <v/>
      </c>
      <c r="N1813" s="5" t="str">
        <f aca="false">IF(A1813="","",IF(B1813=0,"NOT FOUND: bank ID",IF(I1813=0,"NOT FOUND: GL ID",IF(INDEX(GL!$H:$H,I1813)&lt;&gt;A1813,"BROKEN: GL points elsewhere",IF(OR(INDEX(Bank!$F:$F,B1813)&lt;&gt;"Y",INDEX(GL!$F:$F,I1813)&lt;&gt;"Y"),"BROKEN: Status not Y","OK")))))</f>
        <v/>
      </c>
    </row>
    <row r="1814" customFormat="false" ht="15" hidden="false" customHeight="false" outlineLevel="0" collapsed="false">
      <c r="A1814" s="41"/>
      <c r="B1814" s="5" t="n">
        <f aca="false">IF(A1814="",0,IFERROR(MATCH(A1814,Bank!$A:$A,0),0))</f>
        <v>0</v>
      </c>
      <c r="C1814" s="5" t="str">
        <f aca="false">IF(B1814=0,"",IF(INDEX(Bank!$G:$G,B1814)="","",INDEX(Bank!$G:$G,B1814)))</f>
        <v/>
      </c>
      <c r="D1814" s="5" t="str">
        <f aca="false">IF(B1814=0,"",IF(INDEX(Bank!$J:$J,B1814)="","",INDEX(Bank!$J:$J,B1814)))</f>
        <v/>
      </c>
      <c r="E1814" s="32" t="str">
        <f aca="false">IF(B1814=0,"",INDEX(Bank!$B:$B,B1814))</f>
        <v/>
      </c>
      <c r="F1814" s="5" t="str">
        <f aca="false">IF(B1814=0,"",IF(INDEX(Bank!$C:$C,B1814)="","",INDEX(Bank!$C:$C,B1814)))</f>
        <v/>
      </c>
      <c r="G1814" s="19" t="str">
        <f aca="false">IF(B1814=0,"",INDEX(Bank!$E:$E,B1814))</f>
        <v/>
      </c>
      <c r="H1814" s="5" t="str">
        <f aca="false">IF(B1814=0,"",IF(INDEX(Bank!$H:$H,B1814)="","",INDEX(Bank!$H:$H,B1814)))</f>
        <v/>
      </c>
      <c r="I1814" s="5" t="n">
        <f aca="false">IF(H1814="",0,IFERROR(MATCH(H1814,GL!$A:$A,0),0))</f>
        <v>0</v>
      </c>
      <c r="J1814" s="32" t="str">
        <f aca="false">IF(I1814=0,"",INDEX(GL!$B:$B,I1814))</f>
        <v/>
      </c>
      <c r="K1814" s="5" t="str">
        <f aca="false">IF(I1814=0,"",IF(INDEX(GL!$C:$C,I1814)="","",INDEX(GL!$C:$C,I1814)))</f>
        <v/>
      </c>
      <c r="L1814" s="19" t="str">
        <f aca="false">IF(I1814=0,"",INDEX(GL!$E:$E,I1814))</f>
        <v/>
      </c>
      <c r="M1814" s="19" t="str">
        <f aca="false">IF(OR(B1814=0,I1814=0),"",ROUND(G1814-L1814,2))</f>
        <v/>
      </c>
      <c r="N1814" s="5" t="str">
        <f aca="false">IF(A1814="","",IF(B1814=0,"NOT FOUND: bank ID",IF(I1814=0,"NOT FOUND: GL ID",IF(INDEX(GL!$H:$H,I1814)&lt;&gt;A1814,"BROKEN: GL points elsewhere",IF(OR(INDEX(Bank!$F:$F,B1814)&lt;&gt;"Y",INDEX(GL!$F:$F,I1814)&lt;&gt;"Y"),"BROKEN: Status not Y","OK")))))</f>
        <v/>
      </c>
    </row>
    <row r="1815" customFormat="false" ht="15" hidden="false" customHeight="false" outlineLevel="0" collapsed="false">
      <c r="A1815" s="41"/>
      <c r="B1815" s="5" t="n">
        <f aca="false">IF(A1815="",0,IFERROR(MATCH(A1815,Bank!$A:$A,0),0))</f>
        <v>0</v>
      </c>
      <c r="C1815" s="5" t="str">
        <f aca="false">IF(B1815=0,"",IF(INDEX(Bank!$G:$G,B1815)="","",INDEX(Bank!$G:$G,B1815)))</f>
        <v/>
      </c>
      <c r="D1815" s="5" t="str">
        <f aca="false">IF(B1815=0,"",IF(INDEX(Bank!$J:$J,B1815)="","",INDEX(Bank!$J:$J,B1815)))</f>
        <v/>
      </c>
      <c r="E1815" s="32" t="str">
        <f aca="false">IF(B1815=0,"",INDEX(Bank!$B:$B,B1815))</f>
        <v/>
      </c>
      <c r="F1815" s="5" t="str">
        <f aca="false">IF(B1815=0,"",IF(INDEX(Bank!$C:$C,B1815)="","",INDEX(Bank!$C:$C,B1815)))</f>
        <v/>
      </c>
      <c r="G1815" s="19" t="str">
        <f aca="false">IF(B1815=0,"",INDEX(Bank!$E:$E,B1815))</f>
        <v/>
      </c>
      <c r="H1815" s="5" t="str">
        <f aca="false">IF(B1815=0,"",IF(INDEX(Bank!$H:$H,B1815)="","",INDEX(Bank!$H:$H,B1815)))</f>
        <v/>
      </c>
      <c r="I1815" s="5" t="n">
        <f aca="false">IF(H1815="",0,IFERROR(MATCH(H1815,GL!$A:$A,0),0))</f>
        <v>0</v>
      </c>
      <c r="J1815" s="32" t="str">
        <f aca="false">IF(I1815=0,"",INDEX(GL!$B:$B,I1815))</f>
        <v/>
      </c>
      <c r="K1815" s="5" t="str">
        <f aca="false">IF(I1815=0,"",IF(INDEX(GL!$C:$C,I1815)="","",INDEX(GL!$C:$C,I1815)))</f>
        <v/>
      </c>
      <c r="L1815" s="19" t="str">
        <f aca="false">IF(I1815=0,"",INDEX(GL!$E:$E,I1815))</f>
        <v/>
      </c>
      <c r="M1815" s="19" t="str">
        <f aca="false">IF(OR(B1815=0,I1815=0),"",ROUND(G1815-L1815,2))</f>
        <v/>
      </c>
      <c r="N1815" s="5" t="str">
        <f aca="false">IF(A1815="","",IF(B1815=0,"NOT FOUND: bank ID",IF(I1815=0,"NOT FOUND: GL ID",IF(INDEX(GL!$H:$H,I1815)&lt;&gt;A1815,"BROKEN: GL points elsewhere",IF(OR(INDEX(Bank!$F:$F,B1815)&lt;&gt;"Y",INDEX(GL!$F:$F,I1815)&lt;&gt;"Y"),"BROKEN: Status not Y","OK")))))</f>
        <v/>
      </c>
    </row>
    <row r="1816" customFormat="false" ht="15" hidden="false" customHeight="false" outlineLevel="0" collapsed="false">
      <c r="A1816" s="41"/>
      <c r="B1816" s="5" t="n">
        <f aca="false">IF(A1816="",0,IFERROR(MATCH(A1816,Bank!$A:$A,0),0))</f>
        <v>0</v>
      </c>
      <c r="C1816" s="5" t="str">
        <f aca="false">IF(B1816=0,"",IF(INDEX(Bank!$G:$G,B1816)="","",INDEX(Bank!$G:$G,B1816)))</f>
        <v/>
      </c>
      <c r="D1816" s="5" t="str">
        <f aca="false">IF(B1816=0,"",IF(INDEX(Bank!$J:$J,B1816)="","",INDEX(Bank!$J:$J,B1816)))</f>
        <v/>
      </c>
      <c r="E1816" s="32" t="str">
        <f aca="false">IF(B1816=0,"",INDEX(Bank!$B:$B,B1816))</f>
        <v/>
      </c>
      <c r="F1816" s="5" t="str">
        <f aca="false">IF(B1816=0,"",IF(INDEX(Bank!$C:$C,B1816)="","",INDEX(Bank!$C:$C,B1816)))</f>
        <v/>
      </c>
      <c r="G1816" s="19" t="str">
        <f aca="false">IF(B1816=0,"",INDEX(Bank!$E:$E,B1816))</f>
        <v/>
      </c>
      <c r="H1816" s="5" t="str">
        <f aca="false">IF(B1816=0,"",IF(INDEX(Bank!$H:$H,B1816)="","",INDEX(Bank!$H:$H,B1816)))</f>
        <v/>
      </c>
      <c r="I1816" s="5" t="n">
        <f aca="false">IF(H1816="",0,IFERROR(MATCH(H1816,GL!$A:$A,0),0))</f>
        <v>0</v>
      </c>
      <c r="J1816" s="32" t="str">
        <f aca="false">IF(I1816=0,"",INDEX(GL!$B:$B,I1816))</f>
        <v/>
      </c>
      <c r="K1816" s="5" t="str">
        <f aca="false">IF(I1816=0,"",IF(INDEX(GL!$C:$C,I1816)="","",INDEX(GL!$C:$C,I1816)))</f>
        <v/>
      </c>
      <c r="L1816" s="19" t="str">
        <f aca="false">IF(I1816=0,"",INDEX(GL!$E:$E,I1816))</f>
        <v/>
      </c>
      <c r="M1816" s="19" t="str">
        <f aca="false">IF(OR(B1816=0,I1816=0),"",ROUND(G1816-L1816,2))</f>
        <v/>
      </c>
      <c r="N1816" s="5" t="str">
        <f aca="false">IF(A1816="","",IF(B1816=0,"NOT FOUND: bank ID",IF(I1816=0,"NOT FOUND: GL ID",IF(INDEX(GL!$H:$H,I1816)&lt;&gt;A1816,"BROKEN: GL points elsewhere",IF(OR(INDEX(Bank!$F:$F,B1816)&lt;&gt;"Y",INDEX(GL!$F:$F,I1816)&lt;&gt;"Y"),"BROKEN: Status not Y","OK")))))</f>
        <v/>
      </c>
    </row>
    <row r="1817" customFormat="false" ht="15" hidden="false" customHeight="false" outlineLevel="0" collapsed="false">
      <c r="A1817" s="41"/>
      <c r="B1817" s="5" t="n">
        <f aca="false">IF(A1817="",0,IFERROR(MATCH(A1817,Bank!$A:$A,0),0))</f>
        <v>0</v>
      </c>
      <c r="C1817" s="5" t="str">
        <f aca="false">IF(B1817=0,"",IF(INDEX(Bank!$G:$G,B1817)="","",INDEX(Bank!$G:$G,B1817)))</f>
        <v/>
      </c>
      <c r="D1817" s="5" t="str">
        <f aca="false">IF(B1817=0,"",IF(INDEX(Bank!$J:$J,B1817)="","",INDEX(Bank!$J:$J,B1817)))</f>
        <v/>
      </c>
      <c r="E1817" s="32" t="str">
        <f aca="false">IF(B1817=0,"",INDEX(Bank!$B:$B,B1817))</f>
        <v/>
      </c>
      <c r="F1817" s="5" t="str">
        <f aca="false">IF(B1817=0,"",IF(INDEX(Bank!$C:$C,B1817)="","",INDEX(Bank!$C:$C,B1817)))</f>
        <v/>
      </c>
      <c r="G1817" s="19" t="str">
        <f aca="false">IF(B1817=0,"",INDEX(Bank!$E:$E,B1817))</f>
        <v/>
      </c>
      <c r="H1817" s="5" t="str">
        <f aca="false">IF(B1817=0,"",IF(INDEX(Bank!$H:$H,B1817)="","",INDEX(Bank!$H:$H,B1817)))</f>
        <v/>
      </c>
      <c r="I1817" s="5" t="n">
        <f aca="false">IF(H1817="",0,IFERROR(MATCH(H1817,GL!$A:$A,0),0))</f>
        <v>0</v>
      </c>
      <c r="J1817" s="32" t="str">
        <f aca="false">IF(I1817=0,"",INDEX(GL!$B:$B,I1817))</f>
        <v/>
      </c>
      <c r="K1817" s="5" t="str">
        <f aca="false">IF(I1817=0,"",IF(INDEX(GL!$C:$C,I1817)="","",INDEX(GL!$C:$C,I1817)))</f>
        <v/>
      </c>
      <c r="L1817" s="19" t="str">
        <f aca="false">IF(I1817=0,"",INDEX(GL!$E:$E,I1817))</f>
        <v/>
      </c>
      <c r="M1817" s="19" t="str">
        <f aca="false">IF(OR(B1817=0,I1817=0),"",ROUND(G1817-L1817,2))</f>
        <v/>
      </c>
      <c r="N1817" s="5" t="str">
        <f aca="false">IF(A1817="","",IF(B1817=0,"NOT FOUND: bank ID",IF(I1817=0,"NOT FOUND: GL ID",IF(INDEX(GL!$H:$H,I1817)&lt;&gt;A1817,"BROKEN: GL points elsewhere",IF(OR(INDEX(Bank!$F:$F,B1817)&lt;&gt;"Y",INDEX(GL!$F:$F,I1817)&lt;&gt;"Y"),"BROKEN: Status not Y","OK")))))</f>
        <v/>
      </c>
    </row>
    <row r="1818" customFormat="false" ht="15" hidden="false" customHeight="false" outlineLevel="0" collapsed="false">
      <c r="A1818" s="41"/>
      <c r="B1818" s="5" t="n">
        <f aca="false">IF(A1818="",0,IFERROR(MATCH(A1818,Bank!$A:$A,0),0))</f>
        <v>0</v>
      </c>
      <c r="C1818" s="5" t="str">
        <f aca="false">IF(B1818=0,"",IF(INDEX(Bank!$G:$G,B1818)="","",INDEX(Bank!$G:$G,B1818)))</f>
        <v/>
      </c>
      <c r="D1818" s="5" t="str">
        <f aca="false">IF(B1818=0,"",IF(INDEX(Bank!$J:$J,B1818)="","",INDEX(Bank!$J:$J,B1818)))</f>
        <v/>
      </c>
      <c r="E1818" s="32" t="str">
        <f aca="false">IF(B1818=0,"",INDEX(Bank!$B:$B,B1818))</f>
        <v/>
      </c>
      <c r="F1818" s="5" t="str">
        <f aca="false">IF(B1818=0,"",IF(INDEX(Bank!$C:$C,B1818)="","",INDEX(Bank!$C:$C,B1818)))</f>
        <v/>
      </c>
      <c r="G1818" s="19" t="str">
        <f aca="false">IF(B1818=0,"",INDEX(Bank!$E:$E,B1818))</f>
        <v/>
      </c>
      <c r="H1818" s="5" t="str">
        <f aca="false">IF(B1818=0,"",IF(INDEX(Bank!$H:$H,B1818)="","",INDEX(Bank!$H:$H,B1818)))</f>
        <v/>
      </c>
      <c r="I1818" s="5" t="n">
        <f aca="false">IF(H1818="",0,IFERROR(MATCH(H1818,GL!$A:$A,0),0))</f>
        <v>0</v>
      </c>
      <c r="J1818" s="32" t="str">
        <f aca="false">IF(I1818=0,"",INDEX(GL!$B:$B,I1818))</f>
        <v/>
      </c>
      <c r="K1818" s="5" t="str">
        <f aca="false">IF(I1818=0,"",IF(INDEX(GL!$C:$C,I1818)="","",INDEX(GL!$C:$C,I1818)))</f>
        <v/>
      </c>
      <c r="L1818" s="19" t="str">
        <f aca="false">IF(I1818=0,"",INDEX(GL!$E:$E,I1818))</f>
        <v/>
      </c>
      <c r="M1818" s="19" t="str">
        <f aca="false">IF(OR(B1818=0,I1818=0),"",ROUND(G1818-L1818,2))</f>
        <v/>
      </c>
      <c r="N1818" s="5" t="str">
        <f aca="false">IF(A1818="","",IF(B1818=0,"NOT FOUND: bank ID",IF(I1818=0,"NOT FOUND: GL ID",IF(INDEX(GL!$H:$H,I1818)&lt;&gt;A1818,"BROKEN: GL points elsewhere",IF(OR(INDEX(Bank!$F:$F,B1818)&lt;&gt;"Y",INDEX(GL!$F:$F,I1818)&lt;&gt;"Y"),"BROKEN: Status not Y","OK")))))</f>
        <v/>
      </c>
    </row>
    <row r="1819" customFormat="false" ht="15" hidden="false" customHeight="false" outlineLevel="0" collapsed="false">
      <c r="A1819" s="41"/>
      <c r="B1819" s="5" t="n">
        <f aca="false">IF(A1819="",0,IFERROR(MATCH(A1819,Bank!$A:$A,0),0))</f>
        <v>0</v>
      </c>
      <c r="C1819" s="5" t="str">
        <f aca="false">IF(B1819=0,"",IF(INDEX(Bank!$G:$G,B1819)="","",INDEX(Bank!$G:$G,B1819)))</f>
        <v/>
      </c>
      <c r="D1819" s="5" t="str">
        <f aca="false">IF(B1819=0,"",IF(INDEX(Bank!$J:$J,B1819)="","",INDEX(Bank!$J:$J,B1819)))</f>
        <v/>
      </c>
      <c r="E1819" s="32" t="str">
        <f aca="false">IF(B1819=0,"",INDEX(Bank!$B:$B,B1819))</f>
        <v/>
      </c>
      <c r="F1819" s="5" t="str">
        <f aca="false">IF(B1819=0,"",IF(INDEX(Bank!$C:$C,B1819)="","",INDEX(Bank!$C:$C,B1819)))</f>
        <v/>
      </c>
      <c r="G1819" s="19" t="str">
        <f aca="false">IF(B1819=0,"",INDEX(Bank!$E:$E,B1819))</f>
        <v/>
      </c>
      <c r="H1819" s="5" t="str">
        <f aca="false">IF(B1819=0,"",IF(INDEX(Bank!$H:$H,B1819)="","",INDEX(Bank!$H:$H,B1819)))</f>
        <v/>
      </c>
      <c r="I1819" s="5" t="n">
        <f aca="false">IF(H1819="",0,IFERROR(MATCH(H1819,GL!$A:$A,0),0))</f>
        <v>0</v>
      </c>
      <c r="J1819" s="32" t="str">
        <f aca="false">IF(I1819=0,"",INDEX(GL!$B:$B,I1819))</f>
        <v/>
      </c>
      <c r="K1819" s="5" t="str">
        <f aca="false">IF(I1819=0,"",IF(INDEX(GL!$C:$C,I1819)="","",INDEX(GL!$C:$C,I1819)))</f>
        <v/>
      </c>
      <c r="L1819" s="19" t="str">
        <f aca="false">IF(I1819=0,"",INDEX(GL!$E:$E,I1819))</f>
        <v/>
      </c>
      <c r="M1819" s="19" t="str">
        <f aca="false">IF(OR(B1819=0,I1819=0),"",ROUND(G1819-L1819,2))</f>
        <v/>
      </c>
      <c r="N1819" s="5" t="str">
        <f aca="false">IF(A1819="","",IF(B1819=0,"NOT FOUND: bank ID",IF(I1819=0,"NOT FOUND: GL ID",IF(INDEX(GL!$H:$H,I1819)&lt;&gt;A1819,"BROKEN: GL points elsewhere",IF(OR(INDEX(Bank!$F:$F,B1819)&lt;&gt;"Y",INDEX(GL!$F:$F,I1819)&lt;&gt;"Y"),"BROKEN: Status not Y","OK")))))</f>
        <v/>
      </c>
    </row>
    <row r="1820" customFormat="false" ht="15" hidden="false" customHeight="false" outlineLevel="0" collapsed="false">
      <c r="A1820" s="41"/>
      <c r="B1820" s="5" t="n">
        <f aca="false">IF(A1820="",0,IFERROR(MATCH(A1820,Bank!$A:$A,0),0))</f>
        <v>0</v>
      </c>
      <c r="C1820" s="5" t="str">
        <f aca="false">IF(B1820=0,"",IF(INDEX(Bank!$G:$G,B1820)="","",INDEX(Bank!$G:$G,B1820)))</f>
        <v/>
      </c>
      <c r="D1820" s="5" t="str">
        <f aca="false">IF(B1820=0,"",IF(INDEX(Bank!$J:$J,B1820)="","",INDEX(Bank!$J:$J,B1820)))</f>
        <v/>
      </c>
      <c r="E1820" s="32" t="str">
        <f aca="false">IF(B1820=0,"",INDEX(Bank!$B:$B,B1820))</f>
        <v/>
      </c>
      <c r="F1820" s="5" t="str">
        <f aca="false">IF(B1820=0,"",IF(INDEX(Bank!$C:$C,B1820)="","",INDEX(Bank!$C:$C,B1820)))</f>
        <v/>
      </c>
      <c r="G1820" s="19" t="str">
        <f aca="false">IF(B1820=0,"",INDEX(Bank!$E:$E,B1820))</f>
        <v/>
      </c>
      <c r="H1820" s="5" t="str">
        <f aca="false">IF(B1820=0,"",IF(INDEX(Bank!$H:$H,B1820)="","",INDEX(Bank!$H:$H,B1820)))</f>
        <v/>
      </c>
      <c r="I1820" s="5" t="n">
        <f aca="false">IF(H1820="",0,IFERROR(MATCH(H1820,GL!$A:$A,0),0))</f>
        <v>0</v>
      </c>
      <c r="J1820" s="32" t="str">
        <f aca="false">IF(I1820=0,"",INDEX(GL!$B:$B,I1820))</f>
        <v/>
      </c>
      <c r="K1820" s="5" t="str">
        <f aca="false">IF(I1820=0,"",IF(INDEX(GL!$C:$C,I1820)="","",INDEX(GL!$C:$C,I1820)))</f>
        <v/>
      </c>
      <c r="L1820" s="19" t="str">
        <f aca="false">IF(I1820=0,"",INDEX(GL!$E:$E,I1820))</f>
        <v/>
      </c>
      <c r="M1820" s="19" t="str">
        <f aca="false">IF(OR(B1820=0,I1820=0),"",ROUND(G1820-L1820,2))</f>
        <v/>
      </c>
      <c r="N1820" s="5" t="str">
        <f aca="false">IF(A1820="","",IF(B1820=0,"NOT FOUND: bank ID",IF(I1820=0,"NOT FOUND: GL ID",IF(INDEX(GL!$H:$H,I1820)&lt;&gt;A1820,"BROKEN: GL points elsewhere",IF(OR(INDEX(Bank!$F:$F,B1820)&lt;&gt;"Y",INDEX(GL!$F:$F,I1820)&lt;&gt;"Y"),"BROKEN: Status not Y","OK")))))</f>
        <v/>
      </c>
    </row>
    <row r="1821" customFormat="false" ht="15" hidden="false" customHeight="false" outlineLevel="0" collapsed="false">
      <c r="A1821" s="41"/>
      <c r="B1821" s="5" t="n">
        <f aca="false">IF(A1821="",0,IFERROR(MATCH(A1821,Bank!$A:$A,0),0))</f>
        <v>0</v>
      </c>
      <c r="C1821" s="5" t="str">
        <f aca="false">IF(B1821=0,"",IF(INDEX(Bank!$G:$G,B1821)="","",INDEX(Bank!$G:$G,B1821)))</f>
        <v/>
      </c>
      <c r="D1821" s="5" t="str">
        <f aca="false">IF(B1821=0,"",IF(INDEX(Bank!$J:$J,B1821)="","",INDEX(Bank!$J:$J,B1821)))</f>
        <v/>
      </c>
      <c r="E1821" s="32" t="str">
        <f aca="false">IF(B1821=0,"",INDEX(Bank!$B:$B,B1821))</f>
        <v/>
      </c>
      <c r="F1821" s="5" t="str">
        <f aca="false">IF(B1821=0,"",IF(INDEX(Bank!$C:$C,B1821)="","",INDEX(Bank!$C:$C,B1821)))</f>
        <v/>
      </c>
      <c r="G1821" s="19" t="str">
        <f aca="false">IF(B1821=0,"",INDEX(Bank!$E:$E,B1821))</f>
        <v/>
      </c>
      <c r="H1821" s="5" t="str">
        <f aca="false">IF(B1821=0,"",IF(INDEX(Bank!$H:$H,B1821)="","",INDEX(Bank!$H:$H,B1821)))</f>
        <v/>
      </c>
      <c r="I1821" s="5" t="n">
        <f aca="false">IF(H1821="",0,IFERROR(MATCH(H1821,GL!$A:$A,0),0))</f>
        <v>0</v>
      </c>
      <c r="J1821" s="32" t="str">
        <f aca="false">IF(I1821=0,"",INDEX(GL!$B:$B,I1821))</f>
        <v/>
      </c>
      <c r="K1821" s="5" t="str">
        <f aca="false">IF(I1821=0,"",IF(INDEX(GL!$C:$C,I1821)="","",INDEX(GL!$C:$C,I1821)))</f>
        <v/>
      </c>
      <c r="L1821" s="19" t="str">
        <f aca="false">IF(I1821=0,"",INDEX(GL!$E:$E,I1821))</f>
        <v/>
      </c>
      <c r="M1821" s="19" t="str">
        <f aca="false">IF(OR(B1821=0,I1821=0),"",ROUND(G1821-L1821,2))</f>
        <v/>
      </c>
      <c r="N1821" s="5" t="str">
        <f aca="false">IF(A1821="","",IF(B1821=0,"NOT FOUND: bank ID",IF(I1821=0,"NOT FOUND: GL ID",IF(INDEX(GL!$H:$H,I1821)&lt;&gt;A1821,"BROKEN: GL points elsewhere",IF(OR(INDEX(Bank!$F:$F,B1821)&lt;&gt;"Y",INDEX(GL!$F:$F,I1821)&lt;&gt;"Y"),"BROKEN: Status not Y","OK")))))</f>
        <v/>
      </c>
    </row>
    <row r="1822" customFormat="false" ht="15" hidden="false" customHeight="false" outlineLevel="0" collapsed="false">
      <c r="A1822" s="41"/>
      <c r="B1822" s="5" t="n">
        <f aca="false">IF(A1822="",0,IFERROR(MATCH(A1822,Bank!$A:$A,0),0))</f>
        <v>0</v>
      </c>
      <c r="C1822" s="5" t="str">
        <f aca="false">IF(B1822=0,"",IF(INDEX(Bank!$G:$G,B1822)="","",INDEX(Bank!$G:$G,B1822)))</f>
        <v/>
      </c>
      <c r="D1822" s="5" t="str">
        <f aca="false">IF(B1822=0,"",IF(INDEX(Bank!$J:$J,B1822)="","",INDEX(Bank!$J:$J,B1822)))</f>
        <v/>
      </c>
      <c r="E1822" s="32" t="str">
        <f aca="false">IF(B1822=0,"",INDEX(Bank!$B:$B,B1822))</f>
        <v/>
      </c>
      <c r="F1822" s="5" t="str">
        <f aca="false">IF(B1822=0,"",IF(INDEX(Bank!$C:$C,B1822)="","",INDEX(Bank!$C:$C,B1822)))</f>
        <v/>
      </c>
      <c r="G1822" s="19" t="str">
        <f aca="false">IF(B1822=0,"",INDEX(Bank!$E:$E,B1822))</f>
        <v/>
      </c>
      <c r="H1822" s="5" t="str">
        <f aca="false">IF(B1822=0,"",IF(INDEX(Bank!$H:$H,B1822)="","",INDEX(Bank!$H:$H,B1822)))</f>
        <v/>
      </c>
      <c r="I1822" s="5" t="n">
        <f aca="false">IF(H1822="",0,IFERROR(MATCH(H1822,GL!$A:$A,0),0))</f>
        <v>0</v>
      </c>
      <c r="J1822" s="32" t="str">
        <f aca="false">IF(I1822=0,"",INDEX(GL!$B:$B,I1822))</f>
        <v/>
      </c>
      <c r="K1822" s="5" t="str">
        <f aca="false">IF(I1822=0,"",IF(INDEX(GL!$C:$C,I1822)="","",INDEX(GL!$C:$C,I1822)))</f>
        <v/>
      </c>
      <c r="L1822" s="19" t="str">
        <f aca="false">IF(I1822=0,"",INDEX(GL!$E:$E,I1822))</f>
        <v/>
      </c>
      <c r="M1822" s="19" t="str">
        <f aca="false">IF(OR(B1822=0,I1822=0),"",ROUND(G1822-L1822,2))</f>
        <v/>
      </c>
      <c r="N1822" s="5" t="str">
        <f aca="false">IF(A1822="","",IF(B1822=0,"NOT FOUND: bank ID",IF(I1822=0,"NOT FOUND: GL ID",IF(INDEX(GL!$H:$H,I1822)&lt;&gt;A1822,"BROKEN: GL points elsewhere",IF(OR(INDEX(Bank!$F:$F,B1822)&lt;&gt;"Y",INDEX(GL!$F:$F,I1822)&lt;&gt;"Y"),"BROKEN: Status not Y","OK")))))</f>
        <v/>
      </c>
    </row>
    <row r="1823" customFormat="false" ht="15" hidden="false" customHeight="false" outlineLevel="0" collapsed="false">
      <c r="A1823" s="41"/>
      <c r="B1823" s="5" t="n">
        <f aca="false">IF(A1823="",0,IFERROR(MATCH(A1823,Bank!$A:$A,0),0))</f>
        <v>0</v>
      </c>
      <c r="C1823" s="5" t="str">
        <f aca="false">IF(B1823=0,"",IF(INDEX(Bank!$G:$G,B1823)="","",INDEX(Bank!$G:$G,B1823)))</f>
        <v/>
      </c>
      <c r="D1823" s="5" t="str">
        <f aca="false">IF(B1823=0,"",IF(INDEX(Bank!$J:$J,B1823)="","",INDEX(Bank!$J:$J,B1823)))</f>
        <v/>
      </c>
      <c r="E1823" s="32" t="str">
        <f aca="false">IF(B1823=0,"",INDEX(Bank!$B:$B,B1823))</f>
        <v/>
      </c>
      <c r="F1823" s="5" t="str">
        <f aca="false">IF(B1823=0,"",IF(INDEX(Bank!$C:$C,B1823)="","",INDEX(Bank!$C:$C,B1823)))</f>
        <v/>
      </c>
      <c r="G1823" s="19" t="str">
        <f aca="false">IF(B1823=0,"",INDEX(Bank!$E:$E,B1823))</f>
        <v/>
      </c>
      <c r="H1823" s="5" t="str">
        <f aca="false">IF(B1823=0,"",IF(INDEX(Bank!$H:$H,B1823)="","",INDEX(Bank!$H:$H,B1823)))</f>
        <v/>
      </c>
      <c r="I1823" s="5" t="n">
        <f aca="false">IF(H1823="",0,IFERROR(MATCH(H1823,GL!$A:$A,0),0))</f>
        <v>0</v>
      </c>
      <c r="J1823" s="32" t="str">
        <f aca="false">IF(I1823=0,"",INDEX(GL!$B:$B,I1823))</f>
        <v/>
      </c>
      <c r="K1823" s="5" t="str">
        <f aca="false">IF(I1823=0,"",IF(INDEX(GL!$C:$C,I1823)="","",INDEX(GL!$C:$C,I1823)))</f>
        <v/>
      </c>
      <c r="L1823" s="19" t="str">
        <f aca="false">IF(I1823=0,"",INDEX(GL!$E:$E,I1823))</f>
        <v/>
      </c>
      <c r="M1823" s="19" t="str">
        <f aca="false">IF(OR(B1823=0,I1823=0),"",ROUND(G1823-L1823,2))</f>
        <v/>
      </c>
      <c r="N1823" s="5" t="str">
        <f aca="false">IF(A1823="","",IF(B1823=0,"NOT FOUND: bank ID",IF(I1823=0,"NOT FOUND: GL ID",IF(INDEX(GL!$H:$H,I1823)&lt;&gt;A1823,"BROKEN: GL points elsewhere",IF(OR(INDEX(Bank!$F:$F,B1823)&lt;&gt;"Y",INDEX(GL!$F:$F,I1823)&lt;&gt;"Y"),"BROKEN: Status not Y","OK")))))</f>
        <v/>
      </c>
    </row>
    <row r="1824" customFormat="false" ht="15" hidden="false" customHeight="false" outlineLevel="0" collapsed="false">
      <c r="A1824" s="41"/>
      <c r="B1824" s="5" t="n">
        <f aca="false">IF(A1824="",0,IFERROR(MATCH(A1824,Bank!$A:$A,0),0))</f>
        <v>0</v>
      </c>
      <c r="C1824" s="5" t="str">
        <f aca="false">IF(B1824=0,"",IF(INDEX(Bank!$G:$G,B1824)="","",INDEX(Bank!$G:$G,B1824)))</f>
        <v/>
      </c>
      <c r="D1824" s="5" t="str">
        <f aca="false">IF(B1824=0,"",IF(INDEX(Bank!$J:$J,B1824)="","",INDEX(Bank!$J:$J,B1824)))</f>
        <v/>
      </c>
      <c r="E1824" s="32" t="str">
        <f aca="false">IF(B1824=0,"",INDEX(Bank!$B:$B,B1824))</f>
        <v/>
      </c>
      <c r="F1824" s="5" t="str">
        <f aca="false">IF(B1824=0,"",IF(INDEX(Bank!$C:$C,B1824)="","",INDEX(Bank!$C:$C,B1824)))</f>
        <v/>
      </c>
      <c r="G1824" s="19" t="str">
        <f aca="false">IF(B1824=0,"",INDEX(Bank!$E:$E,B1824))</f>
        <v/>
      </c>
      <c r="H1824" s="5" t="str">
        <f aca="false">IF(B1824=0,"",IF(INDEX(Bank!$H:$H,B1824)="","",INDEX(Bank!$H:$H,B1824)))</f>
        <v/>
      </c>
      <c r="I1824" s="5" t="n">
        <f aca="false">IF(H1824="",0,IFERROR(MATCH(H1824,GL!$A:$A,0),0))</f>
        <v>0</v>
      </c>
      <c r="J1824" s="32" t="str">
        <f aca="false">IF(I1824=0,"",INDEX(GL!$B:$B,I1824))</f>
        <v/>
      </c>
      <c r="K1824" s="5" t="str">
        <f aca="false">IF(I1824=0,"",IF(INDEX(GL!$C:$C,I1824)="","",INDEX(GL!$C:$C,I1824)))</f>
        <v/>
      </c>
      <c r="L1824" s="19" t="str">
        <f aca="false">IF(I1824=0,"",INDEX(GL!$E:$E,I1824))</f>
        <v/>
      </c>
      <c r="M1824" s="19" t="str">
        <f aca="false">IF(OR(B1824=0,I1824=0),"",ROUND(G1824-L1824,2))</f>
        <v/>
      </c>
      <c r="N1824" s="5" t="str">
        <f aca="false">IF(A1824="","",IF(B1824=0,"NOT FOUND: bank ID",IF(I1824=0,"NOT FOUND: GL ID",IF(INDEX(GL!$H:$H,I1824)&lt;&gt;A1824,"BROKEN: GL points elsewhere",IF(OR(INDEX(Bank!$F:$F,B1824)&lt;&gt;"Y",INDEX(GL!$F:$F,I1824)&lt;&gt;"Y"),"BROKEN: Status not Y","OK")))))</f>
        <v/>
      </c>
    </row>
    <row r="1825" customFormat="false" ht="15" hidden="false" customHeight="false" outlineLevel="0" collapsed="false">
      <c r="A1825" s="41"/>
      <c r="B1825" s="5" t="n">
        <f aca="false">IF(A1825="",0,IFERROR(MATCH(A1825,Bank!$A:$A,0),0))</f>
        <v>0</v>
      </c>
      <c r="C1825" s="5" t="str">
        <f aca="false">IF(B1825=0,"",IF(INDEX(Bank!$G:$G,B1825)="","",INDEX(Bank!$G:$G,B1825)))</f>
        <v/>
      </c>
      <c r="D1825" s="5" t="str">
        <f aca="false">IF(B1825=0,"",IF(INDEX(Bank!$J:$J,B1825)="","",INDEX(Bank!$J:$J,B1825)))</f>
        <v/>
      </c>
      <c r="E1825" s="32" t="str">
        <f aca="false">IF(B1825=0,"",INDEX(Bank!$B:$B,B1825))</f>
        <v/>
      </c>
      <c r="F1825" s="5" t="str">
        <f aca="false">IF(B1825=0,"",IF(INDEX(Bank!$C:$C,B1825)="","",INDEX(Bank!$C:$C,B1825)))</f>
        <v/>
      </c>
      <c r="G1825" s="19" t="str">
        <f aca="false">IF(B1825=0,"",INDEX(Bank!$E:$E,B1825))</f>
        <v/>
      </c>
      <c r="H1825" s="5" t="str">
        <f aca="false">IF(B1825=0,"",IF(INDEX(Bank!$H:$H,B1825)="","",INDEX(Bank!$H:$H,B1825)))</f>
        <v/>
      </c>
      <c r="I1825" s="5" t="n">
        <f aca="false">IF(H1825="",0,IFERROR(MATCH(H1825,GL!$A:$A,0),0))</f>
        <v>0</v>
      </c>
      <c r="J1825" s="32" t="str">
        <f aca="false">IF(I1825=0,"",INDEX(GL!$B:$B,I1825))</f>
        <v/>
      </c>
      <c r="K1825" s="5" t="str">
        <f aca="false">IF(I1825=0,"",IF(INDEX(GL!$C:$C,I1825)="","",INDEX(GL!$C:$C,I1825)))</f>
        <v/>
      </c>
      <c r="L1825" s="19" t="str">
        <f aca="false">IF(I1825=0,"",INDEX(GL!$E:$E,I1825))</f>
        <v/>
      </c>
      <c r="M1825" s="19" t="str">
        <f aca="false">IF(OR(B1825=0,I1825=0),"",ROUND(G1825-L1825,2))</f>
        <v/>
      </c>
      <c r="N1825" s="5" t="str">
        <f aca="false">IF(A1825="","",IF(B1825=0,"NOT FOUND: bank ID",IF(I1825=0,"NOT FOUND: GL ID",IF(INDEX(GL!$H:$H,I1825)&lt;&gt;A1825,"BROKEN: GL points elsewhere",IF(OR(INDEX(Bank!$F:$F,B1825)&lt;&gt;"Y",INDEX(GL!$F:$F,I1825)&lt;&gt;"Y"),"BROKEN: Status not Y","OK")))))</f>
        <v/>
      </c>
    </row>
    <row r="1826" customFormat="false" ht="15" hidden="false" customHeight="false" outlineLevel="0" collapsed="false">
      <c r="A1826" s="41"/>
      <c r="B1826" s="5" t="n">
        <f aca="false">IF(A1826="",0,IFERROR(MATCH(A1826,Bank!$A:$A,0),0))</f>
        <v>0</v>
      </c>
      <c r="C1826" s="5" t="str">
        <f aca="false">IF(B1826=0,"",IF(INDEX(Bank!$G:$G,B1826)="","",INDEX(Bank!$G:$G,B1826)))</f>
        <v/>
      </c>
      <c r="D1826" s="5" t="str">
        <f aca="false">IF(B1826=0,"",IF(INDEX(Bank!$J:$J,B1826)="","",INDEX(Bank!$J:$J,B1826)))</f>
        <v/>
      </c>
      <c r="E1826" s="32" t="str">
        <f aca="false">IF(B1826=0,"",INDEX(Bank!$B:$B,B1826))</f>
        <v/>
      </c>
      <c r="F1826" s="5" t="str">
        <f aca="false">IF(B1826=0,"",IF(INDEX(Bank!$C:$C,B1826)="","",INDEX(Bank!$C:$C,B1826)))</f>
        <v/>
      </c>
      <c r="G1826" s="19" t="str">
        <f aca="false">IF(B1826=0,"",INDEX(Bank!$E:$E,B1826))</f>
        <v/>
      </c>
      <c r="H1826" s="5" t="str">
        <f aca="false">IF(B1826=0,"",IF(INDEX(Bank!$H:$H,B1826)="","",INDEX(Bank!$H:$H,B1826)))</f>
        <v/>
      </c>
      <c r="I1826" s="5" t="n">
        <f aca="false">IF(H1826="",0,IFERROR(MATCH(H1826,GL!$A:$A,0),0))</f>
        <v>0</v>
      </c>
      <c r="J1826" s="32" t="str">
        <f aca="false">IF(I1826=0,"",INDEX(GL!$B:$B,I1826))</f>
        <v/>
      </c>
      <c r="K1826" s="5" t="str">
        <f aca="false">IF(I1826=0,"",IF(INDEX(GL!$C:$C,I1826)="","",INDEX(GL!$C:$C,I1826)))</f>
        <v/>
      </c>
      <c r="L1826" s="19" t="str">
        <f aca="false">IF(I1826=0,"",INDEX(GL!$E:$E,I1826))</f>
        <v/>
      </c>
      <c r="M1826" s="19" t="str">
        <f aca="false">IF(OR(B1826=0,I1826=0),"",ROUND(G1826-L1826,2))</f>
        <v/>
      </c>
      <c r="N1826" s="5" t="str">
        <f aca="false">IF(A1826="","",IF(B1826=0,"NOT FOUND: bank ID",IF(I1826=0,"NOT FOUND: GL ID",IF(INDEX(GL!$H:$H,I1826)&lt;&gt;A1826,"BROKEN: GL points elsewhere",IF(OR(INDEX(Bank!$F:$F,B1826)&lt;&gt;"Y",INDEX(GL!$F:$F,I1826)&lt;&gt;"Y"),"BROKEN: Status not Y","OK")))))</f>
        <v/>
      </c>
    </row>
    <row r="1827" customFormat="false" ht="15" hidden="false" customHeight="false" outlineLevel="0" collapsed="false">
      <c r="A1827" s="41"/>
      <c r="B1827" s="5" t="n">
        <f aca="false">IF(A1827="",0,IFERROR(MATCH(A1827,Bank!$A:$A,0),0))</f>
        <v>0</v>
      </c>
      <c r="C1827" s="5" t="str">
        <f aca="false">IF(B1827=0,"",IF(INDEX(Bank!$G:$G,B1827)="","",INDEX(Bank!$G:$G,B1827)))</f>
        <v/>
      </c>
      <c r="D1827" s="5" t="str">
        <f aca="false">IF(B1827=0,"",IF(INDEX(Bank!$J:$J,B1827)="","",INDEX(Bank!$J:$J,B1827)))</f>
        <v/>
      </c>
      <c r="E1827" s="32" t="str">
        <f aca="false">IF(B1827=0,"",INDEX(Bank!$B:$B,B1827))</f>
        <v/>
      </c>
      <c r="F1827" s="5" t="str">
        <f aca="false">IF(B1827=0,"",IF(INDEX(Bank!$C:$C,B1827)="","",INDEX(Bank!$C:$C,B1827)))</f>
        <v/>
      </c>
      <c r="G1827" s="19" t="str">
        <f aca="false">IF(B1827=0,"",INDEX(Bank!$E:$E,B1827))</f>
        <v/>
      </c>
      <c r="H1827" s="5" t="str">
        <f aca="false">IF(B1827=0,"",IF(INDEX(Bank!$H:$H,B1827)="","",INDEX(Bank!$H:$H,B1827)))</f>
        <v/>
      </c>
      <c r="I1827" s="5" t="n">
        <f aca="false">IF(H1827="",0,IFERROR(MATCH(H1827,GL!$A:$A,0),0))</f>
        <v>0</v>
      </c>
      <c r="J1827" s="32" t="str">
        <f aca="false">IF(I1827=0,"",INDEX(GL!$B:$B,I1827))</f>
        <v/>
      </c>
      <c r="K1827" s="5" t="str">
        <f aca="false">IF(I1827=0,"",IF(INDEX(GL!$C:$C,I1827)="","",INDEX(GL!$C:$C,I1827)))</f>
        <v/>
      </c>
      <c r="L1827" s="19" t="str">
        <f aca="false">IF(I1827=0,"",INDEX(GL!$E:$E,I1827))</f>
        <v/>
      </c>
      <c r="M1827" s="19" t="str">
        <f aca="false">IF(OR(B1827=0,I1827=0),"",ROUND(G1827-L1827,2))</f>
        <v/>
      </c>
      <c r="N1827" s="5" t="str">
        <f aca="false">IF(A1827="","",IF(B1827=0,"NOT FOUND: bank ID",IF(I1827=0,"NOT FOUND: GL ID",IF(INDEX(GL!$H:$H,I1827)&lt;&gt;A1827,"BROKEN: GL points elsewhere",IF(OR(INDEX(Bank!$F:$F,B1827)&lt;&gt;"Y",INDEX(GL!$F:$F,I1827)&lt;&gt;"Y"),"BROKEN: Status not Y","OK")))))</f>
        <v/>
      </c>
    </row>
    <row r="1828" customFormat="false" ht="15" hidden="false" customHeight="false" outlineLevel="0" collapsed="false">
      <c r="A1828" s="41"/>
      <c r="B1828" s="5" t="n">
        <f aca="false">IF(A1828="",0,IFERROR(MATCH(A1828,Bank!$A:$A,0),0))</f>
        <v>0</v>
      </c>
      <c r="C1828" s="5" t="str">
        <f aca="false">IF(B1828=0,"",IF(INDEX(Bank!$G:$G,B1828)="","",INDEX(Bank!$G:$G,B1828)))</f>
        <v/>
      </c>
      <c r="D1828" s="5" t="str">
        <f aca="false">IF(B1828=0,"",IF(INDEX(Bank!$J:$J,B1828)="","",INDEX(Bank!$J:$J,B1828)))</f>
        <v/>
      </c>
      <c r="E1828" s="32" t="str">
        <f aca="false">IF(B1828=0,"",INDEX(Bank!$B:$B,B1828))</f>
        <v/>
      </c>
      <c r="F1828" s="5" t="str">
        <f aca="false">IF(B1828=0,"",IF(INDEX(Bank!$C:$C,B1828)="","",INDEX(Bank!$C:$C,B1828)))</f>
        <v/>
      </c>
      <c r="G1828" s="19" t="str">
        <f aca="false">IF(B1828=0,"",INDEX(Bank!$E:$E,B1828))</f>
        <v/>
      </c>
      <c r="H1828" s="5" t="str">
        <f aca="false">IF(B1828=0,"",IF(INDEX(Bank!$H:$H,B1828)="","",INDEX(Bank!$H:$H,B1828)))</f>
        <v/>
      </c>
      <c r="I1828" s="5" t="n">
        <f aca="false">IF(H1828="",0,IFERROR(MATCH(H1828,GL!$A:$A,0),0))</f>
        <v>0</v>
      </c>
      <c r="J1828" s="32" t="str">
        <f aca="false">IF(I1828=0,"",INDEX(GL!$B:$B,I1828))</f>
        <v/>
      </c>
      <c r="K1828" s="5" t="str">
        <f aca="false">IF(I1828=0,"",IF(INDEX(GL!$C:$C,I1828)="","",INDEX(GL!$C:$C,I1828)))</f>
        <v/>
      </c>
      <c r="L1828" s="19" t="str">
        <f aca="false">IF(I1828=0,"",INDEX(GL!$E:$E,I1828))</f>
        <v/>
      </c>
      <c r="M1828" s="19" t="str">
        <f aca="false">IF(OR(B1828=0,I1828=0),"",ROUND(G1828-L1828,2))</f>
        <v/>
      </c>
      <c r="N1828" s="5" t="str">
        <f aca="false">IF(A1828="","",IF(B1828=0,"NOT FOUND: bank ID",IF(I1828=0,"NOT FOUND: GL ID",IF(INDEX(GL!$H:$H,I1828)&lt;&gt;A1828,"BROKEN: GL points elsewhere",IF(OR(INDEX(Bank!$F:$F,B1828)&lt;&gt;"Y",INDEX(GL!$F:$F,I1828)&lt;&gt;"Y"),"BROKEN: Status not Y","OK")))))</f>
        <v/>
      </c>
    </row>
    <row r="1829" customFormat="false" ht="15" hidden="false" customHeight="false" outlineLevel="0" collapsed="false">
      <c r="A1829" s="41"/>
      <c r="B1829" s="5" t="n">
        <f aca="false">IF(A1829="",0,IFERROR(MATCH(A1829,Bank!$A:$A,0),0))</f>
        <v>0</v>
      </c>
      <c r="C1829" s="5" t="str">
        <f aca="false">IF(B1829=0,"",IF(INDEX(Bank!$G:$G,B1829)="","",INDEX(Bank!$G:$G,B1829)))</f>
        <v/>
      </c>
      <c r="D1829" s="5" t="str">
        <f aca="false">IF(B1829=0,"",IF(INDEX(Bank!$J:$J,B1829)="","",INDEX(Bank!$J:$J,B1829)))</f>
        <v/>
      </c>
      <c r="E1829" s="32" t="str">
        <f aca="false">IF(B1829=0,"",INDEX(Bank!$B:$B,B1829))</f>
        <v/>
      </c>
      <c r="F1829" s="5" t="str">
        <f aca="false">IF(B1829=0,"",IF(INDEX(Bank!$C:$C,B1829)="","",INDEX(Bank!$C:$C,B1829)))</f>
        <v/>
      </c>
      <c r="G1829" s="19" t="str">
        <f aca="false">IF(B1829=0,"",INDEX(Bank!$E:$E,B1829))</f>
        <v/>
      </c>
      <c r="H1829" s="5" t="str">
        <f aca="false">IF(B1829=0,"",IF(INDEX(Bank!$H:$H,B1829)="","",INDEX(Bank!$H:$H,B1829)))</f>
        <v/>
      </c>
      <c r="I1829" s="5" t="n">
        <f aca="false">IF(H1829="",0,IFERROR(MATCH(H1829,GL!$A:$A,0),0))</f>
        <v>0</v>
      </c>
      <c r="J1829" s="32" t="str">
        <f aca="false">IF(I1829=0,"",INDEX(GL!$B:$B,I1829))</f>
        <v/>
      </c>
      <c r="K1829" s="5" t="str">
        <f aca="false">IF(I1829=0,"",IF(INDEX(GL!$C:$C,I1829)="","",INDEX(GL!$C:$C,I1829)))</f>
        <v/>
      </c>
      <c r="L1829" s="19" t="str">
        <f aca="false">IF(I1829=0,"",INDEX(GL!$E:$E,I1829))</f>
        <v/>
      </c>
      <c r="M1829" s="19" t="str">
        <f aca="false">IF(OR(B1829=0,I1829=0),"",ROUND(G1829-L1829,2))</f>
        <v/>
      </c>
      <c r="N1829" s="5" t="str">
        <f aca="false">IF(A1829="","",IF(B1829=0,"NOT FOUND: bank ID",IF(I1829=0,"NOT FOUND: GL ID",IF(INDEX(GL!$H:$H,I1829)&lt;&gt;A1829,"BROKEN: GL points elsewhere",IF(OR(INDEX(Bank!$F:$F,B1829)&lt;&gt;"Y",INDEX(GL!$F:$F,I1829)&lt;&gt;"Y"),"BROKEN: Status not Y","OK")))))</f>
        <v/>
      </c>
    </row>
    <row r="1830" customFormat="false" ht="15" hidden="false" customHeight="false" outlineLevel="0" collapsed="false">
      <c r="A1830" s="41"/>
      <c r="B1830" s="5" t="n">
        <f aca="false">IF(A1830="",0,IFERROR(MATCH(A1830,Bank!$A:$A,0),0))</f>
        <v>0</v>
      </c>
      <c r="C1830" s="5" t="str">
        <f aca="false">IF(B1830=0,"",IF(INDEX(Bank!$G:$G,B1830)="","",INDEX(Bank!$G:$G,B1830)))</f>
        <v/>
      </c>
      <c r="D1830" s="5" t="str">
        <f aca="false">IF(B1830=0,"",IF(INDEX(Bank!$J:$J,B1830)="","",INDEX(Bank!$J:$J,B1830)))</f>
        <v/>
      </c>
      <c r="E1830" s="32" t="str">
        <f aca="false">IF(B1830=0,"",INDEX(Bank!$B:$B,B1830))</f>
        <v/>
      </c>
      <c r="F1830" s="5" t="str">
        <f aca="false">IF(B1830=0,"",IF(INDEX(Bank!$C:$C,B1830)="","",INDEX(Bank!$C:$C,B1830)))</f>
        <v/>
      </c>
      <c r="G1830" s="19" t="str">
        <f aca="false">IF(B1830=0,"",INDEX(Bank!$E:$E,B1830))</f>
        <v/>
      </c>
      <c r="H1830" s="5" t="str">
        <f aca="false">IF(B1830=0,"",IF(INDEX(Bank!$H:$H,B1830)="","",INDEX(Bank!$H:$H,B1830)))</f>
        <v/>
      </c>
      <c r="I1830" s="5" t="n">
        <f aca="false">IF(H1830="",0,IFERROR(MATCH(H1830,GL!$A:$A,0),0))</f>
        <v>0</v>
      </c>
      <c r="J1830" s="32" t="str">
        <f aca="false">IF(I1830=0,"",INDEX(GL!$B:$B,I1830))</f>
        <v/>
      </c>
      <c r="K1830" s="5" t="str">
        <f aca="false">IF(I1830=0,"",IF(INDEX(GL!$C:$C,I1830)="","",INDEX(GL!$C:$C,I1830)))</f>
        <v/>
      </c>
      <c r="L1830" s="19" t="str">
        <f aca="false">IF(I1830=0,"",INDEX(GL!$E:$E,I1830))</f>
        <v/>
      </c>
      <c r="M1830" s="19" t="str">
        <f aca="false">IF(OR(B1830=0,I1830=0),"",ROUND(G1830-L1830,2))</f>
        <v/>
      </c>
      <c r="N1830" s="5" t="str">
        <f aca="false">IF(A1830="","",IF(B1830=0,"NOT FOUND: bank ID",IF(I1830=0,"NOT FOUND: GL ID",IF(INDEX(GL!$H:$H,I1830)&lt;&gt;A1830,"BROKEN: GL points elsewhere",IF(OR(INDEX(Bank!$F:$F,B1830)&lt;&gt;"Y",INDEX(GL!$F:$F,I1830)&lt;&gt;"Y"),"BROKEN: Status not Y","OK")))))</f>
        <v/>
      </c>
    </row>
    <row r="1831" customFormat="false" ht="15" hidden="false" customHeight="false" outlineLevel="0" collapsed="false">
      <c r="A1831" s="41"/>
      <c r="B1831" s="5" t="n">
        <f aca="false">IF(A1831="",0,IFERROR(MATCH(A1831,Bank!$A:$A,0),0))</f>
        <v>0</v>
      </c>
      <c r="C1831" s="5" t="str">
        <f aca="false">IF(B1831=0,"",IF(INDEX(Bank!$G:$G,B1831)="","",INDEX(Bank!$G:$G,B1831)))</f>
        <v/>
      </c>
      <c r="D1831" s="5" t="str">
        <f aca="false">IF(B1831=0,"",IF(INDEX(Bank!$J:$J,B1831)="","",INDEX(Bank!$J:$J,B1831)))</f>
        <v/>
      </c>
      <c r="E1831" s="32" t="str">
        <f aca="false">IF(B1831=0,"",INDEX(Bank!$B:$B,B1831))</f>
        <v/>
      </c>
      <c r="F1831" s="5" t="str">
        <f aca="false">IF(B1831=0,"",IF(INDEX(Bank!$C:$C,B1831)="","",INDEX(Bank!$C:$C,B1831)))</f>
        <v/>
      </c>
      <c r="G1831" s="19" t="str">
        <f aca="false">IF(B1831=0,"",INDEX(Bank!$E:$E,B1831))</f>
        <v/>
      </c>
      <c r="H1831" s="5" t="str">
        <f aca="false">IF(B1831=0,"",IF(INDEX(Bank!$H:$H,B1831)="","",INDEX(Bank!$H:$H,B1831)))</f>
        <v/>
      </c>
      <c r="I1831" s="5" t="n">
        <f aca="false">IF(H1831="",0,IFERROR(MATCH(H1831,GL!$A:$A,0),0))</f>
        <v>0</v>
      </c>
      <c r="J1831" s="32" t="str">
        <f aca="false">IF(I1831=0,"",INDEX(GL!$B:$B,I1831))</f>
        <v/>
      </c>
      <c r="K1831" s="5" t="str">
        <f aca="false">IF(I1831=0,"",IF(INDEX(GL!$C:$C,I1831)="","",INDEX(GL!$C:$C,I1831)))</f>
        <v/>
      </c>
      <c r="L1831" s="19" t="str">
        <f aca="false">IF(I1831=0,"",INDEX(GL!$E:$E,I1831))</f>
        <v/>
      </c>
      <c r="M1831" s="19" t="str">
        <f aca="false">IF(OR(B1831=0,I1831=0),"",ROUND(G1831-L1831,2))</f>
        <v/>
      </c>
      <c r="N1831" s="5" t="str">
        <f aca="false">IF(A1831="","",IF(B1831=0,"NOT FOUND: bank ID",IF(I1831=0,"NOT FOUND: GL ID",IF(INDEX(GL!$H:$H,I1831)&lt;&gt;A1831,"BROKEN: GL points elsewhere",IF(OR(INDEX(Bank!$F:$F,B1831)&lt;&gt;"Y",INDEX(GL!$F:$F,I1831)&lt;&gt;"Y"),"BROKEN: Status not Y","OK")))))</f>
        <v/>
      </c>
    </row>
    <row r="1832" customFormat="false" ht="15" hidden="false" customHeight="false" outlineLevel="0" collapsed="false">
      <c r="A1832" s="41"/>
      <c r="B1832" s="5" t="n">
        <f aca="false">IF(A1832="",0,IFERROR(MATCH(A1832,Bank!$A:$A,0),0))</f>
        <v>0</v>
      </c>
      <c r="C1832" s="5" t="str">
        <f aca="false">IF(B1832=0,"",IF(INDEX(Bank!$G:$G,B1832)="","",INDEX(Bank!$G:$G,B1832)))</f>
        <v/>
      </c>
      <c r="D1832" s="5" t="str">
        <f aca="false">IF(B1832=0,"",IF(INDEX(Bank!$J:$J,B1832)="","",INDEX(Bank!$J:$J,B1832)))</f>
        <v/>
      </c>
      <c r="E1832" s="32" t="str">
        <f aca="false">IF(B1832=0,"",INDEX(Bank!$B:$B,B1832))</f>
        <v/>
      </c>
      <c r="F1832" s="5" t="str">
        <f aca="false">IF(B1832=0,"",IF(INDEX(Bank!$C:$C,B1832)="","",INDEX(Bank!$C:$C,B1832)))</f>
        <v/>
      </c>
      <c r="G1832" s="19" t="str">
        <f aca="false">IF(B1832=0,"",INDEX(Bank!$E:$E,B1832))</f>
        <v/>
      </c>
      <c r="H1832" s="5" t="str">
        <f aca="false">IF(B1832=0,"",IF(INDEX(Bank!$H:$H,B1832)="","",INDEX(Bank!$H:$H,B1832)))</f>
        <v/>
      </c>
      <c r="I1832" s="5" t="n">
        <f aca="false">IF(H1832="",0,IFERROR(MATCH(H1832,GL!$A:$A,0),0))</f>
        <v>0</v>
      </c>
      <c r="J1832" s="32" t="str">
        <f aca="false">IF(I1832=0,"",INDEX(GL!$B:$B,I1832))</f>
        <v/>
      </c>
      <c r="K1832" s="5" t="str">
        <f aca="false">IF(I1832=0,"",IF(INDEX(GL!$C:$C,I1832)="","",INDEX(GL!$C:$C,I1832)))</f>
        <v/>
      </c>
      <c r="L1832" s="19" t="str">
        <f aca="false">IF(I1832=0,"",INDEX(GL!$E:$E,I1832))</f>
        <v/>
      </c>
      <c r="M1832" s="19" t="str">
        <f aca="false">IF(OR(B1832=0,I1832=0),"",ROUND(G1832-L1832,2))</f>
        <v/>
      </c>
      <c r="N1832" s="5" t="str">
        <f aca="false">IF(A1832="","",IF(B1832=0,"NOT FOUND: bank ID",IF(I1832=0,"NOT FOUND: GL ID",IF(INDEX(GL!$H:$H,I1832)&lt;&gt;A1832,"BROKEN: GL points elsewhere",IF(OR(INDEX(Bank!$F:$F,B1832)&lt;&gt;"Y",INDEX(GL!$F:$F,I1832)&lt;&gt;"Y"),"BROKEN: Status not Y","OK")))))</f>
        <v/>
      </c>
    </row>
    <row r="1833" customFormat="false" ht="15" hidden="false" customHeight="false" outlineLevel="0" collapsed="false">
      <c r="A1833" s="41"/>
      <c r="B1833" s="5" t="n">
        <f aca="false">IF(A1833="",0,IFERROR(MATCH(A1833,Bank!$A:$A,0),0))</f>
        <v>0</v>
      </c>
      <c r="C1833" s="5" t="str">
        <f aca="false">IF(B1833=0,"",IF(INDEX(Bank!$G:$G,B1833)="","",INDEX(Bank!$G:$G,B1833)))</f>
        <v/>
      </c>
      <c r="D1833" s="5" t="str">
        <f aca="false">IF(B1833=0,"",IF(INDEX(Bank!$J:$J,B1833)="","",INDEX(Bank!$J:$J,B1833)))</f>
        <v/>
      </c>
      <c r="E1833" s="32" t="str">
        <f aca="false">IF(B1833=0,"",INDEX(Bank!$B:$B,B1833))</f>
        <v/>
      </c>
      <c r="F1833" s="5" t="str">
        <f aca="false">IF(B1833=0,"",IF(INDEX(Bank!$C:$C,B1833)="","",INDEX(Bank!$C:$C,B1833)))</f>
        <v/>
      </c>
      <c r="G1833" s="19" t="str">
        <f aca="false">IF(B1833=0,"",INDEX(Bank!$E:$E,B1833))</f>
        <v/>
      </c>
      <c r="H1833" s="5" t="str">
        <f aca="false">IF(B1833=0,"",IF(INDEX(Bank!$H:$H,B1833)="","",INDEX(Bank!$H:$H,B1833)))</f>
        <v/>
      </c>
      <c r="I1833" s="5" t="n">
        <f aca="false">IF(H1833="",0,IFERROR(MATCH(H1833,GL!$A:$A,0),0))</f>
        <v>0</v>
      </c>
      <c r="J1833" s="32" t="str">
        <f aca="false">IF(I1833=0,"",INDEX(GL!$B:$B,I1833))</f>
        <v/>
      </c>
      <c r="K1833" s="5" t="str">
        <f aca="false">IF(I1833=0,"",IF(INDEX(GL!$C:$C,I1833)="","",INDEX(GL!$C:$C,I1833)))</f>
        <v/>
      </c>
      <c r="L1833" s="19" t="str">
        <f aca="false">IF(I1833=0,"",INDEX(GL!$E:$E,I1833))</f>
        <v/>
      </c>
      <c r="M1833" s="19" t="str">
        <f aca="false">IF(OR(B1833=0,I1833=0),"",ROUND(G1833-L1833,2))</f>
        <v/>
      </c>
      <c r="N1833" s="5" t="str">
        <f aca="false">IF(A1833="","",IF(B1833=0,"NOT FOUND: bank ID",IF(I1833=0,"NOT FOUND: GL ID",IF(INDEX(GL!$H:$H,I1833)&lt;&gt;A1833,"BROKEN: GL points elsewhere",IF(OR(INDEX(Bank!$F:$F,B1833)&lt;&gt;"Y",INDEX(GL!$F:$F,I1833)&lt;&gt;"Y"),"BROKEN: Status not Y","OK")))))</f>
        <v/>
      </c>
    </row>
    <row r="1834" customFormat="false" ht="15" hidden="false" customHeight="false" outlineLevel="0" collapsed="false">
      <c r="A1834" s="41"/>
      <c r="B1834" s="5" t="n">
        <f aca="false">IF(A1834="",0,IFERROR(MATCH(A1834,Bank!$A:$A,0),0))</f>
        <v>0</v>
      </c>
      <c r="C1834" s="5" t="str">
        <f aca="false">IF(B1834=0,"",IF(INDEX(Bank!$G:$G,B1834)="","",INDEX(Bank!$G:$G,B1834)))</f>
        <v/>
      </c>
      <c r="D1834" s="5" t="str">
        <f aca="false">IF(B1834=0,"",IF(INDEX(Bank!$J:$J,B1834)="","",INDEX(Bank!$J:$J,B1834)))</f>
        <v/>
      </c>
      <c r="E1834" s="32" t="str">
        <f aca="false">IF(B1834=0,"",INDEX(Bank!$B:$B,B1834))</f>
        <v/>
      </c>
      <c r="F1834" s="5" t="str">
        <f aca="false">IF(B1834=0,"",IF(INDEX(Bank!$C:$C,B1834)="","",INDEX(Bank!$C:$C,B1834)))</f>
        <v/>
      </c>
      <c r="G1834" s="19" t="str">
        <f aca="false">IF(B1834=0,"",INDEX(Bank!$E:$E,B1834))</f>
        <v/>
      </c>
      <c r="H1834" s="5" t="str">
        <f aca="false">IF(B1834=0,"",IF(INDEX(Bank!$H:$H,B1834)="","",INDEX(Bank!$H:$H,B1834)))</f>
        <v/>
      </c>
      <c r="I1834" s="5" t="n">
        <f aca="false">IF(H1834="",0,IFERROR(MATCH(H1834,GL!$A:$A,0),0))</f>
        <v>0</v>
      </c>
      <c r="J1834" s="32" t="str">
        <f aca="false">IF(I1834=0,"",INDEX(GL!$B:$B,I1834))</f>
        <v/>
      </c>
      <c r="K1834" s="5" t="str">
        <f aca="false">IF(I1834=0,"",IF(INDEX(GL!$C:$C,I1834)="","",INDEX(GL!$C:$C,I1834)))</f>
        <v/>
      </c>
      <c r="L1834" s="19" t="str">
        <f aca="false">IF(I1834=0,"",INDEX(GL!$E:$E,I1834))</f>
        <v/>
      </c>
      <c r="M1834" s="19" t="str">
        <f aca="false">IF(OR(B1834=0,I1834=0),"",ROUND(G1834-L1834,2))</f>
        <v/>
      </c>
      <c r="N1834" s="5" t="str">
        <f aca="false">IF(A1834="","",IF(B1834=0,"NOT FOUND: bank ID",IF(I1834=0,"NOT FOUND: GL ID",IF(INDEX(GL!$H:$H,I1834)&lt;&gt;A1834,"BROKEN: GL points elsewhere",IF(OR(INDEX(Bank!$F:$F,B1834)&lt;&gt;"Y",INDEX(GL!$F:$F,I1834)&lt;&gt;"Y"),"BROKEN: Status not Y","OK")))))</f>
        <v/>
      </c>
    </row>
    <row r="1835" customFormat="false" ht="15" hidden="false" customHeight="false" outlineLevel="0" collapsed="false">
      <c r="A1835" s="41"/>
      <c r="B1835" s="5" t="n">
        <f aca="false">IF(A1835="",0,IFERROR(MATCH(A1835,Bank!$A:$A,0),0))</f>
        <v>0</v>
      </c>
      <c r="C1835" s="5" t="str">
        <f aca="false">IF(B1835=0,"",IF(INDEX(Bank!$G:$G,B1835)="","",INDEX(Bank!$G:$G,B1835)))</f>
        <v/>
      </c>
      <c r="D1835" s="5" t="str">
        <f aca="false">IF(B1835=0,"",IF(INDEX(Bank!$J:$J,B1835)="","",INDEX(Bank!$J:$J,B1835)))</f>
        <v/>
      </c>
      <c r="E1835" s="32" t="str">
        <f aca="false">IF(B1835=0,"",INDEX(Bank!$B:$B,B1835))</f>
        <v/>
      </c>
      <c r="F1835" s="5" t="str">
        <f aca="false">IF(B1835=0,"",IF(INDEX(Bank!$C:$C,B1835)="","",INDEX(Bank!$C:$C,B1835)))</f>
        <v/>
      </c>
      <c r="G1835" s="19" t="str">
        <f aca="false">IF(B1835=0,"",INDEX(Bank!$E:$E,B1835))</f>
        <v/>
      </c>
      <c r="H1835" s="5" t="str">
        <f aca="false">IF(B1835=0,"",IF(INDEX(Bank!$H:$H,B1835)="","",INDEX(Bank!$H:$H,B1835)))</f>
        <v/>
      </c>
      <c r="I1835" s="5" t="n">
        <f aca="false">IF(H1835="",0,IFERROR(MATCH(H1835,GL!$A:$A,0),0))</f>
        <v>0</v>
      </c>
      <c r="J1835" s="32" t="str">
        <f aca="false">IF(I1835=0,"",INDEX(GL!$B:$B,I1835))</f>
        <v/>
      </c>
      <c r="K1835" s="5" t="str">
        <f aca="false">IF(I1835=0,"",IF(INDEX(GL!$C:$C,I1835)="","",INDEX(GL!$C:$C,I1835)))</f>
        <v/>
      </c>
      <c r="L1835" s="19" t="str">
        <f aca="false">IF(I1835=0,"",INDEX(GL!$E:$E,I1835))</f>
        <v/>
      </c>
      <c r="M1835" s="19" t="str">
        <f aca="false">IF(OR(B1835=0,I1835=0),"",ROUND(G1835-L1835,2))</f>
        <v/>
      </c>
      <c r="N1835" s="5" t="str">
        <f aca="false">IF(A1835="","",IF(B1835=0,"NOT FOUND: bank ID",IF(I1835=0,"NOT FOUND: GL ID",IF(INDEX(GL!$H:$H,I1835)&lt;&gt;A1835,"BROKEN: GL points elsewhere",IF(OR(INDEX(Bank!$F:$F,B1835)&lt;&gt;"Y",INDEX(GL!$F:$F,I1835)&lt;&gt;"Y"),"BROKEN: Status not Y","OK")))))</f>
        <v/>
      </c>
    </row>
    <row r="1836" customFormat="false" ht="15" hidden="false" customHeight="false" outlineLevel="0" collapsed="false">
      <c r="A1836" s="41"/>
      <c r="B1836" s="5" t="n">
        <f aca="false">IF(A1836="",0,IFERROR(MATCH(A1836,Bank!$A:$A,0),0))</f>
        <v>0</v>
      </c>
      <c r="C1836" s="5" t="str">
        <f aca="false">IF(B1836=0,"",IF(INDEX(Bank!$G:$G,B1836)="","",INDEX(Bank!$G:$G,B1836)))</f>
        <v/>
      </c>
      <c r="D1836" s="5" t="str">
        <f aca="false">IF(B1836=0,"",IF(INDEX(Bank!$J:$J,B1836)="","",INDEX(Bank!$J:$J,B1836)))</f>
        <v/>
      </c>
      <c r="E1836" s="32" t="str">
        <f aca="false">IF(B1836=0,"",INDEX(Bank!$B:$B,B1836))</f>
        <v/>
      </c>
      <c r="F1836" s="5" t="str">
        <f aca="false">IF(B1836=0,"",IF(INDEX(Bank!$C:$C,B1836)="","",INDEX(Bank!$C:$C,B1836)))</f>
        <v/>
      </c>
      <c r="G1836" s="19" t="str">
        <f aca="false">IF(B1836=0,"",INDEX(Bank!$E:$E,B1836))</f>
        <v/>
      </c>
      <c r="H1836" s="5" t="str">
        <f aca="false">IF(B1836=0,"",IF(INDEX(Bank!$H:$H,B1836)="","",INDEX(Bank!$H:$H,B1836)))</f>
        <v/>
      </c>
      <c r="I1836" s="5" t="n">
        <f aca="false">IF(H1836="",0,IFERROR(MATCH(H1836,GL!$A:$A,0),0))</f>
        <v>0</v>
      </c>
      <c r="J1836" s="32" t="str">
        <f aca="false">IF(I1836=0,"",INDEX(GL!$B:$B,I1836))</f>
        <v/>
      </c>
      <c r="K1836" s="5" t="str">
        <f aca="false">IF(I1836=0,"",IF(INDEX(GL!$C:$C,I1836)="","",INDEX(GL!$C:$C,I1836)))</f>
        <v/>
      </c>
      <c r="L1836" s="19" t="str">
        <f aca="false">IF(I1836=0,"",INDEX(GL!$E:$E,I1836))</f>
        <v/>
      </c>
      <c r="M1836" s="19" t="str">
        <f aca="false">IF(OR(B1836=0,I1836=0),"",ROUND(G1836-L1836,2))</f>
        <v/>
      </c>
      <c r="N1836" s="5" t="str">
        <f aca="false">IF(A1836="","",IF(B1836=0,"NOT FOUND: bank ID",IF(I1836=0,"NOT FOUND: GL ID",IF(INDEX(GL!$H:$H,I1836)&lt;&gt;A1836,"BROKEN: GL points elsewhere",IF(OR(INDEX(Bank!$F:$F,B1836)&lt;&gt;"Y",INDEX(GL!$F:$F,I1836)&lt;&gt;"Y"),"BROKEN: Status not Y","OK")))))</f>
        <v/>
      </c>
    </row>
    <row r="1837" customFormat="false" ht="15" hidden="false" customHeight="false" outlineLevel="0" collapsed="false">
      <c r="A1837" s="41"/>
      <c r="B1837" s="5" t="n">
        <f aca="false">IF(A1837="",0,IFERROR(MATCH(A1837,Bank!$A:$A,0),0))</f>
        <v>0</v>
      </c>
      <c r="C1837" s="5" t="str">
        <f aca="false">IF(B1837=0,"",IF(INDEX(Bank!$G:$G,B1837)="","",INDEX(Bank!$G:$G,B1837)))</f>
        <v/>
      </c>
      <c r="D1837" s="5" t="str">
        <f aca="false">IF(B1837=0,"",IF(INDEX(Bank!$J:$J,B1837)="","",INDEX(Bank!$J:$J,B1837)))</f>
        <v/>
      </c>
      <c r="E1837" s="32" t="str">
        <f aca="false">IF(B1837=0,"",INDEX(Bank!$B:$B,B1837))</f>
        <v/>
      </c>
      <c r="F1837" s="5" t="str">
        <f aca="false">IF(B1837=0,"",IF(INDEX(Bank!$C:$C,B1837)="","",INDEX(Bank!$C:$C,B1837)))</f>
        <v/>
      </c>
      <c r="G1837" s="19" t="str">
        <f aca="false">IF(B1837=0,"",INDEX(Bank!$E:$E,B1837))</f>
        <v/>
      </c>
      <c r="H1837" s="5" t="str">
        <f aca="false">IF(B1837=0,"",IF(INDEX(Bank!$H:$H,B1837)="","",INDEX(Bank!$H:$H,B1837)))</f>
        <v/>
      </c>
      <c r="I1837" s="5" t="n">
        <f aca="false">IF(H1837="",0,IFERROR(MATCH(H1837,GL!$A:$A,0),0))</f>
        <v>0</v>
      </c>
      <c r="J1837" s="32" t="str">
        <f aca="false">IF(I1837=0,"",INDEX(GL!$B:$B,I1837))</f>
        <v/>
      </c>
      <c r="K1837" s="5" t="str">
        <f aca="false">IF(I1837=0,"",IF(INDEX(GL!$C:$C,I1837)="","",INDEX(GL!$C:$C,I1837)))</f>
        <v/>
      </c>
      <c r="L1837" s="19" t="str">
        <f aca="false">IF(I1837=0,"",INDEX(GL!$E:$E,I1837))</f>
        <v/>
      </c>
      <c r="M1837" s="19" t="str">
        <f aca="false">IF(OR(B1837=0,I1837=0),"",ROUND(G1837-L1837,2))</f>
        <v/>
      </c>
      <c r="N1837" s="5" t="str">
        <f aca="false">IF(A1837="","",IF(B1837=0,"NOT FOUND: bank ID",IF(I1837=0,"NOT FOUND: GL ID",IF(INDEX(GL!$H:$H,I1837)&lt;&gt;A1837,"BROKEN: GL points elsewhere",IF(OR(INDEX(Bank!$F:$F,B1837)&lt;&gt;"Y",INDEX(GL!$F:$F,I1837)&lt;&gt;"Y"),"BROKEN: Status not Y","OK")))))</f>
        <v/>
      </c>
    </row>
    <row r="1838" customFormat="false" ht="15" hidden="false" customHeight="false" outlineLevel="0" collapsed="false">
      <c r="A1838" s="41"/>
      <c r="B1838" s="5" t="n">
        <f aca="false">IF(A1838="",0,IFERROR(MATCH(A1838,Bank!$A:$A,0),0))</f>
        <v>0</v>
      </c>
      <c r="C1838" s="5" t="str">
        <f aca="false">IF(B1838=0,"",IF(INDEX(Bank!$G:$G,B1838)="","",INDEX(Bank!$G:$G,B1838)))</f>
        <v/>
      </c>
      <c r="D1838" s="5" t="str">
        <f aca="false">IF(B1838=0,"",IF(INDEX(Bank!$J:$J,B1838)="","",INDEX(Bank!$J:$J,B1838)))</f>
        <v/>
      </c>
      <c r="E1838" s="32" t="str">
        <f aca="false">IF(B1838=0,"",INDEX(Bank!$B:$B,B1838))</f>
        <v/>
      </c>
      <c r="F1838" s="5" t="str">
        <f aca="false">IF(B1838=0,"",IF(INDEX(Bank!$C:$C,B1838)="","",INDEX(Bank!$C:$C,B1838)))</f>
        <v/>
      </c>
      <c r="G1838" s="19" t="str">
        <f aca="false">IF(B1838=0,"",INDEX(Bank!$E:$E,B1838))</f>
        <v/>
      </c>
      <c r="H1838" s="5" t="str">
        <f aca="false">IF(B1838=0,"",IF(INDEX(Bank!$H:$H,B1838)="","",INDEX(Bank!$H:$H,B1838)))</f>
        <v/>
      </c>
      <c r="I1838" s="5" t="n">
        <f aca="false">IF(H1838="",0,IFERROR(MATCH(H1838,GL!$A:$A,0),0))</f>
        <v>0</v>
      </c>
      <c r="J1838" s="32" t="str">
        <f aca="false">IF(I1838=0,"",INDEX(GL!$B:$B,I1838))</f>
        <v/>
      </c>
      <c r="K1838" s="5" t="str">
        <f aca="false">IF(I1838=0,"",IF(INDEX(GL!$C:$C,I1838)="","",INDEX(GL!$C:$C,I1838)))</f>
        <v/>
      </c>
      <c r="L1838" s="19" t="str">
        <f aca="false">IF(I1838=0,"",INDEX(GL!$E:$E,I1838))</f>
        <v/>
      </c>
      <c r="M1838" s="19" t="str">
        <f aca="false">IF(OR(B1838=0,I1838=0),"",ROUND(G1838-L1838,2))</f>
        <v/>
      </c>
      <c r="N1838" s="5" t="str">
        <f aca="false">IF(A1838="","",IF(B1838=0,"NOT FOUND: bank ID",IF(I1838=0,"NOT FOUND: GL ID",IF(INDEX(GL!$H:$H,I1838)&lt;&gt;A1838,"BROKEN: GL points elsewhere",IF(OR(INDEX(Bank!$F:$F,B1838)&lt;&gt;"Y",INDEX(GL!$F:$F,I1838)&lt;&gt;"Y"),"BROKEN: Status not Y","OK")))))</f>
        <v/>
      </c>
    </row>
    <row r="1839" customFormat="false" ht="15" hidden="false" customHeight="false" outlineLevel="0" collapsed="false">
      <c r="A1839" s="41"/>
      <c r="B1839" s="5" t="n">
        <f aca="false">IF(A1839="",0,IFERROR(MATCH(A1839,Bank!$A:$A,0),0))</f>
        <v>0</v>
      </c>
      <c r="C1839" s="5" t="str">
        <f aca="false">IF(B1839=0,"",IF(INDEX(Bank!$G:$G,B1839)="","",INDEX(Bank!$G:$G,B1839)))</f>
        <v/>
      </c>
      <c r="D1839" s="5" t="str">
        <f aca="false">IF(B1839=0,"",IF(INDEX(Bank!$J:$J,B1839)="","",INDEX(Bank!$J:$J,B1839)))</f>
        <v/>
      </c>
      <c r="E1839" s="32" t="str">
        <f aca="false">IF(B1839=0,"",INDEX(Bank!$B:$B,B1839))</f>
        <v/>
      </c>
      <c r="F1839" s="5" t="str">
        <f aca="false">IF(B1839=0,"",IF(INDEX(Bank!$C:$C,B1839)="","",INDEX(Bank!$C:$C,B1839)))</f>
        <v/>
      </c>
      <c r="G1839" s="19" t="str">
        <f aca="false">IF(B1839=0,"",INDEX(Bank!$E:$E,B1839))</f>
        <v/>
      </c>
      <c r="H1839" s="5" t="str">
        <f aca="false">IF(B1839=0,"",IF(INDEX(Bank!$H:$H,B1839)="","",INDEX(Bank!$H:$H,B1839)))</f>
        <v/>
      </c>
      <c r="I1839" s="5" t="n">
        <f aca="false">IF(H1839="",0,IFERROR(MATCH(H1839,GL!$A:$A,0),0))</f>
        <v>0</v>
      </c>
      <c r="J1839" s="32" t="str">
        <f aca="false">IF(I1839=0,"",INDEX(GL!$B:$B,I1839))</f>
        <v/>
      </c>
      <c r="K1839" s="5" t="str">
        <f aca="false">IF(I1839=0,"",IF(INDEX(GL!$C:$C,I1839)="","",INDEX(GL!$C:$C,I1839)))</f>
        <v/>
      </c>
      <c r="L1839" s="19" t="str">
        <f aca="false">IF(I1839=0,"",INDEX(GL!$E:$E,I1839))</f>
        <v/>
      </c>
      <c r="M1839" s="19" t="str">
        <f aca="false">IF(OR(B1839=0,I1839=0),"",ROUND(G1839-L1839,2))</f>
        <v/>
      </c>
      <c r="N1839" s="5" t="str">
        <f aca="false">IF(A1839="","",IF(B1839=0,"NOT FOUND: bank ID",IF(I1839=0,"NOT FOUND: GL ID",IF(INDEX(GL!$H:$H,I1839)&lt;&gt;A1839,"BROKEN: GL points elsewhere",IF(OR(INDEX(Bank!$F:$F,B1839)&lt;&gt;"Y",INDEX(GL!$F:$F,I1839)&lt;&gt;"Y"),"BROKEN: Status not Y","OK")))))</f>
        <v/>
      </c>
    </row>
    <row r="1840" customFormat="false" ht="15" hidden="false" customHeight="false" outlineLevel="0" collapsed="false">
      <c r="A1840" s="41"/>
      <c r="B1840" s="5" t="n">
        <f aca="false">IF(A1840="",0,IFERROR(MATCH(A1840,Bank!$A:$A,0),0))</f>
        <v>0</v>
      </c>
      <c r="C1840" s="5" t="str">
        <f aca="false">IF(B1840=0,"",IF(INDEX(Bank!$G:$G,B1840)="","",INDEX(Bank!$G:$G,B1840)))</f>
        <v/>
      </c>
      <c r="D1840" s="5" t="str">
        <f aca="false">IF(B1840=0,"",IF(INDEX(Bank!$J:$J,B1840)="","",INDEX(Bank!$J:$J,B1840)))</f>
        <v/>
      </c>
      <c r="E1840" s="32" t="str">
        <f aca="false">IF(B1840=0,"",INDEX(Bank!$B:$B,B1840))</f>
        <v/>
      </c>
      <c r="F1840" s="5" t="str">
        <f aca="false">IF(B1840=0,"",IF(INDEX(Bank!$C:$C,B1840)="","",INDEX(Bank!$C:$C,B1840)))</f>
        <v/>
      </c>
      <c r="G1840" s="19" t="str">
        <f aca="false">IF(B1840=0,"",INDEX(Bank!$E:$E,B1840))</f>
        <v/>
      </c>
      <c r="H1840" s="5" t="str">
        <f aca="false">IF(B1840=0,"",IF(INDEX(Bank!$H:$H,B1840)="","",INDEX(Bank!$H:$H,B1840)))</f>
        <v/>
      </c>
      <c r="I1840" s="5" t="n">
        <f aca="false">IF(H1840="",0,IFERROR(MATCH(H1840,GL!$A:$A,0),0))</f>
        <v>0</v>
      </c>
      <c r="J1840" s="32" t="str">
        <f aca="false">IF(I1840=0,"",INDEX(GL!$B:$B,I1840))</f>
        <v/>
      </c>
      <c r="K1840" s="5" t="str">
        <f aca="false">IF(I1840=0,"",IF(INDEX(GL!$C:$C,I1840)="","",INDEX(GL!$C:$C,I1840)))</f>
        <v/>
      </c>
      <c r="L1840" s="19" t="str">
        <f aca="false">IF(I1840=0,"",INDEX(GL!$E:$E,I1840))</f>
        <v/>
      </c>
      <c r="M1840" s="19" t="str">
        <f aca="false">IF(OR(B1840=0,I1840=0),"",ROUND(G1840-L1840,2))</f>
        <v/>
      </c>
      <c r="N1840" s="5" t="str">
        <f aca="false">IF(A1840="","",IF(B1840=0,"NOT FOUND: bank ID",IF(I1840=0,"NOT FOUND: GL ID",IF(INDEX(GL!$H:$H,I1840)&lt;&gt;A1840,"BROKEN: GL points elsewhere",IF(OR(INDEX(Bank!$F:$F,B1840)&lt;&gt;"Y",INDEX(GL!$F:$F,I1840)&lt;&gt;"Y"),"BROKEN: Status not Y","OK")))))</f>
        <v/>
      </c>
    </row>
    <row r="1841" customFormat="false" ht="15" hidden="false" customHeight="false" outlineLevel="0" collapsed="false">
      <c r="A1841" s="41"/>
      <c r="B1841" s="5" t="n">
        <f aca="false">IF(A1841="",0,IFERROR(MATCH(A1841,Bank!$A:$A,0),0))</f>
        <v>0</v>
      </c>
      <c r="C1841" s="5" t="str">
        <f aca="false">IF(B1841=0,"",IF(INDEX(Bank!$G:$G,B1841)="","",INDEX(Bank!$G:$G,B1841)))</f>
        <v/>
      </c>
      <c r="D1841" s="5" t="str">
        <f aca="false">IF(B1841=0,"",IF(INDEX(Bank!$J:$J,B1841)="","",INDEX(Bank!$J:$J,B1841)))</f>
        <v/>
      </c>
      <c r="E1841" s="32" t="str">
        <f aca="false">IF(B1841=0,"",INDEX(Bank!$B:$B,B1841))</f>
        <v/>
      </c>
      <c r="F1841" s="5" t="str">
        <f aca="false">IF(B1841=0,"",IF(INDEX(Bank!$C:$C,B1841)="","",INDEX(Bank!$C:$C,B1841)))</f>
        <v/>
      </c>
      <c r="G1841" s="19" t="str">
        <f aca="false">IF(B1841=0,"",INDEX(Bank!$E:$E,B1841))</f>
        <v/>
      </c>
      <c r="H1841" s="5" t="str">
        <f aca="false">IF(B1841=0,"",IF(INDEX(Bank!$H:$H,B1841)="","",INDEX(Bank!$H:$H,B1841)))</f>
        <v/>
      </c>
      <c r="I1841" s="5" t="n">
        <f aca="false">IF(H1841="",0,IFERROR(MATCH(H1841,GL!$A:$A,0),0))</f>
        <v>0</v>
      </c>
      <c r="J1841" s="32" t="str">
        <f aca="false">IF(I1841=0,"",INDEX(GL!$B:$B,I1841))</f>
        <v/>
      </c>
      <c r="K1841" s="5" t="str">
        <f aca="false">IF(I1841=0,"",IF(INDEX(GL!$C:$C,I1841)="","",INDEX(GL!$C:$C,I1841)))</f>
        <v/>
      </c>
      <c r="L1841" s="19" t="str">
        <f aca="false">IF(I1841=0,"",INDEX(GL!$E:$E,I1841))</f>
        <v/>
      </c>
      <c r="M1841" s="19" t="str">
        <f aca="false">IF(OR(B1841=0,I1841=0),"",ROUND(G1841-L1841,2))</f>
        <v/>
      </c>
      <c r="N1841" s="5" t="str">
        <f aca="false">IF(A1841="","",IF(B1841=0,"NOT FOUND: bank ID",IF(I1841=0,"NOT FOUND: GL ID",IF(INDEX(GL!$H:$H,I1841)&lt;&gt;A1841,"BROKEN: GL points elsewhere",IF(OR(INDEX(Bank!$F:$F,B1841)&lt;&gt;"Y",INDEX(GL!$F:$F,I1841)&lt;&gt;"Y"),"BROKEN: Status not Y","OK")))))</f>
        <v/>
      </c>
    </row>
    <row r="1842" customFormat="false" ht="15" hidden="false" customHeight="false" outlineLevel="0" collapsed="false">
      <c r="A1842" s="41"/>
      <c r="B1842" s="5" t="n">
        <f aca="false">IF(A1842="",0,IFERROR(MATCH(A1842,Bank!$A:$A,0),0))</f>
        <v>0</v>
      </c>
      <c r="C1842" s="5" t="str">
        <f aca="false">IF(B1842=0,"",IF(INDEX(Bank!$G:$G,B1842)="","",INDEX(Bank!$G:$G,B1842)))</f>
        <v/>
      </c>
      <c r="D1842" s="5" t="str">
        <f aca="false">IF(B1842=0,"",IF(INDEX(Bank!$J:$J,B1842)="","",INDEX(Bank!$J:$J,B1842)))</f>
        <v/>
      </c>
      <c r="E1842" s="32" t="str">
        <f aca="false">IF(B1842=0,"",INDEX(Bank!$B:$B,B1842))</f>
        <v/>
      </c>
      <c r="F1842" s="5" t="str">
        <f aca="false">IF(B1842=0,"",IF(INDEX(Bank!$C:$C,B1842)="","",INDEX(Bank!$C:$C,B1842)))</f>
        <v/>
      </c>
      <c r="G1842" s="19" t="str">
        <f aca="false">IF(B1842=0,"",INDEX(Bank!$E:$E,B1842))</f>
        <v/>
      </c>
      <c r="H1842" s="5" t="str">
        <f aca="false">IF(B1842=0,"",IF(INDEX(Bank!$H:$H,B1842)="","",INDEX(Bank!$H:$H,B1842)))</f>
        <v/>
      </c>
      <c r="I1842" s="5" t="n">
        <f aca="false">IF(H1842="",0,IFERROR(MATCH(H1842,GL!$A:$A,0),0))</f>
        <v>0</v>
      </c>
      <c r="J1842" s="32" t="str">
        <f aca="false">IF(I1842=0,"",INDEX(GL!$B:$B,I1842))</f>
        <v/>
      </c>
      <c r="K1842" s="5" t="str">
        <f aca="false">IF(I1842=0,"",IF(INDEX(GL!$C:$C,I1842)="","",INDEX(GL!$C:$C,I1842)))</f>
        <v/>
      </c>
      <c r="L1842" s="19" t="str">
        <f aca="false">IF(I1842=0,"",INDEX(GL!$E:$E,I1842))</f>
        <v/>
      </c>
      <c r="M1842" s="19" t="str">
        <f aca="false">IF(OR(B1842=0,I1842=0),"",ROUND(G1842-L1842,2))</f>
        <v/>
      </c>
      <c r="N1842" s="5" t="str">
        <f aca="false">IF(A1842="","",IF(B1842=0,"NOT FOUND: bank ID",IF(I1842=0,"NOT FOUND: GL ID",IF(INDEX(GL!$H:$H,I1842)&lt;&gt;A1842,"BROKEN: GL points elsewhere",IF(OR(INDEX(Bank!$F:$F,B1842)&lt;&gt;"Y",INDEX(GL!$F:$F,I1842)&lt;&gt;"Y"),"BROKEN: Status not Y","OK")))))</f>
        <v/>
      </c>
    </row>
    <row r="1843" customFormat="false" ht="15" hidden="false" customHeight="false" outlineLevel="0" collapsed="false">
      <c r="A1843" s="41"/>
      <c r="B1843" s="5" t="n">
        <f aca="false">IF(A1843="",0,IFERROR(MATCH(A1843,Bank!$A:$A,0),0))</f>
        <v>0</v>
      </c>
      <c r="C1843" s="5" t="str">
        <f aca="false">IF(B1843=0,"",IF(INDEX(Bank!$G:$G,B1843)="","",INDEX(Bank!$G:$G,B1843)))</f>
        <v/>
      </c>
      <c r="D1843" s="5" t="str">
        <f aca="false">IF(B1843=0,"",IF(INDEX(Bank!$J:$J,B1843)="","",INDEX(Bank!$J:$J,B1843)))</f>
        <v/>
      </c>
      <c r="E1843" s="32" t="str">
        <f aca="false">IF(B1843=0,"",INDEX(Bank!$B:$B,B1843))</f>
        <v/>
      </c>
      <c r="F1843" s="5" t="str">
        <f aca="false">IF(B1843=0,"",IF(INDEX(Bank!$C:$C,B1843)="","",INDEX(Bank!$C:$C,B1843)))</f>
        <v/>
      </c>
      <c r="G1843" s="19" t="str">
        <f aca="false">IF(B1843=0,"",INDEX(Bank!$E:$E,B1843))</f>
        <v/>
      </c>
      <c r="H1843" s="5" t="str">
        <f aca="false">IF(B1843=0,"",IF(INDEX(Bank!$H:$H,B1843)="","",INDEX(Bank!$H:$H,B1843)))</f>
        <v/>
      </c>
      <c r="I1843" s="5" t="n">
        <f aca="false">IF(H1843="",0,IFERROR(MATCH(H1843,GL!$A:$A,0),0))</f>
        <v>0</v>
      </c>
      <c r="J1843" s="32" t="str">
        <f aca="false">IF(I1843=0,"",INDEX(GL!$B:$B,I1843))</f>
        <v/>
      </c>
      <c r="K1843" s="5" t="str">
        <f aca="false">IF(I1843=0,"",IF(INDEX(GL!$C:$C,I1843)="","",INDEX(GL!$C:$C,I1843)))</f>
        <v/>
      </c>
      <c r="L1843" s="19" t="str">
        <f aca="false">IF(I1843=0,"",INDEX(GL!$E:$E,I1843))</f>
        <v/>
      </c>
      <c r="M1843" s="19" t="str">
        <f aca="false">IF(OR(B1843=0,I1843=0),"",ROUND(G1843-L1843,2))</f>
        <v/>
      </c>
      <c r="N1843" s="5" t="str">
        <f aca="false">IF(A1843="","",IF(B1843=0,"NOT FOUND: bank ID",IF(I1843=0,"NOT FOUND: GL ID",IF(INDEX(GL!$H:$H,I1843)&lt;&gt;A1843,"BROKEN: GL points elsewhere",IF(OR(INDEX(Bank!$F:$F,B1843)&lt;&gt;"Y",INDEX(GL!$F:$F,I1843)&lt;&gt;"Y"),"BROKEN: Status not Y","OK")))))</f>
        <v/>
      </c>
    </row>
    <row r="1844" customFormat="false" ht="15" hidden="false" customHeight="false" outlineLevel="0" collapsed="false">
      <c r="A1844" s="41"/>
      <c r="B1844" s="5" t="n">
        <f aca="false">IF(A1844="",0,IFERROR(MATCH(A1844,Bank!$A:$A,0),0))</f>
        <v>0</v>
      </c>
      <c r="C1844" s="5" t="str">
        <f aca="false">IF(B1844=0,"",IF(INDEX(Bank!$G:$G,B1844)="","",INDEX(Bank!$G:$G,B1844)))</f>
        <v/>
      </c>
      <c r="D1844" s="5" t="str">
        <f aca="false">IF(B1844=0,"",IF(INDEX(Bank!$J:$J,B1844)="","",INDEX(Bank!$J:$J,B1844)))</f>
        <v/>
      </c>
      <c r="E1844" s="32" t="str">
        <f aca="false">IF(B1844=0,"",INDEX(Bank!$B:$B,B1844))</f>
        <v/>
      </c>
      <c r="F1844" s="5" t="str">
        <f aca="false">IF(B1844=0,"",IF(INDEX(Bank!$C:$C,B1844)="","",INDEX(Bank!$C:$C,B1844)))</f>
        <v/>
      </c>
      <c r="G1844" s="19" t="str">
        <f aca="false">IF(B1844=0,"",INDEX(Bank!$E:$E,B1844))</f>
        <v/>
      </c>
      <c r="H1844" s="5" t="str">
        <f aca="false">IF(B1844=0,"",IF(INDEX(Bank!$H:$H,B1844)="","",INDEX(Bank!$H:$H,B1844)))</f>
        <v/>
      </c>
      <c r="I1844" s="5" t="n">
        <f aca="false">IF(H1844="",0,IFERROR(MATCH(H1844,GL!$A:$A,0),0))</f>
        <v>0</v>
      </c>
      <c r="J1844" s="32" t="str">
        <f aca="false">IF(I1844=0,"",INDEX(GL!$B:$B,I1844))</f>
        <v/>
      </c>
      <c r="K1844" s="5" t="str">
        <f aca="false">IF(I1844=0,"",IF(INDEX(GL!$C:$C,I1844)="","",INDEX(GL!$C:$C,I1844)))</f>
        <v/>
      </c>
      <c r="L1844" s="19" t="str">
        <f aca="false">IF(I1844=0,"",INDEX(GL!$E:$E,I1844))</f>
        <v/>
      </c>
      <c r="M1844" s="19" t="str">
        <f aca="false">IF(OR(B1844=0,I1844=0),"",ROUND(G1844-L1844,2))</f>
        <v/>
      </c>
      <c r="N1844" s="5" t="str">
        <f aca="false">IF(A1844="","",IF(B1844=0,"NOT FOUND: bank ID",IF(I1844=0,"NOT FOUND: GL ID",IF(INDEX(GL!$H:$H,I1844)&lt;&gt;A1844,"BROKEN: GL points elsewhere",IF(OR(INDEX(Bank!$F:$F,B1844)&lt;&gt;"Y",INDEX(GL!$F:$F,I1844)&lt;&gt;"Y"),"BROKEN: Status not Y","OK")))))</f>
        <v/>
      </c>
    </row>
    <row r="1845" customFormat="false" ht="15" hidden="false" customHeight="false" outlineLevel="0" collapsed="false">
      <c r="A1845" s="41"/>
      <c r="B1845" s="5" t="n">
        <f aca="false">IF(A1845="",0,IFERROR(MATCH(A1845,Bank!$A:$A,0),0))</f>
        <v>0</v>
      </c>
      <c r="C1845" s="5" t="str">
        <f aca="false">IF(B1845=0,"",IF(INDEX(Bank!$G:$G,B1845)="","",INDEX(Bank!$G:$G,B1845)))</f>
        <v/>
      </c>
      <c r="D1845" s="5" t="str">
        <f aca="false">IF(B1845=0,"",IF(INDEX(Bank!$J:$J,B1845)="","",INDEX(Bank!$J:$J,B1845)))</f>
        <v/>
      </c>
      <c r="E1845" s="32" t="str">
        <f aca="false">IF(B1845=0,"",INDEX(Bank!$B:$B,B1845))</f>
        <v/>
      </c>
      <c r="F1845" s="5" t="str">
        <f aca="false">IF(B1845=0,"",IF(INDEX(Bank!$C:$C,B1845)="","",INDEX(Bank!$C:$C,B1845)))</f>
        <v/>
      </c>
      <c r="G1845" s="19" t="str">
        <f aca="false">IF(B1845=0,"",INDEX(Bank!$E:$E,B1845))</f>
        <v/>
      </c>
      <c r="H1845" s="5" t="str">
        <f aca="false">IF(B1845=0,"",IF(INDEX(Bank!$H:$H,B1845)="","",INDEX(Bank!$H:$H,B1845)))</f>
        <v/>
      </c>
      <c r="I1845" s="5" t="n">
        <f aca="false">IF(H1845="",0,IFERROR(MATCH(H1845,GL!$A:$A,0),0))</f>
        <v>0</v>
      </c>
      <c r="J1845" s="32" t="str">
        <f aca="false">IF(I1845=0,"",INDEX(GL!$B:$B,I1845))</f>
        <v/>
      </c>
      <c r="K1845" s="5" t="str">
        <f aca="false">IF(I1845=0,"",IF(INDEX(GL!$C:$C,I1845)="","",INDEX(GL!$C:$C,I1845)))</f>
        <v/>
      </c>
      <c r="L1845" s="19" t="str">
        <f aca="false">IF(I1845=0,"",INDEX(GL!$E:$E,I1845))</f>
        <v/>
      </c>
      <c r="M1845" s="19" t="str">
        <f aca="false">IF(OR(B1845=0,I1845=0),"",ROUND(G1845-L1845,2))</f>
        <v/>
      </c>
      <c r="N1845" s="5" t="str">
        <f aca="false">IF(A1845="","",IF(B1845=0,"NOT FOUND: bank ID",IF(I1845=0,"NOT FOUND: GL ID",IF(INDEX(GL!$H:$H,I1845)&lt;&gt;A1845,"BROKEN: GL points elsewhere",IF(OR(INDEX(Bank!$F:$F,B1845)&lt;&gt;"Y",INDEX(GL!$F:$F,I1845)&lt;&gt;"Y"),"BROKEN: Status not Y","OK")))))</f>
        <v/>
      </c>
    </row>
    <row r="1846" customFormat="false" ht="15" hidden="false" customHeight="false" outlineLevel="0" collapsed="false">
      <c r="A1846" s="41"/>
      <c r="B1846" s="5" t="n">
        <f aca="false">IF(A1846="",0,IFERROR(MATCH(A1846,Bank!$A:$A,0),0))</f>
        <v>0</v>
      </c>
      <c r="C1846" s="5" t="str">
        <f aca="false">IF(B1846=0,"",IF(INDEX(Bank!$G:$G,B1846)="","",INDEX(Bank!$G:$G,B1846)))</f>
        <v/>
      </c>
      <c r="D1846" s="5" t="str">
        <f aca="false">IF(B1846=0,"",IF(INDEX(Bank!$J:$J,B1846)="","",INDEX(Bank!$J:$J,B1846)))</f>
        <v/>
      </c>
      <c r="E1846" s="32" t="str">
        <f aca="false">IF(B1846=0,"",INDEX(Bank!$B:$B,B1846))</f>
        <v/>
      </c>
      <c r="F1846" s="5" t="str">
        <f aca="false">IF(B1846=0,"",IF(INDEX(Bank!$C:$C,B1846)="","",INDEX(Bank!$C:$C,B1846)))</f>
        <v/>
      </c>
      <c r="G1846" s="19" t="str">
        <f aca="false">IF(B1846=0,"",INDEX(Bank!$E:$E,B1846))</f>
        <v/>
      </c>
      <c r="H1846" s="5" t="str">
        <f aca="false">IF(B1846=0,"",IF(INDEX(Bank!$H:$H,B1846)="","",INDEX(Bank!$H:$H,B1846)))</f>
        <v/>
      </c>
      <c r="I1846" s="5" t="n">
        <f aca="false">IF(H1846="",0,IFERROR(MATCH(H1846,GL!$A:$A,0),0))</f>
        <v>0</v>
      </c>
      <c r="J1846" s="32" t="str">
        <f aca="false">IF(I1846=0,"",INDEX(GL!$B:$B,I1846))</f>
        <v/>
      </c>
      <c r="K1846" s="5" t="str">
        <f aca="false">IF(I1846=0,"",IF(INDEX(GL!$C:$C,I1846)="","",INDEX(GL!$C:$C,I1846)))</f>
        <v/>
      </c>
      <c r="L1846" s="19" t="str">
        <f aca="false">IF(I1846=0,"",INDEX(GL!$E:$E,I1846))</f>
        <v/>
      </c>
      <c r="M1846" s="19" t="str">
        <f aca="false">IF(OR(B1846=0,I1846=0),"",ROUND(G1846-L1846,2))</f>
        <v/>
      </c>
      <c r="N1846" s="5" t="str">
        <f aca="false">IF(A1846="","",IF(B1846=0,"NOT FOUND: bank ID",IF(I1846=0,"NOT FOUND: GL ID",IF(INDEX(GL!$H:$H,I1846)&lt;&gt;A1846,"BROKEN: GL points elsewhere",IF(OR(INDEX(Bank!$F:$F,B1846)&lt;&gt;"Y",INDEX(GL!$F:$F,I1846)&lt;&gt;"Y"),"BROKEN: Status not Y","OK")))))</f>
        <v/>
      </c>
    </row>
    <row r="1847" customFormat="false" ht="15" hidden="false" customHeight="false" outlineLevel="0" collapsed="false">
      <c r="A1847" s="41"/>
      <c r="B1847" s="5" t="n">
        <f aca="false">IF(A1847="",0,IFERROR(MATCH(A1847,Bank!$A:$A,0),0))</f>
        <v>0</v>
      </c>
      <c r="C1847" s="5" t="str">
        <f aca="false">IF(B1847=0,"",IF(INDEX(Bank!$G:$G,B1847)="","",INDEX(Bank!$G:$G,B1847)))</f>
        <v/>
      </c>
      <c r="D1847" s="5" t="str">
        <f aca="false">IF(B1847=0,"",IF(INDEX(Bank!$J:$J,B1847)="","",INDEX(Bank!$J:$J,B1847)))</f>
        <v/>
      </c>
      <c r="E1847" s="32" t="str">
        <f aca="false">IF(B1847=0,"",INDEX(Bank!$B:$B,B1847))</f>
        <v/>
      </c>
      <c r="F1847" s="5" t="str">
        <f aca="false">IF(B1847=0,"",IF(INDEX(Bank!$C:$C,B1847)="","",INDEX(Bank!$C:$C,B1847)))</f>
        <v/>
      </c>
      <c r="G1847" s="19" t="str">
        <f aca="false">IF(B1847=0,"",INDEX(Bank!$E:$E,B1847))</f>
        <v/>
      </c>
      <c r="H1847" s="5" t="str">
        <f aca="false">IF(B1847=0,"",IF(INDEX(Bank!$H:$H,B1847)="","",INDEX(Bank!$H:$H,B1847)))</f>
        <v/>
      </c>
      <c r="I1847" s="5" t="n">
        <f aca="false">IF(H1847="",0,IFERROR(MATCH(H1847,GL!$A:$A,0),0))</f>
        <v>0</v>
      </c>
      <c r="J1847" s="32" t="str">
        <f aca="false">IF(I1847=0,"",INDEX(GL!$B:$B,I1847))</f>
        <v/>
      </c>
      <c r="K1847" s="5" t="str">
        <f aca="false">IF(I1847=0,"",IF(INDEX(GL!$C:$C,I1847)="","",INDEX(GL!$C:$C,I1847)))</f>
        <v/>
      </c>
      <c r="L1847" s="19" t="str">
        <f aca="false">IF(I1847=0,"",INDEX(GL!$E:$E,I1847))</f>
        <v/>
      </c>
      <c r="M1847" s="19" t="str">
        <f aca="false">IF(OR(B1847=0,I1847=0),"",ROUND(G1847-L1847,2))</f>
        <v/>
      </c>
      <c r="N1847" s="5" t="str">
        <f aca="false">IF(A1847="","",IF(B1847=0,"NOT FOUND: bank ID",IF(I1847=0,"NOT FOUND: GL ID",IF(INDEX(GL!$H:$H,I1847)&lt;&gt;A1847,"BROKEN: GL points elsewhere",IF(OR(INDEX(Bank!$F:$F,B1847)&lt;&gt;"Y",INDEX(GL!$F:$F,I1847)&lt;&gt;"Y"),"BROKEN: Status not Y","OK")))))</f>
        <v/>
      </c>
    </row>
    <row r="1848" customFormat="false" ht="15" hidden="false" customHeight="false" outlineLevel="0" collapsed="false">
      <c r="A1848" s="41"/>
      <c r="B1848" s="5" t="n">
        <f aca="false">IF(A1848="",0,IFERROR(MATCH(A1848,Bank!$A:$A,0),0))</f>
        <v>0</v>
      </c>
      <c r="C1848" s="5" t="str">
        <f aca="false">IF(B1848=0,"",IF(INDEX(Bank!$G:$G,B1848)="","",INDEX(Bank!$G:$G,B1848)))</f>
        <v/>
      </c>
      <c r="D1848" s="5" t="str">
        <f aca="false">IF(B1848=0,"",IF(INDEX(Bank!$J:$J,B1848)="","",INDEX(Bank!$J:$J,B1848)))</f>
        <v/>
      </c>
      <c r="E1848" s="32" t="str">
        <f aca="false">IF(B1848=0,"",INDEX(Bank!$B:$B,B1848))</f>
        <v/>
      </c>
      <c r="F1848" s="5" t="str">
        <f aca="false">IF(B1848=0,"",IF(INDEX(Bank!$C:$C,B1848)="","",INDEX(Bank!$C:$C,B1848)))</f>
        <v/>
      </c>
      <c r="G1848" s="19" t="str">
        <f aca="false">IF(B1848=0,"",INDEX(Bank!$E:$E,B1848))</f>
        <v/>
      </c>
      <c r="H1848" s="5" t="str">
        <f aca="false">IF(B1848=0,"",IF(INDEX(Bank!$H:$H,B1848)="","",INDEX(Bank!$H:$H,B1848)))</f>
        <v/>
      </c>
      <c r="I1848" s="5" t="n">
        <f aca="false">IF(H1848="",0,IFERROR(MATCH(H1848,GL!$A:$A,0),0))</f>
        <v>0</v>
      </c>
      <c r="J1848" s="32" t="str">
        <f aca="false">IF(I1848=0,"",INDEX(GL!$B:$B,I1848))</f>
        <v/>
      </c>
      <c r="K1848" s="5" t="str">
        <f aca="false">IF(I1848=0,"",IF(INDEX(GL!$C:$C,I1848)="","",INDEX(GL!$C:$C,I1848)))</f>
        <v/>
      </c>
      <c r="L1848" s="19" t="str">
        <f aca="false">IF(I1848=0,"",INDEX(GL!$E:$E,I1848))</f>
        <v/>
      </c>
      <c r="M1848" s="19" t="str">
        <f aca="false">IF(OR(B1848=0,I1848=0),"",ROUND(G1848-L1848,2))</f>
        <v/>
      </c>
      <c r="N1848" s="5" t="str">
        <f aca="false">IF(A1848="","",IF(B1848=0,"NOT FOUND: bank ID",IF(I1848=0,"NOT FOUND: GL ID",IF(INDEX(GL!$H:$H,I1848)&lt;&gt;A1848,"BROKEN: GL points elsewhere",IF(OR(INDEX(Bank!$F:$F,B1848)&lt;&gt;"Y",INDEX(GL!$F:$F,I1848)&lt;&gt;"Y"),"BROKEN: Status not Y","OK")))))</f>
        <v/>
      </c>
    </row>
    <row r="1849" customFormat="false" ht="15" hidden="false" customHeight="false" outlineLevel="0" collapsed="false">
      <c r="A1849" s="41"/>
      <c r="B1849" s="5" t="n">
        <f aca="false">IF(A1849="",0,IFERROR(MATCH(A1849,Bank!$A:$A,0),0))</f>
        <v>0</v>
      </c>
      <c r="C1849" s="5" t="str">
        <f aca="false">IF(B1849=0,"",IF(INDEX(Bank!$G:$G,B1849)="","",INDEX(Bank!$G:$G,B1849)))</f>
        <v/>
      </c>
      <c r="D1849" s="5" t="str">
        <f aca="false">IF(B1849=0,"",IF(INDEX(Bank!$J:$J,B1849)="","",INDEX(Bank!$J:$J,B1849)))</f>
        <v/>
      </c>
      <c r="E1849" s="32" t="str">
        <f aca="false">IF(B1849=0,"",INDEX(Bank!$B:$B,B1849))</f>
        <v/>
      </c>
      <c r="F1849" s="5" t="str">
        <f aca="false">IF(B1849=0,"",IF(INDEX(Bank!$C:$C,B1849)="","",INDEX(Bank!$C:$C,B1849)))</f>
        <v/>
      </c>
      <c r="G1849" s="19" t="str">
        <f aca="false">IF(B1849=0,"",INDEX(Bank!$E:$E,B1849))</f>
        <v/>
      </c>
      <c r="H1849" s="5" t="str">
        <f aca="false">IF(B1849=0,"",IF(INDEX(Bank!$H:$H,B1849)="","",INDEX(Bank!$H:$H,B1849)))</f>
        <v/>
      </c>
      <c r="I1849" s="5" t="n">
        <f aca="false">IF(H1849="",0,IFERROR(MATCH(H1849,GL!$A:$A,0),0))</f>
        <v>0</v>
      </c>
      <c r="J1849" s="32" t="str">
        <f aca="false">IF(I1849=0,"",INDEX(GL!$B:$B,I1849))</f>
        <v/>
      </c>
      <c r="K1849" s="5" t="str">
        <f aca="false">IF(I1849=0,"",IF(INDEX(GL!$C:$C,I1849)="","",INDEX(GL!$C:$C,I1849)))</f>
        <v/>
      </c>
      <c r="L1849" s="19" t="str">
        <f aca="false">IF(I1849=0,"",INDEX(GL!$E:$E,I1849))</f>
        <v/>
      </c>
      <c r="M1849" s="19" t="str">
        <f aca="false">IF(OR(B1849=0,I1849=0),"",ROUND(G1849-L1849,2))</f>
        <v/>
      </c>
      <c r="N1849" s="5" t="str">
        <f aca="false">IF(A1849="","",IF(B1849=0,"NOT FOUND: bank ID",IF(I1849=0,"NOT FOUND: GL ID",IF(INDEX(GL!$H:$H,I1849)&lt;&gt;A1849,"BROKEN: GL points elsewhere",IF(OR(INDEX(Bank!$F:$F,B1849)&lt;&gt;"Y",INDEX(GL!$F:$F,I1849)&lt;&gt;"Y"),"BROKEN: Status not Y","OK")))))</f>
        <v/>
      </c>
    </row>
    <row r="1850" customFormat="false" ht="15" hidden="false" customHeight="false" outlineLevel="0" collapsed="false">
      <c r="A1850" s="41"/>
      <c r="B1850" s="5" t="n">
        <f aca="false">IF(A1850="",0,IFERROR(MATCH(A1850,Bank!$A:$A,0),0))</f>
        <v>0</v>
      </c>
      <c r="C1850" s="5" t="str">
        <f aca="false">IF(B1850=0,"",IF(INDEX(Bank!$G:$G,B1850)="","",INDEX(Bank!$G:$G,B1850)))</f>
        <v/>
      </c>
      <c r="D1850" s="5" t="str">
        <f aca="false">IF(B1850=0,"",IF(INDEX(Bank!$J:$J,B1850)="","",INDEX(Bank!$J:$J,B1850)))</f>
        <v/>
      </c>
      <c r="E1850" s="32" t="str">
        <f aca="false">IF(B1850=0,"",INDEX(Bank!$B:$B,B1850))</f>
        <v/>
      </c>
      <c r="F1850" s="5" t="str">
        <f aca="false">IF(B1850=0,"",IF(INDEX(Bank!$C:$C,B1850)="","",INDEX(Bank!$C:$C,B1850)))</f>
        <v/>
      </c>
      <c r="G1850" s="19" t="str">
        <f aca="false">IF(B1850=0,"",INDEX(Bank!$E:$E,B1850))</f>
        <v/>
      </c>
      <c r="H1850" s="5" t="str">
        <f aca="false">IF(B1850=0,"",IF(INDEX(Bank!$H:$H,B1850)="","",INDEX(Bank!$H:$H,B1850)))</f>
        <v/>
      </c>
      <c r="I1850" s="5" t="n">
        <f aca="false">IF(H1850="",0,IFERROR(MATCH(H1850,GL!$A:$A,0),0))</f>
        <v>0</v>
      </c>
      <c r="J1850" s="32" t="str">
        <f aca="false">IF(I1850=0,"",INDEX(GL!$B:$B,I1850))</f>
        <v/>
      </c>
      <c r="K1850" s="5" t="str">
        <f aca="false">IF(I1850=0,"",IF(INDEX(GL!$C:$C,I1850)="","",INDEX(GL!$C:$C,I1850)))</f>
        <v/>
      </c>
      <c r="L1850" s="19" t="str">
        <f aca="false">IF(I1850=0,"",INDEX(GL!$E:$E,I1850))</f>
        <v/>
      </c>
      <c r="M1850" s="19" t="str">
        <f aca="false">IF(OR(B1850=0,I1850=0),"",ROUND(G1850-L1850,2))</f>
        <v/>
      </c>
      <c r="N1850" s="5" t="str">
        <f aca="false">IF(A1850="","",IF(B1850=0,"NOT FOUND: bank ID",IF(I1850=0,"NOT FOUND: GL ID",IF(INDEX(GL!$H:$H,I1850)&lt;&gt;A1850,"BROKEN: GL points elsewhere",IF(OR(INDEX(Bank!$F:$F,B1850)&lt;&gt;"Y",INDEX(GL!$F:$F,I1850)&lt;&gt;"Y"),"BROKEN: Status not Y","OK")))))</f>
        <v/>
      </c>
    </row>
    <row r="1851" customFormat="false" ht="15" hidden="false" customHeight="false" outlineLevel="0" collapsed="false">
      <c r="A1851" s="41"/>
      <c r="B1851" s="5" t="n">
        <f aca="false">IF(A1851="",0,IFERROR(MATCH(A1851,Bank!$A:$A,0),0))</f>
        <v>0</v>
      </c>
      <c r="C1851" s="5" t="str">
        <f aca="false">IF(B1851=0,"",IF(INDEX(Bank!$G:$G,B1851)="","",INDEX(Bank!$G:$G,B1851)))</f>
        <v/>
      </c>
      <c r="D1851" s="5" t="str">
        <f aca="false">IF(B1851=0,"",IF(INDEX(Bank!$J:$J,B1851)="","",INDEX(Bank!$J:$J,B1851)))</f>
        <v/>
      </c>
      <c r="E1851" s="32" t="str">
        <f aca="false">IF(B1851=0,"",INDEX(Bank!$B:$B,B1851))</f>
        <v/>
      </c>
      <c r="F1851" s="5" t="str">
        <f aca="false">IF(B1851=0,"",IF(INDEX(Bank!$C:$C,B1851)="","",INDEX(Bank!$C:$C,B1851)))</f>
        <v/>
      </c>
      <c r="G1851" s="19" t="str">
        <f aca="false">IF(B1851=0,"",INDEX(Bank!$E:$E,B1851))</f>
        <v/>
      </c>
      <c r="H1851" s="5" t="str">
        <f aca="false">IF(B1851=0,"",IF(INDEX(Bank!$H:$H,B1851)="","",INDEX(Bank!$H:$H,B1851)))</f>
        <v/>
      </c>
      <c r="I1851" s="5" t="n">
        <f aca="false">IF(H1851="",0,IFERROR(MATCH(H1851,GL!$A:$A,0),0))</f>
        <v>0</v>
      </c>
      <c r="J1851" s="32" t="str">
        <f aca="false">IF(I1851=0,"",INDEX(GL!$B:$B,I1851))</f>
        <v/>
      </c>
      <c r="K1851" s="5" t="str">
        <f aca="false">IF(I1851=0,"",IF(INDEX(GL!$C:$C,I1851)="","",INDEX(GL!$C:$C,I1851)))</f>
        <v/>
      </c>
      <c r="L1851" s="19" t="str">
        <f aca="false">IF(I1851=0,"",INDEX(GL!$E:$E,I1851))</f>
        <v/>
      </c>
      <c r="M1851" s="19" t="str">
        <f aca="false">IF(OR(B1851=0,I1851=0),"",ROUND(G1851-L1851,2))</f>
        <v/>
      </c>
      <c r="N1851" s="5" t="str">
        <f aca="false">IF(A1851="","",IF(B1851=0,"NOT FOUND: bank ID",IF(I1851=0,"NOT FOUND: GL ID",IF(INDEX(GL!$H:$H,I1851)&lt;&gt;A1851,"BROKEN: GL points elsewhere",IF(OR(INDEX(Bank!$F:$F,B1851)&lt;&gt;"Y",INDEX(GL!$F:$F,I1851)&lt;&gt;"Y"),"BROKEN: Status not Y","OK")))))</f>
        <v/>
      </c>
    </row>
    <row r="1852" customFormat="false" ht="15" hidden="false" customHeight="false" outlineLevel="0" collapsed="false">
      <c r="A1852" s="41"/>
      <c r="B1852" s="5" t="n">
        <f aca="false">IF(A1852="",0,IFERROR(MATCH(A1852,Bank!$A:$A,0),0))</f>
        <v>0</v>
      </c>
      <c r="C1852" s="5" t="str">
        <f aca="false">IF(B1852=0,"",IF(INDEX(Bank!$G:$G,B1852)="","",INDEX(Bank!$G:$G,B1852)))</f>
        <v/>
      </c>
      <c r="D1852" s="5" t="str">
        <f aca="false">IF(B1852=0,"",IF(INDEX(Bank!$J:$J,B1852)="","",INDEX(Bank!$J:$J,B1852)))</f>
        <v/>
      </c>
      <c r="E1852" s="32" t="str">
        <f aca="false">IF(B1852=0,"",INDEX(Bank!$B:$B,B1852))</f>
        <v/>
      </c>
      <c r="F1852" s="5" t="str">
        <f aca="false">IF(B1852=0,"",IF(INDEX(Bank!$C:$C,B1852)="","",INDEX(Bank!$C:$C,B1852)))</f>
        <v/>
      </c>
      <c r="G1852" s="19" t="str">
        <f aca="false">IF(B1852=0,"",INDEX(Bank!$E:$E,B1852))</f>
        <v/>
      </c>
      <c r="H1852" s="5" t="str">
        <f aca="false">IF(B1852=0,"",IF(INDEX(Bank!$H:$H,B1852)="","",INDEX(Bank!$H:$H,B1852)))</f>
        <v/>
      </c>
      <c r="I1852" s="5" t="n">
        <f aca="false">IF(H1852="",0,IFERROR(MATCH(H1852,GL!$A:$A,0),0))</f>
        <v>0</v>
      </c>
      <c r="J1852" s="32" t="str">
        <f aca="false">IF(I1852=0,"",INDEX(GL!$B:$B,I1852))</f>
        <v/>
      </c>
      <c r="K1852" s="5" t="str">
        <f aca="false">IF(I1852=0,"",IF(INDEX(GL!$C:$C,I1852)="","",INDEX(GL!$C:$C,I1852)))</f>
        <v/>
      </c>
      <c r="L1852" s="19" t="str">
        <f aca="false">IF(I1852=0,"",INDEX(GL!$E:$E,I1852))</f>
        <v/>
      </c>
      <c r="M1852" s="19" t="str">
        <f aca="false">IF(OR(B1852=0,I1852=0),"",ROUND(G1852-L1852,2))</f>
        <v/>
      </c>
      <c r="N1852" s="5" t="str">
        <f aca="false">IF(A1852="","",IF(B1852=0,"NOT FOUND: bank ID",IF(I1852=0,"NOT FOUND: GL ID",IF(INDEX(GL!$H:$H,I1852)&lt;&gt;A1852,"BROKEN: GL points elsewhere",IF(OR(INDEX(Bank!$F:$F,B1852)&lt;&gt;"Y",INDEX(GL!$F:$F,I1852)&lt;&gt;"Y"),"BROKEN: Status not Y","OK")))))</f>
        <v/>
      </c>
    </row>
    <row r="1853" customFormat="false" ht="15" hidden="false" customHeight="false" outlineLevel="0" collapsed="false">
      <c r="A1853" s="41"/>
      <c r="B1853" s="5" t="n">
        <f aca="false">IF(A1853="",0,IFERROR(MATCH(A1853,Bank!$A:$A,0),0))</f>
        <v>0</v>
      </c>
      <c r="C1853" s="5" t="str">
        <f aca="false">IF(B1853=0,"",IF(INDEX(Bank!$G:$G,B1853)="","",INDEX(Bank!$G:$G,B1853)))</f>
        <v/>
      </c>
      <c r="D1853" s="5" t="str">
        <f aca="false">IF(B1853=0,"",IF(INDEX(Bank!$J:$J,B1853)="","",INDEX(Bank!$J:$J,B1853)))</f>
        <v/>
      </c>
      <c r="E1853" s="32" t="str">
        <f aca="false">IF(B1853=0,"",INDEX(Bank!$B:$B,B1853))</f>
        <v/>
      </c>
      <c r="F1853" s="5" t="str">
        <f aca="false">IF(B1853=0,"",IF(INDEX(Bank!$C:$C,B1853)="","",INDEX(Bank!$C:$C,B1853)))</f>
        <v/>
      </c>
      <c r="G1853" s="19" t="str">
        <f aca="false">IF(B1853=0,"",INDEX(Bank!$E:$E,B1853))</f>
        <v/>
      </c>
      <c r="H1853" s="5" t="str">
        <f aca="false">IF(B1853=0,"",IF(INDEX(Bank!$H:$H,B1853)="","",INDEX(Bank!$H:$H,B1853)))</f>
        <v/>
      </c>
      <c r="I1853" s="5" t="n">
        <f aca="false">IF(H1853="",0,IFERROR(MATCH(H1853,GL!$A:$A,0),0))</f>
        <v>0</v>
      </c>
      <c r="J1853" s="32" t="str">
        <f aca="false">IF(I1853=0,"",INDEX(GL!$B:$B,I1853))</f>
        <v/>
      </c>
      <c r="K1853" s="5" t="str">
        <f aca="false">IF(I1853=0,"",IF(INDEX(GL!$C:$C,I1853)="","",INDEX(GL!$C:$C,I1853)))</f>
        <v/>
      </c>
      <c r="L1853" s="19" t="str">
        <f aca="false">IF(I1853=0,"",INDEX(GL!$E:$E,I1853))</f>
        <v/>
      </c>
      <c r="M1853" s="19" t="str">
        <f aca="false">IF(OR(B1853=0,I1853=0),"",ROUND(G1853-L1853,2))</f>
        <v/>
      </c>
      <c r="N1853" s="5" t="str">
        <f aca="false">IF(A1853="","",IF(B1853=0,"NOT FOUND: bank ID",IF(I1853=0,"NOT FOUND: GL ID",IF(INDEX(GL!$H:$H,I1853)&lt;&gt;A1853,"BROKEN: GL points elsewhere",IF(OR(INDEX(Bank!$F:$F,B1853)&lt;&gt;"Y",INDEX(GL!$F:$F,I1853)&lt;&gt;"Y"),"BROKEN: Status not Y","OK")))))</f>
        <v/>
      </c>
    </row>
    <row r="1854" customFormat="false" ht="15" hidden="false" customHeight="false" outlineLevel="0" collapsed="false">
      <c r="A1854" s="41"/>
      <c r="B1854" s="5" t="n">
        <f aca="false">IF(A1854="",0,IFERROR(MATCH(A1854,Bank!$A:$A,0),0))</f>
        <v>0</v>
      </c>
      <c r="C1854" s="5" t="str">
        <f aca="false">IF(B1854=0,"",IF(INDEX(Bank!$G:$G,B1854)="","",INDEX(Bank!$G:$G,B1854)))</f>
        <v/>
      </c>
      <c r="D1854" s="5" t="str">
        <f aca="false">IF(B1854=0,"",IF(INDEX(Bank!$J:$J,B1854)="","",INDEX(Bank!$J:$J,B1854)))</f>
        <v/>
      </c>
      <c r="E1854" s="32" t="str">
        <f aca="false">IF(B1854=0,"",INDEX(Bank!$B:$B,B1854))</f>
        <v/>
      </c>
      <c r="F1854" s="5" t="str">
        <f aca="false">IF(B1854=0,"",IF(INDEX(Bank!$C:$C,B1854)="","",INDEX(Bank!$C:$C,B1854)))</f>
        <v/>
      </c>
      <c r="G1854" s="19" t="str">
        <f aca="false">IF(B1854=0,"",INDEX(Bank!$E:$E,B1854))</f>
        <v/>
      </c>
      <c r="H1854" s="5" t="str">
        <f aca="false">IF(B1854=0,"",IF(INDEX(Bank!$H:$H,B1854)="","",INDEX(Bank!$H:$H,B1854)))</f>
        <v/>
      </c>
      <c r="I1854" s="5" t="n">
        <f aca="false">IF(H1854="",0,IFERROR(MATCH(H1854,GL!$A:$A,0),0))</f>
        <v>0</v>
      </c>
      <c r="J1854" s="32" t="str">
        <f aca="false">IF(I1854=0,"",INDEX(GL!$B:$B,I1854))</f>
        <v/>
      </c>
      <c r="K1854" s="5" t="str">
        <f aca="false">IF(I1854=0,"",IF(INDEX(GL!$C:$C,I1854)="","",INDEX(GL!$C:$C,I1854)))</f>
        <v/>
      </c>
      <c r="L1854" s="19" t="str">
        <f aca="false">IF(I1854=0,"",INDEX(GL!$E:$E,I1854))</f>
        <v/>
      </c>
      <c r="M1854" s="19" t="str">
        <f aca="false">IF(OR(B1854=0,I1854=0),"",ROUND(G1854-L1854,2))</f>
        <v/>
      </c>
      <c r="N1854" s="5" t="str">
        <f aca="false">IF(A1854="","",IF(B1854=0,"NOT FOUND: bank ID",IF(I1854=0,"NOT FOUND: GL ID",IF(INDEX(GL!$H:$H,I1854)&lt;&gt;A1854,"BROKEN: GL points elsewhere",IF(OR(INDEX(Bank!$F:$F,B1854)&lt;&gt;"Y",INDEX(GL!$F:$F,I1854)&lt;&gt;"Y"),"BROKEN: Status not Y","OK")))))</f>
        <v/>
      </c>
    </row>
    <row r="1855" customFormat="false" ht="15" hidden="false" customHeight="false" outlineLevel="0" collapsed="false">
      <c r="A1855" s="41"/>
      <c r="B1855" s="5" t="n">
        <f aca="false">IF(A1855="",0,IFERROR(MATCH(A1855,Bank!$A:$A,0),0))</f>
        <v>0</v>
      </c>
      <c r="C1855" s="5" t="str">
        <f aca="false">IF(B1855=0,"",IF(INDEX(Bank!$G:$G,B1855)="","",INDEX(Bank!$G:$G,B1855)))</f>
        <v/>
      </c>
      <c r="D1855" s="5" t="str">
        <f aca="false">IF(B1855=0,"",IF(INDEX(Bank!$J:$J,B1855)="","",INDEX(Bank!$J:$J,B1855)))</f>
        <v/>
      </c>
      <c r="E1855" s="32" t="str">
        <f aca="false">IF(B1855=0,"",INDEX(Bank!$B:$B,B1855))</f>
        <v/>
      </c>
      <c r="F1855" s="5" t="str">
        <f aca="false">IF(B1855=0,"",IF(INDEX(Bank!$C:$C,B1855)="","",INDEX(Bank!$C:$C,B1855)))</f>
        <v/>
      </c>
      <c r="G1855" s="19" t="str">
        <f aca="false">IF(B1855=0,"",INDEX(Bank!$E:$E,B1855))</f>
        <v/>
      </c>
      <c r="H1855" s="5" t="str">
        <f aca="false">IF(B1855=0,"",IF(INDEX(Bank!$H:$H,B1855)="","",INDEX(Bank!$H:$H,B1855)))</f>
        <v/>
      </c>
      <c r="I1855" s="5" t="n">
        <f aca="false">IF(H1855="",0,IFERROR(MATCH(H1855,GL!$A:$A,0),0))</f>
        <v>0</v>
      </c>
      <c r="J1855" s="32" t="str">
        <f aca="false">IF(I1855=0,"",INDEX(GL!$B:$B,I1855))</f>
        <v/>
      </c>
      <c r="K1855" s="5" t="str">
        <f aca="false">IF(I1855=0,"",IF(INDEX(GL!$C:$C,I1855)="","",INDEX(GL!$C:$C,I1855)))</f>
        <v/>
      </c>
      <c r="L1855" s="19" t="str">
        <f aca="false">IF(I1855=0,"",INDEX(GL!$E:$E,I1855))</f>
        <v/>
      </c>
      <c r="M1855" s="19" t="str">
        <f aca="false">IF(OR(B1855=0,I1855=0),"",ROUND(G1855-L1855,2))</f>
        <v/>
      </c>
      <c r="N1855" s="5" t="str">
        <f aca="false">IF(A1855="","",IF(B1855=0,"NOT FOUND: bank ID",IF(I1855=0,"NOT FOUND: GL ID",IF(INDEX(GL!$H:$H,I1855)&lt;&gt;A1855,"BROKEN: GL points elsewhere",IF(OR(INDEX(Bank!$F:$F,B1855)&lt;&gt;"Y",INDEX(GL!$F:$F,I1855)&lt;&gt;"Y"),"BROKEN: Status not Y","OK")))))</f>
        <v/>
      </c>
    </row>
    <row r="1856" customFormat="false" ht="15" hidden="false" customHeight="false" outlineLevel="0" collapsed="false">
      <c r="A1856" s="41"/>
      <c r="B1856" s="5" t="n">
        <f aca="false">IF(A1856="",0,IFERROR(MATCH(A1856,Bank!$A:$A,0),0))</f>
        <v>0</v>
      </c>
      <c r="C1856" s="5" t="str">
        <f aca="false">IF(B1856=0,"",IF(INDEX(Bank!$G:$G,B1856)="","",INDEX(Bank!$G:$G,B1856)))</f>
        <v/>
      </c>
      <c r="D1856" s="5" t="str">
        <f aca="false">IF(B1856=0,"",IF(INDEX(Bank!$J:$J,B1856)="","",INDEX(Bank!$J:$J,B1856)))</f>
        <v/>
      </c>
      <c r="E1856" s="32" t="str">
        <f aca="false">IF(B1856=0,"",INDEX(Bank!$B:$B,B1856))</f>
        <v/>
      </c>
      <c r="F1856" s="5" t="str">
        <f aca="false">IF(B1856=0,"",IF(INDEX(Bank!$C:$C,B1856)="","",INDEX(Bank!$C:$C,B1856)))</f>
        <v/>
      </c>
      <c r="G1856" s="19" t="str">
        <f aca="false">IF(B1856=0,"",INDEX(Bank!$E:$E,B1856))</f>
        <v/>
      </c>
      <c r="H1856" s="5" t="str">
        <f aca="false">IF(B1856=0,"",IF(INDEX(Bank!$H:$H,B1856)="","",INDEX(Bank!$H:$H,B1856)))</f>
        <v/>
      </c>
      <c r="I1856" s="5" t="n">
        <f aca="false">IF(H1856="",0,IFERROR(MATCH(H1856,GL!$A:$A,0),0))</f>
        <v>0</v>
      </c>
      <c r="J1856" s="32" t="str">
        <f aca="false">IF(I1856=0,"",INDEX(GL!$B:$B,I1856))</f>
        <v/>
      </c>
      <c r="K1856" s="5" t="str">
        <f aca="false">IF(I1856=0,"",IF(INDEX(GL!$C:$C,I1856)="","",INDEX(GL!$C:$C,I1856)))</f>
        <v/>
      </c>
      <c r="L1856" s="19" t="str">
        <f aca="false">IF(I1856=0,"",INDEX(GL!$E:$E,I1856))</f>
        <v/>
      </c>
      <c r="M1856" s="19" t="str">
        <f aca="false">IF(OR(B1856=0,I1856=0),"",ROUND(G1856-L1856,2))</f>
        <v/>
      </c>
      <c r="N1856" s="5" t="str">
        <f aca="false">IF(A1856="","",IF(B1856=0,"NOT FOUND: bank ID",IF(I1856=0,"NOT FOUND: GL ID",IF(INDEX(GL!$H:$H,I1856)&lt;&gt;A1856,"BROKEN: GL points elsewhere",IF(OR(INDEX(Bank!$F:$F,B1856)&lt;&gt;"Y",INDEX(GL!$F:$F,I1856)&lt;&gt;"Y"),"BROKEN: Status not Y","OK")))))</f>
        <v/>
      </c>
    </row>
    <row r="1857" customFormat="false" ht="15" hidden="false" customHeight="false" outlineLevel="0" collapsed="false">
      <c r="A1857" s="41"/>
      <c r="B1857" s="5" t="n">
        <f aca="false">IF(A1857="",0,IFERROR(MATCH(A1857,Bank!$A:$A,0),0))</f>
        <v>0</v>
      </c>
      <c r="C1857" s="5" t="str">
        <f aca="false">IF(B1857=0,"",IF(INDEX(Bank!$G:$G,B1857)="","",INDEX(Bank!$G:$G,B1857)))</f>
        <v/>
      </c>
      <c r="D1857" s="5" t="str">
        <f aca="false">IF(B1857=0,"",IF(INDEX(Bank!$J:$J,B1857)="","",INDEX(Bank!$J:$J,B1857)))</f>
        <v/>
      </c>
      <c r="E1857" s="32" t="str">
        <f aca="false">IF(B1857=0,"",INDEX(Bank!$B:$B,B1857))</f>
        <v/>
      </c>
      <c r="F1857" s="5" t="str">
        <f aca="false">IF(B1857=0,"",IF(INDEX(Bank!$C:$C,B1857)="","",INDEX(Bank!$C:$C,B1857)))</f>
        <v/>
      </c>
      <c r="G1857" s="19" t="str">
        <f aca="false">IF(B1857=0,"",INDEX(Bank!$E:$E,B1857))</f>
        <v/>
      </c>
      <c r="H1857" s="5" t="str">
        <f aca="false">IF(B1857=0,"",IF(INDEX(Bank!$H:$H,B1857)="","",INDEX(Bank!$H:$H,B1857)))</f>
        <v/>
      </c>
      <c r="I1857" s="5" t="n">
        <f aca="false">IF(H1857="",0,IFERROR(MATCH(H1857,GL!$A:$A,0),0))</f>
        <v>0</v>
      </c>
      <c r="J1857" s="32" t="str">
        <f aca="false">IF(I1857=0,"",INDEX(GL!$B:$B,I1857))</f>
        <v/>
      </c>
      <c r="K1857" s="5" t="str">
        <f aca="false">IF(I1857=0,"",IF(INDEX(GL!$C:$C,I1857)="","",INDEX(GL!$C:$C,I1857)))</f>
        <v/>
      </c>
      <c r="L1857" s="19" t="str">
        <f aca="false">IF(I1857=0,"",INDEX(GL!$E:$E,I1857))</f>
        <v/>
      </c>
      <c r="M1857" s="19" t="str">
        <f aca="false">IF(OR(B1857=0,I1857=0),"",ROUND(G1857-L1857,2))</f>
        <v/>
      </c>
      <c r="N1857" s="5" t="str">
        <f aca="false">IF(A1857="","",IF(B1857=0,"NOT FOUND: bank ID",IF(I1857=0,"NOT FOUND: GL ID",IF(INDEX(GL!$H:$H,I1857)&lt;&gt;A1857,"BROKEN: GL points elsewhere",IF(OR(INDEX(Bank!$F:$F,B1857)&lt;&gt;"Y",INDEX(GL!$F:$F,I1857)&lt;&gt;"Y"),"BROKEN: Status not Y","OK")))))</f>
        <v/>
      </c>
    </row>
    <row r="1858" customFormat="false" ht="15" hidden="false" customHeight="false" outlineLevel="0" collapsed="false">
      <c r="A1858" s="41"/>
      <c r="B1858" s="5" t="n">
        <f aca="false">IF(A1858="",0,IFERROR(MATCH(A1858,Bank!$A:$A,0),0))</f>
        <v>0</v>
      </c>
      <c r="C1858" s="5" t="str">
        <f aca="false">IF(B1858=0,"",IF(INDEX(Bank!$G:$G,B1858)="","",INDEX(Bank!$G:$G,B1858)))</f>
        <v/>
      </c>
      <c r="D1858" s="5" t="str">
        <f aca="false">IF(B1858=0,"",IF(INDEX(Bank!$J:$J,B1858)="","",INDEX(Bank!$J:$J,B1858)))</f>
        <v/>
      </c>
      <c r="E1858" s="32" t="str">
        <f aca="false">IF(B1858=0,"",INDEX(Bank!$B:$B,B1858))</f>
        <v/>
      </c>
      <c r="F1858" s="5" t="str">
        <f aca="false">IF(B1858=0,"",IF(INDEX(Bank!$C:$C,B1858)="","",INDEX(Bank!$C:$C,B1858)))</f>
        <v/>
      </c>
      <c r="G1858" s="19" t="str">
        <f aca="false">IF(B1858=0,"",INDEX(Bank!$E:$E,B1858))</f>
        <v/>
      </c>
      <c r="H1858" s="5" t="str">
        <f aca="false">IF(B1858=0,"",IF(INDEX(Bank!$H:$H,B1858)="","",INDEX(Bank!$H:$H,B1858)))</f>
        <v/>
      </c>
      <c r="I1858" s="5" t="n">
        <f aca="false">IF(H1858="",0,IFERROR(MATCH(H1858,GL!$A:$A,0),0))</f>
        <v>0</v>
      </c>
      <c r="J1858" s="32" t="str">
        <f aca="false">IF(I1858=0,"",INDEX(GL!$B:$B,I1858))</f>
        <v/>
      </c>
      <c r="K1858" s="5" t="str">
        <f aca="false">IF(I1858=0,"",IF(INDEX(GL!$C:$C,I1858)="","",INDEX(GL!$C:$C,I1858)))</f>
        <v/>
      </c>
      <c r="L1858" s="19" t="str">
        <f aca="false">IF(I1858=0,"",INDEX(GL!$E:$E,I1858))</f>
        <v/>
      </c>
      <c r="M1858" s="19" t="str">
        <f aca="false">IF(OR(B1858=0,I1858=0),"",ROUND(G1858-L1858,2))</f>
        <v/>
      </c>
      <c r="N1858" s="5" t="str">
        <f aca="false">IF(A1858="","",IF(B1858=0,"NOT FOUND: bank ID",IF(I1858=0,"NOT FOUND: GL ID",IF(INDEX(GL!$H:$H,I1858)&lt;&gt;A1858,"BROKEN: GL points elsewhere",IF(OR(INDEX(Bank!$F:$F,B1858)&lt;&gt;"Y",INDEX(GL!$F:$F,I1858)&lt;&gt;"Y"),"BROKEN: Status not Y","OK")))))</f>
        <v/>
      </c>
    </row>
    <row r="1859" customFormat="false" ht="15" hidden="false" customHeight="false" outlineLevel="0" collapsed="false">
      <c r="A1859" s="41"/>
      <c r="B1859" s="5" t="n">
        <f aca="false">IF(A1859="",0,IFERROR(MATCH(A1859,Bank!$A:$A,0),0))</f>
        <v>0</v>
      </c>
      <c r="C1859" s="5" t="str">
        <f aca="false">IF(B1859=0,"",IF(INDEX(Bank!$G:$G,B1859)="","",INDEX(Bank!$G:$G,B1859)))</f>
        <v/>
      </c>
      <c r="D1859" s="5" t="str">
        <f aca="false">IF(B1859=0,"",IF(INDEX(Bank!$J:$J,B1859)="","",INDEX(Bank!$J:$J,B1859)))</f>
        <v/>
      </c>
      <c r="E1859" s="32" t="str">
        <f aca="false">IF(B1859=0,"",INDEX(Bank!$B:$B,B1859))</f>
        <v/>
      </c>
      <c r="F1859" s="5" t="str">
        <f aca="false">IF(B1859=0,"",IF(INDEX(Bank!$C:$C,B1859)="","",INDEX(Bank!$C:$C,B1859)))</f>
        <v/>
      </c>
      <c r="G1859" s="19" t="str">
        <f aca="false">IF(B1859=0,"",INDEX(Bank!$E:$E,B1859))</f>
        <v/>
      </c>
      <c r="H1859" s="5" t="str">
        <f aca="false">IF(B1859=0,"",IF(INDEX(Bank!$H:$H,B1859)="","",INDEX(Bank!$H:$H,B1859)))</f>
        <v/>
      </c>
      <c r="I1859" s="5" t="n">
        <f aca="false">IF(H1859="",0,IFERROR(MATCH(H1859,GL!$A:$A,0),0))</f>
        <v>0</v>
      </c>
      <c r="J1859" s="32" t="str">
        <f aca="false">IF(I1859=0,"",INDEX(GL!$B:$B,I1859))</f>
        <v/>
      </c>
      <c r="K1859" s="5" t="str">
        <f aca="false">IF(I1859=0,"",IF(INDEX(GL!$C:$C,I1859)="","",INDEX(GL!$C:$C,I1859)))</f>
        <v/>
      </c>
      <c r="L1859" s="19" t="str">
        <f aca="false">IF(I1859=0,"",INDEX(GL!$E:$E,I1859))</f>
        <v/>
      </c>
      <c r="M1859" s="19" t="str">
        <f aca="false">IF(OR(B1859=0,I1859=0),"",ROUND(G1859-L1859,2))</f>
        <v/>
      </c>
      <c r="N1859" s="5" t="str">
        <f aca="false">IF(A1859="","",IF(B1859=0,"NOT FOUND: bank ID",IF(I1859=0,"NOT FOUND: GL ID",IF(INDEX(GL!$H:$H,I1859)&lt;&gt;A1859,"BROKEN: GL points elsewhere",IF(OR(INDEX(Bank!$F:$F,B1859)&lt;&gt;"Y",INDEX(GL!$F:$F,I1859)&lt;&gt;"Y"),"BROKEN: Status not Y","OK")))))</f>
        <v/>
      </c>
    </row>
    <row r="1860" customFormat="false" ht="15" hidden="false" customHeight="false" outlineLevel="0" collapsed="false">
      <c r="A1860" s="41"/>
      <c r="B1860" s="5" t="n">
        <f aca="false">IF(A1860="",0,IFERROR(MATCH(A1860,Bank!$A:$A,0),0))</f>
        <v>0</v>
      </c>
      <c r="C1860" s="5" t="str">
        <f aca="false">IF(B1860=0,"",IF(INDEX(Bank!$G:$G,B1860)="","",INDEX(Bank!$G:$G,B1860)))</f>
        <v/>
      </c>
      <c r="D1860" s="5" t="str">
        <f aca="false">IF(B1860=0,"",IF(INDEX(Bank!$J:$J,B1860)="","",INDEX(Bank!$J:$J,B1860)))</f>
        <v/>
      </c>
      <c r="E1860" s="32" t="str">
        <f aca="false">IF(B1860=0,"",INDEX(Bank!$B:$B,B1860))</f>
        <v/>
      </c>
      <c r="F1860" s="5" t="str">
        <f aca="false">IF(B1860=0,"",IF(INDEX(Bank!$C:$C,B1860)="","",INDEX(Bank!$C:$C,B1860)))</f>
        <v/>
      </c>
      <c r="G1860" s="19" t="str">
        <f aca="false">IF(B1860=0,"",INDEX(Bank!$E:$E,B1860))</f>
        <v/>
      </c>
      <c r="H1860" s="5" t="str">
        <f aca="false">IF(B1860=0,"",IF(INDEX(Bank!$H:$H,B1860)="","",INDEX(Bank!$H:$H,B1860)))</f>
        <v/>
      </c>
      <c r="I1860" s="5" t="n">
        <f aca="false">IF(H1860="",0,IFERROR(MATCH(H1860,GL!$A:$A,0),0))</f>
        <v>0</v>
      </c>
      <c r="J1860" s="32" t="str">
        <f aca="false">IF(I1860=0,"",INDEX(GL!$B:$B,I1860))</f>
        <v/>
      </c>
      <c r="K1860" s="5" t="str">
        <f aca="false">IF(I1860=0,"",IF(INDEX(GL!$C:$C,I1860)="","",INDEX(GL!$C:$C,I1860)))</f>
        <v/>
      </c>
      <c r="L1860" s="19" t="str">
        <f aca="false">IF(I1860=0,"",INDEX(GL!$E:$E,I1860))</f>
        <v/>
      </c>
      <c r="M1860" s="19" t="str">
        <f aca="false">IF(OR(B1860=0,I1860=0),"",ROUND(G1860-L1860,2))</f>
        <v/>
      </c>
      <c r="N1860" s="5" t="str">
        <f aca="false">IF(A1860="","",IF(B1860=0,"NOT FOUND: bank ID",IF(I1860=0,"NOT FOUND: GL ID",IF(INDEX(GL!$H:$H,I1860)&lt;&gt;A1860,"BROKEN: GL points elsewhere",IF(OR(INDEX(Bank!$F:$F,B1860)&lt;&gt;"Y",INDEX(GL!$F:$F,I1860)&lt;&gt;"Y"),"BROKEN: Status not Y","OK")))))</f>
        <v/>
      </c>
    </row>
    <row r="1861" customFormat="false" ht="15" hidden="false" customHeight="false" outlineLevel="0" collapsed="false">
      <c r="A1861" s="41"/>
      <c r="B1861" s="5" t="n">
        <f aca="false">IF(A1861="",0,IFERROR(MATCH(A1861,Bank!$A:$A,0),0))</f>
        <v>0</v>
      </c>
      <c r="C1861" s="5" t="str">
        <f aca="false">IF(B1861=0,"",IF(INDEX(Bank!$G:$G,B1861)="","",INDEX(Bank!$G:$G,B1861)))</f>
        <v/>
      </c>
      <c r="D1861" s="5" t="str">
        <f aca="false">IF(B1861=0,"",IF(INDEX(Bank!$J:$J,B1861)="","",INDEX(Bank!$J:$J,B1861)))</f>
        <v/>
      </c>
      <c r="E1861" s="32" t="str">
        <f aca="false">IF(B1861=0,"",INDEX(Bank!$B:$B,B1861))</f>
        <v/>
      </c>
      <c r="F1861" s="5" t="str">
        <f aca="false">IF(B1861=0,"",IF(INDEX(Bank!$C:$C,B1861)="","",INDEX(Bank!$C:$C,B1861)))</f>
        <v/>
      </c>
      <c r="G1861" s="19" t="str">
        <f aca="false">IF(B1861=0,"",INDEX(Bank!$E:$E,B1861))</f>
        <v/>
      </c>
      <c r="H1861" s="5" t="str">
        <f aca="false">IF(B1861=0,"",IF(INDEX(Bank!$H:$H,B1861)="","",INDEX(Bank!$H:$H,B1861)))</f>
        <v/>
      </c>
      <c r="I1861" s="5" t="n">
        <f aca="false">IF(H1861="",0,IFERROR(MATCH(H1861,GL!$A:$A,0),0))</f>
        <v>0</v>
      </c>
      <c r="J1861" s="32" t="str">
        <f aca="false">IF(I1861=0,"",INDEX(GL!$B:$B,I1861))</f>
        <v/>
      </c>
      <c r="K1861" s="5" t="str">
        <f aca="false">IF(I1861=0,"",IF(INDEX(GL!$C:$C,I1861)="","",INDEX(GL!$C:$C,I1861)))</f>
        <v/>
      </c>
      <c r="L1861" s="19" t="str">
        <f aca="false">IF(I1861=0,"",INDEX(GL!$E:$E,I1861))</f>
        <v/>
      </c>
      <c r="M1861" s="19" t="str">
        <f aca="false">IF(OR(B1861=0,I1861=0),"",ROUND(G1861-L1861,2))</f>
        <v/>
      </c>
      <c r="N1861" s="5" t="str">
        <f aca="false">IF(A1861="","",IF(B1861=0,"NOT FOUND: bank ID",IF(I1861=0,"NOT FOUND: GL ID",IF(INDEX(GL!$H:$H,I1861)&lt;&gt;A1861,"BROKEN: GL points elsewhere",IF(OR(INDEX(Bank!$F:$F,B1861)&lt;&gt;"Y",INDEX(GL!$F:$F,I1861)&lt;&gt;"Y"),"BROKEN: Status not Y","OK")))))</f>
        <v/>
      </c>
    </row>
    <row r="1862" customFormat="false" ht="15" hidden="false" customHeight="false" outlineLevel="0" collapsed="false">
      <c r="A1862" s="41"/>
      <c r="B1862" s="5" t="n">
        <f aca="false">IF(A1862="",0,IFERROR(MATCH(A1862,Bank!$A:$A,0),0))</f>
        <v>0</v>
      </c>
      <c r="C1862" s="5" t="str">
        <f aca="false">IF(B1862=0,"",IF(INDEX(Bank!$G:$G,B1862)="","",INDEX(Bank!$G:$G,B1862)))</f>
        <v/>
      </c>
      <c r="D1862" s="5" t="str">
        <f aca="false">IF(B1862=0,"",IF(INDEX(Bank!$J:$J,B1862)="","",INDEX(Bank!$J:$J,B1862)))</f>
        <v/>
      </c>
      <c r="E1862" s="32" t="str">
        <f aca="false">IF(B1862=0,"",INDEX(Bank!$B:$B,B1862))</f>
        <v/>
      </c>
      <c r="F1862" s="5" t="str">
        <f aca="false">IF(B1862=0,"",IF(INDEX(Bank!$C:$C,B1862)="","",INDEX(Bank!$C:$C,B1862)))</f>
        <v/>
      </c>
      <c r="G1862" s="19" t="str">
        <f aca="false">IF(B1862=0,"",INDEX(Bank!$E:$E,B1862))</f>
        <v/>
      </c>
      <c r="H1862" s="5" t="str">
        <f aca="false">IF(B1862=0,"",IF(INDEX(Bank!$H:$H,B1862)="","",INDEX(Bank!$H:$H,B1862)))</f>
        <v/>
      </c>
      <c r="I1862" s="5" t="n">
        <f aca="false">IF(H1862="",0,IFERROR(MATCH(H1862,GL!$A:$A,0),0))</f>
        <v>0</v>
      </c>
      <c r="J1862" s="32" t="str">
        <f aca="false">IF(I1862=0,"",INDEX(GL!$B:$B,I1862))</f>
        <v/>
      </c>
      <c r="K1862" s="5" t="str">
        <f aca="false">IF(I1862=0,"",IF(INDEX(GL!$C:$C,I1862)="","",INDEX(GL!$C:$C,I1862)))</f>
        <v/>
      </c>
      <c r="L1862" s="19" t="str">
        <f aca="false">IF(I1862=0,"",INDEX(GL!$E:$E,I1862))</f>
        <v/>
      </c>
      <c r="M1862" s="19" t="str">
        <f aca="false">IF(OR(B1862=0,I1862=0),"",ROUND(G1862-L1862,2))</f>
        <v/>
      </c>
      <c r="N1862" s="5" t="str">
        <f aca="false">IF(A1862="","",IF(B1862=0,"NOT FOUND: bank ID",IF(I1862=0,"NOT FOUND: GL ID",IF(INDEX(GL!$H:$H,I1862)&lt;&gt;A1862,"BROKEN: GL points elsewhere",IF(OR(INDEX(Bank!$F:$F,B1862)&lt;&gt;"Y",INDEX(GL!$F:$F,I1862)&lt;&gt;"Y"),"BROKEN: Status not Y","OK")))))</f>
        <v/>
      </c>
    </row>
    <row r="1863" customFormat="false" ht="15" hidden="false" customHeight="false" outlineLevel="0" collapsed="false">
      <c r="A1863" s="41"/>
      <c r="B1863" s="5" t="n">
        <f aca="false">IF(A1863="",0,IFERROR(MATCH(A1863,Bank!$A:$A,0),0))</f>
        <v>0</v>
      </c>
      <c r="C1863" s="5" t="str">
        <f aca="false">IF(B1863=0,"",IF(INDEX(Bank!$G:$G,B1863)="","",INDEX(Bank!$G:$G,B1863)))</f>
        <v/>
      </c>
      <c r="D1863" s="5" t="str">
        <f aca="false">IF(B1863=0,"",IF(INDEX(Bank!$J:$J,B1863)="","",INDEX(Bank!$J:$J,B1863)))</f>
        <v/>
      </c>
      <c r="E1863" s="32" t="str">
        <f aca="false">IF(B1863=0,"",INDEX(Bank!$B:$B,B1863))</f>
        <v/>
      </c>
      <c r="F1863" s="5" t="str">
        <f aca="false">IF(B1863=0,"",IF(INDEX(Bank!$C:$C,B1863)="","",INDEX(Bank!$C:$C,B1863)))</f>
        <v/>
      </c>
      <c r="G1863" s="19" t="str">
        <f aca="false">IF(B1863=0,"",INDEX(Bank!$E:$E,B1863))</f>
        <v/>
      </c>
      <c r="H1863" s="5" t="str">
        <f aca="false">IF(B1863=0,"",IF(INDEX(Bank!$H:$H,B1863)="","",INDEX(Bank!$H:$H,B1863)))</f>
        <v/>
      </c>
      <c r="I1863" s="5" t="n">
        <f aca="false">IF(H1863="",0,IFERROR(MATCH(H1863,GL!$A:$A,0),0))</f>
        <v>0</v>
      </c>
      <c r="J1863" s="32" t="str">
        <f aca="false">IF(I1863=0,"",INDEX(GL!$B:$B,I1863))</f>
        <v/>
      </c>
      <c r="K1863" s="5" t="str">
        <f aca="false">IF(I1863=0,"",IF(INDEX(GL!$C:$C,I1863)="","",INDEX(GL!$C:$C,I1863)))</f>
        <v/>
      </c>
      <c r="L1863" s="19" t="str">
        <f aca="false">IF(I1863=0,"",INDEX(GL!$E:$E,I1863))</f>
        <v/>
      </c>
      <c r="M1863" s="19" t="str">
        <f aca="false">IF(OR(B1863=0,I1863=0),"",ROUND(G1863-L1863,2))</f>
        <v/>
      </c>
      <c r="N1863" s="5" t="str">
        <f aca="false">IF(A1863="","",IF(B1863=0,"NOT FOUND: bank ID",IF(I1863=0,"NOT FOUND: GL ID",IF(INDEX(GL!$H:$H,I1863)&lt;&gt;A1863,"BROKEN: GL points elsewhere",IF(OR(INDEX(Bank!$F:$F,B1863)&lt;&gt;"Y",INDEX(GL!$F:$F,I1863)&lt;&gt;"Y"),"BROKEN: Status not Y","OK")))))</f>
        <v/>
      </c>
    </row>
    <row r="1864" customFormat="false" ht="15" hidden="false" customHeight="false" outlineLevel="0" collapsed="false">
      <c r="A1864" s="41"/>
      <c r="B1864" s="5" t="n">
        <f aca="false">IF(A1864="",0,IFERROR(MATCH(A1864,Bank!$A:$A,0),0))</f>
        <v>0</v>
      </c>
      <c r="C1864" s="5" t="str">
        <f aca="false">IF(B1864=0,"",IF(INDEX(Bank!$G:$G,B1864)="","",INDEX(Bank!$G:$G,B1864)))</f>
        <v/>
      </c>
      <c r="D1864" s="5" t="str">
        <f aca="false">IF(B1864=0,"",IF(INDEX(Bank!$J:$J,B1864)="","",INDEX(Bank!$J:$J,B1864)))</f>
        <v/>
      </c>
      <c r="E1864" s="32" t="str">
        <f aca="false">IF(B1864=0,"",INDEX(Bank!$B:$B,B1864))</f>
        <v/>
      </c>
      <c r="F1864" s="5" t="str">
        <f aca="false">IF(B1864=0,"",IF(INDEX(Bank!$C:$C,B1864)="","",INDEX(Bank!$C:$C,B1864)))</f>
        <v/>
      </c>
      <c r="G1864" s="19" t="str">
        <f aca="false">IF(B1864=0,"",INDEX(Bank!$E:$E,B1864))</f>
        <v/>
      </c>
      <c r="H1864" s="5" t="str">
        <f aca="false">IF(B1864=0,"",IF(INDEX(Bank!$H:$H,B1864)="","",INDEX(Bank!$H:$H,B1864)))</f>
        <v/>
      </c>
      <c r="I1864" s="5" t="n">
        <f aca="false">IF(H1864="",0,IFERROR(MATCH(H1864,GL!$A:$A,0),0))</f>
        <v>0</v>
      </c>
      <c r="J1864" s="32" t="str">
        <f aca="false">IF(I1864=0,"",INDEX(GL!$B:$B,I1864))</f>
        <v/>
      </c>
      <c r="K1864" s="5" t="str">
        <f aca="false">IF(I1864=0,"",IF(INDEX(GL!$C:$C,I1864)="","",INDEX(GL!$C:$C,I1864)))</f>
        <v/>
      </c>
      <c r="L1864" s="19" t="str">
        <f aca="false">IF(I1864=0,"",INDEX(GL!$E:$E,I1864))</f>
        <v/>
      </c>
      <c r="M1864" s="19" t="str">
        <f aca="false">IF(OR(B1864=0,I1864=0),"",ROUND(G1864-L1864,2))</f>
        <v/>
      </c>
      <c r="N1864" s="5" t="str">
        <f aca="false">IF(A1864="","",IF(B1864=0,"NOT FOUND: bank ID",IF(I1864=0,"NOT FOUND: GL ID",IF(INDEX(GL!$H:$H,I1864)&lt;&gt;A1864,"BROKEN: GL points elsewhere",IF(OR(INDEX(Bank!$F:$F,B1864)&lt;&gt;"Y",INDEX(GL!$F:$F,I1864)&lt;&gt;"Y"),"BROKEN: Status not Y","OK")))))</f>
        <v/>
      </c>
    </row>
    <row r="1865" customFormat="false" ht="15" hidden="false" customHeight="false" outlineLevel="0" collapsed="false">
      <c r="A1865" s="41"/>
      <c r="B1865" s="5" t="n">
        <f aca="false">IF(A1865="",0,IFERROR(MATCH(A1865,Bank!$A:$A,0),0))</f>
        <v>0</v>
      </c>
      <c r="C1865" s="5" t="str">
        <f aca="false">IF(B1865=0,"",IF(INDEX(Bank!$G:$G,B1865)="","",INDEX(Bank!$G:$G,B1865)))</f>
        <v/>
      </c>
      <c r="D1865" s="5" t="str">
        <f aca="false">IF(B1865=0,"",IF(INDEX(Bank!$J:$J,B1865)="","",INDEX(Bank!$J:$J,B1865)))</f>
        <v/>
      </c>
      <c r="E1865" s="32" t="str">
        <f aca="false">IF(B1865=0,"",INDEX(Bank!$B:$B,B1865))</f>
        <v/>
      </c>
      <c r="F1865" s="5" t="str">
        <f aca="false">IF(B1865=0,"",IF(INDEX(Bank!$C:$C,B1865)="","",INDEX(Bank!$C:$C,B1865)))</f>
        <v/>
      </c>
      <c r="G1865" s="19" t="str">
        <f aca="false">IF(B1865=0,"",INDEX(Bank!$E:$E,B1865))</f>
        <v/>
      </c>
      <c r="H1865" s="5" t="str">
        <f aca="false">IF(B1865=0,"",IF(INDEX(Bank!$H:$H,B1865)="","",INDEX(Bank!$H:$H,B1865)))</f>
        <v/>
      </c>
      <c r="I1865" s="5" t="n">
        <f aca="false">IF(H1865="",0,IFERROR(MATCH(H1865,GL!$A:$A,0),0))</f>
        <v>0</v>
      </c>
      <c r="J1865" s="32" t="str">
        <f aca="false">IF(I1865=0,"",INDEX(GL!$B:$B,I1865))</f>
        <v/>
      </c>
      <c r="K1865" s="5" t="str">
        <f aca="false">IF(I1865=0,"",IF(INDEX(GL!$C:$C,I1865)="","",INDEX(GL!$C:$C,I1865)))</f>
        <v/>
      </c>
      <c r="L1865" s="19" t="str">
        <f aca="false">IF(I1865=0,"",INDEX(GL!$E:$E,I1865))</f>
        <v/>
      </c>
      <c r="M1865" s="19" t="str">
        <f aca="false">IF(OR(B1865=0,I1865=0),"",ROUND(G1865-L1865,2))</f>
        <v/>
      </c>
      <c r="N1865" s="5" t="str">
        <f aca="false">IF(A1865="","",IF(B1865=0,"NOT FOUND: bank ID",IF(I1865=0,"NOT FOUND: GL ID",IF(INDEX(GL!$H:$H,I1865)&lt;&gt;A1865,"BROKEN: GL points elsewhere",IF(OR(INDEX(Bank!$F:$F,B1865)&lt;&gt;"Y",INDEX(GL!$F:$F,I1865)&lt;&gt;"Y"),"BROKEN: Status not Y","OK")))))</f>
        <v/>
      </c>
    </row>
    <row r="1866" customFormat="false" ht="15" hidden="false" customHeight="false" outlineLevel="0" collapsed="false">
      <c r="A1866" s="41"/>
      <c r="B1866" s="5" t="n">
        <f aca="false">IF(A1866="",0,IFERROR(MATCH(A1866,Bank!$A:$A,0),0))</f>
        <v>0</v>
      </c>
      <c r="C1866" s="5" t="str">
        <f aca="false">IF(B1866=0,"",IF(INDEX(Bank!$G:$G,B1866)="","",INDEX(Bank!$G:$G,B1866)))</f>
        <v/>
      </c>
      <c r="D1866" s="5" t="str">
        <f aca="false">IF(B1866=0,"",IF(INDEX(Bank!$J:$J,B1866)="","",INDEX(Bank!$J:$J,B1866)))</f>
        <v/>
      </c>
      <c r="E1866" s="32" t="str">
        <f aca="false">IF(B1866=0,"",INDEX(Bank!$B:$B,B1866))</f>
        <v/>
      </c>
      <c r="F1866" s="5" t="str">
        <f aca="false">IF(B1866=0,"",IF(INDEX(Bank!$C:$C,B1866)="","",INDEX(Bank!$C:$C,B1866)))</f>
        <v/>
      </c>
      <c r="G1866" s="19" t="str">
        <f aca="false">IF(B1866=0,"",INDEX(Bank!$E:$E,B1866))</f>
        <v/>
      </c>
      <c r="H1866" s="5" t="str">
        <f aca="false">IF(B1866=0,"",IF(INDEX(Bank!$H:$H,B1866)="","",INDEX(Bank!$H:$H,B1866)))</f>
        <v/>
      </c>
      <c r="I1866" s="5" t="n">
        <f aca="false">IF(H1866="",0,IFERROR(MATCH(H1866,GL!$A:$A,0),0))</f>
        <v>0</v>
      </c>
      <c r="J1866" s="32" t="str">
        <f aca="false">IF(I1866=0,"",INDEX(GL!$B:$B,I1866))</f>
        <v/>
      </c>
      <c r="K1866" s="5" t="str">
        <f aca="false">IF(I1866=0,"",IF(INDEX(GL!$C:$C,I1866)="","",INDEX(GL!$C:$C,I1866)))</f>
        <v/>
      </c>
      <c r="L1866" s="19" t="str">
        <f aca="false">IF(I1866=0,"",INDEX(GL!$E:$E,I1866))</f>
        <v/>
      </c>
      <c r="M1866" s="19" t="str">
        <f aca="false">IF(OR(B1866=0,I1866=0),"",ROUND(G1866-L1866,2))</f>
        <v/>
      </c>
      <c r="N1866" s="5" t="str">
        <f aca="false">IF(A1866="","",IF(B1866=0,"NOT FOUND: bank ID",IF(I1866=0,"NOT FOUND: GL ID",IF(INDEX(GL!$H:$H,I1866)&lt;&gt;A1866,"BROKEN: GL points elsewhere",IF(OR(INDEX(Bank!$F:$F,B1866)&lt;&gt;"Y",INDEX(GL!$F:$F,I1866)&lt;&gt;"Y"),"BROKEN: Status not Y","OK")))))</f>
        <v/>
      </c>
    </row>
    <row r="1867" customFormat="false" ht="15" hidden="false" customHeight="false" outlineLevel="0" collapsed="false">
      <c r="A1867" s="41"/>
      <c r="B1867" s="5" t="n">
        <f aca="false">IF(A1867="",0,IFERROR(MATCH(A1867,Bank!$A:$A,0),0))</f>
        <v>0</v>
      </c>
      <c r="C1867" s="5" t="str">
        <f aca="false">IF(B1867=0,"",IF(INDEX(Bank!$G:$G,B1867)="","",INDEX(Bank!$G:$G,B1867)))</f>
        <v/>
      </c>
      <c r="D1867" s="5" t="str">
        <f aca="false">IF(B1867=0,"",IF(INDEX(Bank!$J:$J,B1867)="","",INDEX(Bank!$J:$J,B1867)))</f>
        <v/>
      </c>
      <c r="E1867" s="32" t="str">
        <f aca="false">IF(B1867=0,"",INDEX(Bank!$B:$B,B1867))</f>
        <v/>
      </c>
      <c r="F1867" s="5" t="str">
        <f aca="false">IF(B1867=0,"",IF(INDEX(Bank!$C:$C,B1867)="","",INDEX(Bank!$C:$C,B1867)))</f>
        <v/>
      </c>
      <c r="G1867" s="19" t="str">
        <f aca="false">IF(B1867=0,"",INDEX(Bank!$E:$E,B1867))</f>
        <v/>
      </c>
      <c r="H1867" s="5" t="str">
        <f aca="false">IF(B1867=0,"",IF(INDEX(Bank!$H:$H,B1867)="","",INDEX(Bank!$H:$H,B1867)))</f>
        <v/>
      </c>
      <c r="I1867" s="5" t="n">
        <f aca="false">IF(H1867="",0,IFERROR(MATCH(H1867,GL!$A:$A,0),0))</f>
        <v>0</v>
      </c>
      <c r="J1867" s="32" t="str">
        <f aca="false">IF(I1867=0,"",INDEX(GL!$B:$B,I1867))</f>
        <v/>
      </c>
      <c r="K1867" s="5" t="str">
        <f aca="false">IF(I1867=0,"",IF(INDEX(GL!$C:$C,I1867)="","",INDEX(GL!$C:$C,I1867)))</f>
        <v/>
      </c>
      <c r="L1867" s="19" t="str">
        <f aca="false">IF(I1867=0,"",INDEX(GL!$E:$E,I1867))</f>
        <v/>
      </c>
      <c r="M1867" s="19" t="str">
        <f aca="false">IF(OR(B1867=0,I1867=0),"",ROUND(G1867-L1867,2))</f>
        <v/>
      </c>
      <c r="N1867" s="5" t="str">
        <f aca="false">IF(A1867="","",IF(B1867=0,"NOT FOUND: bank ID",IF(I1867=0,"NOT FOUND: GL ID",IF(INDEX(GL!$H:$H,I1867)&lt;&gt;A1867,"BROKEN: GL points elsewhere",IF(OR(INDEX(Bank!$F:$F,B1867)&lt;&gt;"Y",INDEX(GL!$F:$F,I1867)&lt;&gt;"Y"),"BROKEN: Status not Y","OK")))))</f>
        <v/>
      </c>
    </row>
    <row r="1868" customFormat="false" ht="15" hidden="false" customHeight="false" outlineLevel="0" collapsed="false">
      <c r="A1868" s="41"/>
      <c r="B1868" s="5" t="n">
        <f aca="false">IF(A1868="",0,IFERROR(MATCH(A1868,Bank!$A:$A,0),0))</f>
        <v>0</v>
      </c>
      <c r="C1868" s="5" t="str">
        <f aca="false">IF(B1868=0,"",IF(INDEX(Bank!$G:$G,B1868)="","",INDEX(Bank!$G:$G,B1868)))</f>
        <v/>
      </c>
      <c r="D1868" s="5" t="str">
        <f aca="false">IF(B1868=0,"",IF(INDEX(Bank!$J:$J,B1868)="","",INDEX(Bank!$J:$J,B1868)))</f>
        <v/>
      </c>
      <c r="E1868" s="32" t="str">
        <f aca="false">IF(B1868=0,"",INDEX(Bank!$B:$B,B1868))</f>
        <v/>
      </c>
      <c r="F1868" s="5" t="str">
        <f aca="false">IF(B1868=0,"",IF(INDEX(Bank!$C:$C,B1868)="","",INDEX(Bank!$C:$C,B1868)))</f>
        <v/>
      </c>
      <c r="G1868" s="19" t="str">
        <f aca="false">IF(B1868=0,"",INDEX(Bank!$E:$E,B1868))</f>
        <v/>
      </c>
      <c r="H1868" s="5" t="str">
        <f aca="false">IF(B1868=0,"",IF(INDEX(Bank!$H:$H,B1868)="","",INDEX(Bank!$H:$H,B1868)))</f>
        <v/>
      </c>
      <c r="I1868" s="5" t="n">
        <f aca="false">IF(H1868="",0,IFERROR(MATCH(H1868,GL!$A:$A,0),0))</f>
        <v>0</v>
      </c>
      <c r="J1868" s="32" t="str">
        <f aca="false">IF(I1868=0,"",INDEX(GL!$B:$B,I1868))</f>
        <v/>
      </c>
      <c r="K1868" s="5" t="str">
        <f aca="false">IF(I1868=0,"",IF(INDEX(GL!$C:$C,I1868)="","",INDEX(GL!$C:$C,I1868)))</f>
        <v/>
      </c>
      <c r="L1868" s="19" t="str">
        <f aca="false">IF(I1868=0,"",INDEX(GL!$E:$E,I1868))</f>
        <v/>
      </c>
      <c r="M1868" s="19" t="str">
        <f aca="false">IF(OR(B1868=0,I1868=0),"",ROUND(G1868-L1868,2))</f>
        <v/>
      </c>
      <c r="N1868" s="5" t="str">
        <f aca="false">IF(A1868="","",IF(B1868=0,"NOT FOUND: bank ID",IF(I1868=0,"NOT FOUND: GL ID",IF(INDEX(GL!$H:$H,I1868)&lt;&gt;A1868,"BROKEN: GL points elsewhere",IF(OR(INDEX(Bank!$F:$F,B1868)&lt;&gt;"Y",INDEX(GL!$F:$F,I1868)&lt;&gt;"Y"),"BROKEN: Status not Y","OK")))))</f>
        <v/>
      </c>
    </row>
    <row r="1869" customFormat="false" ht="15" hidden="false" customHeight="false" outlineLevel="0" collapsed="false">
      <c r="A1869" s="41"/>
      <c r="B1869" s="5" t="n">
        <f aca="false">IF(A1869="",0,IFERROR(MATCH(A1869,Bank!$A:$A,0),0))</f>
        <v>0</v>
      </c>
      <c r="C1869" s="5" t="str">
        <f aca="false">IF(B1869=0,"",IF(INDEX(Bank!$G:$G,B1869)="","",INDEX(Bank!$G:$G,B1869)))</f>
        <v/>
      </c>
      <c r="D1869" s="5" t="str">
        <f aca="false">IF(B1869=0,"",IF(INDEX(Bank!$J:$J,B1869)="","",INDEX(Bank!$J:$J,B1869)))</f>
        <v/>
      </c>
      <c r="E1869" s="32" t="str">
        <f aca="false">IF(B1869=0,"",INDEX(Bank!$B:$B,B1869))</f>
        <v/>
      </c>
      <c r="F1869" s="5" t="str">
        <f aca="false">IF(B1869=0,"",IF(INDEX(Bank!$C:$C,B1869)="","",INDEX(Bank!$C:$C,B1869)))</f>
        <v/>
      </c>
      <c r="G1869" s="19" t="str">
        <f aca="false">IF(B1869=0,"",INDEX(Bank!$E:$E,B1869))</f>
        <v/>
      </c>
      <c r="H1869" s="5" t="str">
        <f aca="false">IF(B1869=0,"",IF(INDEX(Bank!$H:$H,B1869)="","",INDEX(Bank!$H:$H,B1869)))</f>
        <v/>
      </c>
      <c r="I1869" s="5" t="n">
        <f aca="false">IF(H1869="",0,IFERROR(MATCH(H1869,GL!$A:$A,0),0))</f>
        <v>0</v>
      </c>
      <c r="J1869" s="32" t="str">
        <f aca="false">IF(I1869=0,"",INDEX(GL!$B:$B,I1869))</f>
        <v/>
      </c>
      <c r="K1869" s="5" t="str">
        <f aca="false">IF(I1869=0,"",IF(INDEX(GL!$C:$C,I1869)="","",INDEX(GL!$C:$C,I1869)))</f>
        <v/>
      </c>
      <c r="L1869" s="19" t="str">
        <f aca="false">IF(I1869=0,"",INDEX(GL!$E:$E,I1869))</f>
        <v/>
      </c>
      <c r="M1869" s="19" t="str">
        <f aca="false">IF(OR(B1869=0,I1869=0),"",ROUND(G1869-L1869,2))</f>
        <v/>
      </c>
      <c r="N1869" s="5" t="str">
        <f aca="false">IF(A1869="","",IF(B1869=0,"NOT FOUND: bank ID",IF(I1869=0,"NOT FOUND: GL ID",IF(INDEX(GL!$H:$H,I1869)&lt;&gt;A1869,"BROKEN: GL points elsewhere",IF(OR(INDEX(Bank!$F:$F,B1869)&lt;&gt;"Y",INDEX(GL!$F:$F,I1869)&lt;&gt;"Y"),"BROKEN: Status not Y","OK")))))</f>
        <v/>
      </c>
    </row>
    <row r="1870" customFormat="false" ht="15" hidden="false" customHeight="false" outlineLevel="0" collapsed="false">
      <c r="A1870" s="41"/>
      <c r="B1870" s="5" t="n">
        <f aca="false">IF(A1870="",0,IFERROR(MATCH(A1870,Bank!$A:$A,0),0))</f>
        <v>0</v>
      </c>
      <c r="C1870" s="5" t="str">
        <f aca="false">IF(B1870=0,"",IF(INDEX(Bank!$G:$G,B1870)="","",INDEX(Bank!$G:$G,B1870)))</f>
        <v/>
      </c>
      <c r="D1870" s="5" t="str">
        <f aca="false">IF(B1870=0,"",IF(INDEX(Bank!$J:$J,B1870)="","",INDEX(Bank!$J:$J,B1870)))</f>
        <v/>
      </c>
      <c r="E1870" s="32" t="str">
        <f aca="false">IF(B1870=0,"",INDEX(Bank!$B:$B,B1870))</f>
        <v/>
      </c>
      <c r="F1870" s="5" t="str">
        <f aca="false">IF(B1870=0,"",IF(INDEX(Bank!$C:$C,B1870)="","",INDEX(Bank!$C:$C,B1870)))</f>
        <v/>
      </c>
      <c r="G1870" s="19" t="str">
        <f aca="false">IF(B1870=0,"",INDEX(Bank!$E:$E,B1870))</f>
        <v/>
      </c>
      <c r="H1870" s="5" t="str">
        <f aca="false">IF(B1870=0,"",IF(INDEX(Bank!$H:$H,B1870)="","",INDEX(Bank!$H:$H,B1870)))</f>
        <v/>
      </c>
      <c r="I1870" s="5" t="n">
        <f aca="false">IF(H1870="",0,IFERROR(MATCH(H1870,GL!$A:$A,0),0))</f>
        <v>0</v>
      </c>
      <c r="J1870" s="32" t="str">
        <f aca="false">IF(I1870=0,"",INDEX(GL!$B:$B,I1870))</f>
        <v/>
      </c>
      <c r="K1870" s="5" t="str">
        <f aca="false">IF(I1870=0,"",IF(INDEX(GL!$C:$C,I1870)="","",INDEX(GL!$C:$C,I1870)))</f>
        <v/>
      </c>
      <c r="L1870" s="19" t="str">
        <f aca="false">IF(I1870=0,"",INDEX(GL!$E:$E,I1870))</f>
        <v/>
      </c>
      <c r="M1870" s="19" t="str">
        <f aca="false">IF(OR(B1870=0,I1870=0),"",ROUND(G1870-L1870,2))</f>
        <v/>
      </c>
      <c r="N1870" s="5" t="str">
        <f aca="false">IF(A1870="","",IF(B1870=0,"NOT FOUND: bank ID",IF(I1870=0,"NOT FOUND: GL ID",IF(INDEX(GL!$H:$H,I1870)&lt;&gt;A1870,"BROKEN: GL points elsewhere",IF(OR(INDEX(Bank!$F:$F,B1870)&lt;&gt;"Y",INDEX(GL!$F:$F,I1870)&lt;&gt;"Y"),"BROKEN: Status not Y","OK")))))</f>
        <v/>
      </c>
    </row>
    <row r="1871" customFormat="false" ht="15" hidden="false" customHeight="false" outlineLevel="0" collapsed="false">
      <c r="A1871" s="41"/>
      <c r="B1871" s="5" t="n">
        <f aca="false">IF(A1871="",0,IFERROR(MATCH(A1871,Bank!$A:$A,0),0))</f>
        <v>0</v>
      </c>
      <c r="C1871" s="5" t="str">
        <f aca="false">IF(B1871=0,"",IF(INDEX(Bank!$G:$G,B1871)="","",INDEX(Bank!$G:$G,B1871)))</f>
        <v/>
      </c>
      <c r="D1871" s="5" t="str">
        <f aca="false">IF(B1871=0,"",IF(INDEX(Bank!$J:$J,B1871)="","",INDEX(Bank!$J:$J,B1871)))</f>
        <v/>
      </c>
      <c r="E1871" s="32" t="str">
        <f aca="false">IF(B1871=0,"",INDEX(Bank!$B:$B,B1871))</f>
        <v/>
      </c>
      <c r="F1871" s="5" t="str">
        <f aca="false">IF(B1871=0,"",IF(INDEX(Bank!$C:$C,B1871)="","",INDEX(Bank!$C:$C,B1871)))</f>
        <v/>
      </c>
      <c r="G1871" s="19" t="str">
        <f aca="false">IF(B1871=0,"",INDEX(Bank!$E:$E,B1871))</f>
        <v/>
      </c>
      <c r="H1871" s="5" t="str">
        <f aca="false">IF(B1871=0,"",IF(INDEX(Bank!$H:$H,B1871)="","",INDEX(Bank!$H:$H,B1871)))</f>
        <v/>
      </c>
      <c r="I1871" s="5" t="n">
        <f aca="false">IF(H1871="",0,IFERROR(MATCH(H1871,GL!$A:$A,0),0))</f>
        <v>0</v>
      </c>
      <c r="J1871" s="32" t="str">
        <f aca="false">IF(I1871=0,"",INDEX(GL!$B:$B,I1871))</f>
        <v/>
      </c>
      <c r="K1871" s="5" t="str">
        <f aca="false">IF(I1871=0,"",IF(INDEX(GL!$C:$C,I1871)="","",INDEX(GL!$C:$C,I1871)))</f>
        <v/>
      </c>
      <c r="L1871" s="19" t="str">
        <f aca="false">IF(I1871=0,"",INDEX(GL!$E:$E,I1871))</f>
        <v/>
      </c>
      <c r="M1871" s="19" t="str">
        <f aca="false">IF(OR(B1871=0,I1871=0),"",ROUND(G1871-L1871,2))</f>
        <v/>
      </c>
      <c r="N1871" s="5" t="str">
        <f aca="false">IF(A1871="","",IF(B1871=0,"NOT FOUND: bank ID",IF(I1871=0,"NOT FOUND: GL ID",IF(INDEX(GL!$H:$H,I1871)&lt;&gt;A1871,"BROKEN: GL points elsewhere",IF(OR(INDEX(Bank!$F:$F,B1871)&lt;&gt;"Y",INDEX(GL!$F:$F,I1871)&lt;&gt;"Y"),"BROKEN: Status not Y","OK")))))</f>
        <v/>
      </c>
    </row>
    <row r="1872" customFormat="false" ht="15" hidden="false" customHeight="false" outlineLevel="0" collapsed="false">
      <c r="A1872" s="41"/>
      <c r="B1872" s="5" t="n">
        <f aca="false">IF(A1872="",0,IFERROR(MATCH(A1872,Bank!$A:$A,0),0))</f>
        <v>0</v>
      </c>
      <c r="C1872" s="5" t="str">
        <f aca="false">IF(B1872=0,"",IF(INDEX(Bank!$G:$G,B1872)="","",INDEX(Bank!$G:$G,B1872)))</f>
        <v/>
      </c>
      <c r="D1872" s="5" t="str">
        <f aca="false">IF(B1872=0,"",IF(INDEX(Bank!$J:$J,B1872)="","",INDEX(Bank!$J:$J,B1872)))</f>
        <v/>
      </c>
      <c r="E1872" s="32" t="str">
        <f aca="false">IF(B1872=0,"",INDEX(Bank!$B:$B,B1872))</f>
        <v/>
      </c>
      <c r="F1872" s="5" t="str">
        <f aca="false">IF(B1872=0,"",IF(INDEX(Bank!$C:$C,B1872)="","",INDEX(Bank!$C:$C,B1872)))</f>
        <v/>
      </c>
      <c r="G1872" s="19" t="str">
        <f aca="false">IF(B1872=0,"",INDEX(Bank!$E:$E,B1872))</f>
        <v/>
      </c>
      <c r="H1872" s="5" t="str">
        <f aca="false">IF(B1872=0,"",IF(INDEX(Bank!$H:$H,B1872)="","",INDEX(Bank!$H:$H,B1872)))</f>
        <v/>
      </c>
      <c r="I1872" s="5" t="n">
        <f aca="false">IF(H1872="",0,IFERROR(MATCH(H1872,GL!$A:$A,0),0))</f>
        <v>0</v>
      </c>
      <c r="J1872" s="32" t="str">
        <f aca="false">IF(I1872=0,"",INDEX(GL!$B:$B,I1872))</f>
        <v/>
      </c>
      <c r="K1872" s="5" t="str">
        <f aca="false">IF(I1872=0,"",IF(INDEX(GL!$C:$C,I1872)="","",INDEX(GL!$C:$C,I1872)))</f>
        <v/>
      </c>
      <c r="L1872" s="19" t="str">
        <f aca="false">IF(I1872=0,"",INDEX(GL!$E:$E,I1872))</f>
        <v/>
      </c>
      <c r="M1872" s="19" t="str">
        <f aca="false">IF(OR(B1872=0,I1872=0),"",ROUND(G1872-L1872,2))</f>
        <v/>
      </c>
      <c r="N1872" s="5" t="str">
        <f aca="false">IF(A1872="","",IF(B1872=0,"NOT FOUND: bank ID",IF(I1872=0,"NOT FOUND: GL ID",IF(INDEX(GL!$H:$H,I1872)&lt;&gt;A1872,"BROKEN: GL points elsewhere",IF(OR(INDEX(Bank!$F:$F,B1872)&lt;&gt;"Y",INDEX(GL!$F:$F,I1872)&lt;&gt;"Y"),"BROKEN: Status not Y","OK")))))</f>
        <v/>
      </c>
    </row>
    <row r="1873" customFormat="false" ht="15" hidden="false" customHeight="false" outlineLevel="0" collapsed="false">
      <c r="A1873" s="41"/>
      <c r="B1873" s="5" t="n">
        <f aca="false">IF(A1873="",0,IFERROR(MATCH(A1873,Bank!$A:$A,0),0))</f>
        <v>0</v>
      </c>
      <c r="C1873" s="5" t="str">
        <f aca="false">IF(B1873=0,"",IF(INDEX(Bank!$G:$G,B1873)="","",INDEX(Bank!$G:$G,B1873)))</f>
        <v/>
      </c>
      <c r="D1873" s="5" t="str">
        <f aca="false">IF(B1873=0,"",IF(INDEX(Bank!$J:$J,B1873)="","",INDEX(Bank!$J:$J,B1873)))</f>
        <v/>
      </c>
      <c r="E1873" s="32" t="str">
        <f aca="false">IF(B1873=0,"",INDEX(Bank!$B:$B,B1873))</f>
        <v/>
      </c>
      <c r="F1873" s="5" t="str">
        <f aca="false">IF(B1873=0,"",IF(INDEX(Bank!$C:$C,B1873)="","",INDEX(Bank!$C:$C,B1873)))</f>
        <v/>
      </c>
      <c r="G1873" s="19" t="str">
        <f aca="false">IF(B1873=0,"",INDEX(Bank!$E:$E,B1873))</f>
        <v/>
      </c>
      <c r="H1873" s="5" t="str">
        <f aca="false">IF(B1873=0,"",IF(INDEX(Bank!$H:$H,B1873)="","",INDEX(Bank!$H:$H,B1873)))</f>
        <v/>
      </c>
      <c r="I1873" s="5" t="n">
        <f aca="false">IF(H1873="",0,IFERROR(MATCH(H1873,GL!$A:$A,0),0))</f>
        <v>0</v>
      </c>
      <c r="J1873" s="32" t="str">
        <f aca="false">IF(I1873=0,"",INDEX(GL!$B:$B,I1873))</f>
        <v/>
      </c>
      <c r="K1873" s="5" t="str">
        <f aca="false">IF(I1873=0,"",IF(INDEX(GL!$C:$C,I1873)="","",INDEX(GL!$C:$C,I1873)))</f>
        <v/>
      </c>
      <c r="L1873" s="19" t="str">
        <f aca="false">IF(I1873=0,"",INDEX(GL!$E:$E,I1873))</f>
        <v/>
      </c>
      <c r="M1873" s="19" t="str">
        <f aca="false">IF(OR(B1873=0,I1873=0),"",ROUND(G1873-L1873,2))</f>
        <v/>
      </c>
      <c r="N1873" s="5" t="str">
        <f aca="false">IF(A1873="","",IF(B1873=0,"NOT FOUND: bank ID",IF(I1873=0,"NOT FOUND: GL ID",IF(INDEX(GL!$H:$H,I1873)&lt;&gt;A1873,"BROKEN: GL points elsewhere",IF(OR(INDEX(Bank!$F:$F,B1873)&lt;&gt;"Y",INDEX(GL!$F:$F,I1873)&lt;&gt;"Y"),"BROKEN: Status not Y","OK")))))</f>
        <v/>
      </c>
    </row>
    <row r="1874" customFormat="false" ht="15" hidden="false" customHeight="false" outlineLevel="0" collapsed="false">
      <c r="A1874" s="41"/>
      <c r="B1874" s="5" t="n">
        <f aca="false">IF(A1874="",0,IFERROR(MATCH(A1874,Bank!$A:$A,0),0))</f>
        <v>0</v>
      </c>
      <c r="C1874" s="5" t="str">
        <f aca="false">IF(B1874=0,"",IF(INDEX(Bank!$G:$G,B1874)="","",INDEX(Bank!$G:$G,B1874)))</f>
        <v/>
      </c>
      <c r="D1874" s="5" t="str">
        <f aca="false">IF(B1874=0,"",IF(INDEX(Bank!$J:$J,B1874)="","",INDEX(Bank!$J:$J,B1874)))</f>
        <v/>
      </c>
      <c r="E1874" s="32" t="str">
        <f aca="false">IF(B1874=0,"",INDEX(Bank!$B:$B,B1874))</f>
        <v/>
      </c>
      <c r="F1874" s="5" t="str">
        <f aca="false">IF(B1874=0,"",IF(INDEX(Bank!$C:$C,B1874)="","",INDEX(Bank!$C:$C,B1874)))</f>
        <v/>
      </c>
      <c r="G1874" s="19" t="str">
        <f aca="false">IF(B1874=0,"",INDEX(Bank!$E:$E,B1874))</f>
        <v/>
      </c>
      <c r="H1874" s="5" t="str">
        <f aca="false">IF(B1874=0,"",IF(INDEX(Bank!$H:$H,B1874)="","",INDEX(Bank!$H:$H,B1874)))</f>
        <v/>
      </c>
      <c r="I1874" s="5" t="n">
        <f aca="false">IF(H1874="",0,IFERROR(MATCH(H1874,GL!$A:$A,0),0))</f>
        <v>0</v>
      </c>
      <c r="J1874" s="32" t="str">
        <f aca="false">IF(I1874=0,"",INDEX(GL!$B:$B,I1874))</f>
        <v/>
      </c>
      <c r="K1874" s="5" t="str">
        <f aca="false">IF(I1874=0,"",IF(INDEX(GL!$C:$C,I1874)="","",INDEX(GL!$C:$C,I1874)))</f>
        <v/>
      </c>
      <c r="L1874" s="19" t="str">
        <f aca="false">IF(I1874=0,"",INDEX(GL!$E:$E,I1874))</f>
        <v/>
      </c>
      <c r="M1874" s="19" t="str">
        <f aca="false">IF(OR(B1874=0,I1874=0),"",ROUND(G1874-L1874,2))</f>
        <v/>
      </c>
      <c r="N1874" s="5" t="str">
        <f aca="false">IF(A1874="","",IF(B1874=0,"NOT FOUND: bank ID",IF(I1874=0,"NOT FOUND: GL ID",IF(INDEX(GL!$H:$H,I1874)&lt;&gt;A1874,"BROKEN: GL points elsewhere",IF(OR(INDEX(Bank!$F:$F,B1874)&lt;&gt;"Y",INDEX(GL!$F:$F,I1874)&lt;&gt;"Y"),"BROKEN: Status not Y","OK")))))</f>
        <v/>
      </c>
    </row>
    <row r="1875" customFormat="false" ht="15" hidden="false" customHeight="false" outlineLevel="0" collapsed="false">
      <c r="A1875" s="41"/>
      <c r="B1875" s="5" t="n">
        <f aca="false">IF(A1875="",0,IFERROR(MATCH(A1875,Bank!$A:$A,0),0))</f>
        <v>0</v>
      </c>
      <c r="C1875" s="5" t="str">
        <f aca="false">IF(B1875=0,"",IF(INDEX(Bank!$G:$G,B1875)="","",INDEX(Bank!$G:$G,B1875)))</f>
        <v/>
      </c>
      <c r="D1875" s="5" t="str">
        <f aca="false">IF(B1875=0,"",IF(INDEX(Bank!$J:$J,B1875)="","",INDEX(Bank!$J:$J,B1875)))</f>
        <v/>
      </c>
      <c r="E1875" s="32" t="str">
        <f aca="false">IF(B1875=0,"",INDEX(Bank!$B:$B,B1875))</f>
        <v/>
      </c>
      <c r="F1875" s="5" t="str">
        <f aca="false">IF(B1875=0,"",IF(INDEX(Bank!$C:$C,B1875)="","",INDEX(Bank!$C:$C,B1875)))</f>
        <v/>
      </c>
      <c r="G1875" s="19" t="str">
        <f aca="false">IF(B1875=0,"",INDEX(Bank!$E:$E,B1875))</f>
        <v/>
      </c>
      <c r="H1875" s="5" t="str">
        <f aca="false">IF(B1875=0,"",IF(INDEX(Bank!$H:$H,B1875)="","",INDEX(Bank!$H:$H,B1875)))</f>
        <v/>
      </c>
      <c r="I1875" s="5" t="n">
        <f aca="false">IF(H1875="",0,IFERROR(MATCH(H1875,GL!$A:$A,0),0))</f>
        <v>0</v>
      </c>
      <c r="J1875" s="32" t="str">
        <f aca="false">IF(I1875=0,"",INDEX(GL!$B:$B,I1875))</f>
        <v/>
      </c>
      <c r="K1875" s="5" t="str">
        <f aca="false">IF(I1875=0,"",IF(INDEX(GL!$C:$C,I1875)="","",INDEX(GL!$C:$C,I1875)))</f>
        <v/>
      </c>
      <c r="L1875" s="19" t="str">
        <f aca="false">IF(I1875=0,"",INDEX(GL!$E:$E,I1875))</f>
        <v/>
      </c>
      <c r="M1875" s="19" t="str">
        <f aca="false">IF(OR(B1875=0,I1875=0),"",ROUND(G1875-L1875,2))</f>
        <v/>
      </c>
      <c r="N1875" s="5" t="str">
        <f aca="false">IF(A1875="","",IF(B1875=0,"NOT FOUND: bank ID",IF(I1875=0,"NOT FOUND: GL ID",IF(INDEX(GL!$H:$H,I1875)&lt;&gt;A1875,"BROKEN: GL points elsewhere",IF(OR(INDEX(Bank!$F:$F,B1875)&lt;&gt;"Y",INDEX(GL!$F:$F,I1875)&lt;&gt;"Y"),"BROKEN: Status not Y","OK")))))</f>
        <v/>
      </c>
    </row>
    <row r="1876" customFormat="false" ht="15" hidden="false" customHeight="false" outlineLevel="0" collapsed="false">
      <c r="A1876" s="41"/>
      <c r="B1876" s="5" t="n">
        <f aca="false">IF(A1876="",0,IFERROR(MATCH(A1876,Bank!$A:$A,0),0))</f>
        <v>0</v>
      </c>
      <c r="C1876" s="5" t="str">
        <f aca="false">IF(B1876=0,"",IF(INDEX(Bank!$G:$G,B1876)="","",INDEX(Bank!$G:$G,B1876)))</f>
        <v/>
      </c>
      <c r="D1876" s="5" t="str">
        <f aca="false">IF(B1876=0,"",IF(INDEX(Bank!$J:$J,B1876)="","",INDEX(Bank!$J:$J,B1876)))</f>
        <v/>
      </c>
      <c r="E1876" s="32" t="str">
        <f aca="false">IF(B1876=0,"",INDEX(Bank!$B:$B,B1876))</f>
        <v/>
      </c>
      <c r="F1876" s="5" t="str">
        <f aca="false">IF(B1876=0,"",IF(INDEX(Bank!$C:$C,B1876)="","",INDEX(Bank!$C:$C,B1876)))</f>
        <v/>
      </c>
      <c r="G1876" s="19" t="str">
        <f aca="false">IF(B1876=0,"",INDEX(Bank!$E:$E,B1876))</f>
        <v/>
      </c>
      <c r="H1876" s="5" t="str">
        <f aca="false">IF(B1876=0,"",IF(INDEX(Bank!$H:$H,B1876)="","",INDEX(Bank!$H:$H,B1876)))</f>
        <v/>
      </c>
      <c r="I1876" s="5" t="n">
        <f aca="false">IF(H1876="",0,IFERROR(MATCH(H1876,GL!$A:$A,0),0))</f>
        <v>0</v>
      </c>
      <c r="J1876" s="32" t="str">
        <f aca="false">IF(I1876=0,"",INDEX(GL!$B:$B,I1876))</f>
        <v/>
      </c>
      <c r="K1876" s="5" t="str">
        <f aca="false">IF(I1876=0,"",IF(INDEX(GL!$C:$C,I1876)="","",INDEX(GL!$C:$C,I1876)))</f>
        <v/>
      </c>
      <c r="L1876" s="19" t="str">
        <f aca="false">IF(I1876=0,"",INDEX(GL!$E:$E,I1876))</f>
        <v/>
      </c>
      <c r="M1876" s="19" t="str">
        <f aca="false">IF(OR(B1876=0,I1876=0),"",ROUND(G1876-L1876,2))</f>
        <v/>
      </c>
      <c r="N1876" s="5" t="str">
        <f aca="false">IF(A1876="","",IF(B1876=0,"NOT FOUND: bank ID",IF(I1876=0,"NOT FOUND: GL ID",IF(INDEX(GL!$H:$H,I1876)&lt;&gt;A1876,"BROKEN: GL points elsewhere",IF(OR(INDEX(Bank!$F:$F,B1876)&lt;&gt;"Y",INDEX(GL!$F:$F,I1876)&lt;&gt;"Y"),"BROKEN: Status not Y","OK")))))</f>
        <v/>
      </c>
    </row>
    <row r="1877" customFormat="false" ht="15" hidden="false" customHeight="false" outlineLevel="0" collapsed="false">
      <c r="A1877" s="41"/>
      <c r="B1877" s="5" t="n">
        <f aca="false">IF(A1877="",0,IFERROR(MATCH(A1877,Bank!$A:$A,0),0))</f>
        <v>0</v>
      </c>
      <c r="C1877" s="5" t="str">
        <f aca="false">IF(B1877=0,"",IF(INDEX(Bank!$G:$G,B1877)="","",INDEX(Bank!$G:$G,B1877)))</f>
        <v/>
      </c>
      <c r="D1877" s="5" t="str">
        <f aca="false">IF(B1877=0,"",IF(INDEX(Bank!$J:$J,B1877)="","",INDEX(Bank!$J:$J,B1877)))</f>
        <v/>
      </c>
      <c r="E1877" s="32" t="str">
        <f aca="false">IF(B1877=0,"",INDEX(Bank!$B:$B,B1877))</f>
        <v/>
      </c>
      <c r="F1877" s="5" t="str">
        <f aca="false">IF(B1877=0,"",IF(INDEX(Bank!$C:$C,B1877)="","",INDEX(Bank!$C:$C,B1877)))</f>
        <v/>
      </c>
      <c r="G1877" s="19" t="str">
        <f aca="false">IF(B1877=0,"",INDEX(Bank!$E:$E,B1877))</f>
        <v/>
      </c>
      <c r="H1877" s="5" t="str">
        <f aca="false">IF(B1877=0,"",IF(INDEX(Bank!$H:$H,B1877)="","",INDEX(Bank!$H:$H,B1877)))</f>
        <v/>
      </c>
      <c r="I1877" s="5" t="n">
        <f aca="false">IF(H1877="",0,IFERROR(MATCH(H1877,GL!$A:$A,0),0))</f>
        <v>0</v>
      </c>
      <c r="J1877" s="32" t="str">
        <f aca="false">IF(I1877=0,"",INDEX(GL!$B:$B,I1877))</f>
        <v/>
      </c>
      <c r="K1877" s="5" t="str">
        <f aca="false">IF(I1877=0,"",IF(INDEX(GL!$C:$C,I1877)="","",INDEX(GL!$C:$C,I1877)))</f>
        <v/>
      </c>
      <c r="L1877" s="19" t="str">
        <f aca="false">IF(I1877=0,"",INDEX(GL!$E:$E,I1877))</f>
        <v/>
      </c>
      <c r="M1877" s="19" t="str">
        <f aca="false">IF(OR(B1877=0,I1877=0),"",ROUND(G1877-L1877,2))</f>
        <v/>
      </c>
      <c r="N1877" s="5" t="str">
        <f aca="false">IF(A1877="","",IF(B1877=0,"NOT FOUND: bank ID",IF(I1877=0,"NOT FOUND: GL ID",IF(INDEX(GL!$H:$H,I1877)&lt;&gt;A1877,"BROKEN: GL points elsewhere",IF(OR(INDEX(Bank!$F:$F,B1877)&lt;&gt;"Y",INDEX(GL!$F:$F,I1877)&lt;&gt;"Y"),"BROKEN: Status not Y","OK")))))</f>
        <v/>
      </c>
    </row>
    <row r="1878" customFormat="false" ht="15" hidden="false" customHeight="false" outlineLevel="0" collapsed="false">
      <c r="A1878" s="41"/>
      <c r="B1878" s="5" t="n">
        <f aca="false">IF(A1878="",0,IFERROR(MATCH(A1878,Bank!$A:$A,0),0))</f>
        <v>0</v>
      </c>
      <c r="C1878" s="5" t="str">
        <f aca="false">IF(B1878=0,"",IF(INDEX(Bank!$G:$G,B1878)="","",INDEX(Bank!$G:$G,B1878)))</f>
        <v/>
      </c>
      <c r="D1878" s="5" t="str">
        <f aca="false">IF(B1878=0,"",IF(INDEX(Bank!$J:$J,B1878)="","",INDEX(Bank!$J:$J,B1878)))</f>
        <v/>
      </c>
      <c r="E1878" s="32" t="str">
        <f aca="false">IF(B1878=0,"",INDEX(Bank!$B:$B,B1878))</f>
        <v/>
      </c>
      <c r="F1878" s="5" t="str">
        <f aca="false">IF(B1878=0,"",IF(INDEX(Bank!$C:$C,B1878)="","",INDEX(Bank!$C:$C,B1878)))</f>
        <v/>
      </c>
      <c r="G1878" s="19" t="str">
        <f aca="false">IF(B1878=0,"",INDEX(Bank!$E:$E,B1878))</f>
        <v/>
      </c>
      <c r="H1878" s="5" t="str">
        <f aca="false">IF(B1878=0,"",IF(INDEX(Bank!$H:$H,B1878)="","",INDEX(Bank!$H:$H,B1878)))</f>
        <v/>
      </c>
      <c r="I1878" s="5" t="n">
        <f aca="false">IF(H1878="",0,IFERROR(MATCH(H1878,GL!$A:$A,0),0))</f>
        <v>0</v>
      </c>
      <c r="J1878" s="32" t="str">
        <f aca="false">IF(I1878=0,"",INDEX(GL!$B:$B,I1878))</f>
        <v/>
      </c>
      <c r="K1878" s="5" t="str">
        <f aca="false">IF(I1878=0,"",IF(INDEX(GL!$C:$C,I1878)="","",INDEX(GL!$C:$C,I1878)))</f>
        <v/>
      </c>
      <c r="L1878" s="19" t="str">
        <f aca="false">IF(I1878=0,"",INDEX(GL!$E:$E,I1878))</f>
        <v/>
      </c>
      <c r="M1878" s="19" t="str">
        <f aca="false">IF(OR(B1878=0,I1878=0),"",ROUND(G1878-L1878,2))</f>
        <v/>
      </c>
      <c r="N1878" s="5" t="str">
        <f aca="false">IF(A1878="","",IF(B1878=0,"NOT FOUND: bank ID",IF(I1878=0,"NOT FOUND: GL ID",IF(INDEX(GL!$H:$H,I1878)&lt;&gt;A1878,"BROKEN: GL points elsewhere",IF(OR(INDEX(Bank!$F:$F,B1878)&lt;&gt;"Y",INDEX(GL!$F:$F,I1878)&lt;&gt;"Y"),"BROKEN: Status not Y","OK")))))</f>
        <v/>
      </c>
    </row>
    <row r="1879" customFormat="false" ht="15" hidden="false" customHeight="false" outlineLevel="0" collapsed="false">
      <c r="A1879" s="41"/>
      <c r="B1879" s="5" t="n">
        <f aca="false">IF(A1879="",0,IFERROR(MATCH(A1879,Bank!$A:$A,0),0))</f>
        <v>0</v>
      </c>
      <c r="C1879" s="5" t="str">
        <f aca="false">IF(B1879=0,"",IF(INDEX(Bank!$G:$G,B1879)="","",INDEX(Bank!$G:$G,B1879)))</f>
        <v/>
      </c>
      <c r="D1879" s="5" t="str">
        <f aca="false">IF(B1879=0,"",IF(INDEX(Bank!$J:$J,B1879)="","",INDEX(Bank!$J:$J,B1879)))</f>
        <v/>
      </c>
      <c r="E1879" s="32" t="str">
        <f aca="false">IF(B1879=0,"",INDEX(Bank!$B:$B,B1879))</f>
        <v/>
      </c>
      <c r="F1879" s="5" t="str">
        <f aca="false">IF(B1879=0,"",IF(INDEX(Bank!$C:$C,B1879)="","",INDEX(Bank!$C:$C,B1879)))</f>
        <v/>
      </c>
      <c r="G1879" s="19" t="str">
        <f aca="false">IF(B1879=0,"",INDEX(Bank!$E:$E,B1879))</f>
        <v/>
      </c>
      <c r="H1879" s="5" t="str">
        <f aca="false">IF(B1879=0,"",IF(INDEX(Bank!$H:$H,B1879)="","",INDEX(Bank!$H:$H,B1879)))</f>
        <v/>
      </c>
      <c r="I1879" s="5" t="n">
        <f aca="false">IF(H1879="",0,IFERROR(MATCH(H1879,GL!$A:$A,0),0))</f>
        <v>0</v>
      </c>
      <c r="J1879" s="32" t="str">
        <f aca="false">IF(I1879=0,"",INDEX(GL!$B:$B,I1879))</f>
        <v/>
      </c>
      <c r="K1879" s="5" t="str">
        <f aca="false">IF(I1879=0,"",IF(INDEX(GL!$C:$C,I1879)="","",INDEX(GL!$C:$C,I1879)))</f>
        <v/>
      </c>
      <c r="L1879" s="19" t="str">
        <f aca="false">IF(I1879=0,"",INDEX(GL!$E:$E,I1879))</f>
        <v/>
      </c>
      <c r="M1879" s="19" t="str">
        <f aca="false">IF(OR(B1879=0,I1879=0),"",ROUND(G1879-L1879,2))</f>
        <v/>
      </c>
      <c r="N1879" s="5" t="str">
        <f aca="false">IF(A1879="","",IF(B1879=0,"NOT FOUND: bank ID",IF(I1879=0,"NOT FOUND: GL ID",IF(INDEX(GL!$H:$H,I1879)&lt;&gt;A1879,"BROKEN: GL points elsewhere",IF(OR(INDEX(Bank!$F:$F,B1879)&lt;&gt;"Y",INDEX(GL!$F:$F,I1879)&lt;&gt;"Y"),"BROKEN: Status not Y","OK")))))</f>
        <v/>
      </c>
    </row>
    <row r="1880" customFormat="false" ht="15" hidden="false" customHeight="false" outlineLevel="0" collapsed="false">
      <c r="A1880" s="41"/>
      <c r="B1880" s="5" t="n">
        <f aca="false">IF(A1880="",0,IFERROR(MATCH(A1880,Bank!$A:$A,0),0))</f>
        <v>0</v>
      </c>
      <c r="C1880" s="5" t="str">
        <f aca="false">IF(B1880=0,"",IF(INDEX(Bank!$G:$G,B1880)="","",INDEX(Bank!$G:$G,B1880)))</f>
        <v/>
      </c>
      <c r="D1880" s="5" t="str">
        <f aca="false">IF(B1880=0,"",IF(INDEX(Bank!$J:$J,B1880)="","",INDEX(Bank!$J:$J,B1880)))</f>
        <v/>
      </c>
      <c r="E1880" s="32" t="str">
        <f aca="false">IF(B1880=0,"",INDEX(Bank!$B:$B,B1880))</f>
        <v/>
      </c>
      <c r="F1880" s="5" t="str">
        <f aca="false">IF(B1880=0,"",IF(INDEX(Bank!$C:$C,B1880)="","",INDEX(Bank!$C:$C,B1880)))</f>
        <v/>
      </c>
      <c r="G1880" s="19" t="str">
        <f aca="false">IF(B1880=0,"",INDEX(Bank!$E:$E,B1880))</f>
        <v/>
      </c>
      <c r="H1880" s="5" t="str">
        <f aca="false">IF(B1880=0,"",IF(INDEX(Bank!$H:$H,B1880)="","",INDEX(Bank!$H:$H,B1880)))</f>
        <v/>
      </c>
      <c r="I1880" s="5" t="n">
        <f aca="false">IF(H1880="",0,IFERROR(MATCH(H1880,GL!$A:$A,0),0))</f>
        <v>0</v>
      </c>
      <c r="J1880" s="32" t="str">
        <f aca="false">IF(I1880=0,"",INDEX(GL!$B:$B,I1880))</f>
        <v/>
      </c>
      <c r="K1880" s="5" t="str">
        <f aca="false">IF(I1880=0,"",IF(INDEX(GL!$C:$C,I1880)="","",INDEX(GL!$C:$C,I1880)))</f>
        <v/>
      </c>
      <c r="L1880" s="19" t="str">
        <f aca="false">IF(I1880=0,"",INDEX(GL!$E:$E,I1880))</f>
        <v/>
      </c>
      <c r="M1880" s="19" t="str">
        <f aca="false">IF(OR(B1880=0,I1880=0),"",ROUND(G1880-L1880,2))</f>
        <v/>
      </c>
      <c r="N1880" s="5" t="str">
        <f aca="false">IF(A1880="","",IF(B1880=0,"NOT FOUND: bank ID",IF(I1880=0,"NOT FOUND: GL ID",IF(INDEX(GL!$H:$H,I1880)&lt;&gt;A1880,"BROKEN: GL points elsewhere",IF(OR(INDEX(Bank!$F:$F,B1880)&lt;&gt;"Y",INDEX(GL!$F:$F,I1880)&lt;&gt;"Y"),"BROKEN: Status not Y","OK")))))</f>
        <v/>
      </c>
    </row>
    <row r="1881" customFormat="false" ht="15" hidden="false" customHeight="false" outlineLevel="0" collapsed="false">
      <c r="A1881" s="41"/>
      <c r="B1881" s="5" t="n">
        <f aca="false">IF(A1881="",0,IFERROR(MATCH(A1881,Bank!$A:$A,0),0))</f>
        <v>0</v>
      </c>
      <c r="C1881" s="5" t="str">
        <f aca="false">IF(B1881=0,"",IF(INDEX(Bank!$G:$G,B1881)="","",INDEX(Bank!$G:$G,B1881)))</f>
        <v/>
      </c>
      <c r="D1881" s="5" t="str">
        <f aca="false">IF(B1881=0,"",IF(INDEX(Bank!$J:$J,B1881)="","",INDEX(Bank!$J:$J,B1881)))</f>
        <v/>
      </c>
      <c r="E1881" s="32" t="str">
        <f aca="false">IF(B1881=0,"",INDEX(Bank!$B:$B,B1881))</f>
        <v/>
      </c>
      <c r="F1881" s="5" t="str">
        <f aca="false">IF(B1881=0,"",IF(INDEX(Bank!$C:$C,B1881)="","",INDEX(Bank!$C:$C,B1881)))</f>
        <v/>
      </c>
      <c r="G1881" s="19" t="str">
        <f aca="false">IF(B1881=0,"",INDEX(Bank!$E:$E,B1881))</f>
        <v/>
      </c>
      <c r="H1881" s="5" t="str">
        <f aca="false">IF(B1881=0,"",IF(INDEX(Bank!$H:$H,B1881)="","",INDEX(Bank!$H:$H,B1881)))</f>
        <v/>
      </c>
      <c r="I1881" s="5" t="n">
        <f aca="false">IF(H1881="",0,IFERROR(MATCH(H1881,GL!$A:$A,0),0))</f>
        <v>0</v>
      </c>
      <c r="J1881" s="32" t="str">
        <f aca="false">IF(I1881=0,"",INDEX(GL!$B:$B,I1881))</f>
        <v/>
      </c>
      <c r="K1881" s="5" t="str">
        <f aca="false">IF(I1881=0,"",IF(INDEX(GL!$C:$C,I1881)="","",INDEX(GL!$C:$C,I1881)))</f>
        <v/>
      </c>
      <c r="L1881" s="19" t="str">
        <f aca="false">IF(I1881=0,"",INDEX(GL!$E:$E,I1881))</f>
        <v/>
      </c>
      <c r="M1881" s="19" t="str">
        <f aca="false">IF(OR(B1881=0,I1881=0),"",ROUND(G1881-L1881,2))</f>
        <v/>
      </c>
      <c r="N1881" s="5" t="str">
        <f aca="false">IF(A1881="","",IF(B1881=0,"NOT FOUND: bank ID",IF(I1881=0,"NOT FOUND: GL ID",IF(INDEX(GL!$H:$H,I1881)&lt;&gt;A1881,"BROKEN: GL points elsewhere",IF(OR(INDEX(Bank!$F:$F,B1881)&lt;&gt;"Y",INDEX(GL!$F:$F,I1881)&lt;&gt;"Y"),"BROKEN: Status not Y","OK")))))</f>
        <v/>
      </c>
    </row>
    <row r="1882" customFormat="false" ht="15" hidden="false" customHeight="false" outlineLevel="0" collapsed="false">
      <c r="A1882" s="41"/>
      <c r="B1882" s="5" t="n">
        <f aca="false">IF(A1882="",0,IFERROR(MATCH(A1882,Bank!$A:$A,0),0))</f>
        <v>0</v>
      </c>
      <c r="C1882" s="5" t="str">
        <f aca="false">IF(B1882=0,"",IF(INDEX(Bank!$G:$G,B1882)="","",INDEX(Bank!$G:$G,B1882)))</f>
        <v/>
      </c>
      <c r="D1882" s="5" t="str">
        <f aca="false">IF(B1882=0,"",IF(INDEX(Bank!$J:$J,B1882)="","",INDEX(Bank!$J:$J,B1882)))</f>
        <v/>
      </c>
      <c r="E1882" s="32" t="str">
        <f aca="false">IF(B1882=0,"",INDEX(Bank!$B:$B,B1882))</f>
        <v/>
      </c>
      <c r="F1882" s="5" t="str">
        <f aca="false">IF(B1882=0,"",IF(INDEX(Bank!$C:$C,B1882)="","",INDEX(Bank!$C:$C,B1882)))</f>
        <v/>
      </c>
      <c r="G1882" s="19" t="str">
        <f aca="false">IF(B1882=0,"",INDEX(Bank!$E:$E,B1882))</f>
        <v/>
      </c>
      <c r="H1882" s="5" t="str">
        <f aca="false">IF(B1882=0,"",IF(INDEX(Bank!$H:$H,B1882)="","",INDEX(Bank!$H:$H,B1882)))</f>
        <v/>
      </c>
      <c r="I1882" s="5" t="n">
        <f aca="false">IF(H1882="",0,IFERROR(MATCH(H1882,GL!$A:$A,0),0))</f>
        <v>0</v>
      </c>
      <c r="J1882" s="32" t="str">
        <f aca="false">IF(I1882=0,"",INDEX(GL!$B:$B,I1882))</f>
        <v/>
      </c>
      <c r="K1882" s="5" t="str">
        <f aca="false">IF(I1882=0,"",IF(INDEX(GL!$C:$C,I1882)="","",INDEX(GL!$C:$C,I1882)))</f>
        <v/>
      </c>
      <c r="L1882" s="19" t="str">
        <f aca="false">IF(I1882=0,"",INDEX(GL!$E:$E,I1882))</f>
        <v/>
      </c>
      <c r="M1882" s="19" t="str">
        <f aca="false">IF(OR(B1882=0,I1882=0),"",ROUND(G1882-L1882,2))</f>
        <v/>
      </c>
      <c r="N1882" s="5" t="str">
        <f aca="false">IF(A1882="","",IF(B1882=0,"NOT FOUND: bank ID",IF(I1882=0,"NOT FOUND: GL ID",IF(INDEX(GL!$H:$H,I1882)&lt;&gt;A1882,"BROKEN: GL points elsewhere",IF(OR(INDEX(Bank!$F:$F,B1882)&lt;&gt;"Y",INDEX(GL!$F:$F,I1882)&lt;&gt;"Y"),"BROKEN: Status not Y","OK")))))</f>
        <v/>
      </c>
    </row>
    <row r="1883" customFormat="false" ht="15" hidden="false" customHeight="false" outlineLevel="0" collapsed="false">
      <c r="A1883" s="41"/>
      <c r="B1883" s="5" t="n">
        <f aca="false">IF(A1883="",0,IFERROR(MATCH(A1883,Bank!$A:$A,0),0))</f>
        <v>0</v>
      </c>
      <c r="C1883" s="5" t="str">
        <f aca="false">IF(B1883=0,"",IF(INDEX(Bank!$G:$G,B1883)="","",INDEX(Bank!$G:$G,B1883)))</f>
        <v/>
      </c>
      <c r="D1883" s="5" t="str">
        <f aca="false">IF(B1883=0,"",IF(INDEX(Bank!$J:$J,B1883)="","",INDEX(Bank!$J:$J,B1883)))</f>
        <v/>
      </c>
      <c r="E1883" s="32" t="str">
        <f aca="false">IF(B1883=0,"",INDEX(Bank!$B:$B,B1883))</f>
        <v/>
      </c>
      <c r="F1883" s="5" t="str">
        <f aca="false">IF(B1883=0,"",IF(INDEX(Bank!$C:$C,B1883)="","",INDEX(Bank!$C:$C,B1883)))</f>
        <v/>
      </c>
      <c r="G1883" s="19" t="str">
        <f aca="false">IF(B1883=0,"",INDEX(Bank!$E:$E,B1883))</f>
        <v/>
      </c>
      <c r="H1883" s="5" t="str">
        <f aca="false">IF(B1883=0,"",IF(INDEX(Bank!$H:$H,B1883)="","",INDEX(Bank!$H:$H,B1883)))</f>
        <v/>
      </c>
      <c r="I1883" s="5" t="n">
        <f aca="false">IF(H1883="",0,IFERROR(MATCH(H1883,GL!$A:$A,0),0))</f>
        <v>0</v>
      </c>
      <c r="J1883" s="32" t="str">
        <f aca="false">IF(I1883=0,"",INDEX(GL!$B:$B,I1883))</f>
        <v/>
      </c>
      <c r="K1883" s="5" t="str">
        <f aca="false">IF(I1883=0,"",IF(INDEX(GL!$C:$C,I1883)="","",INDEX(GL!$C:$C,I1883)))</f>
        <v/>
      </c>
      <c r="L1883" s="19" t="str">
        <f aca="false">IF(I1883=0,"",INDEX(GL!$E:$E,I1883))</f>
        <v/>
      </c>
      <c r="M1883" s="19" t="str">
        <f aca="false">IF(OR(B1883=0,I1883=0),"",ROUND(G1883-L1883,2))</f>
        <v/>
      </c>
      <c r="N1883" s="5" t="str">
        <f aca="false">IF(A1883="","",IF(B1883=0,"NOT FOUND: bank ID",IF(I1883=0,"NOT FOUND: GL ID",IF(INDEX(GL!$H:$H,I1883)&lt;&gt;A1883,"BROKEN: GL points elsewhere",IF(OR(INDEX(Bank!$F:$F,B1883)&lt;&gt;"Y",INDEX(GL!$F:$F,I1883)&lt;&gt;"Y"),"BROKEN: Status not Y","OK")))))</f>
        <v/>
      </c>
    </row>
    <row r="1884" customFormat="false" ht="15" hidden="false" customHeight="false" outlineLevel="0" collapsed="false">
      <c r="A1884" s="41"/>
      <c r="B1884" s="5" t="n">
        <f aca="false">IF(A1884="",0,IFERROR(MATCH(A1884,Bank!$A:$A,0),0))</f>
        <v>0</v>
      </c>
      <c r="C1884" s="5" t="str">
        <f aca="false">IF(B1884=0,"",IF(INDEX(Bank!$G:$G,B1884)="","",INDEX(Bank!$G:$G,B1884)))</f>
        <v/>
      </c>
      <c r="D1884" s="5" t="str">
        <f aca="false">IF(B1884=0,"",IF(INDEX(Bank!$J:$J,B1884)="","",INDEX(Bank!$J:$J,B1884)))</f>
        <v/>
      </c>
      <c r="E1884" s="32" t="str">
        <f aca="false">IF(B1884=0,"",INDEX(Bank!$B:$B,B1884))</f>
        <v/>
      </c>
      <c r="F1884" s="5" t="str">
        <f aca="false">IF(B1884=0,"",IF(INDEX(Bank!$C:$C,B1884)="","",INDEX(Bank!$C:$C,B1884)))</f>
        <v/>
      </c>
      <c r="G1884" s="19" t="str">
        <f aca="false">IF(B1884=0,"",INDEX(Bank!$E:$E,B1884))</f>
        <v/>
      </c>
      <c r="H1884" s="5" t="str">
        <f aca="false">IF(B1884=0,"",IF(INDEX(Bank!$H:$H,B1884)="","",INDEX(Bank!$H:$H,B1884)))</f>
        <v/>
      </c>
      <c r="I1884" s="5" t="n">
        <f aca="false">IF(H1884="",0,IFERROR(MATCH(H1884,GL!$A:$A,0),0))</f>
        <v>0</v>
      </c>
      <c r="J1884" s="32" t="str">
        <f aca="false">IF(I1884=0,"",INDEX(GL!$B:$B,I1884))</f>
        <v/>
      </c>
      <c r="K1884" s="5" t="str">
        <f aca="false">IF(I1884=0,"",IF(INDEX(GL!$C:$C,I1884)="","",INDEX(GL!$C:$C,I1884)))</f>
        <v/>
      </c>
      <c r="L1884" s="19" t="str">
        <f aca="false">IF(I1884=0,"",INDEX(GL!$E:$E,I1884))</f>
        <v/>
      </c>
      <c r="M1884" s="19" t="str">
        <f aca="false">IF(OR(B1884=0,I1884=0),"",ROUND(G1884-L1884,2))</f>
        <v/>
      </c>
      <c r="N1884" s="5" t="str">
        <f aca="false">IF(A1884="","",IF(B1884=0,"NOT FOUND: bank ID",IF(I1884=0,"NOT FOUND: GL ID",IF(INDEX(GL!$H:$H,I1884)&lt;&gt;A1884,"BROKEN: GL points elsewhere",IF(OR(INDEX(Bank!$F:$F,B1884)&lt;&gt;"Y",INDEX(GL!$F:$F,I1884)&lt;&gt;"Y"),"BROKEN: Status not Y","OK")))))</f>
        <v/>
      </c>
    </row>
    <row r="1885" customFormat="false" ht="15" hidden="false" customHeight="false" outlineLevel="0" collapsed="false">
      <c r="A1885" s="41"/>
      <c r="B1885" s="5" t="n">
        <f aca="false">IF(A1885="",0,IFERROR(MATCH(A1885,Bank!$A:$A,0),0))</f>
        <v>0</v>
      </c>
      <c r="C1885" s="5" t="str">
        <f aca="false">IF(B1885=0,"",IF(INDEX(Bank!$G:$G,B1885)="","",INDEX(Bank!$G:$G,B1885)))</f>
        <v/>
      </c>
      <c r="D1885" s="5" t="str">
        <f aca="false">IF(B1885=0,"",IF(INDEX(Bank!$J:$J,B1885)="","",INDEX(Bank!$J:$J,B1885)))</f>
        <v/>
      </c>
      <c r="E1885" s="32" t="str">
        <f aca="false">IF(B1885=0,"",INDEX(Bank!$B:$B,B1885))</f>
        <v/>
      </c>
      <c r="F1885" s="5" t="str">
        <f aca="false">IF(B1885=0,"",IF(INDEX(Bank!$C:$C,B1885)="","",INDEX(Bank!$C:$C,B1885)))</f>
        <v/>
      </c>
      <c r="G1885" s="19" t="str">
        <f aca="false">IF(B1885=0,"",INDEX(Bank!$E:$E,B1885))</f>
        <v/>
      </c>
      <c r="H1885" s="5" t="str">
        <f aca="false">IF(B1885=0,"",IF(INDEX(Bank!$H:$H,B1885)="","",INDEX(Bank!$H:$H,B1885)))</f>
        <v/>
      </c>
      <c r="I1885" s="5" t="n">
        <f aca="false">IF(H1885="",0,IFERROR(MATCH(H1885,GL!$A:$A,0),0))</f>
        <v>0</v>
      </c>
      <c r="J1885" s="32" t="str">
        <f aca="false">IF(I1885=0,"",INDEX(GL!$B:$B,I1885))</f>
        <v/>
      </c>
      <c r="K1885" s="5" t="str">
        <f aca="false">IF(I1885=0,"",IF(INDEX(GL!$C:$C,I1885)="","",INDEX(GL!$C:$C,I1885)))</f>
        <v/>
      </c>
      <c r="L1885" s="19" t="str">
        <f aca="false">IF(I1885=0,"",INDEX(GL!$E:$E,I1885))</f>
        <v/>
      </c>
      <c r="M1885" s="19" t="str">
        <f aca="false">IF(OR(B1885=0,I1885=0),"",ROUND(G1885-L1885,2))</f>
        <v/>
      </c>
      <c r="N1885" s="5" t="str">
        <f aca="false">IF(A1885="","",IF(B1885=0,"NOT FOUND: bank ID",IF(I1885=0,"NOT FOUND: GL ID",IF(INDEX(GL!$H:$H,I1885)&lt;&gt;A1885,"BROKEN: GL points elsewhere",IF(OR(INDEX(Bank!$F:$F,B1885)&lt;&gt;"Y",INDEX(GL!$F:$F,I1885)&lt;&gt;"Y"),"BROKEN: Status not Y","OK")))))</f>
        <v/>
      </c>
    </row>
    <row r="1886" customFormat="false" ht="15" hidden="false" customHeight="false" outlineLevel="0" collapsed="false">
      <c r="A1886" s="41"/>
      <c r="B1886" s="5" t="n">
        <f aca="false">IF(A1886="",0,IFERROR(MATCH(A1886,Bank!$A:$A,0),0))</f>
        <v>0</v>
      </c>
      <c r="C1886" s="5" t="str">
        <f aca="false">IF(B1886=0,"",IF(INDEX(Bank!$G:$G,B1886)="","",INDEX(Bank!$G:$G,B1886)))</f>
        <v/>
      </c>
      <c r="D1886" s="5" t="str">
        <f aca="false">IF(B1886=0,"",IF(INDEX(Bank!$J:$J,B1886)="","",INDEX(Bank!$J:$J,B1886)))</f>
        <v/>
      </c>
      <c r="E1886" s="32" t="str">
        <f aca="false">IF(B1886=0,"",INDEX(Bank!$B:$B,B1886))</f>
        <v/>
      </c>
      <c r="F1886" s="5" t="str">
        <f aca="false">IF(B1886=0,"",IF(INDEX(Bank!$C:$C,B1886)="","",INDEX(Bank!$C:$C,B1886)))</f>
        <v/>
      </c>
      <c r="G1886" s="19" t="str">
        <f aca="false">IF(B1886=0,"",INDEX(Bank!$E:$E,B1886))</f>
        <v/>
      </c>
      <c r="H1886" s="5" t="str">
        <f aca="false">IF(B1886=0,"",IF(INDEX(Bank!$H:$H,B1886)="","",INDEX(Bank!$H:$H,B1886)))</f>
        <v/>
      </c>
      <c r="I1886" s="5" t="n">
        <f aca="false">IF(H1886="",0,IFERROR(MATCH(H1886,GL!$A:$A,0),0))</f>
        <v>0</v>
      </c>
      <c r="J1886" s="32" t="str">
        <f aca="false">IF(I1886=0,"",INDEX(GL!$B:$B,I1886))</f>
        <v/>
      </c>
      <c r="K1886" s="5" t="str">
        <f aca="false">IF(I1886=0,"",IF(INDEX(GL!$C:$C,I1886)="","",INDEX(GL!$C:$C,I1886)))</f>
        <v/>
      </c>
      <c r="L1886" s="19" t="str">
        <f aca="false">IF(I1886=0,"",INDEX(GL!$E:$E,I1886))</f>
        <v/>
      </c>
      <c r="M1886" s="19" t="str">
        <f aca="false">IF(OR(B1886=0,I1886=0),"",ROUND(G1886-L1886,2))</f>
        <v/>
      </c>
      <c r="N1886" s="5" t="str">
        <f aca="false">IF(A1886="","",IF(B1886=0,"NOT FOUND: bank ID",IF(I1886=0,"NOT FOUND: GL ID",IF(INDEX(GL!$H:$H,I1886)&lt;&gt;A1886,"BROKEN: GL points elsewhere",IF(OR(INDEX(Bank!$F:$F,B1886)&lt;&gt;"Y",INDEX(GL!$F:$F,I1886)&lt;&gt;"Y"),"BROKEN: Status not Y","OK")))))</f>
        <v/>
      </c>
    </row>
    <row r="1887" customFormat="false" ht="15" hidden="false" customHeight="false" outlineLevel="0" collapsed="false">
      <c r="A1887" s="41"/>
      <c r="B1887" s="5" t="n">
        <f aca="false">IF(A1887="",0,IFERROR(MATCH(A1887,Bank!$A:$A,0),0))</f>
        <v>0</v>
      </c>
      <c r="C1887" s="5" t="str">
        <f aca="false">IF(B1887=0,"",IF(INDEX(Bank!$G:$G,B1887)="","",INDEX(Bank!$G:$G,B1887)))</f>
        <v/>
      </c>
      <c r="D1887" s="5" t="str">
        <f aca="false">IF(B1887=0,"",IF(INDEX(Bank!$J:$J,B1887)="","",INDEX(Bank!$J:$J,B1887)))</f>
        <v/>
      </c>
      <c r="E1887" s="32" t="str">
        <f aca="false">IF(B1887=0,"",INDEX(Bank!$B:$B,B1887))</f>
        <v/>
      </c>
      <c r="F1887" s="5" t="str">
        <f aca="false">IF(B1887=0,"",IF(INDEX(Bank!$C:$C,B1887)="","",INDEX(Bank!$C:$C,B1887)))</f>
        <v/>
      </c>
      <c r="G1887" s="19" t="str">
        <f aca="false">IF(B1887=0,"",INDEX(Bank!$E:$E,B1887))</f>
        <v/>
      </c>
      <c r="H1887" s="5" t="str">
        <f aca="false">IF(B1887=0,"",IF(INDEX(Bank!$H:$H,B1887)="","",INDEX(Bank!$H:$H,B1887)))</f>
        <v/>
      </c>
      <c r="I1887" s="5" t="n">
        <f aca="false">IF(H1887="",0,IFERROR(MATCH(H1887,GL!$A:$A,0),0))</f>
        <v>0</v>
      </c>
      <c r="J1887" s="32" t="str">
        <f aca="false">IF(I1887=0,"",INDEX(GL!$B:$B,I1887))</f>
        <v/>
      </c>
      <c r="K1887" s="5" t="str">
        <f aca="false">IF(I1887=0,"",IF(INDEX(GL!$C:$C,I1887)="","",INDEX(GL!$C:$C,I1887)))</f>
        <v/>
      </c>
      <c r="L1887" s="19" t="str">
        <f aca="false">IF(I1887=0,"",INDEX(GL!$E:$E,I1887))</f>
        <v/>
      </c>
      <c r="M1887" s="19" t="str">
        <f aca="false">IF(OR(B1887=0,I1887=0),"",ROUND(G1887-L1887,2))</f>
        <v/>
      </c>
      <c r="N1887" s="5" t="str">
        <f aca="false">IF(A1887="","",IF(B1887=0,"NOT FOUND: bank ID",IF(I1887=0,"NOT FOUND: GL ID",IF(INDEX(GL!$H:$H,I1887)&lt;&gt;A1887,"BROKEN: GL points elsewhere",IF(OR(INDEX(Bank!$F:$F,B1887)&lt;&gt;"Y",INDEX(GL!$F:$F,I1887)&lt;&gt;"Y"),"BROKEN: Status not Y","OK")))))</f>
        <v/>
      </c>
    </row>
    <row r="1888" customFormat="false" ht="15" hidden="false" customHeight="false" outlineLevel="0" collapsed="false">
      <c r="A1888" s="41"/>
      <c r="B1888" s="5" t="n">
        <f aca="false">IF(A1888="",0,IFERROR(MATCH(A1888,Bank!$A:$A,0),0))</f>
        <v>0</v>
      </c>
      <c r="C1888" s="5" t="str">
        <f aca="false">IF(B1888=0,"",IF(INDEX(Bank!$G:$G,B1888)="","",INDEX(Bank!$G:$G,B1888)))</f>
        <v/>
      </c>
      <c r="D1888" s="5" t="str">
        <f aca="false">IF(B1888=0,"",IF(INDEX(Bank!$J:$J,B1888)="","",INDEX(Bank!$J:$J,B1888)))</f>
        <v/>
      </c>
      <c r="E1888" s="32" t="str">
        <f aca="false">IF(B1888=0,"",INDEX(Bank!$B:$B,B1888))</f>
        <v/>
      </c>
      <c r="F1888" s="5" t="str">
        <f aca="false">IF(B1888=0,"",IF(INDEX(Bank!$C:$C,B1888)="","",INDEX(Bank!$C:$C,B1888)))</f>
        <v/>
      </c>
      <c r="G1888" s="19" t="str">
        <f aca="false">IF(B1888=0,"",INDEX(Bank!$E:$E,B1888))</f>
        <v/>
      </c>
      <c r="H1888" s="5" t="str">
        <f aca="false">IF(B1888=0,"",IF(INDEX(Bank!$H:$H,B1888)="","",INDEX(Bank!$H:$H,B1888)))</f>
        <v/>
      </c>
      <c r="I1888" s="5" t="n">
        <f aca="false">IF(H1888="",0,IFERROR(MATCH(H1888,GL!$A:$A,0),0))</f>
        <v>0</v>
      </c>
      <c r="J1888" s="32" t="str">
        <f aca="false">IF(I1888=0,"",INDEX(GL!$B:$B,I1888))</f>
        <v/>
      </c>
      <c r="K1888" s="5" t="str">
        <f aca="false">IF(I1888=0,"",IF(INDEX(GL!$C:$C,I1888)="","",INDEX(GL!$C:$C,I1888)))</f>
        <v/>
      </c>
      <c r="L1888" s="19" t="str">
        <f aca="false">IF(I1888=0,"",INDEX(GL!$E:$E,I1888))</f>
        <v/>
      </c>
      <c r="M1888" s="19" t="str">
        <f aca="false">IF(OR(B1888=0,I1888=0),"",ROUND(G1888-L1888,2))</f>
        <v/>
      </c>
      <c r="N1888" s="5" t="str">
        <f aca="false">IF(A1888="","",IF(B1888=0,"NOT FOUND: bank ID",IF(I1888=0,"NOT FOUND: GL ID",IF(INDEX(GL!$H:$H,I1888)&lt;&gt;A1888,"BROKEN: GL points elsewhere",IF(OR(INDEX(Bank!$F:$F,B1888)&lt;&gt;"Y",INDEX(GL!$F:$F,I1888)&lt;&gt;"Y"),"BROKEN: Status not Y","OK")))))</f>
        <v/>
      </c>
    </row>
    <row r="1889" customFormat="false" ht="15" hidden="false" customHeight="false" outlineLevel="0" collapsed="false">
      <c r="A1889" s="41"/>
      <c r="B1889" s="5" t="n">
        <f aca="false">IF(A1889="",0,IFERROR(MATCH(A1889,Bank!$A:$A,0),0))</f>
        <v>0</v>
      </c>
      <c r="C1889" s="5" t="str">
        <f aca="false">IF(B1889=0,"",IF(INDEX(Bank!$G:$G,B1889)="","",INDEX(Bank!$G:$G,B1889)))</f>
        <v/>
      </c>
      <c r="D1889" s="5" t="str">
        <f aca="false">IF(B1889=0,"",IF(INDEX(Bank!$J:$J,B1889)="","",INDEX(Bank!$J:$J,B1889)))</f>
        <v/>
      </c>
      <c r="E1889" s="32" t="str">
        <f aca="false">IF(B1889=0,"",INDEX(Bank!$B:$B,B1889))</f>
        <v/>
      </c>
      <c r="F1889" s="5" t="str">
        <f aca="false">IF(B1889=0,"",IF(INDEX(Bank!$C:$C,B1889)="","",INDEX(Bank!$C:$C,B1889)))</f>
        <v/>
      </c>
      <c r="G1889" s="19" t="str">
        <f aca="false">IF(B1889=0,"",INDEX(Bank!$E:$E,B1889))</f>
        <v/>
      </c>
      <c r="H1889" s="5" t="str">
        <f aca="false">IF(B1889=0,"",IF(INDEX(Bank!$H:$H,B1889)="","",INDEX(Bank!$H:$H,B1889)))</f>
        <v/>
      </c>
      <c r="I1889" s="5" t="n">
        <f aca="false">IF(H1889="",0,IFERROR(MATCH(H1889,GL!$A:$A,0),0))</f>
        <v>0</v>
      </c>
      <c r="J1889" s="32" t="str">
        <f aca="false">IF(I1889=0,"",INDEX(GL!$B:$B,I1889))</f>
        <v/>
      </c>
      <c r="K1889" s="5" t="str">
        <f aca="false">IF(I1889=0,"",IF(INDEX(GL!$C:$C,I1889)="","",INDEX(GL!$C:$C,I1889)))</f>
        <v/>
      </c>
      <c r="L1889" s="19" t="str">
        <f aca="false">IF(I1889=0,"",INDEX(GL!$E:$E,I1889))</f>
        <v/>
      </c>
      <c r="M1889" s="19" t="str">
        <f aca="false">IF(OR(B1889=0,I1889=0),"",ROUND(G1889-L1889,2))</f>
        <v/>
      </c>
      <c r="N1889" s="5" t="str">
        <f aca="false">IF(A1889="","",IF(B1889=0,"NOT FOUND: bank ID",IF(I1889=0,"NOT FOUND: GL ID",IF(INDEX(GL!$H:$H,I1889)&lt;&gt;A1889,"BROKEN: GL points elsewhere",IF(OR(INDEX(Bank!$F:$F,B1889)&lt;&gt;"Y",INDEX(GL!$F:$F,I1889)&lt;&gt;"Y"),"BROKEN: Status not Y","OK")))))</f>
        <v/>
      </c>
    </row>
    <row r="1890" customFormat="false" ht="15" hidden="false" customHeight="false" outlineLevel="0" collapsed="false">
      <c r="A1890" s="41"/>
      <c r="B1890" s="5" t="n">
        <f aca="false">IF(A1890="",0,IFERROR(MATCH(A1890,Bank!$A:$A,0),0))</f>
        <v>0</v>
      </c>
      <c r="C1890" s="5" t="str">
        <f aca="false">IF(B1890=0,"",IF(INDEX(Bank!$G:$G,B1890)="","",INDEX(Bank!$G:$G,B1890)))</f>
        <v/>
      </c>
      <c r="D1890" s="5" t="str">
        <f aca="false">IF(B1890=0,"",IF(INDEX(Bank!$J:$J,B1890)="","",INDEX(Bank!$J:$J,B1890)))</f>
        <v/>
      </c>
      <c r="E1890" s="32" t="str">
        <f aca="false">IF(B1890=0,"",INDEX(Bank!$B:$B,B1890))</f>
        <v/>
      </c>
      <c r="F1890" s="5" t="str">
        <f aca="false">IF(B1890=0,"",IF(INDEX(Bank!$C:$C,B1890)="","",INDEX(Bank!$C:$C,B1890)))</f>
        <v/>
      </c>
      <c r="G1890" s="19" t="str">
        <f aca="false">IF(B1890=0,"",INDEX(Bank!$E:$E,B1890))</f>
        <v/>
      </c>
      <c r="H1890" s="5" t="str">
        <f aca="false">IF(B1890=0,"",IF(INDEX(Bank!$H:$H,B1890)="","",INDEX(Bank!$H:$H,B1890)))</f>
        <v/>
      </c>
      <c r="I1890" s="5" t="n">
        <f aca="false">IF(H1890="",0,IFERROR(MATCH(H1890,GL!$A:$A,0),0))</f>
        <v>0</v>
      </c>
      <c r="J1890" s="32" t="str">
        <f aca="false">IF(I1890=0,"",INDEX(GL!$B:$B,I1890))</f>
        <v/>
      </c>
      <c r="K1890" s="5" t="str">
        <f aca="false">IF(I1890=0,"",IF(INDEX(GL!$C:$C,I1890)="","",INDEX(GL!$C:$C,I1890)))</f>
        <v/>
      </c>
      <c r="L1890" s="19" t="str">
        <f aca="false">IF(I1890=0,"",INDEX(GL!$E:$E,I1890))</f>
        <v/>
      </c>
      <c r="M1890" s="19" t="str">
        <f aca="false">IF(OR(B1890=0,I1890=0),"",ROUND(G1890-L1890,2))</f>
        <v/>
      </c>
      <c r="N1890" s="5" t="str">
        <f aca="false">IF(A1890="","",IF(B1890=0,"NOT FOUND: bank ID",IF(I1890=0,"NOT FOUND: GL ID",IF(INDEX(GL!$H:$H,I1890)&lt;&gt;A1890,"BROKEN: GL points elsewhere",IF(OR(INDEX(Bank!$F:$F,B1890)&lt;&gt;"Y",INDEX(GL!$F:$F,I1890)&lt;&gt;"Y"),"BROKEN: Status not Y","OK")))))</f>
        <v/>
      </c>
    </row>
    <row r="1891" customFormat="false" ht="15" hidden="false" customHeight="false" outlineLevel="0" collapsed="false">
      <c r="A1891" s="41"/>
      <c r="B1891" s="5" t="n">
        <f aca="false">IF(A1891="",0,IFERROR(MATCH(A1891,Bank!$A:$A,0),0))</f>
        <v>0</v>
      </c>
      <c r="C1891" s="5" t="str">
        <f aca="false">IF(B1891=0,"",IF(INDEX(Bank!$G:$G,B1891)="","",INDEX(Bank!$G:$G,B1891)))</f>
        <v/>
      </c>
      <c r="D1891" s="5" t="str">
        <f aca="false">IF(B1891=0,"",IF(INDEX(Bank!$J:$J,B1891)="","",INDEX(Bank!$J:$J,B1891)))</f>
        <v/>
      </c>
      <c r="E1891" s="32" t="str">
        <f aca="false">IF(B1891=0,"",INDEX(Bank!$B:$B,B1891))</f>
        <v/>
      </c>
      <c r="F1891" s="5" t="str">
        <f aca="false">IF(B1891=0,"",IF(INDEX(Bank!$C:$C,B1891)="","",INDEX(Bank!$C:$C,B1891)))</f>
        <v/>
      </c>
      <c r="G1891" s="19" t="str">
        <f aca="false">IF(B1891=0,"",INDEX(Bank!$E:$E,B1891))</f>
        <v/>
      </c>
      <c r="H1891" s="5" t="str">
        <f aca="false">IF(B1891=0,"",IF(INDEX(Bank!$H:$H,B1891)="","",INDEX(Bank!$H:$H,B1891)))</f>
        <v/>
      </c>
      <c r="I1891" s="5" t="n">
        <f aca="false">IF(H1891="",0,IFERROR(MATCH(H1891,GL!$A:$A,0),0))</f>
        <v>0</v>
      </c>
      <c r="J1891" s="32" t="str">
        <f aca="false">IF(I1891=0,"",INDEX(GL!$B:$B,I1891))</f>
        <v/>
      </c>
      <c r="K1891" s="5" t="str">
        <f aca="false">IF(I1891=0,"",IF(INDEX(GL!$C:$C,I1891)="","",INDEX(GL!$C:$C,I1891)))</f>
        <v/>
      </c>
      <c r="L1891" s="19" t="str">
        <f aca="false">IF(I1891=0,"",INDEX(GL!$E:$E,I1891))</f>
        <v/>
      </c>
      <c r="M1891" s="19" t="str">
        <f aca="false">IF(OR(B1891=0,I1891=0),"",ROUND(G1891-L1891,2))</f>
        <v/>
      </c>
      <c r="N1891" s="5" t="str">
        <f aca="false">IF(A1891="","",IF(B1891=0,"NOT FOUND: bank ID",IF(I1891=0,"NOT FOUND: GL ID",IF(INDEX(GL!$H:$H,I1891)&lt;&gt;A1891,"BROKEN: GL points elsewhere",IF(OR(INDEX(Bank!$F:$F,B1891)&lt;&gt;"Y",INDEX(GL!$F:$F,I1891)&lt;&gt;"Y"),"BROKEN: Status not Y","OK")))))</f>
        <v/>
      </c>
    </row>
    <row r="1892" customFormat="false" ht="15" hidden="false" customHeight="false" outlineLevel="0" collapsed="false">
      <c r="A1892" s="41"/>
      <c r="B1892" s="5" t="n">
        <f aca="false">IF(A1892="",0,IFERROR(MATCH(A1892,Bank!$A:$A,0),0))</f>
        <v>0</v>
      </c>
      <c r="C1892" s="5" t="str">
        <f aca="false">IF(B1892=0,"",IF(INDEX(Bank!$G:$G,B1892)="","",INDEX(Bank!$G:$G,B1892)))</f>
        <v/>
      </c>
      <c r="D1892" s="5" t="str">
        <f aca="false">IF(B1892=0,"",IF(INDEX(Bank!$J:$J,B1892)="","",INDEX(Bank!$J:$J,B1892)))</f>
        <v/>
      </c>
      <c r="E1892" s="32" t="str">
        <f aca="false">IF(B1892=0,"",INDEX(Bank!$B:$B,B1892))</f>
        <v/>
      </c>
      <c r="F1892" s="5" t="str">
        <f aca="false">IF(B1892=0,"",IF(INDEX(Bank!$C:$C,B1892)="","",INDEX(Bank!$C:$C,B1892)))</f>
        <v/>
      </c>
      <c r="G1892" s="19" t="str">
        <f aca="false">IF(B1892=0,"",INDEX(Bank!$E:$E,B1892))</f>
        <v/>
      </c>
      <c r="H1892" s="5" t="str">
        <f aca="false">IF(B1892=0,"",IF(INDEX(Bank!$H:$H,B1892)="","",INDEX(Bank!$H:$H,B1892)))</f>
        <v/>
      </c>
      <c r="I1892" s="5" t="n">
        <f aca="false">IF(H1892="",0,IFERROR(MATCH(H1892,GL!$A:$A,0),0))</f>
        <v>0</v>
      </c>
      <c r="J1892" s="32" t="str">
        <f aca="false">IF(I1892=0,"",INDEX(GL!$B:$B,I1892))</f>
        <v/>
      </c>
      <c r="K1892" s="5" t="str">
        <f aca="false">IF(I1892=0,"",IF(INDEX(GL!$C:$C,I1892)="","",INDEX(GL!$C:$C,I1892)))</f>
        <v/>
      </c>
      <c r="L1892" s="19" t="str">
        <f aca="false">IF(I1892=0,"",INDEX(GL!$E:$E,I1892))</f>
        <v/>
      </c>
      <c r="M1892" s="19" t="str">
        <f aca="false">IF(OR(B1892=0,I1892=0),"",ROUND(G1892-L1892,2))</f>
        <v/>
      </c>
      <c r="N1892" s="5" t="str">
        <f aca="false">IF(A1892="","",IF(B1892=0,"NOT FOUND: bank ID",IF(I1892=0,"NOT FOUND: GL ID",IF(INDEX(GL!$H:$H,I1892)&lt;&gt;A1892,"BROKEN: GL points elsewhere",IF(OR(INDEX(Bank!$F:$F,B1892)&lt;&gt;"Y",INDEX(GL!$F:$F,I1892)&lt;&gt;"Y"),"BROKEN: Status not Y","OK")))))</f>
        <v/>
      </c>
    </row>
    <row r="1893" customFormat="false" ht="15" hidden="false" customHeight="false" outlineLevel="0" collapsed="false">
      <c r="A1893" s="41"/>
      <c r="B1893" s="5" t="n">
        <f aca="false">IF(A1893="",0,IFERROR(MATCH(A1893,Bank!$A:$A,0),0))</f>
        <v>0</v>
      </c>
      <c r="C1893" s="5" t="str">
        <f aca="false">IF(B1893=0,"",IF(INDEX(Bank!$G:$G,B1893)="","",INDEX(Bank!$G:$G,B1893)))</f>
        <v/>
      </c>
      <c r="D1893" s="5" t="str">
        <f aca="false">IF(B1893=0,"",IF(INDEX(Bank!$J:$J,B1893)="","",INDEX(Bank!$J:$J,B1893)))</f>
        <v/>
      </c>
      <c r="E1893" s="32" t="str">
        <f aca="false">IF(B1893=0,"",INDEX(Bank!$B:$B,B1893))</f>
        <v/>
      </c>
      <c r="F1893" s="5" t="str">
        <f aca="false">IF(B1893=0,"",IF(INDEX(Bank!$C:$C,B1893)="","",INDEX(Bank!$C:$C,B1893)))</f>
        <v/>
      </c>
      <c r="G1893" s="19" t="str">
        <f aca="false">IF(B1893=0,"",INDEX(Bank!$E:$E,B1893))</f>
        <v/>
      </c>
      <c r="H1893" s="5" t="str">
        <f aca="false">IF(B1893=0,"",IF(INDEX(Bank!$H:$H,B1893)="","",INDEX(Bank!$H:$H,B1893)))</f>
        <v/>
      </c>
      <c r="I1893" s="5" t="n">
        <f aca="false">IF(H1893="",0,IFERROR(MATCH(H1893,GL!$A:$A,0),0))</f>
        <v>0</v>
      </c>
      <c r="J1893" s="32" t="str">
        <f aca="false">IF(I1893=0,"",INDEX(GL!$B:$B,I1893))</f>
        <v/>
      </c>
      <c r="K1893" s="5" t="str">
        <f aca="false">IF(I1893=0,"",IF(INDEX(GL!$C:$C,I1893)="","",INDEX(GL!$C:$C,I1893)))</f>
        <v/>
      </c>
      <c r="L1893" s="19" t="str">
        <f aca="false">IF(I1893=0,"",INDEX(GL!$E:$E,I1893))</f>
        <v/>
      </c>
      <c r="M1893" s="19" t="str">
        <f aca="false">IF(OR(B1893=0,I1893=0),"",ROUND(G1893-L1893,2))</f>
        <v/>
      </c>
      <c r="N1893" s="5" t="str">
        <f aca="false">IF(A1893="","",IF(B1893=0,"NOT FOUND: bank ID",IF(I1893=0,"NOT FOUND: GL ID",IF(INDEX(GL!$H:$H,I1893)&lt;&gt;A1893,"BROKEN: GL points elsewhere",IF(OR(INDEX(Bank!$F:$F,B1893)&lt;&gt;"Y",INDEX(GL!$F:$F,I1893)&lt;&gt;"Y"),"BROKEN: Status not Y","OK")))))</f>
        <v/>
      </c>
    </row>
    <row r="1894" customFormat="false" ht="15" hidden="false" customHeight="false" outlineLevel="0" collapsed="false">
      <c r="A1894" s="41"/>
      <c r="B1894" s="5" t="n">
        <f aca="false">IF(A1894="",0,IFERROR(MATCH(A1894,Bank!$A:$A,0),0))</f>
        <v>0</v>
      </c>
      <c r="C1894" s="5" t="str">
        <f aca="false">IF(B1894=0,"",IF(INDEX(Bank!$G:$G,B1894)="","",INDEX(Bank!$G:$G,B1894)))</f>
        <v/>
      </c>
      <c r="D1894" s="5" t="str">
        <f aca="false">IF(B1894=0,"",IF(INDEX(Bank!$J:$J,B1894)="","",INDEX(Bank!$J:$J,B1894)))</f>
        <v/>
      </c>
      <c r="E1894" s="32" t="str">
        <f aca="false">IF(B1894=0,"",INDEX(Bank!$B:$B,B1894))</f>
        <v/>
      </c>
      <c r="F1894" s="5" t="str">
        <f aca="false">IF(B1894=0,"",IF(INDEX(Bank!$C:$C,B1894)="","",INDEX(Bank!$C:$C,B1894)))</f>
        <v/>
      </c>
      <c r="G1894" s="19" t="str">
        <f aca="false">IF(B1894=0,"",INDEX(Bank!$E:$E,B1894))</f>
        <v/>
      </c>
      <c r="H1894" s="5" t="str">
        <f aca="false">IF(B1894=0,"",IF(INDEX(Bank!$H:$H,B1894)="","",INDEX(Bank!$H:$H,B1894)))</f>
        <v/>
      </c>
      <c r="I1894" s="5" t="n">
        <f aca="false">IF(H1894="",0,IFERROR(MATCH(H1894,GL!$A:$A,0),0))</f>
        <v>0</v>
      </c>
      <c r="J1894" s="32" t="str">
        <f aca="false">IF(I1894=0,"",INDEX(GL!$B:$B,I1894))</f>
        <v/>
      </c>
      <c r="K1894" s="5" t="str">
        <f aca="false">IF(I1894=0,"",IF(INDEX(GL!$C:$C,I1894)="","",INDEX(GL!$C:$C,I1894)))</f>
        <v/>
      </c>
      <c r="L1894" s="19" t="str">
        <f aca="false">IF(I1894=0,"",INDEX(GL!$E:$E,I1894))</f>
        <v/>
      </c>
      <c r="M1894" s="19" t="str">
        <f aca="false">IF(OR(B1894=0,I1894=0),"",ROUND(G1894-L1894,2))</f>
        <v/>
      </c>
      <c r="N1894" s="5" t="str">
        <f aca="false">IF(A1894="","",IF(B1894=0,"NOT FOUND: bank ID",IF(I1894=0,"NOT FOUND: GL ID",IF(INDEX(GL!$H:$H,I1894)&lt;&gt;A1894,"BROKEN: GL points elsewhere",IF(OR(INDEX(Bank!$F:$F,B1894)&lt;&gt;"Y",INDEX(GL!$F:$F,I1894)&lt;&gt;"Y"),"BROKEN: Status not Y","OK")))))</f>
        <v/>
      </c>
    </row>
    <row r="1895" customFormat="false" ht="15" hidden="false" customHeight="false" outlineLevel="0" collapsed="false">
      <c r="A1895" s="41"/>
      <c r="B1895" s="5" t="n">
        <f aca="false">IF(A1895="",0,IFERROR(MATCH(A1895,Bank!$A:$A,0),0))</f>
        <v>0</v>
      </c>
      <c r="C1895" s="5" t="str">
        <f aca="false">IF(B1895=0,"",IF(INDEX(Bank!$G:$G,B1895)="","",INDEX(Bank!$G:$G,B1895)))</f>
        <v/>
      </c>
      <c r="D1895" s="5" t="str">
        <f aca="false">IF(B1895=0,"",IF(INDEX(Bank!$J:$J,B1895)="","",INDEX(Bank!$J:$J,B1895)))</f>
        <v/>
      </c>
      <c r="E1895" s="32" t="str">
        <f aca="false">IF(B1895=0,"",INDEX(Bank!$B:$B,B1895))</f>
        <v/>
      </c>
      <c r="F1895" s="5" t="str">
        <f aca="false">IF(B1895=0,"",IF(INDEX(Bank!$C:$C,B1895)="","",INDEX(Bank!$C:$C,B1895)))</f>
        <v/>
      </c>
      <c r="G1895" s="19" t="str">
        <f aca="false">IF(B1895=0,"",INDEX(Bank!$E:$E,B1895))</f>
        <v/>
      </c>
      <c r="H1895" s="5" t="str">
        <f aca="false">IF(B1895=0,"",IF(INDEX(Bank!$H:$H,B1895)="","",INDEX(Bank!$H:$H,B1895)))</f>
        <v/>
      </c>
      <c r="I1895" s="5" t="n">
        <f aca="false">IF(H1895="",0,IFERROR(MATCH(H1895,GL!$A:$A,0),0))</f>
        <v>0</v>
      </c>
      <c r="J1895" s="32" t="str">
        <f aca="false">IF(I1895=0,"",INDEX(GL!$B:$B,I1895))</f>
        <v/>
      </c>
      <c r="K1895" s="5" t="str">
        <f aca="false">IF(I1895=0,"",IF(INDEX(GL!$C:$C,I1895)="","",INDEX(GL!$C:$C,I1895)))</f>
        <v/>
      </c>
      <c r="L1895" s="19" t="str">
        <f aca="false">IF(I1895=0,"",INDEX(GL!$E:$E,I1895))</f>
        <v/>
      </c>
      <c r="M1895" s="19" t="str">
        <f aca="false">IF(OR(B1895=0,I1895=0),"",ROUND(G1895-L1895,2))</f>
        <v/>
      </c>
      <c r="N1895" s="5" t="str">
        <f aca="false">IF(A1895="","",IF(B1895=0,"NOT FOUND: bank ID",IF(I1895=0,"NOT FOUND: GL ID",IF(INDEX(GL!$H:$H,I1895)&lt;&gt;A1895,"BROKEN: GL points elsewhere",IF(OR(INDEX(Bank!$F:$F,B1895)&lt;&gt;"Y",INDEX(GL!$F:$F,I1895)&lt;&gt;"Y"),"BROKEN: Status not Y","OK")))))</f>
        <v/>
      </c>
    </row>
    <row r="1896" customFormat="false" ht="15" hidden="false" customHeight="false" outlineLevel="0" collapsed="false">
      <c r="A1896" s="41"/>
      <c r="B1896" s="5" t="n">
        <f aca="false">IF(A1896="",0,IFERROR(MATCH(A1896,Bank!$A:$A,0),0))</f>
        <v>0</v>
      </c>
      <c r="C1896" s="5" t="str">
        <f aca="false">IF(B1896=0,"",IF(INDEX(Bank!$G:$G,B1896)="","",INDEX(Bank!$G:$G,B1896)))</f>
        <v/>
      </c>
      <c r="D1896" s="5" t="str">
        <f aca="false">IF(B1896=0,"",IF(INDEX(Bank!$J:$J,B1896)="","",INDEX(Bank!$J:$J,B1896)))</f>
        <v/>
      </c>
      <c r="E1896" s="32" t="str">
        <f aca="false">IF(B1896=0,"",INDEX(Bank!$B:$B,B1896))</f>
        <v/>
      </c>
      <c r="F1896" s="5" t="str">
        <f aca="false">IF(B1896=0,"",IF(INDEX(Bank!$C:$C,B1896)="","",INDEX(Bank!$C:$C,B1896)))</f>
        <v/>
      </c>
      <c r="G1896" s="19" t="str">
        <f aca="false">IF(B1896=0,"",INDEX(Bank!$E:$E,B1896))</f>
        <v/>
      </c>
      <c r="H1896" s="5" t="str">
        <f aca="false">IF(B1896=0,"",IF(INDEX(Bank!$H:$H,B1896)="","",INDEX(Bank!$H:$H,B1896)))</f>
        <v/>
      </c>
      <c r="I1896" s="5" t="n">
        <f aca="false">IF(H1896="",0,IFERROR(MATCH(H1896,GL!$A:$A,0),0))</f>
        <v>0</v>
      </c>
      <c r="J1896" s="32" t="str">
        <f aca="false">IF(I1896=0,"",INDEX(GL!$B:$B,I1896))</f>
        <v/>
      </c>
      <c r="K1896" s="5" t="str">
        <f aca="false">IF(I1896=0,"",IF(INDEX(GL!$C:$C,I1896)="","",INDEX(GL!$C:$C,I1896)))</f>
        <v/>
      </c>
      <c r="L1896" s="19" t="str">
        <f aca="false">IF(I1896=0,"",INDEX(GL!$E:$E,I1896))</f>
        <v/>
      </c>
      <c r="M1896" s="19" t="str">
        <f aca="false">IF(OR(B1896=0,I1896=0),"",ROUND(G1896-L1896,2))</f>
        <v/>
      </c>
      <c r="N1896" s="5" t="str">
        <f aca="false">IF(A1896="","",IF(B1896=0,"NOT FOUND: bank ID",IF(I1896=0,"NOT FOUND: GL ID",IF(INDEX(GL!$H:$H,I1896)&lt;&gt;A1896,"BROKEN: GL points elsewhere",IF(OR(INDEX(Bank!$F:$F,B1896)&lt;&gt;"Y",INDEX(GL!$F:$F,I1896)&lt;&gt;"Y"),"BROKEN: Status not Y","OK")))))</f>
        <v/>
      </c>
    </row>
    <row r="1897" customFormat="false" ht="15" hidden="false" customHeight="false" outlineLevel="0" collapsed="false">
      <c r="A1897" s="41"/>
      <c r="B1897" s="5" t="n">
        <f aca="false">IF(A1897="",0,IFERROR(MATCH(A1897,Bank!$A:$A,0),0))</f>
        <v>0</v>
      </c>
      <c r="C1897" s="5" t="str">
        <f aca="false">IF(B1897=0,"",IF(INDEX(Bank!$G:$G,B1897)="","",INDEX(Bank!$G:$G,B1897)))</f>
        <v/>
      </c>
      <c r="D1897" s="5" t="str">
        <f aca="false">IF(B1897=0,"",IF(INDEX(Bank!$J:$J,B1897)="","",INDEX(Bank!$J:$J,B1897)))</f>
        <v/>
      </c>
      <c r="E1897" s="32" t="str">
        <f aca="false">IF(B1897=0,"",INDEX(Bank!$B:$B,B1897))</f>
        <v/>
      </c>
      <c r="F1897" s="5" t="str">
        <f aca="false">IF(B1897=0,"",IF(INDEX(Bank!$C:$C,B1897)="","",INDEX(Bank!$C:$C,B1897)))</f>
        <v/>
      </c>
      <c r="G1897" s="19" t="str">
        <f aca="false">IF(B1897=0,"",INDEX(Bank!$E:$E,B1897))</f>
        <v/>
      </c>
      <c r="H1897" s="5" t="str">
        <f aca="false">IF(B1897=0,"",IF(INDEX(Bank!$H:$H,B1897)="","",INDEX(Bank!$H:$H,B1897)))</f>
        <v/>
      </c>
      <c r="I1897" s="5" t="n">
        <f aca="false">IF(H1897="",0,IFERROR(MATCH(H1897,GL!$A:$A,0),0))</f>
        <v>0</v>
      </c>
      <c r="J1897" s="32" t="str">
        <f aca="false">IF(I1897=0,"",INDEX(GL!$B:$B,I1897))</f>
        <v/>
      </c>
      <c r="K1897" s="5" t="str">
        <f aca="false">IF(I1897=0,"",IF(INDEX(GL!$C:$C,I1897)="","",INDEX(GL!$C:$C,I1897)))</f>
        <v/>
      </c>
      <c r="L1897" s="19" t="str">
        <f aca="false">IF(I1897=0,"",INDEX(GL!$E:$E,I1897))</f>
        <v/>
      </c>
      <c r="M1897" s="19" t="str">
        <f aca="false">IF(OR(B1897=0,I1897=0),"",ROUND(G1897-L1897,2))</f>
        <v/>
      </c>
      <c r="N1897" s="5" t="str">
        <f aca="false">IF(A1897="","",IF(B1897=0,"NOT FOUND: bank ID",IF(I1897=0,"NOT FOUND: GL ID",IF(INDEX(GL!$H:$H,I1897)&lt;&gt;A1897,"BROKEN: GL points elsewhere",IF(OR(INDEX(Bank!$F:$F,B1897)&lt;&gt;"Y",INDEX(GL!$F:$F,I1897)&lt;&gt;"Y"),"BROKEN: Status not Y","OK")))))</f>
        <v/>
      </c>
    </row>
    <row r="1898" customFormat="false" ht="15" hidden="false" customHeight="false" outlineLevel="0" collapsed="false">
      <c r="A1898" s="41"/>
      <c r="B1898" s="5" t="n">
        <f aca="false">IF(A1898="",0,IFERROR(MATCH(A1898,Bank!$A:$A,0),0))</f>
        <v>0</v>
      </c>
      <c r="C1898" s="5" t="str">
        <f aca="false">IF(B1898=0,"",IF(INDEX(Bank!$G:$G,B1898)="","",INDEX(Bank!$G:$G,B1898)))</f>
        <v/>
      </c>
      <c r="D1898" s="5" t="str">
        <f aca="false">IF(B1898=0,"",IF(INDEX(Bank!$J:$J,B1898)="","",INDEX(Bank!$J:$J,B1898)))</f>
        <v/>
      </c>
      <c r="E1898" s="32" t="str">
        <f aca="false">IF(B1898=0,"",INDEX(Bank!$B:$B,B1898))</f>
        <v/>
      </c>
      <c r="F1898" s="5" t="str">
        <f aca="false">IF(B1898=0,"",IF(INDEX(Bank!$C:$C,B1898)="","",INDEX(Bank!$C:$C,B1898)))</f>
        <v/>
      </c>
      <c r="G1898" s="19" t="str">
        <f aca="false">IF(B1898=0,"",INDEX(Bank!$E:$E,B1898))</f>
        <v/>
      </c>
      <c r="H1898" s="5" t="str">
        <f aca="false">IF(B1898=0,"",IF(INDEX(Bank!$H:$H,B1898)="","",INDEX(Bank!$H:$H,B1898)))</f>
        <v/>
      </c>
      <c r="I1898" s="5" t="n">
        <f aca="false">IF(H1898="",0,IFERROR(MATCH(H1898,GL!$A:$A,0),0))</f>
        <v>0</v>
      </c>
      <c r="J1898" s="32" t="str">
        <f aca="false">IF(I1898=0,"",INDEX(GL!$B:$B,I1898))</f>
        <v/>
      </c>
      <c r="K1898" s="5" t="str">
        <f aca="false">IF(I1898=0,"",IF(INDEX(GL!$C:$C,I1898)="","",INDEX(GL!$C:$C,I1898)))</f>
        <v/>
      </c>
      <c r="L1898" s="19" t="str">
        <f aca="false">IF(I1898=0,"",INDEX(GL!$E:$E,I1898))</f>
        <v/>
      </c>
      <c r="M1898" s="19" t="str">
        <f aca="false">IF(OR(B1898=0,I1898=0),"",ROUND(G1898-L1898,2))</f>
        <v/>
      </c>
      <c r="N1898" s="5" t="str">
        <f aca="false">IF(A1898="","",IF(B1898=0,"NOT FOUND: bank ID",IF(I1898=0,"NOT FOUND: GL ID",IF(INDEX(GL!$H:$H,I1898)&lt;&gt;A1898,"BROKEN: GL points elsewhere",IF(OR(INDEX(Bank!$F:$F,B1898)&lt;&gt;"Y",INDEX(GL!$F:$F,I1898)&lt;&gt;"Y"),"BROKEN: Status not Y","OK")))))</f>
        <v/>
      </c>
    </row>
    <row r="1899" customFormat="false" ht="15" hidden="false" customHeight="false" outlineLevel="0" collapsed="false">
      <c r="A1899" s="41"/>
      <c r="B1899" s="5" t="n">
        <f aca="false">IF(A1899="",0,IFERROR(MATCH(A1899,Bank!$A:$A,0),0))</f>
        <v>0</v>
      </c>
      <c r="C1899" s="5" t="str">
        <f aca="false">IF(B1899=0,"",IF(INDEX(Bank!$G:$G,B1899)="","",INDEX(Bank!$G:$G,B1899)))</f>
        <v/>
      </c>
      <c r="D1899" s="5" t="str">
        <f aca="false">IF(B1899=0,"",IF(INDEX(Bank!$J:$J,B1899)="","",INDEX(Bank!$J:$J,B1899)))</f>
        <v/>
      </c>
      <c r="E1899" s="32" t="str">
        <f aca="false">IF(B1899=0,"",INDEX(Bank!$B:$B,B1899))</f>
        <v/>
      </c>
      <c r="F1899" s="5" t="str">
        <f aca="false">IF(B1899=0,"",IF(INDEX(Bank!$C:$C,B1899)="","",INDEX(Bank!$C:$C,B1899)))</f>
        <v/>
      </c>
      <c r="G1899" s="19" t="str">
        <f aca="false">IF(B1899=0,"",INDEX(Bank!$E:$E,B1899))</f>
        <v/>
      </c>
      <c r="H1899" s="5" t="str">
        <f aca="false">IF(B1899=0,"",IF(INDEX(Bank!$H:$H,B1899)="","",INDEX(Bank!$H:$H,B1899)))</f>
        <v/>
      </c>
      <c r="I1899" s="5" t="n">
        <f aca="false">IF(H1899="",0,IFERROR(MATCH(H1899,GL!$A:$A,0),0))</f>
        <v>0</v>
      </c>
      <c r="J1899" s="32" t="str">
        <f aca="false">IF(I1899=0,"",INDEX(GL!$B:$B,I1899))</f>
        <v/>
      </c>
      <c r="K1899" s="5" t="str">
        <f aca="false">IF(I1899=0,"",IF(INDEX(GL!$C:$C,I1899)="","",INDEX(GL!$C:$C,I1899)))</f>
        <v/>
      </c>
      <c r="L1899" s="19" t="str">
        <f aca="false">IF(I1899=0,"",INDEX(GL!$E:$E,I1899))</f>
        <v/>
      </c>
      <c r="M1899" s="19" t="str">
        <f aca="false">IF(OR(B1899=0,I1899=0),"",ROUND(G1899-L1899,2))</f>
        <v/>
      </c>
      <c r="N1899" s="5" t="str">
        <f aca="false">IF(A1899="","",IF(B1899=0,"NOT FOUND: bank ID",IF(I1899=0,"NOT FOUND: GL ID",IF(INDEX(GL!$H:$H,I1899)&lt;&gt;A1899,"BROKEN: GL points elsewhere",IF(OR(INDEX(Bank!$F:$F,B1899)&lt;&gt;"Y",INDEX(GL!$F:$F,I1899)&lt;&gt;"Y"),"BROKEN: Status not Y","OK")))))</f>
        <v/>
      </c>
    </row>
    <row r="1900" customFormat="false" ht="15" hidden="false" customHeight="false" outlineLevel="0" collapsed="false">
      <c r="A1900" s="41"/>
      <c r="B1900" s="5" t="n">
        <f aca="false">IF(A1900="",0,IFERROR(MATCH(A1900,Bank!$A:$A,0),0))</f>
        <v>0</v>
      </c>
      <c r="C1900" s="5" t="str">
        <f aca="false">IF(B1900=0,"",IF(INDEX(Bank!$G:$G,B1900)="","",INDEX(Bank!$G:$G,B1900)))</f>
        <v/>
      </c>
      <c r="D1900" s="5" t="str">
        <f aca="false">IF(B1900=0,"",IF(INDEX(Bank!$J:$J,B1900)="","",INDEX(Bank!$J:$J,B1900)))</f>
        <v/>
      </c>
      <c r="E1900" s="32" t="str">
        <f aca="false">IF(B1900=0,"",INDEX(Bank!$B:$B,B1900))</f>
        <v/>
      </c>
      <c r="F1900" s="5" t="str">
        <f aca="false">IF(B1900=0,"",IF(INDEX(Bank!$C:$C,B1900)="","",INDEX(Bank!$C:$C,B1900)))</f>
        <v/>
      </c>
      <c r="G1900" s="19" t="str">
        <f aca="false">IF(B1900=0,"",INDEX(Bank!$E:$E,B1900))</f>
        <v/>
      </c>
      <c r="H1900" s="5" t="str">
        <f aca="false">IF(B1900=0,"",IF(INDEX(Bank!$H:$H,B1900)="","",INDEX(Bank!$H:$H,B1900)))</f>
        <v/>
      </c>
      <c r="I1900" s="5" t="n">
        <f aca="false">IF(H1900="",0,IFERROR(MATCH(H1900,GL!$A:$A,0),0))</f>
        <v>0</v>
      </c>
      <c r="J1900" s="32" t="str">
        <f aca="false">IF(I1900=0,"",INDEX(GL!$B:$B,I1900))</f>
        <v/>
      </c>
      <c r="K1900" s="5" t="str">
        <f aca="false">IF(I1900=0,"",IF(INDEX(GL!$C:$C,I1900)="","",INDEX(GL!$C:$C,I1900)))</f>
        <v/>
      </c>
      <c r="L1900" s="19" t="str">
        <f aca="false">IF(I1900=0,"",INDEX(GL!$E:$E,I1900))</f>
        <v/>
      </c>
      <c r="M1900" s="19" t="str">
        <f aca="false">IF(OR(B1900=0,I1900=0),"",ROUND(G1900-L1900,2))</f>
        <v/>
      </c>
      <c r="N1900" s="5" t="str">
        <f aca="false">IF(A1900="","",IF(B1900=0,"NOT FOUND: bank ID",IF(I1900=0,"NOT FOUND: GL ID",IF(INDEX(GL!$H:$H,I1900)&lt;&gt;A1900,"BROKEN: GL points elsewhere",IF(OR(INDEX(Bank!$F:$F,B1900)&lt;&gt;"Y",INDEX(GL!$F:$F,I1900)&lt;&gt;"Y"),"BROKEN: Status not Y","OK")))))</f>
        <v/>
      </c>
    </row>
    <row r="1901" customFormat="false" ht="15" hidden="false" customHeight="false" outlineLevel="0" collapsed="false">
      <c r="A1901" s="41"/>
      <c r="B1901" s="5" t="n">
        <f aca="false">IF(A1901="",0,IFERROR(MATCH(A1901,Bank!$A:$A,0),0))</f>
        <v>0</v>
      </c>
      <c r="C1901" s="5" t="str">
        <f aca="false">IF(B1901=0,"",IF(INDEX(Bank!$G:$G,B1901)="","",INDEX(Bank!$G:$G,B1901)))</f>
        <v/>
      </c>
      <c r="D1901" s="5" t="str">
        <f aca="false">IF(B1901=0,"",IF(INDEX(Bank!$J:$J,B1901)="","",INDEX(Bank!$J:$J,B1901)))</f>
        <v/>
      </c>
      <c r="E1901" s="32" t="str">
        <f aca="false">IF(B1901=0,"",INDEX(Bank!$B:$B,B1901))</f>
        <v/>
      </c>
      <c r="F1901" s="5" t="str">
        <f aca="false">IF(B1901=0,"",IF(INDEX(Bank!$C:$C,B1901)="","",INDEX(Bank!$C:$C,B1901)))</f>
        <v/>
      </c>
      <c r="G1901" s="19" t="str">
        <f aca="false">IF(B1901=0,"",INDEX(Bank!$E:$E,B1901))</f>
        <v/>
      </c>
      <c r="H1901" s="5" t="str">
        <f aca="false">IF(B1901=0,"",IF(INDEX(Bank!$H:$H,B1901)="","",INDEX(Bank!$H:$H,B1901)))</f>
        <v/>
      </c>
      <c r="I1901" s="5" t="n">
        <f aca="false">IF(H1901="",0,IFERROR(MATCH(H1901,GL!$A:$A,0),0))</f>
        <v>0</v>
      </c>
      <c r="J1901" s="32" t="str">
        <f aca="false">IF(I1901=0,"",INDEX(GL!$B:$B,I1901))</f>
        <v/>
      </c>
      <c r="K1901" s="5" t="str">
        <f aca="false">IF(I1901=0,"",IF(INDEX(GL!$C:$C,I1901)="","",INDEX(GL!$C:$C,I1901)))</f>
        <v/>
      </c>
      <c r="L1901" s="19" t="str">
        <f aca="false">IF(I1901=0,"",INDEX(GL!$E:$E,I1901))</f>
        <v/>
      </c>
      <c r="M1901" s="19" t="str">
        <f aca="false">IF(OR(B1901=0,I1901=0),"",ROUND(G1901-L1901,2))</f>
        <v/>
      </c>
      <c r="N1901" s="5" t="str">
        <f aca="false">IF(A1901="","",IF(B1901=0,"NOT FOUND: bank ID",IF(I1901=0,"NOT FOUND: GL ID",IF(INDEX(GL!$H:$H,I1901)&lt;&gt;A1901,"BROKEN: GL points elsewhere",IF(OR(INDEX(Bank!$F:$F,B1901)&lt;&gt;"Y",INDEX(GL!$F:$F,I1901)&lt;&gt;"Y"),"BROKEN: Status not Y","OK")))))</f>
        <v/>
      </c>
    </row>
    <row r="1902" customFormat="false" ht="15" hidden="false" customHeight="false" outlineLevel="0" collapsed="false">
      <c r="A1902" s="41"/>
      <c r="B1902" s="5" t="n">
        <f aca="false">IF(A1902="",0,IFERROR(MATCH(A1902,Bank!$A:$A,0),0))</f>
        <v>0</v>
      </c>
      <c r="C1902" s="5" t="str">
        <f aca="false">IF(B1902=0,"",IF(INDEX(Bank!$G:$G,B1902)="","",INDEX(Bank!$G:$G,B1902)))</f>
        <v/>
      </c>
      <c r="D1902" s="5" t="str">
        <f aca="false">IF(B1902=0,"",IF(INDEX(Bank!$J:$J,B1902)="","",INDEX(Bank!$J:$J,B1902)))</f>
        <v/>
      </c>
      <c r="E1902" s="32" t="str">
        <f aca="false">IF(B1902=0,"",INDEX(Bank!$B:$B,B1902))</f>
        <v/>
      </c>
      <c r="F1902" s="5" t="str">
        <f aca="false">IF(B1902=0,"",IF(INDEX(Bank!$C:$C,B1902)="","",INDEX(Bank!$C:$C,B1902)))</f>
        <v/>
      </c>
      <c r="G1902" s="19" t="str">
        <f aca="false">IF(B1902=0,"",INDEX(Bank!$E:$E,B1902))</f>
        <v/>
      </c>
      <c r="H1902" s="5" t="str">
        <f aca="false">IF(B1902=0,"",IF(INDEX(Bank!$H:$H,B1902)="","",INDEX(Bank!$H:$H,B1902)))</f>
        <v/>
      </c>
      <c r="I1902" s="5" t="n">
        <f aca="false">IF(H1902="",0,IFERROR(MATCH(H1902,GL!$A:$A,0),0))</f>
        <v>0</v>
      </c>
      <c r="J1902" s="32" t="str">
        <f aca="false">IF(I1902=0,"",INDEX(GL!$B:$B,I1902))</f>
        <v/>
      </c>
      <c r="K1902" s="5" t="str">
        <f aca="false">IF(I1902=0,"",IF(INDEX(GL!$C:$C,I1902)="","",INDEX(GL!$C:$C,I1902)))</f>
        <v/>
      </c>
      <c r="L1902" s="19" t="str">
        <f aca="false">IF(I1902=0,"",INDEX(GL!$E:$E,I1902))</f>
        <v/>
      </c>
      <c r="M1902" s="19" t="str">
        <f aca="false">IF(OR(B1902=0,I1902=0),"",ROUND(G1902-L1902,2))</f>
        <v/>
      </c>
      <c r="N1902" s="5" t="str">
        <f aca="false">IF(A1902="","",IF(B1902=0,"NOT FOUND: bank ID",IF(I1902=0,"NOT FOUND: GL ID",IF(INDEX(GL!$H:$H,I1902)&lt;&gt;A1902,"BROKEN: GL points elsewhere",IF(OR(INDEX(Bank!$F:$F,B1902)&lt;&gt;"Y",INDEX(GL!$F:$F,I1902)&lt;&gt;"Y"),"BROKEN: Status not Y","OK")))))</f>
        <v/>
      </c>
    </row>
    <row r="1903" customFormat="false" ht="15" hidden="false" customHeight="false" outlineLevel="0" collapsed="false">
      <c r="A1903" s="41"/>
      <c r="B1903" s="5" t="n">
        <f aca="false">IF(A1903="",0,IFERROR(MATCH(A1903,Bank!$A:$A,0),0))</f>
        <v>0</v>
      </c>
      <c r="C1903" s="5" t="str">
        <f aca="false">IF(B1903=0,"",IF(INDEX(Bank!$G:$G,B1903)="","",INDEX(Bank!$G:$G,B1903)))</f>
        <v/>
      </c>
      <c r="D1903" s="5" t="str">
        <f aca="false">IF(B1903=0,"",IF(INDEX(Bank!$J:$J,B1903)="","",INDEX(Bank!$J:$J,B1903)))</f>
        <v/>
      </c>
      <c r="E1903" s="32" t="str">
        <f aca="false">IF(B1903=0,"",INDEX(Bank!$B:$B,B1903))</f>
        <v/>
      </c>
      <c r="F1903" s="5" t="str">
        <f aca="false">IF(B1903=0,"",IF(INDEX(Bank!$C:$C,B1903)="","",INDEX(Bank!$C:$C,B1903)))</f>
        <v/>
      </c>
      <c r="G1903" s="19" t="str">
        <f aca="false">IF(B1903=0,"",INDEX(Bank!$E:$E,B1903))</f>
        <v/>
      </c>
      <c r="H1903" s="5" t="str">
        <f aca="false">IF(B1903=0,"",IF(INDEX(Bank!$H:$H,B1903)="","",INDEX(Bank!$H:$H,B1903)))</f>
        <v/>
      </c>
      <c r="I1903" s="5" t="n">
        <f aca="false">IF(H1903="",0,IFERROR(MATCH(H1903,GL!$A:$A,0),0))</f>
        <v>0</v>
      </c>
      <c r="J1903" s="32" t="str">
        <f aca="false">IF(I1903=0,"",INDEX(GL!$B:$B,I1903))</f>
        <v/>
      </c>
      <c r="K1903" s="5" t="str">
        <f aca="false">IF(I1903=0,"",IF(INDEX(GL!$C:$C,I1903)="","",INDEX(GL!$C:$C,I1903)))</f>
        <v/>
      </c>
      <c r="L1903" s="19" t="str">
        <f aca="false">IF(I1903=0,"",INDEX(GL!$E:$E,I1903))</f>
        <v/>
      </c>
      <c r="M1903" s="19" t="str">
        <f aca="false">IF(OR(B1903=0,I1903=0),"",ROUND(G1903-L1903,2))</f>
        <v/>
      </c>
      <c r="N1903" s="5" t="str">
        <f aca="false">IF(A1903="","",IF(B1903=0,"NOT FOUND: bank ID",IF(I1903=0,"NOT FOUND: GL ID",IF(INDEX(GL!$H:$H,I1903)&lt;&gt;A1903,"BROKEN: GL points elsewhere",IF(OR(INDEX(Bank!$F:$F,B1903)&lt;&gt;"Y",INDEX(GL!$F:$F,I1903)&lt;&gt;"Y"),"BROKEN: Status not Y","OK")))))</f>
        <v/>
      </c>
    </row>
    <row r="1904" customFormat="false" ht="15" hidden="false" customHeight="false" outlineLevel="0" collapsed="false">
      <c r="A1904" s="41"/>
      <c r="B1904" s="5" t="n">
        <f aca="false">IF(A1904="",0,IFERROR(MATCH(A1904,Bank!$A:$A,0),0))</f>
        <v>0</v>
      </c>
      <c r="C1904" s="5" t="str">
        <f aca="false">IF(B1904=0,"",IF(INDEX(Bank!$G:$G,B1904)="","",INDEX(Bank!$G:$G,B1904)))</f>
        <v/>
      </c>
      <c r="D1904" s="5" t="str">
        <f aca="false">IF(B1904=0,"",IF(INDEX(Bank!$J:$J,B1904)="","",INDEX(Bank!$J:$J,B1904)))</f>
        <v/>
      </c>
      <c r="E1904" s="32" t="str">
        <f aca="false">IF(B1904=0,"",INDEX(Bank!$B:$B,B1904))</f>
        <v/>
      </c>
      <c r="F1904" s="5" t="str">
        <f aca="false">IF(B1904=0,"",IF(INDEX(Bank!$C:$C,B1904)="","",INDEX(Bank!$C:$C,B1904)))</f>
        <v/>
      </c>
      <c r="G1904" s="19" t="str">
        <f aca="false">IF(B1904=0,"",INDEX(Bank!$E:$E,B1904))</f>
        <v/>
      </c>
      <c r="H1904" s="5" t="str">
        <f aca="false">IF(B1904=0,"",IF(INDEX(Bank!$H:$H,B1904)="","",INDEX(Bank!$H:$H,B1904)))</f>
        <v/>
      </c>
      <c r="I1904" s="5" t="n">
        <f aca="false">IF(H1904="",0,IFERROR(MATCH(H1904,GL!$A:$A,0),0))</f>
        <v>0</v>
      </c>
      <c r="J1904" s="32" t="str">
        <f aca="false">IF(I1904=0,"",INDEX(GL!$B:$B,I1904))</f>
        <v/>
      </c>
      <c r="K1904" s="5" t="str">
        <f aca="false">IF(I1904=0,"",IF(INDEX(GL!$C:$C,I1904)="","",INDEX(GL!$C:$C,I1904)))</f>
        <v/>
      </c>
      <c r="L1904" s="19" t="str">
        <f aca="false">IF(I1904=0,"",INDEX(GL!$E:$E,I1904))</f>
        <v/>
      </c>
      <c r="M1904" s="19" t="str">
        <f aca="false">IF(OR(B1904=0,I1904=0),"",ROUND(G1904-L1904,2))</f>
        <v/>
      </c>
      <c r="N1904" s="5" t="str">
        <f aca="false">IF(A1904="","",IF(B1904=0,"NOT FOUND: bank ID",IF(I1904=0,"NOT FOUND: GL ID",IF(INDEX(GL!$H:$H,I1904)&lt;&gt;A1904,"BROKEN: GL points elsewhere",IF(OR(INDEX(Bank!$F:$F,B1904)&lt;&gt;"Y",INDEX(GL!$F:$F,I1904)&lt;&gt;"Y"),"BROKEN: Status not Y","OK")))))</f>
        <v/>
      </c>
    </row>
    <row r="1905" customFormat="false" ht="15" hidden="false" customHeight="false" outlineLevel="0" collapsed="false">
      <c r="A1905" s="41"/>
      <c r="B1905" s="5" t="n">
        <f aca="false">IF(A1905="",0,IFERROR(MATCH(A1905,Bank!$A:$A,0),0))</f>
        <v>0</v>
      </c>
      <c r="C1905" s="5" t="str">
        <f aca="false">IF(B1905=0,"",IF(INDEX(Bank!$G:$G,B1905)="","",INDEX(Bank!$G:$G,B1905)))</f>
        <v/>
      </c>
      <c r="D1905" s="5" t="str">
        <f aca="false">IF(B1905=0,"",IF(INDEX(Bank!$J:$J,B1905)="","",INDEX(Bank!$J:$J,B1905)))</f>
        <v/>
      </c>
      <c r="E1905" s="32" t="str">
        <f aca="false">IF(B1905=0,"",INDEX(Bank!$B:$B,B1905))</f>
        <v/>
      </c>
      <c r="F1905" s="5" t="str">
        <f aca="false">IF(B1905=0,"",IF(INDEX(Bank!$C:$C,B1905)="","",INDEX(Bank!$C:$C,B1905)))</f>
        <v/>
      </c>
      <c r="G1905" s="19" t="str">
        <f aca="false">IF(B1905=0,"",INDEX(Bank!$E:$E,B1905))</f>
        <v/>
      </c>
      <c r="H1905" s="5" t="str">
        <f aca="false">IF(B1905=0,"",IF(INDEX(Bank!$H:$H,B1905)="","",INDEX(Bank!$H:$H,B1905)))</f>
        <v/>
      </c>
      <c r="I1905" s="5" t="n">
        <f aca="false">IF(H1905="",0,IFERROR(MATCH(H1905,GL!$A:$A,0),0))</f>
        <v>0</v>
      </c>
      <c r="J1905" s="32" t="str">
        <f aca="false">IF(I1905=0,"",INDEX(GL!$B:$B,I1905))</f>
        <v/>
      </c>
      <c r="K1905" s="5" t="str">
        <f aca="false">IF(I1905=0,"",IF(INDEX(GL!$C:$C,I1905)="","",INDEX(GL!$C:$C,I1905)))</f>
        <v/>
      </c>
      <c r="L1905" s="19" t="str">
        <f aca="false">IF(I1905=0,"",INDEX(GL!$E:$E,I1905))</f>
        <v/>
      </c>
      <c r="M1905" s="19" t="str">
        <f aca="false">IF(OR(B1905=0,I1905=0),"",ROUND(G1905-L1905,2))</f>
        <v/>
      </c>
      <c r="N1905" s="5" t="str">
        <f aca="false">IF(A1905="","",IF(B1905=0,"NOT FOUND: bank ID",IF(I1905=0,"NOT FOUND: GL ID",IF(INDEX(GL!$H:$H,I1905)&lt;&gt;A1905,"BROKEN: GL points elsewhere",IF(OR(INDEX(Bank!$F:$F,B1905)&lt;&gt;"Y",INDEX(GL!$F:$F,I1905)&lt;&gt;"Y"),"BROKEN: Status not Y","OK")))))</f>
        <v/>
      </c>
    </row>
    <row r="1906" customFormat="false" ht="15" hidden="false" customHeight="false" outlineLevel="0" collapsed="false">
      <c r="A1906" s="41"/>
      <c r="B1906" s="5" t="n">
        <f aca="false">IF(A1906="",0,IFERROR(MATCH(A1906,Bank!$A:$A,0),0))</f>
        <v>0</v>
      </c>
      <c r="C1906" s="5" t="str">
        <f aca="false">IF(B1906=0,"",IF(INDEX(Bank!$G:$G,B1906)="","",INDEX(Bank!$G:$G,B1906)))</f>
        <v/>
      </c>
      <c r="D1906" s="5" t="str">
        <f aca="false">IF(B1906=0,"",IF(INDEX(Bank!$J:$J,B1906)="","",INDEX(Bank!$J:$J,B1906)))</f>
        <v/>
      </c>
      <c r="E1906" s="32" t="str">
        <f aca="false">IF(B1906=0,"",INDEX(Bank!$B:$B,B1906))</f>
        <v/>
      </c>
      <c r="F1906" s="5" t="str">
        <f aca="false">IF(B1906=0,"",IF(INDEX(Bank!$C:$C,B1906)="","",INDEX(Bank!$C:$C,B1906)))</f>
        <v/>
      </c>
      <c r="G1906" s="19" t="str">
        <f aca="false">IF(B1906=0,"",INDEX(Bank!$E:$E,B1906))</f>
        <v/>
      </c>
      <c r="H1906" s="5" t="str">
        <f aca="false">IF(B1906=0,"",IF(INDEX(Bank!$H:$H,B1906)="","",INDEX(Bank!$H:$H,B1906)))</f>
        <v/>
      </c>
      <c r="I1906" s="5" t="n">
        <f aca="false">IF(H1906="",0,IFERROR(MATCH(H1906,GL!$A:$A,0),0))</f>
        <v>0</v>
      </c>
      <c r="J1906" s="32" t="str">
        <f aca="false">IF(I1906=0,"",INDEX(GL!$B:$B,I1906))</f>
        <v/>
      </c>
      <c r="K1906" s="5" t="str">
        <f aca="false">IF(I1906=0,"",IF(INDEX(GL!$C:$C,I1906)="","",INDEX(GL!$C:$C,I1906)))</f>
        <v/>
      </c>
      <c r="L1906" s="19" t="str">
        <f aca="false">IF(I1906=0,"",INDEX(GL!$E:$E,I1906))</f>
        <v/>
      </c>
      <c r="M1906" s="19" t="str">
        <f aca="false">IF(OR(B1906=0,I1906=0),"",ROUND(G1906-L1906,2))</f>
        <v/>
      </c>
      <c r="N1906" s="5" t="str">
        <f aca="false">IF(A1906="","",IF(B1906=0,"NOT FOUND: bank ID",IF(I1906=0,"NOT FOUND: GL ID",IF(INDEX(GL!$H:$H,I1906)&lt;&gt;A1906,"BROKEN: GL points elsewhere",IF(OR(INDEX(Bank!$F:$F,B1906)&lt;&gt;"Y",INDEX(GL!$F:$F,I1906)&lt;&gt;"Y"),"BROKEN: Status not Y","OK")))))</f>
        <v/>
      </c>
    </row>
    <row r="1907" customFormat="false" ht="15" hidden="false" customHeight="false" outlineLevel="0" collapsed="false">
      <c r="A1907" s="41"/>
      <c r="B1907" s="5" t="n">
        <f aca="false">IF(A1907="",0,IFERROR(MATCH(A1907,Bank!$A:$A,0),0))</f>
        <v>0</v>
      </c>
      <c r="C1907" s="5" t="str">
        <f aca="false">IF(B1907=0,"",IF(INDEX(Bank!$G:$G,B1907)="","",INDEX(Bank!$G:$G,B1907)))</f>
        <v/>
      </c>
      <c r="D1907" s="5" t="str">
        <f aca="false">IF(B1907=0,"",IF(INDEX(Bank!$J:$J,B1907)="","",INDEX(Bank!$J:$J,B1907)))</f>
        <v/>
      </c>
      <c r="E1907" s="32" t="str">
        <f aca="false">IF(B1907=0,"",INDEX(Bank!$B:$B,B1907))</f>
        <v/>
      </c>
      <c r="F1907" s="5" t="str">
        <f aca="false">IF(B1907=0,"",IF(INDEX(Bank!$C:$C,B1907)="","",INDEX(Bank!$C:$C,B1907)))</f>
        <v/>
      </c>
      <c r="G1907" s="19" t="str">
        <f aca="false">IF(B1907=0,"",INDEX(Bank!$E:$E,B1907))</f>
        <v/>
      </c>
      <c r="H1907" s="5" t="str">
        <f aca="false">IF(B1907=0,"",IF(INDEX(Bank!$H:$H,B1907)="","",INDEX(Bank!$H:$H,B1907)))</f>
        <v/>
      </c>
      <c r="I1907" s="5" t="n">
        <f aca="false">IF(H1907="",0,IFERROR(MATCH(H1907,GL!$A:$A,0),0))</f>
        <v>0</v>
      </c>
      <c r="J1907" s="32" t="str">
        <f aca="false">IF(I1907=0,"",INDEX(GL!$B:$B,I1907))</f>
        <v/>
      </c>
      <c r="K1907" s="5" t="str">
        <f aca="false">IF(I1907=0,"",IF(INDEX(GL!$C:$C,I1907)="","",INDEX(GL!$C:$C,I1907)))</f>
        <v/>
      </c>
      <c r="L1907" s="19" t="str">
        <f aca="false">IF(I1907=0,"",INDEX(GL!$E:$E,I1907))</f>
        <v/>
      </c>
      <c r="M1907" s="19" t="str">
        <f aca="false">IF(OR(B1907=0,I1907=0),"",ROUND(G1907-L1907,2))</f>
        <v/>
      </c>
      <c r="N1907" s="5" t="str">
        <f aca="false">IF(A1907="","",IF(B1907=0,"NOT FOUND: bank ID",IF(I1907=0,"NOT FOUND: GL ID",IF(INDEX(GL!$H:$H,I1907)&lt;&gt;A1907,"BROKEN: GL points elsewhere",IF(OR(INDEX(Bank!$F:$F,B1907)&lt;&gt;"Y",INDEX(GL!$F:$F,I1907)&lt;&gt;"Y"),"BROKEN: Status not Y","OK")))))</f>
        <v/>
      </c>
    </row>
    <row r="1908" customFormat="false" ht="15" hidden="false" customHeight="false" outlineLevel="0" collapsed="false">
      <c r="A1908" s="41"/>
      <c r="B1908" s="5" t="n">
        <f aca="false">IF(A1908="",0,IFERROR(MATCH(A1908,Bank!$A:$A,0),0))</f>
        <v>0</v>
      </c>
      <c r="C1908" s="5" t="str">
        <f aca="false">IF(B1908=0,"",IF(INDEX(Bank!$G:$G,B1908)="","",INDEX(Bank!$G:$G,B1908)))</f>
        <v/>
      </c>
      <c r="D1908" s="5" t="str">
        <f aca="false">IF(B1908=0,"",IF(INDEX(Bank!$J:$J,B1908)="","",INDEX(Bank!$J:$J,B1908)))</f>
        <v/>
      </c>
      <c r="E1908" s="32" t="str">
        <f aca="false">IF(B1908=0,"",INDEX(Bank!$B:$B,B1908))</f>
        <v/>
      </c>
      <c r="F1908" s="5" t="str">
        <f aca="false">IF(B1908=0,"",IF(INDEX(Bank!$C:$C,B1908)="","",INDEX(Bank!$C:$C,B1908)))</f>
        <v/>
      </c>
      <c r="G1908" s="19" t="str">
        <f aca="false">IF(B1908=0,"",INDEX(Bank!$E:$E,B1908))</f>
        <v/>
      </c>
      <c r="H1908" s="5" t="str">
        <f aca="false">IF(B1908=0,"",IF(INDEX(Bank!$H:$H,B1908)="","",INDEX(Bank!$H:$H,B1908)))</f>
        <v/>
      </c>
      <c r="I1908" s="5" t="n">
        <f aca="false">IF(H1908="",0,IFERROR(MATCH(H1908,GL!$A:$A,0),0))</f>
        <v>0</v>
      </c>
      <c r="J1908" s="32" t="str">
        <f aca="false">IF(I1908=0,"",INDEX(GL!$B:$B,I1908))</f>
        <v/>
      </c>
      <c r="K1908" s="5" t="str">
        <f aca="false">IF(I1908=0,"",IF(INDEX(GL!$C:$C,I1908)="","",INDEX(GL!$C:$C,I1908)))</f>
        <v/>
      </c>
      <c r="L1908" s="19" t="str">
        <f aca="false">IF(I1908=0,"",INDEX(GL!$E:$E,I1908))</f>
        <v/>
      </c>
      <c r="M1908" s="19" t="str">
        <f aca="false">IF(OR(B1908=0,I1908=0),"",ROUND(G1908-L1908,2))</f>
        <v/>
      </c>
      <c r="N1908" s="5" t="str">
        <f aca="false">IF(A1908="","",IF(B1908=0,"NOT FOUND: bank ID",IF(I1908=0,"NOT FOUND: GL ID",IF(INDEX(GL!$H:$H,I1908)&lt;&gt;A1908,"BROKEN: GL points elsewhere",IF(OR(INDEX(Bank!$F:$F,B1908)&lt;&gt;"Y",INDEX(GL!$F:$F,I1908)&lt;&gt;"Y"),"BROKEN: Status not Y","OK")))))</f>
        <v/>
      </c>
    </row>
    <row r="1909" customFormat="false" ht="15" hidden="false" customHeight="false" outlineLevel="0" collapsed="false">
      <c r="A1909" s="41"/>
      <c r="B1909" s="5" t="n">
        <f aca="false">IF(A1909="",0,IFERROR(MATCH(A1909,Bank!$A:$A,0),0))</f>
        <v>0</v>
      </c>
      <c r="C1909" s="5" t="str">
        <f aca="false">IF(B1909=0,"",IF(INDEX(Bank!$G:$G,B1909)="","",INDEX(Bank!$G:$G,B1909)))</f>
        <v/>
      </c>
      <c r="D1909" s="5" t="str">
        <f aca="false">IF(B1909=0,"",IF(INDEX(Bank!$J:$J,B1909)="","",INDEX(Bank!$J:$J,B1909)))</f>
        <v/>
      </c>
      <c r="E1909" s="32" t="str">
        <f aca="false">IF(B1909=0,"",INDEX(Bank!$B:$B,B1909))</f>
        <v/>
      </c>
      <c r="F1909" s="5" t="str">
        <f aca="false">IF(B1909=0,"",IF(INDEX(Bank!$C:$C,B1909)="","",INDEX(Bank!$C:$C,B1909)))</f>
        <v/>
      </c>
      <c r="G1909" s="19" t="str">
        <f aca="false">IF(B1909=0,"",INDEX(Bank!$E:$E,B1909))</f>
        <v/>
      </c>
      <c r="H1909" s="5" t="str">
        <f aca="false">IF(B1909=0,"",IF(INDEX(Bank!$H:$H,B1909)="","",INDEX(Bank!$H:$H,B1909)))</f>
        <v/>
      </c>
      <c r="I1909" s="5" t="n">
        <f aca="false">IF(H1909="",0,IFERROR(MATCH(H1909,GL!$A:$A,0),0))</f>
        <v>0</v>
      </c>
      <c r="J1909" s="32" t="str">
        <f aca="false">IF(I1909=0,"",INDEX(GL!$B:$B,I1909))</f>
        <v/>
      </c>
      <c r="K1909" s="5" t="str">
        <f aca="false">IF(I1909=0,"",IF(INDEX(GL!$C:$C,I1909)="","",INDEX(GL!$C:$C,I1909)))</f>
        <v/>
      </c>
      <c r="L1909" s="19" t="str">
        <f aca="false">IF(I1909=0,"",INDEX(GL!$E:$E,I1909))</f>
        <v/>
      </c>
      <c r="M1909" s="19" t="str">
        <f aca="false">IF(OR(B1909=0,I1909=0),"",ROUND(G1909-L1909,2))</f>
        <v/>
      </c>
      <c r="N1909" s="5" t="str">
        <f aca="false">IF(A1909="","",IF(B1909=0,"NOT FOUND: bank ID",IF(I1909=0,"NOT FOUND: GL ID",IF(INDEX(GL!$H:$H,I1909)&lt;&gt;A1909,"BROKEN: GL points elsewhere",IF(OR(INDEX(Bank!$F:$F,B1909)&lt;&gt;"Y",INDEX(GL!$F:$F,I1909)&lt;&gt;"Y"),"BROKEN: Status not Y","OK")))))</f>
        <v/>
      </c>
    </row>
    <row r="1910" customFormat="false" ht="15" hidden="false" customHeight="false" outlineLevel="0" collapsed="false">
      <c r="A1910" s="41"/>
      <c r="B1910" s="5" t="n">
        <f aca="false">IF(A1910="",0,IFERROR(MATCH(A1910,Bank!$A:$A,0),0))</f>
        <v>0</v>
      </c>
      <c r="C1910" s="5" t="str">
        <f aca="false">IF(B1910=0,"",IF(INDEX(Bank!$G:$G,B1910)="","",INDEX(Bank!$G:$G,B1910)))</f>
        <v/>
      </c>
      <c r="D1910" s="5" t="str">
        <f aca="false">IF(B1910=0,"",IF(INDEX(Bank!$J:$J,B1910)="","",INDEX(Bank!$J:$J,B1910)))</f>
        <v/>
      </c>
      <c r="E1910" s="32" t="str">
        <f aca="false">IF(B1910=0,"",INDEX(Bank!$B:$B,B1910))</f>
        <v/>
      </c>
      <c r="F1910" s="5" t="str">
        <f aca="false">IF(B1910=0,"",IF(INDEX(Bank!$C:$C,B1910)="","",INDEX(Bank!$C:$C,B1910)))</f>
        <v/>
      </c>
      <c r="G1910" s="19" t="str">
        <f aca="false">IF(B1910=0,"",INDEX(Bank!$E:$E,B1910))</f>
        <v/>
      </c>
      <c r="H1910" s="5" t="str">
        <f aca="false">IF(B1910=0,"",IF(INDEX(Bank!$H:$H,B1910)="","",INDEX(Bank!$H:$H,B1910)))</f>
        <v/>
      </c>
      <c r="I1910" s="5" t="n">
        <f aca="false">IF(H1910="",0,IFERROR(MATCH(H1910,GL!$A:$A,0),0))</f>
        <v>0</v>
      </c>
      <c r="J1910" s="32" t="str">
        <f aca="false">IF(I1910=0,"",INDEX(GL!$B:$B,I1910))</f>
        <v/>
      </c>
      <c r="K1910" s="5" t="str">
        <f aca="false">IF(I1910=0,"",IF(INDEX(GL!$C:$C,I1910)="","",INDEX(GL!$C:$C,I1910)))</f>
        <v/>
      </c>
      <c r="L1910" s="19" t="str">
        <f aca="false">IF(I1910=0,"",INDEX(GL!$E:$E,I1910))</f>
        <v/>
      </c>
      <c r="M1910" s="19" t="str">
        <f aca="false">IF(OR(B1910=0,I1910=0),"",ROUND(G1910-L1910,2))</f>
        <v/>
      </c>
      <c r="N1910" s="5" t="str">
        <f aca="false">IF(A1910="","",IF(B1910=0,"NOT FOUND: bank ID",IF(I1910=0,"NOT FOUND: GL ID",IF(INDEX(GL!$H:$H,I1910)&lt;&gt;A1910,"BROKEN: GL points elsewhere",IF(OR(INDEX(Bank!$F:$F,B1910)&lt;&gt;"Y",INDEX(GL!$F:$F,I1910)&lt;&gt;"Y"),"BROKEN: Status not Y","OK")))))</f>
        <v/>
      </c>
    </row>
    <row r="1911" customFormat="false" ht="15" hidden="false" customHeight="false" outlineLevel="0" collapsed="false">
      <c r="A1911" s="41"/>
      <c r="B1911" s="5" t="n">
        <f aca="false">IF(A1911="",0,IFERROR(MATCH(A1911,Bank!$A:$A,0),0))</f>
        <v>0</v>
      </c>
      <c r="C1911" s="5" t="str">
        <f aca="false">IF(B1911=0,"",IF(INDEX(Bank!$G:$G,B1911)="","",INDEX(Bank!$G:$G,B1911)))</f>
        <v/>
      </c>
      <c r="D1911" s="5" t="str">
        <f aca="false">IF(B1911=0,"",IF(INDEX(Bank!$J:$J,B1911)="","",INDEX(Bank!$J:$J,B1911)))</f>
        <v/>
      </c>
      <c r="E1911" s="32" t="str">
        <f aca="false">IF(B1911=0,"",INDEX(Bank!$B:$B,B1911))</f>
        <v/>
      </c>
      <c r="F1911" s="5" t="str">
        <f aca="false">IF(B1911=0,"",IF(INDEX(Bank!$C:$C,B1911)="","",INDEX(Bank!$C:$C,B1911)))</f>
        <v/>
      </c>
      <c r="G1911" s="19" t="str">
        <f aca="false">IF(B1911=0,"",INDEX(Bank!$E:$E,B1911))</f>
        <v/>
      </c>
      <c r="H1911" s="5" t="str">
        <f aca="false">IF(B1911=0,"",IF(INDEX(Bank!$H:$H,B1911)="","",INDEX(Bank!$H:$H,B1911)))</f>
        <v/>
      </c>
      <c r="I1911" s="5" t="n">
        <f aca="false">IF(H1911="",0,IFERROR(MATCH(H1911,GL!$A:$A,0),0))</f>
        <v>0</v>
      </c>
      <c r="J1911" s="32" t="str">
        <f aca="false">IF(I1911=0,"",INDEX(GL!$B:$B,I1911))</f>
        <v/>
      </c>
      <c r="K1911" s="5" t="str">
        <f aca="false">IF(I1911=0,"",IF(INDEX(GL!$C:$C,I1911)="","",INDEX(GL!$C:$C,I1911)))</f>
        <v/>
      </c>
      <c r="L1911" s="19" t="str">
        <f aca="false">IF(I1911=0,"",INDEX(GL!$E:$E,I1911))</f>
        <v/>
      </c>
      <c r="M1911" s="19" t="str">
        <f aca="false">IF(OR(B1911=0,I1911=0),"",ROUND(G1911-L1911,2))</f>
        <v/>
      </c>
      <c r="N1911" s="5" t="str">
        <f aca="false">IF(A1911="","",IF(B1911=0,"NOT FOUND: bank ID",IF(I1911=0,"NOT FOUND: GL ID",IF(INDEX(GL!$H:$H,I1911)&lt;&gt;A1911,"BROKEN: GL points elsewhere",IF(OR(INDEX(Bank!$F:$F,B1911)&lt;&gt;"Y",INDEX(GL!$F:$F,I1911)&lt;&gt;"Y"),"BROKEN: Status not Y","OK")))))</f>
        <v/>
      </c>
    </row>
    <row r="1912" customFormat="false" ht="15" hidden="false" customHeight="false" outlineLevel="0" collapsed="false">
      <c r="A1912" s="41"/>
      <c r="B1912" s="5" t="n">
        <f aca="false">IF(A1912="",0,IFERROR(MATCH(A1912,Bank!$A:$A,0),0))</f>
        <v>0</v>
      </c>
      <c r="C1912" s="5" t="str">
        <f aca="false">IF(B1912=0,"",IF(INDEX(Bank!$G:$G,B1912)="","",INDEX(Bank!$G:$G,B1912)))</f>
        <v/>
      </c>
      <c r="D1912" s="5" t="str">
        <f aca="false">IF(B1912=0,"",IF(INDEX(Bank!$J:$J,B1912)="","",INDEX(Bank!$J:$J,B1912)))</f>
        <v/>
      </c>
      <c r="E1912" s="32" t="str">
        <f aca="false">IF(B1912=0,"",INDEX(Bank!$B:$B,B1912))</f>
        <v/>
      </c>
      <c r="F1912" s="5" t="str">
        <f aca="false">IF(B1912=0,"",IF(INDEX(Bank!$C:$C,B1912)="","",INDEX(Bank!$C:$C,B1912)))</f>
        <v/>
      </c>
      <c r="G1912" s="19" t="str">
        <f aca="false">IF(B1912=0,"",INDEX(Bank!$E:$E,B1912))</f>
        <v/>
      </c>
      <c r="H1912" s="5" t="str">
        <f aca="false">IF(B1912=0,"",IF(INDEX(Bank!$H:$H,B1912)="","",INDEX(Bank!$H:$H,B1912)))</f>
        <v/>
      </c>
      <c r="I1912" s="5" t="n">
        <f aca="false">IF(H1912="",0,IFERROR(MATCH(H1912,GL!$A:$A,0),0))</f>
        <v>0</v>
      </c>
      <c r="J1912" s="32" t="str">
        <f aca="false">IF(I1912=0,"",INDEX(GL!$B:$B,I1912))</f>
        <v/>
      </c>
      <c r="K1912" s="5" t="str">
        <f aca="false">IF(I1912=0,"",IF(INDEX(GL!$C:$C,I1912)="","",INDEX(GL!$C:$C,I1912)))</f>
        <v/>
      </c>
      <c r="L1912" s="19" t="str">
        <f aca="false">IF(I1912=0,"",INDEX(GL!$E:$E,I1912))</f>
        <v/>
      </c>
      <c r="M1912" s="19" t="str">
        <f aca="false">IF(OR(B1912=0,I1912=0),"",ROUND(G1912-L1912,2))</f>
        <v/>
      </c>
      <c r="N1912" s="5" t="str">
        <f aca="false">IF(A1912="","",IF(B1912=0,"NOT FOUND: bank ID",IF(I1912=0,"NOT FOUND: GL ID",IF(INDEX(GL!$H:$H,I1912)&lt;&gt;A1912,"BROKEN: GL points elsewhere",IF(OR(INDEX(Bank!$F:$F,B1912)&lt;&gt;"Y",INDEX(GL!$F:$F,I1912)&lt;&gt;"Y"),"BROKEN: Status not Y","OK")))))</f>
        <v/>
      </c>
    </row>
    <row r="1913" customFormat="false" ht="15" hidden="false" customHeight="false" outlineLevel="0" collapsed="false">
      <c r="A1913" s="41"/>
      <c r="B1913" s="5" t="n">
        <f aca="false">IF(A1913="",0,IFERROR(MATCH(A1913,Bank!$A:$A,0),0))</f>
        <v>0</v>
      </c>
      <c r="C1913" s="5" t="str">
        <f aca="false">IF(B1913=0,"",IF(INDEX(Bank!$G:$G,B1913)="","",INDEX(Bank!$G:$G,B1913)))</f>
        <v/>
      </c>
      <c r="D1913" s="5" t="str">
        <f aca="false">IF(B1913=0,"",IF(INDEX(Bank!$J:$J,B1913)="","",INDEX(Bank!$J:$J,B1913)))</f>
        <v/>
      </c>
      <c r="E1913" s="32" t="str">
        <f aca="false">IF(B1913=0,"",INDEX(Bank!$B:$B,B1913))</f>
        <v/>
      </c>
      <c r="F1913" s="5" t="str">
        <f aca="false">IF(B1913=0,"",IF(INDEX(Bank!$C:$C,B1913)="","",INDEX(Bank!$C:$C,B1913)))</f>
        <v/>
      </c>
      <c r="G1913" s="19" t="str">
        <f aca="false">IF(B1913=0,"",INDEX(Bank!$E:$E,B1913))</f>
        <v/>
      </c>
      <c r="H1913" s="5" t="str">
        <f aca="false">IF(B1913=0,"",IF(INDEX(Bank!$H:$H,B1913)="","",INDEX(Bank!$H:$H,B1913)))</f>
        <v/>
      </c>
      <c r="I1913" s="5" t="n">
        <f aca="false">IF(H1913="",0,IFERROR(MATCH(H1913,GL!$A:$A,0),0))</f>
        <v>0</v>
      </c>
      <c r="J1913" s="32" t="str">
        <f aca="false">IF(I1913=0,"",INDEX(GL!$B:$B,I1913))</f>
        <v/>
      </c>
      <c r="K1913" s="5" t="str">
        <f aca="false">IF(I1913=0,"",IF(INDEX(GL!$C:$C,I1913)="","",INDEX(GL!$C:$C,I1913)))</f>
        <v/>
      </c>
      <c r="L1913" s="19" t="str">
        <f aca="false">IF(I1913=0,"",INDEX(GL!$E:$E,I1913))</f>
        <v/>
      </c>
      <c r="M1913" s="19" t="str">
        <f aca="false">IF(OR(B1913=0,I1913=0),"",ROUND(G1913-L1913,2))</f>
        <v/>
      </c>
      <c r="N1913" s="5" t="str">
        <f aca="false">IF(A1913="","",IF(B1913=0,"NOT FOUND: bank ID",IF(I1913=0,"NOT FOUND: GL ID",IF(INDEX(GL!$H:$H,I1913)&lt;&gt;A1913,"BROKEN: GL points elsewhere",IF(OR(INDEX(Bank!$F:$F,B1913)&lt;&gt;"Y",INDEX(GL!$F:$F,I1913)&lt;&gt;"Y"),"BROKEN: Status not Y","OK")))))</f>
        <v/>
      </c>
    </row>
    <row r="1914" customFormat="false" ht="15" hidden="false" customHeight="false" outlineLevel="0" collapsed="false">
      <c r="A1914" s="41"/>
      <c r="B1914" s="5" t="n">
        <f aca="false">IF(A1914="",0,IFERROR(MATCH(A1914,Bank!$A:$A,0),0))</f>
        <v>0</v>
      </c>
      <c r="C1914" s="5" t="str">
        <f aca="false">IF(B1914=0,"",IF(INDEX(Bank!$G:$G,B1914)="","",INDEX(Bank!$G:$G,B1914)))</f>
        <v/>
      </c>
      <c r="D1914" s="5" t="str">
        <f aca="false">IF(B1914=0,"",IF(INDEX(Bank!$J:$J,B1914)="","",INDEX(Bank!$J:$J,B1914)))</f>
        <v/>
      </c>
      <c r="E1914" s="32" t="str">
        <f aca="false">IF(B1914=0,"",INDEX(Bank!$B:$B,B1914))</f>
        <v/>
      </c>
      <c r="F1914" s="5" t="str">
        <f aca="false">IF(B1914=0,"",IF(INDEX(Bank!$C:$C,B1914)="","",INDEX(Bank!$C:$C,B1914)))</f>
        <v/>
      </c>
      <c r="G1914" s="19" t="str">
        <f aca="false">IF(B1914=0,"",INDEX(Bank!$E:$E,B1914))</f>
        <v/>
      </c>
      <c r="H1914" s="5" t="str">
        <f aca="false">IF(B1914=0,"",IF(INDEX(Bank!$H:$H,B1914)="","",INDEX(Bank!$H:$H,B1914)))</f>
        <v/>
      </c>
      <c r="I1914" s="5" t="n">
        <f aca="false">IF(H1914="",0,IFERROR(MATCH(H1914,GL!$A:$A,0),0))</f>
        <v>0</v>
      </c>
      <c r="J1914" s="32" t="str">
        <f aca="false">IF(I1914=0,"",INDEX(GL!$B:$B,I1914))</f>
        <v/>
      </c>
      <c r="K1914" s="5" t="str">
        <f aca="false">IF(I1914=0,"",IF(INDEX(GL!$C:$C,I1914)="","",INDEX(GL!$C:$C,I1914)))</f>
        <v/>
      </c>
      <c r="L1914" s="19" t="str">
        <f aca="false">IF(I1914=0,"",INDEX(GL!$E:$E,I1914))</f>
        <v/>
      </c>
      <c r="M1914" s="19" t="str">
        <f aca="false">IF(OR(B1914=0,I1914=0),"",ROUND(G1914-L1914,2))</f>
        <v/>
      </c>
      <c r="N1914" s="5" t="str">
        <f aca="false">IF(A1914="","",IF(B1914=0,"NOT FOUND: bank ID",IF(I1914=0,"NOT FOUND: GL ID",IF(INDEX(GL!$H:$H,I1914)&lt;&gt;A1914,"BROKEN: GL points elsewhere",IF(OR(INDEX(Bank!$F:$F,B1914)&lt;&gt;"Y",INDEX(GL!$F:$F,I1914)&lt;&gt;"Y"),"BROKEN: Status not Y","OK")))))</f>
        <v/>
      </c>
    </row>
    <row r="1915" customFormat="false" ht="15" hidden="false" customHeight="false" outlineLevel="0" collapsed="false">
      <c r="A1915" s="41"/>
      <c r="B1915" s="5" t="n">
        <f aca="false">IF(A1915="",0,IFERROR(MATCH(A1915,Bank!$A:$A,0),0))</f>
        <v>0</v>
      </c>
      <c r="C1915" s="5" t="str">
        <f aca="false">IF(B1915=0,"",IF(INDEX(Bank!$G:$G,B1915)="","",INDEX(Bank!$G:$G,B1915)))</f>
        <v/>
      </c>
      <c r="D1915" s="5" t="str">
        <f aca="false">IF(B1915=0,"",IF(INDEX(Bank!$J:$J,B1915)="","",INDEX(Bank!$J:$J,B1915)))</f>
        <v/>
      </c>
      <c r="E1915" s="32" t="str">
        <f aca="false">IF(B1915=0,"",INDEX(Bank!$B:$B,B1915))</f>
        <v/>
      </c>
      <c r="F1915" s="5" t="str">
        <f aca="false">IF(B1915=0,"",IF(INDEX(Bank!$C:$C,B1915)="","",INDEX(Bank!$C:$C,B1915)))</f>
        <v/>
      </c>
      <c r="G1915" s="19" t="str">
        <f aca="false">IF(B1915=0,"",INDEX(Bank!$E:$E,B1915))</f>
        <v/>
      </c>
      <c r="H1915" s="5" t="str">
        <f aca="false">IF(B1915=0,"",IF(INDEX(Bank!$H:$H,B1915)="","",INDEX(Bank!$H:$H,B1915)))</f>
        <v/>
      </c>
      <c r="I1915" s="5" t="n">
        <f aca="false">IF(H1915="",0,IFERROR(MATCH(H1915,GL!$A:$A,0),0))</f>
        <v>0</v>
      </c>
      <c r="J1915" s="32" t="str">
        <f aca="false">IF(I1915=0,"",INDEX(GL!$B:$B,I1915))</f>
        <v/>
      </c>
      <c r="K1915" s="5" t="str">
        <f aca="false">IF(I1915=0,"",IF(INDEX(GL!$C:$C,I1915)="","",INDEX(GL!$C:$C,I1915)))</f>
        <v/>
      </c>
      <c r="L1915" s="19" t="str">
        <f aca="false">IF(I1915=0,"",INDEX(GL!$E:$E,I1915))</f>
        <v/>
      </c>
      <c r="M1915" s="19" t="str">
        <f aca="false">IF(OR(B1915=0,I1915=0),"",ROUND(G1915-L1915,2))</f>
        <v/>
      </c>
      <c r="N1915" s="5" t="str">
        <f aca="false">IF(A1915="","",IF(B1915=0,"NOT FOUND: bank ID",IF(I1915=0,"NOT FOUND: GL ID",IF(INDEX(GL!$H:$H,I1915)&lt;&gt;A1915,"BROKEN: GL points elsewhere",IF(OR(INDEX(Bank!$F:$F,B1915)&lt;&gt;"Y",INDEX(GL!$F:$F,I1915)&lt;&gt;"Y"),"BROKEN: Status not Y","OK")))))</f>
        <v/>
      </c>
    </row>
    <row r="1916" customFormat="false" ht="15" hidden="false" customHeight="false" outlineLevel="0" collapsed="false">
      <c r="A1916" s="41"/>
      <c r="B1916" s="5" t="n">
        <f aca="false">IF(A1916="",0,IFERROR(MATCH(A1916,Bank!$A:$A,0),0))</f>
        <v>0</v>
      </c>
      <c r="C1916" s="5" t="str">
        <f aca="false">IF(B1916=0,"",IF(INDEX(Bank!$G:$G,B1916)="","",INDEX(Bank!$G:$G,B1916)))</f>
        <v/>
      </c>
      <c r="D1916" s="5" t="str">
        <f aca="false">IF(B1916=0,"",IF(INDEX(Bank!$J:$J,B1916)="","",INDEX(Bank!$J:$J,B1916)))</f>
        <v/>
      </c>
      <c r="E1916" s="32" t="str">
        <f aca="false">IF(B1916=0,"",INDEX(Bank!$B:$B,B1916))</f>
        <v/>
      </c>
      <c r="F1916" s="5" t="str">
        <f aca="false">IF(B1916=0,"",IF(INDEX(Bank!$C:$C,B1916)="","",INDEX(Bank!$C:$C,B1916)))</f>
        <v/>
      </c>
      <c r="G1916" s="19" t="str">
        <f aca="false">IF(B1916=0,"",INDEX(Bank!$E:$E,B1916))</f>
        <v/>
      </c>
      <c r="H1916" s="5" t="str">
        <f aca="false">IF(B1916=0,"",IF(INDEX(Bank!$H:$H,B1916)="","",INDEX(Bank!$H:$H,B1916)))</f>
        <v/>
      </c>
      <c r="I1916" s="5" t="n">
        <f aca="false">IF(H1916="",0,IFERROR(MATCH(H1916,GL!$A:$A,0),0))</f>
        <v>0</v>
      </c>
      <c r="J1916" s="32" t="str">
        <f aca="false">IF(I1916=0,"",INDEX(GL!$B:$B,I1916))</f>
        <v/>
      </c>
      <c r="K1916" s="5" t="str">
        <f aca="false">IF(I1916=0,"",IF(INDEX(GL!$C:$C,I1916)="","",INDEX(GL!$C:$C,I1916)))</f>
        <v/>
      </c>
      <c r="L1916" s="19" t="str">
        <f aca="false">IF(I1916=0,"",INDEX(GL!$E:$E,I1916))</f>
        <v/>
      </c>
      <c r="M1916" s="19" t="str">
        <f aca="false">IF(OR(B1916=0,I1916=0),"",ROUND(G1916-L1916,2))</f>
        <v/>
      </c>
      <c r="N1916" s="5" t="str">
        <f aca="false">IF(A1916="","",IF(B1916=0,"NOT FOUND: bank ID",IF(I1916=0,"NOT FOUND: GL ID",IF(INDEX(GL!$H:$H,I1916)&lt;&gt;A1916,"BROKEN: GL points elsewhere",IF(OR(INDEX(Bank!$F:$F,B1916)&lt;&gt;"Y",INDEX(GL!$F:$F,I1916)&lt;&gt;"Y"),"BROKEN: Status not Y","OK")))))</f>
        <v/>
      </c>
    </row>
    <row r="1917" customFormat="false" ht="15" hidden="false" customHeight="false" outlineLevel="0" collapsed="false">
      <c r="A1917" s="41"/>
      <c r="B1917" s="5" t="n">
        <f aca="false">IF(A1917="",0,IFERROR(MATCH(A1917,Bank!$A:$A,0),0))</f>
        <v>0</v>
      </c>
      <c r="C1917" s="5" t="str">
        <f aca="false">IF(B1917=0,"",IF(INDEX(Bank!$G:$G,B1917)="","",INDEX(Bank!$G:$G,B1917)))</f>
        <v/>
      </c>
      <c r="D1917" s="5" t="str">
        <f aca="false">IF(B1917=0,"",IF(INDEX(Bank!$J:$J,B1917)="","",INDEX(Bank!$J:$J,B1917)))</f>
        <v/>
      </c>
      <c r="E1917" s="32" t="str">
        <f aca="false">IF(B1917=0,"",INDEX(Bank!$B:$B,B1917))</f>
        <v/>
      </c>
      <c r="F1917" s="5" t="str">
        <f aca="false">IF(B1917=0,"",IF(INDEX(Bank!$C:$C,B1917)="","",INDEX(Bank!$C:$C,B1917)))</f>
        <v/>
      </c>
      <c r="G1917" s="19" t="str">
        <f aca="false">IF(B1917=0,"",INDEX(Bank!$E:$E,B1917))</f>
        <v/>
      </c>
      <c r="H1917" s="5" t="str">
        <f aca="false">IF(B1917=0,"",IF(INDEX(Bank!$H:$H,B1917)="","",INDEX(Bank!$H:$H,B1917)))</f>
        <v/>
      </c>
      <c r="I1917" s="5" t="n">
        <f aca="false">IF(H1917="",0,IFERROR(MATCH(H1917,GL!$A:$A,0),0))</f>
        <v>0</v>
      </c>
      <c r="J1917" s="32" t="str">
        <f aca="false">IF(I1917=0,"",INDEX(GL!$B:$B,I1917))</f>
        <v/>
      </c>
      <c r="K1917" s="5" t="str">
        <f aca="false">IF(I1917=0,"",IF(INDEX(GL!$C:$C,I1917)="","",INDEX(GL!$C:$C,I1917)))</f>
        <v/>
      </c>
      <c r="L1917" s="19" t="str">
        <f aca="false">IF(I1917=0,"",INDEX(GL!$E:$E,I1917))</f>
        <v/>
      </c>
      <c r="M1917" s="19" t="str">
        <f aca="false">IF(OR(B1917=0,I1917=0),"",ROUND(G1917-L1917,2))</f>
        <v/>
      </c>
      <c r="N1917" s="5" t="str">
        <f aca="false">IF(A1917="","",IF(B1917=0,"NOT FOUND: bank ID",IF(I1917=0,"NOT FOUND: GL ID",IF(INDEX(GL!$H:$H,I1917)&lt;&gt;A1917,"BROKEN: GL points elsewhere",IF(OR(INDEX(Bank!$F:$F,B1917)&lt;&gt;"Y",INDEX(GL!$F:$F,I1917)&lt;&gt;"Y"),"BROKEN: Status not Y","OK")))))</f>
        <v/>
      </c>
    </row>
    <row r="1918" customFormat="false" ht="15" hidden="false" customHeight="false" outlineLevel="0" collapsed="false">
      <c r="A1918" s="41"/>
      <c r="B1918" s="5" t="n">
        <f aca="false">IF(A1918="",0,IFERROR(MATCH(A1918,Bank!$A:$A,0),0))</f>
        <v>0</v>
      </c>
      <c r="C1918" s="5" t="str">
        <f aca="false">IF(B1918=0,"",IF(INDEX(Bank!$G:$G,B1918)="","",INDEX(Bank!$G:$G,B1918)))</f>
        <v/>
      </c>
      <c r="D1918" s="5" t="str">
        <f aca="false">IF(B1918=0,"",IF(INDEX(Bank!$J:$J,B1918)="","",INDEX(Bank!$J:$J,B1918)))</f>
        <v/>
      </c>
      <c r="E1918" s="32" t="str">
        <f aca="false">IF(B1918=0,"",INDEX(Bank!$B:$B,B1918))</f>
        <v/>
      </c>
      <c r="F1918" s="5" t="str">
        <f aca="false">IF(B1918=0,"",IF(INDEX(Bank!$C:$C,B1918)="","",INDEX(Bank!$C:$C,B1918)))</f>
        <v/>
      </c>
      <c r="G1918" s="19" t="str">
        <f aca="false">IF(B1918=0,"",INDEX(Bank!$E:$E,B1918))</f>
        <v/>
      </c>
      <c r="H1918" s="5" t="str">
        <f aca="false">IF(B1918=0,"",IF(INDEX(Bank!$H:$H,B1918)="","",INDEX(Bank!$H:$H,B1918)))</f>
        <v/>
      </c>
      <c r="I1918" s="5" t="n">
        <f aca="false">IF(H1918="",0,IFERROR(MATCH(H1918,GL!$A:$A,0),0))</f>
        <v>0</v>
      </c>
      <c r="J1918" s="32" t="str">
        <f aca="false">IF(I1918=0,"",INDEX(GL!$B:$B,I1918))</f>
        <v/>
      </c>
      <c r="K1918" s="5" t="str">
        <f aca="false">IF(I1918=0,"",IF(INDEX(GL!$C:$C,I1918)="","",INDEX(GL!$C:$C,I1918)))</f>
        <v/>
      </c>
      <c r="L1918" s="19" t="str">
        <f aca="false">IF(I1918=0,"",INDEX(GL!$E:$E,I1918))</f>
        <v/>
      </c>
      <c r="M1918" s="19" t="str">
        <f aca="false">IF(OR(B1918=0,I1918=0),"",ROUND(G1918-L1918,2))</f>
        <v/>
      </c>
      <c r="N1918" s="5" t="str">
        <f aca="false">IF(A1918="","",IF(B1918=0,"NOT FOUND: bank ID",IF(I1918=0,"NOT FOUND: GL ID",IF(INDEX(GL!$H:$H,I1918)&lt;&gt;A1918,"BROKEN: GL points elsewhere",IF(OR(INDEX(Bank!$F:$F,B1918)&lt;&gt;"Y",INDEX(GL!$F:$F,I1918)&lt;&gt;"Y"),"BROKEN: Status not Y","OK")))))</f>
        <v/>
      </c>
    </row>
    <row r="1919" customFormat="false" ht="15" hidden="false" customHeight="false" outlineLevel="0" collapsed="false">
      <c r="A1919" s="41"/>
      <c r="B1919" s="5" t="n">
        <f aca="false">IF(A1919="",0,IFERROR(MATCH(A1919,Bank!$A:$A,0),0))</f>
        <v>0</v>
      </c>
      <c r="C1919" s="5" t="str">
        <f aca="false">IF(B1919=0,"",IF(INDEX(Bank!$G:$G,B1919)="","",INDEX(Bank!$G:$G,B1919)))</f>
        <v/>
      </c>
      <c r="D1919" s="5" t="str">
        <f aca="false">IF(B1919=0,"",IF(INDEX(Bank!$J:$J,B1919)="","",INDEX(Bank!$J:$J,B1919)))</f>
        <v/>
      </c>
      <c r="E1919" s="32" t="str">
        <f aca="false">IF(B1919=0,"",INDEX(Bank!$B:$B,B1919))</f>
        <v/>
      </c>
      <c r="F1919" s="5" t="str">
        <f aca="false">IF(B1919=0,"",IF(INDEX(Bank!$C:$C,B1919)="","",INDEX(Bank!$C:$C,B1919)))</f>
        <v/>
      </c>
      <c r="G1919" s="19" t="str">
        <f aca="false">IF(B1919=0,"",INDEX(Bank!$E:$E,B1919))</f>
        <v/>
      </c>
      <c r="H1919" s="5" t="str">
        <f aca="false">IF(B1919=0,"",IF(INDEX(Bank!$H:$H,B1919)="","",INDEX(Bank!$H:$H,B1919)))</f>
        <v/>
      </c>
      <c r="I1919" s="5" t="n">
        <f aca="false">IF(H1919="",0,IFERROR(MATCH(H1919,GL!$A:$A,0),0))</f>
        <v>0</v>
      </c>
      <c r="J1919" s="32" t="str">
        <f aca="false">IF(I1919=0,"",INDEX(GL!$B:$B,I1919))</f>
        <v/>
      </c>
      <c r="K1919" s="5" t="str">
        <f aca="false">IF(I1919=0,"",IF(INDEX(GL!$C:$C,I1919)="","",INDEX(GL!$C:$C,I1919)))</f>
        <v/>
      </c>
      <c r="L1919" s="19" t="str">
        <f aca="false">IF(I1919=0,"",INDEX(GL!$E:$E,I1919))</f>
        <v/>
      </c>
      <c r="M1919" s="19" t="str">
        <f aca="false">IF(OR(B1919=0,I1919=0),"",ROUND(G1919-L1919,2))</f>
        <v/>
      </c>
      <c r="N1919" s="5" t="str">
        <f aca="false">IF(A1919="","",IF(B1919=0,"NOT FOUND: bank ID",IF(I1919=0,"NOT FOUND: GL ID",IF(INDEX(GL!$H:$H,I1919)&lt;&gt;A1919,"BROKEN: GL points elsewhere",IF(OR(INDEX(Bank!$F:$F,B1919)&lt;&gt;"Y",INDEX(GL!$F:$F,I1919)&lt;&gt;"Y"),"BROKEN: Status not Y","OK")))))</f>
        <v/>
      </c>
    </row>
    <row r="1920" customFormat="false" ht="15" hidden="false" customHeight="false" outlineLevel="0" collapsed="false">
      <c r="A1920" s="41"/>
      <c r="B1920" s="5" t="n">
        <f aca="false">IF(A1920="",0,IFERROR(MATCH(A1920,Bank!$A:$A,0),0))</f>
        <v>0</v>
      </c>
      <c r="C1920" s="5" t="str">
        <f aca="false">IF(B1920=0,"",IF(INDEX(Bank!$G:$G,B1920)="","",INDEX(Bank!$G:$G,B1920)))</f>
        <v/>
      </c>
      <c r="D1920" s="5" t="str">
        <f aca="false">IF(B1920=0,"",IF(INDEX(Bank!$J:$J,B1920)="","",INDEX(Bank!$J:$J,B1920)))</f>
        <v/>
      </c>
      <c r="E1920" s="32" t="str">
        <f aca="false">IF(B1920=0,"",INDEX(Bank!$B:$B,B1920))</f>
        <v/>
      </c>
      <c r="F1920" s="5" t="str">
        <f aca="false">IF(B1920=0,"",IF(INDEX(Bank!$C:$C,B1920)="","",INDEX(Bank!$C:$C,B1920)))</f>
        <v/>
      </c>
      <c r="G1920" s="19" t="str">
        <f aca="false">IF(B1920=0,"",INDEX(Bank!$E:$E,B1920))</f>
        <v/>
      </c>
      <c r="H1920" s="5" t="str">
        <f aca="false">IF(B1920=0,"",IF(INDEX(Bank!$H:$H,B1920)="","",INDEX(Bank!$H:$H,B1920)))</f>
        <v/>
      </c>
      <c r="I1920" s="5" t="n">
        <f aca="false">IF(H1920="",0,IFERROR(MATCH(H1920,GL!$A:$A,0),0))</f>
        <v>0</v>
      </c>
      <c r="J1920" s="32" t="str">
        <f aca="false">IF(I1920=0,"",INDEX(GL!$B:$B,I1920))</f>
        <v/>
      </c>
      <c r="K1920" s="5" t="str">
        <f aca="false">IF(I1920=0,"",IF(INDEX(GL!$C:$C,I1920)="","",INDEX(GL!$C:$C,I1920)))</f>
        <v/>
      </c>
      <c r="L1920" s="19" t="str">
        <f aca="false">IF(I1920=0,"",INDEX(GL!$E:$E,I1920))</f>
        <v/>
      </c>
      <c r="M1920" s="19" t="str">
        <f aca="false">IF(OR(B1920=0,I1920=0),"",ROUND(G1920-L1920,2))</f>
        <v/>
      </c>
      <c r="N1920" s="5" t="str">
        <f aca="false">IF(A1920="","",IF(B1920=0,"NOT FOUND: bank ID",IF(I1920=0,"NOT FOUND: GL ID",IF(INDEX(GL!$H:$H,I1920)&lt;&gt;A1920,"BROKEN: GL points elsewhere",IF(OR(INDEX(Bank!$F:$F,B1920)&lt;&gt;"Y",INDEX(GL!$F:$F,I1920)&lt;&gt;"Y"),"BROKEN: Status not Y","OK")))))</f>
        <v/>
      </c>
    </row>
    <row r="1921" customFormat="false" ht="15" hidden="false" customHeight="false" outlineLevel="0" collapsed="false">
      <c r="A1921" s="41"/>
      <c r="B1921" s="5" t="n">
        <f aca="false">IF(A1921="",0,IFERROR(MATCH(A1921,Bank!$A:$A,0),0))</f>
        <v>0</v>
      </c>
      <c r="C1921" s="5" t="str">
        <f aca="false">IF(B1921=0,"",IF(INDEX(Bank!$G:$G,B1921)="","",INDEX(Bank!$G:$G,B1921)))</f>
        <v/>
      </c>
      <c r="D1921" s="5" t="str">
        <f aca="false">IF(B1921=0,"",IF(INDEX(Bank!$J:$J,B1921)="","",INDEX(Bank!$J:$J,B1921)))</f>
        <v/>
      </c>
      <c r="E1921" s="32" t="str">
        <f aca="false">IF(B1921=0,"",INDEX(Bank!$B:$B,B1921))</f>
        <v/>
      </c>
      <c r="F1921" s="5" t="str">
        <f aca="false">IF(B1921=0,"",IF(INDEX(Bank!$C:$C,B1921)="","",INDEX(Bank!$C:$C,B1921)))</f>
        <v/>
      </c>
      <c r="G1921" s="19" t="str">
        <f aca="false">IF(B1921=0,"",INDEX(Bank!$E:$E,B1921))</f>
        <v/>
      </c>
      <c r="H1921" s="5" t="str">
        <f aca="false">IF(B1921=0,"",IF(INDEX(Bank!$H:$H,B1921)="","",INDEX(Bank!$H:$H,B1921)))</f>
        <v/>
      </c>
      <c r="I1921" s="5" t="n">
        <f aca="false">IF(H1921="",0,IFERROR(MATCH(H1921,GL!$A:$A,0),0))</f>
        <v>0</v>
      </c>
      <c r="J1921" s="32" t="str">
        <f aca="false">IF(I1921=0,"",INDEX(GL!$B:$B,I1921))</f>
        <v/>
      </c>
      <c r="K1921" s="5" t="str">
        <f aca="false">IF(I1921=0,"",IF(INDEX(GL!$C:$C,I1921)="","",INDEX(GL!$C:$C,I1921)))</f>
        <v/>
      </c>
      <c r="L1921" s="19" t="str">
        <f aca="false">IF(I1921=0,"",INDEX(GL!$E:$E,I1921))</f>
        <v/>
      </c>
      <c r="M1921" s="19" t="str">
        <f aca="false">IF(OR(B1921=0,I1921=0),"",ROUND(G1921-L1921,2))</f>
        <v/>
      </c>
      <c r="N1921" s="5" t="str">
        <f aca="false">IF(A1921="","",IF(B1921=0,"NOT FOUND: bank ID",IF(I1921=0,"NOT FOUND: GL ID",IF(INDEX(GL!$H:$H,I1921)&lt;&gt;A1921,"BROKEN: GL points elsewhere",IF(OR(INDEX(Bank!$F:$F,B1921)&lt;&gt;"Y",INDEX(GL!$F:$F,I1921)&lt;&gt;"Y"),"BROKEN: Status not Y","OK")))))</f>
        <v/>
      </c>
    </row>
    <row r="1922" customFormat="false" ht="15" hidden="false" customHeight="false" outlineLevel="0" collapsed="false">
      <c r="A1922" s="41"/>
      <c r="B1922" s="5" t="n">
        <f aca="false">IF(A1922="",0,IFERROR(MATCH(A1922,Bank!$A:$A,0),0))</f>
        <v>0</v>
      </c>
      <c r="C1922" s="5" t="str">
        <f aca="false">IF(B1922=0,"",IF(INDEX(Bank!$G:$G,B1922)="","",INDEX(Bank!$G:$G,B1922)))</f>
        <v/>
      </c>
      <c r="D1922" s="5" t="str">
        <f aca="false">IF(B1922=0,"",IF(INDEX(Bank!$J:$J,B1922)="","",INDEX(Bank!$J:$J,B1922)))</f>
        <v/>
      </c>
      <c r="E1922" s="32" t="str">
        <f aca="false">IF(B1922=0,"",INDEX(Bank!$B:$B,B1922))</f>
        <v/>
      </c>
      <c r="F1922" s="5" t="str">
        <f aca="false">IF(B1922=0,"",IF(INDEX(Bank!$C:$C,B1922)="","",INDEX(Bank!$C:$C,B1922)))</f>
        <v/>
      </c>
      <c r="G1922" s="19" t="str">
        <f aca="false">IF(B1922=0,"",INDEX(Bank!$E:$E,B1922))</f>
        <v/>
      </c>
      <c r="H1922" s="5" t="str">
        <f aca="false">IF(B1922=0,"",IF(INDEX(Bank!$H:$H,B1922)="","",INDEX(Bank!$H:$H,B1922)))</f>
        <v/>
      </c>
      <c r="I1922" s="5" t="n">
        <f aca="false">IF(H1922="",0,IFERROR(MATCH(H1922,GL!$A:$A,0),0))</f>
        <v>0</v>
      </c>
      <c r="J1922" s="32" t="str">
        <f aca="false">IF(I1922=0,"",INDEX(GL!$B:$B,I1922))</f>
        <v/>
      </c>
      <c r="K1922" s="5" t="str">
        <f aca="false">IF(I1922=0,"",IF(INDEX(GL!$C:$C,I1922)="","",INDEX(GL!$C:$C,I1922)))</f>
        <v/>
      </c>
      <c r="L1922" s="19" t="str">
        <f aca="false">IF(I1922=0,"",INDEX(GL!$E:$E,I1922))</f>
        <v/>
      </c>
      <c r="M1922" s="19" t="str">
        <f aca="false">IF(OR(B1922=0,I1922=0),"",ROUND(G1922-L1922,2))</f>
        <v/>
      </c>
      <c r="N1922" s="5" t="str">
        <f aca="false">IF(A1922="","",IF(B1922=0,"NOT FOUND: bank ID",IF(I1922=0,"NOT FOUND: GL ID",IF(INDEX(GL!$H:$H,I1922)&lt;&gt;A1922,"BROKEN: GL points elsewhere",IF(OR(INDEX(Bank!$F:$F,B1922)&lt;&gt;"Y",INDEX(GL!$F:$F,I1922)&lt;&gt;"Y"),"BROKEN: Status not Y","OK")))))</f>
        <v/>
      </c>
    </row>
    <row r="1923" customFormat="false" ht="15" hidden="false" customHeight="false" outlineLevel="0" collapsed="false">
      <c r="A1923" s="41"/>
      <c r="B1923" s="5" t="n">
        <f aca="false">IF(A1923="",0,IFERROR(MATCH(A1923,Bank!$A:$A,0),0))</f>
        <v>0</v>
      </c>
      <c r="C1923" s="5" t="str">
        <f aca="false">IF(B1923=0,"",IF(INDEX(Bank!$G:$G,B1923)="","",INDEX(Bank!$G:$G,B1923)))</f>
        <v/>
      </c>
      <c r="D1923" s="5" t="str">
        <f aca="false">IF(B1923=0,"",IF(INDEX(Bank!$J:$J,B1923)="","",INDEX(Bank!$J:$J,B1923)))</f>
        <v/>
      </c>
      <c r="E1923" s="32" t="str">
        <f aca="false">IF(B1923=0,"",INDEX(Bank!$B:$B,B1923))</f>
        <v/>
      </c>
      <c r="F1923" s="5" t="str">
        <f aca="false">IF(B1923=0,"",IF(INDEX(Bank!$C:$C,B1923)="","",INDEX(Bank!$C:$C,B1923)))</f>
        <v/>
      </c>
      <c r="G1923" s="19" t="str">
        <f aca="false">IF(B1923=0,"",INDEX(Bank!$E:$E,B1923))</f>
        <v/>
      </c>
      <c r="H1923" s="5" t="str">
        <f aca="false">IF(B1923=0,"",IF(INDEX(Bank!$H:$H,B1923)="","",INDEX(Bank!$H:$H,B1923)))</f>
        <v/>
      </c>
      <c r="I1923" s="5" t="n">
        <f aca="false">IF(H1923="",0,IFERROR(MATCH(H1923,GL!$A:$A,0),0))</f>
        <v>0</v>
      </c>
      <c r="J1923" s="32" t="str">
        <f aca="false">IF(I1923=0,"",INDEX(GL!$B:$B,I1923))</f>
        <v/>
      </c>
      <c r="K1923" s="5" t="str">
        <f aca="false">IF(I1923=0,"",IF(INDEX(GL!$C:$C,I1923)="","",INDEX(GL!$C:$C,I1923)))</f>
        <v/>
      </c>
      <c r="L1923" s="19" t="str">
        <f aca="false">IF(I1923=0,"",INDEX(GL!$E:$E,I1923))</f>
        <v/>
      </c>
      <c r="M1923" s="19" t="str">
        <f aca="false">IF(OR(B1923=0,I1923=0),"",ROUND(G1923-L1923,2))</f>
        <v/>
      </c>
      <c r="N1923" s="5" t="str">
        <f aca="false">IF(A1923="","",IF(B1923=0,"NOT FOUND: bank ID",IF(I1923=0,"NOT FOUND: GL ID",IF(INDEX(GL!$H:$H,I1923)&lt;&gt;A1923,"BROKEN: GL points elsewhere",IF(OR(INDEX(Bank!$F:$F,B1923)&lt;&gt;"Y",INDEX(GL!$F:$F,I1923)&lt;&gt;"Y"),"BROKEN: Status not Y","OK")))))</f>
        <v/>
      </c>
    </row>
    <row r="1924" customFormat="false" ht="15" hidden="false" customHeight="false" outlineLevel="0" collapsed="false">
      <c r="A1924" s="41"/>
      <c r="B1924" s="5" t="n">
        <f aca="false">IF(A1924="",0,IFERROR(MATCH(A1924,Bank!$A:$A,0),0))</f>
        <v>0</v>
      </c>
      <c r="C1924" s="5" t="str">
        <f aca="false">IF(B1924=0,"",IF(INDEX(Bank!$G:$G,B1924)="","",INDEX(Bank!$G:$G,B1924)))</f>
        <v/>
      </c>
      <c r="D1924" s="5" t="str">
        <f aca="false">IF(B1924=0,"",IF(INDEX(Bank!$J:$J,B1924)="","",INDEX(Bank!$J:$J,B1924)))</f>
        <v/>
      </c>
      <c r="E1924" s="32" t="str">
        <f aca="false">IF(B1924=0,"",INDEX(Bank!$B:$B,B1924))</f>
        <v/>
      </c>
      <c r="F1924" s="5" t="str">
        <f aca="false">IF(B1924=0,"",IF(INDEX(Bank!$C:$C,B1924)="","",INDEX(Bank!$C:$C,B1924)))</f>
        <v/>
      </c>
      <c r="G1924" s="19" t="str">
        <f aca="false">IF(B1924=0,"",INDEX(Bank!$E:$E,B1924))</f>
        <v/>
      </c>
      <c r="H1924" s="5" t="str">
        <f aca="false">IF(B1924=0,"",IF(INDEX(Bank!$H:$H,B1924)="","",INDEX(Bank!$H:$H,B1924)))</f>
        <v/>
      </c>
      <c r="I1924" s="5" t="n">
        <f aca="false">IF(H1924="",0,IFERROR(MATCH(H1924,GL!$A:$A,0),0))</f>
        <v>0</v>
      </c>
      <c r="J1924" s="32" t="str">
        <f aca="false">IF(I1924=0,"",INDEX(GL!$B:$B,I1924))</f>
        <v/>
      </c>
      <c r="K1924" s="5" t="str">
        <f aca="false">IF(I1924=0,"",IF(INDEX(GL!$C:$C,I1924)="","",INDEX(GL!$C:$C,I1924)))</f>
        <v/>
      </c>
      <c r="L1924" s="19" t="str">
        <f aca="false">IF(I1924=0,"",INDEX(GL!$E:$E,I1924))</f>
        <v/>
      </c>
      <c r="M1924" s="19" t="str">
        <f aca="false">IF(OR(B1924=0,I1924=0),"",ROUND(G1924-L1924,2))</f>
        <v/>
      </c>
      <c r="N1924" s="5" t="str">
        <f aca="false">IF(A1924="","",IF(B1924=0,"NOT FOUND: bank ID",IF(I1924=0,"NOT FOUND: GL ID",IF(INDEX(GL!$H:$H,I1924)&lt;&gt;A1924,"BROKEN: GL points elsewhere",IF(OR(INDEX(Bank!$F:$F,B1924)&lt;&gt;"Y",INDEX(GL!$F:$F,I1924)&lt;&gt;"Y"),"BROKEN: Status not Y","OK")))))</f>
        <v/>
      </c>
    </row>
    <row r="1925" customFormat="false" ht="15" hidden="false" customHeight="false" outlineLevel="0" collapsed="false">
      <c r="A1925" s="41"/>
      <c r="B1925" s="5" t="n">
        <f aca="false">IF(A1925="",0,IFERROR(MATCH(A1925,Bank!$A:$A,0),0))</f>
        <v>0</v>
      </c>
      <c r="C1925" s="5" t="str">
        <f aca="false">IF(B1925=0,"",IF(INDEX(Bank!$G:$G,B1925)="","",INDEX(Bank!$G:$G,B1925)))</f>
        <v/>
      </c>
      <c r="D1925" s="5" t="str">
        <f aca="false">IF(B1925=0,"",IF(INDEX(Bank!$J:$J,B1925)="","",INDEX(Bank!$J:$J,B1925)))</f>
        <v/>
      </c>
      <c r="E1925" s="32" t="str">
        <f aca="false">IF(B1925=0,"",INDEX(Bank!$B:$B,B1925))</f>
        <v/>
      </c>
      <c r="F1925" s="5" t="str">
        <f aca="false">IF(B1925=0,"",IF(INDEX(Bank!$C:$C,B1925)="","",INDEX(Bank!$C:$C,B1925)))</f>
        <v/>
      </c>
      <c r="G1925" s="19" t="str">
        <f aca="false">IF(B1925=0,"",INDEX(Bank!$E:$E,B1925))</f>
        <v/>
      </c>
      <c r="H1925" s="5" t="str">
        <f aca="false">IF(B1925=0,"",IF(INDEX(Bank!$H:$H,B1925)="","",INDEX(Bank!$H:$H,B1925)))</f>
        <v/>
      </c>
      <c r="I1925" s="5" t="n">
        <f aca="false">IF(H1925="",0,IFERROR(MATCH(H1925,GL!$A:$A,0),0))</f>
        <v>0</v>
      </c>
      <c r="J1925" s="32" t="str">
        <f aca="false">IF(I1925=0,"",INDEX(GL!$B:$B,I1925))</f>
        <v/>
      </c>
      <c r="K1925" s="5" t="str">
        <f aca="false">IF(I1925=0,"",IF(INDEX(GL!$C:$C,I1925)="","",INDEX(GL!$C:$C,I1925)))</f>
        <v/>
      </c>
      <c r="L1925" s="19" t="str">
        <f aca="false">IF(I1925=0,"",INDEX(GL!$E:$E,I1925))</f>
        <v/>
      </c>
      <c r="M1925" s="19" t="str">
        <f aca="false">IF(OR(B1925=0,I1925=0),"",ROUND(G1925-L1925,2))</f>
        <v/>
      </c>
      <c r="N1925" s="5" t="str">
        <f aca="false">IF(A1925="","",IF(B1925=0,"NOT FOUND: bank ID",IF(I1925=0,"NOT FOUND: GL ID",IF(INDEX(GL!$H:$H,I1925)&lt;&gt;A1925,"BROKEN: GL points elsewhere",IF(OR(INDEX(Bank!$F:$F,B1925)&lt;&gt;"Y",INDEX(GL!$F:$F,I1925)&lt;&gt;"Y"),"BROKEN: Status not Y","OK")))))</f>
        <v/>
      </c>
    </row>
    <row r="1926" customFormat="false" ht="15" hidden="false" customHeight="false" outlineLevel="0" collapsed="false">
      <c r="A1926" s="41"/>
      <c r="B1926" s="5" t="n">
        <f aca="false">IF(A1926="",0,IFERROR(MATCH(A1926,Bank!$A:$A,0),0))</f>
        <v>0</v>
      </c>
      <c r="C1926" s="5" t="str">
        <f aca="false">IF(B1926=0,"",IF(INDEX(Bank!$G:$G,B1926)="","",INDEX(Bank!$G:$G,B1926)))</f>
        <v/>
      </c>
      <c r="D1926" s="5" t="str">
        <f aca="false">IF(B1926=0,"",IF(INDEX(Bank!$J:$J,B1926)="","",INDEX(Bank!$J:$J,B1926)))</f>
        <v/>
      </c>
      <c r="E1926" s="32" t="str">
        <f aca="false">IF(B1926=0,"",INDEX(Bank!$B:$B,B1926))</f>
        <v/>
      </c>
      <c r="F1926" s="5" t="str">
        <f aca="false">IF(B1926=0,"",IF(INDEX(Bank!$C:$C,B1926)="","",INDEX(Bank!$C:$C,B1926)))</f>
        <v/>
      </c>
      <c r="G1926" s="19" t="str">
        <f aca="false">IF(B1926=0,"",INDEX(Bank!$E:$E,B1926))</f>
        <v/>
      </c>
      <c r="H1926" s="5" t="str">
        <f aca="false">IF(B1926=0,"",IF(INDEX(Bank!$H:$H,B1926)="","",INDEX(Bank!$H:$H,B1926)))</f>
        <v/>
      </c>
      <c r="I1926" s="5" t="n">
        <f aca="false">IF(H1926="",0,IFERROR(MATCH(H1926,GL!$A:$A,0),0))</f>
        <v>0</v>
      </c>
      <c r="J1926" s="32" t="str">
        <f aca="false">IF(I1926=0,"",INDEX(GL!$B:$B,I1926))</f>
        <v/>
      </c>
      <c r="K1926" s="5" t="str">
        <f aca="false">IF(I1926=0,"",IF(INDEX(GL!$C:$C,I1926)="","",INDEX(GL!$C:$C,I1926)))</f>
        <v/>
      </c>
      <c r="L1926" s="19" t="str">
        <f aca="false">IF(I1926=0,"",INDEX(GL!$E:$E,I1926))</f>
        <v/>
      </c>
      <c r="M1926" s="19" t="str">
        <f aca="false">IF(OR(B1926=0,I1926=0),"",ROUND(G1926-L1926,2))</f>
        <v/>
      </c>
      <c r="N1926" s="5" t="str">
        <f aca="false">IF(A1926="","",IF(B1926=0,"NOT FOUND: bank ID",IF(I1926=0,"NOT FOUND: GL ID",IF(INDEX(GL!$H:$H,I1926)&lt;&gt;A1926,"BROKEN: GL points elsewhere",IF(OR(INDEX(Bank!$F:$F,B1926)&lt;&gt;"Y",INDEX(GL!$F:$F,I1926)&lt;&gt;"Y"),"BROKEN: Status not Y","OK")))))</f>
        <v/>
      </c>
    </row>
    <row r="1927" customFormat="false" ht="15" hidden="false" customHeight="false" outlineLevel="0" collapsed="false">
      <c r="A1927" s="41"/>
      <c r="B1927" s="5" t="n">
        <f aca="false">IF(A1927="",0,IFERROR(MATCH(A1927,Bank!$A:$A,0),0))</f>
        <v>0</v>
      </c>
      <c r="C1927" s="5" t="str">
        <f aca="false">IF(B1927=0,"",IF(INDEX(Bank!$G:$G,B1927)="","",INDEX(Bank!$G:$G,B1927)))</f>
        <v/>
      </c>
      <c r="D1927" s="5" t="str">
        <f aca="false">IF(B1927=0,"",IF(INDEX(Bank!$J:$J,B1927)="","",INDEX(Bank!$J:$J,B1927)))</f>
        <v/>
      </c>
      <c r="E1927" s="32" t="str">
        <f aca="false">IF(B1927=0,"",INDEX(Bank!$B:$B,B1927))</f>
        <v/>
      </c>
      <c r="F1927" s="5" t="str">
        <f aca="false">IF(B1927=0,"",IF(INDEX(Bank!$C:$C,B1927)="","",INDEX(Bank!$C:$C,B1927)))</f>
        <v/>
      </c>
      <c r="G1927" s="19" t="str">
        <f aca="false">IF(B1927=0,"",INDEX(Bank!$E:$E,B1927))</f>
        <v/>
      </c>
      <c r="H1927" s="5" t="str">
        <f aca="false">IF(B1927=0,"",IF(INDEX(Bank!$H:$H,B1927)="","",INDEX(Bank!$H:$H,B1927)))</f>
        <v/>
      </c>
      <c r="I1927" s="5" t="n">
        <f aca="false">IF(H1927="",0,IFERROR(MATCH(H1927,GL!$A:$A,0),0))</f>
        <v>0</v>
      </c>
      <c r="J1927" s="32" t="str">
        <f aca="false">IF(I1927=0,"",INDEX(GL!$B:$B,I1927))</f>
        <v/>
      </c>
      <c r="K1927" s="5" t="str">
        <f aca="false">IF(I1927=0,"",IF(INDEX(GL!$C:$C,I1927)="","",INDEX(GL!$C:$C,I1927)))</f>
        <v/>
      </c>
      <c r="L1927" s="19" t="str">
        <f aca="false">IF(I1927=0,"",INDEX(GL!$E:$E,I1927))</f>
        <v/>
      </c>
      <c r="M1927" s="19" t="str">
        <f aca="false">IF(OR(B1927=0,I1927=0),"",ROUND(G1927-L1927,2))</f>
        <v/>
      </c>
      <c r="N1927" s="5" t="str">
        <f aca="false">IF(A1927="","",IF(B1927=0,"NOT FOUND: bank ID",IF(I1927=0,"NOT FOUND: GL ID",IF(INDEX(GL!$H:$H,I1927)&lt;&gt;A1927,"BROKEN: GL points elsewhere",IF(OR(INDEX(Bank!$F:$F,B1927)&lt;&gt;"Y",INDEX(GL!$F:$F,I1927)&lt;&gt;"Y"),"BROKEN: Status not Y","OK")))))</f>
        <v/>
      </c>
    </row>
    <row r="1928" customFormat="false" ht="15" hidden="false" customHeight="false" outlineLevel="0" collapsed="false">
      <c r="A1928" s="41"/>
      <c r="B1928" s="5" t="n">
        <f aca="false">IF(A1928="",0,IFERROR(MATCH(A1928,Bank!$A:$A,0),0))</f>
        <v>0</v>
      </c>
      <c r="C1928" s="5" t="str">
        <f aca="false">IF(B1928=0,"",IF(INDEX(Bank!$G:$G,B1928)="","",INDEX(Bank!$G:$G,B1928)))</f>
        <v/>
      </c>
      <c r="D1928" s="5" t="str">
        <f aca="false">IF(B1928=0,"",IF(INDEX(Bank!$J:$J,B1928)="","",INDEX(Bank!$J:$J,B1928)))</f>
        <v/>
      </c>
      <c r="E1928" s="32" t="str">
        <f aca="false">IF(B1928=0,"",INDEX(Bank!$B:$B,B1928))</f>
        <v/>
      </c>
      <c r="F1928" s="5" t="str">
        <f aca="false">IF(B1928=0,"",IF(INDEX(Bank!$C:$C,B1928)="","",INDEX(Bank!$C:$C,B1928)))</f>
        <v/>
      </c>
      <c r="G1928" s="19" t="str">
        <f aca="false">IF(B1928=0,"",INDEX(Bank!$E:$E,B1928))</f>
        <v/>
      </c>
      <c r="H1928" s="5" t="str">
        <f aca="false">IF(B1928=0,"",IF(INDEX(Bank!$H:$H,B1928)="","",INDEX(Bank!$H:$H,B1928)))</f>
        <v/>
      </c>
      <c r="I1928" s="5" t="n">
        <f aca="false">IF(H1928="",0,IFERROR(MATCH(H1928,GL!$A:$A,0),0))</f>
        <v>0</v>
      </c>
      <c r="J1928" s="32" t="str">
        <f aca="false">IF(I1928=0,"",INDEX(GL!$B:$B,I1928))</f>
        <v/>
      </c>
      <c r="K1928" s="5" t="str">
        <f aca="false">IF(I1928=0,"",IF(INDEX(GL!$C:$C,I1928)="","",INDEX(GL!$C:$C,I1928)))</f>
        <v/>
      </c>
      <c r="L1928" s="19" t="str">
        <f aca="false">IF(I1928=0,"",INDEX(GL!$E:$E,I1928))</f>
        <v/>
      </c>
      <c r="M1928" s="19" t="str">
        <f aca="false">IF(OR(B1928=0,I1928=0),"",ROUND(G1928-L1928,2))</f>
        <v/>
      </c>
      <c r="N1928" s="5" t="str">
        <f aca="false">IF(A1928="","",IF(B1928=0,"NOT FOUND: bank ID",IF(I1928=0,"NOT FOUND: GL ID",IF(INDEX(GL!$H:$H,I1928)&lt;&gt;A1928,"BROKEN: GL points elsewhere",IF(OR(INDEX(Bank!$F:$F,B1928)&lt;&gt;"Y",INDEX(GL!$F:$F,I1928)&lt;&gt;"Y"),"BROKEN: Status not Y","OK")))))</f>
        <v/>
      </c>
    </row>
    <row r="1929" customFormat="false" ht="15" hidden="false" customHeight="false" outlineLevel="0" collapsed="false">
      <c r="A1929" s="41"/>
      <c r="B1929" s="5" t="n">
        <f aca="false">IF(A1929="",0,IFERROR(MATCH(A1929,Bank!$A:$A,0),0))</f>
        <v>0</v>
      </c>
      <c r="C1929" s="5" t="str">
        <f aca="false">IF(B1929=0,"",IF(INDEX(Bank!$G:$G,B1929)="","",INDEX(Bank!$G:$G,B1929)))</f>
        <v/>
      </c>
      <c r="D1929" s="5" t="str">
        <f aca="false">IF(B1929=0,"",IF(INDEX(Bank!$J:$J,B1929)="","",INDEX(Bank!$J:$J,B1929)))</f>
        <v/>
      </c>
      <c r="E1929" s="32" t="str">
        <f aca="false">IF(B1929=0,"",INDEX(Bank!$B:$B,B1929))</f>
        <v/>
      </c>
      <c r="F1929" s="5" t="str">
        <f aca="false">IF(B1929=0,"",IF(INDEX(Bank!$C:$C,B1929)="","",INDEX(Bank!$C:$C,B1929)))</f>
        <v/>
      </c>
      <c r="G1929" s="19" t="str">
        <f aca="false">IF(B1929=0,"",INDEX(Bank!$E:$E,B1929))</f>
        <v/>
      </c>
      <c r="H1929" s="5" t="str">
        <f aca="false">IF(B1929=0,"",IF(INDEX(Bank!$H:$H,B1929)="","",INDEX(Bank!$H:$H,B1929)))</f>
        <v/>
      </c>
      <c r="I1929" s="5" t="n">
        <f aca="false">IF(H1929="",0,IFERROR(MATCH(H1929,GL!$A:$A,0),0))</f>
        <v>0</v>
      </c>
      <c r="J1929" s="32" t="str">
        <f aca="false">IF(I1929=0,"",INDEX(GL!$B:$B,I1929))</f>
        <v/>
      </c>
      <c r="K1929" s="5" t="str">
        <f aca="false">IF(I1929=0,"",IF(INDEX(GL!$C:$C,I1929)="","",INDEX(GL!$C:$C,I1929)))</f>
        <v/>
      </c>
      <c r="L1929" s="19" t="str">
        <f aca="false">IF(I1929=0,"",INDEX(GL!$E:$E,I1929))</f>
        <v/>
      </c>
      <c r="M1929" s="19" t="str">
        <f aca="false">IF(OR(B1929=0,I1929=0),"",ROUND(G1929-L1929,2))</f>
        <v/>
      </c>
      <c r="N1929" s="5" t="str">
        <f aca="false">IF(A1929="","",IF(B1929=0,"NOT FOUND: bank ID",IF(I1929=0,"NOT FOUND: GL ID",IF(INDEX(GL!$H:$H,I1929)&lt;&gt;A1929,"BROKEN: GL points elsewhere",IF(OR(INDEX(Bank!$F:$F,B1929)&lt;&gt;"Y",INDEX(GL!$F:$F,I1929)&lt;&gt;"Y"),"BROKEN: Status not Y","OK")))))</f>
        <v/>
      </c>
    </row>
    <row r="1930" customFormat="false" ht="15" hidden="false" customHeight="false" outlineLevel="0" collapsed="false">
      <c r="A1930" s="41"/>
      <c r="B1930" s="5" t="n">
        <f aca="false">IF(A1930="",0,IFERROR(MATCH(A1930,Bank!$A:$A,0),0))</f>
        <v>0</v>
      </c>
      <c r="C1930" s="5" t="str">
        <f aca="false">IF(B1930=0,"",IF(INDEX(Bank!$G:$G,B1930)="","",INDEX(Bank!$G:$G,B1930)))</f>
        <v/>
      </c>
      <c r="D1930" s="5" t="str">
        <f aca="false">IF(B1930=0,"",IF(INDEX(Bank!$J:$J,B1930)="","",INDEX(Bank!$J:$J,B1930)))</f>
        <v/>
      </c>
      <c r="E1930" s="32" t="str">
        <f aca="false">IF(B1930=0,"",INDEX(Bank!$B:$B,B1930))</f>
        <v/>
      </c>
      <c r="F1930" s="5" t="str">
        <f aca="false">IF(B1930=0,"",IF(INDEX(Bank!$C:$C,B1930)="","",INDEX(Bank!$C:$C,B1930)))</f>
        <v/>
      </c>
      <c r="G1930" s="19" t="str">
        <f aca="false">IF(B1930=0,"",INDEX(Bank!$E:$E,B1930))</f>
        <v/>
      </c>
      <c r="H1930" s="5" t="str">
        <f aca="false">IF(B1930=0,"",IF(INDEX(Bank!$H:$H,B1930)="","",INDEX(Bank!$H:$H,B1930)))</f>
        <v/>
      </c>
      <c r="I1930" s="5" t="n">
        <f aca="false">IF(H1930="",0,IFERROR(MATCH(H1930,GL!$A:$A,0),0))</f>
        <v>0</v>
      </c>
      <c r="J1930" s="32" t="str">
        <f aca="false">IF(I1930=0,"",INDEX(GL!$B:$B,I1930))</f>
        <v/>
      </c>
      <c r="K1930" s="5" t="str">
        <f aca="false">IF(I1930=0,"",IF(INDEX(GL!$C:$C,I1930)="","",INDEX(GL!$C:$C,I1930)))</f>
        <v/>
      </c>
      <c r="L1930" s="19" t="str">
        <f aca="false">IF(I1930=0,"",INDEX(GL!$E:$E,I1930))</f>
        <v/>
      </c>
      <c r="M1930" s="19" t="str">
        <f aca="false">IF(OR(B1930=0,I1930=0),"",ROUND(G1930-L1930,2))</f>
        <v/>
      </c>
      <c r="N1930" s="5" t="str">
        <f aca="false">IF(A1930="","",IF(B1930=0,"NOT FOUND: bank ID",IF(I1930=0,"NOT FOUND: GL ID",IF(INDEX(GL!$H:$H,I1930)&lt;&gt;A1930,"BROKEN: GL points elsewhere",IF(OR(INDEX(Bank!$F:$F,B1930)&lt;&gt;"Y",INDEX(GL!$F:$F,I1930)&lt;&gt;"Y"),"BROKEN: Status not Y","OK")))))</f>
        <v/>
      </c>
    </row>
    <row r="1931" customFormat="false" ht="15" hidden="false" customHeight="false" outlineLevel="0" collapsed="false">
      <c r="A1931" s="41"/>
      <c r="B1931" s="5" t="n">
        <f aca="false">IF(A1931="",0,IFERROR(MATCH(A1931,Bank!$A:$A,0),0))</f>
        <v>0</v>
      </c>
      <c r="C1931" s="5" t="str">
        <f aca="false">IF(B1931=0,"",IF(INDEX(Bank!$G:$G,B1931)="","",INDEX(Bank!$G:$G,B1931)))</f>
        <v/>
      </c>
      <c r="D1931" s="5" t="str">
        <f aca="false">IF(B1931=0,"",IF(INDEX(Bank!$J:$J,B1931)="","",INDEX(Bank!$J:$J,B1931)))</f>
        <v/>
      </c>
      <c r="E1931" s="32" t="str">
        <f aca="false">IF(B1931=0,"",INDEX(Bank!$B:$B,B1931))</f>
        <v/>
      </c>
      <c r="F1931" s="5" t="str">
        <f aca="false">IF(B1931=0,"",IF(INDEX(Bank!$C:$C,B1931)="","",INDEX(Bank!$C:$C,B1931)))</f>
        <v/>
      </c>
      <c r="G1931" s="19" t="str">
        <f aca="false">IF(B1931=0,"",INDEX(Bank!$E:$E,B1931))</f>
        <v/>
      </c>
      <c r="H1931" s="5" t="str">
        <f aca="false">IF(B1931=0,"",IF(INDEX(Bank!$H:$H,B1931)="","",INDEX(Bank!$H:$H,B1931)))</f>
        <v/>
      </c>
      <c r="I1931" s="5" t="n">
        <f aca="false">IF(H1931="",0,IFERROR(MATCH(H1931,GL!$A:$A,0),0))</f>
        <v>0</v>
      </c>
      <c r="J1931" s="32" t="str">
        <f aca="false">IF(I1931=0,"",INDEX(GL!$B:$B,I1931))</f>
        <v/>
      </c>
      <c r="K1931" s="5" t="str">
        <f aca="false">IF(I1931=0,"",IF(INDEX(GL!$C:$C,I1931)="","",INDEX(GL!$C:$C,I1931)))</f>
        <v/>
      </c>
      <c r="L1931" s="19" t="str">
        <f aca="false">IF(I1931=0,"",INDEX(GL!$E:$E,I1931))</f>
        <v/>
      </c>
      <c r="M1931" s="19" t="str">
        <f aca="false">IF(OR(B1931=0,I1931=0),"",ROUND(G1931-L1931,2))</f>
        <v/>
      </c>
      <c r="N1931" s="5" t="str">
        <f aca="false">IF(A1931="","",IF(B1931=0,"NOT FOUND: bank ID",IF(I1931=0,"NOT FOUND: GL ID",IF(INDEX(GL!$H:$H,I1931)&lt;&gt;A1931,"BROKEN: GL points elsewhere",IF(OR(INDEX(Bank!$F:$F,B1931)&lt;&gt;"Y",INDEX(GL!$F:$F,I1931)&lt;&gt;"Y"),"BROKEN: Status not Y","OK")))))</f>
        <v/>
      </c>
    </row>
    <row r="1932" customFormat="false" ht="15" hidden="false" customHeight="false" outlineLevel="0" collapsed="false">
      <c r="A1932" s="41"/>
      <c r="B1932" s="5" t="n">
        <f aca="false">IF(A1932="",0,IFERROR(MATCH(A1932,Bank!$A:$A,0),0))</f>
        <v>0</v>
      </c>
      <c r="C1932" s="5" t="str">
        <f aca="false">IF(B1932=0,"",IF(INDEX(Bank!$G:$G,B1932)="","",INDEX(Bank!$G:$G,B1932)))</f>
        <v/>
      </c>
      <c r="D1932" s="5" t="str">
        <f aca="false">IF(B1932=0,"",IF(INDEX(Bank!$J:$J,B1932)="","",INDEX(Bank!$J:$J,B1932)))</f>
        <v/>
      </c>
      <c r="E1932" s="32" t="str">
        <f aca="false">IF(B1932=0,"",INDEX(Bank!$B:$B,B1932))</f>
        <v/>
      </c>
      <c r="F1932" s="5" t="str">
        <f aca="false">IF(B1932=0,"",IF(INDEX(Bank!$C:$C,B1932)="","",INDEX(Bank!$C:$C,B1932)))</f>
        <v/>
      </c>
      <c r="G1932" s="19" t="str">
        <f aca="false">IF(B1932=0,"",INDEX(Bank!$E:$E,B1932))</f>
        <v/>
      </c>
      <c r="H1932" s="5" t="str">
        <f aca="false">IF(B1932=0,"",IF(INDEX(Bank!$H:$H,B1932)="","",INDEX(Bank!$H:$H,B1932)))</f>
        <v/>
      </c>
      <c r="I1932" s="5" t="n">
        <f aca="false">IF(H1932="",0,IFERROR(MATCH(H1932,GL!$A:$A,0),0))</f>
        <v>0</v>
      </c>
      <c r="J1932" s="32" t="str">
        <f aca="false">IF(I1932=0,"",INDEX(GL!$B:$B,I1932))</f>
        <v/>
      </c>
      <c r="K1932" s="5" t="str">
        <f aca="false">IF(I1932=0,"",IF(INDEX(GL!$C:$C,I1932)="","",INDEX(GL!$C:$C,I1932)))</f>
        <v/>
      </c>
      <c r="L1932" s="19" t="str">
        <f aca="false">IF(I1932=0,"",INDEX(GL!$E:$E,I1932))</f>
        <v/>
      </c>
      <c r="M1932" s="19" t="str">
        <f aca="false">IF(OR(B1932=0,I1932=0),"",ROUND(G1932-L1932,2))</f>
        <v/>
      </c>
      <c r="N1932" s="5" t="str">
        <f aca="false">IF(A1932="","",IF(B1932=0,"NOT FOUND: bank ID",IF(I1932=0,"NOT FOUND: GL ID",IF(INDEX(GL!$H:$H,I1932)&lt;&gt;A1932,"BROKEN: GL points elsewhere",IF(OR(INDEX(Bank!$F:$F,B1932)&lt;&gt;"Y",INDEX(GL!$F:$F,I1932)&lt;&gt;"Y"),"BROKEN: Status not Y","OK")))))</f>
        <v/>
      </c>
    </row>
    <row r="1933" customFormat="false" ht="15" hidden="false" customHeight="false" outlineLevel="0" collapsed="false">
      <c r="A1933" s="41"/>
      <c r="B1933" s="5" t="n">
        <f aca="false">IF(A1933="",0,IFERROR(MATCH(A1933,Bank!$A:$A,0),0))</f>
        <v>0</v>
      </c>
      <c r="C1933" s="5" t="str">
        <f aca="false">IF(B1933=0,"",IF(INDEX(Bank!$G:$G,B1933)="","",INDEX(Bank!$G:$G,B1933)))</f>
        <v/>
      </c>
      <c r="D1933" s="5" t="str">
        <f aca="false">IF(B1933=0,"",IF(INDEX(Bank!$J:$J,B1933)="","",INDEX(Bank!$J:$J,B1933)))</f>
        <v/>
      </c>
      <c r="E1933" s="32" t="str">
        <f aca="false">IF(B1933=0,"",INDEX(Bank!$B:$B,B1933))</f>
        <v/>
      </c>
      <c r="F1933" s="5" t="str">
        <f aca="false">IF(B1933=0,"",IF(INDEX(Bank!$C:$C,B1933)="","",INDEX(Bank!$C:$C,B1933)))</f>
        <v/>
      </c>
      <c r="G1933" s="19" t="str">
        <f aca="false">IF(B1933=0,"",INDEX(Bank!$E:$E,B1933))</f>
        <v/>
      </c>
      <c r="H1933" s="5" t="str">
        <f aca="false">IF(B1933=0,"",IF(INDEX(Bank!$H:$H,B1933)="","",INDEX(Bank!$H:$H,B1933)))</f>
        <v/>
      </c>
      <c r="I1933" s="5" t="n">
        <f aca="false">IF(H1933="",0,IFERROR(MATCH(H1933,GL!$A:$A,0),0))</f>
        <v>0</v>
      </c>
      <c r="J1933" s="32" t="str">
        <f aca="false">IF(I1933=0,"",INDEX(GL!$B:$B,I1933))</f>
        <v/>
      </c>
      <c r="K1933" s="5" t="str">
        <f aca="false">IF(I1933=0,"",IF(INDEX(GL!$C:$C,I1933)="","",INDEX(GL!$C:$C,I1933)))</f>
        <v/>
      </c>
      <c r="L1933" s="19" t="str">
        <f aca="false">IF(I1933=0,"",INDEX(GL!$E:$E,I1933))</f>
        <v/>
      </c>
      <c r="M1933" s="19" t="str">
        <f aca="false">IF(OR(B1933=0,I1933=0),"",ROUND(G1933-L1933,2))</f>
        <v/>
      </c>
      <c r="N1933" s="5" t="str">
        <f aca="false">IF(A1933="","",IF(B1933=0,"NOT FOUND: bank ID",IF(I1933=0,"NOT FOUND: GL ID",IF(INDEX(GL!$H:$H,I1933)&lt;&gt;A1933,"BROKEN: GL points elsewhere",IF(OR(INDEX(Bank!$F:$F,B1933)&lt;&gt;"Y",INDEX(GL!$F:$F,I1933)&lt;&gt;"Y"),"BROKEN: Status not Y","OK")))))</f>
        <v/>
      </c>
    </row>
    <row r="1934" customFormat="false" ht="15" hidden="false" customHeight="false" outlineLevel="0" collapsed="false">
      <c r="A1934" s="41"/>
      <c r="B1934" s="5" t="n">
        <f aca="false">IF(A1934="",0,IFERROR(MATCH(A1934,Bank!$A:$A,0),0))</f>
        <v>0</v>
      </c>
      <c r="C1934" s="5" t="str">
        <f aca="false">IF(B1934=0,"",IF(INDEX(Bank!$G:$G,B1934)="","",INDEX(Bank!$G:$G,B1934)))</f>
        <v/>
      </c>
      <c r="D1934" s="5" t="str">
        <f aca="false">IF(B1934=0,"",IF(INDEX(Bank!$J:$J,B1934)="","",INDEX(Bank!$J:$J,B1934)))</f>
        <v/>
      </c>
      <c r="E1934" s="32" t="str">
        <f aca="false">IF(B1934=0,"",INDEX(Bank!$B:$B,B1934))</f>
        <v/>
      </c>
      <c r="F1934" s="5" t="str">
        <f aca="false">IF(B1934=0,"",IF(INDEX(Bank!$C:$C,B1934)="","",INDEX(Bank!$C:$C,B1934)))</f>
        <v/>
      </c>
      <c r="G1934" s="19" t="str">
        <f aca="false">IF(B1934=0,"",INDEX(Bank!$E:$E,B1934))</f>
        <v/>
      </c>
      <c r="H1934" s="5" t="str">
        <f aca="false">IF(B1934=0,"",IF(INDEX(Bank!$H:$H,B1934)="","",INDEX(Bank!$H:$H,B1934)))</f>
        <v/>
      </c>
      <c r="I1934" s="5" t="n">
        <f aca="false">IF(H1934="",0,IFERROR(MATCH(H1934,GL!$A:$A,0),0))</f>
        <v>0</v>
      </c>
      <c r="J1934" s="32" t="str">
        <f aca="false">IF(I1934=0,"",INDEX(GL!$B:$B,I1934))</f>
        <v/>
      </c>
      <c r="K1934" s="5" t="str">
        <f aca="false">IF(I1934=0,"",IF(INDEX(GL!$C:$C,I1934)="","",INDEX(GL!$C:$C,I1934)))</f>
        <v/>
      </c>
      <c r="L1934" s="19" t="str">
        <f aca="false">IF(I1934=0,"",INDEX(GL!$E:$E,I1934))</f>
        <v/>
      </c>
      <c r="M1934" s="19" t="str">
        <f aca="false">IF(OR(B1934=0,I1934=0),"",ROUND(G1934-L1934,2))</f>
        <v/>
      </c>
      <c r="N1934" s="5" t="str">
        <f aca="false">IF(A1934="","",IF(B1934=0,"NOT FOUND: bank ID",IF(I1934=0,"NOT FOUND: GL ID",IF(INDEX(GL!$H:$H,I1934)&lt;&gt;A1934,"BROKEN: GL points elsewhere",IF(OR(INDEX(Bank!$F:$F,B1934)&lt;&gt;"Y",INDEX(GL!$F:$F,I1934)&lt;&gt;"Y"),"BROKEN: Status not Y","OK")))))</f>
        <v/>
      </c>
    </row>
    <row r="1935" customFormat="false" ht="15" hidden="false" customHeight="false" outlineLevel="0" collapsed="false">
      <c r="A1935" s="41"/>
      <c r="B1935" s="5" t="n">
        <f aca="false">IF(A1935="",0,IFERROR(MATCH(A1935,Bank!$A:$A,0),0))</f>
        <v>0</v>
      </c>
      <c r="C1935" s="5" t="str">
        <f aca="false">IF(B1935=0,"",IF(INDEX(Bank!$G:$G,B1935)="","",INDEX(Bank!$G:$G,B1935)))</f>
        <v/>
      </c>
      <c r="D1935" s="5" t="str">
        <f aca="false">IF(B1935=0,"",IF(INDEX(Bank!$J:$J,B1935)="","",INDEX(Bank!$J:$J,B1935)))</f>
        <v/>
      </c>
      <c r="E1935" s="32" t="str">
        <f aca="false">IF(B1935=0,"",INDEX(Bank!$B:$B,B1935))</f>
        <v/>
      </c>
      <c r="F1935" s="5" t="str">
        <f aca="false">IF(B1935=0,"",IF(INDEX(Bank!$C:$C,B1935)="","",INDEX(Bank!$C:$C,B1935)))</f>
        <v/>
      </c>
      <c r="G1935" s="19" t="str">
        <f aca="false">IF(B1935=0,"",INDEX(Bank!$E:$E,B1935))</f>
        <v/>
      </c>
      <c r="H1935" s="5" t="str">
        <f aca="false">IF(B1935=0,"",IF(INDEX(Bank!$H:$H,B1935)="","",INDEX(Bank!$H:$H,B1935)))</f>
        <v/>
      </c>
      <c r="I1935" s="5" t="n">
        <f aca="false">IF(H1935="",0,IFERROR(MATCH(H1935,GL!$A:$A,0),0))</f>
        <v>0</v>
      </c>
      <c r="J1935" s="32" t="str">
        <f aca="false">IF(I1935=0,"",INDEX(GL!$B:$B,I1935))</f>
        <v/>
      </c>
      <c r="K1935" s="5" t="str">
        <f aca="false">IF(I1935=0,"",IF(INDEX(GL!$C:$C,I1935)="","",INDEX(GL!$C:$C,I1935)))</f>
        <v/>
      </c>
      <c r="L1935" s="19" t="str">
        <f aca="false">IF(I1935=0,"",INDEX(GL!$E:$E,I1935))</f>
        <v/>
      </c>
      <c r="M1935" s="19" t="str">
        <f aca="false">IF(OR(B1935=0,I1935=0),"",ROUND(G1935-L1935,2))</f>
        <v/>
      </c>
      <c r="N1935" s="5" t="str">
        <f aca="false">IF(A1935="","",IF(B1935=0,"NOT FOUND: bank ID",IF(I1935=0,"NOT FOUND: GL ID",IF(INDEX(GL!$H:$H,I1935)&lt;&gt;A1935,"BROKEN: GL points elsewhere",IF(OR(INDEX(Bank!$F:$F,B1935)&lt;&gt;"Y",INDEX(GL!$F:$F,I1935)&lt;&gt;"Y"),"BROKEN: Status not Y","OK")))))</f>
        <v/>
      </c>
    </row>
    <row r="1936" customFormat="false" ht="15" hidden="false" customHeight="false" outlineLevel="0" collapsed="false">
      <c r="A1936" s="41"/>
      <c r="B1936" s="5" t="n">
        <f aca="false">IF(A1936="",0,IFERROR(MATCH(A1936,Bank!$A:$A,0),0))</f>
        <v>0</v>
      </c>
      <c r="C1936" s="5" t="str">
        <f aca="false">IF(B1936=0,"",IF(INDEX(Bank!$G:$G,B1936)="","",INDEX(Bank!$G:$G,B1936)))</f>
        <v/>
      </c>
      <c r="D1936" s="5" t="str">
        <f aca="false">IF(B1936=0,"",IF(INDEX(Bank!$J:$J,B1936)="","",INDEX(Bank!$J:$J,B1936)))</f>
        <v/>
      </c>
      <c r="E1936" s="32" t="str">
        <f aca="false">IF(B1936=0,"",INDEX(Bank!$B:$B,B1936))</f>
        <v/>
      </c>
      <c r="F1936" s="5" t="str">
        <f aca="false">IF(B1936=0,"",IF(INDEX(Bank!$C:$C,B1936)="","",INDEX(Bank!$C:$C,B1936)))</f>
        <v/>
      </c>
      <c r="G1936" s="19" t="str">
        <f aca="false">IF(B1936=0,"",INDEX(Bank!$E:$E,B1936))</f>
        <v/>
      </c>
      <c r="H1936" s="5" t="str">
        <f aca="false">IF(B1936=0,"",IF(INDEX(Bank!$H:$H,B1936)="","",INDEX(Bank!$H:$H,B1936)))</f>
        <v/>
      </c>
      <c r="I1936" s="5" t="n">
        <f aca="false">IF(H1936="",0,IFERROR(MATCH(H1936,GL!$A:$A,0),0))</f>
        <v>0</v>
      </c>
      <c r="J1936" s="32" t="str">
        <f aca="false">IF(I1936=0,"",INDEX(GL!$B:$B,I1936))</f>
        <v/>
      </c>
      <c r="K1936" s="5" t="str">
        <f aca="false">IF(I1936=0,"",IF(INDEX(GL!$C:$C,I1936)="","",INDEX(GL!$C:$C,I1936)))</f>
        <v/>
      </c>
      <c r="L1936" s="19" t="str">
        <f aca="false">IF(I1936=0,"",INDEX(GL!$E:$E,I1936))</f>
        <v/>
      </c>
      <c r="M1936" s="19" t="str">
        <f aca="false">IF(OR(B1936=0,I1936=0),"",ROUND(G1936-L1936,2))</f>
        <v/>
      </c>
      <c r="N1936" s="5" t="str">
        <f aca="false">IF(A1936="","",IF(B1936=0,"NOT FOUND: bank ID",IF(I1936=0,"NOT FOUND: GL ID",IF(INDEX(GL!$H:$H,I1936)&lt;&gt;A1936,"BROKEN: GL points elsewhere",IF(OR(INDEX(Bank!$F:$F,B1936)&lt;&gt;"Y",INDEX(GL!$F:$F,I1936)&lt;&gt;"Y"),"BROKEN: Status not Y","OK")))))</f>
        <v/>
      </c>
    </row>
    <row r="1937" customFormat="false" ht="15" hidden="false" customHeight="false" outlineLevel="0" collapsed="false">
      <c r="A1937" s="41"/>
      <c r="B1937" s="5" t="n">
        <f aca="false">IF(A1937="",0,IFERROR(MATCH(A1937,Bank!$A:$A,0),0))</f>
        <v>0</v>
      </c>
      <c r="C1937" s="5" t="str">
        <f aca="false">IF(B1937=0,"",IF(INDEX(Bank!$G:$G,B1937)="","",INDEX(Bank!$G:$G,B1937)))</f>
        <v/>
      </c>
      <c r="D1937" s="5" t="str">
        <f aca="false">IF(B1937=0,"",IF(INDEX(Bank!$J:$J,B1937)="","",INDEX(Bank!$J:$J,B1937)))</f>
        <v/>
      </c>
      <c r="E1937" s="32" t="str">
        <f aca="false">IF(B1937=0,"",INDEX(Bank!$B:$B,B1937))</f>
        <v/>
      </c>
      <c r="F1937" s="5" t="str">
        <f aca="false">IF(B1937=0,"",IF(INDEX(Bank!$C:$C,B1937)="","",INDEX(Bank!$C:$C,B1937)))</f>
        <v/>
      </c>
      <c r="G1937" s="19" t="str">
        <f aca="false">IF(B1937=0,"",INDEX(Bank!$E:$E,B1937))</f>
        <v/>
      </c>
      <c r="H1937" s="5" t="str">
        <f aca="false">IF(B1937=0,"",IF(INDEX(Bank!$H:$H,B1937)="","",INDEX(Bank!$H:$H,B1937)))</f>
        <v/>
      </c>
      <c r="I1937" s="5" t="n">
        <f aca="false">IF(H1937="",0,IFERROR(MATCH(H1937,GL!$A:$A,0),0))</f>
        <v>0</v>
      </c>
      <c r="J1937" s="32" t="str">
        <f aca="false">IF(I1937=0,"",INDEX(GL!$B:$B,I1937))</f>
        <v/>
      </c>
      <c r="K1937" s="5" t="str">
        <f aca="false">IF(I1937=0,"",IF(INDEX(GL!$C:$C,I1937)="","",INDEX(GL!$C:$C,I1937)))</f>
        <v/>
      </c>
      <c r="L1937" s="19" t="str">
        <f aca="false">IF(I1937=0,"",INDEX(GL!$E:$E,I1937))</f>
        <v/>
      </c>
      <c r="M1937" s="19" t="str">
        <f aca="false">IF(OR(B1937=0,I1937=0),"",ROUND(G1937-L1937,2))</f>
        <v/>
      </c>
      <c r="N1937" s="5" t="str">
        <f aca="false">IF(A1937="","",IF(B1937=0,"NOT FOUND: bank ID",IF(I1937=0,"NOT FOUND: GL ID",IF(INDEX(GL!$H:$H,I1937)&lt;&gt;A1937,"BROKEN: GL points elsewhere",IF(OR(INDEX(Bank!$F:$F,B1937)&lt;&gt;"Y",INDEX(GL!$F:$F,I1937)&lt;&gt;"Y"),"BROKEN: Status not Y","OK")))))</f>
        <v/>
      </c>
    </row>
    <row r="1938" customFormat="false" ht="15" hidden="false" customHeight="false" outlineLevel="0" collapsed="false">
      <c r="A1938" s="41"/>
      <c r="B1938" s="5" t="n">
        <f aca="false">IF(A1938="",0,IFERROR(MATCH(A1938,Bank!$A:$A,0),0))</f>
        <v>0</v>
      </c>
      <c r="C1938" s="5" t="str">
        <f aca="false">IF(B1938=0,"",IF(INDEX(Bank!$G:$G,B1938)="","",INDEX(Bank!$G:$G,B1938)))</f>
        <v/>
      </c>
      <c r="D1938" s="5" t="str">
        <f aca="false">IF(B1938=0,"",IF(INDEX(Bank!$J:$J,B1938)="","",INDEX(Bank!$J:$J,B1938)))</f>
        <v/>
      </c>
      <c r="E1938" s="32" t="str">
        <f aca="false">IF(B1938=0,"",INDEX(Bank!$B:$B,B1938))</f>
        <v/>
      </c>
      <c r="F1938" s="5" t="str">
        <f aca="false">IF(B1938=0,"",IF(INDEX(Bank!$C:$C,B1938)="","",INDEX(Bank!$C:$C,B1938)))</f>
        <v/>
      </c>
      <c r="G1938" s="19" t="str">
        <f aca="false">IF(B1938=0,"",INDEX(Bank!$E:$E,B1938))</f>
        <v/>
      </c>
      <c r="H1938" s="5" t="str">
        <f aca="false">IF(B1938=0,"",IF(INDEX(Bank!$H:$H,B1938)="","",INDEX(Bank!$H:$H,B1938)))</f>
        <v/>
      </c>
      <c r="I1938" s="5" t="n">
        <f aca="false">IF(H1938="",0,IFERROR(MATCH(H1938,GL!$A:$A,0),0))</f>
        <v>0</v>
      </c>
      <c r="J1938" s="32" t="str">
        <f aca="false">IF(I1938=0,"",INDEX(GL!$B:$B,I1938))</f>
        <v/>
      </c>
      <c r="K1938" s="5" t="str">
        <f aca="false">IF(I1938=0,"",IF(INDEX(GL!$C:$C,I1938)="","",INDEX(GL!$C:$C,I1938)))</f>
        <v/>
      </c>
      <c r="L1938" s="19" t="str">
        <f aca="false">IF(I1938=0,"",INDEX(GL!$E:$E,I1938))</f>
        <v/>
      </c>
      <c r="M1938" s="19" t="str">
        <f aca="false">IF(OR(B1938=0,I1938=0),"",ROUND(G1938-L1938,2))</f>
        <v/>
      </c>
      <c r="N1938" s="5" t="str">
        <f aca="false">IF(A1938="","",IF(B1938=0,"NOT FOUND: bank ID",IF(I1938=0,"NOT FOUND: GL ID",IF(INDEX(GL!$H:$H,I1938)&lt;&gt;A1938,"BROKEN: GL points elsewhere",IF(OR(INDEX(Bank!$F:$F,B1938)&lt;&gt;"Y",INDEX(GL!$F:$F,I1938)&lt;&gt;"Y"),"BROKEN: Status not Y","OK")))))</f>
        <v/>
      </c>
    </row>
    <row r="1939" customFormat="false" ht="15" hidden="false" customHeight="false" outlineLevel="0" collapsed="false">
      <c r="A1939" s="41"/>
      <c r="B1939" s="5" t="n">
        <f aca="false">IF(A1939="",0,IFERROR(MATCH(A1939,Bank!$A:$A,0),0))</f>
        <v>0</v>
      </c>
      <c r="C1939" s="5" t="str">
        <f aca="false">IF(B1939=0,"",IF(INDEX(Bank!$G:$G,B1939)="","",INDEX(Bank!$G:$G,B1939)))</f>
        <v/>
      </c>
      <c r="D1939" s="5" t="str">
        <f aca="false">IF(B1939=0,"",IF(INDEX(Bank!$J:$J,B1939)="","",INDEX(Bank!$J:$J,B1939)))</f>
        <v/>
      </c>
      <c r="E1939" s="32" t="str">
        <f aca="false">IF(B1939=0,"",INDEX(Bank!$B:$B,B1939))</f>
        <v/>
      </c>
      <c r="F1939" s="5" t="str">
        <f aca="false">IF(B1939=0,"",IF(INDEX(Bank!$C:$C,B1939)="","",INDEX(Bank!$C:$C,B1939)))</f>
        <v/>
      </c>
      <c r="G1939" s="19" t="str">
        <f aca="false">IF(B1939=0,"",INDEX(Bank!$E:$E,B1939))</f>
        <v/>
      </c>
      <c r="H1939" s="5" t="str">
        <f aca="false">IF(B1939=0,"",IF(INDEX(Bank!$H:$H,B1939)="","",INDEX(Bank!$H:$H,B1939)))</f>
        <v/>
      </c>
      <c r="I1939" s="5" t="n">
        <f aca="false">IF(H1939="",0,IFERROR(MATCH(H1939,GL!$A:$A,0),0))</f>
        <v>0</v>
      </c>
      <c r="J1939" s="32" t="str">
        <f aca="false">IF(I1939=0,"",INDEX(GL!$B:$B,I1939))</f>
        <v/>
      </c>
      <c r="K1939" s="5" t="str">
        <f aca="false">IF(I1939=0,"",IF(INDEX(GL!$C:$C,I1939)="","",INDEX(GL!$C:$C,I1939)))</f>
        <v/>
      </c>
      <c r="L1939" s="19" t="str">
        <f aca="false">IF(I1939=0,"",INDEX(GL!$E:$E,I1939))</f>
        <v/>
      </c>
      <c r="M1939" s="19" t="str">
        <f aca="false">IF(OR(B1939=0,I1939=0),"",ROUND(G1939-L1939,2))</f>
        <v/>
      </c>
      <c r="N1939" s="5" t="str">
        <f aca="false">IF(A1939="","",IF(B1939=0,"NOT FOUND: bank ID",IF(I1939=0,"NOT FOUND: GL ID",IF(INDEX(GL!$H:$H,I1939)&lt;&gt;A1939,"BROKEN: GL points elsewhere",IF(OR(INDEX(Bank!$F:$F,B1939)&lt;&gt;"Y",INDEX(GL!$F:$F,I1939)&lt;&gt;"Y"),"BROKEN: Status not Y","OK")))))</f>
        <v/>
      </c>
    </row>
    <row r="1940" customFormat="false" ht="15" hidden="false" customHeight="false" outlineLevel="0" collapsed="false">
      <c r="A1940" s="41"/>
      <c r="B1940" s="5" t="n">
        <f aca="false">IF(A1940="",0,IFERROR(MATCH(A1940,Bank!$A:$A,0),0))</f>
        <v>0</v>
      </c>
      <c r="C1940" s="5" t="str">
        <f aca="false">IF(B1940=0,"",IF(INDEX(Bank!$G:$G,B1940)="","",INDEX(Bank!$G:$G,B1940)))</f>
        <v/>
      </c>
      <c r="D1940" s="5" t="str">
        <f aca="false">IF(B1940=0,"",IF(INDEX(Bank!$J:$J,B1940)="","",INDEX(Bank!$J:$J,B1940)))</f>
        <v/>
      </c>
      <c r="E1940" s="32" t="str">
        <f aca="false">IF(B1940=0,"",INDEX(Bank!$B:$B,B1940))</f>
        <v/>
      </c>
      <c r="F1940" s="5" t="str">
        <f aca="false">IF(B1940=0,"",IF(INDEX(Bank!$C:$C,B1940)="","",INDEX(Bank!$C:$C,B1940)))</f>
        <v/>
      </c>
      <c r="G1940" s="19" t="str">
        <f aca="false">IF(B1940=0,"",INDEX(Bank!$E:$E,B1940))</f>
        <v/>
      </c>
      <c r="H1940" s="5" t="str">
        <f aca="false">IF(B1940=0,"",IF(INDEX(Bank!$H:$H,B1940)="","",INDEX(Bank!$H:$H,B1940)))</f>
        <v/>
      </c>
      <c r="I1940" s="5" t="n">
        <f aca="false">IF(H1940="",0,IFERROR(MATCH(H1940,GL!$A:$A,0),0))</f>
        <v>0</v>
      </c>
      <c r="J1940" s="32" t="str">
        <f aca="false">IF(I1940=0,"",INDEX(GL!$B:$B,I1940))</f>
        <v/>
      </c>
      <c r="K1940" s="5" t="str">
        <f aca="false">IF(I1940=0,"",IF(INDEX(GL!$C:$C,I1940)="","",INDEX(GL!$C:$C,I1940)))</f>
        <v/>
      </c>
      <c r="L1940" s="19" t="str">
        <f aca="false">IF(I1940=0,"",INDEX(GL!$E:$E,I1940))</f>
        <v/>
      </c>
      <c r="M1940" s="19" t="str">
        <f aca="false">IF(OR(B1940=0,I1940=0),"",ROUND(G1940-L1940,2))</f>
        <v/>
      </c>
      <c r="N1940" s="5" t="str">
        <f aca="false">IF(A1940="","",IF(B1940=0,"NOT FOUND: bank ID",IF(I1940=0,"NOT FOUND: GL ID",IF(INDEX(GL!$H:$H,I1940)&lt;&gt;A1940,"BROKEN: GL points elsewhere",IF(OR(INDEX(Bank!$F:$F,B1940)&lt;&gt;"Y",INDEX(GL!$F:$F,I1940)&lt;&gt;"Y"),"BROKEN: Status not Y","OK")))))</f>
        <v/>
      </c>
    </row>
    <row r="1941" customFormat="false" ht="15" hidden="false" customHeight="false" outlineLevel="0" collapsed="false">
      <c r="A1941" s="41"/>
      <c r="B1941" s="5" t="n">
        <f aca="false">IF(A1941="",0,IFERROR(MATCH(A1941,Bank!$A:$A,0),0))</f>
        <v>0</v>
      </c>
      <c r="C1941" s="5" t="str">
        <f aca="false">IF(B1941=0,"",IF(INDEX(Bank!$G:$G,B1941)="","",INDEX(Bank!$G:$G,B1941)))</f>
        <v/>
      </c>
      <c r="D1941" s="5" t="str">
        <f aca="false">IF(B1941=0,"",IF(INDEX(Bank!$J:$J,B1941)="","",INDEX(Bank!$J:$J,B1941)))</f>
        <v/>
      </c>
      <c r="E1941" s="32" t="str">
        <f aca="false">IF(B1941=0,"",INDEX(Bank!$B:$B,B1941))</f>
        <v/>
      </c>
      <c r="F1941" s="5" t="str">
        <f aca="false">IF(B1941=0,"",IF(INDEX(Bank!$C:$C,B1941)="","",INDEX(Bank!$C:$C,B1941)))</f>
        <v/>
      </c>
      <c r="G1941" s="19" t="str">
        <f aca="false">IF(B1941=0,"",INDEX(Bank!$E:$E,B1941))</f>
        <v/>
      </c>
      <c r="H1941" s="5" t="str">
        <f aca="false">IF(B1941=0,"",IF(INDEX(Bank!$H:$H,B1941)="","",INDEX(Bank!$H:$H,B1941)))</f>
        <v/>
      </c>
      <c r="I1941" s="5" t="n">
        <f aca="false">IF(H1941="",0,IFERROR(MATCH(H1941,GL!$A:$A,0),0))</f>
        <v>0</v>
      </c>
      <c r="J1941" s="32" t="str">
        <f aca="false">IF(I1941=0,"",INDEX(GL!$B:$B,I1941))</f>
        <v/>
      </c>
      <c r="K1941" s="5" t="str">
        <f aca="false">IF(I1941=0,"",IF(INDEX(GL!$C:$C,I1941)="","",INDEX(GL!$C:$C,I1941)))</f>
        <v/>
      </c>
      <c r="L1941" s="19" t="str">
        <f aca="false">IF(I1941=0,"",INDEX(GL!$E:$E,I1941))</f>
        <v/>
      </c>
      <c r="M1941" s="19" t="str">
        <f aca="false">IF(OR(B1941=0,I1941=0),"",ROUND(G1941-L1941,2))</f>
        <v/>
      </c>
      <c r="N1941" s="5" t="str">
        <f aca="false">IF(A1941="","",IF(B1941=0,"NOT FOUND: bank ID",IF(I1941=0,"NOT FOUND: GL ID",IF(INDEX(GL!$H:$H,I1941)&lt;&gt;A1941,"BROKEN: GL points elsewhere",IF(OR(INDEX(Bank!$F:$F,B1941)&lt;&gt;"Y",INDEX(GL!$F:$F,I1941)&lt;&gt;"Y"),"BROKEN: Status not Y","OK")))))</f>
        <v/>
      </c>
    </row>
    <row r="1942" customFormat="false" ht="15" hidden="false" customHeight="false" outlineLevel="0" collapsed="false">
      <c r="A1942" s="41"/>
      <c r="B1942" s="5" t="n">
        <f aca="false">IF(A1942="",0,IFERROR(MATCH(A1942,Bank!$A:$A,0),0))</f>
        <v>0</v>
      </c>
      <c r="C1942" s="5" t="str">
        <f aca="false">IF(B1942=0,"",IF(INDEX(Bank!$G:$G,B1942)="","",INDEX(Bank!$G:$G,B1942)))</f>
        <v/>
      </c>
      <c r="D1942" s="5" t="str">
        <f aca="false">IF(B1942=0,"",IF(INDEX(Bank!$J:$J,B1942)="","",INDEX(Bank!$J:$J,B1942)))</f>
        <v/>
      </c>
      <c r="E1942" s="32" t="str">
        <f aca="false">IF(B1942=0,"",INDEX(Bank!$B:$B,B1942))</f>
        <v/>
      </c>
      <c r="F1942" s="5" t="str">
        <f aca="false">IF(B1942=0,"",IF(INDEX(Bank!$C:$C,B1942)="","",INDEX(Bank!$C:$C,B1942)))</f>
        <v/>
      </c>
      <c r="G1942" s="19" t="str">
        <f aca="false">IF(B1942=0,"",INDEX(Bank!$E:$E,B1942))</f>
        <v/>
      </c>
      <c r="H1942" s="5" t="str">
        <f aca="false">IF(B1942=0,"",IF(INDEX(Bank!$H:$H,B1942)="","",INDEX(Bank!$H:$H,B1942)))</f>
        <v/>
      </c>
      <c r="I1942" s="5" t="n">
        <f aca="false">IF(H1942="",0,IFERROR(MATCH(H1942,GL!$A:$A,0),0))</f>
        <v>0</v>
      </c>
      <c r="J1942" s="32" t="str">
        <f aca="false">IF(I1942=0,"",INDEX(GL!$B:$B,I1942))</f>
        <v/>
      </c>
      <c r="K1942" s="5" t="str">
        <f aca="false">IF(I1942=0,"",IF(INDEX(GL!$C:$C,I1942)="","",INDEX(GL!$C:$C,I1942)))</f>
        <v/>
      </c>
      <c r="L1942" s="19" t="str">
        <f aca="false">IF(I1942=0,"",INDEX(GL!$E:$E,I1942))</f>
        <v/>
      </c>
      <c r="M1942" s="19" t="str">
        <f aca="false">IF(OR(B1942=0,I1942=0),"",ROUND(G1942-L1942,2))</f>
        <v/>
      </c>
      <c r="N1942" s="5" t="str">
        <f aca="false">IF(A1942="","",IF(B1942=0,"NOT FOUND: bank ID",IF(I1942=0,"NOT FOUND: GL ID",IF(INDEX(GL!$H:$H,I1942)&lt;&gt;A1942,"BROKEN: GL points elsewhere",IF(OR(INDEX(Bank!$F:$F,B1942)&lt;&gt;"Y",INDEX(GL!$F:$F,I1942)&lt;&gt;"Y"),"BROKEN: Status not Y","OK")))))</f>
        <v/>
      </c>
    </row>
    <row r="1943" customFormat="false" ht="15" hidden="false" customHeight="false" outlineLevel="0" collapsed="false">
      <c r="A1943" s="41"/>
      <c r="B1943" s="5" t="n">
        <f aca="false">IF(A1943="",0,IFERROR(MATCH(A1943,Bank!$A:$A,0),0))</f>
        <v>0</v>
      </c>
      <c r="C1943" s="5" t="str">
        <f aca="false">IF(B1943=0,"",IF(INDEX(Bank!$G:$G,B1943)="","",INDEX(Bank!$G:$G,B1943)))</f>
        <v/>
      </c>
      <c r="D1943" s="5" t="str">
        <f aca="false">IF(B1943=0,"",IF(INDEX(Bank!$J:$J,B1943)="","",INDEX(Bank!$J:$J,B1943)))</f>
        <v/>
      </c>
      <c r="E1943" s="32" t="str">
        <f aca="false">IF(B1943=0,"",INDEX(Bank!$B:$B,B1943))</f>
        <v/>
      </c>
      <c r="F1943" s="5" t="str">
        <f aca="false">IF(B1943=0,"",IF(INDEX(Bank!$C:$C,B1943)="","",INDEX(Bank!$C:$C,B1943)))</f>
        <v/>
      </c>
      <c r="G1943" s="19" t="str">
        <f aca="false">IF(B1943=0,"",INDEX(Bank!$E:$E,B1943))</f>
        <v/>
      </c>
      <c r="H1943" s="5" t="str">
        <f aca="false">IF(B1943=0,"",IF(INDEX(Bank!$H:$H,B1943)="","",INDEX(Bank!$H:$H,B1943)))</f>
        <v/>
      </c>
      <c r="I1943" s="5" t="n">
        <f aca="false">IF(H1943="",0,IFERROR(MATCH(H1943,GL!$A:$A,0),0))</f>
        <v>0</v>
      </c>
      <c r="J1943" s="32" t="str">
        <f aca="false">IF(I1943=0,"",INDEX(GL!$B:$B,I1943))</f>
        <v/>
      </c>
      <c r="K1943" s="5" t="str">
        <f aca="false">IF(I1943=0,"",IF(INDEX(GL!$C:$C,I1943)="","",INDEX(GL!$C:$C,I1943)))</f>
        <v/>
      </c>
      <c r="L1943" s="19" t="str">
        <f aca="false">IF(I1943=0,"",INDEX(GL!$E:$E,I1943))</f>
        <v/>
      </c>
      <c r="M1943" s="19" t="str">
        <f aca="false">IF(OR(B1943=0,I1943=0),"",ROUND(G1943-L1943,2))</f>
        <v/>
      </c>
      <c r="N1943" s="5" t="str">
        <f aca="false">IF(A1943="","",IF(B1943=0,"NOT FOUND: bank ID",IF(I1943=0,"NOT FOUND: GL ID",IF(INDEX(GL!$H:$H,I1943)&lt;&gt;A1943,"BROKEN: GL points elsewhere",IF(OR(INDEX(Bank!$F:$F,B1943)&lt;&gt;"Y",INDEX(GL!$F:$F,I1943)&lt;&gt;"Y"),"BROKEN: Status not Y","OK")))))</f>
        <v/>
      </c>
    </row>
    <row r="1944" customFormat="false" ht="15" hidden="false" customHeight="false" outlineLevel="0" collapsed="false">
      <c r="A1944" s="41"/>
      <c r="B1944" s="5" t="n">
        <f aca="false">IF(A1944="",0,IFERROR(MATCH(A1944,Bank!$A:$A,0),0))</f>
        <v>0</v>
      </c>
      <c r="C1944" s="5" t="str">
        <f aca="false">IF(B1944=0,"",IF(INDEX(Bank!$G:$G,B1944)="","",INDEX(Bank!$G:$G,B1944)))</f>
        <v/>
      </c>
      <c r="D1944" s="5" t="str">
        <f aca="false">IF(B1944=0,"",IF(INDEX(Bank!$J:$J,B1944)="","",INDEX(Bank!$J:$J,B1944)))</f>
        <v/>
      </c>
      <c r="E1944" s="32" t="str">
        <f aca="false">IF(B1944=0,"",INDEX(Bank!$B:$B,B1944))</f>
        <v/>
      </c>
      <c r="F1944" s="5" t="str">
        <f aca="false">IF(B1944=0,"",IF(INDEX(Bank!$C:$C,B1944)="","",INDEX(Bank!$C:$C,B1944)))</f>
        <v/>
      </c>
      <c r="G1944" s="19" t="str">
        <f aca="false">IF(B1944=0,"",INDEX(Bank!$E:$E,B1944))</f>
        <v/>
      </c>
      <c r="H1944" s="5" t="str">
        <f aca="false">IF(B1944=0,"",IF(INDEX(Bank!$H:$H,B1944)="","",INDEX(Bank!$H:$H,B1944)))</f>
        <v/>
      </c>
      <c r="I1944" s="5" t="n">
        <f aca="false">IF(H1944="",0,IFERROR(MATCH(H1944,GL!$A:$A,0),0))</f>
        <v>0</v>
      </c>
      <c r="J1944" s="32" t="str">
        <f aca="false">IF(I1944=0,"",INDEX(GL!$B:$B,I1944))</f>
        <v/>
      </c>
      <c r="K1944" s="5" t="str">
        <f aca="false">IF(I1944=0,"",IF(INDEX(GL!$C:$C,I1944)="","",INDEX(GL!$C:$C,I1944)))</f>
        <v/>
      </c>
      <c r="L1944" s="19" t="str">
        <f aca="false">IF(I1944=0,"",INDEX(GL!$E:$E,I1944))</f>
        <v/>
      </c>
      <c r="M1944" s="19" t="str">
        <f aca="false">IF(OR(B1944=0,I1944=0),"",ROUND(G1944-L1944,2))</f>
        <v/>
      </c>
      <c r="N1944" s="5" t="str">
        <f aca="false">IF(A1944="","",IF(B1944=0,"NOT FOUND: bank ID",IF(I1944=0,"NOT FOUND: GL ID",IF(INDEX(GL!$H:$H,I1944)&lt;&gt;A1944,"BROKEN: GL points elsewhere",IF(OR(INDEX(Bank!$F:$F,B1944)&lt;&gt;"Y",INDEX(GL!$F:$F,I1944)&lt;&gt;"Y"),"BROKEN: Status not Y","OK")))))</f>
        <v/>
      </c>
    </row>
    <row r="1945" customFormat="false" ht="15" hidden="false" customHeight="false" outlineLevel="0" collapsed="false">
      <c r="A1945" s="41"/>
      <c r="B1945" s="5" t="n">
        <f aca="false">IF(A1945="",0,IFERROR(MATCH(A1945,Bank!$A:$A,0),0))</f>
        <v>0</v>
      </c>
      <c r="C1945" s="5" t="str">
        <f aca="false">IF(B1945=0,"",IF(INDEX(Bank!$G:$G,B1945)="","",INDEX(Bank!$G:$G,B1945)))</f>
        <v/>
      </c>
      <c r="D1945" s="5" t="str">
        <f aca="false">IF(B1945=0,"",IF(INDEX(Bank!$J:$J,B1945)="","",INDEX(Bank!$J:$J,B1945)))</f>
        <v/>
      </c>
      <c r="E1945" s="32" t="str">
        <f aca="false">IF(B1945=0,"",INDEX(Bank!$B:$B,B1945))</f>
        <v/>
      </c>
      <c r="F1945" s="5" t="str">
        <f aca="false">IF(B1945=0,"",IF(INDEX(Bank!$C:$C,B1945)="","",INDEX(Bank!$C:$C,B1945)))</f>
        <v/>
      </c>
      <c r="G1945" s="19" t="str">
        <f aca="false">IF(B1945=0,"",INDEX(Bank!$E:$E,B1945))</f>
        <v/>
      </c>
      <c r="H1945" s="5" t="str">
        <f aca="false">IF(B1945=0,"",IF(INDEX(Bank!$H:$H,B1945)="","",INDEX(Bank!$H:$H,B1945)))</f>
        <v/>
      </c>
      <c r="I1945" s="5" t="n">
        <f aca="false">IF(H1945="",0,IFERROR(MATCH(H1945,GL!$A:$A,0),0))</f>
        <v>0</v>
      </c>
      <c r="J1945" s="32" t="str">
        <f aca="false">IF(I1945=0,"",INDEX(GL!$B:$B,I1945))</f>
        <v/>
      </c>
      <c r="K1945" s="5" t="str">
        <f aca="false">IF(I1945=0,"",IF(INDEX(GL!$C:$C,I1945)="","",INDEX(GL!$C:$C,I1945)))</f>
        <v/>
      </c>
      <c r="L1945" s="19" t="str">
        <f aca="false">IF(I1945=0,"",INDEX(GL!$E:$E,I1945))</f>
        <v/>
      </c>
      <c r="M1945" s="19" t="str">
        <f aca="false">IF(OR(B1945=0,I1945=0),"",ROUND(G1945-L1945,2))</f>
        <v/>
      </c>
      <c r="N1945" s="5" t="str">
        <f aca="false">IF(A1945="","",IF(B1945=0,"NOT FOUND: bank ID",IF(I1945=0,"NOT FOUND: GL ID",IF(INDEX(GL!$H:$H,I1945)&lt;&gt;A1945,"BROKEN: GL points elsewhere",IF(OR(INDEX(Bank!$F:$F,B1945)&lt;&gt;"Y",INDEX(GL!$F:$F,I1945)&lt;&gt;"Y"),"BROKEN: Status not Y","OK")))))</f>
        <v/>
      </c>
    </row>
    <row r="1946" customFormat="false" ht="15" hidden="false" customHeight="false" outlineLevel="0" collapsed="false">
      <c r="A1946" s="41"/>
      <c r="B1946" s="5" t="n">
        <f aca="false">IF(A1946="",0,IFERROR(MATCH(A1946,Bank!$A:$A,0),0))</f>
        <v>0</v>
      </c>
      <c r="C1946" s="5" t="str">
        <f aca="false">IF(B1946=0,"",IF(INDEX(Bank!$G:$G,B1946)="","",INDEX(Bank!$G:$G,B1946)))</f>
        <v/>
      </c>
      <c r="D1946" s="5" t="str">
        <f aca="false">IF(B1946=0,"",IF(INDEX(Bank!$J:$J,B1946)="","",INDEX(Bank!$J:$J,B1946)))</f>
        <v/>
      </c>
      <c r="E1946" s="32" t="str">
        <f aca="false">IF(B1946=0,"",INDEX(Bank!$B:$B,B1946))</f>
        <v/>
      </c>
      <c r="F1946" s="5" t="str">
        <f aca="false">IF(B1946=0,"",IF(INDEX(Bank!$C:$C,B1946)="","",INDEX(Bank!$C:$C,B1946)))</f>
        <v/>
      </c>
      <c r="G1946" s="19" t="str">
        <f aca="false">IF(B1946=0,"",INDEX(Bank!$E:$E,B1946))</f>
        <v/>
      </c>
      <c r="H1946" s="5" t="str">
        <f aca="false">IF(B1946=0,"",IF(INDEX(Bank!$H:$H,B1946)="","",INDEX(Bank!$H:$H,B1946)))</f>
        <v/>
      </c>
      <c r="I1946" s="5" t="n">
        <f aca="false">IF(H1946="",0,IFERROR(MATCH(H1946,GL!$A:$A,0),0))</f>
        <v>0</v>
      </c>
      <c r="J1946" s="32" t="str">
        <f aca="false">IF(I1946=0,"",INDEX(GL!$B:$B,I1946))</f>
        <v/>
      </c>
      <c r="K1946" s="5" t="str">
        <f aca="false">IF(I1946=0,"",IF(INDEX(GL!$C:$C,I1946)="","",INDEX(GL!$C:$C,I1946)))</f>
        <v/>
      </c>
      <c r="L1946" s="19" t="str">
        <f aca="false">IF(I1946=0,"",INDEX(GL!$E:$E,I1946))</f>
        <v/>
      </c>
      <c r="M1946" s="19" t="str">
        <f aca="false">IF(OR(B1946=0,I1946=0),"",ROUND(G1946-L1946,2))</f>
        <v/>
      </c>
      <c r="N1946" s="5" t="str">
        <f aca="false">IF(A1946="","",IF(B1946=0,"NOT FOUND: bank ID",IF(I1946=0,"NOT FOUND: GL ID",IF(INDEX(GL!$H:$H,I1946)&lt;&gt;A1946,"BROKEN: GL points elsewhere",IF(OR(INDEX(Bank!$F:$F,B1946)&lt;&gt;"Y",INDEX(GL!$F:$F,I1946)&lt;&gt;"Y"),"BROKEN: Status not Y","OK")))))</f>
        <v/>
      </c>
    </row>
    <row r="1947" customFormat="false" ht="15" hidden="false" customHeight="false" outlineLevel="0" collapsed="false">
      <c r="A1947" s="41"/>
      <c r="B1947" s="5" t="n">
        <f aca="false">IF(A1947="",0,IFERROR(MATCH(A1947,Bank!$A:$A,0),0))</f>
        <v>0</v>
      </c>
      <c r="C1947" s="5" t="str">
        <f aca="false">IF(B1947=0,"",IF(INDEX(Bank!$G:$G,B1947)="","",INDEX(Bank!$G:$G,B1947)))</f>
        <v/>
      </c>
      <c r="D1947" s="5" t="str">
        <f aca="false">IF(B1947=0,"",IF(INDEX(Bank!$J:$J,B1947)="","",INDEX(Bank!$J:$J,B1947)))</f>
        <v/>
      </c>
      <c r="E1947" s="32" t="str">
        <f aca="false">IF(B1947=0,"",INDEX(Bank!$B:$B,B1947))</f>
        <v/>
      </c>
      <c r="F1947" s="5" t="str">
        <f aca="false">IF(B1947=0,"",IF(INDEX(Bank!$C:$C,B1947)="","",INDEX(Bank!$C:$C,B1947)))</f>
        <v/>
      </c>
      <c r="G1947" s="19" t="str">
        <f aca="false">IF(B1947=0,"",INDEX(Bank!$E:$E,B1947))</f>
        <v/>
      </c>
      <c r="H1947" s="5" t="str">
        <f aca="false">IF(B1947=0,"",IF(INDEX(Bank!$H:$H,B1947)="","",INDEX(Bank!$H:$H,B1947)))</f>
        <v/>
      </c>
      <c r="I1947" s="5" t="n">
        <f aca="false">IF(H1947="",0,IFERROR(MATCH(H1947,GL!$A:$A,0),0))</f>
        <v>0</v>
      </c>
      <c r="J1947" s="32" t="str">
        <f aca="false">IF(I1947=0,"",INDEX(GL!$B:$B,I1947))</f>
        <v/>
      </c>
      <c r="K1947" s="5" t="str">
        <f aca="false">IF(I1947=0,"",IF(INDEX(GL!$C:$C,I1947)="","",INDEX(GL!$C:$C,I1947)))</f>
        <v/>
      </c>
      <c r="L1947" s="19" t="str">
        <f aca="false">IF(I1947=0,"",INDEX(GL!$E:$E,I1947))</f>
        <v/>
      </c>
      <c r="M1947" s="19" t="str">
        <f aca="false">IF(OR(B1947=0,I1947=0),"",ROUND(G1947-L1947,2))</f>
        <v/>
      </c>
      <c r="N1947" s="5" t="str">
        <f aca="false">IF(A1947="","",IF(B1947=0,"NOT FOUND: bank ID",IF(I1947=0,"NOT FOUND: GL ID",IF(INDEX(GL!$H:$H,I1947)&lt;&gt;A1947,"BROKEN: GL points elsewhere",IF(OR(INDEX(Bank!$F:$F,B1947)&lt;&gt;"Y",INDEX(GL!$F:$F,I1947)&lt;&gt;"Y"),"BROKEN: Status not Y","OK")))))</f>
        <v/>
      </c>
    </row>
    <row r="1948" customFormat="false" ht="15" hidden="false" customHeight="false" outlineLevel="0" collapsed="false">
      <c r="A1948" s="41"/>
      <c r="B1948" s="5" t="n">
        <f aca="false">IF(A1948="",0,IFERROR(MATCH(A1948,Bank!$A:$A,0),0))</f>
        <v>0</v>
      </c>
      <c r="C1948" s="5" t="str">
        <f aca="false">IF(B1948=0,"",IF(INDEX(Bank!$G:$G,B1948)="","",INDEX(Bank!$G:$G,B1948)))</f>
        <v/>
      </c>
      <c r="D1948" s="5" t="str">
        <f aca="false">IF(B1948=0,"",IF(INDEX(Bank!$J:$J,B1948)="","",INDEX(Bank!$J:$J,B1948)))</f>
        <v/>
      </c>
      <c r="E1948" s="32" t="str">
        <f aca="false">IF(B1948=0,"",INDEX(Bank!$B:$B,B1948))</f>
        <v/>
      </c>
      <c r="F1948" s="5" t="str">
        <f aca="false">IF(B1948=0,"",IF(INDEX(Bank!$C:$C,B1948)="","",INDEX(Bank!$C:$C,B1948)))</f>
        <v/>
      </c>
      <c r="G1948" s="19" t="str">
        <f aca="false">IF(B1948=0,"",INDEX(Bank!$E:$E,B1948))</f>
        <v/>
      </c>
      <c r="H1948" s="5" t="str">
        <f aca="false">IF(B1948=0,"",IF(INDEX(Bank!$H:$H,B1948)="","",INDEX(Bank!$H:$H,B1948)))</f>
        <v/>
      </c>
      <c r="I1948" s="5" t="n">
        <f aca="false">IF(H1948="",0,IFERROR(MATCH(H1948,GL!$A:$A,0),0))</f>
        <v>0</v>
      </c>
      <c r="J1948" s="32" t="str">
        <f aca="false">IF(I1948=0,"",INDEX(GL!$B:$B,I1948))</f>
        <v/>
      </c>
      <c r="K1948" s="5" t="str">
        <f aca="false">IF(I1948=0,"",IF(INDEX(GL!$C:$C,I1948)="","",INDEX(GL!$C:$C,I1948)))</f>
        <v/>
      </c>
      <c r="L1948" s="19" t="str">
        <f aca="false">IF(I1948=0,"",INDEX(GL!$E:$E,I1948))</f>
        <v/>
      </c>
      <c r="M1948" s="19" t="str">
        <f aca="false">IF(OR(B1948=0,I1948=0),"",ROUND(G1948-L1948,2))</f>
        <v/>
      </c>
      <c r="N1948" s="5" t="str">
        <f aca="false">IF(A1948="","",IF(B1948=0,"NOT FOUND: bank ID",IF(I1948=0,"NOT FOUND: GL ID",IF(INDEX(GL!$H:$H,I1948)&lt;&gt;A1948,"BROKEN: GL points elsewhere",IF(OR(INDEX(Bank!$F:$F,B1948)&lt;&gt;"Y",INDEX(GL!$F:$F,I1948)&lt;&gt;"Y"),"BROKEN: Status not Y","OK")))))</f>
        <v/>
      </c>
    </row>
    <row r="1949" customFormat="false" ht="15" hidden="false" customHeight="false" outlineLevel="0" collapsed="false">
      <c r="A1949" s="41"/>
      <c r="B1949" s="5" t="n">
        <f aca="false">IF(A1949="",0,IFERROR(MATCH(A1949,Bank!$A:$A,0),0))</f>
        <v>0</v>
      </c>
      <c r="C1949" s="5" t="str">
        <f aca="false">IF(B1949=0,"",IF(INDEX(Bank!$G:$G,B1949)="","",INDEX(Bank!$G:$G,B1949)))</f>
        <v/>
      </c>
      <c r="D1949" s="5" t="str">
        <f aca="false">IF(B1949=0,"",IF(INDEX(Bank!$J:$J,B1949)="","",INDEX(Bank!$J:$J,B1949)))</f>
        <v/>
      </c>
      <c r="E1949" s="32" t="str">
        <f aca="false">IF(B1949=0,"",INDEX(Bank!$B:$B,B1949))</f>
        <v/>
      </c>
      <c r="F1949" s="5" t="str">
        <f aca="false">IF(B1949=0,"",IF(INDEX(Bank!$C:$C,B1949)="","",INDEX(Bank!$C:$C,B1949)))</f>
        <v/>
      </c>
      <c r="G1949" s="19" t="str">
        <f aca="false">IF(B1949=0,"",INDEX(Bank!$E:$E,B1949))</f>
        <v/>
      </c>
      <c r="H1949" s="5" t="str">
        <f aca="false">IF(B1949=0,"",IF(INDEX(Bank!$H:$H,B1949)="","",INDEX(Bank!$H:$H,B1949)))</f>
        <v/>
      </c>
      <c r="I1949" s="5" t="n">
        <f aca="false">IF(H1949="",0,IFERROR(MATCH(H1949,GL!$A:$A,0),0))</f>
        <v>0</v>
      </c>
      <c r="J1949" s="32" t="str">
        <f aca="false">IF(I1949=0,"",INDEX(GL!$B:$B,I1949))</f>
        <v/>
      </c>
      <c r="K1949" s="5" t="str">
        <f aca="false">IF(I1949=0,"",IF(INDEX(GL!$C:$C,I1949)="","",INDEX(GL!$C:$C,I1949)))</f>
        <v/>
      </c>
      <c r="L1949" s="19" t="str">
        <f aca="false">IF(I1949=0,"",INDEX(GL!$E:$E,I1949))</f>
        <v/>
      </c>
      <c r="M1949" s="19" t="str">
        <f aca="false">IF(OR(B1949=0,I1949=0),"",ROUND(G1949-L1949,2))</f>
        <v/>
      </c>
      <c r="N1949" s="5" t="str">
        <f aca="false">IF(A1949="","",IF(B1949=0,"NOT FOUND: bank ID",IF(I1949=0,"NOT FOUND: GL ID",IF(INDEX(GL!$H:$H,I1949)&lt;&gt;A1949,"BROKEN: GL points elsewhere",IF(OR(INDEX(Bank!$F:$F,B1949)&lt;&gt;"Y",INDEX(GL!$F:$F,I1949)&lt;&gt;"Y"),"BROKEN: Status not Y","OK")))))</f>
        <v/>
      </c>
    </row>
    <row r="1950" customFormat="false" ht="15" hidden="false" customHeight="false" outlineLevel="0" collapsed="false">
      <c r="A1950" s="41"/>
      <c r="B1950" s="5" t="n">
        <f aca="false">IF(A1950="",0,IFERROR(MATCH(A1950,Bank!$A:$A,0),0))</f>
        <v>0</v>
      </c>
      <c r="C1950" s="5" t="str">
        <f aca="false">IF(B1950=0,"",IF(INDEX(Bank!$G:$G,B1950)="","",INDEX(Bank!$G:$G,B1950)))</f>
        <v/>
      </c>
      <c r="D1950" s="5" t="str">
        <f aca="false">IF(B1950=0,"",IF(INDEX(Bank!$J:$J,B1950)="","",INDEX(Bank!$J:$J,B1950)))</f>
        <v/>
      </c>
      <c r="E1950" s="32" t="str">
        <f aca="false">IF(B1950=0,"",INDEX(Bank!$B:$B,B1950))</f>
        <v/>
      </c>
      <c r="F1950" s="5" t="str">
        <f aca="false">IF(B1950=0,"",IF(INDEX(Bank!$C:$C,B1950)="","",INDEX(Bank!$C:$C,B1950)))</f>
        <v/>
      </c>
      <c r="G1950" s="19" t="str">
        <f aca="false">IF(B1950=0,"",INDEX(Bank!$E:$E,B1950))</f>
        <v/>
      </c>
      <c r="H1950" s="5" t="str">
        <f aca="false">IF(B1950=0,"",IF(INDEX(Bank!$H:$H,B1950)="","",INDEX(Bank!$H:$H,B1950)))</f>
        <v/>
      </c>
      <c r="I1950" s="5" t="n">
        <f aca="false">IF(H1950="",0,IFERROR(MATCH(H1950,GL!$A:$A,0),0))</f>
        <v>0</v>
      </c>
      <c r="J1950" s="32" t="str">
        <f aca="false">IF(I1950=0,"",INDEX(GL!$B:$B,I1950))</f>
        <v/>
      </c>
      <c r="K1950" s="5" t="str">
        <f aca="false">IF(I1950=0,"",IF(INDEX(GL!$C:$C,I1950)="","",INDEX(GL!$C:$C,I1950)))</f>
        <v/>
      </c>
      <c r="L1950" s="19" t="str">
        <f aca="false">IF(I1950=0,"",INDEX(GL!$E:$E,I1950))</f>
        <v/>
      </c>
      <c r="M1950" s="19" t="str">
        <f aca="false">IF(OR(B1950=0,I1950=0),"",ROUND(G1950-L1950,2))</f>
        <v/>
      </c>
      <c r="N1950" s="5" t="str">
        <f aca="false">IF(A1950="","",IF(B1950=0,"NOT FOUND: bank ID",IF(I1950=0,"NOT FOUND: GL ID",IF(INDEX(GL!$H:$H,I1950)&lt;&gt;A1950,"BROKEN: GL points elsewhere",IF(OR(INDEX(Bank!$F:$F,B1950)&lt;&gt;"Y",INDEX(GL!$F:$F,I1950)&lt;&gt;"Y"),"BROKEN: Status not Y","OK")))))</f>
        <v/>
      </c>
    </row>
    <row r="1951" customFormat="false" ht="15" hidden="false" customHeight="false" outlineLevel="0" collapsed="false">
      <c r="A1951" s="41"/>
      <c r="B1951" s="5" t="n">
        <f aca="false">IF(A1951="",0,IFERROR(MATCH(A1951,Bank!$A:$A,0),0))</f>
        <v>0</v>
      </c>
      <c r="C1951" s="5" t="str">
        <f aca="false">IF(B1951=0,"",IF(INDEX(Bank!$G:$G,B1951)="","",INDEX(Bank!$G:$G,B1951)))</f>
        <v/>
      </c>
      <c r="D1951" s="5" t="str">
        <f aca="false">IF(B1951=0,"",IF(INDEX(Bank!$J:$J,B1951)="","",INDEX(Bank!$J:$J,B1951)))</f>
        <v/>
      </c>
      <c r="E1951" s="32" t="str">
        <f aca="false">IF(B1951=0,"",INDEX(Bank!$B:$B,B1951))</f>
        <v/>
      </c>
      <c r="F1951" s="5" t="str">
        <f aca="false">IF(B1951=0,"",IF(INDEX(Bank!$C:$C,B1951)="","",INDEX(Bank!$C:$C,B1951)))</f>
        <v/>
      </c>
      <c r="G1951" s="19" t="str">
        <f aca="false">IF(B1951=0,"",INDEX(Bank!$E:$E,B1951))</f>
        <v/>
      </c>
      <c r="H1951" s="5" t="str">
        <f aca="false">IF(B1951=0,"",IF(INDEX(Bank!$H:$H,B1951)="","",INDEX(Bank!$H:$H,B1951)))</f>
        <v/>
      </c>
      <c r="I1951" s="5" t="n">
        <f aca="false">IF(H1951="",0,IFERROR(MATCH(H1951,GL!$A:$A,0),0))</f>
        <v>0</v>
      </c>
      <c r="J1951" s="32" t="str">
        <f aca="false">IF(I1951=0,"",INDEX(GL!$B:$B,I1951))</f>
        <v/>
      </c>
      <c r="K1951" s="5" t="str">
        <f aca="false">IF(I1951=0,"",IF(INDEX(GL!$C:$C,I1951)="","",INDEX(GL!$C:$C,I1951)))</f>
        <v/>
      </c>
      <c r="L1951" s="19" t="str">
        <f aca="false">IF(I1951=0,"",INDEX(GL!$E:$E,I1951))</f>
        <v/>
      </c>
      <c r="M1951" s="19" t="str">
        <f aca="false">IF(OR(B1951=0,I1951=0),"",ROUND(G1951-L1951,2))</f>
        <v/>
      </c>
      <c r="N1951" s="5" t="str">
        <f aca="false">IF(A1951="","",IF(B1951=0,"NOT FOUND: bank ID",IF(I1951=0,"NOT FOUND: GL ID",IF(INDEX(GL!$H:$H,I1951)&lt;&gt;A1951,"BROKEN: GL points elsewhere",IF(OR(INDEX(Bank!$F:$F,B1951)&lt;&gt;"Y",INDEX(GL!$F:$F,I1951)&lt;&gt;"Y"),"BROKEN: Status not Y","OK")))))</f>
        <v/>
      </c>
    </row>
    <row r="1952" customFormat="false" ht="15" hidden="false" customHeight="false" outlineLevel="0" collapsed="false">
      <c r="A1952" s="41"/>
      <c r="B1952" s="5" t="n">
        <f aca="false">IF(A1952="",0,IFERROR(MATCH(A1952,Bank!$A:$A,0),0))</f>
        <v>0</v>
      </c>
      <c r="C1952" s="5" t="str">
        <f aca="false">IF(B1952=0,"",IF(INDEX(Bank!$G:$G,B1952)="","",INDEX(Bank!$G:$G,B1952)))</f>
        <v/>
      </c>
      <c r="D1952" s="5" t="str">
        <f aca="false">IF(B1952=0,"",IF(INDEX(Bank!$J:$J,B1952)="","",INDEX(Bank!$J:$J,B1952)))</f>
        <v/>
      </c>
      <c r="E1952" s="32" t="str">
        <f aca="false">IF(B1952=0,"",INDEX(Bank!$B:$B,B1952))</f>
        <v/>
      </c>
      <c r="F1952" s="5" t="str">
        <f aca="false">IF(B1952=0,"",IF(INDEX(Bank!$C:$C,B1952)="","",INDEX(Bank!$C:$C,B1952)))</f>
        <v/>
      </c>
      <c r="G1952" s="19" t="str">
        <f aca="false">IF(B1952=0,"",INDEX(Bank!$E:$E,B1952))</f>
        <v/>
      </c>
      <c r="H1952" s="5" t="str">
        <f aca="false">IF(B1952=0,"",IF(INDEX(Bank!$H:$H,B1952)="","",INDEX(Bank!$H:$H,B1952)))</f>
        <v/>
      </c>
      <c r="I1952" s="5" t="n">
        <f aca="false">IF(H1952="",0,IFERROR(MATCH(H1952,GL!$A:$A,0),0))</f>
        <v>0</v>
      </c>
      <c r="J1952" s="32" t="str">
        <f aca="false">IF(I1952=0,"",INDEX(GL!$B:$B,I1952))</f>
        <v/>
      </c>
      <c r="K1952" s="5" t="str">
        <f aca="false">IF(I1952=0,"",IF(INDEX(GL!$C:$C,I1952)="","",INDEX(GL!$C:$C,I1952)))</f>
        <v/>
      </c>
      <c r="L1952" s="19" t="str">
        <f aca="false">IF(I1952=0,"",INDEX(GL!$E:$E,I1952))</f>
        <v/>
      </c>
      <c r="M1952" s="19" t="str">
        <f aca="false">IF(OR(B1952=0,I1952=0),"",ROUND(G1952-L1952,2))</f>
        <v/>
      </c>
      <c r="N1952" s="5" t="str">
        <f aca="false">IF(A1952="","",IF(B1952=0,"NOT FOUND: bank ID",IF(I1952=0,"NOT FOUND: GL ID",IF(INDEX(GL!$H:$H,I1952)&lt;&gt;A1952,"BROKEN: GL points elsewhere",IF(OR(INDEX(Bank!$F:$F,B1952)&lt;&gt;"Y",INDEX(GL!$F:$F,I1952)&lt;&gt;"Y"),"BROKEN: Status not Y","OK")))))</f>
        <v/>
      </c>
    </row>
    <row r="1953" customFormat="false" ht="15" hidden="false" customHeight="false" outlineLevel="0" collapsed="false">
      <c r="A1953" s="41"/>
      <c r="B1953" s="5" t="n">
        <f aca="false">IF(A1953="",0,IFERROR(MATCH(A1953,Bank!$A:$A,0),0))</f>
        <v>0</v>
      </c>
      <c r="C1953" s="5" t="str">
        <f aca="false">IF(B1953=0,"",IF(INDEX(Bank!$G:$G,B1953)="","",INDEX(Bank!$G:$G,B1953)))</f>
        <v/>
      </c>
      <c r="D1953" s="5" t="str">
        <f aca="false">IF(B1953=0,"",IF(INDEX(Bank!$J:$J,B1953)="","",INDEX(Bank!$J:$J,B1953)))</f>
        <v/>
      </c>
      <c r="E1953" s="32" t="str">
        <f aca="false">IF(B1953=0,"",INDEX(Bank!$B:$B,B1953))</f>
        <v/>
      </c>
      <c r="F1953" s="5" t="str">
        <f aca="false">IF(B1953=0,"",IF(INDEX(Bank!$C:$C,B1953)="","",INDEX(Bank!$C:$C,B1953)))</f>
        <v/>
      </c>
      <c r="G1953" s="19" t="str">
        <f aca="false">IF(B1953=0,"",INDEX(Bank!$E:$E,B1953))</f>
        <v/>
      </c>
      <c r="H1953" s="5" t="str">
        <f aca="false">IF(B1953=0,"",IF(INDEX(Bank!$H:$H,B1953)="","",INDEX(Bank!$H:$H,B1953)))</f>
        <v/>
      </c>
      <c r="I1953" s="5" t="n">
        <f aca="false">IF(H1953="",0,IFERROR(MATCH(H1953,GL!$A:$A,0),0))</f>
        <v>0</v>
      </c>
      <c r="J1953" s="32" t="str">
        <f aca="false">IF(I1953=0,"",INDEX(GL!$B:$B,I1953))</f>
        <v/>
      </c>
      <c r="K1953" s="5" t="str">
        <f aca="false">IF(I1953=0,"",IF(INDEX(GL!$C:$C,I1953)="","",INDEX(GL!$C:$C,I1953)))</f>
        <v/>
      </c>
      <c r="L1953" s="19" t="str">
        <f aca="false">IF(I1953=0,"",INDEX(GL!$E:$E,I1953))</f>
        <v/>
      </c>
      <c r="M1953" s="19" t="str">
        <f aca="false">IF(OR(B1953=0,I1953=0),"",ROUND(G1953-L1953,2))</f>
        <v/>
      </c>
      <c r="N1953" s="5" t="str">
        <f aca="false">IF(A1953="","",IF(B1953=0,"NOT FOUND: bank ID",IF(I1953=0,"NOT FOUND: GL ID",IF(INDEX(GL!$H:$H,I1953)&lt;&gt;A1953,"BROKEN: GL points elsewhere",IF(OR(INDEX(Bank!$F:$F,B1953)&lt;&gt;"Y",INDEX(GL!$F:$F,I1953)&lt;&gt;"Y"),"BROKEN: Status not Y","OK")))))</f>
        <v/>
      </c>
    </row>
    <row r="1954" customFormat="false" ht="15" hidden="false" customHeight="false" outlineLevel="0" collapsed="false">
      <c r="A1954" s="41"/>
      <c r="B1954" s="5" t="n">
        <f aca="false">IF(A1954="",0,IFERROR(MATCH(A1954,Bank!$A:$A,0),0))</f>
        <v>0</v>
      </c>
      <c r="C1954" s="5" t="str">
        <f aca="false">IF(B1954=0,"",IF(INDEX(Bank!$G:$G,B1954)="","",INDEX(Bank!$G:$G,B1954)))</f>
        <v/>
      </c>
      <c r="D1954" s="5" t="str">
        <f aca="false">IF(B1954=0,"",IF(INDEX(Bank!$J:$J,B1954)="","",INDEX(Bank!$J:$J,B1954)))</f>
        <v/>
      </c>
      <c r="E1954" s="32" t="str">
        <f aca="false">IF(B1954=0,"",INDEX(Bank!$B:$B,B1954))</f>
        <v/>
      </c>
      <c r="F1954" s="5" t="str">
        <f aca="false">IF(B1954=0,"",IF(INDEX(Bank!$C:$C,B1954)="","",INDEX(Bank!$C:$C,B1954)))</f>
        <v/>
      </c>
      <c r="G1954" s="19" t="str">
        <f aca="false">IF(B1954=0,"",INDEX(Bank!$E:$E,B1954))</f>
        <v/>
      </c>
      <c r="H1954" s="5" t="str">
        <f aca="false">IF(B1954=0,"",IF(INDEX(Bank!$H:$H,B1954)="","",INDEX(Bank!$H:$H,B1954)))</f>
        <v/>
      </c>
      <c r="I1954" s="5" t="n">
        <f aca="false">IF(H1954="",0,IFERROR(MATCH(H1954,GL!$A:$A,0),0))</f>
        <v>0</v>
      </c>
      <c r="J1954" s="32" t="str">
        <f aca="false">IF(I1954=0,"",INDEX(GL!$B:$B,I1954))</f>
        <v/>
      </c>
      <c r="K1954" s="5" t="str">
        <f aca="false">IF(I1954=0,"",IF(INDEX(GL!$C:$C,I1954)="","",INDEX(GL!$C:$C,I1954)))</f>
        <v/>
      </c>
      <c r="L1954" s="19" t="str">
        <f aca="false">IF(I1954=0,"",INDEX(GL!$E:$E,I1954))</f>
        <v/>
      </c>
      <c r="M1954" s="19" t="str">
        <f aca="false">IF(OR(B1954=0,I1954=0),"",ROUND(G1954-L1954,2))</f>
        <v/>
      </c>
      <c r="N1954" s="5" t="str">
        <f aca="false">IF(A1954="","",IF(B1954=0,"NOT FOUND: bank ID",IF(I1954=0,"NOT FOUND: GL ID",IF(INDEX(GL!$H:$H,I1954)&lt;&gt;A1954,"BROKEN: GL points elsewhere",IF(OR(INDEX(Bank!$F:$F,B1954)&lt;&gt;"Y",INDEX(GL!$F:$F,I1954)&lt;&gt;"Y"),"BROKEN: Status not Y","OK")))))</f>
        <v/>
      </c>
    </row>
    <row r="1955" customFormat="false" ht="15" hidden="false" customHeight="false" outlineLevel="0" collapsed="false">
      <c r="A1955" s="41"/>
      <c r="B1955" s="5" t="n">
        <f aca="false">IF(A1955="",0,IFERROR(MATCH(A1955,Bank!$A:$A,0),0))</f>
        <v>0</v>
      </c>
      <c r="C1955" s="5" t="str">
        <f aca="false">IF(B1955=0,"",IF(INDEX(Bank!$G:$G,B1955)="","",INDEX(Bank!$G:$G,B1955)))</f>
        <v/>
      </c>
      <c r="D1955" s="5" t="str">
        <f aca="false">IF(B1955=0,"",IF(INDEX(Bank!$J:$J,B1955)="","",INDEX(Bank!$J:$J,B1955)))</f>
        <v/>
      </c>
      <c r="E1955" s="32" t="str">
        <f aca="false">IF(B1955=0,"",INDEX(Bank!$B:$B,B1955))</f>
        <v/>
      </c>
      <c r="F1955" s="5" t="str">
        <f aca="false">IF(B1955=0,"",IF(INDEX(Bank!$C:$C,B1955)="","",INDEX(Bank!$C:$C,B1955)))</f>
        <v/>
      </c>
      <c r="G1955" s="19" t="str">
        <f aca="false">IF(B1955=0,"",INDEX(Bank!$E:$E,B1955))</f>
        <v/>
      </c>
      <c r="H1955" s="5" t="str">
        <f aca="false">IF(B1955=0,"",IF(INDEX(Bank!$H:$H,B1955)="","",INDEX(Bank!$H:$H,B1955)))</f>
        <v/>
      </c>
      <c r="I1955" s="5" t="n">
        <f aca="false">IF(H1955="",0,IFERROR(MATCH(H1955,GL!$A:$A,0),0))</f>
        <v>0</v>
      </c>
      <c r="J1955" s="32" t="str">
        <f aca="false">IF(I1955=0,"",INDEX(GL!$B:$B,I1955))</f>
        <v/>
      </c>
      <c r="K1955" s="5" t="str">
        <f aca="false">IF(I1955=0,"",IF(INDEX(GL!$C:$C,I1955)="","",INDEX(GL!$C:$C,I1955)))</f>
        <v/>
      </c>
      <c r="L1955" s="19" t="str">
        <f aca="false">IF(I1955=0,"",INDEX(GL!$E:$E,I1955))</f>
        <v/>
      </c>
      <c r="M1955" s="19" t="str">
        <f aca="false">IF(OR(B1955=0,I1955=0),"",ROUND(G1955-L1955,2))</f>
        <v/>
      </c>
      <c r="N1955" s="5" t="str">
        <f aca="false">IF(A1955="","",IF(B1955=0,"NOT FOUND: bank ID",IF(I1955=0,"NOT FOUND: GL ID",IF(INDEX(GL!$H:$H,I1955)&lt;&gt;A1955,"BROKEN: GL points elsewhere",IF(OR(INDEX(Bank!$F:$F,B1955)&lt;&gt;"Y",INDEX(GL!$F:$F,I1955)&lt;&gt;"Y"),"BROKEN: Status not Y","OK")))))</f>
        <v/>
      </c>
    </row>
    <row r="1956" customFormat="false" ht="15" hidden="false" customHeight="false" outlineLevel="0" collapsed="false">
      <c r="A1956" s="41"/>
      <c r="B1956" s="5" t="n">
        <f aca="false">IF(A1956="",0,IFERROR(MATCH(A1956,Bank!$A:$A,0),0))</f>
        <v>0</v>
      </c>
      <c r="C1956" s="5" t="str">
        <f aca="false">IF(B1956=0,"",IF(INDEX(Bank!$G:$G,B1956)="","",INDEX(Bank!$G:$G,B1956)))</f>
        <v/>
      </c>
      <c r="D1956" s="5" t="str">
        <f aca="false">IF(B1956=0,"",IF(INDEX(Bank!$J:$J,B1956)="","",INDEX(Bank!$J:$J,B1956)))</f>
        <v/>
      </c>
      <c r="E1956" s="32" t="str">
        <f aca="false">IF(B1956=0,"",INDEX(Bank!$B:$B,B1956))</f>
        <v/>
      </c>
      <c r="F1956" s="5" t="str">
        <f aca="false">IF(B1956=0,"",IF(INDEX(Bank!$C:$C,B1956)="","",INDEX(Bank!$C:$C,B1956)))</f>
        <v/>
      </c>
      <c r="G1956" s="19" t="str">
        <f aca="false">IF(B1956=0,"",INDEX(Bank!$E:$E,B1956))</f>
        <v/>
      </c>
      <c r="H1956" s="5" t="str">
        <f aca="false">IF(B1956=0,"",IF(INDEX(Bank!$H:$H,B1956)="","",INDEX(Bank!$H:$H,B1956)))</f>
        <v/>
      </c>
      <c r="I1956" s="5" t="n">
        <f aca="false">IF(H1956="",0,IFERROR(MATCH(H1956,GL!$A:$A,0),0))</f>
        <v>0</v>
      </c>
      <c r="J1956" s="32" t="str">
        <f aca="false">IF(I1956=0,"",INDEX(GL!$B:$B,I1956))</f>
        <v/>
      </c>
      <c r="K1956" s="5" t="str">
        <f aca="false">IF(I1956=0,"",IF(INDEX(GL!$C:$C,I1956)="","",INDEX(GL!$C:$C,I1956)))</f>
        <v/>
      </c>
      <c r="L1956" s="19" t="str">
        <f aca="false">IF(I1956=0,"",INDEX(GL!$E:$E,I1956))</f>
        <v/>
      </c>
      <c r="M1956" s="19" t="str">
        <f aca="false">IF(OR(B1956=0,I1956=0),"",ROUND(G1956-L1956,2))</f>
        <v/>
      </c>
      <c r="N1956" s="5" t="str">
        <f aca="false">IF(A1956="","",IF(B1956=0,"NOT FOUND: bank ID",IF(I1956=0,"NOT FOUND: GL ID",IF(INDEX(GL!$H:$H,I1956)&lt;&gt;A1956,"BROKEN: GL points elsewhere",IF(OR(INDEX(Bank!$F:$F,B1956)&lt;&gt;"Y",INDEX(GL!$F:$F,I1956)&lt;&gt;"Y"),"BROKEN: Status not Y","OK")))))</f>
        <v/>
      </c>
    </row>
    <row r="1957" customFormat="false" ht="15" hidden="false" customHeight="false" outlineLevel="0" collapsed="false">
      <c r="A1957" s="41"/>
      <c r="B1957" s="5" t="n">
        <f aca="false">IF(A1957="",0,IFERROR(MATCH(A1957,Bank!$A:$A,0),0))</f>
        <v>0</v>
      </c>
      <c r="C1957" s="5" t="str">
        <f aca="false">IF(B1957=0,"",IF(INDEX(Bank!$G:$G,B1957)="","",INDEX(Bank!$G:$G,B1957)))</f>
        <v/>
      </c>
      <c r="D1957" s="5" t="str">
        <f aca="false">IF(B1957=0,"",IF(INDEX(Bank!$J:$J,B1957)="","",INDEX(Bank!$J:$J,B1957)))</f>
        <v/>
      </c>
      <c r="E1957" s="32" t="str">
        <f aca="false">IF(B1957=0,"",INDEX(Bank!$B:$B,B1957))</f>
        <v/>
      </c>
      <c r="F1957" s="5" t="str">
        <f aca="false">IF(B1957=0,"",IF(INDEX(Bank!$C:$C,B1957)="","",INDEX(Bank!$C:$C,B1957)))</f>
        <v/>
      </c>
      <c r="G1957" s="19" t="str">
        <f aca="false">IF(B1957=0,"",INDEX(Bank!$E:$E,B1957))</f>
        <v/>
      </c>
      <c r="H1957" s="5" t="str">
        <f aca="false">IF(B1957=0,"",IF(INDEX(Bank!$H:$H,B1957)="","",INDEX(Bank!$H:$H,B1957)))</f>
        <v/>
      </c>
      <c r="I1957" s="5" t="n">
        <f aca="false">IF(H1957="",0,IFERROR(MATCH(H1957,GL!$A:$A,0),0))</f>
        <v>0</v>
      </c>
      <c r="J1957" s="32" t="str">
        <f aca="false">IF(I1957=0,"",INDEX(GL!$B:$B,I1957))</f>
        <v/>
      </c>
      <c r="K1957" s="5" t="str">
        <f aca="false">IF(I1957=0,"",IF(INDEX(GL!$C:$C,I1957)="","",INDEX(GL!$C:$C,I1957)))</f>
        <v/>
      </c>
      <c r="L1957" s="19" t="str">
        <f aca="false">IF(I1957=0,"",INDEX(GL!$E:$E,I1957))</f>
        <v/>
      </c>
      <c r="M1957" s="19" t="str">
        <f aca="false">IF(OR(B1957=0,I1957=0),"",ROUND(G1957-L1957,2))</f>
        <v/>
      </c>
      <c r="N1957" s="5" t="str">
        <f aca="false">IF(A1957="","",IF(B1957=0,"NOT FOUND: bank ID",IF(I1957=0,"NOT FOUND: GL ID",IF(INDEX(GL!$H:$H,I1957)&lt;&gt;A1957,"BROKEN: GL points elsewhere",IF(OR(INDEX(Bank!$F:$F,B1957)&lt;&gt;"Y",INDEX(GL!$F:$F,I1957)&lt;&gt;"Y"),"BROKEN: Status not Y","OK")))))</f>
        <v/>
      </c>
    </row>
    <row r="1958" customFormat="false" ht="15" hidden="false" customHeight="false" outlineLevel="0" collapsed="false">
      <c r="A1958" s="41"/>
      <c r="B1958" s="5" t="n">
        <f aca="false">IF(A1958="",0,IFERROR(MATCH(A1958,Bank!$A:$A,0),0))</f>
        <v>0</v>
      </c>
      <c r="C1958" s="5" t="str">
        <f aca="false">IF(B1958=0,"",IF(INDEX(Bank!$G:$G,B1958)="","",INDEX(Bank!$G:$G,B1958)))</f>
        <v/>
      </c>
      <c r="D1958" s="5" t="str">
        <f aca="false">IF(B1958=0,"",IF(INDEX(Bank!$J:$J,B1958)="","",INDEX(Bank!$J:$J,B1958)))</f>
        <v/>
      </c>
      <c r="E1958" s="32" t="str">
        <f aca="false">IF(B1958=0,"",INDEX(Bank!$B:$B,B1958))</f>
        <v/>
      </c>
      <c r="F1958" s="5" t="str">
        <f aca="false">IF(B1958=0,"",IF(INDEX(Bank!$C:$C,B1958)="","",INDEX(Bank!$C:$C,B1958)))</f>
        <v/>
      </c>
      <c r="G1958" s="19" t="str">
        <f aca="false">IF(B1958=0,"",INDEX(Bank!$E:$E,B1958))</f>
        <v/>
      </c>
      <c r="H1958" s="5" t="str">
        <f aca="false">IF(B1958=0,"",IF(INDEX(Bank!$H:$H,B1958)="","",INDEX(Bank!$H:$H,B1958)))</f>
        <v/>
      </c>
      <c r="I1958" s="5" t="n">
        <f aca="false">IF(H1958="",0,IFERROR(MATCH(H1958,GL!$A:$A,0),0))</f>
        <v>0</v>
      </c>
      <c r="J1958" s="32" t="str">
        <f aca="false">IF(I1958=0,"",INDEX(GL!$B:$B,I1958))</f>
        <v/>
      </c>
      <c r="K1958" s="5" t="str">
        <f aca="false">IF(I1958=0,"",IF(INDEX(GL!$C:$C,I1958)="","",INDEX(GL!$C:$C,I1958)))</f>
        <v/>
      </c>
      <c r="L1958" s="19" t="str">
        <f aca="false">IF(I1958=0,"",INDEX(GL!$E:$E,I1958))</f>
        <v/>
      </c>
      <c r="M1958" s="19" t="str">
        <f aca="false">IF(OR(B1958=0,I1958=0),"",ROUND(G1958-L1958,2))</f>
        <v/>
      </c>
      <c r="N1958" s="5" t="str">
        <f aca="false">IF(A1958="","",IF(B1958=0,"NOT FOUND: bank ID",IF(I1958=0,"NOT FOUND: GL ID",IF(INDEX(GL!$H:$H,I1958)&lt;&gt;A1958,"BROKEN: GL points elsewhere",IF(OR(INDEX(Bank!$F:$F,B1958)&lt;&gt;"Y",INDEX(GL!$F:$F,I1958)&lt;&gt;"Y"),"BROKEN: Status not Y","OK")))))</f>
        <v/>
      </c>
    </row>
    <row r="1959" customFormat="false" ht="15" hidden="false" customHeight="false" outlineLevel="0" collapsed="false">
      <c r="A1959" s="41"/>
      <c r="B1959" s="5" t="n">
        <f aca="false">IF(A1959="",0,IFERROR(MATCH(A1959,Bank!$A:$A,0),0))</f>
        <v>0</v>
      </c>
      <c r="C1959" s="5" t="str">
        <f aca="false">IF(B1959=0,"",IF(INDEX(Bank!$G:$G,B1959)="","",INDEX(Bank!$G:$G,B1959)))</f>
        <v/>
      </c>
      <c r="D1959" s="5" t="str">
        <f aca="false">IF(B1959=0,"",IF(INDEX(Bank!$J:$J,B1959)="","",INDEX(Bank!$J:$J,B1959)))</f>
        <v/>
      </c>
      <c r="E1959" s="32" t="str">
        <f aca="false">IF(B1959=0,"",INDEX(Bank!$B:$B,B1959))</f>
        <v/>
      </c>
      <c r="F1959" s="5" t="str">
        <f aca="false">IF(B1959=0,"",IF(INDEX(Bank!$C:$C,B1959)="","",INDEX(Bank!$C:$C,B1959)))</f>
        <v/>
      </c>
      <c r="G1959" s="19" t="str">
        <f aca="false">IF(B1959=0,"",INDEX(Bank!$E:$E,B1959))</f>
        <v/>
      </c>
      <c r="H1959" s="5" t="str">
        <f aca="false">IF(B1959=0,"",IF(INDEX(Bank!$H:$H,B1959)="","",INDEX(Bank!$H:$H,B1959)))</f>
        <v/>
      </c>
      <c r="I1959" s="5" t="n">
        <f aca="false">IF(H1959="",0,IFERROR(MATCH(H1959,GL!$A:$A,0),0))</f>
        <v>0</v>
      </c>
      <c r="J1959" s="32" t="str">
        <f aca="false">IF(I1959=0,"",INDEX(GL!$B:$B,I1959))</f>
        <v/>
      </c>
      <c r="K1959" s="5" t="str">
        <f aca="false">IF(I1959=0,"",IF(INDEX(GL!$C:$C,I1959)="","",INDEX(GL!$C:$C,I1959)))</f>
        <v/>
      </c>
      <c r="L1959" s="19" t="str">
        <f aca="false">IF(I1959=0,"",INDEX(GL!$E:$E,I1959))</f>
        <v/>
      </c>
      <c r="M1959" s="19" t="str">
        <f aca="false">IF(OR(B1959=0,I1959=0),"",ROUND(G1959-L1959,2))</f>
        <v/>
      </c>
      <c r="N1959" s="5" t="str">
        <f aca="false">IF(A1959="","",IF(B1959=0,"NOT FOUND: bank ID",IF(I1959=0,"NOT FOUND: GL ID",IF(INDEX(GL!$H:$H,I1959)&lt;&gt;A1959,"BROKEN: GL points elsewhere",IF(OR(INDEX(Bank!$F:$F,B1959)&lt;&gt;"Y",INDEX(GL!$F:$F,I1959)&lt;&gt;"Y"),"BROKEN: Status not Y","OK")))))</f>
        <v/>
      </c>
    </row>
    <row r="1960" customFormat="false" ht="15" hidden="false" customHeight="false" outlineLevel="0" collapsed="false">
      <c r="A1960" s="41"/>
      <c r="B1960" s="5" t="n">
        <f aca="false">IF(A1960="",0,IFERROR(MATCH(A1960,Bank!$A:$A,0),0))</f>
        <v>0</v>
      </c>
      <c r="C1960" s="5" t="str">
        <f aca="false">IF(B1960=0,"",IF(INDEX(Bank!$G:$G,B1960)="","",INDEX(Bank!$G:$G,B1960)))</f>
        <v/>
      </c>
      <c r="D1960" s="5" t="str">
        <f aca="false">IF(B1960=0,"",IF(INDEX(Bank!$J:$J,B1960)="","",INDEX(Bank!$J:$J,B1960)))</f>
        <v/>
      </c>
      <c r="E1960" s="32" t="str">
        <f aca="false">IF(B1960=0,"",INDEX(Bank!$B:$B,B1960))</f>
        <v/>
      </c>
      <c r="F1960" s="5" t="str">
        <f aca="false">IF(B1960=0,"",IF(INDEX(Bank!$C:$C,B1960)="","",INDEX(Bank!$C:$C,B1960)))</f>
        <v/>
      </c>
      <c r="G1960" s="19" t="str">
        <f aca="false">IF(B1960=0,"",INDEX(Bank!$E:$E,B1960))</f>
        <v/>
      </c>
      <c r="H1960" s="5" t="str">
        <f aca="false">IF(B1960=0,"",IF(INDEX(Bank!$H:$H,B1960)="","",INDEX(Bank!$H:$H,B1960)))</f>
        <v/>
      </c>
      <c r="I1960" s="5" t="n">
        <f aca="false">IF(H1960="",0,IFERROR(MATCH(H1960,GL!$A:$A,0),0))</f>
        <v>0</v>
      </c>
      <c r="J1960" s="32" t="str">
        <f aca="false">IF(I1960=0,"",INDEX(GL!$B:$B,I1960))</f>
        <v/>
      </c>
      <c r="K1960" s="5" t="str">
        <f aca="false">IF(I1960=0,"",IF(INDEX(GL!$C:$C,I1960)="","",INDEX(GL!$C:$C,I1960)))</f>
        <v/>
      </c>
      <c r="L1960" s="19" t="str">
        <f aca="false">IF(I1960=0,"",INDEX(GL!$E:$E,I1960))</f>
        <v/>
      </c>
      <c r="M1960" s="19" t="str">
        <f aca="false">IF(OR(B1960=0,I1960=0),"",ROUND(G1960-L1960,2))</f>
        <v/>
      </c>
      <c r="N1960" s="5" t="str">
        <f aca="false">IF(A1960="","",IF(B1960=0,"NOT FOUND: bank ID",IF(I1960=0,"NOT FOUND: GL ID",IF(INDEX(GL!$H:$H,I1960)&lt;&gt;A1960,"BROKEN: GL points elsewhere",IF(OR(INDEX(Bank!$F:$F,B1960)&lt;&gt;"Y",INDEX(GL!$F:$F,I1960)&lt;&gt;"Y"),"BROKEN: Status not Y","OK")))))</f>
        <v/>
      </c>
    </row>
    <row r="1961" customFormat="false" ht="15" hidden="false" customHeight="false" outlineLevel="0" collapsed="false">
      <c r="A1961" s="41"/>
      <c r="B1961" s="5" t="n">
        <f aca="false">IF(A1961="",0,IFERROR(MATCH(A1961,Bank!$A:$A,0),0))</f>
        <v>0</v>
      </c>
      <c r="C1961" s="5" t="str">
        <f aca="false">IF(B1961=0,"",IF(INDEX(Bank!$G:$G,B1961)="","",INDEX(Bank!$G:$G,B1961)))</f>
        <v/>
      </c>
      <c r="D1961" s="5" t="str">
        <f aca="false">IF(B1961=0,"",IF(INDEX(Bank!$J:$J,B1961)="","",INDEX(Bank!$J:$J,B1961)))</f>
        <v/>
      </c>
      <c r="E1961" s="32" t="str">
        <f aca="false">IF(B1961=0,"",INDEX(Bank!$B:$B,B1961))</f>
        <v/>
      </c>
      <c r="F1961" s="5" t="str">
        <f aca="false">IF(B1961=0,"",IF(INDEX(Bank!$C:$C,B1961)="","",INDEX(Bank!$C:$C,B1961)))</f>
        <v/>
      </c>
      <c r="G1961" s="19" t="str">
        <f aca="false">IF(B1961=0,"",INDEX(Bank!$E:$E,B1961))</f>
        <v/>
      </c>
      <c r="H1961" s="5" t="str">
        <f aca="false">IF(B1961=0,"",IF(INDEX(Bank!$H:$H,B1961)="","",INDEX(Bank!$H:$H,B1961)))</f>
        <v/>
      </c>
      <c r="I1961" s="5" t="n">
        <f aca="false">IF(H1961="",0,IFERROR(MATCH(H1961,GL!$A:$A,0),0))</f>
        <v>0</v>
      </c>
      <c r="J1961" s="32" t="str">
        <f aca="false">IF(I1961=0,"",INDEX(GL!$B:$B,I1961))</f>
        <v/>
      </c>
      <c r="K1961" s="5" t="str">
        <f aca="false">IF(I1961=0,"",IF(INDEX(GL!$C:$C,I1961)="","",INDEX(GL!$C:$C,I1961)))</f>
        <v/>
      </c>
      <c r="L1961" s="19" t="str">
        <f aca="false">IF(I1961=0,"",INDEX(GL!$E:$E,I1961))</f>
        <v/>
      </c>
      <c r="M1961" s="19" t="str">
        <f aca="false">IF(OR(B1961=0,I1961=0),"",ROUND(G1961-L1961,2))</f>
        <v/>
      </c>
      <c r="N1961" s="5" t="str">
        <f aca="false">IF(A1961="","",IF(B1961=0,"NOT FOUND: bank ID",IF(I1961=0,"NOT FOUND: GL ID",IF(INDEX(GL!$H:$H,I1961)&lt;&gt;A1961,"BROKEN: GL points elsewhere",IF(OR(INDEX(Bank!$F:$F,B1961)&lt;&gt;"Y",INDEX(GL!$F:$F,I1961)&lt;&gt;"Y"),"BROKEN: Status not Y","OK")))))</f>
        <v/>
      </c>
    </row>
    <row r="1962" customFormat="false" ht="15" hidden="false" customHeight="false" outlineLevel="0" collapsed="false">
      <c r="A1962" s="41"/>
      <c r="B1962" s="5" t="n">
        <f aca="false">IF(A1962="",0,IFERROR(MATCH(A1962,Bank!$A:$A,0),0))</f>
        <v>0</v>
      </c>
      <c r="C1962" s="5" t="str">
        <f aca="false">IF(B1962=0,"",IF(INDEX(Bank!$G:$G,B1962)="","",INDEX(Bank!$G:$G,B1962)))</f>
        <v/>
      </c>
      <c r="D1962" s="5" t="str">
        <f aca="false">IF(B1962=0,"",IF(INDEX(Bank!$J:$J,B1962)="","",INDEX(Bank!$J:$J,B1962)))</f>
        <v/>
      </c>
      <c r="E1962" s="32" t="str">
        <f aca="false">IF(B1962=0,"",INDEX(Bank!$B:$B,B1962))</f>
        <v/>
      </c>
      <c r="F1962" s="5" t="str">
        <f aca="false">IF(B1962=0,"",IF(INDEX(Bank!$C:$C,B1962)="","",INDEX(Bank!$C:$C,B1962)))</f>
        <v/>
      </c>
      <c r="G1962" s="19" t="str">
        <f aca="false">IF(B1962=0,"",INDEX(Bank!$E:$E,B1962))</f>
        <v/>
      </c>
      <c r="H1962" s="5" t="str">
        <f aca="false">IF(B1962=0,"",IF(INDEX(Bank!$H:$H,B1962)="","",INDEX(Bank!$H:$H,B1962)))</f>
        <v/>
      </c>
      <c r="I1962" s="5" t="n">
        <f aca="false">IF(H1962="",0,IFERROR(MATCH(H1962,GL!$A:$A,0),0))</f>
        <v>0</v>
      </c>
      <c r="J1962" s="32" t="str">
        <f aca="false">IF(I1962=0,"",INDEX(GL!$B:$B,I1962))</f>
        <v/>
      </c>
      <c r="K1962" s="5" t="str">
        <f aca="false">IF(I1962=0,"",IF(INDEX(GL!$C:$C,I1962)="","",INDEX(GL!$C:$C,I1962)))</f>
        <v/>
      </c>
      <c r="L1962" s="19" t="str">
        <f aca="false">IF(I1962=0,"",INDEX(GL!$E:$E,I1962))</f>
        <v/>
      </c>
      <c r="M1962" s="19" t="str">
        <f aca="false">IF(OR(B1962=0,I1962=0),"",ROUND(G1962-L1962,2))</f>
        <v/>
      </c>
      <c r="N1962" s="5" t="str">
        <f aca="false">IF(A1962="","",IF(B1962=0,"NOT FOUND: bank ID",IF(I1962=0,"NOT FOUND: GL ID",IF(INDEX(GL!$H:$H,I1962)&lt;&gt;A1962,"BROKEN: GL points elsewhere",IF(OR(INDEX(Bank!$F:$F,B1962)&lt;&gt;"Y",INDEX(GL!$F:$F,I1962)&lt;&gt;"Y"),"BROKEN: Status not Y","OK")))))</f>
        <v/>
      </c>
    </row>
    <row r="1963" customFormat="false" ht="15" hidden="false" customHeight="false" outlineLevel="0" collapsed="false">
      <c r="A1963" s="41"/>
      <c r="B1963" s="5" t="n">
        <f aca="false">IF(A1963="",0,IFERROR(MATCH(A1963,Bank!$A:$A,0),0))</f>
        <v>0</v>
      </c>
      <c r="C1963" s="5" t="str">
        <f aca="false">IF(B1963=0,"",IF(INDEX(Bank!$G:$G,B1963)="","",INDEX(Bank!$G:$G,B1963)))</f>
        <v/>
      </c>
      <c r="D1963" s="5" t="str">
        <f aca="false">IF(B1963=0,"",IF(INDEX(Bank!$J:$J,B1963)="","",INDEX(Bank!$J:$J,B1963)))</f>
        <v/>
      </c>
      <c r="E1963" s="32" t="str">
        <f aca="false">IF(B1963=0,"",INDEX(Bank!$B:$B,B1963))</f>
        <v/>
      </c>
      <c r="F1963" s="5" t="str">
        <f aca="false">IF(B1963=0,"",IF(INDEX(Bank!$C:$C,B1963)="","",INDEX(Bank!$C:$C,B1963)))</f>
        <v/>
      </c>
      <c r="G1963" s="19" t="str">
        <f aca="false">IF(B1963=0,"",INDEX(Bank!$E:$E,B1963))</f>
        <v/>
      </c>
      <c r="H1963" s="5" t="str">
        <f aca="false">IF(B1963=0,"",IF(INDEX(Bank!$H:$H,B1963)="","",INDEX(Bank!$H:$H,B1963)))</f>
        <v/>
      </c>
      <c r="I1963" s="5" t="n">
        <f aca="false">IF(H1963="",0,IFERROR(MATCH(H1963,GL!$A:$A,0),0))</f>
        <v>0</v>
      </c>
      <c r="J1963" s="32" t="str">
        <f aca="false">IF(I1963=0,"",INDEX(GL!$B:$B,I1963))</f>
        <v/>
      </c>
      <c r="K1963" s="5" t="str">
        <f aca="false">IF(I1963=0,"",IF(INDEX(GL!$C:$C,I1963)="","",INDEX(GL!$C:$C,I1963)))</f>
        <v/>
      </c>
      <c r="L1963" s="19" t="str">
        <f aca="false">IF(I1963=0,"",INDEX(GL!$E:$E,I1963))</f>
        <v/>
      </c>
      <c r="M1963" s="19" t="str">
        <f aca="false">IF(OR(B1963=0,I1963=0),"",ROUND(G1963-L1963,2))</f>
        <v/>
      </c>
      <c r="N1963" s="5" t="str">
        <f aca="false">IF(A1963="","",IF(B1963=0,"NOT FOUND: bank ID",IF(I1963=0,"NOT FOUND: GL ID",IF(INDEX(GL!$H:$H,I1963)&lt;&gt;A1963,"BROKEN: GL points elsewhere",IF(OR(INDEX(Bank!$F:$F,B1963)&lt;&gt;"Y",INDEX(GL!$F:$F,I1963)&lt;&gt;"Y"),"BROKEN: Status not Y","OK")))))</f>
        <v/>
      </c>
    </row>
    <row r="1964" customFormat="false" ht="15" hidden="false" customHeight="false" outlineLevel="0" collapsed="false">
      <c r="A1964" s="41"/>
      <c r="B1964" s="5" t="n">
        <f aca="false">IF(A1964="",0,IFERROR(MATCH(A1964,Bank!$A:$A,0),0))</f>
        <v>0</v>
      </c>
      <c r="C1964" s="5" t="str">
        <f aca="false">IF(B1964=0,"",IF(INDEX(Bank!$G:$G,B1964)="","",INDEX(Bank!$G:$G,B1964)))</f>
        <v/>
      </c>
      <c r="D1964" s="5" t="str">
        <f aca="false">IF(B1964=0,"",IF(INDEX(Bank!$J:$J,B1964)="","",INDEX(Bank!$J:$J,B1964)))</f>
        <v/>
      </c>
      <c r="E1964" s="32" t="str">
        <f aca="false">IF(B1964=0,"",INDEX(Bank!$B:$B,B1964))</f>
        <v/>
      </c>
      <c r="F1964" s="5" t="str">
        <f aca="false">IF(B1964=0,"",IF(INDEX(Bank!$C:$C,B1964)="","",INDEX(Bank!$C:$C,B1964)))</f>
        <v/>
      </c>
      <c r="G1964" s="19" t="str">
        <f aca="false">IF(B1964=0,"",INDEX(Bank!$E:$E,B1964))</f>
        <v/>
      </c>
      <c r="H1964" s="5" t="str">
        <f aca="false">IF(B1964=0,"",IF(INDEX(Bank!$H:$H,B1964)="","",INDEX(Bank!$H:$H,B1964)))</f>
        <v/>
      </c>
      <c r="I1964" s="5" t="n">
        <f aca="false">IF(H1964="",0,IFERROR(MATCH(H1964,GL!$A:$A,0),0))</f>
        <v>0</v>
      </c>
      <c r="J1964" s="32" t="str">
        <f aca="false">IF(I1964=0,"",INDEX(GL!$B:$B,I1964))</f>
        <v/>
      </c>
      <c r="K1964" s="5" t="str">
        <f aca="false">IF(I1964=0,"",IF(INDEX(GL!$C:$C,I1964)="","",INDEX(GL!$C:$C,I1964)))</f>
        <v/>
      </c>
      <c r="L1964" s="19" t="str">
        <f aca="false">IF(I1964=0,"",INDEX(GL!$E:$E,I1964))</f>
        <v/>
      </c>
      <c r="M1964" s="19" t="str">
        <f aca="false">IF(OR(B1964=0,I1964=0),"",ROUND(G1964-L1964,2))</f>
        <v/>
      </c>
      <c r="N1964" s="5" t="str">
        <f aca="false">IF(A1964="","",IF(B1964=0,"NOT FOUND: bank ID",IF(I1964=0,"NOT FOUND: GL ID",IF(INDEX(GL!$H:$H,I1964)&lt;&gt;A1964,"BROKEN: GL points elsewhere",IF(OR(INDEX(Bank!$F:$F,B1964)&lt;&gt;"Y",INDEX(GL!$F:$F,I1964)&lt;&gt;"Y"),"BROKEN: Status not Y","OK")))))</f>
        <v/>
      </c>
    </row>
    <row r="1965" customFormat="false" ht="15" hidden="false" customHeight="false" outlineLevel="0" collapsed="false">
      <c r="A1965" s="41"/>
      <c r="B1965" s="5" t="n">
        <f aca="false">IF(A1965="",0,IFERROR(MATCH(A1965,Bank!$A:$A,0),0))</f>
        <v>0</v>
      </c>
      <c r="C1965" s="5" t="str">
        <f aca="false">IF(B1965=0,"",IF(INDEX(Bank!$G:$G,B1965)="","",INDEX(Bank!$G:$G,B1965)))</f>
        <v/>
      </c>
      <c r="D1965" s="5" t="str">
        <f aca="false">IF(B1965=0,"",IF(INDEX(Bank!$J:$J,B1965)="","",INDEX(Bank!$J:$J,B1965)))</f>
        <v/>
      </c>
      <c r="E1965" s="32" t="str">
        <f aca="false">IF(B1965=0,"",INDEX(Bank!$B:$B,B1965))</f>
        <v/>
      </c>
      <c r="F1965" s="5" t="str">
        <f aca="false">IF(B1965=0,"",IF(INDEX(Bank!$C:$C,B1965)="","",INDEX(Bank!$C:$C,B1965)))</f>
        <v/>
      </c>
      <c r="G1965" s="19" t="str">
        <f aca="false">IF(B1965=0,"",INDEX(Bank!$E:$E,B1965))</f>
        <v/>
      </c>
      <c r="H1965" s="5" t="str">
        <f aca="false">IF(B1965=0,"",IF(INDEX(Bank!$H:$H,B1965)="","",INDEX(Bank!$H:$H,B1965)))</f>
        <v/>
      </c>
      <c r="I1965" s="5" t="n">
        <f aca="false">IF(H1965="",0,IFERROR(MATCH(H1965,GL!$A:$A,0),0))</f>
        <v>0</v>
      </c>
      <c r="J1965" s="32" t="str">
        <f aca="false">IF(I1965=0,"",INDEX(GL!$B:$B,I1965))</f>
        <v/>
      </c>
      <c r="K1965" s="5" t="str">
        <f aca="false">IF(I1965=0,"",IF(INDEX(GL!$C:$C,I1965)="","",INDEX(GL!$C:$C,I1965)))</f>
        <v/>
      </c>
      <c r="L1965" s="19" t="str">
        <f aca="false">IF(I1965=0,"",INDEX(GL!$E:$E,I1965))</f>
        <v/>
      </c>
      <c r="M1965" s="19" t="str">
        <f aca="false">IF(OR(B1965=0,I1965=0),"",ROUND(G1965-L1965,2))</f>
        <v/>
      </c>
      <c r="N1965" s="5" t="str">
        <f aca="false">IF(A1965="","",IF(B1965=0,"NOT FOUND: bank ID",IF(I1965=0,"NOT FOUND: GL ID",IF(INDEX(GL!$H:$H,I1965)&lt;&gt;A1965,"BROKEN: GL points elsewhere",IF(OR(INDEX(Bank!$F:$F,B1965)&lt;&gt;"Y",INDEX(GL!$F:$F,I1965)&lt;&gt;"Y"),"BROKEN: Status not Y","OK")))))</f>
        <v/>
      </c>
    </row>
    <row r="1966" customFormat="false" ht="15" hidden="false" customHeight="false" outlineLevel="0" collapsed="false">
      <c r="A1966" s="41"/>
      <c r="B1966" s="5" t="n">
        <f aca="false">IF(A1966="",0,IFERROR(MATCH(A1966,Bank!$A:$A,0),0))</f>
        <v>0</v>
      </c>
      <c r="C1966" s="5" t="str">
        <f aca="false">IF(B1966=0,"",IF(INDEX(Bank!$G:$G,B1966)="","",INDEX(Bank!$G:$G,B1966)))</f>
        <v/>
      </c>
      <c r="D1966" s="5" t="str">
        <f aca="false">IF(B1966=0,"",IF(INDEX(Bank!$J:$J,B1966)="","",INDEX(Bank!$J:$J,B1966)))</f>
        <v/>
      </c>
      <c r="E1966" s="32" t="str">
        <f aca="false">IF(B1966=0,"",INDEX(Bank!$B:$B,B1966))</f>
        <v/>
      </c>
      <c r="F1966" s="5" t="str">
        <f aca="false">IF(B1966=0,"",IF(INDEX(Bank!$C:$C,B1966)="","",INDEX(Bank!$C:$C,B1966)))</f>
        <v/>
      </c>
      <c r="G1966" s="19" t="str">
        <f aca="false">IF(B1966=0,"",INDEX(Bank!$E:$E,B1966))</f>
        <v/>
      </c>
      <c r="H1966" s="5" t="str">
        <f aca="false">IF(B1966=0,"",IF(INDEX(Bank!$H:$H,B1966)="","",INDEX(Bank!$H:$H,B1966)))</f>
        <v/>
      </c>
      <c r="I1966" s="5" t="n">
        <f aca="false">IF(H1966="",0,IFERROR(MATCH(H1966,GL!$A:$A,0),0))</f>
        <v>0</v>
      </c>
      <c r="J1966" s="32" t="str">
        <f aca="false">IF(I1966=0,"",INDEX(GL!$B:$B,I1966))</f>
        <v/>
      </c>
      <c r="K1966" s="5" t="str">
        <f aca="false">IF(I1966=0,"",IF(INDEX(GL!$C:$C,I1966)="","",INDEX(GL!$C:$C,I1966)))</f>
        <v/>
      </c>
      <c r="L1966" s="19" t="str">
        <f aca="false">IF(I1966=0,"",INDEX(GL!$E:$E,I1966))</f>
        <v/>
      </c>
      <c r="M1966" s="19" t="str">
        <f aca="false">IF(OR(B1966=0,I1966=0),"",ROUND(G1966-L1966,2))</f>
        <v/>
      </c>
      <c r="N1966" s="5" t="str">
        <f aca="false">IF(A1966="","",IF(B1966=0,"NOT FOUND: bank ID",IF(I1966=0,"NOT FOUND: GL ID",IF(INDEX(GL!$H:$H,I1966)&lt;&gt;A1966,"BROKEN: GL points elsewhere",IF(OR(INDEX(Bank!$F:$F,B1966)&lt;&gt;"Y",INDEX(GL!$F:$F,I1966)&lt;&gt;"Y"),"BROKEN: Status not Y","OK")))))</f>
        <v/>
      </c>
    </row>
    <row r="1967" customFormat="false" ht="15" hidden="false" customHeight="false" outlineLevel="0" collapsed="false">
      <c r="A1967" s="41"/>
      <c r="B1967" s="5" t="n">
        <f aca="false">IF(A1967="",0,IFERROR(MATCH(A1967,Bank!$A:$A,0),0))</f>
        <v>0</v>
      </c>
      <c r="C1967" s="5" t="str">
        <f aca="false">IF(B1967=0,"",IF(INDEX(Bank!$G:$G,B1967)="","",INDEX(Bank!$G:$G,B1967)))</f>
        <v/>
      </c>
      <c r="D1967" s="5" t="str">
        <f aca="false">IF(B1967=0,"",IF(INDEX(Bank!$J:$J,B1967)="","",INDEX(Bank!$J:$J,B1967)))</f>
        <v/>
      </c>
      <c r="E1967" s="32" t="str">
        <f aca="false">IF(B1967=0,"",INDEX(Bank!$B:$B,B1967))</f>
        <v/>
      </c>
      <c r="F1967" s="5" t="str">
        <f aca="false">IF(B1967=0,"",IF(INDEX(Bank!$C:$C,B1967)="","",INDEX(Bank!$C:$C,B1967)))</f>
        <v/>
      </c>
      <c r="G1967" s="19" t="str">
        <f aca="false">IF(B1967=0,"",INDEX(Bank!$E:$E,B1967))</f>
        <v/>
      </c>
      <c r="H1967" s="5" t="str">
        <f aca="false">IF(B1967=0,"",IF(INDEX(Bank!$H:$H,B1967)="","",INDEX(Bank!$H:$H,B1967)))</f>
        <v/>
      </c>
      <c r="I1967" s="5" t="n">
        <f aca="false">IF(H1967="",0,IFERROR(MATCH(H1967,GL!$A:$A,0),0))</f>
        <v>0</v>
      </c>
      <c r="J1967" s="32" t="str">
        <f aca="false">IF(I1967=0,"",INDEX(GL!$B:$B,I1967))</f>
        <v/>
      </c>
      <c r="K1967" s="5" t="str">
        <f aca="false">IF(I1967=0,"",IF(INDEX(GL!$C:$C,I1967)="","",INDEX(GL!$C:$C,I1967)))</f>
        <v/>
      </c>
      <c r="L1967" s="19" t="str">
        <f aca="false">IF(I1967=0,"",INDEX(GL!$E:$E,I1967))</f>
        <v/>
      </c>
      <c r="M1967" s="19" t="str">
        <f aca="false">IF(OR(B1967=0,I1967=0),"",ROUND(G1967-L1967,2))</f>
        <v/>
      </c>
      <c r="N1967" s="5" t="str">
        <f aca="false">IF(A1967="","",IF(B1967=0,"NOT FOUND: bank ID",IF(I1967=0,"NOT FOUND: GL ID",IF(INDEX(GL!$H:$H,I1967)&lt;&gt;A1967,"BROKEN: GL points elsewhere",IF(OR(INDEX(Bank!$F:$F,B1967)&lt;&gt;"Y",INDEX(GL!$F:$F,I1967)&lt;&gt;"Y"),"BROKEN: Status not Y","OK")))))</f>
        <v/>
      </c>
    </row>
    <row r="1968" customFormat="false" ht="15" hidden="false" customHeight="false" outlineLevel="0" collapsed="false">
      <c r="A1968" s="41"/>
      <c r="B1968" s="5" t="n">
        <f aca="false">IF(A1968="",0,IFERROR(MATCH(A1968,Bank!$A:$A,0),0))</f>
        <v>0</v>
      </c>
      <c r="C1968" s="5" t="str">
        <f aca="false">IF(B1968=0,"",IF(INDEX(Bank!$G:$G,B1968)="","",INDEX(Bank!$G:$G,B1968)))</f>
        <v/>
      </c>
      <c r="D1968" s="5" t="str">
        <f aca="false">IF(B1968=0,"",IF(INDEX(Bank!$J:$J,B1968)="","",INDEX(Bank!$J:$J,B1968)))</f>
        <v/>
      </c>
      <c r="E1968" s="32" t="str">
        <f aca="false">IF(B1968=0,"",INDEX(Bank!$B:$B,B1968))</f>
        <v/>
      </c>
      <c r="F1968" s="5" t="str">
        <f aca="false">IF(B1968=0,"",IF(INDEX(Bank!$C:$C,B1968)="","",INDEX(Bank!$C:$C,B1968)))</f>
        <v/>
      </c>
      <c r="G1968" s="19" t="str">
        <f aca="false">IF(B1968=0,"",INDEX(Bank!$E:$E,B1968))</f>
        <v/>
      </c>
      <c r="H1968" s="5" t="str">
        <f aca="false">IF(B1968=0,"",IF(INDEX(Bank!$H:$H,B1968)="","",INDEX(Bank!$H:$H,B1968)))</f>
        <v/>
      </c>
      <c r="I1968" s="5" t="n">
        <f aca="false">IF(H1968="",0,IFERROR(MATCH(H1968,GL!$A:$A,0),0))</f>
        <v>0</v>
      </c>
      <c r="J1968" s="32" t="str">
        <f aca="false">IF(I1968=0,"",INDEX(GL!$B:$B,I1968))</f>
        <v/>
      </c>
      <c r="K1968" s="5" t="str">
        <f aca="false">IF(I1968=0,"",IF(INDEX(GL!$C:$C,I1968)="","",INDEX(GL!$C:$C,I1968)))</f>
        <v/>
      </c>
      <c r="L1968" s="19" t="str">
        <f aca="false">IF(I1968=0,"",INDEX(GL!$E:$E,I1968))</f>
        <v/>
      </c>
      <c r="M1968" s="19" t="str">
        <f aca="false">IF(OR(B1968=0,I1968=0),"",ROUND(G1968-L1968,2))</f>
        <v/>
      </c>
      <c r="N1968" s="5" t="str">
        <f aca="false">IF(A1968="","",IF(B1968=0,"NOT FOUND: bank ID",IF(I1968=0,"NOT FOUND: GL ID",IF(INDEX(GL!$H:$H,I1968)&lt;&gt;A1968,"BROKEN: GL points elsewhere",IF(OR(INDEX(Bank!$F:$F,B1968)&lt;&gt;"Y",INDEX(GL!$F:$F,I1968)&lt;&gt;"Y"),"BROKEN: Status not Y","OK")))))</f>
        <v/>
      </c>
    </row>
    <row r="1969" customFormat="false" ht="15" hidden="false" customHeight="false" outlineLevel="0" collapsed="false">
      <c r="A1969" s="41"/>
      <c r="B1969" s="5" t="n">
        <f aca="false">IF(A1969="",0,IFERROR(MATCH(A1969,Bank!$A:$A,0),0))</f>
        <v>0</v>
      </c>
      <c r="C1969" s="5" t="str">
        <f aca="false">IF(B1969=0,"",IF(INDEX(Bank!$G:$G,B1969)="","",INDEX(Bank!$G:$G,B1969)))</f>
        <v/>
      </c>
      <c r="D1969" s="5" t="str">
        <f aca="false">IF(B1969=0,"",IF(INDEX(Bank!$J:$J,B1969)="","",INDEX(Bank!$J:$J,B1969)))</f>
        <v/>
      </c>
      <c r="E1969" s="32" t="str">
        <f aca="false">IF(B1969=0,"",INDEX(Bank!$B:$B,B1969))</f>
        <v/>
      </c>
      <c r="F1969" s="5" t="str">
        <f aca="false">IF(B1969=0,"",IF(INDEX(Bank!$C:$C,B1969)="","",INDEX(Bank!$C:$C,B1969)))</f>
        <v/>
      </c>
      <c r="G1969" s="19" t="str">
        <f aca="false">IF(B1969=0,"",INDEX(Bank!$E:$E,B1969))</f>
        <v/>
      </c>
      <c r="H1969" s="5" t="str">
        <f aca="false">IF(B1969=0,"",IF(INDEX(Bank!$H:$H,B1969)="","",INDEX(Bank!$H:$H,B1969)))</f>
        <v/>
      </c>
      <c r="I1969" s="5" t="n">
        <f aca="false">IF(H1969="",0,IFERROR(MATCH(H1969,GL!$A:$A,0),0))</f>
        <v>0</v>
      </c>
      <c r="J1969" s="32" t="str">
        <f aca="false">IF(I1969=0,"",INDEX(GL!$B:$B,I1969))</f>
        <v/>
      </c>
      <c r="K1969" s="5" t="str">
        <f aca="false">IF(I1969=0,"",IF(INDEX(GL!$C:$C,I1969)="","",INDEX(GL!$C:$C,I1969)))</f>
        <v/>
      </c>
      <c r="L1969" s="19" t="str">
        <f aca="false">IF(I1969=0,"",INDEX(GL!$E:$E,I1969))</f>
        <v/>
      </c>
      <c r="M1969" s="19" t="str">
        <f aca="false">IF(OR(B1969=0,I1969=0),"",ROUND(G1969-L1969,2))</f>
        <v/>
      </c>
      <c r="N1969" s="5" t="str">
        <f aca="false">IF(A1969="","",IF(B1969=0,"NOT FOUND: bank ID",IF(I1969=0,"NOT FOUND: GL ID",IF(INDEX(GL!$H:$H,I1969)&lt;&gt;A1969,"BROKEN: GL points elsewhere",IF(OR(INDEX(Bank!$F:$F,B1969)&lt;&gt;"Y",INDEX(GL!$F:$F,I1969)&lt;&gt;"Y"),"BROKEN: Status not Y","OK")))))</f>
        <v/>
      </c>
    </row>
    <row r="1970" customFormat="false" ht="15" hidden="false" customHeight="false" outlineLevel="0" collapsed="false">
      <c r="A1970" s="41"/>
      <c r="B1970" s="5" t="n">
        <f aca="false">IF(A1970="",0,IFERROR(MATCH(A1970,Bank!$A:$A,0),0))</f>
        <v>0</v>
      </c>
      <c r="C1970" s="5" t="str">
        <f aca="false">IF(B1970=0,"",IF(INDEX(Bank!$G:$G,B1970)="","",INDEX(Bank!$G:$G,B1970)))</f>
        <v/>
      </c>
      <c r="D1970" s="5" t="str">
        <f aca="false">IF(B1970=0,"",IF(INDEX(Bank!$J:$J,B1970)="","",INDEX(Bank!$J:$J,B1970)))</f>
        <v/>
      </c>
      <c r="E1970" s="32" t="str">
        <f aca="false">IF(B1970=0,"",INDEX(Bank!$B:$B,B1970))</f>
        <v/>
      </c>
      <c r="F1970" s="5" t="str">
        <f aca="false">IF(B1970=0,"",IF(INDEX(Bank!$C:$C,B1970)="","",INDEX(Bank!$C:$C,B1970)))</f>
        <v/>
      </c>
      <c r="G1970" s="19" t="str">
        <f aca="false">IF(B1970=0,"",INDEX(Bank!$E:$E,B1970))</f>
        <v/>
      </c>
      <c r="H1970" s="5" t="str">
        <f aca="false">IF(B1970=0,"",IF(INDEX(Bank!$H:$H,B1970)="","",INDEX(Bank!$H:$H,B1970)))</f>
        <v/>
      </c>
      <c r="I1970" s="5" t="n">
        <f aca="false">IF(H1970="",0,IFERROR(MATCH(H1970,GL!$A:$A,0),0))</f>
        <v>0</v>
      </c>
      <c r="J1970" s="32" t="str">
        <f aca="false">IF(I1970=0,"",INDEX(GL!$B:$B,I1970))</f>
        <v/>
      </c>
      <c r="K1970" s="5" t="str">
        <f aca="false">IF(I1970=0,"",IF(INDEX(GL!$C:$C,I1970)="","",INDEX(GL!$C:$C,I1970)))</f>
        <v/>
      </c>
      <c r="L1970" s="19" t="str">
        <f aca="false">IF(I1970=0,"",INDEX(GL!$E:$E,I1970))</f>
        <v/>
      </c>
      <c r="M1970" s="19" t="str">
        <f aca="false">IF(OR(B1970=0,I1970=0),"",ROUND(G1970-L1970,2))</f>
        <v/>
      </c>
      <c r="N1970" s="5" t="str">
        <f aca="false">IF(A1970="","",IF(B1970=0,"NOT FOUND: bank ID",IF(I1970=0,"NOT FOUND: GL ID",IF(INDEX(GL!$H:$H,I1970)&lt;&gt;A1970,"BROKEN: GL points elsewhere",IF(OR(INDEX(Bank!$F:$F,B1970)&lt;&gt;"Y",INDEX(GL!$F:$F,I1970)&lt;&gt;"Y"),"BROKEN: Status not Y","OK")))))</f>
        <v/>
      </c>
    </row>
    <row r="1971" customFormat="false" ht="15" hidden="false" customHeight="false" outlineLevel="0" collapsed="false">
      <c r="A1971" s="41"/>
      <c r="B1971" s="5" t="n">
        <f aca="false">IF(A1971="",0,IFERROR(MATCH(A1971,Bank!$A:$A,0),0))</f>
        <v>0</v>
      </c>
      <c r="C1971" s="5" t="str">
        <f aca="false">IF(B1971=0,"",IF(INDEX(Bank!$G:$G,B1971)="","",INDEX(Bank!$G:$G,B1971)))</f>
        <v/>
      </c>
      <c r="D1971" s="5" t="str">
        <f aca="false">IF(B1971=0,"",IF(INDEX(Bank!$J:$J,B1971)="","",INDEX(Bank!$J:$J,B1971)))</f>
        <v/>
      </c>
      <c r="E1971" s="32" t="str">
        <f aca="false">IF(B1971=0,"",INDEX(Bank!$B:$B,B1971))</f>
        <v/>
      </c>
      <c r="F1971" s="5" t="str">
        <f aca="false">IF(B1971=0,"",IF(INDEX(Bank!$C:$C,B1971)="","",INDEX(Bank!$C:$C,B1971)))</f>
        <v/>
      </c>
      <c r="G1971" s="19" t="str">
        <f aca="false">IF(B1971=0,"",INDEX(Bank!$E:$E,B1971))</f>
        <v/>
      </c>
      <c r="H1971" s="5" t="str">
        <f aca="false">IF(B1971=0,"",IF(INDEX(Bank!$H:$H,B1971)="","",INDEX(Bank!$H:$H,B1971)))</f>
        <v/>
      </c>
      <c r="I1971" s="5" t="n">
        <f aca="false">IF(H1971="",0,IFERROR(MATCH(H1971,GL!$A:$A,0),0))</f>
        <v>0</v>
      </c>
      <c r="J1971" s="32" t="str">
        <f aca="false">IF(I1971=0,"",INDEX(GL!$B:$B,I1971))</f>
        <v/>
      </c>
      <c r="K1971" s="5" t="str">
        <f aca="false">IF(I1971=0,"",IF(INDEX(GL!$C:$C,I1971)="","",INDEX(GL!$C:$C,I1971)))</f>
        <v/>
      </c>
      <c r="L1971" s="19" t="str">
        <f aca="false">IF(I1971=0,"",INDEX(GL!$E:$E,I1971))</f>
        <v/>
      </c>
      <c r="M1971" s="19" t="str">
        <f aca="false">IF(OR(B1971=0,I1971=0),"",ROUND(G1971-L1971,2))</f>
        <v/>
      </c>
      <c r="N1971" s="5" t="str">
        <f aca="false">IF(A1971="","",IF(B1971=0,"NOT FOUND: bank ID",IF(I1971=0,"NOT FOUND: GL ID",IF(INDEX(GL!$H:$H,I1971)&lt;&gt;A1971,"BROKEN: GL points elsewhere",IF(OR(INDEX(Bank!$F:$F,B1971)&lt;&gt;"Y",INDEX(GL!$F:$F,I1971)&lt;&gt;"Y"),"BROKEN: Status not Y","OK")))))</f>
        <v/>
      </c>
    </row>
    <row r="1972" customFormat="false" ht="15" hidden="false" customHeight="false" outlineLevel="0" collapsed="false">
      <c r="A1972" s="41"/>
      <c r="B1972" s="5" t="n">
        <f aca="false">IF(A1972="",0,IFERROR(MATCH(A1972,Bank!$A:$A,0),0))</f>
        <v>0</v>
      </c>
      <c r="C1972" s="5" t="str">
        <f aca="false">IF(B1972=0,"",IF(INDEX(Bank!$G:$G,B1972)="","",INDEX(Bank!$G:$G,B1972)))</f>
        <v/>
      </c>
      <c r="D1972" s="5" t="str">
        <f aca="false">IF(B1972=0,"",IF(INDEX(Bank!$J:$J,B1972)="","",INDEX(Bank!$J:$J,B1972)))</f>
        <v/>
      </c>
      <c r="E1972" s="32" t="str">
        <f aca="false">IF(B1972=0,"",INDEX(Bank!$B:$B,B1972))</f>
        <v/>
      </c>
      <c r="F1972" s="5" t="str">
        <f aca="false">IF(B1972=0,"",IF(INDEX(Bank!$C:$C,B1972)="","",INDEX(Bank!$C:$C,B1972)))</f>
        <v/>
      </c>
      <c r="G1972" s="19" t="str">
        <f aca="false">IF(B1972=0,"",INDEX(Bank!$E:$E,B1972))</f>
        <v/>
      </c>
      <c r="H1972" s="5" t="str">
        <f aca="false">IF(B1972=0,"",IF(INDEX(Bank!$H:$H,B1972)="","",INDEX(Bank!$H:$H,B1972)))</f>
        <v/>
      </c>
      <c r="I1972" s="5" t="n">
        <f aca="false">IF(H1972="",0,IFERROR(MATCH(H1972,GL!$A:$A,0),0))</f>
        <v>0</v>
      </c>
      <c r="J1972" s="32" t="str">
        <f aca="false">IF(I1972=0,"",INDEX(GL!$B:$B,I1972))</f>
        <v/>
      </c>
      <c r="K1972" s="5" t="str">
        <f aca="false">IF(I1972=0,"",IF(INDEX(GL!$C:$C,I1972)="","",INDEX(GL!$C:$C,I1972)))</f>
        <v/>
      </c>
      <c r="L1972" s="19" t="str">
        <f aca="false">IF(I1972=0,"",INDEX(GL!$E:$E,I1972))</f>
        <v/>
      </c>
      <c r="M1972" s="19" t="str">
        <f aca="false">IF(OR(B1972=0,I1972=0),"",ROUND(G1972-L1972,2))</f>
        <v/>
      </c>
      <c r="N1972" s="5" t="str">
        <f aca="false">IF(A1972="","",IF(B1972=0,"NOT FOUND: bank ID",IF(I1972=0,"NOT FOUND: GL ID",IF(INDEX(GL!$H:$H,I1972)&lt;&gt;A1972,"BROKEN: GL points elsewhere",IF(OR(INDEX(Bank!$F:$F,B1972)&lt;&gt;"Y",INDEX(GL!$F:$F,I1972)&lt;&gt;"Y"),"BROKEN: Status not Y","OK")))))</f>
        <v/>
      </c>
    </row>
    <row r="1973" customFormat="false" ht="15" hidden="false" customHeight="false" outlineLevel="0" collapsed="false">
      <c r="A1973" s="41"/>
      <c r="B1973" s="5" t="n">
        <f aca="false">IF(A1973="",0,IFERROR(MATCH(A1973,Bank!$A:$A,0),0))</f>
        <v>0</v>
      </c>
      <c r="C1973" s="5" t="str">
        <f aca="false">IF(B1973=0,"",IF(INDEX(Bank!$G:$G,B1973)="","",INDEX(Bank!$G:$G,B1973)))</f>
        <v/>
      </c>
      <c r="D1973" s="5" t="str">
        <f aca="false">IF(B1973=0,"",IF(INDEX(Bank!$J:$J,B1973)="","",INDEX(Bank!$J:$J,B1973)))</f>
        <v/>
      </c>
      <c r="E1973" s="32" t="str">
        <f aca="false">IF(B1973=0,"",INDEX(Bank!$B:$B,B1973))</f>
        <v/>
      </c>
      <c r="F1973" s="5" t="str">
        <f aca="false">IF(B1973=0,"",IF(INDEX(Bank!$C:$C,B1973)="","",INDEX(Bank!$C:$C,B1973)))</f>
        <v/>
      </c>
      <c r="G1973" s="19" t="str">
        <f aca="false">IF(B1973=0,"",INDEX(Bank!$E:$E,B1973))</f>
        <v/>
      </c>
      <c r="H1973" s="5" t="str">
        <f aca="false">IF(B1973=0,"",IF(INDEX(Bank!$H:$H,B1973)="","",INDEX(Bank!$H:$H,B1973)))</f>
        <v/>
      </c>
      <c r="I1973" s="5" t="n">
        <f aca="false">IF(H1973="",0,IFERROR(MATCH(H1973,GL!$A:$A,0),0))</f>
        <v>0</v>
      </c>
      <c r="J1973" s="32" t="str">
        <f aca="false">IF(I1973=0,"",INDEX(GL!$B:$B,I1973))</f>
        <v/>
      </c>
      <c r="K1973" s="5" t="str">
        <f aca="false">IF(I1973=0,"",IF(INDEX(GL!$C:$C,I1973)="","",INDEX(GL!$C:$C,I1973)))</f>
        <v/>
      </c>
      <c r="L1973" s="19" t="str">
        <f aca="false">IF(I1973=0,"",INDEX(GL!$E:$E,I1973))</f>
        <v/>
      </c>
      <c r="M1973" s="19" t="str">
        <f aca="false">IF(OR(B1973=0,I1973=0),"",ROUND(G1973-L1973,2))</f>
        <v/>
      </c>
      <c r="N1973" s="5" t="str">
        <f aca="false">IF(A1973="","",IF(B1973=0,"NOT FOUND: bank ID",IF(I1973=0,"NOT FOUND: GL ID",IF(INDEX(GL!$H:$H,I1973)&lt;&gt;A1973,"BROKEN: GL points elsewhere",IF(OR(INDEX(Bank!$F:$F,B1973)&lt;&gt;"Y",INDEX(GL!$F:$F,I1973)&lt;&gt;"Y"),"BROKEN: Status not Y","OK")))))</f>
        <v/>
      </c>
    </row>
    <row r="1974" customFormat="false" ht="15" hidden="false" customHeight="false" outlineLevel="0" collapsed="false">
      <c r="A1974" s="41"/>
      <c r="B1974" s="5" t="n">
        <f aca="false">IF(A1974="",0,IFERROR(MATCH(A1974,Bank!$A:$A,0),0))</f>
        <v>0</v>
      </c>
      <c r="C1974" s="5" t="str">
        <f aca="false">IF(B1974=0,"",IF(INDEX(Bank!$G:$G,B1974)="","",INDEX(Bank!$G:$G,B1974)))</f>
        <v/>
      </c>
      <c r="D1974" s="5" t="str">
        <f aca="false">IF(B1974=0,"",IF(INDEX(Bank!$J:$J,B1974)="","",INDEX(Bank!$J:$J,B1974)))</f>
        <v/>
      </c>
      <c r="E1974" s="32" t="str">
        <f aca="false">IF(B1974=0,"",INDEX(Bank!$B:$B,B1974))</f>
        <v/>
      </c>
      <c r="F1974" s="5" t="str">
        <f aca="false">IF(B1974=0,"",IF(INDEX(Bank!$C:$C,B1974)="","",INDEX(Bank!$C:$C,B1974)))</f>
        <v/>
      </c>
      <c r="G1974" s="19" t="str">
        <f aca="false">IF(B1974=0,"",INDEX(Bank!$E:$E,B1974))</f>
        <v/>
      </c>
      <c r="H1974" s="5" t="str">
        <f aca="false">IF(B1974=0,"",IF(INDEX(Bank!$H:$H,B1974)="","",INDEX(Bank!$H:$H,B1974)))</f>
        <v/>
      </c>
      <c r="I1974" s="5" t="n">
        <f aca="false">IF(H1974="",0,IFERROR(MATCH(H1974,GL!$A:$A,0),0))</f>
        <v>0</v>
      </c>
      <c r="J1974" s="32" t="str">
        <f aca="false">IF(I1974=0,"",INDEX(GL!$B:$B,I1974))</f>
        <v/>
      </c>
      <c r="K1974" s="5" t="str">
        <f aca="false">IF(I1974=0,"",IF(INDEX(GL!$C:$C,I1974)="","",INDEX(GL!$C:$C,I1974)))</f>
        <v/>
      </c>
      <c r="L1974" s="19" t="str">
        <f aca="false">IF(I1974=0,"",INDEX(GL!$E:$E,I1974))</f>
        <v/>
      </c>
      <c r="M1974" s="19" t="str">
        <f aca="false">IF(OR(B1974=0,I1974=0),"",ROUND(G1974-L1974,2))</f>
        <v/>
      </c>
      <c r="N1974" s="5" t="str">
        <f aca="false">IF(A1974="","",IF(B1974=0,"NOT FOUND: bank ID",IF(I1974=0,"NOT FOUND: GL ID",IF(INDEX(GL!$H:$H,I1974)&lt;&gt;A1974,"BROKEN: GL points elsewhere",IF(OR(INDEX(Bank!$F:$F,B1974)&lt;&gt;"Y",INDEX(GL!$F:$F,I1974)&lt;&gt;"Y"),"BROKEN: Status not Y","OK")))))</f>
        <v/>
      </c>
    </row>
    <row r="1975" customFormat="false" ht="15" hidden="false" customHeight="false" outlineLevel="0" collapsed="false">
      <c r="A1975" s="41"/>
      <c r="B1975" s="5" t="n">
        <f aca="false">IF(A1975="",0,IFERROR(MATCH(A1975,Bank!$A:$A,0),0))</f>
        <v>0</v>
      </c>
      <c r="C1975" s="5" t="str">
        <f aca="false">IF(B1975=0,"",IF(INDEX(Bank!$G:$G,B1975)="","",INDEX(Bank!$G:$G,B1975)))</f>
        <v/>
      </c>
      <c r="D1975" s="5" t="str">
        <f aca="false">IF(B1975=0,"",IF(INDEX(Bank!$J:$J,B1975)="","",INDEX(Bank!$J:$J,B1975)))</f>
        <v/>
      </c>
      <c r="E1975" s="32" t="str">
        <f aca="false">IF(B1975=0,"",INDEX(Bank!$B:$B,B1975))</f>
        <v/>
      </c>
      <c r="F1975" s="5" t="str">
        <f aca="false">IF(B1975=0,"",IF(INDEX(Bank!$C:$C,B1975)="","",INDEX(Bank!$C:$C,B1975)))</f>
        <v/>
      </c>
      <c r="G1975" s="19" t="str">
        <f aca="false">IF(B1975=0,"",INDEX(Bank!$E:$E,B1975))</f>
        <v/>
      </c>
      <c r="H1975" s="5" t="str">
        <f aca="false">IF(B1975=0,"",IF(INDEX(Bank!$H:$H,B1975)="","",INDEX(Bank!$H:$H,B1975)))</f>
        <v/>
      </c>
      <c r="I1975" s="5" t="n">
        <f aca="false">IF(H1975="",0,IFERROR(MATCH(H1975,GL!$A:$A,0),0))</f>
        <v>0</v>
      </c>
      <c r="J1975" s="32" t="str">
        <f aca="false">IF(I1975=0,"",INDEX(GL!$B:$B,I1975))</f>
        <v/>
      </c>
      <c r="K1975" s="5" t="str">
        <f aca="false">IF(I1975=0,"",IF(INDEX(GL!$C:$C,I1975)="","",INDEX(GL!$C:$C,I1975)))</f>
        <v/>
      </c>
      <c r="L1975" s="19" t="str">
        <f aca="false">IF(I1975=0,"",INDEX(GL!$E:$E,I1975))</f>
        <v/>
      </c>
      <c r="M1975" s="19" t="str">
        <f aca="false">IF(OR(B1975=0,I1975=0),"",ROUND(G1975-L1975,2))</f>
        <v/>
      </c>
      <c r="N1975" s="5" t="str">
        <f aca="false">IF(A1975="","",IF(B1975=0,"NOT FOUND: bank ID",IF(I1975=0,"NOT FOUND: GL ID",IF(INDEX(GL!$H:$H,I1975)&lt;&gt;A1975,"BROKEN: GL points elsewhere",IF(OR(INDEX(Bank!$F:$F,B1975)&lt;&gt;"Y",INDEX(GL!$F:$F,I1975)&lt;&gt;"Y"),"BROKEN: Status not Y","OK")))))</f>
        <v/>
      </c>
    </row>
    <row r="1976" customFormat="false" ht="15" hidden="false" customHeight="false" outlineLevel="0" collapsed="false">
      <c r="A1976" s="41"/>
      <c r="B1976" s="5" t="n">
        <f aca="false">IF(A1976="",0,IFERROR(MATCH(A1976,Bank!$A:$A,0),0))</f>
        <v>0</v>
      </c>
      <c r="C1976" s="5" t="str">
        <f aca="false">IF(B1976=0,"",IF(INDEX(Bank!$G:$G,B1976)="","",INDEX(Bank!$G:$G,B1976)))</f>
        <v/>
      </c>
      <c r="D1976" s="5" t="str">
        <f aca="false">IF(B1976=0,"",IF(INDEX(Bank!$J:$J,B1976)="","",INDEX(Bank!$J:$J,B1976)))</f>
        <v/>
      </c>
      <c r="E1976" s="32" t="str">
        <f aca="false">IF(B1976=0,"",INDEX(Bank!$B:$B,B1976))</f>
        <v/>
      </c>
      <c r="F1976" s="5" t="str">
        <f aca="false">IF(B1976=0,"",IF(INDEX(Bank!$C:$C,B1976)="","",INDEX(Bank!$C:$C,B1976)))</f>
        <v/>
      </c>
      <c r="G1976" s="19" t="str">
        <f aca="false">IF(B1976=0,"",INDEX(Bank!$E:$E,B1976))</f>
        <v/>
      </c>
      <c r="H1976" s="5" t="str">
        <f aca="false">IF(B1976=0,"",IF(INDEX(Bank!$H:$H,B1976)="","",INDEX(Bank!$H:$H,B1976)))</f>
        <v/>
      </c>
      <c r="I1976" s="5" t="n">
        <f aca="false">IF(H1976="",0,IFERROR(MATCH(H1976,GL!$A:$A,0),0))</f>
        <v>0</v>
      </c>
      <c r="J1976" s="32" t="str">
        <f aca="false">IF(I1976=0,"",INDEX(GL!$B:$B,I1976))</f>
        <v/>
      </c>
      <c r="K1976" s="5" t="str">
        <f aca="false">IF(I1976=0,"",IF(INDEX(GL!$C:$C,I1976)="","",INDEX(GL!$C:$C,I1976)))</f>
        <v/>
      </c>
      <c r="L1976" s="19" t="str">
        <f aca="false">IF(I1976=0,"",INDEX(GL!$E:$E,I1976))</f>
        <v/>
      </c>
      <c r="M1976" s="19" t="str">
        <f aca="false">IF(OR(B1976=0,I1976=0),"",ROUND(G1976-L1976,2))</f>
        <v/>
      </c>
      <c r="N1976" s="5" t="str">
        <f aca="false">IF(A1976="","",IF(B1976=0,"NOT FOUND: bank ID",IF(I1976=0,"NOT FOUND: GL ID",IF(INDEX(GL!$H:$H,I1976)&lt;&gt;A1976,"BROKEN: GL points elsewhere",IF(OR(INDEX(Bank!$F:$F,B1976)&lt;&gt;"Y",INDEX(GL!$F:$F,I1976)&lt;&gt;"Y"),"BROKEN: Status not Y","OK")))))</f>
        <v/>
      </c>
    </row>
    <row r="1977" customFormat="false" ht="15" hidden="false" customHeight="false" outlineLevel="0" collapsed="false">
      <c r="A1977" s="41"/>
      <c r="B1977" s="5" t="n">
        <f aca="false">IF(A1977="",0,IFERROR(MATCH(A1977,Bank!$A:$A,0),0))</f>
        <v>0</v>
      </c>
      <c r="C1977" s="5" t="str">
        <f aca="false">IF(B1977=0,"",IF(INDEX(Bank!$G:$G,B1977)="","",INDEX(Bank!$G:$G,B1977)))</f>
        <v/>
      </c>
      <c r="D1977" s="5" t="str">
        <f aca="false">IF(B1977=0,"",IF(INDEX(Bank!$J:$J,B1977)="","",INDEX(Bank!$J:$J,B1977)))</f>
        <v/>
      </c>
      <c r="E1977" s="32" t="str">
        <f aca="false">IF(B1977=0,"",INDEX(Bank!$B:$B,B1977))</f>
        <v/>
      </c>
      <c r="F1977" s="5" t="str">
        <f aca="false">IF(B1977=0,"",IF(INDEX(Bank!$C:$C,B1977)="","",INDEX(Bank!$C:$C,B1977)))</f>
        <v/>
      </c>
      <c r="G1977" s="19" t="str">
        <f aca="false">IF(B1977=0,"",INDEX(Bank!$E:$E,B1977))</f>
        <v/>
      </c>
      <c r="H1977" s="5" t="str">
        <f aca="false">IF(B1977=0,"",IF(INDEX(Bank!$H:$H,B1977)="","",INDEX(Bank!$H:$H,B1977)))</f>
        <v/>
      </c>
      <c r="I1977" s="5" t="n">
        <f aca="false">IF(H1977="",0,IFERROR(MATCH(H1977,GL!$A:$A,0),0))</f>
        <v>0</v>
      </c>
      <c r="J1977" s="32" t="str">
        <f aca="false">IF(I1977=0,"",INDEX(GL!$B:$B,I1977))</f>
        <v/>
      </c>
      <c r="K1977" s="5" t="str">
        <f aca="false">IF(I1977=0,"",IF(INDEX(GL!$C:$C,I1977)="","",INDEX(GL!$C:$C,I1977)))</f>
        <v/>
      </c>
      <c r="L1977" s="19" t="str">
        <f aca="false">IF(I1977=0,"",INDEX(GL!$E:$E,I1977))</f>
        <v/>
      </c>
      <c r="M1977" s="19" t="str">
        <f aca="false">IF(OR(B1977=0,I1977=0),"",ROUND(G1977-L1977,2))</f>
        <v/>
      </c>
      <c r="N1977" s="5" t="str">
        <f aca="false">IF(A1977="","",IF(B1977=0,"NOT FOUND: bank ID",IF(I1977=0,"NOT FOUND: GL ID",IF(INDEX(GL!$H:$H,I1977)&lt;&gt;A1977,"BROKEN: GL points elsewhere",IF(OR(INDEX(Bank!$F:$F,B1977)&lt;&gt;"Y",INDEX(GL!$F:$F,I1977)&lt;&gt;"Y"),"BROKEN: Status not Y","OK")))))</f>
        <v/>
      </c>
    </row>
    <row r="1978" customFormat="false" ht="15" hidden="false" customHeight="false" outlineLevel="0" collapsed="false">
      <c r="A1978" s="41"/>
      <c r="B1978" s="5" t="n">
        <f aca="false">IF(A1978="",0,IFERROR(MATCH(A1978,Bank!$A:$A,0),0))</f>
        <v>0</v>
      </c>
      <c r="C1978" s="5" t="str">
        <f aca="false">IF(B1978=0,"",IF(INDEX(Bank!$G:$G,B1978)="","",INDEX(Bank!$G:$G,B1978)))</f>
        <v/>
      </c>
      <c r="D1978" s="5" t="str">
        <f aca="false">IF(B1978=0,"",IF(INDEX(Bank!$J:$J,B1978)="","",INDEX(Bank!$J:$J,B1978)))</f>
        <v/>
      </c>
      <c r="E1978" s="32" t="str">
        <f aca="false">IF(B1978=0,"",INDEX(Bank!$B:$B,B1978))</f>
        <v/>
      </c>
      <c r="F1978" s="5" t="str">
        <f aca="false">IF(B1978=0,"",IF(INDEX(Bank!$C:$C,B1978)="","",INDEX(Bank!$C:$C,B1978)))</f>
        <v/>
      </c>
      <c r="G1978" s="19" t="str">
        <f aca="false">IF(B1978=0,"",INDEX(Bank!$E:$E,B1978))</f>
        <v/>
      </c>
      <c r="H1978" s="5" t="str">
        <f aca="false">IF(B1978=0,"",IF(INDEX(Bank!$H:$H,B1978)="","",INDEX(Bank!$H:$H,B1978)))</f>
        <v/>
      </c>
      <c r="I1978" s="5" t="n">
        <f aca="false">IF(H1978="",0,IFERROR(MATCH(H1978,GL!$A:$A,0),0))</f>
        <v>0</v>
      </c>
      <c r="J1978" s="32" t="str">
        <f aca="false">IF(I1978=0,"",INDEX(GL!$B:$B,I1978))</f>
        <v/>
      </c>
      <c r="K1978" s="5" t="str">
        <f aca="false">IF(I1978=0,"",IF(INDEX(GL!$C:$C,I1978)="","",INDEX(GL!$C:$C,I1978)))</f>
        <v/>
      </c>
      <c r="L1978" s="19" t="str">
        <f aca="false">IF(I1978=0,"",INDEX(GL!$E:$E,I1978))</f>
        <v/>
      </c>
      <c r="M1978" s="19" t="str">
        <f aca="false">IF(OR(B1978=0,I1978=0),"",ROUND(G1978-L1978,2))</f>
        <v/>
      </c>
      <c r="N1978" s="5" t="str">
        <f aca="false">IF(A1978="","",IF(B1978=0,"NOT FOUND: bank ID",IF(I1978=0,"NOT FOUND: GL ID",IF(INDEX(GL!$H:$H,I1978)&lt;&gt;A1978,"BROKEN: GL points elsewhere",IF(OR(INDEX(Bank!$F:$F,B1978)&lt;&gt;"Y",INDEX(GL!$F:$F,I1978)&lt;&gt;"Y"),"BROKEN: Status not Y","OK")))))</f>
        <v/>
      </c>
    </row>
    <row r="1979" customFormat="false" ht="15" hidden="false" customHeight="false" outlineLevel="0" collapsed="false">
      <c r="A1979" s="41"/>
      <c r="B1979" s="5" t="n">
        <f aca="false">IF(A1979="",0,IFERROR(MATCH(A1979,Bank!$A:$A,0),0))</f>
        <v>0</v>
      </c>
      <c r="C1979" s="5" t="str">
        <f aca="false">IF(B1979=0,"",IF(INDEX(Bank!$G:$G,B1979)="","",INDEX(Bank!$G:$G,B1979)))</f>
        <v/>
      </c>
      <c r="D1979" s="5" t="str">
        <f aca="false">IF(B1979=0,"",IF(INDEX(Bank!$J:$J,B1979)="","",INDEX(Bank!$J:$J,B1979)))</f>
        <v/>
      </c>
      <c r="E1979" s="32" t="str">
        <f aca="false">IF(B1979=0,"",INDEX(Bank!$B:$B,B1979))</f>
        <v/>
      </c>
      <c r="F1979" s="5" t="str">
        <f aca="false">IF(B1979=0,"",IF(INDEX(Bank!$C:$C,B1979)="","",INDEX(Bank!$C:$C,B1979)))</f>
        <v/>
      </c>
      <c r="G1979" s="19" t="str">
        <f aca="false">IF(B1979=0,"",INDEX(Bank!$E:$E,B1979))</f>
        <v/>
      </c>
      <c r="H1979" s="5" t="str">
        <f aca="false">IF(B1979=0,"",IF(INDEX(Bank!$H:$H,B1979)="","",INDEX(Bank!$H:$H,B1979)))</f>
        <v/>
      </c>
      <c r="I1979" s="5" t="n">
        <f aca="false">IF(H1979="",0,IFERROR(MATCH(H1979,GL!$A:$A,0),0))</f>
        <v>0</v>
      </c>
      <c r="J1979" s="32" t="str">
        <f aca="false">IF(I1979=0,"",INDEX(GL!$B:$B,I1979))</f>
        <v/>
      </c>
      <c r="K1979" s="5" t="str">
        <f aca="false">IF(I1979=0,"",IF(INDEX(GL!$C:$C,I1979)="","",INDEX(GL!$C:$C,I1979)))</f>
        <v/>
      </c>
      <c r="L1979" s="19" t="str">
        <f aca="false">IF(I1979=0,"",INDEX(GL!$E:$E,I1979))</f>
        <v/>
      </c>
      <c r="M1979" s="19" t="str">
        <f aca="false">IF(OR(B1979=0,I1979=0),"",ROUND(G1979-L1979,2))</f>
        <v/>
      </c>
      <c r="N1979" s="5" t="str">
        <f aca="false">IF(A1979="","",IF(B1979=0,"NOT FOUND: bank ID",IF(I1979=0,"NOT FOUND: GL ID",IF(INDEX(GL!$H:$H,I1979)&lt;&gt;A1979,"BROKEN: GL points elsewhere",IF(OR(INDEX(Bank!$F:$F,B1979)&lt;&gt;"Y",INDEX(GL!$F:$F,I1979)&lt;&gt;"Y"),"BROKEN: Status not Y","OK")))))</f>
        <v/>
      </c>
    </row>
    <row r="1980" customFormat="false" ht="15" hidden="false" customHeight="false" outlineLevel="0" collapsed="false">
      <c r="A1980" s="41"/>
      <c r="B1980" s="5" t="n">
        <f aca="false">IF(A1980="",0,IFERROR(MATCH(A1980,Bank!$A:$A,0),0))</f>
        <v>0</v>
      </c>
      <c r="C1980" s="5" t="str">
        <f aca="false">IF(B1980=0,"",IF(INDEX(Bank!$G:$G,B1980)="","",INDEX(Bank!$G:$G,B1980)))</f>
        <v/>
      </c>
      <c r="D1980" s="5" t="str">
        <f aca="false">IF(B1980=0,"",IF(INDEX(Bank!$J:$J,B1980)="","",INDEX(Bank!$J:$J,B1980)))</f>
        <v/>
      </c>
      <c r="E1980" s="32" t="str">
        <f aca="false">IF(B1980=0,"",INDEX(Bank!$B:$B,B1980))</f>
        <v/>
      </c>
      <c r="F1980" s="5" t="str">
        <f aca="false">IF(B1980=0,"",IF(INDEX(Bank!$C:$C,B1980)="","",INDEX(Bank!$C:$C,B1980)))</f>
        <v/>
      </c>
      <c r="G1980" s="19" t="str">
        <f aca="false">IF(B1980=0,"",INDEX(Bank!$E:$E,B1980))</f>
        <v/>
      </c>
      <c r="H1980" s="5" t="str">
        <f aca="false">IF(B1980=0,"",IF(INDEX(Bank!$H:$H,B1980)="","",INDEX(Bank!$H:$H,B1980)))</f>
        <v/>
      </c>
      <c r="I1980" s="5" t="n">
        <f aca="false">IF(H1980="",0,IFERROR(MATCH(H1980,GL!$A:$A,0),0))</f>
        <v>0</v>
      </c>
      <c r="J1980" s="32" t="str">
        <f aca="false">IF(I1980=0,"",INDEX(GL!$B:$B,I1980))</f>
        <v/>
      </c>
      <c r="K1980" s="5" t="str">
        <f aca="false">IF(I1980=0,"",IF(INDEX(GL!$C:$C,I1980)="","",INDEX(GL!$C:$C,I1980)))</f>
        <v/>
      </c>
      <c r="L1980" s="19" t="str">
        <f aca="false">IF(I1980=0,"",INDEX(GL!$E:$E,I1980))</f>
        <v/>
      </c>
      <c r="M1980" s="19" t="str">
        <f aca="false">IF(OR(B1980=0,I1980=0),"",ROUND(G1980-L1980,2))</f>
        <v/>
      </c>
      <c r="N1980" s="5" t="str">
        <f aca="false">IF(A1980="","",IF(B1980=0,"NOT FOUND: bank ID",IF(I1980=0,"NOT FOUND: GL ID",IF(INDEX(GL!$H:$H,I1980)&lt;&gt;A1980,"BROKEN: GL points elsewhere",IF(OR(INDEX(Bank!$F:$F,B1980)&lt;&gt;"Y",INDEX(GL!$F:$F,I1980)&lt;&gt;"Y"),"BROKEN: Status not Y","OK")))))</f>
        <v/>
      </c>
    </row>
    <row r="1981" customFormat="false" ht="15" hidden="false" customHeight="false" outlineLevel="0" collapsed="false">
      <c r="A1981" s="41"/>
      <c r="B1981" s="5" t="n">
        <f aca="false">IF(A1981="",0,IFERROR(MATCH(A1981,Bank!$A:$A,0),0))</f>
        <v>0</v>
      </c>
      <c r="C1981" s="5" t="str">
        <f aca="false">IF(B1981=0,"",IF(INDEX(Bank!$G:$G,B1981)="","",INDEX(Bank!$G:$G,B1981)))</f>
        <v/>
      </c>
      <c r="D1981" s="5" t="str">
        <f aca="false">IF(B1981=0,"",IF(INDEX(Bank!$J:$J,B1981)="","",INDEX(Bank!$J:$J,B1981)))</f>
        <v/>
      </c>
      <c r="E1981" s="32" t="str">
        <f aca="false">IF(B1981=0,"",INDEX(Bank!$B:$B,B1981))</f>
        <v/>
      </c>
      <c r="F1981" s="5" t="str">
        <f aca="false">IF(B1981=0,"",IF(INDEX(Bank!$C:$C,B1981)="","",INDEX(Bank!$C:$C,B1981)))</f>
        <v/>
      </c>
      <c r="G1981" s="19" t="str">
        <f aca="false">IF(B1981=0,"",INDEX(Bank!$E:$E,B1981))</f>
        <v/>
      </c>
      <c r="H1981" s="5" t="str">
        <f aca="false">IF(B1981=0,"",IF(INDEX(Bank!$H:$H,B1981)="","",INDEX(Bank!$H:$H,B1981)))</f>
        <v/>
      </c>
      <c r="I1981" s="5" t="n">
        <f aca="false">IF(H1981="",0,IFERROR(MATCH(H1981,GL!$A:$A,0),0))</f>
        <v>0</v>
      </c>
      <c r="J1981" s="32" t="str">
        <f aca="false">IF(I1981=0,"",INDEX(GL!$B:$B,I1981))</f>
        <v/>
      </c>
      <c r="K1981" s="5" t="str">
        <f aca="false">IF(I1981=0,"",IF(INDEX(GL!$C:$C,I1981)="","",INDEX(GL!$C:$C,I1981)))</f>
        <v/>
      </c>
      <c r="L1981" s="19" t="str">
        <f aca="false">IF(I1981=0,"",INDEX(GL!$E:$E,I1981))</f>
        <v/>
      </c>
      <c r="M1981" s="19" t="str">
        <f aca="false">IF(OR(B1981=0,I1981=0),"",ROUND(G1981-L1981,2))</f>
        <v/>
      </c>
      <c r="N1981" s="5" t="str">
        <f aca="false">IF(A1981="","",IF(B1981=0,"NOT FOUND: bank ID",IF(I1981=0,"NOT FOUND: GL ID",IF(INDEX(GL!$H:$H,I1981)&lt;&gt;A1981,"BROKEN: GL points elsewhere",IF(OR(INDEX(Bank!$F:$F,B1981)&lt;&gt;"Y",INDEX(GL!$F:$F,I1981)&lt;&gt;"Y"),"BROKEN: Status not Y","OK")))))</f>
        <v/>
      </c>
    </row>
    <row r="1982" customFormat="false" ht="15" hidden="false" customHeight="false" outlineLevel="0" collapsed="false">
      <c r="A1982" s="41"/>
      <c r="B1982" s="5" t="n">
        <f aca="false">IF(A1982="",0,IFERROR(MATCH(A1982,Bank!$A:$A,0),0))</f>
        <v>0</v>
      </c>
      <c r="C1982" s="5" t="str">
        <f aca="false">IF(B1982=0,"",IF(INDEX(Bank!$G:$G,B1982)="","",INDEX(Bank!$G:$G,B1982)))</f>
        <v/>
      </c>
      <c r="D1982" s="5" t="str">
        <f aca="false">IF(B1982=0,"",IF(INDEX(Bank!$J:$J,B1982)="","",INDEX(Bank!$J:$J,B1982)))</f>
        <v/>
      </c>
      <c r="E1982" s="32" t="str">
        <f aca="false">IF(B1982=0,"",INDEX(Bank!$B:$B,B1982))</f>
        <v/>
      </c>
      <c r="F1982" s="5" t="str">
        <f aca="false">IF(B1982=0,"",IF(INDEX(Bank!$C:$C,B1982)="","",INDEX(Bank!$C:$C,B1982)))</f>
        <v/>
      </c>
      <c r="G1982" s="19" t="str">
        <f aca="false">IF(B1982=0,"",INDEX(Bank!$E:$E,B1982))</f>
        <v/>
      </c>
      <c r="H1982" s="5" t="str">
        <f aca="false">IF(B1982=0,"",IF(INDEX(Bank!$H:$H,B1982)="","",INDEX(Bank!$H:$H,B1982)))</f>
        <v/>
      </c>
      <c r="I1982" s="5" t="n">
        <f aca="false">IF(H1982="",0,IFERROR(MATCH(H1982,GL!$A:$A,0),0))</f>
        <v>0</v>
      </c>
      <c r="J1982" s="32" t="str">
        <f aca="false">IF(I1982=0,"",INDEX(GL!$B:$B,I1982))</f>
        <v/>
      </c>
      <c r="K1982" s="5" t="str">
        <f aca="false">IF(I1982=0,"",IF(INDEX(GL!$C:$C,I1982)="","",INDEX(GL!$C:$C,I1982)))</f>
        <v/>
      </c>
      <c r="L1982" s="19" t="str">
        <f aca="false">IF(I1982=0,"",INDEX(GL!$E:$E,I1982))</f>
        <v/>
      </c>
      <c r="M1982" s="19" t="str">
        <f aca="false">IF(OR(B1982=0,I1982=0),"",ROUND(G1982-L1982,2))</f>
        <v/>
      </c>
      <c r="N1982" s="5" t="str">
        <f aca="false">IF(A1982="","",IF(B1982=0,"NOT FOUND: bank ID",IF(I1982=0,"NOT FOUND: GL ID",IF(INDEX(GL!$H:$H,I1982)&lt;&gt;A1982,"BROKEN: GL points elsewhere",IF(OR(INDEX(Bank!$F:$F,B1982)&lt;&gt;"Y",INDEX(GL!$F:$F,I1982)&lt;&gt;"Y"),"BROKEN: Status not Y","OK")))))</f>
        <v/>
      </c>
    </row>
    <row r="1983" customFormat="false" ht="15" hidden="false" customHeight="false" outlineLevel="0" collapsed="false">
      <c r="A1983" s="41"/>
      <c r="B1983" s="5" t="n">
        <f aca="false">IF(A1983="",0,IFERROR(MATCH(A1983,Bank!$A:$A,0),0))</f>
        <v>0</v>
      </c>
      <c r="C1983" s="5" t="str">
        <f aca="false">IF(B1983=0,"",IF(INDEX(Bank!$G:$G,B1983)="","",INDEX(Bank!$G:$G,B1983)))</f>
        <v/>
      </c>
      <c r="D1983" s="5" t="str">
        <f aca="false">IF(B1983=0,"",IF(INDEX(Bank!$J:$J,B1983)="","",INDEX(Bank!$J:$J,B1983)))</f>
        <v/>
      </c>
      <c r="E1983" s="32" t="str">
        <f aca="false">IF(B1983=0,"",INDEX(Bank!$B:$B,B1983))</f>
        <v/>
      </c>
      <c r="F1983" s="5" t="str">
        <f aca="false">IF(B1983=0,"",IF(INDEX(Bank!$C:$C,B1983)="","",INDEX(Bank!$C:$C,B1983)))</f>
        <v/>
      </c>
      <c r="G1983" s="19" t="str">
        <f aca="false">IF(B1983=0,"",INDEX(Bank!$E:$E,B1983))</f>
        <v/>
      </c>
      <c r="H1983" s="5" t="str">
        <f aca="false">IF(B1983=0,"",IF(INDEX(Bank!$H:$H,B1983)="","",INDEX(Bank!$H:$H,B1983)))</f>
        <v/>
      </c>
      <c r="I1983" s="5" t="n">
        <f aca="false">IF(H1983="",0,IFERROR(MATCH(H1983,GL!$A:$A,0),0))</f>
        <v>0</v>
      </c>
      <c r="J1983" s="32" t="str">
        <f aca="false">IF(I1983=0,"",INDEX(GL!$B:$B,I1983))</f>
        <v/>
      </c>
      <c r="K1983" s="5" t="str">
        <f aca="false">IF(I1983=0,"",IF(INDEX(GL!$C:$C,I1983)="","",INDEX(GL!$C:$C,I1983)))</f>
        <v/>
      </c>
      <c r="L1983" s="19" t="str">
        <f aca="false">IF(I1983=0,"",INDEX(GL!$E:$E,I1983))</f>
        <v/>
      </c>
      <c r="M1983" s="19" t="str">
        <f aca="false">IF(OR(B1983=0,I1983=0),"",ROUND(G1983-L1983,2))</f>
        <v/>
      </c>
      <c r="N1983" s="5" t="str">
        <f aca="false">IF(A1983="","",IF(B1983=0,"NOT FOUND: bank ID",IF(I1983=0,"NOT FOUND: GL ID",IF(INDEX(GL!$H:$H,I1983)&lt;&gt;A1983,"BROKEN: GL points elsewhere",IF(OR(INDEX(Bank!$F:$F,B1983)&lt;&gt;"Y",INDEX(GL!$F:$F,I1983)&lt;&gt;"Y"),"BROKEN: Status not Y","OK")))))</f>
        <v/>
      </c>
    </row>
    <row r="1984" customFormat="false" ht="15" hidden="false" customHeight="false" outlineLevel="0" collapsed="false">
      <c r="A1984" s="41"/>
      <c r="B1984" s="5" t="n">
        <f aca="false">IF(A1984="",0,IFERROR(MATCH(A1984,Bank!$A:$A,0),0))</f>
        <v>0</v>
      </c>
      <c r="C1984" s="5" t="str">
        <f aca="false">IF(B1984=0,"",IF(INDEX(Bank!$G:$G,B1984)="","",INDEX(Bank!$G:$G,B1984)))</f>
        <v/>
      </c>
      <c r="D1984" s="5" t="str">
        <f aca="false">IF(B1984=0,"",IF(INDEX(Bank!$J:$J,B1984)="","",INDEX(Bank!$J:$J,B1984)))</f>
        <v/>
      </c>
      <c r="E1984" s="32" t="str">
        <f aca="false">IF(B1984=0,"",INDEX(Bank!$B:$B,B1984))</f>
        <v/>
      </c>
      <c r="F1984" s="5" t="str">
        <f aca="false">IF(B1984=0,"",IF(INDEX(Bank!$C:$C,B1984)="","",INDEX(Bank!$C:$C,B1984)))</f>
        <v/>
      </c>
      <c r="G1984" s="19" t="str">
        <f aca="false">IF(B1984=0,"",INDEX(Bank!$E:$E,B1984))</f>
        <v/>
      </c>
      <c r="H1984" s="5" t="str">
        <f aca="false">IF(B1984=0,"",IF(INDEX(Bank!$H:$H,B1984)="","",INDEX(Bank!$H:$H,B1984)))</f>
        <v/>
      </c>
      <c r="I1984" s="5" t="n">
        <f aca="false">IF(H1984="",0,IFERROR(MATCH(H1984,GL!$A:$A,0),0))</f>
        <v>0</v>
      </c>
      <c r="J1984" s="32" t="str">
        <f aca="false">IF(I1984=0,"",INDEX(GL!$B:$B,I1984))</f>
        <v/>
      </c>
      <c r="K1984" s="5" t="str">
        <f aca="false">IF(I1984=0,"",IF(INDEX(GL!$C:$C,I1984)="","",INDEX(GL!$C:$C,I1984)))</f>
        <v/>
      </c>
      <c r="L1984" s="19" t="str">
        <f aca="false">IF(I1984=0,"",INDEX(GL!$E:$E,I1984))</f>
        <v/>
      </c>
      <c r="M1984" s="19" t="str">
        <f aca="false">IF(OR(B1984=0,I1984=0),"",ROUND(G1984-L1984,2))</f>
        <v/>
      </c>
      <c r="N1984" s="5" t="str">
        <f aca="false">IF(A1984="","",IF(B1984=0,"NOT FOUND: bank ID",IF(I1984=0,"NOT FOUND: GL ID",IF(INDEX(GL!$H:$H,I1984)&lt;&gt;A1984,"BROKEN: GL points elsewhere",IF(OR(INDEX(Bank!$F:$F,B1984)&lt;&gt;"Y",INDEX(GL!$F:$F,I1984)&lt;&gt;"Y"),"BROKEN: Status not Y","OK")))))</f>
        <v/>
      </c>
    </row>
    <row r="1985" customFormat="false" ht="15" hidden="false" customHeight="false" outlineLevel="0" collapsed="false">
      <c r="A1985" s="41"/>
      <c r="B1985" s="5" t="n">
        <f aca="false">IF(A1985="",0,IFERROR(MATCH(A1985,Bank!$A:$A,0),0))</f>
        <v>0</v>
      </c>
      <c r="C1985" s="5" t="str">
        <f aca="false">IF(B1985=0,"",IF(INDEX(Bank!$G:$G,B1985)="","",INDEX(Bank!$G:$G,B1985)))</f>
        <v/>
      </c>
      <c r="D1985" s="5" t="str">
        <f aca="false">IF(B1985=0,"",IF(INDEX(Bank!$J:$J,B1985)="","",INDEX(Bank!$J:$J,B1985)))</f>
        <v/>
      </c>
      <c r="E1985" s="32" t="str">
        <f aca="false">IF(B1985=0,"",INDEX(Bank!$B:$B,B1985))</f>
        <v/>
      </c>
      <c r="F1985" s="5" t="str">
        <f aca="false">IF(B1985=0,"",IF(INDEX(Bank!$C:$C,B1985)="","",INDEX(Bank!$C:$C,B1985)))</f>
        <v/>
      </c>
      <c r="G1985" s="19" t="str">
        <f aca="false">IF(B1985=0,"",INDEX(Bank!$E:$E,B1985))</f>
        <v/>
      </c>
      <c r="H1985" s="5" t="str">
        <f aca="false">IF(B1985=0,"",IF(INDEX(Bank!$H:$H,B1985)="","",INDEX(Bank!$H:$H,B1985)))</f>
        <v/>
      </c>
      <c r="I1985" s="5" t="n">
        <f aca="false">IF(H1985="",0,IFERROR(MATCH(H1985,GL!$A:$A,0),0))</f>
        <v>0</v>
      </c>
      <c r="J1985" s="32" t="str">
        <f aca="false">IF(I1985=0,"",INDEX(GL!$B:$B,I1985))</f>
        <v/>
      </c>
      <c r="K1985" s="5" t="str">
        <f aca="false">IF(I1985=0,"",IF(INDEX(GL!$C:$C,I1985)="","",INDEX(GL!$C:$C,I1985)))</f>
        <v/>
      </c>
      <c r="L1985" s="19" t="str">
        <f aca="false">IF(I1985=0,"",INDEX(GL!$E:$E,I1985))</f>
        <v/>
      </c>
      <c r="M1985" s="19" t="str">
        <f aca="false">IF(OR(B1985=0,I1985=0),"",ROUND(G1985-L1985,2))</f>
        <v/>
      </c>
      <c r="N1985" s="5" t="str">
        <f aca="false">IF(A1985="","",IF(B1985=0,"NOT FOUND: bank ID",IF(I1985=0,"NOT FOUND: GL ID",IF(INDEX(GL!$H:$H,I1985)&lt;&gt;A1985,"BROKEN: GL points elsewhere",IF(OR(INDEX(Bank!$F:$F,B1985)&lt;&gt;"Y",INDEX(GL!$F:$F,I1985)&lt;&gt;"Y"),"BROKEN: Status not Y","OK")))))</f>
        <v/>
      </c>
    </row>
    <row r="1986" customFormat="false" ht="15" hidden="false" customHeight="false" outlineLevel="0" collapsed="false">
      <c r="A1986" s="41"/>
      <c r="B1986" s="5" t="n">
        <f aca="false">IF(A1986="",0,IFERROR(MATCH(A1986,Bank!$A:$A,0),0))</f>
        <v>0</v>
      </c>
      <c r="C1986" s="5" t="str">
        <f aca="false">IF(B1986=0,"",IF(INDEX(Bank!$G:$G,B1986)="","",INDEX(Bank!$G:$G,B1986)))</f>
        <v/>
      </c>
      <c r="D1986" s="5" t="str">
        <f aca="false">IF(B1986=0,"",IF(INDEX(Bank!$J:$J,B1986)="","",INDEX(Bank!$J:$J,B1986)))</f>
        <v/>
      </c>
      <c r="E1986" s="32" t="str">
        <f aca="false">IF(B1986=0,"",INDEX(Bank!$B:$B,B1986))</f>
        <v/>
      </c>
      <c r="F1986" s="5" t="str">
        <f aca="false">IF(B1986=0,"",IF(INDEX(Bank!$C:$C,B1986)="","",INDEX(Bank!$C:$C,B1986)))</f>
        <v/>
      </c>
      <c r="G1986" s="19" t="str">
        <f aca="false">IF(B1986=0,"",INDEX(Bank!$E:$E,B1986))</f>
        <v/>
      </c>
      <c r="H1986" s="5" t="str">
        <f aca="false">IF(B1986=0,"",IF(INDEX(Bank!$H:$H,B1986)="","",INDEX(Bank!$H:$H,B1986)))</f>
        <v/>
      </c>
      <c r="I1986" s="5" t="n">
        <f aca="false">IF(H1986="",0,IFERROR(MATCH(H1986,GL!$A:$A,0),0))</f>
        <v>0</v>
      </c>
      <c r="J1986" s="32" t="str">
        <f aca="false">IF(I1986=0,"",INDEX(GL!$B:$B,I1986))</f>
        <v/>
      </c>
      <c r="K1986" s="5" t="str">
        <f aca="false">IF(I1986=0,"",IF(INDEX(GL!$C:$C,I1986)="","",INDEX(GL!$C:$C,I1986)))</f>
        <v/>
      </c>
      <c r="L1986" s="19" t="str">
        <f aca="false">IF(I1986=0,"",INDEX(GL!$E:$E,I1986))</f>
        <v/>
      </c>
      <c r="M1986" s="19" t="str">
        <f aca="false">IF(OR(B1986=0,I1986=0),"",ROUND(G1986-L1986,2))</f>
        <v/>
      </c>
      <c r="N1986" s="5" t="str">
        <f aca="false">IF(A1986="","",IF(B1986=0,"NOT FOUND: bank ID",IF(I1986=0,"NOT FOUND: GL ID",IF(INDEX(GL!$H:$H,I1986)&lt;&gt;A1986,"BROKEN: GL points elsewhere",IF(OR(INDEX(Bank!$F:$F,B1986)&lt;&gt;"Y",INDEX(GL!$F:$F,I1986)&lt;&gt;"Y"),"BROKEN: Status not Y","OK")))))</f>
        <v/>
      </c>
    </row>
    <row r="1987" customFormat="false" ht="15" hidden="false" customHeight="false" outlineLevel="0" collapsed="false">
      <c r="A1987" s="41"/>
      <c r="B1987" s="5" t="n">
        <f aca="false">IF(A1987="",0,IFERROR(MATCH(A1987,Bank!$A:$A,0),0))</f>
        <v>0</v>
      </c>
      <c r="C1987" s="5" t="str">
        <f aca="false">IF(B1987=0,"",IF(INDEX(Bank!$G:$G,B1987)="","",INDEX(Bank!$G:$G,B1987)))</f>
        <v/>
      </c>
      <c r="D1987" s="5" t="str">
        <f aca="false">IF(B1987=0,"",IF(INDEX(Bank!$J:$J,B1987)="","",INDEX(Bank!$J:$J,B1987)))</f>
        <v/>
      </c>
      <c r="E1987" s="32" t="str">
        <f aca="false">IF(B1987=0,"",INDEX(Bank!$B:$B,B1987))</f>
        <v/>
      </c>
      <c r="F1987" s="5" t="str">
        <f aca="false">IF(B1987=0,"",IF(INDEX(Bank!$C:$C,B1987)="","",INDEX(Bank!$C:$C,B1987)))</f>
        <v/>
      </c>
      <c r="G1987" s="19" t="str">
        <f aca="false">IF(B1987=0,"",INDEX(Bank!$E:$E,B1987))</f>
        <v/>
      </c>
      <c r="H1987" s="5" t="str">
        <f aca="false">IF(B1987=0,"",IF(INDEX(Bank!$H:$H,B1987)="","",INDEX(Bank!$H:$H,B1987)))</f>
        <v/>
      </c>
      <c r="I1987" s="5" t="n">
        <f aca="false">IF(H1987="",0,IFERROR(MATCH(H1987,GL!$A:$A,0),0))</f>
        <v>0</v>
      </c>
      <c r="J1987" s="32" t="str">
        <f aca="false">IF(I1987=0,"",INDEX(GL!$B:$B,I1987))</f>
        <v/>
      </c>
      <c r="K1987" s="5" t="str">
        <f aca="false">IF(I1987=0,"",IF(INDEX(GL!$C:$C,I1987)="","",INDEX(GL!$C:$C,I1987)))</f>
        <v/>
      </c>
      <c r="L1987" s="19" t="str">
        <f aca="false">IF(I1987=0,"",INDEX(GL!$E:$E,I1987))</f>
        <v/>
      </c>
      <c r="M1987" s="19" t="str">
        <f aca="false">IF(OR(B1987=0,I1987=0),"",ROUND(G1987-L1987,2))</f>
        <v/>
      </c>
      <c r="N1987" s="5" t="str">
        <f aca="false">IF(A1987="","",IF(B1987=0,"NOT FOUND: bank ID",IF(I1987=0,"NOT FOUND: GL ID",IF(INDEX(GL!$H:$H,I1987)&lt;&gt;A1987,"BROKEN: GL points elsewhere",IF(OR(INDEX(Bank!$F:$F,B1987)&lt;&gt;"Y",INDEX(GL!$F:$F,I1987)&lt;&gt;"Y"),"BROKEN: Status not Y","OK")))))</f>
        <v/>
      </c>
    </row>
    <row r="1988" customFormat="false" ht="15" hidden="false" customHeight="false" outlineLevel="0" collapsed="false">
      <c r="A1988" s="41"/>
      <c r="B1988" s="5" t="n">
        <f aca="false">IF(A1988="",0,IFERROR(MATCH(A1988,Bank!$A:$A,0),0))</f>
        <v>0</v>
      </c>
      <c r="C1988" s="5" t="str">
        <f aca="false">IF(B1988=0,"",IF(INDEX(Bank!$G:$G,B1988)="","",INDEX(Bank!$G:$G,B1988)))</f>
        <v/>
      </c>
      <c r="D1988" s="5" t="str">
        <f aca="false">IF(B1988=0,"",IF(INDEX(Bank!$J:$J,B1988)="","",INDEX(Bank!$J:$J,B1988)))</f>
        <v/>
      </c>
      <c r="E1988" s="32" t="str">
        <f aca="false">IF(B1988=0,"",INDEX(Bank!$B:$B,B1988))</f>
        <v/>
      </c>
      <c r="F1988" s="5" t="str">
        <f aca="false">IF(B1988=0,"",IF(INDEX(Bank!$C:$C,B1988)="","",INDEX(Bank!$C:$C,B1988)))</f>
        <v/>
      </c>
      <c r="G1988" s="19" t="str">
        <f aca="false">IF(B1988=0,"",INDEX(Bank!$E:$E,B1988))</f>
        <v/>
      </c>
      <c r="H1988" s="5" t="str">
        <f aca="false">IF(B1988=0,"",IF(INDEX(Bank!$H:$H,B1988)="","",INDEX(Bank!$H:$H,B1988)))</f>
        <v/>
      </c>
      <c r="I1988" s="5" t="n">
        <f aca="false">IF(H1988="",0,IFERROR(MATCH(H1988,GL!$A:$A,0),0))</f>
        <v>0</v>
      </c>
      <c r="J1988" s="32" t="str">
        <f aca="false">IF(I1988=0,"",INDEX(GL!$B:$B,I1988))</f>
        <v/>
      </c>
      <c r="K1988" s="5" t="str">
        <f aca="false">IF(I1988=0,"",IF(INDEX(GL!$C:$C,I1988)="","",INDEX(GL!$C:$C,I1988)))</f>
        <v/>
      </c>
      <c r="L1988" s="19" t="str">
        <f aca="false">IF(I1988=0,"",INDEX(GL!$E:$E,I1988))</f>
        <v/>
      </c>
      <c r="M1988" s="19" t="str">
        <f aca="false">IF(OR(B1988=0,I1988=0),"",ROUND(G1988-L1988,2))</f>
        <v/>
      </c>
      <c r="N1988" s="5" t="str">
        <f aca="false">IF(A1988="","",IF(B1988=0,"NOT FOUND: bank ID",IF(I1988=0,"NOT FOUND: GL ID",IF(INDEX(GL!$H:$H,I1988)&lt;&gt;A1988,"BROKEN: GL points elsewhere",IF(OR(INDEX(Bank!$F:$F,B1988)&lt;&gt;"Y",INDEX(GL!$F:$F,I1988)&lt;&gt;"Y"),"BROKEN: Status not Y","OK")))))</f>
        <v/>
      </c>
    </row>
    <row r="1989" customFormat="false" ht="15" hidden="false" customHeight="false" outlineLevel="0" collapsed="false">
      <c r="A1989" s="41"/>
      <c r="B1989" s="5" t="n">
        <f aca="false">IF(A1989="",0,IFERROR(MATCH(A1989,Bank!$A:$A,0),0))</f>
        <v>0</v>
      </c>
      <c r="C1989" s="5" t="str">
        <f aca="false">IF(B1989=0,"",IF(INDEX(Bank!$G:$G,B1989)="","",INDEX(Bank!$G:$G,B1989)))</f>
        <v/>
      </c>
      <c r="D1989" s="5" t="str">
        <f aca="false">IF(B1989=0,"",IF(INDEX(Bank!$J:$J,B1989)="","",INDEX(Bank!$J:$J,B1989)))</f>
        <v/>
      </c>
      <c r="E1989" s="32" t="str">
        <f aca="false">IF(B1989=0,"",INDEX(Bank!$B:$B,B1989))</f>
        <v/>
      </c>
      <c r="F1989" s="5" t="str">
        <f aca="false">IF(B1989=0,"",IF(INDEX(Bank!$C:$C,B1989)="","",INDEX(Bank!$C:$C,B1989)))</f>
        <v/>
      </c>
      <c r="G1989" s="19" t="str">
        <f aca="false">IF(B1989=0,"",INDEX(Bank!$E:$E,B1989))</f>
        <v/>
      </c>
      <c r="H1989" s="5" t="str">
        <f aca="false">IF(B1989=0,"",IF(INDEX(Bank!$H:$H,B1989)="","",INDEX(Bank!$H:$H,B1989)))</f>
        <v/>
      </c>
      <c r="I1989" s="5" t="n">
        <f aca="false">IF(H1989="",0,IFERROR(MATCH(H1989,GL!$A:$A,0),0))</f>
        <v>0</v>
      </c>
      <c r="J1989" s="32" t="str">
        <f aca="false">IF(I1989=0,"",INDEX(GL!$B:$B,I1989))</f>
        <v/>
      </c>
      <c r="K1989" s="5" t="str">
        <f aca="false">IF(I1989=0,"",IF(INDEX(GL!$C:$C,I1989)="","",INDEX(GL!$C:$C,I1989)))</f>
        <v/>
      </c>
      <c r="L1989" s="19" t="str">
        <f aca="false">IF(I1989=0,"",INDEX(GL!$E:$E,I1989))</f>
        <v/>
      </c>
      <c r="M1989" s="19" t="str">
        <f aca="false">IF(OR(B1989=0,I1989=0),"",ROUND(G1989-L1989,2))</f>
        <v/>
      </c>
      <c r="N1989" s="5" t="str">
        <f aca="false">IF(A1989="","",IF(B1989=0,"NOT FOUND: bank ID",IF(I1989=0,"NOT FOUND: GL ID",IF(INDEX(GL!$H:$H,I1989)&lt;&gt;A1989,"BROKEN: GL points elsewhere",IF(OR(INDEX(Bank!$F:$F,B1989)&lt;&gt;"Y",INDEX(GL!$F:$F,I1989)&lt;&gt;"Y"),"BROKEN: Status not Y","OK")))))</f>
        <v/>
      </c>
    </row>
    <row r="1990" customFormat="false" ht="15" hidden="false" customHeight="false" outlineLevel="0" collapsed="false">
      <c r="A1990" s="41"/>
      <c r="B1990" s="5" t="n">
        <f aca="false">IF(A1990="",0,IFERROR(MATCH(A1990,Bank!$A:$A,0),0))</f>
        <v>0</v>
      </c>
      <c r="C1990" s="5" t="str">
        <f aca="false">IF(B1990=0,"",IF(INDEX(Bank!$G:$G,B1990)="","",INDEX(Bank!$G:$G,B1990)))</f>
        <v/>
      </c>
      <c r="D1990" s="5" t="str">
        <f aca="false">IF(B1990=0,"",IF(INDEX(Bank!$J:$J,B1990)="","",INDEX(Bank!$J:$J,B1990)))</f>
        <v/>
      </c>
      <c r="E1990" s="32" t="str">
        <f aca="false">IF(B1990=0,"",INDEX(Bank!$B:$B,B1990))</f>
        <v/>
      </c>
      <c r="F1990" s="5" t="str">
        <f aca="false">IF(B1990=0,"",IF(INDEX(Bank!$C:$C,B1990)="","",INDEX(Bank!$C:$C,B1990)))</f>
        <v/>
      </c>
      <c r="G1990" s="19" t="str">
        <f aca="false">IF(B1990=0,"",INDEX(Bank!$E:$E,B1990))</f>
        <v/>
      </c>
      <c r="H1990" s="5" t="str">
        <f aca="false">IF(B1990=0,"",IF(INDEX(Bank!$H:$H,B1990)="","",INDEX(Bank!$H:$H,B1990)))</f>
        <v/>
      </c>
      <c r="I1990" s="5" t="n">
        <f aca="false">IF(H1990="",0,IFERROR(MATCH(H1990,GL!$A:$A,0),0))</f>
        <v>0</v>
      </c>
      <c r="J1990" s="32" t="str">
        <f aca="false">IF(I1990=0,"",INDEX(GL!$B:$B,I1990))</f>
        <v/>
      </c>
      <c r="K1990" s="5" t="str">
        <f aca="false">IF(I1990=0,"",IF(INDEX(GL!$C:$C,I1990)="","",INDEX(GL!$C:$C,I1990)))</f>
        <v/>
      </c>
      <c r="L1990" s="19" t="str">
        <f aca="false">IF(I1990=0,"",INDEX(GL!$E:$E,I1990))</f>
        <v/>
      </c>
      <c r="M1990" s="19" t="str">
        <f aca="false">IF(OR(B1990=0,I1990=0),"",ROUND(G1990-L1990,2))</f>
        <v/>
      </c>
      <c r="N1990" s="5" t="str">
        <f aca="false">IF(A1990="","",IF(B1990=0,"NOT FOUND: bank ID",IF(I1990=0,"NOT FOUND: GL ID",IF(INDEX(GL!$H:$H,I1990)&lt;&gt;A1990,"BROKEN: GL points elsewhere",IF(OR(INDEX(Bank!$F:$F,B1990)&lt;&gt;"Y",INDEX(GL!$F:$F,I1990)&lt;&gt;"Y"),"BROKEN: Status not Y","OK")))))</f>
        <v/>
      </c>
    </row>
    <row r="1991" customFormat="false" ht="15" hidden="false" customHeight="false" outlineLevel="0" collapsed="false">
      <c r="A1991" s="41"/>
      <c r="B1991" s="5" t="n">
        <f aca="false">IF(A1991="",0,IFERROR(MATCH(A1991,Bank!$A:$A,0),0))</f>
        <v>0</v>
      </c>
      <c r="C1991" s="5" t="str">
        <f aca="false">IF(B1991=0,"",IF(INDEX(Bank!$G:$G,B1991)="","",INDEX(Bank!$G:$G,B1991)))</f>
        <v/>
      </c>
      <c r="D1991" s="5" t="str">
        <f aca="false">IF(B1991=0,"",IF(INDEX(Bank!$J:$J,B1991)="","",INDEX(Bank!$J:$J,B1991)))</f>
        <v/>
      </c>
      <c r="E1991" s="32" t="str">
        <f aca="false">IF(B1991=0,"",INDEX(Bank!$B:$B,B1991))</f>
        <v/>
      </c>
      <c r="F1991" s="5" t="str">
        <f aca="false">IF(B1991=0,"",IF(INDEX(Bank!$C:$C,B1991)="","",INDEX(Bank!$C:$C,B1991)))</f>
        <v/>
      </c>
      <c r="G1991" s="19" t="str">
        <f aca="false">IF(B1991=0,"",INDEX(Bank!$E:$E,B1991))</f>
        <v/>
      </c>
      <c r="H1991" s="5" t="str">
        <f aca="false">IF(B1991=0,"",IF(INDEX(Bank!$H:$H,B1991)="","",INDEX(Bank!$H:$H,B1991)))</f>
        <v/>
      </c>
      <c r="I1991" s="5" t="n">
        <f aca="false">IF(H1991="",0,IFERROR(MATCH(H1991,GL!$A:$A,0),0))</f>
        <v>0</v>
      </c>
      <c r="J1991" s="32" t="str">
        <f aca="false">IF(I1991=0,"",INDEX(GL!$B:$B,I1991))</f>
        <v/>
      </c>
      <c r="K1991" s="5" t="str">
        <f aca="false">IF(I1991=0,"",IF(INDEX(GL!$C:$C,I1991)="","",INDEX(GL!$C:$C,I1991)))</f>
        <v/>
      </c>
      <c r="L1991" s="19" t="str">
        <f aca="false">IF(I1991=0,"",INDEX(GL!$E:$E,I1991))</f>
        <v/>
      </c>
      <c r="M1991" s="19" t="str">
        <f aca="false">IF(OR(B1991=0,I1991=0),"",ROUND(G1991-L1991,2))</f>
        <v/>
      </c>
      <c r="N1991" s="5" t="str">
        <f aca="false">IF(A1991="","",IF(B1991=0,"NOT FOUND: bank ID",IF(I1991=0,"NOT FOUND: GL ID",IF(INDEX(GL!$H:$H,I1991)&lt;&gt;A1991,"BROKEN: GL points elsewhere",IF(OR(INDEX(Bank!$F:$F,B1991)&lt;&gt;"Y",INDEX(GL!$F:$F,I1991)&lt;&gt;"Y"),"BROKEN: Status not Y","OK")))))</f>
        <v/>
      </c>
    </row>
    <row r="1992" customFormat="false" ht="15" hidden="false" customHeight="false" outlineLevel="0" collapsed="false">
      <c r="A1992" s="41"/>
      <c r="B1992" s="5" t="n">
        <f aca="false">IF(A1992="",0,IFERROR(MATCH(A1992,Bank!$A:$A,0),0))</f>
        <v>0</v>
      </c>
      <c r="C1992" s="5" t="str">
        <f aca="false">IF(B1992=0,"",IF(INDEX(Bank!$G:$G,B1992)="","",INDEX(Bank!$G:$G,B1992)))</f>
        <v/>
      </c>
      <c r="D1992" s="5" t="str">
        <f aca="false">IF(B1992=0,"",IF(INDEX(Bank!$J:$J,B1992)="","",INDEX(Bank!$J:$J,B1992)))</f>
        <v/>
      </c>
      <c r="E1992" s="32" t="str">
        <f aca="false">IF(B1992=0,"",INDEX(Bank!$B:$B,B1992))</f>
        <v/>
      </c>
      <c r="F1992" s="5" t="str">
        <f aca="false">IF(B1992=0,"",IF(INDEX(Bank!$C:$C,B1992)="","",INDEX(Bank!$C:$C,B1992)))</f>
        <v/>
      </c>
      <c r="G1992" s="19" t="str">
        <f aca="false">IF(B1992=0,"",INDEX(Bank!$E:$E,B1992))</f>
        <v/>
      </c>
      <c r="H1992" s="5" t="str">
        <f aca="false">IF(B1992=0,"",IF(INDEX(Bank!$H:$H,B1992)="","",INDEX(Bank!$H:$H,B1992)))</f>
        <v/>
      </c>
      <c r="I1992" s="5" t="n">
        <f aca="false">IF(H1992="",0,IFERROR(MATCH(H1992,GL!$A:$A,0),0))</f>
        <v>0</v>
      </c>
      <c r="J1992" s="32" t="str">
        <f aca="false">IF(I1992=0,"",INDEX(GL!$B:$B,I1992))</f>
        <v/>
      </c>
      <c r="K1992" s="5" t="str">
        <f aca="false">IF(I1992=0,"",IF(INDEX(GL!$C:$C,I1992)="","",INDEX(GL!$C:$C,I1992)))</f>
        <v/>
      </c>
      <c r="L1992" s="19" t="str">
        <f aca="false">IF(I1992=0,"",INDEX(GL!$E:$E,I1992))</f>
        <v/>
      </c>
      <c r="M1992" s="19" t="str">
        <f aca="false">IF(OR(B1992=0,I1992=0),"",ROUND(G1992-L1992,2))</f>
        <v/>
      </c>
      <c r="N1992" s="5" t="str">
        <f aca="false">IF(A1992="","",IF(B1992=0,"NOT FOUND: bank ID",IF(I1992=0,"NOT FOUND: GL ID",IF(INDEX(GL!$H:$H,I1992)&lt;&gt;A1992,"BROKEN: GL points elsewhere",IF(OR(INDEX(Bank!$F:$F,B1992)&lt;&gt;"Y",INDEX(GL!$F:$F,I1992)&lt;&gt;"Y"),"BROKEN: Status not Y","OK")))))</f>
        <v/>
      </c>
    </row>
    <row r="1993" customFormat="false" ht="15" hidden="false" customHeight="false" outlineLevel="0" collapsed="false">
      <c r="A1993" s="41"/>
      <c r="B1993" s="5" t="n">
        <f aca="false">IF(A1993="",0,IFERROR(MATCH(A1993,Bank!$A:$A,0),0))</f>
        <v>0</v>
      </c>
      <c r="C1993" s="5" t="str">
        <f aca="false">IF(B1993=0,"",IF(INDEX(Bank!$G:$G,B1993)="","",INDEX(Bank!$G:$G,B1993)))</f>
        <v/>
      </c>
      <c r="D1993" s="5" t="str">
        <f aca="false">IF(B1993=0,"",IF(INDEX(Bank!$J:$J,B1993)="","",INDEX(Bank!$J:$J,B1993)))</f>
        <v/>
      </c>
      <c r="E1993" s="32" t="str">
        <f aca="false">IF(B1993=0,"",INDEX(Bank!$B:$B,B1993))</f>
        <v/>
      </c>
      <c r="F1993" s="5" t="str">
        <f aca="false">IF(B1993=0,"",IF(INDEX(Bank!$C:$C,B1993)="","",INDEX(Bank!$C:$C,B1993)))</f>
        <v/>
      </c>
      <c r="G1993" s="19" t="str">
        <f aca="false">IF(B1993=0,"",INDEX(Bank!$E:$E,B1993))</f>
        <v/>
      </c>
      <c r="H1993" s="5" t="str">
        <f aca="false">IF(B1993=0,"",IF(INDEX(Bank!$H:$H,B1993)="","",INDEX(Bank!$H:$H,B1993)))</f>
        <v/>
      </c>
      <c r="I1993" s="5" t="n">
        <f aca="false">IF(H1993="",0,IFERROR(MATCH(H1993,GL!$A:$A,0),0))</f>
        <v>0</v>
      </c>
      <c r="J1993" s="32" t="str">
        <f aca="false">IF(I1993=0,"",INDEX(GL!$B:$B,I1993))</f>
        <v/>
      </c>
      <c r="K1993" s="5" t="str">
        <f aca="false">IF(I1993=0,"",IF(INDEX(GL!$C:$C,I1993)="","",INDEX(GL!$C:$C,I1993)))</f>
        <v/>
      </c>
      <c r="L1993" s="19" t="str">
        <f aca="false">IF(I1993=0,"",INDEX(GL!$E:$E,I1993))</f>
        <v/>
      </c>
      <c r="M1993" s="19" t="str">
        <f aca="false">IF(OR(B1993=0,I1993=0),"",ROUND(G1993-L1993,2))</f>
        <v/>
      </c>
      <c r="N1993" s="5" t="str">
        <f aca="false">IF(A1993="","",IF(B1993=0,"NOT FOUND: bank ID",IF(I1993=0,"NOT FOUND: GL ID",IF(INDEX(GL!$H:$H,I1993)&lt;&gt;A1993,"BROKEN: GL points elsewhere",IF(OR(INDEX(Bank!$F:$F,B1993)&lt;&gt;"Y",INDEX(GL!$F:$F,I1993)&lt;&gt;"Y"),"BROKEN: Status not Y","OK")))))</f>
        <v/>
      </c>
    </row>
    <row r="1994" customFormat="false" ht="15" hidden="false" customHeight="false" outlineLevel="0" collapsed="false">
      <c r="A1994" s="41"/>
      <c r="B1994" s="5" t="n">
        <f aca="false">IF(A1994="",0,IFERROR(MATCH(A1994,Bank!$A:$A,0),0))</f>
        <v>0</v>
      </c>
      <c r="C1994" s="5" t="str">
        <f aca="false">IF(B1994=0,"",IF(INDEX(Bank!$G:$G,B1994)="","",INDEX(Bank!$G:$G,B1994)))</f>
        <v/>
      </c>
      <c r="D1994" s="5" t="str">
        <f aca="false">IF(B1994=0,"",IF(INDEX(Bank!$J:$J,B1994)="","",INDEX(Bank!$J:$J,B1994)))</f>
        <v/>
      </c>
      <c r="E1994" s="32" t="str">
        <f aca="false">IF(B1994=0,"",INDEX(Bank!$B:$B,B1994))</f>
        <v/>
      </c>
      <c r="F1994" s="5" t="str">
        <f aca="false">IF(B1994=0,"",IF(INDEX(Bank!$C:$C,B1994)="","",INDEX(Bank!$C:$C,B1994)))</f>
        <v/>
      </c>
      <c r="G1994" s="19" t="str">
        <f aca="false">IF(B1994=0,"",INDEX(Bank!$E:$E,B1994))</f>
        <v/>
      </c>
      <c r="H1994" s="5" t="str">
        <f aca="false">IF(B1994=0,"",IF(INDEX(Bank!$H:$H,B1994)="","",INDEX(Bank!$H:$H,B1994)))</f>
        <v/>
      </c>
      <c r="I1994" s="5" t="n">
        <f aca="false">IF(H1994="",0,IFERROR(MATCH(H1994,GL!$A:$A,0),0))</f>
        <v>0</v>
      </c>
      <c r="J1994" s="32" t="str">
        <f aca="false">IF(I1994=0,"",INDEX(GL!$B:$B,I1994))</f>
        <v/>
      </c>
      <c r="K1994" s="5" t="str">
        <f aca="false">IF(I1994=0,"",IF(INDEX(GL!$C:$C,I1994)="","",INDEX(GL!$C:$C,I1994)))</f>
        <v/>
      </c>
      <c r="L1994" s="19" t="str">
        <f aca="false">IF(I1994=0,"",INDEX(GL!$E:$E,I1994))</f>
        <v/>
      </c>
      <c r="M1994" s="19" t="str">
        <f aca="false">IF(OR(B1994=0,I1994=0),"",ROUND(G1994-L1994,2))</f>
        <v/>
      </c>
      <c r="N1994" s="5" t="str">
        <f aca="false">IF(A1994="","",IF(B1994=0,"NOT FOUND: bank ID",IF(I1994=0,"NOT FOUND: GL ID",IF(INDEX(GL!$H:$H,I1994)&lt;&gt;A1994,"BROKEN: GL points elsewhere",IF(OR(INDEX(Bank!$F:$F,B1994)&lt;&gt;"Y",INDEX(GL!$F:$F,I1994)&lt;&gt;"Y"),"BROKEN: Status not Y","OK")))))</f>
        <v/>
      </c>
    </row>
    <row r="1995" customFormat="false" ht="15" hidden="false" customHeight="false" outlineLevel="0" collapsed="false">
      <c r="A1995" s="41"/>
      <c r="B1995" s="5" t="n">
        <f aca="false">IF(A1995="",0,IFERROR(MATCH(A1995,Bank!$A:$A,0),0))</f>
        <v>0</v>
      </c>
      <c r="C1995" s="5" t="str">
        <f aca="false">IF(B1995=0,"",IF(INDEX(Bank!$G:$G,B1995)="","",INDEX(Bank!$G:$G,B1995)))</f>
        <v/>
      </c>
      <c r="D1995" s="5" t="str">
        <f aca="false">IF(B1995=0,"",IF(INDEX(Bank!$J:$J,B1995)="","",INDEX(Bank!$J:$J,B1995)))</f>
        <v/>
      </c>
      <c r="E1995" s="32" t="str">
        <f aca="false">IF(B1995=0,"",INDEX(Bank!$B:$B,B1995))</f>
        <v/>
      </c>
      <c r="F1995" s="5" t="str">
        <f aca="false">IF(B1995=0,"",IF(INDEX(Bank!$C:$C,B1995)="","",INDEX(Bank!$C:$C,B1995)))</f>
        <v/>
      </c>
      <c r="G1995" s="19" t="str">
        <f aca="false">IF(B1995=0,"",INDEX(Bank!$E:$E,B1995))</f>
        <v/>
      </c>
      <c r="H1995" s="5" t="str">
        <f aca="false">IF(B1995=0,"",IF(INDEX(Bank!$H:$H,B1995)="","",INDEX(Bank!$H:$H,B1995)))</f>
        <v/>
      </c>
      <c r="I1995" s="5" t="n">
        <f aca="false">IF(H1995="",0,IFERROR(MATCH(H1995,GL!$A:$A,0),0))</f>
        <v>0</v>
      </c>
      <c r="J1995" s="32" t="str">
        <f aca="false">IF(I1995=0,"",INDEX(GL!$B:$B,I1995))</f>
        <v/>
      </c>
      <c r="K1995" s="5" t="str">
        <f aca="false">IF(I1995=0,"",IF(INDEX(GL!$C:$C,I1995)="","",INDEX(GL!$C:$C,I1995)))</f>
        <v/>
      </c>
      <c r="L1995" s="19" t="str">
        <f aca="false">IF(I1995=0,"",INDEX(GL!$E:$E,I1995))</f>
        <v/>
      </c>
      <c r="M1995" s="19" t="str">
        <f aca="false">IF(OR(B1995=0,I1995=0),"",ROUND(G1995-L1995,2))</f>
        <v/>
      </c>
      <c r="N1995" s="5" t="str">
        <f aca="false">IF(A1995="","",IF(B1995=0,"NOT FOUND: bank ID",IF(I1995=0,"NOT FOUND: GL ID",IF(INDEX(GL!$H:$H,I1995)&lt;&gt;A1995,"BROKEN: GL points elsewhere",IF(OR(INDEX(Bank!$F:$F,B1995)&lt;&gt;"Y",INDEX(GL!$F:$F,I1995)&lt;&gt;"Y"),"BROKEN: Status not Y","OK")))))</f>
        <v/>
      </c>
    </row>
    <row r="1996" customFormat="false" ht="15" hidden="false" customHeight="false" outlineLevel="0" collapsed="false">
      <c r="A1996" s="41"/>
      <c r="B1996" s="5" t="n">
        <f aca="false">IF(A1996="",0,IFERROR(MATCH(A1996,Bank!$A:$A,0),0))</f>
        <v>0</v>
      </c>
      <c r="C1996" s="5" t="str">
        <f aca="false">IF(B1996=0,"",IF(INDEX(Bank!$G:$G,B1996)="","",INDEX(Bank!$G:$G,B1996)))</f>
        <v/>
      </c>
      <c r="D1996" s="5" t="str">
        <f aca="false">IF(B1996=0,"",IF(INDEX(Bank!$J:$J,B1996)="","",INDEX(Bank!$J:$J,B1996)))</f>
        <v/>
      </c>
      <c r="E1996" s="32" t="str">
        <f aca="false">IF(B1996=0,"",INDEX(Bank!$B:$B,B1996))</f>
        <v/>
      </c>
      <c r="F1996" s="5" t="str">
        <f aca="false">IF(B1996=0,"",IF(INDEX(Bank!$C:$C,B1996)="","",INDEX(Bank!$C:$C,B1996)))</f>
        <v/>
      </c>
      <c r="G1996" s="19" t="str">
        <f aca="false">IF(B1996=0,"",INDEX(Bank!$E:$E,B1996))</f>
        <v/>
      </c>
      <c r="H1996" s="5" t="str">
        <f aca="false">IF(B1996=0,"",IF(INDEX(Bank!$H:$H,B1996)="","",INDEX(Bank!$H:$H,B1996)))</f>
        <v/>
      </c>
      <c r="I1996" s="5" t="n">
        <f aca="false">IF(H1996="",0,IFERROR(MATCH(H1996,GL!$A:$A,0),0))</f>
        <v>0</v>
      </c>
      <c r="J1996" s="32" t="str">
        <f aca="false">IF(I1996=0,"",INDEX(GL!$B:$B,I1996))</f>
        <v/>
      </c>
      <c r="K1996" s="5" t="str">
        <f aca="false">IF(I1996=0,"",IF(INDEX(GL!$C:$C,I1996)="","",INDEX(GL!$C:$C,I1996)))</f>
        <v/>
      </c>
      <c r="L1996" s="19" t="str">
        <f aca="false">IF(I1996=0,"",INDEX(GL!$E:$E,I1996))</f>
        <v/>
      </c>
      <c r="M1996" s="19" t="str">
        <f aca="false">IF(OR(B1996=0,I1996=0),"",ROUND(G1996-L1996,2))</f>
        <v/>
      </c>
      <c r="N1996" s="5" t="str">
        <f aca="false">IF(A1996="","",IF(B1996=0,"NOT FOUND: bank ID",IF(I1996=0,"NOT FOUND: GL ID",IF(INDEX(GL!$H:$H,I1996)&lt;&gt;A1996,"BROKEN: GL points elsewhere",IF(OR(INDEX(Bank!$F:$F,B1996)&lt;&gt;"Y",INDEX(GL!$F:$F,I1996)&lt;&gt;"Y"),"BROKEN: Status not Y","OK")))))</f>
        <v/>
      </c>
    </row>
    <row r="1997" customFormat="false" ht="15" hidden="false" customHeight="false" outlineLevel="0" collapsed="false">
      <c r="A1997" s="41"/>
      <c r="B1997" s="5" t="n">
        <f aca="false">IF(A1997="",0,IFERROR(MATCH(A1997,Bank!$A:$A,0),0))</f>
        <v>0</v>
      </c>
      <c r="C1997" s="5" t="str">
        <f aca="false">IF(B1997=0,"",IF(INDEX(Bank!$G:$G,B1997)="","",INDEX(Bank!$G:$G,B1997)))</f>
        <v/>
      </c>
      <c r="D1997" s="5" t="str">
        <f aca="false">IF(B1997=0,"",IF(INDEX(Bank!$J:$J,B1997)="","",INDEX(Bank!$J:$J,B1997)))</f>
        <v/>
      </c>
      <c r="E1997" s="32" t="str">
        <f aca="false">IF(B1997=0,"",INDEX(Bank!$B:$B,B1997))</f>
        <v/>
      </c>
      <c r="F1997" s="5" t="str">
        <f aca="false">IF(B1997=0,"",IF(INDEX(Bank!$C:$C,B1997)="","",INDEX(Bank!$C:$C,B1997)))</f>
        <v/>
      </c>
      <c r="G1997" s="19" t="str">
        <f aca="false">IF(B1997=0,"",INDEX(Bank!$E:$E,B1997))</f>
        <v/>
      </c>
      <c r="H1997" s="5" t="str">
        <f aca="false">IF(B1997=0,"",IF(INDEX(Bank!$H:$H,B1997)="","",INDEX(Bank!$H:$H,B1997)))</f>
        <v/>
      </c>
      <c r="I1997" s="5" t="n">
        <f aca="false">IF(H1997="",0,IFERROR(MATCH(H1997,GL!$A:$A,0),0))</f>
        <v>0</v>
      </c>
      <c r="J1997" s="32" t="str">
        <f aca="false">IF(I1997=0,"",INDEX(GL!$B:$B,I1997))</f>
        <v/>
      </c>
      <c r="K1997" s="5" t="str">
        <f aca="false">IF(I1997=0,"",IF(INDEX(GL!$C:$C,I1997)="","",INDEX(GL!$C:$C,I1997)))</f>
        <v/>
      </c>
      <c r="L1997" s="19" t="str">
        <f aca="false">IF(I1997=0,"",INDEX(GL!$E:$E,I1997))</f>
        <v/>
      </c>
      <c r="M1997" s="19" t="str">
        <f aca="false">IF(OR(B1997=0,I1997=0),"",ROUND(G1997-L1997,2))</f>
        <v/>
      </c>
      <c r="N1997" s="5" t="str">
        <f aca="false">IF(A1997="","",IF(B1997=0,"NOT FOUND: bank ID",IF(I1997=0,"NOT FOUND: GL ID",IF(INDEX(GL!$H:$H,I1997)&lt;&gt;A1997,"BROKEN: GL points elsewhere",IF(OR(INDEX(Bank!$F:$F,B1997)&lt;&gt;"Y",INDEX(GL!$F:$F,I1997)&lt;&gt;"Y"),"BROKEN: Status not Y","OK")))))</f>
        <v/>
      </c>
    </row>
    <row r="1998" customFormat="false" ht="15" hidden="false" customHeight="false" outlineLevel="0" collapsed="false">
      <c r="A1998" s="41"/>
      <c r="B1998" s="5" t="n">
        <f aca="false">IF(A1998="",0,IFERROR(MATCH(A1998,Bank!$A:$A,0),0))</f>
        <v>0</v>
      </c>
      <c r="C1998" s="5" t="str">
        <f aca="false">IF(B1998=0,"",IF(INDEX(Bank!$G:$G,B1998)="","",INDEX(Bank!$G:$G,B1998)))</f>
        <v/>
      </c>
      <c r="D1998" s="5" t="str">
        <f aca="false">IF(B1998=0,"",IF(INDEX(Bank!$J:$J,B1998)="","",INDEX(Bank!$J:$J,B1998)))</f>
        <v/>
      </c>
      <c r="E1998" s="32" t="str">
        <f aca="false">IF(B1998=0,"",INDEX(Bank!$B:$B,B1998))</f>
        <v/>
      </c>
      <c r="F1998" s="5" t="str">
        <f aca="false">IF(B1998=0,"",IF(INDEX(Bank!$C:$C,B1998)="","",INDEX(Bank!$C:$C,B1998)))</f>
        <v/>
      </c>
      <c r="G1998" s="19" t="str">
        <f aca="false">IF(B1998=0,"",INDEX(Bank!$E:$E,B1998))</f>
        <v/>
      </c>
      <c r="H1998" s="5" t="str">
        <f aca="false">IF(B1998=0,"",IF(INDEX(Bank!$H:$H,B1998)="","",INDEX(Bank!$H:$H,B1998)))</f>
        <v/>
      </c>
      <c r="I1998" s="5" t="n">
        <f aca="false">IF(H1998="",0,IFERROR(MATCH(H1998,GL!$A:$A,0),0))</f>
        <v>0</v>
      </c>
      <c r="J1998" s="32" t="str">
        <f aca="false">IF(I1998=0,"",INDEX(GL!$B:$B,I1998))</f>
        <v/>
      </c>
      <c r="K1998" s="5" t="str">
        <f aca="false">IF(I1998=0,"",IF(INDEX(GL!$C:$C,I1998)="","",INDEX(GL!$C:$C,I1998)))</f>
        <v/>
      </c>
      <c r="L1998" s="19" t="str">
        <f aca="false">IF(I1998=0,"",INDEX(GL!$E:$E,I1998))</f>
        <v/>
      </c>
      <c r="M1998" s="19" t="str">
        <f aca="false">IF(OR(B1998=0,I1998=0),"",ROUND(G1998-L1998,2))</f>
        <v/>
      </c>
      <c r="N1998" s="5" t="str">
        <f aca="false">IF(A1998="","",IF(B1998=0,"NOT FOUND: bank ID",IF(I1998=0,"NOT FOUND: GL ID",IF(INDEX(GL!$H:$H,I1998)&lt;&gt;A1998,"BROKEN: GL points elsewhere",IF(OR(INDEX(Bank!$F:$F,B1998)&lt;&gt;"Y",INDEX(GL!$F:$F,I1998)&lt;&gt;"Y"),"BROKEN: Status not Y","OK")))))</f>
        <v/>
      </c>
    </row>
    <row r="1999" customFormat="false" ht="15" hidden="false" customHeight="false" outlineLevel="0" collapsed="false">
      <c r="A1999" s="41"/>
      <c r="B1999" s="5" t="n">
        <f aca="false">IF(A1999="",0,IFERROR(MATCH(A1999,Bank!$A:$A,0),0))</f>
        <v>0</v>
      </c>
      <c r="C1999" s="5" t="str">
        <f aca="false">IF(B1999=0,"",IF(INDEX(Bank!$G:$G,B1999)="","",INDEX(Bank!$G:$G,B1999)))</f>
        <v/>
      </c>
      <c r="D1999" s="5" t="str">
        <f aca="false">IF(B1999=0,"",IF(INDEX(Bank!$J:$J,B1999)="","",INDEX(Bank!$J:$J,B1999)))</f>
        <v/>
      </c>
      <c r="E1999" s="32" t="str">
        <f aca="false">IF(B1999=0,"",INDEX(Bank!$B:$B,B1999))</f>
        <v/>
      </c>
      <c r="F1999" s="5" t="str">
        <f aca="false">IF(B1999=0,"",IF(INDEX(Bank!$C:$C,B1999)="","",INDEX(Bank!$C:$C,B1999)))</f>
        <v/>
      </c>
      <c r="G1999" s="19" t="str">
        <f aca="false">IF(B1999=0,"",INDEX(Bank!$E:$E,B1999))</f>
        <v/>
      </c>
      <c r="H1999" s="5" t="str">
        <f aca="false">IF(B1999=0,"",IF(INDEX(Bank!$H:$H,B1999)="","",INDEX(Bank!$H:$H,B1999)))</f>
        <v/>
      </c>
      <c r="I1999" s="5" t="n">
        <f aca="false">IF(H1999="",0,IFERROR(MATCH(H1999,GL!$A:$A,0),0))</f>
        <v>0</v>
      </c>
      <c r="J1999" s="32" t="str">
        <f aca="false">IF(I1999=0,"",INDEX(GL!$B:$B,I1999))</f>
        <v/>
      </c>
      <c r="K1999" s="5" t="str">
        <f aca="false">IF(I1999=0,"",IF(INDEX(GL!$C:$C,I1999)="","",INDEX(GL!$C:$C,I1999)))</f>
        <v/>
      </c>
      <c r="L1999" s="19" t="str">
        <f aca="false">IF(I1999=0,"",INDEX(GL!$E:$E,I1999))</f>
        <v/>
      </c>
      <c r="M1999" s="19" t="str">
        <f aca="false">IF(OR(B1999=0,I1999=0),"",ROUND(G1999-L1999,2))</f>
        <v/>
      </c>
      <c r="N1999" s="5" t="str">
        <f aca="false">IF(A1999="","",IF(B1999=0,"NOT FOUND: bank ID",IF(I1999=0,"NOT FOUND: GL ID",IF(INDEX(GL!$H:$H,I1999)&lt;&gt;A1999,"BROKEN: GL points elsewhere",IF(OR(INDEX(Bank!$F:$F,B1999)&lt;&gt;"Y",INDEX(GL!$F:$F,I1999)&lt;&gt;"Y"),"BROKEN: Status not Y","OK")))))</f>
        <v/>
      </c>
    </row>
    <row r="2000" customFormat="false" ht="15" hidden="false" customHeight="false" outlineLevel="0" collapsed="false">
      <c r="A2000" s="41"/>
      <c r="B2000" s="5" t="n">
        <f aca="false">IF(A2000="",0,IFERROR(MATCH(A2000,Bank!$A:$A,0),0))</f>
        <v>0</v>
      </c>
      <c r="C2000" s="5" t="str">
        <f aca="false">IF(B2000=0,"",IF(INDEX(Bank!$G:$G,B2000)="","",INDEX(Bank!$G:$G,B2000)))</f>
        <v/>
      </c>
      <c r="D2000" s="5" t="str">
        <f aca="false">IF(B2000=0,"",IF(INDEX(Bank!$J:$J,B2000)="","",INDEX(Bank!$J:$J,B2000)))</f>
        <v/>
      </c>
      <c r="E2000" s="32" t="str">
        <f aca="false">IF(B2000=0,"",INDEX(Bank!$B:$B,B2000))</f>
        <v/>
      </c>
      <c r="F2000" s="5" t="str">
        <f aca="false">IF(B2000=0,"",IF(INDEX(Bank!$C:$C,B2000)="","",INDEX(Bank!$C:$C,B2000)))</f>
        <v/>
      </c>
      <c r="G2000" s="19" t="str">
        <f aca="false">IF(B2000=0,"",INDEX(Bank!$E:$E,B2000))</f>
        <v/>
      </c>
      <c r="H2000" s="5" t="str">
        <f aca="false">IF(B2000=0,"",IF(INDEX(Bank!$H:$H,B2000)="","",INDEX(Bank!$H:$H,B2000)))</f>
        <v/>
      </c>
      <c r="I2000" s="5" t="n">
        <f aca="false">IF(H2000="",0,IFERROR(MATCH(H2000,GL!$A:$A,0),0))</f>
        <v>0</v>
      </c>
      <c r="J2000" s="32" t="str">
        <f aca="false">IF(I2000=0,"",INDEX(GL!$B:$B,I2000))</f>
        <v/>
      </c>
      <c r="K2000" s="5" t="str">
        <f aca="false">IF(I2000=0,"",IF(INDEX(GL!$C:$C,I2000)="","",INDEX(GL!$C:$C,I2000)))</f>
        <v/>
      </c>
      <c r="L2000" s="19" t="str">
        <f aca="false">IF(I2000=0,"",INDEX(GL!$E:$E,I2000))</f>
        <v/>
      </c>
      <c r="M2000" s="19" t="str">
        <f aca="false">IF(OR(B2000=0,I2000=0),"",ROUND(G2000-L2000,2))</f>
        <v/>
      </c>
      <c r="N2000" s="5" t="str">
        <f aca="false">IF(A2000="","",IF(B2000=0,"NOT FOUND: bank ID",IF(I2000=0,"NOT FOUND: GL ID",IF(INDEX(GL!$H:$H,I2000)&lt;&gt;A2000,"BROKEN: GL points elsewhere",IF(OR(INDEX(Bank!$F:$F,B2000)&lt;&gt;"Y",INDEX(GL!$F:$F,I2000)&lt;&gt;"Y"),"BROKEN: Status not Y","OK")))))</f>
        <v/>
      </c>
    </row>
    <row r="2001" customFormat="false" ht="15" hidden="false" customHeight="false" outlineLevel="0" collapsed="false">
      <c r="A2001" s="41"/>
      <c r="B2001" s="5" t="n">
        <f aca="false">IF(A2001="",0,IFERROR(MATCH(A2001,Bank!$A:$A,0),0))</f>
        <v>0</v>
      </c>
      <c r="C2001" s="5" t="str">
        <f aca="false">IF(B2001=0,"",IF(INDEX(Bank!$G:$G,B2001)="","",INDEX(Bank!$G:$G,B2001)))</f>
        <v/>
      </c>
      <c r="D2001" s="5" t="str">
        <f aca="false">IF(B2001=0,"",IF(INDEX(Bank!$J:$J,B2001)="","",INDEX(Bank!$J:$J,B2001)))</f>
        <v/>
      </c>
      <c r="E2001" s="32" t="str">
        <f aca="false">IF(B2001=0,"",INDEX(Bank!$B:$B,B2001))</f>
        <v/>
      </c>
      <c r="F2001" s="5" t="str">
        <f aca="false">IF(B2001=0,"",IF(INDEX(Bank!$C:$C,B2001)="","",INDEX(Bank!$C:$C,B2001)))</f>
        <v/>
      </c>
      <c r="G2001" s="19" t="str">
        <f aca="false">IF(B2001=0,"",INDEX(Bank!$E:$E,B2001))</f>
        <v/>
      </c>
      <c r="H2001" s="5" t="str">
        <f aca="false">IF(B2001=0,"",IF(INDEX(Bank!$H:$H,B2001)="","",INDEX(Bank!$H:$H,B2001)))</f>
        <v/>
      </c>
      <c r="I2001" s="5" t="n">
        <f aca="false">IF(H2001="",0,IFERROR(MATCH(H2001,GL!$A:$A,0),0))</f>
        <v>0</v>
      </c>
      <c r="J2001" s="32" t="str">
        <f aca="false">IF(I2001=0,"",INDEX(GL!$B:$B,I2001))</f>
        <v/>
      </c>
      <c r="K2001" s="5" t="str">
        <f aca="false">IF(I2001=0,"",IF(INDEX(GL!$C:$C,I2001)="","",INDEX(GL!$C:$C,I2001)))</f>
        <v/>
      </c>
      <c r="L2001" s="19" t="str">
        <f aca="false">IF(I2001=0,"",INDEX(GL!$E:$E,I2001))</f>
        <v/>
      </c>
      <c r="M2001" s="19" t="str">
        <f aca="false">IF(OR(B2001=0,I2001=0),"",ROUND(G2001-L2001,2))</f>
        <v/>
      </c>
      <c r="N2001" s="5" t="str">
        <f aca="false">IF(A2001="","",IF(B2001=0,"NOT FOUND: bank ID",IF(I2001=0,"NOT FOUND: GL ID",IF(INDEX(GL!$H:$H,I2001)&lt;&gt;A2001,"BROKEN: GL points elsewhere",IF(OR(INDEX(Bank!$F:$F,B2001)&lt;&gt;"Y",INDEX(GL!$F:$F,I2001)&lt;&gt;"Y"),"BROKEN: Status not Y","OK")))))</f>
        <v/>
      </c>
    </row>
    <row r="2002" customFormat="false" ht="15" hidden="false" customHeight="false" outlineLevel="0" collapsed="false">
      <c r="A2002" s="41"/>
      <c r="B2002" s="5" t="n">
        <f aca="false">IF(A2002="",0,IFERROR(MATCH(A2002,Bank!$A:$A,0),0))</f>
        <v>0</v>
      </c>
      <c r="C2002" s="5" t="str">
        <f aca="false">IF(B2002=0,"",IF(INDEX(Bank!$G:$G,B2002)="","",INDEX(Bank!$G:$G,B2002)))</f>
        <v/>
      </c>
      <c r="D2002" s="5" t="str">
        <f aca="false">IF(B2002=0,"",IF(INDEX(Bank!$J:$J,B2002)="","",INDEX(Bank!$J:$J,B2002)))</f>
        <v/>
      </c>
      <c r="E2002" s="32" t="str">
        <f aca="false">IF(B2002=0,"",INDEX(Bank!$B:$B,B2002))</f>
        <v/>
      </c>
      <c r="F2002" s="5" t="str">
        <f aca="false">IF(B2002=0,"",IF(INDEX(Bank!$C:$C,B2002)="","",INDEX(Bank!$C:$C,B2002)))</f>
        <v/>
      </c>
      <c r="G2002" s="19" t="str">
        <f aca="false">IF(B2002=0,"",INDEX(Bank!$E:$E,B2002))</f>
        <v/>
      </c>
      <c r="H2002" s="5" t="str">
        <f aca="false">IF(B2002=0,"",IF(INDEX(Bank!$H:$H,B2002)="","",INDEX(Bank!$H:$H,B2002)))</f>
        <v/>
      </c>
      <c r="I2002" s="5" t="n">
        <f aca="false">IF(H2002="",0,IFERROR(MATCH(H2002,GL!$A:$A,0),0))</f>
        <v>0</v>
      </c>
      <c r="J2002" s="32" t="str">
        <f aca="false">IF(I2002=0,"",INDEX(GL!$B:$B,I2002))</f>
        <v/>
      </c>
      <c r="K2002" s="5" t="str">
        <f aca="false">IF(I2002=0,"",IF(INDEX(GL!$C:$C,I2002)="","",INDEX(GL!$C:$C,I2002)))</f>
        <v/>
      </c>
      <c r="L2002" s="19" t="str">
        <f aca="false">IF(I2002=0,"",INDEX(GL!$E:$E,I2002))</f>
        <v/>
      </c>
      <c r="M2002" s="19" t="str">
        <f aca="false">IF(OR(B2002=0,I2002=0),"",ROUND(G2002-L2002,2))</f>
        <v/>
      </c>
      <c r="N2002" s="5" t="str">
        <f aca="false">IF(A2002="","",IF(B2002=0,"NOT FOUND: bank ID",IF(I2002=0,"NOT FOUND: GL ID",IF(INDEX(GL!$H:$H,I2002)&lt;&gt;A2002,"BROKEN: GL points elsewhere",IF(OR(INDEX(Bank!$F:$F,B2002)&lt;&gt;"Y",INDEX(GL!$F:$F,I2002)&lt;&gt;"Y"),"BROKEN: Status not Y","OK")))))</f>
        <v/>
      </c>
    </row>
    <row r="2003" customFormat="false" ht="15" hidden="false" customHeight="false" outlineLevel="0" collapsed="false">
      <c r="A2003" s="41"/>
      <c r="B2003" s="5" t="n">
        <f aca="false">IF(A2003="",0,IFERROR(MATCH(A2003,Bank!$A:$A,0),0))</f>
        <v>0</v>
      </c>
      <c r="C2003" s="5" t="str">
        <f aca="false">IF(B2003=0,"",IF(INDEX(Bank!$G:$G,B2003)="","",INDEX(Bank!$G:$G,B2003)))</f>
        <v/>
      </c>
      <c r="D2003" s="5" t="str">
        <f aca="false">IF(B2003=0,"",IF(INDEX(Bank!$J:$J,B2003)="","",INDEX(Bank!$J:$J,B2003)))</f>
        <v/>
      </c>
      <c r="E2003" s="32" t="str">
        <f aca="false">IF(B2003=0,"",INDEX(Bank!$B:$B,B2003))</f>
        <v/>
      </c>
      <c r="F2003" s="5" t="str">
        <f aca="false">IF(B2003=0,"",IF(INDEX(Bank!$C:$C,B2003)="","",INDEX(Bank!$C:$C,B2003)))</f>
        <v/>
      </c>
      <c r="G2003" s="19" t="str">
        <f aca="false">IF(B2003=0,"",INDEX(Bank!$E:$E,B2003))</f>
        <v/>
      </c>
      <c r="H2003" s="5" t="str">
        <f aca="false">IF(B2003=0,"",IF(INDEX(Bank!$H:$H,B2003)="","",INDEX(Bank!$H:$H,B2003)))</f>
        <v/>
      </c>
      <c r="I2003" s="5" t="n">
        <f aca="false">IF(H2003="",0,IFERROR(MATCH(H2003,GL!$A:$A,0),0))</f>
        <v>0</v>
      </c>
      <c r="J2003" s="32" t="str">
        <f aca="false">IF(I2003=0,"",INDEX(GL!$B:$B,I2003))</f>
        <v/>
      </c>
      <c r="K2003" s="5" t="str">
        <f aca="false">IF(I2003=0,"",IF(INDEX(GL!$C:$C,I2003)="","",INDEX(GL!$C:$C,I2003)))</f>
        <v/>
      </c>
      <c r="L2003" s="19" t="str">
        <f aca="false">IF(I2003=0,"",INDEX(GL!$E:$E,I2003))</f>
        <v/>
      </c>
      <c r="M2003" s="19" t="str">
        <f aca="false">IF(OR(B2003=0,I2003=0),"",ROUND(G2003-L2003,2))</f>
        <v/>
      </c>
      <c r="N2003" s="5" t="str">
        <f aca="false">IF(A2003="","",IF(B2003=0,"NOT FOUND: bank ID",IF(I2003=0,"NOT FOUND: GL ID",IF(INDEX(GL!$H:$H,I2003)&lt;&gt;A2003,"BROKEN: GL points elsewhere",IF(OR(INDEX(Bank!$F:$F,B2003)&lt;&gt;"Y",INDEX(GL!$F:$F,I2003)&lt;&gt;"Y"),"BROKEN: Status not Y","OK")))))</f>
        <v/>
      </c>
    </row>
    <row r="2004" customFormat="false" ht="15" hidden="false" customHeight="false" outlineLevel="0" collapsed="false">
      <c r="A2004" s="41"/>
      <c r="B2004" s="5" t="n">
        <f aca="false">IF(A2004="",0,IFERROR(MATCH(A2004,Bank!$A:$A,0),0))</f>
        <v>0</v>
      </c>
      <c r="C2004" s="5" t="str">
        <f aca="false">IF(B2004=0,"",IF(INDEX(Bank!$G:$G,B2004)="","",INDEX(Bank!$G:$G,B2004)))</f>
        <v/>
      </c>
      <c r="D2004" s="5" t="str">
        <f aca="false">IF(B2004=0,"",IF(INDEX(Bank!$J:$J,B2004)="","",INDEX(Bank!$J:$J,B2004)))</f>
        <v/>
      </c>
      <c r="E2004" s="32" t="str">
        <f aca="false">IF(B2004=0,"",INDEX(Bank!$B:$B,B2004))</f>
        <v/>
      </c>
      <c r="F2004" s="5" t="str">
        <f aca="false">IF(B2004=0,"",IF(INDEX(Bank!$C:$C,B2004)="","",INDEX(Bank!$C:$C,B2004)))</f>
        <v/>
      </c>
      <c r="G2004" s="19" t="str">
        <f aca="false">IF(B2004=0,"",INDEX(Bank!$E:$E,B2004))</f>
        <v/>
      </c>
      <c r="H2004" s="5" t="str">
        <f aca="false">IF(B2004=0,"",IF(INDEX(Bank!$H:$H,B2004)="","",INDEX(Bank!$H:$H,B2004)))</f>
        <v/>
      </c>
      <c r="I2004" s="5" t="n">
        <f aca="false">IF(H2004="",0,IFERROR(MATCH(H2004,GL!$A:$A,0),0))</f>
        <v>0</v>
      </c>
      <c r="J2004" s="32" t="str">
        <f aca="false">IF(I2004=0,"",INDEX(GL!$B:$B,I2004))</f>
        <v/>
      </c>
      <c r="K2004" s="5" t="str">
        <f aca="false">IF(I2004=0,"",IF(INDEX(GL!$C:$C,I2004)="","",INDEX(GL!$C:$C,I2004)))</f>
        <v/>
      </c>
      <c r="L2004" s="19" t="str">
        <f aca="false">IF(I2004=0,"",INDEX(GL!$E:$E,I2004))</f>
        <v/>
      </c>
      <c r="M2004" s="19" t="str">
        <f aca="false">IF(OR(B2004=0,I2004=0),"",ROUND(G2004-L2004,2))</f>
        <v/>
      </c>
      <c r="N2004" s="5" t="str">
        <f aca="false">IF(A2004="","",IF(B2004=0,"NOT FOUND: bank ID",IF(I2004=0,"NOT FOUND: GL ID",IF(INDEX(GL!$H:$H,I2004)&lt;&gt;A2004,"BROKEN: GL points elsewhere",IF(OR(INDEX(Bank!$F:$F,B2004)&lt;&gt;"Y",INDEX(GL!$F:$F,I2004)&lt;&gt;"Y"),"BROKEN: Status not Y","OK")))))</f>
        <v/>
      </c>
    </row>
    <row r="2005" customFormat="false" ht="15" hidden="false" customHeight="false" outlineLevel="0" collapsed="false">
      <c r="A2005" s="41"/>
      <c r="B2005" s="5" t="n">
        <f aca="false">IF(A2005="",0,IFERROR(MATCH(A2005,Bank!$A:$A,0),0))</f>
        <v>0</v>
      </c>
      <c r="C2005" s="5" t="str">
        <f aca="false">IF(B2005=0,"",IF(INDEX(Bank!$G:$G,B2005)="","",INDEX(Bank!$G:$G,B2005)))</f>
        <v/>
      </c>
      <c r="D2005" s="5" t="str">
        <f aca="false">IF(B2005=0,"",IF(INDEX(Bank!$J:$J,B2005)="","",INDEX(Bank!$J:$J,B2005)))</f>
        <v/>
      </c>
      <c r="E2005" s="32" t="str">
        <f aca="false">IF(B2005=0,"",INDEX(Bank!$B:$B,B2005))</f>
        <v/>
      </c>
      <c r="F2005" s="5" t="str">
        <f aca="false">IF(B2005=0,"",IF(INDEX(Bank!$C:$C,B2005)="","",INDEX(Bank!$C:$C,B2005)))</f>
        <v/>
      </c>
      <c r="G2005" s="19" t="str">
        <f aca="false">IF(B2005=0,"",INDEX(Bank!$E:$E,B2005))</f>
        <v/>
      </c>
      <c r="H2005" s="5" t="str">
        <f aca="false">IF(B2005=0,"",IF(INDEX(Bank!$H:$H,B2005)="","",INDEX(Bank!$H:$H,B2005)))</f>
        <v/>
      </c>
      <c r="I2005" s="5" t="n">
        <f aca="false">IF(H2005="",0,IFERROR(MATCH(H2005,GL!$A:$A,0),0))</f>
        <v>0</v>
      </c>
      <c r="J2005" s="32" t="str">
        <f aca="false">IF(I2005=0,"",INDEX(GL!$B:$B,I2005))</f>
        <v/>
      </c>
      <c r="K2005" s="5" t="str">
        <f aca="false">IF(I2005=0,"",IF(INDEX(GL!$C:$C,I2005)="","",INDEX(GL!$C:$C,I2005)))</f>
        <v/>
      </c>
      <c r="L2005" s="19" t="str">
        <f aca="false">IF(I2005=0,"",INDEX(GL!$E:$E,I2005))</f>
        <v/>
      </c>
      <c r="M2005" s="19" t="str">
        <f aca="false">IF(OR(B2005=0,I2005=0),"",ROUND(G2005-L2005,2))</f>
        <v/>
      </c>
      <c r="N2005" s="5" t="str">
        <f aca="false">IF(A2005="","",IF(B2005=0,"NOT FOUND: bank ID",IF(I2005=0,"NOT FOUND: GL ID",IF(INDEX(GL!$H:$H,I2005)&lt;&gt;A2005,"BROKEN: GL points elsewhere",IF(OR(INDEX(Bank!$F:$F,B2005)&lt;&gt;"Y",INDEX(GL!$F:$F,I2005)&lt;&gt;"Y"),"BROKEN: Status not Y","OK")))))</f>
        <v/>
      </c>
    </row>
  </sheetData>
  <autoFilter ref="A5:N2005"/>
  <conditionalFormatting sqref="A6:N2005">
    <cfRule type="expression" priority="2" aboveAverage="0" equalAverage="0" bottom="0" percent="0" rank="0" text="" dxfId="10">
      <formula>$C6="Amount-only"</formula>
    </cfRule>
    <cfRule type="expression" priority="3" aboveAverage="0" equalAverage="0" bottom="0" percent="0" rank="0" text="" dxfId="12">
      <formula>$C6="Tolerance"</formula>
    </cfRule>
  </conditionalFormatting>
  <conditionalFormatting sqref="N6:N2005">
    <cfRule type="expression" priority="4" aboveAverage="0" equalAverage="0" bottom="0" percent="0" rank="0" text="" dxfId="3">
      <formula>AND(N6&lt;&gt;"",N6&lt;&gt;"OK")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true" outlineLevel="0" max="3" min="3" style="0" width="6"/>
    <col collapsed="false" customWidth="true" hidden="false" outlineLevel="0" max="4" min="4" style="0" width="11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55"/>
    <col collapsed="false" customWidth="true" hidden="false" outlineLevel="0" max="12" min="12" style="0" width="24"/>
  </cols>
  <sheetData>
    <row r="1" customFormat="false" ht="17.35" hidden="false" customHeight="false" outlineLevel="0" collapsed="false">
      <c r="A1" s="1" t="s">
        <v>276</v>
      </c>
    </row>
    <row r="2" customFormat="false" ht="15" hidden="false" customHeight="false" outlineLevel="0" collapsed="false">
      <c r="A2" s="2" t="s">
        <v>277</v>
      </c>
    </row>
    <row r="3" customFormat="false" ht="15" hidden="false" customHeight="false" outlineLevel="0" collapsed="false">
      <c r="A3" s="18" t="s">
        <v>278</v>
      </c>
      <c r="B3" s="22" t="n">
        <f aca="false">SUMIFS(G6:G2005,H6:H2005,"Deposit in transit")</f>
        <v>960</v>
      </c>
      <c r="C3" s="18" t="s">
        <v>279</v>
      </c>
      <c r="D3" s="22" t="n">
        <f aca="false">SUMIFS(G6:G2005,H6:H2005,"Outstanding check / payment")</f>
        <v>-3030.95</v>
      </c>
      <c r="E3" s="18" t="s">
        <v>280</v>
      </c>
      <c r="F3" s="22" t="n">
        <f aca="false">SUMIFS(G6:G2005,H6:H2005,"Bank credit not in GL")</f>
        <v>3.12</v>
      </c>
      <c r="G3" s="18" t="s">
        <v>281</v>
      </c>
      <c r="H3" s="22" t="n">
        <f aca="false">SUMIFS(G6:G2005,H6:H2005,"Bank debit not in GL")</f>
        <v>-211.23</v>
      </c>
    </row>
    <row r="5" customFormat="false" ht="23.85" hidden="false" customHeight="false" outlineLevel="0" collapsed="false">
      <c r="A5" s="39" t="s">
        <v>282</v>
      </c>
      <c r="B5" s="39" t="s">
        <v>34</v>
      </c>
      <c r="C5" s="40" t="s">
        <v>283</v>
      </c>
      <c r="D5" s="40" t="s">
        <v>35</v>
      </c>
      <c r="E5" s="40" t="s">
        <v>36</v>
      </c>
      <c r="F5" s="40" t="s">
        <v>37</v>
      </c>
      <c r="G5" s="40" t="s">
        <v>38</v>
      </c>
      <c r="H5" s="40" t="s">
        <v>284</v>
      </c>
      <c r="I5" s="40" t="s">
        <v>285</v>
      </c>
      <c r="J5" s="40" t="s">
        <v>11</v>
      </c>
      <c r="K5" s="40" t="s">
        <v>40</v>
      </c>
      <c r="L5" s="40" t="s">
        <v>286</v>
      </c>
    </row>
    <row r="6" customFormat="false" ht="15" hidden="false" customHeight="false" outlineLevel="0" collapsed="false">
      <c r="A6" s="41" t="s">
        <v>70</v>
      </c>
      <c r="B6" s="41" t="s">
        <v>235</v>
      </c>
      <c r="C6" s="5" t="n">
        <f aca="false">IF(B6="",0,IF(A6="Bank",IFERROR(MATCH(B6,Bank!$A:$A,0),0),IFERROR(MATCH(B6,GL!$A:$A,0),0)))</f>
        <v>3</v>
      </c>
      <c r="D6" s="32" t="n">
        <f aca="false">IF(C6=0,"",IF($A6="Bank",INDEX(Bank!$B:$B,$C6),INDEX(GL!$B:$B,$C6)))</f>
        <v>46233</v>
      </c>
      <c r="E6" s="5" t="str">
        <f aca="false">IF(C6=0,"",IF($A6="Bank",IF(INDEX(Bank!$C:$C,$C6)="","",INDEX(Bank!$C:$C,$C6)),IF(INDEX(GL!$C:$C,$C6)="","",INDEX(GL!$C:$C,$C6))))</f>
        <v>Wasatch Tree Supply - Saplings</v>
      </c>
      <c r="F6" s="5" t="str">
        <f aca="false">IF(C6=0,"",IF($A6="Bank",IF(INDEX(Bank!$D:$D,$C6)="","",INDEX(Bank!$D:$D,$C6)),IF(INDEX(GL!$D:$D,$C6)="","",INDEX(GL!$D:$D,$C6))))</f>
        <v>1041</v>
      </c>
      <c r="G6" s="19" t="n">
        <f aca="false">IF(C6=0,"",IF($A6="Bank",INDEX(Bank!$E:$E,$C6),INDEX(GL!$E:$E,$C6)))</f>
        <v>-455</v>
      </c>
      <c r="H6" s="5" t="str">
        <f aca="false">IF(C6=0,"",IF(A6="GL",IF(G6&gt;0,"Deposit in transit","Outstanding check / payment"),IF(G6&gt;0,"Bank credit not in GL","Bank debit not in GL")))</f>
        <v>Outstanding check / payment</v>
      </c>
      <c r="I6" s="42" t="n">
        <f aca="false">IF(OR(C6=0,CFG_PeriodEnd=""),"",CFG_PeriodEnd-D6)</f>
        <v>32</v>
      </c>
      <c r="J6" s="5" t="str">
        <f aca="false">IF(C6=0,"",IF($A6="Bank",IF(INDEX(Bank!$G:$G,$C6)="","",INDEX(Bank!$G:$G,$C6)),IF(INDEX(GL!$G:$G,$C6)="","",INDEX(GL!$G:$G,$C6))))</f>
        <v/>
      </c>
      <c r="K6" s="5" t="str">
        <f aca="false">IF(C6=0,"",IF($A6="Bank",IF(INDEX(Bank!$I:$I,$C6)="","",INDEX(Bank!$I:$I,$C6)),IF(INDEX(GL!$I:$I,$C6)="","",INDEX(GL!$I:$I,$C6))))</f>
        <v/>
      </c>
      <c r="L6" s="5" t="str">
        <f aca="false">IF(B6="","",IF(C6=0,"NOT FOUND",IF(IF($A6="Bank",INDEX(Bank!$F:$F,$C6),INDEX(GL!$F:$F,$C6))="Y","NOW RECONCILED: refresh","OK")))</f>
        <v>OK</v>
      </c>
    </row>
    <row r="7" customFormat="false" ht="15" hidden="false" customHeight="false" outlineLevel="0" collapsed="false">
      <c r="A7" s="41" t="s">
        <v>70</v>
      </c>
      <c r="B7" s="41" t="s">
        <v>246</v>
      </c>
      <c r="C7" s="5" t="n">
        <f aca="false">IF(B7="",0,IF(A7="Bank",IFERROR(MATCH(B7,Bank!$A:$A,0),0),IFERROR(MATCH(B7,GL!$A:$A,0),0)))</f>
        <v>13</v>
      </c>
      <c r="D7" s="32" t="n">
        <f aca="false">IF(C7=0,"",IF($A7="Bank",INDEX(Bank!$B:$B,$C7),INDEX(GL!$B:$B,$C7)))</f>
        <v>46252</v>
      </c>
      <c r="E7" s="5" t="str">
        <f aca="false">IF(C7=0,"",IF($A7="Bank",IF(INDEX(Bank!$C:$C,$C7)="","",INDEX(Bank!$C:$C,$C7)),IF(INDEX(GL!$C:$C,$C7)="","",INDEX(GL!$C:$C,$C7))))</f>
        <v>Verizon Wireless - August</v>
      </c>
      <c r="F7" s="5" t="str">
        <f aca="false">IF(C7=0,"",IF($A7="Bank",IF(INDEX(Bank!$D:$D,$C7)="","",INDEX(Bank!$D:$D,$C7)),IF(INDEX(GL!$D:$D,$C7)="","",INDEX(GL!$D:$D,$C7))))</f>
        <v/>
      </c>
      <c r="G7" s="19" t="n">
        <f aca="false">IF(C7=0,"",IF($A7="Bank",INDEX(Bank!$E:$E,$C7),INDEX(GL!$E:$E,$C7)))</f>
        <v>-186.2</v>
      </c>
      <c r="H7" s="5" t="str">
        <f aca="false">IF(C7=0,"",IF(A7="GL",IF(G7&gt;0,"Deposit in transit","Outstanding check / payment"),IF(G7&gt;0,"Bank credit not in GL","Bank debit not in GL")))</f>
        <v>Outstanding check / payment</v>
      </c>
      <c r="I7" s="42" t="n">
        <f aca="false">IF(OR(C7=0,CFG_PeriodEnd=""),"",CFG_PeriodEnd-D7)</f>
        <v>13</v>
      </c>
      <c r="J7" s="5" t="str">
        <f aca="false">IF(C7=0,"",IF($A7="Bank",IF(INDEX(Bank!$G:$G,$C7)="","",INDEX(Bank!$G:$G,$C7)),IF(INDEX(GL!$G:$G,$C7)="","",INDEX(GL!$G:$G,$C7))))</f>
        <v>Near</v>
      </c>
      <c r="K7" s="5" t="str">
        <f aca="false">IF(C7=0,"",IF($A7="Bank",IF(INDEX(Bank!$I:$I,$C7)="","",INDEX(Bank!$I:$I,$C7)),IF(INDEX(GL!$I:$I,$C7)="","",INDEX(GL!$I:$I,$C7))))</f>
        <v>Near match: Bank B-2608-0010 "ACH DEBIT VERIZON WIRELESS" -186.23 (diff 0.03). Not reconciled.</v>
      </c>
      <c r="L7" s="5" t="str">
        <f aca="false">IF(B7="","",IF(C7=0,"NOT FOUND",IF(IF($A7="Bank",INDEX(Bank!$F:$F,$C7),INDEX(GL!$F:$F,$C7))="Y","NOW RECONCILED: refresh","OK")))</f>
        <v>OK</v>
      </c>
    </row>
    <row r="8" customFormat="false" ht="15" hidden="false" customHeight="false" outlineLevel="0" collapsed="false">
      <c r="A8" s="41" t="s">
        <v>70</v>
      </c>
      <c r="B8" s="41" t="s">
        <v>251</v>
      </c>
      <c r="C8" s="5" t="n">
        <f aca="false">IF(B8="",0,IF(A8="Bank",IFERROR(MATCH(B8,Bank!$A:$A,0),0),IFERROR(MATCH(B8,GL!$A:$A,0),0)))</f>
        <v>16</v>
      </c>
      <c r="D8" s="32" t="n">
        <f aca="false">IF(C8=0,"",IF($A8="Bank",INDEX(Bank!$B:$B,$C8),INDEX(GL!$B:$B,$C8)))</f>
        <v>46262</v>
      </c>
      <c r="E8" s="5" t="str">
        <f aca="false">IF(C8=0,"",IF($A8="Bank",IF(INDEX(Bank!$C:$C,$C8)="","",INDEX(Bank!$C:$C,$C8)),IF(INDEX(GL!$C:$C,$C8)="","",INDEX(GL!$C:$C,$C8))))</f>
        <v>Canyon Properties - Sep rent</v>
      </c>
      <c r="F8" s="5" t="str">
        <f aca="false">IF(C8=0,"",IF($A8="Bank",IF(INDEX(Bank!$D:$D,$C8)="","",INDEX(Bank!$D:$D,$C8)),IF(INDEX(GL!$D:$D,$C8)="","",INDEX(GL!$D:$D,$C8))))</f>
        <v>1049</v>
      </c>
      <c r="G8" s="19" t="n">
        <f aca="false">IF(C8=0,"",IF($A8="Bank",INDEX(Bank!$E:$E,$C8),INDEX(GL!$E:$E,$C8)))</f>
        <v>-2000</v>
      </c>
      <c r="H8" s="5" t="str">
        <f aca="false">IF(C8=0,"",IF(A8="GL",IF(G8&gt;0,"Deposit in transit","Outstanding check / payment"),IF(G8&gt;0,"Bank credit not in GL","Bank debit not in GL")))</f>
        <v>Outstanding check / payment</v>
      </c>
      <c r="I8" s="42" t="n">
        <f aca="false">IF(OR(C8=0,CFG_PeriodEnd=""),"",CFG_PeriodEnd-D8)</f>
        <v>3</v>
      </c>
      <c r="J8" s="5" t="str">
        <f aca="false">IF(C8=0,"",IF($A8="Bank",IF(INDEX(Bank!$G:$G,$C8)="","",INDEX(Bank!$G:$G,$C8)),IF(INDEX(GL!$G:$G,$C8)="","",INDEX(GL!$G:$G,$C8))))</f>
        <v/>
      </c>
      <c r="K8" s="5" t="str">
        <f aca="false">IF(C8=0,"",IF($A8="Bank",IF(INDEX(Bank!$I:$I,$C8)="","",INDEX(Bank!$I:$I,$C8)),IF(INDEX(GL!$I:$I,$C8)="","",INDEX(GL!$I:$I,$C8))))</f>
        <v/>
      </c>
      <c r="L8" s="5" t="str">
        <f aca="false">IF(B8="","",IF(C8=0,"NOT FOUND",IF(IF($A8="Bank",INDEX(Bank!$F:$F,$C8),INDEX(GL!$F:$F,$C8))="Y","NOW RECONCILED: refresh","OK")))</f>
        <v>OK</v>
      </c>
    </row>
    <row r="9" customFormat="false" ht="15" hidden="false" customHeight="false" outlineLevel="0" collapsed="false">
      <c r="A9" s="41" t="s">
        <v>70</v>
      </c>
      <c r="B9" s="41" t="s">
        <v>254</v>
      </c>
      <c r="C9" s="5" t="n">
        <f aca="false">IF(B9="",0,IF(A9="Bank",IFERROR(MATCH(B9,Bank!$A:$A,0),0),IFERROR(MATCH(B9,GL!$A:$A,0),0)))</f>
        <v>17</v>
      </c>
      <c r="D9" s="32" t="n">
        <f aca="false">IF(C9=0,"",IF($A9="Bank",INDEX(Bank!$B:$B,$C9),INDEX(GL!$B:$B,$C9)))</f>
        <v>46263</v>
      </c>
      <c r="E9" s="5" t="str">
        <f aca="false">IF(C9=0,"",IF($A9="Bank",IF(INDEX(Bank!$C:$C,$C9)="","",INDEX(Bank!$C:$C,$C9)),IF(INDEX(GL!$C:$C,$C9)="","",INDEX(GL!$C:$C,$C9))))</f>
        <v>Peak Fuel - Fuel</v>
      </c>
      <c r="F9" s="5" t="str">
        <f aca="false">IF(C9=0,"",IF($A9="Bank",IF(INDEX(Bank!$D:$D,$C9)="","",INDEX(Bank!$D:$D,$C9)),IF(INDEX(GL!$D:$D,$C9)="","",INDEX(GL!$D:$D,$C9))))</f>
        <v>1050</v>
      </c>
      <c r="G9" s="19" t="n">
        <f aca="false">IF(C9=0,"",IF($A9="Bank",INDEX(Bank!$E:$E,$C9),INDEX(GL!$E:$E,$C9)))</f>
        <v>-389.75</v>
      </c>
      <c r="H9" s="5" t="str">
        <f aca="false">IF(C9=0,"",IF(A9="GL",IF(G9&gt;0,"Deposit in transit","Outstanding check / payment"),IF(G9&gt;0,"Bank credit not in GL","Bank debit not in GL")))</f>
        <v>Outstanding check / payment</v>
      </c>
      <c r="I9" s="42" t="n">
        <f aca="false">IF(OR(C9=0,CFG_PeriodEnd=""),"",CFG_PeriodEnd-D9)</f>
        <v>2</v>
      </c>
      <c r="J9" s="5" t="str">
        <f aca="false">IF(C9=0,"",IF($A9="Bank",IF(INDEX(Bank!$G:$G,$C9)="","",INDEX(Bank!$G:$G,$C9)),IF(INDEX(GL!$G:$G,$C9)="","",INDEX(GL!$G:$G,$C9))))</f>
        <v/>
      </c>
      <c r="K9" s="5" t="str">
        <f aca="false">IF(C9=0,"",IF($A9="Bank",IF(INDEX(Bank!$I:$I,$C9)="","",INDEX(Bank!$I:$I,$C9)),IF(INDEX(GL!$I:$I,$C9)="","",INDEX(GL!$I:$I,$C9))))</f>
        <v/>
      </c>
      <c r="L9" s="5" t="str">
        <f aca="false">IF(B9="","",IF(C9=0,"NOT FOUND",IF(IF($A9="Bank",INDEX(Bank!$F:$F,$C9),INDEX(GL!$F:$F,$C9))="Y","NOW RECONCILED: refresh","OK")))</f>
        <v>OK</v>
      </c>
    </row>
    <row r="10" customFormat="false" ht="15" hidden="false" customHeight="false" outlineLevel="0" collapsed="false">
      <c r="A10" s="41" t="s">
        <v>70</v>
      </c>
      <c r="B10" s="41" t="s">
        <v>257</v>
      </c>
      <c r="C10" s="5" t="n">
        <f aca="false">IF(B10="",0,IF(A10="Bank",IFERROR(MATCH(B10,Bank!$A:$A,0),0),IFERROR(MATCH(B10,GL!$A:$A,0),0)))</f>
        <v>18</v>
      </c>
      <c r="D10" s="32" t="n">
        <f aca="false">IF(C10=0,"",IF($A10="Bank",INDEX(Bank!$B:$B,$C10),INDEX(GL!$B:$B,$C10)))</f>
        <v>46265</v>
      </c>
      <c r="E10" s="5" t="str">
        <f aca="false">IF(C10=0,"",IF($A10="Bank",IF(INDEX(Bank!$C:$C,$C10)="","",INDEX(Bank!$C:$C,$C10)),IF(INDEX(GL!$C:$C,$C10)="","",INDEX(GL!$C:$C,$C10))))</f>
        <v>Birch Lane Homes - Customer payment</v>
      </c>
      <c r="F10" s="5" t="str">
        <f aca="false">IF(C10=0,"",IF($A10="Bank",IF(INDEX(Bank!$D:$D,$C10)="","",INDEX(Bank!$D:$D,$C10)),IF(INDEX(GL!$D:$D,$C10)="","",INDEX(GL!$D:$D,$C10))))</f>
        <v/>
      </c>
      <c r="G10" s="19" t="n">
        <f aca="false">IF(C10=0,"",IF($A10="Bank",INDEX(Bank!$E:$E,$C10),INDEX(GL!$E:$E,$C10)))</f>
        <v>960</v>
      </c>
      <c r="H10" s="5" t="str">
        <f aca="false">IF(C10=0,"",IF(A10="GL",IF(G10&gt;0,"Deposit in transit","Outstanding check / payment"),IF(G10&gt;0,"Bank credit not in GL","Bank debit not in GL")))</f>
        <v>Deposit in transit</v>
      </c>
      <c r="I10" s="42" t="n">
        <f aca="false">IF(OR(C10=0,CFG_PeriodEnd=""),"",CFG_PeriodEnd-D10)</f>
        <v>0</v>
      </c>
      <c r="J10" s="5" t="str">
        <f aca="false">IF(C10=0,"",IF($A10="Bank",IF(INDEX(Bank!$G:$G,$C10)="","",INDEX(Bank!$G:$G,$C10)),IF(INDEX(GL!$G:$G,$C10)="","",INDEX(GL!$G:$G,$C10))))</f>
        <v/>
      </c>
      <c r="K10" s="5" t="str">
        <f aca="false">IF(C10=0,"",IF($A10="Bank",IF(INDEX(Bank!$I:$I,$C10)="","",INDEX(Bank!$I:$I,$C10)),IF(INDEX(GL!$I:$I,$C10)="","",INDEX(GL!$I:$I,$C10))))</f>
        <v/>
      </c>
      <c r="L10" s="5" t="str">
        <f aca="false">IF(B10="","",IF(C10=0,"NOT FOUND",IF(IF($A10="Bank",INDEX(Bank!$F:$F,$C10),INDEX(GL!$F:$F,$C10))="Y","NOW RECONCILED: refresh","OK")))</f>
        <v>OK</v>
      </c>
    </row>
    <row r="11" customFormat="false" ht="15" hidden="false" customHeight="false" outlineLevel="0" collapsed="false">
      <c r="A11" s="41" t="s">
        <v>69</v>
      </c>
      <c r="B11" s="41" t="s">
        <v>216</v>
      </c>
      <c r="C11" s="5" t="n">
        <f aca="false">IF(B11="",0,IF(A11="Bank",IFERROR(MATCH(B11,Bank!$A:$A,0),0),IFERROR(MATCH(B11,GL!$A:$A,0),0)))</f>
        <v>11</v>
      </c>
      <c r="D11" s="32" t="n">
        <f aca="false">IF(C11=0,"",IF($A11="Bank",INDEX(Bank!$B:$B,$C11),INDEX(GL!$B:$B,$C11)))</f>
        <v>46253</v>
      </c>
      <c r="E11" s="5" t="str">
        <f aca="false">IF(C11=0,"",IF($A11="Bank",IF(INDEX(Bank!$C:$C,$C11)="","",INDEX(Bank!$C:$C,$C11)),IF(INDEX(GL!$C:$C,$C11)="","",INDEX(GL!$C:$C,$C11))))</f>
        <v>ACH DEBIT VERIZON WIRELESS</v>
      </c>
      <c r="F11" s="5" t="str">
        <f aca="false">IF(C11=0,"",IF($A11="Bank",IF(INDEX(Bank!$D:$D,$C11)="","",INDEX(Bank!$D:$D,$C11)),IF(INDEX(GL!$D:$D,$C11)="","",INDEX(GL!$D:$D,$C11))))</f>
        <v/>
      </c>
      <c r="G11" s="19" t="n">
        <f aca="false">IF(C11=0,"",IF($A11="Bank",INDEX(Bank!$E:$E,$C11),INDEX(GL!$E:$E,$C11)))</f>
        <v>-186.23</v>
      </c>
      <c r="H11" s="5" t="str">
        <f aca="false">IF(C11=0,"",IF(A11="GL",IF(G11&gt;0,"Deposit in transit","Outstanding check / payment"),IF(G11&gt;0,"Bank credit not in GL","Bank debit not in GL")))</f>
        <v>Bank debit not in GL</v>
      </c>
      <c r="I11" s="42" t="n">
        <f aca="false">IF(OR(C11=0,CFG_PeriodEnd=""),"",CFG_PeriodEnd-D11)</f>
        <v>12</v>
      </c>
      <c r="J11" s="5" t="str">
        <f aca="false">IF(C11=0,"",IF($A11="Bank",IF(INDEX(Bank!$G:$G,$C11)="","",INDEX(Bank!$G:$G,$C11)),IF(INDEX(GL!$G:$G,$C11)="","",INDEX(GL!$G:$G,$C11))))</f>
        <v>Near</v>
      </c>
      <c r="K11" s="5" t="str">
        <f aca="false">IF(C11=0,"",IF($A11="Bank",IF(INDEX(Bank!$I:$I,$C11)="","",INDEX(Bank!$I:$I,$C11)),IF(INDEX(GL!$I:$I,$C11)="","",INDEX(GL!$I:$I,$C11))))</f>
        <v>Near match: GL G-2608-0010 "Verizon Wireless - August" -186.20 (diff 0.03). Not reconciled.</v>
      </c>
      <c r="L11" s="5" t="str">
        <f aca="false">IF(B11="","",IF(C11=0,"NOT FOUND",IF(IF($A11="Bank",INDEX(Bank!$F:$F,$C11),INDEX(GL!$F:$F,$C11))="Y","NOW RECONCILED: refresh","OK")))</f>
        <v>OK</v>
      </c>
    </row>
    <row r="12" customFormat="false" ht="15" hidden="false" customHeight="false" outlineLevel="0" collapsed="false">
      <c r="A12" s="41" t="s">
        <v>69</v>
      </c>
      <c r="B12" s="41" t="s">
        <v>229</v>
      </c>
      <c r="C12" s="5" t="n">
        <f aca="false">IF(B12="",0,IF(A12="Bank",IFERROR(MATCH(B12,Bank!$A:$A,0),0),IFERROR(MATCH(B12,GL!$A:$A,0),0)))</f>
        <v>15</v>
      </c>
      <c r="D12" s="32" t="n">
        <f aca="false">IF(C12=0,"",IF($A12="Bank",INDEX(Bank!$B:$B,$C12),INDEX(GL!$B:$B,$C12)))</f>
        <v>46263</v>
      </c>
      <c r="E12" s="5" t="str">
        <f aca="false">IF(C12=0,"",IF($A12="Bank",IF(INDEX(Bank!$C:$C,$C12)="","",INDEX(Bank!$C:$C,$C12)),IF(INDEX(GL!$C:$C,$C12)="","",INDEX(GL!$C:$C,$C12))))</f>
        <v>SERVICE CHARGE</v>
      </c>
      <c r="F12" s="5" t="str">
        <f aca="false">IF(C12=0,"",IF($A12="Bank",IF(INDEX(Bank!$D:$D,$C12)="","",INDEX(Bank!$D:$D,$C12)),IF(INDEX(GL!$D:$D,$C12)="","",INDEX(GL!$D:$D,$C12))))</f>
        <v/>
      </c>
      <c r="G12" s="19" t="n">
        <f aca="false">IF(C12=0,"",IF($A12="Bank",INDEX(Bank!$E:$E,$C12),INDEX(GL!$E:$E,$C12)))</f>
        <v>-25</v>
      </c>
      <c r="H12" s="5" t="str">
        <f aca="false">IF(C12=0,"",IF(A12="GL",IF(G12&gt;0,"Deposit in transit","Outstanding check / payment"),IF(G12&gt;0,"Bank credit not in GL","Bank debit not in GL")))</f>
        <v>Bank debit not in GL</v>
      </c>
      <c r="I12" s="42" t="n">
        <f aca="false">IF(OR(C12=0,CFG_PeriodEnd=""),"",CFG_PeriodEnd-D12)</f>
        <v>2</v>
      </c>
      <c r="J12" s="5" t="str">
        <f aca="false">IF(C12=0,"",IF($A12="Bank",IF(INDEX(Bank!$G:$G,$C12)="","",INDEX(Bank!$G:$G,$C12)),IF(INDEX(GL!$G:$G,$C12)="","",INDEX(GL!$G:$G,$C12))))</f>
        <v/>
      </c>
      <c r="K12" s="5" t="str">
        <f aca="false">IF(C12=0,"",IF($A12="Bank",IF(INDEX(Bank!$I:$I,$C12)="","",INDEX(Bank!$I:$I,$C12)),IF(INDEX(GL!$I:$I,$C12)="","",INDEX(GL!$I:$I,$C12))))</f>
        <v/>
      </c>
      <c r="L12" s="5" t="str">
        <f aca="false">IF(B12="","",IF(C12=0,"NOT FOUND",IF(IF($A12="Bank",INDEX(Bank!$F:$F,$C12),INDEX(GL!$F:$F,$C12))="Y","NOW RECONCILED: refresh","OK")))</f>
        <v>OK</v>
      </c>
    </row>
    <row r="13" customFormat="false" ht="15" hidden="false" customHeight="false" outlineLevel="0" collapsed="false">
      <c r="A13" s="41" t="s">
        <v>69</v>
      </c>
      <c r="B13" s="41" t="s">
        <v>231</v>
      </c>
      <c r="C13" s="5" t="n">
        <f aca="false">IF(B13="",0,IF(A13="Bank",IFERROR(MATCH(B13,Bank!$A:$A,0),0),IFERROR(MATCH(B13,GL!$A:$A,0),0)))</f>
        <v>16</v>
      </c>
      <c r="D13" s="32" t="n">
        <f aca="false">IF(C13=0,"",IF($A13="Bank",INDEX(Bank!$B:$B,$C13),INDEX(GL!$B:$B,$C13)))</f>
        <v>46265</v>
      </c>
      <c r="E13" s="5" t="str">
        <f aca="false">IF(C13=0,"",IF($A13="Bank",IF(INDEX(Bank!$C:$C,$C13)="","",INDEX(Bank!$C:$C,$C13)),IF(INDEX(GL!$C:$C,$C13)="","",INDEX(GL!$C:$C,$C13))))</f>
        <v>INTEREST PAYMENT</v>
      </c>
      <c r="F13" s="5" t="str">
        <f aca="false">IF(C13=0,"",IF($A13="Bank",IF(INDEX(Bank!$D:$D,$C13)="","",INDEX(Bank!$D:$D,$C13)),IF(INDEX(GL!$D:$D,$C13)="","",INDEX(GL!$D:$D,$C13))))</f>
        <v/>
      </c>
      <c r="G13" s="19" t="n">
        <f aca="false">IF(C13=0,"",IF($A13="Bank",INDEX(Bank!$E:$E,$C13),INDEX(GL!$E:$E,$C13)))</f>
        <v>3.12</v>
      </c>
      <c r="H13" s="5" t="str">
        <f aca="false">IF(C13=0,"",IF(A13="GL",IF(G13&gt;0,"Deposit in transit","Outstanding check / payment"),IF(G13&gt;0,"Bank credit not in GL","Bank debit not in GL")))</f>
        <v>Bank credit not in GL</v>
      </c>
      <c r="I13" s="42" t="n">
        <f aca="false">IF(OR(C13=0,CFG_PeriodEnd=""),"",CFG_PeriodEnd-D13)</f>
        <v>0</v>
      </c>
      <c r="J13" s="5" t="str">
        <f aca="false">IF(C13=0,"",IF($A13="Bank",IF(INDEX(Bank!$G:$G,$C13)="","",INDEX(Bank!$G:$G,$C13)),IF(INDEX(GL!$G:$G,$C13)="","",INDEX(GL!$G:$G,$C13))))</f>
        <v/>
      </c>
      <c r="K13" s="5" t="str">
        <f aca="false">IF(C13=0,"",IF($A13="Bank",IF(INDEX(Bank!$I:$I,$C13)="","",INDEX(Bank!$I:$I,$C13)),IF(INDEX(GL!$I:$I,$C13)="","",INDEX(GL!$I:$I,$C13))))</f>
        <v/>
      </c>
      <c r="L13" s="5" t="str">
        <f aca="false">IF(B13="","",IF(C13=0,"NOT FOUND",IF(IF($A13="Bank",INDEX(Bank!$F:$F,$C13),INDEX(GL!$F:$F,$C13))="Y","NOW RECONCILED: refresh","OK")))</f>
        <v>OK</v>
      </c>
    </row>
    <row r="14" customFormat="false" ht="15" hidden="false" customHeight="false" outlineLevel="0" collapsed="false">
      <c r="A14" s="41"/>
      <c r="B14" s="41"/>
      <c r="C14" s="5" t="n">
        <f aca="false">IF(B14="",0,IF(A14="Bank",IFERROR(MATCH(B14,Bank!$A:$A,0),0),IFERROR(MATCH(B14,GL!$A:$A,0),0)))</f>
        <v>0</v>
      </c>
      <c r="D14" s="32" t="str">
        <f aca="false">IF(C14=0,"",IF($A14="Bank",INDEX(Bank!$B:$B,$C14),INDEX(GL!$B:$B,$C14)))</f>
        <v/>
      </c>
      <c r="E14" s="5" t="str">
        <f aca="false">IF(C14=0,"",IF($A14="Bank",IF(INDEX(Bank!$C:$C,$C14)="","",INDEX(Bank!$C:$C,$C14)),IF(INDEX(GL!$C:$C,$C14)="","",INDEX(GL!$C:$C,$C14))))</f>
        <v/>
      </c>
      <c r="F14" s="5" t="str">
        <f aca="false">IF(C14=0,"",IF($A14="Bank",IF(INDEX(Bank!$D:$D,$C14)="","",INDEX(Bank!$D:$D,$C14)),IF(INDEX(GL!$D:$D,$C14)="","",INDEX(GL!$D:$D,$C14))))</f>
        <v/>
      </c>
      <c r="G14" s="19" t="str">
        <f aca="false">IF(C14=0,"",IF($A14="Bank",INDEX(Bank!$E:$E,$C14),INDEX(GL!$E:$E,$C14)))</f>
        <v/>
      </c>
      <c r="H14" s="5" t="str">
        <f aca="false">IF(C14=0,"",IF(A14="GL",IF(G14&gt;0,"Deposit in transit","Outstanding check / payment"),IF(G14&gt;0,"Bank credit not in GL","Bank debit not in GL")))</f>
        <v/>
      </c>
      <c r="I14" s="42" t="str">
        <f aca="false">IF(OR(C14=0,CFG_PeriodEnd=""),"",CFG_PeriodEnd-D14)</f>
        <v/>
      </c>
      <c r="J14" s="5" t="str">
        <f aca="false">IF(C14=0,"",IF($A14="Bank",IF(INDEX(Bank!$G:$G,$C14)="","",INDEX(Bank!$G:$G,$C14)),IF(INDEX(GL!$G:$G,$C14)="","",INDEX(GL!$G:$G,$C14))))</f>
        <v/>
      </c>
      <c r="K14" s="5" t="str">
        <f aca="false">IF(C14=0,"",IF($A14="Bank",IF(INDEX(Bank!$I:$I,$C14)="","",INDEX(Bank!$I:$I,$C14)),IF(INDEX(GL!$I:$I,$C14)="","",INDEX(GL!$I:$I,$C14))))</f>
        <v/>
      </c>
      <c r="L14" s="5" t="str">
        <f aca="false">IF(B14="","",IF(C14=0,"NOT FOUND",IF(IF($A14="Bank",INDEX(Bank!$F:$F,$C14),INDEX(GL!$F:$F,$C14))="Y","NOW RECONCILED: refresh","OK")))</f>
        <v/>
      </c>
    </row>
    <row r="15" customFormat="false" ht="15" hidden="false" customHeight="false" outlineLevel="0" collapsed="false">
      <c r="A15" s="41"/>
      <c r="B15" s="41"/>
      <c r="C15" s="5" t="n">
        <f aca="false">IF(B15="",0,IF(A15="Bank",IFERROR(MATCH(B15,Bank!$A:$A,0),0),IFERROR(MATCH(B15,GL!$A:$A,0),0)))</f>
        <v>0</v>
      </c>
      <c r="D15" s="32" t="str">
        <f aca="false">IF(C15=0,"",IF($A15="Bank",INDEX(Bank!$B:$B,$C15),INDEX(GL!$B:$B,$C15)))</f>
        <v/>
      </c>
      <c r="E15" s="5" t="str">
        <f aca="false">IF(C15=0,"",IF($A15="Bank",IF(INDEX(Bank!$C:$C,$C15)="","",INDEX(Bank!$C:$C,$C15)),IF(INDEX(GL!$C:$C,$C15)="","",INDEX(GL!$C:$C,$C15))))</f>
        <v/>
      </c>
      <c r="F15" s="5" t="str">
        <f aca="false">IF(C15=0,"",IF($A15="Bank",IF(INDEX(Bank!$D:$D,$C15)="","",INDEX(Bank!$D:$D,$C15)),IF(INDEX(GL!$D:$D,$C15)="","",INDEX(GL!$D:$D,$C15))))</f>
        <v/>
      </c>
      <c r="G15" s="19" t="str">
        <f aca="false">IF(C15=0,"",IF($A15="Bank",INDEX(Bank!$E:$E,$C15),INDEX(GL!$E:$E,$C15)))</f>
        <v/>
      </c>
      <c r="H15" s="5" t="str">
        <f aca="false">IF(C15=0,"",IF(A15="GL",IF(G15&gt;0,"Deposit in transit","Outstanding check / payment"),IF(G15&gt;0,"Bank credit not in GL","Bank debit not in GL")))</f>
        <v/>
      </c>
      <c r="I15" s="42" t="str">
        <f aca="false">IF(OR(C15=0,CFG_PeriodEnd=""),"",CFG_PeriodEnd-D15)</f>
        <v/>
      </c>
      <c r="J15" s="5" t="str">
        <f aca="false">IF(C15=0,"",IF($A15="Bank",IF(INDEX(Bank!$G:$G,$C15)="","",INDEX(Bank!$G:$G,$C15)),IF(INDEX(GL!$G:$G,$C15)="","",INDEX(GL!$G:$G,$C15))))</f>
        <v/>
      </c>
      <c r="K15" s="5" t="str">
        <f aca="false">IF(C15=0,"",IF($A15="Bank",IF(INDEX(Bank!$I:$I,$C15)="","",INDEX(Bank!$I:$I,$C15)),IF(INDEX(GL!$I:$I,$C15)="","",INDEX(GL!$I:$I,$C15))))</f>
        <v/>
      </c>
      <c r="L15" s="5" t="str">
        <f aca="false">IF(B15="","",IF(C15=0,"NOT FOUND",IF(IF($A15="Bank",INDEX(Bank!$F:$F,$C15),INDEX(GL!$F:$F,$C15))="Y","NOW RECONCILED: refresh","OK")))</f>
        <v/>
      </c>
    </row>
    <row r="16" customFormat="false" ht="15" hidden="false" customHeight="false" outlineLevel="0" collapsed="false">
      <c r="A16" s="41"/>
      <c r="B16" s="41"/>
      <c r="C16" s="5" t="n">
        <f aca="false">IF(B16="",0,IF(A16="Bank",IFERROR(MATCH(B16,Bank!$A:$A,0),0),IFERROR(MATCH(B16,GL!$A:$A,0),0)))</f>
        <v>0</v>
      </c>
      <c r="D16" s="32" t="str">
        <f aca="false">IF(C16=0,"",IF($A16="Bank",INDEX(Bank!$B:$B,$C16),INDEX(GL!$B:$B,$C16)))</f>
        <v/>
      </c>
      <c r="E16" s="5" t="str">
        <f aca="false">IF(C16=0,"",IF($A16="Bank",IF(INDEX(Bank!$C:$C,$C16)="","",INDEX(Bank!$C:$C,$C16)),IF(INDEX(GL!$C:$C,$C16)="","",INDEX(GL!$C:$C,$C16))))</f>
        <v/>
      </c>
      <c r="F16" s="5" t="str">
        <f aca="false">IF(C16=0,"",IF($A16="Bank",IF(INDEX(Bank!$D:$D,$C16)="","",INDEX(Bank!$D:$D,$C16)),IF(INDEX(GL!$D:$D,$C16)="","",INDEX(GL!$D:$D,$C16))))</f>
        <v/>
      </c>
      <c r="G16" s="19" t="str">
        <f aca="false">IF(C16=0,"",IF($A16="Bank",INDEX(Bank!$E:$E,$C16),INDEX(GL!$E:$E,$C16)))</f>
        <v/>
      </c>
      <c r="H16" s="5" t="str">
        <f aca="false">IF(C16=0,"",IF(A16="GL",IF(G16&gt;0,"Deposit in transit","Outstanding check / payment"),IF(G16&gt;0,"Bank credit not in GL","Bank debit not in GL")))</f>
        <v/>
      </c>
      <c r="I16" s="42" t="str">
        <f aca="false">IF(OR(C16=0,CFG_PeriodEnd=""),"",CFG_PeriodEnd-D16)</f>
        <v/>
      </c>
      <c r="J16" s="5" t="str">
        <f aca="false">IF(C16=0,"",IF($A16="Bank",IF(INDEX(Bank!$G:$G,$C16)="","",INDEX(Bank!$G:$G,$C16)),IF(INDEX(GL!$G:$G,$C16)="","",INDEX(GL!$G:$G,$C16))))</f>
        <v/>
      </c>
      <c r="K16" s="5" t="str">
        <f aca="false">IF(C16=0,"",IF($A16="Bank",IF(INDEX(Bank!$I:$I,$C16)="","",INDEX(Bank!$I:$I,$C16)),IF(INDEX(GL!$I:$I,$C16)="","",INDEX(GL!$I:$I,$C16))))</f>
        <v/>
      </c>
      <c r="L16" s="5" t="str">
        <f aca="false">IF(B16="","",IF(C16=0,"NOT FOUND",IF(IF($A16="Bank",INDEX(Bank!$F:$F,$C16),INDEX(GL!$F:$F,$C16))="Y","NOW RECONCILED: refresh","OK")))</f>
        <v/>
      </c>
    </row>
    <row r="17" customFormat="false" ht="15" hidden="false" customHeight="false" outlineLevel="0" collapsed="false">
      <c r="A17" s="41"/>
      <c r="B17" s="41"/>
      <c r="C17" s="5" t="n">
        <f aca="false">IF(B17="",0,IF(A17="Bank",IFERROR(MATCH(B17,Bank!$A:$A,0),0),IFERROR(MATCH(B17,GL!$A:$A,0),0)))</f>
        <v>0</v>
      </c>
      <c r="D17" s="32" t="str">
        <f aca="false">IF(C17=0,"",IF($A17="Bank",INDEX(Bank!$B:$B,$C17),INDEX(GL!$B:$B,$C17)))</f>
        <v/>
      </c>
      <c r="E17" s="5" t="str">
        <f aca="false">IF(C17=0,"",IF($A17="Bank",IF(INDEX(Bank!$C:$C,$C17)="","",INDEX(Bank!$C:$C,$C17)),IF(INDEX(GL!$C:$C,$C17)="","",INDEX(GL!$C:$C,$C17))))</f>
        <v/>
      </c>
      <c r="F17" s="5" t="str">
        <f aca="false">IF(C17=0,"",IF($A17="Bank",IF(INDEX(Bank!$D:$D,$C17)="","",INDEX(Bank!$D:$D,$C17)),IF(INDEX(GL!$D:$D,$C17)="","",INDEX(GL!$D:$D,$C17))))</f>
        <v/>
      </c>
      <c r="G17" s="19" t="str">
        <f aca="false">IF(C17=0,"",IF($A17="Bank",INDEX(Bank!$E:$E,$C17),INDEX(GL!$E:$E,$C17)))</f>
        <v/>
      </c>
      <c r="H17" s="5" t="str">
        <f aca="false">IF(C17=0,"",IF(A17="GL",IF(G17&gt;0,"Deposit in transit","Outstanding check / payment"),IF(G17&gt;0,"Bank credit not in GL","Bank debit not in GL")))</f>
        <v/>
      </c>
      <c r="I17" s="42" t="str">
        <f aca="false">IF(OR(C17=0,CFG_PeriodEnd=""),"",CFG_PeriodEnd-D17)</f>
        <v/>
      </c>
      <c r="J17" s="5" t="str">
        <f aca="false">IF(C17=0,"",IF($A17="Bank",IF(INDEX(Bank!$G:$G,$C17)="","",INDEX(Bank!$G:$G,$C17)),IF(INDEX(GL!$G:$G,$C17)="","",INDEX(GL!$G:$G,$C17))))</f>
        <v/>
      </c>
      <c r="K17" s="5" t="str">
        <f aca="false">IF(C17=0,"",IF($A17="Bank",IF(INDEX(Bank!$I:$I,$C17)="","",INDEX(Bank!$I:$I,$C17)),IF(INDEX(GL!$I:$I,$C17)="","",INDEX(GL!$I:$I,$C17))))</f>
        <v/>
      </c>
      <c r="L17" s="5" t="str">
        <f aca="false">IF(B17="","",IF(C17=0,"NOT FOUND",IF(IF($A17="Bank",INDEX(Bank!$F:$F,$C17),INDEX(GL!$F:$F,$C17))="Y","NOW RECONCILED: refresh","OK")))</f>
        <v/>
      </c>
    </row>
    <row r="18" customFormat="false" ht="15" hidden="false" customHeight="false" outlineLevel="0" collapsed="false">
      <c r="A18" s="41"/>
      <c r="B18" s="41"/>
      <c r="C18" s="5" t="n">
        <f aca="false">IF(B18="",0,IF(A18="Bank",IFERROR(MATCH(B18,Bank!$A:$A,0),0),IFERROR(MATCH(B18,GL!$A:$A,0),0)))</f>
        <v>0</v>
      </c>
      <c r="D18" s="32" t="str">
        <f aca="false">IF(C18=0,"",IF($A18="Bank",INDEX(Bank!$B:$B,$C18),INDEX(GL!$B:$B,$C18)))</f>
        <v/>
      </c>
      <c r="E18" s="5" t="str">
        <f aca="false">IF(C18=0,"",IF($A18="Bank",IF(INDEX(Bank!$C:$C,$C18)="","",INDEX(Bank!$C:$C,$C18)),IF(INDEX(GL!$C:$C,$C18)="","",INDEX(GL!$C:$C,$C18))))</f>
        <v/>
      </c>
      <c r="F18" s="5" t="str">
        <f aca="false">IF(C18=0,"",IF($A18="Bank",IF(INDEX(Bank!$D:$D,$C18)="","",INDEX(Bank!$D:$D,$C18)),IF(INDEX(GL!$D:$D,$C18)="","",INDEX(GL!$D:$D,$C18))))</f>
        <v/>
      </c>
      <c r="G18" s="19" t="str">
        <f aca="false">IF(C18=0,"",IF($A18="Bank",INDEX(Bank!$E:$E,$C18),INDEX(GL!$E:$E,$C18)))</f>
        <v/>
      </c>
      <c r="H18" s="5" t="str">
        <f aca="false">IF(C18=0,"",IF(A18="GL",IF(G18&gt;0,"Deposit in transit","Outstanding check / payment"),IF(G18&gt;0,"Bank credit not in GL","Bank debit not in GL")))</f>
        <v/>
      </c>
      <c r="I18" s="42" t="str">
        <f aca="false">IF(OR(C18=0,CFG_PeriodEnd=""),"",CFG_PeriodEnd-D18)</f>
        <v/>
      </c>
      <c r="J18" s="5" t="str">
        <f aca="false">IF(C18=0,"",IF($A18="Bank",IF(INDEX(Bank!$G:$G,$C18)="","",INDEX(Bank!$G:$G,$C18)),IF(INDEX(GL!$G:$G,$C18)="","",INDEX(GL!$G:$G,$C18))))</f>
        <v/>
      </c>
      <c r="K18" s="5" t="str">
        <f aca="false">IF(C18=0,"",IF($A18="Bank",IF(INDEX(Bank!$I:$I,$C18)="","",INDEX(Bank!$I:$I,$C18)),IF(INDEX(GL!$I:$I,$C18)="","",INDEX(GL!$I:$I,$C18))))</f>
        <v/>
      </c>
      <c r="L18" s="5" t="str">
        <f aca="false">IF(B18="","",IF(C18=0,"NOT FOUND",IF(IF($A18="Bank",INDEX(Bank!$F:$F,$C18),INDEX(GL!$F:$F,$C18))="Y","NOW RECONCILED: refresh","OK")))</f>
        <v/>
      </c>
    </row>
    <row r="19" customFormat="false" ht="15" hidden="false" customHeight="false" outlineLevel="0" collapsed="false">
      <c r="A19" s="41"/>
      <c r="B19" s="41"/>
      <c r="C19" s="5" t="n">
        <f aca="false">IF(B19="",0,IF(A19="Bank",IFERROR(MATCH(B19,Bank!$A:$A,0),0),IFERROR(MATCH(B19,GL!$A:$A,0),0)))</f>
        <v>0</v>
      </c>
      <c r="D19" s="32" t="str">
        <f aca="false">IF(C19=0,"",IF($A19="Bank",INDEX(Bank!$B:$B,$C19),INDEX(GL!$B:$B,$C19)))</f>
        <v/>
      </c>
      <c r="E19" s="5" t="str">
        <f aca="false">IF(C19=0,"",IF($A19="Bank",IF(INDEX(Bank!$C:$C,$C19)="","",INDEX(Bank!$C:$C,$C19)),IF(INDEX(GL!$C:$C,$C19)="","",INDEX(GL!$C:$C,$C19))))</f>
        <v/>
      </c>
      <c r="F19" s="5" t="str">
        <f aca="false">IF(C19=0,"",IF($A19="Bank",IF(INDEX(Bank!$D:$D,$C19)="","",INDEX(Bank!$D:$D,$C19)),IF(INDEX(GL!$D:$D,$C19)="","",INDEX(GL!$D:$D,$C19))))</f>
        <v/>
      </c>
      <c r="G19" s="19" t="str">
        <f aca="false">IF(C19=0,"",IF($A19="Bank",INDEX(Bank!$E:$E,$C19),INDEX(GL!$E:$E,$C19)))</f>
        <v/>
      </c>
      <c r="H19" s="5" t="str">
        <f aca="false">IF(C19=0,"",IF(A19="GL",IF(G19&gt;0,"Deposit in transit","Outstanding check / payment"),IF(G19&gt;0,"Bank credit not in GL","Bank debit not in GL")))</f>
        <v/>
      </c>
      <c r="I19" s="42" t="str">
        <f aca="false">IF(OR(C19=0,CFG_PeriodEnd=""),"",CFG_PeriodEnd-D19)</f>
        <v/>
      </c>
      <c r="J19" s="5" t="str">
        <f aca="false">IF(C19=0,"",IF($A19="Bank",IF(INDEX(Bank!$G:$G,$C19)="","",INDEX(Bank!$G:$G,$C19)),IF(INDEX(GL!$G:$G,$C19)="","",INDEX(GL!$G:$G,$C19))))</f>
        <v/>
      </c>
      <c r="K19" s="5" t="str">
        <f aca="false">IF(C19=0,"",IF($A19="Bank",IF(INDEX(Bank!$I:$I,$C19)="","",INDEX(Bank!$I:$I,$C19)),IF(INDEX(GL!$I:$I,$C19)="","",INDEX(GL!$I:$I,$C19))))</f>
        <v/>
      </c>
      <c r="L19" s="5" t="str">
        <f aca="false">IF(B19="","",IF(C19=0,"NOT FOUND",IF(IF($A19="Bank",INDEX(Bank!$F:$F,$C19),INDEX(GL!$F:$F,$C19))="Y","NOW RECONCILED: refresh","OK")))</f>
        <v/>
      </c>
    </row>
    <row r="20" customFormat="false" ht="15" hidden="false" customHeight="false" outlineLevel="0" collapsed="false">
      <c r="A20" s="41"/>
      <c r="B20" s="41"/>
      <c r="C20" s="5" t="n">
        <f aca="false">IF(B20="",0,IF(A20="Bank",IFERROR(MATCH(B20,Bank!$A:$A,0),0),IFERROR(MATCH(B20,GL!$A:$A,0),0)))</f>
        <v>0</v>
      </c>
      <c r="D20" s="32" t="str">
        <f aca="false">IF(C20=0,"",IF($A20="Bank",INDEX(Bank!$B:$B,$C20),INDEX(GL!$B:$B,$C20)))</f>
        <v/>
      </c>
      <c r="E20" s="5" t="str">
        <f aca="false">IF(C20=0,"",IF($A20="Bank",IF(INDEX(Bank!$C:$C,$C20)="","",INDEX(Bank!$C:$C,$C20)),IF(INDEX(GL!$C:$C,$C20)="","",INDEX(GL!$C:$C,$C20))))</f>
        <v/>
      </c>
      <c r="F20" s="5" t="str">
        <f aca="false">IF(C20=0,"",IF($A20="Bank",IF(INDEX(Bank!$D:$D,$C20)="","",INDEX(Bank!$D:$D,$C20)),IF(INDEX(GL!$D:$D,$C20)="","",INDEX(GL!$D:$D,$C20))))</f>
        <v/>
      </c>
      <c r="G20" s="19" t="str">
        <f aca="false">IF(C20=0,"",IF($A20="Bank",INDEX(Bank!$E:$E,$C20),INDEX(GL!$E:$E,$C20)))</f>
        <v/>
      </c>
      <c r="H20" s="5" t="str">
        <f aca="false">IF(C20=0,"",IF(A20="GL",IF(G20&gt;0,"Deposit in transit","Outstanding check / payment"),IF(G20&gt;0,"Bank credit not in GL","Bank debit not in GL")))</f>
        <v/>
      </c>
      <c r="I20" s="42" t="str">
        <f aca="false">IF(OR(C20=0,CFG_PeriodEnd=""),"",CFG_PeriodEnd-D20)</f>
        <v/>
      </c>
      <c r="J20" s="5" t="str">
        <f aca="false">IF(C20=0,"",IF($A20="Bank",IF(INDEX(Bank!$G:$G,$C20)="","",INDEX(Bank!$G:$G,$C20)),IF(INDEX(GL!$G:$G,$C20)="","",INDEX(GL!$G:$G,$C20))))</f>
        <v/>
      </c>
      <c r="K20" s="5" t="str">
        <f aca="false">IF(C20=0,"",IF($A20="Bank",IF(INDEX(Bank!$I:$I,$C20)="","",INDEX(Bank!$I:$I,$C20)),IF(INDEX(GL!$I:$I,$C20)="","",INDEX(GL!$I:$I,$C20))))</f>
        <v/>
      </c>
      <c r="L20" s="5" t="str">
        <f aca="false">IF(B20="","",IF(C20=0,"NOT FOUND",IF(IF($A20="Bank",INDEX(Bank!$F:$F,$C20),INDEX(GL!$F:$F,$C20))="Y","NOW RECONCILED: refresh","OK")))</f>
        <v/>
      </c>
    </row>
    <row r="21" customFormat="false" ht="15" hidden="false" customHeight="false" outlineLevel="0" collapsed="false">
      <c r="A21" s="41"/>
      <c r="B21" s="41"/>
      <c r="C21" s="5" t="n">
        <f aca="false">IF(B21="",0,IF(A21="Bank",IFERROR(MATCH(B21,Bank!$A:$A,0),0),IFERROR(MATCH(B21,GL!$A:$A,0),0)))</f>
        <v>0</v>
      </c>
      <c r="D21" s="32" t="str">
        <f aca="false">IF(C21=0,"",IF($A21="Bank",INDEX(Bank!$B:$B,$C21),INDEX(GL!$B:$B,$C21)))</f>
        <v/>
      </c>
      <c r="E21" s="5" t="str">
        <f aca="false">IF(C21=0,"",IF($A21="Bank",IF(INDEX(Bank!$C:$C,$C21)="","",INDEX(Bank!$C:$C,$C21)),IF(INDEX(GL!$C:$C,$C21)="","",INDEX(GL!$C:$C,$C21))))</f>
        <v/>
      </c>
      <c r="F21" s="5" t="str">
        <f aca="false">IF(C21=0,"",IF($A21="Bank",IF(INDEX(Bank!$D:$D,$C21)="","",INDEX(Bank!$D:$D,$C21)),IF(INDEX(GL!$D:$D,$C21)="","",INDEX(GL!$D:$D,$C21))))</f>
        <v/>
      </c>
      <c r="G21" s="19" t="str">
        <f aca="false">IF(C21=0,"",IF($A21="Bank",INDEX(Bank!$E:$E,$C21),INDEX(GL!$E:$E,$C21)))</f>
        <v/>
      </c>
      <c r="H21" s="5" t="str">
        <f aca="false">IF(C21=0,"",IF(A21="GL",IF(G21&gt;0,"Deposit in transit","Outstanding check / payment"),IF(G21&gt;0,"Bank credit not in GL","Bank debit not in GL")))</f>
        <v/>
      </c>
      <c r="I21" s="42" t="str">
        <f aca="false">IF(OR(C21=0,CFG_PeriodEnd=""),"",CFG_PeriodEnd-D21)</f>
        <v/>
      </c>
      <c r="J21" s="5" t="str">
        <f aca="false">IF(C21=0,"",IF($A21="Bank",IF(INDEX(Bank!$G:$G,$C21)="","",INDEX(Bank!$G:$G,$C21)),IF(INDEX(GL!$G:$G,$C21)="","",INDEX(GL!$G:$G,$C21))))</f>
        <v/>
      </c>
      <c r="K21" s="5" t="str">
        <f aca="false">IF(C21=0,"",IF($A21="Bank",IF(INDEX(Bank!$I:$I,$C21)="","",INDEX(Bank!$I:$I,$C21)),IF(INDEX(GL!$I:$I,$C21)="","",INDEX(GL!$I:$I,$C21))))</f>
        <v/>
      </c>
      <c r="L21" s="5" t="str">
        <f aca="false">IF(B21="","",IF(C21=0,"NOT FOUND",IF(IF($A21="Bank",INDEX(Bank!$F:$F,$C21),INDEX(GL!$F:$F,$C21))="Y","NOW RECONCILED: refresh","OK")))</f>
        <v/>
      </c>
    </row>
    <row r="22" customFormat="false" ht="15" hidden="false" customHeight="false" outlineLevel="0" collapsed="false">
      <c r="A22" s="41"/>
      <c r="B22" s="41"/>
      <c r="C22" s="5" t="n">
        <f aca="false">IF(B22="",0,IF(A22="Bank",IFERROR(MATCH(B22,Bank!$A:$A,0),0),IFERROR(MATCH(B22,GL!$A:$A,0),0)))</f>
        <v>0</v>
      </c>
      <c r="D22" s="32" t="str">
        <f aca="false">IF(C22=0,"",IF($A22="Bank",INDEX(Bank!$B:$B,$C22),INDEX(GL!$B:$B,$C22)))</f>
        <v/>
      </c>
      <c r="E22" s="5" t="str">
        <f aca="false">IF(C22=0,"",IF($A22="Bank",IF(INDEX(Bank!$C:$C,$C22)="","",INDEX(Bank!$C:$C,$C22)),IF(INDEX(GL!$C:$C,$C22)="","",INDEX(GL!$C:$C,$C22))))</f>
        <v/>
      </c>
      <c r="F22" s="5" t="str">
        <f aca="false">IF(C22=0,"",IF($A22="Bank",IF(INDEX(Bank!$D:$D,$C22)="","",INDEX(Bank!$D:$D,$C22)),IF(INDEX(GL!$D:$D,$C22)="","",INDEX(GL!$D:$D,$C22))))</f>
        <v/>
      </c>
      <c r="G22" s="19" t="str">
        <f aca="false">IF(C22=0,"",IF($A22="Bank",INDEX(Bank!$E:$E,$C22),INDEX(GL!$E:$E,$C22)))</f>
        <v/>
      </c>
      <c r="H22" s="5" t="str">
        <f aca="false">IF(C22=0,"",IF(A22="GL",IF(G22&gt;0,"Deposit in transit","Outstanding check / payment"),IF(G22&gt;0,"Bank credit not in GL","Bank debit not in GL")))</f>
        <v/>
      </c>
      <c r="I22" s="42" t="str">
        <f aca="false">IF(OR(C22=0,CFG_PeriodEnd=""),"",CFG_PeriodEnd-D22)</f>
        <v/>
      </c>
      <c r="J22" s="5" t="str">
        <f aca="false">IF(C22=0,"",IF($A22="Bank",IF(INDEX(Bank!$G:$G,$C22)="","",INDEX(Bank!$G:$G,$C22)),IF(INDEX(GL!$G:$G,$C22)="","",INDEX(GL!$G:$G,$C22))))</f>
        <v/>
      </c>
      <c r="K22" s="5" t="str">
        <f aca="false">IF(C22=0,"",IF($A22="Bank",IF(INDEX(Bank!$I:$I,$C22)="","",INDEX(Bank!$I:$I,$C22)),IF(INDEX(GL!$I:$I,$C22)="","",INDEX(GL!$I:$I,$C22))))</f>
        <v/>
      </c>
      <c r="L22" s="5" t="str">
        <f aca="false">IF(B22="","",IF(C22=0,"NOT FOUND",IF(IF($A22="Bank",INDEX(Bank!$F:$F,$C22),INDEX(GL!$F:$F,$C22))="Y","NOW RECONCILED: refresh","OK")))</f>
        <v/>
      </c>
    </row>
    <row r="23" customFormat="false" ht="15" hidden="false" customHeight="false" outlineLevel="0" collapsed="false">
      <c r="A23" s="41"/>
      <c r="B23" s="41"/>
      <c r="C23" s="5" t="n">
        <f aca="false">IF(B23="",0,IF(A23="Bank",IFERROR(MATCH(B23,Bank!$A:$A,0),0),IFERROR(MATCH(B23,GL!$A:$A,0),0)))</f>
        <v>0</v>
      </c>
      <c r="D23" s="32" t="str">
        <f aca="false">IF(C23=0,"",IF($A23="Bank",INDEX(Bank!$B:$B,$C23),INDEX(GL!$B:$B,$C23)))</f>
        <v/>
      </c>
      <c r="E23" s="5" t="str">
        <f aca="false">IF(C23=0,"",IF($A23="Bank",IF(INDEX(Bank!$C:$C,$C23)="","",INDEX(Bank!$C:$C,$C23)),IF(INDEX(GL!$C:$C,$C23)="","",INDEX(GL!$C:$C,$C23))))</f>
        <v/>
      </c>
      <c r="F23" s="5" t="str">
        <f aca="false">IF(C23=0,"",IF($A23="Bank",IF(INDEX(Bank!$D:$D,$C23)="","",INDEX(Bank!$D:$D,$C23)),IF(INDEX(GL!$D:$D,$C23)="","",INDEX(GL!$D:$D,$C23))))</f>
        <v/>
      </c>
      <c r="G23" s="19" t="str">
        <f aca="false">IF(C23=0,"",IF($A23="Bank",INDEX(Bank!$E:$E,$C23),INDEX(GL!$E:$E,$C23)))</f>
        <v/>
      </c>
      <c r="H23" s="5" t="str">
        <f aca="false">IF(C23=0,"",IF(A23="GL",IF(G23&gt;0,"Deposit in transit","Outstanding check / payment"),IF(G23&gt;0,"Bank credit not in GL","Bank debit not in GL")))</f>
        <v/>
      </c>
      <c r="I23" s="42" t="str">
        <f aca="false">IF(OR(C23=0,CFG_PeriodEnd=""),"",CFG_PeriodEnd-D23)</f>
        <v/>
      </c>
      <c r="J23" s="5" t="str">
        <f aca="false">IF(C23=0,"",IF($A23="Bank",IF(INDEX(Bank!$G:$G,$C23)="","",INDEX(Bank!$G:$G,$C23)),IF(INDEX(GL!$G:$G,$C23)="","",INDEX(GL!$G:$G,$C23))))</f>
        <v/>
      </c>
      <c r="K23" s="5" t="str">
        <f aca="false">IF(C23=0,"",IF($A23="Bank",IF(INDEX(Bank!$I:$I,$C23)="","",INDEX(Bank!$I:$I,$C23)),IF(INDEX(GL!$I:$I,$C23)="","",INDEX(GL!$I:$I,$C23))))</f>
        <v/>
      </c>
      <c r="L23" s="5" t="str">
        <f aca="false">IF(B23="","",IF(C23=0,"NOT FOUND",IF(IF($A23="Bank",INDEX(Bank!$F:$F,$C23),INDEX(GL!$F:$F,$C23))="Y","NOW RECONCILED: refresh","OK")))</f>
        <v/>
      </c>
    </row>
    <row r="24" customFormat="false" ht="15" hidden="false" customHeight="false" outlineLevel="0" collapsed="false">
      <c r="A24" s="41"/>
      <c r="B24" s="41"/>
      <c r="C24" s="5" t="n">
        <f aca="false">IF(B24="",0,IF(A24="Bank",IFERROR(MATCH(B24,Bank!$A:$A,0),0),IFERROR(MATCH(B24,GL!$A:$A,0),0)))</f>
        <v>0</v>
      </c>
      <c r="D24" s="32" t="str">
        <f aca="false">IF(C24=0,"",IF($A24="Bank",INDEX(Bank!$B:$B,$C24),INDEX(GL!$B:$B,$C24)))</f>
        <v/>
      </c>
      <c r="E24" s="5" t="str">
        <f aca="false">IF(C24=0,"",IF($A24="Bank",IF(INDEX(Bank!$C:$C,$C24)="","",INDEX(Bank!$C:$C,$C24)),IF(INDEX(GL!$C:$C,$C24)="","",INDEX(GL!$C:$C,$C24))))</f>
        <v/>
      </c>
      <c r="F24" s="5" t="str">
        <f aca="false">IF(C24=0,"",IF($A24="Bank",IF(INDEX(Bank!$D:$D,$C24)="","",INDEX(Bank!$D:$D,$C24)),IF(INDEX(GL!$D:$D,$C24)="","",INDEX(GL!$D:$D,$C24))))</f>
        <v/>
      </c>
      <c r="G24" s="19" t="str">
        <f aca="false">IF(C24=0,"",IF($A24="Bank",INDEX(Bank!$E:$E,$C24),INDEX(GL!$E:$E,$C24)))</f>
        <v/>
      </c>
      <c r="H24" s="5" t="str">
        <f aca="false">IF(C24=0,"",IF(A24="GL",IF(G24&gt;0,"Deposit in transit","Outstanding check / payment"),IF(G24&gt;0,"Bank credit not in GL","Bank debit not in GL")))</f>
        <v/>
      </c>
      <c r="I24" s="42" t="str">
        <f aca="false">IF(OR(C24=0,CFG_PeriodEnd=""),"",CFG_PeriodEnd-D24)</f>
        <v/>
      </c>
      <c r="J24" s="5" t="str">
        <f aca="false">IF(C24=0,"",IF($A24="Bank",IF(INDEX(Bank!$G:$G,$C24)="","",INDEX(Bank!$G:$G,$C24)),IF(INDEX(GL!$G:$G,$C24)="","",INDEX(GL!$G:$G,$C24))))</f>
        <v/>
      </c>
      <c r="K24" s="5" t="str">
        <f aca="false">IF(C24=0,"",IF($A24="Bank",IF(INDEX(Bank!$I:$I,$C24)="","",INDEX(Bank!$I:$I,$C24)),IF(INDEX(GL!$I:$I,$C24)="","",INDEX(GL!$I:$I,$C24))))</f>
        <v/>
      </c>
      <c r="L24" s="5" t="str">
        <f aca="false">IF(B24="","",IF(C24=0,"NOT FOUND",IF(IF($A24="Bank",INDEX(Bank!$F:$F,$C24),INDEX(GL!$F:$F,$C24))="Y","NOW RECONCILED: refresh","OK")))</f>
        <v/>
      </c>
    </row>
    <row r="25" customFormat="false" ht="15" hidden="false" customHeight="false" outlineLevel="0" collapsed="false">
      <c r="A25" s="41"/>
      <c r="B25" s="41"/>
      <c r="C25" s="5" t="n">
        <f aca="false">IF(B25="",0,IF(A25="Bank",IFERROR(MATCH(B25,Bank!$A:$A,0),0),IFERROR(MATCH(B25,GL!$A:$A,0),0)))</f>
        <v>0</v>
      </c>
      <c r="D25" s="32" t="str">
        <f aca="false">IF(C25=0,"",IF($A25="Bank",INDEX(Bank!$B:$B,$C25),INDEX(GL!$B:$B,$C25)))</f>
        <v/>
      </c>
      <c r="E25" s="5" t="str">
        <f aca="false">IF(C25=0,"",IF($A25="Bank",IF(INDEX(Bank!$C:$C,$C25)="","",INDEX(Bank!$C:$C,$C25)),IF(INDEX(GL!$C:$C,$C25)="","",INDEX(GL!$C:$C,$C25))))</f>
        <v/>
      </c>
      <c r="F25" s="5" t="str">
        <f aca="false">IF(C25=0,"",IF($A25="Bank",IF(INDEX(Bank!$D:$D,$C25)="","",INDEX(Bank!$D:$D,$C25)),IF(INDEX(GL!$D:$D,$C25)="","",INDEX(GL!$D:$D,$C25))))</f>
        <v/>
      </c>
      <c r="G25" s="19" t="str">
        <f aca="false">IF(C25=0,"",IF($A25="Bank",INDEX(Bank!$E:$E,$C25),INDEX(GL!$E:$E,$C25)))</f>
        <v/>
      </c>
      <c r="H25" s="5" t="str">
        <f aca="false">IF(C25=0,"",IF(A25="GL",IF(G25&gt;0,"Deposit in transit","Outstanding check / payment"),IF(G25&gt;0,"Bank credit not in GL","Bank debit not in GL")))</f>
        <v/>
      </c>
      <c r="I25" s="42" t="str">
        <f aca="false">IF(OR(C25=0,CFG_PeriodEnd=""),"",CFG_PeriodEnd-D25)</f>
        <v/>
      </c>
      <c r="J25" s="5" t="str">
        <f aca="false">IF(C25=0,"",IF($A25="Bank",IF(INDEX(Bank!$G:$G,$C25)="","",INDEX(Bank!$G:$G,$C25)),IF(INDEX(GL!$G:$G,$C25)="","",INDEX(GL!$G:$G,$C25))))</f>
        <v/>
      </c>
      <c r="K25" s="5" t="str">
        <f aca="false">IF(C25=0,"",IF($A25="Bank",IF(INDEX(Bank!$I:$I,$C25)="","",INDEX(Bank!$I:$I,$C25)),IF(INDEX(GL!$I:$I,$C25)="","",INDEX(GL!$I:$I,$C25))))</f>
        <v/>
      </c>
      <c r="L25" s="5" t="str">
        <f aca="false">IF(B25="","",IF(C25=0,"NOT FOUND",IF(IF($A25="Bank",INDEX(Bank!$F:$F,$C25),INDEX(GL!$F:$F,$C25))="Y","NOW RECONCILED: refresh","OK")))</f>
        <v/>
      </c>
    </row>
    <row r="26" customFormat="false" ht="15" hidden="false" customHeight="false" outlineLevel="0" collapsed="false">
      <c r="A26" s="41"/>
      <c r="B26" s="41"/>
      <c r="C26" s="5" t="n">
        <f aca="false">IF(B26="",0,IF(A26="Bank",IFERROR(MATCH(B26,Bank!$A:$A,0),0),IFERROR(MATCH(B26,GL!$A:$A,0),0)))</f>
        <v>0</v>
      </c>
      <c r="D26" s="32" t="str">
        <f aca="false">IF(C26=0,"",IF($A26="Bank",INDEX(Bank!$B:$B,$C26),INDEX(GL!$B:$B,$C26)))</f>
        <v/>
      </c>
      <c r="E26" s="5" t="str">
        <f aca="false">IF(C26=0,"",IF($A26="Bank",IF(INDEX(Bank!$C:$C,$C26)="","",INDEX(Bank!$C:$C,$C26)),IF(INDEX(GL!$C:$C,$C26)="","",INDEX(GL!$C:$C,$C26))))</f>
        <v/>
      </c>
      <c r="F26" s="5" t="str">
        <f aca="false">IF(C26=0,"",IF($A26="Bank",IF(INDEX(Bank!$D:$D,$C26)="","",INDEX(Bank!$D:$D,$C26)),IF(INDEX(GL!$D:$D,$C26)="","",INDEX(GL!$D:$D,$C26))))</f>
        <v/>
      </c>
      <c r="G26" s="19" t="str">
        <f aca="false">IF(C26=0,"",IF($A26="Bank",INDEX(Bank!$E:$E,$C26),INDEX(GL!$E:$E,$C26)))</f>
        <v/>
      </c>
      <c r="H26" s="5" t="str">
        <f aca="false">IF(C26=0,"",IF(A26="GL",IF(G26&gt;0,"Deposit in transit","Outstanding check / payment"),IF(G26&gt;0,"Bank credit not in GL","Bank debit not in GL")))</f>
        <v/>
      </c>
      <c r="I26" s="42" t="str">
        <f aca="false">IF(OR(C26=0,CFG_PeriodEnd=""),"",CFG_PeriodEnd-D26)</f>
        <v/>
      </c>
      <c r="J26" s="5" t="str">
        <f aca="false">IF(C26=0,"",IF($A26="Bank",IF(INDEX(Bank!$G:$G,$C26)="","",INDEX(Bank!$G:$G,$C26)),IF(INDEX(GL!$G:$G,$C26)="","",INDEX(GL!$G:$G,$C26))))</f>
        <v/>
      </c>
      <c r="K26" s="5" t="str">
        <f aca="false">IF(C26=0,"",IF($A26="Bank",IF(INDEX(Bank!$I:$I,$C26)="","",INDEX(Bank!$I:$I,$C26)),IF(INDEX(GL!$I:$I,$C26)="","",INDEX(GL!$I:$I,$C26))))</f>
        <v/>
      </c>
      <c r="L26" s="5" t="str">
        <f aca="false">IF(B26="","",IF(C26=0,"NOT FOUND",IF(IF($A26="Bank",INDEX(Bank!$F:$F,$C26),INDEX(GL!$F:$F,$C26))="Y","NOW RECONCILED: refresh","OK")))</f>
        <v/>
      </c>
    </row>
    <row r="27" customFormat="false" ht="15" hidden="false" customHeight="false" outlineLevel="0" collapsed="false">
      <c r="A27" s="41"/>
      <c r="B27" s="41"/>
      <c r="C27" s="5" t="n">
        <f aca="false">IF(B27="",0,IF(A27="Bank",IFERROR(MATCH(B27,Bank!$A:$A,0),0),IFERROR(MATCH(B27,GL!$A:$A,0),0)))</f>
        <v>0</v>
      </c>
      <c r="D27" s="32" t="str">
        <f aca="false">IF(C27=0,"",IF($A27="Bank",INDEX(Bank!$B:$B,$C27),INDEX(GL!$B:$B,$C27)))</f>
        <v/>
      </c>
      <c r="E27" s="5" t="str">
        <f aca="false">IF(C27=0,"",IF($A27="Bank",IF(INDEX(Bank!$C:$C,$C27)="","",INDEX(Bank!$C:$C,$C27)),IF(INDEX(GL!$C:$C,$C27)="","",INDEX(GL!$C:$C,$C27))))</f>
        <v/>
      </c>
      <c r="F27" s="5" t="str">
        <f aca="false">IF(C27=0,"",IF($A27="Bank",IF(INDEX(Bank!$D:$D,$C27)="","",INDEX(Bank!$D:$D,$C27)),IF(INDEX(GL!$D:$D,$C27)="","",INDEX(GL!$D:$D,$C27))))</f>
        <v/>
      </c>
      <c r="G27" s="19" t="str">
        <f aca="false">IF(C27=0,"",IF($A27="Bank",INDEX(Bank!$E:$E,$C27),INDEX(GL!$E:$E,$C27)))</f>
        <v/>
      </c>
      <c r="H27" s="5" t="str">
        <f aca="false">IF(C27=0,"",IF(A27="GL",IF(G27&gt;0,"Deposit in transit","Outstanding check / payment"),IF(G27&gt;0,"Bank credit not in GL","Bank debit not in GL")))</f>
        <v/>
      </c>
      <c r="I27" s="42" t="str">
        <f aca="false">IF(OR(C27=0,CFG_PeriodEnd=""),"",CFG_PeriodEnd-D27)</f>
        <v/>
      </c>
      <c r="J27" s="5" t="str">
        <f aca="false">IF(C27=0,"",IF($A27="Bank",IF(INDEX(Bank!$G:$G,$C27)="","",INDEX(Bank!$G:$G,$C27)),IF(INDEX(GL!$G:$G,$C27)="","",INDEX(GL!$G:$G,$C27))))</f>
        <v/>
      </c>
      <c r="K27" s="5" t="str">
        <f aca="false">IF(C27=0,"",IF($A27="Bank",IF(INDEX(Bank!$I:$I,$C27)="","",INDEX(Bank!$I:$I,$C27)),IF(INDEX(GL!$I:$I,$C27)="","",INDEX(GL!$I:$I,$C27))))</f>
        <v/>
      </c>
      <c r="L27" s="5" t="str">
        <f aca="false">IF(B27="","",IF(C27=0,"NOT FOUND",IF(IF($A27="Bank",INDEX(Bank!$F:$F,$C27),INDEX(GL!$F:$F,$C27))="Y","NOW RECONCILED: refresh","OK")))</f>
        <v/>
      </c>
    </row>
    <row r="28" customFormat="false" ht="15" hidden="false" customHeight="false" outlineLevel="0" collapsed="false">
      <c r="A28" s="41"/>
      <c r="B28" s="41"/>
      <c r="C28" s="5" t="n">
        <f aca="false">IF(B28="",0,IF(A28="Bank",IFERROR(MATCH(B28,Bank!$A:$A,0),0),IFERROR(MATCH(B28,GL!$A:$A,0),0)))</f>
        <v>0</v>
      </c>
      <c r="D28" s="32" t="str">
        <f aca="false">IF(C28=0,"",IF($A28="Bank",INDEX(Bank!$B:$B,$C28),INDEX(GL!$B:$B,$C28)))</f>
        <v/>
      </c>
      <c r="E28" s="5" t="str">
        <f aca="false">IF(C28=0,"",IF($A28="Bank",IF(INDEX(Bank!$C:$C,$C28)="","",INDEX(Bank!$C:$C,$C28)),IF(INDEX(GL!$C:$C,$C28)="","",INDEX(GL!$C:$C,$C28))))</f>
        <v/>
      </c>
      <c r="F28" s="5" t="str">
        <f aca="false">IF(C28=0,"",IF($A28="Bank",IF(INDEX(Bank!$D:$D,$C28)="","",INDEX(Bank!$D:$D,$C28)),IF(INDEX(GL!$D:$D,$C28)="","",INDEX(GL!$D:$D,$C28))))</f>
        <v/>
      </c>
      <c r="G28" s="19" t="str">
        <f aca="false">IF(C28=0,"",IF($A28="Bank",INDEX(Bank!$E:$E,$C28),INDEX(GL!$E:$E,$C28)))</f>
        <v/>
      </c>
      <c r="H28" s="5" t="str">
        <f aca="false">IF(C28=0,"",IF(A28="GL",IF(G28&gt;0,"Deposit in transit","Outstanding check / payment"),IF(G28&gt;0,"Bank credit not in GL","Bank debit not in GL")))</f>
        <v/>
      </c>
      <c r="I28" s="42" t="str">
        <f aca="false">IF(OR(C28=0,CFG_PeriodEnd=""),"",CFG_PeriodEnd-D28)</f>
        <v/>
      </c>
      <c r="J28" s="5" t="str">
        <f aca="false">IF(C28=0,"",IF($A28="Bank",IF(INDEX(Bank!$G:$G,$C28)="","",INDEX(Bank!$G:$G,$C28)),IF(INDEX(GL!$G:$G,$C28)="","",INDEX(GL!$G:$G,$C28))))</f>
        <v/>
      </c>
      <c r="K28" s="5" t="str">
        <f aca="false">IF(C28=0,"",IF($A28="Bank",IF(INDEX(Bank!$I:$I,$C28)="","",INDEX(Bank!$I:$I,$C28)),IF(INDEX(GL!$I:$I,$C28)="","",INDEX(GL!$I:$I,$C28))))</f>
        <v/>
      </c>
      <c r="L28" s="5" t="str">
        <f aca="false">IF(B28="","",IF(C28=0,"NOT FOUND",IF(IF($A28="Bank",INDEX(Bank!$F:$F,$C28),INDEX(GL!$F:$F,$C28))="Y","NOW RECONCILED: refresh","OK")))</f>
        <v/>
      </c>
    </row>
    <row r="29" customFormat="false" ht="15" hidden="false" customHeight="false" outlineLevel="0" collapsed="false">
      <c r="A29" s="41"/>
      <c r="B29" s="41"/>
      <c r="C29" s="5" t="n">
        <f aca="false">IF(B29="",0,IF(A29="Bank",IFERROR(MATCH(B29,Bank!$A:$A,0),0),IFERROR(MATCH(B29,GL!$A:$A,0),0)))</f>
        <v>0</v>
      </c>
      <c r="D29" s="32" t="str">
        <f aca="false">IF(C29=0,"",IF($A29="Bank",INDEX(Bank!$B:$B,$C29),INDEX(GL!$B:$B,$C29)))</f>
        <v/>
      </c>
      <c r="E29" s="5" t="str">
        <f aca="false">IF(C29=0,"",IF($A29="Bank",IF(INDEX(Bank!$C:$C,$C29)="","",INDEX(Bank!$C:$C,$C29)),IF(INDEX(GL!$C:$C,$C29)="","",INDEX(GL!$C:$C,$C29))))</f>
        <v/>
      </c>
      <c r="F29" s="5" t="str">
        <f aca="false">IF(C29=0,"",IF($A29="Bank",IF(INDEX(Bank!$D:$D,$C29)="","",INDEX(Bank!$D:$D,$C29)),IF(INDEX(GL!$D:$D,$C29)="","",INDEX(GL!$D:$D,$C29))))</f>
        <v/>
      </c>
      <c r="G29" s="19" t="str">
        <f aca="false">IF(C29=0,"",IF($A29="Bank",INDEX(Bank!$E:$E,$C29),INDEX(GL!$E:$E,$C29)))</f>
        <v/>
      </c>
      <c r="H29" s="5" t="str">
        <f aca="false">IF(C29=0,"",IF(A29="GL",IF(G29&gt;0,"Deposit in transit","Outstanding check / payment"),IF(G29&gt;0,"Bank credit not in GL","Bank debit not in GL")))</f>
        <v/>
      </c>
      <c r="I29" s="42" t="str">
        <f aca="false">IF(OR(C29=0,CFG_PeriodEnd=""),"",CFG_PeriodEnd-D29)</f>
        <v/>
      </c>
      <c r="J29" s="5" t="str">
        <f aca="false">IF(C29=0,"",IF($A29="Bank",IF(INDEX(Bank!$G:$G,$C29)="","",INDEX(Bank!$G:$G,$C29)),IF(INDEX(GL!$G:$G,$C29)="","",INDEX(GL!$G:$G,$C29))))</f>
        <v/>
      </c>
      <c r="K29" s="5" t="str">
        <f aca="false">IF(C29=0,"",IF($A29="Bank",IF(INDEX(Bank!$I:$I,$C29)="","",INDEX(Bank!$I:$I,$C29)),IF(INDEX(GL!$I:$I,$C29)="","",INDEX(GL!$I:$I,$C29))))</f>
        <v/>
      </c>
      <c r="L29" s="5" t="str">
        <f aca="false">IF(B29="","",IF(C29=0,"NOT FOUND",IF(IF($A29="Bank",INDEX(Bank!$F:$F,$C29),INDEX(GL!$F:$F,$C29))="Y","NOW RECONCILED: refresh","OK")))</f>
        <v/>
      </c>
    </row>
    <row r="30" customFormat="false" ht="15" hidden="false" customHeight="false" outlineLevel="0" collapsed="false">
      <c r="A30" s="41"/>
      <c r="B30" s="41"/>
      <c r="C30" s="5" t="n">
        <f aca="false">IF(B30="",0,IF(A30="Bank",IFERROR(MATCH(B30,Bank!$A:$A,0),0),IFERROR(MATCH(B30,GL!$A:$A,0),0)))</f>
        <v>0</v>
      </c>
      <c r="D30" s="32" t="str">
        <f aca="false">IF(C30=0,"",IF($A30="Bank",INDEX(Bank!$B:$B,$C30),INDEX(GL!$B:$B,$C30)))</f>
        <v/>
      </c>
      <c r="E30" s="5" t="str">
        <f aca="false">IF(C30=0,"",IF($A30="Bank",IF(INDEX(Bank!$C:$C,$C30)="","",INDEX(Bank!$C:$C,$C30)),IF(INDEX(GL!$C:$C,$C30)="","",INDEX(GL!$C:$C,$C30))))</f>
        <v/>
      </c>
      <c r="F30" s="5" t="str">
        <f aca="false">IF(C30=0,"",IF($A30="Bank",IF(INDEX(Bank!$D:$D,$C30)="","",INDEX(Bank!$D:$D,$C30)),IF(INDEX(GL!$D:$D,$C30)="","",INDEX(GL!$D:$D,$C30))))</f>
        <v/>
      </c>
      <c r="G30" s="19" t="str">
        <f aca="false">IF(C30=0,"",IF($A30="Bank",INDEX(Bank!$E:$E,$C30),INDEX(GL!$E:$E,$C30)))</f>
        <v/>
      </c>
      <c r="H30" s="5" t="str">
        <f aca="false">IF(C30=0,"",IF(A30="GL",IF(G30&gt;0,"Deposit in transit","Outstanding check / payment"),IF(G30&gt;0,"Bank credit not in GL","Bank debit not in GL")))</f>
        <v/>
      </c>
      <c r="I30" s="42" t="str">
        <f aca="false">IF(OR(C30=0,CFG_PeriodEnd=""),"",CFG_PeriodEnd-D30)</f>
        <v/>
      </c>
      <c r="J30" s="5" t="str">
        <f aca="false">IF(C30=0,"",IF($A30="Bank",IF(INDEX(Bank!$G:$G,$C30)="","",INDEX(Bank!$G:$G,$C30)),IF(INDEX(GL!$G:$G,$C30)="","",INDEX(GL!$G:$G,$C30))))</f>
        <v/>
      </c>
      <c r="K30" s="5" t="str">
        <f aca="false">IF(C30=0,"",IF($A30="Bank",IF(INDEX(Bank!$I:$I,$C30)="","",INDEX(Bank!$I:$I,$C30)),IF(INDEX(GL!$I:$I,$C30)="","",INDEX(GL!$I:$I,$C30))))</f>
        <v/>
      </c>
      <c r="L30" s="5" t="str">
        <f aca="false">IF(B30="","",IF(C30=0,"NOT FOUND",IF(IF($A30="Bank",INDEX(Bank!$F:$F,$C30),INDEX(GL!$F:$F,$C30))="Y","NOW RECONCILED: refresh","OK")))</f>
        <v/>
      </c>
    </row>
    <row r="31" customFormat="false" ht="15" hidden="false" customHeight="false" outlineLevel="0" collapsed="false">
      <c r="A31" s="41"/>
      <c r="B31" s="41"/>
      <c r="C31" s="5" t="n">
        <f aca="false">IF(B31="",0,IF(A31="Bank",IFERROR(MATCH(B31,Bank!$A:$A,0),0),IFERROR(MATCH(B31,GL!$A:$A,0),0)))</f>
        <v>0</v>
      </c>
      <c r="D31" s="32" t="str">
        <f aca="false">IF(C31=0,"",IF($A31="Bank",INDEX(Bank!$B:$B,$C31),INDEX(GL!$B:$B,$C31)))</f>
        <v/>
      </c>
      <c r="E31" s="5" t="str">
        <f aca="false">IF(C31=0,"",IF($A31="Bank",IF(INDEX(Bank!$C:$C,$C31)="","",INDEX(Bank!$C:$C,$C31)),IF(INDEX(GL!$C:$C,$C31)="","",INDEX(GL!$C:$C,$C31))))</f>
        <v/>
      </c>
      <c r="F31" s="5" t="str">
        <f aca="false">IF(C31=0,"",IF($A31="Bank",IF(INDEX(Bank!$D:$D,$C31)="","",INDEX(Bank!$D:$D,$C31)),IF(INDEX(GL!$D:$D,$C31)="","",INDEX(GL!$D:$D,$C31))))</f>
        <v/>
      </c>
      <c r="G31" s="19" t="str">
        <f aca="false">IF(C31=0,"",IF($A31="Bank",INDEX(Bank!$E:$E,$C31),INDEX(GL!$E:$E,$C31)))</f>
        <v/>
      </c>
      <c r="H31" s="5" t="str">
        <f aca="false">IF(C31=0,"",IF(A31="GL",IF(G31&gt;0,"Deposit in transit","Outstanding check / payment"),IF(G31&gt;0,"Bank credit not in GL","Bank debit not in GL")))</f>
        <v/>
      </c>
      <c r="I31" s="42" t="str">
        <f aca="false">IF(OR(C31=0,CFG_PeriodEnd=""),"",CFG_PeriodEnd-D31)</f>
        <v/>
      </c>
      <c r="J31" s="5" t="str">
        <f aca="false">IF(C31=0,"",IF($A31="Bank",IF(INDEX(Bank!$G:$G,$C31)="","",INDEX(Bank!$G:$G,$C31)),IF(INDEX(GL!$G:$G,$C31)="","",INDEX(GL!$G:$G,$C31))))</f>
        <v/>
      </c>
      <c r="K31" s="5" t="str">
        <f aca="false">IF(C31=0,"",IF($A31="Bank",IF(INDEX(Bank!$I:$I,$C31)="","",INDEX(Bank!$I:$I,$C31)),IF(INDEX(GL!$I:$I,$C31)="","",INDEX(GL!$I:$I,$C31))))</f>
        <v/>
      </c>
      <c r="L31" s="5" t="str">
        <f aca="false">IF(B31="","",IF(C31=0,"NOT FOUND",IF(IF($A31="Bank",INDEX(Bank!$F:$F,$C31),INDEX(GL!$F:$F,$C31))="Y","NOW RECONCILED: refresh","OK")))</f>
        <v/>
      </c>
    </row>
    <row r="32" customFormat="false" ht="15" hidden="false" customHeight="false" outlineLevel="0" collapsed="false">
      <c r="A32" s="41"/>
      <c r="B32" s="41"/>
      <c r="C32" s="5" t="n">
        <f aca="false">IF(B32="",0,IF(A32="Bank",IFERROR(MATCH(B32,Bank!$A:$A,0),0),IFERROR(MATCH(B32,GL!$A:$A,0),0)))</f>
        <v>0</v>
      </c>
      <c r="D32" s="32" t="str">
        <f aca="false">IF(C32=0,"",IF($A32="Bank",INDEX(Bank!$B:$B,$C32),INDEX(GL!$B:$B,$C32)))</f>
        <v/>
      </c>
      <c r="E32" s="5" t="str">
        <f aca="false">IF(C32=0,"",IF($A32="Bank",IF(INDEX(Bank!$C:$C,$C32)="","",INDEX(Bank!$C:$C,$C32)),IF(INDEX(GL!$C:$C,$C32)="","",INDEX(GL!$C:$C,$C32))))</f>
        <v/>
      </c>
      <c r="F32" s="5" t="str">
        <f aca="false">IF(C32=0,"",IF($A32="Bank",IF(INDEX(Bank!$D:$D,$C32)="","",INDEX(Bank!$D:$D,$C32)),IF(INDEX(GL!$D:$D,$C32)="","",INDEX(GL!$D:$D,$C32))))</f>
        <v/>
      </c>
      <c r="G32" s="19" t="str">
        <f aca="false">IF(C32=0,"",IF($A32="Bank",INDEX(Bank!$E:$E,$C32),INDEX(GL!$E:$E,$C32)))</f>
        <v/>
      </c>
      <c r="H32" s="5" t="str">
        <f aca="false">IF(C32=0,"",IF(A32="GL",IF(G32&gt;0,"Deposit in transit","Outstanding check / payment"),IF(G32&gt;0,"Bank credit not in GL","Bank debit not in GL")))</f>
        <v/>
      </c>
      <c r="I32" s="42" t="str">
        <f aca="false">IF(OR(C32=0,CFG_PeriodEnd=""),"",CFG_PeriodEnd-D32)</f>
        <v/>
      </c>
      <c r="J32" s="5" t="str">
        <f aca="false">IF(C32=0,"",IF($A32="Bank",IF(INDEX(Bank!$G:$G,$C32)="","",INDEX(Bank!$G:$G,$C32)),IF(INDEX(GL!$G:$G,$C32)="","",INDEX(GL!$G:$G,$C32))))</f>
        <v/>
      </c>
      <c r="K32" s="5" t="str">
        <f aca="false">IF(C32=0,"",IF($A32="Bank",IF(INDEX(Bank!$I:$I,$C32)="","",INDEX(Bank!$I:$I,$C32)),IF(INDEX(GL!$I:$I,$C32)="","",INDEX(GL!$I:$I,$C32))))</f>
        <v/>
      </c>
      <c r="L32" s="5" t="str">
        <f aca="false">IF(B32="","",IF(C32=0,"NOT FOUND",IF(IF($A32="Bank",INDEX(Bank!$F:$F,$C32),INDEX(GL!$F:$F,$C32))="Y","NOW RECONCILED: refresh","OK")))</f>
        <v/>
      </c>
    </row>
    <row r="33" customFormat="false" ht="15" hidden="false" customHeight="false" outlineLevel="0" collapsed="false">
      <c r="A33" s="41"/>
      <c r="B33" s="41"/>
      <c r="C33" s="5" t="n">
        <f aca="false">IF(B33="",0,IF(A33="Bank",IFERROR(MATCH(B33,Bank!$A:$A,0),0),IFERROR(MATCH(B33,GL!$A:$A,0),0)))</f>
        <v>0</v>
      </c>
      <c r="D33" s="32" t="str">
        <f aca="false">IF(C33=0,"",IF($A33="Bank",INDEX(Bank!$B:$B,$C33),INDEX(GL!$B:$B,$C33)))</f>
        <v/>
      </c>
      <c r="E33" s="5" t="str">
        <f aca="false">IF(C33=0,"",IF($A33="Bank",IF(INDEX(Bank!$C:$C,$C33)="","",INDEX(Bank!$C:$C,$C33)),IF(INDEX(GL!$C:$C,$C33)="","",INDEX(GL!$C:$C,$C33))))</f>
        <v/>
      </c>
      <c r="F33" s="5" t="str">
        <f aca="false">IF(C33=0,"",IF($A33="Bank",IF(INDEX(Bank!$D:$D,$C33)="","",INDEX(Bank!$D:$D,$C33)),IF(INDEX(GL!$D:$D,$C33)="","",INDEX(GL!$D:$D,$C33))))</f>
        <v/>
      </c>
      <c r="G33" s="19" t="str">
        <f aca="false">IF(C33=0,"",IF($A33="Bank",INDEX(Bank!$E:$E,$C33),INDEX(GL!$E:$E,$C33)))</f>
        <v/>
      </c>
      <c r="H33" s="5" t="str">
        <f aca="false">IF(C33=0,"",IF(A33="GL",IF(G33&gt;0,"Deposit in transit","Outstanding check / payment"),IF(G33&gt;0,"Bank credit not in GL","Bank debit not in GL")))</f>
        <v/>
      </c>
      <c r="I33" s="42" t="str">
        <f aca="false">IF(OR(C33=0,CFG_PeriodEnd=""),"",CFG_PeriodEnd-D33)</f>
        <v/>
      </c>
      <c r="J33" s="5" t="str">
        <f aca="false">IF(C33=0,"",IF($A33="Bank",IF(INDEX(Bank!$G:$G,$C33)="","",INDEX(Bank!$G:$G,$C33)),IF(INDEX(GL!$G:$G,$C33)="","",INDEX(GL!$G:$G,$C33))))</f>
        <v/>
      </c>
      <c r="K33" s="5" t="str">
        <f aca="false">IF(C33=0,"",IF($A33="Bank",IF(INDEX(Bank!$I:$I,$C33)="","",INDEX(Bank!$I:$I,$C33)),IF(INDEX(GL!$I:$I,$C33)="","",INDEX(GL!$I:$I,$C33))))</f>
        <v/>
      </c>
      <c r="L33" s="5" t="str">
        <f aca="false">IF(B33="","",IF(C33=0,"NOT FOUND",IF(IF($A33="Bank",INDEX(Bank!$F:$F,$C33),INDEX(GL!$F:$F,$C33))="Y","NOW RECONCILED: refresh","OK")))</f>
        <v/>
      </c>
    </row>
    <row r="34" customFormat="false" ht="15" hidden="false" customHeight="false" outlineLevel="0" collapsed="false">
      <c r="A34" s="41"/>
      <c r="B34" s="41"/>
      <c r="C34" s="5" t="n">
        <f aca="false">IF(B34="",0,IF(A34="Bank",IFERROR(MATCH(B34,Bank!$A:$A,0),0),IFERROR(MATCH(B34,GL!$A:$A,0),0)))</f>
        <v>0</v>
      </c>
      <c r="D34" s="32" t="str">
        <f aca="false">IF(C34=0,"",IF($A34="Bank",INDEX(Bank!$B:$B,$C34),INDEX(GL!$B:$B,$C34)))</f>
        <v/>
      </c>
      <c r="E34" s="5" t="str">
        <f aca="false">IF(C34=0,"",IF($A34="Bank",IF(INDEX(Bank!$C:$C,$C34)="","",INDEX(Bank!$C:$C,$C34)),IF(INDEX(GL!$C:$C,$C34)="","",INDEX(GL!$C:$C,$C34))))</f>
        <v/>
      </c>
      <c r="F34" s="5" t="str">
        <f aca="false">IF(C34=0,"",IF($A34="Bank",IF(INDEX(Bank!$D:$D,$C34)="","",INDEX(Bank!$D:$D,$C34)),IF(INDEX(GL!$D:$D,$C34)="","",INDEX(GL!$D:$D,$C34))))</f>
        <v/>
      </c>
      <c r="G34" s="19" t="str">
        <f aca="false">IF(C34=0,"",IF($A34="Bank",INDEX(Bank!$E:$E,$C34),INDEX(GL!$E:$E,$C34)))</f>
        <v/>
      </c>
      <c r="H34" s="5" t="str">
        <f aca="false">IF(C34=0,"",IF(A34="GL",IF(G34&gt;0,"Deposit in transit","Outstanding check / payment"),IF(G34&gt;0,"Bank credit not in GL","Bank debit not in GL")))</f>
        <v/>
      </c>
      <c r="I34" s="42" t="str">
        <f aca="false">IF(OR(C34=0,CFG_PeriodEnd=""),"",CFG_PeriodEnd-D34)</f>
        <v/>
      </c>
      <c r="J34" s="5" t="str">
        <f aca="false">IF(C34=0,"",IF($A34="Bank",IF(INDEX(Bank!$G:$G,$C34)="","",INDEX(Bank!$G:$G,$C34)),IF(INDEX(GL!$G:$G,$C34)="","",INDEX(GL!$G:$G,$C34))))</f>
        <v/>
      </c>
      <c r="K34" s="5" t="str">
        <f aca="false">IF(C34=0,"",IF($A34="Bank",IF(INDEX(Bank!$I:$I,$C34)="","",INDEX(Bank!$I:$I,$C34)),IF(INDEX(GL!$I:$I,$C34)="","",INDEX(GL!$I:$I,$C34))))</f>
        <v/>
      </c>
      <c r="L34" s="5" t="str">
        <f aca="false">IF(B34="","",IF(C34=0,"NOT FOUND",IF(IF($A34="Bank",INDEX(Bank!$F:$F,$C34),INDEX(GL!$F:$F,$C34))="Y","NOW RECONCILED: refresh","OK")))</f>
        <v/>
      </c>
    </row>
    <row r="35" customFormat="false" ht="15" hidden="false" customHeight="false" outlineLevel="0" collapsed="false">
      <c r="A35" s="41"/>
      <c r="B35" s="41"/>
      <c r="C35" s="5" t="n">
        <f aca="false">IF(B35="",0,IF(A35="Bank",IFERROR(MATCH(B35,Bank!$A:$A,0),0),IFERROR(MATCH(B35,GL!$A:$A,0),0)))</f>
        <v>0</v>
      </c>
      <c r="D35" s="32" t="str">
        <f aca="false">IF(C35=0,"",IF($A35="Bank",INDEX(Bank!$B:$B,$C35),INDEX(GL!$B:$B,$C35)))</f>
        <v/>
      </c>
      <c r="E35" s="5" t="str">
        <f aca="false">IF(C35=0,"",IF($A35="Bank",IF(INDEX(Bank!$C:$C,$C35)="","",INDEX(Bank!$C:$C,$C35)),IF(INDEX(GL!$C:$C,$C35)="","",INDEX(GL!$C:$C,$C35))))</f>
        <v/>
      </c>
      <c r="F35" s="5" t="str">
        <f aca="false">IF(C35=0,"",IF($A35="Bank",IF(INDEX(Bank!$D:$D,$C35)="","",INDEX(Bank!$D:$D,$C35)),IF(INDEX(GL!$D:$D,$C35)="","",INDEX(GL!$D:$D,$C35))))</f>
        <v/>
      </c>
      <c r="G35" s="19" t="str">
        <f aca="false">IF(C35=0,"",IF($A35="Bank",INDEX(Bank!$E:$E,$C35),INDEX(GL!$E:$E,$C35)))</f>
        <v/>
      </c>
      <c r="H35" s="5" t="str">
        <f aca="false">IF(C35=0,"",IF(A35="GL",IF(G35&gt;0,"Deposit in transit","Outstanding check / payment"),IF(G35&gt;0,"Bank credit not in GL","Bank debit not in GL")))</f>
        <v/>
      </c>
      <c r="I35" s="42" t="str">
        <f aca="false">IF(OR(C35=0,CFG_PeriodEnd=""),"",CFG_PeriodEnd-D35)</f>
        <v/>
      </c>
      <c r="J35" s="5" t="str">
        <f aca="false">IF(C35=0,"",IF($A35="Bank",IF(INDEX(Bank!$G:$G,$C35)="","",INDEX(Bank!$G:$G,$C35)),IF(INDEX(GL!$G:$G,$C35)="","",INDEX(GL!$G:$G,$C35))))</f>
        <v/>
      </c>
      <c r="K35" s="5" t="str">
        <f aca="false">IF(C35=0,"",IF($A35="Bank",IF(INDEX(Bank!$I:$I,$C35)="","",INDEX(Bank!$I:$I,$C35)),IF(INDEX(GL!$I:$I,$C35)="","",INDEX(GL!$I:$I,$C35))))</f>
        <v/>
      </c>
      <c r="L35" s="5" t="str">
        <f aca="false">IF(B35="","",IF(C35=0,"NOT FOUND",IF(IF($A35="Bank",INDEX(Bank!$F:$F,$C35),INDEX(GL!$F:$F,$C35))="Y","NOW RECONCILED: refresh","OK")))</f>
        <v/>
      </c>
    </row>
    <row r="36" customFormat="false" ht="15" hidden="false" customHeight="false" outlineLevel="0" collapsed="false">
      <c r="A36" s="41"/>
      <c r="B36" s="41"/>
      <c r="C36" s="5" t="n">
        <f aca="false">IF(B36="",0,IF(A36="Bank",IFERROR(MATCH(B36,Bank!$A:$A,0),0),IFERROR(MATCH(B36,GL!$A:$A,0),0)))</f>
        <v>0</v>
      </c>
      <c r="D36" s="32" t="str">
        <f aca="false">IF(C36=0,"",IF($A36="Bank",INDEX(Bank!$B:$B,$C36),INDEX(GL!$B:$B,$C36)))</f>
        <v/>
      </c>
      <c r="E36" s="5" t="str">
        <f aca="false">IF(C36=0,"",IF($A36="Bank",IF(INDEX(Bank!$C:$C,$C36)="","",INDEX(Bank!$C:$C,$C36)),IF(INDEX(GL!$C:$C,$C36)="","",INDEX(GL!$C:$C,$C36))))</f>
        <v/>
      </c>
      <c r="F36" s="5" t="str">
        <f aca="false">IF(C36=0,"",IF($A36="Bank",IF(INDEX(Bank!$D:$D,$C36)="","",INDEX(Bank!$D:$D,$C36)),IF(INDEX(GL!$D:$D,$C36)="","",INDEX(GL!$D:$D,$C36))))</f>
        <v/>
      </c>
      <c r="G36" s="19" t="str">
        <f aca="false">IF(C36=0,"",IF($A36="Bank",INDEX(Bank!$E:$E,$C36),INDEX(GL!$E:$E,$C36)))</f>
        <v/>
      </c>
      <c r="H36" s="5" t="str">
        <f aca="false">IF(C36=0,"",IF(A36="GL",IF(G36&gt;0,"Deposit in transit","Outstanding check / payment"),IF(G36&gt;0,"Bank credit not in GL","Bank debit not in GL")))</f>
        <v/>
      </c>
      <c r="I36" s="42" t="str">
        <f aca="false">IF(OR(C36=0,CFG_PeriodEnd=""),"",CFG_PeriodEnd-D36)</f>
        <v/>
      </c>
      <c r="J36" s="5" t="str">
        <f aca="false">IF(C36=0,"",IF($A36="Bank",IF(INDEX(Bank!$G:$G,$C36)="","",INDEX(Bank!$G:$G,$C36)),IF(INDEX(GL!$G:$G,$C36)="","",INDEX(GL!$G:$G,$C36))))</f>
        <v/>
      </c>
      <c r="K36" s="5" t="str">
        <f aca="false">IF(C36=0,"",IF($A36="Bank",IF(INDEX(Bank!$I:$I,$C36)="","",INDEX(Bank!$I:$I,$C36)),IF(INDEX(GL!$I:$I,$C36)="","",INDEX(GL!$I:$I,$C36))))</f>
        <v/>
      </c>
      <c r="L36" s="5" t="str">
        <f aca="false">IF(B36="","",IF(C36=0,"NOT FOUND",IF(IF($A36="Bank",INDEX(Bank!$F:$F,$C36),INDEX(GL!$F:$F,$C36))="Y","NOW RECONCILED: refresh","OK")))</f>
        <v/>
      </c>
    </row>
    <row r="37" customFormat="false" ht="15" hidden="false" customHeight="false" outlineLevel="0" collapsed="false">
      <c r="A37" s="41"/>
      <c r="B37" s="41"/>
      <c r="C37" s="5" t="n">
        <f aca="false">IF(B37="",0,IF(A37="Bank",IFERROR(MATCH(B37,Bank!$A:$A,0),0),IFERROR(MATCH(B37,GL!$A:$A,0),0)))</f>
        <v>0</v>
      </c>
      <c r="D37" s="32" t="str">
        <f aca="false">IF(C37=0,"",IF($A37="Bank",INDEX(Bank!$B:$B,$C37),INDEX(GL!$B:$B,$C37)))</f>
        <v/>
      </c>
      <c r="E37" s="5" t="str">
        <f aca="false">IF(C37=0,"",IF($A37="Bank",IF(INDEX(Bank!$C:$C,$C37)="","",INDEX(Bank!$C:$C,$C37)),IF(INDEX(GL!$C:$C,$C37)="","",INDEX(GL!$C:$C,$C37))))</f>
        <v/>
      </c>
      <c r="F37" s="5" t="str">
        <f aca="false">IF(C37=0,"",IF($A37="Bank",IF(INDEX(Bank!$D:$D,$C37)="","",INDEX(Bank!$D:$D,$C37)),IF(INDEX(GL!$D:$D,$C37)="","",INDEX(GL!$D:$D,$C37))))</f>
        <v/>
      </c>
      <c r="G37" s="19" t="str">
        <f aca="false">IF(C37=0,"",IF($A37="Bank",INDEX(Bank!$E:$E,$C37),INDEX(GL!$E:$E,$C37)))</f>
        <v/>
      </c>
      <c r="H37" s="5" t="str">
        <f aca="false">IF(C37=0,"",IF(A37="GL",IF(G37&gt;0,"Deposit in transit","Outstanding check / payment"),IF(G37&gt;0,"Bank credit not in GL","Bank debit not in GL")))</f>
        <v/>
      </c>
      <c r="I37" s="42" t="str">
        <f aca="false">IF(OR(C37=0,CFG_PeriodEnd=""),"",CFG_PeriodEnd-D37)</f>
        <v/>
      </c>
      <c r="J37" s="5" t="str">
        <f aca="false">IF(C37=0,"",IF($A37="Bank",IF(INDEX(Bank!$G:$G,$C37)="","",INDEX(Bank!$G:$G,$C37)),IF(INDEX(GL!$G:$G,$C37)="","",INDEX(GL!$G:$G,$C37))))</f>
        <v/>
      </c>
      <c r="K37" s="5" t="str">
        <f aca="false">IF(C37=0,"",IF($A37="Bank",IF(INDEX(Bank!$I:$I,$C37)="","",INDEX(Bank!$I:$I,$C37)),IF(INDEX(GL!$I:$I,$C37)="","",INDEX(GL!$I:$I,$C37))))</f>
        <v/>
      </c>
      <c r="L37" s="5" t="str">
        <f aca="false">IF(B37="","",IF(C37=0,"NOT FOUND",IF(IF($A37="Bank",INDEX(Bank!$F:$F,$C37),INDEX(GL!$F:$F,$C37))="Y","NOW RECONCILED: refresh","OK")))</f>
        <v/>
      </c>
    </row>
    <row r="38" customFormat="false" ht="15" hidden="false" customHeight="false" outlineLevel="0" collapsed="false">
      <c r="A38" s="41"/>
      <c r="B38" s="41"/>
      <c r="C38" s="5" t="n">
        <f aca="false">IF(B38="",0,IF(A38="Bank",IFERROR(MATCH(B38,Bank!$A:$A,0),0),IFERROR(MATCH(B38,GL!$A:$A,0),0)))</f>
        <v>0</v>
      </c>
      <c r="D38" s="32" t="str">
        <f aca="false">IF(C38=0,"",IF($A38="Bank",INDEX(Bank!$B:$B,$C38),INDEX(GL!$B:$B,$C38)))</f>
        <v/>
      </c>
      <c r="E38" s="5" t="str">
        <f aca="false">IF(C38=0,"",IF($A38="Bank",IF(INDEX(Bank!$C:$C,$C38)="","",INDEX(Bank!$C:$C,$C38)),IF(INDEX(GL!$C:$C,$C38)="","",INDEX(GL!$C:$C,$C38))))</f>
        <v/>
      </c>
      <c r="F38" s="5" t="str">
        <f aca="false">IF(C38=0,"",IF($A38="Bank",IF(INDEX(Bank!$D:$D,$C38)="","",INDEX(Bank!$D:$D,$C38)),IF(INDEX(GL!$D:$D,$C38)="","",INDEX(GL!$D:$D,$C38))))</f>
        <v/>
      </c>
      <c r="G38" s="19" t="str">
        <f aca="false">IF(C38=0,"",IF($A38="Bank",INDEX(Bank!$E:$E,$C38),INDEX(GL!$E:$E,$C38)))</f>
        <v/>
      </c>
      <c r="H38" s="5" t="str">
        <f aca="false">IF(C38=0,"",IF(A38="GL",IF(G38&gt;0,"Deposit in transit","Outstanding check / payment"),IF(G38&gt;0,"Bank credit not in GL","Bank debit not in GL")))</f>
        <v/>
      </c>
      <c r="I38" s="42" t="str">
        <f aca="false">IF(OR(C38=0,CFG_PeriodEnd=""),"",CFG_PeriodEnd-D38)</f>
        <v/>
      </c>
      <c r="J38" s="5" t="str">
        <f aca="false">IF(C38=0,"",IF($A38="Bank",IF(INDEX(Bank!$G:$G,$C38)="","",INDEX(Bank!$G:$G,$C38)),IF(INDEX(GL!$G:$G,$C38)="","",INDEX(GL!$G:$G,$C38))))</f>
        <v/>
      </c>
      <c r="K38" s="5" t="str">
        <f aca="false">IF(C38=0,"",IF($A38="Bank",IF(INDEX(Bank!$I:$I,$C38)="","",INDEX(Bank!$I:$I,$C38)),IF(INDEX(GL!$I:$I,$C38)="","",INDEX(GL!$I:$I,$C38))))</f>
        <v/>
      </c>
      <c r="L38" s="5" t="str">
        <f aca="false">IF(B38="","",IF(C38=0,"NOT FOUND",IF(IF($A38="Bank",INDEX(Bank!$F:$F,$C38),INDEX(GL!$F:$F,$C38))="Y","NOW RECONCILED: refresh","OK")))</f>
        <v/>
      </c>
    </row>
    <row r="39" customFormat="false" ht="15" hidden="false" customHeight="false" outlineLevel="0" collapsed="false">
      <c r="A39" s="41"/>
      <c r="B39" s="41"/>
      <c r="C39" s="5" t="n">
        <f aca="false">IF(B39="",0,IF(A39="Bank",IFERROR(MATCH(B39,Bank!$A:$A,0),0),IFERROR(MATCH(B39,GL!$A:$A,0),0)))</f>
        <v>0</v>
      </c>
      <c r="D39" s="32" t="str">
        <f aca="false">IF(C39=0,"",IF($A39="Bank",INDEX(Bank!$B:$B,$C39),INDEX(GL!$B:$B,$C39)))</f>
        <v/>
      </c>
      <c r="E39" s="5" t="str">
        <f aca="false">IF(C39=0,"",IF($A39="Bank",IF(INDEX(Bank!$C:$C,$C39)="","",INDEX(Bank!$C:$C,$C39)),IF(INDEX(GL!$C:$C,$C39)="","",INDEX(GL!$C:$C,$C39))))</f>
        <v/>
      </c>
      <c r="F39" s="5" t="str">
        <f aca="false">IF(C39=0,"",IF($A39="Bank",IF(INDEX(Bank!$D:$D,$C39)="","",INDEX(Bank!$D:$D,$C39)),IF(INDEX(GL!$D:$D,$C39)="","",INDEX(GL!$D:$D,$C39))))</f>
        <v/>
      </c>
      <c r="G39" s="19" t="str">
        <f aca="false">IF(C39=0,"",IF($A39="Bank",INDEX(Bank!$E:$E,$C39),INDEX(GL!$E:$E,$C39)))</f>
        <v/>
      </c>
      <c r="H39" s="5" t="str">
        <f aca="false">IF(C39=0,"",IF(A39="GL",IF(G39&gt;0,"Deposit in transit","Outstanding check / payment"),IF(G39&gt;0,"Bank credit not in GL","Bank debit not in GL")))</f>
        <v/>
      </c>
      <c r="I39" s="42" t="str">
        <f aca="false">IF(OR(C39=0,CFG_PeriodEnd=""),"",CFG_PeriodEnd-D39)</f>
        <v/>
      </c>
      <c r="J39" s="5" t="str">
        <f aca="false">IF(C39=0,"",IF($A39="Bank",IF(INDEX(Bank!$G:$G,$C39)="","",INDEX(Bank!$G:$G,$C39)),IF(INDEX(GL!$G:$G,$C39)="","",INDEX(GL!$G:$G,$C39))))</f>
        <v/>
      </c>
      <c r="K39" s="5" t="str">
        <f aca="false">IF(C39=0,"",IF($A39="Bank",IF(INDEX(Bank!$I:$I,$C39)="","",INDEX(Bank!$I:$I,$C39)),IF(INDEX(GL!$I:$I,$C39)="","",INDEX(GL!$I:$I,$C39))))</f>
        <v/>
      </c>
      <c r="L39" s="5" t="str">
        <f aca="false">IF(B39="","",IF(C39=0,"NOT FOUND",IF(IF($A39="Bank",INDEX(Bank!$F:$F,$C39),INDEX(GL!$F:$F,$C39))="Y","NOW RECONCILED: refresh","OK")))</f>
        <v/>
      </c>
    </row>
    <row r="40" customFormat="false" ht="15" hidden="false" customHeight="false" outlineLevel="0" collapsed="false">
      <c r="A40" s="41"/>
      <c r="B40" s="41"/>
      <c r="C40" s="5" t="n">
        <f aca="false">IF(B40="",0,IF(A40="Bank",IFERROR(MATCH(B40,Bank!$A:$A,0),0),IFERROR(MATCH(B40,GL!$A:$A,0),0)))</f>
        <v>0</v>
      </c>
      <c r="D40" s="32" t="str">
        <f aca="false">IF(C40=0,"",IF($A40="Bank",INDEX(Bank!$B:$B,$C40),INDEX(GL!$B:$B,$C40)))</f>
        <v/>
      </c>
      <c r="E40" s="5" t="str">
        <f aca="false">IF(C40=0,"",IF($A40="Bank",IF(INDEX(Bank!$C:$C,$C40)="","",INDEX(Bank!$C:$C,$C40)),IF(INDEX(GL!$C:$C,$C40)="","",INDEX(GL!$C:$C,$C40))))</f>
        <v/>
      </c>
      <c r="F40" s="5" t="str">
        <f aca="false">IF(C40=0,"",IF($A40="Bank",IF(INDEX(Bank!$D:$D,$C40)="","",INDEX(Bank!$D:$D,$C40)),IF(INDEX(GL!$D:$D,$C40)="","",INDEX(GL!$D:$D,$C40))))</f>
        <v/>
      </c>
      <c r="G40" s="19" t="str">
        <f aca="false">IF(C40=0,"",IF($A40="Bank",INDEX(Bank!$E:$E,$C40),INDEX(GL!$E:$E,$C40)))</f>
        <v/>
      </c>
      <c r="H40" s="5" t="str">
        <f aca="false">IF(C40=0,"",IF(A40="GL",IF(G40&gt;0,"Deposit in transit","Outstanding check / payment"),IF(G40&gt;0,"Bank credit not in GL","Bank debit not in GL")))</f>
        <v/>
      </c>
      <c r="I40" s="42" t="str">
        <f aca="false">IF(OR(C40=0,CFG_PeriodEnd=""),"",CFG_PeriodEnd-D40)</f>
        <v/>
      </c>
      <c r="J40" s="5" t="str">
        <f aca="false">IF(C40=0,"",IF($A40="Bank",IF(INDEX(Bank!$G:$G,$C40)="","",INDEX(Bank!$G:$G,$C40)),IF(INDEX(GL!$G:$G,$C40)="","",INDEX(GL!$G:$G,$C40))))</f>
        <v/>
      </c>
      <c r="K40" s="5" t="str">
        <f aca="false">IF(C40=0,"",IF($A40="Bank",IF(INDEX(Bank!$I:$I,$C40)="","",INDEX(Bank!$I:$I,$C40)),IF(INDEX(GL!$I:$I,$C40)="","",INDEX(GL!$I:$I,$C40))))</f>
        <v/>
      </c>
      <c r="L40" s="5" t="str">
        <f aca="false">IF(B40="","",IF(C40=0,"NOT FOUND",IF(IF($A40="Bank",INDEX(Bank!$F:$F,$C40),INDEX(GL!$F:$F,$C40))="Y","NOW RECONCILED: refresh","OK")))</f>
        <v/>
      </c>
    </row>
    <row r="41" customFormat="false" ht="15" hidden="false" customHeight="false" outlineLevel="0" collapsed="false">
      <c r="A41" s="41"/>
      <c r="B41" s="41"/>
      <c r="C41" s="5" t="n">
        <f aca="false">IF(B41="",0,IF(A41="Bank",IFERROR(MATCH(B41,Bank!$A:$A,0),0),IFERROR(MATCH(B41,GL!$A:$A,0),0)))</f>
        <v>0</v>
      </c>
      <c r="D41" s="32" t="str">
        <f aca="false">IF(C41=0,"",IF($A41="Bank",INDEX(Bank!$B:$B,$C41),INDEX(GL!$B:$B,$C41)))</f>
        <v/>
      </c>
      <c r="E41" s="5" t="str">
        <f aca="false">IF(C41=0,"",IF($A41="Bank",IF(INDEX(Bank!$C:$C,$C41)="","",INDEX(Bank!$C:$C,$C41)),IF(INDEX(GL!$C:$C,$C41)="","",INDEX(GL!$C:$C,$C41))))</f>
        <v/>
      </c>
      <c r="F41" s="5" t="str">
        <f aca="false">IF(C41=0,"",IF($A41="Bank",IF(INDEX(Bank!$D:$D,$C41)="","",INDEX(Bank!$D:$D,$C41)),IF(INDEX(GL!$D:$D,$C41)="","",INDEX(GL!$D:$D,$C41))))</f>
        <v/>
      </c>
      <c r="G41" s="19" t="str">
        <f aca="false">IF(C41=0,"",IF($A41="Bank",INDEX(Bank!$E:$E,$C41),INDEX(GL!$E:$E,$C41)))</f>
        <v/>
      </c>
      <c r="H41" s="5" t="str">
        <f aca="false">IF(C41=0,"",IF(A41="GL",IF(G41&gt;0,"Deposit in transit","Outstanding check / payment"),IF(G41&gt;0,"Bank credit not in GL","Bank debit not in GL")))</f>
        <v/>
      </c>
      <c r="I41" s="42" t="str">
        <f aca="false">IF(OR(C41=0,CFG_PeriodEnd=""),"",CFG_PeriodEnd-D41)</f>
        <v/>
      </c>
      <c r="J41" s="5" t="str">
        <f aca="false">IF(C41=0,"",IF($A41="Bank",IF(INDEX(Bank!$G:$G,$C41)="","",INDEX(Bank!$G:$G,$C41)),IF(INDEX(GL!$G:$G,$C41)="","",INDEX(GL!$G:$G,$C41))))</f>
        <v/>
      </c>
      <c r="K41" s="5" t="str">
        <f aca="false">IF(C41=0,"",IF($A41="Bank",IF(INDEX(Bank!$I:$I,$C41)="","",INDEX(Bank!$I:$I,$C41)),IF(INDEX(GL!$I:$I,$C41)="","",INDEX(GL!$I:$I,$C41))))</f>
        <v/>
      </c>
      <c r="L41" s="5" t="str">
        <f aca="false">IF(B41="","",IF(C41=0,"NOT FOUND",IF(IF($A41="Bank",INDEX(Bank!$F:$F,$C41),INDEX(GL!$F:$F,$C41))="Y","NOW RECONCILED: refresh","OK")))</f>
        <v/>
      </c>
    </row>
    <row r="42" customFormat="false" ht="15" hidden="false" customHeight="false" outlineLevel="0" collapsed="false">
      <c r="A42" s="41"/>
      <c r="B42" s="41"/>
      <c r="C42" s="5" t="n">
        <f aca="false">IF(B42="",0,IF(A42="Bank",IFERROR(MATCH(B42,Bank!$A:$A,0),0),IFERROR(MATCH(B42,GL!$A:$A,0),0)))</f>
        <v>0</v>
      </c>
      <c r="D42" s="32" t="str">
        <f aca="false">IF(C42=0,"",IF($A42="Bank",INDEX(Bank!$B:$B,$C42),INDEX(GL!$B:$B,$C42)))</f>
        <v/>
      </c>
      <c r="E42" s="5" t="str">
        <f aca="false">IF(C42=0,"",IF($A42="Bank",IF(INDEX(Bank!$C:$C,$C42)="","",INDEX(Bank!$C:$C,$C42)),IF(INDEX(GL!$C:$C,$C42)="","",INDEX(GL!$C:$C,$C42))))</f>
        <v/>
      </c>
      <c r="F42" s="5" t="str">
        <f aca="false">IF(C42=0,"",IF($A42="Bank",IF(INDEX(Bank!$D:$D,$C42)="","",INDEX(Bank!$D:$D,$C42)),IF(INDEX(GL!$D:$D,$C42)="","",INDEX(GL!$D:$D,$C42))))</f>
        <v/>
      </c>
      <c r="G42" s="19" t="str">
        <f aca="false">IF(C42=0,"",IF($A42="Bank",INDEX(Bank!$E:$E,$C42),INDEX(GL!$E:$E,$C42)))</f>
        <v/>
      </c>
      <c r="H42" s="5" t="str">
        <f aca="false">IF(C42=0,"",IF(A42="GL",IF(G42&gt;0,"Deposit in transit","Outstanding check / payment"),IF(G42&gt;0,"Bank credit not in GL","Bank debit not in GL")))</f>
        <v/>
      </c>
      <c r="I42" s="42" t="str">
        <f aca="false">IF(OR(C42=0,CFG_PeriodEnd=""),"",CFG_PeriodEnd-D42)</f>
        <v/>
      </c>
      <c r="J42" s="5" t="str">
        <f aca="false">IF(C42=0,"",IF($A42="Bank",IF(INDEX(Bank!$G:$G,$C42)="","",INDEX(Bank!$G:$G,$C42)),IF(INDEX(GL!$G:$G,$C42)="","",INDEX(GL!$G:$G,$C42))))</f>
        <v/>
      </c>
      <c r="K42" s="5" t="str">
        <f aca="false">IF(C42=0,"",IF($A42="Bank",IF(INDEX(Bank!$I:$I,$C42)="","",INDEX(Bank!$I:$I,$C42)),IF(INDEX(GL!$I:$I,$C42)="","",INDEX(GL!$I:$I,$C42))))</f>
        <v/>
      </c>
      <c r="L42" s="5" t="str">
        <f aca="false">IF(B42="","",IF(C42=0,"NOT FOUND",IF(IF($A42="Bank",INDEX(Bank!$F:$F,$C42),INDEX(GL!$F:$F,$C42))="Y","NOW RECONCILED: refresh","OK")))</f>
        <v/>
      </c>
    </row>
    <row r="43" customFormat="false" ht="15" hidden="false" customHeight="false" outlineLevel="0" collapsed="false">
      <c r="A43" s="41"/>
      <c r="B43" s="41"/>
      <c r="C43" s="5" t="n">
        <f aca="false">IF(B43="",0,IF(A43="Bank",IFERROR(MATCH(B43,Bank!$A:$A,0),0),IFERROR(MATCH(B43,GL!$A:$A,0),0)))</f>
        <v>0</v>
      </c>
      <c r="D43" s="32" t="str">
        <f aca="false">IF(C43=0,"",IF($A43="Bank",INDEX(Bank!$B:$B,$C43),INDEX(GL!$B:$B,$C43)))</f>
        <v/>
      </c>
      <c r="E43" s="5" t="str">
        <f aca="false">IF(C43=0,"",IF($A43="Bank",IF(INDEX(Bank!$C:$C,$C43)="","",INDEX(Bank!$C:$C,$C43)),IF(INDEX(GL!$C:$C,$C43)="","",INDEX(GL!$C:$C,$C43))))</f>
        <v/>
      </c>
      <c r="F43" s="5" t="str">
        <f aca="false">IF(C43=0,"",IF($A43="Bank",IF(INDEX(Bank!$D:$D,$C43)="","",INDEX(Bank!$D:$D,$C43)),IF(INDEX(GL!$D:$D,$C43)="","",INDEX(GL!$D:$D,$C43))))</f>
        <v/>
      </c>
      <c r="G43" s="19" t="str">
        <f aca="false">IF(C43=0,"",IF($A43="Bank",INDEX(Bank!$E:$E,$C43),INDEX(GL!$E:$E,$C43)))</f>
        <v/>
      </c>
      <c r="H43" s="5" t="str">
        <f aca="false">IF(C43=0,"",IF(A43="GL",IF(G43&gt;0,"Deposit in transit","Outstanding check / payment"),IF(G43&gt;0,"Bank credit not in GL","Bank debit not in GL")))</f>
        <v/>
      </c>
      <c r="I43" s="42" t="str">
        <f aca="false">IF(OR(C43=0,CFG_PeriodEnd=""),"",CFG_PeriodEnd-D43)</f>
        <v/>
      </c>
      <c r="J43" s="5" t="str">
        <f aca="false">IF(C43=0,"",IF($A43="Bank",IF(INDEX(Bank!$G:$G,$C43)="","",INDEX(Bank!$G:$G,$C43)),IF(INDEX(GL!$G:$G,$C43)="","",INDEX(GL!$G:$G,$C43))))</f>
        <v/>
      </c>
      <c r="K43" s="5" t="str">
        <f aca="false">IF(C43=0,"",IF($A43="Bank",IF(INDEX(Bank!$I:$I,$C43)="","",INDEX(Bank!$I:$I,$C43)),IF(INDEX(GL!$I:$I,$C43)="","",INDEX(GL!$I:$I,$C43))))</f>
        <v/>
      </c>
      <c r="L43" s="5" t="str">
        <f aca="false">IF(B43="","",IF(C43=0,"NOT FOUND",IF(IF($A43="Bank",INDEX(Bank!$F:$F,$C43),INDEX(GL!$F:$F,$C43))="Y","NOW RECONCILED: refresh","OK")))</f>
        <v/>
      </c>
    </row>
    <row r="44" customFormat="false" ht="15" hidden="false" customHeight="false" outlineLevel="0" collapsed="false">
      <c r="A44" s="41"/>
      <c r="B44" s="41"/>
      <c r="C44" s="5" t="n">
        <f aca="false">IF(B44="",0,IF(A44="Bank",IFERROR(MATCH(B44,Bank!$A:$A,0),0),IFERROR(MATCH(B44,GL!$A:$A,0),0)))</f>
        <v>0</v>
      </c>
      <c r="D44" s="32" t="str">
        <f aca="false">IF(C44=0,"",IF($A44="Bank",INDEX(Bank!$B:$B,$C44),INDEX(GL!$B:$B,$C44)))</f>
        <v/>
      </c>
      <c r="E44" s="5" t="str">
        <f aca="false">IF(C44=0,"",IF($A44="Bank",IF(INDEX(Bank!$C:$C,$C44)="","",INDEX(Bank!$C:$C,$C44)),IF(INDEX(GL!$C:$C,$C44)="","",INDEX(GL!$C:$C,$C44))))</f>
        <v/>
      </c>
      <c r="F44" s="5" t="str">
        <f aca="false">IF(C44=0,"",IF($A44="Bank",IF(INDEX(Bank!$D:$D,$C44)="","",INDEX(Bank!$D:$D,$C44)),IF(INDEX(GL!$D:$D,$C44)="","",INDEX(GL!$D:$D,$C44))))</f>
        <v/>
      </c>
      <c r="G44" s="19" t="str">
        <f aca="false">IF(C44=0,"",IF($A44="Bank",INDEX(Bank!$E:$E,$C44),INDEX(GL!$E:$E,$C44)))</f>
        <v/>
      </c>
      <c r="H44" s="5" t="str">
        <f aca="false">IF(C44=0,"",IF(A44="GL",IF(G44&gt;0,"Deposit in transit","Outstanding check / payment"),IF(G44&gt;0,"Bank credit not in GL","Bank debit not in GL")))</f>
        <v/>
      </c>
      <c r="I44" s="42" t="str">
        <f aca="false">IF(OR(C44=0,CFG_PeriodEnd=""),"",CFG_PeriodEnd-D44)</f>
        <v/>
      </c>
      <c r="J44" s="5" t="str">
        <f aca="false">IF(C44=0,"",IF($A44="Bank",IF(INDEX(Bank!$G:$G,$C44)="","",INDEX(Bank!$G:$G,$C44)),IF(INDEX(GL!$G:$G,$C44)="","",INDEX(GL!$G:$G,$C44))))</f>
        <v/>
      </c>
      <c r="K44" s="5" t="str">
        <f aca="false">IF(C44=0,"",IF($A44="Bank",IF(INDEX(Bank!$I:$I,$C44)="","",INDEX(Bank!$I:$I,$C44)),IF(INDEX(GL!$I:$I,$C44)="","",INDEX(GL!$I:$I,$C44))))</f>
        <v/>
      </c>
      <c r="L44" s="5" t="str">
        <f aca="false">IF(B44="","",IF(C44=0,"NOT FOUND",IF(IF($A44="Bank",INDEX(Bank!$F:$F,$C44),INDEX(GL!$F:$F,$C44))="Y","NOW RECONCILED: refresh","OK")))</f>
        <v/>
      </c>
    </row>
    <row r="45" customFormat="false" ht="15" hidden="false" customHeight="false" outlineLevel="0" collapsed="false">
      <c r="A45" s="41"/>
      <c r="B45" s="41"/>
      <c r="C45" s="5" t="n">
        <f aca="false">IF(B45="",0,IF(A45="Bank",IFERROR(MATCH(B45,Bank!$A:$A,0),0),IFERROR(MATCH(B45,GL!$A:$A,0),0)))</f>
        <v>0</v>
      </c>
      <c r="D45" s="32" t="str">
        <f aca="false">IF(C45=0,"",IF($A45="Bank",INDEX(Bank!$B:$B,$C45),INDEX(GL!$B:$B,$C45)))</f>
        <v/>
      </c>
      <c r="E45" s="5" t="str">
        <f aca="false">IF(C45=0,"",IF($A45="Bank",IF(INDEX(Bank!$C:$C,$C45)="","",INDEX(Bank!$C:$C,$C45)),IF(INDEX(GL!$C:$C,$C45)="","",INDEX(GL!$C:$C,$C45))))</f>
        <v/>
      </c>
      <c r="F45" s="5" t="str">
        <f aca="false">IF(C45=0,"",IF($A45="Bank",IF(INDEX(Bank!$D:$D,$C45)="","",INDEX(Bank!$D:$D,$C45)),IF(INDEX(GL!$D:$D,$C45)="","",INDEX(GL!$D:$D,$C45))))</f>
        <v/>
      </c>
      <c r="G45" s="19" t="str">
        <f aca="false">IF(C45=0,"",IF($A45="Bank",INDEX(Bank!$E:$E,$C45),INDEX(GL!$E:$E,$C45)))</f>
        <v/>
      </c>
      <c r="H45" s="5" t="str">
        <f aca="false">IF(C45=0,"",IF(A45="GL",IF(G45&gt;0,"Deposit in transit","Outstanding check / payment"),IF(G45&gt;0,"Bank credit not in GL","Bank debit not in GL")))</f>
        <v/>
      </c>
      <c r="I45" s="42" t="str">
        <f aca="false">IF(OR(C45=0,CFG_PeriodEnd=""),"",CFG_PeriodEnd-D45)</f>
        <v/>
      </c>
      <c r="J45" s="5" t="str">
        <f aca="false">IF(C45=0,"",IF($A45="Bank",IF(INDEX(Bank!$G:$G,$C45)="","",INDEX(Bank!$G:$G,$C45)),IF(INDEX(GL!$G:$G,$C45)="","",INDEX(GL!$G:$G,$C45))))</f>
        <v/>
      </c>
      <c r="K45" s="5" t="str">
        <f aca="false">IF(C45=0,"",IF($A45="Bank",IF(INDEX(Bank!$I:$I,$C45)="","",INDEX(Bank!$I:$I,$C45)),IF(INDEX(GL!$I:$I,$C45)="","",INDEX(GL!$I:$I,$C45))))</f>
        <v/>
      </c>
      <c r="L45" s="5" t="str">
        <f aca="false">IF(B45="","",IF(C45=0,"NOT FOUND",IF(IF($A45="Bank",INDEX(Bank!$F:$F,$C45),INDEX(GL!$F:$F,$C45))="Y","NOW RECONCILED: refresh","OK")))</f>
        <v/>
      </c>
    </row>
    <row r="46" customFormat="false" ht="15" hidden="false" customHeight="false" outlineLevel="0" collapsed="false">
      <c r="A46" s="41"/>
      <c r="B46" s="41"/>
      <c r="C46" s="5" t="n">
        <f aca="false">IF(B46="",0,IF(A46="Bank",IFERROR(MATCH(B46,Bank!$A:$A,0),0),IFERROR(MATCH(B46,GL!$A:$A,0),0)))</f>
        <v>0</v>
      </c>
      <c r="D46" s="32" t="str">
        <f aca="false">IF(C46=0,"",IF($A46="Bank",INDEX(Bank!$B:$B,$C46),INDEX(GL!$B:$B,$C46)))</f>
        <v/>
      </c>
      <c r="E46" s="5" t="str">
        <f aca="false">IF(C46=0,"",IF($A46="Bank",IF(INDEX(Bank!$C:$C,$C46)="","",INDEX(Bank!$C:$C,$C46)),IF(INDEX(GL!$C:$C,$C46)="","",INDEX(GL!$C:$C,$C46))))</f>
        <v/>
      </c>
      <c r="F46" s="5" t="str">
        <f aca="false">IF(C46=0,"",IF($A46="Bank",IF(INDEX(Bank!$D:$D,$C46)="","",INDEX(Bank!$D:$D,$C46)),IF(INDEX(GL!$D:$D,$C46)="","",INDEX(GL!$D:$D,$C46))))</f>
        <v/>
      </c>
      <c r="G46" s="19" t="str">
        <f aca="false">IF(C46=0,"",IF($A46="Bank",INDEX(Bank!$E:$E,$C46),INDEX(GL!$E:$E,$C46)))</f>
        <v/>
      </c>
      <c r="H46" s="5" t="str">
        <f aca="false">IF(C46=0,"",IF(A46="GL",IF(G46&gt;0,"Deposit in transit","Outstanding check / payment"),IF(G46&gt;0,"Bank credit not in GL","Bank debit not in GL")))</f>
        <v/>
      </c>
      <c r="I46" s="42" t="str">
        <f aca="false">IF(OR(C46=0,CFG_PeriodEnd=""),"",CFG_PeriodEnd-D46)</f>
        <v/>
      </c>
      <c r="J46" s="5" t="str">
        <f aca="false">IF(C46=0,"",IF($A46="Bank",IF(INDEX(Bank!$G:$G,$C46)="","",INDEX(Bank!$G:$G,$C46)),IF(INDEX(GL!$G:$G,$C46)="","",INDEX(GL!$G:$G,$C46))))</f>
        <v/>
      </c>
      <c r="K46" s="5" t="str">
        <f aca="false">IF(C46=0,"",IF($A46="Bank",IF(INDEX(Bank!$I:$I,$C46)="","",INDEX(Bank!$I:$I,$C46)),IF(INDEX(GL!$I:$I,$C46)="","",INDEX(GL!$I:$I,$C46))))</f>
        <v/>
      </c>
      <c r="L46" s="5" t="str">
        <f aca="false">IF(B46="","",IF(C46=0,"NOT FOUND",IF(IF($A46="Bank",INDEX(Bank!$F:$F,$C46),INDEX(GL!$F:$F,$C46))="Y","NOW RECONCILED: refresh","OK")))</f>
        <v/>
      </c>
    </row>
    <row r="47" customFormat="false" ht="15" hidden="false" customHeight="false" outlineLevel="0" collapsed="false">
      <c r="A47" s="41"/>
      <c r="B47" s="41"/>
      <c r="C47" s="5" t="n">
        <f aca="false">IF(B47="",0,IF(A47="Bank",IFERROR(MATCH(B47,Bank!$A:$A,0),0),IFERROR(MATCH(B47,GL!$A:$A,0),0)))</f>
        <v>0</v>
      </c>
      <c r="D47" s="32" t="str">
        <f aca="false">IF(C47=0,"",IF($A47="Bank",INDEX(Bank!$B:$B,$C47),INDEX(GL!$B:$B,$C47)))</f>
        <v/>
      </c>
      <c r="E47" s="5" t="str">
        <f aca="false">IF(C47=0,"",IF($A47="Bank",IF(INDEX(Bank!$C:$C,$C47)="","",INDEX(Bank!$C:$C,$C47)),IF(INDEX(GL!$C:$C,$C47)="","",INDEX(GL!$C:$C,$C47))))</f>
        <v/>
      </c>
      <c r="F47" s="5" t="str">
        <f aca="false">IF(C47=0,"",IF($A47="Bank",IF(INDEX(Bank!$D:$D,$C47)="","",INDEX(Bank!$D:$D,$C47)),IF(INDEX(GL!$D:$D,$C47)="","",INDEX(GL!$D:$D,$C47))))</f>
        <v/>
      </c>
      <c r="G47" s="19" t="str">
        <f aca="false">IF(C47=0,"",IF($A47="Bank",INDEX(Bank!$E:$E,$C47),INDEX(GL!$E:$E,$C47)))</f>
        <v/>
      </c>
      <c r="H47" s="5" t="str">
        <f aca="false">IF(C47=0,"",IF(A47="GL",IF(G47&gt;0,"Deposit in transit","Outstanding check / payment"),IF(G47&gt;0,"Bank credit not in GL","Bank debit not in GL")))</f>
        <v/>
      </c>
      <c r="I47" s="42" t="str">
        <f aca="false">IF(OR(C47=0,CFG_PeriodEnd=""),"",CFG_PeriodEnd-D47)</f>
        <v/>
      </c>
      <c r="J47" s="5" t="str">
        <f aca="false">IF(C47=0,"",IF($A47="Bank",IF(INDEX(Bank!$G:$G,$C47)="","",INDEX(Bank!$G:$G,$C47)),IF(INDEX(GL!$G:$G,$C47)="","",INDEX(GL!$G:$G,$C47))))</f>
        <v/>
      </c>
      <c r="K47" s="5" t="str">
        <f aca="false">IF(C47=0,"",IF($A47="Bank",IF(INDEX(Bank!$I:$I,$C47)="","",INDEX(Bank!$I:$I,$C47)),IF(INDEX(GL!$I:$I,$C47)="","",INDEX(GL!$I:$I,$C47))))</f>
        <v/>
      </c>
      <c r="L47" s="5" t="str">
        <f aca="false">IF(B47="","",IF(C47=0,"NOT FOUND",IF(IF($A47="Bank",INDEX(Bank!$F:$F,$C47),INDEX(GL!$F:$F,$C47))="Y","NOW RECONCILED: refresh","OK")))</f>
        <v/>
      </c>
    </row>
    <row r="48" customFormat="false" ht="15" hidden="false" customHeight="false" outlineLevel="0" collapsed="false">
      <c r="A48" s="41"/>
      <c r="B48" s="41"/>
      <c r="C48" s="5" t="n">
        <f aca="false">IF(B48="",0,IF(A48="Bank",IFERROR(MATCH(B48,Bank!$A:$A,0),0),IFERROR(MATCH(B48,GL!$A:$A,0),0)))</f>
        <v>0</v>
      </c>
      <c r="D48" s="32" t="str">
        <f aca="false">IF(C48=0,"",IF($A48="Bank",INDEX(Bank!$B:$B,$C48),INDEX(GL!$B:$B,$C48)))</f>
        <v/>
      </c>
      <c r="E48" s="5" t="str">
        <f aca="false">IF(C48=0,"",IF($A48="Bank",IF(INDEX(Bank!$C:$C,$C48)="","",INDEX(Bank!$C:$C,$C48)),IF(INDEX(GL!$C:$C,$C48)="","",INDEX(GL!$C:$C,$C48))))</f>
        <v/>
      </c>
      <c r="F48" s="5" t="str">
        <f aca="false">IF(C48=0,"",IF($A48="Bank",IF(INDEX(Bank!$D:$D,$C48)="","",INDEX(Bank!$D:$D,$C48)),IF(INDEX(GL!$D:$D,$C48)="","",INDEX(GL!$D:$D,$C48))))</f>
        <v/>
      </c>
      <c r="G48" s="19" t="str">
        <f aca="false">IF(C48=0,"",IF($A48="Bank",INDEX(Bank!$E:$E,$C48),INDEX(GL!$E:$E,$C48)))</f>
        <v/>
      </c>
      <c r="H48" s="5" t="str">
        <f aca="false">IF(C48=0,"",IF(A48="GL",IF(G48&gt;0,"Deposit in transit","Outstanding check / payment"),IF(G48&gt;0,"Bank credit not in GL","Bank debit not in GL")))</f>
        <v/>
      </c>
      <c r="I48" s="42" t="str">
        <f aca="false">IF(OR(C48=0,CFG_PeriodEnd=""),"",CFG_PeriodEnd-D48)</f>
        <v/>
      </c>
      <c r="J48" s="5" t="str">
        <f aca="false">IF(C48=0,"",IF($A48="Bank",IF(INDEX(Bank!$G:$G,$C48)="","",INDEX(Bank!$G:$G,$C48)),IF(INDEX(GL!$G:$G,$C48)="","",INDEX(GL!$G:$G,$C48))))</f>
        <v/>
      </c>
      <c r="K48" s="5" t="str">
        <f aca="false">IF(C48=0,"",IF($A48="Bank",IF(INDEX(Bank!$I:$I,$C48)="","",INDEX(Bank!$I:$I,$C48)),IF(INDEX(GL!$I:$I,$C48)="","",INDEX(GL!$I:$I,$C48))))</f>
        <v/>
      </c>
      <c r="L48" s="5" t="str">
        <f aca="false">IF(B48="","",IF(C48=0,"NOT FOUND",IF(IF($A48="Bank",INDEX(Bank!$F:$F,$C48),INDEX(GL!$F:$F,$C48))="Y","NOW RECONCILED: refresh","OK")))</f>
        <v/>
      </c>
    </row>
    <row r="49" customFormat="false" ht="15" hidden="false" customHeight="false" outlineLevel="0" collapsed="false">
      <c r="A49" s="41"/>
      <c r="B49" s="41"/>
      <c r="C49" s="5" t="n">
        <f aca="false">IF(B49="",0,IF(A49="Bank",IFERROR(MATCH(B49,Bank!$A:$A,0),0),IFERROR(MATCH(B49,GL!$A:$A,0),0)))</f>
        <v>0</v>
      </c>
      <c r="D49" s="32" t="str">
        <f aca="false">IF(C49=0,"",IF($A49="Bank",INDEX(Bank!$B:$B,$C49),INDEX(GL!$B:$B,$C49)))</f>
        <v/>
      </c>
      <c r="E49" s="5" t="str">
        <f aca="false">IF(C49=0,"",IF($A49="Bank",IF(INDEX(Bank!$C:$C,$C49)="","",INDEX(Bank!$C:$C,$C49)),IF(INDEX(GL!$C:$C,$C49)="","",INDEX(GL!$C:$C,$C49))))</f>
        <v/>
      </c>
      <c r="F49" s="5" t="str">
        <f aca="false">IF(C49=0,"",IF($A49="Bank",IF(INDEX(Bank!$D:$D,$C49)="","",INDEX(Bank!$D:$D,$C49)),IF(INDEX(GL!$D:$D,$C49)="","",INDEX(GL!$D:$D,$C49))))</f>
        <v/>
      </c>
      <c r="G49" s="19" t="str">
        <f aca="false">IF(C49=0,"",IF($A49="Bank",INDEX(Bank!$E:$E,$C49),INDEX(GL!$E:$E,$C49)))</f>
        <v/>
      </c>
      <c r="H49" s="5" t="str">
        <f aca="false">IF(C49=0,"",IF(A49="GL",IF(G49&gt;0,"Deposit in transit","Outstanding check / payment"),IF(G49&gt;0,"Bank credit not in GL","Bank debit not in GL")))</f>
        <v/>
      </c>
      <c r="I49" s="42" t="str">
        <f aca="false">IF(OR(C49=0,CFG_PeriodEnd=""),"",CFG_PeriodEnd-D49)</f>
        <v/>
      </c>
      <c r="J49" s="5" t="str">
        <f aca="false">IF(C49=0,"",IF($A49="Bank",IF(INDEX(Bank!$G:$G,$C49)="","",INDEX(Bank!$G:$G,$C49)),IF(INDEX(GL!$G:$G,$C49)="","",INDEX(GL!$G:$G,$C49))))</f>
        <v/>
      </c>
      <c r="K49" s="5" t="str">
        <f aca="false">IF(C49=0,"",IF($A49="Bank",IF(INDEX(Bank!$I:$I,$C49)="","",INDEX(Bank!$I:$I,$C49)),IF(INDEX(GL!$I:$I,$C49)="","",INDEX(GL!$I:$I,$C49))))</f>
        <v/>
      </c>
      <c r="L49" s="5" t="str">
        <f aca="false">IF(B49="","",IF(C49=0,"NOT FOUND",IF(IF($A49="Bank",INDEX(Bank!$F:$F,$C49),INDEX(GL!$F:$F,$C49))="Y","NOW RECONCILED: refresh","OK")))</f>
        <v/>
      </c>
    </row>
    <row r="50" customFormat="false" ht="15" hidden="false" customHeight="false" outlineLevel="0" collapsed="false">
      <c r="A50" s="41"/>
      <c r="B50" s="41"/>
      <c r="C50" s="5" t="n">
        <f aca="false">IF(B50="",0,IF(A50="Bank",IFERROR(MATCH(B50,Bank!$A:$A,0),0),IFERROR(MATCH(B50,GL!$A:$A,0),0)))</f>
        <v>0</v>
      </c>
      <c r="D50" s="32" t="str">
        <f aca="false">IF(C50=0,"",IF($A50="Bank",INDEX(Bank!$B:$B,$C50),INDEX(GL!$B:$B,$C50)))</f>
        <v/>
      </c>
      <c r="E50" s="5" t="str">
        <f aca="false">IF(C50=0,"",IF($A50="Bank",IF(INDEX(Bank!$C:$C,$C50)="","",INDEX(Bank!$C:$C,$C50)),IF(INDEX(GL!$C:$C,$C50)="","",INDEX(GL!$C:$C,$C50))))</f>
        <v/>
      </c>
      <c r="F50" s="5" t="str">
        <f aca="false">IF(C50=0,"",IF($A50="Bank",IF(INDEX(Bank!$D:$D,$C50)="","",INDEX(Bank!$D:$D,$C50)),IF(INDEX(GL!$D:$D,$C50)="","",INDEX(GL!$D:$D,$C50))))</f>
        <v/>
      </c>
      <c r="G50" s="19" t="str">
        <f aca="false">IF(C50=0,"",IF($A50="Bank",INDEX(Bank!$E:$E,$C50),INDEX(GL!$E:$E,$C50)))</f>
        <v/>
      </c>
      <c r="H50" s="5" t="str">
        <f aca="false">IF(C50=0,"",IF(A50="GL",IF(G50&gt;0,"Deposit in transit","Outstanding check / payment"),IF(G50&gt;0,"Bank credit not in GL","Bank debit not in GL")))</f>
        <v/>
      </c>
      <c r="I50" s="42" t="str">
        <f aca="false">IF(OR(C50=0,CFG_PeriodEnd=""),"",CFG_PeriodEnd-D50)</f>
        <v/>
      </c>
      <c r="J50" s="5" t="str">
        <f aca="false">IF(C50=0,"",IF($A50="Bank",IF(INDEX(Bank!$G:$G,$C50)="","",INDEX(Bank!$G:$G,$C50)),IF(INDEX(GL!$G:$G,$C50)="","",INDEX(GL!$G:$G,$C50))))</f>
        <v/>
      </c>
      <c r="K50" s="5" t="str">
        <f aca="false">IF(C50=0,"",IF($A50="Bank",IF(INDEX(Bank!$I:$I,$C50)="","",INDEX(Bank!$I:$I,$C50)),IF(INDEX(GL!$I:$I,$C50)="","",INDEX(GL!$I:$I,$C50))))</f>
        <v/>
      </c>
      <c r="L50" s="5" t="str">
        <f aca="false">IF(B50="","",IF(C50=0,"NOT FOUND",IF(IF($A50="Bank",INDEX(Bank!$F:$F,$C50),INDEX(GL!$F:$F,$C50))="Y","NOW RECONCILED: refresh","OK")))</f>
        <v/>
      </c>
    </row>
    <row r="51" customFormat="false" ht="15" hidden="false" customHeight="false" outlineLevel="0" collapsed="false">
      <c r="A51" s="41"/>
      <c r="B51" s="41"/>
      <c r="C51" s="5" t="n">
        <f aca="false">IF(B51="",0,IF(A51="Bank",IFERROR(MATCH(B51,Bank!$A:$A,0),0),IFERROR(MATCH(B51,GL!$A:$A,0),0)))</f>
        <v>0</v>
      </c>
      <c r="D51" s="32" t="str">
        <f aca="false">IF(C51=0,"",IF($A51="Bank",INDEX(Bank!$B:$B,$C51),INDEX(GL!$B:$B,$C51)))</f>
        <v/>
      </c>
      <c r="E51" s="5" t="str">
        <f aca="false">IF(C51=0,"",IF($A51="Bank",IF(INDEX(Bank!$C:$C,$C51)="","",INDEX(Bank!$C:$C,$C51)),IF(INDEX(GL!$C:$C,$C51)="","",INDEX(GL!$C:$C,$C51))))</f>
        <v/>
      </c>
      <c r="F51" s="5" t="str">
        <f aca="false">IF(C51=0,"",IF($A51="Bank",IF(INDEX(Bank!$D:$D,$C51)="","",INDEX(Bank!$D:$D,$C51)),IF(INDEX(GL!$D:$D,$C51)="","",INDEX(GL!$D:$D,$C51))))</f>
        <v/>
      </c>
      <c r="G51" s="19" t="str">
        <f aca="false">IF(C51=0,"",IF($A51="Bank",INDEX(Bank!$E:$E,$C51),INDEX(GL!$E:$E,$C51)))</f>
        <v/>
      </c>
      <c r="H51" s="5" t="str">
        <f aca="false">IF(C51=0,"",IF(A51="GL",IF(G51&gt;0,"Deposit in transit","Outstanding check / payment"),IF(G51&gt;0,"Bank credit not in GL","Bank debit not in GL")))</f>
        <v/>
      </c>
      <c r="I51" s="42" t="str">
        <f aca="false">IF(OR(C51=0,CFG_PeriodEnd=""),"",CFG_PeriodEnd-D51)</f>
        <v/>
      </c>
      <c r="J51" s="5" t="str">
        <f aca="false">IF(C51=0,"",IF($A51="Bank",IF(INDEX(Bank!$G:$G,$C51)="","",INDEX(Bank!$G:$G,$C51)),IF(INDEX(GL!$G:$G,$C51)="","",INDEX(GL!$G:$G,$C51))))</f>
        <v/>
      </c>
      <c r="K51" s="5" t="str">
        <f aca="false">IF(C51=0,"",IF($A51="Bank",IF(INDEX(Bank!$I:$I,$C51)="","",INDEX(Bank!$I:$I,$C51)),IF(INDEX(GL!$I:$I,$C51)="","",INDEX(GL!$I:$I,$C51))))</f>
        <v/>
      </c>
      <c r="L51" s="5" t="str">
        <f aca="false">IF(B51="","",IF(C51=0,"NOT FOUND",IF(IF($A51="Bank",INDEX(Bank!$F:$F,$C51),INDEX(GL!$F:$F,$C51))="Y","NOW RECONCILED: refresh","OK")))</f>
        <v/>
      </c>
    </row>
    <row r="52" customFormat="false" ht="15" hidden="false" customHeight="false" outlineLevel="0" collapsed="false">
      <c r="A52" s="41"/>
      <c r="B52" s="41"/>
      <c r="C52" s="5" t="n">
        <f aca="false">IF(B52="",0,IF(A52="Bank",IFERROR(MATCH(B52,Bank!$A:$A,0),0),IFERROR(MATCH(B52,GL!$A:$A,0),0)))</f>
        <v>0</v>
      </c>
      <c r="D52" s="32" t="str">
        <f aca="false">IF(C52=0,"",IF($A52="Bank",INDEX(Bank!$B:$B,$C52),INDEX(GL!$B:$B,$C52)))</f>
        <v/>
      </c>
      <c r="E52" s="5" t="str">
        <f aca="false">IF(C52=0,"",IF($A52="Bank",IF(INDEX(Bank!$C:$C,$C52)="","",INDEX(Bank!$C:$C,$C52)),IF(INDEX(GL!$C:$C,$C52)="","",INDEX(GL!$C:$C,$C52))))</f>
        <v/>
      </c>
      <c r="F52" s="5" t="str">
        <f aca="false">IF(C52=0,"",IF($A52="Bank",IF(INDEX(Bank!$D:$D,$C52)="","",INDEX(Bank!$D:$D,$C52)),IF(INDEX(GL!$D:$D,$C52)="","",INDEX(GL!$D:$D,$C52))))</f>
        <v/>
      </c>
      <c r="G52" s="19" t="str">
        <f aca="false">IF(C52=0,"",IF($A52="Bank",INDEX(Bank!$E:$E,$C52),INDEX(GL!$E:$E,$C52)))</f>
        <v/>
      </c>
      <c r="H52" s="5" t="str">
        <f aca="false">IF(C52=0,"",IF(A52="GL",IF(G52&gt;0,"Deposit in transit","Outstanding check / payment"),IF(G52&gt;0,"Bank credit not in GL","Bank debit not in GL")))</f>
        <v/>
      </c>
      <c r="I52" s="42" t="str">
        <f aca="false">IF(OR(C52=0,CFG_PeriodEnd=""),"",CFG_PeriodEnd-D52)</f>
        <v/>
      </c>
      <c r="J52" s="5" t="str">
        <f aca="false">IF(C52=0,"",IF($A52="Bank",IF(INDEX(Bank!$G:$G,$C52)="","",INDEX(Bank!$G:$G,$C52)),IF(INDEX(GL!$G:$G,$C52)="","",INDEX(GL!$G:$G,$C52))))</f>
        <v/>
      </c>
      <c r="K52" s="5" t="str">
        <f aca="false">IF(C52=0,"",IF($A52="Bank",IF(INDEX(Bank!$I:$I,$C52)="","",INDEX(Bank!$I:$I,$C52)),IF(INDEX(GL!$I:$I,$C52)="","",INDEX(GL!$I:$I,$C52))))</f>
        <v/>
      </c>
      <c r="L52" s="5" t="str">
        <f aca="false">IF(B52="","",IF(C52=0,"NOT FOUND",IF(IF($A52="Bank",INDEX(Bank!$F:$F,$C52),INDEX(GL!$F:$F,$C52))="Y","NOW RECONCILED: refresh","OK")))</f>
        <v/>
      </c>
    </row>
    <row r="53" customFormat="false" ht="15" hidden="false" customHeight="false" outlineLevel="0" collapsed="false">
      <c r="A53" s="41"/>
      <c r="B53" s="41"/>
      <c r="C53" s="5" t="n">
        <f aca="false">IF(B53="",0,IF(A53="Bank",IFERROR(MATCH(B53,Bank!$A:$A,0),0),IFERROR(MATCH(B53,GL!$A:$A,0),0)))</f>
        <v>0</v>
      </c>
      <c r="D53" s="32" t="str">
        <f aca="false">IF(C53=0,"",IF($A53="Bank",INDEX(Bank!$B:$B,$C53),INDEX(GL!$B:$B,$C53)))</f>
        <v/>
      </c>
      <c r="E53" s="5" t="str">
        <f aca="false">IF(C53=0,"",IF($A53="Bank",IF(INDEX(Bank!$C:$C,$C53)="","",INDEX(Bank!$C:$C,$C53)),IF(INDEX(GL!$C:$C,$C53)="","",INDEX(GL!$C:$C,$C53))))</f>
        <v/>
      </c>
      <c r="F53" s="5" t="str">
        <f aca="false">IF(C53=0,"",IF($A53="Bank",IF(INDEX(Bank!$D:$D,$C53)="","",INDEX(Bank!$D:$D,$C53)),IF(INDEX(GL!$D:$D,$C53)="","",INDEX(GL!$D:$D,$C53))))</f>
        <v/>
      </c>
      <c r="G53" s="19" t="str">
        <f aca="false">IF(C53=0,"",IF($A53="Bank",INDEX(Bank!$E:$E,$C53),INDEX(GL!$E:$E,$C53)))</f>
        <v/>
      </c>
      <c r="H53" s="5" t="str">
        <f aca="false">IF(C53=0,"",IF(A53="GL",IF(G53&gt;0,"Deposit in transit","Outstanding check / payment"),IF(G53&gt;0,"Bank credit not in GL","Bank debit not in GL")))</f>
        <v/>
      </c>
      <c r="I53" s="42" t="str">
        <f aca="false">IF(OR(C53=0,CFG_PeriodEnd=""),"",CFG_PeriodEnd-D53)</f>
        <v/>
      </c>
      <c r="J53" s="5" t="str">
        <f aca="false">IF(C53=0,"",IF($A53="Bank",IF(INDEX(Bank!$G:$G,$C53)="","",INDEX(Bank!$G:$G,$C53)),IF(INDEX(GL!$G:$G,$C53)="","",INDEX(GL!$G:$G,$C53))))</f>
        <v/>
      </c>
      <c r="K53" s="5" t="str">
        <f aca="false">IF(C53=0,"",IF($A53="Bank",IF(INDEX(Bank!$I:$I,$C53)="","",INDEX(Bank!$I:$I,$C53)),IF(INDEX(GL!$I:$I,$C53)="","",INDEX(GL!$I:$I,$C53))))</f>
        <v/>
      </c>
      <c r="L53" s="5" t="str">
        <f aca="false">IF(B53="","",IF(C53=0,"NOT FOUND",IF(IF($A53="Bank",INDEX(Bank!$F:$F,$C53),INDEX(GL!$F:$F,$C53))="Y","NOW RECONCILED: refresh","OK")))</f>
        <v/>
      </c>
    </row>
    <row r="54" customFormat="false" ht="15" hidden="false" customHeight="false" outlineLevel="0" collapsed="false">
      <c r="A54" s="41"/>
      <c r="B54" s="41"/>
      <c r="C54" s="5" t="n">
        <f aca="false">IF(B54="",0,IF(A54="Bank",IFERROR(MATCH(B54,Bank!$A:$A,0),0),IFERROR(MATCH(B54,GL!$A:$A,0),0)))</f>
        <v>0</v>
      </c>
      <c r="D54" s="32" t="str">
        <f aca="false">IF(C54=0,"",IF($A54="Bank",INDEX(Bank!$B:$B,$C54),INDEX(GL!$B:$B,$C54)))</f>
        <v/>
      </c>
      <c r="E54" s="5" t="str">
        <f aca="false">IF(C54=0,"",IF($A54="Bank",IF(INDEX(Bank!$C:$C,$C54)="","",INDEX(Bank!$C:$C,$C54)),IF(INDEX(GL!$C:$C,$C54)="","",INDEX(GL!$C:$C,$C54))))</f>
        <v/>
      </c>
      <c r="F54" s="5" t="str">
        <f aca="false">IF(C54=0,"",IF($A54="Bank",IF(INDEX(Bank!$D:$D,$C54)="","",INDEX(Bank!$D:$D,$C54)),IF(INDEX(GL!$D:$D,$C54)="","",INDEX(GL!$D:$D,$C54))))</f>
        <v/>
      </c>
      <c r="G54" s="19" t="str">
        <f aca="false">IF(C54=0,"",IF($A54="Bank",INDEX(Bank!$E:$E,$C54),INDEX(GL!$E:$E,$C54)))</f>
        <v/>
      </c>
      <c r="H54" s="5" t="str">
        <f aca="false">IF(C54=0,"",IF(A54="GL",IF(G54&gt;0,"Deposit in transit","Outstanding check / payment"),IF(G54&gt;0,"Bank credit not in GL","Bank debit not in GL")))</f>
        <v/>
      </c>
      <c r="I54" s="42" t="str">
        <f aca="false">IF(OR(C54=0,CFG_PeriodEnd=""),"",CFG_PeriodEnd-D54)</f>
        <v/>
      </c>
      <c r="J54" s="5" t="str">
        <f aca="false">IF(C54=0,"",IF($A54="Bank",IF(INDEX(Bank!$G:$G,$C54)="","",INDEX(Bank!$G:$G,$C54)),IF(INDEX(GL!$G:$G,$C54)="","",INDEX(GL!$G:$G,$C54))))</f>
        <v/>
      </c>
      <c r="K54" s="5" t="str">
        <f aca="false">IF(C54=0,"",IF($A54="Bank",IF(INDEX(Bank!$I:$I,$C54)="","",INDEX(Bank!$I:$I,$C54)),IF(INDEX(GL!$I:$I,$C54)="","",INDEX(GL!$I:$I,$C54))))</f>
        <v/>
      </c>
      <c r="L54" s="5" t="str">
        <f aca="false">IF(B54="","",IF(C54=0,"NOT FOUND",IF(IF($A54="Bank",INDEX(Bank!$F:$F,$C54),INDEX(GL!$F:$F,$C54))="Y","NOW RECONCILED: refresh","OK")))</f>
        <v/>
      </c>
    </row>
    <row r="55" customFormat="false" ht="15" hidden="false" customHeight="false" outlineLevel="0" collapsed="false">
      <c r="A55" s="41"/>
      <c r="B55" s="41"/>
      <c r="C55" s="5" t="n">
        <f aca="false">IF(B55="",0,IF(A55="Bank",IFERROR(MATCH(B55,Bank!$A:$A,0),0),IFERROR(MATCH(B55,GL!$A:$A,0),0)))</f>
        <v>0</v>
      </c>
      <c r="D55" s="32" t="str">
        <f aca="false">IF(C55=0,"",IF($A55="Bank",INDEX(Bank!$B:$B,$C55),INDEX(GL!$B:$B,$C55)))</f>
        <v/>
      </c>
      <c r="E55" s="5" t="str">
        <f aca="false">IF(C55=0,"",IF($A55="Bank",IF(INDEX(Bank!$C:$C,$C55)="","",INDEX(Bank!$C:$C,$C55)),IF(INDEX(GL!$C:$C,$C55)="","",INDEX(GL!$C:$C,$C55))))</f>
        <v/>
      </c>
      <c r="F55" s="5" t="str">
        <f aca="false">IF(C55=0,"",IF($A55="Bank",IF(INDEX(Bank!$D:$D,$C55)="","",INDEX(Bank!$D:$D,$C55)),IF(INDEX(GL!$D:$D,$C55)="","",INDEX(GL!$D:$D,$C55))))</f>
        <v/>
      </c>
      <c r="G55" s="19" t="str">
        <f aca="false">IF(C55=0,"",IF($A55="Bank",INDEX(Bank!$E:$E,$C55),INDEX(GL!$E:$E,$C55)))</f>
        <v/>
      </c>
      <c r="H55" s="5" t="str">
        <f aca="false">IF(C55=0,"",IF(A55="GL",IF(G55&gt;0,"Deposit in transit","Outstanding check / payment"),IF(G55&gt;0,"Bank credit not in GL","Bank debit not in GL")))</f>
        <v/>
      </c>
      <c r="I55" s="42" t="str">
        <f aca="false">IF(OR(C55=0,CFG_PeriodEnd=""),"",CFG_PeriodEnd-D55)</f>
        <v/>
      </c>
      <c r="J55" s="5" t="str">
        <f aca="false">IF(C55=0,"",IF($A55="Bank",IF(INDEX(Bank!$G:$G,$C55)="","",INDEX(Bank!$G:$G,$C55)),IF(INDEX(GL!$G:$G,$C55)="","",INDEX(GL!$G:$G,$C55))))</f>
        <v/>
      </c>
      <c r="K55" s="5" t="str">
        <f aca="false">IF(C55=0,"",IF($A55="Bank",IF(INDEX(Bank!$I:$I,$C55)="","",INDEX(Bank!$I:$I,$C55)),IF(INDEX(GL!$I:$I,$C55)="","",INDEX(GL!$I:$I,$C55))))</f>
        <v/>
      </c>
      <c r="L55" s="5" t="str">
        <f aca="false">IF(B55="","",IF(C55=0,"NOT FOUND",IF(IF($A55="Bank",INDEX(Bank!$F:$F,$C55),INDEX(GL!$F:$F,$C55))="Y","NOW RECONCILED: refresh","OK")))</f>
        <v/>
      </c>
    </row>
    <row r="56" customFormat="false" ht="15" hidden="false" customHeight="false" outlineLevel="0" collapsed="false">
      <c r="A56" s="41"/>
      <c r="B56" s="41"/>
      <c r="C56" s="5" t="n">
        <f aca="false">IF(B56="",0,IF(A56="Bank",IFERROR(MATCH(B56,Bank!$A:$A,0),0),IFERROR(MATCH(B56,GL!$A:$A,0),0)))</f>
        <v>0</v>
      </c>
      <c r="D56" s="32" t="str">
        <f aca="false">IF(C56=0,"",IF($A56="Bank",INDEX(Bank!$B:$B,$C56),INDEX(GL!$B:$B,$C56)))</f>
        <v/>
      </c>
      <c r="E56" s="5" t="str">
        <f aca="false">IF(C56=0,"",IF($A56="Bank",IF(INDEX(Bank!$C:$C,$C56)="","",INDEX(Bank!$C:$C,$C56)),IF(INDEX(GL!$C:$C,$C56)="","",INDEX(GL!$C:$C,$C56))))</f>
        <v/>
      </c>
      <c r="F56" s="5" t="str">
        <f aca="false">IF(C56=0,"",IF($A56="Bank",IF(INDEX(Bank!$D:$D,$C56)="","",INDEX(Bank!$D:$D,$C56)),IF(INDEX(GL!$D:$D,$C56)="","",INDEX(GL!$D:$D,$C56))))</f>
        <v/>
      </c>
      <c r="G56" s="19" t="str">
        <f aca="false">IF(C56=0,"",IF($A56="Bank",INDEX(Bank!$E:$E,$C56),INDEX(GL!$E:$E,$C56)))</f>
        <v/>
      </c>
      <c r="H56" s="5" t="str">
        <f aca="false">IF(C56=0,"",IF(A56="GL",IF(G56&gt;0,"Deposit in transit","Outstanding check / payment"),IF(G56&gt;0,"Bank credit not in GL","Bank debit not in GL")))</f>
        <v/>
      </c>
      <c r="I56" s="42" t="str">
        <f aca="false">IF(OR(C56=0,CFG_PeriodEnd=""),"",CFG_PeriodEnd-D56)</f>
        <v/>
      </c>
      <c r="J56" s="5" t="str">
        <f aca="false">IF(C56=0,"",IF($A56="Bank",IF(INDEX(Bank!$G:$G,$C56)="","",INDEX(Bank!$G:$G,$C56)),IF(INDEX(GL!$G:$G,$C56)="","",INDEX(GL!$G:$G,$C56))))</f>
        <v/>
      </c>
      <c r="K56" s="5" t="str">
        <f aca="false">IF(C56=0,"",IF($A56="Bank",IF(INDEX(Bank!$I:$I,$C56)="","",INDEX(Bank!$I:$I,$C56)),IF(INDEX(GL!$I:$I,$C56)="","",INDEX(GL!$I:$I,$C56))))</f>
        <v/>
      </c>
      <c r="L56" s="5" t="str">
        <f aca="false">IF(B56="","",IF(C56=0,"NOT FOUND",IF(IF($A56="Bank",INDEX(Bank!$F:$F,$C56),INDEX(GL!$F:$F,$C56))="Y","NOW RECONCILED: refresh","OK")))</f>
        <v/>
      </c>
    </row>
    <row r="57" customFormat="false" ht="15" hidden="false" customHeight="false" outlineLevel="0" collapsed="false">
      <c r="A57" s="41"/>
      <c r="B57" s="41"/>
      <c r="C57" s="5" t="n">
        <f aca="false">IF(B57="",0,IF(A57="Bank",IFERROR(MATCH(B57,Bank!$A:$A,0),0),IFERROR(MATCH(B57,GL!$A:$A,0),0)))</f>
        <v>0</v>
      </c>
      <c r="D57" s="32" t="str">
        <f aca="false">IF(C57=0,"",IF($A57="Bank",INDEX(Bank!$B:$B,$C57),INDEX(GL!$B:$B,$C57)))</f>
        <v/>
      </c>
      <c r="E57" s="5" t="str">
        <f aca="false">IF(C57=0,"",IF($A57="Bank",IF(INDEX(Bank!$C:$C,$C57)="","",INDEX(Bank!$C:$C,$C57)),IF(INDEX(GL!$C:$C,$C57)="","",INDEX(GL!$C:$C,$C57))))</f>
        <v/>
      </c>
      <c r="F57" s="5" t="str">
        <f aca="false">IF(C57=0,"",IF($A57="Bank",IF(INDEX(Bank!$D:$D,$C57)="","",INDEX(Bank!$D:$D,$C57)),IF(INDEX(GL!$D:$D,$C57)="","",INDEX(GL!$D:$D,$C57))))</f>
        <v/>
      </c>
      <c r="G57" s="19" t="str">
        <f aca="false">IF(C57=0,"",IF($A57="Bank",INDEX(Bank!$E:$E,$C57),INDEX(GL!$E:$E,$C57)))</f>
        <v/>
      </c>
      <c r="H57" s="5" t="str">
        <f aca="false">IF(C57=0,"",IF(A57="GL",IF(G57&gt;0,"Deposit in transit","Outstanding check / payment"),IF(G57&gt;0,"Bank credit not in GL","Bank debit not in GL")))</f>
        <v/>
      </c>
      <c r="I57" s="42" t="str">
        <f aca="false">IF(OR(C57=0,CFG_PeriodEnd=""),"",CFG_PeriodEnd-D57)</f>
        <v/>
      </c>
      <c r="J57" s="5" t="str">
        <f aca="false">IF(C57=0,"",IF($A57="Bank",IF(INDEX(Bank!$G:$G,$C57)="","",INDEX(Bank!$G:$G,$C57)),IF(INDEX(GL!$G:$G,$C57)="","",INDEX(GL!$G:$G,$C57))))</f>
        <v/>
      </c>
      <c r="K57" s="5" t="str">
        <f aca="false">IF(C57=0,"",IF($A57="Bank",IF(INDEX(Bank!$I:$I,$C57)="","",INDEX(Bank!$I:$I,$C57)),IF(INDEX(GL!$I:$I,$C57)="","",INDEX(GL!$I:$I,$C57))))</f>
        <v/>
      </c>
      <c r="L57" s="5" t="str">
        <f aca="false">IF(B57="","",IF(C57=0,"NOT FOUND",IF(IF($A57="Bank",INDEX(Bank!$F:$F,$C57),INDEX(GL!$F:$F,$C57))="Y","NOW RECONCILED: refresh","OK")))</f>
        <v/>
      </c>
    </row>
    <row r="58" customFormat="false" ht="15" hidden="false" customHeight="false" outlineLevel="0" collapsed="false">
      <c r="A58" s="41"/>
      <c r="B58" s="41"/>
      <c r="C58" s="5" t="n">
        <f aca="false">IF(B58="",0,IF(A58="Bank",IFERROR(MATCH(B58,Bank!$A:$A,0),0),IFERROR(MATCH(B58,GL!$A:$A,0),0)))</f>
        <v>0</v>
      </c>
      <c r="D58" s="32" t="str">
        <f aca="false">IF(C58=0,"",IF($A58="Bank",INDEX(Bank!$B:$B,$C58),INDEX(GL!$B:$B,$C58)))</f>
        <v/>
      </c>
      <c r="E58" s="5" t="str">
        <f aca="false">IF(C58=0,"",IF($A58="Bank",IF(INDEX(Bank!$C:$C,$C58)="","",INDEX(Bank!$C:$C,$C58)),IF(INDEX(GL!$C:$C,$C58)="","",INDEX(GL!$C:$C,$C58))))</f>
        <v/>
      </c>
      <c r="F58" s="5" t="str">
        <f aca="false">IF(C58=0,"",IF($A58="Bank",IF(INDEX(Bank!$D:$D,$C58)="","",INDEX(Bank!$D:$D,$C58)),IF(INDEX(GL!$D:$D,$C58)="","",INDEX(GL!$D:$D,$C58))))</f>
        <v/>
      </c>
      <c r="G58" s="19" t="str">
        <f aca="false">IF(C58=0,"",IF($A58="Bank",INDEX(Bank!$E:$E,$C58),INDEX(GL!$E:$E,$C58)))</f>
        <v/>
      </c>
      <c r="H58" s="5" t="str">
        <f aca="false">IF(C58=0,"",IF(A58="GL",IF(G58&gt;0,"Deposit in transit","Outstanding check / payment"),IF(G58&gt;0,"Bank credit not in GL","Bank debit not in GL")))</f>
        <v/>
      </c>
      <c r="I58" s="42" t="str">
        <f aca="false">IF(OR(C58=0,CFG_PeriodEnd=""),"",CFG_PeriodEnd-D58)</f>
        <v/>
      </c>
      <c r="J58" s="5" t="str">
        <f aca="false">IF(C58=0,"",IF($A58="Bank",IF(INDEX(Bank!$G:$G,$C58)="","",INDEX(Bank!$G:$G,$C58)),IF(INDEX(GL!$G:$G,$C58)="","",INDEX(GL!$G:$G,$C58))))</f>
        <v/>
      </c>
      <c r="K58" s="5" t="str">
        <f aca="false">IF(C58=0,"",IF($A58="Bank",IF(INDEX(Bank!$I:$I,$C58)="","",INDEX(Bank!$I:$I,$C58)),IF(INDEX(GL!$I:$I,$C58)="","",INDEX(GL!$I:$I,$C58))))</f>
        <v/>
      </c>
      <c r="L58" s="5" t="str">
        <f aca="false">IF(B58="","",IF(C58=0,"NOT FOUND",IF(IF($A58="Bank",INDEX(Bank!$F:$F,$C58),INDEX(GL!$F:$F,$C58))="Y","NOW RECONCILED: refresh","OK")))</f>
        <v/>
      </c>
    </row>
    <row r="59" customFormat="false" ht="15" hidden="false" customHeight="false" outlineLevel="0" collapsed="false">
      <c r="A59" s="41"/>
      <c r="B59" s="41"/>
      <c r="C59" s="5" t="n">
        <f aca="false">IF(B59="",0,IF(A59="Bank",IFERROR(MATCH(B59,Bank!$A:$A,0),0),IFERROR(MATCH(B59,GL!$A:$A,0),0)))</f>
        <v>0</v>
      </c>
      <c r="D59" s="32" t="str">
        <f aca="false">IF(C59=0,"",IF($A59="Bank",INDEX(Bank!$B:$B,$C59),INDEX(GL!$B:$B,$C59)))</f>
        <v/>
      </c>
      <c r="E59" s="5" t="str">
        <f aca="false">IF(C59=0,"",IF($A59="Bank",IF(INDEX(Bank!$C:$C,$C59)="","",INDEX(Bank!$C:$C,$C59)),IF(INDEX(GL!$C:$C,$C59)="","",INDEX(GL!$C:$C,$C59))))</f>
        <v/>
      </c>
      <c r="F59" s="5" t="str">
        <f aca="false">IF(C59=0,"",IF($A59="Bank",IF(INDEX(Bank!$D:$D,$C59)="","",INDEX(Bank!$D:$D,$C59)),IF(INDEX(GL!$D:$D,$C59)="","",INDEX(GL!$D:$D,$C59))))</f>
        <v/>
      </c>
      <c r="G59" s="19" t="str">
        <f aca="false">IF(C59=0,"",IF($A59="Bank",INDEX(Bank!$E:$E,$C59),INDEX(GL!$E:$E,$C59)))</f>
        <v/>
      </c>
      <c r="H59" s="5" t="str">
        <f aca="false">IF(C59=0,"",IF(A59="GL",IF(G59&gt;0,"Deposit in transit","Outstanding check / payment"),IF(G59&gt;0,"Bank credit not in GL","Bank debit not in GL")))</f>
        <v/>
      </c>
      <c r="I59" s="42" t="str">
        <f aca="false">IF(OR(C59=0,CFG_PeriodEnd=""),"",CFG_PeriodEnd-D59)</f>
        <v/>
      </c>
      <c r="J59" s="5" t="str">
        <f aca="false">IF(C59=0,"",IF($A59="Bank",IF(INDEX(Bank!$G:$G,$C59)="","",INDEX(Bank!$G:$G,$C59)),IF(INDEX(GL!$G:$G,$C59)="","",INDEX(GL!$G:$G,$C59))))</f>
        <v/>
      </c>
      <c r="K59" s="5" t="str">
        <f aca="false">IF(C59=0,"",IF($A59="Bank",IF(INDEX(Bank!$I:$I,$C59)="","",INDEX(Bank!$I:$I,$C59)),IF(INDEX(GL!$I:$I,$C59)="","",INDEX(GL!$I:$I,$C59))))</f>
        <v/>
      </c>
      <c r="L59" s="5" t="str">
        <f aca="false">IF(B59="","",IF(C59=0,"NOT FOUND",IF(IF($A59="Bank",INDEX(Bank!$F:$F,$C59),INDEX(GL!$F:$F,$C59))="Y","NOW RECONCILED: refresh","OK")))</f>
        <v/>
      </c>
    </row>
    <row r="60" customFormat="false" ht="15" hidden="false" customHeight="false" outlineLevel="0" collapsed="false">
      <c r="A60" s="41"/>
      <c r="B60" s="41"/>
      <c r="C60" s="5" t="n">
        <f aca="false">IF(B60="",0,IF(A60="Bank",IFERROR(MATCH(B60,Bank!$A:$A,0),0),IFERROR(MATCH(B60,GL!$A:$A,0),0)))</f>
        <v>0</v>
      </c>
      <c r="D60" s="32" t="str">
        <f aca="false">IF(C60=0,"",IF($A60="Bank",INDEX(Bank!$B:$B,$C60),INDEX(GL!$B:$B,$C60)))</f>
        <v/>
      </c>
      <c r="E60" s="5" t="str">
        <f aca="false">IF(C60=0,"",IF($A60="Bank",IF(INDEX(Bank!$C:$C,$C60)="","",INDEX(Bank!$C:$C,$C60)),IF(INDEX(GL!$C:$C,$C60)="","",INDEX(GL!$C:$C,$C60))))</f>
        <v/>
      </c>
      <c r="F60" s="5" t="str">
        <f aca="false">IF(C60=0,"",IF($A60="Bank",IF(INDEX(Bank!$D:$D,$C60)="","",INDEX(Bank!$D:$D,$C60)),IF(INDEX(GL!$D:$D,$C60)="","",INDEX(GL!$D:$D,$C60))))</f>
        <v/>
      </c>
      <c r="G60" s="19" t="str">
        <f aca="false">IF(C60=0,"",IF($A60="Bank",INDEX(Bank!$E:$E,$C60),INDEX(GL!$E:$E,$C60)))</f>
        <v/>
      </c>
      <c r="H60" s="5" t="str">
        <f aca="false">IF(C60=0,"",IF(A60="GL",IF(G60&gt;0,"Deposit in transit","Outstanding check / payment"),IF(G60&gt;0,"Bank credit not in GL","Bank debit not in GL")))</f>
        <v/>
      </c>
      <c r="I60" s="42" t="str">
        <f aca="false">IF(OR(C60=0,CFG_PeriodEnd=""),"",CFG_PeriodEnd-D60)</f>
        <v/>
      </c>
      <c r="J60" s="5" t="str">
        <f aca="false">IF(C60=0,"",IF($A60="Bank",IF(INDEX(Bank!$G:$G,$C60)="","",INDEX(Bank!$G:$G,$C60)),IF(INDEX(GL!$G:$G,$C60)="","",INDEX(GL!$G:$G,$C60))))</f>
        <v/>
      </c>
      <c r="K60" s="5" t="str">
        <f aca="false">IF(C60=0,"",IF($A60="Bank",IF(INDEX(Bank!$I:$I,$C60)="","",INDEX(Bank!$I:$I,$C60)),IF(INDEX(GL!$I:$I,$C60)="","",INDEX(GL!$I:$I,$C60))))</f>
        <v/>
      </c>
      <c r="L60" s="5" t="str">
        <f aca="false">IF(B60="","",IF(C60=0,"NOT FOUND",IF(IF($A60="Bank",INDEX(Bank!$F:$F,$C60),INDEX(GL!$F:$F,$C60))="Y","NOW RECONCILED: refresh","OK")))</f>
        <v/>
      </c>
    </row>
    <row r="61" customFormat="false" ht="15" hidden="false" customHeight="false" outlineLevel="0" collapsed="false">
      <c r="A61" s="41"/>
      <c r="B61" s="41"/>
      <c r="C61" s="5" t="n">
        <f aca="false">IF(B61="",0,IF(A61="Bank",IFERROR(MATCH(B61,Bank!$A:$A,0),0),IFERROR(MATCH(B61,GL!$A:$A,0),0)))</f>
        <v>0</v>
      </c>
      <c r="D61" s="32" t="str">
        <f aca="false">IF(C61=0,"",IF($A61="Bank",INDEX(Bank!$B:$B,$C61),INDEX(GL!$B:$B,$C61)))</f>
        <v/>
      </c>
      <c r="E61" s="5" t="str">
        <f aca="false">IF(C61=0,"",IF($A61="Bank",IF(INDEX(Bank!$C:$C,$C61)="","",INDEX(Bank!$C:$C,$C61)),IF(INDEX(GL!$C:$C,$C61)="","",INDEX(GL!$C:$C,$C61))))</f>
        <v/>
      </c>
      <c r="F61" s="5" t="str">
        <f aca="false">IF(C61=0,"",IF($A61="Bank",IF(INDEX(Bank!$D:$D,$C61)="","",INDEX(Bank!$D:$D,$C61)),IF(INDEX(GL!$D:$D,$C61)="","",INDEX(GL!$D:$D,$C61))))</f>
        <v/>
      </c>
      <c r="G61" s="19" t="str">
        <f aca="false">IF(C61=0,"",IF($A61="Bank",INDEX(Bank!$E:$E,$C61),INDEX(GL!$E:$E,$C61)))</f>
        <v/>
      </c>
      <c r="H61" s="5" t="str">
        <f aca="false">IF(C61=0,"",IF(A61="GL",IF(G61&gt;0,"Deposit in transit","Outstanding check / payment"),IF(G61&gt;0,"Bank credit not in GL","Bank debit not in GL")))</f>
        <v/>
      </c>
      <c r="I61" s="42" t="str">
        <f aca="false">IF(OR(C61=0,CFG_PeriodEnd=""),"",CFG_PeriodEnd-D61)</f>
        <v/>
      </c>
      <c r="J61" s="5" t="str">
        <f aca="false">IF(C61=0,"",IF($A61="Bank",IF(INDEX(Bank!$G:$G,$C61)="","",INDEX(Bank!$G:$G,$C61)),IF(INDEX(GL!$G:$G,$C61)="","",INDEX(GL!$G:$G,$C61))))</f>
        <v/>
      </c>
      <c r="K61" s="5" t="str">
        <f aca="false">IF(C61=0,"",IF($A61="Bank",IF(INDEX(Bank!$I:$I,$C61)="","",INDEX(Bank!$I:$I,$C61)),IF(INDEX(GL!$I:$I,$C61)="","",INDEX(GL!$I:$I,$C61))))</f>
        <v/>
      </c>
      <c r="L61" s="5" t="str">
        <f aca="false">IF(B61="","",IF(C61=0,"NOT FOUND",IF(IF($A61="Bank",INDEX(Bank!$F:$F,$C61),INDEX(GL!$F:$F,$C61))="Y","NOW RECONCILED: refresh","OK")))</f>
        <v/>
      </c>
    </row>
    <row r="62" customFormat="false" ht="15" hidden="false" customHeight="false" outlineLevel="0" collapsed="false">
      <c r="A62" s="41"/>
      <c r="B62" s="41"/>
      <c r="C62" s="5" t="n">
        <f aca="false">IF(B62="",0,IF(A62="Bank",IFERROR(MATCH(B62,Bank!$A:$A,0),0),IFERROR(MATCH(B62,GL!$A:$A,0),0)))</f>
        <v>0</v>
      </c>
      <c r="D62" s="32" t="str">
        <f aca="false">IF(C62=0,"",IF($A62="Bank",INDEX(Bank!$B:$B,$C62),INDEX(GL!$B:$B,$C62)))</f>
        <v/>
      </c>
      <c r="E62" s="5" t="str">
        <f aca="false">IF(C62=0,"",IF($A62="Bank",IF(INDEX(Bank!$C:$C,$C62)="","",INDEX(Bank!$C:$C,$C62)),IF(INDEX(GL!$C:$C,$C62)="","",INDEX(GL!$C:$C,$C62))))</f>
        <v/>
      </c>
      <c r="F62" s="5" t="str">
        <f aca="false">IF(C62=0,"",IF($A62="Bank",IF(INDEX(Bank!$D:$D,$C62)="","",INDEX(Bank!$D:$D,$C62)),IF(INDEX(GL!$D:$D,$C62)="","",INDEX(GL!$D:$D,$C62))))</f>
        <v/>
      </c>
      <c r="G62" s="19" t="str">
        <f aca="false">IF(C62=0,"",IF($A62="Bank",INDEX(Bank!$E:$E,$C62),INDEX(GL!$E:$E,$C62)))</f>
        <v/>
      </c>
      <c r="H62" s="5" t="str">
        <f aca="false">IF(C62=0,"",IF(A62="GL",IF(G62&gt;0,"Deposit in transit","Outstanding check / payment"),IF(G62&gt;0,"Bank credit not in GL","Bank debit not in GL")))</f>
        <v/>
      </c>
      <c r="I62" s="42" t="str">
        <f aca="false">IF(OR(C62=0,CFG_PeriodEnd=""),"",CFG_PeriodEnd-D62)</f>
        <v/>
      </c>
      <c r="J62" s="5" t="str">
        <f aca="false">IF(C62=0,"",IF($A62="Bank",IF(INDEX(Bank!$G:$G,$C62)="","",INDEX(Bank!$G:$G,$C62)),IF(INDEX(GL!$G:$G,$C62)="","",INDEX(GL!$G:$G,$C62))))</f>
        <v/>
      </c>
      <c r="K62" s="5" t="str">
        <f aca="false">IF(C62=0,"",IF($A62="Bank",IF(INDEX(Bank!$I:$I,$C62)="","",INDEX(Bank!$I:$I,$C62)),IF(INDEX(GL!$I:$I,$C62)="","",INDEX(GL!$I:$I,$C62))))</f>
        <v/>
      </c>
      <c r="L62" s="5" t="str">
        <f aca="false">IF(B62="","",IF(C62=0,"NOT FOUND",IF(IF($A62="Bank",INDEX(Bank!$F:$F,$C62),INDEX(GL!$F:$F,$C62))="Y","NOW RECONCILED: refresh","OK")))</f>
        <v/>
      </c>
    </row>
    <row r="63" customFormat="false" ht="15" hidden="false" customHeight="false" outlineLevel="0" collapsed="false">
      <c r="A63" s="41"/>
      <c r="B63" s="41"/>
      <c r="C63" s="5" t="n">
        <f aca="false">IF(B63="",0,IF(A63="Bank",IFERROR(MATCH(B63,Bank!$A:$A,0),0),IFERROR(MATCH(B63,GL!$A:$A,0),0)))</f>
        <v>0</v>
      </c>
      <c r="D63" s="32" t="str">
        <f aca="false">IF(C63=0,"",IF($A63="Bank",INDEX(Bank!$B:$B,$C63),INDEX(GL!$B:$B,$C63)))</f>
        <v/>
      </c>
      <c r="E63" s="5" t="str">
        <f aca="false">IF(C63=0,"",IF($A63="Bank",IF(INDEX(Bank!$C:$C,$C63)="","",INDEX(Bank!$C:$C,$C63)),IF(INDEX(GL!$C:$C,$C63)="","",INDEX(GL!$C:$C,$C63))))</f>
        <v/>
      </c>
      <c r="F63" s="5" t="str">
        <f aca="false">IF(C63=0,"",IF($A63="Bank",IF(INDEX(Bank!$D:$D,$C63)="","",INDEX(Bank!$D:$D,$C63)),IF(INDEX(GL!$D:$D,$C63)="","",INDEX(GL!$D:$D,$C63))))</f>
        <v/>
      </c>
      <c r="G63" s="19" t="str">
        <f aca="false">IF(C63=0,"",IF($A63="Bank",INDEX(Bank!$E:$E,$C63),INDEX(GL!$E:$E,$C63)))</f>
        <v/>
      </c>
      <c r="H63" s="5" t="str">
        <f aca="false">IF(C63=0,"",IF(A63="GL",IF(G63&gt;0,"Deposit in transit","Outstanding check / payment"),IF(G63&gt;0,"Bank credit not in GL","Bank debit not in GL")))</f>
        <v/>
      </c>
      <c r="I63" s="42" t="str">
        <f aca="false">IF(OR(C63=0,CFG_PeriodEnd=""),"",CFG_PeriodEnd-D63)</f>
        <v/>
      </c>
      <c r="J63" s="5" t="str">
        <f aca="false">IF(C63=0,"",IF($A63="Bank",IF(INDEX(Bank!$G:$G,$C63)="","",INDEX(Bank!$G:$G,$C63)),IF(INDEX(GL!$G:$G,$C63)="","",INDEX(GL!$G:$G,$C63))))</f>
        <v/>
      </c>
      <c r="K63" s="5" t="str">
        <f aca="false">IF(C63=0,"",IF($A63="Bank",IF(INDEX(Bank!$I:$I,$C63)="","",INDEX(Bank!$I:$I,$C63)),IF(INDEX(GL!$I:$I,$C63)="","",INDEX(GL!$I:$I,$C63))))</f>
        <v/>
      </c>
      <c r="L63" s="5" t="str">
        <f aca="false">IF(B63="","",IF(C63=0,"NOT FOUND",IF(IF($A63="Bank",INDEX(Bank!$F:$F,$C63),INDEX(GL!$F:$F,$C63))="Y","NOW RECONCILED: refresh","OK")))</f>
        <v/>
      </c>
    </row>
    <row r="64" customFormat="false" ht="15" hidden="false" customHeight="false" outlineLevel="0" collapsed="false">
      <c r="A64" s="41"/>
      <c r="B64" s="41"/>
      <c r="C64" s="5" t="n">
        <f aca="false">IF(B64="",0,IF(A64="Bank",IFERROR(MATCH(B64,Bank!$A:$A,0),0),IFERROR(MATCH(B64,GL!$A:$A,0),0)))</f>
        <v>0</v>
      </c>
      <c r="D64" s="32" t="str">
        <f aca="false">IF(C64=0,"",IF($A64="Bank",INDEX(Bank!$B:$B,$C64),INDEX(GL!$B:$B,$C64)))</f>
        <v/>
      </c>
      <c r="E64" s="5" t="str">
        <f aca="false">IF(C64=0,"",IF($A64="Bank",IF(INDEX(Bank!$C:$C,$C64)="","",INDEX(Bank!$C:$C,$C64)),IF(INDEX(GL!$C:$C,$C64)="","",INDEX(GL!$C:$C,$C64))))</f>
        <v/>
      </c>
      <c r="F64" s="5" t="str">
        <f aca="false">IF(C64=0,"",IF($A64="Bank",IF(INDEX(Bank!$D:$D,$C64)="","",INDEX(Bank!$D:$D,$C64)),IF(INDEX(GL!$D:$D,$C64)="","",INDEX(GL!$D:$D,$C64))))</f>
        <v/>
      </c>
      <c r="G64" s="19" t="str">
        <f aca="false">IF(C64=0,"",IF($A64="Bank",INDEX(Bank!$E:$E,$C64),INDEX(GL!$E:$E,$C64)))</f>
        <v/>
      </c>
      <c r="H64" s="5" t="str">
        <f aca="false">IF(C64=0,"",IF(A64="GL",IF(G64&gt;0,"Deposit in transit","Outstanding check / payment"),IF(G64&gt;0,"Bank credit not in GL","Bank debit not in GL")))</f>
        <v/>
      </c>
      <c r="I64" s="42" t="str">
        <f aca="false">IF(OR(C64=0,CFG_PeriodEnd=""),"",CFG_PeriodEnd-D64)</f>
        <v/>
      </c>
      <c r="J64" s="5" t="str">
        <f aca="false">IF(C64=0,"",IF($A64="Bank",IF(INDEX(Bank!$G:$G,$C64)="","",INDEX(Bank!$G:$G,$C64)),IF(INDEX(GL!$G:$G,$C64)="","",INDEX(GL!$G:$G,$C64))))</f>
        <v/>
      </c>
      <c r="K64" s="5" t="str">
        <f aca="false">IF(C64=0,"",IF($A64="Bank",IF(INDEX(Bank!$I:$I,$C64)="","",INDEX(Bank!$I:$I,$C64)),IF(INDEX(GL!$I:$I,$C64)="","",INDEX(GL!$I:$I,$C64))))</f>
        <v/>
      </c>
      <c r="L64" s="5" t="str">
        <f aca="false">IF(B64="","",IF(C64=0,"NOT FOUND",IF(IF($A64="Bank",INDEX(Bank!$F:$F,$C64),INDEX(GL!$F:$F,$C64))="Y","NOW RECONCILED: refresh","OK")))</f>
        <v/>
      </c>
    </row>
    <row r="65" customFormat="false" ht="15" hidden="false" customHeight="false" outlineLevel="0" collapsed="false">
      <c r="A65" s="41"/>
      <c r="B65" s="41"/>
      <c r="C65" s="5" t="n">
        <f aca="false">IF(B65="",0,IF(A65="Bank",IFERROR(MATCH(B65,Bank!$A:$A,0),0),IFERROR(MATCH(B65,GL!$A:$A,0),0)))</f>
        <v>0</v>
      </c>
      <c r="D65" s="32" t="str">
        <f aca="false">IF(C65=0,"",IF($A65="Bank",INDEX(Bank!$B:$B,$C65),INDEX(GL!$B:$B,$C65)))</f>
        <v/>
      </c>
      <c r="E65" s="5" t="str">
        <f aca="false">IF(C65=0,"",IF($A65="Bank",IF(INDEX(Bank!$C:$C,$C65)="","",INDEX(Bank!$C:$C,$C65)),IF(INDEX(GL!$C:$C,$C65)="","",INDEX(GL!$C:$C,$C65))))</f>
        <v/>
      </c>
      <c r="F65" s="5" t="str">
        <f aca="false">IF(C65=0,"",IF($A65="Bank",IF(INDEX(Bank!$D:$D,$C65)="","",INDEX(Bank!$D:$D,$C65)),IF(INDEX(GL!$D:$D,$C65)="","",INDEX(GL!$D:$D,$C65))))</f>
        <v/>
      </c>
      <c r="G65" s="19" t="str">
        <f aca="false">IF(C65=0,"",IF($A65="Bank",INDEX(Bank!$E:$E,$C65),INDEX(GL!$E:$E,$C65)))</f>
        <v/>
      </c>
      <c r="H65" s="5" t="str">
        <f aca="false">IF(C65=0,"",IF(A65="GL",IF(G65&gt;0,"Deposit in transit","Outstanding check / payment"),IF(G65&gt;0,"Bank credit not in GL","Bank debit not in GL")))</f>
        <v/>
      </c>
      <c r="I65" s="42" t="str">
        <f aca="false">IF(OR(C65=0,CFG_PeriodEnd=""),"",CFG_PeriodEnd-D65)</f>
        <v/>
      </c>
      <c r="J65" s="5" t="str">
        <f aca="false">IF(C65=0,"",IF($A65="Bank",IF(INDEX(Bank!$G:$G,$C65)="","",INDEX(Bank!$G:$G,$C65)),IF(INDEX(GL!$G:$G,$C65)="","",INDEX(GL!$G:$G,$C65))))</f>
        <v/>
      </c>
      <c r="K65" s="5" t="str">
        <f aca="false">IF(C65=0,"",IF($A65="Bank",IF(INDEX(Bank!$I:$I,$C65)="","",INDEX(Bank!$I:$I,$C65)),IF(INDEX(GL!$I:$I,$C65)="","",INDEX(GL!$I:$I,$C65))))</f>
        <v/>
      </c>
      <c r="L65" s="5" t="str">
        <f aca="false">IF(B65="","",IF(C65=0,"NOT FOUND",IF(IF($A65="Bank",INDEX(Bank!$F:$F,$C65),INDEX(GL!$F:$F,$C65))="Y","NOW RECONCILED: refresh","OK")))</f>
        <v/>
      </c>
    </row>
    <row r="66" customFormat="false" ht="15" hidden="false" customHeight="false" outlineLevel="0" collapsed="false">
      <c r="A66" s="41"/>
      <c r="B66" s="41"/>
      <c r="C66" s="5" t="n">
        <f aca="false">IF(B66="",0,IF(A66="Bank",IFERROR(MATCH(B66,Bank!$A:$A,0),0),IFERROR(MATCH(B66,GL!$A:$A,0),0)))</f>
        <v>0</v>
      </c>
      <c r="D66" s="32" t="str">
        <f aca="false">IF(C66=0,"",IF($A66="Bank",INDEX(Bank!$B:$B,$C66),INDEX(GL!$B:$B,$C66)))</f>
        <v/>
      </c>
      <c r="E66" s="5" t="str">
        <f aca="false">IF(C66=0,"",IF($A66="Bank",IF(INDEX(Bank!$C:$C,$C66)="","",INDEX(Bank!$C:$C,$C66)),IF(INDEX(GL!$C:$C,$C66)="","",INDEX(GL!$C:$C,$C66))))</f>
        <v/>
      </c>
      <c r="F66" s="5" t="str">
        <f aca="false">IF(C66=0,"",IF($A66="Bank",IF(INDEX(Bank!$D:$D,$C66)="","",INDEX(Bank!$D:$D,$C66)),IF(INDEX(GL!$D:$D,$C66)="","",INDEX(GL!$D:$D,$C66))))</f>
        <v/>
      </c>
      <c r="G66" s="19" t="str">
        <f aca="false">IF(C66=0,"",IF($A66="Bank",INDEX(Bank!$E:$E,$C66),INDEX(GL!$E:$E,$C66)))</f>
        <v/>
      </c>
      <c r="H66" s="5" t="str">
        <f aca="false">IF(C66=0,"",IF(A66="GL",IF(G66&gt;0,"Deposit in transit","Outstanding check / payment"),IF(G66&gt;0,"Bank credit not in GL","Bank debit not in GL")))</f>
        <v/>
      </c>
      <c r="I66" s="42" t="str">
        <f aca="false">IF(OR(C66=0,CFG_PeriodEnd=""),"",CFG_PeriodEnd-D66)</f>
        <v/>
      </c>
      <c r="J66" s="5" t="str">
        <f aca="false">IF(C66=0,"",IF($A66="Bank",IF(INDEX(Bank!$G:$G,$C66)="","",INDEX(Bank!$G:$G,$C66)),IF(INDEX(GL!$G:$G,$C66)="","",INDEX(GL!$G:$G,$C66))))</f>
        <v/>
      </c>
      <c r="K66" s="5" t="str">
        <f aca="false">IF(C66=0,"",IF($A66="Bank",IF(INDEX(Bank!$I:$I,$C66)="","",INDEX(Bank!$I:$I,$C66)),IF(INDEX(GL!$I:$I,$C66)="","",INDEX(GL!$I:$I,$C66))))</f>
        <v/>
      </c>
      <c r="L66" s="5" t="str">
        <f aca="false">IF(B66="","",IF(C66=0,"NOT FOUND",IF(IF($A66="Bank",INDEX(Bank!$F:$F,$C66),INDEX(GL!$F:$F,$C66))="Y","NOW RECONCILED: refresh","OK")))</f>
        <v/>
      </c>
    </row>
    <row r="67" customFormat="false" ht="15" hidden="false" customHeight="false" outlineLevel="0" collapsed="false">
      <c r="A67" s="41"/>
      <c r="B67" s="41"/>
      <c r="C67" s="5" t="n">
        <f aca="false">IF(B67="",0,IF(A67="Bank",IFERROR(MATCH(B67,Bank!$A:$A,0),0),IFERROR(MATCH(B67,GL!$A:$A,0),0)))</f>
        <v>0</v>
      </c>
      <c r="D67" s="32" t="str">
        <f aca="false">IF(C67=0,"",IF($A67="Bank",INDEX(Bank!$B:$B,$C67),INDEX(GL!$B:$B,$C67)))</f>
        <v/>
      </c>
      <c r="E67" s="5" t="str">
        <f aca="false">IF(C67=0,"",IF($A67="Bank",IF(INDEX(Bank!$C:$C,$C67)="","",INDEX(Bank!$C:$C,$C67)),IF(INDEX(GL!$C:$C,$C67)="","",INDEX(GL!$C:$C,$C67))))</f>
        <v/>
      </c>
      <c r="F67" s="5" t="str">
        <f aca="false">IF(C67=0,"",IF($A67="Bank",IF(INDEX(Bank!$D:$D,$C67)="","",INDEX(Bank!$D:$D,$C67)),IF(INDEX(GL!$D:$D,$C67)="","",INDEX(GL!$D:$D,$C67))))</f>
        <v/>
      </c>
      <c r="G67" s="19" t="str">
        <f aca="false">IF(C67=0,"",IF($A67="Bank",INDEX(Bank!$E:$E,$C67),INDEX(GL!$E:$E,$C67)))</f>
        <v/>
      </c>
      <c r="H67" s="5" t="str">
        <f aca="false">IF(C67=0,"",IF(A67="GL",IF(G67&gt;0,"Deposit in transit","Outstanding check / payment"),IF(G67&gt;0,"Bank credit not in GL","Bank debit not in GL")))</f>
        <v/>
      </c>
      <c r="I67" s="42" t="str">
        <f aca="false">IF(OR(C67=0,CFG_PeriodEnd=""),"",CFG_PeriodEnd-D67)</f>
        <v/>
      </c>
      <c r="J67" s="5" t="str">
        <f aca="false">IF(C67=0,"",IF($A67="Bank",IF(INDEX(Bank!$G:$G,$C67)="","",INDEX(Bank!$G:$G,$C67)),IF(INDEX(GL!$G:$G,$C67)="","",INDEX(GL!$G:$G,$C67))))</f>
        <v/>
      </c>
      <c r="K67" s="5" t="str">
        <f aca="false">IF(C67=0,"",IF($A67="Bank",IF(INDEX(Bank!$I:$I,$C67)="","",INDEX(Bank!$I:$I,$C67)),IF(INDEX(GL!$I:$I,$C67)="","",INDEX(GL!$I:$I,$C67))))</f>
        <v/>
      </c>
      <c r="L67" s="5" t="str">
        <f aca="false">IF(B67="","",IF(C67=0,"NOT FOUND",IF(IF($A67="Bank",INDEX(Bank!$F:$F,$C67),INDEX(GL!$F:$F,$C67))="Y","NOW RECONCILED: refresh","OK")))</f>
        <v/>
      </c>
    </row>
    <row r="68" customFormat="false" ht="15" hidden="false" customHeight="false" outlineLevel="0" collapsed="false">
      <c r="A68" s="41"/>
      <c r="B68" s="41"/>
      <c r="C68" s="5" t="n">
        <f aca="false">IF(B68="",0,IF(A68="Bank",IFERROR(MATCH(B68,Bank!$A:$A,0),0),IFERROR(MATCH(B68,GL!$A:$A,0),0)))</f>
        <v>0</v>
      </c>
      <c r="D68" s="32" t="str">
        <f aca="false">IF(C68=0,"",IF($A68="Bank",INDEX(Bank!$B:$B,$C68),INDEX(GL!$B:$B,$C68)))</f>
        <v/>
      </c>
      <c r="E68" s="5" t="str">
        <f aca="false">IF(C68=0,"",IF($A68="Bank",IF(INDEX(Bank!$C:$C,$C68)="","",INDEX(Bank!$C:$C,$C68)),IF(INDEX(GL!$C:$C,$C68)="","",INDEX(GL!$C:$C,$C68))))</f>
        <v/>
      </c>
      <c r="F68" s="5" t="str">
        <f aca="false">IF(C68=0,"",IF($A68="Bank",IF(INDEX(Bank!$D:$D,$C68)="","",INDEX(Bank!$D:$D,$C68)),IF(INDEX(GL!$D:$D,$C68)="","",INDEX(GL!$D:$D,$C68))))</f>
        <v/>
      </c>
      <c r="G68" s="19" t="str">
        <f aca="false">IF(C68=0,"",IF($A68="Bank",INDEX(Bank!$E:$E,$C68),INDEX(GL!$E:$E,$C68)))</f>
        <v/>
      </c>
      <c r="H68" s="5" t="str">
        <f aca="false">IF(C68=0,"",IF(A68="GL",IF(G68&gt;0,"Deposit in transit","Outstanding check / payment"),IF(G68&gt;0,"Bank credit not in GL","Bank debit not in GL")))</f>
        <v/>
      </c>
      <c r="I68" s="42" t="str">
        <f aca="false">IF(OR(C68=0,CFG_PeriodEnd=""),"",CFG_PeriodEnd-D68)</f>
        <v/>
      </c>
      <c r="J68" s="5" t="str">
        <f aca="false">IF(C68=0,"",IF($A68="Bank",IF(INDEX(Bank!$G:$G,$C68)="","",INDEX(Bank!$G:$G,$C68)),IF(INDEX(GL!$G:$G,$C68)="","",INDEX(GL!$G:$G,$C68))))</f>
        <v/>
      </c>
      <c r="K68" s="5" t="str">
        <f aca="false">IF(C68=0,"",IF($A68="Bank",IF(INDEX(Bank!$I:$I,$C68)="","",INDEX(Bank!$I:$I,$C68)),IF(INDEX(GL!$I:$I,$C68)="","",INDEX(GL!$I:$I,$C68))))</f>
        <v/>
      </c>
      <c r="L68" s="5" t="str">
        <f aca="false">IF(B68="","",IF(C68=0,"NOT FOUND",IF(IF($A68="Bank",INDEX(Bank!$F:$F,$C68),INDEX(GL!$F:$F,$C68))="Y","NOW RECONCILED: refresh","OK")))</f>
        <v/>
      </c>
    </row>
    <row r="69" customFormat="false" ht="15" hidden="false" customHeight="false" outlineLevel="0" collapsed="false">
      <c r="A69" s="41"/>
      <c r="B69" s="41"/>
      <c r="C69" s="5" t="n">
        <f aca="false">IF(B69="",0,IF(A69="Bank",IFERROR(MATCH(B69,Bank!$A:$A,0),0),IFERROR(MATCH(B69,GL!$A:$A,0),0)))</f>
        <v>0</v>
      </c>
      <c r="D69" s="32" t="str">
        <f aca="false">IF(C69=0,"",IF($A69="Bank",INDEX(Bank!$B:$B,$C69),INDEX(GL!$B:$B,$C69)))</f>
        <v/>
      </c>
      <c r="E69" s="5" t="str">
        <f aca="false">IF(C69=0,"",IF($A69="Bank",IF(INDEX(Bank!$C:$C,$C69)="","",INDEX(Bank!$C:$C,$C69)),IF(INDEX(GL!$C:$C,$C69)="","",INDEX(GL!$C:$C,$C69))))</f>
        <v/>
      </c>
      <c r="F69" s="5" t="str">
        <f aca="false">IF(C69=0,"",IF($A69="Bank",IF(INDEX(Bank!$D:$D,$C69)="","",INDEX(Bank!$D:$D,$C69)),IF(INDEX(GL!$D:$D,$C69)="","",INDEX(GL!$D:$D,$C69))))</f>
        <v/>
      </c>
      <c r="G69" s="19" t="str">
        <f aca="false">IF(C69=0,"",IF($A69="Bank",INDEX(Bank!$E:$E,$C69),INDEX(GL!$E:$E,$C69)))</f>
        <v/>
      </c>
      <c r="H69" s="5" t="str">
        <f aca="false">IF(C69=0,"",IF(A69="GL",IF(G69&gt;0,"Deposit in transit","Outstanding check / payment"),IF(G69&gt;0,"Bank credit not in GL","Bank debit not in GL")))</f>
        <v/>
      </c>
      <c r="I69" s="42" t="str">
        <f aca="false">IF(OR(C69=0,CFG_PeriodEnd=""),"",CFG_PeriodEnd-D69)</f>
        <v/>
      </c>
      <c r="J69" s="5" t="str">
        <f aca="false">IF(C69=0,"",IF($A69="Bank",IF(INDEX(Bank!$G:$G,$C69)="","",INDEX(Bank!$G:$G,$C69)),IF(INDEX(GL!$G:$G,$C69)="","",INDEX(GL!$G:$G,$C69))))</f>
        <v/>
      </c>
      <c r="K69" s="5" t="str">
        <f aca="false">IF(C69=0,"",IF($A69="Bank",IF(INDEX(Bank!$I:$I,$C69)="","",INDEX(Bank!$I:$I,$C69)),IF(INDEX(GL!$I:$I,$C69)="","",INDEX(GL!$I:$I,$C69))))</f>
        <v/>
      </c>
      <c r="L69" s="5" t="str">
        <f aca="false">IF(B69="","",IF(C69=0,"NOT FOUND",IF(IF($A69="Bank",INDEX(Bank!$F:$F,$C69),INDEX(GL!$F:$F,$C69))="Y","NOW RECONCILED: refresh","OK")))</f>
        <v/>
      </c>
    </row>
    <row r="70" customFormat="false" ht="15" hidden="false" customHeight="false" outlineLevel="0" collapsed="false">
      <c r="A70" s="41"/>
      <c r="B70" s="41"/>
      <c r="C70" s="5" t="n">
        <f aca="false">IF(B70="",0,IF(A70="Bank",IFERROR(MATCH(B70,Bank!$A:$A,0),0),IFERROR(MATCH(B70,GL!$A:$A,0),0)))</f>
        <v>0</v>
      </c>
      <c r="D70" s="32" t="str">
        <f aca="false">IF(C70=0,"",IF($A70="Bank",INDEX(Bank!$B:$B,$C70),INDEX(GL!$B:$B,$C70)))</f>
        <v/>
      </c>
      <c r="E70" s="5" t="str">
        <f aca="false">IF(C70=0,"",IF($A70="Bank",IF(INDEX(Bank!$C:$C,$C70)="","",INDEX(Bank!$C:$C,$C70)),IF(INDEX(GL!$C:$C,$C70)="","",INDEX(GL!$C:$C,$C70))))</f>
        <v/>
      </c>
      <c r="F70" s="5" t="str">
        <f aca="false">IF(C70=0,"",IF($A70="Bank",IF(INDEX(Bank!$D:$D,$C70)="","",INDEX(Bank!$D:$D,$C70)),IF(INDEX(GL!$D:$D,$C70)="","",INDEX(GL!$D:$D,$C70))))</f>
        <v/>
      </c>
      <c r="G70" s="19" t="str">
        <f aca="false">IF(C70=0,"",IF($A70="Bank",INDEX(Bank!$E:$E,$C70),INDEX(GL!$E:$E,$C70)))</f>
        <v/>
      </c>
      <c r="H70" s="5" t="str">
        <f aca="false">IF(C70=0,"",IF(A70="GL",IF(G70&gt;0,"Deposit in transit","Outstanding check / payment"),IF(G70&gt;0,"Bank credit not in GL","Bank debit not in GL")))</f>
        <v/>
      </c>
      <c r="I70" s="42" t="str">
        <f aca="false">IF(OR(C70=0,CFG_PeriodEnd=""),"",CFG_PeriodEnd-D70)</f>
        <v/>
      </c>
      <c r="J70" s="5" t="str">
        <f aca="false">IF(C70=0,"",IF($A70="Bank",IF(INDEX(Bank!$G:$G,$C70)="","",INDEX(Bank!$G:$G,$C70)),IF(INDEX(GL!$G:$G,$C70)="","",INDEX(GL!$G:$G,$C70))))</f>
        <v/>
      </c>
      <c r="K70" s="5" t="str">
        <f aca="false">IF(C70=0,"",IF($A70="Bank",IF(INDEX(Bank!$I:$I,$C70)="","",INDEX(Bank!$I:$I,$C70)),IF(INDEX(GL!$I:$I,$C70)="","",INDEX(GL!$I:$I,$C70))))</f>
        <v/>
      </c>
      <c r="L70" s="5" t="str">
        <f aca="false">IF(B70="","",IF(C70=0,"NOT FOUND",IF(IF($A70="Bank",INDEX(Bank!$F:$F,$C70),INDEX(GL!$F:$F,$C70))="Y","NOW RECONCILED: refresh","OK")))</f>
        <v/>
      </c>
    </row>
    <row r="71" customFormat="false" ht="15" hidden="false" customHeight="false" outlineLevel="0" collapsed="false">
      <c r="A71" s="41"/>
      <c r="B71" s="41"/>
      <c r="C71" s="5" t="n">
        <f aca="false">IF(B71="",0,IF(A71="Bank",IFERROR(MATCH(B71,Bank!$A:$A,0),0),IFERROR(MATCH(B71,GL!$A:$A,0),0)))</f>
        <v>0</v>
      </c>
      <c r="D71" s="32" t="str">
        <f aca="false">IF(C71=0,"",IF($A71="Bank",INDEX(Bank!$B:$B,$C71),INDEX(GL!$B:$B,$C71)))</f>
        <v/>
      </c>
      <c r="E71" s="5" t="str">
        <f aca="false">IF(C71=0,"",IF($A71="Bank",IF(INDEX(Bank!$C:$C,$C71)="","",INDEX(Bank!$C:$C,$C71)),IF(INDEX(GL!$C:$C,$C71)="","",INDEX(GL!$C:$C,$C71))))</f>
        <v/>
      </c>
      <c r="F71" s="5" t="str">
        <f aca="false">IF(C71=0,"",IF($A71="Bank",IF(INDEX(Bank!$D:$D,$C71)="","",INDEX(Bank!$D:$D,$C71)),IF(INDEX(GL!$D:$D,$C71)="","",INDEX(GL!$D:$D,$C71))))</f>
        <v/>
      </c>
      <c r="G71" s="19" t="str">
        <f aca="false">IF(C71=0,"",IF($A71="Bank",INDEX(Bank!$E:$E,$C71),INDEX(GL!$E:$E,$C71)))</f>
        <v/>
      </c>
      <c r="H71" s="5" t="str">
        <f aca="false">IF(C71=0,"",IF(A71="GL",IF(G71&gt;0,"Deposit in transit","Outstanding check / payment"),IF(G71&gt;0,"Bank credit not in GL","Bank debit not in GL")))</f>
        <v/>
      </c>
      <c r="I71" s="42" t="str">
        <f aca="false">IF(OR(C71=0,CFG_PeriodEnd=""),"",CFG_PeriodEnd-D71)</f>
        <v/>
      </c>
      <c r="J71" s="5" t="str">
        <f aca="false">IF(C71=0,"",IF($A71="Bank",IF(INDEX(Bank!$G:$G,$C71)="","",INDEX(Bank!$G:$G,$C71)),IF(INDEX(GL!$G:$G,$C71)="","",INDEX(GL!$G:$G,$C71))))</f>
        <v/>
      </c>
      <c r="K71" s="5" t="str">
        <f aca="false">IF(C71=0,"",IF($A71="Bank",IF(INDEX(Bank!$I:$I,$C71)="","",INDEX(Bank!$I:$I,$C71)),IF(INDEX(GL!$I:$I,$C71)="","",INDEX(GL!$I:$I,$C71))))</f>
        <v/>
      </c>
      <c r="L71" s="5" t="str">
        <f aca="false">IF(B71="","",IF(C71=0,"NOT FOUND",IF(IF($A71="Bank",INDEX(Bank!$F:$F,$C71),INDEX(GL!$F:$F,$C71))="Y","NOW RECONCILED: refresh","OK")))</f>
        <v/>
      </c>
    </row>
    <row r="72" customFormat="false" ht="15" hidden="false" customHeight="false" outlineLevel="0" collapsed="false">
      <c r="A72" s="41"/>
      <c r="B72" s="41"/>
      <c r="C72" s="5" t="n">
        <f aca="false">IF(B72="",0,IF(A72="Bank",IFERROR(MATCH(B72,Bank!$A:$A,0),0),IFERROR(MATCH(B72,GL!$A:$A,0),0)))</f>
        <v>0</v>
      </c>
      <c r="D72" s="32" t="str">
        <f aca="false">IF(C72=0,"",IF($A72="Bank",INDEX(Bank!$B:$B,$C72),INDEX(GL!$B:$B,$C72)))</f>
        <v/>
      </c>
      <c r="E72" s="5" t="str">
        <f aca="false">IF(C72=0,"",IF($A72="Bank",IF(INDEX(Bank!$C:$C,$C72)="","",INDEX(Bank!$C:$C,$C72)),IF(INDEX(GL!$C:$C,$C72)="","",INDEX(GL!$C:$C,$C72))))</f>
        <v/>
      </c>
      <c r="F72" s="5" t="str">
        <f aca="false">IF(C72=0,"",IF($A72="Bank",IF(INDEX(Bank!$D:$D,$C72)="","",INDEX(Bank!$D:$D,$C72)),IF(INDEX(GL!$D:$D,$C72)="","",INDEX(GL!$D:$D,$C72))))</f>
        <v/>
      </c>
      <c r="G72" s="19" t="str">
        <f aca="false">IF(C72=0,"",IF($A72="Bank",INDEX(Bank!$E:$E,$C72),INDEX(GL!$E:$E,$C72)))</f>
        <v/>
      </c>
      <c r="H72" s="5" t="str">
        <f aca="false">IF(C72=0,"",IF(A72="GL",IF(G72&gt;0,"Deposit in transit","Outstanding check / payment"),IF(G72&gt;0,"Bank credit not in GL","Bank debit not in GL")))</f>
        <v/>
      </c>
      <c r="I72" s="42" t="str">
        <f aca="false">IF(OR(C72=0,CFG_PeriodEnd=""),"",CFG_PeriodEnd-D72)</f>
        <v/>
      </c>
      <c r="J72" s="5" t="str">
        <f aca="false">IF(C72=0,"",IF($A72="Bank",IF(INDEX(Bank!$G:$G,$C72)="","",INDEX(Bank!$G:$G,$C72)),IF(INDEX(GL!$G:$G,$C72)="","",INDEX(GL!$G:$G,$C72))))</f>
        <v/>
      </c>
      <c r="K72" s="5" t="str">
        <f aca="false">IF(C72=0,"",IF($A72="Bank",IF(INDEX(Bank!$I:$I,$C72)="","",INDEX(Bank!$I:$I,$C72)),IF(INDEX(GL!$I:$I,$C72)="","",INDEX(GL!$I:$I,$C72))))</f>
        <v/>
      </c>
      <c r="L72" s="5" t="str">
        <f aca="false">IF(B72="","",IF(C72=0,"NOT FOUND",IF(IF($A72="Bank",INDEX(Bank!$F:$F,$C72),INDEX(GL!$F:$F,$C72))="Y","NOW RECONCILED: refresh","OK")))</f>
        <v/>
      </c>
    </row>
    <row r="73" customFormat="false" ht="15" hidden="false" customHeight="false" outlineLevel="0" collapsed="false">
      <c r="A73" s="41"/>
      <c r="B73" s="41"/>
      <c r="C73" s="5" t="n">
        <f aca="false">IF(B73="",0,IF(A73="Bank",IFERROR(MATCH(B73,Bank!$A:$A,0),0),IFERROR(MATCH(B73,GL!$A:$A,0),0)))</f>
        <v>0</v>
      </c>
      <c r="D73" s="32" t="str">
        <f aca="false">IF(C73=0,"",IF($A73="Bank",INDEX(Bank!$B:$B,$C73),INDEX(GL!$B:$B,$C73)))</f>
        <v/>
      </c>
      <c r="E73" s="5" t="str">
        <f aca="false">IF(C73=0,"",IF($A73="Bank",IF(INDEX(Bank!$C:$C,$C73)="","",INDEX(Bank!$C:$C,$C73)),IF(INDEX(GL!$C:$C,$C73)="","",INDEX(GL!$C:$C,$C73))))</f>
        <v/>
      </c>
      <c r="F73" s="5" t="str">
        <f aca="false">IF(C73=0,"",IF($A73="Bank",IF(INDEX(Bank!$D:$D,$C73)="","",INDEX(Bank!$D:$D,$C73)),IF(INDEX(GL!$D:$D,$C73)="","",INDEX(GL!$D:$D,$C73))))</f>
        <v/>
      </c>
      <c r="G73" s="19" t="str">
        <f aca="false">IF(C73=0,"",IF($A73="Bank",INDEX(Bank!$E:$E,$C73),INDEX(GL!$E:$E,$C73)))</f>
        <v/>
      </c>
      <c r="H73" s="5" t="str">
        <f aca="false">IF(C73=0,"",IF(A73="GL",IF(G73&gt;0,"Deposit in transit","Outstanding check / payment"),IF(G73&gt;0,"Bank credit not in GL","Bank debit not in GL")))</f>
        <v/>
      </c>
      <c r="I73" s="42" t="str">
        <f aca="false">IF(OR(C73=0,CFG_PeriodEnd=""),"",CFG_PeriodEnd-D73)</f>
        <v/>
      </c>
      <c r="J73" s="5" t="str">
        <f aca="false">IF(C73=0,"",IF($A73="Bank",IF(INDEX(Bank!$G:$G,$C73)="","",INDEX(Bank!$G:$G,$C73)),IF(INDEX(GL!$G:$G,$C73)="","",INDEX(GL!$G:$G,$C73))))</f>
        <v/>
      </c>
      <c r="K73" s="5" t="str">
        <f aca="false">IF(C73=0,"",IF($A73="Bank",IF(INDEX(Bank!$I:$I,$C73)="","",INDEX(Bank!$I:$I,$C73)),IF(INDEX(GL!$I:$I,$C73)="","",INDEX(GL!$I:$I,$C73))))</f>
        <v/>
      </c>
      <c r="L73" s="5" t="str">
        <f aca="false">IF(B73="","",IF(C73=0,"NOT FOUND",IF(IF($A73="Bank",INDEX(Bank!$F:$F,$C73),INDEX(GL!$F:$F,$C73))="Y","NOW RECONCILED: refresh","OK")))</f>
        <v/>
      </c>
    </row>
    <row r="74" customFormat="false" ht="15" hidden="false" customHeight="false" outlineLevel="0" collapsed="false">
      <c r="A74" s="41"/>
      <c r="B74" s="41"/>
      <c r="C74" s="5" t="n">
        <f aca="false">IF(B74="",0,IF(A74="Bank",IFERROR(MATCH(B74,Bank!$A:$A,0),0),IFERROR(MATCH(B74,GL!$A:$A,0),0)))</f>
        <v>0</v>
      </c>
      <c r="D74" s="32" t="str">
        <f aca="false">IF(C74=0,"",IF($A74="Bank",INDEX(Bank!$B:$B,$C74),INDEX(GL!$B:$B,$C74)))</f>
        <v/>
      </c>
      <c r="E74" s="5" t="str">
        <f aca="false">IF(C74=0,"",IF($A74="Bank",IF(INDEX(Bank!$C:$C,$C74)="","",INDEX(Bank!$C:$C,$C74)),IF(INDEX(GL!$C:$C,$C74)="","",INDEX(GL!$C:$C,$C74))))</f>
        <v/>
      </c>
      <c r="F74" s="5" t="str">
        <f aca="false">IF(C74=0,"",IF($A74="Bank",IF(INDEX(Bank!$D:$D,$C74)="","",INDEX(Bank!$D:$D,$C74)),IF(INDEX(GL!$D:$D,$C74)="","",INDEX(GL!$D:$D,$C74))))</f>
        <v/>
      </c>
      <c r="G74" s="19" t="str">
        <f aca="false">IF(C74=0,"",IF($A74="Bank",INDEX(Bank!$E:$E,$C74),INDEX(GL!$E:$E,$C74)))</f>
        <v/>
      </c>
      <c r="H74" s="5" t="str">
        <f aca="false">IF(C74=0,"",IF(A74="GL",IF(G74&gt;0,"Deposit in transit","Outstanding check / payment"),IF(G74&gt;0,"Bank credit not in GL","Bank debit not in GL")))</f>
        <v/>
      </c>
      <c r="I74" s="42" t="str">
        <f aca="false">IF(OR(C74=0,CFG_PeriodEnd=""),"",CFG_PeriodEnd-D74)</f>
        <v/>
      </c>
      <c r="J74" s="5" t="str">
        <f aca="false">IF(C74=0,"",IF($A74="Bank",IF(INDEX(Bank!$G:$G,$C74)="","",INDEX(Bank!$G:$G,$C74)),IF(INDEX(GL!$G:$G,$C74)="","",INDEX(GL!$G:$G,$C74))))</f>
        <v/>
      </c>
      <c r="K74" s="5" t="str">
        <f aca="false">IF(C74=0,"",IF($A74="Bank",IF(INDEX(Bank!$I:$I,$C74)="","",INDEX(Bank!$I:$I,$C74)),IF(INDEX(GL!$I:$I,$C74)="","",INDEX(GL!$I:$I,$C74))))</f>
        <v/>
      </c>
      <c r="L74" s="5" t="str">
        <f aca="false">IF(B74="","",IF(C74=0,"NOT FOUND",IF(IF($A74="Bank",INDEX(Bank!$F:$F,$C74),INDEX(GL!$F:$F,$C74))="Y","NOW RECONCILED: refresh","OK")))</f>
        <v/>
      </c>
    </row>
    <row r="75" customFormat="false" ht="15" hidden="false" customHeight="false" outlineLevel="0" collapsed="false">
      <c r="A75" s="41"/>
      <c r="B75" s="41"/>
      <c r="C75" s="5" t="n">
        <f aca="false">IF(B75="",0,IF(A75="Bank",IFERROR(MATCH(B75,Bank!$A:$A,0),0),IFERROR(MATCH(B75,GL!$A:$A,0),0)))</f>
        <v>0</v>
      </c>
      <c r="D75" s="32" t="str">
        <f aca="false">IF(C75=0,"",IF($A75="Bank",INDEX(Bank!$B:$B,$C75),INDEX(GL!$B:$B,$C75)))</f>
        <v/>
      </c>
      <c r="E75" s="5" t="str">
        <f aca="false">IF(C75=0,"",IF($A75="Bank",IF(INDEX(Bank!$C:$C,$C75)="","",INDEX(Bank!$C:$C,$C75)),IF(INDEX(GL!$C:$C,$C75)="","",INDEX(GL!$C:$C,$C75))))</f>
        <v/>
      </c>
      <c r="F75" s="5" t="str">
        <f aca="false">IF(C75=0,"",IF($A75="Bank",IF(INDEX(Bank!$D:$D,$C75)="","",INDEX(Bank!$D:$D,$C75)),IF(INDEX(GL!$D:$D,$C75)="","",INDEX(GL!$D:$D,$C75))))</f>
        <v/>
      </c>
      <c r="G75" s="19" t="str">
        <f aca="false">IF(C75=0,"",IF($A75="Bank",INDEX(Bank!$E:$E,$C75),INDEX(GL!$E:$E,$C75)))</f>
        <v/>
      </c>
      <c r="H75" s="5" t="str">
        <f aca="false">IF(C75=0,"",IF(A75="GL",IF(G75&gt;0,"Deposit in transit","Outstanding check / payment"),IF(G75&gt;0,"Bank credit not in GL","Bank debit not in GL")))</f>
        <v/>
      </c>
      <c r="I75" s="42" t="str">
        <f aca="false">IF(OR(C75=0,CFG_PeriodEnd=""),"",CFG_PeriodEnd-D75)</f>
        <v/>
      </c>
      <c r="J75" s="5" t="str">
        <f aca="false">IF(C75=0,"",IF($A75="Bank",IF(INDEX(Bank!$G:$G,$C75)="","",INDEX(Bank!$G:$G,$C75)),IF(INDEX(GL!$G:$G,$C75)="","",INDEX(GL!$G:$G,$C75))))</f>
        <v/>
      </c>
      <c r="K75" s="5" t="str">
        <f aca="false">IF(C75=0,"",IF($A75="Bank",IF(INDEX(Bank!$I:$I,$C75)="","",INDEX(Bank!$I:$I,$C75)),IF(INDEX(GL!$I:$I,$C75)="","",INDEX(GL!$I:$I,$C75))))</f>
        <v/>
      </c>
      <c r="L75" s="5" t="str">
        <f aca="false">IF(B75="","",IF(C75=0,"NOT FOUND",IF(IF($A75="Bank",INDEX(Bank!$F:$F,$C75),INDEX(GL!$F:$F,$C75))="Y","NOW RECONCILED: refresh","OK")))</f>
        <v/>
      </c>
    </row>
    <row r="76" customFormat="false" ht="15" hidden="false" customHeight="false" outlineLevel="0" collapsed="false">
      <c r="A76" s="41"/>
      <c r="B76" s="41"/>
      <c r="C76" s="5" t="n">
        <f aca="false">IF(B76="",0,IF(A76="Bank",IFERROR(MATCH(B76,Bank!$A:$A,0),0),IFERROR(MATCH(B76,GL!$A:$A,0),0)))</f>
        <v>0</v>
      </c>
      <c r="D76" s="32" t="str">
        <f aca="false">IF(C76=0,"",IF($A76="Bank",INDEX(Bank!$B:$B,$C76),INDEX(GL!$B:$B,$C76)))</f>
        <v/>
      </c>
      <c r="E76" s="5" t="str">
        <f aca="false">IF(C76=0,"",IF($A76="Bank",IF(INDEX(Bank!$C:$C,$C76)="","",INDEX(Bank!$C:$C,$C76)),IF(INDEX(GL!$C:$C,$C76)="","",INDEX(GL!$C:$C,$C76))))</f>
        <v/>
      </c>
      <c r="F76" s="5" t="str">
        <f aca="false">IF(C76=0,"",IF($A76="Bank",IF(INDEX(Bank!$D:$D,$C76)="","",INDEX(Bank!$D:$D,$C76)),IF(INDEX(GL!$D:$D,$C76)="","",INDEX(GL!$D:$D,$C76))))</f>
        <v/>
      </c>
      <c r="G76" s="19" t="str">
        <f aca="false">IF(C76=0,"",IF($A76="Bank",INDEX(Bank!$E:$E,$C76),INDEX(GL!$E:$E,$C76)))</f>
        <v/>
      </c>
      <c r="H76" s="5" t="str">
        <f aca="false">IF(C76=0,"",IF(A76="GL",IF(G76&gt;0,"Deposit in transit","Outstanding check / payment"),IF(G76&gt;0,"Bank credit not in GL","Bank debit not in GL")))</f>
        <v/>
      </c>
      <c r="I76" s="42" t="str">
        <f aca="false">IF(OR(C76=0,CFG_PeriodEnd=""),"",CFG_PeriodEnd-D76)</f>
        <v/>
      </c>
      <c r="J76" s="5" t="str">
        <f aca="false">IF(C76=0,"",IF($A76="Bank",IF(INDEX(Bank!$G:$G,$C76)="","",INDEX(Bank!$G:$G,$C76)),IF(INDEX(GL!$G:$G,$C76)="","",INDEX(GL!$G:$G,$C76))))</f>
        <v/>
      </c>
      <c r="K76" s="5" t="str">
        <f aca="false">IF(C76=0,"",IF($A76="Bank",IF(INDEX(Bank!$I:$I,$C76)="","",INDEX(Bank!$I:$I,$C76)),IF(INDEX(GL!$I:$I,$C76)="","",INDEX(GL!$I:$I,$C76))))</f>
        <v/>
      </c>
      <c r="L76" s="5" t="str">
        <f aca="false">IF(B76="","",IF(C76=0,"NOT FOUND",IF(IF($A76="Bank",INDEX(Bank!$F:$F,$C76),INDEX(GL!$F:$F,$C76))="Y","NOW RECONCILED: refresh","OK")))</f>
        <v/>
      </c>
    </row>
    <row r="77" customFormat="false" ht="15" hidden="false" customHeight="false" outlineLevel="0" collapsed="false">
      <c r="A77" s="41"/>
      <c r="B77" s="41"/>
      <c r="C77" s="5" t="n">
        <f aca="false">IF(B77="",0,IF(A77="Bank",IFERROR(MATCH(B77,Bank!$A:$A,0),0),IFERROR(MATCH(B77,GL!$A:$A,0),0)))</f>
        <v>0</v>
      </c>
      <c r="D77" s="32" t="str">
        <f aca="false">IF(C77=0,"",IF($A77="Bank",INDEX(Bank!$B:$B,$C77),INDEX(GL!$B:$B,$C77)))</f>
        <v/>
      </c>
      <c r="E77" s="5" t="str">
        <f aca="false">IF(C77=0,"",IF($A77="Bank",IF(INDEX(Bank!$C:$C,$C77)="","",INDEX(Bank!$C:$C,$C77)),IF(INDEX(GL!$C:$C,$C77)="","",INDEX(GL!$C:$C,$C77))))</f>
        <v/>
      </c>
      <c r="F77" s="5" t="str">
        <f aca="false">IF(C77=0,"",IF($A77="Bank",IF(INDEX(Bank!$D:$D,$C77)="","",INDEX(Bank!$D:$D,$C77)),IF(INDEX(GL!$D:$D,$C77)="","",INDEX(GL!$D:$D,$C77))))</f>
        <v/>
      </c>
      <c r="G77" s="19" t="str">
        <f aca="false">IF(C77=0,"",IF($A77="Bank",INDEX(Bank!$E:$E,$C77),INDEX(GL!$E:$E,$C77)))</f>
        <v/>
      </c>
      <c r="H77" s="5" t="str">
        <f aca="false">IF(C77=0,"",IF(A77="GL",IF(G77&gt;0,"Deposit in transit","Outstanding check / payment"),IF(G77&gt;0,"Bank credit not in GL","Bank debit not in GL")))</f>
        <v/>
      </c>
      <c r="I77" s="42" t="str">
        <f aca="false">IF(OR(C77=0,CFG_PeriodEnd=""),"",CFG_PeriodEnd-D77)</f>
        <v/>
      </c>
      <c r="J77" s="5" t="str">
        <f aca="false">IF(C77=0,"",IF($A77="Bank",IF(INDEX(Bank!$G:$G,$C77)="","",INDEX(Bank!$G:$G,$C77)),IF(INDEX(GL!$G:$G,$C77)="","",INDEX(GL!$G:$G,$C77))))</f>
        <v/>
      </c>
      <c r="K77" s="5" t="str">
        <f aca="false">IF(C77=0,"",IF($A77="Bank",IF(INDEX(Bank!$I:$I,$C77)="","",INDEX(Bank!$I:$I,$C77)),IF(INDEX(GL!$I:$I,$C77)="","",INDEX(GL!$I:$I,$C77))))</f>
        <v/>
      </c>
      <c r="L77" s="5" t="str">
        <f aca="false">IF(B77="","",IF(C77=0,"NOT FOUND",IF(IF($A77="Bank",INDEX(Bank!$F:$F,$C77),INDEX(GL!$F:$F,$C77))="Y","NOW RECONCILED: refresh","OK")))</f>
        <v/>
      </c>
    </row>
    <row r="78" customFormat="false" ht="15" hidden="false" customHeight="false" outlineLevel="0" collapsed="false">
      <c r="A78" s="41"/>
      <c r="B78" s="41"/>
      <c r="C78" s="5" t="n">
        <f aca="false">IF(B78="",0,IF(A78="Bank",IFERROR(MATCH(B78,Bank!$A:$A,0),0),IFERROR(MATCH(B78,GL!$A:$A,0),0)))</f>
        <v>0</v>
      </c>
      <c r="D78" s="32" t="str">
        <f aca="false">IF(C78=0,"",IF($A78="Bank",INDEX(Bank!$B:$B,$C78),INDEX(GL!$B:$B,$C78)))</f>
        <v/>
      </c>
      <c r="E78" s="5" t="str">
        <f aca="false">IF(C78=0,"",IF($A78="Bank",IF(INDEX(Bank!$C:$C,$C78)="","",INDEX(Bank!$C:$C,$C78)),IF(INDEX(GL!$C:$C,$C78)="","",INDEX(GL!$C:$C,$C78))))</f>
        <v/>
      </c>
      <c r="F78" s="5" t="str">
        <f aca="false">IF(C78=0,"",IF($A78="Bank",IF(INDEX(Bank!$D:$D,$C78)="","",INDEX(Bank!$D:$D,$C78)),IF(INDEX(GL!$D:$D,$C78)="","",INDEX(GL!$D:$D,$C78))))</f>
        <v/>
      </c>
      <c r="G78" s="19" t="str">
        <f aca="false">IF(C78=0,"",IF($A78="Bank",INDEX(Bank!$E:$E,$C78),INDEX(GL!$E:$E,$C78)))</f>
        <v/>
      </c>
      <c r="H78" s="5" t="str">
        <f aca="false">IF(C78=0,"",IF(A78="GL",IF(G78&gt;0,"Deposit in transit","Outstanding check / payment"),IF(G78&gt;0,"Bank credit not in GL","Bank debit not in GL")))</f>
        <v/>
      </c>
      <c r="I78" s="42" t="str">
        <f aca="false">IF(OR(C78=0,CFG_PeriodEnd=""),"",CFG_PeriodEnd-D78)</f>
        <v/>
      </c>
      <c r="J78" s="5" t="str">
        <f aca="false">IF(C78=0,"",IF($A78="Bank",IF(INDEX(Bank!$G:$G,$C78)="","",INDEX(Bank!$G:$G,$C78)),IF(INDEX(GL!$G:$G,$C78)="","",INDEX(GL!$G:$G,$C78))))</f>
        <v/>
      </c>
      <c r="K78" s="5" t="str">
        <f aca="false">IF(C78=0,"",IF($A78="Bank",IF(INDEX(Bank!$I:$I,$C78)="","",INDEX(Bank!$I:$I,$C78)),IF(INDEX(GL!$I:$I,$C78)="","",INDEX(GL!$I:$I,$C78))))</f>
        <v/>
      </c>
      <c r="L78" s="5" t="str">
        <f aca="false">IF(B78="","",IF(C78=0,"NOT FOUND",IF(IF($A78="Bank",INDEX(Bank!$F:$F,$C78),INDEX(GL!$F:$F,$C78))="Y","NOW RECONCILED: refresh","OK")))</f>
        <v/>
      </c>
    </row>
    <row r="79" customFormat="false" ht="15" hidden="false" customHeight="false" outlineLevel="0" collapsed="false">
      <c r="A79" s="41"/>
      <c r="B79" s="41"/>
      <c r="C79" s="5" t="n">
        <f aca="false">IF(B79="",0,IF(A79="Bank",IFERROR(MATCH(B79,Bank!$A:$A,0),0),IFERROR(MATCH(B79,GL!$A:$A,0),0)))</f>
        <v>0</v>
      </c>
      <c r="D79" s="32" t="str">
        <f aca="false">IF(C79=0,"",IF($A79="Bank",INDEX(Bank!$B:$B,$C79),INDEX(GL!$B:$B,$C79)))</f>
        <v/>
      </c>
      <c r="E79" s="5" t="str">
        <f aca="false">IF(C79=0,"",IF($A79="Bank",IF(INDEX(Bank!$C:$C,$C79)="","",INDEX(Bank!$C:$C,$C79)),IF(INDEX(GL!$C:$C,$C79)="","",INDEX(GL!$C:$C,$C79))))</f>
        <v/>
      </c>
      <c r="F79" s="5" t="str">
        <f aca="false">IF(C79=0,"",IF($A79="Bank",IF(INDEX(Bank!$D:$D,$C79)="","",INDEX(Bank!$D:$D,$C79)),IF(INDEX(GL!$D:$D,$C79)="","",INDEX(GL!$D:$D,$C79))))</f>
        <v/>
      </c>
      <c r="G79" s="19" t="str">
        <f aca="false">IF(C79=0,"",IF($A79="Bank",INDEX(Bank!$E:$E,$C79),INDEX(GL!$E:$E,$C79)))</f>
        <v/>
      </c>
      <c r="H79" s="5" t="str">
        <f aca="false">IF(C79=0,"",IF(A79="GL",IF(G79&gt;0,"Deposit in transit","Outstanding check / payment"),IF(G79&gt;0,"Bank credit not in GL","Bank debit not in GL")))</f>
        <v/>
      </c>
      <c r="I79" s="42" t="str">
        <f aca="false">IF(OR(C79=0,CFG_PeriodEnd=""),"",CFG_PeriodEnd-D79)</f>
        <v/>
      </c>
      <c r="J79" s="5" t="str">
        <f aca="false">IF(C79=0,"",IF($A79="Bank",IF(INDEX(Bank!$G:$G,$C79)="","",INDEX(Bank!$G:$G,$C79)),IF(INDEX(GL!$G:$G,$C79)="","",INDEX(GL!$G:$G,$C79))))</f>
        <v/>
      </c>
      <c r="K79" s="5" t="str">
        <f aca="false">IF(C79=0,"",IF($A79="Bank",IF(INDEX(Bank!$I:$I,$C79)="","",INDEX(Bank!$I:$I,$C79)),IF(INDEX(GL!$I:$I,$C79)="","",INDEX(GL!$I:$I,$C79))))</f>
        <v/>
      </c>
      <c r="L79" s="5" t="str">
        <f aca="false">IF(B79="","",IF(C79=0,"NOT FOUND",IF(IF($A79="Bank",INDEX(Bank!$F:$F,$C79),INDEX(GL!$F:$F,$C79))="Y","NOW RECONCILED: refresh","OK")))</f>
        <v/>
      </c>
    </row>
    <row r="80" customFormat="false" ht="15" hidden="false" customHeight="false" outlineLevel="0" collapsed="false">
      <c r="A80" s="41"/>
      <c r="B80" s="41"/>
      <c r="C80" s="5" t="n">
        <f aca="false">IF(B80="",0,IF(A80="Bank",IFERROR(MATCH(B80,Bank!$A:$A,0),0),IFERROR(MATCH(B80,GL!$A:$A,0),0)))</f>
        <v>0</v>
      </c>
      <c r="D80" s="32" t="str">
        <f aca="false">IF(C80=0,"",IF($A80="Bank",INDEX(Bank!$B:$B,$C80),INDEX(GL!$B:$B,$C80)))</f>
        <v/>
      </c>
      <c r="E80" s="5" t="str">
        <f aca="false">IF(C80=0,"",IF($A80="Bank",IF(INDEX(Bank!$C:$C,$C80)="","",INDEX(Bank!$C:$C,$C80)),IF(INDEX(GL!$C:$C,$C80)="","",INDEX(GL!$C:$C,$C80))))</f>
        <v/>
      </c>
      <c r="F80" s="5" t="str">
        <f aca="false">IF(C80=0,"",IF($A80="Bank",IF(INDEX(Bank!$D:$D,$C80)="","",INDEX(Bank!$D:$D,$C80)),IF(INDEX(GL!$D:$D,$C80)="","",INDEX(GL!$D:$D,$C80))))</f>
        <v/>
      </c>
      <c r="G80" s="19" t="str">
        <f aca="false">IF(C80=0,"",IF($A80="Bank",INDEX(Bank!$E:$E,$C80),INDEX(GL!$E:$E,$C80)))</f>
        <v/>
      </c>
      <c r="H80" s="5" t="str">
        <f aca="false">IF(C80=0,"",IF(A80="GL",IF(G80&gt;0,"Deposit in transit","Outstanding check / payment"),IF(G80&gt;0,"Bank credit not in GL","Bank debit not in GL")))</f>
        <v/>
      </c>
      <c r="I80" s="42" t="str">
        <f aca="false">IF(OR(C80=0,CFG_PeriodEnd=""),"",CFG_PeriodEnd-D80)</f>
        <v/>
      </c>
      <c r="J80" s="5" t="str">
        <f aca="false">IF(C80=0,"",IF($A80="Bank",IF(INDEX(Bank!$G:$G,$C80)="","",INDEX(Bank!$G:$G,$C80)),IF(INDEX(GL!$G:$G,$C80)="","",INDEX(GL!$G:$G,$C80))))</f>
        <v/>
      </c>
      <c r="K80" s="5" t="str">
        <f aca="false">IF(C80=0,"",IF($A80="Bank",IF(INDEX(Bank!$I:$I,$C80)="","",INDEX(Bank!$I:$I,$C80)),IF(INDEX(GL!$I:$I,$C80)="","",INDEX(GL!$I:$I,$C80))))</f>
        <v/>
      </c>
      <c r="L80" s="5" t="str">
        <f aca="false">IF(B80="","",IF(C80=0,"NOT FOUND",IF(IF($A80="Bank",INDEX(Bank!$F:$F,$C80),INDEX(GL!$F:$F,$C80))="Y","NOW RECONCILED: refresh","OK")))</f>
        <v/>
      </c>
    </row>
    <row r="81" customFormat="false" ht="15" hidden="false" customHeight="false" outlineLevel="0" collapsed="false">
      <c r="A81" s="41"/>
      <c r="B81" s="41"/>
      <c r="C81" s="5" t="n">
        <f aca="false">IF(B81="",0,IF(A81="Bank",IFERROR(MATCH(B81,Bank!$A:$A,0),0),IFERROR(MATCH(B81,GL!$A:$A,0),0)))</f>
        <v>0</v>
      </c>
      <c r="D81" s="32" t="str">
        <f aca="false">IF(C81=0,"",IF($A81="Bank",INDEX(Bank!$B:$B,$C81),INDEX(GL!$B:$B,$C81)))</f>
        <v/>
      </c>
      <c r="E81" s="5" t="str">
        <f aca="false">IF(C81=0,"",IF($A81="Bank",IF(INDEX(Bank!$C:$C,$C81)="","",INDEX(Bank!$C:$C,$C81)),IF(INDEX(GL!$C:$C,$C81)="","",INDEX(GL!$C:$C,$C81))))</f>
        <v/>
      </c>
      <c r="F81" s="5" t="str">
        <f aca="false">IF(C81=0,"",IF($A81="Bank",IF(INDEX(Bank!$D:$D,$C81)="","",INDEX(Bank!$D:$D,$C81)),IF(INDEX(GL!$D:$D,$C81)="","",INDEX(GL!$D:$D,$C81))))</f>
        <v/>
      </c>
      <c r="G81" s="19" t="str">
        <f aca="false">IF(C81=0,"",IF($A81="Bank",INDEX(Bank!$E:$E,$C81),INDEX(GL!$E:$E,$C81)))</f>
        <v/>
      </c>
      <c r="H81" s="5" t="str">
        <f aca="false">IF(C81=0,"",IF(A81="GL",IF(G81&gt;0,"Deposit in transit","Outstanding check / payment"),IF(G81&gt;0,"Bank credit not in GL","Bank debit not in GL")))</f>
        <v/>
      </c>
      <c r="I81" s="42" t="str">
        <f aca="false">IF(OR(C81=0,CFG_PeriodEnd=""),"",CFG_PeriodEnd-D81)</f>
        <v/>
      </c>
      <c r="J81" s="5" t="str">
        <f aca="false">IF(C81=0,"",IF($A81="Bank",IF(INDEX(Bank!$G:$G,$C81)="","",INDEX(Bank!$G:$G,$C81)),IF(INDEX(GL!$G:$G,$C81)="","",INDEX(GL!$G:$G,$C81))))</f>
        <v/>
      </c>
      <c r="K81" s="5" t="str">
        <f aca="false">IF(C81=0,"",IF($A81="Bank",IF(INDEX(Bank!$I:$I,$C81)="","",INDEX(Bank!$I:$I,$C81)),IF(INDEX(GL!$I:$I,$C81)="","",INDEX(GL!$I:$I,$C81))))</f>
        <v/>
      </c>
      <c r="L81" s="5" t="str">
        <f aca="false">IF(B81="","",IF(C81=0,"NOT FOUND",IF(IF($A81="Bank",INDEX(Bank!$F:$F,$C81),INDEX(GL!$F:$F,$C81))="Y","NOW RECONCILED: refresh","OK")))</f>
        <v/>
      </c>
    </row>
    <row r="82" customFormat="false" ht="15" hidden="false" customHeight="false" outlineLevel="0" collapsed="false">
      <c r="A82" s="41"/>
      <c r="B82" s="41"/>
      <c r="C82" s="5" t="n">
        <f aca="false">IF(B82="",0,IF(A82="Bank",IFERROR(MATCH(B82,Bank!$A:$A,0),0),IFERROR(MATCH(B82,GL!$A:$A,0),0)))</f>
        <v>0</v>
      </c>
      <c r="D82" s="32" t="str">
        <f aca="false">IF(C82=0,"",IF($A82="Bank",INDEX(Bank!$B:$B,$C82),INDEX(GL!$B:$B,$C82)))</f>
        <v/>
      </c>
      <c r="E82" s="5" t="str">
        <f aca="false">IF(C82=0,"",IF($A82="Bank",IF(INDEX(Bank!$C:$C,$C82)="","",INDEX(Bank!$C:$C,$C82)),IF(INDEX(GL!$C:$C,$C82)="","",INDEX(GL!$C:$C,$C82))))</f>
        <v/>
      </c>
      <c r="F82" s="5" t="str">
        <f aca="false">IF(C82=0,"",IF($A82="Bank",IF(INDEX(Bank!$D:$D,$C82)="","",INDEX(Bank!$D:$D,$C82)),IF(INDEX(GL!$D:$D,$C82)="","",INDEX(GL!$D:$D,$C82))))</f>
        <v/>
      </c>
      <c r="G82" s="19" t="str">
        <f aca="false">IF(C82=0,"",IF($A82="Bank",INDEX(Bank!$E:$E,$C82),INDEX(GL!$E:$E,$C82)))</f>
        <v/>
      </c>
      <c r="H82" s="5" t="str">
        <f aca="false">IF(C82=0,"",IF(A82="GL",IF(G82&gt;0,"Deposit in transit","Outstanding check / payment"),IF(G82&gt;0,"Bank credit not in GL","Bank debit not in GL")))</f>
        <v/>
      </c>
      <c r="I82" s="42" t="str">
        <f aca="false">IF(OR(C82=0,CFG_PeriodEnd=""),"",CFG_PeriodEnd-D82)</f>
        <v/>
      </c>
      <c r="J82" s="5" t="str">
        <f aca="false">IF(C82=0,"",IF($A82="Bank",IF(INDEX(Bank!$G:$G,$C82)="","",INDEX(Bank!$G:$G,$C82)),IF(INDEX(GL!$G:$G,$C82)="","",INDEX(GL!$G:$G,$C82))))</f>
        <v/>
      </c>
      <c r="K82" s="5" t="str">
        <f aca="false">IF(C82=0,"",IF($A82="Bank",IF(INDEX(Bank!$I:$I,$C82)="","",INDEX(Bank!$I:$I,$C82)),IF(INDEX(GL!$I:$I,$C82)="","",INDEX(GL!$I:$I,$C82))))</f>
        <v/>
      </c>
      <c r="L82" s="5" t="str">
        <f aca="false">IF(B82="","",IF(C82=0,"NOT FOUND",IF(IF($A82="Bank",INDEX(Bank!$F:$F,$C82),INDEX(GL!$F:$F,$C82))="Y","NOW RECONCILED: refresh","OK")))</f>
        <v/>
      </c>
    </row>
    <row r="83" customFormat="false" ht="15" hidden="false" customHeight="false" outlineLevel="0" collapsed="false">
      <c r="A83" s="41"/>
      <c r="B83" s="41"/>
      <c r="C83" s="5" t="n">
        <f aca="false">IF(B83="",0,IF(A83="Bank",IFERROR(MATCH(B83,Bank!$A:$A,0),0),IFERROR(MATCH(B83,GL!$A:$A,0),0)))</f>
        <v>0</v>
      </c>
      <c r="D83" s="32" t="str">
        <f aca="false">IF(C83=0,"",IF($A83="Bank",INDEX(Bank!$B:$B,$C83),INDEX(GL!$B:$B,$C83)))</f>
        <v/>
      </c>
      <c r="E83" s="5" t="str">
        <f aca="false">IF(C83=0,"",IF($A83="Bank",IF(INDEX(Bank!$C:$C,$C83)="","",INDEX(Bank!$C:$C,$C83)),IF(INDEX(GL!$C:$C,$C83)="","",INDEX(GL!$C:$C,$C83))))</f>
        <v/>
      </c>
      <c r="F83" s="5" t="str">
        <f aca="false">IF(C83=0,"",IF($A83="Bank",IF(INDEX(Bank!$D:$D,$C83)="","",INDEX(Bank!$D:$D,$C83)),IF(INDEX(GL!$D:$D,$C83)="","",INDEX(GL!$D:$D,$C83))))</f>
        <v/>
      </c>
      <c r="G83" s="19" t="str">
        <f aca="false">IF(C83=0,"",IF($A83="Bank",INDEX(Bank!$E:$E,$C83),INDEX(GL!$E:$E,$C83)))</f>
        <v/>
      </c>
      <c r="H83" s="5" t="str">
        <f aca="false">IF(C83=0,"",IF(A83="GL",IF(G83&gt;0,"Deposit in transit","Outstanding check / payment"),IF(G83&gt;0,"Bank credit not in GL","Bank debit not in GL")))</f>
        <v/>
      </c>
      <c r="I83" s="42" t="str">
        <f aca="false">IF(OR(C83=0,CFG_PeriodEnd=""),"",CFG_PeriodEnd-D83)</f>
        <v/>
      </c>
      <c r="J83" s="5" t="str">
        <f aca="false">IF(C83=0,"",IF($A83="Bank",IF(INDEX(Bank!$G:$G,$C83)="","",INDEX(Bank!$G:$G,$C83)),IF(INDEX(GL!$G:$G,$C83)="","",INDEX(GL!$G:$G,$C83))))</f>
        <v/>
      </c>
      <c r="K83" s="5" t="str">
        <f aca="false">IF(C83=0,"",IF($A83="Bank",IF(INDEX(Bank!$I:$I,$C83)="","",INDEX(Bank!$I:$I,$C83)),IF(INDEX(GL!$I:$I,$C83)="","",INDEX(GL!$I:$I,$C83))))</f>
        <v/>
      </c>
      <c r="L83" s="5" t="str">
        <f aca="false">IF(B83="","",IF(C83=0,"NOT FOUND",IF(IF($A83="Bank",INDEX(Bank!$F:$F,$C83),INDEX(GL!$F:$F,$C83))="Y","NOW RECONCILED: refresh","OK")))</f>
        <v/>
      </c>
    </row>
    <row r="84" customFormat="false" ht="15" hidden="false" customHeight="false" outlineLevel="0" collapsed="false">
      <c r="A84" s="41"/>
      <c r="B84" s="41"/>
      <c r="C84" s="5" t="n">
        <f aca="false">IF(B84="",0,IF(A84="Bank",IFERROR(MATCH(B84,Bank!$A:$A,0),0),IFERROR(MATCH(B84,GL!$A:$A,0),0)))</f>
        <v>0</v>
      </c>
      <c r="D84" s="32" t="str">
        <f aca="false">IF(C84=0,"",IF($A84="Bank",INDEX(Bank!$B:$B,$C84),INDEX(GL!$B:$B,$C84)))</f>
        <v/>
      </c>
      <c r="E84" s="5" t="str">
        <f aca="false">IF(C84=0,"",IF($A84="Bank",IF(INDEX(Bank!$C:$C,$C84)="","",INDEX(Bank!$C:$C,$C84)),IF(INDEX(GL!$C:$C,$C84)="","",INDEX(GL!$C:$C,$C84))))</f>
        <v/>
      </c>
      <c r="F84" s="5" t="str">
        <f aca="false">IF(C84=0,"",IF($A84="Bank",IF(INDEX(Bank!$D:$D,$C84)="","",INDEX(Bank!$D:$D,$C84)),IF(INDEX(GL!$D:$D,$C84)="","",INDEX(GL!$D:$D,$C84))))</f>
        <v/>
      </c>
      <c r="G84" s="19" t="str">
        <f aca="false">IF(C84=0,"",IF($A84="Bank",INDEX(Bank!$E:$E,$C84),INDEX(GL!$E:$E,$C84)))</f>
        <v/>
      </c>
      <c r="H84" s="5" t="str">
        <f aca="false">IF(C84=0,"",IF(A84="GL",IF(G84&gt;0,"Deposit in transit","Outstanding check / payment"),IF(G84&gt;0,"Bank credit not in GL","Bank debit not in GL")))</f>
        <v/>
      </c>
      <c r="I84" s="42" t="str">
        <f aca="false">IF(OR(C84=0,CFG_PeriodEnd=""),"",CFG_PeriodEnd-D84)</f>
        <v/>
      </c>
      <c r="J84" s="5" t="str">
        <f aca="false">IF(C84=0,"",IF($A84="Bank",IF(INDEX(Bank!$G:$G,$C84)="","",INDEX(Bank!$G:$G,$C84)),IF(INDEX(GL!$G:$G,$C84)="","",INDEX(GL!$G:$G,$C84))))</f>
        <v/>
      </c>
      <c r="K84" s="5" t="str">
        <f aca="false">IF(C84=0,"",IF($A84="Bank",IF(INDEX(Bank!$I:$I,$C84)="","",INDEX(Bank!$I:$I,$C84)),IF(INDEX(GL!$I:$I,$C84)="","",INDEX(GL!$I:$I,$C84))))</f>
        <v/>
      </c>
      <c r="L84" s="5" t="str">
        <f aca="false">IF(B84="","",IF(C84=0,"NOT FOUND",IF(IF($A84="Bank",INDEX(Bank!$F:$F,$C84),INDEX(GL!$F:$F,$C84))="Y","NOW RECONCILED: refresh","OK")))</f>
        <v/>
      </c>
    </row>
    <row r="85" customFormat="false" ht="15" hidden="false" customHeight="false" outlineLevel="0" collapsed="false">
      <c r="A85" s="41"/>
      <c r="B85" s="41"/>
      <c r="C85" s="5" t="n">
        <f aca="false">IF(B85="",0,IF(A85="Bank",IFERROR(MATCH(B85,Bank!$A:$A,0),0),IFERROR(MATCH(B85,GL!$A:$A,0),0)))</f>
        <v>0</v>
      </c>
      <c r="D85" s="32" t="str">
        <f aca="false">IF(C85=0,"",IF($A85="Bank",INDEX(Bank!$B:$B,$C85),INDEX(GL!$B:$B,$C85)))</f>
        <v/>
      </c>
      <c r="E85" s="5" t="str">
        <f aca="false">IF(C85=0,"",IF($A85="Bank",IF(INDEX(Bank!$C:$C,$C85)="","",INDEX(Bank!$C:$C,$C85)),IF(INDEX(GL!$C:$C,$C85)="","",INDEX(GL!$C:$C,$C85))))</f>
        <v/>
      </c>
      <c r="F85" s="5" t="str">
        <f aca="false">IF(C85=0,"",IF($A85="Bank",IF(INDEX(Bank!$D:$D,$C85)="","",INDEX(Bank!$D:$D,$C85)),IF(INDEX(GL!$D:$D,$C85)="","",INDEX(GL!$D:$D,$C85))))</f>
        <v/>
      </c>
      <c r="G85" s="19" t="str">
        <f aca="false">IF(C85=0,"",IF($A85="Bank",INDEX(Bank!$E:$E,$C85),INDEX(GL!$E:$E,$C85)))</f>
        <v/>
      </c>
      <c r="H85" s="5" t="str">
        <f aca="false">IF(C85=0,"",IF(A85="GL",IF(G85&gt;0,"Deposit in transit","Outstanding check / payment"),IF(G85&gt;0,"Bank credit not in GL","Bank debit not in GL")))</f>
        <v/>
      </c>
      <c r="I85" s="42" t="str">
        <f aca="false">IF(OR(C85=0,CFG_PeriodEnd=""),"",CFG_PeriodEnd-D85)</f>
        <v/>
      </c>
      <c r="J85" s="5" t="str">
        <f aca="false">IF(C85=0,"",IF($A85="Bank",IF(INDEX(Bank!$G:$G,$C85)="","",INDEX(Bank!$G:$G,$C85)),IF(INDEX(GL!$G:$G,$C85)="","",INDEX(GL!$G:$G,$C85))))</f>
        <v/>
      </c>
      <c r="K85" s="5" t="str">
        <f aca="false">IF(C85=0,"",IF($A85="Bank",IF(INDEX(Bank!$I:$I,$C85)="","",INDEX(Bank!$I:$I,$C85)),IF(INDEX(GL!$I:$I,$C85)="","",INDEX(GL!$I:$I,$C85))))</f>
        <v/>
      </c>
      <c r="L85" s="5" t="str">
        <f aca="false">IF(B85="","",IF(C85=0,"NOT FOUND",IF(IF($A85="Bank",INDEX(Bank!$F:$F,$C85),INDEX(GL!$F:$F,$C85))="Y","NOW RECONCILED: refresh","OK")))</f>
        <v/>
      </c>
    </row>
    <row r="86" customFormat="false" ht="15" hidden="false" customHeight="false" outlineLevel="0" collapsed="false">
      <c r="A86" s="41"/>
      <c r="B86" s="41"/>
      <c r="C86" s="5" t="n">
        <f aca="false">IF(B86="",0,IF(A86="Bank",IFERROR(MATCH(B86,Bank!$A:$A,0),0),IFERROR(MATCH(B86,GL!$A:$A,0),0)))</f>
        <v>0</v>
      </c>
      <c r="D86" s="32" t="str">
        <f aca="false">IF(C86=0,"",IF($A86="Bank",INDEX(Bank!$B:$B,$C86),INDEX(GL!$B:$B,$C86)))</f>
        <v/>
      </c>
      <c r="E86" s="5" t="str">
        <f aca="false">IF(C86=0,"",IF($A86="Bank",IF(INDEX(Bank!$C:$C,$C86)="","",INDEX(Bank!$C:$C,$C86)),IF(INDEX(GL!$C:$C,$C86)="","",INDEX(GL!$C:$C,$C86))))</f>
        <v/>
      </c>
      <c r="F86" s="5" t="str">
        <f aca="false">IF(C86=0,"",IF($A86="Bank",IF(INDEX(Bank!$D:$D,$C86)="","",INDEX(Bank!$D:$D,$C86)),IF(INDEX(GL!$D:$D,$C86)="","",INDEX(GL!$D:$D,$C86))))</f>
        <v/>
      </c>
      <c r="G86" s="19" t="str">
        <f aca="false">IF(C86=0,"",IF($A86="Bank",INDEX(Bank!$E:$E,$C86),INDEX(GL!$E:$E,$C86)))</f>
        <v/>
      </c>
      <c r="H86" s="5" t="str">
        <f aca="false">IF(C86=0,"",IF(A86="GL",IF(G86&gt;0,"Deposit in transit","Outstanding check / payment"),IF(G86&gt;0,"Bank credit not in GL","Bank debit not in GL")))</f>
        <v/>
      </c>
      <c r="I86" s="42" t="str">
        <f aca="false">IF(OR(C86=0,CFG_PeriodEnd=""),"",CFG_PeriodEnd-D86)</f>
        <v/>
      </c>
      <c r="J86" s="5" t="str">
        <f aca="false">IF(C86=0,"",IF($A86="Bank",IF(INDEX(Bank!$G:$G,$C86)="","",INDEX(Bank!$G:$G,$C86)),IF(INDEX(GL!$G:$G,$C86)="","",INDEX(GL!$G:$G,$C86))))</f>
        <v/>
      </c>
      <c r="K86" s="5" t="str">
        <f aca="false">IF(C86=0,"",IF($A86="Bank",IF(INDEX(Bank!$I:$I,$C86)="","",INDEX(Bank!$I:$I,$C86)),IF(INDEX(GL!$I:$I,$C86)="","",INDEX(GL!$I:$I,$C86))))</f>
        <v/>
      </c>
      <c r="L86" s="5" t="str">
        <f aca="false">IF(B86="","",IF(C86=0,"NOT FOUND",IF(IF($A86="Bank",INDEX(Bank!$F:$F,$C86),INDEX(GL!$F:$F,$C86))="Y","NOW RECONCILED: refresh","OK")))</f>
        <v/>
      </c>
    </row>
    <row r="87" customFormat="false" ht="15" hidden="false" customHeight="false" outlineLevel="0" collapsed="false">
      <c r="A87" s="41"/>
      <c r="B87" s="41"/>
      <c r="C87" s="5" t="n">
        <f aca="false">IF(B87="",0,IF(A87="Bank",IFERROR(MATCH(B87,Bank!$A:$A,0),0),IFERROR(MATCH(B87,GL!$A:$A,0),0)))</f>
        <v>0</v>
      </c>
      <c r="D87" s="32" t="str">
        <f aca="false">IF(C87=0,"",IF($A87="Bank",INDEX(Bank!$B:$B,$C87),INDEX(GL!$B:$B,$C87)))</f>
        <v/>
      </c>
      <c r="E87" s="5" t="str">
        <f aca="false">IF(C87=0,"",IF($A87="Bank",IF(INDEX(Bank!$C:$C,$C87)="","",INDEX(Bank!$C:$C,$C87)),IF(INDEX(GL!$C:$C,$C87)="","",INDEX(GL!$C:$C,$C87))))</f>
        <v/>
      </c>
      <c r="F87" s="5" t="str">
        <f aca="false">IF(C87=0,"",IF($A87="Bank",IF(INDEX(Bank!$D:$D,$C87)="","",INDEX(Bank!$D:$D,$C87)),IF(INDEX(GL!$D:$D,$C87)="","",INDEX(GL!$D:$D,$C87))))</f>
        <v/>
      </c>
      <c r="G87" s="19" t="str">
        <f aca="false">IF(C87=0,"",IF($A87="Bank",INDEX(Bank!$E:$E,$C87),INDEX(GL!$E:$E,$C87)))</f>
        <v/>
      </c>
      <c r="H87" s="5" t="str">
        <f aca="false">IF(C87=0,"",IF(A87="GL",IF(G87&gt;0,"Deposit in transit","Outstanding check / payment"),IF(G87&gt;0,"Bank credit not in GL","Bank debit not in GL")))</f>
        <v/>
      </c>
      <c r="I87" s="42" t="str">
        <f aca="false">IF(OR(C87=0,CFG_PeriodEnd=""),"",CFG_PeriodEnd-D87)</f>
        <v/>
      </c>
      <c r="J87" s="5" t="str">
        <f aca="false">IF(C87=0,"",IF($A87="Bank",IF(INDEX(Bank!$G:$G,$C87)="","",INDEX(Bank!$G:$G,$C87)),IF(INDEX(GL!$G:$G,$C87)="","",INDEX(GL!$G:$G,$C87))))</f>
        <v/>
      </c>
      <c r="K87" s="5" t="str">
        <f aca="false">IF(C87=0,"",IF($A87="Bank",IF(INDEX(Bank!$I:$I,$C87)="","",INDEX(Bank!$I:$I,$C87)),IF(INDEX(GL!$I:$I,$C87)="","",INDEX(GL!$I:$I,$C87))))</f>
        <v/>
      </c>
      <c r="L87" s="5" t="str">
        <f aca="false">IF(B87="","",IF(C87=0,"NOT FOUND",IF(IF($A87="Bank",INDEX(Bank!$F:$F,$C87),INDEX(GL!$F:$F,$C87))="Y","NOW RECONCILED: refresh","OK")))</f>
        <v/>
      </c>
    </row>
    <row r="88" customFormat="false" ht="15" hidden="false" customHeight="false" outlineLevel="0" collapsed="false">
      <c r="A88" s="41"/>
      <c r="B88" s="41"/>
      <c r="C88" s="5" t="n">
        <f aca="false">IF(B88="",0,IF(A88="Bank",IFERROR(MATCH(B88,Bank!$A:$A,0),0),IFERROR(MATCH(B88,GL!$A:$A,0),0)))</f>
        <v>0</v>
      </c>
      <c r="D88" s="32" t="str">
        <f aca="false">IF(C88=0,"",IF($A88="Bank",INDEX(Bank!$B:$B,$C88),INDEX(GL!$B:$B,$C88)))</f>
        <v/>
      </c>
      <c r="E88" s="5" t="str">
        <f aca="false">IF(C88=0,"",IF($A88="Bank",IF(INDEX(Bank!$C:$C,$C88)="","",INDEX(Bank!$C:$C,$C88)),IF(INDEX(GL!$C:$C,$C88)="","",INDEX(GL!$C:$C,$C88))))</f>
        <v/>
      </c>
      <c r="F88" s="5" t="str">
        <f aca="false">IF(C88=0,"",IF($A88="Bank",IF(INDEX(Bank!$D:$D,$C88)="","",INDEX(Bank!$D:$D,$C88)),IF(INDEX(GL!$D:$D,$C88)="","",INDEX(GL!$D:$D,$C88))))</f>
        <v/>
      </c>
      <c r="G88" s="19" t="str">
        <f aca="false">IF(C88=0,"",IF($A88="Bank",INDEX(Bank!$E:$E,$C88),INDEX(GL!$E:$E,$C88)))</f>
        <v/>
      </c>
      <c r="H88" s="5" t="str">
        <f aca="false">IF(C88=0,"",IF(A88="GL",IF(G88&gt;0,"Deposit in transit","Outstanding check / payment"),IF(G88&gt;0,"Bank credit not in GL","Bank debit not in GL")))</f>
        <v/>
      </c>
      <c r="I88" s="42" t="str">
        <f aca="false">IF(OR(C88=0,CFG_PeriodEnd=""),"",CFG_PeriodEnd-D88)</f>
        <v/>
      </c>
      <c r="J88" s="5" t="str">
        <f aca="false">IF(C88=0,"",IF($A88="Bank",IF(INDEX(Bank!$G:$G,$C88)="","",INDEX(Bank!$G:$G,$C88)),IF(INDEX(GL!$G:$G,$C88)="","",INDEX(GL!$G:$G,$C88))))</f>
        <v/>
      </c>
      <c r="K88" s="5" t="str">
        <f aca="false">IF(C88=0,"",IF($A88="Bank",IF(INDEX(Bank!$I:$I,$C88)="","",INDEX(Bank!$I:$I,$C88)),IF(INDEX(GL!$I:$I,$C88)="","",INDEX(GL!$I:$I,$C88))))</f>
        <v/>
      </c>
      <c r="L88" s="5" t="str">
        <f aca="false">IF(B88="","",IF(C88=0,"NOT FOUND",IF(IF($A88="Bank",INDEX(Bank!$F:$F,$C88),INDEX(GL!$F:$F,$C88))="Y","NOW RECONCILED: refresh","OK")))</f>
        <v/>
      </c>
    </row>
    <row r="89" customFormat="false" ht="15" hidden="false" customHeight="false" outlineLevel="0" collapsed="false">
      <c r="A89" s="41"/>
      <c r="B89" s="41"/>
      <c r="C89" s="5" t="n">
        <f aca="false">IF(B89="",0,IF(A89="Bank",IFERROR(MATCH(B89,Bank!$A:$A,0),0),IFERROR(MATCH(B89,GL!$A:$A,0),0)))</f>
        <v>0</v>
      </c>
      <c r="D89" s="32" t="str">
        <f aca="false">IF(C89=0,"",IF($A89="Bank",INDEX(Bank!$B:$B,$C89),INDEX(GL!$B:$B,$C89)))</f>
        <v/>
      </c>
      <c r="E89" s="5" t="str">
        <f aca="false">IF(C89=0,"",IF($A89="Bank",IF(INDEX(Bank!$C:$C,$C89)="","",INDEX(Bank!$C:$C,$C89)),IF(INDEX(GL!$C:$C,$C89)="","",INDEX(GL!$C:$C,$C89))))</f>
        <v/>
      </c>
      <c r="F89" s="5" t="str">
        <f aca="false">IF(C89=0,"",IF($A89="Bank",IF(INDEX(Bank!$D:$D,$C89)="","",INDEX(Bank!$D:$D,$C89)),IF(INDEX(GL!$D:$D,$C89)="","",INDEX(GL!$D:$D,$C89))))</f>
        <v/>
      </c>
      <c r="G89" s="19" t="str">
        <f aca="false">IF(C89=0,"",IF($A89="Bank",INDEX(Bank!$E:$E,$C89),INDEX(GL!$E:$E,$C89)))</f>
        <v/>
      </c>
      <c r="H89" s="5" t="str">
        <f aca="false">IF(C89=0,"",IF(A89="GL",IF(G89&gt;0,"Deposit in transit","Outstanding check / payment"),IF(G89&gt;0,"Bank credit not in GL","Bank debit not in GL")))</f>
        <v/>
      </c>
      <c r="I89" s="42" t="str">
        <f aca="false">IF(OR(C89=0,CFG_PeriodEnd=""),"",CFG_PeriodEnd-D89)</f>
        <v/>
      </c>
      <c r="J89" s="5" t="str">
        <f aca="false">IF(C89=0,"",IF($A89="Bank",IF(INDEX(Bank!$G:$G,$C89)="","",INDEX(Bank!$G:$G,$C89)),IF(INDEX(GL!$G:$G,$C89)="","",INDEX(GL!$G:$G,$C89))))</f>
        <v/>
      </c>
      <c r="K89" s="5" t="str">
        <f aca="false">IF(C89=0,"",IF($A89="Bank",IF(INDEX(Bank!$I:$I,$C89)="","",INDEX(Bank!$I:$I,$C89)),IF(INDEX(GL!$I:$I,$C89)="","",INDEX(GL!$I:$I,$C89))))</f>
        <v/>
      </c>
      <c r="L89" s="5" t="str">
        <f aca="false">IF(B89="","",IF(C89=0,"NOT FOUND",IF(IF($A89="Bank",INDEX(Bank!$F:$F,$C89),INDEX(GL!$F:$F,$C89))="Y","NOW RECONCILED: refresh","OK")))</f>
        <v/>
      </c>
    </row>
    <row r="90" customFormat="false" ht="15" hidden="false" customHeight="false" outlineLevel="0" collapsed="false">
      <c r="A90" s="41"/>
      <c r="B90" s="41"/>
      <c r="C90" s="5" t="n">
        <f aca="false">IF(B90="",0,IF(A90="Bank",IFERROR(MATCH(B90,Bank!$A:$A,0),0),IFERROR(MATCH(B90,GL!$A:$A,0),0)))</f>
        <v>0</v>
      </c>
      <c r="D90" s="32" t="str">
        <f aca="false">IF(C90=0,"",IF($A90="Bank",INDEX(Bank!$B:$B,$C90),INDEX(GL!$B:$B,$C90)))</f>
        <v/>
      </c>
      <c r="E90" s="5" t="str">
        <f aca="false">IF(C90=0,"",IF($A90="Bank",IF(INDEX(Bank!$C:$C,$C90)="","",INDEX(Bank!$C:$C,$C90)),IF(INDEX(GL!$C:$C,$C90)="","",INDEX(GL!$C:$C,$C90))))</f>
        <v/>
      </c>
      <c r="F90" s="5" t="str">
        <f aca="false">IF(C90=0,"",IF($A90="Bank",IF(INDEX(Bank!$D:$D,$C90)="","",INDEX(Bank!$D:$D,$C90)),IF(INDEX(GL!$D:$D,$C90)="","",INDEX(GL!$D:$D,$C90))))</f>
        <v/>
      </c>
      <c r="G90" s="19" t="str">
        <f aca="false">IF(C90=0,"",IF($A90="Bank",INDEX(Bank!$E:$E,$C90),INDEX(GL!$E:$E,$C90)))</f>
        <v/>
      </c>
      <c r="H90" s="5" t="str">
        <f aca="false">IF(C90=0,"",IF(A90="GL",IF(G90&gt;0,"Deposit in transit","Outstanding check / payment"),IF(G90&gt;0,"Bank credit not in GL","Bank debit not in GL")))</f>
        <v/>
      </c>
      <c r="I90" s="42" t="str">
        <f aca="false">IF(OR(C90=0,CFG_PeriodEnd=""),"",CFG_PeriodEnd-D90)</f>
        <v/>
      </c>
      <c r="J90" s="5" t="str">
        <f aca="false">IF(C90=0,"",IF($A90="Bank",IF(INDEX(Bank!$G:$G,$C90)="","",INDEX(Bank!$G:$G,$C90)),IF(INDEX(GL!$G:$G,$C90)="","",INDEX(GL!$G:$G,$C90))))</f>
        <v/>
      </c>
      <c r="K90" s="5" t="str">
        <f aca="false">IF(C90=0,"",IF($A90="Bank",IF(INDEX(Bank!$I:$I,$C90)="","",INDEX(Bank!$I:$I,$C90)),IF(INDEX(GL!$I:$I,$C90)="","",INDEX(GL!$I:$I,$C90))))</f>
        <v/>
      </c>
      <c r="L90" s="5" t="str">
        <f aca="false">IF(B90="","",IF(C90=0,"NOT FOUND",IF(IF($A90="Bank",INDEX(Bank!$F:$F,$C90),INDEX(GL!$F:$F,$C90))="Y","NOW RECONCILED: refresh","OK")))</f>
        <v/>
      </c>
    </row>
    <row r="91" customFormat="false" ht="15" hidden="false" customHeight="false" outlineLevel="0" collapsed="false">
      <c r="A91" s="41"/>
      <c r="B91" s="41"/>
      <c r="C91" s="5" t="n">
        <f aca="false">IF(B91="",0,IF(A91="Bank",IFERROR(MATCH(B91,Bank!$A:$A,0),0),IFERROR(MATCH(B91,GL!$A:$A,0),0)))</f>
        <v>0</v>
      </c>
      <c r="D91" s="32" t="str">
        <f aca="false">IF(C91=0,"",IF($A91="Bank",INDEX(Bank!$B:$B,$C91),INDEX(GL!$B:$B,$C91)))</f>
        <v/>
      </c>
      <c r="E91" s="5" t="str">
        <f aca="false">IF(C91=0,"",IF($A91="Bank",IF(INDEX(Bank!$C:$C,$C91)="","",INDEX(Bank!$C:$C,$C91)),IF(INDEX(GL!$C:$C,$C91)="","",INDEX(GL!$C:$C,$C91))))</f>
        <v/>
      </c>
      <c r="F91" s="5" t="str">
        <f aca="false">IF(C91=0,"",IF($A91="Bank",IF(INDEX(Bank!$D:$D,$C91)="","",INDEX(Bank!$D:$D,$C91)),IF(INDEX(GL!$D:$D,$C91)="","",INDEX(GL!$D:$D,$C91))))</f>
        <v/>
      </c>
      <c r="G91" s="19" t="str">
        <f aca="false">IF(C91=0,"",IF($A91="Bank",INDEX(Bank!$E:$E,$C91),INDEX(GL!$E:$E,$C91)))</f>
        <v/>
      </c>
      <c r="H91" s="5" t="str">
        <f aca="false">IF(C91=0,"",IF(A91="GL",IF(G91&gt;0,"Deposit in transit","Outstanding check / payment"),IF(G91&gt;0,"Bank credit not in GL","Bank debit not in GL")))</f>
        <v/>
      </c>
      <c r="I91" s="42" t="str">
        <f aca="false">IF(OR(C91=0,CFG_PeriodEnd=""),"",CFG_PeriodEnd-D91)</f>
        <v/>
      </c>
      <c r="J91" s="5" t="str">
        <f aca="false">IF(C91=0,"",IF($A91="Bank",IF(INDEX(Bank!$G:$G,$C91)="","",INDEX(Bank!$G:$G,$C91)),IF(INDEX(GL!$G:$G,$C91)="","",INDEX(GL!$G:$G,$C91))))</f>
        <v/>
      </c>
      <c r="K91" s="5" t="str">
        <f aca="false">IF(C91=0,"",IF($A91="Bank",IF(INDEX(Bank!$I:$I,$C91)="","",INDEX(Bank!$I:$I,$C91)),IF(INDEX(GL!$I:$I,$C91)="","",INDEX(GL!$I:$I,$C91))))</f>
        <v/>
      </c>
      <c r="L91" s="5" t="str">
        <f aca="false">IF(B91="","",IF(C91=0,"NOT FOUND",IF(IF($A91="Bank",INDEX(Bank!$F:$F,$C91),INDEX(GL!$F:$F,$C91))="Y","NOW RECONCILED: refresh","OK")))</f>
        <v/>
      </c>
    </row>
    <row r="92" customFormat="false" ht="15" hidden="false" customHeight="false" outlineLevel="0" collapsed="false">
      <c r="A92" s="41"/>
      <c r="B92" s="41"/>
      <c r="C92" s="5" t="n">
        <f aca="false">IF(B92="",0,IF(A92="Bank",IFERROR(MATCH(B92,Bank!$A:$A,0),0),IFERROR(MATCH(B92,GL!$A:$A,0),0)))</f>
        <v>0</v>
      </c>
      <c r="D92" s="32" t="str">
        <f aca="false">IF(C92=0,"",IF($A92="Bank",INDEX(Bank!$B:$B,$C92),INDEX(GL!$B:$B,$C92)))</f>
        <v/>
      </c>
      <c r="E92" s="5" t="str">
        <f aca="false">IF(C92=0,"",IF($A92="Bank",IF(INDEX(Bank!$C:$C,$C92)="","",INDEX(Bank!$C:$C,$C92)),IF(INDEX(GL!$C:$C,$C92)="","",INDEX(GL!$C:$C,$C92))))</f>
        <v/>
      </c>
      <c r="F92" s="5" t="str">
        <f aca="false">IF(C92=0,"",IF($A92="Bank",IF(INDEX(Bank!$D:$D,$C92)="","",INDEX(Bank!$D:$D,$C92)),IF(INDEX(GL!$D:$D,$C92)="","",INDEX(GL!$D:$D,$C92))))</f>
        <v/>
      </c>
      <c r="G92" s="19" t="str">
        <f aca="false">IF(C92=0,"",IF($A92="Bank",INDEX(Bank!$E:$E,$C92),INDEX(GL!$E:$E,$C92)))</f>
        <v/>
      </c>
      <c r="H92" s="5" t="str">
        <f aca="false">IF(C92=0,"",IF(A92="GL",IF(G92&gt;0,"Deposit in transit","Outstanding check / payment"),IF(G92&gt;0,"Bank credit not in GL","Bank debit not in GL")))</f>
        <v/>
      </c>
      <c r="I92" s="42" t="str">
        <f aca="false">IF(OR(C92=0,CFG_PeriodEnd=""),"",CFG_PeriodEnd-D92)</f>
        <v/>
      </c>
      <c r="J92" s="5" t="str">
        <f aca="false">IF(C92=0,"",IF($A92="Bank",IF(INDEX(Bank!$G:$G,$C92)="","",INDEX(Bank!$G:$G,$C92)),IF(INDEX(GL!$G:$G,$C92)="","",INDEX(GL!$G:$G,$C92))))</f>
        <v/>
      </c>
      <c r="K92" s="5" t="str">
        <f aca="false">IF(C92=0,"",IF($A92="Bank",IF(INDEX(Bank!$I:$I,$C92)="","",INDEX(Bank!$I:$I,$C92)),IF(INDEX(GL!$I:$I,$C92)="","",INDEX(GL!$I:$I,$C92))))</f>
        <v/>
      </c>
      <c r="L92" s="5" t="str">
        <f aca="false">IF(B92="","",IF(C92=0,"NOT FOUND",IF(IF($A92="Bank",INDEX(Bank!$F:$F,$C92),INDEX(GL!$F:$F,$C92))="Y","NOW RECONCILED: refresh","OK")))</f>
        <v/>
      </c>
    </row>
    <row r="93" customFormat="false" ht="15" hidden="false" customHeight="false" outlineLevel="0" collapsed="false">
      <c r="A93" s="41"/>
      <c r="B93" s="41"/>
      <c r="C93" s="5" t="n">
        <f aca="false">IF(B93="",0,IF(A93="Bank",IFERROR(MATCH(B93,Bank!$A:$A,0),0),IFERROR(MATCH(B93,GL!$A:$A,0),0)))</f>
        <v>0</v>
      </c>
      <c r="D93" s="32" t="str">
        <f aca="false">IF(C93=0,"",IF($A93="Bank",INDEX(Bank!$B:$B,$C93),INDEX(GL!$B:$B,$C93)))</f>
        <v/>
      </c>
      <c r="E93" s="5" t="str">
        <f aca="false">IF(C93=0,"",IF($A93="Bank",IF(INDEX(Bank!$C:$C,$C93)="","",INDEX(Bank!$C:$C,$C93)),IF(INDEX(GL!$C:$C,$C93)="","",INDEX(GL!$C:$C,$C93))))</f>
        <v/>
      </c>
      <c r="F93" s="5" t="str">
        <f aca="false">IF(C93=0,"",IF($A93="Bank",IF(INDEX(Bank!$D:$D,$C93)="","",INDEX(Bank!$D:$D,$C93)),IF(INDEX(GL!$D:$D,$C93)="","",INDEX(GL!$D:$D,$C93))))</f>
        <v/>
      </c>
      <c r="G93" s="19" t="str">
        <f aca="false">IF(C93=0,"",IF($A93="Bank",INDEX(Bank!$E:$E,$C93),INDEX(GL!$E:$E,$C93)))</f>
        <v/>
      </c>
      <c r="H93" s="5" t="str">
        <f aca="false">IF(C93=0,"",IF(A93="GL",IF(G93&gt;0,"Deposit in transit","Outstanding check / payment"),IF(G93&gt;0,"Bank credit not in GL","Bank debit not in GL")))</f>
        <v/>
      </c>
      <c r="I93" s="42" t="str">
        <f aca="false">IF(OR(C93=0,CFG_PeriodEnd=""),"",CFG_PeriodEnd-D93)</f>
        <v/>
      </c>
      <c r="J93" s="5" t="str">
        <f aca="false">IF(C93=0,"",IF($A93="Bank",IF(INDEX(Bank!$G:$G,$C93)="","",INDEX(Bank!$G:$G,$C93)),IF(INDEX(GL!$G:$G,$C93)="","",INDEX(GL!$G:$G,$C93))))</f>
        <v/>
      </c>
      <c r="K93" s="5" t="str">
        <f aca="false">IF(C93=0,"",IF($A93="Bank",IF(INDEX(Bank!$I:$I,$C93)="","",INDEX(Bank!$I:$I,$C93)),IF(INDEX(GL!$I:$I,$C93)="","",INDEX(GL!$I:$I,$C93))))</f>
        <v/>
      </c>
      <c r="L93" s="5" t="str">
        <f aca="false">IF(B93="","",IF(C93=0,"NOT FOUND",IF(IF($A93="Bank",INDEX(Bank!$F:$F,$C93),INDEX(GL!$F:$F,$C93))="Y","NOW RECONCILED: refresh","OK")))</f>
        <v/>
      </c>
    </row>
    <row r="94" customFormat="false" ht="15" hidden="false" customHeight="false" outlineLevel="0" collapsed="false">
      <c r="A94" s="41"/>
      <c r="B94" s="41"/>
      <c r="C94" s="5" t="n">
        <f aca="false">IF(B94="",0,IF(A94="Bank",IFERROR(MATCH(B94,Bank!$A:$A,0),0),IFERROR(MATCH(B94,GL!$A:$A,0),0)))</f>
        <v>0</v>
      </c>
      <c r="D94" s="32" t="str">
        <f aca="false">IF(C94=0,"",IF($A94="Bank",INDEX(Bank!$B:$B,$C94),INDEX(GL!$B:$B,$C94)))</f>
        <v/>
      </c>
      <c r="E94" s="5" t="str">
        <f aca="false">IF(C94=0,"",IF($A94="Bank",IF(INDEX(Bank!$C:$C,$C94)="","",INDEX(Bank!$C:$C,$C94)),IF(INDEX(GL!$C:$C,$C94)="","",INDEX(GL!$C:$C,$C94))))</f>
        <v/>
      </c>
      <c r="F94" s="5" t="str">
        <f aca="false">IF(C94=0,"",IF($A94="Bank",IF(INDEX(Bank!$D:$D,$C94)="","",INDEX(Bank!$D:$D,$C94)),IF(INDEX(GL!$D:$D,$C94)="","",INDEX(GL!$D:$D,$C94))))</f>
        <v/>
      </c>
      <c r="G94" s="19" t="str">
        <f aca="false">IF(C94=0,"",IF($A94="Bank",INDEX(Bank!$E:$E,$C94),INDEX(GL!$E:$E,$C94)))</f>
        <v/>
      </c>
      <c r="H94" s="5" t="str">
        <f aca="false">IF(C94=0,"",IF(A94="GL",IF(G94&gt;0,"Deposit in transit","Outstanding check / payment"),IF(G94&gt;0,"Bank credit not in GL","Bank debit not in GL")))</f>
        <v/>
      </c>
      <c r="I94" s="42" t="str">
        <f aca="false">IF(OR(C94=0,CFG_PeriodEnd=""),"",CFG_PeriodEnd-D94)</f>
        <v/>
      </c>
      <c r="J94" s="5" t="str">
        <f aca="false">IF(C94=0,"",IF($A94="Bank",IF(INDEX(Bank!$G:$G,$C94)="","",INDEX(Bank!$G:$G,$C94)),IF(INDEX(GL!$G:$G,$C94)="","",INDEX(GL!$G:$G,$C94))))</f>
        <v/>
      </c>
      <c r="K94" s="5" t="str">
        <f aca="false">IF(C94=0,"",IF($A94="Bank",IF(INDEX(Bank!$I:$I,$C94)="","",INDEX(Bank!$I:$I,$C94)),IF(INDEX(GL!$I:$I,$C94)="","",INDEX(GL!$I:$I,$C94))))</f>
        <v/>
      </c>
      <c r="L94" s="5" t="str">
        <f aca="false">IF(B94="","",IF(C94=0,"NOT FOUND",IF(IF($A94="Bank",INDEX(Bank!$F:$F,$C94),INDEX(GL!$F:$F,$C94))="Y","NOW RECONCILED: refresh","OK")))</f>
        <v/>
      </c>
    </row>
    <row r="95" customFormat="false" ht="15" hidden="false" customHeight="false" outlineLevel="0" collapsed="false">
      <c r="A95" s="41"/>
      <c r="B95" s="41"/>
      <c r="C95" s="5" t="n">
        <f aca="false">IF(B95="",0,IF(A95="Bank",IFERROR(MATCH(B95,Bank!$A:$A,0),0),IFERROR(MATCH(B95,GL!$A:$A,0),0)))</f>
        <v>0</v>
      </c>
      <c r="D95" s="32" t="str">
        <f aca="false">IF(C95=0,"",IF($A95="Bank",INDEX(Bank!$B:$B,$C95),INDEX(GL!$B:$B,$C95)))</f>
        <v/>
      </c>
      <c r="E95" s="5" t="str">
        <f aca="false">IF(C95=0,"",IF($A95="Bank",IF(INDEX(Bank!$C:$C,$C95)="","",INDEX(Bank!$C:$C,$C95)),IF(INDEX(GL!$C:$C,$C95)="","",INDEX(GL!$C:$C,$C95))))</f>
        <v/>
      </c>
      <c r="F95" s="5" t="str">
        <f aca="false">IF(C95=0,"",IF($A95="Bank",IF(INDEX(Bank!$D:$D,$C95)="","",INDEX(Bank!$D:$D,$C95)),IF(INDEX(GL!$D:$D,$C95)="","",INDEX(GL!$D:$D,$C95))))</f>
        <v/>
      </c>
      <c r="G95" s="19" t="str">
        <f aca="false">IF(C95=0,"",IF($A95="Bank",INDEX(Bank!$E:$E,$C95),INDEX(GL!$E:$E,$C95)))</f>
        <v/>
      </c>
      <c r="H95" s="5" t="str">
        <f aca="false">IF(C95=0,"",IF(A95="GL",IF(G95&gt;0,"Deposit in transit","Outstanding check / payment"),IF(G95&gt;0,"Bank credit not in GL","Bank debit not in GL")))</f>
        <v/>
      </c>
      <c r="I95" s="42" t="str">
        <f aca="false">IF(OR(C95=0,CFG_PeriodEnd=""),"",CFG_PeriodEnd-D95)</f>
        <v/>
      </c>
      <c r="J95" s="5" t="str">
        <f aca="false">IF(C95=0,"",IF($A95="Bank",IF(INDEX(Bank!$G:$G,$C95)="","",INDEX(Bank!$G:$G,$C95)),IF(INDEX(GL!$G:$G,$C95)="","",INDEX(GL!$G:$G,$C95))))</f>
        <v/>
      </c>
      <c r="K95" s="5" t="str">
        <f aca="false">IF(C95=0,"",IF($A95="Bank",IF(INDEX(Bank!$I:$I,$C95)="","",INDEX(Bank!$I:$I,$C95)),IF(INDEX(GL!$I:$I,$C95)="","",INDEX(GL!$I:$I,$C95))))</f>
        <v/>
      </c>
      <c r="L95" s="5" t="str">
        <f aca="false">IF(B95="","",IF(C95=0,"NOT FOUND",IF(IF($A95="Bank",INDEX(Bank!$F:$F,$C95),INDEX(GL!$F:$F,$C95))="Y","NOW RECONCILED: refresh","OK")))</f>
        <v/>
      </c>
    </row>
    <row r="96" customFormat="false" ht="15" hidden="false" customHeight="false" outlineLevel="0" collapsed="false">
      <c r="A96" s="41"/>
      <c r="B96" s="41"/>
      <c r="C96" s="5" t="n">
        <f aca="false">IF(B96="",0,IF(A96="Bank",IFERROR(MATCH(B96,Bank!$A:$A,0),0),IFERROR(MATCH(B96,GL!$A:$A,0),0)))</f>
        <v>0</v>
      </c>
      <c r="D96" s="32" t="str">
        <f aca="false">IF(C96=0,"",IF($A96="Bank",INDEX(Bank!$B:$B,$C96),INDEX(GL!$B:$B,$C96)))</f>
        <v/>
      </c>
      <c r="E96" s="5" t="str">
        <f aca="false">IF(C96=0,"",IF($A96="Bank",IF(INDEX(Bank!$C:$C,$C96)="","",INDEX(Bank!$C:$C,$C96)),IF(INDEX(GL!$C:$C,$C96)="","",INDEX(GL!$C:$C,$C96))))</f>
        <v/>
      </c>
      <c r="F96" s="5" t="str">
        <f aca="false">IF(C96=0,"",IF($A96="Bank",IF(INDEX(Bank!$D:$D,$C96)="","",INDEX(Bank!$D:$D,$C96)),IF(INDEX(GL!$D:$D,$C96)="","",INDEX(GL!$D:$D,$C96))))</f>
        <v/>
      </c>
      <c r="G96" s="19" t="str">
        <f aca="false">IF(C96=0,"",IF($A96="Bank",INDEX(Bank!$E:$E,$C96),INDEX(GL!$E:$E,$C96)))</f>
        <v/>
      </c>
      <c r="H96" s="5" t="str">
        <f aca="false">IF(C96=0,"",IF(A96="GL",IF(G96&gt;0,"Deposit in transit","Outstanding check / payment"),IF(G96&gt;0,"Bank credit not in GL","Bank debit not in GL")))</f>
        <v/>
      </c>
      <c r="I96" s="42" t="str">
        <f aca="false">IF(OR(C96=0,CFG_PeriodEnd=""),"",CFG_PeriodEnd-D96)</f>
        <v/>
      </c>
      <c r="J96" s="5" t="str">
        <f aca="false">IF(C96=0,"",IF($A96="Bank",IF(INDEX(Bank!$G:$G,$C96)="","",INDEX(Bank!$G:$G,$C96)),IF(INDEX(GL!$G:$G,$C96)="","",INDEX(GL!$G:$G,$C96))))</f>
        <v/>
      </c>
      <c r="K96" s="5" t="str">
        <f aca="false">IF(C96=0,"",IF($A96="Bank",IF(INDEX(Bank!$I:$I,$C96)="","",INDEX(Bank!$I:$I,$C96)),IF(INDEX(GL!$I:$I,$C96)="","",INDEX(GL!$I:$I,$C96))))</f>
        <v/>
      </c>
      <c r="L96" s="5" t="str">
        <f aca="false">IF(B96="","",IF(C96=0,"NOT FOUND",IF(IF($A96="Bank",INDEX(Bank!$F:$F,$C96),INDEX(GL!$F:$F,$C96))="Y","NOW RECONCILED: refresh","OK")))</f>
        <v/>
      </c>
    </row>
    <row r="97" customFormat="false" ht="15" hidden="false" customHeight="false" outlineLevel="0" collapsed="false">
      <c r="A97" s="41"/>
      <c r="B97" s="41"/>
      <c r="C97" s="5" t="n">
        <f aca="false">IF(B97="",0,IF(A97="Bank",IFERROR(MATCH(B97,Bank!$A:$A,0),0),IFERROR(MATCH(B97,GL!$A:$A,0),0)))</f>
        <v>0</v>
      </c>
      <c r="D97" s="32" t="str">
        <f aca="false">IF(C97=0,"",IF($A97="Bank",INDEX(Bank!$B:$B,$C97),INDEX(GL!$B:$B,$C97)))</f>
        <v/>
      </c>
      <c r="E97" s="5" t="str">
        <f aca="false">IF(C97=0,"",IF($A97="Bank",IF(INDEX(Bank!$C:$C,$C97)="","",INDEX(Bank!$C:$C,$C97)),IF(INDEX(GL!$C:$C,$C97)="","",INDEX(GL!$C:$C,$C97))))</f>
        <v/>
      </c>
      <c r="F97" s="5" t="str">
        <f aca="false">IF(C97=0,"",IF($A97="Bank",IF(INDEX(Bank!$D:$D,$C97)="","",INDEX(Bank!$D:$D,$C97)),IF(INDEX(GL!$D:$D,$C97)="","",INDEX(GL!$D:$D,$C97))))</f>
        <v/>
      </c>
      <c r="G97" s="19" t="str">
        <f aca="false">IF(C97=0,"",IF($A97="Bank",INDEX(Bank!$E:$E,$C97),INDEX(GL!$E:$E,$C97)))</f>
        <v/>
      </c>
      <c r="H97" s="5" t="str">
        <f aca="false">IF(C97=0,"",IF(A97="GL",IF(G97&gt;0,"Deposit in transit","Outstanding check / payment"),IF(G97&gt;0,"Bank credit not in GL","Bank debit not in GL")))</f>
        <v/>
      </c>
      <c r="I97" s="42" t="str">
        <f aca="false">IF(OR(C97=0,CFG_PeriodEnd=""),"",CFG_PeriodEnd-D97)</f>
        <v/>
      </c>
      <c r="J97" s="5" t="str">
        <f aca="false">IF(C97=0,"",IF($A97="Bank",IF(INDEX(Bank!$G:$G,$C97)="","",INDEX(Bank!$G:$G,$C97)),IF(INDEX(GL!$G:$G,$C97)="","",INDEX(GL!$G:$G,$C97))))</f>
        <v/>
      </c>
      <c r="K97" s="5" t="str">
        <f aca="false">IF(C97=0,"",IF($A97="Bank",IF(INDEX(Bank!$I:$I,$C97)="","",INDEX(Bank!$I:$I,$C97)),IF(INDEX(GL!$I:$I,$C97)="","",INDEX(GL!$I:$I,$C97))))</f>
        <v/>
      </c>
      <c r="L97" s="5" t="str">
        <f aca="false">IF(B97="","",IF(C97=0,"NOT FOUND",IF(IF($A97="Bank",INDEX(Bank!$F:$F,$C97),INDEX(GL!$F:$F,$C97))="Y","NOW RECONCILED: refresh","OK")))</f>
        <v/>
      </c>
    </row>
    <row r="98" customFormat="false" ht="15" hidden="false" customHeight="false" outlineLevel="0" collapsed="false">
      <c r="A98" s="41"/>
      <c r="B98" s="41"/>
      <c r="C98" s="5" t="n">
        <f aca="false">IF(B98="",0,IF(A98="Bank",IFERROR(MATCH(B98,Bank!$A:$A,0),0),IFERROR(MATCH(B98,GL!$A:$A,0),0)))</f>
        <v>0</v>
      </c>
      <c r="D98" s="32" t="str">
        <f aca="false">IF(C98=0,"",IF($A98="Bank",INDEX(Bank!$B:$B,$C98),INDEX(GL!$B:$B,$C98)))</f>
        <v/>
      </c>
      <c r="E98" s="5" t="str">
        <f aca="false">IF(C98=0,"",IF($A98="Bank",IF(INDEX(Bank!$C:$C,$C98)="","",INDEX(Bank!$C:$C,$C98)),IF(INDEX(GL!$C:$C,$C98)="","",INDEX(GL!$C:$C,$C98))))</f>
        <v/>
      </c>
      <c r="F98" s="5" t="str">
        <f aca="false">IF(C98=0,"",IF($A98="Bank",IF(INDEX(Bank!$D:$D,$C98)="","",INDEX(Bank!$D:$D,$C98)),IF(INDEX(GL!$D:$D,$C98)="","",INDEX(GL!$D:$D,$C98))))</f>
        <v/>
      </c>
      <c r="G98" s="19" t="str">
        <f aca="false">IF(C98=0,"",IF($A98="Bank",INDEX(Bank!$E:$E,$C98),INDEX(GL!$E:$E,$C98)))</f>
        <v/>
      </c>
      <c r="H98" s="5" t="str">
        <f aca="false">IF(C98=0,"",IF(A98="GL",IF(G98&gt;0,"Deposit in transit","Outstanding check / payment"),IF(G98&gt;0,"Bank credit not in GL","Bank debit not in GL")))</f>
        <v/>
      </c>
      <c r="I98" s="42" t="str">
        <f aca="false">IF(OR(C98=0,CFG_PeriodEnd=""),"",CFG_PeriodEnd-D98)</f>
        <v/>
      </c>
      <c r="J98" s="5" t="str">
        <f aca="false">IF(C98=0,"",IF($A98="Bank",IF(INDEX(Bank!$G:$G,$C98)="","",INDEX(Bank!$G:$G,$C98)),IF(INDEX(GL!$G:$G,$C98)="","",INDEX(GL!$G:$G,$C98))))</f>
        <v/>
      </c>
      <c r="K98" s="5" t="str">
        <f aca="false">IF(C98=0,"",IF($A98="Bank",IF(INDEX(Bank!$I:$I,$C98)="","",INDEX(Bank!$I:$I,$C98)),IF(INDEX(GL!$I:$I,$C98)="","",INDEX(GL!$I:$I,$C98))))</f>
        <v/>
      </c>
      <c r="L98" s="5" t="str">
        <f aca="false">IF(B98="","",IF(C98=0,"NOT FOUND",IF(IF($A98="Bank",INDEX(Bank!$F:$F,$C98),INDEX(GL!$F:$F,$C98))="Y","NOW RECONCILED: refresh","OK")))</f>
        <v/>
      </c>
    </row>
    <row r="99" customFormat="false" ht="15" hidden="false" customHeight="false" outlineLevel="0" collapsed="false">
      <c r="A99" s="41"/>
      <c r="B99" s="41"/>
      <c r="C99" s="5" t="n">
        <f aca="false">IF(B99="",0,IF(A99="Bank",IFERROR(MATCH(B99,Bank!$A:$A,0),0),IFERROR(MATCH(B99,GL!$A:$A,0),0)))</f>
        <v>0</v>
      </c>
      <c r="D99" s="32" t="str">
        <f aca="false">IF(C99=0,"",IF($A99="Bank",INDEX(Bank!$B:$B,$C99),INDEX(GL!$B:$B,$C99)))</f>
        <v/>
      </c>
      <c r="E99" s="5" t="str">
        <f aca="false">IF(C99=0,"",IF($A99="Bank",IF(INDEX(Bank!$C:$C,$C99)="","",INDEX(Bank!$C:$C,$C99)),IF(INDEX(GL!$C:$C,$C99)="","",INDEX(GL!$C:$C,$C99))))</f>
        <v/>
      </c>
      <c r="F99" s="5" t="str">
        <f aca="false">IF(C99=0,"",IF($A99="Bank",IF(INDEX(Bank!$D:$D,$C99)="","",INDEX(Bank!$D:$D,$C99)),IF(INDEX(GL!$D:$D,$C99)="","",INDEX(GL!$D:$D,$C99))))</f>
        <v/>
      </c>
      <c r="G99" s="19" t="str">
        <f aca="false">IF(C99=0,"",IF($A99="Bank",INDEX(Bank!$E:$E,$C99),INDEX(GL!$E:$E,$C99)))</f>
        <v/>
      </c>
      <c r="H99" s="5" t="str">
        <f aca="false">IF(C99=0,"",IF(A99="GL",IF(G99&gt;0,"Deposit in transit","Outstanding check / payment"),IF(G99&gt;0,"Bank credit not in GL","Bank debit not in GL")))</f>
        <v/>
      </c>
      <c r="I99" s="42" t="str">
        <f aca="false">IF(OR(C99=0,CFG_PeriodEnd=""),"",CFG_PeriodEnd-D99)</f>
        <v/>
      </c>
      <c r="J99" s="5" t="str">
        <f aca="false">IF(C99=0,"",IF($A99="Bank",IF(INDEX(Bank!$G:$G,$C99)="","",INDEX(Bank!$G:$G,$C99)),IF(INDEX(GL!$G:$G,$C99)="","",INDEX(GL!$G:$G,$C99))))</f>
        <v/>
      </c>
      <c r="K99" s="5" t="str">
        <f aca="false">IF(C99=0,"",IF($A99="Bank",IF(INDEX(Bank!$I:$I,$C99)="","",INDEX(Bank!$I:$I,$C99)),IF(INDEX(GL!$I:$I,$C99)="","",INDEX(GL!$I:$I,$C99))))</f>
        <v/>
      </c>
      <c r="L99" s="5" t="str">
        <f aca="false">IF(B99="","",IF(C99=0,"NOT FOUND",IF(IF($A99="Bank",INDEX(Bank!$F:$F,$C99),INDEX(GL!$F:$F,$C99))="Y","NOW RECONCILED: refresh","OK")))</f>
        <v/>
      </c>
    </row>
    <row r="100" customFormat="false" ht="15" hidden="false" customHeight="false" outlineLevel="0" collapsed="false">
      <c r="A100" s="41"/>
      <c r="B100" s="41"/>
      <c r="C100" s="5" t="n">
        <f aca="false">IF(B100="",0,IF(A100="Bank",IFERROR(MATCH(B100,Bank!$A:$A,0),0),IFERROR(MATCH(B100,GL!$A:$A,0),0)))</f>
        <v>0</v>
      </c>
      <c r="D100" s="32" t="str">
        <f aca="false">IF(C100=0,"",IF($A100="Bank",INDEX(Bank!$B:$B,$C100),INDEX(GL!$B:$B,$C100)))</f>
        <v/>
      </c>
      <c r="E100" s="5" t="str">
        <f aca="false">IF(C100=0,"",IF($A100="Bank",IF(INDEX(Bank!$C:$C,$C100)="","",INDEX(Bank!$C:$C,$C100)),IF(INDEX(GL!$C:$C,$C100)="","",INDEX(GL!$C:$C,$C100))))</f>
        <v/>
      </c>
      <c r="F100" s="5" t="str">
        <f aca="false">IF(C100=0,"",IF($A100="Bank",IF(INDEX(Bank!$D:$D,$C100)="","",INDEX(Bank!$D:$D,$C100)),IF(INDEX(GL!$D:$D,$C100)="","",INDEX(GL!$D:$D,$C100))))</f>
        <v/>
      </c>
      <c r="G100" s="19" t="str">
        <f aca="false">IF(C100=0,"",IF($A100="Bank",INDEX(Bank!$E:$E,$C100),INDEX(GL!$E:$E,$C100)))</f>
        <v/>
      </c>
      <c r="H100" s="5" t="str">
        <f aca="false">IF(C100=0,"",IF(A100="GL",IF(G100&gt;0,"Deposit in transit","Outstanding check / payment"),IF(G100&gt;0,"Bank credit not in GL","Bank debit not in GL")))</f>
        <v/>
      </c>
      <c r="I100" s="42" t="str">
        <f aca="false">IF(OR(C100=0,CFG_PeriodEnd=""),"",CFG_PeriodEnd-D100)</f>
        <v/>
      </c>
      <c r="J100" s="5" t="str">
        <f aca="false">IF(C100=0,"",IF($A100="Bank",IF(INDEX(Bank!$G:$G,$C100)="","",INDEX(Bank!$G:$G,$C100)),IF(INDEX(GL!$G:$G,$C100)="","",INDEX(GL!$G:$G,$C100))))</f>
        <v/>
      </c>
      <c r="K100" s="5" t="str">
        <f aca="false">IF(C100=0,"",IF($A100="Bank",IF(INDEX(Bank!$I:$I,$C100)="","",INDEX(Bank!$I:$I,$C100)),IF(INDEX(GL!$I:$I,$C100)="","",INDEX(GL!$I:$I,$C100))))</f>
        <v/>
      </c>
      <c r="L100" s="5" t="str">
        <f aca="false">IF(B100="","",IF(C100=0,"NOT FOUND",IF(IF($A100="Bank",INDEX(Bank!$F:$F,$C100),INDEX(GL!$F:$F,$C100))="Y","NOW RECONCILED: refresh","OK")))</f>
        <v/>
      </c>
    </row>
    <row r="101" customFormat="false" ht="15" hidden="false" customHeight="false" outlineLevel="0" collapsed="false">
      <c r="A101" s="41"/>
      <c r="B101" s="41"/>
      <c r="C101" s="5" t="n">
        <f aca="false">IF(B101="",0,IF(A101="Bank",IFERROR(MATCH(B101,Bank!$A:$A,0),0),IFERROR(MATCH(B101,GL!$A:$A,0),0)))</f>
        <v>0</v>
      </c>
      <c r="D101" s="32" t="str">
        <f aca="false">IF(C101=0,"",IF($A101="Bank",INDEX(Bank!$B:$B,$C101),INDEX(GL!$B:$B,$C101)))</f>
        <v/>
      </c>
      <c r="E101" s="5" t="str">
        <f aca="false">IF(C101=0,"",IF($A101="Bank",IF(INDEX(Bank!$C:$C,$C101)="","",INDEX(Bank!$C:$C,$C101)),IF(INDEX(GL!$C:$C,$C101)="","",INDEX(GL!$C:$C,$C101))))</f>
        <v/>
      </c>
      <c r="F101" s="5" t="str">
        <f aca="false">IF(C101=0,"",IF($A101="Bank",IF(INDEX(Bank!$D:$D,$C101)="","",INDEX(Bank!$D:$D,$C101)),IF(INDEX(GL!$D:$D,$C101)="","",INDEX(GL!$D:$D,$C101))))</f>
        <v/>
      </c>
      <c r="G101" s="19" t="str">
        <f aca="false">IF(C101=0,"",IF($A101="Bank",INDEX(Bank!$E:$E,$C101),INDEX(GL!$E:$E,$C101)))</f>
        <v/>
      </c>
      <c r="H101" s="5" t="str">
        <f aca="false">IF(C101=0,"",IF(A101="GL",IF(G101&gt;0,"Deposit in transit","Outstanding check / payment"),IF(G101&gt;0,"Bank credit not in GL","Bank debit not in GL")))</f>
        <v/>
      </c>
      <c r="I101" s="42" t="str">
        <f aca="false">IF(OR(C101=0,CFG_PeriodEnd=""),"",CFG_PeriodEnd-D101)</f>
        <v/>
      </c>
      <c r="J101" s="5" t="str">
        <f aca="false">IF(C101=0,"",IF($A101="Bank",IF(INDEX(Bank!$G:$G,$C101)="","",INDEX(Bank!$G:$G,$C101)),IF(INDEX(GL!$G:$G,$C101)="","",INDEX(GL!$G:$G,$C101))))</f>
        <v/>
      </c>
      <c r="K101" s="5" t="str">
        <f aca="false">IF(C101=0,"",IF($A101="Bank",IF(INDEX(Bank!$I:$I,$C101)="","",INDEX(Bank!$I:$I,$C101)),IF(INDEX(GL!$I:$I,$C101)="","",INDEX(GL!$I:$I,$C101))))</f>
        <v/>
      </c>
      <c r="L101" s="5" t="str">
        <f aca="false">IF(B101="","",IF(C101=0,"NOT FOUND",IF(IF($A101="Bank",INDEX(Bank!$F:$F,$C101),INDEX(GL!$F:$F,$C101))="Y","NOW RECONCILED: refresh","OK")))</f>
        <v/>
      </c>
    </row>
    <row r="102" customFormat="false" ht="15" hidden="false" customHeight="false" outlineLevel="0" collapsed="false">
      <c r="A102" s="41"/>
      <c r="B102" s="41"/>
      <c r="C102" s="5" t="n">
        <f aca="false">IF(B102="",0,IF(A102="Bank",IFERROR(MATCH(B102,Bank!$A:$A,0),0),IFERROR(MATCH(B102,GL!$A:$A,0),0)))</f>
        <v>0</v>
      </c>
      <c r="D102" s="32" t="str">
        <f aca="false">IF(C102=0,"",IF($A102="Bank",INDEX(Bank!$B:$B,$C102),INDEX(GL!$B:$B,$C102)))</f>
        <v/>
      </c>
      <c r="E102" s="5" t="str">
        <f aca="false">IF(C102=0,"",IF($A102="Bank",IF(INDEX(Bank!$C:$C,$C102)="","",INDEX(Bank!$C:$C,$C102)),IF(INDEX(GL!$C:$C,$C102)="","",INDEX(GL!$C:$C,$C102))))</f>
        <v/>
      </c>
      <c r="F102" s="5" t="str">
        <f aca="false">IF(C102=0,"",IF($A102="Bank",IF(INDEX(Bank!$D:$D,$C102)="","",INDEX(Bank!$D:$D,$C102)),IF(INDEX(GL!$D:$D,$C102)="","",INDEX(GL!$D:$D,$C102))))</f>
        <v/>
      </c>
      <c r="G102" s="19" t="str">
        <f aca="false">IF(C102=0,"",IF($A102="Bank",INDEX(Bank!$E:$E,$C102),INDEX(GL!$E:$E,$C102)))</f>
        <v/>
      </c>
      <c r="H102" s="5" t="str">
        <f aca="false">IF(C102=0,"",IF(A102="GL",IF(G102&gt;0,"Deposit in transit","Outstanding check / payment"),IF(G102&gt;0,"Bank credit not in GL","Bank debit not in GL")))</f>
        <v/>
      </c>
      <c r="I102" s="42" t="str">
        <f aca="false">IF(OR(C102=0,CFG_PeriodEnd=""),"",CFG_PeriodEnd-D102)</f>
        <v/>
      </c>
      <c r="J102" s="5" t="str">
        <f aca="false">IF(C102=0,"",IF($A102="Bank",IF(INDEX(Bank!$G:$G,$C102)="","",INDEX(Bank!$G:$G,$C102)),IF(INDEX(GL!$G:$G,$C102)="","",INDEX(GL!$G:$G,$C102))))</f>
        <v/>
      </c>
      <c r="K102" s="5" t="str">
        <f aca="false">IF(C102=0,"",IF($A102="Bank",IF(INDEX(Bank!$I:$I,$C102)="","",INDEX(Bank!$I:$I,$C102)),IF(INDEX(GL!$I:$I,$C102)="","",INDEX(GL!$I:$I,$C102))))</f>
        <v/>
      </c>
      <c r="L102" s="5" t="str">
        <f aca="false">IF(B102="","",IF(C102=0,"NOT FOUND",IF(IF($A102="Bank",INDEX(Bank!$F:$F,$C102),INDEX(GL!$F:$F,$C102))="Y","NOW RECONCILED: refresh","OK")))</f>
        <v/>
      </c>
    </row>
    <row r="103" customFormat="false" ht="15" hidden="false" customHeight="false" outlineLevel="0" collapsed="false">
      <c r="A103" s="41"/>
      <c r="B103" s="41"/>
      <c r="C103" s="5" t="n">
        <f aca="false">IF(B103="",0,IF(A103="Bank",IFERROR(MATCH(B103,Bank!$A:$A,0),0),IFERROR(MATCH(B103,GL!$A:$A,0),0)))</f>
        <v>0</v>
      </c>
      <c r="D103" s="32" t="str">
        <f aca="false">IF(C103=0,"",IF($A103="Bank",INDEX(Bank!$B:$B,$C103),INDEX(GL!$B:$B,$C103)))</f>
        <v/>
      </c>
      <c r="E103" s="5" t="str">
        <f aca="false">IF(C103=0,"",IF($A103="Bank",IF(INDEX(Bank!$C:$C,$C103)="","",INDEX(Bank!$C:$C,$C103)),IF(INDEX(GL!$C:$C,$C103)="","",INDEX(GL!$C:$C,$C103))))</f>
        <v/>
      </c>
      <c r="F103" s="5" t="str">
        <f aca="false">IF(C103=0,"",IF($A103="Bank",IF(INDEX(Bank!$D:$D,$C103)="","",INDEX(Bank!$D:$D,$C103)),IF(INDEX(GL!$D:$D,$C103)="","",INDEX(GL!$D:$D,$C103))))</f>
        <v/>
      </c>
      <c r="G103" s="19" t="str">
        <f aca="false">IF(C103=0,"",IF($A103="Bank",INDEX(Bank!$E:$E,$C103),INDEX(GL!$E:$E,$C103)))</f>
        <v/>
      </c>
      <c r="H103" s="5" t="str">
        <f aca="false">IF(C103=0,"",IF(A103="GL",IF(G103&gt;0,"Deposit in transit","Outstanding check / payment"),IF(G103&gt;0,"Bank credit not in GL","Bank debit not in GL")))</f>
        <v/>
      </c>
      <c r="I103" s="42" t="str">
        <f aca="false">IF(OR(C103=0,CFG_PeriodEnd=""),"",CFG_PeriodEnd-D103)</f>
        <v/>
      </c>
      <c r="J103" s="5" t="str">
        <f aca="false">IF(C103=0,"",IF($A103="Bank",IF(INDEX(Bank!$G:$G,$C103)="","",INDEX(Bank!$G:$G,$C103)),IF(INDEX(GL!$G:$G,$C103)="","",INDEX(GL!$G:$G,$C103))))</f>
        <v/>
      </c>
      <c r="K103" s="5" t="str">
        <f aca="false">IF(C103=0,"",IF($A103="Bank",IF(INDEX(Bank!$I:$I,$C103)="","",INDEX(Bank!$I:$I,$C103)),IF(INDEX(GL!$I:$I,$C103)="","",INDEX(GL!$I:$I,$C103))))</f>
        <v/>
      </c>
      <c r="L103" s="5" t="str">
        <f aca="false">IF(B103="","",IF(C103=0,"NOT FOUND",IF(IF($A103="Bank",INDEX(Bank!$F:$F,$C103),INDEX(GL!$F:$F,$C103))="Y","NOW RECONCILED: refresh","OK")))</f>
        <v/>
      </c>
    </row>
    <row r="104" customFormat="false" ht="15" hidden="false" customHeight="false" outlineLevel="0" collapsed="false">
      <c r="A104" s="41"/>
      <c r="B104" s="41"/>
      <c r="C104" s="5" t="n">
        <f aca="false">IF(B104="",0,IF(A104="Bank",IFERROR(MATCH(B104,Bank!$A:$A,0),0),IFERROR(MATCH(B104,GL!$A:$A,0),0)))</f>
        <v>0</v>
      </c>
      <c r="D104" s="32" t="str">
        <f aca="false">IF(C104=0,"",IF($A104="Bank",INDEX(Bank!$B:$B,$C104),INDEX(GL!$B:$B,$C104)))</f>
        <v/>
      </c>
      <c r="E104" s="5" t="str">
        <f aca="false">IF(C104=0,"",IF($A104="Bank",IF(INDEX(Bank!$C:$C,$C104)="","",INDEX(Bank!$C:$C,$C104)),IF(INDEX(GL!$C:$C,$C104)="","",INDEX(GL!$C:$C,$C104))))</f>
        <v/>
      </c>
      <c r="F104" s="5" t="str">
        <f aca="false">IF(C104=0,"",IF($A104="Bank",IF(INDEX(Bank!$D:$D,$C104)="","",INDEX(Bank!$D:$D,$C104)),IF(INDEX(GL!$D:$D,$C104)="","",INDEX(GL!$D:$D,$C104))))</f>
        <v/>
      </c>
      <c r="G104" s="19" t="str">
        <f aca="false">IF(C104=0,"",IF($A104="Bank",INDEX(Bank!$E:$E,$C104),INDEX(GL!$E:$E,$C104)))</f>
        <v/>
      </c>
      <c r="H104" s="5" t="str">
        <f aca="false">IF(C104=0,"",IF(A104="GL",IF(G104&gt;0,"Deposit in transit","Outstanding check / payment"),IF(G104&gt;0,"Bank credit not in GL","Bank debit not in GL")))</f>
        <v/>
      </c>
      <c r="I104" s="42" t="str">
        <f aca="false">IF(OR(C104=0,CFG_PeriodEnd=""),"",CFG_PeriodEnd-D104)</f>
        <v/>
      </c>
      <c r="J104" s="5" t="str">
        <f aca="false">IF(C104=0,"",IF($A104="Bank",IF(INDEX(Bank!$G:$G,$C104)="","",INDEX(Bank!$G:$G,$C104)),IF(INDEX(GL!$G:$G,$C104)="","",INDEX(GL!$G:$G,$C104))))</f>
        <v/>
      </c>
      <c r="K104" s="5" t="str">
        <f aca="false">IF(C104=0,"",IF($A104="Bank",IF(INDEX(Bank!$I:$I,$C104)="","",INDEX(Bank!$I:$I,$C104)),IF(INDEX(GL!$I:$I,$C104)="","",INDEX(GL!$I:$I,$C104))))</f>
        <v/>
      </c>
      <c r="L104" s="5" t="str">
        <f aca="false">IF(B104="","",IF(C104=0,"NOT FOUND",IF(IF($A104="Bank",INDEX(Bank!$F:$F,$C104),INDEX(GL!$F:$F,$C104))="Y","NOW RECONCILED: refresh","OK")))</f>
        <v/>
      </c>
    </row>
    <row r="105" customFormat="false" ht="15" hidden="false" customHeight="false" outlineLevel="0" collapsed="false">
      <c r="A105" s="41"/>
      <c r="B105" s="41"/>
      <c r="C105" s="5" t="n">
        <f aca="false">IF(B105="",0,IF(A105="Bank",IFERROR(MATCH(B105,Bank!$A:$A,0),0),IFERROR(MATCH(B105,GL!$A:$A,0),0)))</f>
        <v>0</v>
      </c>
      <c r="D105" s="32" t="str">
        <f aca="false">IF(C105=0,"",IF($A105="Bank",INDEX(Bank!$B:$B,$C105),INDEX(GL!$B:$B,$C105)))</f>
        <v/>
      </c>
      <c r="E105" s="5" t="str">
        <f aca="false">IF(C105=0,"",IF($A105="Bank",IF(INDEX(Bank!$C:$C,$C105)="","",INDEX(Bank!$C:$C,$C105)),IF(INDEX(GL!$C:$C,$C105)="","",INDEX(GL!$C:$C,$C105))))</f>
        <v/>
      </c>
      <c r="F105" s="5" t="str">
        <f aca="false">IF(C105=0,"",IF($A105="Bank",IF(INDEX(Bank!$D:$D,$C105)="","",INDEX(Bank!$D:$D,$C105)),IF(INDEX(GL!$D:$D,$C105)="","",INDEX(GL!$D:$D,$C105))))</f>
        <v/>
      </c>
      <c r="G105" s="19" t="str">
        <f aca="false">IF(C105=0,"",IF($A105="Bank",INDEX(Bank!$E:$E,$C105),INDEX(GL!$E:$E,$C105)))</f>
        <v/>
      </c>
      <c r="H105" s="5" t="str">
        <f aca="false">IF(C105=0,"",IF(A105="GL",IF(G105&gt;0,"Deposit in transit","Outstanding check / payment"),IF(G105&gt;0,"Bank credit not in GL","Bank debit not in GL")))</f>
        <v/>
      </c>
      <c r="I105" s="42" t="str">
        <f aca="false">IF(OR(C105=0,CFG_PeriodEnd=""),"",CFG_PeriodEnd-D105)</f>
        <v/>
      </c>
      <c r="J105" s="5" t="str">
        <f aca="false">IF(C105=0,"",IF($A105="Bank",IF(INDEX(Bank!$G:$G,$C105)="","",INDEX(Bank!$G:$G,$C105)),IF(INDEX(GL!$G:$G,$C105)="","",INDEX(GL!$G:$G,$C105))))</f>
        <v/>
      </c>
      <c r="K105" s="5" t="str">
        <f aca="false">IF(C105=0,"",IF($A105="Bank",IF(INDEX(Bank!$I:$I,$C105)="","",INDEX(Bank!$I:$I,$C105)),IF(INDEX(GL!$I:$I,$C105)="","",INDEX(GL!$I:$I,$C105))))</f>
        <v/>
      </c>
      <c r="L105" s="5" t="str">
        <f aca="false">IF(B105="","",IF(C105=0,"NOT FOUND",IF(IF($A105="Bank",INDEX(Bank!$F:$F,$C105),INDEX(GL!$F:$F,$C105))="Y","NOW RECONCILED: refresh","OK")))</f>
        <v/>
      </c>
    </row>
    <row r="106" customFormat="false" ht="15" hidden="false" customHeight="false" outlineLevel="0" collapsed="false">
      <c r="A106" s="41"/>
      <c r="B106" s="41"/>
      <c r="C106" s="5" t="n">
        <f aca="false">IF(B106="",0,IF(A106="Bank",IFERROR(MATCH(B106,Bank!$A:$A,0),0),IFERROR(MATCH(B106,GL!$A:$A,0),0)))</f>
        <v>0</v>
      </c>
      <c r="D106" s="32" t="str">
        <f aca="false">IF(C106=0,"",IF($A106="Bank",INDEX(Bank!$B:$B,$C106),INDEX(GL!$B:$B,$C106)))</f>
        <v/>
      </c>
      <c r="E106" s="5" t="str">
        <f aca="false">IF(C106=0,"",IF($A106="Bank",IF(INDEX(Bank!$C:$C,$C106)="","",INDEX(Bank!$C:$C,$C106)),IF(INDEX(GL!$C:$C,$C106)="","",INDEX(GL!$C:$C,$C106))))</f>
        <v/>
      </c>
      <c r="F106" s="5" t="str">
        <f aca="false">IF(C106=0,"",IF($A106="Bank",IF(INDEX(Bank!$D:$D,$C106)="","",INDEX(Bank!$D:$D,$C106)),IF(INDEX(GL!$D:$D,$C106)="","",INDEX(GL!$D:$D,$C106))))</f>
        <v/>
      </c>
      <c r="G106" s="19" t="str">
        <f aca="false">IF(C106=0,"",IF($A106="Bank",INDEX(Bank!$E:$E,$C106),INDEX(GL!$E:$E,$C106)))</f>
        <v/>
      </c>
      <c r="H106" s="5" t="str">
        <f aca="false">IF(C106=0,"",IF(A106="GL",IF(G106&gt;0,"Deposit in transit","Outstanding check / payment"),IF(G106&gt;0,"Bank credit not in GL","Bank debit not in GL")))</f>
        <v/>
      </c>
      <c r="I106" s="42" t="str">
        <f aca="false">IF(OR(C106=0,CFG_PeriodEnd=""),"",CFG_PeriodEnd-D106)</f>
        <v/>
      </c>
      <c r="J106" s="5" t="str">
        <f aca="false">IF(C106=0,"",IF($A106="Bank",IF(INDEX(Bank!$G:$G,$C106)="","",INDEX(Bank!$G:$G,$C106)),IF(INDEX(GL!$G:$G,$C106)="","",INDEX(GL!$G:$G,$C106))))</f>
        <v/>
      </c>
      <c r="K106" s="5" t="str">
        <f aca="false">IF(C106=0,"",IF($A106="Bank",IF(INDEX(Bank!$I:$I,$C106)="","",INDEX(Bank!$I:$I,$C106)),IF(INDEX(GL!$I:$I,$C106)="","",INDEX(GL!$I:$I,$C106))))</f>
        <v/>
      </c>
      <c r="L106" s="5" t="str">
        <f aca="false">IF(B106="","",IF(C106=0,"NOT FOUND",IF(IF($A106="Bank",INDEX(Bank!$F:$F,$C106),INDEX(GL!$F:$F,$C106))="Y","NOW RECONCILED: refresh","OK")))</f>
        <v/>
      </c>
    </row>
    <row r="107" customFormat="false" ht="15" hidden="false" customHeight="false" outlineLevel="0" collapsed="false">
      <c r="A107" s="41"/>
      <c r="B107" s="41"/>
      <c r="C107" s="5" t="n">
        <f aca="false">IF(B107="",0,IF(A107="Bank",IFERROR(MATCH(B107,Bank!$A:$A,0),0),IFERROR(MATCH(B107,GL!$A:$A,0),0)))</f>
        <v>0</v>
      </c>
      <c r="D107" s="32" t="str">
        <f aca="false">IF(C107=0,"",IF($A107="Bank",INDEX(Bank!$B:$B,$C107),INDEX(GL!$B:$B,$C107)))</f>
        <v/>
      </c>
      <c r="E107" s="5" t="str">
        <f aca="false">IF(C107=0,"",IF($A107="Bank",IF(INDEX(Bank!$C:$C,$C107)="","",INDEX(Bank!$C:$C,$C107)),IF(INDEX(GL!$C:$C,$C107)="","",INDEX(GL!$C:$C,$C107))))</f>
        <v/>
      </c>
      <c r="F107" s="5" t="str">
        <f aca="false">IF(C107=0,"",IF($A107="Bank",IF(INDEX(Bank!$D:$D,$C107)="","",INDEX(Bank!$D:$D,$C107)),IF(INDEX(GL!$D:$D,$C107)="","",INDEX(GL!$D:$D,$C107))))</f>
        <v/>
      </c>
      <c r="G107" s="19" t="str">
        <f aca="false">IF(C107=0,"",IF($A107="Bank",INDEX(Bank!$E:$E,$C107),INDEX(GL!$E:$E,$C107)))</f>
        <v/>
      </c>
      <c r="H107" s="5" t="str">
        <f aca="false">IF(C107=0,"",IF(A107="GL",IF(G107&gt;0,"Deposit in transit","Outstanding check / payment"),IF(G107&gt;0,"Bank credit not in GL","Bank debit not in GL")))</f>
        <v/>
      </c>
      <c r="I107" s="42" t="str">
        <f aca="false">IF(OR(C107=0,CFG_PeriodEnd=""),"",CFG_PeriodEnd-D107)</f>
        <v/>
      </c>
      <c r="J107" s="5" t="str">
        <f aca="false">IF(C107=0,"",IF($A107="Bank",IF(INDEX(Bank!$G:$G,$C107)="","",INDEX(Bank!$G:$G,$C107)),IF(INDEX(GL!$G:$G,$C107)="","",INDEX(GL!$G:$G,$C107))))</f>
        <v/>
      </c>
      <c r="K107" s="5" t="str">
        <f aca="false">IF(C107=0,"",IF($A107="Bank",IF(INDEX(Bank!$I:$I,$C107)="","",INDEX(Bank!$I:$I,$C107)),IF(INDEX(GL!$I:$I,$C107)="","",INDEX(GL!$I:$I,$C107))))</f>
        <v/>
      </c>
      <c r="L107" s="5" t="str">
        <f aca="false">IF(B107="","",IF(C107=0,"NOT FOUND",IF(IF($A107="Bank",INDEX(Bank!$F:$F,$C107),INDEX(GL!$F:$F,$C107))="Y","NOW RECONCILED: refresh","OK")))</f>
        <v/>
      </c>
    </row>
    <row r="108" customFormat="false" ht="15" hidden="false" customHeight="false" outlineLevel="0" collapsed="false">
      <c r="A108" s="41"/>
      <c r="B108" s="41"/>
      <c r="C108" s="5" t="n">
        <f aca="false">IF(B108="",0,IF(A108="Bank",IFERROR(MATCH(B108,Bank!$A:$A,0),0),IFERROR(MATCH(B108,GL!$A:$A,0),0)))</f>
        <v>0</v>
      </c>
      <c r="D108" s="32" t="str">
        <f aca="false">IF(C108=0,"",IF($A108="Bank",INDEX(Bank!$B:$B,$C108),INDEX(GL!$B:$B,$C108)))</f>
        <v/>
      </c>
      <c r="E108" s="5" t="str">
        <f aca="false">IF(C108=0,"",IF($A108="Bank",IF(INDEX(Bank!$C:$C,$C108)="","",INDEX(Bank!$C:$C,$C108)),IF(INDEX(GL!$C:$C,$C108)="","",INDEX(GL!$C:$C,$C108))))</f>
        <v/>
      </c>
      <c r="F108" s="5" t="str">
        <f aca="false">IF(C108=0,"",IF($A108="Bank",IF(INDEX(Bank!$D:$D,$C108)="","",INDEX(Bank!$D:$D,$C108)),IF(INDEX(GL!$D:$D,$C108)="","",INDEX(GL!$D:$D,$C108))))</f>
        <v/>
      </c>
      <c r="G108" s="19" t="str">
        <f aca="false">IF(C108=0,"",IF($A108="Bank",INDEX(Bank!$E:$E,$C108),INDEX(GL!$E:$E,$C108)))</f>
        <v/>
      </c>
      <c r="H108" s="5" t="str">
        <f aca="false">IF(C108=0,"",IF(A108="GL",IF(G108&gt;0,"Deposit in transit","Outstanding check / payment"),IF(G108&gt;0,"Bank credit not in GL","Bank debit not in GL")))</f>
        <v/>
      </c>
      <c r="I108" s="42" t="str">
        <f aca="false">IF(OR(C108=0,CFG_PeriodEnd=""),"",CFG_PeriodEnd-D108)</f>
        <v/>
      </c>
      <c r="J108" s="5" t="str">
        <f aca="false">IF(C108=0,"",IF($A108="Bank",IF(INDEX(Bank!$G:$G,$C108)="","",INDEX(Bank!$G:$G,$C108)),IF(INDEX(GL!$G:$G,$C108)="","",INDEX(GL!$G:$G,$C108))))</f>
        <v/>
      </c>
      <c r="K108" s="5" t="str">
        <f aca="false">IF(C108=0,"",IF($A108="Bank",IF(INDEX(Bank!$I:$I,$C108)="","",INDEX(Bank!$I:$I,$C108)),IF(INDEX(GL!$I:$I,$C108)="","",INDEX(GL!$I:$I,$C108))))</f>
        <v/>
      </c>
      <c r="L108" s="5" t="str">
        <f aca="false">IF(B108="","",IF(C108=0,"NOT FOUND",IF(IF($A108="Bank",INDEX(Bank!$F:$F,$C108),INDEX(GL!$F:$F,$C108))="Y","NOW RECONCILED: refresh","OK")))</f>
        <v/>
      </c>
    </row>
    <row r="109" customFormat="false" ht="15" hidden="false" customHeight="false" outlineLevel="0" collapsed="false">
      <c r="A109" s="41"/>
      <c r="B109" s="41"/>
      <c r="C109" s="5" t="n">
        <f aca="false">IF(B109="",0,IF(A109="Bank",IFERROR(MATCH(B109,Bank!$A:$A,0),0),IFERROR(MATCH(B109,GL!$A:$A,0),0)))</f>
        <v>0</v>
      </c>
      <c r="D109" s="32" t="str">
        <f aca="false">IF(C109=0,"",IF($A109="Bank",INDEX(Bank!$B:$B,$C109),INDEX(GL!$B:$B,$C109)))</f>
        <v/>
      </c>
      <c r="E109" s="5" t="str">
        <f aca="false">IF(C109=0,"",IF($A109="Bank",IF(INDEX(Bank!$C:$C,$C109)="","",INDEX(Bank!$C:$C,$C109)),IF(INDEX(GL!$C:$C,$C109)="","",INDEX(GL!$C:$C,$C109))))</f>
        <v/>
      </c>
      <c r="F109" s="5" t="str">
        <f aca="false">IF(C109=0,"",IF($A109="Bank",IF(INDEX(Bank!$D:$D,$C109)="","",INDEX(Bank!$D:$D,$C109)),IF(INDEX(GL!$D:$D,$C109)="","",INDEX(GL!$D:$D,$C109))))</f>
        <v/>
      </c>
      <c r="G109" s="19" t="str">
        <f aca="false">IF(C109=0,"",IF($A109="Bank",INDEX(Bank!$E:$E,$C109),INDEX(GL!$E:$E,$C109)))</f>
        <v/>
      </c>
      <c r="H109" s="5" t="str">
        <f aca="false">IF(C109=0,"",IF(A109="GL",IF(G109&gt;0,"Deposit in transit","Outstanding check / payment"),IF(G109&gt;0,"Bank credit not in GL","Bank debit not in GL")))</f>
        <v/>
      </c>
      <c r="I109" s="42" t="str">
        <f aca="false">IF(OR(C109=0,CFG_PeriodEnd=""),"",CFG_PeriodEnd-D109)</f>
        <v/>
      </c>
      <c r="J109" s="5" t="str">
        <f aca="false">IF(C109=0,"",IF($A109="Bank",IF(INDEX(Bank!$G:$G,$C109)="","",INDEX(Bank!$G:$G,$C109)),IF(INDEX(GL!$G:$G,$C109)="","",INDEX(GL!$G:$G,$C109))))</f>
        <v/>
      </c>
      <c r="K109" s="5" t="str">
        <f aca="false">IF(C109=0,"",IF($A109="Bank",IF(INDEX(Bank!$I:$I,$C109)="","",INDEX(Bank!$I:$I,$C109)),IF(INDEX(GL!$I:$I,$C109)="","",INDEX(GL!$I:$I,$C109))))</f>
        <v/>
      </c>
      <c r="L109" s="5" t="str">
        <f aca="false">IF(B109="","",IF(C109=0,"NOT FOUND",IF(IF($A109="Bank",INDEX(Bank!$F:$F,$C109),INDEX(GL!$F:$F,$C109))="Y","NOW RECONCILED: refresh","OK")))</f>
        <v/>
      </c>
    </row>
    <row r="110" customFormat="false" ht="15" hidden="false" customHeight="false" outlineLevel="0" collapsed="false">
      <c r="A110" s="41"/>
      <c r="B110" s="41"/>
      <c r="C110" s="5" t="n">
        <f aca="false">IF(B110="",0,IF(A110="Bank",IFERROR(MATCH(B110,Bank!$A:$A,0),0),IFERROR(MATCH(B110,GL!$A:$A,0),0)))</f>
        <v>0</v>
      </c>
      <c r="D110" s="32" t="str">
        <f aca="false">IF(C110=0,"",IF($A110="Bank",INDEX(Bank!$B:$B,$C110),INDEX(GL!$B:$B,$C110)))</f>
        <v/>
      </c>
      <c r="E110" s="5" t="str">
        <f aca="false">IF(C110=0,"",IF($A110="Bank",IF(INDEX(Bank!$C:$C,$C110)="","",INDEX(Bank!$C:$C,$C110)),IF(INDEX(GL!$C:$C,$C110)="","",INDEX(GL!$C:$C,$C110))))</f>
        <v/>
      </c>
      <c r="F110" s="5" t="str">
        <f aca="false">IF(C110=0,"",IF($A110="Bank",IF(INDEX(Bank!$D:$D,$C110)="","",INDEX(Bank!$D:$D,$C110)),IF(INDEX(GL!$D:$D,$C110)="","",INDEX(GL!$D:$D,$C110))))</f>
        <v/>
      </c>
      <c r="G110" s="19" t="str">
        <f aca="false">IF(C110=0,"",IF($A110="Bank",INDEX(Bank!$E:$E,$C110),INDEX(GL!$E:$E,$C110)))</f>
        <v/>
      </c>
      <c r="H110" s="5" t="str">
        <f aca="false">IF(C110=0,"",IF(A110="GL",IF(G110&gt;0,"Deposit in transit","Outstanding check / payment"),IF(G110&gt;0,"Bank credit not in GL","Bank debit not in GL")))</f>
        <v/>
      </c>
      <c r="I110" s="42" t="str">
        <f aca="false">IF(OR(C110=0,CFG_PeriodEnd=""),"",CFG_PeriodEnd-D110)</f>
        <v/>
      </c>
      <c r="J110" s="5" t="str">
        <f aca="false">IF(C110=0,"",IF($A110="Bank",IF(INDEX(Bank!$G:$G,$C110)="","",INDEX(Bank!$G:$G,$C110)),IF(INDEX(GL!$G:$G,$C110)="","",INDEX(GL!$G:$G,$C110))))</f>
        <v/>
      </c>
      <c r="K110" s="5" t="str">
        <f aca="false">IF(C110=0,"",IF($A110="Bank",IF(INDEX(Bank!$I:$I,$C110)="","",INDEX(Bank!$I:$I,$C110)),IF(INDEX(GL!$I:$I,$C110)="","",INDEX(GL!$I:$I,$C110))))</f>
        <v/>
      </c>
      <c r="L110" s="5" t="str">
        <f aca="false">IF(B110="","",IF(C110=0,"NOT FOUND",IF(IF($A110="Bank",INDEX(Bank!$F:$F,$C110),INDEX(GL!$F:$F,$C110))="Y","NOW RECONCILED: refresh","OK")))</f>
        <v/>
      </c>
    </row>
    <row r="111" customFormat="false" ht="15" hidden="false" customHeight="false" outlineLevel="0" collapsed="false">
      <c r="A111" s="41"/>
      <c r="B111" s="41"/>
      <c r="C111" s="5" t="n">
        <f aca="false">IF(B111="",0,IF(A111="Bank",IFERROR(MATCH(B111,Bank!$A:$A,0),0),IFERROR(MATCH(B111,GL!$A:$A,0),0)))</f>
        <v>0</v>
      </c>
      <c r="D111" s="32" t="str">
        <f aca="false">IF(C111=0,"",IF($A111="Bank",INDEX(Bank!$B:$B,$C111),INDEX(GL!$B:$B,$C111)))</f>
        <v/>
      </c>
      <c r="E111" s="5" t="str">
        <f aca="false">IF(C111=0,"",IF($A111="Bank",IF(INDEX(Bank!$C:$C,$C111)="","",INDEX(Bank!$C:$C,$C111)),IF(INDEX(GL!$C:$C,$C111)="","",INDEX(GL!$C:$C,$C111))))</f>
        <v/>
      </c>
      <c r="F111" s="5" t="str">
        <f aca="false">IF(C111=0,"",IF($A111="Bank",IF(INDEX(Bank!$D:$D,$C111)="","",INDEX(Bank!$D:$D,$C111)),IF(INDEX(GL!$D:$D,$C111)="","",INDEX(GL!$D:$D,$C111))))</f>
        <v/>
      </c>
      <c r="G111" s="19" t="str">
        <f aca="false">IF(C111=0,"",IF($A111="Bank",INDEX(Bank!$E:$E,$C111),INDEX(GL!$E:$E,$C111)))</f>
        <v/>
      </c>
      <c r="H111" s="5" t="str">
        <f aca="false">IF(C111=0,"",IF(A111="GL",IF(G111&gt;0,"Deposit in transit","Outstanding check / payment"),IF(G111&gt;0,"Bank credit not in GL","Bank debit not in GL")))</f>
        <v/>
      </c>
      <c r="I111" s="42" t="str">
        <f aca="false">IF(OR(C111=0,CFG_PeriodEnd=""),"",CFG_PeriodEnd-D111)</f>
        <v/>
      </c>
      <c r="J111" s="5" t="str">
        <f aca="false">IF(C111=0,"",IF($A111="Bank",IF(INDEX(Bank!$G:$G,$C111)="","",INDEX(Bank!$G:$G,$C111)),IF(INDEX(GL!$G:$G,$C111)="","",INDEX(GL!$G:$G,$C111))))</f>
        <v/>
      </c>
      <c r="K111" s="5" t="str">
        <f aca="false">IF(C111=0,"",IF($A111="Bank",IF(INDEX(Bank!$I:$I,$C111)="","",INDEX(Bank!$I:$I,$C111)),IF(INDEX(GL!$I:$I,$C111)="","",INDEX(GL!$I:$I,$C111))))</f>
        <v/>
      </c>
      <c r="L111" s="5" t="str">
        <f aca="false">IF(B111="","",IF(C111=0,"NOT FOUND",IF(IF($A111="Bank",INDEX(Bank!$F:$F,$C111),INDEX(GL!$F:$F,$C111))="Y","NOW RECONCILED: refresh","OK")))</f>
        <v/>
      </c>
    </row>
    <row r="112" customFormat="false" ht="15" hidden="false" customHeight="false" outlineLevel="0" collapsed="false">
      <c r="A112" s="41"/>
      <c r="B112" s="41"/>
      <c r="C112" s="5" t="n">
        <f aca="false">IF(B112="",0,IF(A112="Bank",IFERROR(MATCH(B112,Bank!$A:$A,0),0),IFERROR(MATCH(B112,GL!$A:$A,0),0)))</f>
        <v>0</v>
      </c>
      <c r="D112" s="32" t="str">
        <f aca="false">IF(C112=0,"",IF($A112="Bank",INDEX(Bank!$B:$B,$C112),INDEX(GL!$B:$B,$C112)))</f>
        <v/>
      </c>
      <c r="E112" s="5" t="str">
        <f aca="false">IF(C112=0,"",IF($A112="Bank",IF(INDEX(Bank!$C:$C,$C112)="","",INDEX(Bank!$C:$C,$C112)),IF(INDEX(GL!$C:$C,$C112)="","",INDEX(GL!$C:$C,$C112))))</f>
        <v/>
      </c>
      <c r="F112" s="5" t="str">
        <f aca="false">IF(C112=0,"",IF($A112="Bank",IF(INDEX(Bank!$D:$D,$C112)="","",INDEX(Bank!$D:$D,$C112)),IF(INDEX(GL!$D:$D,$C112)="","",INDEX(GL!$D:$D,$C112))))</f>
        <v/>
      </c>
      <c r="G112" s="19" t="str">
        <f aca="false">IF(C112=0,"",IF($A112="Bank",INDEX(Bank!$E:$E,$C112),INDEX(GL!$E:$E,$C112)))</f>
        <v/>
      </c>
      <c r="H112" s="5" t="str">
        <f aca="false">IF(C112=0,"",IF(A112="GL",IF(G112&gt;0,"Deposit in transit","Outstanding check / payment"),IF(G112&gt;0,"Bank credit not in GL","Bank debit not in GL")))</f>
        <v/>
      </c>
      <c r="I112" s="42" t="str">
        <f aca="false">IF(OR(C112=0,CFG_PeriodEnd=""),"",CFG_PeriodEnd-D112)</f>
        <v/>
      </c>
      <c r="J112" s="5" t="str">
        <f aca="false">IF(C112=0,"",IF($A112="Bank",IF(INDEX(Bank!$G:$G,$C112)="","",INDEX(Bank!$G:$G,$C112)),IF(INDEX(GL!$G:$G,$C112)="","",INDEX(GL!$G:$G,$C112))))</f>
        <v/>
      </c>
      <c r="K112" s="5" t="str">
        <f aca="false">IF(C112=0,"",IF($A112="Bank",IF(INDEX(Bank!$I:$I,$C112)="","",INDEX(Bank!$I:$I,$C112)),IF(INDEX(GL!$I:$I,$C112)="","",INDEX(GL!$I:$I,$C112))))</f>
        <v/>
      </c>
      <c r="L112" s="5" t="str">
        <f aca="false">IF(B112="","",IF(C112=0,"NOT FOUND",IF(IF($A112="Bank",INDEX(Bank!$F:$F,$C112),INDEX(GL!$F:$F,$C112))="Y","NOW RECONCILED: refresh","OK")))</f>
        <v/>
      </c>
    </row>
    <row r="113" customFormat="false" ht="15" hidden="false" customHeight="false" outlineLevel="0" collapsed="false">
      <c r="A113" s="41"/>
      <c r="B113" s="41"/>
      <c r="C113" s="5" t="n">
        <f aca="false">IF(B113="",0,IF(A113="Bank",IFERROR(MATCH(B113,Bank!$A:$A,0),0),IFERROR(MATCH(B113,GL!$A:$A,0),0)))</f>
        <v>0</v>
      </c>
      <c r="D113" s="32" t="str">
        <f aca="false">IF(C113=0,"",IF($A113="Bank",INDEX(Bank!$B:$B,$C113),INDEX(GL!$B:$B,$C113)))</f>
        <v/>
      </c>
      <c r="E113" s="5" t="str">
        <f aca="false">IF(C113=0,"",IF($A113="Bank",IF(INDEX(Bank!$C:$C,$C113)="","",INDEX(Bank!$C:$C,$C113)),IF(INDEX(GL!$C:$C,$C113)="","",INDEX(GL!$C:$C,$C113))))</f>
        <v/>
      </c>
      <c r="F113" s="5" t="str">
        <f aca="false">IF(C113=0,"",IF($A113="Bank",IF(INDEX(Bank!$D:$D,$C113)="","",INDEX(Bank!$D:$D,$C113)),IF(INDEX(GL!$D:$D,$C113)="","",INDEX(GL!$D:$D,$C113))))</f>
        <v/>
      </c>
      <c r="G113" s="19" t="str">
        <f aca="false">IF(C113=0,"",IF($A113="Bank",INDEX(Bank!$E:$E,$C113),INDEX(GL!$E:$E,$C113)))</f>
        <v/>
      </c>
      <c r="H113" s="5" t="str">
        <f aca="false">IF(C113=0,"",IF(A113="GL",IF(G113&gt;0,"Deposit in transit","Outstanding check / payment"),IF(G113&gt;0,"Bank credit not in GL","Bank debit not in GL")))</f>
        <v/>
      </c>
      <c r="I113" s="42" t="str">
        <f aca="false">IF(OR(C113=0,CFG_PeriodEnd=""),"",CFG_PeriodEnd-D113)</f>
        <v/>
      </c>
      <c r="J113" s="5" t="str">
        <f aca="false">IF(C113=0,"",IF($A113="Bank",IF(INDEX(Bank!$G:$G,$C113)="","",INDEX(Bank!$G:$G,$C113)),IF(INDEX(GL!$G:$G,$C113)="","",INDEX(GL!$G:$G,$C113))))</f>
        <v/>
      </c>
      <c r="K113" s="5" t="str">
        <f aca="false">IF(C113=0,"",IF($A113="Bank",IF(INDEX(Bank!$I:$I,$C113)="","",INDEX(Bank!$I:$I,$C113)),IF(INDEX(GL!$I:$I,$C113)="","",INDEX(GL!$I:$I,$C113))))</f>
        <v/>
      </c>
      <c r="L113" s="5" t="str">
        <f aca="false">IF(B113="","",IF(C113=0,"NOT FOUND",IF(IF($A113="Bank",INDEX(Bank!$F:$F,$C113),INDEX(GL!$F:$F,$C113))="Y","NOW RECONCILED: refresh","OK")))</f>
        <v/>
      </c>
    </row>
    <row r="114" customFormat="false" ht="15" hidden="false" customHeight="false" outlineLevel="0" collapsed="false">
      <c r="A114" s="41"/>
      <c r="B114" s="41"/>
      <c r="C114" s="5" t="n">
        <f aca="false">IF(B114="",0,IF(A114="Bank",IFERROR(MATCH(B114,Bank!$A:$A,0),0),IFERROR(MATCH(B114,GL!$A:$A,0),0)))</f>
        <v>0</v>
      </c>
      <c r="D114" s="32" t="str">
        <f aca="false">IF(C114=0,"",IF($A114="Bank",INDEX(Bank!$B:$B,$C114),INDEX(GL!$B:$B,$C114)))</f>
        <v/>
      </c>
      <c r="E114" s="5" t="str">
        <f aca="false">IF(C114=0,"",IF($A114="Bank",IF(INDEX(Bank!$C:$C,$C114)="","",INDEX(Bank!$C:$C,$C114)),IF(INDEX(GL!$C:$C,$C114)="","",INDEX(GL!$C:$C,$C114))))</f>
        <v/>
      </c>
      <c r="F114" s="5" t="str">
        <f aca="false">IF(C114=0,"",IF($A114="Bank",IF(INDEX(Bank!$D:$D,$C114)="","",INDEX(Bank!$D:$D,$C114)),IF(INDEX(GL!$D:$D,$C114)="","",INDEX(GL!$D:$D,$C114))))</f>
        <v/>
      </c>
      <c r="G114" s="19" t="str">
        <f aca="false">IF(C114=0,"",IF($A114="Bank",INDEX(Bank!$E:$E,$C114),INDEX(GL!$E:$E,$C114)))</f>
        <v/>
      </c>
      <c r="H114" s="5" t="str">
        <f aca="false">IF(C114=0,"",IF(A114="GL",IF(G114&gt;0,"Deposit in transit","Outstanding check / payment"),IF(G114&gt;0,"Bank credit not in GL","Bank debit not in GL")))</f>
        <v/>
      </c>
      <c r="I114" s="42" t="str">
        <f aca="false">IF(OR(C114=0,CFG_PeriodEnd=""),"",CFG_PeriodEnd-D114)</f>
        <v/>
      </c>
      <c r="J114" s="5" t="str">
        <f aca="false">IF(C114=0,"",IF($A114="Bank",IF(INDEX(Bank!$G:$G,$C114)="","",INDEX(Bank!$G:$G,$C114)),IF(INDEX(GL!$G:$G,$C114)="","",INDEX(GL!$G:$G,$C114))))</f>
        <v/>
      </c>
      <c r="K114" s="5" t="str">
        <f aca="false">IF(C114=0,"",IF($A114="Bank",IF(INDEX(Bank!$I:$I,$C114)="","",INDEX(Bank!$I:$I,$C114)),IF(INDEX(GL!$I:$I,$C114)="","",INDEX(GL!$I:$I,$C114))))</f>
        <v/>
      </c>
      <c r="L114" s="5" t="str">
        <f aca="false">IF(B114="","",IF(C114=0,"NOT FOUND",IF(IF($A114="Bank",INDEX(Bank!$F:$F,$C114),INDEX(GL!$F:$F,$C114))="Y","NOW RECONCILED: refresh","OK")))</f>
        <v/>
      </c>
    </row>
    <row r="115" customFormat="false" ht="15" hidden="false" customHeight="false" outlineLevel="0" collapsed="false">
      <c r="A115" s="41"/>
      <c r="B115" s="41"/>
      <c r="C115" s="5" t="n">
        <f aca="false">IF(B115="",0,IF(A115="Bank",IFERROR(MATCH(B115,Bank!$A:$A,0),0),IFERROR(MATCH(B115,GL!$A:$A,0),0)))</f>
        <v>0</v>
      </c>
      <c r="D115" s="32" t="str">
        <f aca="false">IF(C115=0,"",IF($A115="Bank",INDEX(Bank!$B:$B,$C115),INDEX(GL!$B:$B,$C115)))</f>
        <v/>
      </c>
      <c r="E115" s="5" t="str">
        <f aca="false">IF(C115=0,"",IF($A115="Bank",IF(INDEX(Bank!$C:$C,$C115)="","",INDEX(Bank!$C:$C,$C115)),IF(INDEX(GL!$C:$C,$C115)="","",INDEX(GL!$C:$C,$C115))))</f>
        <v/>
      </c>
      <c r="F115" s="5" t="str">
        <f aca="false">IF(C115=0,"",IF($A115="Bank",IF(INDEX(Bank!$D:$D,$C115)="","",INDEX(Bank!$D:$D,$C115)),IF(INDEX(GL!$D:$D,$C115)="","",INDEX(GL!$D:$D,$C115))))</f>
        <v/>
      </c>
      <c r="G115" s="19" t="str">
        <f aca="false">IF(C115=0,"",IF($A115="Bank",INDEX(Bank!$E:$E,$C115),INDEX(GL!$E:$E,$C115)))</f>
        <v/>
      </c>
      <c r="H115" s="5" t="str">
        <f aca="false">IF(C115=0,"",IF(A115="GL",IF(G115&gt;0,"Deposit in transit","Outstanding check / payment"),IF(G115&gt;0,"Bank credit not in GL","Bank debit not in GL")))</f>
        <v/>
      </c>
      <c r="I115" s="42" t="str">
        <f aca="false">IF(OR(C115=0,CFG_PeriodEnd=""),"",CFG_PeriodEnd-D115)</f>
        <v/>
      </c>
      <c r="J115" s="5" t="str">
        <f aca="false">IF(C115=0,"",IF($A115="Bank",IF(INDEX(Bank!$G:$G,$C115)="","",INDEX(Bank!$G:$G,$C115)),IF(INDEX(GL!$G:$G,$C115)="","",INDEX(GL!$G:$G,$C115))))</f>
        <v/>
      </c>
      <c r="K115" s="5" t="str">
        <f aca="false">IF(C115=0,"",IF($A115="Bank",IF(INDEX(Bank!$I:$I,$C115)="","",INDEX(Bank!$I:$I,$C115)),IF(INDEX(GL!$I:$I,$C115)="","",INDEX(GL!$I:$I,$C115))))</f>
        <v/>
      </c>
      <c r="L115" s="5" t="str">
        <f aca="false">IF(B115="","",IF(C115=0,"NOT FOUND",IF(IF($A115="Bank",INDEX(Bank!$F:$F,$C115),INDEX(GL!$F:$F,$C115))="Y","NOW RECONCILED: refresh","OK")))</f>
        <v/>
      </c>
    </row>
    <row r="116" customFormat="false" ht="15" hidden="false" customHeight="false" outlineLevel="0" collapsed="false">
      <c r="A116" s="41"/>
      <c r="B116" s="41"/>
      <c r="C116" s="5" t="n">
        <f aca="false">IF(B116="",0,IF(A116="Bank",IFERROR(MATCH(B116,Bank!$A:$A,0),0),IFERROR(MATCH(B116,GL!$A:$A,0),0)))</f>
        <v>0</v>
      </c>
      <c r="D116" s="32" t="str">
        <f aca="false">IF(C116=0,"",IF($A116="Bank",INDEX(Bank!$B:$B,$C116),INDEX(GL!$B:$B,$C116)))</f>
        <v/>
      </c>
      <c r="E116" s="5" t="str">
        <f aca="false">IF(C116=0,"",IF($A116="Bank",IF(INDEX(Bank!$C:$C,$C116)="","",INDEX(Bank!$C:$C,$C116)),IF(INDEX(GL!$C:$C,$C116)="","",INDEX(GL!$C:$C,$C116))))</f>
        <v/>
      </c>
      <c r="F116" s="5" t="str">
        <f aca="false">IF(C116=0,"",IF($A116="Bank",IF(INDEX(Bank!$D:$D,$C116)="","",INDEX(Bank!$D:$D,$C116)),IF(INDEX(GL!$D:$D,$C116)="","",INDEX(GL!$D:$D,$C116))))</f>
        <v/>
      </c>
      <c r="G116" s="19" t="str">
        <f aca="false">IF(C116=0,"",IF($A116="Bank",INDEX(Bank!$E:$E,$C116),INDEX(GL!$E:$E,$C116)))</f>
        <v/>
      </c>
      <c r="H116" s="5" t="str">
        <f aca="false">IF(C116=0,"",IF(A116="GL",IF(G116&gt;0,"Deposit in transit","Outstanding check / payment"),IF(G116&gt;0,"Bank credit not in GL","Bank debit not in GL")))</f>
        <v/>
      </c>
      <c r="I116" s="42" t="str">
        <f aca="false">IF(OR(C116=0,CFG_PeriodEnd=""),"",CFG_PeriodEnd-D116)</f>
        <v/>
      </c>
      <c r="J116" s="5" t="str">
        <f aca="false">IF(C116=0,"",IF($A116="Bank",IF(INDEX(Bank!$G:$G,$C116)="","",INDEX(Bank!$G:$G,$C116)),IF(INDEX(GL!$G:$G,$C116)="","",INDEX(GL!$G:$G,$C116))))</f>
        <v/>
      </c>
      <c r="K116" s="5" t="str">
        <f aca="false">IF(C116=0,"",IF($A116="Bank",IF(INDEX(Bank!$I:$I,$C116)="","",INDEX(Bank!$I:$I,$C116)),IF(INDEX(GL!$I:$I,$C116)="","",INDEX(GL!$I:$I,$C116))))</f>
        <v/>
      </c>
      <c r="L116" s="5" t="str">
        <f aca="false">IF(B116="","",IF(C116=0,"NOT FOUND",IF(IF($A116="Bank",INDEX(Bank!$F:$F,$C116),INDEX(GL!$F:$F,$C116))="Y","NOW RECONCILED: refresh","OK")))</f>
        <v/>
      </c>
    </row>
    <row r="117" customFormat="false" ht="15" hidden="false" customHeight="false" outlineLevel="0" collapsed="false">
      <c r="A117" s="41"/>
      <c r="B117" s="41"/>
      <c r="C117" s="5" t="n">
        <f aca="false">IF(B117="",0,IF(A117="Bank",IFERROR(MATCH(B117,Bank!$A:$A,0),0),IFERROR(MATCH(B117,GL!$A:$A,0),0)))</f>
        <v>0</v>
      </c>
      <c r="D117" s="32" t="str">
        <f aca="false">IF(C117=0,"",IF($A117="Bank",INDEX(Bank!$B:$B,$C117),INDEX(GL!$B:$B,$C117)))</f>
        <v/>
      </c>
      <c r="E117" s="5" t="str">
        <f aca="false">IF(C117=0,"",IF($A117="Bank",IF(INDEX(Bank!$C:$C,$C117)="","",INDEX(Bank!$C:$C,$C117)),IF(INDEX(GL!$C:$C,$C117)="","",INDEX(GL!$C:$C,$C117))))</f>
        <v/>
      </c>
      <c r="F117" s="5" t="str">
        <f aca="false">IF(C117=0,"",IF($A117="Bank",IF(INDEX(Bank!$D:$D,$C117)="","",INDEX(Bank!$D:$D,$C117)),IF(INDEX(GL!$D:$D,$C117)="","",INDEX(GL!$D:$D,$C117))))</f>
        <v/>
      </c>
      <c r="G117" s="19" t="str">
        <f aca="false">IF(C117=0,"",IF($A117="Bank",INDEX(Bank!$E:$E,$C117),INDEX(GL!$E:$E,$C117)))</f>
        <v/>
      </c>
      <c r="H117" s="5" t="str">
        <f aca="false">IF(C117=0,"",IF(A117="GL",IF(G117&gt;0,"Deposit in transit","Outstanding check / payment"),IF(G117&gt;0,"Bank credit not in GL","Bank debit not in GL")))</f>
        <v/>
      </c>
      <c r="I117" s="42" t="str">
        <f aca="false">IF(OR(C117=0,CFG_PeriodEnd=""),"",CFG_PeriodEnd-D117)</f>
        <v/>
      </c>
      <c r="J117" s="5" t="str">
        <f aca="false">IF(C117=0,"",IF($A117="Bank",IF(INDEX(Bank!$G:$G,$C117)="","",INDEX(Bank!$G:$G,$C117)),IF(INDEX(GL!$G:$G,$C117)="","",INDEX(GL!$G:$G,$C117))))</f>
        <v/>
      </c>
      <c r="K117" s="5" t="str">
        <f aca="false">IF(C117=0,"",IF($A117="Bank",IF(INDEX(Bank!$I:$I,$C117)="","",INDEX(Bank!$I:$I,$C117)),IF(INDEX(GL!$I:$I,$C117)="","",INDEX(GL!$I:$I,$C117))))</f>
        <v/>
      </c>
      <c r="L117" s="5" t="str">
        <f aca="false">IF(B117="","",IF(C117=0,"NOT FOUND",IF(IF($A117="Bank",INDEX(Bank!$F:$F,$C117),INDEX(GL!$F:$F,$C117))="Y","NOW RECONCILED: refresh","OK")))</f>
        <v/>
      </c>
    </row>
    <row r="118" customFormat="false" ht="15" hidden="false" customHeight="false" outlineLevel="0" collapsed="false">
      <c r="A118" s="41"/>
      <c r="B118" s="41"/>
      <c r="C118" s="5" t="n">
        <f aca="false">IF(B118="",0,IF(A118="Bank",IFERROR(MATCH(B118,Bank!$A:$A,0),0),IFERROR(MATCH(B118,GL!$A:$A,0),0)))</f>
        <v>0</v>
      </c>
      <c r="D118" s="32" t="str">
        <f aca="false">IF(C118=0,"",IF($A118="Bank",INDEX(Bank!$B:$B,$C118),INDEX(GL!$B:$B,$C118)))</f>
        <v/>
      </c>
      <c r="E118" s="5" t="str">
        <f aca="false">IF(C118=0,"",IF($A118="Bank",IF(INDEX(Bank!$C:$C,$C118)="","",INDEX(Bank!$C:$C,$C118)),IF(INDEX(GL!$C:$C,$C118)="","",INDEX(GL!$C:$C,$C118))))</f>
        <v/>
      </c>
      <c r="F118" s="5" t="str">
        <f aca="false">IF(C118=0,"",IF($A118="Bank",IF(INDEX(Bank!$D:$D,$C118)="","",INDEX(Bank!$D:$D,$C118)),IF(INDEX(GL!$D:$D,$C118)="","",INDEX(GL!$D:$D,$C118))))</f>
        <v/>
      </c>
      <c r="G118" s="19" t="str">
        <f aca="false">IF(C118=0,"",IF($A118="Bank",INDEX(Bank!$E:$E,$C118),INDEX(GL!$E:$E,$C118)))</f>
        <v/>
      </c>
      <c r="H118" s="5" t="str">
        <f aca="false">IF(C118=0,"",IF(A118="GL",IF(G118&gt;0,"Deposit in transit","Outstanding check / payment"),IF(G118&gt;0,"Bank credit not in GL","Bank debit not in GL")))</f>
        <v/>
      </c>
      <c r="I118" s="42" t="str">
        <f aca="false">IF(OR(C118=0,CFG_PeriodEnd=""),"",CFG_PeriodEnd-D118)</f>
        <v/>
      </c>
      <c r="J118" s="5" t="str">
        <f aca="false">IF(C118=0,"",IF($A118="Bank",IF(INDEX(Bank!$G:$G,$C118)="","",INDEX(Bank!$G:$G,$C118)),IF(INDEX(GL!$G:$G,$C118)="","",INDEX(GL!$G:$G,$C118))))</f>
        <v/>
      </c>
      <c r="K118" s="5" t="str">
        <f aca="false">IF(C118=0,"",IF($A118="Bank",IF(INDEX(Bank!$I:$I,$C118)="","",INDEX(Bank!$I:$I,$C118)),IF(INDEX(GL!$I:$I,$C118)="","",INDEX(GL!$I:$I,$C118))))</f>
        <v/>
      </c>
      <c r="L118" s="5" t="str">
        <f aca="false">IF(B118="","",IF(C118=0,"NOT FOUND",IF(IF($A118="Bank",INDEX(Bank!$F:$F,$C118),INDEX(GL!$F:$F,$C118))="Y","NOW RECONCILED: refresh","OK")))</f>
        <v/>
      </c>
    </row>
    <row r="119" customFormat="false" ht="15" hidden="false" customHeight="false" outlineLevel="0" collapsed="false">
      <c r="A119" s="41"/>
      <c r="B119" s="41"/>
      <c r="C119" s="5" t="n">
        <f aca="false">IF(B119="",0,IF(A119="Bank",IFERROR(MATCH(B119,Bank!$A:$A,0),0),IFERROR(MATCH(B119,GL!$A:$A,0),0)))</f>
        <v>0</v>
      </c>
      <c r="D119" s="32" t="str">
        <f aca="false">IF(C119=0,"",IF($A119="Bank",INDEX(Bank!$B:$B,$C119),INDEX(GL!$B:$B,$C119)))</f>
        <v/>
      </c>
      <c r="E119" s="5" t="str">
        <f aca="false">IF(C119=0,"",IF($A119="Bank",IF(INDEX(Bank!$C:$C,$C119)="","",INDEX(Bank!$C:$C,$C119)),IF(INDEX(GL!$C:$C,$C119)="","",INDEX(GL!$C:$C,$C119))))</f>
        <v/>
      </c>
      <c r="F119" s="5" t="str">
        <f aca="false">IF(C119=0,"",IF($A119="Bank",IF(INDEX(Bank!$D:$D,$C119)="","",INDEX(Bank!$D:$D,$C119)),IF(INDEX(GL!$D:$D,$C119)="","",INDEX(GL!$D:$D,$C119))))</f>
        <v/>
      </c>
      <c r="G119" s="19" t="str">
        <f aca="false">IF(C119=0,"",IF($A119="Bank",INDEX(Bank!$E:$E,$C119),INDEX(GL!$E:$E,$C119)))</f>
        <v/>
      </c>
      <c r="H119" s="5" t="str">
        <f aca="false">IF(C119=0,"",IF(A119="GL",IF(G119&gt;0,"Deposit in transit","Outstanding check / payment"),IF(G119&gt;0,"Bank credit not in GL","Bank debit not in GL")))</f>
        <v/>
      </c>
      <c r="I119" s="42" t="str">
        <f aca="false">IF(OR(C119=0,CFG_PeriodEnd=""),"",CFG_PeriodEnd-D119)</f>
        <v/>
      </c>
      <c r="J119" s="5" t="str">
        <f aca="false">IF(C119=0,"",IF($A119="Bank",IF(INDEX(Bank!$G:$G,$C119)="","",INDEX(Bank!$G:$G,$C119)),IF(INDEX(GL!$G:$G,$C119)="","",INDEX(GL!$G:$G,$C119))))</f>
        <v/>
      </c>
      <c r="K119" s="5" t="str">
        <f aca="false">IF(C119=0,"",IF($A119="Bank",IF(INDEX(Bank!$I:$I,$C119)="","",INDEX(Bank!$I:$I,$C119)),IF(INDEX(GL!$I:$I,$C119)="","",INDEX(GL!$I:$I,$C119))))</f>
        <v/>
      </c>
      <c r="L119" s="5" t="str">
        <f aca="false">IF(B119="","",IF(C119=0,"NOT FOUND",IF(IF($A119="Bank",INDEX(Bank!$F:$F,$C119),INDEX(GL!$F:$F,$C119))="Y","NOW RECONCILED: refresh","OK")))</f>
        <v/>
      </c>
    </row>
    <row r="120" customFormat="false" ht="15" hidden="false" customHeight="false" outlineLevel="0" collapsed="false">
      <c r="A120" s="41"/>
      <c r="B120" s="41"/>
      <c r="C120" s="5" t="n">
        <f aca="false">IF(B120="",0,IF(A120="Bank",IFERROR(MATCH(B120,Bank!$A:$A,0),0),IFERROR(MATCH(B120,GL!$A:$A,0),0)))</f>
        <v>0</v>
      </c>
      <c r="D120" s="32" t="str">
        <f aca="false">IF(C120=0,"",IF($A120="Bank",INDEX(Bank!$B:$B,$C120),INDEX(GL!$B:$B,$C120)))</f>
        <v/>
      </c>
      <c r="E120" s="5" t="str">
        <f aca="false">IF(C120=0,"",IF($A120="Bank",IF(INDEX(Bank!$C:$C,$C120)="","",INDEX(Bank!$C:$C,$C120)),IF(INDEX(GL!$C:$C,$C120)="","",INDEX(GL!$C:$C,$C120))))</f>
        <v/>
      </c>
      <c r="F120" s="5" t="str">
        <f aca="false">IF(C120=0,"",IF($A120="Bank",IF(INDEX(Bank!$D:$D,$C120)="","",INDEX(Bank!$D:$D,$C120)),IF(INDEX(GL!$D:$D,$C120)="","",INDEX(GL!$D:$D,$C120))))</f>
        <v/>
      </c>
      <c r="G120" s="19" t="str">
        <f aca="false">IF(C120=0,"",IF($A120="Bank",INDEX(Bank!$E:$E,$C120),INDEX(GL!$E:$E,$C120)))</f>
        <v/>
      </c>
      <c r="H120" s="5" t="str">
        <f aca="false">IF(C120=0,"",IF(A120="GL",IF(G120&gt;0,"Deposit in transit","Outstanding check / payment"),IF(G120&gt;0,"Bank credit not in GL","Bank debit not in GL")))</f>
        <v/>
      </c>
      <c r="I120" s="42" t="str">
        <f aca="false">IF(OR(C120=0,CFG_PeriodEnd=""),"",CFG_PeriodEnd-D120)</f>
        <v/>
      </c>
      <c r="J120" s="5" t="str">
        <f aca="false">IF(C120=0,"",IF($A120="Bank",IF(INDEX(Bank!$G:$G,$C120)="","",INDEX(Bank!$G:$G,$C120)),IF(INDEX(GL!$G:$G,$C120)="","",INDEX(GL!$G:$G,$C120))))</f>
        <v/>
      </c>
      <c r="K120" s="5" t="str">
        <f aca="false">IF(C120=0,"",IF($A120="Bank",IF(INDEX(Bank!$I:$I,$C120)="","",INDEX(Bank!$I:$I,$C120)),IF(INDEX(GL!$I:$I,$C120)="","",INDEX(GL!$I:$I,$C120))))</f>
        <v/>
      </c>
      <c r="L120" s="5" t="str">
        <f aca="false">IF(B120="","",IF(C120=0,"NOT FOUND",IF(IF($A120="Bank",INDEX(Bank!$F:$F,$C120),INDEX(GL!$F:$F,$C120))="Y","NOW RECONCILED: refresh","OK")))</f>
        <v/>
      </c>
    </row>
    <row r="121" customFormat="false" ht="15" hidden="false" customHeight="false" outlineLevel="0" collapsed="false">
      <c r="A121" s="41"/>
      <c r="B121" s="41"/>
      <c r="C121" s="5" t="n">
        <f aca="false">IF(B121="",0,IF(A121="Bank",IFERROR(MATCH(B121,Bank!$A:$A,0),0),IFERROR(MATCH(B121,GL!$A:$A,0),0)))</f>
        <v>0</v>
      </c>
      <c r="D121" s="32" t="str">
        <f aca="false">IF(C121=0,"",IF($A121="Bank",INDEX(Bank!$B:$B,$C121),INDEX(GL!$B:$B,$C121)))</f>
        <v/>
      </c>
      <c r="E121" s="5" t="str">
        <f aca="false">IF(C121=0,"",IF($A121="Bank",IF(INDEX(Bank!$C:$C,$C121)="","",INDEX(Bank!$C:$C,$C121)),IF(INDEX(GL!$C:$C,$C121)="","",INDEX(GL!$C:$C,$C121))))</f>
        <v/>
      </c>
      <c r="F121" s="5" t="str">
        <f aca="false">IF(C121=0,"",IF($A121="Bank",IF(INDEX(Bank!$D:$D,$C121)="","",INDEX(Bank!$D:$D,$C121)),IF(INDEX(GL!$D:$D,$C121)="","",INDEX(GL!$D:$D,$C121))))</f>
        <v/>
      </c>
      <c r="G121" s="19" t="str">
        <f aca="false">IF(C121=0,"",IF($A121="Bank",INDEX(Bank!$E:$E,$C121),INDEX(GL!$E:$E,$C121)))</f>
        <v/>
      </c>
      <c r="H121" s="5" t="str">
        <f aca="false">IF(C121=0,"",IF(A121="GL",IF(G121&gt;0,"Deposit in transit","Outstanding check / payment"),IF(G121&gt;0,"Bank credit not in GL","Bank debit not in GL")))</f>
        <v/>
      </c>
      <c r="I121" s="42" t="str">
        <f aca="false">IF(OR(C121=0,CFG_PeriodEnd=""),"",CFG_PeriodEnd-D121)</f>
        <v/>
      </c>
      <c r="J121" s="5" t="str">
        <f aca="false">IF(C121=0,"",IF($A121="Bank",IF(INDEX(Bank!$G:$G,$C121)="","",INDEX(Bank!$G:$G,$C121)),IF(INDEX(GL!$G:$G,$C121)="","",INDEX(GL!$G:$G,$C121))))</f>
        <v/>
      </c>
      <c r="K121" s="5" t="str">
        <f aca="false">IF(C121=0,"",IF($A121="Bank",IF(INDEX(Bank!$I:$I,$C121)="","",INDEX(Bank!$I:$I,$C121)),IF(INDEX(GL!$I:$I,$C121)="","",INDEX(GL!$I:$I,$C121))))</f>
        <v/>
      </c>
      <c r="L121" s="5" t="str">
        <f aca="false">IF(B121="","",IF(C121=0,"NOT FOUND",IF(IF($A121="Bank",INDEX(Bank!$F:$F,$C121),INDEX(GL!$F:$F,$C121))="Y","NOW RECONCILED: refresh","OK")))</f>
        <v/>
      </c>
    </row>
    <row r="122" customFormat="false" ht="15" hidden="false" customHeight="false" outlineLevel="0" collapsed="false">
      <c r="A122" s="41"/>
      <c r="B122" s="41"/>
      <c r="C122" s="5" t="n">
        <f aca="false">IF(B122="",0,IF(A122="Bank",IFERROR(MATCH(B122,Bank!$A:$A,0),0),IFERROR(MATCH(B122,GL!$A:$A,0),0)))</f>
        <v>0</v>
      </c>
      <c r="D122" s="32" t="str">
        <f aca="false">IF(C122=0,"",IF($A122="Bank",INDEX(Bank!$B:$B,$C122),INDEX(GL!$B:$B,$C122)))</f>
        <v/>
      </c>
      <c r="E122" s="5" t="str">
        <f aca="false">IF(C122=0,"",IF($A122="Bank",IF(INDEX(Bank!$C:$C,$C122)="","",INDEX(Bank!$C:$C,$C122)),IF(INDEX(GL!$C:$C,$C122)="","",INDEX(GL!$C:$C,$C122))))</f>
        <v/>
      </c>
      <c r="F122" s="5" t="str">
        <f aca="false">IF(C122=0,"",IF($A122="Bank",IF(INDEX(Bank!$D:$D,$C122)="","",INDEX(Bank!$D:$D,$C122)),IF(INDEX(GL!$D:$D,$C122)="","",INDEX(GL!$D:$D,$C122))))</f>
        <v/>
      </c>
      <c r="G122" s="19" t="str">
        <f aca="false">IF(C122=0,"",IF($A122="Bank",INDEX(Bank!$E:$E,$C122),INDEX(GL!$E:$E,$C122)))</f>
        <v/>
      </c>
      <c r="H122" s="5" t="str">
        <f aca="false">IF(C122=0,"",IF(A122="GL",IF(G122&gt;0,"Deposit in transit","Outstanding check / payment"),IF(G122&gt;0,"Bank credit not in GL","Bank debit not in GL")))</f>
        <v/>
      </c>
      <c r="I122" s="42" t="str">
        <f aca="false">IF(OR(C122=0,CFG_PeriodEnd=""),"",CFG_PeriodEnd-D122)</f>
        <v/>
      </c>
      <c r="J122" s="5" t="str">
        <f aca="false">IF(C122=0,"",IF($A122="Bank",IF(INDEX(Bank!$G:$G,$C122)="","",INDEX(Bank!$G:$G,$C122)),IF(INDEX(GL!$G:$G,$C122)="","",INDEX(GL!$G:$G,$C122))))</f>
        <v/>
      </c>
      <c r="K122" s="5" t="str">
        <f aca="false">IF(C122=0,"",IF($A122="Bank",IF(INDEX(Bank!$I:$I,$C122)="","",INDEX(Bank!$I:$I,$C122)),IF(INDEX(GL!$I:$I,$C122)="","",INDEX(GL!$I:$I,$C122))))</f>
        <v/>
      </c>
      <c r="L122" s="5" t="str">
        <f aca="false">IF(B122="","",IF(C122=0,"NOT FOUND",IF(IF($A122="Bank",INDEX(Bank!$F:$F,$C122),INDEX(GL!$F:$F,$C122))="Y","NOW RECONCILED: refresh","OK")))</f>
        <v/>
      </c>
    </row>
    <row r="123" customFormat="false" ht="15" hidden="false" customHeight="false" outlineLevel="0" collapsed="false">
      <c r="A123" s="41"/>
      <c r="B123" s="41"/>
      <c r="C123" s="5" t="n">
        <f aca="false">IF(B123="",0,IF(A123="Bank",IFERROR(MATCH(B123,Bank!$A:$A,0),0),IFERROR(MATCH(B123,GL!$A:$A,0),0)))</f>
        <v>0</v>
      </c>
      <c r="D123" s="32" t="str">
        <f aca="false">IF(C123=0,"",IF($A123="Bank",INDEX(Bank!$B:$B,$C123),INDEX(GL!$B:$B,$C123)))</f>
        <v/>
      </c>
      <c r="E123" s="5" t="str">
        <f aca="false">IF(C123=0,"",IF($A123="Bank",IF(INDEX(Bank!$C:$C,$C123)="","",INDEX(Bank!$C:$C,$C123)),IF(INDEX(GL!$C:$C,$C123)="","",INDEX(GL!$C:$C,$C123))))</f>
        <v/>
      </c>
      <c r="F123" s="5" t="str">
        <f aca="false">IF(C123=0,"",IF($A123="Bank",IF(INDEX(Bank!$D:$D,$C123)="","",INDEX(Bank!$D:$D,$C123)),IF(INDEX(GL!$D:$D,$C123)="","",INDEX(GL!$D:$D,$C123))))</f>
        <v/>
      </c>
      <c r="G123" s="19" t="str">
        <f aca="false">IF(C123=0,"",IF($A123="Bank",INDEX(Bank!$E:$E,$C123),INDEX(GL!$E:$E,$C123)))</f>
        <v/>
      </c>
      <c r="H123" s="5" t="str">
        <f aca="false">IF(C123=0,"",IF(A123="GL",IF(G123&gt;0,"Deposit in transit","Outstanding check / payment"),IF(G123&gt;0,"Bank credit not in GL","Bank debit not in GL")))</f>
        <v/>
      </c>
      <c r="I123" s="42" t="str">
        <f aca="false">IF(OR(C123=0,CFG_PeriodEnd=""),"",CFG_PeriodEnd-D123)</f>
        <v/>
      </c>
      <c r="J123" s="5" t="str">
        <f aca="false">IF(C123=0,"",IF($A123="Bank",IF(INDEX(Bank!$G:$G,$C123)="","",INDEX(Bank!$G:$G,$C123)),IF(INDEX(GL!$G:$G,$C123)="","",INDEX(GL!$G:$G,$C123))))</f>
        <v/>
      </c>
      <c r="K123" s="5" t="str">
        <f aca="false">IF(C123=0,"",IF($A123="Bank",IF(INDEX(Bank!$I:$I,$C123)="","",INDEX(Bank!$I:$I,$C123)),IF(INDEX(GL!$I:$I,$C123)="","",INDEX(GL!$I:$I,$C123))))</f>
        <v/>
      </c>
      <c r="L123" s="5" t="str">
        <f aca="false">IF(B123="","",IF(C123=0,"NOT FOUND",IF(IF($A123="Bank",INDEX(Bank!$F:$F,$C123),INDEX(GL!$F:$F,$C123))="Y","NOW RECONCILED: refresh","OK")))</f>
        <v/>
      </c>
    </row>
    <row r="124" customFormat="false" ht="15" hidden="false" customHeight="false" outlineLevel="0" collapsed="false">
      <c r="A124" s="41"/>
      <c r="B124" s="41"/>
      <c r="C124" s="5" t="n">
        <f aca="false">IF(B124="",0,IF(A124="Bank",IFERROR(MATCH(B124,Bank!$A:$A,0),0),IFERROR(MATCH(B124,GL!$A:$A,0),0)))</f>
        <v>0</v>
      </c>
      <c r="D124" s="32" t="str">
        <f aca="false">IF(C124=0,"",IF($A124="Bank",INDEX(Bank!$B:$B,$C124),INDEX(GL!$B:$B,$C124)))</f>
        <v/>
      </c>
      <c r="E124" s="5" t="str">
        <f aca="false">IF(C124=0,"",IF($A124="Bank",IF(INDEX(Bank!$C:$C,$C124)="","",INDEX(Bank!$C:$C,$C124)),IF(INDEX(GL!$C:$C,$C124)="","",INDEX(GL!$C:$C,$C124))))</f>
        <v/>
      </c>
      <c r="F124" s="5" t="str">
        <f aca="false">IF(C124=0,"",IF($A124="Bank",IF(INDEX(Bank!$D:$D,$C124)="","",INDEX(Bank!$D:$D,$C124)),IF(INDEX(GL!$D:$D,$C124)="","",INDEX(GL!$D:$D,$C124))))</f>
        <v/>
      </c>
      <c r="G124" s="19" t="str">
        <f aca="false">IF(C124=0,"",IF($A124="Bank",INDEX(Bank!$E:$E,$C124),INDEX(GL!$E:$E,$C124)))</f>
        <v/>
      </c>
      <c r="H124" s="5" t="str">
        <f aca="false">IF(C124=0,"",IF(A124="GL",IF(G124&gt;0,"Deposit in transit","Outstanding check / payment"),IF(G124&gt;0,"Bank credit not in GL","Bank debit not in GL")))</f>
        <v/>
      </c>
      <c r="I124" s="42" t="str">
        <f aca="false">IF(OR(C124=0,CFG_PeriodEnd=""),"",CFG_PeriodEnd-D124)</f>
        <v/>
      </c>
      <c r="J124" s="5" t="str">
        <f aca="false">IF(C124=0,"",IF($A124="Bank",IF(INDEX(Bank!$G:$G,$C124)="","",INDEX(Bank!$G:$G,$C124)),IF(INDEX(GL!$G:$G,$C124)="","",INDEX(GL!$G:$G,$C124))))</f>
        <v/>
      </c>
      <c r="K124" s="5" t="str">
        <f aca="false">IF(C124=0,"",IF($A124="Bank",IF(INDEX(Bank!$I:$I,$C124)="","",INDEX(Bank!$I:$I,$C124)),IF(INDEX(GL!$I:$I,$C124)="","",INDEX(GL!$I:$I,$C124))))</f>
        <v/>
      </c>
      <c r="L124" s="5" t="str">
        <f aca="false">IF(B124="","",IF(C124=0,"NOT FOUND",IF(IF($A124="Bank",INDEX(Bank!$F:$F,$C124),INDEX(GL!$F:$F,$C124))="Y","NOW RECONCILED: refresh","OK")))</f>
        <v/>
      </c>
    </row>
    <row r="125" customFormat="false" ht="15" hidden="false" customHeight="false" outlineLevel="0" collapsed="false">
      <c r="A125" s="41"/>
      <c r="B125" s="41"/>
      <c r="C125" s="5" t="n">
        <f aca="false">IF(B125="",0,IF(A125="Bank",IFERROR(MATCH(B125,Bank!$A:$A,0),0),IFERROR(MATCH(B125,GL!$A:$A,0),0)))</f>
        <v>0</v>
      </c>
      <c r="D125" s="32" t="str">
        <f aca="false">IF(C125=0,"",IF($A125="Bank",INDEX(Bank!$B:$B,$C125),INDEX(GL!$B:$B,$C125)))</f>
        <v/>
      </c>
      <c r="E125" s="5" t="str">
        <f aca="false">IF(C125=0,"",IF($A125="Bank",IF(INDEX(Bank!$C:$C,$C125)="","",INDEX(Bank!$C:$C,$C125)),IF(INDEX(GL!$C:$C,$C125)="","",INDEX(GL!$C:$C,$C125))))</f>
        <v/>
      </c>
      <c r="F125" s="5" t="str">
        <f aca="false">IF(C125=0,"",IF($A125="Bank",IF(INDEX(Bank!$D:$D,$C125)="","",INDEX(Bank!$D:$D,$C125)),IF(INDEX(GL!$D:$D,$C125)="","",INDEX(GL!$D:$D,$C125))))</f>
        <v/>
      </c>
      <c r="G125" s="19" t="str">
        <f aca="false">IF(C125=0,"",IF($A125="Bank",INDEX(Bank!$E:$E,$C125),INDEX(GL!$E:$E,$C125)))</f>
        <v/>
      </c>
      <c r="H125" s="5" t="str">
        <f aca="false">IF(C125=0,"",IF(A125="GL",IF(G125&gt;0,"Deposit in transit","Outstanding check / payment"),IF(G125&gt;0,"Bank credit not in GL","Bank debit not in GL")))</f>
        <v/>
      </c>
      <c r="I125" s="42" t="str">
        <f aca="false">IF(OR(C125=0,CFG_PeriodEnd=""),"",CFG_PeriodEnd-D125)</f>
        <v/>
      </c>
      <c r="J125" s="5" t="str">
        <f aca="false">IF(C125=0,"",IF($A125="Bank",IF(INDEX(Bank!$G:$G,$C125)="","",INDEX(Bank!$G:$G,$C125)),IF(INDEX(GL!$G:$G,$C125)="","",INDEX(GL!$G:$G,$C125))))</f>
        <v/>
      </c>
      <c r="K125" s="5" t="str">
        <f aca="false">IF(C125=0,"",IF($A125="Bank",IF(INDEX(Bank!$I:$I,$C125)="","",INDEX(Bank!$I:$I,$C125)),IF(INDEX(GL!$I:$I,$C125)="","",INDEX(GL!$I:$I,$C125))))</f>
        <v/>
      </c>
      <c r="L125" s="5" t="str">
        <f aca="false">IF(B125="","",IF(C125=0,"NOT FOUND",IF(IF($A125="Bank",INDEX(Bank!$F:$F,$C125),INDEX(GL!$F:$F,$C125))="Y","NOW RECONCILED: refresh","OK")))</f>
        <v/>
      </c>
    </row>
    <row r="126" customFormat="false" ht="15" hidden="false" customHeight="false" outlineLevel="0" collapsed="false">
      <c r="A126" s="41"/>
      <c r="B126" s="41"/>
      <c r="C126" s="5" t="n">
        <f aca="false">IF(B126="",0,IF(A126="Bank",IFERROR(MATCH(B126,Bank!$A:$A,0),0),IFERROR(MATCH(B126,GL!$A:$A,0),0)))</f>
        <v>0</v>
      </c>
      <c r="D126" s="32" t="str">
        <f aca="false">IF(C126=0,"",IF($A126="Bank",INDEX(Bank!$B:$B,$C126),INDEX(GL!$B:$B,$C126)))</f>
        <v/>
      </c>
      <c r="E126" s="5" t="str">
        <f aca="false">IF(C126=0,"",IF($A126="Bank",IF(INDEX(Bank!$C:$C,$C126)="","",INDEX(Bank!$C:$C,$C126)),IF(INDEX(GL!$C:$C,$C126)="","",INDEX(GL!$C:$C,$C126))))</f>
        <v/>
      </c>
      <c r="F126" s="5" t="str">
        <f aca="false">IF(C126=0,"",IF($A126="Bank",IF(INDEX(Bank!$D:$D,$C126)="","",INDEX(Bank!$D:$D,$C126)),IF(INDEX(GL!$D:$D,$C126)="","",INDEX(GL!$D:$D,$C126))))</f>
        <v/>
      </c>
      <c r="G126" s="19" t="str">
        <f aca="false">IF(C126=0,"",IF($A126="Bank",INDEX(Bank!$E:$E,$C126),INDEX(GL!$E:$E,$C126)))</f>
        <v/>
      </c>
      <c r="H126" s="5" t="str">
        <f aca="false">IF(C126=0,"",IF(A126="GL",IF(G126&gt;0,"Deposit in transit","Outstanding check / payment"),IF(G126&gt;0,"Bank credit not in GL","Bank debit not in GL")))</f>
        <v/>
      </c>
      <c r="I126" s="42" t="str">
        <f aca="false">IF(OR(C126=0,CFG_PeriodEnd=""),"",CFG_PeriodEnd-D126)</f>
        <v/>
      </c>
      <c r="J126" s="5" t="str">
        <f aca="false">IF(C126=0,"",IF($A126="Bank",IF(INDEX(Bank!$G:$G,$C126)="","",INDEX(Bank!$G:$G,$C126)),IF(INDEX(GL!$G:$G,$C126)="","",INDEX(GL!$G:$G,$C126))))</f>
        <v/>
      </c>
      <c r="K126" s="5" t="str">
        <f aca="false">IF(C126=0,"",IF($A126="Bank",IF(INDEX(Bank!$I:$I,$C126)="","",INDEX(Bank!$I:$I,$C126)),IF(INDEX(GL!$I:$I,$C126)="","",INDEX(GL!$I:$I,$C126))))</f>
        <v/>
      </c>
      <c r="L126" s="5" t="str">
        <f aca="false">IF(B126="","",IF(C126=0,"NOT FOUND",IF(IF($A126="Bank",INDEX(Bank!$F:$F,$C126),INDEX(GL!$F:$F,$C126))="Y","NOW RECONCILED: refresh","OK")))</f>
        <v/>
      </c>
    </row>
    <row r="127" customFormat="false" ht="15" hidden="false" customHeight="false" outlineLevel="0" collapsed="false">
      <c r="A127" s="41"/>
      <c r="B127" s="41"/>
      <c r="C127" s="5" t="n">
        <f aca="false">IF(B127="",0,IF(A127="Bank",IFERROR(MATCH(B127,Bank!$A:$A,0),0),IFERROR(MATCH(B127,GL!$A:$A,0),0)))</f>
        <v>0</v>
      </c>
      <c r="D127" s="32" t="str">
        <f aca="false">IF(C127=0,"",IF($A127="Bank",INDEX(Bank!$B:$B,$C127),INDEX(GL!$B:$B,$C127)))</f>
        <v/>
      </c>
      <c r="E127" s="5" t="str">
        <f aca="false">IF(C127=0,"",IF($A127="Bank",IF(INDEX(Bank!$C:$C,$C127)="","",INDEX(Bank!$C:$C,$C127)),IF(INDEX(GL!$C:$C,$C127)="","",INDEX(GL!$C:$C,$C127))))</f>
        <v/>
      </c>
      <c r="F127" s="5" t="str">
        <f aca="false">IF(C127=0,"",IF($A127="Bank",IF(INDEX(Bank!$D:$D,$C127)="","",INDEX(Bank!$D:$D,$C127)),IF(INDEX(GL!$D:$D,$C127)="","",INDEX(GL!$D:$D,$C127))))</f>
        <v/>
      </c>
      <c r="G127" s="19" t="str">
        <f aca="false">IF(C127=0,"",IF($A127="Bank",INDEX(Bank!$E:$E,$C127),INDEX(GL!$E:$E,$C127)))</f>
        <v/>
      </c>
      <c r="H127" s="5" t="str">
        <f aca="false">IF(C127=0,"",IF(A127="GL",IF(G127&gt;0,"Deposit in transit","Outstanding check / payment"),IF(G127&gt;0,"Bank credit not in GL","Bank debit not in GL")))</f>
        <v/>
      </c>
      <c r="I127" s="42" t="str">
        <f aca="false">IF(OR(C127=0,CFG_PeriodEnd=""),"",CFG_PeriodEnd-D127)</f>
        <v/>
      </c>
      <c r="J127" s="5" t="str">
        <f aca="false">IF(C127=0,"",IF($A127="Bank",IF(INDEX(Bank!$G:$G,$C127)="","",INDEX(Bank!$G:$G,$C127)),IF(INDEX(GL!$G:$G,$C127)="","",INDEX(GL!$G:$G,$C127))))</f>
        <v/>
      </c>
      <c r="K127" s="5" t="str">
        <f aca="false">IF(C127=0,"",IF($A127="Bank",IF(INDEX(Bank!$I:$I,$C127)="","",INDEX(Bank!$I:$I,$C127)),IF(INDEX(GL!$I:$I,$C127)="","",INDEX(GL!$I:$I,$C127))))</f>
        <v/>
      </c>
      <c r="L127" s="5" t="str">
        <f aca="false">IF(B127="","",IF(C127=0,"NOT FOUND",IF(IF($A127="Bank",INDEX(Bank!$F:$F,$C127),INDEX(GL!$F:$F,$C127))="Y","NOW RECONCILED: refresh","OK")))</f>
        <v/>
      </c>
    </row>
    <row r="128" customFormat="false" ht="15" hidden="false" customHeight="false" outlineLevel="0" collapsed="false">
      <c r="A128" s="41"/>
      <c r="B128" s="41"/>
      <c r="C128" s="5" t="n">
        <f aca="false">IF(B128="",0,IF(A128="Bank",IFERROR(MATCH(B128,Bank!$A:$A,0),0),IFERROR(MATCH(B128,GL!$A:$A,0),0)))</f>
        <v>0</v>
      </c>
      <c r="D128" s="32" t="str">
        <f aca="false">IF(C128=0,"",IF($A128="Bank",INDEX(Bank!$B:$B,$C128),INDEX(GL!$B:$B,$C128)))</f>
        <v/>
      </c>
      <c r="E128" s="5" t="str">
        <f aca="false">IF(C128=0,"",IF($A128="Bank",IF(INDEX(Bank!$C:$C,$C128)="","",INDEX(Bank!$C:$C,$C128)),IF(INDEX(GL!$C:$C,$C128)="","",INDEX(GL!$C:$C,$C128))))</f>
        <v/>
      </c>
      <c r="F128" s="5" t="str">
        <f aca="false">IF(C128=0,"",IF($A128="Bank",IF(INDEX(Bank!$D:$D,$C128)="","",INDEX(Bank!$D:$D,$C128)),IF(INDEX(GL!$D:$D,$C128)="","",INDEX(GL!$D:$D,$C128))))</f>
        <v/>
      </c>
      <c r="G128" s="19" t="str">
        <f aca="false">IF(C128=0,"",IF($A128="Bank",INDEX(Bank!$E:$E,$C128),INDEX(GL!$E:$E,$C128)))</f>
        <v/>
      </c>
      <c r="H128" s="5" t="str">
        <f aca="false">IF(C128=0,"",IF(A128="GL",IF(G128&gt;0,"Deposit in transit","Outstanding check / payment"),IF(G128&gt;0,"Bank credit not in GL","Bank debit not in GL")))</f>
        <v/>
      </c>
      <c r="I128" s="42" t="str">
        <f aca="false">IF(OR(C128=0,CFG_PeriodEnd=""),"",CFG_PeriodEnd-D128)</f>
        <v/>
      </c>
      <c r="J128" s="5" t="str">
        <f aca="false">IF(C128=0,"",IF($A128="Bank",IF(INDEX(Bank!$G:$G,$C128)="","",INDEX(Bank!$G:$G,$C128)),IF(INDEX(GL!$G:$G,$C128)="","",INDEX(GL!$G:$G,$C128))))</f>
        <v/>
      </c>
      <c r="K128" s="5" t="str">
        <f aca="false">IF(C128=0,"",IF($A128="Bank",IF(INDEX(Bank!$I:$I,$C128)="","",INDEX(Bank!$I:$I,$C128)),IF(INDEX(GL!$I:$I,$C128)="","",INDEX(GL!$I:$I,$C128))))</f>
        <v/>
      </c>
      <c r="L128" s="5" t="str">
        <f aca="false">IF(B128="","",IF(C128=0,"NOT FOUND",IF(IF($A128="Bank",INDEX(Bank!$F:$F,$C128),INDEX(GL!$F:$F,$C128))="Y","NOW RECONCILED: refresh","OK")))</f>
        <v/>
      </c>
    </row>
    <row r="129" customFormat="false" ht="15" hidden="false" customHeight="false" outlineLevel="0" collapsed="false">
      <c r="A129" s="41"/>
      <c r="B129" s="41"/>
      <c r="C129" s="5" t="n">
        <f aca="false">IF(B129="",0,IF(A129="Bank",IFERROR(MATCH(B129,Bank!$A:$A,0),0),IFERROR(MATCH(B129,GL!$A:$A,0),0)))</f>
        <v>0</v>
      </c>
      <c r="D129" s="32" t="str">
        <f aca="false">IF(C129=0,"",IF($A129="Bank",INDEX(Bank!$B:$B,$C129),INDEX(GL!$B:$B,$C129)))</f>
        <v/>
      </c>
      <c r="E129" s="5" t="str">
        <f aca="false">IF(C129=0,"",IF($A129="Bank",IF(INDEX(Bank!$C:$C,$C129)="","",INDEX(Bank!$C:$C,$C129)),IF(INDEX(GL!$C:$C,$C129)="","",INDEX(GL!$C:$C,$C129))))</f>
        <v/>
      </c>
      <c r="F129" s="5" t="str">
        <f aca="false">IF(C129=0,"",IF($A129="Bank",IF(INDEX(Bank!$D:$D,$C129)="","",INDEX(Bank!$D:$D,$C129)),IF(INDEX(GL!$D:$D,$C129)="","",INDEX(GL!$D:$D,$C129))))</f>
        <v/>
      </c>
      <c r="G129" s="19" t="str">
        <f aca="false">IF(C129=0,"",IF($A129="Bank",INDEX(Bank!$E:$E,$C129),INDEX(GL!$E:$E,$C129)))</f>
        <v/>
      </c>
      <c r="H129" s="5" t="str">
        <f aca="false">IF(C129=0,"",IF(A129="GL",IF(G129&gt;0,"Deposit in transit","Outstanding check / payment"),IF(G129&gt;0,"Bank credit not in GL","Bank debit not in GL")))</f>
        <v/>
      </c>
      <c r="I129" s="42" t="str">
        <f aca="false">IF(OR(C129=0,CFG_PeriodEnd=""),"",CFG_PeriodEnd-D129)</f>
        <v/>
      </c>
      <c r="J129" s="5" t="str">
        <f aca="false">IF(C129=0,"",IF($A129="Bank",IF(INDEX(Bank!$G:$G,$C129)="","",INDEX(Bank!$G:$G,$C129)),IF(INDEX(GL!$G:$G,$C129)="","",INDEX(GL!$G:$G,$C129))))</f>
        <v/>
      </c>
      <c r="K129" s="5" t="str">
        <f aca="false">IF(C129=0,"",IF($A129="Bank",IF(INDEX(Bank!$I:$I,$C129)="","",INDEX(Bank!$I:$I,$C129)),IF(INDEX(GL!$I:$I,$C129)="","",INDEX(GL!$I:$I,$C129))))</f>
        <v/>
      </c>
      <c r="L129" s="5" t="str">
        <f aca="false">IF(B129="","",IF(C129=0,"NOT FOUND",IF(IF($A129="Bank",INDEX(Bank!$F:$F,$C129),INDEX(GL!$F:$F,$C129))="Y","NOW RECONCILED: refresh","OK")))</f>
        <v/>
      </c>
    </row>
    <row r="130" customFormat="false" ht="15" hidden="false" customHeight="false" outlineLevel="0" collapsed="false">
      <c r="A130" s="41"/>
      <c r="B130" s="41"/>
      <c r="C130" s="5" t="n">
        <f aca="false">IF(B130="",0,IF(A130="Bank",IFERROR(MATCH(B130,Bank!$A:$A,0),0),IFERROR(MATCH(B130,GL!$A:$A,0),0)))</f>
        <v>0</v>
      </c>
      <c r="D130" s="32" t="str">
        <f aca="false">IF(C130=0,"",IF($A130="Bank",INDEX(Bank!$B:$B,$C130),INDEX(GL!$B:$B,$C130)))</f>
        <v/>
      </c>
      <c r="E130" s="5" t="str">
        <f aca="false">IF(C130=0,"",IF($A130="Bank",IF(INDEX(Bank!$C:$C,$C130)="","",INDEX(Bank!$C:$C,$C130)),IF(INDEX(GL!$C:$C,$C130)="","",INDEX(GL!$C:$C,$C130))))</f>
        <v/>
      </c>
      <c r="F130" s="5" t="str">
        <f aca="false">IF(C130=0,"",IF($A130="Bank",IF(INDEX(Bank!$D:$D,$C130)="","",INDEX(Bank!$D:$D,$C130)),IF(INDEX(GL!$D:$D,$C130)="","",INDEX(GL!$D:$D,$C130))))</f>
        <v/>
      </c>
      <c r="G130" s="19" t="str">
        <f aca="false">IF(C130=0,"",IF($A130="Bank",INDEX(Bank!$E:$E,$C130),INDEX(GL!$E:$E,$C130)))</f>
        <v/>
      </c>
      <c r="H130" s="5" t="str">
        <f aca="false">IF(C130=0,"",IF(A130="GL",IF(G130&gt;0,"Deposit in transit","Outstanding check / payment"),IF(G130&gt;0,"Bank credit not in GL","Bank debit not in GL")))</f>
        <v/>
      </c>
      <c r="I130" s="42" t="str">
        <f aca="false">IF(OR(C130=0,CFG_PeriodEnd=""),"",CFG_PeriodEnd-D130)</f>
        <v/>
      </c>
      <c r="J130" s="5" t="str">
        <f aca="false">IF(C130=0,"",IF($A130="Bank",IF(INDEX(Bank!$G:$G,$C130)="","",INDEX(Bank!$G:$G,$C130)),IF(INDEX(GL!$G:$G,$C130)="","",INDEX(GL!$G:$G,$C130))))</f>
        <v/>
      </c>
      <c r="K130" s="5" t="str">
        <f aca="false">IF(C130=0,"",IF($A130="Bank",IF(INDEX(Bank!$I:$I,$C130)="","",INDEX(Bank!$I:$I,$C130)),IF(INDEX(GL!$I:$I,$C130)="","",INDEX(GL!$I:$I,$C130))))</f>
        <v/>
      </c>
      <c r="L130" s="5" t="str">
        <f aca="false">IF(B130="","",IF(C130=0,"NOT FOUND",IF(IF($A130="Bank",INDEX(Bank!$F:$F,$C130),INDEX(GL!$F:$F,$C130))="Y","NOW RECONCILED: refresh","OK")))</f>
        <v/>
      </c>
    </row>
    <row r="131" customFormat="false" ht="15" hidden="false" customHeight="false" outlineLevel="0" collapsed="false">
      <c r="A131" s="41"/>
      <c r="B131" s="41"/>
      <c r="C131" s="5" t="n">
        <f aca="false">IF(B131="",0,IF(A131="Bank",IFERROR(MATCH(B131,Bank!$A:$A,0),0),IFERROR(MATCH(B131,GL!$A:$A,0),0)))</f>
        <v>0</v>
      </c>
      <c r="D131" s="32" t="str">
        <f aca="false">IF(C131=0,"",IF($A131="Bank",INDEX(Bank!$B:$B,$C131),INDEX(GL!$B:$B,$C131)))</f>
        <v/>
      </c>
      <c r="E131" s="5" t="str">
        <f aca="false">IF(C131=0,"",IF($A131="Bank",IF(INDEX(Bank!$C:$C,$C131)="","",INDEX(Bank!$C:$C,$C131)),IF(INDEX(GL!$C:$C,$C131)="","",INDEX(GL!$C:$C,$C131))))</f>
        <v/>
      </c>
      <c r="F131" s="5" t="str">
        <f aca="false">IF(C131=0,"",IF($A131="Bank",IF(INDEX(Bank!$D:$D,$C131)="","",INDEX(Bank!$D:$D,$C131)),IF(INDEX(GL!$D:$D,$C131)="","",INDEX(GL!$D:$D,$C131))))</f>
        <v/>
      </c>
      <c r="G131" s="19" t="str">
        <f aca="false">IF(C131=0,"",IF($A131="Bank",INDEX(Bank!$E:$E,$C131),INDEX(GL!$E:$E,$C131)))</f>
        <v/>
      </c>
      <c r="H131" s="5" t="str">
        <f aca="false">IF(C131=0,"",IF(A131="GL",IF(G131&gt;0,"Deposit in transit","Outstanding check / payment"),IF(G131&gt;0,"Bank credit not in GL","Bank debit not in GL")))</f>
        <v/>
      </c>
      <c r="I131" s="42" t="str">
        <f aca="false">IF(OR(C131=0,CFG_PeriodEnd=""),"",CFG_PeriodEnd-D131)</f>
        <v/>
      </c>
      <c r="J131" s="5" t="str">
        <f aca="false">IF(C131=0,"",IF($A131="Bank",IF(INDEX(Bank!$G:$G,$C131)="","",INDEX(Bank!$G:$G,$C131)),IF(INDEX(GL!$G:$G,$C131)="","",INDEX(GL!$G:$G,$C131))))</f>
        <v/>
      </c>
      <c r="K131" s="5" t="str">
        <f aca="false">IF(C131=0,"",IF($A131="Bank",IF(INDEX(Bank!$I:$I,$C131)="","",INDEX(Bank!$I:$I,$C131)),IF(INDEX(GL!$I:$I,$C131)="","",INDEX(GL!$I:$I,$C131))))</f>
        <v/>
      </c>
      <c r="L131" s="5" t="str">
        <f aca="false">IF(B131="","",IF(C131=0,"NOT FOUND",IF(IF($A131="Bank",INDEX(Bank!$F:$F,$C131),INDEX(GL!$F:$F,$C131))="Y","NOW RECONCILED: refresh","OK")))</f>
        <v/>
      </c>
    </row>
    <row r="132" customFormat="false" ht="15" hidden="false" customHeight="false" outlineLevel="0" collapsed="false">
      <c r="A132" s="41"/>
      <c r="B132" s="41"/>
      <c r="C132" s="5" t="n">
        <f aca="false">IF(B132="",0,IF(A132="Bank",IFERROR(MATCH(B132,Bank!$A:$A,0),0),IFERROR(MATCH(B132,GL!$A:$A,0),0)))</f>
        <v>0</v>
      </c>
      <c r="D132" s="32" t="str">
        <f aca="false">IF(C132=0,"",IF($A132="Bank",INDEX(Bank!$B:$B,$C132),INDEX(GL!$B:$B,$C132)))</f>
        <v/>
      </c>
      <c r="E132" s="5" t="str">
        <f aca="false">IF(C132=0,"",IF($A132="Bank",IF(INDEX(Bank!$C:$C,$C132)="","",INDEX(Bank!$C:$C,$C132)),IF(INDEX(GL!$C:$C,$C132)="","",INDEX(GL!$C:$C,$C132))))</f>
        <v/>
      </c>
      <c r="F132" s="5" t="str">
        <f aca="false">IF(C132=0,"",IF($A132="Bank",IF(INDEX(Bank!$D:$D,$C132)="","",INDEX(Bank!$D:$D,$C132)),IF(INDEX(GL!$D:$D,$C132)="","",INDEX(GL!$D:$D,$C132))))</f>
        <v/>
      </c>
      <c r="G132" s="19" t="str">
        <f aca="false">IF(C132=0,"",IF($A132="Bank",INDEX(Bank!$E:$E,$C132),INDEX(GL!$E:$E,$C132)))</f>
        <v/>
      </c>
      <c r="H132" s="5" t="str">
        <f aca="false">IF(C132=0,"",IF(A132="GL",IF(G132&gt;0,"Deposit in transit","Outstanding check / payment"),IF(G132&gt;0,"Bank credit not in GL","Bank debit not in GL")))</f>
        <v/>
      </c>
      <c r="I132" s="42" t="str">
        <f aca="false">IF(OR(C132=0,CFG_PeriodEnd=""),"",CFG_PeriodEnd-D132)</f>
        <v/>
      </c>
      <c r="J132" s="5" t="str">
        <f aca="false">IF(C132=0,"",IF($A132="Bank",IF(INDEX(Bank!$G:$G,$C132)="","",INDEX(Bank!$G:$G,$C132)),IF(INDEX(GL!$G:$G,$C132)="","",INDEX(GL!$G:$G,$C132))))</f>
        <v/>
      </c>
      <c r="K132" s="5" t="str">
        <f aca="false">IF(C132=0,"",IF($A132="Bank",IF(INDEX(Bank!$I:$I,$C132)="","",INDEX(Bank!$I:$I,$C132)),IF(INDEX(GL!$I:$I,$C132)="","",INDEX(GL!$I:$I,$C132))))</f>
        <v/>
      </c>
      <c r="L132" s="5" t="str">
        <f aca="false">IF(B132="","",IF(C132=0,"NOT FOUND",IF(IF($A132="Bank",INDEX(Bank!$F:$F,$C132),INDEX(GL!$F:$F,$C132))="Y","NOW RECONCILED: refresh","OK")))</f>
        <v/>
      </c>
    </row>
    <row r="133" customFormat="false" ht="15" hidden="false" customHeight="false" outlineLevel="0" collapsed="false">
      <c r="A133" s="41"/>
      <c r="B133" s="41"/>
      <c r="C133" s="5" t="n">
        <f aca="false">IF(B133="",0,IF(A133="Bank",IFERROR(MATCH(B133,Bank!$A:$A,0),0),IFERROR(MATCH(B133,GL!$A:$A,0),0)))</f>
        <v>0</v>
      </c>
      <c r="D133" s="32" t="str">
        <f aca="false">IF(C133=0,"",IF($A133="Bank",INDEX(Bank!$B:$B,$C133),INDEX(GL!$B:$B,$C133)))</f>
        <v/>
      </c>
      <c r="E133" s="5" t="str">
        <f aca="false">IF(C133=0,"",IF($A133="Bank",IF(INDEX(Bank!$C:$C,$C133)="","",INDEX(Bank!$C:$C,$C133)),IF(INDEX(GL!$C:$C,$C133)="","",INDEX(GL!$C:$C,$C133))))</f>
        <v/>
      </c>
      <c r="F133" s="5" t="str">
        <f aca="false">IF(C133=0,"",IF($A133="Bank",IF(INDEX(Bank!$D:$D,$C133)="","",INDEX(Bank!$D:$D,$C133)),IF(INDEX(GL!$D:$D,$C133)="","",INDEX(GL!$D:$D,$C133))))</f>
        <v/>
      </c>
      <c r="G133" s="19" t="str">
        <f aca="false">IF(C133=0,"",IF($A133="Bank",INDEX(Bank!$E:$E,$C133),INDEX(GL!$E:$E,$C133)))</f>
        <v/>
      </c>
      <c r="H133" s="5" t="str">
        <f aca="false">IF(C133=0,"",IF(A133="GL",IF(G133&gt;0,"Deposit in transit","Outstanding check / payment"),IF(G133&gt;0,"Bank credit not in GL","Bank debit not in GL")))</f>
        <v/>
      </c>
      <c r="I133" s="42" t="str">
        <f aca="false">IF(OR(C133=0,CFG_PeriodEnd=""),"",CFG_PeriodEnd-D133)</f>
        <v/>
      </c>
      <c r="J133" s="5" t="str">
        <f aca="false">IF(C133=0,"",IF($A133="Bank",IF(INDEX(Bank!$G:$G,$C133)="","",INDEX(Bank!$G:$G,$C133)),IF(INDEX(GL!$G:$G,$C133)="","",INDEX(GL!$G:$G,$C133))))</f>
        <v/>
      </c>
      <c r="K133" s="5" t="str">
        <f aca="false">IF(C133=0,"",IF($A133="Bank",IF(INDEX(Bank!$I:$I,$C133)="","",INDEX(Bank!$I:$I,$C133)),IF(INDEX(GL!$I:$I,$C133)="","",INDEX(GL!$I:$I,$C133))))</f>
        <v/>
      </c>
      <c r="L133" s="5" t="str">
        <f aca="false">IF(B133="","",IF(C133=0,"NOT FOUND",IF(IF($A133="Bank",INDEX(Bank!$F:$F,$C133),INDEX(GL!$F:$F,$C133))="Y","NOW RECONCILED: refresh","OK")))</f>
        <v/>
      </c>
    </row>
    <row r="134" customFormat="false" ht="15" hidden="false" customHeight="false" outlineLevel="0" collapsed="false">
      <c r="A134" s="41"/>
      <c r="B134" s="41"/>
      <c r="C134" s="5" t="n">
        <f aca="false">IF(B134="",0,IF(A134="Bank",IFERROR(MATCH(B134,Bank!$A:$A,0),0),IFERROR(MATCH(B134,GL!$A:$A,0),0)))</f>
        <v>0</v>
      </c>
      <c r="D134" s="32" t="str">
        <f aca="false">IF(C134=0,"",IF($A134="Bank",INDEX(Bank!$B:$B,$C134),INDEX(GL!$B:$B,$C134)))</f>
        <v/>
      </c>
      <c r="E134" s="5" t="str">
        <f aca="false">IF(C134=0,"",IF($A134="Bank",IF(INDEX(Bank!$C:$C,$C134)="","",INDEX(Bank!$C:$C,$C134)),IF(INDEX(GL!$C:$C,$C134)="","",INDEX(GL!$C:$C,$C134))))</f>
        <v/>
      </c>
      <c r="F134" s="5" t="str">
        <f aca="false">IF(C134=0,"",IF($A134="Bank",IF(INDEX(Bank!$D:$D,$C134)="","",INDEX(Bank!$D:$D,$C134)),IF(INDEX(GL!$D:$D,$C134)="","",INDEX(GL!$D:$D,$C134))))</f>
        <v/>
      </c>
      <c r="G134" s="19" t="str">
        <f aca="false">IF(C134=0,"",IF($A134="Bank",INDEX(Bank!$E:$E,$C134),INDEX(GL!$E:$E,$C134)))</f>
        <v/>
      </c>
      <c r="H134" s="5" t="str">
        <f aca="false">IF(C134=0,"",IF(A134="GL",IF(G134&gt;0,"Deposit in transit","Outstanding check / payment"),IF(G134&gt;0,"Bank credit not in GL","Bank debit not in GL")))</f>
        <v/>
      </c>
      <c r="I134" s="42" t="str">
        <f aca="false">IF(OR(C134=0,CFG_PeriodEnd=""),"",CFG_PeriodEnd-D134)</f>
        <v/>
      </c>
      <c r="J134" s="5" t="str">
        <f aca="false">IF(C134=0,"",IF($A134="Bank",IF(INDEX(Bank!$G:$G,$C134)="","",INDEX(Bank!$G:$G,$C134)),IF(INDEX(GL!$G:$G,$C134)="","",INDEX(GL!$G:$G,$C134))))</f>
        <v/>
      </c>
      <c r="K134" s="5" t="str">
        <f aca="false">IF(C134=0,"",IF($A134="Bank",IF(INDEX(Bank!$I:$I,$C134)="","",INDEX(Bank!$I:$I,$C134)),IF(INDEX(GL!$I:$I,$C134)="","",INDEX(GL!$I:$I,$C134))))</f>
        <v/>
      </c>
      <c r="L134" s="5" t="str">
        <f aca="false">IF(B134="","",IF(C134=0,"NOT FOUND",IF(IF($A134="Bank",INDEX(Bank!$F:$F,$C134),INDEX(GL!$F:$F,$C134))="Y","NOW RECONCILED: refresh","OK")))</f>
        <v/>
      </c>
    </row>
    <row r="135" customFormat="false" ht="15" hidden="false" customHeight="false" outlineLevel="0" collapsed="false">
      <c r="A135" s="41"/>
      <c r="B135" s="41"/>
      <c r="C135" s="5" t="n">
        <f aca="false">IF(B135="",0,IF(A135="Bank",IFERROR(MATCH(B135,Bank!$A:$A,0),0),IFERROR(MATCH(B135,GL!$A:$A,0),0)))</f>
        <v>0</v>
      </c>
      <c r="D135" s="32" t="str">
        <f aca="false">IF(C135=0,"",IF($A135="Bank",INDEX(Bank!$B:$B,$C135),INDEX(GL!$B:$B,$C135)))</f>
        <v/>
      </c>
      <c r="E135" s="5" t="str">
        <f aca="false">IF(C135=0,"",IF($A135="Bank",IF(INDEX(Bank!$C:$C,$C135)="","",INDEX(Bank!$C:$C,$C135)),IF(INDEX(GL!$C:$C,$C135)="","",INDEX(GL!$C:$C,$C135))))</f>
        <v/>
      </c>
      <c r="F135" s="5" t="str">
        <f aca="false">IF(C135=0,"",IF($A135="Bank",IF(INDEX(Bank!$D:$D,$C135)="","",INDEX(Bank!$D:$D,$C135)),IF(INDEX(GL!$D:$D,$C135)="","",INDEX(GL!$D:$D,$C135))))</f>
        <v/>
      </c>
      <c r="G135" s="19" t="str">
        <f aca="false">IF(C135=0,"",IF($A135="Bank",INDEX(Bank!$E:$E,$C135),INDEX(GL!$E:$E,$C135)))</f>
        <v/>
      </c>
      <c r="H135" s="5" t="str">
        <f aca="false">IF(C135=0,"",IF(A135="GL",IF(G135&gt;0,"Deposit in transit","Outstanding check / payment"),IF(G135&gt;0,"Bank credit not in GL","Bank debit not in GL")))</f>
        <v/>
      </c>
      <c r="I135" s="42" t="str">
        <f aca="false">IF(OR(C135=0,CFG_PeriodEnd=""),"",CFG_PeriodEnd-D135)</f>
        <v/>
      </c>
      <c r="J135" s="5" t="str">
        <f aca="false">IF(C135=0,"",IF($A135="Bank",IF(INDEX(Bank!$G:$G,$C135)="","",INDEX(Bank!$G:$G,$C135)),IF(INDEX(GL!$G:$G,$C135)="","",INDEX(GL!$G:$G,$C135))))</f>
        <v/>
      </c>
      <c r="K135" s="5" t="str">
        <f aca="false">IF(C135=0,"",IF($A135="Bank",IF(INDEX(Bank!$I:$I,$C135)="","",INDEX(Bank!$I:$I,$C135)),IF(INDEX(GL!$I:$I,$C135)="","",INDEX(GL!$I:$I,$C135))))</f>
        <v/>
      </c>
      <c r="L135" s="5" t="str">
        <f aca="false">IF(B135="","",IF(C135=0,"NOT FOUND",IF(IF($A135="Bank",INDEX(Bank!$F:$F,$C135),INDEX(GL!$F:$F,$C135))="Y","NOW RECONCILED: refresh","OK")))</f>
        <v/>
      </c>
    </row>
    <row r="136" customFormat="false" ht="15" hidden="false" customHeight="false" outlineLevel="0" collapsed="false">
      <c r="A136" s="41"/>
      <c r="B136" s="41"/>
      <c r="C136" s="5" t="n">
        <f aca="false">IF(B136="",0,IF(A136="Bank",IFERROR(MATCH(B136,Bank!$A:$A,0),0),IFERROR(MATCH(B136,GL!$A:$A,0),0)))</f>
        <v>0</v>
      </c>
      <c r="D136" s="32" t="str">
        <f aca="false">IF(C136=0,"",IF($A136="Bank",INDEX(Bank!$B:$B,$C136),INDEX(GL!$B:$B,$C136)))</f>
        <v/>
      </c>
      <c r="E136" s="5" t="str">
        <f aca="false">IF(C136=0,"",IF($A136="Bank",IF(INDEX(Bank!$C:$C,$C136)="","",INDEX(Bank!$C:$C,$C136)),IF(INDEX(GL!$C:$C,$C136)="","",INDEX(GL!$C:$C,$C136))))</f>
        <v/>
      </c>
      <c r="F136" s="5" t="str">
        <f aca="false">IF(C136=0,"",IF($A136="Bank",IF(INDEX(Bank!$D:$D,$C136)="","",INDEX(Bank!$D:$D,$C136)),IF(INDEX(GL!$D:$D,$C136)="","",INDEX(GL!$D:$D,$C136))))</f>
        <v/>
      </c>
      <c r="G136" s="19" t="str">
        <f aca="false">IF(C136=0,"",IF($A136="Bank",INDEX(Bank!$E:$E,$C136),INDEX(GL!$E:$E,$C136)))</f>
        <v/>
      </c>
      <c r="H136" s="5" t="str">
        <f aca="false">IF(C136=0,"",IF(A136="GL",IF(G136&gt;0,"Deposit in transit","Outstanding check / payment"),IF(G136&gt;0,"Bank credit not in GL","Bank debit not in GL")))</f>
        <v/>
      </c>
      <c r="I136" s="42" t="str">
        <f aca="false">IF(OR(C136=0,CFG_PeriodEnd=""),"",CFG_PeriodEnd-D136)</f>
        <v/>
      </c>
      <c r="J136" s="5" t="str">
        <f aca="false">IF(C136=0,"",IF($A136="Bank",IF(INDEX(Bank!$G:$G,$C136)="","",INDEX(Bank!$G:$G,$C136)),IF(INDEX(GL!$G:$G,$C136)="","",INDEX(GL!$G:$G,$C136))))</f>
        <v/>
      </c>
      <c r="K136" s="5" t="str">
        <f aca="false">IF(C136=0,"",IF($A136="Bank",IF(INDEX(Bank!$I:$I,$C136)="","",INDEX(Bank!$I:$I,$C136)),IF(INDEX(GL!$I:$I,$C136)="","",INDEX(GL!$I:$I,$C136))))</f>
        <v/>
      </c>
      <c r="L136" s="5" t="str">
        <f aca="false">IF(B136="","",IF(C136=0,"NOT FOUND",IF(IF($A136="Bank",INDEX(Bank!$F:$F,$C136),INDEX(GL!$F:$F,$C136))="Y","NOW RECONCILED: refresh","OK")))</f>
        <v/>
      </c>
    </row>
    <row r="137" customFormat="false" ht="15" hidden="false" customHeight="false" outlineLevel="0" collapsed="false">
      <c r="A137" s="41"/>
      <c r="B137" s="41"/>
      <c r="C137" s="5" t="n">
        <f aca="false">IF(B137="",0,IF(A137="Bank",IFERROR(MATCH(B137,Bank!$A:$A,0),0),IFERROR(MATCH(B137,GL!$A:$A,0),0)))</f>
        <v>0</v>
      </c>
      <c r="D137" s="32" t="str">
        <f aca="false">IF(C137=0,"",IF($A137="Bank",INDEX(Bank!$B:$B,$C137),INDEX(GL!$B:$B,$C137)))</f>
        <v/>
      </c>
      <c r="E137" s="5" t="str">
        <f aca="false">IF(C137=0,"",IF($A137="Bank",IF(INDEX(Bank!$C:$C,$C137)="","",INDEX(Bank!$C:$C,$C137)),IF(INDEX(GL!$C:$C,$C137)="","",INDEX(GL!$C:$C,$C137))))</f>
        <v/>
      </c>
      <c r="F137" s="5" t="str">
        <f aca="false">IF(C137=0,"",IF($A137="Bank",IF(INDEX(Bank!$D:$D,$C137)="","",INDEX(Bank!$D:$D,$C137)),IF(INDEX(GL!$D:$D,$C137)="","",INDEX(GL!$D:$D,$C137))))</f>
        <v/>
      </c>
      <c r="G137" s="19" t="str">
        <f aca="false">IF(C137=0,"",IF($A137="Bank",INDEX(Bank!$E:$E,$C137),INDEX(GL!$E:$E,$C137)))</f>
        <v/>
      </c>
      <c r="H137" s="5" t="str">
        <f aca="false">IF(C137=0,"",IF(A137="GL",IF(G137&gt;0,"Deposit in transit","Outstanding check / payment"),IF(G137&gt;0,"Bank credit not in GL","Bank debit not in GL")))</f>
        <v/>
      </c>
      <c r="I137" s="42" t="str">
        <f aca="false">IF(OR(C137=0,CFG_PeriodEnd=""),"",CFG_PeriodEnd-D137)</f>
        <v/>
      </c>
      <c r="J137" s="5" t="str">
        <f aca="false">IF(C137=0,"",IF($A137="Bank",IF(INDEX(Bank!$G:$G,$C137)="","",INDEX(Bank!$G:$G,$C137)),IF(INDEX(GL!$G:$G,$C137)="","",INDEX(GL!$G:$G,$C137))))</f>
        <v/>
      </c>
      <c r="K137" s="5" t="str">
        <f aca="false">IF(C137=0,"",IF($A137="Bank",IF(INDEX(Bank!$I:$I,$C137)="","",INDEX(Bank!$I:$I,$C137)),IF(INDEX(GL!$I:$I,$C137)="","",INDEX(GL!$I:$I,$C137))))</f>
        <v/>
      </c>
      <c r="L137" s="5" t="str">
        <f aca="false">IF(B137="","",IF(C137=0,"NOT FOUND",IF(IF($A137="Bank",INDEX(Bank!$F:$F,$C137),INDEX(GL!$F:$F,$C137))="Y","NOW RECONCILED: refresh","OK")))</f>
        <v/>
      </c>
    </row>
    <row r="138" customFormat="false" ht="15" hidden="false" customHeight="false" outlineLevel="0" collapsed="false">
      <c r="A138" s="41"/>
      <c r="B138" s="41"/>
      <c r="C138" s="5" t="n">
        <f aca="false">IF(B138="",0,IF(A138="Bank",IFERROR(MATCH(B138,Bank!$A:$A,0),0),IFERROR(MATCH(B138,GL!$A:$A,0),0)))</f>
        <v>0</v>
      </c>
      <c r="D138" s="32" t="str">
        <f aca="false">IF(C138=0,"",IF($A138="Bank",INDEX(Bank!$B:$B,$C138),INDEX(GL!$B:$B,$C138)))</f>
        <v/>
      </c>
      <c r="E138" s="5" t="str">
        <f aca="false">IF(C138=0,"",IF($A138="Bank",IF(INDEX(Bank!$C:$C,$C138)="","",INDEX(Bank!$C:$C,$C138)),IF(INDEX(GL!$C:$C,$C138)="","",INDEX(GL!$C:$C,$C138))))</f>
        <v/>
      </c>
      <c r="F138" s="5" t="str">
        <f aca="false">IF(C138=0,"",IF($A138="Bank",IF(INDEX(Bank!$D:$D,$C138)="","",INDEX(Bank!$D:$D,$C138)),IF(INDEX(GL!$D:$D,$C138)="","",INDEX(GL!$D:$D,$C138))))</f>
        <v/>
      </c>
      <c r="G138" s="19" t="str">
        <f aca="false">IF(C138=0,"",IF($A138="Bank",INDEX(Bank!$E:$E,$C138),INDEX(GL!$E:$E,$C138)))</f>
        <v/>
      </c>
      <c r="H138" s="5" t="str">
        <f aca="false">IF(C138=0,"",IF(A138="GL",IF(G138&gt;0,"Deposit in transit","Outstanding check / payment"),IF(G138&gt;0,"Bank credit not in GL","Bank debit not in GL")))</f>
        <v/>
      </c>
      <c r="I138" s="42" t="str">
        <f aca="false">IF(OR(C138=0,CFG_PeriodEnd=""),"",CFG_PeriodEnd-D138)</f>
        <v/>
      </c>
      <c r="J138" s="5" t="str">
        <f aca="false">IF(C138=0,"",IF($A138="Bank",IF(INDEX(Bank!$G:$G,$C138)="","",INDEX(Bank!$G:$G,$C138)),IF(INDEX(GL!$G:$G,$C138)="","",INDEX(GL!$G:$G,$C138))))</f>
        <v/>
      </c>
      <c r="K138" s="5" t="str">
        <f aca="false">IF(C138=0,"",IF($A138="Bank",IF(INDEX(Bank!$I:$I,$C138)="","",INDEX(Bank!$I:$I,$C138)),IF(INDEX(GL!$I:$I,$C138)="","",INDEX(GL!$I:$I,$C138))))</f>
        <v/>
      </c>
      <c r="L138" s="5" t="str">
        <f aca="false">IF(B138="","",IF(C138=0,"NOT FOUND",IF(IF($A138="Bank",INDEX(Bank!$F:$F,$C138),INDEX(GL!$F:$F,$C138))="Y","NOW RECONCILED: refresh","OK")))</f>
        <v/>
      </c>
    </row>
    <row r="139" customFormat="false" ht="15" hidden="false" customHeight="false" outlineLevel="0" collapsed="false">
      <c r="A139" s="41"/>
      <c r="B139" s="41"/>
      <c r="C139" s="5" t="n">
        <f aca="false">IF(B139="",0,IF(A139="Bank",IFERROR(MATCH(B139,Bank!$A:$A,0),0),IFERROR(MATCH(B139,GL!$A:$A,0),0)))</f>
        <v>0</v>
      </c>
      <c r="D139" s="32" t="str">
        <f aca="false">IF(C139=0,"",IF($A139="Bank",INDEX(Bank!$B:$B,$C139),INDEX(GL!$B:$B,$C139)))</f>
        <v/>
      </c>
      <c r="E139" s="5" t="str">
        <f aca="false">IF(C139=0,"",IF($A139="Bank",IF(INDEX(Bank!$C:$C,$C139)="","",INDEX(Bank!$C:$C,$C139)),IF(INDEX(GL!$C:$C,$C139)="","",INDEX(GL!$C:$C,$C139))))</f>
        <v/>
      </c>
      <c r="F139" s="5" t="str">
        <f aca="false">IF(C139=0,"",IF($A139="Bank",IF(INDEX(Bank!$D:$D,$C139)="","",INDEX(Bank!$D:$D,$C139)),IF(INDEX(GL!$D:$D,$C139)="","",INDEX(GL!$D:$D,$C139))))</f>
        <v/>
      </c>
      <c r="G139" s="19" t="str">
        <f aca="false">IF(C139=0,"",IF($A139="Bank",INDEX(Bank!$E:$E,$C139),INDEX(GL!$E:$E,$C139)))</f>
        <v/>
      </c>
      <c r="H139" s="5" t="str">
        <f aca="false">IF(C139=0,"",IF(A139="GL",IF(G139&gt;0,"Deposit in transit","Outstanding check / payment"),IF(G139&gt;0,"Bank credit not in GL","Bank debit not in GL")))</f>
        <v/>
      </c>
      <c r="I139" s="42" t="str">
        <f aca="false">IF(OR(C139=0,CFG_PeriodEnd=""),"",CFG_PeriodEnd-D139)</f>
        <v/>
      </c>
      <c r="J139" s="5" t="str">
        <f aca="false">IF(C139=0,"",IF($A139="Bank",IF(INDEX(Bank!$G:$G,$C139)="","",INDEX(Bank!$G:$G,$C139)),IF(INDEX(GL!$G:$G,$C139)="","",INDEX(GL!$G:$G,$C139))))</f>
        <v/>
      </c>
      <c r="K139" s="5" t="str">
        <f aca="false">IF(C139=0,"",IF($A139="Bank",IF(INDEX(Bank!$I:$I,$C139)="","",INDEX(Bank!$I:$I,$C139)),IF(INDEX(GL!$I:$I,$C139)="","",INDEX(GL!$I:$I,$C139))))</f>
        <v/>
      </c>
      <c r="L139" s="5" t="str">
        <f aca="false">IF(B139="","",IF(C139=0,"NOT FOUND",IF(IF($A139="Bank",INDEX(Bank!$F:$F,$C139),INDEX(GL!$F:$F,$C139))="Y","NOW RECONCILED: refresh","OK")))</f>
        <v/>
      </c>
    </row>
    <row r="140" customFormat="false" ht="15" hidden="false" customHeight="false" outlineLevel="0" collapsed="false">
      <c r="A140" s="41"/>
      <c r="B140" s="41"/>
      <c r="C140" s="5" t="n">
        <f aca="false">IF(B140="",0,IF(A140="Bank",IFERROR(MATCH(B140,Bank!$A:$A,0),0),IFERROR(MATCH(B140,GL!$A:$A,0),0)))</f>
        <v>0</v>
      </c>
      <c r="D140" s="32" t="str">
        <f aca="false">IF(C140=0,"",IF($A140="Bank",INDEX(Bank!$B:$B,$C140),INDEX(GL!$B:$B,$C140)))</f>
        <v/>
      </c>
      <c r="E140" s="5" t="str">
        <f aca="false">IF(C140=0,"",IF($A140="Bank",IF(INDEX(Bank!$C:$C,$C140)="","",INDEX(Bank!$C:$C,$C140)),IF(INDEX(GL!$C:$C,$C140)="","",INDEX(GL!$C:$C,$C140))))</f>
        <v/>
      </c>
      <c r="F140" s="5" t="str">
        <f aca="false">IF(C140=0,"",IF($A140="Bank",IF(INDEX(Bank!$D:$D,$C140)="","",INDEX(Bank!$D:$D,$C140)),IF(INDEX(GL!$D:$D,$C140)="","",INDEX(GL!$D:$D,$C140))))</f>
        <v/>
      </c>
      <c r="G140" s="19" t="str">
        <f aca="false">IF(C140=0,"",IF($A140="Bank",INDEX(Bank!$E:$E,$C140),INDEX(GL!$E:$E,$C140)))</f>
        <v/>
      </c>
      <c r="H140" s="5" t="str">
        <f aca="false">IF(C140=0,"",IF(A140="GL",IF(G140&gt;0,"Deposit in transit","Outstanding check / payment"),IF(G140&gt;0,"Bank credit not in GL","Bank debit not in GL")))</f>
        <v/>
      </c>
      <c r="I140" s="42" t="str">
        <f aca="false">IF(OR(C140=0,CFG_PeriodEnd=""),"",CFG_PeriodEnd-D140)</f>
        <v/>
      </c>
      <c r="J140" s="5" t="str">
        <f aca="false">IF(C140=0,"",IF($A140="Bank",IF(INDEX(Bank!$G:$G,$C140)="","",INDEX(Bank!$G:$G,$C140)),IF(INDEX(GL!$G:$G,$C140)="","",INDEX(GL!$G:$G,$C140))))</f>
        <v/>
      </c>
      <c r="K140" s="5" t="str">
        <f aca="false">IF(C140=0,"",IF($A140="Bank",IF(INDEX(Bank!$I:$I,$C140)="","",INDEX(Bank!$I:$I,$C140)),IF(INDEX(GL!$I:$I,$C140)="","",INDEX(GL!$I:$I,$C140))))</f>
        <v/>
      </c>
      <c r="L140" s="5" t="str">
        <f aca="false">IF(B140="","",IF(C140=0,"NOT FOUND",IF(IF($A140="Bank",INDEX(Bank!$F:$F,$C140),INDEX(GL!$F:$F,$C140))="Y","NOW RECONCILED: refresh","OK")))</f>
        <v/>
      </c>
    </row>
    <row r="141" customFormat="false" ht="15" hidden="false" customHeight="false" outlineLevel="0" collapsed="false">
      <c r="A141" s="41"/>
      <c r="B141" s="41"/>
      <c r="C141" s="5" t="n">
        <f aca="false">IF(B141="",0,IF(A141="Bank",IFERROR(MATCH(B141,Bank!$A:$A,0),0),IFERROR(MATCH(B141,GL!$A:$A,0),0)))</f>
        <v>0</v>
      </c>
      <c r="D141" s="32" t="str">
        <f aca="false">IF(C141=0,"",IF($A141="Bank",INDEX(Bank!$B:$B,$C141),INDEX(GL!$B:$B,$C141)))</f>
        <v/>
      </c>
      <c r="E141" s="5" t="str">
        <f aca="false">IF(C141=0,"",IF($A141="Bank",IF(INDEX(Bank!$C:$C,$C141)="","",INDEX(Bank!$C:$C,$C141)),IF(INDEX(GL!$C:$C,$C141)="","",INDEX(GL!$C:$C,$C141))))</f>
        <v/>
      </c>
      <c r="F141" s="5" t="str">
        <f aca="false">IF(C141=0,"",IF($A141="Bank",IF(INDEX(Bank!$D:$D,$C141)="","",INDEX(Bank!$D:$D,$C141)),IF(INDEX(GL!$D:$D,$C141)="","",INDEX(GL!$D:$D,$C141))))</f>
        <v/>
      </c>
      <c r="G141" s="19" t="str">
        <f aca="false">IF(C141=0,"",IF($A141="Bank",INDEX(Bank!$E:$E,$C141),INDEX(GL!$E:$E,$C141)))</f>
        <v/>
      </c>
      <c r="H141" s="5" t="str">
        <f aca="false">IF(C141=0,"",IF(A141="GL",IF(G141&gt;0,"Deposit in transit","Outstanding check / payment"),IF(G141&gt;0,"Bank credit not in GL","Bank debit not in GL")))</f>
        <v/>
      </c>
      <c r="I141" s="42" t="str">
        <f aca="false">IF(OR(C141=0,CFG_PeriodEnd=""),"",CFG_PeriodEnd-D141)</f>
        <v/>
      </c>
      <c r="J141" s="5" t="str">
        <f aca="false">IF(C141=0,"",IF($A141="Bank",IF(INDEX(Bank!$G:$G,$C141)="","",INDEX(Bank!$G:$G,$C141)),IF(INDEX(GL!$G:$G,$C141)="","",INDEX(GL!$G:$G,$C141))))</f>
        <v/>
      </c>
      <c r="K141" s="5" t="str">
        <f aca="false">IF(C141=0,"",IF($A141="Bank",IF(INDEX(Bank!$I:$I,$C141)="","",INDEX(Bank!$I:$I,$C141)),IF(INDEX(GL!$I:$I,$C141)="","",INDEX(GL!$I:$I,$C141))))</f>
        <v/>
      </c>
      <c r="L141" s="5" t="str">
        <f aca="false">IF(B141="","",IF(C141=0,"NOT FOUND",IF(IF($A141="Bank",INDEX(Bank!$F:$F,$C141),INDEX(GL!$F:$F,$C141))="Y","NOW RECONCILED: refresh","OK")))</f>
        <v/>
      </c>
    </row>
    <row r="142" customFormat="false" ht="15" hidden="false" customHeight="false" outlineLevel="0" collapsed="false">
      <c r="A142" s="41"/>
      <c r="B142" s="41"/>
      <c r="C142" s="5" t="n">
        <f aca="false">IF(B142="",0,IF(A142="Bank",IFERROR(MATCH(B142,Bank!$A:$A,0),0),IFERROR(MATCH(B142,GL!$A:$A,0),0)))</f>
        <v>0</v>
      </c>
      <c r="D142" s="32" t="str">
        <f aca="false">IF(C142=0,"",IF($A142="Bank",INDEX(Bank!$B:$B,$C142),INDEX(GL!$B:$B,$C142)))</f>
        <v/>
      </c>
      <c r="E142" s="5" t="str">
        <f aca="false">IF(C142=0,"",IF($A142="Bank",IF(INDEX(Bank!$C:$C,$C142)="","",INDEX(Bank!$C:$C,$C142)),IF(INDEX(GL!$C:$C,$C142)="","",INDEX(GL!$C:$C,$C142))))</f>
        <v/>
      </c>
      <c r="F142" s="5" t="str">
        <f aca="false">IF(C142=0,"",IF($A142="Bank",IF(INDEX(Bank!$D:$D,$C142)="","",INDEX(Bank!$D:$D,$C142)),IF(INDEX(GL!$D:$D,$C142)="","",INDEX(GL!$D:$D,$C142))))</f>
        <v/>
      </c>
      <c r="G142" s="19" t="str">
        <f aca="false">IF(C142=0,"",IF($A142="Bank",INDEX(Bank!$E:$E,$C142),INDEX(GL!$E:$E,$C142)))</f>
        <v/>
      </c>
      <c r="H142" s="5" t="str">
        <f aca="false">IF(C142=0,"",IF(A142="GL",IF(G142&gt;0,"Deposit in transit","Outstanding check / payment"),IF(G142&gt;0,"Bank credit not in GL","Bank debit not in GL")))</f>
        <v/>
      </c>
      <c r="I142" s="42" t="str">
        <f aca="false">IF(OR(C142=0,CFG_PeriodEnd=""),"",CFG_PeriodEnd-D142)</f>
        <v/>
      </c>
      <c r="J142" s="5" t="str">
        <f aca="false">IF(C142=0,"",IF($A142="Bank",IF(INDEX(Bank!$G:$G,$C142)="","",INDEX(Bank!$G:$G,$C142)),IF(INDEX(GL!$G:$G,$C142)="","",INDEX(GL!$G:$G,$C142))))</f>
        <v/>
      </c>
      <c r="K142" s="5" t="str">
        <f aca="false">IF(C142=0,"",IF($A142="Bank",IF(INDEX(Bank!$I:$I,$C142)="","",INDEX(Bank!$I:$I,$C142)),IF(INDEX(GL!$I:$I,$C142)="","",INDEX(GL!$I:$I,$C142))))</f>
        <v/>
      </c>
      <c r="L142" s="5" t="str">
        <f aca="false">IF(B142="","",IF(C142=0,"NOT FOUND",IF(IF($A142="Bank",INDEX(Bank!$F:$F,$C142),INDEX(GL!$F:$F,$C142))="Y","NOW RECONCILED: refresh","OK")))</f>
        <v/>
      </c>
    </row>
    <row r="143" customFormat="false" ht="15" hidden="false" customHeight="false" outlineLevel="0" collapsed="false">
      <c r="A143" s="41"/>
      <c r="B143" s="41"/>
      <c r="C143" s="5" t="n">
        <f aca="false">IF(B143="",0,IF(A143="Bank",IFERROR(MATCH(B143,Bank!$A:$A,0),0),IFERROR(MATCH(B143,GL!$A:$A,0),0)))</f>
        <v>0</v>
      </c>
      <c r="D143" s="32" t="str">
        <f aca="false">IF(C143=0,"",IF($A143="Bank",INDEX(Bank!$B:$B,$C143),INDEX(GL!$B:$B,$C143)))</f>
        <v/>
      </c>
      <c r="E143" s="5" t="str">
        <f aca="false">IF(C143=0,"",IF($A143="Bank",IF(INDEX(Bank!$C:$C,$C143)="","",INDEX(Bank!$C:$C,$C143)),IF(INDEX(GL!$C:$C,$C143)="","",INDEX(GL!$C:$C,$C143))))</f>
        <v/>
      </c>
      <c r="F143" s="5" t="str">
        <f aca="false">IF(C143=0,"",IF($A143="Bank",IF(INDEX(Bank!$D:$D,$C143)="","",INDEX(Bank!$D:$D,$C143)),IF(INDEX(GL!$D:$D,$C143)="","",INDEX(GL!$D:$D,$C143))))</f>
        <v/>
      </c>
      <c r="G143" s="19" t="str">
        <f aca="false">IF(C143=0,"",IF($A143="Bank",INDEX(Bank!$E:$E,$C143),INDEX(GL!$E:$E,$C143)))</f>
        <v/>
      </c>
      <c r="H143" s="5" t="str">
        <f aca="false">IF(C143=0,"",IF(A143="GL",IF(G143&gt;0,"Deposit in transit","Outstanding check / payment"),IF(G143&gt;0,"Bank credit not in GL","Bank debit not in GL")))</f>
        <v/>
      </c>
      <c r="I143" s="42" t="str">
        <f aca="false">IF(OR(C143=0,CFG_PeriodEnd=""),"",CFG_PeriodEnd-D143)</f>
        <v/>
      </c>
      <c r="J143" s="5" t="str">
        <f aca="false">IF(C143=0,"",IF($A143="Bank",IF(INDEX(Bank!$G:$G,$C143)="","",INDEX(Bank!$G:$G,$C143)),IF(INDEX(GL!$G:$G,$C143)="","",INDEX(GL!$G:$G,$C143))))</f>
        <v/>
      </c>
      <c r="K143" s="5" t="str">
        <f aca="false">IF(C143=0,"",IF($A143="Bank",IF(INDEX(Bank!$I:$I,$C143)="","",INDEX(Bank!$I:$I,$C143)),IF(INDEX(GL!$I:$I,$C143)="","",INDEX(GL!$I:$I,$C143))))</f>
        <v/>
      </c>
      <c r="L143" s="5" t="str">
        <f aca="false">IF(B143="","",IF(C143=0,"NOT FOUND",IF(IF($A143="Bank",INDEX(Bank!$F:$F,$C143),INDEX(GL!$F:$F,$C143))="Y","NOW RECONCILED: refresh","OK")))</f>
        <v/>
      </c>
    </row>
    <row r="144" customFormat="false" ht="15" hidden="false" customHeight="false" outlineLevel="0" collapsed="false">
      <c r="A144" s="41"/>
      <c r="B144" s="41"/>
      <c r="C144" s="5" t="n">
        <f aca="false">IF(B144="",0,IF(A144="Bank",IFERROR(MATCH(B144,Bank!$A:$A,0),0),IFERROR(MATCH(B144,GL!$A:$A,0),0)))</f>
        <v>0</v>
      </c>
      <c r="D144" s="32" t="str">
        <f aca="false">IF(C144=0,"",IF($A144="Bank",INDEX(Bank!$B:$B,$C144),INDEX(GL!$B:$B,$C144)))</f>
        <v/>
      </c>
      <c r="E144" s="5" t="str">
        <f aca="false">IF(C144=0,"",IF($A144="Bank",IF(INDEX(Bank!$C:$C,$C144)="","",INDEX(Bank!$C:$C,$C144)),IF(INDEX(GL!$C:$C,$C144)="","",INDEX(GL!$C:$C,$C144))))</f>
        <v/>
      </c>
      <c r="F144" s="5" t="str">
        <f aca="false">IF(C144=0,"",IF($A144="Bank",IF(INDEX(Bank!$D:$D,$C144)="","",INDEX(Bank!$D:$D,$C144)),IF(INDEX(GL!$D:$D,$C144)="","",INDEX(GL!$D:$D,$C144))))</f>
        <v/>
      </c>
      <c r="G144" s="19" t="str">
        <f aca="false">IF(C144=0,"",IF($A144="Bank",INDEX(Bank!$E:$E,$C144),INDEX(GL!$E:$E,$C144)))</f>
        <v/>
      </c>
      <c r="H144" s="5" t="str">
        <f aca="false">IF(C144=0,"",IF(A144="GL",IF(G144&gt;0,"Deposit in transit","Outstanding check / payment"),IF(G144&gt;0,"Bank credit not in GL","Bank debit not in GL")))</f>
        <v/>
      </c>
      <c r="I144" s="42" t="str">
        <f aca="false">IF(OR(C144=0,CFG_PeriodEnd=""),"",CFG_PeriodEnd-D144)</f>
        <v/>
      </c>
      <c r="J144" s="5" t="str">
        <f aca="false">IF(C144=0,"",IF($A144="Bank",IF(INDEX(Bank!$G:$G,$C144)="","",INDEX(Bank!$G:$G,$C144)),IF(INDEX(GL!$G:$G,$C144)="","",INDEX(GL!$G:$G,$C144))))</f>
        <v/>
      </c>
      <c r="K144" s="5" t="str">
        <f aca="false">IF(C144=0,"",IF($A144="Bank",IF(INDEX(Bank!$I:$I,$C144)="","",INDEX(Bank!$I:$I,$C144)),IF(INDEX(GL!$I:$I,$C144)="","",INDEX(GL!$I:$I,$C144))))</f>
        <v/>
      </c>
      <c r="L144" s="5" t="str">
        <f aca="false">IF(B144="","",IF(C144=0,"NOT FOUND",IF(IF($A144="Bank",INDEX(Bank!$F:$F,$C144),INDEX(GL!$F:$F,$C144))="Y","NOW RECONCILED: refresh","OK")))</f>
        <v/>
      </c>
    </row>
    <row r="145" customFormat="false" ht="15" hidden="false" customHeight="false" outlineLevel="0" collapsed="false">
      <c r="A145" s="41"/>
      <c r="B145" s="41"/>
      <c r="C145" s="5" t="n">
        <f aca="false">IF(B145="",0,IF(A145="Bank",IFERROR(MATCH(B145,Bank!$A:$A,0),0),IFERROR(MATCH(B145,GL!$A:$A,0),0)))</f>
        <v>0</v>
      </c>
      <c r="D145" s="32" t="str">
        <f aca="false">IF(C145=0,"",IF($A145="Bank",INDEX(Bank!$B:$B,$C145),INDEX(GL!$B:$B,$C145)))</f>
        <v/>
      </c>
      <c r="E145" s="5" t="str">
        <f aca="false">IF(C145=0,"",IF($A145="Bank",IF(INDEX(Bank!$C:$C,$C145)="","",INDEX(Bank!$C:$C,$C145)),IF(INDEX(GL!$C:$C,$C145)="","",INDEX(GL!$C:$C,$C145))))</f>
        <v/>
      </c>
      <c r="F145" s="5" t="str">
        <f aca="false">IF(C145=0,"",IF($A145="Bank",IF(INDEX(Bank!$D:$D,$C145)="","",INDEX(Bank!$D:$D,$C145)),IF(INDEX(GL!$D:$D,$C145)="","",INDEX(GL!$D:$D,$C145))))</f>
        <v/>
      </c>
      <c r="G145" s="19" t="str">
        <f aca="false">IF(C145=0,"",IF($A145="Bank",INDEX(Bank!$E:$E,$C145),INDEX(GL!$E:$E,$C145)))</f>
        <v/>
      </c>
      <c r="H145" s="5" t="str">
        <f aca="false">IF(C145=0,"",IF(A145="GL",IF(G145&gt;0,"Deposit in transit","Outstanding check / payment"),IF(G145&gt;0,"Bank credit not in GL","Bank debit not in GL")))</f>
        <v/>
      </c>
      <c r="I145" s="42" t="str">
        <f aca="false">IF(OR(C145=0,CFG_PeriodEnd=""),"",CFG_PeriodEnd-D145)</f>
        <v/>
      </c>
      <c r="J145" s="5" t="str">
        <f aca="false">IF(C145=0,"",IF($A145="Bank",IF(INDEX(Bank!$G:$G,$C145)="","",INDEX(Bank!$G:$G,$C145)),IF(INDEX(GL!$G:$G,$C145)="","",INDEX(GL!$G:$G,$C145))))</f>
        <v/>
      </c>
      <c r="K145" s="5" t="str">
        <f aca="false">IF(C145=0,"",IF($A145="Bank",IF(INDEX(Bank!$I:$I,$C145)="","",INDEX(Bank!$I:$I,$C145)),IF(INDEX(GL!$I:$I,$C145)="","",INDEX(GL!$I:$I,$C145))))</f>
        <v/>
      </c>
      <c r="L145" s="5" t="str">
        <f aca="false">IF(B145="","",IF(C145=0,"NOT FOUND",IF(IF($A145="Bank",INDEX(Bank!$F:$F,$C145),INDEX(GL!$F:$F,$C145))="Y","NOW RECONCILED: refresh","OK")))</f>
        <v/>
      </c>
    </row>
    <row r="146" customFormat="false" ht="15" hidden="false" customHeight="false" outlineLevel="0" collapsed="false">
      <c r="A146" s="41"/>
      <c r="B146" s="41"/>
      <c r="C146" s="5" t="n">
        <f aca="false">IF(B146="",0,IF(A146="Bank",IFERROR(MATCH(B146,Bank!$A:$A,0),0),IFERROR(MATCH(B146,GL!$A:$A,0),0)))</f>
        <v>0</v>
      </c>
      <c r="D146" s="32" t="str">
        <f aca="false">IF(C146=0,"",IF($A146="Bank",INDEX(Bank!$B:$B,$C146),INDEX(GL!$B:$B,$C146)))</f>
        <v/>
      </c>
      <c r="E146" s="5" t="str">
        <f aca="false">IF(C146=0,"",IF($A146="Bank",IF(INDEX(Bank!$C:$C,$C146)="","",INDEX(Bank!$C:$C,$C146)),IF(INDEX(GL!$C:$C,$C146)="","",INDEX(GL!$C:$C,$C146))))</f>
        <v/>
      </c>
      <c r="F146" s="5" t="str">
        <f aca="false">IF(C146=0,"",IF($A146="Bank",IF(INDEX(Bank!$D:$D,$C146)="","",INDEX(Bank!$D:$D,$C146)),IF(INDEX(GL!$D:$D,$C146)="","",INDEX(GL!$D:$D,$C146))))</f>
        <v/>
      </c>
      <c r="G146" s="19" t="str">
        <f aca="false">IF(C146=0,"",IF($A146="Bank",INDEX(Bank!$E:$E,$C146),INDEX(GL!$E:$E,$C146)))</f>
        <v/>
      </c>
      <c r="H146" s="5" t="str">
        <f aca="false">IF(C146=0,"",IF(A146="GL",IF(G146&gt;0,"Deposit in transit","Outstanding check / payment"),IF(G146&gt;0,"Bank credit not in GL","Bank debit not in GL")))</f>
        <v/>
      </c>
      <c r="I146" s="42" t="str">
        <f aca="false">IF(OR(C146=0,CFG_PeriodEnd=""),"",CFG_PeriodEnd-D146)</f>
        <v/>
      </c>
      <c r="J146" s="5" t="str">
        <f aca="false">IF(C146=0,"",IF($A146="Bank",IF(INDEX(Bank!$G:$G,$C146)="","",INDEX(Bank!$G:$G,$C146)),IF(INDEX(GL!$G:$G,$C146)="","",INDEX(GL!$G:$G,$C146))))</f>
        <v/>
      </c>
      <c r="K146" s="5" t="str">
        <f aca="false">IF(C146=0,"",IF($A146="Bank",IF(INDEX(Bank!$I:$I,$C146)="","",INDEX(Bank!$I:$I,$C146)),IF(INDEX(GL!$I:$I,$C146)="","",INDEX(GL!$I:$I,$C146))))</f>
        <v/>
      </c>
      <c r="L146" s="5" t="str">
        <f aca="false">IF(B146="","",IF(C146=0,"NOT FOUND",IF(IF($A146="Bank",INDEX(Bank!$F:$F,$C146),INDEX(GL!$F:$F,$C146))="Y","NOW RECONCILED: refresh","OK")))</f>
        <v/>
      </c>
    </row>
    <row r="147" customFormat="false" ht="15" hidden="false" customHeight="false" outlineLevel="0" collapsed="false">
      <c r="A147" s="41"/>
      <c r="B147" s="41"/>
      <c r="C147" s="5" t="n">
        <f aca="false">IF(B147="",0,IF(A147="Bank",IFERROR(MATCH(B147,Bank!$A:$A,0),0),IFERROR(MATCH(B147,GL!$A:$A,0),0)))</f>
        <v>0</v>
      </c>
      <c r="D147" s="32" t="str">
        <f aca="false">IF(C147=0,"",IF($A147="Bank",INDEX(Bank!$B:$B,$C147),INDEX(GL!$B:$B,$C147)))</f>
        <v/>
      </c>
      <c r="E147" s="5" t="str">
        <f aca="false">IF(C147=0,"",IF($A147="Bank",IF(INDEX(Bank!$C:$C,$C147)="","",INDEX(Bank!$C:$C,$C147)),IF(INDEX(GL!$C:$C,$C147)="","",INDEX(GL!$C:$C,$C147))))</f>
        <v/>
      </c>
      <c r="F147" s="5" t="str">
        <f aca="false">IF(C147=0,"",IF($A147="Bank",IF(INDEX(Bank!$D:$D,$C147)="","",INDEX(Bank!$D:$D,$C147)),IF(INDEX(GL!$D:$D,$C147)="","",INDEX(GL!$D:$D,$C147))))</f>
        <v/>
      </c>
      <c r="G147" s="19" t="str">
        <f aca="false">IF(C147=0,"",IF($A147="Bank",INDEX(Bank!$E:$E,$C147),INDEX(GL!$E:$E,$C147)))</f>
        <v/>
      </c>
      <c r="H147" s="5" t="str">
        <f aca="false">IF(C147=0,"",IF(A147="GL",IF(G147&gt;0,"Deposit in transit","Outstanding check / payment"),IF(G147&gt;0,"Bank credit not in GL","Bank debit not in GL")))</f>
        <v/>
      </c>
      <c r="I147" s="42" t="str">
        <f aca="false">IF(OR(C147=0,CFG_PeriodEnd=""),"",CFG_PeriodEnd-D147)</f>
        <v/>
      </c>
      <c r="J147" s="5" t="str">
        <f aca="false">IF(C147=0,"",IF($A147="Bank",IF(INDEX(Bank!$G:$G,$C147)="","",INDEX(Bank!$G:$G,$C147)),IF(INDEX(GL!$G:$G,$C147)="","",INDEX(GL!$G:$G,$C147))))</f>
        <v/>
      </c>
      <c r="K147" s="5" t="str">
        <f aca="false">IF(C147=0,"",IF($A147="Bank",IF(INDEX(Bank!$I:$I,$C147)="","",INDEX(Bank!$I:$I,$C147)),IF(INDEX(GL!$I:$I,$C147)="","",INDEX(GL!$I:$I,$C147))))</f>
        <v/>
      </c>
      <c r="L147" s="5" t="str">
        <f aca="false">IF(B147="","",IF(C147=0,"NOT FOUND",IF(IF($A147="Bank",INDEX(Bank!$F:$F,$C147),INDEX(GL!$F:$F,$C147))="Y","NOW RECONCILED: refresh","OK")))</f>
        <v/>
      </c>
    </row>
    <row r="148" customFormat="false" ht="15" hidden="false" customHeight="false" outlineLevel="0" collapsed="false">
      <c r="A148" s="41"/>
      <c r="B148" s="41"/>
      <c r="C148" s="5" t="n">
        <f aca="false">IF(B148="",0,IF(A148="Bank",IFERROR(MATCH(B148,Bank!$A:$A,0),0),IFERROR(MATCH(B148,GL!$A:$A,0),0)))</f>
        <v>0</v>
      </c>
      <c r="D148" s="32" t="str">
        <f aca="false">IF(C148=0,"",IF($A148="Bank",INDEX(Bank!$B:$B,$C148),INDEX(GL!$B:$B,$C148)))</f>
        <v/>
      </c>
      <c r="E148" s="5" t="str">
        <f aca="false">IF(C148=0,"",IF($A148="Bank",IF(INDEX(Bank!$C:$C,$C148)="","",INDEX(Bank!$C:$C,$C148)),IF(INDEX(GL!$C:$C,$C148)="","",INDEX(GL!$C:$C,$C148))))</f>
        <v/>
      </c>
      <c r="F148" s="5" t="str">
        <f aca="false">IF(C148=0,"",IF($A148="Bank",IF(INDEX(Bank!$D:$D,$C148)="","",INDEX(Bank!$D:$D,$C148)),IF(INDEX(GL!$D:$D,$C148)="","",INDEX(GL!$D:$D,$C148))))</f>
        <v/>
      </c>
      <c r="G148" s="19" t="str">
        <f aca="false">IF(C148=0,"",IF($A148="Bank",INDEX(Bank!$E:$E,$C148),INDEX(GL!$E:$E,$C148)))</f>
        <v/>
      </c>
      <c r="H148" s="5" t="str">
        <f aca="false">IF(C148=0,"",IF(A148="GL",IF(G148&gt;0,"Deposit in transit","Outstanding check / payment"),IF(G148&gt;0,"Bank credit not in GL","Bank debit not in GL")))</f>
        <v/>
      </c>
      <c r="I148" s="42" t="str">
        <f aca="false">IF(OR(C148=0,CFG_PeriodEnd=""),"",CFG_PeriodEnd-D148)</f>
        <v/>
      </c>
      <c r="J148" s="5" t="str">
        <f aca="false">IF(C148=0,"",IF($A148="Bank",IF(INDEX(Bank!$G:$G,$C148)="","",INDEX(Bank!$G:$G,$C148)),IF(INDEX(GL!$G:$G,$C148)="","",INDEX(GL!$G:$G,$C148))))</f>
        <v/>
      </c>
      <c r="K148" s="5" t="str">
        <f aca="false">IF(C148=0,"",IF($A148="Bank",IF(INDEX(Bank!$I:$I,$C148)="","",INDEX(Bank!$I:$I,$C148)),IF(INDEX(GL!$I:$I,$C148)="","",INDEX(GL!$I:$I,$C148))))</f>
        <v/>
      </c>
      <c r="L148" s="5" t="str">
        <f aca="false">IF(B148="","",IF(C148=0,"NOT FOUND",IF(IF($A148="Bank",INDEX(Bank!$F:$F,$C148),INDEX(GL!$F:$F,$C148))="Y","NOW RECONCILED: refresh","OK")))</f>
        <v/>
      </c>
    </row>
    <row r="149" customFormat="false" ht="15" hidden="false" customHeight="false" outlineLevel="0" collapsed="false">
      <c r="A149" s="41"/>
      <c r="B149" s="41"/>
      <c r="C149" s="5" t="n">
        <f aca="false">IF(B149="",0,IF(A149="Bank",IFERROR(MATCH(B149,Bank!$A:$A,0),0),IFERROR(MATCH(B149,GL!$A:$A,0),0)))</f>
        <v>0</v>
      </c>
      <c r="D149" s="32" t="str">
        <f aca="false">IF(C149=0,"",IF($A149="Bank",INDEX(Bank!$B:$B,$C149),INDEX(GL!$B:$B,$C149)))</f>
        <v/>
      </c>
      <c r="E149" s="5" t="str">
        <f aca="false">IF(C149=0,"",IF($A149="Bank",IF(INDEX(Bank!$C:$C,$C149)="","",INDEX(Bank!$C:$C,$C149)),IF(INDEX(GL!$C:$C,$C149)="","",INDEX(GL!$C:$C,$C149))))</f>
        <v/>
      </c>
      <c r="F149" s="5" t="str">
        <f aca="false">IF(C149=0,"",IF($A149="Bank",IF(INDEX(Bank!$D:$D,$C149)="","",INDEX(Bank!$D:$D,$C149)),IF(INDEX(GL!$D:$D,$C149)="","",INDEX(GL!$D:$D,$C149))))</f>
        <v/>
      </c>
      <c r="G149" s="19" t="str">
        <f aca="false">IF(C149=0,"",IF($A149="Bank",INDEX(Bank!$E:$E,$C149),INDEX(GL!$E:$E,$C149)))</f>
        <v/>
      </c>
      <c r="H149" s="5" t="str">
        <f aca="false">IF(C149=0,"",IF(A149="GL",IF(G149&gt;0,"Deposit in transit","Outstanding check / payment"),IF(G149&gt;0,"Bank credit not in GL","Bank debit not in GL")))</f>
        <v/>
      </c>
      <c r="I149" s="42" t="str">
        <f aca="false">IF(OR(C149=0,CFG_PeriodEnd=""),"",CFG_PeriodEnd-D149)</f>
        <v/>
      </c>
      <c r="J149" s="5" t="str">
        <f aca="false">IF(C149=0,"",IF($A149="Bank",IF(INDEX(Bank!$G:$G,$C149)="","",INDEX(Bank!$G:$G,$C149)),IF(INDEX(GL!$G:$G,$C149)="","",INDEX(GL!$G:$G,$C149))))</f>
        <v/>
      </c>
      <c r="K149" s="5" t="str">
        <f aca="false">IF(C149=0,"",IF($A149="Bank",IF(INDEX(Bank!$I:$I,$C149)="","",INDEX(Bank!$I:$I,$C149)),IF(INDEX(GL!$I:$I,$C149)="","",INDEX(GL!$I:$I,$C149))))</f>
        <v/>
      </c>
      <c r="L149" s="5" t="str">
        <f aca="false">IF(B149="","",IF(C149=0,"NOT FOUND",IF(IF($A149="Bank",INDEX(Bank!$F:$F,$C149),INDEX(GL!$F:$F,$C149))="Y","NOW RECONCILED: refresh","OK")))</f>
        <v/>
      </c>
    </row>
    <row r="150" customFormat="false" ht="15" hidden="false" customHeight="false" outlineLevel="0" collapsed="false">
      <c r="A150" s="41"/>
      <c r="B150" s="41"/>
      <c r="C150" s="5" t="n">
        <f aca="false">IF(B150="",0,IF(A150="Bank",IFERROR(MATCH(B150,Bank!$A:$A,0),0),IFERROR(MATCH(B150,GL!$A:$A,0),0)))</f>
        <v>0</v>
      </c>
      <c r="D150" s="32" t="str">
        <f aca="false">IF(C150=0,"",IF($A150="Bank",INDEX(Bank!$B:$B,$C150),INDEX(GL!$B:$B,$C150)))</f>
        <v/>
      </c>
      <c r="E150" s="5" t="str">
        <f aca="false">IF(C150=0,"",IF($A150="Bank",IF(INDEX(Bank!$C:$C,$C150)="","",INDEX(Bank!$C:$C,$C150)),IF(INDEX(GL!$C:$C,$C150)="","",INDEX(GL!$C:$C,$C150))))</f>
        <v/>
      </c>
      <c r="F150" s="5" t="str">
        <f aca="false">IF(C150=0,"",IF($A150="Bank",IF(INDEX(Bank!$D:$D,$C150)="","",INDEX(Bank!$D:$D,$C150)),IF(INDEX(GL!$D:$D,$C150)="","",INDEX(GL!$D:$D,$C150))))</f>
        <v/>
      </c>
      <c r="G150" s="19" t="str">
        <f aca="false">IF(C150=0,"",IF($A150="Bank",INDEX(Bank!$E:$E,$C150),INDEX(GL!$E:$E,$C150)))</f>
        <v/>
      </c>
      <c r="H150" s="5" t="str">
        <f aca="false">IF(C150=0,"",IF(A150="GL",IF(G150&gt;0,"Deposit in transit","Outstanding check / payment"),IF(G150&gt;0,"Bank credit not in GL","Bank debit not in GL")))</f>
        <v/>
      </c>
      <c r="I150" s="42" t="str">
        <f aca="false">IF(OR(C150=0,CFG_PeriodEnd=""),"",CFG_PeriodEnd-D150)</f>
        <v/>
      </c>
      <c r="J150" s="5" t="str">
        <f aca="false">IF(C150=0,"",IF($A150="Bank",IF(INDEX(Bank!$G:$G,$C150)="","",INDEX(Bank!$G:$G,$C150)),IF(INDEX(GL!$G:$G,$C150)="","",INDEX(GL!$G:$G,$C150))))</f>
        <v/>
      </c>
      <c r="K150" s="5" t="str">
        <f aca="false">IF(C150=0,"",IF($A150="Bank",IF(INDEX(Bank!$I:$I,$C150)="","",INDEX(Bank!$I:$I,$C150)),IF(INDEX(GL!$I:$I,$C150)="","",INDEX(GL!$I:$I,$C150))))</f>
        <v/>
      </c>
      <c r="L150" s="5" t="str">
        <f aca="false">IF(B150="","",IF(C150=0,"NOT FOUND",IF(IF($A150="Bank",INDEX(Bank!$F:$F,$C150),INDEX(GL!$F:$F,$C150))="Y","NOW RECONCILED: refresh","OK")))</f>
        <v/>
      </c>
    </row>
    <row r="151" customFormat="false" ht="15" hidden="false" customHeight="false" outlineLevel="0" collapsed="false">
      <c r="A151" s="41"/>
      <c r="B151" s="41"/>
      <c r="C151" s="5" t="n">
        <f aca="false">IF(B151="",0,IF(A151="Bank",IFERROR(MATCH(B151,Bank!$A:$A,0),0),IFERROR(MATCH(B151,GL!$A:$A,0),0)))</f>
        <v>0</v>
      </c>
      <c r="D151" s="32" t="str">
        <f aca="false">IF(C151=0,"",IF($A151="Bank",INDEX(Bank!$B:$B,$C151),INDEX(GL!$B:$B,$C151)))</f>
        <v/>
      </c>
      <c r="E151" s="5" t="str">
        <f aca="false">IF(C151=0,"",IF($A151="Bank",IF(INDEX(Bank!$C:$C,$C151)="","",INDEX(Bank!$C:$C,$C151)),IF(INDEX(GL!$C:$C,$C151)="","",INDEX(GL!$C:$C,$C151))))</f>
        <v/>
      </c>
      <c r="F151" s="5" t="str">
        <f aca="false">IF(C151=0,"",IF($A151="Bank",IF(INDEX(Bank!$D:$D,$C151)="","",INDEX(Bank!$D:$D,$C151)),IF(INDEX(GL!$D:$D,$C151)="","",INDEX(GL!$D:$D,$C151))))</f>
        <v/>
      </c>
      <c r="G151" s="19" t="str">
        <f aca="false">IF(C151=0,"",IF($A151="Bank",INDEX(Bank!$E:$E,$C151),INDEX(GL!$E:$E,$C151)))</f>
        <v/>
      </c>
      <c r="H151" s="5" t="str">
        <f aca="false">IF(C151=0,"",IF(A151="GL",IF(G151&gt;0,"Deposit in transit","Outstanding check / payment"),IF(G151&gt;0,"Bank credit not in GL","Bank debit not in GL")))</f>
        <v/>
      </c>
      <c r="I151" s="42" t="str">
        <f aca="false">IF(OR(C151=0,CFG_PeriodEnd=""),"",CFG_PeriodEnd-D151)</f>
        <v/>
      </c>
      <c r="J151" s="5" t="str">
        <f aca="false">IF(C151=0,"",IF($A151="Bank",IF(INDEX(Bank!$G:$G,$C151)="","",INDEX(Bank!$G:$G,$C151)),IF(INDEX(GL!$G:$G,$C151)="","",INDEX(GL!$G:$G,$C151))))</f>
        <v/>
      </c>
      <c r="K151" s="5" t="str">
        <f aca="false">IF(C151=0,"",IF($A151="Bank",IF(INDEX(Bank!$I:$I,$C151)="","",INDEX(Bank!$I:$I,$C151)),IF(INDEX(GL!$I:$I,$C151)="","",INDEX(GL!$I:$I,$C151))))</f>
        <v/>
      </c>
      <c r="L151" s="5" t="str">
        <f aca="false">IF(B151="","",IF(C151=0,"NOT FOUND",IF(IF($A151="Bank",INDEX(Bank!$F:$F,$C151),INDEX(GL!$F:$F,$C151))="Y","NOW RECONCILED: refresh","OK")))</f>
        <v/>
      </c>
    </row>
    <row r="152" customFormat="false" ht="15" hidden="false" customHeight="false" outlineLevel="0" collapsed="false">
      <c r="A152" s="41"/>
      <c r="B152" s="41"/>
      <c r="C152" s="5" t="n">
        <f aca="false">IF(B152="",0,IF(A152="Bank",IFERROR(MATCH(B152,Bank!$A:$A,0),0),IFERROR(MATCH(B152,GL!$A:$A,0),0)))</f>
        <v>0</v>
      </c>
      <c r="D152" s="32" t="str">
        <f aca="false">IF(C152=0,"",IF($A152="Bank",INDEX(Bank!$B:$B,$C152),INDEX(GL!$B:$B,$C152)))</f>
        <v/>
      </c>
      <c r="E152" s="5" t="str">
        <f aca="false">IF(C152=0,"",IF($A152="Bank",IF(INDEX(Bank!$C:$C,$C152)="","",INDEX(Bank!$C:$C,$C152)),IF(INDEX(GL!$C:$C,$C152)="","",INDEX(GL!$C:$C,$C152))))</f>
        <v/>
      </c>
      <c r="F152" s="5" t="str">
        <f aca="false">IF(C152=0,"",IF($A152="Bank",IF(INDEX(Bank!$D:$D,$C152)="","",INDEX(Bank!$D:$D,$C152)),IF(INDEX(GL!$D:$D,$C152)="","",INDEX(GL!$D:$D,$C152))))</f>
        <v/>
      </c>
      <c r="G152" s="19" t="str">
        <f aca="false">IF(C152=0,"",IF($A152="Bank",INDEX(Bank!$E:$E,$C152),INDEX(GL!$E:$E,$C152)))</f>
        <v/>
      </c>
      <c r="H152" s="5" t="str">
        <f aca="false">IF(C152=0,"",IF(A152="GL",IF(G152&gt;0,"Deposit in transit","Outstanding check / payment"),IF(G152&gt;0,"Bank credit not in GL","Bank debit not in GL")))</f>
        <v/>
      </c>
      <c r="I152" s="42" t="str">
        <f aca="false">IF(OR(C152=0,CFG_PeriodEnd=""),"",CFG_PeriodEnd-D152)</f>
        <v/>
      </c>
      <c r="J152" s="5" t="str">
        <f aca="false">IF(C152=0,"",IF($A152="Bank",IF(INDEX(Bank!$G:$G,$C152)="","",INDEX(Bank!$G:$G,$C152)),IF(INDEX(GL!$G:$G,$C152)="","",INDEX(GL!$G:$G,$C152))))</f>
        <v/>
      </c>
      <c r="K152" s="5" t="str">
        <f aca="false">IF(C152=0,"",IF($A152="Bank",IF(INDEX(Bank!$I:$I,$C152)="","",INDEX(Bank!$I:$I,$C152)),IF(INDEX(GL!$I:$I,$C152)="","",INDEX(GL!$I:$I,$C152))))</f>
        <v/>
      </c>
      <c r="L152" s="5" t="str">
        <f aca="false">IF(B152="","",IF(C152=0,"NOT FOUND",IF(IF($A152="Bank",INDEX(Bank!$F:$F,$C152),INDEX(GL!$F:$F,$C152))="Y","NOW RECONCILED: refresh","OK")))</f>
        <v/>
      </c>
    </row>
    <row r="153" customFormat="false" ht="15" hidden="false" customHeight="false" outlineLevel="0" collapsed="false">
      <c r="A153" s="41"/>
      <c r="B153" s="41"/>
      <c r="C153" s="5" t="n">
        <f aca="false">IF(B153="",0,IF(A153="Bank",IFERROR(MATCH(B153,Bank!$A:$A,0),0),IFERROR(MATCH(B153,GL!$A:$A,0),0)))</f>
        <v>0</v>
      </c>
      <c r="D153" s="32" t="str">
        <f aca="false">IF(C153=0,"",IF($A153="Bank",INDEX(Bank!$B:$B,$C153),INDEX(GL!$B:$B,$C153)))</f>
        <v/>
      </c>
      <c r="E153" s="5" t="str">
        <f aca="false">IF(C153=0,"",IF($A153="Bank",IF(INDEX(Bank!$C:$C,$C153)="","",INDEX(Bank!$C:$C,$C153)),IF(INDEX(GL!$C:$C,$C153)="","",INDEX(GL!$C:$C,$C153))))</f>
        <v/>
      </c>
      <c r="F153" s="5" t="str">
        <f aca="false">IF(C153=0,"",IF($A153="Bank",IF(INDEX(Bank!$D:$D,$C153)="","",INDEX(Bank!$D:$D,$C153)),IF(INDEX(GL!$D:$D,$C153)="","",INDEX(GL!$D:$D,$C153))))</f>
        <v/>
      </c>
      <c r="G153" s="19" t="str">
        <f aca="false">IF(C153=0,"",IF($A153="Bank",INDEX(Bank!$E:$E,$C153),INDEX(GL!$E:$E,$C153)))</f>
        <v/>
      </c>
      <c r="H153" s="5" t="str">
        <f aca="false">IF(C153=0,"",IF(A153="GL",IF(G153&gt;0,"Deposit in transit","Outstanding check / payment"),IF(G153&gt;0,"Bank credit not in GL","Bank debit not in GL")))</f>
        <v/>
      </c>
      <c r="I153" s="42" t="str">
        <f aca="false">IF(OR(C153=0,CFG_PeriodEnd=""),"",CFG_PeriodEnd-D153)</f>
        <v/>
      </c>
      <c r="J153" s="5" t="str">
        <f aca="false">IF(C153=0,"",IF($A153="Bank",IF(INDEX(Bank!$G:$G,$C153)="","",INDEX(Bank!$G:$G,$C153)),IF(INDEX(GL!$G:$G,$C153)="","",INDEX(GL!$G:$G,$C153))))</f>
        <v/>
      </c>
      <c r="K153" s="5" t="str">
        <f aca="false">IF(C153=0,"",IF($A153="Bank",IF(INDEX(Bank!$I:$I,$C153)="","",INDEX(Bank!$I:$I,$C153)),IF(INDEX(GL!$I:$I,$C153)="","",INDEX(GL!$I:$I,$C153))))</f>
        <v/>
      </c>
      <c r="L153" s="5" t="str">
        <f aca="false">IF(B153="","",IF(C153=0,"NOT FOUND",IF(IF($A153="Bank",INDEX(Bank!$F:$F,$C153),INDEX(GL!$F:$F,$C153))="Y","NOW RECONCILED: refresh","OK")))</f>
        <v/>
      </c>
    </row>
    <row r="154" customFormat="false" ht="15" hidden="false" customHeight="false" outlineLevel="0" collapsed="false">
      <c r="A154" s="41"/>
      <c r="B154" s="41"/>
      <c r="C154" s="5" t="n">
        <f aca="false">IF(B154="",0,IF(A154="Bank",IFERROR(MATCH(B154,Bank!$A:$A,0),0),IFERROR(MATCH(B154,GL!$A:$A,0),0)))</f>
        <v>0</v>
      </c>
      <c r="D154" s="32" t="str">
        <f aca="false">IF(C154=0,"",IF($A154="Bank",INDEX(Bank!$B:$B,$C154),INDEX(GL!$B:$B,$C154)))</f>
        <v/>
      </c>
      <c r="E154" s="5" t="str">
        <f aca="false">IF(C154=0,"",IF($A154="Bank",IF(INDEX(Bank!$C:$C,$C154)="","",INDEX(Bank!$C:$C,$C154)),IF(INDEX(GL!$C:$C,$C154)="","",INDEX(GL!$C:$C,$C154))))</f>
        <v/>
      </c>
      <c r="F154" s="5" t="str">
        <f aca="false">IF(C154=0,"",IF($A154="Bank",IF(INDEX(Bank!$D:$D,$C154)="","",INDEX(Bank!$D:$D,$C154)),IF(INDEX(GL!$D:$D,$C154)="","",INDEX(GL!$D:$D,$C154))))</f>
        <v/>
      </c>
      <c r="G154" s="19" t="str">
        <f aca="false">IF(C154=0,"",IF($A154="Bank",INDEX(Bank!$E:$E,$C154),INDEX(GL!$E:$E,$C154)))</f>
        <v/>
      </c>
      <c r="H154" s="5" t="str">
        <f aca="false">IF(C154=0,"",IF(A154="GL",IF(G154&gt;0,"Deposit in transit","Outstanding check / payment"),IF(G154&gt;0,"Bank credit not in GL","Bank debit not in GL")))</f>
        <v/>
      </c>
      <c r="I154" s="42" t="str">
        <f aca="false">IF(OR(C154=0,CFG_PeriodEnd=""),"",CFG_PeriodEnd-D154)</f>
        <v/>
      </c>
      <c r="J154" s="5" t="str">
        <f aca="false">IF(C154=0,"",IF($A154="Bank",IF(INDEX(Bank!$G:$G,$C154)="","",INDEX(Bank!$G:$G,$C154)),IF(INDEX(GL!$G:$G,$C154)="","",INDEX(GL!$G:$G,$C154))))</f>
        <v/>
      </c>
      <c r="K154" s="5" t="str">
        <f aca="false">IF(C154=0,"",IF($A154="Bank",IF(INDEX(Bank!$I:$I,$C154)="","",INDEX(Bank!$I:$I,$C154)),IF(INDEX(GL!$I:$I,$C154)="","",INDEX(GL!$I:$I,$C154))))</f>
        <v/>
      </c>
      <c r="L154" s="5" t="str">
        <f aca="false">IF(B154="","",IF(C154=0,"NOT FOUND",IF(IF($A154="Bank",INDEX(Bank!$F:$F,$C154),INDEX(GL!$F:$F,$C154))="Y","NOW RECONCILED: refresh","OK")))</f>
        <v/>
      </c>
    </row>
    <row r="155" customFormat="false" ht="15" hidden="false" customHeight="false" outlineLevel="0" collapsed="false">
      <c r="A155" s="41"/>
      <c r="B155" s="41"/>
      <c r="C155" s="5" t="n">
        <f aca="false">IF(B155="",0,IF(A155="Bank",IFERROR(MATCH(B155,Bank!$A:$A,0),0),IFERROR(MATCH(B155,GL!$A:$A,0),0)))</f>
        <v>0</v>
      </c>
      <c r="D155" s="32" t="str">
        <f aca="false">IF(C155=0,"",IF($A155="Bank",INDEX(Bank!$B:$B,$C155),INDEX(GL!$B:$B,$C155)))</f>
        <v/>
      </c>
      <c r="E155" s="5" t="str">
        <f aca="false">IF(C155=0,"",IF($A155="Bank",IF(INDEX(Bank!$C:$C,$C155)="","",INDEX(Bank!$C:$C,$C155)),IF(INDEX(GL!$C:$C,$C155)="","",INDEX(GL!$C:$C,$C155))))</f>
        <v/>
      </c>
      <c r="F155" s="5" t="str">
        <f aca="false">IF(C155=0,"",IF($A155="Bank",IF(INDEX(Bank!$D:$D,$C155)="","",INDEX(Bank!$D:$D,$C155)),IF(INDEX(GL!$D:$D,$C155)="","",INDEX(GL!$D:$D,$C155))))</f>
        <v/>
      </c>
      <c r="G155" s="19" t="str">
        <f aca="false">IF(C155=0,"",IF($A155="Bank",INDEX(Bank!$E:$E,$C155),INDEX(GL!$E:$E,$C155)))</f>
        <v/>
      </c>
      <c r="H155" s="5" t="str">
        <f aca="false">IF(C155=0,"",IF(A155="GL",IF(G155&gt;0,"Deposit in transit","Outstanding check / payment"),IF(G155&gt;0,"Bank credit not in GL","Bank debit not in GL")))</f>
        <v/>
      </c>
      <c r="I155" s="42" t="str">
        <f aca="false">IF(OR(C155=0,CFG_PeriodEnd=""),"",CFG_PeriodEnd-D155)</f>
        <v/>
      </c>
      <c r="J155" s="5" t="str">
        <f aca="false">IF(C155=0,"",IF($A155="Bank",IF(INDEX(Bank!$G:$G,$C155)="","",INDEX(Bank!$G:$G,$C155)),IF(INDEX(GL!$G:$G,$C155)="","",INDEX(GL!$G:$G,$C155))))</f>
        <v/>
      </c>
      <c r="K155" s="5" t="str">
        <f aca="false">IF(C155=0,"",IF($A155="Bank",IF(INDEX(Bank!$I:$I,$C155)="","",INDEX(Bank!$I:$I,$C155)),IF(INDEX(GL!$I:$I,$C155)="","",INDEX(GL!$I:$I,$C155))))</f>
        <v/>
      </c>
      <c r="L155" s="5" t="str">
        <f aca="false">IF(B155="","",IF(C155=0,"NOT FOUND",IF(IF($A155="Bank",INDEX(Bank!$F:$F,$C155),INDEX(GL!$F:$F,$C155))="Y","NOW RECONCILED: refresh","OK")))</f>
        <v/>
      </c>
    </row>
    <row r="156" customFormat="false" ht="15" hidden="false" customHeight="false" outlineLevel="0" collapsed="false">
      <c r="A156" s="41"/>
      <c r="B156" s="41"/>
      <c r="C156" s="5" t="n">
        <f aca="false">IF(B156="",0,IF(A156="Bank",IFERROR(MATCH(B156,Bank!$A:$A,0),0),IFERROR(MATCH(B156,GL!$A:$A,0),0)))</f>
        <v>0</v>
      </c>
      <c r="D156" s="32" t="str">
        <f aca="false">IF(C156=0,"",IF($A156="Bank",INDEX(Bank!$B:$B,$C156),INDEX(GL!$B:$B,$C156)))</f>
        <v/>
      </c>
      <c r="E156" s="5" t="str">
        <f aca="false">IF(C156=0,"",IF($A156="Bank",IF(INDEX(Bank!$C:$C,$C156)="","",INDEX(Bank!$C:$C,$C156)),IF(INDEX(GL!$C:$C,$C156)="","",INDEX(GL!$C:$C,$C156))))</f>
        <v/>
      </c>
      <c r="F156" s="5" t="str">
        <f aca="false">IF(C156=0,"",IF($A156="Bank",IF(INDEX(Bank!$D:$D,$C156)="","",INDEX(Bank!$D:$D,$C156)),IF(INDEX(GL!$D:$D,$C156)="","",INDEX(GL!$D:$D,$C156))))</f>
        <v/>
      </c>
      <c r="G156" s="19" t="str">
        <f aca="false">IF(C156=0,"",IF($A156="Bank",INDEX(Bank!$E:$E,$C156),INDEX(GL!$E:$E,$C156)))</f>
        <v/>
      </c>
      <c r="H156" s="5" t="str">
        <f aca="false">IF(C156=0,"",IF(A156="GL",IF(G156&gt;0,"Deposit in transit","Outstanding check / payment"),IF(G156&gt;0,"Bank credit not in GL","Bank debit not in GL")))</f>
        <v/>
      </c>
      <c r="I156" s="42" t="str">
        <f aca="false">IF(OR(C156=0,CFG_PeriodEnd=""),"",CFG_PeriodEnd-D156)</f>
        <v/>
      </c>
      <c r="J156" s="5" t="str">
        <f aca="false">IF(C156=0,"",IF($A156="Bank",IF(INDEX(Bank!$G:$G,$C156)="","",INDEX(Bank!$G:$G,$C156)),IF(INDEX(GL!$G:$G,$C156)="","",INDEX(GL!$G:$G,$C156))))</f>
        <v/>
      </c>
      <c r="K156" s="5" t="str">
        <f aca="false">IF(C156=0,"",IF($A156="Bank",IF(INDEX(Bank!$I:$I,$C156)="","",INDEX(Bank!$I:$I,$C156)),IF(INDEX(GL!$I:$I,$C156)="","",INDEX(GL!$I:$I,$C156))))</f>
        <v/>
      </c>
      <c r="L156" s="5" t="str">
        <f aca="false">IF(B156="","",IF(C156=0,"NOT FOUND",IF(IF($A156="Bank",INDEX(Bank!$F:$F,$C156),INDEX(GL!$F:$F,$C156))="Y","NOW RECONCILED: refresh","OK")))</f>
        <v/>
      </c>
    </row>
    <row r="157" customFormat="false" ht="15" hidden="false" customHeight="false" outlineLevel="0" collapsed="false">
      <c r="A157" s="41"/>
      <c r="B157" s="41"/>
      <c r="C157" s="5" t="n">
        <f aca="false">IF(B157="",0,IF(A157="Bank",IFERROR(MATCH(B157,Bank!$A:$A,0),0),IFERROR(MATCH(B157,GL!$A:$A,0),0)))</f>
        <v>0</v>
      </c>
      <c r="D157" s="32" t="str">
        <f aca="false">IF(C157=0,"",IF($A157="Bank",INDEX(Bank!$B:$B,$C157),INDEX(GL!$B:$B,$C157)))</f>
        <v/>
      </c>
      <c r="E157" s="5" t="str">
        <f aca="false">IF(C157=0,"",IF($A157="Bank",IF(INDEX(Bank!$C:$C,$C157)="","",INDEX(Bank!$C:$C,$C157)),IF(INDEX(GL!$C:$C,$C157)="","",INDEX(GL!$C:$C,$C157))))</f>
        <v/>
      </c>
      <c r="F157" s="5" t="str">
        <f aca="false">IF(C157=0,"",IF($A157="Bank",IF(INDEX(Bank!$D:$D,$C157)="","",INDEX(Bank!$D:$D,$C157)),IF(INDEX(GL!$D:$D,$C157)="","",INDEX(GL!$D:$D,$C157))))</f>
        <v/>
      </c>
      <c r="G157" s="19" t="str">
        <f aca="false">IF(C157=0,"",IF($A157="Bank",INDEX(Bank!$E:$E,$C157),INDEX(GL!$E:$E,$C157)))</f>
        <v/>
      </c>
      <c r="H157" s="5" t="str">
        <f aca="false">IF(C157=0,"",IF(A157="GL",IF(G157&gt;0,"Deposit in transit","Outstanding check / payment"),IF(G157&gt;0,"Bank credit not in GL","Bank debit not in GL")))</f>
        <v/>
      </c>
      <c r="I157" s="42" t="str">
        <f aca="false">IF(OR(C157=0,CFG_PeriodEnd=""),"",CFG_PeriodEnd-D157)</f>
        <v/>
      </c>
      <c r="J157" s="5" t="str">
        <f aca="false">IF(C157=0,"",IF($A157="Bank",IF(INDEX(Bank!$G:$G,$C157)="","",INDEX(Bank!$G:$G,$C157)),IF(INDEX(GL!$G:$G,$C157)="","",INDEX(GL!$G:$G,$C157))))</f>
        <v/>
      </c>
      <c r="K157" s="5" t="str">
        <f aca="false">IF(C157=0,"",IF($A157="Bank",IF(INDEX(Bank!$I:$I,$C157)="","",INDEX(Bank!$I:$I,$C157)),IF(INDEX(GL!$I:$I,$C157)="","",INDEX(GL!$I:$I,$C157))))</f>
        <v/>
      </c>
      <c r="L157" s="5" t="str">
        <f aca="false">IF(B157="","",IF(C157=0,"NOT FOUND",IF(IF($A157="Bank",INDEX(Bank!$F:$F,$C157),INDEX(GL!$F:$F,$C157))="Y","NOW RECONCILED: refresh","OK")))</f>
        <v/>
      </c>
    </row>
    <row r="158" customFormat="false" ht="15" hidden="false" customHeight="false" outlineLevel="0" collapsed="false">
      <c r="A158" s="41"/>
      <c r="B158" s="41"/>
      <c r="C158" s="5" t="n">
        <f aca="false">IF(B158="",0,IF(A158="Bank",IFERROR(MATCH(B158,Bank!$A:$A,0),0),IFERROR(MATCH(B158,GL!$A:$A,0),0)))</f>
        <v>0</v>
      </c>
      <c r="D158" s="32" t="str">
        <f aca="false">IF(C158=0,"",IF($A158="Bank",INDEX(Bank!$B:$B,$C158),INDEX(GL!$B:$B,$C158)))</f>
        <v/>
      </c>
      <c r="E158" s="5" t="str">
        <f aca="false">IF(C158=0,"",IF($A158="Bank",IF(INDEX(Bank!$C:$C,$C158)="","",INDEX(Bank!$C:$C,$C158)),IF(INDEX(GL!$C:$C,$C158)="","",INDEX(GL!$C:$C,$C158))))</f>
        <v/>
      </c>
      <c r="F158" s="5" t="str">
        <f aca="false">IF(C158=0,"",IF($A158="Bank",IF(INDEX(Bank!$D:$D,$C158)="","",INDEX(Bank!$D:$D,$C158)),IF(INDEX(GL!$D:$D,$C158)="","",INDEX(GL!$D:$D,$C158))))</f>
        <v/>
      </c>
      <c r="G158" s="19" t="str">
        <f aca="false">IF(C158=0,"",IF($A158="Bank",INDEX(Bank!$E:$E,$C158),INDEX(GL!$E:$E,$C158)))</f>
        <v/>
      </c>
      <c r="H158" s="5" t="str">
        <f aca="false">IF(C158=0,"",IF(A158="GL",IF(G158&gt;0,"Deposit in transit","Outstanding check / payment"),IF(G158&gt;0,"Bank credit not in GL","Bank debit not in GL")))</f>
        <v/>
      </c>
      <c r="I158" s="42" t="str">
        <f aca="false">IF(OR(C158=0,CFG_PeriodEnd=""),"",CFG_PeriodEnd-D158)</f>
        <v/>
      </c>
      <c r="J158" s="5" t="str">
        <f aca="false">IF(C158=0,"",IF($A158="Bank",IF(INDEX(Bank!$G:$G,$C158)="","",INDEX(Bank!$G:$G,$C158)),IF(INDEX(GL!$G:$G,$C158)="","",INDEX(GL!$G:$G,$C158))))</f>
        <v/>
      </c>
      <c r="K158" s="5" t="str">
        <f aca="false">IF(C158=0,"",IF($A158="Bank",IF(INDEX(Bank!$I:$I,$C158)="","",INDEX(Bank!$I:$I,$C158)),IF(INDEX(GL!$I:$I,$C158)="","",INDEX(GL!$I:$I,$C158))))</f>
        <v/>
      </c>
      <c r="L158" s="5" t="str">
        <f aca="false">IF(B158="","",IF(C158=0,"NOT FOUND",IF(IF($A158="Bank",INDEX(Bank!$F:$F,$C158),INDEX(GL!$F:$F,$C158))="Y","NOW RECONCILED: refresh","OK")))</f>
        <v/>
      </c>
    </row>
    <row r="159" customFormat="false" ht="15" hidden="false" customHeight="false" outlineLevel="0" collapsed="false">
      <c r="A159" s="41"/>
      <c r="B159" s="41"/>
      <c r="C159" s="5" t="n">
        <f aca="false">IF(B159="",0,IF(A159="Bank",IFERROR(MATCH(B159,Bank!$A:$A,0),0),IFERROR(MATCH(B159,GL!$A:$A,0),0)))</f>
        <v>0</v>
      </c>
      <c r="D159" s="32" t="str">
        <f aca="false">IF(C159=0,"",IF($A159="Bank",INDEX(Bank!$B:$B,$C159),INDEX(GL!$B:$B,$C159)))</f>
        <v/>
      </c>
      <c r="E159" s="5" t="str">
        <f aca="false">IF(C159=0,"",IF($A159="Bank",IF(INDEX(Bank!$C:$C,$C159)="","",INDEX(Bank!$C:$C,$C159)),IF(INDEX(GL!$C:$C,$C159)="","",INDEX(GL!$C:$C,$C159))))</f>
        <v/>
      </c>
      <c r="F159" s="5" t="str">
        <f aca="false">IF(C159=0,"",IF($A159="Bank",IF(INDEX(Bank!$D:$D,$C159)="","",INDEX(Bank!$D:$D,$C159)),IF(INDEX(GL!$D:$D,$C159)="","",INDEX(GL!$D:$D,$C159))))</f>
        <v/>
      </c>
      <c r="G159" s="19" t="str">
        <f aca="false">IF(C159=0,"",IF($A159="Bank",INDEX(Bank!$E:$E,$C159),INDEX(GL!$E:$E,$C159)))</f>
        <v/>
      </c>
      <c r="H159" s="5" t="str">
        <f aca="false">IF(C159=0,"",IF(A159="GL",IF(G159&gt;0,"Deposit in transit","Outstanding check / payment"),IF(G159&gt;0,"Bank credit not in GL","Bank debit not in GL")))</f>
        <v/>
      </c>
      <c r="I159" s="42" t="str">
        <f aca="false">IF(OR(C159=0,CFG_PeriodEnd=""),"",CFG_PeriodEnd-D159)</f>
        <v/>
      </c>
      <c r="J159" s="5" t="str">
        <f aca="false">IF(C159=0,"",IF($A159="Bank",IF(INDEX(Bank!$G:$G,$C159)="","",INDEX(Bank!$G:$G,$C159)),IF(INDEX(GL!$G:$G,$C159)="","",INDEX(GL!$G:$G,$C159))))</f>
        <v/>
      </c>
      <c r="K159" s="5" t="str">
        <f aca="false">IF(C159=0,"",IF($A159="Bank",IF(INDEX(Bank!$I:$I,$C159)="","",INDEX(Bank!$I:$I,$C159)),IF(INDEX(GL!$I:$I,$C159)="","",INDEX(GL!$I:$I,$C159))))</f>
        <v/>
      </c>
      <c r="L159" s="5" t="str">
        <f aca="false">IF(B159="","",IF(C159=0,"NOT FOUND",IF(IF($A159="Bank",INDEX(Bank!$F:$F,$C159),INDEX(GL!$F:$F,$C159))="Y","NOW RECONCILED: refresh","OK")))</f>
        <v/>
      </c>
    </row>
    <row r="160" customFormat="false" ht="15" hidden="false" customHeight="false" outlineLevel="0" collapsed="false">
      <c r="A160" s="41"/>
      <c r="B160" s="41"/>
      <c r="C160" s="5" t="n">
        <f aca="false">IF(B160="",0,IF(A160="Bank",IFERROR(MATCH(B160,Bank!$A:$A,0),0),IFERROR(MATCH(B160,GL!$A:$A,0),0)))</f>
        <v>0</v>
      </c>
      <c r="D160" s="32" t="str">
        <f aca="false">IF(C160=0,"",IF($A160="Bank",INDEX(Bank!$B:$B,$C160),INDEX(GL!$B:$B,$C160)))</f>
        <v/>
      </c>
      <c r="E160" s="5" t="str">
        <f aca="false">IF(C160=0,"",IF($A160="Bank",IF(INDEX(Bank!$C:$C,$C160)="","",INDEX(Bank!$C:$C,$C160)),IF(INDEX(GL!$C:$C,$C160)="","",INDEX(GL!$C:$C,$C160))))</f>
        <v/>
      </c>
      <c r="F160" s="5" t="str">
        <f aca="false">IF(C160=0,"",IF($A160="Bank",IF(INDEX(Bank!$D:$D,$C160)="","",INDEX(Bank!$D:$D,$C160)),IF(INDEX(GL!$D:$D,$C160)="","",INDEX(GL!$D:$D,$C160))))</f>
        <v/>
      </c>
      <c r="G160" s="19" t="str">
        <f aca="false">IF(C160=0,"",IF($A160="Bank",INDEX(Bank!$E:$E,$C160),INDEX(GL!$E:$E,$C160)))</f>
        <v/>
      </c>
      <c r="H160" s="5" t="str">
        <f aca="false">IF(C160=0,"",IF(A160="GL",IF(G160&gt;0,"Deposit in transit","Outstanding check / payment"),IF(G160&gt;0,"Bank credit not in GL","Bank debit not in GL")))</f>
        <v/>
      </c>
      <c r="I160" s="42" t="str">
        <f aca="false">IF(OR(C160=0,CFG_PeriodEnd=""),"",CFG_PeriodEnd-D160)</f>
        <v/>
      </c>
      <c r="J160" s="5" t="str">
        <f aca="false">IF(C160=0,"",IF($A160="Bank",IF(INDEX(Bank!$G:$G,$C160)="","",INDEX(Bank!$G:$G,$C160)),IF(INDEX(GL!$G:$G,$C160)="","",INDEX(GL!$G:$G,$C160))))</f>
        <v/>
      </c>
      <c r="K160" s="5" t="str">
        <f aca="false">IF(C160=0,"",IF($A160="Bank",IF(INDEX(Bank!$I:$I,$C160)="","",INDEX(Bank!$I:$I,$C160)),IF(INDEX(GL!$I:$I,$C160)="","",INDEX(GL!$I:$I,$C160))))</f>
        <v/>
      </c>
      <c r="L160" s="5" t="str">
        <f aca="false">IF(B160="","",IF(C160=0,"NOT FOUND",IF(IF($A160="Bank",INDEX(Bank!$F:$F,$C160),INDEX(GL!$F:$F,$C160))="Y","NOW RECONCILED: refresh","OK")))</f>
        <v/>
      </c>
    </row>
    <row r="161" customFormat="false" ht="15" hidden="false" customHeight="false" outlineLevel="0" collapsed="false">
      <c r="A161" s="41"/>
      <c r="B161" s="41"/>
      <c r="C161" s="5" t="n">
        <f aca="false">IF(B161="",0,IF(A161="Bank",IFERROR(MATCH(B161,Bank!$A:$A,0),0),IFERROR(MATCH(B161,GL!$A:$A,0),0)))</f>
        <v>0</v>
      </c>
      <c r="D161" s="32" t="str">
        <f aca="false">IF(C161=0,"",IF($A161="Bank",INDEX(Bank!$B:$B,$C161),INDEX(GL!$B:$B,$C161)))</f>
        <v/>
      </c>
      <c r="E161" s="5" t="str">
        <f aca="false">IF(C161=0,"",IF($A161="Bank",IF(INDEX(Bank!$C:$C,$C161)="","",INDEX(Bank!$C:$C,$C161)),IF(INDEX(GL!$C:$C,$C161)="","",INDEX(GL!$C:$C,$C161))))</f>
        <v/>
      </c>
      <c r="F161" s="5" t="str">
        <f aca="false">IF(C161=0,"",IF($A161="Bank",IF(INDEX(Bank!$D:$D,$C161)="","",INDEX(Bank!$D:$D,$C161)),IF(INDEX(GL!$D:$D,$C161)="","",INDEX(GL!$D:$D,$C161))))</f>
        <v/>
      </c>
      <c r="G161" s="19" t="str">
        <f aca="false">IF(C161=0,"",IF($A161="Bank",INDEX(Bank!$E:$E,$C161),INDEX(GL!$E:$E,$C161)))</f>
        <v/>
      </c>
      <c r="H161" s="5" t="str">
        <f aca="false">IF(C161=0,"",IF(A161="GL",IF(G161&gt;0,"Deposit in transit","Outstanding check / payment"),IF(G161&gt;0,"Bank credit not in GL","Bank debit not in GL")))</f>
        <v/>
      </c>
      <c r="I161" s="42" t="str">
        <f aca="false">IF(OR(C161=0,CFG_PeriodEnd=""),"",CFG_PeriodEnd-D161)</f>
        <v/>
      </c>
      <c r="J161" s="5" t="str">
        <f aca="false">IF(C161=0,"",IF($A161="Bank",IF(INDEX(Bank!$G:$G,$C161)="","",INDEX(Bank!$G:$G,$C161)),IF(INDEX(GL!$G:$G,$C161)="","",INDEX(GL!$G:$G,$C161))))</f>
        <v/>
      </c>
      <c r="K161" s="5" t="str">
        <f aca="false">IF(C161=0,"",IF($A161="Bank",IF(INDEX(Bank!$I:$I,$C161)="","",INDEX(Bank!$I:$I,$C161)),IF(INDEX(GL!$I:$I,$C161)="","",INDEX(GL!$I:$I,$C161))))</f>
        <v/>
      </c>
      <c r="L161" s="5" t="str">
        <f aca="false">IF(B161="","",IF(C161=0,"NOT FOUND",IF(IF($A161="Bank",INDEX(Bank!$F:$F,$C161),INDEX(GL!$F:$F,$C161))="Y","NOW RECONCILED: refresh","OK")))</f>
        <v/>
      </c>
    </row>
    <row r="162" customFormat="false" ht="15" hidden="false" customHeight="false" outlineLevel="0" collapsed="false">
      <c r="A162" s="41"/>
      <c r="B162" s="41"/>
      <c r="C162" s="5" t="n">
        <f aca="false">IF(B162="",0,IF(A162="Bank",IFERROR(MATCH(B162,Bank!$A:$A,0),0),IFERROR(MATCH(B162,GL!$A:$A,0),0)))</f>
        <v>0</v>
      </c>
      <c r="D162" s="32" t="str">
        <f aca="false">IF(C162=0,"",IF($A162="Bank",INDEX(Bank!$B:$B,$C162),INDEX(GL!$B:$B,$C162)))</f>
        <v/>
      </c>
      <c r="E162" s="5" t="str">
        <f aca="false">IF(C162=0,"",IF($A162="Bank",IF(INDEX(Bank!$C:$C,$C162)="","",INDEX(Bank!$C:$C,$C162)),IF(INDEX(GL!$C:$C,$C162)="","",INDEX(GL!$C:$C,$C162))))</f>
        <v/>
      </c>
      <c r="F162" s="5" t="str">
        <f aca="false">IF(C162=0,"",IF($A162="Bank",IF(INDEX(Bank!$D:$D,$C162)="","",INDEX(Bank!$D:$D,$C162)),IF(INDEX(GL!$D:$D,$C162)="","",INDEX(GL!$D:$D,$C162))))</f>
        <v/>
      </c>
      <c r="G162" s="19" t="str">
        <f aca="false">IF(C162=0,"",IF($A162="Bank",INDEX(Bank!$E:$E,$C162),INDEX(GL!$E:$E,$C162)))</f>
        <v/>
      </c>
      <c r="H162" s="5" t="str">
        <f aca="false">IF(C162=0,"",IF(A162="GL",IF(G162&gt;0,"Deposit in transit","Outstanding check / payment"),IF(G162&gt;0,"Bank credit not in GL","Bank debit not in GL")))</f>
        <v/>
      </c>
      <c r="I162" s="42" t="str">
        <f aca="false">IF(OR(C162=0,CFG_PeriodEnd=""),"",CFG_PeriodEnd-D162)</f>
        <v/>
      </c>
      <c r="J162" s="5" t="str">
        <f aca="false">IF(C162=0,"",IF($A162="Bank",IF(INDEX(Bank!$G:$G,$C162)="","",INDEX(Bank!$G:$G,$C162)),IF(INDEX(GL!$G:$G,$C162)="","",INDEX(GL!$G:$G,$C162))))</f>
        <v/>
      </c>
      <c r="K162" s="5" t="str">
        <f aca="false">IF(C162=0,"",IF($A162="Bank",IF(INDEX(Bank!$I:$I,$C162)="","",INDEX(Bank!$I:$I,$C162)),IF(INDEX(GL!$I:$I,$C162)="","",INDEX(GL!$I:$I,$C162))))</f>
        <v/>
      </c>
      <c r="L162" s="5" t="str">
        <f aca="false">IF(B162="","",IF(C162=0,"NOT FOUND",IF(IF($A162="Bank",INDEX(Bank!$F:$F,$C162),INDEX(GL!$F:$F,$C162))="Y","NOW RECONCILED: refresh","OK")))</f>
        <v/>
      </c>
    </row>
    <row r="163" customFormat="false" ht="15" hidden="false" customHeight="false" outlineLevel="0" collapsed="false">
      <c r="A163" s="41"/>
      <c r="B163" s="41"/>
      <c r="C163" s="5" t="n">
        <f aca="false">IF(B163="",0,IF(A163="Bank",IFERROR(MATCH(B163,Bank!$A:$A,0),0),IFERROR(MATCH(B163,GL!$A:$A,0),0)))</f>
        <v>0</v>
      </c>
      <c r="D163" s="32" t="str">
        <f aca="false">IF(C163=0,"",IF($A163="Bank",INDEX(Bank!$B:$B,$C163),INDEX(GL!$B:$B,$C163)))</f>
        <v/>
      </c>
      <c r="E163" s="5" t="str">
        <f aca="false">IF(C163=0,"",IF($A163="Bank",IF(INDEX(Bank!$C:$C,$C163)="","",INDEX(Bank!$C:$C,$C163)),IF(INDEX(GL!$C:$C,$C163)="","",INDEX(GL!$C:$C,$C163))))</f>
        <v/>
      </c>
      <c r="F163" s="5" t="str">
        <f aca="false">IF(C163=0,"",IF($A163="Bank",IF(INDEX(Bank!$D:$D,$C163)="","",INDEX(Bank!$D:$D,$C163)),IF(INDEX(GL!$D:$D,$C163)="","",INDEX(GL!$D:$D,$C163))))</f>
        <v/>
      </c>
      <c r="G163" s="19" t="str">
        <f aca="false">IF(C163=0,"",IF($A163="Bank",INDEX(Bank!$E:$E,$C163),INDEX(GL!$E:$E,$C163)))</f>
        <v/>
      </c>
      <c r="H163" s="5" t="str">
        <f aca="false">IF(C163=0,"",IF(A163="GL",IF(G163&gt;0,"Deposit in transit","Outstanding check / payment"),IF(G163&gt;0,"Bank credit not in GL","Bank debit not in GL")))</f>
        <v/>
      </c>
      <c r="I163" s="42" t="str">
        <f aca="false">IF(OR(C163=0,CFG_PeriodEnd=""),"",CFG_PeriodEnd-D163)</f>
        <v/>
      </c>
      <c r="J163" s="5" t="str">
        <f aca="false">IF(C163=0,"",IF($A163="Bank",IF(INDEX(Bank!$G:$G,$C163)="","",INDEX(Bank!$G:$G,$C163)),IF(INDEX(GL!$G:$G,$C163)="","",INDEX(GL!$G:$G,$C163))))</f>
        <v/>
      </c>
      <c r="K163" s="5" t="str">
        <f aca="false">IF(C163=0,"",IF($A163="Bank",IF(INDEX(Bank!$I:$I,$C163)="","",INDEX(Bank!$I:$I,$C163)),IF(INDEX(GL!$I:$I,$C163)="","",INDEX(GL!$I:$I,$C163))))</f>
        <v/>
      </c>
      <c r="L163" s="5" t="str">
        <f aca="false">IF(B163="","",IF(C163=0,"NOT FOUND",IF(IF($A163="Bank",INDEX(Bank!$F:$F,$C163),INDEX(GL!$F:$F,$C163))="Y","NOW RECONCILED: refresh","OK")))</f>
        <v/>
      </c>
    </row>
    <row r="164" customFormat="false" ht="15" hidden="false" customHeight="false" outlineLevel="0" collapsed="false">
      <c r="A164" s="41"/>
      <c r="B164" s="41"/>
      <c r="C164" s="5" t="n">
        <f aca="false">IF(B164="",0,IF(A164="Bank",IFERROR(MATCH(B164,Bank!$A:$A,0),0),IFERROR(MATCH(B164,GL!$A:$A,0),0)))</f>
        <v>0</v>
      </c>
      <c r="D164" s="32" t="str">
        <f aca="false">IF(C164=0,"",IF($A164="Bank",INDEX(Bank!$B:$B,$C164),INDEX(GL!$B:$B,$C164)))</f>
        <v/>
      </c>
      <c r="E164" s="5" t="str">
        <f aca="false">IF(C164=0,"",IF($A164="Bank",IF(INDEX(Bank!$C:$C,$C164)="","",INDEX(Bank!$C:$C,$C164)),IF(INDEX(GL!$C:$C,$C164)="","",INDEX(GL!$C:$C,$C164))))</f>
        <v/>
      </c>
      <c r="F164" s="5" t="str">
        <f aca="false">IF(C164=0,"",IF($A164="Bank",IF(INDEX(Bank!$D:$D,$C164)="","",INDEX(Bank!$D:$D,$C164)),IF(INDEX(GL!$D:$D,$C164)="","",INDEX(GL!$D:$D,$C164))))</f>
        <v/>
      </c>
      <c r="G164" s="19" t="str">
        <f aca="false">IF(C164=0,"",IF($A164="Bank",INDEX(Bank!$E:$E,$C164),INDEX(GL!$E:$E,$C164)))</f>
        <v/>
      </c>
      <c r="H164" s="5" t="str">
        <f aca="false">IF(C164=0,"",IF(A164="GL",IF(G164&gt;0,"Deposit in transit","Outstanding check / payment"),IF(G164&gt;0,"Bank credit not in GL","Bank debit not in GL")))</f>
        <v/>
      </c>
      <c r="I164" s="42" t="str">
        <f aca="false">IF(OR(C164=0,CFG_PeriodEnd=""),"",CFG_PeriodEnd-D164)</f>
        <v/>
      </c>
      <c r="J164" s="5" t="str">
        <f aca="false">IF(C164=0,"",IF($A164="Bank",IF(INDEX(Bank!$G:$G,$C164)="","",INDEX(Bank!$G:$G,$C164)),IF(INDEX(GL!$G:$G,$C164)="","",INDEX(GL!$G:$G,$C164))))</f>
        <v/>
      </c>
      <c r="K164" s="5" t="str">
        <f aca="false">IF(C164=0,"",IF($A164="Bank",IF(INDEX(Bank!$I:$I,$C164)="","",INDEX(Bank!$I:$I,$C164)),IF(INDEX(GL!$I:$I,$C164)="","",INDEX(GL!$I:$I,$C164))))</f>
        <v/>
      </c>
      <c r="L164" s="5" t="str">
        <f aca="false">IF(B164="","",IF(C164=0,"NOT FOUND",IF(IF($A164="Bank",INDEX(Bank!$F:$F,$C164),INDEX(GL!$F:$F,$C164))="Y","NOW RECONCILED: refresh","OK")))</f>
        <v/>
      </c>
    </row>
    <row r="165" customFormat="false" ht="15" hidden="false" customHeight="false" outlineLevel="0" collapsed="false">
      <c r="A165" s="41"/>
      <c r="B165" s="41"/>
      <c r="C165" s="5" t="n">
        <f aca="false">IF(B165="",0,IF(A165="Bank",IFERROR(MATCH(B165,Bank!$A:$A,0),0),IFERROR(MATCH(B165,GL!$A:$A,0),0)))</f>
        <v>0</v>
      </c>
      <c r="D165" s="32" t="str">
        <f aca="false">IF(C165=0,"",IF($A165="Bank",INDEX(Bank!$B:$B,$C165),INDEX(GL!$B:$B,$C165)))</f>
        <v/>
      </c>
      <c r="E165" s="5" t="str">
        <f aca="false">IF(C165=0,"",IF($A165="Bank",IF(INDEX(Bank!$C:$C,$C165)="","",INDEX(Bank!$C:$C,$C165)),IF(INDEX(GL!$C:$C,$C165)="","",INDEX(GL!$C:$C,$C165))))</f>
        <v/>
      </c>
      <c r="F165" s="5" t="str">
        <f aca="false">IF(C165=0,"",IF($A165="Bank",IF(INDEX(Bank!$D:$D,$C165)="","",INDEX(Bank!$D:$D,$C165)),IF(INDEX(GL!$D:$D,$C165)="","",INDEX(GL!$D:$D,$C165))))</f>
        <v/>
      </c>
      <c r="G165" s="19" t="str">
        <f aca="false">IF(C165=0,"",IF($A165="Bank",INDEX(Bank!$E:$E,$C165),INDEX(GL!$E:$E,$C165)))</f>
        <v/>
      </c>
      <c r="H165" s="5" t="str">
        <f aca="false">IF(C165=0,"",IF(A165="GL",IF(G165&gt;0,"Deposit in transit","Outstanding check / payment"),IF(G165&gt;0,"Bank credit not in GL","Bank debit not in GL")))</f>
        <v/>
      </c>
      <c r="I165" s="42" t="str">
        <f aca="false">IF(OR(C165=0,CFG_PeriodEnd=""),"",CFG_PeriodEnd-D165)</f>
        <v/>
      </c>
      <c r="J165" s="5" t="str">
        <f aca="false">IF(C165=0,"",IF($A165="Bank",IF(INDEX(Bank!$G:$G,$C165)="","",INDEX(Bank!$G:$G,$C165)),IF(INDEX(GL!$G:$G,$C165)="","",INDEX(GL!$G:$G,$C165))))</f>
        <v/>
      </c>
      <c r="K165" s="5" t="str">
        <f aca="false">IF(C165=0,"",IF($A165="Bank",IF(INDEX(Bank!$I:$I,$C165)="","",INDEX(Bank!$I:$I,$C165)),IF(INDEX(GL!$I:$I,$C165)="","",INDEX(GL!$I:$I,$C165))))</f>
        <v/>
      </c>
      <c r="L165" s="5" t="str">
        <f aca="false">IF(B165="","",IF(C165=0,"NOT FOUND",IF(IF($A165="Bank",INDEX(Bank!$F:$F,$C165),INDEX(GL!$F:$F,$C165))="Y","NOW RECONCILED: refresh","OK")))</f>
        <v/>
      </c>
    </row>
    <row r="166" customFormat="false" ht="15" hidden="false" customHeight="false" outlineLevel="0" collapsed="false">
      <c r="A166" s="41"/>
      <c r="B166" s="41"/>
      <c r="C166" s="5" t="n">
        <f aca="false">IF(B166="",0,IF(A166="Bank",IFERROR(MATCH(B166,Bank!$A:$A,0),0),IFERROR(MATCH(B166,GL!$A:$A,0),0)))</f>
        <v>0</v>
      </c>
      <c r="D166" s="32" t="str">
        <f aca="false">IF(C166=0,"",IF($A166="Bank",INDEX(Bank!$B:$B,$C166),INDEX(GL!$B:$B,$C166)))</f>
        <v/>
      </c>
      <c r="E166" s="5" t="str">
        <f aca="false">IF(C166=0,"",IF($A166="Bank",IF(INDEX(Bank!$C:$C,$C166)="","",INDEX(Bank!$C:$C,$C166)),IF(INDEX(GL!$C:$C,$C166)="","",INDEX(GL!$C:$C,$C166))))</f>
        <v/>
      </c>
      <c r="F166" s="5" t="str">
        <f aca="false">IF(C166=0,"",IF($A166="Bank",IF(INDEX(Bank!$D:$D,$C166)="","",INDEX(Bank!$D:$D,$C166)),IF(INDEX(GL!$D:$D,$C166)="","",INDEX(GL!$D:$D,$C166))))</f>
        <v/>
      </c>
      <c r="G166" s="19" t="str">
        <f aca="false">IF(C166=0,"",IF($A166="Bank",INDEX(Bank!$E:$E,$C166),INDEX(GL!$E:$E,$C166)))</f>
        <v/>
      </c>
      <c r="H166" s="5" t="str">
        <f aca="false">IF(C166=0,"",IF(A166="GL",IF(G166&gt;0,"Deposit in transit","Outstanding check / payment"),IF(G166&gt;0,"Bank credit not in GL","Bank debit not in GL")))</f>
        <v/>
      </c>
      <c r="I166" s="42" t="str">
        <f aca="false">IF(OR(C166=0,CFG_PeriodEnd=""),"",CFG_PeriodEnd-D166)</f>
        <v/>
      </c>
      <c r="J166" s="5" t="str">
        <f aca="false">IF(C166=0,"",IF($A166="Bank",IF(INDEX(Bank!$G:$G,$C166)="","",INDEX(Bank!$G:$G,$C166)),IF(INDEX(GL!$G:$G,$C166)="","",INDEX(GL!$G:$G,$C166))))</f>
        <v/>
      </c>
      <c r="K166" s="5" t="str">
        <f aca="false">IF(C166=0,"",IF($A166="Bank",IF(INDEX(Bank!$I:$I,$C166)="","",INDEX(Bank!$I:$I,$C166)),IF(INDEX(GL!$I:$I,$C166)="","",INDEX(GL!$I:$I,$C166))))</f>
        <v/>
      </c>
      <c r="L166" s="5" t="str">
        <f aca="false">IF(B166="","",IF(C166=0,"NOT FOUND",IF(IF($A166="Bank",INDEX(Bank!$F:$F,$C166),INDEX(GL!$F:$F,$C166))="Y","NOW RECONCILED: refresh","OK")))</f>
        <v/>
      </c>
    </row>
    <row r="167" customFormat="false" ht="15" hidden="false" customHeight="false" outlineLevel="0" collapsed="false">
      <c r="A167" s="41"/>
      <c r="B167" s="41"/>
      <c r="C167" s="5" t="n">
        <f aca="false">IF(B167="",0,IF(A167="Bank",IFERROR(MATCH(B167,Bank!$A:$A,0),0),IFERROR(MATCH(B167,GL!$A:$A,0),0)))</f>
        <v>0</v>
      </c>
      <c r="D167" s="32" t="str">
        <f aca="false">IF(C167=0,"",IF($A167="Bank",INDEX(Bank!$B:$B,$C167),INDEX(GL!$B:$B,$C167)))</f>
        <v/>
      </c>
      <c r="E167" s="5" t="str">
        <f aca="false">IF(C167=0,"",IF($A167="Bank",IF(INDEX(Bank!$C:$C,$C167)="","",INDEX(Bank!$C:$C,$C167)),IF(INDEX(GL!$C:$C,$C167)="","",INDEX(GL!$C:$C,$C167))))</f>
        <v/>
      </c>
      <c r="F167" s="5" t="str">
        <f aca="false">IF(C167=0,"",IF($A167="Bank",IF(INDEX(Bank!$D:$D,$C167)="","",INDEX(Bank!$D:$D,$C167)),IF(INDEX(GL!$D:$D,$C167)="","",INDEX(GL!$D:$D,$C167))))</f>
        <v/>
      </c>
      <c r="G167" s="19" t="str">
        <f aca="false">IF(C167=0,"",IF($A167="Bank",INDEX(Bank!$E:$E,$C167),INDEX(GL!$E:$E,$C167)))</f>
        <v/>
      </c>
      <c r="H167" s="5" t="str">
        <f aca="false">IF(C167=0,"",IF(A167="GL",IF(G167&gt;0,"Deposit in transit","Outstanding check / payment"),IF(G167&gt;0,"Bank credit not in GL","Bank debit not in GL")))</f>
        <v/>
      </c>
      <c r="I167" s="42" t="str">
        <f aca="false">IF(OR(C167=0,CFG_PeriodEnd=""),"",CFG_PeriodEnd-D167)</f>
        <v/>
      </c>
      <c r="J167" s="5" t="str">
        <f aca="false">IF(C167=0,"",IF($A167="Bank",IF(INDEX(Bank!$G:$G,$C167)="","",INDEX(Bank!$G:$G,$C167)),IF(INDEX(GL!$G:$G,$C167)="","",INDEX(GL!$G:$G,$C167))))</f>
        <v/>
      </c>
      <c r="K167" s="5" t="str">
        <f aca="false">IF(C167=0,"",IF($A167="Bank",IF(INDEX(Bank!$I:$I,$C167)="","",INDEX(Bank!$I:$I,$C167)),IF(INDEX(GL!$I:$I,$C167)="","",INDEX(GL!$I:$I,$C167))))</f>
        <v/>
      </c>
      <c r="L167" s="5" t="str">
        <f aca="false">IF(B167="","",IF(C167=0,"NOT FOUND",IF(IF($A167="Bank",INDEX(Bank!$F:$F,$C167),INDEX(GL!$F:$F,$C167))="Y","NOW RECONCILED: refresh","OK")))</f>
        <v/>
      </c>
    </row>
    <row r="168" customFormat="false" ht="15" hidden="false" customHeight="false" outlineLevel="0" collapsed="false">
      <c r="A168" s="41"/>
      <c r="B168" s="41"/>
      <c r="C168" s="5" t="n">
        <f aca="false">IF(B168="",0,IF(A168="Bank",IFERROR(MATCH(B168,Bank!$A:$A,0),0),IFERROR(MATCH(B168,GL!$A:$A,0),0)))</f>
        <v>0</v>
      </c>
      <c r="D168" s="32" t="str">
        <f aca="false">IF(C168=0,"",IF($A168="Bank",INDEX(Bank!$B:$B,$C168),INDEX(GL!$B:$B,$C168)))</f>
        <v/>
      </c>
      <c r="E168" s="5" t="str">
        <f aca="false">IF(C168=0,"",IF($A168="Bank",IF(INDEX(Bank!$C:$C,$C168)="","",INDEX(Bank!$C:$C,$C168)),IF(INDEX(GL!$C:$C,$C168)="","",INDEX(GL!$C:$C,$C168))))</f>
        <v/>
      </c>
      <c r="F168" s="5" t="str">
        <f aca="false">IF(C168=0,"",IF($A168="Bank",IF(INDEX(Bank!$D:$D,$C168)="","",INDEX(Bank!$D:$D,$C168)),IF(INDEX(GL!$D:$D,$C168)="","",INDEX(GL!$D:$D,$C168))))</f>
        <v/>
      </c>
      <c r="G168" s="19" t="str">
        <f aca="false">IF(C168=0,"",IF($A168="Bank",INDEX(Bank!$E:$E,$C168),INDEX(GL!$E:$E,$C168)))</f>
        <v/>
      </c>
      <c r="H168" s="5" t="str">
        <f aca="false">IF(C168=0,"",IF(A168="GL",IF(G168&gt;0,"Deposit in transit","Outstanding check / payment"),IF(G168&gt;0,"Bank credit not in GL","Bank debit not in GL")))</f>
        <v/>
      </c>
      <c r="I168" s="42" t="str">
        <f aca="false">IF(OR(C168=0,CFG_PeriodEnd=""),"",CFG_PeriodEnd-D168)</f>
        <v/>
      </c>
      <c r="J168" s="5" t="str">
        <f aca="false">IF(C168=0,"",IF($A168="Bank",IF(INDEX(Bank!$G:$G,$C168)="","",INDEX(Bank!$G:$G,$C168)),IF(INDEX(GL!$G:$G,$C168)="","",INDEX(GL!$G:$G,$C168))))</f>
        <v/>
      </c>
      <c r="K168" s="5" t="str">
        <f aca="false">IF(C168=0,"",IF($A168="Bank",IF(INDEX(Bank!$I:$I,$C168)="","",INDEX(Bank!$I:$I,$C168)),IF(INDEX(GL!$I:$I,$C168)="","",INDEX(GL!$I:$I,$C168))))</f>
        <v/>
      </c>
      <c r="L168" s="5" t="str">
        <f aca="false">IF(B168="","",IF(C168=0,"NOT FOUND",IF(IF($A168="Bank",INDEX(Bank!$F:$F,$C168),INDEX(GL!$F:$F,$C168))="Y","NOW RECONCILED: refresh","OK")))</f>
        <v/>
      </c>
    </row>
    <row r="169" customFormat="false" ht="15" hidden="false" customHeight="false" outlineLevel="0" collapsed="false">
      <c r="A169" s="41"/>
      <c r="B169" s="41"/>
      <c r="C169" s="5" t="n">
        <f aca="false">IF(B169="",0,IF(A169="Bank",IFERROR(MATCH(B169,Bank!$A:$A,0),0),IFERROR(MATCH(B169,GL!$A:$A,0),0)))</f>
        <v>0</v>
      </c>
      <c r="D169" s="32" t="str">
        <f aca="false">IF(C169=0,"",IF($A169="Bank",INDEX(Bank!$B:$B,$C169),INDEX(GL!$B:$B,$C169)))</f>
        <v/>
      </c>
      <c r="E169" s="5" t="str">
        <f aca="false">IF(C169=0,"",IF($A169="Bank",IF(INDEX(Bank!$C:$C,$C169)="","",INDEX(Bank!$C:$C,$C169)),IF(INDEX(GL!$C:$C,$C169)="","",INDEX(GL!$C:$C,$C169))))</f>
        <v/>
      </c>
      <c r="F169" s="5" t="str">
        <f aca="false">IF(C169=0,"",IF($A169="Bank",IF(INDEX(Bank!$D:$D,$C169)="","",INDEX(Bank!$D:$D,$C169)),IF(INDEX(GL!$D:$D,$C169)="","",INDEX(GL!$D:$D,$C169))))</f>
        <v/>
      </c>
      <c r="G169" s="19" t="str">
        <f aca="false">IF(C169=0,"",IF($A169="Bank",INDEX(Bank!$E:$E,$C169),INDEX(GL!$E:$E,$C169)))</f>
        <v/>
      </c>
      <c r="H169" s="5" t="str">
        <f aca="false">IF(C169=0,"",IF(A169="GL",IF(G169&gt;0,"Deposit in transit","Outstanding check / payment"),IF(G169&gt;0,"Bank credit not in GL","Bank debit not in GL")))</f>
        <v/>
      </c>
      <c r="I169" s="42" t="str">
        <f aca="false">IF(OR(C169=0,CFG_PeriodEnd=""),"",CFG_PeriodEnd-D169)</f>
        <v/>
      </c>
      <c r="J169" s="5" t="str">
        <f aca="false">IF(C169=0,"",IF($A169="Bank",IF(INDEX(Bank!$G:$G,$C169)="","",INDEX(Bank!$G:$G,$C169)),IF(INDEX(GL!$G:$G,$C169)="","",INDEX(GL!$G:$G,$C169))))</f>
        <v/>
      </c>
      <c r="K169" s="5" t="str">
        <f aca="false">IF(C169=0,"",IF($A169="Bank",IF(INDEX(Bank!$I:$I,$C169)="","",INDEX(Bank!$I:$I,$C169)),IF(INDEX(GL!$I:$I,$C169)="","",INDEX(GL!$I:$I,$C169))))</f>
        <v/>
      </c>
      <c r="L169" s="5" t="str">
        <f aca="false">IF(B169="","",IF(C169=0,"NOT FOUND",IF(IF($A169="Bank",INDEX(Bank!$F:$F,$C169),INDEX(GL!$F:$F,$C169))="Y","NOW RECONCILED: refresh","OK")))</f>
        <v/>
      </c>
    </row>
    <row r="170" customFormat="false" ht="15" hidden="false" customHeight="false" outlineLevel="0" collapsed="false">
      <c r="A170" s="41"/>
      <c r="B170" s="41"/>
      <c r="C170" s="5" t="n">
        <f aca="false">IF(B170="",0,IF(A170="Bank",IFERROR(MATCH(B170,Bank!$A:$A,0),0),IFERROR(MATCH(B170,GL!$A:$A,0),0)))</f>
        <v>0</v>
      </c>
      <c r="D170" s="32" t="str">
        <f aca="false">IF(C170=0,"",IF($A170="Bank",INDEX(Bank!$B:$B,$C170),INDEX(GL!$B:$B,$C170)))</f>
        <v/>
      </c>
      <c r="E170" s="5" t="str">
        <f aca="false">IF(C170=0,"",IF($A170="Bank",IF(INDEX(Bank!$C:$C,$C170)="","",INDEX(Bank!$C:$C,$C170)),IF(INDEX(GL!$C:$C,$C170)="","",INDEX(GL!$C:$C,$C170))))</f>
        <v/>
      </c>
      <c r="F170" s="5" t="str">
        <f aca="false">IF(C170=0,"",IF($A170="Bank",IF(INDEX(Bank!$D:$D,$C170)="","",INDEX(Bank!$D:$D,$C170)),IF(INDEX(GL!$D:$D,$C170)="","",INDEX(GL!$D:$D,$C170))))</f>
        <v/>
      </c>
      <c r="G170" s="19" t="str">
        <f aca="false">IF(C170=0,"",IF($A170="Bank",INDEX(Bank!$E:$E,$C170),INDEX(GL!$E:$E,$C170)))</f>
        <v/>
      </c>
      <c r="H170" s="5" t="str">
        <f aca="false">IF(C170=0,"",IF(A170="GL",IF(G170&gt;0,"Deposit in transit","Outstanding check / payment"),IF(G170&gt;0,"Bank credit not in GL","Bank debit not in GL")))</f>
        <v/>
      </c>
      <c r="I170" s="42" t="str">
        <f aca="false">IF(OR(C170=0,CFG_PeriodEnd=""),"",CFG_PeriodEnd-D170)</f>
        <v/>
      </c>
      <c r="J170" s="5" t="str">
        <f aca="false">IF(C170=0,"",IF($A170="Bank",IF(INDEX(Bank!$G:$G,$C170)="","",INDEX(Bank!$G:$G,$C170)),IF(INDEX(GL!$G:$G,$C170)="","",INDEX(GL!$G:$G,$C170))))</f>
        <v/>
      </c>
      <c r="K170" s="5" t="str">
        <f aca="false">IF(C170=0,"",IF($A170="Bank",IF(INDEX(Bank!$I:$I,$C170)="","",INDEX(Bank!$I:$I,$C170)),IF(INDEX(GL!$I:$I,$C170)="","",INDEX(GL!$I:$I,$C170))))</f>
        <v/>
      </c>
      <c r="L170" s="5" t="str">
        <f aca="false">IF(B170="","",IF(C170=0,"NOT FOUND",IF(IF($A170="Bank",INDEX(Bank!$F:$F,$C170),INDEX(GL!$F:$F,$C170))="Y","NOW RECONCILED: refresh","OK")))</f>
        <v/>
      </c>
    </row>
    <row r="171" customFormat="false" ht="15" hidden="false" customHeight="false" outlineLevel="0" collapsed="false">
      <c r="A171" s="41"/>
      <c r="B171" s="41"/>
      <c r="C171" s="5" t="n">
        <f aca="false">IF(B171="",0,IF(A171="Bank",IFERROR(MATCH(B171,Bank!$A:$A,0),0),IFERROR(MATCH(B171,GL!$A:$A,0),0)))</f>
        <v>0</v>
      </c>
      <c r="D171" s="32" t="str">
        <f aca="false">IF(C171=0,"",IF($A171="Bank",INDEX(Bank!$B:$B,$C171),INDEX(GL!$B:$B,$C171)))</f>
        <v/>
      </c>
      <c r="E171" s="5" t="str">
        <f aca="false">IF(C171=0,"",IF($A171="Bank",IF(INDEX(Bank!$C:$C,$C171)="","",INDEX(Bank!$C:$C,$C171)),IF(INDEX(GL!$C:$C,$C171)="","",INDEX(GL!$C:$C,$C171))))</f>
        <v/>
      </c>
      <c r="F171" s="5" t="str">
        <f aca="false">IF(C171=0,"",IF($A171="Bank",IF(INDEX(Bank!$D:$D,$C171)="","",INDEX(Bank!$D:$D,$C171)),IF(INDEX(GL!$D:$D,$C171)="","",INDEX(GL!$D:$D,$C171))))</f>
        <v/>
      </c>
      <c r="G171" s="19" t="str">
        <f aca="false">IF(C171=0,"",IF($A171="Bank",INDEX(Bank!$E:$E,$C171),INDEX(GL!$E:$E,$C171)))</f>
        <v/>
      </c>
      <c r="H171" s="5" t="str">
        <f aca="false">IF(C171=0,"",IF(A171="GL",IF(G171&gt;0,"Deposit in transit","Outstanding check / payment"),IF(G171&gt;0,"Bank credit not in GL","Bank debit not in GL")))</f>
        <v/>
      </c>
      <c r="I171" s="42" t="str">
        <f aca="false">IF(OR(C171=0,CFG_PeriodEnd=""),"",CFG_PeriodEnd-D171)</f>
        <v/>
      </c>
      <c r="J171" s="5" t="str">
        <f aca="false">IF(C171=0,"",IF($A171="Bank",IF(INDEX(Bank!$G:$G,$C171)="","",INDEX(Bank!$G:$G,$C171)),IF(INDEX(GL!$G:$G,$C171)="","",INDEX(GL!$G:$G,$C171))))</f>
        <v/>
      </c>
      <c r="K171" s="5" t="str">
        <f aca="false">IF(C171=0,"",IF($A171="Bank",IF(INDEX(Bank!$I:$I,$C171)="","",INDEX(Bank!$I:$I,$C171)),IF(INDEX(GL!$I:$I,$C171)="","",INDEX(GL!$I:$I,$C171))))</f>
        <v/>
      </c>
      <c r="L171" s="5" t="str">
        <f aca="false">IF(B171="","",IF(C171=0,"NOT FOUND",IF(IF($A171="Bank",INDEX(Bank!$F:$F,$C171),INDEX(GL!$F:$F,$C171))="Y","NOW RECONCILED: refresh","OK")))</f>
        <v/>
      </c>
    </row>
    <row r="172" customFormat="false" ht="15" hidden="false" customHeight="false" outlineLevel="0" collapsed="false">
      <c r="A172" s="41"/>
      <c r="B172" s="41"/>
      <c r="C172" s="5" t="n">
        <f aca="false">IF(B172="",0,IF(A172="Bank",IFERROR(MATCH(B172,Bank!$A:$A,0),0),IFERROR(MATCH(B172,GL!$A:$A,0),0)))</f>
        <v>0</v>
      </c>
      <c r="D172" s="32" t="str">
        <f aca="false">IF(C172=0,"",IF($A172="Bank",INDEX(Bank!$B:$B,$C172),INDEX(GL!$B:$B,$C172)))</f>
        <v/>
      </c>
      <c r="E172" s="5" t="str">
        <f aca="false">IF(C172=0,"",IF($A172="Bank",IF(INDEX(Bank!$C:$C,$C172)="","",INDEX(Bank!$C:$C,$C172)),IF(INDEX(GL!$C:$C,$C172)="","",INDEX(GL!$C:$C,$C172))))</f>
        <v/>
      </c>
      <c r="F172" s="5" t="str">
        <f aca="false">IF(C172=0,"",IF($A172="Bank",IF(INDEX(Bank!$D:$D,$C172)="","",INDEX(Bank!$D:$D,$C172)),IF(INDEX(GL!$D:$D,$C172)="","",INDEX(GL!$D:$D,$C172))))</f>
        <v/>
      </c>
      <c r="G172" s="19" t="str">
        <f aca="false">IF(C172=0,"",IF($A172="Bank",INDEX(Bank!$E:$E,$C172),INDEX(GL!$E:$E,$C172)))</f>
        <v/>
      </c>
      <c r="H172" s="5" t="str">
        <f aca="false">IF(C172=0,"",IF(A172="GL",IF(G172&gt;0,"Deposit in transit","Outstanding check / payment"),IF(G172&gt;0,"Bank credit not in GL","Bank debit not in GL")))</f>
        <v/>
      </c>
      <c r="I172" s="42" t="str">
        <f aca="false">IF(OR(C172=0,CFG_PeriodEnd=""),"",CFG_PeriodEnd-D172)</f>
        <v/>
      </c>
      <c r="J172" s="5" t="str">
        <f aca="false">IF(C172=0,"",IF($A172="Bank",IF(INDEX(Bank!$G:$G,$C172)="","",INDEX(Bank!$G:$G,$C172)),IF(INDEX(GL!$G:$G,$C172)="","",INDEX(GL!$G:$G,$C172))))</f>
        <v/>
      </c>
      <c r="K172" s="5" t="str">
        <f aca="false">IF(C172=0,"",IF($A172="Bank",IF(INDEX(Bank!$I:$I,$C172)="","",INDEX(Bank!$I:$I,$C172)),IF(INDEX(GL!$I:$I,$C172)="","",INDEX(GL!$I:$I,$C172))))</f>
        <v/>
      </c>
      <c r="L172" s="5" t="str">
        <f aca="false">IF(B172="","",IF(C172=0,"NOT FOUND",IF(IF($A172="Bank",INDEX(Bank!$F:$F,$C172),INDEX(GL!$F:$F,$C172))="Y","NOW RECONCILED: refresh","OK")))</f>
        <v/>
      </c>
    </row>
    <row r="173" customFormat="false" ht="15" hidden="false" customHeight="false" outlineLevel="0" collapsed="false">
      <c r="A173" s="41"/>
      <c r="B173" s="41"/>
      <c r="C173" s="5" t="n">
        <f aca="false">IF(B173="",0,IF(A173="Bank",IFERROR(MATCH(B173,Bank!$A:$A,0),0),IFERROR(MATCH(B173,GL!$A:$A,0),0)))</f>
        <v>0</v>
      </c>
      <c r="D173" s="32" t="str">
        <f aca="false">IF(C173=0,"",IF($A173="Bank",INDEX(Bank!$B:$B,$C173),INDEX(GL!$B:$B,$C173)))</f>
        <v/>
      </c>
      <c r="E173" s="5" t="str">
        <f aca="false">IF(C173=0,"",IF($A173="Bank",IF(INDEX(Bank!$C:$C,$C173)="","",INDEX(Bank!$C:$C,$C173)),IF(INDEX(GL!$C:$C,$C173)="","",INDEX(GL!$C:$C,$C173))))</f>
        <v/>
      </c>
      <c r="F173" s="5" t="str">
        <f aca="false">IF(C173=0,"",IF($A173="Bank",IF(INDEX(Bank!$D:$D,$C173)="","",INDEX(Bank!$D:$D,$C173)),IF(INDEX(GL!$D:$D,$C173)="","",INDEX(GL!$D:$D,$C173))))</f>
        <v/>
      </c>
      <c r="G173" s="19" t="str">
        <f aca="false">IF(C173=0,"",IF($A173="Bank",INDEX(Bank!$E:$E,$C173),INDEX(GL!$E:$E,$C173)))</f>
        <v/>
      </c>
      <c r="H173" s="5" t="str">
        <f aca="false">IF(C173=0,"",IF(A173="GL",IF(G173&gt;0,"Deposit in transit","Outstanding check / payment"),IF(G173&gt;0,"Bank credit not in GL","Bank debit not in GL")))</f>
        <v/>
      </c>
      <c r="I173" s="42" t="str">
        <f aca="false">IF(OR(C173=0,CFG_PeriodEnd=""),"",CFG_PeriodEnd-D173)</f>
        <v/>
      </c>
      <c r="J173" s="5" t="str">
        <f aca="false">IF(C173=0,"",IF($A173="Bank",IF(INDEX(Bank!$G:$G,$C173)="","",INDEX(Bank!$G:$G,$C173)),IF(INDEX(GL!$G:$G,$C173)="","",INDEX(GL!$G:$G,$C173))))</f>
        <v/>
      </c>
      <c r="K173" s="5" t="str">
        <f aca="false">IF(C173=0,"",IF($A173="Bank",IF(INDEX(Bank!$I:$I,$C173)="","",INDEX(Bank!$I:$I,$C173)),IF(INDEX(GL!$I:$I,$C173)="","",INDEX(GL!$I:$I,$C173))))</f>
        <v/>
      </c>
      <c r="L173" s="5" t="str">
        <f aca="false">IF(B173="","",IF(C173=0,"NOT FOUND",IF(IF($A173="Bank",INDEX(Bank!$F:$F,$C173),INDEX(GL!$F:$F,$C173))="Y","NOW RECONCILED: refresh","OK")))</f>
        <v/>
      </c>
    </row>
    <row r="174" customFormat="false" ht="15" hidden="false" customHeight="false" outlineLevel="0" collapsed="false">
      <c r="A174" s="41"/>
      <c r="B174" s="41"/>
      <c r="C174" s="5" t="n">
        <f aca="false">IF(B174="",0,IF(A174="Bank",IFERROR(MATCH(B174,Bank!$A:$A,0),0),IFERROR(MATCH(B174,GL!$A:$A,0),0)))</f>
        <v>0</v>
      </c>
      <c r="D174" s="32" t="str">
        <f aca="false">IF(C174=0,"",IF($A174="Bank",INDEX(Bank!$B:$B,$C174),INDEX(GL!$B:$B,$C174)))</f>
        <v/>
      </c>
      <c r="E174" s="5" t="str">
        <f aca="false">IF(C174=0,"",IF($A174="Bank",IF(INDEX(Bank!$C:$C,$C174)="","",INDEX(Bank!$C:$C,$C174)),IF(INDEX(GL!$C:$C,$C174)="","",INDEX(GL!$C:$C,$C174))))</f>
        <v/>
      </c>
      <c r="F174" s="5" t="str">
        <f aca="false">IF(C174=0,"",IF($A174="Bank",IF(INDEX(Bank!$D:$D,$C174)="","",INDEX(Bank!$D:$D,$C174)),IF(INDEX(GL!$D:$D,$C174)="","",INDEX(GL!$D:$D,$C174))))</f>
        <v/>
      </c>
      <c r="G174" s="19" t="str">
        <f aca="false">IF(C174=0,"",IF($A174="Bank",INDEX(Bank!$E:$E,$C174),INDEX(GL!$E:$E,$C174)))</f>
        <v/>
      </c>
      <c r="H174" s="5" t="str">
        <f aca="false">IF(C174=0,"",IF(A174="GL",IF(G174&gt;0,"Deposit in transit","Outstanding check / payment"),IF(G174&gt;0,"Bank credit not in GL","Bank debit not in GL")))</f>
        <v/>
      </c>
      <c r="I174" s="42" t="str">
        <f aca="false">IF(OR(C174=0,CFG_PeriodEnd=""),"",CFG_PeriodEnd-D174)</f>
        <v/>
      </c>
      <c r="J174" s="5" t="str">
        <f aca="false">IF(C174=0,"",IF($A174="Bank",IF(INDEX(Bank!$G:$G,$C174)="","",INDEX(Bank!$G:$G,$C174)),IF(INDEX(GL!$G:$G,$C174)="","",INDEX(GL!$G:$G,$C174))))</f>
        <v/>
      </c>
      <c r="K174" s="5" t="str">
        <f aca="false">IF(C174=0,"",IF($A174="Bank",IF(INDEX(Bank!$I:$I,$C174)="","",INDEX(Bank!$I:$I,$C174)),IF(INDEX(GL!$I:$I,$C174)="","",INDEX(GL!$I:$I,$C174))))</f>
        <v/>
      </c>
      <c r="L174" s="5" t="str">
        <f aca="false">IF(B174="","",IF(C174=0,"NOT FOUND",IF(IF($A174="Bank",INDEX(Bank!$F:$F,$C174),INDEX(GL!$F:$F,$C174))="Y","NOW RECONCILED: refresh","OK")))</f>
        <v/>
      </c>
    </row>
    <row r="175" customFormat="false" ht="15" hidden="false" customHeight="false" outlineLevel="0" collapsed="false">
      <c r="A175" s="41"/>
      <c r="B175" s="41"/>
      <c r="C175" s="5" t="n">
        <f aca="false">IF(B175="",0,IF(A175="Bank",IFERROR(MATCH(B175,Bank!$A:$A,0),0),IFERROR(MATCH(B175,GL!$A:$A,0),0)))</f>
        <v>0</v>
      </c>
      <c r="D175" s="32" t="str">
        <f aca="false">IF(C175=0,"",IF($A175="Bank",INDEX(Bank!$B:$B,$C175),INDEX(GL!$B:$B,$C175)))</f>
        <v/>
      </c>
      <c r="E175" s="5" t="str">
        <f aca="false">IF(C175=0,"",IF($A175="Bank",IF(INDEX(Bank!$C:$C,$C175)="","",INDEX(Bank!$C:$C,$C175)),IF(INDEX(GL!$C:$C,$C175)="","",INDEX(GL!$C:$C,$C175))))</f>
        <v/>
      </c>
      <c r="F175" s="5" t="str">
        <f aca="false">IF(C175=0,"",IF($A175="Bank",IF(INDEX(Bank!$D:$D,$C175)="","",INDEX(Bank!$D:$D,$C175)),IF(INDEX(GL!$D:$D,$C175)="","",INDEX(GL!$D:$D,$C175))))</f>
        <v/>
      </c>
      <c r="G175" s="19" t="str">
        <f aca="false">IF(C175=0,"",IF($A175="Bank",INDEX(Bank!$E:$E,$C175),INDEX(GL!$E:$E,$C175)))</f>
        <v/>
      </c>
      <c r="H175" s="5" t="str">
        <f aca="false">IF(C175=0,"",IF(A175="GL",IF(G175&gt;0,"Deposit in transit","Outstanding check / payment"),IF(G175&gt;0,"Bank credit not in GL","Bank debit not in GL")))</f>
        <v/>
      </c>
      <c r="I175" s="42" t="str">
        <f aca="false">IF(OR(C175=0,CFG_PeriodEnd=""),"",CFG_PeriodEnd-D175)</f>
        <v/>
      </c>
      <c r="J175" s="5" t="str">
        <f aca="false">IF(C175=0,"",IF($A175="Bank",IF(INDEX(Bank!$G:$G,$C175)="","",INDEX(Bank!$G:$G,$C175)),IF(INDEX(GL!$G:$G,$C175)="","",INDEX(GL!$G:$G,$C175))))</f>
        <v/>
      </c>
      <c r="K175" s="5" t="str">
        <f aca="false">IF(C175=0,"",IF($A175="Bank",IF(INDEX(Bank!$I:$I,$C175)="","",INDEX(Bank!$I:$I,$C175)),IF(INDEX(GL!$I:$I,$C175)="","",INDEX(GL!$I:$I,$C175))))</f>
        <v/>
      </c>
      <c r="L175" s="5" t="str">
        <f aca="false">IF(B175="","",IF(C175=0,"NOT FOUND",IF(IF($A175="Bank",INDEX(Bank!$F:$F,$C175),INDEX(GL!$F:$F,$C175))="Y","NOW RECONCILED: refresh","OK")))</f>
        <v/>
      </c>
    </row>
    <row r="176" customFormat="false" ht="15" hidden="false" customHeight="false" outlineLevel="0" collapsed="false">
      <c r="A176" s="41"/>
      <c r="B176" s="41"/>
      <c r="C176" s="5" t="n">
        <f aca="false">IF(B176="",0,IF(A176="Bank",IFERROR(MATCH(B176,Bank!$A:$A,0),0),IFERROR(MATCH(B176,GL!$A:$A,0),0)))</f>
        <v>0</v>
      </c>
      <c r="D176" s="32" t="str">
        <f aca="false">IF(C176=0,"",IF($A176="Bank",INDEX(Bank!$B:$B,$C176),INDEX(GL!$B:$B,$C176)))</f>
        <v/>
      </c>
      <c r="E176" s="5" t="str">
        <f aca="false">IF(C176=0,"",IF($A176="Bank",IF(INDEX(Bank!$C:$C,$C176)="","",INDEX(Bank!$C:$C,$C176)),IF(INDEX(GL!$C:$C,$C176)="","",INDEX(GL!$C:$C,$C176))))</f>
        <v/>
      </c>
      <c r="F176" s="5" t="str">
        <f aca="false">IF(C176=0,"",IF($A176="Bank",IF(INDEX(Bank!$D:$D,$C176)="","",INDEX(Bank!$D:$D,$C176)),IF(INDEX(GL!$D:$D,$C176)="","",INDEX(GL!$D:$D,$C176))))</f>
        <v/>
      </c>
      <c r="G176" s="19" t="str">
        <f aca="false">IF(C176=0,"",IF($A176="Bank",INDEX(Bank!$E:$E,$C176),INDEX(GL!$E:$E,$C176)))</f>
        <v/>
      </c>
      <c r="H176" s="5" t="str">
        <f aca="false">IF(C176=0,"",IF(A176="GL",IF(G176&gt;0,"Deposit in transit","Outstanding check / payment"),IF(G176&gt;0,"Bank credit not in GL","Bank debit not in GL")))</f>
        <v/>
      </c>
      <c r="I176" s="42" t="str">
        <f aca="false">IF(OR(C176=0,CFG_PeriodEnd=""),"",CFG_PeriodEnd-D176)</f>
        <v/>
      </c>
      <c r="J176" s="5" t="str">
        <f aca="false">IF(C176=0,"",IF($A176="Bank",IF(INDEX(Bank!$G:$G,$C176)="","",INDEX(Bank!$G:$G,$C176)),IF(INDEX(GL!$G:$G,$C176)="","",INDEX(GL!$G:$G,$C176))))</f>
        <v/>
      </c>
      <c r="K176" s="5" t="str">
        <f aca="false">IF(C176=0,"",IF($A176="Bank",IF(INDEX(Bank!$I:$I,$C176)="","",INDEX(Bank!$I:$I,$C176)),IF(INDEX(GL!$I:$I,$C176)="","",INDEX(GL!$I:$I,$C176))))</f>
        <v/>
      </c>
      <c r="L176" s="5" t="str">
        <f aca="false">IF(B176="","",IF(C176=0,"NOT FOUND",IF(IF($A176="Bank",INDEX(Bank!$F:$F,$C176),INDEX(GL!$F:$F,$C176))="Y","NOW RECONCILED: refresh","OK")))</f>
        <v/>
      </c>
    </row>
    <row r="177" customFormat="false" ht="15" hidden="false" customHeight="false" outlineLevel="0" collapsed="false">
      <c r="A177" s="41"/>
      <c r="B177" s="41"/>
      <c r="C177" s="5" t="n">
        <f aca="false">IF(B177="",0,IF(A177="Bank",IFERROR(MATCH(B177,Bank!$A:$A,0),0),IFERROR(MATCH(B177,GL!$A:$A,0),0)))</f>
        <v>0</v>
      </c>
      <c r="D177" s="32" t="str">
        <f aca="false">IF(C177=0,"",IF($A177="Bank",INDEX(Bank!$B:$B,$C177),INDEX(GL!$B:$B,$C177)))</f>
        <v/>
      </c>
      <c r="E177" s="5" t="str">
        <f aca="false">IF(C177=0,"",IF($A177="Bank",IF(INDEX(Bank!$C:$C,$C177)="","",INDEX(Bank!$C:$C,$C177)),IF(INDEX(GL!$C:$C,$C177)="","",INDEX(GL!$C:$C,$C177))))</f>
        <v/>
      </c>
      <c r="F177" s="5" t="str">
        <f aca="false">IF(C177=0,"",IF($A177="Bank",IF(INDEX(Bank!$D:$D,$C177)="","",INDEX(Bank!$D:$D,$C177)),IF(INDEX(GL!$D:$D,$C177)="","",INDEX(GL!$D:$D,$C177))))</f>
        <v/>
      </c>
      <c r="G177" s="19" t="str">
        <f aca="false">IF(C177=0,"",IF($A177="Bank",INDEX(Bank!$E:$E,$C177),INDEX(GL!$E:$E,$C177)))</f>
        <v/>
      </c>
      <c r="H177" s="5" t="str">
        <f aca="false">IF(C177=0,"",IF(A177="GL",IF(G177&gt;0,"Deposit in transit","Outstanding check / payment"),IF(G177&gt;0,"Bank credit not in GL","Bank debit not in GL")))</f>
        <v/>
      </c>
      <c r="I177" s="42" t="str">
        <f aca="false">IF(OR(C177=0,CFG_PeriodEnd=""),"",CFG_PeriodEnd-D177)</f>
        <v/>
      </c>
      <c r="J177" s="5" t="str">
        <f aca="false">IF(C177=0,"",IF($A177="Bank",IF(INDEX(Bank!$G:$G,$C177)="","",INDEX(Bank!$G:$G,$C177)),IF(INDEX(GL!$G:$G,$C177)="","",INDEX(GL!$G:$G,$C177))))</f>
        <v/>
      </c>
      <c r="K177" s="5" t="str">
        <f aca="false">IF(C177=0,"",IF($A177="Bank",IF(INDEX(Bank!$I:$I,$C177)="","",INDEX(Bank!$I:$I,$C177)),IF(INDEX(GL!$I:$I,$C177)="","",INDEX(GL!$I:$I,$C177))))</f>
        <v/>
      </c>
      <c r="L177" s="5" t="str">
        <f aca="false">IF(B177="","",IF(C177=0,"NOT FOUND",IF(IF($A177="Bank",INDEX(Bank!$F:$F,$C177),INDEX(GL!$F:$F,$C177))="Y","NOW RECONCILED: refresh","OK")))</f>
        <v/>
      </c>
    </row>
    <row r="178" customFormat="false" ht="15" hidden="false" customHeight="false" outlineLevel="0" collapsed="false">
      <c r="A178" s="41"/>
      <c r="B178" s="41"/>
      <c r="C178" s="5" t="n">
        <f aca="false">IF(B178="",0,IF(A178="Bank",IFERROR(MATCH(B178,Bank!$A:$A,0),0),IFERROR(MATCH(B178,GL!$A:$A,0),0)))</f>
        <v>0</v>
      </c>
      <c r="D178" s="32" t="str">
        <f aca="false">IF(C178=0,"",IF($A178="Bank",INDEX(Bank!$B:$B,$C178),INDEX(GL!$B:$B,$C178)))</f>
        <v/>
      </c>
      <c r="E178" s="5" t="str">
        <f aca="false">IF(C178=0,"",IF($A178="Bank",IF(INDEX(Bank!$C:$C,$C178)="","",INDEX(Bank!$C:$C,$C178)),IF(INDEX(GL!$C:$C,$C178)="","",INDEX(GL!$C:$C,$C178))))</f>
        <v/>
      </c>
      <c r="F178" s="5" t="str">
        <f aca="false">IF(C178=0,"",IF($A178="Bank",IF(INDEX(Bank!$D:$D,$C178)="","",INDEX(Bank!$D:$D,$C178)),IF(INDEX(GL!$D:$D,$C178)="","",INDEX(GL!$D:$D,$C178))))</f>
        <v/>
      </c>
      <c r="G178" s="19" t="str">
        <f aca="false">IF(C178=0,"",IF($A178="Bank",INDEX(Bank!$E:$E,$C178),INDEX(GL!$E:$E,$C178)))</f>
        <v/>
      </c>
      <c r="H178" s="5" t="str">
        <f aca="false">IF(C178=0,"",IF(A178="GL",IF(G178&gt;0,"Deposit in transit","Outstanding check / payment"),IF(G178&gt;0,"Bank credit not in GL","Bank debit not in GL")))</f>
        <v/>
      </c>
      <c r="I178" s="42" t="str">
        <f aca="false">IF(OR(C178=0,CFG_PeriodEnd=""),"",CFG_PeriodEnd-D178)</f>
        <v/>
      </c>
      <c r="J178" s="5" t="str">
        <f aca="false">IF(C178=0,"",IF($A178="Bank",IF(INDEX(Bank!$G:$G,$C178)="","",INDEX(Bank!$G:$G,$C178)),IF(INDEX(GL!$G:$G,$C178)="","",INDEX(GL!$G:$G,$C178))))</f>
        <v/>
      </c>
      <c r="K178" s="5" t="str">
        <f aca="false">IF(C178=0,"",IF($A178="Bank",IF(INDEX(Bank!$I:$I,$C178)="","",INDEX(Bank!$I:$I,$C178)),IF(INDEX(GL!$I:$I,$C178)="","",INDEX(GL!$I:$I,$C178))))</f>
        <v/>
      </c>
      <c r="L178" s="5" t="str">
        <f aca="false">IF(B178="","",IF(C178=0,"NOT FOUND",IF(IF($A178="Bank",INDEX(Bank!$F:$F,$C178),INDEX(GL!$F:$F,$C178))="Y","NOW RECONCILED: refresh","OK")))</f>
        <v/>
      </c>
    </row>
    <row r="179" customFormat="false" ht="15" hidden="false" customHeight="false" outlineLevel="0" collapsed="false">
      <c r="A179" s="41"/>
      <c r="B179" s="41"/>
      <c r="C179" s="5" t="n">
        <f aca="false">IF(B179="",0,IF(A179="Bank",IFERROR(MATCH(B179,Bank!$A:$A,0),0),IFERROR(MATCH(B179,GL!$A:$A,0),0)))</f>
        <v>0</v>
      </c>
      <c r="D179" s="32" t="str">
        <f aca="false">IF(C179=0,"",IF($A179="Bank",INDEX(Bank!$B:$B,$C179),INDEX(GL!$B:$B,$C179)))</f>
        <v/>
      </c>
      <c r="E179" s="5" t="str">
        <f aca="false">IF(C179=0,"",IF($A179="Bank",IF(INDEX(Bank!$C:$C,$C179)="","",INDEX(Bank!$C:$C,$C179)),IF(INDEX(GL!$C:$C,$C179)="","",INDEX(GL!$C:$C,$C179))))</f>
        <v/>
      </c>
      <c r="F179" s="5" t="str">
        <f aca="false">IF(C179=0,"",IF($A179="Bank",IF(INDEX(Bank!$D:$D,$C179)="","",INDEX(Bank!$D:$D,$C179)),IF(INDEX(GL!$D:$D,$C179)="","",INDEX(GL!$D:$D,$C179))))</f>
        <v/>
      </c>
      <c r="G179" s="19" t="str">
        <f aca="false">IF(C179=0,"",IF($A179="Bank",INDEX(Bank!$E:$E,$C179),INDEX(GL!$E:$E,$C179)))</f>
        <v/>
      </c>
      <c r="H179" s="5" t="str">
        <f aca="false">IF(C179=0,"",IF(A179="GL",IF(G179&gt;0,"Deposit in transit","Outstanding check / payment"),IF(G179&gt;0,"Bank credit not in GL","Bank debit not in GL")))</f>
        <v/>
      </c>
      <c r="I179" s="42" t="str">
        <f aca="false">IF(OR(C179=0,CFG_PeriodEnd=""),"",CFG_PeriodEnd-D179)</f>
        <v/>
      </c>
      <c r="J179" s="5" t="str">
        <f aca="false">IF(C179=0,"",IF($A179="Bank",IF(INDEX(Bank!$G:$G,$C179)="","",INDEX(Bank!$G:$G,$C179)),IF(INDEX(GL!$G:$G,$C179)="","",INDEX(GL!$G:$G,$C179))))</f>
        <v/>
      </c>
      <c r="K179" s="5" t="str">
        <f aca="false">IF(C179=0,"",IF($A179="Bank",IF(INDEX(Bank!$I:$I,$C179)="","",INDEX(Bank!$I:$I,$C179)),IF(INDEX(GL!$I:$I,$C179)="","",INDEX(GL!$I:$I,$C179))))</f>
        <v/>
      </c>
      <c r="L179" s="5" t="str">
        <f aca="false">IF(B179="","",IF(C179=0,"NOT FOUND",IF(IF($A179="Bank",INDEX(Bank!$F:$F,$C179),INDEX(GL!$F:$F,$C179))="Y","NOW RECONCILED: refresh","OK")))</f>
        <v/>
      </c>
    </row>
    <row r="180" customFormat="false" ht="15" hidden="false" customHeight="false" outlineLevel="0" collapsed="false">
      <c r="A180" s="41"/>
      <c r="B180" s="41"/>
      <c r="C180" s="5" t="n">
        <f aca="false">IF(B180="",0,IF(A180="Bank",IFERROR(MATCH(B180,Bank!$A:$A,0),0),IFERROR(MATCH(B180,GL!$A:$A,0),0)))</f>
        <v>0</v>
      </c>
      <c r="D180" s="32" t="str">
        <f aca="false">IF(C180=0,"",IF($A180="Bank",INDEX(Bank!$B:$B,$C180),INDEX(GL!$B:$B,$C180)))</f>
        <v/>
      </c>
      <c r="E180" s="5" t="str">
        <f aca="false">IF(C180=0,"",IF($A180="Bank",IF(INDEX(Bank!$C:$C,$C180)="","",INDEX(Bank!$C:$C,$C180)),IF(INDEX(GL!$C:$C,$C180)="","",INDEX(GL!$C:$C,$C180))))</f>
        <v/>
      </c>
      <c r="F180" s="5" t="str">
        <f aca="false">IF(C180=0,"",IF($A180="Bank",IF(INDEX(Bank!$D:$D,$C180)="","",INDEX(Bank!$D:$D,$C180)),IF(INDEX(GL!$D:$D,$C180)="","",INDEX(GL!$D:$D,$C180))))</f>
        <v/>
      </c>
      <c r="G180" s="19" t="str">
        <f aca="false">IF(C180=0,"",IF($A180="Bank",INDEX(Bank!$E:$E,$C180),INDEX(GL!$E:$E,$C180)))</f>
        <v/>
      </c>
      <c r="H180" s="5" t="str">
        <f aca="false">IF(C180=0,"",IF(A180="GL",IF(G180&gt;0,"Deposit in transit","Outstanding check / payment"),IF(G180&gt;0,"Bank credit not in GL","Bank debit not in GL")))</f>
        <v/>
      </c>
      <c r="I180" s="42" t="str">
        <f aca="false">IF(OR(C180=0,CFG_PeriodEnd=""),"",CFG_PeriodEnd-D180)</f>
        <v/>
      </c>
      <c r="J180" s="5" t="str">
        <f aca="false">IF(C180=0,"",IF($A180="Bank",IF(INDEX(Bank!$G:$G,$C180)="","",INDEX(Bank!$G:$G,$C180)),IF(INDEX(GL!$G:$G,$C180)="","",INDEX(GL!$G:$G,$C180))))</f>
        <v/>
      </c>
      <c r="K180" s="5" t="str">
        <f aca="false">IF(C180=0,"",IF($A180="Bank",IF(INDEX(Bank!$I:$I,$C180)="","",INDEX(Bank!$I:$I,$C180)),IF(INDEX(GL!$I:$I,$C180)="","",INDEX(GL!$I:$I,$C180))))</f>
        <v/>
      </c>
      <c r="L180" s="5" t="str">
        <f aca="false">IF(B180="","",IF(C180=0,"NOT FOUND",IF(IF($A180="Bank",INDEX(Bank!$F:$F,$C180),INDEX(GL!$F:$F,$C180))="Y","NOW RECONCILED: refresh","OK")))</f>
        <v/>
      </c>
    </row>
    <row r="181" customFormat="false" ht="15" hidden="false" customHeight="false" outlineLevel="0" collapsed="false">
      <c r="A181" s="41"/>
      <c r="B181" s="41"/>
      <c r="C181" s="5" t="n">
        <f aca="false">IF(B181="",0,IF(A181="Bank",IFERROR(MATCH(B181,Bank!$A:$A,0),0),IFERROR(MATCH(B181,GL!$A:$A,0),0)))</f>
        <v>0</v>
      </c>
      <c r="D181" s="32" t="str">
        <f aca="false">IF(C181=0,"",IF($A181="Bank",INDEX(Bank!$B:$B,$C181),INDEX(GL!$B:$B,$C181)))</f>
        <v/>
      </c>
      <c r="E181" s="5" t="str">
        <f aca="false">IF(C181=0,"",IF($A181="Bank",IF(INDEX(Bank!$C:$C,$C181)="","",INDEX(Bank!$C:$C,$C181)),IF(INDEX(GL!$C:$C,$C181)="","",INDEX(GL!$C:$C,$C181))))</f>
        <v/>
      </c>
      <c r="F181" s="5" t="str">
        <f aca="false">IF(C181=0,"",IF($A181="Bank",IF(INDEX(Bank!$D:$D,$C181)="","",INDEX(Bank!$D:$D,$C181)),IF(INDEX(GL!$D:$D,$C181)="","",INDEX(GL!$D:$D,$C181))))</f>
        <v/>
      </c>
      <c r="G181" s="19" t="str">
        <f aca="false">IF(C181=0,"",IF($A181="Bank",INDEX(Bank!$E:$E,$C181),INDEX(GL!$E:$E,$C181)))</f>
        <v/>
      </c>
      <c r="H181" s="5" t="str">
        <f aca="false">IF(C181=0,"",IF(A181="GL",IF(G181&gt;0,"Deposit in transit","Outstanding check / payment"),IF(G181&gt;0,"Bank credit not in GL","Bank debit not in GL")))</f>
        <v/>
      </c>
      <c r="I181" s="42" t="str">
        <f aca="false">IF(OR(C181=0,CFG_PeriodEnd=""),"",CFG_PeriodEnd-D181)</f>
        <v/>
      </c>
      <c r="J181" s="5" t="str">
        <f aca="false">IF(C181=0,"",IF($A181="Bank",IF(INDEX(Bank!$G:$G,$C181)="","",INDEX(Bank!$G:$G,$C181)),IF(INDEX(GL!$G:$G,$C181)="","",INDEX(GL!$G:$G,$C181))))</f>
        <v/>
      </c>
      <c r="K181" s="5" t="str">
        <f aca="false">IF(C181=0,"",IF($A181="Bank",IF(INDEX(Bank!$I:$I,$C181)="","",INDEX(Bank!$I:$I,$C181)),IF(INDEX(GL!$I:$I,$C181)="","",INDEX(GL!$I:$I,$C181))))</f>
        <v/>
      </c>
      <c r="L181" s="5" t="str">
        <f aca="false">IF(B181="","",IF(C181=0,"NOT FOUND",IF(IF($A181="Bank",INDEX(Bank!$F:$F,$C181),INDEX(GL!$F:$F,$C181))="Y","NOW RECONCILED: refresh","OK")))</f>
        <v/>
      </c>
    </row>
    <row r="182" customFormat="false" ht="15" hidden="false" customHeight="false" outlineLevel="0" collapsed="false">
      <c r="A182" s="41"/>
      <c r="B182" s="41"/>
      <c r="C182" s="5" t="n">
        <f aca="false">IF(B182="",0,IF(A182="Bank",IFERROR(MATCH(B182,Bank!$A:$A,0),0),IFERROR(MATCH(B182,GL!$A:$A,0),0)))</f>
        <v>0</v>
      </c>
      <c r="D182" s="32" t="str">
        <f aca="false">IF(C182=0,"",IF($A182="Bank",INDEX(Bank!$B:$B,$C182),INDEX(GL!$B:$B,$C182)))</f>
        <v/>
      </c>
      <c r="E182" s="5" t="str">
        <f aca="false">IF(C182=0,"",IF($A182="Bank",IF(INDEX(Bank!$C:$C,$C182)="","",INDEX(Bank!$C:$C,$C182)),IF(INDEX(GL!$C:$C,$C182)="","",INDEX(GL!$C:$C,$C182))))</f>
        <v/>
      </c>
      <c r="F182" s="5" t="str">
        <f aca="false">IF(C182=0,"",IF($A182="Bank",IF(INDEX(Bank!$D:$D,$C182)="","",INDEX(Bank!$D:$D,$C182)),IF(INDEX(GL!$D:$D,$C182)="","",INDEX(GL!$D:$D,$C182))))</f>
        <v/>
      </c>
      <c r="G182" s="19" t="str">
        <f aca="false">IF(C182=0,"",IF($A182="Bank",INDEX(Bank!$E:$E,$C182),INDEX(GL!$E:$E,$C182)))</f>
        <v/>
      </c>
      <c r="H182" s="5" t="str">
        <f aca="false">IF(C182=0,"",IF(A182="GL",IF(G182&gt;0,"Deposit in transit","Outstanding check / payment"),IF(G182&gt;0,"Bank credit not in GL","Bank debit not in GL")))</f>
        <v/>
      </c>
      <c r="I182" s="42" t="str">
        <f aca="false">IF(OR(C182=0,CFG_PeriodEnd=""),"",CFG_PeriodEnd-D182)</f>
        <v/>
      </c>
      <c r="J182" s="5" t="str">
        <f aca="false">IF(C182=0,"",IF($A182="Bank",IF(INDEX(Bank!$G:$G,$C182)="","",INDEX(Bank!$G:$G,$C182)),IF(INDEX(GL!$G:$G,$C182)="","",INDEX(GL!$G:$G,$C182))))</f>
        <v/>
      </c>
      <c r="K182" s="5" t="str">
        <f aca="false">IF(C182=0,"",IF($A182="Bank",IF(INDEX(Bank!$I:$I,$C182)="","",INDEX(Bank!$I:$I,$C182)),IF(INDEX(GL!$I:$I,$C182)="","",INDEX(GL!$I:$I,$C182))))</f>
        <v/>
      </c>
      <c r="L182" s="5" t="str">
        <f aca="false">IF(B182="","",IF(C182=0,"NOT FOUND",IF(IF($A182="Bank",INDEX(Bank!$F:$F,$C182),INDEX(GL!$F:$F,$C182))="Y","NOW RECONCILED: refresh","OK")))</f>
        <v/>
      </c>
    </row>
    <row r="183" customFormat="false" ht="15" hidden="false" customHeight="false" outlineLevel="0" collapsed="false">
      <c r="A183" s="41"/>
      <c r="B183" s="41"/>
      <c r="C183" s="5" t="n">
        <f aca="false">IF(B183="",0,IF(A183="Bank",IFERROR(MATCH(B183,Bank!$A:$A,0),0),IFERROR(MATCH(B183,GL!$A:$A,0),0)))</f>
        <v>0</v>
      </c>
      <c r="D183" s="32" t="str">
        <f aca="false">IF(C183=0,"",IF($A183="Bank",INDEX(Bank!$B:$B,$C183),INDEX(GL!$B:$B,$C183)))</f>
        <v/>
      </c>
      <c r="E183" s="5" t="str">
        <f aca="false">IF(C183=0,"",IF($A183="Bank",IF(INDEX(Bank!$C:$C,$C183)="","",INDEX(Bank!$C:$C,$C183)),IF(INDEX(GL!$C:$C,$C183)="","",INDEX(GL!$C:$C,$C183))))</f>
        <v/>
      </c>
      <c r="F183" s="5" t="str">
        <f aca="false">IF(C183=0,"",IF($A183="Bank",IF(INDEX(Bank!$D:$D,$C183)="","",INDEX(Bank!$D:$D,$C183)),IF(INDEX(GL!$D:$D,$C183)="","",INDEX(GL!$D:$D,$C183))))</f>
        <v/>
      </c>
      <c r="G183" s="19" t="str">
        <f aca="false">IF(C183=0,"",IF($A183="Bank",INDEX(Bank!$E:$E,$C183),INDEX(GL!$E:$E,$C183)))</f>
        <v/>
      </c>
      <c r="H183" s="5" t="str">
        <f aca="false">IF(C183=0,"",IF(A183="GL",IF(G183&gt;0,"Deposit in transit","Outstanding check / payment"),IF(G183&gt;0,"Bank credit not in GL","Bank debit not in GL")))</f>
        <v/>
      </c>
      <c r="I183" s="42" t="str">
        <f aca="false">IF(OR(C183=0,CFG_PeriodEnd=""),"",CFG_PeriodEnd-D183)</f>
        <v/>
      </c>
      <c r="J183" s="5" t="str">
        <f aca="false">IF(C183=0,"",IF($A183="Bank",IF(INDEX(Bank!$G:$G,$C183)="","",INDEX(Bank!$G:$G,$C183)),IF(INDEX(GL!$G:$G,$C183)="","",INDEX(GL!$G:$G,$C183))))</f>
        <v/>
      </c>
      <c r="K183" s="5" t="str">
        <f aca="false">IF(C183=0,"",IF($A183="Bank",IF(INDEX(Bank!$I:$I,$C183)="","",INDEX(Bank!$I:$I,$C183)),IF(INDEX(GL!$I:$I,$C183)="","",INDEX(GL!$I:$I,$C183))))</f>
        <v/>
      </c>
      <c r="L183" s="5" t="str">
        <f aca="false">IF(B183="","",IF(C183=0,"NOT FOUND",IF(IF($A183="Bank",INDEX(Bank!$F:$F,$C183),INDEX(GL!$F:$F,$C183))="Y","NOW RECONCILED: refresh","OK")))</f>
        <v/>
      </c>
    </row>
    <row r="184" customFormat="false" ht="15" hidden="false" customHeight="false" outlineLevel="0" collapsed="false">
      <c r="A184" s="41"/>
      <c r="B184" s="41"/>
      <c r="C184" s="5" t="n">
        <f aca="false">IF(B184="",0,IF(A184="Bank",IFERROR(MATCH(B184,Bank!$A:$A,0),0),IFERROR(MATCH(B184,GL!$A:$A,0),0)))</f>
        <v>0</v>
      </c>
      <c r="D184" s="32" t="str">
        <f aca="false">IF(C184=0,"",IF($A184="Bank",INDEX(Bank!$B:$B,$C184),INDEX(GL!$B:$B,$C184)))</f>
        <v/>
      </c>
      <c r="E184" s="5" t="str">
        <f aca="false">IF(C184=0,"",IF($A184="Bank",IF(INDEX(Bank!$C:$C,$C184)="","",INDEX(Bank!$C:$C,$C184)),IF(INDEX(GL!$C:$C,$C184)="","",INDEX(GL!$C:$C,$C184))))</f>
        <v/>
      </c>
      <c r="F184" s="5" t="str">
        <f aca="false">IF(C184=0,"",IF($A184="Bank",IF(INDEX(Bank!$D:$D,$C184)="","",INDEX(Bank!$D:$D,$C184)),IF(INDEX(GL!$D:$D,$C184)="","",INDEX(GL!$D:$D,$C184))))</f>
        <v/>
      </c>
      <c r="G184" s="19" t="str">
        <f aca="false">IF(C184=0,"",IF($A184="Bank",INDEX(Bank!$E:$E,$C184),INDEX(GL!$E:$E,$C184)))</f>
        <v/>
      </c>
      <c r="H184" s="5" t="str">
        <f aca="false">IF(C184=0,"",IF(A184="GL",IF(G184&gt;0,"Deposit in transit","Outstanding check / payment"),IF(G184&gt;0,"Bank credit not in GL","Bank debit not in GL")))</f>
        <v/>
      </c>
      <c r="I184" s="42" t="str">
        <f aca="false">IF(OR(C184=0,CFG_PeriodEnd=""),"",CFG_PeriodEnd-D184)</f>
        <v/>
      </c>
      <c r="J184" s="5" t="str">
        <f aca="false">IF(C184=0,"",IF($A184="Bank",IF(INDEX(Bank!$G:$G,$C184)="","",INDEX(Bank!$G:$G,$C184)),IF(INDEX(GL!$G:$G,$C184)="","",INDEX(GL!$G:$G,$C184))))</f>
        <v/>
      </c>
      <c r="K184" s="5" t="str">
        <f aca="false">IF(C184=0,"",IF($A184="Bank",IF(INDEX(Bank!$I:$I,$C184)="","",INDEX(Bank!$I:$I,$C184)),IF(INDEX(GL!$I:$I,$C184)="","",INDEX(GL!$I:$I,$C184))))</f>
        <v/>
      </c>
      <c r="L184" s="5" t="str">
        <f aca="false">IF(B184="","",IF(C184=0,"NOT FOUND",IF(IF($A184="Bank",INDEX(Bank!$F:$F,$C184),INDEX(GL!$F:$F,$C184))="Y","NOW RECONCILED: refresh","OK")))</f>
        <v/>
      </c>
    </row>
    <row r="185" customFormat="false" ht="15" hidden="false" customHeight="false" outlineLevel="0" collapsed="false">
      <c r="A185" s="41"/>
      <c r="B185" s="41"/>
      <c r="C185" s="5" t="n">
        <f aca="false">IF(B185="",0,IF(A185="Bank",IFERROR(MATCH(B185,Bank!$A:$A,0),0),IFERROR(MATCH(B185,GL!$A:$A,0),0)))</f>
        <v>0</v>
      </c>
      <c r="D185" s="32" t="str">
        <f aca="false">IF(C185=0,"",IF($A185="Bank",INDEX(Bank!$B:$B,$C185),INDEX(GL!$B:$B,$C185)))</f>
        <v/>
      </c>
      <c r="E185" s="5" t="str">
        <f aca="false">IF(C185=0,"",IF($A185="Bank",IF(INDEX(Bank!$C:$C,$C185)="","",INDEX(Bank!$C:$C,$C185)),IF(INDEX(GL!$C:$C,$C185)="","",INDEX(GL!$C:$C,$C185))))</f>
        <v/>
      </c>
      <c r="F185" s="5" t="str">
        <f aca="false">IF(C185=0,"",IF($A185="Bank",IF(INDEX(Bank!$D:$D,$C185)="","",INDEX(Bank!$D:$D,$C185)),IF(INDEX(GL!$D:$D,$C185)="","",INDEX(GL!$D:$D,$C185))))</f>
        <v/>
      </c>
      <c r="G185" s="19" t="str">
        <f aca="false">IF(C185=0,"",IF($A185="Bank",INDEX(Bank!$E:$E,$C185),INDEX(GL!$E:$E,$C185)))</f>
        <v/>
      </c>
      <c r="H185" s="5" t="str">
        <f aca="false">IF(C185=0,"",IF(A185="GL",IF(G185&gt;0,"Deposit in transit","Outstanding check / payment"),IF(G185&gt;0,"Bank credit not in GL","Bank debit not in GL")))</f>
        <v/>
      </c>
      <c r="I185" s="42" t="str">
        <f aca="false">IF(OR(C185=0,CFG_PeriodEnd=""),"",CFG_PeriodEnd-D185)</f>
        <v/>
      </c>
      <c r="J185" s="5" t="str">
        <f aca="false">IF(C185=0,"",IF($A185="Bank",IF(INDEX(Bank!$G:$G,$C185)="","",INDEX(Bank!$G:$G,$C185)),IF(INDEX(GL!$G:$G,$C185)="","",INDEX(GL!$G:$G,$C185))))</f>
        <v/>
      </c>
      <c r="K185" s="5" t="str">
        <f aca="false">IF(C185=0,"",IF($A185="Bank",IF(INDEX(Bank!$I:$I,$C185)="","",INDEX(Bank!$I:$I,$C185)),IF(INDEX(GL!$I:$I,$C185)="","",INDEX(GL!$I:$I,$C185))))</f>
        <v/>
      </c>
      <c r="L185" s="5" t="str">
        <f aca="false">IF(B185="","",IF(C185=0,"NOT FOUND",IF(IF($A185="Bank",INDEX(Bank!$F:$F,$C185),INDEX(GL!$F:$F,$C185))="Y","NOW RECONCILED: refresh","OK")))</f>
        <v/>
      </c>
    </row>
    <row r="186" customFormat="false" ht="15" hidden="false" customHeight="false" outlineLevel="0" collapsed="false">
      <c r="A186" s="41"/>
      <c r="B186" s="41"/>
      <c r="C186" s="5" t="n">
        <f aca="false">IF(B186="",0,IF(A186="Bank",IFERROR(MATCH(B186,Bank!$A:$A,0),0),IFERROR(MATCH(B186,GL!$A:$A,0),0)))</f>
        <v>0</v>
      </c>
      <c r="D186" s="32" t="str">
        <f aca="false">IF(C186=0,"",IF($A186="Bank",INDEX(Bank!$B:$B,$C186),INDEX(GL!$B:$B,$C186)))</f>
        <v/>
      </c>
      <c r="E186" s="5" t="str">
        <f aca="false">IF(C186=0,"",IF($A186="Bank",IF(INDEX(Bank!$C:$C,$C186)="","",INDEX(Bank!$C:$C,$C186)),IF(INDEX(GL!$C:$C,$C186)="","",INDEX(GL!$C:$C,$C186))))</f>
        <v/>
      </c>
      <c r="F186" s="5" t="str">
        <f aca="false">IF(C186=0,"",IF($A186="Bank",IF(INDEX(Bank!$D:$D,$C186)="","",INDEX(Bank!$D:$D,$C186)),IF(INDEX(GL!$D:$D,$C186)="","",INDEX(GL!$D:$D,$C186))))</f>
        <v/>
      </c>
      <c r="G186" s="19" t="str">
        <f aca="false">IF(C186=0,"",IF($A186="Bank",INDEX(Bank!$E:$E,$C186),INDEX(GL!$E:$E,$C186)))</f>
        <v/>
      </c>
      <c r="H186" s="5" t="str">
        <f aca="false">IF(C186=0,"",IF(A186="GL",IF(G186&gt;0,"Deposit in transit","Outstanding check / payment"),IF(G186&gt;0,"Bank credit not in GL","Bank debit not in GL")))</f>
        <v/>
      </c>
      <c r="I186" s="42" t="str">
        <f aca="false">IF(OR(C186=0,CFG_PeriodEnd=""),"",CFG_PeriodEnd-D186)</f>
        <v/>
      </c>
      <c r="J186" s="5" t="str">
        <f aca="false">IF(C186=0,"",IF($A186="Bank",IF(INDEX(Bank!$G:$G,$C186)="","",INDEX(Bank!$G:$G,$C186)),IF(INDEX(GL!$G:$G,$C186)="","",INDEX(GL!$G:$G,$C186))))</f>
        <v/>
      </c>
      <c r="K186" s="5" t="str">
        <f aca="false">IF(C186=0,"",IF($A186="Bank",IF(INDEX(Bank!$I:$I,$C186)="","",INDEX(Bank!$I:$I,$C186)),IF(INDEX(GL!$I:$I,$C186)="","",INDEX(GL!$I:$I,$C186))))</f>
        <v/>
      </c>
      <c r="L186" s="5" t="str">
        <f aca="false">IF(B186="","",IF(C186=0,"NOT FOUND",IF(IF($A186="Bank",INDEX(Bank!$F:$F,$C186),INDEX(GL!$F:$F,$C186))="Y","NOW RECONCILED: refresh","OK")))</f>
        <v/>
      </c>
    </row>
    <row r="187" customFormat="false" ht="15" hidden="false" customHeight="false" outlineLevel="0" collapsed="false">
      <c r="A187" s="41"/>
      <c r="B187" s="41"/>
      <c r="C187" s="5" t="n">
        <f aca="false">IF(B187="",0,IF(A187="Bank",IFERROR(MATCH(B187,Bank!$A:$A,0),0),IFERROR(MATCH(B187,GL!$A:$A,0),0)))</f>
        <v>0</v>
      </c>
      <c r="D187" s="32" t="str">
        <f aca="false">IF(C187=0,"",IF($A187="Bank",INDEX(Bank!$B:$B,$C187),INDEX(GL!$B:$B,$C187)))</f>
        <v/>
      </c>
      <c r="E187" s="5" t="str">
        <f aca="false">IF(C187=0,"",IF($A187="Bank",IF(INDEX(Bank!$C:$C,$C187)="","",INDEX(Bank!$C:$C,$C187)),IF(INDEX(GL!$C:$C,$C187)="","",INDEX(GL!$C:$C,$C187))))</f>
        <v/>
      </c>
      <c r="F187" s="5" t="str">
        <f aca="false">IF(C187=0,"",IF($A187="Bank",IF(INDEX(Bank!$D:$D,$C187)="","",INDEX(Bank!$D:$D,$C187)),IF(INDEX(GL!$D:$D,$C187)="","",INDEX(GL!$D:$D,$C187))))</f>
        <v/>
      </c>
      <c r="G187" s="19" t="str">
        <f aca="false">IF(C187=0,"",IF($A187="Bank",INDEX(Bank!$E:$E,$C187),INDEX(GL!$E:$E,$C187)))</f>
        <v/>
      </c>
      <c r="H187" s="5" t="str">
        <f aca="false">IF(C187=0,"",IF(A187="GL",IF(G187&gt;0,"Deposit in transit","Outstanding check / payment"),IF(G187&gt;0,"Bank credit not in GL","Bank debit not in GL")))</f>
        <v/>
      </c>
      <c r="I187" s="42" t="str">
        <f aca="false">IF(OR(C187=0,CFG_PeriodEnd=""),"",CFG_PeriodEnd-D187)</f>
        <v/>
      </c>
      <c r="J187" s="5" t="str">
        <f aca="false">IF(C187=0,"",IF($A187="Bank",IF(INDEX(Bank!$G:$G,$C187)="","",INDEX(Bank!$G:$G,$C187)),IF(INDEX(GL!$G:$G,$C187)="","",INDEX(GL!$G:$G,$C187))))</f>
        <v/>
      </c>
      <c r="K187" s="5" t="str">
        <f aca="false">IF(C187=0,"",IF($A187="Bank",IF(INDEX(Bank!$I:$I,$C187)="","",INDEX(Bank!$I:$I,$C187)),IF(INDEX(GL!$I:$I,$C187)="","",INDEX(GL!$I:$I,$C187))))</f>
        <v/>
      </c>
      <c r="L187" s="5" t="str">
        <f aca="false">IF(B187="","",IF(C187=0,"NOT FOUND",IF(IF($A187="Bank",INDEX(Bank!$F:$F,$C187),INDEX(GL!$F:$F,$C187))="Y","NOW RECONCILED: refresh","OK")))</f>
        <v/>
      </c>
    </row>
    <row r="188" customFormat="false" ht="15" hidden="false" customHeight="false" outlineLevel="0" collapsed="false">
      <c r="A188" s="41"/>
      <c r="B188" s="41"/>
      <c r="C188" s="5" t="n">
        <f aca="false">IF(B188="",0,IF(A188="Bank",IFERROR(MATCH(B188,Bank!$A:$A,0),0),IFERROR(MATCH(B188,GL!$A:$A,0),0)))</f>
        <v>0</v>
      </c>
      <c r="D188" s="32" t="str">
        <f aca="false">IF(C188=0,"",IF($A188="Bank",INDEX(Bank!$B:$B,$C188),INDEX(GL!$B:$B,$C188)))</f>
        <v/>
      </c>
      <c r="E188" s="5" t="str">
        <f aca="false">IF(C188=0,"",IF($A188="Bank",IF(INDEX(Bank!$C:$C,$C188)="","",INDEX(Bank!$C:$C,$C188)),IF(INDEX(GL!$C:$C,$C188)="","",INDEX(GL!$C:$C,$C188))))</f>
        <v/>
      </c>
      <c r="F188" s="5" t="str">
        <f aca="false">IF(C188=0,"",IF($A188="Bank",IF(INDEX(Bank!$D:$D,$C188)="","",INDEX(Bank!$D:$D,$C188)),IF(INDEX(GL!$D:$D,$C188)="","",INDEX(GL!$D:$D,$C188))))</f>
        <v/>
      </c>
      <c r="G188" s="19" t="str">
        <f aca="false">IF(C188=0,"",IF($A188="Bank",INDEX(Bank!$E:$E,$C188),INDEX(GL!$E:$E,$C188)))</f>
        <v/>
      </c>
      <c r="H188" s="5" t="str">
        <f aca="false">IF(C188=0,"",IF(A188="GL",IF(G188&gt;0,"Deposit in transit","Outstanding check / payment"),IF(G188&gt;0,"Bank credit not in GL","Bank debit not in GL")))</f>
        <v/>
      </c>
      <c r="I188" s="42" t="str">
        <f aca="false">IF(OR(C188=0,CFG_PeriodEnd=""),"",CFG_PeriodEnd-D188)</f>
        <v/>
      </c>
      <c r="J188" s="5" t="str">
        <f aca="false">IF(C188=0,"",IF($A188="Bank",IF(INDEX(Bank!$G:$G,$C188)="","",INDEX(Bank!$G:$G,$C188)),IF(INDEX(GL!$G:$G,$C188)="","",INDEX(GL!$G:$G,$C188))))</f>
        <v/>
      </c>
      <c r="K188" s="5" t="str">
        <f aca="false">IF(C188=0,"",IF($A188="Bank",IF(INDEX(Bank!$I:$I,$C188)="","",INDEX(Bank!$I:$I,$C188)),IF(INDEX(GL!$I:$I,$C188)="","",INDEX(GL!$I:$I,$C188))))</f>
        <v/>
      </c>
      <c r="L188" s="5" t="str">
        <f aca="false">IF(B188="","",IF(C188=0,"NOT FOUND",IF(IF($A188="Bank",INDEX(Bank!$F:$F,$C188),INDEX(GL!$F:$F,$C188))="Y","NOW RECONCILED: refresh","OK")))</f>
        <v/>
      </c>
    </row>
    <row r="189" customFormat="false" ht="15" hidden="false" customHeight="false" outlineLevel="0" collapsed="false">
      <c r="A189" s="41"/>
      <c r="B189" s="41"/>
      <c r="C189" s="5" t="n">
        <f aca="false">IF(B189="",0,IF(A189="Bank",IFERROR(MATCH(B189,Bank!$A:$A,0),0),IFERROR(MATCH(B189,GL!$A:$A,0),0)))</f>
        <v>0</v>
      </c>
      <c r="D189" s="32" t="str">
        <f aca="false">IF(C189=0,"",IF($A189="Bank",INDEX(Bank!$B:$B,$C189),INDEX(GL!$B:$B,$C189)))</f>
        <v/>
      </c>
      <c r="E189" s="5" t="str">
        <f aca="false">IF(C189=0,"",IF($A189="Bank",IF(INDEX(Bank!$C:$C,$C189)="","",INDEX(Bank!$C:$C,$C189)),IF(INDEX(GL!$C:$C,$C189)="","",INDEX(GL!$C:$C,$C189))))</f>
        <v/>
      </c>
      <c r="F189" s="5" t="str">
        <f aca="false">IF(C189=0,"",IF($A189="Bank",IF(INDEX(Bank!$D:$D,$C189)="","",INDEX(Bank!$D:$D,$C189)),IF(INDEX(GL!$D:$D,$C189)="","",INDEX(GL!$D:$D,$C189))))</f>
        <v/>
      </c>
      <c r="G189" s="19" t="str">
        <f aca="false">IF(C189=0,"",IF($A189="Bank",INDEX(Bank!$E:$E,$C189),INDEX(GL!$E:$E,$C189)))</f>
        <v/>
      </c>
      <c r="H189" s="5" t="str">
        <f aca="false">IF(C189=0,"",IF(A189="GL",IF(G189&gt;0,"Deposit in transit","Outstanding check / payment"),IF(G189&gt;0,"Bank credit not in GL","Bank debit not in GL")))</f>
        <v/>
      </c>
      <c r="I189" s="42" t="str">
        <f aca="false">IF(OR(C189=0,CFG_PeriodEnd=""),"",CFG_PeriodEnd-D189)</f>
        <v/>
      </c>
      <c r="J189" s="5" t="str">
        <f aca="false">IF(C189=0,"",IF($A189="Bank",IF(INDEX(Bank!$G:$G,$C189)="","",INDEX(Bank!$G:$G,$C189)),IF(INDEX(GL!$G:$G,$C189)="","",INDEX(GL!$G:$G,$C189))))</f>
        <v/>
      </c>
      <c r="K189" s="5" t="str">
        <f aca="false">IF(C189=0,"",IF($A189="Bank",IF(INDEX(Bank!$I:$I,$C189)="","",INDEX(Bank!$I:$I,$C189)),IF(INDEX(GL!$I:$I,$C189)="","",INDEX(GL!$I:$I,$C189))))</f>
        <v/>
      </c>
      <c r="L189" s="5" t="str">
        <f aca="false">IF(B189="","",IF(C189=0,"NOT FOUND",IF(IF($A189="Bank",INDEX(Bank!$F:$F,$C189),INDEX(GL!$F:$F,$C189))="Y","NOW RECONCILED: refresh","OK")))</f>
        <v/>
      </c>
    </row>
    <row r="190" customFormat="false" ht="15" hidden="false" customHeight="false" outlineLevel="0" collapsed="false">
      <c r="A190" s="41"/>
      <c r="B190" s="41"/>
      <c r="C190" s="5" t="n">
        <f aca="false">IF(B190="",0,IF(A190="Bank",IFERROR(MATCH(B190,Bank!$A:$A,0),0),IFERROR(MATCH(B190,GL!$A:$A,0),0)))</f>
        <v>0</v>
      </c>
      <c r="D190" s="32" t="str">
        <f aca="false">IF(C190=0,"",IF($A190="Bank",INDEX(Bank!$B:$B,$C190),INDEX(GL!$B:$B,$C190)))</f>
        <v/>
      </c>
      <c r="E190" s="5" t="str">
        <f aca="false">IF(C190=0,"",IF($A190="Bank",IF(INDEX(Bank!$C:$C,$C190)="","",INDEX(Bank!$C:$C,$C190)),IF(INDEX(GL!$C:$C,$C190)="","",INDEX(GL!$C:$C,$C190))))</f>
        <v/>
      </c>
      <c r="F190" s="5" t="str">
        <f aca="false">IF(C190=0,"",IF($A190="Bank",IF(INDEX(Bank!$D:$D,$C190)="","",INDEX(Bank!$D:$D,$C190)),IF(INDEX(GL!$D:$D,$C190)="","",INDEX(GL!$D:$D,$C190))))</f>
        <v/>
      </c>
      <c r="G190" s="19" t="str">
        <f aca="false">IF(C190=0,"",IF($A190="Bank",INDEX(Bank!$E:$E,$C190),INDEX(GL!$E:$E,$C190)))</f>
        <v/>
      </c>
      <c r="H190" s="5" t="str">
        <f aca="false">IF(C190=0,"",IF(A190="GL",IF(G190&gt;0,"Deposit in transit","Outstanding check / payment"),IF(G190&gt;0,"Bank credit not in GL","Bank debit not in GL")))</f>
        <v/>
      </c>
      <c r="I190" s="42" t="str">
        <f aca="false">IF(OR(C190=0,CFG_PeriodEnd=""),"",CFG_PeriodEnd-D190)</f>
        <v/>
      </c>
      <c r="J190" s="5" t="str">
        <f aca="false">IF(C190=0,"",IF($A190="Bank",IF(INDEX(Bank!$G:$G,$C190)="","",INDEX(Bank!$G:$G,$C190)),IF(INDEX(GL!$G:$G,$C190)="","",INDEX(GL!$G:$G,$C190))))</f>
        <v/>
      </c>
      <c r="K190" s="5" t="str">
        <f aca="false">IF(C190=0,"",IF($A190="Bank",IF(INDEX(Bank!$I:$I,$C190)="","",INDEX(Bank!$I:$I,$C190)),IF(INDEX(GL!$I:$I,$C190)="","",INDEX(GL!$I:$I,$C190))))</f>
        <v/>
      </c>
      <c r="L190" s="5" t="str">
        <f aca="false">IF(B190="","",IF(C190=0,"NOT FOUND",IF(IF($A190="Bank",INDEX(Bank!$F:$F,$C190),INDEX(GL!$F:$F,$C190))="Y","NOW RECONCILED: refresh","OK")))</f>
        <v/>
      </c>
    </row>
    <row r="191" customFormat="false" ht="15" hidden="false" customHeight="false" outlineLevel="0" collapsed="false">
      <c r="A191" s="41"/>
      <c r="B191" s="41"/>
      <c r="C191" s="5" t="n">
        <f aca="false">IF(B191="",0,IF(A191="Bank",IFERROR(MATCH(B191,Bank!$A:$A,0),0),IFERROR(MATCH(B191,GL!$A:$A,0),0)))</f>
        <v>0</v>
      </c>
      <c r="D191" s="32" t="str">
        <f aca="false">IF(C191=0,"",IF($A191="Bank",INDEX(Bank!$B:$B,$C191),INDEX(GL!$B:$B,$C191)))</f>
        <v/>
      </c>
      <c r="E191" s="5" t="str">
        <f aca="false">IF(C191=0,"",IF($A191="Bank",IF(INDEX(Bank!$C:$C,$C191)="","",INDEX(Bank!$C:$C,$C191)),IF(INDEX(GL!$C:$C,$C191)="","",INDEX(GL!$C:$C,$C191))))</f>
        <v/>
      </c>
      <c r="F191" s="5" t="str">
        <f aca="false">IF(C191=0,"",IF($A191="Bank",IF(INDEX(Bank!$D:$D,$C191)="","",INDEX(Bank!$D:$D,$C191)),IF(INDEX(GL!$D:$D,$C191)="","",INDEX(GL!$D:$D,$C191))))</f>
        <v/>
      </c>
      <c r="G191" s="19" t="str">
        <f aca="false">IF(C191=0,"",IF($A191="Bank",INDEX(Bank!$E:$E,$C191),INDEX(GL!$E:$E,$C191)))</f>
        <v/>
      </c>
      <c r="H191" s="5" t="str">
        <f aca="false">IF(C191=0,"",IF(A191="GL",IF(G191&gt;0,"Deposit in transit","Outstanding check / payment"),IF(G191&gt;0,"Bank credit not in GL","Bank debit not in GL")))</f>
        <v/>
      </c>
      <c r="I191" s="42" t="str">
        <f aca="false">IF(OR(C191=0,CFG_PeriodEnd=""),"",CFG_PeriodEnd-D191)</f>
        <v/>
      </c>
      <c r="J191" s="5" t="str">
        <f aca="false">IF(C191=0,"",IF($A191="Bank",IF(INDEX(Bank!$G:$G,$C191)="","",INDEX(Bank!$G:$G,$C191)),IF(INDEX(GL!$G:$G,$C191)="","",INDEX(GL!$G:$G,$C191))))</f>
        <v/>
      </c>
      <c r="K191" s="5" t="str">
        <f aca="false">IF(C191=0,"",IF($A191="Bank",IF(INDEX(Bank!$I:$I,$C191)="","",INDEX(Bank!$I:$I,$C191)),IF(INDEX(GL!$I:$I,$C191)="","",INDEX(GL!$I:$I,$C191))))</f>
        <v/>
      </c>
      <c r="L191" s="5" t="str">
        <f aca="false">IF(B191="","",IF(C191=0,"NOT FOUND",IF(IF($A191="Bank",INDEX(Bank!$F:$F,$C191),INDEX(GL!$F:$F,$C191))="Y","NOW RECONCILED: refresh","OK")))</f>
        <v/>
      </c>
    </row>
    <row r="192" customFormat="false" ht="15" hidden="false" customHeight="false" outlineLevel="0" collapsed="false">
      <c r="A192" s="41"/>
      <c r="B192" s="41"/>
      <c r="C192" s="5" t="n">
        <f aca="false">IF(B192="",0,IF(A192="Bank",IFERROR(MATCH(B192,Bank!$A:$A,0),0),IFERROR(MATCH(B192,GL!$A:$A,0),0)))</f>
        <v>0</v>
      </c>
      <c r="D192" s="32" t="str">
        <f aca="false">IF(C192=0,"",IF($A192="Bank",INDEX(Bank!$B:$B,$C192),INDEX(GL!$B:$B,$C192)))</f>
        <v/>
      </c>
      <c r="E192" s="5" t="str">
        <f aca="false">IF(C192=0,"",IF($A192="Bank",IF(INDEX(Bank!$C:$C,$C192)="","",INDEX(Bank!$C:$C,$C192)),IF(INDEX(GL!$C:$C,$C192)="","",INDEX(GL!$C:$C,$C192))))</f>
        <v/>
      </c>
      <c r="F192" s="5" t="str">
        <f aca="false">IF(C192=0,"",IF($A192="Bank",IF(INDEX(Bank!$D:$D,$C192)="","",INDEX(Bank!$D:$D,$C192)),IF(INDEX(GL!$D:$D,$C192)="","",INDEX(GL!$D:$D,$C192))))</f>
        <v/>
      </c>
      <c r="G192" s="19" t="str">
        <f aca="false">IF(C192=0,"",IF($A192="Bank",INDEX(Bank!$E:$E,$C192),INDEX(GL!$E:$E,$C192)))</f>
        <v/>
      </c>
      <c r="H192" s="5" t="str">
        <f aca="false">IF(C192=0,"",IF(A192="GL",IF(G192&gt;0,"Deposit in transit","Outstanding check / payment"),IF(G192&gt;0,"Bank credit not in GL","Bank debit not in GL")))</f>
        <v/>
      </c>
      <c r="I192" s="42" t="str">
        <f aca="false">IF(OR(C192=0,CFG_PeriodEnd=""),"",CFG_PeriodEnd-D192)</f>
        <v/>
      </c>
      <c r="J192" s="5" t="str">
        <f aca="false">IF(C192=0,"",IF($A192="Bank",IF(INDEX(Bank!$G:$G,$C192)="","",INDEX(Bank!$G:$G,$C192)),IF(INDEX(GL!$G:$G,$C192)="","",INDEX(GL!$G:$G,$C192))))</f>
        <v/>
      </c>
      <c r="K192" s="5" t="str">
        <f aca="false">IF(C192=0,"",IF($A192="Bank",IF(INDEX(Bank!$I:$I,$C192)="","",INDEX(Bank!$I:$I,$C192)),IF(INDEX(GL!$I:$I,$C192)="","",INDEX(GL!$I:$I,$C192))))</f>
        <v/>
      </c>
      <c r="L192" s="5" t="str">
        <f aca="false">IF(B192="","",IF(C192=0,"NOT FOUND",IF(IF($A192="Bank",INDEX(Bank!$F:$F,$C192),INDEX(GL!$F:$F,$C192))="Y","NOW RECONCILED: refresh","OK")))</f>
        <v/>
      </c>
    </row>
    <row r="193" customFormat="false" ht="15" hidden="false" customHeight="false" outlineLevel="0" collapsed="false">
      <c r="A193" s="41"/>
      <c r="B193" s="41"/>
      <c r="C193" s="5" t="n">
        <f aca="false">IF(B193="",0,IF(A193="Bank",IFERROR(MATCH(B193,Bank!$A:$A,0),0),IFERROR(MATCH(B193,GL!$A:$A,0),0)))</f>
        <v>0</v>
      </c>
      <c r="D193" s="32" t="str">
        <f aca="false">IF(C193=0,"",IF($A193="Bank",INDEX(Bank!$B:$B,$C193),INDEX(GL!$B:$B,$C193)))</f>
        <v/>
      </c>
      <c r="E193" s="5" t="str">
        <f aca="false">IF(C193=0,"",IF($A193="Bank",IF(INDEX(Bank!$C:$C,$C193)="","",INDEX(Bank!$C:$C,$C193)),IF(INDEX(GL!$C:$C,$C193)="","",INDEX(GL!$C:$C,$C193))))</f>
        <v/>
      </c>
      <c r="F193" s="5" t="str">
        <f aca="false">IF(C193=0,"",IF($A193="Bank",IF(INDEX(Bank!$D:$D,$C193)="","",INDEX(Bank!$D:$D,$C193)),IF(INDEX(GL!$D:$D,$C193)="","",INDEX(GL!$D:$D,$C193))))</f>
        <v/>
      </c>
      <c r="G193" s="19" t="str">
        <f aca="false">IF(C193=0,"",IF($A193="Bank",INDEX(Bank!$E:$E,$C193),INDEX(GL!$E:$E,$C193)))</f>
        <v/>
      </c>
      <c r="H193" s="5" t="str">
        <f aca="false">IF(C193=0,"",IF(A193="GL",IF(G193&gt;0,"Deposit in transit","Outstanding check / payment"),IF(G193&gt;0,"Bank credit not in GL","Bank debit not in GL")))</f>
        <v/>
      </c>
      <c r="I193" s="42" t="str">
        <f aca="false">IF(OR(C193=0,CFG_PeriodEnd=""),"",CFG_PeriodEnd-D193)</f>
        <v/>
      </c>
      <c r="J193" s="5" t="str">
        <f aca="false">IF(C193=0,"",IF($A193="Bank",IF(INDEX(Bank!$G:$G,$C193)="","",INDEX(Bank!$G:$G,$C193)),IF(INDEX(GL!$G:$G,$C193)="","",INDEX(GL!$G:$G,$C193))))</f>
        <v/>
      </c>
      <c r="K193" s="5" t="str">
        <f aca="false">IF(C193=0,"",IF($A193="Bank",IF(INDEX(Bank!$I:$I,$C193)="","",INDEX(Bank!$I:$I,$C193)),IF(INDEX(GL!$I:$I,$C193)="","",INDEX(GL!$I:$I,$C193))))</f>
        <v/>
      </c>
      <c r="L193" s="5" t="str">
        <f aca="false">IF(B193="","",IF(C193=0,"NOT FOUND",IF(IF($A193="Bank",INDEX(Bank!$F:$F,$C193),INDEX(GL!$F:$F,$C193))="Y","NOW RECONCILED: refresh","OK")))</f>
        <v/>
      </c>
    </row>
    <row r="194" customFormat="false" ht="15" hidden="false" customHeight="false" outlineLevel="0" collapsed="false">
      <c r="A194" s="41"/>
      <c r="B194" s="41"/>
      <c r="C194" s="5" t="n">
        <f aca="false">IF(B194="",0,IF(A194="Bank",IFERROR(MATCH(B194,Bank!$A:$A,0),0),IFERROR(MATCH(B194,GL!$A:$A,0),0)))</f>
        <v>0</v>
      </c>
      <c r="D194" s="32" t="str">
        <f aca="false">IF(C194=0,"",IF($A194="Bank",INDEX(Bank!$B:$B,$C194),INDEX(GL!$B:$B,$C194)))</f>
        <v/>
      </c>
      <c r="E194" s="5" t="str">
        <f aca="false">IF(C194=0,"",IF($A194="Bank",IF(INDEX(Bank!$C:$C,$C194)="","",INDEX(Bank!$C:$C,$C194)),IF(INDEX(GL!$C:$C,$C194)="","",INDEX(GL!$C:$C,$C194))))</f>
        <v/>
      </c>
      <c r="F194" s="5" t="str">
        <f aca="false">IF(C194=0,"",IF($A194="Bank",IF(INDEX(Bank!$D:$D,$C194)="","",INDEX(Bank!$D:$D,$C194)),IF(INDEX(GL!$D:$D,$C194)="","",INDEX(GL!$D:$D,$C194))))</f>
        <v/>
      </c>
      <c r="G194" s="19" t="str">
        <f aca="false">IF(C194=0,"",IF($A194="Bank",INDEX(Bank!$E:$E,$C194),INDEX(GL!$E:$E,$C194)))</f>
        <v/>
      </c>
      <c r="H194" s="5" t="str">
        <f aca="false">IF(C194=0,"",IF(A194="GL",IF(G194&gt;0,"Deposit in transit","Outstanding check / payment"),IF(G194&gt;0,"Bank credit not in GL","Bank debit not in GL")))</f>
        <v/>
      </c>
      <c r="I194" s="42" t="str">
        <f aca="false">IF(OR(C194=0,CFG_PeriodEnd=""),"",CFG_PeriodEnd-D194)</f>
        <v/>
      </c>
      <c r="J194" s="5" t="str">
        <f aca="false">IF(C194=0,"",IF($A194="Bank",IF(INDEX(Bank!$G:$G,$C194)="","",INDEX(Bank!$G:$G,$C194)),IF(INDEX(GL!$G:$G,$C194)="","",INDEX(GL!$G:$G,$C194))))</f>
        <v/>
      </c>
      <c r="K194" s="5" t="str">
        <f aca="false">IF(C194=0,"",IF($A194="Bank",IF(INDEX(Bank!$I:$I,$C194)="","",INDEX(Bank!$I:$I,$C194)),IF(INDEX(GL!$I:$I,$C194)="","",INDEX(GL!$I:$I,$C194))))</f>
        <v/>
      </c>
      <c r="L194" s="5" t="str">
        <f aca="false">IF(B194="","",IF(C194=0,"NOT FOUND",IF(IF($A194="Bank",INDEX(Bank!$F:$F,$C194),INDEX(GL!$F:$F,$C194))="Y","NOW RECONCILED: refresh","OK")))</f>
        <v/>
      </c>
    </row>
    <row r="195" customFormat="false" ht="15" hidden="false" customHeight="false" outlineLevel="0" collapsed="false">
      <c r="A195" s="41"/>
      <c r="B195" s="41"/>
      <c r="C195" s="5" t="n">
        <f aca="false">IF(B195="",0,IF(A195="Bank",IFERROR(MATCH(B195,Bank!$A:$A,0),0),IFERROR(MATCH(B195,GL!$A:$A,0),0)))</f>
        <v>0</v>
      </c>
      <c r="D195" s="32" t="str">
        <f aca="false">IF(C195=0,"",IF($A195="Bank",INDEX(Bank!$B:$B,$C195),INDEX(GL!$B:$B,$C195)))</f>
        <v/>
      </c>
      <c r="E195" s="5" t="str">
        <f aca="false">IF(C195=0,"",IF($A195="Bank",IF(INDEX(Bank!$C:$C,$C195)="","",INDEX(Bank!$C:$C,$C195)),IF(INDEX(GL!$C:$C,$C195)="","",INDEX(GL!$C:$C,$C195))))</f>
        <v/>
      </c>
      <c r="F195" s="5" t="str">
        <f aca="false">IF(C195=0,"",IF($A195="Bank",IF(INDEX(Bank!$D:$D,$C195)="","",INDEX(Bank!$D:$D,$C195)),IF(INDEX(GL!$D:$D,$C195)="","",INDEX(GL!$D:$D,$C195))))</f>
        <v/>
      </c>
      <c r="G195" s="19" t="str">
        <f aca="false">IF(C195=0,"",IF($A195="Bank",INDEX(Bank!$E:$E,$C195),INDEX(GL!$E:$E,$C195)))</f>
        <v/>
      </c>
      <c r="H195" s="5" t="str">
        <f aca="false">IF(C195=0,"",IF(A195="GL",IF(G195&gt;0,"Deposit in transit","Outstanding check / payment"),IF(G195&gt;0,"Bank credit not in GL","Bank debit not in GL")))</f>
        <v/>
      </c>
      <c r="I195" s="42" t="str">
        <f aca="false">IF(OR(C195=0,CFG_PeriodEnd=""),"",CFG_PeriodEnd-D195)</f>
        <v/>
      </c>
      <c r="J195" s="5" t="str">
        <f aca="false">IF(C195=0,"",IF($A195="Bank",IF(INDEX(Bank!$G:$G,$C195)="","",INDEX(Bank!$G:$G,$C195)),IF(INDEX(GL!$G:$G,$C195)="","",INDEX(GL!$G:$G,$C195))))</f>
        <v/>
      </c>
      <c r="K195" s="5" t="str">
        <f aca="false">IF(C195=0,"",IF($A195="Bank",IF(INDEX(Bank!$I:$I,$C195)="","",INDEX(Bank!$I:$I,$C195)),IF(INDEX(GL!$I:$I,$C195)="","",INDEX(GL!$I:$I,$C195))))</f>
        <v/>
      </c>
      <c r="L195" s="5" t="str">
        <f aca="false">IF(B195="","",IF(C195=0,"NOT FOUND",IF(IF($A195="Bank",INDEX(Bank!$F:$F,$C195),INDEX(GL!$F:$F,$C195))="Y","NOW RECONCILED: refresh","OK")))</f>
        <v/>
      </c>
    </row>
    <row r="196" customFormat="false" ht="15" hidden="false" customHeight="false" outlineLevel="0" collapsed="false">
      <c r="A196" s="41"/>
      <c r="B196" s="41"/>
      <c r="C196" s="5" t="n">
        <f aca="false">IF(B196="",0,IF(A196="Bank",IFERROR(MATCH(B196,Bank!$A:$A,0),0),IFERROR(MATCH(B196,GL!$A:$A,0),0)))</f>
        <v>0</v>
      </c>
      <c r="D196" s="32" t="str">
        <f aca="false">IF(C196=0,"",IF($A196="Bank",INDEX(Bank!$B:$B,$C196),INDEX(GL!$B:$B,$C196)))</f>
        <v/>
      </c>
      <c r="E196" s="5" t="str">
        <f aca="false">IF(C196=0,"",IF($A196="Bank",IF(INDEX(Bank!$C:$C,$C196)="","",INDEX(Bank!$C:$C,$C196)),IF(INDEX(GL!$C:$C,$C196)="","",INDEX(GL!$C:$C,$C196))))</f>
        <v/>
      </c>
      <c r="F196" s="5" t="str">
        <f aca="false">IF(C196=0,"",IF($A196="Bank",IF(INDEX(Bank!$D:$D,$C196)="","",INDEX(Bank!$D:$D,$C196)),IF(INDEX(GL!$D:$D,$C196)="","",INDEX(GL!$D:$D,$C196))))</f>
        <v/>
      </c>
      <c r="G196" s="19" t="str">
        <f aca="false">IF(C196=0,"",IF($A196="Bank",INDEX(Bank!$E:$E,$C196),INDEX(GL!$E:$E,$C196)))</f>
        <v/>
      </c>
      <c r="H196" s="5" t="str">
        <f aca="false">IF(C196=0,"",IF(A196="GL",IF(G196&gt;0,"Deposit in transit","Outstanding check / payment"),IF(G196&gt;0,"Bank credit not in GL","Bank debit not in GL")))</f>
        <v/>
      </c>
      <c r="I196" s="42" t="str">
        <f aca="false">IF(OR(C196=0,CFG_PeriodEnd=""),"",CFG_PeriodEnd-D196)</f>
        <v/>
      </c>
      <c r="J196" s="5" t="str">
        <f aca="false">IF(C196=0,"",IF($A196="Bank",IF(INDEX(Bank!$G:$G,$C196)="","",INDEX(Bank!$G:$G,$C196)),IF(INDEX(GL!$G:$G,$C196)="","",INDEX(GL!$G:$G,$C196))))</f>
        <v/>
      </c>
      <c r="K196" s="5" t="str">
        <f aca="false">IF(C196=0,"",IF($A196="Bank",IF(INDEX(Bank!$I:$I,$C196)="","",INDEX(Bank!$I:$I,$C196)),IF(INDEX(GL!$I:$I,$C196)="","",INDEX(GL!$I:$I,$C196))))</f>
        <v/>
      </c>
      <c r="L196" s="5" t="str">
        <f aca="false">IF(B196="","",IF(C196=0,"NOT FOUND",IF(IF($A196="Bank",INDEX(Bank!$F:$F,$C196),INDEX(GL!$F:$F,$C196))="Y","NOW RECONCILED: refresh","OK")))</f>
        <v/>
      </c>
    </row>
    <row r="197" customFormat="false" ht="15" hidden="false" customHeight="false" outlineLevel="0" collapsed="false">
      <c r="A197" s="41"/>
      <c r="B197" s="41"/>
      <c r="C197" s="5" t="n">
        <f aca="false">IF(B197="",0,IF(A197="Bank",IFERROR(MATCH(B197,Bank!$A:$A,0),0),IFERROR(MATCH(B197,GL!$A:$A,0),0)))</f>
        <v>0</v>
      </c>
      <c r="D197" s="32" t="str">
        <f aca="false">IF(C197=0,"",IF($A197="Bank",INDEX(Bank!$B:$B,$C197),INDEX(GL!$B:$B,$C197)))</f>
        <v/>
      </c>
      <c r="E197" s="5" t="str">
        <f aca="false">IF(C197=0,"",IF($A197="Bank",IF(INDEX(Bank!$C:$C,$C197)="","",INDEX(Bank!$C:$C,$C197)),IF(INDEX(GL!$C:$C,$C197)="","",INDEX(GL!$C:$C,$C197))))</f>
        <v/>
      </c>
      <c r="F197" s="5" t="str">
        <f aca="false">IF(C197=0,"",IF($A197="Bank",IF(INDEX(Bank!$D:$D,$C197)="","",INDEX(Bank!$D:$D,$C197)),IF(INDEX(GL!$D:$D,$C197)="","",INDEX(GL!$D:$D,$C197))))</f>
        <v/>
      </c>
      <c r="G197" s="19" t="str">
        <f aca="false">IF(C197=0,"",IF($A197="Bank",INDEX(Bank!$E:$E,$C197),INDEX(GL!$E:$E,$C197)))</f>
        <v/>
      </c>
      <c r="H197" s="5" t="str">
        <f aca="false">IF(C197=0,"",IF(A197="GL",IF(G197&gt;0,"Deposit in transit","Outstanding check / payment"),IF(G197&gt;0,"Bank credit not in GL","Bank debit not in GL")))</f>
        <v/>
      </c>
      <c r="I197" s="42" t="str">
        <f aca="false">IF(OR(C197=0,CFG_PeriodEnd=""),"",CFG_PeriodEnd-D197)</f>
        <v/>
      </c>
      <c r="J197" s="5" t="str">
        <f aca="false">IF(C197=0,"",IF($A197="Bank",IF(INDEX(Bank!$G:$G,$C197)="","",INDEX(Bank!$G:$G,$C197)),IF(INDEX(GL!$G:$G,$C197)="","",INDEX(GL!$G:$G,$C197))))</f>
        <v/>
      </c>
      <c r="K197" s="5" t="str">
        <f aca="false">IF(C197=0,"",IF($A197="Bank",IF(INDEX(Bank!$I:$I,$C197)="","",INDEX(Bank!$I:$I,$C197)),IF(INDEX(GL!$I:$I,$C197)="","",INDEX(GL!$I:$I,$C197))))</f>
        <v/>
      </c>
      <c r="L197" s="5" t="str">
        <f aca="false">IF(B197="","",IF(C197=0,"NOT FOUND",IF(IF($A197="Bank",INDEX(Bank!$F:$F,$C197),INDEX(GL!$F:$F,$C197))="Y","NOW RECONCILED: refresh","OK")))</f>
        <v/>
      </c>
    </row>
    <row r="198" customFormat="false" ht="15" hidden="false" customHeight="false" outlineLevel="0" collapsed="false">
      <c r="A198" s="41"/>
      <c r="B198" s="41"/>
      <c r="C198" s="5" t="n">
        <f aca="false">IF(B198="",0,IF(A198="Bank",IFERROR(MATCH(B198,Bank!$A:$A,0),0),IFERROR(MATCH(B198,GL!$A:$A,0),0)))</f>
        <v>0</v>
      </c>
      <c r="D198" s="32" t="str">
        <f aca="false">IF(C198=0,"",IF($A198="Bank",INDEX(Bank!$B:$B,$C198),INDEX(GL!$B:$B,$C198)))</f>
        <v/>
      </c>
      <c r="E198" s="5" t="str">
        <f aca="false">IF(C198=0,"",IF($A198="Bank",IF(INDEX(Bank!$C:$C,$C198)="","",INDEX(Bank!$C:$C,$C198)),IF(INDEX(GL!$C:$C,$C198)="","",INDEX(GL!$C:$C,$C198))))</f>
        <v/>
      </c>
      <c r="F198" s="5" t="str">
        <f aca="false">IF(C198=0,"",IF($A198="Bank",IF(INDEX(Bank!$D:$D,$C198)="","",INDEX(Bank!$D:$D,$C198)),IF(INDEX(GL!$D:$D,$C198)="","",INDEX(GL!$D:$D,$C198))))</f>
        <v/>
      </c>
      <c r="G198" s="19" t="str">
        <f aca="false">IF(C198=0,"",IF($A198="Bank",INDEX(Bank!$E:$E,$C198),INDEX(GL!$E:$E,$C198)))</f>
        <v/>
      </c>
      <c r="H198" s="5" t="str">
        <f aca="false">IF(C198=0,"",IF(A198="GL",IF(G198&gt;0,"Deposit in transit","Outstanding check / payment"),IF(G198&gt;0,"Bank credit not in GL","Bank debit not in GL")))</f>
        <v/>
      </c>
      <c r="I198" s="42" t="str">
        <f aca="false">IF(OR(C198=0,CFG_PeriodEnd=""),"",CFG_PeriodEnd-D198)</f>
        <v/>
      </c>
      <c r="J198" s="5" t="str">
        <f aca="false">IF(C198=0,"",IF($A198="Bank",IF(INDEX(Bank!$G:$G,$C198)="","",INDEX(Bank!$G:$G,$C198)),IF(INDEX(GL!$G:$G,$C198)="","",INDEX(GL!$G:$G,$C198))))</f>
        <v/>
      </c>
      <c r="K198" s="5" t="str">
        <f aca="false">IF(C198=0,"",IF($A198="Bank",IF(INDEX(Bank!$I:$I,$C198)="","",INDEX(Bank!$I:$I,$C198)),IF(INDEX(GL!$I:$I,$C198)="","",INDEX(GL!$I:$I,$C198))))</f>
        <v/>
      </c>
      <c r="L198" s="5" t="str">
        <f aca="false">IF(B198="","",IF(C198=0,"NOT FOUND",IF(IF($A198="Bank",INDEX(Bank!$F:$F,$C198),INDEX(GL!$F:$F,$C198))="Y","NOW RECONCILED: refresh","OK")))</f>
        <v/>
      </c>
    </row>
    <row r="199" customFormat="false" ht="15" hidden="false" customHeight="false" outlineLevel="0" collapsed="false">
      <c r="A199" s="41"/>
      <c r="B199" s="41"/>
      <c r="C199" s="5" t="n">
        <f aca="false">IF(B199="",0,IF(A199="Bank",IFERROR(MATCH(B199,Bank!$A:$A,0),0),IFERROR(MATCH(B199,GL!$A:$A,0),0)))</f>
        <v>0</v>
      </c>
      <c r="D199" s="32" t="str">
        <f aca="false">IF(C199=0,"",IF($A199="Bank",INDEX(Bank!$B:$B,$C199),INDEX(GL!$B:$B,$C199)))</f>
        <v/>
      </c>
      <c r="E199" s="5" t="str">
        <f aca="false">IF(C199=0,"",IF($A199="Bank",IF(INDEX(Bank!$C:$C,$C199)="","",INDEX(Bank!$C:$C,$C199)),IF(INDEX(GL!$C:$C,$C199)="","",INDEX(GL!$C:$C,$C199))))</f>
        <v/>
      </c>
      <c r="F199" s="5" t="str">
        <f aca="false">IF(C199=0,"",IF($A199="Bank",IF(INDEX(Bank!$D:$D,$C199)="","",INDEX(Bank!$D:$D,$C199)),IF(INDEX(GL!$D:$D,$C199)="","",INDEX(GL!$D:$D,$C199))))</f>
        <v/>
      </c>
      <c r="G199" s="19" t="str">
        <f aca="false">IF(C199=0,"",IF($A199="Bank",INDEX(Bank!$E:$E,$C199),INDEX(GL!$E:$E,$C199)))</f>
        <v/>
      </c>
      <c r="H199" s="5" t="str">
        <f aca="false">IF(C199=0,"",IF(A199="GL",IF(G199&gt;0,"Deposit in transit","Outstanding check / payment"),IF(G199&gt;0,"Bank credit not in GL","Bank debit not in GL")))</f>
        <v/>
      </c>
      <c r="I199" s="42" t="str">
        <f aca="false">IF(OR(C199=0,CFG_PeriodEnd=""),"",CFG_PeriodEnd-D199)</f>
        <v/>
      </c>
      <c r="J199" s="5" t="str">
        <f aca="false">IF(C199=0,"",IF($A199="Bank",IF(INDEX(Bank!$G:$G,$C199)="","",INDEX(Bank!$G:$G,$C199)),IF(INDEX(GL!$G:$G,$C199)="","",INDEX(GL!$G:$G,$C199))))</f>
        <v/>
      </c>
      <c r="K199" s="5" t="str">
        <f aca="false">IF(C199=0,"",IF($A199="Bank",IF(INDEX(Bank!$I:$I,$C199)="","",INDEX(Bank!$I:$I,$C199)),IF(INDEX(GL!$I:$I,$C199)="","",INDEX(GL!$I:$I,$C199))))</f>
        <v/>
      </c>
      <c r="L199" s="5" t="str">
        <f aca="false">IF(B199="","",IF(C199=0,"NOT FOUND",IF(IF($A199="Bank",INDEX(Bank!$F:$F,$C199),INDEX(GL!$F:$F,$C199))="Y","NOW RECONCILED: refresh","OK")))</f>
        <v/>
      </c>
    </row>
    <row r="200" customFormat="false" ht="15" hidden="false" customHeight="false" outlineLevel="0" collapsed="false">
      <c r="A200" s="41"/>
      <c r="B200" s="41"/>
      <c r="C200" s="5" t="n">
        <f aca="false">IF(B200="",0,IF(A200="Bank",IFERROR(MATCH(B200,Bank!$A:$A,0),0),IFERROR(MATCH(B200,GL!$A:$A,0),0)))</f>
        <v>0</v>
      </c>
      <c r="D200" s="32" t="str">
        <f aca="false">IF(C200=0,"",IF($A200="Bank",INDEX(Bank!$B:$B,$C200),INDEX(GL!$B:$B,$C200)))</f>
        <v/>
      </c>
      <c r="E200" s="5" t="str">
        <f aca="false">IF(C200=0,"",IF($A200="Bank",IF(INDEX(Bank!$C:$C,$C200)="","",INDEX(Bank!$C:$C,$C200)),IF(INDEX(GL!$C:$C,$C200)="","",INDEX(GL!$C:$C,$C200))))</f>
        <v/>
      </c>
      <c r="F200" s="5" t="str">
        <f aca="false">IF(C200=0,"",IF($A200="Bank",IF(INDEX(Bank!$D:$D,$C200)="","",INDEX(Bank!$D:$D,$C200)),IF(INDEX(GL!$D:$D,$C200)="","",INDEX(GL!$D:$D,$C200))))</f>
        <v/>
      </c>
      <c r="G200" s="19" t="str">
        <f aca="false">IF(C200=0,"",IF($A200="Bank",INDEX(Bank!$E:$E,$C200),INDEX(GL!$E:$E,$C200)))</f>
        <v/>
      </c>
      <c r="H200" s="5" t="str">
        <f aca="false">IF(C200=0,"",IF(A200="GL",IF(G200&gt;0,"Deposit in transit","Outstanding check / payment"),IF(G200&gt;0,"Bank credit not in GL","Bank debit not in GL")))</f>
        <v/>
      </c>
      <c r="I200" s="42" t="str">
        <f aca="false">IF(OR(C200=0,CFG_PeriodEnd=""),"",CFG_PeriodEnd-D200)</f>
        <v/>
      </c>
      <c r="J200" s="5" t="str">
        <f aca="false">IF(C200=0,"",IF($A200="Bank",IF(INDEX(Bank!$G:$G,$C200)="","",INDEX(Bank!$G:$G,$C200)),IF(INDEX(GL!$G:$G,$C200)="","",INDEX(GL!$G:$G,$C200))))</f>
        <v/>
      </c>
      <c r="K200" s="5" t="str">
        <f aca="false">IF(C200=0,"",IF($A200="Bank",IF(INDEX(Bank!$I:$I,$C200)="","",INDEX(Bank!$I:$I,$C200)),IF(INDEX(GL!$I:$I,$C200)="","",INDEX(GL!$I:$I,$C200))))</f>
        <v/>
      </c>
      <c r="L200" s="5" t="str">
        <f aca="false">IF(B200="","",IF(C200=0,"NOT FOUND",IF(IF($A200="Bank",INDEX(Bank!$F:$F,$C200),INDEX(GL!$F:$F,$C200))="Y","NOW RECONCILED: refresh","OK")))</f>
        <v/>
      </c>
    </row>
    <row r="201" customFormat="false" ht="15" hidden="false" customHeight="false" outlineLevel="0" collapsed="false">
      <c r="A201" s="41"/>
      <c r="B201" s="41"/>
      <c r="C201" s="5" t="n">
        <f aca="false">IF(B201="",0,IF(A201="Bank",IFERROR(MATCH(B201,Bank!$A:$A,0),0),IFERROR(MATCH(B201,GL!$A:$A,0),0)))</f>
        <v>0</v>
      </c>
      <c r="D201" s="32" t="str">
        <f aca="false">IF(C201=0,"",IF($A201="Bank",INDEX(Bank!$B:$B,$C201),INDEX(GL!$B:$B,$C201)))</f>
        <v/>
      </c>
      <c r="E201" s="5" t="str">
        <f aca="false">IF(C201=0,"",IF($A201="Bank",IF(INDEX(Bank!$C:$C,$C201)="","",INDEX(Bank!$C:$C,$C201)),IF(INDEX(GL!$C:$C,$C201)="","",INDEX(GL!$C:$C,$C201))))</f>
        <v/>
      </c>
      <c r="F201" s="5" t="str">
        <f aca="false">IF(C201=0,"",IF($A201="Bank",IF(INDEX(Bank!$D:$D,$C201)="","",INDEX(Bank!$D:$D,$C201)),IF(INDEX(GL!$D:$D,$C201)="","",INDEX(GL!$D:$D,$C201))))</f>
        <v/>
      </c>
      <c r="G201" s="19" t="str">
        <f aca="false">IF(C201=0,"",IF($A201="Bank",INDEX(Bank!$E:$E,$C201),INDEX(GL!$E:$E,$C201)))</f>
        <v/>
      </c>
      <c r="H201" s="5" t="str">
        <f aca="false">IF(C201=0,"",IF(A201="GL",IF(G201&gt;0,"Deposit in transit","Outstanding check / payment"),IF(G201&gt;0,"Bank credit not in GL","Bank debit not in GL")))</f>
        <v/>
      </c>
      <c r="I201" s="42" t="str">
        <f aca="false">IF(OR(C201=0,CFG_PeriodEnd=""),"",CFG_PeriodEnd-D201)</f>
        <v/>
      </c>
      <c r="J201" s="5" t="str">
        <f aca="false">IF(C201=0,"",IF($A201="Bank",IF(INDEX(Bank!$G:$G,$C201)="","",INDEX(Bank!$G:$G,$C201)),IF(INDEX(GL!$G:$G,$C201)="","",INDEX(GL!$G:$G,$C201))))</f>
        <v/>
      </c>
      <c r="K201" s="5" t="str">
        <f aca="false">IF(C201=0,"",IF($A201="Bank",IF(INDEX(Bank!$I:$I,$C201)="","",INDEX(Bank!$I:$I,$C201)),IF(INDEX(GL!$I:$I,$C201)="","",INDEX(GL!$I:$I,$C201))))</f>
        <v/>
      </c>
      <c r="L201" s="5" t="str">
        <f aca="false">IF(B201="","",IF(C201=0,"NOT FOUND",IF(IF($A201="Bank",INDEX(Bank!$F:$F,$C201),INDEX(GL!$F:$F,$C201))="Y","NOW RECONCILED: refresh","OK")))</f>
        <v/>
      </c>
    </row>
    <row r="202" customFormat="false" ht="15" hidden="false" customHeight="false" outlineLevel="0" collapsed="false">
      <c r="A202" s="41"/>
      <c r="B202" s="41"/>
      <c r="C202" s="5" t="n">
        <f aca="false">IF(B202="",0,IF(A202="Bank",IFERROR(MATCH(B202,Bank!$A:$A,0),0),IFERROR(MATCH(B202,GL!$A:$A,0),0)))</f>
        <v>0</v>
      </c>
      <c r="D202" s="32" t="str">
        <f aca="false">IF(C202=0,"",IF($A202="Bank",INDEX(Bank!$B:$B,$C202),INDEX(GL!$B:$B,$C202)))</f>
        <v/>
      </c>
      <c r="E202" s="5" t="str">
        <f aca="false">IF(C202=0,"",IF($A202="Bank",IF(INDEX(Bank!$C:$C,$C202)="","",INDEX(Bank!$C:$C,$C202)),IF(INDEX(GL!$C:$C,$C202)="","",INDEX(GL!$C:$C,$C202))))</f>
        <v/>
      </c>
      <c r="F202" s="5" t="str">
        <f aca="false">IF(C202=0,"",IF($A202="Bank",IF(INDEX(Bank!$D:$D,$C202)="","",INDEX(Bank!$D:$D,$C202)),IF(INDEX(GL!$D:$D,$C202)="","",INDEX(GL!$D:$D,$C202))))</f>
        <v/>
      </c>
      <c r="G202" s="19" t="str">
        <f aca="false">IF(C202=0,"",IF($A202="Bank",INDEX(Bank!$E:$E,$C202),INDEX(GL!$E:$E,$C202)))</f>
        <v/>
      </c>
      <c r="H202" s="5" t="str">
        <f aca="false">IF(C202=0,"",IF(A202="GL",IF(G202&gt;0,"Deposit in transit","Outstanding check / payment"),IF(G202&gt;0,"Bank credit not in GL","Bank debit not in GL")))</f>
        <v/>
      </c>
      <c r="I202" s="42" t="str">
        <f aca="false">IF(OR(C202=0,CFG_PeriodEnd=""),"",CFG_PeriodEnd-D202)</f>
        <v/>
      </c>
      <c r="J202" s="5" t="str">
        <f aca="false">IF(C202=0,"",IF($A202="Bank",IF(INDEX(Bank!$G:$G,$C202)="","",INDEX(Bank!$G:$G,$C202)),IF(INDEX(GL!$G:$G,$C202)="","",INDEX(GL!$G:$G,$C202))))</f>
        <v/>
      </c>
      <c r="K202" s="5" t="str">
        <f aca="false">IF(C202=0,"",IF($A202="Bank",IF(INDEX(Bank!$I:$I,$C202)="","",INDEX(Bank!$I:$I,$C202)),IF(INDEX(GL!$I:$I,$C202)="","",INDEX(GL!$I:$I,$C202))))</f>
        <v/>
      </c>
      <c r="L202" s="5" t="str">
        <f aca="false">IF(B202="","",IF(C202=0,"NOT FOUND",IF(IF($A202="Bank",INDEX(Bank!$F:$F,$C202),INDEX(GL!$F:$F,$C202))="Y","NOW RECONCILED: refresh","OK")))</f>
        <v/>
      </c>
    </row>
    <row r="203" customFormat="false" ht="15" hidden="false" customHeight="false" outlineLevel="0" collapsed="false">
      <c r="A203" s="41"/>
      <c r="B203" s="41"/>
      <c r="C203" s="5" t="n">
        <f aca="false">IF(B203="",0,IF(A203="Bank",IFERROR(MATCH(B203,Bank!$A:$A,0),0),IFERROR(MATCH(B203,GL!$A:$A,0),0)))</f>
        <v>0</v>
      </c>
      <c r="D203" s="32" t="str">
        <f aca="false">IF(C203=0,"",IF($A203="Bank",INDEX(Bank!$B:$B,$C203),INDEX(GL!$B:$B,$C203)))</f>
        <v/>
      </c>
      <c r="E203" s="5" t="str">
        <f aca="false">IF(C203=0,"",IF($A203="Bank",IF(INDEX(Bank!$C:$C,$C203)="","",INDEX(Bank!$C:$C,$C203)),IF(INDEX(GL!$C:$C,$C203)="","",INDEX(GL!$C:$C,$C203))))</f>
        <v/>
      </c>
      <c r="F203" s="5" t="str">
        <f aca="false">IF(C203=0,"",IF($A203="Bank",IF(INDEX(Bank!$D:$D,$C203)="","",INDEX(Bank!$D:$D,$C203)),IF(INDEX(GL!$D:$D,$C203)="","",INDEX(GL!$D:$D,$C203))))</f>
        <v/>
      </c>
      <c r="G203" s="19" t="str">
        <f aca="false">IF(C203=0,"",IF($A203="Bank",INDEX(Bank!$E:$E,$C203),INDEX(GL!$E:$E,$C203)))</f>
        <v/>
      </c>
      <c r="H203" s="5" t="str">
        <f aca="false">IF(C203=0,"",IF(A203="GL",IF(G203&gt;0,"Deposit in transit","Outstanding check / payment"),IF(G203&gt;0,"Bank credit not in GL","Bank debit not in GL")))</f>
        <v/>
      </c>
      <c r="I203" s="42" t="str">
        <f aca="false">IF(OR(C203=0,CFG_PeriodEnd=""),"",CFG_PeriodEnd-D203)</f>
        <v/>
      </c>
      <c r="J203" s="5" t="str">
        <f aca="false">IF(C203=0,"",IF($A203="Bank",IF(INDEX(Bank!$G:$G,$C203)="","",INDEX(Bank!$G:$G,$C203)),IF(INDEX(GL!$G:$G,$C203)="","",INDEX(GL!$G:$G,$C203))))</f>
        <v/>
      </c>
      <c r="K203" s="5" t="str">
        <f aca="false">IF(C203=0,"",IF($A203="Bank",IF(INDEX(Bank!$I:$I,$C203)="","",INDEX(Bank!$I:$I,$C203)),IF(INDEX(GL!$I:$I,$C203)="","",INDEX(GL!$I:$I,$C203))))</f>
        <v/>
      </c>
      <c r="L203" s="5" t="str">
        <f aca="false">IF(B203="","",IF(C203=0,"NOT FOUND",IF(IF($A203="Bank",INDEX(Bank!$F:$F,$C203),INDEX(GL!$F:$F,$C203))="Y","NOW RECONCILED: refresh","OK")))</f>
        <v/>
      </c>
    </row>
    <row r="204" customFormat="false" ht="15" hidden="false" customHeight="false" outlineLevel="0" collapsed="false">
      <c r="A204" s="41"/>
      <c r="B204" s="41"/>
      <c r="C204" s="5" t="n">
        <f aca="false">IF(B204="",0,IF(A204="Bank",IFERROR(MATCH(B204,Bank!$A:$A,0),0),IFERROR(MATCH(B204,GL!$A:$A,0),0)))</f>
        <v>0</v>
      </c>
      <c r="D204" s="32" t="str">
        <f aca="false">IF(C204=0,"",IF($A204="Bank",INDEX(Bank!$B:$B,$C204),INDEX(GL!$B:$B,$C204)))</f>
        <v/>
      </c>
      <c r="E204" s="5" t="str">
        <f aca="false">IF(C204=0,"",IF($A204="Bank",IF(INDEX(Bank!$C:$C,$C204)="","",INDEX(Bank!$C:$C,$C204)),IF(INDEX(GL!$C:$C,$C204)="","",INDEX(GL!$C:$C,$C204))))</f>
        <v/>
      </c>
      <c r="F204" s="5" t="str">
        <f aca="false">IF(C204=0,"",IF($A204="Bank",IF(INDEX(Bank!$D:$D,$C204)="","",INDEX(Bank!$D:$D,$C204)),IF(INDEX(GL!$D:$D,$C204)="","",INDEX(GL!$D:$D,$C204))))</f>
        <v/>
      </c>
      <c r="G204" s="19" t="str">
        <f aca="false">IF(C204=0,"",IF($A204="Bank",INDEX(Bank!$E:$E,$C204),INDEX(GL!$E:$E,$C204)))</f>
        <v/>
      </c>
      <c r="H204" s="5" t="str">
        <f aca="false">IF(C204=0,"",IF(A204="GL",IF(G204&gt;0,"Deposit in transit","Outstanding check / payment"),IF(G204&gt;0,"Bank credit not in GL","Bank debit not in GL")))</f>
        <v/>
      </c>
      <c r="I204" s="42" t="str">
        <f aca="false">IF(OR(C204=0,CFG_PeriodEnd=""),"",CFG_PeriodEnd-D204)</f>
        <v/>
      </c>
      <c r="J204" s="5" t="str">
        <f aca="false">IF(C204=0,"",IF($A204="Bank",IF(INDEX(Bank!$G:$G,$C204)="","",INDEX(Bank!$G:$G,$C204)),IF(INDEX(GL!$G:$G,$C204)="","",INDEX(GL!$G:$G,$C204))))</f>
        <v/>
      </c>
      <c r="K204" s="5" t="str">
        <f aca="false">IF(C204=0,"",IF($A204="Bank",IF(INDEX(Bank!$I:$I,$C204)="","",INDEX(Bank!$I:$I,$C204)),IF(INDEX(GL!$I:$I,$C204)="","",INDEX(GL!$I:$I,$C204))))</f>
        <v/>
      </c>
      <c r="L204" s="5" t="str">
        <f aca="false">IF(B204="","",IF(C204=0,"NOT FOUND",IF(IF($A204="Bank",INDEX(Bank!$F:$F,$C204),INDEX(GL!$F:$F,$C204))="Y","NOW RECONCILED: refresh","OK")))</f>
        <v/>
      </c>
    </row>
    <row r="205" customFormat="false" ht="15" hidden="false" customHeight="false" outlineLevel="0" collapsed="false">
      <c r="A205" s="41"/>
      <c r="B205" s="41"/>
      <c r="C205" s="5" t="n">
        <f aca="false">IF(B205="",0,IF(A205="Bank",IFERROR(MATCH(B205,Bank!$A:$A,0),0),IFERROR(MATCH(B205,GL!$A:$A,0),0)))</f>
        <v>0</v>
      </c>
      <c r="D205" s="32" t="str">
        <f aca="false">IF(C205=0,"",IF($A205="Bank",INDEX(Bank!$B:$B,$C205),INDEX(GL!$B:$B,$C205)))</f>
        <v/>
      </c>
      <c r="E205" s="5" t="str">
        <f aca="false">IF(C205=0,"",IF($A205="Bank",IF(INDEX(Bank!$C:$C,$C205)="","",INDEX(Bank!$C:$C,$C205)),IF(INDEX(GL!$C:$C,$C205)="","",INDEX(GL!$C:$C,$C205))))</f>
        <v/>
      </c>
      <c r="F205" s="5" t="str">
        <f aca="false">IF(C205=0,"",IF($A205="Bank",IF(INDEX(Bank!$D:$D,$C205)="","",INDEX(Bank!$D:$D,$C205)),IF(INDEX(GL!$D:$D,$C205)="","",INDEX(GL!$D:$D,$C205))))</f>
        <v/>
      </c>
      <c r="G205" s="19" t="str">
        <f aca="false">IF(C205=0,"",IF($A205="Bank",INDEX(Bank!$E:$E,$C205),INDEX(GL!$E:$E,$C205)))</f>
        <v/>
      </c>
      <c r="H205" s="5" t="str">
        <f aca="false">IF(C205=0,"",IF(A205="GL",IF(G205&gt;0,"Deposit in transit","Outstanding check / payment"),IF(G205&gt;0,"Bank credit not in GL","Bank debit not in GL")))</f>
        <v/>
      </c>
      <c r="I205" s="42" t="str">
        <f aca="false">IF(OR(C205=0,CFG_PeriodEnd=""),"",CFG_PeriodEnd-D205)</f>
        <v/>
      </c>
      <c r="J205" s="5" t="str">
        <f aca="false">IF(C205=0,"",IF($A205="Bank",IF(INDEX(Bank!$G:$G,$C205)="","",INDEX(Bank!$G:$G,$C205)),IF(INDEX(GL!$G:$G,$C205)="","",INDEX(GL!$G:$G,$C205))))</f>
        <v/>
      </c>
      <c r="K205" s="5" t="str">
        <f aca="false">IF(C205=0,"",IF($A205="Bank",IF(INDEX(Bank!$I:$I,$C205)="","",INDEX(Bank!$I:$I,$C205)),IF(INDEX(GL!$I:$I,$C205)="","",INDEX(GL!$I:$I,$C205))))</f>
        <v/>
      </c>
      <c r="L205" s="5" t="str">
        <f aca="false">IF(B205="","",IF(C205=0,"NOT FOUND",IF(IF($A205="Bank",INDEX(Bank!$F:$F,$C205),INDEX(GL!$F:$F,$C205))="Y","NOW RECONCILED: refresh","OK")))</f>
        <v/>
      </c>
    </row>
    <row r="206" customFormat="false" ht="15" hidden="false" customHeight="false" outlineLevel="0" collapsed="false">
      <c r="A206" s="41"/>
      <c r="B206" s="41"/>
      <c r="C206" s="5" t="n">
        <f aca="false">IF(B206="",0,IF(A206="Bank",IFERROR(MATCH(B206,Bank!$A:$A,0),0),IFERROR(MATCH(B206,GL!$A:$A,0),0)))</f>
        <v>0</v>
      </c>
      <c r="D206" s="32" t="str">
        <f aca="false">IF(C206=0,"",IF($A206="Bank",INDEX(Bank!$B:$B,$C206),INDEX(GL!$B:$B,$C206)))</f>
        <v/>
      </c>
      <c r="E206" s="5" t="str">
        <f aca="false">IF(C206=0,"",IF($A206="Bank",IF(INDEX(Bank!$C:$C,$C206)="","",INDEX(Bank!$C:$C,$C206)),IF(INDEX(GL!$C:$C,$C206)="","",INDEX(GL!$C:$C,$C206))))</f>
        <v/>
      </c>
      <c r="F206" s="5" t="str">
        <f aca="false">IF(C206=0,"",IF($A206="Bank",IF(INDEX(Bank!$D:$D,$C206)="","",INDEX(Bank!$D:$D,$C206)),IF(INDEX(GL!$D:$D,$C206)="","",INDEX(GL!$D:$D,$C206))))</f>
        <v/>
      </c>
      <c r="G206" s="19" t="str">
        <f aca="false">IF(C206=0,"",IF($A206="Bank",INDEX(Bank!$E:$E,$C206),INDEX(GL!$E:$E,$C206)))</f>
        <v/>
      </c>
      <c r="H206" s="5" t="str">
        <f aca="false">IF(C206=0,"",IF(A206="GL",IF(G206&gt;0,"Deposit in transit","Outstanding check / payment"),IF(G206&gt;0,"Bank credit not in GL","Bank debit not in GL")))</f>
        <v/>
      </c>
      <c r="I206" s="42" t="str">
        <f aca="false">IF(OR(C206=0,CFG_PeriodEnd=""),"",CFG_PeriodEnd-D206)</f>
        <v/>
      </c>
      <c r="J206" s="5" t="str">
        <f aca="false">IF(C206=0,"",IF($A206="Bank",IF(INDEX(Bank!$G:$G,$C206)="","",INDEX(Bank!$G:$G,$C206)),IF(INDEX(GL!$G:$G,$C206)="","",INDEX(GL!$G:$G,$C206))))</f>
        <v/>
      </c>
      <c r="K206" s="5" t="str">
        <f aca="false">IF(C206=0,"",IF($A206="Bank",IF(INDEX(Bank!$I:$I,$C206)="","",INDEX(Bank!$I:$I,$C206)),IF(INDEX(GL!$I:$I,$C206)="","",INDEX(GL!$I:$I,$C206))))</f>
        <v/>
      </c>
      <c r="L206" s="5" t="str">
        <f aca="false">IF(B206="","",IF(C206=0,"NOT FOUND",IF(IF($A206="Bank",INDEX(Bank!$F:$F,$C206),INDEX(GL!$F:$F,$C206))="Y","NOW RECONCILED: refresh","OK")))</f>
        <v/>
      </c>
    </row>
    <row r="207" customFormat="false" ht="15" hidden="false" customHeight="false" outlineLevel="0" collapsed="false">
      <c r="A207" s="41"/>
      <c r="B207" s="41"/>
      <c r="C207" s="5" t="n">
        <f aca="false">IF(B207="",0,IF(A207="Bank",IFERROR(MATCH(B207,Bank!$A:$A,0),0),IFERROR(MATCH(B207,GL!$A:$A,0),0)))</f>
        <v>0</v>
      </c>
      <c r="D207" s="32" t="str">
        <f aca="false">IF(C207=0,"",IF($A207="Bank",INDEX(Bank!$B:$B,$C207),INDEX(GL!$B:$B,$C207)))</f>
        <v/>
      </c>
      <c r="E207" s="5" t="str">
        <f aca="false">IF(C207=0,"",IF($A207="Bank",IF(INDEX(Bank!$C:$C,$C207)="","",INDEX(Bank!$C:$C,$C207)),IF(INDEX(GL!$C:$C,$C207)="","",INDEX(GL!$C:$C,$C207))))</f>
        <v/>
      </c>
      <c r="F207" s="5" t="str">
        <f aca="false">IF(C207=0,"",IF($A207="Bank",IF(INDEX(Bank!$D:$D,$C207)="","",INDEX(Bank!$D:$D,$C207)),IF(INDEX(GL!$D:$D,$C207)="","",INDEX(GL!$D:$D,$C207))))</f>
        <v/>
      </c>
      <c r="G207" s="19" t="str">
        <f aca="false">IF(C207=0,"",IF($A207="Bank",INDEX(Bank!$E:$E,$C207),INDEX(GL!$E:$E,$C207)))</f>
        <v/>
      </c>
      <c r="H207" s="5" t="str">
        <f aca="false">IF(C207=0,"",IF(A207="GL",IF(G207&gt;0,"Deposit in transit","Outstanding check / payment"),IF(G207&gt;0,"Bank credit not in GL","Bank debit not in GL")))</f>
        <v/>
      </c>
      <c r="I207" s="42" t="str">
        <f aca="false">IF(OR(C207=0,CFG_PeriodEnd=""),"",CFG_PeriodEnd-D207)</f>
        <v/>
      </c>
      <c r="J207" s="5" t="str">
        <f aca="false">IF(C207=0,"",IF($A207="Bank",IF(INDEX(Bank!$G:$G,$C207)="","",INDEX(Bank!$G:$G,$C207)),IF(INDEX(GL!$G:$G,$C207)="","",INDEX(GL!$G:$G,$C207))))</f>
        <v/>
      </c>
      <c r="K207" s="5" t="str">
        <f aca="false">IF(C207=0,"",IF($A207="Bank",IF(INDEX(Bank!$I:$I,$C207)="","",INDEX(Bank!$I:$I,$C207)),IF(INDEX(GL!$I:$I,$C207)="","",INDEX(GL!$I:$I,$C207))))</f>
        <v/>
      </c>
      <c r="L207" s="5" t="str">
        <f aca="false">IF(B207="","",IF(C207=0,"NOT FOUND",IF(IF($A207="Bank",INDEX(Bank!$F:$F,$C207),INDEX(GL!$F:$F,$C207))="Y","NOW RECONCILED: refresh","OK")))</f>
        <v/>
      </c>
    </row>
    <row r="208" customFormat="false" ht="15" hidden="false" customHeight="false" outlineLevel="0" collapsed="false">
      <c r="A208" s="41"/>
      <c r="B208" s="41"/>
      <c r="C208" s="5" t="n">
        <f aca="false">IF(B208="",0,IF(A208="Bank",IFERROR(MATCH(B208,Bank!$A:$A,0),0),IFERROR(MATCH(B208,GL!$A:$A,0),0)))</f>
        <v>0</v>
      </c>
      <c r="D208" s="32" t="str">
        <f aca="false">IF(C208=0,"",IF($A208="Bank",INDEX(Bank!$B:$B,$C208),INDEX(GL!$B:$B,$C208)))</f>
        <v/>
      </c>
      <c r="E208" s="5" t="str">
        <f aca="false">IF(C208=0,"",IF($A208="Bank",IF(INDEX(Bank!$C:$C,$C208)="","",INDEX(Bank!$C:$C,$C208)),IF(INDEX(GL!$C:$C,$C208)="","",INDEX(GL!$C:$C,$C208))))</f>
        <v/>
      </c>
      <c r="F208" s="5" t="str">
        <f aca="false">IF(C208=0,"",IF($A208="Bank",IF(INDEX(Bank!$D:$D,$C208)="","",INDEX(Bank!$D:$D,$C208)),IF(INDEX(GL!$D:$D,$C208)="","",INDEX(GL!$D:$D,$C208))))</f>
        <v/>
      </c>
      <c r="G208" s="19" t="str">
        <f aca="false">IF(C208=0,"",IF($A208="Bank",INDEX(Bank!$E:$E,$C208),INDEX(GL!$E:$E,$C208)))</f>
        <v/>
      </c>
      <c r="H208" s="5" t="str">
        <f aca="false">IF(C208=0,"",IF(A208="GL",IF(G208&gt;0,"Deposit in transit","Outstanding check / payment"),IF(G208&gt;0,"Bank credit not in GL","Bank debit not in GL")))</f>
        <v/>
      </c>
      <c r="I208" s="42" t="str">
        <f aca="false">IF(OR(C208=0,CFG_PeriodEnd=""),"",CFG_PeriodEnd-D208)</f>
        <v/>
      </c>
      <c r="J208" s="5" t="str">
        <f aca="false">IF(C208=0,"",IF($A208="Bank",IF(INDEX(Bank!$G:$G,$C208)="","",INDEX(Bank!$G:$G,$C208)),IF(INDEX(GL!$G:$G,$C208)="","",INDEX(GL!$G:$G,$C208))))</f>
        <v/>
      </c>
      <c r="K208" s="5" t="str">
        <f aca="false">IF(C208=0,"",IF($A208="Bank",IF(INDEX(Bank!$I:$I,$C208)="","",INDEX(Bank!$I:$I,$C208)),IF(INDEX(GL!$I:$I,$C208)="","",INDEX(GL!$I:$I,$C208))))</f>
        <v/>
      </c>
      <c r="L208" s="5" t="str">
        <f aca="false">IF(B208="","",IF(C208=0,"NOT FOUND",IF(IF($A208="Bank",INDEX(Bank!$F:$F,$C208),INDEX(GL!$F:$F,$C208))="Y","NOW RECONCILED: refresh","OK")))</f>
        <v/>
      </c>
    </row>
    <row r="209" customFormat="false" ht="15" hidden="false" customHeight="false" outlineLevel="0" collapsed="false">
      <c r="A209" s="41"/>
      <c r="B209" s="41"/>
      <c r="C209" s="5" t="n">
        <f aca="false">IF(B209="",0,IF(A209="Bank",IFERROR(MATCH(B209,Bank!$A:$A,0),0),IFERROR(MATCH(B209,GL!$A:$A,0),0)))</f>
        <v>0</v>
      </c>
      <c r="D209" s="32" t="str">
        <f aca="false">IF(C209=0,"",IF($A209="Bank",INDEX(Bank!$B:$B,$C209),INDEX(GL!$B:$B,$C209)))</f>
        <v/>
      </c>
      <c r="E209" s="5" t="str">
        <f aca="false">IF(C209=0,"",IF($A209="Bank",IF(INDEX(Bank!$C:$C,$C209)="","",INDEX(Bank!$C:$C,$C209)),IF(INDEX(GL!$C:$C,$C209)="","",INDEX(GL!$C:$C,$C209))))</f>
        <v/>
      </c>
      <c r="F209" s="5" t="str">
        <f aca="false">IF(C209=0,"",IF($A209="Bank",IF(INDEX(Bank!$D:$D,$C209)="","",INDEX(Bank!$D:$D,$C209)),IF(INDEX(GL!$D:$D,$C209)="","",INDEX(GL!$D:$D,$C209))))</f>
        <v/>
      </c>
      <c r="G209" s="19" t="str">
        <f aca="false">IF(C209=0,"",IF($A209="Bank",INDEX(Bank!$E:$E,$C209),INDEX(GL!$E:$E,$C209)))</f>
        <v/>
      </c>
      <c r="H209" s="5" t="str">
        <f aca="false">IF(C209=0,"",IF(A209="GL",IF(G209&gt;0,"Deposit in transit","Outstanding check / payment"),IF(G209&gt;0,"Bank credit not in GL","Bank debit not in GL")))</f>
        <v/>
      </c>
      <c r="I209" s="42" t="str">
        <f aca="false">IF(OR(C209=0,CFG_PeriodEnd=""),"",CFG_PeriodEnd-D209)</f>
        <v/>
      </c>
      <c r="J209" s="5" t="str">
        <f aca="false">IF(C209=0,"",IF($A209="Bank",IF(INDEX(Bank!$G:$G,$C209)="","",INDEX(Bank!$G:$G,$C209)),IF(INDEX(GL!$G:$G,$C209)="","",INDEX(GL!$G:$G,$C209))))</f>
        <v/>
      </c>
      <c r="K209" s="5" t="str">
        <f aca="false">IF(C209=0,"",IF($A209="Bank",IF(INDEX(Bank!$I:$I,$C209)="","",INDEX(Bank!$I:$I,$C209)),IF(INDEX(GL!$I:$I,$C209)="","",INDEX(GL!$I:$I,$C209))))</f>
        <v/>
      </c>
      <c r="L209" s="5" t="str">
        <f aca="false">IF(B209="","",IF(C209=0,"NOT FOUND",IF(IF($A209="Bank",INDEX(Bank!$F:$F,$C209),INDEX(GL!$F:$F,$C209))="Y","NOW RECONCILED: refresh","OK")))</f>
        <v/>
      </c>
    </row>
    <row r="210" customFormat="false" ht="15" hidden="false" customHeight="false" outlineLevel="0" collapsed="false">
      <c r="A210" s="41"/>
      <c r="B210" s="41"/>
      <c r="C210" s="5" t="n">
        <f aca="false">IF(B210="",0,IF(A210="Bank",IFERROR(MATCH(B210,Bank!$A:$A,0),0),IFERROR(MATCH(B210,GL!$A:$A,0),0)))</f>
        <v>0</v>
      </c>
      <c r="D210" s="32" t="str">
        <f aca="false">IF(C210=0,"",IF($A210="Bank",INDEX(Bank!$B:$B,$C210),INDEX(GL!$B:$B,$C210)))</f>
        <v/>
      </c>
      <c r="E210" s="5" t="str">
        <f aca="false">IF(C210=0,"",IF($A210="Bank",IF(INDEX(Bank!$C:$C,$C210)="","",INDEX(Bank!$C:$C,$C210)),IF(INDEX(GL!$C:$C,$C210)="","",INDEX(GL!$C:$C,$C210))))</f>
        <v/>
      </c>
      <c r="F210" s="5" t="str">
        <f aca="false">IF(C210=0,"",IF($A210="Bank",IF(INDEX(Bank!$D:$D,$C210)="","",INDEX(Bank!$D:$D,$C210)),IF(INDEX(GL!$D:$D,$C210)="","",INDEX(GL!$D:$D,$C210))))</f>
        <v/>
      </c>
      <c r="G210" s="19" t="str">
        <f aca="false">IF(C210=0,"",IF($A210="Bank",INDEX(Bank!$E:$E,$C210),INDEX(GL!$E:$E,$C210)))</f>
        <v/>
      </c>
      <c r="H210" s="5" t="str">
        <f aca="false">IF(C210=0,"",IF(A210="GL",IF(G210&gt;0,"Deposit in transit","Outstanding check / payment"),IF(G210&gt;0,"Bank credit not in GL","Bank debit not in GL")))</f>
        <v/>
      </c>
      <c r="I210" s="42" t="str">
        <f aca="false">IF(OR(C210=0,CFG_PeriodEnd=""),"",CFG_PeriodEnd-D210)</f>
        <v/>
      </c>
      <c r="J210" s="5" t="str">
        <f aca="false">IF(C210=0,"",IF($A210="Bank",IF(INDEX(Bank!$G:$G,$C210)="","",INDEX(Bank!$G:$G,$C210)),IF(INDEX(GL!$G:$G,$C210)="","",INDEX(GL!$G:$G,$C210))))</f>
        <v/>
      </c>
      <c r="K210" s="5" t="str">
        <f aca="false">IF(C210=0,"",IF($A210="Bank",IF(INDEX(Bank!$I:$I,$C210)="","",INDEX(Bank!$I:$I,$C210)),IF(INDEX(GL!$I:$I,$C210)="","",INDEX(GL!$I:$I,$C210))))</f>
        <v/>
      </c>
      <c r="L210" s="5" t="str">
        <f aca="false">IF(B210="","",IF(C210=0,"NOT FOUND",IF(IF($A210="Bank",INDEX(Bank!$F:$F,$C210),INDEX(GL!$F:$F,$C210))="Y","NOW RECONCILED: refresh","OK")))</f>
        <v/>
      </c>
    </row>
    <row r="211" customFormat="false" ht="15" hidden="false" customHeight="false" outlineLevel="0" collapsed="false">
      <c r="A211" s="41"/>
      <c r="B211" s="41"/>
      <c r="C211" s="5" t="n">
        <f aca="false">IF(B211="",0,IF(A211="Bank",IFERROR(MATCH(B211,Bank!$A:$A,0),0),IFERROR(MATCH(B211,GL!$A:$A,0),0)))</f>
        <v>0</v>
      </c>
      <c r="D211" s="32" t="str">
        <f aca="false">IF(C211=0,"",IF($A211="Bank",INDEX(Bank!$B:$B,$C211),INDEX(GL!$B:$B,$C211)))</f>
        <v/>
      </c>
      <c r="E211" s="5" t="str">
        <f aca="false">IF(C211=0,"",IF($A211="Bank",IF(INDEX(Bank!$C:$C,$C211)="","",INDEX(Bank!$C:$C,$C211)),IF(INDEX(GL!$C:$C,$C211)="","",INDEX(GL!$C:$C,$C211))))</f>
        <v/>
      </c>
      <c r="F211" s="5" t="str">
        <f aca="false">IF(C211=0,"",IF($A211="Bank",IF(INDEX(Bank!$D:$D,$C211)="","",INDEX(Bank!$D:$D,$C211)),IF(INDEX(GL!$D:$D,$C211)="","",INDEX(GL!$D:$D,$C211))))</f>
        <v/>
      </c>
      <c r="G211" s="19" t="str">
        <f aca="false">IF(C211=0,"",IF($A211="Bank",INDEX(Bank!$E:$E,$C211),INDEX(GL!$E:$E,$C211)))</f>
        <v/>
      </c>
      <c r="H211" s="5" t="str">
        <f aca="false">IF(C211=0,"",IF(A211="GL",IF(G211&gt;0,"Deposit in transit","Outstanding check / payment"),IF(G211&gt;0,"Bank credit not in GL","Bank debit not in GL")))</f>
        <v/>
      </c>
      <c r="I211" s="42" t="str">
        <f aca="false">IF(OR(C211=0,CFG_PeriodEnd=""),"",CFG_PeriodEnd-D211)</f>
        <v/>
      </c>
      <c r="J211" s="5" t="str">
        <f aca="false">IF(C211=0,"",IF($A211="Bank",IF(INDEX(Bank!$G:$G,$C211)="","",INDEX(Bank!$G:$G,$C211)),IF(INDEX(GL!$G:$G,$C211)="","",INDEX(GL!$G:$G,$C211))))</f>
        <v/>
      </c>
      <c r="K211" s="5" t="str">
        <f aca="false">IF(C211=0,"",IF($A211="Bank",IF(INDEX(Bank!$I:$I,$C211)="","",INDEX(Bank!$I:$I,$C211)),IF(INDEX(GL!$I:$I,$C211)="","",INDEX(GL!$I:$I,$C211))))</f>
        <v/>
      </c>
      <c r="L211" s="5" t="str">
        <f aca="false">IF(B211="","",IF(C211=0,"NOT FOUND",IF(IF($A211="Bank",INDEX(Bank!$F:$F,$C211),INDEX(GL!$F:$F,$C211))="Y","NOW RECONCILED: refresh","OK")))</f>
        <v/>
      </c>
    </row>
    <row r="212" customFormat="false" ht="15" hidden="false" customHeight="false" outlineLevel="0" collapsed="false">
      <c r="A212" s="41"/>
      <c r="B212" s="41"/>
      <c r="C212" s="5" t="n">
        <f aca="false">IF(B212="",0,IF(A212="Bank",IFERROR(MATCH(B212,Bank!$A:$A,0),0),IFERROR(MATCH(B212,GL!$A:$A,0),0)))</f>
        <v>0</v>
      </c>
      <c r="D212" s="32" t="str">
        <f aca="false">IF(C212=0,"",IF($A212="Bank",INDEX(Bank!$B:$B,$C212),INDEX(GL!$B:$B,$C212)))</f>
        <v/>
      </c>
      <c r="E212" s="5" t="str">
        <f aca="false">IF(C212=0,"",IF($A212="Bank",IF(INDEX(Bank!$C:$C,$C212)="","",INDEX(Bank!$C:$C,$C212)),IF(INDEX(GL!$C:$C,$C212)="","",INDEX(GL!$C:$C,$C212))))</f>
        <v/>
      </c>
      <c r="F212" s="5" t="str">
        <f aca="false">IF(C212=0,"",IF($A212="Bank",IF(INDEX(Bank!$D:$D,$C212)="","",INDEX(Bank!$D:$D,$C212)),IF(INDEX(GL!$D:$D,$C212)="","",INDEX(GL!$D:$D,$C212))))</f>
        <v/>
      </c>
      <c r="G212" s="19" t="str">
        <f aca="false">IF(C212=0,"",IF($A212="Bank",INDEX(Bank!$E:$E,$C212),INDEX(GL!$E:$E,$C212)))</f>
        <v/>
      </c>
      <c r="H212" s="5" t="str">
        <f aca="false">IF(C212=0,"",IF(A212="GL",IF(G212&gt;0,"Deposit in transit","Outstanding check / payment"),IF(G212&gt;0,"Bank credit not in GL","Bank debit not in GL")))</f>
        <v/>
      </c>
      <c r="I212" s="42" t="str">
        <f aca="false">IF(OR(C212=0,CFG_PeriodEnd=""),"",CFG_PeriodEnd-D212)</f>
        <v/>
      </c>
      <c r="J212" s="5" t="str">
        <f aca="false">IF(C212=0,"",IF($A212="Bank",IF(INDEX(Bank!$G:$G,$C212)="","",INDEX(Bank!$G:$G,$C212)),IF(INDEX(GL!$G:$G,$C212)="","",INDEX(GL!$G:$G,$C212))))</f>
        <v/>
      </c>
      <c r="K212" s="5" t="str">
        <f aca="false">IF(C212=0,"",IF($A212="Bank",IF(INDEX(Bank!$I:$I,$C212)="","",INDEX(Bank!$I:$I,$C212)),IF(INDEX(GL!$I:$I,$C212)="","",INDEX(GL!$I:$I,$C212))))</f>
        <v/>
      </c>
      <c r="L212" s="5" t="str">
        <f aca="false">IF(B212="","",IF(C212=0,"NOT FOUND",IF(IF($A212="Bank",INDEX(Bank!$F:$F,$C212),INDEX(GL!$F:$F,$C212))="Y","NOW RECONCILED: refresh","OK")))</f>
        <v/>
      </c>
    </row>
    <row r="213" customFormat="false" ht="15" hidden="false" customHeight="false" outlineLevel="0" collapsed="false">
      <c r="A213" s="41"/>
      <c r="B213" s="41"/>
      <c r="C213" s="5" t="n">
        <f aca="false">IF(B213="",0,IF(A213="Bank",IFERROR(MATCH(B213,Bank!$A:$A,0),0),IFERROR(MATCH(B213,GL!$A:$A,0),0)))</f>
        <v>0</v>
      </c>
      <c r="D213" s="32" t="str">
        <f aca="false">IF(C213=0,"",IF($A213="Bank",INDEX(Bank!$B:$B,$C213),INDEX(GL!$B:$B,$C213)))</f>
        <v/>
      </c>
      <c r="E213" s="5" t="str">
        <f aca="false">IF(C213=0,"",IF($A213="Bank",IF(INDEX(Bank!$C:$C,$C213)="","",INDEX(Bank!$C:$C,$C213)),IF(INDEX(GL!$C:$C,$C213)="","",INDEX(GL!$C:$C,$C213))))</f>
        <v/>
      </c>
      <c r="F213" s="5" t="str">
        <f aca="false">IF(C213=0,"",IF($A213="Bank",IF(INDEX(Bank!$D:$D,$C213)="","",INDEX(Bank!$D:$D,$C213)),IF(INDEX(GL!$D:$D,$C213)="","",INDEX(GL!$D:$D,$C213))))</f>
        <v/>
      </c>
      <c r="G213" s="19" t="str">
        <f aca="false">IF(C213=0,"",IF($A213="Bank",INDEX(Bank!$E:$E,$C213),INDEX(GL!$E:$E,$C213)))</f>
        <v/>
      </c>
      <c r="H213" s="5" t="str">
        <f aca="false">IF(C213=0,"",IF(A213="GL",IF(G213&gt;0,"Deposit in transit","Outstanding check / payment"),IF(G213&gt;0,"Bank credit not in GL","Bank debit not in GL")))</f>
        <v/>
      </c>
      <c r="I213" s="42" t="str">
        <f aca="false">IF(OR(C213=0,CFG_PeriodEnd=""),"",CFG_PeriodEnd-D213)</f>
        <v/>
      </c>
      <c r="J213" s="5" t="str">
        <f aca="false">IF(C213=0,"",IF($A213="Bank",IF(INDEX(Bank!$G:$G,$C213)="","",INDEX(Bank!$G:$G,$C213)),IF(INDEX(GL!$G:$G,$C213)="","",INDEX(GL!$G:$G,$C213))))</f>
        <v/>
      </c>
      <c r="K213" s="5" t="str">
        <f aca="false">IF(C213=0,"",IF($A213="Bank",IF(INDEX(Bank!$I:$I,$C213)="","",INDEX(Bank!$I:$I,$C213)),IF(INDEX(GL!$I:$I,$C213)="","",INDEX(GL!$I:$I,$C213))))</f>
        <v/>
      </c>
      <c r="L213" s="5" t="str">
        <f aca="false">IF(B213="","",IF(C213=0,"NOT FOUND",IF(IF($A213="Bank",INDEX(Bank!$F:$F,$C213),INDEX(GL!$F:$F,$C213))="Y","NOW RECONCILED: refresh","OK")))</f>
        <v/>
      </c>
    </row>
    <row r="214" customFormat="false" ht="15" hidden="false" customHeight="false" outlineLevel="0" collapsed="false">
      <c r="A214" s="41"/>
      <c r="B214" s="41"/>
      <c r="C214" s="5" t="n">
        <f aca="false">IF(B214="",0,IF(A214="Bank",IFERROR(MATCH(B214,Bank!$A:$A,0),0),IFERROR(MATCH(B214,GL!$A:$A,0),0)))</f>
        <v>0</v>
      </c>
      <c r="D214" s="32" t="str">
        <f aca="false">IF(C214=0,"",IF($A214="Bank",INDEX(Bank!$B:$B,$C214),INDEX(GL!$B:$B,$C214)))</f>
        <v/>
      </c>
      <c r="E214" s="5" t="str">
        <f aca="false">IF(C214=0,"",IF($A214="Bank",IF(INDEX(Bank!$C:$C,$C214)="","",INDEX(Bank!$C:$C,$C214)),IF(INDEX(GL!$C:$C,$C214)="","",INDEX(GL!$C:$C,$C214))))</f>
        <v/>
      </c>
      <c r="F214" s="5" t="str">
        <f aca="false">IF(C214=0,"",IF($A214="Bank",IF(INDEX(Bank!$D:$D,$C214)="","",INDEX(Bank!$D:$D,$C214)),IF(INDEX(GL!$D:$D,$C214)="","",INDEX(GL!$D:$D,$C214))))</f>
        <v/>
      </c>
      <c r="G214" s="19" t="str">
        <f aca="false">IF(C214=0,"",IF($A214="Bank",INDEX(Bank!$E:$E,$C214),INDEX(GL!$E:$E,$C214)))</f>
        <v/>
      </c>
      <c r="H214" s="5" t="str">
        <f aca="false">IF(C214=0,"",IF(A214="GL",IF(G214&gt;0,"Deposit in transit","Outstanding check / payment"),IF(G214&gt;0,"Bank credit not in GL","Bank debit not in GL")))</f>
        <v/>
      </c>
      <c r="I214" s="42" t="str">
        <f aca="false">IF(OR(C214=0,CFG_PeriodEnd=""),"",CFG_PeriodEnd-D214)</f>
        <v/>
      </c>
      <c r="J214" s="5" t="str">
        <f aca="false">IF(C214=0,"",IF($A214="Bank",IF(INDEX(Bank!$G:$G,$C214)="","",INDEX(Bank!$G:$G,$C214)),IF(INDEX(GL!$G:$G,$C214)="","",INDEX(GL!$G:$G,$C214))))</f>
        <v/>
      </c>
      <c r="K214" s="5" t="str">
        <f aca="false">IF(C214=0,"",IF($A214="Bank",IF(INDEX(Bank!$I:$I,$C214)="","",INDEX(Bank!$I:$I,$C214)),IF(INDEX(GL!$I:$I,$C214)="","",INDEX(GL!$I:$I,$C214))))</f>
        <v/>
      </c>
      <c r="L214" s="5" t="str">
        <f aca="false">IF(B214="","",IF(C214=0,"NOT FOUND",IF(IF($A214="Bank",INDEX(Bank!$F:$F,$C214),INDEX(GL!$F:$F,$C214))="Y","NOW RECONCILED: refresh","OK")))</f>
        <v/>
      </c>
    </row>
    <row r="215" customFormat="false" ht="15" hidden="false" customHeight="false" outlineLevel="0" collapsed="false">
      <c r="A215" s="41"/>
      <c r="B215" s="41"/>
      <c r="C215" s="5" t="n">
        <f aca="false">IF(B215="",0,IF(A215="Bank",IFERROR(MATCH(B215,Bank!$A:$A,0),0),IFERROR(MATCH(B215,GL!$A:$A,0),0)))</f>
        <v>0</v>
      </c>
      <c r="D215" s="32" t="str">
        <f aca="false">IF(C215=0,"",IF($A215="Bank",INDEX(Bank!$B:$B,$C215),INDEX(GL!$B:$B,$C215)))</f>
        <v/>
      </c>
      <c r="E215" s="5" t="str">
        <f aca="false">IF(C215=0,"",IF($A215="Bank",IF(INDEX(Bank!$C:$C,$C215)="","",INDEX(Bank!$C:$C,$C215)),IF(INDEX(GL!$C:$C,$C215)="","",INDEX(GL!$C:$C,$C215))))</f>
        <v/>
      </c>
      <c r="F215" s="5" t="str">
        <f aca="false">IF(C215=0,"",IF($A215="Bank",IF(INDEX(Bank!$D:$D,$C215)="","",INDEX(Bank!$D:$D,$C215)),IF(INDEX(GL!$D:$D,$C215)="","",INDEX(GL!$D:$D,$C215))))</f>
        <v/>
      </c>
      <c r="G215" s="19" t="str">
        <f aca="false">IF(C215=0,"",IF($A215="Bank",INDEX(Bank!$E:$E,$C215),INDEX(GL!$E:$E,$C215)))</f>
        <v/>
      </c>
      <c r="H215" s="5" t="str">
        <f aca="false">IF(C215=0,"",IF(A215="GL",IF(G215&gt;0,"Deposit in transit","Outstanding check / payment"),IF(G215&gt;0,"Bank credit not in GL","Bank debit not in GL")))</f>
        <v/>
      </c>
      <c r="I215" s="42" t="str">
        <f aca="false">IF(OR(C215=0,CFG_PeriodEnd=""),"",CFG_PeriodEnd-D215)</f>
        <v/>
      </c>
      <c r="J215" s="5" t="str">
        <f aca="false">IF(C215=0,"",IF($A215="Bank",IF(INDEX(Bank!$G:$G,$C215)="","",INDEX(Bank!$G:$G,$C215)),IF(INDEX(GL!$G:$G,$C215)="","",INDEX(GL!$G:$G,$C215))))</f>
        <v/>
      </c>
      <c r="K215" s="5" t="str">
        <f aca="false">IF(C215=0,"",IF($A215="Bank",IF(INDEX(Bank!$I:$I,$C215)="","",INDEX(Bank!$I:$I,$C215)),IF(INDEX(GL!$I:$I,$C215)="","",INDEX(GL!$I:$I,$C215))))</f>
        <v/>
      </c>
      <c r="L215" s="5" t="str">
        <f aca="false">IF(B215="","",IF(C215=0,"NOT FOUND",IF(IF($A215="Bank",INDEX(Bank!$F:$F,$C215),INDEX(GL!$F:$F,$C215))="Y","NOW RECONCILED: refresh","OK")))</f>
        <v/>
      </c>
    </row>
    <row r="216" customFormat="false" ht="15" hidden="false" customHeight="false" outlineLevel="0" collapsed="false">
      <c r="A216" s="41"/>
      <c r="B216" s="41"/>
      <c r="C216" s="5" t="n">
        <f aca="false">IF(B216="",0,IF(A216="Bank",IFERROR(MATCH(B216,Bank!$A:$A,0),0),IFERROR(MATCH(B216,GL!$A:$A,0),0)))</f>
        <v>0</v>
      </c>
      <c r="D216" s="32" t="str">
        <f aca="false">IF(C216=0,"",IF($A216="Bank",INDEX(Bank!$B:$B,$C216),INDEX(GL!$B:$B,$C216)))</f>
        <v/>
      </c>
      <c r="E216" s="5" t="str">
        <f aca="false">IF(C216=0,"",IF($A216="Bank",IF(INDEX(Bank!$C:$C,$C216)="","",INDEX(Bank!$C:$C,$C216)),IF(INDEX(GL!$C:$C,$C216)="","",INDEX(GL!$C:$C,$C216))))</f>
        <v/>
      </c>
      <c r="F216" s="5" t="str">
        <f aca="false">IF(C216=0,"",IF($A216="Bank",IF(INDEX(Bank!$D:$D,$C216)="","",INDEX(Bank!$D:$D,$C216)),IF(INDEX(GL!$D:$D,$C216)="","",INDEX(GL!$D:$D,$C216))))</f>
        <v/>
      </c>
      <c r="G216" s="19" t="str">
        <f aca="false">IF(C216=0,"",IF($A216="Bank",INDEX(Bank!$E:$E,$C216),INDEX(GL!$E:$E,$C216)))</f>
        <v/>
      </c>
      <c r="H216" s="5" t="str">
        <f aca="false">IF(C216=0,"",IF(A216="GL",IF(G216&gt;0,"Deposit in transit","Outstanding check / payment"),IF(G216&gt;0,"Bank credit not in GL","Bank debit not in GL")))</f>
        <v/>
      </c>
      <c r="I216" s="42" t="str">
        <f aca="false">IF(OR(C216=0,CFG_PeriodEnd=""),"",CFG_PeriodEnd-D216)</f>
        <v/>
      </c>
      <c r="J216" s="5" t="str">
        <f aca="false">IF(C216=0,"",IF($A216="Bank",IF(INDEX(Bank!$G:$G,$C216)="","",INDEX(Bank!$G:$G,$C216)),IF(INDEX(GL!$G:$G,$C216)="","",INDEX(GL!$G:$G,$C216))))</f>
        <v/>
      </c>
      <c r="K216" s="5" t="str">
        <f aca="false">IF(C216=0,"",IF($A216="Bank",IF(INDEX(Bank!$I:$I,$C216)="","",INDEX(Bank!$I:$I,$C216)),IF(INDEX(GL!$I:$I,$C216)="","",INDEX(GL!$I:$I,$C216))))</f>
        <v/>
      </c>
      <c r="L216" s="5" t="str">
        <f aca="false">IF(B216="","",IF(C216=0,"NOT FOUND",IF(IF($A216="Bank",INDEX(Bank!$F:$F,$C216),INDEX(GL!$F:$F,$C216))="Y","NOW RECONCILED: refresh","OK")))</f>
        <v/>
      </c>
    </row>
    <row r="217" customFormat="false" ht="15" hidden="false" customHeight="false" outlineLevel="0" collapsed="false">
      <c r="A217" s="41"/>
      <c r="B217" s="41"/>
      <c r="C217" s="5" t="n">
        <f aca="false">IF(B217="",0,IF(A217="Bank",IFERROR(MATCH(B217,Bank!$A:$A,0),0),IFERROR(MATCH(B217,GL!$A:$A,0),0)))</f>
        <v>0</v>
      </c>
      <c r="D217" s="32" t="str">
        <f aca="false">IF(C217=0,"",IF($A217="Bank",INDEX(Bank!$B:$B,$C217),INDEX(GL!$B:$B,$C217)))</f>
        <v/>
      </c>
      <c r="E217" s="5" t="str">
        <f aca="false">IF(C217=0,"",IF($A217="Bank",IF(INDEX(Bank!$C:$C,$C217)="","",INDEX(Bank!$C:$C,$C217)),IF(INDEX(GL!$C:$C,$C217)="","",INDEX(GL!$C:$C,$C217))))</f>
        <v/>
      </c>
      <c r="F217" s="5" t="str">
        <f aca="false">IF(C217=0,"",IF($A217="Bank",IF(INDEX(Bank!$D:$D,$C217)="","",INDEX(Bank!$D:$D,$C217)),IF(INDEX(GL!$D:$D,$C217)="","",INDEX(GL!$D:$D,$C217))))</f>
        <v/>
      </c>
      <c r="G217" s="19" t="str">
        <f aca="false">IF(C217=0,"",IF($A217="Bank",INDEX(Bank!$E:$E,$C217),INDEX(GL!$E:$E,$C217)))</f>
        <v/>
      </c>
      <c r="H217" s="5" t="str">
        <f aca="false">IF(C217=0,"",IF(A217="GL",IF(G217&gt;0,"Deposit in transit","Outstanding check / payment"),IF(G217&gt;0,"Bank credit not in GL","Bank debit not in GL")))</f>
        <v/>
      </c>
      <c r="I217" s="42" t="str">
        <f aca="false">IF(OR(C217=0,CFG_PeriodEnd=""),"",CFG_PeriodEnd-D217)</f>
        <v/>
      </c>
      <c r="J217" s="5" t="str">
        <f aca="false">IF(C217=0,"",IF($A217="Bank",IF(INDEX(Bank!$G:$G,$C217)="","",INDEX(Bank!$G:$G,$C217)),IF(INDEX(GL!$G:$G,$C217)="","",INDEX(GL!$G:$G,$C217))))</f>
        <v/>
      </c>
      <c r="K217" s="5" t="str">
        <f aca="false">IF(C217=0,"",IF($A217="Bank",IF(INDEX(Bank!$I:$I,$C217)="","",INDEX(Bank!$I:$I,$C217)),IF(INDEX(GL!$I:$I,$C217)="","",INDEX(GL!$I:$I,$C217))))</f>
        <v/>
      </c>
      <c r="L217" s="5" t="str">
        <f aca="false">IF(B217="","",IF(C217=0,"NOT FOUND",IF(IF($A217="Bank",INDEX(Bank!$F:$F,$C217),INDEX(GL!$F:$F,$C217))="Y","NOW RECONCILED: refresh","OK")))</f>
        <v/>
      </c>
    </row>
    <row r="218" customFormat="false" ht="15" hidden="false" customHeight="false" outlineLevel="0" collapsed="false">
      <c r="A218" s="41"/>
      <c r="B218" s="41"/>
      <c r="C218" s="5" t="n">
        <f aca="false">IF(B218="",0,IF(A218="Bank",IFERROR(MATCH(B218,Bank!$A:$A,0),0),IFERROR(MATCH(B218,GL!$A:$A,0),0)))</f>
        <v>0</v>
      </c>
      <c r="D218" s="32" t="str">
        <f aca="false">IF(C218=0,"",IF($A218="Bank",INDEX(Bank!$B:$B,$C218),INDEX(GL!$B:$B,$C218)))</f>
        <v/>
      </c>
      <c r="E218" s="5" t="str">
        <f aca="false">IF(C218=0,"",IF($A218="Bank",IF(INDEX(Bank!$C:$C,$C218)="","",INDEX(Bank!$C:$C,$C218)),IF(INDEX(GL!$C:$C,$C218)="","",INDEX(GL!$C:$C,$C218))))</f>
        <v/>
      </c>
      <c r="F218" s="5" t="str">
        <f aca="false">IF(C218=0,"",IF($A218="Bank",IF(INDEX(Bank!$D:$D,$C218)="","",INDEX(Bank!$D:$D,$C218)),IF(INDEX(GL!$D:$D,$C218)="","",INDEX(GL!$D:$D,$C218))))</f>
        <v/>
      </c>
      <c r="G218" s="19" t="str">
        <f aca="false">IF(C218=0,"",IF($A218="Bank",INDEX(Bank!$E:$E,$C218),INDEX(GL!$E:$E,$C218)))</f>
        <v/>
      </c>
      <c r="H218" s="5" t="str">
        <f aca="false">IF(C218=0,"",IF(A218="GL",IF(G218&gt;0,"Deposit in transit","Outstanding check / payment"),IF(G218&gt;0,"Bank credit not in GL","Bank debit not in GL")))</f>
        <v/>
      </c>
      <c r="I218" s="42" t="str">
        <f aca="false">IF(OR(C218=0,CFG_PeriodEnd=""),"",CFG_PeriodEnd-D218)</f>
        <v/>
      </c>
      <c r="J218" s="5" t="str">
        <f aca="false">IF(C218=0,"",IF($A218="Bank",IF(INDEX(Bank!$G:$G,$C218)="","",INDEX(Bank!$G:$G,$C218)),IF(INDEX(GL!$G:$G,$C218)="","",INDEX(GL!$G:$G,$C218))))</f>
        <v/>
      </c>
      <c r="K218" s="5" t="str">
        <f aca="false">IF(C218=0,"",IF($A218="Bank",IF(INDEX(Bank!$I:$I,$C218)="","",INDEX(Bank!$I:$I,$C218)),IF(INDEX(GL!$I:$I,$C218)="","",INDEX(GL!$I:$I,$C218))))</f>
        <v/>
      </c>
      <c r="L218" s="5" t="str">
        <f aca="false">IF(B218="","",IF(C218=0,"NOT FOUND",IF(IF($A218="Bank",INDEX(Bank!$F:$F,$C218),INDEX(GL!$F:$F,$C218))="Y","NOW RECONCILED: refresh","OK")))</f>
        <v/>
      </c>
    </row>
    <row r="219" customFormat="false" ht="15" hidden="false" customHeight="false" outlineLevel="0" collapsed="false">
      <c r="A219" s="41"/>
      <c r="B219" s="41"/>
      <c r="C219" s="5" t="n">
        <f aca="false">IF(B219="",0,IF(A219="Bank",IFERROR(MATCH(B219,Bank!$A:$A,0),0),IFERROR(MATCH(B219,GL!$A:$A,0),0)))</f>
        <v>0</v>
      </c>
      <c r="D219" s="32" t="str">
        <f aca="false">IF(C219=0,"",IF($A219="Bank",INDEX(Bank!$B:$B,$C219),INDEX(GL!$B:$B,$C219)))</f>
        <v/>
      </c>
      <c r="E219" s="5" t="str">
        <f aca="false">IF(C219=0,"",IF($A219="Bank",IF(INDEX(Bank!$C:$C,$C219)="","",INDEX(Bank!$C:$C,$C219)),IF(INDEX(GL!$C:$C,$C219)="","",INDEX(GL!$C:$C,$C219))))</f>
        <v/>
      </c>
      <c r="F219" s="5" t="str">
        <f aca="false">IF(C219=0,"",IF($A219="Bank",IF(INDEX(Bank!$D:$D,$C219)="","",INDEX(Bank!$D:$D,$C219)),IF(INDEX(GL!$D:$D,$C219)="","",INDEX(GL!$D:$D,$C219))))</f>
        <v/>
      </c>
      <c r="G219" s="19" t="str">
        <f aca="false">IF(C219=0,"",IF($A219="Bank",INDEX(Bank!$E:$E,$C219),INDEX(GL!$E:$E,$C219)))</f>
        <v/>
      </c>
      <c r="H219" s="5" t="str">
        <f aca="false">IF(C219=0,"",IF(A219="GL",IF(G219&gt;0,"Deposit in transit","Outstanding check / payment"),IF(G219&gt;0,"Bank credit not in GL","Bank debit not in GL")))</f>
        <v/>
      </c>
      <c r="I219" s="42" t="str">
        <f aca="false">IF(OR(C219=0,CFG_PeriodEnd=""),"",CFG_PeriodEnd-D219)</f>
        <v/>
      </c>
      <c r="J219" s="5" t="str">
        <f aca="false">IF(C219=0,"",IF($A219="Bank",IF(INDEX(Bank!$G:$G,$C219)="","",INDEX(Bank!$G:$G,$C219)),IF(INDEX(GL!$G:$G,$C219)="","",INDEX(GL!$G:$G,$C219))))</f>
        <v/>
      </c>
      <c r="K219" s="5" t="str">
        <f aca="false">IF(C219=0,"",IF($A219="Bank",IF(INDEX(Bank!$I:$I,$C219)="","",INDEX(Bank!$I:$I,$C219)),IF(INDEX(GL!$I:$I,$C219)="","",INDEX(GL!$I:$I,$C219))))</f>
        <v/>
      </c>
      <c r="L219" s="5" t="str">
        <f aca="false">IF(B219="","",IF(C219=0,"NOT FOUND",IF(IF($A219="Bank",INDEX(Bank!$F:$F,$C219),INDEX(GL!$F:$F,$C219))="Y","NOW RECONCILED: refresh","OK")))</f>
        <v/>
      </c>
    </row>
    <row r="220" customFormat="false" ht="15" hidden="false" customHeight="false" outlineLevel="0" collapsed="false">
      <c r="A220" s="41"/>
      <c r="B220" s="41"/>
      <c r="C220" s="5" t="n">
        <f aca="false">IF(B220="",0,IF(A220="Bank",IFERROR(MATCH(B220,Bank!$A:$A,0),0),IFERROR(MATCH(B220,GL!$A:$A,0),0)))</f>
        <v>0</v>
      </c>
      <c r="D220" s="32" t="str">
        <f aca="false">IF(C220=0,"",IF($A220="Bank",INDEX(Bank!$B:$B,$C220),INDEX(GL!$B:$B,$C220)))</f>
        <v/>
      </c>
      <c r="E220" s="5" t="str">
        <f aca="false">IF(C220=0,"",IF($A220="Bank",IF(INDEX(Bank!$C:$C,$C220)="","",INDEX(Bank!$C:$C,$C220)),IF(INDEX(GL!$C:$C,$C220)="","",INDEX(GL!$C:$C,$C220))))</f>
        <v/>
      </c>
      <c r="F220" s="5" t="str">
        <f aca="false">IF(C220=0,"",IF($A220="Bank",IF(INDEX(Bank!$D:$D,$C220)="","",INDEX(Bank!$D:$D,$C220)),IF(INDEX(GL!$D:$D,$C220)="","",INDEX(GL!$D:$D,$C220))))</f>
        <v/>
      </c>
      <c r="G220" s="19" t="str">
        <f aca="false">IF(C220=0,"",IF($A220="Bank",INDEX(Bank!$E:$E,$C220),INDEX(GL!$E:$E,$C220)))</f>
        <v/>
      </c>
      <c r="H220" s="5" t="str">
        <f aca="false">IF(C220=0,"",IF(A220="GL",IF(G220&gt;0,"Deposit in transit","Outstanding check / payment"),IF(G220&gt;0,"Bank credit not in GL","Bank debit not in GL")))</f>
        <v/>
      </c>
      <c r="I220" s="42" t="str">
        <f aca="false">IF(OR(C220=0,CFG_PeriodEnd=""),"",CFG_PeriodEnd-D220)</f>
        <v/>
      </c>
      <c r="J220" s="5" t="str">
        <f aca="false">IF(C220=0,"",IF($A220="Bank",IF(INDEX(Bank!$G:$G,$C220)="","",INDEX(Bank!$G:$G,$C220)),IF(INDEX(GL!$G:$G,$C220)="","",INDEX(GL!$G:$G,$C220))))</f>
        <v/>
      </c>
      <c r="K220" s="5" t="str">
        <f aca="false">IF(C220=0,"",IF($A220="Bank",IF(INDEX(Bank!$I:$I,$C220)="","",INDEX(Bank!$I:$I,$C220)),IF(INDEX(GL!$I:$I,$C220)="","",INDEX(GL!$I:$I,$C220))))</f>
        <v/>
      </c>
      <c r="L220" s="5" t="str">
        <f aca="false">IF(B220="","",IF(C220=0,"NOT FOUND",IF(IF($A220="Bank",INDEX(Bank!$F:$F,$C220),INDEX(GL!$F:$F,$C220))="Y","NOW RECONCILED: refresh","OK")))</f>
        <v/>
      </c>
    </row>
    <row r="221" customFormat="false" ht="15" hidden="false" customHeight="false" outlineLevel="0" collapsed="false">
      <c r="A221" s="41"/>
      <c r="B221" s="41"/>
      <c r="C221" s="5" t="n">
        <f aca="false">IF(B221="",0,IF(A221="Bank",IFERROR(MATCH(B221,Bank!$A:$A,0),0),IFERROR(MATCH(B221,GL!$A:$A,0),0)))</f>
        <v>0</v>
      </c>
      <c r="D221" s="32" t="str">
        <f aca="false">IF(C221=0,"",IF($A221="Bank",INDEX(Bank!$B:$B,$C221),INDEX(GL!$B:$B,$C221)))</f>
        <v/>
      </c>
      <c r="E221" s="5" t="str">
        <f aca="false">IF(C221=0,"",IF($A221="Bank",IF(INDEX(Bank!$C:$C,$C221)="","",INDEX(Bank!$C:$C,$C221)),IF(INDEX(GL!$C:$C,$C221)="","",INDEX(GL!$C:$C,$C221))))</f>
        <v/>
      </c>
      <c r="F221" s="5" t="str">
        <f aca="false">IF(C221=0,"",IF($A221="Bank",IF(INDEX(Bank!$D:$D,$C221)="","",INDEX(Bank!$D:$D,$C221)),IF(INDEX(GL!$D:$D,$C221)="","",INDEX(GL!$D:$D,$C221))))</f>
        <v/>
      </c>
      <c r="G221" s="19" t="str">
        <f aca="false">IF(C221=0,"",IF($A221="Bank",INDEX(Bank!$E:$E,$C221),INDEX(GL!$E:$E,$C221)))</f>
        <v/>
      </c>
      <c r="H221" s="5" t="str">
        <f aca="false">IF(C221=0,"",IF(A221="GL",IF(G221&gt;0,"Deposit in transit","Outstanding check / payment"),IF(G221&gt;0,"Bank credit not in GL","Bank debit not in GL")))</f>
        <v/>
      </c>
      <c r="I221" s="42" t="str">
        <f aca="false">IF(OR(C221=0,CFG_PeriodEnd=""),"",CFG_PeriodEnd-D221)</f>
        <v/>
      </c>
      <c r="J221" s="5" t="str">
        <f aca="false">IF(C221=0,"",IF($A221="Bank",IF(INDEX(Bank!$G:$G,$C221)="","",INDEX(Bank!$G:$G,$C221)),IF(INDEX(GL!$G:$G,$C221)="","",INDEX(GL!$G:$G,$C221))))</f>
        <v/>
      </c>
      <c r="K221" s="5" t="str">
        <f aca="false">IF(C221=0,"",IF($A221="Bank",IF(INDEX(Bank!$I:$I,$C221)="","",INDEX(Bank!$I:$I,$C221)),IF(INDEX(GL!$I:$I,$C221)="","",INDEX(GL!$I:$I,$C221))))</f>
        <v/>
      </c>
      <c r="L221" s="5" t="str">
        <f aca="false">IF(B221="","",IF(C221=0,"NOT FOUND",IF(IF($A221="Bank",INDEX(Bank!$F:$F,$C221),INDEX(GL!$F:$F,$C221))="Y","NOW RECONCILED: refresh","OK")))</f>
        <v/>
      </c>
    </row>
    <row r="222" customFormat="false" ht="15" hidden="false" customHeight="false" outlineLevel="0" collapsed="false">
      <c r="A222" s="41"/>
      <c r="B222" s="41"/>
      <c r="C222" s="5" t="n">
        <f aca="false">IF(B222="",0,IF(A222="Bank",IFERROR(MATCH(B222,Bank!$A:$A,0),0),IFERROR(MATCH(B222,GL!$A:$A,0),0)))</f>
        <v>0</v>
      </c>
      <c r="D222" s="32" t="str">
        <f aca="false">IF(C222=0,"",IF($A222="Bank",INDEX(Bank!$B:$B,$C222),INDEX(GL!$B:$B,$C222)))</f>
        <v/>
      </c>
      <c r="E222" s="5" t="str">
        <f aca="false">IF(C222=0,"",IF($A222="Bank",IF(INDEX(Bank!$C:$C,$C222)="","",INDEX(Bank!$C:$C,$C222)),IF(INDEX(GL!$C:$C,$C222)="","",INDEX(GL!$C:$C,$C222))))</f>
        <v/>
      </c>
      <c r="F222" s="5" t="str">
        <f aca="false">IF(C222=0,"",IF($A222="Bank",IF(INDEX(Bank!$D:$D,$C222)="","",INDEX(Bank!$D:$D,$C222)),IF(INDEX(GL!$D:$D,$C222)="","",INDEX(GL!$D:$D,$C222))))</f>
        <v/>
      </c>
      <c r="G222" s="19" t="str">
        <f aca="false">IF(C222=0,"",IF($A222="Bank",INDEX(Bank!$E:$E,$C222),INDEX(GL!$E:$E,$C222)))</f>
        <v/>
      </c>
      <c r="H222" s="5" t="str">
        <f aca="false">IF(C222=0,"",IF(A222="GL",IF(G222&gt;0,"Deposit in transit","Outstanding check / payment"),IF(G222&gt;0,"Bank credit not in GL","Bank debit not in GL")))</f>
        <v/>
      </c>
      <c r="I222" s="42" t="str">
        <f aca="false">IF(OR(C222=0,CFG_PeriodEnd=""),"",CFG_PeriodEnd-D222)</f>
        <v/>
      </c>
      <c r="J222" s="5" t="str">
        <f aca="false">IF(C222=0,"",IF($A222="Bank",IF(INDEX(Bank!$G:$G,$C222)="","",INDEX(Bank!$G:$G,$C222)),IF(INDEX(GL!$G:$G,$C222)="","",INDEX(GL!$G:$G,$C222))))</f>
        <v/>
      </c>
      <c r="K222" s="5" t="str">
        <f aca="false">IF(C222=0,"",IF($A222="Bank",IF(INDEX(Bank!$I:$I,$C222)="","",INDEX(Bank!$I:$I,$C222)),IF(INDEX(GL!$I:$I,$C222)="","",INDEX(GL!$I:$I,$C222))))</f>
        <v/>
      </c>
      <c r="L222" s="5" t="str">
        <f aca="false">IF(B222="","",IF(C222=0,"NOT FOUND",IF(IF($A222="Bank",INDEX(Bank!$F:$F,$C222),INDEX(GL!$F:$F,$C222))="Y","NOW RECONCILED: refresh","OK")))</f>
        <v/>
      </c>
    </row>
    <row r="223" customFormat="false" ht="15" hidden="false" customHeight="false" outlineLevel="0" collapsed="false">
      <c r="A223" s="41"/>
      <c r="B223" s="41"/>
      <c r="C223" s="5" t="n">
        <f aca="false">IF(B223="",0,IF(A223="Bank",IFERROR(MATCH(B223,Bank!$A:$A,0),0),IFERROR(MATCH(B223,GL!$A:$A,0),0)))</f>
        <v>0</v>
      </c>
      <c r="D223" s="32" t="str">
        <f aca="false">IF(C223=0,"",IF($A223="Bank",INDEX(Bank!$B:$B,$C223),INDEX(GL!$B:$B,$C223)))</f>
        <v/>
      </c>
      <c r="E223" s="5" t="str">
        <f aca="false">IF(C223=0,"",IF($A223="Bank",IF(INDEX(Bank!$C:$C,$C223)="","",INDEX(Bank!$C:$C,$C223)),IF(INDEX(GL!$C:$C,$C223)="","",INDEX(GL!$C:$C,$C223))))</f>
        <v/>
      </c>
      <c r="F223" s="5" t="str">
        <f aca="false">IF(C223=0,"",IF($A223="Bank",IF(INDEX(Bank!$D:$D,$C223)="","",INDEX(Bank!$D:$D,$C223)),IF(INDEX(GL!$D:$D,$C223)="","",INDEX(GL!$D:$D,$C223))))</f>
        <v/>
      </c>
      <c r="G223" s="19" t="str">
        <f aca="false">IF(C223=0,"",IF($A223="Bank",INDEX(Bank!$E:$E,$C223),INDEX(GL!$E:$E,$C223)))</f>
        <v/>
      </c>
      <c r="H223" s="5" t="str">
        <f aca="false">IF(C223=0,"",IF(A223="GL",IF(G223&gt;0,"Deposit in transit","Outstanding check / payment"),IF(G223&gt;0,"Bank credit not in GL","Bank debit not in GL")))</f>
        <v/>
      </c>
      <c r="I223" s="42" t="str">
        <f aca="false">IF(OR(C223=0,CFG_PeriodEnd=""),"",CFG_PeriodEnd-D223)</f>
        <v/>
      </c>
      <c r="J223" s="5" t="str">
        <f aca="false">IF(C223=0,"",IF($A223="Bank",IF(INDEX(Bank!$G:$G,$C223)="","",INDEX(Bank!$G:$G,$C223)),IF(INDEX(GL!$G:$G,$C223)="","",INDEX(GL!$G:$G,$C223))))</f>
        <v/>
      </c>
      <c r="K223" s="5" t="str">
        <f aca="false">IF(C223=0,"",IF($A223="Bank",IF(INDEX(Bank!$I:$I,$C223)="","",INDEX(Bank!$I:$I,$C223)),IF(INDEX(GL!$I:$I,$C223)="","",INDEX(GL!$I:$I,$C223))))</f>
        <v/>
      </c>
      <c r="L223" s="5" t="str">
        <f aca="false">IF(B223="","",IF(C223=0,"NOT FOUND",IF(IF($A223="Bank",INDEX(Bank!$F:$F,$C223),INDEX(GL!$F:$F,$C223))="Y","NOW RECONCILED: refresh","OK")))</f>
        <v/>
      </c>
    </row>
    <row r="224" customFormat="false" ht="15" hidden="false" customHeight="false" outlineLevel="0" collapsed="false">
      <c r="A224" s="41"/>
      <c r="B224" s="41"/>
      <c r="C224" s="5" t="n">
        <f aca="false">IF(B224="",0,IF(A224="Bank",IFERROR(MATCH(B224,Bank!$A:$A,0),0),IFERROR(MATCH(B224,GL!$A:$A,0),0)))</f>
        <v>0</v>
      </c>
      <c r="D224" s="32" t="str">
        <f aca="false">IF(C224=0,"",IF($A224="Bank",INDEX(Bank!$B:$B,$C224),INDEX(GL!$B:$B,$C224)))</f>
        <v/>
      </c>
      <c r="E224" s="5" t="str">
        <f aca="false">IF(C224=0,"",IF($A224="Bank",IF(INDEX(Bank!$C:$C,$C224)="","",INDEX(Bank!$C:$C,$C224)),IF(INDEX(GL!$C:$C,$C224)="","",INDEX(GL!$C:$C,$C224))))</f>
        <v/>
      </c>
      <c r="F224" s="5" t="str">
        <f aca="false">IF(C224=0,"",IF($A224="Bank",IF(INDEX(Bank!$D:$D,$C224)="","",INDEX(Bank!$D:$D,$C224)),IF(INDEX(GL!$D:$D,$C224)="","",INDEX(GL!$D:$D,$C224))))</f>
        <v/>
      </c>
      <c r="G224" s="19" t="str">
        <f aca="false">IF(C224=0,"",IF($A224="Bank",INDEX(Bank!$E:$E,$C224),INDEX(GL!$E:$E,$C224)))</f>
        <v/>
      </c>
      <c r="H224" s="5" t="str">
        <f aca="false">IF(C224=0,"",IF(A224="GL",IF(G224&gt;0,"Deposit in transit","Outstanding check / payment"),IF(G224&gt;0,"Bank credit not in GL","Bank debit not in GL")))</f>
        <v/>
      </c>
      <c r="I224" s="42" t="str">
        <f aca="false">IF(OR(C224=0,CFG_PeriodEnd=""),"",CFG_PeriodEnd-D224)</f>
        <v/>
      </c>
      <c r="J224" s="5" t="str">
        <f aca="false">IF(C224=0,"",IF($A224="Bank",IF(INDEX(Bank!$G:$G,$C224)="","",INDEX(Bank!$G:$G,$C224)),IF(INDEX(GL!$G:$G,$C224)="","",INDEX(GL!$G:$G,$C224))))</f>
        <v/>
      </c>
      <c r="K224" s="5" t="str">
        <f aca="false">IF(C224=0,"",IF($A224="Bank",IF(INDEX(Bank!$I:$I,$C224)="","",INDEX(Bank!$I:$I,$C224)),IF(INDEX(GL!$I:$I,$C224)="","",INDEX(GL!$I:$I,$C224))))</f>
        <v/>
      </c>
      <c r="L224" s="5" t="str">
        <f aca="false">IF(B224="","",IF(C224=0,"NOT FOUND",IF(IF($A224="Bank",INDEX(Bank!$F:$F,$C224),INDEX(GL!$F:$F,$C224))="Y","NOW RECONCILED: refresh","OK")))</f>
        <v/>
      </c>
    </row>
    <row r="225" customFormat="false" ht="15" hidden="false" customHeight="false" outlineLevel="0" collapsed="false">
      <c r="A225" s="41"/>
      <c r="B225" s="41"/>
      <c r="C225" s="5" t="n">
        <f aca="false">IF(B225="",0,IF(A225="Bank",IFERROR(MATCH(B225,Bank!$A:$A,0),0),IFERROR(MATCH(B225,GL!$A:$A,0),0)))</f>
        <v>0</v>
      </c>
      <c r="D225" s="32" t="str">
        <f aca="false">IF(C225=0,"",IF($A225="Bank",INDEX(Bank!$B:$B,$C225),INDEX(GL!$B:$B,$C225)))</f>
        <v/>
      </c>
      <c r="E225" s="5" t="str">
        <f aca="false">IF(C225=0,"",IF($A225="Bank",IF(INDEX(Bank!$C:$C,$C225)="","",INDEX(Bank!$C:$C,$C225)),IF(INDEX(GL!$C:$C,$C225)="","",INDEX(GL!$C:$C,$C225))))</f>
        <v/>
      </c>
      <c r="F225" s="5" t="str">
        <f aca="false">IF(C225=0,"",IF($A225="Bank",IF(INDEX(Bank!$D:$D,$C225)="","",INDEX(Bank!$D:$D,$C225)),IF(INDEX(GL!$D:$D,$C225)="","",INDEX(GL!$D:$D,$C225))))</f>
        <v/>
      </c>
      <c r="G225" s="19" t="str">
        <f aca="false">IF(C225=0,"",IF($A225="Bank",INDEX(Bank!$E:$E,$C225),INDEX(GL!$E:$E,$C225)))</f>
        <v/>
      </c>
      <c r="H225" s="5" t="str">
        <f aca="false">IF(C225=0,"",IF(A225="GL",IF(G225&gt;0,"Deposit in transit","Outstanding check / payment"),IF(G225&gt;0,"Bank credit not in GL","Bank debit not in GL")))</f>
        <v/>
      </c>
      <c r="I225" s="42" t="str">
        <f aca="false">IF(OR(C225=0,CFG_PeriodEnd=""),"",CFG_PeriodEnd-D225)</f>
        <v/>
      </c>
      <c r="J225" s="5" t="str">
        <f aca="false">IF(C225=0,"",IF($A225="Bank",IF(INDEX(Bank!$G:$G,$C225)="","",INDEX(Bank!$G:$G,$C225)),IF(INDEX(GL!$G:$G,$C225)="","",INDEX(GL!$G:$G,$C225))))</f>
        <v/>
      </c>
      <c r="K225" s="5" t="str">
        <f aca="false">IF(C225=0,"",IF($A225="Bank",IF(INDEX(Bank!$I:$I,$C225)="","",INDEX(Bank!$I:$I,$C225)),IF(INDEX(GL!$I:$I,$C225)="","",INDEX(GL!$I:$I,$C225))))</f>
        <v/>
      </c>
      <c r="L225" s="5" t="str">
        <f aca="false">IF(B225="","",IF(C225=0,"NOT FOUND",IF(IF($A225="Bank",INDEX(Bank!$F:$F,$C225),INDEX(GL!$F:$F,$C225))="Y","NOW RECONCILED: refresh","OK")))</f>
        <v/>
      </c>
    </row>
    <row r="226" customFormat="false" ht="15" hidden="false" customHeight="false" outlineLevel="0" collapsed="false">
      <c r="A226" s="41"/>
      <c r="B226" s="41"/>
      <c r="C226" s="5" t="n">
        <f aca="false">IF(B226="",0,IF(A226="Bank",IFERROR(MATCH(B226,Bank!$A:$A,0),0),IFERROR(MATCH(B226,GL!$A:$A,0),0)))</f>
        <v>0</v>
      </c>
      <c r="D226" s="32" t="str">
        <f aca="false">IF(C226=0,"",IF($A226="Bank",INDEX(Bank!$B:$B,$C226),INDEX(GL!$B:$B,$C226)))</f>
        <v/>
      </c>
      <c r="E226" s="5" t="str">
        <f aca="false">IF(C226=0,"",IF($A226="Bank",IF(INDEX(Bank!$C:$C,$C226)="","",INDEX(Bank!$C:$C,$C226)),IF(INDEX(GL!$C:$C,$C226)="","",INDEX(GL!$C:$C,$C226))))</f>
        <v/>
      </c>
      <c r="F226" s="5" t="str">
        <f aca="false">IF(C226=0,"",IF($A226="Bank",IF(INDEX(Bank!$D:$D,$C226)="","",INDEX(Bank!$D:$D,$C226)),IF(INDEX(GL!$D:$D,$C226)="","",INDEX(GL!$D:$D,$C226))))</f>
        <v/>
      </c>
      <c r="G226" s="19" t="str">
        <f aca="false">IF(C226=0,"",IF($A226="Bank",INDEX(Bank!$E:$E,$C226),INDEX(GL!$E:$E,$C226)))</f>
        <v/>
      </c>
      <c r="H226" s="5" t="str">
        <f aca="false">IF(C226=0,"",IF(A226="GL",IF(G226&gt;0,"Deposit in transit","Outstanding check / payment"),IF(G226&gt;0,"Bank credit not in GL","Bank debit not in GL")))</f>
        <v/>
      </c>
      <c r="I226" s="42" t="str">
        <f aca="false">IF(OR(C226=0,CFG_PeriodEnd=""),"",CFG_PeriodEnd-D226)</f>
        <v/>
      </c>
      <c r="J226" s="5" t="str">
        <f aca="false">IF(C226=0,"",IF($A226="Bank",IF(INDEX(Bank!$G:$G,$C226)="","",INDEX(Bank!$G:$G,$C226)),IF(INDEX(GL!$G:$G,$C226)="","",INDEX(GL!$G:$G,$C226))))</f>
        <v/>
      </c>
      <c r="K226" s="5" t="str">
        <f aca="false">IF(C226=0,"",IF($A226="Bank",IF(INDEX(Bank!$I:$I,$C226)="","",INDEX(Bank!$I:$I,$C226)),IF(INDEX(GL!$I:$I,$C226)="","",INDEX(GL!$I:$I,$C226))))</f>
        <v/>
      </c>
      <c r="L226" s="5" t="str">
        <f aca="false">IF(B226="","",IF(C226=0,"NOT FOUND",IF(IF($A226="Bank",INDEX(Bank!$F:$F,$C226),INDEX(GL!$F:$F,$C226))="Y","NOW RECONCILED: refresh","OK")))</f>
        <v/>
      </c>
    </row>
    <row r="227" customFormat="false" ht="15" hidden="false" customHeight="false" outlineLevel="0" collapsed="false">
      <c r="A227" s="41"/>
      <c r="B227" s="41"/>
      <c r="C227" s="5" t="n">
        <f aca="false">IF(B227="",0,IF(A227="Bank",IFERROR(MATCH(B227,Bank!$A:$A,0),0),IFERROR(MATCH(B227,GL!$A:$A,0),0)))</f>
        <v>0</v>
      </c>
      <c r="D227" s="32" t="str">
        <f aca="false">IF(C227=0,"",IF($A227="Bank",INDEX(Bank!$B:$B,$C227),INDEX(GL!$B:$B,$C227)))</f>
        <v/>
      </c>
      <c r="E227" s="5" t="str">
        <f aca="false">IF(C227=0,"",IF($A227="Bank",IF(INDEX(Bank!$C:$C,$C227)="","",INDEX(Bank!$C:$C,$C227)),IF(INDEX(GL!$C:$C,$C227)="","",INDEX(GL!$C:$C,$C227))))</f>
        <v/>
      </c>
      <c r="F227" s="5" t="str">
        <f aca="false">IF(C227=0,"",IF($A227="Bank",IF(INDEX(Bank!$D:$D,$C227)="","",INDEX(Bank!$D:$D,$C227)),IF(INDEX(GL!$D:$D,$C227)="","",INDEX(GL!$D:$D,$C227))))</f>
        <v/>
      </c>
      <c r="G227" s="19" t="str">
        <f aca="false">IF(C227=0,"",IF($A227="Bank",INDEX(Bank!$E:$E,$C227),INDEX(GL!$E:$E,$C227)))</f>
        <v/>
      </c>
      <c r="H227" s="5" t="str">
        <f aca="false">IF(C227=0,"",IF(A227="GL",IF(G227&gt;0,"Deposit in transit","Outstanding check / payment"),IF(G227&gt;0,"Bank credit not in GL","Bank debit not in GL")))</f>
        <v/>
      </c>
      <c r="I227" s="42" t="str">
        <f aca="false">IF(OR(C227=0,CFG_PeriodEnd=""),"",CFG_PeriodEnd-D227)</f>
        <v/>
      </c>
      <c r="J227" s="5" t="str">
        <f aca="false">IF(C227=0,"",IF($A227="Bank",IF(INDEX(Bank!$G:$G,$C227)="","",INDEX(Bank!$G:$G,$C227)),IF(INDEX(GL!$G:$G,$C227)="","",INDEX(GL!$G:$G,$C227))))</f>
        <v/>
      </c>
      <c r="K227" s="5" t="str">
        <f aca="false">IF(C227=0,"",IF($A227="Bank",IF(INDEX(Bank!$I:$I,$C227)="","",INDEX(Bank!$I:$I,$C227)),IF(INDEX(GL!$I:$I,$C227)="","",INDEX(GL!$I:$I,$C227))))</f>
        <v/>
      </c>
      <c r="L227" s="5" t="str">
        <f aca="false">IF(B227="","",IF(C227=0,"NOT FOUND",IF(IF($A227="Bank",INDEX(Bank!$F:$F,$C227),INDEX(GL!$F:$F,$C227))="Y","NOW RECONCILED: refresh","OK")))</f>
        <v/>
      </c>
    </row>
    <row r="228" customFormat="false" ht="15" hidden="false" customHeight="false" outlineLevel="0" collapsed="false">
      <c r="A228" s="41"/>
      <c r="B228" s="41"/>
      <c r="C228" s="5" t="n">
        <f aca="false">IF(B228="",0,IF(A228="Bank",IFERROR(MATCH(B228,Bank!$A:$A,0),0),IFERROR(MATCH(B228,GL!$A:$A,0),0)))</f>
        <v>0</v>
      </c>
      <c r="D228" s="32" t="str">
        <f aca="false">IF(C228=0,"",IF($A228="Bank",INDEX(Bank!$B:$B,$C228),INDEX(GL!$B:$B,$C228)))</f>
        <v/>
      </c>
      <c r="E228" s="5" t="str">
        <f aca="false">IF(C228=0,"",IF($A228="Bank",IF(INDEX(Bank!$C:$C,$C228)="","",INDEX(Bank!$C:$C,$C228)),IF(INDEX(GL!$C:$C,$C228)="","",INDEX(GL!$C:$C,$C228))))</f>
        <v/>
      </c>
      <c r="F228" s="5" t="str">
        <f aca="false">IF(C228=0,"",IF($A228="Bank",IF(INDEX(Bank!$D:$D,$C228)="","",INDEX(Bank!$D:$D,$C228)),IF(INDEX(GL!$D:$D,$C228)="","",INDEX(GL!$D:$D,$C228))))</f>
        <v/>
      </c>
      <c r="G228" s="19" t="str">
        <f aca="false">IF(C228=0,"",IF($A228="Bank",INDEX(Bank!$E:$E,$C228),INDEX(GL!$E:$E,$C228)))</f>
        <v/>
      </c>
      <c r="H228" s="5" t="str">
        <f aca="false">IF(C228=0,"",IF(A228="GL",IF(G228&gt;0,"Deposit in transit","Outstanding check / payment"),IF(G228&gt;0,"Bank credit not in GL","Bank debit not in GL")))</f>
        <v/>
      </c>
      <c r="I228" s="42" t="str">
        <f aca="false">IF(OR(C228=0,CFG_PeriodEnd=""),"",CFG_PeriodEnd-D228)</f>
        <v/>
      </c>
      <c r="J228" s="5" t="str">
        <f aca="false">IF(C228=0,"",IF($A228="Bank",IF(INDEX(Bank!$G:$G,$C228)="","",INDEX(Bank!$G:$G,$C228)),IF(INDEX(GL!$G:$G,$C228)="","",INDEX(GL!$G:$G,$C228))))</f>
        <v/>
      </c>
      <c r="K228" s="5" t="str">
        <f aca="false">IF(C228=0,"",IF($A228="Bank",IF(INDEX(Bank!$I:$I,$C228)="","",INDEX(Bank!$I:$I,$C228)),IF(INDEX(GL!$I:$I,$C228)="","",INDEX(GL!$I:$I,$C228))))</f>
        <v/>
      </c>
      <c r="L228" s="5" t="str">
        <f aca="false">IF(B228="","",IF(C228=0,"NOT FOUND",IF(IF($A228="Bank",INDEX(Bank!$F:$F,$C228),INDEX(GL!$F:$F,$C228))="Y","NOW RECONCILED: refresh","OK")))</f>
        <v/>
      </c>
    </row>
    <row r="229" customFormat="false" ht="15" hidden="false" customHeight="false" outlineLevel="0" collapsed="false">
      <c r="A229" s="41"/>
      <c r="B229" s="41"/>
      <c r="C229" s="5" t="n">
        <f aca="false">IF(B229="",0,IF(A229="Bank",IFERROR(MATCH(B229,Bank!$A:$A,0),0),IFERROR(MATCH(B229,GL!$A:$A,0),0)))</f>
        <v>0</v>
      </c>
      <c r="D229" s="32" t="str">
        <f aca="false">IF(C229=0,"",IF($A229="Bank",INDEX(Bank!$B:$B,$C229),INDEX(GL!$B:$B,$C229)))</f>
        <v/>
      </c>
      <c r="E229" s="5" t="str">
        <f aca="false">IF(C229=0,"",IF($A229="Bank",IF(INDEX(Bank!$C:$C,$C229)="","",INDEX(Bank!$C:$C,$C229)),IF(INDEX(GL!$C:$C,$C229)="","",INDEX(GL!$C:$C,$C229))))</f>
        <v/>
      </c>
      <c r="F229" s="5" t="str">
        <f aca="false">IF(C229=0,"",IF($A229="Bank",IF(INDEX(Bank!$D:$D,$C229)="","",INDEX(Bank!$D:$D,$C229)),IF(INDEX(GL!$D:$D,$C229)="","",INDEX(GL!$D:$D,$C229))))</f>
        <v/>
      </c>
      <c r="G229" s="19" t="str">
        <f aca="false">IF(C229=0,"",IF($A229="Bank",INDEX(Bank!$E:$E,$C229),INDEX(GL!$E:$E,$C229)))</f>
        <v/>
      </c>
      <c r="H229" s="5" t="str">
        <f aca="false">IF(C229=0,"",IF(A229="GL",IF(G229&gt;0,"Deposit in transit","Outstanding check / payment"),IF(G229&gt;0,"Bank credit not in GL","Bank debit not in GL")))</f>
        <v/>
      </c>
      <c r="I229" s="42" t="str">
        <f aca="false">IF(OR(C229=0,CFG_PeriodEnd=""),"",CFG_PeriodEnd-D229)</f>
        <v/>
      </c>
      <c r="J229" s="5" t="str">
        <f aca="false">IF(C229=0,"",IF($A229="Bank",IF(INDEX(Bank!$G:$G,$C229)="","",INDEX(Bank!$G:$G,$C229)),IF(INDEX(GL!$G:$G,$C229)="","",INDEX(GL!$G:$G,$C229))))</f>
        <v/>
      </c>
      <c r="K229" s="5" t="str">
        <f aca="false">IF(C229=0,"",IF($A229="Bank",IF(INDEX(Bank!$I:$I,$C229)="","",INDEX(Bank!$I:$I,$C229)),IF(INDEX(GL!$I:$I,$C229)="","",INDEX(GL!$I:$I,$C229))))</f>
        <v/>
      </c>
      <c r="L229" s="5" t="str">
        <f aca="false">IF(B229="","",IF(C229=0,"NOT FOUND",IF(IF($A229="Bank",INDEX(Bank!$F:$F,$C229),INDEX(GL!$F:$F,$C229))="Y","NOW RECONCILED: refresh","OK")))</f>
        <v/>
      </c>
    </row>
    <row r="230" customFormat="false" ht="15" hidden="false" customHeight="false" outlineLevel="0" collapsed="false">
      <c r="A230" s="41"/>
      <c r="B230" s="41"/>
      <c r="C230" s="5" t="n">
        <f aca="false">IF(B230="",0,IF(A230="Bank",IFERROR(MATCH(B230,Bank!$A:$A,0),0),IFERROR(MATCH(B230,GL!$A:$A,0),0)))</f>
        <v>0</v>
      </c>
      <c r="D230" s="32" t="str">
        <f aca="false">IF(C230=0,"",IF($A230="Bank",INDEX(Bank!$B:$B,$C230),INDEX(GL!$B:$B,$C230)))</f>
        <v/>
      </c>
      <c r="E230" s="5" t="str">
        <f aca="false">IF(C230=0,"",IF($A230="Bank",IF(INDEX(Bank!$C:$C,$C230)="","",INDEX(Bank!$C:$C,$C230)),IF(INDEX(GL!$C:$C,$C230)="","",INDEX(GL!$C:$C,$C230))))</f>
        <v/>
      </c>
      <c r="F230" s="5" t="str">
        <f aca="false">IF(C230=0,"",IF($A230="Bank",IF(INDEX(Bank!$D:$D,$C230)="","",INDEX(Bank!$D:$D,$C230)),IF(INDEX(GL!$D:$D,$C230)="","",INDEX(GL!$D:$D,$C230))))</f>
        <v/>
      </c>
      <c r="G230" s="19" t="str">
        <f aca="false">IF(C230=0,"",IF($A230="Bank",INDEX(Bank!$E:$E,$C230),INDEX(GL!$E:$E,$C230)))</f>
        <v/>
      </c>
      <c r="H230" s="5" t="str">
        <f aca="false">IF(C230=0,"",IF(A230="GL",IF(G230&gt;0,"Deposit in transit","Outstanding check / payment"),IF(G230&gt;0,"Bank credit not in GL","Bank debit not in GL")))</f>
        <v/>
      </c>
      <c r="I230" s="42" t="str">
        <f aca="false">IF(OR(C230=0,CFG_PeriodEnd=""),"",CFG_PeriodEnd-D230)</f>
        <v/>
      </c>
      <c r="J230" s="5" t="str">
        <f aca="false">IF(C230=0,"",IF($A230="Bank",IF(INDEX(Bank!$G:$G,$C230)="","",INDEX(Bank!$G:$G,$C230)),IF(INDEX(GL!$G:$G,$C230)="","",INDEX(GL!$G:$G,$C230))))</f>
        <v/>
      </c>
      <c r="K230" s="5" t="str">
        <f aca="false">IF(C230=0,"",IF($A230="Bank",IF(INDEX(Bank!$I:$I,$C230)="","",INDEX(Bank!$I:$I,$C230)),IF(INDEX(GL!$I:$I,$C230)="","",INDEX(GL!$I:$I,$C230))))</f>
        <v/>
      </c>
      <c r="L230" s="5" t="str">
        <f aca="false">IF(B230="","",IF(C230=0,"NOT FOUND",IF(IF($A230="Bank",INDEX(Bank!$F:$F,$C230),INDEX(GL!$F:$F,$C230))="Y","NOW RECONCILED: refresh","OK")))</f>
        <v/>
      </c>
    </row>
    <row r="231" customFormat="false" ht="15" hidden="false" customHeight="false" outlineLevel="0" collapsed="false">
      <c r="A231" s="41"/>
      <c r="B231" s="41"/>
      <c r="C231" s="5" t="n">
        <f aca="false">IF(B231="",0,IF(A231="Bank",IFERROR(MATCH(B231,Bank!$A:$A,0),0),IFERROR(MATCH(B231,GL!$A:$A,0),0)))</f>
        <v>0</v>
      </c>
      <c r="D231" s="32" t="str">
        <f aca="false">IF(C231=0,"",IF($A231="Bank",INDEX(Bank!$B:$B,$C231),INDEX(GL!$B:$B,$C231)))</f>
        <v/>
      </c>
      <c r="E231" s="5" t="str">
        <f aca="false">IF(C231=0,"",IF($A231="Bank",IF(INDEX(Bank!$C:$C,$C231)="","",INDEX(Bank!$C:$C,$C231)),IF(INDEX(GL!$C:$C,$C231)="","",INDEX(GL!$C:$C,$C231))))</f>
        <v/>
      </c>
      <c r="F231" s="5" t="str">
        <f aca="false">IF(C231=0,"",IF($A231="Bank",IF(INDEX(Bank!$D:$D,$C231)="","",INDEX(Bank!$D:$D,$C231)),IF(INDEX(GL!$D:$D,$C231)="","",INDEX(GL!$D:$D,$C231))))</f>
        <v/>
      </c>
      <c r="G231" s="19" t="str">
        <f aca="false">IF(C231=0,"",IF($A231="Bank",INDEX(Bank!$E:$E,$C231),INDEX(GL!$E:$E,$C231)))</f>
        <v/>
      </c>
      <c r="H231" s="5" t="str">
        <f aca="false">IF(C231=0,"",IF(A231="GL",IF(G231&gt;0,"Deposit in transit","Outstanding check / payment"),IF(G231&gt;0,"Bank credit not in GL","Bank debit not in GL")))</f>
        <v/>
      </c>
      <c r="I231" s="42" t="str">
        <f aca="false">IF(OR(C231=0,CFG_PeriodEnd=""),"",CFG_PeriodEnd-D231)</f>
        <v/>
      </c>
      <c r="J231" s="5" t="str">
        <f aca="false">IF(C231=0,"",IF($A231="Bank",IF(INDEX(Bank!$G:$G,$C231)="","",INDEX(Bank!$G:$G,$C231)),IF(INDEX(GL!$G:$G,$C231)="","",INDEX(GL!$G:$G,$C231))))</f>
        <v/>
      </c>
      <c r="K231" s="5" t="str">
        <f aca="false">IF(C231=0,"",IF($A231="Bank",IF(INDEX(Bank!$I:$I,$C231)="","",INDEX(Bank!$I:$I,$C231)),IF(INDEX(GL!$I:$I,$C231)="","",INDEX(GL!$I:$I,$C231))))</f>
        <v/>
      </c>
      <c r="L231" s="5" t="str">
        <f aca="false">IF(B231="","",IF(C231=0,"NOT FOUND",IF(IF($A231="Bank",INDEX(Bank!$F:$F,$C231),INDEX(GL!$F:$F,$C231))="Y","NOW RECONCILED: refresh","OK")))</f>
        <v/>
      </c>
    </row>
    <row r="232" customFormat="false" ht="15" hidden="false" customHeight="false" outlineLevel="0" collapsed="false">
      <c r="A232" s="41"/>
      <c r="B232" s="41"/>
      <c r="C232" s="5" t="n">
        <f aca="false">IF(B232="",0,IF(A232="Bank",IFERROR(MATCH(B232,Bank!$A:$A,0),0),IFERROR(MATCH(B232,GL!$A:$A,0),0)))</f>
        <v>0</v>
      </c>
      <c r="D232" s="32" t="str">
        <f aca="false">IF(C232=0,"",IF($A232="Bank",INDEX(Bank!$B:$B,$C232),INDEX(GL!$B:$B,$C232)))</f>
        <v/>
      </c>
      <c r="E232" s="5" t="str">
        <f aca="false">IF(C232=0,"",IF($A232="Bank",IF(INDEX(Bank!$C:$C,$C232)="","",INDEX(Bank!$C:$C,$C232)),IF(INDEX(GL!$C:$C,$C232)="","",INDEX(GL!$C:$C,$C232))))</f>
        <v/>
      </c>
      <c r="F232" s="5" t="str">
        <f aca="false">IF(C232=0,"",IF($A232="Bank",IF(INDEX(Bank!$D:$D,$C232)="","",INDEX(Bank!$D:$D,$C232)),IF(INDEX(GL!$D:$D,$C232)="","",INDEX(GL!$D:$D,$C232))))</f>
        <v/>
      </c>
      <c r="G232" s="19" t="str">
        <f aca="false">IF(C232=0,"",IF($A232="Bank",INDEX(Bank!$E:$E,$C232),INDEX(GL!$E:$E,$C232)))</f>
        <v/>
      </c>
      <c r="H232" s="5" t="str">
        <f aca="false">IF(C232=0,"",IF(A232="GL",IF(G232&gt;0,"Deposit in transit","Outstanding check / payment"),IF(G232&gt;0,"Bank credit not in GL","Bank debit not in GL")))</f>
        <v/>
      </c>
      <c r="I232" s="42" t="str">
        <f aca="false">IF(OR(C232=0,CFG_PeriodEnd=""),"",CFG_PeriodEnd-D232)</f>
        <v/>
      </c>
      <c r="J232" s="5" t="str">
        <f aca="false">IF(C232=0,"",IF($A232="Bank",IF(INDEX(Bank!$G:$G,$C232)="","",INDEX(Bank!$G:$G,$C232)),IF(INDEX(GL!$G:$G,$C232)="","",INDEX(GL!$G:$G,$C232))))</f>
        <v/>
      </c>
      <c r="K232" s="5" t="str">
        <f aca="false">IF(C232=0,"",IF($A232="Bank",IF(INDEX(Bank!$I:$I,$C232)="","",INDEX(Bank!$I:$I,$C232)),IF(INDEX(GL!$I:$I,$C232)="","",INDEX(GL!$I:$I,$C232))))</f>
        <v/>
      </c>
      <c r="L232" s="5" t="str">
        <f aca="false">IF(B232="","",IF(C232=0,"NOT FOUND",IF(IF($A232="Bank",INDEX(Bank!$F:$F,$C232),INDEX(GL!$F:$F,$C232))="Y","NOW RECONCILED: refresh","OK")))</f>
        <v/>
      </c>
    </row>
    <row r="233" customFormat="false" ht="15" hidden="false" customHeight="false" outlineLevel="0" collapsed="false">
      <c r="A233" s="41"/>
      <c r="B233" s="41"/>
      <c r="C233" s="5" t="n">
        <f aca="false">IF(B233="",0,IF(A233="Bank",IFERROR(MATCH(B233,Bank!$A:$A,0),0),IFERROR(MATCH(B233,GL!$A:$A,0),0)))</f>
        <v>0</v>
      </c>
      <c r="D233" s="32" t="str">
        <f aca="false">IF(C233=0,"",IF($A233="Bank",INDEX(Bank!$B:$B,$C233),INDEX(GL!$B:$B,$C233)))</f>
        <v/>
      </c>
      <c r="E233" s="5" t="str">
        <f aca="false">IF(C233=0,"",IF($A233="Bank",IF(INDEX(Bank!$C:$C,$C233)="","",INDEX(Bank!$C:$C,$C233)),IF(INDEX(GL!$C:$C,$C233)="","",INDEX(GL!$C:$C,$C233))))</f>
        <v/>
      </c>
      <c r="F233" s="5" t="str">
        <f aca="false">IF(C233=0,"",IF($A233="Bank",IF(INDEX(Bank!$D:$D,$C233)="","",INDEX(Bank!$D:$D,$C233)),IF(INDEX(GL!$D:$D,$C233)="","",INDEX(GL!$D:$D,$C233))))</f>
        <v/>
      </c>
      <c r="G233" s="19" t="str">
        <f aca="false">IF(C233=0,"",IF($A233="Bank",INDEX(Bank!$E:$E,$C233),INDEX(GL!$E:$E,$C233)))</f>
        <v/>
      </c>
      <c r="H233" s="5" t="str">
        <f aca="false">IF(C233=0,"",IF(A233="GL",IF(G233&gt;0,"Deposit in transit","Outstanding check / payment"),IF(G233&gt;0,"Bank credit not in GL","Bank debit not in GL")))</f>
        <v/>
      </c>
      <c r="I233" s="42" t="str">
        <f aca="false">IF(OR(C233=0,CFG_PeriodEnd=""),"",CFG_PeriodEnd-D233)</f>
        <v/>
      </c>
      <c r="J233" s="5" t="str">
        <f aca="false">IF(C233=0,"",IF($A233="Bank",IF(INDEX(Bank!$G:$G,$C233)="","",INDEX(Bank!$G:$G,$C233)),IF(INDEX(GL!$G:$G,$C233)="","",INDEX(GL!$G:$G,$C233))))</f>
        <v/>
      </c>
      <c r="K233" s="5" t="str">
        <f aca="false">IF(C233=0,"",IF($A233="Bank",IF(INDEX(Bank!$I:$I,$C233)="","",INDEX(Bank!$I:$I,$C233)),IF(INDEX(GL!$I:$I,$C233)="","",INDEX(GL!$I:$I,$C233))))</f>
        <v/>
      </c>
      <c r="L233" s="5" t="str">
        <f aca="false">IF(B233="","",IF(C233=0,"NOT FOUND",IF(IF($A233="Bank",INDEX(Bank!$F:$F,$C233),INDEX(GL!$F:$F,$C233))="Y","NOW RECONCILED: refresh","OK")))</f>
        <v/>
      </c>
    </row>
    <row r="234" customFormat="false" ht="15" hidden="false" customHeight="false" outlineLevel="0" collapsed="false">
      <c r="A234" s="41"/>
      <c r="B234" s="41"/>
      <c r="C234" s="5" t="n">
        <f aca="false">IF(B234="",0,IF(A234="Bank",IFERROR(MATCH(B234,Bank!$A:$A,0),0),IFERROR(MATCH(B234,GL!$A:$A,0),0)))</f>
        <v>0</v>
      </c>
      <c r="D234" s="32" t="str">
        <f aca="false">IF(C234=0,"",IF($A234="Bank",INDEX(Bank!$B:$B,$C234),INDEX(GL!$B:$B,$C234)))</f>
        <v/>
      </c>
      <c r="E234" s="5" t="str">
        <f aca="false">IF(C234=0,"",IF($A234="Bank",IF(INDEX(Bank!$C:$C,$C234)="","",INDEX(Bank!$C:$C,$C234)),IF(INDEX(GL!$C:$C,$C234)="","",INDEX(GL!$C:$C,$C234))))</f>
        <v/>
      </c>
      <c r="F234" s="5" t="str">
        <f aca="false">IF(C234=0,"",IF($A234="Bank",IF(INDEX(Bank!$D:$D,$C234)="","",INDEX(Bank!$D:$D,$C234)),IF(INDEX(GL!$D:$D,$C234)="","",INDEX(GL!$D:$D,$C234))))</f>
        <v/>
      </c>
      <c r="G234" s="19" t="str">
        <f aca="false">IF(C234=0,"",IF($A234="Bank",INDEX(Bank!$E:$E,$C234),INDEX(GL!$E:$E,$C234)))</f>
        <v/>
      </c>
      <c r="H234" s="5" t="str">
        <f aca="false">IF(C234=0,"",IF(A234="GL",IF(G234&gt;0,"Deposit in transit","Outstanding check / payment"),IF(G234&gt;0,"Bank credit not in GL","Bank debit not in GL")))</f>
        <v/>
      </c>
      <c r="I234" s="42" t="str">
        <f aca="false">IF(OR(C234=0,CFG_PeriodEnd=""),"",CFG_PeriodEnd-D234)</f>
        <v/>
      </c>
      <c r="J234" s="5" t="str">
        <f aca="false">IF(C234=0,"",IF($A234="Bank",IF(INDEX(Bank!$G:$G,$C234)="","",INDEX(Bank!$G:$G,$C234)),IF(INDEX(GL!$G:$G,$C234)="","",INDEX(GL!$G:$G,$C234))))</f>
        <v/>
      </c>
      <c r="K234" s="5" t="str">
        <f aca="false">IF(C234=0,"",IF($A234="Bank",IF(INDEX(Bank!$I:$I,$C234)="","",INDEX(Bank!$I:$I,$C234)),IF(INDEX(GL!$I:$I,$C234)="","",INDEX(GL!$I:$I,$C234))))</f>
        <v/>
      </c>
      <c r="L234" s="5" t="str">
        <f aca="false">IF(B234="","",IF(C234=0,"NOT FOUND",IF(IF($A234="Bank",INDEX(Bank!$F:$F,$C234),INDEX(GL!$F:$F,$C234))="Y","NOW RECONCILED: refresh","OK")))</f>
        <v/>
      </c>
    </row>
    <row r="235" customFormat="false" ht="15" hidden="false" customHeight="false" outlineLevel="0" collapsed="false">
      <c r="A235" s="41"/>
      <c r="B235" s="41"/>
      <c r="C235" s="5" t="n">
        <f aca="false">IF(B235="",0,IF(A235="Bank",IFERROR(MATCH(B235,Bank!$A:$A,0),0),IFERROR(MATCH(B235,GL!$A:$A,0),0)))</f>
        <v>0</v>
      </c>
      <c r="D235" s="32" t="str">
        <f aca="false">IF(C235=0,"",IF($A235="Bank",INDEX(Bank!$B:$B,$C235),INDEX(GL!$B:$B,$C235)))</f>
        <v/>
      </c>
      <c r="E235" s="5" t="str">
        <f aca="false">IF(C235=0,"",IF($A235="Bank",IF(INDEX(Bank!$C:$C,$C235)="","",INDEX(Bank!$C:$C,$C235)),IF(INDEX(GL!$C:$C,$C235)="","",INDEX(GL!$C:$C,$C235))))</f>
        <v/>
      </c>
      <c r="F235" s="5" t="str">
        <f aca="false">IF(C235=0,"",IF($A235="Bank",IF(INDEX(Bank!$D:$D,$C235)="","",INDEX(Bank!$D:$D,$C235)),IF(INDEX(GL!$D:$D,$C235)="","",INDEX(GL!$D:$D,$C235))))</f>
        <v/>
      </c>
      <c r="G235" s="19" t="str">
        <f aca="false">IF(C235=0,"",IF($A235="Bank",INDEX(Bank!$E:$E,$C235),INDEX(GL!$E:$E,$C235)))</f>
        <v/>
      </c>
      <c r="H235" s="5" t="str">
        <f aca="false">IF(C235=0,"",IF(A235="GL",IF(G235&gt;0,"Deposit in transit","Outstanding check / payment"),IF(G235&gt;0,"Bank credit not in GL","Bank debit not in GL")))</f>
        <v/>
      </c>
      <c r="I235" s="42" t="str">
        <f aca="false">IF(OR(C235=0,CFG_PeriodEnd=""),"",CFG_PeriodEnd-D235)</f>
        <v/>
      </c>
      <c r="J235" s="5" t="str">
        <f aca="false">IF(C235=0,"",IF($A235="Bank",IF(INDEX(Bank!$G:$G,$C235)="","",INDEX(Bank!$G:$G,$C235)),IF(INDEX(GL!$G:$G,$C235)="","",INDEX(GL!$G:$G,$C235))))</f>
        <v/>
      </c>
      <c r="K235" s="5" t="str">
        <f aca="false">IF(C235=0,"",IF($A235="Bank",IF(INDEX(Bank!$I:$I,$C235)="","",INDEX(Bank!$I:$I,$C235)),IF(INDEX(GL!$I:$I,$C235)="","",INDEX(GL!$I:$I,$C235))))</f>
        <v/>
      </c>
      <c r="L235" s="5" t="str">
        <f aca="false">IF(B235="","",IF(C235=0,"NOT FOUND",IF(IF($A235="Bank",INDEX(Bank!$F:$F,$C235),INDEX(GL!$F:$F,$C235))="Y","NOW RECONCILED: refresh","OK")))</f>
        <v/>
      </c>
    </row>
    <row r="236" customFormat="false" ht="15" hidden="false" customHeight="false" outlineLevel="0" collapsed="false">
      <c r="A236" s="41"/>
      <c r="B236" s="41"/>
      <c r="C236" s="5" t="n">
        <f aca="false">IF(B236="",0,IF(A236="Bank",IFERROR(MATCH(B236,Bank!$A:$A,0),0),IFERROR(MATCH(B236,GL!$A:$A,0),0)))</f>
        <v>0</v>
      </c>
      <c r="D236" s="32" t="str">
        <f aca="false">IF(C236=0,"",IF($A236="Bank",INDEX(Bank!$B:$B,$C236),INDEX(GL!$B:$B,$C236)))</f>
        <v/>
      </c>
      <c r="E236" s="5" t="str">
        <f aca="false">IF(C236=0,"",IF($A236="Bank",IF(INDEX(Bank!$C:$C,$C236)="","",INDEX(Bank!$C:$C,$C236)),IF(INDEX(GL!$C:$C,$C236)="","",INDEX(GL!$C:$C,$C236))))</f>
        <v/>
      </c>
      <c r="F236" s="5" t="str">
        <f aca="false">IF(C236=0,"",IF($A236="Bank",IF(INDEX(Bank!$D:$D,$C236)="","",INDEX(Bank!$D:$D,$C236)),IF(INDEX(GL!$D:$D,$C236)="","",INDEX(GL!$D:$D,$C236))))</f>
        <v/>
      </c>
      <c r="G236" s="19" t="str">
        <f aca="false">IF(C236=0,"",IF($A236="Bank",INDEX(Bank!$E:$E,$C236),INDEX(GL!$E:$E,$C236)))</f>
        <v/>
      </c>
      <c r="H236" s="5" t="str">
        <f aca="false">IF(C236=0,"",IF(A236="GL",IF(G236&gt;0,"Deposit in transit","Outstanding check / payment"),IF(G236&gt;0,"Bank credit not in GL","Bank debit not in GL")))</f>
        <v/>
      </c>
      <c r="I236" s="42" t="str">
        <f aca="false">IF(OR(C236=0,CFG_PeriodEnd=""),"",CFG_PeriodEnd-D236)</f>
        <v/>
      </c>
      <c r="J236" s="5" t="str">
        <f aca="false">IF(C236=0,"",IF($A236="Bank",IF(INDEX(Bank!$G:$G,$C236)="","",INDEX(Bank!$G:$G,$C236)),IF(INDEX(GL!$G:$G,$C236)="","",INDEX(GL!$G:$G,$C236))))</f>
        <v/>
      </c>
      <c r="K236" s="5" t="str">
        <f aca="false">IF(C236=0,"",IF($A236="Bank",IF(INDEX(Bank!$I:$I,$C236)="","",INDEX(Bank!$I:$I,$C236)),IF(INDEX(GL!$I:$I,$C236)="","",INDEX(GL!$I:$I,$C236))))</f>
        <v/>
      </c>
      <c r="L236" s="5" t="str">
        <f aca="false">IF(B236="","",IF(C236=0,"NOT FOUND",IF(IF($A236="Bank",INDEX(Bank!$F:$F,$C236),INDEX(GL!$F:$F,$C236))="Y","NOW RECONCILED: refresh","OK")))</f>
        <v/>
      </c>
    </row>
    <row r="237" customFormat="false" ht="15" hidden="false" customHeight="false" outlineLevel="0" collapsed="false">
      <c r="A237" s="41"/>
      <c r="B237" s="41"/>
      <c r="C237" s="5" t="n">
        <f aca="false">IF(B237="",0,IF(A237="Bank",IFERROR(MATCH(B237,Bank!$A:$A,0),0),IFERROR(MATCH(B237,GL!$A:$A,0),0)))</f>
        <v>0</v>
      </c>
      <c r="D237" s="32" t="str">
        <f aca="false">IF(C237=0,"",IF($A237="Bank",INDEX(Bank!$B:$B,$C237),INDEX(GL!$B:$B,$C237)))</f>
        <v/>
      </c>
      <c r="E237" s="5" t="str">
        <f aca="false">IF(C237=0,"",IF($A237="Bank",IF(INDEX(Bank!$C:$C,$C237)="","",INDEX(Bank!$C:$C,$C237)),IF(INDEX(GL!$C:$C,$C237)="","",INDEX(GL!$C:$C,$C237))))</f>
        <v/>
      </c>
      <c r="F237" s="5" t="str">
        <f aca="false">IF(C237=0,"",IF($A237="Bank",IF(INDEX(Bank!$D:$D,$C237)="","",INDEX(Bank!$D:$D,$C237)),IF(INDEX(GL!$D:$D,$C237)="","",INDEX(GL!$D:$D,$C237))))</f>
        <v/>
      </c>
      <c r="G237" s="19" t="str">
        <f aca="false">IF(C237=0,"",IF($A237="Bank",INDEX(Bank!$E:$E,$C237),INDEX(GL!$E:$E,$C237)))</f>
        <v/>
      </c>
      <c r="H237" s="5" t="str">
        <f aca="false">IF(C237=0,"",IF(A237="GL",IF(G237&gt;0,"Deposit in transit","Outstanding check / payment"),IF(G237&gt;0,"Bank credit not in GL","Bank debit not in GL")))</f>
        <v/>
      </c>
      <c r="I237" s="42" t="str">
        <f aca="false">IF(OR(C237=0,CFG_PeriodEnd=""),"",CFG_PeriodEnd-D237)</f>
        <v/>
      </c>
      <c r="J237" s="5" t="str">
        <f aca="false">IF(C237=0,"",IF($A237="Bank",IF(INDEX(Bank!$G:$G,$C237)="","",INDEX(Bank!$G:$G,$C237)),IF(INDEX(GL!$G:$G,$C237)="","",INDEX(GL!$G:$G,$C237))))</f>
        <v/>
      </c>
      <c r="K237" s="5" t="str">
        <f aca="false">IF(C237=0,"",IF($A237="Bank",IF(INDEX(Bank!$I:$I,$C237)="","",INDEX(Bank!$I:$I,$C237)),IF(INDEX(GL!$I:$I,$C237)="","",INDEX(GL!$I:$I,$C237))))</f>
        <v/>
      </c>
      <c r="L237" s="5" t="str">
        <f aca="false">IF(B237="","",IF(C237=0,"NOT FOUND",IF(IF($A237="Bank",INDEX(Bank!$F:$F,$C237),INDEX(GL!$F:$F,$C237))="Y","NOW RECONCILED: refresh","OK")))</f>
        <v/>
      </c>
    </row>
    <row r="238" customFormat="false" ht="15" hidden="false" customHeight="false" outlineLevel="0" collapsed="false">
      <c r="A238" s="41"/>
      <c r="B238" s="41"/>
      <c r="C238" s="5" t="n">
        <f aca="false">IF(B238="",0,IF(A238="Bank",IFERROR(MATCH(B238,Bank!$A:$A,0),0),IFERROR(MATCH(B238,GL!$A:$A,0),0)))</f>
        <v>0</v>
      </c>
      <c r="D238" s="32" t="str">
        <f aca="false">IF(C238=0,"",IF($A238="Bank",INDEX(Bank!$B:$B,$C238),INDEX(GL!$B:$B,$C238)))</f>
        <v/>
      </c>
      <c r="E238" s="5" t="str">
        <f aca="false">IF(C238=0,"",IF($A238="Bank",IF(INDEX(Bank!$C:$C,$C238)="","",INDEX(Bank!$C:$C,$C238)),IF(INDEX(GL!$C:$C,$C238)="","",INDEX(GL!$C:$C,$C238))))</f>
        <v/>
      </c>
      <c r="F238" s="5" t="str">
        <f aca="false">IF(C238=0,"",IF($A238="Bank",IF(INDEX(Bank!$D:$D,$C238)="","",INDEX(Bank!$D:$D,$C238)),IF(INDEX(GL!$D:$D,$C238)="","",INDEX(GL!$D:$D,$C238))))</f>
        <v/>
      </c>
      <c r="G238" s="19" t="str">
        <f aca="false">IF(C238=0,"",IF($A238="Bank",INDEX(Bank!$E:$E,$C238),INDEX(GL!$E:$E,$C238)))</f>
        <v/>
      </c>
      <c r="H238" s="5" t="str">
        <f aca="false">IF(C238=0,"",IF(A238="GL",IF(G238&gt;0,"Deposit in transit","Outstanding check / payment"),IF(G238&gt;0,"Bank credit not in GL","Bank debit not in GL")))</f>
        <v/>
      </c>
      <c r="I238" s="42" t="str">
        <f aca="false">IF(OR(C238=0,CFG_PeriodEnd=""),"",CFG_PeriodEnd-D238)</f>
        <v/>
      </c>
      <c r="J238" s="5" t="str">
        <f aca="false">IF(C238=0,"",IF($A238="Bank",IF(INDEX(Bank!$G:$G,$C238)="","",INDEX(Bank!$G:$G,$C238)),IF(INDEX(GL!$G:$G,$C238)="","",INDEX(GL!$G:$G,$C238))))</f>
        <v/>
      </c>
      <c r="K238" s="5" t="str">
        <f aca="false">IF(C238=0,"",IF($A238="Bank",IF(INDEX(Bank!$I:$I,$C238)="","",INDEX(Bank!$I:$I,$C238)),IF(INDEX(GL!$I:$I,$C238)="","",INDEX(GL!$I:$I,$C238))))</f>
        <v/>
      </c>
      <c r="L238" s="5" t="str">
        <f aca="false">IF(B238="","",IF(C238=0,"NOT FOUND",IF(IF($A238="Bank",INDEX(Bank!$F:$F,$C238),INDEX(GL!$F:$F,$C238))="Y","NOW RECONCILED: refresh","OK")))</f>
        <v/>
      </c>
    </row>
    <row r="239" customFormat="false" ht="15" hidden="false" customHeight="false" outlineLevel="0" collapsed="false">
      <c r="A239" s="41"/>
      <c r="B239" s="41"/>
      <c r="C239" s="5" t="n">
        <f aca="false">IF(B239="",0,IF(A239="Bank",IFERROR(MATCH(B239,Bank!$A:$A,0),0),IFERROR(MATCH(B239,GL!$A:$A,0),0)))</f>
        <v>0</v>
      </c>
      <c r="D239" s="32" t="str">
        <f aca="false">IF(C239=0,"",IF($A239="Bank",INDEX(Bank!$B:$B,$C239),INDEX(GL!$B:$B,$C239)))</f>
        <v/>
      </c>
      <c r="E239" s="5" t="str">
        <f aca="false">IF(C239=0,"",IF($A239="Bank",IF(INDEX(Bank!$C:$C,$C239)="","",INDEX(Bank!$C:$C,$C239)),IF(INDEX(GL!$C:$C,$C239)="","",INDEX(GL!$C:$C,$C239))))</f>
        <v/>
      </c>
      <c r="F239" s="5" t="str">
        <f aca="false">IF(C239=0,"",IF($A239="Bank",IF(INDEX(Bank!$D:$D,$C239)="","",INDEX(Bank!$D:$D,$C239)),IF(INDEX(GL!$D:$D,$C239)="","",INDEX(GL!$D:$D,$C239))))</f>
        <v/>
      </c>
      <c r="G239" s="19" t="str">
        <f aca="false">IF(C239=0,"",IF($A239="Bank",INDEX(Bank!$E:$E,$C239),INDEX(GL!$E:$E,$C239)))</f>
        <v/>
      </c>
      <c r="H239" s="5" t="str">
        <f aca="false">IF(C239=0,"",IF(A239="GL",IF(G239&gt;0,"Deposit in transit","Outstanding check / payment"),IF(G239&gt;0,"Bank credit not in GL","Bank debit not in GL")))</f>
        <v/>
      </c>
      <c r="I239" s="42" t="str">
        <f aca="false">IF(OR(C239=0,CFG_PeriodEnd=""),"",CFG_PeriodEnd-D239)</f>
        <v/>
      </c>
      <c r="J239" s="5" t="str">
        <f aca="false">IF(C239=0,"",IF($A239="Bank",IF(INDEX(Bank!$G:$G,$C239)="","",INDEX(Bank!$G:$G,$C239)),IF(INDEX(GL!$G:$G,$C239)="","",INDEX(GL!$G:$G,$C239))))</f>
        <v/>
      </c>
      <c r="K239" s="5" t="str">
        <f aca="false">IF(C239=0,"",IF($A239="Bank",IF(INDEX(Bank!$I:$I,$C239)="","",INDEX(Bank!$I:$I,$C239)),IF(INDEX(GL!$I:$I,$C239)="","",INDEX(GL!$I:$I,$C239))))</f>
        <v/>
      </c>
      <c r="L239" s="5" t="str">
        <f aca="false">IF(B239="","",IF(C239=0,"NOT FOUND",IF(IF($A239="Bank",INDEX(Bank!$F:$F,$C239),INDEX(GL!$F:$F,$C239))="Y","NOW RECONCILED: refresh","OK")))</f>
        <v/>
      </c>
    </row>
    <row r="240" customFormat="false" ht="15" hidden="false" customHeight="false" outlineLevel="0" collapsed="false">
      <c r="A240" s="41"/>
      <c r="B240" s="41"/>
      <c r="C240" s="5" t="n">
        <f aca="false">IF(B240="",0,IF(A240="Bank",IFERROR(MATCH(B240,Bank!$A:$A,0),0),IFERROR(MATCH(B240,GL!$A:$A,0),0)))</f>
        <v>0</v>
      </c>
      <c r="D240" s="32" t="str">
        <f aca="false">IF(C240=0,"",IF($A240="Bank",INDEX(Bank!$B:$B,$C240),INDEX(GL!$B:$B,$C240)))</f>
        <v/>
      </c>
      <c r="E240" s="5" t="str">
        <f aca="false">IF(C240=0,"",IF($A240="Bank",IF(INDEX(Bank!$C:$C,$C240)="","",INDEX(Bank!$C:$C,$C240)),IF(INDEX(GL!$C:$C,$C240)="","",INDEX(GL!$C:$C,$C240))))</f>
        <v/>
      </c>
      <c r="F240" s="5" t="str">
        <f aca="false">IF(C240=0,"",IF($A240="Bank",IF(INDEX(Bank!$D:$D,$C240)="","",INDEX(Bank!$D:$D,$C240)),IF(INDEX(GL!$D:$D,$C240)="","",INDEX(GL!$D:$D,$C240))))</f>
        <v/>
      </c>
      <c r="G240" s="19" t="str">
        <f aca="false">IF(C240=0,"",IF($A240="Bank",INDEX(Bank!$E:$E,$C240),INDEX(GL!$E:$E,$C240)))</f>
        <v/>
      </c>
      <c r="H240" s="5" t="str">
        <f aca="false">IF(C240=0,"",IF(A240="GL",IF(G240&gt;0,"Deposit in transit","Outstanding check / payment"),IF(G240&gt;0,"Bank credit not in GL","Bank debit not in GL")))</f>
        <v/>
      </c>
      <c r="I240" s="42" t="str">
        <f aca="false">IF(OR(C240=0,CFG_PeriodEnd=""),"",CFG_PeriodEnd-D240)</f>
        <v/>
      </c>
      <c r="J240" s="5" t="str">
        <f aca="false">IF(C240=0,"",IF($A240="Bank",IF(INDEX(Bank!$G:$G,$C240)="","",INDEX(Bank!$G:$G,$C240)),IF(INDEX(GL!$G:$G,$C240)="","",INDEX(GL!$G:$G,$C240))))</f>
        <v/>
      </c>
      <c r="K240" s="5" t="str">
        <f aca="false">IF(C240=0,"",IF($A240="Bank",IF(INDEX(Bank!$I:$I,$C240)="","",INDEX(Bank!$I:$I,$C240)),IF(INDEX(GL!$I:$I,$C240)="","",INDEX(GL!$I:$I,$C240))))</f>
        <v/>
      </c>
      <c r="L240" s="5" t="str">
        <f aca="false">IF(B240="","",IF(C240=0,"NOT FOUND",IF(IF($A240="Bank",INDEX(Bank!$F:$F,$C240),INDEX(GL!$F:$F,$C240))="Y","NOW RECONCILED: refresh","OK")))</f>
        <v/>
      </c>
    </row>
    <row r="241" customFormat="false" ht="15" hidden="false" customHeight="false" outlineLevel="0" collapsed="false">
      <c r="A241" s="41"/>
      <c r="B241" s="41"/>
      <c r="C241" s="5" t="n">
        <f aca="false">IF(B241="",0,IF(A241="Bank",IFERROR(MATCH(B241,Bank!$A:$A,0),0),IFERROR(MATCH(B241,GL!$A:$A,0),0)))</f>
        <v>0</v>
      </c>
      <c r="D241" s="32" t="str">
        <f aca="false">IF(C241=0,"",IF($A241="Bank",INDEX(Bank!$B:$B,$C241),INDEX(GL!$B:$B,$C241)))</f>
        <v/>
      </c>
      <c r="E241" s="5" t="str">
        <f aca="false">IF(C241=0,"",IF($A241="Bank",IF(INDEX(Bank!$C:$C,$C241)="","",INDEX(Bank!$C:$C,$C241)),IF(INDEX(GL!$C:$C,$C241)="","",INDEX(GL!$C:$C,$C241))))</f>
        <v/>
      </c>
      <c r="F241" s="5" t="str">
        <f aca="false">IF(C241=0,"",IF($A241="Bank",IF(INDEX(Bank!$D:$D,$C241)="","",INDEX(Bank!$D:$D,$C241)),IF(INDEX(GL!$D:$D,$C241)="","",INDEX(GL!$D:$D,$C241))))</f>
        <v/>
      </c>
      <c r="G241" s="19" t="str">
        <f aca="false">IF(C241=0,"",IF($A241="Bank",INDEX(Bank!$E:$E,$C241),INDEX(GL!$E:$E,$C241)))</f>
        <v/>
      </c>
      <c r="H241" s="5" t="str">
        <f aca="false">IF(C241=0,"",IF(A241="GL",IF(G241&gt;0,"Deposit in transit","Outstanding check / payment"),IF(G241&gt;0,"Bank credit not in GL","Bank debit not in GL")))</f>
        <v/>
      </c>
      <c r="I241" s="42" t="str">
        <f aca="false">IF(OR(C241=0,CFG_PeriodEnd=""),"",CFG_PeriodEnd-D241)</f>
        <v/>
      </c>
      <c r="J241" s="5" t="str">
        <f aca="false">IF(C241=0,"",IF($A241="Bank",IF(INDEX(Bank!$G:$G,$C241)="","",INDEX(Bank!$G:$G,$C241)),IF(INDEX(GL!$G:$G,$C241)="","",INDEX(GL!$G:$G,$C241))))</f>
        <v/>
      </c>
      <c r="K241" s="5" t="str">
        <f aca="false">IF(C241=0,"",IF($A241="Bank",IF(INDEX(Bank!$I:$I,$C241)="","",INDEX(Bank!$I:$I,$C241)),IF(INDEX(GL!$I:$I,$C241)="","",INDEX(GL!$I:$I,$C241))))</f>
        <v/>
      </c>
      <c r="L241" s="5" t="str">
        <f aca="false">IF(B241="","",IF(C241=0,"NOT FOUND",IF(IF($A241="Bank",INDEX(Bank!$F:$F,$C241),INDEX(GL!$F:$F,$C241))="Y","NOW RECONCILED: refresh","OK")))</f>
        <v/>
      </c>
    </row>
    <row r="242" customFormat="false" ht="15" hidden="false" customHeight="false" outlineLevel="0" collapsed="false">
      <c r="A242" s="41"/>
      <c r="B242" s="41"/>
      <c r="C242" s="5" t="n">
        <f aca="false">IF(B242="",0,IF(A242="Bank",IFERROR(MATCH(B242,Bank!$A:$A,0),0),IFERROR(MATCH(B242,GL!$A:$A,0),0)))</f>
        <v>0</v>
      </c>
      <c r="D242" s="32" t="str">
        <f aca="false">IF(C242=0,"",IF($A242="Bank",INDEX(Bank!$B:$B,$C242),INDEX(GL!$B:$B,$C242)))</f>
        <v/>
      </c>
      <c r="E242" s="5" t="str">
        <f aca="false">IF(C242=0,"",IF($A242="Bank",IF(INDEX(Bank!$C:$C,$C242)="","",INDEX(Bank!$C:$C,$C242)),IF(INDEX(GL!$C:$C,$C242)="","",INDEX(GL!$C:$C,$C242))))</f>
        <v/>
      </c>
      <c r="F242" s="5" t="str">
        <f aca="false">IF(C242=0,"",IF($A242="Bank",IF(INDEX(Bank!$D:$D,$C242)="","",INDEX(Bank!$D:$D,$C242)),IF(INDEX(GL!$D:$D,$C242)="","",INDEX(GL!$D:$D,$C242))))</f>
        <v/>
      </c>
      <c r="G242" s="19" t="str">
        <f aca="false">IF(C242=0,"",IF($A242="Bank",INDEX(Bank!$E:$E,$C242),INDEX(GL!$E:$E,$C242)))</f>
        <v/>
      </c>
      <c r="H242" s="5" t="str">
        <f aca="false">IF(C242=0,"",IF(A242="GL",IF(G242&gt;0,"Deposit in transit","Outstanding check / payment"),IF(G242&gt;0,"Bank credit not in GL","Bank debit not in GL")))</f>
        <v/>
      </c>
      <c r="I242" s="42" t="str">
        <f aca="false">IF(OR(C242=0,CFG_PeriodEnd=""),"",CFG_PeriodEnd-D242)</f>
        <v/>
      </c>
      <c r="J242" s="5" t="str">
        <f aca="false">IF(C242=0,"",IF($A242="Bank",IF(INDEX(Bank!$G:$G,$C242)="","",INDEX(Bank!$G:$G,$C242)),IF(INDEX(GL!$G:$G,$C242)="","",INDEX(GL!$G:$G,$C242))))</f>
        <v/>
      </c>
      <c r="K242" s="5" t="str">
        <f aca="false">IF(C242=0,"",IF($A242="Bank",IF(INDEX(Bank!$I:$I,$C242)="","",INDEX(Bank!$I:$I,$C242)),IF(INDEX(GL!$I:$I,$C242)="","",INDEX(GL!$I:$I,$C242))))</f>
        <v/>
      </c>
      <c r="L242" s="5" t="str">
        <f aca="false">IF(B242="","",IF(C242=0,"NOT FOUND",IF(IF($A242="Bank",INDEX(Bank!$F:$F,$C242),INDEX(GL!$F:$F,$C242))="Y","NOW RECONCILED: refresh","OK")))</f>
        <v/>
      </c>
    </row>
    <row r="243" customFormat="false" ht="15" hidden="false" customHeight="false" outlineLevel="0" collapsed="false">
      <c r="A243" s="41"/>
      <c r="B243" s="41"/>
      <c r="C243" s="5" t="n">
        <f aca="false">IF(B243="",0,IF(A243="Bank",IFERROR(MATCH(B243,Bank!$A:$A,0),0),IFERROR(MATCH(B243,GL!$A:$A,0),0)))</f>
        <v>0</v>
      </c>
      <c r="D243" s="32" t="str">
        <f aca="false">IF(C243=0,"",IF($A243="Bank",INDEX(Bank!$B:$B,$C243),INDEX(GL!$B:$B,$C243)))</f>
        <v/>
      </c>
      <c r="E243" s="5" t="str">
        <f aca="false">IF(C243=0,"",IF($A243="Bank",IF(INDEX(Bank!$C:$C,$C243)="","",INDEX(Bank!$C:$C,$C243)),IF(INDEX(GL!$C:$C,$C243)="","",INDEX(GL!$C:$C,$C243))))</f>
        <v/>
      </c>
      <c r="F243" s="5" t="str">
        <f aca="false">IF(C243=0,"",IF($A243="Bank",IF(INDEX(Bank!$D:$D,$C243)="","",INDEX(Bank!$D:$D,$C243)),IF(INDEX(GL!$D:$D,$C243)="","",INDEX(GL!$D:$D,$C243))))</f>
        <v/>
      </c>
      <c r="G243" s="19" t="str">
        <f aca="false">IF(C243=0,"",IF($A243="Bank",INDEX(Bank!$E:$E,$C243),INDEX(GL!$E:$E,$C243)))</f>
        <v/>
      </c>
      <c r="H243" s="5" t="str">
        <f aca="false">IF(C243=0,"",IF(A243="GL",IF(G243&gt;0,"Deposit in transit","Outstanding check / payment"),IF(G243&gt;0,"Bank credit not in GL","Bank debit not in GL")))</f>
        <v/>
      </c>
      <c r="I243" s="42" t="str">
        <f aca="false">IF(OR(C243=0,CFG_PeriodEnd=""),"",CFG_PeriodEnd-D243)</f>
        <v/>
      </c>
      <c r="J243" s="5" t="str">
        <f aca="false">IF(C243=0,"",IF($A243="Bank",IF(INDEX(Bank!$G:$G,$C243)="","",INDEX(Bank!$G:$G,$C243)),IF(INDEX(GL!$G:$G,$C243)="","",INDEX(GL!$G:$G,$C243))))</f>
        <v/>
      </c>
      <c r="K243" s="5" t="str">
        <f aca="false">IF(C243=0,"",IF($A243="Bank",IF(INDEX(Bank!$I:$I,$C243)="","",INDEX(Bank!$I:$I,$C243)),IF(INDEX(GL!$I:$I,$C243)="","",INDEX(GL!$I:$I,$C243))))</f>
        <v/>
      </c>
      <c r="L243" s="5" t="str">
        <f aca="false">IF(B243="","",IF(C243=0,"NOT FOUND",IF(IF($A243="Bank",INDEX(Bank!$F:$F,$C243),INDEX(GL!$F:$F,$C243))="Y","NOW RECONCILED: refresh","OK")))</f>
        <v/>
      </c>
    </row>
    <row r="244" customFormat="false" ht="15" hidden="false" customHeight="false" outlineLevel="0" collapsed="false">
      <c r="A244" s="41"/>
      <c r="B244" s="41"/>
      <c r="C244" s="5" t="n">
        <f aca="false">IF(B244="",0,IF(A244="Bank",IFERROR(MATCH(B244,Bank!$A:$A,0),0),IFERROR(MATCH(B244,GL!$A:$A,0),0)))</f>
        <v>0</v>
      </c>
      <c r="D244" s="32" t="str">
        <f aca="false">IF(C244=0,"",IF($A244="Bank",INDEX(Bank!$B:$B,$C244),INDEX(GL!$B:$B,$C244)))</f>
        <v/>
      </c>
      <c r="E244" s="5" t="str">
        <f aca="false">IF(C244=0,"",IF($A244="Bank",IF(INDEX(Bank!$C:$C,$C244)="","",INDEX(Bank!$C:$C,$C244)),IF(INDEX(GL!$C:$C,$C244)="","",INDEX(GL!$C:$C,$C244))))</f>
        <v/>
      </c>
      <c r="F244" s="5" t="str">
        <f aca="false">IF(C244=0,"",IF($A244="Bank",IF(INDEX(Bank!$D:$D,$C244)="","",INDEX(Bank!$D:$D,$C244)),IF(INDEX(GL!$D:$D,$C244)="","",INDEX(GL!$D:$D,$C244))))</f>
        <v/>
      </c>
      <c r="G244" s="19" t="str">
        <f aca="false">IF(C244=0,"",IF($A244="Bank",INDEX(Bank!$E:$E,$C244),INDEX(GL!$E:$E,$C244)))</f>
        <v/>
      </c>
      <c r="H244" s="5" t="str">
        <f aca="false">IF(C244=0,"",IF(A244="GL",IF(G244&gt;0,"Deposit in transit","Outstanding check / payment"),IF(G244&gt;0,"Bank credit not in GL","Bank debit not in GL")))</f>
        <v/>
      </c>
      <c r="I244" s="42" t="str">
        <f aca="false">IF(OR(C244=0,CFG_PeriodEnd=""),"",CFG_PeriodEnd-D244)</f>
        <v/>
      </c>
      <c r="J244" s="5" t="str">
        <f aca="false">IF(C244=0,"",IF($A244="Bank",IF(INDEX(Bank!$G:$G,$C244)="","",INDEX(Bank!$G:$G,$C244)),IF(INDEX(GL!$G:$G,$C244)="","",INDEX(GL!$G:$G,$C244))))</f>
        <v/>
      </c>
      <c r="K244" s="5" t="str">
        <f aca="false">IF(C244=0,"",IF($A244="Bank",IF(INDEX(Bank!$I:$I,$C244)="","",INDEX(Bank!$I:$I,$C244)),IF(INDEX(GL!$I:$I,$C244)="","",INDEX(GL!$I:$I,$C244))))</f>
        <v/>
      </c>
      <c r="L244" s="5" t="str">
        <f aca="false">IF(B244="","",IF(C244=0,"NOT FOUND",IF(IF($A244="Bank",INDEX(Bank!$F:$F,$C244),INDEX(GL!$F:$F,$C244))="Y","NOW RECONCILED: refresh","OK")))</f>
        <v/>
      </c>
    </row>
    <row r="245" customFormat="false" ht="15" hidden="false" customHeight="false" outlineLevel="0" collapsed="false">
      <c r="A245" s="41"/>
      <c r="B245" s="41"/>
      <c r="C245" s="5" t="n">
        <f aca="false">IF(B245="",0,IF(A245="Bank",IFERROR(MATCH(B245,Bank!$A:$A,0),0),IFERROR(MATCH(B245,GL!$A:$A,0),0)))</f>
        <v>0</v>
      </c>
      <c r="D245" s="32" t="str">
        <f aca="false">IF(C245=0,"",IF($A245="Bank",INDEX(Bank!$B:$B,$C245),INDEX(GL!$B:$B,$C245)))</f>
        <v/>
      </c>
      <c r="E245" s="5" t="str">
        <f aca="false">IF(C245=0,"",IF($A245="Bank",IF(INDEX(Bank!$C:$C,$C245)="","",INDEX(Bank!$C:$C,$C245)),IF(INDEX(GL!$C:$C,$C245)="","",INDEX(GL!$C:$C,$C245))))</f>
        <v/>
      </c>
      <c r="F245" s="5" t="str">
        <f aca="false">IF(C245=0,"",IF($A245="Bank",IF(INDEX(Bank!$D:$D,$C245)="","",INDEX(Bank!$D:$D,$C245)),IF(INDEX(GL!$D:$D,$C245)="","",INDEX(GL!$D:$D,$C245))))</f>
        <v/>
      </c>
      <c r="G245" s="19" t="str">
        <f aca="false">IF(C245=0,"",IF($A245="Bank",INDEX(Bank!$E:$E,$C245),INDEX(GL!$E:$E,$C245)))</f>
        <v/>
      </c>
      <c r="H245" s="5" t="str">
        <f aca="false">IF(C245=0,"",IF(A245="GL",IF(G245&gt;0,"Deposit in transit","Outstanding check / payment"),IF(G245&gt;0,"Bank credit not in GL","Bank debit not in GL")))</f>
        <v/>
      </c>
      <c r="I245" s="42" t="str">
        <f aca="false">IF(OR(C245=0,CFG_PeriodEnd=""),"",CFG_PeriodEnd-D245)</f>
        <v/>
      </c>
      <c r="J245" s="5" t="str">
        <f aca="false">IF(C245=0,"",IF($A245="Bank",IF(INDEX(Bank!$G:$G,$C245)="","",INDEX(Bank!$G:$G,$C245)),IF(INDEX(GL!$G:$G,$C245)="","",INDEX(GL!$G:$G,$C245))))</f>
        <v/>
      </c>
      <c r="K245" s="5" t="str">
        <f aca="false">IF(C245=0,"",IF($A245="Bank",IF(INDEX(Bank!$I:$I,$C245)="","",INDEX(Bank!$I:$I,$C245)),IF(INDEX(GL!$I:$I,$C245)="","",INDEX(GL!$I:$I,$C245))))</f>
        <v/>
      </c>
      <c r="L245" s="5" t="str">
        <f aca="false">IF(B245="","",IF(C245=0,"NOT FOUND",IF(IF($A245="Bank",INDEX(Bank!$F:$F,$C245),INDEX(GL!$F:$F,$C245))="Y","NOW RECONCILED: refresh","OK")))</f>
        <v/>
      </c>
    </row>
    <row r="246" customFormat="false" ht="15" hidden="false" customHeight="false" outlineLevel="0" collapsed="false">
      <c r="A246" s="41"/>
      <c r="B246" s="41"/>
      <c r="C246" s="5" t="n">
        <f aca="false">IF(B246="",0,IF(A246="Bank",IFERROR(MATCH(B246,Bank!$A:$A,0),0),IFERROR(MATCH(B246,GL!$A:$A,0),0)))</f>
        <v>0</v>
      </c>
      <c r="D246" s="32" t="str">
        <f aca="false">IF(C246=0,"",IF($A246="Bank",INDEX(Bank!$B:$B,$C246),INDEX(GL!$B:$B,$C246)))</f>
        <v/>
      </c>
      <c r="E246" s="5" t="str">
        <f aca="false">IF(C246=0,"",IF($A246="Bank",IF(INDEX(Bank!$C:$C,$C246)="","",INDEX(Bank!$C:$C,$C246)),IF(INDEX(GL!$C:$C,$C246)="","",INDEX(GL!$C:$C,$C246))))</f>
        <v/>
      </c>
      <c r="F246" s="5" t="str">
        <f aca="false">IF(C246=0,"",IF($A246="Bank",IF(INDEX(Bank!$D:$D,$C246)="","",INDEX(Bank!$D:$D,$C246)),IF(INDEX(GL!$D:$D,$C246)="","",INDEX(GL!$D:$D,$C246))))</f>
        <v/>
      </c>
      <c r="G246" s="19" t="str">
        <f aca="false">IF(C246=0,"",IF($A246="Bank",INDEX(Bank!$E:$E,$C246),INDEX(GL!$E:$E,$C246)))</f>
        <v/>
      </c>
      <c r="H246" s="5" t="str">
        <f aca="false">IF(C246=0,"",IF(A246="GL",IF(G246&gt;0,"Deposit in transit","Outstanding check / payment"),IF(G246&gt;0,"Bank credit not in GL","Bank debit not in GL")))</f>
        <v/>
      </c>
      <c r="I246" s="42" t="str">
        <f aca="false">IF(OR(C246=0,CFG_PeriodEnd=""),"",CFG_PeriodEnd-D246)</f>
        <v/>
      </c>
      <c r="J246" s="5" t="str">
        <f aca="false">IF(C246=0,"",IF($A246="Bank",IF(INDEX(Bank!$G:$G,$C246)="","",INDEX(Bank!$G:$G,$C246)),IF(INDEX(GL!$G:$G,$C246)="","",INDEX(GL!$G:$G,$C246))))</f>
        <v/>
      </c>
      <c r="K246" s="5" t="str">
        <f aca="false">IF(C246=0,"",IF($A246="Bank",IF(INDEX(Bank!$I:$I,$C246)="","",INDEX(Bank!$I:$I,$C246)),IF(INDEX(GL!$I:$I,$C246)="","",INDEX(GL!$I:$I,$C246))))</f>
        <v/>
      </c>
      <c r="L246" s="5" t="str">
        <f aca="false">IF(B246="","",IF(C246=0,"NOT FOUND",IF(IF($A246="Bank",INDEX(Bank!$F:$F,$C246),INDEX(GL!$F:$F,$C246))="Y","NOW RECONCILED: refresh","OK")))</f>
        <v/>
      </c>
    </row>
    <row r="247" customFormat="false" ht="15" hidden="false" customHeight="false" outlineLevel="0" collapsed="false">
      <c r="A247" s="41"/>
      <c r="B247" s="41"/>
      <c r="C247" s="5" t="n">
        <f aca="false">IF(B247="",0,IF(A247="Bank",IFERROR(MATCH(B247,Bank!$A:$A,0),0),IFERROR(MATCH(B247,GL!$A:$A,0),0)))</f>
        <v>0</v>
      </c>
      <c r="D247" s="32" t="str">
        <f aca="false">IF(C247=0,"",IF($A247="Bank",INDEX(Bank!$B:$B,$C247),INDEX(GL!$B:$B,$C247)))</f>
        <v/>
      </c>
      <c r="E247" s="5" t="str">
        <f aca="false">IF(C247=0,"",IF($A247="Bank",IF(INDEX(Bank!$C:$C,$C247)="","",INDEX(Bank!$C:$C,$C247)),IF(INDEX(GL!$C:$C,$C247)="","",INDEX(GL!$C:$C,$C247))))</f>
        <v/>
      </c>
      <c r="F247" s="5" t="str">
        <f aca="false">IF(C247=0,"",IF($A247="Bank",IF(INDEX(Bank!$D:$D,$C247)="","",INDEX(Bank!$D:$D,$C247)),IF(INDEX(GL!$D:$D,$C247)="","",INDEX(GL!$D:$D,$C247))))</f>
        <v/>
      </c>
      <c r="G247" s="19" t="str">
        <f aca="false">IF(C247=0,"",IF($A247="Bank",INDEX(Bank!$E:$E,$C247),INDEX(GL!$E:$E,$C247)))</f>
        <v/>
      </c>
      <c r="H247" s="5" t="str">
        <f aca="false">IF(C247=0,"",IF(A247="GL",IF(G247&gt;0,"Deposit in transit","Outstanding check / payment"),IF(G247&gt;0,"Bank credit not in GL","Bank debit not in GL")))</f>
        <v/>
      </c>
      <c r="I247" s="42" t="str">
        <f aca="false">IF(OR(C247=0,CFG_PeriodEnd=""),"",CFG_PeriodEnd-D247)</f>
        <v/>
      </c>
      <c r="J247" s="5" t="str">
        <f aca="false">IF(C247=0,"",IF($A247="Bank",IF(INDEX(Bank!$G:$G,$C247)="","",INDEX(Bank!$G:$G,$C247)),IF(INDEX(GL!$G:$G,$C247)="","",INDEX(GL!$G:$G,$C247))))</f>
        <v/>
      </c>
      <c r="K247" s="5" t="str">
        <f aca="false">IF(C247=0,"",IF($A247="Bank",IF(INDEX(Bank!$I:$I,$C247)="","",INDEX(Bank!$I:$I,$C247)),IF(INDEX(GL!$I:$I,$C247)="","",INDEX(GL!$I:$I,$C247))))</f>
        <v/>
      </c>
      <c r="L247" s="5" t="str">
        <f aca="false">IF(B247="","",IF(C247=0,"NOT FOUND",IF(IF($A247="Bank",INDEX(Bank!$F:$F,$C247),INDEX(GL!$F:$F,$C247))="Y","NOW RECONCILED: refresh","OK")))</f>
        <v/>
      </c>
    </row>
    <row r="248" customFormat="false" ht="15" hidden="false" customHeight="false" outlineLevel="0" collapsed="false">
      <c r="A248" s="41"/>
      <c r="B248" s="41"/>
      <c r="C248" s="5" t="n">
        <f aca="false">IF(B248="",0,IF(A248="Bank",IFERROR(MATCH(B248,Bank!$A:$A,0),0),IFERROR(MATCH(B248,GL!$A:$A,0),0)))</f>
        <v>0</v>
      </c>
      <c r="D248" s="32" t="str">
        <f aca="false">IF(C248=0,"",IF($A248="Bank",INDEX(Bank!$B:$B,$C248),INDEX(GL!$B:$B,$C248)))</f>
        <v/>
      </c>
      <c r="E248" s="5" t="str">
        <f aca="false">IF(C248=0,"",IF($A248="Bank",IF(INDEX(Bank!$C:$C,$C248)="","",INDEX(Bank!$C:$C,$C248)),IF(INDEX(GL!$C:$C,$C248)="","",INDEX(GL!$C:$C,$C248))))</f>
        <v/>
      </c>
      <c r="F248" s="5" t="str">
        <f aca="false">IF(C248=0,"",IF($A248="Bank",IF(INDEX(Bank!$D:$D,$C248)="","",INDEX(Bank!$D:$D,$C248)),IF(INDEX(GL!$D:$D,$C248)="","",INDEX(GL!$D:$D,$C248))))</f>
        <v/>
      </c>
      <c r="G248" s="19" t="str">
        <f aca="false">IF(C248=0,"",IF($A248="Bank",INDEX(Bank!$E:$E,$C248),INDEX(GL!$E:$E,$C248)))</f>
        <v/>
      </c>
      <c r="H248" s="5" t="str">
        <f aca="false">IF(C248=0,"",IF(A248="GL",IF(G248&gt;0,"Deposit in transit","Outstanding check / payment"),IF(G248&gt;0,"Bank credit not in GL","Bank debit not in GL")))</f>
        <v/>
      </c>
      <c r="I248" s="42" t="str">
        <f aca="false">IF(OR(C248=0,CFG_PeriodEnd=""),"",CFG_PeriodEnd-D248)</f>
        <v/>
      </c>
      <c r="J248" s="5" t="str">
        <f aca="false">IF(C248=0,"",IF($A248="Bank",IF(INDEX(Bank!$G:$G,$C248)="","",INDEX(Bank!$G:$G,$C248)),IF(INDEX(GL!$G:$G,$C248)="","",INDEX(GL!$G:$G,$C248))))</f>
        <v/>
      </c>
      <c r="K248" s="5" t="str">
        <f aca="false">IF(C248=0,"",IF($A248="Bank",IF(INDEX(Bank!$I:$I,$C248)="","",INDEX(Bank!$I:$I,$C248)),IF(INDEX(GL!$I:$I,$C248)="","",INDEX(GL!$I:$I,$C248))))</f>
        <v/>
      </c>
      <c r="L248" s="5" t="str">
        <f aca="false">IF(B248="","",IF(C248=0,"NOT FOUND",IF(IF($A248="Bank",INDEX(Bank!$F:$F,$C248),INDEX(GL!$F:$F,$C248))="Y","NOW RECONCILED: refresh","OK")))</f>
        <v/>
      </c>
    </row>
    <row r="249" customFormat="false" ht="15" hidden="false" customHeight="false" outlineLevel="0" collapsed="false">
      <c r="A249" s="41"/>
      <c r="B249" s="41"/>
      <c r="C249" s="5" t="n">
        <f aca="false">IF(B249="",0,IF(A249="Bank",IFERROR(MATCH(B249,Bank!$A:$A,0),0),IFERROR(MATCH(B249,GL!$A:$A,0),0)))</f>
        <v>0</v>
      </c>
      <c r="D249" s="32" t="str">
        <f aca="false">IF(C249=0,"",IF($A249="Bank",INDEX(Bank!$B:$B,$C249),INDEX(GL!$B:$B,$C249)))</f>
        <v/>
      </c>
      <c r="E249" s="5" t="str">
        <f aca="false">IF(C249=0,"",IF($A249="Bank",IF(INDEX(Bank!$C:$C,$C249)="","",INDEX(Bank!$C:$C,$C249)),IF(INDEX(GL!$C:$C,$C249)="","",INDEX(GL!$C:$C,$C249))))</f>
        <v/>
      </c>
      <c r="F249" s="5" t="str">
        <f aca="false">IF(C249=0,"",IF($A249="Bank",IF(INDEX(Bank!$D:$D,$C249)="","",INDEX(Bank!$D:$D,$C249)),IF(INDEX(GL!$D:$D,$C249)="","",INDEX(GL!$D:$D,$C249))))</f>
        <v/>
      </c>
      <c r="G249" s="19" t="str">
        <f aca="false">IF(C249=0,"",IF($A249="Bank",INDEX(Bank!$E:$E,$C249),INDEX(GL!$E:$E,$C249)))</f>
        <v/>
      </c>
      <c r="H249" s="5" t="str">
        <f aca="false">IF(C249=0,"",IF(A249="GL",IF(G249&gt;0,"Deposit in transit","Outstanding check / payment"),IF(G249&gt;0,"Bank credit not in GL","Bank debit not in GL")))</f>
        <v/>
      </c>
      <c r="I249" s="42" t="str">
        <f aca="false">IF(OR(C249=0,CFG_PeriodEnd=""),"",CFG_PeriodEnd-D249)</f>
        <v/>
      </c>
      <c r="J249" s="5" t="str">
        <f aca="false">IF(C249=0,"",IF($A249="Bank",IF(INDEX(Bank!$G:$G,$C249)="","",INDEX(Bank!$G:$G,$C249)),IF(INDEX(GL!$G:$G,$C249)="","",INDEX(GL!$G:$G,$C249))))</f>
        <v/>
      </c>
      <c r="K249" s="5" t="str">
        <f aca="false">IF(C249=0,"",IF($A249="Bank",IF(INDEX(Bank!$I:$I,$C249)="","",INDEX(Bank!$I:$I,$C249)),IF(INDEX(GL!$I:$I,$C249)="","",INDEX(GL!$I:$I,$C249))))</f>
        <v/>
      </c>
      <c r="L249" s="5" t="str">
        <f aca="false">IF(B249="","",IF(C249=0,"NOT FOUND",IF(IF($A249="Bank",INDEX(Bank!$F:$F,$C249),INDEX(GL!$F:$F,$C249))="Y","NOW RECONCILED: refresh","OK")))</f>
        <v/>
      </c>
    </row>
    <row r="250" customFormat="false" ht="15" hidden="false" customHeight="false" outlineLevel="0" collapsed="false">
      <c r="A250" s="41"/>
      <c r="B250" s="41"/>
      <c r="C250" s="5" t="n">
        <f aca="false">IF(B250="",0,IF(A250="Bank",IFERROR(MATCH(B250,Bank!$A:$A,0),0),IFERROR(MATCH(B250,GL!$A:$A,0),0)))</f>
        <v>0</v>
      </c>
      <c r="D250" s="32" t="str">
        <f aca="false">IF(C250=0,"",IF($A250="Bank",INDEX(Bank!$B:$B,$C250),INDEX(GL!$B:$B,$C250)))</f>
        <v/>
      </c>
      <c r="E250" s="5" t="str">
        <f aca="false">IF(C250=0,"",IF($A250="Bank",IF(INDEX(Bank!$C:$C,$C250)="","",INDEX(Bank!$C:$C,$C250)),IF(INDEX(GL!$C:$C,$C250)="","",INDEX(GL!$C:$C,$C250))))</f>
        <v/>
      </c>
      <c r="F250" s="5" t="str">
        <f aca="false">IF(C250=0,"",IF($A250="Bank",IF(INDEX(Bank!$D:$D,$C250)="","",INDEX(Bank!$D:$D,$C250)),IF(INDEX(GL!$D:$D,$C250)="","",INDEX(GL!$D:$D,$C250))))</f>
        <v/>
      </c>
      <c r="G250" s="19" t="str">
        <f aca="false">IF(C250=0,"",IF($A250="Bank",INDEX(Bank!$E:$E,$C250),INDEX(GL!$E:$E,$C250)))</f>
        <v/>
      </c>
      <c r="H250" s="5" t="str">
        <f aca="false">IF(C250=0,"",IF(A250="GL",IF(G250&gt;0,"Deposit in transit","Outstanding check / payment"),IF(G250&gt;0,"Bank credit not in GL","Bank debit not in GL")))</f>
        <v/>
      </c>
      <c r="I250" s="42" t="str">
        <f aca="false">IF(OR(C250=0,CFG_PeriodEnd=""),"",CFG_PeriodEnd-D250)</f>
        <v/>
      </c>
      <c r="J250" s="5" t="str">
        <f aca="false">IF(C250=0,"",IF($A250="Bank",IF(INDEX(Bank!$G:$G,$C250)="","",INDEX(Bank!$G:$G,$C250)),IF(INDEX(GL!$G:$G,$C250)="","",INDEX(GL!$G:$G,$C250))))</f>
        <v/>
      </c>
      <c r="K250" s="5" t="str">
        <f aca="false">IF(C250=0,"",IF($A250="Bank",IF(INDEX(Bank!$I:$I,$C250)="","",INDEX(Bank!$I:$I,$C250)),IF(INDEX(GL!$I:$I,$C250)="","",INDEX(GL!$I:$I,$C250))))</f>
        <v/>
      </c>
      <c r="L250" s="5" t="str">
        <f aca="false">IF(B250="","",IF(C250=0,"NOT FOUND",IF(IF($A250="Bank",INDEX(Bank!$F:$F,$C250),INDEX(GL!$F:$F,$C250))="Y","NOW RECONCILED: refresh","OK")))</f>
        <v/>
      </c>
    </row>
    <row r="251" customFormat="false" ht="15" hidden="false" customHeight="false" outlineLevel="0" collapsed="false">
      <c r="A251" s="41"/>
      <c r="B251" s="41"/>
      <c r="C251" s="5" t="n">
        <f aca="false">IF(B251="",0,IF(A251="Bank",IFERROR(MATCH(B251,Bank!$A:$A,0),0),IFERROR(MATCH(B251,GL!$A:$A,0),0)))</f>
        <v>0</v>
      </c>
      <c r="D251" s="32" t="str">
        <f aca="false">IF(C251=0,"",IF($A251="Bank",INDEX(Bank!$B:$B,$C251),INDEX(GL!$B:$B,$C251)))</f>
        <v/>
      </c>
      <c r="E251" s="5" t="str">
        <f aca="false">IF(C251=0,"",IF($A251="Bank",IF(INDEX(Bank!$C:$C,$C251)="","",INDEX(Bank!$C:$C,$C251)),IF(INDEX(GL!$C:$C,$C251)="","",INDEX(GL!$C:$C,$C251))))</f>
        <v/>
      </c>
      <c r="F251" s="5" t="str">
        <f aca="false">IF(C251=0,"",IF($A251="Bank",IF(INDEX(Bank!$D:$D,$C251)="","",INDEX(Bank!$D:$D,$C251)),IF(INDEX(GL!$D:$D,$C251)="","",INDEX(GL!$D:$D,$C251))))</f>
        <v/>
      </c>
      <c r="G251" s="19" t="str">
        <f aca="false">IF(C251=0,"",IF($A251="Bank",INDEX(Bank!$E:$E,$C251),INDEX(GL!$E:$E,$C251)))</f>
        <v/>
      </c>
      <c r="H251" s="5" t="str">
        <f aca="false">IF(C251=0,"",IF(A251="GL",IF(G251&gt;0,"Deposit in transit","Outstanding check / payment"),IF(G251&gt;0,"Bank credit not in GL","Bank debit not in GL")))</f>
        <v/>
      </c>
      <c r="I251" s="42" t="str">
        <f aca="false">IF(OR(C251=0,CFG_PeriodEnd=""),"",CFG_PeriodEnd-D251)</f>
        <v/>
      </c>
      <c r="J251" s="5" t="str">
        <f aca="false">IF(C251=0,"",IF($A251="Bank",IF(INDEX(Bank!$G:$G,$C251)="","",INDEX(Bank!$G:$G,$C251)),IF(INDEX(GL!$G:$G,$C251)="","",INDEX(GL!$G:$G,$C251))))</f>
        <v/>
      </c>
      <c r="K251" s="5" t="str">
        <f aca="false">IF(C251=0,"",IF($A251="Bank",IF(INDEX(Bank!$I:$I,$C251)="","",INDEX(Bank!$I:$I,$C251)),IF(INDEX(GL!$I:$I,$C251)="","",INDEX(GL!$I:$I,$C251))))</f>
        <v/>
      </c>
      <c r="L251" s="5" t="str">
        <f aca="false">IF(B251="","",IF(C251=0,"NOT FOUND",IF(IF($A251="Bank",INDEX(Bank!$F:$F,$C251),INDEX(GL!$F:$F,$C251))="Y","NOW RECONCILED: refresh","OK")))</f>
        <v/>
      </c>
    </row>
    <row r="252" customFormat="false" ht="15" hidden="false" customHeight="false" outlineLevel="0" collapsed="false">
      <c r="A252" s="41"/>
      <c r="B252" s="41"/>
      <c r="C252" s="5" t="n">
        <f aca="false">IF(B252="",0,IF(A252="Bank",IFERROR(MATCH(B252,Bank!$A:$A,0),0),IFERROR(MATCH(B252,GL!$A:$A,0),0)))</f>
        <v>0</v>
      </c>
      <c r="D252" s="32" t="str">
        <f aca="false">IF(C252=0,"",IF($A252="Bank",INDEX(Bank!$B:$B,$C252),INDEX(GL!$B:$B,$C252)))</f>
        <v/>
      </c>
      <c r="E252" s="5" t="str">
        <f aca="false">IF(C252=0,"",IF($A252="Bank",IF(INDEX(Bank!$C:$C,$C252)="","",INDEX(Bank!$C:$C,$C252)),IF(INDEX(GL!$C:$C,$C252)="","",INDEX(GL!$C:$C,$C252))))</f>
        <v/>
      </c>
      <c r="F252" s="5" t="str">
        <f aca="false">IF(C252=0,"",IF($A252="Bank",IF(INDEX(Bank!$D:$D,$C252)="","",INDEX(Bank!$D:$D,$C252)),IF(INDEX(GL!$D:$D,$C252)="","",INDEX(GL!$D:$D,$C252))))</f>
        <v/>
      </c>
      <c r="G252" s="19" t="str">
        <f aca="false">IF(C252=0,"",IF($A252="Bank",INDEX(Bank!$E:$E,$C252),INDEX(GL!$E:$E,$C252)))</f>
        <v/>
      </c>
      <c r="H252" s="5" t="str">
        <f aca="false">IF(C252=0,"",IF(A252="GL",IF(G252&gt;0,"Deposit in transit","Outstanding check / payment"),IF(G252&gt;0,"Bank credit not in GL","Bank debit not in GL")))</f>
        <v/>
      </c>
      <c r="I252" s="42" t="str">
        <f aca="false">IF(OR(C252=0,CFG_PeriodEnd=""),"",CFG_PeriodEnd-D252)</f>
        <v/>
      </c>
      <c r="J252" s="5" t="str">
        <f aca="false">IF(C252=0,"",IF($A252="Bank",IF(INDEX(Bank!$G:$G,$C252)="","",INDEX(Bank!$G:$G,$C252)),IF(INDEX(GL!$G:$G,$C252)="","",INDEX(GL!$G:$G,$C252))))</f>
        <v/>
      </c>
      <c r="K252" s="5" t="str">
        <f aca="false">IF(C252=0,"",IF($A252="Bank",IF(INDEX(Bank!$I:$I,$C252)="","",INDEX(Bank!$I:$I,$C252)),IF(INDEX(GL!$I:$I,$C252)="","",INDEX(GL!$I:$I,$C252))))</f>
        <v/>
      </c>
      <c r="L252" s="5" t="str">
        <f aca="false">IF(B252="","",IF(C252=0,"NOT FOUND",IF(IF($A252="Bank",INDEX(Bank!$F:$F,$C252),INDEX(GL!$F:$F,$C252))="Y","NOW RECONCILED: refresh","OK")))</f>
        <v/>
      </c>
    </row>
    <row r="253" customFormat="false" ht="15" hidden="false" customHeight="false" outlineLevel="0" collapsed="false">
      <c r="A253" s="41"/>
      <c r="B253" s="41"/>
      <c r="C253" s="5" t="n">
        <f aca="false">IF(B253="",0,IF(A253="Bank",IFERROR(MATCH(B253,Bank!$A:$A,0),0),IFERROR(MATCH(B253,GL!$A:$A,0),0)))</f>
        <v>0</v>
      </c>
      <c r="D253" s="32" t="str">
        <f aca="false">IF(C253=0,"",IF($A253="Bank",INDEX(Bank!$B:$B,$C253),INDEX(GL!$B:$B,$C253)))</f>
        <v/>
      </c>
      <c r="E253" s="5" t="str">
        <f aca="false">IF(C253=0,"",IF($A253="Bank",IF(INDEX(Bank!$C:$C,$C253)="","",INDEX(Bank!$C:$C,$C253)),IF(INDEX(GL!$C:$C,$C253)="","",INDEX(GL!$C:$C,$C253))))</f>
        <v/>
      </c>
      <c r="F253" s="5" t="str">
        <f aca="false">IF(C253=0,"",IF($A253="Bank",IF(INDEX(Bank!$D:$D,$C253)="","",INDEX(Bank!$D:$D,$C253)),IF(INDEX(GL!$D:$D,$C253)="","",INDEX(GL!$D:$D,$C253))))</f>
        <v/>
      </c>
      <c r="G253" s="19" t="str">
        <f aca="false">IF(C253=0,"",IF($A253="Bank",INDEX(Bank!$E:$E,$C253),INDEX(GL!$E:$E,$C253)))</f>
        <v/>
      </c>
      <c r="H253" s="5" t="str">
        <f aca="false">IF(C253=0,"",IF(A253="GL",IF(G253&gt;0,"Deposit in transit","Outstanding check / payment"),IF(G253&gt;0,"Bank credit not in GL","Bank debit not in GL")))</f>
        <v/>
      </c>
      <c r="I253" s="42" t="str">
        <f aca="false">IF(OR(C253=0,CFG_PeriodEnd=""),"",CFG_PeriodEnd-D253)</f>
        <v/>
      </c>
      <c r="J253" s="5" t="str">
        <f aca="false">IF(C253=0,"",IF($A253="Bank",IF(INDEX(Bank!$G:$G,$C253)="","",INDEX(Bank!$G:$G,$C253)),IF(INDEX(GL!$G:$G,$C253)="","",INDEX(GL!$G:$G,$C253))))</f>
        <v/>
      </c>
      <c r="K253" s="5" t="str">
        <f aca="false">IF(C253=0,"",IF($A253="Bank",IF(INDEX(Bank!$I:$I,$C253)="","",INDEX(Bank!$I:$I,$C253)),IF(INDEX(GL!$I:$I,$C253)="","",INDEX(GL!$I:$I,$C253))))</f>
        <v/>
      </c>
      <c r="L253" s="5" t="str">
        <f aca="false">IF(B253="","",IF(C253=0,"NOT FOUND",IF(IF($A253="Bank",INDEX(Bank!$F:$F,$C253),INDEX(GL!$F:$F,$C253))="Y","NOW RECONCILED: refresh","OK")))</f>
        <v/>
      </c>
    </row>
    <row r="254" customFormat="false" ht="15" hidden="false" customHeight="false" outlineLevel="0" collapsed="false">
      <c r="A254" s="41"/>
      <c r="B254" s="41"/>
      <c r="C254" s="5" t="n">
        <f aca="false">IF(B254="",0,IF(A254="Bank",IFERROR(MATCH(B254,Bank!$A:$A,0),0),IFERROR(MATCH(B254,GL!$A:$A,0),0)))</f>
        <v>0</v>
      </c>
      <c r="D254" s="32" t="str">
        <f aca="false">IF(C254=0,"",IF($A254="Bank",INDEX(Bank!$B:$B,$C254),INDEX(GL!$B:$B,$C254)))</f>
        <v/>
      </c>
      <c r="E254" s="5" t="str">
        <f aca="false">IF(C254=0,"",IF($A254="Bank",IF(INDEX(Bank!$C:$C,$C254)="","",INDEX(Bank!$C:$C,$C254)),IF(INDEX(GL!$C:$C,$C254)="","",INDEX(GL!$C:$C,$C254))))</f>
        <v/>
      </c>
      <c r="F254" s="5" t="str">
        <f aca="false">IF(C254=0,"",IF($A254="Bank",IF(INDEX(Bank!$D:$D,$C254)="","",INDEX(Bank!$D:$D,$C254)),IF(INDEX(GL!$D:$D,$C254)="","",INDEX(GL!$D:$D,$C254))))</f>
        <v/>
      </c>
      <c r="G254" s="19" t="str">
        <f aca="false">IF(C254=0,"",IF($A254="Bank",INDEX(Bank!$E:$E,$C254),INDEX(GL!$E:$E,$C254)))</f>
        <v/>
      </c>
      <c r="H254" s="5" t="str">
        <f aca="false">IF(C254=0,"",IF(A254="GL",IF(G254&gt;0,"Deposit in transit","Outstanding check / payment"),IF(G254&gt;0,"Bank credit not in GL","Bank debit not in GL")))</f>
        <v/>
      </c>
      <c r="I254" s="42" t="str">
        <f aca="false">IF(OR(C254=0,CFG_PeriodEnd=""),"",CFG_PeriodEnd-D254)</f>
        <v/>
      </c>
      <c r="J254" s="5" t="str">
        <f aca="false">IF(C254=0,"",IF($A254="Bank",IF(INDEX(Bank!$G:$G,$C254)="","",INDEX(Bank!$G:$G,$C254)),IF(INDEX(GL!$G:$G,$C254)="","",INDEX(GL!$G:$G,$C254))))</f>
        <v/>
      </c>
      <c r="K254" s="5" t="str">
        <f aca="false">IF(C254=0,"",IF($A254="Bank",IF(INDEX(Bank!$I:$I,$C254)="","",INDEX(Bank!$I:$I,$C254)),IF(INDEX(GL!$I:$I,$C254)="","",INDEX(GL!$I:$I,$C254))))</f>
        <v/>
      </c>
      <c r="L254" s="5" t="str">
        <f aca="false">IF(B254="","",IF(C254=0,"NOT FOUND",IF(IF($A254="Bank",INDEX(Bank!$F:$F,$C254),INDEX(GL!$F:$F,$C254))="Y","NOW RECONCILED: refresh","OK")))</f>
        <v/>
      </c>
    </row>
    <row r="255" customFormat="false" ht="15" hidden="false" customHeight="false" outlineLevel="0" collapsed="false">
      <c r="A255" s="41"/>
      <c r="B255" s="41"/>
      <c r="C255" s="5" t="n">
        <f aca="false">IF(B255="",0,IF(A255="Bank",IFERROR(MATCH(B255,Bank!$A:$A,0),0),IFERROR(MATCH(B255,GL!$A:$A,0),0)))</f>
        <v>0</v>
      </c>
      <c r="D255" s="32" t="str">
        <f aca="false">IF(C255=0,"",IF($A255="Bank",INDEX(Bank!$B:$B,$C255),INDEX(GL!$B:$B,$C255)))</f>
        <v/>
      </c>
      <c r="E255" s="5" t="str">
        <f aca="false">IF(C255=0,"",IF($A255="Bank",IF(INDEX(Bank!$C:$C,$C255)="","",INDEX(Bank!$C:$C,$C255)),IF(INDEX(GL!$C:$C,$C255)="","",INDEX(GL!$C:$C,$C255))))</f>
        <v/>
      </c>
      <c r="F255" s="5" t="str">
        <f aca="false">IF(C255=0,"",IF($A255="Bank",IF(INDEX(Bank!$D:$D,$C255)="","",INDEX(Bank!$D:$D,$C255)),IF(INDEX(GL!$D:$D,$C255)="","",INDEX(GL!$D:$D,$C255))))</f>
        <v/>
      </c>
      <c r="G255" s="19" t="str">
        <f aca="false">IF(C255=0,"",IF($A255="Bank",INDEX(Bank!$E:$E,$C255),INDEX(GL!$E:$E,$C255)))</f>
        <v/>
      </c>
      <c r="H255" s="5" t="str">
        <f aca="false">IF(C255=0,"",IF(A255="GL",IF(G255&gt;0,"Deposit in transit","Outstanding check / payment"),IF(G255&gt;0,"Bank credit not in GL","Bank debit not in GL")))</f>
        <v/>
      </c>
      <c r="I255" s="42" t="str">
        <f aca="false">IF(OR(C255=0,CFG_PeriodEnd=""),"",CFG_PeriodEnd-D255)</f>
        <v/>
      </c>
      <c r="J255" s="5" t="str">
        <f aca="false">IF(C255=0,"",IF($A255="Bank",IF(INDEX(Bank!$G:$G,$C255)="","",INDEX(Bank!$G:$G,$C255)),IF(INDEX(GL!$G:$G,$C255)="","",INDEX(GL!$G:$G,$C255))))</f>
        <v/>
      </c>
      <c r="K255" s="5" t="str">
        <f aca="false">IF(C255=0,"",IF($A255="Bank",IF(INDEX(Bank!$I:$I,$C255)="","",INDEX(Bank!$I:$I,$C255)),IF(INDEX(GL!$I:$I,$C255)="","",INDEX(GL!$I:$I,$C255))))</f>
        <v/>
      </c>
      <c r="L255" s="5" t="str">
        <f aca="false">IF(B255="","",IF(C255=0,"NOT FOUND",IF(IF($A255="Bank",INDEX(Bank!$F:$F,$C255),INDEX(GL!$F:$F,$C255))="Y","NOW RECONCILED: refresh","OK")))</f>
        <v/>
      </c>
    </row>
    <row r="256" customFormat="false" ht="15" hidden="false" customHeight="false" outlineLevel="0" collapsed="false">
      <c r="A256" s="41"/>
      <c r="B256" s="41"/>
      <c r="C256" s="5" t="n">
        <f aca="false">IF(B256="",0,IF(A256="Bank",IFERROR(MATCH(B256,Bank!$A:$A,0),0),IFERROR(MATCH(B256,GL!$A:$A,0),0)))</f>
        <v>0</v>
      </c>
      <c r="D256" s="32" t="str">
        <f aca="false">IF(C256=0,"",IF($A256="Bank",INDEX(Bank!$B:$B,$C256),INDEX(GL!$B:$B,$C256)))</f>
        <v/>
      </c>
      <c r="E256" s="5" t="str">
        <f aca="false">IF(C256=0,"",IF($A256="Bank",IF(INDEX(Bank!$C:$C,$C256)="","",INDEX(Bank!$C:$C,$C256)),IF(INDEX(GL!$C:$C,$C256)="","",INDEX(GL!$C:$C,$C256))))</f>
        <v/>
      </c>
      <c r="F256" s="5" t="str">
        <f aca="false">IF(C256=0,"",IF($A256="Bank",IF(INDEX(Bank!$D:$D,$C256)="","",INDEX(Bank!$D:$D,$C256)),IF(INDEX(GL!$D:$D,$C256)="","",INDEX(GL!$D:$D,$C256))))</f>
        <v/>
      </c>
      <c r="G256" s="19" t="str">
        <f aca="false">IF(C256=0,"",IF($A256="Bank",INDEX(Bank!$E:$E,$C256),INDEX(GL!$E:$E,$C256)))</f>
        <v/>
      </c>
      <c r="H256" s="5" t="str">
        <f aca="false">IF(C256=0,"",IF(A256="GL",IF(G256&gt;0,"Deposit in transit","Outstanding check / payment"),IF(G256&gt;0,"Bank credit not in GL","Bank debit not in GL")))</f>
        <v/>
      </c>
      <c r="I256" s="42" t="str">
        <f aca="false">IF(OR(C256=0,CFG_PeriodEnd=""),"",CFG_PeriodEnd-D256)</f>
        <v/>
      </c>
      <c r="J256" s="5" t="str">
        <f aca="false">IF(C256=0,"",IF($A256="Bank",IF(INDEX(Bank!$G:$G,$C256)="","",INDEX(Bank!$G:$G,$C256)),IF(INDEX(GL!$G:$G,$C256)="","",INDEX(GL!$G:$G,$C256))))</f>
        <v/>
      </c>
      <c r="K256" s="5" t="str">
        <f aca="false">IF(C256=0,"",IF($A256="Bank",IF(INDEX(Bank!$I:$I,$C256)="","",INDEX(Bank!$I:$I,$C256)),IF(INDEX(GL!$I:$I,$C256)="","",INDEX(GL!$I:$I,$C256))))</f>
        <v/>
      </c>
      <c r="L256" s="5" t="str">
        <f aca="false">IF(B256="","",IF(C256=0,"NOT FOUND",IF(IF($A256="Bank",INDEX(Bank!$F:$F,$C256),INDEX(GL!$F:$F,$C256))="Y","NOW RECONCILED: refresh","OK")))</f>
        <v/>
      </c>
    </row>
    <row r="257" customFormat="false" ht="15" hidden="false" customHeight="false" outlineLevel="0" collapsed="false">
      <c r="A257" s="41"/>
      <c r="B257" s="41"/>
      <c r="C257" s="5" t="n">
        <f aca="false">IF(B257="",0,IF(A257="Bank",IFERROR(MATCH(B257,Bank!$A:$A,0),0),IFERROR(MATCH(B257,GL!$A:$A,0),0)))</f>
        <v>0</v>
      </c>
      <c r="D257" s="32" t="str">
        <f aca="false">IF(C257=0,"",IF($A257="Bank",INDEX(Bank!$B:$B,$C257),INDEX(GL!$B:$B,$C257)))</f>
        <v/>
      </c>
      <c r="E257" s="5" t="str">
        <f aca="false">IF(C257=0,"",IF($A257="Bank",IF(INDEX(Bank!$C:$C,$C257)="","",INDEX(Bank!$C:$C,$C257)),IF(INDEX(GL!$C:$C,$C257)="","",INDEX(GL!$C:$C,$C257))))</f>
        <v/>
      </c>
      <c r="F257" s="5" t="str">
        <f aca="false">IF(C257=0,"",IF($A257="Bank",IF(INDEX(Bank!$D:$D,$C257)="","",INDEX(Bank!$D:$D,$C257)),IF(INDEX(GL!$D:$D,$C257)="","",INDEX(GL!$D:$D,$C257))))</f>
        <v/>
      </c>
      <c r="G257" s="19" t="str">
        <f aca="false">IF(C257=0,"",IF($A257="Bank",INDEX(Bank!$E:$E,$C257),INDEX(GL!$E:$E,$C257)))</f>
        <v/>
      </c>
      <c r="H257" s="5" t="str">
        <f aca="false">IF(C257=0,"",IF(A257="GL",IF(G257&gt;0,"Deposit in transit","Outstanding check / payment"),IF(G257&gt;0,"Bank credit not in GL","Bank debit not in GL")))</f>
        <v/>
      </c>
      <c r="I257" s="42" t="str">
        <f aca="false">IF(OR(C257=0,CFG_PeriodEnd=""),"",CFG_PeriodEnd-D257)</f>
        <v/>
      </c>
      <c r="J257" s="5" t="str">
        <f aca="false">IF(C257=0,"",IF($A257="Bank",IF(INDEX(Bank!$G:$G,$C257)="","",INDEX(Bank!$G:$G,$C257)),IF(INDEX(GL!$G:$G,$C257)="","",INDEX(GL!$G:$G,$C257))))</f>
        <v/>
      </c>
      <c r="K257" s="5" t="str">
        <f aca="false">IF(C257=0,"",IF($A257="Bank",IF(INDEX(Bank!$I:$I,$C257)="","",INDEX(Bank!$I:$I,$C257)),IF(INDEX(GL!$I:$I,$C257)="","",INDEX(GL!$I:$I,$C257))))</f>
        <v/>
      </c>
      <c r="L257" s="5" t="str">
        <f aca="false">IF(B257="","",IF(C257=0,"NOT FOUND",IF(IF($A257="Bank",INDEX(Bank!$F:$F,$C257),INDEX(GL!$F:$F,$C257))="Y","NOW RECONCILED: refresh","OK")))</f>
        <v/>
      </c>
    </row>
    <row r="258" customFormat="false" ht="15" hidden="false" customHeight="false" outlineLevel="0" collapsed="false">
      <c r="A258" s="41"/>
      <c r="B258" s="41"/>
      <c r="C258" s="5" t="n">
        <f aca="false">IF(B258="",0,IF(A258="Bank",IFERROR(MATCH(B258,Bank!$A:$A,0),0),IFERROR(MATCH(B258,GL!$A:$A,0),0)))</f>
        <v>0</v>
      </c>
      <c r="D258" s="32" t="str">
        <f aca="false">IF(C258=0,"",IF($A258="Bank",INDEX(Bank!$B:$B,$C258),INDEX(GL!$B:$B,$C258)))</f>
        <v/>
      </c>
      <c r="E258" s="5" t="str">
        <f aca="false">IF(C258=0,"",IF($A258="Bank",IF(INDEX(Bank!$C:$C,$C258)="","",INDEX(Bank!$C:$C,$C258)),IF(INDEX(GL!$C:$C,$C258)="","",INDEX(GL!$C:$C,$C258))))</f>
        <v/>
      </c>
      <c r="F258" s="5" t="str">
        <f aca="false">IF(C258=0,"",IF($A258="Bank",IF(INDEX(Bank!$D:$D,$C258)="","",INDEX(Bank!$D:$D,$C258)),IF(INDEX(GL!$D:$D,$C258)="","",INDEX(GL!$D:$D,$C258))))</f>
        <v/>
      </c>
      <c r="G258" s="19" t="str">
        <f aca="false">IF(C258=0,"",IF($A258="Bank",INDEX(Bank!$E:$E,$C258),INDEX(GL!$E:$E,$C258)))</f>
        <v/>
      </c>
      <c r="H258" s="5" t="str">
        <f aca="false">IF(C258=0,"",IF(A258="GL",IF(G258&gt;0,"Deposit in transit","Outstanding check / payment"),IF(G258&gt;0,"Bank credit not in GL","Bank debit not in GL")))</f>
        <v/>
      </c>
      <c r="I258" s="42" t="str">
        <f aca="false">IF(OR(C258=0,CFG_PeriodEnd=""),"",CFG_PeriodEnd-D258)</f>
        <v/>
      </c>
      <c r="J258" s="5" t="str">
        <f aca="false">IF(C258=0,"",IF($A258="Bank",IF(INDEX(Bank!$G:$G,$C258)="","",INDEX(Bank!$G:$G,$C258)),IF(INDEX(GL!$G:$G,$C258)="","",INDEX(GL!$G:$G,$C258))))</f>
        <v/>
      </c>
      <c r="K258" s="5" t="str">
        <f aca="false">IF(C258=0,"",IF($A258="Bank",IF(INDEX(Bank!$I:$I,$C258)="","",INDEX(Bank!$I:$I,$C258)),IF(INDEX(GL!$I:$I,$C258)="","",INDEX(GL!$I:$I,$C258))))</f>
        <v/>
      </c>
      <c r="L258" s="5" t="str">
        <f aca="false">IF(B258="","",IF(C258=0,"NOT FOUND",IF(IF($A258="Bank",INDEX(Bank!$F:$F,$C258),INDEX(GL!$F:$F,$C258))="Y","NOW RECONCILED: refresh","OK")))</f>
        <v/>
      </c>
    </row>
    <row r="259" customFormat="false" ht="15" hidden="false" customHeight="false" outlineLevel="0" collapsed="false">
      <c r="A259" s="41"/>
      <c r="B259" s="41"/>
      <c r="C259" s="5" t="n">
        <f aca="false">IF(B259="",0,IF(A259="Bank",IFERROR(MATCH(B259,Bank!$A:$A,0),0),IFERROR(MATCH(B259,GL!$A:$A,0),0)))</f>
        <v>0</v>
      </c>
      <c r="D259" s="32" t="str">
        <f aca="false">IF(C259=0,"",IF($A259="Bank",INDEX(Bank!$B:$B,$C259),INDEX(GL!$B:$B,$C259)))</f>
        <v/>
      </c>
      <c r="E259" s="5" t="str">
        <f aca="false">IF(C259=0,"",IF($A259="Bank",IF(INDEX(Bank!$C:$C,$C259)="","",INDEX(Bank!$C:$C,$C259)),IF(INDEX(GL!$C:$C,$C259)="","",INDEX(GL!$C:$C,$C259))))</f>
        <v/>
      </c>
      <c r="F259" s="5" t="str">
        <f aca="false">IF(C259=0,"",IF($A259="Bank",IF(INDEX(Bank!$D:$D,$C259)="","",INDEX(Bank!$D:$D,$C259)),IF(INDEX(GL!$D:$D,$C259)="","",INDEX(GL!$D:$D,$C259))))</f>
        <v/>
      </c>
      <c r="G259" s="19" t="str">
        <f aca="false">IF(C259=0,"",IF($A259="Bank",INDEX(Bank!$E:$E,$C259),INDEX(GL!$E:$E,$C259)))</f>
        <v/>
      </c>
      <c r="H259" s="5" t="str">
        <f aca="false">IF(C259=0,"",IF(A259="GL",IF(G259&gt;0,"Deposit in transit","Outstanding check / payment"),IF(G259&gt;0,"Bank credit not in GL","Bank debit not in GL")))</f>
        <v/>
      </c>
      <c r="I259" s="42" t="str">
        <f aca="false">IF(OR(C259=0,CFG_PeriodEnd=""),"",CFG_PeriodEnd-D259)</f>
        <v/>
      </c>
      <c r="J259" s="5" t="str">
        <f aca="false">IF(C259=0,"",IF($A259="Bank",IF(INDEX(Bank!$G:$G,$C259)="","",INDEX(Bank!$G:$G,$C259)),IF(INDEX(GL!$G:$G,$C259)="","",INDEX(GL!$G:$G,$C259))))</f>
        <v/>
      </c>
      <c r="K259" s="5" t="str">
        <f aca="false">IF(C259=0,"",IF($A259="Bank",IF(INDEX(Bank!$I:$I,$C259)="","",INDEX(Bank!$I:$I,$C259)),IF(INDEX(GL!$I:$I,$C259)="","",INDEX(GL!$I:$I,$C259))))</f>
        <v/>
      </c>
      <c r="L259" s="5" t="str">
        <f aca="false">IF(B259="","",IF(C259=0,"NOT FOUND",IF(IF($A259="Bank",INDEX(Bank!$F:$F,$C259),INDEX(GL!$F:$F,$C259))="Y","NOW RECONCILED: refresh","OK")))</f>
        <v/>
      </c>
    </row>
    <row r="260" customFormat="false" ht="15" hidden="false" customHeight="false" outlineLevel="0" collapsed="false">
      <c r="A260" s="41"/>
      <c r="B260" s="41"/>
      <c r="C260" s="5" t="n">
        <f aca="false">IF(B260="",0,IF(A260="Bank",IFERROR(MATCH(B260,Bank!$A:$A,0),0),IFERROR(MATCH(B260,GL!$A:$A,0),0)))</f>
        <v>0</v>
      </c>
      <c r="D260" s="32" t="str">
        <f aca="false">IF(C260=0,"",IF($A260="Bank",INDEX(Bank!$B:$B,$C260),INDEX(GL!$B:$B,$C260)))</f>
        <v/>
      </c>
      <c r="E260" s="5" t="str">
        <f aca="false">IF(C260=0,"",IF($A260="Bank",IF(INDEX(Bank!$C:$C,$C260)="","",INDEX(Bank!$C:$C,$C260)),IF(INDEX(GL!$C:$C,$C260)="","",INDEX(GL!$C:$C,$C260))))</f>
        <v/>
      </c>
      <c r="F260" s="5" t="str">
        <f aca="false">IF(C260=0,"",IF($A260="Bank",IF(INDEX(Bank!$D:$D,$C260)="","",INDEX(Bank!$D:$D,$C260)),IF(INDEX(GL!$D:$D,$C260)="","",INDEX(GL!$D:$D,$C260))))</f>
        <v/>
      </c>
      <c r="G260" s="19" t="str">
        <f aca="false">IF(C260=0,"",IF($A260="Bank",INDEX(Bank!$E:$E,$C260),INDEX(GL!$E:$E,$C260)))</f>
        <v/>
      </c>
      <c r="H260" s="5" t="str">
        <f aca="false">IF(C260=0,"",IF(A260="GL",IF(G260&gt;0,"Deposit in transit","Outstanding check / payment"),IF(G260&gt;0,"Bank credit not in GL","Bank debit not in GL")))</f>
        <v/>
      </c>
      <c r="I260" s="42" t="str">
        <f aca="false">IF(OR(C260=0,CFG_PeriodEnd=""),"",CFG_PeriodEnd-D260)</f>
        <v/>
      </c>
      <c r="J260" s="5" t="str">
        <f aca="false">IF(C260=0,"",IF($A260="Bank",IF(INDEX(Bank!$G:$G,$C260)="","",INDEX(Bank!$G:$G,$C260)),IF(INDEX(GL!$G:$G,$C260)="","",INDEX(GL!$G:$G,$C260))))</f>
        <v/>
      </c>
      <c r="K260" s="5" t="str">
        <f aca="false">IF(C260=0,"",IF($A260="Bank",IF(INDEX(Bank!$I:$I,$C260)="","",INDEX(Bank!$I:$I,$C260)),IF(INDEX(GL!$I:$I,$C260)="","",INDEX(GL!$I:$I,$C260))))</f>
        <v/>
      </c>
      <c r="L260" s="5" t="str">
        <f aca="false">IF(B260="","",IF(C260=0,"NOT FOUND",IF(IF($A260="Bank",INDEX(Bank!$F:$F,$C260),INDEX(GL!$F:$F,$C260))="Y","NOW RECONCILED: refresh","OK")))</f>
        <v/>
      </c>
    </row>
    <row r="261" customFormat="false" ht="15" hidden="false" customHeight="false" outlineLevel="0" collapsed="false">
      <c r="A261" s="41"/>
      <c r="B261" s="41"/>
      <c r="C261" s="5" t="n">
        <f aca="false">IF(B261="",0,IF(A261="Bank",IFERROR(MATCH(B261,Bank!$A:$A,0),0),IFERROR(MATCH(B261,GL!$A:$A,0),0)))</f>
        <v>0</v>
      </c>
      <c r="D261" s="32" t="str">
        <f aca="false">IF(C261=0,"",IF($A261="Bank",INDEX(Bank!$B:$B,$C261),INDEX(GL!$B:$B,$C261)))</f>
        <v/>
      </c>
      <c r="E261" s="5" t="str">
        <f aca="false">IF(C261=0,"",IF($A261="Bank",IF(INDEX(Bank!$C:$C,$C261)="","",INDEX(Bank!$C:$C,$C261)),IF(INDEX(GL!$C:$C,$C261)="","",INDEX(GL!$C:$C,$C261))))</f>
        <v/>
      </c>
      <c r="F261" s="5" t="str">
        <f aca="false">IF(C261=0,"",IF($A261="Bank",IF(INDEX(Bank!$D:$D,$C261)="","",INDEX(Bank!$D:$D,$C261)),IF(INDEX(GL!$D:$D,$C261)="","",INDEX(GL!$D:$D,$C261))))</f>
        <v/>
      </c>
      <c r="G261" s="19" t="str">
        <f aca="false">IF(C261=0,"",IF($A261="Bank",INDEX(Bank!$E:$E,$C261),INDEX(GL!$E:$E,$C261)))</f>
        <v/>
      </c>
      <c r="H261" s="5" t="str">
        <f aca="false">IF(C261=0,"",IF(A261="GL",IF(G261&gt;0,"Deposit in transit","Outstanding check / payment"),IF(G261&gt;0,"Bank credit not in GL","Bank debit not in GL")))</f>
        <v/>
      </c>
      <c r="I261" s="42" t="str">
        <f aca="false">IF(OR(C261=0,CFG_PeriodEnd=""),"",CFG_PeriodEnd-D261)</f>
        <v/>
      </c>
      <c r="J261" s="5" t="str">
        <f aca="false">IF(C261=0,"",IF($A261="Bank",IF(INDEX(Bank!$G:$G,$C261)="","",INDEX(Bank!$G:$G,$C261)),IF(INDEX(GL!$G:$G,$C261)="","",INDEX(GL!$G:$G,$C261))))</f>
        <v/>
      </c>
      <c r="K261" s="5" t="str">
        <f aca="false">IF(C261=0,"",IF($A261="Bank",IF(INDEX(Bank!$I:$I,$C261)="","",INDEX(Bank!$I:$I,$C261)),IF(INDEX(GL!$I:$I,$C261)="","",INDEX(GL!$I:$I,$C261))))</f>
        <v/>
      </c>
      <c r="L261" s="5" t="str">
        <f aca="false">IF(B261="","",IF(C261=0,"NOT FOUND",IF(IF($A261="Bank",INDEX(Bank!$F:$F,$C261),INDEX(GL!$F:$F,$C261))="Y","NOW RECONCILED: refresh","OK")))</f>
        <v/>
      </c>
    </row>
    <row r="262" customFormat="false" ht="15" hidden="false" customHeight="false" outlineLevel="0" collapsed="false">
      <c r="A262" s="41"/>
      <c r="B262" s="41"/>
      <c r="C262" s="5" t="n">
        <f aca="false">IF(B262="",0,IF(A262="Bank",IFERROR(MATCH(B262,Bank!$A:$A,0),0),IFERROR(MATCH(B262,GL!$A:$A,0),0)))</f>
        <v>0</v>
      </c>
      <c r="D262" s="32" t="str">
        <f aca="false">IF(C262=0,"",IF($A262="Bank",INDEX(Bank!$B:$B,$C262),INDEX(GL!$B:$B,$C262)))</f>
        <v/>
      </c>
      <c r="E262" s="5" t="str">
        <f aca="false">IF(C262=0,"",IF($A262="Bank",IF(INDEX(Bank!$C:$C,$C262)="","",INDEX(Bank!$C:$C,$C262)),IF(INDEX(GL!$C:$C,$C262)="","",INDEX(GL!$C:$C,$C262))))</f>
        <v/>
      </c>
      <c r="F262" s="5" t="str">
        <f aca="false">IF(C262=0,"",IF($A262="Bank",IF(INDEX(Bank!$D:$D,$C262)="","",INDEX(Bank!$D:$D,$C262)),IF(INDEX(GL!$D:$D,$C262)="","",INDEX(GL!$D:$D,$C262))))</f>
        <v/>
      </c>
      <c r="G262" s="19" t="str">
        <f aca="false">IF(C262=0,"",IF($A262="Bank",INDEX(Bank!$E:$E,$C262),INDEX(GL!$E:$E,$C262)))</f>
        <v/>
      </c>
      <c r="H262" s="5" t="str">
        <f aca="false">IF(C262=0,"",IF(A262="GL",IF(G262&gt;0,"Deposit in transit","Outstanding check / payment"),IF(G262&gt;0,"Bank credit not in GL","Bank debit not in GL")))</f>
        <v/>
      </c>
      <c r="I262" s="42" t="str">
        <f aca="false">IF(OR(C262=0,CFG_PeriodEnd=""),"",CFG_PeriodEnd-D262)</f>
        <v/>
      </c>
      <c r="J262" s="5" t="str">
        <f aca="false">IF(C262=0,"",IF($A262="Bank",IF(INDEX(Bank!$G:$G,$C262)="","",INDEX(Bank!$G:$G,$C262)),IF(INDEX(GL!$G:$G,$C262)="","",INDEX(GL!$G:$G,$C262))))</f>
        <v/>
      </c>
      <c r="K262" s="5" t="str">
        <f aca="false">IF(C262=0,"",IF($A262="Bank",IF(INDEX(Bank!$I:$I,$C262)="","",INDEX(Bank!$I:$I,$C262)),IF(INDEX(GL!$I:$I,$C262)="","",INDEX(GL!$I:$I,$C262))))</f>
        <v/>
      </c>
      <c r="L262" s="5" t="str">
        <f aca="false">IF(B262="","",IF(C262=0,"NOT FOUND",IF(IF($A262="Bank",INDEX(Bank!$F:$F,$C262),INDEX(GL!$F:$F,$C262))="Y","NOW RECONCILED: refresh","OK")))</f>
        <v/>
      </c>
    </row>
    <row r="263" customFormat="false" ht="15" hidden="false" customHeight="false" outlineLevel="0" collapsed="false">
      <c r="A263" s="41"/>
      <c r="B263" s="41"/>
      <c r="C263" s="5" t="n">
        <f aca="false">IF(B263="",0,IF(A263="Bank",IFERROR(MATCH(B263,Bank!$A:$A,0),0),IFERROR(MATCH(B263,GL!$A:$A,0),0)))</f>
        <v>0</v>
      </c>
      <c r="D263" s="32" t="str">
        <f aca="false">IF(C263=0,"",IF($A263="Bank",INDEX(Bank!$B:$B,$C263),INDEX(GL!$B:$B,$C263)))</f>
        <v/>
      </c>
      <c r="E263" s="5" t="str">
        <f aca="false">IF(C263=0,"",IF($A263="Bank",IF(INDEX(Bank!$C:$C,$C263)="","",INDEX(Bank!$C:$C,$C263)),IF(INDEX(GL!$C:$C,$C263)="","",INDEX(GL!$C:$C,$C263))))</f>
        <v/>
      </c>
      <c r="F263" s="5" t="str">
        <f aca="false">IF(C263=0,"",IF($A263="Bank",IF(INDEX(Bank!$D:$D,$C263)="","",INDEX(Bank!$D:$D,$C263)),IF(INDEX(GL!$D:$D,$C263)="","",INDEX(GL!$D:$D,$C263))))</f>
        <v/>
      </c>
      <c r="G263" s="19" t="str">
        <f aca="false">IF(C263=0,"",IF($A263="Bank",INDEX(Bank!$E:$E,$C263),INDEX(GL!$E:$E,$C263)))</f>
        <v/>
      </c>
      <c r="H263" s="5" t="str">
        <f aca="false">IF(C263=0,"",IF(A263="GL",IF(G263&gt;0,"Deposit in transit","Outstanding check / payment"),IF(G263&gt;0,"Bank credit not in GL","Bank debit not in GL")))</f>
        <v/>
      </c>
      <c r="I263" s="42" t="str">
        <f aca="false">IF(OR(C263=0,CFG_PeriodEnd=""),"",CFG_PeriodEnd-D263)</f>
        <v/>
      </c>
      <c r="J263" s="5" t="str">
        <f aca="false">IF(C263=0,"",IF($A263="Bank",IF(INDEX(Bank!$G:$G,$C263)="","",INDEX(Bank!$G:$G,$C263)),IF(INDEX(GL!$G:$G,$C263)="","",INDEX(GL!$G:$G,$C263))))</f>
        <v/>
      </c>
      <c r="K263" s="5" t="str">
        <f aca="false">IF(C263=0,"",IF($A263="Bank",IF(INDEX(Bank!$I:$I,$C263)="","",INDEX(Bank!$I:$I,$C263)),IF(INDEX(GL!$I:$I,$C263)="","",INDEX(GL!$I:$I,$C263))))</f>
        <v/>
      </c>
      <c r="L263" s="5" t="str">
        <f aca="false">IF(B263="","",IF(C263=0,"NOT FOUND",IF(IF($A263="Bank",INDEX(Bank!$F:$F,$C263),INDEX(GL!$F:$F,$C263))="Y","NOW RECONCILED: refresh","OK")))</f>
        <v/>
      </c>
    </row>
    <row r="264" customFormat="false" ht="15" hidden="false" customHeight="false" outlineLevel="0" collapsed="false">
      <c r="A264" s="41"/>
      <c r="B264" s="41"/>
      <c r="C264" s="5" t="n">
        <f aca="false">IF(B264="",0,IF(A264="Bank",IFERROR(MATCH(B264,Bank!$A:$A,0),0),IFERROR(MATCH(B264,GL!$A:$A,0),0)))</f>
        <v>0</v>
      </c>
      <c r="D264" s="32" t="str">
        <f aca="false">IF(C264=0,"",IF($A264="Bank",INDEX(Bank!$B:$B,$C264),INDEX(GL!$B:$B,$C264)))</f>
        <v/>
      </c>
      <c r="E264" s="5" t="str">
        <f aca="false">IF(C264=0,"",IF($A264="Bank",IF(INDEX(Bank!$C:$C,$C264)="","",INDEX(Bank!$C:$C,$C264)),IF(INDEX(GL!$C:$C,$C264)="","",INDEX(GL!$C:$C,$C264))))</f>
        <v/>
      </c>
      <c r="F264" s="5" t="str">
        <f aca="false">IF(C264=0,"",IF($A264="Bank",IF(INDEX(Bank!$D:$D,$C264)="","",INDEX(Bank!$D:$D,$C264)),IF(INDEX(GL!$D:$D,$C264)="","",INDEX(GL!$D:$D,$C264))))</f>
        <v/>
      </c>
      <c r="G264" s="19" t="str">
        <f aca="false">IF(C264=0,"",IF($A264="Bank",INDEX(Bank!$E:$E,$C264),INDEX(GL!$E:$E,$C264)))</f>
        <v/>
      </c>
      <c r="H264" s="5" t="str">
        <f aca="false">IF(C264=0,"",IF(A264="GL",IF(G264&gt;0,"Deposit in transit","Outstanding check / payment"),IF(G264&gt;0,"Bank credit not in GL","Bank debit not in GL")))</f>
        <v/>
      </c>
      <c r="I264" s="42" t="str">
        <f aca="false">IF(OR(C264=0,CFG_PeriodEnd=""),"",CFG_PeriodEnd-D264)</f>
        <v/>
      </c>
      <c r="J264" s="5" t="str">
        <f aca="false">IF(C264=0,"",IF($A264="Bank",IF(INDEX(Bank!$G:$G,$C264)="","",INDEX(Bank!$G:$G,$C264)),IF(INDEX(GL!$G:$G,$C264)="","",INDEX(GL!$G:$G,$C264))))</f>
        <v/>
      </c>
      <c r="K264" s="5" t="str">
        <f aca="false">IF(C264=0,"",IF($A264="Bank",IF(INDEX(Bank!$I:$I,$C264)="","",INDEX(Bank!$I:$I,$C264)),IF(INDEX(GL!$I:$I,$C264)="","",INDEX(GL!$I:$I,$C264))))</f>
        <v/>
      </c>
      <c r="L264" s="5" t="str">
        <f aca="false">IF(B264="","",IF(C264=0,"NOT FOUND",IF(IF($A264="Bank",INDEX(Bank!$F:$F,$C264),INDEX(GL!$F:$F,$C264))="Y","NOW RECONCILED: refresh","OK")))</f>
        <v/>
      </c>
    </row>
    <row r="265" customFormat="false" ht="15" hidden="false" customHeight="false" outlineLevel="0" collapsed="false">
      <c r="A265" s="41"/>
      <c r="B265" s="41"/>
      <c r="C265" s="5" t="n">
        <f aca="false">IF(B265="",0,IF(A265="Bank",IFERROR(MATCH(B265,Bank!$A:$A,0),0),IFERROR(MATCH(B265,GL!$A:$A,0),0)))</f>
        <v>0</v>
      </c>
      <c r="D265" s="32" t="str">
        <f aca="false">IF(C265=0,"",IF($A265="Bank",INDEX(Bank!$B:$B,$C265),INDEX(GL!$B:$B,$C265)))</f>
        <v/>
      </c>
      <c r="E265" s="5" t="str">
        <f aca="false">IF(C265=0,"",IF($A265="Bank",IF(INDEX(Bank!$C:$C,$C265)="","",INDEX(Bank!$C:$C,$C265)),IF(INDEX(GL!$C:$C,$C265)="","",INDEX(GL!$C:$C,$C265))))</f>
        <v/>
      </c>
      <c r="F265" s="5" t="str">
        <f aca="false">IF(C265=0,"",IF($A265="Bank",IF(INDEX(Bank!$D:$D,$C265)="","",INDEX(Bank!$D:$D,$C265)),IF(INDEX(GL!$D:$D,$C265)="","",INDEX(GL!$D:$D,$C265))))</f>
        <v/>
      </c>
      <c r="G265" s="19" t="str">
        <f aca="false">IF(C265=0,"",IF($A265="Bank",INDEX(Bank!$E:$E,$C265),INDEX(GL!$E:$E,$C265)))</f>
        <v/>
      </c>
      <c r="H265" s="5" t="str">
        <f aca="false">IF(C265=0,"",IF(A265="GL",IF(G265&gt;0,"Deposit in transit","Outstanding check / payment"),IF(G265&gt;0,"Bank credit not in GL","Bank debit not in GL")))</f>
        <v/>
      </c>
      <c r="I265" s="42" t="str">
        <f aca="false">IF(OR(C265=0,CFG_PeriodEnd=""),"",CFG_PeriodEnd-D265)</f>
        <v/>
      </c>
      <c r="J265" s="5" t="str">
        <f aca="false">IF(C265=0,"",IF($A265="Bank",IF(INDEX(Bank!$G:$G,$C265)="","",INDEX(Bank!$G:$G,$C265)),IF(INDEX(GL!$G:$G,$C265)="","",INDEX(GL!$G:$G,$C265))))</f>
        <v/>
      </c>
      <c r="K265" s="5" t="str">
        <f aca="false">IF(C265=0,"",IF($A265="Bank",IF(INDEX(Bank!$I:$I,$C265)="","",INDEX(Bank!$I:$I,$C265)),IF(INDEX(GL!$I:$I,$C265)="","",INDEX(GL!$I:$I,$C265))))</f>
        <v/>
      </c>
      <c r="L265" s="5" t="str">
        <f aca="false">IF(B265="","",IF(C265=0,"NOT FOUND",IF(IF($A265="Bank",INDEX(Bank!$F:$F,$C265),INDEX(GL!$F:$F,$C265))="Y","NOW RECONCILED: refresh","OK")))</f>
        <v/>
      </c>
    </row>
    <row r="266" customFormat="false" ht="15" hidden="false" customHeight="false" outlineLevel="0" collapsed="false">
      <c r="A266" s="41"/>
      <c r="B266" s="41"/>
      <c r="C266" s="5" t="n">
        <f aca="false">IF(B266="",0,IF(A266="Bank",IFERROR(MATCH(B266,Bank!$A:$A,0),0),IFERROR(MATCH(B266,GL!$A:$A,0),0)))</f>
        <v>0</v>
      </c>
      <c r="D266" s="32" t="str">
        <f aca="false">IF(C266=0,"",IF($A266="Bank",INDEX(Bank!$B:$B,$C266),INDEX(GL!$B:$B,$C266)))</f>
        <v/>
      </c>
      <c r="E266" s="5" t="str">
        <f aca="false">IF(C266=0,"",IF($A266="Bank",IF(INDEX(Bank!$C:$C,$C266)="","",INDEX(Bank!$C:$C,$C266)),IF(INDEX(GL!$C:$C,$C266)="","",INDEX(GL!$C:$C,$C266))))</f>
        <v/>
      </c>
      <c r="F266" s="5" t="str">
        <f aca="false">IF(C266=0,"",IF($A266="Bank",IF(INDEX(Bank!$D:$D,$C266)="","",INDEX(Bank!$D:$D,$C266)),IF(INDEX(GL!$D:$D,$C266)="","",INDEX(GL!$D:$D,$C266))))</f>
        <v/>
      </c>
      <c r="G266" s="19" t="str">
        <f aca="false">IF(C266=0,"",IF($A266="Bank",INDEX(Bank!$E:$E,$C266),INDEX(GL!$E:$E,$C266)))</f>
        <v/>
      </c>
      <c r="H266" s="5" t="str">
        <f aca="false">IF(C266=0,"",IF(A266="GL",IF(G266&gt;0,"Deposit in transit","Outstanding check / payment"),IF(G266&gt;0,"Bank credit not in GL","Bank debit not in GL")))</f>
        <v/>
      </c>
      <c r="I266" s="42" t="str">
        <f aca="false">IF(OR(C266=0,CFG_PeriodEnd=""),"",CFG_PeriodEnd-D266)</f>
        <v/>
      </c>
      <c r="J266" s="5" t="str">
        <f aca="false">IF(C266=0,"",IF($A266="Bank",IF(INDEX(Bank!$G:$G,$C266)="","",INDEX(Bank!$G:$G,$C266)),IF(INDEX(GL!$G:$G,$C266)="","",INDEX(GL!$G:$G,$C266))))</f>
        <v/>
      </c>
      <c r="K266" s="5" t="str">
        <f aca="false">IF(C266=0,"",IF($A266="Bank",IF(INDEX(Bank!$I:$I,$C266)="","",INDEX(Bank!$I:$I,$C266)),IF(INDEX(GL!$I:$I,$C266)="","",INDEX(GL!$I:$I,$C266))))</f>
        <v/>
      </c>
      <c r="L266" s="5" t="str">
        <f aca="false">IF(B266="","",IF(C266=0,"NOT FOUND",IF(IF($A266="Bank",INDEX(Bank!$F:$F,$C266),INDEX(GL!$F:$F,$C266))="Y","NOW RECONCILED: refresh","OK")))</f>
        <v/>
      </c>
    </row>
    <row r="267" customFormat="false" ht="15" hidden="false" customHeight="false" outlineLevel="0" collapsed="false">
      <c r="A267" s="41"/>
      <c r="B267" s="41"/>
      <c r="C267" s="5" t="n">
        <f aca="false">IF(B267="",0,IF(A267="Bank",IFERROR(MATCH(B267,Bank!$A:$A,0),0),IFERROR(MATCH(B267,GL!$A:$A,0),0)))</f>
        <v>0</v>
      </c>
      <c r="D267" s="32" t="str">
        <f aca="false">IF(C267=0,"",IF($A267="Bank",INDEX(Bank!$B:$B,$C267),INDEX(GL!$B:$B,$C267)))</f>
        <v/>
      </c>
      <c r="E267" s="5" t="str">
        <f aca="false">IF(C267=0,"",IF($A267="Bank",IF(INDEX(Bank!$C:$C,$C267)="","",INDEX(Bank!$C:$C,$C267)),IF(INDEX(GL!$C:$C,$C267)="","",INDEX(GL!$C:$C,$C267))))</f>
        <v/>
      </c>
      <c r="F267" s="5" t="str">
        <f aca="false">IF(C267=0,"",IF($A267="Bank",IF(INDEX(Bank!$D:$D,$C267)="","",INDEX(Bank!$D:$D,$C267)),IF(INDEX(GL!$D:$D,$C267)="","",INDEX(GL!$D:$D,$C267))))</f>
        <v/>
      </c>
      <c r="G267" s="19" t="str">
        <f aca="false">IF(C267=0,"",IF($A267="Bank",INDEX(Bank!$E:$E,$C267),INDEX(GL!$E:$E,$C267)))</f>
        <v/>
      </c>
      <c r="H267" s="5" t="str">
        <f aca="false">IF(C267=0,"",IF(A267="GL",IF(G267&gt;0,"Deposit in transit","Outstanding check / payment"),IF(G267&gt;0,"Bank credit not in GL","Bank debit not in GL")))</f>
        <v/>
      </c>
      <c r="I267" s="42" t="str">
        <f aca="false">IF(OR(C267=0,CFG_PeriodEnd=""),"",CFG_PeriodEnd-D267)</f>
        <v/>
      </c>
      <c r="J267" s="5" t="str">
        <f aca="false">IF(C267=0,"",IF($A267="Bank",IF(INDEX(Bank!$G:$G,$C267)="","",INDEX(Bank!$G:$G,$C267)),IF(INDEX(GL!$G:$G,$C267)="","",INDEX(GL!$G:$G,$C267))))</f>
        <v/>
      </c>
      <c r="K267" s="5" t="str">
        <f aca="false">IF(C267=0,"",IF($A267="Bank",IF(INDEX(Bank!$I:$I,$C267)="","",INDEX(Bank!$I:$I,$C267)),IF(INDEX(GL!$I:$I,$C267)="","",INDEX(GL!$I:$I,$C267))))</f>
        <v/>
      </c>
      <c r="L267" s="5" t="str">
        <f aca="false">IF(B267="","",IF(C267=0,"NOT FOUND",IF(IF($A267="Bank",INDEX(Bank!$F:$F,$C267),INDEX(GL!$F:$F,$C267))="Y","NOW RECONCILED: refresh","OK")))</f>
        <v/>
      </c>
    </row>
    <row r="268" customFormat="false" ht="15" hidden="false" customHeight="false" outlineLevel="0" collapsed="false">
      <c r="A268" s="41"/>
      <c r="B268" s="41"/>
      <c r="C268" s="5" t="n">
        <f aca="false">IF(B268="",0,IF(A268="Bank",IFERROR(MATCH(B268,Bank!$A:$A,0),0),IFERROR(MATCH(B268,GL!$A:$A,0),0)))</f>
        <v>0</v>
      </c>
      <c r="D268" s="32" t="str">
        <f aca="false">IF(C268=0,"",IF($A268="Bank",INDEX(Bank!$B:$B,$C268),INDEX(GL!$B:$B,$C268)))</f>
        <v/>
      </c>
      <c r="E268" s="5" t="str">
        <f aca="false">IF(C268=0,"",IF($A268="Bank",IF(INDEX(Bank!$C:$C,$C268)="","",INDEX(Bank!$C:$C,$C268)),IF(INDEX(GL!$C:$C,$C268)="","",INDEX(GL!$C:$C,$C268))))</f>
        <v/>
      </c>
      <c r="F268" s="5" t="str">
        <f aca="false">IF(C268=0,"",IF($A268="Bank",IF(INDEX(Bank!$D:$D,$C268)="","",INDEX(Bank!$D:$D,$C268)),IF(INDEX(GL!$D:$D,$C268)="","",INDEX(GL!$D:$D,$C268))))</f>
        <v/>
      </c>
      <c r="G268" s="19" t="str">
        <f aca="false">IF(C268=0,"",IF($A268="Bank",INDEX(Bank!$E:$E,$C268),INDEX(GL!$E:$E,$C268)))</f>
        <v/>
      </c>
      <c r="H268" s="5" t="str">
        <f aca="false">IF(C268=0,"",IF(A268="GL",IF(G268&gt;0,"Deposit in transit","Outstanding check / payment"),IF(G268&gt;0,"Bank credit not in GL","Bank debit not in GL")))</f>
        <v/>
      </c>
      <c r="I268" s="42" t="str">
        <f aca="false">IF(OR(C268=0,CFG_PeriodEnd=""),"",CFG_PeriodEnd-D268)</f>
        <v/>
      </c>
      <c r="J268" s="5" t="str">
        <f aca="false">IF(C268=0,"",IF($A268="Bank",IF(INDEX(Bank!$G:$G,$C268)="","",INDEX(Bank!$G:$G,$C268)),IF(INDEX(GL!$G:$G,$C268)="","",INDEX(GL!$G:$G,$C268))))</f>
        <v/>
      </c>
      <c r="K268" s="5" t="str">
        <f aca="false">IF(C268=0,"",IF($A268="Bank",IF(INDEX(Bank!$I:$I,$C268)="","",INDEX(Bank!$I:$I,$C268)),IF(INDEX(GL!$I:$I,$C268)="","",INDEX(GL!$I:$I,$C268))))</f>
        <v/>
      </c>
      <c r="L268" s="5" t="str">
        <f aca="false">IF(B268="","",IF(C268=0,"NOT FOUND",IF(IF($A268="Bank",INDEX(Bank!$F:$F,$C268),INDEX(GL!$F:$F,$C268))="Y","NOW RECONCILED: refresh","OK")))</f>
        <v/>
      </c>
    </row>
    <row r="269" customFormat="false" ht="15" hidden="false" customHeight="false" outlineLevel="0" collapsed="false">
      <c r="A269" s="41"/>
      <c r="B269" s="41"/>
      <c r="C269" s="5" t="n">
        <f aca="false">IF(B269="",0,IF(A269="Bank",IFERROR(MATCH(B269,Bank!$A:$A,0),0),IFERROR(MATCH(B269,GL!$A:$A,0),0)))</f>
        <v>0</v>
      </c>
      <c r="D269" s="32" t="str">
        <f aca="false">IF(C269=0,"",IF($A269="Bank",INDEX(Bank!$B:$B,$C269),INDEX(GL!$B:$B,$C269)))</f>
        <v/>
      </c>
      <c r="E269" s="5" t="str">
        <f aca="false">IF(C269=0,"",IF($A269="Bank",IF(INDEX(Bank!$C:$C,$C269)="","",INDEX(Bank!$C:$C,$C269)),IF(INDEX(GL!$C:$C,$C269)="","",INDEX(GL!$C:$C,$C269))))</f>
        <v/>
      </c>
      <c r="F269" s="5" t="str">
        <f aca="false">IF(C269=0,"",IF($A269="Bank",IF(INDEX(Bank!$D:$D,$C269)="","",INDEX(Bank!$D:$D,$C269)),IF(INDEX(GL!$D:$D,$C269)="","",INDEX(GL!$D:$D,$C269))))</f>
        <v/>
      </c>
      <c r="G269" s="19" t="str">
        <f aca="false">IF(C269=0,"",IF($A269="Bank",INDEX(Bank!$E:$E,$C269),INDEX(GL!$E:$E,$C269)))</f>
        <v/>
      </c>
      <c r="H269" s="5" t="str">
        <f aca="false">IF(C269=0,"",IF(A269="GL",IF(G269&gt;0,"Deposit in transit","Outstanding check / payment"),IF(G269&gt;0,"Bank credit not in GL","Bank debit not in GL")))</f>
        <v/>
      </c>
      <c r="I269" s="42" t="str">
        <f aca="false">IF(OR(C269=0,CFG_PeriodEnd=""),"",CFG_PeriodEnd-D269)</f>
        <v/>
      </c>
      <c r="J269" s="5" t="str">
        <f aca="false">IF(C269=0,"",IF($A269="Bank",IF(INDEX(Bank!$G:$G,$C269)="","",INDEX(Bank!$G:$G,$C269)),IF(INDEX(GL!$G:$G,$C269)="","",INDEX(GL!$G:$G,$C269))))</f>
        <v/>
      </c>
      <c r="K269" s="5" t="str">
        <f aca="false">IF(C269=0,"",IF($A269="Bank",IF(INDEX(Bank!$I:$I,$C269)="","",INDEX(Bank!$I:$I,$C269)),IF(INDEX(GL!$I:$I,$C269)="","",INDEX(GL!$I:$I,$C269))))</f>
        <v/>
      </c>
      <c r="L269" s="5" t="str">
        <f aca="false">IF(B269="","",IF(C269=0,"NOT FOUND",IF(IF($A269="Bank",INDEX(Bank!$F:$F,$C269),INDEX(GL!$F:$F,$C269))="Y","NOW RECONCILED: refresh","OK")))</f>
        <v/>
      </c>
    </row>
    <row r="270" customFormat="false" ht="15" hidden="false" customHeight="false" outlineLevel="0" collapsed="false">
      <c r="A270" s="41"/>
      <c r="B270" s="41"/>
      <c r="C270" s="5" t="n">
        <f aca="false">IF(B270="",0,IF(A270="Bank",IFERROR(MATCH(B270,Bank!$A:$A,0),0),IFERROR(MATCH(B270,GL!$A:$A,0),0)))</f>
        <v>0</v>
      </c>
      <c r="D270" s="32" t="str">
        <f aca="false">IF(C270=0,"",IF($A270="Bank",INDEX(Bank!$B:$B,$C270),INDEX(GL!$B:$B,$C270)))</f>
        <v/>
      </c>
      <c r="E270" s="5" t="str">
        <f aca="false">IF(C270=0,"",IF($A270="Bank",IF(INDEX(Bank!$C:$C,$C270)="","",INDEX(Bank!$C:$C,$C270)),IF(INDEX(GL!$C:$C,$C270)="","",INDEX(GL!$C:$C,$C270))))</f>
        <v/>
      </c>
      <c r="F270" s="5" t="str">
        <f aca="false">IF(C270=0,"",IF($A270="Bank",IF(INDEX(Bank!$D:$D,$C270)="","",INDEX(Bank!$D:$D,$C270)),IF(INDEX(GL!$D:$D,$C270)="","",INDEX(GL!$D:$D,$C270))))</f>
        <v/>
      </c>
      <c r="G270" s="19" t="str">
        <f aca="false">IF(C270=0,"",IF($A270="Bank",INDEX(Bank!$E:$E,$C270),INDEX(GL!$E:$E,$C270)))</f>
        <v/>
      </c>
      <c r="H270" s="5" t="str">
        <f aca="false">IF(C270=0,"",IF(A270="GL",IF(G270&gt;0,"Deposit in transit","Outstanding check / payment"),IF(G270&gt;0,"Bank credit not in GL","Bank debit not in GL")))</f>
        <v/>
      </c>
      <c r="I270" s="42" t="str">
        <f aca="false">IF(OR(C270=0,CFG_PeriodEnd=""),"",CFG_PeriodEnd-D270)</f>
        <v/>
      </c>
      <c r="J270" s="5" t="str">
        <f aca="false">IF(C270=0,"",IF($A270="Bank",IF(INDEX(Bank!$G:$G,$C270)="","",INDEX(Bank!$G:$G,$C270)),IF(INDEX(GL!$G:$G,$C270)="","",INDEX(GL!$G:$G,$C270))))</f>
        <v/>
      </c>
      <c r="K270" s="5" t="str">
        <f aca="false">IF(C270=0,"",IF($A270="Bank",IF(INDEX(Bank!$I:$I,$C270)="","",INDEX(Bank!$I:$I,$C270)),IF(INDEX(GL!$I:$I,$C270)="","",INDEX(GL!$I:$I,$C270))))</f>
        <v/>
      </c>
      <c r="L270" s="5" t="str">
        <f aca="false">IF(B270="","",IF(C270=0,"NOT FOUND",IF(IF($A270="Bank",INDEX(Bank!$F:$F,$C270),INDEX(GL!$F:$F,$C270))="Y","NOW RECONCILED: refresh","OK")))</f>
        <v/>
      </c>
    </row>
    <row r="271" customFormat="false" ht="15" hidden="false" customHeight="false" outlineLevel="0" collapsed="false">
      <c r="A271" s="41"/>
      <c r="B271" s="41"/>
      <c r="C271" s="5" t="n">
        <f aca="false">IF(B271="",0,IF(A271="Bank",IFERROR(MATCH(B271,Bank!$A:$A,0),0),IFERROR(MATCH(B271,GL!$A:$A,0),0)))</f>
        <v>0</v>
      </c>
      <c r="D271" s="32" t="str">
        <f aca="false">IF(C271=0,"",IF($A271="Bank",INDEX(Bank!$B:$B,$C271),INDEX(GL!$B:$B,$C271)))</f>
        <v/>
      </c>
      <c r="E271" s="5" t="str">
        <f aca="false">IF(C271=0,"",IF($A271="Bank",IF(INDEX(Bank!$C:$C,$C271)="","",INDEX(Bank!$C:$C,$C271)),IF(INDEX(GL!$C:$C,$C271)="","",INDEX(GL!$C:$C,$C271))))</f>
        <v/>
      </c>
      <c r="F271" s="5" t="str">
        <f aca="false">IF(C271=0,"",IF($A271="Bank",IF(INDEX(Bank!$D:$D,$C271)="","",INDEX(Bank!$D:$D,$C271)),IF(INDEX(GL!$D:$D,$C271)="","",INDEX(GL!$D:$D,$C271))))</f>
        <v/>
      </c>
      <c r="G271" s="19" t="str">
        <f aca="false">IF(C271=0,"",IF($A271="Bank",INDEX(Bank!$E:$E,$C271),INDEX(GL!$E:$E,$C271)))</f>
        <v/>
      </c>
      <c r="H271" s="5" t="str">
        <f aca="false">IF(C271=0,"",IF(A271="GL",IF(G271&gt;0,"Deposit in transit","Outstanding check / payment"),IF(G271&gt;0,"Bank credit not in GL","Bank debit not in GL")))</f>
        <v/>
      </c>
      <c r="I271" s="42" t="str">
        <f aca="false">IF(OR(C271=0,CFG_PeriodEnd=""),"",CFG_PeriodEnd-D271)</f>
        <v/>
      </c>
      <c r="J271" s="5" t="str">
        <f aca="false">IF(C271=0,"",IF($A271="Bank",IF(INDEX(Bank!$G:$G,$C271)="","",INDEX(Bank!$G:$G,$C271)),IF(INDEX(GL!$G:$G,$C271)="","",INDEX(GL!$G:$G,$C271))))</f>
        <v/>
      </c>
      <c r="K271" s="5" t="str">
        <f aca="false">IF(C271=0,"",IF($A271="Bank",IF(INDEX(Bank!$I:$I,$C271)="","",INDEX(Bank!$I:$I,$C271)),IF(INDEX(GL!$I:$I,$C271)="","",INDEX(GL!$I:$I,$C271))))</f>
        <v/>
      </c>
      <c r="L271" s="5" t="str">
        <f aca="false">IF(B271="","",IF(C271=0,"NOT FOUND",IF(IF($A271="Bank",INDEX(Bank!$F:$F,$C271),INDEX(GL!$F:$F,$C271))="Y","NOW RECONCILED: refresh","OK")))</f>
        <v/>
      </c>
    </row>
    <row r="272" customFormat="false" ht="15" hidden="false" customHeight="false" outlineLevel="0" collapsed="false">
      <c r="A272" s="41"/>
      <c r="B272" s="41"/>
      <c r="C272" s="5" t="n">
        <f aca="false">IF(B272="",0,IF(A272="Bank",IFERROR(MATCH(B272,Bank!$A:$A,0),0),IFERROR(MATCH(B272,GL!$A:$A,0),0)))</f>
        <v>0</v>
      </c>
      <c r="D272" s="32" t="str">
        <f aca="false">IF(C272=0,"",IF($A272="Bank",INDEX(Bank!$B:$B,$C272),INDEX(GL!$B:$B,$C272)))</f>
        <v/>
      </c>
      <c r="E272" s="5" t="str">
        <f aca="false">IF(C272=0,"",IF($A272="Bank",IF(INDEX(Bank!$C:$C,$C272)="","",INDEX(Bank!$C:$C,$C272)),IF(INDEX(GL!$C:$C,$C272)="","",INDEX(GL!$C:$C,$C272))))</f>
        <v/>
      </c>
      <c r="F272" s="5" t="str">
        <f aca="false">IF(C272=0,"",IF($A272="Bank",IF(INDEX(Bank!$D:$D,$C272)="","",INDEX(Bank!$D:$D,$C272)),IF(INDEX(GL!$D:$D,$C272)="","",INDEX(GL!$D:$D,$C272))))</f>
        <v/>
      </c>
      <c r="G272" s="19" t="str">
        <f aca="false">IF(C272=0,"",IF($A272="Bank",INDEX(Bank!$E:$E,$C272),INDEX(GL!$E:$E,$C272)))</f>
        <v/>
      </c>
      <c r="H272" s="5" t="str">
        <f aca="false">IF(C272=0,"",IF(A272="GL",IF(G272&gt;0,"Deposit in transit","Outstanding check / payment"),IF(G272&gt;0,"Bank credit not in GL","Bank debit not in GL")))</f>
        <v/>
      </c>
      <c r="I272" s="42" t="str">
        <f aca="false">IF(OR(C272=0,CFG_PeriodEnd=""),"",CFG_PeriodEnd-D272)</f>
        <v/>
      </c>
      <c r="J272" s="5" t="str">
        <f aca="false">IF(C272=0,"",IF($A272="Bank",IF(INDEX(Bank!$G:$G,$C272)="","",INDEX(Bank!$G:$G,$C272)),IF(INDEX(GL!$G:$G,$C272)="","",INDEX(GL!$G:$G,$C272))))</f>
        <v/>
      </c>
      <c r="K272" s="5" t="str">
        <f aca="false">IF(C272=0,"",IF($A272="Bank",IF(INDEX(Bank!$I:$I,$C272)="","",INDEX(Bank!$I:$I,$C272)),IF(INDEX(GL!$I:$I,$C272)="","",INDEX(GL!$I:$I,$C272))))</f>
        <v/>
      </c>
      <c r="L272" s="5" t="str">
        <f aca="false">IF(B272="","",IF(C272=0,"NOT FOUND",IF(IF($A272="Bank",INDEX(Bank!$F:$F,$C272),INDEX(GL!$F:$F,$C272))="Y","NOW RECONCILED: refresh","OK")))</f>
        <v/>
      </c>
    </row>
    <row r="273" customFormat="false" ht="15" hidden="false" customHeight="false" outlineLevel="0" collapsed="false">
      <c r="A273" s="41"/>
      <c r="B273" s="41"/>
      <c r="C273" s="5" t="n">
        <f aca="false">IF(B273="",0,IF(A273="Bank",IFERROR(MATCH(B273,Bank!$A:$A,0),0),IFERROR(MATCH(B273,GL!$A:$A,0),0)))</f>
        <v>0</v>
      </c>
      <c r="D273" s="32" t="str">
        <f aca="false">IF(C273=0,"",IF($A273="Bank",INDEX(Bank!$B:$B,$C273),INDEX(GL!$B:$B,$C273)))</f>
        <v/>
      </c>
      <c r="E273" s="5" t="str">
        <f aca="false">IF(C273=0,"",IF($A273="Bank",IF(INDEX(Bank!$C:$C,$C273)="","",INDEX(Bank!$C:$C,$C273)),IF(INDEX(GL!$C:$C,$C273)="","",INDEX(GL!$C:$C,$C273))))</f>
        <v/>
      </c>
      <c r="F273" s="5" t="str">
        <f aca="false">IF(C273=0,"",IF($A273="Bank",IF(INDEX(Bank!$D:$D,$C273)="","",INDEX(Bank!$D:$D,$C273)),IF(INDEX(GL!$D:$D,$C273)="","",INDEX(GL!$D:$D,$C273))))</f>
        <v/>
      </c>
      <c r="G273" s="19" t="str">
        <f aca="false">IF(C273=0,"",IF($A273="Bank",INDEX(Bank!$E:$E,$C273),INDEX(GL!$E:$E,$C273)))</f>
        <v/>
      </c>
      <c r="H273" s="5" t="str">
        <f aca="false">IF(C273=0,"",IF(A273="GL",IF(G273&gt;0,"Deposit in transit","Outstanding check / payment"),IF(G273&gt;0,"Bank credit not in GL","Bank debit not in GL")))</f>
        <v/>
      </c>
      <c r="I273" s="42" t="str">
        <f aca="false">IF(OR(C273=0,CFG_PeriodEnd=""),"",CFG_PeriodEnd-D273)</f>
        <v/>
      </c>
      <c r="J273" s="5" t="str">
        <f aca="false">IF(C273=0,"",IF($A273="Bank",IF(INDEX(Bank!$G:$G,$C273)="","",INDEX(Bank!$G:$G,$C273)),IF(INDEX(GL!$G:$G,$C273)="","",INDEX(GL!$G:$G,$C273))))</f>
        <v/>
      </c>
      <c r="K273" s="5" t="str">
        <f aca="false">IF(C273=0,"",IF($A273="Bank",IF(INDEX(Bank!$I:$I,$C273)="","",INDEX(Bank!$I:$I,$C273)),IF(INDEX(GL!$I:$I,$C273)="","",INDEX(GL!$I:$I,$C273))))</f>
        <v/>
      </c>
      <c r="L273" s="5" t="str">
        <f aca="false">IF(B273="","",IF(C273=0,"NOT FOUND",IF(IF($A273="Bank",INDEX(Bank!$F:$F,$C273),INDEX(GL!$F:$F,$C273))="Y","NOW RECONCILED: refresh","OK")))</f>
        <v/>
      </c>
    </row>
    <row r="274" customFormat="false" ht="15" hidden="false" customHeight="false" outlineLevel="0" collapsed="false">
      <c r="A274" s="41"/>
      <c r="B274" s="41"/>
      <c r="C274" s="5" t="n">
        <f aca="false">IF(B274="",0,IF(A274="Bank",IFERROR(MATCH(B274,Bank!$A:$A,0),0),IFERROR(MATCH(B274,GL!$A:$A,0),0)))</f>
        <v>0</v>
      </c>
      <c r="D274" s="32" t="str">
        <f aca="false">IF(C274=0,"",IF($A274="Bank",INDEX(Bank!$B:$B,$C274),INDEX(GL!$B:$B,$C274)))</f>
        <v/>
      </c>
      <c r="E274" s="5" t="str">
        <f aca="false">IF(C274=0,"",IF($A274="Bank",IF(INDEX(Bank!$C:$C,$C274)="","",INDEX(Bank!$C:$C,$C274)),IF(INDEX(GL!$C:$C,$C274)="","",INDEX(GL!$C:$C,$C274))))</f>
        <v/>
      </c>
      <c r="F274" s="5" t="str">
        <f aca="false">IF(C274=0,"",IF($A274="Bank",IF(INDEX(Bank!$D:$D,$C274)="","",INDEX(Bank!$D:$D,$C274)),IF(INDEX(GL!$D:$D,$C274)="","",INDEX(GL!$D:$D,$C274))))</f>
        <v/>
      </c>
      <c r="G274" s="19" t="str">
        <f aca="false">IF(C274=0,"",IF($A274="Bank",INDEX(Bank!$E:$E,$C274),INDEX(GL!$E:$E,$C274)))</f>
        <v/>
      </c>
      <c r="H274" s="5" t="str">
        <f aca="false">IF(C274=0,"",IF(A274="GL",IF(G274&gt;0,"Deposit in transit","Outstanding check / payment"),IF(G274&gt;0,"Bank credit not in GL","Bank debit not in GL")))</f>
        <v/>
      </c>
      <c r="I274" s="42" t="str">
        <f aca="false">IF(OR(C274=0,CFG_PeriodEnd=""),"",CFG_PeriodEnd-D274)</f>
        <v/>
      </c>
      <c r="J274" s="5" t="str">
        <f aca="false">IF(C274=0,"",IF($A274="Bank",IF(INDEX(Bank!$G:$G,$C274)="","",INDEX(Bank!$G:$G,$C274)),IF(INDEX(GL!$G:$G,$C274)="","",INDEX(GL!$G:$G,$C274))))</f>
        <v/>
      </c>
      <c r="K274" s="5" t="str">
        <f aca="false">IF(C274=0,"",IF($A274="Bank",IF(INDEX(Bank!$I:$I,$C274)="","",INDEX(Bank!$I:$I,$C274)),IF(INDEX(GL!$I:$I,$C274)="","",INDEX(GL!$I:$I,$C274))))</f>
        <v/>
      </c>
      <c r="L274" s="5" t="str">
        <f aca="false">IF(B274="","",IF(C274=0,"NOT FOUND",IF(IF($A274="Bank",INDEX(Bank!$F:$F,$C274),INDEX(GL!$F:$F,$C274))="Y","NOW RECONCILED: refresh","OK")))</f>
        <v/>
      </c>
    </row>
    <row r="275" customFormat="false" ht="15" hidden="false" customHeight="false" outlineLevel="0" collapsed="false">
      <c r="A275" s="41"/>
      <c r="B275" s="41"/>
      <c r="C275" s="5" t="n">
        <f aca="false">IF(B275="",0,IF(A275="Bank",IFERROR(MATCH(B275,Bank!$A:$A,0),0),IFERROR(MATCH(B275,GL!$A:$A,0),0)))</f>
        <v>0</v>
      </c>
      <c r="D275" s="32" t="str">
        <f aca="false">IF(C275=0,"",IF($A275="Bank",INDEX(Bank!$B:$B,$C275),INDEX(GL!$B:$B,$C275)))</f>
        <v/>
      </c>
      <c r="E275" s="5" t="str">
        <f aca="false">IF(C275=0,"",IF($A275="Bank",IF(INDEX(Bank!$C:$C,$C275)="","",INDEX(Bank!$C:$C,$C275)),IF(INDEX(GL!$C:$C,$C275)="","",INDEX(GL!$C:$C,$C275))))</f>
        <v/>
      </c>
      <c r="F275" s="5" t="str">
        <f aca="false">IF(C275=0,"",IF($A275="Bank",IF(INDEX(Bank!$D:$D,$C275)="","",INDEX(Bank!$D:$D,$C275)),IF(INDEX(GL!$D:$D,$C275)="","",INDEX(GL!$D:$D,$C275))))</f>
        <v/>
      </c>
      <c r="G275" s="19" t="str">
        <f aca="false">IF(C275=0,"",IF($A275="Bank",INDEX(Bank!$E:$E,$C275),INDEX(GL!$E:$E,$C275)))</f>
        <v/>
      </c>
      <c r="H275" s="5" t="str">
        <f aca="false">IF(C275=0,"",IF(A275="GL",IF(G275&gt;0,"Deposit in transit","Outstanding check / payment"),IF(G275&gt;0,"Bank credit not in GL","Bank debit not in GL")))</f>
        <v/>
      </c>
      <c r="I275" s="42" t="str">
        <f aca="false">IF(OR(C275=0,CFG_PeriodEnd=""),"",CFG_PeriodEnd-D275)</f>
        <v/>
      </c>
      <c r="J275" s="5" t="str">
        <f aca="false">IF(C275=0,"",IF($A275="Bank",IF(INDEX(Bank!$G:$G,$C275)="","",INDEX(Bank!$G:$G,$C275)),IF(INDEX(GL!$G:$G,$C275)="","",INDEX(GL!$G:$G,$C275))))</f>
        <v/>
      </c>
      <c r="K275" s="5" t="str">
        <f aca="false">IF(C275=0,"",IF($A275="Bank",IF(INDEX(Bank!$I:$I,$C275)="","",INDEX(Bank!$I:$I,$C275)),IF(INDEX(GL!$I:$I,$C275)="","",INDEX(GL!$I:$I,$C275))))</f>
        <v/>
      </c>
      <c r="L275" s="5" t="str">
        <f aca="false">IF(B275="","",IF(C275=0,"NOT FOUND",IF(IF($A275="Bank",INDEX(Bank!$F:$F,$C275),INDEX(GL!$F:$F,$C275))="Y","NOW RECONCILED: refresh","OK")))</f>
        <v/>
      </c>
    </row>
    <row r="276" customFormat="false" ht="15" hidden="false" customHeight="false" outlineLevel="0" collapsed="false">
      <c r="A276" s="41"/>
      <c r="B276" s="41"/>
      <c r="C276" s="5" t="n">
        <f aca="false">IF(B276="",0,IF(A276="Bank",IFERROR(MATCH(B276,Bank!$A:$A,0),0),IFERROR(MATCH(B276,GL!$A:$A,0),0)))</f>
        <v>0</v>
      </c>
      <c r="D276" s="32" t="str">
        <f aca="false">IF(C276=0,"",IF($A276="Bank",INDEX(Bank!$B:$B,$C276),INDEX(GL!$B:$B,$C276)))</f>
        <v/>
      </c>
      <c r="E276" s="5" t="str">
        <f aca="false">IF(C276=0,"",IF($A276="Bank",IF(INDEX(Bank!$C:$C,$C276)="","",INDEX(Bank!$C:$C,$C276)),IF(INDEX(GL!$C:$C,$C276)="","",INDEX(GL!$C:$C,$C276))))</f>
        <v/>
      </c>
      <c r="F276" s="5" t="str">
        <f aca="false">IF(C276=0,"",IF($A276="Bank",IF(INDEX(Bank!$D:$D,$C276)="","",INDEX(Bank!$D:$D,$C276)),IF(INDEX(GL!$D:$D,$C276)="","",INDEX(GL!$D:$D,$C276))))</f>
        <v/>
      </c>
      <c r="G276" s="19" t="str">
        <f aca="false">IF(C276=0,"",IF($A276="Bank",INDEX(Bank!$E:$E,$C276),INDEX(GL!$E:$E,$C276)))</f>
        <v/>
      </c>
      <c r="H276" s="5" t="str">
        <f aca="false">IF(C276=0,"",IF(A276="GL",IF(G276&gt;0,"Deposit in transit","Outstanding check / payment"),IF(G276&gt;0,"Bank credit not in GL","Bank debit not in GL")))</f>
        <v/>
      </c>
      <c r="I276" s="42" t="str">
        <f aca="false">IF(OR(C276=0,CFG_PeriodEnd=""),"",CFG_PeriodEnd-D276)</f>
        <v/>
      </c>
      <c r="J276" s="5" t="str">
        <f aca="false">IF(C276=0,"",IF($A276="Bank",IF(INDEX(Bank!$G:$G,$C276)="","",INDEX(Bank!$G:$G,$C276)),IF(INDEX(GL!$G:$G,$C276)="","",INDEX(GL!$G:$G,$C276))))</f>
        <v/>
      </c>
      <c r="K276" s="5" t="str">
        <f aca="false">IF(C276=0,"",IF($A276="Bank",IF(INDEX(Bank!$I:$I,$C276)="","",INDEX(Bank!$I:$I,$C276)),IF(INDEX(GL!$I:$I,$C276)="","",INDEX(GL!$I:$I,$C276))))</f>
        <v/>
      </c>
      <c r="L276" s="5" t="str">
        <f aca="false">IF(B276="","",IF(C276=0,"NOT FOUND",IF(IF($A276="Bank",INDEX(Bank!$F:$F,$C276),INDEX(GL!$F:$F,$C276))="Y","NOW RECONCILED: refresh","OK")))</f>
        <v/>
      </c>
    </row>
    <row r="277" customFormat="false" ht="15" hidden="false" customHeight="false" outlineLevel="0" collapsed="false">
      <c r="A277" s="41"/>
      <c r="B277" s="41"/>
      <c r="C277" s="5" t="n">
        <f aca="false">IF(B277="",0,IF(A277="Bank",IFERROR(MATCH(B277,Bank!$A:$A,0),0),IFERROR(MATCH(B277,GL!$A:$A,0),0)))</f>
        <v>0</v>
      </c>
      <c r="D277" s="32" t="str">
        <f aca="false">IF(C277=0,"",IF($A277="Bank",INDEX(Bank!$B:$B,$C277),INDEX(GL!$B:$B,$C277)))</f>
        <v/>
      </c>
      <c r="E277" s="5" t="str">
        <f aca="false">IF(C277=0,"",IF($A277="Bank",IF(INDEX(Bank!$C:$C,$C277)="","",INDEX(Bank!$C:$C,$C277)),IF(INDEX(GL!$C:$C,$C277)="","",INDEX(GL!$C:$C,$C277))))</f>
        <v/>
      </c>
      <c r="F277" s="5" t="str">
        <f aca="false">IF(C277=0,"",IF($A277="Bank",IF(INDEX(Bank!$D:$D,$C277)="","",INDEX(Bank!$D:$D,$C277)),IF(INDEX(GL!$D:$D,$C277)="","",INDEX(GL!$D:$D,$C277))))</f>
        <v/>
      </c>
      <c r="G277" s="19" t="str">
        <f aca="false">IF(C277=0,"",IF($A277="Bank",INDEX(Bank!$E:$E,$C277),INDEX(GL!$E:$E,$C277)))</f>
        <v/>
      </c>
      <c r="H277" s="5" t="str">
        <f aca="false">IF(C277=0,"",IF(A277="GL",IF(G277&gt;0,"Deposit in transit","Outstanding check / payment"),IF(G277&gt;0,"Bank credit not in GL","Bank debit not in GL")))</f>
        <v/>
      </c>
      <c r="I277" s="42" t="str">
        <f aca="false">IF(OR(C277=0,CFG_PeriodEnd=""),"",CFG_PeriodEnd-D277)</f>
        <v/>
      </c>
      <c r="J277" s="5" t="str">
        <f aca="false">IF(C277=0,"",IF($A277="Bank",IF(INDEX(Bank!$G:$G,$C277)="","",INDEX(Bank!$G:$G,$C277)),IF(INDEX(GL!$G:$G,$C277)="","",INDEX(GL!$G:$G,$C277))))</f>
        <v/>
      </c>
      <c r="K277" s="5" t="str">
        <f aca="false">IF(C277=0,"",IF($A277="Bank",IF(INDEX(Bank!$I:$I,$C277)="","",INDEX(Bank!$I:$I,$C277)),IF(INDEX(GL!$I:$I,$C277)="","",INDEX(GL!$I:$I,$C277))))</f>
        <v/>
      </c>
      <c r="L277" s="5" t="str">
        <f aca="false">IF(B277="","",IF(C277=0,"NOT FOUND",IF(IF($A277="Bank",INDEX(Bank!$F:$F,$C277),INDEX(GL!$F:$F,$C277))="Y","NOW RECONCILED: refresh","OK")))</f>
        <v/>
      </c>
    </row>
    <row r="278" customFormat="false" ht="15" hidden="false" customHeight="false" outlineLevel="0" collapsed="false">
      <c r="A278" s="41"/>
      <c r="B278" s="41"/>
      <c r="C278" s="5" t="n">
        <f aca="false">IF(B278="",0,IF(A278="Bank",IFERROR(MATCH(B278,Bank!$A:$A,0),0),IFERROR(MATCH(B278,GL!$A:$A,0),0)))</f>
        <v>0</v>
      </c>
      <c r="D278" s="32" t="str">
        <f aca="false">IF(C278=0,"",IF($A278="Bank",INDEX(Bank!$B:$B,$C278),INDEX(GL!$B:$B,$C278)))</f>
        <v/>
      </c>
      <c r="E278" s="5" t="str">
        <f aca="false">IF(C278=0,"",IF($A278="Bank",IF(INDEX(Bank!$C:$C,$C278)="","",INDEX(Bank!$C:$C,$C278)),IF(INDEX(GL!$C:$C,$C278)="","",INDEX(GL!$C:$C,$C278))))</f>
        <v/>
      </c>
      <c r="F278" s="5" t="str">
        <f aca="false">IF(C278=0,"",IF($A278="Bank",IF(INDEX(Bank!$D:$D,$C278)="","",INDEX(Bank!$D:$D,$C278)),IF(INDEX(GL!$D:$D,$C278)="","",INDEX(GL!$D:$D,$C278))))</f>
        <v/>
      </c>
      <c r="G278" s="19" t="str">
        <f aca="false">IF(C278=0,"",IF($A278="Bank",INDEX(Bank!$E:$E,$C278),INDEX(GL!$E:$E,$C278)))</f>
        <v/>
      </c>
      <c r="H278" s="5" t="str">
        <f aca="false">IF(C278=0,"",IF(A278="GL",IF(G278&gt;0,"Deposit in transit","Outstanding check / payment"),IF(G278&gt;0,"Bank credit not in GL","Bank debit not in GL")))</f>
        <v/>
      </c>
      <c r="I278" s="42" t="str">
        <f aca="false">IF(OR(C278=0,CFG_PeriodEnd=""),"",CFG_PeriodEnd-D278)</f>
        <v/>
      </c>
      <c r="J278" s="5" t="str">
        <f aca="false">IF(C278=0,"",IF($A278="Bank",IF(INDEX(Bank!$G:$G,$C278)="","",INDEX(Bank!$G:$G,$C278)),IF(INDEX(GL!$G:$G,$C278)="","",INDEX(GL!$G:$G,$C278))))</f>
        <v/>
      </c>
      <c r="K278" s="5" t="str">
        <f aca="false">IF(C278=0,"",IF($A278="Bank",IF(INDEX(Bank!$I:$I,$C278)="","",INDEX(Bank!$I:$I,$C278)),IF(INDEX(GL!$I:$I,$C278)="","",INDEX(GL!$I:$I,$C278))))</f>
        <v/>
      </c>
      <c r="L278" s="5" t="str">
        <f aca="false">IF(B278="","",IF(C278=0,"NOT FOUND",IF(IF($A278="Bank",INDEX(Bank!$F:$F,$C278),INDEX(GL!$F:$F,$C278))="Y","NOW RECONCILED: refresh","OK")))</f>
        <v/>
      </c>
    </row>
    <row r="279" customFormat="false" ht="15" hidden="false" customHeight="false" outlineLevel="0" collapsed="false">
      <c r="A279" s="41"/>
      <c r="B279" s="41"/>
      <c r="C279" s="5" t="n">
        <f aca="false">IF(B279="",0,IF(A279="Bank",IFERROR(MATCH(B279,Bank!$A:$A,0),0),IFERROR(MATCH(B279,GL!$A:$A,0),0)))</f>
        <v>0</v>
      </c>
      <c r="D279" s="32" t="str">
        <f aca="false">IF(C279=0,"",IF($A279="Bank",INDEX(Bank!$B:$B,$C279),INDEX(GL!$B:$B,$C279)))</f>
        <v/>
      </c>
      <c r="E279" s="5" t="str">
        <f aca="false">IF(C279=0,"",IF($A279="Bank",IF(INDEX(Bank!$C:$C,$C279)="","",INDEX(Bank!$C:$C,$C279)),IF(INDEX(GL!$C:$C,$C279)="","",INDEX(GL!$C:$C,$C279))))</f>
        <v/>
      </c>
      <c r="F279" s="5" t="str">
        <f aca="false">IF(C279=0,"",IF($A279="Bank",IF(INDEX(Bank!$D:$D,$C279)="","",INDEX(Bank!$D:$D,$C279)),IF(INDEX(GL!$D:$D,$C279)="","",INDEX(GL!$D:$D,$C279))))</f>
        <v/>
      </c>
      <c r="G279" s="19" t="str">
        <f aca="false">IF(C279=0,"",IF($A279="Bank",INDEX(Bank!$E:$E,$C279),INDEX(GL!$E:$E,$C279)))</f>
        <v/>
      </c>
      <c r="H279" s="5" t="str">
        <f aca="false">IF(C279=0,"",IF(A279="GL",IF(G279&gt;0,"Deposit in transit","Outstanding check / payment"),IF(G279&gt;0,"Bank credit not in GL","Bank debit not in GL")))</f>
        <v/>
      </c>
      <c r="I279" s="42" t="str">
        <f aca="false">IF(OR(C279=0,CFG_PeriodEnd=""),"",CFG_PeriodEnd-D279)</f>
        <v/>
      </c>
      <c r="J279" s="5" t="str">
        <f aca="false">IF(C279=0,"",IF($A279="Bank",IF(INDEX(Bank!$G:$G,$C279)="","",INDEX(Bank!$G:$G,$C279)),IF(INDEX(GL!$G:$G,$C279)="","",INDEX(GL!$G:$G,$C279))))</f>
        <v/>
      </c>
      <c r="K279" s="5" t="str">
        <f aca="false">IF(C279=0,"",IF($A279="Bank",IF(INDEX(Bank!$I:$I,$C279)="","",INDEX(Bank!$I:$I,$C279)),IF(INDEX(GL!$I:$I,$C279)="","",INDEX(GL!$I:$I,$C279))))</f>
        <v/>
      </c>
      <c r="L279" s="5" t="str">
        <f aca="false">IF(B279="","",IF(C279=0,"NOT FOUND",IF(IF($A279="Bank",INDEX(Bank!$F:$F,$C279),INDEX(GL!$F:$F,$C279))="Y","NOW RECONCILED: refresh","OK")))</f>
        <v/>
      </c>
    </row>
    <row r="280" customFormat="false" ht="15" hidden="false" customHeight="false" outlineLevel="0" collapsed="false">
      <c r="A280" s="41"/>
      <c r="B280" s="41"/>
      <c r="C280" s="5" t="n">
        <f aca="false">IF(B280="",0,IF(A280="Bank",IFERROR(MATCH(B280,Bank!$A:$A,0),0),IFERROR(MATCH(B280,GL!$A:$A,0),0)))</f>
        <v>0</v>
      </c>
      <c r="D280" s="32" t="str">
        <f aca="false">IF(C280=0,"",IF($A280="Bank",INDEX(Bank!$B:$B,$C280),INDEX(GL!$B:$B,$C280)))</f>
        <v/>
      </c>
      <c r="E280" s="5" t="str">
        <f aca="false">IF(C280=0,"",IF($A280="Bank",IF(INDEX(Bank!$C:$C,$C280)="","",INDEX(Bank!$C:$C,$C280)),IF(INDEX(GL!$C:$C,$C280)="","",INDEX(GL!$C:$C,$C280))))</f>
        <v/>
      </c>
      <c r="F280" s="5" t="str">
        <f aca="false">IF(C280=0,"",IF($A280="Bank",IF(INDEX(Bank!$D:$D,$C280)="","",INDEX(Bank!$D:$D,$C280)),IF(INDEX(GL!$D:$D,$C280)="","",INDEX(GL!$D:$D,$C280))))</f>
        <v/>
      </c>
      <c r="G280" s="19" t="str">
        <f aca="false">IF(C280=0,"",IF($A280="Bank",INDEX(Bank!$E:$E,$C280),INDEX(GL!$E:$E,$C280)))</f>
        <v/>
      </c>
      <c r="H280" s="5" t="str">
        <f aca="false">IF(C280=0,"",IF(A280="GL",IF(G280&gt;0,"Deposit in transit","Outstanding check / payment"),IF(G280&gt;0,"Bank credit not in GL","Bank debit not in GL")))</f>
        <v/>
      </c>
      <c r="I280" s="42" t="str">
        <f aca="false">IF(OR(C280=0,CFG_PeriodEnd=""),"",CFG_PeriodEnd-D280)</f>
        <v/>
      </c>
      <c r="J280" s="5" t="str">
        <f aca="false">IF(C280=0,"",IF($A280="Bank",IF(INDEX(Bank!$G:$G,$C280)="","",INDEX(Bank!$G:$G,$C280)),IF(INDEX(GL!$G:$G,$C280)="","",INDEX(GL!$G:$G,$C280))))</f>
        <v/>
      </c>
      <c r="K280" s="5" t="str">
        <f aca="false">IF(C280=0,"",IF($A280="Bank",IF(INDEX(Bank!$I:$I,$C280)="","",INDEX(Bank!$I:$I,$C280)),IF(INDEX(GL!$I:$I,$C280)="","",INDEX(GL!$I:$I,$C280))))</f>
        <v/>
      </c>
      <c r="L280" s="5" t="str">
        <f aca="false">IF(B280="","",IF(C280=0,"NOT FOUND",IF(IF($A280="Bank",INDEX(Bank!$F:$F,$C280),INDEX(GL!$F:$F,$C280))="Y","NOW RECONCILED: refresh","OK")))</f>
        <v/>
      </c>
    </row>
    <row r="281" customFormat="false" ht="15" hidden="false" customHeight="false" outlineLevel="0" collapsed="false">
      <c r="A281" s="41"/>
      <c r="B281" s="41"/>
      <c r="C281" s="5" t="n">
        <f aca="false">IF(B281="",0,IF(A281="Bank",IFERROR(MATCH(B281,Bank!$A:$A,0),0),IFERROR(MATCH(B281,GL!$A:$A,0),0)))</f>
        <v>0</v>
      </c>
      <c r="D281" s="32" t="str">
        <f aca="false">IF(C281=0,"",IF($A281="Bank",INDEX(Bank!$B:$B,$C281),INDEX(GL!$B:$B,$C281)))</f>
        <v/>
      </c>
      <c r="E281" s="5" t="str">
        <f aca="false">IF(C281=0,"",IF($A281="Bank",IF(INDEX(Bank!$C:$C,$C281)="","",INDEX(Bank!$C:$C,$C281)),IF(INDEX(GL!$C:$C,$C281)="","",INDEX(GL!$C:$C,$C281))))</f>
        <v/>
      </c>
      <c r="F281" s="5" t="str">
        <f aca="false">IF(C281=0,"",IF($A281="Bank",IF(INDEX(Bank!$D:$D,$C281)="","",INDEX(Bank!$D:$D,$C281)),IF(INDEX(GL!$D:$D,$C281)="","",INDEX(GL!$D:$D,$C281))))</f>
        <v/>
      </c>
      <c r="G281" s="19" t="str">
        <f aca="false">IF(C281=0,"",IF($A281="Bank",INDEX(Bank!$E:$E,$C281),INDEX(GL!$E:$E,$C281)))</f>
        <v/>
      </c>
      <c r="H281" s="5" t="str">
        <f aca="false">IF(C281=0,"",IF(A281="GL",IF(G281&gt;0,"Deposit in transit","Outstanding check / payment"),IF(G281&gt;0,"Bank credit not in GL","Bank debit not in GL")))</f>
        <v/>
      </c>
      <c r="I281" s="42" t="str">
        <f aca="false">IF(OR(C281=0,CFG_PeriodEnd=""),"",CFG_PeriodEnd-D281)</f>
        <v/>
      </c>
      <c r="J281" s="5" t="str">
        <f aca="false">IF(C281=0,"",IF($A281="Bank",IF(INDEX(Bank!$G:$G,$C281)="","",INDEX(Bank!$G:$G,$C281)),IF(INDEX(GL!$G:$G,$C281)="","",INDEX(GL!$G:$G,$C281))))</f>
        <v/>
      </c>
      <c r="K281" s="5" t="str">
        <f aca="false">IF(C281=0,"",IF($A281="Bank",IF(INDEX(Bank!$I:$I,$C281)="","",INDEX(Bank!$I:$I,$C281)),IF(INDEX(GL!$I:$I,$C281)="","",INDEX(GL!$I:$I,$C281))))</f>
        <v/>
      </c>
      <c r="L281" s="5" t="str">
        <f aca="false">IF(B281="","",IF(C281=0,"NOT FOUND",IF(IF($A281="Bank",INDEX(Bank!$F:$F,$C281),INDEX(GL!$F:$F,$C281))="Y","NOW RECONCILED: refresh","OK")))</f>
        <v/>
      </c>
    </row>
    <row r="282" customFormat="false" ht="15" hidden="false" customHeight="false" outlineLevel="0" collapsed="false">
      <c r="A282" s="41"/>
      <c r="B282" s="41"/>
      <c r="C282" s="5" t="n">
        <f aca="false">IF(B282="",0,IF(A282="Bank",IFERROR(MATCH(B282,Bank!$A:$A,0),0),IFERROR(MATCH(B282,GL!$A:$A,0),0)))</f>
        <v>0</v>
      </c>
      <c r="D282" s="32" t="str">
        <f aca="false">IF(C282=0,"",IF($A282="Bank",INDEX(Bank!$B:$B,$C282),INDEX(GL!$B:$B,$C282)))</f>
        <v/>
      </c>
      <c r="E282" s="5" t="str">
        <f aca="false">IF(C282=0,"",IF($A282="Bank",IF(INDEX(Bank!$C:$C,$C282)="","",INDEX(Bank!$C:$C,$C282)),IF(INDEX(GL!$C:$C,$C282)="","",INDEX(GL!$C:$C,$C282))))</f>
        <v/>
      </c>
      <c r="F282" s="5" t="str">
        <f aca="false">IF(C282=0,"",IF($A282="Bank",IF(INDEX(Bank!$D:$D,$C282)="","",INDEX(Bank!$D:$D,$C282)),IF(INDEX(GL!$D:$D,$C282)="","",INDEX(GL!$D:$D,$C282))))</f>
        <v/>
      </c>
      <c r="G282" s="19" t="str">
        <f aca="false">IF(C282=0,"",IF($A282="Bank",INDEX(Bank!$E:$E,$C282),INDEX(GL!$E:$E,$C282)))</f>
        <v/>
      </c>
      <c r="H282" s="5" t="str">
        <f aca="false">IF(C282=0,"",IF(A282="GL",IF(G282&gt;0,"Deposit in transit","Outstanding check / payment"),IF(G282&gt;0,"Bank credit not in GL","Bank debit not in GL")))</f>
        <v/>
      </c>
      <c r="I282" s="42" t="str">
        <f aca="false">IF(OR(C282=0,CFG_PeriodEnd=""),"",CFG_PeriodEnd-D282)</f>
        <v/>
      </c>
      <c r="J282" s="5" t="str">
        <f aca="false">IF(C282=0,"",IF($A282="Bank",IF(INDEX(Bank!$G:$G,$C282)="","",INDEX(Bank!$G:$G,$C282)),IF(INDEX(GL!$G:$G,$C282)="","",INDEX(GL!$G:$G,$C282))))</f>
        <v/>
      </c>
      <c r="K282" s="5" t="str">
        <f aca="false">IF(C282=0,"",IF($A282="Bank",IF(INDEX(Bank!$I:$I,$C282)="","",INDEX(Bank!$I:$I,$C282)),IF(INDEX(GL!$I:$I,$C282)="","",INDEX(GL!$I:$I,$C282))))</f>
        <v/>
      </c>
      <c r="L282" s="5" t="str">
        <f aca="false">IF(B282="","",IF(C282=0,"NOT FOUND",IF(IF($A282="Bank",INDEX(Bank!$F:$F,$C282),INDEX(GL!$F:$F,$C282))="Y","NOW RECONCILED: refresh","OK")))</f>
        <v/>
      </c>
    </row>
    <row r="283" customFormat="false" ht="15" hidden="false" customHeight="false" outlineLevel="0" collapsed="false">
      <c r="A283" s="41"/>
      <c r="B283" s="41"/>
      <c r="C283" s="5" t="n">
        <f aca="false">IF(B283="",0,IF(A283="Bank",IFERROR(MATCH(B283,Bank!$A:$A,0),0),IFERROR(MATCH(B283,GL!$A:$A,0),0)))</f>
        <v>0</v>
      </c>
      <c r="D283" s="32" t="str">
        <f aca="false">IF(C283=0,"",IF($A283="Bank",INDEX(Bank!$B:$B,$C283),INDEX(GL!$B:$B,$C283)))</f>
        <v/>
      </c>
      <c r="E283" s="5" t="str">
        <f aca="false">IF(C283=0,"",IF($A283="Bank",IF(INDEX(Bank!$C:$C,$C283)="","",INDEX(Bank!$C:$C,$C283)),IF(INDEX(GL!$C:$C,$C283)="","",INDEX(GL!$C:$C,$C283))))</f>
        <v/>
      </c>
      <c r="F283" s="5" t="str">
        <f aca="false">IF(C283=0,"",IF($A283="Bank",IF(INDEX(Bank!$D:$D,$C283)="","",INDEX(Bank!$D:$D,$C283)),IF(INDEX(GL!$D:$D,$C283)="","",INDEX(GL!$D:$D,$C283))))</f>
        <v/>
      </c>
      <c r="G283" s="19" t="str">
        <f aca="false">IF(C283=0,"",IF($A283="Bank",INDEX(Bank!$E:$E,$C283),INDEX(GL!$E:$E,$C283)))</f>
        <v/>
      </c>
      <c r="H283" s="5" t="str">
        <f aca="false">IF(C283=0,"",IF(A283="GL",IF(G283&gt;0,"Deposit in transit","Outstanding check / payment"),IF(G283&gt;0,"Bank credit not in GL","Bank debit not in GL")))</f>
        <v/>
      </c>
      <c r="I283" s="42" t="str">
        <f aca="false">IF(OR(C283=0,CFG_PeriodEnd=""),"",CFG_PeriodEnd-D283)</f>
        <v/>
      </c>
      <c r="J283" s="5" t="str">
        <f aca="false">IF(C283=0,"",IF($A283="Bank",IF(INDEX(Bank!$G:$G,$C283)="","",INDEX(Bank!$G:$G,$C283)),IF(INDEX(GL!$G:$G,$C283)="","",INDEX(GL!$G:$G,$C283))))</f>
        <v/>
      </c>
      <c r="K283" s="5" t="str">
        <f aca="false">IF(C283=0,"",IF($A283="Bank",IF(INDEX(Bank!$I:$I,$C283)="","",INDEX(Bank!$I:$I,$C283)),IF(INDEX(GL!$I:$I,$C283)="","",INDEX(GL!$I:$I,$C283))))</f>
        <v/>
      </c>
      <c r="L283" s="5" t="str">
        <f aca="false">IF(B283="","",IF(C283=0,"NOT FOUND",IF(IF($A283="Bank",INDEX(Bank!$F:$F,$C283),INDEX(GL!$F:$F,$C283))="Y","NOW RECONCILED: refresh","OK")))</f>
        <v/>
      </c>
    </row>
    <row r="284" customFormat="false" ht="15" hidden="false" customHeight="false" outlineLevel="0" collapsed="false">
      <c r="A284" s="41"/>
      <c r="B284" s="41"/>
      <c r="C284" s="5" t="n">
        <f aca="false">IF(B284="",0,IF(A284="Bank",IFERROR(MATCH(B284,Bank!$A:$A,0),0),IFERROR(MATCH(B284,GL!$A:$A,0),0)))</f>
        <v>0</v>
      </c>
      <c r="D284" s="32" t="str">
        <f aca="false">IF(C284=0,"",IF($A284="Bank",INDEX(Bank!$B:$B,$C284),INDEX(GL!$B:$B,$C284)))</f>
        <v/>
      </c>
      <c r="E284" s="5" t="str">
        <f aca="false">IF(C284=0,"",IF($A284="Bank",IF(INDEX(Bank!$C:$C,$C284)="","",INDEX(Bank!$C:$C,$C284)),IF(INDEX(GL!$C:$C,$C284)="","",INDEX(GL!$C:$C,$C284))))</f>
        <v/>
      </c>
      <c r="F284" s="5" t="str">
        <f aca="false">IF(C284=0,"",IF($A284="Bank",IF(INDEX(Bank!$D:$D,$C284)="","",INDEX(Bank!$D:$D,$C284)),IF(INDEX(GL!$D:$D,$C284)="","",INDEX(GL!$D:$D,$C284))))</f>
        <v/>
      </c>
      <c r="G284" s="19" t="str">
        <f aca="false">IF(C284=0,"",IF($A284="Bank",INDEX(Bank!$E:$E,$C284),INDEX(GL!$E:$E,$C284)))</f>
        <v/>
      </c>
      <c r="H284" s="5" t="str">
        <f aca="false">IF(C284=0,"",IF(A284="GL",IF(G284&gt;0,"Deposit in transit","Outstanding check / payment"),IF(G284&gt;0,"Bank credit not in GL","Bank debit not in GL")))</f>
        <v/>
      </c>
      <c r="I284" s="42" t="str">
        <f aca="false">IF(OR(C284=0,CFG_PeriodEnd=""),"",CFG_PeriodEnd-D284)</f>
        <v/>
      </c>
      <c r="J284" s="5" t="str">
        <f aca="false">IF(C284=0,"",IF($A284="Bank",IF(INDEX(Bank!$G:$G,$C284)="","",INDEX(Bank!$G:$G,$C284)),IF(INDEX(GL!$G:$G,$C284)="","",INDEX(GL!$G:$G,$C284))))</f>
        <v/>
      </c>
      <c r="K284" s="5" t="str">
        <f aca="false">IF(C284=0,"",IF($A284="Bank",IF(INDEX(Bank!$I:$I,$C284)="","",INDEX(Bank!$I:$I,$C284)),IF(INDEX(GL!$I:$I,$C284)="","",INDEX(GL!$I:$I,$C284))))</f>
        <v/>
      </c>
      <c r="L284" s="5" t="str">
        <f aca="false">IF(B284="","",IF(C284=0,"NOT FOUND",IF(IF($A284="Bank",INDEX(Bank!$F:$F,$C284),INDEX(GL!$F:$F,$C284))="Y","NOW RECONCILED: refresh","OK")))</f>
        <v/>
      </c>
    </row>
    <row r="285" customFormat="false" ht="15" hidden="false" customHeight="false" outlineLevel="0" collapsed="false">
      <c r="A285" s="41"/>
      <c r="B285" s="41"/>
      <c r="C285" s="5" t="n">
        <f aca="false">IF(B285="",0,IF(A285="Bank",IFERROR(MATCH(B285,Bank!$A:$A,0),0),IFERROR(MATCH(B285,GL!$A:$A,0),0)))</f>
        <v>0</v>
      </c>
      <c r="D285" s="32" t="str">
        <f aca="false">IF(C285=0,"",IF($A285="Bank",INDEX(Bank!$B:$B,$C285),INDEX(GL!$B:$B,$C285)))</f>
        <v/>
      </c>
      <c r="E285" s="5" t="str">
        <f aca="false">IF(C285=0,"",IF($A285="Bank",IF(INDEX(Bank!$C:$C,$C285)="","",INDEX(Bank!$C:$C,$C285)),IF(INDEX(GL!$C:$C,$C285)="","",INDEX(GL!$C:$C,$C285))))</f>
        <v/>
      </c>
      <c r="F285" s="5" t="str">
        <f aca="false">IF(C285=0,"",IF($A285="Bank",IF(INDEX(Bank!$D:$D,$C285)="","",INDEX(Bank!$D:$D,$C285)),IF(INDEX(GL!$D:$D,$C285)="","",INDEX(GL!$D:$D,$C285))))</f>
        <v/>
      </c>
      <c r="G285" s="19" t="str">
        <f aca="false">IF(C285=0,"",IF($A285="Bank",INDEX(Bank!$E:$E,$C285),INDEX(GL!$E:$E,$C285)))</f>
        <v/>
      </c>
      <c r="H285" s="5" t="str">
        <f aca="false">IF(C285=0,"",IF(A285="GL",IF(G285&gt;0,"Deposit in transit","Outstanding check / payment"),IF(G285&gt;0,"Bank credit not in GL","Bank debit not in GL")))</f>
        <v/>
      </c>
      <c r="I285" s="42" t="str">
        <f aca="false">IF(OR(C285=0,CFG_PeriodEnd=""),"",CFG_PeriodEnd-D285)</f>
        <v/>
      </c>
      <c r="J285" s="5" t="str">
        <f aca="false">IF(C285=0,"",IF($A285="Bank",IF(INDEX(Bank!$G:$G,$C285)="","",INDEX(Bank!$G:$G,$C285)),IF(INDEX(GL!$G:$G,$C285)="","",INDEX(GL!$G:$G,$C285))))</f>
        <v/>
      </c>
      <c r="K285" s="5" t="str">
        <f aca="false">IF(C285=0,"",IF($A285="Bank",IF(INDEX(Bank!$I:$I,$C285)="","",INDEX(Bank!$I:$I,$C285)),IF(INDEX(GL!$I:$I,$C285)="","",INDEX(GL!$I:$I,$C285))))</f>
        <v/>
      </c>
      <c r="L285" s="5" t="str">
        <f aca="false">IF(B285="","",IF(C285=0,"NOT FOUND",IF(IF($A285="Bank",INDEX(Bank!$F:$F,$C285),INDEX(GL!$F:$F,$C285))="Y","NOW RECONCILED: refresh","OK")))</f>
        <v/>
      </c>
    </row>
    <row r="286" customFormat="false" ht="15" hidden="false" customHeight="false" outlineLevel="0" collapsed="false">
      <c r="A286" s="41"/>
      <c r="B286" s="41"/>
      <c r="C286" s="5" t="n">
        <f aca="false">IF(B286="",0,IF(A286="Bank",IFERROR(MATCH(B286,Bank!$A:$A,0),0),IFERROR(MATCH(B286,GL!$A:$A,0),0)))</f>
        <v>0</v>
      </c>
      <c r="D286" s="32" t="str">
        <f aca="false">IF(C286=0,"",IF($A286="Bank",INDEX(Bank!$B:$B,$C286),INDEX(GL!$B:$B,$C286)))</f>
        <v/>
      </c>
      <c r="E286" s="5" t="str">
        <f aca="false">IF(C286=0,"",IF($A286="Bank",IF(INDEX(Bank!$C:$C,$C286)="","",INDEX(Bank!$C:$C,$C286)),IF(INDEX(GL!$C:$C,$C286)="","",INDEX(GL!$C:$C,$C286))))</f>
        <v/>
      </c>
      <c r="F286" s="5" t="str">
        <f aca="false">IF(C286=0,"",IF($A286="Bank",IF(INDEX(Bank!$D:$D,$C286)="","",INDEX(Bank!$D:$D,$C286)),IF(INDEX(GL!$D:$D,$C286)="","",INDEX(GL!$D:$D,$C286))))</f>
        <v/>
      </c>
      <c r="G286" s="19" t="str">
        <f aca="false">IF(C286=0,"",IF($A286="Bank",INDEX(Bank!$E:$E,$C286),INDEX(GL!$E:$E,$C286)))</f>
        <v/>
      </c>
      <c r="H286" s="5" t="str">
        <f aca="false">IF(C286=0,"",IF(A286="GL",IF(G286&gt;0,"Deposit in transit","Outstanding check / payment"),IF(G286&gt;0,"Bank credit not in GL","Bank debit not in GL")))</f>
        <v/>
      </c>
      <c r="I286" s="42" t="str">
        <f aca="false">IF(OR(C286=0,CFG_PeriodEnd=""),"",CFG_PeriodEnd-D286)</f>
        <v/>
      </c>
      <c r="J286" s="5" t="str">
        <f aca="false">IF(C286=0,"",IF($A286="Bank",IF(INDEX(Bank!$G:$G,$C286)="","",INDEX(Bank!$G:$G,$C286)),IF(INDEX(GL!$G:$G,$C286)="","",INDEX(GL!$G:$G,$C286))))</f>
        <v/>
      </c>
      <c r="K286" s="5" t="str">
        <f aca="false">IF(C286=0,"",IF($A286="Bank",IF(INDEX(Bank!$I:$I,$C286)="","",INDEX(Bank!$I:$I,$C286)),IF(INDEX(GL!$I:$I,$C286)="","",INDEX(GL!$I:$I,$C286))))</f>
        <v/>
      </c>
      <c r="L286" s="5" t="str">
        <f aca="false">IF(B286="","",IF(C286=0,"NOT FOUND",IF(IF($A286="Bank",INDEX(Bank!$F:$F,$C286),INDEX(GL!$F:$F,$C286))="Y","NOW RECONCILED: refresh","OK")))</f>
        <v/>
      </c>
    </row>
    <row r="287" customFormat="false" ht="15" hidden="false" customHeight="false" outlineLevel="0" collapsed="false">
      <c r="A287" s="41"/>
      <c r="B287" s="41"/>
      <c r="C287" s="5" t="n">
        <f aca="false">IF(B287="",0,IF(A287="Bank",IFERROR(MATCH(B287,Bank!$A:$A,0),0),IFERROR(MATCH(B287,GL!$A:$A,0),0)))</f>
        <v>0</v>
      </c>
      <c r="D287" s="32" t="str">
        <f aca="false">IF(C287=0,"",IF($A287="Bank",INDEX(Bank!$B:$B,$C287),INDEX(GL!$B:$B,$C287)))</f>
        <v/>
      </c>
      <c r="E287" s="5" t="str">
        <f aca="false">IF(C287=0,"",IF($A287="Bank",IF(INDEX(Bank!$C:$C,$C287)="","",INDEX(Bank!$C:$C,$C287)),IF(INDEX(GL!$C:$C,$C287)="","",INDEX(GL!$C:$C,$C287))))</f>
        <v/>
      </c>
      <c r="F287" s="5" t="str">
        <f aca="false">IF(C287=0,"",IF($A287="Bank",IF(INDEX(Bank!$D:$D,$C287)="","",INDEX(Bank!$D:$D,$C287)),IF(INDEX(GL!$D:$D,$C287)="","",INDEX(GL!$D:$D,$C287))))</f>
        <v/>
      </c>
      <c r="G287" s="19" t="str">
        <f aca="false">IF(C287=0,"",IF($A287="Bank",INDEX(Bank!$E:$E,$C287),INDEX(GL!$E:$E,$C287)))</f>
        <v/>
      </c>
      <c r="H287" s="5" t="str">
        <f aca="false">IF(C287=0,"",IF(A287="GL",IF(G287&gt;0,"Deposit in transit","Outstanding check / payment"),IF(G287&gt;0,"Bank credit not in GL","Bank debit not in GL")))</f>
        <v/>
      </c>
      <c r="I287" s="42" t="str">
        <f aca="false">IF(OR(C287=0,CFG_PeriodEnd=""),"",CFG_PeriodEnd-D287)</f>
        <v/>
      </c>
      <c r="J287" s="5" t="str">
        <f aca="false">IF(C287=0,"",IF($A287="Bank",IF(INDEX(Bank!$G:$G,$C287)="","",INDEX(Bank!$G:$G,$C287)),IF(INDEX(GL!$G:$G,$C287)="","",INDEX(GL!$G:$G,$C287))))</f>
        <v/>
      </c>
      <c r="K287" s="5" t="str">
        <f aca="false">IF(C287=0,"",IF($A287="Bank",IF(INDEX(Bank!$I:$I,$C287)="","",INDEX(Bank!$I:$I,$C287)),IF(INDEX(GL!$I:$I,$C287)="","",INDEX(GL!$I:$I,$C287))))</f>
        <v/>
      </c>
      <c r="L287" s="5" t="str">
        <f aca="false">IF(B287="","",IF(C287=0,"NOT FOUND",IF(IF($A287="Bank",INDEX(Bank!$F:$F,$C287),INDEX(GL!$F:$F,$C287))="Y","NOW RECONCILED: refresh","OK")))</f>
        <v/>
      </c>
    </row>
    <row r="288" customFormat="false" ht="15" hidden="false" customHeight="false" outlineLevel="0" collapsed="false">
      <c r="A288" s="41"/>
      <c r="B288" s="41"/>
      <c r="C288" s="5" t="n">
        <f aca="false">IF(B288="",0,IF(A288="Bank",IFERROR(MATCH(B288,Bank!$A:$A,0),0),IFERROR(MATCH(B288,GL!$A:$A,0),0)))</f>
        <v>0</v>
      </c>
      <c r="D288" s="32" t="str">
        <f aca="false">IF(C288=0,"",IF($A288="Bank",INDEX(Bank!$B:$B,$C288),INDEX(GL!$B:$B,$C288)))</f>
        <v/>
      </c>
      <c r="E288" s="5" t="str">
        <f aca="false">IF(C288=0,"",IF($A288="Bank",IF(INDEX(Bank!$C:$C,$C288)="","",INDEX(Bank!$C:$C,$C288)),IF(INDEX(GL!$C:$C,$C288)="","",INDEX(GL!$C:$C,$C288))))</f>
        <v/>
      </c>
      <c r="F288" s="5" t="str">
        <f aca="false">IF(C288=0,"",IF($A288="Bank",IF(INDEX(Bank!$D:$D,$C288)="","",INDEX(Bank!$D:$D,$C288)),IF(INDEX(GL!$D:$D,$C288)="","",INDEX(GL!$D:$D,$C288))))</f>
        <v/>
      </c>
      <c r="G288" s="19" t="str">
        <f aca="false">IF(C288=0,"",IF($A288="Bank",INDEX(Bank!$E:$E,$C288),INDEX(GL!$E:$E,$C288)))</f>
        <v/>
      </c>
      <c r="H288" s="5" t="str">
        <f aca="false">IF(C288=0,"",IF(A288="GL",IF(G288&gt;0,"Deposit in transit","Outstanding check / payment"),IF(G288&gt;0,"Bank credit not in GL","Bank debit not in GL")))</f>
        <v/>
      </c>
      <c r="I288" s="42" t="str">
        <f aca="false">IF(OR(C288=0,CFG_PeriodEnd=""),"",CFG_PeriodEnd-D288)</f>
        <v/>
      </c>
      <c r="J288" s="5" t="str">
        <f aca="false">IF(C288=0,"",IF($A288="Bank",IF(INDEX(Bank!$G:$G,$C288)="","",INDEX(Bank!$G:$G,$C288)),IF(INDEX(GL!$G:$G,$C288)="","",INDEX(GL!$G:$G,$C288))))</f>
        <v/>
      </c>
      <c r="K288" s="5" t="str">
        <f aca="false">IF(C288=0,"",IF($A288="Bank",IF(INDEX(Bank!$I:$I,$C288)="","",INDEX(Bank!$I:$I,$C288)),IF(INDEX(GL!$I:$I,$C288)="","",INDEX(GL!$I:$I,$C288))))</f>
        <v/>
      </c>
      <c r="L288" s="5" t="str">
        <f aca="false">IF(B288="","",IF(C288=0,"NOT FOUND",IF(IF($A288="Bank",INDEX(Bank!$F:$F,$C288),INDEX(GL!$F:$F,$C288))="Y","NOW RECONCILED: refresh","OK")))</f>
        <v/>
      </c>
    </row>
    <row r="289" customFormat="false" ht="15" hidden="false" customHeight="false" outlineLevel="0" collapsed="false">
      <c r="A289" s="41"/>
      <c r="B289" s="41"/>
      <c r="C289" s="5" t="n">
        <f aca="false">IF(B289="",0,IF(A289="Bank",IFERROR(MATCH(B289,Bank!$A:$A,0),0),IFERROR(MATCH(B289,GL!$A:$A,0),0)))</f>
        <v>0</v>
      </c>
      <c r="D289" s="32" t="str">
        <f aca="false">IF(C289=0,"",IF($A289="Bank",INDEX(Bank!$B:$B,$C289),INDEX(GL!$B:$B,$C289)))</f>
        <v/>
      </c>
      <c r="E289" s="5" t="str">
        <f aca="false">IF(C289=0,"",IF($A289="Bank",IF(INDEX(Bank!$C:$C,$C289)="","",INDEX(Bank!$C:$C,$C289)),IF(INDEX(GL!$C:$C,$C289)="","",INDEX(GL!$C:$C,$C289))))</f>
        <v/>
      </c>
      <c r="F289" s="5" t="str">
        <f aca="false">IF(C289=0,"",IF($A289="Bank",IF(INDEX(Bank!$D:$D,$C289)="","",INDEX(Bank!$D:$D,$C289)),IF(INDEX(GL!$D:$D,$C289)="","",INDEX(GL!$D:$D,$C289))))</f>
        <v/>
      </c>
      <c r="G289" s="19" t="str">
        <f aca="false">IF(C289=0,"",IF($A289="Bank",INDEX(Bank!$E:$E,$C289),INDEX(GL!$E:$E,$C289)))</f>
        <v/>
      </c>
      <c r="H289" s="5" t="str">
        <f aca="false">IF(C289=0,"",IF(A289="GL",IF(G289&gt;0,"Deposit in transit","Outstanding check / payment"),IF(G289&gt;0,"Bank credit not in GL","Bank debit not in GL")))</f>
        <v/>
      </c>
      <c r="I289" s="42" t="str">
        <f aca="false">IF(OR(C289=0,CFG_PeriodEnd=""),"",CFG_PeriodEnd-D289)</f>
        <v/>
      </c>
      <c r="J289" s="5" t="str">
        <f aca="false">IF(C289=0,"",IF($A289="Bank",IF(INDEX(Bank!$G:$G,$C289)="","",INDEX(Bank!$G:$G,$C289)),IF(INDEX(GL!$G:$G,$C289)="","",INDEX(GL!$G:$G,$C289))))</f>
        <v/>
      </c>
      <c r="K289" s="5" t="str">
        <f aca="false">IF(C289=0,"",IF($A289="Bank",IF(INDEX(Bank!$I:$I,$C289)="","",INDEX(Bank!$I:$I,$C289)),IF(INDEX(GL!$I:$I,$C289)="","",INDEX(GL!$I:$I,$C289))))</f>
        <v/>
      </c>
      <c r="L289" s="5" t="str">
        <f aca="false">IF(B289="","",IF(C289=0,"NOT FOUND",IF(IF($A289="Bank",INDEX(Bank!$F:$F,$C289),INDEX(GL!$F:$F,$C289))="Y","NOW RECONCILED: refresh","OK")))</f>
        <v/>
      </c>
    </row>
    <row r="290" customFormat="false" ht="15" hidden="false" customHeight="false" outlineLevel="0" collapsed="false">
      <c r="A290" s="41"/>
      <c r="B290" s="41"/>
      <c r="C290" s="5" t="n">
        <f aca="false">IF(B290="",0,IF(A290="Bank",IFERROR(MATCH(B290,Bank!$A:$A,0),0),IFERROR(MATCH(B290,GL!$A:$A,0),0)))</f>
        <v>0</v>
      </c>
      <c r="D290" s="32" t="str">
        <f aca="false">IF(C290=0,"",IF($A290="Bank",INDEX(Bank!$B:$B,$C290),INDEX(GL!$B:$B,$C290)))</f>
        <v/>
      </c>
      <c r="E290" s="5" t="str">
        <f aca="false">IF(C290=0,"",IF($A290="Bank",IF(INDEX(Bank!$C:$C,$C290)="","",INDEX(Bank!$C:$C,$C290)),IF(INDEX(GL!$C:$C,$C290)="","",INDEX(GL!$C:$C,$C290))))</f>
        <v/>
      </c>
      <c r="F290" s="5" t="str">
        <f aca="false">IF(C290=0,"",IF($A290="Bank",IF(INDEX(Bank!$D:$D,$C290)="","",INDEX(Bank!$D:$D,$C290)),IF(INDEX(GL!$D:$D,$C290)="","",INDEX(GL!$D:$D,$C290))))</f>
        <v/>
      </c>
      <c r="G290" s="19" t="str">
        <f aca="false">IF(C290=0,"",IF($A290="Bank",INDEX(Bank!$E:$E,$C290),INDEX(GL!$E:$E,$C290)))</f>
        <v/>
      </c>
      <c r="H290" s="5" t="str">
        <f aca="false">IF(C290=0,"",IF(A290="GL",IF(G290&gt;0,"Deposit in transit","Outstanding check / payment"),IF(G290&gt;0,"Bank credit not in GL","Bank debit not in GL")))</f>
        <v/>
      </c>
      <c r="I290" s="42" t="str">
        <f aca="false">IF(OR(C290=0,CFG_PeriodEnd=""),"",CFG_PeriodEnd-D290)</f>
        <v/>
      </c>
      <c r="J290" s="5" t="str">
        <f aca="false">IF(C290=0,"",IF($A290="Bank",IF(INDEX(Bank!$G:$G,$C290)="","",INDEX(Bank!$G:$G,$C290)),IF(INDEX(GL!$G:$G,$C290)="","",INDEX(GL!$G:$G,$C290))))</f>
        <v/>
      </c>
      <c r="K290" s="5" t="str">
        <f aca="false">IF(C290=0,"",IF($A290="Bank",IF(INDEX(Bank!$I:$I,$C290)="","",INDEX(Bank!$I:$I,$C290)),IF(INDEX(GL!$I:$I,$C290)="","",INDEX(GL!$I:$I,$C290))))</f>
        <v/>
      </c>
      <c r="L290" s="5" t="str">
        <f aca="false">IF(B290="","",IF(C290=0,"NOT FOUND",IF(IF($A290="Bank",INDEX(Bank!$F:$F,$C290),INDEX(GL!$F:$F,$C290))="Y","NOW RECONCILED: refresh","OK")))</f>
        <v/>
      </c>
    </row>
    <row r="291" customFormat="false" ht="15" hidden="false" customHeight="false" outlineLevel="0" collapsed="false">
      <c r="A291" s="41"/>
      <c r="B291" s="41"/>
      <c r="C291" s="5" t="n">
        <f aca="false">IF(B291="",0,IF(A291="Bank",IFERROR(MATCH(B291,Bank!$A:$A,0),0),IFERROR(MATCH(B291,GL!$A:$A,0),0)))</f>
        <v>0</v>
      </c>
      <c r="D291" s="32" t="str">
        <f aca="false">IF(C291=0,"",IF($A291="Bank",INDEX(Bank!$B:$B,$C291),INDEX(GL!$B:$B,$C291)))</f>
        <v/>
      </c>
      <c r="E291" s="5" t="str">
        <f aca="false">IF(C291=0,"",IF($A291="Bank",IF(INDEX(Bank!$C:$C,$C291)="","",INDEX(Bank!$C:$C,$C291)),IF(INDEX(GL!$C:$C,$C291)="","",INDEX(GL!$C:$C,$C291))))</f>
        <v/>
      </c>
      <c r="F291" s="5" t="str">
        <f aca="false">IF(C291=0,"",IF($A291="Bank",IF(INDEX(Bank!$D:$D,$C291)="","",INDEX(Bank!$D:$D,$C291)),IF(INDEX(GL!$D:$D,$C291)="","",INDEX(GL!$D:$D,$C291))))</f>
        <v/>
      </c>
      <c r="G291" s="19" t="str">
        <f aca="false">IF(C291=0,"",IF($A291="Bank",INDEX(Bank!$E:$E,$C291),INDEX(GL!$E:$E,$C291)))</f>
        <v/>
      </c>
      <c r="H291" s="5" t="str">
        <f aca="false">IF(C291=0,"",IF(A291="GL",IF(G291&gt;0,"Deposit in transit","Outstanding check / payment"),IF(G291&gt;0,"Bank credit not in GL","Bank debit not in GL")))</f>
        <v/>
      </c>
      <c r="I291" s="42" t="str">
        <f aca="false">IF(OR(C291=0,CFG_PeriodEnd=""),"",CFG_PeriodEnd-D291)</f>
        <v/>
      </c>
      <c r="J291" s="5" t="str">
        <f aca="false">IF(C291=0,"",IF($A291="Bank",IF(INDEX(Bank!$G:$G,$C291)="","",INDEX(Bank!$G:$G,$C291)),IF(INDEX(GL!$G:$G,$C291)="","",INDEX(GL!$G:$G,$C291))))</f>
        <v/>
      </c>
      <c r="K291" s="5" t="str">
        <f aca="false">IF(C291=0,"",IF($A291="Bank",IF(INDEX(Bank!$I:$I,$C291)="","",INDEX(Bank!$I:$I,$C291)),IF(INDEX(GL!$I:$I,$C291)="","",INDEX(GL!$I:$I,$C291))))</f>
        <v/>
      </c>
      <c r="L291" s="5" t="str">
        <f aca="false">IF(B291="","",IF(C291=0,"NOT FOUND",IF(IF($A291="Bank",INDEX(Bank!$F:$F,$C291),INDEX(GL!$F:$F,$C291))="Y","NOW RECONCILED: refresh","OK")))</f>
        <v/>
      </c>
    </row>
    <row r="292" customFormat="false" ht="15" hidden="false" customHeight="false" outlineLevel="0" collapsed="false">
      <c r="A292" s="41"/>
      <c r="B292" s="41"/>
      <c r="C292" s="5" t="n">
        <f aca="false">IF(B292="",0,IF(A292="Bank",IFERROR(MATCH(B292,Bank!$A:$A,0),0),IFERROR(MATCH(B292,GL!$A:$A,0),0)))</f>
        <v>0</v>
      </c>
      <c r="D292" s="32" t="str">
        <f aca="false">IF(C292=0,"",IF($A292="Bank",INDEX(Bank!$B:$B,$C292),INDEX(GL!$B:$B,$C292)))</f>
        <v/>
      </c>
      <c r="E292" s="5" t="str">
        <f aca="false">IF(C292=0,"",IF($A292="Bank",IF(INDEX(Bank!$C:$C,$C292)="","",INDEX(Bank!$C:$C,$C292)),IF(INDEX(GL!$C:$C,$C292)="","",INDEX(GL!$C:$C,$C292))))</f>
        <v/>
      </c>
      <c r="F292" s="5" t="str">
        <f aca="false">IF(C292=0,"",IF($A292="Bank",IF(INDEX(Bank!$D:$D,$C292)="","",INDEX(Bank!$D:$D,$C292)),IF(INDEX(GL!$D:$D,$C292)="","",INDEX(GL!$D:$D,$C292))))</f>
        <v/>
      </c>
      <c r="G292" s="19" t="str">
        <f aca="false">IF(C292=0,"",IF($A292="Bank",INDEX(Bank!$E:$E,$C292),INDEX(GL!$E:$E,$C292)))</f>
        <v/>
      </c>
      <c r="H292" s="5" t="str">
        <f aca="false">IF(C292=0,"",IF(A292="GL",IF(G292&gt;0,"Deposit in transit","Outstanding check / payment"),IF(G292&gt;0,"Bank credit not in GL","Bank debit not in GL")))</f>
        <v/>
      </c>
      <c r="I292" s="42" t="str">
        <f aca="false">IF(OR(C292=0,CFG_PeriodEnd=""),"",CFG_PeriodEnd-D292)</f>
        <v/>
      </c>
      <c r="J292" s="5" t="str">
        <f aca="false">IF(C292=0,"",IF($A292="Bank",IF(INDEX(Bank!$G:$G,$C292)="","",INDEX(Bank!$G:$G,$C292)),IF(INDEX(GL!$G:$G,$C292)="","",INDEX(GL!$G:$G,$C292))))</f>
        <v/>
      </c>
      <c r="K292" s="5" t="str">
        <f aca="false">IF(C292=0,"",IF($A292="Bank",IF(INDEX(Bank!$I:$I,$C292)="","",INDEX(Bank!$I:$I,$C292)),IF(INDEX(GL!$I:$I,$C292)="","",INDEX(GL!$I:$I,$C292))))</f>
        <v/>
      </c>
      <c r="L292" s="5" t="str">
        <f aca="false">IF(B292="","",IF(C292=0,"NOT FOUND",IF(IF($A292="Bank",INDEX(Bank!$F:$F,$C292),INDEX(GL!$F:$F,$C292))="Y","NOW RECONCILED: refresh","OK")))</f>
        <v/>
      </c>
    </row>
    <row r="293" customFormat="false" ht="15" hidden="false" customHeight="false" outlineLevel="0" collapsed="false">
      <c r="A293" s="41"/>
      <c r="B293" s="41"/>
      <c r="C293" s="5" t="n">
        <f aca="false">IF(B293="",0,IF(A293="Bank",IFERROR(MATCH(B293,Bank!$A:$A,0),0),IFERROR(MATCH(B293,GL!$A:$A,0),0)))</f>
        <v>0</v>
      </c>
      <c r="D293" s="32" t="str">
        <f aca="false">IF(C293=0,"",IF($A293="Bank",INDEX(Bank!$B:$B,$C293),INDEX(GL!$B:$B,$C293)))</f>
        <v/>
      </c>
      <c r="E293" s="5" t="str">
        <f aca="false">IF(C293=0,"",IF($A293="Bank",IF(INDEX(Bank!$C:$C,$C293)="","",INDEX(Bank!$C:$C,$C293)),IF(INDEX(GL!$C:$C,$C293)="","",INDEX(GL!$C:$C,$C293))))</f>
        <v/>
      </c>
      <c r="F293" s="5" t="str">
        <f aca="false">IF(C293=0,"",IF($A293="Bank",IF(INDEX(Bank!$D:$D,$C293)="","",INDEX(Bank!$D:$D,$C293)),IF(INDEX(GL!$D:$D,$C293)="","",INDEX(GL!$D:$D,$C293))))</f>
        <v/>
      </c>
      <c r="G293" s="19" t="str">
        <f aca="false">IF(C293=0,"",IF($A293="Bank",INDEX(Bank!$E:$E,$C293),INDEX(GL!$E:$E,$C293)))</f>
        <v/>
      </c>
      <c r="H293" s="5" t="str">
        <f aca="false">IF(C293=0,"",IF(A293="GL",IF(G293&gt;0,"Deposit in transit","Outstanding check / payment"),IF(G293&gt;0,"Bank credit not in GL","Bank debit not in GL")))</f>
        <v/>
      </c>
      <c r="I293" s="42" t="str">
        <f aca="false">IF(OR(C293=0,CFG_PeriodEnd=""),"",CFG_PeriodEnd-D293)</f>
        <v/>
      </c>
      <c r="J293" s="5" t="str">
        <f aca="false">IF(C293=0,"",IF($A293="Bank",IF(INDEX(Bank!$G:$G,$C293)="","",INDEX(Bank!$G:$G,$C293)),IF(INDEX(GL!$G:$G,$C293)="","",INDEX(GL!$G:$G,$C293))))</f>
        <v/>
      </c>
      <c r="K293" s="5" t="str">
        <f aca="false">IF(C293=0,"",IF($A293="Bank",IF(INDEX(Bank!$I:$I,$C293)="","",INDEX(Bank!$I:$I,$C293)),IF(INDEX(GL!$I:$I,$C293)="","",INDEX(GL!$I:$I,$C293))))</f>
        <v/>
      </c>
      <c r="L293" s="5" t="str">
        <f aca="false">IF(B293="","",IF(C293=0,"NOT FOUND",IF(IF($A293="Bank",INDEX(Bank!$F:$F,$C293),INDEX(GL!$F:$F,$C293))="Y","NOW RECONCILED: refresh","OK")))</f>
        <v/>
      </c>
    </row>
    <row r="294" customFormat="false" ht="15" hidden="false" customHeight="false" outlineLevel="0" collapsed="false">
      <c r="A294" s="41"/>
      <c r="B294" s="41"/>
      <c r="C294" s="5" t="n">
        <f aca="false">IF(B294="",0,IF(A294="Bank",IFERROR(MATCH(B294,Bank!$A:$A,0),0),IFERROR(MATCH(B294,GL!$A:$A,0),0)))</f>
        <v>0</v>
      </c>
      <c r="D294" s="32" t="str">
        <f aca="false">IF(C294=0,"",IF($A294="Bank",INDEX(Bank!$B:$B,$C294),INDEX(GL!$B:$B,$C294)))</f>
        <v/>
      </c>
      <c r="E294" s="5" t="str">
        <f aca="false">IF(C294=0,"",IF($A294="Bank",IF(INDEX(Bank!$C:$C,$C294)="","",INDEX(Bank!$C:$C,$C294)),IF(INDEX(GL!$C:$C,$C294)="","",INDEX(GL!$C:$C,$C294))))</f>
        <v/>
      </c>
      <c r="F294" s="5" t="str">
        <f aca="false">IF(C294=0,"",IF($A294="Bank",IF(INDEX(Bank!$D:$D,$C294)="","",INDEX(Bank!$D:$D,$C294)),IF(INDEX(GL!$D:$D,$C294)="","",INDEX(GL!$D:$D,$C294))))</f>
        <v/>
      </c>
      <c r="G294" s="19" t="str">
        <f aca="false">IF(C294=0,"",IF($A294="Bank",INDEX(Bank!$E:$E,$C294),INDEX(GL!$E:$E,$C294)))</f>
        <v/>
      </c>
      <c r="H294" s="5" t="str">
        <f aca="false">IF(C294=0,"",IF(A294="GL",IF(G294&gt;0,"Deposit in transit","Outstanding check / payment"),IF(G294&gt;0,"Bank credit not in GL","Bank debit not in GL")))</f>
        <v/>
      </c>
      <c r="I294" s="42" t="str">
        <f aca="false">IF(OR(C294=0,CFG_PeriodEnd=""),"",CFG_PeriodEnd-D294)</f>
        <v/>
      </c>
      <c r="J294" s="5" t="str">
        <f aca="false">IF(C294=0,"",IF($A294="Bank",IF(INDEX(Bank!$G:$G,$C294)="","",INDEX(Bank!$G:$G,$C294)),IF(INDEX(GL!$G:$G,$C294)="","",INDEX(GL!$G:$G,$C294))))</f>
        <v/>
      </c>
      <c r="K294" s="5" t="str">
        <f aca="false">IF(C294=0,"",IF($A294="Bank",IF(INDEX(Bank!$I:$I,$C294)="","",INDEX(Bank!$I:$I,$C294)),IF(INDEX(GL!$I:$I,$C294)="","",INDEX(GL!$I:$I,$C294))))</f>
        <v/>
      </c>
      <c r="L294" s="5" t="str">
        <f aca="false">IF(B294="","",IF(C294=0,"NOT FOUND",IF(IF($A294="Bank",INDEX(Bank!$F:$F,$C294),INDEX(GL!$F:$F,$C294))="Y","NOW RECONCILED: refresh","OK")))</f>
        <v/>
      </c>
    </row>
    <row r="295" customFormat="false" ht="15" hidden="false" customHeight="false" outlineLevel="0" collapsed="false">
      <c r="A295" s="41"/>
      <c r="B295" s="41"/>
      <c r="C295" s="5" t="n">
        <f aca="false">IF(B295="",0,IF(A295="Bank",IFERROR(MATCH(B295,Bank!$A:$A,0),0),IFERROR(MATCH(B295,GL!$A:$A,0),0)))</f>
        <v>0</v>
      </c>
      <c r="D295" s="32" t="str">
        <f aca="false">IF(C295=0,"",IF($A295="Bank",INDEX(Bank!$B:$B,$C295),INDEX(GL!$B:$B,$C295)))</f>
        <v/>
      </c>
      <c r="E295" s="5" t="str">
        <f aca="false">IF(C295=0,"",IF($A295="Bank",IF(INDEX(Bank!$C:$C,$C295)="","",INDEX(Bank!$C:$C,$C295)),IF(INDEX(GL!$C:$C,$C295)="","",INDEX(GL!$C:$C,$C295))))</f>
        <v/>
      </c>
      <c r="F295" s="5" t="str">
        <f aca="false">IF(C295=0,"",IF($A295="Bank",IF(INDEX(Bank!$D:$D,$C295)="","",INDEX(Bank!$D:$D,$C295)),IF(INDEX(GL!$D:$D,$C295)="","",INDEX(GL!$D:$D,$C295))))</f>
        <v/>
      </c>
      <c r="G295" s="19" t="str">
        <f aca="false">IF(C295=0,"",IF($A295="Bank",INDEX(Bank!$E:$E,$C295),INDEX(GL!$E:$E,$C295)))</f>
        <v/>
      </c>
      <c r="H295" s="5" t="str">
        <f aca="false">IF(C295=0,"",IF(A295="GL",IF(G295&gt;0,"Deposit in transit","Outstanding check / payment"),IF(G295&gt;0,"Bank credit not in GL","Bank debit not in GL")))</f>
        <v/>
      </c>
      <c r="I295" s="42" t="str">
        <f aca="false">IF(OR(C295=0,CFG_PeriodEnd=""),"",CFG_PeriodEnd-D295)</f>
        <v/>
      </c>
      <c r="J295" s="5" t="str">
        <f aca="false">IF(C295=0,"",IF($A295="Bank",IF(INDEX(Bank!$G:$G,$C295)="","",INDEX(Bank!$G:$G,$C295)),IF(INDEX(GL!$G:$G,$C295)="","",INDEX(GL!$G:$G,$C295))))</f>
        <v/>
      </c>
      <c r="K295" s="5" t="str">
        <f aca="false">IF(C295=0,"",IF($A295="Bank",IF(INDEX(Bank!$I:$I,$C295)="","",INDEX(Bank!$I:$I,$C295)),IF(INDEX(GL!$I:$I,$C295)="","",INDEX(GL!$I:$I,$C295))))</f>
        <v/>
      </c>
      <c r="L295" s="5" t="str">
        <f aca="false">IF(B295="","",IF(C295=0,"NOT FOUND",IF(IF($A295="Bank",INDEX(Bank!$F:$F,$C295),INDEX(GL!$F:$F,$C295))="Y","NOW RECONCILED: refresh","OK")))</f>
        <v/>
      </c>
    </row>
    <row r="296" customFormat="false" ht="15" hidden="false" customHeight="false" outlineLevel="0" collapsed="false">
      <c r="A296" s="41"/>
      <c r="B296" s="41"/>
      <c r="C296" s="5" t="n">
        <f aca="false">IF(B296="",0,IF(A296="Bank",IFERROR(MATCH(B296,Bank!$A:$A,0),0),IFERROR(MATCH(B296,GL!$A:$A,0),0)))</f>
        <v>0</v>
      </c>
      <c r="D296" s="32" t="str">
        <f aca="false">IF(C296=0,"",IF($A296="Bank",INDEX(Bank!$B:$B,$C296),INDEX(GL!$B:$B,$C296)))</f>
        <v/>
      </c>
      <c r="E296" s="5" t="str">
        <f aca="false">IF(C296=0,"",IF($A296="Bank",IF(INDEX(Bank!$C:$C,$C296)="","",INDEX(Bank!$C:$C,$C296)),IF(INDEX(GL!$C:$C,$C296)="","",INDEX(GL!$C:$C,$C296))))</f>
        <v/>
      </c>
      <c r="F296" s="5" t="str">
        <f aca="false">IF(C296=0,"",IF($A296="Bank",IF(INDEX(Bank!$D:$D,$C296)="","",INDEX(Bank!$D:$D,$C296)),IF(INDEX(GL!$D:$D,$C296)="","",INDEX(GL!$D:$D,$C296))))</f>
        <v/>
      </c>
      <c r="G296" s="19" t="str">
        <f aca="false">IF(C296=0,"",IF($A296="Bank",INDEX(Bank!$E:$E,$C296),INDEX(GL!$E:$E,$C296)))</f>
        <v/>
      </c>
      <c r="H296" s="5" t="str">
        <f aca="false">IF(C296=0,"",IF(A296="GL",IF(G296&gt;0,"Deposit in transit","Outstanding check / payment"),IF(G296&gt;0,"Bank credit not in GL","Bank debit not in GL")))</f>
        <v/>
      </c>
      <c r="I296" s="42" t="str">
        <f aca="false">IF(OR(C296=0,CFG_PeriodEnd=""),"",CFG_PeriodEnd-D296)</f>
        <v/>
      </c>
      <c r="J296" s="5" t="str">
        <f aca="false">IF(C296=0,"",IF($A296="Bank",IF(INDEX(Bank!$G:$G,$C296)="","",INDEX(Bank!$G:$G,$C296)),IF(INDEX(GL!$G:$G,$C296)="","",INDEX(GL!$G:$G,$C296))))</f>
        <v/>
      </c>
      <c r="K296" s="5" t="str">
        <f aca="false">IF(C296=0,"",IF($A296="Bank",IF(INDEX(Bank!$I:$I,$C296)="","",INDEX(Bank!$I:$I,$C296)),IF(INDEX(GL!$I:$I,$C296)="","",INDEX(GL!$I:$I,$C296))))</f>
        <v/>
      </c>
      <c r="L296" s="5" t="str">
        <f aca="false">IF(B296="","",IF(C296=0,"NOT FOUND",IF(IF($A296="Bank",INDEX(Bank!$F:$F,$C296),INDEX(GL!$F:$F,$C296))="Y","NOW RECONCILED: refresh","OK")))</f>
        <v/>
      </c>
    </row>
    <row r="297" customFormat="false" ht="15" hidden="false" customHeight="false" outlineLevel="0" collapsed="false">
      <c r="A297" s="41"/>
      <c r="B297" s="41"/>
      <c r="C297" s="5" t="n">
        <f aca="false">IF(B297="",0,IF(A297="Bank",IFERROR(MATCH(B297,Bank!$A:$A,0),0),IFERROR(MATCH(B297,GL!$A:$A,0),0)))</f>
        <v>0</v>
      </c>
      <c r="D297" s="32" t="str">
        <f aca="false">IF(C297=0,"",IF($A297="Bank",INDEX(Bank!$B:$B,$C297),INDEX(GL!$B:$B,$C297)))</f>
        <v/>
      </c>
      <c r="E297" s="5" t="str">
        <f aca="false">IF(C297=0,"",IF($A297="Bank",IF(INDEX(Bank!$C:$C,$C297)="","",INDEX(Bank!$C:$C,$C297)),IF(INDEX(GL!$C:$C,$C297)="","",INDEX(GL!$C:$C,$C297))))</f>
        <v/>
      </c>
      <c r="F297" s="5" t="str">
        <f aca="false">IF(C297=0,"",IF($A297="Bank",IF(INDEX(Bank!$D:$D,$C297)="","",INDEX(Bank!$D:$D,$C297)),IF(INDEX(GL!$D:$D,$C297)="","",INDEX(GL!$D:$D,$C297))))</f>
        <v/>
      </c>
      <c r="G297" s="19" t="str">
        <f aca="false">IF(C297=0,"",IF($A297="Bank",INDEX(Bank!$E:$E,$C297),INDEX(GL!$E:$E,$C297)))</f>
        <v/>
      </c>
      <c r="H297" s="5" t="str">
        <f aca="false">IF(C297=0,"",IF(A297="GL",IF(G297&gt;0,"Deposit in transit","Outstanding check / payment"),IF(G297&gt;0,"Bank credit not in GL","Bank debit not in GL")))</f>
        <v/>
      </c>
      <c r="I297" s="42" t="str">
        <f aca="false">IF(OR(C297=0,CFG_PeriodEnd=""),"",CFG_PeriodEnd-D297)</f>
        <v/>
      </c>
      <c r="J297" s="5" t="str">
        <f aca="false">IF(C297=0,"",IF($A297="Bank",IF(INDEX(Bank!$G:$G,$C297)="","",INDEX(Bank!$G:$G,$C297)),IF(INDEX(GL!$G:$G,$C297)="","",INDEX(GL!$G:$G,$C297))))</f>
        <v/>
      </c>
      <c r="K297" s="5" t="str">
        <f aca="false">IF(C297=0,"",IF($A297="Bank",IF(INDEX(Bank!$I:$I,$C297)="","",INDEX(Bank!$I:$I,$C297)),IF(INDEX(GL!$I:$I,$C297)="","",INDEX(GL!$I:$I,$C297))))</f>
        <v/>
      </c>
      <c r="L297" s="5" t="str">
        <f aca="false">IF(B297="","",IF(C297=0,"NOT FOUND",IF(IF($A297="Bank",INDEX(Bank!$F:$F,$C297),INDEX(GL!$F:$F,$C297))="Y","NOW RECONCILED: refresh","OK")))</f>
        <v/>
      </c>
    </row>
    <row r="298" customFormat="false" ht="15" hidden="false" customHeight="false" outlineLevel="0" collapsed="false">
      <c r="A298" s="41"/>
      <c r="B298" s="41"/>
      <c r="C298" s="5" t="n">
        <f aca="false">IF(B298="",0,IF(A298="Bank",IFERROR(MATCH(B298,Bank!$A:$A,0),0),IFERROR(MATCH(B298,GL!$A:$A,0),0)))</f>
        <v>0</v>
      </c>
      <c r="D298" s="32" t="str">
        <f aca="false">IF(C298=0,"",IF($A298="Bank",INDEX(Bank!$B:$B,$C298),INDEX(GL!$B:$B,$C298)))</f>
        <v/>
      </c>
      <c r="E298" s="5" t="str">
        <f aca="false">IF(C298=0,"",IF($A298="Bank",IF(INDEX(Bank!$C:$C,$C298)="","",INDEX(Bank!$C:$C,$C298)),IF(INDEX(GL!$C:$C,$C298)="","",INDEX(GL!$C:$C,$C298))))</f>
        <v/>
      </c>
      <c r="F298" s="5" t="str">
        <f aca="false">IF(C298=0,"",IF($A298="Bank",IF(INDEX(Bank!$D:$D,$C298)="","",INDEX(Bank!$D:$D,$C298)),IF(INDEX(GL!$D:$D,$C298)="","",INDEX(GL!$D:$D,$C298))))</f>
        <v/>
      </c>
      <c r="G298" s="19" t="str">
        <f aca="false">IF(C298=0,"",IF($A298="Bank",INDEX(Bank!$E:$E,$C298),INDEX(GL!$E:$E,$C298)))</f>
        <v/>
      </c>
      <c r="H298" s="5" t="str">
        <f aca="false">IF(C298=0,"",IF(A298="GL",IF(G298&gt;0,"Deposit in transit","Outstanding check / payment"),IF(G298&gt;0,"Bank credit not in GL","Bank debit not in GL")))</f>
        <v/>
      </c>
      <c r="I298" s="42" t="str">
        <f aca="false">IF(OR(C298=0,CFG_PeriodEnd=""),"",CFG_PeriodEnd-D298)</f>
        <v/>
      </c>
      <c r="J298" s="5" t="str">
        <f aca="false">IF(C298=0,"",IF($A298="Bank",IF(INDEX(Bank!$G:$G,$C298)="","",INDEX(Bank!$G:$G,$C298)),IF(INDEX(GL!$G:$G,$C298)="","",INDEX(GL!$G:$G,$C298))))</f>
        <v/>
      </c>
      <c r="K298" s="5" t="str">
        <f aca="false">IF(C298=0,"",IF($A298="Bank",IF(INDEX(Bank!$I:$I,$C298)="","",INDEX(Bank!$I:$I,$C298)),IF(INDEX(GL!$I:$I,$C298)="","",INDEX(GL!$I:$I,$C298))))</f>
        <v/>
      </c>
      <c r="L298" s="5" t="str">
        <f aca="false">IF(B298="","",IF(C298=0,"NOT FOUND",IF(IF($A298="Bank",INDEX(Bank!$F:$F,$C298),INDEX(GL!$F:$F,$C298))="Y","NOW RECONCILED: refresh","OK")))</f>
        <v/>
      </c>
    </row>
    <row r="299" customFormat="false" ht="15" hidden="false" customHeight="false" outlineLevel="0" collapsed="false">
      <c r="A299" s="41"/>
      <c r="B299" s="41"/>
      <c r="C299" s="5" t="n">
        <f aca="false">IF(B299="",0,IF(A299="Bank",IFERROR(MATCH(B299,Bank!$A:$A,0),0),IFERROR(MATCH(B299,GL!$A:$A,0),0)))</f>
        <v>0</v>
      </c>
      <c r="D299" s="32" t="str">
        <f aca="false">IF(C299=0,"",IF($A299="Bank",INDEX(Bank!$B:$B,$C299),INDEX(GL!$B:$B,$C299)))</f>
        <v/>
      </c>
      <c r="E299" s="5" t="str">
        <f aca="false">IF(C299=0,"",IF($A299="Bank",IF(INDEX(Bank!$C:$C,$C299)="","",INDEX(Bank!$C:$C,$C299)),IF(INDEX(GL!$C:$C,$C299)="","",INDEX(GL!$C:$C,$C299))))</f>
        <v/>
      </c>
      <c r="F299" s="5" t="str">
        <f aca="false">IF(C299=0,"",IF($A299="Bank",IF(INDEX(Bank!$D:$D,$C299)="","",INDEX(Bank!$D:$D,$C299)),IF(INDEX(GL!$D:$D,$C299)="","",INDEX(GL!$D:$D,$C299))))</f>
        <v/>
      </c>
      <c r="G299" s="19" t="str">
        <f aca="false">IF(C299=0,"",IF($A299="Bank",INDEX(Bank!$E:$E,$C299),INDEX(GL!$E:$E,$C299)))</f>
        <v/>
      </c>
      <c r="H299" s="5" t="str">
        <f aca="false">IF(C299=0,"",IF(A299="GL",IF(G299&gt;0,"Deposit in transit","Outstanding check / payment"),IF(G299&gt;0,"Bank credit not in GL","Bank debit not in GL")))</f>
        <v/>
      </c>
      <c r="I299" s="42" t="str">
        <f aca="false">IF(OR(C299=0,CFG_PeriodEnd=""),"",CFG_PeriodEnd-D299)</f>
        <v/>
      </c>
      <c r="J299" s="5" t="str">
        <f aca="false">IF(C299=0,"",IF($A299="Bank",IF(INDEX(Bank!$G:$G,$C299)="","",INDEX(Bank!$G:$G,$C299)),IF(INDEX(GL!$G:$G,$C299)="","",INDEX(GL!$G:$G,$C299))))</f>
        <v/>
      </c>
      <c r="K299" s="5" t="str">
        <f aca="false">IF(C299=0,"",IF($A299="Bank",IF(INDEX(Bank!$I:$I,$C299)="","",INDEX(Bank!$I:$I,$C299)),IF(INDEX(GL!$I:$I,$C299)="","",INDEX(GL!$I:$I,$C299))))</f>
        <v/>
      </c>
      <c r="L299" s="5" t="str">
        <f aca="false">IF(B299="","",IF(C299=0,"NOT FOUND",IF(IF($A299="Bank",INDEX(Bank!$F:$F,$C299),INDEX(GL!$F:$F,$C299))="Y","NOW RECONCILED: refresh","OK")))</f>
        <v/>
      </c>
    </row>
    <row r="300" customFormat="false" ht="15" hidden="false" customHeight="false" outlineLevel="0" collapsed="false">
      <c r="A300" s="41"/>
      <c r="B300" s="41"/>
      <c r="C300" s="5" t="n">
        <f aca="false">IF(B300="",0,IF(A300="Bank",IFERROR(MATCH(B300,Bank!$A:$A,0),0),IFERROR(MATCH(B300,GL!$A:$A,0),0)))</f>
        <v>0</v>
      </c>
      <c r="D300" s="32" t="str">
        <f aca="false">IF(C300=0,"",IF($A300="Bank",INDEX(Bank!$B:$B,$C300),INDEX(GL!$B:$B,$C300)))</f>
        <v/>
      </c>
      <c r="E300" s="5" t="str">
        <f aca="false">IF(C300=0,"",IF($A300="Bank",IF(INDEX(Bank!$C:$C,$C300)="","",INDEX(Bank!$C:$C,$C300)),IF(INDEX(GL!$C:$C,$C300)="","",INDEX(GL!$C:$C,$C300))))</f>
        <v/>
      </c>
      <c r="F300" s="5" t="str">
        <f aca="false">IF(C300=0,"",IF($A300="Bank",IF(INDEX(Bank!$D:$D,$C300)="","",INDEX(Bank!$D:$D,$C300)),IF(INDEX(GL!$D:$D,$C300)="","",INDEX(GL!$D:$D,$C300))))</f>
        <v/>
      </c>
      <c r="G300" s="19" t="str">
        <f aca="false">IF(C300=0,"",IF($A300="Bank",INDEX(Bank!$E:$E,$C300),INDEX(GL!$E:$E,$C300)))</f>
        <v/>
      </c>
      <c r="H300" s="5" t="str">
        <f aca="false">IF(C300=0,"",IF(A300="GL",IF(G300&gt;0,"Deposit in transit","Outstanding check / payment"),IF(G300&gt;0,"Bank credit not in GL","Bank debit not in GL")))</f>
        <v/>
      </c>
      <c r="I300" s="42" t="str">
        <f aca="false">IF(OR(C300=0,CFG_PeriodEnd=""),"",CFG_PeriodEnd-D300)</f>
        <v/>
      </c>
      <c r="J300" s="5" t="str">
        <f aca="false">IF(C300=0,"",IF($A300="Bank",IF(INDEX(Bank!$G:$G,$C300)="","",INDEX(Bank!$G:$G,$C300)),IF(INDEX(GL!$G:$G,$C300)="","",INDEX(GL!$G:$G,$C300))))</f>
        <v/>
      </c>
      <c r="K300" s="5" t="str">
        <f aca="false">IF(C300=0,"",IF($A300="Bank",IF(INDEX(Bank!$I:$I,$C300)="","",INDEX(Bank!$I:$I,$C300)),IF(INDEX(GL!$I:$I,$C300)="","",INDEX(GL!$I:$I,$C300))))</f>
        <v/>
      </c>
      <c r="L300" s="5" t="str">
        <f aca="false">IF(B300="","",IF(C300=0,"NOT FOUND",IF(IF($A300="Bank",INDEX(Bank!$F:$F,$C300),INDEX(GL!$F:$F,$C300))="Y","NOW RECONCILED: refresh","OK")))</f>
        <v/>
      </c>
    </row>
    <row r="301" customFormat="false" ht="15" hidden="false" customHeight="false" outlineLevel="0" collapsed="false">
      <c r="A301" s="41"/>
      <c r="B301" s="41"/>
      <c r="C301" s="5" t="n">
        <f aca="false">IF(B301="",0,IF(A301="Bank",IFERROR(MATCH(B301,Bank!$A:$A,0),0),IFERROR(MATCH(B301,GL!$A:$A,0),0)))</f>
        <v>0</v>
      </c>
      <c r="D301" s="32" t="str">
        <f aca="false">IF(C301=0,"",IF($A301="Bank",INDEX(Bank!$B:$B,$C301),INDEX(GL!$B:$B,$C301)))</f>
        <v/>
      </c>
      <c r="E301" s="5" t="str">
        <f aca="false">IF(C301=0,"",IF($A301="Bank",IF(INDEX(Bank!$C:$C,$C301)="","",INDEX(Bank!$C:$C,$C301)),IF(INDEX(GL!$C:$C,$C301)="","",INDEX(GL!$C:$C,$C301))))</f>
        <v/>
      </c>
      <c r="F301" s="5" t="str">
        <f aca="false">IF(C301=0,"",IF($A301="Bank",IF(INDEX(Bank!$D:$D,$C301)="","",INDEX(Bank!$D:$D,$C301)),IF(INDEX(GL!$D:$D,$C301)="","",INDEX(GL!$D:$D,$C301))))</f>
        <v/>
      </c>
      <c r="G301" s="19" t="str">
        <f aca="false">IF(C301=0,"",IF($A301="Bank",INDEX(Bank!$E:$E,$C301),INDEX(GL!$E:$E,$C301)))</f>
        <v/>
      </c>
      <c r="H301" s="5" t="str">
        <f aca="false">IF(C301=0,"",IF(A301="GL",IF(G301&gt;0,"Deposit in transit","Outstanding check / payment"),IF(G301&gt;0,"Bank credit not in GL","Bank debit not in GL")))</f>
        <v/>
      </c>
      <c r="I301" s="42" t="str">
        <f aca="false">IF(OR(C301=0,CFG_PeriodEnd=""),"",CFG_PeriodEnd-D301)</f>
        <v/>
      </c>
      <c r="J301" s="5" t="str">
        <f aca="false">IF(C301=0,"",IF($A301="Bank",IF(INDEX(Bank!$G:$G,$C301)="","",INDEX(Bank!$G:$G,$C301)),IF(INDEX(GL!$G:$G,$C301)="","",INDEX(GL!$G:$G,$C301))))</f>
        <v/>
      </c>
      <c r="K301" s="5" t="str">
        <f aca="false">IF(C301=0,"",IF($A301="Bank",IF(INDEX(Bank!$I:$I,$C301)="","",INDEX(Bank!$I:$I,$C301)),IF(INDEX(GL!$I:$I,$C301)="","",INDEX(GL!$I:$I,$C301))))</f>
        <v/>
      </c>
      <c r="L301" s="5" t="str">
        <f aca="false">IF(B301="","",IF(C301=0,"NOT FOUND",IF(IF($A301="Bank",INDEX(Bank!$F:$F,$C301),INDEX(GL!$F:$F,$C301))="Y","NOW RECONCILED: refresh","OK")))</f>
        <v/>
      </c>
    </row>
    <row r="302" customFormat="false" ht="15" hidden="false" customHeight="false" outlineLevel="0" collapsed="false">
      <c r="A302" s="41"/>
      <c r="B302" s="41"/>
      <c r="C302" s="5" t="n">
        <f aca="false">IF(B302="",0,IF(A302="Bank",IFERROR(MATCH(B302,Bank!$A:$A,0),0),IFERROR(MATCH(B302,GL!$A:$A,0),0)))</f>
        <v>0</v>
      </c>
      <c r="D302" s="32" t="str">
        <f aca="false">IF(C302=0,"",IF($A302="Bank",INDEX(Bank!$B:$B,$C302),INDEX(GL!$B:$B,$C302)))</f>
        <v/>
      </c>
      <c r="E302" s="5" t="str">
        <f aca="false">IF(C302=0,"",IF($A302="Bank",IF(INDEX(Bank!$C:$C,$C302)="","",INDEX(Bank!$C:$C,$C302)),IF(INDEX(GL!$C:$C,$C302)="","",INDEX(GL!$C:$C,$C302))))</f>
        <v/>
      </c>
      <c r="F302" s="5" t="str">
        <f aca="false">IF(C302=0,"",IF($A302="Bank",IF(INDEX(Bank!$D:$D,$C302)="","",INDEX(Bank!$D:$D,$C302)),IF(INDEX(GL!$D:$D,$C302)="","",INDEX(GL!$D:$D,$C302))))</f>
        <v/>
      </c>
      <c r="G302" s="19" t="str">
        <f aca="false">IF(C302=0,"",IF($A302="Bank",INDEX(Bank!$E:$E,$C302),INDEX(GL!$E:$E,$C302)))</f>
        <v/>
      </c>
      <c r="H302" s="5" t="str">
        <f aca="false">IF(C302=0,"",IF(A302="GL",IF(G302&gt;0,"Deposit in transit","Outstanding check / payment"),IF(G302&gt;0,"Bank credit not in GL","Bank debit not in GL")))</f>
        <v/>
      </c>
      <c r="I302" s="42" t="str">
        <f aca="false">IF(OR(C302=0,CFG_PeriodEnd=""),"",CFG_PeriodEnd-D302)</f>
        <v/>
      </c>
      <c r="J302" s="5" t="str">
        <f aca="false">IF(C302=0,"",IF($A302="Bank",IF(INDEX(Bank!$G:$G,$C302)="","",INDEX(Bank!$G:$G,$C302)),IF(INDEX(GL!$G:$G,$C302)="","",INDEX(GL!$G:$G,$C302))))</f>
        <v/>
      </c>
      <c r="K302" s="5" t="str">
        <f aca="false">IF(C302=0,"",IF($A302="Bank",IF(INDEX(Bank!$I:$I,$C302)="","",INDEX(Bank!$I:$I,$C302)),IF(INDEX(GL!$I:$I,$C302)="","",INDEX(GL!$I:$I,$C302))))</f>
        <v/>
      </c>
      <c r="L302" s="5" t="str">
        <f aca="false">IF(B302="","",IF(C302=0,"NOT FOUND",IF(IF($A302="Bank",INDEX(Bank!$F:$F,$C302),INDEX(GL!$F:$F,$C302))="Y","NOW RECONCILED: refresh","OK")))</f>
        <v/>
      </c>
    </row>
    <row r="303" customFormat="false" ht="15" hidden="false" customHeight="false" outlineLevel="0" collapsed="false">
      <c r="A303" s="41"/>
      <c r="B303" s="41"/>
      <c r="C303" s="5" t="n">
        <f aca="false">IF(B303="",0,IF(A303="Bank",IFERROR(MATCH(B303,Bank!$A:$A,0),0),IFERROR(MATCH(B303,GL!$A:$A,0),0)))</f>
        <v>0</v>
      </c>
      <c r="D303" s="32" t="str">
        <f aca="false">IF(C303=0,"",IF($A303="Bank",INDEX(Bank!$B:$B,$C303),INDEX(GL!$B:$B,$C303)))</f>
        <v/>
      </c>
      <c r="E303" s="5" t="str">
        <f aca="false">IF(C303=0,"",IF($A303="Bank",IF(INDEX(Bank!$C:$C,$C303)="","",INDEX(Bank!$C:$C,$C303)),IF(INDEX(GL!$C:$C,$C303)="","",INDEX(GL!$C:$C,$C303))))</f>
        <v/>
      </c>
      <c r="F303" s="5" t="str">
        <f aca="false">IF(C303=0,"",IF($A303="Bank",IF(INDEX(Bank!$D:$D,$C303)="","",INDEX(Bank!$D:$D,$C303)),IF(INDEX(GL!$D:$D,$C303)="","",INDEX(GL!$D:$D,$C303))))</f>
        <v/>
      </c>
      <c r="G303" s="19" t="str">
        <f aca="false">IF(C303=0,"",IF($A303="Bank",INDEX(Bank!$E:$E,$C303),INDEX(GL!$E:$E,$C303)))</f>
        <v/>
      </c>
      <c r="H303" s="5" t="str">
        <f aca="false">IF(C303=0,"",IF(A303="GL",IF(G303&gt;0,"Deposit in transit","Outstanding check / payment"),IF(G303&gt;0,"Bank credit not in GL","Bank debit not in GL")))</f>
        <v/>
      </c>
      <c r="I303" s="42" t="str">
        <f aca="false">IF(OR(C303=0,CFG_PeriodEnd=""),"",CFG_PeriodEnd-D303)</f>
        <v/>
      </c>
      <c r="J303" s="5" t="str">
        <f aca="false">IF(C303=0,"",IF($A303="Bank",IF(INDEX(Bank!$G:$G,$C303)="","",INDEX(Bank!$G:$G,$C303)),IF(INDEX(GL!$G:$G,$C303)="","",INDEX(GL!$G:$G,$C303))))</f>
        <v/>
      </c>
      <c r="K303" s="5" t="str">
        <f aca="false">IF(C303=0,"",IF($A303="Bank",IF(INDEX(Bank!$I:$I,$C303)="","",INDEX(Bank!$I:$I,$C303)),IF(INDEX(GL!$I:$I,$C303)="","",INDEX(GL!$I:$I,$C303))))</f>
        <v/>
      </c>
      <c r="L303" s="5" t="str">
        <f aca="false">IF(B303="","",IF(C303=0,"NOT FOUND",IF(IF($A303="Bank",INDEX(Bank!$F:$F,$C303),INDEX(GL!$F:$F,$C303))="Y","NOW RECONCILED: refresh","OK")))</f>
        <v/>
      </c>
    </row>
    <row r="304" customFormat="false" ht="15" hidden="false" customHeight="false" outlineLevel="0" collapsed="false">
      <c r="A304" s="41"/>
      <c r="B304" s="41"/>
      <c r="C304" s="5" t="n">
        <f aca="false">IF(B304="",0,IF(A304="Bank",IFERROR(MATCH(B304,Bank!$A:$A,0),0),IFERROR(MATCH(B304,GL!$A:$A,0),0)))</f>
        <v>0</v>
      </c>
      <c r="D304" s="32" t="str">
        <f aca="false">IF(C304=0,"",IF($A304="Bank",INDEX(Bank!$B:$B,$C304),INDEX(GL!$B:$B,$C304)))</f>
        <v/>
      </c>
      <c r="E304" s="5" t="str">
        <f aca="false">IF(C304=0,"",IF($A304="Bank",IF(INDEX(Bank!$C:$C,$C304)="","",INDEX(Bank!$C:$C,$C304)),IF(INDEX(GL!$C:$C,$C304)="","",INDEX(GL!$C:$C,$C304))))</f>
        <v/>
      </c>
      <c r="F304" s="5" t="str">
        <f aca="false">IF(C304=0,"",IF($A304="Bank",IF(INDEX(Bank!$D:$D,$C304)="","",INDEX(Bank!$D:$D,$C304)),IF(INDEX(GL!$D:$D,$C304)="","",INDEX(GL!$D:$D,$C304))))</f>
        <v/>
      </c>
      <c r="G304" s="19" t="str">
        <f aca="false">IF(C304=0,"",IF($A304="Bank",INDEX(Bank!$E:$E,$C304),INDEX(GL!$E:$E,$C304)))</f>
        <v/>
      </c>
      <c r="H304" s="5" t="str">
        <f aca="false">IF(C304=0,"",IF(A304="GL",IF(G304&gt;0,"Deposit in transit","Outstanding check / payment"),IF(G304&gt;0,"Bank credit not in GL","Bank debit not in GL")))</f>
        <v/>
      </c>
      <c r="I304" s="42" t="str">
        <f aca="false">IF(OR(C304=0,CFG_PeriodEnd=""),"",CFG_PeriodEnd-D304)</f>
        <v/>
      </c>
      <c r="J304" s="5" t="str">
        <f aca="false">IF(C304=0,"",IF($A304="Bank",IF(INDEX(Bank!$G:$G,$C304)="","",INDEX(Bank!$G:$G,$C304)),IF(INDEX(GL!$G:$G,$C304)="","",INDEX(GL!$G:$G,$C304))))</f>
        <v/>
      </c>
      <c r="K304" s="5" t="str">
        <f aca="false">IF(C304=0,"",IF($A304="Bank",IF(INDEX(Bank!$I:$I,$C304)="","",INDEX(Bank!$I:$I,$C304)),IF(INDEX(GL!$I:$I,$C304)="","",INDEX(GL!$I:$I,$C304))))</f>
        <v/>
      </c>
      <c r="L304" s="5" t="str">
        <f aca="false">IF(B304="","",IF(C304=0,"NOT FOUND",IF(IF($A304="Bank",INDEX(Bank!$F:$F,$C304),INDEX(GL!$F:$F,$C304))="Y","NOW RECONCILED: refresh","OK")))</f>
        <v/>
      </c>
    </row>
    <row r="305" customFormat="false" ht="15" hidden="false" customHeight="false" outlineLevel="0" collapsed="false">
      <c r="A305" s="41"/>
      <c r="B305" s="41"/>
      <c r="C305" s="5" t="n">
        <f aca="false">IF(B305="",0,IF(A305="Bank",IFERROR(MATCH(B305,Bank!$A:$A,0),0),IFERROR(MATCH(B305,GL!$A:$A,0),0)))</f>
        <v>0</v>
      </c>
      <c r="D305" s="32" t="str">
        <f aca="false">IF(C305=0,"",IF($A305="Bank",INDEX(Bank!$B:$B,$C305),INDEX(GL!$B:$B,$C305)))</f>
        <v/>
      </c>
      <c r="E305" s="5" t="str">
        <f aca="false">IF(C305=0,"",IF($A305="Bank",IF(INDEX(Bank!$C:$C,$C305)="","",INDEX(Bank!$C:$C,$C305)),IF(INDEX(GL!$C:$C,$C305)="","",INDEX(GL!$C:$C,$C305))))</f>
        <v/>
      </c>
      <c r="F305" s="5" t="str">
        <f aca="false">IF(C305=0,"",IF($A305="Bank",IF(INDEX(Bank!$D:$D,$C305)="","",INDEX(Bank!$D:$D,$C305)),IF(INDEX(GL!$D:$D,$C305)="","",INDEX(GL!$D:$D,$C305))))</f>
        <v/>
      </c>
      <c r="G305" s="19" t="str">
        <f aca="false">IF(C305=0,"",IF($A305="Bank",INDEX(Bank!$E:$E,$C305),INDEX(GL!$E:$E,$C305)))</f>
        <v/>
      </c>
      <c r="H305" s="5" t="str">
        <f aca="false">IF(C305=0,"",IF(A305="GL",IF(G305&gt;0,"Deposit in transit","Outstanding check / payment"),IF(G305&gt;0,"Bank credit not in GL","Bank debit not in GL")))</f>
        <v/>
      </c>
      <c r="I305" s="42" t="str">
        <f aca="false">IF(OR(C305=0,CFG_PeriodEnd=""),"",CFG_PeriodEnd-D305)</f>
        <v/>
      </c>
      <c r="J305" s="5" t="str">
        <f aca="false">IF(C305=0,"",IF($A305="Bank",IF(INDEX(Bank!$G:$G,$C305)="","",INDEX(Bank!$G:$G,$C305)),IF(INDEX(GL!$G:$G,$C305)="","",INDEX(GL!$G:$G,$C305))))</f>
        <v/>
      </c>
      <c r="K305" s="5" t="str">
        <f aca="false">IF(C305=0,"",IF($A305="Bank",IF(INDEX(Bank!$I:$I,$C305)="","",INDEX(Bank!$I:$I,$C305)),IF(INDEX(GL!$I:$I,$C305)="","",INDEX(GL!$I:$I,$C305))))</f>
        <v/>
      </c>
      <c r="L305" s="5" t="str">
        <f aca="false">IF(B305="","",IF(C305=0,"NOT FOUND",IF(IF($A305="Bank",INDEX(Bank!$F:$F,$C305),INDEX(GL!$F:$F,$C305))="Y","NOW RECONCILED: refresh","OK")))</f>
        <v/>
      </c>
    </row>
    <row r="306" customFormat="false" ht="15" hidden="false" customHeight="false" outlineLevel="0" collapsed="false">
      <c r="A306" s="41"/>
      <c r="B306" s="41"/>
      <c r="C306" s="5" t="n">
        <f aca="false">IF(B306="",0,IF(A306="Bank",IFERROR(MATCH(B306,Bank!$A:$A,0),0),IFERROR(MATCH(B306,GL!$A:$A,0),0)))</f>
        <v>0</v>
      </c>
      <c r="D306" s="32" t="str">
        <f aca="false">IF(C306=0,"",IF($A306="Bank",INDEX(Bank!$B:$B,$C306),INDEX(GL!$B:$B,$C306)))</f>
        <v/>
      </c>
      <c r="E306" s="5" t="str">
        <f aca="false">IF(C306=0,"",IF($A306="Bank",IF(INDEX(Bank!$C:$C,$C306)="","",INDEX(Bank!$C:$C,$C306)),IF(INDEX(GL!$C:$C,$C306)="","",INDEX(GL!$C:$C,$C306))))</f>
        <v/>
      </c>
      <c r="F306" s="5" t="str">
        <f aca="false">IF(C306=0,"",IF($A306="Bank",IF(INDEX(Bank!$D:$D,$C306)="","",INDEX(Bank!$D:$D,$C306)),IF(INDEX(GL!$D:$D,$C306)="","",INDEX(GL!$D:$D,$C306))))</f>
        <v/>
      </c>
      <c r="G306" s="19" t="str">
        <f aca="false">IF(C306=0,"",IF($A306="Bank",INDEX(Bank!$E:$E,$C306),INDEX(GL!$E:$E,$C306)))</f>
        <v/>
      </c>
      <c r="H306" s="5" t="str">
        <f aca="false">IF(C306=0,"",IF(A306="GL",IF(G306&gt;0,"Deposit in transit","Outstanding check / payment"),IF(G306&gt;0,"Bank credit not in GL","Bank debit not in GL")))</f>
        <v/>
      </c>
      <c r="I306" s="42" t="str">
        <f aca="false">IF(OR(C306=0,CFG_PeriodEnd=""),"",CFG_PeriodEnd-D306)</f>
        <v/>
      </c>
      <c r="J306" s="5" t="str">
        <f aca="false">IF(C306=0,"",IF($A306="Bank",IF(INDEX(Bank!$G:$G,$C306)="","",INDEX(Bank!$G:$G,$C306)),IF(INDEX(GL!$G:$G,$C306)="","",INDEX(GL!$G:$G,$C306))))</f>
        <v/>
      </c>
      <c r="K306" s="5" t="str">
        <f aca="false">IF(C306=0,"",IF($A306="Bank",IF(INDEX(Bank!$I:$I,$C306)="","",INDEX(Bank!$I:$I,$C306)),IF(INDEX(GL!$I:$I,$C306)="","",INDEX(GL!$I:$I,$C306))))</f>
        <v/>
      </c>
      <c r="L306" s="5" t="str">
        <f aca="false">IF(B306="","",IF(C306=0,"NOT FOUND",IF(IF($A306="Bank",INDEX(Bank!$F:$F,$C306),INDEX(GL!$F:$F,$C306))="Y","NOW RECONCILED: refresh","OK")))</f>
        <v/>
      </c>
    </row>
    <row r="307" customFormat="false" ht="15" hidden="false" customHeight="false" outlineLevel="0" collapsed="false">
      <c r="A307" s="41"/>
      <c r="B307" s="41"/>
      <c r="C307" s="5" t="n">
        <f aca="false">IF(B307="",0,IF(A307="Bank",IFERROR(MATCH(B307,Bank!$A:$A,0),0),IFERROR(MATCH(B307,GL!$A:$A,0),0)))</f>
        <v>0</v>
      </c>
      <c r="D307" s="32" t="str">
        <f aca="false">IF(C307=0,"",IF($A307="Bank",INDEX(Bank!$B:$B,$C307),INDEX(GL!$B:$B,$C307)))</f>
        <v/>
      </c>
      <c r="E307" s="5" t="str">
        <f aca="false">IF(C307=0,"",IF($A307="Bank",IF(INDEX(Bank!$C:$C,$C307)="","",INDEX(Bank!$C:$C,$C307)),IF(INDEX(GL!$C:$C,$C307)="","",INDEX(GL!$C:$C,$C307))))</f>
        <v/>
      </c>
      <c r="F307" s="5" t="str">
        <f aca="false">IF(C307=0,"",IF($A307="Bank",IF(INDEX(Bank!$D:$D,$C307)="","",INDEX(Bank!$D:$D,$C307)),IF(INDEX(GL!$D:$D,$C307)="","",INDEX(GL!$D:$D,$C307))))</f>
        <v/>
      </c>
      <c r="G307" s="19" t="str">
        <f aca="false">IF(C307=0,"",IF($A307="Bank",INDEX(Bank!$E:$E,$C307),INDEX(GL!$E:$E,$C307)))</f>
        <v/>
      </c>
      <c r="H307" s="5" t="str">
        <f aca="false">IF(C307=0,"",IF(A307="GL",IF(G307&gt;0,"Deposit in transit","Outstanding check / payment"),IF(G307&gt;0,"Bank credit not in GL","Bank debit not in GL")))</f>
        <v/>
      </c>
      <c r="I307" s="42" t="str">
        <f aca="false">IF(OR(C307=0,CFG_PeriodEnd=""),"",CFG_PeriodEnd-D307)</f>
        <v/>
      </c>
      <c r="J307" s="5" t="str">
        <f aca="false">IF(C307=0,"",IF($A307="Bank",IF(INDEX(Bank!$G:$G,$C307)="","",INDEX(Bank!$G:$G,$C307)),IF(INDEX(GL!$G:$G,$C307)="","",INDEX(GL!$G:$G,$C307))))</f>
        <v/>
      </c>
      <c r="K307" s="5" t="str">
        <f aca="false">IF(C307=0,"",IF($A307="Bank",IF(INDEX(Bank!$I:$I,$C307)="","",INDEX(Bank!$I:$I,$C307)),IF(INDEX(GL!$I:$I,$C307)="","",INDEX(GL!$I:$I,$C307))))</f>
        <v/>
      </c>
      <c r="L307" s="5" t="str">
        <f aca="false">IF(B307="","",IF(C307=0,"NOT FOUND",IF(IF($A307="Bank",INDEX(Bank!$F:$F,$C307),INDEX(GL!$F:$F,$C307))="Y","NOW RECONCILED: refresh","OK")))</f>
        <v/>
      </c>
    </row>
    <row r="308" customFormat="false" ht="15" hidden="false" customHeight="false" outlineLevel="0" collapsed="false">
      <c r="A308" s="41"/>
      <c r="B308" s="41"/>
      <c r="C308" s="5" t="n">
        <f aca="false">IF(B308="",0,IF(A308="Bank",IFERROR(MATCH(B308,Bank!$A:$A,0),0),IFERROR(MATCH(B308,GL!$A:$A,0),0)))</f>
        <v>0</v>
      </c>
      <c r="D308" s="32" t="str">
        <f aca="false">IF(C308=0,"",IF($A308="Bank",INDEX(Bank!$B:$B,$C308),INDEX(GL!$B:$B,$C308)))</f>
        <v/>
      </c>
      <c r="E308" s="5" t="str">
        <f aca="false">IF(C308=0,"",IF($A308="Bank",IF(INDEX(Bank!$C:$C,$C308)="","",INDEX(Bank!$C:$C,$C308)),IF(INDEX(GL!$C:$C,$C308)="","",INDEX(GL!$C:$C,$C308))))</f>
        <v/>
      </c>
      <c r="F308" s="5" t="str">
        <f aca="false">IF(C308=0,"",IF($A308="Bank",IF(INDEX(Bank!$D:$D,$C308)="","",INDEX(Bank!$D:$D,$C308)),IF(INDEX(GL!$D:$D,$C308)="","",INDEX(GL!$D:$D,$C308))))</f>
        <v/>
      </c>
      <c r="G308" s="19" t="str">
        <f aca="false">IF(C308=0,"",IF($A308="Bank",INDEX(Bank!$E:$E,$C308),INDEX(GL!$E:$E,$C308)))</f>
        <v/>
      </c>
      <c r="H308" s="5" t="str">
        <f aca="false">IF(C308=0,"",IF(A308="GL",IF(G308&gt;0,"Deposit in transit","Outstanding check / payment"),IF(G308&gt;0,"Bank credit not in GL","Bank debit not in GL")))</f>
        <v/>
      </c>
      <c r="I308" s="42" t="str">
        <f aca="false">IF(OR(C308=0,CFG_PeriodEnd=""),"",CFG_PeriodEnd-D308)</f>
        <v/>
      </c>
      <c r="J308" s="5" t="str">
        <f aca="false">IF(C308=0,"",IF($A308="Bank",IF(INDEX(Bank!$G:$G,$C308)="","",INDEX(Bank!$G:$G,$C308)),IF(INDEX(GL!$G:$G,$C308)="","",INDEX(GL!$G:$G,$C308))))</f>
        <v/>
      </c>
      <c r="K308" s="5" t="str">
        <f aca="false">IF(C308=0,"",IF($A308="Bank",IF(INDEX(Bank!$I:$I,$C308)="","",INDEX(Bank!$I:$I,$C308)),IF(INDEX(GL!$I:$I,$C308)="","",INDEX(GL!$I:$I,$C308))))</f>
        <v/>
      </c>
      <c r="L308" s="5" t="str">
        <f aca="false">IF(B308="","",IF(C308=0,"NOT FOUND",IF(IF($A308="Bank",INDEX(Bank!$F:$F,$C308),INDEX(GL!$F:$F,$C308))="Y","NOW RECONCILED: refresh","OK")))</f>
        <v/>
      </c>
    </row>
    <row r="309" customFormat="false" ht="15" hidden="false" customHeight="false" outlineLevel="0" collapsed="false">
      <c r="A309" s="41"/>
      <c r="B309" s="41"/>
      <c r="C309" s="5" t="n">
        <f aca="false">IF(B309="",0,IF(A309="Bank",IFERROR(MATCH(B309,Bank!$A:$A,0),0),IFERROR(MATCH(B309,GL!$A:$A,0),0)))</f>
        <v>0</v>
      </c>
      <c r="D309" s="32" t="str">
        <f aca="false">IF(C309=0,"",IF($A309="Bank",INDEX(Bank!$B:$B,$C309),INDEX(GL!$B:$B,$C309)))</f>
        <v/>
      </c>
      <c r="E309" s="5" t="str">
        <f aca="false">IF(C309=0,"",IF($A309="Bank",IF(INDEX(Bank!$C:$C,$C309)="","",INDEX(Bank!$C:$C,$C309)),IF(INDEX(GL!$C:$C,$C309)="","",INDEX(GL!$C:$C,$C309))))</f>
        <v/>
      </c>
      <c r="F309" s="5" t="str">
        <f aca="false">IF(C309=0,"",IF($A309="Bank",IF(INDEX(Bank!$D:$D,$C309)="","",INDEX(Bank!$D:$D,$C309)),IF(INDEX(GL!$D:$D,$C309)="","",INDEX(GL!$D:$D,$C309))))</f>
        <v/>
      </c>
      <c r="G309" s="19" t="str">
        <f aca="false">IF(C309=0,"",IF($A309="Bank",INDEX(Bank!$E:$E,$C309),INDEX(GL!$E:$E,$C309)))</f>
        <v/>
      </c>
      <c r="H309" s="5" t="str">
        <f aca="false">IF(C309=0,"",IF(A309="GL",IF(G309&gt;0,"Deposit in transit","Outstanding check / payment"),IF(G309&gt;0,"Bank credit not in GL","Bank debit not in GL")))</f>
        <v/>
      </c>
      <c r="I309" s="42" t="str">
        <f aca="false">IF(OR(C309=0,CFG_PeriodEnd=""),"",CFG_PeriodEnd-D309)</f>
        <v/>
      </c>
      <c r="J309" s="5" t="str">
        <f aca="false">IF(C309=0,"",IF($A309="Bank",IF(INDEX(Bank!$G:$G,$C309)="","",INDEX(Bank!$G:$G,$C309)),IF(INDEX(GL!$G:$G,$C309)="","",INDEX(GL!$G:$G,$C309))))</f>
        <v/>
      </c>
      <c r="K309" s="5" t="str">
        <f aca="false">IF(C309=0,"",IF($A309="Bank",IF(INDEX(Bank!$I:$I,$C309)="","",INDEX(Bank!$I:$I,$C309)),IF(INDEX(GL!$I:$I,$C309)="","",INDEX(GL!$I:$I,$C309))))</f>
        <v/>
      </c>
      <c r="L309" s="5" t="str">
        <f aca="false">IF(B309="","",IF(C309=0,"NOT FOUND",IF(IF($A309="Bank",INDEX(Bank!$F:$F,$C309),INDEX(GL!$F:$F,$C309))="Y","NOW RECONCILED: refresh","OK")))</f>
        <v/>
      </c>
    </row>
    <row r="310" customFormat="false" ht="15" hidden="false" customHeight="false" outlineLevel="0" collapsed="false">
      <c r="A310" s="41"/>
      <c r="B310" s="41"/>
      <c r="C310" s="5" t="n">
        <f aca="false">IF(B310="",0,IF(A310="Bank",IFERROR(MATCH(B310,Bank!$A:$A,0),0),IFERROR(MATCH(B310,GL!$A:$A,0),0)))</f>
        <v>0</v>
      </c>
      <c r="D310" s="32" t="str">
        <f aca="false">IF(C310=0,"",IF($A310="Bank",INDEX(Bank!$B:$B,$C310),INDEX(GL!$B:$B,$C310)))</f>
        <v/>
      </c>
      <c r="E310" s="5" t="str">
        <f aca="false">IF(C310=0,"",IF($A310="Bank",IF(INDEX(Bank!$C:$C,$C310)="","",INDEX(Bank!$C:$C,$C310)),IF(INDEX(GL!$C:$C,$C310)="","",INDEX(GL!$C:$C,$C310))))</f>
        <v/>
      </c>
      <c r="F310" s="5" t="str">
        <f aca="false">IF(C310=0,"",IF($A310="Bank",IF(INDEX(Bank!$D:$D,$C310)="","",INDEX(Bank!$D:$D,$C310)),IF(INDEX(GL!$D:$D,$C310)="","",INDEX(GL!$D:$D,$C310))))</f>
        <v/>
      </c>
      <c r="G310" s="19" t="str">
        <f aca="false">IF(C310=0,"",IF($A310="Bank",INDEX(Bank!$E:$E,$C310),INDEX(GL!$E:$E,$C310)))</f>
        <v/>
      </c>
      <c r="H310" s="5" t="str">
        <f aca="false">IF(C310=0,"",IF(A310="GL",IF(G310&gt;0,"Deposit in transit","Outstanding check / payment"),IF(G310&gt;0,"Bank credit not in GL","Bank debit not in GL")))</f>
        <v/>
      </c>
      <c r="I310" s="42" t="str">
        <f aca="false">IF(OR(C310=0,CFG_PeriodEnd=""),"",CFG_PeriodEnd-D310)</f>
        <v/>
      </c>
      <c r="J310" s="5" t="str">
        <f aca="false">IF(C310=0,"",IF($A310="Bank",IF(INDEX(Bank!$G:$G,$C310)="","",INDEX(Bank!$G:$G,$C310)),IF(INDEX(GL!$G:$G,$C310)="","",INDEX(GL!$G:$G,$C310))))</f>
        <v/>
      </c>
      <c r="K310" s="5" t="str">
        <f aca="false">IF(C310=0,"",IF($A310="Bank",IF(INDEX(Bank!$I:$I,$C310)="","",INDEX(Bank!$I:$I,$C310)),IF(INDEX(GL!$I:$I,$C310)="","",INDEX(GL!$I:$I,$C310))))</f>
        <v/>
      </c>
      <c r="L310" s="5" t="str">
        <f aca="false">IF(B310="","",IF(C310=0,"NOT FOUND",IF(IF($A310="Bank",INDEX(Bank!$F:$F,$C310),INDEX(GL!$F:$F,$C310))="Y","NOW RECONCILED: refresh","OK")))</f>
        <v/>
      </c>
    </row>
    <row r="311" customFormat="false" ht="15" hidden="false" customHeight="false" outlineLevel="0" collapsed="false">
      <c r="A311" s="41"/>
      <c r="B311" s="41"/>
      <c r="C311" s="5" t="n">
        <f aca="false">IF(B311="",0,IF(A311="Bank",IFERROR(MATCH(B311,Bank!$A:$A,0),0),IFERROR(MATCH(B311,GL!$A:$A,0),0)))</f>
        <v>0</v>
      </c>
      <c r="D311" s="32" t="str">
        <f aca="false">IF(C311=0,"",IF($A311="Bank",INDEX(Bank!$B:$B,$C311),INDEX(GL!$B:$B,$C311)))</f>
        <v/>
      </c>
      <c r="E311" s="5" t="str">
        <f aca="false">IF(C311=0,"",IF($A311="Bank",IF(INDEX(Bank!$C:$C,$C311)="","",INDEX(Bank!$C:$C,$C311)),IF(INDEX(GL!$C:$C,$C311)="","",INDEX(GL!$C:$C,$C311))))</f>
        <v/>
      </c>
      <c r="F311" s="5" t="str">
        <f aca="false">IF(C311=0,"",IF($A311="Bank",IF(INDEX(Bank!$D:$D,$C311)="","",INDEX(Bank!$D:$D,$C311)),IF(INDEX(GL!$D:$D,$C311)="","",INDEX(GL!$D:$D,$C311))))</f>
        <v/>
      </c>
      <c r="G311" s="19" t="str">
        <f aca="false">IF(C311=0,"",IF($A311="Bank",INDEX(Bank!$E:$E,$C311),INDEX(GL!$E:$E,$C311)))</f>
        <v/>
      </c>
      <c r="H311" s="5" t="str">
        <f aca="false">IF(C311=0,"",IF(A311="GL",IF(G311&gt;0,"Deposit in transit","Outstanding check / payment"),IF(G311&gt;0,"Bank credit not in GL","Bank debit not in GL")))</f>
        <v/>
      </c>
      <c r="I311" s="42" t="str">
        <f aca="false">IF(OR(C311=0,CFG_PeriodEnd=""),"",CFG_PeriodEnd-D311)</f>
        <v/>
      </c>
      <c r="J311" s="5" t="str">
        <f aca="false">IF(C311=0,"",IF($A311="Bank",IF(INDEX(Bank!$G:$G,$C311)="","",INDEX(Bank!$G:$G,$C311)),IF(INDEX(GL!$G:$G,$C311)="","",INDEX(GL!$G:$G,$C311))))</f>
        <v/>
      </c>
      <c r="K311" s="5" t="str">
        <f aca="false">IF(C311=0,"",IF($A311="Bank",IF(INDEX(Bank!$I:$I,$C311)="","",INDEX(Bank!$I:$I,$C311)),IF(INDEX(GL!$I:$I,$C311)="","",INDEX(GL!$I:$I,$C311))))</f>
        <v/>
      </c>
      <c r="L311" s="5" t="str">
        <f aca="false">IF(B311="","",IF(C311=0,"NOT FOUND",IF(IF($A311="Bank",INDEX(Bank!$F:$F,$C311),INDEX(GL!$F:$F,$C311))="Y","NOW RECONCILED: refresh","OK")))</f>
        <v/>
      </c>
    </row>
    <row r="312" customFormat="false" ht="15" hidden="false" customHeight="false" outlineLevel="0" collapsed="false">
      <c r="A312" s="41"/>
      <c r="B312" s="41"/>
      <c r="C312" s="5" t="n">
        <f aca="false">IF(B312="",0,IF(A312="Bank",IFERROR(MATCH(B312,Bank!$A:$A,0),0),IFERROR(MATCH(B312,GL!$A:$A,0),0)))</f>
        <v>0</v>
      </c>
      <c r="D312" s="32" t="str">
        <f aca="false">IF(C312=0,"",IF($A312="Bank",INDEX(Bank!$B:$B,$C312),INDEX(GL!$B:$B,$C312)))</f>
        <v/>
      </c>
      <c r="E312" s="5" t="str">
        <f aca="false">IF(C312=0,"",IF($A312="Bank",IF(INDEX(Bank!$C:$C,$C312)="","",INDEX(Bank!$C:$C,$C312)),IF(INDEX(GL!$C:$C,$C312)="","",INDEX(GL!$C:$C,$C312))))</f>
        <v/>
      </c>
      <c r="F312" s="5" t="str">
        <f aca="false">IF(C312=0,"",IF($A312="Bank",IF(INDEX(Bank!$D:$D,$C312)="","",INDEX(Bank!$D:$D,$C312)),IF(INDEX(GL!$D:$D,$C312)="","",INDEX(GL!$D:$D,$C312))))</f>
        <v/>
      </c>
      <c r="G312" s="19" t="str">
        <f aca="false">IF(C312=0,"",IF($A312="Bank",INDEX(Bank!$E:$E,$C312),INDEX(GL!$E:$E,$C312)))</f>
        <v/>
      </c>
      <c r="H312" s="5" t="str">
        <f aca="false">IF(C312=0,"",IF(A312="GL",IF(G312&gt;0,"Deposit in transit","Outstanding check / payment"),IF(G312&gt;0,"Bank credit not in GL","Bank debit not in GL")))</f>
        <v/>
      </c>
      <c r="I312" s="42" t="str">
        <f aca="false">IF(OR(C312=0,CFG_PeriodEnd=""),"",CFG_PeriodEnd-D312)</f>
        <v/>
      </c>
      <c r="J312" s="5" t="str">
        <f aca="false">IF(C312=0,"",IF($A312="Bank",IF(INDEX(Bank!$G:$G,$C312)="","",INDEX(Bank!$G:$G,$C312)),IF(INDEX(GL!$G:$G,$C312)="","",INDEX(GL!$G:$G,$C312))))</f>
        <v/>
      </c>
      <c r="K312" s="5" t="str">
        <f aca="false">IF(C312=0,"",IF($A312="Bank",IF(INDEX(Bank!$I:$I,$C312)="","",INDEX(Bank!$I:$I,$C312)),IF(INDEX(GL!$I:$I,$C312)="","",INDEX(GL!$I:$I,$C312))))</f>
        <v/>
      </c>
      <c r="L312" s="5" t="str">
        <f aca="false">IF(B312="","",IF(C312=0,"NOT FOUND",IF(IF($A312="Bank",INDEX(Bank!$F:$F,$C312),INDEX(GL!$F:$F,$C312))="Y","NOW RECONCILED: refresh","OK")))</f>
        <v/>
      </c>
    </row>
    <row r="313" customFormat="false" ht="15" hidden="false" customHeight="false" outlineLevel="0" collapsed="false">
      <c r="A313" s="41"/>
      <c r="B313" s="41"/>
      <c r="C313" s="5" t="n">
        <f aca="false">IF(B313="",0,IF(A313="Bank",IFERROR(MATCH(B313,Bank!$A:$A,0),0),IFERROR(MATCH(B313,GL!$A:$A,0),0)))</f>
        <v>0</v>
      </c>
      <c r="D313" s="32" t="str">
        <f aca="false">IF(C313=0,"",IF($A313="Bank",INDEX(Bank!$B:$B,$C313),INDEX(GL!$B:$B,$C313)))</f>
        <v/>
      </c>
      <c r="E313" s="5" t="str">
        <f aca="false">IF(C313=0,"",IF($A313="Bank",IF(INDEX(Bank!$C:$C,$C313)="","",INDEX(Bank!$C:$C,$C313)),IF(INDEX(GL!$C:$C,$C313)="","",INDEX(GL!$C:$C,$C313))))</f>
        <v/>
      </c>
      <c r="F313" s="5" t="str">
        <f aca="false">IF(C313=0,"",IF($A313="Bank",IF(INDEX(Bank!$D:$D,$C313)="","",INDEX(Bank!$D:$D,$C313)),IF(INDEX(GL!$D:$D,$C313)="","",INDEX(GL!$D:$D,$C313))))</f>
        <v/>
      </c>
      <c r="G313" s="19" t="str">
        <f aca="false">IF(C313=0,"",IF($A313="Bank",INDEX(Bank!$E:$E,$C313),INDEX(GL!$E:$E,$C313)))</f>
        <v/>
      </c>
      <c r="H313" s="5" t="str">
        <f aca="false">IF(C313=0,"",IF(A313="GL",IF(G313&gt;0,"Deposit in transit","Outstanding check / payment"),IF(G313&gt;0,"Bank credit not in GL","Bank debit not in GL")))</f>
        <v/>
      </c>
      <c r="I313" s="42" t="str">
        <f aca="false">IF(OR(C313=0,CFG_PeriodEnd=""),"",CFG_PeriodEnd-D313)</f>
        <v/>
      </c>
      <c r="J313" s="5" t="str">
        <f aca="false">IF(C313=0,"",IF($A313="Bank",IF(INDEX(Bank!$G:$G,$C313)="","",INDEX(Bank!$G:$G,$C313)),IF(INDEX(GL!$G:$G,$C313)="","",INDEX(GL!$G:$G,$C313))))</f>
        <v/>
      </c>
      <c r="K313" s="5" t="str">
        <f aca="false">IF(C313=0,"",IF($A313="Bank",IF(INDEX(Bank!$I:$I,$C313)="","",INDEX(Bank!$I:$I,$C313)),IF(INDEX(GL!$I:$I,$C313)="","",INDEX(GL!$I:$I,$C313))))</f>
        <v/>
      </c>
      <c r="L313" s="5" t="str">
        <f aca="false">IF(B313="","",IF(C313=0,"NOT FOUND",IF(IF($A313="Bank",INDEX(Bank!$F:$F,$C313),INDEX(GL!$F:$F,$C313))="Y","NOW RECONCILED: refresh","OK")))</f>
        <v/>
      </c>
    </row>
    <row r="314" customFormat="false" ht="15" hidden="false" customHeight="false" outlineLevel="0" collapsed="false">
      <c r="A314" s="41"/>
      <c r="B314" s="41"/>
      <c r="C314" s="5" t="n">
        <f aca="false">IF(B314="",0,IF(A314="Bank",IFERROR(MATCH(B314,Bank!$A:$A,0),0),IFERROR(MATCH(B314,GL!$A:$A,0),0)))</f>
        <v>0</v>
      </c>
      <c r="D314" s="32" t="str">
        <f aca="false">IF(C314=0,"",IF($A314="Bank",INDEX(Bank!$B:$B,$C314),INDEX(GL!$B:$B,$C314)))</f>
        <v/>
      </c>
      <c r="E314" s="5" t="str">
        <f aca="false">IF(C314=0,"",IF($A314="Bank",IF(INDEX(Bank!$C:$C,$C314)="","",INDEX(Bank!$C:$C,$C314)),IF(INDEX(GL!$C:$C,$C314)="","",INDEX(GL!$C:$C,$C314))))</f>
        <v/>
      </c>
      <c r="F314" s="5" t="str">
        <f aca="false">IF(C314=0,"",IF($A314="Bank",IF(INDEX(Bank!$D:$D,$C314)="","",INDEX(Bank!$D:$D,$C314)),IF(INDEX(GL!$D:$D,$C314)="","",INDEX(GL!$D:$D,$C314))))</f>
        <v/>
      </c>
      <c r="G314" s="19" t="str">
        <f aca="false">IF(C314=0,"",IF($A314="Bank",INDEX(Bank!$E:$E,$C314),INDEX(GL!$E:$E,$C314)))</f>
        <v/>
      </c>
      <c r="H314" s="5" t="str">
        <f aca="false">IF(C314=0,"",IF(A314="GL",IF(G314&gt;0,"Deposit in transit","Outstanding check / payment"),IF(G314&gt;0,"Bank credit not in GL","Bank debit not in GL")))</f>
        <v/>
      </c>
      <c r="I314" s="42" t="str">
        <f aca="false">IF(OR(C314=0,CFG_PeriodEnd=""),"",CFG_PeriodEnd-D314)</f>
        <v/>
      </c>
      <c r="J314" s="5" t="str">
        <f aca="false">IF(C314=0,"",IF($A314="Bank",IF(INDEX(Bank!$G:$G,$C314)="","",INDEX(Bank!$G:$G,$C314)),IF(INDEX(GL!$G:$G,$C314)="","",INDEX(GL!$G:$G,$C314))))</f>
        <v/>
      </c>
      <c r="K314" s="5" t="str">
        <f aca="false">IF(C314=0,"",IF($A314="Bank",IF(INDEX(Bank!$I:$I,$C314)="","",INDEX(Bank!$I:$I,$C314)),IF(INDEX(GL!$I:$I,$C314)="","",INDEX(GL!$I:$I,$C314))))</f>
        <v/>
      </c>
      <c r="L314" s="5" t="str">
        <f aca="false">IF(B314="","",IF(C314=0,"NOT FOUND",IF(IF($A314="Bank",INDEX(Bank!$F:$F,$C314),INDEX(GL!$F:$F,$C314))="Y","NOW RECONCILED: refresh","OK")))</f>
        <v/>
      </c>
    </row>
    <row r="315" customFormat="false" ht="15" hidden="false" customHeight="false" outlineLevel="0" collapsed="false">
      <c r="A315" s="41"/>
      <c r="B315" s="41"/>
      <c r="C315" s="5" t="n">
        <f aca="false">IF(B315="",0,IF(A315="Bank",IFERROR(MATCH(B315,Bank!$A:$A,0),0),IFERROR(MATCH(B315,GL!$A:$A,0),0)))</f>
        <v>0</v>
      </c>
      <c r="D315" s="32" t="str">
        <f aca="false">IF(C315=0,"",IF($A315="Bank",INDEX(Bank!$B:$B,$C315),INDEX(GL!$B:$B,$C315)))</f>
        <v/>
      </c>
      <c r="E315" s="5" t="str">
        <f aca="false">IF(C315=0,"",IF($A315="Bank",IF(INDEX(Bank!$C:$C,$C315)="","",INDEX(Bank!$C:$C,$C315)),IF(INDEX(GL!$C:$C,$C315)="","",INDEX(GL!$C:$C,$C315))))</f>
        <v/>
      </c>
      <c r="F315" s="5" t="str">
        <f aca="false">IF(C315=0,"",IF($A315="Bank",IF(INDEX(Bank!$D:$D,$C315)="","",INDEX(Bank!$D:$D,$C315)),IF(INDEX(GL!$D:$D,$C315)="","",INDEX(GL!$D:$D,$C315))))</f>
        <v/>
      </c>
      <c r="G315" s="19" t="str">
        <f aca="false">IF(C315=0,"",IF($A315="Bank",INDEX(Bank!$E:$E,$C315),INDEX(GL!$E:$E,$C315)))</f>
        <v/>
      </c>
      <c r="H315" s="5" t="str">
        <f aca="false">IF(C315=0,"",IF(A315="GL",IF(G315&gt;0,"Deposit in transit","Outstanding check / payment"),IF(G315&gt;0,"Bank credit not in GL","Bank debit not in GL")))</f>
        <v/>
      </c>
      <c r="I315" s="42" t="str">
        <f aca="false">IF(OR(C315=0,CFG_PeriodEnd=""),"",CFG_PeriodEnd-D315)</f>
        <v/>
      </c>
      <c r="J315" s="5" t="str">
        <f aca="false">IF(C315=0,"",IF($A315="Bank",IF(INDEX(Bank!$G:$G,$C315)="","",INDEX(Bank!$G:$G,$C315)),IF(INDEX(GL!$G:$G,$C315)="","",INDEX(GL!$G:$G,$C315))))</f>
        <v/>
      </c>
      <c r="K315" s="5" t="str">
        <f aca="false">IF(C315=0,"",IF($A315="Bank",IF(INDEX(Bank!$I:$I,$C315)="","",INDEX(Bank!$I:$I,$C315)),IF(INDEX(GL!$I:$I,$C315)="","",INDEX(GL!$I:$I,$C315))))</f>
        <v/>
      </c>
      <c r="L315" s="5" t="str">
        <f aca="false">IF(B315="","",IF(C315=0,"NOT FOUND",IF(IF($A315="Bank",INDEX(Bank!$F:$F,$C315),INDEX(GL!$F:$F,$C315))="Y","NOW RECONCILED: refresh","OK")))</f>
        <v/>
      </c>
    </row>
    <row r="316" customFormat="false" ht="15" hidden="false" customHeight="false" outlineLevel="0" collapsed="false">
      <c r="A316" s="41"/>
      <c r="B316" s="41"/>
      <c r="C316" s="5" t="n">
        <f aca="false">IF(B316="",0,IF(A316="Bank",IFERROR(MATCH(B316,Bank!$A:$A,0),0),IFERROR(MATCH(B316,GL!$A:$A,0),0)))</f>
        <v>0</v>
      </c>
      <c r="D316" s="32" t="str">
        <f aca="false">IF(C316=0,"",IF($A316="Bank",INDEX(Bank!$B:$B,$C316),INDEX(GL!$B:$B,$C316)))</f>
        <v/>
      </c>
      <c r="E316" s="5" t="str">
        <f aca="false">IF(C316=0,"",IF($A316="Bank",IF(INDEX(Bank!$C:$C,$C316)="","",INDEX(Bank!$C:$C,$C316)),IF(INDEX(GL!$C:$C,$C316)="","",INDEX(GL!$C:$C,$C316))))</f>
        <v/>
      </c>
      <c r="F316" s="5" t="str">
        <f aca="false">IF(C316=0,"",IF($A316="Bank",IF(INDEX(Bank!$D:$D,$C316)="","",INDEX(Bank!$D:$D,$C316)),IF(INDEX(GL!$D:$D,$C316)="","",INDEX(GL!$D:$D,$C316))))</f>
        <v/>
      </c>
      <c r="G316" s="19" t="str">
        <f aca="false">IF(C316=0,"",IF($A316="Bank",INDEX(Bank!$E:$E,$C316),INDEX(GL!$E:$E,$C316)))</f>
        <v/>
      </c>
      <c r="H316" s="5" t="str">
        <f aca="false">IF(C316=0,"",IF(A316="GL",IF(G316&gt;0,"Deposit in transit","Outstanding check / payment"),IF(G316&gt;0,"Bank credit not in GL","Bank debit not in GL")))</f>
        <v/>
      </c>
      <c r="I316" s="42" t="str">
        <f aca="false">IF(OR(C316=0,CFG_PeriodEnd=""),"",CFG_PeriodEnd-D316)</f>
        <v/>
      </c>
      <c r="J316" s="5" t="str">
        <f aca="false">IF(C316=0,"",IF($A316="Bank",IF(INDEX(Bank!$G:$G,$C316)="","",INDEX(Bank!$G:$G,$C316)),IF(INDEX(GL!$G:$G,$C316)="","",INDEX(GL!$G:$G,$C316))))</f>
        <v/>
      </c>
      <c r="K316" s="5" t="str">
        <f aca="false">IF(C316=0,"",IF($A316="Bank",IF(INDEX(Bank!$I:$I,$C316)="","",INDEX(Bank!$I:$I,$C316)),IF(INDEX(GL!$I:$I,$C316)="","",INDEX(GL!$I:$I,$C316))))</f>
        <v/>
      </c>
      <c r="L316" s="5" t="str">
        <f aca="false">IF(B316="","",IF(C316=0,"NOT FOUND",IF(IF($A316="Bank",INDEX(Bank!$F:$F,$C316),INDEX(GL!$F:$F,$C316))="Y","NOW RECONCILED: refresh","OK")))</f>
        <v/>
      </c>
    </row>
    <row r="317" customFormat="false" ht="15" hidden="false" customHeight="false" outlineLevel="0" collapsed="false">
      <c r="A317" s="41"/>
      <c r="B317" s="41"/>
      <c r="C317" s="5" t="n">
        <f aca="false">IF(B317="",0,IF(A317="Bank",IFERROR(MATCH(B317,Bank!$A:$A,0),0),IFERROR(MATCH(B317,GL!$A:$A,0),0)))</f>
        <v>0</v>
      </c>
      <c r="D317" s="32" t="str">
        <f aca="false">IF(C317=0,"",IF($A317="Bank",INDEX(Bank!$B:$B,$C317),INDEX(GL!$B:$B,$C317)))</f>
        <v/>
      </c>
      <c r="E317" s="5" t="str">
        <f aca="false">IF(C317=0,"",IF($A317="Bank",IF(INDEX(Bank!$C:$C,$C317)="","",INDEX(Bank!$C:$C,$C317)),IF(INDEX(GL!$C:$C,$C317)="","",INDEX(GL!$C:$C,$C317))))</f>
        <v/>
      </c>
      <c r="F317" s="5" t="str">
        <f aca="false">IF(C317=0,"",IF($A317="Bank",IF(INDEX(Bank!$D:$D,$C317)="","",INDEX(Bank!$D:$D,$C317)),IF(INDEX(GL!$D:$D,$C317)="","",INDEX(GL!$D:$D,$C317))))</f>
        <v/>
      </c>
      <c r="G317" s="19" t="str">
        <f aca="false">IF(C317=0,"",IF($A317="Bank",INDEX(Bank!$E:$E,$C317),INDEX(GL!$E:$E,$C317)))</f>
        <v/>
      </c>
      <c r="H317" s="5" t="str">
        <f aca="false">IF(C317=0,"",IF(A317="GL",IF(G317&gt;0,"Deposit in transit","Outstanding check / payment"),IF(G317&gt;0,"Bank credit not in GL","Bank debit not in GL")))</f>
        <v/>
      </c>
      <c r="I317" s="42" t="str">
        <f aca="false">IF(OR(C317=0,CFG_PeriodEnd=""),"",CFG_PeriodEnd-D317)</f>
        <v/>
      </c>
      <c r="J317" s="5" t="str">
        <f aca="false">IF(C317=0,"",IF($A317="Bank",IF(INDEX(Bank!$G:$G,$C317)="","",INDEX(Bank!$G:$G,$C317)),IF(INDEX(GL!$G:$G,$C317)="","",INDEX(GL!$G:$G,$C317))))</f>
        <v/>
      </c>
      <c r="K317" s="5" t="str">
        <f aca="false">IF(C317=0,"",IF($A317="Bank",IF(INDEX(Bank!$I:$I,$C317)="","",INDEX(Bank!$I:$I,$C317)),IF(INDEX(GL!$I:$I,$C317)="","",INDEX(GL!$I:$I,$C317))))</f>
        <v/>
      </c>
      <c r="L317" s="5" t="str">
        <f aca="false">IF(B317="","",IF(C317=0,"NOT FOUND",IF(IF($A317="Bank",INDEX(Bank!$F:$F,$C317),INDEX(GL!$F:$F,$C317))="Y","NOW RECONCILED: refresh","OK")))</f>
        <v/>
      </c>
    </row>
    <row r="318" customFormat="false" ht="15" hidden="false" customHeight="false" outlineLevel="0" collapsed="false">
      <c r="A318" s="41"/>
      <c r="B318" s="41"/>
      <c r="C318" s="5" t="n">
        <f aca="false">IF(B318="",0,IF(A318="Bank",IFERROR(MATCH(B318,Bank!$A:$A,0),0),IFERROR(MATCH(B318,GL!$A:$A,0),0)))</f>
        <v>0</v>
      </c>
      <c r="D318" s="32" t="str">
        <f aca="false">IF(C318=0,"",IF($A318="Bank",INDEX(Bank!$B:$B,$C318),INDEX(GL!$B:$B,$C318)))</f>
        <v/>
      </c>
      <c r="E318" s="5" t="str">
        <f aca="false">IF(C318=0,"",IF($A318="Bank",IF(INDEX(Bank!$C:$C,$C318)="","",INDEX(Bank!$C:$C,$C318)),IF(INDEX(GL!$C:$C,$C318)="","",INDEX(GL!$C:$C,$C318))))</f>
        <v/>
      </c>
      <c r="F318" s="5" t="str">
        <f aca="false">IF(C318=0,"",IF($A318="Bank",IF(INDEX(Bank!$D:$D,$C318)="","",INDEX(Bank!$D:$D,$C318)),IF(INDEX(GL!$D:$D,$C318)="","",INDEX(GL!$D:$D,$C318))))</f>
        <v/>
      </c>
      <c r="G318" s="19" t="str">
        <f aca="false">IF(C318=0,"",IF($A318="Bank",INDEX(Bank!$E:$E,$C318),INDEX(GL!$E:$E,$C318)))</f>
        <v/>
      </c>
      <c r="H318" s="5" t="str">
        <f aca="false">IF(C318=0,"",IF(A318="GL",IF(G318&gt;0,"Deposit in transit","Outstanding check / payment"),IF(G318&gt;0,"Bank credit not in GL","Bank debit not in GL")))</f>
        <v/>
      </c>
      <c r="I318" s="42" t="str">
        <f aca="false">IF(OR(C318=0,CFG_PeriodEnd=""),"",CFG_PeriodEnd-D318)</f>
        <v/>
      </c>
      <c r="J318" s="5" t="str">
        <f aca="false">IF(C318=0,"",IF($A318="Bank",IF(INDEX(Bank!$G:$G,$C318)="","",INDEX(Bank!$G:$G,$C318)),IF(INDEX(GL!$G:$G,$C318)="","",INDEX(GL!$G:$G,$C318))))</f>
        <v/>
      </c>
      <c r="K318" s="5" t="str">
        <f aca="false">IF(C318=0,"",IF($A318="Bank",IF(INDEX(Bank!$I:$I,$C318)="","",INDEX(Bank!$I:$I,$C318)),IF(INDEX(GL!$I:$I,$C318)="","",INDEX(GL!$I:$I,$C318))))</f>
        <v/>
      </c>
      <c r="L318" s="5" t="str">
        <f aca="false">IF(B318="","",IF(C318=0,"NOT FOUND",IF(IF($A318="Bank",INDEX(Bank!$F:$F,$C318),INDEX(GL!$F:$F,$C318))="Y","NOW RECONCILED: refresh","OK")))</f>
        <v/>
      </c>
    </row>
    <row r="319" customFormat="false" ht="15" hidden="false" customHeight="false" outlineLevel="0" collapsed="false">
      <c r="A319" s="41"/>
      <c r="B319" s="41"/>
      <c r="C319" s="5" t="n">
        <f aca="false">IF(B319="",0,IF(A319="Bank",IFERROR(MATCH(B319,Bank!$A:$A,0),0),IFERROR(MATCH(B319,GL!$A:$A,0),0)))</f>
        <v>0</v>
      </c>
      <c r="D319" s="32" t="str">
        <f aca="false">IF(C319=0,"",IF($A319="Bank",INDEX(Bank!$B:$B,$C319),INDEX(GL!$B:$B,$C319)))</f>
        <v/>
      </c>
      <c r="E319" s="5" t="str">
        <f aca="false">IF(C319=0,"",IF($A319="Bank",IF(INDEX(Bank!$C:$C,$C319)="","",INDEX(Bank!$C:$C,$C319)),IF(INDEX(GL!$C:$C,$C319)="","",INDEX(GL!$C:$C,$C319))))</f>
        <v/>
      </c>
      <c r="F319" s="5" t="str">
        <f aca="false">IF(C319=0,"",IF($A319="Bank",IF(INDEX(Bank!$D:$D,$C319)="","",INDEX(Bank!$D:$D,$C319)),IF(INDEX(GL!$D:$D,$C319)="","",INDEX(GL!$D:$D,$C319))))</f>
        <v/>
      </c>
      <c r="G319" s="19" t="str">
        <f aca="false">IF(C319=0,"",IF($A319="Bank",INDEX(Bank!$E:$E,$C319),INDEX(GL!$E:$E,$C319)))</f>
        <v/>
      </c>
      <c r="H319" s="5" t="str">
        <f aca="false">IF(C319=0,"",IF(A319="GL",IF(G319&gt;0,"Deposit in transit","Outstanding check / payment"),IF(G319&gt;0,"Bank credit not in GL","Bank debit not in GL")))</f>
        <v/>
      </c>
      <c r="I319" s="42" t="str">
        <f aca="false">IF(OR(C319=0,CFG_PeriodEnd=""),"",CFG_PeriodEnd-D319)</f>
        <v/>
      </c>
      <c r="J319" s="5" t="str">
        <f aca="false">IF(C319=0,"",IF($A319="Bank",IF(INDEX(Bank!$G:$G,$C319)="","",INDEX(Bank!$G:$G,$C319)),IF(INDEX(GL!$G:$G,$C319)="","",INDEX(GL!$G:$G,$C319))))</f>
        <v/>
      </c>
      <c r="K319" s="5" t="str">
        <f aca="false">IF(C319=0,"",IF($A319="Bank",IF(INDEX(Bank!$I:$I,$C319)="","",INDEX(Bank!$I:$I,$C319)),IF(INDEX(GL!$I:$I,$C319)="","",INDEX(GL!$I:$I,$C319))))</f>
        <v/>
      </c>
      <c r="L319" s="5" t="str">
        <f aca="false">IF(B319="","",IF(C319=0,"NOT FOUND",IF(IF($A319="Bank",INDEX(Bank!$F:$F,$C319),INDEX(GL!$F:$F,$C319))="Y","NOW RECONCILED: refresh","OK")))</f>
        <v/>
      </c>
    </row>
    <row r="320" customFormat="false" ht="15" hidden="false" customHeight="false" outlineLevel="0" collapsed="false">
      <c r="A320" s="41"/>
      <c r="B320" s="41"/>
      <c r="C320" s="5" t="n">
        <f aca="false">IF(B320="",0,IF(A320="Bank",IFERROR(MATCH(B320,Bank!$A:$A,0),0),IFERROR(MATCH(B320,GL!$A:$A,0),0)))</f>
        <v>0</v>
      </c>
      <c r="D320" s="32" t="str">
        <f aca="false">IF(C320=0,"",IF($A320="Bank",INDEX(Bank!$B:$B,$C320),INDEX(GL!$B:$B,$C320)))</f>
        <v/>
      </c>
      <c r="E320" s="5" t="str">
        <f aca="false">IF(C320=0,"",IF($A320="Bank",IF(INDEX(Bank!$C:$C,$C320)="","",INDEX(Bank!$C:$C,$C320)),IF(INDEX(GL!$C:$C,$C320)="","",INDEX(GL!$C:$C,$C320))))</f>
        <v/>
      </c>
      <c r="F320" s="5" t="str">
        <f aca="false">IF(C320=0,"",IF($A320="Bank",IF(INDEX(Bank!$D:$D,$C320)="","",INDEX(Bank!$D:$D,$C320)),IF(INDEX(GL!$D:$D,$C320)="","",INDEX(GL!$D:$D,$C320))))</f>
        <v/>
      </c>
      <c r="G320" s="19" t="str">
        <f aca="false">IF(C320=0,"",IF($A320="Bank",INDEX(Bank!$E:$E,$C320),INDEX(GL!$E:$E,$C320)))</f>
        <v/>
      </c>
      <c r="H320" s="5" t="str">
        <f aca="false">IF(C320=0,"",IF(A320="GL",IF(G320&gt;0,"Deposit in transit","Outstanding check / payment"),IF(G320&gt;0,"Bank credit not in GL","Bank debit not in GL")))</f>
        <v/>
      </c>
      <c r="I320" s="42" t="str">
        <f aca="false">IF(OR(C320=0,CFG_PeriodEnd=""),"",CFG_PeriodEnd-D320)</f>
        <v/>
      </c>
      <c r="J320" s="5" t="str">
        <f aca="false">IF(C320=0,"",IF($A320="Bank",IF(INDEX(Bank!$G:$G,$C320)="","",INDEX(Bank!$G:$G,$C320)),IF(INDEX(GL!$G:$G,$C320)="","",INDEX(GL!$G:$G,$C320))))</f>
        <v/>
      </c>
      <c r="K320" s="5" t="str">
        <f aca="false">IF(C320=0,"",IF($A320="Bank",IF(INDEX(Bank!$I:$I,$C320)="","",INDEX(Bank!$I:$I,$C320)),IF(INDEX(GL!$I:$I,$C320)="","",INDEX(GL!$I:$I,$C320))))</f>
        <v/>
      </c>
      <c r="L320" s="5" t="str">
        <f aca="false">IF(B320="","",IF(C320=0,"NOT FOUND",IF(IF($A320="Bank",INDEX(Bank!$F:$F,$C320),INDEX(GL!$F:$F,$C320))="Y","NOW RECONCILED: refresh","OK")))</f>
        <v/>
      </c>
    </row>
    <row r="321" customFormat="false" ht="15" hidden="false" customHeight="false" outlineLevel="0" collapsed="false">
      <c r="A321" s="41"/>
      <c r="B321" s="41"/>
      <c r="C321" s="5" t="n">
        <f aca="false">IF(B321="",0,IF(A321="Bank",IFERROR(MATCH(B321,Bank!$A:$A,0),0),IFERROR(MATCH(B321,GL!$A:$A,0),0)))</f>
        <v>0</v>
      </c>
      <c r="D321" s="32" t="str">
        <f aca="false">IF(C321=0,"",IF($A321="Bank",INDEX(Bank!$B:$B,$C321),INDEX(GL!$B:$B,$C321)))</f>
        <v/>
      </c>
      <c r="E321" s="5" t="str">
        <f aca="false">IF(C321=0,"",IF($A321="Bank",IF(INDEX(Bank!$C:$C,$C321)="","",INDEX(Bank!$C:$C,$C321)),IF(INDEX(GL!$C:$C,$C321)="","",INDEX(GL!$C:$C,$C321))))</f>
        <v/>
      </c>
      <c r="F321" s="5" t="str">
        <f aca="false">IF(C321=0,"",IF($A321="Bank",IF(INDEX(Bank!$D:$D,$C321)="","",INDEX(Bank!$D:$D,$C321)),IF(INDEX(GL!$D:$D,$C321)="","",INDEX(GL!$D:$D,$C321))))</f>
        <v/>
      </c>
      <c r="G321" s="19" t="str">
        <f aca="false">IF(C321=0,"",IF($A321="Bank",INDEX(Bank!$E:$E,$C321),INDEX(GL!$E:$E,$C321)))</f>
        <v/>
      </c>
      <c r="H321" s="5" t="str">
        <f aca="false">IF(C321=0,"",IF(A321="GL",IF(G321&gt;0,"Deposit in transit","Outstanding check / payment"),IF(G321&gt;0,"Bank credit not in GL","Bank debit not in GL")))</f>
        <v/>
      </c>
      <c r="I321" s="42" t="str">
        <f aca="false">IF(OR(C321=0,CFG_PeriodEnd=""),"",CFG_PeriodEnd-D321)</f>
        <v/>
      </c>
      <c r="J321" s="5" t="str">
        <f aca="false">IF(C321=0,"",IF($A321="Bank",IF(INDEX(Bank!$G:$G,$C321)="","",INDEX(Bank!$G:$G,$C321)),IF(INDEX(GL!$G:$G,$C321)="","",INDEX(GL!$G:$G,$C321))))</f>
        <v/>
      </c>
      <c r="K321" s="5" t="str">
        <f aca="false">IF(C321=0,"",IF($A321="Bank",IF(INDEX(Bank!$I:$I,$C321)="","",INDEX(Bank!$I:$I,$C321)),IF(INDEX(GL!$I:$I,$C321)="","",INDEX(GL!$I:$I,$C321))))</f>
        <v/>
      </c>
      <c r="L321" s="5" t="str">
        <f aca="false">IF(B321="","",IF(C321=0,"NOT FOUND",IF(IF($A321="Bank",INDEX(Bank!$F:$F,$C321),INDEX(GL!$F:$F,$C321))="Y","NOW RECONCILED: refresh","OK")))</f>
        <v/>
      </c>
    </row>
    <row r="322" customFormat="false" ht="15" hidden="false" customHeight="false" outlineLevel="0" collapsed="false">
      <c r="A322" s="41"/>
      <c r="B322" s="41"/>
      <c r="C322" s="5" t="n">
        <f aca="false">IF(B322="",0,IF(A322="Bank",IFERROR(MATCH(B322,Bank!$A:$A,0),0),IFERROR(MATCH(B322,GL!$A:$A,0),0)))</f>
        <v>0</v>
      </c>
      <c r="D322" s="32" t="str">
        <f aca="false">IF(C322=0,"",IF($A322="Bank",INDEX(Bank!$B:$B,$C322),INDEX(GL!$B:$B,$C322)))</f>
        <v/>
      </c>
      <c r="E322" s="5" t="str">
        <f aca="false">IF(C322=0,"",IF($A322="Bank",IF(INDEX(Bank!$C:$C,$C322)="","",INDEX(Bank!$C:$C,$C322)),IF(INDEX(GL!$C:$C,$C322)="","",INDEX(GL!$C:$C,$C322))))</f>
        <v/>
      </c>
      <c r="F322" s="5" t="str">
        <f aca="false">IF(C322=0,"",IF($A322="Bank",IF(INDEX(Bank!$D:$D,$C322)="","",INDEX(Bank!$D:$D,$C322)),IF(INDEX(GL!$D:$D,$C322)="","",INDEX(GL!$D:$D,$C322))))</f>
        <v/>
      </c>
      <c r="G322" s="19" t="str">
        <f aca="false">IF(C322=0,"",IF($A322="Bank",INDEX(Bank!$E:$E,$C322),INDEX(GL!$E:$E,$C322)))</f>
        <v/>
      </c>
      <c r="H322" s="5" t="str">
        <f aca="false">IF(C322=0,"",IF(A322="GL",IF(G322&gt;0,"Deposit in transit","Outstanding check / payment"),IF(G322&gt;0,"Bank credit not in GL","Bank debit not in GL")))</f>
        <v/>
      </c>
      <c r="I322" s="42" t="str">
        <f aca="false">IF(OR(C322=0,CFG_PeriodEnd=""),"",CFG_PeriodEnd-D322)</f>
        <v/>
      </c>
      <c r="J322" s="5" t="str">
        <f aca="false">IF(C322=0,"",IF($A322="Bank",IF(INDEX(Bank!$G:$G,$C322)="","",INDEX(Bank!$G:$G,$C322)),IF(INDEX(GL!$G:$G,$C322)="","",INDEX(GL!$G:$G,$C322))))</f>
        <v/>
      </c>
      <c r="K322" s="5" t="str">
        <f aca="false">IF(C322=0,"",IF($A322="Bank",IF(INDEX(Bank!$I:$I,$C322)="","",INDEX(Bank!$I:$I,$C322)),IF(INDEX(GL!$I:$I,$C322)="","",INDEX(GL!$I:$I,$C322))))</f>
        <v/>
      </c>
      <c r="L322" s="5" t="str">
        <f aca="false">IF(B322="","",IF(C322=0,"NOT FOUND",IF(IF($A322="Bank",INDEX(Bank!$F:$F,$C322),INDEX(GL!$F:$F,$C322))="Y","NOW RECONCILED: refresh","OK")))</f>
        <v/>
      </c>
    </row>
    <row r="323" customFormat="false" ht="15" hidden="false" customHeight="false" outlineLevel="0" collapsed="false">
      <c r="A323" s="41"/>
      <c r="B323" s="41"/>
      <c r="C323" s="5" t="n">
        <f aca="false">IF(B323="",0,IF(A323="Bank",IFERROR(MATCH(B323,Bank!$A:$A,0),0),IFERROR(MATCH(B323,GL!$A:$A,0),0)))</f>
        <v>0</v>
      </c>
      <c r="D323" s="32" t="str">
        <f aca="false">IF(C323=0,"",IF($A323="Bank",INDEX(Bank!$B:$B,$C323),INDEX(GL!$B:$B,$C323)))</f>
        <v/>
      </c>
      <c r="E323" s="5" t="str">
        <f aca="false">IF(C323=0,"",IF($A323="Bank",IF(INDEX(Bank!$C:$C,$C323)="","",INDEX(Bank!$C:$C,$C323)),IF(INDEX(GL!$C:$C,$C323)="","",INDEX(GL!$C:$C,$C323))))</f>
        <v/>
      </c>
      <c r="F323" s="5" t="str">
        <f aca="false">IF(C323=0,"",IF($A323="Bank",IF(INDEX(Bank!$D:$D,$C323)="","",INDEX(Bank!$D:$D,$C323)),IF(INDEX(GL!$D:$D,$C323)="","",INDEX(GL!$D:$D,$C323))))</f>
        <v/>
      </c>
      <c r="G323" s="19" t="str">
        <f aca="false">IF(C323=0,"",IF($A323="Bank",INDEX(Bank!$E:$E,$C323),INDEX(GL!$E:$E,$C323)))</f>
        <v/>
      </c>
      <c r="H323" s="5" t="str">
        <f aca="false">IF(C323=0,"",IF(A323="GL",IF(G323&gt;0,"Deposit in transit","Outstanding check / payment"),IF(G323&gt;0,"Bank credit not in GL","Bank debit not in GL")))</f>
        <v/>
      </c>
      <c r="I323" s="42" t="str">
        <f aca="false">IF(OR(C323=0,CFG_PeriodEnd=""),"",CFG_PeriodEnd-D323)</f>
        <v/>
      </c>
      <c r="J323" s="5" t="str">
        <f aca="false">IF(C323=0,"",IF($A323="Bank",IF(INDEX(Bank!$G:$G,$C323)="","",INDEX(Bank!$G:$G,$C323)),IF(INDEX(GL!$G:$G,$C323)="","",INDEX(GL!$G:$G,$C323))))</f>
        <v/>
      </c>
      <c r="K323" s="5" t="str">
        <f aca="false">IF(C323=0,"",IF($A323="Bank",IF(INDEX(Bank!$I:$I,$C323)="","",INDEX(Bank!$I:$I,$C323)),IF(INDEX(GL!$I:$I,$C323)="","",INDEX(GL!$I:$I,$C323))))</f>
        <v/>
      </c>
      <c r="L323" s="5" t="str">
        <f aca="false">IF(B323="","",IF(C323=0,"NOT FOUND",IF(IF($A323="Bank",INDEX(Bank!$F:$F,$C323),INDEX(GL!$F:$F,$C323))="Y","NOW RECONCILED: refresh","OK")))</f>
        <v/>
      </c>
    </row>
    <row r="324" customFormat="false" ht="15" hidden="false" customHeight="false" outlineLevel="0" collapsed="false">
      <c r="A324" s="41"/>
      <c r="B324" s="41"/>
      <c r="C324" s="5" t="n">
        <f aca="false">IF(B324="",0,IF(A324="Bank",IFERROR(MATCH(B324,Bank!$A:$A,0),0),IFERROR(MATCH(B324,GL!$A:$A,0),0)))</f>
        <v>0</v>
      </c>
      <c r="D324" s="32" t="str">
        <f aca="false">IF(C324=0,"",IF($A324="Bank",INDEX(Bank!$B:$B,$C324),INDEX(GL!$B:$B,$C324)))</f>
        <v/>
      </c>
      <c r="E324" s="5" t="str">
        <f aca="false">IF(C324=0,"",IF($A324="Bank",IF(INDEX(Bank!$C:$C,$C324)="","",INDEX(Bank!$C:$C,$C324)),IF(INDEX(GL!$C:$C,$C324)="","",INDEX(GL!$C:$C,$C324))))</f>
        <v/>
      </c>
      <c r="F324" s="5" t="str">
        <f aca="false">IF(C324=0,"",IF($A324="Bank",IF(INDEX(Bank!$D:$D,$C324)="","",INDEX(Bank!$D:$D,$C324)),IF(INDEX(GL!$D:$D,$C324)="","",INDEX(GL!$D:$D,$C324))))</f>
        <v/>
      </c>
      <c r="G324" s="19" t="str">
        <f aca="false">IF(C324=0,"",IF($A324="Bank",INDEX(Bank!$E:$E,$C324),INDEX(GL!$E:$E,$C324)))</f>
        <v/>
      </c>
      <c r="H324" s="5" t="str">
        <f aca="false">IF(C324=0,"",IF(A324="GL",IF(G324&gt;0,"Deposit in transit","Outstanding check / payment"),IF(G324&gt;0,"Bank credit not in GL","Bank debit not in GL")))</f>
        <v/>
      </c>
      <c r="I324" s="42" t="str">
        <f aca="false">IF(OR(C324=0,CFG_PeriodEnd=""),"",CFG_PeriodEnd-D324)</f>
        <v/>
      </c>
      <c r="J324" s="5" t="str">
        <f aca="false">IF(C324=0,"",IF($A324="Bank",IF(INDEX(Bank!$G:$G,$C324)="","",INDEX(Bank!$G:$G,$C324)),IF(INDEX(GL!$G:$G,$C324)="","",INDEX(GL!$G:$G,$C324))))</f>
        <v/>
      </c>
      <c r="K324" s="5" t="str">
        <f aca="false">IF(C324=0,"",IF($A324="Bank",IF(INDEX(Bank!$I:$I,$C324)="","",INDEX(Bank!$I:$I,$C324)),IF(INDEX(GL!$I:$I,$C324)="","",INDEX(GL!$I:$I,$C324))))</f>
        <v/>
      </c>
      <c r="L324" s="5" t="str">
        <f aca="false">IF(B324="","",IF(C324=0,"NOT FOUND",IF(IF($A324="Bank",INDEX(Bank!$F:$F,$C324),INDEX(GL!$F:$F,$C324))="Y","NOW RECONCILED: refresh","OK")))</f>
        <v/>
      </c>
    </row>
    <row r="325" customFormat="false" ht="15" hidden="false" customHeight="false" outlineLevel="0" collapsed="false">
      <c r="A325" s="41"/>
      <c r="B325" s="41"/>
      <c r="C325" s="5" t="n">
        <f aca="false">IF(B325="",0,IF(A325="Bank",IFERROR(MATCH(B325,Bank!$A:$A,0),0),IFERROR(MATCH(B325,GL!$A:$A,0),0)))</f>
        <v>0</v>
      </c>
      <c r="D325" s="32" t="str">
        <f aca="false">IF(C325=0,"",IF($A325="Bank",INDEX(Bank!$B:$B,$C325),INDEX(GL!$B:$B,$C325)))</f>
        <v/>
      </c>
      <c r="E325" s="5" t="str">
        <f aca="false">IF(C325=0,"",IF($A325="Bank",IF(INDEX(Bank!$C:$C,$C325)="","",INDEX(Bank!$C:$C,$C325)),IF(INDEX(GL!$C:$C,$C325)="","",INDEX(GL!$C:$C,$C325))))</f>
        <v/>
      </c>
      <c r="F325" s="5" t="str">
        <f aca="false">IF(C325=0,"",IF($A325="Bank",IF(INDEX(Bank!$D:$D,$C325)="","",INDEX(Bank!$D:$D,$C325)),IF(INDEX(GL!$D:$D,$C325)="","",INDEX(GL!$D:$D,$C325))))</f>
        <v/>
      </c>
      <c r="G325" s="19" t="str">
        <f aca="false">IF(C325=0,"",IF($A325="Bank",INDEX(Bank!$E:$E,$C325),INDEX(GL!$E:$E,$C325)))</f>
        <v/>
      </c>
      <c r="H325" s="5" t="str">
        <f aca="false">IF(C325=0,"",IF(A325="GL",IF(G325&gt;0,"Deposit in transit","Outstanding check / payment"),IF(G325&gt;0,"Bank credit not in GL","Bank debit not in GL")))</f>
        <v/>
      </c>
      <c r="I325" s="42" t="str">
        <f aca="false">IF(OR(C325=0,CFG_PeriodEnd=""),"",CFG_PeriodEnd-D325)</f>
        <v/>
      </c>
      <c r="J325" s="5" t="str">
        <f aca="false">IF(C325=0,"",IF($A325="Bank",IF(INDEX(Bank!$G:$G,$C325)="","",INDEX(Bank!$G:$G,$C325)),IF(INDEX(GL!$G:$G,$C325)="","",INDEX(GL!$G:$G,$C325))))</f>
        <v/>
      </c>
      <c r="K325" s="5" t="str">
        <f aca="false">IF(C325=0,"",IF($A325="Bank",IF(INDEX(Bank!$I:$I,$C325)="","",INDEX(Bank!$I:$I,$C325)),IF(INDEX(GL!$I:$I,$C325)="","",INDEX(GL!$I:$I,$C325))))</f>
        <v/>
      </c>
      <c r="L325" s="5" t="str">
        <f aca="false">IF(B325="","",IF(C325=0,"NOT FOUND",IF(IF($A325="Bank",INDEX(Bank!$F:$F,$C325),INDEX(GL!$F:$F,$C325))="Y","NOW RECONCILED: refresh","OK")))</f>
        <v/>
      </c>
    </row>
    <row r="326" customFormat="false" ht="15" hidden="false" customHeight="false" outlineLevel="0" collapsed="false">
      <c r="A326" s="41"/>
      <c r="B326" s="41"/>
      <c r="C326" s="5" t="n">
        <f aca="false">IF(B326="",0,IF(A326="Bank",IFERROR(MATCH(B326,Bank!$A:$A,0),0),IFERROR(MATCH(B326,GL!$A:$A,0),0)))</f>
        <v>0</v>
      </c>
      <c r="D326" s="32" t="str">
        <f aca="false">IF(C326=0,"",IF($A326="Bank",INDEX(Bank!$B:$B,$C326),INDEX(GL!$B:$B,$C326)))</f>
        <v/>
      </c>
      <c r="E326" s="5" t="str">
        <f aca="false">IF(C326=0,"",IF($A326="Bank",IF(INDEX(Bank!$C:$C,$C326)="","",INDEX(Bank!$C:$C,$C326)),IF(INDEX(GL!$C:$C,$C326)="","",INDEX(GL!$C:$C,$C326))))</f>
        <v/>
      </c>
      <c r="F326" s="5" t="str">
        <f aca="false">IF(C326=0,"",IF($A326="Bank",IF(INDEX(Bank!$D:$D,$C326)="","",INDEX(Bank!$D:$D,$C326)),IF(INDEX(GL!$D:$D,$C326)="","",INDEX(GL!$D:$D,$C326))))</f>
        <v/>
      </c>
      <c r="G326" s="19" t="str">
        <f aca="false">IF(C326=0,"",IF($A326="Bank",INDEX(Bank!$E:$E,$C326),INDEX(GL!$E:$E,$C326)))</f>
        <v/>
      </c>
      <c r="H326" s="5" t="str">
        <f aca="false">IF(C326=0,"",IF(A326="GL",IF(G326&gt;0,"Deposit in transit","Outstanding check / payment"),IF(G326&gt;0,"Bank credit not in GL","Bank debit not in GL")))</f>
        <v/>
      </c>
      <c r="I326" s="42" t="str">
        <f aca="false">IF(OR(C326=0,CFG_PeriodEnd=""),"",CFG_PeriodEnd-D326)</f>
        <v/>
      </c>
      <c r="J326" s="5" t="str">
        <f aca="false">IF(C326=0,"",IF($A326="Bank",IF(INDEX(Bank!$G:$G,$C326)="","",INDEX(Bank!$G:$G,$C326)),IF(INDEX(GL!$G:$G,$C326)="","",INDEX(GL!$G:$G,$C326))))</f>
        <v/>
      </c>
      <c r="K326" s="5" t="str">
        <f aca="false">IF(C326=0,"",IF($A326="Bank",IF(INDEX(Bank!$I:$I,$C326)="","",INDEX(Bank!$I:$I,$C326)),IF(INDEX(GL!$I:$I,$C326)="","",INDEX(GL!$I:$I,$C326))))</f>
        <v/>
      </c>
      <c r="L326" s="5" t="str">
        <f aca="false">IF(B326="","",IF(C326=0,"NOT FOUND",IF(IF($A326="Bank",INDEX(Bank!$F:$F,$C326),INDEX(GL!$F:$F,$C326))="Y","NOW RECONCILED: refresh","OK")))</f>
        <v/>
      </c>
    </row>
    <row r="327" customFormat="false" ht="15" hidden="false" customHeight="false" outlineLevel="0" collapsed="false">
      <c r="A327" s="41"/>
      <c r="B327" s="41"/>
      <c r="C327" s="5" t="n">
        <f aca="false">IF(B327="",0,IF(A327="Bank",IFERROR(MATCH(B327,Bank!$A:$A,0),0),IFERROR(MATCH(B327,GL!$A:$A,0),0)))</f>
        <v>0</v>
      </c>
      <c r="D327" s="32" t="str">
        <f aca="false">IF(C327=0,"",IF($A327="Bank",INDEX(Bank!$B:$B,$C327),INDEX(GL!$B:$B,$C327)))</f>
        <v/>
      </c>
      <c r="E327" s="5" t="str">
        <f aca="false">IF(C327=0,"",IF($A327="Bank",IF(INDEX(Bank!$C:$C,$C327)="","",INDEX(Bank!$C:$C,$C327)),IF(INDEX(GL!$C:$C,$C327)="","",INDEX(GL!$C:$C,$C327))))</f>
        <v/>
      </c>
      <c r="F327" s="5" t="str">
        <f aca="false">IF(C327=0,"",IF($A327="Bank",IF(INDEX(Bank!$D:$D,$C327)="","",INDEX(Bank!$D:$D,$C327)),IF(INDEX(GL!$D:$D,$C327)="","",INDEX(GL!$D:$D,$C327))))</f>
        <v/>
      </c>
      <c r="G327" s="19" t="str">
        <f aca="false">IF(C327=0,"",IF($A327="Bank",INDEX(Bank!$E:$E,$C327),INDEX(GL!$E:$E,$C327)))</f>
        <v/>
      </c>
      <c r="H327" s="5" t="str">
        <f aca="false">IF(C327=0,"",IF(A327="GL",IF(G327&gt;0,"Deposit in transit","Outstanding check / payment"),IF(G327&gt;0,"Bank credit not in GL","Bank debit not in GL")))</f>
        <v/>
      </c>
      <c r="I327" s="42" t="str">
        <f aca="false">IF(OR(C327=0,CFG_PeriodEnd=""),"",CFG_PeriodEnd-D327)</f>
        <v/>
      </c>
      <c r="J327" s="5" t="str">
        <f aca="false">IF(C327=0,"",IF($A327="Bank",IF(INDEX(Bank!$G:$G,$C327)="","",INDEX(Bank!$G:$G,$C327)),IF(INDEX(GL!$G:$G,$C327)="","",INDEX(GL!$G:$G,$C327))))</f>
        <v/>
      </c>
      <c r="K327" s="5" t="str">
        <f aca="false">IF(C327=0,"",IF($A327="Bank",IF(INDEX(Bank!$I:$I,$C327)="","",INDEX(Bank!$I:$I,$C327)),IF(INDEX(GL!$I:$I,$C327)="","",INDEX(GL!$I:$I,$C327))))</f>
        <v/>
      </c>
      <c r="L327" s="5" t="str">
        <f aca="false">IF(B327="","",IF(C327=0,"NOT FOUND",IF(IF($A327="Bank",INDEX(Bank!$F:$F,$C327),INDEX(GL!$F:$F,$C327))="Y","NOW RECONCILED: refresh","OK")))</f>
        <v/>
      </c>
    </row>
    <row r="328" customFormat="false" ht="15" hidden="false" customHeight="false" outlineLevel="0" collapsed="false">
      <c r="A328" s="41"/>
      <c r="B328" s="41"/>
      <c r="C328" s="5" t="n">
        <f aca="false">IF(B328="",0,IF(A328="Bank",IFERROR(MATCH(B328,Bank!$A:$A,0),0),IFERROR(MATCH(B328,GL!$A:$A,0),0)))</f>
        <v>0</v>
      </c>
      <c r="D328" s="32" t="str">
        <f aca="false">IF(C328=0,"",IF($A328="Bank",INDEX(Bank!$B:$B,$C328),INDEX(GL!$B:$B,$C328)))</f>
        <v/>
      </c>
      <c r="E328" s="5" t="str">
        <f aca="false">IF(C328=0,"",IF($A328="Bank",IF(INDEX(Bank!$C:$C,$C328)="","",INDEX(Bank!$C:$C,$C328)),IF(INDEX(GL!$C:$C,$C328)="","",INDEX(GL!$C:$C,$C328))))</f>
        <v/>
      </c>
      <c r="F328" s="5" t="str">
        <f aca="false">IF(C328=0,"",IF($A328="Bank",IF(INDEX(Bank!$D:$D,$C328)="","",INDEX(Bank!$D:$D,$C328)),IF(INDEX(GL!$D:$D,$C328)="","",INDEX(GL!$D:$D,$C328))))</f>
        <v/>
      </c>
      <c r="G328" s="19" t="str">
        <f aca="false">IF(C328=0,"",IF($A328="Bank",INDEX(Bank!$E:$E,$C328),INDEX(GL!$E:$E,$C328)))</f>
        <v/>
      </c>
      <c r="H328" s="5" t="str">
        <f aca="false">IF(C328=0,"",IF(A328="GL",IF(G328&gt;0,"Deposit in transit","Outstanding check / payment"),IF(G328&gt;0,"Bank credit not in GL","Bank debit not in GL")))</f>
        <v/>
      </c>
      <c r="I328" s="42" t="str">
        <f aca="false">IF(OR(C328=0,CFG_PeriodEnd=""),"",CFG_PeriodEnd-D328)</f>
        <v/>
      </c>
      <c r="J328" s="5" t="str">
        <f aca="false">IF(C328=0,"",IF($A328="Bank",IF(INDEX(Bank!$G:$G,$C328)="","",INDEX(Bank!$G:$G,$C328)),IF(INDEX(GL!$G:$G,$C328)="","",INDEX(GL!$G:$G,$C328))))</f>
        <v/>
      </c>
      <c r="K328" s="5" t="str">
        <f aca="false">IF(C328=0,"",IF($A328="Bank",IF(INDEX(Bank!$I:$I,$C328)="","",INDEX(Bank!$I:$I,$C328)),IF(INDEX(GL!$I:$I,$C328)="","",INDEX(GL!$I:$I,$C328))))</f>
        <v/>
      </c>
      <c r="L328" s="5" t="str">
        <f aca="false">IF(B328="","",IF(C328=0,"NOT FOUND",IF(IF($A328="Bank",INDEX(Bank!$F:$F,$C328),INDEX(GL!$F:$F,$C328))="Y","NOW RECONCILED: refresh","OK")))</f>
        <v/>
      </c>
    </row>
    <row r="329" customFormat="false" ht="15" hidden="false" customHeight="false" outlineLevel="0" collapsed="false">
      <c r="A329" s="41"/>
      <c r="B329" s="41"/>
      <c r="C329" s="5" t="n">
        <f aca="false">IF(B329="",0,IF(A329="Bank",IFERROR(MATCH(B329,Bank!$A:$A,0),0),IFERROR(MATCH(B329,GL!$A:$A,0),0)))</f>
        <v>0</v>
      </c>
      <c r="D329" s="32" t="str">
        <f aca="false">IF(C329=0,"",IF($A329="Bank",INDEX(Bank!$B:$B,$C329),INDEX(GL!$B:$B,$C329)))</f>
        <v/>
      </c>
      <c r="E329" s="5" t="str">
        <f aca="false">IF(C329=0,"",IF($A329="Bank",IF(INDEX(Bank!$C:$C,$C329)="","",INDEX(Bank!$C:$C,$C329)),IF(INDEX(GL!$C:$C,$C329)="","",INDEX(GL!$C:$C,$C329))))</f>
        <v/>
      </c>
      <c r="F329" s="5" t="str">
        <f aca="false">IF(C329=0,"",IF($A329="Bank",IF(INDEX(Bank!$D:$D,$C329)="","",INDEX(Bank!$D:$D,$C329)),IF(INDEX(GL!$D:$D,$C329)="","",INDEX(GL!$D:$D,$C329))))</f>
        <v/>
      </c>
      <c r="G329" s="19" t="str">
        <f aca="false">IF(C329=0,"",IF($A329="Bank",INDEX(Bank!$E:$E,$C329),INDEX(GL!$E:$E,$C329)))</f>
        <v/>
      </c>
      <c r="H329" s="5" t="str">
        <f aca="false">IF(C329=0,"",IF(A329="GL",IF(G329&gt;0,"Deposit in transit","Outstanding check / payment"),IF(G329&gt;0,"Bank credit not in GL","Bank debit not in GL")))</f>
        <v/>
      </c>
      <c r="I329" s="42" t="str">
        <f aca="false">IF(OR(C329=0,CFG_PeriodEnd=""),"",CFG_PeriodEnd-D329)</f>
        <v/>
      </c>
      <c r="J329" s="5" t="str">
        <f aca="false">IF(C329=0,"",IF($A329="Bank",IF(INDEX(Bank!$G:$G,$C329)="","",INDEX(Bank!$G:$G,$C329)),IF(INDEX(GL!$G:$G,$C329)="","",INDEX(GL!$G:$G,$C329))))</f>
        <v/>
      </c>
      <c r="K329" s="5" t="str">
        <f aca="false">IF(C329=0,"",IF($A329="Bank",IF(INDEX(Bank!$I:$I,$C329)="","",INDEX(Bank!$I:$I,$C329)),IF(INDEX(GL!$I:$I,$C329)="","",INDEX(GL!$I:$I,$C329))))</f>
        <v/>
      </c>
      <c r="L329" s="5" t="str">
        <f aca="false">IF(B329="","",IF(C329=0,"NOT FOUND",IF(IF($A329="Bank",INDEX(Bank!$F:$F,$C329),INDEX(GL!$F:$F,$C329))="Y","NOW RECONCILED: refresh","OK")))</f>
        <v/>
      </c>
    </row>
    <row r="330" customFormat="false" ht="15" hidden="false" customHeight="false" outlineLevel="0" collapsed="false">
      <c r="A330" s="41"/>
      <c r="B330" s="41"/>
      <c r="C330" s="5" t="n">
        <f aca="false">IF(B330="",0,IF(A330="Bank",IFERROR(MATCH(B330,Bank!$A:$A,0),0),IFERROR(MATCH(B330,GL!$A:$A,0),0)))</f>
        <v>0</v>
      </c>
      <c r="D330" s="32" t="str">
        <f aca="false">IF(C330=0,"",IF($A330="Bank",INDEX(Bank!$B:$B,$C330),INDEX(GL!$B:$B,$C330)))</f>
        <v/>
      </c>
      <c r="E330" s="5" t="str">
        <f aca="false">IF(C330=0,"",IF($A330="Bank",IF(INDEX(Bank!$C:$C,$C330)="","",INDEX(Bank!$C:$C,$C330)),IF(INDEX(GL!$C:$C,$C330)="","",INDEX(GL!$C:$C,$C330))))</f>
        <v/>
      </c>
      <c r="F330" s="5" t="str">
        <f aca="false">IF(C330=0,"",IF($A330="Bank",IF(INDEX(Bank!$D:$D,$C330)="","",INDEX(Bank!$D:$D,$C330)),IF(INDEX(GL!$D:$D,$C330)="","",INDEX(GL!$D:$D,$C330))))</f>
        <v/>
      </c>
      <c r="G330" s="19" t="str">
        <f aca="false">IF(C330=0,"",IF($A330="Bank",INDEX(Bank!$E:$E,$C330),INDEX(GL!$E:$E,$C330)))</f>
        <v/>
      </c>
      <c r="H330" s="5" t="str">
        <f aca="false">IF(C330=0,"",IF(A330="GL",IF(G330&gt;0,"Deposit in transit","Outstanding check / payment"),IF(G330&gt;0,"Bank credit not in GL","Bank debit not in GL")))</f>
        <v/>
      </c>
      <c r="I330" s="42" t="str">
        <f aca="false">IF(OR(C330=0,CFG_PeriodEnd=""),"",CFG_PeriodEnd-D330)</f>
        <v/>
      </c>
      <c r="J330" s="5" t="str">
        <f aca="false">IF(C330=0,"",IF($A330="Bank",IF(INDEX(Bank!$G:$G,$C330)="","",INDEX(Bank!$G:$G,$C330)),IF(INDEX(GL!$G:$G,$C330)="","",INDEX(GL!$G:$G,$C330))))</f>
        <v/>
      </c>
      <c r="K330" s="5" t="str">
        <f aca="false">IF(C330=0,"",IF($A330="Bank",IF(INDEX(Bank!$I:$I,$C330)="","",INDEX(Bank!$I:$I,$C330)),IF(INDEX(GL!$I:$I,$C330)="","",INDEX(GL!$I:$I,$C330))))</f>
        <v/>
      </c>
      <c r="L330" s="5" t="str">
        <f aca="false">IF(B330="","",IF(C330=0,"NOT FOUND",IF(IF($A330="Bank",INDEX(Bank!$F:$F,$C330),INDEX(GL!$F:$F,$C330))="Y","NOW RECONCILED: refresh","OK")))</f>
        <v/>
      </c>
    </row>
    <row r="331" customFormat="false" ht="15" hidden="false" customHeight="false" outlineLevel="0" collapsed="false">
      <c r="A331" s="41"/>
      <c r="B331" s="41"/>
      <c r="C331" s="5" t="n">
        <f aca="false">IF(B331="",0,IF(A331="Bank",IFERROR(MATCH(B331,Bank!$A:$A,0),0),IFERROR(MATCH(B331,GL!$A:$A,0),0)))</f>
        <v>0</v>
      </c>
      <c r="D331" s="32" t="str">
        <f aca="false">IF(C331=0,"",IF($A331="Bank",INDEX(Bank!$B:$B,$C331),INDEX(GL!$B:$B,$C331)))</f>
        <v/>
      </c>
      <c r="E331" s="5" t="str">
        <f aca="false">IF(C331=0,"",IF($A331="Bank",IF(INDEX(Bank!$C:$C,$C331)="","",INDEX(Bank!$C:$C,$C331)),IF(INDEX(GL!$C:$C,$C331)="","",INDEX(GL!$C:$C,$C331))))</f>
        <v/>
      </c>
      <c r="F331" s="5" t="str">
        <f aca="false">IF(C331=0,"",IF($A331="Bank",IF(INDEX(Bank!$D:$D,$C331)="","",INDEX(Bank!$D:$D,$C331)),IF(INDEX(GL!$D:$D,$C331)="","",INDEX(GL!$D:$D,$C331))))</f>
        <v/>
      </c>
      <c r="G331" s="19" t="str">
        <f aca="false">IF(C331=0,"",IF($A331="Bank",INDEX(Bank!$E:$E,$C331),INDEX(GL!$E:$E,$C331)))</f>
        <v/>
      </c>
      <c r="H331" s="5" t="str">
        <f aca="false">IF(C331=0,"",IF(A331="GL",IF(G331&gt;0,"Deposit in transit","Outstanding check / payment"),IF(G331&gt;0,"Bank credit not in GL","Bank debit not in GL")))</f>
        <v/>
      </c>
      <c r="I331" s="42" t="str">
        <f aca="false">IF(OR(C331=0,CFG_PeriodEnd=""),"",CFG_PeriodEnd-D331)</f>
        <v/>
      </c>
      <c r="J331" s="5" t="str">
        <f aca="false">IF(C331=0,"",IF($A331="Bank",IF(INDEX(Bank!$G:$G,$C331)="","",INDEX(Bank!$G:$G,$C331)),IF(INDEX(GL!$G:$G,$C331)="","",INDEX(GL!$G:$G,$C331))))</f>
        <v/>
      </c>
      <c r="K331" s="5" t="str">
        <f aca="false">IF(C331=0,"",IF($A331="Bank",IF(INDEX(Bank!$I:$I,$C331)="","",INDEX(Bank!$I:$I,$C331)),IF(INDEX(GL!$I:$I,$C331)="","",INDEX(GL!$I:$I,$C331))))</f>
        <v/>
      </c>
      <c r="L331" s="5" t="str">
        <f aca="false">IF(B331="","",IF(C331=0,"NOT FOUND",IF(IF($A331="Bank",INDEX(Bank!$F:$F,$C331),INDEX(GL!$F:$F,$C331))="Y","NOW RECONCILED: refresh","OK")))</f>
        <v/>
      </c>
    </row>
    <row r="332" customFormat="false" ht="15" hidden="false" customHeight="false" outlineLevel="0" collapsed="false">
      <c r="A332" s="41"/>
      <c r="B332" s="41"/>
      <c r="C332" s="5" t="n">
        <f aca="false">IF(B332="",0,IF(A332="Bank",IFERROR(MATCH(B332,Bank!$A:$A,0),0),IFERROR(MATCH(B332,GL!$A:$A,0),0)))</f>
        <v>0</v>
      </c>
      <c r="D332" s="32" t="str">
        <f aca="false">IF(C332=0,"",IF($A332="Bank",INDEX(Bank!$B:$B,$C332),INDEX(GL!$B:$B,$C332)))</f>
        <v/>
      </c>
      <c r="E332" s="5" t="str">
        <f aca="false">IF(C332=0,"",IF($A332="Bank",IF(INDEX(Bank!$C:$C,$C332)="","",INDEX(Bank!$C:$C,$C332)),IF(INDEX(GL!$C:$C,$C332)="","",INDEX(GL!$C:$C,$C332))))</f>
        <v/>
      </c>
      <c r="F332" s="5" t="str">
        <f aca="false">IF(C332=0,"",IF($A332="Bank",IF(INDEX(Bank!$D:$D,$C332)="","",INDEX(Bank!$D:$D,$C332)),IF(INDEX(GL!$D:$D,$C332)="","",INDEX(GL!$D:$D,$C332))))</f>
        <v/>
      </c>
      <c r="G332" s="19" t="str">
        <f aca="false">IF(C332=0,"",IF($A332="Bank",INDEX(Bank!$E:$E,$C332),INDEX(GL!$E:$E,$C332)))</f>
        <v/>
      </c>
      <c r="H332" s="5" t="str">
        <f aca="false">IF(C332=0,"",IF(A332="GL",IF(G332&gt;0,"Deposit in transit","Outstanding check / payment"),IF(G332&gt;0,"Bank credit not in GL","Bank debit not in GL")))</f>
        <v/>
      </c>
      <c r="I332" s="42" t="str">
        <f aca="false">IF(OR(C332=0,CFG_PeriodEnd=""),"",CFG_PeriodEnd-D332)</f>
        <v/>
      </c>
      <c r="J332" s="5" t="str">
        <f aca="false">IF(C332=0,"",IF($A332="Bank",IF(INDEX(Bank!$G:$G,$C332)="","",INDEX(Bank!$G:$G,$C332)),IF(INDEX(GL!$G:$G,$C332)="","",INDEX(GL!$G:$G,$C332))))</f>
        <v/>
      </c>
      <c r="K332" s="5" t="str">
        <f aca="false">IF(C332=0,"",IF($A332="Bank",IF(INDEX(Bank!$I:$I,$C332)="","",INDEX(Bank!$I:$I,$C332)),IF(INDEX(GL!$I:$I,$C332)="","",INDEX(GL!$I:$I,$C332))))</f>
        <v/>
      </c>
      <c r="L332" s="5" t="str">
        <f aca="false">IF(B332="","",IF(C332=0,"NOT FOUND",IF(IF($A332="Bank",INDEX(Bank!$F:$F,$C332),INDEX(GL!$F:$F,$C332))="Y","NOW RECONCILED: refresh","OK")))</f>
        <v/>
      </c>
    </row>
    <row r="333" customFormat="false" ht="15" hidden="false" customHeight="false" outlineLevel="0" collapsed="false">
      <c r="A333" s="41"/>
      <c r="B333" s="41"/>
      <c r="C333" s="5" t="n">
        <f aca="false">IF(B333="",0,IF(A333="Bank",IFERROR(MATCH(B333,Bank!$A:$A,0),0),IFERROR(MATCH(B333,GL!$A:$A,0),0)))</f>
        <v>0</v>
      </c>
      <c r="D333" s="32" t="str">
        <f aca="false">IF(C333=0,"",IF($A333="Bank",INDEX(Bank!$B:$B,$C333),INDEX(GL!$B:$B,$C333)))</f>
        <v/>
      </c>
      <c r="E333" s="5" t="str">
        <f aca="false">IF(C333=0,"",IF($A333="Bank",IF(INDEX(Bank!$C:$C,$C333)="","",INDEX(Bank!$C:$C,$C333)),IF(INDEX(GL!$C:$C,$C333)="","",INDEX(GL!$C:$C,$C333))))</f>
        <v/>
      </c>
      <c r="F333" s="5" t="str">
        <f aca="false">IF(C333=0,"",IF($A333="Bank",IF(INDEX(Bank!$D:$D,$C333)="","",INDEX(Bank!$D:$D,$C333)),IF(INDEX(GL!$D:$D,$C333)="","",INDEX(GL!$D:$D,$C333))))</f>
        <v/>
      </c>
      <c r="G333" s="19" t="str">
        <f aca="false">IF(C333=0,"",IF($A333="Bank",INDEX(Bank!$E:$E,$C333),INDEX(GL!$E:$E,$C333)))</f>
        <v/>
      </c>
      <c r="H333" s="5" t="str">
        <f aca="false">IF(C333=0,"",IF(A333="GL",IF(G333&gt;0,"Deposit in transit","Outstanding check / payment"),IF(G333&gt;0,"Bank credit not in GL","Bank debit not in GL")))</f>
        <v/>
      </c>
      <c r="I333" s="42" t="str">
        <f aca="false">IF(OR(C333=0,CFG_PeriodEnd=""),"",CFG_PeriodEnd-D333)</f>
        <v/>
      </c>
      <c r="J333" s="5" t="str">
        <f aca="false">IF(C333=0,"",IF($A333="Bank",IF(INDEX(Bank!$G:$G,$C333)="","",INDEX(Bank!$G:$G,$C333)),IF(INDEX(GL!$G:$G,$C333)="","",INDEX(GL!$G:$G,$C333))))</f>
        <v/>
      </c>
      <c r="K333" s="5" t="str">
        <f aca="false">IF(C333=0,"",IF($A333="Bank",IF(INDEX(Bank!$I:$I,$C333)="","",INDEX(Bank!$I:$I,$C333)),IF(INDEX(GL!$I:$I,$C333)="","",INDEX(GL!$I:$I,$C333))))</f>
        <v/>
      </c>
      <c r="L333" s="5" t="str">
        <f aca="false">IF(B333="","",IF(C333=0,"NOT FOUND",IF(IF($A333="Bank",INDEX(Bank!$F:$F,$C333),INDEX(GL!$F:$F,$C333))="Y","NOW RECONCILED: refresh","OK")))</f>
        <v/>
      </c>
    </row>
    <row r="334" customFormat="false" ht="15" hidden="false" customHeight="false" outlineLevel="0" collapsed="false">
      <c r="A334" s="41"/>
      <c r="B334" s="41"/>
      <c r="C334" s="5" t="n">
        <f aca="false">IF(B334="",0,IF(A334="Bank",IFERROR(MATCH(B334,Bank!$A:$A,0),0),IFERROR(MATCH(B334,GL!$A:$A,0),0)))</f>
        <v>0</v>
      </c>
      <c r="D334" s="32" t="str">
        <f aca="false">IF(C334=0,"",IF($A334="Bank",INDEX(Bank!$B:$B,$C334),INDEX(GL!$B:$B,$C334)))</f>
        <v/>
      </c>
      <c r="E334" s="5" t="str">
        <f aca="false">IF(C334=0,"",IF($A334="Bank",IF(INDEX(Bank!$C:$C,$C334)="","",INDEX(Bank!$C:$C,$C334)),IF(INDEX(GL!$C:$C,$C334)="","",INDEX(GL!$C:$C,$C334))))</f>
        <v/>
      </c>
      <c r="F334" s="5" t="str">
        <f aca="false">IF(C334=0,"",IF($A334="Bank",IF(INDEX(Bank!$D:$D,$C334)="","",INDEX(Bank!$D:$D,$C334)),IF(INDEX(GL!$D:$D,$C334)="","",INDEX(GL!$D:$D,$C334))))</f>
        <v/>
      </c>
      <c r="G334" s="19" t="str">
        <f aca="false">IF(C334=0,"",IF($A334="Bank",INDEX(Bank!$E:$E,$C334),INDEX(GL!$E:$E,$C334)))</f>
        <v/>
      </c>
      <c r="H334" s="5" t="str">
        <f aca="false">IF(C334=0,"",IF(A334="GL",IF(G334&gt;0,"Deposit in transit","Outstanding check / payment"),IF(G334&gt;0,"Bank credit not in GL","Bank debit not in GL")))</f>
        <v/>
      </c>
      <c r="I334" s="42" t="str">
        <f aca="false">IF(OR(C334=0,CFG_PeriodEnd=""),"",CFG_PeriodEnd-D334)</f>
        <v/>
      </c>
      <c r="J334" s="5" t="str">
        <f aca="false">IF(C334=0,"",IF($A334="Bank",IF(INDEX(Bank!$G:$G,$C334)="","",INDEX(Bank!$G:$G,$C334)),IF(INDEX(GL!$G:$G,$C334)="","",INDEX(GL!$G:$G,$C334))))</f>
        <v/>
      </c>
      <c r="K334" s="5" t="str">
        <f aca="false">IF(C334=0,"",IF($A334="Bank",IF(INDEX(Bank!$I:$I,$C334)="","",INDEX(Bank!$I:$I,$C334)),IF(INDEX(GL!$I:$I,$C334)="","",INDEX(GL!$I:$I,$C334))))</f>
        <v/>
      </c>
      <c r="L334" s="5" t="str">
        <f aca="false">IF(B334="","",IF(C334=0,"NOT FOUND",IF(IF($A334="Bank",INDEX(Bank!$F:$F,$C334),INDEX(GL!$F:$F,$C334))="Y","NOW RECONCILED: refresh","OK")))</f>
        <v/>
      </c>
    </row>
    <row r="335" customFormat="false" ht="15" hidden="false" customHeight="false" outlineLevel="0" collapsed="false">
      <c r="A335" s="41"/>
      <c r="B335" s="41"/>
      <c r="C335" s="5" t="n">
        <f aca="false">IF(B335="",0,IF(A335="Bank",IFERROR(MATCH(B335,Bank!$A:$A,0),0),IFERROR(MATCH(B335,GL!$A:$A,0),0)))</f>
        <v>0</v>
      </c>
      <c r="D335" s="32" t="str">
        <f aca="false">IF(C335=0,"",IF($A335="Bank",INDEX(Bank!$B:$B,$C335),INDEX(GL!$B:$B,$C335)))</f>
        <v/>
      </c>
      <c r="E335" s="5" t="str">
        <f aca="false">IF(C335=0,"",IF($A335="Bank",IF(INDEX(Bank!$C:$C,$C335)="","",INDEX(Bank!$C:$C,$C335)),IF(INDEX(GL!$C:$C,$C335)="","",INDEX(GL!$C:$C,$C335))))</f>
        <v/>
      </c>
      <c r="F335" s="5" t="str">
        <f aca="false">IF(C335=0,"",IF($A335="Bank",IF(INDEX(Bank!$D:$D,$C335)="","",INDEX(Bank!$D:$D,$C335)),IF(INDEX(GL!$D:$D,$C335)="","",INDEX(GL!$D:$D,$C335))))</f>
        <v/>
      </c>
      <c r="G335" s="19" t="str">
        <f aca="false">IF(C335=0,"",IF($A335="Bank",INDEX(Bank!$E:$E,$C335),INDEX(GL!$E:$E,$C335)))</f>
        <v/>
      </c>
      <c r="H335" s="5" t="str">
        <f aca="false">IF(C335=0,"",IF(A335="GL",IF(G335&gt;0,"Deposit in transit","Outstanding check / payment"),IF(G335&gt;0,"Bank credit not in GL","Bank debit not in GL")))</f>
        <v/>
      </c>
      <c r="I335" s="42" t="str">
        <f aca="false">IF(OR(C335=0,CFG_PeriodEnd=""),"",CFG_PeriodEnd-D335)</f>
        <v/>
      </c>
      <c r="J335" s="5" t="str">
        <f aca="false">IF(C335=0,"",IF($A335="Bank",IF(INDEX(Bank!$G:$G,$C335)="","",INDEX(Bank!$G:$G,$C335)),IF(INDEX(GL!$G:$G,$C335)="","",INDEX(GL!$G:$G,$C335))))</f>
        <v/>
      </c>
      <c r="K335" s="5" t="str">
        <f aca="false">IF(C335=0,"",IF($A335="Bank",IF(INDEX(Bank!$I:$I,$C335)="","",INDEX(Bank!$I:$I,$C335)),IF(INDEX(GL!$I:$I,$C335)="","",INDEX(GL!$I:$I,$C335))))</f>
        <v/>
      </c>
      <c r="L335" s="5" t="str">
        <f aca="false">IF(B335="","",IF(C335=0,"NOT FOUND",IF(IF($A335="Bank",INDEX(Bank!$F:$F,$C335),INDEX(GL!$F:$F,$C335))="Y","NOW RECONCILED: refresh","OK")))</f>
        <v/>
      </c>
    </row>
    <row r="336" customFormat="false" ht="15" hidden="false" customHeight="false" outlineLevel="0" collapsed="false">
      <c r="A336" s="41"/>
      <c r="B336" s="41"/>
      <c r="C336" s="5" t="n">
        <f aca="false">IF(B336="",0,IF(A336="Bank",IFERROR(MATCH(B336,Bank!$A:$A,0),0),IFERROR(MATCH(B336,GL!$A:$A,0),0)))</f>
        <v>0</v>
      </c>
      <c r="D336" s="32" t="str">
        <f aca="false">IF(C336=0,"",IF($A336="Bank",INDEX(Bank!$B:$B,$C336),INDEX(GL!$B:$B,$C336)))</f>
        <v/>
      </c>
      <c r="E336" s="5" t="str">
        <f aca="false">IF(C336=0,"",IF($A336="Bank",IF(INDEX(Bank!$C:$C,$C336)="","",INDEX(Bank!$C:$C,$C336)),IF(INDEX(GL!$C:$C,$C336)="","",INDEX(GL!$C:$C,$C336))))</f>
        <v/>
      </c>
      <c r="F336" s="5" t="str">
        <f aca="false">IF(C336=0,"",IF($A336="Bank",IF(INDEX(Bank!$D:$D,$C336)="","",INDEX(Bank!$D:$D,$C336)),IF(INDEX(GL!$D:$D,$C336)="","",INDEX(GL!$D:$D,$C336))))</f>
        <v/>
      </c>
      <c r="G336" s="19" t="str">
        <f aca="false">IF(C336=0,"",IF($A336="Bank",INDEX(Bank!$E:$E,$C336),INDEX(GL!$E:$E,$C336)))</f>
        <v/>
      </c>
      <c r="H336" s="5" t="str">
        <f aca="false">IF(C336=0,"",IF(A336="GL",IF(G336&gt;0,"Deposit in transit","Outstanding check / payment"),IF(G336&gt;0,"Bank credit not in GL","Bank debit not in GL")))</f>
        <v/>
      </c>
      <c r="I336" s="42" t="str">
        <f aca="false">IF(OR(C336=0,CFG_PeriodEnd=""),"",CFG_PeriodEnd-D336)</f>
        <v/>
      </c>
      <c r="J336" s="5" t="str">
        <f aca="false">IF(C336=0,"",IF($A336="Bank",IF(INDEX(Bank!$G:$G,$C336)="","",INDEX(Bank!$G:$G,$C336)),IF(INDEX(GL!$G:$G,$C336)="","",INDEX(GL!$G:$G,$C336))))</f>
        <v/>
      </c>
      <c r="K336" s="5" t="str">
        <f aca="false">IF(C336=0,"",IF($A336="Bank",IF(INDEX(Bank!$I:$I,$C336)="","",INDEX(Bank!$I:$I,$C336)),IF(INDEX(GL!$I:$I,$C336)="","",INDEX(GL!$I:$I,$C336))))</f>
        <v/>
      </c>
      <c r="L336" s="5" t="str">
        <f aca="false">IF(B336="","",IF(C336=0,"NOT FOUND",IF(IF($A336="Bank",INDEX(Bank!$F:$F,$C336),INDEX(GL!$F:$F,$C336))="Y","NOW RECONCILED: refresh","OK")))</f>
        <v/>
      </c>
    </row>
    <row r="337" customFormat="false" ht="15" hidden="false" customHeight="false" outlineLevel="0" collapsed="false">
      <c r="A337" s="41"/>
      <c r="B337" s="41"/>
      <c r="C337" s="5" t="n">
        <f aca="false">IF(B337="",0,IF(A337="Bank",IFERROR(MATCH(B337,Bank!$A:$A,0),0),IFERROR(MATCH(B337,GL!$A:$A,0),0)))</f>
        <v>0</v>
      </c>
      <c r="D337" s="32" t="str">
        <f aca="false">IF(C337=0,"",IF($A337="Bank",INDEX(Bank!$B:$B,$C337),INDEX(GL!$B:$B,$C337)))</f>
        <v/>
      </c>
      <c r="E337" s="5" t="str">
        <f aca="false">IF(C337=0,"",IF($A337="Bank",IF(INDEX(Bank!$C:$C,$C337)="","",INDEX(Bank!$C:$C,$C337)),IF(INDEX(GL!$C:$C,$C337)="","",INDEX(GL!$C:$C,$C337))))</f>
        <v/>
      </c>
      <c r="F337" s="5" t="str">
        <f aca="false">IF(C337=0,"",IF($A337="Bank",IF(INDEX(Bank!$D:$D,$C337)="","",INDEX(Bank!$D:$D,$C337)),IF(INDEX(GL!$D:$D,$C337)="","",INDEX(GL!$D:$D,$C337))))</f>
        <v/>
      </c>
      <c r="G337" s="19" t="str">
        <f aca="false">IF(C337=0,"",IF($A337="Bank",INDEX(Bank!$E:$E,$C337),INDEX(GL!$E:$E,$C337)))</f>
        <v/>
      </c>
      <c r="H337" s="5" t="str">
        <f aca="false">IF(C337=0,"",IF(A337="GL",IF(G337&gt;0,"Deposit in transit","Outstanding check / payment"),IF(G337&gt;0,"Bank credit not in GL","Bank debit not in GL")))</f>
        <v/>
      </c>
      <c r="I337" s="42" t="str">
        <f aca="false">IF(OR(C337=0,CFG_PeriodEnd=""),"",CFG_PeriodEnd-D337)</f>
        <v/>
      </c>
      <c r="J337" s="5" t="str">
        <f aca="false">IF(C337=0,"",IF($A337="Bank",IF(INDEX(Bank!$G:$G,$C337)="","",INDEX(Bank!$G:$G,$C337)),IF(INDEX(GL!$G:$G,$C337)="","",INDEX(GL!$G:$G,$C337))))</f>
        <v/>
      </c>
      <c r="K337" s="5" t="str">
        <f aca="false">IF(C337=0,"",IF($A337="Bank",IF(INDEX(Bank!$I:$I,$C337)="","",INDEX(Bank!$I:$I,$C337)),IF(INDEX(GL!$I:$I,$C337)="","",INDEX(GL!$I:$I,$C337))))</f>
        <v/>
      </c>
      <c r="L337" s="5" t="str">
        <f aca="false">IF(B337="","",IF(C337=0,"NOT FOUND",IF(IF($A337="Bank",INDEX(Bank!$F:$F,$C337),INDEX(GL!$F:$F,$C337))="Y","NOW RECONCILED: refresh","OK")))</f>
        <v/>
      </c>
    </row>
    <row r="338" customFormat="false" ht="15" hidden="false" customHeight="false" outlineLevel="0" collapsed="false">
      <c r="A338" s="41"/>
      <c r="B338" s="41"/>
      <c r="C338" s="5" t="n">
        <f aca="false">IF(B338="",0,IF(A338="Bank",IFERROR(MATCH(B338,Bank!$A:$A,0),0),IFERROR(MATCH(B338,GL!$A:$A,0),0)))</f>
        <v>0</v>
      </c>
      <c r="D338" s="32" t="str">
        <f aca="false">IF(C338=0,"",IF($A338="Bank",INDEX(Bank!$B:$B,$C338),INDEX(GL!$B:$B,$C338)))</f>
        <v/>
      </c>
      <c r="E338" s="5" t="str">
        <f aca="false">IF(C338=0,"",IF($A338="Bank",IF(INDEX(Bank!$C:$C,$C338)="","",INDEX(Bank!$C:$C,$C338)),IF(INDEX(GL!$C:$C,$C338)="","",INDEX(GL!$C:$C,$C338))))</f>
        <v/>
      </c>
      <c r="F338" s="5" t="str">
        <f aca="false">IF(C338=0,"",IF($A338="Bank",IF(INDEX(Bank!$D:$D,$C338)="","",INDEX(Bank!$D:$D,$C338)),IF(INDEX(GL!$D:$D,$C338)="","",INDEX(GL!$D:$D,$C338))))</f>
        <v/>
      </c>
      <c r="G338" s="19" t="str">
        <f aca="false">IF(C338=0,"",IF($A338="Bank",INDEX(Bank!$E:$E,$C338),INDEX(GL!$E:$E,$C338)))</f>
        <v/>
      </c>
      <c r="H338" s="5" t="str">
        <f aca="false">IF(C338=0,"",IF(A338="GL",IF(G338&gt;0,"Deposit in transit","Outstanding check / payment"),IF(G338&gt;0,"Bank credit not in GL","Bank debit not in GL")))</f>
        <v/>
      </c>
      <c r="I338" s="42" t="str">
        <f aca="false">IF(OR(C338=0,CFG_PeriodEnd=""),"",CFG_PeriodEnd-D338)</f>
        <v/>
      </c>
      <c r="J338" s="5" t="str">
        <f aca="false">IF(C338=0,"",IF($A338="Bank",IF(INDEX(Bank!$G:$G,$C338)="","",INDEX(Bank!$G:$G,$C338)),IF(INDEX(GL!$G:$G,$C338)="","",INDEX(GL!$G:$G,$C338))))</f>
        <v/>
      </c>
      <c r="K338" s="5" t="str">
        <f aca="false">IF(C338=0,"",IF($A338="Bank",IF(INDEX(Bank!$I:$I,$C338)="","",INDEX(Bank!$I:$I,$C338)),IF(INDEX(GL!$I:$I,$C338)="","",INDEX(GL!$I:$I,$C338))))</f>
        <v/>
      </c>
      <c r="L338" s="5" t="str">
        <f aca="false">IF(B338="","",IF(C338=0,"NOT FOUND",IF(IF($A338="Bank",INDEX(Bank!$F:$F,$C338),INDEX(GL!$F:$F,$C338))="Y","NOW RECONCILED: refresh","OK")))</f>
        <v/>
      </c>
    </row>
    <row r="339" customFormat="false" ht="15" hidden="false" customHeight="false" outlineLevel="0" collapsed="false">
      <c r="A339" s="41"/>
      <c r="B339" s="41"/>
      <c r="C339" s="5" t="n">
        <f aca="false">IF(B339="",0,IF(A339="Bank",IFERROR(MATCH(B339,Bank!$A:$A,0),0),IFERROR(MATCH(B339,GL!$A:$A,0),0)))</f>
        <v>0</v>
      </c>
      <c r="D339" s="32" t="str">
        <f aca="false">IF(C339=0,"",IF($A339="Bank",INDEX(Bank!$B:$B,$C339),INDEX(GL!$B:$B,$C339)))</f>
        <v/>
      </c>
      <c r="E339" s="5" t="str">
        <f aca="false">IF(C339=0,"",IF($A339="Bank",IF(INDEX(Bank!$C:$C,$C339)="","",INDEX(Bank!$C:$C,$C339)),IF(INDEX(GL!$C:$C,$C339)="","",INDEX(GL!$C:$C,$C339))))</f>
        <v/>
      </c>
      <c r="F339" s="5" t="str">
        <f aca="false">IF(C339=0,"",IF($A339="Bank",IF(INDEX(Bank!$D:$D,$C339)="","",INDEX(Bank!$D:$D,$C339)),IF(INDEX(GL!$D:$D,$C339)="","",INDEX(GL!$D:$D,$C339))))</f>
        <v/>
      </c>
      <c r="G339" s="19" t="str">
        <f aca="false">IF(C339=0,"",IF($A339="Bank",INDEX(Bank!$E:$E,$C339),INDEX(GL!$E:$E,$C339)))</f>
        <v/>
      </c>
      <c r="H339" s="5" t="str">
        <f aca="false">IF(C339=0,"",IF(A339="GL",IF(G339&gt;0,"Deposit in transit","Outstanding check / payment"),IF(G339&gt;0,"Bank credit not in GL","Bank debit not in GL")))</f>
        <v/>
      </c>
      <c r="I339" s="42" t="str">
        <f aca="false">IF(OR(C339=0,CFG_PeriodEnd=""),"",CFG_PeriodEnd-D339)</f>
        <v/>
      </c>
      <c r="J339" s="5" t="str">
        <f aca="false">IF(C339=0,"",IF($A339="Bank",IF(INDEX(Bank!$G:$G,$C339)="","",INDEX(Bank!$G:$G,$C339)),IF(INDEX(GL!$G:$G,$C339)="","",INDEX(GL!$G:$G,$C339))))</f>
        <v/>
      </c>
      <c r="K339" s="5" t="str">
        <f aca="false">IF(C339=0,"",IF($A339="Bank",IF(INDEX(Bank!$I:$I,$C339)="","",INDEX(Bank!$I:$I,$C339)),IF(INDEX(GL!$I:$I,$C339)="","",INDEX(GL!$I:$I,$C339))))</f>
        <v/>
      </c>
      <c r="L339" s="5" t="str">
        <f aca="false">IF(B339="","",IF(C339=0,"NOT FOUND",IF(IF($A339="Bank",INDEX(Bank!$F:$F,$C339),INDEX(GL!$F:$F,$C339))="Y","NOW RECONCILED: refresh","OK")))</f>
        <v/>
      </c>
    </row>
    <row r="340" customFormat="false" ht="15" hidden="false" customHeight="false" outlineLevel="0" collapsed="false">
      <c r="A340" s="41"/>
      <c r="B340" s="41"/>
      <c r="C340" s="5" t="n">
        <f aca="false">IF(B340="",0,IF(A340="Bank",IFERROR(MATCH(B340,Bank!$A:$A,0),0),IFERROR(MATCH(B340,GL!$A:$A,0),0)))</f>
        <v>0</v>
      </c>
      <c r="D340" s="32" t="str">
        <f aca="false">IF(C340=0,"",IF($A340="Bank",INDEX(Bank!$B:$B,$C340),INDEX(GL!$B:$B,$C340)))</f>
        <v/>
      </c>
      <c r="E340" s="5" t="str">
        <f aca="false">IF(C340=0,"",IF($A340="Bank",IF(INDEX(Bank!$C:$C,$C340)="","",INDEX(Bank!$C:$C,$C340)),IF(INDEX(GL!$C:$C,$C340)="","",INDEX(GL!$C:$C,$C340))))</f>
        <v/>
      </c>
      <c r="F340" s="5" t="str">
        <f aca="false">IF(C340=0,"",IF($A340="Bank",IF(INDEX(Bank!$D:$D,$C340)="","",INDEX(Bank!$D:$D,$C340)),IF(INDEX(GL!$D:$D,$C340)="","",INDEX(GL!$D:$D,$C340))))</f>
        <v/>
      </c>
      <c r="G340" s="19" t="str">
        <f aca="false">IF(C340=0,"",IF($A340="Bank",INDEX(Bank!$E:$E,$C340),INDEX(GL!$E:$E,$C340)))</f>
        <v/>
      </c>
      <c r="H340" s="5" t="str">
        <f aca="false">IF(C340=0,"",IF(A340="GL",IF(G340&gt;0,"Deposit in transit","Outstanding check / payment"),IF(G340&gt;0,"Bank credit not in GL","Bank debit not in GL")))</f>
        <v/>
      </c>
      <c r="I340" s="42" t="str">
        <f aca="false">IF(OR(C340=0,CFG_PeriodEnd=""),"",CFG_PeriodEnd-D340)</f>
        <v/>
      </c>
      <c r="J340" s="5" t="str">
        <f aca="false">IF(C340=0,"",IF($A340="Bank",IF(INDEX(Bank!$G:$G,$C340)="","",INDEX(Bank!$G:$G,$C340)),IF(INDEX(GL!$G:$G,$C340)="","",INDEX(GL!$G:$G,$C340))))</f>
        <v/>
      </c>
      <c r="K340" s="5" t="str">
        <f aca="false">IF(C340=0,"",IF($A340="Bank",IF(INDEX(Bank!$I:$I,$C340)="","",INDEX(Bank!$I:$I,$C340)),IF(INDEX(GL!$I:$I,$C340)="","",INDEX(GL!$I:$I,$C340))))</f>
        <v/>
      </c>
      <c r="L340" s="5" t="str">
        <f aca="false">IF(B340="","",IF(C340=0,"NOT FOUND",IF(IF($A340="Bank",INDEX(Bank!$F:$F,$C340),INDEX(GL!$F:$F,$C340))="Y","NOW RECONCILED: refresh","OK")))</f>
        <v/>
      </c>
    </row>
    <row r="341" customFormat="false" ht="15" hidden="false" customHeight="false" outlineLevel="0" collapsed="false">
      <c r="A341" s="41"/>
      <c r="B341" s="41"/>
      <c r="C341" s="5" t="n">
        <f aca="false">IF(B341="",0,IF(A341="Bank",IFERROR(MATCH(B341,Bank!$A:$A,0),0),IFERROR(MATCH(B341,GL!$A:$A,0),0)))</f>
        <v>0</v>
      </c>
      <c r="D341" s="32" t="str">
        <f aca="false">IF(C341=0,"",IF($A341="Bank",INDEX(Bank!$B:$B,$C341),INDEX(GL!$B:$B,$C341)))</f>
        <v/>
      </c>
      <c r="E341" s="5" t="str">
        <f aca="false">IF(C341=0,"",IF($A341="Bank",IF(INDEX(Bank!$C:$C,$C341)="","",INDEX(Bank!$C:$C,$C341)),IF(INDEX(GL!$C:$C,$C341)="","",INDEX(GL!$C:$C,$C341))))</f>
        <v/>
      </c>
      <c r="F341" s="5" t="str">
        <f aca="false">IF(C341=0,"",IF($A341="Bank",IF(INDEX(Bank!$D:$D,$C341)="","",INDEX(Bank!$D:$D,$C341)),IF(INDEX(GL!$D:$D,$C341)="","",INDEX(GL!$D:$D,$C341))))</f>
        <v/>
      </c>
      <c r="G341" s="19" t="str">
        <f aca="false">IF(C341=0,"",IF($A341="Bank",INDEX(Bank!$E:$E,$C341),INDEX(GL!$E:$E,$C341)))</f>
        <v/>
      </c>
      <c r="H341" s="5" t="str">
        <f aca="false">IF(C341=0,"",IF(A341="GL",IF(G341&gt;0,"Deposit in transit","Outstanding check / payment"),IF(G341&gt;0,"Bank credit not in GL","Bank debit not in GL")))</f>
        <v/>
      </c>
      <c r="I341" s="42" t="str">
        <f aca="false">IF(OR(C341=0,CFG_PeriodEnd=""),"",CFG_PeriodEnd-D341)</f>
        <v/>
      </c>
      <c r="J341" s="5" t="str">
        <f aca="false">IF(C341=0,"",IF($A341="Bank",IF(INDEX(Bank!$G:$G,$C341)="","",INDEX(Bank!$G:$G,$C341)),IF(INDEX(GL!$G:$G,$C341)="","",INDEX(GL!$G:$G,$C341))))</f>
        <v/>
      </c>
      <c r="K341" s="5" t="str">
        <f aca="false">IF(C341=0,"",IF($A341="Bank",IF(INDEX(Bank!$I:$I,$C341)="","",INDEX(Bank!$I:$I,$C341)),IF(INDEX(GL!$I:$I,$C341)="","",INDEX(GL!$I:$I,$C341))))</f>
        <v/>
      </c>
      <c r="L341" s="5" t="str">
        <f aca="false">IF(B341="","",IF(C341=0,"NOT FOUND",IF(IF($A341="Bank",INDEX(Bank!$F:$F,$C341),INDEX(GL!$F:$F,$C341))="Y","NOW RECONCILED: refresh","OK")))</f>
        <v/>
      </c>
    </row>
    <row r="342" customFormat="false" ht="15" hidden="false" customHeight="false" outlineLevel="0" collapsed="false">
      <c r="A342" s="41"/>
      <c r="B342" s="41"/>
      <c r="C342" s="5" t="n">
        <f aca="false">IF(B342="",0,IF(A342="Bank",IFERROR(MATCH(B342,Bank!$A:$A,0),0),IFERROR(MATCH(B342,GL!$A:$A,0),0)))</f>
        <v>0</v>
      </c>
      <c r="D342" s="32" t="str">
        <f aca="false">IF(C342=0,"",IF($A342="Bank",INDEX(Bank!$B:$B,$C342),INDEX(GL!$B:$B,$C342)))</f>
        <v/>
      </c>
      <c r="E342" s="5" t="str">
        <f aca="false">IF(C342=0,"",IF($A342="Bank",IF(INDEX(Bank!$C:$C,$C342)="","",INDEX(Bank!$C:$C,$C342)),IF(INDEX(GL!$C:$C,$C342)="","",INDEX(GL!$C:$C,$C342))))</f>
        <v/>
      </c>
      <c r="F342" s="5" t="str">
        <f aca="false">IF(C342=0,"",IF($A342="Bank",IF(INDEX(Bank!$D:$D,$C342)="","",INDEX(Bank!$D:$D,$C342)),IF(INDEX(GL!$D:$D,$C342)="","",INDEX(GL!$D:$D,$C342))))</f>
        <v/>
      </c>
      <c r="G342" s="19" t="str">
        <f aca="false">IF(C342=0,"",IF($A342="Bank",INDEX(Bank!$E:$E,$C342),INDEX(GL!$E:$E,$C342)))</f>
        <v/>
      </c>
      <c r="H342" s="5" t="str">
        <f aca="false">IF(C342=0,"",IF(A342="GL",IF(G342&gt;0,"Deposit in transit","Outstanding check / payment"),IF(G342&gt;0,"Bank credit not in GL","Bank debit not in GL")))</f>
        <v/>
      </c>
      <c r="I342" s="42" t="str">
        <f aca="false">IF(OR(C342=0,CFG_PeriodEnd=""),"",CFG_PeriodEnd-D342)</f>
        <v/>
      </c>
      <c r="J342" s="5" t="str">
        <f aca="false">IF(C342=0,"",IF($A342="Bank",IF(INDEX(Bank!$G:$G,$C342)="","",INDEX(Bank!$G:$G,$C342)),IF(INDEX(GL!$G:$G,$C342)="","",INDEX(GL!$G:$G,$C342))))</f>
        <v/>
      </c>
      <c r="K342" s="5" t="str">
        <f aca="false">IF(C342=0,"",IF($A342="Bank",IF(INDEX(Bank!$I:$I,$C342)="","",INDEX(Bank!$I:$I,$C342)),IF(INDEX(GL!$I:$I,$C342)="","",INDEX(GL!$I:$I,$C342))))</f>
        <v/>
      </c>
      <c r="L342" s="5" t="str">
        <f aca="false">IF(B342="","",IF(C342=0,"NOT FOUND",IF(IF($A342="Bank",INDEX(Bank!$F:$F,$C342),INDEX(GL!$F:$F,$C342))="Y","NOW RECONCILED: refresh","OK")))</f>
        <v/>
      </c>
    </row>
    <row r="343" customFormat="false" ht="15" hidden="false" customHeight="false" outlineLevel="0" collapsed="false">
      <c r="A343" s="41"/>
      <c r="B343" s="41"/>
      <c r="C343" s="5" t="n">
        <f aca="false">IF(B343="",0,IF(A343="Bank",IFERROR(MATCH(B343,Bank!$A:$A,0),0),IFERROR(MATCH(B343,GL!$A:$A,0),0)))</f>
        <v>0</v>
      </c>
      <c r="D343" s="32" t="str">
        <f aca="false">IF(C343=0,"",IF($A343="Bank",INDEX(Bank!$B:$B,$C343),INDEX(GL!$B:$B,$C343)))</f>
        <v/>
      </c>
      <c r="E343" s="5" t="str">
        <f aca="false">IF(C343=0,"",IF($A343="Bank",IF(INDEX(Bank!$C:$C,$C343)="","",INDEX(Bank!$C:$C,$C343)),IF(INDEX(GL!$C:$C,$C343)="","",INDEX(GL!$C:$C,$C343))))</f>
        <v/>
      </c>
      <c r="F343" s="5" t="str">
        <f aca="false">IF(C343=0,"",IF($A343="Bank",IF(INDEX(Bank!$D:$D,$C343)="","",INDEX(Bank!$D:$D,$C343)),IF(INDEX(GL!$D:$D,$C343)="","",INDEX(GL!$D:$D,$C343))))</f>
        <v/>
      </c>
      <c r="G343" s="19" t="str">
        <f aca="false">IF(C343=0,"",IF($A343="Bank",INDEX(Bank!$E:$E,$C343),INDEX(GL!$E:$E,$C343)))</f>
        <v/>
      </c>
      <c r="H343" s="5" t="str">
        <f aca="false">IF(C343=0,"",IF(A343="GL",IF(G343&gt;0,"Deposit in transit","Outstanding check / payment"),IF(G343&gt;0,"Bank credit not in GL","Bank debit not in GL")))</f>
        <v/>
      </c>
      <c r="I343" s="42" t="str">
        <f aca="false">IF(OR(C343=0,CFG_PeriodEnd=""),"",CFG_PeriodEnd-D343)</f>
        <v/>
      </c>
      <c r="J343" s="5" t="str">
        <f aca="false">IF(C343=0,"",IF($A343="Bank",IF(INDEX(Bank!$G:$G,$C343)="","",INDEX(Bank!$G:$G,$C343)),IF(INDEX(GL!$G:$G,$C343)="","",INDEX(GL!$G:$G,$C343))))</f>
        <v/>
      </c>
      <c r="K343" s="5" t="str">
        <f aca="false">IF(C343=0,"",IF($A343="Bank",IF(INDEX(Bank!$I:$I,$C343)="","",INDEX(Bank!$I:$I,$C343)),IF(INDEX(GL!$I:$I,$C343)="","",INDEX(GL!$I:$I,$C343))))</f>
        <v/>
      </c>
      <c r="L343" s="5" t="str">
        <f aca="false">IF(B343="","",IF(C343=0,"NOT FOUND",IF(IF($A343="Bank",INDEX(Bank!$F:$F,$C343),INDEX(GL!$F:$F,$C343))="Y","NOW RECONCILED: refresh","OK")))</f>
        <v/>
      </c>
    </row>
    <row r="344" customFormat="false" ht="15" hidden="false" customHeight="false" outlineLevel="0" collapsed="false">
      <c r="A344" s="41"/>
      <c r="B344" s="41"/>
      <c r="C344" s="5" t="n">
        <f aca="false">IF(B344="",0,IF(A344="Bank",IFERROR(MATCH(B344,Bank!$A:$A,0),0),IFERROR(MATCH(B344,GL!$A:$A,0),0)))</f>
        <v>0</v>
      </c>
      <c r="D344" s="32" t="str">
        <f aca="false">IF(C344=0,"",IF($A344="Bank",INDEX(Bank!$B:$B,$C344),INDEX(GL!$B:$B,$C344)))</f>
        <v/>
      </c>
      <c r="E344" s="5" t="str">
        <f aca="false">IF(C344=0,"",IF($A344="Bank",IF(INDEX(Bank!$C:$C,$C344)="","",INDEX(Bank!$C:$C,$C344)),IF(INDEX(GL!$C:$C,$C344)="","",INDEX(GL!$C:$C,$C344))))</f>
        <v/>
      </c>
      <c r="F344" s="5" t="str">
        <f aca="false">IF(C344=0,"",IF($A344="Bank",IF(INDEX(Bank!$D:$D,$C344)="","",INDEX(Bank!$D:$D,$C344)),IF(INDEX(GL!$D:$D,$C344)="","",INDEX(GL!$D:$D,$C344))))</f>
        <v/>
      </c>
      <c r="G344" s="19" t="str">
        <f aca="false">IF(C344=0,"",IF($A344="Bank",INDEX(Bank!$E:$E,$C344),INDEX(GL!$E:$E,$C344)))</f>
        <v/>
      </c>
      <c r="H344" s="5" t="str">
        <f aca="false">IF(C344=0,"",IF(A344="GL",IF(G344&gt;0,"Deposit in transit","Outstanding check / payment"),IF(G344&gt;0,"Bank credit not in GL","Bank debit not in GL")))</f>
        <v/>
      </c>
      <c r="I344" s="42" t="str">
        <f aca="false">IF(OR(C344=0,CFG_PeriodEnd=""),"",CFG_PeriodEnd-D344)</f>
        <v/>
      </c>
      <c r="J344" s="5" t="str">
        <f aca="false">IF(C344=0,"",IF($A344="Bank",IF(INDEX(Bank!$G:$G,$C344)="","",INDEX(Bank!$G:$G,$C344)),IF(INDEX(GL!$G:$G,$C344)="","",INDEX(GL!$G:$G,$C344))))</f>
        <v/>
      </c>
      <c r="K344" s="5" t="str">
        <f aca="false">IF(C344=0,"",IF($A344="Bank",IF(INDEX(Bank!$I:$I,$C344)="","",INDEX(Bank!$I:$I,$C344)),IF(INDEX(GL!$I:$I,$C344)="","",INDEX(GL!$I:$I,$C344))))</f>
        <v/>
      </c>
      <c r="L344" s="5" t="str">
        <f aca="false">IF(B344="","",IF(C344=0,"NOT FOUND",IF(IF($A344="Bank",INDEX(Bank!$F:$F,$C344),INDEX(GL!$F:$F,$C344))="Y","NOW RECONCILED: refresh","OK")))</f>
        <v/>
      </c>
    </row>
    <row r="345" customFormat="false" ht="15" hidden="false" customHeight="false" outlineLevel="0" collapsed="false">
      <c r="A345" s="41"/>
      <c r="B345" s="41"/>
      <c r="C345" s="5" t="n">
        <f aca="false">IF(B345="",0,IF(A345="Bank",IFERROR(MATCH(B345,Bank!$A:$A,0),0),IFERROR(MATCH(B345,GL!$A:$A,0),0)))</f>
        <v>0</v>
      </c>
      <c r="D345" s="32" t="str">
        <f aca="false">IF(C345=0,"",IF($A345="Bank",INDEX(Bank!$B:$B,$C345),INDEX(GL!$B:$B,$C345)))</f>
        <v/>
      </c>
      <c r="E345" s="5" t="str">
        <f aca="false">IF(C345=0,"",IF($A345="Bank",IF(INDEX(Bank!$C:$C,$C345)="","",INDEX(Bank!$C:$C,$C345)),IF(INDEX(GL!$C:$C,$C345)="","",INDEX(GL!$C:$C,$C345))))</f>
        <v/>
      </c>
      <c r="F345" s="5" t="str">
        <f aca="false">IF(C345=0,"",IF($A345="Bank",IF(INDEX(Bank!$D:$D,$C345)="","",INDEX(Bank!$D:$D,$C345)),IF(INDEX(GL!$D:$D,$C345)="","",INDEX(GL!$D:$D,$C345))))</f>
        <v/>
      </c>
      <c r="G345" s="19" t="str">
        <f aca="false">IF(C345=0,"",IF($A345="Bank",INDEX(Bank!$E:$E,$C345),INDEX(GL!$E:$E,$C345)))</f>
        <v/>
      </c>
      <c r="H345" s="5" t="str">
        <f aca="false">IF(C345=0,"",IF(A345="GL",IF(G345&gt;0,"Deposit in transit","Outstanding check / payment"),IF(G345&gt;0,"Bank credit not in GL","Bank debit not in GL")))</f>
        <v/>
      </c>
      <c r="I345" s="42" t="str">
        <f aca="false">IF(OR(C345=0,CFG_PeriodEnd=""),"",CFG_PeriodEnd-D345)</f>
        <v/>
      </c>
      <c r="J345" s="5" t="str">
        <f aca="false">IF(C345=0,"",IF($A345="Bank",IF(INDEX(Bank!$G:$G,$C345)="","",INDEX(Bank!$G:$G,$C345)),IF(INDEX(GL!$G:$G,$C345)="","",INDEX(GL!$G:$G,$C345))))</f>
        <v/>
      </c>
      <c r="K345" s="5" t="str">
        <f aca="false">IF(C345=0,"",IF($A345="Bank",IF(INDEX(Bank!$I:$I,$C345)="","",INDEX(Bank!$I:$I,$C345)),IF(INDEX(GL!$I:$I,$C345)="","",INDEX(GL!$I:$I,$C345))))</f>
        <v/>
      </c>
      <c r="L345" s="5" t="str">
        <f aca="false">IF(B345="","",IF(C345=0,"NOT FOUND",IF(IF($A345="Bank",INDEX(Bank!$F:$F,$C345),INDEX(GL!$F:$F,$C345))="Y","NOW RECONCILED: refresh","OK")))</f>
        <v/>
      </c>
    </row>
    <row r="346" customFormat="false" ht="15" hidden="false" customHeight="false" outlineLevel="0" collapsed="false">
      <c r="A346" s="41"/>
      <c r="B346" s="41"/>
      <c r="C346" s="5" t="n">
        <f aca="false">IF(B346="",0,IF(A346="Bank",IFERROR(MATCH(B346,Bank!$A:$A,0),0),IFERROR(MATCH(B346,GL!$A:$A,0),0)))</f>
        <v>0</v>
      </c>
      <c r="D346" s="32" t="str">
        <f aca="false">IF(C346=0,"",IF($A346="Bank",INDEX(Bank!$B:$B,$C346),INDEX(GL!$B:$B,$C346)))</f>
        <v/>
      </c>
      <c r="E346" s="5" t="str">
        <f aca="false">IF(C346=0,"",IF($A346="Bank",IF(INDEX(Bank!$C:$C,$C346)="","",INDEX(Bank!$C:$C,$C346)),IF(INDEX(GL!$C:$C,$C346)="","",INDEX(GL!$C:$C,$C346))))</f>
        <v/>
      </c>
      <c r="F346" s="5" t="str">
        <f aca="false">IF(C346=0,"",IF($A346="Bank",IF(INDEX(Bank!$D:$D,$C346)="","",INDEX(Bank!$D:$D,$C346)),IF(INDEX(GL!$D:$D,$C346)="","",INDEX(GL!$D:$D,$C346))))</f>
        <v/>
      </c>
      <c r="G346" s="19" t="str">
        <f aca="false">IF(C346=0,"",IF($A346="Bank",INDEX(Bank!$E:$E,$C346),INDEX(GL!$E:$E,$C346)))</f>
        <v/>
      </c>
      <c r="H346" s="5" t="str">
        <f aca="false">IF(C346=0,"",IF(A346="GL",IF(G346&gt;0,"Deposit in transit","Outstanding check / payment"),IF(G346&gt;0,"Bank credit not in GL","Bank debit not in GL")))</f>
        <v/>
      </c>
      <c r="I346" s="42" t="str">
        <f aca="false">IF(OR(C346=0,CFG_PeriodEnd=""),"",CFG_PeriodEnd-D346)</f>
        <v/>
      </c>
      <c r="J346" s="5" t="str">
        <f aca="false">IF(C346=0,"",IF($A346="Bank",IF(INDEX(Bank!$G:$G,$C346)="","",INDEX(Bank!$G:$G,$C346)),IF(INDEX(GL!$G:$G,$C346)="","",INDEX(GL!$G:$G,$C346))))</f>
        <v/>
      </c>
      <c r="K346" s="5" t="str">
        <f aca="false">IF(C346=0,"",IF($A346="Bank",IF(INDEX(Bank!$I:$I,$C346)="","",INDEX(Bank!$I:$I,$C346)),IF(INDEX(GL!$I:$I,$C346)="","",INDEX(GL!$I:$I,$C346))))</f>
        <v/>
      </c>
      <c r="L346" s="5" t="str">
        <f aca="false">IF(B346="","",IF(C346=0,"NOT FOUND",IF(IF($A346="Bank",INDEX(Bank!$F:$F,$C346),INDEX(GL!$F:$F,$C346))="Y","NOW RECONCILED: refresh","OK")))</f>
        <v/>
      </c>
    </row>
    <row r="347" customFormat="false" ht="15" hidden="false" customHeight="false" outlineLevel="0" collapsed="false">
      <c r="A347" s="41"/>
      <c r="B347" s="41"/>
      <c r="C347" s="5" t="n">
        <f aca="false">IF(B347="",0,IF(A347="Bank",IFERROR(MATCH(B347,Bank!$A:$A,0),0),IFERROR(MATCH(B347,GL!$A:$A,0),0)))</f>
        <v>0</v>
      </c>
      <c r="D347" s="32" t="str">
        <f aca="false">IF(C347=0,"",IF($A347="Bank",INDEX(Bank!$B:$B,$C347),INDEX(GL!$B:$B,$C347)))</f>
        <v/>
      </c>
      <c r="E347" s="5" t="str">
        <f aca="false">IF(C347=0,"",IF($A347="Bank",IF(INDEX(Bank!$C:$C,$C347)="","",INDEX(Bank!$C:$C,$C347)),IF(INDEX(GL!$C:$C,$C347)="","",INDEX(GL!$C:$C,$C347))))</f>
        <v/>
      </c>
      <c r="F347" s="5" t="str">
        <f aca="false">IF(C347=0,"",IF($A347="Bank",IF(INDEX(Bank!$D:$D,$C347)="","",INDEX(Bank!$D:$D,$C347)),IF(INDEX(GL!$D:$D,$C347)="","",INDEX(GL!$D:$D,$C347))))</f>
        <v/>
      </c>
      <c r="G347" s="19" t="str">
        <f aca="false">IF(C347=0,"",IF($A347="Bank",INDEX(Bank!$E:$E,$C347),INDEX(GL!$E:$E,$C347)))</f>
        <v/>
      </c>
      <c r="H347" s="5" t="str">
        <f aca="false">IF(C347=0,"",IF(A347="GL",IF(G347&gt;0,"Deposit in transit","Outstanding check / payment"),IF(G347&gt;0,"Bank credit not in GL","Bank debit not in GL")))</f>
        <v/>
      </c>
      <c r="I347" s="42" t="str">
        <f aca="false">IF(OR(C347=0,CFG_PeriodEnd=""),"",CFG_PeriodEnd-D347)</f>
        <v/>
      </c>
      <c r="J347" s="5" t="str">
        <f aca="false">IF(C347=0,"",IF($A347="Bank",IF(INDEX(Bank!$G:$G,$C347)="","",INDEX(Bank!$G:$G,$C347)),IF(INDEX(GL!$G:$G,$C347)="","",INDEX(GL!$G:$G,$C347))))</f>
        <v/>
      </c>
      <c r="K347" s="5" t="str">
        <f aca="false">IF(C347=0,"",IF($A347="Bank",IF(INDEX(Bank!$I:$I,$C347)="","",INDEX(Bank!$I:$I,$C347)),IF(INDEX(GL!$I:$I,$C347)="","",INDEX(GL!$I:$I,$C347))))</f>
        <v/>
      </c>
      <c r="L347" s="5" t="str">
        <f aca="false">IF(B347="","",IF(C347=0,"NOT FOUND",IF(IF($A347="Bank",INDEX(Bank!$F:$F,$C347),INDEX(GL!$F:$F,$C347))="Y","NOW RECONCILED: refresh","OK")))</f>
        <v/>
      </c>
    </row>
    <row r="348" customFormat="false" ht="15" hidden="false" customHeight="false" outlineLevel="0" collapsed="false">
      <c r="A348" s="41"/>
      <c r="B348" s="41"/>
      <c r="C348" s="5" t="n">
        <f aca="false">IF(B348="",0,IF(A348="Bank",IFERROR(MATCH(B348,Bank!$A:$A,0),0),IFERROR(MATCH(B348,GL!$A:$A,0),0)))</f>
        <v>0</v>
      </c>
      <c r="D348" s="32" t="str">
        <f aca="false">IF(C348=0,"",IF($A348="Bank",INDEX(Bank!$B:$B,$C348),INDEX(GL!$B:$B,$C348)))</f>
        <v/>
      </c>
      <c r="E348" s="5" t="str">
        <f aca="false">IF(C348=0,"",IF($A348="Bank",IF(INDEX(Bank!$C:$C,$C348)="","",INDEX(Bank!$C:$C,$C348)),IF(INDEX(GL!$C:$C,$C348)="","",INDEX(GL!$C:$C,$C348))))</f>
        <v/>
      </c>
      <c r="F348" s="5" t="str">
        <f aca="false">IF(C348=0,"",IF($A348="Bank",IF(INDEX(Bank!$D:$D,$C348)="","",INDEX(Bank!$D:$D,$C348)),IF(INDEX(GL!$D:$D,$C348)="","",INDEX(GL!$D:$D,$C348))))</f>
        <v/>
      </c>
      <c r="G348" s="19" t="str">
        <f aca="false">IF(C348=0,"",IF($A348="Bank",INDEX(Bank!$E:$E,$C348),INDEX(GL!$E:$E,$C348)))</f>
        <v/>
      </c>
      <c r="H348" s="5" t="str">
        <f aca="false">IF(C348=0,"",IF(A348="GL",IF(G348&gt;0,"Deposit in transit","Outstanding check / payment"),IF(G348&gt;0,"Bank credit not in GL","Bank debit not in GL")))</f>
        <v/>
      </c>
      <c r="I348" s="42" t="str">
        <f aca="false">IF(OR(C348=0,CFG_PeriodEnd=""),"",CFG_PeriodEnd-D348)</f>
        <v/>
      </c>
      <c r="J348" s="5" t="str">
        <f aca="false">IF(C348=0,"",IF($A348="Bank",IF(INDEX(Bank!$G:$G,$C348)="","",INDEX(Bank!$G:$G,$C348)),IF(INDEX(GL!$G:$G,$C348)="","",INDEX(GL!$G:$G,$C348))))</f>
        <v/>
      </c>
      <c r="K348" s="5" t="str">
        <f aca="false">IF(C348=0,"",IF($A348="Bank",IF(INDEX(Bank!$I:$I,$C348)="","",INDEX(Bank!$I:$I,$C348)),IF(INDEX(GL!$I:$I,$C348)="","",INDEX(GL!$I:$I,$C348))))</f>
        <v/>
      </c>
      <c r="L348" s="5" t="str">
        <f aca="false">IF(B348="","",IF(C348=0,"NOT FOUND",IF(IF($A348="Bank",INDEX(Bank!$F:$F,$C348),INDEX(GL!$F:$F,$C348))="Y","NOW RECONCILED: refresh","OK")))</f>
        <v/>
      </c>
    </row>
    <row r="349" customFormat="false" ht="15" hidden="false" customHeight="false" outlineLevel="0" collapsed="false">
      <c r="A349" s="41"/>
      <c r="B349" s="41"/>
      <c r="C349" s="5" t="n">
        <f aca="false">IF(B349="",0,IF(A349="Bank",IFERROR(MATCH(B349,Bank!$A:$A,0),0),IFERROR(MATCH(B349,GL!$A:$A,0),0)))</f>
        <v>0</v>
      </c>
      <c r="D349" s="32" t="str">
        <f aca="false">IF(C349=0,"",IF($A349="Bank",INDEX(Bank!$B:$B,$C349),INDEX(GL!$B:$B,$C349)))</f>
        <v/>
      </c>
      <c r="E349" s="5" t="str">
        <f aca="false">IF(C349=0,"",IF($A349="Bank",IF(INDEX(Bank!$C:$C,$C349)="","",INDEX(Bank!$C:$C,$C349)),IF(INDEX(GL!$C:$C,$C349)="","",INDEX(GL!$C:$C,$C349))))</f>
        <v/>
      </c>
      <c r="F349" s="5" t="str">
        <f aca="false">IF(C349=0,"",IF($A349="Bank",IF(INDEX(Bank!$D:$D,$C349)="","",INDEX(Bank!$D:$D,$C349)),IF(INDEX(GL!$D:$D,$C349)="","",INDEX(GL!$D:$D,$C349))))</f>
        <v/>
      </c>
      <c r="G349" s="19" t="str">
        <f aca="false">IF(C349=0,"",IF($A349="Bank",INDEX(Bank!$E:$E,$C349),INDEX(GL!$E:$E,$C349)))</f>
        <v/>
      </c>
      <c r="H349" s="5" t="str">
        <f aca="false">IF(C349=0,"",IF(A349="GL",IF(G349&gt;0,"Deposit in transit","Outstanding check / payment"),IF(G349&gt;0,"Bank credit not in GL","Bank debit not in GL")))</f>
        <v/>
      </c>
      <c r="I349" s="42" t="str">
        <f aca="false">IF(OR(C349=0,CFG_PeriodEnd=""),"",CFG_PeriodEnd-D349)</f>
        <v/>
      </c>
      <c r="J349" s="5" t="str">
        <f aca="false">IF(C349=0,"",IF($A349="Bank",IF(INDEX(Bank!$G:$G,$C349)="","",INDEX(Bank!$G:$G,$C349)),IF(INDEX(GL!$G:$G,$C349)="","",INDEX(GL!$G:$G,$C349))))</f>
        <v/>
      </c>
      <c r="K349" s="5" t="str">
        <f aca="false">IF(C349=0,"",IF($A349="Bank",IF(INDEX(Bank!$I:$I,$C349)="","",INDEX(Bank!$I:$I,$C349)),IF(INDEX(GL!$I:$I,$C349)="","",INDEX(GL!$I:$I,$C349))))</f>
        <v/>
      </c>
      <c r="L349" s="5" t="str">
        <f aca="false">IF(B349="","",IF(C349=0,"NOT FOUND",IF(IF($A349="Bank",INDEX(Bank!$F:$F,$C349),INDEX(GL!$F:$F,$C349))="Y","NOW RECONCILED: refresh","OK")))</f>
        <v/>
      </c>
    </row>
    <row r="350" customFormat="false" ht="15" hidden="false" customHeight="false" outlineLevel="0" collapsed="false">
      <c r="A350" s="41"/>
      <c r="B350" s="41"/>
      <c r="C350" s="5" t="n">
        <f aca="false">IF(B350="",0,IF(A350="Bank",IFERROR(MATCH(B350,Bank!$A:$A,0),0),IFERROR(MATCH(B350,GL!$A:$A,0),0)))</f>
        <v>0</v>
      </c>
      <c r="D350" s="32" t="str">
        <f aca="false">IF(C350=0,"",IF($A350="Bank",INDEX(Bank!$B:$B,$C350),INDEX(GL!$B:$B,$C350)))</f>
        <v/>
      </c>
      <c r="E350" s="5" t="str">
        <f aca="false">IF(C350=0,"",IF($A350="Bank",IF(INDEX(Bank!$C:$C,$C350)="","",INDEX(Bank!$C:$C,$C350)),IF(INDEX(GL!$C:$C,$C350)="","",INDEX(GL!$C:$C,$C350))))</f>
        <v/>
      </c>
      <c r="F350" s="5" t="str">
        <f aca="false">IF(C350=0,"",IF($A350="Bank",IF(INDEX(Bank!$D:$D,$C350)="","",INDEX(Bank!$D:$D,$C350)),IF(INDEX(GL!$D:$D,$C350)="","",INDEX(GL!$D:$D,$C350))))</f>
        <v/>
      </c>
      <c r="G350" s="19" t="str">
        <f aca="false">IF(C350=0,"",IF($A350="Bank",INDEX(Bank!$E:$E,$C350),INDEX(GL!$E:$E,$C350)))</f>
        <v/>
      </c>
      <c r="H350" s="5" t="str">
        <f aca="false">IF(C350=0,"",IF(A350="GL",IF(G350&gt;0,"Deposit in transit","Outstanding check / payment"),IF(G350&gt;0,"Bank credit not in GL","Bank debit not in GL")))</f>
        <v/>
      </c>
      <c r="I350" s="42" t="str">
        <f aca="false">IF(OR(C350=0,CFG_PeriodEnd=""),"",CFG_PeriodEnd-D350)</f>
        <v/>
      </c>
      <c r="J350" s="5" t="str">
        <f aca="false">IF(C350=0,"",IF($A350="Bank",IF(INDEX(Bank!$G:$G,$C350)="","",INDEX(Bank!$G:$G,$C350)),IF(INDEX(GL!$G:$G,$C350)="","",INDEX(GL!$G:$G,$C350))))</f>
        <v/>
      </c>
      <c r="K350" s="5" t="str">
        <f aca="false">IF(C350=0,"",IF($A350="Bank",IF(INDEX(Bank!$I:$I,$C350)="","",INDEX(Bank!$I:$I,$C350)),IF(INDEX(GL!$I:$I,$C350)="","",INDEX(GL!$I:$I,$C350))))</f>
        <v/>
      </c>
      <c r="L350" s="5" t="str">
        <f aca="false">IF(B350="","",IF(C350=0,"NOT FOUND",IF(IF($A350="Bank",INDEX(Bank!$F:$F,$C350),INDEX(GL!$F:$F,$C350))="Y","NOW RECONCILED: refresh","OK")))</f>
        <v/>
      </c>
    </row>
    <row r="351" customFormat="false" ht="15" hidden="false" customHeight="false" outlineLevel="0" collapsed="false">
      <c r="A351" s="41"/>
      <c r="B351" s="41"/>
      <c r="C351" s="5" t="n">
        <f aca="false">IF(B351="",0,IF(A351="Bank",IFERROR(MATCH(B351,Bank!$A:$A,0),0),IFERROR(MATCH(B351,GL!$A:$A,0),0)))</f>
        <v>0</v>
      </c>
      <c r="D351" s="32" t="str">
        <f aca="false">IF(C351=0,"",IF($A351="Bank",INDEX(Bank!$B:$B,$C351),INDEX(GL!$B:$B,$C351)))</f>
        <v/>
      </c>
      <c r="E351" s="5" t="str">
        <f aca="false">IF(C351=0,"",IF($A351="Bank",IF(INDEX(Bank!$C:$C,$C351)="","",INDEX(Bank!$C:$C,$C351)),IF(INDEX(GL!$C:$C,$C351)="","",INDEX(GL!$C:$C,$C351))))</f>
        <v/>
      </c>
      <c r="F351" s="5" t="str">
        <f aca="false">IF(C351=0,"",IF($A351="Bank",IF(INDEX(Bank!$D:$D,$C351)="","",INDEX(Bank!$D:$D,$C351)),IF(INDEX(GL!$D:$D,$C351)="","",INDEX(GL!$D:$D,$C351))))</f>
        <v/>
      </c>
      <c r="G351" s="19" t="str">
        <f aca="false">IF(C351=0,"",IF($A351="Bank",INDEX(Bank!$E:$E,$C351),INDEX(GL!$E:$E,$C351)))</f>
        <v/>
      </c>
      <c r="H351" s="5" t="str">
        <f aca="false">IF(C351=0,"",IF(A351="GL",IF(G351&gt;0,"Deposit in transit","Outstanding check / payment"),IF(G351&gt;0,"Bank credit not in GL","Bank debit not in GL")))</f>
        <v/>
      </c>
      <c r="I351" s="42" t="str">
        <f aca="false">IF(OR(C351=0,CFG_PeriodEnd=""),"",CFG_PeriodEnd-D351)</f>
        <v/>
      </c>
      <c r="J351" s="5" t="str">
        <f aca="false">IF(C351=0,"",IF($A351="Bank",IF(INDEX(Bank!$G:$G,$C351)="","",INDEX(Bank!$G:$G,$C351)),IF(INDEX(GL!$G:$G,$C351)="","",INDEX(GL!$G:$G,$C351))))</f>
        <v/>
      </c>
      <c r="K351" s="5" t="str">
        <f aca="false">IF(C351=0,"",IF($A351="Bank",IF(INDEX(Bank!$I:$I,$C351)="","",INDEX(Bank!$I:$I,$C351)),IF(INDEX(GL!$I:$I,$C351)="","",INDEX(GL!$I:$I,$C351))))</f>
        <v/>
      </c>
      <c r="L351" s="5" t="str">
        <f aca="false">IF(B351="","",IF(C351=0,"NOT FOUND",IF(IF($A351="Bank",INDEX(Bank!$F:$F,$C351),INDEX(GL!$F:$F,$C351))="Y","NOW RECONCILED: refresh","OK")))</f>
        <v/>
      </c>
    </row>
    <row r="352" customFormat="false" ht="15" hidden="false" customHeight="false" outlineLevel="0" collapsed="false">
      <c r="A352" s="41"/>
      <c r="B352" s="41"/>
      <c r="C352" s="5" t="n">
        <f aca="false">IF(B352="",0,IF(A352="Bank",IFERROR(MATCH(B352,Bank!$A:$A,0),0),IFERROR(MATCH(B352,GL!$A:$A,0),0)))</f>
        <v>0</v>
      </c>
      <c r="D352" s="32" t="str">
        <f aca="false">IF(C352=0,"",IF($A352="Bank",INDEX(Bank!$B:$B,$C352),INDEX(GL!$B:$B,$C352)))</f>
        <v/>
      </c>
      <c r="E352" s="5" t="str">
        <f aca="false">IF(C352=0,"",IF($A352="Bank",IF(INDEX(Bank!$C:$C,$C352)="","",INDEX(Bank!$C:$C,$C352)),IF(INDEX(GL!$C:$C,$C352)="","",INDEX(GL!$C:$C,$C352))))</f>
        <v/>
      </c>
      <c r="F352" s="5" t="str">
        <f aca="false">IF(C352=0,"",IF($A352="Bank",IF(INDEX(Bank!$D:$D,$C352)="","",INDEX(Bank!$D:$D,$C352)),IF(INDEX(GL!$D:$D,$C352)="","",INDEX(GL!$D:$D,$C352))))</f>
        <v/>
      </c>
      <c r="G352" s="19" t="str">
        <f aca="false">IF(C352=0,"",IF($A352="Bank",INDEX(Bank!$E:$E,$C352),INDEX(GL!$E:$E,$C352)))</f>
        <v/>
      </c>
      <c r="H352" s="5" t="str">
        <f aca="false">IF(C352=0,"",IF(A352="GL",IF(G352&gt;0,"Deposit in transit","Outstanding check / payment"),IF(G352&gt;0,"Bank credit not in GL","Bank debit not in GL")))</f>
        <v/>
      </c>
      <c r="I352" s="42" t="str">
        <f aca="false">IF(OR(C352=0,CFG_PeriodEnd=""),"",CFG_PeriodEnd-D352)</f>
        <v/>
      </c>
      <c r="J352" s="5" t="str">
        <f aca="false">IF(C352=0,"",IF($A352="Bank",IF(INDEX(Bank!$G:$G,$C352)="","",INDEX(Bank!$G:$G,$C352)),IF(INDEX(GL!$G:$G,$C352)="","",INDEX(GL!$G:$G,$C352))))</f>
        <v/>
      </c>
      <c r="K352" s="5" t="str">
        <f aca="false">IF(C352=0,"",IF($A352="Bank",IF(INDEX(Bank!$I:$I,$C352)="","",INDEX(Bank!$I:$I,$C352)),IF(INDEX(GL!$I:$I,$C352)="","",INDEX(GL!$I:$I,$C352))))</f>
        <v/>
      </c>
      <c r="L352" s="5" t="str">
        <f aca="false">IF(B352="","",IF(C352=0,"NOT FOUND",IF(IF($A352="Bank",INDEX(Bank!$F:$F,$C352),INDEX(GL!$F:$F,$C352))="Y","NOW RECONCILED: refresh","OK")))</f>
        <v/>
      </c>
    </row>
    <row r="353" customFormat="false" ht="15" hidden="false" customHeight="false" outlineLevel="0" collapsed="false">
      <c r="A353" s="41"/>
      <c r="B353" s="41"/>
      <c r="C353" s="5" t="n">
        <f aca="false">IF(B353="",0,IF(A353="Bank",IFERROR(MATCH(B353,Bank!$A:$A,0),0),IFERROR(MATCH(B353,GL!$A:$A,0),0)))</f>
        <v>0</v>
      </c>
      <c r="D353" s="32" t="str">
        <f aca="false">IF(C353=0,"",IF($A353="Bank",INDEX(Bank!$B:$B,$C353),INDEX(GL!$B:$B,$C353)))</f>
        <v/>
      </c>
      <c r="E353" s="5" t="str">
        <f aca="false">IF(C353=0,"",IF($A353="Bank",IF(INDEX(Bank!$C:$C,$C353)="","",INDEX(Bank!$C:$C,$C353)),IF(INDEX(GL!$C:$C,$C353)="","",INDEX(GL!$C:$C,$C353))))</f>
        <v/>
      </c>
      <c r="F353" s="5" t="str">
        <f aca="false">IF(C353=0,"",IF($A353="Bank",IF(INDEX(Bank!$D:$D,$C353)="","",INDEX(Bank!$D:$D,$C353)),IF(INDEX(GL!$D:$D,$C353)="","",INDEX(GL!$D:$D,$C353))))</f>
        <v/>
      </c>
      <c r="G353" s="19" t="str">
        <f aca="false">IF(C353=0,"",IF($A353="Bank",INDEX(Bank!$E:$E,$C353),INDEX(GL!$E:$E,$C353)))</f>
        <v/>
      </c>
      <c r="H353" s="5" t="str">
        <f aca="false">IF(C353=0,"",IF(A353="GL",IF(G353&gt;0,"Deposit in transit","Outstanding check / payment"),IF(G353&gt;0,"Bank credit not in GL","Bank debit not in GL")))</f>
        <v/>
      </c>
      <c r="I353" s="42" t="str">
        <f aca="false">IF(OR(C353=0,CFG_PeriodEnd=""),"",CFG_PeriodEnd-D353)</f>
        <v/>
      </c>
      <c r="J353" s="5" t="str">
        <f aca="false">IF(C353=0,"",IF($A353="Bank",IF(INDEX(Bank!$G:$G,$C353)="","",INDEX(Bank!$G:$G,$C353)),IF(INDEX(GL!$G:$G,$C353)="","",INDEX(GL!$G:$G,$C353))))</f>
        <v/>
      </c>
      <c r="K353" s="5" t="str">
        <f aca="false">IF(C353=0,"",IF($A353="Bank",IF(INDEX(Bank!$I:$I,$C353)="","",INDEX(Bank!$I:$I,$C353)),IF(INDEX(GL!$I:$I,$C353)="","",INDEX(GL!$I:$I,$C353))))</f>
        <v/>
      </c>
      <c r="L353" s="5" t="str">
        <f aca="false">IF(B353="","",IF(C353=0,"NOT FOUND",IF(IF($A353="Bank",INDEX(Bank!$F:$F,$C353),INDEX(GL!$F:$F,$C353))="Y","NOW RECONCILED: refresh","OK")))</f>
        <v/>
      </c>
    </row>
    <row r="354" customFormat="false" ht="15" hidden="false" customHeight="false" outlineLevel="0" collapsed="false">
      <c r="A354" s="41"/>
      <c r="B354" s="41"/>
      <c r="C354" s="5" t="n">
        <f aca="false">IF(B354="",0,IF(A354="Bank",IFERROR(MATCH(B354,Bank!$A:$A,0),0),IFERROR(MATCH(B354,GL!$A:$A,0),0)))</f>
        <v>0</v>
      </c>
      <c r="D354" s="32" t="str">
        <f aca="false">IF(C354=0,"",IF($A354="Bank",INDEX(Bank!$B:$B,$C354),INDEX(GL!$B:$B,$C354)))</f>
        <v/>
      </c>
      <c r="E354" s="5" t="str">
        <f aca="false">IF(C354=0,"",IF($A354="Bank",IF(INDEX(Bank!$C:$C,$C354)="","",INDEX(Bank!$C:$C,$C354)),IF(INDEX(GL!$C:$C,$C354)="","",INDEX(GL!$C:$C,$C354))))</f>
        <v/>
      </c>
      <c r="F354" s="5" t="str">
        <f aca="false">IF(C354=0,"",IF($A354="Bank",IF(INDEX(Bank!$D:$D,$C354)="","",INDEX(Bank!$D:$D,$C354)),IF(INDEX(GL!$D:$D,$C354)="","",INDEX(GL!$D:$D,$C354))))</f>
        <v/>
      </c>
      <c r="G354" s="19" t="str">
        <f aca="false">IF(C354=0,"",IF($A354="Bank",INDEX(Bank!$E:$E,$C354),INDEX(GL!$E:$E,$C354)))</f>
        <v/>
      </c>
      <c r="H354" s="5" t="str">
        <f aca="false">IF(C354=0,"",IF(A354="GL",IF(G354&gt;0,"Deposit in transit","Outstanding check / payment"),IF(G354&gt;0,"Bank credit not in GL","Bank debit not in GL")))</f>
        <v/>
      </c>
      <c r="I354" s="42" t="str">
        <f aca="false">IF(OR(C354=0,CFG_PeriodEnd=""),"",CFG_PeriodEnd-D354)</f>
        <v/>
      </c>
      <c r="J354" s="5" t="str">
        <f aca="false">IF(C354=0,"",IF($A354="Bank",IF(INDEX(Bank!$G:$G,$C354)="","",INDEX(Bank!$G:$G,$C354)),IF(INDEX(GL!$G:$G,$C354)="","",INDEX(GL!$G:$G,$C354))))</f>
        <v/>
      </c>
      <c r="K354" s="5" t="str">
        <f aca="false">IF(C354=0,"",IF($A354="Bank",IF(INDEX(Bank!$I:$I,$C354)="","",INDEX(Bank!$I:$I,$C354)),IF(INDEX(GL!$I:$I,$C354)="","",INDEX(GL!$I:$I,$C354))))</f>
        <v/>
      </c>
      <c r="L354" s="5" t="str">
        <f aca="false">IF(B354="","",IF(C354=0,"NOT FOUND",IF(IF($A354="Bank",INDEX(Bank!$F:$F,$C354),INDEX(GL!$F:$F,$C354))="Y","NOW RECONCILED: refresh","OK")))</f>
        <v/>
      </c>
    </row>
    <row r="355" customFormat="false" ht="15" hidden="false" customHeight="false" outlineLevel="0" collapsed="false">
      <c r="A355" s="41"/>
      <c r="B355" s="41"/>
      <c r="C355" s="5" t="n">
        <f aca="false">IF(B355="",0,IF(A355="Bank",IFERROR(MATCH(B355,Bank!$A:$A,0),0),IFERROR(MATCH(B355,GL!$A:$A,0),0)))</f>
        <v>0</v>
      </c>
      <c r="D355" s="32" t="str">
        <f aca="false">IF(C355=0,"",IF($A355="Bank",INDEX(Bank!$B:$B,$C355),INDEX(GL!$B:$B,$C355)))</f>
        <v/>
      </c>
      <c r="E355" s="5" t="str">
        <f aca="false">IF(C355=0,"",IF($A355="Bank",IF(INDEX(Bank!$C:$C,$C355)="","",INDEX(Bank!$C:$C,$C355)),IF(INDEX(GL!$C:$C,$C355)="","",INDEX(GL!$C:$C,$C355))))</f>
        <v/>
      </c>
      <c r="F355" s="5" t="str">
        <f aca="false">IF(C355=0,"",IF($A355="Bank",IF(INDEX(Bank!$D:$D,$C355)="","",INDEX(Bank!$D:$D,$C355)),IF(INDEX(GL!$D:$D,$C355)="","",INDEX(GL!$D:$D,$C355))))</f>
        <v/>
      </c>
      <c r="G355" s="19" t="str">
        <f aca="false">IF(C355=0,"",IF($A355="Bank",INDEX(Bank!$E:$E,$C355),INDEX(GL!$E:$E,$C355)))</f>
        <v/>
      </c>
      <c r="H355" s="5" t="str">
        <f aca="false">IF(C355=0,"",IF(A355="GL",IF(G355&gt;0,"Deposit in transit","Outstanding check / payment"),IF(G355&gt;0,"Bank credit not in GL","Bank debit not in GL")))</f>
        <v/>
      </c>
      <c r="I355" s="42" t="str">
        <f aca="false">IF(OR(C355=0,CFG_PeriodEnd=""),"",CFG_PeriodEnd-D355)</f>
        <v/>
      </c>
      <c r="J355" s="5" t="str">
        <f aca="false">IF(C355=0,"",IF($A355="Bank",IF(INDEX(Bank!$G:$G,$C355)="","",INDEX(Bank!$G:$G,$C355)),IF(INDEX(GL!$G:$G,$C355)="","",INDEX(GL!$G:$G,$C355))))</f>
        <v/>
      </c>
      <c r="K355" s="5" t="str">
        <f aca="false">IF(C355=0,"",IF($A355="Bank",IF(INDEX(Bank!$I:$I,$C355)="","",INDEX(Bank!$I:$I,$C355)),IF(INDEX(GL!$I:$I,$C355)="","",INDEX(GL!$I:$I,$C355))))</f>
        <v/>
      </c>
      <c r="L355" s="5" t="str">
        <f aca="false">IF(B355="","",IF(C355=0,"NOT FOUND",IF(IF($A355="Bank",INDEX(Bank!$F:$F,$C355),INDEX(GL!$F:$F,$C355))="Y","NOW RECONCILED: refresh","OK")))</f>
        <v/>
      </c>
    </row>
    <row r="356" customFormat="false" ht="15" hidden="false" customHeight="false" outlineLevel="0" collapsed="false">
      <c r="A356" s="41"/>
      <c r="B356" s="41"/>
      <c r="C356" s="5" t="n">
        <f aca="false">IF(B356="",0,IF(A356="Bank",IFERROR(MATCH(B356,Bank!$A:$A,0),0),IFERROR(MATCH(B356,GL!$A:$A,0),0)))</f>
        <v>0</v>
      </c>
      <c r="D356" s="32" t="str">
        <f aca="false">IF(C356=0,"",IF($A356="Bank",INDEX(Bank!$B:$B,$C356),INDEX(GL!$B:$B,$C356)))</f>
        <v/>
      </c>
      <c r="E356" s="5" t="str">
        <f aca="false">IF(C356=0,"",IF($A356="Bank",IF(INDEX(Bank!$C:$C,$C356)="","",INDEX(Bank!$C:$C,$C356)),IF(INDEX(GL!$C:$C,$C356)="","",INDEX(GL!$C:$C,$C356))))</f>
        <v/>
      </c>
      <c r="F356" s="5" t="str">
        <f aca="false">IF(C356=0,"",IF($A356="Bank",IF(INDEX(Bank!$D:$D,$C356)="","",INDEX(Bank!$D:$D,$C356)),IF(INDEX(GL!$D:$D,$C356)="","",INDEX(GL!$D:$D,$C356))))</f>
        <v/>
      </c>
      <c r="G356" s="19" t="str">
        <f aca="false">IF(C356=0,"",IF($A356="Bank",INDEX(Bank!$E:$E,$C356),INDEX(GL!$E:$E,$C356)))</f>
        <v/>
      </c>
      <c r="H356" s="5" t="str">
        <f aca="false">IF(C356=0,"",IF(A356="GL",IF(G356&gt;0,"Deposit in transit","Outstanding check / payment"),IF(G356&gt;0,"Bank credit not in GL","Bank debit not in GL")))</f>
        <v/>
      </c>
      <c r="I356" s="42" t="str">
        <f aca="false">IF(OR(C356=0,CFG_PeriodEnd=""),"",CFG_PeriodEnd-D356)</f>
        <v/>
      </c>
      <c r="J356" s="5" t="str">
        <f aca="false">IF(C356=0,"",IF($A356="Bank",IF(INDEX(Bank!$G:$G,$C356)="","",INDEX(Bank!$G:$G,$C356)),IF(INDEX(GL!$G:$G,$C356)="","",INDEX(GL!$G:$G,$C356))))</f>
        <v/>
      </c>
      <c r="K356" s="5" t="str">
        <f aca="false">IF(C356=0,"",IF($A356="Bank",IF(INDEX(Bank!$I:$I,$C356)="","",INDEX(Bank!$I:$I,$C356)),IF(INDEX(GL!$I:$I,$C356)="","",INDEX(GL!$I:$I,$C356))))</f>
        <v/>
      </c>
      <c r="L356" s="5" t="str">
        <f aca="false">IF(B356="","",IF(C356=0,"NOT FOUND",IF(IF($A356="Bank",INDEX(Bank!$F:$F,$C356),INDEX(GL!$F:$F,$C356))="Y","NOW RECONCILED: refresh","OK")))</f>
        <v/>
      </c>
    </row>
    <row r="357" customFormat="false" ht="15" hidden="false" customHeight="false" outlineLevel="0" collapsed="false">
      <c r="A357" s="41"/>
      <c r="B357" s="41"/>
      <c r="C357" s="5" t="n">
        <f aca="false">IF(B357="",0,IF(A357="Bank",IFERROR(MATCH(B357,Bank!$A:$A,0),0),IFERROR(MATCH(B357,GL!$A:$A,0),0)))</f>
        <v>0</v>
      </c>
      <c r="D357" s="32" t="str">
        <f aca="false">IF(C357=0,"",IF($A357="Bank",INDEX(Bank!$B:$B,$C357),INDEX(GL!$B:$B,$C357)))</f>
        <v/>
      </c>
      <c r="E357" s="5" t="str">
        <f aca="false">IF(C357=0,"",IF($A357="Bank",IF(INDEX(Bank!$C:$C,$C357)="","",INDEX(Bank!$C:$C,$C357)),IF(INDEX(GL!$C:$C,$C357)="","",INDEX(GL!$C:$C,$C357))))</f>
        <v/>
      </c>
      <c r="F357" s="5" t="str">
        <f aca="false">IF(C357=0,"",IF($A357="Bank",IF(INDEX(Bank!$D:$D,$C357)="","",INDEX(Bank!$D:$D,$C357)),IF(INDEX(GL!$D:$D,$C357)="","",INDEX(GL!$D:$D,$C357))))</f>
        <v/>
      </c>
      <c r="G357" s="19" t="str">
        <f aca="false">IF(C357=0,"",IF($A357="Bank",INDEX(Bank!$E:$E,$C357),INDEX(GL!$E:$E,$C357)))</f>
        <v/>
      </c>
      <c r="H357" s="5" t="str">
        <f aca="false">IF(C357=0,"",IF(A357="GL",IF(G357&gt;0,"Deposit in transit","Outstanding check / payment"),IF(G357&gt;0,"Bank credit not in GL","Bank debit not in GL")))</f>
        <v/>
      </c>
      <c r="I357" s="42" t="str">
        <f aca="false">IF(OR(C357=0,CFG_PeriodEnd=""),"",CFG_PeriodEnd-D357)</f>
        <v/>
      </c>
      <c r="J357" s="5" t="str">
        <f aca="false">IF(C357=0,"",IF($A357="Bank",IF(INDEX(Bank!$G:$G,$C357)="","",INDEX(Bank!$G:$G,$C357)),IF(INDEX(GL!$G:$G,$C357)="","",INDEX(GL!$G:$G,$C357))))</f>
        <v/>
      </c>
      <c r="K357" s="5" t="str">
        <f aca="false">IF(C357=0,"",IF($A357="Bank",IF(INDEX(Bank!$I:$I,$C357)="","",INDEX(Bank!$I:$I,$C357)),IF(INDEX(GL!$I:$I,$C357)="","",INDEX(GL!$I:$I,$C357))))</f>
        <v/>
      </c>
      <c r="L357" s="5" t="str">
        <f aca="false">IF(B357="","",IF(C357=0,"NOT FOUND",IF(IF($A357="Bank",INDEX(Bank!$F:$F,$C357),INDEX(GL!$F:$F,$C357))="Y","NOW RECONCILED: refresh","OK")))</f>
        <v/>
      </c>
    </row>
    <row r="358" customFormat="false" ht="15" hidden="false" customHeight="false" outlineLevel="0" collapsed="false">
      <c r="A358" s="41"/>
      <c r="B358" s="41"/>
      <c r="C358" s="5" t="n">
        <f aca="false">IF(B358="",0,IF(A358="Bank",IFERROR(MATCH(B358,Bank!$A:$A,0),0),IFERROR(MATCH(B358,GL!$A:$A,0),0)))</f>
        <v>0</v>
      </c>
      <c r="D358" s="32" t="str">
        <f aca="false">IF(C358=0,"",IF($A358="Bank",INDEX(Bank!$B:$B,$C358),INDEX(GL!$B:$B,$C358)))</f>
        <v/>
      </c>
      <c r="E358" s="5" t="str">
        <f aca="false">IF(C358=0,"",IF($A358="Bank",IF(INDEX(Bank!$C:$C,$C358)="","",INDEX(Bank!$C:$C,$C358)),IF(INDEX(GL!$C:$C,$C358)="","",INDEX(GL!$C:$C,$C358))))</f>
        <v/>
      </c>
      <c r="F358" s="5" t="str">
        <f aca="false">IF(C358=0,"",IF($A358="Bank",IF(INDEX(Bank!$D:$D,$C358)="","",INDEX(Bank!$D:$D,$C358)),IF(INDEX(GL!$D:$D,$C358)="","",INDEX(GL!$D:$D,$C358))))</f>
        <v/>
      </c>
      <c r="G358" s="19" t="str">
        <f aca="false">IF(C358=0,"",IF($A358="Bank",INDEX(Bank!$E:$E,$C358),INDEX(GL!$E:$E,$C358)))</f>
        <v/>
      </c>
      <c r="H358" s="5" t="str">
        <f aca="false">IF(C358=0,"",IF(A358="GL",IF(G358&gt;0,"Deposit in transit","Outstanding check / payment"),IF(G358&gt;0,"Bank credit not in GL","Bank debit not in GL")))</f>
        <v/>
      </c>
      <c r="I358" s="42" t="str">
        <f aca="false">IF(OR(C358=0,CFG_PeriodEnd=""),"",CFG_PeriodEnd-D358)</f>
        <v/>
      </c>
      <c r="J358" s="5" t="str">
        <f aca="false">IF(C358=0,"",IF($A358="Bank",IF(INDEX(Bank!$G:$G,$C358)="","",INDEX(Bank!$G:$G,$C358)),IF(INDEX(GL!$G:$G,$C358)="","",INDEX(GL!$G:$G,$C358))))</f>
        <v/>
      </c>
      <c r="K358" s="5" t="str">
        <f aca="false">IF(C358=0,"",IF($A358="Bank",IF(INDEX(Bank!$I:$I,$C358)="","",INDEX(Bank!$I:$I,$C358)),IF(INDEX(GL!$I:$I,$C358)="","",INDEX(GL!$I:$I,$C358))))</f>
        <v/>
      </c>
      <c r="L358" s="5" t="str">
        <f aca="false">IF(B358="","",IF(C358=0,"NOT FOUND",IF(IF($A358="Bank",INDEX(Bank!$F:$F,$C358),INDEX(GL!$F:$F,$C358))="Y","NOW RECONCILED: refresh","OK")))</f>
        <v/>
      </c>
    </row>
    <row r="359" customFormat="false" ht="15" hidden="false" customHeight="false" outlineLevel="0" collapsed="false">
      <c r="A359" s="41"/>
      <c r="B359" s="41"/>
      <c r="C359" s="5" t="n">
        <f aca="false">IF(B359="",0,IF(A359="Bank",IFERROR(MATCH(B359,Bank!$A:$A,0),0),IFERROR(MATCH(B359,GL!$A:$A,0),0)))</f>
        <v>0</v>
      </c>
      <c r="D359" s="32" t="str">
        <f aca="false">IF(C359=0,"",IF($A359="Bank",INDEX(Bank!$B:$B,$C359),INDEX(GL!$B:$B,$C359)))</f>
        <v/>
      </c>
      <c r="E359" s="5" t="str">
        <f aca="false">IF(C359=0,"",IF($A359="Bank",IF(INDEX(Bank!$C:$C,$C359)="","",INDEX(Bank!$C:$C,$C359)),IF(INDEX(GL!$C:$C,$C359)="","",INDEX(GL!$C:$C,$C359))))</f>
        <v/>
      </c>
      <c r="F359" s="5" t="str">
        <f aca="false">IF(C359=0,"",IF($A359="Bank",IF(INDEX(Bank!$D:$D,$C359)="","",INDEX(Bank!$D:$D,$C359)),IF(INDEX(GL!$D:$D,$C359)="","",INDEX(GL!$D:$D,$C359))))</f>
        <v/>
      </c>
      <c r="G359" s="19" t="str">
        <f aca="false">IF(C359=0,"",IF($A359="Bank",INDEX(Bank!$E:$E,$C359),INDEX(GL!$E:$E,$C359)))</f>
        <v/>
      </c>
      <c r="H359" s="5" t="str">
        <f aca="false">IF(C359=0,"",IF(A359="GL",IF(G359&gt;0,"Deposit in transit","Outstanding check / payment"),IF(G359&gt;0,"Bank credit not in GL","Bank debit not in GL")))</f>
        <v/>
      </c>
      <c r="I359" s="42" t="str">
        <f aca="false">IF(OR(C359=0,CFG_PeriodEnd=""),"",CFG_PeriodEnd-D359)</f>
        <v/>
      </c>
      <c r="J359" s="5" t="str">
        <f aca="false">IF(C359=0,"",IF($A359="Bank",IF(INDEX(Bank!$G:$G,$C359)="","",INDEX(Bank!$G:$G,$C359)),IF(INDEX(GL!$G:$G,$C359)="","",INDEX(GL!$G:$G,$C359))))</f>
        <v/>
      </c>
      <c r="K359" s="5" t="str">
        <f aca="false">IF(C359=0,"",IF($A359="Bank",IF(INDEX(Bank!$I:$I,$C359)="","",INDEX(Bank!$I:$I,$C359)),IF(INDEX(GL!$I:$I,$C359)="","",INDEX(GL!$I:$I,$C359))))</f>
        <v/>
      </c>
      <c r="L359" s="5" t="str">
        <f aca="false">IF(B359="","",IF(C359=0,"NOT FOUND",IF(IF($A359="Bank",INDEX(Bank!$F:$F,$C359),INDEX(GL!$F:$F,$C359))="Y","NOW RECONCILED: refresh","OK")))</f>
        <v/>
      </c>
    </row>
    <row r="360" customFormat="false" ht="15" hidden="false" customHeight="false" outlineLevel="0" collapsed="false">
      <c r="A360" s="41"/>
      <c r="B360" s="41"/>
      <c r="C360" s="5" t="n">
        <f aca="false">IF(B360="",0,IF(A360="Bank",IFERROR(MATCH(B360,Bank!$A:$A,0),0),IFERROR(MATCH(B360,GL!$A:$A,0),0)))</f>
        <v>0</v>
      </c>
      <c r="D360" s="32" t="str">
        <f aca="false">IF(C360=0,"",IF($A360="Bank",INDEX(Bank!$B:$B,$C360),INDEX(GL!$B:$B,$C360)))</f>
        <v/>
      </c>
      <c r="E360" s="5" t="str">
        <f aca="false">IF(C360=0,"",IF($A360="Bank",IF(INDEX(Bank!$C:$C,$C360)="","",INDEX(Bank!$C:$C,$C360)),IF(INDEX(GL!$C:$C,$C360)="","",INDEX(GL!$C:$C,$C360))))</f>
        <v/>
      </c>
      <c r="F360" s="5" t="str">
        <f aca="false">IF(C360=0,"",IF($A360="Bank",IF(INDEX(Bank!$D:$D,$C360)="","",INDEX(Bank!$D:$D,$C360)),IF(INDEX(GL!$D:$D,$C360)="","",INDEX(GL!$D:$D,$C360))))</f>
        <v/>
      </c>
      <c r="G360" s="19" t="str">
        <f aca="false">IF(C360=0,"",IF($A360="Bank",INDEX(Bank!$E:$E,$C360),INDEX(GL!$E:$E,$C360)))</f>
        <v/>
      </c>
      <c r="H360" s="5" t="str">
        <f aca="false">IF(C360=0,"",IF(A360="GL",IF(G360&gt;0,"Deposit in transit","Outstanding check / payment"),IF(G360&gt;0,"Bank credit not in GL","Bank debit not in GL")))</f>
        <v/>
      </c>
      <c r="I360" s="42" t="str">
        <f aca="false">IF(OR(C360=0,CFG_PeriodEnd=""),"",CFG_PeriodEnd-D360)</f>
        <v/>
      </c>
      <c r="J360" s="5" t="str">
        <f aca="false">IF(C360=0,"",IF($A360="Bank",IF(INDEX(Bank!$G:$G,$C360)="","",INDEX(Bank!$G:$G,$C360)),IF(INDEX(GL!$G:$G,$C360)="","",INDEX(GL!$G:$G,$C360))))</f>
        <v/>
      </c>
      <c r="K360" s="5" t="str">
        <f aca="false">IF(C360=0,"",IF($A360="Bank",IF(INDEX(Bank!$I:$I,$C360)="","",INDEX(Bank!$I:$I,$C360)),IF(INDEX(GL!$I:$I,$C360)="","",INDEX(GL!$I:$I,$C360))))</f>
        <v/>
      </c>
      <c r="L360" s="5" t="str">
        <f aca="false">IF(B360="","",IF(C360=0,"NOT FOUND",IF(IF($A360="Bank",INDEX(Bank!$F:$F,$C360),INDEX(GL!$F:$F,$C360))="Y","NOW RECONCILED: refresh","OK")))</f>
        <v/>
      </c>
    </row>
    <row r="361" customFormat="false" ht="15" hidden="false" customHeight="false" outlineLevel="0" collapsed="false">
      <c r="A361" s="41"/>
      <c r="B361" s="41"/>
      <c r="C361" s="5" t="n">
        <f aca="false">IF(B361="",0,IF(A361="Bank",IFERROR(MATCH(B361,Bank!$A:$A,0),0),IFERROR(MATCH(B361,GL!$A:$A,0),0)))</f>
        <v>0</v>
      </c>
      <c r="D361" s="32" t="str">
        <f aca="false">IF(C361=0,"",IF($A361="Bank",INDEX(Bank!$B:$B,$C361),INDEX(GL!$B:$B,$C361)))</f>
        <v/>
      </c>
      <c r="E361" s="5" t="str">
        <f aca="false">IF(C361=0,"",IF($A361="Bank",IF(INDEX(Bank!$C:$C,$C361)="","",INDEX(Bank!$C:$C,$C361)),IF(INDEX(GL!$C:$C,$C361)="","",INDEX(GL!$C:$C,$C361))))</f>
        <v/>
      </c>
      <c r="F361" s="5" t="str">
        <f aca="false">IF(C361=0,"",IF($A361="Bank",IF(INDEX(Bank!$D:$D,$C361)="","",INDEX(Bank!$D:$D,$C361)),IF(INDEX(GL!$D:$D,$C361)="","",INDEX(GL!$D:$D,$C361))))</f>
        <v/>
      </c>
      <c r="G361" s="19" t="str">
        <f aca="false">IF(C361=0,"",IF($A361="Bank",INDEX(Bank!$E:$E,$C361),INDEX(GL!$E:$E,$C361)))</f>
        <v/>
      </c>
      <c r="H361" s="5" t="str">
        <f aca="false">IF(C361=0,"",IF(A361="GL",IF(G361&gt;0,"Deposit in transit","Outstanding check / payment"),IF(G361&gt;0,"Bank credit not in GL","Bank debit not in GL")))</f>
        <v/>
      </c>
      <c r="I361" s="42" t="str">
        <f aca="false">IF(OR(C361=0,CFG_PeriodEnd=""),"",CFG_PeriodEnd-D361)</f>
        <v/>
      </c>
      <c r="J361" s="5" t="str">
        <f aca="false">IF(C361=0,"",IF($A361="Bank",IF(INDEX(Bank!$G:$G,$C361)="","",INDEX(Bank!$G:$G,$C361)),IF(INDEX(GL!$G:$G,$C361)="","",INDEX(GL!$G:$G,$C361))))</f>
        <v/>
      </c>
      <c r="K361" s="5" t="str">
        <f aca="false">IF(C361=0,"",IF($A361="Bank",IF(INDEX(Bank!$I:$I,$C361)="","",INDEX(Bank!$I:$I,$C361)),IF(INDEX(GL!$I:$I,$C361)="","",INDEX(GL!$I:$I,$C361))))</f>
        <v/>
      </c>
      <c r="L361" s="5" t="str">
        <f aca="false">IF(B361="","",IF(C361=0,"NOT FOUND",IF(IF($A361="Bank",INDEX(Bank!$F:$F,$C361),INDEX(GL!$F:$F,$C361))="Y","NOW RECONCILED: refresh","OK")))</f>
        <v/>
      </c>
    </row>
    <row r="362" customFormat="false" ht="15" hidden="false" customHeight="false" outlineLevel="0" collapsed="false">
      <c r="A362" s="41"/>
      <c r="B362" s="41"/>
      <c r="C362" s="5" t="n">
        <f aca="false">IF(B362="",0,IF(A362="Bank",IFERROR(MATCH(B362,Bank!$A:$A,0),0),IFERROR(MATCH(B362,GL!$A:$A,0),0)))</f>
        <v>0</v>
      </c>
      <c r="D362" s="32" t="str">
        <f aca="false">IF(C362=0,"",IF($A362="Bank",INDEX(Bank!$B:$B,$C362),INDEX(GL!$B:$B,$C362)))</f>
        <v/>
      </c>
      <c r="E362" s="5" t="str">
        <f aca="false">IF(C362=0,"",IF($A362="Bank",IF(INDEX(Bank!$C:$C,$C362)="","",INDEX(Bank!$C:$C,$C362)),IF(INDEX(GL!$C:$C,$C362)="","",INDEX(GL!$C:$C,$C362))))</f>
        <v/>
      </c>
      <c r="F362" s="5" t="str">
        <f aca="false">IF(C362=0,"",IF($A362="Bank",IF(INDEX(Bank!$D:$D,$C362)="","",INDEX(Bank!$D:$D,$C362)),IF(INDEX(GL!$D:$D,$C362)="","",INDEX(GL!$D:$D,$C362))))</f>
        <v/>
      </c>
      <c r="G362" s="19" t="str">
        <f aca="false">IF(C362=0,"",IF($A362="Bank",INDEX(Bank!$E:$E,$C362),INDEX(GL!$E:$E,$C362)))</f>
        <v/>
      </c>
      <c r="H362" s="5" t="str">
        <f aca="false">IF(C362=0,"",IF(A362="GL",IF(G362&gt;0,"Deposit in transit","Outstanding check / payment"),IF(G362&gt;0,"Bank credit not in GL","Bank debit not in GL")))</f>
        <v/>
      </c>
      <c r="I362" s="42" t="str">
        <f aca="false">IF(OR(C362=0,CFG_PeriodEnd=""),"",CFG_PeriodEnd-D362)</f>
        <v/>
      </c>
      <c r="J362" s="5" t="str">
        <f aca="false">IF(C362=0,"",IF($A362="Bank",IF(INDEX(Bank!$G:$G,$C362)="","",INDEX(Bank!$G:$G,$C362)),IF(INDEX(GL!$G:$G,$C362)="","",INDEX(GL!$G:$G,$C362))))</f>
        <v/>
      </c>
      <c r="K362" s="5" t="str">
        <f aca="false">IF(C362=0,"",IF($A362="Bank",IF(INDEX(Bank!$I:$I,$C362)="","",INDEX(Bank!$I:$I,$C362)),IF(INDEX(GL!$I:$I,$C362)="","",INDEX(GL!$I:$I,$C362))))</f>
        <v/>
      </c>
      <c r="L362" s="5" t="str">
        <f aca="false">IF(B362="","",IF(C362=0,"NOT FOUND",IF(IF($A362="Bank",INDEX(Bank!$F:$F,$C362),INDEX(GL!$F:$F,$C362))="Y","NOW RECONCILED: refresh","OK")))</f>
        <v/>
      </c>
    </row>
    <row r="363" customFormat="false" ht="15" hidden="false" customHeight="false" outlineLevel="0" collapsed="false">
      <c r="A363" s="41"/>
      <c r="B363" s="41"/>
      <c r="C363" s="5" t="n">
        <f aca="false">IF(B363="",0,IF(A363="Bank",IFERROR(MATCH(B363,Bank!$A:$A,0),0),IFERROR(MATCH(B363,GL!$A:$A,0),0)))</f>
        <v>0</v>
      </c>
      <c r="D363" s="32" t="str">
        <f aca="false">IF(C363=0,"",IF($A363="Bank",INDEX(Bank!$B:$B,$C363),INDEX(GL!$B:$B,$C363)))</f>
        <v/>
      </c>
      <c r="E363" s="5" t="str">
        <f aca="false">IF(C363=0,"",IF($A363="Bank",IF(INDEX(Bank!$C:$C,$C363)="","",INDEX(Bank!$C:$C,$C363)),IF(INDEX(GL!$C:$C,$C363)="","",INDEX(GL!$C:$C,$C363))))</f>
        <v/>
      </c>
      <c r="F363" s="5" t="str">
        <f aca="false">IF(C363=0,"",IF($A363="Bank",IF(INDEX(Bank!$D:$D,$C363)="","",INDEX(Bank!$D:$D,$C363)),IF(INDEX(GL!$D:$D,$C363)="","",INDEX(GL!$D:$D,$C363))))</f>
        <v/>
      </c>
      <c r="G363" s="19" t="str">
        <f aca="false">IF(C363=0,"",IF($A363="Bank",INDEX(Bank!$E:$E,$C363),INDEX(GL!$E:$E,$C363)))</f>
        <v/>
      </c>
      <c r="H363" s="5" t="str">
        <f aca="false">IF(C363=0,"",IF(A363="GL",IF(G363&gt;0,"Deposit in transit","Outstanding check / payment"),IF(G363&gt;0,"Bank credit not in GL","Bank debit not in GL")))</f>
        <v/>
      </c>
      <c r="I363" s="42" t="str">
        <f aca="false">IF(OR(C363=0,CFG_PeriodEnd=""),"",CFG_PeriodEnd-D363)</f>
        <v/>
      </c>
      <c r="J363" s="5" t="str">
        <f aca="false">IF(C363=0,"",IF($A363="Bank",IF(INDEX(Bank!$G:$G,$C363)="","",INDEX(Bank!$G:$G,$C363)),IF(INDEX(GL!$G:$G,$C363)="","",INDEX(GL!$G:$G,$C363))))</f>
        <v/>
      </c>
      <c r="K363" s="5" t="str">
        <f aca="false">IF(C363=0,"",IF($A363="Bank",IF(INDEX(Bank!$I:$I,$C363)="","",INDEX(Bank!$I:$I,$C363)),IF(INDEX(GL!$I:$I,$C363)="","",INDEX(GL!$I:$I,$C363))))</f>
        <v/>
      </c>
      <c r="L363" s="5" t="str">
        <f aca="false">IF(B363="","",IF(C363=0,"NOT FOUND",IF(IF($A363="Bank",INDEX(Bank!$F:$F,$C363),INDEX(GL!$F:$F,$C363))="Y","NOW RECONCILED: refresh","OK")))</f>
        <v/>
      </c>
    </row>
    <row r="364" customFormat="false" ht="15" hidden="false" customHeight="false" outlineLevel="0" collapsed="false">
      <c r="A364" s="41"/>
      <c r="B364" s="41"/>
      <c r="C364" s="5" t="n">
        <f aca="false">IF(B364="",0,IF(A364="Bank",IFERROR(MATCH(B364,Bank!$A:$A,0),0),IFERROR(MATCH(B364,GL!$A:$A,0),0)))</f>
        <v>0</v>
      </c>
      <c r="D364" s="32" t="str">
        <f aca="false">IF(C364=0,"",IF($A364="Bank",INDEX(Bank!$B:$B,$C364),INDEX(GL!$B:$B,$C364)))</f>
        <v/>
      </c>
      <c r="E364" s="5" t="str">
        <f aca="false">IF(C364=0,"",IF($A364="Bank",IF(INDEX(Bank!$C:$C,$C364)="","",INDEX(Bank!$C:$C,$C364)),IF(INDEX(GL!$C:$C,$C364)="","",INDEX(GL!$C:$C,$C364))))</f>
        <v/>
      </c>
      <c r="F364" s="5" t="str">
        <f aca="false">IF(C364=0,"",IF($A364="Bank",IF(INDEX(Bank!$D:$D,$C364)="","",INDEX(Bank!$D:$D,$C364)),IF(INDEX(GL!$D:$D,$C364)="","",INDEX(GL!$D:$D,$C364))))</f>
        <v/>
      </c>
      <c r="G364" s="19" t="str">
        <f aca="false">IF(C364=0,"",IF($A364="Bank",INDEX(Bank!$E:$E,$C364),INDEX(GL!$E:$E,$C364)))</f>
        <v/>
      </c>
      <c r="H364" s="5" t="str">
        <f aca="false">IF(C364=0,"",IF(A364="GL",IF(G364&gt;0,"Deposit in transit","Outstanding check / payment"),IF(G364&gt;0,"Bank credit not in GL","Bank debit not in GL")))</f>
        <v/>
      </c>
      <c r="I364" s="42" t="str">
        <f aca="false">IF(OR(C364=0,CFG_PeriodEnd=""),"",CFG_PeriodEnd-D364)</f>
        <v/>
      </c>
      <c r="J364" s="5" t="str">
        <f aca="false">IF(C364=0,"",IF($A364="Bank",IF(INDEX(Bank!$G:$G,$C364)="","",INDEX(Bank!$G:$G,$C364)),IF(INDEX(GL!$G:$G,$C364)="","",INDEX(GL!$G:$G,$C364))))</f>
        <v/>
      </c>
      <c r="K364" s="5" t="str">
        <f aca="false">IF(C364=0,"",IF($A364="Bank",IF(INDEX(Bank!$I:$I,$C364)="","",INDEX(Bank!$I:$I,$C364)),IF(INDEX(GL!$I:$I,$C364)="","",INDEX(GL!$I:$I,$C364))))</f>
        <v/>
      </c>
      <c r="L364" s="5" t="str">
        <f aca="false">IF(B364="","",IF(C364=0,"NOT FOUND",IF(IF($A364="Bank",INDEX(Bank!$F:$F,$C364),INDEX(GL!$F:$F,$C364))="Y","NOW RECONCILED: refresh","OK")))</f>
        <v/>
      </c>
    </row>
    <row r="365" customFormat="false" ht="15" hidden="false" customHeight="false" outlineLevel="0" collapsed="false">
      <c r="A365" s="41"/>
      <c r="B365" s="41"/>
      <c r="C365" s="5" t="n">
        <f aca="false">IF(B365="",0,IF(A365="Bank",IFERROR(MATCH(B365,Bank!$A:$A,0),0),IFERROR(MATCH(B365,GL!$A:$A,0),0)))</f>
        <v>0</v>
      </c>
      <c r="D365" s="32" t="str">
        <f aca="false">IF(C365=0,"",IF($A365="Bank",INDEX(Bank!$B:$B,$C365),INDEX(GL!$B:$B,$C365)))</f>
        <v/>
      </c>
      <c r="E365" s="5" t="str">
        <f aca="false">IF(C365=0,"",IF($A365="Bank",IF(INDEX(Bank!$C:$C,$C365)="","",INDEX(Bank!$C:$C,$C365)),IF(INDEX(GL!$C:$C,$C365)="","",INDEX(GL!$C:$C,$C365))))</f>
        <v/>
      </c>
      <c r="F365" s="5" t="str">
        <f aca="false">IF(C365=0,"",IF($A365="Bank",IF(INDEX(Bank!$D:$D,$C365)="","",INDEX(Bank!$D:$D,$C365)),IF(INDEX(GL!$D:$D,$C365)="","",INDEX(GL!$D:$D,$C365))))</f>
        <v/>
      </c>
      <c r="G365" s="19" t="str">
        <f aca="false">IF(C365=0,"",IF($A365="Bank",INDEX(Bank!$E:$E,$C365),INDEX(GL!$E:$E,$C365)))</f>
        <v/>
      </c>
      <c r="H365" s="5" t="str">
        <f aca="false">IF(C365=0,"",IF(A365="GL",IF(G365&gt;0,"Deposit in transit","Outstanding check / payment"),IF(G365&gt;0,"Bank credit not in GL","Bank debit not in GL")))</f>
        <v/>
      </c>
      <c r="I365" s="42" t="str">
        <f aca="false">IF(OR(C365=0,CFG_PeriodEnd=""),"",CFG_PeriodEnd-D365)</f>
        <v/>
      </c>
      <c r="J365" s="5" t="str">
        <f aca="false">IF(C365=0,"",IF($A365="Bank",IF(INDEX(Bank!$G:$G,$C365)="","",INDEX(Bank!$G:$G,$C365)),IF(INDEX(GL!$G:$G,$C365)="","",INDEX(GL!$G:$G,$C365))))</f>
        <v/>
      </c>
      <c r="K365" s="5" t="str">
        <f aca="false">IF(C365=0,"",IF($A365="Bank",IF(INDEX(Bank!$I:$I,$C365)="","",INDEX(Bank!$I:$I,$C365)),IF(INDEX(GL!$I:$I,$C365)="","",INDEX(GL!$I:$I,$C365))))</f>
        <v/>
      </c>
      <c r="L365" s="5" t="str">
        <f aca="false">IF(B365="","",IF(C365=0,"NOT FOUND",IF(IF($A365="Bank",INDEX(Bank!$F:$F,$C365),INDEX(GL!$F:$F,$C365))="Y","NOW RECONCILED: refresh","OK")))</f>
        <v/>
      </c>
    </row>
    <row r="366" customFormat="false" ht="15" hidden="false" customHeight="false" outlineLevel="0" collapsed="false">
      <c r="A366" s="41"/>
      <c r="B366" s="41"/>
      <c r="C366" s="5" t="n">
        <f aca="false">IF(B366="",0,IF(A366="Bank",IFERROR(MATCH(B366,Bank!$A:$A,0),0),IFERROR(MATCH(B366,GL!$A:$A,0),0)))</f>
        <v>0</v>
      </c>
      <c r="D366" s="32" t="str">
        <f aca="false">IF(C366=0,"",IF($A366="Bank",INDEX(Bank!$B:$B,$C366),INDEX(GL!$B:$B,$C366)))</f>
        <v/>
      </c>
      <c r="E366" s="5" t="str">
        <f aca="false">IF(C366=0,"",IF($A366="Bank",IF(INDEX(Bank!$C:$C,$C366)="","",INDEX(Bank!$C:$C,$C366)),IF(INDEX(GL!$C:$C,$C366)="","",INDEX(GL!$C:$C,$C366))))</f>
        <v/>
      </c>
      <c r="F366" s="5" t="str">
        <f aca="false">IF(C366=0,"",IF($A366="Bank",IF(INDEX(Bank!$D:$D,$C366)="","",INDEX(Bank!$D:$D,$C366)),IF(INDEX(GL!$D:$D,$C366)="","",INDEX(GL!$D:$D,$C366))))</f>
        <v/>
      </c>
      <c r="G366" s="19" t="str">
        <f aca="false">IF(C366=0,"",IF($A366="Bank",INDEX(Bank!$E:$E,$C366),INDEX(GL!$E:$E,$C366)))</f>
        <v/>
      </c>
      <c r="H366" s="5" t="str">
        <f aca="false">IF(C366=0,"",IF(A366="GL",IF(G366&gt;0,"Deposit in transit","Outstanding check / payment"),IF(G366&gt;0,"Bank credit not in GL","Bank debit not in GL")))</f>
        <v/>
      </c>
      <c r="I366" s="42" t="str">
        <f aca="false">IF(OR(C366=0,CFG_PeriodEnd=""),"",CFG_PeriodEnd-D366)</f>
        <v/>
      </c>
      <c r="J366" s="5" t="str">
        <f aca="false">IF(C366=0,"",IF($A366="Bank",IF(INDEX(Bank!$G:$G,$C366)="","",INDEX(Bank!$G:$G,$C366)),IF(INDEX(GL!$G:$G,$C366)="","",INDEX(GL!$G:$G,$C366))))</f>
        <v/>
      </c>
      <c r="K366" s="5" t="str">
        <f aca="false">IF(C366=0,"",IF($A366="Bank",IF(INDEX(Bank!$I:$I,$C366)="","",INDEX(Bank!$I:$I,$C366)),IF(INDEX(GL!$I:$I,$C366)="","",INDEX(GL!$I:$I,$C366))))</f>
        <v/>
      </c>
      <c r="L366" s="5" t="str">
        <f aca="false">IF(B366="","",IF(C366=0,"NOT FOUND",IF(IF($A366="Bank",INDEX(Bank!$F:$F,$C366),INDEX(GL!$F:$F,$C366))="Y","NOW RECONCILED: refresh","OK")))</f>
        <v/>
      </c>
    </row>
    <row r="367" customFormat="false" ht="15" hidden="false" customHeight="false" outlineLevel="0" collapsed="false">
      <c r="A367" s="41"/>
      <c r="B367" s="41"/>
      <c r="C367" s="5" t="n">
        <f aca="false">IF(B367="",0,IF(A367="Bank",IFERROR(MATCH(B367,Bank!$A:$A,0),0),IFERROR(MATCH(B367,GL!$A:$A,0),0)))</f>
        <v>0</v>
      </c>
      <c r="D367" s="32" t="str">
        <f aca="false">IF(C367=0,"",IF($A367="Bank",INDEX(Bank!$B:$B,$C367),INDEX(GL!$B:$B,$C367)))</f>
        <v/>
      </c>
      <c r="E367" s="5" t="str">
        <f aca="false">IF(C367=0,"",IF($A367="Bank",IF(INDEX(Bank!$C:$C,$C367)="","",INDEX(Bank!$C:$C,$C367)),IF(INDEX(GL!$C:$C,$C367)="","",INDEX(GL!$C:$C,$C367))))</f>
        <v/>
      </c>
      <c r="F367" s="5" t="str">
        <f aca="false">IF(C367=0,"",IF($A367="Bank",IF(INDEX(Bank!$D:$D,$C367)="","",INDEX(Bank!$D:$D,$C367)),IF(INDEX(GL!$D:$D,$C367)="","",INDEX(GL!$D:$D,$C367))))</f>
        <v/>
      </c>
      <c r="G367" s="19" t="str">
        <f aca="false">IF(C367=0,"",IF($A367="Bank",INDEX(Bank!$E:$E,$C367),INDEX(GL!$E:$E,$C367)))</f>
        <v/>
      </c>
      <c r="H367" s="5" t="str">
        <f aca="false">IF(C367=0,"",IF(A367="GL",IF(G367&gt;0,"Deposit in transit","Outstanding check / payment"),IF(G367&gt;0,"Bank credit not in GL","Bank debit not in GL")))</f>
        <v/>
      </c>
      <c r="I367" s="42" t="str">
        <f aca="false">IF(OR(C367=0,CFG_PeriodEnd=""),"",CFG_PeriodEnd-D367)</f>
        <v/>
      </c>
      <c r="J367" s="5" t="str">
        <f aca="false">IF(C367=0,"",IF($A367="Bank",IF(INDEX(Bank!$G:$G,$C367)="","",INDEX(Bank!$G:$G,$C367)),IF(INDEX(GL!$G:$G,$C367)="","",INDEX(GL!$G:$G,$C367))))</f>
        <v/>
      </c>
      <c r="K367" s="5" t="str">
        <f aca="false">IF(C367=0,"",IF($A367="Bank",IF(INDEX(Bank!$I:$I,$C367)="","",INDEX(Bank!$I:$I,$C367)),IF(INDEX(GL!$I:$I,$C367)="","",INDEX(GL!$I:$I,$C367))))</f>
        <v/>
      </c>
      <c r="L367" s="5" t="str">
        <f aca="false">IF(B367="","",IF(C367=0,"NOT FOUND",IF(IF($A367="Bank",INDEX(Bank!$F:$F,$C367),INDEX(GL!$F:$F,$C367))="Y","NOW RECONCILED: refresh","OK")))</f>
        <v/>
      </c>
    </row>
    <row r="368" customFormat="false" ht="15" hidden="false" customHeight="false" outlineLevel="0" collapsed="false">
      <c r="A368" s="41"/>
      <c r="B368" s="41"/>
      <c r="C368" s="5" t="n">
        <f aca="false">IF(B368="",0,IF(A368="Bank",IFERROR(MATCH(B368,Bank!$A:$A,0),0),IFERROR(MATCH(B368,GL!$A:$A,0),0)))</f>
        <v>0</v>
      </c>
      <c r="D368" s="32" t="str">
        <f aca="false">IF(C368=0,"",IF($A368="Bank",INDEX(Bank!$B:$B,$C368),INDEX(GL!$B:$B,$C368)))</f>
        <v/>
      </c>
      <c r="E368" s="5" t="str">
        <f aca="false">IF(C368=0,"",IF($A368="Bank",IF(INDEX(Bank!$C:$C,$C368)="","",INDEX(Bank!$C:$C,$C368)),IF(INDEX(GL!$C:$C,$C368)="","",INDEX(GL!$C:$C,$C368))))</f>
        <v/>
      </c>
      <c r="F368" s="5" t="str">
        <f aca="false">IF(C368=0,"",IF($A368="Bank",IF(INDEX(Bank!$D:$D,$C368)="","",INDEX(Bank!$D:$D,$C368)),IF(INDEX(GL!$D:$D,$C368)="","",INDEX(GL!$D:$D,$C368))))</f>
        <v/>
      </c>
      <c r="G368" s="19" t="str">
        <f aca="false">IF(C368=0,"",IF($A368="Bank",INDEX(Bank!$E:$E,$C368),INDEX(GL!$E:$E,$C368)))</f>
        <v/>
      </c>
      <c r="H368" s="5" t="str">
        <f aca="false">IF(C368=0,"",IF(A368="GL",IF(G368&gt;0,"Deposit in transit","Outstanding check / payment"),IF(G368&gt;0,"Bank credit not in GL","Bank debit not in GL")))</f>
        <v/>
      </c>
      <c r="I368" s="42" t="str">
        <f aca="false">IF(OR(C368=0,CFG_PeriodEnd=""),"",CFG_PeriodEnd-D368)</f>
        <v/>
      </c>
      <c r="J368" s="5" t="str">
        <f aca="false">IF(C368=0,"",IF($A368="Bank",IF(INDEX(Bank!$G:$G,$C368)="","",INDEX(Bank!$G:$G,$C368)),IF(INDEX(GL!$G:$G,$C368)="","",INDEX(GL!$G:$G,$C368))))</f>
        <v/>
      </c>
      <c r="K368" s="5" t="str">
        <f aca="false">IF(C368=0,"",IF($A368="Bank",IF(INDEX(Bank!$I:$I,$C368)="","",INDEX(Bank!$I:$I,$C368)),IF(INDEX(GL!$I:$I,$C368)="","",INDEX(GL!$I:$I,$C368))))</f>
        <v/>
      </c>
      <c r="L368" s="5" t="str">
        <f aca="false">IF(B368="","",IF(C368=0,"NOT FOUND",IF(IF($A368="Bank",INDEX(Bank!$F:$F,$C368),INDEX(GL!$F:$F,$C368))="Y","NOW RECONCILED: refresh","OK")))</f>
        <v/>
      </c>
    </row>
    <row r="369" customFormat="false" ht="15" hidden="false" customHeight="false" outlineLevel="0" collapsed="false">
      <c r="A369" s="41"/>
      <c r="B369" s="41"/>
      <c r="C369" s="5" t="n">
        <f aca="false">IF(B369="",0,IF(A369="Bank",IFERROR(MATCH(B369,Bank!$A:$A,0),0),IFERROR(MATCH(B369,GL!$A:$A,0),0)))</f>
        <v>0</v>
      </c>
      <c r="D369" s="32" t="str">
        <f aca="false">IF(C369=0,"",IF($A369="Bank",INDEX(Bank!$B:$B,$C369),INDEX(GL!$B:$B,$C369)))</f>
        <v/>
      </c>
      <c r="E369" s="5" t="str">
        <f aca="false">IF(C369=0,"",IF($A369="Bank",IF(INDEX(Bank!$C:$C,$C369)="","",INDEX(Bank!$C:$C,$C369)),IF(INDEX(GL!$C:$C,$C369)="","",INDEX(GL!$C:$C,$C369))))</f>
        <v/>
      </c>
      <c r="F369" s="5" t="str">
        <f aca="false">IF(C369=0,"",IF($A369="Bank",IF(INDEX(Bank!$D:$D,$C369)="","",INDEX(Bank!$D:$D,$C369)),IF(INDEX(GL!$D:$D,$C369)="","",INDEX(GL!$D:$D,$C369))))</f>
        <v/>
      </c>
      <c r="G369" s="19" t="str">
        <f aca="false">IF(C369=0,"",IF($A369="Bank",INDEX(Bank!$E:$E,$C369),INDEX(GL!$E:$E,$C369)))</f>
        <v/>
      </c>
      <c r="H369" s="5" t="str">
        <f aca="false">IF(C369=0,"",IF(A369="GL",IF(G369&gt;0,"Deposit in transit","Outstanding check / payment"),IF(G369&gt;0,"Bank credit not in GL","Bank debit not in GL")))</f>
        <v/>
      </c>
      <c r="I369" s="42" t="str">
        <f aca="false">IF(OR(C369=0,CFG_PeriodEnd=""),"",CFG_PeriodEnd-D369)</f>
        <v/>
      </c>
      <c r="J369" s="5" t="str">
        <f aca="false">IF(C369=0,"",IF($A369="Bank",IF(INDEX(Bank!$G:$G,$C369)="","",INDEX(Bank!$G:$G,$C369)),IF(INDEX(GL!$G:$G,$C369)="","",INDEX(GL!$G:$G,$C369))))</f>
        <v/>
      </c>
      <c r="K369" s="5" t="str">
        <f aca="false">IF(C369=0,"",IF($A369="Bank",IF(INDEX(Bank!$I:$I,$C369)="","",INDEX(Bank!$I:$I,$C369)),IF(INDEX(GL!$I:$I,$C369)="","",INDEX(GL!$I:$I,$C369))))</f>
        <v/>
      </c>
      <c r="L369" s="5" t="str">
        <f aca="false">IF(B369="","",IF(C369=0,"NOT FOUND",IF(IF($A369="Bank",INDEX(Bank!$F:$F,$C369),INDEX(GL!$F:$F,$C369))="Y","NOW RECONCILED: refresh","OK")))</f>
        <v/>
      </c>
    </row>
    <row r="370" customFormat="false" ht="15" hidden="false" customHeight="false" outlineLevel="0" collapsed="false">
      <c r="A370" s="41"/>
      <c r="B370" s="41"/>
      <c r="C370" s="5" t="n">
        <f aca="false">IF(B370="",0,IF(A370="Bank",IFERROR(MATCH(B370,Bank!$A:$A,0),0),IFERROR(MATCH(B370,GL!$A:$A,0),0)))</f>
        <v>0</v>
      </c>
      <c r="D370" s="32" t="str">
        <f aca="false">IF(C370=0,"",IF($A370="Bank",INDEX(Bank!$B:$B,$C370),INDEX(GL!$B:$B,$C370)))</f>
        <v/>
      </c>
      <c r="E370" s="5" t="str">
        <f aca="false">IF(C370=0,"",IF($A370="Bank",IF(INDEX(Bank!$C:$C,$C370)="","",INDEX(Bank!$C:$C,$C370)),IF(INDEX(GL!$C:$C,$C370)="","",INDEX(GL!$C:$C,$C370))))</f>
        <v/>
      </c>
      <c r="F370" s="5" t="str">
        <f aca="false">IF(C370=0,"",IF($A370="Bank",IF(INDEX(Bank!$D:$D,$C370)="","",INDEX(Bank!$D:$D,$C370)),IF(INDEX(GL!$D:$D,$C370)="","",INDEX(GL!$D:$D,$C370))))</f>
        <v/>
      </c>
      <c r="G370" s="19" t="str">
        <f aca="false">IF(C370=0,"",IF($A370="Bank",INDEX(Bank!$E:$E,$C370),INDEX(GL!$E:$E,$C370)))</f>
        <v/>
      </c>
      <c r="H370" s="5" t="str">
        <f aca="false">IF(C370=0,"",IF(A370="GL",IF(G370&gt;0,"Deposit in transit","Outstanding check / payment"),IF(G370&gt;0,"Bank credit not in GL","Bank debit not in GL")))</f>
        <v/>
      </c>
      <c r="I370" s="42" t="str">
        <f aca="false">IF(OR(C370=0,CFG_PeriodEnd=""),"",CFG_PeriodEnd-D370)</f>
        <v/>
      </c>
      <c r="J370" s="5" t="str">
        <f aca="false">IF(C370=0,"",IF($A370="Bank",IF(INDEX(Bank!$G:$G,$C370)="","",INDEX(Bank!$G:$G,$C370)),IF(INDEX(GL!$G:$G,$C370)="","",INDEX(GL!$G:$G,$C370))))</f>
        <v/>
      </c>
      <c r="K370" s="5" t="str">
        <f aca="false">IF(C370=0,"",IF($A370="Bank",IF(INDEX(Bank!$I:$I,$C370)="","",INDEX(Bank!$I:$I,$C370)),IF(INDEX(GL!$I:$I,$C370)="","",INDEX(GL!$I:$I,$C370))))</f>
        <v/>
      </c>
      <c r="L370" s="5" t="str">
        <f aca="false">IF(B370="","",IF(C370=0,"NOT FOUND",IF(IF($A370="Bank",INDEX(Bank!$F:$F,$C370),INDEX(GL!$F:$F,$C370))="Y","NOW RECONCILED: refresh","OK")))</f>
        <v/>
      </c>
    </row>
    <row r="371" customFormat="false" ht="15" hidden="false" customHeight="false" outlineLevel="0" collapsed="false">
      <c r="A371" s="41"/>
      <c r="B371" s="41"/>
      <c r="C371" s="5" t="n">
        <f aca="false">IF(B371="",0,IF(A371="Bank",IFERROR(MATCH(B371,Bank!$A:$A,0),0),IFERROR(MATCH(B371,GL!$A:$A,0),0)))</f>
        <v>0</v>
      </c>
      <c r="D371" s="32" t="str">
        <f aca="false">IF(C371=0,"",IF($A371="Bank",INDEX(Bank!$B:$B,$C371),INDEX(GL!$B:$B,$C371)))</f>
        <v/>
      </c>
      <c r="E371" s="5" t="str">
        <f aca="false">IF(C371=0,"",IF($A371="Bank",IF(INDEX(Bank!$C:$C,$C371)="","",INDEX(Bank!$C:$C,$C371)),IF(INDEX(GL!$C:$C,$C371)="","",INDEX(GL!$C:$C,$C371))))</f>
        <v/>
      </c>
      <c r="F371" s="5" t="str">
        <f aca="false">IF(C371=0,"",IF($A371="Bank",IF(INDEX(Bank!$D:$D,$C371)="","",INDEX(Bank!$D:$D,$C371)),IF(INDEX(GL!$D:$D,$C371)="","",INDEX(GL!$D:$D,$C371))))</f>
        <v/>
      </c>
      <c r="G371" s="19" t="str">
        <f aca="false">IF(C371=0,"",IF($A371="Bank",INDEX(Bank!$E:$E,$C371),INDEX(GL!$E:$E,$C371)))</f>
        <v/>
      </c>
      <c r="H371" s="5" t="str">
        <f aca="false">IF(C371=0,"",IF(A371="GL",IF(G371&gt;0,"Deposit in transit","Outstanding check / payment"),IF(G371&gt;0,"Bank credit not in GL","Bank debit not in GL")))</f>
        <v/>
      </c>
      <c r="I371" s="42" t="str">
        <f aca="false">IF(OR(C371=0,CFG_PeriodEnd=""),"",CFG_PeriodEnd-D371)</f>
        <v/>
      </c>
      <c r="J371" s="5" t="str">
        <f aca="false">IF(C371=0,"",IF($A371="Bank",IF(INDEX(Bank!$G:$G,$C371)="","",INDEX(Bank!$G:$G,$C371)),IF(INDEX(GL!$G:$G,$C371)="","",INDEX(GL!$G:$G,$C371))))</f>
        <v/>
      </c>
      <c r="K371" s="5" t="str">
        <f aca="false">IF(C371=0,"",IF($A371="Bank",IF(INDEX(Bank!$I:$I,$C371)="","",INDEX(Bank!$I:$I,$C371)),IF(INDEX(GL!$I:$I,$C371)="","",INDEX(GL!$I:$I,$C371))))</f>
        <v/>
      </c>
      <c r="L371" s="5" t="str">
        <f aca="false">IF(B371="","",IF(C371=0,"NOT FOUND",IF(IF($A371="Bank",INDEX(Bank!$F:$F,$C371),INDEX(GL!$F:$F,$C371))="Y","NOW RECONCILED: refresh","OK")))</f>
        <v/>
      </c>
    </row>
    <row r="372" customFormat="false" ht="15" hidden="false" customHeight="false" outlineLevel="0" collapsed="false">
      <c r="A372" s="41"/>
      <c r="B372" s="41"/>
      <c r="C372" s="5" t="n">
        <f aca="false">IF(B372="",0,IF(A372="Bank",IFERROR(MATCH(B372,Bank!$A:$A,0),0),IFERROR(MATCH(B372,GL!$A:$A,0),0)))</f>
        <v>0</v>
      </c>
      <c r="D372" s="32" t="str">
        <f aca="false">IF(C372=0,"",IF($A372="Bank",INDEX(Bank!$B:$B,$C372),INDEX(GL!$B:$B,$C372)))</f>
        <v/>
      </c>
      <c r="E372" s="5" t="str">
        <f aca="false">IF(C372=0,"",IF($A372="Bank",IF(INDEX(Bank!$C:$C,$C372)="","",INDEX(Bank!$C:$C,$C372)),IF(INDEX(GL!$C:$C,$C372)="","",INDEX(GL!$C:$C,$C372))))</f>
        <v/>
      </c>
      <c r="F372" s="5" t="str">
        <f aca="false">IF(C372=0,"",IF($A372="Bank",IF(INDEX(Bank!$D:$D,$C372)="","",INDEX(Bank!$D:$D,$C372)),IF(INDEX(GL!$D:$D,$C372)="","",INDEX(GL!$D:$D,$C372))))</f>
        <v/>
      </c>
      <c r="G372" s="19" t="str">
        <f aca="false">IF(C372=0,"",IF($A372="Bank",INDEX(Bank!$E:$E,$C372),INDEX(GL!$E:$E,$C372)))</f>
        <v/>
      </c>
      <c r="H372" s="5" t="str">
        <f aca="false">IF(C372=0,"",IF(A372="GL",IF(G372&gt;0,"Deposit in transit","Outstanding check / payment"),IF(G372&gt;0,"Bank credit not in GL","Bank debit not in GL")))</f>
        <v/>
      </c>
      <c r="I372" s="42" t="str">
        <f aca="false">IF(OR(C372=0,CFG_PeriodEnd=""),"",CFG_PeriodEnd-D372)</f>
        <v/>
      </c>
      <c r="J372" s="5" t="str">
        <f aca="false">IF(C372=0,"",IF($A372="Bank",IF(INDEX(Bank!$G:$G,$C372)="","",INDEX(Bank!$G:$G,$C372)),IF(INDEX(GL!$G:$G,$C372)="","",INDEX(GL!$G:$G,$C372))))</f>
        <v/>
      </c>
      <c r="K372" s="5" t="str">
        <f aca="false">IF(C372=0,"",IF($A372="Bank",IF(INDEX(Bank!$I:$I,$C372)="","",INDEX(Bank!$I:$I,$C372)),IF(INDEX(GL!$I:$I,$C372)="","",INDEX(GL!$I:$I,$C372))))</f>
        <v/>
      </c>
      <c r="L372" s="5" t="str">
        <f aca="false">IF(B372="","",IF(C372=0,"NOT FOUND",IF(IF($A372="Bank",INDEX(Bank!$F:$F,$C372),INDEX(GL!$F:$F,$C372))="Y","NOW RECONCILED: refresh","OK")))</f>
        <v/>
      </c>
    </row>
    <row r="373" customFormat="false" ht="15" hidden="false" customHeight="false" outlineLevel="0" collapsed="false">
      <c r="A373" s="41"/>
      <c r="B373" s="41"/>
      <c r="C373" s="5" t="n">
        <f aca="false">IF(B373="",0,IF(A373="Bank",IFERROR(MATCH(B373,Bank!$A:$A,0),0),IFERROR(MATCH(B373,GL!$A:$A,0),0)))</f>
        <v>0</v>
      </c>
      <c r="D373" s="32" t="str">
        <f aca="false">IF(C373=0,"",IF($A373="Bank",INDEX(Bank!$B:$B,$C373),INDEX(GL!$B:$B,$C373)))</f>
        <v/>
      </c>
      <c r="E373" s="5" t="str">
        <f aca="false">IF(C373=0,"",IF($A373="Bank",IF(INDEX(Bank!$C:$C,$C373)="","",INDEX(Bank!$C:$C,$C373)),IF(INDEX(GL!$C:$C,$C373)="","",INDEX(GL!$C:$C,$C373))))</f>
        <v/>
      </c>
      <c r="F373" s="5" t="str">
        <f aca="false">IF(C373=0,"",IF($A373="Bank",IF(INDEX(Bank!$D:$D,$C373)="","",INDEX(Bank!$D:$D,$C373)),IF(INDEX(GL!$D:$D,$C373)="","",INDEX(GL!$D:$D,$C373))))</f>
        <v/>
      </c>
      <c r="G373" s="19" t="str">
        <f aca="false">IF(C373=0,"",IF($A373="Bank",INDEX(Bank!$E:$E,$C373),INDEX(GL!$E:$E,$C373)))</f>
        <v/>
      </c>
      <c r="H373" s="5" t="str">
        <f aca="false">IF(C373=0,"",IF(A373="GL",IF(G373&gt;0,"Deposit in transit","Outstanding check / payment"),IF(G373&gt;0,"Bank credit not in GL","Bank debit not in GL")))</f>
        <v/>
      </c>
      <c r="I373" s="42" t="str">
        <f aca="false">IF(OR(C373=0,CFG_PeriodEnd=""),"",CFG_PeriodEnd-D373)</f>
        <v/>
      </c>
      <c r="J373" s="5" t="str">
        <f aca="false">IF(C373=0,"",IF($A373="Bank",IF(INDEX(Bank!$G:$G,$C373)="","",INDEX(Bank!$G:$G,$C373)),IF(INDEX(GL!$G:$G,$C373)="","",INDEX(GL!$G:$G,$C373))))</f>
        <v/>
      </c>
      <c r="K373" s="5" t="str">
        <f aca="false">IF(C373=0,"",IF($A373="Bank",IF(INDEX(Bank!$I:$I,$C373)="","",INDEX(Bank!$I:$I,$C373)),IF(INDEX(GL!$I:$I,$C373)="","",INDEX(GL!$I:$I,$C373))))</f>
        <v/>
      </c>
      <c r="L373" s="5" t="str">
        <f aca="false">IF(B373="","",IF(C373=0,"NOT FOUND",IF(IF($A373="Bank",INDEX(Bank!$F:$F,$C373),INDEX(GL!$F:$F,$C373))="Y","NOW RECONCILED: refresh","OK")))</f>
        <v/>
      </c>
    </row>
    <row r="374" customFormat="false" ht="15" hidden="false" customHeight="false" outlineLevel="0" collapsed="false">
      <c r="A374" s="41"/>
      <c r="B374" s="41"/>
      <c r="C374" s="5" t="n">
        <f aca="false">IF(B374="",0,IF(A374="Bank",IFERROR(MATCH(B374,Bank!$A:$A,0),0),IFERROR(MATCH(B374,GL!$A:$A,0),0)))</f>
        <v>0</v>
      </c>
      <c r="D374" s="32" t="str">
        <f aca="false">IF(C374=0,"",IF($A374="Bank",INDEX(Bank!$B:$B,$C374),INDEX(GL!$B:$B,$C374)))</f>
        <v/>
      </c>
      <c r="E374" s="5" t="str">
        <f aca="false">IF(C374=0,"",IF($A374="Bank",IF(INDEX(Bank!$C:$C,$C374)="","",INDEX(Bank!$C:$C,$C374)),IF(INDEX(GL!$C:$C,$C374)="","",INDEX(GL!$C:$C,$C374))))</f>
        <v/>
      </c>
      <c r="F374" s="5" t="str">
        <f aca="false">IF(C374=0,"",IF($A374="Bank",IF(INDEX(Bank!$D:$D,$C374)="","",INDEX(Bank!$D:$D,$C374)),IF(INDEX(GL!$D:$D,$C374)="","",INDEX(GL!$D:$D,$C374))))</f>
        <v/>
      </c>
      <c r="G374" s="19" t="str">
        <f aca="false">IF(C374=0,"",IF($A374="Bank",INDEX(Bank!$E:$E,$C374),INDEX(GL!$E:$E,$C374)))</f>
        <v/>
      </c>
      <c r="H374" s="5" t="str">
        <f aca="false">IF(C374=0,"",IF(A374="GL",IF(G374&gt;0,"Deposit in transit","Outstanding check / payment"),IF(G374&gt;0,"Bank credit not in GL","Bank debit not in GL")))</f>
        <v/>
      </c>
      <c r="I374" s="42" t="str">
        <f aca="false">IF(OR(C374=0,CFG_PeriodEnd=""),"",CFG_PeriodEnd-D374)</f>
        <v/>
      </c>
      <c r="J374" s="5" t="str">
        <f aca="false">IF(C374=0,"",IF($A374="Bank",IF(INDEX(Bank!$G:$G,$C374)="","",INDEX(Bank!$G:$G,$C374)),IF(INDEX(GL!$G:$G,$C374)="","",INDEX(GL!$G:$G,$C374))))</f>
        <v/>
      </c>
      <c r="K374" s="5" t="str">
        <f aca="false">IF(C374=0,"",IF($A374="Bank",IF(INDEX(Bank!$I:$I,$C374)="","",INDEX(Bank!$I:$I,$C374)),IF(INDEX(GL!$I:$I,$C374)="","",INDEX(GL!$I:$I,$C374))))</f>
        <v/>
      </c>
      <c r="L374" s="5" t="str">
        <f aca="false">IF(B374="","",IF(C374=0,"NOT FOUND",IF(IF($A374="Bank",INDEX(Bank!$F:$F,$C374),INDEX(GL!$F:$F,$C374))="Y","NOW RECONCILED: refresh","OK")))</f>
        <v/>
      </c>
    </row>
    <row r="375" customFormat="false" ht="15" hidden="false" customHeight="false" outlineLevel="0" collapsed="false">
      <c r="A375" s="41"/>
      <c r="B375" s="41"/>
      <c r="C375" s="5" t="n">
        <f aca="false">IF(B375="",0,IF(A375="Bank",IFERROR(MATCH(B375,Bank!$A:$A,0),0),IFERROR(MATCH(B375,GL!$A:$A,0),0)))</f>
        <v>0</v>
      </c>
      <c r="D375" s="32" t="str">
        <f aca="false">IF(C375=0,"",IF($A375="Bank",INDEX(Bank!$B:$B,$C375),INDEX(GL!$B:$B,$C375)))</f>
        <v/>
      </c>
      <c r="E375" s="5" t="str">
        <f aca="false">IF(C375=0,"",IF($A375="Bank",IF(INDEX(Bank!$C:$C,$C375)="","",INDEX(Bank!$C:$C,$C375)),IF(INDEX(GL!$C:$C,$C375)="","",INDEX(GL!$C:$C,$C375))))</f>
        <v/>
      </c>
      <c r="F375" s="5" t="str">
        <f aca="false">IF(C375=0,"",IF($A375="Bank",IF(INDEX(Bank!$D:$D,$C375)="","",INDEX(Bank!$D:$D,$C375)),IF(INDEX(GL!$D:$D,$C375)="","",INDEX(GL!$D:$D,$C375))))</f>
        <v/>
      </c>
      <c r="G375" s="19" t="str">
        <f aca="false">IF(C375=0,"",IF($A375="Bank",INDEX(Bank!$E:$E,$C375),INDEX(GL!$E:$E,$C375)))</f>
        <v/>
      </c>
      <c r="H375" s="5" t="str">
        <f aca="false">IF(C375=0,"",IF(A375="GL",IF(G375&gt;0,"Deposit in transit","Outstanding check / payment"),IF(G375&gt;0,"Bank credit not in GL","Bank debit not in GL")))</f>
        <v/>
      </c>
      <c r="I375" s="42" t="str">
        <f aca="false">IF(OR(C375=0,CFG_PeriodEnd=""),"",CFG_PeriodEnd-D375)</f>
        <v/>
      </c>
      <c r="J375" s="5" t="str">
        <f aca="false">IF(C375=0,"",IF($A375="Bank",IF(INDEX(Bank!$G:$G,$C375)="","",INDEX(Bank!$G:$G,$C375)),IF(INDEX(GL!$G:$G,$C375)="","",INDEX(GL!$G:$G,$C375))))</f>
        <v/>
      </c>
      <c r="K375" s="5" t="str">
        <f aca="false">IF(C375=0,"",IF($A375="Bank",IF(INDEX(Bank!$I:$I,$C375)="","",INDEX(Bank!$I:$I,$C375)),IF(INDEX(GL!$I:$I,$C375)="","",INDEX(GL!$I:$I,$C375))))</f>
        <v/>
      </c>
      <c r="L375" s="5" t="str">
        <f aca="false">IF(B375="","",IF(C375=0,"NOT FOUND",IF(IF($A375="Bank",INDEX(Bank!$F:$F,$C375),INDEX(GL!$F:$F,$C375))="Y","NOW RECONCILED: refresh","OK")))</f>
        <v/>
      </c>
    </row>
    <row r="376" customFormat="false" ht="15" hidden="false" customHeight="false" outlineLevel="0" collapsed="false">
      <c r="A376" s="41"/>
      <c r="B376" s="41"/>
      <c r="C376" s="5" t="n">
        <f aca="false">IF(B376="",0,IF(A376="Bank",IFERROR(MATCH(B376,Bank!$A:$A,0),0),IFERROR(MATCH(B376,GL!$A:$A,0),0)))</f>
        <v>0</v>
      </c>
      <c r="D376" s="32" t="str">
        <f aca="false">IF(C376=0,"",IF($A376="Bank",INDEX(Bank!$B:$B,$C376),INDEX(GL!$B:$B,$C376)))</f>
        <v/>
      </c>
      <c r="E376" s="5" t="str">
        <f aca="false">IF(C376=0,"",IF($A376="Bank",IF(INDEX(Bank!$C:$C,$C376)="","",INDEX(Bank!$C:$C,$C376)),IF(INDEX(GL!$C:$C,$C376)="","",INDEX(GL!$C:$C,$C376))))</f>
        <v/>
      </c>
      <c r="F376" s="5" t="str">
        <f aca="false">IF(C376=0,"",IF($A376="Bank",IF(INDEX(Bank!$D:$D,$C376)="","",INDEX(Bank!$D:$D,$C376)),IF(INDEX(GL!$D:$D,$C376)="","",INDEX(GL!$D:$D,$C376))))</f>
        <v/>
      </c>
      <c r="G376" s="19" t="str">
        <f aca="false">IF(C376=0,"",IF($A376="Bank",INDEX(Bank!$E:$E,$C376),INDEX(GL!$E:$E,$C376)))</f>
        <v/>
      </c>
      <c r="H376" s="5" t="str">
        <f aca="false">IF(C376=0,"",IF(A376="GL",IF(G376&gt;0,"Deposit in transit","Outstanding check / payment"),IF(G376&gt;0,"Bank credit not in GL","Bank debit not in GL")))</f>
        <v/>
      </c>
      <c r="I376" s="42" t="str">
        <f aca="false">IF(OR(C376=0,CFG_PeriodEnd=""),"",CFG_PeriodEnd-D376)</f>
        <v/>
      </c>
      <c r="J376" s="5" t="str">
        <f aca="false">IF(C376=0,"",IF($A376="Bank",IF(INDEX(Bank!$G:$G,$C376)="","",INDEX(Bank!$G:$G,$C376)),IF(INDEX(GL!$G:$G,$C376)="","",INDEX(GL!$G:$G,$C376))))</f>
        <v/>
      </c>
      <c r="K376" s="5" t="str">
        <f aca="false">IF(C376=0,"",IF($A376="Bank",IF(INDEX(Bank!$I:$I,$C376)="","",INDEX(Bank!$I:$I,$C376)),IF(INDEX(GL!$I:$I,$C376)="","",INDEX(GL!$I:$I,$C376))))</f>
        <v/>
      </c>
      <c r="L376" s="5" t="str">
        <f aca="false">IF(B376="","",IF(C376=0,"NOT FOUND",IF(IF($A376="Bank",INDEX(Bank!$F:$F,$C376),INDEX(GL!$F:$F,$C376))="Y","NOW RECONCILED: refresh","OK")))</f>
        <v/>
      </c>
    </row>
    <row r="377" customFormat="false" ht="15" hidden="false" customHeight="false" outlineLevel="0" collapsed="false">
      <c r="A377" s="41"/>
      <c r="B377" s="41"/>
      <c r="C377" s="5" t="n">
        <f aca="false">IF(B377="",0,IF(A377="Bank",IFERROR(MATCH(B377,Bank!$A:$A,0),0),IFERROR(MATCH(B377,GL!$A:$A,0),0)))</f>
        <v>0</v>
      </c>
      <c r="D377" s="32" t="str">
        <f aca="false">IF(C377=0,"",IF($A377="Bank",INDEX(Bank!$B:$B,$C377),INDEX(GL!$B:$B,$C377)))</f>
        <v/>
      </c>
      <c r="E377" s="5" t="str">
        <f aca="false">IF(C377=0,"",IF($A377="Bank",IF(INDEX(Bank!$C:$C,$C377)="","",INDEX(Bank!$C:$C,$C377)),IF(INDEX(GL!$C:$C,$C377)="","",INDEX(GL!$C:$C,$C377))))</f>
        <v/>
      </c>
      <c r="F377" s="5" t="str">
        <f aca="false">IF(C377=0,"",IF($A377="Bank",IF(INDEX(Bank!$D:$D,$C377)="","",INDEX(Bank!$D:$D,$C377)),IF(INDEX(GL!$D:$D,$C377)="","",INDEX(GL!$D:$D,$C377))))</f>
        <v/>
      </c>
      <c r="G377" s="19" t="str">
        <f aca="false">IF(C377=0,"",IF($A377="Bank",INDEX(Bank!$E:$E,$C377),INDEX(GL!$E:$E,$C377)))</f>
        <v/>
      </c>
      <c r="H377" s="5" t="str">
        <f aca="false">IF(C377=0,"",IF(A377="GL",IF(G377&gt;0,"Deposit in transit","Outstanding check / payment"),IF(G377&gt;0,"Bank credit not in GL","Bank debit not in GL")))</f>
        <v/>
      </c>
      <c r="I377" s="42" t="str">
        <f aca="false">IF(OR(C377=0,CFG_PeriodEnd=""),"",CFG_PeriodEnd-D377)</f>
        <v/>
      </c>
      <c r="J377" s="5" t="str">
        <f aca="false">IF(C377=0,"",IF($A377="Bank",IF(INDEX(Bank!$G:$G,$C377)="","",INDEX(Bank!$G:$G,$C377)),IF(INDEX(GL!$G:$G,$C377)="","",INDEX(GL!$G:$G,$C377))))</f>
        <v/>
      </c>
      <c r="K377" s="5" t="str">
        <f aca="false">IF(C377=0,"",IF($A377="Bank",IF(INDEX(Bank!$I:$I,$C377)="","",INDEX(Bank!$I:$I,$C377)),IF(INDEX(GL!$I:$I,$C377)="","",INDEX(GL!$I:$I,$C377))))</f>
        <v/>
      </c>
      <c r="L377" s="5" t="str">
        <f aca="false">IF(B377="","",IF(C377=0,"NOT FOUND",IF(IF($A377="Bank",INDEX(Bank!$F:$F,$C377),INDEX(GL!$F:$F,$C377))="Y","NOW RECONCILED: refresh","OK")))</f>
        <v/>
      </c>
    </row>
    <row r="378" customFormat="false" ht="15" hidden="false" customHeight="false" outlineLevel="0" collapsed="false">
      <c r="A378" s="41"/>
      <c r="B378" s="41"/>
      <c r="C378" s="5" t="n">
        <f aca="false">IF(B378="",0,IF(A378="Bank",IFERROR(MATCH(B378,Bank!$A:$A,0),0),IFERROR(MATCH(B378,GL!$A:$A,0),0)))</f>
        <v>0</v>
      </c>
      <c r="D378" s="32" t="str">
        <f aca="false">IF(C378=0,"",IF($A378="Bank",INDEX(Bank!$B:$B,$C378),INDEX(GL!$B:$B,$C378)))</f>
        <v/>
      </c>
      <c r="E378" s="5" t="str">
        <f aca="false">IF(C378=0,"",IF($A378="Bank",IF(INDEX(Bank!$C:$C,$C378)="","",INDEX(Bank!$C:$C,$C378)),IF(INDEX(GL!$C:$C,$C378)="","",INDEX(GL!$C:$C,$C378))))</f>
        <v/>
      </c>
      <c r="F378" s="5" t="str">
        <f aca="false">IF(C378=0,"",IF($A378="Bank",IF(INDEX(Bank!$D:$D,$C378)="","",INDEX(Bank!$D:$D,$C378)),IF(INDEX(GL!$D:$D,$C378)="","",INDEX(GL!$D:$D,$C378))))</f>
        <v/>
      </c>
      <c r="G378" s="19" t="str">
        <f aca="false">IF(C378=0,"",IF($A378="Bank",INDEX(Bank!$E:$E,$C378),INDEX(GL!$E:$E,$C378)))</f>
        <v/>
      </c>
      <c r="H378" s="5" t="str">
        <f aca="false">IF(C378=0,"",IF(A378="GL",IF(G378&gt;0,"Deposit in transit","Outstanding check / payment"),IF(G378&gt;0,"Bank credit not in GL","Bank debit not in GL")))</f>
        <v/>
      </c>
      <c r="I378" s="42" t="str">
        <f aca="false">IF(OR(C378=0,CFG_PeriodEnd=""),"",CFG_PeriodEnd-D378)</f>
        <v/>
      </c>
      <c r="J378" s="5" t="str">
        <f aca="false">IF(C378=0,"",IF($A378="Bank",IF(INDEX(Bank!$G:$G,$C378)="","",INDEX(Bank!$G:$G,$C378)),IF(INDEX(GL!$G:$G,$C378)="","",INDEX(GL!$G:$G,$C378))))</f>
        <v/>
      </c>
      <c r="K378" s="5" t="str">
        <f aca="false">IF(C378=0,"",IF($A378="Bank",IF(INDEX(Bank!$I:$I,$C378)="","",INDEX(Bank!$I:$I,$C378)),IF(INDEX(GL!$I:$I,$C378)="","",INDEX(GL!$I:$I,$C378))))</f>
        <v/>
      </c>
      <c r="L378" s="5" t="str">
        <f aca="false">IF(B378="","",IF(C378=0,"NOT FOUND",IF(IF($A378="Bank",INDEX(Bank!$F:$F,$C378),INDEX(GL!$F:$F,$C378))="Y","NOW RECONCILED: refresh","OK")))</f>
        <v/>
      </c>
    </row>
    <row r="379" customFormat="false" ht="15" hidden="false" customHeight="false" outlineLevel="0" collapsed="false">
      <c r="A379" s="41"/>
      <c r="B379" s="41"/>
      <c r="C379" s="5" t="n">
        <f aca="false">IF(B379="",0,IF(A379="Bank",IFERROR(MATCH(B379,Bank!$A:$A,0),0),IFERROR(MATCH(B379,GL!$A:$A,0),0)))</f>
        <v>0</v>
      </c>
      <c r="D379" s="32" t="str">
        <f aca="false">IF(C379=0,"",IF($A379="Bank",INDEX(Bank!$B:$B,$C379),INDEX(GL!$B:$B,$C379)))</f>
        <v/>
      </c>
      <c r="E379" s="5" t="str">
        <f aca="false">IF(C379=0,"",IF($A379="Bank",IF(INDEX(Bank!$C:$C,$C379)="","",INDEX(Bank!$C:$C,$C379)),IF(INDEX(GL!$C:$C,$C379)="","",INDEX(GL!$C:$C,$C379))))</f>
        <v/>
      </c>
      <c r="F379" s="5" t="str">
        <f aca="false">IF(C379=0,"",IF($A379="Bank",IF(INDEX(Bank!$D:$D,$C379)="","",INDEX(Bank!$D:$D,$C379)),IF(INDEX(GL!$D:$D,$C379)="","",INDEX(GL!$D:$D,$C379))))</f>
        <v/>
      </c>
      <c r="G379" s="19" t="str">
        <f aca="false">IF(C379=0,"",IF($A379="Bank",INDEX(Bank!$E:$E,$C379),INDEX(GL!$E:$E,$C379)))</f>
        <v/>
      </c>
      <c r="H379" s="5" t="str">
        <f aca="false">IF(C379=0,"",IF(A379="GL",IF(G379&gt;0,"Deposit in transit","Outstanding check / payment"),IF(G379&gt;0,"Bank credit not in GL","Bank debit not in GL")))</f>
        <v/>
      </c>
      <c r="I379" s="42" t="str">
        <f aca="false">IF(OR(C379=0,CFG_PeriodEnd=""),"",CFG_PeriodEnd-D379)</f>
        <v/>
      </c>
      <c r="J379" s="5" t="str">
        <f aca="false">IF(C379=0,"",IF($A379="Bank",IF(INDEX(Bank!$G:$G,$C379)="","",INDEX(Bank!$G:$G,$C379)),IF(INDEX(GL!$G:$G,$C379)="","",INDEX(GL!$G:$G,$C379))))</f>
        <v/>
      </c>
      <c r="K379" s="5" t="str">
        <f aca="false">IF(C379=0,"",IF($A379="Bank",IF(INDEX(Bank!$I:$I,$C379)="","",INDEX(Bank!$I:$I,$C379)),IF(INDEX(GL!$I:$I,$C379)="","",INDEX(GL!$I:$I,$C379))))</f>
        <v/>
      </c>
      <c r="L379" s="5" t="str">
        <f aca="false">IF(B379="","",IF(C379=0,"NOT FOUND",IF(IF($A379="Bank",INDEX(Bank!$F:$F,$C379),INDEX(GL!$F:$F,$C379))="Y","NOW RECONCILED: refresh","OK")))</f>
        <v/>
      </c>
    </row>
    <row r="380" customFormat="false" ht="15" hidden="false" customHeight="false" outlineLevel="0" collapsed="false">
      <c r="A380" s="41"/>
      <c r="B380" s="41"/>
      <c r="C380" s="5" t="n">
        <f aca="false">IF(B380="",0,IF(A380="Bank",IFERROR(MATCH(B380,Bank!$A:$A,0),0),IFERROR(MATCH(B380,GL!$A:$A,0),0)))</f>
        <v>0</v>
      </c>
      <c r="D380" s="32" t="str">
        <f aca="false">IF(C380=0,"",IF($A380="Bank",INDEX(Bank!$B:$B,$C380),INDEX(GL!$B:$B,$C380)))</f>
        <v/>
      </c>
      <c r="E380" s="5" t="str">
        <f aca="false">IF(C380=0,"",IF($A380="Bank",IF(INDEX(Bank!$C:$C,$C380)="","",INDEX(Bank!$C:$C,$C380)),IF(INDEX(GL!$C:$C,$C380)="","",INDEX(GL!$C:$C,$C380))))</f>
        <v/>
      </c>
      <c r="F380" s="5" t="str">
        <f aca="false">IF(C380=0,"",IF($A380="Bank",IF(INDEX(Bank!$D:$D,$C380)="","",INDEX(Bank!$D:$D,$C380)),IF(INDEX(GL!$D:$D,$C380)="","",INDEX(GL!$D:$D,$C380))))</f>
        <v/>
      </c>
      <c r="G380" s="19" t="str">
        <f aca="false">IF(C380=0,"",IF($A380="Bank",INDEX(Bank!$E:$E,$C380),INDEX(GL!$E:$E,$C380)))</f>
        <v/>
      </c>
      <c r="H380" s="5" t="str">
        <f aca="false">IF(C380=0,"",IF(A380="GL",IF(G380&gt;0,"Deposit in transit","Outstanding check / payment"),IF(G380&gt;0,"Bank credit not in GL","Bank debit not in GL")))</f>
        <v/>
      </c>
      <c r="I380" s="42" t="str">
        <f aca="false">IF(OR(C380=0,CFG_PeriodEnd=""),"",CFG_PeriodEnd-D380)</f>
        <v/>
      </c>
      <c r="J380" s="5" t="str">
        <f aca="false">IF(C380=0,"",IF($A380="Bank",IF(INDEX(Bank!$G:$G,$C380)="","",INDEX(Bank!$G:$G,$C380)),IF(INDEX(GL!$G:$G,$C380)="","",INDEX(GL!$G:$G,$C380))))</f>
        <v/>
      </c>
      <c r="K380" s="5" t="str">
        <f aca="false">IF(C380=0,"",IF($A380="Bank",IF(INDEX(Bank!$I:$I,$C380)="","",INDEX(Bank!$I:$I,$C380)),IF(INDEX(GL!$I:$I,$C380)="","",INDEX(GL!$I:$I,$C380))))</f>
        <v/>
      </c>
      <c r="L380" s="5" t="str">
        <f aca="false">IF(B380="","",IF(C380=0,"NOT FOUND",IF(IF($A380="Bank",INDEX(Bank!$F:$F,$C380),INDEX(GL!$F:$F,$C380))="Y","NOW RECONCILED: refresh","OK")))</f>
        <v/>
      </c>
    </row>
    <row r="381" customFormat="false" ht="15" hidden="false" customHeight="false" outlineLevel="0" collapsed="false">
      <c r="A381" s="41"/>
      <c r="B381" s="41"/>
      <c r="C381" s="5" t="n">
        <f aca="false">IF(B381="",0,IF(A381="Bank",IFERROR(MATCH(B381,Bank!$A:$A,0),0),IFERROR(MATCH(B381,GL!$A:$A,0),0)))</f>
        <v>0</v>
      </c>
      <c r="D381" s="32" t="str">
        <f aca="false">IF(C381=0,"",IF($A381="Bank",INDEX(Bank!$B:$B,$C381),INDEX(GL!$B:$B,$C381)))</f>
        <v/>
      </c>
      <c r="E381" s="5" t="str">
        <f aca="false">IF(C381=0,"",IF($A381="Bank",IF(INDEX(Bank!$C:$C,$C381)="","",INDEX(Bank!$C:$C,$C381)),IF(INDEX(GL!$C:$C,$C381)="","",INDEX(GL!$C:$C,$C381))))</f>
        <v/>
      </c>
      <c r="F381" s="5" t="str">
        <f aca="false">IF(C381=0,"",IF($A381="Bank",IF(INDEX(Bank!$D:$D,$C381)="","",INDEX(Bank!$D:$D,$C381)),IF(INDEX(GL!$D:$D,$C381)="","",INDEX(GL!$D:$D,$C381))))</f>
        <v/>
      </c>
      <c r="G381" s="19" t="str">
        <f aca="false">IF(C381=0,"",IF($A381="Bank",INDEX(Bank!$E:$E,$C381),INDEX(GL!$E:$E,$C381)))</f>
        <v/>
      </c>
      <c r="H381" s="5" t="str">
        <f aca="false">IF(C381=0,"",IF(A381="GL",IF(G381&gt;0,"Deposit in transit","Outstanding check / payment"),IF(G381&gt;0,"Bank credit not in GL","Bank debit not in GL")))</f>
        <v/>
      </c>
      <c r="I381" s="42" t="str">
        <f aca="false">IF(OR(C381=0,CFG_PeriodEnd=""),"",CFG_PeriodEnd-D381)</f>
        <v/>
      </c>
      <c r="J381" s="5" t="str">
        <f aca="false">IF(C381=0,"",IF($A381="Bank",IF(INDEX(Bank!$G:$G,$C381)="","",INDEX(Bank!$G:$G,$C381)),IF(INDEX(GL!$G:$G,$C381)="","",INDEX(GL!$G:$G,$C381))))</f>
        <v/>
      </c>
      <c r="K381" s="5" t="str">
        <f aca="false">IF(C381=0,"",IF($A381="Bank",IF(INDEX(Bank!$I:$I,$C381)="","",INDEX(Bank!$I:$I,$C381)),IF(INDEX(GL!$I:$I,$C381)="","",INDEX(GL!$I:$I,$C381))))</f>
        <v/>
      </c>
      <c r="L381" s="5" t="str">
        <f aca="false">IF(B381="","",IF(C381=0,"NOT FOUND",IF(IF($A381="Bank",INDEX(Bank!$F:$F,$C381),INDEX(GL!$F:$F,$C381))="Y","NOW RECONCILED: refresh","OK")))</f>
        <v/>
      </c>
    </row>
    <row r="382" customFormat="false" ht="15" hidden="false" customHeight="false" outlineLevel="0" collapsed="false">
      <c r="A382" s="41"/>
      <c r="B382" s="41"/>
      <c r="C382" s="5" t="n">
        <f aca="false">IF(B382="",0,IF(A382="Bank",IFERROR(MATCH(B382,Bank!$A:$A,0),0),IFERROR(MATCH(B382,GL!$A:$A,0),0)))</f>
        <v>0</v>
      </c>
      <c r="D382" s="32" t="str">
        <f aca="false">IF(C382=0,"",IF($A382="Bank",INDEX(Bank!$B:$B,$C382),INDEX(GL!$B:$B,$C382)))</f>
        <v/>
      </c>
      <c r="E382" s="5" t="str">
        <f aca="false">IF(C382=0,"",IF($A382="Bank",IF(INDEX(Bank!$C:$C,$C382)="","",INDEX(Bank!$C:$C,$C382)),IF(INDEX(GL!$C:$C,$C382)="","",INDEX(GL!$C:$C,$C382))))</f>
        <v/>
      </c>
      <c r="F382" s="5" t="str">
        <f aca="false">IF(C382=0,"",IF($A382="Bank",IF(INDEX(Bank!$D:$D,$C382)="","",INDEX(Bank!$D:$D,$C382)),IF(INDEX(GL!$D:$D,$C382)="","",INDEX(GL!$D:$D,$C382))))</f>
        <v/>
      </c>
      <c r="G382" s="19" t="str">
        <f aca="false">IF(C382=0,"",IF($A382="Bank",INDEX(Bank!$E:$E,$C382),INDEX(GL!$E:$E,$C382)))</f>
        <v/>
      </c>
      <c r="H382" s="5" t="str">
        <f aca="false">IF(C382=0,"",IF(A382="GL",IF(G382&gt;0,"Deposit in transit","Outstanding check / payment"),IF(G382&gt;0,"Bank credit not in GL","Bank debit not in GL")))</f>
        <v/>
      </c>
      <c r="I382" s="42" t="str">
        <f aca="false">IF(OR(C382=0,CFG_PeriodEnd=""),"",CFG_PeriodEnd-D382)</f>
        <v/>
      </c>
      <c r="J382" s="5" t="str">
        <f aca="false">IF(C382=0,"",IF($A382="Bank",IF(INDEX(Bank!$G:$G,$C382)="","",INDEX(Bank!$G:$G,$C382)),IF(INDEX(GL!$G:$G,$C382)="","",INDEX(GL!$G:$G,$C382))))</f>
        <v/>
      </c>
      <c r="K382" s="5" t="str">
        <f aca="false">IF(C382=0,"",IF($A382="Bank",IF(INDEX(Bank!$I:$I,$C382)="","",INDEX(Bank!$I:$I,$C382)),IF(INDEX(GL!$I:$I,$C382)="","",INDEX(GL!$I:$I,$C382))))</f>
        <v/>
      </c>
      <c r="L382" s="5" t="str">
        <f aca="false">IF(B382="","",IF(C382=0,"NOT FOUND",IF(IF($A382="Bank",INDEX(Bank!$F:$F,$C382),INDEX(GL!$F:$F,$C382))="Y","NOW RECONCILED: refresh","OK")))</f>
        <v/>
      </c>
    </row>
    <row r="383" customFormat="false" ht="15" hidden="false" customHeight="false" outlineLevel="0" collapsed="false">
      <c r="A383" s="41"/>
      <c r="B383" s="41"/>
      <c r="C383" s="5" t="n">
        <f aca="false">IF(B383="",0,IF(A383="Bank",IFERROR(MATCH(B383,Bank!$A:$A,0),0),IFERROR(MATCH(B383,GL!$A:$A,0),0)))</f>
        <v>0</v>
      </c>
      <c r="D383" s="32" t="str">
        <f aca="false">IF(C383=0,"",IF($A383="Bank",INDEX(Bank!$B:$B,$C383),INDEX(GL!$B:$B,$C383)))</f>
        <v/>
      </c>
      <c r="E383" s="5" t="str">
        <f aca="false">IF(C383=0,"",IF($A383="Bank",IF(INDEX(Bank!$C:$C,$C383)="","",INDEX(Bank!$C:$C,$C383)),IF(INDEX(GL!$C:$C,$C383)="","",INDEX(GL!$C:$C,$C383))))</f>
        <v/>
      </c>
      <c r="F383" s="5" t="str">
        <f aca="false">IF(C383=0,"",IF($A383="Bank",IF(INDEX(Bank!$D:$D,$C383)="","",INDEX(Bank!$D:$D,$C383)),IF(INDEX(GL!$D:$D,$C383)="","",INDEX(GL!$D:$D,$C383))))</f>
        <v/>
      </c>
      <c r="G383" s="19" t="str">
        <f aca="false">IF(C383=0,"",IF($A383="Bank",INDEX(Bank!$E:$E,$C383),INDEX(GL!$E:$E,$C383)))</f>
        <v/>
      </c>
      <c r="H383" s="5" t="str">
        <f aca="false">IF(C383=0,"",IF(A383="GL",IF(G383&gt;0,"Deposit in transit","Outstanding check / payment"),IF(G383&gt;0,"Bank credit not in GL","Bank debit not in GL")))</f>
        <v/>
      </c>
      <c r="I383" s="42" t="str">
        <f aca="false">IF(OR(C383=0,CFG_PeriodEnd=""),"",CFG_PeriodEnd-D383)</f>
        <v/>
      </c>
      <c r="J383" s="5" t="str">
        <f aca="false">IF(C383=0,"",IF($A383="Bank",IF(INDEX(Bank!$G:$G,$C383)="","",INDEX(Bank!$G:$G,$C383)),IF(INDEX(GL!$G:$G,$C383)="","",INDEX(GL!$G:$G,$C383))))</f>
        <v/>
      </c>
      <c r="K383" s="5" t="str">
        <f aca="false">IF(C383=0,"",IF($A383="Bank",IF(INDEX(Bank!$I:$I,$C383)="","",INDEX(Bank!$I:$I,$C383)),IF(INDEX(GL!$I:$I,$C383)="","",INDEX(GL!$I:$I,$C383))))</f>
        <v/>
      </c>
      <c r="L383" s="5" t="str">
        <f aca="false">IF(B383="","",IF(C383=0,"NOT FOUND",IF(IF($A383="Bank",INDEX(Bank!$F:$F,$C383),INDEX(GL!$F:$F,$C383))="Y","NOW RECONCILED: refresh","OK")))</f>
        <v/>
      </c>
    </row>
    <row r="384" customFormat="false" ht="15" hidden="false" customHeight="false" outlineLevel="0" collapsed="false">
      <c r="A384" s="41"/>
      <c r="B384" s="41"/>
      <c r="C384" s="5" t="n">
        <f aca="false">IF(B384="",0,IF(A384="Bank",IFERROR(MATCH(B384,Bank!$A:$A,0),0),IFERROR(MATCH(B384,GL!$A:$A,0),0)))</f>
        <v>0</v>
      </c>
      <c r="D384" s="32" t="str">
        <f aca="false">IF(C384=0,"",IF($A384="Bank",INDEX(Bank!$B:$B,$C384),INDEX(GL!$B:$B,$C384)))</f>
        <v/>
      </c>
      <c r="E384" s="5" t="str">
        <f aca="false">IF(C384=0,"",IF($A384="Bank",IF(INDEX(Bank!$C:$C,$C384)="","",INDEX(Bank!$C:$C,$C384)),IF(INDEX(GL!$C:$C,$C384)="","",INDEX(GL!$C:$C,$C384))))</f>
        <v/>
      </c>
      <c r="F384" s="5" t="str">
        <f aca="false">IF(C384=0,"",IF($A384="Bank",IF(INDEX(Bank!$D:$D,$C384)="","",INDEX(Bank!$D:$D,$C384)),IF(INDEX(GL!$D:$D,$C384)="","",INDEX(GL!$D:$D,$C384))))</f>
        <v/>
      </c>
      <c r="G384" s="19" t="str">
        <f aca="false">IF(C384=0,"",IF($A384="Bank",INDEX(Bank!$E:$E,$C384),INDEX(GL!$E:$E,$C384)))</f>
        <v/>
      </c>
      <c r="H384" s="5" t="str">
        <f aca="false">IF(C384=0,"",IF(A384="GL",IF(G384&gt;0,"Deposit in transit","Outstanding check / payment"),IF(G384&gt;0,"Bank credit not in GL","Bank debit not in GL")))</f>
        <v/>
      </c>
      <c r="I384" s="42" t="str">
        <f aca="false">IF(OR(C384=0,CFG_PeriodEnd=""),"",CFG_PeriodEnd-D384)</f>
        <v/>
      </c>
      <c r="J384" s="5" t="str">
        <f aca="false">IF(C384=0,"",IF($A384="Bank",IF(INDEX(Bank!$G:$G,$C384)="","",INDEX(Bank!$G:$G,$C384)),IF(INDEX(GL!$G:$G,$C384)="","",INDEX(GL!$G:$G,$C384))))</f>
        <v/>
      </c>
      <c r="K384" s="5" t="str">
        <f aca="false">IF(C384=0,"",IF($A384="Bank",IF(INDEX(Bank!$I:$I,$C384)="","",INDEX(Bank!$I:$I,$C384)),IF(INDEX(GL!$I:$I,$C384)="","",INDEX(GL!$I:$I,$C384))))</f>
        <v/>
      </c>
      <c r="L384" s="5" t="str">
        <f aca="false">IF(B384="","",IF(C384=0,"NOT FOUND",IF(IF($A384="Bank",INDEX(Bank!$F:$F,$C384),INDEX(GL!$F:$F,$C384))="Y","NOW RECONCILED: refresh","OK")))</f>
        <v/>
      </c>
    </row>
    <row r="385" customFormat="false" ht="15" hidden="false" customHeight="false" outlineLevel="0" collapsed="false">
      <c r="A385" s="41"/>
      <c r="B385" s="41"/>
      <c r="C385" s="5" t="n">
        <f aca="false">IF(B385="",0,IF(A385="Bank",IFERROR(MATCH(B385,Bank!$A:$A,0),0),IFERROR(MATCH(B385,GL!$A:$A,0),0)))</f>
        <v>0</v>
      </c>
      <c r="D385" s="32" t="str">
        <f aca="false">IF(C385=0,"",IF($A385="Bank",INDEX(Bank!$B:$B,$C385),INDEX(GL!$B:$B,$C385)))</f>
        <v/>
      </c>
      <c r="E385" s="5" t="str">
        <f aca="false">IF(C385=0,"",IF($A385="Bank",IF(INDEX(Bank!$C:$C,$C385)="","",INDEX(Bank!$C:$C,$C385)),IF(INDEX(GL!$C:$C,$C385)="","",INDEX(GL!$C:$C,$C385))))</f>
        <v/>
      </c>
      <c r="F385" s="5" t="str">
        <f aca="false">IF(C385=0,"",IF($A385="Bank",IF(INDEX(Bank!$D:$D,$C385)="","",INDEX(Bank!$D:$D,$C385)),IF(INDEX(GL!$D:$D,$C385)="","",INDEX(GL!$D:$D,$C385))))</f>
        <v/>
      </c>
      <c r="G385" s="19" t="str">
        <f aca="false">IF(C385=0,"",IF($A385="Bank",INDEX(Bank!$E:$E,$C385),INDEX(GL!$E:$E,$C385)))</f>
        <v/>
      </c>
      <c r="H385" s="5" t="str">
        <f aca="false">IF(C385=0,"",IF(A385="GL",IF(G385&gt;0,"Deposit in transit","Outstanding check / payment"),IF(G385&gt;0,"Bank credit not in GL","Bank debit not in GL")))</f>
        <v/>
      </c>
      <c r="I385" s="42" t="str">
        <f aca="false">IF(OR(C385=0,CFG_PeriodEnd=""),"",CFG_PeriodEnd-D385)</f>
        <v/>
      </c>
      <c r="J385" s="5" t="str">
        <f aca="false">IF(C385=0,"",IF($A385="Bank",IF(INDEX(Bank!$G:$G,$C385)="","",INDEX(Bank!$G:$G,$C385)),IF(INDEX(GL!$G:$G,$C385)="","",INDEX(GL!$G:$G,$C385))))</f>
        <v/>
      </c>
      <c r="K385" s="5" t="str">
        <f aca="false">IF(C385=0,"",IF($A385="Bank",IF(INDEX(Bank!$I:$I,$C385)="","",INDEX(Bank!$I:$I,$C385)),IF(INDEX(GL!$I:$I,$C385)="","",INDEX(GL!$I:$I,$C385))))</f>
        <v/>
      </c>
      <c r="L385" s="5" t="str">
        <f aca="false">IF(B385="","",IF(C385=0,"NOT FOUND",IF(IF($A385="Bank",INDEX(Bank!$F:$F,$C385),INDEX(GL!$F:$F,$C385))="Y","NOW RECONCILED: refresh","OK")))</f>
        <v/>
      </c>
    </row>
    <row r="386" customFormat="false" ht="15" hidden="false" customHeight="false" outlineLevel="0" collapsed="false">
      <c r="A386" s="41"/>
      <c r="B386" s="41"/>
      <c r="C386" s="5" t="n">
        <f aca="false">IF(B386="",0,IF(A386="Bank",IFERROR(MATCH(B386,Bank!$A:$A,0),0),IFERROR(MATCH(B386,GL!$A:$A,0),0)))</f>
        <v>0</v>
      </c>
      <c r="D386" s="32" t="str">
        <f aca="false">IF(C386=0,"",IF($A386="Bank",INDEX(Bank!$B:$B,$C386),INDEX(GL!$B:$B,$C386)))</f>
        <v/>
      </c>
      <c r="E386" s="5" t="str">
        <f aca="false">IF(C386=0,"",IF($A386="Bank",IF(INDEX(Bank!$C:$C,$C386)="","",INDEX(Bank!$C:$C,$C386)),IF(INDEX(GL!$C:$C,$C386)="","",INDEX(GL!$C:$C,$C386))))</f>
        <v/>
      </c>
      <c r="F386" s="5" t="str">
        <f aca="false">IF(C386=0,"",IF($A386="Bank",IF(INDEX(Bank!$D:$D,$C386)="","",INDEX(Bank!$D:$D,$C386)),IF(INDEX(GL!$D:$D,$C386)="","",INDEX(GL!$D:$D,$C386))))</f>
        <v/>
      </c>
      <c r="G386" s="19" t="str">
        <f aca="false">IF(C386=0,"",IF($A386="Bank",INDEX(Bank!$E:$E,$C386),INDEX(GL!$E:$E,$C386)))</f>
        <v/>
      </c>
      <c r="H386" s="5" t="str">
        <f aca="false">IF(C386=0,"",IF(A386="GL",IF(G386&gt;0,"Deposit in transit","Outstanding check / payment"),IF(G386&gt;0,"Bank credit not in GL","Bank debit not in GL")))</f>
        <v/>
      </c>
      <c r="I386" s="42" t="str">
        <f aca="false">IF(OR(C386=0,CFG_PeriodEnd=""),"",CFG_PeriodEnd-D386)</f>
        <v/>
      </c>
      <c r="J386" s="5" t="str">
        <f aca="false">IF(C386=0,"",IF($A386="Bank",IF(INDEX(Bank!$G:$G,$C386)="","",INDEX(Bank!$G:$G,$C386)),IF(INDEX(GL!$G:$G,$C386)="","",INDEX(GL!$G:$G,$C386))))</f>
        <v/>
      </c>
      <c r="K386" s="5" t="str">
        <f aca="false">IF(C386=0,"",IF($A386="Bank",IF(INDEX(Bank!$I:$I,$C386)="","",INDEX(Bank!$I:$I,$C386)),IF(INDEX(GL!$I:$I,$C386)="","",INDEX(GL!$I:$I,$C386))))</f>
        <v/>
      </c>
      <c r="L386" s="5" t="str">
        <f aca="false">IF(B386="","",IF(C386=0,"NOT FOUND",IF(IF($A386="Bank",INDEX(Bank!$F:$F,$C386),INDEX(GL!$F:$F,$C386))="Y","NOW RECONCILED: refresh","OK")))</f>
        <v/>
      </c>
    </row>
    <row r="387" customFormat="false" ht="15" hidden="false" customHeight="false" outlineLevel="0" collapsed="false">
      <c r="A387" s="41"/>
      <c r="B387" s="41"/>
      <c r="C387" s="5" t="n">
        <f aca="false">IF(B387="",0,IF(A387="Bank",IFERROR(MATCH(B387,Bank!$A:$A,0),0),IFERROR(MATCH(B387,GL!$A:$A,0),0)))</f>
        <v>0</v>
      </c>
      <c r="D387" s="32" t="str">
        <f aca="false">IF(C387=0,"",IF($A387="Bank",INDEX(Bank!$B:$B,$C387),INDEX(GL!$B:$B,$C387)))</f>
        <v/>
      </c>
      <c r="E387" s="5" t="str">
        <f aca="false">IF(C387=0,"",IF($A387="Bank",IF(INDEX(Bank!$C:$C,$C387)="","",INDEX(Bank!$C:$C,$C387)),IF(INDEX(GL!$C:$C,$C387)="","",INDEX(GL!$C:$C,$C387))))</f>
        <v/>
      </c>
      <c r="F387" s="5" t="str">
        <f aca="false">IF(C387=0,"",IF($A387="Bank",IF(INDEX(Bank!$D:$D,$C387)="","",INDEX(Bank!$D:$D,$C387)),IF(INDEX(GL!$D:$D,$C387)="","",INDEX(GL!$D:$D,$C387))))</f>
        <v/>
      </c>
      <c r="G387" s="19" t="str">
        <f aca="false">IF(C387=0,"",IF($A387="Bank",INDEX(Bank!$E:$E,$C387),INDEX(GL!$E:$E,$C387)))</f>
        <v/>
      </c>
      <c r="H387" s="5" t="str">
        <f aca="false">IF(C387=0,"",IF(A387="GL",IF(G387&gt;0,"Deposit in transit","Outstanding check / payment"),IF(G387&gt;0,"Bank credit not in GL","Bank debit not in GL")))</f>
        <v/>
      </c>
      <c r="I387" s="42" t="str">
        <f aca="false">IF(OR(C387=0,CFG_PeriodEnd=""),"",CFG_PeriodEnd-D387)</f>
        <v/>
      </c>
      <c r="J387" s="5" t="str">
        <f aca="false">IF(C387=0,"",IF($A387="Bank",IF(INDEX(Bank!$G:$G,$C387)="","",INDEX(Bank!$G:$G,$C387)),IF(INDEX(GL!$G:$G,$C387)="","",INDEX(GL!$G:$G,$C387))))</f>
        <v/>
      </c>
      <c r="K387" s="5" t="str">
        <f aca="false">IF(C387=0,"",IF($A387="Bank",IF(INDEX(Bank!$I:$I,$C387)="","",INDEX(Bank!$I:$I,$C387)),IF(INDEX(GL!$I:$I,$C387)="","",INDEX(GL!$I:$I,$C387))))</f>
        <v/>
      </c>
      <c r="L387" s="5" t="str">
        <f aca="false">IF(B387="","",IF(C387=0,"NOT FOUND",IF(IF($A387="Bank",INDEX(Bank!$F:$F,$C387),INDEX(GL!$F:$F,$C387))="Y","NOW RECONCILED: refresh","OK")))</f>
        <v/>
      </c>
    </row>
    <row r="388" customFormat="false" ht="15" hidden="false" customHeight="false" outlineLevel="0" collapsed="false">
      <c r="A388" s="41"/>
      <c r="B388" s="41"/>
      <c r="C388" s="5" t="n">
        <f aca="false">IF(B388="",0,IF(A388="Bank",IFERROR(MATCH(B388,Bank!$A:$A,0),0),IFERROR(MATCH(B388,GL!$A:$A,0),0)))</f>
        <v>0</v>
      </c>
      <c r="D388" s="32" t="str">
        <f aca="false">IF(C388=0,"",IF($A388="Bank",INDEX(Bank!$B:$B,$C388),INDEX(GL!$B:$B,$C388)))</f>
        <v/>
      </c>
      <c r="E388" s="5" t="str">
        <f aca="false">IF(C388=0,"",IF($A388="Bank",IF(INDEX(Bank!$C:$C,$C388)="","",INDEX(Bank!$C:$C,$C388)),IF(INDEX(GL!$C:$C,$C388)="","",INDEX(GL!$C:$C,$C388))))</f>
        <v/>
      </c>
      <c r="F388" s="5" t="str">
        <f aca="false">IF(C388=0,"",IF($A388="Bank",IF(INDEX(Bank!$D:$D,$C388)="","",INDEX(Bank!$D:$D,$C388)),IF(INDEX(GL!$D:$D,$C388)="","",INDEX(GL!$D:$D,$C388))))</f>
        <v/>
      </c>
      <c r="G388" s="19" t="str">
        <f aca="false">IF(C388=0,"",IF($A388="Bank",INDEX(Bank!$E:$E,$C388),INDEX(GL!$E:$E,$C388)))</f>
        <v/>
      </c>
      <c r="H388" s="5" t="str">
        <f aca="false">IF(C388=0,"",IF(A388="GL",IF(G388&gt;0,"Deposit in transit","Outstanding check / payment"),IF(G388&gt;0,"Bank credit not in GL","Bank debit not in GL")))</f>
        <v/>
      </c>
      <c r="I388" s="42" t="str">
        <f aca="false">IF(OR(C388=0,CFG_PeriodEnd=""),"",CFG_PeriodEnd-D388)</f>
        <v/>
      </c>
      <c r="J388" s="5" t="str">
        <f aca="false">IF(C388=0,"",IF($A388="Bank",IF(INDEX(Bank!$G:$G,$C388)="","",INDEX(Bank!$G:$G,$C388)),IF(INDEX(GL!$G:$G,$C388)="","",INDEX(GL!$G:$G,$C388))))</f>
        <v/>
      </c>
      <c r="K388" s="5" t="str">
        <f aca="false">IF(C388=0,"",IF($A388="Bank",IF(INDEX(Bank!$I:$I,$C388)="","",INDEX(Bank!$I:$I,$C388)),IF(INDEX(GL!$I:$I,$C388)="","",INDEX(GL!$I:$I,$C388))))</f>
        <v/>
      </c>
      <c r="L388" s="5" t="str">
        <f aca="false">IF(B388="","",IF(C388=0,"NOT FOUND",IF(IF($A388="Bank",INDEX(Bank!$F:$F,$C388),INDEX(GL!$F:$F,$C388))="Y","NOW RECONCILED: refresh","OK")))</f>
        <v/>
      </c>
    </row>
    <row r="389" customFormat="false" ht="15" hidden="false" customHeight="false" outlineLevel="0" collapsed="false">
      <c r="A389" s="41"/>
      <c r="B389" s="41"/>
      <c r="C389" s="5" t="n">
        <f aca="false">IF(B389="",0,IF(A389="Bank",IFERROR(MATCH(B389,Bank!$A:$A,0),0),IFERROR(MATCH(B389,GL!$A:$A,0),0)))</f>
        <v>0</v>
      </c>
      <c r="D389" s="32" t="str">
        <f aca="false">IF(C389=0,"",IF($A389="Bank",INDEX(Bank!$B:$B,$C389),INDEX(GL!$B:$B,$C389)))</f>
        <v/>
      </c>
      <c r="E389" s="5" t="str">
        <f aca="false">IF(C389=0,"",IF($A389="Bank",IF(INDEX(Bank!$C:$C,$C389)="","",INDEX(Bank!$C:$C,$C389)),IF(INDEX(GL!$C:$C,$C389)="","",INDEX(GL!$C:$C,$C389))))</f>
        <v/>
      </c>
      <c r="F389" s="5" t="str">
        <f aca="false">IF(C389=0,"",IF($A389="Bank",IF(INDEX(Bank!$D:$D,$C389)="","",INDEX(Bank!$D:$D,$C389)),IF(INDEX(GL!$D:$D,$C389)="","",INDEX(GL!$D:$D,$C389))))</f>
        <v/>
      </c>
      <c r="G389" s="19" t="str">
        <f aca="false">IF(C389=0,"",IF($A389="Bank",INDEX(Bank!$E:$E,$C389),INDEX(GL!$E:$E,$C389)))</f>
        <v/>
      </c>
      <c r="H389" s="5" t="str">
        <f aca="false">IF(C389=0,"",IF(A389="GL",IF(G389&gt;0,"Deposit in transit","Outstanding check / payment"),IF(G389&gt;0,"Bank credit not in GL","Bank debit not in GL")))</f>
        <v/>
      </c>
      <c r="I389" s="42" t="str">
        <f aca="false">IF(OR(C389=0,CFG_PeriodEnd=""),"",CFG_PeriodEnd-D389)</f>
        <v/>
      </c>
      <c r="J389" s="5" t="str">
        <f aca="false">IF(C389=0,"",IF($A389="Bank",IF(INDEX(Bank!$G:$G,$C389)="","",INDEX(Bank!$G:$G,$C389)),IF(INDEX(GL!$G:$G,$C389)="","",INDEX(GL!$G:$G,$C389))))</f>
        <v/>
      </c>
      <c r="K389" s="5" t="str">
        <f aca="false">IF(C389=0,"",IF($A389="Bank",IF(INDEX(Bank!$I:$I,$C389)="","",INDEX(Bank!$I:$I,$C389)),IF(INDEX(GL!$I:$I,$C389)="","",INDEX(GL!$I:$I,$C389))))</f>
        <v/>
      </c>
      <c r="L389" s="5" t="str">
        <f aca="false">IF(B389="","",IF(C389=0,"NOT FOUND",IF(IF($A389="Bank",INDEX(Bank!$F:$F,$C389),INDEX(GL!$F:$F,$C389))="Y","NOW RECONCILED: refresh","OK")))</f>
        <v/>
      </c>
    </row>
    <row r="390" customFormat="false" ht="15" hidden="false" customHeight="false" outlineLevel="0" collapsed="false">
      <c r="A390" s="41"/>
      <c r="B390" s="41"/>
      <c r="C390" s="5" t="n">
        <f aca="false">IF(B390="",0,IF(A390="Bank",IFERROR(MATCH(B390,Bank!$A:$A,0),0),IFERROR(MATCH(B390,GL!$A:$A,0),0)))</f>
        <v>0</v>
      </c>
      <c r="D390" s="32" t="str">
        <f aca="false">IF(C390=0,"",IF($A390="Bank",INDEX(Bank!$B:$B,$C390),INDEX(GL!$B:$B,$C390)))</f>
        <v/>
      </c>
      <c r="E390" s="5" t="str">
        <f aca="false">IF(C390=0,"",IF($A390="Bank",IF(INDEX(Bank!$C:$C,$C390)="","",INDEX(Bank!$C:$C,$C390)),IF(INDEX(GL!$C:$C,$C390)="","",INDEX(GL!$C:$C,$C390))))</f>
        <v/>
      </c>
      <c r="F390" s="5" t="str">
        <f aca="false">IF(C390=0,"",IF($A390="Bank",IF(INDEX(Bank!$D:$D,$C390)="","",INDEX(Bank!$D:$D,$C390)),IF(INDEX(GL!$D:$D,$C390)="","",INDEX(GL!$D:$D,$C390))))</f>
        <v/>
      </c>
      <c r="G390" s="19" t="str">
        <f aca="false">IF(C390=0,"",IF($A390="Bank",INDEX(Bank!$E:$E,$C390),INDEX(GL!$E:$E,$C390)))</f>
        <v/>
      </c>
      <c r="H390" s="5" t="str">
        <f aca="false">IF(C390=0,"",IF(A390="GL",IF(G390&gt;0,"Deposit in transit","Outstanding check / payment"),IF(G390&gt;0,"Bank credit not in GL","Bank debit not in GL")))</f>
        <v/>
      </c>
      <c r="I390" s="42" t="str">
        <f aca="false">IF(OR(C390=0,CFG_PeriodEnd=""),"",CFG_PeriodEnd-D390)</f>
        <v/>
      </c>
      <c r="J390" s="5" t="str">
        <f aca="false">IF(C390=0,"",IF($A390="Bank",IF(INDEX(Bank!$G:$G,$C390)="","",INDEX(Bank!$G:$G,$C390)),IF(INDEX(GL!$G:$G,$C390)="","",INDEX(GL!$G:$G,$C390))))</f>
        <v/>
      </c>
      <c r="K390" s="5" t="str">
        <f aca="false">IF(C390=0,"",IF($A390="Bank",IF(INDEX(Bank!$I:$I,$C390)="","",INDEX(Bank!$I:$I,$C390)),IF(INDEX(GL!$I:$I,$C390)="","",INDEX(GL!$I:$I,$C390))))</f>
        <v/>
      </c>
      <c r="L390" s="5" t="str">
        <f aca="false">IF(B390="","",IF(C390=0,"NOT FOUND",IF(IF($A390="Bank",INDEX(Bank!$F:$F,$C390),INDEX(GL!$F:$F,$C390))="Y","NOW RECONCILED: refresh","OK")))</f>
        <v/>
      </c>
    </row>
    <row r="391" customFormat="false" ht="15" hidden="false" customHeight="false" outlineLevel="0" collapsed="false">
      <c r="A391" s="41"/>
      <c r="B391" s="41"/>
      <c r="C391" s="5" t="n">
        <f aca="false">IF(B391="",0,IF(A391="Bank",IFERROR(MATCH(B391,Bank!$A:$A,0),0),IFERROR(MATCH(B391,GL!$A:$A,0),0)))</f>
        <v>0</v>
      </c>
      <c r="D391" s="32" t="str">
        <f aca="false">IF(C391=0,"",IF($A391="Bank",INDEX(Bank!$B:$B,$C391),INDEX(GL!$B:$B,$C391)))</f>
        <v/>
      </c>
      <c r="E391" s="5" t="str">
        <f aca="false">IF(C391=0,"",IF($A391="Bank",IF(INDEX(Bank!$C:$C,$C391)="","",INDEX(Bank!$C:$C,$C391)),IF(INDEX(GL!$C:$C,$C391)="","",INDEX(GL!$C:$C,$C391))))</f>
        <v/>
      </c>
      <c r="F391" s="5" t="str">
        <f aca="false">IF(C391=0,"",IF($A391="Bank",IF(INDEX(Bank!$D:$D,$C391)="","",INDEX(Bank!$D:$D,$C391)),IF(INDEX(GL!$D:$D,$C391)="","",INDEX(GL!$D:$D,$C391))))</f>
        <v/>
      </c>
      <c r="G391" s="19" t="str">
        <f aca="false">IF(C391=0,"",IF($A391="Bank",INDEX(Bank!$E:$E,$C391),INDEX(GL!$E:$E,$C391)))</f>
        <v/>
      </c>
      <c r="H391" s="5" t="str">
        <f aca="false">IF(C391=0,"",IF(A391="GL",IF(G391&gt;0,"Deposit in transit","Outstanding check / payment"),IF(G391&gt;0,"Bank credit not in GL","Bank debit not in GL")))</f>
        <v/>
      </c>
      <c r="I391" s="42" t="str">
        <f aca="false">IF(OR(C391=0,CFG_PeriodEnd=""),"",CFG_PeriodEnd-D391)</f>
        <v/>
      </c>
      <c r="J391" s="5" t="str">
        <f aca="false">IF(C391=0,"",IF($A391="Bank",IF(INDEX(Bank!$G:$G,$C391)="","",INDEX(Bank!$G:$G,$C391)),IF(INDEX(GL!$G:$G,$C391)="","",INDEX(GL!$G:$G,$C391))))</f>
        <v/>
      </c>
      <c r="K391" s="5" t="str">
        <f aca="false">IF(C391=0,"",IF($A391="Bank",IF(INDEX(Bank!$I:$I,$C391)="","",INDEX(Bank!$I:$I,$C391)),IF(INDEX(GL!$I:$I,$C391)="","",INDEX(GL!$I:$I,$C391))))</f>
        <v/>
      </c>
      <c r="L391" s="5" t="str">
        <f aca="false">IF(B391="","",IF(C391=0,"NOT FOUND",IF(IF($A391="Bank",INDEX(Bank!$F:$F,$C391),INDEX(GL!$F:$F,$C391))="Y","NOW RECONCILED: refresh","OK")))</f>
        <v/>
      </c>
    </row>
    <row r="392" customFormat="false" ht="15" hidden="false" customHeight="false" outlineLevel="0" collapsed="false">
      <c r="A392" s="41"/>
      <c r="B392" s="41"/>
      <c r="C392" s="5" t="n">
        <f aca="false">IF(B392="",0,IF(A392="Bank",IFERROR(MATCH(B392,Bank!$A:$A,0),0),IFERROR(MATCH(B392,GL!$A:$A,0),0)))</f>
        <v>0</v>
      </c>
      <c r="D392" s="32" t="str">
        <f aca="false">IF(C392=0,"",IF($A392="Bank",INDEX(Bank!$B:$B,$C392),INDEX(GL!$B:$B,$C392)))</f>
        <v/>
      </c>
      <c r="E392" s="5" t="str">
        <f aca="false">IF(C392=0,"",IF($A392="Bank",IF(INDEX(Bank!$C:$C,$C392)="","",INDEX(Bank!$C:$C,$C392)),IF(INDEX(GL!$C:$C,$C392)="","",INDEX(GL!$C:$C,$C392))))</f>
        <v/>
      </c>
      <c r="F392" s="5" t="str">
        <f aca="false">IF(C392=0,"",IF($A392="Bank",IF(INDEX(Bank!$D:$D,$C392)="","",INDEX(Bank!$D:$D,$C392)),IF(INDEX(GL!$D:$D,$C392)="","",INDEX(GL!$D:$D,$C392))))</f>
        <v/>
      </c>
      <c r="G392" s="19" t="str">
        <f aca="false">IF(C392=0,"",IF($A392="Bank",INDEX(Bank!$E:$E,$C392),INDEX(GL!$E:$E,$C392)))</f>
        <v/>
      </c>
      <c r="H392" s="5" t="str">
        <f aca="false">IF(C392=0,"",IF(A392="GL",IF(G392&gt;0,"Deposit in transit","Outstanding check / payment"),IF(G392&gt;0,"Bank credit not in GL","Bank debit not in GL")))</f>
        <v/>
      </c>
      <c r="I392" s="42" t="str">
        <f aca="false">IF(OR(C392=0,CFG_PeriodEnd=""),"",CFG_PeriodEnd-D392)</f>
        <v/>
      </c>
      <c r="J392" s="5" t="str">
        <f aca="false">IF(C392=0,"",IF($A392="Bank",IF(INDEX(Bank!$G:$G,$C392)="","",INDEX(Bank!$G:$G,$C392)),IF(INDEX(GL!$G:$G,$C392)="","",INDEX(GL!$G:$G,$C392))))</f>
        <v/>
      </c>
      <c r="K392" s="5" t="str">
        <f aca="false">IF(C392=0,"",IF($A392="Bank",IF(INDEX(Bank!$I:$I,$C392)="","",INDEX(Bank!$I:$I,$C392)),IF(INDEX(GL!$I:$I,$C392)="","",INDEX(GL!$I:$I,$C392))))</f>
        <v/>
      </c>
      <c r="L392" s="5" t="str">
        <f aca="false">IF(B392="","",IF(C392=0,"NOT FOUND",IF(IF($A392="Bank",INDEX(Bank!$F:$F,$C392),INDEX(GL!$F:$F,$C392))="Y","NOW RECONCILED: refresh","OK")))</f>
        <v/>
      </c>
    </row>
    <row r="393" customFormat="false" ht="15" hidden="false" customHeight="false" outlineLevel="0" collapsed="false">
      <c r="A393" s="41"/>
      <c r="B393" s="41"/>
      <c r="C393" s="5" t="n">
        <f aca="false">IF(B393="",0,IF(A393="Bank",IFERROR(MATCH(B393,Bank!$A:$A,0),0),IFERROR(MATCH(B393,GL!$A:$A,0),0)))</f>
        <v>0</v>
      </c>
      <c r="D393" s="32" t="str">
        <f aca="false">IF(C393=0,"",IF($A393="Bank",INDEX(Bank!$B:$B,$C393),INDEX(GL!$B:$B,$C393)))</f>
        <v/>
      </c>
      <c r="E393" s="5" t="str">
        <f aca="false">IF(C393=0,"",IF($A393="Bank",IF(INDEX(Bank!$C:$C,$C393)="","",INDEX(Bank!$C:$C,$C393)),IF(INDEX(GL!$C:$C,$C393)="","",INDEX(GL!$C:$C,$C393))))</f>
        <v/>
      </c>
      <c r="F393" s="5" t="str">
        <f aca="false">IF(C393=0,"",IF($A393="Bank",IF(INDEX(Bank!$D:$D,$C393)="","",INDEX(Bank!$D:$D,$C393)),IF(INDEX(GL!$D:$D,$C393)="","",INDEX(GL!$D:$D,$C393))))</f>
        <v/>
      </c>
      <c r="G393" s="19" t="str">
        <f aca="false">IF(C393=0,"",IF($A393="Bank",INDEX(Bank!$E:$E,$C393),INDEX(GL!$E:$E,$C393)))</f>
        <v/>
      </c>
      <c r="H393" s="5" t="str">
        <f aca="false">IF(C393=0,"",IF(A393="GL",IF(G393&gt;0,"Deposit in transit","Outstanding check / payment"),IF(G393&gt;0,"Bank credit not in GL","Bank debit not in GL")))</f>
        <v/>
      </c>
      <c r="I393" s="42" t="str">
        <f aca="false">IF(OR(C393=0,CFG_PeriodEnd=""),"",CFG_PeriodEnd-D393)</f>
        <v/>
      </c>
      <c r="J393" s="5" t="str">
        <f aca="false">IF(C393=0,"",IF($A393="Bank",IF(INDEX(Bank!$G:$G,$C393)="","",INDEX(Bank!$G:$G,$C393)),IF(INDEX(GL!$G:$G,$C393)="","",INDEX(GL!$G:$G,$C393))))</f>
        <v/>
      </c>
      <c r="K393" s="5" t="str">
        <f aca="false">IF(C393=0,"",IF($A393="Bank",IF(INDEX(Bank!$I:$I,$C393)="","",INDEX(Bank!$I:$I,$C393)),IF(INDEX(GL!$I:$I,$C393)="","",INDEX(GL!$I:$I,$C393))))</f>
        <v/>
      </c>
      <c r="L393" s="5" t="str">
        <f aca="false">IF(B393="","",IF(C393=0,"NOT FOUND",IF(IF($A393="Bank",INDEX(Bank!$F:$F,$C393),INDEX(GL!$F:$F,$C393))="Y","NOW RECONCILED: refresh","OK")))</f>
        <v/>
      </c>
    </row>
    <row r="394" customFormat="false" ht="15" hidden="false" customHeight="false" outlineLevel="0" collapsed="false">
      <c r="A394" s="41"/>
      <c r="B394" s="41"/>
      <c r="C394" s="5" t="n">
        <f aca="false">IF(B394="",0,IF(A394="Bank",IFERROR(MATCH(B394,Bank!$A:$A,0),0),IFERROR(MATCH(B394,GL!$A:$A,0),0)))</f>
        <v>0</v>
      </c>
      <c r="D394" s="32" t="str">
        <f aca="false">IF(C394=0,"",IF($A394="Bank",INDEX(Bank!$B:$B,$C394),INDEX(GL!$B:$B,$C394)))</f>
        <v/>
      </c>
      <c r="E394" s="5" t="str">
        <f aca="false">IF(C394=0,"",IF($A394="Bank",IF(INDEX(Bank!$C:$C,$C394)="","",INDEX(Bank!$C:$C,$C394)),IF(INDEX(GL!$C:$C,$C394)="","",INDEX(GL!$C:$C,$C394))))</f>
        <v/>
      </c>
      <c r="F394" s="5" t="str">
        <f aca="false">IF(C394=0,"",IF($A394="Bank",IF(INDEX(Bank!$D:$D,$C394)="","",INDEX(Bank!$D:$D,$C394)),IF(INDEX(GL!$D:$D,$C394)="","",INDEX(GL!$D:$D,$C394))))</f>
        <v/>
      </c>
      <c r="G394" s="19" t="str">
        <f aca="false">IF(C394=0,"",IF($A394="Bank",INDEX(Bank!$E:$E,$C394),INDEX(GL!$E:$E,$C394)))</f>
        <v/>
      </c>
      <c r="H394" s="5" t="str">
        <f aca="false">IF(C394=0,"",IF(A394="GL",IF(G394&gt;0,"Deposit in transit","Outstanding check / payment"),IF(G394&gt;0,"Bank credit not in GL","Bank debit not in GL")))</f>
        <v/>
      </c>
      <c r="I394" s="42" t="str">
        <f aca="false">IF(OR(C394=0,CFG_PeriodEnd=""),"",CFG_PeriodEnd-D394)</f>
        <v/>
      </c>
      <c r="J394" s="5" t="str">
        <f aca="false">IF(C394=0,"",IF($A394="Bank",IF(INDEX(Bank!$G:$G,$C394)="","",INDEX(Bank!$G:$G,$C394)),IF(INDEX(GL!$G:$G,$C394)="","",INDEX(GL!$G:$G,$C394))))</f>
        <v/>
      </c>
      <c r="K394" s="5" t="str">
        <f aca="false">IF(C394=0,"",IF($A394="Bank",IF(INDEX(Bank!$I:$I,$C394)="","",INDEX(Bank!$I:$I,$C394)),IF(INDEX(GL!$I:$I,$C394)="","",INDEX(GL!$I:$I,$C394))))</f>
        <v/>
      </c>
      <c r="L394" s="5" t="str">
        <f aca="false">IF(B394="","",IF(C394=0,"NOT FOUND",IF(IF($A394="Bank",INDEX(Bank!$F:$F,$C394),INDEX(GL!$F:$F,$C394))="Y","NOW RECONCILED: refresh","OK")))</f>
        <v/>
      </c>
    </row>
    <row r="395" customFormat="false" ht="15" hidden="false" customHeight="false" outlineLevel="0" collapsed="false">
      <c r="A395" s="41"/>
      <c r="B395" s="41"/>
      <c r="C395" s="5" t="n">
        <f aca="false">IF(B395="",0,IF(A395="Bank",IFERROR(MATCH(B395,Bank!$A:$A,0),0),IFERROR(MATCH(B395,GL!$A:$A,0),0)))</f>
        <v>0</v>
      </c>
      <c r="D395" s="32" t="str">
        <f aca="false">IF(C395=0,"",IF($A395="Bank",INDEX(Bank!$B:$B,$C395),INDEX(GL!$B:$B,$C395)))</f>
        <v/>
      </c>
      <c r="E395" s="5" t="str">
        <f aca="false">IF(C395=0,"",IF($A395="Bank",IF(INDEX(Bank!$C:$C,$C395)="","",INDEX(Bank!$C:$C,$C395)),IF(INDEX(GL!$C:$C,$C395)="","",INDEX(GL!$C:$C,$C395))))</f>
        <v/>
      </c>
      <c r="F395" s="5" t="str">
        <f aca="false">IF(C395=0,"",IF($A395="Bank",IF(INDEX(Bank!$D:$D,$C395)="","",INDEX(Bank!$D:$D,$C395)),IF(INDEX(GL!$D:$D,$C395)="","",INDEX(GL!$D:$D,$C395))))</f>
        <v/>
      </c>
      <c r="G395" s="19" t="str">
        <f aca="false">IF(C395=0,"",IF($A395="Bank",INDEX(Bank!$E:$E,$C395),INDEX(GL!$E:$E,$C395)))</f>
        <v/>
      </c>
      <c r="H395" s="5" t="str">
        <f aca="false">IF(C395=0,"",IF(A395="GL",IF(G395&gt;0,"Deposit in transit","Outstanding check / payment"),IF(G395&gt;0,"Bank credit not in GL","Bank debit not in GL")))</f>
        <v/>
      </c>
      <c r="I395" s="42" t="str">
        <f aca="false">IF(OR(C395=0,CFG_PeriodEnd=""),"",CFG_PeriodEnd-D395)</f>
        <v/>
      </c>
      <c r="J395" s="5" t="str">
        <f aca="false">IF(C395=0,"",IF($A395="Bank",IF(INDEX(Bank!$G:$G,$C395)="","",INDEX(Bank!$G:$G,$C395)),IF(INDEX(GL!$G:$G,$C395)="","",INDEX(GL!$G:$G,$C395))))</f>
        <v/>
      </c>
      <c r="K395" s="5" t="str">
        <f aca="false">IF(C395=0,"",IF($A395="Bank",IF(INDEX(Bank!$I:$I,$C395)="","",INDEX(Bank!$I:$I,$C395)),IF(INDEX(GL!$I:$I,$C395)="","",INDEX(GL!$I:$I,$C395))))</f>
        <v/>
      </c>
      <c r="L395" s="5" t="str">
        <f aca="false">IF(B395="","",IF(C395=0,"NOT FOUND",IF(IF($A395="Bank",INDEX(Bank!$F:$F,$C395),INDEX(GL!$F:$F,$C395))="Y","NOW RECONCILED: refresh","OK")))</f>
        <v/>
      </c>
    </row>
    <row r="396" customFormat="false" ht="15" hidden="false" customHeight="false" outlineLevel="0" collapsed="false">
      <c r="A396" s="41"/>
      <c r="B396" s="41"/>
      <c r="C396" s="5" t="n">
        <f aca="false">IF(B396="",0,IF(A396="Bank",IFERROR(MATCH(B396,Bank!$A:$A,0),0),IFERROR(MATCH(B396,GL!$A:$A,0),0)))</f>
        <v>0</v>
      </c>
      <c r="D396" s="32" t="str">
        <f aca="false">IF(C396=0,"",IF($A396="Bank",INDEX(Bank!$B:$B,$C396),INDEX(GL!$B:$B,$C396)))</f>
        <v/>
      </c>
      <c r="E396" s="5" t="str">
        <f aca="false">IF(C396=0,"",IF($A396="Bank",IF(INDEX(Bank!$C:$C,$C396)="","",INDEX(Bank!$C:$C,$C396)),IF(INDEX(GL!$C:$C,$C396)="","",INDEX(GL!$C:$C,$C396))))</f>
        <v/>
      </c>
      <c r="F396" s="5" t="str">
        <f aca="false">IF(C396=0,"",IF($A396="Bank",IF(INDEX(Bank!$D:$D,$C396)="","",INDEX(Bank!$D:$D,$C396)),IF(INDEX(GL!$D:$D,$C396)="","",INDEX(GL!$D:$D,$C396))))</f>
        <v/>
      </c>
      <c r="G396" s="19" t="str">
        <f aca="false">IF(C396=0,"",IF($A396="Bank",INDEX(Bank!$E:$E,$C396),INDEX(GL!$E:$E,$C396)))</f>
        <v/>
      </c>
      <c r="H396" s="5" t="str">
        <f aca="false">IF(C396=0,"",IF(A396="GL",IF(G396&gt;0,"Deposit in transit","Outstanding check / payment"),IF(G396&gt;0,"Bank credit not in GL","Bank debit not in GL")))</f>
        <v/>
      </c>
      <c r="I396" s="42" t="str">
        <f aca="false">IF(OR(C396=0,CFG_PeriodEnd=""),"",CFG_PeriodEnd-D396)</f>
        <v/>
      </c>
      <c r="J396" s="5" t="str">
        <f aca="false">IF(C396=0,"",IF($A396="Bank",IF(INDEX(Bank!$G:$G,$C396)="","",INDEX(Bank!$G:$G,$C396)),IF(INDEX(GL!$G:$G,$C396)="","",INDEX(GL!$G:$G,$C396))))</f>
        <v/>
      </c>
      <c r="K396" s="5" t="str">
        <f aca="false">IF(C396=0,"",IF($A396="Bank",IF(INDEX(Bank!$I:$I,$C396)="","",INDEX(Bank!$I:$I,$C396)),IF(INDEX(GL!$I:$I,$C396)="","",INDEX(GL!$I:$I,$C396))))</f>
        <v/>
      </c>
      <c r="L396" s="5" t="str">
        <f aca="false">IF(B396="","",IF(C396=0,"NOT FOUND",IF(IF($A396="Bank",INDEX(Bank!$F:$F,$C396),INDEX(GL!$F:$F,$C396))="Y","NOW RECONCILED: refresh","OK")))</f>
        <v/>
      </c>
    </row>
    <row r="397" customFormat="false" ht="15" hidden="false" customHeight="false" outlineLevel="0" collapsed="false">
      <c r="A397" s="41"/>
      <c r="B397" s="41"/>
      <c r="C397" s="5" t="n">
        <f aca="false">IF(B397="",0,IF(A397="Bank",IFERROR(MATCH(B397,Bank!$A:$A,0),0),IFERROR(MATCH(B397,GL!$A:$A,0),0)))</f>
        <v>0</v>
      </c>
      <c r="D397" s="32" t="str">
        <f aca="false">IF(C397=0,"",IF($A397="Bank",INDEX(Bank!$B:$B,$C397),INDEX(GL!$B:$B,$C397)))</f>
        <v/>
      </c>
      <c r="E397" s="5" t="str">
        <f aca="false">IF(C397=0,"",IF($A397="Bank",IF(INDEX(Bank!$C:$C,$C397)="","",INDEX(Bank!$C:$C,$C397)),IF(INDEX(GL!$C:$C,$C397)="","",INDEX(GL!$C:$C,$C397))))</f>
        <v/>
      </c>
      <c r="F397" s="5" t="str">
        <f aca="false">IF(C397=0,"",IF($A397="Bank",IF(INDEX(Bank!$D:$D,$C397)="","",INDEX(Bank!$D:$D,$C397)),IF(INDEX(GL!$D:$D,$C397)="","",INDEX(GL!$D:$D,$C397))))</f>
        <v/>
      </c>
      <c r="G397" s="19" t="str">
        <f aca="false">IF(C397=0,"",IF($A397="Bank",INDEX(Bank!$E:$E,$C397),INDEX(GL!$E:$E,$C397)))</f>
        <v/>
      </c>
      <c r="H397" s="5" t="str">
        <f aca="false">IF(C397=0,"",IF(A397="GL",IF(G397&gt;0,"Deposit in transit","Outstanding check / payment"),IF(G397&gt;0,"Bank credit not in GL","Bank debit not in GL")))</f>
        <v/>
      </c>
      <c r="I397" s="42" t="str">
        <f aca="false">IF(OR(C397=0,CFG_PeriodEnd=""),"",CFG_PeriodEnd-D397)</f>
        <v/>
      </c>
      <c r="J397" s="5" t="str">
        <f aca="false">IF(C397=0,"",IF($A397="Bank",IF(INDEX(Bank!$G:$G,$C397)="","",INDEX(Bank!$G:$G,$C397)),IF(INDEX(GL!$G:$G,$C397)="","",INDEX(GL!$G:$G,$C397))))</f>
        <v/>
      </c>
      <c r="K397" s="5" t="str">
        <f aca="false">IF(C397=0,"",IF($A397="Bank",IF(INDEX(Bank!$I:$I,$C397)="","",INDEX(Bank!$I:$I,$C397)),IF(INDEX(GL!$I:$I,$C397)="","",INDEX(GL!$I:$I,$C397))))</f>
        <v/>
      </c>
      <c r="L397" s="5" t="str">
        <f aca="false">IF(B397="","",IF(C397=0,"NOT FOUND",IF(IF($A397="Bank",INDEX(Bank!$F:$F,$C397),INDEX(GL!$F:$F,$C397))="Y","NOW RECONCILED: refresh","OK")))</f>
        <v/>
      </c>
    </row>
    <row r="398" customFormat="false" ht="15" hidden="false" customHeight="false" outlineLevel="0" collapsed="false">
      <c r="A398" s="41"/>
      <c r="B398" s="41"/>
      <c r="C398" s="5" t="n">
        <f aca="false">IF(B398="",0,IF(A398="Bank",IFERROR(MATCH(B398,Bank!$A:$A,0),0),IFERROR(MATCH(B398,GL!$A:$A,0),0)))</f>
        <v>0</v>
      </c>
      <c r="D398" s="32" t="str">
        <f aca="false">IF(C398=0,"",IF($A398="Bank",INDEX(Bank!$B:$B,$C398),INDEX(GL!$B:$B,$C398)))</f>
        <v/>
      </c>
      <c r="E398" s="5" t="str">
        <f aca="false">IF(C398=0,"",IF($A398="Bank",IF(INDEX(Bank!$C:$C,$C398)="","",INDEX(Bank!$C:$C,$C398)),IF(INDEX(GL!$C:$C,$C398)="","",INDEX(GL!$C:$C,$C398))))</f>
        <v/>
      </c>
      <c r="F398" s="5" t="str">
        <f aca="false">IF(C398=0,"",IF($A398="Bank",IF(INDEX(Bank!$D:$D,$C398)="","",INDEX(Bank!$D:$D,$C398)),IF(INDEX(GL!$D:$D,$C398)="","",INDEX(GL!$D:$D,$C398))))</f>
        <v/>
      </c>
      <c r="G398" s="19" t="str">
        <f aca="false">IF(C398=0,"",IF($A398="Bank",INDEX(Bank!$E:$E,$C398),INDEX(GL!$E:$E,$C398)))</f>
        <v/>
      </c>
      <c r="H398" s="5" t="str">
        <f aca="false">IF(C398=0,"",IF(A398="GL",IF(G398&gt;0,"Deposit in transit","Outstanding check / payment"),IF(G398&gt;0,"Bank credit not in GL","Bank debit not in GL")))</f>
        <v/>
      </c>
      <c r="I398" s="42" t="str">
        <f aca="false">IF(OR(C398=0,CFG_PeriodEnd=""),"",CFG_PeriodEnd-D398)</f>
        <v/>
      </c>
      <c r="J398" s="5" t="str">
        <f aca="false">IF(C398=0,"",IF($A398="Bank",IF(INDEX(Bank!$G:$G,$C398)="","",INDEX(Bank!$G:$G,$C398)),IF(INDEX(GL!$G:$G,$C398)="","",INDEX(GL!$G:$G,$C398))))</f>
        <v/>
      </c>
      <c r="K398" s="5" t="str">
        <f aca="false">IF(C398=0,"",IF($A398="Bank",IF(INDEX(Bank!$I:$I,$C398)="","",INDEX(Bank!$I:$I,$C398)),IF(INDEX(GL!$I:$I,$C398)="","",INDEX(GL!$I:$I,$C398))))</f>
        <v/>
      </c>
      <c r="L398" s="5" t="str">
        <f aca="false">IF(B398="","",IF(C398=0,"NOT FOUND",IF(IF($A398="Bank",INDEX(Bank!$F:$F,$C398),INDEX(GL!$F:$F,$C398))="Y","NOW RECONCILED: refresh","OK")))</f>
        <v/>
      </c>
    </row>
    <row r="399" customFormat="false" ht="15" hidden="false" customHeight="false" outlineLevel="0" collapsed="false">
      <c r="A399" s="41"/>
      <c r="B399" s="41"/>
      <c r="C399" s="5" t="n">
        <f aca="false">IF(B399="",0,IF(A399="Bank",IFERROR(MATCH(B399,Bank!$A:$A,0),0),IFERROR(MATCH(B399,GL!$A:$A,0),0)))</f>
        <v>0</v>
      </c>
      <c r="D399" s="32" t="str">
        <f aca="false">IF(C399=0,"",IF($A399="Bank",INDEX(Bank!$B:$B,$C399),INDEX(GL!$B:$B,$C399)))</f>
        <v/>
      </c>
      <c r="E399" s="5" t="str">
        <f aca="false">IF(C399=0,"",IF($A399="Bank",IF(INDEX(Bank!$C:$C,$C399)="","",INDEX(Bank!$C:$C,$C399)),IF(INDEX(GL!$C:$C,$C399)="","",INDEX(GL!$C:$C,$C399))))</f>
        <v/>
      </c>
      <c r="F399" s="5" t="str">
        <f aca="false">IF(C399=0,"",IF($A399="Bank",IF(INDEX(Bank!$D:$D,$C399)="","",INDEX(Bank!$D:$D,$C399)),IF(INDEX(GL!$D:$D,$C399)="","",INDEX(GL!$D:$D,$C399))))</f>
        <v/>
      </c>
      <c r="G399" s="19" t="str">
        <f aca="false">IF(C399=0,"",IF($A399="Bank",INDEX(Bank!$E:$E,$C399),INDEX(GL!$E:$E,$C399)))</f>
        <v/>
      </c>
      <c r="H399" s="5" t="str">
        <f aca="false">IF(C399=0,"",IF(A399="GL",IF(G399&gt;0,"Deposit in transit","Outstanding check / payment"),IF(G399&gt;0,"Bank credit not in GL","Bank debit not in GL")))</f>
        <v/>
      </c>
      <c r="I399" s="42" t="str">
        <f aca="false">IF(OR(C399=0,CFG_PeriodEnd=""),"",CFG_PeriodEnd-D399)</f>
        <v/>
      </c>
      <c r="J399" s="5" t="str">
        <f aca="false">IF(C399=0,"",IF($A399="Bank",IF(INDEX(Bank!$G:$G,$C399)="","",INDEX(Bank!$G:$G,$C399)),IF(INDEX(GL!$G:$G,$C399)="","",INDEX(GL!$G:$G,$C399))))</f>
        <v/>
      </c>
      <c r="K399" s="5" t="str">
        <f aca="false">IF(C399=0,"",IF($A399="Bank",IF(INDEX(Bank!$I:$I,$C399)="","",INDEX(Bank!$I:$I,$C399)),IF(INDEX(GL!$I:$I,$C399)="","",INDEX(GL!$I:$I,$C399))))</f>
        <v/>
      </c>
      <c r="L399" s="5" t="str">
        <f aca="false">IF(B399="","",IF(C399=0,"NOT FOUND",IF(IF($A399="Bank",INDEX(Bank!$F:$F,$C399),INDEX(GL!$F:$F,$C399))="Y","NOW RECONCILED: refresh","OK")))</f>
        <v/>
      </c>
    </row>
    <row r="400" customFormat="false" ht="15" hidden="false" customHeight="false" outlineLevel="0" collapsed="false">
      <c r="A400" s="41"/>
      <c r="B400" s="41"/>
      <c r="C400" s="5" t="n">
        <f aca="false">IF(B400="",0,IF(A400="Bank",IFERROR(MATCH(B400,Bank!$A:$A,0),0),IFERROR(MATCH(B400,GL!$A:$A,0),0)))</f>
        <v>0</v>
      </c>
      <c r="D400" s="32" t="str">
        <f aca="false">IF(C400=0,"",IF($A400="Bank",INDEX(Bank!$B:$B,$C400),INDEX(GL!$B:$B,$C400)))</f>
        <v/>
      </c>
      <c r="E400" s="5" t="str">
        <f aca="false">IF(C400=0,"",IF($A400="Bank",IF(INDEX(Bank!$C:$C,$C400)="","",INDEX(Bank!$C:$C,$C400)),IF(INDEX(GL!$C:$C,$C400)="","",INDEX(GL!$C:$C,$C400))))</f>
        <v/>
      </c>
      <c r="F400" s="5" t="str">
        <f aca="false">IF(C400=0,"",IF($A400="Bank",IF(INDEX(Bank!$D:$D,$C400)="","",INDEX(Bank!$D:$D,$C400)),IF(INDEX(GL!$D:$D,$C400)="","",INDEX(GL!$D:$D,$C400))))</f>
        <v/>
      </c>
      <c r="G400" s="19" t="str">
        <f aca="false">IF(C400=0,"",IF($A400="Bank",INDEX(Bank!$E:$E,$C400),INDEX(GL!$E:$E,$C400)))</f>
        <v/>
      </c>
      <c r="H400" s="5" t="str">
        <f aca="false">IF(C400=0,"",IF(A400="GL",IF(G400&gt;0,"Deposit in transit","Outstanding check / payment"),IF(G400&gt;0,"Bank credit not in GL","Bank debit not in GL")))</f>
        <v/>
      </c>
      <c r="I400" s="42" t="str">
        <f aca="false">IF(OR(C400=0,CFG_PeriodEnd=""),"",CFG_PeriodEnd-D400)</f>
        <v/>
      </c>
      <c r="J400" s="5" t="str">
        <f aca="false">IF(C400=0,"",IF($A400="Bank",IF(INDEX(Bank!$G:$G,$C400)="","",INDEX(Bank!$G:$G,$C400)),IF(INDEX(GL!$G:$G,$C400)="","",INDEX(GL!$G:$G,$C400))))</f>
        <v/>
      </c>
      <c r="K400" s="5" t="str">
        <f aca="false">IF(C400=0,"",IF($A400="Bank",IF(INDEX(Bank!$I:$I,$C400)="","",INDEX(Bank!$I:$I,$C400)),IF(INDEX(GL!$I:$I,$C400)="","",INDEX(GL!$I:$I,$C400))))</f>
        <v/>
      </c>
      <c r="L400" s="5" t="str">
        <f aca="false">IF(B400="","",IF(C400=0,"NOT FOUND",IF(IF($A400="Bank",INDEX(Bank!$F:$F,$C400),INDEX(GL!$F:$F,$C400))="Y","NOW RECONCILED: refresh","OK")))</f>
        <v/>
      </c>
    </row>
    <row r="401" customFormat="false" ht="15" hidden="false" customHeight="false" outlineLevel="0" collapsed="false">
      <c r="A401" s="41"/>
      <c r="B401" s="41"/>
      <c r="C401" s="5" t="n">
        <f aca="false">IF(B401="",0,IF(A401="Bank",IFERROR(MATCH(B401,Bank!$A:$A,0),0),IFERROR(MATCH(B401,GL!$A:$A,0),0)))</f>
        <v>0</v>
      </c>
      <c r="D401" s="32" t="str">
        <f aca="false">IF(C401=0,"",IF($A401="Bank",INDEX(Bank!$B:$B,$C401),INDEX(GL!$B:$B,$C401)))</f>
        <v/>
      </c>
      <c r="E401" s="5" t="str">
        <f aca="false">IF(C401=0,"",IF($A401="Bank",IF(INDEX(Bank!$C:$C,$C401)="","",INDEX(Bank!$C:$C,$C401)),IF(INDEX(GL!$C:$C,$C401)="","",INDEX(GL!$C:$C,$C401))))</f>
        <v/>
      </c>
      <c r="F401" s="5" t="str">
        <f aca="false">IF(C401=0,"",IF($A401="Bank",IF(INDEX(Bank!$D:$D,$C401)="","",INDEX(Bank!$D:$D,$C401)),IF(INDEX(GL!$D:$D,$C401)="","",INDEX(GL!$D:$D,$C401))))</f>
        <v/>
      </c>
      <c r="G401" s="19" t="str">
        <f aca="false">IF(C401=0,"",IF($A401="Bank",INDEX(Bank!$E:$E,$C401),INDEX(GL!$E:$E,$C401)))</f>
        <v/>
      </c>
      <c r="H401" s="5" t="str">
        <f aca="false">IF(C401=0,"",IF(A401="GL",IF(G401&gt;0,"Deposit in transit","Outstanding check / payment"),IF(G401&gt;0,"Bank credit not in GL","Bank debit not in GL")))</f>
        <v/>
      </c>
      <c r="I401" s="42" t="str">
        <f aca="false">IF(OR(C401=0,CFG_PeriodEnd=""),"",CFG_PeriodEnd-D401)</f>
        <v/>
      </c>
      <c r="J401" s="5" t="str">
        <f aca="false">IF(C401=0,"",IF($A401="Bank",IF(INDEX(Bank!$G:$G,$C401)="","",INDEX(Bank!$G:$G,$C401)),IF(INDEX(GL!$G:$G,$C401)="","",INDEX(GL!$G:$G,$C401))))</f>
        <v/>
      </c>
      <c r="K401" s="5" t="str">
        <f aca="false">IF(C401=0,"",IF($A401="Bank",IF(INDEX(Bank!$I:$I,$C401)="","",INDEX(Bank!$I:$I,$C401)),IF(INDEX(GL!$I:$I,$C401)="","",INDEX(GL!$I:$I,$C401))))</f>
        <v/>
      </c>
      <c r="L401" s="5" t="str">
        <f aca="false">IF(B401="","",IF(C401=0,"NOT FOUND",IF(IF($A401="Bank",INDEX(Bank!$F:$F,$C401),INDEX(GL!$F:$F,$C401))="Y","NOW RECONCILED: refresh","OK")))</f>
        <v/>
      </c>
    </row>
    <row r="402" customFormat="false" ht="15" hidden="false" customHeight="false" outlineLevel="0" collapsed="false">
      <c r="A402" s="41"/>
      <c r="B402" s="41"/>
      <c r="C402" s="5" t="n">
        <f aca="false">IF(B402="",0,IF(A402="Bank",IFERROR(MATCH(B402,Bank!$A:$A,0),0),IFERROR(MATCH(B402,GL!$A:$A,0),0)))</f>
        <v>0</v>
      </c>
      <c r="D402" s="32" t="str">
        <f aca="false">IF(C402=0,"",IF($A402="Bank",INDEX(Bank!$B:$B,$C402),INDEX(GL!$B:$B,$C402)))</f>
        <v/>
      </c>
      <c r="E402" s="5" t="str">
        <f aca="false">IF(C402=0,"",IF($A402="Bank",IF(INDEX(Bank!$C:$C,$C402)="","",INDEX(Bank!$C:$C,$C402)),IF(INDEX(GL!$C:$C,$C402)="","",INDEX(GL!$C:$C,$C402))))</f>
        <v/>
      </c>
      <c r="F402" s="5" t="str">
        <f aca="false">IF(C402=0,"",IF($A402="Bank",IF(INDEX(Bank!$D:$D,$C402)="","",INDEX(Bank!$D:$D,$C402)),IF(INDEX(GL!$D:$D,$C402)="","",INDEX(GL!$D:$D,$C402))))</f>
        <v/>
      </c>
      <c r="G402" s="19" t="str">
        <f aca="false">IF(C402=0,"",IF($A402="Bank",INDEX(Bank!$E:$E,$C402),INDEX(GL!$E:$E,$C402)))</f>
        <v/>
      </c>
      <c r="H402" s="5" t="str">
        <f aca="false">IF(C402=0,"",IF(A402="GL",IF(G402&gt;0,"Deposit in transit","Outstanding check / payment"),IF(G402&gt;0,"Bank credit not in GL","Bank debit not in GL")))</f>
        <v/>
      </c>
      <c r="I402" s="42" t="str">
        <f aca="false">IF(OR(C402=0,CFG_PeriodEnd=""),"",CFG_PeriodEnd-D402)</f>
        <v/>
      </c>
      <c r="J402" s="5" t="str">
        <f aca="false">IF(C402=0,"",IF($A402="Bank",IF(INDEX(Bank!$G:$G,$C402)="","",INDEX(Bank!$G:$G,$C402)),IF(INDEX(GL!$G:$G,$C402)="","",INDEX(GL!$G:$G,$C402))))</f>
        <v/>
      </c>
      <c r="K402" s="5" t="str">
        <f aca="false">IF(C402=0,"",IF($A402="Bank",IF(INDEX(Bank!$I:$I,$C402)="","",INDEX(Bank!$I:$I,$C402)),IF(INDEX(GL!$I:$I,$C402)="","",INDEX(GL!$I:$I,$C402))))</f>
        <v/>
      </c>
      <c r="L402" s="5" t="str">
        <f aca="false">IF(B402="","",IF(C402=0,"NOT FOUND",IF(IF($A402="Bank",INDEX(Bank!$F:$F,$C402),INDEX(GL!$F:$F,$C402))="Y","NOW RECONCILED: refresh","OK")))</f>
        <v/>
      </c>
    </row>
    <row r="403" customFormat="false" ht="15" hidden="false" customHeight="false" outlineLevel="0" collapsed="false">
      <c r="A403" s="41"/>
      <c r="B403" s="41"/>
      <c r="C403" s="5" t="n">
        <f aca="false">IF(B403="",0,IF(A403="Bank",IFERROR(MATCH(B403,Bank!$A:$A,0),0),IFERROR(MATCH(B403,GL!$A:$A,0),0)))</f>
        <v>0</v>
      </c>
      <c r="D403" s="32" t="str">
        <f aca="false">IF(C403=0,"",IF($A403="Bank",INDEX(Bank!$B:$B,$C403),INDEX(GL!$B:$B,$C403)))</f>
        <v/>
      </c>
      <c r="E403" s="5" t="str">
        <f aca="false">IF(C403=0,"",IF($A403="Bank",IF(INDEX(Bank!$C:$C,$C403)="","",INDEX(Bank!$C:$C,$C403)),IF(INDEX(GL!$C:$C,$C403)="","",INDEX(GL!$C:$C,$C403))))</f>
        <v/>
      </c>
      <c r="F403" s="5" t="str">
        <f aca="false">IF(C403=0,"",IF($A403="Bank",IF(INDEX(Bank!$D:$D,$C403)="","",INDEX(Bank!$D:$D,$C403)),IF(INDEX(GL!$D:$D,$C403)="","",INDEX(GL!$D:$D,$C403))))</f>
        <v/>
      </c>
      <c r="G403" s="19" t="str">
        <f aca="false">IF(C403=0,"",IF($A403="Bank",INDEX(Bank!$E:$E,$C403),INDEX(GL!$E:$E,$C403)))</f>
        <v/>
      </c>
      <c r="H403" s="5" t="str">
        <f aca="false">IF(C403=0,"",IF(A403="GL",IF(G403&gt;0,"Deposit in transit","Outstanding check / payment"),IF(G403&gt;0,"Bank credit not in GL","Bank debit not in GL")))</f>
        <v/>
      </c>
      <c r="I403" s="42" t="str">
        <f aca="false">IF(OR(C403=0,CFG_PeriodEnd=""),"",CFG_PeriodEnd-D403)</f>
        <v/>
      </c>
      <c r="J403" s="5" t="str">
        <f aca="false">IF(C403=0,"",IF($A403="Bank",IF(INDEX(Bank!$G:$G,$C403)="","",INDEX(Bank!$G:$G,$C403)),IF(INDEX(GL!$G:$G,$C403)="","",INDEX(GL!$G:$G,$C403))))</f>
        <v/>
      </c>
      <c r="K403" s="5" t="str">
        <f aca="false">IF(C403=0,"",IF($A403="Bank",IF(INDEX(Bank!$I:$I,$C403)="","",INDEX(Bank!$I:$I,$C403)),IF(INDEX(GL!$I:$I,$C403)="","",INDEX(GL!$I:$I,$C403))))</f>
        <v/>
      </c>
      <c r="L403" s="5" t="str">
        <f aca="false">IF(B403="","",IF(C403=0,"NOT FOUND",IF(IF($A403="Bank",INDEX(Bank!$F:$F,$C403),INDEX(GL!$F:$F,$C403))="Y","NOW RECONCILED: refresh","OK")))</f>
        <v/>
      </c>
    </row>
    <row r="404" customFormat="false" ht="15" hidden="false" customHeight="false" outlineLevel="0" collapsed="false">
      <c r="A404" s="41"/>
      <c r="B404" s="41"/>
      <c r="C404" s="5" t="n">
        <f aca="false">IF(B404="",0,IF(A404="Bank",IFERROR(MATCH(B404,Bank!$A:$A,0),0),IFERROR(MATCH(B404,GL!$A:$A,0),0)))</f>
        <v>0</v>
      </c>
      <c r="D404" s="32" t="str">
        <f aca="false">IF(C404=0,"",IF($A404="Bank",INDEX(Bank!$B:$B,$C404),INDEX(GL!$B:$B,$C404)))</f>
        <v/>
      </c>
      <c r="E404" s="5" t="str">
        <f aca="false">IF(C404=0,"",IF($A404="Bank",IF(INDEX(Bank!$C:$C,$C404)="","",INDEX(Bank!$C:$C,$C404)),IF(INDEX(GL!$C:$C,$C404)="","",INDEX(GL!$C:$C,$C404))))</f>
        <v/>
      </c>
      <c r="F404" s="5" t="str">
        <f aca="false">IF(C404=0,"",IF($A404="Bank",IF(INDEX(Bank!$D:$D,$C404)="","",INDEX(Bank!$D:$D,$C404)),IF(INDEX(GL!$D:$D,$C404)="","",INDEX(GL!$D:$D,$C404))))</f>
        <v/>
      </c>
      <c r="G404" s="19" t="str">
        <f aca="false">IF(C404=0,"",IF($A404="Bank",INDEX(Bank!$E:$E,$C404),INDEX(GL!$E:$E,$C404)))</f>
        <v/>
      </c>
      <c r="H404" s="5" t="str">
        <f aca="false">IF(C404=0,"",IF(A404="GL",IF(G404&gt;0,"Deposit in transit","Outstanding check / payment"),IF(G404&gt;0,"Bank credit not in GL","Bank debit not in GL")))</f>
        <v/>
      </c>
      <c r="I404" s="42" t="str">
        <f aca="false">IF(OR(C404=0,CFG_PeriodEnd=""),"",CFG_PeriodEnd-D404)</f>
        <v/>
      </c>
      <c r="J404" s="5" t="str">
        <f aca="false">IF(C404=0,"",IF($A404="Bank",IF(INDEX(Bank!$G:$G,$C404)="","",INDEX(Bank!$G:$G,$C404)),IF(INDEX(GL!$G:$G,$C404)="","",INDEX(GL!$G:$G,$C404))))</f>
        <v/>
      </c>
      <c r="K404" s="5" t="str">
        <f aca="false">IF(C404=0,"",IF($A404="Bank",IF(INDEX(Bank!$I:$I,$C404)="","",INDEX(Bank!$I:$I,$C404)),IF(INDEX(GL!$I:$I,$C404)="","",INDEX(GL!$I:$I,$C404))))</f>
        <v/>
      </c>
      <c r="L404" s="5" t="str">
        <f aca="false">IF(B404="","",IF(C404=0,"NOT FOUND",IF(IF($A404="Bank",INDEX(Bank!$F:$F,$C404),INDEX(GL!$F:$F,$C404))="Y","NOW RECONCILED: refresh","OK")))</f>
        <v/>
      </c>
    </row>
    <row r="405" customFormat="false" ht="15" hidden="false" customHeight="false" outlineLevel="0" collapsed="false">
      <c r="A405" s="41"/>
      <c r="B405" s="41"/>
      <c r="C405" s="5" t="n">
        <f aca="false">IF(B405="",0,IF(A405="Bank",IFERROR(MATCH(B405,Bank!$A:$A,0),0),IFERROR(MATCH(B405,GL!$A:$A,0),0)))</f>
        <v>0</v>
      </c>
      <c r="D405" s="32" t="str">
        <f aca="false">IF(C405=0,"",IF($A405="Bank",INDEX(Bank!$B:$B,$C405),INDEX(GL!$B:$B,$C405)))</f>
        <v/>
      </c>
      <c r="E405" s="5" t="str">
        <f aca="false">IF(C405=0,"",IF($A405="Bank",IF(INDEX(Bank!$C:$C,$C405)="","",INDEX(Bank!$C:$C,$C405)),IF(INDEX(GL!$C:$C,$C405)="","",INDEX(GL!$C:$C,$C405))))</f>
        <v/>
      </c>
      <c r="F405" s="5" t="str">
        <f aca="false">IF(C405=0,"",IF($A405="Bank",IF(INDEX(Bank!$D:$D,$C405)="","",INDEX(Bank!$D:$D,$C405)),IF(INDEX(GL!$D:$D,$C405)="","",INDEX(GL!$D:$D,$C405))))</f>
        <v/>
      </c>
      <c r="G405" s="19" t="str">
        <f aca="false">IF(C405=0,"",IF($A405="Bank",INDEX(Bank!$E:$E,$C405),INDEX(GL!$E:$E,$C405)))</f>
        <v/>
      </c>
      <c r="H405" s="5" t="str">
        <f aca="false">IF(C405=0,"",IF(A405="GL",IF(G405&gt;0,"Deposit in transit","Outstanding check / payment"),IF(G405&gt;0,"Bank credit not in GL","Bank debit not in GL")))</f>
        <v/>
      </c>
      <c r="I405" s="42" t="str">
        <f aca="false">IF(OR(C405=0,CFG_PeriodEnd=""),"",CFG_PeriodEnd-D405)</f>
        <v/>
      </c>
      <c r="J405" s="5" t="str">
        <f aca="false">IF(C405=0,"",IF($A405="Bank",IF(INDEX(Bank!$G:$G,$C405)="","",INDEX(Bank!$G:$G,$C405)),IF(INDEX(GL!$G:$G,$C405)="","",INDEX(GL!$G:$G,$C405))))</f>
        <v/>
      </c>
      <c r="K405" s="5" t="str">
        <f aca="false">IF(C405=0,"",IF($A405="Bank",IF(INDEX(Bank!$I:$I,$C405)="","",INDEX(Bank!$I:$I,$C405)),IF(INDEX(GL!$I:$I,$C405)="","",INDEX(GL!$I:$I,$C405))))</f>
        <v/>
      </c>
      <c r="L405" s="5" t="str">
        <f aca="false">IF(B405="","",IF(C405=0,"NOT FOUND",IF(IF($A405="Bank",INDEX(Bank!$F:$F,$C405),INDEX(GL!$F:$F,$C405))="Y","NOW RECONCILED: refresh","OK")))</f>
        <v/>
      </c>
    </row>
    <row r="406" customFormat="false" ht="15" hidden="false" customHeight="false" outlineLevel="0" collapsed="false">
      <c r="A406" s="41"/>
      <c r="B406" s="41"/>
      <c r="C406" s="5" t="n">
        <f aca="false">IF(B406="",0,IF(A406="Bank",IFERROR(MATCH(B406,Bank!$A:$A,0),0),IFERROR(MATCH(B406,GL!$A:$A,0),0)))</f>
        <v>0</v>
      </c>
      <c r="D406" s="32" t="str">
        <f aca="false">IF(C406=0,"",IF($A406="Bank",INDEX(Bank!$B:$B,$C406),INDEX(GL!$B:$B,$C406)))</f>
        <v/>
      </c>
      <c r="E406" s="5" t="str">
        <f aca="false">IF(C406=0,"",IF($A406="Bank",IF(INDEX(Bank!$C:$C,$C406)="","",INDEX(Bank!$C:$C,$C406)),IF(INDEX(GL!$C:$C,$C406)="","",INDEX(GL!$C:$C,$C406))))</f>
        <v/>
      </c>
      <c r="F406" s="5" t="str">
        <f aca="false">IF(C406=0,"",IF($A406="Bank",IF(INDEX(Bank!$D:$D,$C406)="","",INDEX(Bank!$D:$D,$C406)),IF(INDEX(GL!$D:$D,$C406)="","",INDEX(GL!$D:$D,$C406))))</f>
        <v/>
      </c>
      <c r="G406" s="19" t="str">
        <f aca="false">IF(C406=0,"",IF($A406="Bank",INDEX(Bank!$E:$E,$C406),INDEX(GL!$E:$E,$C406)))</f>
        <v/>
      </c>
      <c r="H406" s="5" t="str">
        <f aca="false">IF(C406=0,"",IF(A406="GL",IF(G406&gt;0,"Deposit in transit","Outstanding check / payment"),IF(G406&gt;0,"Bank credit not in GL","Bank debit not in GL")))</f>
        <v/>
      </c>
      <c r="I406" s="42" t="str">
        <f aca="false">IF(OR(C406=0,CFG_PeriodEnd=""),"",CFG_PeriodEnd-D406)</f>
        <v/>
      </c>
      <c r="J406" s="5" t="str">
        <f aca="false">IF(C406=0,"",IF($A406="Bank",IF(INDEX(Bank!$G:$G,$C406)="","",INDEX(Bank!$G:$G,$C406)),IF(INDEX(GL!$G:$G,$C406)="","",INDEX(GL!$G:$G,$C406))))</f>
        <v/>
      </c>
      <c r="K406" s="5" t="str">
        <f aca="false">IF(C406=0,"",IF($A406="Bank",IF(INDEX(Bank!$I:$I,$C406)="","",INDEX(Bank!$I:$I,$C406)),IF(INDEX(GL!$I:$I,$C406)="","",INDEX(GL!$I:$I,$C406))))</f>
        <v/>
      </c>
      <c r="L406" s="5" t="str">
        <f aca="false">IF(B406="","",IF(C406=0,"NOT FOUND",IF(IF($A406="Bank",INDEX(Bank!$F:$F,$C406),INDEX(GL!$F:$F,$C406))="Y","NOW RECONCILED: refresh","OK")))</f>
        <v/>
      </c>
    </row>
    <row r="407" customFormat="false" ht="15" hidden="false" customHeight="false" outlineLevel="0" collapsed="false">
      <c r="A407" s="41"/>
      <c r="B407" s="41"/>
      <c r="C407" s="5" t="n">
        <f aca="false">IF(B407="",0,IF(A407="Bank",IFERROR(MATCH(B407,Bank!$A:$A,0),0),IFERROR(MATCH(B407,GL!$A:$A,0),0)))</f>
        <v>0</v>
      </c>
      <c r="D407" s="32" t="str">
        <f aca="false">IF(C407=0,"",IF($A407="Bank",INDEX(Bank!$B:$B,$C407),INDEX(GL!$B:$B,$C407)))</f>
        <v/>
      </c>
      <c r="E407" s="5" t="str">
        <f aca="false">IF(C407=0,"",IF($A407="Bank",IF(INDEX(Bank!$C:$C,$C407)="","",INDEX(Bank!$C:$C,$C407)),IF(INDEX(GL!$C:$C,$C407)="","",INDEX(GL!$C:$C,$C407))))</f>
        <v/>
      </c>
      <c r="F407" s="5" t="str">
        <f aca="false">IF(C407=0,"",IF($A407="Bank",IF(INDEX(Bank!$D:$D,$C407)="","",INDEX(Bank!$D:$D,$C407)),IF(INDEX(GL!$D:$D,$C407)="","",INDEX(GL!$D:$D,$C407))))</f>
        <v/>
      </c>
      <c r="G407" s="19" t="str">
        <f aca="false">IF(C407=0,"",IF($A407="Bank",INDEX(Bank!$E:$E,$C407),INDEX(GL!$E:$E,$C407)))</f>
        <v/>
      </c>
      <c r="H407" s="5" t="str">
        <f aca="false">IF(C407=0,"",IF(A407="GL",IF(G407&gt;0,"Deposit in transit","Outstanding check / payment"),IF(G407&gt;0,"Bank credit not in GL","Bank debit not in GL")))</f>
        <v/>
      </c>
      <c r="I407" s="42" t="str">
        <f aca="false">IF(OR(C407=0,CFG_PeriodEnd=""),"",CFG_PeriodEnd-D407)</f>
        <v/>
      </c>
      <c r="J407" s="5" t="str">
        <f aca="false">IF(C407=0,"",IF($A407="Bank",IF(INDEX(Bank!$G:$G,$C407)="","",INDEX(Bank!$G:$G,$C407)),IF(INDEX(GL!$G:$G,$C407)="","",INDEX(GL!$G:$G,$C407))))</f>
        <v/>
      </c>
      <c r="K407" s="5" t="str">
        <f aca="false">IF(C407=0,"",IF($A407="Bank",IF(INDEX(Bank!$I:$I,$C407)="","",INDEX(Bank!$I:$I,$C407)),IF(INDEX(GL!$I:$I,$C407)="","",INDEX(GL!$I:$I,$C407))))</f>
        <v/>
      </c>
      <c r="L407" s="5" t="str">
        <f aca="false">IF(B407="","",IF(C407=0,"NOT FOUND",IF(IF($A407="Bank",INDEX(Bank!$F:$F,$C407),INDEX(GL!$F:$F,$C407))="Y","NOW RECONCILED: refresh","OK")))</f>
        <v/>
      </c>
    </row>
    <row r="408" customFormat="false" ht="15" hidden="false" customHeight="false" outlineLevel="0" collapsed="false">
      <c r="A408" s="41"/>
      <c r="B408" s="41"/>
      <c r="C408" s="5" t="n">
        <f aca="false">IF(B408="",0,IF(A408="Bank",IFERROR(MATCH(B408,Bank!$A:$A,0),0),IFERROR(MATCH(B408,GL!$A:$A,0),0)))</f>
        <v>0</v>
      </c>
      <c r="D408" s="32" t="str">
        <f aca="false">IF(C408=0,"",IF($A408="Bank",INDEX(Bank!$B:$B,$C408),INDEX(GL!$B:$B,$C408)))</f>
        <v/>
      </c>
      <c r="E408" s="5" t="str">
        <f aca="false">IF(C408=0,"",IF($A408="Bank",IF(INDEX(Bank!$C:$C,$C408)="","",INDEX(Bank!$C:$C,$C408)),IF(INDEX(GL!$C:$C,$C408)="","",INDEX(GL!$C:$C,$C408))))</f>
        <v/>
      </c>
      <c r="F408" s="5" t="str">
        <f aca="false">IF(C408=0,"",IF($A408="Bank",IF(INDEX(Bank!$D:$D,$C408)="","",INDEX(Bank!$D:$D,$C408)),IF(INDEX(GL!$D:$D,$C408)="","",INDEX(GL!$D:$D,$C408))))</f>
        <v/>
      </c>
      <c r="G408" s="19" t="str">
        <f aca="false">IF(C408=0,"",IF($A408="Bank",INDEX(Bank!$E:$E,$C408),INDEX(GL!$E:$E,$C408)))</f>
        <v/>
      </c>
      <c r="H408" s="5" t="str">
        <f aca="false">IF(C408=0,"",IF(A408="GL",IF(G408&gt;0,"Deposit in transit","Outstanding check / payment"),IF(G408&gt;0,"Bank credit not in GL","Bank debit not in GL")))</f>
        <v/>
      </c>
      <c r="I408" s="42" t="str">
        <f aca="false">IF(OR(C408=0,CFG_PeriodEnd=""),"",CFG_PeriodEnd-D408)</f>
        <v/>
      </c>
      <c r="J408" s="5" t="str">
        <f aca="false">IF(C408=0,"",IF($A408="Bank",IF(INDEX(Bank!$G:$G,$C408)="","",INDEX(Bank!$G:$G,$C408)),IF(INDEX(GL!$G:$G,$C408)="","",INDEX(GL!$G:$G,$C408))))</f>
        <v/>
      </c>
      <c r="K408" s="5" t="str">
        <f aca="false">IF(C408=0,"",IF($A408="Bank",IF(INDEX(Bank!$I:$I,$C408)="","",INDEX(Bank!$I:$I,$C408)),IF(INDEX(GL!$I:$I,$C408)="","",INDEX(GL!$I:$I,$C408))))</f>
        <v/>
      </c>
      <c r="L408" s="5" t="str">
        <f aca="false">IF(B408="","",IF(C408=0,"NOT FOUND",IF(IF($A408="Bank",INDEX(Bank!$F:$F,$C408),INDEX(GL!$F:$F,$C408))="Y","NOW RECONCILED: refresh","OK")))</f>
        <v/>
      </c>
    </row>
    <row r="409" customFormat="false" ht="15" hidden="false" customHeight="false" outlineLevel="0" collapsed="false">
      <c r="A409" s="41"/>
      <c r="B409" s="41"/>
      <c r="C409" s="5" t="n">
        <f aca="false">IF(B409="",0,IF(A409="Bank",IFERROR(MATCH(B409,Bank!$A:$A,0),0),IFERROR(MATCH(B409,GL!$A:$A,0),0)))</f>
        <v>0</v>
      </c>
      <c r="D409" s="32" t="str">
        <f aca="false">IF(C409=0,"",IF($A409="Bank",INDEX(Bank!$B:$B,$C409),INDEX(GL!$B:$B,$C409)))</f>
        <v/>
      </c>
      <c r="E409" s="5" t="str">
        <f aca="false">IF(C409=0,"",IF($A409="Bank",IF(INDEX(Bank!$C:$C,$C409)="","",INDEX(Bank!$C:$C,$C409)),IF(INDEX(GL!$C:$C,$C409)="","",INDEX(GL!$C:$C,$C409))))</f>
        <v/>
      </c>
      <c r="F409" s="5" t="str">
        <f aca="false">IF(C409=0,"",IF($A409="Bank",IF(INDEX(Bank!$D:$D,$C409)="","",INDEX(Bank!$D:$D,$C409)),IF(INDEX(GL!$D:$D,$C409)="","",INDEX(GL!$D:$D,$C409))))</f>
        <v/>
      </c>
      <c r="G409" s="19" t="str">
        <f aca="false">IF(C409=0,"",IF($A409="Bank",INDEX(Bank!$E:$E,$C409),INDEX(GL!$E:$E,$C409)))</f>
        <v/>
      </c>
      <c r="H409" s="5" t="str">
        <f aca="false">IF(C409=0,"",IF(A409="GL",IF(G409&gt;0,"Deposit in transit","Outstanding check / payment"),IF(G409&gt;0,"Bank credit not in GL","Bank debit not in GL")))</f>
        <v/>
      </c>
      <c r="I409" s="42" t="str">
        <f aca="false">IF(OR(C409=0,CFG_PeriodEnd=""),"",CFG_PeriodEnd-D409)</f>
        <v/>
      </c>
      <c r="J409" s="5" t="str">
        <f aca="false">IF(C409=0,"",IF($A409="Bank",IF(INDEX(Bank!$G:$G,$C409)="","",INDEX(Bank!$G:$G,$C409)),IF(INDEX(GL!$G:$G,$C409)="","",INDEX(GL!$G:$G,$C409))))</f>
        <v/>
      </c>
      <c r="K409" s="5" t="str">
        <f aca="false">IF(C409=0,"",IF($A409="Bank",IF(INDEX(Bank!$I:$I,$C409)="","",INDEX(Bank!$I:$I,$C409)),IF(INDEX(GL!$I:$I,$C409)="","",INDEX(GL!$I:$I,$C409))))</f>
        <v/>
      </c>
      <c r="L409" s="5" t="str">
        <f aca="false">IF(B409="","",IF(C409=0,"NOT FOUND",IF(IF($A409="Bank",INDEX(Bank!$F:$F,$C409),INDEX(GL!$F:$F,$C409))="Y","NOW RECONCILED: refresh","OK")))</f>
        <v/>
      </c>
    </row>
    <row r="410" customFormat="false" ht="15" hidden="false" customHeight="false" outlineLevel="0" collapsed="false">
      <c r="A410" s="41"/>
      <c r="B410" s="41"/>
      <c r="C410" s="5" t="n">
        <f aca="false">IF(B410="",0,IF(A410="Bank",IFERROR(MATCH(B410,Bank!$A:$A,0),0),IFERROR(MATCH(B410,GL!$A:$A,0),0)))</f>
        <v>0</v>
      </c>
      <c r="D410" s="32" t="str">
        <f aca="false">IF(C410=0,"",IF($A410="Bank",INDEX(Bank!$B:$B,$C410),INDEX(GL!$B:$B,$C410)))</f>
        <v/>
      </c>
      <c r="E410" s="5" t="str">
        <f aca="false">IF(C410=0,"",IF($A410="Bank",IF(INDEX(Bank!$C:$C,$C410)="","",INDEX(Bank!$C:$C,$C410)),IF(INDEX(GL!$C:$C,$C410)="","",INDEX(GL!$C:$C,$C410))))</f>
        <v/>
      </c>
      <c r="F410" s="5" t="str">
        <f aca="false">IF(C410=0,"",IF($A410="Bank",IF(INDEX(Bank!$D:$D,$C410)="","",INDEX(Bank!$D:$D,$C410)),IF(INDEX(GL!$D:$D,$C410)="","",INDEX(GL!$D:$D,$C410))))</f>
        <v/>
      </c>
      <c r="G410" s="19" t="str">
        <f aca="false">IF(C410=0,"",IF($A410="Bank",INDEX(Bank!$E:$E,$C410),INDEX(GL!$E:$E,$C410)))</f>
        <v/>
      </c>
      <c r="H410" s="5" t="str">
        <f aca="false">IF(C410=0,"",IF(A410="GL",IF(G410&gt;0,"Deposit in transit","Outstanding check / payment"),IF(G410&gt;0,"Bank credit not in GL","Bank debit not in GL")))</f>
        <v/>
      </c>
      <c r="I410" s="42" t="str">
        <f aca="false">IF(OR(C410=0,CFG_PeriodEnd=""),"",CFG_PeriodEnd-D410)</f>
        <v/>
      </c>
      <c r="J410" s="5" t="str">
        <f aca="false">IF(C410=0,"",IF($A410="Bank",IF(INDEX(Bank!$G:$G,$C410)="","",INDEX(Bank!$G:$G,$C410)),IF(INDEX(GL!$G:$G,$C410)="","",INDEX(GL!$G:$G,$C410))))</f>
        <v/>
      </c>
      <c r="K410" s="5" t="str">
        <f aca="false">IF(C410=0,"",IF($A410="Bank",IF(INDEX(Bank!$I:$I,$C410)="","",INDEX(Bank!$I:$I,$C410)),IF(INDEX(GL!$I:$I,$C410)="","",INDEX(GL!$I:$I,$C410))))</f>
        <v/>
      </c>
      <c r="L410" s="5" t="str">
        <f aca="false">IF(B410="","",IF(C410=0,"NOT FOUND",IF(IF($A410="Bank",INDEX(Bank!$F:$F,$C410),INDEX(GL!$F:$F,$C410))="Y","NOW RECONCILED: refresh","OK")))</f>
        <v/>
      </c>
    </row>
    <row r="411" customFormat="false" ht="15" hidden="false" customHeight="false" outlineLevel="0" collapsed="false">
      <c r="A411" s="41"/>
      <c r="B411" s="41"/>
      <c r="C411" s="5" t="n">
        <f aca="false">IF(B411="",0,IF(A411="Bank",IFERROR(MATCH(B411,Bank!$A:$A,0),0),IFERROR(MATCH(B411,GL!$A:$A,0),0)))</f>
        <v>0</v>
      </c>
      <c r="D411" s="32" t="str">
        <f aca="false">IF(C411=0,"",IF($A411="Bank",INDEX(Bank!$B:$B,$C411),INDEX(GL!$B:$B,$C411)))</f>
        <v/>
      </c>
      <c r="E411" s="5" t="str">
        <f aca="false">IF(C411=0,"",IF($A411="Bank",IF(INDEX(Bank!$C:$C,$C411)="","",INDEX(Bank!$C:$C,$C411)),IF(INDEX(GL!$C:$C,$C411)="","",INDEX(GL!$C:$C,$C411))))</f>
        <v/>
      </c>
      <c r="F411" s="5" t="str">
        <f aca="false">IF(C411=0,"",IF($A411="Bank",IF(INDEX(Bank!$D:$D,$C411)="","",INDEX(Bank!$D:$D,$C411)),IF(INDEX(GL!$D:$D,$C411)="","",INDEX(GL!$D:$D,$C411))))</f>
        <v/>
      </c>
      <c r="G411" s="19" t="str">
        <f aca="false">IF(C411=0,"",IF($A411="Bank",INDEX(Bank!$E:$E,$C411),INDEX(GL!$E:$E,$C411)))</f>
        <v/>
      </c>
      <c r="H411" s="5" t="str">
        <f aca="false">IF(C411=0,"",IF(A411="GL",IF(G411&gt;0,"Deposit in transit","Outstanding check / payment"),IF(G411&gt;0,"Bank credit not in GL","Bank debit not in GL")))</f>
        <v/>
      </c>
      <c r="I411" s="42" t="str">
        <f aca="false">IF(OR(C411=0,CFG_PeriodEnd=""),"",CFG_PeriodEnd-D411)</f>
        <v/>
      </c>
      <c r="J411" s="5" t="str">
        <f aca="false">IF(C411=0,"",IF($A411="Bank",IF(INDEX(Bank!$G:$G,$C411)="","",INDEX(Bank!$G:$G,$C411)),IF(INDEX(GL!$G:$G,$C411)="","",INDEX(GL!$G:$G,$C411))))</f>
        <v/>
      </c>
      <c r="K411" s="5" t="str">
        <f aca="false">IF(C411=0,"",IF($A411="Bank",IF(INDEX(Bank!$I:$I,$C411)="","",INDEX(Bank!$I:$I,$C411)),IF(INDEX(GL!$I:$I,$C411)="","",INDEX(GL!$I:$I,$C411))))</f>
        <v/>
      </c>
      <c r="L411" s="5" t="str">
        <f aca="false">IF(B411="","",IF(C411=0,"NOT FOUND",IF(IF($A411="Bank",INDEX(Bank!$F:$F,$C411),INDEX(GL!$F:$F,$C411))="Y","NOW RECONCILED: refresh","OK")))</f>
        <v/>
      </c>
    </row>
    <row r="412" customFormat="false" ht="15" hidden="false" customHeight="false" outlineLevel="0" collapsed="false">
      <c r="A412" s="41"/>
      <c r="B412" s="41"/>
      <c r="C412" s="5" t="n">
        <f aca="false">IF(B412="",0,IF(A412="Bank",IFERROR(MATCH(B412,Bank!$A:$A,0),0),IFERROR(MATCH(B412,GL!$A:$A,0),0)))</f>
        <v>0</v>
      </c>
      <c r="D412" s="32" t="str">
        <f aca="false">IF(C412=0,"",IF($A412="Bank",INDEX(Bank!$B:$B,$C412),INDEX(GL!$B:$B,$C412)))</f>
        <v/>
      </c>
      <c r="E412" s="5" t="str">
        <f aca="false">IF(C412=0,"",IF($A412="Bank",IF(INDEX(Bank!$C:$C,$C412)="","",INDEX(Bank!$C:$C,$C412)),IF(INDEX(GL!$C:$C,$C412)="","",INDEX(GL!$C:$C,$C412))))</f>
        <v/>
      </c>
      <c r="F412" s="5" t="str">
        <f aca="false">IF(C412=0,"",IF($A412="Bank",IF(INDEX(Bank!$D:$D,$C412)="","",INDEX(Bank!$D:$D,$C412)),IF(INDEX(GL!$D:$D,$C412)="","",INDEX(GL!$D:$D,$C412))))</f>
        <v/>
      </c>
      <c r="G412" s="19" t="str">
        <f aca="false">IF(C412=0,"",IF($A412="Bank",INDEX(Bank!$E:$E,$C412),INDEX(GL!$E:$E,$C412)))</f>
        <v/>
      </c>
      <c r="H412" s="5" t="str">
        <f aca="false">IF(C412=0,"",IF(A412="GL",IF(G412&gt;0,"Deposit in transit","Outstanding check / payment"),IF(G412&gt;0,"Bank credit not in GL","Bank debit not in GL")))</f>
        <v/>
      </c>
      <c r="I412" s="42" t="str">
        <f aca="false">IF(OR(C412=0,CFG_PeriodEnd=""),"",CFG_PeriodEnd-D412)</f>
        <v/>
      </c>
      <c r="J412" s="5" t="str">
        <f aca="false">IF(C412=0,"",IF($A412="Bank",IF(INDEX(Bank!$G:$G,$C412)="","",INDEX(Bank!$G:$G,$C412)),IF(INDEX(GL!$G:$G,$C412)="","",INDEX(GL!$G:$G,$C412))))</f>
        <v/>
      </c>
      <c r="K412" s="5" t="str">
        <f aca="false">IF(C412=0,"",IF($A412="Bank",IF(INDEX(Bank!$I:$I,$C412)="","",INDEX(Bank!$I:$I,$C412)),IF(INDEX(GL!$I:$I,$C412)="","",INDEX(GL!$I:$I,$C412))))</f>
        <v/>
      </c>
      <c r="L412" s="5" t="str">
        <f aca="false">IF(B412="","",IF(C412=0,"NOT FOUND",IF(IF($A412="Bank",INDEX(Bank!$F:$F,$C412),INDEX(GL!$F:$F,$C412))="Y","NOW RECONCILED: refresh","OK")))</f>
        <v/>
      </c>
    </row>
    <row r="413" customFormat="false" ht="15" hidden="false" customHeight="false" outlineLevel="0" collapsed="false">
      <c r="A413" s="41"/>
      <c r="B413" s="41"/>
      <c r="C413" s="5" t="n">
        <f aca="false">IF(B413="",0,IF(A413="Bank",IFERROR(MATCH(B413,Bank!$A:$A,0),0),IFERROR(MATCH(B413,GL!$A:$A,0),0)))</f>
        <v>0</v>
      </c>
      <c r="D413" s="32" t="str">
        <f aca="false">IF(C413=0,"",IF($A413="Bank",INDEX(Bank!$B:$B,$C413),INDEX(GL!$B:$B,$C413)))</f>
        <v/>
      </c>
      <c r="E413" s="5" t="str">
        <f aca="false">IF(C413=0,"",IF($A413="Bank",IF(INDEX(Bank!$C:$C,$C413)="","",INDEX(Bank!$C:$C,$C413)),IF(INDEX(GL!$C:$C,$C413)="","",INDEX(GL!$C:$C,$C413))))</f>
        <v/>
      </c>
      <c r="F413" s="5" t="str">
        <f aca="false">IF(C413=0,"",IF($A413="Bank",IF(INDEX(Bank!$D:$D,$C413)="","",INDEX(Bank!$D:$D,$C413)),IF(INDEX(GL!$D:$D,$C413)="","",INDEX(GL!$D:$D,$C413))))</f>
        <v/>
      </c>
      <c r="G413" s="19" t="str">
        <f aca="false">IF(C413=0,"",IF($A413="Bank",INDEX(Bank!$E:$E,$C413),INDEX(GL!$E:$E,$C413)))</f>
        <v/>
      </c>
      <c r="H413" s="5" t="str">
        <f aca="false">IF(C413=0,"",IF(A413="GL",IF(G413&gt;0,"Deposit in transit","Outstanding check / payment"),IF(G413&gt;0,"Bank credit not in GL","Bank debit not in GL")))</f>
        <v/>
      </c>
      <c r="I413" s="42" t="str">
        <f aca="false">IF(OR(C413=0,CFG_PeriodEnd=""),"",CFG_PeriodEnd-D413)</f>
        <v/>
      </c>
      <c r="J413" s="5" t="str">
        <f aca="false">IF(C413=0,"",IF($A413="Bank",IF(INDEX(Bank!$G:$G,$C413)="","",INDEX(Bank!$G:$G,$C413)),IF(INDEX(GL!$G:$G,$C413)="","",INDEX(GL!$G:$G,$C413))))</f>
        <v/>
      </c>
      <c r="K413" s="5" t="str">
        <f aca="false">IF(C413=0,"",IF($A413="Bank",IF(INDEX(Bank!$I:$I,$C413)="","",INDEX(Bank!$I:$I,$C413)),IF(INDEX(GL!$I:$I,$C413)="","",INDEX(GL!$I:$I,$C413))))</f>
        <v/>
      </c>
      <c r="L413" s="5" t="str">
        <f aca="false">IF(B413="","",IF(C413=0,"NOT FOUND",IF(IF($A413="Bank",INDEX(Bank!$F:$F,$C413),INDEX(GL!$F:$F,$C413))="Y","NOW RECONCILED: refresh","OK")))</f>
        <v/>
      </c>
    </row>
    <row r="414" customFormat="false" ht="15" hidden="false" customHeight="false" outlineLevel="0" collapsed="false">
      <c r="A414" s="41"/>
      <c r="B414" s="41"/>
      <c r="C414" s="5" t="n">
        <f aca="false">IF(B414="",0,IF(A414="Bank",IFERROR(MATCH(B414,Bank!$A:$A,0),0),IFERROR(MATCH(B414,GL!$A:$A,0),0)))</f>
        <v>0</v>
      </c>
      <c r="D414" s="32" t="str">
        <f aca="false">IF(C414=0,"",IF($A414="Bank",INDEX(Bank!$B:$B,$C414),INDEX(GL!$B:$B,$C414)))</f>
        <v/>
      </c>
      <c r="E414" s="5" t="str">
        <f aca="false">IF(C414=0,"",IF($A414="Bank",IF(INDEX(Bank!$C:$C,$C414)="","",INDEX(Bank!$C:$C,$C414)),IF(INDEX(GL!$C:$C,$C414)="","",INDEX(GL!$C:$C,$C414))))</f>
        <v/>
      </c>
      <c r="F414" s="5" t="str">
        <f aca="false">IF(C414=0,"",IF($A414="Bank",IF(INDEX(Bank!$D:$D,$C414)="","",INDEX(Bank!$D:$D,$C414)),IF(INDEX(GL!$D:$D,$C414)="","",INDEX(GL!$D:$D,$C414))))</f>
        <v/>
      </c>
      <c r="G414" s="19" t="str">
        <f aca="false">IF(C414=0,"",IF($A414="Bank",INDEX(Bank!$E:$E,$C414),INDEX(GL!$E:$E,$C414)))</f>
        <v/>
      </c>
      <c r="H414" s="5" t="str">
        <f aca="false">IF(C414=0,"",IF(A414="GL",IF(G414&gt;0,"Deposit in transit","Outstanding check / payment"),IF(G414&gt;0,"Bank credit not in GL","Bank debit not in GL")))</f>
        <v/>
      </c>
      <c r="I414" s="42" t="str">
        <f aca="false">IF(OR(C414=0,CFG_PeriodEnd=""),"",CFG_PeriodEnd-D414)</f>
        <v/>
      </c>
      <c r="J414" s="5" t="str">
        <f aca="false">IF(C414=0,"",IF($A414="Bank",IF(INDEX(Bank!$G:$G,$C414)="","",INDEX(Bank!$G:$G,$C414)),IF(INDEX(GL!$G:$G,$C414)="","",INDEX(GL!$G:$G,$C414))))</f>
        <v/>
      </c>
      <c r="K414" s="5" t="str">
        <f aca="false">IF(C414=0,"",IF($A414="Bank",IF(INDEX(Bank!$I:$I,$C414)="","",INDEX(Bank!$I:$I,$C414)),IF(INDEX(GL!$I:$I,$C414)="","",INDEX(GL!$I:$I,$C414))))</f>
        <v/>
      </c>
      <c r="L414" s="5" t="str">
        <f aca="false">IF(B414="","",IF(C414=0,"NOT FOUND",IF(IF($A414="Bank",INDEX(Bank!$F:$F,$C414),INDEX(GL!$F:$F,$C414))="Y","NOW RECONCILED: refresh","OK")))</f>
        <v/>
      </c>
    </row>
    <row r="415" customFormat="false" ht="15" hidden="false" customHeight="false" outlineLevel="0" collapsed="false">
      <c r="A415" s="41"/>
      <c r="B415" s="41"/>
      <c r="C415" s="5" t="n">
        <f aca="false">IF(B415="",0,IF(A415="Bank",IFERROR(MATCH(B415,Bank!$A:$A,0),0),IFERROR(MATCH(B415,GL!$A:$A,0),0)))</f>
        <v>0</v>
      </c>
      <c r="D415" s="32" t="str">
        <f aca="false">IF(C415=0,"",IF($A415="Bank",INDEX(Bank!$B:$B,$C415),INDEX(GL!$B:$B,$C415)))</f>
        <v/>
      </c>
      <c r="E415" s="5" t="str">
        <f aca="false">IF(C415=0,"",IF($A415="Bank",IF(INDEX(Bank!$C:$C,$C415)="","",INDEX(Bank!$C:$C,$C415)),IF(INDEX(GL!$C:$C,$C415)="","",INDEX(GL!$C:$C,$C415))))</f>
        <v/>
      </c>
      <c r="F415" s="5" t="str">
        <f aca="false">IF(C415=0,"",IF($A415="Bank",IF(INDEX(Bank!$D:$D,$C415)="","",INDEX(Bank!$D:$D,$C415)),IF(INDEX(GL!$D:$D,$C415)="","",INDEX(GL!$D:$D,$C415))))</f>
        <v/>
      </c>
      <c r="G415" s="19" t="str">
        <f aca="false">IF(C415=0,"",IF($A415="Bank",INDEX(Bank!$E:$E,$C415),INDEX(GL!$E:$E,$C415)))</f>
        <v/>
      </c>
      <c r="H415" s="5" t="str">
        <f aca="false">IF(C415=0,"",IF(A415="GL",IF(G415&gt;0,"Deposit in transit","Outstanding check / payment"),IF(G415&gt;0,"Bank credit not in GL","Bank debit not in GL")))</f>
        <v/>
      </c>
      <c r="I415" s="42" t="str">
        <f aca="false">IF(OR(C415=0,CFG_PeriodEnd=""),"",CFG_PeriodEnd-D415)</f>
        <v/>
      </c>
      <c r="J415" s="5" t="str">
        <f aca="false">IF(C415=0,"",IF($A415="Bank",IF(INDEX(Bank!$G:$G,$C415)="","",INDEX(Bank!$G:$G,$C415)),IF(INDEX(GL!$G:$G,$C415)="","",INDEX(GL!$G:$G,$C415))))</f>
        <v/>
      </c>
      <c r="K415" s="5" t="str">
        <f aca="false">IF(C415=0,"",IF($A415="Bank",IF(INDEX(Bank!$I:$I,$C415)="","",INDEX(Bank!$I:$I,$C415)),IF(INDEX(GL!$I:$I,$C415)="","",INDEX(GL!$I:$I,$C415))))</f>
        <v/>
      </c>
      <c r="L415" s="5" t="str">
        <f aca="false">IF(B415="","",IF(C415=0,"NOT FOUND",IF(IF($A415="Bank",INDEX(Bank!$F:$F,$C415),INDEX(GL!$F:$F,$C415))="Y","NOW RECONCILED: refresh","OK")))</f>
        <v/>
      </c>
    </row>
    <row r="416" customFormat="false" ht="15" hidden="false" customHeight="false" outlineLevel="0" collapsed="false">
      <c r="A416" s="41"/>
      <c r="B416" s="41"/>
      <c r="C416" s="5" t="n">
        <f aca="false">IF(B416="",0,IF(A416="Bank",IFERROR(MATCH(B416,Bank!$A:$A,0),0),IFERROR(MATCH(B416,GL!$A:$A,0),0)))</f>
        <v>0</v>
      </c>
      <c r="D416" s="32" t="str">
        <f aca="false">IF(C416=0,"",IF($A416="Bank",INDEX(Bank!$B:$B,$C416),INDEX(GL!$B:$B,$C416)))</f>
        <v/>
      </c>
      <c r="E416" s="5" t="str">
        <f aca="false">IF(C416=0,"",IF($A416="Bank",IF(INDEX(Bank!$C:$C,$C416)="","",INDEX(Bank!$C:$C,$C416)),IF(INDEX(GL!$C:$C,$C416)="","",INDEX(GL!$C:$C,$C416))))</f>
        <v/>
      </c>
      <c r="F416" s="5" t="str">
        <f aca="false">IF(C416=0,"",IF($A416="Bank",IF(INDEX(Bank!$D:$D,$C416)="","",INDEX(Bank!$D:$D,$C416)),IF(INDEX(GL!$D:$D,$C416)="","",INDEX(GL!$D:$D,$C416))))</f>
        <v/>
      </c>
      <c r="G416" s="19" t="str">
        <f aca="false">IF(C416=0,"",IF($A416="Bank",INDEX(Bank!$E:$E,$C416),INDEX(GL!$E:$E,$C416)))</f>
        <v/>
      </c>
      <c r="H416" s="5" t="str">
        <f aca="false">IF(C416=0,"",IF(A416="GL",IF(G416&gt;0,"Deposit in transit","Outstanding check / payment"),IF(G416&gt;0,"Bank credit not in GL","Bank debit not in GL")))</f>
        <v/>
      </c>
      <c r="I416" s="42" t="str">
        <f aca="false">IF(OR(C416=0,CFG_PeriodEnd=""),"",CFG_PeriodEnd-D416)</f>
        <v/>
      </c>
      <c r="J416" s="5" t="str">
        <f aca="false">IF(C416=0,"",IF($A416="Bank",IF(INDEX(Bank!$G:$G,$C416)="","",INDEX(Bank!$G:$G,$C416)),IF(INDEX(GL!$G:$G,$C416)="","",INDEX(GL!$G:$G,$C416))))</f>
        <v/>
      </c>
      <c r="K416" s="5" t="str">
        <f aca="false">IF(C416=0,"",IF($A416="Bank",IF(INDEX(Bank!$I:$I,$C416)="","",INDEX(Bank!$I:$I,$C416)),IF(INDEX(GL!$I:$I,$C416)="","",INDEX(GL!$I:$I,$C416))))</f>
        <v/>
      </c>
      <c r="L416" s="5" t="str">
        <f aca="false">IF(B416="","",IF(C416=0,"NOT FOUND",IF(IF($A416="Bank",INDEX(Bank!$F:$F,$C416),INDEX(GL!$F:$F,$C416))="Y","NOW RECONCILED: refresh","OK")))</f>
        <v/>
      </c>
    </row>
    <row r="417" customFormat="false" ht="15" hidden="false" customHeight="false" outlineLevel="0" collapsed="false">
      <c r="A417" s="41"/>
      <c r="B417" s="41"/>
      <c r="C417" s="5" t="n">
        <f aca="false">IF(B417="",0,IF(A417="Bank",IFERROR(MATCH(B417,Bank!$A:$A,0),0),IFERROR(MATCH(B417,GL!$A:$A,0),0)))</f>
        <v>0</v>
      </c>
      <c r="D417" s="32" t="str">
        <f aca="false">IF(C417=0,"",IF($A417="Bank",INDEX(Bank!$B:$B,$C417),INDEX(GL!$B:$B,$C417)))</f>
        <v/>
      </c>
      <c r="E417" s="5" t="str">
        <f aca="false">IF(C417=0,"",IF($A417="Bank",IF(INDEX(Bank!$C:$C,$C417)="","",INDEX(Bank!$C:$C,$C417)),IF(INDEX(GL!$C:$C,$C417)="","",INDEX(GL!$C:$C,$C417))))</f>
        <v/>
      </c>
      <c r="F417" s="5" t="str">
        <f aca="false">IF(C417=0,"",IF($A417="Bank",IF(INDEX(Bank!$D:$D,$C417)="","",INDEX(Bank!$D:$D,$C417)),IF(INDEX(GL!$D:$D,$C417)="","",INDEX(GL!$D:$D,$C417))))</f>
        <v/>
      </c>
      <c r="G417" s="19" t="str">
        <f aca="false">IF(C417=0,"",IF($A417="Bank",INDEX(Bank!$E:$E,$C417),INDEX(GL!$E:$E,$C417)))</f>
        <v/>
      </c>
      <c r="H417" s="5" t="str">
        <f aca="false">IF(C417=0,"",IF(A417="GL",IF(G417&gt;0,"Deposit in transit","Outstanding check / payment"),IF(G417&gt;0,"Bank credit not in GL","Bank debit not in GL")))</f>
        <v/>
      </c>
      <c r="I417" s="42" t="str">
        <f aca="false">IF(OR(C417=0,CFG_PeriodEnd=""),"",CFG_PeriodEnd-D417)</f>
        <v/>
      </c>
      <c r="J417" s="5" t="str">
        <f aca="false">IF(C417=0,"",IF($A417="Bank",IF(INDEX(Bank!$G:$G,$C417)="","",INDEX(Bank!$G:$G,$C417)),IF(INDEX(GL!$G:$G,$C417)="","",INDEX(GL!$G:$G,$C417))))</f>
        <v/>
      </c>
      <c r="K417" s="5" t="str">
        <f aca="false">IF(C417=0,"",IF($A417="Bank",IF(INDEX(Bank!$I:$I,$C417)="","",INDEX(Bank!$I:$I,$C417)),IF(INDEX(GL!$I:$I,$C417)="","",INDEX(GL!$I:$I,$C417))))</f>
        <v/>
      </c>
      <c r="L417" s="5" t="str">
        <f aca="false">IF(B417="","",IF(C417=0,"NOT FOUND",IF(IF($A417="Bank",INDEX(Bank!$F:$F,$C417),INDEX(GL!$F:$F,$C417))="Y","NOW RECONCILED: refresh","OK")))</f>
        <v/>
      </c>
    </row>
    <row r="418" customFormat="false" ht="15" hidden="false" customHeight="false" outlineLevel="0" collapsed="false">
      <c r="A418" s="41"/>
      <c r="B418" s="41"/>
      <c r="C418" s="5" t="n">
        <f aca="false">IF(B418="",0,IF(A418="Bank",IFERROR(MATCH(B418,Bank!$A:$A,0),0),IFERROR(MATCH(B418,GL!$A:$A,0),0)))</f>
        <v>0</v>
      </c>
      <c r="D418" s="32" t="str">
        <f aca="false">IF(C418=0,"",IF($A418="Bank",INDEX(Bank!$B:$B,$C418),INDEX(GL!$B:$B,$C418)))</f>
        <v/>
      </c>
      <c r="E418" s="5" t="str">
        <f aca="false">IF(C418=0,"",IF($A418="Bank",IF(INDEX(Bank!$C:$C,$C418)="","",INDEX(Bank!$C:$C,$C418)),IF(INDEX(GL!$C:$C,$C418)="","",INDEX(GL!$C:$C,$C418))))</f>
        <v/>
      </c>
      <c r="F418" s="5" t="str">
        <f aca="false">IF(C418=0,"",IF($A418="Bank",IF(INDEX(Bank!$D:$D,$C418)="","",INDEX(Bank!$D:$D,$C418)),IF(INDEX(GL!$D:$D,$C418)="","",INDEX(GL!$D:$D,$C418))))</f>
        <v/>
      </c>
      <c r="G418" s="19" t="str">
        <f aca="false">IF(C418=0,"",IF($A418="Bank",INDEX(Bank!$E:$E,$C418),INDEX(GL!$E:$E,$C418)))</f>
        <v/>
      </c>
      <c r="H418" s="5" t="str">
        <f aca="false">IF(C418=0,"",IF(A418="GL",IF(G418&gt;0,"Deposit in transit","Outstanding check / payment"),IF(G418&gt;0,"Bank credit not in GL","Bank debit not in GL")))</f>
        <v/>
      </c>
      <c r="I418" s="42" t="str">
        <f aca="false">IF(OR(C418=0,CFG_PeriodEnd=""),"",CFG_PeriodEnd-D418)</f>
        <v/>
      </c>
      <c r="J418" s="5" t="str">
        <f aca="false">IF(C418=0,"",IF($A418="Bank",IF(INDEX(Bank!$G:$G,$C418)="","",INDEX(Bank!$G:$G,$C418)),IF(INDEX(GL!$G:$G,$C418)="","",INDEX(GL!$G:$G,$C418))))</f>
        <v/>
      </c>
      <c r="K418" s="5" t="str">
        <f aca="false">IF(C418=0,"",IF($A418="Bank",IF(INDEX(Bank!$I:$I,$C418)="","",INDEX(Bank!$I:$I,$C418)),IF(INDEX(GL!$I:$I,$C418)="","",INDEX(GL!$I:$I,$C418))))</f>
        <v/>
      </c>
      <c r="L418" s="5" t="str">
        <f aca="false">IF(B418="","",IF(C418=0,"NOT FOUND",IF(IF($A418="Bank",INDEX(Bank!$F:$F,$C418),INDEX(GL!$F:$F,$C418))="Y","NOW RECONCILED: refresh","OK")))</f>
        <v/>
      </c>
    </row>
    <row r="419" customFormat="false" ht="15" hidden="false" customHeight="false" outlineLevel="0" collapsed="false">
      <c r="A419" s="41"/>
      <c r="B419" s="41"/>
      <c r="C419" s="5" t="n">
        <f aca="false">IF(B419="",0,IF(A419="Bank",IFERROR(MATCH(B419,Bank!$A:$A,0),0),IFERROR(MATCH(B419,GL!$A:$A,0),0)))</f>
        <v>0</v>
      </c>
      <c r="D419" s="32" t="str">
        <f aca="false">IF(C419=0,"",IF($A419="Bank",INDEX(Bank!$B:$B,$C419),INDEX(GL!$B:$B,$C419)))</f>
        <v/>
      </c>
      <c r="E419" s="5" t="str">
        <f aca="false">IF(C419=0,"",IF($A419="Bank",IF(INDEX(Bank!$C:$C,$C419)="","",INDEX(Bank!$C:$C,$C419)),IF(INDEX(GL!$C:$C,$C419)="","",INDEX(GL!$C:$C,$C419))))</f>
        <v/>
      </c>
      <c r="F419" s="5" t="str">
        <f aca="false">IF(C419=0,"",IF($A419="Bank",IF(INDEX(Bank!$D:$D,$C419)="","",INDEX(Bank!$D:$D,$C419)),IF(INDEX(GL!$D:$D,$C419)="","",INDEX(GL!$D:$D,$C419))))</f>
        <v/>
      </c>
      <c r="G419" s="19" t="str">
        <f aca="false">IF(C419=0,"",IF($A419="Bank",INDEX(Bank!$E:$E,$C419),INDEX(GL!$E:$E,$C419)))</f>
        <v/>
      </c>
      <c r="H419" s="5" t="str">
        <f aca="false">IF(C419=0,"",IF(A419="GL",IF(G419&gt;0,"Deposit in transit","Outstanding check / payment"),IF(G419&gt;0,"Bank credit not in GL","Bank debit not in GL")))</f>
        <v/>
      </c>
      <c r="I419" s="42" t="str">
        <f aca="false">IF(OR(C419=0,CFG_PeriodEnd=""),"",CFG_PeriodEnd-D419)</f>
        <v/>
      </c>
      <c r="J419" s="5" t="str">
        <f aca="false">IF(C419=0,"",IF($A419="Bank",IF(INDEX(Bank!$G:$G,$C419)="","",INDEX(Bank!$G:$G,$C419)),IF(INDEX(GL!$G:$G,$C419)="","",INDEX(GL!$G:$G,$C419))))</f>
        <v/>
      </c>
      <c r="K419" s="5" t="str">
        <f aca="false">IF(C419=0,"",IF($A419="Bank",IF(INDEX(Bank!$I:$I,$C419)="","",INDEX(Bank!$I:$I,$C419)),IF(INDEX(GL!$I:$I,$C419)="","",INDEX(GL!$I:$I,$C419))))</f>
        <v/>
      </c>
      <c r="L419" s="5" t="str">
        <f aca="false">IF(B419="","",IF(C419=0,"NOT FOUND",IF(IF($A419="Bank",INDEX(Bank!$F:$F,$C419),INDEX(GL!$F:$F,$C419))="Y","NOW RECONCILED: refresh","OK")))</f>
        <v/>
      </c>
    </row>
    <row r="420" customFormat="false" ht="15" hidden="false" customHeight="false" outlineLevel="0" collapsed="false">
      <c r="A420" s="41"/>
      <c r="B420" s="41"/>
      <c r="C420" s="5" t="n">
        <f aca="false">IF(B420="",0,IF(A420="Bank",IFERROR(MATCH(B420,Bank!$A:$A,0),0),IFERROR(MATCH(B420,GL!$A:$A,0),0)))</f>
        <v>0</v>
      </c>
      <c r="D420" s="32" t="str">
        <f aca="false">IF(C420=0,"",IF($A420="Bank",INDEX(Bank!$B:$B,$C420),INDEX(GL!$B:$B,$C420)))</f>
        <v/>
      </c>
      <c r="E420" s="5" t="str">
        <f aca="false">IF(C420=0,"",IF($A420="Bank",IF(INDEX(Bank!$C:$C,$C420)="","",INDEX(Bank!$C:$C,$C420)),IF(INDEX(GL!$C:$C,$C420)="","",INDEX(GL!$C:$C,$C420))))</f>
        <v/>
      </c>
      <c r="F420" s="5" t="str">
        <f aca="false">IF(C420=0,"",IF($A420="Bank",IF(INDEX(Bank!$D:$D,$C420)="","",INDEX(Bank!$D:$D,$C420)),IF(INDEX(GL!$D:$D,$C420)="","",INDEX(GL!$D:$D,$C420))))</f>
        <v/>
      </c>
      <c r="G420" s="19" t="str">
        <f aca="false">IF(C420=0,"",IF($A420="Bank",INDEX(Bank!$E:$E,$C420),INDEX(GL!$E:$E,$C420)))</f>
        <v/>
      </c>
      <c r="H420" s="5" t="str">
        <f aca="false">IF(C420=0,"",IF(A420="GL",IF(G420&gt;0,"Deposit in transit","Outstanding check / payment"),IF(G420&gt;0,"Bank credit not in GL","Bank debit not in GL")))</f>
        <v/>
      </c>
      <c r="I420" s="42" t="str">
        <f aca="false">IF(OR(C420=0,CFG_PeriodEnd=""),"",CFG_PeriodEnd-D420)</f>
        <v/>
      </c>
      <c r="J420" s="5" t="str">
        <f aca="false">IF(C420=0,"",IF($A420="Bank",IF(INDEX(Bank!$G:$G,$C420)="","",INDEX(Bank!$G:$G,$C420)),IF(INDEX(GL!$G:$G,$C420)="","",INDEX(GL!$G:$G,$C420))))</f>
        <v/>
      </c>
      <c r="K420" s="5" t="str">
        <f aca="false">IF(C420=0,"",IF($A420="Bank",IF(INDEX(Bank!$I:$I,$C420)="","",INDEX(Bank!$I:$I,$C420)),IF(INDEX(GL!$I:$I,$C420)="","",INDEX(GL!$I:$I,$C420))))</f>
        <v/>
      </c>
      <c r="L420" s="5" t="str">
        <f aca="false">IF(B420="","",IF(C420=0,"NOT FOUND",IF(IF($A420="Bank",INDEX(Bank!$F:$F,$C420),INDEX(GL!$F:$F,$C420))="Y","NOW RECONCILED: refresh","OK")))</f>
        <v/>
      </c>
    </row>
    <row r="421" customFormat="false" ht="15" hidden="false" customHeight="false" outlineLevel="0" collapsed="false">
      <c r="A421" s="41"/>
      <c r="B421" s="41"/>
      <c r="C421" s="5" t="n">
        <f aca="false">IF(B421="",0,IF(A421="Bank",IFERROR(MATCH(B421,Bank!$A:$A,0),0),IFERROR(MATCH(B421,GL!$A:$A,0),0)))</f>
        <v>0</v>
      </c>
      <c r="D421" s="32" t="str">
        <f aca="false">IF(C421=0,"",IF($A421="Bank",INDEX(Bank!$B:$B,$C421),INDEX(GL!$B:$B,$C421)))</f>
        <v/>
      </c>
      <c r="E421" s="5" t="str">
        <f aca="false">IF(C421=0,"",IF($A421="Bank",IF(INDEX(Bank!$C:$C,$C421)="","",INDEX(Bank!$C:$C,$C421)),IF(INDEX(GL!$C:$C,$C421)="","",INDEX(GL!$C:$C,$C421))))</f>
        <v/>
      </c>
      <c r="F421" s="5" t="str">
        <f aca="false">IF(C421=0,"",IF($A421="Bank",IF(INDEX(Bank!$D:$D,$C421)="","",INDEX(Bank!$D:$D,$C421)),IF(INDEX(GL!$D:$D,$C421)="","",INDEX(GL!$D:$D,$C421))))</f>
        <v/>
      </c>
      <c r="G421" s="19" t="str">
        <f aca="false">IF(C421=0,"",IF($A421="Bank",INDEX(Bank!$E:$E,$C421),INDEX(GL!$E:$E,$C421)))</f>
        <v/>
      </c>
      <c r="H421" s="5" t="str">
        <f aca="false">IF(C421=0,"",IF(A421="GL",IF(G421&gt;0,"Deposit in transit","Outstanding check / payment"),IF(G421&gt;0,"Bank credit not in GL","Bank debit not in GL")))</f>
        <v/>
      </c>
      <c r="I421" s="42" t="str">
        <f aca="false">IF(OR(C421=0,CFG_PeriodEnd=""),"",CFG_PeriodEnd-D421)</f>
        <v/>
      </c>
      <c r="J421" s="5" t="str">
        <f aca="false">IF(C421=0,"",IF($A421="Bank",IF(INDEX(Bank!$G:$G,$C421)="","",INDEX(Bank!$G:$G,$C421)),IF(INDEX(GL!$G:$G,$C421)="","",INDEX(GL!$G:$G,$C421))))</f>
        <v/>
      </c>
      <c r="K421" s="5" t="str">
        <f aca="false">IF(C421=0,"",IF($A421="Bank",IF(INDEX(Bank!$I:$I,$C421)="","",INDEX(Bank!$I:$I,$C421)),IF(INDEX(GL!$I:$I,$C421)="","",INDEX(GL!$I:$I,$C421))))</f>
        <v/>
      </c>
      <c r="L421" s="5" t="str">
        <f aca="false">IF(B421="","",IF(C421=0,"NOT FOUND",IF(IF($A421="Bank",INDEX(Bank!$F:$F,$C421),INDEX(GL!$F:$F,$C421))="Y","NOW RECONCILED: refresh","OK")))</f>
        <v/>
      </c>
    </row>
    <row r="422" customFormat="false" ht="15" hidden="false" customHeight="false" outlineLevel="0" collapsed="false">
      <c r="A422" s="41"/>
      <c r="B422" s="41"/>
      <c r="C422" s="5" t="n">
        <f aca="false">IF(B422="",0,IF(A422="Bank",IFERROR(MATCH(B422,Bank!$A:$A,0),0),IFERROR(MATCH(B422,GL!$A:$A,0),0)))</f>
        <v>0</v>
      </c>
      <c r="D422" s="32" t="str">
        <f aca="false">IF(C422=0,"",IF($A422="Bank",INDEX(Bank!$B:$B,$C422),INDEX(GL!$B:$B,$C422)))</f>
        <v/>
      </c>
      <c r="E422" s="5" t="str">
        <f aca="false">IF(C422=0,"",IF($A422="Bank",IF(INDEX(Bank!$C:$C,$C422)="","",INDEX(Bank!$C:$C,$C422)),IF(INDEX(GL!$C:$C,$C422)="","",INDEX(GL!$C:$C,$C422))))</f>
        <v/>
      </c>
      <c r="F422" s="5" t="str">
        <f aca="false">IF(C422=0,"",IF($A422="Bank",IF(INDEX(Bank!$D:$D,$C422)="","",INDEX(Bank!$D:$D,$C422)),IF(INDEX(GL!$D:$D,$C422)="","",INDEX(GL!$D:$D,$C422))))</f>
        <v/>
      </c>
      <c r="G422" s="19" t="str">
        <f aca="false">IF(C422=0,"",IF($A422="Bank",INDEX(Bank!$E:$E,$C422),INDEX(GL!$E:$E,$C422)))</f>
        <v/>
      </c>
      <c r="H422" s="5" t="str">
        <f aca="false">IF(C422=0,"",IF(A422="GL",IF(G422&gt;0,"Deposit in transit","Outstanding check / payment"),IF(G422&gt;0,"Bank credit not in GL","Bank debit not in GL")))</f>
        <v/>
      </c>
      <c r="I422" s="42" t="str">
        <f aca="false">IF(OR(C422=0,CFG_PeriodEnd=""),"",CFG_PeriodEnd-D422)</f>
        <v/>
      </c>
      <c r="J422" s="5" t="str">
        <f aca="false">IF(C422=0,"",IF($A422="Bank",IF(INDEX(Bank!$G:$G,$C422)="","",INDEX(Bank!$G:$G,$C422)),IF(INDEX(GL!$G:$G,$C422)="","",INDEX(GL!$G:$G,$C422))))</f>
        <v/>
      </c>
      <c r="K422" s="5" t="str">
        <f aca="false">IF(C422=0,"",IF($A422="Bank",IF(INDEX(Bank!$I:$I,$C422)="","",INDEX(Bank!$I:$I,$C422)),IF(INDEX(GL!$I:$I,$C422)="","",INDEX(GL!$I:$I,$C422))))</f>
        <v/>
      </c>
      <c r="L422" s="5" t="str">
        <f aca="false">IF(B422="","",IF(C422=0,"NOT FOUND",IF(IF($A422="Bank",INDEX(Bank!$F:$F,$C422),INDEX(GL!$F:$F,$C422))="Y","NOW RECONCILED: refresh","OK")))</f>
        <v/>
      </c>
    </row>
    <row r="423" customFormat="false" ht="15" hidden="false" customHeight="false" outlineLevel="0" collapsed="false">
      <c r="A423" s="41"/>
      <c r="B423" s="41"/>
      <c r="C423" s="5" t="n">
        <f aca="false">IF(B423="",0,IF(A423="Bank",IFERROR(MATCH(B423,Bank!$A:$A,0),0),IFERROR(MATCH(B423,GL!$A:$A,0),0)))</f>
        <v>0</v>
      </c>
      <c r="D423" s="32" t="str">
        <f aca="false">IF(C423=0,"",IF($A423="Bank",INDEX(Bank!$B:$B,$C423),INDEX(GL!$B:$B,$C423)))</f>
        <v/>
      </c>
      <c r="E423" s="5" t="str">
        <f aca="false">IF(C423=0,"",IF($A423="Bank",IF(INDEX(Bank!$C:$C,$C423)="","",INDEX(Bank!$C:$C,$C423)),IF(INDEX(GL!$C:$C,$C423)="","",INDEX(GL!$C:$C,$C423))))</f>
        <v/>
      </c>
      <c r="F423" s="5" t="str">
        <f aca="false">IF(C423=0,"",IF($A423="Bank",IF(INDEX(Bank!$D:$D,$C423)="","",INDEX(Bank!$D:$D,$C423)),IF(INDEX(GL!$D:$D,$C423)="","",INDEX(GL!$D:$D,$C423))))</f>
        <v/>
      </c>
      <c r="G423" s="19" t="str">
        <f aca="false">IF(C423=0,"",IF($A423="Bank",INDEX(Bank!$E:$E,$C423),INDEX(GL!$E:$E,$C423)))</f>
        <v/>
      </c>
      <c r="H423" s="5" t="str">
        <f aca="false">IF(C423=0,"",IF(A423="GL",IF(G423&gt;0,"Deposit in transit","Outstanding check / payment"),IF(G423&gt;0,"Bank credit not in GL","Bank debit not in GL")))</f>
        <v/>
      </c>
      <c r="I423" s="42" t="str">
        <f aca="false">IF(OR(C423=0,CFG_PeriodEnd=""),"",CFG_PeriodEnd-D423)</f>
        <v/>
      </c>
      <c r="J423" s="5" t="str">
        <f aca="false">IF(C423=0,"",IF($A423="Bank",IF(INDEX(Bank!$G:$G,$C423)="","",INDEX(Bank!$G:$G,$C423)),IF(INDEX(GL!$G:$G,$C423)="","",INDEX(GL!$G:$G,$C423))))</f>
        <v/>
      </c>
      <c r="K423" s="5" t="str">
        <f aca="false">IF(C423=0,"",IF($A423="Bank",IF(INDEX(Bank!$I:$I,$C423)="","",INDEX(Bank!$I:$I,$C423)),IF(INDEX(GL!$I:$I,$C423)="","",INDEX(GL!$I:$I,$C423))))</f>
        <v/>
      </c>
      <c r="L423" s="5" t="str">
        <f aca="false">IF(B423="","",IF(C423=0,"NOT FOUND",IF(IF($A423="Bank",INDEX(Bank!$F:$F,$C423),INDEX(GL!$F:$F,$C423))="Y","NOW RECONCILED: refresh","OK")))</f>
        <v/>
      </c>
    </row>
    <row r="424" customFormat="false" ht="15" hidden="false" customHeight="false" outlineLevel="0" collapsed="false">
      <c r="A424" s="41"/>
      <c r="B424" s="41"/>
      <c r="C424" s="5" t="n">
        <f aca="false">IF(B424="",0,IF(A424="Bank",IFERROR(MATCH(B424,Bank!$A:$A,0),0),IFERROR(MATCH(B424,GL!$A:$A,0),0)))</f>
        <v>0</v>
      </c>
      <c r="D424" s="32" t="str">
        <f aca="false">IF(C424=0,"",IF($A424="Bank",INDEX(Bank!$B:$B,$C424),INDEX(GL!$B:$B,$C424)))</f>
        <v/>
      </c>
      <c r="E424" s="5" t="str">
        <f aca="false">IF(C424=0,"",IF($A424="Bank",IF(INDEX(Bank!$C:$C,$C424)="","",INDEX(Bank!$C:$C,$C424)),IF(INDEX(GL!$C:$C,$C424)="","",INDEX(GL!$C:$C,$C424))))</f>
        <v/>
      </c>
      <c r="F424" s="5" t="str">
        <f aca="false">IF(C424=0,"",IF($A424="Bank",IF(INDEX(Bank!$D:$D,$C424)="","",INDEX(Bank!$D:$D,$C424)),IF(INDEX(GL!$D:$D,$C424)="","",INDEX(GL!$D:$D,$C424))))</f>
        <v/>
      </c>
      <c r="G424" s="19" t="str">
        <f aca="false">IF(C424=0,"",IF($A424="Bank",INDEX(Bank!$E:$E,$C424),INDEX(GL!$E:$E,$C424)))</f>
        <v/>
      </c>
      <c r="H424" s="5" t="str">
        <f aca="false">IF(C424=0,"",IF(A424="GL",IF(G424&gt;0,"Deposit in transit","Outstanding check / payment"),IF(G424&gt;0,"Bank credit not in GL","Bank debit not in GL")))</f>
        <v/>
      </c>
      <c r="I424" s="42" t="str">
        <f aca="false">IF(OR(C424=0,CFG_PeriodEnd=""),"",CFG_PeriodEnd-D424)</f>
        <v/>
      </c>
      <c r="J424" s="5" t="str">
        <f aca="false">IF(C424=0,"",IF($A424="Bank",IF(INDEX(Bank!$G:$G,$C424)="","",INDEX(Bank!$G:$G,$C424)),IF(INDEX(GL!$G:$G,$C424)="","",INDEX(GL!$G:$G,$C424))))</f>
        <v/>
      </c>
      <c r="K424" s="5" t="str">
        <f aca="false">IF(C424=0,"",IF($A424="Bank",IF(INDEX(Bank!$I:$I,$C424)="","",INDEX(Bank!$I:$I,$C424)),IF(INDEX(GL!$I:$I,$C424)="","",INDEX(GL!$I:$I,$C424))))</f>
        <v/>
      </c>
      <c r="L424" s="5" t="str">
        <f aca="false">IF(B424="","",IF(C424=0,"NOT FOUND",IF(IF($A424="Bank",INDEX(Bank!$F:$F,$C424),INDEX(GL!$F:$F,$C424))="Y","NOW RECONCILED: refresh","OK")))</f>
        <v/>
      </c>
    </row>
    <row r="425" customFormat="false" ht="15" hidden="false" customHeight="false" outlineLevel="0" collapsed="false">
      <c r="A425" s="41"/>
      <c r="B425" s="41"/>
      <c r="C425" s="5" t="n">
        <f aca="false">IF(B425="",0,IF(A425="Bank",IFERROR(MATCH(B425,Bank!$A:$A,0),0),IFERROR(MATCH(B425,GL!$A:$A,0),0)))</f>
        <v>0</v>
      </c>
      <c r="D425" s="32" t="str">
        <f aca="false">IF(C425=0,"",IF($A425="Bank",INDEX(Bank!$B:$B,$C425),INDEX(GL!$B:$B,$C425)))</f>
        <v/>
      </c>
      <c r="E425" s="5" t="str">
        <f aca="false">IF(C425=0,"",IF($A425="Bank",IF(INDEX(Bank!$C:$C,$C425)="","",INDEX(Bank!$C:$C,$C425)),IF(INDEX(GL!$C:$C,$C425)="","",INDEX(GL!$C:$C,$C425))))</f>
        <v/>
      </c>
      <c r="F425" s="5" t="str">
        <f aca="false">IF(C425=0,"",IF($A425="Bank",IF(INDEX(Bank!$D:$D,$C425)="","",INDEX(Bank!$D:$D,$C425)),IF(INDEX(GL!$D:$D,$C425)="","",INDEX(GL!$D:$D,$C425))))</f>
        <v/>
      </c>
      <c r="G425" s="19" t="str">
        <f aca="false">IF(C425=0,"",IF($A425="Bank",INDEX(Bank!$E:$E,$C425),INDEX(GL!$E:$E,$C425)))</f>
        <v/>
      </c>
      <c r="H425" s="5" t="str">
        <f aca="false">IF(C425=0,"",IF(A425="GL",IF(G425&gt;0,"Deposit in transit","Outstanding check / payment"),IF(G425&gt;0,"Bank credit not in GL","Bank debit not in GL")))</f>
        <v/>
      </c>
      <c r="I425" s="42" t="str">
        <f aca="false">IF(OR(C425=0,CFG_PeriodEnd=""),"",CFG_PeriodEnd-D425)</f>
        <v/>
      </c>
      <c r="J425" s="5" t="str">
        <f aca="false">IF(C425=0,"",IF($A425="Bank",IF(INDEX(Bank!$G:$G,$C425)="","",INDEX(Bank!$G:$G,$C425)),IF(INDEX(GL!$G:$G,$C425)="","",INDEX(GL!$G:$G,$C425))))</f>
        <v/>
      </c>
      <c r="K425" s="5" t="str">
        <f aca="false">IF(C425=0,"",IF($A425="Bank",IF(INDEX(Bank!$I:$I,$C425)="","",INDEX(Bank!$I:$I,$C425)),IF(INDEX(GL!$I:$I,$C425)="","",INDEX(GL!$I:$I,$C425))))</f>
        <v/>
      </c>
      <c r="L425" s="5" t="str">
        <f aca="false">IF(B425="","",IF(C425=0,"NOT FOUND",IF(IF($A425="Bank",INDEX(Bank!$F:$F,$C425),INDEX(GL!$F:$F,$C425))="Y","NOW RECONCILED: refresh","OK")))</f>
        <v/>
      </c>
    </row>
    <row r="426" customFormat="false" ht="15" hidden="false" customHeight="false" outlineLevel="0" collapsed="false">
      <c r="A426" s="41"/>
      <c r="B426" s="41"/>
      <c r="C426" s="5" t="n">
        <f aca="false">IF(B426="",0,IF(A426="Bank",IFERROR(MATCH(B426,Bank!$A:$A,0),0),IFERROR(MATCH(B426,GL!$A:$A,0),0)))</f>
        <v>0</v>
      </c>
      <c r="D426" s="32" t="str">
        <f aca="false">IF(C426=0,"",IF($A426="Bank",INDEX(Bank!$B:$B,$C426),INDEX(GL!$B:$B,$C426)))</f>
        <v/>
      </c>
      <c r="E426" s="5" t="str">
        <f aca="false">IF(C426=0,"",IF($A426="Bank",IF(INDEX(Bank!$C:$C,$C426)="","",INDEX(Bank!$C:$C,$C426)),IF(INDEX(GL!$C:$C,$C426)="","",INDEX(GL!$C:$C,$C426))))</f>
        <v/>
      </c>
      <c r="F426" s="5" t="str">
        <f aca="false">IF(C426=0,"",IF($A426="Bank",IF(INDEX(Bank!$D:$D,$C426)="","",INDEX(Bank!$D:$D,$C426)),IF(INDEX(GL!$D:$D,$C426)="","",INDEX(GL!$D:$D,$C426))))</f>
        <v/>
      </c>
      <c r="G426" s="19" t="str">
        <f aca="false">IF(C426=0,"",IF($A426="Bank",INDEX(Bank!$E:$E,$C426),INDEX(GL!$E:$E,$C426)))</f>
        <v/>
      </c>
      <c r="H426" s="5" t="str">
        <f aca="false">IF(C426=0,"",IF(A426="GL",IF(G426&gt;0,"Deposit in transit","Outstanding check / payment"),IF(G426&gt;0,"Bank credit not in GL","Bank debit not in GL")))</f>
        <v/>
      </c>
      <c r="I426" s="42" t="str">
        <f aca="false">IF(OR(C426=0,CFG_PeriodEnd=""),"",CFG_PeriodEnd-D426)</f>
        <v/>
      </c>
      <c r="J426" s="5" t="str">
        <f aca="false">IF(C426=0,"",IF($A426="Bank",IF(INDEX(Bank!$G:$G,$C426)="","",INDEX(Bank!$G:$G,$C426)),IF(INDEX(GL!$G:$G,$C426)="","",INDEX(GL!$G:$G,$C426))))</f>
        <v/>
      </c>
      <c r="K426" s="5" t="str">
        <f aca="false">IF(C426=0,"",IF($A426="Bank",IF(INDEX(Bank!$I:$I,$C426)="","",INDEX(Bank!$I:$I,$C426)),IF(INDEX(GL!$I:$I,$C426)="","",INDEX(GL!$I:$I,$C426))))</f>
        <v/>
      </c>
      <c r="L426" s="5" t="str">
        <f aca="false">IF(B426="","",IF(C426=0,"NOT FOUND",IF(IF($A426="Bank",INDEX(Bank!$F:$F,$C426),INDEX(GL!$F:$F,$C426))="Y","NOW RECONCILED: refresh","OK")))</f>
        <v/>
      </c>
    </row>
    <row r="427" customFormat="false" ht="15" hidden="false" customHeight="false" outlineLevel="0" collapsed="false">
      <c r="A427" s="41"/>
      <c r="B427" s="41"/>
      <c r="C427" s="5" t="n">
        <f aca="false">IF(B427="",0,IF(A427="Bank",IFERROR(MATCH(B427,Bank!$A:$A,0),0),IFERROR(MATCH(B427,GL!$A:$A,0),0)))</f>
        <v>0</v>
      </c>
      <c r="D427" s="32" t="str">
        <f aca="false">IF(C427=0,"",IF($A427="Bank",INDEX(Bank!$B:$B,$C427),INDEX(GL!$B:$B,$C427)))</f>
        <v/>
      </c>
      <c r="E427" s="5" t="str">
        <f aca="false">IF(C427=0,"",IF($A427="Bank",IF(INDEX(Bank!$C:$C,$C427)="","",INDEX(Bank!$C:$C,$C427)),IF(INDEX(GL!$C:$C,$C427)="","",INDEX(GL!$C:$C,$C427))))</f>
        <v/>
      </c>
      <c r="F427" s="5" t="str">
        <f aca="false">IF(C427=0,"",IF($A427="Bank",IF(INDEX(Bank!$D:$D,$C427)="","",INDEX(Bank!$D:$D,$C427)),IF(INDEX(GL!$D:$D,$C427)="","",INDEX(GL!$D:$D,$C427))))</f>
        <v/>
      </c>
      <c r="G427" s="19" t="str">
        <f aca="false">IF(C427=0,"",IF($A427="Bank",INDEX(Bank!$E:$E,$C427),INDEX(GL!$E:$E,$C427)))</f>
        <v/>
      </c>
      <c r="H427" s="5" t="str">
        <f aca="false">IF(C427=0,"",IF(A427="GL",IF(G427&gt;0,"Deposit in transit","Outstanding check / payment"),IF(G427&gt;0,"Bank credit not in GL","Bank debit not in GL")))</f>
        <v/>
      </c>
      <c r="I427" s="42" t="str">
        <f aca="false">IF(OR(C427=0,CFG_PeriodEnd=""),"",CFG_PeriodEnd-D427)</f>
        <v/>
      </c>
      <c r="J427" s="5" t="str">
        <f aca="false">IF(C427=0,"",IF($A427="Bank",IF(INDEX(Bank!$G:$G,$C427)="","",INDEX(Bank!$G:$G,$C427)),IF(INDEX(GL!$G:$G,$C427)="","",INDEX(GL!$G:$G,$C427))))</f>
        <v/>
      </c>
      <c r="K427" s="5" t="str">
        <f aca="false">IF(C427=0,"",IF($A427="Bank",IF(INDEX(Bank!$I:$I,$C427)="","",INDEX(Bank!$I:$I,$C427)),IF(INDEX(GL!$I:$I,$C427)="","",INDEX(GL!$I:$I,$C427))))</f>
        <v/>
      </c>
      <c r="L427" s="5" t="str">
        <f aca="false">IF(B427="","",IF(C427=0,"NOT FOUND",IF(IF($A427="Bank",INDEX(Bank!$F:$F,$C427),INDEX(GL!$F:$F,$C427))="Y","NOW RECONCILED: refresh","OK")))</f>
        <v/>
      </c>
    </row>
    <row r="428" customFormat="false" ht="15" hidden="false" customHeight="false" outlineLevel="0" collapsed="false">
      <c r="A428" s="41"/>
      <c r="B428" s="41"/>
      <c r="C428" s="5" t="n">
        <f aca="false">IF(B428="",0,IF(A428="Bank",IFERROR(MATCH(B428,Bank!$A:$A,0),0),IFERROR(MATCH(B428,GL!$A:$A,0),0)))</f>
        <v>0</v>
      </c>
      <c r="D428" s="32" t="str">
        <f aca="false">IF(C428=0,"",IF($A428="Bank",INDEX(Bank!$B:$B,$C428),INDEX(GL!$B:$B,$C428)))</f>
        <v/>
      </c>
      <c r="E428" s="5" t="str">
        <f aca="false">IF(C428=0,"",IF($A428="Bank",IF(INDEX(Bank!$C:$C,$C428)="","",INDEX(Bank!$C:$C,$C428)),IF(INDEX(GL!$C:$C,$C428)="","",INDEX(GL!$C:$C,$C428))))</f>
        <v/>
      </c>
      <c r="F428" s="5" t="str">
        <f aca="false">IF(C428=0,"",IF($A428="Bank",IF(INDEX(Bank!$D:$D,$C428)="","",INDEX(Bank!$D:$D,$C428)),IF(INDEX(GL!$D:$D,$C428)="","",INDEX(GL!$D:$D,$C428))))</f>
        <v/>
      </c>
      <c r="G428" s="19" t="str">
        <f aca="false">IF(C428=0,"",IF($A428="Bank",INDEX(Bank!$E:$E,$C428),INDEX(GL!$E:$E,$C428)))</f>
        <v/>
      </c>
      <c r="H428" s="5" t="str">
        <f aca="false">IF(C428=0,"",IF(A428="GL",IF(G428&gt;0,"Deposit in transit","Outstanding check / payment"),IF(G428&gt;0,"Bank credit not in GL","Bank debit not in GL")))</f>
        <v/>
      </c>
      <c r="I428" s="42" t="str">
        <f aca="false">IF(OR(C428=0,CFG_PeriodEnd=""),"",CFG_PeriodEnd-D428)</f>
        <v/>
      </c>
      <c r="J428" s="5" t="str">
        <f aca="false">IF(C428=0,"",IF($A428="Bank",IF(INDEX(Bank!$G:$G,$C428)="","",INDEX(Bank!$G:$G,$C428)),IF(INDEX(GL!$G:$G,$C428)="","",INDEX(GL!$G:$G,$C428))))</f>
        <v/>
      </c>
      <c r="K428" s="5" t="str">
        <f aca="false">IF(C428=0,"",IF($A428="Bank",IF(INDEX(Bank!$I:$I,$C428)="","",INDEX(Bank!$I:$I,$C428)),IF(INDEX(GL!$I:$I,$C428)="","",INDEX(GL!$I:$I,$C428))))</f>
        <v/>
      </c>
      <c r="L428" s="5" t="str">
        <f aca="false">IF(B428="","",IF(C428=0,"NOT FOUND",IF(IF($A428="Bank",INDEX(Bank!$F:$F,$C428),INDEX(GL!$F:$F,$C428))="Y","NOW RECONCILED: refresh","OK")))</f>
        <v/>
      </c>
    </row>
    <row r="429" customFormat="false" ht="15" hidden="false" customHeight="false" outlineLevel="0" collapsed="false">
      <c r="A429" s="41"/>
      <c r="B429" s="41"/>
      <c r="C429" s="5" t="n">
        <f aca="false">IF(B429="",0,IF(A429="Bank",IFERROR(MATCH(B429,Bank!$A:$A,0),0),IFERROR(MATCH(B429,GL!$A:$A,0),0)))</f>
        <v>0</v>
      </c>
      <c r="D429" s="32" t="str">
        <f aca="false">IF(C429=0,"",IF($A429="Bank",INDEX(Bank!$B:$B,$C429),INDEX(GL!$B:$B,$C429)))</f>
        <v/>
      </c>
      <c r="E429" s="5" t="str">
        <f aca="false">IF(C429=0,"",IF($A429="Bank",IF(INDEX(Bank!$C:$C,$C429)="","",INDEX(Bank!$C:$C,$C429)),IF(INDEX(GL!$C:$C,$C429)="","",INDEX(GL!$C:$C,$C429))))</f>
        <v/>
      </c>
      <c r="F429" s="5" t="str">
        <f aca="false">IF(C429=0,"",IF($A429="Bank",IF(INDEX(Bank!$D:$D,$C429)="","",INDEX(Bank!$D:$D,$C429)),IF(INDEX(GL!$D:$D,$C429)="","",INDEX(GL!$D:$D,$C429))))</f>
        <v/>
      </c>
      <c r="G429" s="19" t="str">
        <f aca="false">IF(C429=0,"",IF($A429="Bank",INDEX(Bank!$E:$E,$C429),INDEX(GL!$E:$E,$C429)))</f>
        <v/>
      </c>
      <c r="H429" s="5" t="str">
        <f aca="false">IF(C429=0,"",IF(A429="GL",IF(G429&gt;0,"Deposit in transit","Outstanding check / payment"),IF(G429&gt;0,"Bank credit not in GL","Bank debit not in GL")))</f>
        <v/>
      </c>
      <c r="I429" s="42" t="str">
        <f aca="false">IF(OR(C429=0,CFG_PeriodEnd=""),"",CFG_PeriodEnd-D429)</f>
        <v/>
      </c>
      <c r="J429" s="5" t="str">
        <f aca="false">IF(C429=0,"",IF($A429="Bank",IF(INDEX(Bank!$G:$G,$C429)="","",INDEX(Bank!$G:$G,$C429)),IF(INDEX(GL!$G:$G,$C429)="","",INDEX(GL!$G:$G,$C429))))</f>
        <v/>
      </c>
      <c r="K429" s="5" t="str">
        <f aca="false">IF(C429=0,"",IF($A429="Bank",IF(INDEX(Bank!$I:$I,$C429)="","",INDEX(Bank!$I:$I,$C429)),IF(INDEX(GL!$I:$I,$C429)="","",INDEX(GL!$I:$I,$C429))))</f>
        <v/>
      </c>
      <c r="L429" s="5" t="str">
        <f aca="false">IF(B429="","",IF(C429=0,"NOT FOUND",IF(IF($A429="Bank",INDEX(Bank!$F:$F,$C429),INDEX(GL!$F:$F,$C429))="Y","NOW RECONCILED: refresh","OK")))</f>
        <v/>
      </c>
    </row>
    <row r="430" customFormat="false" ht="15" hidden="false" customHeight="false" outlineLevel="0" collapsed="false">
      <c r="A430" s="41"/>
      <c r="B430" s="41"/>
      <c r="C430" s="5" t="n">
        <f aca="false">IF(B430="",0,IF(A430="Bank",IFERROR(MATCH(B430,Bank!$A:$A,0),0),IFERROR(MATCH(B430,GL!$A:$A,0),0)))</f>
        <v>0</v>
      </c>
      <c r="D430" s="32" t="str">
        <f aca="false">IF(C430=0,"",IF($A430="Bank",INDEX(Bank!$B:$B,$C430),INDEX(GL!$B:$B,$C430)))</f>
        <v/>
      </c>
      <c r="E430" s="5" t="str">
        <f aca="false">IF(C430=0,"",IF($A430="Bank",IF(INDEX(Bank!$C:$C,$C430)="","",INDEX(Bank!$C:$C,$C430)),IF(INDEX(GL!$C:$C,$C430)="","",INDEX(GL!$C:$C,$C430))))</f>
        <v/>
      </c>
      <c r="F430" s="5" t="str">
        <f aca="false">IF(C430=0,"",IF($A430="Bank",IF(INDEX(Bank!$D:$D,$C430)="","",INDEX(Bank!$D:$D,$C430)),IF(INDEX(GL!$D:$D,$C430)="","",INDEX(GL!$D:$D,$C430))))</f>
        <v/>
      </c>
      <c r="G430" s="19" t="str">
        <f aca="false">IF(C430=0,"",IF($A430="Bank",INDEX(Bank!$E:$E,$C430),INDEX(GL!$E:$E,$C430)))</f>
        <v/>
      </c>
      <c r="H430" s="5" t="str">
        <f aca="false">IF(C430=0,"",IF(A430="GL",IF(G430&gt;0,"Deposit in transit","Outstanding check / payment"),IF(G430&gt;0,"Bank credit not in GL","Bank debit not in GL")))</f>
        <v/>
      </c>
      <c r="I430" s="42" t="str">
        <f aca="false">IF(OR(C430=0,CFG_PeriodEnd=""),"",CFG_PeriodEnd-D430)</f>
        <v/>
      </c>
      <c r="J430" s="5" t="str">
        <f aca="false">IF(C430=0,"",IF($A430="Bank",IF(INDEX(Bank!$G:$G,$C430)="","",INDEX(Bank!$G:$G,$C430)),IF(INDEX(GL!$G:$G,$C430)="","",INDEX(GL!$G:$G,$C430))))</f>
        <v/>
      </c>
      <c r="K430" s="5" t="str">
        <f aca="false">IF(C430=0,"",IF($A430="Bank",IF(INDEX(Bank!$I:$I,$C430)="","",INDEX(Bank!$I:$I,$C430)),IF(INDEX(GL!$I:$I,$C430)="","",INDEX(GL!$I:$I,$C430))))</f>
        <v/>
      </c>
      <c r="L430" s="5" t="str">
        <f aca="false">IF(B430="","",IF(C430=0,"NOT FOUND",IF(IF($A430="Bank",INDEX(Bank!$F:$F,$C430),INDEX(GL!$F:$F,$C430))="Y","NOW RECONCILED: refresh","OK")))</f>
        <v/>
      </c>
    </row>
    <row r="431" customFormat="false" ht="15" hidden="false" customHeight="false" outlineLevel="0" collapsed="false">
      <c r="A431" s="41"/>
      <c r="B431" s="41"/>
      <c r="C431" s="5" t="n">
        <f aca="false">IF(B431="",0,IF(A431="Bank",IFERROR(MATCH(B431,Bank!$A:$A,0),0),IFERROR(MATCH(B431,GL!$A:$A,0),0)))</f>
        <v>0</v>
      </c>
      <c r="D431" s="32" t="str">
        <f aca="false">IF(C431=0,"",IF($A431="Bank",INDEX(Bank!$B:$B,$C431),INDEX(GL!$B:$B,$C431)))</f>
        <v/>
      </c>
      <c r="E431" s="5" t="str">
        <f aca="false">IF(C431=0,"",IF($A431="Bank",IF(INDEX(Bank!$C:$C,$C431)="","",INDEX(Bank!$C:$C,$C431)),IF(INDEX(GL!$C:$C,$C431)="","",INDEX(GL!$C:$C,$C431))))</f>
        <v/>
      </c>
      <c r="F431" s="5" t="str">
        <f aca="false">IF(C431=0,"",IF($A431="Bank",IF(INDEX(Bank!$D:$D,$C431)="","",INDEX(Bank!$D:$D,$C431)),IF(INDEX(GL!$D:$D,$C431)="","",INDEX(GL!$D:$D,$C431))))</f>
        <v/>
      </c>
      <c r="G431" s="19" t="str">
        <f aca="false">IF(C431=0,"",IF($A431="Bank",INDEX(Bank!$E:$E,$C431),INDEX(GL!$E:$E,$C431)))</f>
        <v/>
      </c>
      <c r="H431" s="5" t="str">
        <f aca="false">IF(C431=0,"",IF(A431="GL",IF(G431&gt;0,"Deposit in transit","Outstanding check / payment"),IF(G431&gt;0,"Bank credit not in GL","Bank debit not in GL")))</f>
        <v/>
      </c>
      <c r="I431" s="42" t="str">
        <f aca="false">IF(OR(C431=0,CFG_PeriodEnd=""),"",CFG_PeriodEnd-D431)</f>
        <v/>
      </c>
      <c r="J431" s="5" t="str">
        <f aca="false">IF(C431=0,"",IF($A431="Bank",IF(INDEX(Bank!$G:$G,$C431)="","",INDEX(Bank!$G:$G,$C431)),IF(INDEX(GL!$G:$G,$C431)="","",INDEX(GL!$G:$G,$C431))))</f>
        <v/>
      </c>
      <c r="K431" s="5" t="str">
        <f aca="false">IF(C431=0,"",IF($A431="Bank",IF(INDEX(Bank!$I:$I,$C431)="","",INDEX(Bank!$I:$I,$C431)),IF(INDEX(GL!$I:$I,$C431)="","",INDEX(GL!$I:$I,$C431))))</f>
        <v/>
      </c>
      <c r="L431" s="5" t="str">
        <f aca="false">IF(B431="","",IF(C431=0,"NOT FOUND",IF(IF($A431="Bank",INDEX(Bank!$F:$F,$C431),INDEX(GL!$F:$F,$C431))="Y","NOW RECONCILED: refresh","OK")))</f>
        <v/>
      </c>
    </row>
    <row r="432" customFormat="false" ht="15" hidden="false" customHeight="false" outlineLevel="0" collapsed="false">
      <c r="A432" s="41"/>
      <c r="B432" s="41"/>
      <c r="C432" s="5" t="n">
        <f aca="false">IF(B432="",0,IF(A432="Bank",IFERROR(MATCH(B432,Bank!$A:$A,0),0),IFERROR(MATCH(B432,GL!$A:$A,0),0)))</f>
        <v>0</v>
      </c>
      <c r="D432" s="32" t="str">
        <f aca="false">IF(C432=0,"",IF($A432="Bank",INDEX(Bank!$B:$B,$C432),INDEX(GL!$B:$B,$C432)))</f>
        <v/>
      </c>
      <c r="E432" s="5" t="str">
        <f aca="false">IF(C432=0,"",IF($A432="Bank",IF(INDEX(Bank!$C:$C,$C432)="","",INDEX(Bank!$C:$C,$C432)),IF(INDEX(GL!$C:$C,$C432)="","",INDEX(GL!$C:$C,$C432))))</f>
        <v/>
      </c>
      <c r="F432" s="5" t="str">
        <f aca="false">IF(C432=0,"",IF($A432="Bank",IF(INDEX(Bank!$D:$D,$C432)="","",INDEX(Bank!$D:$D,$C432)),IF(INDEX(GL!$D:$D,$C432)="","",INDEX(GL!$D:$D,$C432))))</f>
        <v/>
      </c>
      <c r="G432" s="19" t="str">
        <f aca="false">IF(C432=0,"",IF($A432="Bank",INDEX(Bank!$E:$E,$C432),INDEX(GL!$E:$E,$C432)))</f>
        <v/>
      </c>
      <c r="H432" s="5" t="str">
        <f aca="false">IF(C432=0,"",IF(A432="GL",IF(G432&gt;0,"Deposit in transit","Outstanding check / payment"),IF(G432&gt;0,"Bank credit not in GL","Bank debit not in GL")))</f>
        <v/>
      </c>
      <c r="I432" s="42" t="str">
        <f aca="false">IF(OR(C432=0,CFG_PeriodEnd=""),"",CFG_PeriodEnd-D432)</f>
        <v/>
      </c>
      <c r="J432" s="5" t="str">
        <f aca="false">IF(C432=0,"",IF($A432="Bank",IF(INDEX(Bank!$G:$G,$C432)="","",INDEX(Bank!$G:$G,$C432)),IF(INDEX(GL!$G:$G,$C432)="","",INDEX(GL!$G:$G,$C432))))</f>
        <v/>
      </c>
      <c r="K432" s="5" t="str">
        <f aca="false">IF(C432=0,"",IF($A432="Bank",IF(INDEX(Bank!$I:$I,$C432)="","",INDEX(Bank!$I:$I,$C432)),IF(INDEX(GL!$I:$I,$C432)="","",INDEX(GL!$I:$I,$C432))))</f>
        <v/>
      </c>
      <c r="L432" s="5" t="str">
        <f aca="false">IF(B432="","",IF(C432=0,"NOT FOUND",IF(IF($A432="Bank",INDEX(Bank!$F:$F,$C432),INDEX(GL!$F:$F,$C432))="Y","NOW RECONCILED: refresh","OK")))</f>
        <v/>
      </c>
    </row>
    <row r="433" customFormat="false" ht="15" hidden="false" customHeight="false" outlineLevel="0" collapsed="false">
      <c r="A433" s="41"/>
      <c r="B433" s="41"/>
      <c r="C433" s="5" t="n">
        <f aca="false">IF(B433="",0,IF(A433="Bank",IFERROR(MATCH(B433,Bank!$A:$A,0),0),IFERROR(MATCH(B433,GL!$A:$A,0),0)))</f>
        <v>0</v>
      </c>
      <c r="D433" s="32" t="str">
        <f aca="false">IF(C433=0,"",IF($A433="Bank",INDEX(Bank!$B:$B,$C433),INDEX(GL!$B:$B,$C433)))</f>
        <v/>
      </c>
      <c r="E433" s="5" t="str">
        <f aca="false">IF(C433=0,"",IF($A433="Bank",IF(INDEX(Bank!$C:$C,$C433)="","",INDEX(Bank!$C:$C,$C433)),IF(INDEX(GL!$C:$C,$C433)="","",INDEX(GL!$C:$C,$C433))))</f>
        <v/>
      </c>
      <c r="F433" s="5" t="str">
        <f aca="false">IF(C433=0,"",IF($A433="Bank",IF(INDEX(Bank!$D:$D,$C433)="","",INDEX(Bank!$D:$D,$C433)),IF(INDEX(GL!$D:$D,$C433)="","",INDEX(GL!$D:$D,$C433))))</f>
        <v/>
      </c>
      <c r="G433" s="19" t="str">
        <f aca="false">IF(C433=0,"",IF($A433="Bank",INDEX(Bank!$E:$E,$C433),INDEX(GL!$E:$E,$C433)))</f>
        <v/>
      </c>
      <c r="H433" s="5" t="str">
        <f aca="false">IF(C433=0,"",IF(A433="GL",IF(G433&gt;0,"Deposit in transit","Outstanding check / payment"),IF(G433&gt;0,"Bank credit not in GL","Bank debit not in GL")))</f>
        <v/>
      </c>
      <c r="I433" s="42" t="str">
        <f aca="false">IF(OR(C433=0,CFG_PeriodEnd=""),"",CFG_PeriodEnd-D433)</f>
        <v/>
      </c>
      <c r="J433" s="5" t="str">
        <f aca="false">IF(C433=0,"",IF($A433="Bank",IF(INDEX(Bank!$G:$G,$C433)="","",INDEX(Bank!$G:$G,$C433)),IF(INDEX(GL!$G:$G,$C433)="","",INDEX(GL!$G:$G,$C433))))</f>
        <v/>
      </c>
      <c r="K433" s="5" t="str">
        <f aca="false">IF(C433=0,"",IF($A433="Bank",IF(INDEX(Bank!$I:$I,$C433)="","",INDEX(Bank!$I:$I,$C433)),IF(INDEX(GL!$I:$I,$C433)="","",INDEX(GL!$I:$I,$C433))))</f>
        <v/>
      </c>
      <c r="L433" s="5" t="str">
        <f aca="false">IF(B433="","",IF(C433=0,"NOT FOUND",IF(IF($A433="Bank",INDEX(Bank!$F:$F,$C433),INDEX(GL!$F:$F,$C433))="Y","NOW RECONCILED: refresh","OK")))</f>
        <v/>
      </c>
    </row>
    <row r="434" customFormat="false" ht="15" hidden="false" customHeight="false" outlineLevel="0" collapsed="false">
      <c r="A434" s="41"/>
      <c r="B434" s="41"/>
      <c r="C434" s="5" t="n">
        <f aca="false">IF(B434="",0,IF(A434="Bank",IFERROR(MATCH(B434,Bank!$A:$A,0),0),IFERROR(MATCH(B434,GL!$A:$A,0),0)))</f>
        <v>0</v>
      </c>
      <c r="D434" s="32" t="str">
        <f aca="false">IF(C434=0,"",IF($A434="Bank",INDEX(Bank!$B:$B,$C434),INDEX(GL!$B:$B,$C434)))</f>
        <v/>
      </c>
      <c r="E434" s="5" t="str">
        <f aca="false">IF(C434=0,"",IF($A434="Bank",IF(INDEX(Bank!$C:$C,$C434)="","",INDEX(Bank!$C:$C,$C434)),IF(INDEX(GL!$C:$C,$C434)="","",INDEX(GL!$C:$C,$C434))))</f>
        <v/>
      </c>
      <c r="F434" s="5" t="str">
        <f aca="false">IF(C434=0,"",IF($A434="Bank",IF(INDEX(Bank!$D:$D,$C434)="","",INDEX(Bank!$D:$D,$C434)),IF(INDEX(GL!$D:$D,$C434)="","",INDEX(GL!$D:$D,$C434))))</f>
        <v/>
      </c>
      <c r="G434" s="19" t="str">
        <f aca="false">IF(C434=0,"",IF($A434="Bank",INDEX(Bank!$E:$E,$C434),INDEX(GL!$E:$E,$C434)))</f>
        <v/>
      </c>
      <c r="H434" s="5" t="str">
        <f aca="false">IF(C434=0,"",IF(A434="GL",IF(G434&gt;0,"Deposit in transit","Outstanding check / payment"),IF(G434&gt;0,"Bank credit not in GL","Bank debit not in GL")))</f>
        <v/>
      </c>
      <c r="I434" s="42" t="str">
        <f aca="false">IF(OR(C434=0,CFG_PeriodEnd=""),"",CFG_PeriodEnd-D434)</f>
        <v/>
      </c>
      <c r="J434" s="5" t="str">
        <f aca="false">IF(C434=0,"",IF($A434="Bank",IF(INDEX(Bank!$G:$G,$C434)="","",INDEX(Bank!$G:$G,$C434)),IF(INDEX(GL!$G:$G,$C434)="","",INDEX(GL!$G:$G,$C434))))</f>
        <v/>
      </c>
      <c r="K434" s="5" t="str">
        <f aca="false">IF(C434=0,"",IF($A434="Bank",IF(INDEX(Bank!$I:$I,$C434)="","",INDEX(Bank!$I:$I,$C434)),IF(INDEX(GL!$I:$I,$C434)="","",INDEX(GL!$I:$I,$C434))))</f>
        <v/>
      </c>
      <c r="L434" s="5" t="str">
        <f aca="false">IF(B434="","",IF(C434=0,"NOT FOUND",IF(IF($A434="Bank",INDEX(Bank!$F:$F,$C434),INDEX(GL!$F:$F,$C434))="Y","NOW RECONCILED: refresh","OK")))</f>
        <v/>
      </c>
    </row>
    <row r="435" customFormat="false" ht="15" hidden="false" customHeight="false" outlineLevel="0" collapsed="false">
      <c r="A435" s="41"/>
      <c r="B435" s="41"/>
      <c r="C435" s="5" t="n">
        <f aca="false">IF(B435="",0,IF(A435="Bank",IFERROR(MATCH(B435,Bank!$A:$A,0),0),IFERROR(MATCH(B435,GL!$A:$A,0),0)))</f>
        <v>0</v>
      </c>
      <c r="D435" s="32" t="str">
        <f aca="false">IF(C435=0,"",IF($A435="Bank",INDEX(Bank!$B:$B,$C435),INDEX(GL!$B:$B,$C435)))</f>
        <v/>
      </c>
      <c r="E435" s="5" t="str">
        <f aca="false">IF(C435=0,"",IF($A435="Bank",IF(INDEX(Bank!$C:$C,$C435)="","",INDEX(Bank!$C:$C,$C435)),IF(INDEX(GL!$C:$C,$C435)="","",INDEX(GL!$C:$C,$C435))))</f>
        <v/>
      </c>
      <c r="F435" s="5" t="str">
        <f aca="false">IF(C435=0,"",IF($A435="Bank",IF(INDEX(Bank!$D:$D,$C435)="","",INDEX(Bank!$D:$D,$C435)),IF(INDEX(GL!$D:$D,$C435)="","",INDEX(GL!$D:$D,$C435))))</f>
        <v/>
      </c>
      <c r="G435" s="19" t="str">
        <f aca="false">IF(C435=0,"",IF($A435="Bank",INDEX(Bank!$E:$E,$C435),INDEX(GL!$E:$E,$C435)))</f>
        <v/>
      </c>
      <c r="H435" s="5" t="str">
        <f aca="false">IF(C435=0,"",IF(A435="GL",IF(G435&gt;0,"Deposit in transit","Outstanding check / payment"),IF(G435&gt;0,"Bank credit not in GL","Bank debit not in GL")))</f>
        <v/>
      </c>
      <c r="I435" s="42" t="str">
        <f aca="false">IF(OR(C435=0,CFG_PeriodEnd=""),"",CFG_PeriodEnd-D435)</f>
        <v/>
      </c>
      <c r="J435" s="5" t="str">
        <f aca="false">IF(C435=0,"",IF($A435="Bank",IF(INDEX(Bank!$G:$G,$C435)="","",INDEX(Bank!$G:$G,$C435)),IF(INDEX(GL!$G:$G,$C435)="","",INDEX(GL!$G:$G,$C435))))</f>
        <v/>
      </c>
      <c r="K435" s="5" t="str">
        <f aca="false">IF(C435=0,"",IF($A435="Bank",IF(INDEX(Bank!$I:$I,$C435)="","",INDEX(Bank!$I:$I,$C435)),IF(INDEX(GL!$I:$I,$C435)="","",INDEX(GL!$I:$I,$C435))))</f>
        <v/>
      </c>
      <c r="L435" s="5" t="str">
        <f aca="false">IF(B435="","",IF(C435=0,"NOT FOUND",IF(IF($A435="Bank",INDEX(Bank!$F:$F,$C435),INDEX(GL!$F:$F,$C435))="Y","NOW RECONCILED: refresh","OK")))</f>
        <v/>
      </c>
    </row>
    <row r="436" customFormat="false" ht="15" hidden="false" customHeight="false" outlineLevel="0" collapsed="false">
      <c r="A436" s="41"/>
      <c r="B436" s="41"/>
      <c r="C436" s="5" t="n">
        <f aca="false">IF(B436="",0,IF(A436="Bank",IFERROR(MATCH(B436,Bank!$A:$A,0),0),IFERROR(MATCH(B436,GL!$A:$A,0),0)))</f>
        <v>0</v>
      </c>
      <c r="D436" s="32" t="str">
        <f aca="false">IF(C436=0,"",IF($A436="Bank",INDEX(Bank!$B:$B,$C436),INDEX(GL!$B:$B,$C436)))</f>
        <v/>
      </c>
      <c r="E436" s="5" t="str">
        <f aca="false">IF(C436=0,"",IF($A436="Bank",IF(INDEX(Bank!$C:$C,$C436)="","",INDEX(Bank!$C:$C,$C436)),IF(INDEX(GL!$C:$C,$C436)="","",INDEX(GL!$C:$C,$C436))))</f>
        <v/>
      </c>
      <c r="F436" s="5" t="str">
        <f aca="false">IF(C436=0,"",IF($A436="Bank",IF(INDEX(Bank!$D:$D,$C436)="","",INDEX(Bank!$D:$D,$C436)),IF(INDEX(GL!$D:$D,$C436)="","",INDEX(GL!$D:$D,$C436))))</f>
        <v/>
      </c>
      <c r="G436" s="19" t="str">
        <f aca="false">IF(C436=0,"",IF($A436="Bank",INDEX(Bank!$E:$E,$C436),INDEX(GL!$E:$E,$C436)))</f>
        <v/>
      </c>
      <c r="H436" s="5" t="str">
        <f aca="false">IF(C436=0,"",IF(A436="GL",IF(G436&gt;0,"Deposit in transit","Outstanding check / payment"),IF(G436&gt;0,"Bank credit not in GL","Bank debit not in GL")))</f>
        <v/>
      </c>
      <c r="I436" s="42" t="str">
        <f aca="false">IF(OR(C436=0,CFG_PeriodEnd=""),"",CFG_PeriodEnd-D436)</f>
        <v/>
      </c>
      <c r="J436" s="5" t="str">
        <f aca="false">IF(C436=0,"",IF($A436="Bank",IF(INDEX(Bank!$G:$G,$C436)="","",INDEX(Bank!$G:$G,$C436)),IF(INDEX(GL!$G:$G,$C436)="","",INDEX(GL!$G:$G,$C436))))</f>
        <v/>
      </c>
      <c r="K436" s="5" t="str">
        <f aca="false">IF(C436=0,"",IF($A436="Bank",IF(INDEX(Bank!$I:$I,$C436)="","",INDEX(Bank!$I:$I,$C436)),IF(INDEX(GL!$I:$I,$C436)="","",INDEX(GL!$I:$I,$C436))))</f>
        <v/>
      </c>
      <c r="L436" s="5" t="str">
        <f aca="false">IF(B436="","",IF(C436=0,"NOT FOUND",IF(IF($A436="Bank",INDEX(Bank!$F:$F,$C436),INDEX(GL!$F:$F,$C436))="Y","NOW RECONCILED: refresh","OK")))</f>
        <v/>
      </c>
    </row>
    <row r="437" customFormat="false" ht="15" hidden="false" customHeight="false" outlineLevel="0" collapsed="false">
      <c r="A437" s="41"/>
      <c r="B437" s="41"/>
      <c r="C437" s="5" t="n">
        <f aca="false">IF(B437="",0,IF(A437="Bank",IFERROR(MATCH(B437,Bank!$A:$A,0),0),IFERROR(MATCH(B437,GL!$A:$A,0),0)))</f>
        <v>0</v>
      </c>
      <c r="D437" s="32" t="str">
        <f aca="false">IF(C437=0,"",IF($A437="Bank",INDEX(Bank!$B:$B,$C437),INDEX(GL!$B:$B,$C437)))</f>
        <v/>
      </c>
      <c r="E437" s="5" t="str">
        <f aca="false">IF(C437=0,"",IF($A437="Bank",IF(INDEX(Bank!$C:$C,$C437)="","",INDEX(Bank!$C:$C,$C437)),IF(INDEX(GL!$C:$C,$C437)="","",INDEX(GL!$C:$C,$C437))))</f>
        <v/>
      </c>
      <c r="F437" s="5" t="str">
        <f aca="false">IF(C437=0,"",IF($A437="Bank",IF(INDEX(Bank!$D:$D,$C437)="","",INDEX(Bank!$D:$D,$C437)),IF(INDEX(GL!$D:$D,$C437)="","",INDEX(GL!$D:$D,$C437))))</f>
        <v/>
      </c>
      <c r="G437" s="19" t="str">
        <f aca="false">IF(C437=0,"",IF($A437="Bank",INDEX(Bank!$E:$E,$C437),INDEX(GL!$E:$E,$C437)))</f>
        <v/>
      </c>
      <c r="H437" s="5" t="str">
        <f aca="false">IF(C437=0,"",IF(A437="GL",IF(G437&gt;0,"Deposit in transit","Outstanding check / payment"),IF(G437&gt;0,"Bank credit not in GL","Bank debit not in GL")))</f>
        <v/>
      </c>
      <c r="I437" s="42" t="str">
        <f aca="false">IF(OR(C437=0,CFG_PeriodEnd=""),"",CFG_PeriodEnd-D437)</f>
        <v/>
      </c>
      <c r="J437" s="5" t="str">
        <f aca="false">IF(C437=0,"",IF($A437="Bank",IF(INDEX(Bank!$G:$G,$C437)="","",INDEX(Bank!$G:$G,$C437)),IF(INDEX(GL!$G:$G,$C437)="","",INDEX(GL!$G:$G,$C437))))</f>
        <v/>
      </c>
      <c r="K437" s="5" t="str">
        <f aca="false">IF(C437=0,"",IF($A437="Bank",IF(INDEX(Bank!$I:$I,$C437)="","",INDEX(Bank!$I:$I,$C437)),IF(INDEX(GL!$I:$I,$C437)="","",INDEX(GL!$I:$I,$C437))))</f>
        <v/>
      </c>
      <c r="L437" s="5" t="str">
        <f aca="false">IF(B437="","",IF(C437=0,"NOT FOUND",IF(IF($A437="Bank",INDEX(Bank!$F:$F,$C437),INDEX(GL!$F:$F,$C437))="Y","NOW RECONCILED: refresh","OK")))</f>
        <v/>
      </c>
    </row>
    <row r="438" customFormat="false" ht="15" hidden="false" customHeight="false" outlineLevel="0" collapsed="false">
      <c r="A438" s="41"/>
      <c r="B438" s="41"/>
      <c r="C438" s="5" t="n">
        <f aca="false">IF(B438="",0,IF(A438="Bank",IFERROR(MATCH(B438,Bank!$A:$A,0),0),IFERROR(MATCH(B438,GL!$A:$A,0),0)))</f>
        <v>0</v>
      </c>
      <c r="D438" s="32" t="str">
        <f aca="false">IF(C438=0,"",IF($A438="Bank",INDEX(Bank!$B:$B,$C438),INDEX(GL!$B:$B,$C438)))</f>
        <v/>
      </c>
      <c r="E438" s="5" t="str">
        <f aca="false">IF(C438=0,"",IF($A438="Bank",IF(INDEX(Bank!$C:$C,$C438)="","",INDEX(Bank!$C:$C,$C438)),IF(INDEX(GL!$C:$C,$C438)="","",INDEX(GL!$C:$C,$C438))))</f>
        <v/>
      </c>
      <c r="F438" s="5" t="str">
        <f aca="false">IF(C438=0,"",IF($A438="Bank",IF(INDEX(Bank!$D:$D,$C438)="","",INDEX(Bank!$D:$D,$C438)),IF(INDEX(GL!$D:$D,$C438)="","",INDEX(GL!$D:$D,$C438))))</f>
        <v/>
      </c>
      <c r="G438" s="19" t="str">
        <f aca="false">IF(C438=0,"",IF($A438="Bank",INDEX(Bank!$E:$E,$C438),INDEX(GL!$E:$E,$C438)))</f>
        <v/>
      </c>
      <c r="H438" s="5" t="str">
        <f aca="false">IF(C438=0,"",IF(A438="GL",IF(G438&gt;0,"Deposit in transit","Outstanding check / payment"),IF(G438&gt;0,"Bank credit not in GL","Bank debit not in GL")))</f>
        <v/>
      </c>
      <c r="I438" s="42" t="str">
        <f aca="false">IF(OR(C438=0,CFG_PeriodEnd=""),"",CFG_PeriodEnd-D438)</f>
        <v/>
      </c>
      <c r="J438" s="5" t="str">
        <f aca="false">IF(C438=0,"",IF($A438="Bank",IF(INDEX(Bank!$G:$G,$C438)="","",INDEX(Bank!$G:$G,$C438)),IF(INDEX(GL!$G:$G,$C438)="","",INDEX(GL!$G:$G,$C438))))</f>
        <v/>
      </c>
      <c r="K438" s="5" t="str">
        <f aca="false">IF(C438=0,"",IF($A438="Bank",IF(INDEX(Bank!$I:$I,$C438)="","",INDEX(Bank!$I:$I,$C438)),IF(INDEX(GL!$I:$I,$C438)="","",INDEX(GL!$I:$I,$C438))))</f>
        <v/>
      </c>
      <c r="L438" s="5" t="str">
        <f aca="false">IF(B438="","",IF(C438=0,"NOT FOUND",IF(IF($A438="Bank",INDEX(Bank!$F:$F,$C438),INDEX(GL!$F:$F,$C438))="Y","NOW RECONCILED: refresh","OK")))</f>
        <v/>
      </c>
    </row>
    <row r="439" customFormat="false" ht="15" hidden="false" customHeight="false" outlineLevel="0" collapsed="false">
      <c r="A439" s="41"/>
      <c r="B439" s="41"/>
      <c r="C439" s="5" t="n">
        <f aca="false">IF(B439="",0,IF(A439="Bank",IFERROR(MATCH(B439,Bank!$A:$A,0),0),IFERROR(MATCH(B439,GL!$A:$A,0),0)))</f>
        <v>0</v>
      </c>
      <c r="D439" s="32" t="str">
        <f aca="false">IF(C439=0,"",IF($A439="Bank",INDEX(Bank!$B:$B,$C439),INDEX(GL!$B:$B,$C439)))</f>
        <v/>
      </c>
      <c r="E439" s="5" t="str">
        <f aca="false">IF(C439=0,"",IF($A439="Bank",IF(INDEX(Bank!$C:$C,$C439)="","",INDEX(Bank!$C:$C,$C439)),IF(INDEX(GL!$C:$C,$C439)="","",INDEX(GL!$C:$C,$C439))))</f>
        <v/>
      </c>
      <c r="F439" s="5" t="str">
        <f aca="false">IF(C439=0,"",IF($A439="Bank",IF(INDEX(Bank!$D:$D,$C439)="","",INDEX(Bank!$D:$D,$C439)),IF(INDEX(GL!$D:$D,$C439)="","",INDEX(GL!$D:$D,$C439))))</f>
        <v/>
      </c>
      <c r="G439" s="19" t="str">
        <f aca="false">IF(C439=0,"",IF($A439="Bank",INDEX(Bank!$E:$E,$C439),INDEX(GL!$E:$E,$C439)))</f>
        <v/>
      </c>
      <c r="H439" s="5" t="str">
        <f aca="false">IF(C439=0,"",IF(A439="GL",IF(G439&gt;0,"Deposit in transit","Outstanding check / payment"),IF(G439&gt;0,"Bank credit not in GL","Bank debit not in GL")))</f>
        <v/>
      </c>
      <c r="I439" s="42" t="str">
        <f aca="false">IF(OR(C439=0,CFG_PeriodEnd=""),"",CFG_PeriodEnd-D439)</f>
        <v/>
      </c>
      <c r="J439" s="5" t="str">
        <f aca="false">IF(C439=0,"",IF($A439="Bank",IF(INDEX(Bank!$G:$G,$C439)="","",INDEX(Bank!$G:$G,$C439)),IF(INDEX(GL!$G:$G,$C439)="","",INDEX(GL!$G:$G,$C439))))</f>
        <v/>
      </c>
      <c r="K439" s="5" t="str">
        <f aca="false">IF(C439=0,"",IF($A439="Bank",IF(INDEX(Bank!$I:$I,$C439)="","",INDEX(Bank!$I:$I,$C439)),IF(INDEX(GL!$I:$I,$C439)="","",INDEX(GL!$I:$I,$C439))))</f>
        <v/>
      </c>
      <c r="L439" s="5" t="str">
        <f aca="false">IF(B439="","",IF(C439=0,"NOT FOUND",IF(IF($A439="Bank",INDEX(Bank!$F:$F,$C439),INDEX(GL!$F:$F,$C439))="Y","NOW RECONCILED: refresh","OK")))</f>
        <v/>
      </c>
    </row>
    <row r="440" customFormat="false" ht="15" hidden="false" customHeight="false" outlineLevel="0" collapsed="false">
      <c r="A440" s="41"/>
      <c r="B440" s="41"/>
      <c r="C440" s="5" t="n">
        <f aca="false">IF(B440="",0,IF(A440="Bank",IFERROR(MATCH(B440,Bank!$A:$A,0),0),IFERROR(MATCH(B440,GL!$A:$A,0),0)))</f>
        <v>0</v>
      </c>
      <c r="D440" s="32" t="str">
        <f aca="false">IF(C440=0,"",IF($A440="Bank",INDEX(Bank!$B:$B,$C440),INDEX(GL!$B:$B,$C440)))</f>
        <v/>
      </c>
      <c r="E440" s="5" t="str">
        <f aca="false">IF(C440=0,"",IF($A440="Bank",IF(INDEX(Bank!$C:$C,$C440)="","",INDEX(Bank!$C:$C,$C440)),IF(INDEX(GL!$C:$C,$C440)="","",INDEX(GL!$C:$C,$C440))))</f>
        <v/>
      </c>
      <c r="F440" s="5" t="str">
        <f aca="false">IF(C440=0,"",IF($A440="Bank",IF(INDEX(Bank!$D:$D,$C440)="","",INDEX(Bank!$D:$D,$C440)),IF(INDEX(GL!$D:$D,$C440)="","",INDEX(GL!$D:$D,$C440))))</f>
        <v/>
      </c>
      <c r="G440" s="19" t="str">
        <f aca="false">IF(C440=0,"",IF($A440="Bank",INDEX(Bank!$E:$E,$C440),INDEX(GL!$E:$E,$C440)))</f>
        <v/>
      </c>
      <c r="H440" s="5" t="str">
        <f aca="false">IF(C440=0,"",IF(A440="GL",IF(G440&gt;0,"Deposit in transit","Outstanding check / payment"),IF(G440&gt;0,"Bank credit not in GL","Bank debit not in GL")))</f>
        <v/>
      </c>
      <c r="I440" s="42" t="str">
        <f aca="false">IF(OR(C440=0,CFG_PeriodEnd=""),"",CFG_PeriodEnd-D440)</f>
        <v/>
      </c>
      <c r="J440" s="5" t="str">
        <f aca="false">IF(C440=0,"",IF($A440="Bank",IF(INDEX(Bank!$G:$G,$C440)="","",INDEX(Bank!$G:$G,$C440)),IF(INDEX(GL!$G:$G,$C440)="","",INDEX(GL!$G:$G,$C440))))</f>
        <v/>
      </c>
      <c r="K440" s="5" t="str">
        <f aca="false">IF(C440=0,"",IF($A440="Bank",IF(INDEX(Bank!$I:$I,$C440)="","",INDEX(Bank!$I:$I,$C440)),IF(INDEX(GL!$I:$I,$C440)="","",INDEX(GL!$I:$I,$C440))))</f>
        <v/>
      </c>
      <c r="L440" s="5" t="str">
        <f aca="false">IF(B440="","",IF(C440=0,"NOT FOUND",IF(IF($A440="Bank",INDEX(Bank!$F:$F,$C440),INDEX(GL!$F:$F,$C440))="Y","NOW RECONCILED: refresh","OK")))</f>
        <v/>
      </c>
    </row>
    <row r="441" customFormat="false" ht="15" hidden="false" customHeight="false" outlineLevel="0" collapsed="false">
      <c r="A441" s="41"/>
      <c r="B441" s="41"/>
      <c r="C441" s="5" t="n">
        <f aca="false">IF(B441="",0,IF(A441="Bank",IFERROR(MATCH(B441,Bank!$A:$A,0),0),IFERROR(MATCH(B441,GL!$A:$A,0),0)))</f>
        <v>0</v>
      </c>
      <c r="D441" s="32" t="str">
        <f aca="false">IF(C441=0,"",IF($A441="Bank",INDEX(Bank!$B:$B,$C441),INDEX(GL!$B:$B,$C441)))</f>
        <v/>
      </c>
      <c r="E441" s="5" t="str">
        <f aca="false">IF(C441=0,"",IF($A441="Bank",IF(INDEX(Bank!$C:$C,$C441)="","",INDEX(Bank!$C:$C,$C441)),IF(INDEX(GL!$C:$C,$C441)="","",INDEX(GL!$C:$C,$C441))))</f>
        <v/>
      </c>
      <c r="F441" s="5" t="str">
        <f aca="false">IF(C441=0,"",IF($A441="Bank",IF(INDEX(Bank!$D:$D,$C441)="","",INDEX(Bank!$D:$D,$C441)),IF(INDEX(GL!$D:$D,$C441)="","",INDEX(GL!$D:$D,$C441))))</f>
        <v/>
      </c>
      <c r="G441" s="19" t="str">
        <f aca="false">IF(C441=0,"",IF($A441="Bank",INDEX(Bank!$E:$E,$C441),INDEX(GL!$E:$E,$C441)))</f>
        <v/>
      </c>
      <c r="H441" s="5" t="str">
        <f aca="false">IF(C441=0,"",IF(A441="GL",IF(G441&gt;0,"Deposit in transit","Outstanding check / payment"),IF(G441&gt;0,"Bank credit not in GL","Bank debit not in GL")))</f>
        <v/>
      </c>
      <c r="I441" s="42" t="str">
        <f aca="false">IF(OR(C441=0,CFG_PeriodEnd=""),"",CFG_PeriodEnd-D441)</f>
        <v/>
      </c>
      <c r="J441" s="5" t="str">
        <f aca="false">IF(C441=0,"",IF($A441="Bank",IF(INDEX(Bank!$G:$G,$C441)="","",INDEX(Bank!$G:$G,$C441)),IF(INDEX(GL!$G:$G,$C441)="","",INDEX(GL!$G:$G,$C441))))</f>
        <v/>
      </c>
      <c r="K441" s="5" t="str">
        <f aca="false">IF(C441=0,"",IF($A441="Bank",IF(INDEX(Bank!$I:$I,$C441)="","",INDEX(Bank!$I:$I,$C441)),IF(INDEX(GL!$I:$I,$C441)="","",INDEX(GL!$I:$I,$C441))))</f>
        <v/>
      </c>
      <c r="L441" s="5" t="str">
        <f aca="false">IF(B441="","",IF(C441=0,"NOT FOUND",IF(IF($A441="Bank",INDEX(Bank!$F:$F,$C441),INDEX(GL!$F:$F,$C441))="Y","NOW RECONCILED: refresh","OK")))</f>
        <v/>
      </c>
    </row>
    <row r="442" customFormat="false" ht="15" hidden="false" customHeight="false" outlineLevel="0" collapsed="false">
      <c r="A442" s="41"/>
      <c r="B442" s="41"/>
      <c r="C442" s="5" t="n">
        <f aca="false">IF(B442="",0,IF(A442="Bank",IFERROR(MATCH(B442,Bank!$A:$A,0),0),IFERROR(MATCH(B442,GL!$A:$A,0),0)))</f>
        <v>0</v>
      </c>
      <c r="D442" s="32" t="str">
        <f aca="false">IF(C442=0,"",IF($A442="Bank",INDEX(Bank!$B:$B,$C442),INDEX(GL!$B:$B,$C442)))</f>
        <v/>
      </c>
      <c r="E442" s="5" t="str">
        <f aca="false">IF(C442=0,"",IF($A442="Bank",IF(INDEX(Bank!$C:$C,$C442)="","",INDEX(Bank!$C:$C,$C442)),IF(INDEX(GL!$C:$C,$C442)="","",INDEX(GL!$C:$C,$C442))))</f>
        <v/>
      </c>
      <c r="F442" s="5" t="str">
        <f aca="false">IF(C442=0,"",IF($A442="Bank",IF(INDEX(Bank!$D:$D,$C442)="","",INDEX(Bank!$D:$D,$C442)),IF(INDEX(GL!$D:$D,$C442)="","",INDEX(GL!$D:$D,$C442))))</f>
        <v/>
      </c>
      <c r="G442" s="19" t="str">
        <f aca="false">IF(C442=0,"",IF($A442="Bank",INDEX(Bank!$E:$E,$C442),INDEX(GL!$E:$E,$C442)))</f>
        <v/>
      </c>
      <c r="H442" s="5" t="str">
        <f aca="false">IF(C442=0,"",IF(A442="GL",IF(G442&gt;0,"Deposit in transit","Outstanding check / payment"),IF(G442&gt;0,"Bank credit not in GL","Bank debit not in GL")))</f>
        <v/>
      </c>
      <c r="I442" s="42" t="str">
        <f aca="false">IF(OR(C442=0,CFG_PeriodEnd=""),"",CFG_PeriodEnd-D442)</f>
        <v/>
      </c>
      <c r="J442" s="5" t="str">
        <f aca="false">IF(C442=0,"",IF($A442="Bank",IF(INDEX(Bank!$G:$G,$C442)="","",INDEX(Bank!$G:$G,$C442)),IF(INDEX(GL!$G:$G,$C442)="","",INDEX(GL!$G:$G,$C442))))</f>
        <v/>
      </c>
      <c r="K442" s="5" t="str">
        <f aca="false">IF(C442=0,"",IF($A442="Bank",IF(INDEX(Bank!$I:$I,$C442)="","",INDEX(Bank!$I:$I,$C442)),IF(INDEX(GL!$I:$I,$C442)="","",INDEX(GL!$I:$I,$C442))))</f>
        <v/>
      </c>
      <c r="L442" s="5" t="str">
        <f aca="false">IF(B442="","",IF(C442=0,"NOT FOUND",IF(IF($A442="Bank",INDEX(Bank!$F:$F,$C442),INDEX(GL!$F:$F,$C442))="Y","NOW RECONCILED: refresh","OK")))</f>
        <v/>
      </c>
    </row>
    <row r="443" customFormat="false" ht="15" hidden="false" customHeight="false" outlineLevel="0" collapsed="false">
      <c r="A443" s="41"/>
      <c r="B443" s="41"/>
      <c r="C443" s="5" t="n">
        <f aca="false">IF(B443="",0,IF(A443="Bank",IFERROR(MATCH(B443,Bank!$A:$A,0),0),IFERROR(MATCH(B443,GL!$A:$A,0),0)))</f>
        <v>0</v>
      </c>
      <c r="D443" s="32" t="str">
        <f aca="false">IF(C443=0,"",IF($A443="Bank",INDEX(Bank!$B:$B,$C443),INDEX(GL!$B:$B,$C443)))</f>
        <v/>
      </c>
      <c r="E443" s="5" t="str">
        <f aca="false">IF(C443=0,"",IF($A443="Bank",IF(INDEX(Bank!$C:$C,$C443)="","",INDEX(Bank!$C:$C,$C443)),IF(INDEX(GL!$C:$C,$C443)="","",INDEX(GL!$C:$C,$C443))))</f>
        <v/>
      </c>
      <c r="F443" s="5" t="str">
        <f aca="false">IF(C443=0,"",IF($A443="Bank",IF(INDEX(Bank!$D:$D,$C443)="","",INDEX(Bank!$D:$D,$C443)),IF(INDEX(GL!$D:$D,$C443)="","",INDEX(GL!$D:$D,$C443))))</f>
        <v/>
      </c>
      <c r="G443" s="19" t="str">
        <f aca="false">IF(C443=0,"",IF($A443="Bank",INDEX(Bank!$E:$E,$C443),INDEX(GL!$E:$E,$C443)))</f>
        <v/>
      </c>
      <c r="H443" s="5" t="str">
        <f aca="false">IF(C443=0,"",IF(A443="GL",IF(G443&gt;0,"Deposit in transit","Outstanding check / payment"),IF(G443&gt;0,"Bank credit not in GL","Bank debit not in GL")))</f>
        <v/>
      </c>
      <c r="I443" s="42" t="str">
        <f aca="false">IF(OR(C443=0,CFG_PeriodEnd=""),"",CFG_PeriodEnd-D443)</f>
        <v/>
      </c>
      <c r="J443" s="5" t="str">
        <f aca="false">IF(C443=0,"",IF($A443="Bank",IF(INDEX(Bank!$G:$G,$C443)="","",INDEX(Bank!$G:$G,$C443)),IF(INDEX(GL!$G:$G,$C443)="","",INDEX(GL!$G:$G,$C443))))</f>
        <v/>
      </c>
      <c r="K443" s="5" t="str">
        <f aca="false">IF(C443=0,"",IF($A443="Bank",IF(INDEX(Bank!$I:$I,$C443)="","",INDEX(Bank!$I:$I,$C443)),IF(INDEX(GL!$I:$I,$C443)="","",INDEX(GL!$I:$I,$C443))))</f>
        <v/>
      </c>
      <c r="L443" s="5" t="str">
        <f aca="false">IF(B443="","",IF(C443=0,"NOT FOUND",IF(IF($A443="Bank",INDEX(Bank!$F:$F,$C443),INDEX(GL!$F:$F,$C443))="Y","NOW RECONCILED: refresh","OK")))</f>
        <v/>
      </c>
    </row>
    <row r="444" customFormat="false" ht="15" hidden="false" customHeight="false" outlineLevel="0" collapsed="false">
      <c r="A444" s="41"/>
      <c r="B444" s="41"/>
      <c r="C444" s="5" t="n">
        <f aca="false">IF(B444="",0,IF(A444="Bank",IFERROR(MATCH(B444,Bank!$A:$A,0),0),IFERROR(MATCH(B444,GL!$A:$A,0),0)))</f>
        <v>0</v>
      </c>
      <c r="D444" s="32" t="str">
        <f aca="false">IF(C444=0,"",IF($A444="Bank",INDEX(Bank!$B:$B,$C444),INDEX(GL!$B:$B,$C444)))</f>
        <v/>
      </c>
      <c r="E444" s="5" t="str">
        <f aca="false">IF(C444=0,"",IF($A444="Bank",IF(INDEX(Bank!$C:$C,$C444)="","",INDEX(Bank!$C:$C,$C444)),IF(INDEX(GL!$C:$C,$C444)="","",INDEX(GL!$C:$C,$C444))))</f>
        <v/>
      </c>
      <c r="F444" s="5" t="str">
        <f aca="false">IF(C444=0,"",IF($A444="Bank",IF(INDEX(Bank!$D:$D,$C444)="","",INDEX(Bank!$D:$D,$C444)),IF(INDEX(GL!$D:$D,$C444)="","",INDEX(GL!$D:$D,$C444))))</f>
        <v/>
      </c>
      <c r="G444" s="19" t="str">
        <f aca="false">IF(C444=0,"",IF($A444="Bank",INDEX(Bank!$E:$E,$C444),INDEX(GL!$E:$E,$C444)))</f>
        <v/>
      </c>
      <c r="H444" s="5" t="str">
        <f aca="false">IF(C444=0,"",IF(A444="GL",IF(G444&gt;0,"Deposit in transit","Outstanding check / payment"),IF(G444&gt;0,"Bank credit not in GL","Bank debit not in GL")))</f>
        <v/>
      </c>
      <c r="I444" s="42" t="str">
        <f aca="false">IF(OR(C444=0,CFG_PeriodEnd=""),"",CFG_PeriodEnd-D444)</f>
        <v/>
      </c>
      <c r="J444" s="5" t="str">
        <f aca="false">IF(C444=0,"",IF($A444="Bank",IF(INDEX(Bank!$G:$G,$C444)="","",INDEX(Bank!$G:$G,$C444)),IF(INDEX(GL!$G:$G,$C444)="","",INDEX(GL!$G:$G,$C444))))</f>
        <v/>
      </c>
      <c r="K444" s="5" t="str">
        <f aca="false">IF(C444=0,"",IF($A444="Bank",IF(INDEX(Bank!$I:$I,$C444)="","",INDEX(Bank!$I:$I,$C444)),IF(INDEX(GL!$I:$I,$C444)="","",INDEX(GL!$I:$I,$C444))))</f>
        <v/>
      </c>
      <c r="L444" s="5" t="str">
        <f aca="false">IF(B444="","",IF(C444=0,"NOT FOUND",IF(IF($A444="Bank",INDEX(Bank!$F:$F,$C444),INDEX(GL!$F:$F,$C444))="Y","NOW RECONCILED: refresh","OK")))</f>
        <v/>
      </c>
    </row>
    <row r="445" customFormat="false" ht="15" hidden="false" customHeight="false" outlineLevel="0" collapsed="false">
      <c r="A445" s="41"/>
      <c r="B445" s="41"/>
      <c r="C445" s="5" t="n">
        <f aca="false">IF(B445="",0,IF(A445="Bank",IFERROR(MATCH(B445,Bank!$A:$A,0),0),IFERROR(MATCH(B445,GL!$A:$A,0),0)))</f>
        <v>0</v>
      </c>
      <c r="D445" s="32" t="str">
        <f aca="false">IF(C445=0,"",IF($A445="Bank",INDEX(Bank!$B:$B,$C445),INDEX(GL!$B:$B,$C445)))</f>
        <v/>
      </c>
      <c r="E445" s="5" t="str">
        <f aca="false">IF(C445=0,"",IF($A445="Bank",IF(INDEX(Bank!$C:$C,$C445)="","",INDEX(Bank!$C:$C,$C445)),IF(INDEX(GL!$C:$C,$C445)="","",INDEX(GL!$C:$C,$C445))))</f>
        <v/>
      </c>
      <c r="F445" s="5" t="str">
        <f aca="false">IF(C445=0,"",IF($A445="Bank",IF(INDEX(Bank!$D:$D,$C445)="","",INDEX(Bank!$D:$D,$C445)),IF(INDEX(GL!$D:$D,$C445)="","",INDEX(GL!$D:$D,$C445))))</f>
        <v/>
      </c>
      <c r="G445" s="19" t="str">
        <f aca="false">IF(C445=0,"",IF($A445="Bank",INDEX(Bank!$E:$E,$C445),INDEX(GL!$E:$E,$C445)))</f>
        <v/>
      </c>
      <c r="H445" s="5" t="str">
        <f aca="false">IF(C445=0,"",IF(A445="GL",IF(G445&gt;0,"Deposit in transit","Outstanding check / payment"),IF(G445&gt;0,"Bank credit not in GL","Bank debit not in GL")))</f>
        <v/>
      </c>
      <c r="I445" s="42" t="str">
        <f aca="false">IF(OR(C445=0,CFG_PeriodEnd=""),"",CFG_PeriodEnd-D445)</f>
        <v/>
      </c>
      <c r="J445" s="5" t="str">
        <f aca="false">IF(C445=0,"",IF($A445="Bank",IF(INDEX(Bank!$G:$G,$C445)="","",INDEX(Bank!$G:$G,$C445)),IF(INDEX(GL!$G:$G,$C445)="","",INDEX(GL!$G:$G,$C445))))</f>
        <v/>
      </c>
      <c r="K445" s="5" t="str">
        <f aca="false">IF(C445=0,"",IF($A445="Bank",IF(INDEX(Bank!$I:$I,$C445)="","",INDEX(Bank!$I:$I,$C445)),IF(INDEX(GL!$I:$I,$C445)="","",INDEX(GL!$I:$I,$C445))))</f>
        <v/>
      </c>
      <c r="L445" s="5" t="str">
        <f aca="false">IF(B445="","",IF(C445=0,"NOT FOUND",IF(IF($A445="Bank",INDEX(Bank!$F:$F,$C445),INDEX(GL!$F:$F,$C445))="Y","NOW RECONCILED: refresh","OK")))</f>
        <v/>
      </c>
    </row>
    <row r="446" customFormat="false" ht="15" hidden="false" customHeight="false" outlineLevel="0" collapsed="false">
      <c r="A446" s="41"/>
      <c r="B446" s="41"/>
      <c r="C446" s="5" t="n">
        <f aca="false">IF(B446="",0,IF(A446="Bank",IFERROR(MATCH(B446,Bank!$A:$A,0),0),IFERROR(MATCH(B446,GL!$A:$A,0),0)))</f>
        <v>0</v>
      </c>
      <c r="D446" s="32" t="str">
        <f aca="false">IF(C446=0,"",IF($A446="Bank",INDEX(Bank!$B:$B,$C446),INDEX(GL!$B:$B,$C446)))</f>
        <v/>
      </c>
      <c r="E446" s="5" t="str">
        <f aca="false">IF(C446=0,"",IF($A446="Bank",IF(INDEX(Bank!$C:$C,$C446)="","",INDEX(Bank!$C:$C,$C446)),IF(INDEX(GL!$C:$C,$C446)="","",INDEX(GL!$C:$C,$C446))))</f>
        <v/>
      </c>
      <c r="F446" s="5" t="str">
        <f aca="false">IF(C446=0,"",IF($A446="Bank",IF(INDEX(Bank!$D:$D,$C446)="","",INDEX(Bank!$D:$D,$C446)),IF(INDEX(GL!$D:$D,$C446)="","",INDEX(GL!$D:$D,$C446))))</f>
        <v/>
      </c>
      <c r="G446" s="19" t="str">
        <f aca="false">IF(C446=0,"",IF($A446="Bank",INDEX(Bank!$E:$E,$C446),INDEX(GL!$E:$E,$C446)))</f>
        <v/>
      </c>
      <c r="H446" s="5" t="str">
        <f aca="false">IF(C446=0,"",IF(A446="GL",IF(G446&gt;0,"Deposit in transit","Outstanding check / payment"),IF(G446&gt;0,"Bank credit not in GL","Bank debit not in GL")))</f>
        <v/>
      </c>
      <c r="I446" s="42" t="str">
        <f aca="false">IF(OR(C446=0,CFG_PeriodEnd=""),"",CFG_PeriodEnd-D446)</f>
        <v/>
      </c>
      <c r="J446" s="5" t="str">
        <f aca="false">IF(C446=0,"",IF($A446="Bank",IF(INDEX(Bank!$G:$G,$C446)="","",INDEX(Bank!$G:$G,$C446)),IF(INDEX(GL!$G:$G,$C446)="","",INDEX(GL!$G:$G,$C446))))</f>
        <v/>
      </c>
      <c r="K446" s="5" t="str">
        <f aca="false">IF(C446=0,"",IF($A446="Bank",IF(INDEX(Bank!$I:$I,$C446)="","",INDEX(Bank!$I:$I,$C446)),IF(INDEX(GL!$I:$I,$C446)="","",INDEX(GL!$I:$I,$C446))))</f>
        <v/>
      </c>
      <c r="L446" s="5" t="str">
        <f aca="false">IF(B446="","",IF(C446=0,"NOT FOUND",IF(IF($A446="Bank",INDEX(Bank!$F:$F,$C446),INDEX(GL!$F:$F,$C446))="Y","NOW RECONCILED: refresh","OK")))</f>
        <v/>
      </c>
    </row>
    <row r="447" customFormat="false" ht="15" hidden="false" customHeight="false" outlineLevel="0" collapsed="false">
      <c r="A447" s="41"/>
      <c r="B447" s="41"/>
      <c r="C447" s="5" t="n">
        <f aca="false">IF(B447="",0,IF(A447="Bank",IFERROR(MATCH(B447,Bank!$A:$A,0),0),IFERROR(MATCH(B447,GL!$A:$A,0),0)))</f>
        <v>0</v>
      </c>
      <c r="D447" s="32" t="str">
        <f aca="false">IF(C447=0,"",IF($A447="Bank",INDEX(Bank!$B:$B,$C447),INDEX(GL!$B:$B,$C447)))</f>
        <v/>
      </c>
      <c r="E447" s="5" t="str">
        <f aca="false">IF(C447=0,"",IF($A447="Bank",IF(INDEX(Bank!$C:$C,$C447)="","",INDEX(Bank!$C:$C,$C447)),IF(INDEX(GL!$C:$C,$C447)="","",INDEX(GL!$C:$C,$C447))))</f>
        <v/>
      </c>
      <c r="F447" s="5" t="str">
        <f aca="false">IF(C447=0,"",IF($A447="Bank",IF(INDEX(Bank!$D:$D,$C447)="","",INDEX(Bank!$D:$D,$C447)),IF(INDEX(GL!$D:$D,$C447)="","",INDEX(GL!$D:$D,$C447))))</f>
        <v/>
      </c>
      <c r="G447" s="19" t="str">
        <f aca="false">IF(C447=0,"",IF($A447="Bank",INDEX(Bank!$E:$E,$C447),INDEX(GL!$E:$E,$C447)))</f>
        <v/>
      </c>
      <c r="H447" s="5" t="str">
        <f aca="false">IF(C447=0,"",IF(A447="GL",IF(G447&gt;0,"Deposit in transit","Outstanding check / payment"),IF(G447&gt;0,"Bank credit not in GL","Bank debit not in GL")))</f>
        <v/>
      </c>
      <c r="I447" s="42" t="str">
        <f aca="false">IF(OR(C447=0,CFG_PeriodEnd=""),"",CFG_PeriodEnd-D447)</f>
        <v/>
      </c>
      <c r="J447" s="5" t="str">
        <f aca="false">IF(C447=0,"",IF($A447="Bank",IF(INDEX(Bank!$G:$G,$C447)="","",INDEX(Bank!$G:$G,$C447)),IF(INDEX(GL!$G:$G,$C447)="","",INDEX(GL!$G:$G,$C447))))</f>
        <v/>
      </c>
      <c r="K447" s="5" t="str">
        <f aca="false">IF(C447=0,"",IF($A447="Bank",IF(INDEX(Bank!$I:$I,$C447)="","",INDEX(Bank!$I:$I,$C447)),IF(INDEX(GL!$I:$I,$C447)="","",INDEX(GL!$I:$I,$C447))))</f>
        <v/>
      </c>
      <c r="L447" s="5" t="str">
        <f aca="false">IF(B447="","",IF(C447=0,"NOT FOUND",IF(IF($A447="Bank",INDEX(Bank!$F:$F,$C447),INDEX(GL!$F:$F,$C447))="Y","NOW RECONCILED: refresh","OK")))</f>
        <v/>
      </c>
    </row>
    <row r="448" customFormat="false" ht="15" hidden="false" customHeight="false" outlineLevel="0" collapsed="false">
      <c r="A448" s="41"/>
      <c r="B448" s="41"/>
      <c r="C448" s="5" t="n">
        <f aca="false">IF(B448="",0,IF(A448="Bank",IFERROR(MATCH(B448,Bank!$A:$A,0),0),IFERROR(MATCH(B448,GL!$A:$A,0),0)))</f>
        <v>0</v>
      </c>
      <c r="D448" s="32" t="str">
        <f aca="false">IF(C448=0,"",IF($A448="Bank",INDEX(Bank!$B:$B,$C448),INDEX(GL!$B:$B,$C448)))</f>
        <v/>
      </c>
      <c r="E448" s="5" t="str">
        <f aca="false">IF(C448=0,"",IF($A448="Bank",IF(INDEX(Bank!$C:$C,$C448)="","",INDEX(Bank!$C:$C,$C448)),IF(INDEX(GL!$C:$C,$C448)="","",INDEX(GL!$C:$C,$C448))))</f>
        <v/>
      </c>
      <c r="F448" s="5" t="str">
        <f aca="false">IF(C448=0,"",IF($A448="Bank",IF(INDEX(Bank!$D:$D,$C448)="","",INDEX(Bank!$D:$D,$C448)),IF(INDEX(GL!$D:$D,$C448)="","",INDEX(GL!$D:$D,$C448))))</f>
        <v/>
      </c>
      <c r="G448" s="19" t="str">
        <f aca="false">IF(C448=0,"",IF($A448="Bank",INDEX(Bank!$E:$E,$C448),INDEX(GL!$E:$E,$C448)))</f>
        <v/>
      </c>
      <c r="H448" s="5" t="str">
        <f aca="false">IF(C448=0,"",IF(A448="GL",IF(G448&gt;0,"Deposit in transit","Outstanding check / payment"),IF(G448&gt;0,"Bank credit not in GL","Bank debit not in GL")))</f>
        <v/>
      </c>
      <c r="I448" s="42" t="str">
        <f aca="false">IF(OR(C448=0,CFG_PeriodEnd=""),"",CFG_PeriodEnd-D448)</f>
        <v/>
      </c>
      <c r="J448" s="5" t="str">
        <f aca="false">IF(C448=0,"",IF($A448="Bank",IF(INDEX(Bank!$G:$G,$C448)="","",INDEX(Bank!$G:$G,$C448)),IF(INDEX(GL!$G:$G,$C448)="","",INDEX(GL!$G:$G,$C448))))</f>
        <v/>
      </c>
      <c r="K448" s="5" t="str">
        <f aca="false">IF(C448=0,"",IF($A448="Bank",IF(INDEX(Bank!$I:$I,$C448)="","",INDEX(Bank!$I:$I,$C448)),IF(INDEX(GL!$I:$I,$C448)="","",INDEX(GL!$I:$I,$C448))))</f>
        <v/>
      </c>
      <c r="L448" s="5" t="str">
        <f aca="false">IF(B448="","",IF(C448=0,"NOT FOUND",IF(IF($A448="Bank",INDEX(Bank!$F:$F,$C448),INDEX(GL!$F:$F,$C448))="Y","NOW RECONCILED: refresh","OK")))</f>
        <v/>
      </c>
    </row>
    <row r="449" customFormat="false" ht="15" hidden="false" customHeight="false" outlineLevel="0" collapsed="false">
      <c r="A449" s="41"/>
      <c r="B449" s="41"/>
      <c r="C449" s="5" t="n">
        <f aca="false">IF(B449="",0,IF(A449="Bank",IFERROR(MATCH(B449,Bank!$A:$A,0),0),IFERROR(MATCH(B449,GL!$A:$A,0),0)))</f>
        <v>0</v>
      </c>
      <c r="D449" s="32" t="str">
        <f aca="false">IF(C449=0,"",IF($A449="Bank",INDEX(Bank!$B:$B,$C449),INDEX(GL!$B:$B,$C449)))</f>
        <v/>
      </c>
      <c r="E449" s="5" t="str">
        <f aca="false">IF(C449=0,"",IF($A449="Bank",IF(INDEX(Bank!$C:$C,$C449)="","",INDEX(Bank!$C:$C,$C449)),IF(INDEX(GL!$C:$C,$C449)="","",INDEX(GL!$C:$C,$C449))))</f>
        <v/>
      </c>
      <c r="F449" s="5" t="str">
        <f aca="false">IF(C449=0,"",IF($A449="Bank",IF(INDEX(Bank!$D:$D,$C449)="","",INDEX(Bank!$D:$D,$C449)),IF(INDEX(GL!$D:$D,$C449)="","",INDEX(GL!$D:$D,$C449))))</f>
        <v/>
      </c>
      <c r="G449" s="19" t="str">
        <f aca="false">IF(C449=0,"",IF($A449="Bank",INDEX(Bank!$E:$E,$C449),INDEX(GL!$E:$E,$C449)))</f>
        <v/>
      </c>
      <c r="H449" s="5" t="str">
        <f aca="false">IF(C449=0,"",IF(A449="GL",IF(G449&gt;0,"Deposit in transit","Outstanding check / payment"),IF(G449&gt;0,"Bank credit not in GL","Bank debit not in GL")))</f>
        <v/>
      </c>
      <c r="I449" s="42" t="str">
        <f aca="false">IF(OR(C449=0,CFG_PeriodEnd=""),"",CFG_PeriodEnd-D449)</f>
        <v/>
      </c>
      <c r="J449" s="5" t="str">
        <f aca="false">IF(C449=0,"",IF($A449="Bank",IF(INDEX(Bank!$G:$G,$C449)="","",INDEX(Bank!$G:$G,$C449)),IF(INDEX(GL!$G:$G,$C449)="","",INDEX(GL!$G:$G,$C449))))</f>
        <v/>
      </c>
      <c r="K449" s="5" t="str">
        <f aca="false">IF(C449=0,"",IF($A449="Bank",IF(INDEX(Bank!$I:$I,$C449)="","",INDEX(Bank!$I:$I,$C449)),IF(INDEX(GL!$I:$I,$C449)="","",INDEX(GL!$I:$I,$C449))))</f>
        <v/>
      </c>
      <c r="L449" s="5" t="str">
        <f aca="false">IF(B449="","",IF(C449=0,"NOT FOUND",IF(IF($A449="Bank",INDEX(Bank!$F:$F,$C449),INDEX(GL!$F:$F,$C449))="Y","NOW RECONCILED: refresh","OK")))</f>
        <v/>
      </c>
    </row>
    <row r="450" customFormat="false" ht="15" hidden="false" customHeight="false" outlineLevel="0" collapsed="false">
      <c r="A450" s="41"/>
      <c r="B450" s="41"/>
      <c r="C450" s="5" t="n">
        <f aca="false">IF(B450="",0,IF(A450="Bank",IFERROR(MATCH(B450,Bank!$A:$A,0),0),IFERROR(MATCH(B450,GL!$A:$A,0),0)))</f>
        <v>0</v>
      </c>
      <c r="D450" s="32" t="str">
        <f aca="false">IF(C450=0,"",IF($A450="Bank",INDEX(Bank!$B:$B,$C450),INDEX(GL!$B:$B,$C450)))</f>
        <v/>
      </c>
      <c r="E450" s="5" t="str">
        <f aca="false">IF(C450=0,"",IF($A450="Bank",IF(INDEX(Bank!$C:$C,$C450)="","",INDEX(Bank!$C:$C,$C450)),IF(INDEX(GL!$C:$C,$C450)="","",INDEX(GL!$C:$C,$C450))))</f>
        <v/>
      </c>
      <c r="F450" s="5" t="str">
        <f aca="false">IF(C450=0,"",IF($A450="Bank",IF(INDEX(Bank!$D:$D,$C450)="","",INDEX(Bank!$D:$D,$C450)),IF(INDEX(GL!$D:$D,$C450)="","",INDEX(GL!$D:$D,$C450))))</f>
        <v/>
      </c>
      <c r="G450" s="19" t="str">
        <f aca="false">IF(C450=0,"",IF($A450="Bank",INDEX(Bank!$E:$E,$C450),INDEX(GL!$E:$E,$C450)))</f>
        <v/>
      </c>
      <c r="H450" s="5" t="str">
        <f aca="false">IF(C450=0,"",IF(A450="GL",IF(G450&gt;0,"Deposit in transit","Outstanding check / payment"),IF(G450&gt;0,"Bank credit not in GL","Bank debit not in GL")))</f>
        <v/>
      </c>
      <c r="I450" s="42" t="str">
        <f aca="false">IF(OR(C450=0,CFG_PeriodEnd=""),"",CFG_PeriodEnd-D450)</f>
        <v/>
      </c>
      <c r="J450" s="5" t="str">
        <f aca="false">IF(C450=0,"",IF($A450="Bank",IF(INDEX(Bank!$G:$G,$C450)="","",INDEX(Bank!$G:$G,$C450)),IF(INDEX(GL!$G:$G,$C450)="","",INDEX(GL!$G:$G,$C450))))</f>
        <v/>
      </c>
      <c r="K450" s="5" t="str">
        <f aca="false">IF(C450=0,"",IF($A450="Bank",IF(INDEX(Bank!$I:$I,$C450)="","",INDEX(Bank!$I:$I,$C450)),IF(INDEX(GL!$I:$I,$C450)="","",INDEX(GL!$I:$I,$C450))))</f>
        <v/>
      </c>
      <c r="L450" s="5" t="str">
        <f aca="false">IF(B450="","",IF(C450=0,"NOT FOUND",IF(IF($A450="Bank",INDEX(Bank!$F:$F,$C450),INDEX(GL!$F:$F,$C450))="Y","NOW RECONCILED: refresh","OK")))</f>
        <v/>
      </c>
    </row>
    <row r="451" customFormat="false" ht="15" hidden="false" customHeight="false" outlineLevel="0" collapsed="false">
      <c r="A451" s="41"/>
      <c r="B451" s="41"/>
      <c r="C451" s="5" t="n">
        <f aca="false">IF(B451="",0,IF(A451="Bank",IFERROR(MATCH(B451,Bank!$A:$A,0),0),IFERROR(MATCH(B451,GL!$A:$A,0),0)))</f>
        <v>0</v>
      </c>
      <c r="D451" s="32" t="str">
        <f aca="false">IF(C451=0,"",IF($A451="Bank",INDEX(Bank!$B:$B,$C451),INDEX(GL!$B:$B,$C451)))</f>
        <v/>
      </c>
      <c r="E451" s="5" t="str">
        <f aca="false">IF(C451=0,"",IF($A451="Bank",IF(INDEX(Bank!$C:$C,$C451)="","",INDEX(Bank!$C:$C,$C451)),IF(INDEX(GL!$C:$C,$C451)="","",INDEX(GL!$C:$C,$C451))))</f>
        <v/>
      </c>
      <c r="F451" s="5" t="str">
        <f aca="false">IF(C451=0,"",IF($A451="Bank",IF(INDEX(Bank!$D:$D,$C451)="","",INDEX(Bank!$D:$D,$C451)),IF(INDEX(GL!$D:$D,$C451)="","",INDEX(GL!$D:$D,$C451))))</f>
        <v/>
      </c>
      <c r="G451" s="19" t="str">
        <f aca="false">IF(C451=0,"",IF($A451="Bank",INDEX(Bank!$E:$E,$C451),INDEX(GL!$E:$E,$C451)))</f>
        <v/>
      </c>
      <c r="H451" s="5" t="str">
        <f aca="false">IF(C451=0,"",IF(A451="GL",IF(G451&gt;0,"Deposit in transit","Outstanding check / payment"),IF(G451&gt;0,"Bank credit not in GL","Bank debit not in GL")))</f>
        <v/>
      </c>
      <c r="I451" s="42" t="str">
        <f aca="false">IF(OR(C451=0,CFG_PeriodEnd=""),"",CFG_PeriodEnd-D451)</f>
        <v/>
      </c>
      <c r="J451" s="5" t="str">
        <f aca="false">IF(C451=0,"",IF($A451="Bank",IF(INDEX(Bank!$G:$G,$C451)="","",INDEX(Bank!$G:$G,$C451)),IF(INDEX(GL!$G:$G,$C451)="","",INDEX(GL!$G:$G,$C451))))</f>
        <v/>
      </c>
      <c r="K451" s="5" t="str">
        <f aca="false">IF(C451=0,"",IF($A451="Bank",IF(INDEX(Bank!$I:$I,$C451)="","",INDEX(Bank!$I:$I,$C451)),IF(INDEX(GL!$I:$I,$C451)="","",INDEX(GL!$I:$I,$C451))))</f>
        <v/>
      </c>
      <c r="L451" s="5" t="str">
        <f aca="false">IF(B451="","",IF(C451=0,"NOT FOUND",IF(IF($A451="Bank",INDEX(Bank!$F:$F,$C451),INDEX(GL!$F:$F,$C451))="Y","NOW RECONCILED: refresh","OK")))</f>
        <v/>
      </c>
    </row>
    <row r="452" customFormat="false" ht="15" hidden="false" customHeight="false" outlineLevel="0" collapsed="false">
      <c r="A452" s="41"/>
      <c r="B452" s="41"/>
      <c r="C452" s="5" t="n">
        <f aca="false">IF(B452="",0,IF(A452="Bank",IFERROR(MATCH(B452,Bank!$A:$A,0),0),IFERROR(MATCH(B452,GL!$A:$A,0),0)))</f>
        <v>0</v>
      </c>
      <c r="D452" s="32" t="str">
        <f aca="false">IF(C452=0,"",IF($A452="Bank",INDEX(Bank!$B:$B,$C452),INDEX(GL!$B:$B,$C452)))</f>
        <v/>
      </c>
      <c r="E452" s="5" t="str">
        <f aca="false">IF(C452=0,"",IF($A452="Bank",IF(INDEX(Bank!$C:$C,$C452)="","",INDEX(Bank!$C:$C,$C452)),IF(INDEX(GL!$C:$C,$C452)="","",INDEX(GL!$C:$C,$C452))))</f>
        <v/>
      </c>
      <c r="F452" s="5" t="str">
        <f aca="false">IF(C452=0,"",IF($A452="Bank",IF(INDEX(Bank!$D:$D,$C452)="","",INDEX(Bank!$D:$D,$C452)),IF(INDEX(GL!$D:$D,$C452)="","",INDEX(GL!$D:$D,$C452))))</f>
        <v/>
      </c>
      <c r="G452" s="19" t="str">
        <f aca="false">IF(C452=0,"",IF($A452="Bank",INDEX(Bank!$E:$E,$C452),INDEX(GL!$E:$E,$C452)))</f>
        <v/>
      </c>
      <c r="H452" s="5" t="str">
        <f aca="false">IF(C452=0,"",IF(A452="GL",IF(G452&gt;0,"Deposit in transit","Outstanding check / payment"),IF(G452&gt;0,"Bank credit not in GL","Bank debit not in GL")))</f>
        <v/>
      </c>
      <c r="I452" s="42" t="str">
        <f aca="false">IF(OR(C452=0,CFG_PeriodEnd=""),"",CFG_PeriodEnd-D452)</f>
        <v/>
      </c>
      <c r="J452" s="5" t="str">
        <f aca="false">IF(C452=0,"",IF($A452="Bank",IF(INDEX(Bank!$G:$G,$C452)="","",INDEX(Bank!$G:$G,$C452)),IF(INDEX(GL!$G:$G,$C452)="","",INDEX(GL!$G:$G,$C452))))</f>
        <v/>
      </c>
      <c r="K452" s="5" t="str">
        <f aca="false">IF(C452=0,"",IF($A452="Bank",IF(INDEX(Bank!$I:$I,$C452)="","",INDEX(Bank!$I:$I,$C452)),IF(INDEX(GL!$I:$I,$C452)="","",INDEX(GL!$I:$I,$C452))))</f>
        <v/>
      </c>
      <c r="L452" s="5" t="str">
        <f aca="false">IF(B452="","",IF(C452=0,"NOT FOUND",IF(IF($A452="Bank",INDEX(Bank!$F:$F,$C452),INDEX(GL!$F:$F,$C452))="Y","NOW RECONCILED: refresh","OK")))</f>
        <v/>
      </c>
    </row>
    <row r="453" customFormat="false" ht="15" hidden="false" customHeight="false" outlineLevel="0" collapsed="false">
      <c r="A453" s="41"/>
      <c r="B453" s="41"/>
      <c r="C453" s="5" t="n">
        <f aca="false">IF(B453="",0,IF(A453="Bank",IFERROR(MATCH(B453,Bank!$A:$A,0),0),IFERROR(MATCH(B453,GL!$A:$A,0),0)))</f>
        <v>0</v>
      </c>
      <c r="D453" s="32" t="str">
        <f aca="false">IF(C453=0,"",IF($A453="Bank",INDEX(Bank!$B:$B,$C453),INDEX(GL!$B:$B,$C453)))</f>
        <v/>
      </c>
      <c r="E453" s="5" t="str">
        <f aca="false">IF(C453=0,"",IF($A453="Bank",IF(INDEX(Bank!$C:$C,$C453)="","",INDEX(Bank!$C:$C,$C453)),IF(INDEX(GL!$C:$C,$C453)="","",INDEX(GL!$C:$C,$C453))))</f>
        <v/>
      </c>
      <c r="F453" s="5" t="str">
        <f aca="false">IF(C453=0,"",IF($A453="Bank",IF(INDEX(Bank!$D:$D,$C453)="","",INDEX(Bank!$D:$D,$C453)),IF(INDEX(GL!$D:$D,$C453)="","",INDEX(GL!$D:$D,$C453))))</f>
        <v/>
      </c>
      <c r="G453" s="19" t="str">
        <f aca="false">IF(C453=0,"",IF($A453="Bank",INDEX(Bank!$E:$E,$C453),INDEX(GL!$E:$E,$C453)))</f>
        <v/>
      </c>
      <c r="H453" s="5" t="str">
        <f aca="false">IF(C453=0,"",IF(A453="GL",IF(G453&gt;0,"Deposit in transit","Outstanding check / payment"),IF(G453&gt;0,"Bank credit not in GL","Bank debit not in GL")))</f>
        <v/>
      </c>
      <c r="I453" s="42" t="str">
        <f aca="false">IF(OR(C453=0,CFG_PeriodEnd=""),"",CFG_PeriodEnd-D453)</f>
        <v/>
      </c>
      <c r="J453" s="5" t="str">
        <f aca="false">IF(C453=0,"",IF($A453="Bank",IF(INDEX(Bank!$G:$G,$C453)="","",INDEX(Bank!$G:$G,$C453)),IF(INDEX(GL!$G:$G,$C453)="","",INDEX(GL!$G:$G,$C453))))</f>
        <v/>
      </c>
      <c r="K453" s="5" t="str">
        <f aca="false">IF(C453=0,"",IF($A453="Bank",IF(INDEX(Bank!$I:$I,$C453)="","",INDEX(Bank!$I:$I,$C453)),IF(INDEX(GL!$I:$I,$C453)="","",INDEX(GL!$I:$I,$C453))))</f>
        <v/>
      </c>
      <c r="L453" s="5" t="str">
        <f aca="false">IF(B453="","",IF(C453=0,"NOT FOUND",IF(IF($A453="Bank",INDEX(Bank!$F:$F,$C453),INDEX(GL!$F:$F,$C453))="Y","NOW RECONCILED: refresh","OK")))</f>
        <v/>
      </c>
    </row>
    <row r="454" customFormat="false" ht="15" hidden="false" customHeight="false" outlineLevel="0" collapsed="false">
      <c r="A454" s="41"/>
      <c r="B454" s="41"/>
      <c r="C454" s="5" t="n">
        <f aca="false">IF(B454="",0,IF(A454="Bank",IFERROR(MATCH(B454,Bank!$A:$A,0),0),IFERROR(MATCH(B454,GL!$A:$A,0),0)))</f>
        <v>0</v>
      </c>
      <c r="D454" s="32" t="str">
        <f aca="false">IF(C454=0,"",IF($A454="Bank",INDEX(Bank!$B:$B,$C454),INDEX(GL!$B:$B,$C454)))</f>
        <v/>
      </c>
      <c r="E454" s="5" t="str">
        <f aca="false">IF(C454=0,"",IF($A454="Bank",IF(INDEX(Bank!$C:$C,$C454)="","",INDEX(Bank!$C:$C,$C454)),IF(INDEX(GL!$C:$C,$C454)="","",INDEX(GL!$C:$C,$C454))))</f>
        <v/>
      </c>
      <c r="F454" s="5" t="str">
        <f aca="false">IF(C454=0,"",IF($A454="Bank",IF(INDEX(Bank!$D:$D,$C454)="","",INDEX(Bank!$D:$D,$C454)),IF(INDEX(GL!$D:$D,$C454)="","",INDEX(GL!$D:$D,$C454))))</f>
        <v/>
      </c>
      <c r="G454" s="19" t="str">
        <f aca="false">IF(C454=0,"",IF($A454="Bank",INDEX(Bank!$E:$E,$C454),INDEX(GL!$E:$E,$C454)))</f>
        <v/>
      </c>
      <c r="H454" s="5" t="str">
        <f aca="false">IF(C454=0,"",IF(A454="GL",IF(G454&gt;0,"Deposit in transit","Outstanding check / payment"),IF(G454&gt;0,"Bank credit not in GL","Bank debit not in GL")))</f>
        <v/>
      </c>
      <c r="I454" s="42" t="str">
        <f aca="false">IF(OR(C454=0,CFG_PeriodEnd=""),"",CFG_PeriodEnd-D454)</f>
        <v/>
      </c>
      <c r="J454" s="5" t="str">
        <f aca="false">IF(C454=0,"",IF($A454="Bank",IF(INDEX(Bank!$G:$G,$C454)="","",INDEX(Bank!$G:$G,$C454)),IF(INDEX(GL!$G:$G,$C454)="","",INDEX(GL!$G:$G,$C454))))</f>
        <v/>
      </c>
      <c r="K454" s="5" t="str">
        <f aca="false">IF(C454=0,"",IF($A454="Bank",IF(INDEX(Bank!$I:$I,$C454)="","",INDEX(Bank!$I:$I,$C454)),IF(INDEX(GL!$I:$I,$C454)="","",INDEX(GL!$I:$I,$C454))))</f>
        <v/>
      </c>
      <c r="L454" s="5" t="str">
        <f aca="false">IF(B454="","",IF(C454=0,"NOT FOUND",IF(IF($A454="Bank",INDEX(Bank!$F:$F,$C454),INDEX(GL!$F:$F,$C454))="Y","NOW RECONCILED: refresh","OK")))</f>
        <v/>
      </c>
    </row>
    <row r="455" customFormat="false" ht="15" hidden="false" customHeight="false" outlineLevel="0" collapsed="false">
      <c r="A455" s="41"/>
      <c r="B455" s="41"/>
      <c r="C455" s="5" t="n">
        <f aca="false">IF(B455="",0,IF(A455="Bank",IFERROR(MATCH(B455,Bank!$A:$A,0),0),IFERROR(MATCH(B455,GL!$A:$A,0),0)))</f>
        <v>0</v>
      </c>
      <c r="D455" s="32" t="str">
        <f aca="false">IF(C455=0,"",IF($A455="Bank",INDEX(Bank!$B:$B,$C455),INDEX(GL!$B:$B,$C455)))</f>
        <v/>
      </c>
      <c r="E455" s="5" t="str">
        <f aca="false">IF(C455=0,"",IF($A455="Bank",IF(INDEX(Bank!$C:$C,$C455)="","",INDEX(Bank!$C:$C,$C455)),IF(INDEX(GL!$C:$C,$C455)="","",INDEX(GL!$C:$C,$C455))))</f>
        <v/>
      </c>
      <c r="F455" s="5" t="str">
        <f aca="false">IF(C455=0,"",IF($A455="Bank",IF(INDEX(Bank!$D:$D,$C455)="","",INDEX(Bank!$D:$D,$C455)),IF(INDEX(GL!$D:$D,$C455)="","",INDEX(GL!$D:$D,$C455))))</f>
        <v/>
      </c>
      <c r="G455" s="19" t="str">
        <f aca="false">IF(C455=0,"",IF($A455="Bank",INDEX(Bank!$E:$E,$C455),INDEX(GL!$E:$E,$C455)))</f>
        <v/>
      </c>
      <c r="H455" s="5" t="str">
        <f aca="false">IF(C455=0,"",IF(A455="GL",IF(G455&gt;0,"Deposit in transit","Outstanding check / payment"),IF(G455&gt;0,"Bank credit not in GL","Bank debit not in GL")))</f>
        <v/>
      </c>
      <c r="I455" s="42" t="str">
        <f aca="false">IF(OR(C455=0,CFG_PeriodEnd=""),"",CFG_PeriodEnd-D455)</f>
        <v/>
      </c>
      <c r="J455" s="5" t="str">
        <f aca="false">IF(C455=0,"",IF($A455="Bank",IF(INDEX(Bank!$G:$G,$C455)="","",INDEX(Bank!$G:$G,$C455)),IF(INDEX(GL!$G:$G,$C455)="","",INDEX(GL!$G:$G,$C455))))</f>
        <v/>
      </c>
      <c r="K455" s="5" t="str">
        <f aca="false">IF(C455=0,"",IF($A455="Bank",IF(INDEX(Bank!$I:$I,$C455)="","",INDEX(Bank!$I:$I,$C455)),IF(INDEX(GL!$I:$I,$C455)="","",INDEX(GL!$I:$I,$C455))))</f>
        <v/>
      </c>
      <c r="L455" s="5" t="str">
        <f aca="false">IF(B455="","",IF(C455=0,"NOT FOUND",IF(IF($A455="Bank",INDEX(Bank!$F:$F,$C455),INDEX(GL!$F:$F,$C455))="Y","NOW RECONCILED: refresh","OK")))</f>
        <v/>
      </c>
    </row>
    <row r="456" customFormat="false" ht="15" hidden="false" customHeight="false" outlineLevel="0" collapsed="false">
      <c r="A456" s="41"/>
      <c r="B456" s="41"/>
      <c r="C456" s="5" t="n">
        <f aca="false">IF(B456="",0,IF(A456="Bank",IFERROR(MATCH(B456,Bank!$A:$A,0),0),IFERROR(MATCH(B456,GL!$A:$A,0),0)))</f>
        <v>0</v>
      </c>
      <c r="D456" s="32" t="str">
        <f aca="false">IF(C456=0,"",IF($A456="Bank",INDEX(Bank!$B:$B,$C456),INDEX(GL!$B:$B,$C456)))</f>
        <v/>
      </c>
      <c r="E456" s="5" t="str">
        <f aca="false">IF(C456=0,"",IF($A456="Bank",IF(INDEX(Bank!$C:$C,$C456)="","",INDEX(Bank!$C:$C,$C456)),IF(INDEX(GL!$C:$C,$C456)="","",INDEX(GL!$C:$C,$C456))))</f>
        <v/>
      </c>
      <c r="F456" s="5" t="str">
        <f aca="false">IF(C456=0,"",IF($A456="Bank",IF(INDEX(Bank!$D:$D,$C456)="","",INDEX(Bank!$D:$D,$C456)),IF(INDEX(GL!$D:$D,$C456)="","",INDEX(GL!$D:$D,$C456))))</f>
        <v/>
      </c>
      <c r="G456" s="19" t="str">
        <f aca="false">IF(C456=0,"",IF($A456="Bank",INDEX(Bank!$E:$E,$C456),INDEX(GL!$E:$E,$C456)))</f>
        <v/>
      </c>
      <c r="H456" s="5" t="str">
        <f aca="false">IF(C456=0,"",IF(A456="GL",IF(G456&gt;0,"Deposit in transit","Outstanding check / payment"),IF(G456&gt;0,"Bank credit not in GL","Bank debit not in GL")))</f>
        <v/>
      </c>
      <c r="I456" s="42" t="str">
        <f aca="false">IF(OR(C456=0,CFG_PeriodEnd=""),"",CFG_PeriodEnd-D456)</f>
        <v/>
      </c>
      <c r="J456" s="5" t="str">
        <f aca="false">IF(C456=0,"",IF($A456="Bank",IF(INDEX(Bank!$G:$G,$C456)="","",INDEX(Bank!$G:$G,$C456)),IF(INDEX(GL!$G:$G,$C456)="","",INDEX(GL!$G:$G,$C456))))</f>
        <v/>
      </c>
      <c r="K456" s="5" t="str">
        <f aca="false">IF(C456=0,"",IF($A456="Bank",IF(INDEX(Bank!$I:$I,$C456)="","",INDEX(Bank!$I:$I,$C456)),IF(INDEX(GL!$I:$I,$C456)="","",INDEX(GL!$I:$I,$C456))))</f>
        <v/>
      </c>
      <c r="L456" s="5" t="str">
        <f aca="false">IF(B456="","",IF(C456=0,"NOT FOUND",IF(IF($A456="Bank",INDEX(Bank!$F:$F,$C456),INDEX(GL!$F:$F,$C456))="Y","NOW RECONCILED: refresh","OK")))</f>
        <v/>
      </c>
    </row>
    <row r="457" customFormat="false" ht="15" hidden="false" customHeight="false" outlineLevel="0" collapsed="false">
      <c r="A457" s="41"/>
      <c r="B457" s="41"/>
      <c r="C457" s="5" t="n">
        <f aca="false">IF(B457="",0,IF(A457="Bank",IFERROR(MATCH(B457,Bank!$A:$A,0),0),IFERROR(MATCH(B457,GL!$A:$A,0),0)))</f>
        <v>0</v>
      </c>
      <c r="D457" s="32" t="str">
        <f aca="false">IF(C457=0,"",IF($A457="Bank",INDEX(Bank!$B:$B,$C457),INDEX(GL!$B:$B,$C457)))</f>
        <v/>
      </c>
      <c r="E457" s="5" t="str">
        <f aca="false">IF(C457=0,"",IF($A457="Bank",IF(INDEX(Bank!$C:$C,$C457)="","",INDEX(Bank!$C:$C,$C457)),IF(INDEX(GL!$C:$C,$C457)="","",INDEX(GL!$C:$C,$C457))))</f>
        <v/>
      </c>
      <c r="F457" s="5" t="str">
        <f aca="false">IF(C457=0,"",IF($A457="Bank",IF(INDEX(Bank!$D:$D,$C457)="","",INDEX(Bank!$D:$D,$C457)),IF(INDEX(GL!$D:$D,$C457)="","",INDEX(GL!$D:$D,$C457))))</f>
        <v/>
      </c>
      <c r="G457" s="19" t="str">
        <f aca="false">IF(C457=0,"",IF($A457="Bank",INDEX(Bank!$E:$E,$C457),INDEX(GL!$E:$E,$C457)))</f>
        <v/>
      </c>
      <c r="H457" s="5" t="str">
        <f aca="false">IF(C457=0,"",IF(A457="GL",IF(G457&gt;0,"Deposit in transit","Outstanding check / payment"),IF(G457&gt;0,"Bank credit not in GL","Bank debit not in GL")))</f>
        <v/>
      </c>
      <c r="I457" s="42" t="str">
        <f aca="false">IF(OR(C457=0,CFG_PeriodEnd=""),"",CFG_PeriodEnd-D457)</f>
        <v/>
      </c>
      <c r="J457" s="5" t="str">
        <f aca="false">IF(C457=0,"",IF($A457="Bank",IF(INDEX(Bank!$G:$G,$C457)="","",INDEX(Bank!$G:$G,$C457)),IF(INDEX(GL!$G:$G,$C457)="","",INDEX(GL!$G:$G,$C457))))</f>
        <v/>
      </c>
      <c r="K457" s="5" t="str">
        <f aca="false">IF(C457=0,"",IF($A457="Bank",IF(INDEX(Bank!$I:$I,$C457)="","",INDEX(Bank!$I:$I,$C457)),IF(INDEX(GL!$I:$I,$C457)="","",INDEX(GL!$I:$I,$C457))))</f>
        <v/>
      </c>
      <c r="L457" s="5" t="str">
        <f aca="false">IF(B457="","",IF(C457=0,"NOT FOUND",IF(IF($A457="Bank",INDEX(Bank!$F:$F,$C457),INDEX(GL!$F:$F,$C457))="Y","NOW RECONCILED: refresh","OK")))</f>
        <v/>
      </c>
    </row>
    <row r="458" customFormat="false" ht="15" hidden="false" customHeight="false" outlineLevel="0" collapsed="false">
      <c r="A458" s="41"/>
      <c r="B458" s="41"/>
      <c r="C458" s="5" t="n">
        <f aca="false">IF(B458="",0,IF(A458="Bank",IFERROR(MATCH(B458,Bank!$A:$A,0),0),IFERROR(MATCH(B458,GL!$A:$A,0),0)))</f>
        <v>0</v>
      </c>
      <c r="D458" s="32" t="str">
        <f aca="false">IF(C458=0,"",IF($A458="Bank",INDEX(Bank!$B:$B,$C458),INDEX(GL!$B:$B,$C458)))</f>
        <v/>
      </c>
      <c r="E458" s="5" t="str">
        <f aca="false">IF(C458=0,"",IF($A458="Bank",IF(INDEX(Bank!$C:$C,$C458)="","",INDEX(Bank!$C:$C,$C458)),IF(INDEX(GL!$C:$C,$C458)="","",INDEX(GL!$C:$C,$C458))))</f>
        <v/>
      </c>
      <c r="F458" s="5" t="str">
        <f aca="false">IF(C458=0,"",IF($A458="Bank",IF(INDEX(Bank!$D:$D,$C458)="","",INDEX(Bank!$D:$D,$C458)),IF(INDEX(GL!$D:$D,$C458)="","",INDEX(GL!$D:$D,$C458))))</f>
        <v/>
      </c>
      <c r="G458" s="19" t="str">
        <f aca="false">IF(C458=0,"",IF($A458="Bank",INDEX(Bank!$E:$E,$C458),INDEX(GL!$E:$E,$C458)))</f>
        <v/>
      </c>
      <c r="H458" s="5" t="str">
        <f aca="false">IF(C458=0,"",IF(A458="GL",IF(G458&gt;0,"Deposit in transit","Outstanding check / payment"),IF(G458&gt;0,"Bank credit not in GL","Bank debit not in GL")))</f>
        <v/>
      </c>
      <c r="I458" s="42" t="str">
        <f aca="false">IF(OR(C458=0,CFG_PeriodEnd=""),"",CFG_PeriodEnd-D458)</f>
        <v/>
      </c>
      <c r="J458" s="5" t="str">
        <f aca="false">IF(C458=0,"",IF($A458="Bank",IF(INDEX(Bank!$G:$G,$C458)="","",INDEX(Bank!$G:$G,$C458)),IF(INDEX(GL!$G:$G,$C458)="","",INDEX(GL!$G:$G,$C458))))</f>
        <v/>
      </c>
      <c r="K458" s="5" t="str">
        <f aca="false">IF(C458=0,"",IF($A458="Bank",IF(INDEX(Bank!$I:$I,$C458)="","",INDEX(Bank!$I:$I,$C458)),IF(INDEX(GL!$I:$I,$C458)="","",INDEX(GL!$I:$I,$C458))))</f>
        <v/>
      </c>
      <c r="L458" s="5" t="str">
        <f aca="false">IF(B458="","",IF(C458=0,"NOT FOUND",IF(IF($A458="Bank",INDEX(Bank!$F:$F,$C458),INDEX(GL!$F:$F,$C458))="Y","NOW RECONCILED: refresh","OK")))</f>
        <v/>
      </c>
    </row>
    <row r="459" customFormat="false" ht="15" hidden="false" customHeight="false" outlineLevel="0" collapsed="false">
      <c r="A459" s="41"/>
      <c r="B459" s="41"/>
      <c r="C459" s="5" t="n">
        <f aca="false">IF(B459="",0,IF(A459="Bank",IFERROR(MATCH(B459,Bank!$A:$A,0),0),IFERROR(MATCH(B459,GL!$A:$A,0),0)))</f>
        <v>0</v>
      </c>
      <c r="D459" s="32" t="str">
        <f aca="false">IF(C459=0,"",IF($A459="Bank",INDEX(Bank!$B:$B,$C459),INDEX(GL!$B:$B,$C459)))</f>
        <v/>
      </c>
      <c r="E459" s="5" t="str">
        <f aca="false">IF(C459=0,"",IF($A459="Bank",IF(INDEX(Bank!$C:$C,$C459)="","",INDEX(Bank!$C:$C,$C459)),IF(INDEX(GL!$C:$C,$C459)="","",INDEX(GL!$C:$C,$C459))))</f>
        <v/>
      </c>
      <c r="F459" s="5" t="str">
        <f aca="false">IF(C459=0,"",IF($A459="Bank",IF(INDEX(Bank!$D:$D,$C459)="","",INDEX(Bank!$D:$D,$C459)),IF(INDEX(GL!$D:$D,$C459)="","",INDEX(GL!$D:$D,$C459))))</f>
        <v/>
      </c>
      <c r="G459" s="19" t="str">
        <f aca="false">IF(C459=0,"",IF($A459="Bank",INDEX(Bank!$E:$E,$C459),INDEX(GL!$E:$E,$C459)))</f>
        <v/>
      </c>
      <c r="H459" s="5" t="str">
        <f aca="false">IF(C459=0,"",IF(A459="GL",IF(G459&gt;0,"Deposit in transit","Outstanding check / payment"),IF(G459&gt;0,"Bank credit not in GL","Bank debit not in GL")))</f>
        <v/>
      </c>
      <c r="I459" s="42" t="str">
        <f aca="false">IF(OR(C459=0,CFG_PeriodEnd=""),"",CFG_PeriodEnd-D459)</f>
        <v/>
      </c>
      <c r="J459" s="5" t="str">
        <f aca="false">IF(C459=0,"",IF($A459="Bank",IF(INDEX(Bank!$G:$G,$C459)="","",INDEX(Bank!$G:$G,$C459)),IF(INDEX(GL!$G:$G,$C459)="","",INDEX(GL!$G:$G,$C459))))</f>
        <v/>
      </c>
      <c r="K459" s="5" t="str">
        <f aca="false">IF(C459=0,"",IF($A459="Bank",IF(INDEX(Bank!$I:$I,$C459)="","",INDEX(Bank!$I:$I,$C459)),IF(INDEX(GL!$I:$I,$C459)="","",INDEX(GL!$I:$I,$C459))))</f>
        <v/>
      </c>
      <c r="L459" s="5" t="str">
        <f aca="false">IF(B459="","",IF(C459=0,"NOT FOUND",IF(IF($A459="Bank",INDEX(Bank!$F:$F,$C459),INDEX(GL!$F:$F,$C459))="Y","NOW RECONCILED: refresh","OK")))</f>
        <v/>
      </c>
    </row>
    <row r="460" customFormat="false" ht="15" hidden="false" customHeight="false" outlineLevel="0" collapsed="false">
      <c r="A460" s="41"/>
      <c r="B460" s="41"/>
      <c r="C460" s="5" t="n">
        <f aca="false">IF(B460="",0,IF(A460="Bank",IFERROR(MATCH(B460,Bank!$A:$A,0),0),IFERROR(MATCH(B460,GL!$A:$A,0),0)))</f>
        <v>0</v>
      </c>
      <c r="D460" s="32" t="str">
        <f aca="false">IF(C460=0,"",IF($A460="Bank",INDEX(Bank!$B:$B,$C460),INDEX(GL!$B:$B,$C460)))</f>
        <v/>
      </c>
      <c r="E460" s="5" t="str">
        <f aca="false">IF(C460=0,"",IF($A460="Bank",IF(INDEX(Bank!$C:$C,$C460)="","",INDEX(Bank!$C:$C,$C460)),IF(INDEX(GL!$C:$C,$C460)="","",INDEX(GL!$C:$C,$C460))))</f>
        <v/>
      </c>
      <c r="F460" s="5" t="str">
        <f aca="false">IF(C460=0,"",IF($A460="Bank",IF(INDEX(Bank!$D:$D,$C460)="","",INDEX(Bank!$D:$D,$C460)),IF(INDEX(GL!$D:$D,$C460)="","",INDEX(GL!$D:$D,$C460))))</f>
        <v/>
      </c>
      <c r="G460" s="19" t="str">
        <f aca="false">IF(C460=0,"",IF($A460="Bank",INDEX(Bank!$E:$E,$C460),INDEX(GL!$E:$E,$C460)))</f>
        <v/>
      </c>
      <c r="H460" s="5" t="str">
        <f aca="false">IF(C460=0,"",IF(A460="GL",IF(G460&gt;0,"Deposit in transit","Outstanding check / payment"),IF(G460&gt;0,"Bank credit not in GL","Bank debit not in GL")))</f>
        <v/>
      </c>
      <c r="I460" s="42" t="str">
        <f aca="false">IF(OR(C460=0,CFG_PeriodEnd=""),"",CFG_PeriodEnd-D460)</f>
        <v/>
      </c>
      <c r="J460" s="5" t="str">
        <f aca="false">IF(C460=0,"",IF($A460="Bank",IF(INDEX(Bank!$G:$G,$C460)="","",INDEX(Bank!$G:$G,$C460)),IF(INDEX(GL!$G:$G,$C460)="","",INDEX(GL!$G:$G,$C460))))</f>
        <v/>
      </c>
      <c r="K460" s="5" t="str">
        <f aca="false">IF(C460=0,"",IF($A460="Bank",IF(INDEX(Bank!$I:$I,$C460)="","",INDEX(Bank!$I:$I,$C460)),IF(INDEX(GL!$I:$I,$C460)="","",INDEX(GL!$I:$I,$C460))))</f>
        <v/>
      </c>
      <c r="L460" s="5" t="str">
        <f aca="false">IF(B460="","",IF(C460=0,"NOT FOUND",IF(IF($A460="Bank",INDEX(Bank!$F:$F,$C460),INDEX(GL!$F:$F,$C460))="Y","NOW RECONCILED: refresh","OK")))</f>
        <v/>
      </c>
    </row>
    <row r="461" customFormat="false" ht="15" hidden="false" customHeight="false" outlineLevel="0" collapsed="false">
      <c r="A461" s="41"/>
      <c r="B461" s="41"/>
      <c r="C461" s="5" t="n">
        <f aca="false">IF(B461="",0,IF(A461="Bank",IFERROR(MATCH(B461,Bank!$A:$A,0),0),IFERROR(MATCH(B461,GL!$A:$A,0),0)))</f>
        <v>0</v>
      </c>
      <c r="D461" s="32" t="str">
        <f aca="false">IF(C461=0,"",IF($A461="Bank",INDEX(Bank!$B:$B,$C461),INDEX(GL!$B:$B,$C461)))</f>
        <v/>
      </c>
      <c r="E461" s="5" t="str">
        <f aca="false">IF(C461=0,"",IF($A461="Bank",IF(INDEX(Bank!$C:$C,$C461)="","",INDEX(Bank!$C:$C,$C461)),IF(INDEX(GL!$C:$C,$C461)="","",INDEX(GL!$C:$C,$C461))))</f>
        <v/>
      </c>
      <c r="F461" s="5" t="str">
        <f aca="false">IF(C461=0,"",IF($A461="Bank",IF(INDEX(Bank!$D:$D,$C461)="","",INDEX(Bank!$D:$D,$C461)),IF(INDEX(GL!$D:$D,$C461)="","",INDEX(GL!$D:$D,$C461))))</f>
        <v/>
      </c>
      <c r="G461" s="19" t="str">
        <f aca="false">IF(C461=0,"",IF($A461="Bank",INDEX(Bank!$E:$E,$C461),INDEX(GL!$E:$E,$C461)))</f>
        <v/>
      </c>
      <c r="H461" s="5" t="str">
        <f aca="false">IF(C461=0,"",IF(A461="GL",IF(G461&gt;0,"Deposit in transit","Outstanding check / payment"),IF(G461&gt;0,"Bank credit not in GL","Bank debit not in GL")))</f>
        <v/>
      </c>
      <c r="I461" s="42" t="str">
        <f aca="false">IF(OR(C461=0,CFG_PeriodEnd=""),"",CFG_PeriodEnd-D461)</f>
        <v/>
      </c>
      <c r="J461" s="5" t="str">
        <f aca="false">IF(C461=0,"",IF($A461="Bank",IF(INDEX(Bank!$G:$G,$C461)="","",INDEX(Bank!$G:$G,$C461)),IF(INDEX(GL!$G:$G,$C461)="","",INDEX(GL!$G:$G,$C461))))</f>
        <v/>
      </c>
      <c r="K461" s="5" t="str">
        <f aca="false">IF(C461=0,"",IF($A461="Bank",IF(INDEX(Bank!$I:$I,$C461)="","",INDEX(Bank!$I:$I,$C461)),IF(INDEX(GL!$I:$I,$C461)="","",INDEX(GL!$I:$I,$C461))))</f>
        <v/>
      </c>
      <c r="L461" s="5" t="str">
        <f aca="false">IF(B461="","",IF(C461=0,"NOT FOUND",IF(IF($A461="Bank",INDEX(Bank!$F:$F,$C461),INDEX(GL!$F:$F,$C461))="Y","NOW RECONCILED: refresh","OK")))</f>
        <v/>
      </c>
    </row>
    <row r="462" customFormat="false" ht="15" hidden="false" customHeight="false" outlineLevel="0" collapsed="false">
      <c r="A462" s="41"/>
      <c r="B462" s="41"/>
      <c r="C462" s="5" t="n">
        <f aca="false">IF(B462="",0,IF(A462="Bank",IFERROR(MATCH(B462,Bank!$A:$A,0),0),IFERROR(MATCH(B462,GL!$A:$A,0),0)))</f>
        <v>0</v>
      </c>
      <c r="D462" s="32" t="str">
        <f aca="false">IF(C462=0,"",IF($A462="Bank",INDEX(Bank!$B:$B,$C462),INDEX(GL!$B:$B,$C462)))</f>
        <v/>
      </c>
      <c r="E462" s="5" t="str">
        <f aca="false">IF(C462=0,"",IF($A462="Bank",IF(INDEX(Bank!$C:$C,$C462)="","",INDEX(Bank!$C:$C,$C462)),IF(INDEX(GL!$C:$C,$C462)="","",INDEX(GL!$C:$C,$C462))))</f>
        <v/>
      </c>
      <c r="F462" s="5" t="str">
        <f aca="false">IF(C462=0,"",IF($A462="Bank",IF(INDEX(Bank!$D:$D,$C462)="","",INDEX(Bank!$D:$D,$C462)),IF(INDEX(GL!$D:$D,$C462)="","",INDEX(GL!$D:$D,$C462))))</f>
        <v/>
      </c>
      <c r="G462" s="19" t="str">
        <f aca="false">IF(C462=0,"",IF($A462="Bank",INDEX(Bank!$E:$E,$C462),INDEX(GL!$E:$E,$C462)))</f>
        <v/>
      </c>
      <c r="H462" s="5" t="str">
        <f aca="false">IF(C462=0,"",IF(A462="GL",IF(G462&gt;0,"Deposit in transit","Outstanding check / payment"),IF(G462&gt;0,"Bank credit not in GL","Bank debit not in GL")))</f>
        <v/>
      </c>
      <c r="I462" s="42" t="str">
        <f aca="false">IF(OR(C462=0,CFG_PeriodEnd=""),"",CFG_PeriodEnd-D462)</f>
        <v/>
      </c>
      <c r="J462" s="5" t="str">
        <f aca="false">IF(C462=0,"",IF($A462="Bank",IF(INDEX(Bank!$G:$G,$C462)="","",INDEX(Bank!$G:$G,$C462)),IF(INDEX(GL!$G:$G,$C462)="","",INDEX(GL!$G:$G,$C462))))</f>
        <v/>
      </c>
      <c r="K462" s="5" t="str">
        <f aca="false">IF(C462=0,"",IF($A462="Bank",IF(INDEX(Bank!$I:$I,$C462)="","",INDEX(Bank!$I:$I,$C462)),IF(INDEX(GL!$I:$I,$C462)="","",INDEX(GL!$I:$I,$C462))))</f>
        <v/>
      </c>
      <c r="L462" s="5" t="str">
        <f aca="false">IF(B462="","",IF(C462=0,"NOT FOUND",IF(IF($A462="Bank",INDEX(Bank!$F:$F,$C462),INDEX(GL!$F:$F,$C462))="Y","NOW RECONCILED: refresh","OK")))</f>
        <v/>
      </c>
    </row>
    <row r="463" customFormat="false" ht="15" hidden="false" customHeight="false" outlineLevel="0" collapsed="false">
      <c r="A463" s="41"/>
      <c r="B463" s="41"/>
      <c r="C463" s="5" t="n">
        <f aca="false">IF(B463="",0,IF(A463="Bank",IFERROR(MATCH(B463,Bank!$A:$A,0),0),IFERROR(MATCH(B463,GL!$A:$A,0),0)))</f>
        <v>0</v>
      </c>
      <c r="D463" s="32" t="str">
        <f aca="false">IF(C463=0,"",IF($A463="Bank",INDEX(Bank!$B:$B,$C463),INDEX(GL!$B:$B,$C463)))</f>
        <v/>
      </c>
      <c r="E463" s="5" t="str">
        <f aca="false">IF(C463=0,"",IF($A463="Bank",IF(INDEX(Bank!$C:$C,$C463)="","",INDEX(Bank!$C:$C,$C463)),IF(INDEX(GL!$C:$C,$C463)="","",INDEX(GL!$C:$C,$C463))))</f>
        <v/>
      </c>
      <c r="F463" s="5" t="str">
        <f aca="false">IF(C463=0,"",IF($A463="Bank",IF(INDEX(Bank!$D:$D,$C463)="","",INDEX(Bank!$D:$D,$C463)),IF(INDEX(GL!$D:$D,$C463)="","",INDEX(GL!$D:$D,$C463))))</f>
        <v/>
      </c>
      <c r="G463" s="19" t="str">
        <f aca="false">IF(C463=0,"",IF($A463="Bank",INDEX(Bank!$E:$E,$C463),INDEX(GL!$E:$E,$C463)))</f>
        <v/>
      </c>
      <c r="H463" s="5" t="str">
        <f aca="false">IF(C463=0,"",IF(A463="GL",IF(G463&gt;0,"Deposit in transit","Outstanding check / payment"),IF(G463&gt;0,"Bank credit not in GL","Bank debit not in GL")))</f>
        <v/>
      </c>
      <c r="I463" s="42" t="str">
        <f aca="false">IF(OR(C463=0,CFG_PeriodEnd=""),"",CFG_PeriodEnd-D463)</f>
        <v/>
      </c>
      <c r="J463" s="5" t="str">
        <f aca="false">IF(C463=0,"",IF($A463="Bank",IF(INDEX(Bank!$G:$G,$C463)="","",INDEX(Bank!$G:$G,$C463)),IF(INDEX(GL!$G:$G,$C463)="","",INDEX(GL!$G:$G,$C463))))</f>
        <v/>
      </c>
      <c r="K463" s="5" t="str">
        <f aca="false">IF(C463=0,"",IF($A463="Bank",IF(INDEX(Bank!$I:$I,$C463)="","",INDEX(Bank!$I:$I,$C463)),IF(INDEX(GL!$I:$I,$C463)="","",INDEX(GL!$I:$I,$C463))))</f>
        <v/>
      </c>
      <c r="L463" s="5" t="str">
        <f aca="false">IF(B463="","",IF(C463=0,"NOT FOUND",IF(IF($A463="Bank",INDEX(Bank!$F:$F,$C463),INDEX(GL!$F:$F,$C463))="Y","NOW RECONCILED: refresh","OK")))</f>
        <v/>
      </c>
    </row>
    <row r="464" customFormat="false" ht="15" hidden="false" customHeight="false" outlineLevel="0" collapsed="false">
      <c r="A464" s="41"/>
      <c r="B464" s="41"/>
      <c r="C464" s="5" t="n">
        <f aca="false">IF(B464="",0,IF(A464="Bank",IFERROR(MATCH(B464,Bank!$A:$A,0),0),IFERROR(MATCH(B464,GL!$A:$A,0),0)))</f>
        <v>0</v>
      </c>
      <c r="D464" s="32" t="str">
        <f aca="false">IF(C464=0,"",IF($A464="Bank",INDEX(Bank!$B:$B,$C464),INDEX(GL!$B:$B,$C464)))</f>
        <v/>
      </c>
      <c r="E464" s="5" t="str">
        <f aca="false">IF(C464=0,"",IF($A464="Bank",IF(INDEX(Bank!$C:$C,$C464)="","",INDEX(Bank!$C:$C,$C464)),IF(INDEX(GL!$C:$C,$C464)="","",INDEX(GL!$C:$C,$C464))))</f>
        <v/>
      </c>
      <c r="F464" s="5" t="str">
        <f aca="false">IF(C464=0,"",IF($A464="Bank",IF(INDEX(Bank!$D:$D,$C464)="","",INDEX(Bank!$D:$D,$C464)),IF(INDEX(GL!$D:$D,$C464)="","",INDEX(GL!$D:$D,$C464))))</f>
        <v/>
      </c>
      <c r="G464" s="19" t="str">
        <f aca="false">IF(C464=0,"",IF($A464="Bank",INDEX(Bank!$E:$E,$C464),INDEX(GL!$E:$E,$C464)))</f>
        <v/>
      </c>
      <c r="H464" s="5" t="str">
        <f aca="false">IF(C464=0,"",IF(A464="GL",IF(G464&gt;0,"Deposit in transit","Outstanding check / payment"),IF(G464&gt;0,"Bank credit not in GL","Bank debit not in GL")))</f>
        <v/>
      </c>
      <c r="I464" s="42" t="str">
        <f aca="false">IF(OR(C464=0,CFG_PeriodEnd=""),"",CFG_PeriodEnd-D464)</f>
        <v/>
      </c>
      <c r="J464" s="5" t="str">
        <f aca="false">IF(C464=0,"",IF($A464="Bank",IF(INDEX(Bank!$G:$G,$C464)="","",INDEX(Bank!$G:$G,$C464)),IF(INDEX(GL!$G:$G,$C464)="","",INDEX(GL!$G:$G,$C464))))</f>
        <v/>
      </c>
      <c r="K464" s="5" t="str">
        <f aca="false">IF(C464=0,"",IF($A464="Bank",IF(INDEX(Bank!$I:$I,$C464)="","",INDEX(Bank!$I:$I,$C464)),IF(INDEX(GL!$I:$I,$C464)="","",INDEX(GL!$I:$I,$C464))))</f>
        <v/>
      </c>
      <c r="L464" s="5" t="str">
        <f aca="false">IF(B464="","",IF(C464=0,"NOT FOUND",IF(IF($A464="Bank",INDEX(Bank!$F:$F,$C464),INDEX(GL!$F:$F,$C464))="Y","NOW RECONCILED: refresh","OK")))</f>
        <v/>
      </c>
    </row>
    <row r="465" customFormat="false" ht="15" hidden="false" customHeight="false" outlineLevel="0" collapsed="false">
      <c r="A465" s="41"/>
      <c r="B465" s="41"/>
      <c r="C465" s="5" t="n">
        <f aca="false">IF(B465="",0,IF(A465="Bank",IFERROR(MATCH(B465,Bank!$A:$A,0),0),IFERROR(MATCH(B465,GL!$A:$A,0),0)))</f>
        <v>0</v>
      </c>
      <c r="D465" s="32" t="str">
        <f aca="false">IF(C465=0,"",IF($A465="Bank",INDEX(Bank!$B:$B,$C465),INDEX(GL!$B:$B,$C465)))</f>
        <v/>
      </c>
      <c r="E465" s="5" t="str">
        <f aca="false">IF(C465=0,"",IF($A465="Bank",IF(INDEX(Bank!$C:$C,$C465)="","",INDEX(Bank!$C:$C,$C465)),IF(INDEX(GL!$C:$C,$C465)="","",INDEX(GL!$C:$C,$C465))))</f>
        <v/>
      </c>
      <c r="F465" s="5" t="str">
        <f aca="false">IF(C465=0,"",IF($A465="Bank",IF(INDEX(Bank!$D:$D,$C465)="","",INDEX(Bank!$D:$D,$C465)),IF(INDEX(GL!$D:$D,$C465)="","",INDEX(GL!$D:$D,$C465))))</f>
        <v/>
      </c>
      <c r="G465" s="19" t="str">
        <f aca="false">IF(C465=0,"",IF($A465="Bank",INDEX(Bank!$E:$E,$C465),INDEX(GL!$E:$E,$C465)))</f>
        <v/>
      </c>
      <c r="H465" s="5" t="str">
        <f aca="false">IF(C465=0,"",IF(A465="GL",IF(G465&gt;0,"Deposit in transit","Outstanding check / payment"),IF(G465&gt;0,"Bank credit not in GL","Bank debit not in GL")))</f>
        <v/>
      </c>
      <c r="I465" s="42" t="str">
        <f aca="false">IF(OR(C465=0,CFG_PeriodEnd=""),"",CFG_PeriodEnd-D465)</f>
        <v/>
      </c>
      <c r="J465" s="5" t="str">
        <f aca="false">IF(C465=0,"",IF($A465="Bank",IF(INDEX(Bank!$G:$G,$C465)="","",INDEX(Bank!$G:$G,$C465)),IF(INDEX(GL!$G:$G,$C465)="","",INDEX(GL!$G:$G,$C465))))</f>
        <v/>
      </c>
      <c r="K465" s="5" t="str">
        <f aca="false">IF(C465=0,"",IF($A465="Bank",IF(INDEX(Bank!$I:$I,$C465)="","",INDEX(Bank!$I:$I,$C465)),IF(INDEX(GL!$I:$I,$C465)="","",INDEX(GL!$I:$I,$C465))))</f>
        <v/>
      </c>
      <c r="L465" s="5" t="str">
        <f aca="false">IF(B465="","",IF(C465=0,"NOT FOUND",IF(IF($A465="Bank",INDEX(Bank!$F:$F,$C465),INDEX(GL!$F:$F,$C465))="Y","NOW RECONCILED: refresh","OK")))</f>
        <v/>
      </c>
    </row>
    <row r="466" customFormat="false" ht="15" hidden="false" customHeight="false" outlineLevel="0" collapsed="false">
      <c r="A466" s="41"/>
      <c r="B466" s="41"/>
      <c r="C466" s="5" t="n">
        <f aca="false">IF(B466="",0,IF(A466="Bank",IFERROR(MATCH(B466,Bank!$A:$A,0),0),IFERROR(MATCH(B466,GL!$A:$A,0),0)))</f>
        <v>0</v>
      </c>
      <c r="D466" s="32" t="str">
        <f aca="false">IF(C466=0,"",IF($A466="Bank",INDEX(Bank!$B:$B,$C466),INDEX(GL!$B:$B,$C466)))</f>
        <v/>
      </c>
      <c r="E466" s="5" t="str">
        <f aca="false">IF(C466=0,"",IF($A466="Bank",IF(INDEX(Bank!$C:$C,$C466)="","",INDEX(Bank!$C:$C,$C466)),IF(INDEX(GL!$C:$C,$C466)="","",INDEX(GL!$C:$C,$C466))))</f>
        <v/>
      </c>
      <c r="F466" s="5" t="str">
        <f aca="false">IF(C466=0,"",IF($A466="Bank",IF(INDEX(Bank!$D:$D,$C466)="","",INDEX(Bank!$D:$D,$C466)),IF(INDEX(GL!$D:$D,$C466)="","",INDEX(GL!$D:$D,$C466))))</f>
        <v/>
      </c>
      <c r="G466" s="19" t="str">
        <f aca="false">IF(C466=0,"",IF($A466="Bank",INDEX(Bank!$E:$E,$C466),INDEX(GL!$E:$E,$C466)))</f>
        <v/>
      </c>
      <c r="H466" s="5" t="str">
        <f aca="false">IF(C466=0,"",IF(A466="GL",IF(G466&gt;0,"Deposit in transit","Outstanding check / payment"),IF(G466&gt;0,"Bank credit not in GL","Bank debit not in GL")))</f>
        <v/>
      </c>
      <c r="I466" s="42" t="str">
        <f aca="false">IF(OR(C466=0,CFG_PeriodEnd=""),"",CFG_PeriodEnd-D466)</f>
        <v/>
      </c>
      <c r="J466" s="5" t="str">
        <f aca="false">IF(C466=0,"",IF($A466="Bank",IF(INDEX(Bank!$G:$G,$C466)="","",INDEX(Bank!$G:$G,$C466)),IF(INDEX(GL!$G:$G,$C466)="","",INDEX(GL!$G:$G,$C466))))</f>
        <v/>
      </c>
      <c r="K466" s="5" t="str">
        <f aca="false">IF(C466=0,"",IF($A466="Bank",IF(INDEX(Bank!$I:$I,$C466)="","",INDEX(Bank!$I:$I,$C466)),IF(INDEX(GL!$I:$I,$C466)="","",INDEX(GL!$I:$I,$C466))))</f>
        <v/>
      </c>
      <c r="L466" s="5" t="str">
        <f aca="false">IF(B466="","",IF(C466=0,"NOT FOUND",IF(IF($A466="Bank",INDEX(Bank!$F:$F,$C466),INDEX(GL!$F:$F,$C466))="Y","NOW RECONCILED: refresh","OK")))</f>
        <v/>
      </c>
    </row>
    <row r="467" customFormat="false" ht="15" hidden="false" customHeight="false" outlineLevel="0" collapsed="false">
      <c r="A467" s="41"/>
      <c r="B467" s="41"/>
      <c r="C467" s="5" t="n">
        <f aca="false">IF(B467="",0,IF(A467="Bank",IFERROR(MATCH(B467,Bank!$A:$A,0),0),IFERROR(MATCH(B467,GL!$A:$A,0),0)))</f>
        <v>0</v>
      </c>
      <c r="D467" s="32" t="str">
        <f aca="false">IF(C467=0,"",IF($A467="Bank",INDEX(Bank!$B:$B,$C467),INDEX(GL!$B:$B,$C467)))</f>
        <v/>
      </c>
      <c r="E467" s="5" t="str">
        <f aca="false">IF(C467=0,"",IF($A467="Bank",IF(INDEX(Bank!$C:$C,$C467)="","",INDEX(Bank!$C:$C,$C467)),IF(INDEX(GL!$C:$C,$C467)="","",INDEX(GL!$C:$C,$C467))))</f>
        <v/>
      </c>
      <c r="F467" s="5" t="str">
        <f aca="false">IF(C467=0,"",IF($A467="Bank",IF(INDEX(Bank!$D:$D,$C467)="","",INDEX(Bank!$D:$D,$C467)),IF(INDEX(GL!$D:$D,$C467)="","",INDEX(GL!$D:$D,$C467))))</f>
        <v/>
      </c>
      <c r="G467" s="19" t="str">
        <f aca="false">IF(C467=0,"",IF($A467="Bank",INDEX(Bank!$E:$E,$C467),INDEX(GL!$E:$E,$C467)))</f>
        <v/>
      </c>
      <c r="H467" s="5" t="str">
        <f aca="false">IF(C467=0,"",IF(A467="GL",IF(G467&gt;0,"Deposit in transit","Outstanding check / payment"),IF(G467&gt;0,"Bank credit not in GL","Bank debit not in GL")))</f>
        <v/>
      </c>
      <c r="I467" s="42" t="str">
        <f aca="false">IF(OR(C467=0,CFG_PeriodEnd=""),"",CFG_PeriodEnd-D467)</f>
        <v/>
      </c>
      <c r="J467" s="5" t="str">
        <f aca="false">IF(C467=0,"",IF($A467="Bank",IF(INDEX(Bank!$G:$G,$C467)="","",INDEX(Bank!$G:$G,$C467)),IF(INDEX(GL!$G:$G,$C467)="","",INDEX(GL!$G:$G,$C467))))</f>
        <v/>
      </c>
      <c r="K467" s="5" t="str">
        <f aca="false">IF(C467=0,"",IF($A467="Bank",IF(INDEX(Bank!$I:$I,$C467)="","",INDEX(Bank!$I:$I,$C467)),IF(INDEX(GL!$I:$I,$C467)="","",INDEX(GL!$I:$I,$C467))))</f>
        <v/>
      </c>
      <c r="L467" s="5" t="str">
        <f aca="false">IF(B467="","",IF(C467=0,"NOT FOUND",IF(IF($A467="Bank",INDEX(Bank!$F:$F,$C467),INDEX(GL!$F:$F,$C467))="Y","NOW RECONCILED: refresh","OK")))</f>
        <v/>
      </c>
    </row>
    <row r="468" customFormat="false" ht="15" hidden="false" customHeight="false" outlineLevel="0" collapsed="false">
      <c r="A468" s="41"/>
      <c r="B468" s="41"/>
      <c r="C468" s="5" t="n">
        <f aca="false">IF(B468="",0,IF(A468="Bank",IFERROR(MATCH(B468,Bank!$A:$A,0),0),IFERROR(MATCH(B468,GL!$A:$A,0),0)))</f>
        <v>0</v>
      </c>
      <c r="D468" s="32" t="str">
        <f aca="false">IF(C468=0,"",IF($A468="Bank",INDEX(Bank!$B:$B,$C468),INDEX(GL!$B:$B,$C468)))</f>
        <v/>
      </c>
      <c r="E468" s="5" t="str">
        <f aca="false">IF(C468=0,"",IF($A468="Bank",IF(INDEX(Bank!$C:$C,$C468)="","",INDEX(Bank!$C:$C,$C468)),IF(INDEX(GL!$C:$C,$C468)="","",INDEX(GL!$C:$C,$C468))))</f>
        <v/>
      </c>
      <c r="F468" s="5" t="str">
        <f aca="false">IF(C468=0,"",IF($A468="Bank",IF(INDEX(Bank!$D:$D,$C468)="","",INDEX(Bank!$D:$D,$C468)),IF(INDEX(GL!$D:$D,$C468)="","",INDEX(GL!$D:$D,$C468))))</f>
        <v/>
      </c>
      <c r="G468" s="19" t="str">
        <f aca="false">IF(C468=0,"",IF($A468="Bank",INDEX(Bank!$E:$E,$C468),INDEX(GL!$E:$E,$C468)))</f>
        <v/>
      </c>
      <c r="H468" s="5" t="str">
        <f aca="false">IF(C468=0,"",IF(A468="GL",IF(G468&gt;0,"Deposit in transit","Outstanding check / payment"),IF(G468&gt;0,"Bank credit not in GL","Bank debit not in GL")))</f>
        <v/>
      </c>
      <c r="I468" s="42" t="str">
        <f aca="false">IF(OR(C468=0,CFG_PeriodEnd=""),"",CFG_PeriodEnd-D468)</f>
        <v/>
      </c>
      <c r="J468" s="5" t="str">
        <f aca="false">IF(C468=0,"",IF($A468="Bank",IF(INDEX(Bank!$G:$G,$C468)="","",INDEX(Bank!$G:$G,$C468)),IF(INDEX(GL!$G:$G,$C468)="","",INDEX(GL!$G:$G,$C468))))</f>
        <v/>
      </c>
      <c r="K468" s="5" t="str">
        <f aca="false">IF(C468=0,"",IF($A468="Bank",IF(INDEX(Bank!$I:$I,$C468)="","",INDEX(Bank!$I:$I,$C468)),IF(INDEX(GL!$I:$I,$C468)="","",INDEX(GL!$I:$I,$C468))))</f>
        <v/>
      </c>
      <c r="L468" s="5" t="str">
        <f aca="false">IF(B468="","",IF(C468=0,"NOT FOUND",IF(IF($A468="Bank",INDEX(Bank!$F:$F,$C468),INDEX(GL!$F:$F,$C468))="Y","NOW RECONCILED: refresh","OK")))</f>
        <v/>
      </c>
    </row>
    <row r="469" customFormat="false" ht="15" hidden="false" customHeight="false" outlineLevel="0" collapsed="false">
      <c r="A469" s="41"/>
      <c r="B469" s="41"/>
      <c r="C469" s="5" t="n">
        <f aca="false">IF(B469="",0,IF(A469="Bank",IFERROR(MATCH(B469,Bank!$A:$A,0),0),IFERROR(MATCH(B469,GL!$A:$A,0),0)))</f>
        <v>0</v>
      </c>
      <c r="D469" s="32" t="str">
        <f aca="false">IF(C469=0,"",IF($A469="Bank",INDEX(Bank!$B:$B,$C469),INDEX(GL!$B:$B,$C469)))</f>
        <v/>
      </c>
      <c r="E469" s="5" t="str">
        <f aca="false">IF(C469=0,"",IF($A469="Bank",IF(INDEX(Bank!$C:$C,$C469)="","",INDEX(Bank!$C:$C,$C469)),IF(INDEX(GL!$C:$C,$C469)="","",INDEX(GL!$C:$C,$C469))))</f>
        <v/>
      </c>
      <c r="F469" s="5" t="str">
        <f aca="false">IF(C469=0,"",IF($A469="Bank",IF(INDEX(Bank!$D:$D,$C469)="","",INDEX(Bank!$D:$D,$C469)),IF(INDEX(GL!$D:$D,$C469)="","",INDEX(GL!$D:$D,$C469))))</f>
        <v/>
      </c>
      <c r="G469" s="19" t="str">
        <f aca="false">IF(C469=0,"",IF($A469="Bank",INDEX(Bank!$E:$E,$C469),INDEX(GL!$E:$E,$C469)))</f>
        <v/>
      </c>
      <c r="H469" s="5" t="str">
        <f aca="false">IF(C469=0,"",IF(A469="GL",IF(G469&gt;0,"Deposit in transit","Outstanding check / payment"),IF(G469&gt;0,"Bank credit not in GL","Bank debit not in GL")))</f>
        <v/>
      </c>
      <c r="I469" s="42" t="str">
        <f aca="false">IF(OR(C469=0,CFG_PeriodEnd=""),"",CFG_PeriodEnd-D469)</f>
        <v/>
      </c>
      <c r="J469" s="5" t="str">
        <f aca="false">IF(C469=0,"",IF($A469="Bank",IF(INDEX(Bank!$G:$G,$C469)="","",INDEX(Bank!$G:$G,$C469)),IF(INDEX(GL!$G:$G,$C469)="","",INDEX(GL!$G:$G,$C469))))</f>
        <v/>
      </c>
      <c r="K469" s="5" t="str">
        <f aca="false">IF(C469=0,"",IF($A469="Bank",IF(INDEX(Bank!$I:$I,$C469)="","",INDEX(Bank!$I:$I,$C469)),IF(INDEX(GL!$I:$I,$C469)="","",INDEX(GL!$I:$I,$C469))))</f>
        <v/>
      </c>
      <c r="L469" s="5" t="str">
        <f aca="false">IF(B469="","",IF(C469=0,"NOT FOUND",IF(IF($A469="Bank",INDEX(Bank!$F:$F,$C469),INDEX(GL!$F:$F,$C469))="Y","NOW RECONCILED: refresh","OK")))</f>
        <v/>
      </c>
    </row>
    <row r="470" customFormat="false" ht="15" hidden="false" customHeight="false" outlineLevel="0" collapsed="false">
      <c r="A470" s="41"/>
      <c r="B470" s="41"/>
      <c r="C470" s="5" t="n">
        <f aca="false">IF(B470="",0,IF(A470="Bank",IFERROR(MATCH(B470,Bank!$A:$A,0),0),IFERROR(MATCH(B470,GL!$A:$A,0),0)))</f>
        <v>0</v>
      </c>
      <c r="D470" s="32" t="str">
        <f aca="false">IF(C470=0,"",IF($A470="Bank",INDEX(Bank!$B:$B,$C470),INDEX(GL!$B:$B,$C470)))</f>
        <v/>
      </c>
      <c r="E470" s="5" t="str">
        <f aca="false">IF(C470=0,"",IF($A470="Bank",IF(INDEX(Bank!$C:$C,$C470)="","",INDEX(Bank!$C:$C,$C470)),IF(INDEX(GL!$C:$C,$C470)="","",INDEX(GL!$C:$C,$C470))))</f>
        <v/>
      </c>
      <c r="F470" s="5" t="str">
        <f aca="false">IF(C470=0,"",IF($A470="Bank",IF(INDEX(Bank!$D:$D,$C470)="","",INDEX(Bank!$D:$D,$C470)),IF(INDEX(GL!$D:$D,$C470)="","",INDEX(GL!$D:$D,$C470))))</f>
        <v/>
      </c>
      <c r="G470" s="19" t="str">
        <f aca="false">IF(C470=0,"",IF($A470="Bank",INDEX(Bank!$E:$E,$C470),INDEX(GL!$E:$E,$C470)))</f>
        <v/>
      </c>
      <c r="H470" s="5" t="str">
        <f aca="false">IF(C470=0,"",IF(A470="GL",IF(G470&gt;0,"Deposit in transit","Outstanding check / payment"),IF(G470&gt;0,"Bank credit not in GL","Bank debit not in GL")))</f>
        <v/>
      </c>
      <c r="I470" s="42" t="str">
        <f aca="false">IF(OR(C470=0,CFG_PeriodEnd=""),"",CFG_PeriodEnd-D470)</f>
        <v/>
      </c>
      <c r="J470" s="5" t="str">
        <f aca="false">IF(C470=0,"",IF($A470="Bank",IF(INDEX(Bank!$G:$G,$C470)="","",INDEX(Bank!$G:$G,$C470)),IF(INDEX(GL!$G:$G,$C470)="","",INDEX(GL!$G:$G,$C470))))</f>
        <v/>
      </c>
      <c r="K470" s="5" t="str">
        <f aca="false">IF(C470=0,"",IF($A470="Bank",IF(INDEX(Bank!$I:$I,$C470)="","",INDEX(Bank!$I:$I,$C470)),IF(INDEX(GL!$I:$I,$C470)="","",INDEX(GL!$I:$I,$C470))))</f>
        <v/>
      </c>
      <c r="L470" s="5" t="str">
        <f aca="false">IF(B470="","",IF(C470=0,"NOT FOUND",IF(IF($A470="Bank",INDEX(Bank!$F:$F,$C470),INDEX(GL!$F:$F,$C470))="Y","NOW RECONCILED: refresh","OK")))</f>
        <v/>
      </c>
    </row>
    <row r="471" customFormat="false" ht="15" hidden="false" customHeight="false" outlineLevel="0" collapsed="false">
      <c r="A471" s="41"/>
      <c r="B471" s="41"/>
      <c r="C471" s="5" t="n">
        <f aca="false">IF(B471="",0,IF(A471="Bank",IFERROR(MATCH(B471,Bank!$A:$A,0),0),IFERROR(MATCH(B471,GL!$A:$A,0),0)))</f>
        <v>0</v>
      </c>
      <c r="D471" s="32" t="str">
        <f aca="false">IF(C471=0,"",IF($A471="Bank",INDEX(Bank!$B:$B,$C471),INDEX(GL!$B:$B,$C471)))</f>
        <v/>
      </c>
      <c r="E471" s="5" t="str">
        <f aca="false">IF(C471=0,"",IF($A471="Bank",IF(INDEX(Bank!$C:$C,$C471)="","",INDEX(Bank!$C:$C,$C471)),IF(INDEX(GL!$C:$C,$C471)="","",INDEX(GL!$C:$C,$C471))))</f>
        <v/>
      </c>
      <c r="F471" s="5" t="str">
        <f aca="false">IF(C471=0,"",IF($A471="Bank",IF(INDEX(Bank!$D:$D,$C471)="","",INDEX(Bank!$D:$D,$C471)),IF(INDEX(GL!$D:$D,$C471)="","",INDEX(GL!$D:$D,$C471))))</f>
        <v/>
      </c>
      <c r="G471" s="19" t="str">
        <f aca="false">IF(C471=0,"",IF($A471="Bank",INDEX(Bank!$E:$E,$C471),INDEX(GL!$E:$E,$C471)))</f>
        <v/>
      </c>
      <c r="H471" s="5" t="str">
        <f aca="false">IF(C471=0,"",IF(A471="GL",IF(G471&gt;0,"Deposit in transit","Outstanding check / payment"),IF(G471&gt;0,"Bank credit not in GL","Bank debit not in GL")))</f>
        <v/>
      </c>
      <c r="I471" s="42" t="str">
        <f aca="false">IF(OR(C471=0,CFG_PeriodEnd=""),"",CFG_PeriodEnd-D471)</f>
        <v/>
      </c>
      <c r="J471" s="5" t="str">
        <f aca="false">IF(C471=0,"",IF($A471="Bank",IF(INDEX(Bank!$G:$G,$C471)="","",INDEX(Bank!$G:$G,$C471)),IF(INDEX(GL!$G:$G,$C471)="","",INDEX(GL!$G:$G,$C471))))</f>
        <v/>
      </c>
      <c r="K471" s="5" t="str">
        <f aca="false">IF(C471=0,"",IF($A471="Bank",IF(INDEX(Bank!$I:$I,$C471)="","",INDEX(Bank!$I:$I,$C471)),IF(INDEX(GL!$I:$I,$C471)="","",INDEX(GL!$I:$I,$C471))))</f>
        <v/>
      </c>
      <c r="L471" s="5" t="str">
        <f aca="false">IF(B471="","",IF(C471=0,"NOT FOUND",IF(IF($A471="Bank",INDEX(Bank!$F:$F,$C471),INDEX(GL!$F:$F,$C471))="Y","NOW RECONCILED: refresh","OK")))</f>
        <v/>
      </c>
    </row>
    <row r="472" customFormat="false" ht="15" hidden="false" customHeight="false" outlineLevel="0" collapsed="false">
      <c r="A472" s="41"/>
      <c r="B472" s="41"/>
      <c r="C472" s="5" t="n">
        <f aca="false">IF(B472="",0,IF(A472="Bank",IFERROR(MATCH(B472,Bank!$A:$A,0),0),IFERROR(MATCH(B472,GL!$A:$A,0),0)))</f>
        <v>0</v>
      </c>
      <c r="D472" s="32" t="str">
        <f aca="false">IF(C472=0,"",IF($A472="Bank",INDEX(Bank!$B:$B,$C472),INDEX(GL!$B:$B,$C472)))</f>
        <v/>
      </c>
      <c r="E472" s="5" t="str">
        <f aca="false">IF(C472=0,"",IF($A472="Bank",IF(INDEX(Bank!$C:$C,$C472)="","",INDEX(Bank!$C:$C,$C472)),IF(INDEX(GL!$C:$C,$C472)="","",INDEX(GL!$C:$C,$C472))))</f>
        <v/>
      </c>
      <c r="F472" s="5" t="str">
        <f aca="false">IF(C472=0,"",IF($A472="Bank",IF(INDEX(Bank!$D:$D,$C472)="","",INDEX(Bank!$D:$D,$C472)),IF(INDEX(GL!$D:$D,$C472)="","",INDEX(GL!$D:$D,$C472))))</f>
        <v/>
      </c>
      <c r="G472" s="19" t="str">
        <f aca="false">IF(C472=0,"",IF($A472="Bank",INDEX(Bank!$E:$E,$C472),INDEX(GL!$E:$E,$C472)))</f>
        <v/>
      </c>
      <c r="H472" s="5" t="str">
        <f aca="false">IF(C472=0,"",IF(A472="GL",IF(G472&gt;0,"Deposit in transit","Outstanding check / payment"),IF(G472&gt;0,"Bank credit not in GL","Bank debit not in GL")))</f>
        <v/>
      </c>
      <c r="I472" s="42" t="str">
        <f aca="false">IF(OR(C472=0,CFG_PeriodEnd=""),"",CFG_PeriodEnd-D472)</f>
        <v/>
      </c>
      <c r="J472" s="5" t="str">
        <f aca="false">IF(C472=0,"",IF($A472="Bank",IF(INDEX(Bank!$G:$G,$C472)="","",INDEX(Bank!$G:$G,$C472)),IF(INDEX(GL!$G:$G,$C472)="","",INDEX(GL!$G:$G,$C472))))</f>
        <v/>
      </c>
      <c r="K472" s="5" t="str">
        <f aca="false">IF(C472=0,"",IF($A472="Bank",IF(INDEX(Bank!$I:$I,$C472)="","",INDEX(Bank!$I:$I,$C472)),IF(INDEX(GL!$I:$I,$C472)="","",INDEX(GL!$I:$I,$C472))))</f>
        <v/>
      </c>
      <c r="L472" s="5" t="str">
        <f aca="false">IF(B472="","",IF(C472=0,"NOT FOUND",IF(IF($A472="Bank",INDEX(Bank!$F:$F,$C472),INDEX(GL!$F:$F,$C472))="Y","NOW RECONCILED: refresh","OK")))</f>
        <v/>
      </c>
    </row>
    <row r="473" customFormat="false" ht="15" hidden="false" customHeight="false" outlineLevel="0" collapsed="false">
      <c r="A473" s="41"/>
      <c r="B473" s="41"/>
      <c r="C473" s="5" t="n">
        <f aca="false">IF(B473="",0,IF(A473="Bank",IFERROR(MATCH(B473,Bank!$A:$A,0),0),IFERROR(MATCH(B473,GL!$A:$A,0),0)))</f>
        <v>0</v>
      </c>
      <c r="D473" s="32" t="str">
        <f aca="false">IF(C473=0,"",IF($A473="Bank",INDEX(Bank!$B:$B,$C473),INDEX(GL!$B:$B,$C473)))</f>
        <v/>
      </c>
      <c r="E473" s="5" t="str">
        <f aca="false">IF(C473=0,"",IF($A473="Bank",IF(INDEX(Bank!$C:$C,$C473)="","",INDEX(Bank!$C:$C,$C473)),IF(INDEX(GL!$C:$C,$C473)="","",INDEX(GL!$C:$C,$C473))))</f>
        <v/>
      </c>
      <c r="F473" s="5" t="str">
        <f aca="false">IF(C473=0,"",IF($A473="Bank",IF(INDEX(Bank!$D:$D,$C473)="","",INDEX(Bank!$D:$D,$C473)),IF(INDEX(GL!$D:$D,$C473)="","",INDEX(GL!$D:$D,$C473))))</f>
        <v/>
      </c>
      <c r="G473" s="19" t="str">
        <f aca="false">IF(C473=0,"",IF($A473="Bank",INDEX(Bank!$E:$E,$C473),INDEX(GL!$E:$E,$C473)))</f>
        <v/>
      </c>
      <c r="H473" s="5" t="str">
        <f aca="false">IF(C473=0,"",IF(A473="GL",IF(G473&gt;0,"Deposit in transit","Outstanding check / payment"),IF(G473&gt;0,"Bank credit not in GL","Bank debit not in GL")))</f>
        <v/>
      </c>
      <c r="I473" s="42" t="str">
        <f aca="false">IF(OR(C473=0,CFG_PeriodEnd=""),"",CFG_PeriodEnd-D473)</f>
        <v/>
      </c>
      <c r="J473" s="5" t="str">
        <f aca="false">IF(C473=0,"",IF($A473="Bank",IF(INDEX(Bank!$G:$G,$C473)="","",INDEX(Bank!$G:$G,$C473)),IF(INDEX(GL!$G:$G,$C473)="","",INDEX(GL!$G:$G,$C473))))</f>
        <v/>
      </c>
      <c r="K473" s="5" t="str">
        <f aca="false">IF(C473=0,"",IF($A473="Bank",IF(INDEX(Bank!$I:$I,$C473)="","",INDEX(Bank!$I:$I,$C473)),IF(INDEX(GL!$I:$I,$C473)="","",INDEX(GL!$I:$I,$C473))))</f>
        <v/>
      </c>
      <c r="L473" s="5" t="str">
        <f aca="false">IF(B473="","",IF(C473=0,"NOT FOUND",IF(IF($A473="Bank",INDEX(Bank!$F:$F,$C473),INDEX(GL!$F:$F,$C473))="Y","NOW RECONCILED: refresh","OK")))</f>
        <v/>
      </c>
    </row>
    <row r="474" customFormat="false" ht="15" hidden="false" customHeight="false" outlineLevel="0" collapsed="false">
      <c r="A474" s="41"/>
      <c r="B474" s="41"/>
      <c r="C474" s="5" t="n">
        <f aca="false">IF(B474="",0,IF(A474="Bank",IFERROR(MATCH(B474,Bank!$A:$A,0),0),IFERROR(MATCH(B474,GL!$A:$A,0),0)))</f>
        <v>0</v>
      </c>
      <c r="D474" s="32" t="str">
        <f aca="false">IF(C474=0,"",IF($A474="Bank",INDEX(Bank!$B:$B,$C474),INDEX(GL!$B:$B,$C474)))</f>
        <v/>
      </c>
      <c r="E474" s="5" t="str">
        <f aca="false">IF(C474=0,"",IF($A474="Bank",IF(INDEX(Bank!$C:$C,$C474)="","",INDEX(Bank!$C:$C,$C474)),IF(INDEX(GL!$C:$C,$C474)="","",INDEX(GL!$C:$C,$C474))))</f>
        <v/>
      </c>
      <c r="F474" s="5" t="str">
        <f aca="false">IF(C474=0,"",IF($A474="Bank",IF(INDEX(Bank!$D:$D,$C474)="","",INDEX(Bank!$D:$D,$C474)),IF(INDEX(GL!$D:$D,$C474)="","",INDEX(GL!$D:$D,$C474))))</f>
        <v/>
      </c>
      <c r="G474" s="19" t="str">
        <f aca="false">IF(C474=0,"",IF($A474="Bank",INDEX(Bank!$E:$E,$C474),INDEX(GL!$E:$E,$C474)))</f>
        <v/>
      </c>
      <c r="H474" s="5" t="str">
        <f aca="false">IF(C474=0,"",IF(A474="GL",IF(G474&gt;0,"Deposit in transit","Outstanding check / payment"),IF(G474&gt;0,"Bank credit not in GL","Bank debit not in GL")))</f>
        <v/>
      </c>
      <c r="I474" s="42" t="str">
        <f aca="false">IF(OR(C474=0,CFG_PeriodEnd=""),"",CFG_PeriodEnd-D474)</f>
        <v/>
      </c>
      <c r="J474" s="5" t="str">
        <f aca="false">IF(C474=0,"",IF($A474="Bank",IF(INDEX(Bank!$G:$G,$C474)="","",INDEX(Bank!$G:$G,$C474)),IF(INDEX(GL!$G:$G,$C474)="","",INDEX(GL!$G:$G,$C474))))</f>
        <v/>
      </c>
      <c r="K474" s="5" t="str">
        <f aca="false">IF(C474=0,"",IF($A474="Bank",IF(INDEX(Bank!$I:$I,$C474)="","",INDEX(Bank!$I:$I,$C474)),IF(INDEX(GL!$I:$I,$C474)="","",INDEX(GL!$I:$I,$C474))))</f>
        <v/>
      </c>
      <c r="L474" s="5" t="str">
        <f aca="false">IF(B474="","",IF(C474=0,"NOT FOUND",IF(IF($A474="Bank",INDEX(Bank!$F:$F,$C474),INDEX(GL!$F:$F,$C474))="Y","NOW RECONCILED: refresh","OK")))</f>
        <v/>
      </c>
    </row>
    <row r="475" customFormat="false" ht="15" hidden="false" customHeight="false" outlineLevel="0" collapsed="false">
      <c r="A475" s="41"/>
      <c r="B475" s="41"/>
      <c r="C475" s="5" t="n">
        <f aca="false">IF(B475="",0,IF(A475="Bank",IFERROR(MATCH(B475,Bank!$A:$A,0),0),IFERROR(MATCH(B475,GL!$A:$A,0),0)))</f>
        <v>0</v>
      </c>
      <c r="D475" s="32" t="str">
        <f aca="false">IF(C475=0,"",IF($A475="Bank",INDEX(Bank!$B:$B,$C475),INDEX(GL!$B:$B,$C475)))</f>
        <v/>
      </c>
      <c r="E475" s="5" t="str">
        <f aca="false">IF(C475=0,"",IF($A475="Bank",IF(INDEX(Bank!$C:$C,$C475)="","",INDEX(Bank!$C:$C,$C475)),IF(INDEX(GL!$C:$C,$C475)="","",INDEX(GL!$C:$C,$C475))))</f>
        <v/>
      </c>
      <c r="F475" s="5" t="str">
        <f aca="false">IF(C475=0,"",IF($A475="Bank",IF(INDEX(Bank!$D:$D,$C475)="","",INDEX(Bank!$D:$D,$C475)),IF(INDEX(GL!$D:$D,$C475)="","",INDEX(GL!$D:$D,$C475))))</f>
        <v/>
      </c>
      <c r="G475" s="19" t="str">
        <f aca="false">IF(C475=0,"",IF($A475="Bank",INDEX(Bank!$E:$E,$C475),INDEX(GL!$E:$E,$C475)))</f>
        <v/>
      </c>
      <c r="H475" s="5" t="str">
        <f aca="false">IF(C475=0,"",IF(A475="GL",IF(G475&gt;0,"Deposit in transit","Outstanding check / payment"),IF(G475&gt;0,"Bank credit not in GL","Bank debit not in GL")))</f>
        <v/>
      </c>
      <c r="I475" s="42" t="str">
        <f aca="false">IF(OR(C475=0,CFG_PeriodEnd=""),"",CFG_PeriodEnd-D475)</f>
        <v/>
      </c>
      <c r="J475" s="5" t="str">
        <f aca="false">IF(C475=0,"",IF($A475="Bank",IF(INDEX(Bank!$G:$G,$C475)="","",INDEX(Bank!$G:$G,$C475)),IF(INDEX(GL!$G:$G,$C475)="","",INDEX(GL!$G:$G,$C475))))</f>
        <v/>
      </c>
      <c r="K475" s="5" t="str">
        <f aca="false">IF(C475=0,"",IF($A475="Bank",IF(INDEX(Bank!$I:$I,$C475)="","",INDEX(Bank!$I:$I,$C475)),IF(INDEX(GL!$I:$I,$C475)="","",INDEX(GL!$I:$I,$C475))))</f>
        <v/>
      </c>
      <c r="L475" s="5" t="str">
        <f aca="false">IF(B475="","",IF(C475=0,"NOT FOUND",IF(IF($A475="Bank",INDEX(Bank!$F:$F,$C475),INDEX(GL!$F:$F,$C475))="Y","NOW RECONCILED: refresh","OK")))</f>
        <v/>
      </c>
    </row>
    <row r="476" customFormat="false" ht="15" hidden="false" customHeight="false" outlineLevel="0" collapsed="false">
      <c r="A476" s="41"/>
      <c r="B476" s="41"/>
      <c r="C476" s="5" t="n">
        <f aca="false">IF(B476="",0,IF(A476="Bank",IFERROR(MATCH(B476,Bank!$A:$A,0),0),IFERROR(MATCH(B476,GL!$A:$A,0),0)))</f>
        <v>0</v>
      </c>
      <c r="D476" s="32" t="str">
        <f aca="false">IF(C476=0,"",IF($A476="Bank",INDEX(Bank!$B:$B,$C476),INDEX(GL!$B:$B,$C476)))</f>
        <v/>
      </c>
      <c r="E476" s="5" t="str">
        <f aca="false">IF(C476=0,"",IF($A476="Bank",IF(INDEX(Bank!$C:$C,$C476)="","",INDEX(Bank!$C:$C,$C476)),IF(INDEX(GL!$C:$C,$C476)="","",INDEX(GL!$C:$C,$C476))))</f>
        <v/>
      </c>
      <c r="F476" s="5" t="str">
        <f aca="false">IF(C476=0,"",IF($A476="Bank",IF(INDEX(Bank!$D:$D,$C476)="","",INDEX(Bank!$D:$D,$C476)),IF(INDEX(GL!$D:$D,$C476)="","",INDEX(GL!$D:$D,$C476))))</f>
        <v/>
      </c>
      <c r="G476" s="19" t="str">
        <f aca="false">IF(C476=0,"",IF($A476="Bank",INDEX(Bank!$E:$E,$C476),INDEX(GL!$E:$E,$C476)))</f>
        <v/>
      </c>
      <c r="H476" s="5" t="str">
        <f aca="false">IF(C476=0,"",IF(A476="GL",IF(G476&gt;0,"Deposit in transit","Outstanding check / payment"),IF(G476&gt;0,"Bank credit not in GL","Bank debit not in GL")))</f>
        <v/>
      </c>
      <c r="I476" s="42" t="str">
        <f aca="false">IF(OR(C476=0,CFG_PeriodEnd=""),"",CFG_PeriodEnd-D476)</f>
        <v/>
      </c>
      <c r="J476" s="5" t="str">
        <f aca="false">IF(C476=0,"",IF($A476="Bank",IF(INDEX(Bank!$G:$G,$C476)="","",INDEX(Bank!$G:$G,$C476)),IF(INDEX(GL!$G:$G,$C476)="","",INDEX(GL!$G:$G,$C476))))</f>
        <v/>
      </c>
      <c r="K476" s="5" t="str">
        <f aca="false">IF(C476=0,"",IF($A476="Bank",IF(INDEX(Bank!$I:$I,$C476)="","",INDEX(Bank!$I:$I,$C476)),IF(INDEX(GL!$I:$I,$C476)="","",INDEX(GL!$I:$I,$C476))))</f>
        <v/>
      </c>
      <c r="L476" s="5" t="str">
        <f aca="false">IF(B476="","",IF(C476=0,"NOT FOUND",IF(IF($A476="Bank",INDEX(Bank!$F:$F,$C476),INDEX(GL!$F:$F,$C476))="Y","NOW RECONCILED: refresh","OK")))</f>
        <v/>
      </c>
    </row>
    <row r="477" customFormat="false" ht="15" hidden="false" customHeight="false" outlineLevel="0" collapsed="false">
      <c r="A477" s="41"/>
      <c r="B477" s="41"/>
      <c r="C477" s="5" t="n">
        <f aca="false">IF(B477="",0,IF(A477="Bank",IFERROR(MATCH(B477,Bank!$A:$A,0),0),IFERROR(MATCH(B477,GL!$A:$A,0),0)))</f>
        <v>0</v>
      </c>
      <c r="D477" s="32" t="str">
        <f aca="false">IF(C477=0,"",IF($A477="Bank",INDEX(Bank!$B:$B,$C477),INDEX(GL!$B:$B,$C477)))</f>
        <v/>
      </c>
      <c r="E477" s="5" t="str">
        <f aca="false">IF(C477=0,"",IF($A477="Bank",IF(INDEX(Bank!$C:$C,$C477)="","",INDEX(Bank!$C:$C,$C477)),IF(INDEX(GL!$C:$C,$C477)="","",INDEX(GL!$C:$C,$C477))))</f>
        <v/>
      </c>
      <c r="F477" s="5" t="str">
        <f aca="false">IF(C477=0,"",IF($A477="Bank",IF(INDEX(Bank!$D:$D,$C477)="","",INDEX(Bank!$D:$D,$C477)),IF(INDEX(GL!$D:$D,$C477)="","",INDEX(GL!$D:$D,$C477))))</f>
        <v/>
      </c>
      <c r="G477" s="19" t="str">
        <f aca="false">IF(C477=0,"",IF($A477="Bank",INDEX(Bank!$E:$E,$C477),INDEX(GL!$E:$E,$C477)))</f>
        <v/>
      </c>
      <c r="H477" s="5" t="str">
        <f aca="false">IF(C477=0,"",IF(A477="GL",IF(G477&gt;0,"Deposit in transit","Outstanding check / payment"),IF(G477&gt;0,"Bank credit not in GL","Bank debit not in GL")))</f>
        <v/>
      </c>
      <c r="I477" s="42" t="str">
        <f aca="false">IF(OR(C477=0,CFG_PeriodEnd=""),"",CFG_PeriodEnd-D477)</f>
        <v/>
      </c>
      <c r="J477" s="5" t="str">
        <f aca="false">IF(C477=0,"",IF($A477="Bank",IF(INDEX(Bank!$G:$G,$C477)="","",INDEX(Bank!$G:$G,$C477)),IF(INDEX(GL!$G:$G,$C477)="","",INDEX(GL!$G:$G,$C477))))</f>
        <v/>
      </c>
      <c r="K477" s="5" t="str">
        <f aca="false">IF(C477=0,"",IF($A477="Bank",IF(INDEX(Bank!$I:$I,$C477)="","",INDEX(Bank!$I:$I,$C477)),IF(INDEX(GL!$I:$I,$C477)="","",INDEX(GL!$I:$I,$C477))))</f>
        <v/>
      </c>
      <c r="L477" s="5" t="str">
        <f aca="false">IF(B477="","",IF(C477=0,"NOT FOUND",IF(IF($A477="Bank",INDEX(Bank!$F:$F,$C477),INDEX(GL!$F:$F,$C477))="Y","NOW RECONCILED: refresh","OK")))</f>
        <v/>
      </c>
    </row>
    <row r="478" customFormat="false" ht="15" hidden="false" customHeight="false" outlineLevel="0" collapsed="false">
      <c r="A478" s="41"/>
      <c r="B478" s="41"/>
      <c r="C478" s="5" t="n">
        <f aca="false">IF(B478="",0,IF(A478="Bank",IFERROR(MATCH(B478,Bank!$A:$A,0),0),IFERROR(MATCH(B478,GL!$A:$A,0),0)))</f>
        <v>0</v>
      </c>
      <c r="D478" s="32" t="str">
        <f aca="false">IF(C478=0,"",IF($A478="Bank",INDEX(Bank!$B:$B,$C478),INDEX(GL!$B:$B,$C478)))</f>
        <v/>
      </c>
      <c r="E478" s="5" t="str">
        <f aca="false">IF(C478=0,"",IF($A478="Bank",IF(INDEX(Bank!$C:$C,$C478)="","",INDEX(Bank!$C:$C,$C478)),IF(INDEX(GL!$C:$C,$C478)="","",INDEX(GL!$C:$C,$C478))))</f>
        <v/>
      </c>
      <c r="F478" s="5" t="str">
        <f aca="false">IF(C478=0,"",IF($A478="Bank",IF(INDEX(Bank!$D:$D,$C478)="","",INDEX(Bank!$D:$D,$C478)),IF(INDEX(GL!$D:$D,$C478)="","",INDEX(GL!$D:$D,$C478))))</f>
        <v/>
      </c>
      <c r="G478" s="19" t="str">
        <f aca="false">IF(C478=0,"",IF($A478="Bank",INDEX(Bank!$E:$E,$C478),INDEX(GL!$E:$E,$C478)))</f>
        <v/>
      </c>
      <c r="H478" s="5" t="str">
        <f aca="false">IF(C478=0,"",IF(A478="GL",IF(G478&gt;0,"Deposit in transit","Outstanding check / payment"),IF(G478&gt;0,"Bank credit not in GL","Bank debit not in GL")))</f>
        <v/>
      </c>
      <c r="I478" s="42" t="str">
        <f aca="false">IF(OR(C478=0,CFG_PeriodEnd=""),"",CFG_PeriodEnd-D478)</f>
        <v/>
      </c>
      <c r="J478" s="5" t="str">
        <f aca="false">IF(C478=0,"",IF($A478="Bank",IF(INDEX(Bank!$G:$G,$C478)="","",INDEX(Bank!$G:$G,$C478)),IF(INDEX(GL!$G:$G,$C478)="","",INDEX(GL!$G:$G,$C478))))</f>
        <v/>
      </c>
      <c r="K478" s="5" t="str">
        <f aca="false">IF(C478=0,"",IF($A478="Bank",IF(INDEX(Bank!$I:$I,$C478)="","",INDEX(Bank!$I:$I,$C478)),IF(INDEX(GL!$I:$I,$C478)="","",INDEX(GL!$I:$I,$C478))))</f>
        <v/>
      </c>
      <c r="L478" s="5" t="str">
        <f aca="false">IF(B478="","",IF(C478=0,"NOT FOUND",IF(IF($A478="Bank",INDEX(Bank!$F:$F,$C478),INDEX(GL!$F:$F,$C478))="Y","NOW RECONCILED: refresh","OK")))</f>
        <v/>
      </c>
    </row>
    <row r="479" customFormat="false" ht="15" hidden="false" customHeight="false" outlineLevel="0" collapsed="false">
      <c r="A479" s="41"/>
      <c r="B479" s="41"/>
      <c r="C479" s="5" t="n">
        <f aca="false">IF(B479="",0,IF(A479="Bank",IFERROR(MATCH(B479,Bank!$A:$A,0),0),IFERROR(MATCH(B479,GL!$A:$A,0),0)))</f>
        <v>0</v>
      </c>
      <c r="D479" s="32" t="str">
        <f aca="false">IF(C479=0,"",IF($A479="Bank",INDEX(Bank!$B:$B,$C479),INDEX(GL!$B:$B,$C479)))</f>
        <v/>
      </c>
      <c r="E479" s="5" t="str">
        <f aca="false">IF(C479=0,"",IF($A479="Bank",IF(INDEX(Bank!$C:$C,$C479)="","",INDEX(Bank!$C:$C,$C479)),IF(INDEX(GL!$C:$C,$C479)="","",INDEX(GL!$C:$C,$C479))))</f>
        <v/>
      </c>
      <c r="F479" s="5" t="str">
        <f aca="false">IF(C479=0,"",IF($A479="Bank",IF(INDEX(Bank!$D:$D,$C479)="","",INDEX(Bank!$D:$D,$C479)),IF(INDEX(GL!$D:$D,$C479)="","",INDEX(GL!$D:$D,$C479))))</f>
        <v/>
      </c>
      <c r="G479" s="19" t="str">
        <f aca="false">IF(C479=0,"",IF($A479="Bank",INDEX(Bank!$E:$E,$C479),INDEX(GL!$E:$E,$C479)))</f>
        <v/>
      </c>
      <c r="H479" s="5" t="str">
        <f aca="false">IF(C479=0,"",IF(A479="GL",IF(G479&gt;0,"Deposit in transit","Outstanding check / payment"),IF(G479&gt;0,"Bank credit not in GL","Bank debit not in GL")))</f>
        <v/>
      </c>
      <c r="I479" s="42" t="str">
        <f aca="false">IF(OR(C479=0,CFG_PeriodEnd=""),"",CFG_PeriodEnd-D479)</f>
        <v/>
      </c>
      <c r="J479" s="5" t="str">
        <f aca="false">IF(C479=0,"",IF($A479="Bank",IF(INDEX(Bank!$G:$G,$C479)="","",INDEX(Bank!$G:$G,$C479)),IF(INDEX(GL!$G:$G,$C479)="","",INDEX(GL!$G:$G,$C479))))</f>
        <v/>
      </c>
      <c r="K479" s="5" t="str">
        <f aca="false">IF(C479=0,"",IF($A479="Bank",IF(INDEX(Bank!$I:$I,$C479)="","",INDEX(Bank!$I:$I,$C479)),IF(INDEX(GL!$I:$I,$C479)="","",INDEX(GL!$I:$I,$C479))))</f>
        <v/>
      </c>
      <c r="L479" s="5" t="str">
        <f aca="false">IF(B479="","",IF(C479=0,"NOT FOUND",IF(IF($A479="Bank",INDEX(Bank!$F:$F,$C479),INDEX(GL!$F:$F,$C479))="Y","NOW RECONCILED: refresh","OK")))</f>
        <v/>
      </c>
    </row>
    <row r="480" customFormat="false" ht="15" hidden="false" customHeight="false" outlineLevel="0" collapsed="false">
      <c r="A480" s="41"/>
      <c r="B480" s="41"/>
      <c r="C480" s="5" t="n">
        <f aca="false">IF(B480="",0,IF(A480="Bank",IFERROR(MATCH(B480,Bank!$A:$A,0),0),IFERROR(MATCH(B480,GL!$A:$A,0),0)))</f>
        <v>0</v>
      </c>
      <c r="D480" s="32" t="str">
        <f aca="false">IF(C480=0,"",IF($A480="Bank",INDEX(Bank!$B:$B,$C480),INDEX(GL!$B:$B,$C480)))</f>
        <v/>
      </c>
      <c r="E480" s="5" t="str">
        <f aca="false">IF(C480=0,"",IF($A480="Bank",IF(INDEX(Bank!$C:$C,$C480)="","",INDEX(Bank!$C:$C,$C480)),IF(INDEX(GL!$C:$C,$C480)="","",INDEX(GL!$C:$C,$C480))))</f>
        <v/>
      </c>
      <c r="F480" s="5" t="str">
        <f aca="false">IF(C480=0,"",IF($A480="Bank",IF(INDEX(Bank!$D:$D,$C480)="","",INDEX(Bank!$D:$D,$C480)),IF(INDEX(GL!$D:$D,$C480)="","",INDEX(GL!$D:$D,$C480))))</f>
        <v/>
      </c>
      <c r="G480" s="19" t="str">
        <f aca="false">IF(C480=0,"",IF($A480="Bank",INDEX(Bank!$E:$E,$C480),INDEX(GL!$E:$E,$C480)))</f>
        <v/>
      </c>
      <c r="H480" s="5" t="str">
        <f aca="false">IF(C480=0,"",IF(A480="GL",IF(G480&gt;0,"Deposit in transit","Outstanding check / payment"),IF(G480&gt;0,"Bank credit not in GL","Bank debit not in GL")))</f>
        <v/>
      </c>
      <c r="I480" s="42" t="str">
        <f aca="false">IF(OR(C480=0,CFG_PeriodEnd=""),"",CFG_PeriodEnd-D480)</f>
        <v/>
      </c>
      <c r="J480" s="5" t="str">
        <f aca="false">IF(C480=0,"",IF($A480="Bank",IF(INDEX(Bank!$G:$G,$C480)="","",INDEX(Bank!$G:$G,$C480)),IF(INDEX(GL!$G:$G,$C480)="","",INDEX(GL!$G:$G,$C480))))</f>
        <v/>
      </c>
      <c r="K480" s="5" t="str">
        <f aca="false">IF(C480=0,"",IF($A480="Bank",IF(INDEX(Bank!$I:$I,$C480)="","",INDEX(Bank!$I:$I,$C480)),IF(INDEX(GL!$I:$I,$C480)="","",INDEX(GL!$I:$I,$C480))))</f>
        <v/>
      </c>
      <c r="L480" s="5" t="str">
        <f aca="false">IF(B480="","",IF(C480=0,"NOT FOUND",IF(IF($A480="Bank",INDEX(Bank!$F:$F,$C480),INDEX(GL!$F:$F,$C480))="Y","NOW RECONCILED: refresh","OK")))</f>
        <v/>
      </c>
    </row>
    <row r="481" customFormat="false" ht="15" hidden="false" customHeight="false" outlineLevel="0" collapsed="false">
      <c r="A481" s="41"/>
      <c r="B481" s="41"/>
      <c r="C481" s="5" t="n">
        <f aca="false">IF(B481="",0,IF(A481="Bank",IFERROR(MATCH(B481,Bank!$A:$A,0),0),IFERROR(MATCH(B481,GL!$A:$A,0),0)))</f>
        <v>0</v>
      </c>
      <c r="D481" s="32" t="str">
        <f aca="false">IF(C481=0,"",IF($A481="Bank",INDEX(Bank!$B:$B,$C481),INDEX(GL!$B:$B,$C481)))</f>
        <v/>
      </c>
      <c r="E481" s="5" t="str">
        <f aca="false">IF(C481=0,"",IF($A481="Bank",IF(INDEX(Bank!$C:$C,$C481)="","",INDEX(Bank!$C:$C,$C481)),IF(INDEX(GL!$C:$C,$C481)="","",INDEX(GL!$C:$C,$C481))))</f>
        <v/>
      </c>
      <c r="F481" s="5" t="str">
        <f aca="false">IF(C481=0,"",IF($A481="Bank",IF(INDEX(Bank!$D:$D,$C481)="","",INDEX(Bank!$D:$D,$C481)),IF(INDEX(GL!$D:$D,$C481)="","",INDEX(GL!$D:$D,$C481))))</f>
        <v/>
      </c>
      <c r="G481" s="19" t="str">
        <f aca="false">IF(C481=0,"",IF($A481="Bank",INDEX(Bank!$E:$E,$C481),INDEX(GL!$E:$E,$C481)))</f>
        <v/>
      </c>
      <c r="H481" s="5" t="str">
        <f aca="false">IF(C481=0,"",IF(A481="GL",IF(G481&gt;0,"Deposit in transit","Outstanding check / payment"),IF(G481&gt;0,"Bank credit not in GL","Bank debit not in GL")))</f>
        <v/>
      </c>
      <c r="I481" s="42" t="str">
        <f aca="false">IF(OR(C481=0,CFG_PeriodEnd=""),"",CFG_PeriodEnd-D481)</f>
        <v/>
      </c>
      <c r="J481" s="5" t="str">
        <f aca="false">IF(C481=0,"",IF($A481="Bank",IF(INDEX(Bank!$G:$G,$C481)="","",INDEX(Bank!$G:$G,$C481)),IF(INDEX(GL!$G:$G,$C481)="","",INDEX(GL!$G:$G,$C481))))</f>
        <v/>
      </c>
      <c r="K481" s="5" t="str">
        <f aca="false">IF(C481=0,"",IF($A481="Bank",IF(INDEX(Bank!$I:$I,$C481)="","",INDEX(Bank!$I:$I,$C481)),IF(INDEX(GL!$I:$I,$C481)="","",INDEX(GL!$I:$I,$C481))))</f>
        <v/>
      </c>
      <c r="L481" s="5" t="str">
        <f aca="false">IF(B481="","",IF(C481=0,"NOT FOUND",IF(IF($A481="Bank",INDEX(Bank!$F:$F,$C481),INDEX(GL!$F:$F,$C481))="Y","NOW RECONCILED: refresh","OK")))</f>
        <v/>
      </c>
    </row>
    <row r="482" customFormat="false" ht="15" hidden="false" customHeight="false" outlineLevel="0" collapsed="false">
      <c r="A482" s="41"/>
      <c r="B482" s="41"/>
      <c r="C482" s="5" t="n">
        <f aca="false">IF(B482="",0,IF(A482="Bank",IFERROR(MATCH(B482,Bank!$A:$A,0),0),IFERROR(MATCH(B482,GL!$A:$A,0),0)))</f>
        <v>0</v>
      </c>
      <c r="D482" s="32" t="str">
        <f aca="false">IF(C482=0,"",IF($A482="Bank",INDEX(Bank!$B:$B,$C482),INDEX(GL!$B:$B,$C482)))</f>
        <v/>
      </c>
      <c r="E482" s="5" t="str">
        <f aca="false">IF(C482=0,"",IF($A482="Bank",IF(INDEX(Bank!$C:$C,$C482)="","",INDEX(Bank!$C:$C,$C482)),IF(INDEX(GL!$C:$C,$C482)="","",INDEX(GL!$C:$C,$C482))))</f>
        <v/>
      </c>
      <c r="F482" s="5" t="str">
        <f aca="false">IF(C482=0,"",IF($A482="Bank",IF(INDEX(Bank!$D:$D,$C482)="","",INDEX(Bank!$D:$D,$C482)),IF(INDEX(GL!$D:$D,$C482)="","",INDEX(GL!$D:$D,$C482))))</f>
        <v/>
      </c>
      <c r="G482" s="19" t="str">
        <f aca="false">IF(C482=0,"",IF($A482="Bank",INDEX(Bank!$E:$E,$C482),INDEX(GL!$E:$E,$C482)))</f>
        <v/>
      </c>
      <c r="H482" s="5" t="str">
        <f aca="false">IF(C482=0,"",IF(A482="GL",IF(G482&gt;0,"Deposit in transit","Outstanding check / payment"),IF(G482&gt;0,"Bank credit not in GL","Bank debit not in GL")))</f>
        <v/>
      </c>
      <c r="I482" s="42" t="str">
        <f aca="false">IF(OR(C482=0,CFG_PeriodEnd=""),"",CFG_PeriodEnd-D482)</f>
        <v/>
      </c>
      <c r="J482" s="5" t="str">
        <f aca="false">IF(C482=0,"",IF($A482="Bank",IF(INDEX(Bank!$G:$G,$C482)="","",INDEX(Bank!$G:$G,$C482)),IF(INDEX(GL!$G:$G,$C482)="","",INDEX(GL!$G:$G,$C482))))</f>
        <v/>
      </c>
      <c r="K482" s="5" t="str">
        <f aca="false">IF(C482=0,"",IF($A482="Bank",IF(INDEX(Bank!$I:$I,$C482)="","",INDEX(Bank!$I:$I,$C482)),IF(INDEX(GL!$I:$I,$C482)="","",INDEX(GL!$I:$I,$C482))))</f>
        <v/>
      </c>
      <c r="L482" s="5" t="str">
        <f aca="false">IF(B482="","",IF(C482=0,"NOT FOUND",IF(IF($A482="Bank",INDEX(Bank!$F:$F,$C482),INDEX(GL!$F:$F,$C482))="Y","NOW RECONCILED: refresh","OK")))</f>
        <v/>
      </c>
    </row>
    <row r="483" customFormat="false" ht="15" hidden="false" customHeight="false" outlineLevel="0" collapsed="false">
      <c r="A483" s="41"/>
      <c r="B483" s="41"/>
      <c r="C483" s="5" t="n">
        <f aca="false">IF(B483="",0,IF(A483="Bank",IFERROR(MATCH(B483,Bank!$A:$A,0),0),IFERROR(MATCH(B483,GL!$A:$A,0),0)))</f>
        <v>0</v>
      </c>
      <c r="D483" s="32" t="str">
        <f aca="false">IF(C483=0,"",IF($A483="Bank",INDEX(Bank!$B:$B,$C483),INDEX(GL!$B:$B,$C483)))</f>
        <v/>
      </c>
      <c r="E483" s="5" t="str">
        <f aca="false">IF(C483=0,"",IF($A483="Bank",IF(INDEX(Bank!$C:$C,$C483)="","",INDEX(Bank!$C:$C,$C483)),IF(INDEX(GL!$C:$C,$C483)="","",INDEX(GL!$C:$C,$C483))))</f>
        <v/>
      </c>
      <c r="F483" s="5" t="str">
        <f aca="false">IF(C483=0,"",IF($A483="Bank",IF(INDEX(Bank!$D:$D,$C483)="","",INDEX(Bank!$D:$D,$C483)),IF(INDEX(GL!$D:$D,$C483)="","",INDEX(GL!$D:$D,$C483))))</f>
        <v/>
      </c>
      <c r="G483" s="19" t="str">
        <f aca="false">IF(C483=0,"",IF($A483="Bank",INDEX(Bank!$E:$E,$C483),INDEX(GL!$E:$E,$C483)))</f>
        <v/>
      </c>
      <c r="H483" s="5" t="str">
        <f aca="false">IF(C483=0,"",IF(A483="GL",IF(G483&gt;0,"Deposit in transit","Outstanding check / payment"),IF(G483&gt;0,"Bank credit not in GL","Bank debit not in GL")))</f>
        <v/>
      </c>
      <c r="I483" s="42" t="str">
        <f aca="false">IF(OR(C483=0,CFG_PeriodEnd=""),"",CFG_PeriodEnd-D483)</f>
        <v/>
      </c>
      <c r="J483" s="5" t="str">
        <f aca="false">IF(C483=0,"",IF($A483="Bank",IF(INDEX(Bank!$G:$G,$C483)="","",INDEX(Bank!$G:$G,$C483)),IF(INDEX(GL!$G:$G,$C483)="","",INDEX(GL!$G:$G,$C483))))</f>
        <v/>
      </c>
      <c r="K483" s="5" t="str">
        <f aca="false">IF(C483=0,"",IF($A483="Bank",IF(INDEX(Bank!$I:$I,$C483)="","",INDEX(Bank!$I:$I,$C483)),IF(INDEX(GL!$I:$I,$C483)="","",INDEX(GL!$I:$I,$C483))))</f>
        <v/>
      </c>
      <c r="L483" s="5" t="str">
        <f aca="false">IF(B483="","",IF(C483=0,"NOT FOUND",IF(IF($A483="Bank",INDEX(Bank!$F:$F,$C483),INDEX(GL!$F:$F,$C483))="Y","NOW RECONCILED: refresh","OK")))</f>
        <v/>
      </c>
    </row>
    <row r="484" customFormat="false" ht="15" hidden="false" customHeight="false" outlineLevel="0" collapsed="false">
      <c r="A484" s="41"/>
      <c r="B484" s="41"/>
      <c r="C484" s="5" t="n">
        <f aca="false">IF(B484="",0,IF(A484="Bank",IFERROR(MATCH(B484,Bank!$A:$A,0),0),IFERROR(MATCH(B484,GL!$A:$A,0),0)))</f>
        <v>0</v>
      </c>
      <c r="D484" s="32" t="str">
        <f aca="false">IF(C484=0,"",IF($A484="Bank",INDEX(Bank!$B:$B,$C484),INDEX(GL!$B:$B,$C484)))</f>
        <v/>
      </c>
      <c r="E484" s="5" t="str">
        <f aca="false">IF(C484=0,"",IF($A484="Bank",IF(INDEX(Bank!$C:$C,$C484)="","",INDEX(Bank!$C:$C,$C484)),IF(INDEX(GL!$C:$C,$C484)="","",INDEX(GL!$C:$C,$C484))))</f>
        <v/>
      </c>
      <c r="F484" s="5" t="str">
        <f aca="false">IF(C484=0,"",IF($A484="Bank",IF(INDEX(Bank!$D:$D,$C484)="","",INDEX(Bank!$D:$D,$C484)),IF(INDEX(GL!$D:$D,$C484)="","",INDEX(GL!$D:$D,$C484))))</f>
        <v/>
      </c>
      <c r="G484" s="19" t="str">
        <f aca="false">IF(C484=0,"",IF($A484="Bank",INDEX(Bank!$E:$E,$C484),INDEX(GL!$E:$E,$C484)))</f>
        <v/>
      </c>
      <c r="H484" s="5" t="str">
        <f aca="false">IF(C484=0,"",IF(A484="GL",IF(G484&gt;0,"Deposit in transit","Outstanding check / payment"),IF(G484&gt;0,"Bank credit not in GL","Bank debit not in GL")))</f>
        <v/>
      </c>
      <c r="I484" s="42" t="str">
        <f aca="false">IF(OR(C484=0,CFG_PeriodEnd=""),"",CFG_PeriodEnd-D484)</f>
        <v/>
      </c>
      <c r="J484" s="5" t="str">
        <f aca="false">IF(C484=0,"",IF($A484="Bank",IF(INDEX(Bank!$G:$G,$C484)="","",INDEX(Bank!$G:$G,$C484)),IF(INDEX(GL!$G:$G,$C484)="","",INDEX(GL!$G:$G,$C484))))</f>
        <v/>
      </c>
      <c r="K484" s="5" t="str">
        <f aca="false">IF(C484=0,"",IF($A484="Bank",IF(INDEX(Bank!$I:$I,$C484)="","",INDEX(Bank!$I:$I,$C484)),IF(INDEX(GL!$I:$I,$C484)="","",INDEX(GL!$I:$I,$C484))))</f>
        <v/>
      </c>
      <c r="L484" s="5" t="str">
        <f aca="false">IF(B484="","",IF(C484=0,"NOT FOUND",IF(IF($A484="Bank",INDEX(Bank!$F:$F,$C484),INDEX(GL!$F:$F,$C484))="Y","NOW RECONCILED: refresh","OK")))</f>
        <v/>
      </c>
    </row>
    <row r="485" customFormat="false" ht="15" hidden="false" customHeight="false" outlineLevel="0" collapsed="false">
      <c r="A485" s="41"/>
      <c r="B485" s="41"/>
      <c r="C485" s="5" t="n">
        <f aca="false">IF(B485="",0,IF(A485="Bank",IFERROR(MATCH(B485,Bank!$A:$A,0),0),IFERROR(MATCH(B485,GL!$A:$A,0),0)))</f>
        <v>0</v>
      </c>
      <c r="D485" s="32" t="str">
        <f aca="false">IF(C485=0,"",IF($A485="Bank",INDEX(Bank!$B:$B,$C485),INDEX(GL!$B:$B,$C485)))</f>
        <v/>
      </c>
      <c r="E485" s="5" t="str">
        <f aca="false">IF(C485=0,"",IF($A485="Bank",IF(INDEX(Bank!$C:$C,$C485)="","",INDEX(Bank!$C:$C,$C485)),IF(INDEX(GL!$C:$C,$C485)="","",INDEX(GL!$C:$C,$C485))))</f>
        <v/>
      </c>
      <c r="F485" s="5" t="str">
        <f aca="false">IF(C485=0,"",IF($A485="Bank",IF(INDEX(Bank!$D:$D,$C485)="","",INDEX(Bank!$D:$D,$C485)),IF(INDEX(GL!$D:$D,$C485)="","",INDEX(GL!$D:$D,$C485))))</f>
        <v/>
      </c>
      <c r="G485" s="19" t="str">
        <f aca="false">IF(C485=0,"",IF($A485="Bank",INDEX(Bank!$E:$E,$C485),INDEX(GL!$E:$E,$C485)))</f>
        <v/>
      </c>
      <c r="H485" s="5" t="str">
        <f aca="false">IF(C485=0,"",IF(A485="GL",IF(G485&gt;0,"Deposit in transit","Outstanding check / payment"),IF(G485&gt;0,"Bank credit not in GL","Bank debit not in GL")))</f>
        <v/>
      </c>
      <c r="I485" s="42" t="str">
        <f aca="false">IF(OR(C485=0,CFG_PeriodEnd=""),"",CFG_PeriodEnd-D485)</f>
        <v/>
      </c>
      <c r="J485" s="5" t="str">
        <f aca="false">IF(C485=0,"",IF($A485="Bank",IF(INDEX(Bank!$G:$G,$C485)="","",INDEX(Bank!$G:$G,$C485)),IF(INDEX(GL!$G:$G,$C485)="","",INDEX(GL!$G:$G,$C485))))</f>
        <v/>
      </c>
      <c r="K485" s="5" t="str">
        <f aca="false">IF(C485=0,"",IF($A485="Bank",IF(INDEX(Bank!$I:$I,$C485)="","",INDEX(Bank!$I:$I,$C485)),IF(INDEX(GL!$I:$I,$C485)="","",INDEX(GL!$I:$I,$C485))))</f>
        <v/>
      </c>
      <c r="L485" s="5" t="str">
        <f aca="false">IF(B485="","",IF(C485=0,"NOT FOUND",IF(IF($A485="Bank",INDEX(Bank!$F:$F,$C485),INDEX(GL!$F:$F,$C485))="Y","NOW RECONCILED: refresh","OK")))</f>
        <v/>
      </c>
    </row>
    <row r="486" customFormat="false" ht="15" hidden="false" customHeight="false" outlineLevel="0" collapsed="false">
      <c r="A486" s="41"/>
      <c r="B486" s="41"/>
      <c r="C486" s="5" t="n">
        <f aca="false">IF(B486="",0,IF(A486="Bank",IFERROR(MATCH(B486,Bank!$A:$A,0),0),IFERROR(MATCH(B486,GL!$A:$A,0),0)))</f>
        <v>0</v>
      </c>
      <c r="D486" s="32" t="str">
        <f aca="false">IF(C486=0,"",IF($A486="Bank",INDEX(Bank!$B:$B,$C486),INDEX(GL!$B:$B,$C486)))</f>
        <v/>
      </c>
      <c r="E486" s="5" t="str">
        <f aca="false">IF(C486=0,"",IF($A486="Bank",IF(INDEX(Bank!$C:$C,$C486)="","",INDEX(Bank!$C:$C,$C486)),IF(INDEX(GL!$C:$C,$C486)="","",INDEX(GL!$C:$C,$C486))))</f>
        <v/>
      </c>
      <c r="F486" s="5" t="str">
        <f aca="false">IF(C486=0,"",IF($A486="Bank",IF(INDEX(Bank!$D:$D,$C486)="","",INDEX(Bank!$D:$D,$C486)),IF(INDEX(GL!$D:$D,$C486)="","",INDEX(GL!$D:$D,$C486))))</f>
        <v/>
      </c>
      <c r="G486" s="19" t="str">
        <f aca="false">IF(C486=0,"",IF($A486="Bank",INDEX(Bank!$E:$E,$C486),INDEX(GL!$E:$E,$C486)))</f>
        <v/>
      </c>
      <c r="H486" s="5" t="str">
        <f aca="false">IF(C486=0,"",IF(A486="GL",IF(G486&gt;0,"Deposit in transit","Outstanding check / payment"),IF(G486&gt;0,"Bank credit not in GL","Bank debit not in GL")))</f>
        <v/>
      </c>
      <c r="I486" s="42" t="str">
        <f aca="false">IF(OR(C486=0,CFG_PeriodEnd=""),"",CFG_PeriodEnd-D486)</f>
        <v/>
      </c>
      <c r="J486" s="5" t="str">
        <f aca="false">IF(C486=0,"",IF($A486="Bank",IF(INDEX(Bank!$G:$G,$C486)="","",INDEX(Bank!$G:$G,$C486)),IF(INDEX(GL!$G:$G,$C486)="","",INDEX(GL!$G:$G,$C486))))</f>
        <v/>
      </c>
      <c r="K486" s="5" t="str">
        <f aca="false">IF(C486=0,"",IF($A486="Bank",IF(INDEX(Bank!$I:$I,$C486)="","",INDEX(Bank!$I:$I,$C486)),IF(INDEX(GL!$I:$I,$C486)="","",INDEX(GL!$I:$I,$C486))))</f>
        <v/>
      </c>
      <c r="L486" s="5" t="str">
        <f aca="false">IF(B486="","",IF(C486=0,"NOT FOUND",IF(IF($A486="Bank",INDEX(Bank!$F:$F,$C486),INDEX(GL!$F:$F,$C486))="Y","NOW RECONCILED: refresh","OK")))</f>
        <v/>
      </c>
    </row>
    <row r="487" customFormat="false" ht="15" hidden="false" customHeight="false" outlineLevel="0" collapsed="false">
      <c r="A487" s="41"/>
      <c r="B487" s="41"/>
      <c r="C487" s="5" t="n">
        <f aca="false">IF(B487="",0,IF(A487="Bank",IFERROR(MATCH(B487,Bank!$A:$A,0),0),IFERROR(MATCH(B487,GL!$A:$A,0),0)))</f>
        <v>0</v>
      </c>
      <c r="D487" s="32" t="str">
        <f aca="false">IF(C487=0,"",IF($A487="Bank",INDEX(Bank!$B:$B,$C487),INDEX(GL!$B:$B,$C487)))</f>
        <v/>
      </c>
      <c r="E487" s="5" t="str">
        <f aca="false">IF(C487=0,"",IF($A487="Bank",IF(INDEX(Bank!$C:$C,$C487)="","",INDEX(Bank!$C:$C,$C487)),IF(INDEX(GL!$C:$C,$C487)="","",INDEX(GL!$C:$C,$C487))))</f>
        <v/>
      </c>
      <c r="F487" s="5" t="str">
        <f aca="false">IF(C487=0,"",IF($A487="Bank",IF(INDEX(Bank!$D:$D,$C487)="","",INDEX(Bank!$D:$D,$C487)),IF(INDEX(GL!$D:$D,$C487)="","",INDEX(GL!$D:$D,$C487))))</f>
        <v/>
      </c>
      <c r="G487" s="19" t="str">
        <f aca="false">IF(C487=0,"",IF($A487="Bank",INDEX(Bank!$E:$E,$C487),INDEX(GL!$E:$E,$C487)))</f>
        <v/>
      </c>
      <c r="H487" s="5" t="str">
        <f aca="false">IF(C487=0,"",IF(A487="GL",IF(G487&gt;0,"Deposit in transit","Outstanding check / payment"),IF(G487&gt;0,"Bank credit not in GL","Bank debit not in GL")))</f>
        <v/>
      </c>
      <c r="I487" s="42" t="str">
        <f aca="false">IF(OR(C487=0,CFG_PeriodEnd=""),"",CFG_PeriodEnd-D487)</f>
        <v/>
      </c>
      <c r="J487" s="5" t="str">
        <f aca="false">IF(C487=0,"",IF($A487="Bank",IF(INDEX(Bank!$G:$G,$C487)="","",INDEX(Bank!$G:$G,$C487)),IF(INDEX(GL!$G:$G,$C487)="","",INDEX(GL!$G:$G,$C487))))</f>
        <v/>
      </c>
      <c r="K487" s="5" t="str">
        <f aca="false">IF(C487=0,"",IF($A487="Bank",IF(INDEX(Bank!$I:$I,$C487)="","",INDEX(Bank!$I:$I,$C487)),IF(INDEX(GL!$I:$I,$C487)="","",INDEX(GL!$I:$I,$C487))))</f>
        <v/>
      </c>
      <c r="L487" s="5" t="str">
        <f aca="false">IF(B487="","",IF(C487=0,"NOT FOUND",IF(IF($A487="Bank",INDEX(Bank!$F:$F,$C487),INDEX(GL!$F:$F,$C487))="Y","NOW RECONCILED: refresh","OK")))</f>
        <v/>
      </c>
    </row>
    <row r="488" customFormat="false" ht="15" hidden="false" customHeight="false" outlineLevel="0" collapsed="false">
      <c r="A488" s="41"/>
      <c r="B488" s="41"/>
      <c r="C488" s="5" t="n">
        <f aca="false">IF(B488="",0,IF(A488="Bank",IFERROR(MATCH(B488,Bank!$A:$A,0),0),IFERROR(MATCH(B488,GL!$A:$A,0),0)))</f>
        <v>0</v>
      </c>
      <c r="D488" s="32" t="str">
        <f aca="false">IF(C488=0,"",IF($A488="Bank",INDEX(Bank!$B:$B,$C488),INDEX(GL!$B:$B,$C488)))</f>
        <v/>
      </c>
      <c r="E488" s="5" t="str">
        <f aca="false">IF(C488=0,"",IF($A488="Bank",IF(INDEX(Bank!$C:$C,$C488)="","",INDEX(Bank!$C:$C,$C488)),IF(INDEX(GL!$C:$C,$C488)="","",INDEX(GL!$C:$C,$C488))))</f>
        <v/>
      </c>
      <c r="F488" s="5" t="str">
        <f aca="false">IF(C488=0,"",IF($A488="Bank",IF(INDEX(Bank!$D:$D,$C488)="","",INDEX(Bank!$D:$D,$C488)),IF(INDEX(GL!$D:$D,$C488)="","",INDEX(GL!$D:$D,$C488))))</f>
        <v/>
      </c>
      <c r="G488" s="19" t="str">
        <f aca="false">IF(C488=0,"",IF($A488="Bank",INDEX(Bank!$E:$E,$C488),INDEX(GL!$E:$E,$C488)))</f>
        <v/>
      </c>
      <c r="H488" s="5" t="str">
        <f aca="false">IF(C488=0,"",IF(A488="GL",IF(G488&gt;0,"Deposit in transit","Outstanding check / payment"),IF(G488&gt;0,"Bank credit not in GL","Bank debit not in GL")))</f>
        <v/>
      </c>
      <c r="I488" s="42" t="str">
        <f aca="false">IF(OR(C488=0,CFG_PeriodEnd=""),"",CFG_PeriodEnd-D488)</f>
        <v/>
      </c>
      <c r="J488" s="5" t="str">
        <f aca="false">IF(C488=0,"",IF($A488="Bank",IF(INDEX(Bank!$G:$G,$C488)="","",INDEX(Bank!$G:$G,$C488)),IF(INDEX(GL!$G:$G,$C488)="","",INDEX(GL!$G:$G,$C488))))</f>
        <v/>
      </c>
      <c r="K488" s="5" t="str">
        <f aca="false">IF(C488=0,"",IF($A488="Bank",IF(INDEX(Bank!$I:$I,$C488)="","",INDEX(Bank!$I:$I,$C488)),IF(INDEX(GL!$I:$I,$C488)="","",INDEX(GL!$I:$I,$C488))))</f>
        <v/>
      </c>
      <c r="L488" s="5" t="str">
        <f aca="false">IF(B488="","",IF(C488=0,"NOT FOUND",IF(IF($A488="Bank",INDEX(Bank!$F:$F,$C488),INDEX(GL!$F:$F,$C488))="Y","NOW RECONCILED: refresh","OK")))</f>
        <v/>
      </c>
    </row>
    <row r="489" customFormat="false" ht="15" hidden="false" customHeight="false" outlineLevel="0" collapsed="false">
      <c r="A489" s="41"/>
      <c r="B489" s="41"/>
      <c r="C489" s="5" t="n">
        <f aca="false">IF(B489="",0,IF(A489="Bank",IFERROR(MATCH(B489,Bank!$A:$A,0),0),IFERROR(MATCH(B489,GL!$A:$A,0),0)))</f>
        <v>0</v>
      </c>
      <c r="D489" s="32" t="str">
        <f aca="false">IF(C489=0,"",IF($A489="Bank",INDEX(Bank!$B:$B,$C489),INDEX(GL!$B:$B,$C489)))</f>
        <v/>
      </c>
      <c r="E489" s="5" t="str">
        <f aca="false">IF(C489=0,"",IF($A489="Bank",IF(INDEX(Bank!$C:$C,$C489)="","",INDEX(Bank!$C:$C,$C489)),IF(INDEX(GL!$C:$C,$C489)="","",INDEX(GL!$C:$C,$C489))))</f>
        <v/>
      </c>
      <c r="F489" s="5" t="str">
        <f aca="false">IF(C489=0,"",IF($A489="Bank",IF(INDEX(Bank!$D:$D,$C489)="","",INDEX(Bank!$D:$D,$C489)),IF(INDEX(GL!$D:$D,$C489)="","",INDEX(GL!$D:$D,$C489))))</f>
        <v/>
      </c>
      <c r="G489" s="19" t="str">
        <f aca="false">IF(C489=0,"",IF($A489="Bank",INDEX(Bank!$E:$E,$C489),INDEX(GL!$E:$E,$C489)))</f>
        <v/>
      </c>
      <c r="H489" s="5" t="str">
        <f aca="false">IF(C489=0,"",IF(A489="GL",IF(G489&gt;0,"Deposit in transit","Outstanding check / payment"),IF(G489&gt;0,"Bank credit not in GL","Bank debit not in GL")))</f>
        <v/>
      </c>
      <c r="I489" s="42" t="str">
        <f aca="false">IF(OR(C489=0,CFG_PeriodEnd=""),"",CFG_PeriodEnd-D489)</f>
        <v/>
      </c>
      <c r="J489" s="5" t="str">
        <f aca="false">IF(C489=0,"",IF($A489="Bank",IF(INDEX(Bank!$G:$G,$C489)="","",INDEX(Bank!$G:$G,$C489)),IF(INDEX(GL!$G:$G,$C489)="","",INDEX(GL!$G:$G,$C489))))</f>
        <v/>
      </c>
      <c r="K489" s="5" t="str">
        <f aca="false">IF(C489=0,"",IF($A489="Bank",IF(INDEX(Bank!$I:$I,$C489)="","",INDEX(Bank!$I:$I,$C489)),IF(INDEX(GL!$I:$I,$C489)="","",INDEX(GL!$I:$I,$C489))))</f>
        <v/>
      </c>
      <c r="L489" s="5" t="str">
        <f aca="false">IF(B489="","",IF(C489=0,"NOT FOUND",IF(IF($A489="Bank",INDEX(Bank!$F:$F,$C489),INDEX(GL!$F:$F,$C489))="Y","NOW RECONCILED: refresh","OK")))</f>
        <v/>
      </c>
    </row>
    <row r="490" customFormat="false" ht="15" hidden="false" customHeight="false" outlineLevel="0" collapsed="false">
      <c r="A490" s="41"/>
      <c r="B490" s="41"/>
      <c r="C490" s="5" t="n">
        <f aca="false">IF(B490="",0,IF(A490="Bank",IFERROR(MATCH(B490,Bank!$A:$A,0),0),IFERROR(MATCH(B490,GL!$A:$A,0),0)))</f>
        <v>0</v>
      </c>
      <c r="D490" s="32" t="str">
        <f aca="false">IF(C490=0,"",IF($A490="Bank",INDEX(Bank!$B:$B,$C490),INDEX(GL!$B:$B,$C490)))</f>
        <v/>
      </c>
      <c r="E490" s="5" t="str">
        <f aca="false">IF(C490=0,"",IF($A490="Bank",IF(INDEX(Bank!$C:$C,$C490)="","",INDEX(Bank!$C:$C,$C490)),IF(INDEX(GL!$C:$C,$C490)="","",INDEX(GL!$C:$C,$C490))))</f>
        <v/>
      </c>
      <c r="F490" s="5" t="str">
        <f aca="false">IF(C490=0,"",IF($A490="Bank",IF(INDEX(Bank!$D:$D,$C490)="","",INDEX(Bank!$D:$D,$C490)),IF(INDEX(GL!$D:$D,$C490)="","",INDEX(GL!$D:$D,$C490))))</f>
        <v/>
      </c>
      <c r="G490" s="19" t="str">
        <f aca="false">IF(C490=0,"",IF($A490="Bank",INDEX(Bank!$E:$E,$C490),INDEX(GL!$E:$E,$C490)))</f>
        <v/>
      </c>
      <c r="H490" s="5" t="str">
        <f aca="false">IF(C490=0,"",IF(A490="GL",IF(G490&gt;0,"Deposit in transit","Outstanding check / payment"),IF(G490&gt;0,"Bank credit not in GL","Bank debit not in GL")))</f>
        <v/>
      </c>
      <c r="I490" s="42" t="str">
        <f aca="false">IF(OR(C490=0,CFG_PeriodEnd=""),"",CFG_PeriodEnd-D490)</f>
        <v/>
      </c>
      <c r="J490" s="5" t="str">
        <f aca="false">IF(C490=0,"",IF($A490="Bank",IF(INDEX(Bank!$G:$G,$C490)="","",INDEX(Bank!$G:$G,$C490)),IF(INDEX(GL!$G:$G,$C490)="","",INDEX(GL!$G:$G,$C490))))</f>
        <v/>
      </c>
      <c r="K490" s="5" t="str">
        <f aca="false">IF(C490=0,"",IF($A490="Bank",IF(INDEX(Bank!$I:$I,$C490)="","",INDEX(Bank!$I:$I,$C490)),IF(INDEX(GL!$I:$I,$C490)="","",INDEX(GL!$I:$I,$C490))))</f>
        <v/>
      </c>
      <c r="L490" s="5" t="str">
        <f aca="false">IF(B490="","",IF(C490=0,"NOT FOUND",IF(IF($A490="Bank",INDEX(Bank!$F:$F,$C490),INDEX(GL!$F:$F,$C490))="Y","NOW RECONCILED: refresh","OK")))</f>
        <v/>
      </c>
    </row>
    <row r="491" customFormat="false" ht="15" hidden="false" customHeight="false" outlineLevel="0" collapsed="false">
      <c r="A491" s="41"/>
      <c r="B491" s="41"/>
      <c r="C491" s="5" t="n">
        <f aca="false">IF(B491="",0,IF(A491="Bank",IFERROR(MATCH(B491,Bank!$A:$A,0),0),IFERROR(MATCH(B491,GL!$A:$A,0),0)))</f>
        <v>0</v>
      </c>
      <c r="D491" s="32" t="str">
        <f aca="false">IF(C491=0,"",IF($A491="Bank",INDEX(Bank!$B:$B,$C491),INDEX(GL!$B:$B,$C491)))</f>
        <v/>
      </c>
      <c r="E491" s="5" t="str">
        <f aca="false">IF(C491=0,"",IF($A491="Bank",IF(INDEX(Bank!$C:$C,$C491)="","",INDEX(Bank!$C:$C,$C491)),IF(INDEX(GL!$C:$C,$C491)="","",INDEX(GL!$C:$C,$C491))))</f>
        <v/>
      </c>
      <c r="F491" s="5" t="str">
        <f aca="false">IF(C491=0,"",IF($A491="Bank",IF(INDEX(Bank!$D:$D,$C491)="","",INDEX(Bank!$D:$D,$C491)),IF(INDEX(GL!$D:$D,$C491)="","",INDEX(GL!$D:$D,$C491))))</f>
        <v/>
      </c>
      <c r="G491" s="19" t="str">
        <f aca="false">IF(C491=0,"",IF($A491="Bank",INDEX(Bank!$E:$E,$C491),INDEX(GL!$E:$E,$C491)))</f>
        <v/>
      </c>
      <c r="H491" s="5" t="str">
        <f aca="false">IF(C491=0,"",IF(A491="GL",IF(G491&gt;0,"Deposit in transit","Outstanding check / payment"),IF(G491&gt;0,"Bank credit not in GL","Bank debit not in GL")))</f>
        <v/>
      </c>
      <c r="I491" s="42" t="str">
        <f aca="false">IF(OR(C491=0,CFG_PeriodEnd=""),"",CFG_PeriodEnd-D491)</f>
        <v/>
      </c>
      <c r="J491" s="5" t="str">
        <f aca="false">IF(C491=0,"",IF($A491="Bank",IF(INDEX(Bank!$G:$G,$C491)="","",INDEX(Bank!$G:$G,$C491)),IF(INDEX(GL!$G:$G,$C491)="","",INDEX(GL!$G:$G,$C491))))</f>
        <v/>
      </c>
      <c r="K491" s="5" t="str">
        <f aca="false">IF(C491=0,"",IF($A491="Bank",IF(INDEX(Bank!$I:$I,$C491)="","",INDEX(Bank!$I:$I,$C491)),IF(INDEX(GL!$I:$I,$C491)="","",INDEX(GL!$I:$I,$C491))))</f>
        <v/>
      </c>
      <c r="L491" s="5" t="str">
        <f aca="false">IF(B491="","",IF(C491=0,"NOT FOUND",IF(IF($A491="Bank",INDEX(Bank!$F:$F,$C491),INDEX(GL!$F:$F,$C491))="Y","NOW RECONCILED: refresh","OK")))</f>
        <v/>
      </c>
    </row>
    <row r="492" customFormat="false" ht="15" hidden="false" customHeight="false" outlineLevel="0" collapsed="false">
      <c r="A492" s="41"/>
      <c r="B492" s="41"/>
      <c r="C492" s="5" t="n">
        <f aca="false">IF(B492="",0,IF(A492="Bank",IFERROR(MATCH(B492,Bank!$A:$A,0),0),IFERROR(MATCH(B492,GL!$A:$A,0),0)))</f>
        <v>0</v>
      </c>
      <c r="D492" s="32" t="str">
        <f aca="false">IF(C492=0,"",IF($A492="Bank",INDEX(Bank!$B:$B,$C492),INDEX(GL!$B:$B,$C492)))</f>
        <v/>
      </c>
      <c r="E492" s="5" t="str">
        <f aca="false">IF(C492=0,"",IF($A492="Bank",IF(INDEX(Bank!$C:$C,$C492)="","",INDEX(Bank!$C:$C,$C492)),IF(INDEX(GL!$C:$C,$C492)="","",INDEX(GL!$C:$C,$C492))))</f>
        <v/>
      </c>
      <c r="F492" s="5" t="str">
        <f aca="false">IF(C492=0,"",IF($A492="Bank",IF(INDEX(Bank!$D:$D,$C492)="","",INDEX(Bank!$D:$D,$C492)),IF(INDEX(GL!$D:$D,$C492)="","",INDEX(GL!$D:$D,$C492))))</f>
        <v/>
      </c>
      <c r="G492" s="19" t="str">
        <f aca="false">IF(C492=0,"",IF($A492="Bank",INDEX(Bank!$E:$E,$C492),INDEX(GL!$E:$E,$C492)))</f>
        <v/>
      </c>
      <c r="H492" s="5" t="str">
        <f aca="false">IF(C492=0,"",IF(A492="GL",IF(G492&gt;0,"Deposit in transit","Outstanding check / payment"),IF(G492&gt;0,"Bank credit not in GL","Bank debit not in GL")))</f>
        <v/>
      </c>
      <c r="I492" s="42" t="str">
        <f aca="false">IF(OR(C492=0,CFG_PeriodEnd=""),"",CFG_PeriodEnd-D492)</f>
        <v/>
      </c>
      <c r="J492" s="5" t="str">
        <f aca="false">IF(C492=0,"",IF($A492="Bank",IF(INDEX(Bank!$G:$G,$C492)="","",INDEX(Bank!$G:$G,$C492)),IF(INDEX(GL!$G:$G,$C492)="","",INDEX(GL!$G:$G,$C492))))</f>
        <v/>
      </c>
      <c r="K492" s="5" t="str">
        <f aca="false">IF(C492=0,"",IF($A492="Bank",IF(INDEX(Bank!$I:$I,$C492)="","",INDEX(Bank!$I:$I,$C492)),IF(INDEX(GL!$I:$I,$C492)="","",INDEX(GL!$I:$I,$C492))))</f>
        <v/>
      </c>
      <c r="L492" s="5" t="str">
        <f aca="false">IF(B492="","",IF(C492=0,"NOT FOUND",IF(IF($A492="Bank",INDEX(Bank!$F:$F,$C492),INDEX(GL!$F:$F,$C492))="Y","NOW RECONCILED: refresh","OK")))</f>
        <v/>
      </c>
    </row>
    <row r="493" customFormat="false" ht="15" hidden="false" customHeight="false" outlineLevel="0" collapsed="false">
      <c r="A493" s="41"/>
      <c r="B493" s="41"/>
      <c r="C493" s="5" t="n">
        <f aca="false">IF(B493="",0,IF(A493="Bank",IFERROR(MATCH(B493,Bank!$A:$A,0),0),IFERROR(MATCH(B493,GL!$A:$A,0),0)))</f>
        <v>0</v>
      </c>
      <c r="D493" s="32" t="str">
        <f aca="false">IF(C493=0,"",IF($A493="Bank",INDEX(Bank!$B:$B,$C493),INDEX(GL!$B:$B,$C493)))</f>
        <v/>
      </c>
      <c r="E493" s="5" t="str">
        <f aca="false">IF(C493=0,"",IF($A493="Bank",IF(INDEX(Bank!$C:$C,$C493)="","",INDEX(Bank!$C:$C,$C493)),IF(INDEX(GL!$C:$C,$C493)="","",INDEX(GL!$C:$C,$C493))))</f>
        <v/>
      </c>
      <c r="F493" s="5" t="str">
        <f aca="false">IF(C493=0,"",IF($A493="Bank",IF(INDEX(Bank!$D:$D,$C493)="","",INDEX(Bank!$D:$D,$C493)),IF(INDEX(GL!$D:$D,$C493)="","",INDEX(GL!$D:$D,$C493))))</f>
        <v/>
      </c>
      <c r="G493" s="19" t="str">
        <f aca="false">IF(C493=0,"",IF($A493="Bank",INDEX(Bank!$E:$E,$C493),INDEX(GL!$E:$E,$C493)))</f>
        <v/>
      </c>
      <c r="H493" s="5" t="str">
        <f aca="false">IF(C493=0,"",IF(A493="GL",IF(G493&gt;0,"Deposit in transit","Outstanding check / payment"),IF(G493&gt;0,"Bank credit not in GL","Bank debit not in GL")))</f>
        <v/>
      </c>
      <c r="I493" s="42" t="str">
        <f aca="false">IF(OR(C493=0,CFG_PeriodEnd=""),"",CFG_PeriodEnd-D493)</f>
        <v/>
      </c>
      <c r="J493" s="5" t="str">
        <f aca="false">IF(C493=0,"",IF($A493="Bank",IF(INDEX(Bank!$G:$G,$C493)="","",INDEX(Bank!$G:$G,$C493)),IF(INDEX(GL!$G:$G,$C493)="","",INDEX(GL!$G:$G,$C493))))</f>
        <v/>
      </c>
      <c r="K493" s="5" t="str">
        <f aca="false">IF(C493=0,"",IF($A493="Bank",IF(INDEX(Bank!$I:$I,$C493)="","",INDEX(Bank!$I:$I,$C493)),IF(INDEX(GL!$I:$I,$C493)="","",INDEX(GL!$I:$I,$C493))))</f>
        <v/>
      </c>
      <c r="L493" s="5" t="str">
        <f aca="false">IF(B493="","",IF(C493=0,"NOT FOUND",IF(IF($A493="Bank",INDEX(Bank!$F:$F,$C493),INDEX(GL!$F:$F,$C493))="Y","NOW RECONCILED: refresh","OK")))</f>
        <v/>
      </c>
    </row>
    <row r="494" customFormat="false" ht="15" hidden="false" customHeight="false" outlineLevel="0" collapsed="false">
      <c r="A494" s="41"/>
      <c r="B494" s="41"/>
      <c r="C494" s="5" t="n">
        <f aca="false">IF(B494="",0,IF(A494="Bank",IFERROR(MATCH(B494,Bank!$A:$A,0),0),IFERROR(MATCH(B494,GL!$A:$A,0),0)))</f>
        <v>0</v>
      </c>
      <c r="D494" s="32" t="str">
        <f aca="false">IF(C494=0,"",IF($A494="Bank",INDEX(Bank!$B:$B,$C494),INDEX(GL!$B:$B,$C494)))</f>
        <v/>
      </c>
      <c r="E494" s="5" t="str">
        <f aca="false">IF(C494=0,"",IF($A494="Bank",IF(INDEX(Bank!$C:$C,$C494)="","",INDEX(Bank!$C:$C,$C494)),IF(INDEX(GL!$C:$C,$C494)="","",INDEX(GL!$C:$C,$C494))))</f>
        <v/>
      </c>
      <c r="F494" s="5" t="str">
        <f aca="false">IF(C494=0,"",IF($A494="Bank",IF(INDEX(Bank!$D:$D,$C494)="","",INDEX(Bank!$D:$D,$C494)),IF(INDEX(GL!$D:$D,$C494)="","",INDEX(GL!$D:$D,$C494))))</f>
        <v/>
      </c>
      <c r="G494" s="19" t="str">
        <f aca="false">IF(C494=0,"",IF($A494="Bank",INDEX(Bank!$E:$E,$C494),INDEX(GL!$E:$E,$C494)))</f>
        <v/>
      </c>
      <c r="H494" s="5" t="str">
        <f aca="false">IF(C494=0,"",IF(A494="GL",IF(G494&gt;0,"Deposit in transit","Outstanding check / payment"),IF(G494&gt;0,"Bank credit not in GL","Bank debit not in GL")))</f>
        <v/>
      </c>
      <c r="I494" s="42" t="str">
        <f aca="false">IF(OR(C494=0,CFG_PeriodEnd=""),"",CFG_PeriodEnd-D494)</f>
        <v/>
      </c>
      <c r="J494" s="5" t="str">
        <f aca="false">IF(C494=0,"",IF($A494="Bank",IF(INDEX(Bank!$G:$G,$C494)="","",INDEX(Bank!$G:$G,$C494)),IF(INDEX(GL!$G:$G,$C494)="","",INDEX(GL!$G:$G,$C494))))</f>
        <v/>
      </c>
      <c r="K494" s="5" t="str">
        <f aca="false">IF(C494=0,"",IF($A494="Bank",IF(INDEX(Bank!$I:$I,$C494)="","",INDEX(Bank!$I:$I,$C494)),IF(INDEX(GL!$I:$I,$C494)="","",INDEX(GL!$I:$I,$C494))))</f>
        <v/>
      </c>
      <c r="L494" s="5" t="str">
        <f aca="false">IF(B494="","",IF(C494=0,"NOT FOUND",IF(IF($A494="Bank",INDEX(Bank!$F:$F,$C494),INDEX(GL!$F:$F,$C494))="Y","NOW RECONCILED: refresh","OK")))</f>
        <v/>
      </c>
    </row>
    <row r="495" customFormat="false" ht="15" hidden="false" customHeight="false" outlineLevel="0" collapsed="false">
      <c r="A495" s="41"/>
      <c r="B495" s="41"/>
      <c r="C495" s="5" t="n">
        <f aca="false">IF(B495="",0,IF(A495="Bank",IFERROR(MATCH(B495,Bank!$A:$A,0),0),IFERROR(MATCH(B495,GL!$A:$A,0),0)))</f>
        <v>0</v>
      </c>
      <c r="D495" s="32" t="str">
        <f aca="false">IF(C495=0,"",IF($A495="Bank",INDEX(Bank!$B:$B,$C495),INDEX(GL!$B:$B,$C495)))</f>
        <v/>
      </c>
      <c r="E495" s="5" t="str">
        <f aca="false">IF(C495=0,"",IF($A495="Bank",IF(INDEX(Bank!$C:$C,$C495)="","",INDEX(Bank!$C:$C,$C495)),IF(INDEX(GL!$C:$C,$C495)="","",INDEX(GL!$C:$C,$C495))))</f>
        <v/>
      </c>
      <c r="F495" s="5" t="str">
        <f aca="false">IF(C495=0,"",IF($A495="Bank",IF(INDEX(Bank!$D:$D,$C495)="","",INDEX(Bank!$D:$D,$C495)),IF(INDEX(GL!$D:$D,$C495)="","",INDEX(GL!$D:$D,$C495))))</f>
        <v/>
      </c>
      <c r="G495" s="19" t="str">
        <f aca="false">IF(C495=0,"",IF($A495="Bank",INDEX(Bank!$E:$E,$C495),INDEX(GL!$E:$E,$C495)))</f>
        <v/>
      </c>
      <c r="H495" s="5" t="str">
        <f aca="false">IF(C495=0,"",IF(A495="GL",IF(G495&gt;0,"Deposit in transit","Outstanding check / payment"),IF(G495&gt;0,"Bank credit not in GL","Bank debit not in GL")))</f>
        <v/>
      </c>
      <c r="I495" s="42" t="str">
        <f aca="false">IF(OR(C495=0,CFG_PeriodEnd=""),"",CFG_PeriodEnd-D495)</f>
        <v/>
      </c>
      <c r="J495" s="5" t="str">
        <f aca="false">IF(C495=0,"",IF($A495="Bank",IF(INDEX(Bank!$G:$G,$C495)="","",INDEX(Bank!$G:$G,$C495)),IF(INDEX(GL!$G:$G,$C495)="","",INDEX(GL!$G:$G,$C495))))</f>
        <v/>
      </c>
      <c r="K495" s="5" t="str">
        <f aca="false">IF(C495=0,"",IF($A495="Bank",IF(INDEX(Bank!$I:$I,$C495)="","",INDEX(Bank!$I:$I,$C495)),IF(INDEX(GL!$I:$I,$C495)="","",INDEX(GL!$I:$I,$C495))))</f>
        <v/>
      </c>
      <c r="L495" s="5" t="str">
        <f aca="false">IF(B495="","",IF(C495=0,"NOT FOUND",IF(IF($A495="Bank",INDEX(Bank!$F:$F,$C495),INDEX(GL!$F:$F,$C495))="Y","NOW RECONCILED: refresh","OK")))</f>
        <v/>
      </c>
    </row>
    <row r="496" customFormat="false" ht="15" hidden="false" customHeight="false" outlineLevel="0" collapsed="false">
      <c r="A496" s="41"/>
      <c r="B496" s="41"/>
      <c r="C496" s="5" t="n">
        <f aca="false">IF(B496="",0,IF(A496="Bank",IFERROR(MATCH(B496,Bank!$A:$A,0),0),IFERROR(MATCH(B496,GL!$A:$A,0),0)))</f>
        <v>0</v>
      </c>
      <c r="D496" s="32" t="str">
        <f aca="false">IF(C496=0,"",IF($A496="Bank",INDEX(Bank!$B:$B,$C496),INDEX(GL!$B:$B,$C496)))</f>
        <v/>
      </c>
      <c r="E496" s="5" t="str">
        <f aca="false">IF(C496=0,"",IF($A496="Bank",IF(INDEX(Bank!$C:$C,$C496)="","",INDEX(Bank!$C:$C,$C496)),IF(INDEX(GL!$C:$C,$C496)="","",INDEX(GL!$C:$C,$C496))))</f>
        <v/>
      </c>
      <c r="F496" s="5" t="str">
        <f aca="false">IF(C496=0,"",IF($A496="Bank",IF(INDEX(Bank!$D:$D,$C496)="","",INDEX(Bank!$D:$D,$C496)),IF(INDEX(GL!$D:$D,$C496)="","",INDEX(GL!$D:$D,$C496))))</f>
        <v/>
      </c>
      <c r="G496" s="19" t="str">
        <f aca="false">IF(C496=0,"",IF($A496="Bank",INDEX(Bank!$E:$E,$C496),INDEX(GL!$E:$E,$C496)))</f>
        <v/>
      </c>
      <c r="H496" s="5" t="str">
        <f aca="false">IF(C496=0,"",IF(A496="GL",IF(G496&gt;0,"Deposit in transit","Outstanding check / payment"),IF(G496&gt;0,"Bank credit not in GL","Bank debit not in GL")))</f>
        <v/>
      </c>
      <c r="I496" s="42" t="str">
        <f aca="false">IF(OR(C496=0,CFG_PeriodEnd=""),"",CFG_PeriodEnd-D496)</f>
        <v/>
      </c>
      <c r="J496" s="5" t="str">
        <f aca="false">IF(C496=0,"",IF($A496="Bank",IF(INDEX(Bank!$G:$G,$C496)="","",INDEX(Bank!$G:$G,$C496)),IF(INDEX(GL!$G:$G,$C496)="","",INDEX(GL!$G:$G,$C496))))</f>
        <v/>
      </c>
      <c r="K496" s="5" t="str">
        <f aca="false">IF(C496=0,"",IF($A496="Bank",IF(INDEX(Bank!$I:$I,$C496)="","",INDEX(Bank!$I:$I,$C496)),IF(INDEX(GL!$I:$I,$C496)="","",INDEX(GL!$I:$I,$C496))))</f>
        <v/>
      </c>
      <c r="L496" s="5" t="str">
        <f aca="false">IF(B496="","",IF(C496=0,"NOT FOUND",IF(IF($A496="Bank",INDEX(Bank!$F:$F,$C496),INDEX(GL!$F:$F,$C496))="Y","NOW RECONCILED: refresh","OK")))</f>
        <v/>
      </c>
    </row>
    <row r="497" customFormat="false" ht="15" hidden="false" customHeight="false" outlineLevel="0" collapsed="false">
      <c r="A497" s="41"/>
      <c r="B497" s="41"/>
      <c r="C497" s="5" t="n">
        <f aca="false">IF(B497="",0,IF(A497="Bank",IFERROR(MATCH(B497,Bank!$A:$A,0),0),IFERROR(MATCH(B497,GL!$A:$A,0),0)))</f>
        <v>0</v>
      </c>
      <c r="D497" s="32" t="str">
        <f aca="false">IF(C497=0,"",IF($A497="Bank",INDEX(Bank!$B:$B,$C497),INDEX(GL!$B:$B,$C497)))</f>
        <v/>
      </c>
      <c r="E497" s="5" t="str">
        <f aca="false">IF(C497=0,"",IF($A497="Bank",IF(INDEX(Bank!$C:$C,$C497)="","",INDEX(Bank!$C:$C,$C497)),IF(INDEX(GL!$C:$C,$C497)="","",INDEX(GL!$C:$C,$C497))))</f>
        <v/>
      </c>
      <c r="F497" s="5" t="str">
        <f aca="false">IF(C497=0,"",IF($A497="Bank",IF(INDEX(Bank!$D:$D,$C497)="","",INDEX(Bank!$D:$D,$C497)),IF(INDEX(GL!$D:$D,$C497)="","",INDEX(GL!$D:$D,$C497))))</f>
        <v/>
      </c>
      <c r="G497" s="19" t="str">
        <f aca="false">IF(C497=0,"",IF($A497="Bank",INDEX(Bank!$E:$E,$C497),INDEX(GL!$E:$E,$C497)))</f>
        <v/>
      </c>
      <c r="H497" s="5" t="str">
        <f aca="false">IF(C497=0,"",IF(A497="GL",IF(G497&gt;0,"Deposit in transit","Outstanding check / payment"),IF(G497&gt;0,"Bank credit not in GL","Bank debit not in GL")))</f>
        <v/>
      </c>
      <c r="I497" s="42" t="str">
        <f aca="false">IF(OR(C497=0,CFG_PeriodEnd=""),"",CFG_PeriodEnd-D497)</f>
        <v/>
      </c>
      <c r="J497" s="5" t="str">
        <f aca="false">IF(C497=0,"",IF($A497="Bank",IF(INDEX(Bank!$G:$G,$C497)="","",INDEX(Bank!$G:$G,$C497)),IF(INDEX(GL!$G:$G,$C497)="","",INDEX(GL!$G:$G,$C497))))</f>
        <v/>
      </c>
      <c r="K497" s="5" t="str">
        <f aca="false">IF(C497=0,"",IF($A497="Bank",IF(INDEX(Bank!$I:$I,$C497)="","",INDEX(Bank!$I:$I,$C497)),IF(INDEX(GL!$I:$I,$C497)="","",INDEX(GL!$I:$I,$C497))))</f>
        <v/>
      </c>
      <c r="L497" s="5" t="str">
        <f aca="false">IF(B497="","",IF(C497=0,"NOT FOUND",IF(IF($A497="Bank",INDEX(Bank!$F:$F,$C497),INDEX(GL!$F:$F,$C497))="Y","NOW RECONCILED: refresh","OK")))</f>
        <v/>
      </c>
    </row>
    <row r="498" customFormat="false" ht="15" hidden="false" customHeight="false" outlineLevel="0" collapsed="false">
      <c r="A498" s="41"/>
      <c r="B498" s="41"/>
      <c r="C498" s="5" t="n">
        <f aca="false">IF(B498="",0,IF(A498="Bank",IFERROR(MATCH(B498,Bank!$A:$A,0),0),IFERROR(MATCH(B498,GL!$A:$A,0),0)))</f>
        <v>0</v>
      </c>
      <c r="D498" s="32" t="str">
        <f aca="false">IF(C498=0,"",IF($A498="Bank",INDEX(Bank!$B:$B,$C498),INDEX(GL!$B:$B,$C498)))</f>
        <v/>
      </c>
      <c r="E498" s="5" t="str">
        <f aca="false">IF(C498=0,"",IF($A498="Bank",IF(INDEX(Bank!$C:$C,$C498)="","",INDEX(Bank!$C:$C,$C498)),IF(INDEX(GL!$C:$C,$C498)="","",INDEX(GL!$C:$C,$C498))))</f>
        <v/>
      </c>
      <c r="F498" s="5" t="str">
        <f aca="false">IF(C498=0,"",IF($A498="Bank",IF(INDEX(Bank!$D:$D,$C498)="","",INDEX(Bank!$D:$D,$C498)),IF(INDEX(GL!$D:$D,$C498)="","",INDEX(GL!$D:$D,$C498))))</f>
        <v/>
      </c>
      <c r="G498" s="19" t="str">
        <f aca="false">IF(C498=0,"",IF($A498="Bank",INDEX(Bank!$E:$E,$C498),INDEX(GL!$E:$E,$C498)))</f>
        <v/>
      </c>
      <c r="H498" s="5" t="str">
        <f aca="false">IF(C498=0,"",IF(A498="GL",IF(G498&gt;0,"Deposit in transit","Outstanding check / payment"),IF(G498&gt;0,"Bank credit not in GL","Bank debit not in GL")))</f>
        <v/>
      </c>
      <c r="I498" s="42" t="str">
        <f aca="false">IF(OR(C498=0,CFG_PeriodEnd=""),"",CFG_PeriodEnd-D498)</f>
        <v/>
      </c>
      <c r="J498" s="5" t="str">
        <f aca="false">IF(C498=0,"",IF($A498="Bank",IF(INDEX(Bank!$G:$G,$C498)="","",INDEX(Bank!$G:$G,$C498)),IF(INDEX(GL!$G:$G,$C498)="","",INDEX(GL!$G:$G,$C498))))</f>
        <v/>
      </c>
      <c r="K498" s="5" t="str">
        <f aca="false">IF(C498=0,"",IF($A498="Bank",IF(INDEX(Bank!$I:$I,$C498)="","",INDEX(Bank!$I:$I,$C498)),IF(INDEX(GL!$I:$I,$C498)="","",INDEX(GL!$I:$I,$C498))))</f>
        <v/>
      </c>
      <c r="L498" s="5" t="str">
        <f aca="false">IF(B498="","",IF(C498=0,"NOT FOUND",IF(IF($A498="Bank",INDEX(Bank!$F:$F,$C498),INDEX(GL!$F:$F,$C498))="Y","NOW RECONCILED: refresh","OK")))</f>
        <v/>
      </c>
    </row>
    <row r="499" customFormat="false" ht="15" hidden="false" customHeight="false" outlineLevel="0" collapsed="false">
      <c r="A499" s="41"/>
      <c r="B499" s="41"/>
      <c r="C499" s="5" t="n">
        <f aca="false">IF(B499="",0,IF(A499="Bank",IFERROR(MATCH(B499,Bank!$A:$A,0),0),IFERROR(MATCH(B499,GL!$A:$A,0),0)))</f>
        <v>0</v>
      </c>
      <c r="D499" s="32" t="str">
        <f aca="false">IF(C499=0,"",IF($A499="Bank",INDEX(Bank!$B:$B,$C499),INDEX(GL!$B:$B,$C499)))</f>
        <v/>
      </c>
      <c r="E499" s="5" t="str">
        <f aca="false">IF(C499=0,"",IF($A499="Bank",IF(INDEX(Bank!$C:$C,$C499)="","",INDEX(Bank!$C:$C,$C499)),IF(INDEX(GL!$C:$C,$C499)="","",INDEX(GL!$C:$C,$C499))))</f>
        <v/>
      </c>
      <c r="F499" s="5" t="str">
        <f aca="false">IF(C499=0,"",IF($A499="Bank",IF(INDEX(Bank!$D:$D,$C499)="","",INDEX(Bank!$D:$D,$C499)),IF(INDEX(GL!$D:$D,$C499)="","",INDEX(GL!$D:$D,$C499))))</f>
        <v/>
      </c>
      <c r="G499" s="19" t="str">
        <f aca="false">IF(C499=0,"",IF($A499="Bank",INDEX(Bank!$E:$E,$C499),INDEX(GL!$E:$E,$C499)))</f>
        <v/>
      </c>
      <c r="H499" s="5" t="str">
        <f aca="false">IF(C499=0,"",IF(A499="GL",IF(G499&gt;0,"Deposit in transit","Outstanding check / payment"),IF(G499&gt;0,"Bank credit not in GL","Bank debit not in GL")))</f>
        <v/>
      </c>
      <c r="I499" s="42" t="str">
        <f aca="false">IF(OR(C499=0,CFG_PeriodEnd=""),"",CFG_PeriodEnd-D499)</f>
        <v/>
      </c>
      <c r="J499" s="5" t="str">
        <f aca="false">IF(C499=0,"",IF($A499="Bank",IF(INDEX(Bank!$G:$G,$C499)="","",INDEX(Bank!$G:$G,$C499)),IF(INDEX(GL!$G:$G,$C499)="","",INDEX(GL!$G:$G,$C499))))</f>
        <v/>
      </c>
      <c r="K499" s="5" t="str">
        <f aca="false">IF(C499=0,"",IF($A499="Bank",IF(INDEX(Bank!$I:$I,$C499)="","",INDEX(Bank!$I:$I,$C499)),IF(INDEX(GL!$I:$I,$C499)="","",INDEX(GL!$I:$I,$C499))))</f>
        <v/>
      </c>
      <c r="L499" s="5" t="str">
        <f aca="false">IF(B499="","",IF(C499=0,"NOT FOUND",IF(IF($A499="Bank",INDEX(Bank!$F:$F,$C499),INDEX(GL!$F:$F,$C499))="Y","NOW RECONCILED: refresh","OK")))</f>
        <v/>
      </c>
    </row>
    <row r="500" customFormat="false" ht="15" hidden="false" customHeight="false" outlineLevel="0" collapsed="false">
      <c r="A500" s="41"/>
      <c r="B500" s="41"/>
      <c r="C500" s="5" t="n">
        <f aca="false">IF(B500="",0,IF(A500="Bank",IFERROR(MATCH(B500,Bank!$A:$A,0),0),IFERROR(MATCH(B500,GL!$A:$A,0),0)))</f>
        <v>0</v>
      </c>
      <c r="D500" s="32" t="str">
        <f aca="false">IF(C500=0,"",IF($A500="Bank",INDEX(Bank!$B:$B,$C500),INDEX(GL!$B:$B,$C500)))</f>
        <v/>
      </c>
      <c r="E500" s="5" t="str">
        <f aca="false">IF(C500=0,"",IF($A500="Bank",IF(INDEX(Bank!$C:$C,$C500)="","",INDEX(Bank!$C:$C,$C500)),IF(INDEX(GL!$C:$C,$C500)="","",INDEX(GL!$C:$C,$C500))))</f>
        <v/>
      </c>
      <c r="F500" s="5" t="str">
        <f aca="false">IF(C500=0,"",IF($A500="Bank",IF(INDEX(Bank!$D:$D,$C500)="","",INDEX(Bank!$D:$D,$C500)),IF(INDEX(GL!$D:$D,$C500)="","",INDEX(GL!$D:$D,$C500))))</f>
        <v/>
      </c>
      <c r="G500" s="19" t="str">
        <f aca="false">IF(C500=0,"",IF($A500="Bank",INDEX(Bank!$E:$E,$C500),INDEX(GL!$E:$E,$C500)))</f>
        <v/>
      </c>
      <c r="H500" s="5" t="str">
        <f aca="false">IF(C500=0,"",IF(A500="GL",IF(G500&gt;0,"Deposit in transit","Outstanding check / payment"),IF(G500&gt;0,"Bank credit not in GL","Bank debit not in GL")))</f>
        <v/>
      </c>
      <c r="I500" s="42" t="str">
        <f aca="false">IF(OR(C500=0,CFG_PeriodEnd=""),"",CFG_PeriodEnd-D500)</f>
        <v/>
      </c>
      <c r="J500" s="5" t="str">
        <f aca="false">IF(C500=0,"",IF($A500="Bank",IF(INDEX(Bank!$G:$G,$C500)="","",INDEX(Bank!$G:$G,$C500)),IF(INDEX(GL!$G:$G,$C500)="","",INDEX(GL!$G:$G,$C500))))</f>
        <v/>
      </c>
      <c r="K500" s="5" t="str">
        <f aca="false">IF(C500=0,"",IF($A500="Bank",IF(INDEX(Bank!$I:$I,$C500)="","",INDEX(Bank!$I:$I,$C500)),IF(INDEX(GL!$I:$I,$C500)="","",INDEX(GL!$I:$I,$C500))))</f>
        <v/>
      </c>
      <c r="L500" s="5" t="str">
        <f aca="false">IF(B500="","",IF(C500=0,"NOT FOUND",IF(IF($A500="Bank",INDEX(Bank!$F:$F,$C500),INDEX(GL!$F:$F,$C500))="Y","NOW RECONCILED: refresh","OK")))</f>
        <v/>
      </c>
    </row>
    <row r="501" customFormat="false" ht="15" hidden="false" customHeight="false" outlineLevel="0" collapsed="false">
      <c r="A501" s="41"/>
      <c r="B501" s="41"/>
      <c r="C501" s="5" t="n">
        <f aca="false">IF(B501="",0,IF(A501="Bank",IFERROR(MATCH(B501,Bank!$A:$A,0),0),IFERROR(MATCH(B501,GL!$A:$A,0),0)))</f>
        <v>0</v>
      </c>
      <c r="D501" s="32" t="str">
        <f aca="false">IF(C501=0,"",IF($A501="Bank",INDEX(Bank!$B:$B,$C501),INDEX(GL!$B:$B,$C501)))</f>
        <v/>
      </c>
      <c r="E501" s="5" t="str">
        <f aca="false">IF(C501=0,"",IF($A501="Bank",IF(INDEX(Bank!$C:$C,$C501)="","",INDEX(Bank!$C:$C,$C501)),IF(INDEX(GL!$C:$C,$C501)="","",INDEX(GL!$C:$C,$C501))))</f>
        <v/>
      </c>
      <c r="F501" s="5" t="str">
        <f aca="false">IF(C501=0,"",IF($A501="Bank",IF(INDEX(Bank!$D:$D,$C501)="","",INDEX(Bank!$D:$D,$C501)),IF(INDEX(GL!$D:$D,$C501)="","",INDEX(GL!$D:$D,$C501))))</f>
        <v/>
      </c>
      <c r="G501" s="19" t="str">
        <f aca="false">IF(C501=0,"",IF($A501="Bank",INDEX(Bank!$E:$E,$C501),INDEX(GL!$E:$E,$C501)))</f>
        <v/>
      </c>
      <c r="H501" s="5" t="str">
        <f aca="false">IF(C501=0,"",IF(A501="GL",IF(G501&gt;0,"Deposit in transit","Outstanding check / payment"),IF(G501&gt;0,"Bank credit not in GL","Bank debit not in GL")))</f>
        <v/>
      </c>
      <c r="I501" s="42" t="str">
        <f aca="false">IF(OR(C501=0,CFG_PeriodEnd=""),"",CFG_PeriodEnd-D501)</f>
        <v/>
      </c>
      <c r="J501" s="5" t="str">
        <f aca="false">IF(C501=0,"",IF($A501="Bank",IF(INDEX(Bank!$G:$G,$C501)="","",INDEX(Bank!$G:$G,$C501)),IF(INDEX(GL!$G:$G,$C501)="","",INDEX(GL!$G:$G,$C501))))</f>
        <v/>
      </c>
      <c r="K501" s="5" t="str">
        <f aca="false">IF(C501=0,"",IF($A501="Bank",IF(INDEX(Bank!$I:$I,$C501)="","",INDEX(Bank!$I:$I,$C501)),IF(INDEX(GL!$I:$I,$C501)="","",INDEX(GL!$I:$I,$C501))))</f>
        <v/>
      </c>
      <c r="L501" s="5" t="str">
        <f aca="false">IF(B501="","",IF(C501=0,"NOT FOUND",IF(IF($A501="Bank",INDEX(Bank!$F:$F,$C501),INDEX(GL!$F:$F,$C501))="Y","NOW RECONCILED: refresh","OK")))</f>
        <v/>
      </c>
    </row>
    <row r="502" customFormat="false" ht="15" hidden="false" customHeight="false" outlineLevel="0" collapsed="false">
      <c r="A502" s="41"/>
      <c r="B502" s="41"/>
      <c r="C502" s="5" t="n">
        <f aca="false">IF(B502="",0,IF(A502="Bank",IFERROR(MATCH(B502,Bank!$A:$A,0),0),IFERROR(MATCH(B502,GL!$A:$A,0),0)))</f>
        <v>0</v>
      </c>
      <c r="D502" s="32" t="str">
        <f aca="false">IF(C502=0,"",IF($A502="Bank",INDEX(Bank!$B:$B,$C502),INDEX(GL!$B:$B,$C502)))</f>
        <v/>
      </c>
      <c r="E502" s="5" t="str">
        <f aca="false">IF(C502=0,"",IF($A502="Bank",IF(INDEX(Bank!$C:$C,$C502)="","",INDEX(Bank!$C:$C,$C502)),IF(INDEX(GL!$C:$C,$C502)="","",INDEX(GL!$C:$C,$C502))))</f>
        <v/>
      </c>
      <c r="F502" s="5" t="str">
        <f aca="false">IF(C502=0,"",IF($A502="Bank",IF(INDEX(Bank!$D:$D,$C502)="","",INDEX(Bank!$D:$D,$C502)),IF(INDEX(GL!$D:$D,$C502)="","",INDEX(GL!$D:$D,$C502))))</f>
        <v/>
      </c>
      <c r="G502" s="19" t="str">
        <f aca="false">IF(C502=0,"",IF($A502="Bank",INDEX(Bank!$E:$E,$C502),INDEX(GL!$E:$E,$C502)))</f>
        <v/>
      </c>
      <c r="H502" s="5" t="str">
        <f aca="false">IF(C502=0,"",IF(A502="GL",IF(G502&gt;0,"Deposit in transit","Outstanding check / payment"),IF(G502&gt;0,"Bank credit not in GL","Bank debit not in GL")))</f>
        <v/>
      </c>
      <c r="I502" s="42" t="str">
        <f aca="false">IF(OR(C502=0,CFG_PeriodEnd=""),"",CFG_PeriodEnd-D502)</f>
        <v/>
      </c>
      <c r="J502" s="5" t="str">
        <f aca="false">IF(C502=0,"",IF($A502="Bank",IF(INDEX(Bank!$G:$G,$C502)="","",INDEX(Bank!$G:$G,$C502)),IF(INDEX(GL!$G:$G,$C502)="","",INDEX(GL!$G:$G,$C502))))</f>
        <v/>
      </c>
      <c r="K502" s="5" t="str">
        <f aca="false">IF(C502=0,"",IF($A502="Bank",IF(INDEX(Bank!$I:$I,$C502)="","",INDEX(Bank!$I:$I,$C502)),IF(INDEX(GL!$I:$I,$C502)="","",INDEX(GL!$I:$I,$C502))))</f>
        <v/>
      </c>
      <c r="L502" s="5" t="str">
        <f aca="false">IF(B502="","",IF(C502=0,"NOT FOUND",IF(IF($A502="Bank",INDEX(Bank!$F:$F,$C502),INDEX(GL!$F:$F,$C502))="Y","NOW RECONCILED: refresh","OK")))</f>
        <v/>
      </c>
    </row>
    <row r="503" customFormat="false" ht="15" hidden="false" customHeight="false" outlineLevel="0" collapsed="false">
      <c r="A503" s="41"/>
      <c r="B503" s="41"/>
      <c r="C503" s="5" t="n">
        <f aca="false">IF(B503="",0,IF(A503="Bank",IFERROR(MATCH(B503,Bank!$A:$A,0),0),IFERROR(MATCH(B503,GL!$A:$A,0),0)))</f>
        <v>0</v>
      </c>
      <c r="D503" s="32" t="str">
        <f aca="false">IF(C503=0,"",IF($A503="Bank",INDEX(Bank!$B:$B,$C503),INDEX(GL!$B:$B,$C503)))</f>
        <v/>
      </c>
      <c r="E503" s="5" t="str">
        <f aca="false">IF(C503=0,"",IF($A503="Bank",IF(INDEX(Bank!$C:$C,$C503)="","",INDEX(Bank!$C:$C,$C503)),IF(INDEX(GL!$C:$C,$C503)="","",INDEX(GL!$C:$C,$C503))))</f>
        <v/>
      </c>
      <c r="F503" s="5" t="str">
        <f aca="false">IF(C503=0,"",IF($A503="Bank",IF(INDEX(Bank!$D:$D,$C503)="","",INDEX(Bank!$D:$D,$C503)),IF(INDEX(GL!$D:$D,$C503)="","",INDEX(GL!$D:$D,$C503))))</f>
        <v/>
      </c>
      <c r="G503" s="19" t="str">
        <f aca="false">IF(C503=0,"",IF($A503="Bank",INDEX(Bank!$E:$E,$C503),INDEX(GL!$E:$E,$C503)))</f>
        <v/>
      </c>
      <c r="H503" s="5" t="str">
        <f aca="false">IF(C503=0,"",IF(A503="GL",IF(G503&gt;0,"Deposit in transit","Outstanding check / payment"),IF(G503&gt;0,"Bank credit not in GL","Bank debit not in GL")))</f>
        <v/>
      </c>
      <c r="I503" s="42" t="str">
        <f aca="false">IF(OR(C503=0,CFG_PeriodEnd=""),"",CFG_PeriodEnd-D503)</f>
        <v/>
      </c>
      <c r="J503" s="5" t="str">
        <f aca="false">IF(C503=0,"",IF($A503="Bank",IF(INDEX(Bank!$G:$G,$C503)="","",INDEX(Bank!$G:$G,$C503)),IF(INDEX(GL!$G:$G,$C503)="","",INDEX(GL!$G:$G,$C503))))</f>
        <v/>
      </c>
      <c r="K503" s="5" t="str">
        <f aca="false">IF(C503=0,"",IF($A503="Bank",IF(INDEX(Bank!$I:$I,$C503)="","",INDEX(Bank!$I:$I,$C503)),IF(INDEX(GL!$I:$I,$C503)="","",INDEX(GL!$I:$I,$C503))))</f>
        <v/>
      </c>
      <c r="L503" s="5" t="str">
        <f aca="false">IF(B503="","",IF(C503=0,"NOT FOUND",IF(IF($A503="Bank",INDEX(Bank!$F:$F,$C503),INDEX(GL!$F:$F,$C503))="Y","NOW RECONCILED: refresh","OK")))</f>
        <v/>
      </c>
    </row>
    <row r="504" customFormat="false" ht="15" hidden="false" customHeight="false" outlineLevel="0" collapsed="false">
      <c r="A504" s="41"/>
      <c r="B504" s="41"/>
      <c r="C504" s="5" t="n">
        <f aca="false">IF(B504="",0,IF(A504="Bank",IFERROR(MATCH(B504,Bank!$A:$A,0),0),IFERROR(MATCH(B504,GL!$A:$A,0),0)))</f>
        <v>0</v>
      </c>
      <c r="D504" s="32" t="str">
        <f aca="false">IF(C504=0,"",IF($A504="Bank",INDEX(Bank!$B:$B,$C504),INDEX(GL!$B:$B,$C504)))</f>
        <v/>
      </c>
      <c r="E504" s="5" t="str">
        <f aca="false">IF(C504=0,"",IF($A504="Bank",IF(INDEX(Bank!$C:$C,$C504)="","",INDEX(Bank!$C:$C,$C504)),IF(INDEX(GL!$C:$C,$C504)="","",INDEX(GL!$C:$C,$C504))))</f>
        <v/>
      </c>
      <c r="F504" s="5" t="str">
        <f aca="false">IF(C504=0,"",IF($A504="Bank",IF(INDEX(Bank!$D:$D,$C504)="","",INDEX(Bank!$D:$D,$C504)),IF(INDEX(GL!$D:$D,$C504)="","",INDEX(GL!$D:$D,$C504))))</f>
        <v/>
      </c>
      <c r="G504" s="19" t="str">
        <f aca="false">IF(C504=0,"",IF($A504="Bank",INDEX(Bank!$E:$E,$C504),INDEX(GL!$E:$E,$C504)))</f>
        <v/>
      </c>
      <c r="H504" s="5" t="str">
        <f aca="false">IF(C504=0,"",IF(A504="GL",IF(G504&gt;0,"Deposit in transit","Outstanding check / payment"),IF(G504&gt;0,"Bank credit not in GL","Bank debit not in GL")))</f>
        <v/>
      </c>
      <c r="I504" s="42" t="str">
        <f aca="false">IF(OR(C504=0,CFG_PeriodEnd=""),"",CFG_PeriodEnd-D504)</f>
        <v/>
      </c>
      <c r="J504" s="5" t="str">
        <f aca="false">IF(C504=0,"",IF($A504="Bank",IF(INDEX(Bank!$G:$G,$C504)="","",INDEX(Bank!$G:$G,$C504)),IF(INDEX(GL!$G:$G,$C504)="","",INDEX(GL!$G:$G,$C504))))</f>
        <v/>
      </c>
      <c r="K504" s="5" t="str">
        <f aca="false">IF(C504=0,"",IF($A504="Bank",IF(INDEX(Bank!$I:$I,$C504)="","",INDEX(Bank!$I:$I,$C504)),IF(INDEX(GL!$I:$I,$C504)="","",INDEX(GL!$I:$I,$C504))))</f>
        <v/>
      </c>
      <c r="L504" s="5" t="str">
        <f aca="false">IF(B504="","",IF(C504=0,"NOT FOUND",IF(IF($A504="Bank",INDEX(Bank!$F:$F,$C504),INDEX(GL!$F:$F,$C504))="Y","NOW RECONCILED: refresh","OK")))</f>
        <v/>
      </c>
    </row>
    <row r="505" customFormat="false" ht="15" hidden="false" customHeight="false" outlineLevel="0" collapsed="false">
      <c r="A505" s="41"/>
      <c r="B505" s="41"/>
      <c r="C505" s="5" t="n">
        <f aca="false">IF(B505="",0,IF(A505="Bank",IFERROR(MATCH(B505,Bank!$A:$A,0),0),IFERROR(MATCH(B505,GL!$A:$A,0),0)))</f>
        <v>0</v>
      </c>
      <c r="D505" s="32" t="str">
        <f aca="false">IF(C505=0,"",IF($A505="Bank",INDEX(Bank!$B:$B,$C505),INDEX(GL!$B:$B,$C505)))</f>
        <v/>
      </c>
      <c r="E505" s="5" t="str">
        <f aca="false">IF(C505=0,"",IF($A505="Bank",IF(INDEX(Bank!$C:$C,$C505)="","",INDEX(Bank!$C:$C,$C505)),IF(INDEX(GL!$C:$C,$C505)="","",INDEX(GL!$C:$C,$C505))))</f>
        <v/>
      </c>
      <c r="F505" s="5" t="str">
        <f aca="false">IF(C505=0,"",IF($A505="Bank",IF(INDEX(Bank!$D:$D,$C505)="","",INDEX(Bank!$D:$D,$C505)),IF(INDEX(GL!$D:$D,$C505)="","",INDEX(GL!$D:$D,$C505))))</f>
        <v/>
      </c>
      <c r="G505" s="19" t="str">
        <f aca="false">IF(C505=0,"",IF($A505="Bank",INDEX(Bank!$E:$E,$C505),INDEX(GL!$E:$E,$C505)))</f>
        <v/>
      </c>
      <c r="H505" s="5" t="str">
        <f aca="false">IF(C505=0,"",IF(A505="GL",IF(G505&gt;0,"Deposit in transit","Outstanding check / payment"),IF(G505&gt;0,"Bank credit not in GL","Bank debit not in GL")))</f>
        <v/>
      </c>
      <c r="I505" s="42" t="str">
        <f aca="false">IF(OR(C505=0,CFG_PeriodEnd=""),"",CFG_PeriodEnd-D505)</f>
        <v/>
      </c>
      <c r="J505" s="5" t="str">
        <f aca="false">IF(C505=0,"",IF($A505="Bank",IF(INDEX(Bank!$G:$G,$C505)="","",INDEX(Bank!$G:$G,$C505)),IF(INDEX(GL!$G:$G,$C505)="","",INDEX(GL!$G:$G,$C505))))</f>
        <v/>
      </c>
      <c r="K505" s="5" t="str">
        <f aca="false">IF(C505=0,"",IF($A505="Bank",IF(INDEX(Bank!$I:$I,$C505)="","",INDEX(Bank!$I:$I,$C505)),IF(INDEX(GL!$I:$I,$C505)="","",INDEX(GL!$I:$I,$C505))))</f>
        <v/>
      </c>
      <c r="L505" s="5" t="str">
        <f aca="false">IF(B505="","",IF(C505=0,"NOT FOUND",IF(IF($A505="Bank",INDEX(Bank!$F:$F,$C505),INDEX(GL!$F:$F,$C505))="Y","NOW RECONCILED: refresh","OK")))</f>
        <v/>
      </c>
    </row>
    <row r="506" customFormat="false" ht="15" hidden="false" customHeight="false" outlineLevel="0" collapsed="false">
      <c r="A506" s="41"/>
      <c r="B506" s="41"/>
      <c r="C506" s="5" t="n">
        <f aca="false">IF(B506="",0,IF(A506="Bank",IFERROR(MATCH(B506,Bank!$A:$A,0),0),IFERROR(MATCH(B506,GL!$A:$A,0),0)))</f>
        <v>0</v>
      </c>
      <c r="D506" s="32" t="str">
        <f aca="false">IF(C506=0,"",IF($A506="Bank",INDEX(Bank!$B:$B,$C506),INDEX(GL!$B:$B,$C506)))</f>
        <v/>
      </c>
      <c r="E506" s="5" t="str">
        <f aca="false">IF(C506=0,"",IF($A506="Bank",IF(INDEX(Bank!$C:$C,$C506)="","",INDEX(Bank!$C:$C,$C506)),IF(INDEX(GL!$C:$C,$C506)="","",INDEX(GL!$C:$C,$C506))))</f>
        <v/>
      </c>
      <c r="F506" s="5" t="str">
        <f aca="false">IF(C506=0,"",IF($A506="Bank",IF(INDEX(Bank!$D:$D,$C506)="","",INDEX(Bank!$D:$D,$C506)),IF(INDEX(GL!$D:$D,$C506)="","",INDEX(GL!$D:$D,$C506))))</f>
        <v/>
      </c>
      <c r="G506" s="19" t="str">
        <f aca="false">IF(C506=0,"",IF($A506="Bank",INDEX(Bank!$E:$E,$C506),INDEX(GL!$E:$E,$C506)))</f>
        <v/>
      </c>
      <c r="H506" s="5" t="str">
        <f aca="false">IF(C506=0,"",IF(A506="GL",IF(G506&gt;0,"Deposit in transit","Outstanding check / payment"),IF(G506&gt;0,"Bank credit not in GL","Bank debit not in GL")))</f>
        <v/>
      </c>
      <c r="I506" s="42" t="str">
        <f aca="false">IF(OR(C506=0,CFG_PeriodEnd=""),"",CFG_PeriodEnd-D506)</f>
        <v/>
      </c>
      <c r="J506" s="5" t="str">
        <f aca="false">IF(C506=0,"",IF($A506="Bank",IF(INDEX(Bank!$G:$G,$C506)="","",INDEX(Bank!$G:$G,$C506)),IF(INDEX(GL!$G:$G,$C506)="","",INDEX(GL!$G:$G,$C506))))</f>
        <v/>
      </c>
      <c r="K506" s="5" t="str">
        <f aca="false">IF(C506=0,"",IF($A506="Bank",IF(INDEX(Bank!$I:$I,$C506)="","",INDEX(Bank!$I:$I,$C506)),IF(INDEX(GL!$I:$I,$C506)="","",INDEX(GL!$I:$I,$C506))))</f>
        <v/>
      </c>
      <c r="L506" s="5" t="str">
        <f aca="false">IF(B506="","",IF(C506=0,"NOT FOUND",IF(IF($A506="Bank",INDEX(Bank!$F:$F,$C506),INDEX(GL!$F:$F,$C506))="Y","NOW RECONCILED: refresh","OK")))</f>
        <v/>
      </c>
    </row>
    <row r="507" customFormat="false" ht="15" hidden="false" customHeight="false" outlineLevel="0" collapsed="false">
      <c r="A507" s="41"/>
      <c r="B507" s="41"/>
      <c r="C507" s="5" t="n">
        <f aca="false">IF(B507="",0,IF(A507="Bank",IFERROR(MATCH(B507,Bank!$A:$A,0),0),IFERROR(MATCH(B507,GL!$A:$A,0),0)))</f>
        <v>0</v>
      </c>
      <c r="D507" s="32" t="str">
        <f aca="false">IF(C507=0,"",IF($A507="Bank",INDEX(Bank!$B:$B,$C507),INDEX(GL!$B:$B,$C507)))</f>
        <v/>
      </c>
      <c r="E507" s="5" t="str">
        <f aca="false">IF(C507=0,"",IF($A507="Bank",IF(INDEX(Bank!$C:$C,$C507)="","",INDEX(Bank!$C:$C,$C507)),IF(INDEX(GL!$C:$C,$C507)="","",INDEX(GL!$C:$C,$C507))))</f>
        <v/>
      </c>
      <c r="F507" s="5" t="str">
        <f aca="false">IF(C507=0,"",IF($A507="Bank",IF(INDEX(Bank!$D:$D,$C507)="","",INDEX(Bank!$D:$D,$C507)),IF(INDEX(GL!$D:$D,$C507)="","",INDEX(GL!$D:$D,$C507))))</f>
        <v/>
      </c>
      <c r="G507" s="19" t="str">
        <f aca="false">IF(C507=0,"",IF($A507="Bank",INDEX(Bank!$E:$E,$C507),INDEX(GL!$E:$E,$C507)))</f>
        <v/>
      </c>
      <c r="H507" s="5" t="str">
        <f aca="false">IF(C507=0,"",IF(A507="GL",IF(G507&gt;0,"Deposit in transit","Outstanding check / payment"),IF(G507&gt;0,"Bank credit not in GL","Bank debit not in GL")))</f>
        <v/>
      </c>
      <c r="I507" s="42" t="str">
        <f aca="false">IF(OR(C507=0,CFG_PeriodEnd=""),"",CFG_PeriodEnd-D507)</f>
        <v/>
      </c>
      <c r="J507" s="5" t="str">
        <f aca="false">IF(C507=0,"",IF($A507="Bank",IF(INDEX(Bank!$G:$G,$C507)="","",INDEX(Bank!$G:$G,$C507)),IF(INDEX(GL!$G:$G,$C507)="","",INDEX(GL!$G:$G,$C507))))</f>
        <v/>
      </c>
      <c r="K507" s="5" t="str">
        <f aca="false">IF(C507=0,"",IF($A507="Bank",IF(INDEX(Bank!$I:$I,$C507)="","",INDEX(Bank!$I:$I,$C507)),IF(INDEX(GL!$I:$I,$C507)="","",INDEX(GL!$I:$I,$C507))))</f>
        <v/>
      </c>
      <c r="L507" s="5" t="str">
        <f aca="false">IF(B507="","",IF(C507=0,"NOT FOUND",IF(IF($A507="Bank",INDEX(Bank!$F:$F,$C507),INDEX(GL!$F:$F,$C507))="Y","NOW RECONCILED: refresh","OK")))</f>
        <v/>
      </c>
    </row>
    <row r="508" customFormat="false" ht="15" hidden="false" customHeight="false" outlineLevel="0" collapsed="false">
      <c r="A508" s="41"/>
      <c r="B508" s="41"/>
      <c r="C508" s="5" t="n">
        <f aca="false">IF(B508="",0,IF(A508="Bank",IFERROR(MATCH(B508,Bank!$A:$A,0),0),IFERROR(MATCH(B508,GL!$A:$A,0),0)))</f>
        <v>0</v>
      </c>
      <c r="D508" s="32" t="str">
        <f aca="false">IF(C508=0,"",IF($A508="Bank",INDEX(Bank!$B:$B,$C508),INDEX(GL!$B:$B,$C508)))</f>
        <v/>
      </c>
      <c r="E508" s="5" t="str">
        <f aca="false">IF(C508=0,"",IF($A508="Bank",IF(INDEX(Bank!$C:$C,$C508)="","",INDEX(Bank!$C:$C,$C508)),IF(INDEX(GL!$C:$C,$C508)="","",INDEX(GL!$C:$C,$C508))))</f>
        <v/>
      </c>
      <c r="F508" s="5" t="str">
        <f aca="false">IF(C508=0,"",IF($A508="Bank",IF(INDEX(Bank!$D:$D,$C508)="","",INDEX(Bank!$D:$D,$C508)),IF(INDEX(GL!$D:$D,$C508)="","",INDEX(GL!$D:$D,$C508))))</f>
        <v/>
      </c>
      <c r="G508" s="19" t="str">
        <f aca="false">IF(C508=0,"",IF($A508="Bank",INDEX(Bank!$E:$E,$C508),INDEX(GL!$E:$E,$C508)))</f>
        <v/>
      </c>
      <c r="H508" s="5" t="str">
        <f aca="false">IF(C508=0,"",IF(A508="GL",IF(G508&gt;0,"Deposit in transit","Outstanding check / payment"),IF(G508&gt;0,"Bank credit not in GL","Bank debit not in GL")))</f>
        <v/>
      </c>
      <c r="I508" s="42" t="str">
        <f aca="false">IF(OR(C508=0,CFG_PeriodEnd=""),"",CFG_PeriodEnd-D508)</f>
        <v/>
      </c>
      <c r="J508" s="5" t="str">
        <f aca="false">IF(C508=0,"",IF($A508="Bank",IF(INDEX(Bank!$G:$G,$C508)="","",INDEX(Bank!$G:$G,$C508)),IF(INDEX(GL!$G:$G,$C508)="","",INDEX(GL!$G:$G,$C508))))</f>
        <v/>
      </c>
      <c r="K508" s="5" t="str">
        <f aca="false">IF(C508=0,"",IF($A508="Bank",IF(INDEX(Bank!$I:$I,$C508)="","",INDEX(Bank!$I:$I,$C508)),IF(INDEX(GL!$I:$I,$C508)="","",INDEX(GL!$I:$I,$C508))))</f>
        <v/>
      </c>
      <c r="L508" s="5" t="str">
        <f aca="false">IF(B508="","",IF(C508=0,"NOT FOUND",IF(IF($A508="Bank",INDEX(Bank!$F:$F,$C508),INDEX(GL!$F:$F,$C508))="Y","NOW RECONCILED: refresh","OK")))</f>
        <v/>
      </c>
    </row>
    <row r="509" customFormat="false" ht="15" hidden="false" customHeight="false" outlineLevel="0" collapsed="false">
      <c r="A509" s="41"/>
      <c r="B509" s="41"/>
      <c r="C509" s="5" t="n">
        <f aca="false">IF(B509="",0,IF(A509="Bank",IFERROR(MATCH(B509,Bank!$A:$A,0),0),IFERROR(MATCH(B509,GL!$A:$A,0),0)))</f>
        <v>0</v>
      </c>
      <c r="D509" s="32" t="str">
        <f aca="false">IF(C509=0,"",IF($A509="Bank",INDEX(Bank!$B:$B,$C509),INDEX(GL!$B:$B,$C509)))</f>
        <v/>
      </c>
      <c r="E509" s="5" t="str">
        <f aca="false">IF(C509=0,"",IF($A509="Bank",IF(INDEX(Bank!$C:$C,$C509)="","",INDEX(Bank!$C:$C,$C509)),IF(INDEX(GL!$C:$C,$C509)="","",INDEX(GL!$C:$C,$C509))))</f>
        <v/>
      </c>
      <c r="F509" s="5" t="str">
        <f aca="false">IF(C509=0,"",IF($A509="Bank",IF(INDEX(Bank!$D:$D,$C509)="","",INDEX(Bank!$D:$D,$C509)),IF(INDEX(GL!$D:$D,$C509)="","",INDEX(GL!$D:$D,$C509))))</f>
        <v/>
      </c>
      <c r="G509" s="19" t="str">
        <f aca="false">IF(C509=0,"",IF($A509="Bank",INDEX(Bank!$E:$E,$C509),INDEX(GL!$E:$E,$C509)))</f>
        <v/>
      </c>
      <c r="H509" s="5" t="str">
        <f aca="false">IF(C509=0,"",IF(A509="GL",IF(G509&gt;0,"Deposit in transit","Outstanding check / payment"),IF(G509&gt;0,"Bank credit not in GL","Bank debit not in GL")))</f>
        <v/>
      </c>
      <c r="I509" s="42" t="str">
        <f aca="false">IF(OR(C509=0,CFG_PeriodEnd=""),"",CFG_PeriodEnd-D509)</f>
        <v/>
      </c>
      <c r="J509" s="5" t="str">
        <f aca="false">IF(C509=0,"",IF($A509="Bank",IF(INDEX(Bank!$G:$G,$C509)="","",INDEX(Bank!$G:$G,$C509)),IF(INDEX(GL!$G:$G,$C509)="","",INDEX(GL!$G:$G,$C509))))</f>
        <v/>
      </c>
      <c r="K509" s="5" t="str">
        <f aca="false">IF(C509=0,"",IF($A509="Bank",IF(INDEX(Bank!$I:$I,$C509)="","",INDEX(Bank!$I:$I,$C509)),IF(INDEX(GL!$I:$I,$C509)="","",INDEX(GL!$I:$I,$C509))))</f>
        <v/>
      </c>
      <c r="L509" s="5" t="str">
        <f aca="false">IF(B509="","",IF(C509=0,"NOT FOUND",IF(IF($A509="Bank",INDEX(Bank!$F:$F,$C509),INDEX(GL!$F:$F,$C509))="Y","NOW RECONCILED: refresh","OK")))</f>
        <v/>
      </c>
    </row>
    <row r="510" customFormat="false" ht="15" hidden="false" customHeight="false" outlineLevel="0" collapsed="false">
      <c r="A510" s="41"/>
      <c r="B510" s="41"/>
      <c r="C510" s="5" t="n">
        <f aca="false">IF(B510="",0,IF(A510="Bank",IFERROR(MATCH(B510,Bank!$A:$A,0),0),IFERROR(MATCH(B510,GL!$A:$A,0),0)))</f>
        <v>0</v>
      </c>
      <c r="D510" s="32" t="str">
        <f aca="false">IF(C510=0,"",IF($A510="Bank",INDEX(Bank!$B:$B,$C510),INDEX(GL!$B:$B,$C510)))</f>
        <v/>
      </c>
      <c r="E510" s="5" t="str">
        <f aca="false">IF(C510=0,"",IF($A510="Bank",IF(INDEX(Bank!$C:$C,$C510)="","",INDEX(Bank!$C:$C,$C510)),IF(INDEX(GL!$C:$C,$C510)="","",INDEX(GL!$C:$C,$C510))))</f>
        <v/>
      </c>
      <c r="F510" s="5" t="str">
        <f aca="false">IF(C510=0,"",IF($A510="Bank",IF(INDEX(Bank!$D:$D,$C510)="","",INDEX(Bank!$D:$D,$C510)),IF(INDEX(GL!$D:$D,$C510)="","",INDEX(GL!$D:$D,$C510))))</f>
        <v/>
      </c>
      <c r="G510" s="19" t="str">
        <f aca="false">IF(C510=0,"",IF($A510="Bank",INDEX(Bank!$E:$E,$C510),INDEX(GL!$E:$E,$C510)))</f>
        <v/>
      </c>
      <c r="H510" s="5" t="str">
        <f aca="false">IF(C510=0,"",IF(A510="GL",IF(G510&gt;0,"Deposit in transit","Outstanding check / payment"),IF(G510&gt;0,"Bank credit not in GL","Bank debit not in GL")))</f>
        <v/>
      </c>
      <c r="I510" s="42" t="str">
        <f aca="false">IF(OR(C510=0,CFG_PeriodEnd=""),"",CFG_PeriodEnd-D510)</f>
        <v/>
      </c>
      <c r="J510" s="5" t="str">
        <f aca="false">IF(C510=0,"",IF($A510="Bank",IF(INDEX(Bank!$G:$G,$C510)="","",INDEX(Bank!$G:$G,$C510)),IF(INDEX(GL!$G:$G,$C510)="","",INDEX(GL!$G:$G,$C510))))</f>
        <v/>
      </c>
      <c r="K510" s="5" t="str">
        <f aca="false">IF(C510=0,"",IF($A510="Bank",IF(INDEX(Bank!$I:$I,$C510)="","",INDEX(Bank!$I:$I,$C510)),IF(INDEX(GL!$I:$I,$C510)="","",INDEX(GL!$I:$I,$C510))))</f>
        <v/>
      </c>
      <c r="L510" s="5" t="str">
        <f aca="false">IF(B510="","",IF(C510=0,"NOT FOUND",IF(IF($A510="Bank",INDEX(Bank!$F:$F,$C510),INDEX(GL!$F:$F,$C510))="Y","NOW RECONCILED: refresh","OK")))</f>
        <v/>
      </c>
    </row>
    <row r="511" customFormat="false" ht="15" hidden="false" customHeight="false" outlineLevel="0" collapsed="false">
      <c r="A511" s="41"/>
      <c r="B511" s="41"/>
      <c r="C511" s="5" t="n">
        <f aca="false">IF(B511="",0,IF(A511="Bank",IFERROR(MATCH(B511,Bank!$A:$A,0),0),IFERROR(MATCH(B511,GL!$A:$A,0),0)))</f>
        <v>0</v>
      </c>
      <c r="D511" s="32" t="str">
        <f aca="false">IF(C511=0,"",IF($A511="Bank",INDEX(Bank!$B:$B,$C511),INDEX(GL!$B:$B,$C511)))</f>
        <v/>
      </c>
      <c r="E511" s="5" t="str">
        <f aca="false">IF(C511=0,"",IF($A511="Bank",IF(INDEX(Bank!$C:$C,$C511)="","",INDEX(Bank!$C:$C,$C511)),IF(INDEX(GL!$C:$C,$C511)="","",INDEX(GL!$C:$C,$C511))))</f>
        <v/>
      </c>
      <c r="F511" s="5" t="str">
        <f aca="false">IF(C511=0,"",IF($A511="Bank",IF(INDEX(Bank!$D:$D,$C511)="","",INDEX(Bank!$D:$D,$C511)),IF(INDEX(GL!$D:$D,$C511)="","",INDEX(GL!$D:$D,$C511))))</f>
        <v/>
      </c>
      <c r="G511" s="19" t="str">
        <f aca="false">IF(C511=0,"",IF($A511="Bank",INDEX(Bank!$E:$E,$C511),INDEX(GL!$E:$E,$C511)))</f>
        <v/>
      </c>
      <c r="H511" s="5" t="str">
        <f aca="false">IF(C511=0,"",IF(A511="GL",IF(G511&gt;0,"Deposit in transit","Outstanding check / payment"),IF(G511&gt;0,"Bank credit not in GL","Bank debit not in GL")))</f>
        <v/>
      </c>
      <c r="I511" s="42" t="str">
        <f aca="false">IF(OR(C511=0,CFG_PeriodEnd=""),"",CFG_PeriodEnd-D511)</f>
        <v/>
      </c>
      <c r="J511" s="5" t="str">
        <f aca="false">IF(C511=0,"",IF($A511="Bank",IF(INDEX(Bank!$G:$G,$C511)="","",INDEX(Bank!$G:$G,$C511)),IF(INDEX(GL!$G:$G,$C511)="","",INDEX(GL!$G:$G,$C511))))</f>
        <v/>
      </c>
      <c r="K511" s="5" t="str">
        <f aca="false">IF(C511=0,"",IF($A511="Bank",IF(INDEX(Bank!$I:$I,$C511)="","",INDEX(Bank!$I:$I,$C511)),IF(INDEX(GL!$I:$I,$C511)="","",INDEX(GL!$I:$I,$C511))))</f>
        <v/>
      </c>
      <c r="L511" s="5" t="str">
        <f aca="false">IF(B511="","",IF(C511=0,"NOT FOUND",IF(IF($A511="Bank",INDEX(Bank!$F:$F,$C511),INDEX(GL!$F:$F,$C511))="Y","NOW RECONCILED: refresh","OK")))</f>
        <v/>
      </c>
    </row>
    <row r="512" customFormat="false" ht="15" hidden="false" customHeight="false" outlineLevel="0" collapsed="false">
      <c r="A512" s="41"/>
      <c r="B512" s="41"/>
      <c r="C512" s="5" t="n">
        <f aca="false">IF(B512="",0,IF(A512="Bank",IFERROR(MATCH(B512,Bank!$A:$A,0),0),IFERROR(MATCH(B512,GL!$A:$A,0),0)))</f>
        <v>0</v>
      </c>
      <c r="D512" s="32" t="str">
        <f aca="false">IF(C512=0,"",IF($A512="Bank",INDEX(Bank!$B:$B,$C512),INDEX(GL!$B:$B,$C512)))</f>
        <v/>
      </c>
      <c r="E512" s="5" t="str">
        <f aca="false">IF(C512=0,"",IF($A512="Bank",IF(INDEX(Bank!$C:$C,$C512)="","",INDEX(Bank!$C:$C,$C512)),IF(INDEX(GL!$C:$C,$C512)="","",INDEX(GL!$C:$C,$C512))))</f>
        <v/>
      </c>
      <c r="F512" s="5" t="str">
        <f aca="false">IF(C512=0,"",IF($A512="Bank",IF(INDEX(Bank!$D:$D,$C512)="","",INDEX(Bank!$D:$D,$C512)),IF(INDEX(GL!$D:$D,$C512)="","",INDEX(GL!$D:$D,$C512))))</f>
        <v/>
      </c>
      <c r="G512" s="19" t="str">
        <f aca="false">IF(C512=0,"",IF($A512="Bank",INDEX(Bank!$E:$E,$C512),INDEX(GL!$E:$E,$C512)))</f>
        <v/>
      </c>
      <c r="H512" s="5" t="str">
        <f aca="false">IF(C512=0,"",IF(A512="GL",IF(G512&gt;0,"Deposit in transit","Outstanding check / payment"),IF(G512&gt;0,"Bank credit not in GL","Bank debit not in GL")))</f>
        <v/>
      </c>
      <c r="I512" s="42" t="str">
        <f aca="false">IF(OR(C512=0,CFG_PeriodEnd=""),"",CFG_PeriodEnd-D512)</f>
        <v/>
      </c>
      <c r="J512" s="5" t="str">
        <f aca="false">IF(C512=0,"",IF($A512="Bank",IF(INDEX(Bank!$G:$G,$C512)="","",INDEX(Bank!$G:$G,$C512)),IF(INDEX(GL!$G:$G,$C512)="","",INDEX(GL!$G:$G,$C512))))</f>
        <v/>
      </c>
      <c r="K512" s="5" t="str">
        <f aca="false">IF(C512=0,"",IF($A512="Bank",IF(INDEX(Bank!$I:$I,$C512)="","",INDEX(Bank!$I:$I,$C512)),IF(INDEX(GL!$I:$I,$C512)="","",INDEX(GL!$I:$I,$C512))))</f>
        <v/>
      </c>
      <c r="L512" s="5" t="str">
        <f aca="false">IF(B512="","",IF(C512=0,"NOT FOUND",IF(IF($A512="Bank",INDEX(Bank!$F:$F,$C512),INDEX(GL!$F:$F,$C512))="Y","NOW RECONCILED: refresh","OK")))</f>
        <v/>
      </c>
    </row>
    <row r="513" customFormat="false" ht="15" hidden="false" customHeight="false" outlineLevel="0" collapsed="false">
      <c r="A513" s="41"/>
      <c r="B513" s="41"/>
      <c r="C513" s="5" t="n">
        <f aca="false">IF(B513="",0,IF(A513="Bank",IFERROR(MATCH(B513,Bank!$A:$A,0),0),IFERROR(MATCH(B513,GL!$A:$A,0),0)))</f>
        <v>0</v>
      </c>
      <c r="D513" s="32" t="str">
        <f aca="false">IF(C513=0,"",IF($A513="Bank",INDEX(Bank!$B:$B,$C513),INDEX(GL!$B:$B,$C513)))</f>
        <v/>
      </c>
      <c r="E513" s="5" t="str">
        <f aca="false">IF(C513=0,"",IF($A513="Bank",IF(INDEX(Bank!$C:$C,$C513)="","",INDEX(Bank!$C:$C,$C513)),IF(INDEX(GL!$C:$C,$C513)="","",INDEX(GL!$C:$C,$C513))))</f>
        <v/>
      </c>
      <c r="F513" s="5" t="str">
        <f aca="false">IF(C513=0,"",IF($A513="Bank",IF(INDEX(Bank!$D:$D,$C513)="","",INDEX(Bank!$D:$D,$C513)),IF(INDEX(GL!$D:$D,$C513)="","",INDEX(GL!$D:$D,$C513))))</f>
        <v/>
      </c>
      <c r="G513" s="19" t="str">
        <f aca="false">IF(C513=0,"",IF($A513="Bank",INDEX(Bank!$E:$E,$C513),INDEX(GL!$E:$E,$C513)))</f>
        <v/>
      </c>
      <c r="H513" s="5" t="str">
        <f aca="false">IF(C513=0,"",IF(A513="GL",IF(G513&gt;0,"Deposit in transit","Outstanding check / payment"),IF(G513&gt;0,"Bank credit not in GL","Bank debit not in GL")))</f>
        <v/>
      </c>
      <c r="I513" s="42" t="str">
        <f aca="false">IF(OR(C513=0,CFG_PeriodEnd=""),"",CFG_PeriodEnd-D513)</f>
        <v/>
      </c>
      <c r="J513" s="5" t="str">
        <f aca="false">IF(C513=0,"",IF($A513="Bank",IF(INDEX(Bank!$G:$G,$C513)="","",INDEX(Bank!$G:$G,$C513)),IF(INDEX(GL!$G:$G,$C513)="","",INDEX(GL!$G:$G,$C513))))</f>
        <v/>
      </c>
      <c r="K513" s="5" t="str">
        <f aca="false">IF(C513=0,"",IF($A513="Bank",IF(INDEX(Bank!$I:$I,$C513)="","",INDEX(Bank!$I:$I,$C513)),IF(INDEX(GL!$I:$I,$C513)="","",INDEX(GL!$I:$I,$C513))))</f>
        <v/>
      </c>
      <c r="L513" s="5" t="str">
        <f aca="false">IF(B513="","",IF(C513=0,"NOT FOUND",IF(IF($A513="Bank",INDEX(Bank!$F:$F,$C513),INDEX(GL!$F:$F,$C513))="Y","NOW RECONCILED: refresh","OK")))</f>
        <v/>
      </c>
    </row>
    <row r="514" customFormat="false" ht="15" hidden="false" customHeight="false" outlineLevel="0" collapsed="false">
      <c r="A514" s="41"/>
      <c r="B514" s="41"/>
      <c r="C514" s="5" t="n">
        <f aca="false">IF(B514="",0,IF(A514="Bank",IFERROR(MATCH(B514,Bank!$A:$A,0),0),IFERROR(MATCH(B514,GL!$A:$A,0),0)))</f>
        <v>0</v>
      </c>
      <c r="D514" s="32" t="str">
        <f aca="false">IF(C514=0,"",IF($A514="Bank",INDEX(Bank!$B:$B,$C514),INDEX(GL!$B:$B,$C514)))</f>
        <v/>
      </c>
      <c r="E514" s="5" t="str">
        <f aca="false">IF(C514=0,"",IF($A514="Bank",IF(INDEX(Bank!$C:$C,$C514)="","",INDEX(Bank!$C:$C,$C514)),IF(INDEX(GL!$C:$C,$C514)="","",INDEX(GL!$C:$C,$C514))))</f>
        <v/>
      </c>
      <c r="F514" s="5" t="str">
        <f aca="false">IF(C514=0,"",IF($A514="Bank",IF(INDEX(Bank!$D:$D,$C514)="","",INDEX(Bank!$D:$D,$C514)),IF(INDEX(GL!$D:$D,$C514)="","",INDEX(GL!$D:$D,$C514))))</f>
        <v/>
      </c>
      <c r="G514" s="19" t="str">
        <f aca="false">IF(C514=0,"",IF($A514="Bank",INDEX(Bank!$E:$E,$C514),INDEX(GL!$E:$E,$C514)))</f>
        <v/>
      </c>
      <c r="H514" s="5" t="str">
        <f aca="false">IF(C514=0,"",IF(A514="GL",IF(G514&gt;0,"Deposit in transit","Outstanding check / payment"),IF(G514&gt;0,"Bank credit not in GL","Bank debit not in GL")))</f>
        <v/>
      </c>
      <c r="I514" s="42" t="str">
        <f aca="false">IF(OR(C514=0,CFG_PeriodEnd=""),"",CFG_PeriodEnd-D514)</f>
        <v/>
      </c>
      <c r="J514" s="5" t="str">
        <f aca="false">IF(C514=0,"",IF($A514="Bank",IF(INDEX(Bank!$G:$G,$C514)="","",INDEX(Bank!$G:$G,$C514)),IF(INDEX(GL!$G:$G,$C514)="","",INDEX(GL!$G:$G,$C514))))</f>
        <v/>
      </c>
      <c r="K514" s="5" t="str">
        <f aca="false">IF(C514=0,"",IF($A514="Bank",IF(INDEX(Bank!$I:$I,$C514)="","",INDEX(Bank!$I:$I,$C514)),IF(INDEX(GL!$I:$I,$C514)="","",INDEX(GL!$I:$I,$C514))))</f>
        <v/>
      </c>
      <c r="L514" s="5" t="str">
        <f aca="false">IF(B514="","",IF(C514=0,"NOT FOUND",IF(IF($A514="Bank",INDEX(Bank!$F:$F,$C514),INDEX(GL!$F:$F,$C514))="Y","NOW RECONCILED: refresh","OK")))</f>
        <v/>
      </c>
    </row>
    <row r="515" customFormat="false" ht="15" hidden="false" customHeight="false" outlineLevel="0" collapsed="false">
      <c r="A515" s="41"/>
      <c r="B515" s="41"/>
      <c r="C515" s="5" t="n">
        <f aca="false">IF(B515="",0,IF(A515="Bank",IFERROR(MATCH(B515,Bank!$A:$A,0),0),IFERROR(MATCH(B515,GL!$A:$A,0),0)))</f>
        <v>0</v>
      </c>
      <c r="D515" s="32" t="str">
        <f aca="false">IF(C515=0,"",IF($A515="Bank",INDEX(Bank!$B:$B,$C515),INDEX(GL!$B:$B,$C515)))</f>
        <v/>
      </c>
      <c r="E515" s="5" t="str">
        <f aca="false">IF(C515=0,"",IF($A515="Bank",IF(INDEX(Bank!$C:$C,$C515)="","",INDEX(Bank!$C:$C,$C515)),IF(INDEX(GL!$C:$C,$C515)="","",INDEX(GL!$C:$C,$C515))))</f>
        <v/>
      </c>
      <c r="F515" s="5" t="str">
        <f aca="false">IF(C515=0,"",IF($A515="Bank",IF(INDEX(Bank!$D:$D,$C515)="","",INDEX(Bank!$D:$D,$C515)),IF(INDEX(GL!$D:$D,$C515)="","",INDEX(GL!$D:$D,$C515))))</f>
        <v/>
      </c>
      <c r="G515" s="19" t="str">
        <f aca="false">IF(C515=0,"",IF($A515="Bank",INDEX(Bank!$E:$E,$C515),INDEX(GL!$E:$E,$C515)))</f>
        <v/>
      </c>
      <c r="H515" s="5" t="str">
        <f aca="false">IF(C515=0,"",IF(A515="GL",IF(G515&gt;0,"Deposit in transit","Outstanding check / payment"),IF(G515&gt;0,"Bank credit not in GL","Bank debit not in GL")))</f>
        <v/>
      </c>
      <c r="I515" s="42" t="str">
        <f aca="false">IF(OR(C515=0,CFG_PeriodEnd=""),"",CFG_PeriodEnd-D515)</f>
        <v/>
      </c>
      <c r="J515" s="5" t="str">
        <f aca="false">IF(C515=0,"",IF($A515="Bank",IF(INDEX(Bank!$G:$G,$C515)="","",INDEX(Bank!$G:$G,$C515)),IF(INDEX(GL!$G:$G,$C515)="","",INDEX(GL!$G:$G,$C515))))</f>
        <v/>
      </c>
      <c r="K515" s="5" t="str">
        <f aca="false">IF(C515=0,"",IF($A515="Bank",IF(INDEX(Bank!$I:$I,$C515)="","",INDEX(Bank!$I:$I,$C515)),IF(INDEX(GL!$I:$I,$C515)="","",INDEX(GL!$I:$I,$C515))))</f>
        <v/>
      </c>
      <c r="L515" s="5" t="str">
        <f aca="false">IF(B515="","",IF(C515=0,"NOT FOUND",IF(IF($A515="Bank",INDEX(Bank!$F:$F,$C515),INDEX(GL!$F:$F,$C515))="Y","NOW RECONCILED: refresh","OK")))</f>
        <v/>
      </c>
    </row>
    <row r="516" customFormat="false" ht="15" hidden="false" customHeight="false" outlineLevel="0" collapsed="false">
      <c r="A516" s="41"/>
      <c r="B516" s="41"/>
      <c r="C516" s="5" t="n">
        <f aca="false">IF(B516="",0,IF(A516="Bank",IFERROR(MATCH(B516,Bank!$A:$A,0),0),IFERROR(MATCH(B516,GL!$A:$A,0),0)))</f>
        <v>0</v>
      </c>
      <c r="D516" s="32" t="str">
        <f aca="false">IF(C516=0,"",IF($A516="Bank",INDEX(Bank!$B:$B,$C516),INDEX(GL!$B:$B,$C516)))</f>
        <v/>
      </c>
      <c r="E516" s="5" t="str">
        <f aca="false">IF(C516=0,"",IF($A516="Bank",IF(INDEX(Bank!$C:$C,$C516)="","",INDEX(Bank!$C:$C,$C516)),IF(INDEX(GL!$C:$C,$C516)="","",INDEX(GL!$C:$C,$C516))))</f>
        <v/>
      </c>
      <c r="F516" s="5" t="str">
        <f aca="false">IF(C516=0,"",IF($A516="Bank",IF(INDEX(Bank!$D:$D,$C516)="","",INDEX(Bank!$D:$D,$C516)),IF(INDEX(GL!$D:$D,$C516)="","",INDEX(GL!$D:$D,$C516))))</f>
        <v/>
      </c>
      <c r="G516" s="19" t="str">
        <f aca="false">IF(C516=0,"",IF($A516="Bank",INDEX(Bank!$E:$E,$C516),INDEX(GL!$E:$E,$C516)))</f>
        <v/>
      </c>
      <c r="H516" s="5" t="str">
        <f aca="false">IF(C516=0,"",IF(A516="GL",IF(G516&gt;0,"Deposit in transit","Outstanding check / payment"),IF(G516&gt;0,"Bank credit not in GL","Bank debit not in GL")))</f>
        <v/>
      </c>
      <c r="I516" s="42" t="str">
        <f aca="false">IF(OR(C516=0,CFG_PeriodEnd=""),"",CFG_PeriodEnd-D516)</f>
        <v/>
      </c>
      <c r="J516" s="5" t="str">
        <f aca="false">IF(C516=0,"",IF($A516="Bank",IF(INDEX(Bank!$G:$G,$C516)="","",INDEX(Bank!$G:$G,$C516)),IF(INDEX(GL!$G:$G,$C516)="","",INDEX(GL!$G:$G,$C516))))</f>
        <v/>
      </c>
      <c r="K516" s="5" t="str">
        <f aca="false">IF(C516=0,"",IF($A516="Bank",IF(INDEX(Bank!$I:$I,$C516)="","",INDEX(Bank!$I:$I,$C516)),IF(INDEX(GL!$I:$I,$C516)="","",INDEX(GL!$I:$I,$C516))))</f>
        <v/>
      </c>
      <c r="L516" s="5" t="str">
        <f aca="false">IF(B516="","",IF(C516=0,"NOT FOUND",IF(IF($A516="Bank",INDEX(Bank!$F:$F,$C516),INDEX(GL!$F:$F,$C516))="Y","NOW RECONCILED: refresh","OK")))</f>
        <v/>
      </c>
    </row>
    <row r="517" customFormat="false" ht="15" hidden="false" customHeight="false" outlineLevel="0" collapsed="false">
      <c r="A517" s="41"/>
      <c r="B517" s="41"/>
      <c r="C517" s="5" t="n">
        <f aca="false">IF(B517="",0,IF(A517="Bank",IFERROR(MATCH(B517,Bank!$A:$A,0),0),IFERROR(MATCH(B517,GL!$A:$A,0),0)))</f>
        <v>0</v>
      </c>
      <c r="D517" s="32" t="str">
        <f aca="false">IF(C517=0,"",IF($A517="Bank",INDEX(Bank!$B:$B,$C517),INDEX(GL!$B:$B,$C517)))</f>
        <v/>
      </c>
      <c r="E517" s="5" t="str">
        <f aca="false">IF(C517=0,"",IF($A517="Bank",IF(INDEX(Bank!$C:$C,$C517)="","",INDEX(Bank!$C:$C,$C517)),IF(INDEX(GL!$C:$C,$C517)="","",INDEX(GL!$C:$C,$C517))))</f>
        <v/>
      </c>
      <c r="F517" s="5" t="str">
        <f aca="false">IF(C517=0,"",IF($A517="Bank",IF(INDEX(Bank!$D:$D,$C517)="","",INDEX(Bank!$D:$D,$C517)),IF(INDEX(GL!$D:$D,$C517)="","",INDEX(GL!$D:$D,$C517))))</f>
        <v/>
      </c>
      <c r="G517" s="19" t="str">
        <f aca="false">IF(C517=0,"",IF($A517="Bank",INDEX(Bank!$E:$E,$C517),INDEX(GL!$E:$E,$C517)))</f>
        <v/>
      </c>
      <c r="H517" s="5" t="str">
        <f aca="false">IF(C517=0,"",IF(A517="GL",IF(G517&gt;0,"Deposit in transit","Outstanding check / payment"),IF(G517&gt;0,"Bank credit not in GL","Bank debit not in GL")))</f>
        <v/>
      </c>
      <c r="I517" s="42" t="str">
        <f aca="false">IF(OR(C517=0,CFG_PeriodEnd=""),"",CFG_PeriodEnd-D517)</f>
        <v/>
      </c>
      <c r="J517" s="5" t="str">
        <f aca="false">IF(C517=0,"",IF($A517="Bank",IF(INDEX(Bank!$G:$G,$C517)="","",INDEX(Bank!$G:$G,$C517)),IF(INDEX(GL!$G:$G,$C517)="","",INDEX(GL!$G:$G,$C517))))</f>
        <v/>
      </c>
      <c r="K517" s="5" t="str">
        <f aca="false">IF(C517=0,"",IF($A517="Bank",IF(INDEX(Bank!$I:$I,$C517)="","",INDEX(Bank!$I:$I,$C517)),IF(INDEX(GL!$I:$I,$C517)="","",INDEX(GL!$I:$I,$C517))))</f>
        <v/>
      </c>
      <c r="L517" s="5" t="str">
        <f aca="false">IF(B517="","",IF(C517=0,"NOT FOUND",IF(IF($A517="Bank",INDEX(Bank!$F:$F,$C517),INDEX(GL!$F:$F,$C517))="Y","NOW RECONCILED: refresh","OK")))</f>
        <v/>
      </c>
    </row>
    <row r="518" customFormat="false" ht="15" hidden="false" customHeight="false" outlineLevel="0" collapsed="false">
      <c r="A518" s="41"/>
      <c r="B518" s="41"/>
      <c r="C518" s="5" t="n">
        <f aca="false">IF(B518="",0,IF(A518="Bank",IFERROR(MATCH(B518,Bank!$A:$A,0),0),IFERROR(MATCH(B518,GL!$A:$A,0),0)))</f>
        <v>0</v>
      </c>
      <c r="D518" s="32" t="str">
        <f aca="false">IF(C518=0,"",IF($A518="Bank",INDEX(Bank!$B:$B,$C518),INDEX(GL!$B:$B,$C518)))</f>
        <v/>
      </c>
      <c r="E518" s="5" t="str">
        <f aca="false">IF(C518=0,"",IF($A518="Bank",IF(INDEX(Bank!$C:$C,$C518)="","",INDEX(Bank!$C:$C,$C518)),IF(INDEX(GL!$C:$C,$C518)="","",INDEX(GL!$C:$C,$C518))))</f>
        <v/>
      </c>
      <c r="F518" s="5" t="str">
        <f aca="false">IF(C518=0,"",IF($A518="Bank",IF(INDEX(Bank!$D:$D,$C518)="","",INDEX(Bank!$D:$D,$C518)),IF(INDEX(GL!$D:$D,$C518)="","",INDEX(GL!$D:$D,$C518))))</f>
        <v/>
      </c>
      <c r="G518" s="19" t="str">
        <f aca="false">IF(C518=0,"",IF($A518="Bank",INDEX(Bank!$E:$E,$C518),INDEX(GL!$E:$E,$C518)))</f>
        <v/>
      </c>
      <c r="H518" s="5" t="str">
        <f aca="false">IF(C518=0,"",IF(A518="GL",IF(G518&gt;0,"Deposit in transit","Outstanding check / payment"),IF(G518&gt;0,"Bank credit not in GL","Bank debit not in GL")))</f>
        <v/>
      </c>
      <c r="I518" s="42" t="str">
        <f aca="false">IF(OR(C518=0,CFG_PeriodEnd=""),"",CFG_PeriodEnd-D518)</f>
        <v/>
      </c>
      <c r="J518" s="5" t="str">
        <f aca="false">IF(C518=0,"",IF($A518="Bank",IF(INDEX(Bank!$G:$G,$C518)="","",INDEX(Bank!$G:$G,$C518)),IF(INDEX(GL!$G:$G,$C518)="","",INDEX(GL!$G:$G,$C518))))</f>
        <v/>
      </c>
      <c r="K518" s="5" t="str">
        <f aca="false">IF(C518=0,"",IF($A518="Bank",IF(INDEX(Bank!$I:$I,$C518)="","",INDEX(Bank!$I:$I,$C518)),IF(INDEX(GL!$I:$I,$C518)="","",INDEX(GL!$I:$I,$C518))))</f>
        <v/>
      </c>
      <c r="L518" s="5" t="str">
        <f aca="false">IF(B518="","",IF(C518=0,"NOT FOUND",IF(IF($A518="Bank",INDEX(Bank!$F:$F,$C518),INDEX(GL!$F:$F,$C518))="Y","NOW RECONCILED: refresh","OK")))</f>
        <v/>
      </c>
    </row>
    <row r="519" customFormat="false" ht="15" hidden="false" customHeight="false" outlineLevel="0" collapsed="false">
      <c r="A519" s="41"/>
      <c r="B519" s="41"/>
      <c r="C519" s="5" t="n">
        <f aca="false">IF(B519="",0,IF(A519="Bank",IFERROR(MATCH(B519,Bank!$A:$A,0),0),IFERROR(MATCH(B519,GL!$A:$A,0),0)))</f>
        <v>0</v>
      </c>
      <c r="D519" s="32" t="str">
        <f aca="false">IF(C519=0,"",IF($A519="Bank",INDEX(Bank!$B:$B,$C519),INDEX(GL!$B:$B,$C519)))</f>
        <v/>
      </c>
      <c r="E519" s="5" t="str">
        <f aca="false">IF(C519=0,"",IF($A519="Bank",IF(INDEX(Bank!$C:$C,$C519)="","",INDEX(Bank!$C:$C,$C519)),IF(INDEX(GL!$C:$C,$C519)="","",INDEX(GL!$C:$C,$C519))))</f>
        <v/>
      </c>
      <c r="F519" s="5" t="str">
        <f aca="false">IF(C519=0,"",IF($A519="Bank",IF(INDEX(Bank!$D:$D,$C519)="","",INDEX(Bank!$D:$D,$C519)),IF(INDEX(GL!$D:$D,$C519)="","",INDEX(GL!$D:$D,$C519))))</f>
        <v/>
      </c>
      <c r="G519" s="19" t="str">
        <f aca="false">IF(C519=0,"",IF($A519="Bank",INDEX(Bank!$E:$E,$C519),INDEX(GL!$E:$E,$C519)))</f>
        <v/>
      </c>
      <c r="H519" s="5" t="str">
        <f aca="false">IF(C519=0,"",IF(A519="GL",IF(G519&gt;0,"Deposit in transit","Outstanding check / payment"),IF(G519&gt;0,"Bank credit not in GL","Bank debit not in GL")))</f>
        <v/>
      </c>
      <c r="I519" s="42" t="str">
        <f aca="false">IF(OR(C519=0,CFG_PeriodEnd=""),"",CFG_PeriodEnd-D519)</f>
        <v/>
      </c>
      <c r="J519" s="5" t="str">
        <f aca="false">IF(C519=0,"",IF($A519="Bank",IF(INDEX(Bank!$G:$G,$C519)="","",INDEX(Bank!$G:$G,$C519)),IF(INDEX(GL!$G:$G,$C519)="","",INDEX(GL!$G:$G,$C519))))</f>
        <v/>
      </c>
      <c r="K519" s="5" t="str">
        <f aca="false">IF(C519=0,"",IF($A519="Bank",IF(INDEX(Bank!$I:$I,$C519)="","",INDEX(Bank!$I:$I,$C519)),IF(INDEX(GL!$I:$I,$C519)="","",INDEX(GL!$I:$I,$C519))))</f>
        <v/>
      </c>
      <c r="L519" s="5" t="str">
        <f aca="false">IF(B519="","",IF(C519=0,"NOT FOUND",IF(IF($A519="Bank",INDEX(Bank!$F:$F,$C519),INDEX(GL!$F:$F,$C519))="Y","NOW RECONCILED: refresh","OK")))</f>
        <v/>
      </c>
    </row>
    <row r="520" customFormat="false" ht="15" hidden="false" customHeight="false" outlineLevel="0" collapsed="false">
      <c r="A520" s="41"/>
      <c r="B520" s="41"/>
      <c r="C520" s="5" t="n">
        <f aca="false">IF(B520="",0,IF(A520="Bank",IFERROR(MATCH(B520,Bank!$A:$A,0),0),IFERROR(MATCH(B520,GL!$A:$A,0),0)))</f>
        <v>0</v>
      </c>
      <c r="D520" s="32" t="str">
        <f aca="false">IF(C520=0,"",IF($A520="Bank",INDEX(Bank!$B:$B,$C520),INDEX(GL!$B:$B,$C520)))</f>
        <v/>
      </c>
      <c r="E520" s="5" t="str">
        <f aca="false">IF(C520=0,"",IF($A520="Bank",IF(INDEX(Bank!$C:$C,$C520)="","",INDEX(Bank!$C:$C,$C520)),IF(INDEX(GL!$C:$C,$C520)="","",INDEX(GL!$C:$C,$C520))))</f>
        <v/>
      </c>
      <c r="F520" s="5" t="str">
        <f aca="false">IF(C520=0,"",IF($A520="Bank",IF(INDEX(Bank!$D:$D,$C520)="","",INDEX(Bank!$D:$D,$C520)),IF(INDEX(GL!$D:$D,$C520)="","",INDEX(GL!$D:$D,$C520))))</f>
        <v/>
      </c>
      <c r="G520" s="19" t="str">
        <f aca="false">IF(C520=0,"",IF($A520="Bank",INDEX(Bank!$E:$E,$C520),INDEX(GL!$E:$E,$C520)))</f>
        <v/>
      </c>
      <c r="H520" s="5" t="str">
        <f aca="false">IF(C520=0,"",IF(A520="GL",IF(G520&gt;0,"Deposit in transit","Outstanding check / payment"),IF(G520&gt;0,"Bank credit not in GL","Bank debit not in GL")))</f>
        <v/>
      </c>
      <c r="I520" s="42" t="str">
        <f aca="false">IF(OR(C520=0,CFG_PeriodEnd=""),"",CFG_PeriodEnd-D520)</f>
        <v/>
      </c>
      <c r="J520" s="5" t="str">
        <f aca="false">IF(C520=0,"",IF($A520="Bank",IF(INDEX(Bank!$G:$G,$C520)="","",INDEX(Bank!$G:$G,$C520)),IF(INDEX(GL!$G:$G,$C520)="","",INDEX(GL!$G:$G,$C520))))</f>
        <v/>
      </c>
      <c r="K520" s="5" t="str">
        <f aca="false">IF(C520=0,"",IF($A520="Bank",IF(INDEX(Bank!$I:$I,$C520)="","",INDEX(Bank!$I:$I,$C520)),IF(INDEX(GL!$I:$I,$C520)="","",INDEX(GL!$I:$I,$C520))))</f>
        <v/>
      </c>
      <c r="L520" s="5" t="str">
        <f aca="false">IF(B520="","",IF(C520=0,"NOT FOUND",IF(IF($A520="Bank",INDEX(Bank!$F:$F,$C520),INDEX(GL!$F:$F,$C520))="Y","NOW RECONCILED: refresh","OK")))</f>
        <v/>
      </c>
    </row>
    <row r="521" customFormat="false" ht="15" hidden="false" customHeight="false" outlineLevel="0" collapsed="false">
      <c r="A521" s="41"/>
      <c r="B521" s="41"/>
      <c r="C521" s="5" t="n">
        <f aca="false">IF(B521="",0,IF(A521="Bank",IFERROR(MATCH(B521,Bank!$A:$A,0),0),IFERROR(MATCH(B521,GL!$A:$A,0),0)))</f>
        <v>0</v>
      </c>
      <c r="D521" s="32" t="str">
        <f aca="false">IF(C521=0,"",IF($A521="Bank",INDEX(Bank!$B:$B,$C521),INDEX(GL!$B:$B,$C521)))</f>
        <v/>
      </c>
      <c r="E521" s="5" t="str">
        <f aca="false">IF(C521=0,"",IF($A521="Bank",IF(INDEX(Bank!$C:$C,$C521)="","",INDEX(Bank!$C:$C,$C521)),IF(INDEX(GL!$C:$C,$C521)="","",INDEX(GL!$C:$C,$C521))))</f>
        <v/>
      </c>
      <c r="F521" s="5" t="str">
        <f aca="false">IF(C521=0,"",IF($A521="Bank",IF(INDEX(Bank!$D:$D,$C521)="","",INDEX(Bank!$D:$D,$C521)),IF(INDEX(GL!$D:$D,$C521)="","",INDEX(GL!$D:$D,$C521))))</f>
        <v/>
      </c>
      <c r="G521" s="19" t="str">
        <f aca="false">IF(C521=0,"",IF($A521="Bank",INDEX(Bank!$E:$E,$C521),INDEX(GL!$E:$E,$C521)))</f>
        <v/>
      </c>
      <c r="H521" s="5" t="str">
        <f aca="false">IF(C521=0,"",IF(A521="GL",IF(G521&gt;0,"Deposit in transit","Outstanding check / payment"),IF(G521&gt;0,"Bank credit not in GL","Bank debit not in GL")))</f>
        <v/>
      </c>
      <c r="I521" s="42" t="str">
        <f aca="false">IF(OR(C521=0,CFG_PeriodEnd=""),"",CFG_PeriodEnd-D521)</f>
        <v/>
      </c>
      <c r="J521" s="5" t="str">
        <f aca="false">IF(C521=0,"",IF($A521="Bank",IF(INDEX(Bank!$G:$G,$C521)="","",INDEX(Bank!$G:$G,$C521)),IF(INDEX(GL!$G:$G,$C521)="","",INDEX(GL!$G:$G,$C521))))</f>
        <v/>
      </c>
      <c r="K521" s="5" t="str">
        <f aca="false">IF(C521=0,"",IF($A521="Bank",IF(INDEX(Bank!$I:$I,$C521)="","",INDEX(Bank!$I:$I,$C521)),IF(INDEX(GL!$I:$I,$C521)="","",INDEX(GL!$I:$I,$C521))))</f>
        <v/>
      </c>
      <c r="L521" s="5" t="str">
        <f aca="false">IF(B521="","",IF(C521=0,"NOT FOUND",IF(IF($A521="Bank",INDEX(Bank!$F:$F,$C521),INDEX(GL!$F:$F,$C521))="Y","NOW RECONCILED: refresh","OK")))</f>
        <v/>
      </c>
    </row>
    <row r="522" customFormat="false" ht="15" hidden="false" customHeight="false" outlineLevel="0" collapsed="false">
      <c r="A522" s="41"/>
      <c r="B522" s="41"/>
      <c r="C522" s="5" t="n">
        <f aca="false">IF(B522="",0,IF(A522="Bank",IFERROR(MATCH(B522,Bank!$A:$A,0),0),IFERROR(MATCH(B522,GL!$A:$A,0),0)))</f>
        <v>0</v>
      </c>
      <c r="D522" s="32" t="str">
        <f aca="false">IF(C522=0,"",IF($A522="Bank",INDEX(Bank!$B:$B,$C522),INDEX(GL!$B:$B,$C522)))</f>
        <v/>
      </c>
      <c r="E522" s="5" t="str">
        <f aca="false">IF(C522=0,"",IF($A522="Bank",IF(INDEX(Bank!$C:$C,$C522)="","",INDEX(Bank!$C:$C,$C522)),IF(INDEX(GL!$C:$C,$C522)="","",INDEX(GL!$C:$C,$C522))))</f>
        <v/>
      </c>
      <c r="F522" s="5" t="str">
        <f aca="false">IF(C522=0,"",IF($A522="Bank",IF(INDEX(Bank!$D:$D,$C522)="","",INDEX(Bank!$D:$D,$C522)),IF(INDEX(GL!$D:$D,$C522)="","",INDEX(GL!$D:$D,$C522))))</f>
        <v/>
      </c>
      <c r="G522" s="19" t="str">
        <f aca="false">IF(C522=0,"",IF($A522="Bank",INDEX(Bank!$E:$E,$C522),INDEX(GL!$E:$E,$C522)))</f>
        <v/>
      </c>
      <c r="H522" s="5" t="str">
        <f aca="false">IF(C522=0,"",IF(A522="GL",IF(G522&gt;0,"Deposit in transit","Outstanding check / payment"),IF(G522&gt;0,"Bank credit not in GL","Bank debit not in GL")))</f>
        <v/>
      </c>
      <c r="I522" s="42" t="str">
        <f aca="false">IF(OR(C522=0,CFG_PeriodEnd=""),"",CFG_PeriodEnd-D522)</f>
        <v/>
      </c>
      <c r="J522" s="5" t="str">
        <f aca="false">IF(C522=0,"",IF($A522="Bank",IF(INDEX(Bank!$G:$G,$C522)="","",INDEX(Bank!$G:$G,$C522)),IF(INDEX(GL!$G:$G,$C522)="","",INDEX(GL!$G:$G,$C522))))</f>
        <v/>
      </c>
      <c r="K522" s="5" t="str">
        <f aca="false">IF(C522=0,"",IF($A522="Bank",IF(INDEX(Bank!$I:$I,$C522)="","",INDEX(Bank!$I:$I,$C522)),IF(INDEX(GL!$I:$I,$C522)="","",INDEX(GL!$I:$I,$C522))))</f>
        <v/>
      </c>
      <c r="L522" s="5" t="str">
        <f aca="false">IF(B522="","",IF(C522=0,"NOT FOUND",IF(IF($A522="Bank",INDEX(Bank!$F:$F,$C522),INDEX(GL!$F:$F,$C522))="Y","NOW RECONCILED: refresh","OK")))</f>
        <v/>
      </c>
    </row>
    <row r="523" customFormat="false" ht="15" hidden="false" customHeight="false" outlineLevel="0" collapsed="false">
      <c r="A523" s="41"/>
      <c r="B523" s="41"/>
      <c r="C523" s="5" t="n">
        <f aca="false">IF(B523="",0,IF(A523="Bank",IFERROR(MATCH(B523,Bank!$A:$A,0),0),IFERROR(MATCH(B523,GL!$A:$A,0),0)))</f>
        <v>0</v>
      </c>
      <c r="D523" s="32" t="str">
        <f aca="false">IF(C523=0,"",IF($A523="Bank",INDEX(Bank!$B:$B,$C523),INDEX(GL!$B:$B,$C523)))</f>
        <v/>
      </c>
      <c r="E523" s="5" t="str">
        <f aca="false">IF(C523=0,"",IF($A523="Bank",IF(INDEX(Bank!$C:$C,$C523)="","",INDEX(Bank!$C:$C,$C523)),IF(INDEX(GL!$C:$C,$C523)="","",INDEX(GL!$C:$C,$C523))))</f>
        <v/>
      </c>
      <c r="F523" s="5" t="str">
        <f aca="false">IF(C523=0,"",IF($A523="Bank",IF(INDEX(Bank!$D:$D,$C523)="","",INDEX(Bank!$D:$D,$C523)),IF(INDEX(GL!$D:$D,$C523)="","",INDEX(GL!$D:$D,$C523))))</f>
        <v/>
      </c>
      <c r="G523" s="19" t="str">
        <f aca="false">IF(C523=0,"",IF($A523="Bank",INDEX(Bank!$E:$E,$C523),INDEX(GL!$E:$E,$C523)))</f>
        <v/>
      </c>
      <c r="H523" s="5" t="str">
        <f aca="false">IF(C523=0,"",IF(A523="GL",IF(G523&gt;0,"Deposit in transit","Outstanding check / payment"),IF(G523&gt;0,"Bank credit not in GL","Bank debit not in GL")))</f>
        <v/>
      </c>
      <c r="I523" s="42" t="str">
        <f aca="false">IF(OR(C523=0,CFG_PeriodEnd=""),"",CFG_PeriodEnd-D523)</f>
        <v/>
      </c>
      <c r="J523" s="5" t="str">
        <f aca="false">IF(C523=0,"",IF($A523="Bank",IF(INDEX(Bank!$G:$G,$C523)="","",INDEX(Bank!$G:$G,$C523)),IF(INDEX(GL!$G:$G,$C523)="","",INDEX(GL!$G:$G,$C523))))</f>
        <v/>
      </c>
      <c r="K523" s="5" t="str">
        <f aca="false">IF(C523=0,"",IF($A523="Bank",IF(INDEX(Bank!$I:$I,$C523)="","",INDEX(Bank!$I:$I,$C523)),IF(INDEX(GL!$I:$I,$C523)="","",INDEX(GL!$I:$I,$C523))))</f>
        <v/>
      </c>
      <c r="L523" s="5" t="str">
        <f aca="false">IF(B523="","",IF(C523=0,"NOT FOUND",IF(IF($A523="Bank",INDEX(Bank!$F:$F,$C523),INDEX(GL!$F:$F,$C523))="Y","NOW RECONCILED: refresh","OK")))</f>
        <v/>
      </c>
    </row>
    <row r="524" customFormat="false" ht="15" hidden="false" customHeight="false" outlineLevel="0" collapsed="false">
      <c r="A524" s="41"/>
      <c r="B524" s="41"/>
      <c r="C524" s="5" t="n">
        <f aca="false">IF(B524="",0,IF(A524="Bank",IFERROR(MATCH(B524,Bank!$A:$A,0),0),IFERROR(MATCH(B524,GL!$A:$A,0),0)))</f>
        <v>0</v>
      </c>
      <c r="D524" s="32" t="str">
        <f aca="false">IF(C524=0,"",IF($A524="Bank",INDEX(Bank!$B:$B,$C524),INDEX(GL!$B:$B,$C524)))</f>
        <v/>
      </c>
      <c r="E524" s="5" t="str">
        <f aca="false">IF(C524=0,"",IF($A524="Bank",IF(INDEX(Bank!$C:$C,$C524)="","",INDEX(Bank!$C:$C,$C524)),IF(INDEX(GL!$C:$C,$C524)="","",INDEX(GL!$C:$C,$C524))))</f>
        <v/>
      </c>
      <c r="F524" s="5" t="str">
        <f aca="false">IF(C524=0,"",IF($A524="Bank",IF(INDEX(Bank!$D:$D,$C524)="","",INDEX(Bank!$D:$D,$C524)),IF(INDEX(GL!$D:$D,$C524)="","",INDEX(GL!$D:$D,$C524))))</f>
        <v/>
      </c>
      <c r="G524" s="19" t="str">
        <f aca="false">IF(C524=0,"",IF($A524="Bank",INDEX(Bank!$E:$E,$C524),INDEX(GL!$E:$E,$C524)))</f>
        <v/>
      </c>
      <c r="H524" s="5" t="str">
        <f aca="false">IF(C524=0,"",IF(A524="GL",IF(G524&gt;0,"Deposit in transit","Outstanding check / payment"),IF(G524&gt;0,"Bank credit not in GL","Bank debit not in GL")))</f>
        <v/>
      </c>
      <c r="I524" s="42" t="str">
        <f aca="false">IF(OR(C524=0,CFG_PeriodEnd=""),"",CFG_PeriodEnd-D524)</f>
        <v/>
      </c>
      <c r="J524" s="5" t="str">
        <f aca="false">IF(C524=0,"",IF($A524="Bank",IF(INDEX(Bank!$G:$G,$C524)="","",INDEX(Bank!$G:$G,$C524)),IF(INDEX(GL!$G:$G,$C524)="","",INDEX(GL!$G:$G,$C524))))</f>
        <v/>
      </c>
      <c r="K524" s="5" t="str">
        <f aca="false">IF(C524=0,"",IF($A524="Bank",IF(INDEX(Bank!$I:$I,$C524)="","",INDEX(Bank!$I:$I,$C524)),IF(INDEX(GL!$I:$I,$C524)="","",INDEX(GL!$I:$I,$C524))))</f>
        <v/>
      </c>
      <c r="L524" s="5" t="str">
        <f aca="false">IF(B524="","",IF(C524=0,"NOT FOUND",IF(IF($A524="Bank",INDEX(Bank!$F:$F,$C524),INDEX(GL!$F:$F,$C524))="Y","NOW RECONCILED: refresh","OK")))</f>
        <v/>
      </c>
    </row>
    <row r="525" customFormat="false" ht="15" hidden="false" customHeight="false" outlineLevel="0" collapsed="false">
      <c r="A525" s="41"/>
      <c r="B525" s="41"/>
      <c r="C525" s="5" t="n">
        <f aca="false">IF(B525="",0,IF(A525="Bank",IFERROR(MATCH(B525,Bank!$A:$A,0),0),IFERROR(MATCH(B525,GL!$A:$A,0),0)))</f>
        <v>0</v>
      </c>
      <c r="D525" s="32" t="str">
        <f aca="false">IF(C525=0,"",IF($A525="Bank",INDEX(Bank!$B:$B,$C525),INDEX(GL!$B:$B,$C525)))</f>
        <v/>
      </c>
      <c r="E525" s="5" t="str">
        <f aca="false">IF(C525=0,"",IF($A525="Bank",IF(INDEX(Bank!$C:$C,$C525)="","",INDEX(Bank!$C:$C,$C525)),IF(INDEX(GL!$C:$C,$C525)="","",INDEX(GL!$C:$C,$C525))))</f>
        <v/>
      </c>
      <c r="F525" s="5" t="str">
        <f aca="false">IF(C525=0,"",IF($A525="Bank",IF(INDEX(Bank!$D:$D,$C525)="","",INDEX(Bank!$D:$D,$C525)),IF(INDEX(GL!$D:$D,$C525)="","",INDEX(GL!$D:$D,$C525))))</f>
        <v/>
      </c>
      <c r="G525" s="19" t="str">
        <f aca="false">IF(C525=0,"",IF($A525="Bank",INDEX(Bank!$E:$E,$C525),INDEX(GL!$E:$E,$C525)))</f>
        <v/>
      </c>
      <c r="H525" s="5" t="str">
        <f aca="false">IF(C525=0,"",IF(A525="GL",IF(G525&gt;0,"Deposit in transit","Outstanding check / payment"),IF(G525&gt;0,"Bank credit not in GL","Bank debit not in GL")))</f>
        <v/>
      </c>
      <c r="I525" s="42" t="str">
        <f aca="false">IF(OR(C525=0,CFG_PeriodEnd=""),"",CFG_PeriodEnd-D525)</f>
        <v/>
      </c>
      <c r="J525" s="5" t="str">
        <f aca="false">IF(C525=0,"",IF($A525="Bank",IF(INDEX(Bank!$G:$G,$C525)="","",INDEX(Bank!$G:$G,$C525)),IF(INDEX(GL!$G:$G,$C525)="","",INDEX(GL!$G:$G,$C525))))</f>
        <v/>
      </c>
      <c r="K525" s="5" t="str">
        <f aca="false">IF(C525=0,"",IF($A525="Bank",IF(INDEX(Bank!$I:$I,$C525)="","",INDEX(Bank!$I:$I,$C525)),IF(INDEX(GL!$I:$I,$C525)="","",INDEX(GL!$I:$I,$C525))))</f>
        <v/>
      </c>
      <c r="L525" s="5" t="str">
        <f aca="false">IF(B525="","",IF(C525=0,"NOT FOUND",IF(IF($A525="Bank",INDEX(Bank!$F:$F,$C525),INDEX(GL!$F:$F,$C525))="Y","NOW RECONCILED: refresh","OK")))</f>
        <v/>
      </c>
    </row>
    <row r="526" customFormat="false" ht="15" hidden="false" customHeight="false" outlineLevel="0" collapsed="false">
      <c r="A526" s="41"/>
      <c r="B526" s="41"/>
      <c r="C526" s="5" t="n">
        <f aca="false">IF(B526="",0,IF(A526="Bank",IFERROR(MATCH(B526,Bank!$A:$A,0),0),IFERROR(MATCH(B526,GL!$A:$A,0),0)))</f>
        <v>0</v>
      </c>
      <c r="D526" s="32" t="str">
        <f aca="false">IF(C526=0,"",IF($A526="Bank",INDEX(Bank!$B:$B,$C526),INDEX(GL!$B:$B,$C526)))</f>
        <v/>
      </c>
      <c r="E526" s="5" t="str">
        <f aca="false">IF(C526=0,"",IF($A526="Bank",IF(INDEX(Bank!$C:$C,$C526)="","",INDEX(Bank!$C:$C,$C526)),IF(INDEX(GL!$C:$C,$C526)="","",INDEX(GL!$C:$C,$C526))))</f>
        <v/>
      </c>
      <c r="F526" s="5" t="str">
        <f aca="false">IF(C526=0,"",IF($A526="Bank",IF(INDEX(Bank!$D:$D,$C526)="","",INDEX(Bank!$D:$D,$C526)),IF(INDEX(GL!$D:$D,$C526)="","",INDEX(GL!$D:$D,$C526))))</f>
        <v/>
      </c>
      <c r="G526" s="19" t="str">
        <f aca="false">IF(C526=0,"",IF($A526="Bank",INDEX(Bank!$E:$E,$C526),INDEX(GL!$E:$E,$C526)))</f>
        <v/>
      </c>
      <c r="H526" s="5" t="str">
        <f aca="false">IF(C526=0,"",IF(A526="GL",IF(G526&gt;0,"Deposit in transit","Outstanding check / payment"),IF(G526&gt;0,"Bank credit not in GL","Bank debit not in GL")))</f>
        <v/>
      </c>
      <c r="I526" s="42" t="str">
        <f aca="false">IF(OR(C526=0,CFG_PeriodEnd=""),"",CFG_PeriodEnd-D526)</f>
        <v/>
      </c>
      <c r="J526" s="5" t="str">
        <f aca="false">IF(C526=0,"",IF($A526="Bank",IF(INDEX(Bank!$G:$G,$C526)="","",INDEX(Bank!$G:$G,$C526)),IF(INDEX(GL!$G:$G,$C526)="","",INDEX(GL!$G:$G,$C526))))</f>
        <v/>
      </c>
      <c r="K526" s="5" t="str">
        <f aca="false">IF(C526=0,"",IF($A526="Bank",IF(INDEX(Bank!$I:$I,$C526)="","",INDEX(Bank!$I:$I,$C526)),IF(INDEX(GL!$I:$I,$C526)="","",INDEX(GL!$I:$I,$C526))))</f>
        <v/>
      </c>
      <c r="L526" s="5" t="str">
        <f aca="false">IF(B526="","",IF(C526=0,"NOT FOUND",IF(IF($A526="Bank",INDEX(Bank!$F:$F,$C526),INDEX(GL!$F:$F,$C526))="Y","NOW RECONCILED: refresh","OK")))</f>
        <v/>
      </c>
    </row>
    <row r="527" customFormat="false" ht="15" hidden="false" customHeight="false" outlineLevel="0" collapsed="false">
      <c r="A527" s="41"/>
      <c r="B527" s="41"/>
      <c r="C527" s="5" t="n">
        <f aca="false">IF(B527="",0,IF(A527="Bank",IFERROR(MATCH(B527,Bank!$A:$A,0),0),IFERROR(MATCH(B527,GL!$A:$A,0),0)))</f>
        <v>0</v>
      </c>
      <c r="D527" s="32" t="str">
        <f aca="false">IF(C527=0,"",IF($A527="Bank",INDEX(Bank!$B:$B,$C527),INDEX(GL!$B:$B,$C527)))</f>
        <v/>
      </c>
      <c r="E527" s="5" t="str">
        <f aca="false">IF(C527=0,"",IF($A527="Bank",IF(INDEX(Bank!$C:$C,$C527)="","",INDEX(Bank!$C:$C,$C527)),IF(INDEX(GL!$C:$C,$C527)="","",INDEX(GL!$C:$C,$C527))))</f>
        <v/>
      </c>
      <c r="F527" s="5" t="str">
        <f aca="false">IF(C527=0,"",IF($A527="Bank",IF(INDEX(Bank!$D:$D,$C527)="","",INDEX(Bank!$D:$D,$C527)),IF(INDEX(GL!$D:$D,$C527)="","",INDEX(GL!$D:$D,$C527))))</f>
        <v/>
      </c>
      <c r="G527" s="19" t="str">
        <f aca="false">IF(C527=0,"",IF($A527="Bank",INDEX(Bank!$E:$E,$C527),INDEX(GL!$E:$E,$C527)))</f>
        <v/>
      </c>
      <c r="H527" s="5" t="str">
        <f aca="false">IF(C527=0,"",IF(A527="GL",IF(G527&gt;0,"Deposit in transit","Outstanding check / payment"),IF(G527&gt;0,"Bank credit not in GL","Bank debit not in GL")))</f>
        <v/>
      </c>
      <c r="I527" s="42" t="str">
        <f aca="false">IF(OR(C527=0,CFG_PeriodEnd=""),"",CFG_PeriodEnd-D527)</f>
        <v/>
      </c>
      <c r="J527" s="5" t="str">
        <f aca="false">IF(C527=0,"",IF($A527="Bank",IF(INDEX(Bank!$G:$G,$C527)="","",INDEX(Bank!$G:$G,$C527)),IF(INDEX(GL!$G:$G,$C527)="","",INDEX(GL!$G:$G,$C527))))</f>
        <v/>
      </c>
      <c r="K527" s="5" t="str">
        <f aca="false">IF(C527=0,"",IF($A527="Bank",IF(INDEX(Bank!$I:$I,$C527)="","",INDEX(Bank!$I:$I,$C527)),IF(INDEX(GL!$I:$I,$C527)="","",INDEX(GL!$I:$I,$C527))))</f>
        <v/>
      </c>
      <c r="L527" s="5" t="str">
        <f aca="false">IF(B527="","",IF(C527=0,"NOT FOUND",IF(IF($A527="Bank",INDEX(Bank!$F:$F,$C527),INDEX(GL!$F:$F,$C527))="Y","NOW RECONCILED: refresh","OK")))</f>
        <v/>
      </c>
    </row>
    <row r="528" customFormat="false" ht="15" hidden="false" customHeight="false" outlineLevel="0" collapsed="false">
      <c r="A528" s="41"/>
      <c r="B528" s="41"/>
      <c r="C528" s="5" t="n">
        <f aca="false">IF(B528="",0,IF(A528="Bank",IFERROR(MATCH(B528,Bank!$A:$A,0),0),IFERROR(MATCH(B528,GL!$A:$A,0),0)))</f>
        <v>0</v>
      </c>
      <c r="D528" s="32" t="str">
        <f aca="false">IF(C528=0,"",IF($A528="Bank",INDEX(Bank!$B:$B,$C528),INDEX(GL!$B:$B,$C528)))</f>
        <v/>
      </c>
      <c r="E528" s="5" t="str">
        <f aca="false">IF(C528=0,"",IF($A528="Bank",IF(INDEX(Bank!$C:$C,$C528)="","",INDEX(Bank!$C:$C,$C528)),IF(INDEX(GL!$C:$C,$C528)="","",INDEX(GL!$C:$C,$C528))))</f>
        <v/>
      </c>
      <c r="F528" s="5" t="str">
        <f aca="false">IF(C528=0,"",IF($A528="Bank",IF(INDEX(Bank!$D:$D,$C528)="","",INDEX(Bank!$D:$D,$C528)),IF(INDEX(GL!$D:$D,$C528)="","",INDEX(GL!$D:$D,$C528))))</f>
        <v/>
      </c>
      <c r="G528" s="19" t="str">
        <f aca="false">IF(C528=0,"",IF($A528="Bank",INDEX(Bank!$E:$E,$C528),INDEX(GL!$E:$E,$C528)))</f>
        <v/>
      </c>
      <c r="H528" s="5" t="str">
        <f aca="false">IF(C528=0,"",IF(A528="GL",IF(G528&gt;0,"Deposit in transit","Outstanding check / payment"),IF(G528&gt;0,"Bank credit not in GL","Bank debit not in GL")))</f>
        <v/>
      </c>
      <c r="I528" s="42" t="str">
        <f aca="false">IF(OR(C528=0,CFG_PeriodEnd=""),"",CFG_PeriodEnd-D528)</f>
        <v/>
      </c>
      <c r="J528" s="5" t="str">
        <f aca="false">IF(C528=0,"",IF($A528="Bank",IF(INDEX(Bank!$G:$G,$C528)="","",INDEX(Bank!$G:$G,$C528)),IF(INDEX(GL!$G:$G,$C528)="","",INDEX(GL!$G:$G,$C528))))</f>
        <v/>
      </c>
      <c r="K528" s="5" t="str">
        <f aca="false">IF(C528=0,"",IF($A528="Bank",IF(INDEX(Bank!$I:$I,$C528)="","",INDEX(Bank!$I:$I,$C528)),IF(INDEX(GL!$I:$I,$C528)="","",INDEX(GL!$I:$I,$C528))))</f>
        <v/>
      </c>
      <c r="L528" s="5" t="str">
        <f aca="false">IF(B528="","",IF(C528=0,"NOT FOUND",IF(IF($A528="Bank",INDEX(Bank!$F:$F,$C528),INDEX(GL!$F:$F,$C528))="Y","NOW RECONCILED: refresh","OK")))</f>
        <v/>
      </c>
    </row>
    <row r="529" customFormat="false" ht="15" hidden="false" customHeight="false" outlineLevel="0" collapsed="false">
      <c r="A529" s="41"/>
      <c r="B529" s="41"/>
      <c r="C529" s="5" t="n">
        <f aca="false">IF(B529="",0,IF(A529="Bank",IFERROR(MATCH(B529,Bank!$A:$A,0),0),IFERROR(MATCH(B529,GL!$A:$A,0),0)))</f>
        <v>0</v>
      </c>
      <c r="D529" s="32" t="str">
        <f aca="false">IF(C529=0,"",IF($A529="Bank",INDEX(Bank!$B:$B,$C529),INDEX(GL!$B:$B,$C529)))</f>
        <v/>
      </c>
      <c r="E529" s="5" t="str">
        <f aca="false">IF(C529=0,"",IF($A529="Bank",IF(INDEX(Bank!$C:$C,$C529)="","",INDEX(Bank!$C:$C,$C529)),IF(INDEX(GL!$C:$C,$C529)="","",INDEX(GL!$C:$C,$C529))))</f>
        <v/>
      </c>
      <c r="F529" s="5" t="str">
        <f aca="false">IF(C529=0,"",IF($A529="Bank",IF(INDEX(Bank!$D:$D,$C529)="","",INDEX(Bank!$D:$D,$C529)),IF(INDEX(GL!$D:$D,$C529)="","",INDEX(GL!$D:$D,$C529))))</f>
        <v/>
      </c>
      <c r="G529" s="19" t="str">
        <f aca="false">IF(C529=0,"",IF($A529="Bank",INDEX(Bank!$E:$E,$C529),INDEX(GL!$E:$E,$C529)))</f>
        <v/>
      </c>
      <c r="H529" s="5" t="str">
        <f aca="false">IF(C529=0,"",IF(A529="GL",IF(G529&gt;0,"Deposit in transit","Outstanding check / payment"),IF(G529&gt;0,"Bank credit not in GL","Bank debit not in GL")))</f>
        <v/>
      </c>
      <c r="I529" s="42" t="str">
        <f aca="false">IF(OR(C529=0,CFG_PeriodEnd=""),"",CFG_PeriodEnd-D529)</f>
        <v/>
      </c>
      <c r="J529" s="5" t="str">
        <f aca="false">IF(C529=0,"",IF($A529="Bank",IF(INDEX(Bank!$G:$G,$C529)="","",INDEX(Bank!$G:$G,$C529)),IF(INDEX(GL!$G:$G,$C529)="","",INDEX(GL!$G:$G,$C529))))</f>
        <v/>
      </c>
      <c r="K529" s="5" t="str">
        <f aca="false">IF(C529=0,"",IF($A529="Bank",IF(INDEX(Bank!$I:$I,$C529)="","",INDEX(Bank!$I:$I,$C529)),IF(INDEX(GL!$I:$I,$C529)="","",INDEX(GL!$I:$I,$C529))))</f>
        <v/>
      </c>
      <c r="L529" s="5" t="str">
        <f aca="false">IF(B529="","",IF(C529=0,"NOT FOUND",IF(IF($A529="Bank",INDEX(Bank!$F:$F,$C529),INDEX(GL!$F:$F,$C529))="Y","NOW RECONCILED: refresh","OK")))</f>
        <v/>
      </c>
    </row>
    <row r="530" customFormat="false" ht="15" hidden="false" customHeight="false" outlineLevel="0" collapsed="false">
      <c r="A530" s="41"/>
      <c r="B530" s="41"/>
      <c r="C530" s="5" t="n">
        <f aca="false">IF(B530="",0,IF(A530="Bank",IFERROR(MATCH(B530,Bank!$A:$A,0),0),IFERROR(MATCH(B530,GL!$A:$A,0),0)))</f>
        <v>0</v>
      </c>
      <c r="D530" s="32" t="str">
        <f aca="false">IF(C530=0,"",IF($A530="Bank",INDEX(Bank!$B:$B,$C530),INDEX(GL!$B:$B,$C530)))</f>
        <v/>
      </c>
      <c r="E530" s="5" t="str">
        <f aca="false">IF(C530=0,"",IF($A530="Bank",IF(INDEX(Bank!$C:$C,$C530)="","",INDEX(Bank!$C:$C,$C530)),IF(INDEX(GL!$C:$C,$C530)="","",INDEX(GL!$C:$C,$C530))))</f>
        <v/>
      </c>
      <c r="F530" s="5" t="str">
        <f aca="false">IF(C530=0,"",IF($A530="Bank",IF(INDEX(Bank!$D:$D,$C530)="","",INDEX(Bank!$D:$D,$C530)),IF(INDEX(GL!$D:$D,$C530)="","",INDEX(GL!$D:$D,$C530))))</f>
        <v/>
      </c>
      <c r="G530" s="19" t="str">
        <f aca="false">IF(C530=0,"",IF($A530="Bank",INDEX(Bank!$E:$E,$C530),INDEX(GL!$E:$E,$C530)))</f>
        <v/>
      </c>
      <c r="H530" s="5" t="str">
        <f aca="false">IF(C530=0,"",IF(A530="GL",IF(G530&gt;0,"Deposit in transit","Outstanding check / payment"),IF(G530&gt;0,"Bank credit not in GL","Bank debit not in GL")))</f>
        <v/>
      </c>
      <c r="I530" s="42" t="str">
        <f aca="false">IF(OR(C530=0,CFG_PeriodEnd=""),"",CFG_PeriodEnd-D530)</f>
        <v/>
      </c>
      <c r="J530" s="5" t="str">
        <f aca="false">IF(C530=0,"",IF($A530="Bank",IF(INDEX(Bank!$G:$G,$C530)="","",INDEX(Bank!$G:$G,$C530)),IF(INDEX(GL!$G:$G,$C530)="","",INDEX(GL!$G:$G,$C530))))</f>
        <v/>
      </c>
      <c r="K530" s="5" t="str">
        <f aca="false">IF(C530=0,"",IF($A530="Bank",IF(INDEX(Bank!$I:$I,$C530)="","",INDEX(Bank!$I:$I,$C530)),IF(INDEX(GL!$I:$I,$C530)="","",INDEX(GL!$I:$I,$C530))))</f>
        <v/>
      </c>
      <c r="L530" s="5" t="str">
        <f aca="false">IF(B530="","",IF(C530=0,"NOT FOUND",IF(IF($A530="Bank",INDEX(Bank!$F:$F,$C530),INDEX(GL!$F:$F,$C530))="Y","NOW RECONCILED: refresh","OK")))</f>
        <v/>
      </c>
    </row>
    <row r="531" customFormat="false" ht="15" hidden="false" customHeight="false" outlineLevel="0" collapsed="false">
      <c r="A531" s="41"/>
      <c r="B531" s="41"/>
      <c r="C531" s="5" t="n">
        <f aca="false">IF(B531="",0,IF(A531="Bank",IFERROR(MATCH(B531,Bank!$A:$A,0),0),IFERROR(MATCH(B531,GL!$A:$A,0),0)))</f>
        <v>0</v>
      </c>
      <c r="D531" s="32" t="str">
        <f aca="false">IF(C531=0,"",IF($A531="Bank",INDEX(Bank!$B:$B,$C531),INDEX(GL!$B:$B,$C531)))</f>
        <v/>
      </c>
      <c r="E531" s="5" t="str">
        <f aca="false">IF(C531=0,"",IF($A531="Bank",IF(INDEX(Bank!$C:$C,$C531)="","",INDEX(Bank!$C:$C,$C531)),IF(INDEX(GL!$C:$C,$C531)="","",INDEX(GL!$C:$C,$C531))))</f>
        <v/>
      </c>
      <c r="F531" s="5" t="str">
        <f aca="false">IF(C531=0,"",IF($A531="Bank",IF(INDEX(Bank!$D:$D,$C531)="","",INDEX(Bank!$D:$D,$C531)),IF(INDEX(GL!$D:$D,$C531)="","",INDEX(GL!$D:$D,$C531))))</f>
        <v/>
      </c>
      <c r="G531" s="19" t="str">
        <f aca="false">IF(C531=0,"",IF($A531="Bank",INDEX(Bank!$E:$E,$C531),INDEX(GL!$E:$E,$C531)))</f>
        <v/>
      </c>
      <c r="H531" s="5" t="str">
        <f aca="false">IF(C531=0,"",IF(A531="GL",IF(G531&gt;0,"Deposit in transit","Outstanding check / payment"),IF(G531&gt;0,"Bank credit not in GL","Bank debit not in GL")))</f>
        <v/>
      </c>
      <c r="I531" s="42" t="str">
        <f aca="false">IF(OR(C531=0,CFG_PeriodEnd=""),"",CFG_PeriodEnd-D531)</f>
        <v/>
      </c>
      <c r="J531" s="5" t="str">
        <f aca="false">IF(C531=0,"",IF($A531="Bank",IF(INDEX(Bank!$G:$G,$C531)="","",INDEX(Bank!$G:$G,$C531)),IF(INDEX(GL!$G:$G,$C531)="","",INDEX(GL!$G:$G,$C531))))</f>
        <v/>
      </c>
      <c r="K531" s="5" t="str">
        <f aca="false">IF(C531=0,"",IF($A531="Bank",IF(INDEX(Bank!$I:$I,$C531)="","",INDEX(Bank!$I:$I,$C531)),IF(INDEX(GL!$I:$I,$C531)="","",INDEX(GL!$I:$I,$C531))))</f>
        <v/>
      </c>
      <c r="L531" s="5" t="str">
        <f aca="false">IF(B531="","",IF(C531=0,"NOT FOUND",IF(IF($A531="Bank",INDEX(Bank!$F:$F,$C531),INDEX(GL!$F:$F,$C531))="Y","NOW RECONCILED: refresh","OK")))</f>
        <v/>
      </c>
    </row>
    <row r="532" customFormat="false" ht="15" hidden="false" customHeight="false" outlineLevel="0" collapsed="false">
      <c r="A532" s="41"/>
      <c r="B532" s="41"/>
      <c r="C532" s="5" t="n">
        <f aca="false">IF(B532="",0,IF(A532="Bank",IFERROR(MATCH(B532,Bank!$A:$A,0),0),IFERROR(MATCH(B532,GL!$A:$A,0),0)))</f>
        <v>0</v>
      </c>
      <c r="D532" s="32" t="str">
        <f aca="false">IF(C532=0,"",IF($A532="Bank",INDEX(Bank!$B:$B,$C532),INDEX(GL!$B:$B,$C532)))</f>
        <v/>
      </c>
      <c r="E532" s="5" t="str">
        <f aca="false">IF(C532=0,"",IF($A532="Bank",IF(INDEX(Bank!$C:$C,$C532)="","",INDEX(Bank!$C:$C,$C532)),IF(INDEX(GL!$C:$C,$C532)="","",INDEX(GL!$C:$C,$C532))))</f>
        <v/>
      </c>
      <c r="F532" s="5" t="str">
        <f aca="false">IF(C532=0,"",IF($A532="Bank",IF(INDEX(Bank!$D:$D,$C532)="","",INDEX(Bank!$D:$D,$C532)),IF(INDEX(GL!$D:$D,$C532)="","",INDEX(GL!$D:$D,$C532))))</f>
        <v/>
      </c>
      <c r="G532" s="19" t="str">
        <f aca="false">IF(C532=0,"",IF($A532="Bank",INDEX(Bank!$E:$E,$C532),INDEX(GL!$E:$E,$C532)))</f>
        <v/>
      </c>
      <c r="H532" s="5" t="str">
        <f aca="false">IF(C532=0,"",IF(A532="GL",IF(G532&gt;0,"Deposit in transit","Outstanding check / payment"),IF(G532&gt;0,"Bank credit not in GL","Bank debit not in GL")))</f>
        <v/>
      </c>
      <c r="I532" s="42" t="str">
        <f aca="false">IF(OR(C532=0,CFG_PeriodEnd=""),"",CFG_PeriodEnd-D532)</f>
        <v/>
      </c>
      <c r="J532" s="5" t="str">
        <f aca="false">IF(C532=0,"",IF($A532="Bank",IF(INDEX(Bank!$G:$G,$C532)="","",INDEX(Bank!$G:$G,$C532)),IF(INDEX(GL!$G:$G,$C532)="","",INDEX(GL!$G:$G,$C532))))</f>
        <v/>
      </c>
      <c r="K532" s="5" t="str">
        <f aca="false">IF(C532=0,"",IF($A532="Bank",IF(INDEX(Bank!$I:$I,$C532)="","",INDEX(Bank!$I:$I,$C532)),IF(INDEX(GL!$I:$I,$C532)="","",INDEX(GL!$I:$I,$C532))))</f>
        <v/>
      </c>
      <c r="L532" s="5" t="str">
        <f aca="false">IF(B532="","",IF(C532=0,"NOT FOUND",IF(IF($A532="Bank",INDEX(Bank!$F:$F,$C532),INDEX(GL!$F:$F,$C532))="Y","NOW RECONCILED: refresh","OK")))</f>
        <v/>
      </c>
    </row>
    <row r="533" customFormat="false" ht="15" hidden="false" customHeight="false" outlineLevel="0" collapsed="false">
      <c r="A533" s="41"/>
      <c r="B533" s="41"/>
      <c r="C533" s="5" t="n">
        <f aca="false">IF(B533="",0,IF(A533="Bank",IFERROR(MATCH(B533,Bank!$A:$A,0),0),IFERROR(MATCH(B533,GL!$A:$A,0),0)))</f>
        <v>0</v>
      </c>
      <c r="D533" s="32" t="str">
        <f aca="false">IF(C533=0,"",IF($A533="Bank",INDEX(Bank!$B:$B,$C533),INDEX(GL!$B:$B,$C533)))</f>
        <v/>
      </c>
      <c r="E533" s="5" t="str">
        <f aca="false">IF(C533=0,"",IF($A533="Bank",IF(INDEX(Bank!$C:$C,$C533)="","",INDEX(Bank!$C:$C,$C533)),IF(INDEX(GL!$C:$C,$C533)="","",INDEX(GL!$C:$C,$C533))))</f>
        <v/>
      </c>
      <c r="F533" s="5" t="str">
        <f aca="false">IF(C533=0,"",IF($A533="Bank",IF(INDEX(Bank!$D:$D,$C533)="","",INDEX(Bank!$D:$D,$C533)),IF(INDEX(GL!$D:$D,$C533)="","",INDEX(GL!$D:$D,$C533))))</f>
        <v/>
      </c>
      <c r="G533" s="19" t="str">
        <f aca="false">IF(C533=0,"",IF($A533="Bank",INDEX(Bank!$E:$E,$C533),INDEX(GL!$E:$E,$C533)))</f>
        <v/>
      </c>
      <c r="H533" s="5" t="str">
        <f aca="false">IF(C533=0,"",IF(A533="GL",IF(G533&gt;0,"Deposit in transit","Outstanding check / payment"),IF(G533&gt;0,"Bank credit not in GL","Bank debit not in GL")))</f>
        <v/>
      </c>
      <c r="I533" s="42" t="str">
        <f aca="false">IF(OR(C533=0,CFG_PeriodEnd=""),"",CFG_PeriodEnd-D533)</f>
        <v/>
      </c>
      <c r="J533" s="5" t="str">
        <f aca="false">IF(C533=0,"",IF($A533="Bank",IF(INDEX(Bank!$G:$G,$C533)="","",INDEX(Bank!$G:$G,$C533)),IF(INDEX(GL!$G:$G,$C533)="","",INDEX(GL!$G:$G,$C533))))</f>
        <v/>
      </c>
      <c r="K533" s="5" t="str">
        <f aca="false">IF(C533=0,"",IF($A533="Bank",IF(INDEX(Bank!$I:$I,$C533)="","",INDEX(Bank!$I:$I,$C533)),IF(INDEX(GL!$I:$I,$C533)="","",INDEX(GL!$I:$I,$C533))))</f>
        <v/>
      </c>
      <c r="L533" s="5" t="str">
        <f aca="false">IF(B533="","",IF(C533=0,"NOT FOUND",IF(IF($A533="Bank",INDEX(Bank!$F:$F,$C533),INDEX(GL!$F:$F,$C533))="Y","NOW RECONCILED: refresh","OK")))</f>
        <v/>
      </c>
    </row>
    <row r="534" customFormat="false" ht="15" hidden="false" customHeight="false" outlineLevel="0" collapsed="false">
      <c r="A534" s="41"/>
      <c r="B534" s="41"/>
      <c r="C534" s="5" t="n">
        <f aca="false">IF(B534="",0,IF(A534="Bank",IFERROR(MATCH(B534,Bank!$A:$A,0),0),IFERROR(MATCH(B534,GL!$A:$A,0),0)))</f>
        <v>0</v>
      </c>
      <c r="D534" s="32" t="str">
        <f aca="false">IF(C534=0,"",IF($A534="Bank",INDEX(Bank!$B:$B,$C534),INDEX(GL!$B:$B,$C534)))</f>
        <v/>
      </c>
      <c r="E534" s="5" t="str">
        <f aca="false">IF(C534=0,"",IF($A534="Bank",IF(INDEX(Bank!$C:$C,$C534)="","",INDEX(Bank!$C:$C,$C534)),IF(INDEX(GL!$C:$C,$C534)="","",INDEX(GL!$C:$C,$C534))))</f>
        <v/>
      </c>
      <c r="F534" s="5" t="str">
        <f aca="false">IF(C534=0,"",IF($A534="Bank",IF(INDEX(Bank!$D:$D,$C534)="","",INDEX(Bank!$D:$D,$C534)),IF(INDEX(GL!$D:$D,$C534)="","",INDEX(GL!$D:$D,$C534))))</f>
        <v/>
      </c>
      <c r="G534" s="19" t="str">
        <f aca="false">IF(C534=0,"",IF($A534="Bank",INDEX(Bank!$E:$E,$C534),INDEX(GL!$E:$E,$C534)))</f>
        <v/>
      </c>
      <c r="H534" s="5" t="str">
        <f aca="false">IF(C534=0,"",IF(A534="GL",IF(G534&gt;0,"Deposit in transit","Outstanding check / payment"),IF(G534&gt;0,"Bank credit not in GL","Bank debit not in GL")))</f>
        <v/>
      </c>
      <c r="I534" s="42" t="str">
        <f aca="false">IF(OR(C534=0,CFG_PeriodEnd=""),"",CFG_PeriodEnd-D534)</f>
        <v/>
      </c>
      <c r="J534" s="5" t="str">
        <f aca="false">IF(C534=0,"",IF($A534="Bank",IF(INDEX(Bank!$G:$G,$C534)="","",INDEX(Bank!$G:$G,$C534)),IF(INDEX(GL!$G:$G,$C534)="","",INDEX(GL!$G:$G,$C534))))</f>
        <v/>
      </c>
      <c r="K534" s="5" t="str">
        <f aca="false">IF(C534=0,"",IF($A534="Bank",IF(INDEX(Bank!$I:$I,$C534)="","",INDEX(Bank!$I:$I,$C534)),IF(INDEX(GL!$I:$I,$C534)="","",INDEX(GL!$I:$I,$C534))))</f>
        <v/>
      </c>
      <c r="L534" s="5" t="str">
        <f aca="false">IF(B534="","",IF(C534=0,"NOT FOUND",IF(IF($A534="Bank",INDEX(Bank!$F:$F,$C534),INDEX(GL!$F:$F,$C534))="Y","NOW RECONCILED: refresh","OK")))</f>
        <v/>
      </c>
    </row>
    <row r="535" customFormat="false" ht="15" hidden="false" customHeight="false" outlineLevel="0" collapsed="false">
      <c r="A535" s="41"/>
      <c r="B535" s="41"/>
      <c r="C535" s="5" t="n">
        <f aca="false">IF(B535="",0,IF(A535="Bank",IFERROR(MATCH(B535,Bank!$A:$A,0),0),IFERROR(MATCH(B535,GL!$A:$A,0),0)))</f>
        <v>0</v>
      </c>
      <c r="D535" s="32" t="str">
        <f aca="false">IF(C535=0,"",IF($A535="Bank",INDEX(Bank!$B:$B,$C535),INDEX(GL!$B:$B,$C535)))</f>
        <v/>
      </c>
      <c r="E535" s="5" t="str">
        <f aca="false">IF(C535=0,"",IF($A535="Bank",IF(INDEX(Bank!$C:$C,$C535)="","",INDEX(Bank!$C:$C,$C535)),IF(INDEX(GL!$C:$C,$C535)="","",INDEX(GL!$C:$C,$C535))))</f>
        <v/>
      </c>
      <c r="F535" s="5" t="str">
        <f aca="false">IF(C535=0,"",IF($A535="Bank",IF(INDEX(Bank!$D:$D,$C535)="","",INDEX(Bank!$D:$D,$C535)),IF(INDEX(GL!$D:$D,$C535)="","",INDEX(GL!$D:$D,$C535))))</f>
        <v/>
      </c>
      <c r="G535" s="19" t="str">
        <f aca="false">IF(C535=0,"",IF($A535="Bank",INDEX(Bank!$E:$E,$C535),INDEX(GL!$E:$E,$C535)))</f>
        <v/>
      </c>
      <c r="H535" s="5" t="str">
        <f aca="false">IF(C535=0,"",IF(A535="GL",IF(G535&gt;0,"Deposit in transit","Outstanding check / payment"),IF(G535&gt;0,"Bank credit not in GL","Bank debit not in GL")))</f>
        <v/>
      </c>
      <c r="I535" s="42" t="str">
        <f aca="false">IF(OR(C535=0,CFG_PeriodEnd=""),"",CFG_PeriodEnd-D535)</f>
        <v/>
      </c>
      <c r="J535" s="5" t="str">
        <f aca="false">IF(C535=0,"",IF($A535="Bank",IF(INDEX(Bank!$G:$G,$C535)="","",INDEX(Bank!$G:$G,$C535)),IF(INDEX(GL!$G:$G,$C535)="","",INDEX(GL!$G:$G,$C535))))</f>
        <v/>
      </c>
      <c r="K535" s="5" t="str">
        <f aca="false">IF(C535=0,"",IF($A535="Bank",IF(INDEX(Bank!$I:$I,$C535)="","",INDEX(Bank!$I:$I,$C535)),IF(INDEX(GL!$I:$I,$C535)="","",INDEX(GL!$I:$I,$C535))))</f>
        <v/>
      </c>
      <c r="L535" s="5" t="str">
        <f aca="false">IF(B535="","",IF(C535=0,"NOT FOUND",IF(IF($A535="Bank",INDEX(Bank!$F:$F,$C535),INDEX(GL!$F:$F,$C535))="Y","NOW RECONCILED: refresh","OK")))</f>
        <v/>
      </c>
    </row>
    <row r="536" customFormat="false" ht="15" hidden="false" customHeight="false" outlineLevel="0" collapsed="false">
      <c r="A536" s="41"/>
      <c r="B536" s="41"/>
      <c r="C536" s="5" t="n">
        <f aca="false">IF(B536="",0,IF(A536="Bank",IFERROR(MATCH(B536,Bank!$A:$A,0),0),IFERROR(MATCH(B536,GL!$A:$A,0),0)))</f>
        <v>0</v>
      </c>
      <c r="D536" s="32" t="str">
        <f aca="false">IF(C536=0,"",IF($A536="Bank",INDEX(Bank!$B:$B,$C536),INDEX(GL!$B:$B,$C536)))</f>
        <v/>
      </c>
      <c r="E536" s="5" t="str">
        <f aca="false">IF(C536=0,"",IF($A536="Bank",IF(INDEX(Bank!$C:$C,$C536)="","",INDEX(Bank!$C:$C,$C536)),IF(INDEX(GL!$C:$C,$C536)="","",INDEX(GL!$C:$C,$C536))))</f>
        <v/>
      </c>
      <c r="F536" s="5" t="str">
        <f aca="false">IF(C536=0,"",IF($A536="Bank",IF(INDEX(Bank!$D:$D,$C536)="","",INDEX(Bank!$D:$D,$C536)),IF(INDEX(GL!$D:$D,$C536)="","",INDEX(GL!$D:$D,$C536))))</f>
        <v/>
      </c>
      <c r="G536" s="19" t="str">
        <f aca="false">IF(C536=0,"",IF($A536="Bank",INDEX(Bank!$E:$E,$C536),INDEX(GL!$E:$E,$C536)))</f>
        <v/>
      </c>
      <c r="H536" s="5" t="str">
        <f aca="false">IF(C536=0,"",IF(A536="GL",IF(G536&gt;0,"Deposit in transit","Outstanding check / payment"),IF(G536&gt;0,"Bank credit not in GL","Bank debit not in GL")))</f>
        <v/>
      </c>
      <c r="I536" s="42" t="str">
        <f aca="false">IF(OR(C536=0,CFG_PeriodEnd=""),"",CFG_PeriodEnd-D536)</f>
        <v/>
      </c>
      <c r="J536" s="5" t="str">
        <f aca="false">IF(C536=0,"",IF($A536="Bank",IF(INDEX(Bank!$G:$G,$C536)="","",INDEX(Bank!$G:$G,$C536)),IF(INDEX(GL!$G:$G,$C536)="","",INDEX(GL!$G:$G,$C536))))</f>
        <v/>
      </c>
      <c r="K536" s="5" t="str">
        <f aca="false">IF(C536=0,"",IF($A536="Bank",IF(INDEX(Bank!$I:$I,$C536)="","",INDEX(Bank!$I:$I,$C536)),IF(INDEX(GL!$I:$I,$C536)="","",INDEX(GL!$I:$I,$C536))))</f>
        <v/>
      </c>
      <c r="L536" s="5" t="str">
        <f aca="false">IF(B536="","",IF(C536=0,"NOT FOUND",IF(IF($A536="Bank",INDEX(Bank!$F:$F,$C536),INDEX(GL!$F:$F,$C536))="Y","NOW RECONCILED: refresh","OK")))</f>
        <v/>
      </c>
    </row>
    <row r="537" customFormat="false" ht="15" hidden="false" customHeight="false" outlineLevel="0" collapsed="false">
      <c r="A537" s="41"/>
      <c r="B537" s="41"/>
      <c r="C537" s="5" t="n">
        <f aca="false">IF(B537="",0,IF(A537="Bank",IFERROR(MATCH(B537,Bank!$A:$A,0),0),IFERROR(MATCH(B537,GL!$A:$A,0),0)))</f>
        <v>0</v>
      </c>
      <c r="D537" s="32" t="str">
        <f aca="false">IF(C537=0,"",IF($A537="Bank",INDEX(Bank!$B:$B,$C537),INDEX(GL!$B:$B,$C537)))</f>
        <v/>
      </c>
      <c r="E537" s="5" t="str">
        <f aca="false">IF(C537=0,"",IF($A537="Bank",IF(INDEX(Bank!$C:$C,$C537)="","",INDEX(Bank!$C:$C,$C537)),IF(INDEX(GL!$C:$C,$C537)="","",INDEX(GL!$C:$C,$C537))))</f>
        <v/>
      </c>
      <c r="F537" s="5" t="str">
        <f aca="false">IF(C537=0,"",IF($A537="Bank",IF(INDEX(Bank!$D:$D,$C537)="","",INDEX(Bank!$D:$D,$C537)),IF(INDEX(GL!$D:$D,$C537)="","",INDEX(GL!$D:$D,$C537))))</f>
        <v/>
      </c>
      <c r="G537" s="19" t="str">
        <f aca="false">IF(C537=0,"",IF($A537="Bank",INDEX(Bank!$E:$E,$C537),INDEX(GL!$E:$E,$C537)))</f>
        <v/>
      </c>
      <c r="H537" s="5" t="str">
        <f aca="false">IF(C537=0,"",IF(A537="GL",IF(G537&gt;0,"Deposit in transit","Outstanding check / payment"),IF(G537&gt;0,"Bank credit not in GL","Bank debit not in GL")))</f>
        <v/>
      </c>
      <c r="I537" s="42" t="str">
        <f aca="false">IF(OR(C537=0,CFG_PeriodEnd=""),"",CFG_PeriodEnd-D537)</f>
        <v/>
      </c>
      <c r="J537" s="5" t="str">
        <f aca="false">IF(C537=0,"",IF($A537="Bank",IF(INDEX(Bank!$G:$G,$C537)="","",INDEX(Bank!$G:$G,$C537)),IF(INDEX(GL!$G:$G,$C537)="","",INDEX(GL!$G:$G,$C537))))</f>
        <v/>
      </c>
      <c r="K537" s="5" t="str">
        <f aca="false">IF(C537=0,"",IF($A537="Bank",IF(INDEX(Bank!$I:$I,$C537)="","",INDEX(Bank!$I:$I,$C537)),IF(INDEX(GL!$I:$I,$C537)="","",INDEX(GL!$I:$I,$C537))))</f>
        <v/>
      </c>
      <c r="L537" s="5" t="str">
        <f aca="false">IF(B537="","",IF(C537=0,"NOT FOUND",IF(IF($A537="Bank",INDEX(Bank!$F:$F,$C537),INDEX(GL!$F:$F,$C537))="Y","NOW RECONCILED: refresh","OK")))</f>
        <v/>
      </c>
    </row>
    <row r="538" customFormat="false" ht="15" hidden="false" customHeight="false" outlineLevel="0" collapsed="false">
      <c r="A538" s="41"/>
      <c r="B538" s="41"/>
      <c r="C538" s="5" t="n">
        <f aca="false">IF(B538="",0,IF(A538="Bank",IFERROR(MATCH(B538,Bank!$A:$A,0),0),IFERROR(MATCH(B538,GL!$A:$A,0),0)))</f>
        <v>0</v>
      </c>
      <c r="D538" s="32" t="str">
        <f aca="false">IF(C538=0,"",IF($A538="Bank",INDEX(Bank!$B:$B,$C538),INDEX(GL!$B:$B,$C538)))</f>
        <v/>
      </c>
      <c r="E538" s="5" t="str">
        <f aca="false">IF(C538=0,"",IF($A538="Bank",IF(INDEX(Bank!$C:$C,$C538)="","",INDEX(Bank!$C:$C,$C538)),IF(INDEX(GL!$C:$C,$C538)="","",INDEX(GL!$C:$C,$C538))))</f>
        <v/>
      </c>
      <c r="F538" s="5" t="str">
        <f aca="false">IF(C538=0,"",IF($A538="Bank",IF(INDEX(Bank!$D:$D,$C538)="","",INDEX(Bank!$D:$D,$C538)),IF(INDEX(GL!$D:$D,$C538)="","",INDEX(GL!$D:$D,$C538))))</f>
        <v/>
      </c>
      <c r="G538" s="19" t="str">
        <f aca="false">IF(C538=0,"",IF($A538="Bank",INDEX(Bank!$E:$E,$C538),INDEX(GL!$E:$E,$C538)))</f>
        <v/>
      </c>
      <c r="H538" s="5" t="str">
        <f aca="false">IF(C538=0,"",IF(A538="GL",IF(G538&gt;0,"Deposit in transit","Outstanding check / payment"),IF(G538&gt;0,"Bank credit not in GL","Bank debit not in GL")))</f>
        <v/>
      </c>
      <c r="I538" s="42" t="str">
        <f aca="false">IF(OR(C538=0,CFG_PeriodEnd=""),"",CFG_PeriodEnd-D538)</f>
        <v/>
      </c>
      <c r="J538" s="5" t="str">
        <f aca="false">IF(C538=0,"",IF($A538="Bank",IF(INDEX(Bank!$G:$G,$C538)="","",INDEX(Bank!$G:$G,$C538)),IF(INDEX(GL!$G:$G,$C538)="","",INDEX(GL!$G:$G,$C538))))</f>
        <v/>
      </c>
      <c r="K538" s="5" t="str">
        <f aca="false">IF(C538=0,"",IF($A538="Bank",IF(INDEX(Bank!$I:$I,$C538)="","",INDEX(Bank!$I:$I,$C538)),IF(INDEX(GL!$I:$I,$C538)="","",INDEX(GL!$I:$I,$C538))))</f>
        <v/>
      </c>
      <c r="L538" s="5" t="str">
        <f aca="false">IF(B538="","",IF(C538=0,"NOT FOUND",IF(IF($A538="Bank",INDEX(Bank!$F:$F,$C538),INDEX(GL!$F:$F,$C538))="Y","NOW RECONCILED: refresh","OK")))</f>
        <v/>
      </c>
    </row>
    <row r="539" customFormat="false" ht="15" hidden="false" customHeight="false" outlineLevel="0" collapsed="false">
      <c r="A539" s="41"/>
      <c r="B539" s="41"/>
      <c r="C539" s="5" t="n">
        <f aca="false">IF(B539="",0,IF(A539="Bank",IFERROR(MATCH(B539,Bank!$A:$A,0),0),IFERROR(MATCH(B539,GL!$A:$A,0),0)))</f>
        <v>0</v>
      </c>
      <c r="D539" s="32" t="str">
        <f aca="false">IF(C539=0,"",IF($A539="Bank",INDEX(Bank!$B:$B,$C539),INDEX(GL!$B:$B,$C539)))</f>
        <v/>
      </c>
      <c r="E539" s="5" t="str">
        <f aca="false">IF(C539=0,"",IF($A539="Bank",IF(INDEX(Bank!$C:$C,$C539)="","",INDEX(Bank!$C:$C,$C539)),IF(INDEX(GL!$C:$C,$C539)="","",INDEX(GL!$C:$C,$C539))))</f>
        <v/>
      </c>
      <c r="F539" s="5" t="str">
        <f aca="false">IF(C539=0,"",IF($A539="Bank",IF(INDEX(Bank!$D:$D,$C539)="","",INDEX(Bank!$D:$D,$C539)),IF(INDEX(GL!$D:$D,$C539)="","",INDEX(GL!$D:$D,$C539))))</f>
        <v/>
      </c>
      <c r="G539" s="19" t="str">
        <f aca="false">IF(C539=0,"",IF($A539="Bank",INDEX(Bank!$E:$E,$C539),INDEX(GL!$E:$E,$C539)))</f>
        <v/>
      </c>
      <c r="H539" s="5" t="str">
        <f aca="false">IF(C539=0,"",IF(A539="GL",IF(G539&gt;0,"Deposit in transit","Outstanding check / payment"),IF(G539&gt;0,"Bank credit not in GL","Bank debit not in GL")))</f>
        <v/>
      </c>
      <c r="I539" s="42" t="str">
        <f aca="false">IF(OR(C539=0,CFG_PeriodEnd=""),"",CFG_PeriodEnd-D539)</f>
        <v/>
      </c>
      <c r="J539" s="5" t="str">
        <f aca="false">IF(C539=0,"",IF($A539="Bank",IF(INDEX(Bank!$G:$G,$C539)="","",INDEX(Bank!$G:$G,$C539)),IF(INDEX(GL!$G:$G,$C539)="","",INDEX(GL!$G:$G,$C539))))</f>
        <v/>
      </c>
      <c r="K539" s="5" t="str">
        <f aca="false">IF(C539=0,"",IF($A539="Bank",IF(INDEX(Bank!$I:$I,$C539)="","",INDEX(Bank!$I:$I,$C539)),IF(INDEX(GL!$I:$I,$C539)="","",INDEX(GL!$I:$I,$C539))))</f>
        <v/>
      </c>
      <c r="L539" s="5" t="str">
        <f aca="false">IF(B539="","",IF(C539=0,"NOT FOUND",IF(IF($A539="Bank",INDEX(Bank!$F:$F,$C539),INDEX(GL!$F:$F,$C539))="Y","NOW RECONCILED: refresh","OK")))</f>
        <v/>
      </c>
    </row>
    <row r="540" customFormat="false" ht="15" hidden="false" customHeight="false" outlineLevel="0" collapsed="false">
      <c r="A540" s="41"/>
      <c r="B540" s="41"/>
      <c r="C540" s="5" t="n">
        <f aca="false">IF(B540="",0,IF(A540="Bank",IFERROR(MATCH(B540,Bank!$A:$A,0),0),IFERROR(MATCH(B540,GL!$A:$A,0),0)))</f>
        <v>0</v>
      </c>
      <c r="D540" s="32" t="str">
        <f aca="false">IF(C540=0,"",IF($A540="Bank",INDEX(Bank!$B:$B,$C540),INDEX(GL!$B:$B,$C540)))</f>
        <v/>
      </c>
      <c r="E540" s="5" t="str">
        <f aca="false">IF(C540=0,"",IF($A540="Bank",IF(INDEX(Bank!$C:$C,$C540)="","",INDEX(Bank!$C:$C,$C540)),IF(INDEX(GL!$C:$C,$C540)="","",INDEX(GL!$C:$C,$C540))))</f>
        <v/>
      </c>
      <c r="F540" s="5" t="str">
        <f aca="false">IF(C540=0,"",IF($A540="Bank",IF(INDEX(Bank!$D:$D,$C540)="","",INDEX(Bank!$D:$D,$C540)),IF(INDEX(GL!$D:$D,$C540)="","",INDEX(GL!$D:$D,$C540))))</f>
        <v/>
      </c>
      <c r="G540" s="19" t="str">
        <f aca="false">IF(C540=0,"",IF($A540="Bank",INDEX(Bank!$E:$E,$C540),INDEX(GL!$E:$E,$C540)))</f>
        <v/>
      </c>
      <c r="H540" s="5" t="str">
        <f aca="false">IF(C540=0,"",IF(A540="GL",IF(G540&gt;0,"Deposit in transit","Outstanding check / payment"),IF(G540&gt;0,"Bank credit not in GL","Bank debit not in GL")))</f>
        <v/>
      </c>
      <c r="I540" s="42" t="str">
        <f aca="false">IF(OR(C540=0,CFG_PeriodEnd=""),"",CFG_PeriodEnd-D540)</f>
        <v/>
      </c>
      <c r="J540" s="5" t="str">
        <f aca="false">IF(C540=0,"",IF($A540="Bank",IF(INDEX(Bank!$G:$G,$C540)="","",INDEX(Bank!$G:$G,$C540)),IF(INDEX(GL!$G:$G,$C540)="","",INDEX(GL!$G:$G,$C540))))</f>
        <v/>
      </c>
      <c r="K540" s="5" t="str">
        <f aca="false">IF(C540=0,"",IF($A540="Bank",IF(INDEX(Bank!$I:$I,$C540)="","",INDEX(Bank!$I:$I,$C540)),IF(INDEX(GL!$I:$I,$C540)="","",INDEX(GL!$I:$I,$C540))))</f>
        <v/>
      </c>
      <c r="L540" s="5" t="str">
        <f aca="false">IF(B540="","",IF(C540=0,"NOT FOUND",IF(IF($A540="Bank",INDEX(Bank!$F:$F,$C540),INDEX(GL!$F:$F,$C540))="Y","NOW RECONCILED: refresh","OK")))</f>
        <v/>
      </c>
    </row>
    <row r="541" customFormat="false" ht="15" hidden="false" customHeight="false" outlineLevel="0" collapsed="false">
      <c r="A541" s="41"/>
      <c r="B541" s="41"/>
      <c r="C541" s="5" t="n">
        <f aca="false">IF(B541="",0,IF(A541="Bank",IFERROR(MATCH(B541,Bank!$A:$A,0),0),IFERROR(MATCH(B541,GL!$A:$A,0),0)))</f>
        <v>0</v>
      </c>
      <c r="D541" s="32" t="str">
        <f aca="false">IF(C541=0,"",IF($A541="Bank",INDEX(Bank!$B:$B,$C541),INDEX(GL!$B:$B,$C541)))</f>
        <v/>
      </c>
      <c r="E541" s="5" t="str">
        <f aca="false">IF(C541=0,"",IF($A541="Bank",IF(INDEX(Bank!$C:$C,$C541)="","",INDEX(Bank!$C:$C,$C541)),IF(INDEX(GL!$C:$C,$C541)="","",INDEX(GL!$C:$C,$C541))))</f>
        <v/>
      </c>
      <c r="F541" s="5" t="str">
        <f aca="false">IF(C541=0,"",IF($A541="Bank",IF(INDEX(Bank!$D:$D,$C541)="","",INDEX(Bank!$D:$D,$C541)),IF(INDEX(GL!$D:$D,$C541)="","",INDEX(GL!$D:$D,$C541))))</f>
        <v/>
      </c>
      <c r="G541" s="19" t="str">
        <f aca="false">IF(C541=0,"",IF($A541="Bank",INDEX(Bank!$E:$E,$C541),INDEX(GL!$E:$E,$C541)))</f>
        <v/>
      </c>
      <c r="H541" s="5" t="str">
        <f aca="false">IF(C541=0,"",IF(A541="GL",IF(G541&gt;0,"Deposit in transit","Outstanding check / payment"),IF(G541&gt;0,"Bank credit not in GL","Bank debit not in GL")))</f>
        <v/>
      </c>
      <c r="I541" s="42" t="str">
        <f aca="false">IF(OR(C541=0,CFG_PeriodEnd=""),"",CFG_PeriodEnd-D541)</f>
        <v/>
      </c>
      <c r="J541" s="5" t="str">
        <f aca="false">IF(C541=0,"",IF($A541="Bank",IF(INDEX(Bank!$G:$G,$C541)="","",INDEX(Bank!$G:$G,$C541)),IF(INDEX(GL!$G:$G,$C541)="","",INDEX(GL!$G:$G,$C541))))</f>
        <v/>
      </c>
      <c r="K541" s="5" t="str">
        <f aca="false">IF(C541=0,"",IF($A541="Bank",IF(INDEX(Bank!$I:$I,$C541)="","",INDEX(Bank!$I:$I,$C541)),IF(INDEX(GL!$I:$I,$C541)="","",INDEX(GL!$I:$I,$C541))))</f>
        <v/>
      </c>
      <c r="L541" s="5" t="str">
        <f aca="false">IF(B541="","",IF(C541=0,"NOT FOUND",IF(IF($A541="Bank",INDEX(Bank!$F:$F,$C541),INDEX(GL!$F:$F,$C541))="Y","NOW RECONCILED: refresh","OK")))</f>
        <v/>
      </c>
    </row>
    <row r="542" customFormat="false" ht="15" hidden="false" customHeight="false" outlineLevel="0" collapsed="false">
      <c r="A542" s="41"/>
      <c r="B542" s="41"/>
      <c r="C542" s="5" t="n">
        <f aca="false">IF(B542="",0,IF(A542="Bank",IFERROR(MATCH(B542,Bank!$A:$A,0),0),IFERROR(MATCH(B542,GL!$A:$A,0),0)))</f>
        <v>0</v>
      </c>
      <c r="D542" s="32" t="str">
        <f aca="false">IF(C542=0,"",IF($A542="Bank",INDEX(Bank!$B:$B,$C542),INDEX(GL!$B:$B,$C542)))</f>
        <v/>
      </c>
      <c r="E542" s="5" t="str">
        <f aca="false">IF(C542=0,"",IF($A542="Bank",IF(INDEX(Bank!$C:$C,$C542)="","",INDEX(Bank!$C:$C,$C542)),IF(INDEX(GL!$C:$C,$C542)="","",INDEX(GL!$C:$C,$C542))))</f>
        <v/>
      </c>
      <c r="F542" s="5" t="str">
        <f aca="false">IF(C542=0,"",IF($A542="Bank",IF(INDEX(Bank!$D:$D,$C542)="","",INDEX(Bank!$D:$D,$C542)),IF(INDEX(GL!$D:$D,$C542)="","",INDEX(GL!$D:$D,$C542))))</f>
        <v/>
      </c>
      <c r="G542" s="19" t="str">
        <f aca="false">IF(C542=0,"",IF($A542="Bank",INDEX(Bank!$E:$E,$C542),INDEX(GL!$E:$E,$C542)))</f>
        <v/>
      </c>
      <c r="H542" s="5" t="str">
        <f aca="false">IF(C542=0,"",IF(A542="GL",IF(G542&gt;0,"Deposit in transit","Outstanding check / payment"),IF(G542&gt;0,"Bank credit not in GL","Bank debit not in GL")))</f>
        <v/>
      </c>
      <c r="I542" s="42" t="str">
        <f aca="false">IF(OR(C542=0,CFG_PeriodEnd=""),"",CFG_PeriodEnd-D542)</f>
        <v/>
      </c>
      <c r="J542" s="5" t="str">
        <f aca="false">IF(C542=0,"",IF($A542="Bank",IF(INDEX(Bank!$G:$G,$C542)="","",INDEX(Bank!$G:$G,$C542)),IF(INDEX(GL!$G:$G,$C542)="","",INDEX(GL!$G:$G,$C542))))</f>
        <v/>
      </c>
      <c r="K542" s="5" t="str">
        <f aca="false">IF(C542=0,"",IF($A542="Bank",IF(INDEX(Bank!$I:$I,$C542)="","",INDEX(Bank!$I:$I,$C542)),IF(INDEX(GL!$I:$I,$C542)="","",INDEX(GL!$I:$I,$C542))))</f>
        <v/>
      </c>
      <c r="L542" s="5" t="str">
        <f aca="false">IF(B542="","",IF(C542=0,"NOT FOUND",IF(IF($A542="Bank",INDEX(Bank!$F:$F,$C542),INDEX(GL!$F:$F,$C542))="Y","NOW RECONCILED: refresh","OK")))</f>
        <v/>
      </c>
    </row>
    <row r="543" customFormat="false" ht="15" hidden="false" customHeight="false" outlineLevel="0" collapsed="false">
      <c r="A543" s="41"/>
      <c r="B543" s="41"/>
      <c r="C543" s="5" t="n">
        <f aca="false">IF(B543="",0,IF(A543="Bank",IFERROR(MATCH(B543,Bank!$A:$A,0),0),IFERROR(MATCH(B543,GL!$A:$A,0),0)))</f>
        <v>0</v>
      </c>
      <c r="D543" s="32" t="str">
        <f aca="false">IF(C543=0,"",IF($A543="Bank",INDEX(Bank!$B:$B,$C543),INDEX(GL!$B:$B,$C543)))</f>
        <v/>
      </c>
      <c r="E543" s="5" t="str">
        <f aca="false">IF(C543=0,"",IF($A543="Bank",IF(INDEX(Bank!$C:$C,$C543)="","",INDEX(Bank!$C:$C,$C543)),IF(INDEX(GL!$C:$C,$C543)="","",INDEX(GL!$C:$C,$C543))))</f>
        <v/>
      </c>
      <c r="F543" s="5" t="str">
        <f aca="false">IF(C543=0,"",IF($A543="Bank",IF(INDEX(Bank!$D:$D,$C543)="","",INDEX(Bank!$D:$D,$C543)),IF(INDEX(GL!$D:$D,$C543)="","",INDEX(GL!$D:$D,$C543))))</f>
        <v/>
      </c>
      <c r="G543" s="19" t="str">
        <f aca="false">IF(C543=0,"",IF($A543="Bank",INDEX(Bank!$E:$E,$C543),INDEX(GL!$E:$E,$C543)))</f>
        <v/>
      </c>
      <c r="H543" s="5" t="str">
        <f aca="false">IF(C543=0,"",IF(A543="GL",IF(G543&gt;0,"Deposit in transit","Outstanding check / payment"),IF(G543&gt;0,"Bank credit not in GL","Bank debit not in GL")))</f>
        <v/>
      </c>
      <c r="I543" s="42" t="str">
        <f aca="false">IF(OR(C543=0,CFG_PeriodEnd=""),"",CFG_PeriodEnd-D543)</f>
        <v/>
      </c>
      <c r="J543" s="5" t="str">
        <f aca="false">IF(C543=0,"",IF($A543="Bank",IF(INDEX(Bank!$G:$G,$C543)="","",INDEX(Bank!$G:$G,$C543)),IF(INDEX(GL!$G:$G,$C543)="","",INDEX(GL!$G:$G,$C543))))</f>
        <v/>
      </c>
      <c r="K543" s="5" t="str">
        <f aca="false">IF(C543=0,"",IF($A543="Bank",IF(INDEX(Bank!$I:$I,$C543)="","",INDEX(Bank!$I:$I,$C543)),IF(INDEX(GL!$I:$I,$C543)="","",INDEX(GL!$I:$I,$C543))))</f>
        <v/>
      </c>
      <c r="L543" s="5" t="str">
        <f aca="false">IF(B543="","",IF(C543=0,"NOT FOUND",IF(IF($A543="Bank",INDEX(Bank!$F:$F,$C543),INDEX(GL!$F:$F,$C543))="Y","NOW RECONCILED: refresh","OK")))</f>
        <v/>
      </c>
    </row>
    <row r="544" customFormat="false" ht="15" hidden="false" customHeight="false" outlineLevel="0" collapsed="false">
      <c r="A544" s="41"/>
      <c r="B544" s="41"/>
      <c r="C544" s="5" t="n">
        <f aca="false">IF(B544="",0,IF(A544="Bank",IFERROR(MATCH(B544,Bank!$A:$A,0),0),IFERROR(MATCH(B544,GL!$A:$A,0),0)))</f>
        <v>0</v>
      </c>
      <c r="D544" s="32" t="str">
        <f aca="false">IF(C544=0,"",IF($A544="Bank",INDEX(Bank!$B:$B,$C544),INDEX(GL!$B:$B,$C544)))</f>
        <v/>
      </c>
      <c r="E544" s="5" t="str">
        <f aca="false">IF(C544=0,"",IF($A544="Bank",IF(INDEX(Bank!$C:$C,$C544)="","",INDEX(Bank!$C:$C,$C544)),IF(INDEX(GL!$C:$C,$C544)="","",INDEX(GL!$C:$C,$C544))))</f>
        <v/>
      </c>
      <c r="F544" s="5" t="str">
        <f aca="false">IF(C544=0,"",IF($A544="Bank",IF(INDEX(Bank!$D:$D,$C544)="","",INDEX(Bank!$D:$D,$C544)),IF(INDEX(GL!$D:$D,$C544)="","",INDEX(GL!$D:$D,$C544))))</f>
        <v/>
      </c>
      <c r="G544" s="19" t="str">
        <f aca="false">IF(C544=0,"",IF($A544="Bank",INDEX(Bank!$E:$E,$C544),INDEX(GL!$E:$E,$C544)))</f>
        <v/>
      </c>
      <c r="H544" s="5" t="str">
        <f aca="false">IF(C544=0,"",IF(A544="GL",IF(G544&gt;0,"Deposit in transit","Outstanding check / payment"),IF(G544&gt;0,"Bank credit not in GL","Bank debit not in GL")))</f>
        <v/>
      </c>
      <c r="I544" s="42" t="str">
        <f aca="false">IF(OR(C544=0,CFG_PeriodEnd=""),"",CFG_PeriodEnd-D544)</f>
        <v/>
      </c>
      <c r="J544" s="5" t="str">
        <f aca="false">IF(C544=0,"",IF($A544="Bank",IF(INDEX(Bank!$G:$G,$C544)="","",INDEX(Bank!$G:$G,$C544)),IF(INDEX(GL!$G:$G,$C544)="","",INDEX(GL!$G:$G,$C544))))</f>
        <v/>
      </c>
      <c r="K544" s="5" t="str">
        <f aca="false">IF(C544=0,"",IF($A544="Bank",IF(INDEX(Bank!$I:$I,$C544)="","",INDEX(Bank!$I:$I,$C544)),IF(INDEX(GL!$I:$I,$C544)="","",INDEX(GL!$I:$I,$C544))))</f>
        <v/>
      </c>
      <c r="L544" s="5" t="str">
        <f aca="false">IF(B544="","",IF(C544=0,"NOT FOUND",IF(IF($A544="Bank",INDEX(Bank!$F:$F,$C544),INDEX(GL!$F:$F,$C544))="Y","NOW RECONCILED: refresh","OK")))</f>
        <v/>
      </c>
    </row>
    <row r="545" customFormat="false" ht="15" hidden="false" customHeight="false" outlineLevel="0" collapsed="false">
      <c r="A545" s="41"/>
      <c r="B545" s="41"/>
      <c r="C545" s="5" t="n">
        <f aca="false">IF(B545="",0,IF(A545="Bank",IFERROR(MATCH(B545,Bank!$A:$A,0),0),IFERROR(MATCH(B545,GL!$A:$A,0),0)))</f>
        <v>0</v>
      </c>
      <c r="D545" s="32" t="str">
        <f aca="false">IF(C545=0,"",IF($A545="Bank",INDEX(Bank!$B:$B,$C545),INDEX(GL!$B:$B,$C545)))</f>
        <v/>
      </c>
      <c r="E545" s="5" t="str">
        <f aca="false">IF(C545=0,"",IF($A545="Bank",IF(INDEX(Bank!$C:$C,$C545)="","",INDEX(Bank!$C:$C,$C545)),IF(INDEX(GL!$C:$C,$C545)="","",INDEX(GL!$C:$C,$C545))))</f>
        <v/>
      </c>
      <c r="F545" s="5" t="str">
        <f aca="false">IF(C545=0,"",IF($A545="Bank",IF(INDEX(Bank!$D:$D,$C545)="","",INDEX(Bank!$D:$D,$C545)),IF(INDEX(GL!$D:$D,$C545)="","",INDEX(GL!$D:$D,$C545))))</f>
        <v/>
      </c>
      <c r="G545" s="19" t="str">
        <f aca="false">IF(C545=0,"",IF($A545="Bank",INDEX(Bank!$E:$E,$C545),INDEX(GL!$E:$E,$C545)))</f>
        <v/>
      </c>
      <c r="H545" s="5" t="str">
        <f aca="false">IF(C545=0,"",IF(A545="GL",IF(G545&gt;0,"Deposit in transit","Outstanding check / payment"),IF(G545&gt;0,"Bank credit not in GL","Bank debit not in GL")))</f>
        <v/>
      </c>
      <c r="I545" s="42" t="str">
        <f aca="false">IF(OR(C545=0,CFG_PeriodEnd=""),"",CFG_PeriodEnd-D545)</f>
        <v/>
      </c>
      <c r="J545" s="5" t="str">
        <f aca="false">IF(C545=0,"",IF($A545="Bank",IF(INDEX(Bank!$G:$G,$C545)="","",INDEX(Bank!$G:$G,$C545)),IF(INDEX(GL!$G:$G,$C545)="","",INDEX(GL!$G:$G,$C545))))</f>
        <v/>
      </c>
      <c r="K545" s="5" t="str">
        <f aca="false">IF(C545=0,"",IF($A545="Bank",IF(INDEX(Bank!$I:$I,$C545)="","",INDEX(Bank!$I:$I,$C545)),IF(INDEX(GL!$I:$I,$C545)="","",INDEX(GL!$I:$I,$C545))))</f>
        <v/>
      </c>
      <c r="L545" s="5" t="str">
        <f aca="false">IF(B545="","",IF(C545=0,"NOT FOUND",IF(IF($A545="Bank",INDEX(Bank!$F:$F,$C545),INDEX(GL!$F:$F,$C545))="Y","NOW RECONCILED: refresh","OK")))</f>
        <v/>
      </c>
    </row>
    <row r="546" customFormat="false" ht="15" hidden="false" customHeight="false" outlineLevel="0" collapsed="false">
      <c r="A546" s="41"/>
      <c r="B546" s="41"/>
      <c r="C546" s="5" t="n">
        <f aca="false">IF(B546="",0,IF(A546="Bank",IFERROR(MATCH(B546,Bank!$A:$A,0),0),IFERROR(MATCH(B546,GL!$A:$A,0),0)))</f>
        <v>0</v>
      </c>
      <c r="D546" s="32" t="str">
        <f aca="false">IF(C546=0,"",IF($A546="Bank",INDEX(Bank!$B:$B,$C546),INDEX(GL!$B:$B,$C546)))</f>
        <v/>
      </c>
      <c r="E546" s="5" t="str">
        <f aca="false">IF(C546=0,"",IF($A546="Bank",IF(INDEX(Bank!$C:$C,$C546)="","",INDEX(Bank!$C:$C,$C546)),IF(INDEX(GL!$C:$C,$C546)="","",INDEX(GL!$C:$C,$C546))))</f>
        <v/>
      </c>
      <c r="F546" s="5" t="str">
        <f aca="false">IF(C546=0,"",IF($A546="Bank",IF(INDEX(Bank!$D:$D,$C546)="","",INDEX(Bank!$D:$D,$C546)),IF(INDEX(GL!$D:$D,$C546)="","",INDEX(GL!$D:$D,$C546))))</f>
        <v/>
      </c>
      <c r="G546" s="19" t="str">
        <f aca="false">IF(C546=0,"",IF($A546="Bank",INDEX(Bank!$E:$E,$C546),INDEX(GL!$E:$E,$C546)))</f>
        <v/>
      </c>
      <c r="H546" s="5" t="str">
        <f aca="false">IF(C546=0,"",IF(A546="GL",IF(G546&gt;0,"Deposit in transit","Outstanding check / payment"),IF(G546&gt;0,"Bank credit not in GL","Bank debit not in GL")))</f>
        <v/>
      </c>
      <c r="I546" s="42" t="str">
        <f aca="false">IF(OR(C546=0,CFG_PeriodEnd=""),"",CFG_PeriodEnd-D546)</f>
        <v/>
      </c>
      <c r="J546" s="5" t="str">
        <f aca="false">IF(C546=0,"",IF($A546="Bank",IF(INDEX(Bank!$G:$G,$C546)="","",INDEX(Bank!$G:$G,$C546)),IF(INDEX(GL!$G:$G,$C546)="","",INDEX(GL!$G:$G,$C546))))</f>
        <v/>
      </c>
      <c r="K546" s="5" t="str">
        <f aca="false">IF(C546=0,"",IF($A546="Bank",IF(INDEX(Bank!$I:$I,$C546)="","",INDEX(Bank!$I:$I,$C546)),IF(INDEX(GL!$I:$I,$C546)="","",INDEX(GL!$I:$I,$C546))))</f>
        <v/>
      </c>
      <c r="L546" s="5" t="str">
        <f aca="false">IF(B546="","",IF(C546=0,"NOT FOUND",IF(IF($A546="Bank",INDEX(Bank!$F:$F,$C546),INDEX(GL!$F:$F,$C546))="Y","NOW RECONCILED: refresh","OK")))</f>
        <v/>
      </c>
    </row>
    <row r="547" customFormat="false" ht="15" hidden="false" customHeight="false" outlineLevel="0" collapsed="false">
      <c r="A547" s="41"/>
      <c r="B547" s="41"/>
      <c r="C547" s="5" t="n">
        <f aca="false">IF(B547="",0,IF(A547="Bank",IFERROR(MATCH(B547,Bank!$A:$A,0),0),IFERROR(MATCH(B547,GL!$A:$A,0),0)))</f>
        <v>0</v>
      </c>
      <c r="D547" s="32" t="str">
        <f aca="false">IF(C547=0,"",IF($A547="Bank",INDEX(Bank!$B:$B,$C547),INDEX(GL!$B:$B,$C547)))</f>
        <v/>
      </c>
      <c r="E547" s="5" t="str">
        <f aca="false">IF(C547=0,"",IF($A547="Bank",IF(INDEX(Bank!$C:$C,$C547)="","",INDEX(Bank!$C:$C,$C547)),IF(INDEX(GL!$C:$C,$C547)="","",INDEX(GL!$C:$C,$C547))))</f>
        <v/>
      </c>
      <c r="F547" s="5" t="str">
        <f aca="false">IF(C547=0,"",IF($A547="Bank",IF(INDEX(Bank!$D:$D,$C547)="","",INDEX(Bank!$D:$D,$C547)),IF(INDEX(GL!$D:$D,$C547)="","",INDEX(GL!$D:$D,$C547))))</f>
        <v/>
      </c>
      <c r="G547" s="19" t="str">
        <f aca="false">IF(C547=0,"",IF($A547="Bank",INDEX(Bank!$E:$E,$C547),INDEX(GL!$E:$E,$C547)))</f>
        <v/>
      </c>
      <c r="H547" s="5" t="str">
        <f aca="false">IF(C547=0,"",IF(A547="GL",IF(G547&gt;0,"Deposit in transit","Outstanding check / payment"),IF(G547&gt;0,"Bank credit not in GL","Bank debit not in GL")))</f>
        <v/>
      </c>
      <c r="I547" s="42" t="str">
        <f aca="false">IF(OR(C547=0,CFG_PeriodEnd=""),"",CFG_PeriodEnd-D547)</f>
        <v/>
      </c>
      <c r="J547" s="5" t="str">
        <f aca="false">IF(C547=0,"",IF($A547="Bank",IF(INDEX(Bank!$G:$G,$C547)="","",INDEX(Bank!$G:$G,$C547)),IF(INDEX(GL!$G:$G,$C547)="","",INDEX(GL!$G:$G,$C547))))</f>
        <v/>
      </c>
      <c r="K547" s="5" t="str">
        <f aca="false">IF(C547=0,"",IF($A547="Bank",IF(INDEX(Bank!$I:$I,$C547)="","",INDEX(Bank!$I:$I,$C547)),IF(INDEX(GL!$I:$I,$C547)="","",INDEX(GL!$I:$I,$C547))))</f>
        <v/>
      </c>
      <c r="L547" s="5" t="str">
        <f aca="false">IF(B547="","",IF(C547=0,"NOT FOUND",IF(IF($A547="Bank",INDEX(Bank!$F:$F,$C547),INDEX(GL!$F:$F,$C547))="Y","NOW RECONCILED: refresh","OK")))</f>
        <v/>
      </c>
    </row>
    <row r="548" customFormat="false" ht="15" hidden="false" customHeight="false" outlineLevel="0" collapsed="false">
      <c r="A548" s="41"/>
      <c r="B548" s="41"/>
      <c r="C548" s="5" t="n">
        <f aca="false">IF(B548="",0,IF(A548="Bank",IFERROR(MATCH(B548,Bank!$A:$A,0),0),IFERROR(MATCH(B548,GL!$A:$A,0),0)))</f>
        <v>0</v>
      </c>
      <c r="D548" s="32" t="str">
        <f aca="false">IF(C548=0,"",IF($A548="Bank",INDEX(Bank!$B:$B,$C548),INDEX(GL!$B:$B,$C548)))</f>
        <v/>
      </c>
      <c r="E548" s="5" t="str">
        <f aca="false">IF(C548=0,"",IF($A548="Bank",IF(INDEX(Bank!$C:$C,$C548)="","",INDEX(Bank!$C:$C,$C548)),IF(INDEX(GL!$C:$C,$C548)="","",INDEX(GL!$C:$C,$C548))))</f>
        <v/>
      </c>
      <c r="F548" s="5" t="str">
        <f aca="false">IF(C548=0,"",IF($A548="Bank",IF(INDEX(Bank!$D:$D,$C548)="","",INDEX(Bank!$D:$D,$C548)),IF(INDEX(GL!$D:$D,$C548)="","",INDEX(GL!$D:$D,$C548))))</f>
        <v/>
      </c>
      <c r="G548" s="19" t="str">
        <f aca="false">IF(C548=0,"",IF($A548="Bank",INDEX(Bank!$E:$E,$C548),INDEX(GL!$E:$E,$C548)))</f>
        <v/>
      </c>
      <c r="H548" s="5" t="str">
        <f aca="false">IF(C548=0,"",IF(A548="GL",IF(G548&gt;0,"Deposit in transit","Outstanding check / payment"),IF(G548&gt;0,"Bank credit not in GL","Bank debit not in GL")))</f>
        <v/>
      </c>
      <c r="I548" s="42" t="str">
        <f aca="false">IF(OR(C548=0,CFG_PeriodEnd=""),"",CFG_PeriodEnd-D548)</f>
        <v/>
      </c>
      <c r="J548" s="5" t="str">
        <f aca="false">IF(C548=0,"",IF($A548="Bank",IF(INDEX(Bank!$G:$G,$C548)="","",INDEX(Bank!$G:$G,$C548)),IF(INDEX(GL!$G:$G,$C548)="","",INDEX(GL!$G:$G,$C548))))</f>
        <v/>
      </c>
      <c r="K548" s="5" t="str">
        <f aca="false">IF(C548=0,"",IF($A548="Bank",IF(INDEX(Bank!$I:$I,$C548)="","",INDEX(Bank!$I:$I,$C548)),IF(INDEX(GL!$I:$I,$C548)="","",INDEX(GL!$I:$I,$C548))))</f>
        <v/>
      </c>
      <c r="L548" s="5" t="str">
        <f aca="false">IF(B548="","",IF(C548=0,"NOT FOUND",IF(IF($A548="Bank",INDEX(Bank!$F:$F,$C548),INDEX(GL!$F:$F,$C548))="Y","NOW RECONCILED: refresh","OK")))</f>
        <v/>
      </c>
    </row>
    <row r="549" customFormat="false" ht="15" hidden="false" customHeight="false" outlineLevel="0" collapsed="false">
      <c r="A549" s="41"/>
      <c r="B549" s="41"/>
      <c r="C549" s="5" t="n">
        <f aca="false">IF(B549="",0,IF(A549="Bank",IFERROR(MATCH(B549,Bank!$A:$A,0),0),IFERROR(MATCH(B549,GL!$A:$A,0),0)))</f>
        <v>0</v>
      </c>
      <c r="D549" s="32" t="str">
        <f aca="false">IF(C549=0,"",IF($A549="Bank",INDEX(Bank!$B:$B,$C549),INDEX(GL!$B:$B,$C549)))</f>
        <v/>
      </c>
      <c r="E549" s="5" t="str">
        <f aca="false">IF(C549=0,"",IF($A549="Bank",IF(INDEX(Bank!$C:$C,$C549)="","",INDEX(Bank!$C:$C,$C549)),IF(INDEX(GL!$C:$C,$C549)="","",INDEX(GL!$C:$C,$C549))))</f>
        <v/>
      </c>
      <c r="F549" s="5" t="str">
        <f aca="false">IF(C549=0,"",IF($A549="Bank",IF(INDEX(Bank!$D:$D,$C549)="","",INDEX(Bank!$D:$D,$C549)),IF(INDEX(GL!$D:$D,$C549)="","",INDEX(GL!$D:$D,$C549))))</f>
        <v/>
      </c>
      <c r="G549" s="19" t="str">
        <f aca="false">IF(C549=0,"",IF($A549="Bank",INDEX(Bank!$E:$E,$C549),INDEX(GL!$E:$E,$C549)))</f>
        <v/>
      </c>
      <c r="H549" s="5" t="str">
        <f aca="false">IF(C549=0,"",IF(A549="GL",IF(G549&gt;0,"Deposit in transit","Outstanding check / payment"),IF(G549&gt;0,"Bank credit not in GL","Bank debit not in GL")))</f>
        <v/>
      </c>
      <c r="I549" s="42" t="str">
        <f aca="false">IF(OR(C549=0,CFG_PeriodEnd=""),"",CFG_PeriodEnd-D549)</f>
        <v/>
      </c>
      <c r="J549" s="5" t="str">
        <f aca="false">IF(C549=0,"",IF($A549="Bank",IF(INDEX(Bank!$G:$G,$C549)="","",INDEX(Bank!$G:$G,$C549)),IF(INDEX(GL!$G:$G,$C549)="","",INDEX(GL!$G:$G,$C549))))</f>
        <v/>
      </c>
      <c r="K549" s="5" t="str">
        <f aca="false">IF(C549=0,"",IF($A549="Bank",IF(INDEX(Bank!$I:$I,$C549)="","",INDEX(Bank!$I:$I,$C549)),IF(INDEX(GL!$I:$I,$C549)="","",INDEX(GL!$I:$I,$C549))))</f>
        <v/>
      </c>
      <c r="L549" s="5" t="str">
        <f aca="false">IF(B549="","",IF(C549=0,"NOT FOUND",IF(IF($A549="Bank",INDEX(Bank!$F:$F,$C549),INDEX(GL!$F:$F,$C549))="Y","NOW RECONCILED: refresh","OK")))</f>
        <v/>
      </c>
    </row>
    <row r="550" customFormat="false" ht="15" hidden="false" customHeight="false" outlineLevel="0" collapsed="false">
      <c r="A550" s="41"/>
      <c r="B550" s="41"/>
      <c r="C550" s="5" t="n">
        <f aca="false">IF(B550="",0,IF(A550="Bank",IFERROR(MATCH(B550,Bank!$A:$A,0),0),IFERROR(MATCH(B550,GL!$A:$A,0),0)))</f>
        <v>0</v>
      </c>
      <c r="D550" s="32" t="str">
        <f aca="false">IF(C550=0,"",IF($A550="Bank",INDEX(Bank!$B:$B,$C550),INDEX(GL!$B:$B,$C550)))</f>
        <v/>
      </c>
      <c r="E550" s="5" t="str">
        <f aca="false">IF(C550=0,"",IF($A550="Bank",IF(INDEX(Bank!$C:$C,$C550)="","",INDEX(Bank!$C:$C,$C550)),IF(INDEX(GL!$C:$C,$C550)="","",INDEX(GL!$C:$C,$C550))))</f>
        <v/>
      </c>
      <c r="F550" s="5" t="str">
        <f aca="false">IF(C550=0,"",IF($A550="Bank",IF(INDEX(Bank!$D:$D,$C550)="","",INDEX(Bank!$D:$D,$C550)),IF(INDEX(GL!$D:$D,$C550)="","",INDEX(GL!$D:$D,$C550))))</f>
        <v/>
      </c>
      <c r="G550" s="19" t="str">
        <f aca="false">IF(C550=0,"",IF($A550="Bank",INDEX(Bank!$E:$E,$C550),INDEX(GL!$E:$E,$C550)))</f>
        <v/>
      </c>
      <c r="H550" s="5" t="str">
        <f aca="false">IF(C550=0,"",IF(A550="GL",IF(G550&gt;0,"Deposit in transit","Outstanding check / payment"),IF(G550&gt;0,"Bank credit not in GL","Bank debit not in GL")))</f>
        <v/>
      </c>
      <c r="I550" s="42" t="str">
        <f aca="false">IF(OR(C550=0,CFG_PeriodEnd=""),"",CFG_PeriodEnd-D550)</f>
        <v/>
      </c>
      <c r="J550" s="5" t="str">
        <f aca="false">IF(C550=0,"",IF($A550="Bank",IF(INDEX(Bank!$G:$G,$C550)="","",INDEX(Bank!$G:$G,$C550)),IF(INDEX(GL!$G:$G,$C550)="","",INDEX(GL!$G:$G,$C550))))</f>
        <v/>
      </c>
      <c r="K550" s="5" t="str">
        <f aca="false">IF(C550=0,"",IF($A550="Bank",IF(INDEX(Bank!$I:$I,$C550)="","",INDEX(Bank!$I:$I,$C550)),IF(INDEX(GL!$I:$I,$C550)="","",INDEX(GL!$I:$I,$C550))))</f>
        <v/>
      </c>
      <c r="L550" s="5" t="str">
        <f aca="false">IF(B550="","",IF(C550=0,"NOT FOUND",IF(IF($A550="Bank",INDEX(Bank!$F:$F,$C550),INDEX(GL!$F:$F,$C550))="Y","NOW RECONCILED: refresh","OK")))</f>
        <v/>
      </c>
    </row>
    <row r="551" customFormat="false" ht="15" hidden="false" customHeight="false" outlineLevel="0" collapsed="false">
      <c r="A551" s="41"/>
      <c r="B551" s="41"/>
      <c r="C551" s="5" t="n">
        <f aca="false">IF(B551="",0,IF(A551="Bank",IFERROR(MATCH(B551,Bank!$A:$A,0),0),IFERROR(MATCH(B551,GL!$A:$A,0),0)))</f>
        <v>0</v>
      </c>
      <c r="D551" s="32" t="str">
        <f aca="false">IF(C551=0,"",IF($A551="Bank",INDEX(Bank!$B:$B,$C551),INDEX(GL!$B:$B,$C551)))</f>
        <v/>
      </c>
      <c r="E551" s="5" t="str">
        <f aca="false">IF(C551=0,"",IF($A551="Bank",IF(INDEX(Bank!$C:$C,$C551)="","",INDEX(Bank!$C:$C,$C551)),IF(INDEX(GL!$C:$C,$C551)="","",INDEX(GL!$C:$C,$C551))))</f>
        <v/>
      </c>
      <c r="F551" s="5" t="str">
        <f aca="false">IF(C551=0,"",IF($A551="Bank",IF(INDEX(Bank!$D:$D,$C551)="","",INDEX(Bank!$D:$D,$C551)),IF(INDEX(GL!$D:$D,$C551)="","",INDEX(GL!$D:$D,$C551))))</f>
        <v/>
      </c>
      <c r="G551" s="19" t="str">
        <f aca="false">IF(C551=0,"",IF($A551="Bank",INDEX(Bank!$E:$E,$C551),INDEX(GL!$E:$E,$C551)))</f>
        <v/>
      </c>
      <c r="H551" s="5" t="str">
        <f aca="false">IF(C551=0,"",IF(A551="GL",IF(G551&gt;0,"Deposit in transit","Outstanding check / payment"),IF(G551&gt;0,"Bank credit not in GL","Bank debit not in GL")))</f>
        <v/>
      </c>
      <c r="I551" s="42" t="str">
        <f aca="false">IF(OR(C551=0,CFG_PeriodEnd=""),"",CFG_PeriodEnd-D551)</f>
        <v/>
      </c>
      <c r="J551" s="5" t="str">
        <f aca="false">IF(C551=0,"",IF($A551="Bank",IF(INDEX(Bank!$G:$G,$C551)="","",INDEX(Bank!$G:$G,$C551)),IF(INDEX(GL!$G:$G,$C551)="","",INDEX(GL!$G:$G,$C551))))</f>
        <v/>
      </c>
      <c r="K551" s="5" t="str">
        <f aca="false">IF(C551=0,"",IF($A551="Bank",IF(INDEX(Bank!$I:$I,$C551)="","",INDEX(Bank!$I:$I,$C551)),IF(INDEX(GL!$I:$I,$C551)="","",INDEX(GL!$I:$I,$C551))))</f>
        <v/>
      </c>
      <c r="L551" s="5" t="str">
        <f aca="false">IF(B551="","",IF(C551=0,"NOT FOUND",IF(IF($A551="Bank",INDEX(Bank!$F:$F,$C551),INDEX(GL!$F:$F,$C551))="Y","NOW RECONCILED: refresh","OK")))</f>
        <v/>
      </c>
    </row>
    <row r="552" customFormat="false" ht="15" hidden="false" customHeight="false" outlineLevel="0" collapsed="false">
      <c r="A552" s="41"/>
      <c r="B552" s="41"/>
      <c r="C552" s="5" t="n">
        <f aca="false">IF(B552="",0,IF(A552="Bank",IFERROR(MATCH(B552,Bank!$A:$A,0),0),IFERROR(MATCH(B552,GL!$A:$A,0),0)))</f>
        <v>0</v>
      </c>
      <c r="D552" s="32" t="str">
        <f aca="false">IF(C552=0,"",IF($A552="Bank",INDEX(Bank!$B:$B,$C552),INDEX(GL!$B:$B,$C552)))</f>
        <v/>
      </c>
      <c r="E552" s="5" t="str">
        <f aca="false">IF(C552=0,"",IF($A552="Bank",IF(INDEX(Bank!$C:$C,$C552)="","",INDEX(Bank!$C:$C,$C552)),IF(INDEX(GL!$C:$C,$C552)="","",INDEX(GL!$C:$C,$C552))))</f>
        <v/>
      </c>
      <c r="F552" s="5" t="str">
        <f aca="false">IF(C552=0,"",IF($A552="Bank",IF(INDEX(Bank!$D:$D,$C552)="","",INDEX(Bank!$D:$D,$C552)),IF(INDEX(GL!$D:$D,$C552)="","",INDEX(GL!$D:$D,$C552))))</f>
        <v/>
      </c>
      <c r="G552" s="19" t="str">
        <f aca="false">IF(C552=0,"",IF($A552="Bank",INDEX(Bank!$E:$E,$C552),INDEX(GL!$E:$E,$C552)))</f>
        <v/>
      </c>
      <c r="H552" s="5" t="str">
        <f aca="false">IF(C552=0,"",IF(A552="GL",IF(G552&gt;0,"Deposit in transit","Outstanding check / payment"),IF(G552&gt;0,"Bank credit not in GL","Bank debit not in GL")))</f>
        <v/>
      </c>
      <c r="I552" s="42" t="str">
        <f aca="false">IF(OR(C552=0,CFG_PeriodEnd=""),"",CFG_PeriodEnd-D552)</f>
        <v/>
      </c>
      <c r="J552" s="5" t="str">
        <f aca="false">IF(C552=0,"",IF($A552="Bank",IF(INDEX(Bank!$G:$G,$C552)="","",INDEX(Bank!$G:$G,$C552)),IF(INDEX(GL!$G:$G,$C552)="","",INDEX(GL!$G:$G,$C552))))</f>
        <v/>
      </c>
      <c r="K552" s="5" t="str">
        <f aca="false">IF(C552=0,"",IF($A552="Bank",IF(INDEX(Bank!$I:$I,$C552)="","",INDEX(Bank!$I:$I,$C552)),IF(INDEX(GL!$I:$I,$C552)="","",INDEX(GL!$I:$I,$C552))))</f>
        <v/>
      </c>
      <c r="L552" s="5" t="str">
        <f aca="false">IF(B552="","",IF(C552=0,"NOT FOUND",IF(IF($A552="Bank",INDEX(Bank!$F:$F,$C552),INDEX(GL!$F:$F,$C552))="Y","NOW RECONCILED: refresh","OK")))</f>
        <v/>
      </c>
    </row>
    <row r="553" customFormat="false" ht="15" hidden="false" customHeight="false" outlineLevel="0" collapsed="false">
      <c r="A553" s="41"/>
      <c r="B553" s="41"/>
      <c r="C553" s="5" t="n">
        <f aca="false">IF(B553="",0,IF(A553="Bank",IFERROR(MATCH(B553,Bank!$A:$A,0),0),IFERROR(MATCH(B553,GL!$A:$A,0),0)))</f>
        <v>0</v>
      </c>
      <c r="D553" s="32" t="str">
        <f aca="false">IF(C553=0,"",IF($A553="Bank",INDEX(Bank!$B:$B,$C553),INDEX(GL!$B:$B,$C553)))</f>
        <v/>
      </c>
      <c r="E553" s="5" t="str">
        <f aca="false">IF(C553=0,"",IF($A553="Bank",IF(INDEX(Bank!$C:$C,$C553)="","",INDEX(Bank!$C:$C,$C553)),IF(INDEX(GL!$C:$C,$C553)="","",INDEX(GL!$C:$C,$C553))))</f>
        <v/>
      </c>
      <c r="F553" s="5" t="str">
        <f aca="false">IF(C553=0,"",IF($A553="Bank",IF(INDEX(Bank!$D:$D,$C553)="","",INDEX(Bank!$D:$D,$C553)),IF(INDEX(GL!$D:$D,$C553)="","",INDEX(GL!$D:$D,$C553))))</f>
        <v/>
      </c>
      <c r="G553" s="19" t="str">
        <f aca="false">IF(C553=0,"",IF($A553="Bank",INDEX(Bank!$E:$E,$C553),INDEX(GL!$E:$E,$C553)))</f>
        <v/>
      </c>
      <c r="H553" s="5" t="str">
        <f aca="false">IF(C553=0,"",IF(A553="GL",IF(G553&gt;0,"Deposit in transit","Outstanding check / payment"),IF(G553&gt;0,"Bank credit not in GL","Bank debit not in GL")))</f>
        <v/>
      </c>
      <c r="I553" s="42" t="str">
        <f aca="false">IF(OR(C553=0,CFG_PeriodEnd=""),"",CFG_PeriodEnd-D553)</f>
        <v/>
      </c>
      <c r="J553" s="5" t="str">
        <f aca="false">IF(C553=0,"",IF($A553="Bank",IF(INDEX(Bank!$G:$G,$C553)="","",INDEX(Bank!$G:$G,$C553)),IF(INDEX(GL!$G:$G,$C553)="","",INDEX(GL!$G:$G,$C553))))</f>
        <v/>
      </c>
      <c r="K553" s="5" t="str">
        <f aca="false">IF(C553=0,"",IF($A553="Bank",IF(INDEX(Bank!$I:$I,$C553)="","",INDEX(Bank!$I:$I,$C553)),IF(INDEX(GL!$I:$I,$C553)="","",INDEX(GL!$I:$I,$C553))))</f>
        <v/>
      </c>
      <c r="L553" s="5" t="str">
        <f aca="false">IF(B553="","",IF(C553=0,"NOT FOUND",IF(IF($A553="Bank",INDEX(Bank!$F:$F,$C553),INDEX(GL!$F:$F,$C553))="Y","NOW RECONCILED: refresh","OK")))</f>
        <v/>
      </c>
    </row>
    <row r="554" customFormat="false" ht="15" hidden="false" customHeight="false" outlineLevel="0" collapsed="false">
      <c r="A554" s="41"/>
      <c r="B554" s="41"/>
      <c r="C554" s="5" t="n">
        <f aca="false">IF(B554="",0,IF(A554="Bank",IFERROR(MATCH(B554,Bank!$A:$A,0),0),IFERROR(MATCH(B554,GL!$A:$A,0),0)))</f>
        <v>0</v>
      </c>
      <c r="D554" s="32" t="str">
        <f aca="false">IF(C554=0,"",IF($A554="Bank",INDEX(Bank!$B:$B,$C554),INDEX(GL!$B:$B,$C554)))</f>
        <v/>
      </c>
      <c r="E554" s="5" t="str">
        <f aca="false">IF(C554=0,"",IF($A554="Bank",IF(INDEX(Bank!$C:$C,$C554)="","",INDEX(Bank!$C:$C,$C554)),IF(INDEX(GL!$C:$C,$C554)="","",INDEX(GL!$C:$C,$C554))))</f>
        <v/>
      </c>
      <c r="F554" s="5" t="str">
        <f aca="false">IF(C554=0,"",IF($A554="Bank",IF(INDEX(Bank!$D:$D,$C554)="","",INDEX(Bank!$D:$D,$C554)),IF(INDEX(GL!$D:$D,$C554)="","",INDEX(GL!$D:$D,$C554))))</f>
        <v/>
      </c>
      <c r="G554" s="19" t="str">
        <f aca="false">IF(C554=0,"",IF($A554="Bank",INDEX(Bank!$E:$E,$C554),INDEX(GL!$E:$E,$C554)))</f>
        <v/>
      </c>
      <c r="H554" s="5" t="str">
        <f aca="false">IF(C554=0,"",IF(A554="GL",IF(G554&gt;0,"Deposit in transit","Outstanding check / payment"),IF(G554&gt;0,"Bank credit not in GL","Bank debit not in GL")))</f>
        <v/>
      </c>
      <c r="I554" s="42" t="str">
        <f aca="false">IF(OR(C554=0,CFG_PeriodEnd=""),"",CFG_PeriodEnd-D554)</f>
        <v/>
      </c>
      <c r="J554" s="5" t="str">
        <f aca="false">IF(C554=0,"",IF($A554="Bank",IF(INDEX(Bank!$G:$G,$C554)="","",INDEX(Bank!$G:$G,$C554)),IF(INDEX(GL!$G:$G,$C554)="","",INDEX(GL!$G:$G,$C554))))</f>
        <v/>
      </c>
      <c r="K554" s="5" t="str">
        <f aca="false">IF(C554=0,"",IF($A554="Bank",IF(INDEX(Bank!$I:$I,$C554)="","",INDEX(Bank!$I:$I,$C554)),IF(INDEX(GL!$I:$I,$C554)="","",INDEX(GL!$I:$I,$C554))))</f>
        <v/>
      </c>
      <c r="L554" s="5" t="str">
        <f aca="false">IF(B554="","",IF(C554=0,"NOT FOUND",IF(IF($A554="Bank",INDEX(Bank!$F:$F,$C554),INDEX(GL!$F:$F,$C554))="Y","NOW RECONCILED: refresh","OK")))</f>
        <v/>
      </c>
    </row>
    <row r="555" customFormat="false" ht="15" hidden="false" customHeight="false" outlineLevel="0" collapsed="false">
      <c r="A555" s="41"/>
      <c r="B555" s="41"/>
      <c r="C555" s="5" t="n">
        <f aca="false">IF(B555="",0,IF(A555="Bank",IFERROR(MATCH(B555,Bank!$A:$A,0),0),IFERROR(MATCH(B555,GL!$A:$A,0),0)))</f>
        <v>0</v>
      </c>
      <c r="D555" s="32" t="str">
        <f aca="false">IF(C555=0,"",IF($A555="Bank",INDEX(Bank!$B:$B,$C555),INDEX(GL!$B:$B,$C555)))</f>
        <v/>
      </c>
      <c r="E555" s="5" t="str">
        <f aca="false">IF(C555=0,"",IF($A555="Bank",IF(INDEX(Bank!$C:$C,$C555)="","",INDEX(Bank!$C:$C,$C555)),IF(INDEX(GL!$C:$C,$C555)="","",INDEX(GL!$C:$C,$C555))))</f>
        <v/>
      </c>
      <c r="F555" s="5" t="str">
        <f aca="false">IF(C555=0,"",IF($A555="Bank",IF(INDEX(Bank!$D:$D,$C555)="","",INDEX(Bank!$D:$D,$C555)),IF(INDEX(GL!$D:$D,$C555)="","",INDEX(GL!$D:$D,$C555))))</f>
        <v/>
      </c>
      <c r="G555" s="19" t="str">
        <f aca="false">IF(C555=0,"",IF($A555="Bank",INDEX(Bank!$E:$E,$C555),INDEX(GL!$E:$E,$C555)))</f>
        <v/>
      </c>
      <c r="H555" s="5" t="str">
        <f aca="false">IF(C555=0,"",IF(A555="GL",IF(G555&gt;0,"Deposit in transit","Outstanding check / payment"),IF(G555&gt;0,"Bank credit not in GL","Bank debit not in GL")))</f>
        <v/>
      </c>
      <c r="I555" s="42" t="str">
        <f aca="false">IF(OR(C555=0,CFG_PeriodEnd=""),"",CFG_PeriodEnd-D555)</f>
        <v/>
      </c>
      <c r="J555" s="5" t="str">
        <f aca="false">IF(C555=0,"",IF($A555="Bank",IF(INDEX(Bank!$G:$G,$C555)="","",INDEX(Bank!$G:$G,$C555)),IF(INDEX(GL!$G:$G,$C555)="","",INDEX(GL!$G:$G,$C555))))</f>
        <v/>
      </c>
      <c r="K555" s="5" t="str">
        <f aca="false">IF(C555=0,"",IF($A555="Bank",IF(INDEX(Bank!$I:$I,$C555)="","",INDEX(Bank!$I:$I,$C555)),IF(INDEX(GL!$I:$I,$C555)="","",INDEX(GL!$I:$I,$C555))))</f>
        <v/>
      </c>
      <c r="L555" s="5" t="str">
        <f aca="false">IF(B555="","",IF(C555=0,"NOT FOUND",IF(IF($A555="Bank",INDEX(Bank!$F:$F,$C555),INDEX(GL!$F:$F,$C555))="Y","NOW RECONCILED: refresh","OK")))</f>
        <v/>
      </c>
    </row>
    <row r="556" customFormat="false" ht="15" hidden="false" customHeight="false" outlineLevel="0" collapsed="false">
      <c r="A556" s="41"/>
      <c r="B556" s="41"/>
      <c r="C556" s="5" t="n">
        <f aca="false">IF(B556="",0,IF(A556="Bank",IFERROR(MATCH(B556,Bank!$A:$A,0),0),IFERROR(MATCH(B556,GL!$A:$A,0),0)))</f>
        <v>0</v>
      </c>
      <c r="D556" s="32" t="str">
        <f aca="false">IF(C556=0,"",IF($A556="Bank",INDEX(Bank!$B:$B,$C556),INDEX(GL!$B:$B,$C556)))</f>
        <v/>
      </c>
      <c r="E556" s="5" t="str">
        <f aca="false">IF(C556=0,"",IF($A556="Bank",IF(INDEX(Bank!$C:$C,$C556)="","",INDEX(Bank!$C:$C,$C556)),IF(INDEX(GL!$C:$C,$C556)="","",INDEX(GL!$C:$C,$C556))))</f>
        <v/>
      </c>
      <c r="F556" s="5" t="str">
        <f aca="false">IF(C556=0,"",IF($A556="Bank",IF(INDEX(Bank!$D:$D,$C556)="","",INDEX(Bank!$D:$D,$C556)),IF(INDEX(GL!$D:$D,$C556)="","",INDEX(GL!$D:$D,$C556))))</f>
        <v/>
      </c>
      <c r="G556" s="19" t="str">
        <f aca="false">IF(C556=0,"",IF($A556="Bank",INDEX(Bank!$E:$E,$C556),INDEX(GL!$E:$E,$C556)))</f>
        <v/>
      </c>
      <c r="H556" s="5" t="str">
        <f aca="false">IF(C556=0,"",IF(A556="GL",IF(G556&gt;0,"Deposit in transit","Outstanding check / payment"),IF(G556&gt;0,"Bank credit not in GL","Bank debit not in GL")))</f>
        <v/>
      </c>
      <c r="I556" s="42" t="str">
        <f aca="false">IF(OR(C556=0,CFG_PeriodEnd=""),"",CFG_PeriodEnd-D556)</f>
        <v/>
      </c>
      <c r="J556" s="5" t="str">
        <f aca="false">IF(C556=0,"",IF($A556="Bank",IF(INDEX(Bank!$G:$G,$C556)="","",INDEX(Bank!$G:$G,$C556)),IF(INDEX(GL!$G:$G,$C556)="","",INDEX(GL!$G:$G,$C556))))</f>
        <v/>
      </c>
      <c r="K556" s="5" t="str">
        <f aca="false">IF(C556=0,"",IF($A556="Bank",IF(INDEX(Bank!$I:$I,$C556)="","",INDEX(Bank!$I:$I,$C556)),IF(INDEX(GL!$I:$I,$C556)="","",INDEX(GL!$I:$I,$C556))))</f>
        <v/>
      </c>
      <c r="L556" s="5" t="str">
        <f aca="false">IF(B556="","",IF(C556=0,"NOT FOUND",IF(IF($A556="Bank",INDEX(Bank!$F:$F,$C556),INDEX(GL!$F:$F,$C556))="Y","NOW RECONCILED: refresh","OK")))</f>
        <v/>
      </c>
    </row>
    <row r="557" customFormat="false" ht="15" hidden="false" customHeight="false" outlineLevel="0" collapsed="false">
      <c r="A557" s="41"/>
      <c r="B557" s="41"/>
      <c r="C557" s="5" t="n">
        <f aca="false">IF(B557="",0,IF(A557="Bank",IFERROR(MATCH(B557,Bank!$A:$A,0),0),IFERROR(MATCH(B557,GL!$A:$A,0),0)))</f>
        <v>0</v>
      </c>
      <c r="D557" s="32" t="str">
        <f aca="false">IF(C557=0,"",IF($A557="Bank",INDEX(Bank!$B:$B,$C557),INDEX(GL!$B:$B,$C557)))</f>
        <v/>
      </c>
      <c r="E557" s="5" t="str">
        <f aca="false">IF(C557=0,"",IF($A557="Bank",IF(INDEX(Bank!$C:$C,$C557)="","",INDEX(Bank!$C:$C,$C557)),IF(INDEX(GL!$C:$C,$C557)="","",INDEX(GL!$C:$C,$C557))))</f>
        <v/>
      </c>
      <c r="F557" s="5" t="str">
        <f aca="false">IF(C557=0,"",IF($A557="Bank",IF(INDEX(Bank!$D:$D,$C557)="","",INDEX(Bank!$D:$D,$C557)),IF(INDEX(GL!$D:$D,$C557)="","",INDEX(GL!$D:$D,$C557))))</f>
        <v/>
      </c>
      <c r="G557" s="19" t="str">
        <f aca="false">IF(C557=0,"",IF($A557="Bank",INDEX(Bank!$E:$E,$C557),INDEX(GL!$E:$E,$C557)))</f>
        <v/>
      </c>
      <c r="H557" s="5" t="str">
        <f aca="false">IF(C557=0,"",IF(A557="GL",IF(G557&gt;0,"Deposit in transit","Outstanding check / payment"),IF(G557&gt;0,"Bank credit not in GL","Bank debit not in GL")))</f>
        <v/>
      </c>
      <c r="I557" s="42" t="str">
        <f aca="false">IF(OR(C557=0,CFG_PeriodEnd=""),"",CFG_PeriodEnd-D557)</f>
        <v/>
      </c>
      <c r="J557" s="5" t="str">
        <f aca="false">IF(C557=0,"",IF($A557="Bank",IF(INDEX(Bank!$G:$G,$C557)="","",INDEX(Bank!$G:$G,$C557)),IF(INDEX(GL!$G:$G,$C557)="","",INDEX(GL!$G:$G,$C557))))</f>
        <v/>
      </c>
      <c r="K557" s="5" t="str">
        <f aca="false">IF(C557=0,"",IF($A557="Bank",IF(INDEX(Bank!$I:$I,$C557)="","",INDEX(Bank!$I:$I,$C557)),IF(INDEX(GL!$I:$I,$C557)="","",INDEX(GL!$I:$I,$C557))))</f>
        <v/>
      </c>
      <c r="L557" s="5" t="str">
        <f aca="false">IF(B557="","",IF(C557=0,"NOT FOUND",IF(IF($A557="Bank",INDEX(Bank!$F:$F,$C557),INDEX(GL!$F:$F,$C557))="Y","NOW RECONCILED: refresh","OK")))</f>
        <v/>
      </c>
    </row>
    <row r="558" customFormat="false" ht="15" hidden="false" customHeight="false" outlineLevel="0" collapsed="false">
      <c r="A558" s="41"/>
      <c r="B558" s="41"/>
      <c r="C558" s="5" t="n">
        <f aca="false">IF(B558="",0,IF(A558="Bank",IFERROR(MATCH(B558,Bank!$A:$A,0),0),IFERROR(MATCH(B558,GL!$A:$A,0),0)))</f>
        <v>0</v>
      </c>
      <c r="D558" s="32" t="str">
        <f aca="false">IF(C558=0,"",IF($A558="Bank",INDEX(Bank!$B:$B,$C558),INDEX(GL!$B:$B,$C558)))</f>
        <v/>
      </c>
      <c r="E558" s="5" t="str">
        <f aca="false">IF(C558=0,"",IF($A558="Bank",IF(INDEX(Bank!$C:$C,$C558)="","",INDEX(Bank!$C:$C,$C558)),IF(INDEX(GL!$C:$C,$C558)="","",INDEX(GL!$C:$C,$C558))))</f>
        <v/>
      </c>
      <c r="F558" s="5" t="str">
        <f aca="false">IF(C558=0,"",IF($A558="Bank",IF(INDEX(Bank!$D:$D,$C558)="","",INDEX(Bank!$D:$D,$C558)),IF(INDEX(GL!$D:$D,$C558)="","",INDEX(GL!$D:$D,$C558))))</f>
        <v/>
      </c>
      <c r="G558" s="19" t="str">
        <f aca="false">IF(C558=0,"",IF($A558="Bank",INDEX(Bank!$E:$E,$C558),INDEX(GL!$E:$E,$C558)))</f>
        <v/>
      </c>
      <c r="H558" s="5" t="str">
        <f aca="false">IF(C558=0,"",IF(A558="GL",IF(G558&gt;0,"Deposit in transit","Outstanding check / payment"),IF(G558&gt;0,"Bank credit not in GL","Bank debit not in GL")))</f>
        <v/>
      </c>
      <c r="I558" s="42" t="str">
        <f aca="false">IF(OR(C558=0,CFG_PeriodEnd=""),"",CFG_PeriodEnd-D558)</f>
        <v/>
      </c>
      <c r="J558" s="5" t="str">
        <f aca="false">IF(C558=0,"",IF($A558="Bank",IF(INDEX(Bank!$G:$G,$C558)="","",INDEX(Bank!$G:$G,$C558)),IF(INDEX(GL!$G:$G,$C558)="","",INDEX(GL!$G:$G,$C558))))</f>
        <v/>
      </c>
      <c r="K558" s="5" t="str">
        <f aca="false">IF(C558=0,"",IF($A558="Bank",IF(INDEX(Bank!$I:$I,$C558)="","",INDEX(Bank!$I:$I,$C558)),IF(INDEX(GL!$I:$I,$C558)="","",INDEX(GL!$I:$I,$C558))))</f>
        <v/>
      </c>
      <c r="L558" s="5" t="str">
        <f aca="false">IF(B558="","",IF(C558=0,"NOT FOUND",IF(IF($A558="Bank",INDEX(Bank!$F:$F,$C558),INDEX(GL!$F:$F,$C558))="Y","NOW RECONCILED: refresh","OK")))</f>
        <v/>
      </c>
    </row>
    <row r="559" customFormat="false" ht="15" hidden="false" customHeight="false" outlineLevel="0" collapsed="false">
      <c r="A559" s="41"/>
      <c r="B559" s="41"/>
      <c r="C559" s="5" t="n">
        <f aca="false">IF(B559="",0,IF(A559="Bank",IFERROR(MATCH(B559,Bank!$A:$A,0),0),IFERROR(MATCH(B559,GL!$A:$A,0),0)))</f>
        <v>0</v>
      </c>
      <c r="D559" s="32" t="str">
        <f aca="false">IF(C559=0,"",IF($A559="Bank",INDEX(Bank!$B:$B,$C559),INDEX(GL!$B:$B,$C559)))</f>
        <v/>
      </c>
      <c r="E559" s="5" t="str">
        <f aca="false">IF(C559=0,"",IF($A559="Bank",IF(INDEX(Bank!$C:$C,$C559)="","",INDEX(Bank!$C:$C,$C559)),IF(INDEX(GL!$C:$C,$C559)="","",INDEX(GL!$C:$C,$C559))))</f>
        <v/>
      </c>
      <c r="F559" s="5" t="str">
        <f aca="false">IF(C559=0,"",IF($A559="Bank",IF(INDEX(Bank!$D:$D,$C559)="","",INDEX(Bank!$D:$D,$C559)),IF(INDEX(GL!$D:$D,$C559)="","",INDEX(GL!$D:$D,$C559))))</f>
        <v/>
      </c>
      <c r="G559" s="19" t="str">
        <f aca="false">IF(C559=0,"",IF($A559="Bank",INDEX(Bank!$E:$E,$C559),INDEX(GL!$E:$E,$C559)))</f>
        <v/>
      </c>
      <c r="H559" s="5" t="str">
        <f aca="false">IF(C559=0,"",IF(A559="GL",IF(G559&gt;0,"Deposit in transit","Outstanding check / payment"),IF(G559&gt;0,"Bank credit not in GL","Bank debit not in GL")))</f>
        <v/>
      </c>
      <c r="I559" s="42" t="str">
        <f aca="false">IF(OR(C559=0,CFG_PeriodEnd=""),"",CFG_PeriodEnd-D559)</f>
        <v/>
      </c>
      <c r="J559" s="5" t="str">
        <f aca="false">IF(C559=0,"",IF($A559="Bank",IF(INDEX(Bank!$G:$G,$C559)="","",INDEX(Bank!$G:$G,$C559)),IF(INDEX(GL!$G:$G,$C559)="","",INDEX(GL!$G:$G,$C559))))</f>
        <v/>
      </c>
      <c r="K559" s="5" t="str">
        <f aca="false">IF(C559=0,"",IF($A559="Bank",IF(INDEX(Bank!$I:$I,$C559)="","",INDEX(Bank!$I:$I,$C559)),IF(INDEX(GL!$I:$I,$C559)="","",INDEX(GL!$I:$I,$C559))))</f>
        <v/>
      </c>
      <c r="L559" s="5" t="str">
        <f aca="false">IF(B559="","",IF(C559=0,"NOT FOUND",IF(IF($A559="Bank",INDEX(Bank!$F:$F,$C559),INDEX(GL!$F:$F,$C559))="Y","NOW RECONCILED: refresh","OK")))</f>
        <v/>
      </c>
    </row>
    <row r="560" customFormat="false" ht="15" hidden="false" customHeight="false" outlineLevel="0" collapsed="false">
      <c r="A560" s="41"/>
      <c r="B560" s="41"/>
      <c r="C560" s="5" t="n">
        <f aca="false">IF(B560="",0,IF(A560="Bank",IFERROR(MATCH(B560,Bank!$A:$A,0),0),IFERROR(MATCH(B560,GL!$A:$A,0),0)))</f>
        <v>0</v>
      </c>
      <c r="D560" s="32" t="str">
        <f aca="false">IF(C560=0,"",IF($A560="Bank",INDEX(Bank!$B:$B,$C560),INDEX(GL!$B:$B,$C560)))</f>
        <v/>
      </c>
      <c r="E560" s="5" t="str">
        <f aca="false">IF(C560=0,"",IF($A560="Bank",IF(INDEX(Bank!$C:$C,$C560)="","",INDEX(Bank!$C:$C,$C560)),IF(INDEX(GL!$C:$C,$C560)="","",INDEX(GL!$C:$C,$C560))))</f>
        <v/>
      </c>
      <c r="F560" s="5" t="str">
        <f aca="false">IF(C560=0,"",IF($A560="Bank",IF(INDEX(Bank!$D:$D,$C560)="","",INDEX(Bank!$D:$D,$C560)),IF(INDEX(GL!$D:$D,$C560)="","",INDEX(GL!$D:$D,$C560))))</f>
        <v/>
      </c>
      <c r="G560" s="19" t="str">
        <f aca="false">IF(C560=0,"",IF($A560="Bank",INDEX(Bank!$E:$E,$C560),INDEX(GL!$E:$E,$C560)))</f>
        <v/>
      </c>
      <c r="H560" s="5" t="str">
        <f aca="false">IF(C560=0,"",IF(A560="GL",IF(G560&gt;0,"Deposit in transit","Outstanding check / payment"),IF(G560&gt;0,"Bank credit not in GL","Bank debit not in GL")))</f>
        <v/>
      </c>
      <c r="I560" s="42" t="str">
        <f aca="false">IF(OR(C560=0,CFG_PeriodEnd=""),"",CFG_PeriodEnd-D560)</f>
        <v/>
      </c>
      <c r="J560" s="5" t="str">
        <f aca="false">IF(C560=0,"",IF($A560="Bank",IF(INDEX(Bank!$G:$G,$C560)="","",INDEX(Bank!$G:$G,$C560)),IF(INDEX(GL!$G:$G,$C560)="","",INDEX(GL!$G:$G,$C560))))</f>
        <v/>
      </c>
      <c r="K560" s="5" t="str">
        <f aca="false">IF(C560=0,"",IF($A560="Bank",IF(INDEX(Bank!$I:$I,$C560)="","",INDEX(Bank!$I:$I,$C560)),IF(INDEX(GL!$I:$I,$C560)="","",INDEX(GL!$I:$I,$C560))))</f>
        <v/>
      </c>
      <c r="L560" s="5" t="str">
        <f aca="false">IF(B560="","",IF(C560=0,"NOT FOUND",IF(IF($A560="Bank",INDEX(Bank!$F:$F,$C560),INDEX(GL!$F:$F,$C560))="Y","NOW RECONCILED: refresh","OK")))</f>
        <v/>
      </c>
    </row>
    <row r="561" customFormat="false" ht="15" hidden="false" customHeight="false" outlineLevel="0" collapsed="false">
      <c r="A561" s="41"/>
      <c r="B561" s="41"/>
      <c r="C561" s="5" t="n">
        <f aca="false">IF(B561="",0,IF(A561="Bank",IFERROR(MATCH(B561,Bank!$A:$A,0),0),IFERROR(MATCH(B561,GL!$A:$A,0),0)))</f>
        <v>0</v>
      </c>
      <c r="D561" s="32" t="str">
        <f aca="false">IF(C561=0,"",IF($A561="Bank",INDEX(Bank!$B:$B,$C561),INDEX(GL!$B:$B,$C561)))</f>
        <v/>
      </c>
      <c r="E561" s="5" t="str">
        <f aca="false">IF(C561=0,"",IF($A561="Bank",IF(INDEX(Bank!$C:$C,$C561)="","",INDEX(Bank!$C:$C,$C561)),IF(INDEX(GL!$C:$C,$C561)="","",INDEX(GL!$C:$C,$C561))))</f>
        <v/>
      </c>
      <c r="F561" s="5" t="str">
        <f aca="false">IF(C561=0,"",IF($A561="Bank",IF(INDEX(Bank!$D:$D,$C561)="","",INDEX(Bank!$D:$D,$C561)),IF(INDEX(GL!$D:$D,$C561)="","",INDEX(GL!$D:$D,$C561))))</f>
        <v/>
      </c>
      <c r="G561" s="19" t="str">
        <f aca="false">IF(C561=0,"",IF($A561="Bank",INDEX(Bank!$E:$E,$C561),INDEX(GL!$E:$E,$C561)))</f>
        <v/>
      </c>
      <c r="H561" s="5" t="str">
        <f aca="false">IF(C561=0,"",IF(A561="GL",IF(G561&gt;0,"Deposit in transit","Outstanding check / payment"),IF(G561&gt;0,"Bank credit not in GL","Bank debit not in GL")))</f>
        <v/>
      </c>
      <c r="I561" s="42" t="str">
        <f aca="false">IF(OR(C561=0,CFG_PeriodEnd=""),"",CFG_PeriodEnd-D561)</f>
        <v/>
      </c>
      <c r="J561" s="5" t="str">
        <f aca="false">IF(C561=0,"",IF($A561="Bank",IF(INDEX(Bank!$G:$G,$C561)="","",INDEX(Bank!$G:$G,$C561)),IF(INDEX(GL!$G:$G,$C561)="","",INDEX(GL!$G:$G,$C561))))</f>
        <v/>
      </c>
      <c r="K561" s="5" t="str">
        <f aca="false">IF(C561=0,"",IF($A561="Bank",IF(INDEX(Bank!$I:$I,$C561)="","",INDEX(Bank!$I:$I,$C561)),IF(INDEX(GL!$I:$I,$C561)="","",INDEX(GL!$I:$I,$C561))))</f>
        <v/>
      </c>
      <c r="L561" s="5" t="str">
        <f aca="false">IF(B561="","",IF(C561=0,"NOT FOUND",IF(IF($A561="Bank",INDEX(Bank!$F:$F,$C561),INDEX(GL!$F:$F,$C561))="Y","NOW RECONCILED: refresh","OK")))</f>
        <v/>
      </c>
    </row>
    <row r="562" customFormat="false" ht="15" hidden="false" customHeight="false" outlineLevel="0" collapsed="false">
      <c r="A562" s="41"/>
      <c r="B562" s="41"/>
      <c r="C562" s="5" t="n">
        <f aca="false">IF(B562="",0,IF(A562="Bank",IFERROR(MATCH(B562,Bank!$A:$A,0),0),IFERROR(MATCH(B562,GL!$A:$A,0),0)))</f>
        <v>0</v>
      </c>
      <c r="D562" s="32" t="str">
        <f aca="false">IF(C562=0,"",IF($A562="Bank",INDEX(Bank!$B:$B,$C562),INDEX(GL!$B:$B,$C562)))</f>
        <v/>
      </c>
      <c r="E562" s="5" t="str">
        <f aca="false">IF(C562=0,"",IF($A562="Bank",IF(INDEX(Bank!$C:$C,$C562)="","",INDEX(Bank!$C:$C,$C562)),IF(INDEX(GL!$C:$C,$C562)="","",INDEX(GL!$C:$C,$C562))))</f>
        <v/>
      </c>
      <c r="F562" s="5" t="str">
        <f aca="false">IF(C562=0,"",IF($A562="Bank",IF(INDEX(Bank!$D:$D,$C562)="","",INDEX(Bank!$D:$D,$C562)),IF(INDEX(GL!$D:$D,$C562)="","",INDEX(GL!$D:$D,$C562))))</f>
        <v/>
      </c>
      <c r="G562" s="19" t="str">
        <f aca="false">IF(C562=0,"",IF($A562="Bank",INDEX(Bank!$E:$E,$C562),INDEX(GL!$E:$E,$C562)))</f>
        <v/>
      </c>
      <c r="H562" s="5" t="str">
        <f aca="false">IF(C562=0,"",IF(A562="GL",IF(G562&gt;0,"Deposit in transit","Outstanding check / payment"),IF(G562&gt;0,"Bank credit not in GL","Bank debit not in GL")))</f>
        <v/>
      </c>
      <c r="I562" s="42" t="str">
        <f aca="false">IF(OR(C562=0,CFG_PeriodEnd=""),"",CFG_PeriodEnd-D562)</f>
        <v/>
      </c>
      <c r="J562" s="5" t="str">
        <f aca="false">IF(C562=0,"",IF($A562="Bank",IF(INDEX(Bank!$G:$G,$C562)="","",INDEX(Bank!$G:$G,$C562)),IF(INDEX(GL!$G:$G,$C562)="","",INDEX(GL!$G:$G,$C562))))</f>
        <v/>
      </c>
      <c r="K562" s="5" t="str">
        <f aca="false">IF(C562=0,"",IF($A562="Bank",IF(INDEX(Bank!$I:$I,$C562)="","",INDEX(Bank!$I:$I,$C562)),IF(INDEX(GL!$I:$I,$C562)="","",INDEX(GL!$I:$I,$C562))))</f>
        <v/>
      </c>
      <c r="L562" s="5" t="str">
        <f aca="false">IF(B562="","",IF(C562=0,"NOT FOUND",IF(IF($A562="Bank",INDEX(Bank!$F:$F,$C562),INDEX(GL!$F:$F,$C562))="Y","NOW RECONCILED: refresh","OK")))</f>
        <v/>
      </c>
    </row>
    <row r="563" customFormat="false" ht="15" hidden="false" customHeight="false" outlineLevel="0" collapsed="false">
      <c r="A563" s="41"/>
      <c r="B563" s="41"/>
      <c r="C563" s="5" t="n">
        <f aca="false">IF(B563="",0,IF(A563="Bank",IFERROR(MATCH(B563,Bank!$A:$A,0),0),IFERROR(MATCH(B563,GL!$A:$A,0),0)))</f>
        <v>0</v>
      </c>
      <c r="D563" s="32" t="str">
        <f aca="false">IF(C563=0,"",IF($A563="Bank",INDEX(Bank!$B:$B,$C563),INDEX(GL!$B:$B,$C563)))</f>
        <v/>
      </c>
      <c r="E563" s="5" t="str">
        <f aca="false">IF(C563=0,"",IF($A563="Bank",IF(INDEX(Bank!$C:$C,$C563)="","",INDEX(Bank!$C:$C,$C563)),IF(INDEX(GL!$C:$C,$C563)="","",INDEX(GL!$C:$C,$C563))))</f>
        <v/>
      </c>
      <c r="F563" s="5" t="str">
        <f aca="false">IF(C563=0,"",IF($A563="Bank",IF(INDEX(Bank!$D:$D,$C563)="","",INDEX(Bank!$D:$D,$C563)),IF(INDEX(GL!$D:$D,$C563)="","",INDEX(GL!$D:$D,$C563))))</f>
        <v/>
      </c>
      <c r="G563" s="19" t="str">
        <f aca="false">IF(C563=0,"",IF($A563="Bank",INDEX(Bank!$E:$E,$C563),INDEX(GL!$E:$E,$C563)))</f>
        <v/>
      </c>
      <c r="H563" s="5" t="str">
        <f aca="false">IF(C563=0,"",IF(A563="GL",IF(G563&gt;0,"Deposit in transit","Outstanding check / payment"),IF(G563&gt;0,"Bank credit not in GL","Bank debit not in GL")))</f>
        <v/>
      </c>
      <c r="I563" s="42" t="str">
        <f aca="false">IF(OR(C563=0,CFG_PeriodEnd=""),"",CFG_PeriodEnd-D563)</f>
        <v/>
      </c>
      <c r="J563" s="5" t="str">
        <f aca="false">IF(C563=0,"",IF($A563="Bank",IF(INDEX(Bank!$G:$G,$C563)="","",INDEX(Bank!$G:$G,$C563)),IF(INDEX(GL!$G:$G,$C563)="","",INDEX(GL!$G:$G,$C563))))</f>
        <v/>
      </c>
      <c r="K563" s="5" t="str">
        <f aca="false">IF(C563=0,"",IF($A563="Bank",IF(INDEX(Bank!$I:$I,$C563)="","",INDEX(Bank!$I:$I,$C563)),IF(INDEX(GL!$I:$I,$C563)="","",INDEX(GL!$I:$I,$C563))))</f>
        <v/>
      </c>
      <c r="L563" s="5" t="str">
        <f aca="false">IF(B563="","",IF(C563=0,"NOT FOUND",IF(IF($A563="Bank",INDEX(Bank!$F:$F,$C563),INDEX(GL!$F:$F,$C563))="Y","NOW RECONCILED: refresh","OK")))</f>
        <v/>
      </c>
    </row>
    <row r="564" customFormat="false" ht="15" hidden="false" customHeight="false" outlineLevel="0" collapsed="false">
      <c r="A564" s="41"/>
      <c r="B564" s="41"/>
      <c r="C564" s="5" t="n">
        <f aca="false">IF(B564="",0,IF(A564="Bank",IFERROR(MATCH(B564,Bank!$A:$A,0),0),IFERROR(MATCH(B564,GL!$A:$A,0),0)))</f>
        <v>0</v>
      </c>
      <c r="D564" s="32" t="str">
        <f aca="false">IF(C564=0,"",IF($A564="Bank",INDEX(Bank!$B:$B,$C564),INDEX(GL!$B:$B,$C564)))</f>
        <v/>
      </c>
      <c r="E564" s="5" t="str">
        <f aca="false">IF(C564=0,"",IF($A564="Bank",IF(INDEX(Bank!$C:$C,$C564)="","",INDEX(Bank!$C:$C,$C564)),IF(INDEX(GL!$C:$C,$C564)="","",INDEX(GL!$C:$C,$C564))))</f>
        <v/>
      </c>
      <c r="F564" s="5" t="str">
        <f aca="false">IF(C564=0,"",IF($A564="Bank",IF(INDEX(Bank!$D:$D,$C564)="","",INDEX(Bank!$D:$D,$C564)),IF(INDEX(GL!$D:$D,$C564)="","",INDEX(GL!$D:$D,$C564))))</f>
        <v/>
      </c>
      <c r="G564" s="19" t="str">
        <f aca="false">IF(C564=0,"",IF($A564="Bank",INDEX(Bank!$E:$E,$C564),INDEX(GL!$E:$E,$C564)))</f>
        <v/>
      </c>
      <c r="H564" s="5" t="str">
        <f aca="false">IF(C564=0,"",IF(A564="GL",IF(G564&gt;0,"Deposit in transit","Outstanding check / payment"),IF(G564&gt;0,"Bank credit not in GL","Bank debit not in GL")))</f>
        <v/>
      </c>
      <c r="I564" s="42" t="str">
        <f aca="false">IF(OR(C564=0,CFG_PeriodEnd=""),"",CFG_PeriodEnd-D564)</f>
        <v/>
      </c>
      <c r="J564" s="5" t="str">
        <f aca="false">IF(C564=0,"",IF($A564="Bank",IF(INDEX(Bank!$G:$G,$C564)="","",INDEX(Bank!$G:$G,$C564)),IF(INDEX(GL!$G:$G,$C564)="","",INDEX(GL!$G:$G,$C564))))</f>
        <v/>
      </c>
      <c r="K564" s="5" t="str">
        <f aca="false">IF(C564=0,"",IF($A564="Bank",IF(INDEX(Bank!$I:$I,$C564)="","",INDEX(Bank!$I:$I,$C564)),IF(INDEX(GL!$I:$I,$C564)="","",INDEX(GL!$I:$I,$C564))))</f>
        <v/>
      </c>
      <c r="L564" s="5" t="str">
        <f aca="false">IF(B564="","",IF(C564=0,"NOT FOUND",IF(IF($A564="Bank",INDEX(Bank!$F:$F,$C564),INDEX(GL!$F:$F,$C564))="Y","NOW RECONCILED: refresh","OK")))</f>
        <v/>
      </c>
    </row>
    <row r="565" customFormat="false" ht="15" hidden="false" customHeight="false" outlineLevel="0" collapsed="false">
      <c r="A565" s="41"/>
      <c r="B565" s="41"/>
      <c r="C565" s="5" t="n">
        <f aca="false">IF(B565="",0,IF(A565="Bank",IFERROR(MATCH(B565,Bank!$A:$A,0),0),IFERROR(MATCH(B565,GL!$A:$A,0),0)))</f>
        <v>0</v>
      </c>
      <c r="D565" s="32" t="str">
        <f aca="false">IF(C565=0,"",IF($A565="Bank",INDEX(Bank!$B:$B,$C565),INDEX(GL!$B:$B,$C565)))</f>
        <v/>
      </c>
      <c r="E565" s="5" t="str">
        <f aca="false">IF(C565=0,"",IF($A565="Bank",IF(INDEX(Bank!$C:$C,$C565)="","",INDEX(Bank!$C:$C,$C565)),IF(INDEX(GL!$C:$C,$C565)="","",INDEX(GL!$C:$C,$C565))))</f>
        <v/>
      </c>
      <c r="F565" s="5" t="str">
        <f aca="false">IF(C565=0,"",IF($A565="Bank",IF(INDEX(Bank!$D:$D,$C565)="","",INDEX(Bank!$D:$D,$C565)),IF(INDEX(GL!$D:$D,$C565)="","",INDEX(GL!$D:$D,$C565))))</f>
        <v/>
      </c>
      <c r="G565" s="19" t="str">
        <f aca="false">IF(C565=0,"",IF($A565="Bank",INDEX(Bank!$E:$E,$C565),INDEX(GL!$E:$E,$C565)))</f>
        <v/>
      </c>
      <c r="H565" s="5" t="str">
        <f aca="false">IF(C565=0,"",IF(A565="GL",IF(G565&gt;0,"Deposit in transit","Outstanding check / payment"),IF(G565&gt;0,"Bank credit not in GL","Bank debit not in GL")))</f>
        <v/>
      </c>
      <c r="I565" s="42" t="str">
        <f aca="false">IF(OR(C565=0,CFG_PeriodEnd=""),"",CFG_PeriodEnd-D565)</f>
        <v/>
      </c>
      <c r="J565" s="5" t="str">
        <f aca="false">IF(C565=0,"",IF($A565="Bank",IF(INDEX(Bank!$G:$G,$C565)="","",INDEX(Bank!$G:$G,$C565)),IF(INDEX(GL!$G:$G,$C565)="","",INDEX(GL!$G:$G,$C565))))</f>
        <v/>
      </c>
      <c r="K565" s="5" t="str">
        <f aca="false">IF(C565=0,"",IF($A565="Bank",IF(INDEX(Bank!$I:$I,$C565)="","",INDEX(Bank!$I:$I,$C565)),IF(INDEX(GL!$I:$I,$C565)="","",INDEX(GL!$I:$I,$C565))))</f>
        <v/>
      </c>
      <c r="L565" s="5" t="str">
        <f aca="false">IF(B565="","",IF(C565=0,"NOT FOUND",IF(IF($A565="Bank",INDEX(Bank!$F:$F,$C565),INDEX(GL!$F:$F,$C565))="Y","NOW RECONCILED: refresh","OK")))</f>
        <v/>
      </c>
    </row>
    <row r="566" customFormat="false" ht="15" hidden="false" customHeight="false" outlineLevel="0" collapsed="false">
      <c r="A566" s="41"/>
      <c r="B566" s="41"/>
      <c r="C566" s="5" t="n">
        <f aca="false">IF(B566="",0,IF(A566="Bank",IFERROR(MATCH(B566,Bank!$A:$A,0),0),IFERROR(MATCH(B566,GL!$A:$A,0),0)))</f>
        <v>0</v>
      </c>
      <c r="D566" s="32" t="str">
        <f aca="false">IF(C566=0,"",IF($A566="Bank",INDEX(Bank!$B:$B,$C566),INDEX(GL!$B:$B,$C566)))</f>
        <v/>
      </c>
      <c r="E566" s="5" t="str">
        <f aca="false">IF(C566=0,"",IF($A566="Bank",IF(INDEX(Bank!$C:$C,$C566)="","",INDEX(Bank!$C:$C,$C566)),IF(INDEX(GL!$C:$C,$C566)="","",INDEX(GL!$C:$C,$C566))))</f>
        <v/>
      </c>
      <c r="F566" s="5" t="str">
        <f aca="false">IF(C566=0,"",IF($A566="Bank",IF(INDEX(Bank!$D:$D,$C566)="","",INDEX(Bank!$D:$D,$C566)),IF(INDEX(GL!$D:$D,$C566)="","",INDEX(GL!$D:$D,$C566))))</f>
        <v/>
      </c>
      <c r="G566" s="19" t="str">
        <f aca="false">IF(C566=0,"",IF($A566="Bank",INDEX(Bank!$E:$E,$C566),INDEX(GL!$E:$E,$C566)))</f>
        <v/>
      </c>
      <c r="H566" s="5" t="str">
        <f aca="false">IF(C566=0,"",IF(A566="GL",IF(G566&gt;0,"Deposit in transit","Outstanding check / payment"),IF(G566&gt;0,"Bank credit not in GL","Bank debit not in GL")))</f>
        <v/>
      </c>
      <c r="I566" s="42" t="str">
        <f aca="false">IF(OR(C566=0,CFG_PeriodEnd=""),"",CFG_PeriodEnd-D566)</f>
        <v/>
      </c>
      <c r="J566" s="5" t="str">
        <f aca="false">IF(C566=0,"",IF($A566="Bank",IF(INDEX(Bank!$G:$G,$C566)="","",INDEX(Bank!$G:$G,$C566)),IF(INDEX(GL!$G:$G,$C566)="","",INDEX(GL!$G:$G,$C566))))</f>
        <v/>
      </c>
      <c r="K566" s="5" t="str">
        <f aca="false">IF(C566=0,"",IF($A566="Bank",IF(INDEX(Bank!$I:$I,$C566)="","",INDEX(Bank!$I:$I,$C566)),IF(INDEX(GL!$I:$I,$C566)="","",INDEX(GL!$I:$I,$C566))))</f>
        <v/>
      </c>
      <c r="L566" s="5" t="str">
        <f aca="false">IF(B566="","",IF(C566=0,"NOT FOUND",IF(IF($A566="Bank",INDEX(Bank!$F:$F,$C566),INDEX(GL!$F:$F,$C566))="Y","NOW RECONCILED: refresh","OK")))</f>
        <v/>
      </c>
    </row>
    <row r="567" customFormat="false" ht="15" hidden="false" customHeight="false" outlineLevel="0" collapsed="false">
      <c r="A567" s="41"/>
      <c r="B567" s="41"/>
      <c r="C567" s="5" t="n">
        <f aca="false">IF(B567="",0,IF(A567="Bank",IFERROR(MATCH(B567,Bank!$A:$A,0),0),IFERROR(MATCH(B567,GL!$A:$A,0),0)))</f>
        <v>0</v>
      </c>
      <c r="D567" s="32" t="str">
        <f aca="false">IF(C567=0,"",IF($A567="Bank",INDEX(Bank!$B:$B,$C567),INDEX(GL!$B:$B,$C567)))</f>
        <v/>
      </c>
      <c r="E567" s="5" t="str">
        <f aca="false">IF(C567=0,"",IF($A567="Bank",IF(INDEX(Bank!$C:$C,$C567)="","",INDEX(Bank!$C:$C,$C567)),IF(INDEX(GL!$C:$C,$C567)="","",INDEX(GL!$C:$C,$C567))))</f>
        <v/>
      </c>
      <c r="F567" s="5" t="str">
        <f aca="false">IF(C567=0,"",IF($A567="Bank",IF(INDEX(Bank!$D:$D,$C567)="","",INDEX(Bank!$D:$D,$C567)),IF(INDEX(GL!$D:$D,$C567)="","",INDEX(GL!$D:$D,$C567))))</f>
        <v/>
      </c>
      <c r="G567" s="19" t="str">
        <f aca="false">IF(C567=0,"",IF($A567="Bank",INDEX(Bank!$E:$E,$C567),INDEX(GL!$E:$E,$C567)))</f>
        <v/>
      </c>
      <c r="H567" s="5" t="str">
        <f aca="false">IF(C567=0,"",IF(A567="GL",IF(G567&gt;0,"Deposit in transit","Outstanding check / payment"),IF(G567&gt;0,"Bank credit not in GL","Bank debit not in GL")))</f>
        <v/>
      </c>
      <c r="I567" s="42" t="str">
        <f aca="false">IF(OR(C567=0,CFG_PeriodEnd=""),"",CFG_PeriodEnd-D567)</f>
        <v/>
      </c>
      <c r="J567" s="5" t="str">
        <f aca="false">IF(C567=0,"",IF($A567="Bank",IF(INDEX(Bank!$G:$G,$C567)="","",INDEX(Bank!$G:$G,$C567)),IF(INDEX(GL!$G:$G,$C567)="","",INDEX(GL!$G:$G,$C567))))</f>
        <v/>
      </c>
      <c r="K567" s="5" t="str">
        <f aca="false">IF(C567=0,"",IF($A567="Bank",IF(INDEX(Bank!$I:$I,$C567)="","",INDEX(Bank!$I:$I,$C567)),IF(INDEX(GL!$I:$I,$C567)="","",INDEX(GL!$I:$I,$C567))))</f>
        <v/>
      </c>
      <c r="L567" s="5" t="str">
        <f aca="false">IF(B567="","",IF(C567=0,"NOT FOUND",IF(IF($A567="Bank",INDEX(Bank!$F:$F,$C567),INDEX(GL!$F:$F,$C567))="Y","NOW RECONCILED: refresh","OK")))</f>
        <v/>
      </c>
    </row>
    <row r="568" customFormat="false" ht="15" hidden="false" customHeight="false" outlineLevel="0" collapsed="false">
      <c r="A568" s="41"/>
      <c r="B568" s="41"/>
      <c r="C568" s="5" t="n">
        <f aca="false">IF(B568="",0,IF(A568="Bank",IFERROR(MATCH(B568,Bank!$A:$A,0),0),IFERROR(MATCH(B568,GL!$A:$A,0),0)))</f>
        <v>0</v>
      </c>
      <c r="D568" s="32" t="str">
        <f aca="false">IF(C568=0,"",IF($A568="Bank",INDEX(Bank!$B:$B,$C568),INDEX(GL!$B:$B,$C568)))</f>
        <v/>
      </c>
      <c r="E568" s="5" t="str">
        <f aca="false">IF(C568=0,"",IF($A568="Bank",IF(INDEX(Bank!$C:$C,$C568)="","",INDEX(Bank!$C:$C,$C568)),IF(INDEX(GL!$C:$C,$C568)="","",INDEX(GL!$C:$C,$C568))))</f>
        <v/>
      </c>
      <c r="F568" s="5" t="str">
        <f aca="false">IF(C568=0,"",IF($A568="Bank",IF(INDEX(Bank!$D:$D,$C568)="","",INDEX(Bank!$D:$D,$C568)),IF(INDEX(GL!$D:$D,$C568)="","",INDEX(GL!$D:$D,$C568))))</f>
        <v/>
      </c>
      <c r="G568" s="19" t="str">
        <f aca="false">IF(C568=0,"",IF($A568="Bank",INDEX(Bank!$E:$E,$C568),INDEX(GL!$E:$E,$C568)))</f>
        <v/>
      </c>
      <c r="H568" s="5" t="str">
        <f aca="false">IF(C568=0,"",IF(A568="GL",IF(G568&gt;0,"Deposit in transit","Outstanding check / payment"),IF(G568&gt;0,"Bank credit not in GL","Bank debit not in GL")))</f>
        <v/>
      </c>
      <c r="I568" s="42" t="str">
        <f aca="false">IF(OR(C568=0,CFG_PeriodEnd=""),"",CFG_PeriodEnd-D568)</f>
        <v/>
      </c>
      <c r="J568" s="5" t="str">
        <f aca="false">IF(C568=0,"",IF($A568="Bank",IF(INDEX(Bank!$G:$G,$C568)="","",INDEX(Bank!$G:$G,$C568)),IF(INDEX(GL!$G:$G,$C568)="","",INDEX(GL!$G:$G,$C568))))</f>
        <v/>
      </c>
      <c r="K568" s="5" t="str">
        <f aca="false">IF(C568=0,"",IF($A568="Bank",IF(INDEX(Bank!$I:$I,$C568)="","",INDEX(Bank!$I:$I,$C568)),IF(INDEX(GL!$I:$I,$C568)="","",INDEX(GL!$I:$I,$C568))))</f>
        <v/>
      </c>
      <c r="L568" s="5" t="str">
        <f aca="false">IF(B568="","",IF(C568=0,"NOT FOUND",IF(IF($A568="Bank",INDEX(Bank!$F:$F,$C568),INDEX(GL!$F:$F,$C568))="Y","NOW RECONCILED: refresh","OK")))</f>
        <v/>
      </c>
    </row>
    <row r="569" customFormat="false" ht="15" hidden="false" customHeight="false" outlineLevel="0" collapsed="false">
      <c r="A569" s="41"/>
      <c r="B569" s="41"/>
      <c r="C569" s="5" t="n">
        <f aca="false">IF(B569="",0,IF(A569="Bank",IFERROR(MATCH(B569,Bank!$A:$A,0),0),IFERROR(MATCH(B569,GL!$A:$A,0),0)))</f>
        <v>0</v>
      </c>
      <c r="D569" s="32" t="str">
        <f aca="false">IF(C569=0,"",IF($A569="Bank",INDEX(Bank!$B:$B,$C569),INDEX(GL!$B:$B,$C569)))</f>
        <v/>
      </c>
      <c r="E569" s="5" t="str">
        <f aca="false">IF(C569=0,"",IF($A569="Bank",IF(INDEX(Bank!$C:$C,$C569)="","",INDEX(Bank!$C:$C,$C569)),IF(INDEX(GL!$C:$C,$C569)="","",INDEX(GL!$C:$C,$C569))))</f>
        <v/>
      </c>
      <c r="F569" s="5" t="str">
        <f aca="false">IF(C569=0,"",IF($A569="Bank",IF(INDEX(Bank!$D:$D,$C569)="","",INDEX(Bank!$D:$D,$C569)),IF(INDEX(GL!$D:$D,$C569)="","",INDEX(GL!$D:$D,$C569))))</f>
        <v/>
      </c>
      <c r="G569" s="19" t="str">
        <f aca="false">IF(C569=0,"",IF($A569="Bank",INDEX(Bank!$E:$E,$C569),INDEX(GL!$E:$E,$C569)))</f>
        <v/>
      </c>
      <c r="H569" s="5" t="str">
        <f aca="false">IF(C569=0,"",IF(A569="GL",IF(G569&gt;0,"Deposit in transit","Outstanding check / payment"),IF(G569&gt;0,"Bank credit not in GL","Bank debit not in GL")))</f>
        <v/>
      </c>
      <c r="I569" s="42" t="str">
        <f aca="false">IF(OR(C569=0,CFG_PeriodEnd=""),"",CFG_PeriodEnd-D569)</f>
        <v/>
      </c>
      <c r="J569" s="5" t="str">
        <f aca="false">IF(C569=0,"",IF($A569="Bank",IF(INDEX(Bank!$G:$G,$C569)="","",INDEX(Bank!$G:$G,$C569)),IF(INDEX(GL!$G:$G,$C569)="","",INDEX(GL!$G:$G,$C569))))</f>
        <v/>
      </c>
      <c r="K569" s="5" t="str">
        <f aca="false">IF(C569=0,"",IF($A569="Bank",IF(INDEX(Bank!$I:$I,$C569)="","",INDEX(Bank!$I:$I,$C569)),IF(INDEX(GL!$I:$I,$C569)="","",INDEX(GL!$I:$I,$C569))))</f>
        <v/>
      </c>
      <c r="L569" s="5" t="str">
        <f aca="false">IF(B569="","",IF(C569=0,"NOT FOUND",IF(IF($A569="Bank",INDEX(Bank!$F:$F,$C569),INDEX(GL!$F:$F,$C569))="Y","NOW RECONCILED: refresh","OK")))</f>
        <v/>
      </c>
    </row>
    <row r="570" customFormat="false" ht="15" hidden="false" customHeight="false" outlineLevel="0" collapsed="false">
      <c r="A570" s="41"/>
      <c r="B570" s="41"/>
      <c r="C570" s="5" t="n">
        <f aca="false">IF(B570="",0,IF(A570="Bank",IFERROR(MATCH(B570,Bank!$A:$A,0),0),IFERROR(MATCH(B570,GL!$A:$A,0),0)))</f>
        <v>0</v>
      </c>
      <c r="D570" s="32" t="str">
        <f aca="false">IF(C570=0,"",IF($A570="Bank",INDEX(Bank!$B:$B,$C570),INDEX(GL!$B:$B,$C570)))</f>
        <v/>
      </c>
      <c r="E570" s="5" t="str">
        <f aca="false">IF(C570=0,"",IF($A570="Bank",IF(INDEX(Bank!$C:$C,$C570)="","",INDEX(Bank!$C:$C,$C570)),IF(INDEX(GL!$C:$C,$C570)="","",INDEX(GL!$C:$C,$C570))))</f>
        <v/>
      </c>
      <c r="F570" s="5" t="str">
        <f aca="false">IF(C570=0,"",IF($A570="Bank",IF(INDEX(Bank!$D:$D,$C570)="","",INDEX(Bank!$D:$D,$C570)),IF(INDEX(GL!$D:$D,$C570)="","",INDEX(GL!$D:$D,$C570))))</f>
        <v/>
      </c>
      <c r="G570" s="19" t="str">
        <f aca="false">IF(C570=0,"",IF($A570="Bank",INDEX(Bank!$E:$E,$C570),INDEX(GL!$E:$E,$C570)))</f>
        <v/>
      </c>
      <c r="H570" s="5" t="str">
        <f aca="false">IF(C570=0,"",IF(A570="GL",IF(G570&gt;0,"Deposit in transit","Outstanding check / payment"),IF(G570&gt;0,"Bank credit not in GL","Bank debit not in GL")))</f>
        <v/>
      </c>
      <c r="I570" s="42" t="str">
        <f aca="false">IF(OR(C570=0,CFG_PeriodEnd=""),"",CFG_PeriodEnd-D570)</f>
        <v/>
      </c>
      <c r="J570" s="5" t="str">
        <f aca="false">IF(C570=0,"",IF($A570="Bank",IF(INDEX(Bank!$G:$G,$C570)="","",INDEX(Bank!$G:$G,$C570)),IF(INDEX(GL!$G:$G,$C570)="","",INDEX(GL!$G:$G,$C570))))</f>
        <v/>
      </c>
      <c r="K570" s="5" t="str">
        <f aca="false">IF(C570=0,"",IF($A570="Bank",IF(INDEX(Bank!$I:$I,$C570)="","",INDEX(Bank!$I:$I,$C570)),IF(INDEX(GL!$I:$I,$C570)="","",INDEX(GL!$I:$I,$C570))))</f>
        <v/>
      </c>
      <c r="L570" s="5" t="str">
        <f aca="false">IF(B570="","",IF(C570=0,"NOT FOUND",IF(IF($A570="Bank",INDEX(Bank!$F:$F,$C570),INDEX(GL!$F:$F,$C570))="Y","NOW RECONCILED: refresh","OK")))</f>
        <v/>
      </c>
    </row>
    <row r="571" customFormat="false" ht="15" hidden="false" customHeight="false" outlineLevel="0" collapsed="false">
      <c r="A571" s="41"/>
      <c r="B571" s="41"/>
      <c r="C571" s="5" t="n">
        <f aca="false">IF(B571="",0,IF(A571="Bank",IFERROR(MATCH(B571,Bank!$A:$A,0),0),IFERROR(MATCH(B571,GL!$A:$A,0),0)))</f>
        <v>0</v>
      </c>
      <c r="D571" s="32" t="str">
        <f aca="false">IF(C571=0,"",IF($A571="Bank",INDEX(Bank!$B:$B,$C571),INDEX(GL!$B:$B,$C571)))</f>
        <v/>
      </c>
      <c r="E571" s="5" t="str">
        <f aca="false">IF(C571=0,"",IF($A571="Bank",IF(INDEX(Bank!$C:$C,$C571)="","",INDEX(Bank!$C:$C,$C571)),IF(INDEX(GL!$C:$C,$C571)="","",INDEX(GL!$C:$C,$C571))))</f>
        <v/>
      </c>
      <c r="F571" s="5" t="str">
        <f aca="false">IF(C571=0,"",IF($A571="Bank",IF(INDEX(Bank!$D:$D,$C571)="","",INDEX(Bank!$D:$D,$C571)),IF(INDEX(GL!$D:$D,$C571)="","",INDEX(GL!$D:$D,$C571))))</f>
        <v/>
      </c>
      <c r="G571" s="19" t="str">
        <f aca="false">IF(C571=0,"",IF($A571="Bank",INDEX(Bank!$E:$E,$C571),INDEX(GL!$E:$E,$C571)))</f>
        <v/>
      </c>
      <c r="H571" s="5" t="str">
        <f aca="false">IF(C571=0,"",IF(A571="GL",IF(G571&gt;0,"Deposit in transit","Outstanding check / payment"),IF(G571&gt;0,"Bank credit not in GL","Bank debit not in GL")))</f>
        <v/>
      </c>
      <c r="I571" s="42" t="str">
        <f aca="false">IF(OR(C571=0,CFG_PeriodEnd=""),"",CFG_PeriodEnd-D571)</f>
        <v/>
      </c>
      <c r="J571" s="5" t="str">
        <f aca="false">IF(C571=0,"",IF($A571="Bank",IF(INDEX(Bank!$G:$G,$C571)="","",INDEX(Bank!$G:$G,$C571)),IF(INDEX(GL!$G:$G,$C571)="","",INDEX(GL!$G:$G,$C571))))</f>
        <v/>
      </c>
      <c r="K571" s="5" t="str">
        <f aca="false">IF(C571=0,"",IF($A571="Bank",IF(INDEX(Bank!$I:$I,$C571)="","",INDEX(Bank!$I:$I,$C571)),IF(INDEX(GL!$I:$I,$C571)="","",INDEX(GL!$I:$I,$C571))))</f>
        <v/>
      </c>
      <c r="L571" s="5" t="str">
        <f aca="false">IF(B571="","",IF(C571=0,"NOT FOUND",IF(IF($A571="Bank",INDEX(Bank!$F:$F,$C571),INDEX(GL!$F:$F,$C571))="Y","NOW RECONCILED: refresh","OK")))</f>
        <v/>
      </c>
    </row>
    <row r="572" customFormat="false" ht="15" hidden="false" customHeight="false" outlineLevel="0" collapsed="false">
      <c r="A572" s="41"/>
      <c r="B572" s="41"/>
      <c r="C572" s="5" t="n">
        <f aca="false">IF(B572="",0,IF(A572="Bank",IFERROR(MATCH(B572,Bank!$A:$A,0),0),IFERROR(MATCH(B572,GL!$A:$A,0),0)))</f>
        <v>0</v>
      </c>
      <c r="D572" s="32" t="str">
        <f aca="false">IF(C572=0,"",IF($A572="Bank",INDEX(Bank!$B:$B,$C572),INDEX(GL!$B:$B,$C572)))</f>
        <v/>
      </c>
      <c r="E572" s="5" t="str">
        <f aca="false">IF(C572=0,"",IF($A572="Bank",IF(INDEX(Bank!$C:$C,$C572)="","",INDEX(Bank!$C:$C,$C572)),IF(INDEX(GL!$C:$C,$C572)="","",INDEX(GL!$C:$C,$C572))))</f>
        <v/>
      </c>
      <c r="F572" s="5" t="str">
        <f aca="false">IF(C572=0,"",IF($A572="Bank",IF(INDEX(Bank!$D:$D,$C572)="","",INDEX(Bank!$D:$D,$C572)),IF(INDEX(GL!$D:$D,$C572)="","",INDEX(GL!$D:$D,$C572))))</f>
        <v/>
      </c>
      <c r="G572" s="19" t="str">
        <f aca="false">IF(C572=0,"",IF($A572="Bank",INDEX(Bank!$E:$E,$C572),INDEX(GL!$E:$E,$C572)))</f>
        <v/>
      </c>
      <c r="H572" s="5" t="str">
        <f aca="false">IF(C572=0,"",IF(A572="GL",IF(G572&gt;0,"Deposit in transit","Outstanding check / payment"),IF(G572&gt;0,"Bank credit not in GL","Bank debit not in GL")))</f>
        <v/>
      </c>
      <c r="I572" s="42" t="str">
        <f aca="false">IF(OR(C572=0,CFG_PeriodEnd=""),"",CFG_PeriodEnd-D572)</f>
        <v/>
      </c>
      <c r="J572" s="5" t="str">
        <f aca="false">IF(C572=0,"",IF($A572="Bank",IF(INDEX(Bank!$G:$G,$C572)="","",INDEX(Bank!$G:$G,$C572)),IF(INDEX(GL!$G:$G,$C572)="","",INDEX(GL!$G:$G,$C572))))</f>
        <v/>
      </c>
      <c r="K572" s="5" t="str">
        <f aca="false">IF(C572=0,"",IF($A572="Bank",IF(INDEX(Bank!$I:$I,$C572)="","",INDEX(Bank!$I:$I,$C572)),IF(INDEX(GL!$I:$I,$C572)="","",INDEX(GL!$I:$I,$C572))))</f>
        <v/>
      </c>
      <c r="L572" s="5" t="str">
        <f aca="false">IF(B572="","",IF(C572=0,"NOT FOUND",IF(IF($A572="Bank",INDEX(Bank!$F:$F,$C572),INDEX(GL!$F:$F,$C572))="Y","NOW RECONCILED: refresh","OK")))</f>
        <v/>
      </c>
    </row>
    <row r="573" customFormat="false" ht="15" hidden="false" customHeight="false" outlineLevel="0" collapsed="false">
      <c r="A573" s="41"/>
      <c r="B573" s="41"/>
      <c r="C573" s="5" t="n">
        <f aca="false">IF(B573="",0,IF(A573="Bank",IFERROR(MATCH(B573,Bank!$A:$A,0),0),IFERROR(MATCH(B573,GL!$A:$A,0),0)))</f>
        <v>0</v>
      </c>
      <c r="D573" s="32" t="str">
        <f aca="false">IF(C573=0,"",IF($A573="Bank",INDEX(Bank!$B:$B,$C573),INDEX(GL!$B:$B,$C573)))</f>
        <v/>
      </c>
      <c r="E573" s="5" t="str">
        <f aca="false">IF(C573=0,"",IF($A573="Bank",IF(INDEX(Bank!$C:$C,$C573)="","",INDEX(Bank!$C:$C,$C573)),IF(INDEX(GL!$C:$C,$C573)="","",INDEX(GL!$C:$C,$C573))))</f>
        <v/>
      </c>
      <c r="F573" s="5" t="str">
        <f aca="false">IF(C573=0,"",IF($A573="Bank",IF(INDEX(Bank!$D:$D,$C573)="","",INDEX(Bank!$D:$D,$C573)),IF(INDEX(GL!$D:$D,$C573)="","",INDEX(GL!$D:$D,$C573))))</f>
        <v/>
      </c>
      <c r="G573" s="19" t="str">
        <f aca="false">IF(C573=0,"",IF($A573="Bank",INDEX(Bank!$E:$E,$C573),INDEX(GL!$E:$E,$C573)))</f>
        <v/>
      </c>
      <c r="H573" s="5" t="str">
        <f aca="false">IF(C573=0,"",IF(A573="GL",IF(G573&gt;0,"Deposit in transit","Outstanding check / payment"),IF(G573&gt;0,"Bank credit not in GL","Bank debit not in GL")))</f>
        <v/>
      </c>
      <c r="I573" s="42" t="str">
        <f aca="false">IF(OR(C573=0,CFG_PeriodEnd=""),"",CFG_PeriodEnd-D573)</f>
        <v/>
      </c>
      <c r="J573" s="5" t="str">
        <f aca="false">IF(C573=0,"",IF($A573="Bank",IF(INDEX(Bank!$G:$G,$C573)="","",INDEX(Bank!$G:$G,$C573)),IF(INDEX(GL!$G:$G,$C573)="","",INDEX(GL!$G:$G,$C573))))</f>
        <v/>
      </c>
      <c r="K573" s="5" t="str">
        <f aca="false">IF(C573=0,"",IF($A573="Bank",IF(INDEX(Bank!$I:$I,$C573)="","",INDEX(Bank!$I:$I,$C573)),IF(INDEX(GL!$I:$I,$C573)="","",INDEX(GL!$I:$I,$C573))))</f>
        <v/>
      </c>
      <c r="L573" s="5" t="str">
        <f aca="false">IF(B573="","",IF(C573=0,"NOT FOUND",IF(IF($A573="Bank",INDEX(Bank!$F:$F,$C573),INDEX(GL!$F:$F,$C573))="Y","NOW RECONCILED: refresh","OK")))</f>
        <v/>
      </c>
    </row>
    <row r="574" customFormat="false" ht="15" hidden="false" customHeight="false" outlineLevel="0" collapsed="false">
      <c r="A574" s="41"/>
      <c r="B574" s="41"/>
      <c r="C574" s="5" t="n">
        <f aca="false">IF(B574="",0,IF(A574="Bank",IFERROR(MATCH(B574,Bank!$A:$A,0),0),IFERROR(MATCH(B574,GL!$A:$A,0),0)))</f>
        <v>0</v>
      </c>
      <c r="D574" s="32" t="str">
        <f aca="false">IF(C574=0,"",IF($A574="Bank",INDEX(Bank!$B:$B,$C574),INDEX(GL!$B:$B,$C574)))</f>
        <v/>
      </c>
      <c r="E574" s="5" t="str">
        <f aca="false">IF(C574=0,"",IF($A574="Bank",IF(INDEX(Bank!$C:$C,$C574)="","",INDEX(Bank!$C:$C,$C574)),IF(INDEX(GL!$C:$C,$C574)="","",INDEX(GL!$C:$C,$C574))))</f>
        <v/>
      </c>
      <c r="F574" s="5" t="str">
        <f aca="false">IF(C574=0,"",IF($A574="Bank",IF(INDEX(Bank!$D:$D,$C574)="","",INDEX(Bank!$D:$D,$C574)),IF(INDEX(GL!$D:$D,$C574)="","",INDEX(GL!$D:$D,$C574))))</f>
        <v/>
      </c>
      <c r="G574" s="19" t="str">
        <f aca="false">IF(C574=0,"",IF($A574="Bank",INDEX(Bank!$E:$E,$C574),INDEX(GL!$E:$E,$C574)))</f>
        <v/>
      </c>
      <c r="H574" s="5" t="str">
        <f aca="false">IF(C574=0,"",IF(A574="GL",IF(G574&gt;0,"Deposit in transit","Outstanding check / payment"),IF(G574&gt;0,"Bank credit not in GL","Bank debit not in GL")))</f>
        <v/>
      </c>
      <c r="I574" s="42" t="str">
        <f aca="false">IF(OR(C574=0,CFG_PeriodEnd=""),"",CFG_PeriodEnd-D574)</f>
        <v/>
      </c>
      <c r="J574" s="5" t="str">
        <f aca="false">IF(C574=0,"",IF($A574="Bank",IF(INDEX(Bank!$G:$G,$C574)="","",INDEX(Bank!$G:$G,$C574)),IF(INDEX(GL!$G:$G,$C574)="","",INDEX(GL!$G:$G,$C574))))</f>
        <v/>
      </c>
      <c r="K574" s="5" t="str">
        <f aca="false">IF(C574=0,"",IF($A574="Bank",IF(INDEX(Bank!$I:$I,$C574)="","",INDEX(Bank!$I:$I,$C574)),IF(INDEX(GL!$I:$I,$C574)="","",INDEX(GL!$I:$I,$C574))))</f>
        <v/>
      </c>
      <c r="L574" s="5" t="str">
        <f aca="false">IF(B574="","",IF(C574=0,"NOT FOUND",IF(IF($A574="Bank",INDEX(Bank!$F:$F,$C574),INDEX(GL!$F:$F,$C574))="Y","NOW RECONCILED: refresh","OK")))</f>
        <v/>
      </c>
    </row>
    <row r="575" customFormat="false" ht="15" hidden="false" customHeight="false" outlineLevel="0" collapsed="false">
      <c r="A575" s="41"/>
      <c r="B575" s="41"/>
      <c r="C575" s="5" t="n">
        <f aca="false">IF(B575="",0,IF(A575="Bank",IFERROR(MATCH(B575,Bank!$A:$A,0),0),IFERROR(MATCH(B575,GL!$A:$A,0),0)))</f>
        <v>0</v>
      </c>
      <c r="D575" s="32" t="str">
        <f aca="false">IF(C575=0,"",IF($A575="Bank",INDEX(Bank!$B:$B,$C575),INDEX(GL!$B:$B,$C575)))</f>
        <v/>
      </c>
      <c r="E575" s="5" t="str">
        <f aca="false">IF(C575=0,"",IF($A575="Bank",IF(INDEX(Bank!$C:$C,$C575)="","",INDEX(Bank!$C:$C,$C575)),IF(INDEX(GL!$C:$C,$C575)="","",INDEX(GL!$C:$C,$C575))))</f>
        <v/>
      </c>
      <c r="F575" s="5" t="str">
        <f aca="false">IF(C575=0,"",IF($A575="Bank",IF(INDEX(Bank!$D:$D,$C575)="","",INDEX(Bank!$D:$D,$C575)),IF(INDEX(GL!$D:$D,$C575)="","",INDEX(GL!$D:$D,$C575))))</f>
        <v/>
      </c>
      <c r="G575" s="19" t="str">
        <f aca="false">IF(C575=0,"",IF($A575="Bank",INDEX(Bank!$E:$E,$C575),INDEX(GL!$E:$E,$C575)))</f>
        <v/>
      </c>
      <c r="H575" s="5" t="str">
        <f aca="false">IF(C575=0,"",IF(A575="GL",IF(G575&gt;0,"Deposit in transit","Outstanding check / payment"),IF(G575&gt;0,"Bank credit not in GL","Bank debit not in GL")))</f>
        <v/>
      </c>
      <c r="I575" s="42" t="str">
        <f aca="false">IF(OR(C575=0,CFG_PeriodEnd=""),"",CFG_PeriodEnd-D575)</f>
        <v/>
      </c>
      <c r="J575" s="5" t="str">
        <f aca="false">IF(C575=0,"",IF($A575="Bank",IF(INDEX(Bank!$G:$G,$C575)="","",INDEX(Bank!$G:$G,$C575)),IF(INDEX(GL!$G:$G,$C575)="","",INDEX(GL!$G:$G,$C575))))</f>
        <v/>
      </c>
      <c r="K575" s="5" t="str">
        <f aca="false">IF(C575=0,"",IF($A575="Bank",IF(INDEX(Bank!$I:$I,$C575)="","",INDEX(Bank!$I:$I,$C575)),IF(INDEX(GL!$I:$I,$C575)="","",INDEX(GL!$I:$I,$C575))))</f>
        <v/>
      </c>
      <c r="L575" s="5" t="str">
        <f aca="false">IF(B575="","",IF(C575=0,"NOT FOUND",IF(IF($A575="Bank",INDEX(Bank!$F:$F,$C575),INDEX(GL!$F:$F,$C575))="Y","NOW RECONCILED: refresh","OK")))</f>
        <v/>
      </c>
    </row>
    <row r="576" customFormat="false" ht="15" hidden="false" customHeight="false" outlineLevel="0" collapsed="false">
      <c r="A576" s="41"/>
      <c r="B576" s="41"/>
      <c r="C576" s="5" t="n">
        <f aca="false">IF(B576="",0,IF(A576="Bank",IFERROR(MATCH(B576,Bank!$A:$A,0),0),IFERROR(MATCH(B576,GL!$A:$A,0),0)))</f>
        <v>0</v>
      </c>
      <c r="D576" s="32" t="str">
        <f aca="false">IF(C576=0,"",IF($A576="Bank",INDEX(Bank!$B:$B,$C576),INDEX(GL!$B:$B,$C576)))</f>
        <v/>
      </c>
      <c r="E576" s="5" t="str">
        <f aca="false">IF(C576=0,"",IF($A576="Bank",IF(INDEX(Bank!$C:$C,$C576)="","",INDEX(Bank!$C:$C,$C576)),IF(INDEX(GL!$C:$C,$C576)="","",INDEX(GL!$C:$C,$C576))))</f>
        <v/>
      </c>
      <c r="F576" s="5" t="str">
        <f aca="false">IF(C576=0,"",IF($A576="Bank",IF(INDEX(Bank!$D:$D,$C576)="","",INDEX(Bank!$D:$D,$C576)),IF(INDEX(GL!$D:$D,$C576)="","",INDEX(GL!$D:$D,$C576))))</f>
        <v/>
      </c>
      <c r="G576" s="19" t="str">
        <f aca="false">IF(C576=0,"",IF($A576="Bank",INDEX(Bank!$E:$E,$C576),INDEX(GL!$E:$E,$C576)))</f>
        <v/>
      </c>
      <c r="H576" s="5" t="str">
        <f aca="false">IF(C576=0,"",IF(A576="GL",IF(G576&gt;0,"Deposit in transit","Outstanding check / payment"),IF(G576&gt;0,"Bank credit not in GL","Bank debit not in GL")))</f>
        <v/>
      </c>
      <c r="I576" s="42" t="str">
        <f aca="false">IF(OR(C576=0,CFG_PeriodEnd=""),"",CFG_PeriodEnd-D576)</f>
        <v/>
      </c>
      <c r="J576" s="5" t="str">
        <f aca="false">IF(C576=0,"",IF($A576="Bank",IF(INDEX(Bank!$G:$G,$C576)="","",INDEX(Bank!$G:$G,$C576)),IF(INDEX(GL!$G:$G,$C576)="","",INDEX(GL!$G:$G,$C576))))</f>
        <v/>
      </c>
      <c r="K576" s="5" t="str">
        <f aca="false">IF(C576=0,"",IF($A576="Bank",IF(INDEX(Bank!$I:$I,$C576)="","",INDEX(Bank!$I:$I,$C576)),IF(INDEX(GL!$I:$I,$C576)="","",INDEX(GL!$I:$I,$C576))))</f>
        <v/>
      </c>
      <c r="L576" s="5" t="str">
        <f aca="false">IF(B576="","",IF(C576=0,"NOT FOUND",IF(IF($A576="Bank",INDEX(Bank!$F:$F,$C576),INDEX(GL!$F:$F,$C576))="Y","NOW RECONCILED: refresh","OK")))</f>
        <v/>
      </c>
    </row>
    <row r="577" customFormat="false" ht="15" hidden="false" customHeight="false" outlineLevel="0" collapsed="false">
      <c r="A577" s="41"/>
      <c r="B577" s="41"/>
      <c r="C577" s="5" t="n">
        <f aca="false">IF(B577="",0,IF(A577="Bank",IFERROR(MATCH(B577,Bank!$A:$A,0),0),IFERROR(MATCH(B577,GL!$A:$A,0),0)))</f>
        <v>0</v>
      </c>
      <c r="D577" s="32" t="str">
        <f aca="false">IF(C577=0,"",IF($A577="Bank",INDEX(Bank!$B:$B,$C577),INDEX(GL!$B:$B,$C577)))</f>
        <v/>
      </c>
      <c r="E577" s="5" t="str">
        <f aca="false">IF(C577=0,"",IF($A577="Bank",IF(INDEX(Bank!$C:$C,$C577)="","",INDEX(Bank!$C:$C,$C577)),IF(INDEX(GL!$C:$C,$C577)="","",INDEX(GL!$C:$C,$C577))))</f>
        <v/>
      </c>
      <c r="F577" s="5" t="str">
        <f aca="false">IF(C577=0,"",IF($A577="Bank",IF(INDEX(Bank!$D:$D,$C577)="","",INDEX(Bank!$D:$D,$C577)),IF(INDEX(GL!$D:$D,$C577)="","",INDEX(GL!$D:$D,$C577))))</f>
        <v/>
      </c>
      <c r="G577" s="19" t="str">
        <f aca="false">IF(C577=0,"",IF($A577="Bank",INDEX(Bank!$E:$E,$C577),INDEX(GL!$E:$E,$C577)))</f>
        <v/>
      </c>
      <c r="H577" s="5" t="str">
        <f aca="false">IF(C577=0,"",IF(A577="GL",IF(G577&gt;0,"Deposit in transit","Outstanding check / payment"),IF(G577&gt;0,"Bank credit not in GL","Bank debit not in GL")))</f>
        <v/>
      </c>
      <c r="I577" s="42" t="str">
        <f aca="false">IF(OR(C577=0,CFG_PeriodEnd=""),"",CFG_PeriodEnd-D577)</f>
        <v/>
      </c>
      <c r="J577" s="5" t="str">
        <f aca="false">IF(C577=0,"",IF($A577="Bank",IF(INDEX(Bank!$G:$G,$C577)="","",INDEX(Bank!$G:$G,$C577)),IF(INDEX(GL!$G:$G,$C577)="","",INDEX(GL!$G:$G,$C577))))</f>
        <v/>
      </c>
      <c r="K577" s="5" t="str">
        <f aca="false">IF(C577=0,"",IF($A577="Bank",IF(INDEX(Bank!$I:$I,$C577)="","",INDEX(Bank!$I:$I,$C577)),IF(INDEX(GL!$I:$I,$C577)="","",INDEX(GL!$I:$I,$C577))))</f>
        <v/>
      </c>
      <c r="L577" s="5" t="str">
        <f aca="false">IF(B577="","",IF(C577=0,"NOT FOUND",IF(IF($A577="Bank",INDEX(Bank!$F:$F,$C577),INDEX(GL!$F:$F,$C577))="Y","NOW RECONCILED: refresh","OK")))</f>
        <v/>
      </c>
    </row>
    <row r="578" customFormat="false" ht="15" hidden="false" customHeight="false" outlineLevel="0" collapsed="false">
      <c r="A578" s="41"/>
      <c r="B578" s="41"/>
      <c r="C578" s="5" t="n">
        <f aca="false">IF(B578="",0,IF(A578="Bank",IFERROR(MATCH(B578,Bank!$A:$A,0),0),IFERROR(MATCH(B578,GL!$A:$A,0),0)))</f>
        <v>0</v>
      </c>
      <c r="D578" s="32" t="str">
        <f aca="false">IF(C578=0,"",IF($A578="Bank",INDEX(Bank!$B:$B,$C578),INDEX(GL!$B:$B,$C578)))</f>
        <v/>
      </c>
      <c r="E578" s="5" t="str">
        <f aca="false">IF(C578=0,"",IF($A578="Bank",IF(INDEX(Bank!$C:$C,$C578)="","",INDEX(Bank!$C:$C,$C578)),IF(INDEX(GL!$C:$C,$C578)="","",INDEX(GL!$C:$C,$C578))))</f>
        <v/>
      </c>
      <c r="F578" s="5" t="str">
        <f aca="false">IF(C578=0,"",IF($A578="Bank",IF(INDEX(Bank!$D:$D,$C578)="","",INDEX(Bank!$D:$D,$C578)),IF(INDEX(GL!$D:$D,$C578)="","",INDEX(GL!$D:$D,$C578))))</f>
        <v/>
      </c>
      <c r="G578" s="19" t="str">
        <f aca="false">IF(C578=0,"",IF($A578="Bank",INDEX(Bank!$E:$E,$C578),INDEX(GL!$E:$E,$C578)))</f>
        <v/>
      </c>
      <c r="H578" s="5" t="str">
        <f aca="false">IF(C578=0,"",IF(A578="GL",IF(G578&gt;0,"Deposit in transit","Outstanding check / payment"),IF(G578&gt;0,"Bank credit not in GL","Bank debit not in GL")))</f>
        <v/>
      </c>
      <c r="I578" s="42" t="str">
        <f aca="false">IF(OR(C578=0,CFG_PeriodEnd=""),"",CFG_PeriodEnd-D578)</f>
        <v/>
      </c>
      <c r="J578" s="5" t="str">
        <f aca="false">IF(C578=0,"",IF($A578="Bank",IF(INDEX(Bank!$G:$G,$C578)="","",INDEX(Bank!$G:$G,$C578)),IF(INDEX(GL!$G:$G,$C578)="","",INDEX(GL!$G:$G,$C578))))</f>
        <v/>
      </c>
      <c r="K578" s="5" t="str">
        <f aca="false">IF(C578=0,"",IF($A578="Bank",IF(INDEX(Bank!$I:$I,$C578)="","",INDEX(Bank!$I:$I,$C578)),IF(INDEX(GL!$I:$I,$C578)="","",INDEX(GL!$I:$I,$C578))))</f>
        <v/>
      </c>
      <c r="L578" s="5" t="str">
        <f aca="false">IF(B578="","",IF(C578=0,"NOT FOUND",IF(IF($A578="Bank",INDEX(Bank!$F:$F,$C578),INDEX(GL!$F:$F,$C578))="Y","NOW RECONCILED: refresh","OK")))</f>
        <v/>
      </c>
    </row>
    <row r="579" customFormat="false" ht="15" hidden="false" customHeight="false" outlineLevel="0" collapsed="false">
      <c r="A579" s="41"/>
      <c r="B579" s="41"/>
      <c r="C579" s="5" t="n">
        <f aca="false">IF(B579="",0,IF(A579="Bank",IFERROR(MATCH(B579,Bank!$A:$A,0),0),IFERROR(MATCH(B579,GL!$A:$A,0),0)))</f>
        <v>0</v>
      </c>
      <c r="D579" s="32" t="str">
        <f aca="false">IF(C579=0,"",IF($A579="Bank",INDEX(Bank!$B:$B,$C579),INDEX(GL!$B:$B,$C579)))</f>
        <v/>
      </c>
      <c r="E579" s="5" t="str">
        <f aca="false">IF(C579=0,"",IF($A579="Bank",IF(INDEX(Bank!$C:$C,$C579)="","",INDEX(Bank!$C:$C,$C579)),IF(INDEX(GL!$C:$C,$C579)="","",INDEX(GL!$C:$C,$C579))))</f>
        <v/>
      </c>
      <c r="F579" s="5" t="str">
        <f aca="false">IF(C579=0,"",IF($A579="Bank",IF(INDEX(Bank!$D:$D,$C579)="","",INDEX(Bank!$D:$D,$C579)),IF(INDEX(GL!$D:$D,$C579)="","",INDEX(GL!$D:$D,$C579))))</f>
        <v/>
      </c>
      <c r="G579" s="19" t="str">
        <f aca="false">IF(C579=0,"",IF($A579="Bank",INDEX(Bank!$E:$E,$C579),INDEX(GL!$E:$E,$C579)))</f>
        <v/>
      </c>
      <c r="H579" s="5" t="str">
        <f aca="false">IF(C579=0,"",IF(A579="GL",IF(G579&gt;0,"Deposit in transit","Outstanding check / payment"),IF(G579&gt;0,"Bank credit not in GL","Bank debit not in GL")))</f>
        <v/>
      </c>
      <c r="I579" s="42" t="str">
        <f aca="false">IF(OR(C579=0,CFG_PeriodEnd=""),"",CFG_PeriodEnd-D579)</f>
        <v/>
      </c>
      <c r="J579" s="5" t="str">
        <f aca="false">IF(C579=0,"",IF($A579="Bank",IF(INDEX(Bank!$G:$G,$C579)="","",INDEX(Bank!$G:$G,$C579)),IF(INDEX(GL!$G:$G,$C579)="","",INDEX(GL!$G:$G,$C579))))</f>
        <v/>
      </c>
      <c r="K579" s="5" t="str">
        <f aca="false">IF(C579=0,"",IF($A579="Bank",IF(INDEX(Bank!$I:$I,$C579)="","",INDEX(Bank!$I:$I,$C579)),IF(INDEX(GL!$I:$I,$C579)="","",INDEX(GL!$I:$I,$C579))))</f>
        <v/>
      </c>
      <c r="L579" s="5" t="str">
        <f aca="false">IF(B579="","",IF(C579=0,"NOT FOUND",IF(IF($A579="Bank",INDEX(Bank!$F:$F,$C579),INDEX(GL!$F:$F,$C579))="Y","NOW RECONCILED: refresh","OK")))</f>
        <v/>
      </c>
    </row>
    <row r="580" customFormat="false" ht="15" hidden="false" customHeight="false" outlineLevel="0" collapsed="false">
      <c r="A580" s="41"/>
      <c r="B580" s="41"/>
      <c r="C580" s="5" t="n">
        <f aca="false">IF(B580="",0,IF(A580="Bank",IFERROR(MATCH(B580,Bank!$A:$A,0),0),IFERROR(MATCH(B580,GL!$A:$A,0),0)))</f>
        <v>0</v>
      </c>
      <c r="D580" s="32" t="str">
        <f aca="false">IF(C580=0,"",IF($A580="Bank",INDEX(Bank!$B:$B,$C580),INDEX(GL!$B:$B,$C580)))</f>
        <v/>
      </c>
      <c r="E580" s="5" t="str">
        <f aca="false">IF(C580=0,"",IF($A580="Bank",IF(INDEX(Bank!$C:$C,$C580)="","",INDEX(Bank!$C:$C,$C580)),IF(INDEX(GL!$C:$C,$C580)="","",INDEX(GL!$C:$C,$C580))))</f>
        <v/>
      </c>
      <c r="F580" s="5" t="str">
        <f aca="false">IF(C580=0,"",IF($A580="Bank",IF(INDEX(Bank!$D:$D,$C580)="","",INDEX(Bank!$D:$D,$C580)),IF(INDEX(GL!$D:$D,$C580)="","",INDEX(GL!$D:$D,$C580))))</f>
        <v/>
      </c>
      <c r="G580" s="19" t="str">
        <f aca="false">IF(C580=0,"",IF($A580="Bank",INDEX(Bank!$E:$E,$C580),INDEX(GL!$E:$E,$C580)))</f>
        <v/>
      </c>
      <c r="H580" s="5" t="str">
        <f aca="false">IF(C580=0,"",IF(A580="GL",IF(G580&gt;0,"Deposit in transit","Outstanding check / payment"),IF(G580&gt;0,"Bank credit not in GL","Bank debit not in GL")))</f>
        <v/>
      </c>
      <c r="I580" s="42" t="str">
        <f aca="false">IF(OR(C580=0,CFG_PeriodEnd=""),"",CFG_PeriodEnd-D580)</f>
        <v/>
      </c>
      <c r="J580" s="5" t="str">
        <f aca="false">IF(C580=0,"",IF($A580="Bank",IF(INDEX(Bank!$G:$G,$C580)="","",INDEX(Bank!$G:$G,$C580)),IF(INDEX(GL!$G:$G,$C580)="","",INDEX(GL!$G:$G,$C580))))</f>
        <v/>
      </c>
      <c r="K580" s="5" t="str">
        <f aca="false">IF(C580=0,"",IF($A580="Bank",IF(INDEX(Bank!$I:$I,$C580)="","",INDEX(Bank!$I:$I,$C580)),IF(INDEX(GL!$I:$I,$C580)="","",INDEX(GL!$I:$I,$C580))))</f>
        <v/>
      </c>
      <c r="L580" s="5" t="str">
        <f aca="false">IF(B580="","",IF(C580=0,"NOT FOUND",IF(IF($A580="Bank",INDEX(Bank!$F:$F,$C580),INDEX(GL!$F:$F,$C580))="Y","NOW RECONCILED: refresh","OK")))</f>
        <v/>
      </c>
    </row>
    <row r="581" customFormat="false" ht="15" hidden="false" customHeight="false" outlineLevel="0" collapsed="false">
      <c r="A581" s="41"/>
      <c r="B581" s="41"/>
      <c r="C581" s="5" t="n">
        <f aca="false">IF(B581="",0,IF(A581="Bank",IFERROR(MATCH(B581,Bank!$A:$A,0),0),IFERROR(MATCH(B581,GL!$A:$A,0),0)))</f>
        <v>0</v>
      </c>
      <c r="D581" s="32" t="str">
        <f aca="false">IF(C581=0,"",IF($A581="Bank",INDEX(Bank!$B:$B,$C581),INDEX(GL!$B:$B,$C581)))</f>
        <v/>
      </c>
      <c r="E581" s="5" t="str">
        <f aca="false">IF(C581=0,"",IF($A581="Bank",IF(INDEX(Bank!$C:$C,$C581)="","",INDEX(Bank!$C:$C,$C581)),IF(INDEX(GL!$C:$C,$C581)="","",INDEX(GL!$C:$C,$C581))))</f>
        <v/>
      </c>
      <c r="F581" s="5" t="str">
        <f aca="false">IF(C581=0,"",IF($A581="Bank",IF(INDEX(Bank!$D:$D,$C581)="","",INDEX(Bank!$D:$D,$C581)),IF(INDEX(GL!$D:$D,$C581)="","",INDEX(GL!$D:$D,$C581))))</f>
        <v/>
      </c>
      <c r="G581" s="19" t="str">
        <f aca="false">IF(C581=0,"",IF($A581="Bank",INDEX(Bank!$E:$E,$C581),INDEX(GL!$E:$E,$C581)))</f>
        <v/>
      </c>
      <c r="H581" s="5" t="str">
        <f aca="false">IF(C581=0,"",IF(A581="GL",IF(G581&gt;0,"Deposit in transit","Outstanding check / payment"),IF(G581&gt;0,"Bank credit not in GL","Bank debit not in GL")))</f>
        <v/>
      </c>
      <c r="I581" s="42" t="str">
        <f aca="false">IF(OR(C581=0,CFG_PeriodEnd=""),"",CFG_PeriodEnd-D581)</f>
        <v/>
      </c>
      <c r="J581" s="5" t="str">
        <f aca="false">IF(C581=0,"",IF($A581="Bank",IF(INDEX(Bank!$G:$G,$C581)="","",INDEX(Bank!$G:$G,$C581)),IF(INDEX(GL!$G:$G,$C581)="","",INDEX(GL!$G:$G,$C581))))</f>
        <v/>
      </c>
      <c r="K581" s="5" t="str">
        <f aca="false">IF(C581=0,"",IF($A581="Bank",IF(INDEX(Bank!$I:$I,$C581)="","",INDEX(Bank!$I:$I,$C581)),IF(INDEX(GL!$I:$I,$C581)="","",INDEX(GL!$I:$I,$C581))))</f>
        <v/>
      </c>
      <c r="L581" s="5" t="str">
        <f aca="false">IF(B581="","",IF(C581=0,"NOT FOUND",IF(IF($A581="Bank",INDEX(Bank!$F:$F,$C581),INDEX(GL!$F:$F,$C581))="Y","NOW RECONCILED: refresh","OK")))</f>
        <v/>
      </c>
    </row>
    <row r="582" customFormat="false" ht="15" hidden="false" customHeight="false" outlineLevel="0" collapsed="false">
      <c r="A582" s="41"/>
      <c r="B582" s="41"/>
      <c r="C582" s="5" t="n">
        <f aca="false">IF(B582="",0,IF(A582="Bank",IFERROR(MATCH(B582,Bank!$A:$A,0),0),IFERROR(MATCH(B582,GL!$A:$A,0),0)))</f>
        <v>0</v>
      </c>
      <c r="D582" s="32" t="str">
        <f aca="false">IF(C582=0,"",IF($A582="Bank",INDEX(Bank!$B:$B,$C582),INDEX(GL!$B:$B,$C582)))</f>
        <v/>
      </c>
      <c r="E582" s="5" t="str">
        <f aca="false">IF(C582=0,"",IF($A582="Bank",IF(INDEX(Bank!$C:$C,$C582)="","",INDEX(Bank!$C:$C,$C582)),IF(INDEX(GL!$C:$C,$C582)="","",INDEX(GL!$C:$C,$C582))))</f>
        <v/>
      </c>
      <c r="F582" s="5" t="str">
        <f aca="false">IF(C582=0,"",IF($A582="Bank",IF(INDEX(Bank!$D:$D,$C582)="","",INDEX(Bank!$D:$D,$C582)),IF(INDEX(GL!$D:$D,$C582)="","",INDEX(GL!$D:$D,$C582))))</f>
        <v/>
      </c>
      <c r="G582" s="19" t="str">
        <f aca="false">IF(C582=0,"",IF($A582="Bank",INDEX(Bank!$E:$E,$C582),INDEX(GL!$E:$E,$C582)))</f>
        <v/>
      </c>
      <c r="H582" s="5" t="str">
        <f aca="false">IF(C582=0,"",IF(A582="GL",IF(G582&gt;0,"Deposit in transit","Outstanding check / payment"),IF(G582&gt;0,"Bank credit not in GL","Bank debit not in GL")))</f>
        <v/>
      </c>
      <c r="I582" s="42" t="str">
        <f aca="false">IF(OR(C582=0,CFG_PeriodEnd=""),"",CFG_PeriodEnd-D582)</f>
        <v/>
      </c>
      <c r="J582" s="5" t="str">
        <f aca="false">IF(C582=0,"",IF($A582="Bank",IF(INDEX(Bank!$G:$G,$C582)="","",INDEX(Bank!$G:$G,$C582)),IF(INDEX(GL!$G:$G,$C582)="","",INDEX(GL!$G:$G,$C582))))</f>
        <v/>
      </c>
      <c r="K582" s="5" t="str">
        <f aca="false">IF(C582=0,"",IF($A582="Bank",IF(INDEX(Bank!$I:$I,$C582)="","",INDEX(Bank!$I:$I,$C582)),IF(INDEX(GL!$I:$I,$C582)="","",INDEX(GL!$I:$I,$C582))))</f>
        <v/>
      </c>
      <c r="L582" s="5" t="str">
        <f aca="false">IF(B582="","",IF(C582=0,"NOT FOUND",IF(IF($A582="Bank",INDEX(Bank!$F:$F,$C582),INDEX(GL!$F:$F,$C582))="Y","NOW RECONCILED: refresh","OK")))</f>
        <v/>
      </c>
    </row>
    <row r="583" customFormat="false" ht="15" hidden="false" customHeight="false" outlineLevel="0" collapsed="false">
      <c r="A583" s="41"/>
      <c r="B583" s="41"/>
      <c r="C583" s="5" t="n">
        <f aca="false">IF(B583="",0,IF(A583="Bank",IFERROR(MATCH(B583,Bank!$A:$A,0),0),IFERROR(MATCH(B583,GL!$A:$A,0),0)))</f>
        <v>0</v>
      </c>
      <c r="D583" s="32" t="str">
        <f aca="false">IF(C583=0,"",IF($A583="Bank",INDEX(Bank!$B:$B,$C583),INDEX(GL!$B:$B,$C583)))</f>
        <v/>
      </c>
      <c r="E583" s="5" t="str">
        <f aca="false">IF(C583=0,"",IF($A583="Bank",IF(INDEX(Bank!$C:$C,$C583)="","",INDEX(Bank!$C:$C,$C583)),IF(INDEX(GL!$C:$C,$C583)="","",INDEX(GL!$C:$C,$C583))))</f>
        <v/>
      </c>
      <c r="F583" s="5" t="str">
        <f aca="false">IF(C583=0,"",IF($A583="Bank",IF(INDEX(Bank!$D:$D,$C583)="","",INDEX(Bank!$D:$D,$C583)),IF(INDEX(GL!$D:$D,$C583)="","",INDEX(GL!$D:$D,$C583))))</f>
        <v/>
      </c>
      <c r="G583" s="19" t="str">
        <f aca="false">IF(C583=0,"",IF($A583="Bank",INDEX(Bank!$E:$E,$C583),INDEX(GL!$E:$E,$C583)))</f>
        <v/>
      </c>
      <c r="H583" s="5" t="str">
        <f aca="false">IF(C583=0,"",IF(A583="GL",IF(G583&gt;0,"Deposit in transit","Outstanding check / payment"),IF(G583&gt;0,"Bank credit not in GL","Bank debit not in GL")))</f>
        <v/>
      </c>
      <c r="I583" s="42" t="str">
        <f aca="false">IF(OR(C583=0,CFG_PeriodEnd=""),"",CFG_PeriodEnd-D583)</f>
        <v/>
      </c>
      <c r="J583" s="5" t="str">
        <f aca="false">IF(C583=0,"",IF($A583="Bank",IF(INDEX(Bank!$G:$G,$C583)="","",INDEX(Bank!$G:$G,$C583)),IF(INDEX(GL!$G:$G,$C583)="","",INDEX(GL!$G:$G,$C583))))</f>
        <v/>
      </c>
      <c r="K583" s="5" t="str">
        <f aca="false">IF(C583=0,"",IF($A583="Bank",IF(INDEX(Bank!$I:$I,$C583)="","",INDEX(Bank!$I:$I,$C583)),IF(INDEX(GL!$I:$I,$C583)="","",INDEX(GL!$I:$I,$C583))))</f>
        <v/>
      </c>
      <c r="L583" s="5" t="str">
        <f aca="false">IF(B583="","",IF(C583=0,"NOT FOUND",IF(IF($A583="Bank",INDEX(Bank!$F:$F,$C583),INDEX(GL!$F:$F,$C583))="Y","NOW RECONCILED: refresh","OK")))</f>
        <v/>
      </c>
    </row>
    <row r="584" customFormat="false" ht="15" hidden="false" customHeight="false" outlineLevel="0" collapsed="false">
      <c r="A584" s="41"/>
      <c r="B584" s="41"/>
      <c r="C584" s="5" t="n">
        <f aca="false">IF(B584="",0,IF(A584="Bank",IFERROR(MATCH(B584,Bank!$A:$A,0),0),IFERROR(MATCH(B584,GL!$A:$A,0),0)))</f>
        <v>0</v>
      </c>
      <c r="D584" s="32" t="str">
        <f aca="false">IF(C584=0,"",IF($A584="Bank",INDEX(Bank!$B:$B,$C584),INDEX(GL!$B:$B,$C584)))</f>
        <v/>
      </c>
      <c r="E584" s="5" t="str">
        <f aca="false">IF(C584=0,"",IF($A584="Bank",IF(INDEX(Bank!$C:$C,$C584)="","",INDEX(Bank!$C:$C,$C584)),IF(INDEX(GL!$C:$C,$C584)="","",INDEX(GL!$C:$C,$C584))))</f>
        <v/>
      </c>
      <c r="F584" s="5" t="str">
        <f aca="false">IF(C584=0,"",IF($A584="Bank",IF(INDEX(Bank!$D:$D,$C584)="","",INDEX(Bank!$D:$D,$C584)),IF(INDEX(GL!$D:$D,$C584)="","",INDEX(GL!$D:$D,$C584))))</f>
        <v/>
      </c>
      <c r="G584" s="19" t="str">
        <f aca="false">IF(C584=0,"",IF($A584="Bank",INDEX(Bank!$E:$E,$C584),INDEX(GL!$E:$E,$C584)))</f>
        <v/>
      </c>
      <c r="H584" s="5" t="str">
        <f aca="false">IF(C584=0,"",IF(A584="GL",IF(G584&gt;0,"Deposit in transit","Outstanding check / payment"),IF(G584&gt;0,"Bank credit not in GL","Bank debit not in GL")))</f>
        <v/>
      </c>
      <c r="I584" s="42" t="str">
        <f aca="false">IF(OR(C584=0,CFG_PeriodEnd=""),"",CFG_PeriodEnd-D584)</f>
        <v/>
      </c>
      <c r="J584" s="5" t="str">
        <f aca="false">IF(C584=0,"",IF($A584="Bank",IF(INDEX(Bank!$G:$G,$C584)="","",INDEX(Bank!$G:$G,$C584)),IF(INDEX(GL!$G:$G,$C584)="","",INDEX(GL!$G:$G,$C584))))</f>
        <v/>
      </c>
      <c r="K584" s="5" t="str">
        <f aca="false">IF(C584=0,"",IF($A584="Bank",IF(INDEX(Bank!$I:$I,$C584)="","",INDEX(Bank!$I:$I,$C584)),IF(INDEX(GL!$I:$I,$C584)="","",INDEX(GL!$I:$I,$C584))))</f>
        <v/>
      </c>
      <c r="L584" s="5" t="str">
        <f aca="false">IF(B584="","",IF(C584=0,"NOT FOUND",IF(IF($A584="Bank",INDEX(Bank!$F:$F,$C584),INDEX(GL!$F:$F,$C584))="Y","NOW RECONCILED: refresh","OK")))</f>
        <v/>
      </c>
    </row>
    <row r="585" customFormat="false" ht="15" hidden="false" customHeight="false" outlineLevel="0" collapsed="false">
      <c r="A585" s="41"/>
      <c r="B585" s="41"/>
      <c r="C585" s="5" t="n">
        <f aca="false">IF(B585="",0,IF(A585="Bank",IFERROR(MATCH(B585,Bank!$A:$A,0),0),IFERROR(MATCH(B585,GL!$A:$A,0),0)))</f>
        <v>0</v>
      </c>
      <c r="D585" s="32" t="str">
        <f aca="false">IF(C585=0,"",IF($A585="Bank",INDEX(Bank!$B:$B,$C585),INDEX(GL!$B:$B,$C585)))</f>
        <v/>
      </c>
      <c r="E585" s="5" t="str">
        <f aca="false">IF(C585=0,"",IF($A585="Bank",IF(INDEX(Bank!$C:$C,$C585)="","",INDEX(Bank!$C:$C,$C585)),IF(INDEX(GL!$C:$C,$C585)="","",INDEX(GL!$C:$C,$C585))))</f>
        <v/>
      </c>
      <c r="F585" s="5" t="str">
        <f aca="false">IF(C585=0,"",IF($A585="Bank",IF(INDEX(Bank!$D:$D,$C585)="","",INDEX(Bank!$D:$D,$C585)),IF(INDEX(GL!$D:$D,$C585)="","",INDEX(GL!$D:$D,$C585))))</f>
        <v/>
      </c>
      <c r="G585" s="19" t="str">
        <f aca="false">IF(C585=0,"",IF($A585="Bank",INDEX(Bank!$E:$E,$C585),INDEX(GL!$E:$E,$C585)))</f>
        <v/>
      </c>
      <c r="H585" s="5" t="str">
        <f aca="false">IF(C585=0,"",IF(A585="GL",IF(G585&gt;0,"Deposit in transit","Outstanding check / payment"),IF(G585&gt;0,"Bank credit not in GL","Bank debit not in GL")))</f>
        <v/>
      </c>
      <c r="I585" s="42" t="str">
        <f aca="false">IF(OR(C585=0,CFG_PeriodEnd=""),"",CFG_PeriodEnd-D585)</f>
        <v/>
      </c>
      <c r="J585" s="5" t="str">
        <f aca="false">IF(C585=0,"",IF($A585="Bank",IF(INDEX(Bank!$G:$G,$C585)="","",INDEX(Bank!$G:$G,$C585)),IF(INDEX(GL!$G:$G,$C585)="","",INDEX(GL!$G:$G,$C585))))</f>
        <v/>
      </c>
      <c r="K585" s="5" t="str">
        <f aca="false">IF(C585=0,"",IF($A585="Bank",IF(INDEX(Bank!$I:$I,$C585)="","",INDEX(Bank!$I:$I,$C585)),IF(INDEX(GL!$I:$I,$C585)="","",INDEX(GL!$I:$I,$C585))))</f>
        <v/>
      </c>
      <c r="L585" s="5" t="str">
        <f aca="false">IF(B585="","",IF(C585=0,"NOT FOUND",IF(IF($A585="Bank",INDEX(Bank!$F:$F,$C585),INDEX(GL!$F:$F,$C585))="Y","NOW RECONCILED: refresh","OK")))</f>
        <v/>
      </c>
    </row>
    <row r="586" customFormat="false" ht="15" hidden="false" customHeight="false" outlineLevel="0" collapsed="false">
      <c r="A586" s="41"/>
      <c r="B586" s="41"/>
      <c r="C586" s="5" t="n">
        <f aca="false">IF(B586="",0,IF(A586="Bank",IFERROR(MATCH(B586,Bank!$A:$A,0),0),IFERROR(MATCH(B586,GL!$A:$A,0),0)))</f>
        <v>0</v>
      </c>
      <c r="D586" s="32" t="str">
        <f aca="false">IF(C586=0,"",IF($A586="Bank",INDEX(Bank!$B:$B,$C586),INDEX(GL!$B:$B,$C586)))</f>
        <v/>
      </c>
      <c r="E586" s="5" t="str">
        <f aca="false">IF(C586=0,"",IF($A586="Bank",IF(INDEX(Bank!$C:$C,$C586)="","",INDEX(Bank!$C:$C,$C586)),IF(INDEX(GL!$C:$C,$C586)="","",INDEX(GL!$C:$C,$C586))))</f>
        <v/>
      </c>
      <c r="F586" s="5" t="str">
        <f aca="false">IF(C586=0,"",IF($A586="Bank",IF(INDEX(Bank!$D:$D,$C586)="","",INDEX(Bank!$D:$D,$C586)),IF(INDEX(GL!$D:$D,$C586)="","",INDEX(GL!$D:$D,$C586))))</f>
        <v/>
      </c>
      <c r="G586" s="19" t="str">
        <f aca="false">IF(C586=0,"",IF($A586="Bank",INDEX(Bank!$E:$E,$C586),INDEX(GL!$E:$E,$C586)))</f>
        <v/>
      </c>
      <c r="H586" s="5" t="str">
        <f aca="false">IF(C586=0,"",IF(A586="GL",IF(G586&gt;0,"Deposit in transit","Outstanding check / payment"),IF(G586&gt;0,"Bank credit not in GL","Bank debit not in GL")))</f>
        <v/>
      </c>
      <c r="I586" s="42" t="str">
        <f aca="false">IF(OR(C586=0,CFG_PeriodEnd=""),"",CFG_PeriodEnd-D586)</f>
        <v/>
      </c>
      <c r="J586" s="5" t="str">
        <f aca="false">IF(C586=0,"",IF($A586="Bank",IF(INDEX(Bank!$G:$G,$C586)="","",INDEX(Bank!$G:$G,$C586)),IF(INDEX(GL!$G:$G,$C586)="","",INDEX(GL!$G:$G,$C586))))</f>
        <v/>
      </c>
      <c r="K586" s="5" t="str">
        <f aca="false">IF(C586=0,"",IF($A586="Bank",IF(INDEX(Bank!$I:$I,$C586)="","",INDEX(Bank!$I:$I,$C586)),IF(INDEX(GL!$I:$I,$C586)="","",INDEX(GL!$I:$I,$C586))))</f>
        <v/>
      </c>
      <c r="L586" s="5" t="str">
        <f aca="false">IF(B586="","",IF(C586=0,"NOT FOUND",IF(IF($A586="Bank",INDEX(Bank!$F:$F,$C586),INDEX(GL!$F:$F,$C586))="Y","NOW RECONCILED: refresh","OK")))</f>
        <v/>
      </c>
    </row>
    <row r="587" customFormat="false" ht="15" hidden="false" customHeight="false" outlineLevel="0" collapsed="false">
      <c r="A587" s="41"/>
      <c r="B587" s="41"/>
      <c r="C587" s="5" t="n">
        <f aca="false">IF(B587="",0,IF(A587="Bank",IFERROR(MATCH(B587,Bank!$A:$A,0),0),IFERROR(MATCH(B587,GL!$A:$A,0),0)))</f>
        <v>0</v>
      </c>
      <c r="D587" s="32" t="str">
        <f aca="false">IF(C587=0,"",IF($A587="Bank",INDEX(Bank!$B:$B,$C587),INDEX(GL!$B:$B,$C587)))</f>
        <v/>
      </c>
      <c r="E587" s="5" t="str">
        <f aca="false">IF(C587=0,"",IF($A587="Bank",IF(INDEX(Bank!$C:$C,$C587)="","",INDEX(Bank!$C:$C,$C587)),IF(INDEX(GL!$C:$C,$C587)="","",INDEX(GL!$C:$C,$C587))))</f>
        <v/>
      </c>
      <c r="F587" s="5" t="str">
        <f aca="false">IF(C587=0,"",IF($A587="Bank",IF(INDEX(Bank!$D:$D,$C587)="","",INDEX(Bank!$D:$D,$C587)),IF(INDEX(GL!$D:$D,$C587)="","",INDEX(GL!$D:$D,$C587))))</f>
        <v/>
      </c>
      <c r="G587" s="19" t="str">
        <f aca="false">IF(C587=0,"",IF($A587="Bank",INDEX(Bank!$E:$E,$C587),INDEX(GL!$E:$E,$C587)))</f>
        <v/>
      </c>
      <c r="H587" s="5" t="str">
        <f aca="false">IF(C587=0,"",IF(A587="GL",IF(G587&gt;0,"Deposit in transit","Outstanding check / payment"),IF(G587&gt;0,"Bank credit not in GL","Bank debit not in GL")))</f>
        <v/>
      </c>
      <c r="I587" s="42" t="str">
        <f aca="false">IF(OR(C587=0,CFG_PeriodEnd=""),"",CFG_PeriodEnd-D587)</f>
        <v/>
      </c>
      <c r="J587" s="5" t="str">
        <f aca="false">IF(C587=0,"",IF($A587="Bank",IF(INDEX(Bank!$G:$G,$C587)="","",INDEX(Bank!$G:$G,$C587)),IF(INDEX(GL!$G:$G,$C587)="","",INDEX(GL!$G:$G,$C587))))</f>
        <v/>
      </c>
      <c r="K587" s="5" t="str">
        <f aca="false">IF(C587=0,"",IF($A587="Bank",IF(INDEX(Bank!$I:$I,$C587)="","",INDEX(Bank!$I:$I,$C587)),IF(INDEX(GL!$I:$I,$C587)="","",INDEX(GL!$I:$I,$C587))))</f>
        <v/>
      </c>
      <c r="L587" s="5" t="str">
        <f aca="false">IF(B587="","",IF(C587=0,"NOT FOUND",IF(IF($A587="Bank",INDEX(Bank!$F:$F,$C587),INDEX(GL!$F:$F,$C587))="Y","NOW RECONCILED: refresh","OK")))</f>
        <v/>
      </c>
    </row>
    <row r="588" customFormat="false" ht="15" hidden="false" customHeight="false" outlineLevel="0" collapsed="false">
      <c r="A588" s="41"/>
      <c r="B588" s="41"/>
      <c r="C588" s="5" t="n">
        <f aca="false">IF(B588="",0,IF(A588="Bank",IFERROR(MATCH(B588,Bank!$A:$A,0),0),IFERROR(MATCH(B588,GL!$A:$A,0),0)))</f>
        <v>0</v>
      </c>
      <c r="D588" s="32" t="str">
        <f aca="false">IF(C588=0,"",IF($A588="Bank",INDEX(Bank!$B:$B,$C588),INDEX(GL!$B:$B,$C588)))</f>
        <v/>
      </c>
      <c r="E588" s="5" t="str">
        <f aca="false">IF(C588=0,"",IF($A588="Bank",IF(INDEX(Bank!$C:$C,$C588)="","",INDEX(Bank!$C:$C,$C588)),IF(INDEX(GL!$C:$C,$C588)="","",INDEX(GL!$C:$C,$C588))))</f>
        <v/>
      </c>
      <c r="F588" s="5" t="str">
        <f aca="false">IF(C588=0,"",IF($A588="Bank",IF(INDEX(Bank!$D:$D,$C588)="","",INDEX(Bank!$D:$D,$C588)),IF(INDEX(GL!$D:$D,$C588)="","",INDEX(GL!$D:$D,$C588))))</f>
        <v/>
      </c>
      <c r="G588" s="19" t="str">
        <f aca="false">IF(C588=0,"",IF($A588="Bank",INDEX(Bank!$E:$E,$C588),INDEX(GL!$E:$E,$C588)))</f>
        <v/>
      </c>
      <c r="H588" s="5" t="str">
        <f aca="false">IF(C588=0,"",IF(A588="GL",IF(G588&gt;0,"Deposit in transit","Outstanding check / payment"),IF(G588&gt;0,"Bank credit not in GL","Bank debit not in GL")))</f>
        <v/>
      </c>
      <c r="I588" s="42" t="str">
        <f aca="false">IF(OR(C588=0,CFG_PeriodEnd=""),"",CFG_PeriodEnd-D588)</f>
        <v/>
      </c>
      <c r="J588" s="5" t="str">
        <f aca="false">IF(C588=0,"",IF($A588="Bank",IF(INDEX(Bank!$G:$G,$C588)="","",INDEX(Bank!$G:$G,$C588)),IF(INDEX(GL!$G:$G,$C588)="","",INDEX(GL!$G:$G,$C588))))</f>
        <v/>
      </c>
      <c r="K588" s="5" t="str">
        <f aca="false">IF(C588=0,"",IF($A588="Bank",IF(INDEX(Bank!$I:$I,$C588)="","",INDEX(Bank!$I:$I,$C588)),IF(INDEX(GL!$I:$I,$C588)="","",INDEX(GL!$I:$I,$C588))))</f>
        <v/>
      </c>
      <c r="L588" s="5" t="str">
        <f aca="false">IF(B588="","",IF(C588=0,"NOT FOUND",IF(IF($A588="Bank",INDEX(Bank!$F:$F,$C588),INDEX(GL!$F:$F,$C588))="Y","NOW RECONCILED: refresh","OK")))</f>
        <v/>
      </c>
    </row>
    <row r="589" customFormat="false" ht="15" hidden="false" customHeight="false" outlineLevel="0" collapsed="false">
      <c r="A589" s="41"/>
      <c r="B589" s="41"/>
      <c r="C589" s="5" t="n">
        <f aca="false">IF(B589="",0,IF(A589="Bank",IFERROR(MATCH(B589,Bank!$A:$A,0),0),IFERROR(MATCH(B589,GL!$A:$A,0),0)))</f>
        <v>0</v>
      </c>
      <c r="D589" s="32" t="str">
        <f aca="false">IF(C589=0,"",IF($A589="Bank",INDEX(Bank!$B:$B,$C589),INDEX(GL!$B:$B,$C589)))</f>
        <v/>
      </c>
      <c r="E589" s="5" t="str">
        <f aca="false">IF(C589=0,"",IF($A589="Bank",IF(INDEX(Bank!$C:$C,$C589)="","",INDEX(Bank!$C:$C,$C589)),IF(INDEX(GL!$C:$C,$C589)="","",INDEX(GL!$C:$C,$C589))))</f>
        <v/>
      </c>
      <c r="F589" s="5" t="str">
        <f aca="false">IF(C589=0,"",IF($A589="Bank",IF(INDEX(Bank!$D:$D,$C589)="","",INDEX(Bank!$D:$D,$C589)),IF(INDEX(GL!$D:$D,$C589)="","",INDEX(GL!$D:$D,$C589))))</f>
        <v/>
      </c>
      <c r="G589" s="19" t="str">
        <f aca="false">IF(C589=0,"",IF($A589="Bank",INDEX(Bank!$E:$E,$C589),INDEX(GL!$E:$E,$C589)))</f>
        <v/>
      </c>
      <c r="H589" s="5" t="str">
        <f aca="false">IF(C589=0,"",IF(A589="GL",IF(G589&gt;0,"Deposit in transit","Outstanding check / payment"),IF(G589&gt;0,"Bank credit not in GL","Bank debit not in GL")))</f>
        <v/>
      </c>
      <c r="I589" s="42" t="str">
        <f aca="false">IF(OR(C589=0,CFG_PeriodEnd=""),"",CFG_PeriodEnd-D589)</f>
        <v/>
      </c>
      <c r="J589" s="5" t="str">
        <f aca="false">IF(C589=0,"",IF($A589="Bank",IF(INDEX(Bank!$G:$G,$C589)="","",INDEX(Bank!$G:$G,$C589)),IF(INDEX(GL!$G:$G,$C589)="","",INDEX(GL!$G:$G,$C589))))</f>
        <v/>
      </c>
      <c r="K589" s="5" t="str">
        <f aca="false">IF(C589=0,"",IF($A589="Bank",IF(INDEX(Bank!$I:$I,$C589)="","",INDEX(Bank!$I:$I,$C589)),IF(INDEX(GL!$I:$I,$C589)="","",INDEX(GL!$I:$I,$C589))))</f>
        <v/>
      </c>
      <c r="L589" s="5" t="str">
        <f aca="false">IF(B589="","",IF(C589=0,"NOT FOUND",IF(IF($A589="Bank",INDEX(Bank!$F:$F,$C589),INDEX(GL!$F:$F,$C589))="Y","NOW RECONCILED: refresh","OK")))</f>
        <v/>
      </c>
    </row>
    <row r="590" customFormat="false" ht="15" hidden="false" customHeight="false" outlineLevel="0" collapsed="false">
      <c r="A590" s="41"/>
      <c r="B590" s="41"/>
      <c r="C590" s="5" t="n">
        <f aca="false">IF(B590="",0,IF(A590="Bank",IFERROR(MATCH(B590,Bank!$A:$A,0),0),IFERROR(MATCH(B590,GL!$A:$A,0),0)))</f>
        <v>0</v>
      </c>
      <c r="D590" s="32" t="str">
        <f aca="false">IF(C590=0,"",IF($A590="Bank",INDEX(Bank!$B:$B,$C590),INDEX(GL!$B:$B,$C590)))</f>
        <v/>
      </c>
      <c r="E590" s="5" t="str">
        <f aca="false">IF(C590=0,"",IF($A590="Bank",IF(INDEX(Bank!$C:$C,$C590)="","",INDEX(Bank!$C:$C,$C590)),IF(INDEX(GL!$C:$C,$C590)="","",INDEX(GL!$C:$C,$C590))))</f>
        <v/>
      </c>
      <c r="F590" s="5" t="str">
        <f aca="false">IF(C590=0,"",IF($A590="Bank",IF(INDEX(Bank!$D:$D,$C590)="","",INDEX(Bank!$D:$D,$C590)),IF(INDEX(GL!$D:$D,$C590)="","",INDEX(GL!$D:$D,$C590))))</f>
        <v/>
      </c>
      <c r="G590" s="19" t="str">
        <f aca="false">IF(C590=0,"",IF($A590="Bank",INDEX(Bank!$E:$E,$C590),INDEX(GL!$E:$E,$C590)))</f>
        <v/>
      </c>
      <c r="H590" s="5" t="str">
        <f aca="false">IF(C590=0,"",IF(A590="GL",IF(G590&gt;0,"Deposit in transit","Outstanding check / payment"),IF(G590&gt;0,"Bank credit not in GL","Bank debit not in GL")))</f>
        <v/>
      </c>
      <c r="I590" s="42" t="str">
        <f aca="false">IF(OR(C590=0,CFG_PeriodEnd=""),"",CFG_PeriodEnd-D590)</f>
        <v/>
      </c>
      <c r="J590" s="5" t="str">
        <f aca="false">IF(C590=0,"",IF($A590="Bank",IF(INDEX(Bank!$G:$G,$C590)="","",INDEX(Bank!$G:$G,$C590)),IF(INDEX(GL!$G:$G,$C590)="","",INDEX(GL!$G:$G,$C590))))</f>
        <v/>
      </c>
      <c r="K590" s="5" t="str">
        <f aca="false">IF(C590=0,"",IF($A590="Bank",IF(INDEX(Bank!$I:$I,$C590)="","",INDEX(Bank!$I:$I,$C590)),IF(INDEX(GL!$I:$I,$C590)="","",INDEX(GL!$I:$I,$C590))))</f>
        <v/>
      </c>
      <c r="L590" s="5" t="str">
        <f aca="false">IF(B590="","",IF(C590=0,"NOT FOUND",IF(IF($A590="Bank",INDEX(Bank!$F:$F,$C590),INDEX(GL!$F:$F,$C590))="Y","NOW RECONCILED: refresh","OK")))</f>
        <v/>
      </c>
    </row>
    <row r="591" customFormat="false" ht="15" hidden="false" customHeight="false" outlineLevel="0" collapsed="false">
      <c r="A591" s="41"/>
      <c r="B591" s="41"/>
      <c r="C591" s="5" t="n">
        <f aca="false">IF(B591="",0,IF(A591="Bank",IFERROR(MATCH(B591,Bank!$A:$A,0),0),IFERROR(MATCH(B591,GL!$A:$A,0),0)))</f>
        <v>0</v>
      </c>
      <c r="D591" s="32" t="str">
        <f aca="false">IF(C591=0,"",IF($A591="Bank",INDEX(Bank!$B:$B,$C591),INDEX(GL!$B:$B,$C591)))</f>
        <v/>
      </c>
      <c r="E591" s="5" t="str">
        <f aca="false">IF(C591=0,"",IF($A591="Bank",IF(INDEX(Bank!$C:$C,$C591)="","",INDEX(Bank!$C:$C,$C591)),IF(INDEX(GL!$C:$C,$C591)="","",INDEX(GL!$C:$C,$C591))))</f>
        <v/>
      </c>
      <c r="F591" s="5" t="str">
        <f aca="false">IF(C591=0,"",IF($A591="Bank",IF(INDEX(Bank!$D:$D,$C591)="","",INDEX(Bank!$D:$D,$C591)),IF(INDEX(GL!$D:$D,$C591)="","",INDEX(GL!$D:$D,$C591))))</f>
        <v/>
      </c>
      <c r="G591" s="19" t="str">
        <f aca="false">IF(C591=0,"",IF($A591="Bank",INDEX(Bank!$E:$E,$C591),INDEX(GL!$E:$E,$C591)))</f>
        <v/>
      </c>
      <c r="H591" s="5" t="str">
        <f aca="false">IF(C591=0,"",IF(A591="GL",IF(G591&gt;0,"Deposit in transit","Outstanding check / payment"),IF(G591&gt;0,"Bank credit not in GL","Bank debit not in GL")))</f>
        <v/>
      </c>
      <c r="I591" s="42" t="str">
        <f aca="false">IF(OR(C591=0,CFG_PeriodEnd=""),"",CFG_PeriodEnd-D591)</f>
        <v/>
      </c>
      <c r="J591" s="5" t="str">
        <f aca="false">IF(C591=0,"",IF($A591="Bank",IF(INDEX(Bank!$G:$G,$C591)="","",INDEX(Bank!$G:$G,$C591)),IF(INDEX(GL!$G:$G,$C591)="","",INDEX(GL!$G:$G,$C591))))</f>
        <v/>
      </c>
      <c r="K591" s="5" t="str">
        <f aca="false">IF(C591=0,"",IF($A591="Bank",IF(INDEX(Bank!$I:$I,$C591)="","",INDEX(Bank!$I:$I,$C591)),IF(INDEX(GL!$I:$I,$C591)="","",INDEX(GL!$I:$I,$C591))))</f>
        <v/>
      </c>
      <c r="L591" s="5" t="str">
        <f aca="false">IF(B591="","",IF(C591=0,"NOT FOUND",IF(IF($A591="Bank",INDEX(Bank!$F:$F,$C591),INDEX(GL!$F:$F,$C591))="Y","NOW RECONCILED: refresh","OK")))</f>
        <v/>
      </c>
    </row>
    <row r="592" customFormat="false" ht="15" hidden="false" customHeight="false" outlineLevel="0" collapsed="false">
      <c r="A592" s="41"/>
      <c r="B592" s="41"/>
      <c r="C592" s="5" t="n">
        <f aca="false">IF(B592="",0,IF(A592="Bank",IFERROR(MATCH(B592,Bank!$A:$A,0),0),IFERROR(MATCH(B592,GL!$A:$A,0),0)))</f>
        <v>0</v>
      </c>
      <c r="D592" s="32" t="str">
        <f aca="false">IF(C592=0,"",IF($A592="Bank",INDEX(Bank!$B:$B,$C592),INDEX(GL!$B:$B,$C592)))</f>
        <v/>
      </c>
      <c r="E592" s="5" t="str">
        <f aca="false">IF(C592=0,"",IF($A592="Bank",IF(INDEX(Bank!$C:$C,$C592)="","",INDEX(Bank!$C:$C,$C592)),IF(INDEX(GL!$C:$C,$C592)="","",INDEX(GL!$C:$C,$C592))))</f>
        <v/>
      </c>
      <c r="F592" s="5" t="str">
        <f aca="false">IF(C592=0,"",IF($A592="Bank",IF(INDEX(Bank!$D:$D,$C592)="","",INDEX(Bank!$D:$D,$C592)),IF(INDEX(GL!$D:$D,$C592)="","",INDEX(GL!$D:$D,$C592))))</f>
        <v/>
      </c>
      <c r="G592" s="19" t="str">
        <f aca="false">IF(C592=0,"",IF($A592="Bank",INDEX(Bank!$E:$E,$C592),INDEX(GL!$E:$E,$C592)))</f>
        <v/>
      </c>
      <c r="H592" s="5" t="str">
        <f aca="false">IF(C592=0,"",IF(A592="GL",IF(G592&gt;0,"Deposit in transit","Outstanding check / payment"),IF(G592&gt;0,"Bank credit not in GL","Bank debit not in GL")))</f>
        <v/>
      </c>
      <c r="I592" s="42" t="str">
        <f aca="false">IF(OR(C592=0,CFG_PeriodEnd=""),"",CFG_PeriodEnd-D592)</f>
        <v/>
      </c>
      <c r="J592" s="5" t="str">
        <f aca="false">IF(C592=0,"",IF($A592="Bank",IF(INDEX(Bank!$G:$G,$C592)="","",INDEX(Bank!$G:$G,$C592)),IF(INDEX(GL!$G:$G,$C592)="","",INDEX(GL!$G:$G,$C592))))</f>
        <v/>
      </c>
      <c r="K592" s="5" t="str">
        <f aca="false">IF(C592=0,"",IF($A592="Bank",IF(INDEX(Bank!$I:$I,$C592)="","",INDEX(Bank!$I:$I,$C592)),IF(INDEX(GL!$I:$I,$C592)="","",INDEX(GL!$I:$I,$C592))))</f>
        <v/>
      </c>
      <c r="L592" s="5" t="str">
        <f aca="false">IF(B592="","",IF(C592=0,"NOT FOUND",IF(IF($A592="Bank",INDEX(Bank!$F:$F,$C592),INDEX(GL!$F:$F,$C592))="Y","NOW RECONCILED: refresh","OK")))</f>
        <v/>
      </c>
    </row>
    <row r="593" customFormat="false" ht="15" hidden="false" customHeight="false" outlineLevel="0" collapsed="false">
      <c r="A593" s="41"/>
      <c r="B593" s="41"/>
      <c r="C593" s="5" t="n">
        <f aca="false">IF(B593="",0,IF(A593="Bank",IFERROR(MATCH(B593,Bank!$A:$A,0),0),IFERROR(MATCH(B593,GL!$A:$A,0),0)))</f>
        <v>0</v>
      </c>
      <c r="D593" s="32" t="str">
        <f aca="false">IF(C593=0,"",IF($A593="Bank",INDEX(Bank!$B:$B,$C593),INDEX(GL!$B:$B,$C593)))</f>
        <v/>
      </c>
      <c r="E593" s="5" t="str">
        <f aca="false">IF(C593=0,"",IF($A593="Bank",IF(INDEX(Bank!$C:$C,$C593)="","",INDEX(Bank!$C:$C,$C593)),IF(INDEX(GL!$C:$C,$C593)="","",INDEX(GL!$C:$C,$C593))))</f>
        <v/>
      </c>
      <c r="F593" s="5" t="str">
        <f aca="false">IF(C593=0,"",IF($A593="Bank",IF(INDEX(Bank!$D:$D,$C593)="","",INDEX(Bank!$D:$D,$C593)),IF(INDEX(GL!$D:$D,$C593)="","",INDEX(GL!$D:$D,$C593))))</f>
        <v/>
      </c>
      <c r="G593" s="19" t="str">
        <f aca="false">IF(C593=0,"",IF($A593="Bank",INDEX(Bank!$E:$E,$C593),INDEX(GL!$E:$E,$C593)))</f>
        <v/>
      </c>
      <c r="H593" s="5" t="str">
        <f aca="false">IF(C593=0,"",IF(A593="GL",IF(G593&gt;0,"Deposit in transit","Outstanding check / payment"),IF(G593&gt;0,"Bank credit not in GL","Bank debit not in GL")))</f>
        <v/>
      </c>
      <c r="I593" s="42" t="str">
        <f aca="false">IF(OR(C593=0,CFG_PeriodEnd=""),"",CFG_PeriodEnd-D593)</f>
        <v/>
      </c>
      <c r="J593" s="5" t="str">
        <f aca="false">IF(C593=0,"",IF($A593="Bank",IF(INDEX(Bank!$G:$G,$C593)="","",INDEX(Bank!$G:$G,$C593)),IF(INDEX(GL!$G:$G,$C593)="","",INDEX(GL!$G:$G,$C593))))</f>
        <v/>
      </c>
      <c r="K593" s="5" t="str">
        <f aca="false">IF(C593=0,"",IF($A593="Bank",IF(INDEX(Bank!$I:$I,$C593)="","",INDEX(Bank!$I:$I,$C593)),IF(INDEX(GL!$I:$I,$C593)="","",INDEX(GL!$I:$I,$C593))))</f>
        <v/>
      </c>
      <c r="L593" s="5" t="str">
        <f aca="false">IF(B593="","",IF(C593=0,"NOT FOUND",IF(IF($A593="Bank",INDEX(Bank!$F:$F,$C593),INDEX(GL!$F:$F,$C593))="Y","NOW RECONCILED: refresh","OK")))</f>
        <v/>
      </c>
    </row>
    <row r="594" customFormat="false" ht="15" hidden="false" customHeight="false" outlineLevel="0" collapsed="false">
      <c r="A594" s="41"/>
      <c r="B594" s="41"/>
      <c r="C594" s="5" t="n">
        <f aca="false">IF(B594="",0,IF(A594="Bank",IFERROR(MATCH(B594,Bank!$A:$A,0),0),IFERROR(MATCH(B594,GL!$A:$A,0),0)))</f>
        <v>0</v>
      </c>
      <c r="D594" s="32" t="str">
        <f aca="false">IF(C594=0,"",IF($A594="Bank",INDEX(Bank!$B:$B,$C594),INDEX(GL!$B:$B,$C594)))</f>
        <v/>
      </c>
      <c r="E594" s="5" t="str">
        <f aca="false">IF(C594=0,"",IF($A594="Bank",IF(INDEX(Bank!$C:$C,$C594)="","",INDEX(Bank!$C:$C,$C594)),IF(INDEX(GL!$C:$C,$C594)="","",INDEX(GL!$C:$C,$C594))))</f>
        <v/>
      </c>
      <c r="F594" s="5" t="str">
        <f aca="false">IF(C594=0,"",IF($A594="Bank",IF(INDEX(Bank!$D:$D,$C594)="","",INDEX(Bank!$D:$D,$C594)),IF(INDEX(GL!$D:$D,$C594)="","",INDEX(GL!$D:$D,$C594))))</f>
        <v/>
      </c>
      <c r="G594" s="19" t="str">
        <f aca="false">IF(C594=0,"",IF($A594="Bank",INDEX(Bank!$E:$E,$C594),INDEX(GL!$E:$E,$C594)))</f>
        <v/>
      </c>
      <c r="H594" s="5" t="str">
        <f aca="false">IF(C594=0,"",IF(A594="GL",IF(G594&gt;0,"Deposit in transit","Outstanding check / payment"),IF(G594&gt;0,"Bank credit not in GL","Bank debit not in GL")))</f>
        <v/>
      </c>
      <c r="I594" s="42" t="str">
        <f aca="false">IF(OR(C594=0,CFG_PeriodEnd=""),"",CFG_PeriodEnd-D594)</f>
        <v/>
      </c>
      <c r="J594" s="5" t="str">
        <f aca="false">IF(C594=0,"",IF($A594="Bank",IF(INDEX(Bank!$G:$G,$C594)="","",INDEX(Bank!$G:$G,$C594)),IF(INDEX(GL!$G:$G,$C594)="","",INDEX(GL!$G:$G,$C594))))</f>
        <v/>
      </c>
      <c r="K594" s="5" t="str">
        <f aca="false">IF(C594=0,"",IF($A594="Bank",IF(INDEX(Bank!$I:$I,$C594)="","",INDEX(Bank!$I:$I,$C594)),IF(INDEX(GL!$I:$I,$C594)="","",INDEX(GL!$I:$I,$C594))))</f>
        <v/>
      </c>
      <c r="L594" s="5" t="str">
        <f aca="false">IF(B594="","",IF(C594=0,"NOT FOUND",IF(IF($A594="Bank",INDEX(Bank!$F:$F,$C594),INDEX(GL!$F:$F,$C594))="Y","NOW RECONCILED: refresh","OK")))</f>
        <v/>
      </c>
    </row>
    <row r="595" customFormat="false" ht="15" hidden="false" customHeight="false" outlineLevel="0" collapsed="false">
      <c r="A595" s="41"/>
      <c r="B595" s="41"/>
      <c r="C595" s="5" t="n">
        <f aca="false">IF(B595="",0,IF(A595="Bank",IFERROR(MATCH(B595,Bank!$A:$A,0),0),IFERROR(MATCH(B595,GL!$A:$A,0),0)))</f>
        <v>0</v>
      </c>
      <c r="D595" s="32" t="str">
        <f aca="false">IF(C595=0,"",IF($A595="Bank",INDEX(Bank!$B:$B,$C595),INDEX(GL!$B:$B,$C595)))</f>
        <v/>
      </c>
      <c r="E595" s="5" t="str">
        <f aca="false">IF(C595=0,"",IF($A595="Bank",IF(INDEX(Bank!$C:$C,$C595)="","",INDEX(Bank!$C:$C,$C595)),IF(INDEX(GL!$C:$C,$C595)="","",INDEX(GL!$C:$C,$C595))))</f>
        <v/>
      </c>
      <c r="F595" s="5" t="str">
        <f aca="false">IF(C595=0,"",IF($A595="Bank",IF(INDEX(Bank!$D:$D,$C595)="","",INDEX(Bank!$D:$D,$C595)),IF(INDEX(GL!$D:$D,$C595)="","",INDEX(GL!$D:$D,$C595))))</f>
        <v/>
      </c>
      <c r="G595" s="19" t="str">
        <f aca="false">IF(C595=0,"",IF($A595="Bank",INDEX(Bank!$E:$E,$C595),INDEX(GL!$E:$E,$C595)))</f>
        <v/>
      </c>
      <c r="H595" s="5" t="str">
        <f aca="false">IF(C595=0,"",IF(A595="GL",IF(G595&gt;0,"Deposit in transit","Outstanding check / payment"),IF(G595&gt;0,"Bank credit not in GL","Bank debit not in GL")))</f>
        <v/>
      </c>
      <c r="I595" s="42" t="str">
        <f aca="false">IF(OR(C595=0,CFG_PeriodEnd=""),"",CFG_PeriodEnd-D595)</f>
        <v/>
      </c>
      <c r="J595" s="5" t="str">
        <f aca="false">IF(C595=0,"",IF($A595="Bank",IF(INDEX(Bank!$G:$G,$C595)="","",INDEX(Bank!$G:$G,$C595)),IF(INDEX(GL!$G:$G,$C595)="","",INDEX(GL!$G:$G,$C595))))</f>
        <v/>
      </c>
      <c r="K595" s="5" t="str">
        <f aca="false">IF(C595=0,"",IF($A595="Bank",IF(INDEX(Bank!$I:$I,$C595)="","",INDEX(Bank!$I:$I,$C595)),IF(INDEX(GL!$I:$I,$C595)="","",INDEX(GL!$I:$I,$C595))))</f>
        <v/>
      </c>
      <c r="L595" s="5" t="str">
        <f aca="false">IF(B595="","",IF(C595=0,"NOT FOUND",IF(IF($A595="Bank",INDEX(Bank!$F:$F,$C595),INDEX(GL!$F:$F,$C595))="Y","NOW RECONCILED: refresh","OK")))</f>
        <v/>
      </c>
    </row>
    <row r="596" customFormat="false" ht="15" hidden="false" customHeight="false" outlineLevel="0" collapsed="false">
      <c r="A596" s="41"/>
      <c r="B596" s="41"/>
      <c r="C596" s="5" t="n">
        <f aca="false">IF(B596="",0,IF(A596="Bank",IFERROR(MATCH(B596,Bank!$A:$A,0),0),IFERROR(MATCH(B596,GL!$A:$A,0),0)))</f>
        <v>0</v>
      </c>
      <c r="D596" s="32" t="str">
        <f aca="false">IF(C596=0,"",IF($A596="Bank",INDEX(Bank!$B:$B,$C596),INDEX(GL!$B:$B,$C596)))</f>
        <v/>
      </c>
      <c r="E596" s="5" t="str">
        <f aca="false">IF(C596=0,"",IF($A596="Bank",IF(INDEX(Bank!$C:$C,$C596)="","",INDEX(Bank!$C:$C,$C596)),IF(INDEX(GL!$C:$C,$C596)="","",INDEX(GL!$C:$C,$C596))))</f>
        <v/>
      </c>
      <c r="F596" s="5" t="str">
        <f aca="false">IF(C596=0,"",IF($A596="Bank",IF(INDEX(Bank!$D:$D,$C596)="","",INDEX(Bank!$D:$D,$C596)),IF(INDEX(GL!$D:$D,$C596)="","",INDEX(GL!$D:$D,$C596))))</f>
        <v/>
      </c>
      <c r="G596" s="19" t="str">
        <f aca="false">IF(C596=0,"",IF($A596="Bank",INDEX(Bank!$E:$E,$C596),INDEX(GL!$E:$E,$C596)))</f>
        <v/>
      </c>
      <c r="H596" s="5" t="str">
        <f aca="false">IF(C596=0,"",IF(A596="GL",IF(G596&gt;0,"Deposit in transit","Outstanding check / payment"),IF(G596&gt;0,"Bank credit not in GL","Bank debit not in GL")))</f>
        <v/>
      </c>
      <c r="I596" s="42" t="str">
        <f aca="false">IF(OR(C596=0,CFG_PeriodEnd=""),"",CFG_PeriodEnd-D596)</f>
        <v/>
      </c>
      <c r="J596" s="5" t="str">
        <f aca="false">IF(C596=0,"",IF($A596="Bank",IF(INDEX(Bank!$G:$G,$C596)="","",INDEX(Bank!$G:$G,$C596)),IF(INDEX(GL!$G:$G,$C596)="","",INDEX(GL!$G:$G,$C596))))</f>
        <v/>
      </c>
      <c r="K596" s="5" t="str">
        <f aca="false">IF(C596=0,"",IF($A596="Bank",IF(INDEX(Bank!$I:$I,$C596)="","",INDEX(Bank!$I:$I,$C596)),IF(INDEX(GL!$I:$I,$C596)="","",INDEX(GL!$I:$I,$C596))))</f>
        <v/>
      </c>
      <c r="L596" s="5" t="str">
        <f aca="false">IF(B596="","",IF(C596=0,"NOT FOUND",IF(IF($A596="Bank",INDEX(Bank!$F:$F,$C596),INDEX(GL!$F:$F,$C596))="Y","NOW RECONCILED: refresh","OK")))</f>
        <v/>
      </c>
    </row>
    <row r="597" customFormat="false" ht="15" hidden="false" customHeight="false" outlineLevel="0" collapsed="false">
      <c r="A597" s="41"/>
      <c r="B597" s="41"/>
      <c r="C597" s="5" t="n">
        <f aca="false">IF(B597="",0,IF(A597="Bank",IFERROR(MATCH(B597,Bank!$A:$A,0),0),IFERROR(MATCH(B597,GL!$A:$A,0),0)))</f>
        <v>0</v>
      </c>
      <c r="D597" s="32" t="str">
        <f aca="false">IF(C597=0,"",IF($A597="Bank",INDEX(Bank!$B:$B,$C597),INDEX(GL!$B:$B,$C597)))</f>
        <v/>
      </c>
      <c r="E597" s="5" t="str">
        <f aca="false">IF(C597=0,"",IF($A597="Bank",IF(INDEX(Bank!$C:$C,$C597)="","",INDEX(Bank!$C:$C,$C597)),IF(INDEX(GL!$C:$C,$C597)="","",INDEX(GL!$C:$C,$C597))))</f>
        <v/>
      </c>
      <c r="F597" s="5" t="str">
        <f aca="false">IF(C597=0,"",IF($A597="Bank",IF(INDEX(Bank!$D:$D,$C597)="","",INDEX(Bank!$D:$D,$C597)),IF(INDEX(GL!$D:$D,$C597)="","",INDEX(GL!$D:$D,$C597))))</f>
        <v/>
      </c>
      <c r="G597" s="19" t="str">
        <f aca="false">IF(C597=0,"",IF($A597="Bank",INDEX(Bank!$E:$E,$C597),INDEX(GL!$E:$E,$C597)))</f>
        <v/>
      </c>
      <c r="H597" s="5" t="str">
        <f aca="false">IF(C597=0,"",IF(A597="GL",IF(G597&gt;0,"Deposit in transit","Outstanding check / payment"),IF(G597&gt;0,"Bank credit not in GL","Bank debit not in GL")))</f>
        <v/>
      </c>
      <c r="I597" s="42" t="str">
        <f aca="false">IF(OR(C597=0,CFG_PeriodEnd=""),"",CFG_PeriodEnd-D597)</f>
        <v/>
      </c>
      <c r="J597" s="5" t="str">
        <f aca="false">IF(C597=0,"",IF($A597="Bank",IF(INDEX(Bank!$G:$G,$C597)="","",INDEX(Bank!$G:$G,$C597)),IF(INDEX(GL!$G:$G,$C597)="","",INDEX(GL!$G:$G,$C597))))</f>
        <v/>
      </c>
      <c r="K597" s="5" t="str">
        <f aca="false">IF(C597=0,"",IF($A597="Bank",IF(INDEX(Bank!$I:$I,$C597)="","",INDEX(Bank!$I:$I,$C597)),IF(INDEX(GL!$I:$I,$C597)="","",INDEX(GL!$I:$I,$C597))))</f>
        <v/>
      </c>
      <c r="L597" s="5" t="str">
        <f aca="false">IF(B597="","",IF(C597=0,"NOT FOUND",IF(IF($A597="Bank",INDEX(Bank!$F:$F,$C597),INDEX(GL!$F:$F,$C597))="Y","NOW RECONCILED: refresh","OK")))</f>
        <v/>
      </c>
    </row>
    <row r="598" customFormat="false" ht="15" hidden="false" customHeight="false" outlineLevel="0" collapsed="false">
      <c r="A598" s="41"/>
      <c r="B598" s="41"/>
      <c r="C598" s="5" t="n">
        <f aca="false">IF(B598="",0,IF(A598="Bank",IFERROR(MATCH(B598,Bank!$A:$A,0),0),IFERROR(MATCH(B598,GL!$A:$A,0),0)))</f>
        <v>0</v>
      </c>
      <c r="D598" s="32" t="str">
        <f aca="false">IF(C598=0,"",IF($A598="Bank",INDEX(Bank!$B:$B,$C598),INDEX(GL!$B:$B,$C598)))</f>
        <v/>
      </c>
      <c r="E598" s="5" t="str">
        <f aca="false">IF(C598=0,"",IF($A598="Bank",IF(INDEX(Bank!$C:$C,$C598)="","",INDEX(Bank!$C:$C,$C598)),IF(INDEX(GL!$C:$C,$C598)="","",INDEX(GL!$C:$C,$C598))))</f>
        <v/>
      </c>
      <c r="F598" s="5" t="str">
        <f aca="false">IF(C598=0,"",IF($A598="Bank",IF(INDEX(Bank!$D:$D,$C598)="","",INDEX(Bank!$D:$D,$C598)),IF(INDEX(GL!$D:$D,$C598)="","",INDEX(GL!$D:$D,$C598))))</f>
        <v/>
      </c>
      <c r="G598" s="19" t="str">
        <f aca="false">IF(C598=0,"",IF($A598="Bank",INDEX(Bank!$E:$E,$C598),INDEX(GL!$E:$E,$C598)))</f>
        <v/>
      </c>
      <c r="H598" s="5" t="str">
        <f aca="false">IF(C598=0,"",IF(A598="GL",IF(G598&gt;0,"Deposit in transit","Outstanding check / payment"),IF(G598&gt;0,"Bank credit not in GL","Bank debit not in GL")))</f>
        <v/>
      </c>
      <c r="I598" s="42" t="str">
        <f aca="false">IF(OR(C598=0,CFG_PeriodEnd=""),"",CFG_PeriodEnd-D598)</f>
        <v/>
      </c>
      <c r="J598" s="5" t="str">
        <f aca="false">IF(C598=0,"",IF($A598="Bank",IF(INDEX(Bank!$G:$G,$C598)="","",INDEX(Bank!$G:$G,$C598)),IF(INDEX(GL!$G:$G,$C598)="","",INDEX(GL!$G:$G,$C598))))</f>
        <v/>
      </c>
      <c r="K598" s="5" t="str">
        <f aca="false">IF(C598=0,"",IF($A598="Bank",IF(INDEX(Bank!$I:$I,$C598)="","",INDEX(Bank!$I:$I,$C598)),IF(INDEX(GL!$I:$I,$C598)="","",INDEX(GL!$I:$I,$C598))))</f>
        <v/>
      </c>
      <c r="L598" s="5" t="str">
        <f aca="false">IF(B598="","",IF(C598=0,"NOT FOUND",IF(IF($A598="Bank",INDEX(Bank!$F:$F,$C598),INDEX(GL!$F:$F,$C598))="Y","NOW RECONCILED: refresh","OK")))</f>
        <v/>
      </c>
    </row>
    <row r="599" customFormat="false" ht="15" hidden="false" customHeight="false" outlineLevel="0" collapsed="false">
      <c r="A599" s="41"/>
      <c r="B599" s="41"/>
      <c r="C599" s="5" t="n">
        <f aca="false">IF(B599="",0,IF(A599="Bank",IFERROR(MATCH(B599,Bank!$A:$A,0),0),IFERROR(MATCH(B599,GL!$A:$A,0),0)))</f>
        <v>0</v>
      </c>
      <c r="D599" s="32" t="str">
        <f aca="false">IF(C599=0,"",IF($A599="Bank",INDEX(Bank!$B:$B,$C599),INDEX(GL!$B:$B,$C599)))</f>
        <v/>
      </c>
      <c r="E599" s="5" t="str">
        <f aca="false">IF(C599=0,"",IF($A599="Bank",IF(INDEX(Bank!$C:$C,$C599)="","",INDEX(Bank!$C:$C,$C599)),IF(INDEX(GL!$C:$C,$C599)="","",INDEX(GL!$C:$C,$C599))))</f>
        <v/>
      </c>
      <c r="F599" s="5" t="str">
        <f aca="false">IF(C599=0,"",IF($A599="Bank",IF(INDEX(Bank!$D:$D,$C599)="","",INDEX(Bank!$D:$D,$C599)),IF(INDEX(GL!$D:$D,$C599)="","",INDEX(GL!$D:$D,$C599))))</f>
        <v/>
      </c>
      <c r="G599" s="19" t="str">
        <f aca="false">IF(C599=0,"",IF($A599="Bank",INDEX(Bank!$E:$E,$C599),INDEX(GL!$E:$E,$C599)))</f>
        <v/>
      </c>
      <c r="H599" s="5" t="str">
        <f aca="false">IF(C599=0,"",IF(A599="GL",IF(G599&gt;0,"Deposit in transit","Outstanding check / payment"),IF(G599&gt;0,"Bank credit not in GL","Bank debit not in GL")))</f>
        <v/>
      </c>
      <c r="I599" s="42" t="str">
        <f aca="false">IF(OR(C599=0,CFG_PeriodEnd=""),"",CFG_PeriodEnd-D599)</f>
        <v/>
      </c>
      <c r="J599" s="5" t="str">
        <f aca="false">IF(C599=0,"",IF($A599="Bank",IF(INDEX(Bank!$G:$G,$C599)="","",INDEX(Bank!$G:$G,$C599)),IF(INDEX(GL!$G:$G,$C599)="","",INDEX(GL!$G:$G,$C599))))</f>
        <v/>
      </c>
      <c r="K599" s="5" t="str">
        <f aca="false">IF(C599=0,"",IF($A599="Bank",IF(INDEX(Bank!$I:$I,$C599)="","",INDEX(Bank!$I:$I,$C599)),IF(INDEX(GL!$I:$I,$C599)="","",INDEX(GL!$I:$I,$C599))))</f>
        <v/>
      </c>
      <c r="L599" s="5" t="str">
        <f aca="false">IF(B599="","",IF(C599=0,"NOT FOUND",IF(IF($A599="Bank",INDEX(Bank!$F:$F,$C599),INDEX(GL!$F:$F,$C599))="Y","NOW RECONCILED: refresh","OK")))</f>
        <v/>
      </c>
    </row>
    <row r="600" customFormat="false" ht="15" hidden="false" customHeight="false" outlineLevel="0" collapsed="false">
      <c r="A600" s="41"/>
      <c r="B600" s="41"/>
      <c r="C600" s="5" t="n">
        <f aca="false">IF(B600="",0,IF(A600="Bank",IFERROR(MATCH(B600,Bank!$A:$A,0),0),IFERROR(MATCH(B600,GL!$A:$A,0),0)))</f>
        <v>0</v>
      </c>
      <c r="D600" s="32" t="str">
        <f aca="false">IF(C600=0,"",IF($A600="Bank",INDEX(Bank!$B:$B,$C600),INDEX(GL!$B:$B,$C600)))</f>
        <v/>
      </c>
      <c r="E600" s="5" t="str">
        <f aca="false">IF(C600=0,"",IF($A600="Bank",IF(INDEX(Bank!$C:$C,$C600)="","",INDEX(Bank!$C:$C,$C600)),IF(INDEX(GL!$C:$C,$C600)="","",INDEX(GL!$C:$C,$C600))))</f>
        <v/>
      </c>
      <c r="F600" s="5" t="str">
        <f aca="false">IF(C600=0,"",IF($A600="Bank",IF(INDEX(Bank!$D:$D,$C600)="","",INDEX(Bank!$D:$D,$C600)),IF(INDEX(GL!$D:$D,$C600)="","",INDEX(GL!$D:$D,$C600))))</f>
        <v/>
      </c>
      <c r="G600" s="19" t="str">
        <f aca="false">IF(C600=0,"",IF($A600="Bank",INDEX(Bank!$E:$E,$C600),INDEX(GL!$E:$E,$C600)))</f>
        <v/>
      </c>
      <c r="H600" s="5" t="str">
        <f aca="false">IF(C600=0,"",IF(A600="GL",IF(G600&gt;0,"Deposit in transit","Outstanding check / payment"),IF(G600&gt;0,"Bank credit not in GL","Bank debit not in GL")))</f>
        <v/>
      </c>
      <c r="I600" s="42" t="str">
        <f aca="false">IF(OR(C600=0,CFG_PeriodEnd=""),"",CFG_PeriodEnd-D600)</f>
        <v/>
      </c>
      <c r="J600" s="5" t="str">
        <f aca="false">IF(C600=0,"",IF($A600="Bank",IF(INDEX(Bank!$G:$G,$C600)="","",INDEX(Bank!$G:$G,$C600)),IF(INDEX(GL!$G:$G,$C600)="","",INDEX(GL!$G:$G,$C600))))</f>
        <v/>
      </c>
      <c r="K600" s="5" t="str">
        <f aca="false">IF(C600=0,"",IF($A600="Bank",IF(INDEX(Bank!$I:$I,$C600)="","",INDEX(Bank!$I:$I,$C600)),IF(INDEX(GL!$I:$I,$C600)="","",INDEX(GL!$I:$I,$C600))))</f>
        <v/>
      </c>
      <c r="L600" s="5" t="str">
        <f aca="false">IF(B600="","",IF(C600=0,"NOT FOUND",IF(IF($A600="Bank",INDEX(Bank!$F:$F,$C600),INDEX(GL!$F:$F,$C600))="Y","NOW RECONCILED: refresh","OK")))</f>
        <v/>
      </c>
    </row>
    <row r="601" customFormat="false" ht="15" hidden="false" customHeight="false" outlineLevel="0" collapsed="false">
      <c r="A601" s="41"/>
      <c r="B601" s="41"/>
      <c r="C601" s="5" t="n">
        <f aca="false">IF(B601="",0,IF(A601="Bank",IFERROR(MATCH(B601,Bank!$A:$A,0),0),IFERROR(MATCH(B601,GL!$A:$A,0),0)))</f>
        <v>0</v>
      </c>
      <c r="D601" s="32" t="str">
        <f aca="false">IF(C601=0,"",IF($A601="Bank",INDEX(Bank!$B:$B,$C601),INDEX(GL!$B:$B,$C601)))</f>
        <v/>
      </c>
      <c r="E601" s="5" t="str">
        <f aca="false">IF(C601=0,"",IF($A601="Bank",IF(INDEX(Bank!$C:$C,$C601)="","",INDEX(Bank!$C:$C,$C601)),IF(INDEX(GL!$C:$C,$C601)="","",INDEX(GL!$C:$C,$C601))))</f>
        <v/>
      </c>
      <c r="F601" s="5" t="str">
        <f aca="false">IF(C601=0,"",IF($A601="Bank",IF(INDEX(Bank!$D:$D,$C601)="","",INDEX(Bank!$D:$D,$C601)),IF(INDEX(GL!$D:$D,$C601)="","",INDEX(GL!$D:$D,$C601))))</f>
        <v/>
      </c>
      <c r="G601" s="19" t="str">
        <f aca="false">IF(C601=0,"",IF($A601="Bank",INDEX(Bank!$E:$E,$C601),INDEX(GL!$E:$E,$C601)))</f>
        <v/>
      </c>
      <c r="H601" s="5" t="str">
        <f aca="false">IF(C601=0,"",IF(A601="GL",IF(G601&gt;0,"Deposit in transit","Outstanding check / payment"),IF(G601&gt;0,"Bank credit not in GL","Bank debit not in GL")))</f>
        <v/>
      </c>
      <c r="I601" s="42" t="str">
        <f aca="false">IF(OR(C601=0,CFG_PeriodEnd=""),"",CFG_PeriodEnd-D601)</f>
        <v/>
      </c>
      <c r="J601" s="5" t="str">
        <f aca="false">IF(C601=0,"",IF($A601="Bank",IF(INDEX(Bank!$G:$G,$C601)="","",INDEX(Bank!$G:$G,$C601)),IF(INDEX(GL!$G:$G,$C601)="","",INDEX(GL!$G:$G,$C601))))</f>
        <v/>
      </c>
      <c r="K601" s="5" t="str">
        <f aca="false">IF(C601=0,"",IF($A601="Bank",IF(INDEX(Bank!$I:$I,$C601)="","",INDEX(Bank!$I:$I,$C601)),IF(INDEX(GL!$I:$I,$C601)="","",INDEX(GL!$I:$I,$C601))))</f>
        <v/>
      </c>
      <c r="L601" s="5" t="str">
        <f aca="false">IF(B601="","",IF(C601=0,"NOT FOUND",IF(IF($A601="Bank",INDEX(Bank!$F:$F,$C601),INDEX(GL!$F:$F,$C601))="Y","NOW RECONCILED: refresh","OK")))</f>
        <v/>
      </c>
    </row>
    <row r="602" customFormat="false" ht="15" hidden="false" customHeight="false" outlineLevel="0" collapsed="false">
      <c r="A602" s="41"/>
      <c r="B602" s="41"/>
      <c r="C602" s="5" t="n">
        <f aca="false">IF(B602="",0,IF(A602="Bank",IFERROR(MATCH(B602,Bank!$A:$A,0),0),IFERROR(MATCH(B602,GL!$A:$A,0),0)))</f>
        <v>0</v>
      </c>
      <c r="D602" s="32" t="str">
        <f aca="false">IF(C602=0,"",IF($A602="Bank",INDEX(Bank!$B:$B,$C602),INDEX(GL!$B:$B,$C602)))</f>
        <v/>
      </c>
      <c r="E602" s="5" t="str">
        <f aca="false">IF(C602=0,"",IF($A602="Bank",IF(INDEX(Bank!$C:$C,$C602)="","",INDEX(Bank!$C:$C,$C602)),IF(INDEX(GL!$C:$C,$C602)="","",INDEX(GL!$C:$C,$C602))))</f>
        <v/>
      </c>
      <c r="F602" s="5" t="str">
        <f aca="false">IF(C602=0,"",IF($A602="Bank",IF(INDEX(Bank!$D:$D,$C602)="","",INDEX(Bank!$D:$D,$C602)),IF(INDEX(GL!$D:$D,$C602)="","",INDEX(GL!$D:$D,$C602))))</f>
        <v/>
      </c>
      <c r="G602" s="19" t="str">
        <f aca="false">IF(C602=0,"",IF($A602="Bank",INDEX(Bank!$E:$E,$C602),INDEX(GL!$E:$E,$C602)))</f>
        <v/>
      </c>
      <c r="H602" s="5" t="str">
        <f aca="false">IF(C602=0,"",IF(A602="GL",IF(G602&gt;0,"Deposit in transit","Outstanding check / payment"),IF(G602&gt;0,"Bank credit not in GL","Bank debit not in GL")))</f>
        <v/>
      </c>
      <c r="I602" s="42" t="str">
        <f aca="false">IF(OR(C602=0,CFG_PeriodEnd=""),"",CFG_PeriodEnd-D602)</f>
        <v/>
      </c>
      <c r="J602" s="5" t="str">
        <f aca="false">IF(C602=0,"",IF($A602="Bank",IF(INDEX(Bank!$G:$G,$C602)="","",INDEX(Bank!$G:$G,$C602)),IF(INDEX(GL!$G:$G,$C602)="","",INDEX(GL!$G:$G,$C602))))</f>
        <v/>
      </c>
      <c r="K602" s="5" t="str">
        <f aca="false">IF(C602=0,"",IF($A602="Bank",IF(INDEX(Bank!$I:$I,$C602)="","",INDEX(Bank!$I:$I,$C602)),IF(INDEX(GL!$I:$I,$C602)="","",INDEX(GL!$I:$I,$C602))))</f>
        <v/>
      </c>
      <c r="L602" s="5" t="str">
        <f aca="false">IF(B602="","",IF(C602=0,"NOT FOUND",IF(IF($A602="Bank",INDEX(Bank!$F:$F,$C602),INDEX(GL!$F:$F,$C602))="Y","NOW RECONCILED: refresh","OK")))</f>
        <v/>
      </c>
    </row>
    <row r="603" customFormat="false" ht="15" hidden="false" customHeight="false" outlineLevel="0" collapsed="false">
      <c r="A603" s="41"/>
      <c r="B603" s="41"/>
      <c r="C603" s="5" t="n">
        <f aca="false">IF(B603="",0,IF(A603="Bank",IFERROR(MATCH(B603,Bank!$A:$A,0),0),IFERROR(MATCH(B603,GL!$A:$A,0),0)))</f>
        <v>0</v>
      </c>
      <c r="D603" s="32" t="str">
        <f aca="false">IF(C603=0,"",IF($A603="Bank",INDEX(Bank!$B:$B,$C603),INDEX(GL!$B:$B,$C603)))</f>
        <v/>
      </c>
      <c r="E603" s="5" t="str">
        <f aca="false">IF(C603=0,"",IF($A603="Bank",IF(INDEX(Bank!$C:$C,$C603)="","",INDEX(Bank!$C:$C,$C603)),IF(INDEX(GL!$C:$C,$C603)="","",INDEX(GL!$C:$C,$C603))))</f>
        <v/>
      </c>
      <c r="F603" s="5" t="str">
        <f aca="false">IF(C603=0,"",IF($A603="Bank",IF(INDEX(Bank!$D:$D,$C603)="","",INDEX(Bank!$D:$D,$C603)),IF(INDEX(GL!$D:$D,$C603)="","",INDEX(GL!$D:$D,$C603))))</f>
        <v/>
      </c>
      <c r="G603" s="19" t="str">
        <f aca="false">IF(C603=0,"",IF($A603="Bank",INDEX(Bank!$E:$E,$C603),INDEX(GL!$E:$E,$C603)))</f>
        <v/>
      </c>
      <c r="H603" s="5" t="str">
        <f aca="false">IF(C603=0,"",IF(A603="GL",IF(G603&gt;0,"Deposit in transit","Outstanding check / payment"),IF(G603&gt;0,"Bank credit not in GL","Bank debit not in GL")))</f>
        <v/>
      </c>
      <c r="I603" s="42" t="str">
        <f aca="false">IF(OR(C603=0,CFG_PeriodEnd=""),"",CFG_PeriodEnd-D603)</f>
        <v/>
      </c>
      <c r="J603" s="5" t="str">
        <f aca="false">IF(C603=0,"",IF($A603="Bank",IF(INDEX(Bank!$G:$G,$C603)="","",INDEX(Bank!$G:$G,$C603)),IF(INDEX(GL!$G:$G,$C603)="","",INDEX(GL!$G:$G,$C603))))</f>
        <v/>
      </c>
      <c r="K603" s="5" t="str">
        <f aca="false">IF(C603=0,"",IF($A603="Bank",IF(INDEX(Bank!$I:$I,$C603)="","",INDEX(Bank!$I:$I,$C603)),IF(INDEX(GL!$I:$I,$C603)="","",INDEX(GL!$I:$I,$C603))))</f>
        <v/>
      </c>
      <c r="L603" s="5" t="str">
        <f aca="false">IF(B603="","",IF(C603=0,"NOT FOUND",IF(IF($A603="Bank",INDEX(Bank!$F:$F,$C603),INDEX(GL!$F:$F,$C603))="Y","NOW RECONCILED: refresh","OK")))</f>
        <v/>
      </c>
    </row>
    <row r="604" customFormat="false" ht="15" hidden="false" customHeight="false" outlineLevel="0" collapsed="false">
      <c r="A604" s="41"/>
      <c r="B604" s="41"/>
      <c r="C604" s="5" t="n">
        <f aca="false">IF(B604="",0,IF(A604="Bank",IFERROR(MATCH(B604,Bank!$A:$A,0),0),IFERROR(MATCH(B604,GL!$A:$A,0),0)))</f>
        <v>0</v>
      </c>
      <c r="D604" s="32" t="str">
        <f aca="false">IF(C604=0,"",IF($A604="Bank",INDEX(Bank!$B:$B,$C604),INDEX(GL!$B:$B,$C604)))</f>
        <v/>
      </c>
      <c r="E604" s="5" t="str">
        <f aca="false">IF(C604=0,"",IF($A604="Bank",IF(INDEX(Bank!$C:$C,$C604)="","",INDEX(Bank!$C:$C,$C604)),IF(INDEX(GL!$C:$C,$C604)="","",INDEX(GL!$C:$C,$C604))))</f>
        <v/>
      </c>
      <c r="F604" s="5" t="str">
        <f aca="false">IF(C604=0,"",IF($A604="Bank",IF(INDEX(Bank!$D:$D,$C604)="","",INDEX(Bank!$D:$D,$C604)),IF(INDEX(GL!$D:$D,$C604)="","",INDEX(GL!$D:$D,$C604))))</f>
        <v/>
      </c>
      <c r="G604" s="19" t="str">
        <f aca="false">IF(C604=0,"",IF($A604="Bank",INDEX(Bank!$E:$E,$C604),INDEX(GL!$E:$E,$C604)))</f>
        <v/>
      </c>
      <c r="H604" s="5" t="str">
        <f aca="false">IF(C604=0,"",IF(A604="GL",IF(G604&gt;0,"Deposit in transit","Outstanding check / payment"),IF(G604&gt;0,"Bank credit not in GL","Bank debit not in GL")))</f>
        <v/>
      </c>
      <c r="I604" s="42" t="str">
        <f aca="false">IF(OR(C604=0,CFG_PeriodEnd=""),"",CFG_PeriodEnd-D604)</f>
        <v/>
      </c>
      <c r="J604" s="5" t="str">
        <f aca="false">IF(C604=0,"",IF($A604="Bank",IF(INDEX(Bank!$G:$G,$C604)="","",INDEX(Bank!$G:$G,$C604)),IF(INDEX(GL!$G:$G,$C604)="","",INDEX(GL!$G:$G,$C604))))</f>
        <v/>
      </c>
      <c r="K604" s="5" t="str">
        <f aca="false">IF(C604=0,"",IF($A604="Bank",IF(INDEX(Bank!$I:$I,$C604)="","",INDEX(Bank!$I:$I,$C604)),IF(INDEX(GL!$I:$I,$C604)="","",INDEX(GL!$I:$I,$C604))))</f>
        <v/>
      </c>
      <c r="L604" s="5" t="str">
        <f aca="false">IF(B604="","",IF(C604=0,"NOT FOUND",IF(IF($A604="Bank",INDEX(Bank!$F:$F,$C604),INDEX(GL!$F:$F,$C604))="Y","NOW RECONCILED: refresh","OK")))</f>
        <v/>
      </c>
    </row>
    <row r="605" customFormat="false" ht="15" hidden="false" customHeight="false" outlineLevel="0" collapsed="false">
      <c r="A605" s="41"/>
      <c r="B605" s="41"/>
      <c r="C605" s="5" t="n">
        <f aca="false">IF(B605="",0,IF(A605="Bank",IFERROR(MATCH(B605,Bank!$A:$A,0),0),IFERROR(MATCH(B605,GL!$A:$A,0),0)))</f>
        <v>0</v>
      </c>
      <c r="D605" s="32" t="str">
        <f aca="false">IF(C605=0,"",IF($A605="Bank",INDEX(Bank!$B:$B,$C605),INDEX(GL!$B:$B,$C605)))</f>
        <v/>
      </c>
      <c r="E605" s="5" t="str">
        <f aca="false">IF(C605=0,"",IF($A605="Bank",IF(INDEX(Bank!$C:$C,$C605)="","",INDEX(Bank!$C:$C,$C605)),IF(INDEX(GL!$C:$C,$C605)="","",INDEX(GL!$C:$C,$C605))))</f>
        <v/>
      </c>
      <c r="F605" s="5" t="str">
        <f aca="false">IF(C605=0,"",IF($A605="Bank",IF(INDEX(Bank!$D:$D,$C605)="","",INDEX(Bank!$D:$D,$C605)),IF(INDEX(GL!$D:$D,$C605)="","",INDEX(GL!$D:$D,$C605))))</f>
        <v/>
      </c>
      <c r="G605" s="19" t="str">
        <f aca="false">IF(C605=0,"",IF($A605="Bank",INDEX(Bank!$E:$E,$C605),INDEX(GL!$E:$E,$C605)))</f>
        <v/>
      </c>
      <c r="H605" s="5" t="str">
        <f aca="false">IF(C605=0,"",IF(A605="GL",IF(G605&gt;0,"Deposit in transit","Outstanding check / payment"),IF(G605&gt;0,"Bank credit not in GL","Bank debit not in GL")))</f>
        <v/>
      </c>
      <c r="I605" s="42" t="str">
        <f aca="false">IF(OR(C605=0,CFG_PeriodEnd=""),"",CFG_PeriodEnd-D605)</f>
        <v/>
      </c>
      <c r="J605" s="5" t="str">
        <f aca="false">IF(C605=0,"",IF($A605="Bank",IF(INDEX(Bank!$G:$G,$C605)="","",INDEX(Bank!$G:$G,$C605)),IF(INDEX(GL!$G:$G,$C605)="","",INDEX(GL!$G:$G,$C605))))</f>
        <v/>
      </c>
      <c r="K605" s="5" t="str">
        <f aca="false">IF(C605=0,"",IF($A605="Bank",IF(INDEX(Bank!$I:$I,$C605)="","",INDEX(Bank!$I:$I,$C605)),IF(INDEX(GL!$I:$I,$C605)="","",INDEX(GL!$I:$I,$C605))))</f>
        <v/>
      </c>
      <c r="L605" s="5" t="str">
        <f aca="false">IF(B605="","",IF(C605=0,"NOT FOUND",IF(IF($A605="Bank",INDEX(Bank!$F:$F,$C605),INDEX(GL!$F:$F,$C605))="Y","NOW RECONCILED: refresh","OK")))</f>
        <v/>
      </c>
    </row>
    <row r="606" customFormat="false" ht="15" hidden="false" customHeight="false" outlineLevel="0" collapsed="false">
      <c r="A606" s="41"/>
      <c r="B606" s="41"/>
      <c r="C606" s="5" t="n">
        <f aca="false">IF(B606="",0,IF(A606="Bank",IFERROR(MATCH(B606,Bank!$A:$A,0),0),IFERROR(MATCH(B606,GL!$A:$A,0),0)))</f>
        <v>0</v>
      </c>
      <c r="D606" s="32" t="str">
        <f aca="false">IF(C606=0,"",IF($A606="Bank",INDEX(Bank!$B:$B,$C606),INDEX(GL!$B:$B,$C606)))</f>
        <v/>
      </c>
      <c r="E606" s="5" t="str">
        <f aca="false">IF(C606=0,"",IF($A606="Bank",IF(INDEX(Bank!$C:$C,$C606)="","",INDEX(Bank!$C:$C,$C606)),IF(INDEX(GL!$C:$C,$C606)="","",INDEX(GL!$C:$C,$C606))))</f>
        <v/>
      </c>
      <c r="F606" s="5" t="str">
        <f aca="false">IF(C606=0,"",IF($A606="Bank",IF(INDEX(Bank!$D:$D,$C606)="","",INDEX(Bank!$D:$D,$C606)),IF(INDEX(GL!$D:$D,$C606)="","",INDEX(GL!$D:$D,$C606))))</f>
        <v/>
      </c>
      <c r="G606" s="19" t="str">
        <f aca="false">IF(C606=0,"",IF($A606="Bank",INDEX(Bank!$E:$E,$C606),INDEX(GL!$E:$E,$C606)))</f>
        <v/>
      </c>
      <c r="H606" s="5" t="str">
        <f aca="false">IF(C606=0,"",IF(A606="GL",IF(G606&gt;0,"Deposit in transit","Outstanding check / payment"),IF(G606&gt;0,"Bank credit not in GL","Bank debit not in GL")))</f>
        <v/>
      </c>
      <c r="I606" s="42" t="str">
        <f aca="false">IF(OR(C606=0,CFG_PeriodEnd=""),"",CFG_PeriodEnd-D606)</f>
        <v/>
      </c>
      <c r="J606" s="5" t="str">
        <f aca="false">IF(C606=0,"",IF($A606="Bank",IF(INDEX(Bank!$G:$G,$C606)="","",INDEX(Bank!$G:$G,$C606)),IF(INDEX(GL!$G:$G,$C606)="","",INDEX(GL!$G:$G,$C606))))</f>
        <v/>
      </c>
      <c r="K606" s="5" t="str">
        <f aca="false">IF(C606=0,"",IF($A606="Bank",IF(INDEX(Bank!$I:$I,$C606)="","",INDEX(Bank!$I:$I,$C606)),IF(INDEX(GL!$I:$I,$C606)="","",INDEX(GL!$I:$I,$C606))))</f>
        <v/>
      </c>
      <c r="L606" s="5" t="str">
        <f aca="false">IF(B606="","",IF(C606=0,"NOT FOUND",IF(IF($A606="Bank",INDEX(Bank!$F:$F,$C606),INDEX(GL!$F:$F,$C606))="Y","NOW RECONCILED: refresh","OK")))</f>
        <v/>
      </c>
    </row>
    <row r="607" customFormat="false" ht="15" hidden="false" customHeight="false" outlineLevel="0" collapsed="false">
      <c r="A607" s="41"/>
      <c r="B607" s="41"/>
      <c r="C607" s="5" t="n">
        <f aca="false">IF(B607="",0,IF(A607="Bank",IFERROR(MATCH(B607,Bank!$A:$A,0),0),IFERROR(MATCH(B607,GL!$A:$A,0),0)))</f>
        <v>0</v>
      </c>
      <c r="D607" s="32" t="str">
        <f aca="false">IF(C607=0,"",IF($A607="Bank",INDEX(Bank!$B:$B,$C607),INDEX(GL!$B:$B,$C607)))</f>
        <v/>
      </c>
      <c r="E607" s="5" t="str">
        <f aca="false">IF(C607=0,"",IF($A607="Bank",IF(INDEX(Bank!$C:$C,$C607)="","",INDEX(Bank!$C:$C,$C607)),IF(INDEX(GL!$C:$C,$C607)="","",INDEX(GL!$C:$C,$C607))))</f>
        <v/>
      </c>
      <c r="F607" s="5" t="str">
        <f aca="false">IF(C607=0,"",IF($A607="Bank",IF(INDEX(Bank!$D:$D,$C607)="","",INDEX(Bank!$D:$D,$C607)),IF(INDEX(GL!$D:$D,$C607)="","",INDEX(GL!$D:$D,$C607))))</f>
        <v/>
      </c>
      <c r="G607" s="19" t="str">
        <f aca="false">IF(C607=0,"",IF($A607="Bank",INDEX(Bank!$E:$E,$C607),INDEX(GL!$E:$E,$C607)))</f>
        <v/>
      </c>
      <c r="H607" s="5" t="str">
        <f aca="false">IF(C607=0,"",IF(A607="GL",IF(G607&gt;0,"Deposit in transit","Outstanding check / payment"),IF(G607&gt;0,"Bank credit not in GL","Bank debit not in GL")))</f>
        <v/>
      </c>
      <c r="I607" s="42" t="str">
        <f aca="false">IF(OR(C607=0,CFG_PeriodEnd=""),"",CFG_PeriodEnd-D607)</f>
        <v/>
      </c>
      <c r="J607" s="5" t="str">
        <f aca="false">IF(C607=0,"",IF($A607="Bank",IF(INDEX(Bank!$G:$G,$C607)="","",INDEX(Bank!$G:$G,$C607)),IF(INDEX(GL!$G:$G,$C607)="","",INDEX(GL!$G:$G,$C607))))</f>
        <v/>
      </c>
      <c r="K607" s="5" t="str">
        <f aca="false">IF(C607=0,"",IF($A607="Bank",IF(INDEX(Bank!$I:$I,$C607)="","",INDEX(Bank!$I:$I,$C607)),IF(INDEX(GL!$I:$I,$C607)="","",INDEX(GL!$I:$I,$C607))))</f>
        <v/>
      </c>
      <c r="L607" s="5" t="str">
        <f aca="false">IF(B607="","",IF(C607=0,"NOT FOUND",IF(IF($A607="Bank",INDEX(Bank!$F:$F,$C607),INDEX(GL!$F:$F,$C607))="Y","NOW RECONCILED: refresh","OK")))</f>
        <v/>
      </c>
    </row>
    <row r="608" customFormat="false" ht="15" hidden="false" customHeight="false" outlineLevel="0" collapsed="false">
      <c r="A608" s="41"/>
      <c r="B608" s="41"/>
      <c r="C608" s="5" t="n">
        <f aca="false">IF(B608="",0,IF(A608="Bank",IFERROR(MATCH(B608,Bank!$A:$A,0),0),IFERROR(MATCH(B608,GL!$A:$A,0),0)))</f>
        <v>0</v>
      </c>
      <c r="D608" s="32" t="str">
        <f aca="false">IF(C608=0,"",IF($A608="Bank",INDEX(Bank!$B:$B,$C608),INDEX(GL!$B:$B,$C608)))</f>
        <v/>
      </c>
      <c r="E608" s="5" t="str">
        <f aca="false">IF(C608=0,"",IF($A608="Bank",IF(INDEX(Bank!$C:$C,$C608)="","",INDEX(Bank!$C:$C,$C608)),IF(INDEX(GL!$C:$C,$C608)="","",INDEX(GL!$C:$C,$C608))))</f>
        <v/>
      </c>
      <c r="F608" s="5" t="str">
        <f aca="false">IF(C608=0,"",IF($A608="Bank",IF(INDEX(Bank!$D:$D,$C608)="","",INDEX(Bank!$D:$D,$C608)),IF(INDEX(GL!$D:$D,$C608)="","",INDEX(GL!$D:$D,$C608))))</f>
        <v/>
      </c>
      <c r="G608" s="19" t="str">
        <f aca="false">IF(C608=0,"",IF($A608="Bank",INDEX(Bank!$E:$E,$C608),INDEX(GL!$E:$E,$C608)))</f>
        <v/>
      </c>
      <c r="H608" s="5" t="str">
        <f aca="false">IF(C608=0,"",IF(A608="GL",IF(G608&gt;0,"Deposit in transit","Outstanding check / payment"),IF(G608&gt;0,"Bank credit not in GL","Bank debit not in GL")))</f>
        <v/>
      </c>
      <c r="I608" s="42" t="str">
        <f aca="false">IF(OR(C608=0,CFG_PeriodEnd=""),"",CFG_PeriodEnd-D608)</f>
        <v/>
      </c>
      <c r="J608" s="5" t="str">
        <f aca="false">IF(C608=0,"",IF($A608="Bank",IF(INDEX(Bank!$G:$G,$C608)="","",INDEX(Bank!$G:$G,$C608)),IF(INDEX(GL!$G:$G,$C608)="","",INDEX(GL!$G:$G,$C608))))</f>
        <v/>
      </c>
      <c r="K608" s="5" t="str">
        <f aca="false">IF(C608=0,"",IF($A608="Bank",IF(INDEX(Bank!$I:$I,$C608)="","",INDEX(Bank!$I:$I,$C608)),IF(INDEX(GL!$I:$I,$C608)="","",INDEX(GL!$I:$I,$C608))))</f>
        <v/>
      </c>
      <c r="L608" s="5" t="str">
        <f aca="false">IF(B608="","",IF(C608=0,"NOT FOUND",IF(IF($A608="Bank",INDEX(Bank!$F:$F,$C608),INDEX(GL!$F:$F,$C608))="Y","NOW RECONCILED: refresh","OK")))</f>
        <v/>
      </c>
    </row>
    <row r="609" customFormat="false" ht="15" hidden="false" customHeight="false" outlineLevel="0" collapsed="false">
      <c r="A609" s="41"/>
      <c r="B609" s="41"/>
      <c r="C609" s="5" t="n">
        <f aca="false">IF(B609="",0,IF(A609="Bank",IFERROR(MATCH(B609,Bank!$A:$A,0),0),IFERROR(MATCH(B609,GL!$A:$A,0),0)))</f>
        <v>0</v>
      </c>
      <c r="D609" s="32" t="str">
        <f aca="false">IF(C609=0,"",IF($A609="Bank",INDEX(Bank!$B:$B,$C609),INDEX(GL!$B:$B,$C609)))</f>
        <v/>
      </c>
      <c r="E609" s="5" t="str">
        <f aca="false">IF(C609=0,"",IF($A609="Bank",IF(INDEX(Bank!$C:$C,$C609)="","",INDEX(Bank!$C:$C,$C609)),IF(INDEX(GL!$C:$C,$C609)="","",INDEX(GL!$C:$C,$C609))))</f>
        <v/>
      </c>
      <c r="F609" s="5" t="str">
        <f aca="false">IF(C609=0,"",IF($A609="Bank",IF(INDEX(Bank!$D:$D,$C609)="","",INDEX(Bank!$D:$D,$C609)),IF(INDEX(GL!$D:$D,$C609)="","",INDEX(GL!$D:$D,$C609))))</f>
        <v/>
      </c>
      <c r="G609" s="19" t="str">
        <f aca="false">IF(C609=0,"",IF($A609="Bank",INDEX(Bank!$E:$E,$C609),INDEX(GL!$E:$E,$C609)))</f>
        <v/>
      </c>
      <c r="H609" s="5" t="str">
        <f aca="false">IF(C609=0,"",IF(A609="GL",IF(G609&gt;0,"Deposit in transit","Outstanding check / payment"),IF(G609&gt;0,"Bank credit not in GL","Bank debit not in GL")))</f>
        <v/>
      </c>
      <c r="I609" s="42" t="str">
        <f aca="false">IF(OR(C609=0,CFG_PeriodEnd=""),"",CFG_PeriodEnd-D609)</f>
        <v/>
      </c>
      <c r="J609" s="5" t="str">
        <f aca="false">IF(C609=0,"",IF($A609="Bank",IF(INDEX(Bank!$G:$G,$C609)="","",INDEX(Bank!$G:$G,$C609)),IF(INDEX(GL!$G:$G,$C609)="","",INDEX(GL!$G:$G,$C609))))</f>
        <v/>
      </c>
      <c r="K609" s="5" t="str">
        <f aca="false">IF(C609=0,"",IF($A609="Bank",IF(INDEX(Bank!$I:$I,$C609)="","",INDEX(Bank!$I:$I,$C609)),IF(INDEX(GL!$I:$I,$C609)="","",INDEX(GL!$I:$I,$C609))))</f>
        <v/>
      </c>
      <c r="L609" s="5" t="str">
        <f aca="false">IF(B609="","",IF(C609=0,"NOT FOUND",IF(IF($A609="Bank",INDEX(Bank!$F:$F,$C609),INDEX(GL!$F:$F,$C609))="Y","NOW RECONCILED: refresh","OK")))</f>
        <v/>
      </c>
    </row>
    <row r="610" customFormat="false" ht="15" hidden="false" customHeight="false" outlineLevel="0" collapsed="false">
      <c r="A610" s="41"/>
      <c r="B610" s="41"/>
      <c r="C610" s="5" t="n">
        <f aca="false">IF(B610="",0,IF(A610="Bank",IFERROR(MATCH(B610,Bank!$A:$A,0),0),IFERROR(MATCH(B610,GL!$A:$A,0),0)))</f>
        <v>0</v>
      </c>
      <c r="D610" s="32" t="str">
        <f aca="false">IF(C610=0,"",IF($A610="Bank",INDEX(Bank!$B:$B,$C610),INDEX(GL!$B:$B,$C610)))</f>
        <v/>
      </c>
      <c r="E610" s="5" t="str">
        <f aca="false">IF(C610=0,"",IF($A610="Bank",IF(INDEX(Bank!$C:$C,$C610)="","",INDEX(Bank!$C:$C,$C610)),IF(INDEX(GL!$C:$C,$C610)="","",INDEX(GL!$C:$C,$C610))))</f>
        <v/>
      </c>
      <c r="F610" s="5" t="str">
        <f aca="false">IF(C610=0,"",IF($A610="Bank",IF(INDEX(Bank!$D:$D,$C610)="","",INDEX(Bank!$D:$D,$C610)),IF(INDEX(GL!$D:$D,$C610)="","",INDEX(GL!$D:$D,$C610))))</f>
        <v/>
      </c>
      <c r="G610" s="19" t="str">
        <f aca="false">IF(C610=0,"",IF($A610="Bank",INDEX(Bank!$E:$E,$C610),INDEX(GL!$E:$E,$C610)))</f>
        <v/>
      </c>
      <c r="H610" s="5" t="str">
        <f aca="false">IF(C610=0,"",IF(A610="GL",IF(G610&gt;0,"Deposit in transit","Outstanding check / payment"),IF(G610&gt;0,"Bank credit not in GL","Bank debit not in GL")))</f>
        <v/>
      </c>
      <c r="I610" s="42" t="str">
        <f aca="false">IF(OR(C610=0,CFG_PeriodEnd=""),"",CFG_PeriodEnd-D610)</f>
        <v/>
      </c>
      <c r="J610" s="5" t="str">
        <f aca="false">IF(C610=0,"",IF($A610="Bank",IF(INDEX(Bank!$G:$G,$C610)="","",INDEX(Bank!$G:$G,$C610)),IF(INDEX(GL!$G:$G,$C610)="","",INDEX(GL!$G:$G,$C610))))</f>
        <v/>
      </c>
      <c r="K610" s="5" t="str">
        <f aca="false">IF(C610=0,"",IF($A610="Bank",IF(INDEX(Bank!$I:$I,$C610)="","",INDEX(Bank!$I:$I,$C610)),IF(INDEX(GL!$I:$I,$C610)="","",INDEX(GL!$I:$I,$C610))))</f>
        <v/>
      </c>
      <c r="L610" s="5" t="str">
        <f aca="false">IF(B610="","",IF(C610=0,"NOT FOUND",IF(IF($A610="Bank",INDEX(Bank!$F:$F,$C610),INDEX(GL!$F:$F,$C610))="Y","NOW RECONCILED: refresh","OK")))</f>
        <v/>
      </c>
    </row>
    <row r="611" customFormat="false" ht="15" hidden="false" customHeight="false" outlineLevel="0" collapsed="false">
      <c r="A611" s="41"/>
      <c r="B611" s="41"/>
      <c r="C611" s="5" t="n">
        <f aca="false">IF(B611="",0,IF(A611="Bank",IFERROR(MATCH(B611,Bank!$A:$A,0),0),IFERROR(MATCH(B611,GL!$A:$A,0),0)))</f>
        <v>0</v>
      </c>
      <c r="D611" s="32" t="str">
        <f aca="false">IF(C611=0,"",IF($A611="Bank",INDEX(Bank!$B:$B,$C611),INDEX(GL!$B:$B,$C611)))</f>
        <v/>
      </c>
      <c r="E611" s="5" t="str">
        <f aca="false">IF(C611=0,"",IF($A611="Bank",IF(INDEX(Bank!$C:$C,$C611)="","",INDEX(Bank!$C:$C,$C611)),IF(INDEX(GL!$C:$C,$C611)="","",INDEX(GL!$C:$C,$C611))))</f>
        <v/>
      </c>
      <c r="F611" s="5" t="str">
        <f aca="false">IF(C611=0,"",IF($A611="Bank",IF(INDEX(Bank!$D:$D,$C611)="","",INDEX(Bank!$D:$D,$C611)),IF(INDEX(GL!$D:$D,$C611)="","",INDEX(GL!$D:$D,$C611))))</f>
        <v/>
      </c>
      <c r="G611" s="19" t="str">
        <f aca="false">IF(C611=0,"",IF($A611="Bank",INDEX(Bank!$E:$E,$C611),INDEX(GL!$E:$E,$C611)))</f>
        <v/>
      </c>
      <c r="H611" s="5" t="str">
        <f aca="false">IF(C611=0,"",IF(A611="GL",IF(G611&gt;0,"Deposit in transit","Outstanding check / payment"),IF(G611&gt;0,"Bank credit not in GL","Bank debit not in GL")))</f>
        <v/>
      </c>
      <c r="I611" s="42" t="str">
        <f aca="false">IF(OR(C611=0,CFG_PeriodEnd=""),"",CFG_PeriodEnd-D611)</f>
        <v/>
      </c>
      <c r="J611" s="5" t="str">
        <f aca="false">IF(C611=0,"",IF($A611="Bank",IF(INDEX(Bank!$G:$G,$C611)="","",INDEX(Bank!$G:$G,$C611)),IF(INDEX(GL!$G:$G,$C611)="","",INDEX(GL!$G:$G,$C611))))</f>
        <v/>
      </c>
      <c r="K611" s="5" t="str">
        <f aca="false">IF(C611=0,"",IF($A611="Bank",IF(INDEX(Bank!$I:$I,$C611)="","",INDEX(Bank!$I:$I,$C611)),IF(INDEX(GL!$I:$I,$C611)="","",INDEX(GL!$I:$I,$C611))))</f>
        <v/>
      </c>
      <c r="L611" s="5" t="str">
        <f aca="false">IF(B611="","",IF(C611=0,"NOT FOUND",IF(IF($A611="Bank",INDEX(Bank!$F:$F,$C611),INDEX(GL!$F:$F,$C611))="Y","NOW RECONCILED: refresh","OK")))</f>
        <v/>
      </c>
    </row>
    <row r="612" customFormat="false" ht="15" hidden="false" customHeight="false" outlineLevel="0" collapsed="false">
      <c r="A612" s="41"/>
      <c r="B612" s="41"/>
      <c r="C612" s="5" t="n">
        <f aca="false">IF(B612="",0,IF(A612="Bank",IFERROR(MATCH(B612,Bank!$A:$A,0),0),IFERROR(MATCH(B612,GL!$A:$A,0),0)))</f>
        <v>0</v>
      </c>
      <c r="D612" s="32" t="str">
        <f aca="false">IF(C612=0,"",IF($A612="Bank",INDEX(Bank!$B:$B,$C612),INDEX(GL!$B:$B,$C612)))</f>
        <v/>
      </c>
      <c r="E612" s="5" t="str">
        <f aca="false">IF(C612=0,"",IF($A612="Bank",IF(INDEX(Bank!$C:$C,$C612)="","",INDEX(Bank!$C:$C,$C612)),IF(INDEX(GL!$C:$C,$C612)="","",INDEX(GL!$C:$C,$C612))))</f>
        <v/>
      </c>
      <c r="F612" s="5" t="str">
        <f aca="false">IF(C612=0,"",IF($A612="Bank",IF(INDEX(Bank!$D:$D,$C612)="","",INDEX(Bank!$D:$D,$C612)),IF(INDEX(GL!$D:$D,$C612)="","",INDEX(GL!$D:$D,$C612))))</f>
        <v/>
      </c>
      <c r="G612" s="19" t="str">
        <f aca="false">IF(C612=0,"",IF($A612="Bank",INDEX(Bank!$E:$E,$C612),INDEX(GL!$E:$E,$C612)))</f>
        <v/>
      </c>
      <c r="H612" s="5" t="str">
        <f aca="false">IF(C612=0,"",IF(A612="GL",IF(G612&gt;0,"Deposit in transit","Outstanding check / payment"),IF(G612&gt;0,"Bank credit not in GL","Bank debit not in GL")))</f>
        <v/>
      </c>
      <c r="I612" s="42" t="str">
        <f aca="false">IF(OR(C612=0,CFG_PeriodEnd=""),"",CFG_PeriodEnd-D612)</f>
        <v/>
      </c>
      <c r="J612" s="5" t="str">
        <f aca="false">IF(C612=0,"",IF($A612="Bank",IF(INDEX(Bank!$G:$G,$C612)="","",INDEX(Bank!$G:$G,$C612)),IF(INDEX(GL!$G:$G,$C612)="","",INDEX(GL!$G:$G,$C612))))</f>
        <v/>
      </c>
      <c r="K612" s="5" t="str">
        <f aca="false">IF(C612=0,"",IF($A612="Bank",IF(INDEX(Bank!$I:$I,$C612)="","",INDEX(Bank!$I:$I,$C612)),IF(INDEX(GL!$I:$I,$C612)="","",INDEX(GL!$I:$I,$C612))))</f>
        <v/>
      </c>
      <c r="L612" s="5" t="str">
        <f aca="false">IF(B612="","",IF(C612=0,"NOT FOUND",IF(IF($A612="Bank",INDEX(Bank!$F:$F,$C612),INDEX(GL!$F:$F,$C612))="Y","NOW RECONCILED: refresh","OK")))</f>
        <v/>
      </c>
    </row>
    <row r="613" customFormat="false" ht="15" hidden="false" customHeight="false" outlineLevel="0" collapsed="false">
      <c r="A613" s="41"/>
      <c r="B613" s="41"/>
      <c r="C613" s="5" t="n">
        <f aca="false">IF(B613="",0,IF(A613="Bank",IFERROR(MATCH(B613,Bank!$A:$A,0),0),IFERROR(MATCH(B613,GL!$A:$A,0),0)))</f>
        <v>0</v>
      </c>
      <c r="D613" s="32" t="str">
        <f aca="false">IF(C613=0,"",IF($A613="Bank",INDEX(Bank!$B:$B,$C613),INDEX(GL!$B:$B,$C613)))</f>
        <v/>
      </c>
      <c r="E613" s="5" t="str">
        <f aca="false">IF(C613=0,"",IF($A613="Bank",IF(INDEX(Bank!$C:$C,$C613)="","",INDEX(Bank!$C:$C,$C613)),IF(INDEX(GL!$C:$C,$C613)="","",INDEX(GL!$C:$C,$C613))))</f>
        <v/>
      </c>
      <c r="F613" s="5" t="str">
        <f aca="false">IF(C613=0,"",IF($A613="Bank",IF(INDEX(Bank!$D:$D,$C613)="","",INDEX(Bank!$D:$D,$C613)),IF(INDEX(GL!$D:$D,$C613)="","",INDEX(GL!$D:$D,$C613))))</f>
        <v/>
      </c>
      <c r="G613" s="19" t="str">
        <f aca="false">IF(C613=0,"",IF($A613="Bank",INDEX(Bank!$E:$E,$C613),INDEX(GL!$E:$E,$C613)))</f>
        <v/>
      </c>
      <c r="H613" s="5" t="str">
        <f aca="false">IF(C613=0,"",IF(A613="GL",IF(G613&gt;0,"Deposit in transit","Outstanding check / payment"),IF(G613&gt;0,"Bank credit not in GL","Bank debit not in GL")))</f>
        <v/>
      </c>
      <c r="I613" s="42" t="str">
        <f aca="false">IF(OR(C613=0,CFG_PeriodEnd=""),"",CFG_PeriodEnd-D613)</f>
        <v/>
      </c>
      <c r="J613" s="5" t="str">
        <f aca="false">IF(C613=0,"",IF($A613="Bank",IF(INDEX(Bank!$G:$G,$C613)="","",INDEX(Bank!$G:$G,$C613)),IF(INDEX(GL!$G:$G,$C613)="","",INDEX(GL!$G:$G,$C613))))</f>
        <v/>
      </c>
      <c r="K613" s="5" t="str">
        <f aca="false">IF(C613=0,"",IF($A613="Bank",IF(INDEX(Bank!$I:$I,$C613)="","",INDEX(Bank!$I:$I,$C613)),IF(INDEX(GL!$I:$I,$C613)="","",INDEX(GL!$I:$I,$C613))))</f>
        <v/>
      </c>
      <c r="L613" s="5" t="str">
        <f aca="false">IF(B613="","",IF(C613=0,"NOT FOUND",IF(IF($A613="Bank",INDEX(Bank!$F:$F,$C613),INDEX(GL!$F:$F,$C613))="Y","NOW RECONCILED: refresh","OK")))</f>
        <v/>
      </c>
    </row>
    <row r="614" customFormat="false" ht="15" hidden="false" customHeight="false" outlineLevel="0" collapsed="false">
      <c r="A614" s="41"/>
      <c r="B614" s="41"/>
      <c r="C614" s="5" t="n">
        <f aca="false">IF(B614="",0,IF(A614="Bank",IFERROR(MATCH(B614,Bank!$A:$A,0),0),IFERROR(MATCH(B614,GL!$A:$A,0),0)))</f>
        <v>0</v>
      </c>
      <c r="D614" s="32" t="str">
        <f aca="false">IF(C614=0,"",IF($A614="Bank",INDEX(Bank!$B:$B,$C614),INDEX(GL!$B:$B,$C614)))</f>
        <v/>
      </c>
      <c r="E614" s="5" t="str">
        <f aca="false">IF(C614=0,"",IF($A614="Bank",IF(INDEX(Bank!$C:$C,$C614)="","",INDEX(Bank!$C:$C,$C614)),IF(INDEX(GL!$C:$C,$C614)="","",INDEX(GL!$C:$C,$C614))))</f>
        <v/>
      </c>
      <c r="F614" s="5" t="str">
        <f aca="false">IF(C614=0,"",IF($A614="Bank",IF(INDEX(Bank!$D:$D,$C614)="","",INDEX(Bank!$D:$D,$C614)),IF(INDEX(GL!$D:$D,$C614)="","",INDEX(GL!$D:$D,$C614))))</f>
        <v/>
      </c>
      <c r="G614" s="19" t="str">
        <f aca="false">IF(C614=0,"",IF($A614="Bank",INDEX(Bank!$E:$E,$C614),INDEX(GL!$E:$E,$C614)))</f>
        <v/>
      </c>
      <c r="H614" s="5" t="str">
        <f aca="false">IF(C614=0,"",IF(A614="GL",IF(G614&gt;0,"Deposit in transit","Outstanding check / payment"),IF(G614&gt;0,"Bank credit not in GL","Bank debit not in GL")))</f>
        <v/>
      </c>
      <c r="I614" s="42" t="str">
        <f aca="false">IF(OR(C614=0,CFG_PeriodEnd=""),"",CFG_PeriodEnd-D614)</f>
        <v/>
      </c>
      <c r="J614" s="5" t="str">
        <f aca="false">IF(C614=0,"",IF($A614="Bank",IF(INDEX(Bank!$G:$G,$C614)="","",INDEX(Bank!$G:$G,$C614)),IF(INDEX(GL!$G:$G,$C614)="","",INDEX(GL!$G:$G,$C614))))</f>
        <v/>
      </c>
      <c r="K614" s="5" t="str">
        <f aca="false">IF(C614=0,"",IF($A614="Bank",IF(INDEX(Bank!$I:$I,$C614)="","",INDEX(Bank!$I:$I,$C614)),IF(INDEX(GL!$I:$I,$C614)="","",INDEX(GL!$I:$I,$C614))))</f>
        <v/>
      </c>
      <c r="L614" s="5" t="str">
        <f aca="false">IF(B614="","",IF(C614=0,"NOT FOUND",IF(IF($A614="Bank",INDEX(Bank!$F:$F,$C614),INDEX(GL!$F:$F,$C614))="Y","NOW RECONCILED: refresh","OK")))</f>
        <v/>
      </c>
    </row>
    <row r="615" customFormat="false" ht="15" hidden="false" customHeight="false" outlineLevel="0" collapsed="false">
      <c r="A615" s="41"/>
      <c r="B615" s="41"/>
      <c r="C615" s="5" t="n">
        <f aca="false">IF(B615="",0,IF(A615="Bank",IFERROR(MATCH(B615,Bank!$A:$A,0),0),IFERROR(MATCH(B615,GL!$A:$A,0),0)))</f>
        <v>0</v>
      </c>
      <c r="D615" s="32" t="str">
        <f aca="false">IF(C615=0,"",IF($A615="Bank",INDEX(Bank!$B:$B,$C615),INDEX(GL!$B:$B,$C615)))</f>
        <v/>
      </c>
      <c r="E615" s="5" t="str">
        <f aca="false">IF(C615=0,"",IF($A615="Bank",IF(INDEX(Bank!$C:$C,$C615)="","",INDEX(Bank!$C:$C,$C615)),IF(INDEX(GL!$C:$C,$C615)="","",INDEX(GL!$C:$C,$C615))))</f>
        <v/>
      </c>
      <c r="F615" s="5" t="str">
        <f aca="false">IF(C615=0,"",IF($A615="Bank",IF(INDEX(Bank!$D:$D,$C615)="","",INDEX(Bank!$D:$D,$C615)),IF(INDEX(GL!$D:$D,$C615)="","",INDEX(GL!$D:$D,$C615))))</f>
        <v/>
      </c>
      <c r="G615" s="19" t="str">
        <f aca="false">IF(C615=0,"",IF($A615="Bank",INDEX(Bank!$E:$E,$C615),INDEX(GL!$E:$E,$C615)))</f>
        <v/>
      </c>
      <c r="H615" s="5" t="str">
        <f aca="false">IF(C615=0,"",IF(A615="GL",IF(G615&gt;0,"Deposit in transit","Outstanding check / payment"),IF(G615&gt;0,"Bank credit not in GL","Bank debit not in GL")))</f>
        <v/>
      </c>
      <c r="I615" s="42" t="str">
        <f aca="false">IF(OR(C615=0,CFG_PeriodEnd=""),"",CFG_PeriodEnd-D615)</f>
        <v/>
      </c>
      <c r="J615" s="5" t="str">
        <f aca="false">IF(C615=0,"",IF($A615="Bank",IF(INDEX(Bank!$G:$G,$C615)="","",INDEX(Bank!$G:$G,$C615)),IF(INDEX(GL!$G:$G,$C615)="","",INDEX(GL!$G:$G,$C615))))</f>
        <v/>
      </c>
      <c r="K615" s="5" t="str">
        <f aca="false">IF(C615=0,"",IF($A615="Bank",IF(INDEX(Bank!$I:$I,$C615)="","",INDEX(Bank!$I:$I,$C615)),IF(INDEX(GL!$I:$I,$C615)="","",INDEX(GL!$I:$I,$C615))))</f>
        <v/>
      </c>
      <c r="L615" s="5" t="str">
        <f aca="false">IF(B615="","",IF(C615=0,"NOT FOUND",IF(IF($A615="Bank",INDEX(Bank!$F:$F,$C615),INDEX(GL!$F:$F,$C615))="Y","NOW RECONCILED: refresh","OK")))</f>
        <v/>
      </c>
    </row>
    <row r="616" customFormat="false" ht="15" hidden="false" customHeight="false" outlineLevel="0" collapsed="false">
      <c r="A616" s="41"/>
      <c r="B616" s="41"/>
      <c r="C616" s="5" t="n">
        <f aca="false">IF(B616="",0,IF(A616="Bank",IFERROR(MATCH(B616,Bank!$A:$A,0),0),IFERROR(MATCH(B616,GL!$A:$A,0),0)))</f>
        <v>0</v>
      </c>
      <c r="D616" s="32" t="str">
        <f aca="false">IF(C616=0,"",IF($A616="Bank",INDEX(Bank!$B:$B,$C616),INDEX(GL!$B:$B,$C616)))</f>
        <v/>
      </c>
      <c r="E616" s="5" t="str">
        <f aca="false">IF(C616=0,"",IF($A616="Bank",IF(INDEX(Bank!$C:$C,$C616)="","",INDEX(Bank!$C:$C,$C616)),IF(INDEX(GL!$C:$C,$C616)="","",INDEX(GL!$C:$C,$C616))))</f>
        <v/>
      </c>
      <c r="F616" s="5" t="str">
        <f aca="false">IF(C616=0,"",IF($A616="Bank",IF(INDEX(Bank!$D:$D,$C616)="","",INDEX(Bank!$D:$D,$C616)),IF(INDEX(GL!$D:$D,$C616)="","",INDEX(GL!$D:$D,$C616))))</f>
        <v/>
      </c>
      <c r="G616" s="19" t="str">
        <f aca="false">IF(C616=0,"",IF($A616="Bank",INDEX(Bank!$E:$E,$C616),INDEX(GL!$E:$E,$C616)))</f>
        <v/>
      </c>
      <c r="H616" s="5" t="str">
        <f aca="false">IF(C616=0,"",IF(A616="GL",IF(G616&gt;0,"Deposit in transit","Outstanding check / payment"),IF(G616&gt;0,"Bank credit not in GL","Bank debit not in GL")))</f>
        <v/>
      </c>
      <c r="I616" s="42" t="str">
        <f aca="false">IF(OR(C616=0,CFG_PeriodEnd=""),"",CFG_PeriodEnd-D616)</f>
        <v/>
      </c>
      <c r="J616" s="5" t="str">
        <f aca="false">IF(C616=0,"",IF($A616="Bank",IF(INDEX(Bank!$G:$G,$C616)="","",INDEX(Bank!$G:$G,$C616)),IF(INDEX(GL!$G:$G,$C616)="","",INDEX(GL!$G:$G,$C616))))</f>
        <v/>
      </c>
      <c r="K616" s="5" t="str">
        <f aca="false">IF(C616=0,"",IF($A616="Bank",IF(INDEX(Bank!$I:$I,$C616)="","",INDEX(Bank!$I:$I,$C616)),IF(INDEX(GL!$I:$I,$C616)="","",INDEX(GL!$I:$I,$C616))))</f>
        <v/>
      </c>
      <c r="L616" s="5" t="str">
        <f aca="false">IF(B616="","",IF(C616=0,"NOT FOUND",IF(IF($A616="Bank",INDEX(Bank!$F:$F,$C616),INDEX(GL!$F:$F,$C616))="Y","NOW RECONCILED: refresh","OK")))</f>
        <v/>
      </c>
    </row>
    <row r="617" customFormat="false" ht="15" hidden="false" customHeight="false" outlineLevel="0" collapsed="false">
      <c r="A617" s="41"/>
      <c r="B617" s="41"/>
      <c r="C617" s="5" t="n">
        <f aca="false">IF(B617="",0,IF(A617="Bank",IFERROR(MATCH(B617,Bank!$A:$A,0),0),IFERROR(MATCH(B617,GL!$A:$A,0),0)))</f>
        <v>0</v>
      </c>
      <c r="D617" s="32" t="str">
        <f aca="false">IF(C617=0,"",IF($A617="Bank",INDEX(Bank!$B:$B,$C617),INDEX(GL!$B:$B,$C617)))</f>
        <v/>
      </c>
      <c r="E617" s="5" t="str">
        <f aca="false">IF(C617=0,"",IF($A617="Bank",IF(INDEX(Bank!$C:$C,$C617)="","",INDEX(Bank!$C:$C,$C617)),IF(INDEX(GL!$C:$C,$C617)="","",INDEX(GL!$C:$C,$C617))))</f>
        <v/>
      </c>
      <c r="F617" s="5" t="str">
        <f aca="false">IF(C617=0,"",IF($A617="Bank",IF(INDEX(Bank!$D:$D,$C617)="","",INDEX(Bank!$D:$D,$C617)),IF(INDEX(GL!$D:$D,$C617)="","",INDEX(GL!$D:$D,$C617))))</f>
        <v/>
      </c>
      <c r="G617" s="19" t="str">
        <f aca="false">IF(C617=0,"",IF($A617="Bank",INDEX(Bank!$E:$E,$C617),INDEX(GL!$E:$E,$C617)))</f>
        <v/>
      </c>
      <c r="H617" s="5" t="str">
        <f aca="false">IF(C617=0,"",IF(A617="GL",IF(G617&gt;0,"Deposit in transit","Outstanding check / payment"),IF(G617&gt;0,"Bank credit not in GL","Bank debit not in GL")))</f>
        <v/>
      </c>
      <c r="I617" s="42" t="str">
        <f aca="false">IF(OR(C617=0,CFG_PeriodEnd=""),"",CFG_PeriodEnd-D617)</f>
        <v/>
      </c>
      <c r="J617" s="5" t="str">
        <f aca="false">IF(C617=0,"",IF($A617="Bank",IF(INDEX(Bank!$G:$G,$C617)="","",INDEX(Bank!$G:$G,$C617)),IF(INDEX(GL!$G:$G,$C617)="","",INDEX(GL!$G:$G,$C617))))</f>
        <v/>
      </c>
      <c r="K617" s="5" t="str">
        <f aca="false">IF(C617=0,"",IF($A617="Bank",IF(INDEX(Bank!$I:$I,$C617)="","",INDEX(Bank!$I:$I,$C617)),IF(INDEX(GL!$I:$I,$C617)="","",INDEX(GL!$I:$I,$C617))))</f>
        <v/>
      </c>
      <c r="L617" s="5" t="str">
        <f aca="false">IF(B617="","",IF(C617=0,"NOT FOUND",IF(IF($A617="Bank",INDEX(Bank!$F:$F,$C617),INDEX(GL!$F:$F,$C617))="Y","NOW RECONCILED: refresh","OK")))</f>
        <v/>
      </c>
    </row>
    <row r="618" customFormat="false" ht="15" hidden="false" customHeight="false" outlineLevel="0" collapsed="false">
      <c r="A618" s="41"/>
      <c r="B618" s="41"/>
      <c r="C618" s="5" t="n">
        <f aca="false">IF(B618="",0,IF(A618="Bank",IFERROR(MATCH(B618,Bank!$A:$A,0),0),IFERROR(MATCH(B618,GL!$A:$A,0),0)))</f>
        <v>0</v>
      </c>
      <c r="D618" s="32" t="str">
        <f aca="false">IF(C618=0,"",IF($A618="Bank",INDEX(Bank!$B:$B,$C618),INDEX(GL!$B:$B,$C618)))</f>
        <v/>
      </c>
      <c r="E618" s="5" t="str">
        <f aca="false">IF(C618=0,"",IF($A618="Bank",IF(INDEX(Bank!$C:$C,$C618)="","",INDEX(Bank!$C:$C,$C618)),IF(INDEX(GL!$C:$C,$C618)="","",INDEX(GL!$C:$C,$C618))))</f>
        <v/>
      </c>
      <c r="F618" s="5" t="str">
        <f aca="false">IF(C618=0,"",IF($A618="Bank",IF(INDEX(Bank!$D:$D,$C618)="","",INDEX(Bank!$D:$D,$C618)),IF(INDEX(GL!$D:$D,$C618)="","",INDEX(GL!$D:$D,$C618))))</f>
        <v/>
      </c>
      <c r="G618" s="19" t="str">
        <f aca="false">IF(C618=0,"",IF($A618="Bank",INDEX(Bank!$E:$E,$C618),INDEX(GL!$E:$E,$C618)))</f>
        <v/>
      </c>
      <c r="H618" s="5" t="str">
        <f aca="false">IF(C618=0,"",IF(A618="GL",IF(G618&gt;0,"Deposit in transit","Outstanding check / payment"),IF(G618&gt;0,"Bank credit not in GL","Bank debit not in GL")))</f>
        <v/>
      </c>
      <c r="I618" s="42" t="str">
        <f aca="false">IF(OR(C618=0,CFG_PeriodEnd=""),"",CFG_PeriodEnd-D618)</f>
        <v/>
      </c>
      <c r="J618" s="5" t="str">
        <f aca="false">IF(C618=0,"",IF($A618="Bank",IF(INDEX(Bank!$G:$G,$C618)="","",INDEX(Bank!$G:$G,$C618)),IF(INDEX(GL!$G:$G,$C618)="","",INDEX(GL!$G:$G,$C618))))</f>
        <v/>
      </c>
      <c r="K618" s="5" t="str">
        <f aca="false">IF(C618=0,"",IF($A618="Bank",IF(INDEX(Bank!$I:$I,$C618)="","",INDEX(Bank!$I:$I,$C618)),IF(INDEX(GL!$I:$I,$C618)="","",INDEX(GL!$I:$I,$C618))))</f>
        <v/>
      </c>
      <c r="L618" s="5" t="str">
        <f aca="false">IF(B618="","",IF(C618=0,"NOT FOUND",IF(IF($A618="Bank",INDEX(Bank!$F:$F,$C618),INDEX(GL!$F:$F,$C618))="Y","NOW RECONCILED: refresh","OK")))</f>
        <v/>
      </c>
    </row>
    <row r="619" customFormat="false" ht="15" hidden="false" customHeight="false" outlineLevel="0" collapsed="false">
      <c r="A619" s="41"/>
      <c r="B619" s="41"/>
      <c r="C619" s="5" t="n">
        <f aca="false">IF(B619="",0,IF(A619="Bank",IFERROR(MATCH(B619,Bank!$A:$A,0),0),IFERROR(MATCH(B619,GL!$A:$A,0),0)))</f>
        <v>0</v>
      </c>
      <c r="D619" s="32" t="str">
        <f aca="false">IF(C619=0,"",IF($A619="Bank",INDEX(Bank!$B:$B,$C619),INDEX(GL!$B:$B,$C619)))</f>
        <v/>
      </c>
      <c r="E619" s="5" t="str">
        <f aca="false">IF(C619=0,"",IF($A619="Bank",IF(INDEX(Bank!$C:$C,$C619)="","",INDEX(Bank!$C:$C,$C619)),IF(INDEX(GL!$C:$C,$C619)="","",INDEX(GL!$C:$C,$C619))))</f>
        <v/>
      </c>
      <c r="F619" s="5" t="str">
        <f aca="false">IF(C619=0,"",IF($A619="Bank",IF(INDEX(Bank!$D:$D,$C619)="","",INDEX(Bank!$D:$D,$C619)),IF(INDEX(GL!$D:$D,$C619)="","",INDEX(GL!$D:$D,$C619))))</f>
        <v/>
      </c>
      <c r="G619" s="19" t="str">
        <f aca="false">IF(C619=0,"",IF($A619="Bank",INDEX(Bank!$E:$E,$C619),INDEX(GL!$E:$E,$C619)))</f>
        <v/>
      </c>
      <c r="H619" s="5" t="str">
        <f aca="false">IF(C619=0,"",IF(A619="GL",IF(G619&gt;0,"Deposit in transit","Outstanding check / payment"),IF(G619&gt;0,"Bank credit not in GL","Bank debit not in GL")))</f>
        <v/>
      </c>
      <c r="I619" s="42" t="str">
        <f aca="false">IF(OR(C619=0,CFG_PeriodEnd=""),"",CFG_PeriodEnd-D619)</f>
        <v/>
      </c>
      <c r="J619" s="5" t="str">
        <f aca="false">IF(C619=0,"",IF($A619="Bank",IF(INDEX(Bank!$G:$G,$C619)="","",INDEX(Bank!$G:$G,$C619)),IF(INDEX(GL!$G:$G,$C619)="","",INDEX(GL!$G:$G,$C619))))</f>
        <v/>
      </c>
      <c r="K619" s="5" t="str">
        <f aca="false">IF(C619=0,"",IF($A619="Bank",IF(INDEX(Bank!$I:$I,$C619)="","",INDEX(Bank!$I:$I,$C619)),IF(INDEX(GL!$I:$I,$C619)="","",INDEX(GL!$I:$I,$C619))))</f>
        <v/>
      </c>
      <c r="L619" s="5" t="str">
        <f aca="false">IF(B619="","",IF(C619=0,"NOT FOUND",IF(IF($A619="Bank",INDEX(Bank!$F:$F,$C619),INDEX(GL!$F:$F,$C619))="Y","NOW RECONCILED: refresh","OK")))</f>
        <v/>
      </c>
    </row>
    <row r="620" customFormat="false" ht="15" hidden="false" customHeight="false" outlineLevel="0" collapsed="false">
      <c r="A620" s="41"/>
      <c r="B620" s="41"/>
      <c r="C620" s="5" t="n">
        <f aca="false">IF(B620="",0,IF(A620="Bank",IFERROR(MATCH(B620,Bank!$A:$A,0),0),IFERROR(MATCH(B620,GL!$A:$A,0),0)))</f>
        <v>0</v>
      </c>
      <c r="D620" s="32" t="str">
        <f aca="false">IF(C620=0,"",IF($A620="Bank",INDEX(Bank!$B:$B,$C620),INDEX(GL!$B:$B,$C620)))</f>
        <v/>
      </c>
      <c r="E620" s="5" t="str">
        <f aca="false">IF(C620=0,"",IF($A620="Bank",IF(INDEX(Bank!$C:$C,$C620)="","",INDEX(Bank!$C:$C,$C620)),IF(INDEX(GL!$C:$C,$C620)="","",INDEX(GL!$C:$C,$C620))))</f>
        <v/>
      </c>
      <c r="F620" s="5" t="str">
        <f aca="false">IF(C620=0,"",IF($A620="Bank",IF(INDEX(Bank!$D:$D,$C620)="","",INDEX(Bank!$D:$D,$C620)),IF(INDEX(GL!$D:$D,$C620)="","",INDEX(GL!$D:$D,$C620))))</f>
        <v/>
      </c>
      <c r="G620" s="19" t="str">
        <f aca="false">IF(C620=0,"",IF($A620="Bank",INDEX(Bank!$E:$E,$C620),INDEX(GL!$E:$E,$C620)))</f>
        <v/>
      </c>
      <c r="H620" s="5" t="str">
        <f aca="false">IF(C620=0,"",IF(A620="GL",IF(G620&gt;0,"Deposit in transit","Outstanding check / payment"),IF(G620&gt;0,"Bank credit not in GL","Bank debit not in GL")))</f>
        <v/>
      </c>
      <c r="I620" s="42" t="str">
        <f aca="false">IF(OR(C620=0,CFG_PeriodEnd=""),"",CFG_PeriodEnd-D620)</f>
        <v/>
      </c>
      <c r="J620" s="5" t="str">
        <f aca="false">IF(C620=0,"",IF($A620="Bank",IF(INDEX(Bank!$G:$G,$C620)="","",INDEX(Bank!$G:$G,$C620)),IF(INDEX(GL!$G:$G,$C620)="","",INDEX(GL!$G:$G,$C620))))</f>
        <v/>
      </c>
      <c r="K620" s="5" t="str">
        <f aca="false">IF(C620=0,"",IF($A620="Bank",IF(INDEX(Bank!$I:$I,$C620)="","",INDEX(Bank!$I:$I,$C620)),IF(INDEX(GL!$I:$I,$C620)="","",INDEX(GL!$I:$I,$C620))))</f>
        <v/>
      </c>
      <c r="L620" s="5" t="str">
        <f aca="false">IF(B620="","",IF(C620=0,"NOT FOUND",IF(IF($A620="Bank",INDEX(Bank!$F:$F,$C620),INDEX(GL!$F:$F,$C620))="Y","NOW RECONCILED: refresh","OK")))</f>
        <v/>
      </c>
    </row>
    <row r="621" customFormat="false" ht="15" hidden="false" customHeight="false" outlineLevel="0" collapsed="false">
      <c r="A621" s="41"/>
      <c r="B621" s="41"/>
      <c r="C621" s="5" t="n">
        <f aca="false">IF(B621="",0,IF(A621="Bank",IFERROR(MATCH(B621,Bank!$A:$A,0),0),IFERROR(MATCH(B621,GL!$A:$A,0),0)))</f>
        <v>0</v>
      </c>
      <c r="D621" s="32" t="str">
        <f aca="false">IF(C621=0,"",IF($A621="Bank",INDEX(Bank!$B:$B,$C621),INDEX(GL!$B:$B,$C621)))</f>
        <v/>
      </c>
      <c r="E621" s="5" t="str">
        <f aca="false">IF(C621=0,"",IF($A621="Bank",IF(INDEX(Bank!$C:$C,$C621)="","",INDEX(Bank!$C:$C,$C621)),IF(INDEX(GL!$C:$C,$C621)="","",INDEX(GL!$C:$C,$C621))))</f>
        <v/>
      </c>
      <c r="F621" s="5" t="str">
        <f aca="false">IF(C621=0,"",IF($A621="Bank",IF(INDEX(Bank!$D:$D,$C621)="","",INDEX(Bank!$D:$D,$C621)),IF(INDEX(GL!$D:$D,$C621)="","",INDEX(GL!$D:$D,$C621))))</f>
        <v/>
      </c>
      <c r="G621" s="19" t="str">
        <f aca="false">IF(C621=0,"",IF($A621="Bank",INDEX(Bank!$E:$E,$C621),INDEX(GL!$E:$E,$C621)))</f>
        <v/>
      </c>
      <c r="H621" s="5" t="str">
        <f aca="false">IF(C621=0,"",IF(A621="GL",IF(G621&gt;0,"Deposit in transit","Outstanding check / payment"),IF(G621&gt;0,"Bank credit not in GL","Bank debit not in GL")))</f>
        <v/>
      </c>
      <c r="I621" s="42" t="str">
        <f aca="false">IF(OR(C621=0,CFG_PeriodEnd=""),"",CFG_PeriodEnd-D621)</f>
        <v/>
      </c>
      <c r="J621" s="5" t="str">
        <f aca="false">IF(C621=0,"",IF($A621="Bank",IF(INDEX(Bank!$G:$G,$C621)="","",INDEX(Bank!$G:$G,$C621)),IF(INDEX(GL!$G:$G,$C621)="","",INDEX(GL!$G:$G,$C621))))</f>
        <v/>
      </c>
      <c r="K621" s="5" t="str">
        <f aca="false">IF(C621=0,"",IF($A621="Bank",IF(INDEX(Bank!$I:$I,$C621)="","",INDEX(Bank!$I:$I,$C621)),IF(INDEX(GL!$I:$I,$C621)="","",INDEX(GL!$I:$I,$C621))))</f>
        <v/>
      </c>
      <c r="L621" s="5" t="str">
        <f aca="false">IF(B621="","",IF(C621=0,"NOT FOUND",IF(IF($A621="Bank",INDEX(Bank!$F:$F,$C621),INDEX(GL!$F:$F,$C621))="Y","NOW RECONCILED: refresh","OK")))</f>
        <v/>
      </c>
    </row>
    <row r="622" customFormat="false" ht="15" hidden="false" customHeight="false" outlineLevel="0" collapsed="false">
      <c r="A622" s="41"/>
      <c r="B622" s="41"/>
      <c r="C622" s="5" t="n">
        <f aca="false">IF(B622="",0,IF(A622="Bank",IFERROR(MATCH(B622,Bank!$A:$A,0),0),IFERROR(MATCH(B622,GL!$A:$A,0),0)))</f>
        <v>0</v>
      </c>
      <c r="D622" s="32" t="str">
        <f aca="false">IF(C622=0,"",IF($A622="Bank",INDEX(Bank!$B:$B,$C622),INDEX(GL!$B:$B,$C622)))</f>
        <v/>
      </c>
      <c r="E622" s="5" t="str">
        <f aca="false">IF(C622=0,"",IF($A622="Bank",IF(INDEX(Bank!$C:$C,$C622)="","",INDEX(Bank!$C:$C,$C622)),IF(INDEX(GL!$C:$C,$C622)="","",INDEX(GL!$C:$C,$C622))))</f>
        <v/>
      </c>
      <c r="F622" s="5" t="str">
        <f aca="false">IF(C622=0,"",IF($A622="Bank",IF(INDEX(Bank!$D:$D,$C622)="","",INDEX(Bank!$D:$D,$C622)),IF(INDEX(GL!$D:$D,$C622)="","",INDEX(GL!$D:$D,$C622))))</f>
        <v/>
      </c>
      <c r="G622" s="19" t="str">
        <f aca="false">IF(C622=0,"",IF($A622="Bank",INDEX(Bank!$E:$E,$C622),INDEX(GL!$E:$E,$C622)))</f>
        <v/>
      </c>
      <c r="H622" s="5" t="str">
        <f aca="false">IF(C622=0,"",IF(A622="GL",IF(G622&gt;0,"Deposit in transit","Outstanding check / payment"),IF(G622&gt;0,"Bank credit not in GL","Bank debit not in GL")))</f>
        <v/>
      </c>
      <c r="I622" s="42" t="str">
        <f aca="false">IF(OR(C622=0,CFG_PeriodEnd=""),"",CFG_PeriodEnd-D622)</f>
        <v/>
      </c>
      <c r="J622" s="5" t="str">
        <f aca="false">IF(C622=0,"",IF($A622="Bank",IF(INDEX(Bank!$G:$G,$C622)="","",INDEX(Bank!$G:$G,$C622)),IF(INDEX(GL!$G:$G,$C622)="","",INDEX(GL!$G:$G,$C622))))</f>
        <v/>
      </c>
      <c r="K622" s="5" t="str">
        <f aca="false">IF(C622=0,"",IF($A622="Bank",IF(INDEX(Bank!$I:$I,$C622)="","",INDEX(Bank!$I:$I,$C622)),IF(INDEX(GL!$I:$I,$C622)="","",INDEX(GL!$I:$I,$C622))))</f>
        <v/>
      </c>
      <c r="L622" s="5" t="str">
        <f aca="false">IF(B622="","",IF(C622=0,"NOT FOUND",IF(IF($A622="Bank",INDEX(Bank!$F:$F,$C622),INDEX(GL!$F:$F,$C622))="Y","NOW RECONCILED: refresh","OK")))</f>
        <v/>
      </c>
    </row>
    <row r="623" customFormat="false" ht="15" hidden="false" customHeight="false" outlineLevel="0" collapsed="false">
      <c r="A623" s="41"/>
      <c r="B623" s="41"/>
      <c r="C623" s="5" t="n">
        <f aca="false">IF(B623="",0,IF(A623="Bank",IFERROR(MATCH(B623,Bank!$A:$A,0),0),IFERROR(MATCH(B623,GL!$A:$A,0),0)))</f>
        <v>0</v>
      </c>
      <c r="D623" s="32" t="str">
        <f aca="false">IF(C623=0,"",IF($A623="Bank",INDEX(Bank!$B:$B,$C623),INDEX(GL!$B:$B,$C623)))</f>
        <v/>
      </c>
      <c r="E623" s="5" t="str">
        <f aca="false">IF(C623=0,"",IF($A623="Bank",IF(INDEX(Bank!$C:$C,$C623)="","",INDEX(Bank!$C:$C,$C623)),IF(INDEX(GL!$C:$C,$C623)="","",INDEX(GL!$C:$C,$C623))))</f>
        <v/>
      </c>
      <c r="F623" s="5" t="str">
        <f aca="false">IF(C623=0,"",IF($A623="Bank",IF(INDEX(Bank!$D:$D,$C623)="","",INDEX(Bank!$D:$D,$C623)),IF(INDEX(GL!$D:$D,$C623)="","",INDEX(GL!$D:$D,$C623))))</f>
        <v/>
      </c>
      <c r="G623" s="19" t="str">
        <f aca="false">IF(C623=0,"",IF($A623="Bank",INDEX(Bank!$E:$E,$C623),INDEX(GL!$E:$E,$C623)))</f>
        <v/>
      </c>
      <c r="H623" s="5" t="str">
        <f aca="false">IF(C623=0,"",IF(A623="GL",IF(G623&gt;0,"Deposit in transit","Outstanding check / payment"),IF(G623&gt;0,"Bank credit not in GL","Bank debit not in GL")))</f>
        <v/>
      </c>
      <c r="I623" s="42" t="str">
        <f aca="false">IF(OR(C623=0,CFG_PeriodEnd=""),"",CFG_PeriodEnd-D623)</f>
        <v/>
      </c>
      <c r="J623" s="5" t="str">
        <f aca="false">IF(C623=0,"",IF($A623="Bank",IF(INDEX(Bank!$G:$G,$C623)="","",INDEX(Bank!$G:$G,$C623)),IF(INDEX(GL!$G:$G,$C623)="","",INDEX(GL!$G:$G,$C623))))</f>
        <v/>
      </c>
      <c r="K623" s="5" t="str">
        <f aca="false">IF(C623=0,"",IF($A623="Bank",IF(INDEX(Bank!$I:$I,$C623)="","",INDEX(Bank!$I:$I,$C623)),IF(INDEX(GL!$I:$I,$C623)="","",INDEX(GL!$I:$I,$C623))))</f>
        <v/>
      </c>
      <c r="L623" s="5" t="str">
        <f aca="false">IF(B623="","",IF(C623=0,"NOT FOUND",IF(IF($A623="Bank",INDEX(Bank!$F:$F,$C623),INDEX(GL!$F:$F,$C623))="Y","NOW RECONCILED: refresh","OK")))</f>
        <v/>
      </c>
    </row>
    <row r="624" customFormat="false" ht="15" hidden="false" customHeight="false" outlineLevel="0" collapsed="false">
      <c r="A624" s="41"/>
      <c r="B624" s="41"/>
      <c r="C624" s="5" t="n">
        <f aca="false">IF(B624="",0,IF(A624="Bank",IFERROR(MATCH(B624,Bank!$A:$A,0),0),IFERROR(MATCH(B624,GL!$A:$A,0),0)))</f>
        <v>0</v>
      </c>
      <c r="D624" s="32" t="str">
        <f aca="false">IF(C624=0,"",IF($A624="Bank",INDEX(Bank!$B:$B,$C624),INDEX(GL!$B:$B,$C624)))</f>
        <v/>
      </c>
      <c r="E624" s="5" t="str">
        <f aca="false">IF(C624=0,"",IF($A624="Bank",IF(INDEX(Bank!$C:$C,$C624)="","",INDEX(Bank!$C:$C,$C624)),IF(INDEX(GL!$C:$C,$C624)="","",INDEX(GL!$C:$C,$C624))))</f>
        <v/>
      </c>
      <c r="F624" s="5" t="str">
        <f aca="false">IF(C624=0,"",IF($A624="Bank",IF(INDEX(Bank!$D:$D,$C624)="","",INDEX(Bank!$D:$D,$C624)),IF(INDEX(GL!$D:$D,$C624)="","",INDEX(GL!$D:$D,$C624))))</f>
        <v/>
      </c>
      <c r="G624" s="19" t="str">
        <f aca="false">IF(C624=0,"",IF($A624="Bank",INDEX(Bank!$E:$E,$C624),INDEX(GL!$E:$E,$C624)))</f>
        <v/>
      </c>
      <c r="H624" s="5" t="str">
        <f aca="false">IF(C624=0,"",IF(A624="GL",IF(G624&gt;0,"Deposit in transit","Outstanding check / payment"),IF(G624&gt;0,"Bank credit not in GL","Bank debit not in GL")))</f>
        <v/>
      </c>
      <c r="I624" s="42" t="str">
        <f aca="false">IF(OR(C624=0,CFG_PeriodEnd=""),"",CFG_PeriodEnd-D624)</f>
        <v/>
      </c>
      <c r="J624" s="5" t="str">
        <f aca="false">IF(C624=0,"",IF($A624="Bank",IF(INDEX(Bank!$G:$G,$C624)="","",INDEX(Bank!$G:$G,$C624)),IF(INDEX(GL!$G:$G,$C624)="","",INDEX(GL!$G:$G,$C624))))</f>
        <v/>
      </c>
      <c r="K624" s="5" t="str">
        <f aca="false">IF(C624=0,"",IF($A624="Bank",IF(INDEX(Bank!$I:$I,$C624)="","",INDEX(Bank!$I:$I,$C624)),IF(INDEX(GL!$I:$I,$C624)="","",INDEX(GL!$I:$I,$C624))))</f>
        <v/>
      </c>
      <c r="L624" s="5" t="str">
        <f aca="false">IF(B624="","",IF(C624=0,"NOT FOUND",IF(IF($A624="Bank",INDEX(Bank!$F:$F,$C624),INDEX(GL!$F:$F,$C624))="Y","NOW RECONCILED: refresh","OK")))</f>
        <v/>
      </c>
    </row>
    <row r="625" customFormat="false" ht="15" hidden="false" customHeight="false" outlineLevel="0" collapsed="false">
      <c r="A625" s="41"/>
      <c r="B625" s="41"/>
      <c r="C625" s="5" t="n">
        <f aca="false">IF(B625="",0,IF(A625="Bank",IFERROR(MATCH(B625,Bank!$A:$A,0),0),IFERROR(MATCH(B625,GL!$A:$A,0),0)))</f>
        <v>0</v>
      </c>
      <c r="D625" s="32" t="str">
        <f aca="false">IF(C625=0,"",IF($A625="Bank",INDEX(Bank!$B:$B,$C625),INDEX(GL!$B:$B,$C625)))</f>
        <v/>
      </c>
      <c r="E625" s="5" t="str">
        <f aca="false">IF(C625=0,"",IF($A625="Bank",IF(INDEX(Bank!$C:$C,$C625)="","",INDEX(Bank!$C:$C,$C625)),IF(INDEX(GL!$C:$C,$C625)="","",INDEX(GL!$C:$C,$C625))))</f>
        <v/>
      </c>
      <c r="F625" s="5" t="str">
        <f aca="false">IF(C625=0,"",IF($A625="Bank",IF(INDEX(Bank!$D:$D,$C625)="","",INDEX(Bank!$D:$D,$C625)),IF(INDEX(GL!$D:$D,$C625)="","",INDEX(GL!$D:$D,$C625))))</f>
        <v/>
      </c>
      <c r="G625" s="19" t="str">
        <f aca="false">IF(C625=0,"",IF($A625="Bank",INDEX(Bank!$E:$E,$C625),INDEX(GL!$E:$E,$C625)))</f>
        <v/>
      </c>
      <c r="H625" s="5" t="str">
        <f aca="false">IF(C625=0,"",IF(A625="GL",IF(G625&gt;0,"Deposit in transit","Outstanding check / payment"),IF(G625&gt;0,"Bank credit not in GL","Bank debit not in GL")))</f>
        <v/>
      </c>
      <c r="I625" s="42" t="str">
        <f aca="false">IF(OR(C625=0,CFG_PeriodEnd=""),"",CFG_PeriodEnd-D625)</f>
        <v/>
      </c>
      <c r="J625" s="5" t="str">
        <f aca="false">IF(C625=0,"",IF($A625="Bank",IF(INDEX(Bank!$G:$G,$C625)="","",INDEX(Bank!$G:$G,$C625)),IF(INDEX(GL!$G:$G,$C625)="","",INDEX(GL!$G:$G,$C625))))</f>
        <v/>
      </c>
      <c r="K625" s="5" t="str">
        <f aca="false">IF(C625=0,"",IF($A625="Bank",IF(INDEX(Bank!$I:$I,$C625)="","",INDEX(Bank!$I:$I,$C625)),IF(INDEX(GL!$I:$I,$C625)="","",INDEX(GL!$I:$I,$C625))))</f>
        <v/>
      </c>
      <c r="L625" s="5" t="str">
        <f aca="false">IF(B625="","",IF(C625=0,"NOT FOUND",IF(IF($A625="Bank",INDEX(Bank!$F:$F,$C625),INDEX(GL!$F:$F,$C625))="Y","NOW RECONCILED: refresh","OK")))</f>
        <v/>
      </c>
    </row>
    <row r="626" customFormat="false" ht="15" hidden="false" customHeight="false" outlineLevel="0" collapsed="false">
      <c r="A626" s="41"/>
      <c r="B626" s="41"/>
      <c r="C626" s="5" t="n">
        <f aca="false">IF(B626="",0,IF(A626="Bank",IFERROR(MATCH(B626,Bank!$A:$A,0),0),IFERROR(MATCH(B626,GL!$A:$A,0),0)))</f>
        <v>0</v>
      </c>
      <c r="D626" s="32" t="str">
        <f aca="false">IF(C626=0,"",IF($A626="Bank",INDEX(Bank!$B:$B,$C626),INDEX(GL!$B:$B,$C626)))</f>
        <v/>
      </c>
      <c r="E626" s="5" t="str">
        <f aca="false">IF(C626=0,"",IF($A626="Bank",IF(INDEX(Bank!$C:$C,$C626)="","",INDEX(Bank!$C:$C,$C626)),IF(INDEX(GL!$C:$C,$C626)="","",INDEX(GL!$C:$C,$C626))))</f>
        <v/>
      </c>
      <c r="F626" s="5" t="str">
        <f aca="false">IF(C626=0,"",IF($A626="Bank",IF(INDEX(Bank!$D:$D,$C626)="","",INDEX(Bank!$D:$D,$C626)),IF(INDEX(GL!$D:$D,$C626)="","",INDEX(GL!$D:$D,$C626))))</f>
        <v/>
      </c>
      <c r="G626" s="19" t="str">
        <f aca="false">IF(C626=0,"",IF($A626="Bank",INDEX(Bank!$E:$E,$C626),INDEX(GL!$E:$E,$C626)))</f>
        <v/>
      </c>
      <c r="H626" s="5" t="str">
        <f aca="false">IF(C626=0,"",IF(A626="GL",IF(G626&gt;0,"Deposit in transit","Outstanding check / payment"),IF(G626&gt;0,"Bank credit not in GL","Bank debit not in GL")))</f>
        <v/>
      </c>
      <c r="I626" s="42" t="str">
        <f aca="false">IF(OR(C626=0,CFG_PeriodEnd=""),"",CFG_PeriodEnd-D626)</f>
        <v/>
      </c>
      <c r="J626" s="5" t="str">
        <f aca="false">IF(C626=0,"",IF($A626="Bank",IF(INDEX(Bank!$G:$G,$C626)="","",INDEX(Bank!$G:$G,$C626)),IF(INDEX(GL!$G:$G,$C626)="","",INDEX(GL!$G:$G,$C626))))</f>
        <v/>
      </c>
      <c r="K626" s="5" t="str">
        <f aca="false">IF(C626=0,"",IF($A626="Bank",IF(INDEX(Bank!$I:$I,$C626)="","",INDEX(Bank!$I:$I,$C626)),IF(INDEX(GL!$I:$I,$C626)="","",INDEX(GL!$I:$I,$C626))))</f>
        <v/>
      </c>
      <c r="L626" s="5" t="str">
        <f aca="false">IF(B626="","",IF(C626=0,"NOT FOUND",IF(IF($A626="Bank",INDEX(Bank!$F:$F,$C626),INDEX(GL!$F:$F,$C626))="Y","NOW RECONCILED: refresh","OK")))</f>
        <v/>
      </c>
    </row>
    <row r="627" customFormat="false" ht="15" hidden="false" customHeight="false" outlineLevel="0" collapsed="false">
      <c r="A627" s="41"/>
      <c r="B627" s="41"/>
      <c r="C627" s="5" t="n">
        <f aca="false">IF(B627="",0,IF(A627="Bank",IFERROR(MATCH(B627,Bank!$A:$A,0),0),IFERROR(MATCH(B627,GL!$A:$A,0),0)))</f>
        <v>0</v>
      </c>
      <c r="D627" s="32" t="str">
        <f aca="false">IF(C627=0,"",IF($A627="Bank",INDEX(Bank!$B:$B,$C627),INDEX(GL!$B:$B,$C627)))</f>
        <v/>
      </c>
      <c r="E627" s="5" t="str">
        <f aca="false">IF(C627=0,"",IF($A627="Bank",IF(INDEX(Bank!$C:$C,$C627)="","",INDEX(Bank!$C:$C,$C627)),IF(INDEX(GL!$C:$C,$C627)="","",INDEX(GL!$C:$C,$C627))))</f>
        <v/>
      </c>
      <c r="F627" s="5" t="str">
        <f aca="false">IF(C627=0,"",IF($A627="Bank",IF(INDEX(Bank!$D:$D,$C627)="","",INDEX(Bank!$D:$D,$C627)),IF(INDEX(GL!$D:$D,$C627)="","",INDEX(GL!$D:$D,$C627))))</f>
        <v/>
      </c>
      <c r="G627" s="19" t="str">
        <f aca="false">IF(C627=0,"",IF($A627="Bank",INDEX(Bank!$E:$E,$C627),INDEX(GL!$E:$E,$C627)))</f>
        <v/>
      </c>
      <c r="H627" s="5" t="str">
        <f aca="false">IF(C627=0,"",IF(A627="GL",IF(G627&gt;0,"Deposit in transit","Outstanding check / payment"),IF(G627&gt;0,"Bank credit not in GL","Bank debit not in GL")))</f>
        <v/>
      </c>
      <c r="I627" s="42" t="str">
        <f aca="false">IF(OR(C627=0,CFG_PeriodEnd=""),"",CFG_PeriodEnd-D627)</f>
        <v/>
      </c>
      <c r="J627" s="5" t="str">
        <f aca="false">IF(C627=0,"",IF($A627="Bank",IF(INDEX(Bank!$G:$G,$C627)="","",INDEX(Bank!$G:$G,$C627)),IF(INDEX(GL!$G:$G,$C627)="","",INDEX(GL!$G:$G,$C627))))</f>
        <v/>
      </c>
      <c r="K627" s="5" t="str">
        <f aca="false">IF(C627=0,"",IF($A627="Bank",IF(INDEX(Bank!$I:$I,$C627)="","",INDEX(Bank!$I:$I,$C627)),IF(INDEX(GL!$I:$I,$C627)="","",INDEX(GL!$I:$I,$C627))))</f>
        <v/>
      </c>
      <c r="L627" s="5" t="str">
        <f aca="false">IF(B627="","",IF(C627=0,"NOT FOUND",IF(IF($A627="Bank",INDEX(Bank!$F:$F,$C627),INDEX(GL!$F:$F,$C627))="Y","NOW RECONCILED: refresh","OK")))</f>
        <v/>
      </c>
    </row>
    <row r="628" customFormat="false" ht="15" hidden="false" customHeight="false" outlineLevel="0" collapsed="false">
      <c r="A628" s="41"/>
      <c r="B628" s="41"/>
      <c r="C628" s="5" t="n">
        <f aca="false">IF(B628="",0,IF(A628="Bank",IFERROR(MATCH(B628,Bank!$A:$A,0),0),IFERROR(MATCH(B628,GL!$A:$A,0),0)))</f>
        <v>0</v>
      </c>
      <c r="D628" s="32" t="str">
        <f aca="false">IF(C628=0,"",IF($A628="Bank",INDEX(Bank!$B:$B,$C628),INDEX(GL!$B:$B,$C628)))</f>
        <v/>
      </c>
      <c r="E628" s="5" t="str">
        <f aca="false">IF(C628=0,"",IF($A628="Bank",IF(INDEX(Bank!$C:$C,$C628)="","",INDEX(Bank!$C:$C,$C628)),IF(INDEX(GL!$C:$C,$C628)="","",INDEX(GL!$C:$C,$C628))))</f>
        <v/>
      </c>
      <c r="F628" s="5" t="str">
        <f aca="false">IF(C628=0,"",IF($A628="Bank",IF(INDEX(Bank!$D:$D,$C628)="","",INDEX(Bank!$D:$D,$C628)),IF(INDEX(GL!$D:$D,$C628)="","",INDEX(GL!$D:$D,$C628))))</f>
        <v/>
      </c>
      <c r="G628" s="19" t="str">
        <f aca="false">IF(C628=0,"",IF($A628="Bank",INDEX(Bank!$E:$E,$C628),INDEX(GL!$E:$E,$C628)))</f>
        <v/>
      </c>
      <c r="H628" s="5" t="str">
        <f aca="false">IF(C628=0,"",IF(A628="GL",IF(G628&gt;0,"Deposit in transit","Outstanding check / payment"),IF(G628&gt;0,"Bank credit not in GL","Bank debit not in GL")))</f>
        <v/>
      </c>
      <c r="I628" s="42" t="str">
        <f aca="false">IF(OR(C628=0,CFG_PeriodEnd=""),"",CFG_PeriodEnd-D628)</f>
        <v/>
      </c>
      <c r="J628" s="5" t="str">
        <f aca="false">IF(C628=0,"",IF($A628="Bank",IF(INDEX(Bank!$G:$G,$C628)="","",INDEX(Bank!$G:$G,$C628)),IF(INDEX(GL!$G:$G,$C628)="","",INDEX(GL!$G:$G,$C628))))</f>
        <v/>
      </c>
      <c r="K628" s="5" t="str">
        <f aca="false">IF(C628=0,"",IF($A628="Bank",IF(INDEX(Bank!$I:$I,$C628)="","",INDEX(Bank!$I:$I,$C628)),IF(INDEX(GL!$I:$I,$C628)="","",INDEX(GL!$I:$I,$C628))))</f>
        <v/>
      </c>
      <c r="L628" s="5" t="str">
        <f aca="false">IF(B628="","",IF(C628=0,"NOT FOUND",IF(IF($A628="Bank",INDEX(Bank!$F:$F,$C628),INDEX(GL!$F:$F,$C628))="Y","NOW RECONCILED: refresh","OK")))</f>
        <v/>
      </c>
    </row>
    <row r="629" customFormat="false" ht="15" hidden="false" customHeight="false" outlineLevel="0" collapsed="false">
      <c r="A629" s="41"/>
      <c r="B629" s="41"/>
      <c r="C629" s="5" t="n">
        <f aca="false">IF(B629="",0,IF(A629="Bank",IFERROR(MATCH(B629,Bank!$A:$A,0),0),IFERROR(MATCH(B629,GL!$A:$A,0),0)))</f>
        <v>0</v>
      </c>
      <c r="D629" s="32" t="str">
        <f aca="false">IF(C629=0,"",IF($A629="Bank",INDEX(Bank!$B:$B,$C629),INDEX(GL!$B:$B,$C629)))</f>
        <v/>
      </c>
      <c r="E629" s="5" t="str">
        <f aca="false">IF(C629=0,"",IF($A629="Bank",IF(INDEX(Bank!$C:$C,$C629)="","",INDEX(Bank!$C:$C,$C629)),IF(INDEX(GL!$C:$C,$C629)="","",INDEX(GL!$C:$C,$C629))))</f>
        <v/>
      </c>
      <c r="F629" s="5" t="str">
        <f aca="false">IF(C629=0,"",IF($A629="Bank",IF(INDEX(Bank!$D:$D,$C629)="","",INDEX(Bank!$D:$D,$C629)),IF(INDEX(GL!$D:$D,$C629)="","",INDEX(GL!$D:$D,$C629))))</f>
        <v/>
      </c>
      <c r="G629" s="19" t="str">
        <f aca="false">IF(C629=0,"",IF($A629="Bank",INDEX(Bank!$E:$E,$C629),INDEX(GL!$E:$E,$C629)))</f>
        <v/>
      </c>
      <c r="H629" s="5" t="str">
        <f aca="false">IF(C629=0,"",IF(A629="GL",IF(G629&gt;0,"Deposit in transit","Outstanding check / payment"),IF(G629&gt;0,"Bank credit not in GL","Bank debit not in GL")))</f>
        <v/>
      </c>
      <c r="I629" s="42" t="str">
        <f aca="false">IF(OR(C629=0,CFG_PeriodEnd=""),"",CFG_PeriodEnd-D629)</f>
        <v/>
      </c>
      <c r="J629" s="5" t="str">
        <f aca="false">IF(C629=0,"",IF($A629="Bank",IF(INDEX(Bank!$G:$G,$C629)="","",INDEX(Bank!$G:$G,$C629)),IF(INDEX(GL!$G:$G,$C629)="","",INDEX(GL!$G:$G,$C629))))</f>
        <v/>
      </c>
      <c r="K629" s="5" t="str">
        <f aca="false">IF(C629=0,"",IF($A629="Bank",IF(INDEX(Bank!$I:$I,$C629)="","",INDEX(Bank!$I:$I,$C629)),IF(INDEX(GL!$I:$I,$C629)="","",INDEX(GL!$I:$I,$C629))))</f>
        <v/>
      </c>
      <c r="L629" s="5" t="str">
        <f aca="false">IF(B629="","",IF(C629=0,"NOT FOUND",IF(IF($A629="Bank",INDEX(Bank!$F:$F,$C629),INDEX(GL!$F:$F,$C629))="Y","NOW RECONCILED: refresh","OK")))</f>
        <v/>
      </c>
    </row>
    <row r="630" customFormat="false" ht="15" hidden="false" customHeight="false" outlineLevel="0" collapsed="false">
      <c r="A630" s="41"/>
      <c r="B630" s="41"/>
      <c r="C630" s="5" t="n">
        <f aca="false">IF(B630="",0,IF(A630="Bank",IFERROR(MATCH(B630,Bank!$A:$A,0),0),IFERROR(MATCH(B630,GL!$A:$A,0),0)))</f>
        <v>0</v>
      </c>
      <c r="D630" s="32" t="str">
        <f aca="false">IF(C630=0,"",IF($A630="Bank",INDEX(Bank!$B:$B,$C630),INDEX(GL!$B:$B,$C630)))</f>
        <v/>
      </c>
      <c r="E630" s="5" t="str">
        <f aca="false">IF(C630=0,"",IF($A630="Bank",IF(INDEX(Bank!$C:$C,$C630)="","",INDEX(Bank!$C:$C,$C630)),IF(INDEX(GL!$C:$C,$C630)="","",INDEX(GL!$C:$C,$C630))))</f>
        <v/>
      </c>
      <c r="F630" s="5" t="str">
        <f aca="false">IF(C630=0,"",IF($A630="Bank",IF(INDEX(Bank!$D:$D,$C630)="","",INDEX(Bank!$D:$D,$C630)),IF(INDEX(GL!$D:$D,$C630)="","",INDEX(GL!$D:$D,$C630))))</f>
        <v/>
      </c>
      <c r="G630" s="19" t="str">
        <f aca="false">IF(C630=0,"",IF($A630="Bank",INDEX(Bank!$E:$E,$C630),INDEX(GL!$E:$E,$C630)))</f>
        <v/>
      </c>
      <c r="H630" s="5" t="str">
        <f aca="false">IF(C630=0,"",IF(A630="GL",IF(G630&gt;0,"Deposit in transit","Outstanding check / payment"),IF(G630&gt;0,"Bank credit not in GL","Bank debit not in GL")))</f>
        <v/>
      </c>
      <c r="I630" s="42" t="str">
        <f aca="false">IF(OR(C630=0,CFG_PeriodEnd=""),"",CFG_PeriodEnd-D630)</f>
        <v/>
      </c>
      <c r="J630" s="5" t="str">
        <f aca="false">IF(C630=0,"",IF($A630="Bank",IF(INDEX(Bank!$G:$G,$C630)="","",INDEX(Bank!$G:$G,$C630)),IF(INDEX(GL!$G:$G,$C630)="","",INDEX(GL!$G:$G,$C630))))</f>
        <v/>
      </c>
      <c r="K630" s="5" t="str">
        <f aca="false">IF(C630=0,"",IF($A630="Bank",IF(INDEX(Bank!$I:$I,$C630)="","",INDEX(Bank!$I:$I,$C630)),IF(INDEX(GL!$I:$I,$C630)="","",INDEX(GL!$I:$I,$C630))))</f>
        <v/>
      </c>
      <c r="L630" s="5" t="str">
        <f aca="false">IF(B630="","",IF(C630=0,"NOT FOUND",IF(IF($A630="Bank",INDEX(Bank!$F:$F,$C630),INDEX(GL!$F:$F,$C630))="Y","NOW RECONCILED: refresh","OK")))</f>
        <v/>
      </c>
    </row>
    <row r="631" customFormat="false" ht="15" hidden="false" customHeight="false" outlineLevel="0" collapsed="false">
      <c r="A631" s="41"/>
      <c r="B631" s="41"/>
      <c r="C631" s="5" t="n">
        <f aca="false">IF(B631="",0,IF(A631="Bank",IFERROR(MATCH(B631,Bank!$A:$A,0),0),IFERROR(MATCH(B631,GL!$A:$A,0),0)))</f>
        <v>0</v>
      </c>
      <c r="D631" s="32" t="str">
        <f aca="false">IF(C631=0,"",IF($A631="Bank",INDEX(Bank!$B:$B,$C631),INDEX(GL!$B:$B,$C631)))</f>
        <v/>
      </c>
      <c r="E631" s="5" t="str">
        <f aca="false">IF(C631=0,"",IF($A631="Bank",IF(INDEX(Bank!$C:$C,$C631)="","",INDEX(Bank!$C:$C,$C631)),IF(INDEX(GL!$C:$C,$C631)="","",INDEX(GL!$C:$C,$C631))))</f>
        <v/>
      </c>
      <c r="F631" s="5" t="str">
        <f aca="false">IF(C631=0,"",IF($A631="Bank",IF(INDEX(Bank!$D:$D,$C631)="","",INDEX(Bank!$D:$D,$C631)),IF(INDEX(GL!$D:$D,$C631)="","",INDEX(GL!$D:$D,$C631))))</f>
        <v/>
      </c>
      <c r="G631" s="19" t="str">
        <f aca="false">IF(C631=0,"",IF($A631="Bank",INDEX(Bank!$E:$E,$C631),INDEX(GL!$E:$E,$C631)))</f>
        <v/>
      </c>
      <c r="H631" s="5" t="str">
        <f aca="false">IF(C631=0,"",IF(A631="GL",IF(G631&gt;0,"Deposit in transit","Outstanding check / payment"),IF(G631&gt;0,"Bank credit not in GL","Bank debit not in GL")))</f>
        <v/>
      </c>
      <c r="I631" s="42" t="str">
        <f aca="false">IF(OR(C631=0,CFG_PeriodEnd=""),"",CFG_PeriodEnd-D631)</f>
        <v/>
      </c>
      <c r="J631" s="5" t="str">
        <f aca="false">IF(C631=0,"",IF($A631="Bank",IF(INDEX(Bank!$G:$G,$C631)="","",INDEX(Bank!$G:$G,$C631)),IF(INDEX(GL!$G:$G,$C631)="","",INDEX(GL!$G:$G,$C631))))</f>
        <v/>
      </c>
      <c r="K631" s="5" t="str">
        <f aca="false">IF(C631=0,"",IF($A631="Bank",IF(INDEX(Bank!$I:$I,$C631)="","",INDEX(Bank!$I:$I,$C631)),IF(INDEX(GL!$I:$I,$C631)="","",INDEX(GL!$I:$I,$C631))))</f>
        <v/>
      </c>
      <c r="L631" s="5" t="str">
        <f aca="false">IF(B631="","",IF(C631=0,"NOT FOUND",IF(IF($A631="Bank",INDEX(Bank!$F:$F,$C631),INDEX(GL!$F:$F,$C631))="Y","NOW RECONCILED: refresh","OK")))</f>
        <v/>
      </c>
    </row>
    <row r="632" customFormat="false" ht="15" hidden="false" customHeight="false" outlineLevel="0" collapsed="false">
      <c r="A632" s="41"/>
      <c r="B632" s="41"/>
      <c r="C632" s="5" t="n">
        <f aca="false">IF(B632="",0,IF(A632="Bank",IFERROR(MATCH(B632,Bank!$A:$A,0),0),IFERROR(MATCH(B632,GL!$A:$A,0),0)))</f>
        <v>0</v>
      </c>
      <c r="D632" s="32" t="str">
        <f aca="false">IF(C632=0,"",IF($A632="Bank",INDEX(Bank!$B:$B,$C632),INDEX(GL!$B:$B,$C632)))</f>
        <v/>
      </c>
      <c r="E632" s="5" t="str">
        <f aca="false">IF(C632=0,"",IF($A632="Bank",IF(INDEX(Bank!$C:$C,$C632)="","",INDEX(Bank!$C:$C,$C632)),IF(INDEX(GL!$C:$C,$C632)="","",INDEX(GL!$C:$C,$C632))))</f>
        <v/>
      </c>
      <c r="F632" s="5" t="str">
        <f aca="false">IF(C632=0,"",IF($A632="Bank",IF(INDEX(Bank!$D:$D,$C632)="","",INDEX(Bank!$D:$D,$C632)),IF(INDEX(GL!$D:$D,$C632)="","",INDEX(GL!$D:$D,$C632))))</f>
        <v/>
      </c>
      <c r="G632" s="19" t="str">
        <f aca="false">IF(C632=0,"",IF($A632="Bank",INDEX(Bank!$E:$E,$C632),INDEX(GL!$E:$E,$C632)))</f>
        <v/>
      </c>
      <c r="H632" s="5" t="str">
        <f aca="false">IF(C632=0,"",IF(A632="GL",IF(G632&gt;0,"Deposit in transit","Outstanding check / payment"),IF(G632&gt;0,"Bank credit not in GL","Bank debit not in GL")))</f>
        <v/>
      </c>
      <c r="I632" s="42" t="str">
        <f aca="false">IF(OR(C632=0,CFG_PeriodEnd=""),"",CFG_PeriodEnd-D632)</f>
        <v/>
      </c>
      <c r="J632" s="5" t="str">
        <f aca="false">IF(C632=0,"",IF($A632="Bank",IF(INDEX(Bank!$G:$G,$C632)="","",INDEX(Bank!$G:$G,$C632)),IF(INDEX(GL!$G:$G,$C632)="","",INDEX(GL!$G:$G,$C632))))</f>
        <v/>
      </c>
      <c r="K632" s="5" t="str">
        <f aca="false">IF(C632=0,"",IF($A632="Bank",IF(INDEX(Bank!$I:$I,$C632)="","",INDEX(Bank!$I:$I,$C632)),IF(INDEX(GL!$I:$I,$C632)="","",INDEX(GL!$I:$I,$C632))))</f>
        <v/>
      </c>
      <c r="L632" s="5" t="str">
        <f aca="false">IF(B632="","",IF(C632=0,"NOT FOUND",IF(IF($A632="Bank",INDEX(Bank!$F:$F,$C632),INDEX(GL!$F:$F,$C632))="Y","NOW RECONCILED: refresh","OK")))</f>
        <v/>
      </c>
    </row>
    <row r="633" customFormat="false" ht="15" hidden="false" customHeight="false" outlineLevel="0" collapsed="false">
      <c r="A633" s="41"/>
      <c r="B633" s="41"/>
      <c r="C633" s="5" t="n">
        <f aca="false">IF(B633="",0,IF(A633="Bank",IFERROR(MATCH(B633,Bank!$A:$A,0),0),IFERROR(MATCH(B633,GL!$A:$A,0),0)))</f>
        <v>0</v>
      </c>
      <c r="D633" s="32" t="str">
        <f aca="false">IF(C633=0,"",IF($A633="Bank",INDEX(Bank!$B:$B,$C633),INDEX(GL!$B:$B,$C633)))</f>
        <v/>
      </c>
      <c r="E633" s="5" t="str">
        <f aca="false">IF(C633=0,"",IF($A633="Bank",IF(INDEX(Bank!$C:$C,$C633)="","",INDEX(Bank!$C:$C,$C633)),IF(INDEX(GL!$C:$C,$C633)="","",INDEX(GL!$C:$C,$C633))))</f>
        <v/>
      </c>
      <c r="F633" s="5" t="str">
        <f aca="false">IF(C633=0,"",IF($A633="Bank",IF(INDEX(Bank!$D:$D,$C633)="","",INDEX(Bank!$D:$D,$C633)),IF(INDEX(GL!$D:$D,$C633)="","",INDEX(GL!$D:$D,$C633))))</f>
        <v/>
      </c>
      <c r="G633" s="19" t="str">
        <f aca="false">IF(C633=0,"",IF($A633="Bank",INDEX(Bank!$E:$E,$C633),INDEX(GL!$E:$E,$C633)))</f>
        <v/>
      </c>
      <c r="H633" s="5" t="str">
        <f aca="false">IF(C633=0,"",IF(A633="GL",IF(G633&gt;0,"Deposit in transit","Outstanding check / payment"),IF(G633&gt;0,"Bank credit not in GL","Bank debit not in GL")))</f>
        <v/>
      </c>
      <c r="I633" s="42" t="str">
        <f aca="false">IF(OR(C633=0,CFG_PeriodEnd=""),"",CFG_PeriodEnd-D633)</f>
        <v/>
      </c>
      <c r="J633" s="5" t="str">
        <f aca="false">IF(C633=0,"",IF($A633="Bank",IF(INDEX(Bank!$G:$G,$C633)="","",INDEX(Bank!$G:$G,$C633)),IF(INDEX(GL!$G:$G,$C633)="","",INDEX(GL!$G:$G,$C633))))</f>
        <v/>
      </c>
      <c r="K633" s="5" t="str">
        <f aca="false">IF(C633=0,"",IF($A633="Bank",IF(INDEX(Bank!$I:$I,$C633)="","",INDEX(Bank!$I:$I,$C633)),IF(INDEX(GL!$I:$I,$C633)="","",INDEX(GL!$I:$I,$C633))))</f>
        <v/>
      </c>
      <c r="L633" s="5" t="str">
        <f aca="false">IF(B633="","",IF(C633=0,"NOT FOUND",IF(IF($A633="Bank",INDEX(Bank!$F:$F,$C633),INDEX(GL!$F:$F,$C633))="Y","NOW RECONCILED: refresh","OK")))</f>
        <v/>
      </c>
    </row>
    <row r="634" customFormat="false" ht="15" hidden="false" customHeight="false" outlineLevel="0" collapsed="false">
      <c r="A634" s="41"/>
      <c r="B634" s="41"/>
      <c r="C634" s="5" t="n">
        <f aca="false">IF(B634="",0,IF(A634="Bank",IFERROR(MATCH(B634,Bank!$A:$A,0),0),IFERROR(MATCH(B634,GL!$A:$A,0),0)))</f>
        <v>0</v>
      </c>
      <c r="D634" s="32" t="str">
        <f aca="false">IF(C634=0,"",IF($A634="Bank",INDEX(Bank!$B:$B,$C634),INDEX(GL!$B:$B,$C634)))</f>
        <v/>
      </c>
      <c r="E634" s="5" t="str">
        <f aca="false">IF(C634=0,"",IF($A634="Bank",IF(INDEX(Bank!$C:$C,$C634)="","",INDEX(Bank!$C:$C,$C634)),IF(INDEX(GL!$C:$C,$C634)="","",INDEX(GL!$C:$C,$C634))))</f>
        <v/>
      </c>
      <c r="F634" s="5" t="str">
        <f aca="false">IF(C634=0,"",IF($A634="Bank",IF(INDEX(Bank!$D:$D,$C634)="","",INDEX(Bank!$D:$D,$C634)),IF(INDEX(GL!$D:$D,$C634)="","",INDEX(GL!$D:$D,$C634))))</f>
        <v/>
      </c>
      <c r="G634" s="19" t="str">
        <f aca="false">IF(C634=0,"",IF($A634="Bank",INDEX(Bank!$E:$E,$C634),INDEX(GL!$E:$E,$C634)))</f>
        <v/>
      </c>
      <c r="H634" s="5" t="str">
        <f aca="false">IF(C634=0,"",IF(A634="GL",IF(G634&gt;0,"Deposit in transit","Outstanding check / payment"),IF(G634&gt;0,"Bank credit not in GL","Bank debit not in GL")))</f>
        <v/>
      </c>
      <c r="I634" s="42" t="str">
        <f aca="false">IF(OR(C634=0,CFG_PeriodEnd=""),"",CFG_PeriodEnd-D634)</f>
        <v/>
      </c>
      <c r="J634" s="5" t="str">
        <f aca="false">IF(C634=0,"",IF($A634="Bank",IF(INDEX(Bank!$G:$G,$C634)="","",INDEX(Bank!$G:$G,$C634)),IF(INDEX(GL!$G:$G,$C634)="","",INDEX(GL!$G:$G,$C634))))</f>
        <v/>
      </c>
      <c r="K634" s="5" t="str">
        <f aca="false">IF(C634=0,"",IF($A634="Bank",IF(INDEX(Bank!$I:$I,$C634)="","",INDEX(Bank!$I:$I,$C634)),IF(INDEX(GL!$I:$I,$C634)="","",INDEX(GL!$I:$I,$C634))))</f>
        <v/>
      </c>
      <c r="L634" s="5" t="str">
        <f aca="false">IF(B634="","",IF(C634=0,"NOT FOUND",IF(IF($A634="Bank",INDEX(Bank!$F:$F,$C634),INDEX(GL!$F:$F,$C634))="Y","NOW RECONCILED: refresh","OK")))</f>
        <v/>
      </c>
    </row>
    <row r="635" customFormat="false" ht="15" hidden="false" customHeight="false" outlineLevel="0" collapsed="false">
      <c r="A635" s="41"/>
      <c r="B635" s="41"/>
      <c r="C635" s="5" t="n">
        <f aca="false">IF(B635="",0,IF(A635="Bank",IFERROR(MATCH(B635,Bank!$A:$A,0),0),IFERROR(MATCH(B635,GL!$A:$A,0),0)))</f>
        <v>0</v>
      </c>
      <c r="D635" s="32" t="str">
        <f aca="false">IF(C635=0,"",IF($A635="Bank",INDEX(Bank!$B:$B,$C635),INDEX(GL!$B:$B,$C635)))</f>
        <v/>
      </c>
      <c r="E635" s="5" t="str">
        <f aca="false">IF(C635=0,"",IF($A635="Bank",IF(INDEX(Bank!$C:$C,$C635)="","",INDEX(Bank!$C:$C,$C635)),IF(INDEX(GL!$C:$C,$C635)="","",INDEX(GL!$C:$C,$C635))))</f>
        <v/>
      </c>
      <c r="F635" s="5" t="str">
        <f aca="false">IF(C635=0,"",IF($A635="Bank",IF(INDEX(Bank!$D:$D,$C635)="","",INDEX(Bank!$D:$D,$C635)),IF(INDEX(GL!$D:$D,$C635)="","",INDEX(GL!$D:$D,$C635))))</f>
        <v/>
      </c>
      <c r="G635" s="19" t="str">
        <f aca="false">IF(C635=0,"",IF($A635="Bank",INDEX(Bank!$E:$E,$C635),INDEX(GL!$E:$E,$C635)))</f>
        <v/>
      </c>
      <c r="H635" s="5" t="str">
        <f aca="false">IF(C635=0,"",IF(A635="GL",IF(G635&gt;0,"Deposit in transit","Outstanding check / payment"),IF(G635&gt;0,"Bank credit not in GL","Bank debit not in GL")))</f>
        <v/>
      </c>
      <c r="I635" s="42" t="str">
        <f aca="false">IF(OR(C635=0,CFG_PeriodEnd=""),"",CFG_PeriodEnd-D635)</f>
        <v/>
      </c>
      <c r="J635" s="5" t="str">
        <f aca="false">IF(C635=0,"",IF($A635="Bank",IF(INDEX(Bank!$G:$G,$C635)="","",INDEX(Bank!$G:$G,$C635)),IF(INDEX(GL!$G:$G,$C635)="","",INDEX(GL!$G:$G,$C635))))</f>
        <v/>
      </c>
      <c r="K635" s="5" t="str">
        <f aca="false">IF(C635=0,"",IF($A635="Bank",IF(INDEX(Bank!$I:$I,$C635)="","",INDEX(Bank!$I:$I,$C635)),IF(INDEX(GL!$I:$I,$C635)="","",INDEX(GL!$I:$I,$C635))))</f>
        <v/>
      </c>
      <c r="L635" s="5" t="str">
        <f aca="false">IF(B635="","",IF(C635=0,"NOT FOUND",IF(IF($A635="Bank",INDEX(Bank!$F:$F,$C635),INDEX(GL!$F:$F,$C635))="Y","NOW RECONCILED: refresh","OK")))</f>
        <v/>
      </c>
    </row>
    <row r="636" customFormat="false" ht="15" hidden="false" customHeight="false" outlineLevel="0" collapsed="false">
      <c r="A636" s="41"/>
      <c r="B636" s="41"/>
      <c r="C636" s="5" t="n">
        <f aca="false">IF(B636="",0,IF(A636="Bank",IFERROR(MATCH(B636,Bank!$A:$A,0),0),IFERROR(MATCH(B636,GL!$A:$A,0),0)))</f>
        <v>0</v>
      </c>
      <c r="D636" s="32" t="str">
        <f aca="false">IF(C636=0,"",IF($A636="Bank",INDEX(Bank!$B:$B,$C636),INDEX(GL!$B:$B,$C636)))</f>
        <v/>
      </c>
      <c r="E636" s="5" t="str">
        <f aca="false">IF(C636=0,"",IF($A636="Bank",IF(INDEX(Bank!$C:$C,$C636)="","",INDEX(Bank!$C:$C,$C636)),IF(INDEX(GL!$C:$C,$C636)="","",INDEX(GL!$C:$C,$C636))))</f>
        <v/>
      </c>
      <c r="F636" s="5" t="str">
        <f aca="false">IF(C636=0,"",IF($A636="Bank",IF(INDEX(Bank!$D:$D,$C636)="","",INDEX(Bank!$D:$D,$C636)),IF(INDEX(GL!$D:$D,$C636)="","",INDEX(GL!$D:$D,$C636))))</f>
        <v/>
      </c>
      <c r="G636" s="19" t="str">
        <f aca="false">IF(C636=0,"",IF($A636="Bank",INDEX(Bank!$E:$E,$C636),INDEX(GL!$E:$E,$C636)))</f>
        <v/>
      </c>
      <c r="H636" s="5" t="str">
        <f aca="false">IF(C636=0,"",IF(A636="GL",IF(G636&gt;0,"Deposit in transit","Outstanding check / payment"),IF(G636&gt;0,"Bank credit not in GL","Bank debit not in GL")))</f>
        <v/>
      </c>
      <c r="I636" s="42" t="str">
        <f aca="false">IF(OR(C636=0,CFG_PeriodEnd=""),"",CFG_PeriodEnd-D636)</f>
        <v/>
      </c>
      <c r="J636" s="5" t="str">
        <f aca="false">IF(C636=0,"",IF($A636="Bank",IF(INDEX(Bank!$G:$G,$C636)="","",INDEX(Bank!$G:$G,$C636)),IF(INDEX(GL!$G:$G,$C636)="","",INDEX(GL!$G:$G,$C636))))</f>
        <v/>
      </c>
      <c r="K636" s="5" t="str">
        <f aca="false">IF(C636=0,"",IF($A636="Bank",IF(INDEX(Bank!$I:$I,$C636)="","",INDEX(Bank!$I:$I,$C636)),IF(INDEX(GL!$I:$I,$C636)="","",INDEX(GL!$I:$I,$C636))))</f>
        <v/>
      </c>
      <c r="L636" s="5" t="str">
        <f aca="false">IF(B636="","",IF(C636=0,"NOT FOUND",IF(IF($A636="Bank",INDEX(Bank!$F:$F,$C636),INDEX(GL!$F:$F,$C636))="Y","NOW RECONCILED: refresh","OK")))</f>
        <v/>
      </c>
    </row>
    <row r="637" customFormat="false" ht="15" hidden="false" customHeight="false" outlineLevel="0" collapsed="false">
      <c r="A637" s="41"/>
      <c r="B637" s="41"/>
      <c r="C637" s="5" t="n">
        <f aca="false">IF(B637="",0,IF(A637="Bank",IFERROR(MATCH(B637,Bank!$A:$A,0),0),IFERROR(MATCH(B637,GL!$A:$A,0),0)))</f>
        <v>0</v>
      </c>
      <c r="D637" s="32" t="str">
        <f aca="false">IF(C637=0,"",IF($A637="Bank",INDEX(Bank!$B:$B,$C637),INDEX(GL!$B:$B,$C637)))</f>
        <v/>
      </c>
      <c r="E637" s="5" t="str">
        <f aca="false">IF(C637=0,"",IF($A637="Bank",IF(INDEX(Bank!$C:$C,$C637)="","",INDEX(Bank!$C:$C,$C637)),IF(INDEX(GL!$C:$C,$C637)="","",INDEX(GL!$C:$C,$C637))))</f>
        <v/>
      </c>
      <c r="F637" s="5" t="str">
        <f aca="false">IF(C637=0,"",IF($A637="Bank",IF(INDEX(Bank!$D:$D,$C637)="","",INDEX(Bank!$D:$D,$C637)),IF(INDEX(GL!$D:$D,$C637)="","",INDEX(GL!$D:$D,$C637))))</f>
        <v/>
      </c>
      <c r="G637" s="19" t="str">
        <f aca="false">IF(C637=0,"",IF($A637="Bank",INDEX(Bank!$E:$E,$C637),INDEX(GL!$E:$E,$C637)))</f>
        <v/>
      </c>
      <c r="H637" s="5" t="str">
        <f aca="false">IF(C637=0,"",IF(A637="GL",IF(G637&gt;0,"Deposit in transit","Outstanding check / payment"),IF(G637&gt;0,"Bank credit not in GL","Bank debit not in GL")))</f>
        <v/>
      </c>
      <c r="I637" s="42" t="str">
        <f aca="false">IF(OR(C637=0,CFG_PeriodEnd=""),"",CFG_PeriodEnd-D637)</f>
        <v/>
      </c>
      <c r="J637" s="5" t="str">
        <f aca="false">IF(C637=0,"",IF($A637="Bank",IF(INDEX(Bank!$G:$G,$C637)="","",INDEX(Bank!$G:$G,$C637)),IF(INDEX(GL!$G:$G,$C637)="","",INDEX(GL!$G:$G,$C637))))</f>
        <v/>
      </c>
      <c r="K637" s="5" t="str">
        <f aca="false">IF(C637=0,"",IF($A637="Bank",IF(INDEX(Bank!$I:$I,$C637)="","",INDEX(Bank!$I:$I,$C637)),IF(INDEX(GL!$I:$I,$C637)="","",INDEX(GL!$I:$I,$C637))))</f>
        <v/>
      </c>
      <c r="L637" s="5" t="str">
        <f aca="false">IF(B637="","",IF(C637=0,"NOT FOUND",IF(IF($A637="Bank",INDEX(Bank!$F:$F,$C637),INDEX(GL!$F:$F,$C637))="Y","NOW RECONCILED: refresh","OK")))</f>
        <v/>
      </c>
    </row>
    <row r="638" customFormat="false" ht="15" hidden="false" customHeight="false" outlineLevel="0" collapsed="false">
      <c r="A638" s="41"/>
      <c r="B638" s="41"/>
      <c r="C638" s="5" t="n">
        <f aca="false">IF(B638="",0,IF(A638="Bank",IFERROR(MATCH(B638,Bank!$A:$A,0),0),IFERROR(MATCH(B638,GL!$A:$A,0),0)))</f>
        <v>0</v>
      </c>
      <c r="D638" s="32" t="str">
        <f aca="false">IF(C638=0,"",IF($A638="Bank",INDEX(Bank!$B:$B,$C638),INDEX(GL!$B:$B,$C638)))</f>
        <v/>
      </c>
      <c r="E638" s="5" t="str">
        <f aca="false">IF(C638=0,"",IF($A638="Bank",IF(INDEX(Bank!$C:$C,$C638)="","",INDEX(Bank!$C:$C,$C638)),IF(INDEX(GL!$C:$C,$C638)="","",INDEX(GL!$C:$C,$C638))))</f>
        <v/>
      </c>
      <c r="F638" s="5" t="str">
        <f aca="false">IF(C638=0,"",IF($A638="Bank",IF(INDEX(Bank!$D:$D,$C638)="","",INDEX(Bank!$D:$D,$C638)),IF(INDEX(GL!$D:$D,$C638)="","",INDEX(GL!$D:$D,$C638))))</f>
        <v/>
      </c>
      <c r="G638" s="19" t="str">
        <f aca="false">IF(C638=0,"",IF($A638="Bank",INDEX(Bank!$E:$E,$C638),INDEX(GL!$E:$E,$C638)))</f>
        <v/>
      </c>
      <c r="H638" s="5" t="str">
        <f aca="false">IF(C638=0,"",IF(A638="GL",IF(G638&gt;0,"Deposit in transit","Outstanding check / payment"),IF(G638&gt;0,"Bank credit not in GL","Bank debit not in GL")))</f>
        <v/>
      </c>
      <c r="I638" s="42" t="str">
        <f aca="false">IF(OR(C638=0,CFG_PeriodEnd=""),"",CFG_PeriodEnd-D638)</f>
        <v/>
      </c>
      <c r="J638" s="5" t="str">
        <f aca="false">IF(C638=0,"",IF($A638="Bank",IF(INDEX(Bank!$G:$G,$C638)="","",INDEX(Bank!$G:$G,$C638)),IF(INDEX(GL!$G:$G,$C638)="","",INDEX(GL!$G:$G,$C638))))</f>
        <v/>
      </c>
      <c r="K638" s="5" t="str">
        <f aca="false">IF(C638=0,"",IF($A638="Bank",IF(INDEX(Bank!$I:$I,$C638)="","",INDEX(Bank!$I:$I,$C638)),IF(INDEX(GL!$I:$I,$C638)="","",INDEX(GL!$I:$I,$C638))))</f>
        <v/>
      </c>
      <c r="L638" s="5" t="str">
        <f aca="false">IF(B638="","",IF(C638=0,"NOT FOUND",IF(IF($A638="Bank",INDEX(Bank!$F:$F,$C638),INDEX(GL!$F:$F,$C638))="Y","NOW RECONCILED: refresh","OK")))</f>
        <v/>
      </c>
    </row>
    <row r="639" customFormat="false" ht="15" hidden="false" customHeight="false" outlineLevel="0" collapsed="false">
      <c r="A639" s="41"/>
      <c r="B639" s="41"/>
      <c r="C639" s="5" t="n">
        <f aca="false">IF(B639="",0,IF(A639="Bank",IFERROR(MATCH(B639,Bank!$A:$A,0),0),IFERROR(MATCH(B639,GL!$A:$A,0),0)))</f>
        <v>0</v>
      </c>
      <c r="D639" s="32" t="str">
        <f aca="false">IF(C639=0,"",IF($A639="Bank",INDEX(Bank!$B:$B,$C639),INDEX(GL!$B:$B,$C639)))</f>
        <v/>
      </c>
      <c r="E639" s="5" t="str">
        <f aca="false">IF(C639=0,"",IF($A639="Bank",IF(INDEX(Bank!$C:$C,$C639)="","",INDEX(Bank!$C:$C,$C639)),IF(INDEX(GL!$C:$C,$C639)="","",INDEX(GL!$C:$C,$C639))))</f>
        <v/>
      </c>
      <c r="F639" s="5" t="str">
        <f aca="false">IF(C639=0,"",IF($A639="Bank",IF(INDEX(Bank!$D:$D,$C639)="","",INDEX(Bank!$D:$D,$C639)),IF(INDEX(GL!$D:$D,$C639)="","",INDEX(GL!$D:$D,$C639))))</f>
        <v/>
      </c>
      <c r="G639" s="19" t="str">
        <f aca="false">IF(C639=0,"",IF($A639="Bank",INDEX(Bank!$E:$E,$C639),INDEX(GL!$E:$E,$C639)))</f>
        <v/>
      </c>
      <c r="H639" s="5" t="str">
        <f aca="false">IF(C639=0,"",IF(A639="GL",IF(G639&gt;0,"Deposit in transit","Outstanding check / payment"),IF(G639&gt;0,"Bank credit not in GL","Bank debit not in GL")))</f>
        <v/>
      </c>
      <c r="I639" s="42" t="str">
        <f aca="false">IF(OR(C639=0,CFG_PeriodEnd=""),"",CFG_PeriodEnd-D639)</f>
        <v/>
      </c>
      <c r="J639" s="5" t="str">
        <f aca="false">IF(C639=0,"",IF($A639="Bank",IF(INDEX(Bank!$G:$G,$C639)="","",INDEX(Bank!$G:$G,$C639)),IF(INDEX(GL!$G:$G,$C639)="","",INDEX(GL!$G:$G,$C639))))</f>
        <v/>
      </c>
      <c r="K639" s="5" t="str">
        <f aca="false">IF(C639=0,"",IF($A639="Bank",IF(INDEX(Bank!$I:$I,$C639)="","",INDEX(Bank!$I:$I,$C639)),IF(INDEX(GL!$I:$I,$C639)="","",INDEX(GL!$I:$I,$C639))))</f>
        <v/>
      </c>
      <c r="L639" s="5" t="str">
        <f aca="false">IF(B639="","",IF(C639=0,"NOT FOUND",IF(IF($A639="Bank",INDEX(Bank!$F:$F,$C639),INDEX(GL!$F:$F,$C639))="Y","NOW RECONCILED: refresh","OK")))</f>
        <v/>
      </c>
    </row>
    <row r="640" customFormat="false" ht="15" hidden="false" customHeight="false" outlineLevel="0" collapsed="false">
      <c r="A640" s="41"/>
      <c r="B640" s="41"/>
      <c r="C640" s="5" t="n">
        <f aca="false">IF(B640="",0,IF(A640="Bank",IFERROR(MATCH(B640,Bank!$A:$A,0),0),IFERROR(MATCH(B640,GL!$A:$A,0),0)))</f>
        <v>0</v>
      </c>
      <c r="D640" s="32" t="str">
        <f aca="false">IF(C640=0,"",IF($A640="Bank",INDEX(Bank!$B:$B,$C640),INDEX(GL!$B:$B,$C640)))</f>
        <v/>
      </c>
      <c r="E640" s="5" t="str">
        <f aca="false">IF(C640=0,"",IF($A640="Bank",IF(INDEX(Bank!$C:$C,$C640)="","",INDEX(Bank!$C:$C,$C640)),IF(INDEX(GL!$C:$C,$C640)="","",INDEX(GL!$C:$C,$C640))))</f>
        <v/>
      </c>
      <c r="F640" s="5" t="str">
        <f aca="false">IF(C640=0,"",IF($A640="Bank",IF(INDEX(Bank!$D:$D,$C640)="","",INDEX(Bank!$D:$D,$C640)),IF(INDEX(GL!$D:$D,$C640)="","",INDEX(GL!$D:$D,$C640))))</f>
        <v/>
      </c>
      <c r="G640" s="19" t="str">
        <f aca="false">IF(C640=0,"",IF($A640="Bank",INDEX(Bank!$E:$E,$C640),INDEX(GL!$E:$E,$C640)))</f>
        <v/>
      </c>
      <c r="H640" s="5" t="str">
        <f aca="false">IF(C640=0,"",IF(A640="GL",IF(G640&gt;0,"Deposit in transit","Outstanding check / payment"),IF(G640&gt;0,"Bank credit not in GL","Bank debit not in GL")))</f>
        <v/>
      </c>
      <c r="I640" s="42" t="str">
        <f aca="false">IF(OR(C640=0,CFG_PeriodEnd=""),"",CFG_PeriodEnd-D640)</f>
        <v/>
      </c>
      <c r="J640" s="5" t="str">
        <f aca="false">IF(C640=0,"",IF($A640="Bank",IF(INDEX(Bank!$G:$G,$C640)="","",INDEX(Bank!$G:$G,$C640)),IF(INDEX(GL!$G:$G,$C640)="","",INDEX(GL!$G:$G,$C640))))</f>
        <v/>
      </c>
      <c r="K640" s="5" t="str">
        <f aca="false">IF(C640=0,"",IF($A640="Bank",IF(INDEX(Bank!$I:$I,$C640)="","",INDEX(Bank!$I:$I,$C640)),IF(INDEX(GL!$I:$I,$C640)="","",INDEX(GL!$I:$I,$C640))))</f>
        <v/>
      </c>
      <c r="L640" s="5" t="str">
        <f aca="false">IF(B640="","",IF(C640=0,"NOT FOUND",IF(IF($A640="Bank",INDEX(Bank!$F:$F,$C640),INDEX(GL!$F:$F,$C640))="Y","NOW RECONCILED: refresh","OK")))</f>
        <v/>
      </c>
    </row>
    <row r="641" customFormat="false" ht="15" hidden="false" customHeight="false" outlineLevel="0" collapsed="false">
      <c r="A641" s="41"/>
      <c r="B641" s="41"/>
      <c r="C641" s="5" t="n">
        <f aca="false">IF(B641="",0,IF(A641="Bank",IFERROR(MATCH(B641,Bank!$A:$A,0),0),IFERROR(MATCH(B641,GL!$A:$A,0),0)))</f>
        <v>0</v>
      </c>
      <c r="D641" s="32" t="str">
        <f aca="false">IF(C641=0,"",IF($A641="Bank",INDEX(Bank!$B:$B,$C641),INDEX(GL!$B:$B,$C641)))</f>
        <v/>
      </c>
      <c r="E641" s="5" t="str">
        <f aca="false">IF(C641=0,"",IF($A641="Bank",IF(INDEX(Bank!$C:$C,$C641)="","",INDEX(Bank!$C:$C,$C641)),IF(INDEX(GL!$C:$C,$C641)="","",INDEX(GL!$C:$C,$C641))))</f>
        <v/>
      </c>
      <c r="F641" s="5" t="str">
        <f aca="false">IF(C641=0,"",IF($A641="Bank",IF(INDEX(Bank!$D:$D,$C641)="","",INDEX(Bank!$D:$D,$C641)),IF(INDEX(GL!$D:$D,$C641)="","",INDEX(GL!$D:$D,$C641))))</f>
        <v/>
      </c>
      <c r="G641" s="19" t="str">
        <f aca="false">IF(C641=0,"",IF($A641="Bank",INDEX(Bank!$E:$E,$C641),INDEX(GL!$E:$E,$C641)))</f>
        <v/>
      </c>
      <c r="H641" s="5" t="str">
        <f aca="false">IF(C641=0,"",IF(A641="GL",IF(G641&gt;0,"Deposit in transit","Outstanding check / payment"),IF(G641&gt;0,"Bank credit not in GL","Bank debit not in GL")))</f>
        <v/>
      </c>
      <c r="I641" s="42" t="str">
        <f aca="false">IF(OR(C641=0,CFG_PeriodEnd=""),"",CFG_PeriodEnd-D641)</f>
        <v/>
      </c>
      <c r="J641" s="5" t="str">
        <f aca="false">IF(C641=0,"",IF($A641="Bank",IF(INDEX(Bank!$G:$G,$C641)="","",INDEX(Bank!$G:$G,$C641)),IF(INDEX(GL!$G:$G,$C641)="","",INDEX(GL!$G:$G,$C641))))</f>
        <v/>
      </c>
      <c r="K641" s="5" t="str">
        <f aca="false">IF(C641=0,"",IF($A641="Bank",IF(INDEX(Bank!$I:$I,$C641)="","",INDEX(Bank!$I:$I,$C641)),IF(INDEX(GL!$I:$I,$C641)="","",INDEX(GL!$I:$I,$C641))))</f>
        <v/>
      </c>
      <c r="L641" s="5" t="str">
        <f aca="false">IF(B641="","",IF(C641=0,"NOT FOUND",IF(IF($A641="Bank",INDEX(Bank!$F:$F,$C641),INDEX(GL!$F:$F,$C641))="Y","NOW RECONCILED: refresh","OK")))</f>
        <v/>
      </c>
    </row>
    <row r="642" customFormat="false" ht="15" hidden="false" customHeight="false" outlineLevel="0" collapsed="false">
      <c r="A642" s="41"/>
      <c r="B642" s="41"/>
      <c r="C642" s="5" t="n">
        <f aca="false">IF(B642="",0,IF(A642="Bank",IFERROR(MATCH(B642,Bank!$A:$A,0),0),IFERROR(MATCH(B642,GL!$A:$A,0),0)))</f>
        <v>0</v>
      </c>
      <c r="D642" s="32" t="str">
        <f aca="false">IF(C642=0,"",IF($A642="Bank",INDEX(Bank!$B:$B,$C642),INDEX(GL!$B:$B,$C642)))</f>
        <v/>
      </c>
      <c r="E642" s="5" t="str">
        <f aca="false">IF(C642=0,"",IF($A642="Bank",IF(INDEX(Bank!$C:$C,$C642)="","",INDEX(Bank!$C:$C,$C642)),IF(INDEX(GL!$C:$C,$C642)="","",INDEX(GL!$C:$C,$C642))))</f>
        <v/>
      </c>
      <c r="F642" s="5" t="str">
        <f aca="false">IF(C642=0,"",IF($A642="Bank",IF(INDEX(Bank!$D:$D,$C642)="","",INDEX(Bank!$D:$D,$C642)),IF(INDEX(GL!$D:$D,$C642)="","",INDEX(GL!$D:$D,$C642))))</f>
        <v/>
      </c>
      <c r="G642" s="19" t="str">
        <f aca="false">IF(C642=0,"",IF($A642="Bank",INDEX(Bank!$E:$E,$C642),INDEX(GL!$E:$E,$C642)))</f>
        <v/>
      </c>
      <c r="H642" s="5" t="str">
        <f aca="false">IF(C642=0,"",IF(A642="GL",IF(G642&gt;0,"Deposit in transit","Outstanding check / payment"),IF(G642&gt;0,"Bank credit not in GL","Bank debit not in GL")))</f>
        <v/>
      </c>
      <c r="I642" s="42" t="str">
        <f aca="false">IF(OR(C642=0,CFG_PeriodEnd=""),"",CFG_PeriodEnd-D642)</f>
        <v/>
      </c>
      <c r="J642" s="5" t="str">
        <f aca="false">IF(C642=0,"",IF($A642="Bank",IF(INDEX(Bank!$G:$G,$C642)="","",INDEX(Bank!$G:$G,$C642)),IF(INDEX(GL!$G:$G,$C642)="","",INDEX(GL!$G:$G,$C642))))</f>
        <v/>
      </c>
      <c r="K642" s="5" t="str">
        <f aca="false">IF(C642=0,"",IF($A642="Bank",IF(INDEX(Bank!$I:$I,$C642)="","",INDEX(Bank!$I:$I,$C642)),IF(INDEX(GL!$I:$I,$C642)="","",INDEX(GL!$I:$I,$C642))))</f>
        <v/>
      </c>
      <c r="L642" s="5" t="str">
        <f aca="false">IF(B642="","",IF(C642=0,"NOT FOUND",IF(IF($A642="Bank",INDEX(Bank!$F:$F,$C642),INDEX(GL!$F:$F,$C642))="Y","NOW RECONCILED: refresh","OK")))</f>
        <v/>
      </c>
    </row>
    <row r="643" customFormat="false" ht="15" hidden="false" customHeight="false" outlineLevel="0" collapsed="false">
      <c r="A643" s="41"/>
      <c r="B643" s="41"/>
      <c r="C643" s="5" t="n">
        <f aca="false">IF(B643="",0,IF(A643="Bank",IFERROR(MATCH(B643,Bank!$A:$A,0),0),IFERROR(MATCH(B643,GL!$A:$A,0),0)))</f>
        <v>0</v>
      </c>
      <c r="D643" s="32" t="str">
        <f aca="false">IF(C643=0,"",IF($A643="Bank",INDEX(Bank!$B:$B,$C643),INDEX(GL!$B:$B,$C643)))</f>
        <v/>
      </c>
      <c r="E643" s="5" t="str">
        <f aca="false">IF(C643=0,"",IF($A643="Bank",IF(INDEX(Bank!$C:$C,$C643)="","",INDEX(Bank!$C:$C,$C643)),IF(INDEX(GL!$C:$C,$C643)="","",INDEX(GL!$C:$C,$C643))))</f>
        <v/>
      </c>
      <c r="F643" s="5" t="str">
        <f aca="false">IF(C643=0,"",IF($A643="Bank",IF(INDEX(Bank!$D:$D,$C643)="","",INDEX(Bank!$D:$D,$C643)),IF(INDEX(GL!$D:$D,$C643)="","",INDEX(GL!$D:$D,$C643))))</f>
        <v/>
      </c>
      <c r="G643" s="19" t="str">
        <f aca="false">IF(C643=0,"",IF($A643="Bank",INDEX(Bank!$E:$E,$C643),INDEX(GL!$E:$E,$C643)))</f>
        <v/>
      </c>
      <c r="H643" s="5" t="str">
        <f aca="false">IF(C643=0,"",IF(A643="GL",IF(G643&gt;0,"Deposit in transit","Outstanding check / payment"),IF(G643&gt;0,"Bank credit not in GL","Bank debit not in GL")))</f>
        <v/>
      </c>
      <c r="I643" s="42" t="str">
        <f aca="false">IF(OR(C643=0,CFG_PeriodEnd=""),"",CFG_PeriodEnd-D643)</f>
        <v/>
      </c>
      <c r="J643" s="5" t="str">
        <f aca="false">IF(C643=0,"",IF($A643="Bank",IF(INDEX(Bank!$G:$G,$C643)="","",INDEX(Bank!$G:$G,$C643)),IF(INDEX(GL!$G:$G,$C643)="","",INDEX(GL!$G:$G,$C643))))</f>
        <v/>
      </c>
      <c r="K643" s="5" t="str">
        <f aca="false">IF(C643=0,"",IF($A643="Bank",IF(INDEX(Bank!$I:$I,$C643)="","",INDEX(Bank!$I:$I,$C643)),IF(INDEX(GL!$I:$I,$C643)="","",INDEX(GL!$I:$I,$C643))))</f>
        <v/>
      </c>
      <c r="L643" s="5" t="str">
        <f aca="false">IF(B643="","",IF(C643=0,"NOT FOUND",IF(IF($A643="Bank",INDEX(Bank!$F:$F,$C643),INDEX(GL!$F:$F,$C643))="Y","NOW RECONCILED: refresh","OK")))</f>
        <v/>
      </c>
    </row>
    <row r="644" customFormat="false" ht="15" hidden="false" customHeight="false" outlineLevel="0" collapsed="false">
      <c r="A644" s="41"/>
      <c r="B644" s="41"/>
      <c r="C644" s="5" t="n">
        <f aca="false">IF(B644="",0,IF(A644="Bank",IFERROR(MATCH(B644,Bank!$A:$A,0),0),IFERROR(MATCH(B644,GL!$A:$A,0),0)))</f>
        <v>0</v>
      </c>
      <c r="D644" s="32" t="str">
        <f aca="false">IF(C644=0,"",IF($A644="Bank",INDEX(Bank!$B:$B,$C644),INDEX(GL!$B:$B,$C644)))</f>
        <v/>
      </c>
      <c r="E644" s="5" t="str">
        <f aca="false">IF(C644=0,"",IF($A644="Bank",IF(INDEX(Bank!$C:$C,$C644)="","",INDEX(Bank!$C:$C,$C644)),IF(INDEX(GL!$C:$C,$C644)="","",INDEX(GL!$C:$C,$C644))))</f>
        <v/>
      </c>
      <c r="F644" s="5" t="str">
        <f aca="false">IF(C644=0,"",IF($A644="Bank",IF(INDEX(Bank!$D:$D,$C644)="","",INDEX(Bank!$D:$D,$C644)),IF(INDEX(GL!$D:$D,$C644)="","",INDEX(GL!$D:$D,$C644))))</f>
        <v/>
      </c>
      <c r="G644" s="19" t="str">
        <f aca="false">IF(C644=0,"",IF($A644="Bank",INDEX(Bank!$E:$E,$C644),INDEX(GL!$E:$E,$C644)))</f>
        <v/>
      </c>
      <c r="H644" s="5" t="str">
        <f aca="false">IF(C644=0,"",IF(A644="GL",IF(G644&gt;0,"Deposit in transit","Outstanding check / payment"),IF(G644&gt;0,"Bank credit not in GL","Bank debit not in GL")))</f>
        <v/>
      </c>
      <c r="I644" s="42" t="str">
        <f aca="false">IF(OR(C644=0,CFG_PeriodEnd=""),"",CFG_PeriodEnd-D644)</f>
        <v/>
      </c>
      <c r="J644" s="5" t="str">
        <f aca="false">IF(C644=0,"",IF($A644="Bank",IF(INDEX(Bank!$G:$G,$C644)="","",INDEX(Bank!$G:$G,$C644)),IF(INDEX(GL!$G:$G,$C644)="","",INDEX(GL!$G:$G,$C644))))</f>
        <v/>
      </c>
      <c r="K644" s="5" t="str">
        <f aca="false">IF(C644=0,"",IF($A644="Bank",IF(INDEX(Bank!$I:$I,$C644)="","",INDEX(Bank!$I:$I,$C644)),IF(INDEX(GL!$I:$I,$C644)="","",INDEX(GL!$I:$I,$C644))))</f>
        <v/>
      </c>
      <c r="L644" s="5" t="str">
        <f aca="false">IF(B644="","",IF(C644=0,"NOT FOUND",IF(IF($A644="Bank",INDEX(Bank!$F:$F,$C644),INDEX(GL!$F:$F,$C644))="Y","NOW RECONCILED: refresh","OK")))</f>
        <v/>
      </c>
    </row>
    <row r="645" customFormat="false" ht="15" hidden="false" customHeight="false" outlineLevel="0" collapsed="false">
      <c r="A645" s="41"/>
      <c r="B645" s="41"/>
      <c r="C645" s="5" t="n">
        <f aca="false">IF(B645="",0,IF(A645="Bank",IFERROR(MATCH(B645,Bank!$A:$A,0),0),IFERROR(MATCH(B645,GL!$A:$A,0),0)))</f>
        <v>0</v>
      </c>
      <c r="D645" s="32" t="str">
        <f aca="false">IF(C645=0,"",IF($A645="Bank",INDEX(Bank!$B:$B,$C645),INDEX(GL!$B:$B,$C645)))</f>
        <v/>
      </c>
      <c r="E645" s="5" t="str">
        <f aca="false">IF(C645=0,"",IF($A645="Bank",IF(INDEX(Bank!$C:$C,$C645)="","",INDEX(Bank!$C:$C,$C645)),IF(INDEX(GL!$C:$C,$C645)="","",INDEX(GL!$C:$C,$C645))))</f>
        <v/>
      </c>
      <c r="F645" s="5" t="str">
        <f aca="false">IF(C645=0,"",IF($A645="Bank",IF(INDEX(Bank!$D:$D,$C645)="","",INDEX(Bank!$D:$D,$C645)),IF(INDEX(GL!$D:$D,$C645)="","",INDEX(GL!$D:$D,$C645))))</f>
        <v/>
      </c>
      <c r="G645" s="19" t="str">
        <f aca="false">IF(C645=0,"",IF($A645="Bank",INDEX(Bank!$E:$E,$C645),INDEX(GL!$E:$E,$C645)))</f>
        <v/>
      </c>
      <c r="H645" s="5" t="str">
        <f aca="false">IF(C645=0,"",IF(A645="GL",IF(G645&gt;0,"Deposit in transit","Outstanding check / payment"),IF(G645&gt;0,"Bank credit not in GL","Bank debit not in GL")))</f>
        <v/>
      </c>
      <c r="I645" s="42" t="str">
        <f aca="false">IF(OR(C645=0,CFG_PeriodEnd=""),"",CFG_PeriodEnd-D645)</f>
        <v/>
      </c>
      <c r="J645" s="5" t="str">
        <f aca="false">IF(C645=0,"",IF($A645="Bank",IF(INDEX(Bank!$G:$G,$C645)="","",INDEX(Bank!$G:$G,$C645)),IF(INDEX(GL!$G:$G,$C645)="","",INDEX(GL!$G:$G,$C645))))</f>
        <v/>
      </c>
      <c r="K645" s="5" t="str">
        <f aca="false">IF(C645=0,"",IF($A645="Bank",IF(INDEX(Bank!$I:$I,$C645)="","",INDEX(Bank!$I:$I,$C645)),IF(INDEX(GL!$I:$I,$C645)="","",INDEX(GL!$I:$I,$C645))))</f>
        <v/>
      </c>
      <c r="L645" s="5" t="str">
        <f aca="false">IF(B645="","",IF(C645=0,"NOT FOUND",IF(IF($A645="Bank",INDEX(Bank!$F:$F,$C645),INDEX(GL!$F:$F,$C645))="Y","NOW RECONCILED: refresh","OK")))</f>
        <v/>
      </c>
    </row>
    <row r="646" customFormat="false" ht="15" hidden="false" customHeight="false" outlineLevel="0" collapsed="false">
      <c r="A646" s="41"/>
      <c r="B646" s="41"/>
      <c r="C646" s="5" t="n">
        <f aca="false">IF(B646="",0,IF(A646="Bank",IFERROR(MATCH(B646,Bank!$A:$A,0),0),IFERROR(MATCH(B646,GL!$A:$A,0),0)))</f>
        <v>0</v>
      </c>
      <c r="D646" s="32" t="str">
        <f aca="false">IF(C646=0,"",IF($A646="Bank",INDEX(Bank!$B:$B,$C646),INDEX(GL!$B:$B,$C646)))</f>
        <v/>
      </c>
      <c r="E646" s="5" t="str">
        <f aca="false">IF(C646=0,"",IF($A646="Bank",IF(INDEX(Bank!$C:$C,$C646)="","",INDEX(Bank!$C:$C,$C646)),IF(INDEX(GL!$C:$C,$C646)="","",INDEX(GL!$C:$C,$C646))))</f>
        <v/>
      </c>
      <c r="F646" s="5" t="str">
        <f aca="false">IF(C646=0,"",IF($A646="Bank",IF(INDEX(Bank!$D:$D,$C646)="","",INDEX(Bank!$D:$D,$C646)),IF(INDEX(GL!$D:$D,$C646)="","",INDEX(GL!$D:$D,$C646))))</f>
        <v/>
      </c>
      <c r="G646" s="19" t="str">
        <f aca="false">IF(C646=0,"",IF($A646="Bank",INDEX(Bank!$E:$E,$C646),INDEX(GL!$E:$E,$C646)))</f>
        <v/>
      </c>
      <c r="H646" s="5" t="str">
        <f aca="false">IF(C646=0,"",IF(A646="GL",IF(G646&gt;0,"Deposit in transit","Outstanding check / payment"),IF(G646&gt;0,"Bank credit not in GL","Bank debit not in GL")))</f>
        <v/>
      </c>
      <c r="I646" s="42" t="str">
        <f aca="false">IF(OR(C646=0,CFG_PeriodEnd=""),"",CFG_PeriodEnd-D646)</f>
        <v/>
      </c>
      <c r="J646" s="5" t="str">
        <f aca="false">IF(C646=0,"",IF($A646="Bank",IF(INDEX(Bank!$G:$G,$C646)="","",INDEX(Bank!$G:$G,$C646)),IF(INDEX(GL!$G:$G,$C646)="","",INDEX(GL!$G:$G,$C646))))</f>
        <v/>
      </c>
      <c r="K646" s="5" t="str">
        <f aca="false">IF(C646=0,"",IF($A646="Bank",IF(INDEX(Bank!$I:$I,$C646)="","",INDEX(Bank!$I:$I,$C646)),IF(INDEX(GL!$I:$I,$C646)="","",INDEX(GL!$I:$I,$C646))))</f>
        <v/>
      </c>
      <c r="L646" s="5" t="str">
        <f aca="false">IF(B646="","",IF(C646=0,"NOT FOUND",IF(IF($A646="Bank",INDEX(Bank!$F:$F,$C646),INDEX(GL!$F:$F,$C646))="Y","NOW RECONCILED: refresh","OK")))</f>
        <v/>
      </c>
    </row>
    <row r="647" customFormat="false" ht="15" hidden="false" customHeight="false" outlineLevel="0" collapsed="false">
      <c r="A647" s="41"/>
      <c r="B647" s="41"/>
      <c r="C647" s="5" t="n">
        <f aca="false">IF(B647="",0,IF(A647="Bank",IFERROR(MATCH(B647,Bank!$A:$A,0),0),IFERROR(MATCH(B647,GL!$A:$A,0),0)))</f>
        <v>0</v>
      </c>
      <c r="D647" s="32" t="str">
        <f aca="false">IF(C647=0,"",IF($A647="Bank",INDEX(Bank!$B:$B,$C647),INDEX(GL!$B:$B,$C647)))</f>
        <v/>
      </c>
      <c r="E647" s="5" t="str">
        <f aca="false">IF(C647=0,"",IF($A647="Bank",IF(INDEX(Bank!$C:$C,$C647)="","",INDEX(Bank!$C:$C,$C647)),IF(INDEX(GL!$C:$C,$C647)="","",INDEX(GL!$C:$C,$C647))))</f>
        <v/>
      </c>
      <c r="F647" s="5" t="str">
        <f aca="false">IF(C647=0,"",IF($A647="Bank",IF(INDEX(Bank!$D:$D,$C647)="","",INDEX(Bank!$D:$D,$C647)),IF(INDEX(GL!$D:$D,$C647)="","",INDEX(GL!$D:$D,$C647))))</f>
        <v/>
      </c>
      <c r="G647" s="19" t="str">
        <f aca="false">IF(C647=0,"",IF($A647="Bank",INDEX(Bank!$E:$E,$C647),INDEX(GL!$E:$E,$C647)))</f>
        <v/>
      </c>
      <c r="H647" s="5" t="str">
        <f aca="false">IF(C647=0,"",IF(A647="GL",IF(G647&gt;0,"Deposit in transit","Outstanding check / payment"),IF(G647&gt;0,"Bank credit not in GL","Bank debit not in GL")))</f>
        <v/>
      </c>
      <c r="I647" s="42" t="str">
        <f aca="false">IF(OR(C647=0,CFG_PeriodEnd=""),"",CFG_PeriodEnd-D647)</f>
        <v/>
      </c>
      <c r="J647" s="5" t="str">
        <f aca="false">IF(C647=0,"",IF($A647="Bank",IF(INDEX(Bank!$G:$G,$C647)="","",INDEX(Bank!$G:$G,$C647)),IF(INDEX(GL!$G:$G,$C647)="","",INDEX(GL!$G:$G,$C647))))</f>
        <v/>
      </c>
      <c r="K647" s="5" t="str">
        <f aca="false">IF(C647=0,"",IF($A647="Bank",IF(INDEX(Bank!$I:$I,$C647)="","",INDEX(Bank!$I:$I,$C647)),IF(INDEX(GL!$I:$I,$C647)="","",INDEX(GL!$I:$I,$C647))))</f>
        <v/>
      </c>
      <c r="L647" s="5" t="str">
        <f aca="false">IF(B647="","",IF(C647=0,"NOT FOUND",IF(IF($A647="Bank",INDEX(Bank!$F:$F,$C647),INDEX(GL!$F:$F,$C647))="Y","NOW RECONCILED: refresh","OK")))</f>
        <v/>
      </c>
    </row>
    <row r="648" customFormat="false" ht="15" hidden="false" customHeight="false" outlineLevel="0" collapsed="false">
      <c r="A648" s="41"/>
      <c r="B648" s="41"/>
      <c r="C648" s="5" t="n">
        <f aca="false">IF(B648="",0,IF(A648="Bank",IFERROR(MATCH(B648,Bank!$A:$A,0),0),IFERROR(MATCH(B648,GL!$A:$A,0),0)))</f>
        <v>0</v>
      </c>
      <c r="D648" s="32" t="str">
        <f aca="false">IF(C648=0,"",IF($A648="Bank",INDEX(Bank!$B:$B,$C648),INDEX(GL!$B:$B,$C648)))</f>
        <v/>
      </c>
      <c r="E648" s="5" t="str">
        <f aca="false">IF(C648=0,"",IF($A648="Bank",IF(INDEX(Bank!$C:$C,$C648)="","",INDEX(Bank!$C:$C,$C648)),IF(INDEX(GL!$C:$C,$C648)="","",INDEX(GL!$C:$C,$C648))))</f>
        <v/>
      </c>
      <c r="F648" s="5" t="str">
        <f aca="false">IF(C648=0,"",IF($A648="Bank",IF(INDEX(Bank!$D:$D,$C648)="","",INDEX(Bank!$D:$D,$C648)),IF(INDEX(GL!$D:$D,$C648)="","",INDEX(GL!$D:$D,$C648))))</f>
        <v/>
      </c>
      <c r="G648" s="19" t="str">
        <f aca="false">IF(C648=0,"",IF($A648="Bank",INDEX(Bank!$E:$E,$C648),INDEX(GL!$E:$E,$C648)))</f>
        <v/>
      </c>
      <c r="H648" s="5" t="str">
        <f aca="false">IF(C648=0,"",IF(A648="GL",IF(G648&gt;0,"Deposit in transit","Outstanding check / payment"),IF(G648&gt;0,"Bank credit not in GL","Bank debit not in GL")))</f>
        <v/>
      </c>
      <c r="I648" s="42" t="str">
        <f aca="false">IF(OR(C648=0,CFG_PeriodEnd=""),"",CFG_PeriodEnd-D648)</f>
        <v/>
      </c>
      <c r="J648" s="5" t="str">
        <f aca="false">IF(C648=0,"",IF($A648="Bank",IF(INDEX(Bank!$G:$G,$C648)="","",INDEX(Bank!$G:$G,$C648)),IF(INDEX(GL!$G:$G,$C648)="","",INDEX(GL!$G:$G,$C648))))</f>
        <v/>
      </c>
      <c r="K648" s="5" t="str">
        <f aca="false">IF(C648=0,"",IF($A648="Bank",IF(INDEX(Bank!$I:$I,$C648)="","",INDEX(Bank!$I:$I,$C648)),IF(INDEX(GL!$I:$I,$C648)="","",INDEX(GL!$I:$I,$C648))))</f>
        <v/>
      </c>
      <c r="L648" s="5" t="str">
        <f aca="false">IF(B648="","",IF(C648=0,"NOT FOUND",IF(IF($A648="Bank",INDEX(Bank!$F:$F,$C648),INDEX(GL!$F:$F,$C648))="Y","NOW RECONCILED: refresh","OK")))</f>
        <v/>
      </c>
    </row>
    <row r="649" customFormat="false" ht="15" hidden="false" customHeight="false" outlineLevel="0" collapsed="false">
      <c r="A649" s="41"/>
      <c r="B649" s="41"/>
      <c r="C649" s="5" t="n">
        <f aca="false">IF(B649="",0,IF(A649="Bank",IFERROR(MATCH(B649,Bank!$A:$A,0),0),IFERROR(MATCH(B649,GL!$A:$A,0),0)))</f>
        <v>0</v>
      </c>
      <c r="D649" s="32" t="str">
        <f aca="false">IF(C649=0,"",IF($A649="Bank",INDEX(Bank!$B:$B,$C649),INDEX(GL!$B:$B,$C649)))</f>
        <v/>
      </c>
      <c r="E649" s="5" t="str">
        <f aca="false">IF(C649=0,"",IF($A649="Bank",IF(INDEX(Bank!$C:$C,$C649)="","",INDEX(Bank!$C:$C,$C649)),IF(INDEX(GL!$C:$C,$C649)="","",INDEX(GL!$C:$C,$C649))))</f>
        <v/>
      </c>
      <c r="F649" s="5" t="str">
        <f aca="false">IF(C649=0,"",IF($A649="Bank",IF(INDEX(Bank!$D:$D,$C649)="","",INDEX(Bank!$D:$D,$C649)),IF(INDEX(GL!$D:$D,$C649)="","",INDEX(GL!$D:$D,$C649))))</f>
        <v/>
      </c>
      <c r="G649" s="19" t="str">
        <f aca="false">IF(C649=0,"",IF($A649="Bank",INDEX(Bank!$E:$E,$C649),INDEX(GL!$E:$E,$C649)))</f>
        <v/>
      </c>
      <c r="H649" s="5" t="str">
        <f aca="false">IF(C649=0,"",IF(A649="GL",IF(G649&gt;0,"Deposit in transit","Outstanding check / payment"),IF(G649&gt;0,"Bank credit not in GL","Bank debit not in GL")))</f>
        <v/>
      </c>
      <c r="I649" s="42" t="str">
        <f aca="false">IF(OR(C649=0,CFG_PeriodEnd=""),"",CFG_PeriodEnd-D649)</f>
        <v/>
      </c>
      <c r="J649" s="5" t="str">
        <f aca="false">IF(C649=0,"",IF($A649="Bank",IF(INDEX(Bank!$G:$G,$C649)="","",INDEX(Bank!$G:$G,$C649)),IF(INDEX(GL!$G:$G,$C649)="","",INDEX(GL!$G:$G,$C649))))</f>
        <v/>
      </c>
      <c r="K649" s="5" t="str">
        <f aca="false">IF(C649=0,"",IF($A649="Bank",IF(INDEX(Bank!$I:$I,$C649)="","",INDEX(Bank!$I:$I,$C649)),IF(INDEX(GL!$I:$I,$C649)="","",INDEX(GL!$I:$I,$C649))))</f>
        <v/>
      </c>
      <c r="L649" s="5" t="str">
        <f aca="false">IF(B649="","",IF(C649=0,"NOT FOUND",IF(IF($A649="Bank",INDEX(Bank!$F:$F,$C649),INDEX(GL!$F:$F,$C649))="Y","NOW RECONCILED: refresh","OK")))</f>
        <v/>
      </c>
    </row>
    <row r="650" customFormat="false" ht="15" hidden="false" customHeight="false" outlineLevel="0" collapsed="false">
      <c r="A650" s="41"/>
      <c r="B650" s="41"/>
      <c r="C650" s="5" t="n">
        <f aca="false">IF(B650="",0,IF(A650="Bank",IFERROR(MATCH(B650,Bank!$A:$A,0),0),IFERROR(MATCH(B650,GL!$A:$A,0),0)))</f>
        <v>0</v>
      </c>
      <c r="D650" s="32" t="str">
        <f aca="false">IF(C650=0,"",IF($A650="Bank",INDEX(Bank!$B:$B,$C650),INDEX(GL!$B:$B,$C650)))</f>
        <v/>
      </c>
      <c r="E650" s="5" t="str">
        <f aca="false">IF(C650=0,"",IF($A650="Bank",IF(INDEX(Bank!$C:$C,$C650)="","",INDEX(Bank!$C:$C,$C650)),IF(INDEX(GL!$C:$C,$C650)="","",INDEX(GL!$C:$C,$C650))))</f>
        <v/>
      </c>
      <c r="F650" s="5" t="str">
        <f aca="false">IF(C650=0,"",IF($A650="Bank",IF(INDEX(Bank!$D:$D,$C650)="","",INDEX(Bank!$D:$D,$C650)),IF(INDEX(GL!$D:$D,$C650)="","",INDEX(GL!$D:$D,$C650))))</f>
        <v/>
      </c>
      <c r="G650" s="19" t="str">
        <f aca="false">IF(C650=0,"",IF($A650="Bank",INDEX(Bank!$E:$E,$C650),INDEX(GL!$E:$E,$C650)))</f>
        <v/>
      </c>
      <c r="H650" s="5" t="str">
        <f aca="false">IF(C650=0,"",IF(A650="GL",IF(G650&gt;0,"Deposit in transit","Outstanding check / payment"),IF(G650&gt;0,"Bank credit not in GL","Bank debit not in GL")))</f>
        <v/>
      </c>
      <c r="I650" s="42" t="str">
        <f aca="false">IF(OR(C650=0,CFG_PeriodEnd=""),"",CFG_PeriodEnd-D650)</f>
        <v/>
      </c>
      <c r="J650" s="5" t="str">
        <f aca="false">IF(C650=0,"",IF($A650="Bank",IF(INDEX(Bank!$G:$G,$C650)="","",INDEX(Bank!$G:$G,$C650)),IF(INDEX(GL!$G:$G,$C650)="","",INDEX(GL!$G:$G,$C650))))</f>
        <v/>
      </c>
      <c r="K650" s="5" t="str">
        <f aca="false">IF(C650=0,"",IF($A650="Bank",IF(INDEX(Bank!$I:$I,$C650)="","",INDEX(Bank!$I:$I,$C650)),IF(INDEX(GL!$I:$I,$C650)="","",INDEX(GL!$I:$I,$C650))))</f>
        <v/>
      </c>
      <c r="L650" s="5" t="str">
        <f aca="false">IF(B650="","",IF(C650=0,"NOT FOUND",IF(IF($A650="Bank",INDEX(Bank!$F:$F,$C650),INDEX(GL!$F:$F,$C650))="Y","NOW RECONCILED: refresh","OK")))</f>
        <v/>
      </c>
    </row>
    <row r="651" customFormat="false" ht="15" hidden="false" customHeight="false" outlineLevel="0" collapsed="false">
      <c r="A651" s="41"/>
      <c r="B651" s="41"/>
      <c r="C651" s="5" t="n">
        <f aca="false">IF(B651="",0,IF(A651="Bank",IFERROR(MATCH(B651,Bank!$A:$A,0),0),IFERROR(MATCH(B651,GL!$A:$A,0),0)))</f>
        <v>0</v>
      </c>
      <c r="D651" s="32" t="str">
        <f aca="false">IF(C651=0,"",IF($A651="Bank",INDEX(Bank!$B:$B,$C651),INDEX(GL!$B:$B,$C651)))</f>
        <v/>
      </c>
      <c r="E651" s="5" t="str">
        <f aca="false">IF(C651=0,"",IF($A651="Bank",IF(INDEX(Bank!$C:$C,$C651)="","",INDEX(Bank!$C:$C,$C651)),IF(INDEX(GL!$C:$C,$C651)="","",INDEX(GL!$C:$C,$C651))))</f>
        <v/>
      </c>
      <c r="F651" s="5" t="str">
        <f aca="false">IF(C651=0,"",IF($A651="Bank",IF(INDEX(Bank!$D:$D,$C651)="","",INDEX(Bank!$D:$D,$C651)),IF(INDEX(GL!$D:$D,$C651)="","",INDEX(GL!$D:$D,$C651))))</f>
        <v/>
      </c>
      <c r="G651" s="19" t="str">
        <f aca="false">IF(C651=0,"",IF($A651="Bank",INDEX(Bank!$E:$E,$C651),INDEX(GL!$E:$E,$C651)))</f>
        <v/>
      </c>
      <c r="H651" s="5" t="str">
        <f aca="false">IF(C651=0,"",IF(A651="GL",IF(G651&gt;0,"Deposit in transit","Outstanding check / payment"),IF(G651&gt;0,"Bank credit not in GL","Bank debit not in GL")))</f>
        <v/>
      </c>
      <c r="I651" s="42" t="str">
        <f aca="false">IF(OR(C651=0,CFG_PeriodEnd=""),"",CFG_PeriodEnd-D651)</f>
        <v/>
      </c>
      <c r="J651" s="5" t="str">
        <f aca="false">IF(C651=0,"",IF($A651="Bank",IF(INDEX(Bank!$G:$G,$C651)="","",INDEX(Bank!$G:$G,$C651)),IF(INDEX(GL!$G:$G,$C651)="","",INDEX(GL!$G:$G,$C651))))</f>
        <v/>
      </c>
      <c r="K651" s="5" t="str">
        <f aca="false">IF(C651=0,"",IF($A651="Bank",IF(INDEX(Bank!$I:$I,$C651)="","",INDEX(Bank!$I:$I,$C651)),IF(INDEX(GL!$I:$I,$C651)="","",INDEX(GL!$I:$I,$C651))))</f>
        <v/>
      </c>
      <c r="L651" s="5" t="str">
        <f aca="false">IF(B651="","",IF(C651=0,"NOT FOUND",IF(IF($A651="Bank",INDEX(Bank!$F:$F,$C651),INDEX(GL!$F:$F,$C651))="Y","NOW RECONCILED: refresh","OK")))</f>
        <v/>
      </c>
    </row>
    <row r="652" customFormat="false" ht="15" hidden="false" customHeight="false" outlineLevel="0" collapsed="false">
      <c r="A652" s="41"/>
      <c r="B652" s="41"/>
      <c r="C652" s="5" t="n">
        <f aca="false">IF(B652="",0,IF(A652="Bank",IFERROR(MATCH(B652,Bank!$A:$A,0),0),IFERROR(MATCH(B652,GL!$A:$A,0),0)))</f>
        <v>0</v>
      </c>
      <c r="D652" s="32" t="str">
        <f aca="false">IF(C652=0,"",IF($A652="Bank",INDEX(Bank!$B:$B,$C652),INDEX(GL!$B:$B,$C652)))</f>
        <v/>
      </c>
      <c r="E652" s="5" t="str">
        <f aca="false">IF(C652=0,"",IF($A652="Bank",IF(INDEX(Bank!$C:$C,$C652)="","",INDEX(Bank!$C:$C,$C652)),IF(INDEX(GL!$C:$C,$C652)="","",INDEX(GL!$C:$C,$C652))))</f>
        <v/>
      </c>
      <c r="F652" s="5" t="str">
        <f aca="false">IF(C652=0,"",IF($A652="Bank",IF(INDEX(Bank!$D:$D,$C652)="","",INDEX(Bank!$D:$D,$C652)),IF(INDEX(GL!$D:$D,$C652)="","",INDEX(GL!$D:$D,$C652))))</f>
        <v/>
      </c>
      <c r="G652" s="19" t="str">
        <f aca="false">IF(C652=0,"",IF($A652="Bank",INDEX(Bank!$E:$E,$C652),INDEX(GL!$E:$E,$C652)))</f>
        <v/>
      </c>
      <c r="H652" s="5" t="str">
        <f aca="false">IF(C652=0,"",IF(A652="GL",IF(G652&gt;0,"Deposit in transit","Outstanding check / payment"),IF(G652&gt;0,"Bank credit not in GL","Bank debit not in GL")))</f>
        <v/>
      </c>
      <c r="I652" s="42" t="str">
        <f aca="false">IF(OR(C652=0,CFG_PeriodEnd=""),"",CFG_PeriodEnd-D652)</f>
        <v/>
      </c>
      <c r="J652" s="5" t="str">
        <f aca="false">IF(C652=0,"",IF($A652="Bank",IF(INDEX(Bank!$G:$G,$C652)="","",INDEX(Bank!$G:$G,$C652)),IF(INDEX(GL!$G:$G,$C652)="","",INDEX(GL!$G:$G,$C652))))</f>
        <v/>
      </c>
      <c r="K652" s="5" t="str">
        <f aca="false">IF(C652=0,"",IF($A652="Bank",IF(INDEX(Bank!$I:$I,$C652)="","",INDEX(Bank!$I:$I,$C652)),IF(INDEX(GL!$I:$I,$C652)="","",INDEX(GL!$I:$I,$C652))))</f>
        <v/>
      </c>
      <c r="L652" s="5" t="str">
        <f aca="false">IF(B652="","",IF(C652=0,"NOT FOUND",IF(IF($A652="Bank",INDEX(Bank!$F:$F,$C652),INDEX(GL!$F:$F,$C652))="Y","NOW RECONCILED: refresh","OK")))</f>
        <v/>
      </c>
    </row>
    <row r="653" customFormat="false" ht="15" hidden="false" customHeight="false" outlineLevel="0" collapsed="false">
      <c r="A653" s="41"/>
      <c r="B653" s="41"/>
      <c r="C653" s="5" t="n">
        <f aca="false">IF(B653="",0,IF(A653="Bank",IFERROR(MATCH(B653,Bank!$A:$A,0),0),IFERROR(MATCH(B653,GL!$A:$A,0),0)))</f>
        <v>0</v>
      </c>
      <c r="D653" s="32" t="str">
        <f aca="false">IF(C653=0,"",IF($A653="Bank",INDEX(Bank!$B:$B,$C653),INDEX(GL!$B:$B,$C653)))</f>
        <v/>
      </c>
      <c r="E653" s="5" t="str">
        <f aca="false">IF(C653=0,"",IF($A653="Bank",IF(INDEX(Bank!$C:$C,$C653)="","",INDEX(Bank!$C:$C,$C653)),IF(INDEX(GL!$C:$C,$C653)="","",INDEX(GL!$C:$C,$C653))))</f>
        <v/>
      </c>
      <c r="F653" s="5" t="str">
        <f aca="false">IF(C653=0,"",IF($A653="Bank",IF(INDEX(Bank!$D:$D,$C653)="","",INDEX(Bank!$D:$D,$C653)),IF(INDEX(GL!$D:$D,$C653)="","",INDEX(GL!$D:$D,$C653))))</f>
        <v/>
      </c>
      <c r="G653" s="19" t="str">
        <f aca="false">IF(C653=0,"",IF($A653="Bank",INDEX(Bank!$E:$E,$C653),INDEX(GL!$E:$E,$C653)))</f>
        <v/>
      </c>
      <c r="H653" s="5" t="str">
        <f aca="false">IF(C653=0,"",IF(A653="GL",IF(G653&gt;0,"Deposit in transit","Outstanding check / payment"),IF(G653&gt;0,"Bank credit not in GL","Bank debit not in GL")))</f>
        <v/>
      </c>
      <c r="I653" s="42" t="str">
        <f aca="false">IF(OR(C653=0,CFG_PeriodEnd=""),"",CFG_PeriodEnd-D653)</f>
        <v/>
      </c>
      <c r="J653" s="5" t="str">
        <f aca="false">IF(C653=0,"",IF($A653="Bank",IF(INDEX(Bank!$G:$G,$C653)="","",INDEX(Bank!$G:$G,$C653)),IF(INDEX(GL!$G:$G,$C653)="","",INDEX(GL!$G:$G,$C653))))</f>
        <v/>
      </c>
      <c r="K653" s="5" t="str">
        <f aca="false">IF(C653=0,"",IF($A653="Bank",IF(INDEX(Bank!$I:$I,$C653)="","",INDEX(Bank!$I:$I,$C653)),IF(INDEX(GL!$I:$I,$C653)="","",INDEX(GL!$I:$I,$C653))))</f>
        <v/>
      </c>
      <c r="L653" s="5" t="str">
        <f aca="false">IF(B653="","",IF(C653=0,"NOT FOUND",IF(IF($A653="Bank",INDEX(Bank!$F:$F,$C653),INDEX(GL!$F:$F,$C653))="Y","NOW RECONCILED: refresh","OK")))</f>
        <v/>
      </c>
    </row>
    <row r="654" customFormat="false" ht="15" hidden="false" customHeight="false" outlineLevel="0" collapsed="false">
      <c r="A654" s="41"/>
      <c r="B654" s="41"/>
      <c r="C654" s="5" t="n">
        <f aca="false">IF(B654="",0,IF(A654="Bank",IFERROR(MATCH(B654,Bank!$A:$A,0),0),IFERROR(MATCH(B654,GL!$A:$A,0),0)))</f>
        <v>0</v>
      </c>
      <c r="D654" s="32" t="str">
        <f aca="false">IF(C654=0,"",IF($A654="Bank",INDEX(Bank!$B:$B,$C654),INDEX(GL!$B:$B,$C654)))</f>
        <v/>
      </c>
      <c r="E654" s="5" t="str">
        <f aca="false">IF(C654=0,"",IF($A654="Bank",IF(INDEX(Bank!$C:$C,$C654)="","",INDEX(Bank!$C:$C,$C654)),IF(INDEX(GL!$C:$C,$C654)="","",INDEX(GL!$C:$C,$C654))))</f>
        <v/>
      </c>
      <c r="F654" s="5" t="str">
        <f aca="false">IF(C654=0,"",IF($A654="Bank",IF(INDEX(Bank!$D:$D,$C654)="","",INDEX(Bank!$D:$D,$C654)),IF(INDEX(GL!$D:$D,$C654)="","",INDEX(GL!$D:$D,$C654))))</f>
        <v/>
      </c>
      <c r="G654" s="19" t="str">
        <f aca="false">IF(C654=0,"",IF($A654="Bank",INDEX(Bank!$E:$E,$C654),INDEX(GL!$E:$E,$C654)))</f>
        <v/>
      </c>
      <c r="H654" s="5" t="str">
        <f aca="false">IF(C654=0,"",IF(A654="GL",IF(G654&gt;0,"Deposit in transit","Outstanding check / payment"),IF(G654&gt;0,"Bank credit not in GL","Bank debit not in GL")))</f>
        <v/>
      </c>
      <c r="I654" s="42" t="str">
        <f aca="false">IF(OR(C654=0,CFG_PeriodEnd=""),"",CFG_PeriodEnd-D654)</f>
        <v/>
      </c>
      <c r="J654" s="5" t="str">
        <f aca="false">IF(C654=0,"",IF($A654="Bank",IF(INDEX(Bank!$G:$G,$C654)="","",INDEX(Bank!$G:$G,$C654)),IF(INDEX(GL!$G:$G,$C654)="","",INDEX(GL!$G:$G,$C654))))</f>
        <v/>
      </c>
      <c r="K654" s="5" t="str">
        <f aca="false">IF(C654=0,"",IF($A654="Bank",IF(INDEX(Bank!$I:$I,$C654)="","",INDEX(Bank!$I:$I,$C654)),IF(INDEX(GL!$I:$I,$C654)="","",INDEX(GL!$I:$I,$C654))))</f>
        <v/>
      </c>
      <c r="L654" s="5" t="str">
        <f aca="false">IF(B654="","",IF(C654=0,"NOT FOUND",IF(IF($A654="Bank",INDEX(Bank!$F:$F,$C654),INDEX(GL!$F:$F,$C654))="Y","NOW RECONCILED: refresh","OK")))</f>
        <v/>
      </c>
    </row>
    <row r="655" customFormat="false" ht="15" hidden="false" customHeight="false" outlineLevel="0" collapsed="false">
      <c r="A655" s="41"/>
      <c r="B655" s="41"/>
      <c r="C655" s="5" t="n">
        <f aca="false">IF(B655="",0,IF(A655="Bank",IFERROR(MATCH(B655,Bank!$A:$A,0),0),IFERROR(MATCH(B655,GL!$A:$A,0),0)))</f>
        <v>0</v>
      </c>
      <c r="D655" s="32" t="str">
        <f aca="false">IF(C655=0,"",IF($A655="Bank",INDEX(Bank!$B:$B,$C655),INDEX(GL!$B:$B,$C655)))</f>
        <v/>
      </c>
      <c r="E655" s="5" t="str">
        <f aca="false">IF(C655=0,"",IF($A655="Bank",IF(INDEX(Bank!$C:$C,$C655)="","",INDEX(Bank!$C:$C,$C655)),IF(INDEX(GL!$C:$C,$C655)="","",INDEX(GL!$C:$C,$C655))))</f>
        <v/>
      </c>
      <c r="F655" s="5" t="str">
        <f aca="false">IF(C655=0,"",IF($A655="Bank",IF(INDEX(Bank!$D:$D,$C655)="","",INDEX(Bank!$D:$D,$C655)),IF(INDEX(GL!$D:$D,$C655)="","",INDEX(GL!$D:$D,$C655))))</f>
        <v/>
      </c>
      <c r="G655" s="19" t="str">
        <f aca="false">IF(C655=0,"",IF($A655="Bank",INDEX(Bank!$E:$E,$C655),INDEX(GL!$E:$E,$C655)))</f>
        <v/>
      </c>
      <c r="H655" s="5" t="str">
        <f aca="false">IF(C655=0,"",IF(A655="GL",IF(G655&gt;0,"Deposit in transit","Outstanding check / payment"),IF(G655&gt;0,"Bank credit not in GL","Bank debit not in GL")))</f>
        <v/>
      </c>
      <c r="I655" s="42" t="str">
        <f aca="false">IF(OR(C655=0,CFG_PeriodEnd=""),"",CFG_PeriodEnd-D655)</f>
        <v/>
      </c>
      <c r="J655" s="5" t="str">
        <f aca="false">IF(C655=0,"",IF($A655="Bank",IF(INDEX(Bank!$G:$G,$C655)="","",INDEX(Bank!$G:$G,$C655)),IF(INDEX(GL!$G:$G,$C655)="","",INDEX(GL!$G:$G,$C655))))</f>
        <v/>
      </c>
      <c r="K655" s="5" t="str">
        <f aca="false">IF(C655=0,"",IF($A655="Bank",IF(INDEX(Bank!$I:$I,$C655)="","",INDEX(Bank!$I:$I,$C655)),IF(INDEX(GL!$I:$I,$C655)="","",INDEX(GL!$I:$I,$C655))))</f>
        <v/>
      </c>
      <c r="L655" s="5" t="str">
        <f aca="false">IF(B655="","",IF(C655=0,"NOT FOUND",IF(IF($A655="Bank",INDEX(Bank!$F:$F,$C655),INDEX(GL!$F:$F,$C655))="Y","NOW RECONCILED: refresh","OK")))</f>
        <v/>
      </c>
    </row>
    <row r="656" customFormat="false" ht="15" hidden="false" customHeight="false" outlineLevel="0" collapsed="false">
      <c r="A656" s="41"/>
      <c r="B656" s="41"/>
      <c r="C656" s="5" t="n">
        <f aca="false">IF(B656="",0,IF(A656="Bank",IFERROR(MATCH(B656,Bank!$A:$A,0),0),IFERROR(MATCH(B656,GL!$A:$A,0),0)))</f>
        <v>0</v>
      </c>
      <c r="D656" s="32" t="str">
        <f aca="false">IF(C656=0,"",IF($A656="Bank",INDEX(Bank!$B:$B,$C656),INDEX(GL!$B:$B,$C656)))</f>
        <v/>
      </c>
      <c r="E656" s="5" t="str">
        <f aca="false">IF(C656=0,"",IF($A656="Bank",IF(INDEX(Bank!$C:$C,$C656)="","",INDEX(Bank!$C:$C,$C656)),IF(INDEX(GL!$C:$C,$C656)="","",INDEX(GL!$C:$C,$C656))))</f>
        <v/>
      </c>
      <c r="F656" s="5" t="str">
        <f aca="false">IF(C656=0,"",IF($A656="Bank",IF(INDEX(Bank!$D:$D,$C656)="","",INDEX(Bank!$D:$D,$C656)),IF(INDEX(GL!$D:$D,$C656)="","",INDEX(GL!$D:$D,$C656))))</f>
        <v/>
      </c>
      <c r="G656" s="19" t="str">
        <f aca="false">IF(C656=0,"",IF($A656="Bank",INDEX(Bank!$E:$E,$C656),INDEX(GL!$E:$E,$C656)))</f>
        <v/>
      </c>
      <c r="H656" s="5" t="str">
        <f aca="false">IF(C656=0,"",IF(A656="GL",IF(G656&gt;0,"Deposit in transit","Outstanding check / payment"),IF(G656&gt;0,"Bank credit not in GL","Bank debit not in GL")))</f>
        <v/>
      </c>
      <c r="I656" s="42" t="str">
        <f aca="false">IF(OR(C656=0,CFG_PeriodEnd=""),"",CFG_PeriodEnd-D656)</f>
        <v/>
      </c>
      <c r="J656" s="5" t="str">
        <f aca="false">IF(C656=0,"",IF($A656="Bank",IF(INDEX(Bank!$G:$G,$C656)="","",INDEX(Bank!$G:$G,$C656)),IF(INDEX(GL!$G:$G,$C656)="","",INDEX(GL!$G:$G,$C656))))</f>
        <v/>
      </c>
      <c r="K656" s="5" t="str">
        <f aca="false">IF(C656=0,"",IF($A656="Bank",IF(INDEX(Bank!$I:$I,$C656)="","",INDEX(Bank!$I:$I,$C656)),IF(INDEX(GL!$I:$I,$C656)="","",INDEX(GL!$I:$I,$C656))))</f>
        <v/>
      </c>
      <c r="L656" s="5" t="str">
        <f aca="false">IF(B656="","",IF(C656=0,"NOT FOUND",IF(IF($A656="Bank",INDEX(Bank!$F:$F,$C656),INDEX(GL!$F:$F,$C656))="Y","NOW RECONCILED: refresh","OK")))</f>
        <v/>
      </c>
    </row>
    <row r="657" customFormat="false" ht="15" hidden="false" customHeight="false" outlineLevel="0" collapsed="false">
      <c r="A657" s="41"/>
      <c r="B657" s="41"/>
      <c r="C657" s="5" t="n">
        <f aca="false">IF(B657="",0,IF(A657="Bank",IFERROR(MATCH(B657,Bank!$A:$A,0),0),IFERROR(MATCH(B657,GL!$A:$A,0),0)))</f>
        <v>0</v>
      </c>
      <c r="D657" s="32" t="str">
        <f aca="false">IF(C657=0,"",IF($A657="Bank",INDEX(Bank!$B:$B,$C657),INDEX(GL!$B:$B,$C657)))</f>
        <v/>
      </c>
      <c r="E657" s="5" t="str">
        <f aca="false">IF(C657=0,"",IF($A657="Bank",IF(INDEX(Bank!$C:$C,$C657)="","",INDEX(Bank!$C:$C,$C657)),IF(INDEX(GL!$C:$C,$C657)="","",INDEX(GL!$C:$C,$C657))))</f>
        <v/>
      </c>
      <c r="F657" s="5" t="str">
        <f aca="false">IF(C657=0,"",IF($A657="Bank",IF(INDEX(Bank!$D:$D,$C657)="","",INDEX(Bank!$D:$D,$C657)),IF(INDEX(GL!$D:$D,$C657)="","",INDEX(GL!$D:$D,$C657))))</f>
        <v/>
      </c>
      <c r="G657" s="19" t="str">
        <f aca="false">IF(C657=0,"",IF($A657="Bank",INDEX(Bank!$E:$E,$C657),INDEX(GL!$E:$E,$C657)))</f>
        <v/>
      </c>
      <c r="H657" s="5" t="str">
        <f aca="false">IF(C657=0,"",IF(A657="GL",IF(G657&gt;0,"Deposit in transit","Outstanding check / payment"),IF(G657&gt;0,"Bank credit not in GL","Bank debit not in GL")))</f>
        <v/>
      </c>
      <c r="I657" s="42" t="str">
        <f aca="false">IF(OR(C657=0,CFG_PeriodEnd=""),"",CFG_PeriodEnd-D657)</f>
        <v/>
      </c>
      <c r="J657" s="5" t="str">
        <f aca="false">IF(C657=0,"",IF($A657="Bank",IF(INDEX(Bank!$G:$G,$C657)="","",INDEX(Bank!$G:$G,$C657)),IF(INDEX(GL!$G:$G,$C657)="","",INDEX(GL!$G:$G,$C657))))</f>
        <v/>
      </c>
      <c r="K657" s="5" t="str">
        <f aca="false">IF(C657=0,"",IF($A657="Bank",IF(INDEX(Bank!$I:$I,$C657)="","",INDEX(Bank!$I:$I,$C657)),IF(INDEX(GL!$I:$I,$C657)="","",INDEX(GL!$I:$I,$C657))))</f>
        <v/>
      </c>
      <c r="L657" s="5" t="str">
        <f aca="false">IF(B657="","",IF(C657=0,"NOT FOUND",IF(IF($A657="Bank",INDEX(Bank!$F:$F,$C657),INDEX(GL!$F:$F,$C657))="Y","NOW RECONCILED: refresh","OK")))</f>
        <v/>
      </c>
    </row>
    <row r="658" customFormat="false" ht="15" hidden="false" customHeight="false" outlineLevel="0" collapsed="false">
      <c r="A658" s="41"/>
      <c r="B658" s="41"/>
      <c r="C658" s="5" t="n">
        <f aca="false">IF(B658="",0,IF(A658="Bank",IFERROR(MATCH(B658,Bank!$A:$A,0),0),IFERROR(MATCH(B658,GL!$A:$A,0),0)))</f>
        <v>0</v>
      </c>
      <c r="D658" s="32" t="str">
        <f aca="false">IF(C658=0,"",IF($A658="Bank",INDEX(Bank!$B:$B,$C658),INDEX(GL!$B:$B,$C658)))</f>
        <v/>
      </c>
      <c r="E658" s="5" t="str">
        <f aca="false">IF(C658=0,"",IF($A658="Bank",IF(INDEX(Bank!$C:$C,$C658)="","",INDEX(Bank!$C:$C,$C658)),IF(INDEX(GL!$C:$C,$C658)="","",INDEX(GL!$C:$C,$C658))))</f>
        <v/>
      </c>
      <c r="F658" s="5" t="str">
        <f aca="false">IF(C658=0,"",IF($A658="Bank",IF(INDEX(Bank!$D:$D,$C658)="","",INDEX(Bank!$D:$D,$C658)),IF(INDEX(GL!$D:$D,$C658)="","",INDEX(GL!$D:$D,$C658))))</f>
        <v/>
      </c>
      <c r="G658" s="19" t="str">
        <f aca="false">IF(C658=0,"",IF($A658="Bank",INDEX(Bank!$E:$E,$C658),INDEX(GL!$E:$E,$C658)))</f>
        <v/>
      </c>
      <c r="H658" s="5" t="str">
        <f aca="false">IF(C658=0,"",IF(A658="GL",IF(G658&gt;0,"Deposit in transit","Outstanding check / payment"),IF(G658&gt;0,"Bank credit not in GL","Bank debit not in GL")))</f>
        <v/>
      </c>
      <c r="I658" s="42" t="str">
        <f aca="false">IF(OR(C658=0,CFG_PeriodEnd=""),"",CFG_PeriodEnd-D658)</f>
        <v/>
      </c>
      <c r="J658" s="5" t="str">
        <f aca="false">IF(C658=0,"",IF($A658="Bank",IF(INDEX(Bank!$G:$G,$C658)="","",INDEX(Bank!$G:$G,$C658)),IF(INDEX(GL!$G:$G,$C658)="","",INDEX(GL!$G:$G,$C658))))</f>
        <v/>
      </c>
      <c r="K658" s="5" t="str">
        <f aca="false">IF(C658=0,"",IF($A658="Bank",IF(INDEX(Bank!$I:$I,$C658)="","",INDEX(Bank!$I:$I,$C658)),IF(INDEX(GL!$I:$I,$C658)="","",INDEX(GL!$I:$I,$C658))))</f>
        <v/>
      </c>
      <c r="L658" s="5" t="str">
        <f aca="false">IF(B658="","",IF(C658=0,"NOT FOUND",IF(IF($A658="Bank",INDEX(Bank!$F:$F,$C658),INDEX(GL!$F:$F,$C658))="Y","NOW RECONCILED: refresh","OK")))</f>
        <v/>
      </c>
    </row>
    <row r="659" customFormat="false" ht="15" hidden="false" customHeight="false" outlineLevel="0" collapsed="false">
      <c r="A659" s="41"/>
      <c r="B659" s="41"/>
      <c r="C659" s="5" t="n">
        <f aca="false">IF(B659="",0,IF(A659="Bank",IFERROR(MATCH(B659,Bank!$A:$A,0),0),IFERROR(MATCH(B659,GL!$A:$A,0),0)))</f>
        <v>0</v>
      </c>
      <c r="D659" s="32" t="str">
        <f aca="false">IF(C659=0,"",IF($A659="Bank",INDEX(Bank!$B:$B,$C659),INDEX(GL!$B:$B,$C659)))</f>
        <v/>
      </c>
      <c r="E659" s="5" t="str">
        <f aca="false">IF(C659=0,"",IF($A659="Bank",IF(INDEX(Bank!$C:$C,$C659)="","",INDEX(Bank!$C:$C,$C659)),IF(INDEX(GL!$C:$C,$C659)="","",INDEX(GL!$C:$C,$C659))))</f>
        <v/>
      </c>
      <c r="F659" s="5" t="str">
        <f aca="false">IF(C659=0,"",IF($A659="Bank",IF(INDEX(Bank!$D:$D,$C659)="","",INDEX(Bank!$D:$D,$C659)),IF(INDEX(GL!$D:$D,$C659)="","",INDEX(GL!$D:$D,$C659))))</f>
        <v/>
      </c>
      <c r="G659" s="19" t="str">
        <f aca="false">IF(C659=0,"",IF($A659="Bank",INDEX(Bank!$E:$E,$C659),INDEX(GL!$E:$E,$C659)))</f>
        <v/>
      </c>
      <c r="H659" s="5" t="str">
        <f aca="false">IF(C659=0,"",IF(A659="GL",IF(G659&gt;0,"Deposit in transit","Outstanding check / payment"),IF(G659&gt;0,"Bank credit not in GL","Bank debit not in GL")))</f>
        <v/>
      </c>
      <c r="I659" s="42" t="str">
        <f aca="false">IF(OR(C659=0,CFG_PeriodEnd=""),"",CFG_PeriodEnd-D659)</f>
        <v/>
      </c>
      <c r="J659" s="5" t="str">
        <f aca="false">IF(C659=0,"",IF($A659="Bank",IF(INDEX(Bank!$G:$G,$C659)="","",INDEX(Bank!$G:$G,$C659)),IF(INDEX(GL!$G:$G,$C659)="","",INDEX(GL!$G:$G,$C659))))</f>
        <v/>
      </c>
      <c r="K659" s="5" t="str">
        <f aca="false">IF(C659=0,"",IF($A659="Bank",IF(INDEX(Bank!$I:$I,$C659)="","",INDEX(Bank!$I:$I,$C659)),IF(INDEX(GL!$I:$I,$C659)="","",INDEX(GL!$I:$I,$C659))))</f>
        <v/>
      </c>
      <c r="L659" s="5" t="str">
        <f aca="false">IF(B659="","",IF(C659=0,"NOT FOUND",IF(IF($A659="Bank",INDEX(Bank!$F:$F,$C659),INDEX(GL!$F:$F,$C659))="Y","NOW RECONCILED: refresh","OK")))</f>
        <v/>
      </c>
    </row>
    <row r="660" customFormat="false" ht="15" hidden="false" customHeight="false" outlineLevel="0" collapsed="false">
      <c r="A660" s="41"/>
      <c r="B660" s="41"/>
      <c r="C660" s="5" t="n">
        <f aca="false">IF(B660="",0,IF(A660="Bank",IFERROR(MATCH(B660,Bank!$A:$A,0),0),IFERROR(MATCH(B660,GL!$A:$A,0),0)))</f>
        <v>0</v>
      </c>
      <c r="D660" s="32" t="str">
        <f aca="false">IF(C660=0,"",IF($A660="Bank",INDEX(Bank!$B:$B,$C660),INDEX(GL!$B:$B,$C660)))</f>
        <v/>
      </c>
      <c r="E660" s="5" t="str">
        <f aca="false">IF(C660=0,"",IF($A660="Bank",IF(INDEX(Bank!$C:$C,$C660)="","",INDEX(Bank!$C:$C,$C660)),IF(INDEX(GL!$C:$C,$C660)="","",INDEX(GL!$C:$C,$C660))))</f>
        <v/>
      </c>
      <c r="F660" s="5" t="str">
        <f aca="false">IF(C660=0,"",IF($A660="Bank",IF(INDEX(Bank!$D:$D,$C660)="","",INDEX(Bank!$D:$D,$C660)),IF(INDEX(GL!$D:$D,$C660)="","",INDEX(GL!$D:$D,$C660))))</f>
        <v/>
      </c>
      <c r="G660" s="19" t="str">
        <f aca="false">IF(C660=0,"",IF($A660="Bank",INDEX(Bank!$E:$E,$C660),INDEX(GL!$E:$E,$C660)))</f>
        <v/>
      </c>
      <c r="H660" s="5" t="str">
        <f aca="false">IF(C660=0,"",IF(A660="GL",IF(G660&gt;0,"Deposit in transit","Outstanding check / payment"),IF(G660&gt;0,"Bank credit not in GL","Bank debit not in GL")))</f>
        <v/>
      </c>
      <c r="I660" s="42" t="str">
        <f aca="false">IF(OR(C660=0,CFG_PeriodEnd=""),"",CFG_PeriodEnd-D660)</f>
        <v/>
      </c>
      <c r="J660" s="5" t="str">
        <f aca="false">IF(C660=0,"",IF($A660="Bank",IF(INDEX(Bank!$G:$G,$C660)="","",INDEX(Bank!$G:$G,$C660)),IF(INDEX(GL!$G:$G,$C660)="","",INDEX(GL!$G:$G,$C660))))</f>
        <v/>
      </c>
      <c r="K660" s="5" t="str">
        <f aca="false">IF(C660=0,"",IF($A660="Bank",IF(INDEX(Bank!$I:$I,$C660)="","",INDEX(Bank!$I:$I,$C660)),IF(INDEX(GL!$I:$I,$C660)="","",INDEX(GL!$I:$I,$C660))))</f>
        <v/>
      </c>
      <c r="L660" s="5" t="str">
        <f aca="false">IF(B660="","",IF(C660=0,"NOT FOUND",IF(IF($A660="Bank",INDEX(Bank!$F:$F,$C660),INDEX(GL!$F:$F,$C660))="Y","NOW RECONCILED: refresh","OK")))</f>
        <v/>
      </c>
    </row>
    <row r="661" customFormat="false" ht="15" hidden="false" customHeight="false" outlineLevel="0" collapsed="false">
      <c r="A661" s="41"/>
      <c r="B661" s="41"/>
      <c r="C661" s="5" t="n">
        <f aca="false">IF(B661="",0,IF(A661="Bank",IFERROR(MATCH(B661,Bank!$A:$A,0),0),IFERROR(MATCH(B661,GL!$A:$A,0),0)))</f>
        <v>0</v>
      </c>
      <c r="D661" s="32" t="str">
        <f aca="false">IF(C661=0,"",IF($A661="Bank",INDEX(Bank!$B:$B,$C661),INDEX(GL!$B:$B,$C661)))</f>
        <v/>
      </c>
      <c r="E661" s="5" t="str">
        <f aca="false">IF(C661=0,"",IF($A661="Bank",IF(INDEX(Bank!$C:$C,$C661)="","",INDEX(Bank!$C:$C,$C661)),IF(INDEX(GL!$C:$C,$C661)="","",INDEX(GL!$C:$C,$C661))))</f>
        <v/>
      </c>
      <c r="F661" s="5" t="str">
        <f aca="false">IF(C661=0,"",IF($A661="Bank",IF(INDEX(Bank!$D:$D,$C661)="","",INDEX(Bank!$D:$D,$C661)),IF(INDEX(GL!$D:$D,$C661)="","",INDEX(GL!$D:$D,$C661))))</f>
        <v/>
      </c>
      <c r="G661" s="19" t="str">
        <f aca="false">IF(C661=0,"",IF($A661="Bank",INDEX(Bank!$E:$E,$C661),INDEX(GL!$E:$E,$C661)))</f>
        <v/>
      </c>
      <c r="H661" s="5" t="str">
        <f aca="false">IF(C661=0,"",IF(A661="GL",IF(G661&gt;0,"Deposit in transit","Outstanding check / payment"),IF(G661&gt;0,"Bank credit not in GL","Bank debit not in GL")))</f>
        <v/>
      </c>
      <c r="I661" s="42" t="str">
        <f aca="false">IF(OR(C661=0,CFG_PeriodEnd=""),"",CFG_PeriodEnd-D661)</f>
        <v/>
      </c>
      <c r="J661" s="5" t="str">
        <f aca="false">IF(C661=0,"",IF($A661="Bank",IF(INDEX(Bank!$G:$G,$C661)="","",INDEX(Bank!$G:$G,$C661)),IF(INDEX(GL!$G:$G,$C661)="","",INDEX(GL!$G:$G,$C661))))</f>
        <v/>
      </c>
      <c r="K661" s="5" t="str">
        <f aca="false">IF(C661=0,"",IF($A661="Bank",IF(INDEX(Bank!$I:$I,$C661)="","",INDEX(Bank!$I:$I,$C661)),IF(INDEX(GL!$I:$I,$C661)="","",INDEX(GL!$I:$I,$C661))))</f>
        <v/>
      </c>
      <c r="L661" s="5" t="str">
        <f aca="false">IF(B661="","",IF(C661=0,"NOT FOUND",IF(IF($A661="Bank",INDEX(Bank!$F:$F,$C661),INDEX(GL!$F:$F,$C661))="Y","NOW RECONCILED: refresh","OK")))</f>
        <v/>
      </c>
    </row>
    <row r="662" customFormat="false" ht="15" hidden="false" customHeight="false" outlineLevel="0" collapsed="false">
      <c r="A662" s="41"/>
      <c r="B662" s="41"/>
      <c r="C662" s="5" t="n">
        <f aca="false">IF(B662="",0,IF(A662="Bank",IFERROR(MATCH(B662,Bank!$A:$A,0),0),IFERROR(MATCH(B662,GL!$A:$A,0),0)))</f>
        <v>0</v>
      </c>
      <c r="D662" s="32" t="str">
        <f aca="false">IF(C662=0,"",IF($A662="Bank",INDEX(Bank!$B:$B,$C662),INDEX(GL!$B:$B,$C662)))</f>
        <v/>
      </c>
      <c r="E662" s="5" t="str">
        <f aca="false">IF(C662=0,"",IF($A662="Bank",IF(INDEX(Bank!$C:$C,$C662)="","",INDEX(Bank!$C:$C,$C662)),IF(INDEX(GL!$C:$C,$C662)="","",INDEX(GL!$C:$C,$C662))))</f>
        <v/>
      </c>
      <c r="F662" s="5" t="str">
        <f aca="false">IF(C662=0,"",IF($A662="Bank",IF(INDEX(Bank!$D:$D,$C662)="","",INDEX(Bank!$D:$D,$C662)),IF(INDEX(GL!$D:$D,$C662)="","",INDEX(GL!$D:$D,$C662))))</f>
        <v/>
      </c>
      <c r="G662" s="19" t="str">
        <f aca="false">IF(C662=0,"",IF($A662="Bank",INDEX(Bank!$E:$E,$C662),INDEX(GL!$E:$E,$C662)))</f>
        <v/>
      </c>
      <c r="H662" s="5" t="str">
        <f aca="false">IF(C662=0,"",IF(A662="GL",IF(G662&gt;0,"Deposit in transit","Outstanding check / payment"),IF(G662&gt;0,"Bank credit not in GL","Bank debit not in GL")))</f>
        <v/>
      </c>
      <c r="I662" s="42" t="str">
        <f aca="false">IF(OR(C662=0,CFG_PeriodEnd=""),"",CFG_PeriodEnd-D662)</f>
        <v/>
      </c>
      <c r="J662" s="5" t="str">
        <f aca="false">IF(C662=0,"",IF($A662="Bank",IF(INDEX(Bank!$G:$G,$C662)="","",INDEX(Bank!$G:$G,$C662)),IF(INDEX(GL!$G:$G,$C662)="","",INDEX(GL!$G:$G,$C662))))</f>
        <v/>
      </c>
      <c r="K662" s="5" t="str">
        <f aca="false">IF(C662=0,"",IF($A662="Bank",IF(INDEX(Bank!$I:$I,$C662)="","",INDEX(Bank!$I:$I,$C662)),IF(INDEX(GL!$I:$I,$C662)="","",INDEX(GL!$I:$I,$C662))))</f>
        <v/>
      </c>
      <c r="L662" s="5" t="str">
        <f aca="false">IF(B662="","",IF(C662=0,"NOT FOUND",IF(IF($A662="Bank",INDEX(Bank!$F:$F,$C662),INDEX(GL!$F:$F,$C662))="Y","NOW RECONCILED: refresh","OK")))</f>
        <v/>
      </c>
    </row>
    <row r="663" customFormat="false" ht="15" hidden="false" customHeight="false" outlineLevel="0" collapsed="false">
      <c r="A663" s="41"/>
      <c r="B663" s="41"/>
      <c r="C663" s="5" t="n">
        <f aca="false">IF(B663="",0,IF(A663="Bank",IFERROR(MATCH(B663,Bank!$A:$A,0),0),IFERROR(MATCH(B663,GL!$A:$A,0),0)))</f>
        <v>0</v>
      </c>
      <c r="D663" s="32" t="str">
        <f aca="false">IF(C663=0,"",IF($A663="Bank",INDEX(Bank!$B:$B,$C663),INDEX(GL!$B:$B,$C663)))</f>
        <v/>
      </c>
      <c r="E663" s="5" t="str">
        <f aca="false">IF(C663=0,"",IF($A663="Bank",IF(INDEX(Bank!$C:$C,$C663)="","",INDEX(Bank!$C:$C,$C663)),IF(INDEX(GL!$C:$C,$C663)="","",INDEX(GL!$C:$C,$C663))))</f>
        <v/>
      </c>
      <c r="F663" s="5" t="str">
        <f aca="false">IF(C663=0,"",IF($A663="Bank",IF(INDEX(Bank!$D:$D,$C663)="","",INDEX(Bank!$D:$D,$C663)),IF(INDEX(GL!$D:$D,$C663)="","",INDEX(GL!$D:$D,$C663))))</f>
        <v/>
      </c>
      <c r="G663" s="19" t="str">
        <f aca="false">IF(C663=0,"",IF($A663="Bank",INDEX(Bank!$E:$E,$C663),INDEX(GL!$E:$E,$C663)))</f>
        <v/>
      </c>
      <c r="H663" s="5" t="str">
        <f aca="false">IF(C663=0,"",IF(A663="GL",IF(G663&gt;0,"Deposit in transit","Outstanding check / payment"),IF(G663&gt;0,"Bank credit not in GL","Bank debit not in GL")))</f>
        <v/>
      </c>
      <c r="I663" s="42" t="str">
        <f aca="false">IF(OR(C663=0,CFG_PeriodEnd=""),"",CFG_PeriodEnd-D663)</f>
        <v/>
      </c>
      <c r="J663" s="5" t="str">
        <f aca="false">IF(C663=0,"",IF($A663="Bank",IF(INDEX(Bank!$G:$G,$C663)="","",INDEX(Bank!$G:$G,$C663)),IF(INDEX(GL!$G:$G,$C663)="","",INDEX(GL!$G:$G,$C663))))</f>
        <v/>
      </c>
      <c r="K663" s="5" t="str">
        <f aca="false">IF(C663=0,"",IF($A663="Bank",IF(INDEX(Bank!$I:$I,$C663)="","",INDEX(Bank!$I:$I,$C663)),IF(INDEX(GL!$I:$I,$C663)="","",INDEX(GL!$I:$I,$C663))))</f>
        <v/>
      </c>
      <c r="L663" s="5" t="str">
        <f aca="false">IF(B663="","",IF(C663=0,"NOT FOUND",IF(IF($A663="Bank",INDEX(Bank!$F:$F,$C663),INDEX(GL!$F:$F,$C663))="Y","NOW RECONCILED: refresh","OK")))</f>
        <v/>
      </c>
    </row>
    <row r="664" customFormat="false" ht="15" hidden="false" customHeight="false" outlineLevel="0" collapsed="false">
      <c r="A664" s="41"/>
      <c r="B664" s="41"/>
      <c r="C664" s="5" t="n">
        <f aca="false">IF(B664="",0,IF(A664="Bank",IFERROR(MATCH(B664,Bank!$A:$A,0),0),IFERROR(MATCH(B664,GL!$A:$A,0),0)))</f>
        <v>0</v>
      </c>
      <c r="D664" s="32" t="str">
        <f aca="false">IF(C664=0,"",IF($A664="Bank",INDEX(Bank!$B:$B,$C664),INDEX(GL!$B:$B,$C664)))</f>
        <v/>
      </c>
      <c r="E664" s="5" t="str">
        <f aca="false">IF(C664=0,"",IF($A664="Bank",IF(INDEX(Bank!$C:$C,$C664)="","",INDEX(Bank!$C:$C,$C664)),IF(INDEX(GL!$C:$C,$C664)="","",INDEX(GL!$C:$C,$C664))))</f>
        <v/>
      </c>
      <c r="F664" s="5" t="str">
        <f aca="false">IF(C664=0,"",IF($A664="Bank",IF(INDEX(Bank!$D:$D,$C664)="","",INDEX(Bank!$D:$D,$C664)),IF(INDEX(GL!$D:$D,$C664)="","",INDEX(GL!$D:$D,$C664))))</f>
        <v/>
      </c>
      <c r="G664" s="19" t="str">
        <f aca="false">IF(C664=0,"",IF($A664="Bank",INDEX(Bank!$E:$E,$C664),INDEX(GL!$E:$E,$C664)))</f>
        <v/>
      </c>
      <c r="H664" s="5" t="str">
        <f aca="false">IF(C664=0,"",IF(A664="GL",IF(G664&gt;0,"Deposit in transit","Outstanding check / payment"),IF(G664&gt;0,"Bank credit not in GL","Bank debit not in GL")))</f>
        <v/>
      </c>
      <c r="I664" s="42" t="str">
        <f aca="false">IF(OR(C664=0,CFG_PeriodEnd=""),"",CFG_PeriodEnd-D664)</f>
        <v/>
      </c>
      <c r="J664" s="5" t="str">
        <f aca="false">IF(C664=0,"",IF($A664="Bank",IF(INDEX(Bank!$G:$G,$C664)="","",INDEX(Bank!$G:$G,$C664)),IF(INDEX(GL!$G:$G,$C664)="","",INDEX(GL!$G:$G,$C664))))</f>
        <v/>
      </c>
      <c r="K664" s="5" t="str">
        <f aca="false">IF(C664=0,"",IF($A664="Bank",IF(INDEX(Bank!$I:$I,$C664)="","",INDEX(Bank!$I:$I,$C664)),IF(INDEX(GL!$I:$I,$C664)="","",INDEX(GL!$I:$I,$C664))))</f>
        <v/>
      </c>
      <c r="L664" s="5" t="str">
        <f aca="false">IF(B664="","",IF(C664=0,"NOT FOUND",IF(IF($A664="Bank",INDEX(Bank!$F:$F,$C664),INDEX(GL!$F:$F,$C664))="Y","NOW RECONCILED: refresh","OK")))</f>
        <v/>
      </c>
    </row>
    <row r="665" customFormat="false" ht="15" hidden="false" customHeight="false" outlineLevel="0" collapsed="false">
      <c r="A665" s="41"/>
      <c r="B665" s="41"/>
      <c r="C665" s="5" t="n">
        <f aca="false">IF(B665="",0,IF(A665="Bank",IFERROR(MATCH(B665,Bank!$A:$A,0),0),IFERROR(MATCH(B665,GL!$A:$A,0),0)))</f>
        <v>0</v>
      </c>
      <c r="D665" s="32" t="str">
        <f aca="false">IF(C665=0,"",IF($A665="Bank",INDEX(Bank!$B:$B,$C665),INDEX(GL!$B:$B,$C665)))</f>
        <v/>
      </c>
      <c r="E665" s="5" t="str">
        <f aca="false">IF(C665=0,"",IF($A665="Bank",IF(INDEX(Bank!$C:$C,$C665)="","",INDEX(Bank!$C:$C,$C665)),IF(INDEX(GL!$C:$C,$C665)="","",INDEX(GL!$C:$C,$C665))))</f>
        <v/>
      </c>
      <c r="F665" s="5" t="str">
        <f aca="false">IF(C665=0,"",IF($A665="Bank",IF(INDEX(Bank!$D:$D,$C665)="","",INDEX(Bank!$D:$D,$C665)),IF(INDEX(GL!$D:$D,$C665)="","",INDEX(GL!$D:$D,$C665))))</f>
        <v/>
      </c>
      <c r="G665" s="19" t="str">
        <f aca="false">IF(C665=0,"",IF($A665="Bank",INDEX(Bank!$E:$E,$C665),INDEX(GL!$E:$E,$C665)))</f>
        <v/>
      </c>
      <c r="H665" s="5" t="str">
        <f aca="false">IF(C665=0,"",IF(A665="GL",IF(G665&gt;0,"Deposit in transit","Outstanding check / payment"),IF(G665&gt;0,"Bank credit not in GL","Bank debit not in GL")))</f>
        <v/>
      </c>
      <c r="I665" s="42" t="str">
        <f aca="false">IF(OR(C665=0,CFG_PeriodEnd=""),"",CFG_PeriodEnd-D665)</f>
        <v/>
      </c>
      <c r="J665" s="5" t="str">
        <f aca="false">IF(C665=0,"",IF($A665="Bank",IF(INDEX(Bank!$G:$G,$C665)="","",INDEX(Bank!$G:$G,$C665)),IF(INDEX(GL!$G:$G,$C665)="","",INDEX(GL!$G:$G,$C665))))</f>
        <v/>
      </c>
      <c r="K665" s="5" t="str">
        <f aca="false">IF(C665=0,"",IF($A665="Bank",IF(INDEX(Bank!$I:$I,$C665)="","",INDEX(Bank!$I:$I,$C665)),IF(INDEX(GL!$I:$I,$C665)="","",INDEX(GL!$I:$I,$C665))))</f>
        <v/>
      </c>
      <c r="L665" s="5" t="str">
        <f aca="false">IF(B665="","",IF(C665=0,"NOT FOUND",IF(IF($A665="Bank",INDEX(Bank!$F:$F,$C665),INDEX(GL!$F:$F,$C665))="Y","NOW RECONCILED: refresh","OK")))</f>
        <v/>
      </c>
    </row>
    <row r="666" customFormat="false" ht="15" hidden="false" customHeight="false" outlineLevel="0" collapsed="false">
      <c r="A666" s="41"/>
      <c r="B666" s="41"/>
      <c r="C666" s="5" t="n">
        <f aca="false">IF(B666="",0,IF(A666="Bank",IFERROR(MATCH(B666,Bank!$A:$A,0),0),IFERROR(MATCH(B666,GL!$A:$A,0),0)))</f>
        <v>0</v>
      </c>
      <c r="D666" s="32" t="str">
        <f aca="false">IF(C666=0,"",IF($A666="Bank",INDEX(Bank!$B:$B,$C666),INDEX(GL!$B:$B,$C666)))</f>
        <v/>
      </c>
      <c r="E666" s="5" t="str">
        <f aca="false">IF(C666=0,"",IF($A666="Bank",IF(INDEX(Bank!$C:$C,$C666)="","",INDEX(Bank!$C:$C,$C666)),IF(INDEX(GL!$C:$C,$C666)="","",INDEX(GL!$C:$C,$C666))))</f>
        <v/>
      </c>
      <c r="F666" s="5" t="str">
        <f aca="false">IF(C666=0,"",IF($A666="Bank",IF(INDEX(Bank!$D:$D,$C666)="","",INDEX(Bank!$D:$D,$C666)),IF(INDEX(GL!$D:$D,$C666)="","",INDEX(GL!$D:$D,$C666))))</f>
        <v/>
      </c>
      <c r="G666" s="19" t="str">
        <f aca="false">IF(C666=0,"",IF($A666="Bank",INDEX(Bank!$E:$E,$C666),INDEX(GL!$E:$E,$C666)))</f>
        <v/>
      </c>
      <c r="H666" s="5" t="str">
        <f aca="false">IF(C666=0,"",IF(A666="GL",IF(G666&gt;0,"Deposit in transit","Outstanding check / payment"),IF(G666&gt;0,"Bank credit not in GL","Bank debit not in GL")))</f>
        <v/>
      </c>
      <c r="I666" s="42" t="str">
        <f aca="false">IF(OR(C666=0,CFG_PeriodEnd=""),"",CFG_PeriodEnd-D666)</f>
        <v/>
      </c>
      <c r="J666" s="5" t="str">
        <f aca="false">IF(C666=0,"",IF($A666="Bank",IF(INDEX(Bank!$G:$G,$C666)="","",INDEX(Bank!$G:$G,$C666)),IF(INDEX(GL!$G:$G,$C666)="","",INDEX(GL!$G:$G,$C666))))</f>
        <v/>
      </c>
      <c r="K666" s="5" t="str">
        <f aca="false">IF(C666=0,"",IF($A666="Bank",IF(INDEX(Bank!$I:$I,$C666)="","",INDEX(Bank!$I:$I,$C666)),IF(INDEX(GL!$I:$I,$C666)="","",INDEX(GL!$I:$I,$C666))))</f>
        <v/>
      </c>
      <c r="L666" s="5" t="str">
        <f aca="false">IF(B666="","",IF(C666=0,"NOT FOUND",IF(IF($A666="Bank",INDEX(Bank!$F:$F,$C666),INDEX(GL!$F:$F,$C666))="Y","NOW RECONCILED: refresh","OK")))</f>
        <v/>
      </c>
    </row>
    <row r="667" customFormat="false" ht="15" hidden="false" customHeight="false" outlineLevel="0" collapsed="false">
      <c r="A667" s="41"/>
      <c r="B667" s="41"/>
      <c r="C667" s="5" t="n">
        <f aca="false">IF(B667="",0,IF(A667="Bank",IFERROR(MATCH(B667,Bank!$A:$A,0),0),IFERROR(MATCH(B667,GL!$A:$A,0),0)))</f>
        <v>0</v>
      </c>
      <c r="D667" s="32" t="str">
        <f aca="false">IF(C667=0,"",IF($A667="Bank",INDEX(Bank!$B:$B,$C667),INDEX(GL!$B:$B,$C667)))</f>
        <v/>
      </c>
      <c r="E667" s="5" t="str">
        <f aca="false">IF(C667=0,"",IF($A667="Bank",IF(INDEX(Bank!$C:$C,$C667)="","",INDEX(Bank!$C:$C,$C667)),IF(INDEX(GL!$C:$C,$C667)="","",INDEX(GL!$C:$C,$C667))))</f>
        <v/>
      </c>
      <c r="F667" s="5" t="str">
        <f aca="false">IF(C667=0,"",IF($A667="Bank",IF(INDEX(Bank!$D:$D,$C667)="","",INDEX(Bank!$D:$D,$C667)),IF(INDEX(GL!$D:$D,$C667)="","",INDEX(GL!$D:$D,$C667))))</f>
        <v/>
      </c>
      <c r="G667" s="19" t="str">
        <f aca="false">IF(C667=0,"",IF($A667="Bank",INDEX(Bank!$E:$E,$C667),INDEX(GL!$E:$E,$C667)))</f>
        <v/>
      </c>
      <c r="H667" s="5" t="str">
        <f aca="false">IF(C667=0,"",IF(A667="GL",IF(G667&gt;0,"Deposit in transit","Outstanding check / payment"),IF(G667&gt;0,"Bank credit not in GL","Bank debit not in GL")))</f>
        <v/>
      </c>
      <c r="I667" s="42" t="str">
        <f aca="false">IF(OR(C667=0,CFG_PeriodEnd=""),"",CFG_PeriodEnd-D667)</f>
        <v/>
      </c>
      <c r="J667" s="5" t="str">
        <f aca="false">IF(C667=0,"",IF($A667="Bank",IF(INDEX(Bank!$G:$G,$C667)="","",INDEX(Bank!$G:$G,$C667)),IF(INDEX(GL!$G:$G,$C667)="","",INDEX(GL!$G:$G,$C667))))</f>
        <v/>
      </c>
      <c r="K667" s="5" t="str">
        <f aca="false">IF(C667=0,"",IF($A667="Bank",IF(INDEX(Bank!$I:$I,$C667)="","",INDEX(Bank!$I:$I,$C667)),IF(INDEX(GL!$I:$I,$C667)="","",INDEX(GL!$I:$I,$C667))))</f>
        <v/>
      </c>
      <c r="L667" s="5" t="str">
        <f aca="false">IF(B667="","",IF(C667=0,"NOT FOUND",IF(IF($A667="Bank",INDEX(Bank!$F:$F,$C667),INDEX(GL!$F:$F,$C667))="Y","NOW RECONCILED: refresh","OK")))</f>
        <v/>
      </c>
    </row>
    <row r="668" customFormat="false" ht="15" hidden="false" customHeight="false" outlineLevel="0" collapsed="false">
      <c r="A668" s="41"/>
      <c r="B668" s="41"/>
      <c r="C668" s="5" t="n">
        <f aca="false">IF(B668="",0,IF(A668="Bank",IFERROR(MATCH(B668,Bank!$A:$A,0),0),IFERROR(MATCH(B668,GL!$A:$A,0),0)))</f>
        <v>0</v>
      </c>
      <c r="D668" s="32" t="str">
        <f aca="false">IF(C668=0,"",IF($A668="Bank",INDEX(Bank!$B:$B,$C668),INDEX(GL!$B:$B,$C668)))</f>
        <v/>
      </c>
      <c r="E668" s="5" t="str">
        <f aca="false">IF(C668=0,"",IF($A668="Bank",IF(INDEX(Bank!$C:$C,$C668)="","",INDEX(Bank!$C:$C,$C668)),IF(INDEX(GL!$C:$C,$C668)="","",INDEX(GL!$C:$C,$C668))))</f>
        <v/>
      </c>
      <c r="F668" s="5" t="str">
        <f aca="false">IF(C668=0,"",IF($A668="Bank",IF(INDEX(Bank!$D:$D,$C668)="","",INDEX(Bank!$D:$D,$C668)),IF(INDEX(GL!$D:$D,$C668)="","",INDEX(GL!$D:$D,$C668))))</f>
        <v/>
      </c>
      <c r="G668" s="19" t="str">
        <f aca="false">IF(C668=0,"",IF($A668="Bank",INDEX(Bank!$E:$E,$C668),INDEX(GL!$E:$E,$C668)))</f>
        <v/>
      </c>
      <c r="H668" s="5" t="str">
        <f aca="false">IF(C668=0,"",IF(A668="GL",IF(G668&gt;0,"Deposit in transit","Outstanding check / payment"),IF(G668&gt;0,"Bank credit not in GL","Bank debit not in GL")))</f>
        <v/>
      </c>
      <c r="I668" s="42" t="str">
        <f aca="false">IF(OR(C668=0,CFG_PeriodEnd=""),"",CFG_PeriodEnd-D668)</f>
        <v/>
      </c>
      <c r="J668" s="5" t="str">
        <f aca="false">IF(C668=0,"",IF($A668="Bank",IF(INDEX(Bank!$G:$G,$C668)="","",INDEX(Bank!$G:$G,$C668)),IF(INDEX(GL!$G:$G,$C668)="","",INDEX(GL!$G:$G,$C668))))</f>
        <v/>
      </c>
      <c r="K668" s="5" t="str">
        <f aca="false">IF(C668=0,"",IF($A668="Bank",IF(INDEX(Bank!$I:$I,$C668)="","",INDEX(Bank!$I:$I,$C668)),IF(INDEX(GL!$I:$I,$C668)="","",INDEX(GL!$I:$I,$C668))))</f>
        <v/>
      </c>
      <c r="L668" s="5" t="str">
        <f aca="false">IF(B668="","",IF(C668=0,"NOT FOUND",IF(IF($A668="Bank",INDEX(Bank!$F:$F,$C668),INDEX(GL!$F:$F,$C668))="Y","NOW RECONCILED: refresh","OK")))</f>
        <v/>
      </c>
    </row>
    <row r="669" customFormat="false" ht="15" hidden="false" customHeight="false" outlineLevel="0" collapsed="false">
      <c r="A669" s="41"/>
      <c r="B669" s="41"/>
      <c r="C669" s="5" t="n">
        <f aca="false">IF(B669="",0,IF(A669="Bank",IFERROR(MATCH(B669,Bank!$A:$A,0),0),IFERROR(MATCH(B669,GL!$A:$A,0),0)))</f>
        <v>0</v>
      </c>
      <c r="D669" s="32" t="str">
        <f aca="false">IF(C669=0,"",IF($A669="Bank",INDEX(Bank!$B:$B,$C669),INDEX(GL!$B:$B,$C669)))</f>
        <v/>
      </c>
      <c r="E669" s="5" t="str">
        <f aca="false">IF(C669=0,"",IF($A669="Bank",IF(INDEX(Bank!$C:$C,$C669)="","",INDEX(Bank!$C:$C,$C669)),IF(INDEX(GL!$C:$C,$C669)="","",INDEX(GL!$C:$C,$C669))))</f>
        <v/>
      </c>
      <c r="F669" s="5" t="str">
        <f aca="false">IF(C669=0,"",IF($A669="Bank",IF(INDEX(Bank!$D:$D,$C669)="","",INDEX(Bank!$D:$D,$C669)),IF(INDEX(GL!$D:$D,$C669)="","",INDEX(GL!$D:$D,$C669))))</f>
        <v/>
      </c>
      <c r="G669" s="19" t="str">
        <f aca="false">IF(C669=0,"",IF($A669="Bank",INDEX(Bank!$E:$E,$C669),INDEX(GL!$E:$E,$C669)))</f>
        <v/>
      </c>
      <c r="H669" s="5" t="str">
        <f aca="false">IF(C669=0,"",IF(A669="GL",IF(G669&gt;0,"Deposit in transit","Outstanding check / payment"),IF(G669&gt;0,"Bank credit not in GL","Bank debit not in GL")))</f>
        <v/>
      </c>
      <c r="I669" s="42" t="str">
        <f aca="false">IF(OR(C669=0,CFG_PeriodEnd=""),"",CFG_PeriodEnd-D669)</f>
        <v/>
      </c>
      <c r="J669" s="5" t="str">
        <f aca="false">IF(C669=0,"",IF($A669="Bank",IF(INDEX(Bank!$G:$G,$C669)="","",INDEX(Bank!$G:$G,$C669)),IF(INDEX(GL!$G:$G,$C669)="","",INDEX(GL!$G:$G,$C669))))</f>
        <v/>
      </c>
      <c r="K669" s="5" t="str">
        <f aca="false">IF(C669=0,"",IF($A669="Bank",IF(INDEX(Bank!$I:$I,$C669)="","",INDEX(Bank!$I:$I,$C669)),IF(INDEX(GL!$I:$I,$C669)="","",INDEX(GL!$I:$I,$C669))))</f>
        <v/>
      </c>
      <c r="L669" s="5" t="str">
        <f aca="false">IF(B669="","",IF(C669=0,"NOT FOUND",IF(IF($A669="Bank",INDEX(Bank!$F:$F,$C669),INDEX(GL!$F:$F,$C669))="Y","NOW RECONCILED: refresh","OK")))</f>
        <v/>
      </c>
    </row>
    <row r="670" customFormat="false" ht="15" hidden="false" customHeight="false" outlineLevel="0" collapsed="false">
      <c r="A670" s="41"/>
      <c r="B670" s="41"/>
      <c r="C670" s="5" t="n">
        <f aca="false">IF(B670="",0,IF(A670="Bank",IFERROR(MATCH(B670,Bank!$A:$A,0),0),IFERROR(MATCH(B670,GL!$A:$A,0),0)))</f>
        <v>0</v>
      </c>
      <c r="D670" s="32" t="str">
        <f aca="false">IF(C670=0,"",IF($A670="Bank",INDEX(Bank!$B:$B,$C670),INDEX(GL!$B:$B,$C670)))</f>
        <v/>
      </c>
      <c r="E670" s="5" t="str">
        <f aca="false">IF(C670=0,"",IF($A670="Bank",IF(INDEX(Bank!$C:$C,$C670)="","",INDEX(Bank!$C:$C,$C670)),IF(INDEX(GL!$C:$C,$C670)="","",INDEX(GL!$C:$C,$C670))))</f>
        <v/>
      </c>
      <c r="F670" s="5" t="str">
        <f aca="false">IF(C670=0,"",IF($A670="Bank",IF(INDEX(Bank!$D:$D,$C670)="","",INDEX(Bank!$D:$D,$C670)),IF(INDEX(GL!$D:$D,$C670)="","",INDEX(GL!$D:$D,$C670))))</f>
        <v/>
      </c>
      <c r="G670" s="19" t="str">
        <f aca="false">IF(C670=0,"",IF($A670="Bank",INDEX(Bank!$E:$E,$C670),INDEX(GL!$E:$E,$C670)))</f>
        <v/>
      </c>
      <c r="H670" s="5" t="str">
        <f aca="false">IF(C670=0,"",IF(A670="GL",IF(G670&gt;0,"Deposit in transit","Outstanding check / payment"),IF(G670&gt;0,"Bank credit not in GL","Bank debit not in GL")))</f>
        <v/>
      </c>
      <c r="I670" s="42" t="str">
        <f aca="false">IF(OR(C670=0,CFG_PeriodEnd=""),"",CFG_PeriodEnd-D670)</f>
        <v/>
      </c>
      <c r="J670" s="5" t="str">
        <f aca="false">IF(C670=0,"",IF($A670="Bank",IF(INDEX(Bank!$G:$G,$C670)="","",INDEX(Bank!$G:$G,$C670)),IF(INDEX(GL!$G:$G,$C670)="","",INDEX(GL!$G:$G,$C670))))</f>
        <v/>
      </c>
      <c r="K670" s="5" t="str">
        <f aca="false">IF(C670=0,"",IF($A670="Bank",IF(INDEX(Bank!$I:$I,$C670)="","",INDEX(Bank!$I:$I,$C670)),IF(INDEX(GL!$I:$I,$C670)="","",INDEX(GL!$I:$I,$C670))))</f>
        <v/>
      </c>
      <c r="L670" s="5" t="str">
        <f aca="false">IF(B670="","",IF(C670=0,"NOT FOUND",IF(IF($A670="Bank",INDEX(Bank!$F:$F,$C670),INDEX(GL!$F:$F,$C670))="Y","NOW RECONCILED: refresh","OK")))</f>
        <v/>
      </c>
    </row>
    <row r="671" customFormat="false" ht="15" hidden="false" customHeight="false" outlineLevel="0" collapsed="false">
      <c r="A671" s="41"/>
      <c r="B671" s="41"/>
      <c r="C671" s="5" t="n">
        <f aca="false">IF(B671="",0,IF(A671="Bank",IFERROR(MATCH(B671,Bank!$A:$A,0),0),IFERROR(MATCH(B671,GL!$A:$A,0),0)))</f>
        <v>0</v>
      </c>
      <c r="D671" s="32" t="str">
        <f aca="false">IF(C671=0,"",IF($A671="Bank",INDEX(Bank!$B:$B,$C671),INDEX(GL!$B:$B,$C671)))</f>
        <v/>
      </c>
      <c r="E671" s="5" t="str">
        <f aca="false">IF(C671=0,"",IF($A671="Bank",IF(INDEX(Bank!$C:$C,$C671)="","",INDEX(Bank!$C:$C,$C671)),IF(INDEX(GL!$C:$C,$C671)="","",INDEX(GL!$C:$C,$C671))))</f>
        <v/>
      </c>
      <c r="F671" s="5" t="str">
        <f aca="false">IF(C671=0,"",IF($A671="Bank",IF(INDEX(Bank!$D:$D,$C671)="","",INDEX(Bank!$D:$D,$C671)),IF(INDEX(GL!$D:$D,$C671)="","",INDEX(GL!$D:$D,$C671))))</f>
        <v/>
      </c>
      <c r="G671" s="19" t="str">
        <f aca="false">IF(C671=0,"",IF($A671="Bank",INDEX(Bank!$E:$E,$C671),INDEX(GL!$E:$E,$C671)))</f>
        <v/>
      </c>
      <c r="H671" s="5" t="str">
        <f aca="false">IF(C671=0,"",IF(A671="GL",IF(G671&gt;0,"Deposit in transit","Outstanding check / payment"),IF(G671&gt;0,"Bank credit not in GL","Bank debit not in GL")))</f>
        <v/>
      </c>
      <c r="I671" s="42" t="str">
        <f aca="false">IF(OR(C671=0,CFG_PeriodEnd=""),"",CFG_PeriodEnd-D671)</f>
        <v/>
      </c>
      <c r="J671" s="5" t="str">
        <f aca="false">IF(C671=0,"",IF($A671="Bank",IF(INDEX(Bank!$G:$G,$C671)="","",INDEX(Bank!$G:$G,$C671)),IF(INDEX(GL!$G:$G,$C671)="","",INDEX(GL!$G:$G,$C671))))</f>
        <v/>
      </c>
      <c r="K671" s="5" t="str">
        <f aca="false">IF(C671=0,"",IF($A671="Bank",IF(INDEX(Bank!$I:$I,$C671)="","",INDEX(Bank!$I:$I,$C671)),IF(INDEX(GL!$I:$I,$C671)="","",INDEX(GL!$I:$I,$C671))))</f>
        <v/>
      </c>
      <c r="L671" s="5" t="str">
        <f aca="false">IF(B671="","",IF(C671=0,"NOT FOUND",IF(IF($A671="Bank",INDEX(Bank!$F:$F,$C671),INDEX(GL!$F:$F,$C671))="Y","NOW RECONCILED: refresh","OK")))</f>
        <v/>
      </c>
    </row>
    <row r="672" customFormat="false" ht="15" hidden="false" customHeight="false" outlineLevel="0" collapsed="false">
      <c r="A672" s="41"/>
      <c r="B672" s="41"/>
      <c r="C672" s="5" t="n">
        <f aca="false">IF(B672="",0,IF(A672="Bank",IFERROR(MATCH(B672,Bank!$A:$A,0),0),IFERROR(MATCH(B672,GL!$A:$A,0),0)))</f>
        <v>0</v>
      </c>
      <c r="D672" s="32" t="str">
        <f aca="false">IF(C672=0,"",IF($A672="Bank",INDEX(Bank!$B:$B,$C672),INDEX(GL!$B:$B,$C672)))</f>
        <v/>
      </c>
      <c r="E672" s="5" t="str">
        <f aca="false">IF(C672=0,"",IF($A672="Bank",IF(INDEX(Bank!$C:$C,$C672)="","",INDEX(Bank!$C:$C,$C672)),IF(INDEX(GL!$C:$C,$C672)="","",INDEX(GL!$C:$C,$C672))))</f>
        <v/>
      </c>
      <c r="F672" s="5" t="str">
        <f aca="false">IF(C672=0,"",IF($A672="Bank",IF(INDEX(Bank!$D:$D,$C672)="","",INDEX(Bank!$D:$D,$C672)),IF(INDEX(GL!$D:$D,$C672)="","",INDEX(GL!$D:$D,$C672))))</f>
        <v/>
      </c>
      <c r="G672" s="19" t="str">
        <f aca="false">IF(C672=0,"",IF($A672="Bank",INDEX(Bank!$E:$E,$C672),INDEX(GL!$E:$E,$C672)))</f>
        <v/>
      </c>
      <c r="H672" s="5" t="str">
        <f aca="false">IF(C672=0,"",IF(A672="GL",IF(G672&gt;0,"Deposit in transit","Outstanding check / payment"),IF(G672&gt;0,"Bank credit not in GL","Bank debit not in GL")))</f>
        <v/>
      </c>
      <c r="I672" s="42" t="str">
        <f aca="false">IF(OR(C672=0,CFG_PeriodEnd=""),"",CFG_PeriodEnd-D672)</f>
        <v/>
      </c>
      <c r="J672" s="5" t="str">
        <f aca="false">IF(C672=0,"",IF($A672="Bank",IF(INDEX(Bank!$G:$G,$C672)="","",INDEX(Bank!$G:$G,$C672)),IF(INDEX(GL!$G:$G,$C672)="","",INDEX(GL!$G:$G,$C672))))</f>
        <v/>
      </c>
      <c r="K672" s="5" t="str">
        <f aca="false">IF(C672=0,"",IF($A672="Bank",IF(INDEX(Bank!$I:$I,$C672)="","",INDEX(Bank!$I:$I,$C672)),IF(INDEX(GL!$I:$I,$C672)="","",INDEX(GL!$I:$I,$C672))))</f>
        <v/>
      </c>
      <c r="L672" s="5" t="str">
        <f aca="false">IF(B672="","",IF(C672=0,"NOT FOUND",IF(IF($A672="Bank",INDEX(Bank!$F:$F,$C672),INDEX(GL!$F:$F,$C672))="Y","NOW RECONCILED: refresh","OK")))</f>
        <v/>
      </c>
    </row>
    <row r="673" customFormat="false" ht="15" hidden="false" customHeight="false" outlineLevel="0" collapsed="false">
      <c r="A673" s="41"/>
      <c r="B673" s="41"/>
      <c r="C673" s="5" t="n">
        <f aca="false">IF(B673="",0,IF(A673="Bank",IFERROR(MATCH(B673,Bank!$A:$A,0),0),IFERROR(MATCH(B673,GL!$A:$A,0),0)))</f>
        <v>0</v>
      </c>
      <c r="D673" s="32" t="str">
        <f aca="false">IF(C673=0,"",IF($A673="Bank",INDEX(Bank!$B:$B,$C673),INDEX(GL!$B:$B,$C673)))</f>
        <v/>
      </c>
      <c r="E673" s="5" t="str">
        <f aca="false">IF(C673=0,"",IF($A673="Bank",IF(INDEX(Bank!$C:$C,$C673)="","",INDEX(Bank!$C:$C,$C673)),IF(INDEX(GL!$C:$C,$C673)="","",INDEX(GL!$C:$C,$C673))))</f>
        <v/>
      </c>
      <c r="F673" s="5" t="str">
        <f aca="false">IF(C673=0,"",IF($A673="Bank",IF(INDEX(Bank!$D:$D,$C673)="","",INDEX(Bank!$D:$D,$C673)),IF(INDEX(GL!$D:$D,$C673)="","",INDEX(GL!$D:$D,$C673))))</f>
        <v/>
      </c>
      <c r="G673" s="19" t="str">
        <f aca="false">IF(C673=0,"",IF($A673="Bank",INDEX(Bank!$E:$E,$C673),INDEX(GL!$E:$E,$C673)))</f>
        <v/>
      </c>
      <c r="H673" s="5" t="str">
        <f aca="false">IF(C673=0,"",IF(A673="GL",IF(G673&gt;0,"Deposit in transit","Outstanding check / payment"),IF(G673&gt;0,"Bank credit not in GL","Bank debit not in GL")))</f>
        <v/>
      </c>
      <c r="I673" s="42" t="str">
        <f aca="false">IF(OR(C673=0,CFG_PeriodEnd=""),"",CFG_PeriodEnd-D673)</f>
        <v/>
      </c>
      <c r="J673" s="5" t="str">
        <f aca="false">IF(C673=0,"",IF($A673="Bank",IF(INDEX(Bank!$G:$G,$C673)="","",INDEX(Bank!$G:$G,$C673)),IF(INDEX(GL!$G:$G,$C673)="","",INDEX(GL!$G:$G,$C673))))</f>
        <v/>
      </c>
      <c r="K673" s="5" t="str">
        <f aca="false">IF(C673=0,"",IF($A673="Bank",IF(INDEX(Bank!$I:$I,$C673)="","",INDEX(Bank!$I:$I,$C673)),IF(INDEX(GL!$I:$I,$C673)="","",INDEX(GL!$I:$I,$C673))))</f>
        <v/>
      </c>
      <c r="L673" s="5" t="str">
        <f aca="false">IF(B673="","",IF(C673=0,"NOT FOUND",IF(IF($A673="Bank",INDEX(Bank!$F:$F,$C673),INDEX(GL!$F:$F,$C673))="Y","NOW RECONCILED: refresh","OK")))</f>
        <v/>
      </c>
    </row>
    <row r="674" customFormat="false" ht="15" hidden="false" customHeight="false" outlineLevel="0" collapsed="false">
      <c r="A674" s="41"/>
      <c r="B674" s="41"/>
      <c r="C674" s="5" t="n">
        <f aca="false">IF(B674="",0,IF(A674="Bank",IFERROR(MATCH(B674,Bank!$A:$A,0),0),IFERROR(MATCH(B674,GL!$A:$A,0),0)))</f>
        <v>0</v>
      </c>
      <c r="D674" s="32" t="str">
        <f aca="false">IF(C674=0,"",IF($A674="Bank",INDEX(Bank!$B:$B,$C674),INDEX(GL!$B:$B,$C674)))</f>
        <v/>
      </c>
      <c r="E674" s="5" t="str">
        <f aca="false">IF(C674=0,"",IF($A674="Bank",IF(INDEX(Bank!$C:$C,$C674)="","",INDEX(Bank!$C:$C,$C674)),IF(INDEX(GL!$C:$C,$C674)="","",INDEX(GL!$C:$C,$C674))))</f>
        <v/>
      </c>
      <c r="F674" s="5" t="str">
        <f aca="false">IF(C674=0,"",IF($A674="Bank",IF(INDEX(Bank!$D:$D,$C674)="","",INDEX(Bank!$D:$D,$C674)),IF(INDEX(GL!$D:$D,$C674)="","",INDEX(GL!$D:$D,$C674))))</f>
        <v/>
      </c>
      <c r="G674" s="19" t="str">
        <f aca="false">IF(C674=0,"",IF($A674="Bank",INDEX(Bank!$E:$E,$C674),INDEX(GL!$E:$E,$C674)))</f>
        <v/>
      </c>
      <c r="H674" s="5" t="str">
        <f aca="false">IF(C674=0,"",IF(A674="GL",IF(G674&gt;0,"Deposit in transit","Outstanding check / payment"),IF(G674&gt;0,"Bank credit not in GL","Bank debit not in GL")))</f>
        <v/>
      </c>
      <c r="I674" s="42" t="str">
        <f aca="false">IF(OR(C674=0,CFG_PeriodEnd=""),"",CFG_PeriodEnd-D674)</f>
        <v/>
      </c>
      <c r="J674" s="5" t="str">
        <f aca="false">IF(C674=0,"",IF($A674="Bank",IF(INDEX(Bank!$G:$G,$C674)="","",INDEX(Bank!$G:$G,$C674)),IF(INDEX(GL!$G:$G,$C674)="","",INDEX(GL!$G:$G,$C674))))</f>
        <v/>
      </c>
      <c r="K674" s="5" t="str">
        <f aca="false">IF(C674=0,"",IF($A674="Bank",IF(INDEX(Bank!$I:$I,$C674)="","",INDEX(Bank!$I:$I,$C674)),IF(INDEX(GL!$I:$I,$C674)="","",INDEX(GL!$I:$I,$C674))))</f>
        <v/>
      </c>
      <c r="L674" s="5" t="str">
        <f aca="false">IF(B674="","",IF(C674=0,"NOT FOUND",IF(IF($A674="Bank",INDEX(Bank!$F:$F,$C674),INDEX(GL!$F:$F,$C674))="Y","NOW RECONCILED: refresh","OK")))</f>
        <v/>
      </c>
    </row>
    <row r="675" customFormat="false" ht="15" hidden="false" customHeight="false" outlineLevel="0" collapsed="false">
      <c r="A675" s="41"/>
      <c r="B675" s="41"/>
      <c r="C675" s="5" t="n">
        <f aca="false">IF(B675="",0,IF(A675="Bank",IFERROR(MATCH(B675,Bank!$A:$A,0),0),IFERROR(MATCH(B675,GL!$A:$A,0),0)))</f>
        <v>0</v>
      </c>
      <c r="D675" s="32" t="str">
        <f aca="false">IF(C675=0,"",IF($A675="Bank",INDEX(Bank!$B:$B,$C675),INDEX(GL!$B:$B,$C675)))</f>
        <v/>
      </c>
      <c r="E675" s="5" t="str">
        <f aca="false">IF(C675=0,"",IF($A675="Bank",IF(INDEX(Bank!$C:$C,$C675)="","",INDEX(Bank!$C:$C,$C675)),IF(INDEX(GL!$C:$C,$C675)="","",INDEX(GL!$C:$C,$C675))))</f>
        <v/>
      </c>
      <c r="F675" s="5" t="str">
        <f aca="false">IF(C675=0,"",IF($A675="Bank",IF(INDEX(Bank!$D:$D,$C675)="","",INDEX(Bank!$D:$D,$C675)),IF(INDEX(GL!$D:$D,$C675)="","",INDEX(GL!$D:$D,$C675))))</f>
        <v/>
      </c>
      <c r="G675" s="19" t="str">
        <f aca="false">IF(C675=0,"",IF($A675="Bank",INDEX(Bank!$E:$E,$C675),INDEX(GL!$E:$E,$C675)))</f>
        <v/>
      </c>
      <c r="H675" s="5" t="str">
        <f aca="false">IF(C675=0,"",IF(A675="GL",IF(G675&gt;0,"Deposit in transit","Outstanding check / payment"),IF(G675&gt;0,"Bank credit not in GL","Bank debit not in GL")))</f>
        <v/>
      </c>
      <c r="I675" s="42" t="str">
        <f aca="false">IF(OR(C675=0,CFG_PeriodEnd=""),"",CFG_PeriodEnd-D675)</f>
        <v/>
      </c>
      <c r="J675" s="5" t="str">
        <f aca="false">IF(C675=0,"",IF($A675="Bank",IF(INDEX(Bank!$G:$G,$C675)="","",INDEX(Bank!$G:$G,$C675)),IF(INDEX(GL!$G:$G,$C675)="","",INDEX(GL!$G:$G,$C675))))</f>
        <v/>
      </c>
      <c r="K675" s="5" t="str">
        <f aca="false">IF(C675=0,"",IF($A675="Bank",IF(INDEX(Bank!$I:$I,$C675)="","",INDEX(Bank!$I:$I,$C675)),IF(INDEX(GL!$I:$I,$C675)="","",INDEX(GL!$I:$I,$C675))))</f>
        <v/>
      </c>
      <c r="L675" s="5" t="str">
        <f aca="false">IF(B675="","",IF(C675=0,"NOT FOUND",IF(IF($A675="Bank",INDEX(Bank!$F:$F,$C675),INDEX(GL!$F:$F,$C675))="Y","NOW RECONCILED: refresh","OK")))</f>
        <v/>
      </c>
    </row>
    <row r="676" customFormat="false" ht="15" hidden="false" customHeight="false" outlineLevel="0" collapsed="false">
      <c r="A676" s="41"/>
      <c r="B676" s="41"/>
      <c r="C676" s="5" t="n">
        <f aca="false">IF(B676="",0,IF(A676="Bank",IFERROR(MATCH(B676,Bank!$A:$A,0),0),IFERROR(MATCH(B676,GL!$A:$A,0),0)))</f>
        <v>0</v>
      </c>
      <c r="D676" s="32" t="str">
        <f aca="false">IF(C676=0,"",IF($A676="Bank",INDEX(Bank!$B:$B,$C676),INDEX(GL!$B:$B,$C676)))</f>
        <v/>
      </c>
      <c r="E676" s="5" t="str">
        <f aca="false">IF(C676=0,"",IF($A676="Bank",IF(INDEX(Bank!$C:$C,$C676)="","",INDEX(Bank!$C:$C,$C676)),IF(INDEX(GL!$C:$C,$C676)="","",INDEX(GL!$C:$C,$C676))))</f>
        <v/>
      </c>
      <c r="F676" s="5" t="str">
        <f aca="false">IF(C676=0,"",IF($A676="Bank",IF(INDEX(Bank!$D:$D,$C676)="","",INDEX(Bank!$D:$D,$C676)),IF(INDEX(GL!$D:$D,$C676)="","",INDEX(GL!$D:$D,$C676))))</f>
        <v/>
      </c>
      <c r="G676" s="19" t="str">
        <f aca="false">IF(C676=0,"",IF($A676="Bank",INDEX(Bank!$E:$E,$C676),INDEX(GL!$E:$E,$C676)))</f>
        <v/>
      </c>
      <c r="H676" s="5" t="str">
        <f aca="false">IF(C676=0,"",IF(A676="GL",IF(G676&gt;0,"Deposit in transit","Outstanding check / payment"),IF(G676&gt;0,"Bank credit not in GL","Bank debit not in GL")))</f>
        <v/>
      </c>
      <c r="I676" s="42" t="str">
        <f aca="false">IF(OR(C676=0,CFG_PeriodEnd=""),"",CFG_PeriodEnd-D676)</f>
        <v/>
      </c>
      <c r="J676" s="5" t="str">
        <f aca="false">IF(C676=0,"",IF($A676="Bank",IF(INDEX(Bank!$G:$G,$C676)="","",INDEX(Bank!$G:$G,$C676)),IF(INDEX(GL!$G:$G,$C676)="","",INDEX(GL!$G:$G,$C676))))</f>
        <v/>
      </c>
      <c r="K676" s="5" t="str">
        <f aca="false">IF(C676=0,"",IF($A676="Bank",IF(INDEX(Bank!$I:$I,$C676)="","",INDEX(Bank!$I:$I,$C676)),IF(INDEX(GL!$I:$I,$C676)="","",INDEX(GL!$I:$I,$C676))))</f>
        <v/>
      </c>
      <c r="L676" s="5" t="str">
        <f aca="false">IF(B676="","",IF(C676=0,"NOT FOUND",IF(IF($A676="Bank",INDEX(Bank!$F:$F,$C676),INDEX(GL!$F:$F,$C676))="Y","NOW RECONCILED: refresh","OK")))</f>
        <v/>
      </c>
    </row>
    <row r="677" customFormat="false" ht="15" hidden="false" customHeight="false" outlineLevel="0" collapsed="false">
      <c r="A677" s="41"/>
      <c r="B677" s="41"/>
      <c r="C677" s="5" t="n">
        <f aca="false">IF(B677="",0,IF(A677="Bank",IFERROR(MATCH(B677,Bank!$A:$A,0),0),IFERROR(MATCH(B677,GL!$A:$A,0),0)))</f>
        <v>0</v>
      </c>
      <c r="D677" s="32" t="str">
        <f aca="false">IF(C677=0,"",IF($A677="Bank",INDEX(Bank!$B:$B,$C677),INDEX(GL!$B:$B,$C677)))</f>
        <v/>
      </c>
      <c r="E677" s="5" t="str">
        <f aca="false">IF(C677=0,"",IF($A677="Bank",IF(INDEX(Bank!$C:$C,$C677)="","",INDEX(Bank!$C:$C,$C677)),IF(INDEX(GL!$C:$C,$C677)="","",INDEX(GL!$C:$C,$C677))))</f>
        <v/>
      </c>
      <c r="F677" s="5" t="str">
        <f aca="false">IF(C677=0,"",IF($A677="Bank",IF(INDEX(Bank!$D:$D,$C677)="","",INDEX(Bank!$D:$D,$C677)),IF(INDEX(GL!$D:$D,$C677)="","",INDEX(GL!$D:$D,$C677))))</f>
        <v/>
      </c>
      <c r="G677" s="19" t="str">
        <f aca="false">IF(C677=0,"",IF($A677="Bank",INDEX(Bank!$E:$E,$C677),INDEX(GL!$E:$E,$C677)))</f>
        <v/>
      </c>
      <c r="H677" s="5" t="str">
        <f aca="false">IF(C677=0,"",IF(A677="GL",IF(G677&gt;0,"Deposit in transit","Outstanding check / payment"),IF(G677&gt;0,"Bank credit not in GL","Bank debit not in GL")))</f>
        <v/>
      </c>
      <c r="I677" s="42" t="str">
        <f aca="false">IF(OR(C677=0,CFG_PeriodEnd=""),"",CFG_PeriodEnd-D677)</f>
        <v/>
      </c>
      <c r="J677" s="5" t="str">
        <f aca="false">IF(C677=0,"",IF($A677="Bank",IF(INDEX(Bank!$G:$G,$C677)="","",INDEX(Bank!$G:$G,$C677)),IF(INDEX(GL!$G:$G,$C677)="","",INDEX(GL!$G:$G,$C677))))</f>
        <v/>
      </c>
      <c r="K677" s="5" t="str">
        <f aca="false">IF(C677=0,"",IF($A677="Bank",IF(INDEX(Bank!$I:$I,$C677)="","",INDEX(Bank!$I:$I,$C677)),IF(INDEX(GL!$I:$I,$C677)="","",INDEX(GL!$I:$I,$C677))))</f>
        <v/>
      </c>
      <c r="L677" s="5" t="str">
        <f aca="false">IF(B677="","",IF(C677=0,"NOT FOUND",IF(IF($A677="Bank",INDEX(Bank!$F:$F,$C677),INDEX(GL!$F:$F,$C677))="Y","NOW RECONCILED: refresh","OK")))</f>
        <v/>
      </c>
    </row>
    <row r="678" customFormat="false" ht="15" hidden="false" customHeight="false" outlineLevel="0" collapsed="false">
      <c r="A678" s="41"/>
      <c r="B678" s="41"/>
      <c r="C678" s="5" t="n">
        <f aca="false">IF(B678="",0,IF(A678="Bank",IFERROR(MATCH(B678,Bank!$A:$A,0),0),IFERROR(MATCH(B678,GL!$A:$A,0),0)))</f>
        <v>0</v>
      </c>
      <c r="D678" s="32" t="str">
        <f aca="false">IF(C678=0,"",IF($A678="Bank",INDEX(Bank!$B:$B,$C678),INDEX(GL!$B:$B,$C678)))</f>
        <v/>
      </c>
      <c r="E678" s="5" t="str">
        <f aca="false">IF(C678=0,"",IF($A678="Bank",IF(INDEX(Bank!$C:$C,$C678)="","",INDEX(Bank!$C:$C,$C678)),IF(INDEX(GL!$C:$C,$C678)="","",INDEX(GL!$C:$C,$C678))))</f>
        <v/>
      </c>
      <c r="F678" s="5" t="str">
        <f aca="false">IF(C678=0,"",IF($A678="Bank",IF(INDEX(Bank!$D:$D,$C678)="","",INDEX(Bank!$D:$D,$C678)),IF(INDEX(GL!$D:$D,$C678)="","",INDEX(GL!$D:$D,$C678))))</f>
        <v/>
      </c>
      <c r="G678" s="19" t="str">
        <f aca="false">IF(C678=0,"",IF($A678="Bank",INDEX(Bank!$E:$E,$C678),INDEX(GL!$E:$E,$C678)))</f>
        <v/>
      </c>
      <c r="H678" s="5" t="str">
        <f aca="false">IF(C678=0,"",IF(A678="GL",IF(G678&gt;0,"Deposit in transit","Outstanding check / payment"),IF(G678&gt;0,"Bank credit not in GL","Bank debit not in GL")))</f>
        <v/>
      </c>
      <c r="I678" s="42" t="str">
        <f aca="false">IF(OR(C678=0,CFG_PeriodEnd=""),"",CFG_PeriodEnd-D678)</f>
        <v/>
      </c>
      <c r="J678" s="5" t="str">
        <f aca="false">IF(C678=0,"",IF($A678="Bank",IF(INDEX(Bank!$G:$G,$C678)="","",INDEX(Bank!$G:$G,$C678)),IF(INDEX(GL!$G:$G,$C678)="","",INDEX(GL!$G:$G,$C678))))</f>
        <v/>
      </c>
      <c r="K678" s="5" t="str">
        <f aca="false">IF(C678=0,"",IF($A678="Bank",IF(INDEX(Bank!$I:$I,$C678)="","",INDEX(Bank!$I:$I,$C678)),IF(INDEX(GL!$I:$I,$C678)="","",INDEX(GL!$I:$I,$C678))))</f>
        <v/>
      </c>
      <c r="L678" s="5" t="str">
        <f aca="false">IF(B678="","",IF(C678=0,"NOT FOUND",IF(IF($A678="Bank",INDEX(Bank!$F:$F,$C678),INDEX(GL!$F:$F,$C678))="Y","NOW RECONCILED: refresh","OK")))</f>
        <v/>
      </c>
    </row>
    <row r="679" customFormat="false" ht="15" hidden="false" customHeight="false" outlineLevel="0" collapsed="false">
      <c r="A679" s="41"/>
      <c r="B679" s="41"/>
      <c r="C679" s="5" t="n">
        <f aca="false">IF(B679="",0,IF(A679="Bank",IFERROR(MATCH(B679,Bank!$A:$A,0),0),IFERROR(MATCH(B679,GL!$A:$A,0),0)))</f>
        <v>0</v>
      </c>
      <c r="D679" s="32" t="str">
        <f aca="false">IF(C679=0,"",IF($A679="Bank",INDEX(Bank!$B:$B,$C679),INDEX(GL!$B:$B,$C679)))</f>
        <v/>
      </c>
      <c r="E679" s="5" t="str">
        <f aca="false">IF(C679=0,"",IF($A679="Bank",IF(INDEX(Bank!$C:$C,$C679)="","",INDEX(Bank!$C:$C,$C679)),IF(INDEX(GL!$C:$C,$C679)="","",INDEX(GL!$C:$C,$C679))))</f>
        <v/>
      </c>
      <c r="F679" s="5" t="str">
        <f aca="false">IF(C679=0,"",IF($A679="Bank",IF(INDEX(Bank!$D:$D,$C679)="","",INDEX(Bank!$D:$D,$C679)),IF(INDEX(GL!$D:$D,$C679)="","",INDEX(GL!$D:$D,$C679))))</f>
        <v/>
      </c>
      <c r="G679" s="19" t="str">
        <f aca="false">IF(C679=0,"",IF($A679="Bank",INDEX(Bank!$E:$E,$C679),INDEX(GL!$E:$E,$C679)))</f>
        <v/>
      </c>
      <c r="H679" s="5" t="str">
        <f aca="false">IF(C679=0,"",IF(A679="GL",IF(G679&gt;0,"Deposit in transit","Outstanding check / payment"),IF(G679&gt;0,"Bank credit not in GL","Bank debit not in GL")))</f>
        <v/>
      </c>
      <c r="I679" s="42" t="str">
        <f aca="false">IF(OR(C679=0,CFG_PeriodEnd=""),"",CFG_PeriodEnd-D679)</f>
        <v/>
      </c>
      <c r="J679" s="5" t="str">
        <f aca="false">IF(C679=0,"",IF($A679="Bank",IF(INDEX(Bank!$G:$G,$C679)="","",INDEX(Bank!$G:$G,$C679)),IF(INDEX(GL!$G:$G,$C679)="","",INDEX(GL!$G:$G,$C679))))</f>
        <v/>
      </c>
      <c r="K679" s="5" t="str">
        <f aca="false">IF(C679=0,"",IF($A679="Bank",IF(INDEX(Bank!$I:$I,$C679)="","",INDEX(Bank!$I:$I,$C679)),IF(INDEX(GL!$I:$I,$C679)="","",INDEX(GL!$I:$I,$C679))))</f>
        <v/>
      </c>
      <c r="L679" s="5" t="str">
        <f aca="false">IF(B679="","",IF(C679=0,"NOT FOUND",IF(IF($A679="Bank",INDEX(Bank!$F:$F,$C679),INDEX(GL!$F:$F,$C679))="Y","NOW RECONCILED: refresh","OK")))</f>
        <v/>
      </c>
    </row>
    <row r="680" customFormat="false" ht="15" hidden="false" customHeight="false" outlineLevel="0" collapsed="false">
      <c r="A680" s="41"/>
      <c r="B680" s="41"/>
      <c r="C680" s="5" t="n">
        <f aca="false">IF(B680="",0,IF(A680="Bank",IFERROR(MATCH(B680,Bank!$A:$A,0),0),IFERROR(MATCH(B680,GL!$A:$A,0),0)))</f>
        <v>0</v>
      </c>
      <c r="D680" s="32" t="str">
        <f aca="false">IF(C680=0,"",IF($A680="Bank",INDEX(Bank!$B:$B,$C680),INDEX(GL!$B:$B,$C680)))</f>
        <v/>
      </c>
      <c r="E680" s="5" t="str">
        <f aca="false">IF(C680=0,"",IF($A680="Bank",IF(INDEX(Bank!$C:$C,$C680)="","",INDEX(Bank!$C:$C,$C680)),IF(INDEX(GL!$C:$C,$C680)="","",INDEX(GL!$C:$C,$C680))))</f>
        <v/>
      </c>
      <c r="F680" s="5" t="str">
        <f aca="false">IF(C680=0,"",IF($A680="Bank",IF(INDEX(Bank!$D:$D,$C680)="","",INDEX(Bank!$D:$D,$C680)),IF(INDEX(GL!$D:$D,$C680)="","",INDEX(GL!$D:$D,$C680))))</f>
        <v/>
      </c>
      <c r="G680" s="19" t="str">
        <f aca="false">IF(C680=0,"",IF($A680="Bank",INDEX(Bank!$E:$E,$C680),INDEX(GL!$E:$E,$C680)))</f>
        <v/>
      </c>
      <c r="H680" s="5" t="str">
        <f aca="false">IF(C680=0,"",IF(A680="GL",IF(G680&gt;0,"Deposit in transit","Outstanding check / payment"),IF(G680&gt;0,"Bank credit not in GL","Bank debit not in GL")))</f>
        <v/>
      </c>
      <c r="I680" s="42" t="str">
        <f aca="false">IF(OR(C680=0,CFG_PeriodEnd=""),"",CFG_PeriodEnd-D680)</f>
        <v/>
      </c>
      <c r="J680" s="5" t="str">
        <f aca="false">IF(C680=0,"",IF($A680="Bank",IF(INDEX(Bank!$G:$G,$C680)="","",INDEX(Bank!$G:$G,$C680)),IF(INDEX(GL!$G:$G,$C680)="","",INDEX(GL!$G:$G,$C680))))</f>
        <v/>
      </c>
      <c r="K680" s="5" t="str">
        <f aca="false">IF(C680=0,"",IF($A680="Bank",IF(INDEX(Bank!$I:$I,$C680)="","",INDEX(Bank!$I:$I,$C680)),IF(INDEX(GL!$I:$I,$C680)="","",INDEX(GL!$I:$I,$C680))))</f>
        <v/>
      </c>
      <c r="L680" s="5" t="str">
        <f aca="false">IF(B680="","",IF(C680=0,"NOT FOUND",IF(IF($A680="Bank",INDEX(Bank!$F:$F,$C680),INDEX(GL!$F:$F,$C680))="Y","NOW RECONCILED: refresh","OK")))</f>
        <v/>
      </c>
    </row>
    <row r="681" customFormat="false" ht="15" hidden="false" customHeight="false" outlineLevel="0" collapsed="false">
      <c r="A681" s="41"/>
      <c r="B681" s="41"/>
      <c r="C681" s="5" t="n">
        <f aca="false">IF(B681="",0,IF(A681="Bank",IFERROR(MATCH(B681,Bank!$A:$A,0),0),IFERROR(MATCH(B681,GL!$A:$A,0),0)))</f>
        <v>0</v>
      </c>
      <c r="D681" s="32" t="str">
        <f aca="false">IF(C681=0,"",IF($A681="Bank",INDEX(Bank!$B:$B,$C681),INDEX(GL!$B:$B,$C681)))</f>
        <v/>
      </c>
      <c r="E681" s="5" t="str">
        <f aca="false">IF(C681=0,"",IF($A681="Bank",IF(INDEX(Bank!$C:$C,$C681)="","",INDEX(Bank!$C:$C,$C681)),IF(INDEX(GL!$C:$C,$C681)="","",INDEX(GL!$C:$C,$C681))))</f>
        <v/>
      </c>
      <c r="F681" s="5" t="str">
        <f aca="false">IF(C681=0,"",IF($A681="Bank",IF(INDEX(Bank!$D:$D,$C681)="","",INDEX(Bank!$D:$D,$C681)),IF(INDEX(GL!$D:$D,$C681)="","",INDEX(GL!$D:$D,$C681))))</f>
        <v/>
      </c>
      <c r="G681" s="19" t="str">
        <f aca="false">IF(C681=0,"",IF($A681="Bank",INDEX(Bank!$E:$E,$C681),INDEX(GL!$E:$E,$C681)))</f>
        <v/>
      </c>
      <c r="H681" s="5" t="str">
        <f aca="false">IF(C681=0,"",IF(A681="GL",IF(G681&gt;0,"Deposit in transit","Outstanding check / payment"),IF(G681&gt;0,"Bank credit not in GL","Bank debit not in GL")))</f>
        <v/>
      </c>
      <c r="I681" s="42" t="str">
        <f aca="false">IF(OR(C681=0,CFG_PeriodEnd=""),"",CFG_PeriodEnd-D681)</f>
        <v/>
      </c>
      <c r="J681" s="5" t="str">
        <f aca="false">IF(C681=0,"",IF($A681="Bank",IF(INDEX(Bank!$G:$G,$C681)="","",INDEX(Bank!$G:$G,$C681)),IF(INDEX(GL!$G:$G,$C681)="","",INDEX(GL!$G:$G,$C681))))</f>
        <v/>
      </c>
      <c r="K681" s="5" t="str">
        <f aca="false">IF(C681=0,"",IF($A681="Bank",IF(INDEX(Bank!$I:$I,$C681)="","",INDEX(Bank!$I:$I,$C681)),IF(INDEX(GL!$I:$I,$C681)="","",INDEX(GL!$I:$I,$C681))))</f>
        <v/>
      </c>
      <c r="L681" s="5" t="str">
        <f aca="false">IF(B681="","",IF(C681=0,"NOT FOUND",IF(IF($A681="Bank",INDEX(Bank!$F:$F,$C681),INDEX(GL!$F:$F,$C681))="Y","NOW RECONCILED: refresh","OK")))</f>
        <v/>
      </c>
    </row>
    <row r="682" customFormat="false" ht="15" hidden="false" customHeight="false" outlineLevel="0" collapsed="false">
      <c r="A682" s="41"/>
      <c r="B682" s="41"/>
      <c r="C682" s="5" t="n">
        <f aca="false">IF(B682="",0,IF(A682="Bank",IFERROR(MATCH(B682,Bank!$A:$A,0),0),IFERROR(MATCH(B682,GL!$A:$A,0),0)))</f>
        <v>0</v>
      </c>
      <c r="D682" s="32" t="str">
        <f aca="false">IF(C682=0,"",IF($A682="Bank",INDEX(Bank!$B:$B,$C682),INDEX(GL!$B:$B,$C682)))</f>
        <v/>
      </c>
      <c r="E682" s="5" t="str">
        <f aca="false">IF(C682=0,"",IF($A682="Bank",IF(INDEX(Bank!$C:$C,$C682)="","",INDEX(Bank!$C:$C,$C682)),IF(INDEX(GL!$C:$C,$C682)="","",INDEX(GL!$C:$C,$C682))))</f>
        <v/>
      </c>
      <c r="F682" s="5" t="str">
        <f aca="false">IF(C682=0,"",IF($A682="Bank",IF(INDEX(Bank!$D:$D,$C682)="","",INDEX(Bank!$D:$D,$C682)),IF(INDEX(GL!$D:$D,$C682)="","",INDEX(GL!$D:$D,$C682))))</f>
        <v/>
      </c>
      <c r="G682" s="19" t="str">
        <f aca="false">IF(C682=0,"",IF($A682="Bank",INDEX(Bank!$E:$E,$C682),INDEX(GL!$E:$E,$C682)))</f>
        <v/>
      </c>
      <c r="H682" s="5" t="str">
        <f aca="false">IF(C682=0,"",IF(A682="GL",IF(G682&gt;0,"Deposit in transit","Outstanding check / payment"),IF(G682&gt;0,"Bank credit not in GL","Bank debit not in GL")))</f>
        <v/>
      </c>
      <c r="I682" s="42" t="str">
        <f aca="false">IF(OR(C682=0,CFG_PeriodEnd=""),"",CFG_PeriodEnd-D682)</f>
        <v/>
      </c>
      <c r="J682" s="5" t="str">
        <f aca="false">IF(C682=0,"",IF($A682="Bank",IF(INDEX(Bank!$G:$G,$C682)="","",INDEX(Bank!$G:$G,$C682)),IF(INDEX(GL!$G:$G,$C682)="","",INDEX(GL!$G:$G,$C682))))</f>
        <v/>
      </c>
      <c r="K682" s="5" t="str">
        <f aca="false">IF(C682=0,"",IF($A682="Bank",IF(INDEX(Bank!$I:$I,$C682)="","",INDEX(Bank!$I:$I,$C682)),IF(INDEX(GL!$I:$I,$C682)="","",INDEX(GL!$I:$I,$C682))))</f>
        <v/>
      </c>
      <c r="L682" s="5" t="str">
        <f aca="false">IF(B682="","",IF(C682=0,"NOT FOUND",IF(IF($A682="Bank",INDEX(Bank!$F:$F,$C682),INDEX(GL!$F:$F,$C682))="Y","NOW RECONCILED: refresh","OK")))</f>
        <v/>
      </c>
    </row>
    <row r="683" customFormat="false" ht="15" hidden="false" customHeight="false" outlineLevel="0" collapsed="false">
      <c r="A683" s="41"/>
      <c r="B683" s="41"/>
      <c r="C683" s="5" t="n">
        <f aca="false">IF(B683="",0,IF(A683="Bank",IFERROR(MATCH(B683,Bank!$A:$A,0),0),IFERROR(MATCH(B683,GL!$A:$A,0),0)))</f>
        <v>0</v>
      </c>
      <c r="D683" s="32" t="str">
        <f aca="false">IF(C683=0,"",IF($A683="Bank",INDEX(Bank!$B:$B,$C683),INDEX(GL!$B:$B,$C683)))</f>
        <v/>
      </c>
      <c r="E683" s="5" t="str">
        <f aca="false">IF(C683=0,"",IF($A683="Bank",IF(INDEX(Bank!$C:$C,$C683)="","",INDEX(Bank!$C:$C,$C683)),IF(INDEX(GL!$C:$C,$C683)="","",INDEX(GL!$C:$C,$C683))))</f>
        <v/>
      </c>
      <c r="F683" s="5" t="str">
        <f aca="false">IF(C683=0,"",IF($A683="Bank",IF(INDEX(Bank!$D:$D,$C683)="","",INDEX(Bank!$D:$D,$C683)),IF(INDEX(GL!$D:$D,$C683)="","",INDEX(GL!$D:$D,$C683))))</f>
        <v/>
      </c>
      <c r="G683" s="19" t="str">
        <f aca="false">IF(C683=0,"",IF($A683="Bank",INDEX(Bank!$E:$E,$C683),INDEX(GL!$E:$E,$C683)))</f>
        <v/>
      </c>
      <c r="H683" s="5" t="str">
        <f aca="false">IF(C683=0,"",IF(A683="GL",IF(G683&gt;0,"Deposit in transit","Outstanding check / payment"),IF(G683&gt;0,"Bank credit not in GL","Bank debit not in GL")))</f>
        <v/>
      </c>
      <c r="I683" s="42" t="str">
        <f aca="false">IF(OR(C683=0,CFG_PeriodEnd=""),"",CFG_PeriodEnd-D683)</f>
        <v/>
      </c>
      <c r="J683" s="5" t="str">
        <f aca="false">IF(C683=0,"",IF($A683="Bank",IF(INDEX(Bank!$G:$G,$C683)="","",INDEX(Bank!$G:$G,$C683)),IF(INDEX(GL!$G:$G,$C683)="","",INDEX(GL!$G:$G,$C683))))</f>
        <v/>
      </c>
      <c r="K683" s="5" t="str">
        <f aca="false">IF(C683=0,"",IF($A683="Bank",IF(INDEX(Bank!$I:$I,$C683)="","",INDEX(Bank!$I:$I,$C683)),IF(INDEX(GL!$I:$I,$C683)="","",INDEX(GL!$I:$I,$C683))))</f>
        <v/>
      </c>
      <c r="L683" s="5" t="str">
        <f aca="false">IF(B683="","",IF(C683=0,"NOT FOUND",IF(IF($A683="Bank",INDEX(Bank!$F:$F,$C683),INDEX(GL!$F:$F,$C683))="Y","NOW RECONCILED: refresh","OK")))</f>
        <v/>
      </c>
    </row>
    <row r="684" customFormat="false" ht="15" hidden="false" customHeight="false" outlineLevel="0" collapsed="false">
      <c r="A684" s="41"/>
      <c r="B684" s="41"/>
      <c r="C684" s="5" t="n">
        <f aca="false">IF(B684="",0,IF(A684="Bank",IFERROR(MATCH(B684,Bank!$A:$A,0),0),IFERROR(MATCH(B684,GL!$A:$A,0),0)))</f>
        <v>0</v>
      </c>
      <c r="D684" s="32" t="str">
        <f aca="false">IF(C684=0,"",IF($A684="Bank",INDEX(Bank!$B:$B,$C684),INDEX(GL!$B:$B,$C684)))</f>
        <v/>
      </c>
      <c r="E684" s="5" t="str">
        <f aca="false">IF(C684=0,"",IF($A684="Bank",IF(INDEX(Bank!$C:$C,$C684)="","",INDEX(Bank!$C:$C,$C684)),IF(INDEX(GL!$C:$C,$C684)="","",INDEX(GL!$C:$C,$C684))))</f>
        <v/>
      </c>
      <c r="F684" s="5" t="str">
        <f aca="false">IF(C684=0,"",IF($A684="Bank",IF(INDEX(Bank!$D:$D,$C684)="","",INDEX(Bank!$D:$D,$C684)),IF(INDEX(GL!$D:$D,$C684)="","",INDEX(GL!$D:$D,$C684))))</f>
        <v/>
      </c>
      <c r="G684" s="19" t="str">
        <f aca="false">IF(C684=0,"",IF($A684="Bank",INDEX(Bank!$E:$E,$C684),INDEX(GL!$E:$E,$C684)))</f>
        <v/>
      </c>
      <c r="H684" s="5" t="str">
        <f aca="false">IF(C684=0,"",IF(A684="GL",IF(G684&gt;0,"Deposit in transit","Outstanding check / payment"),IF(G684&gt;0,"Bank credit not in GL","Bank debit not in GL")))</f>
        <v/>
      </c>
      <c r="I684" s="42" t="str">
        <f aca="false">IF(OR(C684=0,CFG_PeriodEnd=""),"",CFG_PeriodEnd-D684)</f>
        <v/>
      </c>
      <c r="J684" s="5" t="str">
        <f aca="false">IF(C684=0,"",IF($A684="Bank",IF(INDEX(Bank!$G:$G,$C684)="","",INDEX(Bank!$G:$G,$C684)),IF(INDEX(GL!$G:$G,$C684)="","",INDEX(GL!$G:$G,$C684))))</f>
        <v/>
      </c>
      <c r="K684" s="5" t="str">
        <f aca="false">IF(C684=0,"",IF($A684="Bank",IF(INDEX(Bank!$I:$I,$C684)="","",INDEX(Bank!$I:$I,$C684)),IF(INDEX(GL!$I:$I,$C684)="","",INDEX(GL!$I:$I,$C684))))</f>
        <v/>
      </c>
      <c r="L684" s="5" t="str">
        <f aca="false">IF(B684="","",IF(C684=0,"NOT FOUND",IF(IF($A684="Bank",INDEX(Bank!$F:$F,$C684),INDEX(GL!$F:$F,$C684))="Y","NOW RECONCILED: refresh","OK")))</f>
        <v/>
      </c>
    </row>
    <row r="685" customFormat="false" ht="15" hidden="false" customHeight="false" outlineLevel="0" collapsed="false">
      <c r="A685" s="41"/>
      <c r="B685" s="41"/>
      <c r="C685" s="5" t="n">
        <f aca="false">IF(B685="",0,IF(A685="Bank",IFERROR(MATCH(B685,Bank!$A:$A,0),0),IFERROR(MATCH(B685,GL!$A:$A,0),0)))</f>
        <v>0</v>
      </c>
      <c r="D685" s="32" t="str">
        <f aca="false">IF(C685=0,"",IF($A685="Bank",INDEX(Bank!$B:$B,$C685),INDEX(GL!$B:$B,$C685)))</f>
        <v/>
      </c>
      <c r="E685" s="5" t="str">
        <f aca="false">IF(C685=0,"",IF($A685="Bank",IF(INDEX(Bank!$C:$C,$C685)="","",INDEX(Bank!$C:$C,$C685)),IF(INDEX(GL!$C:$C,$C685)="","",INDEX(GL!$C:$C,$C685))))</f>
        <v/>
      </c>
      <c r="F685" s="5" t="str">
        <f aca="false">IF(C685=0,"",IF($A685="Bank",IF(INDEX(Bank!$D:$D,$C685)="","",INDEX(Bank!$D:$D,$C685)),IF(INDEX(GL!$D:$D,$C685)="","",INDEX(GL!$D:$D,$C685))))</f>
        <v/>
      </c>
      <c r="G685" s="19" t="str">
        <f aca="false">IF(C685=0,"",IF($A685="Bank",INDEX(Bank!$E:$E,$C685),INDEX(GL!$E:$E,$C685)))</f>
        <v/>
      </c>
      <c r="H685" s="5" t="str">
        <f aca="false">IF(C685=0,"",IF(A685="GL",IF(G685&gt;0,"Deposit in transit","Outstanding check / payment"),IF(G685&gt;0,"Bank credit not in GL","Bank debit not in GL")))</f>
        <v/>
      </c>
      <c r="I685" s="42" t="str">
        <f aca="false">IF(OR(C685=0,CFG_PeriodEnd=""),"",CFG_PeriodEnd-D685)</f>
        <v/>
      </c>
      <c r="J685" s="5" t="str">
        <f aca="false">IF(C685=0,"",IF($A685="Bank",IF(INDEX(Bank!$G:$G,$C685)="","",INDEX(Bank!$G:$G,$C685)),IF(INDEX(GL!$G:$G,$C685)="","",INDEX(GL!$G:$G,$C685))))</f>
        <v/>
      </c>
      <c r="K685" s="5" t="str">
        <f aca="false">IF(C685=0,"",IF($A685="Bank",IF(INDEX(Bank!$I:$I,$C685)="","",INDEX(Bank!$I:$I,$C685)),IF(INDEX(GL!$I:$I,$C685)="","",INDEX(GL!$I:$I,$C685))))</f>
        <v/>
      </c>
      <c r="L685" s="5" t="str">
        <f aca="false">IF(B685="","",IF(C685=0,"NOT FOUND",IF(IF($A685="Bank",INDEX(Bank!$F:$F,$C685),INDEX(GL!$F:$F,$C685))="Y","NOW RECONCILED: refresh","OK")))</f>
        <v/>
      </c>
    </row>
    <row r="686" customFormat="false" ht="15" hidden="false" customHeight="false" outlineLevel="0" collapsed="false">
      <c r="A686" s="41"/>
      <c r="B686" s="41"/>
      <c r="C686" s="5" t="n">
        <f aca="false">IF(B686="",0,IF(A686="Bank",IFERROR(MATCH(B686,Bank!$A:$A,0),0),IFERROR(MATCH(B686,GL!$A:$A,0),0)))</f>
        <v>0</v>
      </c>
      <c r="D686" s="32" t="str">
        <f aca="false">IF(C686=0,"",IF($A686="Bank",INDEX(Bank!$B:$B,$C686),INDEX(GL!$B:$B,$C686)))</f>
        <v/>
      </c>
      <c r="E686" s="5" t="str">
        <f aca="false">IF(C686=0,"",IF($A686="Bank",IF(INDEX(Bank!$C:$C,$C686)="","",INDEX(Bank!$C:$C,$C686)),IF(INDEX(GL!$C:$C,$C686)="","",INDEX(GL!$C:$C,$C686))))</f>
        <v/>
      </c>
      <c r="F686" s="5" t="str">
        <f aca="false">IF(C686=0,"",IF($A686="Bank",IF(INDEX(Bank!$D:$D,$C686)="","",INDEX(Bank!$D:$D,$C686)),IF(INDEX(GL!$D:$D,$C686)="","",INDEX(GL!$D:$D,$C686))))</f>
        <v/>
      </c>
      <c r="G686" s="19" t="str">
        <f aca="false">IF(C686=0,"",IF($A686="Bank",INDEX(Bank!$E:$E,$C686),INDEX(GL!$E:$E,$C686)))</f>
        <v/>
      </c>
      <c r="H686" s="5" t="str">
        <f aca="false">IF(C686=0,"",IF(A686="GL",IF(G686&gt;0,"Deposit in transit","Outstanding check / payment"),IF(G686&gt;0,"Bank credit not in GL","Bank debit not in GL")))</f>
        <v/>
      </c>
      <c r="I686" s="42" t="str">
        <f aca="false">IF(OR(C686=0,CFG_PeriodEnd=""),"",CFG_PeriodEnd-D686)</f>
        <v/>
      </c>
      <c r="J686" s="5" t="str">
        <f aca="false">IF(C686=0,"",IF($A686="Bank",IF(INDEX(Bank!$G:$G,$C686)="","",INDEX(Bank!$G:$G,$C686)),IF(INDEX(GL!$G:$G,$C686)="","",INDEX(GL!$G:$G,$C686))))</f>
        <v/>
      </c>
      <c r="K686" s="5" t="str">
        <f aca="false">IF(C686=0,"",IF($A686="Bank",IF(INDEX(Bank!$I:$I,$C686)="","",INDEX(Bank!$I:$I,$C686)),IF(INDEX(GL!$I:$I,$C686)="","",INDEX(GL!$I:$I,$C686))))</f>
        <v/>
      </c>
      <c r="L686" s="5" t="str">
        <f aca="false">IF(B686="","",IF(C686=0,"NOT FOUND",IF(IF($A686="Bank",INDEX(Bank!$F:$F,$C686),INDEX(GL!$F:$F,$C686))="Y","NOW RECONCILED: refresh","OK")))</f>
        <v/>
      </c>
    </row>
    <row r="687" customFormat="false" ht="15" hidden="false" customHeight="false" outlineLevel="0" collapsed="false">
      <c r="A687" s="41"/>
      <c r="B687" s="41"/>
      <c r="C687" s="5" t="n">
        <f aca="false">IF(B687="",0,IF(A687="Bank",IFERROR(MATCH(B687,Bank!$A:$A,0),0),IFERROR(MATCH(B687,GL!$A:$A,0),0)))</f>
        <v>0</v>
      </c>
      <c r="D687" s="32" t="str">
        <f aca="false">IF(C687=0,"",IF($A687="Bank",INDEX(Bank!$B:$B,$C687),INDEX(GL!$B:$B,$C687)))</f>
        <v/>
      </c>
      <c r="E687" s="5" t="str">
        <f aca="false">IF(C687=0,"",IF($A687="Bank",IF(INDEX(Bank!$C:$C,$C687)="","",INDEX(Bank!$C:$C,$C687)),IF(INDEX(GL!$C:$C,$C687)="","",INDEX(GL!$C:$C,$C687))))</f>
        <v/>
      </c>
      <c r="F687" s="5" t="str">
        <f aca="false">IF(C687=0,"",IF($A687="Bank",IF(INDEX(Bank!$D:$D,$C687)="","",INDEX(Bank!$D:$D,$C687)),IF(INDEX(GL!$D:$D,$C687)="","",INDEX(GL!$D:$D,$C687))))</f>
        <v/>
      </c>
      <c r="G687" s="19" t="str">
        <f aca="false">IF(C687=0,"",IF($A687="Bank",INDEX(Bank!$E:$E,$C687),INDEX(GL!$E:$E,$C687)))</f>
        <v/>
      </c>
      <c r="H687" s="5" t="str">
        <f aca="false">IF(C687=0,"",IF(A687="GL",IF(G687&gt;0,"Deposit in transit","Outstanding check / payment"),IF(G687&gt;0,"Bank credit not in GL","Bank debit not in GL")))</f>
        <v/>
      </c>
      <c r="I687" s="42" t="str">
        <f aca="false">IF(OR(C687=0,CFG_PeriodEnd=""),"",CFG_PeriodEnd-D687)</f>
        <v/>
      </c>
      <c r="J687" s="5" t="str">
        <f aca="false">IF(C687=0,"",IF($A687="Bank",IF(INDEX(Bank!$G:$G,$C687)="","",INDEX(Bank!$G:$G,$C687)),IF(INDEX(GL!$G:$G,$C687)="","",INDEX(GL!$G:$G,$C687))))</f>
        <v/>
      </c>
      <c r="K687" s="5" t="str">
        <f aca="false">IF(C687=0,"",IF($A687="Bank",IF(INDEX(Bank!$I:$I,$C687)="","",INDEX(Bank!$I:$I,$C687)),IF(INDEX(GL!$I:$I,$C687)="","",INDEX(GL!$I:$I,$C687))))</f>
        <v/>
      </c>
      <c r="L687" s="5" t="str">
        <f aca="false">IF(B687="","",IF(C687=0,"NOT FOUND",IF(IF($A687="Bank",INDEX(Bank!$F:$F,$C687),INDEX(GL!$F:$F,$C687))="Y","NOW RECONCILED: refresh","OK")))</f>
        <v/>
      </c>
    </row>
    <row r="688" customFormat="false" ht="15" hidden="false" customHeight="false" outlineLevel="0" collapsed="false">
      <c r="A688" s="41"/>
      <c r="B688" s="41"/>
      <c r="C688" s="5" t="n">
        <f aca="false">IF(B688="",0,IF(A688="Bank",IFERROR(MATCH(B688,Bank!$A:$A,0),0),IFERROR(MATCH(B688,GL!$A:$A,0),0)))</f>
        <v>0</v>
      </c>
      <c r="D688" s="32" t="str">
        <f aca="false">IF(C688=0,"",IF($A688="Bank",INDEX(Bank!$B:$B,$C688),INDEX(GL!$B:$B,$C688)))</f>
        <v/>
      </c>
      <c r="E688" s="5" t="str">
        <f aca="false">IF(C688=0,"",IF($A688="Bank",IF(INDEX(Bank!$C:$C,$C688)="","",INDEX(Bank!$C:$C,$C688)),IF(INDEX(GL!$C:$C,$C688)="","",INDEX(GL!$C:$C,$C688))))</f>
        <v/>
      </c>
      <c r="F688" s="5" t="str">
        <f aca="false">IF(C688=0,"",IF($A688="Bank",IF(INDEX(Bank!$D:$D,$C688)="","",INDEX(Bank!$D:$D,$C688)),IF(INDEX(GL!$D:$D,$C688)="","",INDEX(GL!$D:$D,$C688))))</f>
        <v/>
      </c>
      <c r="G688" s="19" t="str">
        <f aca="false">IF(C688=0,"",IF($A688="Bank",INDEX(Bank!$E:$E,$C688),INDEX(GL!$E:$E,$C688)))</f>
        <v/>
      </c>
      <c r="H688" s="5" t="str">
        <f aca="false">IF(C688=0,"",IF(A688="GL",IF(G688&gt;0,"Deposit in transit","Outstanding check / payment"),IF(G688&gt;0,"Bank credit not in GL","Bank debit not in GL")))</f>
        <v/>
      </c>
      <c r="I688" s="42" t="str">
        <f aca="false">IF(OR(C688=0,CFG_PeriodEnd=""),"",CFG_PeriodEnd-D688)</f>
        <v/>
      </c>
      <c r="J688" s="5" t="str">
        <f aca="false">IF(C688=0,"",IF($A688="Bank",IF(INDEX(Bank!$G:$G,$C688)="","",INDEX(Bank!$G:$G,$C688)),IF(INDEX(GL!$G:$G,$C688)="","",INDEX(GL!$G:$G,$C688))))</f>
        <v/>
      </c>
      <c r="K688" s="5" t="str">
        <f aca="false">IF(C688=0,"",IF($A688="Bank",IF(INDEX(Bank!$I:$I,$C688)="","",INDEX(Bank!$I:$I,$C688)),IF(INDEX(GL!$I:$I,$C688)="","",INDEX(GL!$I:$I,$C688))))</f>
        <v/>
      </c>
      <c r="L688" s="5" t="str">
        <f aca="false">IF(B688="","",IF(C688=0,"NOT FOUND",IF(IF($A688="Bank",INDEX(Bank!$F:$F,$C688),INDEX(GL!$F:$F,$C688))="Y","NOW RECONCILED: refresh","OK")))</f>
        <v/>
      </c>
    </row>
    <row r="689" customFormat="false" ht="15" hidden="false" customHeight="false" outlineLevel="0" collapsed="false">
      <c r="A689" s="41"/>
      <c r="B689" s="41"/>
      <c r="C689" s="5" t="n">
        <f aca="false">IF(B689="",0,IF(A689="Bank",IFERROR(MATCH(B689,Bank!$A:$A,0),0),IFERROR(MATCH(B689,GL!$A:$A,0),0)))</f>
        <v>0</v>
      </c>
      <c r="D689" s="32" t="str">
        <f aca="false">IF(C689=0,"",IF($A689="Bank",INDEX(Bank!$B:$B,$C689),INDEX(GL!$B:$B,$C689)))</f>
        <v/>
      </c>
      <c r="E689" s="5" t="str">
        <f aca="false">IF(C689=0,"",IF($A689="Bank",IF(INDEX(Bank!$C:$C,$C689)="","",INDEX(Bank!$C:$C,$C689)),IF(INDEX(GL!$C:$C,$C689)="","",INDEX(GL!$C:$C,$C689))))</f>
        <v/>
      </c>
      <c r="F689" s="5" t="str">
        <f aca="false">IF(C689=0,"",IF($A689="Bank",IF(INDEX(Bank!$D:$D,$C689)="","",INDEX(Bank!$D:$D,$C689)),IF(INDEX(GL!$D:$D,$C689)="","",INDEX(GL!$D:$D,$C689))))</f>
        <v/>
      </c>
      <c r="G689" s="19" t="str">
        <f aca="false">IF(C689=0,"",IF($A689="Bank",INDEX(Bank!$E:$E,$C689),INDEX(GL!$E:$E,$C689)))</f>
        <v/>
      </c>
      <c r="H689" s="5" t="str">
        <f aca="false">IF(C689=0,"",IF(A689="GL",IF(G689&gt;0,"Deposit in transit","Outstanding check / payment"),IF(G689&gt;0,"Bank credit not in GL","Bank debit not in GL")))</f>
        <v/>
      </c>
      <c r="I689" s="42" t="str">
        <f aca="false">IF(OR(C689=0,CFG_PeriodEnd=""),"",CFG_PeriodEnd-D689)</f>
        <v/>
      </c>
      <c r="J689" s="5" t="str">
        <f aca="false">IF(C689=0,"",IF($A689="Bank",IF(INDEX(Bank!$G:$G,$C689)="","",INDEX(Bank!$G:$G,$C689)),IF(INDEX(GL!$G:$G,$C689)="","",INDEX(GL!$G:$G,$C689))))</f>
        <v/>
      </c>
      <c r="K689" s="5" t="str">
        <f aca="false">IF(C689=0,"",IF($A689="Bank",IF(INDEX(Bank!$I:$I,$C689)="","",INDEX(Bank!$I:$I,$C689)),IF(INDEX(GL!$I:$I,$C689)="","",INDEX(GL!$I:$I,$C689))))</f>
        <v/>
      </c>
      <c r="L689" s="5" t="str">
        <f aca="false">IF(B689="","",IF(C689=0,"NOT FOUND",IF(IF($A689="Bank",INDEX(Bank!$F:$F,$C689),INDEX(GL!$F:$F,$C689))="Y","NOW RECONCILED: refresh","OK")))</f>
        <v/>
      </c>
    </row>
    <row r="690" customFormat="false" ht="15" hidden="false" customHeight="false" outlineLevel="0" collapsed="false">
      <c r="A690" s="41"/>
      <c r="B690" s="41"/>
      <c r="C690" s="5" t="n">
        <f aca="false">IF(B690="",0,IF(A690="Bank",IFERROR(MATCH(B690,Bank!$A:$A,0),0),IFERROR(MATCH(B690,GL!$A:$A,0),0)))</f>
        <v>0</v>
      </c>
      <c r="D690" s="32" t="str">
        <f aca="false">IF(C690=0,"",IF($A690="Bank",INDEX(Bank!$B:$B,$C690),INDEX(GL!$B:$B,$C690)))</f>
        <v/>
      </c>
      <c r="E690" s="5" t="str">
        <f aca="false">IF(C690=0,"",IF($A690="Bank",IF(INDEX(Bank!$C:$C,$C690)="","",INDEX(Bank!$C:$C,$C690)),IF(INDEX(GL!$C:$C,$C690)="","",INDEX(GL!$C:$C,$C690))))</f>
        <v/>
      </c>
      <c r="F690" s="5" t="str">
        <f aca="false">IF(C690=0,"",IF($A690="Bank",IF(INDEX(Bank!$D:$D,$C690)="","",INDEX(Bank!$D:$D,$C690)),IF(INDEX(GL!$D:$D,$C690)="","",INDEX(GL!$D:$D,$C690))))</f>
        <v/>
      </c>
      <c r="G690" s="19" t="str">
        <f aca="false">IF(C690=0,"",IF($A690="Bank",INDEX(Bank!$E:$E,$C690),INDEX(GL!$E:$E,$C690)))</f>
        <v/>
      </c>
      <c r="H690" s="5" t="str">
        <f aca="false">IF(C690=0,"",IF(A690="GL",IF(G690&gt;0,"Deposit in transit","Outstanding check / payment"),IF(G690&gt;0,"Bank credit not in GL","Bank debit not in GL")))</f>
        <v/>
      </c>
      <c r="I690" s="42" t="str">
        <f aca="false">IF(OR(C690=0,CFG_PeriodEnd=""),"",CFG_PeriodEnd-D690)</f>
        <v/>
      </c>
      <c r="J690" s="5" t="str">
        <f aca="false">IF(C690=0,"",IF($A690="Bank",IF(INDEX(Bank!$G:$G,$C690)="","",INDEX(Bank!$G:$G,$C690)),IF(INDEX(GL!$G:$G,$C690)="","",INDEX(GL!$G:$G,$C690))))</f>
        <v/>
      </c>
      <c r="K690" s="5" t="str">
        <f aca="false">IF(C690=0,"",IF($A690="Bank",IF(INDEX(Bank!$I:$I,$C690)="","",INDEX(Bank!$I:$I,$C690)),IF(INDEX(GL!$I:$I,$C690)="","",INDEX(GL!$I:$I,$C690))))</f>
        <v/>
      </c>
      <c r="L690" s="5" t="str">
        <f aca="false">IF(B690="","",IF(C690=0,"NOT FOUND",IF(IF($A690="Bank",INDEX(Bank!$F:$F,$C690),INDEX(GL!$F:$F,$C690))="Y","NOW RECONCILED: refresh","OK")))</f>
        <v/>
      </c>
    </row>
    <row r="691" customFormat="false" ht="15" hidden="false" customHeight="false" outlineLevel="0" collapsed="false">
      <c r="A691" s="41"/>
      <c r="B691" s="41"/>
      <c r="C691" s="5" t="n">
        <f aca="false">IF(B691="",0,IF(A691="Bank",IFERROR(MATCH(B691,Bank!$A:$A,0),0),IFERROR(MATCH(B691,GL!$A:$A,0),0)))</f>
        <v>0</v>
      </c>
      <c r="D691" s="32" t="str">
        <f aca="false">IF(C691=0,"",IF($A691="Bank",INDEX(Bank!$B:$B,$C691),INDEX(GL!$B:$B,$C691)))</f>
        <v/>
      </c>
      <c r="E691" s="5" t="str">
        <f aca="false">IF(C691=0,"",IF($A691="Bank",IF(INDEX(Bank!$C:$C,$C691)="","",INDEX(Bank!$C:$C,$C691)),IF(INDEX(GL!$C:$C,$C691)="","",INDEX(GL!$C:$C,$C691))))</f>
        <v/>
      </c>
      <c r="F691" s="5" t="str">
        <f aca="false">IF(C691=0,"",IF($A691="Bank",IF(INDEX(Bank!$D:$D,$C691)="","",INDEX(Bank!$D:$D,$C691)),IF(INDEX(GL!$D:$D,$C691)="","",INDEX(GL!$D:$D,$C691))))</f>
        <v/>
      </c>
      <c r="G691" s="19" t="str">
        <f aca="false">IF(C691=0,"",IF($A691="Bank",INDEX(Bank!$E:$E,$C691),INDEX(GL!$E:$E,$C691)))</f>
        <v/>
      </c>
      <c r="H691" s="5" t="str">
        <f aca="false">IF(C691=0,"",IF(A691="GL",IF(G691&gt;0,"Deposit in transit","Outstanding check / payment"),IF(G691&gt;0,"Bank credit not in GL","Bank debit not in GL")))</f>
        <v/>
      </c>
      <c r="I691" s="42" t="str">
        <f aca="false">IF(OR(C691=0,CFG_PeriodEnd=""),"",CFG_PeriodEnd-D691)</f>
        <v/>
      </c>
      <c r="J691" s="5" t="str">
        <f aca="false">IF(C691=0,"",IF($A691="Bank",IF(INDEX(Bank!$G:$G,$C691)="","",INDEX(Bank!$G:$G,$C691)),IF(INDEX(GL!$G:$G,$C691)="","",INDEX(GL!$G:$G,$C691))))</f>
        <v/>
      </c>
      <c r="K691" s="5" t="str">
        <f aca="false">IF(C691=0,"",IF($A691="Bank",IF(INDEX(Bank!$I:$I,$C691)="","",INDEX(Bank!$I:$I,$C691)),IF(INDEX(GL!$I:$I,$C691)="","",INDEX(GL!$I:$I,$C691))))</f>
        <v/>
      </c>
      <c r="L691" s="5" t="str">
        <f aca="false">IF(B691="","",IF(C691=0,"NOT FOUND",IF(IF($A691="Bank",INDEX(Bank!$F:$F,$C691),INDEX(GL!$F:$F,$C691))="Y","NOW RECONCILED: refresh","OK")))</f>
        <v/>
      </c>
    </row>
    <row r="692" customFormat="false" ht="15" hidden="false" customHeight="false" outlineLevel="0" collapsed="false">
      <c r="A692" s="41"/>
      <c r="B692" s="41"/>
      <c r="C692" s="5" t="n">
        <f aca="false">IF(B692="",0,IF(A692="Bank",IFERROR(MATCH(B692,Bank!$A:$A,0),0),IFERROR(MATCH(B692,GL!$A:$A,0),0)))</f>
        <v>0</v>
      </c>
      <c r="D692" s="32" t="str">
        <f aca="false">IF(C692=0,"",IF($A692="Bank",INDEX(Bank!$B:$B,$C692),INDEX(GL!$B:$B,$C692)))</f>
        <v/>
      </c>
      <c r="E692" s="5" t="str">
        <f aca="false">IF(C692=0,"",IF($A692="Bank",IF(INDEX(Bank!$C:$C,$C692)="","",INDEX(Bank!$C:$C,$C692)),IF(INDEX(GL!$C:$C,$C692)="","",INDEX(GL!$C:$C,$C692))))</f>
        <v/>
      </c>
      <c r="F692" s="5" t="str">
        <f aca="false">IF(C692=0,"",IF($A692="Bank",IF(INDEX(Bank!$D:$D,$C692)="","",INDEX(Bank!$D:$D,$C692)),IF(INDEX(GL!$D:$D,$C692)="","",INDEX(GL!$D:$D,$C692))))</f>
        <v/>
      </c>
      <c r="G692" s="19" t="str">
        <f aca="false">IF(C692=0,"",IF($A692="Bank",INDEX(Bank!$E:$E,$C692),INDEX(GL!$E:$E,$C692)))</f>
        <v/>
      </c>
      <c r="H692" s="5" t="str">
        <f aca="false">IF(C692=0,"",IF(A692="GL",IF(G692&gt;0,"Deposit in transit","Outstanding check / payment"),IF(G692&gt;0,"Bank credit not in GL","Bank debit not in GL")))</f>
        <v/>
      </c>
      <c r="I692" s="42" t="str">
        <f aca="false">IF(OR(C692=0,CFG_PeriodEnd=""),"",CFG_PeriodEnd-D692)</f>
        <v/>
      </c>
      <c r="J692" s="5" t="str">
        <f aca="false">IF(C692=0,"",IF($A692="Bank",IF(INDEX(Bank!$G:$G,$C692)="","",INDEX(Bank!$G:$G,$C692)),IF(INDEX(GL!$G:$G,$C692)="","",INDEX(GL!$G:$G,$C692))))</f>
        <v/>
      </c>
      <c r="K692" s="5" t="str">
        <f aca="false">IF(C692=0,"",IF($A692="Bank",IF(INDEX(Bank!$I:$I,$C692)="","",INDEX(Bank!$I:$I,$C692)),IF(INDEX(GL!$I:$I,$C692)="","",INDEX(GL!$I:$I,$C692))))</f>
        <v/>
      </c>
      <c r="L692" s="5" t="str">
        <f aca="false">IF(B692="","",IF(C692=0,"NOT FOUND",IF(IF($A692="Bank",INDEX(Bank!$F:$F,$C692),INDEX(GL!$F:$F,$C692))="Y","NOW RECONCILED: refresh","OK")))</f>
        <v/>
      </c>
    </row>
    <row r="693" customFormat="false" ht="15" hidden="false" customHeight="false" outlineLevel="0" collapsed="false">
      <c r="A693" s="41"/>
      <c r="B693" s="41"/>
      <c r="C693" s="5" t="n">
        <f aca="false">IF(B693="",0,IF(A693="Bank",IFERROR(MATCH(B693,Bank!$A:$A,0),0),IFERROR(MATCH(B693,GL!$A:$A,0),0)))</f>
        <v>0</v>
      </c>
      <c r="D693" s="32" t="str">
        <f aca="false">IF(C693=0,"",IF($A693="Bank",INDEX(Bank!$B:$B,$C693),INDEX(GL!$B:$B,$C693)))</f>
        <v/>
      </c>
      <c r="E693" s="5" t="str">
        <f aca="false">IF(C693=0,"",IF($A693="Bank",IF(INDEX(Bank!$C:$C,$C693)="","",INDEX(Bank!$C:$C,$C693)),IF(INDEX(GL!$C:$C,$C693)="","",INDEX(GL!$C:$C,$C693))))</f>
        <v/>
      </c>
      <c r="F693" s="5" t="str">
        <f aca="false">IF(C693=0,"",IF($A693="Bank",IF(INDEX(Bank!$D:$D,$C693)="","",INDEX(Bank!$D:$D,$C693)),IF(INDEX(GL!$D:$D,$C693)="","",INDEX(GL!$D:$D,$C693))))</f>
        <v/>
      </c>
      <c r="G693" s="19" t="str">
        <f aca="false">IF(C693=0,"",IF($A693="Bank",INDEX(Bank!$E:$E,$C693),INDEX(GL!$E:$E,$C693)))</f>
        <v/>
      </c>
      <c r="H693" s="5" t="str">
        <f aca="false">IF(C693=0,"",IF(A693="GL",IF(G693&gt;0,"Deposit in transit","Outstanding check / payment"),IF(G693&gt;0,"Bank credit not in GL","Bank debit not in GL")))</f>
        <v/>
      </c>
      <c r="I693" s="42" t="str">
        <f aca="false">IF(OR(C693=0,CFG_PeriodEnd=""),"",CFG_PeriodEnd-D693)</f>
        <v/>
      </c>
      <c r="J693" s="5" t="str">
        <f aca="false">IF(C693=0,"",IF($A693="Bank",IF(INDEX(Bank!$G:$G,$C693)="","",INDEX(Bank!$G:$G,$C693)),IF(INDEX(GL!$G:$G,$C693)="","",INDEX(GL!$G:$G,$C693))))</f>
        <v/>
      </c>
      <c r="K693" s="5" t="str">
        <f aca="false">IF(C693=0,"",IF($A693="Bank",IF(INDEX(Bank!$I:$I,$C693)="","",INDEX(Bank!$I:$I,$C693)),IF(INDEX(GL!$I:$I,$C693)="","",INDEX(GL!$I:$I,$C693))))</f>
        <v/>
      </c>
      <c r="L693" s="5" t="str">
        <f aca="false">IF(B693="","",IF(C693=0,"NOT FOUND",IF(IF($A693="Bank",INDEX(Bank!$F:$F,$C693),INDEX(GL!$F:$F,$C693))="Y","NOW RECONCILED: refresh","OK")))</f>
        <v/>
      </c>
    </row>
    <row r="694" customFormat="false" ht="15" hidden="false" customHeight="false" outlineLevel="0" collapsed="false">
      <c r="A694" s="41"/>
      <c r="B694" s="41"/>
      <c r="C694" s="5" t="n">
        <f aca="false">IF(B694="",0,IF(A694="Bank",IFERROR(MATCH(B694,Bank!$A:$A,0),0),IFERROR(MATCH(B694,GL!$A:$A,0),0)))</f>
        <v>0</v>
      </c>
      <c r="D694" s="32" t="str">
        <f aca="false">IF(C694=0,"",IF($A694="Bank",INDEX(Bank!$B:$B,$C694),INDEX(GL!$B:$B,$C694)))</f>
        <v/>
      </c>
      <c r="E694" s="5" t="str">
        <f aca="false">IF(C694=0,"",IF($A694="Bank",IF(INDEX(Bank!$C:$C,$C694)="","",INDEX(Bank!$C:$C,$C694)),IF(INDEX(GL!$C:$C,$C694)="","",INDEX(GL!$C:$C,$C694))))</f>
        <v/>
      </c>
      <c r="F694" s="5" t="str">
        <f aca="false">IF(C694=0,"",IF($A694="Bank",IF(INDEX(Bank!$D:$D,$C694)="","",INDEX(Bank!$D:$D,$C694)),IF(INDEX(GL!$D:$D,$C694)="","",INDEX(GL!$D:$D,$C694))))</f>
        <v/>
      </c>
      <c r="G694" s="19" t="str">
        <f aca="false">IF(C694=0,"",IF($A694="Bank",INDEX(Bank!$E:$E,$C694),INDEX(GL!$E:$E,$C694)))</f>
        <v/>
      </c>
      <c r="H694" s="5" t="str">
        <f aca="false">IF(C694=0,"",IF(A694="GL",IF(G694&gt;0,"Deposit in transit","Outstanding check / payment"),IF(G694&gt;0,"Bank credit not in GL","Bank debit not in GL")))</f>
        <v/>
      </c>
      <c r="I694" s="42" t="str">
        <f aca="false">IF(OR(C694=0,CFG_PeriodEnd=""),"",CFG_PeriodEnd-D694)</f>
        <v/>
      </c>
      <c r="J694" s="5" t="str">
        <f aca="false">IF(C694=0,"",IF($A694="Bank",IF(INDEX(Bank!$G:$G,$C694)="","",INDEX(Bank!$G:$G,$C694)),IF(INDEX(GL!$G:$G,$C694)="","",INDEX(GL!$G:$G,$C694))))</f>
        <v/>
      </c>
      <c r="K694" s="5" t="str">
        <f aca="false">IF(C694=0,"",IF($A694="Bank",IF(INDEX(Bank!$I:$I,$C694)="","",INDEX(Bank!$I:$I,$C694)),IF(INDEX(GL!$I:$I,$C694)="","",INDEX(GL!$I:$I,$C694))))</f>
        <v/>
      </c>
      <c r="L694" s="5" t="str">
        <f aca="false">IF(B694="","",IF(C694=0,"NOT FOUND",IF(IF($A694="Bank",INDEX(Bank!$F:$F,$C694),INDEX(GL!$F:$F,$C694))="Y","NOW RECONCILED: refresh","OK")))</f>
        <v/>
      </c>
    </row>
    <row r="695" customFormat="false" ht="15" hidden="false" customHeight="false" outlineLevel="0" collapsed="false">
      <c r="A695" s="41"/>
      <c r="B695" s="41"/>
      <c r="C695" s="5" t="n">
        <f aca="false">IF(B695="",0,IF(A695="Bank",IFERROR(MATCH(B695,Bank!$A:$A,0),0),IFERROR(MATCH(B695,GL!$A:$A,0),0)))</f>
        <v>0</v>
      </c>
      <c r="D695" s="32" t="str">
        <f aca="false">IF(C695=0,"",IF($A695="Bank",INDEX(Bank!$B:$B,$C695),INDEX(GL!$B:$B,$C695)))</f>
        <v/>
      </c>
      <c r="E695" s="5" t="str">
        <f aca="false">IF(C695=0,"",IF($A695="Bank",IF(INDEX(Bank!$C:$C,$C695)="","",INDEX(Bank!$C:$C,$C695)),IF(INDEX(GL!$C:$C,$C695)="","",INDEX(GL!$C:$C,$C695))))</f>
        <v/>
      </c>
      <c r="F695" s="5" t="str">
        <f aca="false">IF(C695=0,"",IF($A695="Bank",IF(INDEX(Bank!$D:$D,$C695)="","",INDEX(Bank!$D:$D,$C695)),IF(INDEX(GL!$D:$D,$C695)="","",INDEX(GL!$D:$D,$C695))))</f>
        <v/>
      </c>
      <c r="G695" s="19" t="str">
        <f aca="false">IF(C695=0,"",IF($A695="Bank",INDEX(Bank!$E:$E,$C695),INDEX(GL!$E:$E,$C695)))</f>
        <v/>
      </c>
      <c r="H695" s="5" t="str">
        <f aca="false">IF(C695=0,"",IF(A695="GL",IF(G695&gt;0,"Deposit in transit","Outstanding check / payment"),IF(G695&gt;0,"Bank credit not in GL","Bank debit not in GL")))</f>
        <v/>
      </c>
      <c r="I695" s="42" t="str">
        <f aca="false">IF(OR(C695=0,CFG_PeriodEnd=""),"",CFG_PeriodEnd-D695)</f>
        <v/>
      </c>
      <c r="J695" s="5" t="str">
        <f aca="false">IF(C695=0,"",IF($A695="Bank",IF(INDEX(Bank!$G:$G,$C695)="","",INDEX(Bank!$G:$G,$C695)),IF(INDEX(GL!$G:$G,$C695)="","",INDEX(GL!$G:$G,$C695))))</f>
        <v/>
      </c>
      <c r="K695" s="5" t="str">
        <f aca="false">IF(C695=0,"",IF($A695="Bank",IF(INDEX(Bank!$I:$I,$C695)="","",INDEX(Bank!$I:$I,$C695)),IF(INDEX(GL!$I:$I,$C695)="","",INDEX(GL!$I:$I,$C695))))</f>
        <v/>
      </c>
      <c r="L695" s="5" t="str">
        <f aca="false">IF(B695="","",IF(C695=0,"NOT FOUND",IF(IF($A695="Bank",INDEX(Bank!$F:$F,$C695),INDEX(GL!$F:$F,$C695))="Y","NOW RECONCILED: refresh","OK")))</f>
        <v/>
      </c>
    </row>
    <row r="696" customFormat="false" ht="15" hidden="false" customHeight="false" outlineLevel="0" collapsed="false">
      <c r="A696" s="41"/>
      <c r="B696" s="41"/>
      <c r="C696" s="5" t="n">
        <f aca="false">IF(B696="",0,IF(A696="Bank",IFERROR(MATCH(B696,Bank!$A:$A,0),0),IFERROR(MATCH(B696,GL!$A:$A,0),0)))</f>
        <v>0</v>
      </c>
      <c r="D696" s="32" t="str">
        <f aca="false">IF(C696=0,"",IF($A696="Bank",INDEX(Bank!$B:$B,$C696),INDEX(GL!$B:$B,$C696)))</f>
        <v/>
      </c>
      <c r="E696" s="5" t="str">
        <f aca="false">IF(C696=0,"",IF($A696="Bank",IF(INDEX(Bank!$C:$C,$C696)="","",INDEX(Bank!$C:$C,$C696)),IF(INDEX(GL!$C:$C,$C696)="","",INDEX(GL!$C:$C,$C696))))</f>
        <v/>
      </c>
      <c r="F696" s="5" t="str">
        <f aca="false">IF(C696=0,"",IF($A696="Bank",IF(INDEX(Bank!$D:$D,$C696)="","",INDEX(Bank!$D:$D,$C696)),IF(INDEX(GL!$D:$D,$C696)="","",INDEX(GL!$D:$D,$C696))))</f>
        <v/>
      </c>
      <c r="G696" s="19" t="str">
        <f aca="false">IF(C696=0,"",IF($A696="Bank",INDEX(Bank!$E:$E,$C696),INDEX(GL!$E:$E,$C696)))</f>
        <v/>
      </c>
      <c r="H696" s="5" t="str">
        <f aca="false">IF(C696=0,"",IF(A696="GL",IF(G696&gt;0,"Deposit in transit","Outstanding check / payment"),IF(G696&gt;0,"Bank credit not in GL","Bank debit not in GL")))</f>
        <v/>
      </c>
      <c r="I696" s="42" t="str">
        <f aca="false">IF(OR(C696=0,CFG_PeriodEnd=""),"",CFG_PeriodEnd-D696)</f>
        <v/>
      </c>
      <c r="J696" s="5" t="str">
        <f aca="false">IF(C696=0,"",IF($A696="Bank",IF(INDEX(Bank!$G:$G,$C696)="","",INDEX(Bank!$G:$G,$C696)),IF(INDEX(GL!$G:$G,$C696)="","",INDEX(GL!$G:$G,$C696))))</f>
        <v/>
      </c>
      <c r="K696" s="5" t="str">
        <f aca="false">IF(C696=0,"",IF($A696="Bank",IF(INDEX(Bank!$I:$I,$C696)="","",INDEX(Bank!$I:$I,$C696)),IF(INDEX(GL!$I:$I,$C696)="","",INDEX(GL!$I:$I,$C696))))</f>
        <v/>
      </c>
      <c r="L696" s="5" t="str">
        <f aca="false">IF(B696="","",IF(C696=0,"NOT FOUND",IF(IF($A696="Bank",INDEX(Bank!$F:$F,$C696),INDEX(GL!$F:$F,$C696))="Y","NOW RECONCILED: refresh","OK")))</f>
        <v/>
      </c>
    </row>
    <row r="697" customFormat="false" ht="15" hidden="false" customHeight="false" outlineLevel="0" collapsed="false">
      <c r="A697" s="41"/>
      <c r="B697" s="41"/>
      <c r="C697" s="5" t="n">
        <f aca="false">IF(B697="",0,IF(A697="Bank",IFERROR(MATCH(B697,Bank!$A:$A,0),0),IFERROR(MATCH(B697,GL!$A:$A,0),0)))</f>
        <v>0</v>
      </c>
      <c r="D697" s="32" t="str">
        <f aca="false">IF(C697=0,"",IF($A697="Bank",INDEX(Bank!$B:$B,$C697),INDEX(GL!$B:$B,$C697)))</f>
        <v/>
      </c>
      <c r="E697" s="5" t="str">
        <f aca="false">IF(C697=0,"",IF($A697="Bank",IF(INDEX(Bank!$C:$C,$C697)="","",INDEX(Bank!$C:$C,$C697)),IF(INDEX(GL!$C:$C,$C697)="","",INDEX(GL!$C:$C,$C697))))</f>
        <v/>
      </c>
      <c r="F697" s="5" t="str">
        <f aca="false">IF(C697=0,"",IF($A697="Bank",IF(INDEX(Bank!$D:$D,$C697)="","",INDEX(Bank!$D:$D,$C697)),IF(INDEX(GL!$D:$D,$C697)="","",INDEX(GL!$D:$D,$C697))))</f>
        <v/>
      </c>
      <c r="G697" s="19" t="str">
        <f aca="false">IF(C697=0,"",IF($A697="Bank",INDEX(Bank!$E:$E,$C697),INDEX(GL!$E:$E,$C697)))</f>
        <v/>
      </c>
      <c r="H697" s="5" t="str">
        <f aca="false">IF(C697=0,"",IF(A697="GL",IF(G697&gt;0,"Deposit in transit","Outstanding check / payment"),IF(G697&gt;0,"Bank credit not in GL","Bank debit not in GL")))</f>
        <v/>
      </c>
      <c r="I697" s="42" t="str">
        <f aca="false">IF(OR(C697=0,CFG_PeriodEnd=""),"",CFG_PeriodEnd-D697)</f>
        <v/>
      </c>
      <c r="J697" s="5" t="str">
        <f aca="false">IF(C697=0,"",IF($A697="Bank",IF(INDEX(Bank!$G:$G,$C697)="","",INDEX(Bank!$G:$G,$C697)),IF(INDEX(GL!$G:$G,$C697)="","",INDEX(GL!$G:$G,$C697))))</f>
        <v/>
      </c>
      <c r="K697" s="5" t="str">
        <f aca="false">IF(C697=0,"",IF($A697="Bank",IF(INDEX(Bank!$I:$I,$C697)="","",INDEX(Bank!$I:$I,$C697)),IF(INDEX(GL!$I:$I,$C697)="","",INDEX(GL!$I:$I,$C697))))</f>
        <v/>
      </c>
      <c r="L697" s="5" t="str">
        <f aca="false">IF(B697="","",IF(C697=0,"NOT FOUND",IF(IF($A697="Bank",INDEX(Bank!$F:$F,$C697),INDEX(GL!$F:$F,$C697))="Y","NOW RECONCILED: refresh","OK")))</f>
        <v/>
      </c>
    </row>
    <row r="698" customFormat="false" ht="15" hidden="false" customHeight="false" outlineLevel="0" collapsed="false">
      <c r="A698" s="41"/>
      <c r="B698" s="41"/>
      <c r="C698" s="5" t="n">
        <f aca="false">IF(B698="",0,IF(A698="Bank",IFERROR(MATCH(B698,Bank!$A:$A,0),0),IFERROR(MATCH(B698,GL!$A:$A,0),0)))</f>
        <v>0</v>
      </c>
      <c r="D698" s="32" t="str">
        <f aca="false">IF(C698=0,"",IF($A698="Bank",INDEX(Bank!$B:$B,$C698),INDEX(GL!$B:$B,$C698)))</f>
        <v/>
      </c>
      <c r="E698" s="5" t="str">
        <f aca="false">IF(C698=0,"",IF($A698="Bank",IF(INDEX(Bank!$C:$C,$C698)="","",INDEX(Bank!$C:$C,$C698)),IF(INDEX(GL!$C:$C,$C698)="","",INDEX(GL!$C:$C,$C698))))</f>
        <v/>
      </c>
      <c r="F698" s="5" t="str">
        <f aca="false">IF(C698=0,"",IF($A698="Bank",IF(INDEX(Bank!$D:$D,$C698)="","",INDEX(Bank!$D:$D,$C698)),IF(INDEX(GL!$D:$D,$C698)="","",INDEX(GL!$D:$D,$C698))))</f>
        <v/>
      </c>
      <c r="G698" s="19" t="str">
        <f aca="false">IF(C698=0,"",IF($A698="Bank",INDEX(Bank!$E:$E,$C698),INDEX(GL!$E:$E,$C698)))</f>
        <v/>
      </c>
      <c r="H698" s="5" t="str">
        <f aca="false">IF(C698=0,"",IF(A698="GL",IF(G698&gt;0,"Deposit in transit","Outstanding check / payment"),IF(G698&gt;0,"Bank credit not in GL","Bank debit not in GL")))</f>
        <v/>
      </c>
      <c r="I698" s="42" t="str">
        <f aca="false">IF(OR(C698=0,CFG_PeriodEnd=""),"",CFG_PeriodEnd-D698)</f>
        <v/>
      </c>
      <c r="J698" s="5" t="str">
        <f aca="false">IF(C698=0,"",IF($A698="Bank",IF(INDEX(Bank!$G:$G,$C698)="","",INDEX(Bank!$G:$G,$C698)),IF(INDEX(GL!$G:$G,$C698)="","",INDEX(GL!$G:$G,$C698))))</f>
        <v/>
      </c>
      <c r="K698" s="5" t="str">
        <f aca="false">IF(C698=0,"",IF($A698="Bank",IF(INDEX(Bank!$I:$I,$C698)="","",INDEX(Bank!$I:$I,$C698)),IF(INDEX(GL!$I:$I,$C698)="","",INDEX(GL!$I:$I,$C698))))</f>
        <v/>
      </c>
      <c r="L698" s="5" t="str">
        <f aca="false">IF(B698="","",IF(C698=0,"NOT FOUND",IF(IF($A698="Bank",INDEX(Bank!$F:$F,$C698),INDEX(GL!$F:$F,$C698))="Y","NOW RECONCILED: refresh","OK")))</f>
        <v/>
      </c>
    </row>
    <row r="699" customFormat="false" ht="15" hidden="false" customHeight="false" outlineLevel="0" collapsed="false">
      <c r="A699" s="41"/>
      <c r="B699" s="41"/>
      <c r="C699" s="5" t="n">
        <f aca="false">IF(B699="",0,IF(A699="Bank",IFERROR(MATCH(B699,Bank!$A:$A,0),0),IFERROR(MATCH(B699,GL!$A:$A,0),0)))</f>
        <v>0</v>
      </c>
      <c r="D699" s="32" t="str">
        <f aca="false">IF(C699=0,"",IF($A699="Bank",INDEX(Bank!$B:$B,$C699),INDEX(GL!$B:$B,$C699)))</f>
        <v/>
      </c>
      <c r="E699" s="5" t="str">
        <f aca="false">IF(C699=0,"",IF($A699="Bank",IF(INDEX(Bank!$C:$C,$C699)="","",INDEX(Bank!$C:$C,$C699)),IF(INDEX(GL!$C:$C,$C699)="","",INDEX(GL!$C:$C,$C699))))</f>
        <v/>
      </c>
      <c r="F699" s="5" t="str">
        <f aca="false">IF(C699=0,"",IF($A699="Bank",IF(INDEX(Bank!$D:$D,$C699)="","",INDEX(Bank!$D:$D,$C699)),IF(INDEX(GL!$D:$D,$C699)="","",INDEX(GL!$D:$D,$C699))))</f>
        <v/>
      </c>
      <c r="G699" s="19" t="str">
        <f aca="false">IF(C699=0,"",IF($A699="Bank",INDEX(Bank!$E:$E,$C699),INDEX(GL!$E:$E,$C699)))</f>
        <v/>
      </c>
      <c r="H699" s="5" t="str">
        <f aca="false">IF(C699=0,"",IF(A699="GL",IF(G699&gt;0,"Deposit in transit","Outstanding check / payment"),IF(G699&gt;0,"Bank credit not in GL","Bank debit not in GL")))</f>
        <v/>
      </c>
      <c r="I699" s="42" t="str">
        <f aca="false">IF(OR(C699=0,CFG_PeriodEnd=""),"",CFG_PeriodEnd-D699)</f>
        <v/>
      </c>
      <c r="J699" s="5" t="str">
        <f aca="false">IF(C699=0,"",IF($A699="Bank",IF(INDEX(Bank!$G:$G,$C699)="","",INDEX(Bank!$G:$G,$C699)),IF(INDEX(GL!$G:$G,$C699)="","",INDEX(GL!$G:$G,$C699))))</f>
        <v/>
      </c>
      <c r="K699" s="5" t="str">
        <f aca="false">IF(C699=0,"",IF($A699="Bank",IF(INDEX(Bank!$I:$I,$C699)="","",INDEX(Bank!$I:$I,$C699)),IF(INDEX(GL!$I:$I,$C699)="","",INDEX(GL!$I:$I,$C699))))</f>
        <v/>
      </c>
      <c r="L699" s="5" t="str">
        <f aca="false">IF(B699="","",IF(C699=0,"NOT FOUND",IF(IF($A699="Bank",INDEX(Bank!$F:$F,$C699),INDEX(GL!$F:$F,$C699))="Y","NOW RECONCILED: refresh","OK")))</f>
        <v/>
      </c>
    </row>
    <row r="700" customFormat="false" ht="15" hidden="false" customHeight="false" outlineLevel="0" collapsed="false">
      <c r="A700" s="41"/>
      <c r="B700" s="41"/>
      <c r="C700" s="5" t="n">
        <f aca="false">IF(B700="",0,IF(A700="Bank",IFERROR(MATCH(B700,Bank!$A:$A,0),0),IFERROR(MATCH(B700,GL!$A:$A,0),0)))</f>
        <v>0</v>
      </c>
      <c r="D700" s="32" t="str">
        <f aca="false">IF(C700=0,"",IF($A700="Bank",INDEX(Bank!$B:$B,$C700),INDEX(GL!$B:$B,$C700)))</f>
        <v/>
      </c>
      <c r="E700" s="5" t="str">
        <f aca="false">IF(C700=0,"",IF($A700="Bank",IF(INDEX(Bank!$C:$C,$C700)="","",INDEX(Bank!$C:$C,$C700)),IF(INDEX(GL!$C:$C,$C700)="","",INDEX(GL!$C:$C,$C700))))</f>
        <v/>
      </c>
      <c r="F700" s="5" t="str">
        <f aca="false">IF(C700=0,"",IF($A700="Bank",IF(INDEX(Bank!$D:$D,$C700)="","",INDEX(Bank!$D:$D,$C700)),IF(INDEX(GL!$D:$D,$C700)="","",INDEX(GL!$D:$D,$C700))))</f>
        <v/>
      </c>
      <c r="G700" s="19" t="str">
        <f aca="false">IF(C700=0,"",IF($A700="Bank",INDEX(Bank!$E:$E,$C700),INDEX(GL!$E:$E,$C700)))</f>
        <v/>
      </c>
      <c r="H700" s="5" t="str">
        <f aca="false">IF(C700=0,"",IF(A700="GL",IF(G700&gt;0,"Deposit in transit","Outstanding check / payment"),IF(G700&gt;0,"Bank credit not in GL","Bank debit not in GL")))</f>
        <v/>
      </c>
      <c r="I700" s="42" t="str">
        <f aca="false">IF(OR(C700=0,CFG_PeriodEnd=""),"",CFG_PeriodEnd-D700)</f>
        <v/>
      </c>
      <c r="J700" s="5" t="str">
        <f aca="false">IF(C700=0,"",IF($A700="Bank",IF(INDEX(Bank!$G:$G,$C700)="","",INDEX(Bank!$G:$G,$C700)),IF(INDEX(GL!$G:$G,$C700)="","",INDEX(GL!$G:$G,$C700))))</f>
        <v/>
      </c>
      <c r="K700" s="5" t="str">
        <f aca="false">IF(C700=0,"",IF($A700="Bank",IF(INDEX(Bank!$I:$I,$C700)="","",INDEX(Bank!$I:$I,$C700)),IF(INDEX(GL!$I:$I,$C700)="","",INDEX(GL!$I:$I,$C700))))</f>
        <v/>
      </c>
      <c r="L700" s="5" t="str">
        <f aca="false">IF(B700="","",IF(C700=0,"NOT FOUND",IF(IF($A700="Bank",INDEX(Bank!$F:$F,$C700),INDEX(GL!$F:$F,$C700))="Y","NOW RECONCILED: refresh","OK")))</f>
        <v/>
      </c>
    </row>
    <row r="701" customFormat="false" ht="15" hidden="false" customHeight="false" outlineLevel="0" collapsed="false">
      <c r="A701" s="41"/>
      <c r="B701" s="41"/>
      <c r="C701" s="5" t="n">
        <f aca="false">IF(B701="",0,IF(A701="Bank",IFERROR(MATCH(B701,Bank!$A:$A,0),0),IFERROR(MATCH(B701,GL!$A:$A,0),0)))</f>
        <v>0</v>
      </c>
      <c r="D701" s="32" t="str">
        <f aca="false">IF(C701=0,"",IF($A701="Bank",INDEX(Bank!$B:$B,$C701),INDEX(GL!$B:$B,$C701)))</f>
        <v/>
      </c>
      <c r="E701" s="5" t="str">
        <f aca="false">IF(C701=0,"",IF($A701="Bank",IF(INDEX(Bank!$C:$C,$C701)="","",INDEX(Bank!$C:$C,$C701)),IF(INDEX(GL!$C:$C,$C701)="","",INDEX(GL!$C:$C,$C701))))</f>
        <v/>
      </c>
      <c r="F701" s="5" t="str">
        <f aca="false">IF(C701=0,"",IF($A701="Bank",IF(INDEX(Bank!$D:$D,$C701)="","",INDEX(Bank!$D:$D,$C701)),IF(INDEX(GL!$D:$D,$C701)="","",INDEX(GL!$D:$D,$C701))))</f>
        <v/>
      </c>
      <c r="G701" s="19" t="str">
        <f aca="false">IF(C701=0,"",IF($A701="Bank",INDEX(Bank!$E:$E,$C701),INDEX(GL!$E:$E,$C701)))</f>
        <v/>
      </c>
      <c r="H701" s="5" t="str">
        <f aca="false">IF(C701=0,"",IF(A701="GL",IF(G701&gt;0,"Deposit in transit","Outstanding check / payment"),IF(G701&gt;0,"Bank credit not in GL","Bank debit not in GL")))</f>
        <v/>
      </c>
      <c r="I701" s="42" t="str">
        <f aca="false">IF(OR(C701=0,CFG_PeriodEnd=""),"",CFG_PeriodEnd-D701)</f>
        <v/>
      </c>
      <c r="J701" s="5" t="str">
        <f aca="false">IF(C701=0,"",IF($A701="Bank",IF(INDEX(Bank!$G:$G,$C701)="","",INDEX(Bank!$G:$G,$C701)),IF(INDEX(GL!$G:$G,$C701)="","",INDEX(GL!$G:$G,$C701))))</f>
        <v/>
      </c>
      <c r="K701" s="5" t="str">
        <f aca="false">IF(C701=0,"",IF($A701="Bank",IF(INDEX(Bank!$I:$I,$C701)="","",INDEX(Bank!$I:$I,$C701)),IF(INDEX(GL!$I:$I,$C701)="","",INDEX(GL!$I:$I,$C701))))</f>
        <v/>
      </c>
      <c r="L701" s="5" t="str">
        <f aca="false">IF(B701="","",IF(C701=0,"NOT FOUND",IF(IF($A701="Bank",INDEX(Bank!$F:$F,$C701),INDEX(GL!$F:$F,$C701))="Y","NOW RECONCILED: refresh","OK")))</f>
        <v/>
      </c>
    </row>
    <row r="702" customFormat="false" ht="15" hidden="false" customHeight="false" outlineLevel="0" collapsed="false">
      <c r="A702" s="41"/>
      <c r="B702" s="41"/>
      <c r="C702" s="5" t="n">
        <f aca="false">IF(B702="",0,IF(A702="Bank",IFERROR(MATCH(B702,Bank!$A:$A,0),0),IFERROR(MATCH(B702,GL!$A:$A,0),0)))</f>
        <v>0</v>
      </c>
      <c r="D702" s="32" t="str">
        <f aca="false">IF(C702=0,"",IF($A702="Bank",INDEX(Bank!$B:$B,$C702),INDEX(GL!$B:$B,$C702)))</f>
        <v/>
      </c>
      <c r="E702" s="5" t="str">
        <f aca="false">IF(C702=0,"",IF($A702="Bank",IF(INDEX(Bank!$C:$C,$C702)="","",INDEX(Bank!$C:$C,$C702)),IF(INDEX(GL!$C:$C,$C702)="","",INDEX(GL!$C:$C,$C702))))</f>
        <v/>
      </c>
      <c r="F702" s="5" t="str">
        <f aca="false">IF(C702=0,"",IF($A702="Bank",IF(INDEX(Bank!$D:$D,$C702)="","",INDEX(Bank!$D:$D,$C702)),IF(INDEX(GL!$D:$D,$C702)="","",INDEX(GL!$D:$D,$C702))))</f>
        <v/>
      </c>
      <c r="G702" s="19" t="str">
        <f aca="false">IF(C702=0,"",IF($A702="Bank",INDEX(Bank!$E:$E,$C702),INDEX(GL!$E:$E,$C702)))</f>
        <v/>
      </c>
      <c r="H702" s="5" t="str">
        <f aca="false">IF(C702=0,"",IF(A702="GL",IF(G702&gt;0,"Deposit in transit","Outstanding check / payment"),IF(G702&gt;0,"Bank credit not in GL","Bank debit not in GL")))</f>
        <v/>
      </c>
      <c r="I702" s="42" t="str">
        <f aca="false">IF(OR(C702=0,CFG_PeriodEnd=""),"",CFG_PeriodEnd-D702)</f>
        <v/>
      </c>
      <c r="J702" s="5" t="str">
        <f aca="false">IF(C702=0,"",IF($A702="Bank",IF(INDEX(Bank!$G:$G,$C702)="","",INDEX(Bank!$G:$G,$C702)),IF(INDEX(GL!$G:$G,$C702)="","",INDEX(GL!$G:$G,$C702))))</f>
        <v/>
      </c>
      <c r="K702" s="5" t="str">
        <f aca="false">IF(C702=0,"",IF($A702="Bank",IF(INDEX(Bank!$I:$I,$C702)="","",INDEX(Bank!$I:$I,$C702)),IF(INDEX(GL!$I:$I,$C702)="","",INDEX(GL!$I:$I,$C702))))</f>
        <v/>
      </c>
      <c r="L702" s="5" t="str">
        <f aca="false">IF(B702="","",IF(C702=0,"NOT FOUND",IF(IF($A702="Bank",INDEX(Bank!$F:$F,$C702),INDEX(GL!$F:$F,$C702))="Y","NOW RECONCILED: refresh","OK")))</f>
        <v/>
      </c>
    </row>
    <row r="703" customFormat="false" ht="15" hidden="false" customHeight="false" outlineLevel="0" collapsed="false">
      <c r="A703" s="41"/>
      <c r="B703" s="41"/>
      <c r="C703" s="5" t="n">
        <f aca="false">IF(B703="",0,IF(A703="Bank",IFERROR(MATCH(B703,Bank!$A:$A,0),0),IFERROR(MATCH(B703,GL!$A:$A,0),0)))</f>
        <v>0</v>
      </c>
      <c r="D703" s="32" t="str">
        <f aca="false">IF(C703=0,"",IF($A703="Bank",INDEX(Bank!$B:$B,$C703),INDEX(GL!$B:$B,$C703)))</f>
        <v/>
      </c>
      <c r="E703" s="5" t="str">
        <f aca="false">IF(C703=0,"",IF($A703="Bank",IF(INDEX(Bank!$C:$C,$C703)="","",INDEX(Bank!$C:$C,$C703)),IF(INDEX(GL!$C:$C,$C703)="","",INDEX(GL!$C:$C,$C703))))</f>
        <v/>
      </c>
      <c r="F703" s="5" t="str">
        <f aca="false">IF(C703=0,"",IF($A703="Bank",IF(INDEX(Bank!$D:$D,$C703)="","",INDEX(Bank!$D:$D,$C703)),IF(INDEX(GL!$D:$D,$C703)="","",INDEX(GL!$D:$D,$C703))))</f>
        <v/>
      </c>
      <c r="G703" s="19" t="str">
        <f aca="false">IF(C703=0,"",IF($A703="Bank",INDEX(Bank!$E:$E,$C703),INDEX(GL!$E:$E,$C703)))</f>
        <v/>
      </c>
      <c r="H703" s="5" t="str">
        <f aca="false">IF(C703=0,"",IF(A703="GL",IF(G703&gt;0,"Deposit in transit","Outstanding check / payment"),IF(G703&gt;0,"Bank credit not in GL","Bank debit not in GL")))</f>
        <v/>
      </c>
      <c r="I703" s="42" t="str">
        <f aca="false">IF(OR(C703=0,CFG_PeriodEnd=""),"",CFG_PeriodEnd-D703)</f>
        <v/>
      </c>
      <c r="J703" s="5" t="str">
        <f aca="false">IF(C703=0,"",IF($A703="Bank",IF(INDEX(Bank!$G:$G,$C703)="","",INDEX(Bank!$G:$G,$C703)),IF(INDEX(GL!$G:$G,$C703)="","",INDEX(GL!$G:$G,$C703))))</f>
        <v/>
      </c>
      <c r="K703" s="5" t="str">
        <f aca="false">IF(C703=0,"",IF($A703="Bank",IF(INDEX(Bank!$I:$I,$C703)="","",INDEX(Bank!$I:$I,$C703)),IF(INDEX(GL!$I:$I,$C703)="","",INDEX(GL!$I:$I,$C703))))</f>
        <v/>
      </c>
      <c r="L703" s="5" t="str">
        <f aca="false">IF(B703="","",IF(C703=0,"NOT FOUND",IF(IF($A703="Bank",INDEX(Bank!$F:$F,$C703),INDEX(GL!$F:$F,$C703))="Y","NOW RECONCILED: refresh","OK")))</f>
        <v/>
      </c>
    </row>
    <row r="704" customFormat="false" ht="15" hidden="false" customHeight="false" outlineLevel="0" collapsed="false">
      <c r="A704" s="41"/>
      <c r="B704" s="41"/>
      <c r="C704" s="5" t="n">
        <f aca="false">IF(B704="",0,IF(A704="Bank",IFERROR(MATCH(B704,Bank!$A:$A,0),0),IFERROR(MATCH(B704,GL!$A:$A,0),0)))</f>
        <v>0</v>
      </c>
      <c r="D704" s="32" t="str">
        <f aca="false">IF(C704=0,"",IF($A704="Bank",INDEX(Bank!$B:$B,$C704),INDEX(GL!$B:$B,$C704)))</f>
        <v/>
      </c>
      <c r="E704" s="5" t="str">
        <f aca="false">IF(C704=0,"",IF($A704="Bank",IF(INDEX(Bank!$C:$C,$C704)="","",INDEX(Bank!$C:$C,$C704)),IF(INDEX(GL!$C:$C,$C704)="","",INDEX(GL!$C:$C,$C704))))</f>
        <v/>
      </c>
      <c r="F704" s="5" t="str">
        <f aca="false">IF(C704=0,"",IF($A704="Bank",IF(INDEX(Bank!$D:$D,$C704)="","",INDEX(Bank!$D:$D,$C704)),IF(INDEX(GL!$D:$D,$C704)="","",INDEX(GL!$D:$D,$C704))))</f>
        <v/>
      </c>
      <c r="G704" s="19" t="str">
        <f aca="false">IF(C704=0,"",IF($A704="Bank",INDEX(Bank!$E:$E,$C704),INDEX(GL!$E:$E,$C704)))</f>
        <v/>
      </c>
      <c r="H704" s="5" t="str">
        <f aca="false">IF(C704=0,"",IF(A704="GL",IF(G704&gt;0,"Deposit in transit","Outstanding check / payment"),IF(G704&gt;0,"Bank credit not in GL","Bank debit not in GL")))</f>
        <v/>
      </c>
      <c r="I704" s="42" t="str">
        <f aca="false">IF(OR(C704=0,CFG_PeriodEnd=""),"",CFG_PeriodEnd-D704)</f>
        <v/>
      </c>
      <c r="J704" s="5" t="str">
        <f aca="false">IF(C704=0,"",IF($A704="Bank",IF(INDEX(Bank!$G:$G,$C704)="","",INDEX(Bank!$G:$G,$C704)),IF(INDEX(GL!$G:$G,$C704)="","",INDEX(GL!$G:$G,$C704))))</f>
        <v/>
      </c>
      <c r="K704" s="5" t="str">
        <f aca="false">IF(C704=0,"",IF($A704="Bank",IF(INDEX(Bank!$I:$I,$C704)="","",INDEX(Bank!$I:$I,$C704)),IF(INDEX(GL!$I:$I,$C704)="","",INDEX(GL!$I:$I,$C704))))</f>
        <v/>
      </c>
      <c r="L704" s="5" t="str">
        <f aca="false">IF(B704="","",IF(C704=0,"NOT FOUND",IF(IF($A704="Bank",INDEX(Bank!$F:$F,$C704),INDEX(GL!$F:$F,$C704))="Y","NOW RECONCILED: refresh","OK")))</f>
        <v/>
      </c>
    </row>
    <row r="705" customFormat="false" ht="15" hidden="false" customHeight="false" outlineLevel="0" collapsed="false">
      <c r="A705" s="41"/>
      <c r="B705" s="41"/>
      <c r="C705" s="5" t="n">
        <f aca="false">IF(B705="",0,IF(A705="Bank",IFERROR(MATCH(B705,Bank!$A:$A,0),0),IFERROR(MATCH(B705,GL!$A:$A,0),0)))</f>
        <v>0</v>
      </c>
      <c r="D705" s="32" t="str">
        <f aca="false">IF(C705=0,"",IF($A705="Bank",INDEX(Bank!$B:$B,$C705),INDEX(GL!$B:$B,$C705)))</f>
        <v/>
      </c>
      <c r="E705" s="5" t="str">
        <f aca="false">IF(C705=0,"",IF($A705="Bank",IF(INDEX(Bank!$C:$C,$C705)="","",INDEX(Bank!$C:$C,$C705)),IF(INDEX(GL!$C:$C,$C705)="","",INDEX(GL!$C:$C,$C705))))</f>
        <v/>
      </c>
      <c r="F705" s="5" t="str">
        <f aca="false">IF(C705=0,"",IF($A705="Bank",IF(INDEX(Bank!$D:$D,$C705)="","",INDEX(Bank!$D:$D,$C705)),IF(INDEX(GL!$D:$D,$C705)="","",INDEX(GL!$D:$D,$C705))))</f>
        <v/>
      </c>
      <c r="G705" s="19" t="str">
        <f aca="false">IF(C705=0,"",IF($A705="Bank",INDEX(Bank!$E:$E,$C705),INDEX(GL!$E:$E,$C705)))</f>
        <v/>
      </c>
      <c r="H705" s="5" t="str">
        <f aca="false">IF(C705=0,"",IF(A705="GL",IF(G705&gt;0,"Deposit in transit","Outstanding check / payment"),IF(G705&gt;0,"Bank credit not in GL","Bank debit not in GL")))</f>
        <v/>
      </c>
      <c r="I705" s="42" t="str">
        <f aca="false">IF(OR(C705=0,CFG_PeriodEnd=""),"",CFG_PeriodEnd-D705)</f>
        <v/>
      </c>
      <c r="J705" s="5" t="str">
        <f aca="false">IF(C705=0,"",IF($A705="Bank",IF(INDEX(Bank!$G:$G,$C705)="","",INDEX(Bank!$G:$G,$C705)),IF(INDEX(GL!$G:$G,$C705)="","",INDEX(GL!$G:$G,$C705))))</f>
        <v/>
      </c>
      <c r="K705" s="5" t="str">
        <f aca="false">IF(C705=0,"",IF($A705="Bank",IF(INDEX(Bank!$I:$I,$C705)="","",INDEX(Bank!$I:$I,$C705)),IF(INDEX(GL!$I:$I,$C705)="","",INDEX(GL!$I:$I,$C705))))</f>
        <v/>
      </c>
      <c r="L705" s="5" t="str">
        <f aca="false">IF(B705="","",IF(C705=0,"NOT FOUND",IF(IF($A705="Bank",INDEX(Bank!$F:$F,$C705),INDEX(GL!$F:$F,$C705))="Y","NOW RECONCILED: refresh","OK")))</f>
        <v/>
      </c>
    </row>
    <row r="706" customFormat="false" ht="15" hidden="false" customHeight="false" outlineLevel="0" collapsed="false">
      <c r="A706" s="41"/>
      <c r="B706" s="41"/>
      <c r="C706" s="5" t="n">
        <f aca="false">IF(B706="",0,IF(A706="Bank",IFERROR(MATCH(B706,Bank!$A:$A,0),0),IFERROR(MATCH(B706,GL!$A:$A,0),0)))</f>
        <v>0</v>
      </c>
      <c r="D706" s="32" t="str">
        <f aca="false">IF(C706=0,"",IF($A706="Bank",INDEX(Bank!$B:$B,$C706),INDEX(GL!$B:$B,$C706)))</f>
        <v/>
      </c>
      <c r="E706" s="5" t="str">
        <f aca="false">IF(C706=0,"",IF($A706="Bank",IF(INDEX(Bank!$C:$C,$C706)="","",INDEX(Bank!$C:$C,$C706)),IF(INDEX(GL!$C:$C,$C706)="","",INDEX(GL!$C:$C,$C706))))</f>
        <v/>
      </c>
      <c r="F706" s="5" t="str">
        <f aca="false">IF(C706=0,"",IF($A706="Bank",IF(INDEX(Bank!$D:$D,$C706)="","",INDEX(Bank!$D:$D,$C706)),IF(INDEX(GL!$D:$D,$C706)="","",INDEX(GL!$D:$D,$C706))))</f>
        <v/>
      </c>
      <c r="G706" s="19" t="str">
        <f aca="false">IF(C706=0,"",IF($A706="Bank",INDEX(Bank!$E:$E,$C706),INDEX(GL!$E:$E,$C706)))</f>
        <v/>
      </c>
      <c r="H706" s="5" t="str">
        <f aca="false">IF(C706=0,"",IF(A706="GL",IF(G706&gt;0,"Deposit in transit","Outstanding check / payment"),IF(G706&gt;0,"Bank credit not in GL","Bank debit not in GL")))</f>
        <v/>
      </c>
      <c r="I706" s="42" t="str">
        <f aca="false">IF(OR(C706=0,CFG_PeriodEnd=""),"",CFG_PeriodEnd-D706)</f>
        <v/>
      </c>
      <c r="J706" s="5" t="str">
        <f aca="false">IF(C706=0,"",IF($A706="Bank",IF(INDEX(Bank!$G:$G,$C706)="","",INDEX(Bank!$G:$G,$C706)),IF(INDEX(GL!$G:$G,$C706)="","",INDEX(GL!$G:$G,$C706))))</f>
        <v/>
      </c>
      <c r="K706" s="5" t="str">
        <f aca="false">IF(C706=0,"",IF($A706="Bank",IF(INDEX(Bank!$I:$I,$C706)="","",INDEX(Bank!$I:$I,$C706)),IF(INDEX(GL!$I:$I,$C706)="","",INDEX(GL!$I:$I,$C706))))</f>
        <v/>
      </c>
      <c r="L706" s="5" t="str">
        <f aca="false">IF(B706="","",IF(C706=0,"NOT FOUND",IF(IF($A706="Bank",INDEX(Bank!$F:$F,$C706),INDEX(GL!$F:$F,$C706))="Y","NOW RECONCILED: refresh","OK")))</f>
        <v/>
      </c>
    </row>
    <row r="707" customFormat="false" ht="15" hidden="false" customHeight="false" outlineLevel="0" collapsed="false">
      <c r="A707" s="41"/>
      <c r="B707" s="41"/>
      <c r="C707" s="5" t="n">
        <f aca="false">IF(B707="",0,IF(A707="Bank",IFERROR(MATCH(B707,Bank!$A:$A,0),0),IFERROR(MATCH(B707,GL!$A:$A,0),0)))</f>
        <v>0</v>
      </c>
      <c r="D707" s="32" t="str">
        <f aca="false">IF(C707=0,"",IF($A707="Bank",INDEX(Bank!$B:$B,$C707),INDEX(GL!$B:$B,$C707)))</f>
        <v/>
      </c>
      <c r="E707" s="5" t="str">
        <f aca="false">IF(C707=0,"",IF($A707="Bank",IF(INDEX(Bank!$C:$C,$C707)="","",INDEX(Bank!$C:$C,$C707)),IF(INDEX(GL!$C:$C,$C707)="","",INDEX(GL!$C:$C,$C707))))</f>
        <v/>
      </c>
      <c r="F707" s="5" t="str">
        <f aca="false">IF(C707=0,"",IF($A707="Bank",IF(INDEX(Bank!$D:$D,$C707)="","",INDEX(Bank!$D:$D,$C707)),IF(INDEX(GL!$D:$D,$C707)="","",INDEX(GL!$D:$D,$C707))))</f>
        <v/>
      </c>
      <c r="G707" s="19" t="str">
        <f aca="false">IF(C707=0,"",IF($A707="Bank",INDEX(Bank!$E:$E,$C707),INDEX(GL!$E:$E,$C707)))</f>
        <v/>
      </c>
      <c r="H707" s="5" t="str">
        <f aca="false">IF(C707=0,"",IF(A707="GL",IF(G707&gt;0,"Deposit in transit","Outstanding check / payment"),IF(G707&gt;0,"Bank credit not in GL","Bank debit not in GL")))</f>
        <v/>
      </c>
      <c r="I707" s="42" t="str">
        <f aca="false">IF(OR(C707=0,CFG_PeriodEnd=""),"",CFG_PeriodEnd-D707)</f>
        <v/>
      </c>
      <c r="J707" s="5" t="str">
        <f aca="false">IF(C707=0,"",IF($A707="Bank",IF(INDEX(Bank!$G:$G,$C707)="","",INDEX(Bank!$G:$G,$C707)),IF(INDEX(GL!$G:$G,$C707)="","",INDEX(GL!$G:$G,$C707))))</f>
        <v/>
      </c>
      <c r="K707" s="5" t="str">
        <f aca="false">IF(C707=0,"",IF($A707="Bank",IF(INDEX(Bank!$I:$I,$C707)="","",INDEX(Bank!$I:$I,$C707)),IF(INDEX(GL!$I:$I,$C707)="","",INDEX(GL!$I:$I,$C707))))</f>
        <v/>
      </c>
      <c r="L707" s="5" t="str">
        <f aca="false">IF(B707="","",IF(C707=0,"NOT FOUND",IF(IF($A707="Bank",INDEX(Bank!$F:$F,$C707),INDEX(GL!$F:$F,$C707))="Y","NOW RECONCILED: refresh","OK")))</f>
        <v/>
      </c>
    </row>
    <row r="708" customFormat="false" ht="15" hidden="false" customHeight="false" outlineLevel="0" collapsed="false">
      <c r="A708" s="41"/>
      <c r="B708" s="41"/>
      <c r="C708" s="5" t="n">
        <f aca="false">IF(B708="",0,IF(A708="Bank",IFERROR(MATCH(B708,Bank!$A:$A,0),0),IFERROR(MATCH(B708,GL!$A:$A,0),0)))</f>
        <v>0</v>
      </c>
      <c r="D708" s="32" t="str">
        <f aca="false">IF(C708=0,"",IF($A708="Bank",INDEX(Bank!$B:$B,$C708),INDEX(GL!$B:$B,$C708)))</f>
        <v/>
      </c>
      <c r="E708" s="5" t="str">
        <f aca="false">IF(C708=0,"",IF($A708="Bank",IF(INDEX(Bank!$C:$C,$C708)="","",INDEX(Bank!$C:$C,$C708)),IF(INDEX(GL!$C:$C,$C708)="","",INDEX(GL!$C:$C,$C708))))</f>
        <v/>
      </c>
      <c r="F708" s="5" t="str">
        <f aca="false">IF(C708=0,"",IF($A708="Bank",IF(INDEX(Bank!$D:$D,$C708)="","",INDEX(Bank!$D:$D,$C708)),IF(INDEX(GL!$D:$D,$C708)="","",INDEX(GL!$D:$D,$C708))))</f>
        <v/>
      </c>
      <c r="G708" s="19" t="str">
        <f aca="false">IF(C708=0,"",IF($A708="Bank",INDEX(Bank!$E:$E,$C708),INDEX(GL!$E:$E,$C708)))</f>
        <v/>
      </c>
      <c r="H708" s="5" t="str">
        <f aca="false">IF(C708=0,"",IF(A708="GL",IF(G708&gt;0,"Deposit in transit","Outstanding check / payment"),IF(G708&gt;0,"Bank credit not in GL","Bank debit not in GL")))</f>
        <v/>
      </c>
      <c r="I708" s="42" t="str">
        <f aca="false">IF(OR(C708=0,CFG_PeriodEnd=""),"",CFG_PeriodEnd-D708)</f>
        <v/>
      </c>
      <c r="J708" s="5" t="str">
        <f aca="false">IF(C708=0,"",IF($A708="Bank",IF(INDEX(Bank!$G:$G,$C708)="","",INDEX(Bank!$G:$G,$C708)),IF(INDEX(GL!$G:$G,$C708)="","",INDEX(GL!$G:$G,$C708))))</f>
        <v/>
      </c>
      <c r="K708" s="5" t="str">
        <f aca="false">IF(C708=0,"",IF($A708="Bank",IF(INDEX(Bank!$I:$I,$C708)="","",INDEX(Bank!$I:$I,$C708)),IF(INDEX(GL!$I:$I,$C708)="","",INDEX(GL!$I:$I,$C708))))</f>
        <v/>
      </c>
      <c r="L708" s="5" t="str">
        <f aca="false">IF(B708="","",IF(C708=0,"NOT FOUND",IF(IF($A708="Bank",INDEX(Bank!$F:$F,$C708),INDEX(GL!$F:$F,$C708))="Y","NOW RECONCILED: refresh","OK")))</f>
        <v/>
      </c>
    </row>
    <row r="709" customFormat="false" ht="15" hidden="false" customHeight="false" outlineLevel="0" collapsed="false">
      <c r="A709" s="41"/>
      <c r="B709" s="41"/>
      <c r="C709" s="5" t="n">
        <f aca="false">IF(B709="",0,IF(A709="Bank",IFERROR(MATCH(B709,Bank!$A:$A,0),0),IFERROR(MATCH(B709,GL!$A:$A,0),0)))</f>
        <v>0</v>
      </c>
      <c r="D709" s="32" t="str">
        <f aca="false">IF(C709=0,"",IF($A709="Bank",INDEX(Bank!$B:$B,$C709),INDEX(GL!$B:$B,$C709)))</f>
        <v/>
      </c>
      <c r="E709" s="5" t="str">
        <f aca="false">IF(C709=0,"",IF($A709="Bank",IF(INDEX(Bank!$C:$C,$C709)="","",INDEX(Bank!$C:$C,$C709)),IF(INDEX(GL!$C:$C,$C709)="","",INDEX(GL!$C:$C,$C709))))</f>
        <v/>
      </c>
      <c r="F709" s="5" t="str">
        <f aca="false">IF(C709=0,"",IF($A709="Bank",IF(INDEX(Bank!$D:$D,$C709)="","",INDEX(Bank!$D:$D,$C709)),IF(INDEX(GL!$D:$D,$C709)="","",INDEX(GL!$D:$D,$C709))))</f>
        <v/>
      </c>
      <c r="G709" s="19" t="str">
        <f aca="false">IF(C709=0,"",IF($A709="Bank",INDEX(Bank!$E:$E,$C709),INDEX(GL!$E:$E,$C709)))</f>
        <v/>
      </c>
      <c r="H709" s="5" t="str">
        <f aca="false">IF(C709=0,"",IF(A709="GL",IF(G709&gt;0,"Deposit in transit","Outstanding check / payment"),IF(G709&gt;0,"Bank credit not in GL","Bank debit not in GL")))</f>
        <v/>
      </c>
      <c r="I709" s="42" t="str">
        <f aca="false">IF(OR(C709=0,CFG_PeriodEnd=""),"",CFG_PeriodEnd-D709)</f>
        <v/>
      </c>
      <c r="J709" s="5" t="str">
        <f aca="false">IF(C709=0,"",IF($A709="Bank",IF(INDEX(Bank!$G:$G,$C709)="","",INDEX(Bank!$G:$G,$C709)),IF(INDEX(GL!$G:$G,$C709)="","",INDEX(GL!$G:$G,$C709))))</f>
        <v/>
      </c>
      <c r="K709" s="5" t="str">
        <f aca="false">IF(C709=0,"",IF($A709="Bank",IF(INDEX(Bank!$I:$I,$C709)="","",INDEX(Bank!$I:$I,$C709)),IF(INDEX(GL!$I:$I,$C709)="","",INDEX(GL!$I:$I,$C709))))</f>
        <v/>
      </c>
      <c r="L709" s="5" t="str">
        <f aca="false">IF(B709="","",IF(C709=0,"NOT FOUND",IF(IF($A709="Bank",INDEX(Bank!$F:$F,$C709),INDEX(GL!$F:$F,$C709))="Y","NOW RECONCILED: refresh","OK")))</f>
        <v/>
      </c>
    </row>
    <row r="710" customFormat="false" ht="15" hidden="false" customHeight="false" outlineLevel="0" collapsed="false">
      <c r="A710" s="41"/>
      <c r="B710" s="41"/>
      <c r="C710" s="5" t="n">
        <f aca="false">IF(B710="",0,IF(A710="Bank",IFERROR(MATCH(B710,Bank!$A:$A,0),0),IFERROR(MATCH(B710,GL!$A:$A,0),0)))</f>
        <v>0</v>
      </c>
      <c r="D710" s="32" t="str">
        <f aca="false">IF(C710=0,"",IF($A710="Bank",INDEX(Bank!$B:$B,$C710),INDEX(GL!$B:$B,$C710)))</f>
        <v/>
      </c>
      <c r="E710" s="5" t="str">
        <f aca="false">IF(C710=0,"",IF($A710="Bank",IF(INDEX(Bank!$C:$C,$C710)="","",INDEX(Bank!$C:$C,$C710)),IF(INDEX(GL!$C:$C,$C710)="","",INDEX(GL!$C:$C,$C710))))</f>
        <v/>
      </c>
      <c r="F710" s="5" t="str">
        <f aca="false">IF(C710=0,"",IF($A710="Bank",IF(INDEX(Bank!$D:$D,$C710)="","",INDEX(Bank!$D:$D,$C710)),IF(INDEX(GL!$D:$D,$C710)="","",INDEX(GL!$D:$D,$C710))))</f>
        <v/>
      </c>
      <c r="G710" s="19" t="str">
        <f aca="false">IF(C710=0,"",IF($A710="Bank",INDEX(Bank!$E:$E,$C710),INDEX(GL!$E:$E,$C710)))</f>
        <v/>
      </c>
      <c r="H710" s="5" t="str">
        <f aca="false">IF(C710=0,"",IF(A710="GL",IF(G710&gt;0,"Deposit in transit","Outstanding check / payment"),IF(G710&gt;0,"Bank credit not in GL","Bank debit not in GL")))</f>
        <v/>
      </c>
      <c r="I710" s="42" t="str">
        <f aca="false">IF(OR(C710=0,CFG_PeriodEnd=""),"",CFG_PeriodEnd-D710)</f>
        <v/>
      </c>
      <c r="J710" s="5" t="str">
        <f aca="false">IF(C710=0,"",IF($A710="Bank",IF(INDEX(Bank!$G:$G,$C710)="","",INDEX(Bank!$G:$G,$C710)),IF(INDEX(GL!$G:$G,$C710)="","",INDEX(GL!$G:$G,$C710))))</f>
        <v/>
      </c>
      <c r="K710" s="5" t="str">
        <f aca="false">IF(C710=0,"",IF($A710="Bank",IF(INDEX(Bank!$I:$I,$C710)="","",INDEX(Bank!$I:$I,$C710)),IF(INDEX(GL!$I:$I,$C710)="","",INDEX(GL!$I:$I,$C710))))</f>
        <v/>
      </c>
      <c r="L710" s="5" t="str">
        <f aca="false">IF(B710="","",IF(C710=0,"NOT FOUND",IF(IF($A710="Bank",INDEX(Bank!$F:$F,$C710),INDEX(GL!$F:$F,$C710))="Y","NOW RECONCILED: refresh","OK")))</f>
        <v/>
      </c>
    </row>
    <row r="711" customFormat="false" ht="15" hidden="false" customHeight="false" outlineLevel="0" collapsed="false">
      <c r="A711" s="41"/>
      <c r="B711" s="41"/>
      <c r="C711" s="5" t="n">
        <f aca="false">IF(B711="",0,IF(A711="Bank",IFERROR(MATCH(B711,Bank!$A:$A,0),0),IFERROR(MATCH(B711,GL!$A:$A,0),0)))</f>
        <v>0</v>
      </c>
      <c r="D711" s="32" t="str">
        <f aca="false">IF(C711=0,"",IF($A711="Bank",INDEX(Bank!$B:$B,$C711),INDEX(GL!$B:$B,$C711)))</f>
        <v/>
      </c>
      <c r="E711" s="5" t="str">
        <f aca="false">IF(C711=0,"",IF($A711="Bank",IF(INDEX(Bank!$C:$C,$C711)="","",INDEX(Bank!$C:$C,$C711)),IF(INDEX(GL!$C:$C,$C711)="","",INDEX(GL!$C:$C,$C711))))</f>
        <v/>
      </c>
      <c r="F711" s="5" t="str">
        <f aca="false">IF(C711=0,"",IF($A711="Bank",IF(INDEX(Bank!$D:$D,$C711)="","",INDEX(Bank!$D:$D,$C711)),IF(INDEX(GL!$D:$D,$C711)="","",INDEX(GL!$D:$D,$C711))))</f>
        <v/>
      </c>
      <c r="G711" s="19" t="str">
        <f aca="false">IF(C711=0,"",IF($A711="Bank",INDEX(Bank!$E:$E,$C711),INDEX(GL!$E:$E,$C711)))</f>
        <v/>
      </c>
      <c r="H711" s="5" t="str">
        <f aca="false">IF(C711=0,"",IF(A711="GL",IF(G711&gt;0,"Deposit in transit","Outstanding check / payment"),IF(G711&gt;0,"Bank credit not in GL","Bank debit not in GL")))</f>
        <v/>
      </c>
      <c r="I711" s="42" t="str">
        <f aca="false">IF(OR(C711=0,CFG_PeriodEnd=""),"",CFG_PeriodEnd-D711)</f>
        <v/>
      </c>
      <c r="J711" s="5" t="str">
        <f aca="false">IF(C711=0,"",IF($A711="Bank",IF(INDEX(Bank!$G:$G,$C711)="","",INDEX(Bank!$G:$G,$C711)),IF(INDEX(GL!$G:$G,$C711)="","",INDEX(GL!$G:$G,$C711))))</f>
        <v/>
      </c>
      <c r="K711" s="5" t="str">
        <f aca="false">IF(C711=0,"",IF($A711="Bank",IF(INDEX(Bank!$I:$I,$C711)="","",INDEX(Bank!$I:$I,$C711)),IF(INDEX(GL!$I:$I,$C711)="","",INDEX(GL!$I:$I,$C711))))</f>
        <v/>
      </c>
      <c r="L711" s="5" t="str">
        <f aca="false">IF(B711="","",IF(C711=0,"NOT FOUND",IF(IF($A711="Bank",INDEX(Bank!$F:$F,$C711),INDEX(GL!$F:$F,$C711))="Y","NOW RECONCILED: refresh","OK")))</f>
        <v/>
      </c>
    </row>
    <row r="712" customFormat="false" ht="15" hidden="false" customHeight="false" outlineLevel="0" collapsed="false">
      <c r="A712" s="41"/>
      <c r="B712" s="41"/>
      <c r="C712" s="5" t="n">
        <f aca="false">IF(B712="",0,IF(A712="Bank",IFERROR(MATCH(B712,Bank!$A:$A,0),0),IFERROR(MATCH(B712,GL!$A:$A,0),0)))</f>
        <v>0</v>
      </c>
      <c r="D712" s="32" t="str">
        <f aca="false">IF(C712=0,"",IF($A712="Bank",INDEX(Bank!$B:$B,$C712),INDEX(GL!$B:$B,$C712)))</f>
        <v/>
      </c>
      <c r="E712" s="5" t="str">
        <f aca="false">IF(C712=0,"",IF($A712="Bank",IF(INDEX(Bank!$C:$C,$C712)="","",INDEX(Bank!$C:$C,$C712)),IF(INDEX(GL!$C:$C,$C712)="","",INDEX(GL!$C:$C,$C712))))</f>
        <v/>
      </c>
      <c r="F712" s="5" t="str">
        <f aca="false">IF(C712=0,"",IF($A712="Bank",IF(INDEX(Bank!$D:$D,$C712)="","",INDEX(Bank!$D:$D,$C712)),IF(INDEX(GL!$D:$D,$C712)="","",INDEX(GL!$D:$D,$C712))))</f>
        <v/>
      </c>
      <c r="G712" s="19" t="str">
        <f aca="false">IF(C712=0,"",IF($A712="Bank",INDEX(Bank!$E:$E,$C712),INDEX(GL!$E:$E,$C712)))</f>
        <v/>
      </c>
      <c r="H712" s="5" t="str">
        <f aca="false">IF(C712=0,"",IF(A712="GL",IF(G712&gt;0,"Deposit in transit","Outstanding check / payment"),IF(G712&gt;0,"Bank credit not in GL","Bank debit not in GL")))</f>
        <v/>
      </c>
      <c r="I712" s="42" t="str">
        <f aca="false">IF(OR(C712=0,CFG_PeriodEnd=""),"",CFG_PeriodEnd-D712)</f>
        <v/>
      </c>
      <c r="J712" s="5" t="str">
        <f aca="false">IF(C712=0,"",IF($A712="Bank",IF(INDEX(Bank!$G:$G,$C712)="","",INDEX(Bank!$G:$G,$C712)),IF(INDEX(GL!$G:$G,$C712)="","",INDEX(GL!$G:$G,$C712))))</f>
        <v/>
      </c>
      <c r="K712" s="5" t="str">
        <f aca="false">IF(C712=0,"",IF($A712="Bank",IF(INDEX(Bank!$I:$I,$C712)="","",INDEX(Bank!$I:$I,$C712)),IF(INDEX(GL!$I:$I,$C712)="","",INDEX(GL!$I:$I,$C712))))</f>
        <v/>
      </c>
      <c r="L712" s="5" t="str">
        <f aca="false">IF(B712="","",IF(C712=0,"NOT FOUND",IF(IF($A712="Bank",INDEX(Bank!$F:$F,$C712),INDEX(GL!$F:$F,$C712))="Y","NOW RECONCILED: refresh","OK")))</f>
        <v/>
      </c>
    </row>
    <row r="713" customFormat="false" ht="15" hidden="false" customHeight="false" outlineLevel="0" collapsed="false">
      <c r="A713" s="41"/>
      <c r="B713" s="41"/>
      <c r="C713" s="5" t="n">
        <f aca="false">IF(B713="",0,IF(A713="Bank",IFERROR(MATCH(B713,Bank!$A:$A,0),0),IFERROR(MATCH(B713,GL!$A:$A,0),0)))</f>
        <v>0</v>
      </c>
      <c r="D713" s="32" t="str">
        <f aca="false">IF(C713=0,"",IF($A713="Bank",INDEX(Bank!$B:$B,$C713),INDEX(GL!$B:$B,$C713)))</f>
        <v/>
      </c>
      <c r="E713" s="5" t="str">
        <f aca="false">IF(C713=0,"",IF($A713="Bank",IF(INDEX(Bank!$C:$C,$C713)="","",INDEX(Bank!$C:$C,$C713)),IF(INDEX(GL!$C:$C,$C713)="","",INDEX(GL!$C:$C,$C713))))</f>
        <v/>
      </c>
      <c r="F713" s="5" t="str">
        <f aca="false">IF(C713=0,"",IF($A713="Bank",IF(INDEX(Bank!$D:$D,$C713)="","",INDEX(Bank!$D:$D,$C713)),IF(INDEX(GL!$D:$D,$C713)="","",INDEX(GL!$D:$D,$C713))))</f>
        <v/>
      </c>
      <c r="G713" s="19" t="str">
        <f aca="false">IF(C713=0,"",IF($A713="Bank",INDEX(Bank!$E:$E,$C713),INDEX(GL!$E:$E,$C713)))</f>
        <v/>
      </c>
      <c r="H713" s="5" t="str">
        <f aca="false">IF(C713=0,"",IF(A713="GL",IF(G713&gt;0,"Deposit in transit","Outstanding check / payment"),IF(G713&gt;0,"Bank credit not in GL","Bank debit not in GL")))</f>
        <v/>
      </c>
      <c r="I713" s="42" t="str">
        <f aca="false">IF(OR(C713=0,CFG_PeriodEnd=""),"",CFG_PeriodEnd-D713)</f>
        <v/>
      </c>
      <c r="J713" s="5" t="str">
        <f aca="false">IF(C713=0,"",IF($A713="Bank",IF(INDEX(Bank!$G:$G,$C713)="","",INDEX(Bank!$G:$G,$C713)),IF(INDEX(GL!$G:$G,$C713)="","",INDEX(GL!$G:$G,$C713))))</f>
        <v/>
      </c>
      <c r="K713" s="5" t="str">
        <f aca="false">IF(C713=0,"",IF($A713="Bank",IF(INDEX(Bank!$I:$I,$C713)="","",INDEX(Bank!$I:$I,$C713)),IF(INDEX(GL!$I:$I,$C713)="","",INDEX(GL!$I:$I,$C713))))</f>
        <v/>
      </c>
      <c r="L713" s="5" t="str">
        <f aca="false">IF(B713="","",IF(C713=0,"NOT FOUND",IF(IF($A713="Bank",INDEX(Bank!$F:$F,$C713),INDEX(GL!$F:$F,$C713))="Y","NOW RECONCILED: refresh","OK")))</f>
        <v/>
      </c>
    </row>
    <row r="714" customFormat="false" ht="15" hidden="false" customHeight="false" outlineLevel="0" collapsed="false">
      <c r="A714" s="41"/>
      <c r="B714" s="41"/>
      <c r="C714" s="5" t="n">
        <f aca="false">IF(B714="",0,IF(A714="Bank",IFERROR(MATCH(B714,Bank!$A:$A,0),0),IFERROR(MATCH(B714,GL!$A:$A,0),0)))</f>
        <v>0</v>
      </c>
      <c r="D714" s="32" t="str">
        <f aca="false">IF(C714=0,"",IF($A714="Bank",INDEX(Bank!$B:$B,$C714),INDEX(GL!$B:$B,$C714)))</f>
        <v/>
      </c>
      <c r="E714" s="5" t="str">
        <f aca="false">IF(C714=0,"",IF($A714="Bank",IF(INDEX(Bank!$C:$C,$C714)="","",INDEX(Bank!$C:$C,$C714)),IF(INDEX(GL!$C:$C,$C714)="","",INDEX(GL!$C:$C,$C714))))</f>
        <v/>
      </c>
      <c r="F714" s="5" t="str">
        <f aca="false">IF(C714=0,"",IF($A714="Bank",IF(INDEX(Bank!$D:$D,$C714)="","",INDEX(Bank!$D:$D,$C714)),IF(INDEX(GL!$D:$D,$C714)="","",INDEX(GL!$D:$D,$C714))))</f>
        <v/>
      </c>
      <c r="G714" s="19" t="str">
        <f aca="false">IF(C714=0,"",IF($A714="Bank",INDEX(Bank!$E:$E,$C714),INDEX(GL!$E:$E,$C714)))</f>
        <v/>
      </c>
      <c r="H714" s="5" t="str">
        <f aca="false">IF(C714=0,"",IF(A714="GL",IF(G714&gt;0,"Deposit in transit","Outstanding check / payment"),IF(G714&gt;0,"Bank credit not in GL","Bank debit not in GL")))</f>
        <v/>
      </c>
      <c r="I714" s="42" t="str">
        <f aca="false">IF(OR(C714=0,CFG_PeriodEnd=""),"",CFG_PeriodEnd-D714)</f>
        <v/>
      </c>
      <c r="J714" s="5" t="str">
        <f aca="false">IF(C714=0,"",IF($A714="Bank",IF(INDEX(Bank!$G:$G,$C714)="","",INDEX(Bank!$G:$G,$C714)),IF(INDEX(GL!$G:$G,$C714)="","",INDEX(GL!$G:$G,$C714))))</f>
        <v/>
      </c>
      <c r="K714" s="5" t="str">
        <f aca="false">IF(C714=0,"",IF($A714="Bank",IF(INDEX(Bank!$I:$I,$C714)="","",INDEX(Bank!$I:$I,$C714)),IF(INDEX(GL!$I:$I,$C714)="","",INDEX(GL!$I:$I,$C714))))</f>
        <v/>
      </c>
      <c r="L714" s="5" t="str">
        <f aca="false">IF(B714="","",IF(C714=0,"NOT FOUND",IF(IF($A714="Bank",INDEX(Bank!$F:$F,$C714),INDEX(GL!$F:$F,$C714))="Y","NOW RECONCILED: refresh","OK")))</f>
        <v/>
      </c>
    </row>
    <row r="715" customFormat="false" ht="15" hidden="false" customHeight="false" outlineLevel="0" collapsed="false">
      <c r="A715" s="41"/>
      <c r="B715" s="41"/>
      <c r="C715" s="5" t="n">
        <f aca="false">IF(B715="",0,IF(A715="Bank",IFERROR(MATCH(B715,Bank!$A:$A,0),0),IFERROR(MATCH(B715,GL!$A:$A,0),0)))</f>
        <v>0</v>
      </c>
      <c r="D715" s="32" t="str">
        <f aca="false">IF(C715=0,"",IF($A715="Bank",INDEX(Bank!$B:$B,$C715),INDEX(GL!$B:$B,$C715)))</f>
        <v/>
      </c>
      <c r="E715" s="5" t="str">
        <f aca="false">IF(C715=0,"",IF($A715="Bank",IF(INDEX(Bank!$C:$C,$C715)="","",INDEX(Bank!$C:$C,$C715)),IF(INDEX(GL!$C:$C,$C715)="","",INDEX(GL!$C:$C,$C715))))</f>
        <v/>
      </c>
      <c r="F715" s="5" t="str">
        <f aca="false">IF(C715=0,"",IF($A715="Bank",IF(INDEX(Bank!$D:$D,$C715)="","",INDEX(Bank!$D:$D,$C715)),IF(INDEX(GL!$D:$D,$C715)="","",INDEX(GL!$D:$D,$C715))))</f>
        <v/>
      </c>
      <c r="G715" s="19" t="str">
        <f aca="false">IF(C715=0,"",IF($A715="Bank",INDEX(Bank!$E:$E,$C715),INDEX(GL!$E:$E,$C715)))</f>
        <v/>
      </c>
      <c r="H715" s="5" t="str">
        <f aca="false">IF(C715=0,"",IF(A715="GL",IF(G715&gt;0,"Deposit in transit","Outstanding check / payment"),IF(G715&gt;0,"Bank credit not in GL","Bank debit not in GL")))</f>
        <v/>
      </c>
      <c r="I715" s="42" t="str">
        <f aca="false">IF(OR(C715=0,CFG_PeriodEnd=""),"",CFG_PeriodEnd-D715)</f>
        <v/>
      </c>
      <c r="J715" s="5" t="str">
        <f aca="false">IF(C715=0,"",IF($A715="Bank",IF(INDEX(Bank!$G:$G,$C715)="","",INDEX(Bank!$G:$G,$C715)),IF(INDEX(GL!$G:$G,$C715)="","",INDEX(GL!$G:$G,$C715))))</f>
        <v/>
      </c>
      <c r="K715" s="5" t="str">
        <f aca="false">IF(C715=0,"",IF($A715="Bank",IF(INDEX(Bank!$I:$I,$C715)="","",INDEX(Bank!$I:$I,$C715)),IF(INDEX(GL!$I:$I,$C715)="","",INDEX(GL!$I:$I,$C715))))</f>
        <v/>
      </c>
      <c r="L715" s="5" t="str">
        <f aca="false">IF(B715="","",IF(C715=0,"NOT FOUND",IF(IF($A715="Bank",INDEX(Bank!$F:$F,$C715),INDEX(GL!$F:$F,$C715))="Y","NOW RECONCILED: refresh","OK")))</f>
        <v/>
      </c>
    </row>
    <row r="716" customFormat="false" ht="15" hidden="false" customHeight="false" outlineLevel="0" collapsed="false">
      <c r="A716" s="41"/>
      <c r="B716" s="41"/>
      <c r="C716" s="5" t="n">
        <f aca="false">IF(B716="",0,IF(A716="Bank",IFERROR(MATCH(B716,Bank!$A:$A,0),0),IFERROR(MATCH(B716,GL!$A:$A,0),0)))</f>
        <v>0</v>
      </c>
      <c r="D716" s="32" t="str">
        <f aca="false">IF(C716=0,"",IF($A716="Bank",INDEX(Bank!$B:$B,$C716),INDEX(GL!$B:$B,$C716)))</f>
        <v/>
      </c>
      <c r="E716" s="5" t="str">
        <f aca="false">IF(C716=0,"",IF($A716="Bank",IF(INDEX(Bank!$C:$C,$C716)="","",INDEX(Bank!$C:$C,$C716)),IF(INDEX(GL!$C:$C,$C716)="","",INDEX(GL!$C:$C,$C716))))</f>
        <v/>
      </c>
      <c r="F716" s="5" t="str">
        <f aca="false">IF(C716=0,"",IF($A716="Bank",IF(INDEX(Bank!$D:$D,$C716)="","",INDEX(Bank!$D:$D,$C716)),IF(INDEX(GL!$D:$D,$C716)="","",INDEX(GL!$D:$D,$C716))))</f>
        <v/>
      </c>
      <c r="G716" s="19" t="str">
        <f aca="false">IF(C716=0,"",IF($A716="Bank",INDEX(Bank!$E:$E,$C716),INDEX(GL!$E:$E,$C716)))</f>
        <v/>
      </c>
      <c r="H716" s="5" t="str">
        <f aca="false">IF(C716=0,"",IF(A716="GL",IF(G716&gt;0,"Deposit in transit","Outstanding check / payment"),IF(G716&gt;0,"Bank credit not in GL","Bank debit not in GL")))</f>
        <v/>
      </c>
      <c r="I716" s="42" t="str">
        <f aca="false">IF(OR(C716=0,CFG_PeriodEnd=""),"",CFG_PeriodEnd-D716)</f>
        <v/>
      </c>
      <c r="J716" s="5" t="str">
        <f aca="false">IF(C716=0,"",IF($A716="Bank",IF(INDEX(Bank!$G:$G,$C716)="","",INDEX(Bank!$G:$G,$C716)),IF(INDEX(GL!$G:$G,$C716)="","",INDEX(GL!$G:$G,$C716))))</f>
        <v/>
      </c>
      <c r="K716" s="5" t="str">
        <f aca="false">IF(C716=0,"",IF($A716="Bank",IF(INDEX(Bank!$I:$I,$C716)="","",INDEX(Bank!$I:$I,$C716)),IF(INDEX(GL!$I:$I,$C716)="","",INDEX(GL!$I:$I,$C716))))</f>
        <v/>
      </c>
      <c r="L716" s="5" t="str">
        <f aca="false">IF(B716="","",IF(C716=0,"NOT FOUND",IF(IF($A716="Bank",INDEX(Bank!$F:$F,$C716),INDEX(GL!$F:$F,$C716))="Y","NOW RECONCILED: refresh","OK")))</f>
        <v/>
      </c>
    </row>
    <row r="717" customFormat="false" ht="15" hidden="false" customHeight="false" outlineLevel="0" collapsed="false">
      <c r="A717" s="41"/>
      <c r="B717" s="41"/>
      <c r="C717" s="5" t="n">
        <f aca="false">IF(B717="",0,IF(A717="Bank",IFERROR(MATCH(B717,Bank!$A:$A,0),0),IFERROR(MATCH(B717,GL!$A:$A,0),0)))</f>
        <v>0</v>
      </c>
      <c r="D717" s="32" t="str">
        <f aca="false">IF(C717=0,"",IF($A717="Bank",INDEX(Bank!$B:$B,$C717),INDEX(GL!$B:$B,$C717)))</f>
        <v/>
      </c>
      <c r="E717" s="5" t="str">
        <f aca="false">IF(C717=0,"",IF($A717="Bank",IF(INDEX(Bank!$C:$C,$C717)="","",INDEX(Bank!$C:$C,$C717)),IF(INDEX(GL!$C:$C,$C717)="","",INDEX(GL!$C:$C,$C717))))</f>
        <v/>
      </c>
      <c r="F717" s="5" t="str">
        <f aca="false">IF(C717=0,"",IF($A717="Bank",IF(INDEX(Bank!$D:$D,$C717)="","",INDEX(Bank!$D:$D,$C717)),IF(INDEX(GL!$D:$D,$C717)="","",INDEX(GL!$D:$D,$C717))))</f>
        <v/>
      </c>
      <c r="G717" s="19" t="str">
        <f aca="false">IF(C717=0,"",IF($A717="Bank",INDEX(Bank!$E:$E,$C717),INDEX(GL!$E:$E,$C717)))</f>
        <v/>
      </c>
      <c r="H717" s="5" t="str">
        <f aca="false">IF(C717=0,"",IF(A717="GL",IF(G717&gt;0,"Deposit in transit","Outstanding check / payment"),IF(G717&gt;0,"Bank credit not in GL","Bank debit not in GL")))</f>
        <v/>
      </c>
      <c r="I717" s="42" t="str">
        <f aca="false">IF(OR(C717=0,CFG_PeriodEnd=""),"",CFG_PeriodEnd-D717)</f>
        <v/>
      </c>
      <c r="J717" s="5" t="str">
        <f aca="false">IF(C717=0,"",IF($A717="Bank",IF(INDEX(Bank!$G:$G,$C717)="","",INDEX(Bank!$G:$G,$C717)),IF(INDEX(GL!$G:$G,$C717)="","",INDEX(GL!$G:$G,$C717))))</f>
        <v/>
      </c>
      <c r="K717" s="5" t="str">
        <f aca="false">IF(C717=0,"",IF($A717="Bank",IF(INDEX(Bank!$I:$I,$C717)="","",INDEX(Bank!$I:$I,$C717)),IF(INDEX(GL!$I:$I,$C717)="","",INDEX(GL!$I:$I,$C717))))</f>
        <v/>
      </c>
      <c r="L717" s="5" t="str">
        <f aca="false">IF(B717="","",IF(C717=0,"NOT FOUND",IF(IF($A717="Bank",INDEX(Bank!$F:$F,$C717),INDEX(GL!$F:$F,$C717))="Y","NOW RECONCILED: refresh","OK")))</f>
        <v/>
      </c>
    </row>
    <row r="718" customFormat="false" ht="15" hidden="false" customHeight="false" outlineLevel="0" collapsed="false">
      <c r="A718" s="41"/>
      <c r="B718" s="41"/>
      <c r="C718" s="5" t="n">
        <f aca="false">IF(B718="",0,IF(A718="Bank",IFERROR(MATCH(B718,Bank!$A:$A,0),0),IFERROR(MATCH(B718,GL!$A:$A,0),0)))</f>
        <v>0</v>
      </c>
      <c r="D718" s="32" t="str">
        <f aca="false">IF(C718=0,"",IF($A718="Bank",INDEX(Bank!$B:$B,$C718),INDEX(GL!$B:$B,$C718)))</f>
        <v/>
      </c>
      <c r="E718" s="5" t="str">
        <f aca="false">IF(C718=0,"",IF($A718="Bank",IF(INDEX(Bank!$C:$C,$C718)="","",INDEX(Bank!$C:$C,$C718)),IF(INDEX(GL!$C:$C,$C718)="","",INDEX(GL!$C:$C,$C718))))</f>
        <v/>
      </c>
      <c r="F718" s="5" t="str">
        <f aca="false">IF(C718=0,"",IF($A718="Bank",IF(INDEX(Bank!$D:$D,$C718)="","",INDEX(Bank!$D:$D,$C718)),IF(INDEX(GL!$D:$D,$C718)="","",INDEX(GL!$D:$D,$C718))))</f>
        <v/>
      </c>
      <c r="G718" s="19" t="str">
        <f aca="false">IF(C718=0,"",IF($A718="Bank",INDEX(Bank!$E:$E,$C718),INDEX(GL!$E:$E,$C718)))</f>
        <v/>
      </c>
      <c r="H718" s="5" t="str">
        <f aca="false">IF(C718=0,"",IF(A718="GL",IF(G718&gt;0,"Deposit in transit","Outstanding check / payment"),IF(G718&gt;0,"Bank credit not in GL","Bank debit not in GL")))</f>
        <v/>
      </c>
      <c r="I718" s="42" t="str">
        <f aca="false">IF(OR(C718=0,CFG_PeriodEnd=""),"",CFG_PeriodEnd-D718)</f>
        <v/>
      </c>
      <c r="J718" s="5" t="str">
        <f aca="false">IF(C718=0,"",IF($A718="Bank",IF(INDEX(Bank!$G:$G,$C718)="","",INDEX(Bank!$G:$G,$C718)),IF(INDEX(GL!$G:$G,$C718)="","",INDEX(GL!$G:$G,$C718))))</f>
        <v/>
      </c>
      <c r="K718" s="5" t="str">
        <f aca="false">IF(C718=0,"",IF($A718="Bank",IF(INDEX(Bank!$I:$I,$C718)="","",INDEX(Bank!$I:$I,$C718)),IF(INDEX(GL!$I:$I,$C718)="","",INDEX(GL!$I:$I,$C718))))</f>
        <v/>
      </c>
      <c r="L718" s="5" t="str">
        <f aca="false">IF(B718="","",IF(C718=0,"NOT FOUND",IF(IF($A718="Bank",INDEX(Bank!$F:$F,$C718),INDEX(GL!$F:$F,$C718))="Y","NOW RECONCILED: refresh","OK")))</f>
        <v/>
      </c>
    </row>
    <row r="719" customFormat="false" ht="15" hidden="false" customHeight="false" outlineLevel="0" collapsed="false">
      <c r="A719" s="41"/>
      <c r="B719" s="41"/>
      <c r="C719" s="5" t="n">
        <f aca="false">IF(B719="",0,IF(A719="Bank",IFERROR(MATCH(B719,Bank!$A:$A,0),0),IFERROR(MATCH(B719,GL!$A:$A,0),0)))</f>
        <v>0</v>
      </c>
      <c r="D719" s="32" t="str">
        <f aca="false">IF(C719=0,"",IF($A719="Bank",INDEX(Bank!$B:$B,$C719),INDEX(GL!$B:$B,$C719)))</f>
        <v/>
      </c>
      <c r="E719" s="5" t="str">
        <f aca="false">IF(C719=0,"",IF($A719="Bank",IF(INDEX(Bank!$C:$C,$C719)="","",INDEX(Bank!$C:$C,$C719)),IF(INDEX(GL!$C:$C,$C719)="","",INDEX(GL!$C:$C,$C719))))</f>
        <v/>
      </c>
      <c r="F719" s="5" t="str">
        <f aca="false">IF(C719=0,"",IF($A719="Bank",IF(INDEX(Bank!$D:$D,$C719)="","",INDEX(Bank!$D:$D,$C719)),IF(INDEX(GL!$D:$D,$C719)="","",INDEX(GL!$D:$D,$C719))))</f>
        <v/>
      </c>
      <c r="G719" s="19" t="str">
        <f aca="false">IF(C719=0,"",IF($A719="Bank",INDEX(Bank!$E:$E,$C719),INDEX(GL!$E:$E,$C719)))</f>
        <v/>
      </c>
      <c r="H719" s="5" t="str">
        <f aca="false">IF(C719=0,"",IF(A719="GL",IF(G719&gt;0,"Deposit in transit","Outstanding check / payment"),IF(G719&gt;0,"Bank credit not in GL","Bank debit not in GL")))</f>
        <v/>
      </c>
      <c r="I719" s="42" t="str">
        <f aca="false">IF(OR(C719=0,CFG_PeriodEnd=""),"",CFG_PeriodEnd-D719)</f>
        <v/>
      </c>
      <c r="J719" s="5" t="str">
        <f aca="false">IF(C719=0,"",IF($A719="Bank",IF(INDEX(Bank!$G:$G,$C719)="","",INDEX(Bank!$G:$G,$C719)),IF(INDEX(GL!$G:$G,$C719)="","",INDEX(GL!$G:$G,$C719))))</f>
        <v/>
      </c>
      <c r="K719" s="5" t="str">
        <f aca="false">IF(C719=0,"",IF($A719="Bank",IF(INDEX(Bank!$I:$I,$C719)="","",INDEX(Bank!$I:$I,$C719)),IF(INDEX(GL!$I:$I,$C719)="","",INDEX(GL!$I:$I,$C719))))</f>
        <v/>
      </c>
      <c r="L719" s="5" t="str">
        <f aca="false">IF(B719="","",IF(C719=0,"NOT FOUND",IF(IF($A719="Bank",INDEX(Bank!$F:$F,$C719),INDEX(GL!$F:$F,$C719))="Y","NOW RECONCILED: refresh","OK")))</f>
        <v/>
      </c>
    </row>
    <row r="720" customFormat="false" ht="15" hidden="false" customHeight="false" outlineLevel="0" collapsed="false">
      <c r="A720" s="41"/>
      <c r="B720" s="41"/>
      <c r="C720" s="5" t="n">
        <f aca="false">IF(B720="",0,IF(A720="Bank",IFERROR(MATCH(B720,Bank!$A:$A,0),0),IFERROR(MATCH(B720,GL!$A:$A,0),0)))</f>
        <v>0</v>
      </c>
      <c r="D720" s="32" t="str">
        <f aca="false">IF(C720=0,"",IF($A720="Bank",INDEX(Bank!$B:$B,$C720),INDEX(GL!$B:$B,$C720)))</f>
        <v/>
      </c>
      <c r="E720" s="5" t="str">
        <f aca="false">IF(C720=0,"",IF($A720="Bank",IF(INDEX(Bank!$C:$C,$C720)="","",INDEX(Bank!$C:$C,$C720)),IF(INDEX(GL!$C:$C,$C720)="","",INDEX(GL!$C:$C,$C720))))</f>
        <v/>
      </c>
      <c r="F720" s="5" t="str">
        <f aca="false">IF(C720=0,"",IF($A720="Bank",IF(INDEX(Bank!$D:$D,$C720)="","",INDEX(Bank!$D:$D,$C720)),IF(INDEX(GL!$D:$D,$C720)="","",INDEX(GL!$D:$D,$C720))))</f>
        <v/>
      </c>
      <c r="G720" s="19" t="str">
        <f aca="false">IF(C720=0,"",IF($A720="Bank",INDEX(Bank!$E:$E,$C720),INDEX(GL!$E:$E,$C720)))</f>
        <v/>
      </c>
      <c r="H720" s="5" t="str">
        <f aca="false">IF(C720=0,"",IF(A720="GL",IF(G720&gt;0,"Deposit in transit","Outstanding check / payment"),IF(G720&gt;0,"Bank credit not in GL","Bank debit not in GL")))</f>
        <v/>
      </c>
      <c r="I720" s="42" t="str">
        <f aca="false">IF(OR(C720=0,CFG_PeriodEnd=""),"",CFG_PeriodEnd-D720)</f>
        <v/>
      </c>
      <c r="J720" s="5" t="str">
        <f aca="false">IF(C720=0,"",IF($A720="Bank",IF(INDEX(Bank!$G:$G,$C720)="","",INDEX(Bank!$G:$G,$C720)),IF(INDEX(GL!$G:$G,$C720)="","",INDEX(GL!$G:$G,$C720))))</f>
        <v/>
      </c>
      <c r="K720" s="5" t="str">
        <f aca="false">IF(C720=0,"",IF($A720="Bank",IF(INDEX(Bank!$I:$I,$C720)="","",INDEX(Bank!$I:$I,$C720)),IF(INDEX(GL!$I:$I,$C720)="","",INDEX(GL!$I:$I,$C720))))</f>
        <v/>
      </c>
      <c r="L720" s="5" t="str">
        <f aca="false">IF(B720="","",IF(C720=0,"NOT FOUND",IF(IF($A720="Bank",INDEX(Bank!$F:$F,$C720),INDEX(GL!$F:$F,$C720))="Y","NOW RECONCILED: refresh","OK")))</f>
        <v/>
      </c>
    </row>
    <row r="721" customFormat="false" ht="15" hidden="false" customHeight="false" outlineLevel="0" collapsed="false">
      <c r="A721" s="41"/>
      <c r="B721" s="41"/>
      <c r="C721" s="5" t="n">
        <f aca="false">IF(B721="",0,IF(A721="Bank",IFERROR(MATCH(B721,Bank!$A:$A,0),0),IFERROR(MATCH(B721,GL!$A:$A,0),0)))</f>
        <v>0</v>
      </c>
      <c r="D721" s="32" t="str">
        <f aca="false">IF(C721=0,"",IF($A721="Bank",INDEX(Bank!$B:$B,$C721),INDEX(GL!$B:$B,$C721)))</f>
        <v/>
      </c>
      <c r="E721" s="5" t="str">
        <f aca="false">IF(C721=0,"",IF($A721="Bank",IF(INDEX(Bank!$C:$C,$C721)="","",INDEX(Bank!$C:$C,$C721)),IF(INDEX(GL!$C:$C,$C721)="","",INDEX(GL!$C:$C,$C721))))</f>
        <v/>
      </c>
      <c r="F721" s="5" t="str">
        <f aca="false">IF(C721=0,"",IF($A721="Bank",IF(INDEX(Bank!$D:$D,$C721)="","",INDEX(Bank!$D:$D,$C721)),IF(INDEX(GL!$D:$D,$C721)="","",INDEX(GL!$D:$D,$C721))))</f>
        <v/>
      </c>
      <c r="G721" s="19" t="str">
        <f aca="false">IF(C721=0,"",IF($A721="Bank",INDEX(Bank!$E:$E,$C721),INDEX(GL!$E:$E,$C721)))</f>
        <v/>
      </c>
      <c r="H721" s="5" t="str">
        <f aca="false">IF(C721=0,"",IF(A721="GL",IF(G721&gt;0,"Deposit in transit","Outstanding check / payment"),IF(G721&gt;0,"Bank credit not in GL","Bank debit not in GL")))</f>
        <v/>
      </c>
      <c r="I721" s="42" t="str">
        <f aca="false">IF(OR(C721=0,CFG_PeriodEnd=""),"",CFG_PeriodEnd-D721)</f>
        <v/>
      </c>
      <c r="J721" s="5" t="str">
        <f aca="false">IF(C721=0,"",IF($A721="Bank",IF(INDEX(Bank!$G:$G,$C721)="","",INDEX(Bank!$G:$G,$C721)),IF(INDEX(GL!$G:$G,$C721)="","",INDEX(GL!$G:$G,$C721))))</f>
        <v/>
      </c>
      <c r="K721" s="5" t="str">
        <f aca="false">IF(C721=0,"",IF($A721="Bank",IF(INDEX(Bank!$I:$I,$C721)="","",INDEX(Bank!$I:$I,$C721)),IF(INDEX(GL!$I:$I,$C721)="","",INDEX(GL!$I:$I,$C721))))</f>
        <v/>
      </c>
      <c r="L721" s="5" t="str">
        <f aca="false">IF(B721="","",IF(C721=0,"NOT FOUND",IF(IF($A721="Bank",INDEX(Bank!$F:$F,$C721),INDEX(GL!$F:$F,$C721))="Y","NOW RECONCILED: refresh","OK")))</f>
        <v/>
      </c>
    </row>
    <row r="722" customFormat="false" ht="15" hidden="false" customHeight="false" outlineLevel="0" collapsed="false">
      <c r="A722" s="41"/>
      <c r="B722" s="41"/>
      <c r="C722" s="5" t="n">
        <f aca="false">IF(B722="",0,IF(A722="Bank",IFERROR(MATCH(B722,Bank!$A:$A,0),0),IFERROR(MATCH(B722,GL!$A:$A,0),0)))</f>
        <v>0</v>
      </c>
      <c r="D722" s="32" t="str">
        <f aca="false">IF(C722=0,"",IF($A722="Bank",INDEX(Bank!$B:$B,$C722),INDEX(GL!$B:$B,$C722)))</f>
        <v/>
      </c>
      <c r="E722" s="5" t="str">
        <f aca="false">IF(C722=0,"",IF($A722="Bank",IF(INDEX(Bank!$C:$C,$C722)="","",INDEX(Bank!$C:$C,$C722)),IF(INDEX(GL!$C:$C,$C722)="","",INDEX(GL!$C:$C,$C722))))</f>
        <v/>
      </c>
      <c r="F722" s="5" t="str">
        <f aca="false">IF(C722=0,"",IF($A722="Bank",IF(INDEX(Bank!$D:$D,$C722)="","",INDEX(Bank!$D:$D,$C722)),IF(INDEX(GL!$D:$D,$C722)="","",INDEX(GL!$D:$D,$C722))))</f>
        <v/>
      </c>
      <c r="G722" s="19" t="str">
        <f aca="false">IF(C722=0,"",IF($A722="Bank",INDEX(Bank!$E:$E,$C722),INDEX(GL!$E:$E,$C722)))</f>
        <v/>
      </c>
      <c r="H722" s="5" t="str">
        <f aca="false">IF(C722=0,"",IF(A722="GL",IF(G722&gt;0,"Deposit in transit","Outstanding check / payment"),IF(G722&gt;0,"Bank credit not in GL","Bank debit not in GL")))</f>
        <v/>
      </c>
      <c r="I722" s="42" t="str">
        <f aca="false">IF(OR(C722=0,CFG_PeriodEnd=""),"",CFG_PeriodEnd-D722)</f>
        <v/>
      </c>
      <c r="J722" s="5" t="str">
        <f aca="false">IF(C722=0,"",IF($A722="Bank",IF(INDEX(Bank!$G:$G,$C722)="","",INDEX(Bank!$G:$G,$C722)),IF(INDEX(GL!$G:$G,$C722)="","",INDEX(GL!$G:$G,$C722))))</f>
        <v/>
      </c>
      <c r="K722" s="5" t="str">
        <f aca="false">IF(C722=0,"",IF($A722="Bank",IF(INDEX(Bank!$I:$I,$C722)="","",INDEX(Bank!$I:$I,$C722)),IF(INDEX(GL!$I:$I,$C722)="","",INDEX(GL!$I:$I,$C722))))</f>
        <v/>
      </c>
      <c r="L722" s="5" t="str">
        <f aca="false">IF(B722="","",IF(C722=0,"NOT FOUND",IF(IF($A722="Bank",INDEX(Bank!$F:$F,$C722),INDEX(GL!$F:$F,$C722))="Y","NOW RECONCILED: refresh","OK")))</f>
        <v/>
      </c>
    </row>
    <row r="723" customFormat="false" ht="15" hidden="false" customHeight="false" outlineLevel="0" collapsed="false">
      <c r="A723" s="41"/>
      <c r="B723" s="41"/>
      <c r="C723" s="5" t="n">
        <f aca="false">IF(B723="",0,IF(A723="Bank",IFERROR(MATCH(B723,Bank!$A:$A,0),0),IFERROR(MATCH(B723,GL!$A:$A,0),0)))</f>
        <v>0</v>
      </c>
      <c r="D723" s="32" t="str">
        <f aca="false">IF(C723=0,"",IF($A723="Bank",INDEX(Bank!$B:$B,$C723),INDEX(GL!$B:$B,$C723)))</f>
        <v/>
      </c>
      <c r="E723" s="5" t="str">
        <f aca="false">IF(C723=0,"",IF($A723="Bank",IF(INDEX(Bank!$C:$C,$C723)="","",INDEX(Bank!$C:$C,$C723)),IF(INDEX(GL!$C:$C,$C723)="","",INDEX(GL!$C:$C,$C723))))</f>
        <v/>
      </c>
      <c r="F723" s="5" t="str">
        <f aca="false">IF(C723=0,"",IF($A723="Bank",IF(INDEX(Bank!$D:$D,$C723)="","",INDEX(Bank!$D:$D,$C723)),IF(INDEX(GL!$D:$D,$C723)="","",INDEX(GL!$D:$D,$C723))))</f>
        <v/>
      </c>
      <c r="G723" s="19" t="str">
        <f aca="false">IF(C723=0,"",IF($A723="Bank",INDEX(Bank!$E:$E,$C723),INDEX(GL!$E:$E,$C723)))</f>
        <v/>
      </c>
      <c r="H723" s="5" t="str">
        <f aca="false">IF(C723=0,"",IF(A723="GL",IF(G723&gt;0,"Deposit in transit","Outstanding check / payment"),IF(G723&gt;0,"Bank credit not in GL","Bank debit not in GL")))</f>
        <v/>
      </c>
      <c r="I723" s="42" t="str">
        <f aca="false">IF(OR(C723=0,CFG_PeriodEnd=""),"",CFG_PeriodEnd-D723)</f>
        <v/>
      </c>
      <c r="J723" s="5" t="str">
        <f aca="false">IF(C723=0,"",IF($A723="Bank",IF(INDEX(Bank!$G:$G,$C723)="","",INDEX(Bank!$G:$G,$C723)),IF(INDEX(GL!$G:$G,$C723)="","",INDEX(GL!$G:$G,$C723))))</f>
        <v/>
      </c>
      <c r="K723" s="5" t="str">
        <f aca="false">IF(C723=0,"",IF($A723="Bank",IF(INDEX(Bank!$I:$I,$C723)="","",INDEX(Bank!$I:$I,$C723)),IF(INDEX(GL!$I:$I,$C723)="","",INDEX(GL!$I:$I,$C723))))</f>
        <v/>
      </c>
      <c r="L723" s="5" t="str">
        <f aca="false">IF(B723="","",IF(C723=0,"NOT FOUND",IF(IF($A723="Bank",INDEX(Bank!$F:$F,$C723),INDEX(GL!$F:$F,$C723))="Y","NOW RECONCILED: refresh","OK")))</f>
        <v/>
      </c>
    </row>
    <row r="724" customFormat="false" ht="15" hidden="false" customHeight="false" outlineLevel="0" collapsed="false">
      <c r="A724" s="41"/>
      <c r="B724" s="41"/>
      <c r="C724" s="5" t="n">
        <f aca="false">IF(B724="",0,IF(A724="Bank",IFERROR(MATCH(B724,Bank!$A:$A,0),0),IFERROR(MATCH(B724,GL!$A:$A,0),0)))</f>
        <v>0</v>
      </c>
      <c r="D724" s="32" t="str">
        <f aca="false">IF(C724=0,"",IF($A724="Bank",INDEX(Bank!$B:$B,$C724),INDEX(GL!$B:$B,$C724)))</f>
        <v/>
      </c>
      <c r="E724" s="5" t="str">
        <f aca="false">IF(C724=0,"",IF($A724="Bank",IF(INDEX(Bank!$C:$C,$C724)="","",INDEX(Bank!$C:$C,$C724)),IF(INDEX(GL!$C:$C,$C724)="","",INDEX(GL!$C:$C,$C724))))</f>
        <v/>
      </c>
      <c r="F724" s="5" t="str">
        <f aca="false">IF(C724=0,"",IF($A724="Bank",IF(INDEX(Bank!$D:$D,$C724)="","",INDEX(Bank!$D:$D,$C724)),IF(INDEX(GL!$D:$D,$C724)="","",INDEX(GL!$D:$D,$C724))))</f>
        <v/>
      </c>
      <c r="G724" s="19" t="str">
        <f aca="false">IF(C724=0,"",IF($A724="Bank",INDEX(Bank!$E:$E,$C724),INDEX(GL!$E:$E,$C724)))</f>
        <v/>
      </c>
      <c r="H724" s="5" t="str">
        <f aca="false">IF(C724=0,"",IF(A724="GL",IF(G724&gt;0,"Deposit in transit","Outstanding check / payment"),IF(G724&gt;0,"Bank credit not in GL","Bank debit not in GL")))</f>
        <v/>
      </c>
      <c r="I724" s="42" t="str">
        <f aca="false">IF(OR(C724=0,CFG_PeriodEnd=""),"",CFG_PeriodEnd-D724)</f>
        <v/>
      </c>
      <c r="J724" s="5" t="str">
        <f aca="false">IF(C724=0,"",IF($A724="Bank",IF(INDEX(Bank!$G:$G,$C724)="","",INDEX(Bank!$G:$G,$C724)),IF(INDEX(GL!$G:$G,$C724)="","",INDEX(GL!$G:$G,$C724))))</f>
        <v/>
      </c>
      <c r="K724" s="5" t="str">
        <f aca="false">IF(C724=0,"",IF($A724="Bank",IF(INDEX(Bank!$I:$I,$C724)="","",INDEX(Bank!$I:$I,$C724)),IF(INDEX(GL!$I:$I,$C724)="","",INDEX(GL!$I:$I,$C724))))</f>
        <v/>
      </c>
      <c r="L724" s="5" t="str">
        <f aca="false">IF(B724="","",IF(C724=0,"NOT FOUND",IF(IF($A724="Bank",INDEX(Bank!$F:$F,$C724),INDEX(GL!$F:$F,$C724))="Y","NOW RECONCILED: refresh","OK")))</f>
        <v/>
      </c>
    </row>
    <row r="725" customFormat="false" ht="15" hidden="false" customHeight="false" outlineLevel="0" collapsed="false">
      <c r="A725" s="41"/>
      <c r="B725" s="41"/>
      <c r="C725" s="5" t="n">
        <f aca="false">IF(B725="",0,IF(A725="Bank",IFERROR(MATCH(B725,Bank!$A:$A,0),0),IFERROR(MATCH(B725,GL!$A:$A,0),0)))</f>
        <v>0</v>
      </c>
      <c r="D725" s="32" t="str">
        <f aca="false">IF(C725=0,"",IF($A725="Bank",INDEX(Bank!$B:$B,$C725),INDEX(GL!$B:$B,$C725)))</f>
        <v/>
      </c>
      <c r="E725" s="5" t="str">
        <f aca="false">IF(C725=0,"",IF($A725="Bank",IF(INDEX(Bank!$C:$C,$C725)="","",INDEX(Bank!$C:$C,$C725)),IF(INDEX(GL!$C:$C,$C725)="","",INDEX(GL!$C:$C,$C725))))</f>
        <v/>
      </c>
      <c r="F725" s="5" t="str">
        <f aca="false">IF(C725=0,"",IF($A725="Bank",IF(INDEX(Bank!$D:$D,$C725)="","",INDEX(Bank!$D:$D,$C725)),IF(INDEX(GL!$D:$D,$C725)="","",INDEX(GL!$D:$D,$C725))))</f>
        <v/>
      </c>
      <c r="G725" s="19" t="str">
        <f aca="false">IF(C725=0,"",IF($A725="Bank",INDEX(Bank!$E:$E,$C725),INDEX(GL!$E:$E,$C725)))</f>
        <v/>
      </c>
      <c r="H725" s="5" t="str">
        <f aca="false">IF(C725=0,"",IF(A725="GL",IF(G725&gt;0,"Deposit in transit","Outstanding check / payment"),IF(G725&gt;0,"Bank credit not in GL","Bank debit not in GL")))</f>
        <v/>
      </c>
      <c r="I725" s="42" t="str">
        <f aca="false">IF(OR(C725=0,CFG_PeriodEnd=""),"",CFG_PeriodEnd-D725)</f>
        <v/>
      </c>
      <c r="J725" s="5" t="str">
        <f aca="false">IF(C725=0,"",IF($A725="Bank",IF(INDEX(Bank!$G:$G,$C725)="","",INDEX(Bank!$G:$G,$C725)),IF(INDEX(GL!$G:$G,$C725)="","",INDEX(GL!$G:$G,$C725))))</f>
        <v/>
      </c>
      <c r="K725" s="5" t="str">
        <f aca="false">IF(C725=0,"",IF($A725="Bank",IF(INDEX(Bank!$I:$I,$C725)="","",INDEX(Bank!$I:$I,$C725)),IF(INDEX(GL!$I:$I,$C725)="","",INDEX(GL!$I:$I,$C725))))</f>
        <v/>
      </c>
      <c r="L725" s="5" t="str">
        <f aca="false">IF(B725="","",IF(C725=0,"NOT FOUND",IF(IF($A725="Bank",INDEX(Bank!$F:$F,$C725),INDEX(GL!$F:$F,$C725))="Y","NOW RECONCILED: refresh","OK")))</f>
        <v/>
      </c>
    </row>
    <row r="726" customFormat="false" ht="15" hidden="false" customHeight="false" outlineLevel="0" collapsed="false">
      <c r="A726" s="41"/>
      <c r="B726" s="41"/>
      <c r="C726" s="5" t="n">
        <f aca="false">IF(B726="",0,IF(A726="Bank",IFERROR(MATCH(B726,Bank!$A:$A,0),0),IFERROR(MATCH(B726,GL!$A:$A,0),0)))</f>
        <v>0</v>
      </c>
      <c r="D726" s="32" t="str">
        <f aca="false">IF(C726=0,"",IF($A726="Bank",INDEX(Bank!$B:$B,$C726),INDEX(GL!$B:$B,$C726)))</f>
        <v/>
      </c>
      <c r="E726" s="5" t="str">
        <f aca="false">IF(C726=0,"",IF($A726="Bank",IF(INDEX(Bank!$C:$C,$C726)="","",INDEX(Bank!$C:$C,$C726)),IF(INDEX(GL!$C:$C,$C726)="","",INDEX(GL!$C:$C,$C726))))</f>
        <v/>
      </c>
      <c r="F726" s="5" t="str">
        <f aca="false">IF(C726=0,"",IF($A726="Bank",IF(INDEX(Bank!$D:$D,$C726)="","",INDEX(Bank!$D:$D,$C726)),IF(INDEX(GL!$D:$D,$C726)="","",INDEX(GL!$D:$D,$C726))))</f>
        <v/>
      </c>
      <c r="G726" s="19" t="str">
        <f aca="false">IF(C726=0,"",IF($A726="Bank",INDEX(Bank!$E:$E,$C726),INDEX(GL!$E:$E,$C726)))</f>
        <v/>
      </c>
      <c r="H726" s="5" t="str">
        <f aca="false">IF(C726=0,"",IF(A726="GL",IF(G726&gt;0,"Deposit in transit","Outstanding check / payment"),IF(G726&gt;0,"Bank credit not in GL","Bank debit not in GL")))</f>
        <v/>
      </c>
      <c r="I726" s="42" t="str">
        <f aca="false">IF(OR(C726=0,CFG_PeriodEnd=""),"",CFG_PeriodEnd-D726)</f>
        <v/>
      </c>
      <c r="J726" s="5" t="str">
        <f aca="false">IF(C726=0,"",IF($A726="Bank",IF(INDEX(Bank!$G:$G,$C726)="","",INDEX(Bank!$G:$G,$C726)),IF(INDEX(GL!$G:$G,$C726)="","",INDEX(GL!$G:$G,$C726))))</f>
        <v/>
      </c>
      <c r="K726" s="5" t="str">
        <f aca="false">IF(C726=0,"",IF($A726="Bank",IF(INDEX(Bank!$I:$I,$C726)="","",INDEX(Bank!$I:$I,$C726)),IF(INDEX(GL!$I:$I,$C726)="","",INDEX(GL!$I:$I,$C726))))</f>
        <v/>
      </c>
      <c r="L726" s="5" t="str">
        <f aca="false">IF(B726="","",IF(C726=0,"NOT FOUND",IF(IF($A726="Bank",INDEX(Bank!$F:$F,$C726),INDEX(GL!$F:$F,$C726))="Y","NOW RECONCILED: refresh","OK")))</f>
        <v/>
      </c>
    </row>
    <row r="727" customFormat="false" ht="15" hidden="false" customHeight="false" outlineLevel="0" collapsed="false">
      <c r="A727" s="41"/>
      <c r="B727" s="41"/>
      <c r="C727" s="5" t="n">
        <f aca="false">IF(B727="",0,IF(A727="Bank",IFERROR(MATCH(B727,Bank!$A:$A,0),0),IFERROR(MATCH(B727,GL!$A:$A,0),0)))</f>
        <v>0</v>
      </c>
      <c r="D727" s="32" t="str">
        <f aca="false">IF(C727=0,"",IF($A727="Bank",INDEX(Bank!$B:$B,$C727),INDEX(GL!$B:$B,$C727)))</f>
        <v/>
      </c>
      <c r="E727" s="5" t="str">
        <f aca="false">IF(C727=0,"",IF($A727="Bank",IF(INDEX(Bank!$C:$C,$C727)="","",INDEX(Bank!$C:$C,$C727)),IF(INDEX(GL!$C:$C,$C727)="","",INDEX(GL!$C:$C,$C727))))</f>
        <v/>
      </c>
      <c r="F727" s="5" t="str">
        <f aca="false">IF(C727=0,"",IF($A727="Bank",IF(INDEX(Bank!$D:$D,$C727)="","",INDEX(Bank!$D:$D,$C727)),IF(INDEX(GL!$D:$D,$C727)="","",INDEX(GL!$D:$D,$C727))))</f>
        <v/>
      </c>
      <c r="G727" s="19" t="str">
        <f aca="false">IF(C727=0,"",IF($A727="Bank",INDEX(Bank!$E:$E,$C727),INDEX(GL!$E:$E,$C727)))</f>
        <v/>
      </c>
      <c r="H727" s="5" t="str">
        <f aca="false">IF(C727=0,"",IF(A727="GL",IF(G727&gt;0,"Deposit in transit","Outstanding check / payment"),IF(G727&gt;0,"Bank credit not in GL","Bank debit not in GL")))</f>
        <v/>
      </c>
      <c r="I727" s="42" t="str">
        <f aca="false">IF(OR(C727=0,CFG_PeriodEnd=""),"",CFG_PeriodEnd-D727)</f>
        <v/>
      </c>
      <c r="J727" s="5" t="str">
        <f aca="false">IF(C727=0,"",IF($A727="Bank",IF(INDEX(Bank!$G:$G,$C727)="","",INDEX(Bank!$G:$G,$C727)),IF(INDEX(GL!$G:$G,$C727)="","",INDEX(GL!$G:$G,$C727))))</f>
        <v/>
      </c>
      <c r="K727" s="5" t="str">
        <f aca="false">IF(C727=0,"",IF($A727="Bank",IF(INDEX(Bank!$I:$I,$C727)="","",INDEX(Bank!$I:$I,$C727)),IF(INDEX(GL!$I:$I,$C727)="","",INDEX(GL!$I:$I,$C727))))</f>
        <v/>
      </c>
      <c r="L727" s="5" t="str">
        <f aca="false">IF(B727="","",IF(C727=0,"NOT FOUND",IF(IF($A727="Bank",INDEX(Bank!$F:$F,$C727),INDEX(GL!$F:$F,$C727))="Y","NOW RECONCILED: refresh","OK")))</f>
        <v/>
      </c>
    </row>
    <row r="728" customFormat="false" ht="15" hidden="false" customHeight="false" outlineLevel="0" collapsed="false">
      <c r="A728" s="41"/>
      <c r="B728" s="41"/>
      <c r="C728" s="5" t="n">
        <f aca="false">IF(B728="",0,IF(A728="Bank",IFERROR(MATCH(B728,Bank!$A:$A,0),0),IFERROR(MATCH(B728,GL!$A:$A,0),0)))</f>
        <v>0</v>
      </c>
      <c r="D728" s="32" t="str">
        <f aca="false">IF(C728=0,"",IF($A728="Bank",INDEX(Bank!$B:$B,$C728),INDEX(GL!$B:$B,$C728)))</f>
        <v/>
      </c>
      <c r="E728" s="5" t="str">
        <f aca="false">IF(C728=0,"",IF($A728="Bank",IF(INDEX(Bank!$C:$C,$C728)="","",INDEX(Bank!$C:$C,$C728)),IF(INDEX(GL!$C:$C,$C728)="","",INDEX(GL!$C:$C,$C728))))</f>
        <v/>
      </c>
      <c r="F728" s="5" t="str">
        <f aca="false">IF(C728=0,"",IF($A728="Bank",IF(INDEX(Bank!$D:$D,$C728)="","",INDEX(Bank!$D:$D,$C728)),IF(INDEX(GL!$D:$D,$C728)="","",INDEX(GL!$D:$D,$C728))))</f>
        <v/>
      </c>
      <c r="G728" s="19" t="str">
        <f aca="false">IF(C728=0,"",IF($A728="Bank",INDEX(Bank!$E:$E,$C728),INDEX(GL!$E:$E,$C728)))</f>
        <v/>
      </c>
      <c r="H728" s="5" t="str">
        <f aca="false">IF(C728=0,"",IF(A728="GL",IF(G728&gt;0,"Deposit in transit","Outstanding check / payment"),IF(G728&gt;0,"Bank credit not in GL","Bank debit not in GL")))</f>
        <v/>
      </c>
      <c r="I728" s="42" t="str">
        <f aca="false">IF(OR(C728=0,CFG_PeriodEnd=""),"",CFG_PeriodEnd-D728)</f>
        <v/>
      </c>
      <c r="J728" s="5" t="str">
        <f aca="false">IF(C728=0,"",IF($A728="Bank",IF(INDEX(Bank!$G:$G,$C728)="","",INDEX(Bank!$G:$G,$C728)),IF(INDEX(GL!$G:$G,$C728)="","",INDEX(GL!$G:$G,$C728))))</f>
        <v/>
      </c>
      <c r="K728" s="5" t="str">
        <f aca="false">IF(C728=0,"",IF($A728="Bank",IF(INDEX(Bank!$I:$I,$C728)="","",INDEX(Bank!$I:$I,$C728)),IF(INDEX(GL!$I:$I,$C728)="","",INDEX(GL!$I:$I,$C728))))</f>
        <v/>
      </c>
      <c r="L728" s="5" t="str">
        <f aca="false">IF(B728="","",IF(C728=0,"NOT FOUND",IF(IF($A728="Bank",INDEX(Bank!$F:$F,$C728),INDEX(GL!$F:$F,$C728))="Y","NOW RECONCILED: refresh","OK")))</f>
        <v/>
      </c>
    </row>
    <row r="729" customFormat="false" ht="15" hidden="false" customHeight="false" outlineLevel="0" collapsed="false">
      <c r="A729" s="41"/>
      <c r="B729" s="41"/>
      <c r="C729" s="5" t="n">
        <f aca="false">IF(B729="",0,IF(A729="Bank",IFERROR(MATCH(B729,Bank!$A:$A,0),0),IFERROR(MATCH(B729,GL!$A:$A,0),0)))</f>
        <v>0</v>
      </c>
      <c r="D729" s="32" t="str">
        <f aca="false">IF(C729=0,"",IF($A729="Bank",INDEX(Bank!$B:$B,$C729),INDEX(GL!$B:$B,$C729)))</f>
        <v/>
      </c>
      <c r="E729" s="5" t="str">
        <f aca="false">IF(C729=0,"",IF($A729="Bank",IF(INDEX(Bank!$C:$C,$C729)="","",INDEX(Bank!$C:$C,$C729)),IF(INDEX(GL!$C:$C,$C729)="","",INDEX(GL!$C:$C,$C729))))</f>
        <v/>
      </c>
      <c r="F729" s="5" t="str">
        <f aca="false">IF(C729=0,"",IF($A729="Bank",IF(INDEX(Bank!$D:$D,$C729)="","",INDEX(Bank!$D:$D,$C729)),IF(INDEX(GL!$D:$D,$C729)="","",INDEX(GL!$D:$D,$C729))))</f>
        <v/>
      </c>
      <c r="G729" s="19" t="str">
        <f aca="false">IF(C729=0,"",IF($A729="Bank",INDEX(Bank!$E:$E,$C729),INDEX(GL!$E:$E,$C729)))</f>
        <v/>
      </c>
      <c r="H729" s="5" t="str">
        <f aca="false">IF(C729=0,"",IF(A729="GL",IF(G729&gt;0,"Deposit in transit","Outstanding check / payment"),IF(G729&gt;0,"Bank credit not in GL","Bank debit not in GL")))</f>
        <v/>
      </c>
      <c r="I729" s="42" t="str">
        <f aca="false">IF(OR(C729=0,CFG_PeriodEnd=""),"",CFG_PeriodEnd-D729)</f>
        <v/>
      </c>
      <c r="J729" s="5" t="str">
        <f aca="false">IF(C729=0,"",IF($A729="Bank",IF(INDEX(Bank!$G:$G,$C729)="","",INDEX(Bank!$G:$G,$C729)),IF(INDEX(GL!$G:$G,$C729)="","",INDEX(GL!$G:$G,$C729))))</f>
        <v/>
      </c>
      <c r="K729" s="5" t="str">
        <f aca="false">IF(C729=0,"",IF($A729="Bank",IF(INDEX(Bank!$I:$I,$C729)="","",INDEX(Bank!$I:$I,$C729)),IF(INDEX(GL!$I:$I,$C729)="","",INDEX(GL!$I:$I,$C729))))</f>
        <v/>
      </c>
      <c r="L729" s="5" t="str">
        <f aca="false">IF(B729="","",IF(C729=0,"NOT FOUND",IF(IF($A729="Bank",INDEX(Bank!$F:$F,$C729),INDEX(GL!$F:$F,$C729))="Y","NOW RECONCILED: refresh","OK")))</f>
        <v/>
      </c>
    </row>
    <row r="730" customFormat="false" ht="15" hidden="false" customHeight="false" outlineLevel="0" collapsed="false">
      <c r="A730" s="41"/>
      <c r="B730" s="41"/>
      <c r="C730" s="5" t="n">
        <f aca="false">IF(B730="",0,IF(A730="Bank",IFERROR(MATCH(B730,Bank!$A:$A,0),0),IFERROR(MATCH(B730,GL!$A:$A,0),0)))</f>
        <v>0</v>
      </c>
      <c r="D730" s="32" t="str">
        <f aca="false">IF(C730=0,"",IF($A730="Bank",INDEX(Bank!$B:$B,$C730),INDEX(GL!$B:$B,$C730)))</f>
        <v/>
      </c>
      <c r="E730" s="5" t="str">
        <f aca="false">IF(C730=0,"",IF($A730="Bank",IF(INDEX(Bank!$C:$C,$C730)="","",INDEX(Bank!$C:$C,$C730)),IF(INDEX(GL!$C:$C,$C730)="","",INDEX(GL!$C:$C,$C730))))</f>
        <v/>
      </c>
      <c r="F730" s="5" t="str">
        <f aca="false">IF(C730=0,"",IF($A730="Bank",IF(INDEX(Bank!$D:$D,$C730)="","",INDEX(Bank!$D:$D,$C730)),IF(INDEX(GL!$D:$D,$C730)="","",INDEX(GL!$D:$D,$C730))))</f>
        <v/>
      </c>
      <c r="G730" s="19" t="str">
        <f aca="false">IF(C730=0,"",IF($A730="Bank",INDEX(Bank!$E:$E,$C730),INDEX(GL!$E:$E,$C730)))</f>
        <v/>
      </c>
      <c r="H730" s="5" t="str">
        <f aca="false">IF(C730=0,"",IF(A730="GL",IF(G730&gt;0,"Deposit in transit","Outstanding check / payment"),IF(G730&gt;0,"Bank credit not in GL","Bank debit not in GL")))</f>
        <v/>
      </c>
      <c r="I730" s="42" t="str">
        <f aca="false">IF(OR(C730=0,CFG_PeriodEnd=""),"",CFG_PeriodEnd-D730)</f>
        <v/>
      </c>
      <c r="J730" s="5" t="str">
        <f aca="false">IF(C730=0,"",IF($A730="Bank",IF(INDEX(Bank!$G:$G,$C730)="","",INDEX(Bank!$G:$G,$C730)),IF(INDEX(GL!$G:$G,$C730)="","",INDEX(GL!$G:$G,$C730))))</f>
        <v/>
      </c>
      <c r="K730" s="5" t="str">
        <f aca="false">IF(C730=0,"",IF($A730="Bank",IF(INDEX(Bank!$I:$I,$C730)="","",INDEX(Bank!$I:$I,$C730)),IF(INDEX(GL!$I:$I,$C730)="","",INDEX(GL!$I:$I,$C730))))</f>
        <v/>
      </c>
      <c r="L730" s="5" t="str">
        <f aca="false">IF(B730="","",IF(C730=0,"NOT FOUND",IF(IF($A730="Bank",INDEX(Bank!$F:$F,$C730),INDEX(GL!$F:$F,$C730))="Y","NOW RECONCILED: refresh","OK")))</f>
        <v/>
      </c>
    </row>
    <row r="731" customFormat="false" ht="15" hidden="false" customHeight="false" outlineLevel="0" collapsed="false">
      <c r="A731" s="41"/>
      <c r="B731" s="41"/>
      <c r="C731" s="5" t="n">
        <f aca="false">IF(B731="",0,IF(A731="Bank",IFERROR(MATCH(B731,Bank!$A:$A,0),0),IFERROR(MATCH(B731,GL!$A:$A,0),0)))</f>
        <v>0</v>
      </c>
      <c r="D731" s="32" t="str">
        <f aca="false">IF(C731=0,"",IF($A731="Bank",INDEX(Bank!$B:$B,$C731),INDEX(GL!$B:$B,$C731)))</f>
        <v/>
      </c>
      <c r="E731" s="5" t="str">
        <f aca="false">IF(C731=0,"",IF($A731="Bank",IF(INDEX(Bank!$C:$C,$C731)="","",INDEX(Bank!$C:$C,$C731)),IF(INDEX(GL!$C:$C,$C731)="","",INDEX(GL!$C:$C,$C731))))</f>
        <v/>
      </c>
      <c r="F731" s="5" t="str">
        <f aca="false">IF(C731=0,"",IF($A731="Bank",IF(INDEX(Bank!$D:$D,$C731)="","",INDEX(Bank!$D:$D,$C731)),IF(INDEX(GL!$D:$D,$C731)="","",INDEX(GL!$D:$D,$C731))))</f>
        <v/>
      </c>
      <c r="G731" s="19" t="str">
        <f aca="false">IF(C731=0,"",IF($A731="Bank",INDEX(Bank!$E:$E,$C731),INDEX(GL!$E:$E,$C731)))</f>
        <v/>
      </c>
      <c r="H731" s="5" t="str">
        <f aca="false">IF(C731=0,"",IF(A731="GL",IF(G731&gt;0,"Deposit in transit","Outstanding check / payment"),IF(G731&gt;0,"Bank credit not in GL","Bank debit not in GL")))</f>
        <v/>
      </c>
      <c r="I731" s="42" t="str">
        <f aca="false">IF(OR(C731=0,CFG_PeriodEnd=""),"",CFG_PeriodEnd-D731)</f>
        <v/>
      </c>
      <c r="J731" s="5" t="str">
        <f aca="false">IF(C731=0,"",IF($A731="Bank",IF(INDEX(Bank!$G:$G,$C731)="","",INDEX(Bank!$G:$G,$C731)),IF(INDEX(GL!$G:$G,$C731)="","",INDEX(GL!$G:$G,$C731))))</f>
        <v/>
      </c>
      <c r="K731" s="5" t="str">
        <f aca="false">IF(C731=0,"",IF($A731="Bank",IF(INDEX(Bank!$I:$I,$C731)="","",INDEX(Bank!$I:$I,$C731)),IF(INDEX(GL!$I:$I,$C731)="","",INDEX(GL!$I:$I,$C731))))</f>
        <v/>
      </c>
      <c r="L731" s="5" t="str">
        <f aca="false">IF(B731="","",IF(C731=0,"NOT FOUND",IF(IF($A731="Bank",INDEX(Bank!$F:$F,$C731),INDEX(GL!$F:$F,$C731))="Y","NOW RECONCILED: refresh","OK")))</f>
        <v/>
      </c>
    </row>
    <row r="732" customFormat="false" ht="15" hidden="false" customHeight="false" outlineLevel="0" collapsed="false">
      <c r="A732" s="41"/>
      <c r="B732" s="41"/>
      <c r="C732" s="5" t="n">
        <f aca="false">IF(B732="",0,IF(A732="Bank",IFERROR(MATCH(B732,Bank!$A:$A,0),0),IFERROR(MATCH(B732,GL!$A:$A,0),0)))</f>
        <v>0</v>
      </c>
      <c r="D732" s="32" t="str">
        <f aca="false">IF(C732=0,"",IF($A732="Bank",INDEX(Bank!$B:$B,$C732),INDEX(GL!$B:$B,$C732)))</f>
        <v/>
      </c>
      <c r="E732" s="5" t="str">
        <f aca="false">IF(C732=0,"",IF($A732="Bank",IF(INDEX(Bank!$C:$C,$C732)="","",INDEX(Bank!$C:$C,$C732)),IF(INDEX(GL!$C:$C,$C732)="","",INDEX(GL!$C:$C,$C732))))</f>
        <v/>
      </c>
      <c r="F732" s="5" t="str">
        <f aca="false">IF(C732=0,"",IF($A732="Bank",IF(INDEX(Bank!$D:$D,$C732)="","",INDEX(Bank!$D:$D,$C732)),IF(INDEX(GL!$D:$D,$C732)="","",INDEX(GL!$D:$D,$C732))))</f>
        <v/>
      </c>
      <c r="G732" s="19" t="str">
        <f aca="false">IF(C732=0,"",IF($A732="Bank",INDEX(Bank!$E:$E,$C732),INDEX(GL!$E:$E,$C732)))</f>
        <v/>
      </c>
      <c r="H732" s="5" t="str">
        <f aca="false">IF(C732=0,"",IF(A732="GL",IF(G732&gt;0,"Deposit in transit","Outstanding check / payment"),IF(G732&gt;0,"Bank credit not in GL","Bank debit not in GL")))</f>
        <v/>
      </c>
      <c r="I732" s="42" t="str">
        <f aca="false">IF(OR(C732=0,CFG_PeriodEnd=""),"",CFG_PeriodEnd-D732)</f>
        <v/>
      </c>
      <c r="J732" s="5" t="str">
        <f aca="false">IF(C732=0,"",IF($A732="Bank",IF(INDEX(Bank!$G:$G,$C732)="","",INDEX(Bank!$G:$G,$C732)),IF(INDEX(GL!$G:$G,$C732)="","",INDEX(GL!$G:$G,$C732))))</f>
        <v/>
      </c>
      <c r="K732" s="5" t="str">
        <f aca="false">IF(C732=0,"",IF($A732="Bank",IF(INDEX(Bank!$I:$I,$C732)="","",INDEX(Bank!$I:$I,$C732)),IF(INDEX(GL!$I:$I,$C732)="","",INDEX(GL!$I:$I,$C732))))</f>
        <v/>
      </c>
      <c r="L732" s="5" t="str">
        <f aca="false">IF(B732="","",IF(C732=0,"NOT FOUND",IF(IF($A732="Bank",INDEX(Bank!$F:$F,$C732),INDEX(GL!$F:$F,$C732))="Y","NOW RECONCILED: refresh","OK")))</f>
        <v/>
      </c>
    </row>
    <row r="733" customFormat="false" ht="15" hidden="false" customHeight="false" outlineLevel="0" collapsed="false">
      <c r="A733" s="41"/>
      <c r="B733" s="41"/>
      <c r="C733" s="5" t="n">
        <f aca="false">IF(B733="",0,IF(A733="Bank",IFERROR(MATCH(B733,Bank!$A:$A,0),0),IFERROR(MATCH(B733,GL!$A:$A,0),0)))</f>
        <v>0</v>
      </c>
      <c r="D733" s="32" t="str">
        <f aca="false">IF(C733=0,"",IF($A733="Bank",INDEX(Bank!$B:$B,$C733),INDEX(GL!$B:$B,$C733)))</f>
        <v/>
      </c>
      <c r="E733" s="5" t="str">
        <f aca="false">IF(C733=0,"",IF($A733="Bank",IF(INDEX(Bank!$C:$C,$C733)="","",INDEX(Bank!$C:$C,$C733)),IF(INDEX(GL!$C:$C,$C733)="","",INDEX(GL!$C:$C,$C733))))</f>
        <v/>
      </c>
      <c r="F733" s="5" t="str">
        <f aca="false">IF(C733=0,"",IF($A733="Bank",IF(INDEX(Bank!$D:$D,$C733)="","",INDEX(Bank!$D:$D,$C733)),IF(INDEX(GL!$D:$D,$C733)="","",INDEX(GL!$D:$D,$C733))))</f>
        <v/>
      </c>
      <c r="G733" s="19" t="str">
        <f aca="false">IF(C733=0,"",IF($A733="Bank",INDEX(Bank!$E:$E,$C733),INDEX(GL!$E:$E,$C733)))</f>
        <v/>
      </c>
      <c r="H733" s="5" t="str">
        <f aca="false">IF(C733=0,"",IF(A733="GL",IF(G733&gt;0,"Deposit in transit","Outstanding check / payment"),IF(G733&gt;0,"Bank credit not in GL","Bank debit not in GL")))</f>
        <v/>
      </c>
      <c r="I733" s="42" t="str">
        <f aca="false">IF(OR(C733=0,CFG_PeriodEnd=""),"",CFG_PeriodEnd-D733)</f>
        <v/>
      </c>
      <c r="J733" s="5" t="str">
        <f aca="false">IF(C733=0,"",IF($A733="Bank",IF(INDEX(Bank!$G:$G,$C733)="","",INDEX(Bank!$G:$G,$C733)),IF(INDEX(GL!$G:$G,$C733)="","",INDEX(GL!$G:$G,$C733))))</f>
        <v/>
      </c>
      <c r="K733" s="5" t="str">
        <f aca="false">IF(C733=0,"",IF($A733="Bank",IF(INDEX(Bank!$I:$I,$C733)="","",INDEX(Bank!$I:$I,$C733)),IF(INDEX(GL!$I:$I,$C733)="","",INDEX(GL!$I:$I,$C733))))</f>
        <v/>
      </c>
      <c r="L733" s="5" t="str">
        <f aca="false">IF(B733="","",IF(C733=0,"NOT FOUND",IF(IF($A733="Bank",INDEX(Bank!$F:$F,$C733),INDEX(GL!$F:$F,$C733))="Y","NOW RECONCILED: refresh","OK")))</f>
        <v/>
      </c>
    </row>
    <row r="734" customFormat="false" ht="15" hidden="false" customHeight="false" outlineLevel="0" collapsed="false">
      <c r="A734" s="41"/>
      <c r="B734" s="41"/>
      <c r="C734" s="5" t="n">
        <f aca="false">IF(B734="",0,IF(A734="Bank",IFERROR(MATCH(B734,Bank!$A:$A,0),0),IFERROR(MATCH(B734,GL!$A:$A,0),0)))</f>
        <v>0</v>
      </c>
      <c r="D734" s="32" t="str">
        <f aca="false">IF(C734=0,"",IF($A734="Bank",INDEX(Bank!$B:$B,$C734),INDEX(GL!$B:$B,$C734)))</f>
        <v/>
      </c>
      <c r="E734" s="5" t="str">
        <f aca="false">IF(C734=0,"",IF($A734="Bank",IF(INDEX(Bank!$C:$C,$C734)="","",INDEX(Bank!$C:$C,$C734)),IF(INDEX(GL!$C:$C,$C734)="","",INDEX(GL!$C:$C,$C734))))</f>
        <v/>
      </c>
      <c r="F734" s="5" t="str">
        <f aca="false">IF(C734=0,"",IF($A734="Bank",IF(INDEX(Bank!$D:$D,$C734)="","",INDEX(Bank!$D:$D,$C734)),IF(INDEX(GL!$D:$D,$C734)="","",INDEX(GL!$D:$D,$C734))))</f>
        <v/>
      </c>
      <c r="G734" s="19" t="str">
        <f aca="false">IF(C734=0,"",IF($A734="Bank",INDEX(Bank!$E:$E,$C734),INDEX(GL!$E:$E,$C734)))</f>
        <v/>
      </c>
      <c r="H734" s="5" t="str">
        <f aca="false">IF(C734=0,"",IF(A734="GL",IF(G734&gt;0,"Deposit in transit","Outstanding check / payment"),IF(G734&gt;0,"Bank credit not in GL","Bank debit not in GL")))</f>
        <v/>
      </c>
      <c r="I734" s="42" t="str">
        <f aca="false">IF(OR(C734=0,CFG_PeriodEnd=""),"",CFG_PeriodEnd-D734)</f>
        <v/>
      </c>
      <c r="J734" s="5" t="str">
        <f aca="false">IF(C734=0,"",IF($A734="Bank",IF(INDEX(Bank!$G:$G,$C734)="","",INDEX(Bank!$G:$G,$C734)),IF(INDEX(GL!$G:$G,$C734)="","",INDEX(GL!$G:$G,$C734))))</f>
        <v/>
      </c>
      <c r="K734" s="5" t="str">
        <f aca="false">IF(C734=0,"",IF($A734="Bank",IF(INDEX(Bank!$I:$I,$C734)="","",INDEX(Bank!$I:$I,$C734)),IF(INDEX(GL!$I:$I,$C734)="","",INDEX(GL!$I:$I,$C734))))</f>
        <v/>
      </c>
      <c r="L734" s="5" t="str">
        <f aca="false">IF(B734="","",IF(C734=0,"NOT FOUND",IF(IF($A734="Bank",INDEX(Bank!$F:$F,$C734),INDEX(GL!$F:$F,$C734))="Y","NOW RECONCILED: refresh","OK")))</f>
        <v/>
      </c>
    </row>
    <row r="735" customFormat="false" ht="15" hidden="false" customHeight="false" outlineLevel="0" collapsed="false">
      <c r="A735" s="41"/>
      <c r="B735" s="41"/>
      <c r="C735" s="5" t="n">
        <f aca="false">IF(B735="",0,IF(A735="Bank",IFERROR(MATCH(B735,Bank!$A:$A,0),0),IFERROR(MATCH(B735,GL!$A:$A,0),0)))</f>
        <v>0</v>
      </c>
      <c r="D735" s="32" t="str">
        <f aca="false">IF(C735=0,"",IF($A735="Bank",INDEX(Bank!$B:$B,$C735),INDEX(GL!$B:$B,$C735)))</f>
        <v/>
      </c>
      <c r="E735" s="5" t="str">
        <f aca="false">IF(C735=0,"",IF($A735="Bank",IF(INDEX(Bank!$C:$C,$C735)="","",INDEX(Bank!$C:$C,$C735)),IF(INDEX(GL!$C:$C,$C735)="","",INDEX(GL!$C:$C,$C735))))</f>
        <v/>
      </c>
      <c r="F735" s="5" t="str">
        <f aca="false">IF(C735=0,"",IF($A735="Bank",IF(INDEX(Bank!$D:$D,$C735)="","",INDEX(Bank!$D:$D,$C735)),IF(INDEX(GL!$D:$D,$C735)="","",INDEX(GL!$D:$D,$C735))))</f>
        <v/>
      </c>
      <c r="G735" s="19" t="str">
        <f aca="false">IF(C735=0,"",IF($A735="Bank",INDEX(Bank!$E:$E,$C735),INDEX(GL!$E:$E,$C735)))</f>
        <v/>
      </c>
      <c r="H735" s="5" t="str">
        <f aca="false">IF(C735=0,"",IF(A735="GL",IF(G735&gt;0,"Deposit in transit","Outstanding check / payment"),IF(G735&gt;0,"Bank credit not in GL","Bank debit not in GL")))</f>
        <v/>
      </c>
      <c r="I735" s="42" t="str">
        <f aca="false">IF(OR(C735=0,CFG_PeriodEnd=""),"",CFG_PeriodEnd-D735)</f>
        <v/>
      </c>
      <c r="J735" s="5" t="str">
        <f aca="false">IF(C735=0,"",IF($A735="Bank",IF(INDEX(Bank!$G:$G,$C735)="","",INDEX(Bank!$G:$G,$C735)),IF(INDEX(GL!$G:$G,$C735)="","",INDEX(GL!$G:$G,$C735))))</f>
        <v/>
      </c>
      <c r="K735" s="5" t="str">
        <f aca="false">IF(C735=0,"",IF($A735="Bank",IF(INDEX(Bank!$I:$I,$C735)="","",INDEX(Bank!$I:$I,$C735)),IF(INDEX(GL!$I:$I,$C735)="","",INDEX(GL!$I:$I,$C735))))</f>
        <v/>
      </c>
      <c r="L735" s="5" t="str">
        <f aca="false">IF(B735="","",IF(C735=0,"NOT FOUND",IF(IF($A735="Bank",INDEX(Bank!$F:$F,$C735),INDEX(GL!$F:$F,$C735))="Y","NOW RECONCILED: refresh","OK")))</f>
        <v/>
      </c>
    </row>
    <row r="736" customFormat="false" ht="15" hidden="false" customHeight="false" outlineLevel="0" collapsed="false">
      <c r="A736" s="41"/>
      <c r="B736" s="41"/>
      <c r="C736" s="5" t="n">
        <f aca="false">IF(B736="",0,IF(A736="Bank",IFERROR(MATCH(B736,Bank!$A:$A,0),0),IFERROR(MATCH(B736,GL!$A:$A,0),0)))</f>
        <v>0</v>
      </c>
      <c r="D736" s="32" t="str">
        <f aca="false">IF(C736=0,"",IF($A736="Bank",INDEX(Bank!$B:$B,$C736),INDEX(GL!$B:$B,$C736)))</f>
        <v/>
      </c>
      <c r="E736" s="5" t="str">
        <f aca="false">IF(C736=0,"",IF($A736="Bank",IF(INDEX(Bank!$C:$C,$C736)="","",INDEX(Bank!$C:$C,$C736)),IF(INDEX(GL!$C:$C,$C736)="","",INDEX(GL!$C:$C,$C736))))</f>
        <v/>
      </c>
      <c r="F736" s="5" t="str">
        <f aca="false">IF(C736=0,"",IF($A736="Bank",IF(INDEX(Bank!$D:$D,$C736)="","",INDEX(Bank!$D:$D,$C736)),IF(INDEX(GL!$D:$D,$C736)="","",INDEX(GL!$D:$D,$C736))))</f>
        <v/>
      </c>
      <c r="G736" s="19" t="str">
        <f aca="false">IF(C736=0,"",IF($A736="Bank",INDEX(Bank!$E:$E,$C736),INDEX(GL!$E:$E,$C736)))</f>
        <v/>
      </c>
      <c r="H736" s="5" t="str">
        <f aca="false">IF(C736=0,"",IF(A736="GL",IF(G736&gt;0,"Deposit in transit","Outstanding check / payment"),IF(G736&gt;0,"Bank credit not in GL","Bank debit not in GL")))</f>
        <v/>
      </c>
      <c r="I736" s="42" t="str">
        <f aca="false">IF(OR(C736=0,CFG_PeriodEnd=""),"",CFG_PeriodEnd-D736)</f>
        <v/>
      </c>
      <c r="J736" s="5" t="str">
        <f aca="false">IF(C736=0,"",IF($A736="Bank",IF(INDEX(Bank!$G:$G,$C736)="","",INDEX(Bank!$G:$G,$C736)),IF(INDEX(GL!$G:$G,$C736)="","",INDEX(GL!$G:$G,$C736))))</f>
        <v/>
      </c>
      <c r="K736" s="5" t="str">
        <f aca="false">IF(C736=0,"",IF($A736="Bank",IF(INDEX(Bank!$I:$I,$C736)="","",INDEX(Bank!$I:$I,$C736)),IF(INDEX(GL!$I:$I,$C736)="","",INDEX(GL!$I:$I,$C736))))</f>
        <v/>
      </c>
      <c r="L736" s="5" t="str">
        <f aca="false">IF(B736="","",IF(C736=0,"NOT FOUND",IF(IF($A736="Bank",INDEX(Bank!$F:$F,$C736),INDEX(GL!$F:$F,$C736))="Y","NOW RECONCILED: refresh","OK")))</f>
        <v/>
      </c>
    </row>
    <row r="737" customFormat="false" ht="15" hidden="false" customHeight="false" outlineLevel="0" collapsed="false">
      <c r="A737" s="41"/>
      <c r="B737" s="41"/>
      <c r="C737" s="5" t="n">
        <f aca="false">IF(B737="",0,IF(A737="Bank",IFERROR(MATCH(B737,Bank!$A:$A,0),0),IFERROR(MATCH(B737,GL!$A:$A,0),0)))</f>
        <v>0</v>
      </c>
      <c r="D737" s="32" t="str">
        <f aca="false">IF(C737=0,"",IF($A737="Bank",INDEX(Bank!$B:$B,$C737),INDEX(GL!$B:$B,$C737)))</f>
        <v/>
      </c>
      <c r="E737" s="5" t="str">
        <f aca="false">IF(C737=0,"",IF($A737="Bank",IF(INDEX(Bank!$C:$C,$C737)="","",INDEX(Bank!$C:$C,$C737)),IF(INDEX(GL!$C:$C,$C737)="","",INDEX(GL!$C:$C,$C737))))</f>
        <v/>
      </c>
      <c r="F737" s="5" t="str">
        <f aca="false">IF(C737=0,"",IF($A737="Bank",IF(INDEX(Bank!$D:$D,$C737)="","",INDEX(Bank!$D:$D,$C737)),IF(INDEX(GL!$D:$D,$C737)="","",INDEX(GL!$D:$D,$C737))))</f>
        <v/>
      </c>
      <c r="G737" s="19" t="str">
        <f aca="false">IF(C737=0,"",IF($A737="Bank",INDEX(Bank!$E:$E,$C737),INDEX(GL!$E:$E,$C737)))</f>
        <v/>
      </c>
      <c r="H737" s="5" t="str">
        <f aca="false">IF(C737=0,"",IF(A737="GL",IF(G737&gt;0,"Deposit in transit","Outstanding check / payment"),IF(G737&gt;0,"Bank credit not in GL","Bank debit not in GL")))</f>
        <v/>
      </c>
      <c r="I737" s="42" t="str">
        <f aca="false">IF(OR(C737=0,CFG_PeriodEnd=""),"",CFG_PeriodEnd-D737)</f>
        <v/>
      </c>
      <c r="J737" s="5" t="str">
        <f aca="false">IF(C737=0,"",IF($A737="Bank",IF(INDEX(Bank!$G:$G,$C737)="","",INDEX(Bank!$G:$G,$C737)),IF(INDEX(GL!$G:$G,$C737)="","",INDEX(GL!$G:$G,$C737))))</f>
        <v/>
      </c>
      <c r="K737" s="5" t="str">
        <f aca="false">IF(C737=0,"",IF($A737="Bank",IF(INDEX(Bank!$I:$I,$C737)="","",INDEX(Bank!$I:$I,$C737)),IF(INDEX(GL!$I:$I,$C737)="","",INDEX(GL!$I:$I,$C737))))</f>
        <v/>
      </c>
      <c r="L737" s="5" t="str">
        <f aca="false">IF(B737="","",IF(C737=0,"NOT FOUND",IF(IF($A737="Bank",INDEX(Bank!$F:$F,$C737),INDEX(GL!$F:$F,$C737))="Y","NOW RECONCILED: refresh","OK")))</f>
        <v/>
      </c>
    </row>
    <row r="738" customFormat="false" ht="15" hidden="false" customHeight="false" outlineLevel="0" collapsed="false">
      <c r="A738" s="41"/>
      <c r="B738" s="41"/>
      <c r="C738" s="5" t="n">
        <f aca="false">IF(B738="",0,IF(A738="Bank",IFERROR(MATCH(B738,Bank!$A:$A,0),0),IFERROR(MATCH(B738,GL!$A:$A,0),0)))</f>
        <v>0</v>
      </c>
      <c r="D738" s="32" t="str">
        <f aca="false">IF(C738=0,"",IF($A738="Bank",INDEX(Bank!$B:$B,$C738),INDEX(GL!$B:$B,$C738)))</f>
        <v/>
      </c>
      <c r="E738" s="5" t="str">
        <f aca="false">IF(C738=0,"",IF($A738="Bank",IF(INDEX(Bank!$C:$C,$C738)="","",INDEX(Bank!$C:$C,$C738)),IF(INDEX(GL!$C:$C,$C738)="","",INDEX(GL!$C:$C,$C738))))</f>
        <v/>
      </c>
      <c r="F738" s="5" t="str">
        <f aca="false">IF(C738=0,"",IF($A738="Bank",IF(INDEX(Bank!$D:$D,$C738)="","",INDEX(Bank!$D:$D,$C738)),IF(INDEX(GL!$D:$D,$C738)="","",INDEX(GL!$D:$D,$C738))))</f>
        <v/>
      </c>
      <c r="G738" s="19" t="str">
        <f aca="false">IF(C738=0,"",IF($A738="Bank",INDEX(Bank!$E:$E,$C738),INDEX(GL!$E:$E,$C738)))</f>
        <v/>
      </c>
      <c r="H738" s="5" t="str">
        <f aca="false">IF(C738=0,"",IF(A738="GL",IF(G738&gt;0,"Deposit in transit","Outstanding check / payment"),IF(G738&gt;0,"Bank credit not in GL","Bank debit not in GL")))</f>
        <v/>
      </c>
      <c r="I738" s="42" t="str">
        <f aca="false">IF(OR(C738=0,CFG_PeriodEnd=""),"",CFG_PeriodEnd-D738)</f>
        <v/>
      </c>
      <c r="J738" s="5" t="str">
        <f aca="false">IF(C738=0,"",IF($A738="Bank",IF(INDEX(Bank!$G:$G,$C738)="","",INDEX(Bank!$G:$G,$C738)),IF(INDEX(GL!$G:$G,$C738)="","",INDEX(GL!$G:$G,$C738))))</f>
        <v/>
      </c>
      <c r="K738" s="5" t="str">
        <f aca="false">IF(C738=0,"",IF($A738="Bank",IF(INDEX(Bank!$I:$I,$C738)="","",INDEX(Bank!$I:$I,$C738)),IF(INDEX(GL!$I:$I,$C738)="","",INDEX(GL!$I:$I,$C738))))</f>
        <v/>
      </c>
      <c r="L738" s="5" t="str">
        <f aca="false">IF(B738="","",IF(C738=0,"NOT FOUND",IF(IF($A738="Bank",INDEX(Bank!$F:$F,$C738),INDEX(GL!$F:$F,$C738))="Y","NOW RECONCILED: refresh","OK")))</f>
        <v/>
      </c>
    </row>
    <row r="739" customFormat="false" ht="15" hidden="false" customHeight="false" outlineLevel="0" collapsed="false">
      <c r="A739" s="41"/>
      <c r="B739" s="41"/>
      <c r="C739" s="5" t="n">
        <f aca="false">IF(B739="",0,IF(A739="Bank",IFERROR(MATCH(B739,Bank!$A:$A,0),0),IFERROR(MATCH(B739,GL!$A:$A,0),0)))</f>
        <v>0</v>
      </c>
      <c r="D739" s="32" t="str">
        <f aca="false">IF(C739=0,"",IF($A739="Bank",INDEX(Bank!$B:$B,$C739),INDEX(GL!$B:$B,$C739)))</f>
        <v/>
      </c>
      <c r="E739" s="5" t="str">
        <f aca="false">IF(C739=0,"",IF($A739="Bank",IF(INDEX(Bank!$C:$C,$C739)="","",INDEX(Bank!$C:$C,$C739)),IF(INDEX(GL!$C:$C,$C739)="","",INDEX(GL!$C:$C,$C739))))</f>
        <v/>
      </c>
      <c r="F739" s="5" t="str">
        <f aca="false">IF(C739=0,"",IF($A739="Bank",IF(INDEX(Bank!$D:$D,$C739)="","",INDEX(Bank!$D:$D,$C739)),IF(INDEX(GL!$D:$D,$C739)="","",INDEX(GL!$D:$D,$C739))))</f>
        <v/>
      </c>
      <c r="G739" s="19" t="str">
        <f aca="false">IF(C739=0,"",IF($A739="Bank",INDEX(Bank!$E:$E,$C739),INDEX(GL!$E:$E,$C739)))</f>
        <v/>
      </c>
      <c r="H739" s="5" t="str">
        <f aca="false">IF(C739=0,"",IF(A739="GL",IF(G739&gt;0,"Deposit in transit","Outstanding check / payment"),IF(G739&gt;0,"Bank credit not in GL","Bank debit not in GL")))</f>
        <v/>
      </c>
      <c r="I739" s="42" t="str">
        <f aca="false">IF(OR(C739=0,CFG_PeriodEnd=""),"",CFG_PeriodEnd-D739)</f>
        <v/>
      </c>
      <c r="J739" s="5" t="str">
        <f aca="false">IF(C739=0,"",IF($A739="Bank",IF(INDEX(Bank!$G:$G,$C739)="","",INDEX(Bank!$G:$G,$C739)),IF(INDEX(GL!$G:$G,$C739)="","",INDEX(GL!$G:$G,$C739))))</f>
        <v/>
      </c>
      <c r="K739" s="5" t="str">
        <f aca="false">IF(C739=0,"",IF($A739="Bank",IF(INDEX(Bank!$I:$I,$C739)="","",INDEX(Bank!$I:$I,$C739)),IF(INDEX(GL!$I:$I,$C739)="","",INDEX(GL!$I:$I,$C739))))</f>
        <v/>
      </c>
      <c r="L739" s="5" t="str">
        <f aca="false">IF(B739="","",IF(C739=0,"NOT FOUND",IF(IF($A739="Bank",INDEX(Bank!$F:$F,$C739),INDEX(GL!$F:$F,$C739))="Y","NOW RECONCILED: refresh","OK")))</f>
        <v/>
      </c>
    </row>
    <row r="740" customFormat="false" ht="15" hidden="false" customHeight="false" outlineLevel="0" collapsed="false">
      <c r="A740" s="41"/>
      <c r="B740" s="41"/>
      <c r="C740" s="5" t="n">
        <f aca="false">IF(B740="",0,IF(A740="Bank",IFERROR(MATCH(B740,Bank!$A:$A,0),0),IFERROR(MATCH(B740,GL!$A:$A,0),0)))</f>
        <v>0</v>
      </c>
      <c r="D740" s="32" t="str">
        <f aca="false">IF(C740=0,"",IF($A740="Bank",INDEX(Bank!$B:$B,$C740),INDEX(GL!$B:$B,$C740)))</f>
        <v/>
      </c>
      <c r="E740" s="5" t="str">
        <f aca="false">IF(C740=0,"",IF($A740="Bank",IF(INDEX(Bank!$C:$C,$C740)="","",INDEX(Bank!$C:$C,$C740)),IF(INDEX(GL!$C:$C,$C740)="","",INDEX(GL!$C:$C,$C740))))</f>
        <v/>
      </c>
      <c r="F740" s="5" t="str">
        <f aca="false">IF(C740=0,"",IF($A740="Bank",IF(INDEX(Bank!$D:$D,$C740)="","",INDEX(Bank!$D:$D,$C740)),IF(INDEX(GL!$D:$D,$C740)="","",INDEX(GL!$D:$D,$C740))))</f>
        <v/>
      </c>
      <c r="G740" s="19" t="str">
        <f aca="false">IF(C740=0,"",IF($A740="Bank",INDEX(Bank!$E:$E,$C740),INDEX(GL!$E:$E,$C740)))</f>
        <v/>
      </c>
      <c r="H740" s="5" t="str">
        <f aca="false">IF(C740=0,"",IF(A740="GL",IF(G740&gt;0,"Deposit in transit","Outstanding check / payment"),IF(G740&gt;0,"Bank credit not in GL","Bank debit not in GL")))</f>
        <v/>
      </c>
      <c r="I740" s="42" t="str">
        <f aca="false">IF(OR(C740=0,CFG_PeriodEnd=""),"",CFG_PeriodEnd-D740)</f>
        <v/>
      </c>
      <c r="J740" s="5" t="str">
        <f aca="false">IF(C740=0,"",IF($A740="Bank",IF(INDEX(Bank!$G:$G,$C740)="","",INDEX(Bank!$G:$G,$C740)),IF(INDEX(GL!$G:$G,$C740)="","",INDEX(GL!$G:$G,$C740))))</f>
        <v/>
      </c>
      <c r="K740" s="5" t="str">
        <f aca="false">IF(C740=0,"",IF($A740="Bank",IF(INDEX(Bank!$I:$I,$C740)="","",INDEX(Bank!$I:$I,$C740)),IF(INDEX(GL!$I:$I,$C740)="","",INDEX(GL!$I:$I,$C740))))</f>
        <v/>
      </c>
      <c r="L740" s="5" t="str">
        <f aca="false">IF(B740="","",IF(C740=0,"NOT FOUND",IF(IF($A740="Bank",INDEX(Bank!$F:$F,$C740),INDEX(GL!$F:$F,$C740))="Y","NOW RECONCILED: refresh","OK")))</f>
        <v/>
      </c>
    </row>
    <row r="741" customFormat="false" ht="15" hidden="false" customHeight="false" outlineLevel="0" collapsed="false">
      <c r="A741" s="41"/>
      <c r="B741" s="41"/>
      <c r="C741" s="5" t="n">
        <f aca="false">IF(B741="",0,IF(A741="Bank",IFERROR(MATCH(B741,Bank!$A:$A,0),0),IFERROR(MATCH(B741,GL!$A:$A,0),0)))</f>
        <v>0</v>
      </c>
      <c r="D741" s="32" t="str">
        <f aca="false">IF(C741=0,"",IF($A741="Bank",INDEX(Bank!$B:$B,$C741),INDEX(GL!$B:$B,$C741)))</f>
        <v/>
      </c>
      <c r="E741" s="5" t="str">
        <f aca="false">IF(C741=0,"",IF($A741="Bank",IF(INDEX(Bank!$C:$C,$C741)="","",INDEX(Bank!$C:$C,$C741)),IF(INDEX(GL!$C:$C,$C741)="","",INDEX(GL!$C:$C,$C741))))</f>
        <v/>
      </c>
      <c r="F741" s="5" t="str">
        <f aca="false">IF(C741=0,"",IF($A741="Bank",IF(INDEX(Bank!$D:$D,$C741)="","",INDEX(Bank!$D:$D,$C741)),IF(INDEX(GL!$D:$D,$C741)="","",INDEX(GL!$D:$D,$C741))))</f>
        <v/>
      </c>
      <c r="G741" s="19" t="str">
        <f aca="false">IF(C741=0,"",IF($A741="Bank",INDEX(Bank!$E:$E,$C741),INDEX(GL!$E:$E,$C741)))</f>
        <v/>
      </c>
      <c r="H741" s="5" t="str">
        <f aca="false">IF(C741=0,"",IF(A741="GL",IF(G741&gt;0,"Deposit in transit","Outstanding check / payment"),IF(G741&gt;0,"Bank credit not in GL","Bank debit not in GL")))</f>
        <v/>
      </c>
      <c r="I741" s="42" t="str">
        <f aca="false">IF(OR(C741=0,CFG_PeriodEnd=""),"",CFG_PeriodEnd-D741)</f>
        <v/>
      </c>
      <c r="J741" s="5" t="str">
        <f aca="false">IF(C741=0,"",IF($A741="Bank",IF(INDEX(Bank!$G:$G,$C741)="","",INDEX(Bank!$G:$G,$C741)),IF(INDEX(GL!$G:$G,$C741)="","",INDEX(GL!$G:$G,$C741))))</f>
        <v/>
      </c>
      <c r="K741" s="5" t="str">
        <f aca="false">IF(C741=0,"",IF($A741="Bank",IF(INDEX(Bank!$I:$I,$C741)="","",INDEX(Bank!$I:$I,$C741)),IF(INDEX(GL!$I:$I,$C741)="","",INDEX(GL!$I:$I,$C741))))</f>
        <v/>
      </c>
      <c r="L741" s="5" t="str">
        <f aca="false">IF(B741="","",IF(C741=0,"NOT FOUND",IF(IF($A741="Bank",INDEX(Bank!$F:$F,$C741),INDEX(GL!$F:$F,$C741))="Y","NOW RECONCILED: refresh","OK")))</f>
        <v/>
      </c>
    </row>
    <row r="742" customFormat="false" ht="15" hidden="false" customHeight="false" outlineLevel="0" collapsed="false">
      <c r="A742" s="41"/>
      <c r="B742" s="41"/>
      <c r="C742" s="5" t="n">
        <f aca="false">IF(B742="",0,IF(A742="Bank",IFERROR(MATCH(B742,Bank!$A:$A,0),0),IFERROR(MATCH(B742,GL!$A:$A,0),0)))</f>
        <v>0</v>
      </c>
      <c r="D742" s="32" t="str">
        <f aca="false">IF(C742=0,"",IF($A742="Bank",INDEX(Bank!$B:$B,$C742),INDEX(GL!$B:$B,$C742)))</f>
        <v/>
      </c>
      <c r="E742" s="5" t="str">
        <f aca="false">IF(C742=0,"",IF($A742="Bank",IF(INDEX(Bank!$C:$C,$C742)="","",INDEX(Bank!$C:$C,$C742)),IF(INDEX(GL!$C:$C,$C742)="","",INDEX(GL!$C:$C,$C742))))</f>
        <v/>
      </c>
      <c r="F742" s="5" t="str">
        <f aca="false">IF(C742=0,"",IF($A742="Bank",IF(INDEX(Bank!$D:$D,$C742)="","",INDEX(Bank!$D:$D,$C742)),IF(INDEX(GL!$D:$D,$C742)="","",INDEX(GL!$D:$D,$C742))))</f>
        <v/>
      </c>
      <c r="G742" s="19" t="str">
        <f aca="false">IF(C742=0,"",IF($A742="Bank",INDEX(Bank!$E:$E,$C742),INDEX(GL!$E:$E,$C742)))</f>
        <v/>
      </c>
      <c r="H742" s="5" t="str">
        <f aca="false">IF(C742=0,"",IF(A742="GL",IF(G742&gt;0,"Deposit in transit","Outstanding check / payment"),IF(G742&gt;0,"Bank credit not in GL","Bank debit not in GL")))</f>
        <v/>
      </c>
      <c r="I742" s="42" t="str">
        <f aca="false">IF(OR(C742=0,CFG_PeriodEnd=""),"",CFG_PeriodEnd-D742)</f>
        <v/>
      </c>
      <c r="J742" s="5" t="str">
        <f aca="false">IF(C742=0,"",IF($A742="Bank",IF(INDEX(Bank!$G:$G,$C742)="","",INDEX(Bank!$G:$G,$C742)),IF(INDEX(GL!$G:$G,$C742)="","",INDEX(GL!$G:$G,$C742))))</f>
        <v/>
      </c>
      <c r="K742" s="5" t="str">
        <f aca="false">IF(C742=0,"",IF($A742="Bank",IF(INDEX(Bank!$I:$I,$C742)="","",INDEX(Bank!$I:$I,$C742)),IF(INDEX(GL!$I:$I,$C742)="","",INDEX(GL!$I:$I,$C742))))</f>
        <v/>
      </c>
      <c r="L742" s="5" t="str">
        <f aca="false">IF(B742="","",IF(C742=0,"NOT FOUND",IF(IF($A742="Bank",INDEX(Bank!$F:$F,$C742),INDEX(GL!$F:$F,$C742))="Y","NOW RECONCILED: refresh","OK")))</f>
        <v/>
      </c>
    </row>
    <row r="743" customFormat="false" ht="15" hidden="false" customHeight="false" outlineLevel="0" collapsed="false">
      <c r="A743" s="41"/>
      <c r="B743" s="41"/>
      <c r="C743" s="5" t="n">
        <f aca="false">IF(B743="",0,IF(A743="Bank",IFERROR(MATCH(B743,Bank!$A:$A,0),0),IFERROR(MATCH(B743,GL!$A:$A,0),0)))</f>
        <v>0</v>
      </c>
      <c r="D743" s="32" t="str">
        <f aca="false">IF(C743=0,"",IF($A743="Bank",INDEX(Bank!$B:$B,$C743),INDEX(GL!$B:$B,$C743)))</f>
        <v/>
      </c>
      <c r="E743" s="5" t="str">
        <f aca="false">IF(C743=0,"",IF($A743="Bank",IF(INDEX(Bank!$C:$C,$C743)="","",INDEX(Bank!$C:$C,$C743)),IF(INDEX(GL!$C:$C,$C743)="","",INDEX(GL!$C:$C,$C743))))</f>
        <v/>
      </c>
      <c r="F743" s="5" t="str">
        <f aca="false">IF(C743=0,"",IF($A743="Bank",IF(INDEX(Bank!$D:$D,$C743)="","",INDEX(Bank!$D:$D,$C743)),IF(INDEX(GL!$D:$D,$C743)="","",INDEX(GL!$D:$D,$C743))))</f>
        <v/>
      </c>
      <c r="G743" s="19" t="str">
        <f aca="false">IF(C743=0,"",IF($A743="Bank",INDEX(Bank!$E:$E,$C743),INDEX(GL!$E:$E,$C743)))</f>
        <v/>
      </c>
      <c r="H743" s="5" t="str">
        <f aca="false">IF(C743=0,"",IF(A743="GL",IF(G743&gt;0,"Deposit in transit","Outstanding check / payment"),IF(G743&gt;0,"Bank credit not in GL","Bank debit not in GL")))</f>
        <v/>
      </c>
      <c r="I743" s="42" t="str">
        <f aca="false">IF(OR(C743=0,CFG_PeriodEnd=""),"",CFG_PeriodEnd-D743)</f>
        <v/>
      </c>
      <c r="J743" s="5" t="str">
        <f aca="false">IF(C743=0,"",IF($A743="Bank",IF(INDEX(Bank!$G:$G,$C743)="","",INDEX(Bank!$G:$G,$C743)),IF(INDEX(GL!$G:$G,$C743)="","",INDEX(GL!$G:$G,$C743))))</f>
        <v/>
      </c>
      <c r="K743" s="5" t="str">
        <f aca="false">IF(C743=0,"",IF($A743="Bank",IF(INDEX(Bank!$I:$I,$C743)="","",INDEX(Bank!$I:$I,$C743)),IF(INDEX(GL!$I:$I,$C743)="","",INDEX(GL!$I:$I,$C743))))</f>
        <v/>
      </c>
      <c r="L743" s="5" t="str">
        <f aca="false">IF(B743="","",IF(C743=0,"NOT FOUND",IF(IF($A743="Bank",INDEX(Bank!$F:$F,$C743),INDEX(GL!$F:$F,$C743))="Y","NOW RECONCILED: refresh","OK")))</f>
        <v/>
      </c>
    </row>
    <row r="744" customFormat="false" ht="15" hidden="false" customHeight="false" outlineLevel="0" collapsed="false">
      <c r="A744" s="41"/>
      <c r="B744" s="41"/>
      <c r="C744" s="5" t="n">
        <f aca="false">IF(B744="",0,IF(A744="Bank",IFERROR(MATCH(B744,Bank!$A:$A,0),0),IFERROR(MATCH(B744,GL!$A:$A,0),0)))</f>
        <v>0</v>
      </c>
      <c r="D744" s="32" t="str">
        <f aca="false">IF(C744=0,"",IF($A744="Bank",INDEX(Bank!$B:$B,$C744),INDEX(GL!$B:$B,$C744)))</f>
        <v/>
      </c>
      <c r="E744" s="5" t="str">
        <f aca="false">IF(C744=0,"",IF($A744="Bank",IF(INDEX(Bank!$C:$C,$C744)="","",INDEX(Bank!$C:$C,$C744)),IF(INDEX(GL!$C:$C,$C744)="","",INDEX(GL!$C:$C,$C744))))</f>
        <v/>
      </c>
      <c r="F744" s="5" t="str">
        <f aca="false">IF(C744=0,"",IF($A744="Bank",IF(INDEX(Bank!$D:$D,$C744)="","",INDEX(Bank!$D:$D,$C744)),IF(INDEX(GL!$D:$D,$C744)="","",INDEX(GL!$D:$D,$C744))))</f>
        <v/>
      </c>
      <c r="G744" s="19" t="str">
        <f aca="false">IF(C744=0,"",IF($A744="Bank",INDEX(Bank!$E:$E,$C744),INDEX(GL!$E:$E,$C744)))</f>
        <v/>
      </c>
      <c r="H744" s="5" t="str">
        <f aca="false">IF(C744=0,"",IF(A744="GL",IF(G744&gt;0,"Deposit in transit","Outstanding check / payment"),IF(G744&gt;0,"Bank credit not in GL","Bank debit not in GL")))</f>
        <v/>
      </c>
      <c r="I744" s="42" t="str">
        <f aca="false">IF(OR(C744=0,CFG_PeriodEnd=""),"",CFG_PeriodEnd-D744)</f>
        <v/>
      </c>
      <c r="J744" s="5" t="str">
        <f aca="false">IF(C744=0,"",IF($A744="Bank",IF(INDEX(Bank!$G:$G,$C744)="","",INDEX(Bank!$G:$G,$C744)),IF(INDEX(GL!$G:$G,$C744)="","",INDEX(GL!$G:$G,$C744))))</f>
        <v/>
      </c>
      <c r="K744" s="5" t="str">
        <f aca="false">IF(C744=0,"",IF($A744="Bank",IF(INDEX(Bank!$I:$I,$C744)="","",INDEX(Bank!$I:$I,$C744)),IF(INDEX(GL!$I:$I,$C744)="","",INDEX(GL!$I:$I,$C744))))</f>
        <v/>
      </c>
      <c r="L744" s="5" t="str">
        <f aca="false">IF(B744="","",IF(C744=0,"NOT FOUND",IF(IF($A744="Bank",INDEX(Bank!$F:$F,$C744),INDEX(GL!$F:$F,$C744))="Y","NOW RECONCILED: refresh","OK")))</f>
        <v/>
      </c>
    </row>
    <row r="745" customFormat="false" ht="15" hidden="false" customHeight="false" outlineLevel="0" collapsed="false">
      <c r="A745" s="41"/>
      <c r="B745" s="41"/>
      <c r="C745" s="5" t="n">
        <f aca="false">IF(B745="",0,IF(A745="Bank",IFERROR(MATCH(B745,Bank!$A:$A,0),0),IFERROR(MATCH(B745,GL!$A:$A,0),0)))</f>
        <v>0</v>
      </c>
      <c r="D745" s="32" t="str">
        <f aca="false">IF(C745=0,"",IF($A745="Bank",INDEX(Bank!$B:$B,$C745),INDEX(GL!$B:$B,$C745)))</f>
        <v/>
      </c>
      <c r="E745" s="5" t="str">
        <f aca="false">IF(C745=0,"",IF($A745="Bank",IF(INDEX(Bank!$C:$C,$C745)="","",INDEX(Bank!$C:$C,$C745)),IF(INDEX(GL!$C:$C,$C745)="","",INDEX(GL!$C:$C,$C745))))</f>
        <v/>
      </c>
      <c r="F745" s="5" t="str">
        <f aca="false">IF(C745=0,"",IF($A745="Bank",IF(INDEX(Bank!$D:$D,$C745)="","",INDEX(Bank!$D:$D,$C745)),IF(INDEX(GL!$D:$D,$C745)="","",INDEX(GL!$D:$D,$C745))))</f>
        <v/>
      </c>
      <c r="G745" s="19" t="str">
        <f aca="false">IF(C745=0,"",IF($A745="Bank",INDEX(Bank!$E:$E,$C745),INDEX(GL!$E:$E,$C745)))</f>
        <v/>
      </c>
      <c r="H745" s="5" t="str">
        <f aca="false">IF(C745=0,"",IF(A745="GL",IF(G745&gt;0,"Deposit in transit","Outstanding check / payment"),IF(G745&gt;0,"Bank credit not in GL","Bank debit not in GL")))</f>
        <v/>
      </c>
      <c r="I745" s="42" t="str">
        <f aca="false">IF(OR(C745=0,CFG_PeriodEnd=""),"",CFG_PeriodEnd-D745)</f>
        <v/>
      </c>
      <c r="J745" s="5" t="str">
        <f aca="false">IF(C745=0,"",IF($A745="Bank",IF(INDEX(Bank!$G:$G,$C745)="","",INDEX(Bank!$G:$G,$C745)),IF(INDEX(GL!$G:$G,$C745)="","",INDEX(GL!$G:$G,$C745))))</f>
        <v/>
      </c>
      <c r="K745" s="5" t="str">
        <f aca="false">IF(C745=0,"",IF($A745="Bank",IF(INDEX(Bank!$I:$I,$C745)="","",INDEX(Bank!$I:$I,$C745)),IF(INDEX(GL!$I:$I,$C745)="","",INDEX(GL!$I:$I,$C745))))</f>
        <v/>
      </c>
      <c r="L745" s="5" t="str">
        <f aca="false">IF(B745="","",IF(C745=0,"NOT FOUND",IF(IF($A745="Bank",INDEX(Bank!$F:$F,$C745),INDEX(GL!$F:$F,$C745))="Y","NOW RECONCILED: refresh","OK")))</f>
        <v/>
      </c>
    </row>
    <row r="746" customFormat="false" ht="15" hidden="false" customHeight="false" outlineLevel="0" collapsed="false">
      <c r="A746" s="41"/>
      <c r="B746" s="41"/>
      <c r="C746" s="5" t="n">
        <f aca="false">IF(B746="",0,IF(A746="Bank",IFERROR(MATCH(B746,Bank!$A:$A,0),0),IFERROR(MATCH(B746,GL!$A:$A,0),0)))</f>
        <v>0</v>
      </c>
      <c r="D746" s="32" t="str">
        <f aca="false">IF(C746=0,"",IF($A746="Bank",INDEX(Bank!$B:$B,$C746),INDEX(GL!$B:$B,$C746)))</f>
        <v/>
      </c>
      <c r="E746" s="5" t="str">
        <f aca="false">IF(C746=0,"",IF($A746="Bank",IF(INDEX(Bank!$C:$C,$C746)="","",INDEX(Bank!$C:$C,$C746)),IF(INDEX(GL!$C:$C,$C746)="","",INDEX(GL!$C:$C,$C746))))</f>
        <v/>
      </c>
      <c r="F746" s="5" t="str">
        <f aca="false">IF(C746=0,"",IF($A746="Bank",IF(INDEX(Bank!$D:$D,$C746)="","",INDEX(Bank!$D:$D,$C746)),IF(INDEX(GL!$D:$D,$C746)="","",INDEX(GL!$D:$D,$C746))))</f>
        <v/>
      </c>
      <c r="G746" s="19" t="str">
        <f aca="false">IF(C746=0,"",IF($A746="Bank",INDEX(Bank!$E:$E,$C746),INDEX(GL!$E:$E,$C746)))</f>
        <v/>
      </c>
      <c r="H746" s="5" t="str">
        <f aca="false">IF(C746=0,"",IF(A746="GL",IF(G746&gt;0,"Deposit in transit","Outstanding check / payment"),IF(G746&gt;0,"Bank credit not in GL","Bank debit not in GL")))</f>
        <v/>
      </c>
      <c r="I746" s="42" t="str">
        <f aca="false">IF(OR(C746=0,CFG_PeriodEnd=""),"",CFG_PeriodEnd-D746)</f>
        <v/>
      </c>
      <c r="J746" s="5" t="str">
        <f aca="false">IF(C746=0,"",IF($A746="Bank",IF(INDEX(Bank!$G:$G,$C746)="","",INDEX(Bank!$G:$G,$C746)),IF(INDEX(GL!$G:$G,$C746)="","",INDEX(GL!$G:$G,$C746))))</f>
        <v/>
      </c>
      <c r="K746" s="5" t="str">
        <f aca="false">IF(C746=0,"",IF($A746="Bank",IF(INDEX(Bank!$I:$I,$C746)="","",INDEX(Bank!$I:$I,$C746)),IF(INDEX(GL!$I:$I,$C746)="","",INDEX(GL!$I:$I,$C746))))</f>
        <v/>
      </c>
      <c r="L746" s="5" t="str">
        <f aca="false">IF(B746="","",IF(C746=0,"NOT FOUND",IF(IF($A746="Bank",INDEX(Bank!$F:$F,$C746),INDEX(GL!$F:$F,$C746))="Y","NOW RECONCILED: refresh","OK")))</f>
        <v/>
      </c>
    </row>
    <row r="747" customFormat="false" ht="15" hidden="false" customHeight="false" outlineLevel="0" collapsed="false">
      <c r="A747" s="41"/>
      <c r="B747" s="41"/>
      <c r="C747" s="5" t="n">
        <f aca="false">IF(B747="",0,IF(A747="Bank",IFERROR(MATCH(B747,Bank!$A:$A,0),0),IFERROR(MATCH(B747,GL!$A:$A,0),0)))</f>
        <v>0</v>
      </c>
      <c r="D747" s="32" t="str">
        <f aca="false">IF(C747=0,"",IF($A747="Bank",INDEX(Bank!$B:$B,$C747),INDEX(GL!$B:$B,$C747)))</f>
        <v/>
      </c>
      <c r="E747" s="5" t="str">
        <f aca="false">IF(C747=0,"",IF($A747="Bank",IF(INDEX(Bank!$C:$C,$C747)="","",INDEX(Bank!$C:$C,$C747)),IF(INDEX(GL!$C:$C,$C747)="","",INDEX(GL!$C:$C,$C747))))</f>
        <v/>
      </c>
      <c r="F747" s="5" t="str">
        <f aca="false">IF(C747=0,"",IF($A747="Bank",IF(INDEX(Bank!$D:$D,$C747)="","",INDEX(Bank!$D:$D,$C747)),IF(INDEX(GL!$D:$D,$C747)="","",INDEX(GL!$D:$D,$C747))))</f>
        <v/>
      </c>
      <c r="G747" s="19" t="str">
        <f aca="false">IF(C747=0,"",IF($A747="Bank",INDEX(Bank!$E:$E,$C747),INDEX(GL!$E:$E,$C747)))</f>
        <v/>
      </c>
      <c r="H747" s="5" t="str">
        <f aca="false">IF(C747=0,"",IF(A747="GL",IF(G747&gt;0,"Deposit in transit","Outstanding check / payment"),IF(G747&gt;0,"Bank credit not in GL","Bank debit not in GL")))</f>
        <v/>
      </c>
      <c r="I747" s="42" t="str">
        <f aca="false">IF(OR(C747=0,CFG_PeriodEnd=""),"",CFG_PeriodEnd-D747)</f>
        <v/>
      </c>
      <c r="J747" s="5" t="str">
        <f aca="false">IF(C747=0,"",IF($A747="Bank",IF(INDEX(Bank!$G:$G,$C747)="","",INDEX(Bank!$G:$G,$C747)),IF(INDEX(GL!$G:$G,$C747)="","",INDEX(GL!$G:$G,$C747))))</f>
        <v/>
      </c>
      <c r="K747" s="5" t="str">
        <f aca="false">IF(C747=0,"",IF($A747="Bank",IF(INDEX(Bank!$I:$I,$C747)="","",INDEX(Bank!$I:$I,$C747)),IF(INDEX(GL!$I:$I,$C747)="","",INDEX(GL!$I:$I,$C747))))</f>
        <v/>
      </c>
      <c r="L747" s="5" t="str">
        <f aca="false">IF(B747="","",IF(C747=0,"NOT FOUND",IF(IF($A747="Bank",INDEX(Bank!$F:$F,$C747),INDEX(GL!$F:$F,$C747))="Y","NOW RECONCILED: refresh","OK")))</f>
        <v/>
      </c>
    </row>
    <row r="748" customFormat="false" ht="15" hidden="false" customHeight="false" outlineLevel="0" collapsed="false">
      <c r="A748" s="41"/>
      <c r="B748" s="41"/>
      <c r="C748" s="5" t="n">
        <f aca="false">IF(B748="",0,IF(A748="Bank",IFERROR(MATCH(B748,Bank!$A:$A,0),0),IFERROR(MATCH(B748,GL!$A:$A,0),0)))</f>
        <v>0</v>
      </c>
      <c r="D748" s="32" t="str">
        <f aca="false">IF(C748=0,"",IF($A748="Bank",INDEX(Bank!$B:$B,$C748),INDEX(GL!$B:$B,$C748)))</f>
        <v/>
      </c>
      <c r="E748" s="5" t="str">
        <f aca="false">IF(C748=0,"",IF($A748="Bank",IF(INDEX(Bank!$C:$C,$C748)="","",INDEX(Bank!$C:$C,$C748)),IF(INDEX(GL!$C:$C,$C748)="","",INDEX(GL!$C:$C,$C748))))</f>
        <v/>
      </c>
      <c r="F748" s="5" t="str">
        <f aca="false">IF(C748=0,"",IF($A748="Bank",IF(INDEX(Bank!$D:$D,$C748)="","",INDEX(Bank!$D:$D,$C748)),IF(INDEX(GL!$D:$D,$C748)="","",INDEX(GL!$D:$D,$C748))))</f>
        <v/>
      </c>
      <c r="G748" s="19" t="str">
        <f aca="false">IF(C748=0,"",IF($A748="Bank",INDEX(Bank!$E:$E,$C748),INDEX(GL!$E:$E,$C748)))</f>
        <v/>
      </c>
      <c r="H748" s="5" t="str">
        <f aca="false">IF(C748=0,"",IF(A748="GL",IF(G748&gt;0,"Deposit in transit","Outstanding check / payment"),IF(G748&gt;0,"Bank credit not in GL","Bank debit not in GL")))</f>
        <v/>
      </c>
      <c r="I748" s="42" t="str">
        <f aca="false">IF(OR(C748=0,CFG_PeriodEnd=""),"",CFG_PeriodEnd-D748)</f>
        <v/>
      </c>
      <c r="J748" s="5" t="str">
        <f aca="false">IF(C748=0,"",IF($A748="Bank",IF(INDEX(Bank!$G:$G,$C748)="","",INDEX(Bank!$G:$G,$C748)),IF(INDEX(GL!$G:$G,$C748)="","",INDEX(GL!$G:$G,$C748))))</f>
        <v/>
      </c>
      <c r="K748" s="5" t="str">
        <f aca="false">IF(C748=0,"",IF($A748="Bank",IF(INDEX(Bank!$I:$I,$C748)="","",INDEX(Bank!$I:$I,$C748)),IF(INDEX(GL!$I:$I,$C748)="","",INDEX(GL!$I:$I,$C748))))</f>
        <v/>
      </c>
      <c r="L748" s="5" t="str">
        <f aca="false">IF(B748="","",IF(C748=0,"NOT FOUND",IF(IF($A748="Bank",INDEX(Bank!$F:$F,$C748),INDEX(GL!$F:$F,$C748))="Y","NOW RECONCILED: refresh","OK")))</f>
        <v/>
      </c>
    </row>
    <row r="749" customFormat="false" ht="15" hidden="false" customHeight="false" outlineLevel="0" collapsed="false">
      <c r="A749" s="41"/>
      <c r="B749" s="41"/>
      <c r="C749" s="5" t="n">
        <f aca="false">IF(B749="",0,IF(A749="Bank",IFERROR(MATCH(B749,Bank!$A:$A,0),0),IFERROR(MATCH(B749,GL!$A:$A,0),0)))</f>
        <v>0</v>
      </c>
      <c r="D749" s="32" t="str">
        <f aca="false">IF(C749=0,"",IF($A749="Bank",INDEX(Bank!$B:$B,$C749),INDEX(GL!$B:$B,$C749)))</f>
        <v/>
      </c>
      <c r="E749" s="5" t="str">
        <f aca="false">IF(C749=0,"",IF($A749="Bank",IF(INDEX(Bank!$C:$C,$C749)="","",INDEX(Bank!$C:$C,$C749)),IF(INDEX(GL!$C:$C,$C749)="","",INDEX(GL!$C:$C,$C749))))</f>
        <v/>
      </c>
      <c r="F749" s="5" t="str">
        <f aca="false">IF(C749=0,"",IF($A749="Bank",IF(INDEX(Bank!$D:$D,$C749)="","",INDEX(Bank!$D:$D,$C749)),IF(INDEX(GL!$D:$D,$C749)="","",INDEX(GL!$D:$D,$C749))))</f>
        <v/>
      </c>
      <c r="G749" s="19" t="str">
        <f aca="false">IF(C749=0,"",IF($A749="Bank",INDEX(Bank!$E:$E,$C749),INDEX(GL!$E:$E,$C749)))</f>
        <v/>
      </c>
      <c r="H749" s="5" t="str">
        <f aca="false">IF(C749=0,"",IF(A749="GL",IF(G749&gt;0,"Deposit in transit","Outstanding check / payment"),IF(G749&gt;0,"Bank credit not in GL","Bank debit not in GL")))</f>
        <v/>
      </c>
      <c r="I749" s="42" t="str">
        <f aca="false">IF(OR(C749=0,CFG_PeriodEnd=""),"",CFG_PeriodEnd-D749)</f>
        <v/>
      </c>
      <c r="J749" s="5" t="str">
        <f aca="false">IF(C749=0,"",IF($A749="Bank",IF(INDEX(Bank!$G:$G,$C749)="","",INDEX(Bank!$G:$G,$C749)),IF(INDEX(GL!$G:$G,$C749)="","",INDEX(GL!$G:$G,$C749))))</f>
        <v/>
      </c>
      <c r="K749" s="5" t="str">
        <f aca="false">IF(C749=0,"",IF($A749="Bank",IF(INDEX(Bank!$I:$I,$C749)="","",INDEX(Bank!$I:$I,$C749)),IF(INDEX(GL!$I:$I,$C749)="","",INDEX(GL!$I:$I,$C749))))</f>
        <v/>
      </c>
      <c r="L749" s="5" t="str">
        <f aca="false">IF(B749="","",IF(C749=0,"NOT FOUND",IF(IF($A749="Bank",INDEX(Bank!$F:$F,$C749),INDEX(GL!$F:$F,$C749))="Y","NOW RECONCILED: refresh","OK")))</f>
        <v/>
      </c>
    </row>
    <row r="750" customFormat="false" ht="15" hidden="false" customHeight="false" outlineLevel="0" collapsed="false">
      <c r="A750" s="41"/>
      <c r="B750" s="41"/>
      <c r="C750" s="5" t="n">
        <f aca="false">IF(B750="",0,IF(A750="Bank",IFERROR(MATCH(B750,Bank!$A:$A,0),0),IFERROR(MATCH(B750,GL!$A:$A,0),0)))</f>
        <v>0</v>
      </c>
      <c r="D750" s="32" t="str">
        <f aca="false">IF(C750=0,"",IF($A750="Bank",INDEX(Bank!$B:$B,$C750),INDEX(GL!$B:$B,$C750)))</f>
        <v/>
      </c>
      <c r="E750" s="5" t="str">
        <f aca="false">IF(C750=0,"",IF($A750="Bank",IF(INDEX(Bank!$C:$C,$C750)="","",INDEX(Bank!$C:$C,$C750)),IF(INDEX(GL!$C:$C,$C750)="","",INDEX(GL!$C:$C,$C750))))</f>
        <v/>
      </c>
      <c r="F750" s="5" t="str">
        <f aca="false">IF(C750=0,"",IF($A750="Bank",IF(INDEX(Bank!$D:$D,$C750)="","",INDEX(Bank!$D:$D,$C750)),IF(INDEX(GL!$D:$D,$C750)="","",INDEX(GL!$D:$D,$C750))))</f>
        <v/>
      </c>
      <c r="G750" s="19" t="str">
        <f aca="false">IF(C750=0,"",IF($A750="Bank",INDEX(Bank!$E:$E,$C750),INDEX(GL!$E:$E,$C750)))</f>
        <v/>
      </c>
      <c r="H750" s="5" t="str">
        <f aca="false">IF(C750=0,"",IF(A750="GL",IF(G750&gt;0,"Deposit in transit","Outstanding check / payment"),IF(G750&gt;0,"Bank credit not in GL","Bank debit not in GL")))</f>
        <v/>
      </c>
      <c r="I750" s="42" t="str">
        <f aca="false">IF(OR(C750=0,CFG_PeriodEnd=""),"",CFG_PeriodEnd-D750)</f>
        <v/>
      </c>
      <c r="J750" s="5" t="str">
        <f aca="false">IF(C750=0,"",IF($A750="Bank",IF(INDEX(Bank!$G:$G,$C750)="","",INDEX(Bank!$G:$G,$C750)),IF(INDEX(GL!$G:$G,$C750)="","",INDEX(GL!$G:$G,$C750))))</f>
        <v/>
      </c>
      <c r="K750" s="5" t="str">
        <f aca="false">IF(C750=0,"",IF($A750="Bank",IF(INDEX(Bank!$I:$I,$C750)="","",INDEX(Bank!$I:$I,$C750)),IF(INDEX(GL!$I:$I,$C750)="","",INDEX(GL!$I:$I,$C750))))</f>
        <v/>
      </c>
      <c r="L750" s="5" t="str">
        <f aca="false">IF(B750="","",IF(C750=0,"NOT FOUND",IF(IF($A750="Bank",INDEX(Bank!$F:$F,$C750),INDEX(GL!$F:$F,$C750))="Y","NOW RECONCILED: refresh","OK")))</f>
        <v/>
      </c>
    </row>
    <row r="751" customFormat="false" ht="15" hidden="false" customHeight="false" outlineLevel="0" collapsed="false">
      <c r="A751" s="41"/>
      <c r="B751" s="41"/>
      <c r="C751" s="5" t="n">
        <f aca="false">IF(B751="",0,IF(A751="Bank",IFERROR(MATCH(B751,Bank!$A:$A,0),0),IFERROR(MATCH(B751,GL!$A:$A,0),0)))</f>
        <v>0</v>
      </c>
      <c r="D751" s="32" t="str">
        <f aca="false">IF(C751=0,"",IF($A751="Bank",INDEX(Bank!$B:$B,$C751),INDEX(GL!$B:$B,$C751)))</f>
        <v/>
      </c>
      <c r="E751" s="5" t="str">
        <f aca="false">IF(C751=0,"",IF($A751="Bank",IF(INDEX(Bank!$C:$C,$C751)="","",INDEX(Bank!$C:$C,$C751)),IF(INDEX(GL!$C:$C,$C751)="","",INDEX(GL!$C:$C,$C751))))</f>
        <v/>
      </c>
      <c r="F751" s="5" t="str">
        <f aca="false">IF(C751=0,"",IF($A751="Bank",IF(INDEX(Bank!$D:$D,$C751)="","",INDEX(Bank!$D:$D,$C751)),IF(INDEX(GL!$D:$D,$C751)="","",INDEX(GL!$D:$D,$C751))))</f>
        <v/>
      </c>
      <c r="G751" s="19" t="str">
        <f aca="false">IF(C751=0,"",IF($A751="Bank",INDEX(Bank!$E:$E,$C751),INDEX(GL!$E:$E,$C751)))</f>
        <v/>
      </c>
      <c r="H751" s="5" t="str">
        <f aca="false">IF(C751=0,"",IF(A751="GL",IF(G751&gt;0,"Deposit in transit","Outstanding check / payment"),IF(G751&gt;0,"Bank credit not in GL","Bank debit not in GL")))</f>
        <v/>
      </c>
      <c r="I751" s="42" t="str">
        <f aca="false">IF(OR(C751=0,CFG_PeriodEnd=""),"",CFG_PeriodEnd-D751)</f>
        <v/>
      </c>
      <c r="J751" s="5" t="str">
        <f aca="false">IF(C751=0,"",IF($A751="Bank",IF(INDEX(Bank!$G:$G,$C751)="","",INDEX(Bank!$G:$G,$C751)),IF(INDEX(GL!$G:$G,$C751)="","",INDEX(GL!$G:$G,$C751))))</f>
        <v/>
      </c>
      <c r="K751" s="5" t="str">
        <f aca="false">IF(C751=0,"",IF($A751="Bank",IF(INDEX(Bank!$I:$I,$C751)="","",INDEX(Bank!$I:$I,$C751)),IF(INDEX(GL!$I:$I,$C751)="","",INDEX(GL!$I:$I,$C751))))</f>
        <v/>
      </c>
      <c r="L751" s="5" t="str">
        <f aca="false">IF(B751="","",IF(C751=0,"NOT FOUND",IF(IF($A751="Bank",INDEX(Bank!$F:$F,$C751),INDEX(GL!$F:$F,$C751))="Y","NOW RECONCILED: refresh","OK")))</f>
        <v/>
      </c>
    </row>
    <row r="752" customFormat="false" ht="15" hidden="false" customHeight="false" outlineLevel="0" collapsed="false">
      <c r="A752" s="41"/>
      <c r="B752" s="41"/>
      <c r="C752" s="5" t="n">
        <f aca="false">IF(B752="",0,IF(A752="Bank",IFERROR(MATCH(B752,Bank!$A:$A,0),0),IFERROR(MATCH(B752,GL!$A:$A,0),0)))</f>
        <v>0</v>
      </c>
      <c r="D752" s="32" t="str">
        <f aca="false">IF(C752=0,"",IF($A752="Bank",INDEX(Bank!$B:$B,$C752),INDEX(GL!$B:$B,$C752)))</f>
        <v/>
      </c>
      <c r="E752" s="5" t="str">
        <f aca="false">IF(C752=0,"",IF($A752="Bank",IF(INDEX(Bank!$C:$C,$C752)="","",INDEX(Bank!$C:$C,$C752)),IF(INDEX(GL!$C:$C,$C752)="","",INDEX(GL!$C:$C,$C752))))</f>
        <v/>
      </c>
      <c r="F752" s="5" t="str">
        <f aca="false">IF(C752=0,"",IF($A752="Bank",IF(INDEX(Bank!$D:$D,$C752)="","",INDEX(Bank!$D:$D,$C752)),IF(INDEX(GL!$D:$D,$C752)="","",INDEX(GL!$D:$D,$C752))))</f>
        <v/>
      </c>
      <c r="G752" s="19" t="str">
        <f aca="false">IF(C752=0,"",IF($A752="Bank",INDEX(Bank!$E:$E,$C752),INDEX(GL!$E:$E,$C752)))</f>
        <v/>
      </c>
      <c r="H752" s="5" t="str">
        <f aca="false">IF(C752=0,"",IF(A752="GL",IF(G752&gt;0,"Deposit in transit","Outstanding check / payment"),IF(G752&gt;0,"Bank credit not in GL","Bank debit not in GL")))</f>
        <v/>
      </c>
      <c r="I752" s="42" t="str">
        <f aca="false">IF(OR(C752=0,CFG_PeriodEnd=""),"",CFG_PeriodEnd-D752)</f>
        <v/>
      </c>
      <c r="J752" s="5" t="str">
        <f aca="false">IF(C752=0,"",IF($A752="Bank",IF(INDEX(Bank!$G:$G,$C752)="","",INDEX(Bank!$G:$G,$C752)),IF(INDEX(GL!$G:$G,$C752)="","",INDEX(GL!$G:$G,$C752))))</f>
        <v/>
      </c>
      <c r="K752" s="5" t="str">
        <f aca="false">IF(C752=0,"",IF($A752="Bank",IF(INDEX(Bank!$I:$I,$C752)="","",INDEX(Bank!$I:$I,$C752)),IF(INDEX(GL!$I:$I,$C752)="","",INDEX(GL!$I:$I,$C752))))</f>
        <v/>
      </c>
      <c r="L752" s="5" t="str">
        <f aca="false">IF(B752="","",IF(C752=0,"NOT FOUND",IF(IF($A752="Bank",INDEX(Bank!$F:$F,$C752),INDEX(GL!$F:$F,$C752))="Y","NOW RECONCILED: refresh","OK")))</f>
        <v/>
      </c>
    </row>
    <row r="753" customFormat="false" ht="15" hidden="false" customHeight="false" outlineLevel="0" collapsed="false">
      <c r="A753" s="41"/>
      <c r="B753" s="41"/>
      <c r="C753" s="5" t="n">
        <f aca="false">IF(B753="",0,IF(A753="Bank",IFERROR(MATCH(B753,Bank!$A:$A,0),0),IFERROR(MATCH(B753,GL!$A:$A,0),0)))</f>
        <v>0</v>
      </c>
      <c r="D753" s="32" t="str">
        <f aca="false">IF(C753=0,"",IF($A753="Bank",INDEX(Bank!$B:$B,$C753),INDEX(GL!$B:$B,$C753)))</f>
        <v/>
      </c>
      <c r="E753" s="5" t="str">
        <f aca="false">IF(C753=0,"",IF($A753="Bank",IF(INDEX(Bank!$C:$C,$C753)="","",INDEX(Bank!$C:$C,$C753)),IF(INDEX(GL!$C:$C,$C753)="","",INDEX(GL!$C:$C,$C753))))</f>
        <v/>
      </c>
      <c r="F753" s="5" t="str">
        <f aca="false">IF(C753=0,"",IF($A753="Bank",IF(INDEX(Bank!$D:$D,$C753)="","",INDEX(Bank!$D:$D,$C753)),IF(INDEX(GL!$D:$D,$C753)="","",INDEX(GL!$D:$D,$C753))))</f>
        <v/>
      </c>
      <c r="G753" s="19" t="str">
        <f aca="false">IF(C753=0,"",IF($A753="Bank",INDEX(Bank!$E:$E,$C753),INDEX(GL!$E:$E,$C753)))</f>
        <v/>
      </c>
      <c r="H753" s="5" t="str">
        <f aca="false">IF(C753=0,"",IF(A753="GL",IF(G753&gt;0,"Deposit in transit","Outstanding check / payment"),IF(G753&gt;0,"Bank credit not in GL","Bank debit not in GL")))</f>
        <v/>
      </c>
      <c r="I753" s="42" t="str">
        <f aca="false">IF(OR(C753=0,CFG_PeriodEnd=""),"",CFG_PeriodEnd-D753)</f>
        <v/>
      </c>
      <c r="J753" s="5" t="str">
        <f aca="false">IF(C753=0,"",IF($A753="Bank",IF(INDEX(Bank!$G:$G,$C753)="","",INDEX(Bank!$G:$G,$C753)),IF(INDEX(GL!$G:$G,$C753)="","",INDEX(GL!$G:$G,$C753))))</f>
        <v/>
      </c>
      <c r="K753" s="5" t="str">
        <f aca="false">IF(C753=0,"",IF($A753="Bank",IF(INDEX(Bank!$I:$I,$C753)="","",INDEX(Bank!$I:$I,$C753)),IF(INDEX(GL!$I:$I,$C753)="","",INDEX(GL!$I:$I,$C753))))</f>
        <v/>
      </c>
      <c r="L753" s="5" t="str">
        <f aca="false">IF(B753="","",IF(C753=0,"NOT FOUND",IF(IF($A753="Bank",INDEX(Bank!$F:$F,$C753),INDEX(GL!$F:$F,$C753))="Y","NOW RECONCILED: refresh","OK")))</f>
        <v/>
      </c>
    </row>
    <row r="754" customFormat="false" ht="15" hidden="false" customHeight="false" outlineLevel="0" collapsed="false">
      <c r="A754" s="41"/>
      <c r="B754" s="41"/>
      <c r="C754" s="5" t="n">
        <f aca="false">IF(B754="",0,IF(A754="Bank",IFERROR(MATCH(B754,Bank!$A:$A,0),0),IFERROR(MATCH(B754,GL!$A:$A,0),0)))</f>
        <v>0</v>
      </c>
      <c r="D754" s="32" t="str">
        <f aca="false">IF(C754=0,"",IF($A754="Bank",INDEX(Bank!$B:$B,$C754),INDEX(GL!$B:$B,$C754)))</f>
        <v/>
      </c>
      <c r="E754" s="5" t="str">
        <f aca="false">IF(C754=0,"",IF($A754="Bank",IF(INDEX(Bank!$C:$C,$C754)="","",INDEX(Bank!$C:$C,$C754)),IF(INDEX(GL!$C:$C,$C754)="","",INDEX(GL!$C:$C,$C754))))</f>
        <v/>
      </c>
      <c r="F754" s="5" t="str">
        <f aca="false">IF(C754=0,"",IF($A754="Bank",IF(INDEX(Bank!$D:$D,$C754)="","",INDEX(Bank!$D:$D,$C754)),IF(INDEX(GL!$D:$D,$C754)="","",INDEX(GL!$D:$D,$C754))))</f>
        <v/>
      </c>
      <c r="G754" s="19" t="str">
        <f aca="false">IF(C754=0,"",IF($A754="Bank",INDEX(Bank!$E:$E,$C754),INDEX(GL!$E:$E,$C754)))</f>
        <v/>
      </c>
      <c r="H754" s="5" t="str">
        <f aca="false">IF(C754=0,"",IF(A754="GL",IF(G754&gt;0,"Deposit in transit","Outstanding check / payment"),IF(G754&gt;0,"Bank credit not in GL","Bank debit not in GL")))</f>
        <v/>
      </c>
      <c r="I754" s="42" t="str">
        <f aca="false">IF(OR(C754=0,CFG_PeriodEnd=""),"",CFG_PeriodEnd-D754)</f>
        <v/>
      </c>
      <c r="J754" s="5" t="str">
        <f aca="false">IF(C754=0,"",IF($A754="Bank",IF(INDEX(Bank!$G:$G,$C754)="","",INDEX(Bank!$G:$G,$C754)),IF(INDEX(GL!$G:$G,$C754)="","",INDEX(GL!$G:$G,$C754))))</f>
        <v/>
      </c>
      <c r="K754" s="5" t="str">
        <f aca="false">IF(C754=0,"",IF($A754="Bank",IF(INDEX(Bank!$I:$I,$C754)="","",INDEX(Bank!$I:$I,$C754)),IF(INDEX(GL!$I:$I,$C754)="","",INDEX(GL!$I:$I,$C754))))</f>
        <v/>
      </c>
      <c r="L754" s="5" t="str">
        <f aca="false">IF(B754="","",IF(C754=0,"NOT FOUND",IF(IF($A754="Bank",INDEX(Bank!$F:$F,$C754),INDEX(GL!$F:$F,$C754))="Y","NOW RECONCILED: refresh","OK")))</f>
        <v/>
      </c>
    </row>
    <row r="755" customFormat="false" ht="15" hidden="false" customHeight="false" outlineLevel="0" collapsed="false">
      <c r="A755" s="41"/>
      <c r="B755" s="41"/>
      <c r="C755" s="5" t="n">
        <f aca="false">IF(B755="",0,IF(A755="Bank",IFERROR(MATCH(B755,Bank!$A:$A,0),0),IFERROR(MATCH(B755,GL!$A:$A,0),0)))</f>
        <v>0</v>
      </c>
      <c r="D755" s="32" t="str">
        <f aca="false">IF(C755=0,"",IF($A755="Bank",INDEX(Bank!$B:$B,$C755),INDEX(GL!$B:$B,$C755)))</f>
        <v/>
      </c>
      <c r="E755" s="5" t="str">
        <f aca="false">IF(C755=0,"",IF($A755="Bank",IF(INDEX(Bank!$C:$C,$C755)="","",INDEX(Bank!$C:$C,$C755)),IF(INDEX(GL!$C:$C,$C755)="","",INDEX(GL!$C:$C,$C755))))</f>
        <v/>
      </c>
      <c r="F755" s="5" t="str">
        <f aca="false">IF(C755=0,"",IF($A755="Bank",IF(INDEX(Bank!$D:$D,$C755)="","",INDEX(Bank!$D:$D,$C755)),IF(INDEX(GL!$D:$D,$C755)="","",INDEX(GL!$D:$D,$C755))))</f>
        <v/>
      </c>
      <c r="G755" s="19" t="str">
        <f aca="false">IF(C755=0,"",IF($A755="Bank",INDEX(Bank!$E:$E,$C755),INDEX(GL!$E:$E,$C755)))</f>
        <v/>
      </c>
      <c r="H755" s="5" t="str">
        <f aca="false">IF(C755=0,"",IF(A755="GL",IF(G755&gt;0,"Deposit in transit","Outstanding check / payment"),IF(G755&gt;0,"Bank credit not in GL","Bank debit not in GL")))</f>
        <v/>
      </c>
      <c r="I755" s="42" t="str">
        <f aca="false">IF(OR(C755=0,CFG_PeriodEnd=""),"",CFG_PeriodEnd-D755)</f>
        <v/>
      </c>
      <c r="J755" s="5" t="str">
        <f aca="false">IF(C755=0,"",IF($A755="Bank",IF(INDEX(Bank!$G:$G,$C755)="","",INDEX(Bank!$G:$G,$C755)),IF(INDEX(GL!$G:$G,$C755)="","",INDEX(GL!$G:$G,$C755))))</f>
        <v/>
      </c>
      <c r="K755" s="5" t="str">
        <f aca="false">IF(C755=0,"",IF($A755="Bank",IF(INDEX(Bank!$I:$I,$C755)="","",INDEX(Bank!$I:$I,$C755)),IF(INDEX(GL!$I:$I,$C755)="","",INDEX(GL!$I:$I,$C755))))</f>
        <v/>
      </c>
      <c r="L755" s="5" t="str">
        <f aca="false">IF(B755="","",IF(C755=0,"NOT FOUND",IF(IF($A755="Bank",INDEX(Bank!$F:$F,$C755),INDEX(GL!$F:$F,$C755))="Y","NOW RECONCILED: refresh","OK")))</f>
        <v/>
      </c>
    </row>
    <row r="756" customFormat="false" ht="15" hidden="false" customHeight="false" outlineLevel="0" collapsed="false">
      <c r="A756" s="41"/>
      <c r="B756" s="41"/>
      <c r="C756" s="5" t="n">
        <f aca="false">IF(B756="",0,IF(A756="Bank",IFERROR(MATCH(B756,Bank!$A:$A,0),0),IFERROR(MATCH(B756,GL!$A:$A,0),0)))</f>
        <v>0</v>
      </c>
      <c r="D756" s="32" t="str">
        <f aca="false">IF(C756=0,"",IF($A756="Bank",INDEX(Bank!$B:$B,$C756),INDEX(GL!$B:$B,$C756)))</f>
        <v/>
      </c>
      <c r="E756" s="5" t="str">
        <f aca="false">IF(C756=0,"",IF($A756="Bank",IF(INDEX(Bank!$C:$C,$C756)="","",INDEX(Bank!$C:$C,$C756)),IF(INDEX(GL!$C:$C,$C756)="","",INDEX(GL!$C:$C,$C756))))</f>
        <v/>
      </c>
      <c r="F756" s="5" t="str">
        <f aca="false">IF(C756=0,"",IF($A756="Bank",IF(INDEX(Bank!$D:$D,$C756)="","",INDEX(Bank!$D:$D,$C756)),IF(INDEX(GL!$D:$D,$C756)="","",INDEX(GL!$D:$D,$C756))))</f>
        <v/>
      </c>
      <c r="G756" s="19" t="str">
        <f aca="false">IF(C756=0,"",IF($A756="Bank",INDEX(Bank!$E:$E,$C756),INDEX(GL!$E:$E,$C756)))</f>
        <v/>
      </c>
      <c r="H756" s="5" t="str">
        <f aca="false">IF(C756=0,"",IF(A756="GL",IF(G756&gt;0,"Deposit in transit","Outstanding check / payment"),IF(G756&gt;0,"Bank credit not in GL","Bank debit not in GL")))</f>
        <v/>
      </c>
      <c r="I756" s="42" t="str">
        <f aca="false">IF(OR(C756=0,CFG_PeriodEnd=""),"",CFG_PeriodEnd-D756)</f>
        <v/>
      </c>
      <c r="J756" s="5" t="str">
        <f aca="false">IF(C756=0,"",IF($A756="Bank",IF(INDEX(Bank!$G:$G,$C756)="","",INDEX(Bank!$G:$G,$C756)),IF(INDEX(GL!$G:$G,$C756)="","",INDEX(GL!$G:$G,$C756))))</f>
        <v/>
      </c>
      <c r="K756" s="5" t="str">
        <f aca="false">IF(C756=0,"",IF($A756="Bank",IF(INDEX(Bank!$I:$I,$C756)="","",INDEX(Bank!$I:$I,$C756)),IF(INDEX(GL!$I:$I,$C756)="","",INDEX(GL!$I:$I,$C756))))</f>
        <v/>
      </c>
      <c r="L756" s="5" t="str">
        <f aca="false">IF(B756="","",IF(C756=0,"NOT FOUND",IF(IF($A756="Bank",INDEX(Bank!$F:$F,$C756),INDEX(GL!$F:$F,$C756))="Y","NOW RECONCILED: refresh","OK")))</f>
        <v/>
      </c>
    </row>
    <row r="757" customFormat="false" ht="15" hidden="false" customHeight="false" outlineLevel="0" collapsed="false">
      <c r="A757" s="41"/>
      <c r="B757" s="41"/>
      <c r="C757" s="5" t="n">
        <f aca="false">IF(B757="",0,IF(A757="Bank",IFERROR(MATCH(B757,Bank!$A:$A,0),0),IFERROR(MATCH(B757,GL!$A:$A,0),0)))</f>
        <v>0</v>
      </c>
      <c r="D757" s="32" t="str">
        <f aca="false">IF(C757=0,"",IF($A757="Bank",INDEX(Bank!$B:$B,$C757),INDEX(GL!$B:$B,$C757)))</f>
        <v/>
      </c>
      <c r="E757" s="5" t="str">
        <f aca="false">IF(C757=0,"",IF($A757="Bank",IF(INDEX(Bank!$C:$C,$C757)="","",INDEX(Bank!$C:$C,$C757)),IF(INDEX(GL!$C:$C,$C757)="","",INDEX(GL!$C:$C,$C757))))</f>
        <v/>
      </c>
      <c r="F757" s="5" t="str">
        <f aca="false">IF(C757=0,"",IF($A757="Bank",IF(INDEX(Bank!$D:$D,$C757)="","",INDEX(Bank!$D:$D,$C757)),IF(INDEX(GL!$D:$D,$C757)="","",INDEX(GL!$D:$D,$C757))))</f>
        <v/>
      </c>
      <c r="G757" s="19" t="str">
        <f aca="false">IF(C757=0,"",IF($A757="Bank",INDEX(Bank!$E:$E,$C757),INDEX(GL!$E:$E,$C757)))</f>
        <v/>
      </c>
      <c r="H757" s="5" t="str">
        <f aca="false">IF(C757=0,"",IF(A757="GL",IF(G757&gt;0,"Deposit in transit","Outstanding check / payment"),IF(G757&gt;0,"Bank credit not in GL","Bank debit not in GL")))</f>
        <v/>
      </c>
      <c r="I757" s="42" t="str">
        <f aca="false">IF(OR(C757=0,CFG_PeriodEnd=""),"",CFG_PeriodEnd-D757)</f>
        <v/>
      </c>
      <c r="J757" s="5" t="str">
        <f aca="false">IF(C757=0,"",IF($A757="Bank",IF(INDEX(Bank!$G:$G,$C757)="","",INDEX(Bank!$G:$G,$C757)),IF(INDEX(GL!$G:$G,$C757)="","",INDEX(GL!$G:$G,$C757))))</f>
        <v/>
      </c>
      <c r="K757" s="5" t="str">
        <f aca="false">IF(C757=0,"",IF($A757="Bank",IF(INDEX(Bank!$I:$I,$C757)="","",INDEX(Bank!$I:$I,$C757)),IF(INDEX(GL!$I:$I,$C757)="","",INDEX(GL!$I:$I,$C757))))</f>
        <v/>
      </c>
      <c r="L757" s="5" t="str">
        <f aca="false">IF(B757="","",IF(C757=0,"NOT FOUND",IF(IF($A757="Bank",INDEX(Bank!$F:$F,$C757),INDEX(GL!$F:$F,$C757))="Y","NOW RECONCILED: refresh","OK")))</f>
        <v/>
      </c>
    </row>
    <row r="758" customFormat="false" ht="15" hidden="false" customHeight="false" outlineLevel="0" collapsed="false">
      <c r="A758" s="41"/>
      <c r="B758" s="41"/>
      <c r="C758" s="5" t="n">
        <f aca="false">IF(B758="",0,IF(A758="Bank",IFERROR(MATCH(B758,Bank!$A:$A,0),0),IFERROR(MATCH(B758,GL!$A:$A,0),0)))</f>
        <v>0</v>
      </c>
      <c r="D758" s="32" t="str">
        <f aca="false">IF(C758=0,"",IF($A758="Bank",INDEX(Bank!$B:$B,$C758),INDEX(GL!$B:$B,$C758)))</f>
        <v/>
      </c>
      <c r="E758" s="5" t="str">
        <f aca="false">IF(C758=0,"",IF($A758="Bank",IF(INDEX(Bank!$C:$C,$C758)="","",INDEX(Bank!$C:$C,$C758)),IF(INDEX(GL!$C:$C,$C758)="","",INDEX(GL!$C:$C,$C758))))</f>
        <v/>
      </c>
      <c r="F758" s="5" t="str">
        <f aca="false">IF(C758=0,"",IF($A758="Bank",IF(INDEX(Bank!$D:$D,$C758)="","",INDEX(Bank!$D:$D,$C758)),IF(INDEX(GL!$D:$D,$C758)="","",INDEX(GL!$D:$D,$C758))))</f>
        <v/>
      </c>
      <c r="G758" s="19" t="str">
        <f aca="false">IF(C758=0,"",IF($A758="Bank",INDEX(Bank!$E:$E,$C758),INDEX(GL!$E:$E,$C758)))</f>
        <v/>
      </c>
      <c r="H758" s="5" t="str">
        <f aca="false">IF(C758=0,"",IF(A758="GL",IF(G758&gt;0,"Deposit in transit","Outstanding check / payment"),IF(G758&gt;0,"Bank credit not in GL","Bank debit not in GL")))</f>
        <v/>
      </c>
      <c r="I758" s="42" t="str">
        <f aca="false">IF(OR(C758=0,CFG_PeriodEnd=""),"",CFG_PeriodEnd-D758)</f>
        <v/>
      </c>
      <c r="J758" s="5" t="str">
        <f aca="false">IF(C758=0,"",IF($A758="Bank",IF(INDEX(Bank!$G:$G,$C758)="","",INDEX(Bank!$G:$G,$C758)),IF(INDEX(GL!$G:$G,$C758)="","",INDEX(GL!$G:$G,$C758))))</f>
        <v/>
      </c>
      <c r="K758" s="5" t="str">
        <f aca="false">IF(C758=0,"",IF($A758="Bank",IF(INDEX(Bank!$I:$I,$C758)="","",INDEX(Bank!$I:$I,$C758)),IF(INDEX(GL!$I:$I,$C758)="","",INDEX(GL!$I:$I,$C758))))</f>
        <v/>
      </c>
      <c r="L758" s="5" t="str">
        <f aca="false">IF(B758="","",IF(C758=0,"NOT FOUND",IF(IF($A758="Bank",INDEX(Bank!$F:$F,$C758),INDEX(GL!$F:$F,$C758))="Y","NOW RECONCILED: refresh","OK")))</f>
        <v/>
      </c>
    </row>
    <row r="759" customFormat="false" ht="15" hidden="false" customHeight="false" outlineLevel="0" collapsed="false">
      <c r="A759" s="41"/>
      <c r="B759" s="41"/>
      <c r="C759" s="5" t="n">
        <f aca="false">IF(B759="",0,IF(A759="Bank",IFERROR(MATCH(B759,Bank!$A:$A,0),0),IFERROR(MATCH(B759,GL!$A:$A,0),0)))</f>
        <v>0</v>
      </c>
      <c r="D759" s="32" t="str">
        <f aca="false">IF(C759=0,"",IF($A759="Bank",INDEX(Bank!$B:$B,$C759),INDEX(GL!$B:$B,$C759)))</f>
        <v/>
      </c>
      <c r="E759" s="5" t="str">
        <f aca="false">IF(C759=0,"",IF($A759="Bank",IF(INDEX(Bank!$C:$C,$C759)="","",INDEX(Bank!$C:$C,$C759)),IF(INDEX(GL!$C:$C,$C759)="","",INDEX(GL!$C:$C,$C759))))</f>
        <v/>
      </c>
      <c r="F759" s="5" t="str">
        <f aca="false">IF(C759=0,"",IF($A759="Bank",IF(INDEX(Bank!$D:$D,$C759)="","",INDEX(Bank!$D:$D,$C759)),IF(INDEX(GL!$D:$D,$C759)="","",INDEX(GL!$D:$D,$C759))))</f>
        <v/>
      </c>
      <c r="G759" s="19" t="str">
        <f aca="false">IF(C759=0,"",IF($A759="Bank",INDEX(Bank!$E:$E,$C759),INDEX(GL!$E:$E,$C759)))</f>
        <v/>
      </c>
      <c r="H759" s="5" t="str">
        <f aca="false">IF(C759=0,"",IF(A759="GL",IF(G759&gt;0,"Deposit in transit","Outstanding check / payment"),IF(G759&gt;0,"Bank credit not in GL","Bank debit not in GL")))</f>
        <v/>
      </c>
      <c r="I759" s="42" t="str">
        <f aca="false">IF(OR(C759=0,CFG_PeriodEnd=""),"",CFG_PeriodEnd-D759)</f>
        <v/>
      </c>
      <c r="J759" s="5" t="str">
        <f aca="false">IF(C759=0,"",IF($A759="Bank",IF(INDEX(Bank!$G:$G,$C759)="","",INDEX(Bank!$G:$G,$C759)),IF(INDEX(GL!$G:$G,$C759)="","",INDEX(GL!$G:$G,$C759))))</f>
        <v/>
      </c>
      <c r="K759" s="5" t="str">
        <f aca="false">IF(C759=0,"",IF($A759="Bank",IF(INDEX(Bank!$I:$I,$C759)="","",INDEX(Bank!$I:$I,$C759)),IF(INDEX(GL!$I:$I,$C759)="","",INDEX(GL!$I:$I,$C759))))</f>
        <v/>
      </c>
      <c r="L759" s="5" t="str">
        <f aca="false">IF(B759="","",IF(C759=0,"NOT FOUND",IF(IF($A759="Bank",INDEX(Bank!$F:$F,$C759),INDEX(GL!$F:$F,$C759))="Y","NOW RECONCILED: refresh","OK")))</f>
        <v/>
      </c>
    </row>
    <row r="760" customFormat="false" ht="15" hidden="false" customHeight="false" outlineLevel="0" collapsed="false">
      <c r="A760" s="41"/>
      <c r="B760" s="41"/>
      <c r="C760" s="5" t="n">
        <f aca="false">IF(B760="",0,IF(A760="Bank",IFERROR(MATCH(B760,Bank!$A:$A,0),0),IFERROR(MATCH(B760,GL!$A:$A,0),0)))</f>
        <v>0</v>
      </c>
      <c r="D760" s="32" t="str">
        <f aca="false">IF(C760=0,"",IF($A760="Bank",INDEX(Bank!$B:$B,$C760),INDEX(GL!$B:$B,$C760)))</f>
        <v/>
      </c>
      <c r="E760" s="5" t="str">
        <f aca="false">IF(C760=0,"",IF($A760="Bank",IF(INDEX(Bank!$C:$C,$C760)="","",INDEX(Bank!$C:$C,$C760)),IF(INDEX(GL!$C:$C,$C760)="","",INDEX(GL!$C:$C,$C760))))</f>
        <v/>
      </c>
      <c r="F760" s="5" t="str">
        <f aca="false">IF(C760=0,"",IF($A760="Bank",IF(INDEX(Bank!$D:$D,$C760)="","",INDEX(Bank!$D:$D,$C760)),IF(INDEX(GL!$D:$D,$C760)="","",INDEX(GL!$D:$D,$C760))))</f>
        <v/>
      </c>
      <c r="G760" s="19" t="str">
        <f aca="false">IF(C760=0,"",IF($A760="Bank",INDEX(Bank!$E:$E,$C760),INDEX(GL!$E:$E,$C760)))</f>
        <v/>
      </c>
      <c r="H760" s="5" t="str">
        <f aca="false">IF(C760=0,"",IF(A760="GL",IF(G760&gt;0,"Deposit in transit","Outstanding check / payment"),IF(G760&gt;0,"Bank credit not in GL","Bank debit not in GL")))</f>
        <v/>
      </c>
      <c r="I760" s="42" t="str">
        <f aca="false">IF(OR(C760=0,CFG_PeriodEnd=""),"",CFG_PeriodEnd-D760)</f>
        <v/>
      </c>
      <c r="J760" s="5" t="str">
        <f aca="false">IF(C760=0,"",IF($A760="Bank",IF(INDEX(Bank!$G:$G,$C760)="","",INDEX(Bank!$G:$G,$C760)),IF(INDEX(GL!$G:$G,$C760)="","",INDEX(GL!$G:$G,$C760))))</f>
        <v/>
      </c>
      <c r="K760" s="5" t="str">
        <f aca="false">IF(C760=0,"",IF($A760="Bank",IF(INDEX(Bank!$I:$I,$C760)="","",INDEX(Bank!$I:$I,$C760)),IF(INDEX(GL!$I:$I,$C760)="","",INDEX(GL!$I:$I,$C760))))</f>
        <v/>
      </c>
      <c r="L760" s="5" t="str">
        <f aca="false">IF(B760="","",IF(C760=0,"NOT FOUND",IF(IF($A760="Bank",INDEX(Bank!$F:$F,$C760),INDEX(GL!$F:$F,$C760))="Y","NOW RECONCILED: refresh","OK")))</f>
        <v/>
      </c>
    </row>
    <row r="761" customFormat="false" ht="15" hidden="false" customHeight="false" outlineLevel="0" collapsed="false">
      <c r="A761" s="41"/>
      <c r="B761" s="41"/>
      <c r="C761" s="5" t="n">
        <f aca="false">IF(B761="",0,IF(A761="Bank",IFERROR(MATCH(B761,Bank!$A:$A,0),0),IFERROR(MATCH(B761,GL!$A:$A,0),0)))</f>
        <v>0</v>
      </c>
      <c r="D761" s="32" t="str">
        <f aca="false">IF(C761=0,"",IF($A761="Bank",INDEX(Bank!$B:$B,$C761),INDEX(GL!$B:$B,$C761)))</f>
        <v/>
      </c>
      <c r="E761" s="5" t="str">
        <f aca="false">IF(C761=0,"",IF($A761="Bank",IF(INDEX(Bank!$C:$C,$C761)="","",INDEX(Bank!$C:$C,$C761)),IF(INDEX(GL!$C:$C,$C761)="","",INDEX(GL!$C:$C,$C761))))</f>
        <v/>
      </c>
      <c r="F761" s="5" t="str">
        <f aca="false">IF(C761=0,"",IF($A761="Bank",IF(INDEX(Bank!$D:$D,$C761)="","",INDEX(Bank!$D:$D,$C761)),IF(INDEX(GL!$D:$D,$C761)="","",INDEX(GL!$D:$D,$C761))))</f>
        <v/>
      </c>
      <c r="G761" s="19" t="str">
        <f aca="false">IF(C761=0,"",IF($A761="Bank",INDEX(Bank!$E:$E,$C761),INDEX(GL!$E:$E,$C761)))</f>
        <v/>
      </c>
      <c r="H761" s="5" t="str">
        <f aca="false">IF(C761=0,"",IF(A761="GL",IF(G761&gt;0,"Deposit in transit","Outstanding check / payment"),IF(G761&gt;0,"Bank credit not in GL","Bank debit not in GL")))</f>
        <v/>
      </c>
      <c r="I761" s="42" t="str">
        <f aca="false">IF(OR(C761=0,CFG_PeriodEnd=""),"",CFG_PeriodEnd-D761)</f>
        <v/>
      </c>
      <c r="J761" s="5" t="str">
        <f aca="false">IF(C761=0,"",IF($A761="Bank",IF(INDEX(Bank!$G:$G,$C761)="","",INDEX(Bank!$G:$G,$C761)),IF(INDEX(GL!$G:$G,$C761)="","",INDEX(GL!$G:$G,$C761))))</f>
        <v/>
      </c>
      <c r="K761" s="5" t="str">
        <f aca="false">IF(C761=0,"",IF($A761="Bank",IF(INDEX(Bank!$I:$I,$C761)="","",INDEX(Bank!$I:$I,$C761)),IF(INDEX(GL!$I:$I,$C761)="","",INDEX(GL!$I:$I,$C761))))</f>
        <v/>
      </c>
      <c r="L761" s="5" t="str">
        <f aca="false">IF(B761="","",IF(C761=0,"NOT FOUND",IF(IF($A761="Bank",INDEX(Bank!$F:$F,$C761),INDEX(GL!$F:$F,$C761))="Y","NOW RECONCILED: refresh","OK")))</f>
        <v/>
      </c>
    </row>
    <row r="762" customFormat="false" ht="15" hidden="false" customHeight="false" outlineLevel="0" collapsed="false">
      <c r="A762" s="41"/>
      <c r="B762" s="41"/>
      <c r="C762" s="5" t="n">
        <f aca="false">IF(B762="",0,IF(A762="Bank",IFERROR(MATCH(B762,Bank!$A:$A,0),0),IFERROR(MATCH(B762,GL!$A:$A,0),0)))</f>
        <v>0</v>
      </c>
      <c r="D762" s="32" t="str">
        <f aca="false">IF(C762=0,"",IF($A762="Bank",INDEX(Bank!$B:$B,$C762),INDEX(GL!$B:$B,$C762)))</f>
        <v/>
      </c>
      <c r="E762" s="5" t="str">
        <f aca="false">IF(C762=0,"",IF($A762="Bank",IF(INDEX(Bank!$C:$C,$C762)="","",INDEX(Bank!$C:$C,$C762)),IF(INDEX(GL!$C:$C,$C762)="","",INDEX(GL!$C:$C,$C762))))</f>
        <v/>
      </c>
      <c r="F762" s="5" t="str">
        <f aca="false">IF(C762=0,"",IF($A762="Bank",IF(INDEX(Bank!$D:$D,$C762)="","",INDEX(Bank!$D:$D,$C762)),IF(INDEX(GL!$D:$D,$C762)="","",INDEX(GL!$D:$D,$C762))))</f>
        <v/>
      </c>
      <c r="G762" s="19" t="str">
        <f aca="false">IF(C762=0,"",IF($A762="Bank",INDEX(Bank!$E:$E,$C762),INDEX(GL!$E:$E,$C762)))</f>
        <v/>
      </c>
      <c r="H762" s="5" t="str">
        <f aca="false">IF(C762=0,"",IF(A762="GL",IF(G762&gt;0,"Deposit in transit","Outstanding check / payment"),IF(G762&gt;0,"Bank credit not in GL","Bank debit not in GL")))</f>
        <v/>
      </c>
      <c r="I762" s="42" t="str">
        <f aca="false">IF(OR(C762=0,CFG_PeriodEnd=""),"",CFG_PeriodEnd-D762)</f>
        <v/>
      </c>
      <c r="J762" s="5" t="str">
        <f aca="false">IF(C762=0,"",IF($A762="Bank",IF(INDEX(Bank!$G:$G,$C762)="","",INDEX(Bank!$G:$G,$C762)),IF(INDEX(GL!$G:$G,$C762)="","",INDEX(GL!$G:$G,$C762))))</f>
        <v/>
      </c>
      <c r="K762" s="5" t="str">
        <f aca="false">IF(C762=0,"",IF($A762="Bank",IF(INDEX(Bank!$I:$I,$C762)="","",INDEX(Bank!$I:$I,$C762)),IF(INDEX(GL!$I:$I,$C762)="","",INDEX(GL!$I:$I,$C762))))</f>
        <v/>
      </c>
      <c r="L762" s="5" t="str">
        <f aca="false">IF(B762="","",IF(C762=0,"NOT FOUND",IF(IF($A762="Bank",INDEX(Bank!$F:$F,$C762),INDEX(GL!$F:$F,$C762))="Y","NOW RECONCILED: refresh","OK")))</f>
        <v/>
      </c>
    </row>
    <row r="763" customFormat="false" ht="15" hidden="false" customHeight="false" outlineLevel="0" collapsed="false">
      <c r="A763" s="41"/>
      <c r="B763" s="41"/>
      <c r="C763" s="5" t="n">
        <f aca="false">IF(B763="",0,IF(A763="Bank",IFERROR(MATCH(B763,Bank!$A:$A,0),0),IFERROR(MATCH(B763,GL!$A:$A,0),0)))</f>
        <v>0</v>
      </c>
      <c r="D763" s="32" t="str">
        <f aca="false">IF(C763=0,"",IF($A763="Bank",INDEX(Bank!$B:$B,$C763),INDEX(GL!$B:$B,$C763)))</f>
        <v/>
      </c>
      <c r="E763" s="5" t="str">
        <f aca="false">IF(C763=0,"",IF($A763="Bank",IF(INDEX(Bank!$C:$C,$C763)="","",INDEX(Bank!$C:$C,$C763)),IF(INDEX(GL!$C:$C,$C763)="","",INDEX(GL!$C:$C,$C763))))</f>
        <v/>
      </c>
      <c r="F763" s="5" t="str">
        <f aca="false">IF(C763=0,"",IF($A763="Bank",IF(INDEX(Bank!$D:$D,$C763)="","",INDEX(Bank!$D:$D,$C763)),IF(INDEX(GL!$D:$D,$C763)="","",INDEX(GL!$D:$D,$C763))))</f>
        <v/>
      </c>
      <c r="G763" s="19" t="str">
        <f aca="false">IF(C763=0,"",IF($A763="Bank",INDEX(Bank!$E:$E,$C763),INDEX(GL!$E:$E,$C763)))</f>
        <v/>
      </c>
      <c r="H763" s="5" t="str">
        <f aca="false">IF(C763=0,"",IF(A763="GL",IF(G763&gt;0,"Deposit in transit","Outstanding check / payment"),IF(G763&gt;0,"Bank credit not in GL","Bank debit not in GL")))</f>
        <v/>
      </c>
      <c r="I763" s="42" t="str">
        <f aca="false">IF(OR(C763=0,CFG_PeriodEnd=""),"",CFG_PeriodEnd-D763)</f>
        <v/>
      </c>
      <c r="J763" s="5" t="str">
        <f aca="false">IF(C763=0,"",IF($A763="Bank",IF(INDEX(Bank!$G:$G,$C763)="","",INDEX(Bank!$G:$G,$C763)),IF(INDEX(GL!$G:$G,$C763)="","",INDEX(GL!$G:$G,$C763))))</f>
        <v/>
      </c>
      <c r="K763" s="5" t="str">
        <f aca="false">IF(C763=0,"",IF($A763="Bank",IF(INDEX(Bank!$I:$I,$C763)="","",INDEX(Bank!$I:$I,$C763)),IF(INDEX(GL!$I:$I,$C763)="","",INDEX(GL!$I:$I,$C763))))</f>
        <v/>
      </c>
      <c r="L763" s="5" t="str">
        <f aca="false">IF(B763="","",IF(C763=0,"NOT FOUND",IF(IF($A763="Bank",INDEX(Bank!$F:$F,$C763),INDEX(GL!$F:$F,$C763))="Y","NOW RECONCILED: refresh","OK")))</f>
        <v/>
      </c>
    </row>
    <row r="764" customFormat="false" ht="15" hidden="false" customHeight="false" outlineLevel="0" collapsed="false">
      <c r="A764" s="41"/>
      <c r="B764" s="41"/>
      <c r="C764" s="5" t="n">
        <f aca="false">IF(B764="",0,IF(A764="Bank",IFERROR(MATCH(B764,Bank!$A:$A,0),0),IFERROR(MATCH(B764,GL!$A:$A,0),0)))</f>
        <v>0</v>
      </c>
      <c r="D764" s="32" t="str">
        <f aca="false">IF(C764=0,"",IF($A764="Bank",INDEX(Bank!$B:$B,$C764),INDEX(GL!$B:$B,$C764)))</f>
        <v/>
      </c>
      <c r="E764" s="5" t="str">
        <f aca="false">IF(C764=0,"",IF($A764="Bank",IF(INDEX(Bank!$C:$C,$C764)="","",INDEX(Bank!$C:$C,$C764)),IF(INDEX(GL!$C:$C,$C764)="","",INDEX(GL!$C:$C,$C764))))</f>
        <v/>
      </c>
      <c r="F764" s="5" t="str">
        <f aca="false">IF(C764=0,"",IF($A764="Bank",IF(INDEX(Bank!$D:$D,$C764)="","",INDEX(Bank!$D:$D,$C764)),IF(INDEX(GL!$D:$D,$C764)="","",INDEX(GL!$D:$D,$C764))))</f>
        <v/>
      </c>
      <c r="G764" s="19" t="str">
        <f aca="false">IF(C764=0,"",IF($A764="Bank",INDEX(Bank!$E:$E,$C764),INDEX(GL!$E:$E,$C764)))</f>
        <v/>
      </c>
      <c r="H764" s="5" t="str">
        <f aca="false">IF(C764=0,"",IF(A764="GL",IF(G764&gt;0,"Deposit in transit","Outstanding check / payment"),IF(G764&gt;0,"Bank credit not in GL","Bank debit not in GL")))</f>
        <v/>
      </c>
      <c r="I764" s="42" t="str">
        <f aca="false">IF(OR(C764=0,CFG_PeriodEnd=""),"",CFG_PeriodEnd-D764)</f>
        <v/>
      </c>
      <c r="J764" s="5" t="str">
        <f aca="false">IF(C764=0,"",IF($A764="Bank",IF(INDEX(Bank!$G:$G,$C764)="","",INDEX(Bank!$G:$G,$C764)),IF(INDEX(GL!$G:$G,$C764)="","",INDEX(GL!$G:$G,$C764))))</f>
        <v/>
      </c>
      <c r="K764" s="5" t="str">
        <f aca="false">IF(C764=0,"",IF($A764="Bank",IF(INDEX(Bank!$I:$I,$C764)="","",INDEX(Bank!$I:$I,$C764)),IF(INDEX(GL!$I:$I,$C764)="","",INDEX(GL!$I:$I,$C764))))</f>
        <v/>
      </c>
      <c r="L764" s="5" t="str">
        <f aca="false">IF(B764="","",IF(C764=0,"NOT FOUND",IF(IF($A764="Bank",INDEX(Bank!$F:$F,$C764),INDEX(GL!$F:$F,$C764))="Y","NOW RECONCILED: refresh","OK")))</f>
        <v/>
      </c>
    </row>
    <row r="765" customFormat="false" ht="15" hidden="false" customHeight="false" outlineLevel="0" collapsed="false">
      <c r="A765" s="41"/>
      <c r="B765" s="41"/>
      <c r="C765" s="5" t="n">
        <f aca="false">IF(B765="",0,IF(A765="Bank",IFERROR(MATCH(B765,Bank!$A:$A,0),0),IFERROR(MATCH(B765,GL!$A:$A,0),0)))</f>
        <v>0</v>
      </c>
      <c r="D765" s="32" t="str">
        <f aca="false">IF(C765=0,"",IF($A765="Bank",INDEX(Bank!$B:$B,$C765),INDEX(GL!$B:$B,$C765)))</f>
        <v/>
      </c>
      <c r="E765" s="5" t="str">
        <f aca="false">IF(C765=0,"",IF($A765="Bank",IF(INDEX(Bank!$C:$C,$C765)="","",INDEX(Bank!$C:$C,$C765)),IF(INDEX(GL!$C:$C,$C765)="","",INDEX(GL!$C:$C,$C765))))</f>
        <v/>
      </c>
      <c r="F765" s="5" t="str">
        <f aca="false">IF(C765=0,"",IF($A765="Bank",IF(INDEX(Bank!$D:$D,$C765)="","",INDEX(Bank!$D:$D,$C765)),IF(INDEX(GL!$D:$D,$C765)="","",INDEX(GL!$D:$D,$C765))))</f>
        <v/>
      </c>
      <c r="G765" s="19" t="str">
        <f aca="false">IF(C765=0,"",IF($A765="Bank",INDEX(Bank!$E:$E,$C765),INDEX(GL!$E:$E,$C765)))</f>
        <v/>
      </c>
      <c r="H765" s="5" t="str">
        <f aca="false">IF(C765=0,"",IF(A765="GL",IF(G765&gt;0,"Deposit in transit","Outstanding check / payment"),IF(G765&gt;0,"Bank credit not in GL","Bank debit not in GL")))</f>
        <v/>
      </c>
      <c r="I765" s="42" t="str">
        <f aca="false">IF(OR(C765=0,CFG_PeriodEnd=""),"",CFG_PeriodEnd-D765)</f>
        <v/>
      </c>
      <c r="J765" s="5" t="str">
        <f aca="false">IF(C765=0,"",IF($A765="Bank",IF(INDEX(Bank!$G:$G,$C765)="","",INDEX(Bank!$G:$G,$C765)),IF(INDEX(GL!$G:$G,$C765)="","",INDEX(GL!$G:$G,$C765))))</f>
        <v/>
      </c>
      <c r="K765" s="5" t="str">
        <f aca="false">IF(C765=0,"",IF($A765="Bank",IF(INDEX(Bank!$I:$I,$C765)="","",INDEX(Bank!$I:$I,$C765)),IF(INDEX(GL!$I:$I,$C765)="","",INDEX(GL!$I:$I,$C765))))</f>
        <v/>
      </c>
      <c r="L765" s="5" t="str">
        <f aca="false">IF(B765="","",IF(C765=0,"NOT FOUND",IF(IF($A765="Bank",INDEX(Bank!$F:$F,$C765),INDEX(GL!$F:$F,$C765))="Y","NOW RECONCILED: refresh","OK")))</f>
        <v/>
      </c>
    </row>
    <row r="766" customFormat="false" ht="15" hidden="false" customHeight="false" outlineLevel="0" collapsed="false">
      <c r="A766" s="41"/>
      <c r="B766" s="41"/>
      <c r="C766" s="5" t="n">
        <f aca="false">IF(B766="",0,IF(A766="Bank",IFERROR(MATCH(B766,Bank!$A:$A,0),0),IFERROR(MATCH(B766,GL!$A:$A,0),0)))</f>
        <v>0</v>
      </c>
      <c r="D766" s="32" t="str">
        <f aca="false">IF(C766=0,"",IF($A766="Bank",INDEX(Bank!$B:$B,$C766),INDEX(GL!$B:$B,$C766)))</f>
        <v/>
      </c>
      <c r="E766" s="5" t="str">
        <f aca="false">IF(C766=0,"",IF($A766="Bank",IF(INDEX(Bank!$C:$C,$C766)="","",INDEX(Bank!$C:$C,$C766)),IF(INDEX(GL!$C:$C,$C766)="","",INDEX(GL!$C:$C,$C766))))</f>
        <v/>
      </c>
      <c r="F766" s="5" t="str">
        <f aca="false">IF(C766=0,"",IF($A766="Bank",IF(INDEX(Bank!$D:$D,$C766)="","",INDEX(Bank!$D:$D,$C766)),IF(INDEX(GL!$D:$D,$C766)="","",INDEX(GL!$D:$D,$C766))))</f>
        <v/>
      </c>
      <c r="G766" s="19" t="str">
        <f aca="false">IF(C766=0,"",IF($A766="Bank",INDEX(Bank!$E:$E,$C766),INDEX(GL!$E:$E,$C766)))</f>
        <v/>
      </c>
      <c r="H766" s="5" t="str">
        <f aca="false">IF(C766=0,"",IF(A766="GL",IF(G766&gt;0,"Deposit in transit","Outstanding check / payment"),IF(G766&gt;0,"Bank credit not in GL","Bank debit not in GL")))</f>
        <v/>
      </c>
      <c r="I766" s="42" t="str">
        <f aca="false">IF(OR(C766=0,CFG_PeriodEnd=""),"",CFG_PeriodEnd-D766)</f>
        <v/>
      </c>
      <c r="J766" s="5" t="str">
        <f aca="false">IF(C766=0,"",IF($A766="Bank",IF(INDEX(Bank!$G:$G,$C766)="","",INDEX(Bank!$G:$G,$C766)),IF(INDEX(GL!$G:$G,$C766)="","",INDEX(GL!$G:$G,$C766))))</f>
        <v/>
      </c>
      <c r="K766" s="5" t="str">
        <f aca="false">IF(C766=0,"",IF($A766="Bank",IF(INDEX(Bank!$I:$I,$C766)="","",INDEX(Bank!$I:$I,$C766)),IF(INDEX(GL!$I:$I,$C766)="","",INDEX(GL!$I:$I,$C766))))</f>
        <v/>
      </c>
      <c r="L766" s="5" t="str">
        <f aca="false">IF(B766="","",IF(C766=0,"NOT FOUND",IF(IF($A766="Bank",INDEX(Bank!$F:$F,$C766),INDEX(GL!$F:$F,$C766))="Y","NOW RECONCILED: refresh","OK")))</f>
        <v/>
      </c>
    </row>
    <row r="767" customFormat="false" ht="15" hidden="false" customHeight="false" outlineLevel="0" collapsed="false">
      <c r="A767" s="41"/>
      <c r="B767" s="41"/>
      <c r="C767" s="5" t="n">
        <f aca="false">IF(B767="",0,IF(A767="Bank",IFERROR(MATCH(B767,Bank!$A:$A,0),0),IFERROR(MATCH(B767,GL!$A:$A,0),0)))</f>
        <v>0</v>
      </c>
      <c r="D767" s="32" t="str">
        <f aca="false">IF(C767=0,"",IF($A767="Bank",INDEX(Bank!$B:$B,$C767),INDEX(GL!$B:$B,$C767)))</f>
        <v/>
      </c>
      <c r="E767" s="5" t="str">
        <f aca="false">IF(C767=0,"",IF($A767="Bank",IF(INDEX(Bank!$C:$C,$C767)="","",INDEX(Bank!$C:$C,$C767)),IF(INDEX(GL!$C:$C,$C767)="","",INDEX(GL!$C:$C,$C767))))</f>
        <v/>
      </c>
      <c r="F767" s="5" t="str">
        <f aca="false">IF(C767=0,"",IF($A767="Bank",IF(INDEX(Bank!$D:$D,$C767)="","",INDEX(Bank!$D:$D,$C767)),IF(INDEX(GL!$D:$D,$C767)="","",INDEX(GL!$D:$D,$C767))))</f>
        <v/>
      </c>
      <c r="G767" s="19" t="str">
        <f aca="false">IF(C767=0,"",IF($A767="Bank",INDEX(Bank!$E:$E,$C767),INDEX(GL!$E:$E,$C767)))</f>
        <v/>
      </c>
      <c r="H767" s="5" t="str">
        <f aca="false">IF(C767=0,"",IF(A767="GL",IF(G767&gt;0,"Deposit in transit","Outstanding check / payment"),IF(G767&gt;0,"Bank credit not in GL","Bank debit not in GL")))</f>
        <v/>
      </c>
      <c r="I767" s="42" t="str">
        <f aca="false">IF(OR(C767=0,CFG_PeriodEnd=""),"",CFG_PeriodEnd-D767)</f>
        <v/>
      </c>
      <c r="J767" s="5" t="str">
        <f aca="false">IF(C767=0,"",IF($A767="Bank",IF(INDEX(Bank!$G:$G,$C767)="","",INDEX(Bank!$G:$G,$C767)),IF(INDEX(GL!$G:$G,$C767)="","",INDEX(GL!$G:$G,$C767))))</f>
        <v/>
      </c>
      <c r="K767" s="5" t="str">
        <f aca="false">IF(C767=0,"",IF($A767="Bank",IF(INDEX(Bank!$I:$I,$C767)="","",INDEX(Bank!$I:$I,$C767)),IF(INDEX(GL!$I:$I,$C767)="","",INDEX(GL!$I:$I,$C767))))</f>
        <v/>
      </c>
      <c r="L767" s="5" t="str">
        <f aca="false">IF(B767="","",IF(C767=0,"NOT FOUND",IF(IF($A767="Bank",INDEX(Bank!$F:$F,$C767),INDEX(GL!$F:$F,$C767))="Y","NOW RECONCILED: refresh","OK")))</f>
        <v/>
      </c>
    </row>
    <row r="768" customFormat="false" ht="15" hidden="false" customHeight="false" outlineLevel="0" collapsed="false">
      <c r="A768" s="41"/>
      <c r="B768" s="41"/>
      <c r="C768" s="5" t="n">
        <f aca="false">IF(B768="",0,IF(A768="Bank",IFERROR(MATCH(B768,Bank!$A:$A,0),0),IFERROR(MATCH(B768,GL!$A:$A,0),0)))</f>
        <v>0</v>
      </c>
      <c r="D768" s="32" t="str">
        <f aca="false">IF(C768=0,"",IF($A768="Bank",INDEX(Bank!$B:$B,$C768),INDEX(GL!$B:$B,$C768)))</f>
        <v/>
      </c>
      <c r="E768" s="5" t="str">
        <f aca="false">IF(C768=0,"",IF($A768="Bank",IF(INDEX(Bank!$C:$C,$C768)="","",INDEX(Bank!$C:$C,$C768)),IF(INDEX(GL!$C:$C,$C768)="","",INDEX(GL!$C:$C,$C768))))</f>
        <v/>
      </c>
      <c r="F768" s="5" t="str">
        <f aca="false">IF(C768=0,"",IF($A768="Bank",IF(INDEX(Bank!$D:$D,$C768)="","",INDEX(Bank!$D:$D,$C768)),IF(INDEX(GL!$D:$D,$C768)="","",INDEX(GL!$D:$D,$C768))))</f>
        <v/>
      </c>
      <c r="G768" s="19" t="str">
        <f aca="false">IF(C768=0,"",IF($A768="Bank",INDEX(Bank!$E:$E,$C768),INDEX(GL!$E:$E,$C768)))</f>
        <v/>
      </c>
      <c r="H768" s="5" t="str">
        <f aca="false">IF(C768=0,"",IF(A768="GL",IF(G768&gt;0,"Deposit in transit","Outstanding check / payment"),IF(G768&gt;0,"Bank credit not in GL","Bank debit not in GL")))</f>
        <v/>
      </c>
      <c r="I768" s="42" t="str">
        <f aca="false">IF(OR(C768=0,CFG_PeriodEnd=""),"",CFG_PeriodEnd-D768)</f>
        <v/>
      </c>
      <c r="J768" s="5" t="str">
        <f aca="false">IF(C768=0,"",IF($A768="Bank",IF(INDEX(Bank!$G:$G,$C768)="","",INDEX(Bank!$G:$G,$C768)),IF(INDEX(GL!$G:$G,$C768)="","",INDEX(GL!$G:$G,$C768))))</f>
        <v/>
      </c>
      <c r="K768" s="5" t="str">
        <f aca="false">IF(C768=0,"",IF($A768="Bank",IF(INDEX(Bank!$I:$I,$C768)="","",INDEX(Bank!$I:$I,$C768)),IF(INDEX(GL!$I:$I,$C768)="","",INDEX(GL!$I:$I,$C768))))</f>
        <v/>
      </c>
      <c r="L768" s="5" t="str">
        <f aca="false">IF(B768="","",IF(C768=0,"NOT FOUND",IF(IF($A768="Bank",INDEX(Bank!$F:$F,$C768),INDEX(GL!$F:$F,$C768))="Y","NOW RECONCILED: refresh","OK")))</f>
        <v/>
      </c>
    </row>
    <row r="769" customFormat="false" ht="15" hidden="false" customHeight="false" outlineLevel="0" collapsed="false">
      <c r="A769" s="41"/>
      <c r="B769" s="41"/>
      <c r="C769" s="5" t="n">
        <f aca="false">IF(B769="",0,IF(A769="Bank",IFERROR(MATCH(B769,Bank!$A:$A,0),0),IFERROR(MATCH(B769,GL!$A:$A,0),0)))</f>
        <v>0</v>
      </c>
      <c r="D769" s="32" t="str">
        <f aca="false">IF(C769=0,"",IF($A769="Bank",INDEX(Bank!$B:$B,$C769),INDEX(GL!$B:$B,$C769)))</f>
        <v/>
      </c>
      <c r="E769" s="5" t="str">
        <f aca="false">IF(C769=0,"",IF($A769="Bank",IF(INDEX(Bank!$C:$C,$C769)="","",INDEX(Bank!$C:$C,$C769)),IF(INDEX(GL!$C:$C,$C769)="","",INDEX(GL!$C:$C,$C769))))</f>
        <v/>
      </c>
      <c r="F769" s="5" t="str">
        <f aca="false">IF(C769=0,"",IF($A769="Bank",IF(INDEX(Bank!$D:$D,$C769)="","",INDEX(Bank!$D:$D,$C769)),IF(INDEX(GL!$D:$D,$C769)="","",INDEX(GL!$D:$D,$C769))))</f>
        <v/>
      </c>
      <c r="G769" s="19" t="str">
        <f aca="false">IF(C769=0,"",IF($A769="Bank",INDEX(Bank!$E:$E,$C769),INDEX(GL!$E:$E,$C769)))</f>
        <v/>
      </c>
      <c r="H769" s="5" t="str">
        <f aca="false">IF(C769=0,"",IF(A769="GL",IF(G769&gt;0,"Deposit in transit","Outstanding check / payment"),IF(G769&gt;0,"Bank credit not in GL","Bank debit not in GL")))</f>
        <v/>
      </c>
      <c r="I769" s="42" t="str">
        <f aca="false">IF(OR(C769=0,CFG_PeriodEnd=""),"",CFG_PeriodEnd-D769)</f>
        <v/>
      </c>
      <c r="J769" s="5" t="str">
        <f aca="false">IF(C769=0,"",IF($A769="Bank",IF(INDEX(Bank!$G:$G,$C769)="","",INDEX(Bank!$G:$G,$C769)),IF(INDEX(GL!$G:$G,$C769)="","",INDEX(GL!$G:$G,$C769))))</f>
        <v/>
      </c>
      <c r="K769" s="5" t="str">
        <f aca="false">IF(C769=0,"",IF($A769="Bank",IF(INDEX(Bank!$I:$I,$C769)="","",INDEX(Bank!$I:$I,$C769)),IF(INDEX(GL!$I:$I,$C769)="","",INDEX(GL!$I:$I,$C769))))</f>
        <v/>
      </c>
      <c r="L769" s="5" t="str">
        <f aca="false">IF(B769="","",IF(C769=0,"NOT FOUND",IF(IF($A769="Bank",INDEX(Bank!$F:$F,$C769),INDEX(GL!$F:$F,$C769))="Y","NOW RECONCILED: refresh","OK")))</f>
        <v/>
      </c>
    </row>
    <row r="770" customFormat="false" ht="15" hidden="false" customHeight="false" outlineLevel="0" collapsed="false">
      <c r="A770" s="41"/>
      <c r="B770" s="41"/>
      <c r="C770" s="5" t="n">
        <f aca="false">IF(B770="",0,IF(A770="Bank",IFERROR(MATCH(B770,Bank!$A:$A,0),0),IFERROR(MATCH(B770,GL!$A:$A,0),0)))</f>
        <v>0</v>
      </c>
      <c r="D770" s="32" t="str">
        <f aca="false">IF(C770=0,"",IF($A770="Bank",INDEX(Bank!$B:$B,$C770),INDEX(GL!$B:$B,$C770)))</f>
        <v/>
      </c>
      <c r="E770" s="5" t="str">
        <f aca="false">IF(C770=0,"",IF($A770="Bank",IF(INDEX(Bank!$C:$C,$C770)="","",INDEX(Bank!$C:$C,$C770)),IF(INDEX(GL!$C:$C,$C770)="","",INDEX(GL!$C:$C,$C770))))</f>
        <v/>
      </c>
      <c r="F770" s="5" t="str">
        <f aca="false">IF(C770=0,"",IF($A770="Bank",IF(INDEX(Bank!$D:$D,$C770)="","",INDEX(Bank!$D:$D,$C770)),IF(INDEX(GL!$D:$D,$C770)="","",INDEX(GL!$D:$D,$C770))))</f>
        <v/>
      </c>
      <c r="G770" s="19" t="str">
        <f aca="false">IF(C770=0,"",IF($A770="Bank",INDEX(Bank!$E:$E,$C770),INDEX(GL!$E:$E,$C770)))</f>
        <v/>
      </c>
      <c r="H770" s="5" t="str">
        <f aca="false">IF(C770=0,"",IF(A770="GL",IF(G770&gt;0,"Deposit in transit","Outstanding check / payment"),IF(G770&gt;0,"Bank credit not in GL","Bank debit not in GL")))</f>
        <v/>
      </c>
      <c r="I770" s="42" t="str">
        <f aca="false">IF(OR(C770=0,CFG_PeriodEnd=""),"",CFG_PeriodEnd-D770)</f>
        <v/>
      </c>
      <c r="J770" s="5" t="str">
        <f aca="false">IF(C770=0,"",IF($A770="Bank",IF(INDEX(Bank!$G:$G,$C770)="","",INDEX(Bank!$G:$G,$C770)),IF(INDEX(GL!$G:$G,$C770)="","",INDEX(GL!$G:$G,$C770))))</f>
        <v/>
      </c>
      <c r="K770" s="5" t="str">
        <f aca="false">IF(C770=0,"",IF($A770="Bank",IF(INDEX(Bank!$I:$I,$C770)="","",INDEX(Bank!$I:$I,$C770)),IF(INDEX(GL!$I:$I,$C770)="","",INDEX(GL!$I:$I,$C770))))</f>
        <v/>
      </c>
      <c r="L770" s="5" t="str">
        <f aca="false">IF(B770="","",IF(C770=0,"NOT FOUND",IF(IF($A770="Bank",INDEX(Bank!$F:$F,$C770),INDEX(GL!$F:$F,$C770))="Y","NOW RECONCILED: refresh","OK")))</f>
        <v/>
      </c>
    </row>
    <row r="771" customFormat="false" ht="15" hidden="false" customHeight="false" outlineLevel="0" collapsed="false">
      <c r="A771" s="41"/>
      <c r="B771" s="41"/>
      <c r="C771" s="5" t="n">
        <f aca="false">IF(B771="",0,IF(A771="Bank",IFERROR(MATCH(B771,Bank!$A:$A,0),0),IFERROR(MATCH(B771,GL!$A:$A,0),0)))</f>
        <v>0</v>
      </c>
      <c r="D771" s="32" t="str">
        <f aca="false">IF(C771=0,"",IF($A771="Bank",INDEX(Bank!$B:$B,$C771),INDEX(GL!$B:$B,$C771)))</f>
        <v/>
      </c>
      <c r="E771" s="5" t="str">
        <f aca="false">IF(C771=0,"",IF($A771="Bank",IF(INDEX(Bank!$C:$C,$C771)="","",INDEX(Bank!$C:$C,$C771)),IF(INDEX(GL!$C:$C,$C771)="","",INDEX(GL!$C:$C,$C771))))</f>
        <v/>
      </c>
      <c r="F771" s="5" t="str">
        <f aca="false">IF(C771=0,"",IF($A771="Bank",IF(INDEX(Bank!$D:$D,$C771)="","",INDEX(Bank!$D:$D,$C771)),IF(INDEX(GL!$D:$D,$C771)="","",INDEX(GL!$D:$D,$C771))))</f>
        <v/>
      </c>
      <c r="G771" s="19" t="str">
        <f aca="false">IF(C771=0,"",IF($A771="Bank",INDEX(Bank!$E:$E,$C771),INDEX(GL!$E:$E,$C771)))</f>
        <v/>
      </c>
      <c r="H771" s="5" t="str">
        <f aca="false">IF(C771=0,"",IF(A771="GL",IF(G771&gt;0,"Deposit in transit","Outstanding check / payment"),IF(G771&gt;0,"Bank credit not in GL","Bank debit not in GL")))</f>
        <v/>
      </c>
      <c r="I771" s="42" t="str">
        <f aca="false">IF(OR(C771=0,CFG_PeriodEnd=""),"",CFG_PeriodEnd-D771)</f>
        <v/>
      </c>
      <c r="J771" s="5" t="str">
        <f aca="false">IF(C771=0,"",IF($A771="Bank",IF(INDEX(Bank!$G:$G,$C771)="","",INDEX(Bank!$G:$G,$C771)),IF(INDEX(GL!$G:$G,$C771)="","",INDEX(GL!$G:$G,$C771))))</f>
        <v/>
      </c>
      <c r="K771" s="5" t="str">
        <f aca="false">IF(C771=0,"",IF($A771="Bank",IF(INDEX(Bank!$I:$I,$C771)="","",INDEX(Bank!$I:$I,$C771)),IF(INDEX(GL!$I:$I,$C771)="","",INDEX(GL!$I:$I,$C771))))</f>
        <v/>
      </c>
      <c r="L771" s="5" t="str">
        <f aca="false">IF(B771="","",IF(C771=0,"NOT FOUND",IF(IF($A771="Bank",INDEX(Bank!$F:$F,$C771),INDEX(GL!$F:$F,$C771))="Y","NOW RECONCILED: refresh","OK")))</f>
        <v/>
      </c>
    </row>
    <row r="772" customFormat="false" ht="15" hidden="false" customHeight="false" outlineLevel="0" collapsed="false">
      <c r="A772" s="41"/>
      <c r="B772" s="41"/>
      <c r="C772" s="5" t="n">
        <f aca="false">IF(B772="",0,IF(A772="Bank",IFERROR(MATCH(B772,Bank!$A:$A,0),0),IFERROR(MATCH(B772,GL!$A:$A,0),0)))</f>
        <v>0</v>
      </c>
      <c r="D772" s="32" t="str">
        <f aca="false">IF(C772=0,"",IF($A772="Bank",INDEX(Bank!$B:$B,$C772),INDEX(GL!$B:$B,$C772)))</f>
        <v/>
      </c>
      <c r="E772" s="5" t="str">
        <f aca="false">IF(C772=0,"",IF($A772="Bank",IF(INDEX(Bank!$C:$C,$C772)="","",INDEX(Bank!$C:$C,$C772)),IF(INDEX(GL!$C:$C,$C772)="","",INDEX(GL!$C:$C,$C772))))</f>
        <v/>
      </c>
      <c r="F772" s="5" t="str">
        <f aca="false">IF(C772=0,"",IF($A772="Bank",IF(INDEX(Bank!$D:$D,$C772)="","",INDEX(Bank!$D:$D,$C772)),IF(INDEX(GL!$D:$D,$C772)="","",INDEX(GL!$D:$D,$C772))))</f>
        <v/>
      </c>
      <c r="G772" s="19" t="str">
        <f aca="false">IF(C772=0,"",IF($A772="Bank",INDEX(Bank!$E:$E,$C772),INDEX(GL!$E:$E,$C772)))</f>
        <v/>
      </c>
      <c r="H772" s="5" t="str">
        <f aca="false">IF(C772=0,"",IF(A772="GL",IF(G772&gt;0,"Deposit in transit","Outstanding check / payment"),IF(G772&gt;0,"Bank credit not in GL","Bank debit not in GL")))</f>
        <v/>
      </c>
      <c r="I772" s="42" t="str">
        <f aca="false">IF(OR(C772=0,CFG_PeriodEnd=""),"",CFG_PeriodEnd-D772)</f>
        <v/>
      </c>
      <c r="J772" s="5" t="str">
        <f aca="false">IF(C772=0,"",IF($A772="Bank",IF(INDEX(Bank!$G:$G,$C772)="","",INDEX(Bank!$G:$G,$C772)),IF(INDEX(GL!$G:$G,$C772)="","",INDEX(GL!$G:$G,$C772))))</f>
        <v/>
      </c>
      <c r="K772" s="5" t="str">
        <f aca="false">IF(C772=0,"",IF($A772="Bank",IF(INDEX(Bank!$I:$I,$C772)="","",INDEX(Bank!$I:$I,$C772)),IF(INDEX(GL!$I:$I,$C772)="","",INDEX(GL!$I:$I,$C772))))</f>
        <v/>
      </c>
      <c r="L772" s="5" t="str">
        <f aca="false">IF(B772="","",IF(C772=0,"NOT FOUND",IF(IF($A772="Bank",INDEX(Bank!$F:$F,$C772),INDEX(GL!$F:$F,$C772))="Y","NOW RECONCILED: refresh","OK")))</f>
        <v/>
      </c>
    </row>
    <row r="773" customFormat="false" ht="15" hidden="false" customHeight="false" outlineLevel="0" collapsed="false">
      <c r="A773" s="41"/>
      <c r="B773" s="41"/>
      <c r="C773" s="5" t="n">
        <f aca="false">IF(B773="",0,IF(A773="Bank",IFERROR(MATCH(B773,Bank!$A:$A,0),0),IFERROR(MATCH(B773,GL!$A:$A,0),0)))</f>
        <v>0</v>
      </c>
      <c r="D773" s="32" t="str">
        <f aca="false">IF(C773=0,"",IF($A773="Bank",INDEX(Bank!$B:$B,$C773),INDEX(GL!$B:$B,$C773)))</f>
        <v/>
      </c>
      <c r="E773" s="5" t="str">
        <f aca="false">IF(C773=0,"",IF($A773="Bank",IF(INDEX(Bank!$C:$C,$C773)="","",INDEX(Bank!$C:$C,$C773)),IF(INDEX(GL!$C:$C,$C773)="","",INDEX(GL!$C:$C,$C773))))</f>
        <v/>
      </c>
      <c r="F773" s="5" t="str">
        <f aca="false">IF(C773=0,"",IF($A773="Bank",IF(INDEX(Bank!$D:$D,$C773)="","",INDEX(Bank!$D:$D,$C773)),IF(INDEX(GL!$D:$D,$C773)="","",INDEX(GL!$D:$D,$C773))))</f>
        <v/>
      </c>
      <c r="G773" s="19" t="str">
        <f aca="false">IF(C773=0,"",IF($A773="Bank",INDEX(Bank!$E:$E,$C773),INDEX(GL!$E:$E,$C773)))</f>
        <v/>
      </c>
      <c r="H773" s="5" t="str">
        <f aca="false">IF(C773=0,"",IF(A773="GL",IF(G773&gt;0,"Deposit in transit","Outstanding check / payment"),IF(G773&gt;0,"Bank credit not in GL","Bank debit not in GL")))</f>
        <v/>
      </c>
      <c r="I773" s="42" t="str">
        <f aca="false">IF(OR(C773=0,CFG_PeriodEnd=""),"",CFG_PeriodEnd-D773)</f>
        <v/>
      </c>
      <c r="J773" s="5" t="str">
        <f aca="false">IF(C773=0,"",IF($A773="Bank",IF(INDEX(Bank!$G:$G,$C773)="","",INDEX(Bank!$G:$G,$C773)),IF(INDEX(GL!$G:$G,$C773)="","",INDEX(GL!$G:$G,$C773))))</f>
        <v/>
      </c>
      <c r="K773" s="5" t="str">
        <f aca="false">IF(C773=0,"",IF($A773="Bank",IF(INDEX(Bank!$I:$I,$C773)="","",INDEX(Bank!$I:$I,$C773)),IF(INDEX(GL!$I:$I,$C773)="","",INDEX(GL!$I:$I,$C773))))</f>
        <v/>
      </c>
      <c r="L773" s="5" t="str">
        <f aca="false">IF(B773="","",IF(C773=0,"NOT FOUND",IF(IF($A773="Bank",INDEX(Bank!$F:$F,$C773),INDEX(GL!$F:$F,$C773))="Y","NOW RECONCILED: refresh","OK")))</f>
        <v/>
      </c>
    </row>
    <row r="774" customFormat="false" ht="15" hidden="false" customHeight="false" outlineLevel="0" collapsed="false">
      <c r="A774" s="41"/>
      <c r="B774" s="41"/>
      <c r="C774" s="5" t="n">
        <f aca="false">IF(B774="",0,IF(A774="Bank",IFERROR(MATCH(B774,Bank!$A:$A,0),0),IFERROR(MATCH(B774,GL!$A:$A,0),0)))</f>
        <v>0</v>
      </c>
      <c r="D774" s="32" t="str">
        <f aca="false">IF(C774=0,"",IF($A774="Bank",INDEX(Bank!$B:$B,$C774),INDEX(GL!$B:$B,$C774)))</f>
        <v/>
      </c>
      <c r="E774" s="5" t="str">
        <f aca="false">IF(C774=0,"",IF($A774="Bank",IF(INDEX(Bank!$C:$C,$C774)="","",INDEX(Bank!$C:$C,$C774)),IF(INDEX(GL!$C:$C,$C774)="","",INDEX(GL!$C:$C,$C774))))</f>
        <v/>
      </c>
      <c r="F774" s="5" t="str">
        <f aca="false">IF(C774=0,"",IF($A774="Bank",IF(INDEX(Bank!$D:$D,$C774)="","",INDEX(Bank!$D:$D,$C774)),IF(INDEX(GL!$D:$D,$C774)="","",INDEX(GL!$D:$D,$C774))))</f>
        <v/>
      </c>
      <c r="G774" s="19" t="str">
        <f aca="false">IF(C774=0,"",IF($A774="Bank",INDEX(Bank!$E:$E,$C774),INDEX(GL!$E:$E,$C774)))</f>
        <v/>
      </c>
      <c r="H774" s="5" t="str">
        <f aca="false">IF(C774=0,"",IF(A774="GL",IF(G774&gt;0,"Deposit in transit","Outstanding check / payment"),IF(G774&gt;0,"Bank credit not in GL","Bank debit not in GL")))</f>
        <v/>
      </c>
      <c r="I774" s="42" t="str">
        <f aca="false">IF(OR(C774=0,CFG_PeriodEnd=""),"",CFG_PeriodEnd-D774)</f>
        <v/>
      </c>
      <c r="J774" s="5" t="str">
        <f aca="false">IF(C774=0,"",IF($A774="Bank",IF(INDEX(Bank!$G:$G,$C774)="","",INDEX(Bank!$G:$G,$C774)),IF(INDEX(GL!$G:$G,$C774)="","",INDEX(GL!$G:$G,$C774))))</f>
        <v/>
      </c>
      <c r="K774" s="5" t="str">
        <f aca="false">IF(C774=0,"",IF($A774="Bank",IF(INDEX(Bank!$I:$I,$C774)="","",INDEX(Bank!$I:$I,$C774)),IF(INDEX(GL!$I:$I,$C774)="","",INDEX(GL!$I:$I,$C774))))</f>
        <v/>
      </c>
      <c r="L774" s="5" t="str">
        <f aca="false">IF(B774="","",IF(C774=0,"NOT FOUND",IF(IF($A774="Bank",INDEX(Bank!$F:$F,$C774),INDEX(GL!$F:$F,$C774))="Y","NOW RECONCILED: refresh","OK")))</f>
        <v/>
      </c>
    </row>
    <row r="775" customFormat="false" ht="15" hidden="false" customHeight="false" outlineLevel="0" collapsed="false">
      <c r="A775" s="41"/>
      <c r="B775" s="41"/>
      <c r="C775" s="5" t="n">
        <f aca="false">IF(B775="",0,IF(A775="Bank",IFERROR(MATCH(B775,Bank!$A:$A,0),0),IFERROR(MATCH(B775,GL!$A:$A,0),0)))</f>
        <v>0</v>
      </c>
      <c r="D775" s="32" t="str">
        <f aca="false">IF(C775=0,"",IF($A775="Bank",INDEX(Bank!$B:$B,$C775),INDEX(GL!$B:$B,$C775)))</f>
        <v/>
      </c>
      <c r="E775" s="5" t="str">
        <f aca="false">IF(C775=0,"",IF($A775="Bank",IF(INDEX(Bank!$C:$C,$C775)="","",INDEX(Bank!$C:$C,$C775)),IF(INDEX(GL!$C:$C,$C775)="","",INDEX(GL!$C:$C,$C775))))</f>
        <v/>
      </c>
      <c r="F775" s="5" t="str">
        <f aca="false">IF(C775=0,"",IF($A775="Bank",IF(INDEX(Bank!$D:$D,$C775)="","",INDEX(Bank!$D:$D,$C775)),IF(INDEX(GL!$D:$D,$C775)="","",INDEX(GL!$D:$D,$C775))))</f>
        <v/>
      </c>
      <c r="G775" s="19" t="str">
        <f aca="false">IF(C775=0,"",IF($A775="Bank",INDEX(Bank!$E:$E,$C775),INDEX(GL!$E:$E,$C775)))</f>
        <v/>
      </c>
      <c r="H775" s="5" t="str">
        <f aca="false">IF(C775=0,"",IF(A775="GL",IF(G775&gt;0,"Deposit in transit","Outstanding check / payment"),IF(G775&gt;0,"Bank credit not in GL","Bank debit not in GL")))</f>
        <v/>
      </c>
      <c r="I775" s="42" t="str">
        <f aca="false">IF(OR(C775=0,CFG_PeriodEnd=""),"",CFG_PeriodEnd-D775)</f>
        <v/>
      </c>
      <c r="J775" s="5" t="str">
        <f aca="false">IF(C775=0,"",IF($A775="Bank",IF(INDEX(Bank!$G:$G,$C775)="","",INDEX(Bank!$G:$G,$C775)),IF(INDEX(GL!$G:$G,$C775)="","",INDEX(GL!$G:$G,$C775))))</f>
        <v/>
      </c>
      <c r="K775" s="5" t="str">
        <f aca="false">IF(C775=0,"",IF($A775="Bank",IF(INDEX(Bank!$I:$I,$C775)="","",INDEX(Bank!$I:$I,$C775)),IF(INDEX(GL!$I:$I,$C775)="","",INDEX(GL!$I:$I,$C775))))</f>
        <v/>
      </c>
      <c r="L775" s="5" t="str">
        <f aca="false">IF(B775="","",IF(C775=0,"NOT FOUND",IF(IF($A775="Bank",INDEX(Bank!$F:$F,$C775),INDEX(GL!$F:$F,$C775))="Y","NOW RECONCILED: refresh","OK")))</f>
        <v/>
      </c>
    </row>
    <row r="776" customFormat="false" ht="15" hidden="false" customHeight="false" outlineLevel="0" collapsed="false">
      <c r="A776" s="41"/>
      <c r="B776" s="41"/>
      <c r="C776" s="5" t="n">
        <f aca="false">IF(B776="",0,IF(A776="Bank",IFERROR(MATCH(B776,Bank!$A:$A,0),0),IFERROR(MATCH(B776,GL!$A:$A,0),0)))</f>
        <v>0</v>
      </c>
      <c r="D776" s="32" t="str">
        <f aca="false">IF(C776=0,"",IF($A776="Bank",INDEX(Bank!$B:$B,$C776),INDEX(GL!$B:$B,$C776)))</f>
        <v/>
      </c>
      <c r="E776" s="5" t="str">
        <f aca="false">IF(C776=0,"",IF($A776="Bank",IF(INDEX(Bank!$C:$C,$C776)="","",INDEX(Bank!$C:$C,$C776)),IF(INDEX(GL!$C:$C,$C776)="","",INDEX(GL!$C:$C,$C776))))</f>
        <v/>
      </c>
      <c r="F776" s="5" t="str">
        <f aca="false">IF(C776=0,"",IF($A776="Bank",IF(INDEX(Bank!$D:$D,$C776)="","",INDEX(Bank!$D:$D,$C776)),IF(INDEX(GL!$D:$D,$C776)="","",INDEX(GL!$D:$D,$C776))))</f>
        <v/>
      </c>
      <c r="G776" s="19" t="str">
        <f aca="false">IF(C776=0,"",IF($A776="Bank",INDEX(Bank!$E:$E,$C776),INDEX(GL!$E:$E,$C776)))</f>
        <v/>
      </c>
      <c r="H776" s="5" t="str">
        <f aca="false">IF(C776=0,"",IF(A776="GL",IF(G776&gt;0,"Deposit in transit","Outstanding check / payment"),IF(G776&gt;0,"Bank credit not in GL","Bank debit not in GL")))</f>
        <v/>
      </c>
      <c r="I776" s="42" t="str">
        <f aca="false">IF(OR(C776=0,CFG_PeriodEnd=""),"",CFG_PeriodEnd-D776)</f>
        <v/>
      </c>
      <c r="J776" s="5" t="str">
        <f aca="false">IF(C776=0,"",IF($A776="Bank",IF(INDEX(Bank!$G:$G,$C776)="","",INDEX(Bank!$G:$G,$C776)),IF(INDEX(GL!$G:$G,$C776)="","",INDEX(GL!$G:$G,$C776))))</f>
        <v/>
      </c>
      <c r="K776" s="5" t="str">
        <f aca="false">IF(C776=0,"",IF($A776="Bank",IF(INDEX(Bank!$I:$I,$C776)="","",INDEX(Bank!$I:$I,$C776)),IF(INDEX(GL!$I:$I,$C776)="","",INDEX(GL!$I:$I,$C776))))</f>
        <v/>
      </c>
      <c r="L776" s="5" t="str">
        <f aca="false">IF(B776="","",IF(C776=0,"NOT FOUND",IF(IF($A776="Bank",INDEX(Bank!$F:$F,$C776),INDEX(GL!$F:$F,$C776))="Y","NOW RECONCILED: refresh","OK")))</f>
        <v/>
      </c>
    </row>
    <row r="777" customFormat="false" ht="15" hidden="false" customHeight="false" outlineLevel="0" collapsed="false">
      <c r="A777" s="41"/>
      <c r="B777" s="41"/>
      <c r="C777" s="5" t="n">
        <f aca="false">IF(B777="",0,IF(A777="Bank",IFERROR(MATCH(B777,Bank!$A:$A,0),0),IFERROR(MATCH(B777,GL!$A:$A,0),0)))</f>
        <v>0</v>
      </c>
      <c r="D777" s="32" t="str">
        <f aca="false">IF(C777=0,"",IF($A777="Bank",INDEX(Bank!$B:$B,$C777),INDEX(GL!$B:$B,$C777)))</f>
        <v/>
      </c>
      <c r="E777" s="5" t="str">
        <f aca="false">IF(C777=0,"",IF($A777="Bank",IF(INDEX(Bank!$C:$C,$C777)="","",INDEX(Bank!$C:$C,$C777)),IF(INDEX(GL!$C:$C,$C777)="","",INDEX(GL!$C:$C,$C777))))</f>
        <v/>
      </c>
      <c r="F777" s="5" t="str">
        <f aca="false">IF(C777=0,"",IF($A777="Bank",IF(INDEX(Bank!$D:$D,$C777)="","",INDEX(Bank!$D:$D,$C777)),IF(INDEX(GL!$D:$D,$C777)="","",INDEX(GL!$D:$D,$C777))))</f>
        <v/>
      </c>
      <c r="G777" s="19" t="str">
        <f aca="false">IF(C777=0,"",IF($A777="Bank",INDEX(Bank!$E:$E,$C777),INDEX(GL!$E:$E,$C777)))</f>
        <v/>
      </c>
      <c r="H777" s="5" t="str">
        <f aca="false">IF(C777=0,"",IF(A777="GL",IF(G777&gt;0,"Deposit in transit","Outstanding check / payment"),IF(G777&gt;0,"Bank credit not in GL","Bank debit not in GL")))</f>
        <v/>
      </c>
      <c r="I777" s="42" t="str">
        <f aca="false">IF(OR(C777=0,CFG_PeriodEnd=""),"",CFG_PeriodEnd-D777)</f>
        <v/>
      </c>
      <c r="J777" s="5" t="str">
        <f aca="false">IF(C777=0,"",IF($A777="Bank",IF(INDEX(Bank!$G:$G,$C777)="","",INDEX(Bank!$G:$G,$C777)),IF(INDEX(GL!$G:$G,$C777)="","",INDEX(GL!$G:$G,$C777))))</f>
        <v/>
      </c>
      <c r="K777" s="5" t="str">
        <f aca="false">IF(C777=0,"",IF($A777="Bank",IF(INDEX(Bank!$I:$I,$C777)="","",INDEX(Bank!$I:$I,$C777)),IF(INDEX(GL!$I:$I,$C777)="","",INDEX(GL!$I:$I,$C777))))</f>
        <v/>
      </c>
      <c r="L777" s="5" t="str">
        <f aca="false">IF(B777="","",IF(C777=0,"NOT FOUND",IF(IF($A777="Bank",INDEX(Bank!$F:$F,$C777),INDEX(GL!$F:$F,$C777))="Y","NOW RECONCILED: refresh","OK")))</f>
        <v/>
      </c>
    </row>
    <row r="778" customFormat="false" ht="15" hidden="false" customHeight="false" outlineLevel="0" collapsed="false">
      <c r="A778" s="41"/>
      <c r="B778" s="41"/>
      <c r="C778" s="5" t="n">
        <f aca="false">IF(B778="",0,IF(A778="Bank",IFERROR(MATCH(B778,Bank!$A:$A,0),0),IFERROR(MATCH(B778,GL!$A:$A,0),0)))</f>
        <v>0</v>
      </c>
      <c r="D778" s="32" t="str">
        <f aca="false">IF(C778=0,"",IF($A778="Bank",INDEX(Bank!$B:$B,$C778),INDEX(GL!$B:$B,$C778)))</f>
        <v/>
      </c>
      <c r="E778" s="5" t="str">
        <f aca="false">IF(C778=0,"",IF($A778="Bank",IF(INDEX(Bank!$C:$C,$C778)="","",INDEX(Bank!$C:$C,$C778)),IF(INDEX(GL!$C:$C,$C778)="","",INDEX(GL!$C:$C,$C778))))</f>
        <v/>
      </c>
      <c r="F778" s="5" t="str">
        <f aca="false">IF(C778=0,"",IF($A778="Bank",IF(INDEX(Bank!$D:$D,$C778)="","",INDEX(Bank!$D:$D,$C778)),IF(INDEX(GL!$D:$D,$C778)="","",INDEX(GL!$D:$D,$C778))))</f>
        <v/>
      </c>
      <c r="G778" s="19" t="str">
        <f aca="false">IF(C778=0,"",IF($A778="Bank",INDEX(Bank!$E:$E,$C778),INDEX(GL!$E:$E,$C778)))</f>
        <v/>
      </c>
      <c r="H778" s="5" t="str">
        <f aca="false">IF(C778=0,"",IF(A778="GL",IF(G778&gt;0,"Deposit in transit","Outstanding check / payment"),IF(G778&gt;0,"Bank credit not in GL","Bank debit not in GL")))</f>
        <v/>
      </c>
      <c r="I778" s="42" t="str">
        <f aca="false">IF(OR(C778=0,CFG_PeriodEnd=""),"",CFG_PeriodEnd-D778)</f>
        <v/>
      </c>
      <c r="J778" s="5" t="str">
        <f aca="false">IF(C778=0,"",IF($A778="Bank",IF(INDEX(Bank!$G:$G,$C778)="","",INDEX(Bank!$G:$G,$C778)),IF(INDEX(GL!$G:$G,$C778)="","",INDEX(GL!$G:$G,$C778))))</f>
        <v/>
      </c>
      <c r="K778" s="5" t="str">
        <f aca="false">IF(C778=0,"",IF($A778="Bank",IF(INDEX(Bank!$I:$I,$C778)="","",INDEX(Bank!$I:$I,$C778)),IF(INDEX(GL!$I:$I,$C778)="","",INDEX(GL!$I:$I,$C778))))</f>
        <v/>
      </c>
      <c r="L778" s="5" t="str">
        <f aca="false">IF(B778="","",IF(C778=0,"NOT FOUND",IF(IF($A778="Bank",INDEX(Bank!$F:$F,$C778),INDEX(GL!$F:$F,$C778))="Y","NOW RECONCILED: refresh","OK")))</f>
        <v/>
      </c>
    </row>
    <row r="779" customFormat="false" ht="15" hidden="false" customHeight="false" outlineLevel="0" collapsed="false">
      <c r="A779" s="41"/>
      <c r="B779" s="41"/>
      <c r="C779" s="5" t="n">
        <f aca="false">IF(B779="",0,IF(A779="Bank",IFERROR(MATCH(B779,Bank!$A:$A,0),0),IFERROR(MATCH(B779,GL!$A:$A,0),0)))</f>
        <v>0</v>
      </c>
      <c r="D779" s="32" t="str">
        <f aca="false">IF(C779=0,"",IF($A779="Bank",INDEX(Bank!$B:$B,$C779),INDEX(GL!$B:$B,$C779)))</f>
        <v/>
      </c>
      <c r="E779" s="5" t="str">
        <f aca="false">IF(C779=0,"",IF($A779="Bank",IF(INDEX(Bank!$C:$C,$C779)="","",INDEX(Bank!$C:$C,$C779)),IF(INDEX(GL!$C:$C,$C779)="","",INDEX(GL!$C:$C,$C779))))</f>
        <v/>
      </c>
      <c r="F779" s="5" t="str">
        <f aca="false">IF(C779=0,"",IF($A779="Bank",IF(INDEX(Bank!$D:$D,$C779)="","",INDEX(Bank!$D:$D,$C779)),IF(INDEX(GL!$D:$D,$C779)="","",INDEX(GL!$D:$D,$C779))))</f>
        <v/>
      </c>
      <c r="G779" s="19" t="str">
        <f aca="false">IF(C779=0,"",IF($A779="Bank",INDEX(Bank!$E:$E,$C779),INDEX(GL!$E:$E,$C779)))</f>
        <v/>
      </c>
      <c r="H779" s="5" t="str">
        <f aca="false">IF(C779=0,"",IF(A779="GL",IF(G779&gt;0,"Deposit in transit","Outstanding check / payment"),IF(G779&gt;0,"Bank credit not in GL","Bank debit not in GL")))</f>
        <v/>
      </c>
      <c r="I779" s="42" t="str">
        <f aca="false">IF(OR(C779=0,CFG_PeriodEnd=""),"",CFG_PeriodEnd-D779)</f>
        <v/>
      </c>
      <c r="J779" s="5" t="str">
        <f aca="false">IF(C779=0,"",IF($A779="Bank",IF(INDEX(Bank!$G:$G,$C779)="","",INDEX(Bank!$G:$G,$C779)),IF(INDEX(GL!$G:$G,$C779)="","",INDEX(GL!$G:$G,$C779))))</f>
        <v/>
      </c>
      <c r="K779" s="5" t="str">
        <f aca="false">IF(C779=0,"",IF($A779="Bank",IF(INDEX(Bank!$I:$I,$C779)="","",INDEX(Bank!$I:$I,$C779)),IF(INDEX(GL!$I:$I,$C779)="","",INDEX(GL!$I:$I,$C779))))</f>
        <v/>
      </c>
      <c r="L779" s="5" t="str">
        <f aca="false">IF(B779="","",IF(C779=0,"NOT FOUND",IF(IF($A779="Bank",INDEX(Bank!$F:$F,$C779),INDEX(GL!$F:$F,$C779))="Y","NOW RECONCILED: refresh","OK")))</f>
        <v/>
      </c>
    </row>
    <row r="780" customFormat="false" ht="15" hidden="false" customHeight="false" outlineLevel="0" collapsed="false">
      <c r="A780" s="41"/>
      <c r="B780" s="41"/>
      <c r="C780" s="5" t="n">
        <f aca="false">IF(B780="",0,IF(A780="Bank",IFERROR(MATCH(B780,Bank!$A:$A,0),0),IFERROR(MATCH(B780,GL!$A:$A,0),0)))</f>
        <v>0</v>
      </c>
      <c r="D780" s="32" t="str">
        <f aca="false">IF(C780=0,"",IF($A780="Bank",INDEX(Bank!$B:$B,$C780),INDEX(GL!$B:$B,$C780)))</f>
        <v/>
      </c>
      <c r="E780" s="5" t="str">
        <f aca="false">IF(C780=0,"",IF($A780="Bank",IF(INDEX(Bank!$C:$C,$C780)="","",INDEX(Bank!$C:$C,$C780)),IF(INDEX(GL!$C:$C,$C780)="","",INDEX(GL!$C:$C,$C780))))</f>
        <v/>
      </c>
      <c r="F780" s="5" t="str">
        <f aca="false">IF(C780=0,"",IF($A780="Bank",IF(INDEX(Bank!$D:$D,$C780)="","",INDEX(Bank!$D:$D,$C780)),IF(INDEX(GL!$D:$D,$C780)="","",INDEX(GL!$D:$D,$C780))))</f>
        <v/>
      </c>
      <c r="G780" s="19" t="str">
        <f aca="false">IF(C780=0,"",IF($A780="Bank",INDEX(Bank!$E:$E,$C780),INDEX(GL!$E:$E,$C780)))</f>
        <v/>
      </c>
      <c r="H780" s="5" t="str">
        <f aca="false">IF(C780=0,"",IF(A780="GL",IF(G780&gt;0,"Deposit in transit","Outstanding check / payment"),IF(G780&gt;0,"Bank credit not in GL","Bank debit not in GL")))</f>
        <v/>
      </c>
      <c r="I780" s="42" t="str">
        <f aca="false">IF(OR(C780=0,CFG_PeriodEnd=""),"",CFG_PeriodEnd-D780)</f>
        <v/>
      </c>
      <c r="J780" s="5" t="str">
        <f aca="false">IF(C780=0,"",IF($A780="Bank",IF(INDEX(Bank!$G:$G,$C780)="","",INDEX(Bank!$G:$G,$C780)),IF(INDEX(GL!$G:$G,$C780)="","",INDEX(GL!$G:$G,$C780))))</f>
        <v/>
      </c>
      <c r="K780" s="5" t="str">
        <f aca="false">IF(C780=0,"",IF($A780="Bank",IF(INDEX(Bank!$I:$I,$C780)="","",INDEX(Bank!$I:$I,$C780)),IF(INDEX(GL!$I:$I,$C780)="","",INDEX(GL!$I:$I,$C780))))</f>
        <v/>
      </c>
      <c r="L780" s="5" t="str">
        <f aca="false">IF(B780="","",IF(C780=0,"NOT FOUND",IF(IF($A780="Bank",INDEX(Bank!$F:$F,$C780),INDEX(GL!$F:$F,$C780))="Y","NOW RECONCILED: refresh","OK")))</f>
        <v/>
      </c>
    </row>
    <row r="781" customFormat="false" ht="15" hidden="false" customHeight="false" outlineLevel="0" collapsed="false">
      <c r="A781" s="41"/>
      <c r="B781" s="41"/>
      <c r="C781" s="5" t="n">
        <f aca="false">IF(B781="",0,IF(A781="Bank",IFERROR(MATCH(B781,Bank!$A:$A,0),0),IFERROR(MATCH(B781,GL!$A:$A,0),0)))</f>
        <v>0</v>
      </c>
      <c r="D781" s="32" t="str">
        <f aca="false">IF(C781=0,"",IF($A781="Bank",INDEX(Bank!$B:$B,$C781),INDEX(GL!$B:$B,$C781)))</f>
        <v/>
      </c>
      <c r="E781" s="5" t="str">
        <f aca="false">IF(C781=0,"",IF($A781="Bank",IF(INDEX(Bank!$C:$C,$C781)="","",INDEX(Bank!$C:$C,$C781)),IF(INDEX(GL!$C:$C,$C781)="","",INDEX(GL!$C:$C,$C781))))</f>
        <v/>
      </c>
      <c r="F781" s="5" t="str">
        <f aca="false">IF(C781=0,"",IF($A781="Bank",IF(INDEX(Bank!$D:$D,$C781)="","",INDEX(Bank!$D:$D,$C781)),IF(INDEX(GL!$D:$D,$C781)="","",INDEX(GL!$D:$D,$C781))))</f>
        <v/>
      </c>
      <c r="G781" s="19" t="str">
        <f aca="false">IF(C781=0,"",IF($A781="Bank",INDEX(Bank!$E:$E,$C781),INDEX(GL!$E:$E,$C781)))</f>
        <v/>
      </c>
      <c r="H781" s="5" t="str">
        <f aca="false">IF(C781=0,"",IF(A781="GL",IF(G781&gt;0,"Deposit in transit","Outstanding check / payment"),IF(G781&gt;0,"Bank credit not in GL","Bank debit not in GL")))</f>
        <v/>
      </c>
      <c r="I781" s="42" t="str">
        <f aca="false">IF(OR(C781=0,CFG_PeriodEnd=""),"",CFG_PeriodEnd-D781)</f>
        <v/>
      </c>
      <c r="J781" s="5" t="str">
        <f aca="false">IF(C781=0,"",IF($A781="Bank",IF(INDEX(Bank!$G:$G,$C781)="","",INDEX(Bank!$G:$G,$C781)),IF(INDEX(GL!$G:$G,$C781)="","",INDEX(GL!$G:$G,$C781))))</f>
        <v/>
      </c>
      <c r="K781" s="5" t="str">
        <f aca="false">IF(C781=0,"",IF($A781="Bank",IF(INDEX(Bank!$I:$I,$C781)="","",INDEX(Bank!$I:$I,$C781)),IF(INDEX(GL!$I:$I,$C781)="","",INDEX(GL!$I:$I,$C781))))</f>
        <v/>
      </c>
      <c r="L781" s="5" t="str">
        <f aca="false">IF(B781="","",IF(C781=0,"NOT FOUND",IF(IF($A781="Bank",INDEX(Bank!$F:$F,$C781),INDEX(GL!$F:$F,$C781))="Y","NOW RECONCILED: refresh","OK")))</f>
        <v/>
      </c>
    </row>
    <row r="782" customFormat="false" ht="15" hidden="false" customHeight="false" outlineLevel="0" collapsed="false">
      <c r="A782" s="41"/>
      <c r="B782" s="41"/>
      <c r="C782" s="5" t="n">
        <f aca="false">IF(B782="",0,IF(A782="Bank",IFERROR(MATCH(B782,Bank!$A:$A,0),0),IFERROR(MATCH(B782,GL!$A:$A,0),0)))</f>
        <v>0</v>
      </c>
      <c r="D782" s="32" t="str">
        <f aca="false">IF(C782=0,"",IF($A782="Bank",INDEX(Bank!$B:$B,$C782),INDEX(GL!$B:$B,$C782)))</f>
        <v/>
      </c>
      <c r="E782" s="5" t="str">
        <f aca="false">IF(C782=0,"",IF($A782="Bank",IF(INDEX(Bank!$C:$C,$C782)="","",INDEX(Bank!$C:$C,$C782)),IF(INDEX(GL!$C:$C,$C782)="","",INDEX(GL!$C:$C,$C782))))</f>
        <v/>
      </c>
      <c r="F782" s="5" t="str">
        <f aca="false">IF(C782=0,"",IF($A782="Bank",IF(INDEX(Bank!$D:$D,$C782)="","",INDEX(Bank!$D:$D,$C782)),IF(INDEX(GL!$D:$D,$C782)="","",INDEX(GL!$D:$D,$C782))))</f>
        <v/>
      </c>
      <c r="G782" s="19" t="str">
        <f aca="false">IF(C782=0,"",IF($A782="Bank",INDEX(Bank!$E:$E,$C782),INDEX(GL!$E:$E,$C782)))</f>
        <v/>
      </c>
      <c r="H782" s="5" t="str">
        <f aca="false">IF(C782=0,"",IF(A782="GL",IF(G782&gt;0,"Deposit in transit","Outstanding check / payment"),IF(G782&gt;0,"Bank credit not in GL","Bank debit not in GL")))</f>
        <v/>
      </c>
      <c r="I782" s="42" t="str">
        <f aca="false">IF(OR(C782=0,CFG_PeriodEnd=""),"",CFG_PeriodEnd-D782)</f>
        <v/>
      </c>
      <c r="J782" s="5" t="str">
        <f aca="false">IF(C782=0,"",IF($A782="Bank",IF(INDEX(Bank!$G:$G,$C782)="","",INDEX(Bank!$G:$G,$C782)),IF(INDEX(GL!$G:$G,$C782)="","",INDEX(GL!$G:$G,$C782))))</f>
        <v/>
      </c>
      <c r="K782" s="5" t="str">
        <f aca="false">IF(C782=0,"",IF($A782="Bank",IF(INDEX(Bank!$I:$I,$C782)="","",INDEX(Bank!$I:$I,$C782)),IF(INDEX(GL!$I:$I,$C782)="","",INDEX(GL!$I:$I,$C782))))</f>
        <v/>
      </c>
      <c r="L782" s="5" t="str">
        <f aca="false">IF(B782="","",IF(C782=0,"NOT FOUND",IF(IF($A782="Bank",INDEX(Bank!$F:$F,$C782),INDEX(GL!$F:$F,$C782))="Y","NOW RECONCILED: refresh","OK")))</f>
        <v/>
      </c>
    </row>
    <row r="783" customFormat="false" ht="15" hidden="false" customHeight="false" outlineLevel="0" collapsed="false">
      <c r="A783" s="41"/>
      <c r="B783" s="41"/>
      <c r="C783" s="5" t="n">
        <f aca="false">IF(B783="",0,IF(A783="Bank",IFERROR(MATCH(B783,Bank!$A:$A,0),0),IFERROR(MATCH(B783,GL!$A:$A,0),0)))</f>
        <v>0</v>
      </c>
      <c r="D783" s="32" t="str">
        <f aca="false">IF(C783=0,"",IF($A783="Bank",INDEX(Bank!$B:$B,$C783),INDEX(GL!$B:$B,$C783)))</f>
        <v/>
      </c>
      <c r="E783" s="5" t="str">
        <f aca="false">IF(C783=0,"",IF($A783="Bank",IF(INDEX(Bank!$C:$C,$C783)="","",INDEX(Bank!$C:$C,$C783)),IF(INDEX(GL!$C:$C,$C783)="","",INDEX(GL!$C:$C,$C783))))</f>
        <v/>
      </c>
      <c r="F783" s="5" t="str">
        <f aca="false">IF(C783=0,"",IF($A783="Bank",IF(INDEX(Bank!$D:$D,$C783)="","",INDEX(Bank!$D:$D,$C783)),IF(INDEX(GL!$D:$D,$C783)="","",INDEX(GL!$D:$D,$C783))))</f>
        <v/>
      </c>
      <c r="G783" s="19" t="str">
        <f aca="false">IF(C783=0,"",IF($A783="Bank",INDEX(Bank!$E:$E,$C783),INDEX(GL!$E:$E,$C783)))</f>
        <v/>
      </c>
      <c r="H783" s="5" t="str">
        <f aca="false">IF(C783=0,"",IF(A783="GL",IF(G783&gt;0,"Deposit in transit","Outstanding check / payment"),IF(G783&gt;0,"Bank credit not in GL","Bank debit not in GL")))</f>
        <v/>
      </c>
      <c r="I783" s="42" t="str">
        <f aca="false">IF(OR(C783=0,CFG_PeriodEnd=""),"",CFG_PeriodEnd-D783)</f>
        <v/>
      </c>
      <c r="J783" s="5" t="str">
        <f aca="false">IF(C783=0,"",IF($A783="Bank",IF(INDEX(Bank!$G:$G,$C783)="","",INDEX(Bank!$G:$G,$C783)),IF(INDEX(GL!$G:$G,$C783)="","",INDEX(GL!$G:$G,$C783))))</f>
        <v/>
      </c>
      <c r="K783" s="5" t="str">
        <f aca="false">IF(C783=0,"",IF($A783="Bank",IF(INDEX(Bank!$I:$I,$C783)="","",INDEX(Bank!$I:$I,$C783)),IF(INDEX(GL!$I:$I,$C783)="","",INDEX(GL!$I:$I,$C783))))</f>
        <v/>
      </c>
      <c r="L783" s="5" t="str">
        <f aca="false">IF(B783="","",IF(C783=0,"NOT FOUND",IF(IF($A783="Bank",INDEX(Bank!$F:$F,$C783),INDEX(GL!$F:$F,$C783))="Y","NOW RECONCILED: refresh","OK")))</f>
        <v/>
      </c>
    </row>
    <row r="784" customFormat="false" ht="15" hidden="false" customHeight="false" outlineLevel="0" collapsed="false">
      <c r="A784" s="41"/>
      <c r="B784" s="41"/>
      <c r="C784" s="5" t="n">
        <f aca="false">IF(B784="",0,IF(A784="Bank",IFERROR(MATCH(B784,Bank!$A:$A,0),0),IFERROR(MATCH(B784,GL!$A:$A,0),0)))</f>
        <v>0</v>
      </c>
      <c r="D784" s="32" t="str">
        <f aca="false">IF(C784=0,"",IF($A784="Bank",INDEX(Bank!$B:$B,$C784),INDEX(GL!$B:$B,$C784)))</f>
        <v/>
      </c>
      <c r="E784" s="5" t="str">
        <f aca="false">IF(C784=0,"",IF($A784="Bank",IF(INDEX(Bank!$C:$C,$C784)="","",INDEX(Bank!$C:$C,$C784)),IF(INDEX(GL!$C:$C,$C784)="","",INDEX(GL!$C:$C,$C784))))</f>
        <v/>
      </c>
      <c r="F784" s="5" t="str">
        <f aca="false">IF(C784=0,"",IF($A784="Bank",IF(INDEX(Bank!$D:$D,$C784)="","",INDEX(Bank!$D:$D,$C784)),IF(INDEX(GL!$D:$D,$C784)="","",INDEX(GL!$D:$D,$C784))))</f>
        <v/>
      </c>
      <c r="G784" s="19" t="str">
        <f aca="false">IF(C784=0,"",IF($A784="Bank",INDEX(Bank!$E:$E,$C784),INDEX(GL!$E:$E,$C784)))</f>
        <v/>
      </c>
      <c r="H784" s="5" t="str">
        <f aca="false">IF(C784=0,"",IF(A784="GL",IF(G784&gt;0,"Deposit in transit","Outstanding check / payment"),IF(G784&gt;0,"Bank credit not in GL","Bank debit not in GL")))</f>
        <v/>
      </c>
      <c r="I784" s="42" t="str">
        <f aca="false">IF(OR(C784=0,CFG_PeriodEnd=""),"",CFG_PeriodEnd-D784)</f>
        <v/>
      </c>
      <c r="J784" s="5" t="str">
        <f aca="false">IF(C784=0,"",IF($A784="Bank",IF(INDEX(Bank!$G:$G,$C784)="","",INDEX(Bank!$G:$G,$C784)),IF(INDEX(GL!$G:$G,$C784)="","",INDEX(GL!$G:$G,$C784))))</f>
        <v/>
      </c>
      <c r="K784" s="5" t="str">
        <f aca="false">IF(C784=0,"",IF($A784="Bank",IF(INDEX(Bank!$I:$I,$C784)="","",INDEX(Bank!$I:$I,$C784)),IF(INDEX(GL!$I:$I,$C784)="","",INDEX(GL!$I:$I,$C784))))</f>
        <v/>
      </c>
      <c r="L784" s="5" t="str">
        <f aca="false">IF(B784="","",IF(C784=0,"NOT FOUND",IF(IF($A784="Bank",INDEX(Bank!$F:$F,$C784),INDEX(GL!$F:$F,$C784))="Y","NOW RECONCILED: refresh","OK")))</f>
        <v/>
      </c>
    </row>
    <row r="785" customFormat="false" ht="15" hidden="false" customHeight="false" outlineLevel="0" collapsed="false">
      <c r="A785" s="41"/>
      <c r="B785" s="41"/>
      <c r="C785" s="5" t="n">
        <f aca="false">IF(B785="",0,IF(A785="Bank",IFERROR(MATCH(B785,Bank!$A:$A,0),0),IFERROR(MATCH(B785,GL!$A:$A,0),0)))</f>
        <v>0</v>
      </c>
      <c r="D785" s="32" t="str">
        <f aca="false">IF(C785=0,"",IF($A785="Bank",INDEX(Bank!$B:$B,$C785),INDEX(GL!$B:$B,$C785)))</f>
        <v/>
      </c>
      <c r="E785" s="5" t="str">
        <f aca="false">IF(C785=0,"",IF($A785="Bank",IF(INDEX(Bank!$C:$C,$C785)="","",INDEX(Bank!$C:$C,$C785)),IF(INDEX(GL!$C:$C,$C785)="","",INDEX(GL!$C:$C,$C785))))</f>
        <v/>
      </c>
      <c r="F785" s="5" t="str">
        <f aca="false">IF(C785=0,"",IF($A785="Bank",IF(INDEX(Bank!$D:$D,$C785)="","",INDEX(Bank!$D:$D,$C785)),IF(INDEX(GL!$D:$D,$C785)="","",INDEX(GL!$D:$D,$C785))))</f>
        <v/>
      </c>
      <c r="G785" s="19" t="str">
        <f aca="false">IF(C785=0,"",IF($A785="Bank",INDEX(Bank!$E:$E,$C785),INDEX(GL!$E:$E,$C785)))</f>
        <v/>
      </c>
      <c r="H785" s="5" t="str">
        <f aca="false">IF(C785=0,"",IF(A785="GL",IF(G785&gt;0,"Deposit in transit","Outstanding check / payment"),IF(G785&gt;0,"Bank credit not in GL","Bank debit not in GL")))</f>
        <v/>
      </c>
      <c r="I785" s="42" t="str">
        <f aca="false">IF(OR(C785=0,CFG_PeriodEnd=""),"",CFG_PeriodEnd-D785)</f>
        <v/>
      </c>
      <c r="J785" s="5" t="str">
        <f aca="false">IF(C785=0,"",IF($A785="Bank",IF(INDEX(Bank!$G:$G,$C785)="","",INDEX(Bank!$G:$G,$C785)),IF(INDEX(GL!$G:$G,$C785)="","",INDEX(GL!$G:$G,$C785))))</f>
        <v/>
      </c>
      <c r="K785" s="5" t="str">
        <f aca="false">IF(C785=0,"",IF($A785="Bank",IF(INDEX(Bank!$I:$I,$C785)="","",INDEX(Bank!$I:$I,$C785)),IF(INDEX(GL!$I:$I,$C785)="","",INDEX(GL!$I:$I,$C785))))</f>
        <v/>
      </c>
      <c r="L785" s="5" t="str">
        <f aca="false">IF(B785="","",IF(C785=0,"NOT FOUND",IF(IF($A785="Bank",INDEX(Bank!$F:$F,$C785),INDEX(GL!$F:$F,$C785))="Y","NOW RECONCILED: refresh","OK")))</f>
        <v/>
      </c>
    </row>
    <row r="786" customFormat="false" ht="15" hidden="false" customHeight="false" outlineLevel="0" collapsed="false">
      <c r="A786" s="41"/>
      <c r="B786" s="41"/>
      <c r="C786" s="5" t="n">
        <f aca="false">IF(B786="",0,IF(A786="Bank",IFERROR(MATCH(B786,Bank!$A:$A,0),0),IFERROR(MATCH(B786,GL!$A:$A,0),0)))</f>
        <v>0</v>
      </c>
      <c r="D786" s="32" t="str">
        <f aca="false">IF(C786=0,"",IF($A786="Bank",INDEX(Bank!$B:$B,$C786),INDEX(GL!$B:$B,$C786)))</f>
        <v/>
      </c>
      <c r="E786" s="5" t="str">
        <f aca="false">IF(C786=0,"",IF($A786="Bank",IF(INDEX(Bank!$C:$C,$C786)="","",INDEX(Bank!$C:$C,$C786)),IF(INDEX(GL!$C:$C,$C786)="","",INDEX(GL!$C:$C,$C786))))</f>
        <v/>
      </c>
      <c r="F786" s="5" t="str">
        <f aca="false">IF(C786=0,"",IF($A786="Bank",IF(INDEX(Bank!$D:$D,$C786)="","",INDEX(Bank!$D:$D,$C786)),IF(INDEX(GL!$D:$D,$C786)="","",INDEX(GL!$D:$D,$C786))))</f>
        <v/>
      </c>
      <c r="G786" s="19" t="str">
        <f aca="false">IF(C786=0,"",IF($A786="Bank",INDEX(Bank!$E:$E,$C786),INDEX(GL!$E:$E,$C786)))</f>
        <v/>
      </c>
      <c r="H786" s="5" t="str">
        <f aca="false">IF(C786=0,"",IF(A786="GL",IF(G786&gt;0,"Deposit in transit","Outstanding check / payment"),IF(G786&gt;0,"Bank credit not in GL","Bank debit not in GL")))</f>
        <v/>
      </c>
      <c r="I786" s="42" t="str">
        <f aca="false">IF(OR(C786=0,CFG_PeriodEnd=""),"",CFG_PeriodEnd-D786)</f>
        <v/>
      </c>
      <c r="J786" s="5" t="str">
        <f aca="false">IF(C786=0,"",IF($A786="Bank",IF(INDEX(Bank!$G:$G,$C786)="","",INDEX(Bank!$G:$G,$C786)),IF(INDEX(GL!$G:$G,$C786)="","",INDEX(GL!$G:$G,$C786))))</f>
        <v/>
      </c>
      <c r="K786" s="5" t="str">
        <f aca="false">IF(C786=0,"",IF($A786="Bank",IF(INDEX(Bank!$I:$I,$C786)="","",INDEX(Bank!$I:$I,$C786)),IF(INDEX(GL!$I:$I,$C786)="","",INDEX(GL!$I:$I,$C786))))</f>
        <v/>
      </c>
      <c r="L786" s="5" t="str">
        <f aca="false">IF(B786="","",IF(C786=0,"NOT FOUND",IF(IF($A786="Bank",INDEX(Bank!$F:$F,$C786),INDEX(GL!$F:$F,$C786))="Y","NOW RECONCILED: refresh","OK")))</f>
        <v/>
      </c>
    </row>
    <row r="787" customFormat="false" ht="15" hidden="false" customHeight="false" outlineLevel="0" collapsed="false">
      <c r="A787" s="41"/>
      <c r="B787" s="41"/>
      <c r="C787" s="5" t="n">
        <f aca="false">IF(B787="",0,IF(A787="Bank",IFERROR(MATCH(B787,Bank!$A:$A,0),0),IFERROR(MATCH(B787,GL!$A:$A,0),0)))</f>
        <v>0</v>
      </c>
      <c r="D787" s="32" t="str">
        <f aca="false">IF(C787=0,"",IF($A787="Bank",INDEX(Bank!$B:$B,$C787),INDEX(GL!$B:$B,$C787)))</f>
        <v/>
      </c>
      <c r="E787" s="5" t="str">
        <f aca="false">IF(C787=0,"",IF($A787="Bank",IF(INDEX(Bank!$C:$C,$C787)="","",INDEX(Bank!$C:$C,$C787)),IF(INDEX(GL!$C:$C,$C787)="","",INDEX(GL!$C:$C,$C787))))</f>
        <v/>
      </c>
      <c r="F787" s="5" t="str">
        <f aca="false">IF(C787=0,"",IF($A787="Bank",IF(INDEX(Bank!$D:$D,$C787)="","",INDEX(Bank!$D:$D,$C787)),IF(INDEX(GL!$D:$D,$C787)="","",INDEX(GL!$D:$D,$C787))))</f>
        <v/>
      </c>
      <c r="G787" s="19" t="str">
        <f aca="false">IF(C787=0,"",IF($A787="Bank",INDEX(Bank!$E:$E,$C787),INDEX(GL!$E:$E,$C787)))</f>
        <v/>
      </c>
      <c r="H787" s="5" t="str">
        <f aca="false">IF(C787=0,"",IF(A787="GL",IF(G787&gt;0,"Deposit in transit","Outstanding check / payment"),IF(G787&gt;0,"Bank credit not in GL","Bank debit not in GL")))</f>
        <v/>
      </c>
      <c r="I787" s="42" t="str">
        <f aca="false">IF(OR(C787=0,CFG_PeriodEnd=""),"",CFG_PeriodEnd-D787)</f>
        <v/>
      </c>
      <c r="J787" s="5" t="str">
        <f aca="false">IF(C787=0,"",IF($A787="Bank",IF(INDEX(Bank!$G:$G,$C787)="","",INDEX(Bank!$G:$G,$C787)),IF(INDEX(GL!$G:$G,$C787)="","",INDEX(GL!$G:$G,$C787))))</f>
        <v/>
      </c>
      <c r="K787" s="5" t="str">
        <f aca="false">IF(C787=0,"",IF($A787="Bank",IF(INDEX(Bank!$I:$I,$C787)="","",INDEX(Bank!$I:$I,$C787)),IF(INDEX(GL!$I:$I,$C787)="","",INDEX(GL!$I:$I,$C787))))</f>
        <v/>
      </c>
      <c r="L787" s="5" t="str">
        <f aca="false">IF(B787="","",IF(C787=0,"NOT FOUND",IF(IF($A787="Bank",INDEX(Bank!$F:$F,$C787),INDEX(GL!$F:$F,$C787))="Y","NOW RECONCILED: refresh","OK")))</f>
        <v/>
      </c>
    </row>
    <row r="788" customFormat="false" ht="15" hidden="false" customHeight="false" outlineLevel="0" collapsed="false">
      <c r="A788" s="41"/>
      <c r="B788" s="41"/>
      <c r="C788" s="5" t="n">
        <f aca="false">IF(B788="",0,IF(A788="Bank",IFERROR(MATCH(B788,Bank!$A:$A,0),0),IFERROR(MATCH(B788,GL!$A:$A,0),0)))</f>
        <v>0</v>
      </c>
      <c r="D788" s="32" t="str">
        <f aca="false">IF(C788=0,"",IF($A788="Bank",INDEX(Bank!$B:$B,$C788),INDEX(GL!$B:$B,$C788)))</f>
        <v/>
      </c>
      <c r="E788" s="5" t="str">
        <f aca="false">IF(C788=0,"",IF($A788="Bank",IF(INDEX(Bank!$C:$C,$C788)="","",INDEX(Bank!$C:$C,$C788)),IF(INDEX(GL!$C:$C,$C788)="","",INDEX(GL!$C:$C,$C788))))</f>
        <v/>
      </c>
      <c r="F788" s="5" t="str">
        <f aca="false">IF(C788=0,"",IF($A788="Bank",IF(INDEX(Bank!$D:$D,$C788)="","",INDEX(Bank!$D:$D,$C788)),IF(INDEX(GL!$D:$D,$C788)="","",INDEX(GL!$D:$D,$C788))))</f>
        <v/>
      </c>
      <c r="G788" s="19" t="str">
        <f aca="false">IF(C788=0,"",IF($A788="Bank",INDEX(Bank!$E:$E,$C788),INDEX(GL!$E:$E,$C788)))</f>
        <v/>
      </c>
      <c r="H788" s="5" t="str">
        <f aca="false">IF(C788=0,"",IF(A788="GL",IF(G788&gt;0,"Deposit in transit","Outstanding check / payment"),IF(G788&gt;0,"Bank credit not in GL","Bank debit not in GL")))</f>
        <v/>
      </c>
      <c r="I788" s="42" t="str">
        <f aca="false">IF(OR(C788=0,CFG_PeriodEnd=""),"",CFG_PeriodEnd-D788)</f>
        <v/>
      </c>
      <c r="J788" s="5" t="str">
        <f aca="false">IF(C788=0,"",IF($A788="Bank",IF(INDEX(Bank!$G:$G,$C788)="","",INDEX(Bank!$G:$G,$C788)),IF(INDEX(GL!$G:$G,$C788)="","",INDEX(GL!$G:$G,$C788))))</f>
        <v/>
      </c>
      <c r="K788" s="5" t="str">
        <f aca="false">IF(C788=0,"",IF($A788="Bank",IF(INDEX(Bank!$I:$I,$C788)="","",INDEX(Bank!$I:$I,$C788)),IF(INDEX(GL!$I:$I,$C788)="","",INDEX(GL!$I:$I,$C788))))</f>
        <v/>
      </c>
      <c r="L788" s="5" t="str">
        <f aca="false">IF(B788="","",IF(C788=0,"NOT FOUND",IF(IF($A788="Bank",INDEX(Bank!$F:$F,$C788),INDEX(GL!$F:$F,$C788))="Y","NOW RECONCILED: refresh","OK")))</f>
        <v/>
      </c>
    </row>
    <row r="789" customFormat="false" ht="15" hidden="false" customHeight="false" outlineLevel="0" collapsed="false">
      <c r="A789" s="41"/>
      <c r="B789" s="41"/>
      <c r="C789" s="5" t="n">
        <f aca="false">IF(B789="",0,IF(A789="Bank",IFERROR(MATCH(B789,Bank!$A:$A,0),0),IFERROR(MATCH(B789,GL!$A:$A,0),0)))</f>
        <v>0</v>
      </c>
      <c r="D789" s="32" t="str">
        <f aca="false">IF(C789=0,"",IF($A789="Bank",INDEX(Bank!$B:$B,$C789),INDEX(GL!$B:$B,$C789)))</f>
        <v/>
      </c>
      <c r="E789" s="5" t="str">
        <f aca="false">IF(C789=0,"",IF($A789="Bank",IF(INDEX(Bank!$C:$C,$C789)="","",INDEX(Bank!$C:$C,$C789)),IF(INDEX(GL!$C:$C,$C789)="","",INDEX(GL!$C:$C,$C789))))</f>
        <v/>
      </c>
      <c r="F789" s="5" t="str">
        <f aca="false">IF(C789=0,"",IF($A789="Bank",IF(INDEX(Bank!$D:$D,$C789)="","",INDEX(Bank!$D:$D,$C789)),IF(INDEX(GL!$D:$D,$C789)="","",INDEX(GL!$D:$D,$C789))))</f>
        <v/>
      </c>
      <c r="G789" s="19" t="str">
        <f aca="false">IF(C789=0,"",IF($A789="Bank",INDEX(Bank!$E:$E,$C789),INDEX(GL!$E:$E,$C789)))</f>
        <v/>
      </c>
      <c r="H789" s="5" t="str">
        <f aca="false">IF(C789=0,"",IF(A789="GL",IF(G789&gt;0,"Deposit in transit","Outstanding check / payment"),IF(G789&gt;0,"Bank credit not in GL","Bank debit not in GL")))</f>
        <v/>
      </c>
      <c r="I789" s="42" t="str">
        <f aca="false">IF(OR(C789=0,CFG_PeriodEnd=""),"",CFG_PeriodEnd-D789)</f>
        <v/>
      </c>
      <c r="J789" s="5" t="str">
        <f aca="false">IF(C789=0,"",IF($A789="Bank",IF(INDEX(Bank!$G:$G,$C789)="","",INDEX(Bank!$G:$G,$C789)),IF(INDEX(GL!$G:$G,$C789)="","",INDEX(GL!$G:$G,$C789))))</f>
        <v/>
      </c>
      <c r="K789" s="5" t="str">
        <f aca="false">IF(C789=0,"",IF($A789="Bank",IF(INDEX(Bank!$I:$I,$C789)="","",INDEX(Bank!$I:$I,$C789)),IF(INDEX(GL!$I:$I,$C789)="","",INDEX(GL!$I:$I,$C789))))</f>
        <v/>
      </c>
      <c r="L789" s="5" t="str">
        <f aca="false">IF(B789="","",IF(C789=0,"NOT FOUND",IF(IF($A789="Bank",INDEX(Bank!$F:$F,$C789),INDEX(GL!$F:$F,$C789))="Y","NOW RECONCILED: refresh","OK")))</f>
        <v/>
      </c>
    </row>
    <row r="790" customFormat="false" ht="15" hidden="false" customHeight="false" outlineLevel="0" collapsed="false">
      <c r="A790" s="41"/>
      <c r="B790" s="41"/>
      <c r="C790" s="5" t="n">
        <f aca="false">IF(B790="",0,IF(A790="Bank",IFERROR(MATCH(B790,Bank!$A:$A,0),0),IFERROR(MATCH(B790,GL!$A:$A,0),0)))</f>
        <v>0</v>
      </c>
      <c r="D790" s="32" t="str">
        <f aca="false">IF(C790=0,"",IF($A790="Bank",INDEX(Bank!$B:$B,$C790),INDEX(GL!$B:$B,$C790)))</f>
        <v/>
      </c>
      <c r="E790" s="5" t="str">
        <f aca="false">IF(C790=0,"",IF($A790="Bank",IF(INDEX(Bank!$C:$C,$C790)="","",INDEX(Bank!$C:$C,$C790)),IF(INDEX(GL!$C:$C,$C790)="","",INDEX(GL!$C:$C,$C790))))</f>
        <v/>
      </c>
      <c r="F790" s="5" t="str">
        <f aca="false">IF(C790=0,"",IF($A790="Bank",IF(INDEX(Bank!$D:$D,$C790)="","",INDEX(Bank!$D:$D,$C790)),IF(INDEX(GL!$D:$D,$C790)="","",INDEX(GL!$D:$D,$C790))))</f>
        <v/>
      </c>
      <c r="G790" s="19" t="str">
        <f aca="false">IF(C790=0,"",IF($A790="Bank",INDEX(Bank!$E:$E,$C790),INDEX(GL!$E:$E,$C790)))</f>
        <v/>
      </c>
      <c r="H790" s="5" t="str">
        <f aca="false">IF(C790=0,"",IF(A790="GL",IF(G790&gt;0,"Deposit in transit","Outstanding check / payment"),IF(G790&gt;0,"Bank credit not in GL","Bank debit not in GL")))</f>
        <v/>
      </c>
      <c r="I790" s="42" t="str">
        <f aca="false">IF(OR(C790=0,CFG_PeriodEnd=""),"",CFG_PeriodEnd-D790)</f>
        <v/>
      </c>
      <c r="J790" s="5" t="str">
        <f aca="false">IF(C790=0,"",IF($A790="Bank",IF(INDEX(Bank!$G:$G,$C790)="","",INDEX(Bank!$G:$G,$C790)),IF(INDEX(GL!$G:$G,$C790)="","",INDEX(GL!$G:$G,$C790))))</f>
        <v/>
      </c>
      <c r="K790" s="5" t="str">
        <f aca="false">IF(C790=0,"",IF($A790="Bank",IF(INDEX(Bank!$I:$I,$C790)="","",INDEX(Bank!$I:$I,$C790)),IF(INDEX(GL!$I:$I,$C790)="","",INDEX(GL!$I:$I,$C790))))</f>
        <v/>
      </c>
      <c r="L790" s="5" t="str">
        <f aca="false">IF(B790="","",IF(C790=0,"NOT FOUND",IF(IF($A790="Bank",INDEX(Bank!$F:$F,$C790),INDEX(GL!$F:$F,$C790))="Y","NOW RECONCILED: refresh","OK")))</f>
        <v/>
      </c>
    </row>
    <row r="791" customFormat="false" ht="15" hidden="false" customHeight="false" outlineLevel="0" collapsed="false">
      <c r="A791" s="41"/>
      <c r="B791" s="41"/>
      <c r="C791" s="5" t="n">
        <f aca="false">IF(B791="",0,IF(A791="Bank",IFERROR(MATCH(B791,Bank!$A:$A,0),0),IFERROR(MATCH(B791,GL!$A:$A,0),0)))</f>
        <v>0</v>
      </c>
      <c r="D791" s="32" t="str">
        <f aca="false">IF(C791=0,"",IF($A791="Bank",INDEX(Bank!$B:$B,$C791),INDEX(GL!$B:$B,$C791)))</f>
        <v/>
      </c>
      <c r="E791" s="5" t="str">
        <f aca="false">IF(C791=0,"",IF($A791="Bank",IF(INDEX(Bank!$C:$C,$C791)="","",INDEX(Bank!$C:$C,$C791)),IF(INDEX(GL!$C:$C,$C791)="","",INDEX(GL!$C:$C,$C791))))</f>
        <v/>
      </c>
      <c r="F791" s="5" t="str">
        <f aca="false">IF(C791=0,"",IF($A791="Bank",IF(INDEX(Bank!$D:$D,$C791)="","",INDEX(Bank!$D:$D,$C791)),IF(INDEX(GL!$D:$D,$C791)="","",INDEX(GL!$D:$D,$C791))))</f>
        <v/>
      </c>
      <c r="G791" s="19" t="str">
        <f aca="false">IF(C791=0,"",IF($A791="Bank",INDEX(Bank!$E:$E,$C791),INDEX(GL!$E:$E,$C791)))</f>
        <v/>
      </c>
      <c r="H791" s="5" t="str">
        <f aca="false">IF(C791=0,"",IF(A791="GL",IF(G791&gt;0,"Deposit in transit","Outstanding check / payment"),IF(G791&gt;0,"Bank credit not in GL","Bank debit not in GL")))</f>
        <v/>
      </c>
      <c r="I791" s="42" t="str">
        <f aca="false">IF(OR(C791=0,CFG_PeriodEnd=""),"",CFG_PeriodEnd-D791)</f>
        <v/>
      </c>
      <c r="J791" s="5" t="str">
        <f aca="false">IF(C791=0,"",IF($A791="Bank",IF(INDEX(Bank!$G:$G,$C791)="","",INDEX(Bank!$G:$G,$C791)),IF(INDEX(GL!$G:$G,$C791)="","",INDEX(GL!$G:$G,$C791))))</f>
        <v/>
      </c>
      <c r="K791" s="5" t="str">
        <f aca="false">IF(C791=0,"",IF($A791="Bank",IF(INDEX(Bank!$I:$I,$C791)="","",INDEX(Bank!$I:$I,$C791)),IF(INDEX(GL!$I:$I,$C791)="","",INDEX(GL!$I:$I,$C791))))</f>
        <v/>
      </c>
      <c r="L791" s="5" t="str">
        <f aca="false">IF(B791="","",IF(C791=0,"NOT FOUND",IF(IF($A791="Bank",INDEX(Bank!$F:$F,$C791),INDEX(GL!$F:$F,$C791))="Y","NOW RECONCILED: refresh","OK")))</f>
        <v/>
      </c>
    </row>
    <row r="792" customFormat="false" ht="15" hidden="false" customHeight="false" outlineLevel="0" collapsed="false">
      <c r="A792" s="41"/>
      <c r="B792" s="41"/>
      <c r="C792" s="5" t="n">
        <f aca="false">IF(B792="",0,IF(A792="Bank",IFERROR(MATCH(B792,Bank!$A:$A,0),0),IFERROR(MATCH(B792,GL!$A:$A,0),0)))</f>
        <v>0</v>
      </c>
      <c r="D792" s="32" t="str">
        <f aca="false">IF(C792=0,"",IF($A792="Bank",INDEX(Bank!$B:$B,$C792),INDEX(GL!$B:$B,$C792)))</f>
        <v/>
      </c>
      <c r="E792" s="5" t="str">
        <f aca="false">IF(C792=0,"",IF($A792="Bank",IF(INDEX(Bank!$C:$C,$C792)="","",INDEX(Bank!$C:$C,$C792)),IF(INDEX(GL!$C:$C,$C792)="","",INDEX(GL!$C:$C,$C792))))</f>
        <v/>
      </c>
      <c r="F792" s="5" t="str">
        <f aca="false">IF(C792=0,"",IF($A792="Bank",IF(INDEX(Bank!$D:$D,$C792)="","",INDEX(Bank!$D:$D,$C792)),IF(INDEX(GL!$D:$D,$C792)="","",INDEX(GL!$D:$D,$C792))))</f>
        <v/>
      </c>
      <c r="G792" s="19" t="str">
        <f aca="false">IF(C792=0,"",IF($A792="Bank",INDEX(Bank!$E:$E,$C792),INDEX(GL!$E:$E,$C792)))</f>
        <v/>
      </c>
      <c r="H792" s="5" t="str">
        <f aca="false">IF(C792=0,"",IF(A792="GL",IF(G792&gt;0,"Deposit in transit","Outstanding check / payment"),IF(G792&gt;0,"Bank credit not in GL","Bank debit not in GL")))</f>
        <v/>
      </c>
      <c r="I792" s="42" t="str">
        <f aca="false">IF(OR(C792=0,CFG_PeriodEnd=""),"",CFG_PeriodEnd-D792)</f>
        <v/>
      </c>
      <c r="J792" s="5" t="str">
        <f aca="false">IF(C792=0,"",IF($A792="Bank",IF(INDEX(Bank!$G:$G,$C792)="","",INDEX(Bank!$G:$G,$C792)),IF(INDEX(GL!$G:$G,$C792)="","",INDEX(GL!$G:$G,$C792))))</f>
        <v/>
      </c>
      <c r="K792" s="5" t="str">
        <f aca="false">IF(C792=0,"",IF($A792="Bank",IF(INDEX(Bank!$I:$I,$C792)="","",INDEX(Bank!$I:$I,$C792)),IF(INDEX(GL!$I:$I,$C792)="","",INDEX(GL!$I:$I,$C792))))</f>
        <v/>
      </c>
      <c r="L792" s="5" t="str">
        <f aca="false">IF(B792="","",IF(C792=0,"NOT FOUND",IF(IF($A792="Bank",INDEX(Bank!$F:$F,$C792),INDEX(GL!$F:$F,$C792))="Y","NOW RECONCILED: refresh","OK")))</f>
        <v/>
      </c>
    </row>
    <row r="793" customFormat="false" ht="15" hidden="false" customHeight="false" outlineLevel="0" collapsed="false">
      <c r="A793" s="41"/>
      <c r="B793" s="41"/>
      <c r="C793" s="5" t="n">
        <f aca="false">IF(B793="",0,IF(A793="Bank",IFERROR(MATCH(B793,Bank!$A:$A,0),0),IFERROR(MATCH(B793,GL!$A:$A,0),0)))</f>
        <v>0</v>
      </c>
      <c r="D793" s="32" t="str">
        <f aca="false">IF(C793=0,"",IF($A793="Bank",INDEX(Bank!$B:$B,$C793),INDEX(GL!$B:$B,$C793)))</f>
        <v/>
      </c>
      <c r="E793" s="5" t="str">
        <f aca="false">IF(C793=0,"",IF($A793="Bank",IF(INDEX(Bank!$C:$C,$C793)="","",INDEX(Bank!$C:$C,$C793)),IF(INDEX(GL!$C:$C,$C793)="","",INDEX(GL!$C:$C,$C793))))</f>
        <v/>
      </c>
      <c r="F793" s="5" t="str">
        <f aca="false">IF(C793=0,"",IF($A793="Bank",IF(INDEX(Bank!$D:$D,$C793)="","",INDEX(Bank!$D:$D,$C793)),IF(INDEX(GL!$D:$D,$C793)="","",INDEX(GL!$D:$D,$C793))))</f>
        <v/>
      </c>
      <c r="G793" s="19" t="str">
        <f aca="false">IF(C793=0,"",IF($A793="Bank",INDEX(Bank!$E:$E,$C793),INDEX(GL!$E:$E,$C793)))</f>
        <v/>
      </c>
      <c r="H793" s="5" t="str">
        <f aca="false">IF(C793=0,"",IF(A793="GL",IF(G793&gt;0,"Deposit in transit","Outstanding check / payment"),IF(G793&gt;0,"Bank credit not in GL","Bank debit not in GL")))</f>
        <v/>
      </c>
      <c r="I793" s="42" t="str">
        <f aca="false">IF(OR(C793=0,CFG_PeriodEnd=""),"",CFG_PeriodEnd-D793)</f>
        <v/>
      </c>
      <c r="J793" s="5" t="str">
        <f aca="false">IF(C793=0,"",IF($A793="Bank",IF(INDEX(Bank!$G:$G,$C793)="","",INDEX(Bank!$G:$G,$C793)),IF(INDEX(GL!$G:$G,$C793)="","",INDEX(GL!$G:$G,$C793))))</f>
        <v/>
      </c>
      <c r="K793" s="5" t="str">
        <f aca="false">IF(C793=0,"",IF($A793="Bank",IF(INDEX(Bank!$I:$I,$C793)="","",INDEX(Bank!$I:$I,$C793)),IF(INDEX(GL!$I:$I,$C793)="","",INDEX(GL!$I:$I,$C793))))</f>
        <v/>
      </c>
      <c r="L793" s="5" t="str">
        <f aca="false">IF(B793="","",IF(C793=0,"NOT FOUND",IF(IF($A793="Bank",INDEX(Bank!$F:$F,$C793),INDEX(GL!$F:$F,$C793))="Y","NOW RECONCILED: refresh","OK")))</f>
        <v/>
      </c>
    </row>
    <row r="794" customFormat="false" ht="15" hidden="false" customHeight="false" outlineLevel="0" collapsed="false">
      <c r="A794" s="41"/>
      <c r="B794" s="41"/>
      <c r="C794" s="5" t="n">
        <f aca="false">IF(B794="",0,IF(A794="Bank",IFERROR(MATCH(B794,Bank!$A:$A,0),0),IFERROR(MATCH(B794,GL!$A:$A,0),0)))</f>
        <v>0</v>
      </c>
      <c r="D794" s="32" t="str">
        <f aca="false">IF(C794=0,"",IF($A794="Bank",INDEX(Bank!$B:$B,$C794),INDEX(GL!$B:$B,$C794)))</f>
        <v/>
      </c>
      <c r="E794" s="5" t="str">
        <f aca="false">IF(C794=0,"",IF($A794="Bank",IF(INDEX(Bank!$C:$C,$C794)="","",INDEX(Bank!$C:$C,$C794)),IF(INDEX(GL!$C:$C,$C794)="","",INDEX(GL!$C:$C,$C794))))</f>
        <v/>
      </c>
      <c r="F794" s="5" t="str">
        <f aca="false">IF(C794=0,"",IF($A794="Bank",IF(INDEX(Bank!$D:$D,$C794)="","",INDEX(Bank!$D:$D,$C794)),IF(INDEX(GL!$D:$D,$C794)="","",INDEX(GL!$D:$D,$C794))))</f>
        <v/>
      </c>
      <c r="G794" s="19" t="str">
        <f aca="false">IF(C794=0,"",IF($A794="Bank",INDEX(Bank!$E:$E,$C794),INDEX(GL!$E:$E,$C794)))</f>
        <v/>
      </c>
      <c r="H794" s="5" t="str">
        <f aca="false">IF(C794=0,"",IF(A794="GL",IF(G794&gt;0,"Deposit in transit","Outstanding check / payment"),IF(G794&gt;0,"Bank credit not in GL","Bank debit not in GL")))</f>
        <v/>
      </c>
      <c r="I794" s="42" t="str">
        <f aca="false">IF(OR(C794=0,CFG_PeriodEnd=""),"",CFG_PeriodEnd-D794)</f>
        <v/>
      </c>
      <c r="J794" s="5" t="str">
        <f aca="false">IF(C794=0,"",IF($A794="Bank",IF(INDEX(Bank!$G:$G,$C794)="","",INDEX(Bank!$G:$G,$C794)),IF(INDEX(GL!$G:$G,$C794)="","",INDEX(GL!$G:$G,$C794))))</f>
        <v/>
      </c>
      <c r="K794" s="5" t="str">
        <f aca="false">IF(C794=0,"",IF($A794="Bank",IF(INDEX(Bank!$I:$I,$C794)="","",INDEX(Bank!$I:$I,$C794)),IF(INDEX(GL!$I:$I,$C794)="","",INDEX(GL!$I:$I,$C794))))</f>
        <v/>
      </c>
      <c r="L794" s="5" t="str">
        <f aca="false">IF(B794="","",IF(C794=0,"NOT FOUND",IF(IF($A794="Bank",INDEX(Bank!$F:$F,$C794),INDEX(GL!$F:$F,$C794))="Y","NOW RECONCILED: refresh","OK")))</f>
        <v/>
      </c>
    </row>
    <row r="795" customFormat="false" ht="15" hidden="false" customHeight="false" outlineLevel="0" collapsed="false">
      <c r="A795" s="41"/>
      <c r="B795" s="41"/>
      <c r="C795" s="5" t="n">
        <f aca="false">IF(B795="",0,IF(A795="Bank",IFERROR(MATCH(B795,Bank!$A:$A,0),0),IFERROR(MATCH(B795,GL!$A:$A,0),0)))</f>
        <v>0</v>
      </c>
      <c r="D795" s="32" t="str">
        <f aca="false">IF(C795=0,"",IF($A795="Bank",INDEX(Bank!$B:$B,$C795),INDEX(GL!$B:$B,$C795)))</f>
        <v/>
      </c>
      <c r="E795" s="5" t="str">
        <f aca="false">IF(C795=0,"",IF($A795="Bank",IF(INDEX(Bank!$C:$C,$C795)="","",INDEX(Bank!$C:$C,$C795)),IF(INDEX(GL!$C:$C,$C795)="","",INDEX(GL!$C:$C,$C795))))</f>
        <v/>
      </c>
      <c r="F795" s="5" t="str">
        <f aca="false">IF(C795=0,"",IF($A795="Bank",IF(INDEX(Bank!$D:$D,$C795)="","",INDEX(Bank!$D:$D,$C795)),IF(INDEX(GL!$D:$D,$C795)="","",INDEX(GL!$D:$D,$C795))))</f>
        <v/>
      </c>
      <c r="G795" s="19" t="str">
        <f aca="false">IF(C795=0,"",IF($A795="Bank",INDEX(Bank!$E:$E,$C795),INDEX(GL!$E:$E,$C795)))</f>
        <v/>
      </c>
      <c r="H795" s="5" t="str">
        <f aca="false">IF(C795=0,"",IF(A795="GL",IF(G795&gt;0,"Deposit in transit","Outstanding check / payment"),IF(G795&gt;0,"Bank credit not in GL","Bank debit not in GL")))</f>
        <v/>
      </c>
      <c r="I795" s="42" t="str">
        <f aca="false">IF(OR(C795=0,CFG_PeriodEnd=""),"",CFG_PeriodEnd-D795)</f>
        <v/>
      </c>
      <c r="J795" s="5" t="str">
        <f aca="false">IF(C795=0,"",IF($A795="Bank",IF(INDEX(Bank!$G:$G,$C795)="","",INDEX(Bank!$G:$G,$C795)),IF(INDEX(GL!$G:$G,$C795)="","",INDEX(GL!$G:$G,$C795))))</f>
        <v/>
      </c>
      <c r="K795" s="5" t="str">
        <f aca="false">IF(C795=0,"",IF($A795="Bank",IF(INDEX(Bank!$I:$I,$C795)="","",INDEX(Bank!$I:$I,$C795)),IF(INDEX(GL!$I:$I,$C795)="","",INDEX(GL!$I:$I,$C795))))</f>
        <v/>
      </c>
      <c r="L795" s="5" t="str">
        <f aca="false">IF(B795="","",IF(C795=0,"NOT FOUND",IF(IF($A795="Bank",INDEX(Bank!$F:$F,$C795),INDEX(GL!$F:$F,$C795))="Y","NOW RECONCILED: refresh","OK")))</f>
        <v/>
      </c>
    </row>
    <row r="796" customFormat="false" ht="15" hidden="false" customHeight="false" outlineLevel="0" collapsed="false">
      <c r="A796" s="41"/>
      <c r="B796" s="41"/>
      <c r="C796" s="5" t="n">
        <f aca="false">IF(B796="",0,IF(A796="Bank",IFERROR(MATCH(B796,Bank!$A:$A,0),0),IFERROR(MATCH(B796,GL!$A:$A,0),0)))</f>
        <v>0</v>
      </c>
      <c r="D796" s="32" t="str">
        <f aca="false">IF(C796=0,"",IF($A796="Bank",INDEX(Bank!$B:$B,$C796),INDEX(GL!$B:$B,$C796)))</f>
        <v/>
      </c>
      <c r="E796" s="5" t="str">
        <f aca="false">IF(C796=0,"",IF($A796="Bank",IF(INDEX(Bank!$C:$C,$C796)="","",INDEX(Bank!$C:$C,$C796)),IF(INDEX(GL!$C:$C,$C796)="","",INDEX(GL!$C:$C,$C796))))</f>
        <v/>
      </c>
      <c r="F796" s="5" t="str">
        <f aca="false">IF(C796=0,"",IF($A796="Bank",IF(INDEX(Bank!$D:$D,$C796)="","",INDEX(Bank!$D:$D,$C796)),IF(INDEX(GL!$D:$D,$C796)="","",INDEX(GL!$D:$D,$C796))))</f>
        <v/>
      </c>
      <c r="G796" s="19" t="str">
        <f aca="false">IF(C796=0,"",IF($A796="Bank",INDEX(Bank!$E:$E,$C796),INDEX(GL!$E:$E,$C796)))</f>
        <v/>
      </c>
      <c r="H796" s="5" t="str">
        <f aca="false">IF(C796=0,"",IF(A796="GL",IF(G796&gt;0,"Deposit in transit","Outstanding check / payment"),IF(G796&gt;0,"Bank credit not in GL","Bank debit not in GL")))</f>
        <v/>
      </c>
      <c r="I796" s="42" t="str">
        <f aca="false">IF(OR(C796=0,CFG_PeriodEnd=""),"",CFG_PeriodEnd-D796)</f>
        <v/>
      </c>
      <c r="J796" s="5" t="str">
        <f aca="false">IF(C796=0,"",IF($A796="Bank",IF(INDEX(Bank!$G:$G,$C796)="","",INDEX(Bank!$G:$G,$C796)),IF(INDEX(GL!$G:$G,$C796)="","",INDEX(GL!$G:$G,$C796))))</f>
        <v/>
      </c>
      <c r="K796" s="5" t="str">
        <f aca="false">IF(C796=0,"",IF($A796="Bank",IF(INDEX(Bank!$I:$I,$C796)="","",INDEX(Bank!$I:$I,$C796)),IF(INDEX(GL!$I:$I,$C796)="","",INDEX(GL!$I:$I,$C796))))</f>
        <v/>
      </c>
      <c r="L796" s="5" t="str">
        <f aca="false">IF(B796="","",IF(C796=0,"NOT FOUND",IF(IF($A796="Bank",INDEX(Bank!$F:$F,$C796),INDEX(GL!$F:$F,$C796))="Y","NOW RECONCILED: refresh","OK")))</f>
        <v/>
      </c>
    </row>
    <row r="797" customFormat="false" ht="15" hidden="false" customHeight="false" outlineLevel="0" collapsed="false">
      <c r="A797" s="41"/>
      <c r="B797" s="41"/>
      <c r="C797" s="5" t="n">
        <f aca="false">IF(B797="",0,IF(A797="Bank",IFERROR(MATCH(B797,Bank!$A:$A,0),0),IFERROR(MATCH(B797,GL!$A:$A,0),0)))</f>
        <v>0</v>
      </c>
      <c r="D797" s="32" t="str">
        <f aca="false">IF(C797=0,"",IF($A797="Bank",INDEX(Bank!$B:$B,$C797),INDEX(GL!$B:$B,$C797)))</f>
        <v/>
      </c>
      <c r="E797" s="5" t="str">
        <f aca="false">IF(C797=0,"",IF($A797="Bank",IF(INDEX(Bank!$C:$C,$C797)="","",INDEX(Bank!$C:$C,$C797)),IF(INDEX(GL!$C:$C,$C797)="","",INDEX(GL!$C:$C,$C797))))</f>
        <v/>
      </c>
      <c r="F797" s="5" t="str">
        <f aca="false">IF(C797=0,"",IF($A797="Bank",IF(INDEX(Bank!$D:$D,$C797)="","",INDEX(Bank!$D:$D,$C797)),IF(INDEX(GL!$D:$D,$C797)="","",INDEX(GL!$D:$D,$C797))))</f>
        <v/>
      </c>
      <c r="G797" s="19" t="str">
        <f aca="false">IF(C797=0,"",IF($A797="Bank",INDEX(Bank!$E:$E,$C797),INDEX(GL!$E:$E,$C797)))</f>
        <v/>
      </c>
      <c r="H797" s="5" t="str">
        <f aca="false">IF(C797=0,"",IF(A797="GL",IF(G797&gt;0,"Deposit in transit","Outstanding check / payment"),IF(G797&gt;0,"Bank credit not in GL","Bank debit not in GL")))</f>
        <v/>
      </c>
      <c r="I797" s="42" t="str">
        <f aca="false">IF(OR(C797=0,CFG_PeriodEnd=""),"",CFG_PeriodEnd-D797)</f>
        <v/>
      </c>
      <c r="J797" s="5" t="str">
        <f aca="false">IF(C797=0,"",IF($A797="Bank",IF(INDEX(Bank!$G:$G,$C797)="","",INDEX(Bank!$G:$G,$C797)),IF(INDEX(GL!$G:$G,$C797)="","",INDEX(GL!$G:$G,$C797))))</f>
        <v/>
      </c>
      <c r="K797" s="5" t="str">
        <f aca="false">IF(C797=0,"",IF($A797="Bank",IF(INDEX(Bank!$I:$I,$C797)="","",INDEX(Bank!$I:$I,$C797)),IF(INDEX(GL!$I:$I,$C797)="","",INDEX(GL!$I:$I,$C797))))</f>
        <v/>
      </c>
      <c r="L797" s="5" t="str">
        <f aca="false">IF(B797="","",IF(C797=0,"NOT FOUND",IF(IF($A797="Bank",INDEX(Bank!$F:$F,$C797),INDEX(GL!$F:$F,$C797))="Y","NOW RECONCILED: refresh","OK")))</f>
        <v/>
      </c>
    </row>
    <row r="798" customFormat="false" ht="15" hidden="false" customHeight="false" outlineLevel="0" collapsed="false">
      <c r="A798" s="41"/>
      <c r="B798" s="41"/>
      <c r="C798" s="5" t="n">
        <f aca="false">IF(B798="",0,IF(A798="Bank",IFERROR(MATCH(B798,Bank!$A:$A,0),0),IFERROR(MATCH(B798,GL!$A:$A,0),0)))</f>
        <v>0</v>
      </c>
      <c r="D798" s="32" t="str">
        <f aca="false">IF(C798=0,"",IF($A798="Bank",INDEX(Bank!$B:$B,$C798),INDEX(GL!$B:$B,$C798)))</f>
        <v/>
      </c>
      <c r="E798" s="5" t="str">
        <f aca="false">IF(C798=0,"",IF($A798="Bank",IF(INDEX(Bank!$C:$C,$C798)="","",INDEX(Bank!$C:$C,$C798)),IF(INDEX(GL!$C:$C,$C798)="","",INDEX(GL!$C:$C,$C798))))</f>
        <v/>
      </c>
      <c r="F798" s="5" t="str">
        <f aca="false">IF(C798=0,"",IF($A798="Bank",IF(INDEX(Bank!$D:$D,$C798)="","",INDEX(Bank!$D:$D,$C798)),IF(INDEX(GL!$D:$D,$C798)="","",INDEX(GL!$D:$D,$C798))))</f>
        <v/>
      </c>
      <c r="G798" s="19" t="str">
        <f aca="false">IF(C798=0,"",IF($A798="Bank",INDEX(Bank!$E:$E,$C798),INDEX(GL!$E:$E,$C798)))</f>
        <v/>
      </c>
      <c r="H798" s="5" t="str">
        <f aca="false">IF(C798=0,"",IF(A798="GL",IF(G798&gt;0,"Deposit in transit","Outstanding check / payment"),IF(G798&gt;0,"Bank credit not in GL","Bank debit not in GL")))</f>
        <v/>
      </c>
      <c r="I798" s="42" t="str">
        <f aca="false">IF(OR(C798=0,CFG_PeriodEnd=""),"",CFG_PeriodEnd-D798)</f>
        <v/>
      </c>
      <c r="J798" s="5" t="str">
        <f aca="false">IF(C798=0,"",IF($A798="Bank",IF(INDEX(Bank!$G:$G,$C798)="","",INDEX(Bank!$G:$G,$C798)),IF(INDEX(GL!$G:$G,$C798)="","",INDEX(GL!$G:$G,$C798))))</f>
        <v/>
      </c>
      <c r="K798" s="5" t="str">
        <f aca="false">IF(C798=0,"",IF($A798="Bank",IF(INDEX(Bank!$I:$I,$C798)="","",INDEX(Bank!$I:$I,$C798)),IF(INDEX(GL!$I:$I,$C798)="","",INDEX(GL!$I:$I,$C798))))</f>
        <v/>
      </c>
      <c r="L798" s="5" t="str">
        <f aca="false">IF(B798="","",IF(C798=0,"NOT FOUND",IF(IF($A798="Bank",INDEX(Bank!$F:$F,$C798),INDEX(GL!$F:$F,$C798))="Y","NOW RECONCILED: refresh","OK")))</f>
        <v/>
      </c>
    </row>
    <row r="799" customFormat="false" ht="15" hidden="false" customHeight="false" outlineLevel="0" collapsed="false">
      <c r="A799" s="41"/>
      <c r="B799" s="41"/>
      <c r="C799" s="5" t="n">
        <f aca="false">IF(B799="",0,IF(A799="Bank",IFERROR(MATCH(B799,Bank!$A:$A,0),0),IFERROR(MATCH(B799,GL!$A:$A,0),0)))</f>
        <v>0</v>
      </c>
      <c r="D799" s="32" t="str">
        <f aca="false">IF(C799=0,"",IF($A799="Bank",INDEX(Bank!$B:$B,$C799),INDEX(GL!$B:$B,$C799)))</f>
        <v/>
      </c>
      <c r="E799" s="5" t="str">
        <f aca="false">IF(C799=0,"",IF($A799="Bank",IF(INDEX(Bank!$C:$C,$C799)="","",INDEX(Bank!$C:$C,$C799)),IF(INDEX(GL!$C:$C,$C799)="","",INDEX(GL!$C:$C,$C799))))</f>
        <v/>
      </c>
      <c r="F799" s="5" t="str">
        <f aca="false">IF(C799=0,"",IF($A799="Bank",IF(INDEX(Bank!$D:$D,$C799)="","",INDEX(Bank!$D:$D,$C799)),IF(INDEX(GL!$D:$D,$C799)="","",INDEX(GL!$D:$D,$C799))))</f>
        <v/>
      </c>
      <c r="G799" s="19" t="str">
        <f aca="false">IF(C799=0,"",IF($A799="Bank",INDEX(Bank!$E:$E,$C799),INDEX(GL!$E:$E,$C799)))</f>
        <v/>
      </c>
      <c r="H799" s="5" t="str">
        <f aca="false">IF(C799=0,"",IF(A799="GL",IF(G799&gt;0,"Deposit in transit","Outstanding check / payment"),IF(G799&gt;0,"Bank credit not in GL","Bank debit not in GL")))</f>
        <v/>
      </c>
      <c r="I799" s="42" t="str">
        <f aca="false">IF(OR(C799=0,CFG_PeriodEnd=""),"",CFG_PeriodEnd-D799)</f>
        <v/>
      </c>
      <c r="J799" s="5" t="str">
        <f aca="false">IF(C799=0,"",IF($A799="Bank",IF(INDEX(Bank!$G:$G,$C799)="","",INDEX(Bank!$G:$G,$C799)),IF(INDEX(GL!$G:$G,$C799)="","",INDEX(GL!$G:$G,$C799))))</f>
        <v/>
      </c>
      <c r="K799" s="5" t="str">
        <f aca="false">IF(C799=0,"",IF($A799="Bank",IF(INDEX(Bank!$I:$I,$C799)="","",INDEX(Bank!$I:$I,$C799)),IF(INDEX(GL!$I:$I,$C799)="","",INDEX(GL!$I:$I,$C799))))</f>
        <v/>
      </c>
      <c r="L799" s="5" t="str">
        <f aca="false">IF(B799="","",IF(C799=0,"NOT FOUND",IF(IF($A799="Bank",INDEX(Bank!$F:$F,$C799),INDEX(GL!$F:$F,$C799))="Y","NOW RECONCILED: refresh","OK")))</f>
        <v/>
      </c>
    </row>
    <row r="800" customFormat="false" ht="15" hidden="false" customHeight="false" outlineLevel="0" collapsed="false">
      <c r="A800" s="41"/>
      <c r="B800" s="41"/>
      <c r="C800" s="5" t="n">
        <f aca="false">IF(B800="",0,IF(A800="Bank",IFERROR(MATCH(B800,Bank!$A:$A,0),0),IFERROR(MATCH(B800,GL!$A:$A,0),0)))</f>
        <v>0</v>
      </c>
      <c r="D800" s="32" t="str">
        <f aca="false">IF(C800=0,"",IF($A800="Bank",INDEX(Bank!$B:$B,$C800),INDEX(GL!$B:$B,$C800)))</f>
        <v/>
      </c>
      <c r="E800" s="5" t="str">
        <f aca="false">IF(C800=0,"",IF($A800="Bank",IF(INDEX(Bank!$C:$C,$C800)="","",INDEX(Bank!$C:$C,$C800)),IF(INDEX(GL!$C:$C,$C800)="","",INDEX(GL!$C:$C,$C800))))</f>
        <v/>
      </c>
      <c r="F800" s="5" t="str">
        <f aca="false">IF(C800=0,"",IF($A800="Bank",IF(INDEX(Bank!$D:$D,$C800)="","",INDEX(Bank!$D:$D,$C800)),IF(INDEX(GL!$D:$D,$C800)="","",INDEX(GL!$D:$D,$C800))))</f>
        <v/>
      </c>
      <c r="G800" s="19" t="str">
        <f aca="false">IF(C800=0,"",IF($A800="Bank",INDEX(Bank!$E:$E,$C800),INDEX(GL!$E:$E,$C800)))</f>
        <v/>
      </c>
      <c r="H800" s="5" t="str">
        <f aca="false">IF(C800=0,"",IF(A800="GL",IF(G800&gt;0,"Deposit in transit","Outstanding check / payment"),IF(G800&gt;0,"Bank credit not in GL","Bank debit not in GL")))</f>
        <v/>
      </c>
      <c r="I800" s="42" t="str">
        <f aca="false">IF(OR(C800=0,CFG_PeriodEnd=""),"",CFG_PeriodEnd-D800)</f>
        <v/>
      </c>
      <c r="J800" s="5" t="str">
        <f aca="false">IF(C800=0,"",IF($A800="Bank",IF(INDEX(Bank!$G:$G,$C800)="","",INDEX(Bank!$G:$G,$C800)),IF(INDEX(GL!$G:$G,$C800)="","",INDEX(GL!$G:$G,$C800))))</f>
        <v/>
      </c>
      <c r="K800" s="5" t="str">
        <f aca="false">IF(C800=0,"",IF($A800="Bank",IF(INDEX(Bank!$I:$I,$C800)="","",INDEX(Bank!$I:$I,$C800)),IF(INDEX(GL!$I:$I,$C800)="","",INDEX(GL!$I:$I,$C800))))</f>
        <v/>
      </c>
      <c r="L800" s="5" t="str">
        <f aca="false">IF(B800="","",IF(C800=0,"NOT FOUND",IF(IF($A800="Bank",INDEX(Bank!$F:$F,$C800),INDEX(GL!$F:$F,$C800))="Y","NOW RECONCILED: refresh","OK")))</f>
        <v/>
      </c>
    </row>
    <row r="801" customFormat="false" ht="15" hidden="false" customHeight="false" outlineLevel="0" collapsed="false">
      <c r="A801" s="41"/>
      <c r="B801" s="41"/>
      <c r="C801" s="5" t="n">
        <f aca="false">IF(B801="",0,IF(A801="Bank",IFERROR(MATCH(B801,Bank!$A:$A,0),0),IFERROR(MATCH(B801,GL!$A:$A,0),0)))</f>
        <v>0</v>
      </c>
      <c r="D801" s="32" t="str">
        <f aca="false">IF(C801=0,"",IF($A801="Bank",INDEX(Bank!$B:$B,$C801),INDEX(GL!$B:$B,$C801)))</f>
        <v/>
      </c>
      <c r="E801" s="5" t="str">
        <f aca="false">IF(C801=0,"",IF($A801="Bank",IF(INDEX(Bank!$C:$C,$C801)="","",INDEX(Bank!$C:$C,$C801)),IF(INDEX(GL!$C:$C,$C801)="","",INDEX(GL!$C:$C,$C801))))</f>
        <v/>
      </c>
      <c r="F801" s="5" t="str">
        <f aca="false">IF(C801=0,"",IF($A801="Bank",IF(INDEX(Bank!$D:$D,$C801)="","",INDEX(Bank!$D:$D,$C801)),IF(INDEX(GL!$D:$D,$C801)="","",INDEX(GL!$D:$D,$C801))))</f>
        <v/>
      </c>
      <c r="G801" s="19" t="str">
        <f aca="false">IF(C801=0,"",IF($A801="Bank",INDEX(Bank!$E:$E,$C801),INDEX(GL!$E:$E,$C801)))</f>
        <v/>
      </c>
      <c r="H801" s="5" t="str">
        <f aca="false">IF(C801=0,"",IF(A801="GL",IF(G801&gt;0,"Deposit in transit","Outstanding check / payment"),IF(G801&gt;0,"Bank credit not in GL","Bank debit not in GL")))</f>
        <v/>
      </c>
      <c r="I801" s="42" t="str">
        <f aca="false">IF(OR(C801=0,CFG_PeriodEnd=""),"",CFG_PeriodEnd-D801)</f>
        <v/>
      </c>
      <c r="J801" s="5" t="str">
        <f aca="false">IF(C801=0,"",IF($A801="Bank",IF(INDEX(Bank!$G:$G,$C801)="","",INDEX(Bank!$G:$G,$C801)),IF(INDEX(GL!$G:$G,$C801)="","",INDEX(GL!$G:$G,$C801))))</f>
        <v/>
      </c>
      <c r="K801" s="5" t="str">
        <f aca="false">IF(C801=0,"",IF($A801="Bank",IF(INDEX(Bank!$I:$I,$C801)="","",INDEX(Bank!$I:$I,$C801)),IF(INDEX(GL!$I:$I,$C801)="","",INDEX(GL!$I:$I,$C801))))</f>
        <v/>
      </c>
      <c r="L801" s="5" t="str">
        <f aca="false">IF(B801="","",IF(C801=0,"NOT FOUND",IF(IF($A801="Bank",INDEX(Bank!$F:$F,$C801),INDEX(GL!$F:$F,$C801))="Y","NOW RECONCILED: refresh","OK")))</f>
        <v/>
      </c>
    </row>
    <row r="802" customFormat="false" ht="15" hidden="false" customHeight="false" outlineLevel="0" collapsed="false">
      <c r="A802" s="41"/>
      <c r="B802" s="41"/>
      <c r="C802" s="5" t="n">
        <f aca="false">IF(B802="",0,IF(A802="Bank",IFERROR(MATCH(B802,Bank!$A:$A,0),0),IFERROR(MATCH(B802,GL!$A:$A,0),0)))</f>
        <v>0</v>
      </c>
      <c r="D802" s="32" t="str">
        <f aca="false">IF(C802=0,"",IF($A802="Bank",INDEX(Bank!$B:$B,$C802),INDEX(GL!$B:$B,$C802)))</f>
        <v/>
      </c>
      <c r="E802" s="5" t="str">
        <f aca="false">IF(C802=0,"",IF($A802="Bank",IF(INDEX(Bank!$C:$C,$C802)="","",INDEX(Bank!$C:$C,$C802)),IF(INDEX(GL!$C:$C,$C802)="","",INDEX(GL!$C:$C,$C802))))</f>
        <v/>
      </c>
      <c r="F802" s="5" t="str">
        <f aca="false">IF(C802=0,"",IF($A802="Bank",IF(INDEX(Bank!$D:$D,$C802)="","",INDEX(Bank!$D:$D,$C802)),IF(INDEX(GL!$D:$D,$C802)="","",INDEX(GL!$D:$D,$C802))))</f>
        <v/>
      </c>
      <c r="G802" s="19" t="str">
        <f aca="false">IF(C802=0,"",IF($A802="Bank",INDEX(Bank!$E:$E,$C802),INDEX(GL!$E:$E,$C802)))</f>
        <v/>
      </c>
      <c r="H802" s="5" t="str">
        <f aca="false">IF(C802=0,"",IF(A802="GL",IF(G802&gt;0,"Deposit in transit","Outstanding check / payment"),IF(G802&gt;0,"Bank credit not in GL","Bank debit not in GL")))</f>
        <v/>
      </c>
      <c r="I802" s="42" t="str">
        <f aca="false">IF(OR(C802=0,CFG_PeriodEnd=""),"",CFG_PeriodEnd-D802)</f>
        <v/>
      </c>
      <c r="J802" s="5" t="str">
        <f aca="false">IF(C802=0,"",IF($A802="Bank",IF(INDEX(Bank!$G:$G,$C802)="","",INDEX(Bank!$G:$G,$C802)),IF(INDEX(GL!$G:$G,$C802)="","",INDEX(GL!$G:$G,$C802))))</f>
        <v/>
      </c>
      <c r="K802" s="5" t="str">
        <f aca="false">IF(C802=0,"",IF($A802="Bank",IF(INDEX(Bank!$I:$I,$C802)="","",INDEX(Bank!$I:$I,$C802)),IF(INDEX(GL!$I:$I,$C802)="","",INDEX(GL!$I:$I,$C802))))</f>
        <v/>
      </c>
      <c r="L802" s="5" t="str">
        <f aca="false">IF(B802="","",IF(C802=0,"NOT FOUND",IF(IF($A802="Bank",INDEX(Bank!$F:$F,$C802),INDEX(GL!$F:$F,$C802))="Y","NOW RECONCILED: refresh","OK")))</f>
        <v/>
      </c>
    </row>
    <row r="803" customFormat="false" ht="15" hidden="false" customHeight="false" outlineLevel="0" collapsed="false">
      <c r="A803" s="41"/>
      <c r="B803" s="41"/>
      <c r="C803" s="5" t="n">
        <f aca="false">IF(B803="",0,IF(A803="Bank",IFERROR(MATCH(B803,Bank!$A:$A,0),0),IFERROR(MATCH(B803,GL!$A:$A,0),0)))</f>
        <v>0</v>
      </c>
      <c r="D803" s="32" t="str">
        <f aca="false">IF(C803=0,"",IF($A803="Bank",INDEX(Bank!$B:$B,$C803),INDEX(GL!$B:$B,$C803)))</f>
        <v/>
      </c>
      <c r="E803" s="5" t="str">
        <f aca="false">IF(C803=0,"",IF($A803="Bank",IF(INDEX(Bank!$C:$C,$C803)="","",INDEX(Bank!$C:$C,$C803)),IF(INDEX(GL!$C:$C,$C803)="","",INDEX(GL!$C:$C,$C803))))</f>
        <v/>
      </c>
      <c r="F803" s="5" t="str">
        <f aca="false">IF(C803=0,"",IF($A803="Bank",IF(INDEX(Bank!$D:$D,$C803)="","",INDEX(Bank!$D:$D,$C803)),IF(INDEX(GL!$D:$D,$C803)="","",INDEX(GL!$D:$D,$C803))))</f>
        <v/>
      </c>
      <c r="G803" s="19" t="str">
        <f aca="false">IF(C803=0,"",IF($A803="Bank",INDEX(Bank!$E:$E,$C803),INDEX(GL!$E:$E,$C803)))</f>
        <v/>
      </c>
      <c r="H803" s="5" t="str">
        <f aca="false">IF(C803=0,"",IF(A803="GL",IF(G803&gt;0,"Deposit in transit","Outstanding check / payment"),IF(G803&gt;0,"Bank credit not in GL","Bank debit not in GL")))</f>
        <v/>
      </c>
      <c r="I803" s="42" t="str">
        <f aca="false">IF(OR(C803=0,CFG_PeriodEnd=""),"",CFG_PeriodEnd-D803)</f>
        <v/>
      </c>
      <c r="J803" s="5" t="str">
        <f aca="false">IF(C803=0,"",IF($A803="Bank",IF(INDEX(Bank!$G:$G,$C803)="","",INDEX(Bank!$G:$G,$C803)),IF(INDEX(GL!$G:$G,$C803)="","",INDEX(GL!$G:$G,$C803))))</f>
        <v/>
      </c>
      <c r="K803" s="5" t="str">
        <f aca="false">IF(C803=0,"",IF($A803="Bank",IF(INDEX(Bank!$I:$I,$C803)="","",INDEX(Bank!$I:$I,$C803)),IF(INDEX(GL!$I:$I,$C803)="","",INDEX(GL!$I:$I,$C803))))</f>
        <v/>
      </c>
      <c r="L803" s="5" t="str">
        <f aca="false">IF(B803="","",IF(C803=0,"NOT FOUND",IF(IF($A803="Bank",INDEX(Bank!$F:$F,$C803),INDEX(GL!$F:$F,$C803))="Y","NOW RECONCILED: refresh","OK")))</f>
        <v/>
      </c>
    </row>
    <row r="804" customFormat="false" ht="15" hidden="false" customHeight="false" outlineLevel="0" collapsed="false">
      <c r="A804" s="41"/>
      <c r="B804" s="41"/>
      <c r="C804" s="5" t="n">
        <f aca="false">IF(B804="",0,IF(A804="Bank",IFERROR(MATCH(B804,Bank!$A:$A,0),0),IFERROR(MATCH(B804,GL!$A:$A,0),0)))</f>
        <v>0</v>
      </c>
      <c r="D804" s="32" t="str">
        <f aca="false">IF(C804=0,"",IF($A804="Bank",INDEX(Bank!$B:$B,$C804),INDEX(GL!$B:$B,$C804)))</f>
        <v/>
      </c>
      <c r="E804" s="5" t="str">
        <f aca="false">IF(C804=0,"",IF($A804="Bank",IF(INDEX(Bank!$C:$C,$C804)="","",INDEX(Bank!$C:$C,$C804)),IF(INDEX(GL!$C:$C,$C804)="","",INDEX(GL!$C:$C,$C804))))</f>
        <v/>
      </c>
      <c r="F804" s="5" t="str">
        <f aca="false">IF(C804=0,"",IF($A804="Bank",IF(INDEX(Bank!$D:$D,$C804)="","",INDEX(Bank!$D:$D,$C804)),IF(INDEX(GL!$D:$D,$C804)="","",INDEX(GL!$D:$D,$C804))))</f>
        <v/>
      </c>
      <c r="G804" s="19" t="str">
        <f aca="false">IF(C804=0,"",IF($A804="Bank",INDEX(Bank!$E:$E,$C804),INDEX(GL!$E:$E,$C804)))</f>
        <v/>
      </c>
      <c r="H804" s="5" t="str">
        <f aca="false">IF(C804=0,"",IF(A804="GL",IF(G804&gt;0,"Deposit in transit","Outstanding check / payment"),IF(G804&gt;0,"Bank credit not in GL","Bank debit not in GL")))</f>
        <v/>
      </c>
      <c r="I804" s="42" t="str">
        <f aca="false">IF(OR(C804=0,CFG_PeriodEnd=""),"",CFG_PeriodEnd-D804)</f>
        <v/>
      </c>
      <c r="J804" s="5" t="str">
        <f aca="false">IF(C804=0,"",IF($A804="Bank",IF(INDEX(Bank!$G:$G,$C804)="","",INDEX(Bank!$G:$G,$C804)),IF(INDEX(GL!$G:$G,$C804)="","",INDEX(GL!$G:$G,$C804))))</f>
        <v/>
      </c>
      <c r="K804" s="5" t="str">
        <f aca="false">IF(C804=0,"",IF($A804="Bank",IF(INDEX(Bank!$I:$I,$C804)="","",INDEX(Bank!$I:$I,$C804)),IF(INDEX(GL!$I:$I,$C804)="","",INDEX(GL!$I:$I,$C804))))</f>
        <v/>
      </c>
      <c r="L804" s="5" t="str">
        <f aca="false">IF(B804="","",IF(C804=0,"NOT FOUND",IF(IF($A804="Bank",INDEX(Bank!$F:$F,$C804),INDEX(GL!$F:$F,$C804))="Y","NOW RECONCILED: refresh","OK")))</f>
        <v/>
      </c>
    </row>
    <row r="805" customFormat="false" ht="15" hidden="false" customHeight="false" outlineLevel="0" collapsed="false">
      <c r="A805" s="41"/>
      <c r="B805" s="41"/>
      <c r="C805" s="5" t="n">
        <f aca="false">IF(B805="",0,IF(A805="Bank",IFERROR(MATCH(B805,Bank!$A:$A,0),0),IFERROR(MATCH(B805,GL!$A:$A,0),0)))</f>
        <v>0</v>
      </c>
      <c r="D805" s="32" t="str">
        <f aca="false">IF(C805=0,"",IF($A805="Bank",INDEX(Bank!$B:$B,$C805),INDEX(GL!$B:$B,$C805)))</f>
        <v/>
      </c>
      <c r="E805" s="5" t="str">
        <f aca="false">IF(C805=0,"",IF($A805="Bank",IF(INDEX(Bank!$C:$C,$C805)="","",INDEX(Bank!$C:$C,$C805)),IF(INDEX(GL!$C:$C,$C805)="","",INDEX(GL!$C:$C,$C805))))</f>
        <v/>
      </c>
      <c r="F805" s="5" t="str">
        <f aca="false">IF(C805=0,"",IF($A805="Bank",IF(INDEX(Bank!$D:$D,$C805)="","",INDEX(Bank!$D:$D,$C805)),IF(INDEX(GL!$D:$D,$C805)="","",INDEX(GL!$D:$D,$C805))))</f>
        <v/>
      </c>
      <c r="G805" s="19" t="str">
        <f aca="false">IF(C805=0,"",IF($A805="Bank",INDEX(Bank!$E:$E,$C805),INDEX(GL!$E:$E,$C805)))</f>
        <v/>
      </c>
      <c r="H805" s="5" t="str">
        <f aca="false">IF(C805=0,"",IF(A805="GL",IF(G805&gt;0,"Deposit in transit","Outstanding check / payment"),IF(G805&gt;0,"Bank credit not in GL","Bank debit not in GL")))</f>
        <v/>
      </c>
      <c r="I805" s="42" t="str">
        <f aca="false">IF(OR(C805=0,CFG_PeriodEnd=""),"",CFG_PeriodEnd-D805)</f>
        <v/>
      </c>
      <c r="J805" s="5" t="str">
        <f aca="false">IF(C805=0,"",IF($A805="Bank",IF(INDEX(Bank!$G:$G,$C805)="","",INDEX(Bank!$G:$G,$C805)),IF(INDEX(GL!$G:$G,$C805)="","",INDEX(GL!$G:$G,$C805))))</f>
        <v/>
      </c>
      <c r="K805" s="5" t="str">
        <f aca="false">IF(C805=0,"",IF($A805="Bank",IF(INDEX(Bank!$I:$I,$C805)="","",INDEX(Bank!$I:$I,$C805)),IF(INDEX(GL!$I:$I,$C805)="","",INDEX(GL!$I:$I,$C805))))</f>
        <v/>
      </c>
      <c r="L805" s="5" t="str">
        <f aca="false">IF(B805="","",IF(C805=0,"NOT FOUND",IF(IF($A805="Bank",INDEX(Bank!$F:$F,$C805),INDEX(GL!$F:$F,$C805))="Y","NOW RECONCILED: refresh","OK")))</f>
        <v/>
      </c>
    </row>
    <row r="806" customFormat="false" ht="15" hidden="false" customHeight="false" outlineLevel="0" collapsed="false">
      <c r="A806" s="41"/>
      <c r="B806" s="41"/>
      <c r="C806" s="5" t="n">
        <f aca="false">IF(B806="",0,IF(A806="Bank",IFERROR(MATCH(B806,Bank!$A:$A,0),0),IFERROR(MATCH(B806,GL!$A:$A,0),0)))</f>
        <v>0</v>
      </c>
      <c r="D806" s="32" t="str">
        <f aca="false">IF(C806=0,"",IF($A806="Bank",INDEX(Bank!$B:$B,$C806),INDEX(GL!$B:$B,$C806)))</f>
        <v/>
      </c>
      <c r="E806" s="5" t="str">
        <f aca="false">IF(C806=0,"",IF($A806="Bank",IF(INDEX(Bank!$C:$C,$C806)="","",INDEX(Bank!$C:$C,$C806)),IF(INDEX(GL!$C:$C,$C806)="","",INDEX(GL!$C:$C,$C806))))</f>
        <v/>
      </c>
      <c r="F806" s="5" t="str">
        <f aca="false">IF(C806=0,"",IF($A806="Bank",IF(INDEX(Bank!$D:$D,$C806)="","",INDEX(Bank!$D:$D,$C806)),IF(INDEX(GL!$D:$D,$C806)="","",INDEX(GL!$D:$D,$C806))))</f>
        <v/>
      </c>
      <c r="G806" s="19" t="str">
        <f aca="false">IF(C806=0,"",IF($A806="Bank",INDEX(Bank!$E:$E,$C806),INDEX(GL!$E:$E,$C806)))</f>
        <v/>
      </c>
      <c r="H806" s="5" t="str">
        <f aca="false">IF(C806=0,"",IF(A806="GL",IF(G806&gt;0,"Deposit in transit","Outstanding check / payment"),IF(G806&gt;0,"Bank credit not in GL","Bank debit not in GL")))</f>
        <v/>
      </c>
      <c r="I806" s="42" t="str">
        <f aca="false">IF(OR(C806=0,CFG_PeriodEnd=""),"",CFG_PeriodEnd-D806)</f>
        <v/>
      </c>
      <c r="J806" s="5" t="str">
        <f aca="false">IF(C806=0,"",IF($A806="Bank",IF(INDEX(Bank!$G:$G,$C806)="","",INDEX(Bank!$G:$G,$C806)),IF(INDEX(GL!$G:$G,$C806)="","",INDEX(GL!$G:$G,$C806))))</f>
        <v/>
      </c>
      <c r="K806" s="5" t="str">
        <f aca="false">IF(C806=0,"",IF($A806="Bank",IF(INDEX(Bank!$I:$I,$C806)="","",INDEX(Bank!$I:$I,$C806)),IF(INDEX(GL!$I:$I,$C806)="","",INDEX(GL!$I:$I,$C806))))</f>
        <v/>
      </c>
      <c r="L806" s="5" t="str">
        <f aca="false">IF(B806="","",IF(C806=0,"NOT FOUND",IF(IF($A806="Bank",INDEX(Bank!$F:$F,$C806),INDEX(GL!$F:$F,$C806))="Y","NOW RECONCILED: refresh","OK")))</f>
        <v/>
      </c>
    </row>
    <row r="807" customFormat="false" ht="15" hidden="false" customHeight="false" outlineLevel="0" collapsed="false">
      <c r="A807" s="41"/>
      <c r="B807" s="41"/>
      <c r="C807" s="5" t="n">
        <f aca="false">IF(B807="",0,IF(A807="Bank",IFERROR(MATCH(B807,Bank!$A:$A,0),0),IFERROR(MATCH(B807,GL!$A:$A,0),0)))</f>
        <v>0</v>
      </c>
      <c r="D807" s="32" t="str">
        <f aca="false">IF(C807=0,"",IF($A807="Bank",INDEX(Bank!$B:$B,$C807),INDEX(GL!$B:$B,$C807)))</f>
        <v/>
      </c>
      <c r="E807" s="5" t="str">
        <f aca="false">IF(C807=0,"",IF($A807="Bank",IF(INDEX(Bank!$C:$C,$C807)="","",INDEX(Bank!$C:$C,$C807)),IF(INDEX(GL!$C:$C,$C807)="","",INDEX(GL!$C:$C,$C807))))</f>
        <v/>
      </c>
      <c r="F807" s="5" t="str">
        <f aca="false">IF(C807=0,"",IF($A807="Bank",IF(INDEX(Bank!$D:$D,$C807)="","",INDEX(Bank!$D:$D,$C807)),IF(INDEX(GL!$D:$D,$C807)="","",INDEX(GL!$D:$D,$C807))))</f>
        <v/>
      </c>
      <c r="G807" s="19" t="str">
        <f aca="false">IF(C807=0,"",IF($A807="Bank",INDEX(Bank!$E:$E,$C807),INDEX(GL!$E:$E,$C807)))</f>
        <v/>
      </c>
      <c r="H807" s="5" t="str">
        <f aca="false">IF(C807=0,"",IF(A807="GL",IF(G807&gt;0,"Deposit in transit","Outstanding check / payment"),IF(G807&gt;0,"Bank credit not in GL","Bank debit not in GL")))</f>
        <v/>
      </c>
      <c r="I807" s="42" t="str">
        <f aca="false">IF(OR(C807=0,CFG_PeriodEnd=""),"",CFG_PeriodEnd-D807)</f>
        <v/>
      </c>
      <c r="J807" s="5" t="str">
        <f aca="false">IF(C807=0,"",IF($A807="Bank",IF(INDEX(Bank!$G:$G,$C807)="","",INDEX(Bank!$G:$G,$C807)),IF(INDEX(GL!$G:$G,$C807)="","",INDEX(GL!$G:$G,$C807))))</f>
        <v/>
      </c>
      <c r="K807" s="5" t="str">
        <f aca="false">IF(C807=0,"",IF($A807="Bank",IF(INDEX(Bank!$I:$I,$C807)="","",INDEX(Bank!$I:$I,$C807)),IF(INDEX(GL!$I:$I,$C807)="","",INDEX(GL!$I:$I,$C807))))</f>
        <v/>
      </c>
      <c r="L807" s="5" t="str">
        <f aca="false">IF(B807="","",IF(C807=0,"NOT FOUND",IF(IF($A807="Bank",INDEX(Bank!$F:$F,$C807),INDEX(GL!$F:$F,$C807))="Y","NOW RECONCILED: refresh","OK")))</f>
        <v/>
      </c>
    </row>
    <row r="808" customFormat="false" ht="15" hidden="false" customHeight="false" outlineLevel="0" collapsed="false">
      <c r="A808" s="41"/>
      <c r="B808" s="41"/>
      <c r="C808" s="5" t="n">
        <f aca="false">IF(B808="",0,IF(A808="Bank",IFERROR(MATCH(B808,Bank!$A:$A,0),0),IFERROR(MATCH(B808,GL!$A:$A,0),0)))</f>
        <v>0</v>
      </c>
      <c r="D808" s="32" t="str">
        <f aca="false">IF(C808=0,"",IF($A808="Bank",INDEX(Bank!$B:$B,$C808),INDEX(GL!$B:$B,$C808)))</f>
        <v/>
      </c>
      <c r="E808" s="5" t="str">
        <f aca="false">IF(C808=0,"",IF($A808="Bank",IF(INDEX(Bank!$C:$C,$C808)="","",INDEX(Bank!$C:$C,$C808)),IF(INDEX(GL!$C:$C,$C808)="","",INDEX(GL!$C:$C,$C808))))</f>
        <v/>
      </c>
      <c r="F808" s="5" t="str">
        <f aca="false">IF(C808=0,"",IF($A808="Bank",IF(INDEX(Bank!$D:$D,$C808)="","",INDEX(Bank!$D:$D,$C808)),IF(INDEX(GL!$D:$D,$C808)="","",INDEX(GL!$D:$D,$C808))))</f>
        <v/>
      </c>
      <c r="G808" s="19" t="str">
        <f aca="false">IF(C808=0,"",IF($A808="Bank",INDEX(Bank!$E:$E,$C808),INDEX(GL!$E:$E,$C808)))</f>
        <v/>
      </c>
      <c r="H808" s="5" t="str">
        <f aca="false">IF(C808=0,"",IF(A808="GL",IF(G808&gt;0,"Deposit in transit","Outstanding check / payment"),IF(G808&gt;0,"Bank credit not in GL","Bank debit not in GL")))</f>
        <v/>
      </c>
      <c r="I808" s="42" t="str">
        <f aca="false">IF(OR(C808=0,CFG_PeriodEnd=""),"",CFG_PeriodEnd-D808)</f>
        <v/>
      </c>
      <c r="J808" s="5" t="str">
        <f aca="false">IF(C808=0,"",IF($A808="Bank",IF(INDEX(Bank!$G:$G,$C808)="","",INDEX(Bank!$G:$G,$C808)),IF(INDEX(GL!$G:$G,$C808)="","",INDEX(GL!$G:$G,$C808))))</f>
        <v/>
      </c>
      <c r="K808" s="5" t="str">
        <f aca="false">IF(C808=0,"",IF($A808="Bank",IF(INDEX(Bank!$I:$I,$C808)="","",INDEX(Bank!$I:$I,$C808)),IF(INDEX(GL!$I:$I,$C808)="","",INDEX(GL!$I:$I,$C808))))</f>
        <v/>
      </c>
      <c r="L808" s="5" t="str">
        <f aca="false">IF(B808="","",IF(C808=0,"NOT FOUND",IF(IF($A808="Bank",INDEX(Bank!$F:$F,$C808),INDEX(GL!$F:$F,$C808))="Y","NOW RECONCILED: refresh","OK")))</f>
        <v/>
      </c>
    </row>
    <row r="809" customFormat="false" ht="15" hidden="false" customHeight="false" outlineLevel="0" collapsed="false">
      <c r="A809" s="41"/>
      <c r="B809" s="41"/>
      <c r="C809" s="5" t="n">
        <f aca="false">IF(B809="",0,IF(A809="Bank",IFERROR(MATCH(B809,Bank!$A:$A,0),0),IFERROR(MATCH(B809,GL!$A:$A,0),0)))</f>
        <v>0</v>
      </c>
      <c r="D809" s="32" t="str">
        <f aca="false">IF(C809=0,"",IF($A809="Bank",INDEX(Bank!$B:$B,$C809),INDEX(GL!$B:$B,$C809)))</f>
        <v/>
      </c>
      <c r="E809" s="5" t="str">
        <f aca="false">IF(C809=0,"",IF($A809="Bank",IF(INDEX(Bank!$C:$C,$C809)="","",INDEX(Bank!$C:$C,$C809)),IF(INDEX(GL!$C:$C,$C809)="","",INDEX(GL!$C:$C,$C809))))</f>
        <v/>
      </c>
      <c r="F809" s="5" t="str">
        <f aca="false">IF(C809=0,"",IF($A809="Bank",IF(INDEX(Bank!$D:$D,$C809)="","",INDEX(Bank!$D:$D,$C809)),IF(INDEX(GL!$D:$D,$C809)="","",INDEX(GL!$D:$D,$C809))))</f>
        <v/>
      </c>
      <c r="G809" s="19" t="str">
        <f aca="false">IF(C809=0,"",IF($A809="Bank",INDEX(Bank!$E:$E,$C809),INDEX(GL!$E:$E,$C809)))</f>
        <v/>
      </c>
      <c r="H809" s="5" t="str">
        <f aca="false">IF(C809=0,"",IF(A809="GL",IF(G809&gt;0,"Deposit in transit","Outstanding check / payment"),IF(G809&gt;0,"Bank credit not in GL","Bank debit not in GL")))</f>
        <v/>
      </c>
      <c r="I809" s="42" t="str">
        <f aca="false">IF(OR(C809=0,CFG_PeriodEnd=""),"",CFG_PeriodEnd-D809)</f>
        <v/>
      </c>
      <c r="J809" s="5" t="str">
        <f aca="false">IF(C809=0,"",IF($A809="Bank",IF(INDEX(Bank!$G:$G,$C809)="","",INDEX(Bank!$G:$G,$C809)),IF(INDEX(GL!$G:$G,$C809)="","",INDEX(GL!$G:$G,$C809))))</f>
        <v/>
      </c>
      <c r="K809" s="5" t="str">
        <f aca="false">IF(C809=0,"",IF($A809="Bank",IF(INDEX(Bank!$I:$I,$C809)="","",INDEX(Bank!$I:$I,$C809)),IF(INDEX(GL!$I:$I,$C809)="","",INDEX(GL!$I:$I,$C809))))</f>
        <v/>
      </c>
      <c r="L809" s="5" t="str">
        <f aca="false">IF(B809="","",IF(C809=0,"NOT FOUND",IF(IF($A809="Bank",INDEX(Bank!$F:$F,$C809),INDEX(GL!$F:$F,$C809))="Y","NOW RECONCILED: refresh","OK")))</f>
        <v/>
      </c>
    </row>
    <row r="810" customFormat="false" ht="15" hidden="false" customHeight="false" outlineLevel="0" collapsed="false">
      <c r="A810" s="41"/>
      <c r="B810" s="41"/>
      <c r="C810" s="5" t="n">
        <f aca="false">IF(B810="",0,IF(A810="Bank",IFERROR(MATCH(B810,Bank!$A:$A,0),0),IFERROR(MATCH(B810,GL!$A:$A,0),0)))</f>
        <v>0</v>
      </c>
      <c r="D810" s="32" t="str">
        <f aca="false">IF(C810=0,"",IF($A810="Bank",INDEX(Bank!$B:$B,$C810),INDEX(GL!$B:$B,$C810)))</f>
        <v/>
      </c>
      <c r="E810" s="5" t="str">
        <f aca="false">IF(C810=0,"",IF($A810="Bank",IF(INDEX(Bank!$C:$C,$C810)="","",INDEX(Bank!$C:$C,$C810)),IF(INDEX(GL!$C:$C,$C810)="","",INDEX(GL!$C:$C,$C810))))</f>
        <v/>
      </c>
      <c r="F810" s="5" t="str">
        <f aca="false">IF(C810=0,"",IF($A810="Bank",IF(INDEX(Bank!$D:$D,$C810)="","",INDEX(Bank!$D:$D,$C810)),IF(INDEX(GL!$D:$D,$C810)="","",INDEX(GL!$D:$D,$C810))))</f>
        <v/>
      </c>
      <c r="G810" s="19" t="str">
        <f aca="false">IF(C810=0,"",IF($A810="Bank",INDEX(Bank!$E:$E,$C810),INDEX(GL!$E:$E,$C810)))</f>
        <v/>
      </c>
      <c r="H810" s="5" t="str">
        <f aca="false">IF(C810=0,"",IF(A810="GL",IF(G810&gt;0,"Deposit in transit","Outstanding check / payment"),IF(G810&gt;0,"Bank credit not in GL","Bank debit not in GL")))</f>
        <v/>
      </c>
      <c r="I810" s="42" t="str">
        <f aca="false">IF(OR(C810=0,CFG_PeriodEnd=""),"",CFG_PeriodEnd-D810)</f>
        <v/>
      </c>
      <c r="J810" s="5" t="str">
        <f aca="false">IF(C810=0,"",IF($A810="Bank",IF(INDEX(Bank!$G:$G,$C810)="","",INDEX(Bank!$G:$G,$C810)),IF(INDEX(GL!$G:$G,$C810)="","",INDEX(GL!$G:$G,$C810))))</f>
        <v/>
      </c>
      <c r="K810" s="5" t="str">
        <f aca="false">IF(C810=0,"",IF($A810="Bank",IF(INDEX(Bank!$I:$I,$C810)="","",INDEX(Bank!$I:$I,$C810)),IF(INDEX(GL!$I:$I,$C810)="","",INDEX(GL!$I:$I,$C810))))</f>
        <v/>
      </c>
      <c r="L810" s="5" t="str">
        <f aca="false">IF(B810="","",IF(C810=0,"NOT FOUND",IF(IF($A810="Bank",INDEX(Bank!$F:$F,$C810),INDEX(GL!$F:$F,$C810))="Y","NOW RECONCILED: refresh","OK")))</f>
        <v/>
      </c>
    </row>
    <row r="811" customFormat="false" ht="15" hidden="false" customHeight="false" outlineLevel="0" collapsed="false">
      <c r="A811" s="41"/>
      <c r="B811" s="41"/>
      <c r="C811" s="5" t="n">
        <f aca="false">IF(B811="",0,IF(A811="Bank",IFERROR(MATCH(B811,Bank!$A:$A,0),0),IFERROR(MATCH(B811,GL!$A:$A,0),0)))</f>
        <v>0</v>
      </c>
      <c r="D811" s="32" t="str">
        <f aca="false">IF(C811=0,"",IF($A811="Bank",INDEX(Bank!$B:$B,$C811),INDEX(GL!$B:$B,$C811)))</f>
        <v/>
      </c>
      <c r="E811" s="5" t="str">
        <f aca="false">IF(C811=0,"",IF($A811="Bank",IF(INDEX(Bank!$C:$C,$C811)="","",INDEX(Bank!$C:$C,$C811)),IF(INDEX(GL!$C:$C,$C811)="","",INDEX(GL!$C:$C,$C811))))</f>
        <v/>
      </c>
      <c r="F811" s="5" t="str">
        <f aca="false">IF(C811=0,"",IF($A811="Bank",IF(INDEX(Bank!$D:$D,$C811)="","",INDEX(Bank!$D:$D,$C811)),IF(INDEX(GL!$D:$D,$C811)="","",INDEX(GL!$D:$D,$C811))))</f>
        <v/>
      </c>
      <c r="G811" s="19" t="str">
        <f aca="false">IF(C811=0,"",IF($A811="Bank",INDEX(Bank!$E:$E,$C811),INDEX(GL!$E:$E,$C811)))</f>
        <v/>
      </c>
      <c r="H811" s="5" t="str">
        <f aca="false">IF(C811=0,"",IF(A811="GL",IF(G811&gt;0,"Deposit in transit","Outstanding check / payment"),IF(G811&gt;0,"Bank credit not in GL","Bank debit not in GL")))</f>
        <v/>
      </c>
      <c r="I811" s="42" t="str">
        <f aca="false">IF(OR(C811=0,CFG_PeriodEnd=""),"",CFG_PeriodEnd-D811)</f>
        <v/>
      </c>
      <c r="J811" s="5" t="str">
        <f aca="false">IF(C811=0,"",IF($A811="Bank",IF(INDEX(Bank!$G:$G,$C811)="","",INDEX(Bank!$G:$G,$C811)),IF(INDEX(GL!$G:$G,$C811)="","",INDEX(GL!$G:$G,$C811))))</f>
        <v/>
      </c>
      <c r="K811" s="5" t="str">
        <f aca="false">IF(C811=0,"",IF($A811="Bank",IF(INDEX(Bank!$I:$I,$C811)="","",INDEX(Bank!$I:$I,$C811)),IF(INDEX(GL!$I:$I,$C811)="","",INDEX(GL!$I:$I,$C811))))</f>
        <v/>
      </c>
      <c r="L811" s="5" t="str">
        <f aca="false">IF(B811="","",IF(C811=0,"NOT FOUND",IF(IF($A811="Bank",INDEX(Bank!$F:$F,$C811),INDEX(GL!$F:$F,$C811))="Y","NOW RECONCILED: refresh","OK")))</f>
        <v/>
      </c>
    </row>
    <row r="812" customFormat="false" ht="15" hidden="false" customHeight="false" outlineLevel="0" collapsed="false">
      <c r="A812" s="41"/>
      <c r="B812" s="41"/>
      <c r="C812" s="5" t="n">
        <f aca="false">IF(B812="",0,IF(A812="Bank",IFERROR(MATCH(B812,Bank!$A:$A,0),0),IFERROR(MATCH(B812,GL!$A:$A,0),0)))</f>
        <v>0</v>
      </c>
      <c r="D812" s="32" t="str">
        <f aca="false">IF(C812=0,"",IF($A812="Bank",INDEX(Bank!$B:$B,$C812),INDEX(GL!$B:$B,$C812)))</f>
        <v/>
      </c>
      <c r="E812" s="5" t="str">
        <f aca="false">IF(C812=0,"",IF($A812="Bank",IF(INDEX(Bank!$C:$C,$C812)="","",INDEX(Bank!$C:$C,$C812)),IF(INDEX(GL!$C:$C,$C812)="","",INDEX(GL!$C:$C,$C812))))</f>
        <v/>
      </c>
      <c r="F812" s="5" t="str">
        <f aca="false">IF(C812=0,"",IF($A812="Bank",IF(INDEX(Bank!$D:$D,$C812)="","",INDEX(Bank!$D:$D,$C812)),IF(INDEX(GL!$D:$D,$C812)="","",INDEX(GL!$D:$D,$C812))))</f>
        <v/>
      </c>
      <c r="G812" s="19" t="str">
        <f aca="false">IF(C812=0,"",IF($A812="Bank",INDEX(Bank!$E:$E,$C812),INDEX(GL!$E:$E,$C812)))</f>
        <v/>
      </c>
      <c r="H812" s="5" t="str">
        <f aca="false">IF(C812=0,"",IF(A812="GL",IF(G812&gt;0,"Deposit in transit","Outstanding check / payment"),IF(G812&gt;0,"Bank credit not in GL","Bank debit not in GL")))</f>
        <v/>
      </c>
      <c r="I812" s="42" t="str">
        <f aca="false">IF(OR(C812=0,CFG_PeriodEnd=""),"",CFG_PeriodEnd-D812)</f>
        <v/>
      </c>
      <c r="J812" s="5" t="str">
        <f aca="false">IF(C812=0,"",IF($A812="Bank",IF(INDEX(Bank!$G:$G,$C812)="","",INDEX(Bank!$G:$G,$C812)),IF(INDEX(GL!$G:$G,$C812)="","",INDEX(GL!$G:$G,$C812))))</f>
        <v/>
      </c>
      <c r="K812" s="5" t="str">
        <f aca="false">IF(C812=0,"",IF($A812="Bank",IF(INDEX(Bank!$I:$I,$C812)="","",INDEX(Bank!$I:$I,$C812)),IF(INDEX(GL!$I:$I,$C812)="","",INDEX(GL!$I:$I,$C812))))</f>
        <v/>
      </c>
      <c r="L812" s="5" t="str">
        <f aca="false">IF(B812="","",IF(C812=0,"NOT FOUND",IF(IF($A812="Bank",INDEX(Bank!$F:$F,$C812),INDEX(GL!$F:$F,$C812))="Y","NOW RECONCILED: refresh","OK")))</f>
        <v/>
      </c>
    </row>
    <row r="813" customFormat="false" ht="15" hidden="false" customHeight="false" outlineLevel="0" collapsed="false">
      <c r="A813" s="41"/>
      <c r="B813" s="41"/>
      <c r="C813" s="5" t="n">
        <f aca="false">IF(B813="",0,IF(A813="Bank",IFERROR(MATCH(B813,Bank!$A:$A,0),0),IFERROR(MATCH(B813,GL!$A:$A,0),0)))</f>
        <v>0</v>
      </c>
      <c r="D813" s="32" t="str">
        <f aca="false">IF(C813=0,"",IF($A813="Bank",INDEX(Bank!$B:$B,$C813),INDEX(GL!$B:$B,$C813)))</f>
        <v/>
      </c>
      <c r="E813" s="5" t="str">
        <f aca="false">IF(C813=0,"",IF($A813="Bank",IF(INDEX(Bank!$C:$C,$C813)="","",INDEX(Bank!$C:$C,$C813)),IF(INDEX(GL!$C:$C,$C813)="","",INDEX(GL!$C:$C,$C813))))</f>
        <v/>
      </c>
      <c r="F813" s="5" t="str">
        <f aca="false">IF(C813=0,"",IF($A813="Bank",IF(INDEX(Bank!$D:$D,$C813)="","",INDEX(Bank!$D:$D,$C813)),IF(INDEX(GL!$D:$D,$C813)="","",INDEX(GL!$D:$D,$C813))))</f>
        <v/>
      </c>
      <c r="G813" s="19" t="str">
        <f aca="false">IF(C813=0,"",IF($A813="Bank",INDEX(Bank!$E:$E,$C813),INDEX(GL!$E:$E,$C813)))</f>
        <v/>
      </c>
      <c r="H813" s="5" t="str">
        <f aca="false">IF(C813=0,"",IF(A813="GL",IF(G813&gt;0,"Deposit in transit","Outstanding check / payment"),IF(G813&gt;0,"Bank credit not in GL","Bank debit not in GL")))</f>
        <v/>
      </c>
      <c r="I813" s="42" t="str">
        <f aca="false">IF(OR(C813=0,CFG_PeriodEnd=""),"",CFG_PeriodEnd-D813)</f>
        <v/>
      </c>
      <c r="J813" s="5" t="str">
        <f aca="false">IF(C813=0,"",IF($A813="Bank",IF(INDEX(Bank!$G:$G,$C813)="","",INDEX(Bank!$G:$G,$C813)),IF(INDEX(GL!$G:$G,$C813)="","",INDEX(GL!$G:$G,$C813))))</f>
        <v/>
      </c>
      <c r="K813" s="5" t="str">
        <f aca="false">IF(C813=0,"",IF($A813="Bank",IF(INDEX(Bank!$I:$I,$C813)="","",INDEX(Bank!$I:$I,$C813)),IF(INDEX(GL!$I:$I,$C813)="","",INDEX(GL!$I:$I,$C813))))</f>
        <v/>
      </c>
      <c r="L813" s="5" t="str">
        <f aca="false">IF(B813="","",IF(C813=0,"NOT FOUND",IF(IF($A813="Bank",INDEX(Bank!$F:$F,$C813),INDEX(GL!$F:$F,$C813))="Y","NOW RECONCILED: refresh","OK")))</f>
        <v/>
      </c>
    </row>
    <row r="814" customFormat="false" ht="15" hidden="false" customHeight="false" outlineLevel="0" collapsed="false">
      <c r="A814" s="41"/>
      <c r="B814" s="41"/>
      <c r="C814" s="5" t="n">
        <f aca="false">IF(B814="",0,IF(A814="Bank",IFERROR(MATCH(B814,Bank!$A:$A,0),0),IFERROR(MATCH(B814,GL!$A:$A,0),0)))</f>
        <v>0</v>
      </c>
      <c r="D814" s="32" t="str">
        <f aca="false">IF(C814=0,"",IF($A814="Bank",INDEX(Bank!$B:$B,$C814),INDEX(GL!$B:$B,$C814)))</f>
        <v/>
      </c>
      <c r="E814" s="5" t="str">
        <f aca="false">IF(C814=0,"",IF($A814="Bank",IF(INDEX(Bank!$C:$C,$C814)="","",INDEX(Bank!$C:$C,$C814)),IF(INDEX(GL!$C:$C,$C814)="","",INDEX(GL!$C:$C,$C814))))</f>
        <v/>
      </c>
      <c r="F814" s="5" t="str">
        <f aca="false">IF(C814=0,"",IF($A814="Bank",IF(INDEX(Bank!$D:$D,$C814)="","",INDEX(Bank!$D:$D,$C814)),IF(INDEX(GL!$D:$D,$C814)="","",INDEX(GL!$D:$D,$C814))))</f>
        <v/>
      </c>
      <c r="G814" s="19" t="str">
        <f aca="false">IF(C814=0,"",IF($A814="Bank",INDEX(Bank!$E:$E,$C814),INDEX(GL!$E:$E,$C814)))</f>
        <v/>
      </c>
      <c r="H814" s="5" t="str">
        <f aca="false">IF(C814=0,"",IF(A814="GL",IF(G814&gt;0,"Deposit in transit","Outstanding check / payment"),IF(G814&gt;0,"Bank credit not in GL","Bank debit not in GL")))</f>
        <v/>
      </c>
      <c r="I814" s="42" t="str">
        <f aca="false">IF(OR(C814=0,CFG_PeriodEnd=""),"",CFG_PeriodEnd-D814)</f>
        <v/>
      </c>
      <c r="J814" s="5" t="str">
        <f aca="false">IF(C814=0,"",IF($A814="Bank",IF(INDEX(Bank!$G:$G,$C814)="","",INDEX(Bank!$G:$G,$C814)),IF(INDEX(GL!$G:$G,$C814)="","",INDEX(GL!$G:$G,$C814))))</f>
        <v/>
      </c>
      <c r="K814" s="5" t="str">
        <f aca="false">IF(C814=0,"",IF($A814="Bank",IF(INDEX(Bank!$I:$I,$C814)="","",INDEX(Bank!$I:$I,$C814)),IF(INDEX(GL!$I:$I,$C814)="","",INDEX(GL!$I:$I,$C814))))</f>
        <v/>
      </c>
      <c r="L814" s="5" t="str">
        <f aca="false">IF(B814="","",IF(C814=0,"NOT FOUND",IF(IF($A814="Bank",INDEX(Bank!$F:$F,$C814),INDEX(GL!$F:$F,$C814))="Y","NOW RECONCILED: refresh","OK")))</f>
        <v/>
      </c>
    </row>
    <row r="815" customFormat="false" ht="15" hidden="false" customHeight="false" outlineLevel="0" collapsed="false">
      <c r="A815" s="41"/>
      <c r="B815" s="41"/>
      <c r="C815" s="5" t="n">
        <f aca="false">IF(B815="",0,IF(A815="Bank",IFERROR(MATCH(B815,Bank!$A:$A,0),0),IFERROR(MATCH(B815,GL!$A:$A,0),0)))</f>
        <v>0</v>
      </c>
      <c r="D815" s="32" t="str">
        <f aca="false">IF(C815=0,"",IF($A815="Bank",INDEX(Bank!$B:$B,$C815),INDEX(GL!$B:$B,$C815)))</f>
        <v/>
      </c>
      <c r="E815" s="5" t="str">
        <f aca="false">IF(C815=0,"",IF($A815="Bank",IF(INDEX(Bank!$C:$C,$C815)="","",INDEX(Bank!$C:$C,$C815)),IF(INDEX(GL!$C:$C,$C815)="","",INDEX(GL!$C:$C,$C815))))</f>
        <v/>
      </c>
      <c r="F815" s="5" t="str">
        <f aca="false">IF(C815=0,"",IF($A815="Bank",IF(INDEX(Bank!$D:$D,$C815)="","",INDEX(Bank!$D:$D,$C815)),IF(INDEX(GL!$D:$D,$C815)="","",INDEX(GL!$D:$D,$C815))))</f>
        <v/>
      </c>
      <c r="G815" s="19" t="str">
        <f aca="false">IF(C815=0,"",IF($A815="Bank",INDEX(Bank!$E:$E,$C815),INDEX(GL!$E:$E,$C815)))</f>
        <v/>
      </c>
      <c r="H815" s="5" t="str">
        <f aca="false">IF(C815=0,"",IF(A815="GL",IF(G815&gt;0,"Deposit in transit","Outstanding check / payment"),IF(G815&gt;0,"Bank credit not in GL","Bank debit not in GL")))</f>
        <v/>
      </c>
      <c r="I815" s="42" t="str">
        <f aca="false">IF(OR(C815=0,CFG_PeriodEnd=""),"",CFG_PeriodEnd-D815)</f>
        <v/>
      </c>
      <c r="J815" s="5" t="str">
        <f aca="false">IF(C815=0,"",IF($A815="Bank",IF(INDEX(Bank!$G:$G,$C815)="","",INDEX(Bank!$G:$G,$C815)),IF(INDEX(GL!$G:$G,$C815)="","",INDEX(GL!$G:$G,$C815))))</f>
        <v/>
      </c>
      <c r="K815" s="5" t="str">
        <f aca="false">IF(C815=0,"",IF($A815="Bank",IF(INDEX(Bank!$I:$I,$C815)="","",INDEX(Bank!$I:$I,$C815)),IF(INDEX(GL!$I:$I,$C815)="","",INDEX(GL!$I:$I,$C815))))</f>
        <v/>
      </c>
      <c r="L815" s="5" t="str">
        <f aca="false">IF(B815="","",IF(C815=0,"NOT FOUND",IF(IF($A815="Bank",INDEX(Bank!$F:$F,$C815),INDEX(GL!$F:$F,$C815))="Y","NOW RECONCILED: refresh","OK")))</f>
        <v/>
      </c>
    </row>
    <row r="816" customFormat="false" ht="15" hidden="false" customHeight="false" outlineLevel="0" collapsed="false">
      <c r="A816" s="41"/>
      <c r="B816" s="41"/>
      <c r="C816" s="5" t="n">
        <f aca="false">IF(B816="",0,IF(A816="Bank",IFERROR(MATCH(B816,Bank!$A:$A,0),0),IFERROR(MATCH(B816,GL!$A:$A,0),0)))</f>
        <v>0</v>
      </c>
      <c r="D816" s="32" t="str">
        <f aca="false">IF(C816=0,"",IF($A816="Bank",INDEX(Bank!$B:$B,$C816),INDEX(GL!$B:$B,$C816)))</f>
        <v/>
      </c>
      <c r="E816" s="5" t="str">
        <f aca="false">IF(C816=0,"",IF($A816="Bank",IF(INDEX(Bank!$C:$C,$C816)="","",INDEX(Bank!$C:$C,$C816)),IF(INDEX(GL!$C:$C,$C816)="","",INDEX(GL!$C:$C,$C816))))</f>
        <v/>
      </c>
      <c r="F816" s="5" t="str">
        <f aca="false">IF(C816=0,"",IF($A816="Bank",IF(INDEX(Bank!$D:$D,$C816)="","",INDEX(Bank!$D:$D,$C816)),IF(INDEX(GL!$D:$D,$C816)="","",INDEX(GL!$D:$D,$C816))))</f>
        <v/>
      </c>
      <c r="G816" s="19" t="str">
        <f aca="false">IF(C816=0,"",IF($A816="Bank",INDEX(Bank!$E:$E,$C816),INDEX(GL!$E:$E,$C816)))</f>
        <v/>
      </c>
      <c r="H816" s="5" t="str">
        <f aca="false">IF(C816=0,"",IF(A816="GL",IF(G816&gt;0,"Deposit in transit","Outstanding check / payment"),IF(G816&gt;0,"Bank credit not in GL","Bank debit not in GL")))</f>
        <v/>
      </c>
      <c r="I816" s="42" t="str">
        <f aca="false">IF(OR(C816=0,CFG_PeriodEnd=""),"",CFG_PeriodEnd-D816)</f>
        <v/>
      </c>
      <c r="J816" s="5" t="str">
        <f aca="false">IF(C816=0,"",IF($A816="Bank",IF(INDEX(Bank!$G:$G,$C816)="","",INDEX(Bank!$G:$G,$C816)),IF(INDEX(GL!$G:$G,$C816)="","",INDEX(GL!$G:$G,$C816))))</f>
        <v/>
      </c>
      <c r="K816" s="5" t="str">
        <f aca="false">IF(C816=0,"",IF($A816="Bank",IF(INDEX(Bank!$I:$I,$C816)="","",INDEX(Bank!$I:$I,$C816)),IF(INDEX(GL!$I:$I,$C816)="","",INDEX(GL!$I:$I,$C816))))</f>
        <v/>
      </c>
      <c r="L816" s="5" t="str">
        <f aca="false">IF(B816="","",IF(C816=0,"NOT FOUND",IF(IF($A816="Bank",INDEX(Bank!$F:$F,$C816),INDEX(GL!$F:$F,$C816))="Y","NOW RECONCILED: refresh","OK")))</f>
        <v/>
      </c>
    </row>
    <row r="817" customFormat="false" ht="15" hidden="false" customHeight="false" outlineLevel="0" collapsed="false">
      <c r="A817" s="41"/>
      <c r="B817" s="41"/>
      <c r="C817" s="5" t="n">
        <f aca="false">IF(B817="",0,IF(A817="Bank",IFERROR(MATCH(B817,Bank!$A:$A,0),0),IFERROR(MATCH(B817,GL!$A:$A,0),0)))</f>
        <v>0</v>
      </c>
      <c r="D817" s="32" t="str">
        <f aca="false">IF(C817=0,"",IF($A817="Bank",INDEX(Bank!$B:$B,$C817),INDEX(GL!$B:$B,$C817)))</f>
        <v/>
      </c>
      <c r="E817" s="5" t="str">
        <f aca="false">IF(C817=0,"",IF($A817="Bank",IF(INDEX(Bank!$C:$C,$C817)="","",INDEX(Bank!$C:$C,$C817)),IF(INDEX(GL!$C:$C,$C817)="","",INDEX(GL!$C:$C,$C817))))</f>
        <v/>
      </c>
      <c r="F817" s="5" t="str">
        <f aca="false">IF(C817=0,"",IF($A817="Bank",IF(INDEX(Bank!$D:$D,$C817)="","",INDEX(Bank!$D:$D,$C817)),IF(INDEX(GL!$D:$D,$C817)="","",INDEX(GL!$D:$D,$C817))))</f>
        <v/>
      </c>
      <c r="G817" s="19" t="str">
        <f aca="false">IF(C817=0,"",IF($A817="Bank",INDEX(Bank!$E:$E,$C817),INDEX(GL!$E:$E,$C817)))</f>
        <v/>
      </c>
      <c r="H817" s="5" t="str">
        <f aca="false">IF(C817=0,"",IF(A817="GL",IF(G817&gt;0,"Deposit in transit","Outstanding check / payment"),IF(G817&gt;0,"Bank credit not in GL","Bank debit not in GL")))</f>
        <v/>
      </c>
      <c r="I817" s="42" t="str">
        <f aca="false">IF(OR(C817=0,CFG_PeriodEnd=""),"",CFG_PeriodEnd-D817)</f>
        <v/>
      </c>
      <c r="J817" s="5" t="str">
        <f aca="false">IF(C817=0,"",IF($A817="Bank",IF(INDEX(Bank!$G:$G,$C817)="","",INDEX(Bank!$G:$G,$C817)),IF(INDEX(GL!$G:$G,$C817)="","",INDEX(GL!$G:$G,$C817))))</f>
        <v/>
      </c>
      <c r="K817" s="5" t="str">
        <f aca="false">IF(C817=0,"",IF($A817="Bank",IF(INDEX(Bank!$I:$I,$C817)="","",INDEX(Bank!$I:$I,$C817)),IF(INDEX(GL!$I:$I,$C817)="","",INDEX(GL!$I:$I,$C817))))</f>
        <v/>
      </c>
      <c r="L817" s="5" t="str">
        <f aca="false">IF(B817="","",IF(C817=0,"NOT FOUND",IF(IF($A817="Bank",INDEX(Bank!$F:$F,$C817),INDEX(GL!$F:$F,$C817))="Y","NOW RECONCILED: refresh","OK")))</f>
        <v/>
      </c>
    </row>
    <row r="818" customFormat="false" ht="15" hidden="false" customHeight="false" outlineLevel="0" collapsed="false">
      <c r="A818" s="41"/>
      <c r="B818" s="41"/>
      <c r="C818" s="5" t="n">
        <f aca="false">IF(B818="",0,IF(A818="Bank",IFERROR(MATCH(B818,Bank!$A:$A,0),0),IFERROR(MATCH(B818,GL!$A:$A,0),0)))</f>
        <v>0</v>
      </c>
      <c r="D818" s="32" t="str">
        <f aca="false">IF(C818=0,"",IF($A818="Bank",INDEX(Bank!$B:$B,$C818),INDEX(GL!$B:$B,$C818)))</f>
        <v/>
      </c>
      <c r="E818" s="5" t="str">
        <f aca="false">IF(C818=0,"",IF($A818="Bank",IF(INDEX(Bank!$C:$C,$C818)="","",INDEX(Bank!$C:$C,$C818)),IF(INDEX(GL!$C:$C,$C818)="","",INDEX(GL!$C:$C,$C818))))</f>
        <v/>
      </c>
      <c r="F818" s="5" t="str">
        <f aca="false">IF(C818=0,"",IF($A818="Bank",IF(INDEX(Bank!$D:$D,$C818)="","",INDEX(Bank!$D:$D,$C818)),IF(INDEX(GL!$D:$D,$C818)="","",INDEX(GL!$D:$D,$C818))))</f>
        <v/>
      </c>
      <c r="G818" s="19" t="str">
        <f aca="false">IF(C818=0,"",IF($A818="Bank",INDEX(Bank!$E:$E,$C818),INDEX(GL!$E:$E,$C818)))</f>
        <v/>
      </c>
      <c r="H818" s="5" t="str">
        <f aca="false">IF(C818=0,"",IF(A818="GL",IF(G818&gt;0,"Deposit in transit","Outstanding check / payment"),IF(G818&gt;0,"Bank credit not in GL","Bank debit not in GL")))</f>
        <v/>
      </c>
      <c r="I818" s="42" t="str">
        <f aca="false">IF(OR(C818=0,CFG_PeriodEnd=""),"",CFG_PeriodEnd-D818)</f>
        <v/>
      </c>
      <c r="J818" s="5" t="str">
        <f aca="false">IF(C818=0,"",IF($A818="Bank",IF(INDEX(Bank!$G:$G,$C818)="","",INDEX(Bank!$G:$G,$C818)),IF(INDEX(GL!$G:$G,$C818)="","",INDEX(GL!$G:$G,$C818))))</f>
        <v/>
      </c>
      <c r="K818" s="5" t="str">
        <f aca="false">IF(C818=0,"",IF($A818="Bank",IF(INDEX(Bank!$I:$I,$C818)="","",INDEX(Bank!$I:$I,$C818)),IF(INDEX(GL!$I:$I,$C818)="","",INDEX(GL!$I:$I,$C818))))</f>
        <v/>
      </c>
      <c r="L818" s="5" t="str">
        <f aca="false">IF(B818="","",IF(C818=0,"NOT FOUND",IF(IF($A818="Bank",INDEX(Bank!$F:$F,$C818),INDEX(GL!$F:$F,$C818))="Y","NOW RECONCILED: refresh","OK")))</f>
        <v/>
      </c>
    </row>
    <row r="819" customFormat="false" ht="15" hidden="false" customHeight="false" outlineLevel="0" collapsed="false">
      <c r="A819" s="41"/>
      <c r="B819" s="41"/>
      <c r="C819" s="5" t="n">
        <f aca="false">IF(B819="",0,IF(A819="Bank",IFERROR(MATCH(B819,Bank!$A:$A,0),0),IFERROR(MATCH(B819,GL!$A:$A,0),0)))</f>
        <v>0</v>
      </c>
      <c r="D819" s="32" t="str">
        <f aca="false">IF(C819=0,"",IF($A819="Bank",INDEX(Bank!$B:$B,$C819),INDEX(GL!$B:$B,$C819)))</f>
        <v/>
      </c>
      <c r="E819" s="5" t="str">
        <f aca="false">IF(C819=0,"",IF($A819="Bank",IF(INDEX(Bank!$C:$C,$C819)="","",INDEX(Bank!$C:$C,$C819)),IF(INDEX(GL!$C:$C,$C819)="","",INDEX(GL!$C:$C,$C819))))</f>
        <v/>
      </c>
      <c r="F819" s="5" t="str">
        <f aca="false">IF(C819=0,"",IF($A819="Bank",IF(INDEX(Bank!$D:$D,$C819)="","",INDEX(Bank!$D:$D,$C819)),IF(INDEX(GL!$D:$D,$C819)="","",INDEX(GL!$D:$D,$C819))))</f>
        <v/>
      </c>
      <c r="G819" s="19" t="str">
        <f aca="false">IF(C819=0,"",IF($A819="Bank",INDEX(Bank!$E:$E,$C819),INDEX(GL!$E:$E,$C819)))</f>
        <v/>
      </c>
      <c r="H819" s="5" t="str">
        <f aca="false">IF(C819=0,"",IF(A819="GL",IF(G819&gt;0,"Deposit in transit","Outstanding check / payment"),IF(G819&gt;0,"Bank credit not in GL","Bank debit not in GL")))</f>
        <v/>
      </c>
      <c r="I819" s="42" t="str">
        <f aca="false">IF(OR(C819=0,CFG_PeriodEnd=""),"",CFG_PeriodEnd-D819)</f>
        <v/>
      </c>
      <c r="J819" s="5" t="str">
        <f aca="false">IF(C819=0,"",IF($A819="Bank",IF(INDEX(Bank!$G:$G,$C819)="","",INDEX(Bank!$G:$G,$C819)),IF(INDEX(GL!$G:$G,$C819)="","",INDEX(GL!$G:$G,$C819))))</f>
        <v/>
      </c>
      <c r="K819" s="5" t="str">
        <f aca="false">IF(C819=0,"",IF($A819="Bank",IF(INDEX(Bank!$I:$I,$C819)="","",INDEX(Bank!$I:$I,$C819)),IF(INDEX(GL!$I:$I,$C819)="","",INDEX(GL!$I:$I,$C819))))</f>
        <v/>
      </c>
      <c r="L819" s="5" t="str">
        <f aca="false">IF(B819="","",IF(C819=0,"NOT FOUND",IF(IF($A819="Bank",INDEX(Bank!$F:$F,$C819),INDEX(GL!$F:$F,$C819))="Y","NOW RECONCILED: refresh","OK")))</f>
        <v/>
      </c>
    </row>
    <row r="820" customFormat="false" ht="15" hidden="false" customHeight="false" outlineLevel="0" collapsed="false">
      <c r="A820" s="41"/>
      <c r="B820" s="41"/>
      <c r="C820" s="5" t="n">
        <f aca="false">IF(B820="",0,IF(A820="Bank",IFERROR(MATCH(B820,Bank!$A:$A,0),0),IFERROR(MATCH(B820,GL!$A:$A,0),0)))</f>
        <v>0</v>
      </c>
      <c r="D820" s="32" t="str">
        <f aca="false">IF(C820=0,"",IF($A820="Bank",INDEX(Bank!$B:$B,$C820),INDEX(GL!$B:$B,$C820)))</f>
        <v/>
      </c>
      <c r="E820" s="5" t="str">
        <f aca="false">IF(C820=0,"",IF($A820="Bank",IF(INDEX(Bank!$C:$C,$C820)="","",INDEX(Bank!$C:$C,$C820)),IF(INDEX(GL!$C:$C,$C820)="","",INDEX(GL!$C:$C,$C820))))</f>
        <v/>
      </c>
      <c r="F820" s="5" t="str">
        <f aca="false">IF(C820=0,"",IF($A820="Bank",IF(INDEX(Bank!$D:$D,$C820)="","",INDEX(Bank!$D:$D,$C820)),IF(INDEX(GL!$D:$D,$C820)="","",INDEX(GL!$D:$D,$C820))))</f>
        <v/>
      </c>
      <c r="G820" s="19" t="str">
        <f aca="false">IF(C820=0,"",IF($A820="Bank",INDEX(Bank!$E:$E,$C820),INDEX(GL!$E:$E,$C820)))</f>
        <v/>
      </c>
      <c r="H820" s="5" t="str">
        <f aca="false">IF(C820=0,"",IF(A820="GL",IF(G820&gt;0,"Deposit in transit","Outstanding check / payment"),IF(G820&gt;0,"Bank credit not in GL","Bank debit not in GL")))</f>
        <v/>
      </c>
      <c r="I820" s="42" t="str">
        <f aca="false">IF(OR(C820=0,CFG_PeriodEnd=""),"",CFG_PeriodEnd-D820)</f>
        <v/>
      </c>
      <c r="J820" s="5" t="str">
        <f aca="false">IF(C820=0,"",IF($A820="Bank",IF(INDEX(Bank!$G:$G,$C820)="","",INDEX(Bank!$G:$G,$C820)),IF(INDEX(GL!$G:$G,$C820)="","",INDEX(GL!$G:$G,$C820))))</f>
        <v/>
      </c>
      <c r="K820" s="5" t="str">
        <f aca="false">IF(C820=0,"",IF($A820="Bank",IF(INDEX(Bank!$I:$I,$C820)="","",INDEX(Bank!$I:$I,$C820)),IF(INDEX(GL!$I:$I,$C820)="","",INDEX(GL!$I:$I,$C820))))</f>
        <v/>
      </c>
      <c r="L820" s="5" t="str">
        <f aca="false">IF(B820="","",IF(C820=0,"NOT FOUND",IF(IF($A820="Bank",INDEX(Bank!$F:$F,$C820),INDEX(GL!$F:$F,$C820))="Y","NOW RECONCILED: refresh","OK")))</f>
        <v/>
      </c>
    </row>
    <row r="821" customFormat="false" ht="15" hidden="false" customHeight="false" outlineLevel="0" collapsed="false">
      <c r="A821" s="41"/>
      <c r="B821" s="41"/>
      <c r="C821" s="5" t="n">
        <f aca="false">IF(B821="",0,IF(A821="Bank",IFERROR(MATCH(B821,Bank!$A:$A,0),0),IFERROR(MATCH(B821,GL!$A:$A,0),0)))</f>
        <v>0</v>
      </c>
      <c r="D821" s="32" t="str">
        <f aca="false">IF(C821=0,"",IF($A821="Bank",INDEX(Bank!$B:$B,$C821),INDEX(GL!$B:$B,$C821)))</f>
        <v/>
      </c>
      <c r="E821" s="5" t="str">
        <f aca="false">IF(C821=0,"",IF($A821="Bank",IF(INDEX(Bank!$C:$C,$C821)="","",INDEX(Bank!$C:$C,$C821)),IF(INDEX(GL!$C:$C,$C821)="","",INDEX(GL!$C:$C,$C821))))</f>
        <v/>
      </c>
      <c r="F821" s="5" t="str">
        <f aca="false">IF(C821=0,"",IF($A821="Bank",IF(INDEX(Bank!$D:$D,$C821)="","",INDEX(Bank!$D:$D,$C821)),IF(INDEX(GL!$D:$D,$C821)="","",INDEX(GL!$D:$D,$C821))))</f>
        <v/>
      </c>
      <c r="G821" s="19" t="str">
        <f aca="false">IF(C821=0,"",IF($A821="Bank",INDEX(Bank!$E:$E,$C821),INDEX(GL!$E:$E,$C821)))</f>
        <v/>
      </c>
      <c r="H821" s="5" t="str">
        <f aca="false">IF(C821=0,"",IF(A821="GL",IF(G821&gt;0,"Deposit in transit","Outstanding check / payment"),IF(G821&gt;0,"Bank credit not in GL","Bank debit not in GL")))</f>
        <v/>
      </c>
      <c r="I821" s="42" t="str">
        <f aca="false">IF(OR(C821=0,CFG_PeriodEnd=""),"",CFG_PeriodEnd-D821)</f>
        <v/>
      </c>
      <c r="J821" s="5" t="str">
        <f aca="false">IF(C821=0,"",IF($A821="Bank",IF(INDEX(Bank!$G:$G,$C821)="","",INDEX(Bank!$G:$G,$C821)),IF(INDEX(GL!$G:$G,$C821)="","",INDEX(GL!$G:$G,$C821))))</f>
        <v/>
      </c>
      <c r="K821" s="5" t="str">
        <f aca="false">IF(C821=0,"",IF($A821="Bank",IF(INDEX(Bank!$I:$I,$C821)="","",INDEX(Bank!$I:$I,$C821)),IF(INDEX(GL!$I:$I,$C821)="","",INDEX(GL!$I:$I,$C821))))</f>
        <v/>
      </c>
      <c r="L821" s="5" t="str">
        <f aca="false">IF(B821="","",IF(C821=0,"NOT FOUND",IF(IF($A821="Bank",INDEX(Bank!$F:$F,$C821),INDEX(GL!$F:$F,$C821))="Y","NOW RECONCILED: refresh","OK")))</f>
        <v/>
      </c>
    </row>
    <row r="822" customFormat="false" ht="15" hidden="false" customHeight="false" outlineLevel="0" collapsed="false">
      <c r="A822" s="41"/>
      <c r="B822" s="41"/>
      <c r="C822" s="5" t="n">
        <f aca="false">IF(B822="",0,IF(A822="Bank",IFERROR(MATCH(B822,Bank!$A:$A,0),0),IFERROR(MATCH(B822,GL!$A:$A,0),0)))</f>
        <v>0</v>
      </c>
      <c r="D822" s="32" t="str">
        <f aca="false">IF(C822=0,"",IF($A822="Bank",INDEX(Bank!$B:$B,$C822),INDEX(GL!$B:$B,$C822)))</f>
        <v/>
      </c>
      <c r="E822" s="5" t="str">
        <f aca="false">IF(C822=0,"",IF($A822="Bank",IF(INDEX(Bank!$C:$C,$C822)="","",INDEX(Bank!$C:$C,$C822)),IF(INDEX(GL!$C:$C,$C822)="","",INDEX(GL!$C:$C,$C822))))</f>
        <v/>
      </c>
      <c r="F822" s="5" t="str">
        <f aca="false">IF(C822=0,"",IF($A822="Bank",IF(INDEX(Bank!$D:$D,$C822)="","",INDEX(Bank!$D:$D,$C822)),IF(INDEX(GL!$D:$D,$C822)="","",INDEX(GL!$D:$D,$C822))))</f>
        <v/>
      </c>
      <c r="G822" s="19" t="str">
        <f aca="false">IF(C822=0,"",IF($A822="Bank",INDEX(Bank!$E:$E,$C822),INDEX(GL!$E:$E,$C822)))</f>
        <v/>
      </c>
      <c r="H822" s="5" t="str">
        <f aca="false">IF(C822=0,"",IF(A822="GL",IF(G822&gt;0,"Deposit in transit","Outstanding check / payment"),IF(G822&gt;0,"Bank credit not in GL","Bank debit not in GL")))</f>
        <v/>
      </c>
      <c r="I822" s="42" t="str">
        <f aca="false">IF(OR(C822=0,CFG_PeriodEnd=""),"",CFG_PeriodEnd-D822)</f>
        <v/>
      </c>
      <c r="J822" s="5" t="str">
        <f aca="false">IF(C822=0,"",IF($A822="Bank",IF(INDEX(Bank!$G:$G,$C822)="","",INDEX(Bank!$G:$G,$C822)),IF(INDEX(GL!$G:$G,$C822)="","",INDEX(GL!$G:$G,$C822))))</f>
        <v/>
      </c>
      <c r="K822" s="5" t="str">
        <f aca="false">IF(C822=0,"",IF($A822="Bank",IF(INDEX(Bank!$I:$I,$C822)="","",INDEX(Bank!$I:$I,$C822)),IF(INDEX(GL!$I:$I,$C822)="","",INDEX(GL!$I:$I,$C822))))</f>
        <v/>
      </c>
      <c r="L822" s="5" t="str">
        <f aca="false">IF(B822="","",IF(C822=0,"NOT FOUND",IF(IF($A822="Bank",INDEX(Bank!$F:$F,$C822),INDEX(GL!$F:$F,$C822))="Y","NOW RECONCILED: refresh","OK")))</f>
        <v/>
      </c>
    </row>
    <row r="823" customFormat="false" ht="15" hidden="false" customHeight="false" outlineLevel="0" collapsed="false">
      <c r="A823" s="41"/>
      <c r="B823" s="41"/>
      <c r="C823" s="5" t="n">
        <f aca="false">IF(B823="",0,IF(A823="Bank",IFERROR(MATCH(B823,Bank!$A:$A,0),0),IFERROR(MATCH(B823,GL!$A:$A,0),0)))</f>
        <v>0</v>
      </c>
      <c r="D823" s="32" t="str">
        <f aca="false">IF(C823=0,"",IF($A823="Bank",INDEX(Bank!$B:$B,$C823),INDEX(GL!$B:$B,$C823)))</f>
        <v/>
      </c>
      <c r="E823" s="5" t="str">
        <f aca="false">IF(C823=0,"",IF($A823="Bank",IF(INDEX(Bank!$C:$C,$C823)="","",INDEX(Bank!$C:$C,$C823)),IF(INDEX(GL!$C:$C,$C823)="","",INDEX(GL!$C:$C,$C823))))</f>
        <v/>
      </c>
      <c r="F823" s="5" t="str">
        <f aca="false">IF(C823=0,"",IF($A823="Bank",IF(INDEX(Bank!$D:$D,$C823)="","",INDEX(Bank!$D:$D,$C823)),IF(INDEX(GL!$D:$D,$C823)="","",INDEX(GL!$D:$D,$C823))))</f>
        <v/>
      </c>
      <c r="G823" s="19" t="str">
        <f aca="false">IF(C823=0,"",IF($A823="Bank",INDEX(Bank!$E:$E,$C823),INDEX(GL!$E:$E,$C823)))</f>
        <v/>
      </c>
      <c r="H823" s="5" t="str">
        <f aca="false">IF(C823=0,"",IF(A823="GL",IF(G823&gt;0,"Deposit in transit","Outstanding check / payment"),IF(G823&gt;0,"Bank credit not in GL","Bank debit not in GL")))</f>
        <v/>
      </c>
      <c r="I823" s="42" t="str">
        <f aca="false">IF(OR(C823=0,CFG_PeriodEnd=""),"",CFG_PeriodEnd-D823)</f>
        <v/>
      </c>
      <c r="J823" s="5" t="str">
        <f aca="false">IF(C823=0,"",IF($A823="Bank",IF(INDEX(Bank!$G:$G,$C823)="","",INDEX(Bank!$G:$G,$C823)),IF(INDEX(GL!$G:$G,$C823)="","",INDEX(GL!$G:$G,$C823))))</f>
        <v/>
      </c>
      <c r="K823" s="5" t="str">
        <f aca="false">IF(C823=0,"",IF($A823="Bank",IF(INDEX(Bank!$I:$I,$C823)="","",INDEX(Bank!$I:$I,$C823)),IF(INDEX(GL!$I:$I,$C823)="","",INDEX(GL!$I:$I,$C823))))</f>
        <v/>
      </c>
      <c r="L823" s="5" t="str">
        <f aca="false">IF(B823="","",IF(C823=0,"NOT FOUND",IF(IF($A823="Bank",INDEX(Bank!$F:$F,$C823),INDEX(GL!$F:$F,$C823))="Y","NOW RECONCILED: refresh","OK")))</f>
        <v/>
      </c>
    </row>
    <row r="824" customFormat="false" ht="15" hidden="false" customHeight="false" outlineLevel="0" collapsed="false">
      <c r="A824" s="41"/>
      <c r="B824" s="41"/>
      <c r="C824" s="5" t="n">
        <f aca="false">IF(B824="",0,IF(A824="Bank",IFERROR(MATCH(B824,Bank!$A:$A,0),0),IFERROR(MATCH(B824,GL!$A:$A,0),0)))</f>
        <v>0</v>
      </c>
      <c r="D824" s="32" t="str">
        <f aca="false">IF(C824=0,"",IF($A824="Bank",INDEX(Bank!$B:$B,$C824),INDEX(GL!$B:$B,$C824)))</f>
        <v/>
      </c>
      <c r="E824" s="5" t="str">
        <f aca="false">IF(C824=0,"",IF($A824="Bank",IF(INDEX(Bank!$C:$C,$C824)="","",INDEX(Bank!$C:$C,$C824)),IF(INDEX(GL!$C:$C,$C824)="","",INDEX(GL!$C:$C,$C824))))</f>
        <v/>
      </c>
      <c r="F824" s="5" t="str">
        <f aca="false">IF(C824=0,"",IF($A824="Bank",IF(INDEX(Bank!$D:$D,$C824)="","",INDEX(Bank!$D:$D,$C824)),IF(INDEX(GL!$D:$D,$C824)="","",INDEX(GL!$D:$D,$C824))))</f>
        <v/>
      </c>
      <c r="G824" s="19" t="str">
        <f aca="false">IF(C824=0,"",IF($A824="Bank",INDEX(Bank!$E:$E,$C824),INDEX(GL!$E:$E,$C824)))</f>
        <v/>
      </c>
      <c r="H824" s="5" t="str">
        <f aca="false">IF(C824=0,"",IF(A824="GL",IF(G824&gt;0,"Deposit in transit","Outstanding check / payment"),IF(G824&gt;0,"Bank credit not in GL","Bank debit not in GL")))</f>
        <v/>
      </c>
      <c r="I824" s="42" t="str">
        <f aca="false">IF(OR(C824=0,CFG_PeriodEnd=""),"",CFG_PeriodEnd-D824)</f>
        <v/>
      </c>
      <c r="J824" s="5" t="str">
        <f aca="false">IF(C824=0,"",IF($A824="Bank",IF(INDEX(Bank!$G:$G,$C824)="","",INDEX(Bank!$G:$G,$C824)),IF(INDEX(GL!$G:$G,$C824)="","",INDEX(GL!$G:$G,$C824))))</f>
        <v/>
      </c>
      <c r="K824" s="5" t="str">
        <f aca="false">IF(C824=0,"",IF($A824="Bank",IF(INDEX(Bank!$I:$I,$C824)="","",INDEX(Bank!$I:$I,$C824)),IF(INDEX(GL!$I:$I,$C824)="","",INDEX(GL!$I:$I,$C824))))</f>
        <v/>
      </c>
      <c r="L824" s="5" t="str">
        <f aca="false">IF(B824="","",IF(C824=0,"NOT FOUND",IF(IF($A824="Bank",INDEX(Bank!$F:$F,$C824),INDEX(GL!$F:$F,$C824))="Y","NOW RECONCILED: refresh","OK")))</f>
        <v/>
      </c>
    </row>
    <row r="825" customFormat="false" ht="15" hidden="false" customHeight="false" outlineLevel="0" collapsed="false">
      <c r="A825" s="41"/>
      <c r="B825" s="41"/>
      <c r="C825" s="5" t="n">
        <f aca="false">IF(B825="",0,IF(A825="Bank",IFERROR(MATCH(B825,Bank!$A:$A,0),0),IFERROR(MATCH(B825,GL!$A:$A,0),0)))</f>
        <v>0</v>
      </c>
      <c r="D825" s="32" t="str">
        <f aca="false">IF(C825=0,"",IF($A825="Bank",INDEX(Bank!$B:$B,$C825),INDEX(GL!$B:$B,$C825)))</f>
        <v/>
      </c>
      <c r="E825" s="5" t="str">
        <f aca="false">IF(C825=0,"",IF($A825="Bank",IF(INDEX(Bank!$C:$C,$C825)="","",INDEX(Bank!$C:$C,$C825)),IF(INDEX(GL!$C:$C,$C825)="","",INDEX(GL!$C:$C,$C825))))</f>
        <v/>
      </c>
      <c r="F825" s="5" t="str">
        <f aca="false">IF(C825=0,"",IF($A825="Bank",IF(INDEX(Bank!$D:$D,$C825)="","",INDEX(Bank!$D:$D,$C825)),IF(INDEX(GL!$D:$D,$C825)="","",INDEX(GL!$D:$D,$C825))))</f>
        <v/>
      </c>
      <c r="G825" s="19" t="str">
        <f aca="false">IF(C825=0,"",IF($A825="Bank",INDEX(Bank!$E:$E,$C825),INDEX(GL!$E:$E,$C825)))</f>
        <v/>
      </c>
      <c r="H825" s="5" t="str">
        <f aca="false">IF(C825=0,"",IF(A825="GL",IF(G825&gt;0,"Deposit in transit","Outstanding check / payment"),IF(G825&gt;0,"Bank credit not in GL","Bank debit not in GL")))</f>
        <v/>
      </c>
      <c r="I825" s="42" t="str">
        <f aca="false">IF(OR(C825=0,CFG_PeriodEnd=""),"",CFG_PeriodEnd-D825)</f>
        <v/>
      </c>
      <c r="J825" s="5" t="str">
        <f aca="false">IF(C825=0,"",IF($A825="Bank",IF(INDEX(Bank!$G:$G,$C825)="","",INDEX(Bank!$G:$G,$C825)),IF(INDEX(GL!$G:$G,$C825)="","",INDEX(GL!$G:$G,$C825))))</f>
        <v/>
      </c>
      <c r="K825" s="5" t="str">
        <f aca="false">IF(C825=0,"",IF($A825="Bank",IF(INDEX(Bank!$I:$I,$C825)="","",INDEX(Bank!$I:$I,$C825)),IF(INDEX(GL!$I:$I,$C825)="","",INDEX(GL!$I:$I,$C825))))</f>
        <v/>
      </c>
      <c r="L825" s="5" t="str">
        <f aca="false">IF(B825="","",IF(C825=0,"NOT FOUND",IF(IF($A825="Bank",INDEX(Bank!$F:$F,$C825),INDEX(GL!$F:$F,$C825))="Y","NOW RECONCILED: refresh","OK")))</f>
        <v/>
      </c>
    </row>
    <row r="826" customFormat="false" ht="15" hidden="false" customHeight="false" outlineLevel="0" collapsed="false">
      <c r="A826" s="41"/>
      <c r="B826" s="41"/>
      <c r="C826" s="5" t="n">
        <f aca="false">IF(B826="",0,IF(A826="Bank",IFERROR(MATCH(B826,Bank!$A:$A,0),0),IFERROR(MATCH(B826,GL!$A:$A,0),0)))</f>
        <v>0</v>
      </c>
      <c r="D826" s="32" t="str">
        <f aca="false">IF(C826=0,"",IF($A826="Bank",INDEX(Bank!$B:$B,$C826),INDEX(GL!$B:$B,$C826)))</f>
        <v/>
      </c>
      <c r="E826" s="5" t="str">
        <f aca="false">IF(C826=0,"",IF($A826="Bank",IF(INDEX(Bank!$C:$C,$C826)="","",INDEX(Bank!$C:$C,$C826)),IF(INDEX(GL!$C:$C,$C826)="","",INDEX(GL!$C:$C,$C826))))</f>
        <v/>
      </c>
      <c r="F826" s="5" t="str">
        <f aca="false">IF(C826=0,"",IF($A826="Bank",IF(INDEX(Bank!$D:$D,$C826)="","",INDEX(Bank!$D:$D,$C826)),IF(INDEX(GL!$D:$D,$C826)="","",INDEX(GL!$D:$D,$C826))))</f>
        <v/>
      </c>
      <c r="G826" s="19" t="str">
        <f aca="false">IF(C826=0,"",IF($A826="Bank",INDEX(Bank!$E:$E,$C826),INDEX(GL!$E:$E,$C826)))</f>
        <v/>
      </c>
      <c r="H826" s="5" t="str">
        <f aca="false">IF(C826=0,"",IF(A826="GL",IF(G826&gt;0,"Deposit in transit","Outstanding check / payment"),IF(G826&gt;0,"Bank credit not in GL","Bank debit not in GL")))</f>
        <v/>
      </c>
      <c r="I826" s="42" t="str">
        <f aca="false">IF(OR(C826=0,CFG_PeriodEnd=""),"",CFG_PeriodEnd-D826)</f>
        <v/>
      </c>
      <c r="J826" s="5" t="str">
        <f aca="false">IF(C826=0,"",IF($A826="Bank",IF(INDEX(Bank!$G:$G,$C826)="","",INDEX(Bank!$G:$G,$C826)),IF(INDEX(GL!$G:$G,$C826)="","",INDEX(GL!$G:$G,$C826))))</f>
        <v/>
      </c>
      <c r="K826" s="5" t="str">
        <f aca="false">IF(C826=0,"",IF($A826="Bank",IF(INDEX(Bank!$I:$I,$C826)="","",INDEX(Bank!$I:$I,$C826)),IF(INDEX(GL!$I:$I,$C826)="","",INDEX(GL!$I:$I,$C826))))</f>
        <v/>
      </c>
      <c r="L826" s="5" t="str">
        <f aca="false">IF(B826="","",IF(C826=0,"NOT FOUND",IF(IF($A826="Bank",INDEX(Bank!$F:$F,$C826),INDEX(GL!$F:$F,$C826))="Y","NOW RECONCILED: refresh","OK")))</f>
        <v/>
      </c>
    </row>
    <row r="827" customFormat="false" ht="15" hidden="false" customHeight="false" outlineLevel="0" collapsed="false">
      <c r="A827" s="41"/>
      <c r="B827" s="41"/>
      <c r="C827" s="5" t="n">
        <f aca="false">IF(B827="",0,IF(A827="Bank",IFERROR(MATCH(B827,Bank!$A:$A,0),0),IFERROR(MATCH(B827,GL!$A:$A,0),0)))</f>
        <v>0</v>
      </c>
      <c r="D827" s="32" t="str">
        <f aca="false">IF(C827=0,"",IF($A827="Bank",INDEX(Bank!$B:$B,$C827),INDEX(GL!$B:$B,$C827)))</f>
        <v/>
      </c>
      <c r="E827" s="5" t="str">
        <f aca="false">IF(C827=0,"",IF($A827="Bank",IF(INDEX(Bank!$C:$C,$C827)="","",INDEX(Bank!$C:$C,$C827)),IF(INDEX(GL!$C:$C,$C827)="","",INDEX(GL!$C:$C,$C827))))</f>
        <v/>
      </c>
      <c r="F827" s="5" t="str">
        <f aca="false">IF(C827=0,"",IF($A827="Bank",IF(INDEX(Bank!$D:$D,$C827)="","",INDEX(Bank!$D:$D,$C827)),IF(INDEX(GL!$D:$D,$C827)="","",INDEX(GL!$D:$D,$C827))))</f>
        <v/>
      </c>
      <c r="G827" s="19" t="str">
        <f aca="false">IF(C827=0,"",IF($A827="Bank",INDEX(Bank!$E:$E,$C827),INDEX(GL!$E:$E,$C827)))</f>
        <v/>
      </c>
      <c r="H827" s="5" t="str">
        <f aca="false">IF(C827=0,"",IF(A827="GL",IF(G827&gt;0,"Deposit in transit","Outstanding check / payment"),IF(G827&gt;0,"Bank credit not in GL","Bank debit not in GL")))</f>
        <v/>
      </c>
      <c r="I827" s="42" t="str">
        <f aca="false">IF(OR(C827=0,CFG_PeriodEnd=""),"",CFG_PeriodEnd-D827)</f>
        <v/>
      </c>
      <c r="J827" s="5" t="str">
        <f aca="false">IF(C827=0,"",IF($A827="Bank",IF(INDEX(Bank!$G:$G,$C827)="","",INDEX(Bank!$G:$G,$C827)),IF(INDEX(GL!$G:$G,$C827)="","",INDEX(GL!$G:$G,$C827))))</f>
        <v/>
      </c>
      <c r="K827" s="5" t="str">
        <f aca="false">IF(C827=0,"",IF($A827="Bank",IF(INDEX(Bank!$I:$I,$C827)="","",INDEX(Bank!$I:$I,$C827)),IF(INDEX(GL!$I:$I,$C827)="","",INDEX(GL!$I:$I,$C827))))</f>
        <v/>
      </c>
      <c r="L827" s="5" t="str">
        <f aca="false">IF(B827="","",IF(C827=0,"NOT FOUND",IF(IF($A827="Bank",INDEX(Bank!$F:$F,$C827),INDEX(GL!$F:$F,$C827))="Y","NOW RECONCILED: refresh","OK")))</f>
        <v/>
      </c>
    </row>
    <row r="828" customFormat="false" ht="15" hidden="false" customHeight="false" outlineLevel="0" collapsed="false">
      <c r="A828" s="41"/>
      <c r="B828" s="41"/>
      <c r="C828" s="5" t="n">
        <f aca="false">IF(B828="",0,IF(A828="Bank",IFERROR(MATCH(B828,Bank!$A:$A,0),0),IFERROR(MATCH(B828,GL!$A:$A,0),0)))</f>
        <v>0</v>
      </c>
      <c r="D828" s="32" t="str">
        <f aca="false">IF(C828=0,"",IF($A828="Bank",INDEX(Bank!$B:$B,$C828),INDEX(GL!$B:$B,$C828)))</f>
        <v/>
      </c>
      <c r="E828" s="5" t="str">
        <f aca="false">IF(C828=0,"",IF($A828="Bank",IF(INDEX(Bank!$C:$C,$C828)="","",INDEX(Bank!$C:$C,$C828)),IF(INDEX(GL!$C:$C,$C828)="","",INDEX(GL!$C:$C,$C828))))</f>
        <v/>
      </c>
      <c r="F828" s="5" t="str">
        <f aca="false">IF(C828=0,"",IF($A828="Bank",IF(INDEX(Bank!$D:$D,$C828)="","",INDEX(Bank!$D:$D,$C828)),IF(INDEX(GL!$D:$D,$C828)="","",INDEX(GL!$D:$D,$C828))))</f>
        <v/>
      </c>
      <c r="G828" s="19" t="str">
        <f aca="false">IF(C828=0,"",IF($A828="Bank",INDEX(Bank!$E:$E,$C828),INDEX(GL!$E:$E,$C828)))</f>
        <v/>
      </c>
      <c r="H828" s="5" t="str">
        <f aca="false">IF(C828=0,"",IF(A828="GL",IF(G828&gt;0,"Deposit in transit","Outstanding check / payment"),IF(G828&gt;0,"Bank credit not in GL","Bank debit not in GL")))</f>
        <v/>
      </c>
      <c r="I828" s="42" t="str">
        <f aca="false">IF(OR(C828=0,CFG_PeriodEnd=""),"",CFG_PeriodEnd-D828)</f>
        <v/>
      </c>
      <c r="J828" s="5" t="str">
        <f aca="false">IF(C828=0,"",IF($A828="Bank",IF(INDEX(Bank!$G:$G,$C828)="","",INDEX(Bank!$G:$G,$C828)),IF(INDEX(GL!$G:$G,$C828)="","",INDEX(GL!$G:$G,$C828))))</f>
        <v/>
      </c>
      <c r="K828" s="5" t="str">
        <f aca="false">IF(C828=0,"",IF($A828="Bank",IF(INDEX(Bank!$I:$I,$C828)="","",INDEX(Bank!$I:$I,$C828)),IF(INDEX(GL!$I:$I,$C828)="","",INDEX(GL!$I:$I,$C828))))</f>
        <v/>
      </c>
      <c r="L828" s="5" t="str">
        <f aca="false">IF(B828="","",IF(C828=0,"NOT FOUND",IF(IF($A828="Bank",INDEX(Bank!$F:$F,$C828),INDEX(GL!$F:$F,$C828))="Y","NOW RECONCILED: refresh","OK")))</f>
        <v/>
      </c>
    </row>
    <row r="829" customFormat="false" ht="15" hidden="false" customHeight="false" outlineLevel="0" collapsed="false">
      <c r="A829" s="41"/>
      <c r="B829" s="41"/>
      <c r="C829" s="5" t="n">
        <f aca="false">IF(B829="",0,IF(A829="Bank",IFERROR(MATCH(B829,Bank!$A:$A,0),0),IFERROR(MATCH(B829,GL!$A:$A,0),0)))</f>
        <v>0</v>
      </c>
      <c r="D829" s="32" t="str">
        <f aca="false">IF(C829=0,"",IF($A829="Bank",INDEX(Bank!$B:$B,$C829),INDEX(GL!$B:$B,$C829)))</f>
        <v/>
      </c>
      <c r="E829" s="5" t="str">
        <f aca="false">IF(C829=0,"",IF($A829="Bank",IF(INDEX(Bank!$C:$C,$C829)="","",INDEX(Bank!$C:$C,$C829)),IF(INDEX(GL!$C:$C,$C829)="","",INDEX(GL!$C:$C,$C829))))</f>
        <v/>
      </c>
      <c r="F829" s="5" t="str">
        <f aca="false">IF(C829=0,"",IF($A829="Bank",IF(INDEX(Bank!$D:$D,$C829)="","",INDEX(Bank!$D:$D,$C829)),IF(INDEX(GL!$D:$D,$C829)="","",INDEX(GL!$D:$D,$C829))))</f>
        <v/>
      </c>
      <c r="G829" s="19" t="str">
        <f aca="false">IF(C829=0,"",IF($A829="Bank",INDEX(Bank!$E:$E,$C829),INDEX(GL!$E:$E,$C829)))</f>
        <v/>
      </c>
      <c r="H829" s="5" t="str">
        <f aca="false">IF(C829=0,"",IF(A829="GL",IF(G829&gt;0,"Deposit in transit","Outstanding check / payment"),IF(G829&gt;0,"Bank credit not in GL","Bank debit not in GL")))</f>
        <v/>
      </c>
      <c r="I829" s="42" t="str">
        <f aca="false">IF(OR(C829=0,CFG_PeriodEnd=""),"",CFG_PeriodEnd-D829)</f>
        <v/>
      </c>
      <c r="J829" s="5" t="str">
        <f aca="false">IF(C829=0,"",IF($A829="Bank",IF(INDEX(Bank!$G:$G,$C829)="","",INDEX(Bank!$G:$G,$C829)),IF(INDEX(GL!$G:$G,$C829)="","",INDEX(GL!$G:$G,$C829))))</f>
        <v/>
      </c>
      <c r="K829" s="5" t="str">
        <f aca="false">IF(C829=0,"",IF($A829="Bank",IF(INDEX(Bank!$I:$I,$C829)="","",INDEX(Bank!$I:$I,$C829)),IF(INDEX(GL!$I:$I,$C829)="","",INDEX(GL!$I:$I,$C829))))</f>
        <v/>
      </c>
      <c r="L829" s="5" t="str">
        <f aca="false">IF(B829="","",IF(C829=0,"NOT FOUND",IF(IF($A829="Bank",INDEX(Bank!$F:$F,$C829),INDEX(GL!$F:$F,$C829))="Y","NOW RECONCILED: refresh","OK")))</f>
        <v/>
      </c>
    </row>
    <row r="830" customFormat="false" ht="15" hidden="false" customHeight="false" outlineLevel="0" collapsed="false">
      <c r="A830" s="41"/>
      <c r="B830" s="41"/>
      <c r="C830" s="5" t="n">
        <f aca="false">IF(B830="",0,IF(A830="Bank",IFERROR(MATCH(B830,Bank!$A:$A,0),0),IFERROR(MATCH(B830,GL!$A:$A,0),0)))</f>
        <v>0</v>
      </c>
      <c r="D830" s="32" t="str">
        <f aca="false">IF(C830=0,"",IF($A830="Bank",INDEX(Bank!$B:$B,$C830),INDEX(GL!$B:$B,$C830)))</f>
        <v/>
      </c>
      <c r="E830" s="5" t="str">
        <f aca="false">IF(C830=0,"",IF($A830="Bank",IF(INDEX(Bank!$C:$C,$C830)="","",INDEX(Bank!$C:$C,$C830)),IF(INDEX(GL!$C:$C,$C830)="","",INDEX(GL!$C:$C,$C830))))</f>
        <v/>
      </c>
      <c r="F830" s="5" t="str">
        <f aca="false">IF(C830=0,"",IF($A830="Bank",IF(INDEX(Bank!$D:$D,$C830)="","",INDEX(Bank!$D:$D,$C830)),IF(INDEX(GL!$D:$D,$C830)="","",INDEX(GL!$D:$D,$C830))))</f>
        <v/>
      </c>
      <c r="G830" s="19" t="str">
        <f aca="false">IF(C830=0,"",IF($A830="Bank",INDEX(Bank!$E:$E,$C830),INDEX(GL!$E:$E,$C830)))</f>
        <v/>
      </c>
      <c r="H830" s="5" t="str">
        <f aca="false">IF(C830=0,"",IF(A830="GL",IF(G830&gt;0,"Deposit in transit","Outstanding check / payment"),IF(G830&gt;0,"Bank credit not in GL","Bank debit not in GL")))</f>
        <v/>
      </c>
      <c r="I830" s="42" t="str">
        <f aca="false">IF(OR(C830=0,CFG_PeriodEnd=""),"",CFG_PeriodEnd-D830)</f>
        <v/>
      </c>
      <c r="J830" s="5" t="str">
        <f aca="false">IF(C830=0,"",IF($A830="Bank",IF(INDEX(Bank!$G:$G,$C830)="","",INDEX(Bank!$G:$G,$C830)),IF(INDEX(GL!$G:$G,$C830)="","",INDEX(GL!$G:$G,$C830))))</f>
        <v/>
      </c>
      <c r="K830" s="5" t="str">
        <f aca="false">IF(C830=0,"",IF($A830="Bank",IF(INDEX(Bank!$I:$I,$C830)="","",INDEX(Bank!$I:$I,$C830)),IF(INDEX(GL!$I:$I,$C830)="","",INDEX(GL!$I:$I,$C830))))</f>
        <v/>
      </c>
      <c r="L830" s="5" t="str">
        <f aca="false">IF(B830="","",IF(C830=0,"NOT FOUND",IF(IF($A830="Bank",INDEX(Bank!$F:$F,$C830),INDEX(GL!$F:$F,$C830))="Y","NOW RECONCILED: refresh","OK")))</f>
        <v/>
      </c>
    </row>
    <row r="831" customFormat="false" ht="15" hidden="false" customHeight="false" outlineLevel="0" collapsed="false">
      <c r="A831" s="41"/>
      <c r="B831" s="41"/>
      <c r="C831" s="5" t="n">
        <f aca="false">IF(B831="",0,IF(A831="Bank",IFERROR(MATCH(B831,Bank!$A:$A,0),0),IFERROR(MATCH(B831,GL!$A:$A,0),0)))</f>
        <v>0</v>
      </c>
      <c r="D831" s="32" t="str">
        <f aca="false">IF(C831=0,"",IF($A831="Bank",INDEX(Bank!$B:$B,$C831),INDEX(GL!$B:$B,$C831)))</f>
        <v/>
      </c>
      <c r="E831" s="5" t="str">
        <f aca="false">IF(C831=0,"",IF($A831="Bank",IF(INDEX(Bank!$C:$C,$C831)="","",INDEX(Bank!$C:$C,$C831)),IF(INDEX(GL!$C:$C,$C831)="","",INDEX(GL!$C:$C,$C831))))</f>
        <v/>
      </c>
      <c r="F831" s="5" t="str">
        <f aca="false">IF(C831=0,"",IF($A831="Bank",IF(INDEX(Bank!$D:$D,$C831)="","",INDEX(Bank!$D:$D,$C831)),IF(INDEX(GL!$D:$D,$C831)="","",INDEX(GL!$D:$D,$C831))))</f>
        <v/>
      </c>
      <c r="G831" s="19" t="str">
        <f aca="false">IF(C831=0,"",IF($A831="Bank",INDEX(Bank!$E:$E,$C831),INDEX(GL!$E:$E,$C831)))</f>
        <v/>
      </c>
      <c r="H831" s="5" t="str">
        <f aca="false">IF(C831=0,"",IF(A831="GL",IF(G831&gt;0,"Deposit in transit","Outstanding check / payment"),IF(G831&gt;0,"Bank credit not in GL","Bank debit not in GL")))</f>
        <v/>
      </c>
      <c r="I831" s="42" t="str">
        <f aca="false">IF(OR(C831=0,CFG_PeriodEnd=""),"",CFG_PeriodEnd-D831)</f>
        <v/>
      </c>
      <c r="J831" s="5" t="str">
        <f aca="false">IF(C831=0,"",IF($A831="Bank",IF(INDEX(Bank!$G:$G,$C831)="","",INDEX(Bank!$G:$G,$C831)),IF(INDEX(GL!$G:$G,$C831)="","",INDEX(GL!$G:$G,$C831))))</f>
        <v/>
      </c>
      <c r="K831" s="5" t="str">
        <f aca="false">IF(C831=0,"",IF($A831="Bank",IF(INDEX(Bank!$I:$I,$C831)="","",INDEX(Bank!$I:$I,$C831)),IF(INDEX(GL!$I:$I,$C831)="","",INDEX(GL!$I:$I,$C831))))</f>
        <v/>
      </c>
      <c r="L831" s="5" t="str">
        <f aca="false">IF(B831="","",IF(C831=0,"NOT FOUND",IF(IF($A831="Bank",INDEX(Bank!$F:$F,$C831),INDEX(GL!$F:$F,$C831))="Y","NOW RECONCILED: refresh","OK")))</f>
        <v/>
      </c>
    </row>
    <row r="832" customFormat="false" ht="15" hidden="false" customHeight="false" outlineLevel="0" collapsed="false">
      <c r="A832" s="41"/>
      <c r="B832" s="41"/>
      <c r="C832" s="5" t="n">
        <f aca="false">IF(B832="",0,IF(A832="Bank",IFERROR(MATCH(B832,Bank!$A:$A,0),0),IFERROR(MATCH(B832,GL!$A:$A,0),0)))</f>
        <v>0</v>
      </c>
      <c r="D832" s="32" t="str">
        <f aca="false">IF(C832=0,"",IF($A832="Bank",INDEX(Bank!$B:$B,$C832),INDEX(GL!$B:$B,$C832)))</f>
        <v/>
      </c>
      <c r="E832" s="5" t="str">
        <f aca="false">IF(C832=0,"",IF($A832="Bank",IF(INDEX(Bank!$C:$C,$C832)="","",INDEX(Bank!$C:$C,$C832)),IF(INDEX(GL!$C:$C,$C832)="","",INDEX(GL!$C:$C,$C832))))</f>
        <v/>
      </c>
      <c r="F832" s="5" t="str">
        <f aca="false">IF(C832=0,"",IF($A832="Bank",IF(INDEX(Bank!$D:$D,$C832)="","",INDEX(Bank!$D:$D,$C832)),IF(INDEX(GL!$D:$D,$C832)="","",INDEX(GL!$D:$D,$C832))))</f>
        <v/>
      </c>
      <c r="G832" s="19" t="str">
        <f aca="false">IF(C832=0,"",IF($A832="Bank",INDEX(Bank!$E:$E,$C832),INDEX(GL!$E:$E,$C832)))</f>
        <v/>
      </c>
      <c r="H832" s="5" t="str">
        <f aca="false">IF(C832=0,"",IF(A832="GL",IF(G832&gt;0,"Deposit in transit","Outstanding check / payment"),IF(G832&gt;0,"Bank credit not in GL","Bank debit not in GL")))</f>
        <v/>
      </c>
      <c r="I832" s="42" t="str">
        <f aca="false">IF(OR(C832=0,CFG_PeriodEnd=""),"",CFG_PeriodEnd-D832)</f>
        <v/>
      </c>
      <c r="J832" s="5" t="str">
        <f aca="false">IF(C832=0,"",IF($A832="Bank",IF(INDEX(Bank!$G:$G,$C832)="","",INDEX(Bank!$G:$G,$C832)),IF(INDEX(GL!$G:$G,$C832)="","",INDEX(GL!$G:$G,$C832))))</f>
        <v/>
      </c>
      <c r="K832" s="5" t="str">
        <f aca="false">IF(C832=0,"",IF($A832="Bank",IF(INDEX(Bank!$I:$I,$C832)="","",INDEX(Bank!$I:$I,$C832)),IF(INDEX(GL!$I:$I,$C832)="","",INDEX(GL!$I:$I,$C832))))</f>
        <v/>
      </c>
      <c r="L832" s="5" t="str">
        <f aca="false">IF(B832="","",IF(C832=0,"NOT FOUND",IF(IF($A832="Bank",INDEX(Bank!$F:$F,$C832),INDEX(GL!$F:$F,$C832))="Y","NOW RECONCILED: refresh","OK")))</f>
        <v/>
      </c>
    </row>
    <row r="833" customFormat="false" ht="15" hidden="false" customHeight="false" outlineLevel="0" collapsed="false">
      <c r="A833" s="41"/>
      <c r="B833" s="41"/>
      <c r="C833" s="5" t="n">
        <f aca="false">IF(B833="",0,IF(A833="Bank",IFERROR(MATCH(B833,Bank!$A:$A,0),0),IFERROR(MATCH(B833,GL!$A:$A,0),0)))</f>
        <v>0</v>
      </c>
      <c r="D833" s="32" t="str">
        <f aca="false">IF(C833=0,"",IF($A833="Bank",INDEX(Bank!$B:$B,$C833),INDEX(GL!$B:$B,$C833)))</f>
        <v/>
      </c>
      <c r="E833" s="5" t="str">
        <f aca="false">IF(C833=0,"",IF($A833="Bank",IF(INDEX(Bank!$C:$C,$C833)="","",INDEX(Bank!$C:$C,$C833)),IF(INDEX(GL!$C:$C,$C833)="","",INDEX(GL!$C:$C,$C833))))</f>
        <v/>
      </c>
      <c r="F833" s="5" t="str">
        <f aca="false">IF(C833=0,"",IF($A833="Bank",IF(INDEX(Bank!$D:$D,$C833)="","",INDEX(Bank!$D:$D,$C833)),IF(INDEX(GL!$D:$D,$C833)="","",INDEX(GL!$D:$D,$C833))))</f>
        <v/>
      </c>
      <c r="G833" s="19" t="str">
        <f aca="false">IF(C833=0,"",IF($A833="Bank",INDEX(Bank!$E:$E,$C833),INDEX(GL!$E:$E,$C833)))</f>
        <v/>
      </c>
      <c r="H833" s="5" t="str">
        <f aca="false">IF(C833=0,"",IF(A833="GL",IF(G833&gt;0,"Deposit in transit","Outstanding check / payment"),IF(G833&gt;0,"Bank credit not in GL","Bank debit not in GL")))</f>
        <v/>
      </c>
      <c r="I833" s="42" t="str">
        <f aca="false">IF(OR(C833=0,CFG_PeriodEnd=""),"",CFG_PeriodEnd-D833)</f>
        <v/>
      </c>
      <c r="J833" s="5" t="str">
        <f aca="false">IF(C833=0,"",IF($A833="Bank",IF(INDEX(Bank!$G:$G,$C833)="","",INDEX(Bank!$G:$G,$C833)),IF(INDEX(GL!$G:$G,$C833)="","",INDEX(GL!$G:$G,$C833))))</f>
        <v/>
      </c>
      <c r="K833" s="5" t="str">
        <f aca="false">IF(C833=0,"",IF($A833="Bank",IF(INDEX(Bank!$I:$I,$C833)="","",INDEX(Bank!$I:$I,$C833)),IF(INDEX(GL!$I:$I,$C833)="","",INDEX(GL!$I:$I,$C833))))</f>
        <v/>
      </c>
      <c r="L833" s="5" t="str">
        <f aca="false">IF(B833="","",IF(C833=0,"NOT FOUND",IF(IF($A833="Bank",INDEX(Bank!$F:$F,$C833),INDEX(GL!$F:$F,$C833))="Y","NOW RECONCILED: refresh","OK")))</f>
        <v/>
      </c>
    </row>
    <row r="834" customFormat="false" ht="15" hidden="false" customHeight="false" outlineLevel="0" collapsed="false">
      <c r="A834" s="41"/>
      <c r="B834" s="41"/>
      <c r="C834" s="5" t="n">
        <f aca="false">IF(B834="",0,IF(A834="Bank",IFERROR(MATCH(B834,Bank!$A:$A,0),0),IFERROR(MATCH(B834,GL!$A:$A,0),0)))</f>
        <v>0</v>
      </c>
      <c r="D834" s="32" t="str">
        <f aca="false">IF(C834=0,"",IF($A834="Bank",INDEX(Bank!$B:$B,$C834),INDEX(GL!$B:$B,$C834)))</f>
        <v/>
      </c>
      <c r="E834" s="5" t="str">
        <f aca="false">IF(C834=0,"",IF($A834="Bank",IF(INDEX(Bank!$C:$C,$C834)="","",INDEX(Bank!$C:$C,$C834)),IF(INDEX(GL!$C:$C,$C834)="","",INDEX(GL!$C:$C,$C834))))</f>
        <v/>
      </c>
      <c r="F834" s="5" t="str">
        <f aca="false">IF(C834=0,"",IF($A834="Bank",IF(INDEX(Bank!$D:$D,$C834)="","",INDEX(Bank!$D:$D,$C834)),IF(INDEX(GL!$D:$D,$C834)="","",INDEX(GL!$D:$D,$C834))))</f>
        <v/>
      </c>
      <c r="G834" s="19" t="str">
        <f aca="false">IF(C834=0,"",IF($A834="Bank",INDEX(Bank!$E:$E,$C834),INDEX(GL!$E:$E,$C834)))</f>
        <v/>
      </c>
      <c r="H834" s="5" t="str">
        <f aca="false">IF(C834=0,"",IF(A834="GL",IF(G834&gt;0,"Deposit in transit","Outstanding check / payment"),IF(G834&gt;0,"Bank credit not in GL","Bank debit not in GL")))</f>
        <v/>
      </c>
      <c r="I834" s="42" t="str">
        <f aca="false">IF(OR(C834=0,CFG_PeriodEnd=""),"",CFG_PeriodEnd-D834)</f>
        <v/>
      </c>
      <c r="J834" s="5" t="str">
        <f aca="false">IF(C834=0,"",IF($A834="Bank",IF(INDEX(Bank!$G:$G,$C834)="","",INDEX(Bank!$G:$G,$C834)),IF(INDEX(GL!$G:$G,$C834)="","",INDEX(GL!$G:$G,$C834))))</f>
        <v/>
      </c>
      <c r="K834" s="5" t="str">
        <f aca="false">IF(C834=0,"",IF($A834="Bank",IF(INDEX(Bank!$I:$I,$C834)="","",INDEX(Bank!$I:$I,$C834)),IF(INDEX(GL!$I:$I,$C834)="","",INDEX(GL!$I:$I,$C834))))</f>
        <v/>
      </c>
      <c r="L834" s="5" t="str">
        <f aca="false">IF(B834="","",IF(C834=0,"NOT FOUND",IF(IF($A834="Bank",INDEX(Bank!$F:$F,$C834),INDEX(GL!$F:$F,$C834))="Y","NOW RECONCILED: refresh","OK")))</f>
        <v/>
      </c>
    </row>
    <row r="835" customFormat="false" ht="15" hidden="false" customHeight="false" outlineLevel="0" collapsed="false">
      <c r="A835" s="41"/>
      <c r="B835" s="41"/>
      <c r="C835" s="5" t="n">
        <f aca="false">IF(B835="",0,IF(A835="Bank",IFERROR(MATCH(B835,Bank!$A:$A,0),0),IFERROR(MATCH(B835,GL!$A:$A,0),0)))</f>
        <v>0</v>
      </c>
      <c r="D835" s="32" t="str">
        <f aca="false">IF(C835=0,"",IF($A835="Bank",INDEX(Bank!$B:$B,$C835),INDEX(GL!$B:$B,$C835)))</f>
        <v/>
      </c>
      <c r="E835" s="5" t="str">
        <f aca="false">IF(C835=0,"",IF($A835="Bank",IF(INDEX(Bank!$C:$C,$C835)="","",INDEX(Bank!$C:$C,$C835)),IF(INDEX(GL!$C:$C,$C835)="","",INDEX(GL!$C:$C,$C835))))</f>
        <v/>
      </c>
      <c r="F835" s="5" t="str">
        <f aca="false">IF(C835=0,"",IF($A835="Bank",IF(INDEX(Bank!$D:$D,$C835)="","",INDEX(Bank!$D:$D,$C835)),IF(INDEX(GL!$D:$D,$C835)="","",INDEX(GL!$D:$D,$C835))))</f>
        <v/>
      </c>
      <c r="G835" s="19" t="str">
        <f aca="false">IF(C835=0,"",IF($A835="Bank",INDEX(Bank!$E:$E,$C835),INDEX(GL!$E:$E,$C835)))</f>
        <v/>
      </c>
      <c r="H835" s="5" t="str">
        <f aca="false">IF(C835=0,"",IF(A835="GL",IF(G835&gt;0,"Deposit in transit","Outstanding check / payment"),IF(G835&gt;0,"Bank credit not in GL","Bank debit not in GL")))</f>
        <v/>
      </c>
      <c r="I835" s="42" t="str">
        <f aca="false">IF(OR(C835=0,CFG_PeriodEnd=""),"",CFG_PeriodEnd-D835)</f>
        <v/>
      </c>
      <c r="J835" s="5" t="str">
        <f aca="false">IF(C835=0,"",IF($A835="Bank",IF(INDEX(Bank!$G:$G,$C835)="","",INDEX(Bank!$G:$G,$C835)),IF(INDEX(GL!$G:$G,$C835)="","",INDEX(GL!$G:$G,$C835))))</f>
        <v/>
      </c>
      <c r="K835" s="5" t="str">
        <f aca="false">IF(C835=0,"",IF($A835="Bank",IF(INDEX(Bank!$I:$I,$C835)="","",INDEX(Bank!$I:$I,$C835)),IF(INDEX(GL!$I:$I,$C835)="","",INDEX(GL!$I:$I,$C835))))</f>
        <v/>
      </c>
      <c r="L835" s="5" t="str">
        <f aca="false">IF(B835="","",IF(C835=0,"NOT FOUND",IF(IF($A835="Bank",INDEX(Bank!$F:$F,$C835),INDEX(GL!$F:$F,$C835))="Y","NOW RECONCILED: refresh","OK")))</f>
        <v/>
      </c>
    </row>
    <row r="836" customFormat="false" ht="15" hidden="false" customHeight="false" outlineLevel="0" collapsed="false">
      <c r="A836" s="41"/>
      <c r="B836" s="41"/>
      <c r="C836" s="5" t="n">
        <f aca="false">IF(B836="",0,IF(A836="Bank",IFERROR(MATCH(B836,Bank!$A:$A,0),0),IFERROR(MATCH(B836,GL!$A:$A,0),0)))</f>
        <v>0</v>
      </c>
      <c r="D836" s="32" t="str">
        <f aca="false">IF(C836=0,"",IF($A836="Bank",INDEX(Bank!$B:$B,$C836),INDEX(GL!$B:$B,$C836)))</f>
        <v/>
      </c>
      <c r="E836" s="5" t="str">
        <f aca="false">IF(C836=0,"",IF($A836="Bank",IF(INDEX(Bank!$C:$C,$C836)="","",INDEX(Bank!$C:$C,$C836)),IF(INDEX(GL!$C:$C,$C836)="","",INDEX(GL!$C:$C,$C836))))</f>
        <v/>
      </c>
      <c r="F836" s="5" t="str">
        <f aca="false">IF(C836=0,"",IF($A836="Bank",IF(INDEX(Bank!$D:$D,$C836)="","",INDEX(Bank!$D:$D,$C836)),IF(INDEX(GL!$D:$D,$C836)="","",INDEX(GL!$D:$D,$C836))))</f>
        <v/>
      </c>
      <c r="G836" s="19" t="str">
        <f aca="false">IF(C836=0,"",IF($A836="Bank",INDEX(Bank!$E:$E,$C836),INDEX(GL!$E:$E,$C836)))</f>
        <v/>
      </c>
      <c r="H836" s="5" t="str">
        <f aca="false">IF(C836=0,"",IF(A836="GL",IF(G836&gt;0,"Deposit in transit","Outstanding check / payment"),IF(G836&gt;0,"Bank credit not in GL","Bank debit not in GL")))</f>
        <v/>
      </c>
      <c r="I836" s="42" t="str">
        <f aca="false">IF(OR(C836=0,CFG_PeriodEnd=""),"",CFG_PeriodEnd-D836)</f>
        <v/>
      </c>
      <c r="J836" s="5" t="str">
        <f aca="false">IF(C836=0,"",IF($A836="Bank",IF(INDEX(Bank!$G:$G,$C836)="","",INDEX(Bank!$G:$G,$C836)),IF(INDEX(GL!$G:$G,$C836)="","",INDEX(GL!$G:$G,$C836))))</f>
        <v/>
      </c>
      <c r="K836" s="5" t="str">
        <f aca="false">IF(C836=0,"",IF($A836="Bank",IF(INDEX(Bank!$I:$I,$C836)="","",INDEX(Bank!$I:$I,$C836)),IF(INDEX(GL!$I:$I,$C836)="","",INDEX(GL!$I:$I,$C836))))</f>
        <v/>
      </c>
      <c r="L836" s="5" t="str">
        <f aca="false">IF(B836="","",IF(C836=0,"NOT FOUND",IF(IF($A836="Bank",INDEX(Bank!$F:$F,$C836),INDEX(GL!$F:$F,$C836))="Y","NOW RECONCILED: refresh","OK")))</f>
        <v/>
      </c>
    </row>
    <row r="837" customFormat="false" ht="15" hidden="false" customHeight="false" outlineLevel="0" collapsed="false">
      <c r="A837" s="41"/>
      <c r="B837" s="41"/>
      <c r="C837" s="5" t="n">
        <f aca="false">IF(B837="",0,IF(A837="Bank",IFERROR(MATCH(B837,Bank!$A:$A,0),0),IFERROR(MATCH(B837,GL!$A:$A,0),0)))</f>
        <v>0</v>
      </c>
      <c r="D837" s="32" t="str">
        <f aca="false">IF(C837=0,"",IF($A837="Bank",INDEX(Bank!$B:$B,$C837),INDEX(GL!$B:$B,$C837)))</f>
        <v/>
      </c>
      <c r="E837" s="5" t="str">
        <f aca="false">IF(C837=0,"",IF($A837="Bank",IF(INDEX(Bank!$C:$C,$C837)="","",INDEX(Bank!$C:$C,$C837)),IF(INDEX(GL!$C:$C,$C837)="","",INDEX(GL!$C:$C,$C837))))</f>
        <v/>
      </c>
      <c r="F837" s="5" t="str">
        <f aca="false">IF(C837=0,"",IF($A837="Bank",IF(INDEX(Bank!$D:$D,$C837)="","",INDEX(Bank!$D:$D,$C837)),IF(INDEX(GL!$D:$D,$C837)="","",INDEX(GL!$D:$D,$C837))))</f>
        <v/>
      </c>
      <c r="G837" s="19" t="str">
        <f aca="false">IF(C837=0,"",IF($A837="Bank",INDEX(Bank!$E:$E,$C837),INDEX(GL!$E:$E,$C837)))</f>
        <v/>
      </c>
      <c r="H837" s="5" t="str">
        <f aca="false">IF(C837=0,"",IF(A837="GL",IF(G837&gt;0,"Deposit in transit","Outstanding check / payment"),IF(G837&gt;0,"Bank credit not in GL","Bank debit not in GL")))</f>
        <v/>
      </c>
      <c r="I837" s="42" t="str">
        <f aca="false">IF(OR(C837=0,CFG_PeriodEnd=""),"",CFG_PeriodEnd-D837)</f>
        <v/>
      </c>
      <c r="J837" s="5" t="str">
        <f aca="false">IF(C837=0,"",IF($A837="Bank",IF(INDEX(Bank!$G:$G,$C837)="","",INDEX(Bank!$G:$G,$C837)),IF(INDEX(GL!$G:$G,$C837)="","",INDEX(GL!$G:$G,$C837))))</f>
        <v/>
      </c>
      <c r="K837" s="5" t="str">
        <f aca="false">IF(C837=0,"",IF($A837="Bank",IF(INDEX(Bank!$I:$I,$C837)="","",INDEX(Bank!$I:$I,$C837)),IF(INDEX(GL!$I:$I,$C837)="","",INDEX(GL!$I:$I,$C837))))</f>
        <v/>
      </c>
      <c r="L837" s="5" t="str">
        <f aca="false">IF(B837="","",IF(C837=0,"NOT FOUND",IF(IF($A837="Bank",INDEX(Bank!$F:$F,$C837),INDEX(GL!$F:$F,$C837))="Y","NOW RECONCILED: refresh","OK")))</f>
        <v/>
      </c>
    </row>
    <row r="838" customFormat="false" ht="15" hidden="false" customHeight="false" outlineLevel="0" collapsed="false">
      <c r="A838" s="41"/>
      <c r="B838" s="41"/>
      <c r="C838" s="5" t="n">
        <f aca="false">IF(B838="",0,IF(A838="Bank",IFERROR(MATCH(B838,Bank!$A:$A,0),0),IFERROR(MATCH(B838,GL!$A:$A,0),0)))</f>
        <v>0</v>
      </c>
      <c r="D838" s="32" t="str">
        <f aca="false">IF(C838=0,"",IF($A838="Bank",INDEX(Bank!$B:$B,$C838),INDEX(GL!$B:$B,$C838)))</f>
        <v/>
      </c>
      <c r="E838" s="5" t="str">
        <f aca="false">IF(C838=0,"",IF($A838="Bank",IF(INDEX(Bank!$C:$C,$C838)="","",INDEX(Bank!$C:$C,$C838)),IF(INDEX(GL!$C:$C,$C838)="","",INDEX(GL!$C:$C,$C838))))</f>
        <v/>
      </c>
      <c r="F838" s="5" t="str">
        <f aca="false">IF(C838=0,"",IF($A838="Bank",IF(INDEX(Bank!$D:$D,$C838)="","",INDEX(Bank!$D:$D,$C838)),IF(INDEX(GL!$D:$D,$C838)="","",INDEX(GL!$D:$D,$C838))))</f>
        <v/>
      </c>
      <c r="G838" s="19" t="str">
        <f aca="false">IF(C838=0,"",IF($A838="Bank",INDEX(Bank!$E:$E,$C838),INDEX(GL!$E:$E,$C838)))</f>
        <v/>
      </c>
      <c r="H838" s="5" t="str">
        <f aca="false">IF(C838=0,"",IF(A838="GL",IF(G838&gt;0,"Deposit in transit","Outstanding check / payment"),IF(G838&gt;0,"Bank credit not in GL","Bank debit not in GL")))</f>
        <v/>
      </c>
      <c r="I838" s="42" t="str">
        <f aca="false">IF(OR(C838=0,CFG_PeriodEnd=""),"",CFG_PeriodEnd-D838)</f>
        <v/>
      </c>
      <c r="J838" s="5" t="str">
        <f aca="false">IF(C838=0,"",IF($A838="Bank",IF(INDEX(Bank!$G:$G,$C838)="","",INDEX(Bank!$G:$G,$C838)),IF(INDEX(GL!$G:$G,$C838)="","",INDEX(GL!$G:$G,$C838))))</f>
        <v/>
      </c>
      <c r="K838" s="5" t="str">
        <f aca="false">IF(C838=0,"",IF($A838="Bank",IF(INDEX(Bank!$I:$I,$C838)="","",INDEX(Bank!$I:$I,$C838)),IF(INDEX(GL!$I:$I,$C838)="","",INDEX(GL!$I:$I,$C838))))</f>
        <v/>
      </c>
      <c r="L838" s="5" t="str">
        <f aca="false">IF(B838="","",IF(C838=0,"NOT FOUND",IF(IF($A838="Bank",INDEX(Bank!$F:$F,$C838),INDEX(GL!$F:$F,$C838))="Y","NOW RECONCILED: refresh","OK")))</f>
        <v/>
      </c>
    </row>
    <row r="839" customFormat="false" ht="15" hidden="false" customHeight="false" outlineLevel="0" collapsed="false">
      <c r="A839" s="41"/>
      <c r="B839" s="41"/>
      <c r="C839" s="5" t="n">
        <f aca="false">IF(B839="",0,IF(A839="Bank",IFERROR(MATCH(B839,Bank!$A:$A,0),0),IFERROR(MATCH(B839,GL!$A:$A,0),0)))</f>
        <v>0</v>
      </c>
      <c r="D839" s="32" t="str">
        <f aca="false">IF(C839=0,"",IF($A839="Bank",INDEX(Bank!$B:$B,$C839),INDEX(GL!$B:$B,$C839)))</f>
        <v/>
      </c>
      <c r="E839" s="5" t="str">
        <f aca="false">IF(C839=0,"",IF($A839="Bank",IF(INDEX(Bank!$C:$C,$C839)="","",INDEX(Bank!$C:$C,$C839)),IF(INDEX(GL!$C:$C,$C839)="","",INDEX(GL!$C:$C,$C839))))</f>
        <v/>
      </c>
      <c r="F839" s="5" t="str">
        <f aca="false">IF(C839=0,"",IF($A839="Bank",IF(INDEX(Bank!$D:$D,$C839)="","",INDEX(Bank!$D:$D,$C839)),IF(INDEX(GL!$D:$D,$C839)="","",INDEX(GL!$D:$D,$C839))))</f>
        <v/>
      </c>
      <c r="G839" s="19" t="str">
        <f aca="false">IF(C839=0,"",IF($A839="Bank",INDEX(Bank!$E:$E,$C839),INDEX(GL!$E:$E,$C839)))</f>
        <v/>
      </c>
      <c r="H839" s="5" t="str">
        <f aca="false">IF(C839=0,"",IF(A839="GL",IF(G839&gt;0,"Deposit in transit","Outstanding check / payment"),IF(G839&gt;0,"Bank credit not in GL","Bank debit not in GL")))</f>
        <v/>
      </c>
      <c r="I839" s="42" t="str">
        <f aca="false">IF(OR(C839=0,CFG_PeriodEnd=""),"",CFG_PeriodEnd-D839)</f>
        <v/>
      </c>
      <c r="J839" s="5" t="str">
        <f aca="false">IF(C839=0,"",IF($A839="Bank",IF(INDEX(Bank!$G:$G,$C839)="","",INDEX(Bank!$G:$G,$C839)),IF(INDEX(GL!$G:$G,$C839)="","",INDEX(GL!$G:$G,$C839))))</f>
        <v/>
      </c>
      <c r="K839" s="5" t="str">
        <f aca="false">IF(C839=0,"",IF($A839="Bank",IF(INDEX(Bank!$I:$I,$C839)="","",INDEX(Bank!$I:$I,$C839)),IF(INDEX(GL!$I:$I,$C839)="","",INDEX(GL!$I:$I,$C839))))</f>
        <v/>
      </c>
      <c r="L839" s="5" t="str">
        <f aca="false">IF(B839="","",IF(C839=0,"NOT FOUND",IF(IF($A839="Bank",INDEX(Bank!$F:$F,$C839),INDEX(GL!$F:$F,$C839))="Y","NOW RECONCILED: refresh","OK")))</f>
        <v/>
      </c>
    </row>
    <row r="840" customFormat="false" ht="15" hidden="false" customHeight="false" outlineLevel="0" collapsed="false">
      <c r="A840" s="41"/>
      <c r="B840" s="41"/>
      <c r="C840" s="5" t="n">
        <f aca="false">IF(B840="",0,IF(A840="Bank",IFERROR(MATCH(B840,Bank!$A:$A,0),0),IFERROR(MATCH(B840,GL!$A:$A,0),0)))</f>
        <v>0</v>
      </c>
      <c r="D840" s="32" t="str">
        <f aca="false">IF(C840=0,"",IF($A840="Bank",INDEX(Bank!$B:$B,$C840),INDEX(GL!$B:$B,$C840)))</f>
        <v/>
      </c>
      <c r="E840" s="5" t="str">
        <f aca="false">IF(C840=0,"",IF($A840="Bank",IF(INDEX(Bank!$C:$C,$C840)="","",INDEX(Bank!$C:$C,$C840)),IF(INDEX(GL!$C:$C,$C840)="","",INDEX(GL!$C:$C,$C840))))</f>
        <v/>
      </c>
      <c r="F840" s="5" t="str">
        <f aca="false">IF(C840=0,"",IF($A840="Bank",IF(INDEX(Bank!$D:$D,$C840)="","",INDEX(Bank!$D:$D,$C840)),IF(INDEX(GL!$D:$D,$C840)="","",INDEX(GL!$D:$D,$C840))))</f>
        <v/>
      </c>
      <c r="G840" s="19" t="str">
        <f aca="false">IF(C840=0,"",IF($A840="Bank",INDEX(Bank!$E:$E,$C840),INDEX(GL!$E:$E,$C840)))</f>
        <v/>
      </c>
      <c r="H840" s="5" t="str">
        <f aca="false">IF(C840=0,"",IF(A840="GL",IF(G840&gt;0,"Deposit in transit","Outstanding check / payment"),IF(G840&gt;0,"Bank credit not in GL","Bank debit not in GL")))</f>
        <v/>
      </c>
      <c r="I840" s="42" t="str">
        <f aca="false">IF(OR(C840=0,CFG_PeriodEnd=""),"",CFG_PeriodEnd-D840)</f>
        <v/>
      </c>
      <c r="J840" s="5" t="str">
        <f aca="false">IF(C840=0,"",IF($A840="Bank",IF(INDEX(Bank!$G:$G,$C840)="","",INDEX(Bank!$G:$G,$C840)),IF(INDEX(GL!$G:$G,$C840)="","",INDEX(GL!$G:$G,$C840))))</f>
        <v/>
      </c>
      <c r="K840" s="5" t="str">
        <f aca="false">IF(C840=0,"",IF($A840="Bank",IF(INDEX(Bank!$I:$I,$C840)="","",INDEX(Bank!$I:$I,$C840)),IF(INDEX(GL!$I:$I,$C840)="","",INDEX(GL!$I:$I,$C840))))</f>
        <v/>
      </c>
      <c r="L840" s="5" t="str">
        <f aca="false">IF(B840="","",IF(C840=0,"NOT FOUND",IF(IF($A840="Bank",INDEX(Bank!$F:$F,$C840),INDEX(GL!$F:$F,$C840))="Y","NOW RECONCILED: refresh","OK")))</f>
        <v/>
      </c>
    </row>
    <row r="841" customFormat="false" ht="15" hidden="false" customHeight="false" outlineLevel="0" collapsed="false">
      <c r="A841" s="41"/>
      <c r="B841" s="41"/>
      <c r="C841" s="5" t="n">
        <f aca="false">IF(B841="",0,IF(A841="Bank",IFERROR(MATCH(B841,Bank!$A:$A,0),0),IFERROR(MATCH(B841,GL!$A:$A,0),0)))</f>
        <v>0</v>
      </c>
      <c r="D841" s="32" t="str">
        <f aca="false">IF(C841=0,"",IF($A841="Bank",INDEX(Bank!$B:$B,$C841),INDEX(GL!$B:$B,$C841)))</f>
        <v/>
      </c>
      <c r="E841" s="5" t="str">
        <f aca="false">IF(C841=0,"",IF($A841="Bank",IF(INDEX(Bank!$C:$C,$C841)="","",INDEX(Bank!$C:$C,$C841)),IF(INDEX(GL!$C:$C,$C841)="","",INDEX(GL!$C:$C,$C841))))</f>
        <v/>
      </c>
      <c r="F841" s="5" t="str">
        <f aca="false">IF(C841=0,"",IF($A841="Bank",IF(INDEX(Bank!$D:$D,$C841)="","",INDEX(Bank!$D:$D,$C841)),IF(INDEX(GL!$D:$D,$C841)="","",INDEX(GL!$D:$D,$C841))))</f>
        <v/>
      </c>
      <c r="G841" s="19" t="str">
        <f aca="false">IF(C841=0,"",IF($A841="Bank",INDEX(Bank!$E:$E,$C841),INDEX(GL!$E:$E,$C841)))</f>
        <v/>
      </c>
      <c r="H841" s="5" t="str">
        <f aca="false">IF(C841=0,"",IF(A841="GL",IF(G841&gt;0,"Deposit in transit","Outstanding check / payment"),IF(G841&gt;0,"Bank credit not in GL","Bank debit not in GL")))</f>
        <v/>
      </c>
      <c r="I841" s="42" t="str">
        <f aca="false">IF(OR(C841=0,CFG_PeriodEnd=""),"",CFG_PeriodEnd-D841)</f>
        <v/>
      </c>
      <c r="J841" s="5" t="str">
        <f aca="false">IF(C841=0,"",IF($A841="Bank",IF(INDEX(Bank!$G:$G,$C841)="","",INDEX(Bank!$G:$G,$C841)),IF(INDEX(GL!$G:$G,$C841)="","",INDEX(GL!$G:$G,$C841))))</f>
        <v/>
      </c>
      <c r="K841" s="5" t="str">
        <f aca="false">IF(C841=0,"",IF($A841="Bank",IF(INDEX(Bank!$I:$I,$C841)="","",INDEX(Bank!$I:$I,$C841)),IF(INDEX(GL!$I:$I,$C841)="","",INDEX(GL!$I:$I,$C841))))</f>
        <v/>
      </c>
      <c r="L841" s="5" t="str">
        <f aca="false">IF(B841="","",IF(C841=0,"NOT FOUND",IF(IF($A841="Bank",INDEX(Bank!$F:$F,$C841),INDEX(GL!$F:$F,$C841))="Y","NOW RECONCILED: refresh","OK")))</f>
        <v/>
      </c>
    </row>
    <row r="842" customFormat="false" ht="15" hidden="false" customHeight="false" outlineLevel="0" collapsed="false">
      <c r="A842" s="41"/>
      <c r="B842" s="41"/>
      <c r="C842" s="5" t="n">
        <f aca="false">IF(B842="",0,IF(A842="Bank",IFERROR(MATCH(B842,Bank!$A:$A,0),0),IFERROR(MATCH(B842,GL!$A:$A,0),0)))</f>
        <v>0</v>
      </c>
      <c r="D842" s="32" t="str">
        <f aca="false">IF(C842=0,"",IF($A842="Bank",INDEX(Bank!$B:$B,$C842),INDEX(GL!$B:$B,$C842)))</f>
        <v/>
      </c>
      <c r="E842" s="5" t="str">
        <f aca="false">IF(C842=0,"",IF($A842="Bank",IF(INDEX(Bank!$C:$C,$C842)="","",INDEX(Bank!$C:$C,$C842)),IF(INDEX(GL!$C:$C,$C842)="","",INDEX(GL!$C:$C,$C842))))</f>
        <v/>
      </c>
      <c r="F842" s="5" t="str">
        <f aca="false">IF(C842=0,"",IF($A842="Bank",IF(INDEX(Bank!$D:$D,$C842)="","",INDEX(Bank!$D:$D,$C842)),IF(INDEX(GL!$D:$D,$C842)="","",INDEX(GL!$D:$D,$C842))))</f>
        <v/>
      </c>
      <c r="G842" s="19" t="str">
        <f aca="false">IF(C842=0,"",IF($A842="Bank",INDEX(Bank!$E:$E,$C842),INDEX(GL!$E:$E,$C842)))</f>
        <v/>
      </c>
      <c r="H842" s="5" t="str">
        <f aca="false">IF(C842=0,"",IF(A842="GL",IF(G842&gt;0,"Deposit in transit","Outstanding check / payment"),IF(G842&gt;0,"Bank credit not in GL","Bank debit not in GL")))</f>
        <v/>
      </c>
      <c r="I842" s="42" t="str">
        <f aca="false">IF(OR(C842=0,CFG_PeriodEnd=""),"",CFG_PeriodEnd-D842)</f>
        <v/>
      </c>
      <c r="J842" s="5" t="str">
        <f aca="false">IF(C842=0,"",IF($A842="Bank",IF(INDEX(Bank!$G:$G,$C842)="","",INDEX(Bank!$G:$G,$C842)),IF(INDEX(GL!$G:$G,$C842)="","",INDEX(GL!$G:$G,$C842))))</f>
        <v/>
      </c>
      <c r="K842" s="5" t="str">
        <f aca="false">IF(C842=0,"",IF($A842="Bank",IF(INDEX(Bank!$I:$I,$C842)="","",INDEX(Bank!$I:$I,$C842)),IF(INDEX(GL!$I:$I,$C842)="","",INDEX(GL!$I:$I,$C842))))</f>
        <v/>
      </c>
      <c r="L842" s="5" t="str">
        <f aca="false">IF(B842="","",IF(C842=0,"NOT FOUND",IF(IF($A842="Bank",INDEX(Bank!$F:$F,$C842),INDEX(GL!$F:$F,$C842))="Y","NOW RECONCILED: refresh","OK")))</f>
        <v/>
      </c>
    </row>
    <row r="843" customFormat="false" ht="15" hidden="false" customHeight="false" outlineLevel="0" collapsed="false">
      <c r="A843" s="41"/>
      <c r="B843" s="41"/>
      <c r="C843" s="5" t="n">
        <f aca="false">IF(B843="",0,IF(A843="Bank",IFERROR(MATCH(B843,Bank!$A:$A,0),0),IFERROR(MATCH(B843,GL!$A:$A,0),0)))</f>
        <v>0</v>
      </c>
      <c r="D843" s="32" t="str">
        <f aca="false">IF(C843=0,"",IF($A843="Bank",INDEX(Bank!$B:$B,$C843),INDEX(GL!$B:$B,$C843)))</f>
        <v/>
      </c>
      <c r="E843" s="5" t="str">
        <f aca="false">IF(C843=0,"",IF($A843="Bank",IF(INDEX(Bank!$C:$C,$C843)="","",INDEX(Bank!$C:$C,$C843)),IF(INDEX(GL!$C:$C,$C843)="","",INDEX(GL!$C:$C,$C843))))</f>
        <v/>
      </c>
      <c r="F843" s="5" t="str">
        <f aca="false">IF(C843=0,"",IF($A843="Bank",IF(INDEX(Bank!$D:$D,$C843)="","",INDEX(Bank!$D:$D,$C843)),IF(INDEX(GL!$D:$D,$C843)="","",INDEX(GL!$D:$D,$C843))))</f>
        <v/>
      </c>
      <c r="G843" s="19" t="str">
        <f aca="false">IF(C843=0,"",IF($A843="Bank",INDEX(Bank!$E:$E,$C843),INDEX(GL!$E:$E,$C843)))</f>
        <v/>
      </c>
      <c r="H843" s="5" t="str">
        <f aca="false">IF(C843=0,"",IF(A843="GL",IF(G843&gt;0,"Deposit in transit","Outstanding check / payment"),IF(G843&gt;0,"Bank credit not in GL","Bank debit not in GL")))</f>
        <v/>
      </c>
      <c r="I843" s="42" t="str">
        <f aca="false">IF(OR(C843=0,CFG_PeriodEnd=""),"",CFG_PeriodEnd-D843)</f>
        <v/>
      </c>
      <c r="J843" s="5" t="str">
        <f aca="false">IF(C843=0,"",IF($A843="Bank",IF(INDEX(Bank!$G:$G,$C843)="","",INDEX(Bank!$G:$G,$C843)),IF(INDEX(GL!$G:$G,$C843)="","",INDEX(GL!$G:$G,$C843))))</f>
        <v/>
      </c>
      <c r="K843" s="5" t="str">
        <f aca="false">IF(C843=0,"",IF($A843="Bank",IF(INDEX(Bank!$I:$I,$C843)="","",INDEX(Bank!$I:$I,$C843)),IF(INDEX(GL!$I:$I,$C843)="","",INDEX(GL!$I:$I,$C843))))</f>
        <v/>
      </c>
      <c r="L843" s="5" t="str">
        <f aca="false">IF(B843="","",IF(C843=0,"NOT FOUND",IF(IF($A843="Bank",INDEX(Bank!$F:$F,$C843),INDEX(GL!$F:$F,$C843))="Y","NOW RECONCILED: refresh","OK")))</f>
        <v/>
      </c>
    </row>
    <row r="844" customFormat="false" ht="15" hidden="false" customHeight="false" outlineLevel="0" collapsed="false">
      <c r="A844" s="41"/>
      <c r="B844" s="41"/>
      <c r="C844" s="5" t="n">
        <f aca="false">IF(B844="",0,IF(A844="Bank",IFERROR(MATCH(B844,Bank!$A:$A,0),0),IFERROR(MATCH(B844,GL!$A:$A,0),0)))</f>
        <v>0</v>
      </c>
      <c r="D844" s="32" t="str">
        <f aca="false">IF(C844=0,"",IF($A844="Bank",INDEX(Bank!$B:$B,$C844),INDEX(GL!$B:$B,$C844)))</f>
        <v/>
      </c>
      <c r="E844" s="5" t="str">
        <f aca="false">IF(C844=0,"",IF($A844="Bank",IF(INDEX(Bank!$C:$C,$C844)="","",INDEX(Bank!$C:$C,$C844)),IF(INDEX(GL!$C:$C,$C844)="","",INDEX(GL!$C:$C,$C844))))</f>
        <v/>
      </c>
      <c r="F844" s="5" t="str">
        <f aca="false">IF(C844=0,"",IF($A844="Bank",IF(INDEX(Bank!$D:$D,$C844)="","",INDEX(Bank!$D:$D,$C844)),IF(INDEX(GL!$D:$D,$C844)="","",INDEX(GL!$D:$D,$C844))))</f>
        <v/>
      </c>
      <c r="G844" s="19" t="str">
        <f aca="false">IF(C844=0,"",IF($A844="Bank",INDEX(Bank!$E:$E,$C844),INDEX(GL!$E:$E,$C844)))</f>
        <v/>
      </c>
      <c r="H844" s="5" t="str">
        <f aca="false">IF(C844=0,"",IF(A844="GL",IF(G844&gt;0,"Deposit in transit","Outstanding check / payment"),IF(G844&gt;0,"Bank credit not in GL","Bank debit not in GL")))</f>
        <v/>
      </c>
      <c r="I844" s="42" t="str">
        <f aca="false">IF(OR(C844=0,CFG_PeriodEnd=""),"",CFG_PeriodEnd-D844)</f>
        <v/>
      </c>
      <c r="J844" s="5" t="str">
        <f aca="false">IF(C844=0,"",IF($A844="Bank",IF(INDEX(Bank!$G:$G,$C844)="","",INDEX(Bank!$G:$G,$C844)),IF(INDEX(GL!$G:$G,$C844)="","",INDEX(GL!$G:$G,$C844))))</f>
        <v/>
      </c>
      <c r="K844" s="5" t="str">
        <f aca="false">IF(C844=0,"",IF($A844="Bank",IF(INDEX(Bank!$I:$I,$C844)="","",INDEX(Bank!$I:$I,$C844)),IF(INDEX(GL!$I:$I,$C844)="","",INDEX(GL!$I:$I,$C844))))</f>
        <v/>
      </c>
      <c r="L844" s="5" t="str">
        <f aca="false">IF(B844="","",IF(C844=0,"NOT FOUND",IF(IF($A844="Bank",INDEX(Bank!$F:$F,$C844),INDEX(GL!$F:$F,$C844))="Y","NOW RECONCILED: refresh","OK")))</f>
        <v/>
      </c>
    </row>
    <row r="845" customFormat="false" ht="15" hidden="false" customHeight="false" outlineLevel="0" collapsed="false">
      <c r="A845" s="41"/>
      <c r="B845" s="41"/>
      <c r="C845" s="5" t="n">
        <f aca="false">IF(B845="",0,IF(A845="Bank",IFERROR(MATCH(B845,Bank!$A:$A,0),0),IFERROR(MATCH(B845,GL!$A:$A,0),0)))</f>
        <v>0</v>
      </c>
      <c r="D845" s="32" t="str">
        <f aca="false">IF(C845=0,"",IF($A845="Bank",INDEX(Bank!$B:$B,$C845),INDEX(GL!$B:$B,$C845)))</f>
        <v/>
      </c>
      <c r="E845" s="5" t="str">
        <f aca="false">IF(C845=0,"",IF($A845="Bank",IF(INDEX(Bank!$C:$C,$C845)="","",INDEX(Bank!$C:$C,$C845)),IF(INDEX(GL!$C:$C,$C845)="","",INDEX(GL!$C:$C,$C845))))</f>
        <v/>
      </c>
      <c r="F845" s="5" t="str">
        <f aca="false">IF(C845=0,"",IF($A845="Bank",IF(INDEX(Bank!$D:$D,$C845)="","",INDEX(Bank!$D:$D,$C845)),IF(INDEX(GL!$D:$D,$C845)="","",INDEX(GL!$D:$D,$C845))))</f>
        <v/>
      </c>
      <c r="G845" s="19" t="str">
        <f aca="false">IF(C845=0,"",IF($A845="Bank",INDEX(Bank!$E:$E,$C845),INDEX(GL!$E:$E,$C845)))</f>
        <v/>
      </c>
      <c r="H845" s="5" t="str">
        <f aca="false">IF(C845=0,"",IF(A845="GL",IF(G845&gt;0,"Deposit in transit","Outstanding check / payment"),IF(G845&gt;0,"Bank credit not in GL","Bank debit not in GL")))</f>
        <v/>
      </c>
      <c r="I845" s="42" t="str">
        <f aca="false">IF(OR(C845=0,CFG_PeriodEnd=""),"",CFG_PeriodEnd-D845)</f>
        <v/>
      </c>
      <c r="J845" s="5" t="str">
        <f aca="false">IF(C845=0,"",IF($A845="Bank",IF(INDEX(Bank!$G:$G,$C845)="","",INDEX(Bank!$G:$G,$C845)),IF(INDEX(GL!$G:$G,$C845)="","",INDEX(GL!$G:$G,$C845))))</f>
        <v/>
      </c>
      <c r="K845" s="5" t="str">
        <f aca="false">IF(C845=0,"",IF($A845="Bank",IF(INDEX(Bank!$I:$I,$C845)="","",INDEX(Bank!$I:$I,$C845)),IF(INDEX(GL!$I:$I,$C845)="","",INDEX(GL!$I:$I,$C845))))</f>
        <v/>
      </c>
      <c r="L845" s="5" t="str">
        <f aca="false">IF(B845="","",IF(C845=0,"NOT FOUND",IF(IF($A845="Bank",INDEX(Bank!$F:$F,$C845),INDEX(GL!$F:$F,$C845))="Y","NOW RECONCILED: refresh","OK")))</f>
        <v/>
      </c>
    </row>
    <row r="846" customFormat="false" ht="15" hidden="false" customHeight="false" outlineLevel="0" collapsed="false">
      <c r="A846" s="41"/>
      <c r="B846" s="41"/>
      <c r="C846" s="5" t="n">
        <f aca="false">IF(B846="",0,IF(A846="Bank",IFERROR(MATCH(B846,Bank!$A:$A,0),0),IFERROR(MATCH(B846,GL!$A:$A,0),0)))</f>
        <v>0</v>
      </c>
      <c r="D846" s="32" t="str">
        <f aca="false">IF(C846=0,"",IF($A846="Bank",INDEX(Bank!$B:$B,$C846),INDEX(GL!$B:$B,$C846)))</f>
        <v/>
      </c>
      <c r="E846" s="5" t="str">
        <f aca="false">IF(C846=0,"",IF($A846="Bank",IF(INDEX(Bank!$C:$C,$C846)="","",INDEX(Bank!$C:$C,$C846)),IF(INDEX(GL!$C:$C,$C846)="","",INDEX(GL!$C:$C,$C846))))</f>
        <v/>
      </c>
      <c r="F846" s="5" t="str">
        <f aca="false">IF(C846=0,"",IF($A846="Bank",IF(INDEX(Bank!$D:$D,$C846)="","",INDEX(Bank!$D:$D,$C846)),IF(INDEX(GL!$D:$D,$C846)="","",INDEX(GL!$D:$D,$C846))))</f>
        <v/>
      </c>
      <c r="G846" s="19" t="str">
        <f aca="false">IF(C846=0,"",IF($A846="Bank",INDEX(Bank!$E:$E,$C846),INDEX(GL!$E:$E,$C846)))</f>
        <v/>
      </c>
      <c r="H846" s="5" t="str">
        <f aca="false">IF(C846=0,"",IF(A846="GL",IF(G846&gt;0,"Deposit in transit","Outstanding check / payment"),IF(G846&gt;0,"Bank credit not in GL","Bank debit not in GL")))</f>
        <v/>
      </c>
      <c r="I846" s="42" t="str">
        <f aca="false">IF(OR(C846=0,CFG_PeriodEnd=""),"",CFG_PeriodEnd-D846)</f>
        <v/>
      </c>
      <c r="J846" s="5" t="str">
        <f aca="false">IF(C846=0,"",IF($A846="Bank",IF(INDEX(Bank!$G:$G,$C846)="","",INDEX(Bank!$G:$G,$C846)),IF(INDEX(GL!$G:$G,$C846)="","",INDEX(GL!$G:$G,$C846))))</f>
        <v/>
      </c>
      <c r="K846" s="5" t="str">
        <f aca="false">IF(C846=0,"",IF($A846="Bank",IF(INDEX(Bank!$I:$I,$C846)="","",INDEX(Bank!$I:$I,$C846)),IF(INDEX(GL!$I:$I,$C846)="","",INDEX(GL!$I:$I,$C846))))</f>
        <v/>
      </c>
      <c r="L846" s="5" t="str">
        <f aca="false">IF(B846="","",IF(C846=0,"NOT FOUND",IF(IF($A846="Bank",INDEX(Bank!$F:$F,$C846),INDEX(GL!$F:$F,$C846))="Y","NOW RECONCILED: refresh","OK")))</f>
        <v/>
      </c>
    </row>
    <row r="847" customFormat="false" ht="15" hidden="false" customHeight="false" outlineLevel="0" collapsed="false">
      <c r="A847" s="41"/>
      <c r="B847" s="41"/>
      <c r="C847" s="5" t="n">
        <f aca="false">IF(B847="",0,IF(A847="Bank",IFERROR(MATCH(B847,Bank!$A:$A,0),0),IFERROR(MATCH(B847,GL!$A:$A,0),0)))</f>
        <v>0</v>
      </c>
      <c r="D847" s="32" t="str">
        <f aca="false">IF(C847=0,"",IF($A847="Bank",INDEX(Bank!$B:$B,$C847),INDEX(GL!$B:$B,$C847)))</f>
        <v/>
      </c>
      <c r="E847" s="5" t="str">
        <f aca="false">IF(C847=0,"",IF($A847="Bank",IF(INDEX(Bank!$C:$C,$C847)="","",INDEX(Bank!$C:$C,$C847)),IF(INDEX(GL!$C:$C,$C847)="","",INDEX(GL!$C:$C,$C847))))</f>
        <v/>
      </c>
      <c r="F847" s="5" t="str">
        <f aca="false">IF(C847=0,"",IF($A847="Bank",IF(INDEX(Bank!$D:$D,$C847)="","",INDEX(Bank!$D:$D,$C847)),IF(INDEX(GL!$D:$D,$C847)="","",INDEX(GL!$D:$D,$C847))))</f>
        <v/>
      </c>
      <c r="G847" s="19" t="str">
        <f aca="false">IF(C847=0,"",IF($A847="Bank",INDEX(Bank!$E:$E,$C847),INDEX(GL!$E:$E,$C847)))</f>
        <v/>
      </c>
      <c r="H847" s="5" t="str">
        <f aca="false">IF(C847=0,"",IF(A847="GL",IF(G847&gt;0,"Deposit in transit","Outstanding check / payment"),IF(G847&gt;0,"Bank credit not in GL","Bank debit not in GL")))</f>
        <v/>
      </c>
      <c r="I847" s="42" t="str">
        <f aca="false">IF(OR(C847=0,CFG_PeriodEnd=""),"",CFG_PeriodEnd-D847)</f>
        <v/>
      </c>
      <c r="J847" s="5" t="str">
        <f aca="false">IF(C847=0,"",IF($A847="Bank",IF(INDEX(Bank!$G:$G,$C847)="","",INDEX(Bank!$G:$G,$C847)),IF(INDEX(GL!$G:$G,$C847)="","",INDEX(GL!$G:$G,$C847))))</f>
        <v/>
      </c>
      <c r="K847" s="5" t="str">
        <f aca="false">IF(C847=0,"",IF($A847="Bank",IF(INDEX(Bank!$I:$I,$C847)="","",INDEX(Bank!$I:$I,$C847)),IF(INDEX(GL!$I:$I,$C847)="","",INDEX(GL!$I:$I,$C847))))</f>
        <v/>
      </c>
      <c r="L847" s="5" t="str">
        <f aca="false">IF(B847="","",IF(C847=0,"NOT FOUND",IF(IF($A847="Bank",INDEX(Bank!$F:$F,$C847),INDEX(GL!$F:$F,$C847))="Y","NOW RECONCILED: refresh","OK")))</f>
        <v/>
      </c>
    </row>
    <row r="848" customFormat="false" ht="15" hidden="false" customHeight="false" outlineLevel="0" collapsed="false">
      <c r="A848" s="41"/>
      <c r="B848" s="41"/>
      <c r="C848" s="5" t="n">
        <f aca="false">IF(B848="",0,IF(A848="Bank",IFERROR(MATCH(B848,Bank!$A:$A,0),0),IFERROR(MATCH(B848,GL!$A:$A,0),0)))</f>
        <v>0</v>
      </c>
      <c r="D848" s="32" t="str">
        <f aca="false">IF(C848=0,"",IF($A848="Bank",INDEX(Bank!$B:$B,$C848),INDEX(GL!$B:$B,$C848)))</f>
        <v/>
      </c>
      <c r="E848" s="5" t="str">
        <f aca="false">IF(C848=0,"",IF($A848="Bank",IF(INDEX(Bank!$C:$C,$C848)="","",INDEX(Bank!$C:$C,$C848)),IF(INDEX(GL!$C:$C,$C848)="","",INDEX(GL!$C:$C,$C848))))</f>
        <v/>
      </c>
      <c r="F848" s="5" t="str">
        <f aca="false">IF(C848=0,"",IF($A848="Bank",IF(INDEX(Bank!$D:$D,$C848)="","",INDEX(Bank!$D:$D,$C848)),IF(INDEX(GL!$D:$D,$C848)="","",INDEX(GL!$D:$D,$C848))))</f>
        <v/>
      </c>
      <c r="G848" s="19" t="str">
        <f aca="false">IF(C848=0,"",IF($A848="Bank",INDEX(Bank!$E:$E,$C848),INDEX(GL!$E:$E,$C848)))</f>
        <v/>
      </c>
      <c r="H848" s="5" t="str">
        <f aca="false">IF(C848=0,"",IF(A848="GL",IF(G848&gt;0,"Deposit in transit","Outstanding check / payment"),IF(G848&gt;0,"Bank credit not in GL","Bank debit not in GL")))</f>
        <v/>
      </c>
      <c r="I848" s="42" t="str">
        <f aca="false">IF(OR(C848=0,CFG_PeriodEnd=""),"",CFG_PeriodEnd-D848)</f>
        <v/>
      </c>
      <c r="J848" s="5" t="str">
        <f aca="false">IF(C848=0,"",IF($A848="Bank",IF(INDEX(Bank!$G:$G,$C848)="","",INDEX(Bank!$G:$G,$C848)),IF(INDEX(GL!$G:$G,$C848)="","",INDEX(GL!$G:$G,$C848))))</f>
        <v/>
      </c>
      <c r="K848" s="5" t="str">
        <f aca="false">IF(C848=0,"",IF($A848="Bank",IF(INDEX(Bank!$I:$I,$C848)="","",INDEX(Bank!$I:$I,$C848)),IF(INDEX(GL!$I:$I,$C848)="","",INDEX(GL!$I:$I,$C848))))</f>
        <v/>
      </c>
      <c r="L848" s="5" t="str">
        <f aca="false">IF(B848="","",IF(C848=0,"NOT FOUND",IF(IF($A848="Bank",INDEX(Bank!$F:$F,$C848),INDEX(GL!$F:$F,$C848))="Y","NOW RECONCILED: refresh","OK")))</f>
        <v/>
      </c>
    </row>
    <row r="849" customFormat="false" ht="15" hidden="false" customHeight="false" outlineLevel="0" collapsed="false">
      <c r="A849" s="41"/>
      <c r="B849" s="41"/>
      <c r="C849" s="5" t="n">
        <f aca="false">IF(B849="",0,IF(A849="Bank",IFERROR(MATCH(B849,Bank!$A:$A,0),0),IFERROR(MATCH(B849,GL!$A:$A,0),0)))</f>
        <v>0</v>
      </c>
      <c r="D849" s="32" t="str">
        <f aca="false">IF(C849=0,"",IF($A849="Bank",INDEX(Bank!$B:$B,$C849),INDEX(GL!$B:$B,$C849)))</f>
        <v/>
      </c>
      <c r="E849" s="5" t="str">
        <f aca="false">IF(C849=0,"",IF($A849="Bank",IF(INDEX(Bank!$C:$C,$C849)="","",INDEX(Bank!$C:$C,$C849)),IF(INDEX(GL!$C:$C,$C849)="","",INDEX(GL!$C:$C,$C849))))</f>
        <v/>
      </c>
      <c r="F849" s="5" t="str">
        <f aca="false">IF(C849=0,"",IF($A849="Bank",IF(INDEX(Bank!$D:$D,$C849)="","",INDEX(Bank!$D:$D,$C849)),IF(INDEX(GL!$D:$D,$C849)="","",INDEX(GL!$D:$D,$C849))))</f>
        <v/>
      </c>
      <c r="G849" s="19" t="str">
        <f aca="false">IF(C849=0,"",IF($A849="Bank",INDEX(Bank!$E:$E,$C849),INDEX(GL!$E:$E,$C849)))</f>
        <v/>
      </c>
      <c r="H849" s="5" t="str">
        <f aca="false">IF(C849=0,"",IF(A849="GL",IF(G849&gt;0,"Deposit in transit","Outstanding check / payment"),IF(G849&gt;0,"Bank credit not in GL","Bank debit not in GL")))</f>
        <v/>
      </c>
      <c r="I849" s="42" t="str">
        <f aca="false">IF(OR(C849=0,CFG_PeriodEnd=""),"",CFG_PeriodEnd-D849)</f>
        <v/>
      </c>
      <c r="J849" s="5" t="str">
        <f aca="false">IF(C849=0,"",IF($A849="Bank",IF(INDEX(Bank!$G:$G,$C849)="","",INDEX(Bank!$G:$G,$C849)),IF(INDEX(GL!$G:$G,$C849)="","",INDEX(GL!$G:$G,$C849))))</f>
        <v/>
      </c>
      <c r="K849" s="5" t="str">
        <f aca="false">IF(C849=0,"",IF($A849="Bank",IF(INDEX(Bank!$I:$I,$C849)="","",INDEX(Bank!$I:$I,$C849)),IF(INDEX(GL!$I:$I,$C849)="","",INDEX(GL!$I:$I,$C849))))</f>
        <v/>
      </c>
      <c r="L849" s="5" t="str">
        <f aca="false">IF(B849="","",IF(C849=0,"NOT FOUND",IF(IF($A849="Bank",INDEX(Bank!$F:$F,$C849),INDEX(GL!$F:$F,$C849))="Y","NOW RECONCILED: refresh","OK")))</f>
        <v/>
      </c>
    </row>
    <row r="850" customFormat="false" ht="15" hidden="false" customHeight="false" outlineLevel="0" collapsed="false">
      <c r="A850" s="41"/>
      <c r="B850" s="41"/>
      <c r="C850" s="5" t="n">
        <f aca="false">IF(B850="",0,IF(A850="Bank",IFERROR(MATCH(B850,Bank!$A:$A,0),0),IFERROR(MATCH(B850,GL!$A:$A,0),0)))</f>
        <v>0</v>
      </c>
      <c r="D850" s="32" t="str">
        <f aca="false">IF(C850=0,"",IF($A850="Bank",INDEX(Bank!$B:$B,$C850),INDEX(GL!$B:$B,$C850)))</f>
        <v/>
      </c>
      <c r="E850" s="5" t="str">
        <f aca="false">IF(C850=0,"",IF($A850="Bank",IF(INDEX(Bank!$C:$C,$C850)="","",INDEX(Bank!$C:$C,$C850)),IF(INDEX(GL!$C:$C,$C850)="","",INDEX(GL!$C:$C,$C850))))</f>
        <v/>
      </c>
      <c r="F850" s="5" t="str">
        <f aca="false">IF(C850=0,"",IF($A850="Bank",IF(INDEX(Bank!$D:$D,$C850)="","",INDEX(Bank!$D:$D,$C850)),IF(INDEX(GL!$D:$D,$C850)="","",INDEX(GL!$D:$D,$C850))))</f>
        <v/>
      </c>
      <c r="G850" s="19" t="str">
        <f aca="false">IF(C850=0,"",IF($A850="Bank",INDEX(Bank!$E:$E,$C850),INDEX(GL!$E:$E,$C850)))</f>
        <v/>
      </c>
      <c r="H850" s="5" t="str">
        <f aca="false">IF(C850=0,"",IF(A850="GL",IF(G850&gt;0,"Deposit in transit","Outstanding check / payment"),IF(G850&gt;0,"Bank credit not in GL","Bank debit not in GL")))</f>
        <v/>
      </c>
      <c r="I850" s="42" t="str">
        <f aca="false">IF(OR(C850=0,CFG_PeriodEnd=""),"",CFG_PeriodEnd-D850)</f>
        <v/>
      </c>
      <c r="J850" s="5" t="str">
        <f aca="false">IF(C850=0,"",IF($A850="Bank",IF(INDEX(Bank!$G:$G,$C850)="","",INDEX(Bank!$G:$G,$C850)),IF(INDEX(GL!$G:$G,$C850)="","",INDEX(GL!$G:$G,$C850))))</f>
        <v/>
      </c>
      <c r="K850" s="5" t="str">
        <f aca="false">IF(C850=0,"",IF($A850="Bank",IF(INDEX(Bank!$I:$I,$C850)="","",INDEX(Bank!$I:$I,$C850)),IF(INDEX(GL!$I:$I,$C850)="","",INDEX(GL!$I:$I,$C850))))</f>
        <v/>
      </c>
      <c r="L850" s="5" t="str">
        <f aca="false">IF(B850="","",IF(C850=0,"NOT FOUND",IF(IF($A850="Bank",INDEX(Bank!$F:$F,$C850),INDEX(GL!$F:$F,$C850))="Y","NOW RECONCILED: refresh","OK")))</f>
        <v/>
      </c>
    </row>
    <row r="851" customFormat="false" ht="15" hidden="false" customHeight="false" outlineLevel="0" collapsed="false">
      <c r="A851" s="41"/>
      <c r="B851" s="41"/>
      <c r="C851" s="5" t="n">
        <f aca="false">IF(B851="",0,IF(A851="Bank",IFERROR(MATCH(B851,Bank!$A:$A,0),0),IFERROR(MATCH(B851,GL!$A:$A,0),0)))</f>
        <v>0</v>
      </c>
      <c r="D851" s="32" t="str">
        <f aca="false">IF(C851=0,"",IF($A851="Bank",INDEX(Bank!$B:$B,$C851),INDEX(GL!$B:$B,$C851)))</f>
        <v/>
      </c>
      <c r="E851" s="5" t="str">
        <f aca="false">IF(C851=0,"",IF($A851="Bank",IF(INDEX(Bank!$C:$C,$C851)="","",INDEX(Bank!$C:$C,$C851)),IF(INDEX(GL!$C:$C,$C851)="","",INDEX(GL!$C:$C,$C851))))</f>
        <v/>
      </c>
      <c r="F851" s="5" t="str">
        <f aca="false">IF(C851=0,"",IF($A851="Bank",IF(INDEX(Bank!$D:$D,$C851)="","",INDEX(Bank!$D:$D,$C851)),IF(INDEX(GL!$D:$D,$C851)="","",INDEX(GL!$D:$D,$C851))))</f>
        <v/>
      </c>
      <c r="G851" s="19" t="str">
        <f aca="false">IF(C851=0,"",IF($A851="Bank",INDEX(Bank!$E:$E,$C851),INDEX(GL!$E:$E,$C851)))</f>
        <v/>
      </c>
      <c r="H851" s="5" t="str">
        <f aca="false">IF(C851=0,"",IF(A851="GL",IF(G851&gt;0,"Deposit in transit","Outstanding check / payment"),IF(G851&gt;0,"Bank credit not in GL","Bank debit not in GL")))</f>
        <v/>
      </c>
      <c r="I851" s="42" t="str">
        <f aca="false">IF(OR(C851=0,CFG_PeriodEnd=""),"",CFG_PeriodEnd-D851)</f>
        <v/>
      </c>
      <c r="J851" s="5" t="str">
        <f aca="false">IF(C851=0,"",IF($A851="Bank",IF(INDEX(Bank!$G:$G,$C851)="","",INDEX(Bank!$G:$G,$C851)),IF(INDEX(GL!$G:$G,$C851)="","",INDEX(GL!$G:$G,$C851))))</f>
        <v/>
      </c>
      <c r="K851" s="5" t="str">
        <f aca="false">IF(C851=0,"",IF($A851="Bank",IF(INDEX(Bank!$I:$I,$C851)="","",INDEX(Bank!$I:$I,$C851)),IF(INDEX(GL!$I:$I,$C851)="","",INDEX(GL!$I:$I,$C851))))</f>
        <v/>
      </c>
      <c r="L851" s="5" t="str">
        <f aca="false">IF(B851="","",IF(C851=0,"NOT FOUND",IF(IF($A851="Bank",INDEX(Bank!$F:$F,$C851),INDEX(GL!$F:$F,$C851))="Y","NOW RECONCILED: refresh","OK")))</f>
        <v/>
      </c>
    </row>
    <row r="852" customFormat="false" ht="15" hidden="false" customHeight="false" outlineLevel="0" collapsed="false">
      <c r="A852" s="41"/>
      <c r="B852" s="41"/>
      <c r="C852" s="5" t="n">
        <f aca="false">IF(B852="",0,IF(A852="Bank",IFERROR(MATCH(B852,Bank!$A:$A,0),0),IFERROR(MATCH(B852,GL!$A:$A,0),0)))</f>
        <v>0</v>
      </c>
      <c r="D852" s="32" t="str">
        <f aca="false">IF(C852=0,"",IF($A852="Bank",INDEX(Bank!$B:$B,$C852),INDEX(GL!$B:$B,$C852)))</f>
        <v/>
      </c>
      <c r="E852" s="5" t="str">
        <f aca="false">IF(C852=0,"",IF($A852="Bank",IF(INDEX(Bank!$C:$C,$C852)="","",INDEX(Bank!$C:$C,$C852)),IF(INDEX(GL!$C:$C,$C852)="","",INDEX(GL!$C:$C,$C852))))</f>
        <v/>
      </c>
      <c r="F852" s="5" t="str">
        <f aca="false">IF(C852=0,"",IF($A852="Bank",IF(INDEX(Bank!$D:$D,$C852)="","",INDEX(Bank!$D:$D,$C852)),IF(INDEX(GL!$D:$D,$C852)="","",INDEX(GL!$D:$D,$C852))))</f>
        <v/>
      </c>
      <c r="G852" s="19" t="str">
        <f aca="false">IF(C852=0,"",IF($A852="Bank",INDEX(Bank!$E:$E,$C852),INDEX(GL!$E:$E,$C852)))</f>
        <v/>
      </c>
      <c r="H852" s="5" t="str">
        <f aca="false">IF(C852=0,"",IF(A852="GL",IF(G852&gt;0,"Deposit in transit","Outstanding check / payment"),IF(G852&gt;0,"Bank credit not in GL","Bank debit not in GL")))</f>
        <v/>
      </c>
      <c r="I852" s="42" t="str">
        <f aca="false">IF(OR(C852=0,CFG_PeriodEnd=""),"",CFG_PeriodEnd-D852)</f>
        <v/>
      </c>
      <c r="J852" s="5" t="str">
        <f aca="false">IF(C852=0,"",IF($A852="Bank",IF(INDEX(Bank!$G:$G,$C852)="","",INDEX(Bank!$G:$G,$C852)),IF(INDEX(GL!$G:$G,$C852)="","",INDEX(GL!$G:$G,$C852))))</f>
        <v/>
      </c>
      <c r="K852" s="5" t="str">
        <f aca="false">IF(C852=0,"",IF($A852="Bank",IF(INDEX(Bank!$I:$I,$C852)="","",INDEX(Bank!$I:$I,$C852)),IF(INDEX(GL!$I:$I,$C852)="","",INDEX(GL!$I:$I,$C852))))</f>
        <v/>
      </c>
      <c r="L852" s="5" t="str">
        <f aca="false">IF(B852="","",IF(C852=0,"NOT FOUND",IF(IF($A852="Bank",INDEX(Bank!$F:$F,$C852),INDEX(GL!$F:$F,$C852))="Y","NOW RECONCILED: refresh","OK")))</f>
        <v/>
      </c>
    </row>
    <row r="853" customFormat="false" ht="15" hidden="false" customHeight="false" outlineLevel="0" collapsed="false">
      <c r="A853" s="41"/>
      <c r="B853" s="41"/>
      <c r="C853" s="5" t="n">
        <f aca="false">IF(B853="",0,IF(A853="Bank",IFERROR(MATCH(B853,Bank!$A:$A,0),0),IFERROR(MATCH(B853,GL!$A:$A,0),0)))</f>
        <v>0</v>
      </c>
      <c r="D853" s="32" t="str">
        <f aca="false">IF(C853=0,"",IF($A853="Bank",INDEX(Bank!$B:$B,$C853),INDEX(GL!$B:$B,$C853)))</f>
        <v/>
      </c>
      <c r="E853" s="5" t="str">
        <f aca="false">IF(C853=0,"",IF($A853="Bank",IF(INDEX(Bank!$C:$C,$C853)="","",INDEX(Bank!$C:$C,$C853)),IF(INDEX(GL!$C:$C,$C853)="","",INDEX(GL!$C:$C,$C853))))</f>
        <v/>
      </c>
      <c r="F853" s="5" t="str">
        <f aca="false">IF(C853=0,"",IF($A853="Bank",IF(INDEX(Bank!$D:$D,$C853)="","",INDEX(Bank!$D:$D,$C853)),IF(INDEX(GL!$D:$D,$C853)="","",INDEX(GL!$D:$D,$C853))))</f>
        <v/>
      </c>
      <c r="G853" s="19" t="str">
        <f aca="false">IF(C853=0,"",IF($A853="Bank",INDEX(Bank!$E:$E,$C853),INDEX(GL!$E:$E,$C853)))</f>
        <v/>
      </c>
      <c r="H853" s="5" t="str">
        <f aca="false">IF(C853=0,"",IF(A853="GL",IF(G853&gt;0,"Deposit in transit","Outstanding check / payment"),IF(G853&gt;0,"Bank credit not in GL","Bank debit not in GL")))</f>
        <v/>
      </c>
      <c r="I853" s="42" t="str">
        <f aca="false">IF(OR(C853=0,CFG_PeriodEnd=""),"",CFG_PeriodEnd-D853)</f>
        <v/>
      </c>
      <c r="J853" s="5" t="str">
        <f aca="false">IF(C853=0,"",IF($A853="Bank",IF(INDEX(Bank!$G:$G,$C853)="","",INDEX(Bank!$G:$G,$C853)),IF(INDEX(GL!$G:$G,$C853)="","",INDEX(GL!$G:$G,$C853))))</f>
        <v/>
      </c>
      <c r="K853" s="5" t="str">
        <f aca="false">IF(C853=0,"",IF($A853="Bank",IF(INDEX(Bank!$I:$I,$C853)="","",INDEX(Bank!$I:$I,$C853)),IF(INDEX(GL!$I:$I,$C853)="","",INDEX(GL!$I:$I,$C853))))</f>
        <v/>
      </c>
      <c r="L853" s="5" t="str">
        <f aca="false">IF(B853="","",IF(C853=0,"NOT FOUND",IF(IF($A853="Bank",INDEX(Bank!$F:$F,$C853),INDEX(GL!$F:$F,$C853))="Y","NOW RECONCILED: refresh","OK")))</f>
        <v/>
      </c>
    </row>
    <row r="854" customFormat="false" ht="15" hidden="false" customHeight="false" outlineLevel="0" collapsed="false">
      <c r="A854" s="41"/>
      <c r="B854" s="41"/>
      <c r="C854" s="5" t="n">
        <f aca="false">IF(B854="",0,IF(A854="Bank",IFERROR(MATCH(B854,Bank!$A:$A,0),0),IFERROR(MATCH(B854,GL!$A:$A,0),0)))</f>
        <v>0</v>
      </c>
      <c r="D854" s="32" t="str">
        <f aca="false">IF(C854=0,"",IF($A854="Bank",INDEX(Bank!$B:$B,$C854),INDEX(GL!$B:$B,$C854)))</f>
        <v/>
      </c>
      <c r="E854" s="5" t="str">
        <f aca="false">IF(C854=0,"",IF($A854="Bank",IF(INDEX(Bank!$C:$C,$C854)="","",INDEX(Bank!$C:$C,$C854)),IF(INDEX(GL!$C:$C,$C854)="","",INDEX(GL!$C:$C,$C854))))</f>
        <v/>
      </c>
      <c r="F854" s="5" t="str">
        <f aca="false">IF(C854=0,"",IF($A854="Bank",IF(INDEX(Bank!$D:$D,$C854)="","",INDEX(Bank!$D:$D,$C854)),IF(INDEX(GL!$D:$D,$C854)="","",INDEX(GL!$D:$D,$C854))))</f>
        <v/>
      </c>
      <c r="G854" s="19" t="str">
        <f aca="false">IF(C854=0,"",IF($A854="Bank",INDEX(Bank!$E:$E,$C854),INDEX(GL!$E:$E,$C854)))</f>
        <v/>
      </c>
      <c r="H854" s="5" t="str">
        <f aca="false">IF(C854=0,"",IF(A854="GL",IF(G854&gt;0,"Deposit in transit","Outstanding check / payment"),IF(G854&gt;0,"Bank credit not in GL","Bank debit not in GL")))</f>
        <v/>
      </c>
      <c r="I854" s="42" t="str">
        <f aca="false">IF(OR(C854=0,CFG_PeriodEnd=""),"",CFG_PeriodEnd-D854)</f>
        <v/>
      </c>
      <c r="J854" s="5" t="str">
        <f aca="false">IF(C854=0,"",IF($A854="Bank",IF(INDEX(Bank!$G:$G,$C854)="","",INDEX(Bank!$G:$G,$C854)),IF(INDEX(GL!$G:$G,$C854)="","",INDEX(GL!$G:$G,$C854))))</f>
        <v/>
      </c>
      <c r="K854" s="5" t="str">
        <f aca="false">IF(C854=0,"",IF($A854="Bank",IF(INDEX(Bank!$I:$I,$C854)="","",INDEX(Bank!$I:$I,$C854)),IF(INDEX(GL!$I:$I,$C854)="","",INDEX(GL!$I:$I,$C854))))</f>
        <v/>
      </c>
      <c r="L854" s="5" t="str">
        <f aca="false">IF(B854="","",IF(C854=0,"NOT FOUND",IF(IF($A854="Bank",INDEX(Bank!$F:$F,$C854),INDEX(GL!$F:$F,$C854))="Y","NOW RECONCILED: refresh","OK")))</f>
        <v/>
      </c>
    </row>
    <row r="855" customFormat="false" ht="15" hidden="false" customHeight="false" outlineLevel="0" collapsed="false">
      <c r="A855" s="41"/>
      <c r="B855" s="41"/>
      <c r="C855" s="5" t="n">
        <f aca="false">IF(B855="",0,IF(A855="Bank",IFERROR(MATCH(B855,Bank!$A:$A,0),0),IFERROR(MATCH(B855,GL!$A:$A,0),0)))</f>
        <v>0</v>
      </c>
      <c r="D855" s="32" t="str">
        <f aca="false">IF(C855=0,"",IF($A855="Bank",INDEX(Bank!$B:$B,$C855),INDEX(GL!$B:$B,$C855)))</f>
        <v/>
      </c>
      <c r="E855" s="5" t="str">
        <f aca="false">IF(C855=0,"",IF($A855="Bank",IF(INDEX(Bank!$C:$C,$C855)="","",INDEX(Bank!$C:$C,$C855)),IF(INDEX(GL!$C:$C,$C855)="","",INDEX(GL!$C:$C,$C855))))</f>
        <v/>
      </c>
      <c r="F855" s="5" t="str">
        <f aca="false">IF(C855=0,"",IF($A855="Bank",IF(INDEX(Bank!$D:$D,$C855)="","",INDEX(Bank!$D:$D,$C855)),IF(INDEX(GL!$D:$D,$C855)="","",INDEX(GL!$D:$D,$C855))))</f>
        <v/>
      </c>
      <c r="G855" s="19" t="str">
        <f aca="false">IF(C855=0,"",IF($A855="Bank",INDEX(Bank!$E:$E,$C855),INDEX(GL!$E:$E,$C855)))</f>
        <v/>
      </c>
      <c r="H855" s="5" t="str">
        <f aca="false">IF(C855=0,"",IF(A855="GL",IF(G855&gt;0,"Deposit in transit","Outstanding check / payment"),IF(G855&gt;0,"Bank credit not in GL","Bank debit not in GL")))</f>
        <v/>
      </c>
      <c r="I855" s="42" t="str">
        <f aca="false">IF(OR(C855=0,CFG_PeriodEnd=""),"",CFG_PeriodEnd-D855)</f>
        <v/>
      </c>
      <c r="J855" s="5" t="str">
        <f aca="false">IF(C855=0,"",IF($A855="Bank",IF(INDEX(Bank!$G:$G,$C855)="","",INDEX(Bank!$G:$G,$C855)),IF(INDEX(GL!$G:$G,$C855)="","",INDEX(GL!$G:$G,$C855))))</f>
        <v/>
      </c>
      <c r="K855" s="5" t="str">
        <f aca="false">IF(C855=0,"",IF($A855="Bank",IF(INDEX(Bank!$I:$I,$C855)="","",INDEX(Bank!$I:$I,$C855)),IF(INDEX(GL!$I:$I,$C855)="","",INDEX(GL!$I:$I,$C855))))</f>
        <v/>
      </c>
      <c r="L855" s="5" t="str">
        <f aca="false">IF(B855="","",IF(C855=0,"NOT FOUND",IF(IF($A855="Bank",INDEX(Bank!$F:$F,$C855),INDEX(GL!$F:$F,$C855))="Y","NOW RECONCILED: refresh","OK")))</f>
        <v/>
      </c>
    </row>
    <row r="856" customFormat="false" ht="15" hidden="false" customHeight="false" outlineLevel="0" collapsed="false">
      <c r="A856" s="41"/>
      <c r="B856" s="41"/>
      <c r="C856" s="5" t="n">
        <f aca="false">IF(B856="",0,IF(A856="Bank",IFERROR(MATCH(B856,Bank!$A:$A,0),0),IFERROR(MATCH(B856,GL!$A:$A,0),0)))</f>
        <v>0</v>
      </c>
      <c r="D856" s="32" t="str">
        <f aca="false">IF(C856=0,"",IF($A856="Bank",INDEX(Bank!$B:$B,$C856),INDEX(GL!$B:$B,$C856)))</f>
        <v/>
      </c>
      <c r="E856" s="5" t="str">
        <f aca="false">IF(C856=0,"",IF($A856="Bank",IF(INDEX(Bank!$C:$C,$C856)="","",INDEX(Bank!$C:$C,$C856)),IF(INDEX(GL!$C:$C,$C856)="","",INDEX(GL!$C:$C,$C856))))</f>
        <v/>
      </c>
      <c r="F856" s="5" t="str">
        <f aca="false">IF(C856=0,"",IF($A856="Bank",IF(INDEX(Bank!$D:$D,$C856)="","",INDEX(Bank!$D:$D,$C856)),IF(INDEX(GL!$D:$D,$C856)="","",INDEX(GL!$D:$D,$C856))))</f>
        <v/>
      </c>
      <c r="G856" s="19" t="str">
        <f aca="false">IF(C856=0,"",IF($A856="Bank",INDEX(Bank!$E:$E,$C856),INDEX(GL!$E:$E,$C856)))</f>
        <v/>
      </c>
      <c r="H856" s="5" t="str">
        <f aca="false">IF(C856=0,"",IF(A856="GL",IF(G856&gt;0,"Deposit in transit","Outstanding check / payment"),IF(G856&gt;0,"Bank credit not in GL","Bank debit not in GL")))</f>
        <v/>
      </c>
      <c r="I856" s="42" t="str">
        <f aca="false">IF(OR(C856=0,CFG_PeriodEnd=""),"",CFG_PeriodEnd-D856)</f>
        <v/>
      </c>
      <c r="J856" s="5" t="str">
        <f aca="false">IF(C856=0,"",IF($A856="Bank",IF(INDEX(Bank!$G:$G,$C856)="","",INDEX(Bank!$G:$G,$C856)),IF(INDEX(GL!$G:$G,$C856)="","",INDEX(GL!$G:$G,$C856))))</f>
        <v/>
      </c>
      <c r="K856" s="5" t="str">
        <f aca="false">IF(C856=0,"",IF($A856="Bank",IF(INDEX(Bank!$I:$I,$C856)="","",INDEX(Bank!$I:$I,$C856)),IF(INDEX(GL!$I:$I,$C856)="","",INDEX(GL!$I:$I,$C856))))</f>
        <v/>
      </c>
      <c r="L856" s="5" t="str">
        <f aca="false">IF(B856="","",IF(C856=0,"NOT FOUND",IF(IF($A856="Bank",INDEX(Bank!$F:$F,$C856),INDEX(GL!$F:$F,$C856))="Y","NOW RECONCILED: refresh","OK")))</f>
        <v/>
      </c>
    </row>
    <row r="857" customFormat="false" ht="15" hidden="false" customHeight="false" outlineLevel="0" collapsed="false">
      <c r="A857" s="41"/>
      <c r="B857" s="41"/>
      <c r="C857" s="5" t="n">
        <f aca="false">IF(B857="",0,IF(A857="Bank",IFERROR(MATCH(B857,Bank!$A:$A,0),0),IFERROR(MATCH(B857,GL!$A:$A,0),0)))</f>
        <v>0</v>
      </c>
      <c r="D857" s="32" t="str">
        <f aca="false">IF(C857=0,"",IF($A857="Bank",INDEX(Bank!$B:$B,$C857),INDEX(GL!$B:$B,$C857)))</f>
        <v/>
      </c>
      <c r="E857" s="5" t="str">
        <f aca="false">IF(C857=0,"",IF($A857="Bank",IF(INDEX(Bank!$C:$C,$C857)="","",INDEX(Bank!$C:$C,$C857)),IF(INDEX(GL!$C:$C,$C857)="","",INDEX(GL!$C:$C,$C857))))</f>
        <v/>
      </c>
      <c r="F857" s="5" t="str">
        <f aca="false">IF(C857=0,"",IF($A857="Bank",IF(INDEX(Bank!$D:$D,$C857)="","",INDEX(Bank!$D:$D,$C857)),IF(INDEX(GL!$D:$D,$C857)="","",INDEX(GL!$D:$D,$C857))))</f>
        <v/>
      </c>
      <c r="G857" s="19" t="str">
        <f aca="false">IF(C857=0,"",IF($A857="Bank",INDEX(Bank!$E:$E,$C857),INDEX(GL!$E:$E,$C857)))</f>
        <v/>
      </c>
      <c r="H857" s="5" t="str">
        <f aca="false">IF(C857=0,"",IF(A857="GL",IF(G857&gt;0,"Deposit in transit","Outstanding check / payment"),IF(G857&gt;0,"Bank credit not in GL","Bank debit not in GL")))</f>
        <v/>
      </c>
      <c r="I857" s="42" t="str">
        <f aca="false">IF(OR(C857=0,CFG_PeriodEnd=""),"",CFG_PeriodEnd-D857)</f>
        <v/>
      </c>
      <c r="J857" s="5" t="str">
        <f aca="false">IF(C857=0,"",IF($A857="Bank",IF(INDEX(Bank!$G:$G,$C857)="","",INDEX(Bank!$G:$G,$C857)),IF(INDEX(GL!$G:$G,$C857)="","",INDEX(GL!$G:$G,$C857))))</f>
        <v/>
      </c>
      <c r="K857" s="5" t="str">
        <f aca="false">IF(C857=0,"",IF($A857="Bank",IF(INDEX(Bank!$I:$I,$C857)="","",INDEX(Bank!$I:$I,$C857)),IF(INDEX(GL!$I:$I,$C857)="","",INDEX(GL!$I:$I,$C857))))</f>
        <v/>
      </c>
      <c r="L857" s="5" t="str">
        <f aca="false">IF(B857="","",IF(C857=0,"NOT FOUND",IF(IF($A857="Bank",INDEX(Bank!$F:$F,$C857),INDEX(GL!$F:$F,$C857))="Y","NOW RECONCILED: refresh","OK")))</f>
        <v/>
      </c>
    </row>
    <row r="858" customFormat="false" ht="15" hidden="false" customHeight="false" outlineLevel="0" collapsed="false">
      <c r="A858" s="41"/>
      <c r="B858" s="41"/>
      <c r="C858" s="5" t="n">
        <f aca="false">IF(B858="",0,IF(A858="Bank",IFERROR(MATCH(B858,Bank!$A:$A,0),0),IFERROR(MATCH(B858,GL!$A:$A,0),0)))</f>
        <v>0</v>
      </c>
      <c r="D858" s="32" t="str">
        <f aca="false">IF(C858=0,"",IF($A858="Bank",INDEX(Bank!$B:$B,$C858),INDEX(GL!$B:$B,$C858)))</f>
        <v/>
      </c>
      <c r="E858" s="5" t="str">
        <f aca="false">IF(C858=0,"",IF($A858="Bank",IF(INDEX(Bank!$C:$C,$C858)="","",INDEX(Bank!$C:$C,$C858)),IF(INDEX(GL!$C:$C,$C858)="","",INDEX(GL!$C:$C,$C858))))</f>
        <v/>
      </c>
      <c r="F858" s="5" t="str">
        <f aca="false">IF(C858=0,"",IF($A858="Bank",IF(INDEX(Bank!$D:$D,$C858)="","",INDEX(Bank!$D:$D,$C858)),IF(INDEX(GL!$D:$D,$C858)="","",INDEX(GL!$D:$D,$C858))))</f>
        <v/>
      </c>
      <c r="G858" s="19" t="str">
        <f aca="false">IF(C858=0,"",IF($A858="Bank",INDEX(Bank!$E:$E,$C858),INDEX(GL!$E:$E,$C858)))</f>
        <v/>
      </c>
      <c r="H858" s="5" t="str">
        <f aca="false">IF(C858=0,"",IF(A858="GL",IF(G858&gt;0,"Deposit in transit","Outstanding check / payment"),IF(G858&gt;0,"Bank credit not in GL","Bank debit not in GL")))</f>
        <v/>
      </c>
      <c r="I858" s="42" t="str">
        <f aca="false">IF(OR(C858=0,CFG_PeriodEnd=""),"",CFG_PeriodEnd-D858)</f>
        <v/>
      </c>
      <c r="J858" s="5" t="str">
        <f aca="false">IF(C858=0,"",IF($A858="Bank",IF(INDEX(Bank!$G:$G,$C858)="","",INDEX(Bank!$G:$G,$C858)),IF(INDEX(GL!$G:$G,$C858)="","",INDEX(GL!$G:$G,$C858))))</f>
        <v/>
      </c>
      <c r="K858" s="5" t="str">
        <f aca="false">IF(C858=0,"",IF($A858="Bank",IF(INDEX(Bank!$I:$I,$C858)="","",INDEX(Bank!$I:$I,$C858)),IF(INDEX(GL!$I:$I,$C858)="","",INDEX(GL!$I:$I,$C858))))</f>
        <v/>
      </c>
      <c r="L858" s="5" t="str">
        <f aca="false">IF(B858="","",IF(C858=0,"NOT FOUND",IF(IF($A858="Bank",INDEX(Bank!$F:$F,$C858),INDEX(GL!$F:$F,$C858))="Y","NOW RECONCILED: refresh","OK")))</f>
        <v/>
      </c>
    </row>
    <row r="859" customFormat="false" ht="15" hidden="false" customHeight="false" outlineLevel="0" collapsed="false">
      <c r="A859" s="41"/>
      <c r="B859" s="41"/>
      <c r="C859" s="5" t="n">
        <f aca="false">IF(B859="",0,IF(A859="Bank",IFERROR(MATCH(B859,Bank!$A:$A,0),0),IFERROR(MATCH(B859,GL!$A:$A,0),0)))</f>
        <v>0</v>
      </c>
      <c r="D859" s="32" t="str">
        <f aca="false">IF(C859=0,"",IF($A859="Bank",INDEX(Bank!$B:$B,$C859),INDEX(GL!$B:$B,$C859)))</f>
        <v/>
      </c>
      <c r="E859" s="5" t="str">
        <f aca="false">IF(C859=0,"",IF($A859="Bank",IF(INDEX(Bank!$C:$C,$C859)="","",INDEX(Bank!$C:$C,$C859)),IF(INDEX(GL!$C:$C,$C859)="","",INDEX(GL!$C:$C,$C859))))</f>
        <v/>
      </c>
      <c r="F859" s="5" t="str">
        <f aca="false">IF(C859=0,"",IF($A859="Bank",IF(INDEX(Bank!$D:$D,$C859)="","",INDEX(Bank!$D:$D,$C859)),IF(INDEX(GL!$D:$D,$C859)="","",INDEX(GL!$D:$D,$C859))))</f>
        <v/>
      </c>
      <c r="G859" s="19" t="str">
        <f aca="false">IF(C859=0,"",IF($A859="Bank",INDEX(Bank!$E:$E,$C859),INDEX(GL!$E:$E,$C859)))</f>
        <v/>
      </c>
      <c r="H859" s="5" t="str">
        <f aca="false">IF(C859=0,"",IF(A859="GL",IF(G859&gt;0,"Deposit in transit","Outstanding check / payment"),IF(G859&gt;0,"Bank credit not in GL","Bank debit not in GL")))</f>
        <v/>
      </c>
      <c r="I859" s="42" t="str">
        <f aca="false">IF(OR(C859=0,CFG_PeriodEnd=""),"",CFG_PeriodEnd-D859)</f>
        <v/>
      </c>
      <c r="J859" s="5" t="str">
        <f aca="false">IF(C859=0,"",IF($A859="Bank",IF(INDEX(Bank!$G:$G,$C859)="","",INDEX(Bank!$G:$G,$C859)),IF(INDEX(GL!$G:$G,$C859)="","",INDEX(GL!$G:$G,$C859))))</f>
        <v/>
      </c>
      <c r="K859" s="5" t="str">
        <f aca="false">IF(C859=0,"",IF($A859="Bank",IF(INDEX(Bank!$I:$I,$C859)="","",INDEX(Bank!$I:$I,$C859)),IF(INDEX(GL!$I:$I,$C859)="","",INDEX(GL!$I:$I,$C859))))</f>
        <v/>
      </c>
      <c r="L859" s="5" t="str">
        <f aca="false">IF(B859="","",IF(C859=0,"NOT FOUND",IF(IF($A859="Bank",INDEX(Bank!$F:$F,$C859),INDEX(GL!$F:$F,$C859))="Y","NOW RECONCILED: refresh","OK")))</f>
        <v/>
      </c>
    </row>
    <row r="860" customFormat="false" ht="15" hidden="false" customHeight="false" outlineLevel="0" collapsed="false">
      <c r="A860" s="41"/>
      <c r="B860" s="41"/>
      <c r="C860" s="5" t="n">
        <f aca="false">IF(B860="",0,IF(A860="Bank",IFERROR(MATCH(B860,Bank!$A:$A,0),0),IFERROR(MATCH(B860,GL!$A:$A,0),0)))</f>
        <v>0</v>
      </c>
      <c r="D860" s="32" t="str">
        <f aca="false">IF(C860=0,"",IF($A860="Bank",INDEX(Bank!$B:$B,$C860),INDEX(GL!$B:$B,$C860)))</f>
        <v/>
      </c>
      <c r="E860" s="5" t="str">
        <f aca="false">IF(C860=0,"",IF($A860="Bank",IF(INDEX(Bank!$C:$C,$C860)="","",INDEX(Bank!$C:$C,$C860)),IF(INDEX(GL!$C:$C,$C860)="","",INDEX(GL!$C:$C,$C860))))</f>
        <v/>
      </c>
      <c r="F860" s="5" t="str">
        <f aca="false">IF(C860=0,"",IF($A860="Bank",IF(INDEX(Bank!$D:$D,$C860)="","",INDEX(Bank!$D:$D,$C860)),IF(INDEX(GL!$D:$D,$C860)="","",INDEX(GL!$D:$D,$C860))))</f>
        <v/>
      </c>
      <c r="G860" s="19" t="str">
        <f aca="false">IF(C860=0,"",IF($A860="Bank",INDEX(Bank!$E:$E,$C860),INDEX(GL!$E:$E,$C860)))</f>
        <v/>
      </c>
      <c r="H860" s="5" t="str">
        <f aca="false">IF(C860=0,"",IF(A860="GL",IF(G860&gt;0,"Deposit in transit","Outstanding check / payment"),IF(G860&gt;0,"Bank credit not in GL","Bank debit not in GL")))</f>
        <v/>
      </c>
      <c r="I860" s="42" t="str">
        <f aca="false">IF(OR(C860=0,CFG_PeriodEnd=""),"",CFG_PeriodEnd-D860)</f>
        <v/>
      </c>
      <c r="J860" s="5" t="str">
        <f aca="false">IF(C860=0,"",IF($A860="Bank",IF(INDEX(Bank!$G:$G,$C860)="","",INDEX(Bank!$G:$G,$C860)),IF(INDEX(GL!$G:$G,$C860)="","",INDEX(GL!$G:$G,$C860))))</f>
        <v/>
      </c>
      <c r="K860" s="5" t="str">
        <f aca="false">IF(C860=0,"",IF($A860="Bank",IF(INDEX(Bank!$I:$I,$C860)="","",INDEX(Bank!$I:$I,$C860)),IF(INDEX(GL!$I:$I,$C860)="","",INDEX(GL!$I:$I,$C860))))</f>
        <v/>
      </c>
      <c r="L860" s="5" t="str">
        <f aca="false">IF(B860="","",IF(C860=0,"NOT FOUND",IF(IF($A860="Bank",INDEX(Bank!$F:$F,$C860),INDEX(GL!$F:$F,$C860))="Y","NOW RECONCILED: refresh","OK")))</f>
        <v/>
      </c>
    </row>
    <row r="861" customFormat="false" ht="15" hidden="false" customHeight="false" outlineLevel="0" collapsed="false">
      <c r="A861" s="41"/>
      <c r="B861" s="41"/>
      <c r="C861" s="5" t="n">
        <f aca="false">IF(B861="",0,IF(A861="Bank",IFERROR(MATCH(B861,Bank!$A:$A,0),0),IFERROR(MATCH(B861,GL!$A:$A,0),0)))</f>
        <v>0</v>
      </c>
      <c r="D861" s="32" t="str">
        <f aca="false">IF(C861=0,"",IF($A861="Bank",INDEX(Bank!$B:$B,$C861),INDEX(GL!$B:$B,$C861)))</f>
        <v/>
      </c>
      <c r="E861" s="5" t="str">
        <f aca="false">IF(C861=0,"",IF($A861="Bank",IF(INDEX(Bank!$C:$C,$C861)="","",INDEX(Bank!$C:$C,$C861)),IF(INDEX(GL!$C:$C,$C861)="","",INDEX(GL!$C:$C,$C861))))</f>
        <v/>
      </c>
      <c r="F861" s="5" t="str">
        <f aca="false">IF(C861=0,"",IF($A861="Bank",IF(INDEX(Bank!$D:$D,$C861)="","",INDEX(Bank!$D:$D,$C861)),IF(INDEX(GL!$D:$D,$C861)="","",INDEX(GL!$D:$D,$C861))))</f>
        <v/>
      </c>
      <c r="G861" s="19" t="str">
        <f aca="false">IF(C861=0,"",IF($A861="Bank",INDEX(Bank!$E:$E,$C861),INDEX(GL!$E:$E,$C861)))</f>
        <v/>
      </c>
      <c r="H861" s="5" t="str">
        <f aca="false">IF(C861=0,"",IF(A861="GL",IF(G861&gt;0,"Deposit in transit","Outstanding check / payment"),IF(G861&gt;0,"Bank credit not in GL","Bank debit not in GL")))</f>
        <v/>
      </c>
      <c r="I861" s="42" t="str">
        <f aca="false">IF(OR(C861=0,CFG_PeriodEnd=""),"",CFG_PeriodEnd-D861)</f>
        <v/>
      </c>
      <c r="J861" s="5" t="str">
        <f aca="false">IF(C861=0,"",IF($A861="Bank",IF(INDEX(Bank!$G:$G,$C861)="","",INDEX(Bank!$G:$G,$C861)),IF(INDEX(GL!$G:$G,$C861)="","",INDEX(GL!$G:$G,$C861))))</f>
        <v/>
      </c>
      <c r="K861" s="5" t="str">
        <f aca="false">IF(C861=0,"",IF($A861="Bank",IF(INDEX(Bank!$I:$I,$C861)="","",INDEX(Bank!$I:$I,$C861)),IF(INDEX(GL!$I:$I,$C861)="","",INDEX(GL!$I:$I,$C861))))</f>
        <v/>
      </c>
      <c r="L861" s="5" t="str">
        <f aca="false">IF(B861="","",IF(C861=0,"NOT FOUND",IF(IF($A861="Bank",INDEX(Bank!$F:$F,$C861),INDEX(GL!$F:$F,$C861))="Y","NOW RECONCILED: refresh","OK")))</f>
        <v/>
      </c>
    </row>
    <row r="862" customFormat="false" ht="15" hidden="false" customHeight="false" outlineLevel="0" collapsed="false">
      <c r="A862" s="41"/>
      <c r="B862" s="41"/>
      <c r="C862" s="5" t="n">
        <f aca="false">IF(B862="",0,IF(A862="Bank",IFERROR(MATCH(B862,Bank!$A:$A,0),0),IFERROR(MATCH(B862,GL!$A:$A,0),0)))</f>
        <v>0</v>
      </c>
      <c r="D862" s="32" t="str">
        <f aca="false">IF(C862=0,"",IF($A862="Bank",INDEX(Bank!$B:$B,$C862),INDEX(GL!$B:$B,$C862)))</f>
        <v/>
      </c>
      <c r="E862" s="5" t="str">
        <f aca="false">IF(C862=0,"",IF($A862="Bank",IF(INDEX(Bank!$C:$C,$C862)="","",INDEX(Bank!$C:$C,$C862)),IF(INDEX(GL!$C:$C,$C862)="","",INDEX(GL!$C:$C,$C862))))</f>
        <v/>
      </c>
      <c r="F862" s="5" t="str">
        <f aca="false">IF(C862=0,"",IF($A862="Bank",IF(INDEX(Bank!$D:$D,$C862)="","",INDEX(Bank!$D:$D,$C862)),IF(INDEX(GL!$D:$D,$C862)="","",INDEX(GL!$D:$D,$C862))))</f>
        <v/>
      </c>
      <c r="G862" s="19" t="str">
        <f aca="false">IF(C862=0,"",IF($A862="Bank",INDEX(Bank!$E:$E,$C862),INDEX(GL!$E:$E,$C862)))</f>
        <v/>
      </c>
      <c r="H862" s="5" t="str">
        <f aca="false">IF(C862=0,"",IF(A862="GL",IF(G862&gt;0,"Deposit in transit","Outstanding check / payment"),IF(G862&gt;0,"Bank credit not in GL","Bank debit not in GL")))</f>
        <v/>
      </c>
      <c r="I862" s="42" t="str">
        <f aca="false">IF(OR(C862=0,CFG_PeriodEnd=""),"",CFG_PeriodEnd-D862)</f>
        <v/>
      </c>
      <c r="J862" s="5" t="str">
        <f aca="false">IF(C862=0,"",IF($A862="Bank",IF(INDEX(Bank!$G:$G,$C862)="","",INDEX(Bank!$G:$G,$C862)),IF(INDEX(GL!$G:$G,$C862)="","",INDEX(GL!$G:$G,$C862))))</f>
        <v/>
      </c>
      <c r="K862" s="5" t="str">
        <f aca="false">IF(C862=0,"",IF($A862="Bank",IF(INDEX(Bank!$I:$I,$C862)="","",INDEX(Bank!$I:$I,$C862)),IF(INDEX(GL!$I:$I,$C862)="","",INDEX(GL!$I:$I,$C862))))</f>
        <v/>
      </c>
      <c r="L862" s="5" t="str">
        <f aca="false">IF(B862="","",IF(C862=0,"NOT FOUND",IF(IF($A862="Bank",INDEX(Bank!$F:$F,$C862),INDEX(GL!$F:$F,$C862))="Y","NOW RECONCILED: refresh","OK")))</f>
        <v/>
      </c>
    </row>
    <row r="863" customFormat="false" ht="15" hidden="false" customHeight="false" outlineLevel="0" collapsed="false">
      <c r="A863" s="41"/>
      <c r="B863" s="41"/>
      <c r="C863" s="5" t="n">
        <f aca="false">IF(B863="",0,IF(A863="Bank",IFERROR(MATCH(B863,Bank!$A:$A,0),0),IFERROR(MATCH(B863,GL!$A:$A,0),0)))</f>
        <v>0</v>
      </c>
      <c r="D863" s="32" t="str">
        <f aca="false">IF(C863=0,"",IF($A863="Bank",INDEX(Bank!$B:$B,$C863),INDEX(GL!$B:$B,$C863)))</f>
        <v/>
      </c>
      <c r="E863" s="5" t="str">
        <f aca="false">IF(C863=0,"",IF($A863="Bank",IF(INDEX(Bank!$C:$C,$C863)="","",INDEX(Bank!$C:$C,$C863)),IF(INDEX(GL!$C:$C,$C863)="","",INDEX(GL!$C:$C,$C863))))</f>
        <v/>
      </c>
      <c r="F863" s="5" t="str">
        <f aca="false">IF(C863=0,"",IF($A863="Bank",IF(INDEX(Bank!$D:$D,$C863)="","",INDEX(Bank!$D:$D,$C863)),IF(INDEX(GL!$D:$D,$C863)="","",INDEX(GL!$D:$D,$C863))))</f>
        <v/>
      </c>
      <c r="G863" s="19" t="str">
        <f aca="false">IF(C863=0,"",IF($A863="Bank",INDEX(Bank!$E:$E,$C863),INDEX(GL!$E:$E,$C863)))</f>
        <v/>
      </c>
      <c r="H863" s="5" t="str">
        <f aca="false">IF(C863=0,"",IF(A863="GL",IF(G863&gt;0,"Deposit in transit","Outstanding check / payment"),IF(G863&gt;0,"Bank credit not in GL","Bank debit not in GL")))</f>
        <v/>
      </c>
      <c r="I863" s="42" t="str">
        <f aca="false">IF(OR(C863=0,CFG_PeriodEnd=""),"",CFG_PeriodEnd-D863)</f>
        <v/>
      </c>
      <c r="J863" s="5" t="str">
        <f aca="false">IF(C863=0,"",IF($A863="Bank",IF(INDEX(Bank!$G:$G,$C863)="","",INDEX(Bank!$G:$G,$C863)),IF(INDEX(GL!$G:$G,$C863)="","",INDEX(GL!$G:$G,$C863))))</f>
        <v/>
      </c>
      <c r="K863" s="5" t="str">
        <f aca="false">IF(C863=0,"",IF($A863="Bank",IF(INDEX(Bank!$I:$I,$C863)="","",INDEX(Bank!$I:$I,$C863)),IF(INDEX(GL!$I:$I,$C863)="","",INDEX(GL!$I:$I,$C863))))</f>
        <v/>
      </c>
      <c r="L863" s="5" t="str">
        <f aca="false">IF(B863="","",IF(C863=0,"NOT FOUND",IF(IF($A863="Bank",INDEX(Bank!$F:$F,$C863),INDEX(GL!$F:$F,$C863))="Y","NOW RECONCILED: refresh","OK")))</f>
        <v/>
      </c>
    </row>
    <row r="864" customFormat="false" ht="15" hidden="false" customHeight="false" outlineLevel="0" collapsed="false">
      <c r="A864" s="41"/>
      <c r="B864" s="41"/>
      <c r="C864" s="5" t="n">
        <f aca="false">IF(B864="",0,IF(A864="Bank",IFERROR(MATCH(B864,Bank!$A:$A,0),0),IFERROR(MATCH(B864,GL!$A:$A,0),0)))</f>
        <v>0</v>
      </c>
      <c r="D864" s="32" t="str">
        <f aca="false">IF(C864=0,"",IF($A864="Bank",INDEX(Bank!$B:$B,$C864),INDEX(GL!$B:$B,$C864)))</f>
        <v/>
      </c>
      <c r="E864" s="5" t="str">
        <f aca="false">IF(C864=0,"",IF($A864="Bank",IF(INDEX(Bank!$C:$C,$C864)="","",INDEX(Bank!$C:$C,$C864)),IF(INDEX(GL!$C:$C,$C864)="","",INDEX(GL!$C:$C,$C864))))</f>
        <v/>
      </c>
      <c r="F864" s="5" t="str">
        <f aca="false">IF(C864=0,"",IF($A864="Bank",IF(INDEX(Bank!$D:$D,$C864)="","",INDEX(Bank!$D:$D,$C864)),IF(INDEX(GL!$D:$D,$C864)="","",INDEX(GL!$D:$D,$C864))))</f>
        <v/>
      </c>
      <c r="G864" s="19" t="str">
        <f aca="false">IF(C864=0,"",IF($A864="Bank",INDEX(Bank!$E:$E,$C864),INDEX(GL!$E:$E,$C864)))</f>
        <v/>
      </c>
      <c r="H864" s="5" t="str">
        <f aca="false">IF(C864=0,"",IF(A864="GL",IF(G864&gt;0,"Deposit in transit","Outstanding check / payment"),IF(G864&gt;0,"Bank credit not in GL","Bank debit not in GL")))</f>
        <v/>
      </c>
      <c r="I864" s="42" t="str">
        <f aca="false">IF(OR(C864=0,CFG_PeriodEnd=""),"",CFG_PeriodEnd-D864)</f>
        <v/>
      </c>
      <c r="J864" s="5" t="str">
        <f aca="false">IF(C864=0,"",IF($A864="Bank",IF(INDEX(Bank!$G:$G,$C864)="","",INDEX(Bank!$G:$G,$C864)),IF(INDEX(GL!$G:$G,$C864)="","",INDEX(GL!$G:$G,$C864))))</f>
        <v/>
      </c>
      <c r="K864" s="5" t="str">
        <f aca="false">IF(C864=0,"",IF($A864="Bank",IF(INDEX(Bank!$I:$I,$C864)="","",INDEX(Bank!$I:$I,$C864)),IF(INDEX(GL!$I:$I,$C864)="","",INDEX(GL!$I:$I,$C864))))</f>
        <v/>
      </c>
      <c r="L864" s="5" t="str">
        <f aca="false">IF(B864="","",IF(C864=0,"NOT FOUND",IF(IF($A864="Bank",INDEX(Bank!$F:$F,$C864),INDEX(GL!$F:$F,$C864))="Y","NOW RECONCILED: refresh","OK")))</f>
        <v/>
      </c>
    </row>
    <row r="865" customFormat="false" ht="15" hidden="false" customHeight="false" outlineLevel="0" collapsed="false">
      <c r="A865" s="41"/>
      <c r="B865" s="41"/>
      <c r="C865" s="5" t="n">
        <f aca="false">IF(B865="",0,IF(A865="Bank",IFERROR(MATCH(B865,Bank!$A:$A,0),0),IFERROR(MATCH(B865,GL!$A:$A,0),0)))</f>
        <v>0</v>
      </c>
      <c r="D865" s="32" t="str">
        <f aca="false">IF(C865=0,"",IF($A865="Bank",INDEX(Bank!$B:$B,$C865),INDEX(GL!$B:$B,$C865)))</f>
        <v/>
      </c>
      <c r="E865" s="5" t="str">
        <f aca="false">IF(C865=0,"",IF($A865="Bank",IF(INDEX(Bank!$C:$C,$C865)="","",INDEX(Bank!$C:$C,$C865)),IF(INDEX(GL!$C:$C,$C865)="","",INDEX(GL!$C:$C,$C865))))</f>
        <v/>
      </c>
      <c r="F865" s="5" t="str">
        <f aca="false">IF(C865=0,"",IF($A865="Bank",IF(INDEX(Bank!$D:$D,$C865)="","",INDEX(Bank!$D:$D,$C865)),IF(INDEX(GL!$D:$D,$C865)="","",INDEX(GL!$D:$D,$C865))))</f>
        <v/>
      </c>
      <c r="G865" s="19" t="str">
        <f aca="false">IF(C865=0,"",IF($A865="Bank",INDEX(Bank!$E:$E,$C865),INDEX(GL!$E:$E,$C865)))</f>
        <v/>
      </c>
      <c r="H865" s="5" t="str">
        <f aca="false">IF(C865=0,"",IF(A865="GL",IF(G865&gt;0,"Deposit in transit","Outstanding check / payment"),IF(G865&gt;0,"Bank credit not in GL","Bank debit not in GL")))</f>
        <v/>
      </c>
      <c r="I865" s="42" t="str">
        <f aca="false">IF(OR(C865=0,CFG_PeriodEnd=""),"",CFG_PeriodEnd-D865)</f>
        <v/>
      </c>
      <c r="J865" s="5" t="str">
        <f aca="false">IF(C865=0,"",IF($A865="Bank",IF(INDEX(Bank!$G:$G,$C865)="","",INDEX(Bank!$G:$G,$C865)),IF(INDEX(GL!$G:$G,$C865)="","",INDEX(GL!$G:$G,$C865))))</f>
        <v/>
      </c>
      <c r="K865" s="5" t="str">
        <f aca="false">IF(C865=0,"",IF($A865="Bank",IF(INDEX(Bank!$I:$I,$C865)="","",INDEX(Bank!$I:$I,$C865)),IF(INDEX(GL!$I:$I,$C865)="","",INDEX(GL!$I:$I,$C865))))</f>
        <v/>
      </c>
      <c r="L865" s="5" t="str">
        <f aca="false">IF(B865="","",IF(C865=0,"NOT FOUND",IF(IF($A865="Bank",INDEX(Bank!$F:$F,$C865),INDEX(GL!$F:$F,$C865))="Y","NOW RECONCILED: refresh","OK")))</f>
        <v/>
      </c>
    </row>
    <row r="866" customFormat="false" ht="15" hidden="false" customHeight="false" outlineLevel="0" collapsed="false">
      <c r="A866" s="41"/>
      <c r="B866" s="41"/>
      <c r="C866" s="5" t="n">
        <f aca="false">IF(B866="",0,IF(A866="Bank",IFERROR(MATCH(B866,Bank!$A:$A,0),0),IFERROR(MATCH(B866,GL!$A:$A,0),0)))</f>
        <v>0</v>
      </c>
      <c r="D866" s="32" t="str">
        <f aca="false">IF(C866=0,"",IF($A866="Bank",INDEX(Bank!$B:$B,$C866),INDEX(GL!$B:$B,$C866)))</f>
        <v/>
      </c>
      <c r="E866" s="5" t="str">
        <f aca="false">IF(C866=0,"",IF($A866="Bank",IF(INDEX(Bank!$C:$C,$C866)="","",INDEX(Bank!$C:$C,$C866)),IF(INDEX(GL!$C:$C,$C866)="","",INDEX(GL!$C:$C,$C866))))</f>
        <v/>
      </c>
      <c r="F866" s="5" t="str">
        <f aca="false">IF(C866=0,"",IF($A866="Bank",IF(INDEX(Bank!$D:$D,$C866)="","",INDEX(Bank!$D:$D,$C866)),IF(INDEX(GL!$D:$D,$C866)="","",INDEX(GL!$D:$D,$C866))))</f>
        <v/>
      </c>
      <c r="G866" s="19" t="str">
        <f aca="false">IF(C866=0,"",IF($A866="Bank",INDEX(Bank!$E:$E,$C866),INDEX(GL!$E:$E,$C866)))</f>
        <v/>
      </c>
      <c r="H866" s="5" t="str">
        <f aca="false">IF(C866=0,"",IF(A866="GL",IF(G866&gt;0,"Deposit in transit","Outstanding check / payment"),IF(G866&gt;0,"Bank credit not in GL","Bank debit not in GL")))</f>
        <v/>
      </c>
      <c r="I866" s="42" t="str">
        <f aca="false">IF(OR(C866=0,CFG_PeriodEnd=""),"",CFG_PeriodEnd-D866)</f>
        <v/>
      </c>
      <c r="J866" s="5" t="str">
        <f aca="false">IF(C866=0,"",IF($A866="Bank",IF(INDEX(Bank!$G:$G,$C866)="","",INDEX(Bank!$G:$G,$C866)),IF(INDEX(GL!$G:$G,$C866)="","",INDEX(GL!$G:$G,$C866))))</f>
        <v/>
      </c>
      <c r="K866" s="5" t="str">
        <f aca="false">IF(C866=0,"",IF($A866="Bank",IF(INDEX(Bank!$I:$I,$C866)="","",INDEX(Bank!$I:$I,$C866)),IF(INDEX(GL!$I:$I,$C866)="","",INDEX(GL!$I:$I,$C866))))</f>
        <v/>
      </c>
      <c r="L866" s="5" t="str">
        <f aca="false">IF(B866="","",IF(C866=0,"NOT FOUND",IF(IF($A866="Bank",INDEX(Bank!$F:$F,$C866),INDEX(GL!$F:$F,$C866))="Y","NOW RECONCILED: refresh","OK")))</f>
        <v/>
      </c>
    </row>
    <row r="867" customFormat="false" ht="15" hidden="false" customHeight="false" outlineLevel="0" collapsed="false">
      <c r="A867" s="41"/>
      <c r="B867" s="41"/>
      <c r="C867" s="5" t="n">
        <f aca="false">IF(B867="",0,IF(A867="Bank",IFERROR(MATCH(B867,Bank!$A:$A,0),0),IFERROR(MATCH(B867,GL!$A:$A,0),0)))</f>
        <v>0</v>
      </c>
      <c r="D867" s="32" t="str">
        <f aca="false">IF(C867=0,"",IF($A867="Bank",INDEX(Bank!$B:$B,$C867),INDEX(GL!$B:$B,$C867)))</f>
        <v/>
      </c>
      <c r="E867" s="5" t="str">
        <f aca="false">IF(C867=0,"",IF($A867="Bank",IF(INDEX(Bank!$C:$C,$C867)="","",INDEX(Bank!$C:$C,$C867)),IF(INDEX(GL!$C:$C,$C867)="","",INDEX(GL!$C:$C,$C867))))</f>
        <v/>
      </c>
      <c r="F867" s="5" t="str">
        <f aca="false">IF(C867=0,"",IF($A867="Bank",IF(INDEX(Bank!$D:$D,$C867)="","",INDEX(Bank!$D:$D,$C867)),IF(INDEX(GL!$D:$D,$C867)="","",INDEX(GL!$D:$D,$C867))))</f>
        <v/>
      </c>
      <c r="G867" s="19" t="str">
        <f aca="false">IF(C867=0,"",IF($A867="Bank",INDEX(Bank!$E:$E,$C867),INDEX(GL!$E:$E,$C867)))</f>
        <v/>
      </c>
      <c r="H867" s="5" t="str">
        <f aca="false">IF(C867=0,"",IF(A867="GL",IF(G867&gt;0,"Deposit in transit","Outstanding check / payment"),IF(G867&gt;0,"Bank credit not in GL","Bank debit not in GL")))</f>
        <v/>
      </c>
      <c r="I867" s="42" t="str">
        <f aca="false">IF(OR(C867=0,CFG_PeriodEnd=""),"",CFG_PeriodEnd-D867)</f>
        <v/>
      </c>
      <c r="J867" s="5" t="str">
        <f aca="false">IF(C867=0,"",IF($A867="Bank",IF(INDEX(Bank!$G:$G,$C867)="","",INDEX(Bank!$G:$G,$C867)),IF(INDEX(GL!$G:$G,$C867)="","",INDEX(GL!$G:$G,$C867))))</f>
        <v/>
      </c>
      <c r="K867" s="5" t="str">
        <f aca="false">IF(C867=0,"",IF($A867="Bank",IF(INDEX(Bank!$I:$I,$C867)="","",INDEX(Bank!$I:$I,$C867)),IF(INDEX(GL!$I:$I,$C867)="","",INDEX(GL!$I:$I,$C867))))</f>
        <v/>
      </c>
      <c r="L867" s="5" t="str">
        <f aca="false">IF(B867="","",IF(C867=0,"NOT FOUND",IF(IF($A867="Bank",INDEX(Bank!$F:$F,$C867),INDEX(GL!$F:$F,$C867))="Y","NOW RECONCILED: refresh","OK")))</f>
        <v/>
      </c>
    </row>
    <row r="868" customFormat="false" ht="15" hidden="false" customHeight="false" outlineLevel="0" collapsed="false">
      <c r="A868" s="41"/>
      <c r="B868" s="41"/>
      <c r="C868" s="5" t="n">
        <f aca="false">IF(B868="",0,IF(A868="Bank",IFERROR(MATCH(B868,Bank!$A:$A,0),0),IFERROR(MATCH(B868,GL!$A:$A,0),0)))</f>
        <v>0</v>
      </c>
      <c r="D868" s="32" t="str">
        <f aca="false">IF(C868=0,"",IF($A868="Bank",INDEX(Bank!$B:$B,$C868),INDEX(GL!$B:$B,$C868)))</f>
        <v/>
      </c>
      <c r="E868" s="5" t="str">
        <f aca="false">IF(C868=0,"",IF($A868="Bank",IF(INDEX(Bank!$C:$C,$C868)="","",INDEX(Bank!$C:$C,$C868)),IF(INDEX(GL!$C:$C,$C868)="","",INDEX(GL!$C:$C,$C868))))</f>
        <v/>
      </c>
      <c r="F868" s="5" t="str">
        <f aca="false">IF(C868=0,"",IF($A868="Bank",IF(INDEX(Bank!$D:$D,$C868)="","",INDEX(Bank!$D:$D,$C868)),IF(INDEX(GL!$D:$D,$C868)="","",INDEX(GL!$D:$D,$C868))))</f>
        <v/>
      </c>
      <c r="G868" s="19" t="str">
        <f aca="false">IF(C868=0,"",IF($A868="Bank",INDEX(Bank!$E:$E,$C868),INDEX(GL!$E:$E,$C868)))</f>
        <v/>
      </c>
      <c r="H868" s="5" t="str">
        <f aca="false">IF(C868=0,"",IF(A868="GL",IF(G868&gt;0,"Deposit in transit","Outstanding check / payment"),IF(G868&gt;0,"Bank credit not in GL","Bank debit not in GL")))</f>
        <v/>
      </c>
      <c r="I868" s="42" t="str">
        <f aca="false">IF(OR(C868=0,CFG_PeriodEnd=""),"",CFG_PeriodEnd-D868)</f>
        <v/>
      </c>
      <c r="J868" s="5" t="str">
        <f aca="false">IF(C868=0,"",IF($A868="Bank",IF(INDEX(Bank!$G:$G,$C868)="","",INDEX(Bank!$G:$G,$C868)),IF(INDEX(GL!$G:$G,$C868)="","",INDEX(GL!$G:$G,$C868))))</f>
        <v/>
      </c>
      <c r="K868" s="5" t="str">
        <f aca="false">IF(C868=0,"",IF($A868="Bank",IF(INDEX(Bank!$I:$I,$C868)="","",INDEX(Bank!$I:$I,$C868)),IF(INDEX(GL!$I:$I,$C868)="","",INDEX(GL!$I:$I,$C868))))</f>
        <v/>
      </c>
      <c r="L868" s="5" t="str">
        <f aca="false">IF(B868="","",IF(C868=0,"NOT FOUND",IF(IF($A868="Bank",INDEX(Bank!$F:$F,$C868),INDEX(GL!$F:$F,$C868))="Y","NOW RECONCILED: refresh","OK")))</f>
        <v/>
      </c>
    </row>
    <row r="869" customFormat="false" ht="15" hidden="false" customHeight="false" outlineLevel="0" collapsed="false">
      <c r="A869" s="41"/>
      <c r="B869" s="41"/>
      <c r="C869" s="5" t="n">
        <f aca="false">IF(B869="",0,IF(A869="Bank",IFERROR(MATCH(B869,Bank!$A:$A,0),0),IFERROR(MATCH(B869,GL!$A:$A,0),0)))</f>
        <v>0</v>
      </c>
      <c r="D869" s="32" t="str">
        <f aca="false">IF(C869=0,"",IF($A869="Bank",INDEX(Bank!$B:$B,$C869),INDEX(GL!$B:$B,$C869)))</f>
        <v/>
      </c>
      <c r="E869" s="5" t="str">
        <f aca="false">IF(C869=0,"",IF($A869="Bank",IF(INDEX(Bank!$C:$C,$C869)="","",INDEX(Bank!$C:$C,$C869)),IF(INDEX(GL!$C:$C,$C869)="","",INDEX(GL!$C:$C,$C869))))</f>
        <v/>
      </c>
      <c r="F869" s="5" t="str">
        <f aca="false">IF(C869=0,"",IF($A869="Bank",IF(INDEX(Bank!$D:$D,$C869)="","",INDEX(Bank!$D:$D,$C869)),IF(INDEX(GL!$D:$D,$C869)="","",INDEX(GL!$D:$D,$C869))))</f>
        <v/>
      </c>
      <c r="G869" s="19" t="str">
        <f aca="false">IF(C869=0,"",IF($A869="Bank",INDEX(Bank!$E:$E,$C869),INDEX(GL!$E:$E,$C869)))</f>
        <v/>
      </c>
      <c r="H869" s="5" t="str">
        <f aca="false">IF(C869=0,"",IF(A869="GL",IF(G869&gt;0,"Deposit in transit","Outstanding check / payment"),IF(G869&gt;0,"Bank credit not in GL","Bank debit not in GL")))</f>
        <v/>
      </c>
      <c r="I869" s="42" t="str">
        <f aca="false">IF(OR(C869=0,CFG_PeriodEnd=""),"",CFG_PeriodEnd-D869)</f>
        <v/>
      </c>
      <c r="J869" s="5" t="str">
        <f aca="false">IF(C869=0,"",IF($A869="Bank",IF(INDEX(Bank!$G:$G,$C869)="","",INDEX(Bank!$G:$G,$C869)),IF(INDEX(GL!$G:$G,$C869)="","",INDEX(GL!$G:$G,$C869))))</f>
        <v/>
      </c>
      <c r="K869" s="5" t="str">
        <f aca="false">IF(C869=0,"",IF($A869="Bank",IF(INDEX(Bank!$I:$I,$C869)="","",INDEX(Bank!$I:$I,$C869)),IF(INDEX(GL!$I:$I,$C869)="","",INDEX(GL!$I:$I,$C869))))</f>
        <v/>
      </c>
      <c r="L869" s="5" t="str">
        <f aca="false">IF(B869="","",IF(C869=0,"NOT FOUND",IF(IF($A869="Bank",INDEX(Bank!$F:$F,$C869),INDEX(GL!$F:$F,$C869))="Y","NOW RECONCILED: refresh","OK")))</f>
        <v/>
      </c>
    </row>
    <row r="870" customFormat="false" ht="15" hidden="false" customHeight="false" outlineLevel="0" collapsed="false">
      <c r="A870" s="41"/>
      <c r="B870" s="41"/>
      <c r="C870" s="5" t="n">
        <f aca="false">IF(B870="",0,IF(A870="Bank",IFERROR(MATCH(B870,Bank!$A:$A,0),0),IFERROR(MATCH(B870,GL!$A:$A,0),0)))</f>
        <v>0</v>
      </c>
      <c r="D870" s="32" t="str">
        <f aca="false">IF(C870=0,"",IF($A870="Bank",INDEX(Bank!$B:$B,$C870),INDEX(GL!$B:$B,$C870)))</f>
        <v/>
      </c>
      <c r="E870" s="5" t="str">
        <f aca="false">IF(C870=0,"",IF($A870="Bank",IF(INDEX(Bank!$C:$C,$C870)="","",INDEX(Bank!$C:$C,$C870)),IF(INDEX(GL!$C:$C,$C870)="","",INDEX(GL!$C:$C,$C870))))</f>
        <v/>
      </c>
      <c r="F870" s="5" t="str">
        <f aca="false">IF(C870=0,"",IF($A870="Bank",IF(INDEX(Bank!$D:$D,$C870)="","",INDEX(Bank!$D:$D,$C870)),IF(INDEX(GL!$D:$D,$C870)="","",INDEX(GL!$D:$D,$C870))))</f>
        <v/>
      </c>
      <c r="G870" s="19" t="str">
        <f aca="false">IF(C870=0,"",IF($A870="Bank",INDEX(Bank!$E:$E,$C870),INDEX(GL!$E:$E,$C870)))</f>
        <v/>
      </c>
      <c r="H870" s="5" t="str">
        <f aca="false">IF(C870=0,"",IF(A870="GL",IF(G870&gt;0,"Deposit in transit","Outstanding check / payment"),IF(G870&gt;0,"Bank credit not in GL","Bank debit not in GL")))</f>
        <v/>
      </c>
      <c r="I870" s="42" t="str">
        <f aca="false">IF(OR(C870=0,CFG_PeriodEnd=""),"",CFG_PeriodEnd-D870)</f>
        <v/>
      </c>
      <c r="J870" s="5" t="str">
        <f aca="false">IF(C870=0,"",IF($A870="Bank",IF(INDEX(Bank!$G:$G,$C870)="","",INDEX(Bank!$G:$G,$C870)),IF(INDEX(GL!$G:$G,$C870)="","",INDEX(GL!$G:$G,$C870))))</f>
        <v/>
      </c>
      <c r="K870" s="5" t="str">
        <f aca="false">IF(C870=0,"",IF($A870="Bank",IF(INDEX(Bank!$I:$I,$C870)="","",INDEX(Bank!$I:$I,$C870)),IF(INDEX(GL!$I:$I,$C870)="","",INDEX(GL!$I:$I,$C870))))</f>
        <v/>
      </c>
      <c r="L870" s="5" t="str">
        <f aca="false">IF(B870="","",IF(C870=0,"NOT FOUND",IF(IF($A870="Bank",INDEX(Bank!$F:$F,$C870),INDEX(GL!$F:$F,$C870))="Y","NOW RECONCILED: refresh","OK")))</f>
        <v/>
      </c>
    </row>
    <row r="871" customFormat="false" ht="15" hidden="false" customHeight="false" outlineLevel="0" collapsed="false">
      <c r="A871" s="41"/>
      <c r="B871" s="41"/>
      <c r="C871" s="5" t="n">
        <f aca="false">IF(B871="",0,IF(A871="Bank",IFERROR(MATCH(B871,Bank!$A:$A,0),0),IFERROR(MATCH(B871,GL!$A:$A,0),0)))</f>
        <v>0</v>
      </c>
      <c r="D871" s="32" t="str">
        <f aca="false">IF(C871=0,"",IF($A871="Bank",INDEX(Bank!$B:$B,$C871),INDEX(GL!$B:$B,$C871)))</f>
        <v/>
      </c>
      <c r="E871" s="5" t="str">
        <f aca="false">IF(C871=0,"",IF($A871="Bank",IF(INDEX(Bank!$C:$C,$C871)="","",INDEX(Bank!$C:$C,$C871)),IF(INDEX(GL!$C:$C,$C871)="","",INDEX(GL!$C:$C,$C871))))</f>
        <v/>
      </c>
      <c r="F871" s="5" t="str">
        <f aca="false">IF(C871=0,"",IF($A871="Bank",IF(INDEX(Bank!$D:$D,$C871)="","",INDEX(Bank!$D:$D,$C871)),IF(INDEX(GL!$D:$D,$C871)="","",INDEX(GL!$D:$D,$C871))))</f>
        <v/>
      </c>
      <c r="G871" s="19" t="str">
        <f aca="false">IF(C871=0,"",IF($A871="Bank",INDEX(Bank!$E:$E,$C871),INDEX(GL!$E:$E,$C871)))</f>
        <v/>
      </c>
      <c r="H871" s="5" t="str">
        <f aca="false">IF(C871=0,"",IF(A871="GL",IF(G871&gt;0,"Deposit in transit","Outstanding check / payment"),IF(G871&gt;0,"Bank credit not in GL","Bank debit not in GL")))</f>
        <v/>
      </c>
      <c r="I871" s="42" t="str">
        <f aca="false">IF(OR(C871=0,CFG_PeriodEnd=""),"",CFG_PeriodEnd-D871)</f>
        <v/>
      </c>
      <c r="J871" s="5" t="str">
        <f aca="false">IF(C871=0,"",IF($A871="Bank",IF(INDEX(Bank!$G:$G,$C871)="","",INDEX(Bank!$G:$G,$C871)),IF(INDEX(GL!$G:$G,$C871)="","",INDEX(GL!$G:$G,$C871))))</f>
        <v/>
      </c>
      <c r="K871" s="5" t="str">
        <f aca="false">IF(C871=0,"",IF($A871="Bank",IF(INDEX(Bank!$I:$I,$C871)="","",INDEX(Bank!$I:$I,$C871)),IF(INDEX(GL!$I:$I,$C871)="","",INDEX(GL!$I:$I,$C871))))</f>
        <v/>
      </c>
      <c r="L871" s="5" t="str">
        <f aca="false">IF(B871="","",IF(C871=0,"NOT FOUND",IF(IF($A871="Bank",INDEX(Bank!$F:$F,$C871),INDEX(GL!$F:$F,$C871))="Y","NOW RECONCILED: refresh","OK")))</f>
        <v/>
      </c>
    </row>
    <row r="872" customFormat="false" ht="15" hidden="false" customHeight="false" outlineLevel="0" collapsed="false">
      <c r="A872" s="41"/>
      <c r="B872" s="41"/>
      <c r="C872" s="5" t="n">
        <f aca="false">IF(B872="",0,IF(A872="Bank",IFERROR(MATCH(B872,Bank!$A:$A,0),0),IFERROR(MATCH(B872,GL!$A:$A,0),0)))</f>
        <v>0</v>
      </c>
      <c r="D872" s="32" t="str">
        <f aca="false">IF(C872=0,"",IF($A872="Bank",INDEX(Bank!$B:$B,$C872),INDEX(GL!$B:$B,$C872)))</f>
        <v/>
      </c>
      <c r="E872" s="5" t="str">
        <f aca="false">IF(C872=0,"",IF($A872="Bank",IF(INDEX(Bank!$C:$C,$C872)="","",INDEX(Bank!$C:$C,$C872)),IF(INDEX(GL!$C:$C,$C872)="","",INDEX(GL!$C:$C,$C872))))</f>
        <v/>
      </c>
      <c r="F872" s="5" t="str">
        <f aca="false">IF(C872=0,"",IF($A872="Bank",IF(INDEX(Bank!$D:$D,$C872)="","",INDEX(Bank!$D:$D,$C872)),IF(INDEX(GL!$D:$D,$C872)="","",INDEX(GL!$D:$D,$C872))))</f>
        <v/>
      </c>
      <c r="G872" s="19" t="str">
        <f aca="false">IF(C872=0,"",IF($A872="Bank",INDEX(Bank!$E:$E,$C872),INDEX(GL!$E:$E,$C872)))</f>
        <v/>
      </c>
      <c r="H872" s="5" t="str">
        <f aca="false">IF(C872=0,"",IF(A872="GL",IF(G872&gt;0,"Deposit in transit","Outstanding check / payment"),IF(G872&gt;0,"Bank credit not in GL","Bank debit not in GL")))</f>
        <v/>
      </c>
      <c r="I872" s="42" t="str">
        <f aca="false">IF(OR(C872=0,CFG_PeriodEnd=""),"",CFG_PeriodEnd-D872)</f>
        <v/>
      </c>
      <c r="J872" s="5" t="str">
        <f aca="false">IF(C872=0,"",IF($A872="Bank",IF(INDEX(Bank!$G:$G,$C872)="","",INDEX(Bank!$G:$G,$C872)),IF(INDEX(GL!$G:$G,$C872)="","",INDEX(GL!$G:$G,$C872))))</f>
        <v/>
      </c>
      <c r="K872" s="5" t="str">
        <f aca="false">IF(C872=0,"",IF($A872="Bank",IF(INDEX(Bank!$I:$I,$C872)="","",INDEX(Bank!$I:$I,$C872)),IF(INDEX(GL!$I:$I,$C872)="","",INDEX(GL!$I:$I,$C872))))</f>
        <v/>
      </c>
      <c r="L872" s="5" t="str">
        <f aca="false">IF(B872="","",IF(C872=0,"NOT FOUND",IF(IF($A872="Bank",INDEX(Bank!$F:$F,$C872),INDEX(GL!$F:$F,$C872))="Y","NOW RECONCILED: refresh","OK")))</f>
        <v/>
      </c>
    </row>
    <row r="873" customFormat="false" ht="15" hidden="false" customHeight="false" outlineLevel="0" collapsed="false">
      <c r="A873" s="41"/>
      <c r="B873" s="41"/>
      <c r="C873" s="5" t="n">
        <f aca="false">IF(B873="",0,IF(A873="Bank",IFERROR(MATCH(B873,Bank!$A:$A,0),0),IFERROR(MATCH(B873,GL!$A:$A,0),0)))</f>
        <v>0</v>
      </c>
      <c r="D873" s="32" t="str">
        <f aca="false">IF(C873=0,"",IF($A873="Bank",INDEX(Bank!$B:$B,$C873),INDEX(GL!$B:$B,$C873)))</f>
        <v/>
      </c>
      <c r="E873" s="5" t="str">
        <f aca="false">IF(C873=0,"",IF($A873="Bank",IF(INDEX(Bank!$C:$C,$C873)="","",INDEX(Bank!$C:$C,$C873)),IF(INDEX(GL!$C:$C,$C873)="","",INDEX(GL!$C:$C,$C873))))</f>
        <v/>
      </c>
      <c r="F873" s="5" t="str">
        <f aca="false">IF(C873=0,"",IF($A873="Bank",IF(INDEX(Bank!$D:$D,$C873)="","",INDEX(Bank!$D:$D,$C873)),IF(INDEX(GL!$D:$D,$C873)="","",INDEX(GL!$D:$D,$C873))))</f>
        <v/>
      </c>
      <c r="G873" s="19" t="str">
        <f aca="false">IF(C873=0,"",IF($A873="Bank",INDEX(Bank!$E:$E,$C873),INDEX(GL!$E:$E,$C873)))</f>
        <v/>
      </c>
      <c r="H873" s="5" t="str">
        <f aca="false">IF(C873=0,"",IF(A873="GL",IF(G873&gt;0,"Deposit in transit","Outstanding check / payment"),IF(G873&gt;0,"Bank credit not in GL","Bank debit not in GL")))</f>
        <v/>
      </c>
      <c r="I873" s="42" t="str">
        <f aca="false">IF(OR(C873=0,CFG_PeriodEnd=""),"",CFG_PeriodEnd-D873)</f>
        <v/>
      </c>
      <c r="J873" s="5" t="str">
        <f aca="false">IF(C873=0,"",IF($A873="Bank",IF(INDEX(Bank!$G:$G,$C873)="","",INDEX(Bank!$G:$G,$C873)),IF(INDEX(GL!$G:$G,$C873)="","",INDEX(GL!$G:$G,$C873))))</f>
        <v/>
      </c>
      <c r="K873" s="5" t="str">
        <f aca="false">IF(C873=0,"",IF($A873="Bank",IF(INDEX(Bank!$I:$I,$C873)="","",INDEX(Bank!$I:$I,$C873)),IF(INDEX(GL!$I:$I,$C873)="","",INDEX(GL!$I:$I,$C873))))</f>
        <v/>
      </c>
      <c r="L873" s="5" t="str">
        <f aca="false">IF(B873="","",IF(C873=0,"NOT FOUND",IF(IF($A873="Bank",INDEX(Bank!$F:$F,$C873),INDEX(GL!$F:$F,$C873))="Y","NOW RECONCILED: refresh","OK")))</f>
        <v/>
      </c>
    </row>
    <row r="874" customFormat="false" ht="15" hidden="false" customHeight="false" outlineLevel="0" collapsed="false">
      <c r="A874" s="41"/>
      <c r="B874" s="41"/>
      <c r="C874" s="5" t="n">
        <f aca="false">IF(B874="",0,IF(A874="Bank",IFERROR(MATCH(B874,Bank!$A:$A,0),0),IFERROR(MATCH(B874,GL!$A:$A,0),0)))</f>
        <v>0</v>
      </c>
      <c r="D874" s="32" t="str">
        <f aca="false">IF(C874=0,"",IF($A874="Bank",INDEX(Bank!$B:$B,$C874),INDEX(GL!$B:$B,$C874)))</f>
        <v/>
      </c>
      <c r="E874" s="5" t="str">
        <f aca="false">IF(C874=0,"",IF($A874="Bank",IF(INDEX(Bank!$C:$C,$C874)="","",INDEX(Bank!$C:$C,$C874)),IF(INDEX(GL!$C:$C,$C874)="","",INDEX(GL!$C:$C,$C874))))</f>
        <v/>
      </c>
      <c r="F874" s="5" t="str">
        <f aca="false">IF(C874=0,"",IF($A874="Bank",IF(INDEX(Bank!$D:$D,$C874)="","",INDEX(Bank!$D:$D,$C874)),IF(INDEX(GL!$D:$D,$C874)="","",INDEX(GL!$D:$D,$C874))))</f>
        <v/>
      </c>
      <c r="G874" s="19" t="str">
        <f aca="false">IF(C874=0,"",IF($A874="Bank",INDEX(Bank!$E:$E,$C874),INDEX(GL!$E:$E,$C874)))</f>
        <v/>
      </c>
      <c r="H874" s="5" t="str">
        <f aca="false">IF(C874=0,"",IF(A874="GL",IF(G874&gt;0,"Deposit in transit","Outstanding check / payment"),IF(G874&gt;0,"Bank credit not in GL","Bank debit not in GL")))</f>
        <v/>
      </c>
      <c r="I874" s="42" t="str">
        <f aca="false">IF(OR(C874=0,CFG_PeriodEnd=""),"",CFG_PeriodEnd-D874)</f>
        <v/>
      </c>
      <c r="J874" s="5" t="str">
        <f aca="false">IF(C874=0,"",IF($A874="Bank",IF(INDEX(Bank!$G:$G,$C874)="","",INDEX(Bank!$G:$G,$C874)),IF(INDEX(GL!$G:$G,$C874)="","",INDEX(GL!$G:$G,$C874))))</f>
        <v/>
      </c>
      <c r="K874" s="5" t="str">
        <f aca="false">IF(C874=0,"",IF($A874="Bank",IF(INDEX(Bank!$I:$I,$C874)="","",INDEX(Bank!$I:$I,$C874)),IF(INDEX(GL!$I:$I,$C874)="","",INDEX(GL!$I:$I,$C874))))</f>
        <v/>
      </c>
      <c r="L874" s="5" t="str">
        <f aca="false">IF(B874="","",IF(C874=0,"NOT FOUND",IF(IF($A874="Bank",INDEX(Bank!$F:$F,$C874),INDEX(GL!$F:$F,$C874))="Y","NOW RECONCILED: refresh","OK")))</f>
        <v/>
      </c>
    </row>
    <row r="875" customFormat="false" ht="15" hidden="false" customHeight="false" outlineLevel="0" collapsed="false">
      <c r="A875" s="41"/>
      <c r="B875" s="41"/>
      <c r="C875" s="5" t="n">
        <f aca="false">IF(B875="",0,IF(A875="Bank",IFERROR(MATCH(B875,Bank!$A:$A,0),0),IFERROR(MATCH(B875,GL!$A:$A,0),0)))</f>
        <v>0</v>
      </c>
      <c r="D875" s="32" t="str">
        <f aca="false">IF(C875=0,"",IF($A875="Bank",INDEX(Bank!$B:$B,$C875),INDEX(GL!$B:$B,$C875)))</f>
        <v/>
      </c>
      <c r="E875" s="5" t="str">
        <f aca="false">IF(C875=0,"",IF($A875="Bank",IF(INDEX(Bank!$C:$C,$C875)="","",INDEX(Bank!$C:$C,$C875)),IF(INDEX(GL!$C:$C,$C875)="","",INDEX(GL!$C:$C,$C875))))</f>
        <v/>
      </c>
      <c r="F875" s="5" t="str">
        <f aca="false">IF(C875=0,"",IF($A875="Bank",IF(INDEX(Bank!$D:$D,$C875)="","",INDEX(Bank!$D:$D,$C875)),IF(INDEX(GL!$D:$D,$C875)="","",INDEX(GL!$D:$D,$C875))))</f>
        <v/>
      </c>
      <c r="G875" s="19" t="str">
        <f aca="false">IF(C875=0,"",IF($A875="Bank",INDEX(Bank!$E:$E,$C875),INDEX(GL!$E:$E,$C875)))</f>
        <v/>
      </c>
      <c r="H875" s="5" t="str">
        <f aca="false">IF(C875=0,"",IF(A875="GL",IF(G875&gt;0,"Deposit in transit","Outstanding check / payment"),IF(G875&gt;0,"Bank credit not in GL","Bank debit not in GL")))</f>
        <v/>
      </c>
      <c r="I875" s="42" t="str">
        <f aca="false">IF(OR(C875=0,CFG_PeriodEnd=""),"",CFG_PeriodEnd-D875)</f>
        <v/>
      </c>
      <c r="J875" s="5" t="str">
        <f aca="false">IF(C875=0,"",IF($A875="Bank",IF(INDEX(Bank!$G:$G,$C875)="","",INDEX(Bank!$G:$G,$C875)),IF(INDEX(GL!$G:$G,$C875)="","",INDEX(GL!$G:$G,$C875))))</f>
        <v/>
      </c>
      <c r="K875" s="5" t="str">
        <f aca="false">IF(C875=0,"",IF($A875="Bank",IF(INDEX(Bank!$I:$I,$C875)="","",INDEX(Bank!$I:$I,$C875)),IF(INDEX(GL!$I:$I,$C875)="","",INDEX(GL!$I:$I,$C875))))</f>
        <v/>
      </c>
      <c r="L875" s="5" t="str">
        <f aca="false">IF(B875="","",IF(C875=0,"NOT FOUND",IF(IF($A875="Bank",INDEX(Bank!$F:$F,$C875),INDEX(GL!$F:$F,$C875))="Y","NOW RECONCILED: refresh","OK")))</f>
        <v/>
      </c>
    </row>
    <row r="876" customFormat="false" ht="15" hidden="false" customHeight="false" outlineLevel="0" collapsed="false">
      <c r="A876" s="41"/>
      <c r="B876" s="41"/>
      <c r="C876" s="5" t="n">
        <f aca="false">IF(B876="",0,IF(A876="Bank",IFERROR(MATCH(B876,Bank!$A:$A,0),0),IFERROR(MATCH(B876,GL!$A:$A,0),0)))</f>
        <v>0</v>
      </c>
      <c r="D876" s="32" t="str">
        <f aca="false">IF(C876=0,"",IF($A876="Bank",INDEX(Bank!$B:$B,$C876),INDEX(GL!$B:$B,$C876)))</f>
        <v/>
      </c>
      <c r="E876" s="5" t="str">
        <f aca="false">IF(C876=0,"",IF($A876="Bank",IF(INDEX(Bank!$C:$C,$C876)="","",INDEX(Bank!$C:$C,$C876)),IF(INDEX(GL!$C:$C,$C876)="","",INDEX(GL!$C:$C,$C876))))</f>
        <v/>
      </c>
      <c r="F876" s="5" t="str">
        <f aca="false">IF(C876=0,"",IF($A876="Bank",IF(INDEX(Bank!$D:$D,$C876)="","",INDEX(Bank!$D:$D,$C876)),IF(INDEX(GL!$D:$D,$C876)="","",INDEX(GL!$D:$D,$C876))))</f>
        <v/>
      </c>
      <c r="G876" s="19" t="str">
        <f aca="false">IF(C876=0,"",IF($A876="Bank",INDEX(Bank!$E:$E,$C876),INDEX(GL!$E:$E,$C876)))</f>
        <v/>
      </c>
      <c r="H876" s="5" t="str">
        <f aca="false">IF(C876=0,"",IF(A876="GL",IF(G876&gt;0,"Deposit in transit","Outstanding check / payment"),IF(G876&gt;0,"Bank credit not in GL","Bank debit not in GL")))</f>
        <v/>
      </c>
      <c r="I876" s="42" t="str">
        <f aca="false">IF(OR(C876=0,CFG_PeriodEnd=""),"",CFG_PeriodEnd-D876)</f>
        <v/>
      </c>
      <c r="J876" s="5" t="str">
        <f aca="false">IF(C876=0,"",IF($A876="Bank",IF(INDEX(Bank!$G:$G,$C876)="","",INDEX(Bank!$G:$G,$C876)),IF(INDEX(GL!$G:$G,$C876)="","",INDEX(GL!$G:$G,$C876))))</f>
        <v/>
      </c>
      <c r="K876" s="5" t="str">
        <f aca="false">IF(C876=0,"",IF($A876="Bank",IF(INDEX(Bank!$I:$I,$C876)="","",INDEX(Bank!$I:$I,$C876)),IF(INDEX(GL!$I:$I,$C876)="","",INDEX(GL!$I:$I,$C876))))</f>
        <v/>
      </c>
      <c r="L876" s="5" t="str">
        <f aca="false">IF(B876="","",IF(C876=0,"NOT FOUND",IF(IF($A876="Bank",INDEX(Bank!$F:$F,$C876),INDEX(GL!$F:$F,$C876))="Y","NOW RECONCILED: refresh","OK")))</f>
        <v/>
      </c>
    </row>
    <row r="877" customFormat="false" ht="15" hidden="false" customHeight="false" outlineLevel="0" collapsed="false">
      <c r="A877" s="41"/>
      <c r="B877" s="41"/>
      <c r="C877" s="5" t="n">
        <f aca="false">IF(B877="",0,IF(A877="Bank",IFERROR(MATCH(B877,Bank!$A:$A,0),0),IFERROR(MATCH(B877,GL!$A:$A,0),0)))</f>
        <v>0</v>
      </c>
      <c r="D877" s="32" t="str">
        <f aca="false">IF(C877=0,"",IF($A877="Bank",INDEX(Bank!$B:$B,$C877),INDEX(GL!$B:$B,$C877)))</f>
        <v/>
      </c>
      <c r="E877" s="5" t="str">
        <f aca="false">IF(C877=0,"",IF($A877="Bank",IF(INDEX(Bank!$C:$C,$C877)="","",INDEX(Bank!$C:$C,$C877)),IF(INDEX(GL!$C:$C,$C877)="","",INDEX(GL!$C:$C,$C877))))</f>
        <v/>
      </c>
      <c r="F877" s="5" t="str">
        <f aca="false">IF(C877=0,"",IF($A877="Bank",IF(INDEX(Bank!$D:$D,$C877)="","",INDEX(Bank!$D:$D,$C877)),IF(INDEX(GL!$D:$D,$C877)="","",INDEX(GL!$D:$D,$C877))))</f>
        <v/>
      </c>
      <c r="G877" s="19" t="str">
        <f aca="false">IF(C877=0,"",IF($A877="Bank",INDEX(Bank!$E:$E,$C877),INDEX(GL!$E:$E,$C877)))</f>
        <v/>
      </c>
      <c r="H877" s="5" t="str">
        <f aca="false">IF(C877=0,"",IF(A877="GL",IF(G877&gt;0,"Deposit in transit","Outstanding check / payment"),IF(G877&gt;0,"Bank credit not in GL","Bank debit not in GL")))</f>
        <v/>
      </c>
      <c r="I877" s="42" t="str">
        <f aca="false">IF(OR(C877=0,CFG_PeriodEnd=""),"",CFG_PeriodEnd-D877)</f>
        <v/>
      </c>
      <c r="J877" s="5" t="str">
        <f aca="false">IF(C877=0,"",IF($A877="Bank",IF(INDEX(Bank!$G:$G,$C877)="","",INDEX(Bank!$G:$G,$C877)),IF(INDEX(GL!$G:$G,$C877)="","",INDEX(GL!$G:$G,$C877))))</f>
        <v/>
      </c>
      <c r="K877" s="5" t="str">
        <f aca="false">IF(C877=0,"",IF($A877="Bank",IF(INDEX(Bank!$I:$I,$C877)="","",INDEX(Bank!$I:$I,$C877)),IF(INDEX(GL!$I:$I,$C877)="","",INDEX(GL!$I:$I,$C877))))</f>
        <v/>
      </c>
      <c r="L877" s="5" t="str">
        <f aca="false">IF(B877="","",IF(C877=0,"NOT FOUND",IF(IF($A877="Bank",INDEX(Bank!$F:$F,$C877),INDEX(GL!$F:$F,$C877))="Y","NOW RECONCILED: refresh","OK")))</f>
        <v/>
      </c>
    </row>
    <row r="878" customFormat="false" ht="15" hidden="false" customHeight="false" outlineLevel="0" collapsed="false">
      <c r="A878" s="41"/>
      <c r="B878" s="41"/>
      <c r="C878" s="5" t="n">
        <f aca="false">IF(B878="",0,IF(A878="Bank",IFERROR(MATCH(B878,Bank!$A:$A,0),0),IFERROR(MATCH(B878,GL!$A:$A,0),0)))</f>
        <v>0</v>
      </c>
      <c r="D878" s="32" t="str">
        <f aca="false">IF(C878=0,"",IF($A878="Bank",INDEX(Bank!$B:$B,$C878),INDEX(GL!$B:$B,$C878)))</f>
        <v/>
      </c>
      <c r="E878" s="5" t="str">
        <f aca="false">IF(C878=0,"",IF($A878="Bank",IF(INDEX(Bank!$C:$C,$C878)="","",INDEX(Bank!$C:$C,$C878)),IF(INDEX(GL!$C:$C,$C878)="","",INDEX(GL!$C:$C,$C878))))</f>
        <v/>
      </c>
      <c r="F878" s="5" t="str">
        <f aca="false">IF(C878=0,"",IF($A878="Bank",IF(INDEX(Bank!$D:$D,$C878)="","",INDEX(Bank!$D:$D,$C878)),IF(INDEX(GL!$D:$D,$C878)="","",INDEX(GL!$D:$D,$C878))))</f>
        <v/>
      </c>
      <c r="G878" s="19" t="str">
        <f aca="false">IF(C878=0,"",IF($A878="Bank",INDEX(Bank!$E:$E,$C878),INDEX(GL!$E:$E,$C878)))</f>
        <v/>
      </c>
      <c r="H878" s="5" t="str">
        <f aca="false">IF(C878=0,"",IF(A878="GL",IF(G878&gt;0,"Deposit in transit","Outstanding check / payment"),IF(G878&gt;0,"Bank credit not in GL","Bank debit not in GL")))</f>
        <v/>
      </c>
      <c r="I878" s="42" t="str">
        <f aca="false">IF(OR(C878=0,CFG_PeriodEnd=""),"",CFG_PeriodEnd-D878)</f>
        <v/>
      </c>
      <c r="J878" s="5" t="str">
        <f aca="false">IF(C878=0,"",IF($A878="Bank",IF(INDEX(Bank!$G:$G,$C878)="","",INDEX(Bank!$G:$G,$C878)),IF(INDEX(GL!$G:$G,$C878)="","",INDEX(GL!$G:$G,$C878))))</f>
        <v/>
      </c>
      <c r="K878" s="5" t="str">
        <f aca="false">IF(C878=0,"",IF($A878="Bank",IF(INDEX(Bank!$I:$I,$C878)="","",INDEX(Bank!$I:$I,$C878)),IF(INDEX(GL!$I:$I,$C878)="","",INDEX(GL!$I:$I,$C878))))</f>
        <v/>
      </c>
      <c r="L878" s="5" t="str">
        <f aca="false">IF(B878="","",IF(C878=0,"NOT FOUND",IF(IF($A878="Bank",INDEX(Bank!$F:$F,$C878),INDEX(GL!$F:$F,$C878))="Y","NOW RECONCILED: refresh","OK")))</f>
        <v/>
      </c>
    </row>
    <row r="879" customFormat="false" ht="15" hidden="false" customHeight="false" outlineLevel="0" collapsed="false">
      <c r="A879" s="41"/>
      <c r="B879" s="41"/>
      <c r="C879" s="5" t="n">
        <f aca="false">IF(B879="",0,IF(A879="Bank",IFERROR(MATCH(B879,Bank!$A:$A,0),0),IFERROR(MATCH(B879,GL!$A:$A,0),0)))</f>
        <v>0</v>
      </c>
      <c r="D879" s="32" t="str">
        <f aca="false">IF(C879=0,"",IF($A879="Bank",INDEX(Bank!$B:$B,$C879),INDEX(GL!$B:$B,$C879)))</f>
        <v/>
      </c>
      <c r="E879" s="5" t="str">
        <f aca="false">IF(C879=0,"",IF($A879="Bank",IF(INDEX(Bank!$C:$C,$C879)="","",INDEX(Bank!$C:$C,$C879)),IF(INDEX(GL!$C:$C,$C879)="","",INDEX(GL!$C:$C,$C879))))</f>
        <v/>
      </c>
      <c r="F879" s="5" t="str">
        <f aca="false">IF(C879=0,"",IF($A879="Bank",IF(INDEX(Bank!$D:$D,$C879)="","",INDEX(Bank!$D:$D,$C879)),IF(INDEX(GL!$D:$D,$C879)="","",INDEX(GL!$D:$D,$C879))))</f>
        <v/>
      </c>
      <c r="G879" s="19" t="str">
        <f aca="false">IF(C879=0,"",IF($A879="Bank",INDEX(Bank!$E:$E,$C879),INDEX(GL!$E:$E,$C879)))</f>
        <v/>
      </c>
      <c r="H879" s="5" t="str">
        <f aca="false">IF(C879=0,"",IF(A879="GL",IF(G879&gt;0,"Deposit in transit","Outstanding check / payment"),IF(G879&gt;0,"Bank credit not in GL","Bank debit not in GL")))</f>
        <v/>
      </c>
      <c r="I879" s="42" t="str">
        <f aca="false">IF(OR(C879=0,CFG_PeriodEnd=""),"",CFG_PeriodEnd-D879)</f>
        <v/>
      </c>
      <c r="J879" s="5" t="str">
        <f aca="false">IF(C879=0,"",IF($A879="Bank",IF(INDEX(Bank!$G:$G,$C879)="","",INDEX(Bank!$G:$G,$C879)),IF(INDEX(GL!$G:$G,$C879)="","",INDEX(GL!$G:$G,$C879))))</f>
        <v/>
      </c>
      <c r="K879" s="5" t="str">
        <f aca="false">IF(C879=0,"",IF($A879="Bank",IF(INDEX(Bank!$I:$I,$C879)="","",INDEX(Bank!$I:$I,$C879)),IF(INDEX(GL!$I:$I,$C879)="","",INDEX(GL!$I:$I,$C879))))</f>
        <v/>
      </c>
      <c r="L879" s="5" t="str">
        <f aca="false">IF(B879="","",IF(C879=0,"NOT FOUND",IF(IF($A879="Bank",INDEX(Bank!$F:$F,$C879),INDEX(GL!$F:$F,$C879))="Y","NOW RECONCILED: refresh","OK")))</f>
        <v/>
      </c>
    </row>
    <row r="880" customFormat="false" ht="15" hidden="false" customHeight="false" outlineLevel="0" collapsed="false">
      <c r="A880" s="41"/>
      <c r="B880" s="41"/>
      <c r="C880" s="5" t="n">
        <f aca="false">IF(B880="",0,IF(A880="Bank",IFERROR(MATCH(B880,Bank!$A:$A,0),0),IFERROR(MATCH(B880,GL!$A:$A,0),0)))</f>
        <v>0</v>
      </c>
      <c r="D880" s="32" t="str">
        <f aca="false">IF(C880=0,"",IF($A880="Bank",INDEX(Bank!$B:$B,$C880),INDEX(GL!$B:$B,$C880)))</f>
        <v/>
      </c>
      <c r="E880" s="5" t="str">
        <f aca="false">IF(C880=0,"",IF($A880="Bank",IF(INDEX(Bank!$C:$C,$C880)="","",INDEX(Bank!$C:$C,$C880)),IF(INDEX(GL!$C:$C,$C880)="","",INDEX(GL!$C:$C,$C880))))</f>
        <v/>
      </c>
      <c r="F880" s="5" t="str">
        <f aca="false">IF(C880=0,"",IF($A880="Bank",IF(INDEX(Bank!$D:$D,$C880)="","",INDEX(Bank!$D:$D,$C880)),IF(INDEX(GL!$D:$D,$C880)="","",INDEX(GL!$D:$D,$C880))))</f>
        <v/>
      </c>
      <c r="G880" s="19" t="str">
        <f aca="false">IF(C880=0,"",IF($A880="Bank",INDEX(Bank!$E:$E,$C880),INDEX(GL!$E:$E,$C880)))</f>
        <v/>
      </c>
      <c r="H880" s="5" t="str">
        <f aca="false">IF(C880=0,"",IF(A880="GL",IF(G880&gt;0,"Deposit in transit","Outstanding check / payment"),IF(G880&gt;0,"Bank credit not in GL","Bank debit not in GL")))</f>
        <v/>
      </c>
      <c r="I880" s="42" t="str">
        <f aca="false">IF(OR(C880=0,CFG_PeriodEnd=""),"",CFG_PeriodEnd-D880)</f>
        <v/>
      </c>
      <c r="J880" s="5" t="str">
        <f aca="false">IF(C880=0,"",IF($A880="Bank",IF(INDEX(Bank!$G:$G,$C880)="","",INDEX(Bank!$G:$G,$C880)),IF(INDEX(GL!$G:$G,$C880)="","",INDEX(GL!$G:$G,$C880))))</f>
        <v/>
      </c>
      <c r="K880" s="5" t="str">
        <f aca="false">IF(C880=0,"",IF($A880="Bank",IF(INDEX(Bank!$I:$I,$C880)="","",INDEX(Bank!$I:$I,$C880)),IF(INDEX(GL!$I:$I,$C880)="","",INDEX(GL!$I:$I,$C880))))</f>
        <v/>
      </c>
      <c r="L880" s="5" t="str">
        <f aca="false">IF(B880="","",IF(C880=0,"NOT FOUND",IF(IF($A880="Bank",INDEX(Bank!$F:$F,$C880),INDEX(GL!$F:$F,$C880))="Y","NOW RECONCILED: refresh","OK")))</f>
        <v/>
      </c>
    </row>
    <row r="881" customFormat="false" ht="15" hidden="false" customHeight="false" outlineLevel="0" collapsed="false">
      <c r="A881" s="41"/>
      <c r="B881" s="41"/>
      <c r="C881" s="5" t="n">
        <f aca="false">IF(B881="",0,IF(A881="Bank",IFERROR(MATCH(B881,Bank!$A:$A,0),0),IFERROR(MATCH(B881,GL!$A:$A,0),0)))</f>
        <v>0</v>
      </c>
      <c r="D881" s="32" t="str">
        <f aca="false">IF(C881=0,"",IF($A881="Bank",INDEX(Bank!$B:$B,$C881),INDEX(GL!$B:$B,$C881)))</f>
        <v/>
      </c>
      <c r="E881" s="5" t="str">
        <f aca="false">IF(C881=0,"",IF($A881="Bank",IF(INDEX(Bank!$C:$C,$C881)="","",INDEX(Bank!$C:$C,$C881)),IF(INDEX(GL!$C:$C,$C881)="","",INDEX(GL!$C:$C,$C881))))</f>
        <v/>
      </c>
      <c r="F881" s="5" t="str">
        <f aca="false">IF(C881=0,"",IF($A881="Bank",IF(INDEX(Bank!$D:$D,$C881)="","",INDEX(Bank!$D:$D,$C881)),IF(INDEX(GL!$D:$D,$C881)="","",INDEX(GL!$D:$D,$C881))))</f>
        <v/>
      </c>
      <c r="G881" s="19" t="str">
        <f aca="false">IF(C881=0,"",IF($A881="Bank",INDEX(Bank!$E:$E,$C881),INDEX(GL!$E:$E,$C881)))</f>
        <v/>
      </c>
      <c r="H881" s="5" t="str">
        <f aca="false">IF(C881=0,"",IF(A881="GL",IF(G881&gt;0,"Deposit in transit","Outstanding check / payment"),IF(G881&gt;0,"Bank credit not in GL","Bank debit not in GL")))</f>
        <v/>
      </c>
      <c r="I881" s="42" t="str">
        <f aca="false">IF(OR(C881=0,CFG_PeriodEnd=""),"",CFG_PeriodEnd-D881)</f>
        <v/>
      </c>
      <c r="J881" s="5" t="str">
        <f aca="false">IF(C881=0,"",IF($A881="Bank",IF(INDEX(Bank!$G:$G,$C881)="","",INDEX(Bank!$G:$G,$C881)),IF(INDEX(GL!$G:$G,$C881)="","",INDEX(GL!$G:$G,$C881))))</f>
        <v/>
      </c>
      <c r="K881" s="5" t="str">
        <f aca="false">IF(C881=0,"",IF($A881="Bank",IF(INDEX(Bank!$I:$I,$C881)="","",INDEX(Bank!$I:$I,$C881)),IF(INDEX(GL!$I:$I,$C881)="","",INDEX(GL!$I:$I,$C881))))</f>
        <v/>
      </c>
      <c r="L881" s="5" t="str">
        <f aca="false">IF(B881="","",IF(C881=0,"NOT FOUND",IF(IF($A881="Bank",INDEX(Bank!$F:$F,$C881),INDEX(GL!$F:$F,$C881))="Y","NOW RECONCILED: refresh","OK")))</f>
        <v/>
      </c>
    </row>
    <row r="882" customFormat="false" ht="15" hidden="false" customHeight="false" outlineLevel="0" collapsed="false">
      <c r="A882" s="41"/>
      <c r="B882" s="41"/>
      <c r="C882" s="5" t="n">
        <f aca="false">IF(B882="",0,IF(A882="Bank",IFERROR(MATCH(B882,Bank!$A:$A,0),0),IFERROR(MATCH(B882,GL!$A:$A,0),0)))</f>
        <v>0</v>
      </c>
      <c r="D882" s="32" t="str">
        <f aca="false">IF(C882=0,"",IF($A882="Bank",INDEX(Bank!$B:$B,$C882),INDEX(GL!$B:$B,$C882)))</f>
        <v/>
      </c>
      <c r="E882" s="5" t="str">
        <f aca="false">IF(C882=0,"",IF($A882="Bank",IF(INDEX(Bank!$C:$C,$C882)="","",INDEX(Bank!$C:$C,$C882)),IF(INDEX(GL!$C:$C,$C882)="","",INDEX(GL!$C:$C,$C882))))</f>
        <v/>
      </c>
      <c r="F882" s="5" t="str">
        <f aca="false">IF(C882=0,"",IF($A882="Bank",IF(INDEX(Bank!$D:$D,$C882)="","",INDEX(Bank!$D:$D,$C882)),IF(INDEX(GL!$D:$D,$C882)="","",INDEX(GL!$D:$D,$C882))))</f>
        <v/>
      </c>
      <c r="G882" s="19" t="str">
        <f aca="false">IF(C882=0,"",IF($A882="Bank",INDEX(Bank!$E:$E,$C882),INDEX(GL!$E:$E,$C882)))</f>
        <v/>
      </c>
      <c r="H882" s="5" t="str">
        <f aca="false">IF(C882=0,"",IF(A882="GL",IF(G882&gt;0,"Deposit in transit","Outstanding check / payment"),IF(G882&gt;0,"Bank credit not in GL","Bank debit not in GL")))</f>
        <v/>
      </c>
      <c r="I882" s="42" t="str">
        <f aca="false">IF(OR(C882=0,CFG_PeriodEnd=""),"",CFG_PeriodEnd-D882)</f>
        <v/>
      </c>
      <c r="J882" s="5" t="str">
        <f aca="false">IF(C882=0,"",IF($A882="Bank",IF(INDEX(Bank!$G:$G,$C882)="","",INDEX(Bank!$G:$G,$C882)),IF(INDEX(GL!$G:$G,$C882)="","",INDEX(GL!$G:$G,$C882))))</f>
        <v/>
      </c>
      <c r="K882" s="5" t="str">
        <f aca="false">IF(C882=0,"",IF($A882="Bank",IF(INDEX(Bank!$I:$I,$C882)="","",INDEX(Bank!$I:$I,$C882)),IF(INDEX(GL!$I:$I,$C882)="","",INDEX(GL!$I:$I,$C882))))</f>
        <v/>
      </c>
      <c r="L882" s="5" t="str">
        <f aca="false">IF(B882="","",IF(C882=0,"NOT FOUND",IF(IF($A882="Bank",INDEX(Bank!$F:$F,$C882),INDEX(GL!$F:$F,$C882))="Y","NOW RECONCILED: refresh","OK")))</f>
        <v/>
      </c>
    </row>
    <row r="883" customFormat="false" ht="15" hidden="false" customHeight="false" outlineLevel="0" collapsed="false">
      <c r="A883" s="41"/>
      <c r="B883" s="41"/>
      <c r="C883" s="5" t="n">
        <f aca="false">IF(B883="",0,IF(A883="Bank",IFERROR(MATCH(B883,Bank!$A:$A,0),0),IFERROR(MATCH(B883,GL!$A:$A,0),0)))</f>
        <v>0</v>
      </c>
      <c r="D883" s="32" t="str">
        <f aca="false">IF(C883=0,"",IF($A883="Bank",INDEX(Bank!$B:$B,$C883),INDEX(GL!$B:$B,$C883)))</f>
        <v/>
      </c>
      <c r="E883" s="5" t="str">
        <f aca="false">IF(C883=0,"",IF($A883="Bank",IF(INDEX(Bank!$C:$C,$C883)="","",INDEX(Bank!$C:$C,$C883)),IF(INDEX(GL!$C:$C,$C883)="","",INDEX(GL!$C:$C,$C883))))</f>
        <v/>
      </c>
      <c r="F883" s="5" t="str">
        <f aca="false">IF(C883=0,"",IF($A883="Bank",IF(INDEX(Bank!$D:$D,$C883)="","",INDEX(Bank!$D:$D,$C883)),IF(INDEX(GL!$D:$D,$C883)="","",INDEX(GL!$D:$D,$C883))))</f>
        <v/>
      </c>
      <c r="G883" s="19" t="str">
        <f aca="false">IF(C883=0,"",IF($A883="Bank",INDEX(Bank!$E:$E,$C883),INDEX(GL!$E:$E,$C883)))</f>
        <v/>
      </c>
      <c r="H883" s="5" t="str">
        <f aca="false">IF(C883=0,"",IF(A883="GL",IF(G883&gt;0,"Deposit in transit","Outstanding check / payment"),IF(G883&gt;0,"Bank credit not in GL","Bank debit not in GL")))</f>
        <v/>
      </c>
      <c r="I883" s="42" t="str">
        <f aca="false">IF(OR(C883=0,CFG_PeriodEnd=""),"",CFG_PeriodEnd-D883)</f>
        <v/>
      </c>
      <c r="J883" s="5" t="str">
        <f aca="false">IF(C883=0,"",IF($A883="Bank",IF(INDEX(Bank!$G:$G,$C883)="","",INDEX(Bank!$G:$G,$C883)),IF(INDEX(GL!$G:$G,$C883)="","",INDEX(GL!$G:$G,$C883))))</f>
        <v/>
      </c>
      <c r="K883" s="5" t="str">
        <f aca="false">IF(C883=0,"",IF($A883="Bank",IF(INDEX(Bank!$I:$I,$C883)="","",INDEX(Bank!$I:$I,$C883)),IF(INDEX(GL!$I:$I,$C883)="","",INDEX(GL!$I:$I,$C883))))</f>
        <v/>
      </c>
      <c r="L883" s="5" t="str">
        <f aca="false">IF(B883="","",IF(C883=0,"NOT FOUND",IF(IF($A883="Bank",INDEX(Bank!$F:$F,$C883),INDEX(GL!$F:$F,$C883))="Y","NOW RECONCILED: refresh","OK")))</f>
        <v/>
      </c>
    </row>
    <row r="884" customFormat="false" ht="15" hidden="false" customHeight="false" outlineLevel="0" collapsed="false">
      <c r="A884" s="41"/>
      <c r="B884" s="41"/>
      <c r="C884" s="5" t="n">
        <f aca="false">IF(B884="",0,IF(A884="Bank",IFERROR(MATCH(B884,Bank!$A:$A,0),0),IFERROR(MATCH(B884,GL!$A:$A,0),0)))</f>
        <v>0</v>
      </c>
      <c r="D884" s="32" t="str">
        <f aca="false">IF(C884=0,"",IF($A884="Bank",INDEX(Bank!$B:$B,$C884),INDEX(GL!$B:$B,$C884)))</f>
        <v/>
      </c>
      <c r="E884" s="5" t="str">
        <f aca="false">IF(C884=0,"",IF($A884="Bank",IF(INDEX(Bank!$C:$C,$C884)="","",INDEX(Bank!$C:$C,$C884)),IF(INDEX(GL!$C:$C,$C884)="","",INDEX(GL!$C:$C,$C884))))</f>
        <v/>
      </c>
      <c r="F884" s="5" t="str">
        <f aca="false">IF(C884=0,"",IF($A884="Bank",IF(INDEX(Bank!$D:$D,$C884)="","",INDEX(Bank!$D:$D,$C884)),IF(INDEX(GL!$D:$D,$C884)="","",INDEX(GL!$D:$D,$C884))))</f>
        <v/>
      </c>
      <c r="G884" s="19" t="str">
        <f aca="false">IF(C884=0,"",IF($A884="Bank",INDEX(Bank!$E:$E,$C884),INDEX(GL!$E:$E,$C884)))</f>
        <v/>
      </c>
      <c r="H884" s="5" t="str">
        <f aca="false">IF(C884=0,"",IF(A884="GL",IF(G884&gt;0,"Deposit in transit","Outstanding check / payment"),IF(G884&gt;0,"Bank credit not in GL","Bank debit not in GL")))</f>
        <v/>
      </c>
      <c r="I884" s="42" t="str">
        <f aca="false">IF(OR(C884=0,CFG_PeriodEnd=""),"",CFG_PeriodEnd-D884)</f>
        <v/>
      </c>
      <c r="J884" s="5" t="str">
        <f aca="false">IF(C884=0,"",IF($A884="Bank",IF(INDEX(Bank!$G:$G,$C884)="","",INDEX(Bank!$G:$G,$C884)),IF(INDEX(GL!$G:$G,$C884)="","",INDEX(GL!$G:$G,$C884))))</f>
        <v/>
      </c>
      <c r="K884" s="5" t="str">
        <f aca="false">IF(C884=0,"",IF($A884="Bank",IF(INDEX(Bank!$I:$I,$C884)="","",INDEX(Bank!$I:$I,$C884)),IF(INDEX(GL!$I:$I,$C884)="","",INDEX(GL!$I:$I,$C884))))</f>
        <v/>
      </c>
      <c r="L884" s="5" t="str">
        <f aca="false">IF(B884="","",IF(C884=0,"NOT FOUND",IF(IF($A884="Bank",INDEX(Bank!$F:$F,$C884),INDEX(GL!$F:$F,$C884))="Y","NOW RECONCILED: refresh","OK")))</f>
        <v/>
      </c>
    </row>
    <row r="885" customFormat="false" ht="15" hidden="false" customHeight="false" outlineLevel="0" collapsed="false">
      <c r="A885" s="41"/>
      <c r="B885" s="41"/>
      <c r="C885" s="5" t="n">
        <f aca="false">IF(B885="",0,IF(A885="Bank",IFERROR(MATCH(B885,Bank!$A:$A,0),0),IFERROR(MATCH(B885,GL!$A:$A,0),0)))</f>
        <v>0</v>
      </c>
      <c r="D885" s="32" t="str">
        <f aca="false">IF(C885=0,"",IF($A885="Bank",INDEX(Bank!$B:$B,$C885),INDEX(GL!$B:$B,$C885)))</f>
        <v/>
      </c>
      <c r="E885" s="5" t="str">
        <f aca="false">IF(C885=0,"",IF($A885="Bank",IF(INDEX(Bank!$C:$C,$C885)="","",INDEX(Bank!$C:$C,$C885)),IF(INDEX(GL!$C:$C,$C885)="","",INDEX(GL!$C:$C,$C885))))</f>
        <v/>
      </c>
      <c r="F885" s="5" t="str">
        <f aca="false">IF(C885=0,"",IF($A885="Bank",IF(INDEX(Bank!$D:$D,$C885)="","",INDEX(Bank!$D:$D,$C885)),IF(INDEX(GL!$D:$D,$C885)="","",INDEX(GL!$D:$D,$C885))))</f>
        <v/>
      </c>
      <c r="G885" s="19" t="str">
        <f aca="false">IF(C885=0,"",IF($A885="Bank",INDEX(Bank!$E:$E,$C885),INDEX(GL!$E:$E,$C885)))</f>
        <v/>
      </c>
      <c r="H885" s="5" t="str">
        <f aca="false">IF(C885=0,"",IF(A885="GL",IF(G885&gt;0,"Deposit in transit","Outstanding check / payment"),IF(G885&gt;0,"Bank credit not in GL","Bank debit not in GL")))</f>
        <v/>
      </c>
      <c r="I885" s="42" t="str">
        <f aca="false">IF(OR(C885=0,CFG_PeriodEnd=""),"",CFG_PeriodEnd-D885)</f>
        <v/>
      </c>
      <c r="J885" s="5" t="str">
        <f aca="false">IF(C885=0,"",IF($A885="Bank",IF(INDEX(Bank!$G:$G,$C885)="","",INDEX(Bank!$G:$G,$C885)),IF(INDEX(GL!$G:$G,$C885)="","",INDEX(GL!$G:$G,$C885))))</f>
        <v/>
      </c>
      <c r="K885" s="5" t="str">
        <f aca="false">IF(C885=0,"",IF($A885="Bank",IF(INDEX(Bank!$I:$I,$C885)="","",INDEX(Bank!$I:$I,$C885)),IF(INDEX(GL!$I:$I,$C885)="","",INDEX(GL!$I:$I,$C885))))</f>
        <v/>
      </c>
      <c r="L885" s="5" t="str">
        <f aca="false">IF(B885="","",IF(C885=0,"NOT FOUND",IF(IF($A885="Bank",INDEX(Bank!$F:$F,$C885),INDEX(GL!$F:$F,$C885))="Y","NOW RECONCILED: refresh","OK")))</f>
        <v/>
      </c>
    </row>
    <row r="886" customFormat="false" ht="15" hidden="false" customHeight="false" outlineLevel="0" collapsed="false">
      <c r="A886" s="41"/>
      <c r="B886" s="41"/>
      <c r="C886" s="5" t="n">
        <f aca="false">IF(B886="",0,IF(A886="Bank",IFERROR(MATCH(B886,Bank!$A:$A,0),0),IFERROR(MATCH(B886,GL!$A:$A,0),0)))</f>
        <v>0</v>
      </c>
      <c r="D886" s="32" t="str">
        <f aca="false">IF(C886=0,"",IF($A886="Bank",INDEX(Bank!$B:$B,$C886),INDEX(GL!$B:$B,$C886)))</f>
        <v/>
      </c>
      <c r="E886" s="5" t="str">
        <f aca="false">IF(C886=0,"",IF($A886="Bank",IF(INDEX(Bank!$C:$C,$C886)="","",INDEX(Bank!$C:$C,$C886)),IF(INDEX(GL!$C:$C,$C886)="","",INDEX(GL!$C:$C,$C886))))</f>
        <v/>
      </c>
      <c r="F886" s="5" t="str">
        <f aca="false">IF(C886=0,"",IF($A886="Bank",IF(INDEX(Bank!$D:$D,$C886)="","",INDEX(Bank!$D:$D,$C886)),IF(INDEX(GL!$D:$D,$C886)="","",INDEX(GL!$D:$D,$C886))))</f>
        <v/>
      </c>
      <c r="G886" s="19" t="str">
        <f aca="false">IF(C886=0,"",IF($A886="Bank",INDEX(Bank!$E:$E,$C886),INDEX(GL!$E:$E,$C886)))</f>
        <v/>
      </c>
      <c r="H886" s="5" t="str">
        <f aca="false">IF(C886=0,"",IF(A886="GL",IF(G886&gt;0,"Deposit in transit","Outstanding check / payment"),IF(G886&gt;0,"Bank credit not in GL","Bank debit not in GL")))</f>
        <v/>
      </c>
      <c r="I886" s="42" t="str">
        <f aca="false">IF(OR(C886=0,CFG_PeriodEnd=""),"",CFG_PeriodEnd-D886)</f>
        <v/>
      </c>
      <c r="J886" s="5" t="str">
        <f aca="false">IF(C886=0,"",IF($A886="Bank",IF(INDEX(Bank!$G:$G,$C886)="","",INDEX(Bank!$G:$G,$C886)),IF(INDEX(GL!$G:$G,$C886)="","",INDEX(GL!$G:$G,$C886))))</f>
        <v/>
      </c>
      <c r="K886" s="5" t="str">
        <f aca="false">IF(C886=0,"",IF($A886="Bank",IF(INDEX(Bank!$I:$I,$C886)="","",INDEX(Bank!$I:$I,$C886)),IF(INDEX(GL!$I:$I,$C886)="","",INDEX(GL!$I:$I,$C886))))</f>
        <v/>
      </c>
      <c r="L886" s="5" t="str">
        <f aca="false">IF(B886="","",IF(C886=0,"NOT FOUND",IF(IF($A886="Bank",INDEX(Bank!$F:$F,$C886),INDEX(GL!$F:$F,$C886))="Y","NOW RECONCILED: refresh","OK")))</f>
        <v/>
      </c>
    </row>
    <row r="887" customFormat="false" ht="15" hidden="false" customHeight="false" outlineLevel="0" collapsed="false">
      <c r="A887" s="41"/>
      <c r="B887" s="41"/>
      <c r="C887" s="5" t="n">
        <f aca="false">IF(B887="",0,IF(A887="Bank",IFERROR(MATCH(B887,Bank!$A:$A,0),0),IFERROR(MATCH(B887,GL!$A:$A,0),0)))</f>
        <v>0</v>
      </c>
      <c r="D887" s="32" t="str">
        <f aca="false">IF(C887=0,"",IF($A887="Bank",INDEX(Bank!$B:$B,$C887),INDEX(GL!$B:$B,$C887)))</f>
        <v/>
      </c>
      <c r="E887" s="5" t="str">
        <f aca="false">IF(C887=0,"",IF($A887="Bank",IF(INDEX(Bank!$C:$C,$C887)="","",INDEX(Bank!$C:$C,$C887)),IF(INDEX(GL!$C:$C,$C887)="","",INDEX(GL!$C:$C,$C887))))</f>
        <v/>
      </c>
      <c r="F887" s="5" t="str">
        <f aca="false">IF(C887=0,"",IF($A887="Bank",IF(INDEX(Bank!$D:$D,$C887)="","",INDEX(Bank!$D:$D,$C887)),IF(INDEX(GL!$D:$D,$C887)="","",INDEX(GL!$D:$D,$C887))))</f>
        <v/>
      </c>
      <c r="G887" s="19" t="str">
        <f aca="false">IF(C887=0,"",IF($A887="Bank",INDEX(Bank!$E:$E,$C887),INDEX(GL!$E:$E,$C887)))</f>
        <v/>
      </c>
      <c r="H887" s="5" t="str">
        <f aca="false">IF(C887=0,"",IF(A887="GL",IF(G887&gt;0,"Deposit in transit","Outstanding check / payment"),IF(G887&gt;0,"Bank credit not in GL","Bank debit not in GL")))</f>
        <v/>
      </c>
      <c r="I887" s="42" t="str">
        <f aca="false">IF(OR(C887=0,CFG_PeriodEnd=""),"",CFG_PeriodEnd-D887)</f>
        <v/>
      </c>
      <c r="J887" s="5" t="str">
        <f aca="false">IF(C887=0,"",IF($A887="Bank",IF(INDEX(Bank!$G:$G,$C887)="","",INDEX(Bank!$G:$G,$C887)),IF(INDEX(GL!$G:$G,$C887)="","",INDEX(GL!$G:$G,$C887))))</f>
        <v/>
      </c>
      <c r="K887" s="5" t="str">
        <f aca="false">IF(C887=0,"",IF($A887="Bank",IF(INDEX(Bank!$I:$I,$C887)="","",INDEX(Bank!$I:$I,$C887)),IF(INDEX(GL!$I:$I,$C887)="","",INDEX(GL!$I:$I,$C887))))</f>
        <v/>
      </c>
      <c r="L887" s="5" t="str">
        <f aca="false">IF(B887="","",IF(C887=0,"NOT FOUND",IF(IF($A887="Bank",INDEX(Bank!$F:$F,$C887),INDEX(GL!$F:$F,$C887))="Y","NOW RECONCILED: refresh","OK")))</f>
        <v/>
      </c>
    </row>
    <row r="888" customFormat="false" ht="15" hidden="false" customHeight="false" outlineLevel="0" collapsed="false">
      <c r="A888" s="41"/>
      <c r="B888" s="41"/>
      <c r="C888" s="5" t="n">
        <f aca="false">IF(B888="",0,IF(A888="Bank",IFERROR(MATCH(B888,Bank!$A:$A,0),0),IFERROR(MATCH(B888,GL!$A:$A,0),0)))</f>
        <v>0</v>
      </c>
      <c r="D888" s="32" t="str">
        <f aca="false">IF(C888=0,"",IF($A888="Bank",INDEX(Bank!$B:$B,$C888),INDEX(GL!$B:$B,$C888)))</f>
        <v/>
      </c>
      <c r="E888" s="5" t="str">
        <f aca="false">IF(C888=0,"",IF($A888="Bank",IF(INDEX(Bank!$C:$C,$C888)="","",INDEX(Bank!$C:$C,$C888)),IF(INDEX(GL!$C:$C,$C888)="","",INDEX(GL!$C:$C,$C888))))</f>
        <v/>
      </c>
      <c r="F888" s="5" t="str">
        <f aca="false">IF(C888=0,"",IF($A888="Bank",IF(INDEX(Bank!$D:$D,$C888)="","",INDEX(Bank!$D:$D,$C888)),IF(INDEX(GL!$D:$D,$C888)="","",INDEX(GL!$D:$D,$C888))))</f>
        <v/>
      </c>
      <c r="G888" s="19" t="str">
        <f aca="false">IF(C888=0,"",IF($A888="Bank",INDEX(Bank!$E:$E,$C888),INDEX(GL!$E:$E,$C888)))</f>
        <v/>
      </c>
      <c r="H888" s="5" t="str">
        <f aca="false">IF(C888=0,"",IF(A888="GL",IF(G888&gt;0,"Deposit in transit","Outstanding check / payment"),IF(G888&gt;0,"Bank credit not in GL","Bank debit not in GL")))</f>
        <v/>
      </c>
      <c r="I888" s="42" t="str">
        <f aca="false">IF(OR(C888=0,CFG_PeriodEnd=""),"",CFG_PeriodEnd-D888)</f>
        <v/>
      </c>
      <c r="J888" s="5" t="str">
        <f aca="false">IF(C888=0,"",IF($A888="Bank",IF(INDEX(Bank!$G:$G,$C888)="","",INDEX(Bank!$G:$G,$C888)),IF(INDEX(GL!$G:$G,$C888)="","",INDEX(GL!$G:$G,$C888))))</f>
        <v/>
      </c>
      <c r="K888" s="5" t="str">
        <f aca="false">IF(C888=0,"",IF($A888="Bank",IF(INDEX(Bank!$I:$I,$C888)="","",INDEX(Bank!$I:$I,$C888)),IF(INDEX(GL!$I:$I,$C888)="","",INDEX(GL!$I:$I,$C888))))</f>
        <v/>
      </c>
      <c r="L888" s="5" t="str">
        <f aca="false">IF(B888="","",IF(C888=0,"NOT FOUND",IF(IF($A888="Bank",INDEX(Bank!$F:$F,$C888),INDEX(GL!$F:$F,$C888))="Y","NOW RECONCILED: refresh","OK")))</f>
        <v/>
      </c>
    </row>
    <row r="889" customFormat="false" ht="15" hidden="false" customHeight="false" outlineLevel="0" collapsed="false">
      <c r="A889" s="41"/>
      <c r="B889" s="41"/>
      <c r="C889" s="5" t="n">
        <f aca="false">IF(B889="",0,IF(A889="Bank",IFERROR(MATCH(B889,Bank!$A:$A,0),0),IFERROR(MATCH(B889,GL!$A:$A,0),0)))</f>
        <v>0</v>
      </c>
      <c r="D889" s="32" t="str">
        <f aca="false">IF(C889=0,"",IF($A889="Bank",INDEX(Bank!$B:$B,$C889),INDEX(GL!$B:$B,$C889)))</f>
        <v/>
      </c>
      <c r="E889" s="5" t="str">
        <f aca="false">IF(C889=0,"",IF($A889="Bank",IF(INDEX(Bank!$C:$C,$C889)="","",INDEX(Bank!$C:$C,$C889)),IF(INDEX(GL!$C:$C,$C889)="","",INDEX(GL!$C:$C,$C889))))</f>
        <v/>
      </c>
      <c r="F889" s="5" t="str">
        <f aca="false">IF(C889=0,"",IF($A889="Bank",IF(INDEX(Bank!$D:$D,$C889)="","",INDEX(Bank!$D:$D,$C889)),IF(INDEX(GL!$D:$D,$C889)="","",INDEX(GL!$D:$D,$C889))))</f>
        <v/>
      </c>
      <c r="G889" s="19" t="str">
        <f aca="false">IF(C889=0,"",IF($A889="Bank",INDEX(Bank!$E:$E,$C889),INDEX(GL!$E:$E,$C889)))</f>
        <v/>
      </c>
      <c r="H889" s="5" t="str">
        <f aca="false">IF(C889=0,"",IF(A889="GL",IF(G889&gt;0,"Deposit in transit","Outstanding check / payment"),IF(G889&gt;0,"Bank credit not in GL","Bank debit not in GL")))</f>
        <v/>
      </c>
      <c r="I889" s="42" t="str">
        <f aca="false">IF(OR(C889=0,CFG_PeriodEnd=""),"",CFG_PeriodEnd-D889)</f>
        <v/>
      </c>
      <c r="J889" s="5" t="str">
        <f aca="false">IF(C889=0,"",IF($A889="Bank",IF(INDEX(Bank!$G:$G,$C889)="","",INDEX(Bank!$G:$G,$C889)),IF(INDEX(GL!$G:$G,$C889)="","",INDEX(GL!$G:$G,$C889))))</f>
        <v/>
      </c>
      <c r="K889" s="5" t="str">
        <f aca="false">IF(C889=0,"",IF($A889="Bank",IF(INDEX(Bank!$I:$I,$C889)="","",INDEX(Bank!$I:$I,$C889)),IF(INDEX(GL!$I:$I,$C889)="","",INDEX(GL!$I:$I,$C889))))</f>
        <v/>
      </c>
      <c r="L889" s="5" t="str">
        <f aca="false">IF(B889="","",IF(C889=0,"NOT FOUND",IF(IF($A889="Bank",INDEX(Bank!$F:$F,$C889),INDEX(GL!$F:$F,$C889))="Y","NOW RECONCILED: refresh","OK")))</f>
        <v/>
      </c>
    </row>
    <row r="890" customFormat="false" ht="15" hidden="false" customHeight="false" outlineLevel="0" collapsed="false">
      <c r="A890" s="41"/>
      <c r="B890" s="41"/>
      <c r="C890" s="5" t="n">
        <f aca="false">IF(B890="",0,IF(A890="Bank",IFERROR(MATCH(B890,Bank!$A:$A,0),0),IFERROR(MATCH(B890,GL!$A:$A,0),0)))</f>
        <v>0</v>
      </c>
      <c r="D890" s="32" t="str">
        <f aca="false">IF(C890=0,"",IF($A890="Bank",INDEX(Bank!$B:$B,$C890),INDEX(GL!$B:$B,$C890)))</f>
        <v/>
      </c>
      <c r="E890" s="5" t="str">
        <f aca="false">IF(C890=0,"",IF($A890="Bank",IF(INDEX(Bank!$C:$C,$C890)="","",INDEX(Bank!$C:$C,$C890)),IF(INDEX(GL!$C:$C,$C890)="","",INDEX(GL!$C:$C,$C890))))</f>
        <v/>
      </c>
      <c r="F890" s="5" t="str">
        <f aca="false">IF(C890=0,"",IF($A890="Bank",IF(INDEX(Bank!$D:$D,$C890)="","",INDEX(Bank!$D:$D,$C890)),IF(INDEX(GL!$D:$D,$C890)="","",INDEX(GL!$D:$D,$C890))))</f>
        <v/>
      </c>
      <c r="G890" s="19" t="str">
        <f aca="false">IF(C890=0,"",IF($A890="Bank",INDEX(Bank!$E:$E,$C890),INDEX(GL!$E:$E,$C890)))</f>
        <v/>
      </c>
      <c r="H890" s="5" t="str">
        <f aca="false">IF(C890=0,"",IF(A890="GL",IF(G890&gt;0,"Deposit in transit","Outstanding check / payment"),IF(G890&gt;0,"Bank credit not in GL","Bank debit not in GL")))</f>
        <v/>
      </c>
      <c r="I890" s="42" t="str">
        <f aca="false">IF(OR(C890=0,CFG_PeriodEnd=""),"",CFG_PeriodEnd-D890)</f>
        <v/>
      </c>
      <c r="J890" s="5" t="str">
        <f aca="false">IF(C890=0,"",IF($A890="Bank",IF(INDEX(Bank!$G:$G,$C890)="","",INDEX(Bank!$G:$G,$C890)),IF(INDEX(GL!$G:$G,$C890)="","",INDEX(GL!$G:$G,$C890))))</f>
        <v/>
      </c>
      <c r="K890" s="5" t="str">
        <f aca="false">IF(C890=0,"",IF($A890="Bank",IF(INDEX(Bank!$I:$I,$C890)="","",INDEX(Bank!$I:$I,$C890)),IF(INDEX(GL!$I:$I,$C890)="","",INDEX(GL!$I:$I,$C890))))</f>
        <v/>
      </c>
      <c r="L890" s="5" t="str">
        <f aca="false">IF(B890="","",IF(C890=0,"NOT FOUND",IF(IF($A890="Bank",INDEX(Bank!$F:$F,$C890),INDEX(GL!$F:$F,$C890))="Y","NOW RECONCILED: refresh","OK")))</f>
        <v/>
      </c>
    </row>
    <row r="891" customFormat="false" ht="15" hidden="false" customHeight="false" outlineLevel="0" collapsed="false">
      <c r="A891" s="41"/>
      <c r="B891" s="41"/>
      <c r="C891" s="5" t="n">
        <f aca="false">IF(B891="",0,IF(A891="Bank",IFERROR(MATCH(B891,Bank!$A:$A,0),0),IFERROR(MATCH(B891,GL!$A:$A,0),0)))</f>
        <v>0</v>
      </c>
      <c r="D891" s="32" t="str">
        <f aca="false">IF(C891=0,"",IF($A891="Bank",INDEX(Bank!$B:$B,$C891),INDEX(GL!$B:$B,$C891)))</f>
        <v/>
      </c>
      <c r="E891" s="5" t="str">
        <f aca="false">IF(C891=0,"",IF($A891="Bank",IF(INDEX(Bank!$C:$C,$C891)="","",INDEX(Bank!$C:$C,$C891)),IF(INDEX(GL!$C:$C,$C891)="","",INDEX(GL!$C:$C,$C891))))</f>
        <v/>
      </c>
      <c r="F891" s="5" t="str">
        <f aca="false">IF(C891=0,"",IF($A891="Bank",IF(INDEX(Bank!$D:$D,$C891)="","",INDEX(Bank!$D:$D,$C891)),IF(INDEX(GL!$D:$D,$C891)="","",INDEX(GL!$D:$D,$C891))))</f>
        <v/>
      </c>
      <c r="G891" s="19" t="str">
        <f aca="false">IF(C891=0,"",IF($A891="Bank",INDEX(Bank!$E:$E,$C891),INDEX(GL!$E:$E,$C891)))</f>
        <v/>
      </c>
      <c r="H891" s="5" t="str">
        <f aca="false">IF(C891=0,"",IF(A891="GL",IF(G891&gt;0,"Deposit in transit","Outstanding check / payment"),IF(G891&gt;0,"Bank credit not in GL","Bank debit not in GL")))</f>
        <v/>
      </c>
      <c r="I891" s="42" t="str">
        <f aca="false">IF(OR(C891=0,CFG_PeriodEnd=""),"",CFG_PeriodEnd-D891)</f>
        <v/>
      </c>
      <c r="J891" s="5" t="str">
        <f aca="false">IF(C891=0,"",IF($A891="Bank",IF(INDEX(Bank!$G:$G,$C891)="","",INDEX(Bank!$G:$G,$C891)),IF(INDEX(GL!$G:$G,$C891)="","",INDEX(GL!$G:$G,$C891))))</f>
        <v/>
      </c>
      <c r="K891" s="5" t="str">
        <f aca="false">IF(C891=0,"",IF($A891="Bank",IF(INDEX(Bank!$I:$I,$C891)="","",INDEX(Bank!$I:$I,$C891)),IF(INDEX(GL!$I:$I,$C891)="","",INDEX(GL!$I:$I,$C891))))</f>
        <v/>
      </c>
      <c r="L891" s="5" t="str">
        <f aca="false">IF(B891="","",IF(C891=0,"NOT FOUND",IF(IF($A891="Bank",INDEX(Bank!$F:$F,$C891),INDEX(GL!$F:$F,$C891))="Y","NOW RECONCILED: refresh","OK")))</f>
        <v/>
      </c>
    </row>
    <row r="892" customFormat="false" ht="15" hidden="false" customHeight="false" outlineLevel="0" collapsed="false">
      <c r="A892" s="41"/>
      <c r="B892" s="41"/>
      <c r="C892" s="5" t="n">
        <f aca="false">IF(B892="",0,IF(A892="Bank",IFERROR(MATCH(B892,Bank!$A:$A,0),0),IFERROR(MATCH(B892,GL!$A:$A,0),0)))</f>
        <v>0</v>
      </c>
      <c r="D892" s="32" t="str">
        <f aca="false">IF(C892=0,"",IF($A892="Bank",INDEX(Bank!$B:$B,$C892),INDEX(GL!$B:$B,$C892)))</f>
        <v/>
      </c>
      <c r="E892" s="5" t="str">
        <f aca="false">IF(C892=0,"",IF($A892="Bank",IF(INDEX(Bank!$C:$C,$C892)="","",INDEX(Bank!$C:$C,$C892)),IF(INDEX(GL!$C:$C,$C892)="","",INDEX(GL!$C:$C,$C892))))</f>
        <v/>
      </c>
      <c r="F892" s="5" t="str">
        <f aca="false">IF(C892=0,"",IF($A892="Bank",IF(INDEX(Bank!$D:$D,$C892)="","",INDEX(Bank!$D:$D,$C892)),IF(INDEX(GL!$D:$D,$C892)="","",INDEX(GL!$D:$D,$C892))))</f>
        <v/>
      </c>
      <c r="G892" s="19" t="str">
        <f aca="false">IF(C892=0,"",IF($A892="Bank",INDEX(Bank!$E:$E,$C892),INDEX(GL!$E:$E,$C892)))</f>
        <v/>
      </c>
      <c r="H892" s="5" t="str">
        <f aca="false">IF(C892=0,"",IF(A892="GL",IF(G892&gt;0,"Deposit in transit","Outstanding check / payment"),IF(G892&gt;0,"Bank credit not in GL","Bank debit not in GL")))</f>
        <v/>
      </c>
      <c r="I892" s="42" t="str">
        <f aca="false">IF(OR(C892=0,CFG_PeriodEnd=""),"",CFG_PeriodEnd-D892)</f>
        <v/>
      </c>
      <c r="J892" s="5" t="str">
        <f aca="false">IF(C892=0,"",IF($A892="Bank",IF(INDEX(Bank!$G:$G,$C892)="","",INDEX(Bank!$G:$G,$C892)),IF(INDEX(GL!$G:$G,$C892)="","",INDEX(GL!$G:$G,$C892))))</f>
        <v/>
      </c>
      <c r="K892" s="5" t="str">
        <f aca="false">IF(C892=0,"",IF($A892="Bank",IF(INDEX(Bank!$I:$I,$C892)="","",INDEX(Bank!$I:$I,$C892)),IF(INDEX(GL!$I:$I,$C892)="","",INDEX(GL!$I:$I,$C892))))</f>
        <v/>
      </c>
      <c r="L892" s="5" t="str">
        <f aca="false">IF(B892="","",IF(C892=0,"NOT FOUND",IF(IF($A892="Bank",INDEX(Bank!$F:$F,$C892),INDEX(GL!$F:$F,$C892))="Y","NOW RECONCILED: refresh","OK")))</f>
        <v/>
      </c>
    </row>
    <row r="893" customFormat="false" ht="15" hidden="false" customHeight="false" outlineLevel="0" collapsed="false">
      <c r="A893" s="41"/>
      <c r="B893" s="41"/>
      <c r="C893" s="5" t="n">
        <f aca="false">IF(B893="",0,IF(A893="Bank",IFERROR(MATCH(B893,Bank!$A:$A,0),0),IFERROR(MATCH(B893,GL!$A:$A,0),0)))</f>
        <v>0</v>
      </c>
      <c r="D893" s="32" t="str">
        <f aca="false">IF(C893=0,"",IF($A893="Bank",INDEX(Bank!$B:$B,$C893),INDEX(GL!$B:$B,$C893)))</f>
        <v/>
      </c>
      <c r="E893" s="5" t="str">
        <f aca="false">IF(C893=0,"",IF($A893="Bank",IF(INDEX(Bank!$C:$C,$C893)="","",INDEX(Bank!$C:$C,$C893)),IF(INDEX(GL!$C:$C,$C893)="","",INDEX(GL!$C:$C,$C893))))</f>
        <v/>
      </c>
      <c r="F893" s="5" t="str">
        <f aca="false">IF(C893=0,"",IF($A893="Bank",IF(INDEX(Bank!$D:$D,$C893)="","",INDEX(Bank!$D:$D,$C893)),IF(INDEX(GL!$D:$D,$C893)="","",INDEX(GL!$D:$D,$C893))))</f>
        <v/>
      </c>
      <c r="G893" s="19" t="str">
        <f aca="false">IF(C893=0,"",IF($A893="Bank",INDEX(Bank!$E:$E,$C893),INDEX(GL!$E:$E,$C893)))</f>
        <v/>
      </c>
      <c r="H893" s="5" t="str">
        <f aca="false">IF(C893=0,"",IF(A893="GL",IF(G893&gt;0,"Deposit in transit","Outstanding check / payment"),IF(G893&gt;0,"Bank credit not in GL","Bank debit not in GL")))</f>
        <v/>
      </c>
      <c r="I893" s="42" t="str">
        <f aca="false">IF(OR(C893=0,CFG_PeriodEnd=""),"",CFG_PeriodEnd-D893)</f>
        <v/>
      </c>
      <c r="J893" s="5" t="str">
        <f aca="false">IF(C893=0,"",IF($A893="Bank",IF(INDEX(Bank!$G:$G,$C893)="","",INDEX(Bank!$G:$G,$C893)),IF(INDEX(GL!$G:$G,$C893)="","",INDEX(GL!$G:$G,$C893))))</f>
        <v/>
      </c>
      <c r="K893" s="5" t="str">
        <f aca="false">IF(C893=0,"",IF($A893="Bank",IF(INDEX(Bank!$I:$I,$C893)="","",INDEX(Bank!$I:$I,$C893)),IF(INDEX(GL!$I:$I,$C893)="","",INDEX(GL!$I:$I,$C893))))</f>
        <v/>
      </c>
      <c r="L893" s="5" t="str">
        <f aca="false">IF(B893="","",IF(C893=0,"NOT FOUND",IF(IF($A893="Bank",INDEX(Bank!$F:$F,$C893),INDEX(GL!$F:$F,$C893))="Y","NOW RECONCILED: refresh","OK")))</f>
        <v/>
      </c>
    </row>
    <row r="894" customFormat="false" ht="15" hidden="false" customHeight="false" outlineLevel="0" collapsed="false">
      <c r="A894" s="41"/>
      <c r="B894" s="41"/>
      <c r="C894" s="5" t="n">
        <f aca="false">IF(B894="",0,IF(A894="Bank",IFERROR(MATCH(B894,Bank!$A:$A,0),0),IFERROR(MATCH(B894,GL!$A:$A,0),0)))</f>
        <v>0</v>
      </c>
      <c r="D894" s="32" t="str">
        <f aca="false">IF(C894=0,"",IF($A894="Bank",INDEX(Bank!$B:$B,$C894),INDEX(GL!$B:$B,$C894)))</f>
        <v/>
      </c>
      <c r="E894" s="5" t="str">
        <f aca="false">IF(C894=0,"",IF($A894="Bank",IF(INDEX(Bank!$C:$C,$C894)="","",INDEX(Bank!$C:$C,$C894)),IF(INDEX(GL!$C:$C,$C894)="","",INDEX(GL!$C:$C,$C894))))</f>
        <v/>
      </c>
      <c r="F894" s="5" t="str">
        <f aca="false">IF(C894=0,"",IF($A894="Bank",IF(INDEX(Bank!$D:$D,$C894)="","",INDEX(Bank!$D:$D,$C894)),IF(INDEX(GL!$D:$D,$C894)="","",INDEX(GL!$D:$D,$C894))))</f>
        <v/>
      </c>
      <c r="G894" s="19" t="str">
        <f aca="false">IF(C894=0,"",IF($A894="Bank",INDEX(Bank!$E:$E,$C894),INDEX(GL!$E:$E,$C894)))</f>
        <v/>
      </c>
      <c r="H894" s="5" t="str">
        <f aca="false">IF(C894=0,"",IF(A894="GL",IF(G894&gt;0,"Deposit in transit","Outstanding check / payment"),IF(G894&gt;0,"Bank credit not in GL","Bank debit not in GL")))</f>
        <v/>
      </c>
      <c r="I894" s="42" t="str">
        <f aca="false">IF(OR(C894=0,CFG_PeriodEnd=""),"",CFG_PeriodEnd-D894)</f>
        <v/>
      </c>
      <c r="J894" s="5" t="str">
        <f aca="false">IF(C894=0,"",IF($A894="Bank",IF(INDEX(Bank!$G:$G,$C894)="","",INDEX(Bank!$G:$G,$C894)),IF(INDEX(GL!$G:$G,$C894)="","",INDEX(GL!$G:$G,$C894))))</f>
        <v/>
      </c>
      <c r="K894" s="5" t="str">
        <f aca="false">IF(C894=0,"",IF($A894="Bank",IF(INDEX(Bank!$I:$I,$C894)="","",INDEX(Bank!$I:$I,$C894)),IF(INDEX(GL!$I:$I,$C894)="","",INDEX(GL!$I:$I,$C894))))</f>
        <v/>
      </c>
      <c r="L894" s="5" t="str">
        <f aca="false">IF(B894="","",IF(C894=0,"NOT FOUND",IF(IF($A894="Bank",INDEX(Bank!$F:$F,$C894),INDEX(GL!$F:$F,$C894))="Y","NOW RECONCILED: refresh","OK")))</f>
        <v/>
      </c>
    </row>
    <row r="895" customFormat="false" ht="15" hidden="false" customHeight="false" outlineLevel="0" collapsed="false">
      <c r="A895" s="41"/>
      <c r="B895" s="41"/>
      <c r="C895" s="5" t="n">
        <f aca="false">IF(B895="",0,IF(A895="Bank",IFERROR(MATCH(B895,Bank!$A:$A,0),0),IFERROR(MATCH(B895,GL!$A:$A,0),0)))</f>
        <v>0</v>
      </c>
      <c r="D895" s="32" t="str">
        <f aca="false">IF(C895=0,"",IF($A895="Bank",INDEX(Bank!$B:$B,$C895),INDEX(GL!$B:$B,$C895)))</f>
        <v/>
      </c>
      <c r="E895" s="5" t="str">
        <f aca="false">IF(C895=0,"",IF($A895="Bank",IF(INDEX(Bank!$C:$C,$C895)="","",INDEX(Bank!$C:$C,$C895)),IF(INDEX(GL!$C:$C,$C895)="","",INDEX(GL!$C:$C,$C895))))</f>
        <v/>
      </c>
      <c r="F895" s="5" t="str">
        <f aca="false">IF(C895=0,"",IF($A895="Bank",IF(INDEX(Bank!$D:$D,$C895)="","",INDEX(Bank!$D:$D,$C895)),IF(INDEX(GL!$D:$D,$C895)="","",INDEX(GL!$D:$D,$C895))))</f>
        <v/>
      </c>
      <c r="G895" s="19" t="str">
        <f aca="false">IF(C895=0,"",IF($A895="Bank",INDEX(Bank!$E:$E,$C895),INDEX(GL!$E:$E,$C895)))</f>
        <v/>
      </c>
      <c r="H895" s="5" t="str">
        <f aca="false">IF(C895=0,"",IF(A895="GL",IF(G895&gt;0,"Deposit in transit","Outstanding check / payment"),IF(G895&gt;0,"Bank credit not in GL","Bank debit not in GL")))</f>
        <v/>
      </c>
      <c r="I895" s="42" t="str">
        <f aca="false">IF(OR(C895=0,CFG_PeriodEnd=""),"",CFG_PeriodEnd-D895)</f>
        <v/>
      </c>
      <c r="J895" s="5" t="str">
        <f aca="false">IF(C895=0,"",IF($A895="Bank",IF(INDEX(Bank!$G:$G,$C895)="","",INDEX(Bank!$G:$G,$C895)),IF(INDEX(GL!$G:$G,$C895)="","",INDEX(GL!$G:$G,$C895))))</f>
        <v/>
      </c>
      <c r="K895" s="5" t="str">
        <f aca="false">IF(C895=0,"",IF($A895="Bank",IF(INDEX(Bank!$I:$I,$C895)="","",INDEX(Bank!$I:$I,$C895)),IF(INDEX(GL!$I:$I,$C895)="","",INDEX(GL!$I:$I,$C895))))</f>
        <v/>
      </c>
      <c r="L895" s="5" t="str">
        <f aca="false">IF(B895="","",IF(C895=0,"NOT FOUND",IF(IF($A895="Bank",INDEX(Bank!$F:$F,$C895),INDEX(GL!$F:$F,$C895))="Y","NOW RECONCILED: refresh","OK")))</f>
        <v/>
      </c>
    </row>
    <row r="896" customFormat="false" ht="15" hidden="false" customHeight="false" outlineLevel="0" collapsed="false">
      <c r="A896" s="41"/>
      <c r="B896" s="41"/>
      <c r="C896" s="5" t="n">
        <f aca="false">IF(B896="",0,IF(A896="Bank",IFERROR(MATCH(B896,Bank!$A:$A,0),0),IFERROR(MATCH(B896,GL!$A:$A,0),0)))</f>
        <v>0</v>
      </c>
      <c r="D896" s="32" t="str">
        <f aca="false">IF(C896=0,"",IF($A896="Bank",INDEX(Bank!$B:$B,$C896),INDEX(GL!$B:$B,$C896)))</f>
        <v/>
      </c>
      <c r="E896" s="5" t="str">
        <f aca="false">IF(C896=0,"",IF($A896="Bank",IF(INDEX(Bank!$C:$C,$C896)="","",INDEX(Bank!$C:$C,$C896)),IF(INDEX(GL!$C:$C,$C896)="","",INDEX(GL!$C:$C,$C896))))</f>
        <v/>
      </c>
      <c r="F896" s="5" t="str">
        <f aca="false">IF(C896=0,"",IF($A896="Bank",IF(INDEX(Bank!$D:$D,$C896)="","",INDEX(Bank!$D:$D,$C896)),IF(INDEX(GL!$D:$D,$C896)="","",INDEX(GL!$D:$D,$C896))))</f>
        <v/>
      </c>
      <c r="G896" s="19" t="str">
        <f aca="false">IF(C896=0,"",IF($A896="Bank",INDEX(Bank!$E:$E,$C896),INDEX(GL!$E:$E,$C896)))</f>
        <v/>
      </c>
      <c r="H896" s="5" t="str">
        <f aca="false">IF(C896=0,"",IF(A896="GL",IF(G896&gt;0,"Deposit in transit","Outstanding check / payment"),IF(G896&gt;0,"Bank credit not in GL","Bank debit not in GL")))</f>
        <v/>
      </c>
      <c r="I896" s="42" t="str">
        <f aca="false">IF(OR(C896=0,CFG_PeriodEnd=""),"",CFG_PeriodEnd-D896)</f>
        <v/>
      </c>
      <c r="J896" s="5" t="str">
        <f aca="false">IF(C896=0,"",IF($A896="Bank",IF(INDEX(Bank!$G:$G,$C896)="","",INDEX(Bank!$G:$G,$C896)),IF(INDEX(GL!$G:$G,$C896)="","",INDEX(GL!$G:$G,$C896))))</f>
        <v/>
      </c>
      <c r="K896" s="5" t="str">
        <f aca="false">IF(C896=0,"",IF($A896="Bank",IF(INDEX(Bank!$I:$I,$C896)="","",INDEX(Bank!$I:$I,$C896)),IF(INDEX(GL!$I:$I,$C896)="","",INDEX(GL!$I:$I,$C896))))</f>
        <v/>
      </c>
      <c r="L896" s="5" t="str">
        <f aca="false">IF(B896="","",IF(C896=0,"NOT FOUND",IF(IF($A896="Bank",INDEX(Bank!$F:$F,$C896),INDEX(GL!$F:$F,$C896))="Y","NOW RECONCILED: refresh","OK")))</f>
        <v/>
      </c>
    </row>
    <row r="897" customFormat="false" ht="15" hidden="false" customHeight="false" outlineLevel="0" collapsed="false">
      <c r="A897" s="41"/>
      <c r="B897" s="41"/>
      <c r="C897" s="5" t="n">
        <f aca="false">IF(B897="",0,IF(A897="Bank",IFERROR(MATCH(B897,Bank!$A:$A,0),0),IFERROR(MATCH(B897,GL!$A:$A,0),0)))</f>
        <v>0</v>
      </c>
      <c r="D897" s="32" t="str">
        <f aca="false">IF(C897=0,"",IF($A897="Bank",INDEX(Bank!$B:$B,$C897),INDEX(GL!$B:$B,$C897)))</f>
        <v/>
      </c>
      <c r="E897" s="5" t="str">
        <f aca="false">IF(C897=0,"",IF($A897="Bank",IF(INDEX(Bank!$C:$C,$C897)="","",INDEX(Bank!$C:$C,$C897)),IF(INDEX(GL!$C:$C,$C897)="","",INDEX(GL!$C:$C,$C897))))</f>
        <v/>
      </c>
      <c r="F897" s="5" t="str">
        <f aca="false">IF(C897=0,"",IF($A897="Bank",IF(INDEX(Bank!$D:$D,$C897)="","",INDEX(Bank!$D:$D,$C897)),IF(INDEX(GL!$D:$D,$C897)="","",INDEX(GL!$D:$D,$C897))))</f>
        <v/>
      </c>
      <c r="G897" s="19" t="str">
        <f aca="false">IF(C897=0,"",IF($A897="Bank",INDEX(Bank!$E:$E,$C897),INDEX(GL!$E:$E,$C897)))</f>
        <v/>
      </c>
      <c r="H897" s="5" t="str">
        <f aca="false">IF(C897=0,"",IF(A897="GL",IF(G897&gt;0,"Deposit in transit","Outstanding check / payment"),IF(G897&gt;0,"Bank credit not in GL","Bank debit not in GL")))</f>
        <v/>
      </c>
      <c r="I897" s="42" t="str">
        <f aca="false">IF(OR(C897=0,CFG_PeriodEnd=""),"",CFG_PeriodEnd-D897)</f>
        <v/>
      </c>
      <c r="J897" s="5" t="str">
        <f aca="false">IF(C897=0,"",IF($A897="Bank",IF(INDEX(Bank!$G:$G,$C897)="","",INDEX(Bank!$G:$G,$C897)),IF(INDEX(GL!$G:$G,$C897)="","",INDEX(GL!$G:$G,$C897))))</f>
        <v/>
      </c>
      <c r="K897" s="5" t="str">
        <f aca="false">IF(C897=0,"",IF($A897="Bank",IF(INDEX(Bank!$I:$I,$C897)="","",INDEX(Bank!$I:$I,$C897)),IF(INDEX(GL!$I:$I,$C897)="","",INDEX(GL!$I:$I,$C897))))</f>
        <v/>
      </c>
      <c r="L897" s="5" t="str">
        <f aca="false">IF(B897="","",IF(C897=0,"NOT FOUND",IF(IF($A897="Bank",INDEX(Bank!$F:$F,$C897),INDEX(GL!$F:$F,$C897))="Y","NOW RECONCILED: refresh","OK")))</f>
        <v/>
      </c>
    </row>
    <row r="898" customFormat="false" ht="15" hidden="false" customHeight="false" outlineLevel="0" collapsed="false">
      <c r="A898" s="41"/>
      <c r="B898" s="41"/>
      <c r="C898" s="5" t="n">
        <f aca="false">IF(B898="",0,IF(A898="Bank",IFERROR(MATCH(B898,Bank!$A:$A,0),0),IFERROR(MATCH(B898,GL!$A:$A,0),0)))</f>
        <v>0</v>
      </c>
      <c r="D898" s="32" t="str">
        <f aca="false">IF(C898=0,"",IF($A898="Bank",INDEX(Bank!$B:$B,$C898),INDEX(GL!$B:$B,$C898)))</f>
        <v/>
      </c>
      <c r="E898" s="5" t="str">
        <f aca="false">IF(C898=0,"",IF($A898="Bank",IF(INDEX(Bank!$C:$C,$C898)="","",INDEX(Bank!$C:$C,$C898)),IF(INDEX(GL!$C:$C,$C898)="","",INDEX(GL!$C:$C,$C898))))</f>
        <v/>
      </c>
      <c r="F898" s="5" t="str">
        <f aca="false">IF(C898=0,"",IF($A898="Bank",IF(INDEX(Bank!$D:$D,$C898)="","",INDEX(Bank!$D:$D,$C898)),IF(INDEX(GL!$D:$D,$C898)="","",INDEX(GL!$D:$D,$C898))))</f>
        <v/>
      </c>
      <c r="G898" s="19" t="str">
        <f aca="false">IF(C898=0,"",IF($A898="Bank",INDEX(Bank!$E:$E,$C898),INDEX(GL!$E:$E,$C898)))</f>
        <v/>
      </c>
      <c r="H898" s="5" t="str">
        <f aca="false">IF(C898=0,"",IF(A898="GL",IF(G898&gt;0,"Deposit in transit","Outstanding check / payment"),IF(G898&gt;0,"Bank credit not in GL","Bank debit not in GL")))</f>
        <v/>
      </c>
      <c r="I898" s="42" t="str">
        <f aca="false">IF(OR(C898=0,CFG_PeriodEnd=""),"",CFG_PeriodEnd-D898)</f>
        <v/>
      </c>
      <c r="J898" s="5" t="str">
        <f aca="false">IF(C898=0,"",IF($A898="Bank",IF(INDEX(Bank!$G:$G,$C898)="","",INDEX(Bank!$G:$G,$C898)),IF(INDEX(GL!$G:$G,$C898)="","",INDEX(GL!$G:$G,$C898))))</f>
        <v/>
      </c>
      <c r="K898" s="5" t="str">
        <f aca="false">IF(C898=0,"",IF($A898="Bank",IF(INDEX(Bank!$I:$I,$C898)="","",INDEX(Bank!$I:$I,$C898)),IF(INDEX(GL!$I:$I,$C898)="","",INDEX(GL!$I:$I,$C898))))</f>
        <v/>
      </c>
      <c r="L898" s="5" t="str">
        <f aca="false">IF(B898="","",IF(C898=0,"NOT FOUND",IF(IF($A898="Bank",INDEX(Bank!$F:$F,$C898),INDEX(GL!$F:$F,$C898))="Y","NOW RECONCILED: refresh","OK")))</f>
        <v/>
      </c>
    </row>
    <row r="899" customFormat="false" ht="15" hidden="false" customHeight="false" outlineLevel="0" collapsed="false">
      <c r="A899" s="41"/>
      <c r="B899" s="41"/>
      <c r="C899" s="5" t="n">
        <f aca="false">IF(B899="",0,IF(A899="Bank",IFERROR(MATCH(B899,Bank!$A:$A,0),0),IFERROR(MATCH(B899,GL!$A:$A,0),0)))</f>
        <v>0</v>
      </c>
      <c r="D899" s="32" t="str">
        <f aca="false">IF(C899=0,"",IF($A899="Bank",INDEX(Bank!$B:$B,$C899),INDEX(GL!$B:$B,$C899)))</f>
        <v/>
      </c>
      <c r="E899" s="5" t="str">
        <f aca="false">IF(C899=0,"",IF($A899="Bank",IF(INDEX(Bank!$C:$C,$C899)="","",INDEX(Bank!$C:$C,$C899)),IF(INDEX(GL!$C:$C,$C899)="","",INDEX(GL!$C:$C,$C899))))</f>
        <v/>
      </c>
      <c r="F899" s="5" t="str">
        <f aca="false">IF(C899=0,"",IF($A899="Bank",IF(INDEX(Bank!$D:$D,$C899)="","",INDEX(Bank!$D:$D,$C899)),IF(INDEX(GL!$D:$D,$C899)="","",INDEX(GL!$D:$D,$C899))))</f>
        <v/>
      </c>
      <c r="G899" s="19" t="str">
        <f aca="false">IF(C899=0,"",IF($A899="Bank",INDEX(Bank!$E:$E,$C899),INDEX(GL!$E:$E,$C899)))</f>
        <v/>
      </c>
      <c r="H899" s="5" t="str">
        <f aca="false">IF(C899=0,"",IF(A899="GL",IF(G899&gt;0,"Deposit in transit","Outstanding check / payment"),IF(G899&gt;0,"Bank credit not in GL","Bank debit not in GL")))</f>
        <v/>
      </c>
      <c r="I899" s="42" t="str">
        <f aca="false">IF(OR(C899=0,CFG_PeriodEnd=""),"",CFG_PeriodEnd-D899)</f>
        <v/>
      </c>
      <c r="J899" s="5" t="str">
        <f aca="false">IF(C899=0,"",IF($A899="Bank",IF(INDEX(Bank!$G:$G,$C899)="","",INDEX(Bank!$G:$G,$C899)),IF(INDEX(GL!$G:$G,$C899)="","",INDEX(GL!$G:$G,$C899))))</f>
        <v/>
      </c>
      <c r="K899" s="5" t="str">
        <f aca="false">IF(C899=0,"",IF($A899="Bank",IF(INDEX(Bank!$I:$I,$C899)="","",INDEX(Bank!$I:$I,$C899)),IF(INDEX(GL!$I:$I,$C899)="","",INDEX(GL!$I:$I,$C899))))</f>
        <v/>
      </c>
      <c r="L899" s="5" t="str">
        <f aca="false">IF(B899="","",IF(C899=0,"NOT FOUND",IF(IF($A899="Bank",INDEX(Bank!$F:$F,$C899),INDEX(GL!$F:$F,$C899))="Y","NOW RECONCILED: refresh","OK")))</f>
        <v/>
      </c>
    </row>
    <row r="900" customFormat="false" ht="15" hidden="false" customHeight="false" outlineLevel="0" collapsed="false">
      <c r="A900" s="41"/>
      <c r="B900" s="41"/>
      <c r="C900" s="5" t="n">
        <f aca="false">IF(B900="",0,IF(A900="Bank",IFERROR(MATCH(B900,Bank!$A:$A,0),0),IFERROR(MATCH(B900,GL!$A:$A,0),0)))</f>
        <v>0</v>
      </c>
      <c r="D900" s="32" t="str">
        <f aca="false">IF(C900=0,"",IF($A900="Bank",INDEX(Bank!$B:$B,$C900),INDEX(GL!$B:$B,$C900)))</f>
        <v/>
      </c>
      <c r="E900" s="5" t="str">
        <f aca="false">IF(C900=0,"",IF($A900="Bank",IF(INDEX(Bank!$C:$C,$C900)="","",INDEX(Bank!$C:$C,$C900)),IF(INDEX(GL!$C:$C,$C900)="","",INDEX(GL!$C:$C,$C900))))</f>
        <v/>
      </c>
      <c r="F900" s="5" t="str">
        <f aca="false">IF(C900=0,"",IF($A900="Bank",IF(INDEX(Bank!$D:$D,$C900)="","",INDEX(Bank!$D:$D,$C900)),IF(INDEX(GL!$D:$D,$C900)="","",INDEX(GL!$D:$D,$C900))))</f>
        <v/>
      </c>
      <c r="G900" s="19" t="str">
        <f aca="false">IF(C900=0,"",IF($A900="Bank",INDEX(Bank!$E:$E,$C900),INDEX(GL!$E:$E,$C900)))</f>
        <v/>
      </c>
      <c r="H900" s="5" t="str">
        <f aca="false">IF(C900=0,"",IF(A900="GL",IF(G900&gt;0,"Deposit in transit","Outstanding check / payment"),IF(G900&gt;0,"Bank credit not in GL","Bank debit not in GL")))</f>
        <v/>
      </c>
      <c r="I900" s="42" t="str">
        <f aca="false">IF(OR(C900=0,CFG_PeriodEnd=""),"",CFG_PeriodEnd-D900)</f>
        <v/>
      </c>
      <c r="J900" s="5" t="str">
        <f aca="false">IF(C900=0,"",IF($A900="Bank",IF(INDEX(Bank!$G:$G,$C900)="","",INDEX(Bank!$G:$G,$C900)),IF(INDEX(GL!$G:$G,$C900)="","",INDEX(GL!$G:$G,$C900))))</f>
        <v/>
      </c>
      <c r="K900" s="5" t="str">
        <f aca="false">IF(C900=0,"",IF($A900="Bank",IF(INDEX(Bank!$I:$I,$C900)="","",INDEX(Bank!$I:$I,$C900)),IF(INDEX(GL!$I:$I,$C900)="","",INDEX(GL!$I:$I,$C900))))</f>
        <v/>
      </c>
      <c r="L900" s="5" t="str">
        <f aca="false">IF(B900="","",IF(C900=0,"NOT FOUND",IF(IF($A900="Bank",INDEX(Bank!$F:$F,$C900),INDEX(GL!$F:$F,$C900))="Y","NOW RECONCILED: refresh","OK")))</f>
        <v/>
      </c>
    </row>
    <row r="901" customFormat="false" ht="15" hidden="false" customHeight="false" outlineLevel="0" collapsed="false">
      <c r="A901" s="41"/>
      <c r="B901" s="41"/>
      <c r="C901" s="5" t="n">
        <f aca="false">IF(B901="",0,IF(A901="Bank",IFERROR(MATCH(B901,Bank!$A:$A,0),0),IFERROR(MATCH(B901,GL!$A:$A,0),0)))</f>
        <v>0</v>
      </c>
      <c r="D901" s="32" t="str">
        <f aca="false">IF(C901=0,"",IF($A901="Bank",INDEX(Bank!$B:$B,$C901),INDEX(GL!$B:$B,$C901)))</f>
        <v/>
      </c>
      <c r="E901" s="5" t="str">
        <f aca="false">IF(C901=0,"",IF($A901="Bank",IF(INDEX(Bank!$C:$C,$C901)="","",INDEX(Bank!$C:$C,$C901)),IF(INDEX(GL!$C:$C,$C901)="","",INDEX(GL!$C:$C,$C901))))</f>
        <v/>
      </c>
      <c r="F901" s="5" t="str">
        <f aca="false">IF(C901=0,"",IF($A901="Bank",IF(INDEX(Bank!$D:$D,$C901)="","",INDEX(Bank!$D:$D,$C901)),IF(INDEX(GL!$D:$D,$C901)="","",INDEX(GL!$D:$D,$C901))))</f>
        <v/>
      </c>
      <c r="G901" s="19" t="str">
        <f aca="false">IF(C901=0,"",IF($A901="Bank",INDEX(Bank!$E:$E,$C901),INDEX(GL!$E:$E,$C901)))</f>
        <v/>
      </c>
      <c r="H901" s="5" t="str">
        <f aca="false">IF(C901=0,"",IF(A901="GL",IF(G901&gt;0,"Deposit in transit","Outstanding check / payment"),IF(G901&gt;0,"Bank credit not in GL","Bank debit not in GL")))</f>
        <v/>
      </c>
      <c r="I901" s="42" t="str">
        <f aca="false">IF(OR(C901=0,CFG_PeriodEnd=""),"",CFG_PeriodEnd-D901)</f>
        <v/>
      </c>
      <c r="J901" s="5" t="str">
        <f aca="false">IF(C901=0,"",IF($A901="Bank",IF(INDEX(Bank!$G:$G,$C901)="","",INDEX(Bank!$G:$G,$C901)),IF(INDEX(GL!$G:$G,$C901)="","",INDEX(GL!$G:$G,$C901))))</f>
        <v/>
      </c>
      <c r="K901" s="5" t="str">
        <f aca="false">IF(C901=0,"",IF($A901="Bank",IF(INDEX(Bank!$I:$I,$C901)="","",INDEX(Bank!$I:$I,$C901)),IF(INDEX(GL!$I:$I,$C901)="","",INDEX(GL!$I:$I,$C901))))</f>
        <v/>
      </c>
      <c r="L901" s="5" t="str">
        <f aca="false">IF(B901="","",IF(C901=0,"NOT FOUND",IF(IF($A901="Bank",INDEX(Bank!$F:$F,$C901),INDEX(GL!$F:$F,$C901))="Y","NOW RECONCILED: refresh","OK")))</f>
        <v/>
      </c>
    </row>
    <row r="902" customFormat="false" ht="15" hidden="false" customHeight="false" outlineLevel="0" collapsed="false">
      <c r="A902" s="41"/>
      <c r="B902" s="41"/>
      <c r="C902" s="5" t="n">
        <f aca="false">IF(B902="",0,IF(A902="Bank",IFERROR(MATCH(B902,Bank!$A:$A,0),0),IFERROR(MATCH(B902,GL!$A:$A,0),0)))</f>
        <v>0</v>
      </c>
      <c r="D902" s="32" t="str">
        <f aca="false">IF(C902=0,"",IF($A902="Bank",INDEX(Bank!$B:$B,$C902),INDEX(GL!$B:$B,$C902)))</f>
        <v/>
      </c>
      <c r="E902" s="5" t="str">
        <f aca="false">IF(C902=0,"",IF($A902="Bank",IF(INDEX(Bank!$C:$C,$C902)="","",INDEX(Bank!$C:$C,$C902)),IF(INDEX(GL!$C:$C,$C902)="","",INDEX(GL!$C:$C,$C902))))</f>
        <v/>
      </c>
      <c r="F902" s="5" t="str">
        <f aca="false">IF(C902=0,"",IF($A902="Bank",IF(INDEX(Bank!$D:$D,$C902)="","",INDEX(Bank!$D:$D,$C902)),IF(INDEX(GL!$D:$D,$C902)="","",INDEX(GL!$D:$D,$C902))))</f>
        <v/>
      </c>
      <c r="G902" s="19" t="str">
        <f aca="false">IF(C902=0,"",IF($A902="Bank",INDEX(Bank!$E:$E,$C902),INDEX(GL!$E:$E,$C902)))</f>
        <v/>
      </c>
      <c r="H902" s="5" t="str">
        <f aca="false">IF(C902=0,"",IF(A902="GL",IF(G902&gt;0,"Deposit in transit","Outstanding check / payment"),IF(G902&gt;0,"Bank credit not in GL","Bank debit not in GL")))</f>
        <v/>
      </c>
      <c r="I902" s="42" t="str">
        <f aca="false">IF(OR(C902=0,CFG_PeriodEnd=""),"",CFG_PeriodEnd-D902)</f>
        <v/>
      </c>
      <c r="J902" s="5" t="str">
        <f aca="false">IF(C902=0,"",IF($A902="Bank",IF(INDEX(Bank!$G:$G,$C902)="","",INDEX(Bank!$G:$G,$C902)),IF(INDEX(GL!$G:$G,$C902)="","",INDEX(GL!$G:$G,$C902))))</f>
        <v/>
      </c>
      <c r="K902" s="5" t="str">
        <f aca="false">IF(C902=0,"",IF($A902="Bank",IF(INDEX(Bank!$I:$I,$C902)="","",INDEX(Bank!$I:$I,$C902)),IF(INDEX(GL!$I:$I,$C902)="","",INDEX(GL!$I:$I,$C902))))</f>
        <v/>
      </c>
      <c r="L902" s="5" t="str">
        <f aca="false">IF(B902="","",IF(C902=0,"NOT FOUND",IF(IF($A902="Bank",INDEX(Bank!$F:$F,$C902),INDEX(GL!$F:$F,$C902))="Y","NOW RECONCILED: refresh","OK")))</f>
        <v/>
      </c>
    </row>
    <row r="903" customFormat="false" ht="15" hidden="false" customHeight="false" outlineLevel="0" collapsed="false">
      <c r="A903" s="41"/>
      <c r="B903" s="41"/>
      <c r="C903" s="5" t="n">
        <f aca="false">IF(B903="",0,IF(A903="Bank",IFERROR(MATCH(B903,Bank!$A:$A,0),0),IFERROR(MATCH(B903,GL!$A:$A,0),0)))</f>
        <v>0</v>
      </c>
      <c r="D903" s="32" t="str">
        <f aca="false">IF(C903=0,"",IF($A903="Bank",INDEX(Bank!$B:$B,$C903),INDEX(GL!$B:$B,$C903)))</f>
        <v/>
      </c>
      <c r="E903" s="5" t="str">
        <f aca="false">IF(C903=0,"",IF($A903="Bank",IF(INDEX(Bank!$C:$C,$C903)="","",INDEX(Bank!$C:$C,$C903)),IF(INDEX(GL!$C:$C,$C903)="","",INDEX(GL!$C:$C,$C903))))</f>
        <v/>
      </c>
      <c r="F903" s="5" t="str">
        <f aca="false">IF(C903=0,"",IF($A903="Bank",IF(INDEX(Bank!$D:$D,$C903)="","",INDEX(Bank!$D:$D,$C903)),IF(INDEX(GL!$D:$D,$C903)="","",INDEX(GL!$D:$D,$C903))))</f>
        <v/>
      </c>
      <c r="G903" s="19" t="str">
        <f aca="false">IF(C903=0,"",IF($A903="Bank",INDEX(Bank!$E:$E,$C903),INDEX(GL!$E:$E,$C903)))</f>
        <v/>
      </c>
      <c r="H903" s="5" t="str">
        <f aca="false">IF(C903=0,"",IF(A903="GL",IF(G903&gt;0,"Deposit in transit","Outstanding check / payment"),IF(G903&gt;0,"Bank credit not in GL","Bank debit not in GL")))</f>
        <v/>
      </c>
      <c r="I903" s="42" t="str">
        <f aca="false">IF(OR(C903=0,CFG_PeriodEnd=""),"",CFG_PeriodEnd-D903)</f>
        <v/>
      </c>
      <c r="J903" s="5" t="str">
        <f aca="false">IF(C903=0,"",IF($A903="Bank",IF(INDEX(Bank!$G:$G,$C903)="","",INDEX(Bank!$G:$G,$C903)),IF(INDEX(GL!$G:$G,$C903)="","",INDEX(GL!$G:$G,$C903))))</f>
        <v/>
      </c>
      <c r="K903" s="5" t="str">
        <f aca="false">IF(C903=0,"",IF($A903="Bank",IF(INDEX(Bank!$I:$I,$C903)="","",INDEX(Bank!$I:$I,$C903)),IF(INDEX(GL!$I:$I,$C903)="","",INDEX(GL!$I:$I,$C903))))</f>
        <v/>
      </c>
      <c r="L903" s="5" t="str">
        <f aca="false">IF(B903="","",IF(C903=0,"NOT FOUND",IF(IF($A903="Bank",INDEX(Bank!$F:$F,$C903),INDEX(GL!$F:$F,$C903))="Y","NOW RECONCILED: refresh","OK")))</f>
        <v/>
      </c>
    </row>
    <row r="904" customFormat="false" ht="15" hidden="false" customHeight="false" outlineLevel="0" collapsed="false">
      <c r="A904" s="41"/>
      <c r="B904" s="41"/>
      <c r="C904" s="5" t="n">
        <f aca="false">IF(B904="",0,IF(A904="Bank",IFERROR(MATCH(B904,Bank!$A:$A,0),0),IFERROR(MATCH(B904,GL!$A:$A,0),0)))</f>
        <v>0</v>
      </c>
      <c r="D904" s="32" t="str">
        <f aca="false">IF(C904=0,"",IF($A904="Bank",INDEX(Bank!$B:$B,$C904),INDEX(GL!$B:$B,$C904)))</f>
        <v/>
      </c>
      <c r="E904" s="5" t="str">
        <f aca="false">IF(C904=0,"",IF($A904="Bank",IF(INDEX(Bank!$C:$C,$C904)="","",INDEX(Bank!$C:$C,$C904)),IF(INDEX(GL!$C:$C,$C904)="","",INDEX(GL!$C:$C,$C904))))</f>
        <v/>
      </c>
      <c r="F904" s="5" t="str">
        <f aca="false">IF(C904=0,"",IF($A904="Bank",IF(INDEX(Bank!$D:$D,$C904)="","",INDEX(Bank!$D:$D,$C904)),IF(INDEX(GL!$D:$D,$C904)="","",INDEX(GL!$D:$D,$C904))))</f>
        <v/>
      </c>
      <c r="G904" s="19" t="str">
        <f aca="false">IF(C904=0,"",IF($A904="Bank",INDEX(Bank!$E:$E,$C904),INDEX(GL!$E:$E,$C904)))</f>
        <v/>
      </c>
      <c r="H904" s="5" t="str">
        <f aca="false">IF(C904=0,"",IF(A904="GL",IF(G904&gt;0,"Deposit in transit","Outstanding check / payment"),IF(G904&gt;0,"Bank credit not in GL","Bank debit not in GL")))</f>
        <v/>
      </c>
      <c r="I904" s="42" t="str">
        <f aca="false">IF(OR(C904=0,CFG_PeriodEnd=""),"",CFG_PeriodEnd-D904)</f>
        <v/>
      </c>
      <c r="J904" s="5" t="str">
        <f aca="false">IF(C904=0,"",IF($A904="Bank",IF(INDEX(Bank!$G:$G,$C904)="","",INDEX(Bank!$G:$G,$C904)),IF(INDEX(GL!$G:$G,$C904)="","",INDEX(GL!$G:$G,$C904))))</f>
        <v/>
      </c>
      <c r="K904" s="5" t="str">
        <f aca="false">IF(C904=0,"",IF($A904="Bank",IF(INDEX(Bank!$I:$I,$C904)="","",INDEX(Bank!$I:$I,$C904)),IF(INDEX(GL!$I:$I,$C904)="","",INDEX(GL!$I:$I,$C904))))</f>
        <v/>
      </c>
      <c r="L904" s="5" t="str">
        <f aca="false">IF(B904="","",IF(C904=0,"NOT FOUND",IF(IF($A904="Bank",INDEX(Bank!$F:$F,$C904),INDEX(GL!$F:$F,$C904))="Y","NOW RECONCILED: refresh","OK")))</f>
        <v/>
      </c>
    </row>
    <row r="905" customFormat="false" ht="15" hidden="false" customHeight="false" outlineLevel="0" collapsed="false">
      <c r="A905" s="41"/>
      <c r="B905" s="41"/>
      <c r="C905" s="5" t="n">
        <f aca="false">IF(B905="",0,IF(A905="Bank",IFERROR(MATCH(B905,Bank!$A:$A,0),0),IFERROR(MATCH(B905,GL!$A:$A,0),0)))</f>
        <v>0</v>
      </c>
      <c r="D905" s="32" t="str">
        <f aca="false">IF(C905=0,"",IF($A905="Bank",INDEX(Bank!$B:$B,$C905),INDEX(GL!$B:$B,$C905)))</f>
        <v/>
      </c>
      <c r="E905" s="5" t="str">
        <f aca="false">IF(C905=0,"",IF($A905="Bank",IF(INDEX(Bank!$C:$C,$C905)="","",INDEX(Bank!$C:$C,$C905)),IF(INDEX(GL!$C:$C,$C905)="","",INDEX(GL!$C:$C,$C905))))</f>
        <v/>
      </c>
      <c r="F905" s="5" t="str">
        <f aca="false">IF(C905=0,"",IF($A905="Bank",IF(INDEX(Bank!$D:$D,$C905)="","",INDEX(Bank!$D:$D,$C905)),IF(INDEX(GL!$D:$D,$C905)="","",INDEX(GL!$D:$D,$C905))))</f>
        <v/>
      </c>
      <c r="G905" s="19" t="str">
        <f aca="false">IF(C905=0,"",IF($A905="Bank",INDEX(Bank!$E:$E,$C905),INDEX(GL!$E:$E,$C905)))</f>
        <v/>
      </c>
      <c r="H905" s="5" t="str">
        <f aca="false">IF(C905=0,"",IF(A905="GL",IF(G905&gt;0,"Deposit in transit","Outstanding check / payment"),IF(G905&gt;0,"Bank credit not in GL","Bank debit not in GL")))</f>
        <v/>
      </c>
      <c r="I905" s="42" t="str">
        <f aca="false">IF(OR(C905=0,CFG_PeriodEnd=""),"",CFG_PeriodEnd-D905)</f>
        <v/>
      </c>
      <c r="J905" s="5" t="str">
        <f aca="false">IF(C905=0,"",IF($A905="Bank",IF(INDEX(Bank!$G:$G,$C905)="","",INDEX(Bank!$G:$G,$C905)),IF(INDEX(GL!$G:$G,$C905)="","",INDEX(GL!$G:$G,$C905))))</f>
        <v/>
      </c>
      <c r="K905" s="5" t="str">
        <f aca="false">IF(C905=0,"",IF($A905="Bank",IF(INDEX(Bank!$I:$I,$C905)="","",INDEX(Bank!$I:$I,$C905)),IF(INDEX(GL!$I:$I,$C905)="","",INDEX(GL!$I:$I,$C905))))</f>
        <v/>
      </c>
      <c r="L905" s="5" t="str">
        <f aca="false">IF(B905="","",IF(C905=0,"NOT FOUND",IF(IF($A905="Bank",INDEX(Bank!$F:$F,$C905),INDEX(GL!$F:$F,$C905))="Y","NOW RECONCILED: refresh","OK")))</f>
        <v/>
      </c>
    </row>
    <row r="906" customFormat="false" ht="15" hidden="false" customHeight="false" outlineLevel="0" collapsed="false">
      <c r="A906" s="41"/>
      <c r="B906" s="41"/>
      <c r="C906" s="5" t="n">
        <f aca="false">IF(B906="",0,IF(A906="Bank",IFERROR(MATCH(B906,Bank!$A:$A,0),0),IFERROR(MATCH(B906,GL!$A:$A,0),0)))</f>
        <v>0</v>
      </c>
      <c r="D906" s="32" t="str">
        <f aca="false">IF(C906=0,"",IF($A906="Bank",INDEX(Bank!$B:$B,$C906),INDEX(GL!$B:$B,$C906)))</f>
        <v/>
      </c>
      <c r="E906" s="5" t="str">
        <f aca="false">IF(C906=0,"",IF($A906="Bank",IF(INDEX(Bank!$C:$C,$C906)="","",INDEX(Bank!$C:$C,$C906)),IF(INDEX(GL!$C:$C,$C906)="","",INDEX(GL!$C:$C,$C906))))</f>
        <v/>
      </c>
      <c r="F906" s="5" t="str">
        <f aca="false">IF(C906=0,"",IF($A906="Bank",IF(INDEX(Bank!$D:$D,$C906)="","",INDEX(Bank!$D:$D,$C906)),IF(INDEX(GL!$D:$D,$C906)="","",INDEX(GL!$D:$D,$C906))))</f>
        <v/>
      </c>
      <c r="G906" s="19" t="str">
        <f aca="false">IF(C906=0,"",IF($A906="Bank",INDEX(Bank!$E:$E,$C906),INDEX(GL!$E:$E,$C906)))</f>
        <v/>
      </c>
      <c r="H906" s="5" t="str">
        <f aca="false">IF(C906=0,"",IF(A906="GL",IF(G906&gt;0,"Deposit in transit","Outstanding check / payment"),IF(G906&gt;0,"Bank credit not in GL","Bank debit not in GL")))</f>
        <v/>
      </c>
      <c r="I906" s="42" t="str">
        <f aca="false">IF(OR(C906=0,CFG_PeriodEnd=""),"",CFG_PeriodEnd-D906)</f>
        <v/>
      </c>
      <c r="J906" s="5" t="str">
        <f aca="false">IF(C906=0,"",IF($A906="Bank",IF(INDEX(Bank!$G:$G,$C906)="","",INDEX(Bank!$G:$G,$C906)),IF(INDEX(GL!$G:$G,$C906)="","",INDEX(GL!$G:$G,$C906))))</f>
        <v/>
      </c>
      <c r="K906" s="5" t="str">
        <f aca="false">IF(C906=0,"",IF($A906="Bank",IF(INDEX(Bank!$I:$I,$C906)="","",INDEX(Bank!$I:$I,$C906)),IF(INDEX(GL!$I:$I,$C906)="","",INDEX(GL!$I:$I,$C906))))</f>
        <v/>
      </c>
      <c r="L906" s="5" t="str">
        <f aca="false">IF(B906="","",IF(C906=0,"NOT FOUND",IF(IF($A906="Bank",INDEX(Bank!$F:$F,$C906),INDEX(GL!$F:$F,$C906))="Y","NOW RECONCILED: refresh","OK")))</f>
        <v/>
      </c>
    </row>
    <row r="907" customFormat="false" ht="15" hidden="false" customHeight="false" outlineLevel="0" collapsed="false">
      <c r="A907" s="41"/>
      <c r="B907" s="41"/>
      <c r="C907" s="5" t="n">
        <f aca="false">IF(B907="",0,IF(A907="Bank",IFERROR(MATCH(B907,Bank!$A:$A,0),0),IFERROR(MATCH(B907,GL!$A:$A,0),0)))</f>
        <v>0</v>
      </c>
      <c r="D907" s="32" t="str">
        <f aca="false">IF(C907=0,"",IF($A907="Bank",INDEX(Bank!$B:$B,$C907),INDEX(GL!$B:$B,$C907)))</f>
        <v/>
      </c>
      <c r="E907" s="5" t="str">
        <f aca="false">IF(C907=0,"",IF($A907="Bank",IF(INDEX(Bank!$C:$C,$C907)="","",INDEX(Bank!$C:$C,$C907)),IF(INDEX(GL!$C:$C,$C907)="","",INDEX(GL!$C:$C,$C907))))</f>
        <v/>
      </c>
      <c r="F907" s="5" t="str">
        <f aca="false">IF(C907=0,"",IF($A907="Bank",IF(INDEX(Bank!$D:$D,$C907)="","",INDEX(Bank!$D:$D,$C907)),IF(INDEX(GL!$D:$D,$C907)="","",INDEX(GL!$D:$D,$C907))))</f>
        <v/>
      </c>
      <c r="G907" s="19" t="str">
        <f aca="false">IF(C907=0,"",IF($A907="Bank",INDEX(Bank!$E:$E,$C907),INDEX(GL!$E:$E,$C907)))</f>
        <v/>
      </c>
      <c r="H907" s="5" t="str">
        <f aca="false">IF(C907=0,"",IF(A907="GL",IF(G907&gt;0,"Deposit in transit","Outstanding check / payment"),IF(G907&gt;0,"Bank credit not in GL","Bank debit not in GL")))</f>
        <v/>
      </c>
      <c r="I907" s="42" t="str">
        <f aca="false">IF(OR(C907=0,CFG_PeriodEnd=""),"",CFG_PeriodEnd-D907)</f>
        <v/>
      </c>
      <c r="J907" s="5" t="str">
        <f aca="false">IF(C907=0,"",IF($A907="Bank",IF(INDEX(Bank!$G:$G,$C907)="","",INDEX(Bank!$G:$G,$C907)),IF(INDEX(GL!$G:$G,$C907)="","",INDEX(GL!$G:$G,$C907))))</f>
        <v/>
      </c>
      <c r="K907" s="5" t="str">
        <f aca="false">IF(C907=0,"",IF($A907="Bank",IF(INDEX(Bank!$I:$I,$C907)="","",INDEX(Bank!$I:$I,$C907)),IF(INDEX(GL!$I:$I,$C907)="","",INDEX(GL!$I:$I,$C907))))</f>
        <v/>
      </c>
      <c r="L907" s="5" t="str">
        <f aca="false">IF(B907="","",IF(C907=0,"NOT FOUND",IF(IF($A907="Bank",INDEX(Bank!$F:$F,$C907),INDEX(GL!$F:$F,$C907))="Y","NOW RECONCILED: refresh","OK")))</f>
        <v/>
      </c>
    </row>
    <row r="908" customFormat="false" ht="15" hidden="false" customHeight="false" outlineLevel="0" collapsed="false">
      <c r="A908" s="41"/>
      <c r="B908" s="41"/>
      <c r="C908" s="5" t="n">
        <f aca="false">IF(B908="",0,IF(A908="Bank",IFERROR(MATCH(B908,Bank!$A:$A,0),0),IFERROR(MATCH(B908,GL!$A:$A,0),0)))</f>
        <v>0</v>
      </c>
      <c r="D908" s="32" t="str">
        <f aca="false">IF(C908=0,"",IF($A908="Bank",INDEX(Bank!$B:$B,$C908),INDEX(GL!$B:$B,$C908)))</f>
        <v/>
      </c>
      <c r="E908" s="5" t="str">
        <f aca="false">IF(C908=0,"",IF($A908="Bank",IF(INDEX(Bank!$C:$C,$C908)="","",INDEX(Bank!$C:$C,$C908)),IF(INDEX(GL!$C:$C,$C908)="","",INDEX(GL!$C:$C,$C908))))</f>
        <v/>
      </c>
      <c r="F908" s="5" t="str">
        <f aca="false">IF(C908=0,"",IF($A908="Bank",IF(INDEX(Bank!$D:$D,$C908)="","",INDEX(Bank!$D:$D,$C908)),IF(INDEX(GL!$D:$D,$C908)="","",INDEX(GL!$D:$D,$C908))))</f>
        <v/>
      </c>
      <c r="G908" s="19" t="str">
        <f aca="false">IF(C908=0,"",IF($A908="Bank",INDEX(Bank!$E:$E,$C908),INDEX(GL!$E:$E,$C908)))</f>
        <v/>
      </c>
      <c r="H908" s="5" t="str">
        <f aca="false">IF(C908=0,"",IF(A908="GL",IF(G908&gt;0,"Deposit in transit","Outstanding check / payment"),IF(G908&gt;0,"Bank credit not in GL","Bank debit not in GL")))</f>
        <v/>
      </c>
      <c r="I908" s="42" t="str">
        <f aca="false">IF(OR(C908=0,CFG_PeriodEnd=""),"",CFG_PeriodEnd-D908)</f>
        <v/>
      </c>
      <c r="J908" s="5" t="str">
        <f aca="false">IF(C908=0,"",IF($A908="Bank",IF(INDEX(Bank!$G:$G,$C908)="","",INDEX(Bank!$G:$G,$C908)),IF(INDEX(GL!$G:$G,$C908)="","",INDEX(GL!$G:$G,$C908))))</f>
        <v/>
      </c>
      <c r="K908" s="5" t="str">
        <f aca="false">IF(C908=0,"",IF($A908="Bank",IF(INDEX(Bank!$I:$I,$C908)="","",INDEX(Bank!$I:$I,$C908)),IF(INDEX(GL!$I:$I,$C908)="","",INDEX(GL!$I:$I,$C908))))</f>
        <v/>
      </c>
      <c r="L908" s="5" t="str">
        <f aca="false">IF(B908="","",IF(C908=0,"NOT FOUND",IF(IF($A908="Bank",INDEX(Bank!$F:$F,$C908),INDEX(GL!$F:$F,$C908))="Y","NOW RECONCILED: refresh","OK")))</f>
        <v/>
      </c>
    </row>
    <row r="909" customFormat="false" ht="15" hidden="false" customHeight="false" outlineLevel="0" collapsed="false">
      <c r="A909" s="41"/>
      <c r="B909" s="41"/>
      <c r="C909" s="5" t="n">
        <f aca="false">IF(B909="",0,IF(A909="Bank",IFERROR(MATCH(B909,Bank!$A:$A,0),0),IFERROR(MATCH(B909,GL!$A:$A,0),0)))</f>
        <v>0</v>
      </c>
      <c r="D909" s="32" t="str">
        <f aca="false">IF(C909=0,"",IF($A909="Bank",INDEX(Bank!$B:$B,$C909),INDEX(GL!$B:$B,$C909)))</f>
        <v/>
      </c>
      <c r="E909" s="5" t="str">
        <f aca="false">IF(C909=0,"",IF($A909="Bank",IF(INDEX(Bank!$C:$C,$C909)="","",INDEX(Bank!$C:$C,$C909)),IF(INDEX(GL!$C:$C,$C909)="","",INDEX(GL!$C:$C,$C909))))</f>
        <v/>
      </c>
      <c r="F909" s="5" t="str">
        <f aca="false">IF(C909=0,"",IF($A909="Bank",IF(INDEX(Bank!$D:$D,$C909)="","",INDEX(Bank!$D:$D,$C909)),IF(INDEX(GL!$D:$D,$C909)="","",INDEX(GL!$D:$D,$C909))))</f>
        <v/>
      </c>
      <c r="G909" s="19" t="str">
        <f aca="false">IF(C909=0,"",IF($A909="Bank",INDEX(Bank!$E:$E,$C909),INDEX(GL!$E:$E,$C909)))</f>
        <v/>
      </c>
      <c r="H909" s="5" t="str">
        <f aca="false">IF(C909=0,"",IF(A909="GL",IF(G909&gt;0,"Deposit in transit","Outstanding check / payment"),IF(G909&gt;0,"Bank credit not in GL","Bank debit not in GL")))</f>
        <v/>
      </c>
      <c r="I909" s="42" t="str">
        <f aca="false">IF(OR(C909=0,CFG_PeriodEnd=""),"",CFG_PeriodEnd-D909)</f>
        <v/>
      </c>
      <c r="J909" s="5" t="str">
        <f aca="false">IF(C909=0,"",IF($A909="Bank",IF(INDEX(Bank!$G:$G,$C909)="","",INDEX(Bank!$G:$G,$C909)),IF(INDEX(GL!$G:$G,$C909)="","",INDEX(GL!$G:$G,$C909))))</f>
        <v/>
      </c>
      <c r="K909" s="5" t="str">
        <f aca="false">IF(C909=0,"",IF($A909="Bank",IF(INDEX(Bank!$I:$I,$C909)="","",INDEX(Bank!$I:$I,$C909)),IF(INDEX(GL!$I:$I,$C909)="","",INDEX(GL!$I:$I,$C909))))</f>
        <v/>
      </c>
      <c r="L909" s="5" t="str">
        <f aca="false">IF(B909="","",IF(C909=0,"NOT FOUND",IF(IF($A909="Bank",INDEX(Bank!$F:$F,$C909),INDEX(GL!$F:$F,$C909))="Y","NOW RECONCILED: refresh","OK")))</f>
        <v/>
      </c>
    </row>
    <row r="910" customFormat="false" ht="15" hidden="false" customHeight="false" outlineLevel="0" collapsed="false">
      <c r="A910" s="41"/>
      <c r="B910" s="41"/>
      <c r="C910" s="5" t="n">
        <f aca="false">IF(B910="",0,IF(A910="Bank",IFERROR(MATCH(B910,Bank!$A:$A,0),0),IFERROR(MATCH(B910,GL!$A:$A,0),0)))</f>
        <v>0</v>
      </c>
      <c r="D910" s="32" t="str">
        <f aca="false">IF(C910=0,"",IF($A910="Bank",INDEX(Bank!$B:$B,$C910),INDEX(GL!$B:$B,$C910)))</f>
        <v/>
      </c>
      <c r="E910" s="5" t="str">
        <f aca="false">IF(C910=0,"",IF($A910="Bank",IF(INDEX(Bank!$C:$C,$C910)="","",INDEX(Bank!$C:$C,$C910)),IF(INDEX(GL!$C:$C,$C910)="","",INDEX(GL!$C:$C,$C910))))</f>
        <v/>
      </c>
      <c r="F910" s="5" t="str">
        <f aca="false">IF(C910=0,"",IF($A910="Bank",IF(INDEX(Bank!$D:$D,$C910)="","",INDEX(Bank!$D:$D,$C910)),IF(INDEX(GL!$D:$D,$C910)="","",INDEX(GL!$D:$D,$C910))))</f>
        <v/>
      </c>
      <c r="G910" s="19" t="str">
        <f aca="false">IF(C910=0,"",IF($A910="Bank",INDEX(Bank!$E:$E,$C910),INDEX(GL!$E:$E,$C910)))</f>
        <v/>
      </c>
      <c r="H910" s="5" t="str">
        <f aca="false">IF(C910=0,"",IF(A910="GL",IF(G910&gt;0,"Deposit in transit","Outstanding check / payment"),IF(G910&gt;0,"Bank credit not in GL","Bank debit not in GL")))</f>
        <v/>
      </c>
      <c r="I910" s="42" t="str">
        <f aca="false">IF(OR(C910=0,CFG_PeriodEnd=""),"",CFG_PeriodEnd-D910)</f>
        <v/>
      </c>
      <c r="J910" s="5" t="str">
        <f aca="false">IF(C910=0,"",IF($A910="Bank",IF(INDEX(Bank!$G:$G,$C910)="","",INDEX(Bank!$G:$G,$C910)),IF(INDEX(GL!$G:$G,$C910)="","",INDEX(GL!$G:$G,$C910))))</f>
        <v/>
      </c>
      <c r="K910" s="5" t="str">
        <f aca="false">IF(C910=0,"",IF($A910="Bank",IF(INDEX(Bank!$I:$I,$C910)="","",INDEX(Bank!$I:$I,$C910)),IF(INDEX(GL!$I:$I,$C910)="","",INDEX(GL!$I:$I,$C910))))</f>
        <v/>
      </c>
      <c r="L910" s="5" t="str">
        <f aca="false">IF(B910="","",IF(C910=0,"NOT FOUND",IF(IF($A910="Bank",INDEX(Bank!$F:$F,$C910),INDEX(GL!$F:$F,$C910))="Y","NOW RECONCILED: refresh","OK")))</f>
        <v/>
      </c>
    </row>
    <row r="911" customFormat="false" ht="15" hidden="false" customHeight="false" outlineLevel="0" collapsed="false">
      <c r="A911" s="41"/>
      <c r="B911" s="41"/>
      <c r="C911" s="5" t="n">
        <f aca="false">IF(B911="",0,IF(A911="Bank",IFERROR(MATCH(B911,Bank!$A:$A,0),0),IFERROR(MATCH(B911,GL!$A:$A,0),0)))</f>
        <v>0</v>
      </c>
      <c r="D911" s="32" t="str">
        <f aca="false">IF(C911=0,"",IF($A911="Bank",INDEX(Bank!$B:$B,$C911),INDEX(GL!$B:$B,$C911)))</f>
        <v/>
      </c>
      <c r="E911" s="5" t="str">
        <f aca="false">IF(C911=0,"",IF($A911="Bank",IF(INDEX(Bank!$C:$C,$C911)="","",INDEX(Bank!$C:$C,$C911)),IF(INDEX(GL!$C:$C,$C911)="","",INDEX(GL!$C:$C,$C911))))</f>
        <v/>
      </c>
      <c r="F911" s="5" t="str">
        <f aca="false">IF(C911=0,"",IF($A911="Bank",IF(INDEX(Bank!$D:$D,$C911)="","",INDEX(Bank!$D:$D,$C911)),IF(INDEX(GL!$D:$D,$C911)="","",INDEX(GL!$D:$D,$C911))))</f>
        <v/>
      </c>
      <c r="G911" s="19" t="str">
        <f aca="false">IF(C911=0,"",IF($A911="Bank",INDEX(Bank!$E:$E,$C911),INDEX(GL!$E:$E,$C911)))</f>
        <v/>
      </c>
      <c r="H911" s="5" t="str">
        <f aca="false">IF(C911=0,"",IF(A911="GL",IF(G911&gt;0,"Deposit in transit","Outstanding check / payment"),IF(G911&gt;0,"Bank credit not in GL","Bank debit not in GL")))</f>
        <v/>
      </c>
      <c r="I911" s="42" t="str">
        <f aca="false">IF(OR(C911=0,CFG_PeriodEnd=""),"",CFG_PeriodEnd-D911)</f>
        <v/>
      </c>
      <c r="J911" s="5" t="str">
        <f aca="false">IF(C911=0,"",IF($A911="Bank",IF(INDEX(Bank!$G:$G,$C911)="","",INDEX(Bank!$G:$G,$C911)),IF(INDEX(GL!$G:$G,$C911)="","",INDEX(GL!$G:$G,$C911))))</f>
        <v/>
      </c>
      <c r="K911" s="5" t="str">
        <f aca="false">IF(C911=0,"",IF($A911="Bank",IF(INDEX(Bank!$I:$I,$C911)="","",INDEX(Bank!$I:$I,$C911)),IF(INDEX(GL!$I:$I,$C911)="","",INDEX(GL!$I:$I,$C911))))</f>
        <v/>
      </c>
      <c r="L911" s="5" t="str">
        <f aca="false">IF(B911="","",IF(C911=0,"NOT FOUND",IF(IF($A911="Bank",INDEX(Bank!$F:$F,$C911),INDEX(GL!$F:$F,$C911))="Y","NOW RECONCILED: refresh","OK")))</f>
        <v/>
      </c>
    </row>
    <row r="912" customFormat="false" ht="15" hidden="false" customHeight="false" outlineLevel="0" collapsed="false">
      <c r="A912" s="41"/>
      <c r="B912" s="41"/>
      <c r="C912" s="5" t="n">
        <f aca="false">IF(B912="",0,IF(A912="Bank",IFERROR(MATCH(B912,Bank!$A:$A,0),0),IFERROR(MATCH(B912,GL!$A:$A,0),0)))</f>
        <v>0</v>
      </c>
      <c r="D912" s="32" t="str">
        <f aca="false">IF(C912=0,"",IF($A912="Bank",INDEX(Bank!$B:$B,$C912),INDEX(GL!$B:$B,$C912)))</f>
        <v/>
      </c>
      <c r="E912" s="5" t="str">
        <f aca="false">IF(C912=0,"",IF($A912="Bank",IF(INDEX(Bank!$C:$C,$C912)="","",INDEX(Bank!$C:$C,$C912)),IF(INDEX(GL!$C:$C,$C912)="","",INDEX(GL!$C:$C,$C912))))</f>
        <v/>
      </c>
      <c r="F912" s="5" t="str">
        <f aca="false">IF(C912=0,"",IF($A912="Bank",IF(INDEX(Bank!$D:$D,$C912)="","",INDEX(Bank!$D:$D,$C912)),IF(INDEX(GL!$D:$D,$C912)="","",INDEX(GL!$D:$D,$C912))))</f>
        <v/>
      </c>
      <c r="G912" s="19" t="str">
        <f aca="false">IF(C912=0,"",IF($A912="Bank",INDEX(Bank!$E:$E,$C912),INDEX(GL!$E:$E,$C912)))</f>
        <v/>
      </c>
      <c r="H912" s="5" t="str">
        <f aca="false">IF(C912=0,"",IF(A912="GL",IF(G912&gt;0,"Deposit in transit","Outstanding check / payment"),IF(G912&gt;0,"Bank credit not in GL","Bank debit not in GL")))</f>
        <v/>
      </c>
      <c r="I912" s="42" t="str">
        <f aca="false">IF(OR(C912=0,CFG_PeriodEnd=""),"",CFG_PeriodEnd-D912)</f>
        <v/>
      </c>
      <c r="J912" s="5" t="str">
        <f aca="false">IF(C912=0,"",IF($A912="Bank",IF(INDEX(Bank!$G:$G,$C912)="","",INDEX(Bank!$G:$G,$C912)),IF(INDEX(GL!$G:$G,$C912)="","",INDEX(GL!$G:$G,$C912))))</f>
        <v/>
      </c>
      <c r="K912" s="5" t="str">
        <f aca="false">IF(C912=0,"",IF($A912="Bank",IF(INDEX(Bank!$I:$I,$C912)="","",INDEX(Bank!$I:$I,$C912)),IF(INDEX(GL!$I:$I,$C912)="","",INDEX(GL!$I:$I,$C912))))</f>
        <v/>
      </c>
      <c r="L912" s="5" t="str">
        <f aca="false">IF(B912="","",IF(C912=0,"NOT FOUND",IF(IF($A912="Bank",INDEX(Bank!$F:$F,$C912),INDEX(GL!$F:$F,$C912))="Y","NOW RECONCILED: refresh","OK")))</f>
        <v/>
      </c>
    </row>
    <row r="913" customFormat="false" ht="15" hidden="false" customHeight="false" outlineLevel="0" collapsed="false">
      <c r="A913" s="41"/>
      <c r="B913" s="41"/>
      <c r="C913" s="5" t="n">
        <f aca="false">IF(B913="",0,IF(A913="Bank",IFERROR(MATCH(B913,Bank!$A:$A,0),0),IFERROR(MATCH(B913,GL!$A:$A,0),0)))</f>
        <v>0</v>
      </c>
      <c r="D913" s="32" t="str">
        <f aca="false">IF(C913=0,"",IF($A913="Bank",INDEX(Bank!$B:$B,$C913),INDEX(GL!$B:$B,$C913)))</f>
        <v/>
      </c>
      <c r="E913" s="5" t="str">
        <f aca="false">IF(C913=0,"",IF($A913="Bank",IF(INDEX(Bank!$C:$C,$C913)="","",INDEX(Bank!$C:$C,$C913)),IF(INDEX(GL!$C:$C,$C913)="","",INDEX(GL!$C:$C,$C913))))</f>
        <v/>
      </c>
      <c r="F913" s="5" t="str">
        <f aca="false">IF(C913=0,"",IF($A913="Bank",IF(INDEX(Bank!$D:$D,$C913)="","",INDEX(Bank!$D:$D,$C913)),IF(INDEX(GL!$D:$D,$C913)="","",INDEX(GL!$D:$D,$C913))))</f>
        <v/>
      </c>
      <c r="G913" s="19" t="str">
        <f aca="false">IF(C913=0,"",IF($A913="Bank",INDEX(Bank!$E:$E,$C913),INDEX(GL!$E:$E,$C913)))</f>
        <v/>
      </c>
      <c r="H913" s="5" t="str">
        <f aca="false">IF(C913=0,"",IF(A913="GL",IF(G913&gt;0,"Deposit in transit","Outstanding check / payment"),IF(G913&gt;0,"Bank credit not in GL","Bank debit not in GL")))</f>
        <v/>
      </c>
      <c r="I913" s="42" t="str">
        <f aca="false">IF(OR(C913=0,CFG_PeriodEnd=""),"",CFG_PeriodEnd-D913)</f>
        <v/>
      </c>
      <c r="J913" s="5" t="str">
        <f aca="false">IF(C913=0,"",IF($A913="Bank",IF(INDEX(Bank!$G:$G,$C913)="","",INDEX(Bank!$G:$G,$C913)),IF(INDEX(GL!$G:$G,$C913)="","",INDEX(GL!$G:$G,$C913))))</f>
        <v/>
      </c>
      <c r="K913" s="5" t="str">
        <f aca="false">IF(C913=0,"",IF($A913="Bank",IF(INDEX(Bank!$I:$I,$C913)="","",INDEX(Bank!$I:$I,$C913)),IF(INDEX(GL!$I:$I,$C913)="","",INDEX(GL!$I:$I,$C913))))</f>
        <v/>
      </c>
      <c r="L913" s="5" t="str">
        <f aca="false">IF(B913="","",IF(C913=0,"NOT FOUND",IF(IF($A913="Bank",INDEX(Bank!$F:$F,$C913),INDEX(GL!$F:$F,$C913))="Y","NOW RECONCILED: refresh","OK")))</f>
        <v/>
      </c>
    </row>
    <row r="914" customFormat="false" ht="15" hidden="false" customHeight="false" outlineLevel="0" collapsed="false">
      <c r="A914" s="41"/>
      <c r="B914" s="41"/>
      <c r="C914" s="5" t="n">
        <f aca="false">IF(B914="",0,IF(A914="Bank",IFERROR(MATCH(B914,Bank!$A:$A,0),0),IFERROR(MATCH(B914,GL!$A:$A,0),0)))</f>
        <v>0</v>
      </c>
      <c r="D914" s="32" t="str">
        <f aca="false">IF(C914=0,"",IF($A914="Bank",INDEX(Bank!$B:$B,$C914),INDEX(GL!$B:$B,$C914)))</f>
        <v/>
      </c>
      <c r="E914" s="5" t="str">
        <f aca="false">IF(C914=0,"",IF($A914="Bank",IF(INDEX(Bank!$C:$C,$C914)="","",INDEX(Bank!$C:$C,$C914)),IF(INDEX(GL!$C:$C,$C914)="","",INDEX(GL!$C:$C,$C914))))</f>
        <v/>
      </c>
      <c r="F914" s="5" t="str">
        <f aca="false">IF(C914=0,"",IF($A914="Bank",IF(INDEX(Bank!$D:$D,$C914)="","",INDEX(Bank!$D:$D,$C914)),IF(INDEX(GL!$D:$D,$C914)="","",INDEX(GL!$D:$D,$C914))))</f>
        <v/>
      </c>
      <c r="G914" s="19" t="str">
        <f aca="false">IF(C914=0,"",IF($A914="Bank",INDEX(Bank!$E:$E,$C914),INDEX(GL!$E:$E,$C914)))</f>
        <v/>
      </c>
      <c r="H914" s="5" t="str">
        <f aca="false">IF(C914=0,"",IF(A914="GL",IF(G914&gt;0,"Deposit in transit","Outstanding check / payment"),IF(G914&gt;0,"Bank credit not in GL","Bank debit not in GL")))</f>
        <v/>
      </c>
      <c r="I914" s="42" t="str">
        <f aca="false">IF(OR(C914=0,CFG_PeriodEnd=""),"",CFG_PeriodEnd-D914)</f>
        <v/>
      </c>
      <c r="J914" s="5" t="str">
        <f aca="false">IF(C914=0,"",IF($A914="Bank",IF(INDEX(Bank!$G:$G,$C914)="","",INDEX(Bank!$G:$G,$C914)),IF(INDEX(GL!$G:$G,$C914)="","",INDEX(GL!$G:$G,$C914))))</f>
        <v/>
      </c>
      <c r="K914" s="5" t="str">
        <f aca="false">IF(C914=0,"",IF($A914="Bank",IF(INDEX(Bank!$I:$I,$C914)="","",INDEX(Bank!$I:$I,$C914)),IF(INDEX(GL!$I:$I,$C914)="","",INDEX(GL!$I:$I,$C914))))</f>
        <v/>
      </c>
      <c r="L914" s="5" t="str">
        <f aca="false">IF(B914="","",IF(C914=0,"NOT FOUND",IF(IF($A914="Bank",INDEX(Bank!$F:$F,$C914),INDEX(GL!$F:$F,$C914))="Y","NOW RECONCILED: refresh","OK")))</f>
        <v/>
      </c>
    </row>
    <row r="915" customFormat="false" ht="15" hidden="false" customHeight="false" outlineLevel="0" collapsed="false">
      <c r="A915" s="41"/>
      <c r="B915" s="41"/>
      <c r="C915" s="5" t="n">
        <f aca="false">IF(B915="",0,IF(A915="Bank",IFERROR(MATCH(B915,Bank!$A:$A,0),0),IFERROR(MATCH(B915,GL!$A:$A,0),0)))</f>
        <v>0</v>
      </c>
      <c r="D915" s="32" t="str">
        <f aca="false">IF(C915=0,"",IF($A915="Bank",INDEX(Bank!$B:$B,$C915),INDEX(GL!$B:$B,$C915)))</f>
        <v/>
      </c>
      <c r="E915" s="5" t="str">
        <f aca="false">IF(C915=0,"",IF($A915="Bank",IF(INDEX(Bank!$C:$C,$C915)="","",INDEX(Bank!$C:$C,$C915)),IF(INDEX(GL!$C:$C,$C915)="","",INDEX(GL!$C:$C,$C915))))</f>
        <v/>
      </c>
      <c r="F915" s="5" t="str">
        <f aca="false">IF(C915=0,"",IF($A915="Bank",IF(INDEX(Bank!$D:$D,$C915)="","",INDEX(Bank!$D:$D,$C915)),IF(INDEX(GL!$D:$D,$C915)="","",INDEX(GL!$D:$D,$C915))))</f>
        <v/>
      </c>
      <c r="G915" s="19" t="str">
        <f aca="false">IF(C915=0,"",IF($A915="Bank",INDEX(Bank!$E:$E,$C915),INDEX(GL!$E:$E,$C915)))</f>
        <v/>
      </c>
      <c r="H915" s="5" t="str">
        <f aca="false">IF(C915=0,"",IF(A915="GL",IF(G915&gt;0,"Deposit in transit","Outstanding check / payment"),IF(G915&gt;0,"Bank credit not in GL","Bank debit not in GL")))</f>
        <v/>
      </c>
      <c r="I915" s="42" t="str">
        <f aca="false">IF(OR(C915=0,CFG_PeriodEnd=""),"",CFG_PeriodEnd-D915)</f>
        <v/>
      </c>
      <c r="J915" s="5" t="str">
        <f aca="false">IF(C915=0,"",IF($A915="Bank",IF(INDEX(Bank!$G:$G,$C915)="","",INDEX(Bank!$G:$G,$C915)),IF(INDEX(GL!$G:$G,$C915)="","",INDEX(GL!$G:$G,$C915))))</f>
        <v/>
      </c>
      <c r="K915" s="5" t="str">
        <f aca="false">IF(C915=0,"",IF($A915="Bank",IF(INDEX(Bank!$I:$I,$C915)="","",INDEX(Bank!$I:$I,$C915)),IF(INDEX(GL!$I:$I,$C915)="","",INDEX(GL!$I:$I,$C915))))</f>
        <v/>
      </c>
      <c r="L915" s="5" t="str">
        <f aca="false">IF(B915="","",IF(C915=0,"NOT FOUND",IF(IF($A915="Bank",INDEX(Bank!$F:$F,$C915),INDEX(GL!$F:$F,$C915))="Y","NOW RECONCILED: refresh","OK")))</f>
        <v/>
      </c>
    </row>
    <row r="916" customFormat="false" ht="15" hidden="false" customHeight="false" outlineLevel="0" collapsed="false">
      <c r="A916" s="41"/>
      <c r="B916" s="41"/>
      <c r="C916" s="5" t="n">
        <f aca="false">IF(B916="",0,IF(A916="Bank",IFERROR(MATCH(B916,Bank!$A:$A,0),0),IFERROR(MATCH(B916,GL!$A:$A,0),0)))</f>
        <v>0</v>
      </c>
      <c r="D916" s="32" t="str">
        <f aca="false">IF(C916=0,"",IF($A916="Bank",INDEX(Bank!$B:$B,$C916),INDEX(GL!$B:$B,$C916)))</f>
        <v/>
      </c>
      <c r="E916" s="5" t="str">
        <f aca="false">IF(C916=0,"",IF($A916="Bank",IF(INDEX(Bank!$C:$C,$C916)="","",INDEX(Bank!$C:$C,$C916)),IF(INDEX(GL!$C:$C,$C916)="","",INDEX(GL!$C:$C,$C916))))</f>
        <v/>
      </c>
      <c r="F916" s="5" t="str">
        <f aca="false">IF(C916=0,"",IF($A916="Bank",IF(INDEX(Bank!$D:$D,$C916)="","",INDEX(Bank!$D:$D,$C916)),IF(INDEX(GL!$D:$D,$C916)="","",INDEX(GL!$D:$D,$C916))))</f>
        <v/>
      </c>
      <c r="G916" s="19" t="str">
        <f aca="false">IF(C916=0,"",IF($A916="Bank",INDEX(Bank!$E:$E,$C916),INDEX(GL!$E:$E,$C916)))</f>
        <v/>
      </c>
      <c r="H916" s="5" t="str">
        <f aca="false">IF(C916=0,"",IF(A916="GL",IF(G916&gt;0,"Deposit in transit","Outstanding check / payment"),IF(G916&gt;0,"Bank credit not in GL","Bank debit not in GL")))</f>
        <v/>
      </c>
      <c r="I916" s="42" t="str">
        <f aca="false">IF(OR(C916=0,CFG_PeriodEnd=""),"",CFG_PeriodEnd-D916)</f>
        <v/>
      </c>
      <c r="J916" s="5" t="str">
        <f aca="false">IF(C916=0,"",IF($A916="Bank",IF(INDEX(Bank!$G:$G,$C916)="","",INDEX(Bank!$G:$G,$C916)),IF(INDEX(GL!$G:$G,$C916)="","",INDEX(GL!$G:$G,$C916))))</f>
        <v/>
      </c>
      <c r="K916" s="5" t="str">
        <f aca="false">IF(C916=0,"",IF($A916="Bank",IF(INDEX(Bank!$I:$I,$C916)="","",INDEX(Bank!$I:$I,$C916)),IF(INDEX(GL!$I:$I,$C916)="","",INDEX(GL!$I:$I,$C916))))</f>
        <v/>
      </c>
      <c r="L916" s="5" t="str">
        <f aca="false">IF(B916="","",IF(C916=0,"NOT FOUND",IF(IF($A916="Bank",INDEX(Bank!$F:$F,$C916),INDEX(GL!$F:$F,$C916))="Y","NOW RECONCILED: refresh","OK")))</f>
        <v/>
      </c>
    </row>
    <row r="917" customFormat="false" ht="15" hidden="false" customHeight="false" outlineLevel="0" collapsed="false">
      <c r="A917" s="41"/>
      <c r="B917" s="41"/>
      <c r="C917" s="5" t="n">
        <f aca="false">IF(B917="",0,IF(A917="Bank",IFERROR(MATCH(B917,Bank!$A:$A,0),0),IFERROR(MATCH(B917,GL!$A:$A,0),0)))</f>
        <v>0</v>
      </c>
      <c r="D917" s="32" t="str">
        <f aca="false">IF(C917=0,"",IF($A917="Bank",INDEX(Bank!$B:$B,$C917),INDEX(GL!$B:$B,$C917)))</f>
        <v/>
      </c>
      <c r="E917" s="5" t="str">
        <f aca="false">IF(C917=0,"",IF($A917="Bank",IF(INDEX(Bank!$C:$C,$C917)="","",INDEX(Bank!$C:$C,$C917)),IF(INDEX(GL!$C:$C,$C917)="","",INDEX(GL!$C:$C,$C917))))</f>
        <v/>
      </c>
      <c r="F917" s="5" t="str">
        <f aca="false">IF(C917=0,"",IF($A917="Bank",IF(INDEX(Bank!$D:$D,$C917)="","",INDEX(Bank!$D:$D,$C917)),IF(INDEX(GL!$D:$D,$C917)="","",INDEX(GL!$D:$D,$C917))))</f>
        <v/>
      </c>
      <c r="G917" s="19" t="str">
        <f aca="false">IF(C917=0,"",IF($A917="Bank",INDEX(Bank!$E:$E,$C917),INDEX(GL!$E:$E,$C917)))</f>
        <v/>
      </c>
      <c r="H917" s="5" t="str">
        <f aca="false">IF(C917=0,"",IF(A917="GL",IF(G917&gt;0,"Deposit in transit","Outstanding check / payment"),IF(G917&gt;0,"Bank credit not in GL","Bank debit not in GL")))</f>
        <v/>
      </c>
      <c r="I917" s="42" t="str">
        <f aca="false">IF(OR(C917=0,CFG_PeriodEnd=""),"",CFG_PeriodEnd-D917)</f>
        <v/>
      </c>
      <c r="J917" s="5" t="str">
        <f aca="false">IF(C917=0,"",IF($A917="Bank",IF(INDEX(Bank!$G:$G,$C917)="","",INDEX(Bank!$G:$G,$C917)),IF(INDEX(GL!$G:$G,$C917)="","",INDEX(GL!$G:$G,$C917))))</f>
        <v/>
      </c>
      <c r="K917" s="5" t="str">
        <f aca="false">IF(C917=0,"",IF($A917="Bank",IF(INDEX(Bank!$I:$I,$C917)="","",INDEX(Bank!$I:$I,$C917)),IF(INDEX(GL!$I:$I,$C917)="","",INDEX(GL!$I:$I,$C917))))</f>
        <v/>
      </c>
      <c r="L917" s="5" t="str">
        <f aca="false">IF(B917="","",IF(C917=0,"NOT FOUND",IF(IF($A917="Bank",INDEX(Bank!$F:$F,$C917),INDEX(GL!$F:$F,$C917))="Y","NOW RECONCILED: refresh","OK")))</f>
        <v/>
      </c>
    </row>
    <row r="918" customFormat="false" ht="15" hidden="false" customHeight="false" outlineLevel="0" collapsed="false">
      <c r="A918" s="41"/>
      <c r="B918" s="41"/>
      <c r="C918" s="5" t="n">
        <f aca="false">IF(B918="",0,IF(A918="Bank",IFERROR(MATCH(B918,Bank!$A:$A,0),0),IFERROR(MATCH(B918,GL!$A:$A,0),0)))</f>
        <v>0</v>
      </c>
      <c r="D918" s="32" t="str">
        <f aca="false">IF(C918=0,"",IF($A918="Bank",INDEX(Bank!$B:$B,$C918),INDEX(GL!$B:$B,$C918)))</f>
        <v/>
      </c>
      <c r="E918" s="5" t="str">
        <f aca="false">IF(C918=0,"",IF($A918="Bank",IF(INDEX(Bank!$C:$C,$C918)="","",INDEX(Bank!$C:$C,$C918)),IF(INDEX(GL!$C:$C,$C918)="","",INDEX(GL!$C:$C,$C918))))</f>
        <v/>
      </c>
      <c r="F918" s="5" t="str">
        <f aca="false">IF(C918=0,"",IF($A918="Bank",IF(INDEX(Bank!$D:$D,$C918)="","",INDEX(Bank!$D:$D,$C918)),IF(INDEX(GL!$D:$D,$C918)="","",INDEX(GL!$D:$D,$C918))))</f>
        <v/>
      </c>
      <c r="G918" s="19" t="str">
        <f aca="false">IF(C918=0,"",IF($A918="Bank",INDEX(Bank!$E:$E,$C918),INDEX(GL!$E:$E,$C918)))</f>
        <v/>
      </c>
      <c r="H918" s="5" t="str">
        <f aca="false">IF(C918=0,"",IF(A918="GL",IF(G918&gt;0,"Deposit in transit","Outstanding check / payment"),IF(G918&gt;0,"Bank credit not in GL","Bank debit not in GL")))</f>
        <v/>
      </c>
      <c r="I918" s="42" t="str">
        <f aca="false">IF(OR(C918=0,CFG_PeriodEnd=""),"",CFG_PeriodEnd-D918)</f>
        <v/>
      </c>
      <c r="J918" s="5" t="str">
        <f aca="false">IF(C918=0,"",IF($A918="Bank",IF(INDEX(Bank!$G:$G,$C918)="","",INDEX(Bank!$G:$G,$C918)),IF(INDEX(GL!$G:$G,$C918)="","",INDEX(GL!$G:$G,$C918))))</f>
        <v/>
      </c>
      <c r="K918" s="5" t="str">
        <f aca="false">IF(C918=0,"",IF($A918="Bank",IF(INDEX(Bank!$I:$I,$C918)="","",INDEX(Bank!$I:$I,$C918)),IF(INDEX(GL!$I:$I,$C918)="","",INDEX(GL!$I:$I,$C918))))</f>
        <v/>
      </c>
      <c r="L918" s="5" t="str">
        <f aca="false">IF(B918="","",IF(C918=0,"NOT FOUND",IF(IF($A918="Bank",INDEX(Bank!$F:$F,$C918),INDEX(GL!$F:$F,$C918))="Y","NOW RECONCILED: refresh","OK")))</f>
        <v/>
      </c>
    </row>
    <row r="919" customFormat="false" ht="15" hidden="false" customHeight="false" outlineLevel="0" collapsed="false">
      <c r="A919" s="41"/>
      <c r="B919" s="41"/>
      <c r="C919" s="5" t="n">
        <f aca="false">IF(B919="",0,IF(A919="Bank",IFERROR(MATCH(B919,Bank!$A:$A,0),0),IFERROR(MATCH(B919,GL!$A:$A,0),0)))</f>
        <v>0</v>
      </c>
      <c r="D919" s="32" t="str">
        <f aca="false">IF(C919=0,"",IF($A919="Bank",INDEX(Bank!$B:$B,$C919),INDEX(GL!$B:$B,$C919)))</f>
        <v/>
      </c>
      <c r="E919" s="5" t="str">
        <f aca="false">IF(C919=0,"",IF($A919="Bank",IF(INDEX(Bank!$C:$C,$C919)="","",INDEX(Bank!$C:$C,$C919)),IF(INDEX(GL!$C:$C,$C919)="","",INDEX(GL!$C:$C,$C919))))</f>
        <v/>
      </c>
      <c r="F919" s="5" t="str">
        <f aca="false">IF(C919=0,"",IF($A919="Bank",IF(INDEX(Bank!$D:$D,$C919)="","",INDEX(Bank!$D:$D,$C919)),IF(INDEX(GL!$D:$D,$C919)="","",INDEX(GL!$D:$D,$C919))))</f>
        <v/>
      </c>
      <c r="G919" s="19" t="str">
        <f aca="false">IF(C919=0,"",IF($A919="Bank",INDEX(Bank!$E:$E,$C919),INDEX(GL!$E:$E,$C919)))</f>
        <v/>
      </c>
      <c r="H919" s="5" t="str">
        <f aca="false">IF(C919=0,"",IF(A919="GL",IF(G919&gt;0,"Deposit in transit","Outstanding check / payment"),IF(G919&gt;0,"Bank credit not in GL","Bank debit not in GL")))</f>
        <v/>
      </c>
      <c r="I919" s="42" t="str">
        <f aca="false">IF(OR(C919=0,CFG_PeriodEnd=""),"",CFG_PeriodEnd-D919)</f>
        <v/>
      </c>
      <c r="J919" s="5" t="str">
        <f aca="false">IF(C919=0,"",IF($A919="Bank",IF(INDEX(Bank!$G:$G,$C919)="","",INDEX(Bank!$G:$G,$C919)),IF(INDEX(GL!$G:$G,$C919)="","",INDEX(GL!$G:$G,$C919))))</f>
        <v/>
      </c>
      <c r="K919" s="5" t="str">
        <f aca="false">IF(C919=0,"",IF($A919="Bank",IF(INDEX(Bank!$I:$I,$C919)="","",INDEX(Bank!$I:$I,$C919)),IF(INDEX(GL!$I:$I,$C919)="","",INDEX(GL!$I:$I,$C919))))</f>
        <v/>
      </c>
      <c r="L919" s="5" t="str">
        <f aca="false">IF(B919="","",IF(C919=0,"NOT FOUND",IF(IF($A919="Bank",INDEX(Bank!$F:$F,$C919),INDEX(GL!$F:$F,$C919))="Y","NOW RECONCILED: refresh","OK")))</f>
        <v/>
      </c>
    </row>
    <row r="920" customFormat="false" ht="15" hidden="false" customHeight="false" outlineLevel="0" collapsed="false">
      <c r="A920" s="41"/>
      <c r="B920" s="41"/>
      <c r="C920" s="5" t="n">
        <f aca="false">IF(B920="",0,IF(A920="Bank",IFERROR(MATCH(B920,Bank!$A:$A,0),0),IFERROR(MATCH(B920,GL!$A:$A,0),0)))</f>
        <v>0</v>
      </c>
      <c r="D920" s="32" t="str">
        <f aca="false">IF(C920=0,"",IF($A920="Bank",INDEX(Bank!$B:$B,$C920),INDEX(GL!$B:$B,$C920)))</f>
        <v/>
      </c>
      <c r="E920" s="5" t="str">
        <f aca="false">IF(C920=0,"",IF($A920="Bank",IF(INDEX(Bank!$C:$C,$C920)="","",INDEX(Bank!$C:$C,$C920)),IF(INDEX(GL!$C:$C,$C920)="","",INDEX(GL!$C:$C,$C920))))</f>
        <v/>
      </c>
      <c r="F920" s="5" t="str">
        <f aca="false">IF(C920=0,"",IF($A920="Bank",IF(INDEX(Bank!$D:$D,$C920)="","",INDEX(Bank!$D:$D,$C920)),IF(INDEX(GL!$D:$D,$C920)="","",INDEX(GL!$D:$D,$C920))))</f>
        <v/>
      </c>
      <c r="G920" s="19" t="str">
        <f aca="false">IF(C920=0,"",IF($A920="Bank",INDEX(Bank!$E:$E,$C920),INDEX(GL!$E:$E,$C920)))</f>
        <v/>
      </c>
      <c r="H920" s="5" t="str">
        <f aca="false">IF(C920=0,"",IF(A920="GL",IF(G920&gt;0,"Deposit in transit","Outstanding check / payment"),IF(G920&gt;0,"Bank credit not in GL","Bank debit not in GL")))</f>
        <v/>
      </c>
      <c r="I920" s="42" t="str">
        <f aca="false">IF(OR(C920=0,CFG_PeriodEnd=""),"",CFG_PeriodEnd-D920)</f>
        <v/>
      </c>
      <c r="J920" s="5" t="str">
        <f aca="false">IF(C920=0,"",IF($A920="Bank",IF(INDEX(Bank!$G:$G,$C920)="","",INDEX(Bank!$G:$G,$C920)),IF(INDEX(GL!$G:$G,$C920)="","",INDEX(GL!$G:$G,$C920))))</f>
        <v/>
      </c>
      <c r="K920" s="5" t="str">
        <f aca="false">IF(C920=0,"",IF($A920="Bank",IF(INDEX(Bank!$I:$I,$C920)="","",INDEX(Bank!$I:$I,$C920)),IF(INDEX(GL!$I:$I,$C920)="","",INDEX(GL!$I:$I,$C920))))</f>
        <v/>
      </c>
      <c r="L920" s="5" t="str">
        <f aca="false">IF(B920="","",IF(C920=0,"NOT FOUND",IF(IF($A920="Bank",INDEX(Bank!$F:$F,$C920),INDEX(GL!$F:$F,$C920))="Y","NOW RECONCILED: refresh","OK")))</f>
        <v/>
      </c>
    </row>
    <row r="921" customFormat="false" ht="15" hidden="false" customHeight="false" outlineLevel="0" collapsed="false">
      <c r="A921" s="41"/>
      <c r="B921" s="41"/>
      <c r="C921" s="5" t="n">
        <f aca="false">IF(B921="",0,IF(A921="Bank",IFERROR(MATCH(B921,Bank!$A:$A,0),0),IFERROR(MATCH(B921,GL!$A:$A,0),0)))</f>
        <v>0</v>
      </c>
      <c r="D921" s="32" t="str">
        <f aca="false">IF(C921=0,"",IF($A921="Bank",INDEX(Bank!$B:$B,$C921),INDEX(GL!$B:$B,$C921)))</f>
        <v/>
      </c>
      <c r="E921" s="5" t="str">
        <f aca="false">IF(C921=0,"",IF($A921="Bank",IF(INDEX(Bank!$C:$C,$C921)="","",INDEX(Bank!$C:$C,$C921)),IF(INDEX(GL!$C:$C,$C921)="","",INDEX(GL!$C:$C,$C921))))</f>
        <v/>
      </c>
      <c r="F921" s="5" t="str">
        <f aca="false">IF(C921=0,"",IF($A921="Bank",IF(INDEX(Bank!$D:$D,$C921)="","",INDEX(Bank!$D:$D,$C921)),IF(INDEX(GL!$D:$D,$C921)="","",INDEX(GL!$D:$D,$C921))))</f>
        <v/>
      </c>
      <c r="G921" s="19" t="str">
        <f aca="false">IF(C921=0,"",IF($A921="Bank",INDEX(Bank!$E:$E,$C921),INDEX(GL!$E:$E,$C921)))</f>
        <v/>
      </c>
      <c r="H921" s="5" t="str">
        <f aca="false">IF(C921=0,"",IF(A921="GL",IF(G921&gt;0,"Deposit in transit","Outstanding check / payment"),IF(G921&gt;0,"Bank credit not in GL","Bank debit not in GL")))</f>
        <v/>
      </c>
      <c r="I921" s="42" t="str">
        <f aca="false">IF(OR(C921=0,CFG_PeriodEnd=""),"",CFG_PeriodEnd-D921)</f>
        <v/>
      </c>
      <c r="J921" s="5" t="str">
        <f aca="false">IF(C921=0,"",IF($A921="Bank",IF(INDEX(Bank!$G:$G,$C921)="","",INDEX(Bank!$G:$G,$C921)),IF(INDEX(GL!$G:$G,$C921)="","",INDEX(GL!$G:$G,$C921))))</f>
        <v/>
      </c>
      <c r="K921" s="5" t="str">
        <f aca="false">IF(C921=0,"",IF($A921="Bank",IF(INDEX(Bank!$I:$I,$C921)="","",INDEX(Bank!$I:$I,$C921)),IF(INDEX(GL!$I:$I,$C921)="","",INDEX(GL!$I:$I,$C921))))</f>
        <v/>
      </c>
      <c r="L921" s="5" t="str">
        <f aca="false">IF(B921="","",IF(C921=0,"NOT FOUND",IF(IF($A921="Bank",INDEX(Bank!$F:$F,$C921),INDEX(GL!$F:$F,$C921))="Y","NOW RECONCILED: refresh","OK")))</f>
        <v/>
      </c>
    </row>
    <row r="922" customFormat="false" ht="15" hidden="false" customHeight="false" outlineLevel="0" collapsed="false">
      <c r="A922" s="41"/>
      <c r="B922" s="41"/>
      <c r="C922" s="5" t="n">
        <f aca="false">IF(B922="",0,IF(A922="Bank",IFERROR(MATCH(B922,Bank!$A:$A,0),0),IFERROR(MATCH(B922,GL!$A:$A,0),0)))</f>
        <v>0</v>
      </c>
      <c r="D922" s="32" t="str">
        <f aca="false">IF(C922=0,"",IF($A922="Bank",INDEX(Bank!$B:$B,$C922),INDEX(GL!$B:$B,$C922)))</f>
        <v/>
      </c>
      <c r="E922" s="5" t="str">
        <f aca="false">IF(C922=0,"",IF($A922="Bank",IF(INDEX(Bank!$C:$C,$C922)="","",INDEX(Bank!$C:$C,$C922)),IF(INDEX(GL!$C:$C,$C922)="","",INDEX(GL!$C:$C,$C922))))</f>
        <v/>
      </c>
      <c r="F922" s="5" t="str">
        <f aca="false">IF(C922=0,"",IF($A922="Bank",IF(INDEX(Bank!$D:$D,$C922)="","",INDEX(Bank!$D:$D,$C922)),IF(INDEX(GL!$D:$D,$C922)="","",INDEX(GL!$D:$D,$C922))))</f>
        <v/>
      </c>
      <c r="G922" s="19" t="str">
        <f aca="false">IF(C922=0,"",IF($A922="Bank",INDEX(Bank!$E:$E,$C922),INDEX(GL!$E:$E,$C922)))</f>
        <v/>
      </c>
      <c r="H922" s="5" t="str">
        <f aca="false">IF(C922=0,"",IF(A922="GL",IF(G922&gt;0,"Deposit in transit","Outstanding check / payment"),IF(G922&gt;0,"Bank credit not in GL","Bank debit not in GL")))</f>
        <v/>
      </c>
      <c r="I922" s="42" t="str">
        <f aca="false">IF(OR(C922=0,CFG_PeriodEnd=""),"",CFG_PeriodEnd-D922)</f>
        <v/>
      </c>
      <c r="J922" s="5" t="str">
        <f aca="false">IF(C922=0,"",IF($A922="Bank",IF(INDEX(Bank!$G:$G,$C922)="","",INDEX(Bank!$G:$G,$C922)),IF(INDEX(GL!$G:$G,$C922)="","",INDEX(GL!$G:$G,$C922))))</f>
        <v/>
      </c>
      <c r="K922" s="5" t="str">
        <f aca="false">IF(C922=0,"",IF($A922="Bank",IF(INDEX(Bank!$I:$I,$C922)="","",INDEX(Bank!$I:$I,$C922)),IF(INDEX(GL!$I:$I,$C922)="","",INDEX(GL!$I:$I,$C922))))</f>
        <v/>
      </c>
      <c r="L922" s="5" t="str">
        <f aca="false">IF(B922="","",IF(C922=0,"NOT FOUND",IF(IF($A922="Bank",INDEX(Bank!$F:$F,$C922),INDEX(GL!$F:$F,$C922))="Y","NOW RECONCILED: refresh","OK")))</f>
        <v/>
      </c>
    </row>
    <row r="923" customFormat="false" ht="15" hidden="false" customHeight="false" outlineLevel="0" collapsed="false">
      <c r="A923" s="41"/>
      <c r="B923" s="41"/>
      <c r="C923" s="5" t="n">
        <f aca="false">IF(B923="",0,IF(A923="Bank",IFERROR(MATCH(B923,Bank!$A:$A,0),0),IFERROR(MATCH(B923,GL!$A:$A,0),0)))</f>
        <v>0</v>
      </c>
      <c r="D923" s="32" t="str">
        <f aca="false">IF(C923=0,"",IF($A923="Bank",INDEX(Bank!$B:$B,$C923),INDEX(GL!$B:$B,$C923)))</f>
        <v/>
      </c>
      <c r="E923" s="5" t="str">
        <f aca="false">IF(C923=0,"",IF($A923="Bank",IF(INDEX(Bank!$C:$C,$C923)="","",INDEX(Bank!$C:$C,$C923)),IF(INDEX(GL!$C:$C,$C923)="","",INDEX(GL!$C:$C,$C923))))</f>
        <v/>
      </c>
      <c r="F923" s="5" t="str">
        <f aca="false">IF(C923=0,"",IF($A923="Bank",IF(INDEX(Bank!$D:$D,$C923)="","",INDEX(Bank!$D:$D,$C923)),IF(INDEX(GL!$D:$D,$C923)="","",INDEX(GL!$D:$D,$C923))))</f>
        <v/>
      </c>
      <c r="G923" s="19" t="str">
        <f aca="false">IF(C923=0,"",IF($A923="Bank",INDEX(Bank!$E:$E,$C923),INDEX(GL!$E:$E,$C923)))</f>
        <v/>
      </c>
      <c r="H923" s="5" t="str">
        <f aca="false">IF(C923=0,"",IF(A923="GL",IF(G923&gt;0,"Deposit in transit","Outstanding check / payment"),IF(G923&gt;0,"Bank credit not in GL","Bank debit not in GL")))</f>
        <v/>
      </c>
      <c r="I923" s="42" t="str">
        <f aca="false">IF(OR(C923=0,CFG_PeriodEnd=""),"",CFG_PeriodEnd-D923)</f>
        <v/>
      </c>
      <c r="J923" s="5" t="str">
        <f aca="false">IF(C923=0,"",IF($A923="Bank",IF(INDEX(Bank!$G:$G,$C923)="","",INDEX(Bank!$G:$G,$C923)),IF(INDEX(GL!$G:$G,$C923)="","",INDEX(GL!$G:$G,$C923))))</f>
        <v/>
      </c>
      <c r="K923" s="5" t="str">
        <f aca="false">IF(C923=0,"",IF($A923="Bank",IF(INDEX(Bank!$I:$I,$C923)="","",INDEX(Bank!$I:$I,$C923)),IF(INDEX(GL!$I:$I,$C923)="","",INDEX(GL!$I:$I,$C923))))</f>
        <v/>
      </c>
      <c r="L923" s="5" t="str">
        <f aca="false">IF(B923="","",IF(C923=0,"NOT FOUND",IF(IF($A923="Bank",INDEX(Bank!$F:$F,$C923),INDEX(GL!$F:$F,$C923))="Y","NOW RECONCILED: refresh","OK")))</f>
        <v/>
      </c>
    </row>
    <row r="924" customFormat="false" ht="15" hidden="false" customHeight="false" outlineLevel="0" collapsed="false">
      <c r="A924" s="41"/>
      <c r="B924" s="41"/>
      <c r="C924" s="5" t="n">
        <f aca="false">IF(B924="",0,IF(A924="Bank",IFERROR(MATCH(B924,Bank!$A:$A,0),0),IFERROR(MATCH(B924,GL!$A:$A,0),0)))</f>
        <v>0</v>
      </c>
      <c r="D924" s="32" t="str">
        <f aca="false">IF(C924=0,"",IF($A924="Bank",INDEX(Bank!$B:$B,$C924),INDEX(GL!$B:$B,$C924)))</f>
        <v/>
      </c>
      <c r="E924" s="5" t="str">
        <f aca="false">IF(C924=0,"",IF($A924="Bank",IF(INDEX(Bank!$C:$C,$C924)="","",INDEX(Bank!$C:$C,$C924)),IF(INDEX(GL!$C:$C,$C924)="","",INDEX(GL!$C:$C,$C924))))</f>
        <v/>
      </c>
      <c r="F924" s="5" t="str">
        <f aca="false">IF(C924=0,"",IF($A924="Bank",IF(INDEX(Bank!$D:$D,$C924)="","",INDEX(Bank!$D:$D,$C924)),IF(INDEX(GL!$D:$D,$C924)="","",INDEX(GL!$D:$D,$C924))))</f>
        <v/>
      </c>
      <c r="G924" s="19" t="str">
        <f aca="false">IF(C924=0,"",IF($A924="Bank",INDEX(Bank!$E:$E,$C924),INDEX(GL!$E:$E,$C924)))</f>
        <v/>
      </c>
      <c r="H924" s="5" t="str">
        <f aca="false">IF(C924=0,"",IF(A924="GL",IF(G924&gt;0,"Deposit in transit","Outstanding check / payment"),IF(G924&gt;0,"Bank credit not in GL","Bank debit not in GL")))</f>
        <v/>
      </c>
      <c r="I924" s="42" t="str">
        <f aca="false">IF(OR(C924=0,CFG_PeriodEnd=""),"",CFG_PeriodEnd-D924)</f>
        <v/>
      </c>
      <c r="J924" s="5" t="str">
        <f aca="false">IF(C924=0,"",IF($A924="Bank",IF(INDEX(Bank!$G:$G,$C924)="","",INDEX(Bank!$G:$G,$C924)),IF(INDEX(GL!$G:$G,$C924)="","",INDEX(GL!$G:$G,$C924))))</f>
        <v/>
      </c>
      <c r="K924" s="5" t="str">
        <f aca="false">IF(C924=0,"",IF($A924="Bank",IF(INDEX(Bank!$I:$I,$C924)="","",INDEX(Bank!$I:$I,$C924)),IF(INDEX(GL!$I:$I,$C924)="","",INDEX(GL!$I:$I,$C924))))</f>
        <v/>
      </c>
      <c r="L924" s="5" t="str">
        <f aca="false">IF(B924="","",IF(C924=0,"NOT FOUND",IF(IF($A924="Bank",INDEX(Bank!$F:$F,$C924),INDEX(GL!$F:$F,$C924))="Y","NOW RECONCILED: refresh","OK")))</f>
        <v/>
      </c>
    </row>
    <row r="925" customFormat="false" ht="15" hidden="false" customHeight="false" outlineLevel="0" collapsed="false">
      <c r="A925" s="41"/>
      <c r="B925" s="41"/>
      <c r="C925" s="5" t="n">
        <f aca="false">IF(B925="",0,IF(A925="Bank",IFERROR(MATCH(B925,Bank!$A:$A,0),0),IFERROR(MATCH(B925,GL!$A:$A,0),0)))</f>
        <v>0</v>
      </c>
      <c r="D925" s="32" t="str">
        <f aca="false">IF(C925=0,"",IF($A925="Bank",INDEX(Bank!$B:$B,$C925),INDEX(GL!$B:$B,$C925)))</f>
        <v/>
      </c>
      <c r="E925" s="5" t="str">
        <f aca="false">IF(C925=0,"",IF($A925="Bank",IF(INDEX(Bank!$C:$C,$C925)="","",INDEX(Bank!$C:$C,$C925)),IF(INDEX(GL!$C:$C,$C925)="","",INDEX(GL!$C:$C,$C925))))</f>
        <v/>
      </c>
      <c r="F925" s="5" t="str">
        <f aca="false">IF(C925=0,"",IF($A925="Bank",IF(INDEX(Bank!$D:$D,$C925)="","",INDEX(Bank!$D:$D,$C925)),IF(INDEX(GL!$D:$D,$C925)="","",INDEX(GL!$D:$D,$C925))))</f>
        <v/>
      </c>
      <c r="G925" s="19" t="str">
        <f aca="false">IF(C925=0,"",IF($A925="Bank",INDEX(Bank!$E:$E,$C925),INDEX(GL!$E:$E,$C925)))</f>
        <v/>
      </c>
      <c r="H925" s="5" t="str">
        <f aca="false">IF(C925=0,"",IF(A925="GL",IF(G925&gt;0,"Deposit in transit","Outstanding check / payment"),IF(G925&gt;0,"Bank credit not in GL","Bank debit not in GL")))</f>
        <v/>
      </c>
      <c r="I925" s="42" t="str">
        <f aca="false">IF(OR(C925=0,CFG_PeriodEnd=""),"",CFG_PeriodEnd-D925)</f>
        <v/>
      </c>
      <c r="J925" s="5" t="str">
        <f aca="false">IF(C925=0,"",IF($A925="Bank",IF(INDEX(Bank!$G:$G,$C925)="","",INDEX(Bank!$G:$G,$C925)),IF(INDEX(GL!$G:$G,$C925)="","",INDEX(GL!$G:$G,$C925))))</f>
        <v/>
      </c>
      <c r="K925" s="5" t="str">
        <f aca="false">IF(C925=0,"",IF($A925="Bank",IF(INDEX(Bank!$I:$I,$C925)="","",INDEX(Bank!$I:$I,$C925)),IF(INDEX(GL!$I:$I,$C925)="","",INDEX(GL!$I:$I,$C925))))</f>
        <v/>
      </c>
      <c r="L925" s="5" t="str">
        <f aca="false">IF(B925="","",IF(C925=0,"NOT FOUND",IF(IF($A925="Bank",INDEX(Bank!$F:$F,$C925),INDEX(GL!$F:$F,$C925))="Y","NOW RECONCILED: refresh","OK")))</f>
        <v/>
      </c>
    </row>
    <row r="926" customFormat="false" ht="15" hidden="false" customHeight="false" outlineLevel="0" collapsed="false">
      <c r="A926" s="41"/>
      <c r="B926" s="41"/>
      <c r="C926" s="5" t="n">
        <f aca="false">IF(B926="",0,IF(A926="Bank",IFERROR(MATCH(B926,Bank!$A:$A,0),0),IFERROR(MATCH(B926,GL!$A:$A,0),0)))</f>
        <v>0</v>
      </c>
      <c r="D926" s="32" t="str">
        <f aca="false">IF(C926=0,"",IF($A926="Bank",INDEX(Bank!$B:$B,$C926),INDEX(GL!$B:$B,$C926)))</f>
        <v/>
      </c>
      <c r="E926" s="5" t="str">
        <f aca="false">IF(C926=0,"",IF($A926="Bank",IF(INDEX(Bank!$C:$C,$C926)="","",INDEX(Bank!$C:$C,$C926)),IF(INDEX(GL!$C:$C,$C926)="","",INDEX(GL!$C:$C,$C926))))</f>
        <v/>
      </c>
      <c r="F926" s="5" t="str">
        <f aca="false">IF(C926=0,"",IF($A926="Bank",IF(INDEX(Bank!$D:$D,$C926)="","",INDEX(Bank!$D:$D,$C926)),IF(INDEX(GL!$D:$D,$C926)="","",INDEX(GL!$D:$D,$C926))))</f>
        <v/>
      </c>
      <c r="G926" s="19" t="str">
        <f aca="false">IF(C926=0,"",IF($A926="Bank",INDEX(Bank!$E:$E,$C926),INDEX(GL!$E:$E,$C926)))</f>
        <v/>
      </c>
      <c r="H926" s="5" t="str">
        <f aca="false">IF(C926=0,"",IF(A926="GL",IF(G926&gt;0,"Deposit in transit","Outstanding check / payment"),IF(G926&gt;0,"Bank credit not in GL","Bank debit not in GL")))</f>
        <v/>
      </c>
      <c r="I926" s="42" t="str">
        <f aca="false">IF(OR(C926=0,CFG_PeriodEnd=""),"",CFG_PeriodEnd-D926)</f>
        <v/>
      </c>
      <c r="J926" s="5" t="str">
        <f aca="false">IF(C926=0,"",IF($A926="Bank",IF(INDEX(Bank!$G:$G,$C926)="","",INDEX(Bank!$G:$G,$C926)),IF(INDEX(GL!$G:$G,$C926)="","",INDEX(GL!$G:$G,$C926))))</f>
        <v/>
      </c>
      <c r="K926" s="5" t="str">
        <f aca="false">IF(C926=0,"",IF($A926="Bank",IF(INDEX(Bank!$I:$I,$C926)="","",INDEX(Bank!$I:$I,$C926)),IF(INDEX(GL!$I:$I,$C926)="","",INDEX(GL!$I:$I,$C926))))</f>
        <v/>
      </c>
      <c r="L926" s="5" t="str">
        <f aca="false">IF(B926="","",IF(C926=0,"NOT FOUND",IF(IF($A926="Bank",INDEX(Bank!$F:$F,$C926),INDEX(GL!$F:$F,$C926))="Y","NOW RECONCILED: refresh","OK")))</f>
        <v/>
      </c>
    </row>
    <row r="927" customFormat="false" ht="15" hidden="false" customHeight="false" outlineLevel="0" collapsed="false">
      <c r="A927" s="41"/>
      <c r="B927" s="41"/>
      <c r="C927" s="5" t="n">
        <f aca="false">IF(B927="",0,IF(A927="Bank",IFERROR(MATCH(B927,Bank!$A:$A,0),0),IFERROR(MATCH(B927,GL!$A:$A,0),0)))</f>
        <v>0</v>
      </c>
      <c r="D927" s="32" t="str">
        <f aca="false">IF(C927=0,"",IF($A927="Bank",INDEX(Bank!$B:$B,$C927),INDEX(GL!$B:$B,$C927)))</f>
        <v/>
      </c>
      <c r="E927" s="5" t="str">
        <f aca="false">IF(C927=0,"",IF($A927="Bank",IF(INDEX(Bank!$C:$C,$C927)="","",INDEX(Bank!$C:$C,$C927)),IF(INDEX(GL!$C:$C,$C927)="","",INDEX(GL!$C:$C,$C927))))</f>
        <v/>
      </c>
      <c r="F927" s="5" t="str">
        <f aca="false">IF(C927=0,"",IF($A927="Bank",IF(INDEX(Bank!$D:$D,$C927)="","",INDEX(Bank!$D:$D,$C927)),IF(INDEX(GL!$D:$D,$C927)="","",INDEX(GL!$D:$D,$C927))))</f>
        <v/>
      </c>
      <c r="G927" s="19" t="str">
        <f aca="false">IF(C927=0,"",IF($A927="Bank",INDEX(Bank!$E:$E,$C927),INDEX(GL!$E:$E,$C927)))</f>
        <v/>
      </c>
      <c r="H927" s="5" t="str">
        <f aca="false">IF(C927=0,"",IF(A927="GL",IF(G927&gt;0,"Deposit in transit","Outstanding check / payment"),IF(G927&gt;0,"Bank credit not in GL","Bank debit not in GL")))</f>
        <v/>
      </c>
      <c r="I927" s="42" t="str">
        <f aca="false">IF(OR(C927=0,CFG_PeriodEnd=""),"",CFG_PeriodEnd-D927)</f>
        <v/>
      </c>
      <c r="J927" s="5" t="str">
        <f aca="false">IF(C927=0,"",IF($A927="Bank",IF(INDEX(Bank!$G:$G,$C927)="","",INDEX(Bank!$G:$G,$C927)),IF(INDEX(GL!$G:$G,$C927)="","",INDEX(GL!$G:$G,$C927))))</f>
        <v/>
      </c>
      <c r="K927" s="5" t="str">
        <f aca="false">IF(C927=0,"",IF($A927="Bank",IF(INDEX(Bank!$I:$I,$C927)="","",INDEX(Bank!$I:$I,$C927)),IF(INDEX(GL!$I:$I,$C927)="","",INDEX(GL!$I:$I,$C927))))</f>
        <v/>
      </c>
      <c r="L927" s="5" t="str">
        <f aca="false">IF(B927="","",IF(C927=0,"NOT FOUND",IF(IF($A927="Bank",INDEX(Bank!$F:$F,$C927),INDEX(GL!$F:$F,$C927))="Y","NOW RECONCILED: refresh","OK")))</f>
        <v/>
      </c>
    </row>
    <row r="928" customFormat="false" ht="15" hidden="false" customHeight="false" outlineLevel="0" collapsed="false">
      <c r="A928" s="41"/>
      <c r="B928" s="41"/>
      <c r="C928" s="5" t="n">
        <f aca="false">IF(B928="",0,IF(A928="Bank",IFERROR(MATCH(B928,Bank!$A:$A,0),0),IFERROR(MATCH(B928,GL!$A:$A,0),0)))</f>
        <v>0</v>
      </c>
      <c r="D928" s="32" t="str">
        <f aca="false">IF(C928=0,"",IF($A928="Bank",INDEX(Bank!$B:$B,$C928),INDEX(GL!$B:$B,$C928)))</f>
        <v/>
      </c>
      <c r="E928" s="5" t="str">
        <f aca="false">IF(C928=0,"",IF($A928="Bank",IF(INDEX(Bank!$C:$C,$C928)="","",INDEX(Bank!$C:$C,$C928)),IF(INDEX(GL!$C:$C,$C928)="","",INDEX(GL!$C:$C,$C928))))</f>
        <v/>
      </c>
      <c r="F928" s="5" t="str">
        <f aca="false">IF(C928=0,"",IF($A928="Bank",IF(INDEX(Bank!$D:$D,$C928)="","",INDEX(Bank!$D:$D,$C928)),IF(INDEX(GL!$D:$D,$C928)="","",INDEX(GL!$D:$D,$C928))))</f>
        <v/>
      </c>
      <c r="G928" s="19" t="str">
        <f aca="false">IF(C928=0,"",IF($A928="Bank",INDEX(Bank!$E:$E,$C928),INDEX(GL!$E:$E,$C928)))</f>
        <v/>
      </c>
      <c r="H928" s="5" t="str">
        <f aca="false">IF(C928=0,"",IF(A928="GL",IF(G928&gt;0,"Deposit in transit","Outstanding check / payment"),IF(G928&gt;0,"Bank credit not in GL","Bank debit not in GL")))</f>
        <v/>
      </c>
      <c r="I928" s="42" t="str">
        <f aca="false">IF(OR(C928=0,CFG_PeriodEnd=""),"",CFG_PeriodEnd-D928)</f>
        <v/>
      </c>
      <c r="J928" s="5" t="str">
        <f aca="false">IF(C928=0,"",IF($A928="Bank",IF(INDEX(Bank!$G:$G,$C928)="","",INDEX(Bank!$G:$G,$C928)),IF(INDEX(GL!$G:$G,$C928)="","",INDEX(GL!$G:$G,$C928))))</f>
        <v/>
      </c>
      <c r="K928" s="5" t="str">
        <f aca="false">IF(C928=0,"",IF($A928="Bank",IF(INDEX(Bank!$I:$I,$C928)="","",INDEX(Bank!$I:$I,$C928)),IF(INDEX(GL!$I:$I,$C928)="","",INDEX(GL!$I:$I,$C928))))</f>
        <v/>
      </c>
      <c r="L928" s="5" t="str">
        <f aca="false">IF(B928="","",IF(C928=0,"NOT FOUND",IF(IF($A928="Bank",INDEX(Bank!$F:$F,$C928),INDEX(GL!$F:$F,$C928))="Y","NOW RECONCILED: refresh","OK")))</f>
        <v/>
      </c>
    </row>
    <row r="929" customFormat="false" ht="15" hidden="false" customHeight="false" outlineLevel="0" collapsed="false">
      <c r="A929" s="41"/>
      <c r="B929" s="41"/>
      <c r="C929" s="5" t="n">
        <f aca="false">IF(B929="",0,IF(A929="Bank",IFERROR(MATCH(B929,Bank!$A:$A,0),0),IFERROR(MATCH(B929,GL!$A:$A,0),0)))</f>
        <v>0</v>
      </c>
      <c r="D929" s="32" t="str">
        <f aca="false">IF(C929=0,"",IF($A929="Bank",INDEX(Bank!$B:$B,$C929),INDEX(GL!$B:$B,$C929)))</f>
        <v/>
      </c>
      <c r="E929" s="5" t="str">
        <f aca="false">IF(C929=0,"",IF($A929="Bank",IF(INDEX(Bank!$C:$C,$C929)="","",INDEX(Bank!$C:$C,$C929)),IF(INDEX(GL!$C:$C,$C929)="","",INDEX(GL!$C:$C,$C929))))</f>
        <v/>
      </c>
      <c r="F929" s="5" t="str">
        <f aca="false">IF(C929=0,"",IF($A929="Bank",IF(INDEX(Bank!$D:$D,$C929)="","",INDEX(Bank!$D:$D,$C929)),IF(INDEX(GL!$D:$D,$C929)="","",INDEX(GL!$D:$D,$C929))))</f>
        <v/>
      </c>
      <c r="G929" s="19" t="str">
        <f aca="false">IF(C929=0,"",IF($A929="Bank",INDEX(Bank!$E:$E,$C929),INDEX(GL!$E:$E,$C929)))</f>
        <v/>
      </c>
      <c r="H929" s="5" t="str">
        <f aca="false">IF(C929=0,"",IF(A929="GL",IF(G929&gt;0,"Deposit in transit","Outstanding check / payment"),IF(G929&gt;0,"Bank credit not in GL","Bank debit not in GL")))</f>
        <v/>
      </c>
      <c r="I929" s="42" t="str">
        <f aca="false">IF(OR(C929=0,CFG_PeriodEnd=""),"",CFG_PeriodEnd-D929)</f>
        <v/>
      </c>
      <c r="J929" s="5" t="str">
        <f aca="false">IF(C929=0,"",IF($A929="Bank",IF(INDEX(Bank!$G:$G,$C929)="","",INDEX(Bank!$G:$G,$C929)),IF(INDEX(GL!$G:$G,$C929)="","",INDEX(GL!$G:$G,$C929))))</f>
        <v/>
      </c>
      <c r="K929" s="5" t="str">
        <f aca="false">IF(C929=0,"",IF($A929="Bank",IF(INDEX(Bank!$I:$I,$C929)="","",INDEX(Bank!$I:$I,$C929)),IF(INDEX(GL!$I:$I,$C929)="","",INDEX(GL!$I:$I,$C929))))</f>
        <v/>
      </c>
      <c r="L929" s="5" t="str">
        <f aca="false">IF(B929="","",IF(C929=0,"NOT FOUND",IF(IF($A929="Bank",INDEX(Bank!$F:$F,$C929),INDEX(GL!$F:$F,$C929))="Y","NOW RECONCILED: refresh","OK")))</f>
        <v/>
      </c>
    </row>
    <row r="930" customFormat="false" ht="15" hidden="false" customHeight="false" outlineLevel="0" collapsed="false">
      <c r="A930" s="41"/>
      <c r="B930" s="41"/>
      <c r="C930" s="5" t="n">
        <f aca="false">IF(B930="",0,IF(A930="Bank",IFERROR(MATCH(B930,Bank!$A:$A,0),0),IFERROR(MATCH(B930,GL!$A:$A,0),0)))</f>
        <v>0</v>
      </c>
      <c r="D930" s="32" t="str">
        <f aca="false">IF(C930=0,"",IF($A930="Bank",INDEX(Bank!$B:$B,$C930),INDEX(GL!$B:$B,$C930)))</f>
        <v/>
      </c>
      <c r="E930" s="5" t="str">
        <f aca="false">IF(C930=0,"",IF($A930="Bank",IF(INDEX(Bank!$C:$C,$C930)="","",INDEX(Bank!$C:$C,$C930)),IF(INDEX(GL!$C:$C,$C930)="","",INDEX(GL!$C:$C,$C930))))</f>
        <v/>
      </c>
      <c r="F930" s="5" t="str">
        <f aca="false">IF(C930=0,"",IF($A930="Bank",IF(INDEX(Bank!$D:$D,$C930)="","",INDEX(Bank!$D:$D,$C930)),IF(INDEX(GL!$D:$D,$C930)="","",INDEX(GL!$D:$D,$C930))))</f>
        <v/>
      </c>
      <c r="G930" s="19" t="str">
        <f aca="false">IF(C930=0,"",IF($A930="Bank",INDEX(Bank!$E:$E,$C930),INDEX(GL!$E:$E,$C930)))</f>
        <v/>
      </c>
      <c r="H930" s="5" t="str">
        <f aca="false">IF(C930=0,"",IF(A930="GL",IF(G930&gt;0,"Deposit in transit","Outstanding check / payment"),IF(G930&gt;0,"Bank credit not in GL","Bank debit not in GL")))</f>
        <v/>
      </c>
      <c r="I930" s="42" t="str">
        <f aca="false">IF(OR(C930=0,CFG_PeriodEnd=""),"",CFG_PeriodEnd-D930)</f>
        <v/>
      </c>
      <c r="J930" s="5" t="str">
        <f aca="false">IF(C930=0,"",IF($A930="Bank",IF(INDEX(Bank!$G:$G,$C930)="","",INDEX(Bank!$G:$G,$C930)),IF(INDEX(GL!$G:$G,$C930)="","",INDEX(GL!$G:$G,$C930))))</f>
        <v/>
      </c>
      <c r="K930" s="5" t="str">
        <f aca="false">IF(C930=0,"",IF($A930="Bank",IF(INDEX(Bank!$I:$I,$C930)="","",INDEX(Bank!$I:$I,$C930)),IF(INDEX(GL!$I:$I,$C930)="","",INDEX(GL!$I:$I,$C930))))</f>
        <v/>
      </c>
      <c r="L930" s="5" t="str">
        <f aca="false">IF(B930="","",IF(C930=0,"NOT FOUND",IF(IF($A930="Bank",INDEX(Bank!$F:$F,$C930),INDEX(GL!$F:$F,$C930))="Y","NOW RECONCILED: refresh","OK")))</f>
        <v/>
      </c>
    </row>
    <row r="931" customFormat="false" ht="15" hidden="false" customHeight="false" outlineLevel="0" collapsed="false">
      <c r="A931" s="41"/>
      <c r="B931" s="41"/>
      <c r="C931" s="5" t="n">
        <f aca="false">IF(B931="",0,IF(A931="Bank",IFERROR(MATCH(B931,Bank!$A:$A,0),0),IFERROR(MATCH(B931,GL!$A:$A,0),0)))</f>
        <v>0</v>
      </c>
      <c r="D931" s="32" t="str">
        <f aca="false">IF(C931=0,"",IF($A931="Bank",INDEX(Bank!$B:$B,$C931),INDEX(GL!$B:$B,$C931)))</f>
        <v/>
      </c>
      <c r="E931" s="5" t="str">
        <f aca="false">IF(C931=0,"",IF($A931="Bank",IF(INDEX(Bank!$C:$C,$C931)="","",INDEX(Bank!$C:$C,$C931)),IF(INDEX(GL!$C:$C,$C931)="","",INDEX(GL!$C:$C,$C931))))</f>
        <v/>
      </c>
      <c r="F931" s="5" t="str">
        <f aca="false">IF(C931=0,"",IF($A931="Bank",IF(INDEX(Bank!$D:$D,$C931)="","",INDEX(Bank!$D:$D,$C931)),IF(INDEX(GL!$D:$D,$C931)="","",INDEX(GL!$D:$D,$C931))))</f>
        <v/>
      </c>
      <c r="G931" s="19" t="str">
        <f aca="false">IF(C931=0,"",IF($A931="Bank",INDEX(Bank!$E:$E,$C931),INDEX(GL!$E:$E,$C931)))</f>
        <v/>
      </c>
      <c r="H931" s="5" t="str">
        <f aca="false">IF(C931=0,"",IF(A931="GL",IF(G931&gt;0,"Deposit in transit","Outstanding check / payment"),IF(G931&gt;0,"Bank credit not in GL","Bank debit not in GL")))</f>
        <v/>
      </c>
      <c r="I931" s="42" t="str">
        <f aca="false">IF(OR(C931=0,CFG_PeriodEnd=""),"",CFG_PeriodEnd-D931)</f>
        <v/>
      </c>
      <c r="J931" s="5" t="str">
        <f aca="false">IF(C931=0,"",IF($A931="Bank",IF(INDEX(Bank!$G:$G,$C931)="","",INDEX(Bank!$G:$G,$C931)),IF(INDEX(GL!$G:$G,$C931)="","",INDEX(GL!$G:$G,$C931))))</f>
        <v/>
      </c>
      <c r="K931" s="5" t="str">
        <f aca="false">IF(C931=0,"",IF($A931="Bank",IF(INDEX(Bank!$I:$I,$C931)="","",INDEX(Bank!$I:$I,$C931)),IF(INDEX(GL!$I:$I,$C931)="","",INDEX(GL!$I:$I,$C931))))</f>
        <v/>
      </c>
      <c r="L931" s="5" t="str">
        <f aca="false">IF(B931="","",IF(C931=0,"NOT FOUND",IF(IF($A931="Bank",INDEX(Bank!$F:$F,$C931),INDEX(GL!$F:$F,$C931))="Y","NOW RECONCILED: refresh","OK")))</f>
        <v/>
      </c>
    </row>
    <row r="932" customFormat="false" ht="15" hidden="false" customHeight="false" outlineLevel="0" collapsed="false">
      <c r="A932" s="41"/>
      <c r="B932" s="41"/>
      <c r="C932" s="5" t="n">
        <f aca="false">IF(B932="",0,IF(A932="Bank",IFERROR(MATCH(B932,Bank!$A:$A,0),0),IFERROR(MATCH(B932,GL!$A:$A,0),0)))</f>
        <v>0</v>
      </c>
      <c r="D932" s="32" t="str">
        <f aca="false">IF(C932=0,"",IF($A932="Bank",INDEX(Bank!$B:$B,$C932),INDEX(GL!$B:$B,$C932)))</f>
        <v/>
      </c>
      <c r="E932" s="5" t="str">
        <f aca="false">IF(C932=0,"",IF($A932="Bank",IF(INDEX(Bank!$C:$C,$C932)="","",INDEX(Bank!$C:$C,$C932)),IF(INDEX(GL!$C:$C,$C932)="","",INDEX(GL!$C:$C,$C932))))</f>
        <v/>
      </c>
      <c r="F932" s="5" t="str">
        <f aca="false">IF(C932=0,"",IF($A932="Bank",IF(INDEX(Bank!$D:$D,$C932)="","",INDEX(Bank!$D:$D,$C932)),IF(INDEX(GL!$D:$D,$C932)="","",INDEX(GL!$D:$D,$C932))))</f>
        <v/>
      </c>
      <c r="G932" s="19" t="str">
        <f aca="false">IF(C932=0,"",IF($A932="Bank",INDEX(Bank!$E:$E,$C932),INDEX(GL!$E:$E,$C932)))</f>
        <v/>
      </c>
      <c r="H932" s="5" t="str">
        <f aca="false">IF(C932=0,"",IF(A932="GL",IF(G932&gt;0,"Deposit in transit","Outstanding check / payment"),IF(G932&gt;0,"Bank credit not in GL","Bank debit not in GL")))</f>
        <v/>
      </c>
      <c r="I932" s="42" t="str">
        <f aca="false">IF(OR(C932=0,CFG_PeriodEnd=""),"",CFG_PeriodEnd-D932)</f>
        <v/>
      </c>
      <c r="J932" s="5" t="str">
        <f aca="false">IF(C932=0,"",IF($A932="Bank",IF(INDEX(Bank!$G:$G,$C932)="","",INDEX(Bank!$G:$G,$C932)),IF(INDEX(GL!$G:$G,$C932)="","",INDEX(GL!$G:$G,$C932))))</f>
        <v/>
      </c>
      <c r="K932" s="5" t="str">
        <f aca="false">IF(C932=0,"",IF($A932="Bank",IF(INDEX(Bank!$I:$I,$C932)="","",INDEX(Bank!$I:$I,$C932)),IF(INDEX(GL!$I:$I,$C932)="","",INDEX(GL!$I:$I,$C932))))</f>
        <v/>
      </c>
      <c r="L932" s="5" t="str">
        <f aca="false">IF(B932="","",IF(C932=0,"NOT FOUND",IF(IF($A932="Bank",INDEX(Bank!$F:$F,$C932),INDEX(GL!$F:$F,$C932))="Y","NOW RECONCILED: refresh","OK")))</f>
        <v/>
      </c>
    </row>
    <row r="933" customFormat="false" ht="15" hidden="false" customHeight="false" outlineLevel="0" collapsed="false">
      <c r="A933" s="41"/>
      <c r="B933" s="41"/>
      <c r="C933" s="5" t="n">
        <f aca="false">IF(B933="",0,IF(A933="Bank",IFERROR(MATCH(B933,Bank!$A:$A,0),0),IFERROR(MATCH(B933,GL!$A:$A,0),0)))</f>
        <v>0</v>
      </c>
      <c r="D933" s="32" t="str">
        <f aca="false">IF(C933=0,"",IF($A933="Bank",INDEX(Bank!$B:$B,$C933),INDEX(GL!$B:$B,$C933)))</f>
        <v/>
      </c>
      <c r="E933" s="5" t="str">
        <f aca="false">IF(C933=0,"",IF($A933="Bank",IF(INDEX(Bank!$C:$C,$C933)="","",INDEX(Bank!$C:$C,$C933)),IF(INDEX(GL!$C:$C,$C933)="","",INDEX(GL!$C:$C,$C933))))</f>
        <v/>
      </c>
      <c r="F933" s="5" t="str">
        <f aca="false">IF(C933=0,"",IF($A933="Bank",IF(INDEX(Bank!$D:$D,$C933)="","",INDEX(Bank!$D:$D,$C933)),IF(INDEX(GL!$D:$D,$C933)="","",INDEX(GL!$D:$D,$C933))))</f>
        <v/>
      </c>
      <c r="G933" s="19" t="str">
        <f aca="false">IF(C933=0,"",IF($A933="Bank",INDEX(Bank!$E:$E,$C933),INDEX(GL!$E:$E,$C933)))</f>
        <v/>
      </c>
      <c r="H933" s="5" t="str">
        <f aca="false">IF(C933=0,"",IF(A933="GL",IF(G933&gt;0,"Deposit in transit","Outstanding check / payment"),IF(G933&gt;0,"Bank credit not in GL","Bank debit not in GL")))</f>
        <v/>
      </c>
      <c r="I933" s="42" t="str">
        <f aca="false">IF(OR(C933=0,CFG_PeriodEnd=""),"",CFG_PeriodEnd-D933)</f>
        <v/>
      </c>
      <c r="J933" s="5" t="str">
        <f aca="false">IF(C933=0,"",IF($A933="Bank",IF(INDEX(Bank!$G:$G,$C933)="","",INDEX(Bank!$G:$G,$C933)),IF(INDEX(GL!$G:$G,$C933)="","",INDEX(GL!$G:$G,$C933))))</f>
        <v/>
      </c>
      <c r="K933" s="5" t="str">
        <f aca="false">IF(C933=0,"",IF($A933="Bank",IF(INDEX(Bank!$I:$I,$C933)="","",INDEX(Bank!$I:$I,$C933)),IF(INDEX(GL!$I:$I,$C933)="","",INDEX(GL!$I:$I,$C933))))</f>
        <v/>
      </c>
      <c r="L933" s="5" t="str">
        <f aca="false">IF(B933="","",IF(C933=0,"NOT FOUND",IF(IF($A933="Bank",INDEX(Bank!$F:$F,$C933),INDEX(GL!$F:$F,$C933))="Y","NOW RECONCILED: refresh","OK")))</f>
        <v/>
      </c>
    </row>
    <row r="934" customFormat="false" ht="15" hidden="false" customHeight="false" outlineLevel="0" collapsed="false">
      <c r="A934" s="41"/>
      <c r="B934" s="41"/>
      <c r="C934" s="5" t="n">
        <f aca="false">IF(B934="",0,IF(A934="Bank",IFERROR(MATCH(B934,Bank!$A:$A,0),0),IFERROR(MATCH(B934,GL!$A:$A,0),0)))</f>
        <v>0</v>
      </c>
      <c r="D934" s="32" t="str">
        <f aca="false">IF(C934=0,"",IF($A934="Bank",INDEX(Bank!$B:$B,$C934),INDEX(GL!$B:$B,$C934)))</f>
        <v/>
      </c>
      <c r="E934" s="5" t="str">
        <f aca="false">IF(C934=0,"",IF($A934="Bank",IF(INDEX(Bank!$C:$C,$C934)="","",INDEX(Bank!$C:$C,$C934)),IF(INDEX(GL!$C:$C,$C934)="","",INDEX(GL!$C:$C,$C934))))</f>
        <v/>
      </c>
      <c r="F934" s="5" t="str">
        <f aca="false">IF(C934=0,"",IF($A934="Bank",IF(INDEX(Bank!$D:$D,$C934)="","",INDEX(Bank!$D:$D,$C934)),IF(INDEX(GL!$D:$D,$C934)="","",INDEX(GL!$D:$D,$C934))))</f>
        <v/>
      </c>
      <c r="G934" s="19" t="str">
        <f aca="false">IF(C934=0,"",IF($A934="Bank",INDEX(Bank!$E:$E,$C934),INDEX(GL!$E:$E,$C934)))</f>
        <v/>
      </c>
      <c r="H934" s="5" t="str">
        <f aca="false">IF(C934=0,"",IF(A934="GL",IF(G934&gt;0,"Deposit in transit","Outstanding check / payment"),IF(G934&gt;0,"Bank credit not in GL","Bank debit not in GL")))</f>
        <v/>
      </c>
      <c r="I934" s="42" t="str">
        <f aca="false">IF(OR(C934=0,CFG_PeriodEnd=""),"",CFG_PeriodEnd-D934)</f>
        <v/>
      </c>
      <c r="J934" s="5" t="str">
        <f aca="false">IF(C934=0,"",IF($A934="Bank",IF(INDEX(Bank!$G:$G,$C934)="","",INDEX(Bank!$G:$G,$C934)),IF(INDEX(GL!$G:$G,$C934)="","",INDEX(GL!$G:$G,$C934))))</f>
        <v/>
      </c>
      <c r="K934" s="5" t="str">
        <f aca="false">IF(C934=0,"",IF($A934="Bank",IF(INDEX(Bank!$I:$I,$C934)="","",INDEX(Bank!$I:$I,$C934)),IF(INDEX(GL!$I:$I,$C934)="","",INDEX(GL!$I:$I,$C934))))</f>
        <v/>
      </c>
      <c r="L934" s="5" t="str">
        <f aca="false">IF(B934="","",IF(C934=0,"NOT FOUND",IF(IF($A934="Bank",INDEX(Bank!$F:$F,$C934),INDEX(GL!$F:$F,$C934))="Y","NOW RECONCILED: refresh","OK")))</f>
        <v/>
      </c>
    </row>
    <row r="935" customFormat="false" ht="15" hidden="false" customHeight="false" outlineLevel="0" collapsed="false">
      <c r="A935" s="41"/>
      <c r="B935" s="41"/>
      <c r="C935" s="5" t="n">
        <f aca="false">IF(B935="",0,IF(A935="Bank",IFERROR(MATCH(B935,Bank!$A:$A,0),0),IFERROR(MATCH(B935,GL!$A:$A,0),0)))</f>
        <v>0</v>
      </c>
      <c r="D935" s="32" t="str">
        <f aca="false">IF(C935=0,"",IF($A935="Bank",INDEX(Bank!$B:$B,$C935),INDEX(GL!$B:$B,$C935)))</f>
        <v/>
      </c>
      <c r="E935" s="5" t="str">
        <f aca="false">IF(C935=0,"",IF($A935="Bank",IF(INDEX(Bank!$C:$C,$C935)="","",INDEX(Bank!$C:$C,$C935)),IF(INDEX(GL!$C:$C,$C935)="","",INDEX(GL!$C:$C,$C935))))</f>
        <v/>
      </c>
      <c r="F935" s="5" t="str">
        <f aca="false">IF(C935=0,"",IF($A935="Bank",IF(INDEX(Bank!$D:$D,$C935)="","",INDEX(Bank!$D:$D,$C935)),IF(INDEX(GL!$D:$D,$C935)="","",INDEX(GL!$D:$D,$C935))))</f>
        <v/>
      </c>
      <c r="G935" s="19" t="str">
        <f aca="false">IF(C935=0,"",IF($A935="Bank",INDEX(Bank!$E:$E,$C935),INDEX(GL!$E:$E,$C935)))</f>
        <v/>
      </c>
      <c r="H935" s="5" t="str">
        <f aca="false">IF(C935=0,"",IF(A935="GL",IF(G935&gt;0,"Deposit in transit","Outstanding check / payment"),IF(G935&gt;0,"Bank credit not in GL","Bank debit not in GL")))</f>
        <v/>
      </c>
      <c r="I935" s="42" t="str">
        <f aca="false">IF(OR(C935=0,CFG_PeriodEnd=""),"",CFG_PeriodEnd-D935)</f>
        <v/>
      </c>
      <c r="J935" s="5" t="str">
        <f aca="false">IF(C935=0,"",IF($A935="Bank",IF(INDEX(Bank!$G:$G,$C935)="","",INDEX(Bank!$G:$G,$C935)),IF(INDEX(GL!$G:$G,$C935)="","",INDEX(GL!$G:$G,$C935))))</f>
        <v/>
      </c>
      <c r="K935" s="5" t="str">
        <f aca="false">IF(C935=0,"",IF($A935="Bank",IF(INDEX(Bank!$I:$I,$C935)="","",INDEX(Bank!$I:$I,$C935)),IF(INDEX(GL!$I:$I,$C935)="","",INDEX(GL!$I:$I,$C935))))</f>
        <v/>
      </c>
      <c r="L935" s="5" t="str">
        <f aca="false">IF(B935="","",IF(C935=0,"NOT FOUND",IF(IF($A935="Bank",INDEX(Bank!$F:$F,$C935),INDEX(GL!$F:$F,$C935))="Y","NOW RECONCILED: refresh","OK")))</f>
        <v/>
      </c>
    </row>
    <row r="936" customFormat="false" ht="15" hidden="false" customHeight="false" outlineLevel="0" collapsed="false">
      <c r="A936" s="41"/>
      <c r="B936" s="41"/>
      <c r="C936" s="5" t="n">
        <f aca="false">IF(B936="",0,IF(A936="Bank",IFERROR(MATCH(B936,Bank!$A:$A,0),0),IFERROR(MATCH(B936,GL!$A:$A,0),0)))</f>
        <v>0</v>
      </c>
      <c r="D936" s="32" t="str">
        <f aca="false">IF(C936=0,"",IF($A936="Bank",INDEX(Bank!$B:$B,$C936),INDEX(GL!$B:$B,$C936)))</f>
        <v/>
      </c>
      <c r="E936" s="5" t="str">
        <f aca="false">IF(C936=0,"",IF($A936="Bank",IF(INDEX(Bank!$C:$C,$C936)="","",INDEX(Bank!$C:$C,$C936)),IF(INDEX(GL!$C:$C,$C936)="","",INDEX(GL!$C:$C,$C936))))</f>
        <v/>
      </c>
      <c r="F936" s="5" t="str">
        <f aca="false">IF(C936=0,"",IF($A936="Bank",IF(INDEX(Bank!$D:$D,$C936)="","",INDEX(Bank!$D:$D,$C936)),IF(INDEX(GL!$D:$D,$C936)="","",INDEX(GL!$D:$D,$C936))))</f>
        <v/>
      </c>
      <c r="G936" s="19" t="str">
        <f aca="false">IF(C936=0,"",IF($A936="Bank",INDEX(Bank!$E:$E,$C936),INDEX(GL!$E:$E,$C936)))</f>
        <v/>
      </c>
      <c r="H936" s="5" t="str">
        <f aca="false">IF(C936=0,"",IF(A936="GL",IF(G936&gt;0,"Deposit in transit","Outstanding check / payment"),IF(G936&gt;0,"Bank credit not in GL","Bank debit not in GL")))</f>
        <v/>
      </c>
      <c r="I936" s="42" t="str">
        <f aca="false">IF(OR(C936=0,CFG_PeriodEnd=""),"",CFG_PeriodEnd-D936)</f>
        <v/>
      </c>
      <c r="J936" s="5" t="str">
        <f aca="false">IF(C936=0,"",IF($A936="Bank",IF(INDEX(Bank!$G:$G,$C936)="","",INDEX(Bank!$G:$G,$C936)),IF(INDEX(GL!$G:$G,$C936)="","",INDEX(GL!$G:$G,$C936))))</f>
        <v/>
      </c>
      <c r="K936" s="5" t="str">
        <f aca="false">IF(C936=0,"",IF($A936="Bank",IF(INDEX(Bank!$I:$I,$C936)="","",INDEX(Bank!$I:$I,$C936)),IF(INDEX(GL!$I:$I,$C936)="","",INDEX(GL!$I:$I,$C936))))</f>
        <v/>
      </c>
      <c r="L936" s="5" t="str">
        <f aca="false">IF(B936="","",IF(C936=0,"NOT FOUND",IF(IF($A936="Bank",INDEX(Bank!$F:$F,$C936),INDEX(GL!$F:$F,$C936))="Y","NOW RECONCILED: refresh","OK")))</f>
        <v/>
      </c>
    </row>
    <row r="937" customFormat="false" ht="15" hidden="false" customHeight="false" outlineLevel="0" collapsed="false">
      <c r="A937" s="41"/>
      <c r="B937" s="41"/>
      <c r="C937" s="5" t="n">
        <f aca="false">IF(B937="",0,IF(A937="Bank",IFERROR(MATCH(B937,Bank!$A:$A,0),0),IFERROR(MATCH(B937,GL!$A:$A,0),0)))</f>
        <v>0</v>
      </c>
      <c r="D937" s="32" t="str">
        <f aca="false">IF(C937=0,"",IF($A937="Bank",INDEX(Bank!$B:$B,$C937),INDEX(GL!$B:$B,$C937)))</f>
        <v/>
      </c>
      <c r="E937" s="5" t="str">
        <f aca="false">IF(C937=0,"",IF($A937="Bank",IF(INDEX(Bank!$C:$C,$C937)="","",INDEX(Bank!$C:$C,$C937)),IF(INDEX(GL!$C:$C,$C937)="","",INDEX(GL!$C:$C,$C937))))</f>
        <v/>
      </c>
      <c r="F937" s="5" t="str">
        <f aca="false">IF(C937=0,"",IF($A937="Bank",IF(INDEX(Bank!$D:$D,$C937)="","",INDEX(Bank!$D:$D,$C937)),IF(INDEX(GL!$D:$D,$C937)="","",INDEX(GL!$D:$D,$C937))))</f>
        <v/>
      </c>
      <c r="G937" s="19" t="str">
        <f aca="false">IF(C937=0,"",IF($A937="Bank",INDEX(Bank!$E:$E,$C937),INDEX(GL!$E:$E,$C937)))</f>
        <v/>
      </c>
      <c r="H937" s="5" t="str">
        <f aca="false">IF(C937=0,"",IF(A937="GL",IF(G937&gt;0,"Deposit in transit","Outstanding check / payment"),IF(G937&gt;0,"Bank credit not in GL","Bank debit not in GL")))</f>
        <v/>
      </c>
      <c r="I937" s="42" t="str">
        <f aca="false">IF(OR(C937=0,CFG_PeriodEnd=""),"",CFG_PeriodEnd-D937)</f>
        <v/>
      </c>
      <c r="J937" s="5" t="str">
        <f aca="false">IF(C937=0,"",IF($A937="Bank",IF(INDEX(Bank!$G:$G,$C937)="","",INDEX(Bank!$G:$G,$C937)),IF(INDEX(GL!$G:$G,$C937)="","",INDEX(GL!$G:$G,$C937))))</f>
        <v/>
      </c>
      <c r="K937" s="5" t="str">
        <f aca="false">IF(C937=0,"",IF($A937="Bank",IF(INDEX(Bank!$I:$I,$C937)="","",INDEX(Bank!$I:$I,$C937)),IF(INDEX(GL!$I:$I,$C937)="","",INDEX(GL!$I:$I,$C937))))</f>
        <v/>
      </c>
      <c r="L937" s="5" t="str">
        <f aca="false">IF(B937="","",IF(C937=0,"NOT FOUND",IF(IF($A937="Bank",INDEX(Bank!$F:$F,$C937),INDEX(GL!$F:$F,$C937))="Y","NOW RECONCILED: refresh","OK")))</f>
        <v/>
      </c>
    </row>
    <row r="938" customFormat="false" ht="15" hidden="false" customHeight="false" outlineLevel="0" collapsed="false">
      <c r="A938" s="41"/>
      <c r="B938" s="41"/>
      <c r="C938" s="5" t="n">
        <f aca="false">IF(B938="",0,IF(A938="Bank",IFERROR(MATCH(B938,Bank!$A:$A,0),0),IFERROR(MATCH(B938,GL!$A:$A,0),0)))</f>
        <v>0</v>
      </c>
      <c r="D938" s="32" t="str">
        <f aca="false">IF(C938=0,"",IF($A938="Bank",INDEX(Bank!$B:$B,$C938),INDEX(GL!$B:$B,$C938)))</f>
        <v/>
      </c>
      <c r="E938" s="5" t="str">
        <f aca="false">IF(C938=0,"",IF($A938="Bank",IF(INDEX(Bank!$C:$C,$C938)="","",INDEX(Bank!$C:$C,$C938)),IF(INDEX(GL!$C:$C,$C938)="","",INDEX(GL!$C:$C,$C938))))</f>
        <v/>
      </c>
      <c r="F938" s="5" t="str">
        <f aca="false">IF(C938=0,"",IF($A938="Bank",IF(INDEX(Bank!$D:$D,$C938)="","",INDEX(Bank!$D:$D,$C938)),IF(INDEX(GL!$D:$D,$C938)="","",INDEX(GL!$D:$D,$C938))))</f>
        <v/>
      </c>
      <c r="G938" s="19" t="str">
        <f aca="false">IF(C938=0,"",IF($A938="Bank",INDEX(Bank!$E:$E,$C938),INDEX(GL!$E:$E,$C938)))</f>
        <v/>
      </c>
      <c r="H938" s="5" t="str">
        <f aca="false">IF(C938=0,"",IF(A938="GL",IF(G938&gt;0,"Deposit in transit","Outstanding check / payment"),IF(G938&gt;0,"Bank credit not in GL","Bank debit not in GL")))</f>
        <v/>
      </c>
      <c r="I938" s="42" t="str">
        <f aca="false">IF(OR(C938=0,CFG_PeriodEnd=""),"",CFG_PeriodEnd-D938)</f>
        <v/>
      </c>
      <c r="J938" s="5" t="str">
        <f aca="false">IF(C938=0,"",IF($A938="Bank",IF(INDEX(Bank!$G:$G,$C938)="","",INDEX(Bank!$G:$G,$C938)),IF(INDEX(GL!$G:$G,$C938)="","",INDEX(GL!$G:$G,$C938))))</f>
        <v/>
      </c>
      <c r="K938" s="5" t="str">
        <f aca="false">IF(C938=0,"",IF($A938="Bank",IF(INDEX(Bank!$I:$I,$C938)="","",INDEX(Bank!$I:$I,$C938)),IF(INDEX(GL!$I:$I,$C938)="","",INDEX(GL!$I:$I,$C938))))</f>
        <v/>
      </c>
      <c r="L938" s="5" t="str">
        <f aca="false">IF(B938="","",IF(C938=0,"NOT FOUND",IF(IF($A938="Bank",INDEX(Bank!$F:$F,$C938),INDEX(GL!$F:$F,$C938))="Y","NOW RECONCILED: refresh","OK")))</f>
        <v/>
      </c>
    </row>
    <row r="939" customFormat="false" ht="15" hidden="false" customHeight="false" outlineLevel="0" collapsed="false">
      <c r="A939" s="41"/>
      <c r="B939" s="41"/>
      <c r="C939" s="5" t="n">
        <f aca="false">IF(B939="",0,IF(A939="Bank",IFERROR(MATCH(B939,Bank!$A:$A,0),0),IFERROR(MATCH(B939,GL!$A:$A,0),0)))</f>
        <v>0</v>
      </c>
      <c r="D939" s="32" t="str">
        <f aca="false">IF(C939=0,"",IF($A939="Bank",INDEX(Bank!$B:$B,$C939),INDEX(GL!$B:$B,$C939)))</f>
        <v/>
      </c>
      <c r="E939" s="5" t="str">
        <f aca="false">IF(C939=0,"",IF($A939="Bank",IF(INDEX(Bank!$C:$C,$C939)="","",INDEX(Bank!$C:$C,$C939)),IF(INDEX(GL!$C:$C,$C939)="","",INDEX(GL!$C:$C,$C939))))</f>
        <v/>
      </c>
      <c r="F939" s="5" t="str">
        <f aca="false">IF(C939=0,"",IF($A939="Bank",IF(INDEX(Bank!$D:$D,$C939)="","",INDEX(Bank!$D:$D,$C939)),IF(INDEX(GL!$D:$D,$C939)="","",INDEX(GL!$D:$D,$C939))))</f>
        <v/>
      </c>
      <c r="G939" s="19" t="str">
        <f aca="false">IF(C939=0,"",IF($A939="Bank",INDEX(Bank!$E:$E,$C939),INDEX(GL!$E:$E,$C939)))</f>
        <v/>
      </c>
      <c r="H939" s="5" t="str">
        <f aca="false">IF(C939=0,"",IF(A939="GL",IF(G939&gt;0,"Deposit in transit","Outstanding check / payment"),IF(G939&gt;0,"Bank credit not in GL","Bank debit not in GL")))</f>
        <v/>
      </c>
      <c r="I939" s="42" t="str">
        <f aca="false">IF(OR(C939=0,CFG_PeriodEnd=""),"",CFG_PeriodEnd-D939)</f>
        <v/>
      </c>
      <c r="J939" s="5" t="str">
        <f aca="false">IF(C939=0,"",IF($A939="Bank",IF(INDEX(Bank!$G:$G,$C939)="","",INDEX(Bank!$G:$G,$C939)),IF(INDEX(GL!$G:$G,$C939)="","",INDEX(GL!$G:$G,$C939))))</f>
        <v/>
      </c>
      <c r="K939" s="5" t="str">
        <f aca="false">IF(C939=0,"",IF($A939="Bank",IF(INDEX(Bank!$I:$I,$C939)="","",INDEX(Bank!$I:$I,$C939)),IF(INDEX(GL!$I:$I,$C939)="","",INDEX(GL!$I:$I,$C939))))</f>
        <v/>
      </c>
      <c r="L939" s="5" t="str">
        <f aca="false">IF(B939="","",IF(C939=0,"NOT FOUND",IF(IF($A939="Bank",INDEX(Bank!$F:$F,$C939),INDEX(GL!$F:$F,$C939))="Y","NOW RECONCILED: refresh","OK")))</f>
        <v/>
      </c>
    </row>
    <row r="940" customFormat="false" ht="15" hidden="false" customHeight="false" outlineLevel="0" collapsed="false">
      <c r="A940" s="41"/>
      <c r="B940" s="41"/>
      <c r="C940" s="5" t="n">
        <f aca="false">IF(B940="",0,IF(A940="Bank",IFERROR(MATCH(B940,Bank!$A:$A,0),0),IFERROR(MATCH(B940,GL!$A:$A,0),0)))</f>
        <v>0</v>
      </c>
      <c r="D940" s="32" t="str">
        <f aca="false">IF(C940=0,"",IF($A940="Bank",INDEX(Bank!$B:$B,$C940),INDEX(GL!$B:$B,$C940)))</f>
        <v/>
      </c>
      <c r="E940" s="5" t="str">
        <f aca="false">IF(C940=0,"",IF($A940="Bank",IF(INDEX(Bank!$C:$C,$C940)="","",INDEX(Bank!$C:$C,$C940)),IF(INDEX(GL!$C:$C,$C940)="","",INDEX(GL!$C:$C,$C940))))</f>
        <v/>
      </c>
      <c r="F940" s="5" t="str">
        <f aca="false">IF(C940=0,"",IF($A940="Bank",IF(INDEX(Bank!$D:$D,$C940)="","",INDEX(Bank!$D:$D,$C940)),IF(INDEX(GL!$D:$D,$C940)="","",INDEX(GL!$D:$D,$C940))))</f>
        <v/>
      </c>
      <c r="G940" s="19" t="str">
        <f aca="false">IF(C940=0,"",IF($A940="Bank",INDEX(Bank!$E:$E,$C940),INDEX(GL!$E:$E,$C940)))</f>
        <v/>
      </c>
      <c r="H940" s="5" t="str">
        <f aca="false">IF(C940=0,"",IF(A940="GL",IF(G940&gt;0,"Deposit in transit","Outstanding check / payment"),IF(G940&gt;0,"Bank credit not in GL","Bank debit not in GL")))</f>
        <v/>
      </c>
      <c r="I940" s="42" t="str">
        <f aca="false">IF(OR(C940=0,CFG_PeriodEnd=""),"",CFG_PeriodEnd-D940)</f>
        <v/>
      </c>
      <c r="J940" s="5" t="str">
        <f aca="false">IF(C940=0,"",IF($A940="Bank",IF(INDEX(Bank!$G:$G,$C940)="","",INDEX(Bank!$G:$G,$C940)),IF(INDEX(GL!$G:$G,$C940)="","",INDEX(GL!$G:$G,$C940))))</f>
        <v/>
      </c>
      <c r="K940" s="5" t="str">
        <f aca="false">IF(C940=0,"",IF($A940="Bank",IF(INDEX(Bank!$I:$I,$C940)="","",INDEX(Bank!$I:$I,$C940)),IF(INDEX(GL!$I:$I,$C940)="","",INDEX(GL!$I:$I,$C940))))</f>
        <v/>
      </c>
      <c r="L940" s="5" t="str">
        <f aca="false">IF(B940="","",IF(C940=0,"NOT FOUND",IF(IF($A940="Bank",INDEX(Bank!$F:$F,$C940),INDEX(GL!$F:$F,$C940))="Y","NOW RECONCILED: refresh","OK")))</f>
        <v/>
      </c>
    </row>
    <row r="941" customFormat="false" ht="15" hidden="false" customHeight="false" outlineLevel="0" collapsed="false">
      <c r="A941" s="41"/>
      <c r="B941" s="41"/>
      <c r="C941" s="5" t="n">
        <f aca="false">IF(B941="",0,IF(A941="Bank",IFERROR(MATCH(B941,Bank!$A:$A,0),0),IFERROR(MATCH(B941,GL!$A:$A,0),0)))</f>
        <v>0</v>
      </c>
      <c r="D941" s="32" t="str">
        <f aca="false">IF(C941=0,"",IF($A941="Bank",INDEX(Bank!$B:$B,$C941),INDEX(GL!$B:$B,$C941)))</f>
        <v/>
      </c>
      <c r="E941" s="5" t="str">
        <f aca="false">IF(C941=0,"",IF($A941="Bank",IF(INDEX(Bank!$C:$C,$C941)="","",INDEX(Bank!$C:$C,$C941)),IF(INDEX(GL!$C:$C,$C941)="","",INDEX(GL!$C:$C,$C941))))</f>
        <v/>
      </c>
      <c r="F941" s="5" t="str">
        <f aca="false">IF(C941=0,"",IF($A941="Bank",IF(INDEX(Bank!$D:$D,$C941)="","",INDEX(Bank!$D:$D,$C941)),IF(INDEX(GL!$D:$D,$C941)="","",INDEX(GL!$D:$D,$C941))))</f>
        <v/>
      </c>
      <c r="G941" s="19" t="str">
        <f aca="false">IF(C941=0,"",IF($A941="Bank",INDEX(Bank!$E:$E,$C941),INDEX(GL!$E:$E,$C941)))</f>
        <v/>
      </c>
      <c r="H941" s="5" t="str">
        <f aca="false">IF(C941=0,"",IF(A941="GL",IF(G941&gt;0,"Deposit in transit","Outstanding check / payment"),IF(G941&gt;0,"Bank credit not in GL","Bank debit not in GL")))</f>
        <v/>
      </c>
      <c r="I941" s="42" t="str">
        <f aca="false">IF(OR(C941=0,CFG_PeriodEnd=""),"",CFG_PeriodEnd-D941)</f>
        <v/>
      </c>
      <c r="J941" s="5" t="str">
        <f aca="false">IF(C941=0,"",IF($A941="Bank",IF(INDEX(Bank!$G:$G,$C941)="","",INDEX(Bank!$G:$G,$C941)),IF(INDEX(GL!$G:$G,$C941)="","",INDEX(GL!$G:$G,$C941))))</f>
        <v/>
      </c>
      <c r="K941" s="5" t="str">
        <f aca="false">IF(C941=0,"",IF($A941="Bank",IF(INDEX(Bank!$I:$I,$C941)="","",INDEX(Bank!$I:$I,$C941)),IF(INDEX(GL!$I:$I,$C941)="","",INDEX(GL!$I:$I,$C941))))</f>
        <v/>
      </c>
      <c r="L941" s="5" t="str">
        <f aca="false">IF(B941="","",IF(C941=0,"NOT FOUND",IF(IF($A941="Bank",INDEX(Bank!$F:$F,$C941),INDEX(GL!$F:$F,$C941))="Y","NOW RECONCILED: refresh","OK")))</f>
        <v/>
      </c>
    </row>
    <row r="942" customFormat="false" ht="15" hidden="false" customHeight="false" outlineLevel="0" collapsed="false">
      <c r="A942" s="41"/>
      <c r="B942" s="41"/>
      <c r="C942" s="5" t="n">
        <f aca="false">IF(B942="",0,IF(A942="Bank",IFERROR(MATCH(B942,Bank!$A:$A,0),0),IFERROR(MATCH(B942,GL!$A:$A,0),0)))</f>
        <v>0</v>
      </c>
      <c r="D942" s="32" t="str">
        <f aca="false">IF(C942=0,"",IF($A942="Bank",INDEX(Bank!$B:$B,$C942),INDEX(GL!$B:$B,$C942)))</f>
        <v/>
      </c>
      <c r="E942" s="5" t="str">
        <f aca="false">IF(C942=0,"",IF($A942="Bank",IF(INDEX(Bank!$C:$C,$C942)="","",INDEX(Bank!$C:$C,$C942)),IF(INDEX(GL!$C:$C,$C942)="","",INDEX(GL!$C:$C,$C942))))</f>
        <v/>
      </c>
      <c r="F942" s="5" t="str">
        <f aca="false">IF(C942=0,"",IF($A942="Bank",IF(INDEX(Bank!$D:$D,$C942)="","",INDEX(Bank!$D:$D,$C942)),IF(INDEX(GL!$D:$D,$C942)="","",INDEX(GL!$D:$D,$C942))))</f>
        <v/>
      </c>
      <c r="G942" s="19" t="str">
        <f aca="false">IF(C942=0,"",IF($A942="Bank",INDEX(Bank!$E:$E,$C942),INDEX(GL!$E:$E,$C942)))</f>
        <v/>
      </c>
      <c r="H942" s="5" t="str">
        <f aca="false">IF(C942=0,"",IF(A942="GL",IF(G942&gt;0,"Deposit in transit","Outstanding check / payment"),IF(G942&gt;0,"Bank credit not in GL","Bank debit not in GL")))</f>
        <v/>
      </c>
      <c r="I942" s="42" t="str">
        <f aca="false">IF(OR(C942=0,CFG_PeriodEnd=""),"",CFG_PeriodEnd-D942)</f>
        <v/>
      </c>
      <c r="J942" s="5" t="str">
        <f aca="false">IF(C942=0,"",IF($A942="Bank",IF(INDEX(Bank!$G:$G,$C942)="","",INDEX(Bank!$G:$G,$C942)),IF(INDEX(GL!$G:$G,$C942)="","",INDEX(GL!$G:$G,$C942))))</f>
        <v/>
      </c>
      <c r="K942" s="5" t="str">
        <f aca="false">IF(C942=0,"",IF($A942="Bank",IF(INDEX(Bank!$I:$I,$C942)="","",INDEX(Bank!$I:$I,$C942)),IF(INDEX(GL!$I:$I,$C942)="","",INDEX(GL!$I:$I,$C942))))</f>
        <v/>
      </c>
      <c r="L942" s="5" t="str">
        <f aca="false">IF(B942="","",IF(C942=0,"NOT FOUND",IF(IF($A942="Bank",INDEX(Bank!$F:$F,$C942),INDEX(GL!$F:$F,$C942))="Y","NOW RECONCILED: refresh","OK")))</f>
        <v/>
      </c>
    </row>
    <row r="943" customFormat="false" ht="15" hidden="false" customHeight="false" outlineLevel="0" collapsed="false">
      <c r="A943" s="41"/>
      <c r="B943" s="41"/>
      <c r="C943" s="5" t="n">
        <f aca="false">IF(B943="",0,IF(A943="Bank",IFERROR(MATCH(B943,Bank!$A:$A,0),0),IFERROR(MATCH(B943,GL!$A:$A,0),0)))</f>
        <v>0</v>
      </c>
      <c r="D943" s="32" t="str">
        <f aca="false">IF(C943=0,"",IF($A943="Bank",INDEX(Bank!$B:$B,$C943),INDEX(GL!$B:$B,$C943)))</f>
        <v/>
      </c>
      <c r="E943" s="5" t="str">
        <f aca="false">IF(C943=0,"",IF($A943="Bank",IF(INDEX(Bank!$C:$C,$C943)="","",INDEX(Bank!$C:$C,$C943)),IF(INDEX(GL!$C:$C,$C943)="","",INDEX(GL!$C:$C,$C943))))</f>
        <v/>
      </c>
      <c r="F943" s="5" t="str">
        <f aca="false">IF(C943=0,"",IF($A943="Bank",IF(INDEX(Bank!$D:$D,$C943)="","",INDEX(Bank!$D:$D,$C943)),IF(INDEX(GL!$D:$D,$C943)="","",INDEX(GL!$D:$D,$C943))))</f>
        <v/>
      </c>
      <c r="G943" s="19" t="str">
        <f aca="false">IF(C943=0,"",IF($A943="Bank",INDEX(Bank!$E:$E,$C943),INDEX(GL!$E:$E,$C943)))</f>
        <v/>
      </c>
      <c r="H943" s="5" t="str">
        <f aca="false">IF(C943=0,"",IF(A943="GL",IF(G943&gt;0,"Deposit in transit","Outstanding check / payment"),IF(G943&gt;0,"Bank credit not in GL","Bank debit not in GL")))</f>
        <v/>
      </c>
      <c r="I943" s="42" t="str">
        <f aca="false">IF(OR(C943=0,CFG_PeriodEnd=""),"",CFG_PeriodEnd-D943)</f>
        <v/>
      </c>
      <c r="J943" s="5" t="str">
        <f aca="false">IF(C943=0,"",IF($A943="Bank",IF(INDEX(Bank!$G:$G,$C943)="","",INDEX(Bank!$G:$G,$C943)),IF(INDEX(GL!$G:$G,$C943)="","",INDEX(GL!$G:$G,$C943))))</f>
        <v/>
      </c>
      <c r="K943" s="5" t="str">
        <f aca="false">IF(C943=0,"",IF($A943="Bank",IF(INDEX(Bank!$I:$I,$C943)="","",INDEX(Bank!$I:$I,$C943)),IF(INDEX(GL!$I:$I,$C943)="","",INDEX(GL!$I:$I,$C943))))</f>
        <v/>
      </c>
      <c r="L943" s="5" t="str">
        <f aca="false">IF(B943="","",IF(C943=0,"NOT FOUND",IF(IF($A943="Bank",INDEX(Bank!$F:$F,$C943),INDEX(GL!$F:$F,$C943))="Y","NOW RECONCILED: refresh","OK")))</f>
        <v/>
      </c>
    </row>
    <row r="944" customFormat="false" ht="15" hidden="false" customHeight="false" outlineLevel="0" collapsed="false">
      <c r="A944" s="41"/>
      <c r="B944" s="41"/>
      <c r="C944" s="5" t="n">
        <f aca="false">IF(B944="",0,IF(A944="Bank",IFERROR(MATCH(B944,Bank!$A:$A,0),0),IFERROR(MATCH(B944,GL!$A:$A,0),0)))</f>
        <v>0</v>
      </c>
      <c r="D944" s="32" t="str">
        <f aca="false">IF(C944=0,"",IF($A944="Bank",INDEX(Bank!$B:$B,$C944),INDEX(GL!$B:$B,$C944)))</f>
        <v/>
      </c>
      <c r="E944" s="5" t="str">
        <f aca="false">IF(C944=0,"",IF($A944="Bank",IF(INDEX(Bank!$C:$C,$C944)="","",INDEX(Bank!$C:$C,$C944)),IF(INDEX(GL!$C:$C,$C944)="","",INDEX(GL!$C:$C,$C944))))</f>
        <v/>
      </c>
      <c r="F944" s="5" t="str">
        <f aca="false">IF(C944=0,"",IF($A944="Bank",IF(INDEX(Bank!$D:$D,$C944)="","",INDEX(Bank!$D:$D,$C944)),IF(INDEX(GL!$D:$D,$C944)="","",INDEX(GL!$D:$D,$C944))))</f>
        <v/>
      </c>
      <c r="G944" s="19" t="str">
        <f aca="false">IF(C944=0,"",IF($A944="Bank",INDEX(Bank!$E:$E,$C944),INDEX(GL!$E:$E,$C944)))</f>
        <v/>
      </c>
      <c r="H944" s="5" t="str">
        <f aca="false">IF(C944=0,"",IF(A944="GL",IF(G944&gt;0,"Deposit in transit","Outstanding check / payment"),IF(G944&gt;0,"Bank credit not in GL","Bank debit not in GL")))</f>
        <v/>
      </c>
      <c r="I944" s="42" t="str">
        <f aca="false">IF(OR(C944=0,CFG_PeriodEnd=""),"",CFG_PeriodEnd-D944)</f>
        <v/>
      </c>
      <c r="J944" s="5" t="str">
        <f aca="false">IF(C944=0,"",IF($A944="Bank",IF(INDEX(Bank!$G:$G,$C944)="","",INDEX(Bank!$G:$G,$C944)),IF(INDEX(GL!$G:$G,$C944)="","",INDEX(GL!$G:$G,$C944))))</f>
        <v/>
      </c>
      <c r="K944" s="5" t="str">
        <f aca="false">IF(C944=0,"",IF($A944="Bank",IF(INDEX(Bank!$I:$I,$C944)="","",INDEX(Bank!$I:$I,$C944)),IF(INDEX(GL!$I:$I,$C944)="","",INDEX(GL!$I:$I,$C944))))</f>
        <v/>
      </c>
      <c r="L944" s="5" t="str">
        <f aca="false">IF(B944="","",IF(C944=0,"NOT FOUND",IF(IF($A944="Bank",INDEX(Bank!$F:$F,$C944),INDEX(GL!$F:$F,$C944))="Y","NOW RECONCILED: refresh","OK")))</f>
        <v/>
      </c>
    </row>
    <row r="945" customFormat="false" ht="15" hidden="false" customHeight="false" outlineLevel="0" collapsed="false">
      <c r="A945" s="41"/>
      <c r="B945" s="41"/>
      <c r="C945" s="5" t="n">
        <f aca="false">IF(B945="",0,IF(A945="Bank",IFERROR(MATCH(B945,Bank!$A:$A,0),0),IFERROR(MATCH(B945,GL!$A:$A,0),0)))</f>
        <v>0</v>
      </c>
      <c r="D945" s="32" t="str">
        <f aca="false">IF(C945=0,"",IF($A945="Bank",INDEX(Bank!$B:$B,$C945),INDEX(GL!$B:$B,$C945)))</f>
        <v/>
      </c>
      <c r="E945" s="5" t="str">
        <f aca="false">IF(C945=0,"",IF($A945="Bank",IF(INDEX(Bank!$C:$C,$C945)="","",INDEX(Bank!$C:$C,$C945)),IF(INDEX(GL!$C:$C,$C945)="","",INDEX(GL!$C:$C,$C945))))</f>
        <v/>
      </c>
      <c r="F945" s="5" t="str">
        <f aca="false">IF(C945=0,"",IF($A945="Bank",IF(INDEX(Bank!$D:$D,$C945)="","",INDEX(Bank!$D:$D,$C945)),IF(INDEX(GL!$D:$D,$C945)="","",INDEX(GL!$D:$D,$C945))))</f>
        <v/>
      </c>
      <c r="G945" s="19" t="str">
        <f aca="false">IF(C945=0,"",IF($A945="Bank",INDEX(Bank!$E:$E,$C945),INDEX(GL!$E:$E,$C945)))</f>
        <v/>
      </c>
      <c r="H945" s="5" t="str">
        <f aca="false">IF(C945=0,"",IF(A945="GL",IF(G945&gt;0,"Deposit in transit","Outstanding check / payment"),IF(G945&gt;0,"Bank credit not in GL","Bank debit not in GL")))</f>
        <v/>
      </c>
      <c r="I945" s="42" t="str">
        <f aca="false">IF(OR(C945=0,CFG_PeriodEnd=""),"",CFG_PeriodEnd-D945)</f>
        <v/>
      </c>
      <c r="J945" s="5" t="str">
        <f aca="false">IF(C945=0,"",IF($A945="Bank",IF(INDEX(Bank!$G:$G,$C945)="","",INDEX(Bank!$G:$G,$C945)),IF(INDEX(GL!$G:$G,$C945)="","",INDEX(GL!$G:$G,$C945))))</f>
        <v/>
      </c>
      <c r="K945" s="5" t="str">
        <f aca="false">IF(C945=0,"",IF($A945="Bank",IF(INDEX(Bank!$I:$I,$C945)="","",INDEX(Bank!$I:$I,$C945)),IF(INDEX(GL!$I:$I,$C945)="","",INDEX(GL!$I:$I,$C945))))</f>
        <v/>
      </c>
      <c r="L945" s="5" t="str">
        <f aca="false">IF(B945="","",IF(C945=0,"NOT FOUND",IF(IF($A945="Bank",INDEX(Bank!$F:$F,$C945),INDEX(GL!$F:$F,$C945))="Y","NOW RECONCILED: refresh","OK")))</f>
        <v/>
      </c>
    </row>
    <row r="946" customFormat="false" ht="15" hidden="false" customHeight="false" outlineLevel="0" collapsed="false">
      <c r="A946" s="41"/>
      <c r="B946" s="41"/>
      <c r="C946" s="5" t="n">
        <f aca="false">IF(B946="",0,IF(A946="Bank",IFERROR(MATCH(B946,Bank!$A:$A,0),0),IFERROR(MATCH(B946,GL!$A:$A,0),0)))</f>
        <v>0</v>
      </c>
      <c r="D946" s="32" t="str">
        <f aca="false">IF(C946=0,"",IF($A946="Bank",INDEX(Bank!$B:$B,$C946),INDEX(GL!$B:$B,$C946)))</f>
        <v/>
      </c>
      <c r="E946" s="5" t="str">
        <f aca="false">IF(C946=0,"",IF($A946="Bank",IF(INDEX(Bank!$C:$C,$C946)="","",INDEX(Bank!$C:$C,$C946)),IF(INDEX(GL!$C:$C,$C946)="","",INDEX(GL!$C:$C,$C946))))</f>
        <v/>
      </c>
      <c r="F946" s="5" t="str">
        <f aca="false">IF(C946=0,"",IF($A946="Bank",IF(INDEX(Bank!$D:$D,$C946)="","",INDEX(Bank!$D:$D,$C946)),IF(INDEX(GL!$D:$D,$C946)="","",INDEX(GL!$D:$D,$C946))))</f>
        <v/>
      </c>
      <c r="G946" s="19" t="str">
        <f aca="false">IF(C946=0,"",IF($A946="Bank",INDEX(Bank!$E:$E,$C946),INDEX(GL!$E:$E,$C946)))</f>
        <v/>
      </c>
      <c r="H946" s="5" t="str">
        <f aca="false">IF(C946=0,"",IF(A946="GL",IF(G946&gt;0,"Deposit in transit","Outstanding check / payment"),IF(G946&gt;0,"Bank credit not in GL","Bank debit not in GL")))</f>
        <v/>
      </c>
      <c r="I946" s="42" t="str">
        <f aca="false">IF(OR(C946=0,CFG_PeriodEnd=""),"",CFG_PeriodEnd-D946)</f>
        <v/>
      </c>
      <c r="J946" s="5" t="str">
        <f aca="false">IF(C946=0,"",IF($A946="Bank",IF(INDEX(Bank!$G:$G,$C946)="","",INDEX(Bank!$G:$G,$C946)),IF(INDEX(GL!$G:$G,$C946)="","",INDEX(GL!$G:$G,$C946))))</f>
        <v/>
      </c>
      <c r="K946" s="5" t="str">
        <f aca="false">IF(C946=0,"",IF($A946="Bank",IF(INDEX(Bank!$I:$I,$C946)="","",INDEX(Bank!$I:$I,$C946)),IF(INDEX(GL!$I:$I,$C946)="","",INDEX(GL!$I:$I,$C946))))</f>
        <v/>
      </c>
      <c r="L946" s="5" t="str">
        <f aca="false">IF(B946="","",IF(C946=0,"NOT FOUND",IF(IF($A946="Bank",INDEX(Bank!$F:$F,$C946),INDEX(GL!$F:$F,$C946))="Y","NOW RECONCILED: refresh","OK")))</f>
        <v/>
      </c>
    </row>
    <row r="947" customFormat="false" ht="15" hidden="false" customHeight="false" outlineLevel="0" collapsed="false">
      <c r="A947" s="41"/>
      <c r="B947" s="41"/>
      <c r="C947" s="5" t="n">
        <f aca="false">IF(B947="",0,IF(A947="Bank",IFERROR(MATCH(B947,Bank!$A:$A,0),0),IFERROR(MATCH(B947,GL!$A:$A,0),0)))</f>
        <v>0</v>
      </c>
      <c r="D947" s="32" t="str">
        <f aca="false">IF(C947=0,"",IF($A947="Bank",INDEX(Bank!$B:$B,$C947),INDEX(GL!$B:$B,$C947)))</f>
        <v/>
      </c>
      <c r="E947" s="5" t="str">
        <f aca="false">IF(C947=0,"",IF($A947="Bank",IF(INDEX(Bank!$C:$C,$C947)="","",INDEX(Bank!$C:$C,$C947)),IF(INDEX(GL!$C:$C,$C947)="","",INDEX(GL!$C:$C,$C947))))</f>
        <v/>
      </c>
      <c r="F947" s="5" t="str">
        <f aca="false">IF(C947=0,"",IF($A947="Bank",IF(INDEX(Bank!$D:$D,$C947)="","",INDEX(Bank!$D:$D,$C947)),IF(INDEX(GL!$D:$D,$C947)="","",INDEX(GL!$D:$D,$C947))))</f>
        <v/>
      </c>
      <c r="G947" s="19" t="str">
        <f aca="false">IF(C947=0,"",IF($A947="Bank",INDEX(Bank!$E:$E,$C947),INDEX(GL!$E:$E,$C947)))</f>
        <v/>
      </c>
      <c r="H947" s="5" t="str">
        <f aca="false">IF(C947=0,"",IF(A947="GL",IF(G947&gt;0,"Deposit in transit","Outstanding check / payment"),IF(G947&gt;0,"Bank credit not in GL","Bank debit not in GL")))</f>
        <v/>
      </c>
      <c r="I947" s="42" t="str">
        <f aca="false">IF(OR(C947=0,CFG_PeriodEnd=""),"",CFG_PeriodEnd-D947)</f>
        <v/>
      </c>
      <c r="J947" s="5" t="str">
        <f aca="false">IF(C947=0,"",IF($A947="Bank",IF(INDEX(Bank!$G:$G,$C947)="","",INDEX(Bank!$G:$G,$C947)),IF(INDEX(GL!$G:$G,$C947)="","",INDEX(GL!$G:$G,$C947))))</f>
        <v/>
      </c>
      <c r="K947" s="5" t="str">
        <f aca="false">IF(C947=0,"",IF($A947="Bank",IF(INDEX(Bank!$I:$I,$C947)="","",INDEX(Bank!$I:$I,$C947)),IF(INDEX(GL!$I:$I,$C947)="","",INDEX(GL!$I:$I,$C947))))</f>
        <v/>
      </c>
      <c r="L947" s="5" t="str">
        <f aca="false">IF(B947="","",IF(C947=0,"NOT FOUND",IF(IF($A947="Bank",INDEX(Bank!$F:$F,$C947),INDEX(GL!$F:$F,$C947))="Y","NOW RECONCILED: refresh","OK")))</f>
        <v/>
      </c>
    </row>
    <row r="948" customFormat="false" ht="15" hidden="false" customHeight="false" outlineLevel="0" collapsed="false">
      <c r="A948" s="41"/>
      <c r="B948" s="41"/>
      <c r="C948" s="5" t="n">
        <f aca="false">IF(B948="",0,IF(A948="Bank",IFERROR(MATCH(B948,Bank!$A:$A,0),0),IFERROR(MATCH(B948,GL!$A:$A,0),0)))</f>
        <v>0</v>
      </c>
      <c r="D948" s="32" t="str">
        <f aca="false">IF(C948=0,"",IF($A948="Bank",INDEX(Bank!$B:$B,$C948),INDEX(GL!$B:$B,$C948)))</f>
        <v/>
      </c>
      <c r="E948" s="5" t="str">
        <f aca="false">IF(C948=0,"",IF($A948="Bank",IF(INDEX(Bank!$C:$C,$C948)="","",INDEX(Bank!$C:$C,$C948)),IF(INDEX(GL!$C:$C,$C948)="","",INDEX(GL!$C:$C,$C948))))</f>
        <v/>
      </c>
      <c r="F948" s="5" t="str">
        <f aca="false">IF(C948=0,"",IF($A948="Bank",IF(INDEX(Bank!$D:$D,$C948)="","",INDEX(Bank!$D:$D,$C948)),IF(INDEX(GL!$D:$D,$C948)="","",INDEX(GL!$D:$D,$C948))))</f>
        <v/>
      </c>
      <c r="G948" s="19" t="str">
        <f aca="false">IF(C948=0,"",IF($A948="Bank",INDEX(Bank!$E:$E,$C948),INDEX(GL!$E:$E,$C948)))</f>
        <v/>
      </c>
      <c r="H948" s="5" t="str">
        <f aca="false">IF(C948=0,"",IF(A948="GL",IF(G948&gt;0,"Deposit in transit","Outstanding check / payment"),IF(G948&gt;0,"Bank credit not in GL","Bank debit not in GL")))</f>
        <v/>
      </c>
      <c r="I948" s="42" t="str">
        <f aca="false">IF(OR(C948=0,CFG_PeriodEnd=""),"",CFG_PeriodEnd-D948)</f>
        <v/>
      </c>
      <c r="J948" s="5" t="str">
        <f aca="false">IF(C948=0,"",IF($A948="Bank",IF(INDEX(Bank!$G:$G,$C948)="","",INDEX(Bank!$G:$G,$C948)),IF(INDEX(GL!$G:$G,$C948)="","",INDEX(GL!$G:$G,$C948))))</f>
        <v/>
      </c>
      <c r="K948" s="5" t="str">
        <f aca="false">IF(C948=0,"",IF($A948="Bank",IF(INDEX(Bank!$I:$I,$C948)="","",INDEX(Bank!$I:$I,$C948)),IF(INDEX(GL!$I:$I,$C948)="","",INDEX(GL!$I:$I,$C948))))</f>
        <v/>
      </c>
      <c r="L948" s="5" t="str">
        <f aca="false">IF(B948="","",IF(C948=0,"NOT FOUND",IF(IF($A948="Bank",INDEX(Bank!$F:$F,$C948),INDEX(GL!$F:$F,$C948))="Y","NOW RECONCILED: refresh","OK")))</f>
        <v/>
      </c>
    </row>
    <row r="949" customFormat="false" ht="15" hidden="false" customHeight="false" outlineLevel="0" collapsed="false">
      <c r="A949" s="41"/>
      <c r="B949" s="41"/>
      <c r="C949" s="5" t="n">
        <f aca="false">IF(B949="",0,IF(A949="Bank",IFERROR(MATCH(B949,Bank!$A:$A,0),0),IFERROR(MATCH(B949,GL!$A:$A,0),0)))</f>
        <v>0</v>
      </c>
      <c r="D949" s="32" t="str">
        <f aca="false">IF(C949=0,"",IF($A949="Bank",INDEX(Bank!$B:$B,$C949),INDEX(GL!$B:$B,$C949)))</f>
        <v/>
      </c>
      <c r="E949" s="5" t="str">
        <f aca="false">IF(C949=0,"",IF($A949="Bank",IF(INDEX(Bank!$C:$C,$C949)="","",INDEX(Bank!$C:$C,$C949)),IF(INDEX(GL!$C:$C,$C949)="","",INDEX(GL!$C:$C,$C949))))</f>
        <v/>
      </c>
      <c r="F949" s="5" t="str">
        <f aca="false">IF(C949=0,"",IF($A949="Bank",IF(INDEX(Bank!$D:$D,$C949)="","",INDEX(Bank!$D:$D,$C949)),IF(INDEX(GL!$D:$D,$C949)="","",INDEX(GL!$D:$D,$C949))))</f>
        <v/>
      </c>
      <c r="G949" s="19" t="str">
        <f aca="false">IF(C949=0,"",IF($A949="Bank",INDEX(Bank!$E:$E,$C949),INDEX(GL!$E:$E,$C949)))</f>
        <v/>
      </c>
      <c r="H949" s="5" t="str">
        <f aca="false">IF(C949=0,"",IF(A949="GL",IF(G949&gt;0,"Deposit in transit","Outstanding check / payment"),IF(G949&gt;0,"Bank credit not in GL","Bank debit not in GL")))</f>
        <v/>
      </c>
      <c r="I949" s="42" t="str">
        <f aca="false">IF(OR(C949=0,CFG_PeriodEnd=""),"",CFG_PeriodEnd-D949)</f>
        <v/>
      </c>
      <c r="J949" s="5" t="str">
        <f aca="false">IF(C949=0,"",IF($A949="Bank",IF(INDEX(Bank!$G:$G,$C949)="","",INDEX(Bank!$G:$G,$C949)),IF(INDEX(GL!$G:$G,$C949)="","",INDEX(GL!$G:$G,$C949))))</f>
        <v/>
      </c>
      <c r="K949" s="5" t="str">
        <f aca="false">IF(C949=0,"",IF($A949="Bank",IF(INDEX(Bank!$I:$I,$C949)="","",INDEX(Bank!$I:$I,$C949)),IF(INDEX(GL!$I:$I,$C949)="","",INDEX(GL!$I:$I,$C949))))</f>
        <v/>
      </c>
      <c r="L949" s="5" t="str">
        <f aca="false">IF(B949="","",IF(C949=0,"NOT FOUND",IF(IF($A949="Bank",INDEX(Bank!$F:$F,$C949),INDEX(GL!$F:$F,$C949))="Y","NOW RECONCILED: refresh","OK")))</f>
        <v/>
      </c>
    </row>
    <row r="950" customFormat="false" ht="15" hidden="false" customHeight="false" outlineLevel="0" collapsed="false">
      <c r="A950" s="41"/>
      <c r="B950" s="41"/>
      <c r="C950" s="5" t="n">
        <f aca="false">IF(B950="",0,IF(A950="Bank",IFERROR(MATCH(B950,Bank!$A:$A,0),0),IFERROR(MATCH(B950,GL!$A:$A,0),0)))</f>
        <v>0</v>
      </c>
      <c r="D950" s="32" t="str">
        <f aca="false">IF(C950=0,"",IF($A950="Bank",INDEX(Bank!$B:$B,$C950),INDEX(GL!$B:$B,$C950)))</f>
        <v/>
      </c>
      <c r="E950" s="5" t="str">
        <f aca="false">IF(C950=0,"",IF($A950="Bank",IF(INDEX(Bank!$C:$C,$C950)="","",INDEX(Bank!$C:$C,$C950)),IF(INDEX(GL!$C:$C,$C950)="","",INDEX(GL!$C:$C,$C950))))</f>
        <v/>
      </c>
      <c r="F950" s="5" t="str">
        <f aca="false">IF(C950=0,"",IF($A950="Bank",IF(INDEX(Bank!$D:$D,$C950)="","",INDEX(Bank!$D:$D,$C950)),IF(INDEX(GL!$D:$D,$C950)="","",INDEX(GL!$D:$D,$C950))))</f>
        <v/>
      </c>
      <c r="G950" s="19" t="str">
        <f aca="false">IF(C950=0,"",IF($A950="Bank",INDEX(Bank!$E:$E,$C950),INDEX(GL!$E:$E,$C950)))</f>
        <v/>
      </c>
      <c r="H950" s="5" t="str">
        <f aca="false">IF(C950=0,"",IF(A950="GL",IF(G950&gt;0,"Deposit in transit","Outstanding check / payment"),IF(G950&gt;0,"Bank credit not in GL","Bank debit not in GL")))</f>
        <v/>
      </c>
      <c r="I950" s="42" t="str">
        <f aca="false">IF(OR(C950=0,CFG_PeriodEnd=""),"",CFG_PeriodEnd-D950)</f>
        <v/>
      </c>
      <c r="J950" s="5" t="str">
        <f aca="false">IF(C950=0,"",IF($A950="Bank",IF(INDEX(Bank!$G:$G,$C950)="","",INDEX(Bank!$G:$G,$C950)),IF(INDEX(GL!$G:$G,$C950)="","",INDEX(GL!$G:$G,$C950))))</f>
        <v/>
      </c>
      <c r="K950" s="5" t="str">
        <f aca="false">IF(C950=0,"",IF($A950="Bank",IF(INDEX(Bank!$I:$I,$C950)="","",INDEX(Bank!$I:$I,$C950)),IF(INDEX(GL!$I:$I,$C950)="","",INDEX(GL!$I:$I,$C950))))</f>
        <v/>
      </c>
      <c r="L950" s="5" t="str">
        <f aca="false">IF(B950="","",IF(C950=0,"NOT FOUND",IF(IF($A950="Bank",INDEX(Bank!$F:$F,$C950),INDEX(GL!$F:$F,$C950))="Y","NOW RECONCILED: refresh","OK")))</f>
        <v/>
      </c>
    </row>
    <row r="951" customFormat="false" ht="15" hidden="false" customHeight="false" outlineLevel="0" collapsed="false">
      <c r="A951" s="41"/>
      <c r="B951" s="41"/>
      <c r="C951" s="5" t="n">
        <f aca="false">IF(B951="",0,IF(A951="Bank",IFERROR(MATCH(B951,Bank!$A:$A,0),0),IFERROR(MATCH(B951,GL!$A:$A,0),0)))</f>
        <v>0</v>
      </c>
      <c r="D951" s="32" t="str">
        <f aca="false">IF(C951=0,"",IF($A951="Bank",INDEX(Bank!$B:$B,$C951),INDEX(GL!$B:$B,$C951)))</f>
        <v/>
      </c>
      <c r="E951" s="5" t="str">
        <f aca="false">IF(C951=0,"",IF($A951="Bank",IF(INDEX(Bank!$C:$C,$C951)="","",INDEX(Bank!$C:$C,$C951)),IF(INDEX(GL!$C:$C,$C951)="","",INDEX(GL!$C:$C,$C951))))</f>
        <v/>
      </c>
      <c r="F951" s="5" t="str">
        <f aca="false">IF(C951=0,"",IF($A951="Bank",IF(INDEX(Bank!$D:$D,$C951)="","",INDEX(Bank!$D:$D,$C951)),IF(INDEX(GL!$D:$D,$C951)="","",INDEX(GL!$D:$D,$C951))))</f>
        <v/>
      </c>
      <c r="G951" s="19" t="str">
        <f aca="false">IF(C951=0,"",IF($A951="Bank",INDEX(Bank!$E:$E,$C951),INDEX(GL!$E:$E,$C951)))</f>
        <v/>
      </c>
      <c r="H951" s="5" t="str">
        <f aca="false">IF(C951=0,"",IF(A951="GL",IF(G951&gt;0,"Deposit in transit","Outstanding check / payment"),IF(G951&gt;0,"Bank credit not in GL","Bank debit not in GL")))</f>
        <v/>
      </c>
      <c r="I951" s="42" t="str">
        <f aca="false">IF(OR(C951=0,CFG_PeriodEnd=""),"",CFG_PeriodEnd-D951)</f>
        <v/>
      </c>
      <c r="J951" s="5" t="str">
        <f aca="false">IF(C951=0,"",IF($A951="Bank",IF(INDEX(Bank!$G:$G,$C951)="","",INDEX(Bank!$G:$G,$C951)),IF(INDEX(GL!$G:$G,$C951)="","",INDEX(GL!$G:$G,$C951))))</f>
        <v/>
      </c>
      <c r="K951" s="5" t="str">
        <f aca="false">IF(C951=0,"",IF($A951="Bank",IF(INDEX(Bank!$I:$I,$C951)="","",INDEX(Bank!$I:$I,$C951)),IF(INDEX(GL!$I:$I,$C951)="","",INDEX(GL!$I:$I,$C951))))</f>
        <v/>
      </c>
      <c r="L951" s="5" t="str">
        <f aca="false">IF(B951="","",IF(C951=0,"NOT FOUND",IF(IF($A951="Bank",INDEX(Bank!$F:$F,$C951),INDEX(GL!$F:$F,$C951))="Y","NOW RECONCILED: refresh","OK")))</f>
        <v/>
      </c>
    </row>
    <row r="952" customFormat="false" ht="15" hidden="false" customHeight="false" outlineLevel="0" collapsed="false">
      <c r="A952" s="41"/>
      <c r="B952" s="41"/>
      <c r="C952" s="5" t="n">
        <f aca="false">IF(B952="",0,IF(A952="Bank",IFERROR(MATCH(B952,Bank!$A:$A,0),0),IFERROR(MATCH(B952,GL!$A:$A,0),0)))</f>
        <v>0</v>
      </c>
      <c r="D952" s="32" t="str">
        <f aca="false">IF(C952=0,"",IF($A952="Bank",INDEX(Bank!$B:$B,$C952),INDEX(GL!$B:$B,$C952)))</f>
        <v/>
      </c>
      <c r="E952" s="5" t="str">
        <f aca="false">IF(C952=0,"",IF($A952="Bank",IF(INDEX(Bank!$C:$C,$C952)="","",INDEX(Bank!$C:$C,$C952)),IF(INDEX(GL!$C:$C,$C952)="","",INDEX(GL!$C:$C,$C952))))</f>
        <v/>
      </c>
      <c r="F952" s="5" t="str">
        <f aca="false">IF(C952=0,"",IF($A952="Bank",IF(INDEX(Bank!$D:$D,$C952)="","",INDEX(Bank!$D:$D,$C952)),IF(INDEX(GL!$D:$D,$C952)="","",INDEX(GL!$D:$D,$C952))))</f>
        <v/>
      </c>
      <c r="G952" s="19" t="str">
        <f aca="false">IF(C952=0,"",IF($A952="Bank",INDEX(Bank!$E:$E,$C952),INDEX(GL!$E:$E,$C952)))</f>
        <v/>
      </c>
      <c r="H952" s="5" t="str">
        <f aca="false">IF(C952=0,"",IF(A952="GL",IF(G952&gt;0,"Deposit in transit","Outstanding check / payment"),IF(G952&gt;0,"Bank credit not in GL","Bank debit not in GL")))</f>
        <v/>
      </c>
      <c r="I952" s="42" t="str">
        <f aca="false">IF(OR(C952=0,CFG_PeriodEnd=""),"",CFG_PeriodEnd-D952)</f>
        <v/>
      </c>
      <c r="J952" s="5" t="str">
        <f aca="false">IF(C952=0,"",IF($A952="Bank",IF(INDEX(Bank!$G:$G,$C952)="","",INDEX(Bank!$G:$G,$C952)),IF(INDEX(GL!$G:$G,$C952)="","",INDEX(GL!$G:$G,$C952))))</f>
        <v/>
      </c>
      <c r="K952" s="5" t="str">
        <f aca="false">IF(C952=0,"",IF($A952="Bank",IF(INDEX(Bank!$I:$I,$C952)="","",INDEX(Bank!$I:$I,$C952)),IF(INDEX(GL!$I:$I,$C952)="","",INDEX(GL!$I:$I,$C952))))</f>
        <v/>
      </c>
      <c r="L952" s="5" t="str">
        <f aca="false">IF(B952="","",IF(C952=0,"NOT FOUND",IF(IF($A952="Bank",INDEX(Bank!$F:$F,$C952),INDEX(GL!$F:$F,$C952))="Y","NOW RECONCILED: refresh","OK")))</f>
        <v/>
      </c>
    </row>
    <row r="953" customFormat="false" ht="15" hidden="false" customHeight="false" outlineLevel="0" collapsed="false">
      <c r="A953" s="41"/>
      <c r="B953" s="41"/>
      <c r="C953" s="5" t="n">
        <f aca="false">IF(B953="",0,IF(A953="Bank",IFERROR(MATCH(B953,Bank!$A:$A,0),0),IFERROR(MATCH(B953,GL!$A:$A,0),0)))</f>
        <v>0</v>
      </c>
      <c r="D953" s="32" t="str">
        <f aca="false">IF(C953=0,"",IF($A953="Bank",INDEX(Bank!$B:$B,$C953),INDEX(GL!$B:$B,$C953)))</f>
        <v/>
      </c>
      <c r="E953" s="5" t="str">
        <f aca="false">IF(C953=0,"",IF($A953="Bank",IF(INDEX(Bank!$C:$C,$C953)="","",INDEX(Bank!$C:$C,$C953)),IF(INDEX(GL!$C:$C,$C953)="","",INDEX(GL!$C:$C,$C953))))</f>
        <v/>
      </c>
      <c r="F953" s="5" t="str">
        <f aca="false">IF(C953=0,"",IF($A953="Bank",IF(INDEX(Bank!$D:$D,$C953)="","",INDEX(Bank!$D:$D,$C953)),IF(INDEX(GL!$D:$D,$C953)="","",INDEX(GL!$D:$D,$C953))))</f>
        <v/>
      </c>
      <c r="G953" s="19" t="str">
        <f aca="false">IF(C953=0,"",IF($A953="Bank",INDEX(Bank!$E:$E,$C953),INDEX(GL!$E:$E,$C953)))</f>
        <v/>
      </c>
      <c r="H953" s="5" t="str">
        <f aca="false">IF(C953=0,"",IF(A953="GL",IF(G953&gt;0,"Deposit in transit","Outstanding check / payment"),IF(G953&gt;0,"Bank credit not in GL","Bank debit not in GL")))</f>
        <v/>
      </c>
      <c r="I953" s="42" t="str">
        <f aca="false">IF(OR(C953=0,CFG_PeriodEnd=""),"",CFG_PeriodEnd-D953)</f>
        <v/>
      </c>
      <c r="J953" s="5" t="str">
        <f aca="false">IF(C953=0,"",IF($A953="Bank",IF(INDEX(Bank!$G:$G,$C953)="","",INDEX(Bank!$G:$G,$C953)),IF(INDEX(GL!$G:$G,$C953)="","",INDEX(GL!$G:$G,$C953))))</f>
        <v/>
      </c>
      <c r="K953" s="5" t="str">
        <f aca="false">IF(C953=0,"",IF($A953="Bank",IF(INDEX(Bank!$I:$I,$C953)="","",INDEX(Bank!$I:$I,$C953)),IF(INDEX(GL!$I:$I,$C953)="","",INDEX(GL!$I:$I,$C953))))</f>
        <v/>
      </c>
      <c r="L953" s="5" t="str">
        <f aca="false">IF(B953="","",IF(C953=0,"NOT FOUND",IF(IF($A953="Bank",INDEX(Bank!$F:$F,$C953),INDEX(GL!$F:$F,$C953))="Y","NOW RECONCILED: refresh","OK")))</f>
        <v/>
      </c>
    </row>
    <row r="954" customFormat="false" ht="15" hidden="false" customHeight="false" outlineLevel="0" collapsed="false">
      <c r="A954" s="41"/>
      <c r="B954" s="41"/>
      <c r="C954" s="5" t="n">
        <f aca="false">IF(B954="",0,IF(A954="Bank",IFERROR(MATCH(B954,Bank!$A:$A,0),0),IFERROR(MATCH(B954,GL!$A:$A,0),0)))</f>
        <v>0</v>
      </c>
      <c r="D954" s="32" t="str">
        <f aca="false">IF(C954=0,"",IF($A954="Bank",INDEX(Bank!$B:$B,$C954),INDEX(GL!$B:$B,$C954)))</f>
        <v/>
      </c>
      <c r="E954" s="5" t="str">
        <f aca="false">IF(C954=0,"",IF($A954="Bank",IF(INDEX(Bank!$C:$C,$C954)="","",INDEX(Bank!$C:$C,$C954)),IF(INDEX(GL!$C:$C,$C954)="","",INDEX(GL!$C:$C,$C954))))</f>
        <v/>
      </c>
      <c r="F954" s="5" t="str">
        <f aca="false">IF(C954=0,"",IF($A954="Bank",IF(INDEX(Bank!$D:$D,$C954)="","",INDEX(Bank!$D:$D,$C954)),IF(INDEX(GL!$D:$D,$C954)="","",INDEX(GL!$D:$D,$C954))))</f>
        <v/>
      </c>
      <c r="G954" s="19" t="str">
        <f aca="false">IF(C954=0,"",IF($A954="Bank",INDEX(Bank!$E:$E,$C954),INDEX(GL!$E:$E,$C954)))</f>
        <v/>
      </c>
      <c r="H954" s="5" t="str">
        <f aca="false">IF(C954=0,"",IF(A954="GL",IF(G954&gt;0,"Deposit in transit","Outstanding check / payment"),IF(G954&gt;0,"Bank credit not in GL","Bank debit not in GL")))</f>
        <v/>
      </c>
      <c r="I954" s="42" t="str">
        <f aca="false">IF(OR(C954=0,CFG_PeriodEnd=""),"",CFG_PeriodEnd-D954)</f>
        <v/>
      </c>
      <c r="J954" s="5" t="str">
        <f aca="false">IF(C954=0,"",IF($A954="Bank",IF(INDEX(Bank!$G:$G,$C954)="","",INDEX(Bank!$G:$G,$C954)),IF(INDEX(GL!$G:$G,$C954)="","",INDEX(GL!$G:$G,$C954))))</f>
        <v/>
      </c>
      <c r="K954" s="5" t="str">
        <f aca="false">IF(C954=0,"",IF($A954="Bank",IF(INDEX(Bank!$I:$I,$C954)="","",INDEX(Bank!$I:$I,$C954)),IF(INDEX(GL!$I:$I,$C954)="","",INDEX(GL!$I:$I,$C954))))</f>
        <v/>
      </c>
      <c r="L954" s="5" t="str">
        <f aca="false">IF(B954="","",IF(C954=0,"NOT FOUND",IF(IF($A954="Bank",INDEX(Bank!$F:$F,$C954),INDEX(GL!$F:$F,$C954))="Y","NOW RECONCILED: refresh","OK")))</f>
        <v/>
      </c>
    </row>
    <row r="955" customFormat="false" ht="15" hidden="false" customHeight="false" outlineLevel="0" collapsed="false">
      <c r="A955" s="41"/>
      <c r="B955" s="41"/>
      <c r="C955" s="5" t="n">
        <f aca="false">IF(B955="",0,IF(A955="Bank",IFERROR(MATCH(B955,Bank!$A:$A,0),0),IFERROR(MATCH(B955,GL!$A:$A,0),0)))</f>
        <v>0</v>
      </c>
      <c r="D955" s="32" t="str">
        <f aca="false">IF(C955=0,"",IF($A955="Bank",INDEX(Bank!$B:$B,$C955),INDEX(GL!$B:$B,$C955)))</f>
        <v/>
      </c>
      <c r="E955" s="5" t="str">
        <f aca="false">IF(C955=0,"",IF($A955="Bank",IF(INDEX(Bank!$C:$C,$C955)="","",INDEX(Bank!$C:$C,$C955)),IF(INDEX(GL!$C:$C,$C955)="","",INDEX(GL!$C:$C,$C955))))</f>
        <v/>
      </c>
      <c r="F955" s="5" t="str">
        <f aca="false">IF(C955=0,"",IF($A955="Bank",IF(INDEX(Bank!$D:$D,$C955)="","",INDEX(Bank!$D:$D,$C955)),IF(INDEX(GL!$D:$D,$C955)="","",INDEX(GL!$D:$D,$C955))))</f>
        <v/>
      </c>
      <c r="G955" s="19" t="str">
        <f aca="false">IF(C955=0,"",IF($A955="Bank",INDEX(Bank!$E:$E,$C955),INDEX(GL!$E:$E,$C955)))</f>
        <v/>
      </c>
      <c r="H955" s="5" t="str">
        <f aca="false">IF(C955=0,"",IF(A955="GL",IF(G955&gt;0,"Deposit in transit","Outstanding check / payment"),IF(G955&gt;0,"Bank credit not in GL","Bank debit not in GL")))</f>
        <v/>
      </c>
      <c r="I955" s="42" t="str">
        <f aca="false">IF(OR(C955=0,CFG_PeriodEnd=""),"",CFG_PeriodEnd-D955)</f>
        <v/>
      </c>
      <c r="J955" s="5" t="str">
        <f aca="false">IF(C955=0,"",IF($A955="Bank",IF(INDEX(Bank!$G:$G,$C955)="","",INDEX(Bank!$G:$G,$C955)),IF(INDEX(GL!$G:$G,$C955)="","",INDEX(GL!$G:$G,$C955))))</f>
        <v/>
      </c>
      <c r="K955" s="5" t="str">
        <f aca="false">IF(C955=0,"",IF($A955="Bank",IF(INDEX(Bank!$I:$I,$C955)="","",INDEX(Bank!$I:$I,$C955)),IF(INDEX(GL!$I:$I,$C955)="","",INDEX(GL!$I:$I,$C955))))</f>
        <v/>
      </c>
      <c r="L955" s="5" t="str">
        <f aca="false">IF(B955="","",IF(C955=0,"NOT FOUND",IF(IF($A955="Bank",INDEX(Bank!$F:$F,$C955),INDEX(GL!$F:$F,$C955))="Y","NOW RECONCILED: refresh","OK")))</f>
        <v/>
      </c>
    </row>
    <row r="956" customFormat="false" ht="15" hidden="false" customHeight="false" outlineLevel="0" collapsed="false">
      <c r="A956" s="41"/>
      <c r="B956" s="41"/>
      <c r="C956" s="5" t="n">
        <f aca="false">IF(B956="",0,IF(A956="Bank",IFERROR(MATCH(B956,Bank!$A:$A,0),0),IFERROR(MATCH(B956,GL!$A:$A,0),0)))</f>
        <v>0</v>
      </c>
      <c r="D956" s="32" t="str">
        <f aca="false">IF(C956=0,"",IF($A956="Bank",INDEX(Bank!$B:$B,$C956),INDEX(GL!$B:$B,$C956)))</f>
        <v/>
      </c>
      <c r="E956" s="5" t="str">
        <f aca="false">IF(C956=0,"",IF($A956="Bank",IF(INDEX(Bank!$C:$C,$C956)="","",INDEX(Bank!$C:$C,$C956)),IF(INDEX(GL!$C:$C,$C956)="","",INDEX(GL!$C:$C,$C956))))</f>
        <v/>
      </c>
      <c r="F956" s="5" t="str">
        <f aca="false">IF(C956=0,"",IF($A956="Bank",IF(INDEX(Bank!$D:$D,$C956)="","",INDEX(Bank!$D:$D,$C956)),IF(INDEX(GL!$D:$D,$C956)="","",INDEX(GL!$D:$D,$C956))))</f>
        <v/>
      </c>
      <c r="G956" s="19" t="str">
        <f aca="false">IF(C956=0,"",IF($A956="Bank",INDEX(Bank!$E:$E,$C956),INDEX(GL!$E:$E,$C956)))</f>
        <v/>
      </c>
      <c r="H956" s="5" t="str">
        <f aca="false">IF(C956=0,"",IF(A956="GL",IF(G956&gt;0,"Deposit in transit","Outstanding check / payment"),IF(G956&gt;0,"Bank credit not in GL","Bank debit not in GL")))</f>
        <v/>
      </c>
      <c r="I956" s="42" t="str">
        <f aca="false">IF(OR(C956=0,CFG_PeriodEnd=""),"",CFG_PeriodEnd-D956)</f>
        <v/>
      </c>
      <c r="J956" s="5" t="str">
        <f aca="false">IF(C956=0,"",IF($A956="Bank",IF(INDEX(Bank!$G:$G,$C956)="","",INDEX(Bank!$G:$G,$C956)),IF(INDEX(GL!$G:$G,$C956)="","",INDEX(GL!$G:$G,$C956))))</f>
        <v/>
      </c>
      <c r="K956" s="5" t="str">
        <f aca="false">IF(C956=0,"",IF($A956="Bank",IF(INDEX(Bank!$I:$I,$C956)="","",INDEX(Bank!$I:$I,$C956)),IF(INDEX(GL!$I:$I,$C956)="","",INDEX(GL!$I:$I,$C956))))</f>
        <v/>
      </c>
      <c r="L956" s="5" t="str">
        <f aca="false">IF(B956="","",IF(C956=0,"NOT FOUND",IF(IF($A956="Bank",INDEX(Bank!$F:$F,$C956),INDEX(GL!$F:$F,$C956))="Y","NOW RECONCILED: refresh","OK")))</f>
        <v/>
      </c>
    </row>
    <row r="957" customFormat="false" ht="15" hidden="false" customHeight="false" outlineLevel="0" collapsed="false">
      <c r="A957" s="41"/>
      <c r="B957" s="41"/>
      <c r="C957" s="5" t="n">
        <f aca="false">IF(B957="",0,IF(A957="Bank",IFERROR(MATCH(B957,Bank!$A:$A,0),0),IFERROR(MATCH(B957,GL!$A:$A,0),0)))</f>
        <v>0</v>
      </c>
      <c r="D957" s="32" t="str">
        <f aca="false">IF(C957=0,"",IF($A957="Bank",INDEX(Bank!$B:$B,$C957),INDEX(GL!$B:$B,$C957)))</f>
        <v/>
      </c>
      <c r="E957" s="5" t="str">
        <f aca="false">IF(C957=0,"",IF($A957="Bank",IF(INDEX(Bank!$C:$C,$C957)="","",INDEX(Bank!$C:$C,$C957)),IF(INDEX(GL!$C:$C,$C957)="","",INDEX(GL!$C:$C,$C957))))</f>
        <v/>
      </c>
      <c r="F957" s="5" t="str">
        <f aca="false">IF(C957=0,"",IF($A957="Bank",IF(INDEX(Bank!$D:$D,$C957)="","",INDEX(Bank!$D:$D,$C957)),IF(INDEX(GL!$D:$D,$C957)="","",INDEX(GL!$D:$D,$C957))))</f>
        <v/>
      </c>
      <c r="G957" s="19" t="str">
        <f aca="false">IF(C957=0,"",IF($A957="Bank",INDEX(Bank!$E:$E,$C957),INDEX(GL!$E:$E,$C957)))</f>
        <v/>
      </c>
      <c r="H957" s="5" t="str">
        <f aca="false">IF(C957=0,"",IF(A957="GL",IF(G957&gt;0,"Deposit in transit","Outstanding check / payment"),IF(G957&gt;0,"Bank credit not in GL","Bank debit not in GL")))</f>
        <v/>
      </c>
      <c r="I957" s="42" t="str">
        <f aca="false">IF(OR(C957=0,CFG_PeriodEnd=""),"",CFG_PeriodEnd-D957)</f>
        <v/>
      </c>
      <c r="J957" s="5" t="str">
        <f aca="false">IF(C957=0,"",IF($A957="Bank",IF(INDEX(Bank!$G:$G,$C957)="","",INDEX(Bank!$G:$G,$C957)),IF(INDEX(GL!$G:$G,$C957)="","",INDEX(GL!$G:$G,$C957))))</f>
        <v/>
      </c>
      <c r="K957" s="5" t="str">
        <f aca="false">IF(C957=0,"",IF($A957="Bank",IF(INDEX(Bank!$I:$I,$C957)="","",INDEX(Bank!$I:$I,$C957)),IF(INDEX(GL!$I:$I,$C957)="","",INDEX(GL!$I:$I,$C957))))</f>
        <v/>
      </c>
      <c r="L957" s="5" t="str">
        <f aca="false">IF(B957="","",IF(C957=0,"NOT FOUND",IF(IF($A957="Bank",INDEX(Bank!$F:$F,$C957),INDEX(GL!$F:$F,$C957))="Y","NOW RECONCILED: refresh","OK")))</f>
        <v/>
      </c>
    </row>
    <row r="958" customFormat="false" ht="15" hidden="false" customHeight="false" outlineLevel="0" collapsed="false">
      <c r="A958" s="41"/>
      <c r="B958" s="41"/>
      <c r="C958" s="5" t="n">
        <f aca="false">IF(B958="",0,IF(A958="Bank",IFERROR(MATCH(B958,Bank!$A:$A,0),0),IFERROR(MATCH(B958,GL!$A:$A,0),0)))</f>
        <v>0</v>
      </c>
      <c r="D958" s="32" t="str">
        <f aca="false">IF(C958=0,"",IF($A958="Bank",INDEX(Bank!$B:$B,$C958),INDEX(GL!$B:$B,$C958)))</f>
        <v/>
      </c>
      <c r="E958" s="5" t="str">
        <f aca="false">IF(C958=0,"",IF($A958="Bank",IF(INDEX(Bank!$C:$C,$C958)="","",INDEX(Bank!$C:$C,$C958)),IF(INDEX(GL!$C:$C,$C958)="","",INDEX(GL!$C:$C,$C958))))</f>
        <v/>
      </c>
      <c r="F958" s="5" t="str">
        <f aca="false">IF(C958=0,"",IF($A958="Bank",IF(INDEX(Bank!$D:$D,$C958)="","",INDEX(Bank!$D:$D,$C958)),IF(INDEX(GL!$D:$D,$C958)="","",INDEX(GL!$D:$D,$C958))))</f>
        <v/>
      </c>
      <c r="G958" s="19" t="str">
        <f aca="false">IF(C958=0,"",IF($A958="Bank",INDEX(Bank!$E:$E,$C958),INDEX(GL!$E:$E,$C958)))</f>
        <v/>
      </c>
      <c r="H958" s="5" t="str">
        <f aca="false">IF(C958=0,"",IF(A958="GL",IF(G958&gt;0,"Deposit in transit","Outstanding check / payment"),IF(G958&gt;0,"Bank credit not in GL","Bank debit not in GL")))</f>
        <v/>
      </c>
      <c r="I958" s="42" t="str">
        <f aca="false">IF(OR(C958=0,CFG_PeriodEnd=""),"",CFG_PeriodEnd-D958)</f>
        <v/>
      </c>
      <c r="J958" s="5" t="str">
        <f aca="false">IF(C958=0,"",IF($A958="Bank",IF(INDEX(Bank!$G:$G,$C958)="","",INDEX(Bank!$G:$G,$C958)),IF(INDEX(GL!$G:$G,$C958)="","",INDEX(GL!$G:$G,$C958))))</f>
        <v/>
      </c>
      <c r="K958" s="5" t="str">
        <f aca="false">IF(C958=0,"",IF($A958="Bank",IF(INDEX(Bank!$I:$I,$C958)="","",INDEX(Bank!$I:$I,$C958)),IF(INDEX(GL!$I:$I,$C958)="","",INDEX(GL!$I:$I,$C958))))</f>
        <v/>
      </c>
      <c r="L958" s="5" t="str">
        <f aca="false">IF(B958="","",IF(C958=0,"NOT FOUND",IF(IF($A958="Bank",INDEX(Bank!$F:$F,$C958),INDEX(GL!$F:$F,$C958))="Y","NOW RECONCILED: refresh","OK")))</f>
        <v/>
      </c>
    </row>
    <row r="959" customFormat="false" ht="15" hidden="false" customHeight="false" outlineLevel="0" collapsed="false">
      <c r="A959" s="41"/>
      <c r="B959" s="41"/>
      <c r="C959" s="5" t="n">
        <f aca="false">IF(B959="",0,IF(A959="Bank",IFERROR(MATCH(B959,Bank!$A:$A,0),0),IFERROR(MATCH(B959,GL!$A:$A,0),0)))</f>
        <v>0</v>
      </c>
      <c r="D959" s="32" t="str">
        <f aca="false">IF(C959=0,"",IF($A959="Bank",INDEX(Bank!$B:$B,$C959),INDEX(GL!$B:$B,$C959)))</f>
        <v/>
      </c>
      <c r="E959" s="5" t="str">
        <f aca="false">IF(C959=0,"",IF($A959="Bank",IF(INDEX(Bank!$C:$C,$C959)="","",INDEX(Bank!$C:$C,$C959)),IF(INDEX(GL!$C:$C,$C959)="","",INDEX(GL!$C:$C,$C959))))</f>
        <v/>
      </c>
      <c r="F959" s="5" t="str">
        <f aca="false">IF(C959=0,"",IF($A959="Bank",IF(INDEX(Bank!$D:$D,$C959)="","",INDEX(Bank!$D:$D,$C959)),IF(INDEX(GL!$D:$D,$C959)="","",INDEX(GL!$D:$D,$C959))))</f>
        <v/>
      </c>
      <c r="G959" s="19" t="str">
        <f aca="false">IF(C959=0,"",IF($A959="Bank",INDEX(Bank!$E:$E,$C959),INDEX(GL!$E:$E,$C959)))</f>
        <v/>
      </c>
      <c r="H959" s="5" t="str">
        <f aca="false">IF(C959=0,"",IF(A959="GL",IF(G959&gt;0,"Deposit in transit","Outstanding check / payment"),IF(G959&gt;0,"Bank credit not in GL","Bank debit not in GL")))</f>
        <v/>
      </c>
      <c r="I959" s="42" t="str">
        <f aca="false">IF(OR(C959=0,CFG_PeriodEnd=""),"",CFG_PeriodEnd-D959)</f>
        <v/>
      </c>
      <c r="J959" s="5" t="str">
        <f aca="false">IF(C959=0,"",IF($A959="Bank",IF(INDEX(Bank!$G:$G,$C959)="","",INDEX(Bank!$G:$G,$C959)),IF(INDEX(GL!$G:$G,$C959)="","",INDEX(GL!$G:$G,$C959))))</f>
        <v/>
      </c>
      <c r="K959" s="5" t="str">
        <f aca="false">IF(C959=0,"",IF($A959="Bank",IF(INDEX(Bank!$I:$I,$C959)="","",INDEX(Bank!$I:$I,$C959)),IF(INDEX(GL!$I:$I,$C959)="","",INDEX(GL!$I:$I,$C959))))</f>
        <v/>
      </c>
      <c r="L959" s="5" t="str">
        <f aca="false">IF(B959="","",IF(C959=0,"NOT FOUND",IF(IF($A959="Bank",INDEX(Bank!$F:$F,$C959),INDEX(GL!$F:$F,$C959))="Y","NOW RECONCILED: refresh","OK")))</f>
        <v/>
      </c>
    </row>
    <row r="960" customFormat="false" ht="15" hidden="false" customHeight="false" outlineLevel="0" collapsed="false">
      <c r="A960" s="41"/>
      <c r="B960" s="41"/>
      <c r="C960" s="5" t="n">
        <f aca="false">IF(B960="",0,IF(A960="Bank",IFERROR(MATCH(B960,Bank!$A:$A,0),0),IFERROR(MATCH(B960,GL!$A:$A,0),0)))</f>
        <v>0</v>
      </c>
      <c r="D960" s="32" t="str">
        <f aca="false">IF(C960=0,"",IF($A960="Bank",INDEX(Bank!$B:$B,$C960),INDEX(GL!$B:$B,$C960)))</f>
        <v/>
      </c>
      <c r="E960" s="5" t="str">
        <f aca="false">IF(C960=0,"",IF($A960="Bank",IF(INDEX(Bank!$C:$C,$C960)="","",INDEX(Bank!$C:$C,$C960)),IF(INDEX(GL!$C:$C,$C960)="","",INDEX(GL!$C:$C,$C960))))</f>
        <v/>
      </c>
      <c r="F960" s="5" t="str">
        <f aca="false">IF(C960=0,"",IF($A960="Bank",IF(INDEX(Bank!$D:$D,$C960)="","",INDEX(Bank!$D:$D,$C960)),IF(INDEX(GL!$D:$D,$C960)="","",INDEX(GL!$D:$D,$C960))))</f>
        <v/>
      </c>
      <c r="G960" s="19" t="str">
        <f aca="false">IF(C960=0,"",IF($A960="Bank",INDEX(Bank!$E:$E,$C960),INDEX(GL!$E:$E,$C960)))</f>
        <v/>
      </c>
      <c r="H960" s="5" t="str">
        <f aca="false">IF(C960=0,"",IF(A960="GL",IF(G960&gt;0,"Deposit in transit","Outstanding check / payment"),IF(G960&gt;0,"Bank credit not in GL","Bank debit not in GL")))</f>
        <v/>
      </c>
      <c r="I960" s="42" t="str">
        <f aca="false">IF(OR(C960=0,CFG_PeriodEnd=""),"",CFG_PeriodEnd-D960)</f>
        <v/>
      </c>
      <c r="J960" s="5" t="str">
        <f aca="false">IF(C960=0,"",IF($A960="Bank",IF(INDEX(Bank!$G:$G,$C960)="","",INDEX(Bank!$G:$G,$C960)),IF(INDEX(GL!$G:$G,$C960)="","",INDEX(GL!$G:$G,$C960))))</f>
        <v/>
      </c>
      <c r="K960" s="5" t="str">
        <f aca="false">IF(C960=0,"",IF($A960="Bank",IF(INDEX(Bank!$I:$I,$C960)="","",INDEX(Bank!$I:$I,$C960)),IF(INDEX(GL!$I:$I,$C960)="","",INDEX(GL!$I:$I,$C960))))</f>
        <v/>
      </c>
      <c r="L960" s="5" t="str">
        <f aca="false">IF(B960="","",IF(C960=0,"NOT FOUND",IF(IF($A960="Bank",INDEX(Bank!$F:$F,$C960),INDEX(GL!$F:$F,$C960))="Y","NOW RECONCILED: refresh","OK")))</f>
        <v/>
      </c>
    </row>
    <row r="961" customFormat="false" ht="15" hidden="false" customHeight="false" outlineLevel="0" collapsed="false">
      <c r="A961" s="41"/>
      <c r="B961" s="41"/>
      <c r="C961" s="5" t="n">
        <f aca="false">IF(B961="",0,IF(A961="Bank",IFERROR(MATCH(B961,Bank!$A:$A,0),0),IFERROR(MATCH(B961,GL!$A:$A,0),0)))</f>
        <v>0</v>
      </c>
      <c r="D961" s="32" t="str">
        <f aca="false">IF(C961=0,"",IF($A961="Bank",INDEX(Bank!$B:$B,$C961),INDEX(GL!$B:$B,$C961)))</f>
        <v/>
      </c>
      <c r="E961" s="5" t="str">
        <f aca="false">IF(C961=0,"",IF($A961="Bank",IF(INDEX(Bank!$C:$C,$C961)="","",INDEX(Bank!$C:$C,$C961)),IF(INDEX(GL!$C:$C,$C961)="","",INDEX(GL!$C:$C,$C961))))</f>
        <v/>
      </c>
      <c r="F961" s="5" t="str">
        <f aca="false">IF(C961=0,"",IF($A961="Bank",IF(INDEX(Bank!$D:$D,$C961)="","",INDEX(Bank!$D:$D,$C961)),IF(INDEX(GL!$D:$D,$C961)="","",INDEX(GL!$D:$D,$C961))))</f>
        <v/>
      </c>
      <c r="G961" s="19" t="str">
        <f aca="false">IF(C961=0,"",IF($A961="Bank",INDEX(Bank!$E:$E,$C961),INDEX(GL!$E:$E,$C961)))</f>
        <v/>
      </c>
      <c r="H961" s="5" t="str">
        <f aca="false">IF(C961=0,"",IF(A961="GL",IF(G961&gt;0,"Deposit in transit","Outstanding check / payment"),IF(G961&gt;0,"Bank credit not in GL","Bank debit not in GL")))</f>
        <v/>
      </c>
      <c r="I961" s="42" t="str">
        <f aca="false">IF(OR(C961=0,CFG_PeriodEnd=""),"",CFG_PeriodEnd-D961)</f>
        <v/>
      </c>
      <c r="J961" s="5" t="str">
        <f aca="false">IF(C961=0,"",IF($A961="Bank",IF(INDEX(Bank!$G:$G,$C961)="","",INDEX(Bank!$G:$G,$C961)),IF(INDEX(GL!$G:$G,$C961)="","",INDEX(GL!$G:$G,$C961))))</f>
        <v/>
      </c>
      <c r="K961" s="5" t="str">
        <f aca="false">IF(C961=0,"",IF($A961="Bank",IF(INDEX(Bank!$I:$I,$C961)="","",INDEX(Bank!$I:$I,$C961)),IF(INDEX(GL!$I:$I,$C961)="","",INDEX(GL!$I:$I,$C961))))</f>
        <v/>
      </c>
      <c r="L961" s="5" t="str">
        <f aca="false">IF(B961="","",IF(C961=0,"NOT FOUND",IF(IF($A961="Bank",INDEX(Bank!$F:$F,$C961),INDEX(GL!$F:$F,$C961))="Y","NOW RECONCILED: refresh","OK")))</f>
        <v/>
      </c>
    </row>
    <row r="962" customFormat="false" ht="15" hidden="false" customHeight="false" outlineLevel="0" collapsed="false">
      <c r="A962" s="41"/>
      <c r="B962" s="41"/>
      <c r="C962" s="5" t="n">
        <f aca="false">IF(B962="",0,IF(A962="Bank",IFERROR(MATCH(B962,Bank!$A:$A,0),0),IFERROR(MATCH(B962,GL!$A:$A,0),0)))</f>
        <v>0</v>
      </c>
      <c r="D962" s="32" t="str">
        <f aca="false">IF(C962=0,"",IF($A962="Bank",INDEX(Bank!$B:$B,$C962),INDEX(GL!$B:$B,$C962)))</f>
        <v/>
      </c>
      <c r="E962" s="5" t="str">
        <f aca="false">IF(C962=0,"",IF($A962="Bank",IF(INDEX(Bank!$C:$C,$C962)="","",INDEX(Bank!$C:$C,$C962)),IF(INDEX(GL!$C:$C,$C962)="","",INDEX(GL!$C:$C,$C962))))</f>
        <v/>
      </c>
      <c r="F962" s="5" t="str">
        <f aca="false">IF(C962=0,"",IF($A962="Bank",IF(INDEX(Bank!$D:$D,$C962)="","",INDEX(Bank!$D:$D,$C962)),IF(INDEX(GL!$D:$D,$C962)="","",INDEX(GL!$D:$D,$C962))))</f>
        <v/>
      </c>
      <c r="G962" s="19" t="str">
        <f aca="false">IF(C962=0,"",IF($A962="Bank",INDEX(Bank!$E:$E,$C962),INDEX(GL!$E:$E,$C962)))</f>
        <v/>
      </c>
      <c r="H962" s="5" t="str">
        <f aca="false">IF(C962=0,"",IF(A962="GL",IF(G962&gt;0,"Deposit in transit","Outstanding check / payment"),IF(G962&gt;0,"Bank credit not in GL","Bank debit not in GL")))</f>
        <v/>
      </c>
      <c r="I962" s="42" t="str">
        <f aca="false">IF(OR(C962=0,CFG_PeriodEnd=""),"",CFG_PeriodEnd-D962)</f>
        <v/>
      </c>
      <c r="J962" s="5" t="str">
        <f aca="false">IF(C962=0,"",IF($A962="Bank",IF(INDEX(Bank!$G:$G,$C962)="","",INDEX(Bank!$G:$G,$C962)),IF(INDEX(GL!$G:$G,$C962)="","",INDEX(GL!$G:$G,$C962))))</f>
        <v/>
      </c>
      <c r="K962" s="5" t="str">
        <f aca="false">IF(C962=0,"",IF($A962="Bank",IF(INDEX(Bank!$I:$I,$C962)="","",INDEX(Bank!$I:$I,$C962)),IF(INDEX(GL!$I:$I,$C962)="","",INDEX(GL!$I:$I,$C962))))</f>
        <v/>
      </c>
      <c r="L962" s="5" t="str">
        <f aca="false">IF(B962="","",IF(C962=0,"NOT FOUND",IF(IF($A962="Bank",INDEX(Bank!$F:$F,$C962),INDEX(GL!$F:$F,$C962))="Y","NOW RECONCILED: refresh","OK")))</f>
        <v/>
      </c>
    </row>
    <row r="963" customFormat="false" ht="15" hidden="false" customHeight="false" outlineLevel="0" collapsed="false">
      <c r="A963" s="41"/>
      <c r="B963" s="41"/>
      <c r="C963" s="5" t="n">
        <f aca="false">IF(B963="",0,IF(A963="Bank",IFERROR(MATCH(B963,Bank!$A:$A,0),0),IFERROR(MATCH(B963,GL!$A:$A,0),0)))</f>
        <v>0</v>
      </c>
      <c r="D963" s="32" t="str">
        <f aca="false">IF(C963=0,"",IF($A963="Bank",INDEX(Bank!$B:$B,$C963),INDEX(GL!$B:$B,$C963)))</f>
        <v/>
      </c>
      <c r="E963" s="5" t="str">
        <f aca="false">IF(C963=0,"",IF($A963="Bank",IF(INDEX(Bank!$C:$C,$C963)="","",INDEX(Bank!$C:$C,$C963)),IF(INDEX(GL!$C:$C,$C963)="","",INDEX(GL!$C:$C,$C963))))</f>
        <v/>
      </c>
      <c r="F963" s="5" t="str">
        <f aca="false">IF(C963=0,"",IF($A963="Bank",IF(INDEX(Bank!$D:$D,$C963)="","",INDEX(Bank!$D:$D,$C963)),IF(INDEX(GL!$D:$D,$C963)="","",INDEX(GL!$D:$D,$C963))))</f>
        <v/>
      </c>
      <c r="G963" s="19" t="str">
        <f aca="false">IF(C963=0,"",IF($A963="Bank",INDEX(Bank!$E:$E,$C963),INDEX(GL!$E:$E,$C963)))</f>
        <v/>
      </c>
      <c r="H963" s="5" t="str">
        <f aca="false">IF(C963=0,"",IF(A963="GL",IF(G963&gt;0,"Deposit in transit","Outstanding check / payment"),IF(G963&gt;0,"Bank credit not in GL","Bank debit not in GL")))</f>
        <v/>
      </c>
      <c r="I963" s="42" t="str">
        <f aca="false">IF(OR(C963=0,CFG_PeriodEnd=""),"",CFG_PeriodEnd-D963)</f>
        <v/>
      </c>
      <c r="J963" s="5" t="str">
        <f aca="false">IF(C963=0,"",IF($A963="Bank",IF(INDEX(Bank!$G:$G,$C963)="","",INDEX(Bank!$G:$G,$C963)),IF(INDEX(GL!$G:$G,$C963)="","",INDEX(GL!$G:$G,$C963))))</f>
        <v/>
      </c>
      <c r="K963" s="5" t="str">
        <f aca="false">IF(C963=0,"",IF($A963="Bank",IF(INDEX(Bank!$I:$I,$C963)="","",INDEX(Bank!$I:$I,$C963)),IF(INDEX(GL!$I:$I,$C963)="","",INDEX(GL!$I:$I,$C963))))</f>
        <v/>
      </c>
      <c r="L963" s="5" t="str">
        <f aca="false">IF(B963="","",IF(C963=0,"NOT FOUND",IF(IF($A963="Bank",INDEX(Bank!$F:$F,$C963),INDEX(GL!$F:$F,$C963))="Y","NOW RECONCILED: refresh","OK")))</f>
        <v/>
      </c>
    </row>
    <row r="964" customFormat="false" ht="15" hidden="false" customHeight="false" outlineLevel="0" collapsed="false">
      <c r="A964" s="41"/>
      <c r="B964" s="41"/>
      <c r="C964" s="5" t="n">
        <f aca="false">IF(B964="",0,IF(A964="Bank",IFERROR(MATCH(B964,Bank!$A:$A,0),0),IFERROR(MATCH(B964,GL!$A:$A,0),0)))</f>
        <v>0</v>
      </c>
      <c r="D964" s="32" t="str">
        <f aca="false">IF(C964=0,"",IF($A964="Bank",INDEX(Bank!$B:$B,$C964),INDEX(GL!$B:$B,$C964)))</f>
        <v/>
      </c>
      <c r="E964" s="5" t="str">
        <f aca="false">IF(C964=0,"",IF($A964="Bank",IF(INDEX(Bank!$C:$C,$C964)="","",INDEX(Bank!$C:$C,$C964)),IF(INDEX(GL!$C:$C,$C964)="","",INDEX(GL!$C:$C,$C964))))</f>
        <v/>
      </c>
      <c r="F964" s="5" t="str">
        <f aca="false">IF(C964=0,"",IF($A964="Bank",IF(INDEX(Bank!$D:$D,$C964)="","",INDEX(Bank!$D:$D,$C964)),IF(INDEX(GL!$D:$D,$C964)="","",INDEX(GL!$D:$D,$C964))))</f>
        <v/>
      </c>
      <c r="G964" s="19" t="str">
        <f aca="false">IF(C964=0,"",IF($A964="Bank",INDEX(Bank!$E:$E,$C964),INDEX(GL!$E:$E,$C964)))</f>
        <v/>
      </c>
      <c r="H964" s="5" t="str">
        <f aca="false">IF(C964=0,"",IF(A964="GL",IF(G964&gt;0,"Deposit in transit","Outstanding check / payment"),IF(G964&gt;0,"Bank credit not in GL","Bank debit not in GL")))</f>
        <v/>
      </c>
      <c r="I964" s="42" t="str">
        <f aca="false">IF(OR(C964=0,CFG_PeriodEnd=""),"",CFG_PeriodEnd-D964)</f>
        <v/>
      </c>
      <c r="J964" s="5" t="str">
        <f aca="false">IF(C964=0,"",IF($A964="Bank",IF(INDEX(Bank!$G:$G,$C964)="","",INDEX(Bank!$G:$G,$C964)),IF(INDEX(GL!$G:$G,$C964)="","",INDEX(GL!$G:$G,$C964))))</f>
        <v/>
      </c>
      <c r="K964" s="5" t="str">
        <f aca="false">IF(C964=0,"",IF($A964="Bank",IF(INDEX(Bank!$I:$I,$C964)="","",INDEX(Bank!$I:$I,$C964)),IF(INDEX(GL!$I:$I,$C964)="","",INDEX(GL!$I:$I,$C964))))</f>
        <v/>
      </c>
      <c r="L964" s="5" t="str">
        <f aca="false">IF(B964="","",IF(C964=0,"NOT FOUND",IF(IF($A964="Bank",INDEX(Bank!$F:$F,$C964),INDEX(GL!$F:$F,$C964))="Y","NOW RECONCILED: refresh","OK")))</f>
        <v/>
      </c>
    </row>
    <row r="965" customFormat="false" ht="15" hidden="false" customHeight="false" outlineLevel="0" collapsed="false">
      <c r="A965" s="41"/>
      <c r="B965" s="41"/>
      <c r="C965" s="5" t="n">
        <f aca="false">IF(B965="",0,IF(A965="Bank",IFERROR(MATCH(B965,Bank!$A:$A,0),0),IFERROR(MATCH(B965,GL!$A:$A,0),0)))</f>
        <v>0</v>
      </c>
      <c r="D965" s="32" t="str">
        <f aca="false">IF(C965=0,"",IF($A965="Bank",INDEX(Bank!$B:$B,$C965),INDEX(GL!$B:$B,$C965)))</f>
        <v/>
      </c>
      <c r="E965" s="5" t="str">
        <f aca="false">IF(C965=0,"",IF($A965="Bank",IF(INDEX(Bank!$C:$C,$C965)="","",INDEX(Bank!$C:$C,$C965)),IF(INDEX(GL!$C:$C,$C965)="","",INDEX(GL!$C:$C,$C965))))</f>
        <v/>
      </c>
      <c r="F965" s="5" t="str">
        <f aca="false">IF(C965=0,"",IF($A965="Bank",IF(INDEX(Bank!$D:$D,$C965)="","",INDEX(Bank!$D:$D,$C965)),IF(INDEX(GL!$D:$D,$C965)="","",INDEX(GL!$D:$D,$C965))))</f>
        <v/>
      </c>
      <c r="G965" s="19" t="str">
        <f aca="false">IF(C965=0,"",IF($A965="Bank",INDEX(Bank!$E:$E,$C965),INDEX(GL!$E:$E,$C965)))</f>
        <v/>
      </c>
      <c r="H965" s="5" t="str">
        <f aca="false">IF(C965=0,"",IF(A965="GL",IF(G965&gt;0,"Deposit in transit","Outstanding check / payment"),IF(G965&gt;0,"Bank credit not in GL","Bank debit not in GL")))</f>
        <v/>
      </c>
      <c r="I965" s="42" t="str">
        <f aca="false">IF(OR(C965=0,CFG_PeriodEnd=""),"",CFG_PeriodEnd-D965)</f>
        <v/>
      </c>
      <c r="J965" s="5" t="str">
        <f aca="false">IF(C965=0,"",IF($A965="Bank",IF(INDEX(Bank!$G:$G,$C965)="","",INDEX(Bank!$G:$G,$C965)),IF(INDEX(GL!$G:$G,$C965)="","",INDEX(GL!$G:$G,$C965))))</f>
        <v/>
      </c>
      <c r="K965" s="5" t="str">
        <f aca="false">IF(C965=0,"",IF($A965="Bank",IF(INDEX(Bank!$I:$I,$C965)="","",INDEX(Bank!$I:$I,$C965)),IF(INDEX(GL!$I:$I,$C965)="","",INDEX(GL!$I:$I,$C965))))</f>
        <v/>
      </c>
      <c r="L965" s="5" t="str">
        <f aca="false">IF(B965="","",IF(C965=0,"NOT FOUND",IF(IF($A965="Bank",INDEX(Bank!$F:$F,$C965),INDEX(GL!$F:$F,$C965))="Y","NOW RECONCILED: refresh","OK")))</f>
        <v/>
      </c>
    </row>
    <row r="966" customFormat="false" ht="15" hidden="false" customHeight="false" outlineLevel="0" collapsed="false">
      <c r="A966" s="41"/>
      <c r="B966" s="41"/>
      <c r="C966" s="5" t="n">
        <f aca="false">IF(B966="",0,IF(A966="Bank",IFERROR(MATCH(B966,Bank!$A:$A,0),0),IFERROR(MATCH(B966,GL!$A:$A,0),0)))</f>
        <v>0</v>
      </c>
      <c r="D966" s="32" t="str">
        <f aca="false">IF(C966=0,"",IF($A966="Bank",INDEX(Bank!$B:$B,$C966),INDEX(GL!$B:$B,$C966)))</f>
        <v/>
      </c>
      <c r="E966" s="5" t="str">
        <f aca="false">IF(C966=0,"",IF($A966="Bank",IF(INDEX(Bank!$C:$C,$C966)="","",INDEX(Bank!$C:$C,$C966)),IF(INDEX(GL!$C:$C,$C966)="","",INDEX(GL!$C:$C,$C966))))</f>
        <v/>
      </c>
      <c r="F966" s="5" t="str">
        <f aca="false">IF(C966=0,"",IF($A966="Bank",IF(INDEX(Bank!$D:$D,$C966)="","",INDEX(Bank!$D:$D,$C966)),IF(INDEX(GL!$D:$D,$C966)="","",INDEX(GL!$D:$D,$C966))))</f>
        <v/>
      </c>
      <c r="G966" s="19" t="str">
        <f aca="false">IF(C966=0,"",IF($A966="Bank",INDEX(Bank!$E:$E,$C966),INDEX(GL!$E:$E,$C966)))</f>
        <v/>
      </c>
      <c r="H966" s="5" t="str">
        <f aca="false">IF(C966=0,"",IF(A966="GL",IF(G966&gt;0,"Deposit in transit","Outstanding check / payment"),IF(G966&gt;0,"Bank credit not in GL","Bank debit not in GL")))</f>
        <v/>
      </c>
      <c r="I966" s="42" t="str">
        <f aca="false">IF(OR(C966=0,CFG_PeriodEnd=""),"",CFG_PeriodEnd-D966)</f>
        <v/>
      </c>
      <c r="J966" s="5" t="str">
        <f aca="false">IF(C966=0,"",IF($A966="Bank",IF(INDEX(Bank!$G:$G,$C966)="","",INDEX(Bank!$G:$G,$C966)),IF(INDEX(GL!$G:$G,$C966)="","",INDEX(GL!$G:$G,$C966))))</f>
        <v/>
      </c>
      <c r="K966" s="5" t="str">
        <f aca="false">IF(C966=0,"",IF($A966="Bank",IF(INDEX(Bank!$I:$I,$C966)="","",INDEX(Bank!$I:$I,$C966)),IF(INDEX(GL!$I:$I,$C966)="","",INDEX(GL!$I:$I,$C966))))</f>
        <v/>
      </c>
      <c r="L966" s="5" t="str">
        <f aca="false">IF(B966="","",IF(C966=0,"NOT FOUND",IF(IF($A966="Bank",INDEX(Bank!$F:$F,$C966),INDEX(GL!$F:$F,$C966))="Y","NOW RECONCILED: refresh","OK")))</f>
        <v/>
      </c>
    </row>
    <row r="967" customFormat="false" ht="15" hidden="false" customHeight="false" outlineLevel="0" collapsed="false">
      <c r="A967" s="41"/>
      <c r="B967" s="41"/>
      <c r="C967" s="5" t="n">
        <f aca="false">IF(B967="",0,IF(A967="Bank",IFERROR(MATCH(B967,Bank!$A:$A,0),0),IFERROR(MATCH(B967,GL!$A:$A,0),0)))</f>
        <v>0</v>
      </c>
      <c r="D967" s="32" t="str">
        <f aca="false">IF(C967=0,"",IF($A967="Bank",INDEX(Bank!$B:$B,$C967),INDEX(GL!$B:$B,$C967)))</f>
        <v/>
      </c>
      <c r="E967" s="5" t="str">
        <f aca="false">IF(C967=0,"",IF($A967="Bank",IF(INDEX(Bank!$C:$C,$C967)="","",INDEX(Bank!$C:$C,$C967)),IF(INDEX(GL!$C:$C,$C967)="","",INDEX(GL!$C:$C,$C967))))</f>
        <v/>
      </c>
      <c r="F967" s="5" t="str">
        <f aca="false">IF(C967=0,"",IF($A967="Bank",IF(INDEX(Bank!$D:$D,$C967)="","",INDEX(Bank!$D:$D,$C967)),IF(INDEX(GL!$D:$D,$C967)="","",INDEX(GL!$D:$D,$C967))))</f>
        <v/>
      </c>
      <c r="G967" s="19" t="str">
        <f aca="false">IF(C967=0,"",IF($A967="Bank",INDEX(Bank!$E:$E,$C967),INDEX(GL!$E:$E,$C967)))</f>
        <v/>
      </c>
      <c r="H967" s="5" t="str">
        <f aca="false">IF(C967=0,"",IF(A967="GL",IF(G967&gt;0,"Deposit in transit","Outstanding check / payment"),IF(G967&gt;0,"Bank credit not in GL","Bank debit not in GL")))</f>
        <v/>
      </c>
      <c r="I967" s="42" t="str">
        <f aca="false">IF(OR(C967=0,CFG_PeriodEnd=""),"",CFG_PeriodEnd-D967)</f>
        <v/>
      </c>
      <c r="J967" s="5" t="str">
        <f aca="false">IF(C967=0,"",IF($A967="Bank",IF(INDEX(Bank!$G:$G,$C967)="","",INDEX(Bank!$G:$G,$C967)),IF(INDEX(GL!$G:$G,$C967)="","",INDEX(GL!$G:$G,$C967))))</f>
        <v/>
      </c>
      <c r="K967" s="5" t="str">
        <f aca="false">IF(C967=0,"",IF($A967="Bank",IF(INDEX(Bank!$I:$I,$C967)="","",INDEX(Bank!$I:$I,$C967)),IF(INDEX(GL!$I:$I,$C967)="","",INDEX(GL!$I:$I,$C967))))</f>
        <v/>
      </c>
      <c r="L967" s="5" t="str">
        <f aca="false">IF(B967="","",IF(C967=0,"NOT FOUND",IF(IF($A967="Bank",INDEX(Bank!$F:$F,$C967),INDEX(GL!$F:$F,$C967))="Y","NOW RECONCILED: refresh","OK")))</f>
        <v/>
      </c>
    </row>
    <row r="968" customFormat="false" ht="15" hidden="false" customHeight="false" outlineLevel="0" collapsed="false">
      <c r="A968" s="41"/>
      <c r="B968" s="41"/>
      <c r="C968" s="5" t="n">
        <f aca="false">IF(B968="",0,IF(A968="Bank",IFERROR(MATCH(B968,Bank!$A:$A,0),0),IFERROR(MATCH(B968,GL!$A:$A,0),0)))</f>
        <v>0</v>
      </c>
      <c r="D968" s="32" t="str">
        <f aca="false">IF(C968=0,"",IF($A968="Bank",INDEX(Bank!$B:$B,$C968),INDEX(GL!$B:$B,$C968)))</f>
        <v/>
      </c>
      <c r="E968" s="5" t="str">
        <f aca="false">IF(C968=0,"",IF($A968="Bank",IF(INDEX(Bank!$C:$C,$C968)="","",INDEX(Bank!$C:$C,$C968)),IF(INDEX(GL!$C:$C,$C968)="","",INDEX(GL!$C:$C,$C968))))</f>
        <v/>
      </c>
      <c r="F968" s="5" t="str">
        <f aca="false">IF(C968=0,"",IF($A968="Bank",IF(INDEX(Bank!$D:$D,$C968)="","",INDEX(Bank!$D:$D,$C968)),IF(INDEX(GL!$D:$D,$C968)="","",INDEX(GL!$D:$D,$C968))))</f>
        <v/>
      </c>
      <c r="G968" s="19" t="str">
        <f aca="false">IF(C968=0,"",IF($A968="Bank",INDEX(Bank!$E:$E,$C968),INDEX(GL!$E:$E,$C968)))</f>
        <v/>
      </c>
      <c r="H968" s="5" t="str">
        <f aca="false">IF(C968=0,"",IF(A968="GL",IF(G968&gt;0,"Deposit in transit","Outstanding check / payment"),IF(G968&gt;0,"Bank credit not in GL","Bank debit not in GL")))</f>
        <v/>
      </c>
      <c r="I968" s="42" t="str">
        <f aca="false">IF(OR(C968=0,CFG_PeriodEnd=""),"",CFG_PeriodEnd-D968)</f>
        <v/>
      </c>
      <c r="J968" s="5" t="str">
        <f aca="false">IF(C968=0,"",IF($A968="Bank",IF(INDEX(Bank!$G:$G,$C968)="","",INDEX(Bank!$G:$G,$C968)),IF(INDEX(GL!$G:$G,$C968)="","",INDEX(GL!$G:$G,$C968))))</f>
        <v/>
      </c>
      <c r="K968" s="5" t="str">
        <f aca="false">IF(C968=0,"",IF($A968="Bank",IF(INDEX(Bank!$I:$I,$C968)="","",INDEX(Bank!$I:$I,$C968)),IF(INDEX(GL!$I:$I,$C968)="","",INDEX(GL!$I:$I,$C968))))</f>
        <v/>
      </c>
      <c r="L968" s="5" t="str">
        <f aca="false">IF(B968="","",IF(C968=0,"NOT FOUND",IF(IF($A968="Bank",INDEX(Bank!$F:$F,$C968),INDEX(GL!$F:$F,$C968))="Y","NOW RECONCILED: refresh","OK")))</f>
        <v/>
      </c>
    </row>
    <row r="969" customFormat="false" ht="15" hidden="false" customHeight="false" outlineLevel="0" collapsed="false">
      <c r="A969" s="41"/>
      <c r="B969" s="41"/>
      <c r="C969" s="5" t="n">
        <f aca="false">IF(B969="",0,IF(A969="Bank",IFERROR(MATCH(B969,Bank!$A:$A,0),0),IFERROR(MATCH(B969,GL!$A:$A,0),0)))</f>
        <v>0</v>
      </c>
      <c r="D969" s="32" t="str">
        <f aca="false">IF(C969=0,"",IF($A969="Bank",INDEX(Bank!$B:$B,$C969),INDEX(GL!$B:$B,$C969)))</f>
        <v/>
      </c>
      <c r="E969" s="5" t="str">
        <f aca="false">IF(C969=0,"",IF($A969="Bank",IF(INDEX(Bank!$C:$C,$C969)="","",INDEX(Bank!$C:$C,$C969)),IF(INDEX(GL!$C:$C,$C969)="","",INDEX(GL!$C:$C,$C969))))</f>
        <v/>
      </c>
      <c r="F969" s="5" t="str">
        <f aca="false">IF(C969=0,"",IF($A969="Bank",IF(INDEX(Bank!$D:$D,$C969)="","",INDEX(Bank!$D:$D,$C969)),IF(INDEX(GL!$D:$D,$C969)="","",INDEX(GL!$D:$D,$C969))))</f>
        <v/>
      </c>
      <c r="G969" s="19" t="str">
        <f aca="false">IF(C969=0,"",IF($A969="Bank",INDEX(Bank!$E:$E,$C969),INDEX(GL!$E:$E,$C969)))</f>
        <v/>
      </c>
      <c r="H969" s="5" t="str">
        <f aca="false">IF(C969=0,"",IF(A969="GL",IF(G969&gt;0,"Deposit in transit","Outstanding check / payment"),IF(G969&gt;0,"Bank credit not in GL","Bank debit not in GL")))</f>
        <v/>
      </c>
      <c r="I969" s="42" t="str">
        <f aca="false">IF(OR(C969=0,CFG_PeriodEnd=""),"",CFG_PeriodEnd-D969)</f>
        <v/>
      </c>
      <c r="J969" s="5" t="str">
        <f aca="false">IF(C969=0,"",IF($A969="Bank",IF(INDEX(Bank!$G:$G,$C969)="","",INDEX(Bank!$G:$G,$C969)),IF(INDEX(GL!$G:$G,$C969)="","",INDEX(GL!$G:$G,$C969))))</f>
        <v/>
      </c>
      <c r="K969" s="5" t="str">
        <f aca="false">IF(C969=0,"",IF($A969="Bank",IF(INDEX(Bank!$I:$I,$C969)="","",INDEX(Bank!$I:$I,$C969)),IF(INDEX(GL!$I:$I,$C969)="","",INDEX(GL!$I:$I,$C969))))</f>
        <v/>
      </c>
      <c r="L969" s="5" t="str">
        <f aca="false">IF(B969="","",IF(C969=0,"NOT FOUND",IF(IF($A969="Bank",INDEX(Bank!$F:$F,$C969),INDEX(GL!$F:$F,$C969))="Y","NOW RECONCILED: refresh","OK")))</f>
        <v/>
      </c>
    </row>
    <row r="970" customFormat="false" ht="15" hidden="false" customHeight="false" outlineLevel="0" collapsed="false">
      <c r="A970" s="41"/>
      <c r="B970" s="41"/>
      <c r="C970" s="5" t="n">
        <f aca="false">IF(B970="",0,IF(A970="Bank",IFERROR(MATCH(B970,Bank!$A:$A,0),0),IFERROR(MATCH(B970,GL!$A:$A,0),0)))</f>
        <v>0</v>
      </c>
      <c r="D970" s="32" t="str">
        <f aca="false">IF(C970=0,"",IF($A970="Bank",INDEX(Bank!$B:$B,$C970),INDEX(GL!$B:$B,$C970)))</f>
        <v/>
      </c>
      <c r="E970" s="5" t="str">
        <f aca="false">IF(C970=0,"",IF($A970="Bank",IF(INDEX(Bank!$C:$C,$C970)="","",INDEX(Bank!$C:$C,$C970)),IF(INDEX(GL!$C:$C,$C970)="","",INDEX(GL!$C:$C,$C970))))</f>
        <v/>
      </c>
      <c r="F970" s="5" t="str">
        <f aca="false">IF(C970=0,"",IF($A970="Bank",IF(INDEX(Bank!$D:$D,$C970)="","",INDEX(Bank!$D:$D,$C970)),IF(INDEX(GL!$D:$D,$C970)="","",INDEX(GL!$D:$D,$C970))))</f>
        <v/>
      </c>
      <c r="G970" s="19" t="str">
        <f aca="false">IF(C970=0,"",IF($A970="Bank",INDEX(Bank!$E:$E,$C970),INDEX(GL!$E:$E,$C970)))</f>
        <v/>
      </c>
      <c r="H970" s="5" t="str">
        <f aca="false">IF(C970=0,"",IF(A970="GL",IF(G970&gt;0,"Deposit in transit","Outstanding check / payment"),IF(G970&gt;0,"Bank credit not in GL","Bank debit not in GL")))</f>
        <v/>
      </c>
      <c r="I970" s="42" t="str">
        <f aca="false">IF(OR(C970=0,CFG_PeriodEnd=""),"",CFG_PeriodEnd-D970)</f>
        <v/>
      </c>
      <c r="J970" s="5" t="str">
        <f aca="false">IF(C970=0,"",IF($A970="Bank",IF(INDEX(Bank!$G:$G,$C970)="","",INDEX(Bank!$G:$G,$C970)),IF(INDEX(GL!$G:$G,$C970)="","",INDEX(GL!$G:$G,$C970))))</f>
        <v/>
      </c>
      <c r="K970" s="5" t="str">
        <f aca="false">IF(C970=0,"",IF($A970="Bank",IF(INDEX(Bank!$I:$I,$C970)="","",INDEX(Bank!$I:$I,$C970)),IF(INDEX(GL!$I:$I,$C970)="","",INDEX(GL!$I:$I,$C970))))</f>
        <v/>
      </c>
      <c r="L970" s="5" t="str">
        <f aca="false">IF(B970="","",IF(C970=0,"NOT FOUND",IF(IF($A970="Bank",INDEX(Bank!$F:$F,$C970),INDEX(GL!$F:$F,$C970))="Y","NOW RECONCILED: refresh","OK")))</f>
        <v/>
      </c>
    </row>
    <row r="971" customFormat="false" ht="15" hidden="false" customHeight="false" outlineLevel="0" collapsed="false">
      <c r="A971" s="41"/>
      <c r="B971" s="41"/>
      <c r="C971" s="5" t="n">
        <f aca="false">IF(B971="",0,IF(A971="Bank",IFERROR(MATCH(B971,Bank!$A:$A,0),0),IFERROR(MATCH(B971,GL!$A:$A,0),0)))</f>
        <v>0</v>
      </c>
      <c r="D971" s="32" t="str">
        <f aca="false">IF(C971=0,"",IF($A971="Bank",INDEX(Bank!$B:$B,$C971),INDEX(GL!$B:$B,$C971)))</f>
        <v/>
      </c>
      <c r="E971" s="5" t="str">
        <f aca="false">IF(C971=0,"",IF($A971="Bank",IF(INDEX(Bank!$C:$C,$C971)="","",INDEX(Bank!$C:$C,$C971)),IF(INDEX(GL!$C:$C,$C971)="","",INDEX(GL!$C:$C,$C971))))</f>
        <v/>
      </c>
      <c r="F971" s="5" t="str">
        <f aca="false">IF(C971=0,"",IF($A971="Bank",IF(INDEX(Bank!$D:$D,$C971)="","",INDEX(Bank!$D:$D,$C971)),IF(INDEX(GL!$D:$D,$C971)="","",INDEX(GL!$D:$D,$C971))))</f>
        <v/>
      </c>
      <c r="G971" s="19" t="str">
        <f aca="false">IF(C971=0,"",IF($A971="Bank",INDEX(Bank!$E:$E,$C971),INDEX(GL!$E:$E,$C971)))</f>
        <v/>
      </c>
      <c r="H971" s="5" t="str">
        <f aca="false">IF(C971=0,"",IF(A971="GL",IF(G971&gt;0,"Deposit in transit","Outstanding check / payment"),IF(G971&gt;0,"Bank credit not in GL","Bank debit not in GL")))</f>
        <v/>
      </c>
      <c r="I971" s="42" t="str">
        <f aca="false">IF(OR(C971=0,CFG_PeriodEnd=""),"",CFG_PeriodEnd-D971)</f>
        <v/>
      </c>
      <c r="J971" s="5" t="str">
        <f aca="false">IF(C971=0,"",IF($A971="Bank",IF(INDEX(Bank!$G:$G,$C971)="","",INDEX(Bank!$G:$G,$C971)),IF(INDEX(GL!$G:$G,$C971)="","",INDEX(GL!$G:$G,$C971))))</f>
        <v/>
      </c>
      <c r="K971" s="5" t="str">
        <f aca="false">IF(C971=0,"",IF($A971="Bank",IF(INDEX(Bank!$I:$I,$C971)="","",INDEX(Bank!$I:$I,$C971)),IF(INDEX(GL!$I:$I,$C971)="","",INDEX(GL!$I:$I,$C971))))</f>
        <v/>
      </c>
      <c r="L971" s="5" t="str">
        <f aca="false">IF(B971="","",IF(C971=0,"NOT FOUND",IF(IF($A971="Bank",INDEX(Bank!$F:$F,$C971),INDEX(GL!$F:$F,$C971))="Y","NOW RECONCILED: refresh","OK")))</f>
        <v/>
      </c>
    </row>
    <row r="972" customFormat="false" ht="15" hidden="false" customHeight="false" outlineLevel="0" collapsed="false">
      <c r="A972" s="41"/>
      <c r="B972" s="41"/>
      <c r="C972" s="5" t="n">
        <f aca="false">IF(B972="",0,IF(A972="Bank",IFERROR(MATCH(B972,Bank!$A:$A,0),0),IFERROR(MATCH(B972,GL!$A:$A,0),0)))</f>
        <v>0</v>
      </c>
      <c r="D972" s="32" t="str">
        <f aca="false">IF(C972=0,"",IF($A972="Bank",INDEX(Bank!$B:$B,$C972),INDEX(GL!$B:$B,$C972)))</f>
        <v/>
      </c>
      <c r="E972" s="5" t="str">
        <f aca="false">IF(C972=0,"",IF($A972="Bank",IF(INDEX(Bank!$C:$C,$C972)="","",INDEX(Bank!$C:$C,$C972)),IF(INDEX(GL!$C:$C,$C972)="","",INDEX(GL!$C:$C,$C972))))</f>
        <v/>
      </c>
      <c r="F972" s="5" t="str">
        <f aca="false">IF(C972=0,"",IF($A972="Bank",IF(INDEX(Bank!$D:$D,$C972)="","",INDEX(Bank!$D:$D,$C972)),IF(INDEX(GL!$D:$D,$C972)="","",INDEX(GL!$D:$D,$C972))))</f>
        <v/>
      </c>
      <c r="G972" s="19" t="str">
        <f aca="false">IF(C972=0,"",IF($A972="Bank",INDEX(Bank!$E:$E,$C972),INDEX(GL!$E:$E,$C972)))</f>
        <v/>
      </c>
      <c r="H972" s="5" t="str">
        <f aca="false">IF(C972=0,"",IF(A972="GL",IF(G972&gt;0,"Deposit in transit","Outstanding check / payment"),IF(G972&gt;0,"Bank credit not in GL","Bank debit not in GL")))</f>
        <v/>
      </c>
      <c r="I972" s="42" t="str">
        <f aca="false">IF(OR(C972=0,CFG_PeriodEnd=""),"",CFG_PeriodEnd-D972)</f>
        <v/>
      </c>
      <c r="J972" s="5" t="str">
        <f aca="false">IF(C972=0,"",IF($A972="Bank",IF(INDEX(Bank!$G:$G,$C972)="","",INDEX(Bank!$G:$G,$C972)),IF(INDEX(GL!$G:$G,$C972)="","",INDEX(GL!$G:$G,$C972))))</f>
        <v/>
      </c>
      <c r="K972" s="5" t="str">
        <f aca="false">IF(C972=0,"",IF($A972="Bank",IF(INDEX(Bank!$I:$I,$C972)="","",INDEX(Bank!$I:$I,$C972)),IF(INDEX(GL!$I:$I,$C972)="","",INDEX(GL!$I:$I,$C972))))</f>
        <v/>
      </c>
      <c r="L972" s="5" t="str">
        <f aca="false">IF(B972="","",IF(C972=0,"NOT FOUND",IF(IF($A972="Bank",INDEX(Bank!$F:$F,$C972),INDEX(GL!$F:$F,$C972))="Y","NOW RECONCILED: refresh","OK")))</f>
        <v/>
      </c>
    </row>
    <row r="973" customFormat="false" ht="15" hidden="false" customHeight="false" outlineLevel="0" collapsed="false">
      <c r="A973" s="41"/>
      <c r="B973" s="41"/>
      <c r="C973" s="5" t="n">
        <f aca="false">IF(B973="",0,IF(A973="Bank",IFERROR(MATCH(B973,Bank!$A:$A,0),0),IFERROR(MATCH(B973,GL!$A:$A,0),0)))</f>
        <v>0</v>
      </c>
      <c r="D973" s="32" t="str">
        <f aca="false">IF(C973=0,"",IF($A973="Bank",INDEX(Bank!$B:$B,$C973),INDEX(GL!$B:$B,$C973)))</f>
        <v/>
      </c>
      <c r="E973" s="5" t="str">
        <f aca="false">IF(C973=0,"",IF($A973="Bank",IF(INDEX(Bank!$C:$C,$C973)="","",INDEX(Bank!$C:$C,$C973)),IF(INDEX(GL!$C:$C,$C973)="","",INDEX(GL!$C:$C,$C973))))</f>
        <v/>
      </c>
      <c r="F973" s="5" t="str">
        <f aca="false">IF(C973=0,"",IF($A973="Bank",IF(INDEX(Bank!$D:$D,$C973)="","",INDEX(Bank!$D:$D,$C973)),IF(INDEX(GL!$D:$D,$C973)="","",INDEX(GL!$D:$D,$C973))))</f>
        <v/>
      </c>
      <c r="G973" s="19" t="str">
        <f aca="false">IF(C973=0,"",IF($A973="Bank",INDEX(Bank!$E:$E,$C973),INDEX(GL!$E:$E,$C973)))</f>
        <v/>
      </c>
      <c r="H973" s="5" t="str">
        <f aca="false">IF(C973=0,"",IF(A973="GL",IF(G973&gt;0,"Deposit in transit","Outstanding check / payment"),IF(G973&gt;0,"Bank credit not in GL","Bank debit not in GL")))</f>
        <v/>
      </c>
      <c r="I973" s="42" t="str">
        <f aca="false">IF(OR(C973=0,CFG_PeriodEnd=""),"",CFG_PeriodEnd-D973)</f>
        <v/>
      </c>
      <c r="J973" s="5" t="str">
        <f aca="false">IF(C973=0,"",IF($A973="Bank",IF(INDEX(Bank!$G:$G,$C973)="","",INDEX(Bank!$G:$G,$C973)),IF(INDEX(GL!$G:$G,$C973)="","",INDEX(GL!$G:$G,$C973))))</f>
        <v/>
      </c>
      <c r="K973" s="5" t="str">
        <f aca="false">IF(C973=0,"",IF($A973="Bank",IF(INDEX(Bank!$I:$I,$C973)="","",INDEX(Bank!$I:$I,$C973)),IF(INDEX(GL!$I:$I,$C973)="","",INDEX(GL!$I:$I,$C973))))</f>
        <v/>
      </c>
      <c r="L973" s="5" t="str">
        <f aca="false">IF(B973="","",IF(C973=0,"NOT FOUND",IF(IF($A973="Bank",INDEX(Bank!$F:$F,$C973),INDEX(GL!$F:$F,$C973))="Y","NOW RECONCILED: refresh","OK")))</f>
        <v/>
      </c>
    </row>
    <row r="974" customFormat="false" ht="15" hidden="false" customHeight="false" outlineLevel="0" collapsed="false">
      <c r="A974" s="41"/>
      <c r="B974" s="41"/>
      <c r="C974" s="5" t="n">
        <f aca="false">IF(B974="",0,IF(A974="Bank",IFERROR(MATCH(B974,Bank!$A:$A,0),0),IFERROR(MATCH(B974,GL!$A:$A,0),0)))</f>
        <v>0</v>
      </c>
      <c r="D974" s="32" t="str">
        <f aca="false">IF(C974=0,"",IF($A974="Bank",INDEX(Bank!$B:$B,$C974),INDEX(GL!$B:$B,$C974)))</f>
        <v/>
      </c>
      <c r="E974" s="5" t="str">
        <f aca="false">IF(C974=0,"",IF($A974="Bank",IF(INDEX(Bank!$C:$C,$C974)="","",INDEX(Bank!$C:$C,$C974)),IF(INDEX(GL!$C:$C,$C974)="","",INDEX(GL!$C:$C,$C974))))</f>
        <v/>
      </c>
      <c r="F974" s="5" t="str">
        <f aca="false">IF(C974=0,"",IF($A974="Bank",IF(INDEX(Bank!$D:$D,$C974)="","",INDEX(Bank!$D:$D,$C974)),IF(INDEX(GL!$D:$D,$C974)="","",INDEX(GL!$D:$D,$C974))))</f>
        <v/>
      </c>
      <c r="G974" s="19" t="str">
        <f aca="false">IF(C974=0,"",IF($A974="Bank",INDEX(Bank!$E:$E,$C974),INDEX(GL!$E:$E,$C974)))</f>
        <v/>
      </c>
      <c r="H974" s="5" t="str">
        <f aca="false">IF(C974=0,"",IF(A974="GL",IF(G974&gt;0,"Deposit in transit","Outstanding check / payment"),IF(G974&gt;0,"Bank credit not in GL","Bank debit not in GL")))</f>
        <v/>
      </c>
      <c r="I974" s="42" t="str">
        <f aca="false">IF(OR(C974=0,CFG_PeriodEnd=""),"",CFG_PeriodEnd-D974)</f>
        <v/>
      </c>
      <c r="J974" s="5" t="str">
        <f aca="false">IF(C974=0,"",IF($A974="Bank",IF(INDEX(Bank!$G:$G,$C974)="","",INDEX(Bank!$G:$G,$C974)),IF(INDEX(GL!$G:$G,$C974)="","",INDEX(GL!$G:$G,$C974))))</f>
        <v/>
      </c>
      <c r="K974" s="5" t="str">
        <f aca="false">IF(C974=0,"",IF($A974="Bank",IF(INDEX(Bank!$I:$I,$C974)="","",INDEX(Bank!$I:$I,$C974)),IF(INDEX(GL!$I:$I,$C974)="","",INDEX(GL!$I:$I,$C974))))</f>
        <v/>
      </c>
      <c r="L974" s="5" t="str">
        <f aca="false">IF(B974="","",IF(C974=0,"NOT FOUND",IF(IF($A974="Bank",INDEX(Bank!$F:$F,$C974),INDEX(GL!$F:$F,$C974))="Y","NOW RECONCILED: refresh","OK")))</f>
        <v/>
      </c>
    </row>
    <row r="975" customFormat="false" ht="15" hidden="false" customHeight="false" outlineLevel="0" collapsed="false">
      <c r="A975" s="41"/>
      <c r="B975" s="41"/>
      <c r="C975" s="5" t="n">
        <f aca="false">IF(B975="",0,IF(A975="Bank",IFERROR(MATCH(B975,Bank!$A:$A,0),0),IFERROR(MATCH(B975,GL!$A:$A,0),0)))</f>
        <v>0</v>
      </c>
      <c r="D975" s="32" t="str">
        <f aca="false">IF(C975=0,"",IF($A975="Bank",INDEX(Bank!$B:$B,$C975),INDEX(GL!$B:$B,$C975)))</f>
        <v/>
      </c>
      <c r="E975" s="5" t="str">
        <f aca="false">IF(C975=0,"",IF($A975="Bank",IF(INDEX(Bank!$C:$C,$C975)="","",INDEX(Bank!$C:$C,$C975)),IF(INDEX(GL!$C:$C,$C975)="","",INDEX(GL!$C:$C,$C975))))</f>
        <v/>
      </c>
      <c r="F975" s="5" t="str">
        <f aca="false">IF(C975=0,"",IF($A975="Bank",IF(INDEX(Bank!$D:$D,$C975)="","",INDEX(Bank!$D:$D,$C975)),IF(INDEX(GL!$D:$D,$C975)="","",INDEX(GL!$D:$D,$C975))))</f>
        <v/>
      </c>
      <c r="G975" s="19" t="str">
        <f aca="false">IF(C975=0,"",IF($A975="Bank",INDEX(Bank!$E:$E,$C975),INDEX(GL!$E:$E,$C975)))</f>
        <v/>
      </c>
      <c r="H975" s="5" t="str">
        <f aca="false">IF(C975=0,"",IF(A975="GL",IF(G975&gt;0,"Deposit in transit","Outstanding check / payment"),IF(G975&gt;0,"Bank credit not in GL","Bank debit not in GL")))</f>
        <v/>
      </c>
      <c r="I975" s="42" t="str">
        <f aca="false">IF(OR(C975=0,CFG_PeriodEnd=""),"",CFG_PeriodEnd-D975)</f>
        <v/>
      </c>
      <c r="J975" s="5" t="str">
        <f aca="false">IF(C975=0,"",IF($A975="Bank",IF(INDEX(Bank!$G:$G,$C975)="","",INDEX(Bank!$G:$G,$C975)),IF(INDEX(GL!$G:$G,$C975)="","",INDEX(GL!$G:$G,$C975))))</f>
        <v/>
      </c>
      <c r="K975" s="5" t="str">
        <f aca="false">IF(C975=0,"",IF($A975="Bank",IF(INDEX(Bank!$I:$I,$C975)="","",INDEX(Bank!$I:$I,$C975)),IF(INDEX(GL!$I:$I,$C975)="","",INDEX(GL!$I:$I,$C975))))</f>
        <v/>
      </c>
      <c r="L975" s="5" t="str">
        <f aca="false">IF(B975="","",IF(C975=0,"NOT FOUND",IF(IF($A975="Bank",INDEX(Bank!$F:$F,$C975),INDEX(GL!$F:$F,$C975))="Y","NOW RECONCILED: refresh","OK")))</f>
        <v/>
      </c>
    </row>
    <row r="976" customFormat="false" ht="15" hidden="false" customHeight="false" outlineLevel="0" collapsed="false">
      <c r="A976" s="41"/>
      <c r="B976" s="41"/>
      <c r="C976" s="5" t="n">
        <f aca="false">IF(B976="",0,IF(A976="Bank",IFERROR(MATCH(B976,Bank!$A:$A,0),0),IFERROR(MATCH(B976,GL!$A:$A,0),0)))</f>
        <v>0</v>
      </c>
      <c r="D976" s="32" t="str">
        <f aca="false">IF(C976=0,"",IF($A976="Bank",INDEX(Bank!$B:$B,$C976),INDEX(GL!$B:$B,$C976)))</f>
        <v/>
      </c>
      <c r="E976" s="5" t="str">
        <f aca="false">IF(C976=0,"",IF($A976="Bank",IF(INDEX(Bank!$C:$C,$C976)="","",INDEX(Bank!$C:$C,$C976)),IF(INDEX(GL!$C:$C,$C976)="","",INDEX(GL!$C:$C,$C976))))</f>
        <v/>
      </c>
      <c r="F976" s="5" t="str">
        <f aca="false">IF(C976=0,"",IF($A976="Bank",IF(INDEX(Bank!$D:$D,$C976)="","",INDEX(Bank!$D:$D,$C976)),IF(INDEX(GL!$D:$D,$C976)="","",INDEX(GL!$D:$D,$C976))))</f>
        <v/>
      </c>
      <c r="G976" s="19" t="str">
        <f aca="false">IF(C976=0,"",IF($A976="Bank",INDEX(Bank!$E:$E,$C976),INDEX(GL!$E:$E,$C976)))</f>
        <v/>
      </c>
      <c r="H976" s="5" t="str">
        <f aca="false">IF(C976=0,"",IF(A976="GL",IF(G976&gt;0,"Deposit in transit","Outstanding check / payment"),IF(G976&gt;0,"Bank credit not in GL","Bank debit not in GL")))</f>
        <v/>
      </c>
      <c r="I976" s="42" t="str">
        <f aca="false">IF(OR(C976=0,CFG_PeriodEnd=""),"",CFG_PeriodEnd-D976)</f>
        <v/>
      </c>
      <c r="J976" s="5" t="str">
        <f aca="false">IF(C976=0,"",IF($A976="Bank",IF(INDEX(Bank!$G:$G,$C976)="","",INDEX(Bank!$G:$G,$C976)),IF(INDEX(GL!$G:$G,$C976)="","",INDEX(GL!$G:$G,$C976))))</f>
        <v/>
      </c>
      <c r="K976" s="5" t="str">
        <f aca="false">IF(C976=0,"",IF($A976="Bank",IF(INDEX(Bank!$I:$I,$C976)="","",INDEX(Bank!$I:$I,$C976)),IF(INDEX(GL!$I:$I,$C976)="","",INDEX(GL!$I:$I,$C976))))</f>
        <v/>
      </c>
      <c r="L976" s="5" t="str">
        <f aca="false">IF(B976="","",IF(C976=0,"NOT FOUND",IF(IF($A976="Bank",INDEX(Bank!$F:$F,$C976),INDEX(GL!$F:$F,$C976))="Y","NOW RECONCILED: refresh","OK")))</f>
        <v/>
      </c>
    </row>
    <row r="977" customFormat="false" ht="15" hidden="false" customHeight="false" outlineLevel="0" collapsed="false">
      <c r="A977" s="41"/>
      <c r="B977" s="41"/>
      <c r="C977" s="5" t="n">
        <f aca="false">IF(B977="",0,IF(A977="Bank",IFERROR(MATCH(B977,Bank!$A:$A,0),0),IFERROR(MATCH(B977,GL!$A:$A,0),0)))</f>
        <v>0</v>
      </c>
      <c r="D977" s="32" t="str">
        <f aca="false">IF(C977=0,"",IF($A977="Bank",INDEX(Bank!$B:$B,$C977),INDEX(GL!$B:$B,$C977)))</f>
        <v/>
      </c>
      <c r="E977" s="5" t="str">
        <f aca="false">IF(C977=0,"",IF($A977="Bank",IF(INDEX(Bank!$C:$C,$C977)="","",INDEX(Bank!$C:$C,$C977)),IF(INDEX(GL!$C:$C,$C977)="","",INDEX(GL!$C:$C,$C977))))</f>
        <v/>
      </c>
      <c r="F977" s="5" t="str">
        <f aca="false">IF(C977=0,"",IF($A977="Bank",IF(INDEX(Bank!$D:$D,$C977)="","",INDEX(Bank!$D:$D,$C977)),IF(INDEX(GL!$D:$D,$C977)="","",INDEX(GL!$D:$D,$C977))))</f>
        <v/>
      </c>
      <c r="G977" s="19" t="str">
        <f aca="false">IF(C977=0,"",IF($A977="Bank",INDEX(Bank!$E:$E,$C977),INDEX(GL!$E:$E,$C977)))</f>
        <v/>
      </c>
      <c r="H977" s="5" t="str">
        <f aca="false">IF(C977=0,"",IF(A977="GL",IF(G977&gt;0,"Deposit in transit","Outstanding check / payment"),IF(G977&gt;0,"Bank credit not in GL","Bank debit not in GL")))</f>
        <v/>
      </c>
      <c r="I977" s="42" t="str">
        <f aca="false">IF(OR(C977=0,CFG_PeriodEnd=""),"",CFG_PeriodEnd-D977)</f>
        <v/>
      </c>
      <c r="J977" s="5" t="str">
        <f aca="false">IF(C977=0,"",IF($A977="Bank",IF(INDEX(Bank!$G:$G,$C977)="","",INDEX(Bank!$G:$G,$C977)),IF(INDEX(GL!$G:$G,$C977)="","",INDEX(GL!$G:$G,$C977))))</f>
        <v/>
      </c>
      <c r="K977" s="5" t="str">
        <f aca="false">IF(C977=0,"",IF($A977="Bank",IF(INDEX(Bank!$I:$I,$C977)="","",INDEX(Bank!$I:$I,$C977)),IF(INDEX(GL!$I:$I,$C977)="","",INDEX(GL!$I:$I,$C977))))</f>
        <v/>
      </c>
      <c r="L977" s="5" t="str">
        <f aca="false">IF(B977="","",IF(C977=0,"NOT FOUND",IF(IF($A977="Bank",INDEX(Bank!$F:$F,$C977),INDEX(GL!$F:$F,$C977))="Y","NOW RECONCILED: refresh","OK")))</f>
        <v/>
      </c>
    </row>
    <row r="978" customFormat="false" ht="15" hidden="false" customHeight="false" outlineLevel="0" collapsed="false">
      <c r="A978" s="41"/>
      <c r="B978" s="41"/>
      <c r="C978" s="5" t="n">
        <f aca="false">IF(B978="",0,IF(A978="Bank",IFERROR(MATCH(B978,Bank!$A:$A,0),0),IFERROR(MATCH(B978,GL!$A:$A,0),0)))</f>
        <v>0</v>
      </c>
      <c r="D978" s="32" t="str">
        <f aca="false">IF(C978=0,"",IF($A978="Bank",INDEX(Bank!$B:$B,$C978),INDEX(GL!$B:$B,$C978)))</f>
        <v/>
      </c>
      <c r="E978" s="5" t="str">
        <f aca="false">IF(C978=0,"",IF($A978="Bank",IF(INDEX(Bank!$C:$C,$C978)="","",INDEX(Bank!$C:$C,$C978)),IF(INDEX(GL!$C:$C,$C978)="","",INDEX(GL!$C:$C,$C978))))</f>
        <v/>
      </c>
      <c r="F978" s="5" t="str">
        <f aca="false">IF(C978=0,"",IF($A978="Bank",IF(INDEX(Bank!$D:$D,$C978)="","",INDEX(Bank!$D:$D,$C978)),IF(INDEX(GL!$D:$D,$C978)="","",INDEX(GL!$D:$D,$C978))))</f>
        <v/>
      </c>
      <c r="G978" s="19" t="str">
        <f aca="false">IF(C978=0,"",IF($A978="Bank",INDEX(Bank!$E:$E,$C978),INDEX(GL!$E:$E,$C978)))</f>
        <v/>
      </c>
      <c r="H978" s="5" t="str">
        <f aca="false">IF(C978=0,"",IF(A978="GL",IF(G978&gt;0,"Deposit in transit","Outstanding check / payment"),IF(G978&gt;0,"Bank credit not in GL","Bank debit not in GL")))</f>
        <v/>
      </c>
      <c r="I978" s="42" t="str">
        <f aca="false">IF(OR(C978=0,CFG_PeriodEnd=""),"",CFG_PeriodEnd-D978)</f>
        <v/>
      </c>
      <c r="J978" s="5" t="str">
        <f aca="false">IF(C978=0,"",IF($A978="Bank",IF(INDEX(Bank!$G:$G,$C978)="","",INDEX(Bank!$G:$G,$C978)),IF(INDEX(GL!$G:$G,$C978)="","",INDEX(GL!$G:$G,$C978))))</f>
        <v/>
      </c>
      <c r="K978" s="5" t="str">
        <f aca="false">IF(C978=0,"",IF($A978="Bank",IF(INDEX(Bank!$I:$I,$C978)="","",INDEX(Bank!$I:$I,$C978)),IF(INDEX(GL!$I:$I,$C978)="","",INDEX(GL!$I:$I,$C978))))</f>
        <v/>
      </c>
      <c r="L978" s="5" t="str">
        <f aca="false">IF(B978="","",IF(C978=0,"NOT FOUND",IF(IF($A978="Bank",INDEX(Bank!$F:$F,$C978),INDEX(GL!$F:$F,$C978))="Y","NOW RECONCILED: refresh","OK")))</f>
        <v/>
      </c>
    </row>
    <row r="979" customFormat="false" ht="15" hidden="false" customHeight="false" outlineLevel="0" collapsed="false">
      <c r="A979" s="41"/>
      <c r="B979" s="41"/>
      <c r="C979" s="5" t="n">
        <f aca="false">IF(B979="",0,IF(A979="Bank",IFERROR(MATCH(B979,Bank!$A:$A,0),0),IFERROR(MATCH(B979,GL!$A:$A,0),0)))</f>
        <v>0</v>
      </c>
      <c r="D979" s="32" t="str">
        <f aca="false">IF(C979=0,"",IF($A979="Bank",INDEX(Bank!$B:$B,$C979),INDEX(GL!$B:$B,$C979)))</f>
        <v/>
      </c>
      <c r="E979" s="5" t="str">
        <f aca="false">IF(C979=0,"",IF($A979="Bank",IF(INDEX(Bank!$C:$C,$C979)="","",INDEX(Bank!$C:$C,$C979)),IF(INDEX(GL!$C:$C,$C979)="","",INDEX(GL!$C:$C,$C979))))</f>
        <v/>
      </c>
      <c r="F979" s="5" t="str">
        <f aca="false">IF(C979=0,"",IF($A979="Bank",IF(INDEX(Bank!$D:$D,$C979)="","",INDEX(Bank!$D:$D,$C979)),IF(INDEX(GL!$D:$D,$C979)="","",INDEX(GL!$D:$D,$C979))))</f>
        <v/>
      </c>
      <c r="G979" s="19" t="str">
        <f aca="false">IF(C979=0,"",IF($A979="Bank",INDEX(Bank!$E:$E,$C979),INDEX(GL!$E:$E,$C979)))</f>
        <v/>
      </c>
      <c r="H979" s="5" t="str">
        <f aca="false">IF(C979=0,"",IF(A979="GL",IF(G979&gt;0,"Deposit in transit","Outstanding check / payment"),IF(G979&gt;0,"Bank credit not in GL","Bank debit not in GL")))</f>
        <v/>
      </c>
      <c r="I979" s="42" t="str">
        <f aca="false">IF(OR(C979=0,CFG_PeriodEnd=""),"",CFG_PeriodEnd-D979)</f>
        <v/>
      </c>
      <c r="J979" s="5" t="str">
        <f aca="false">IF(C979=0,"",IF($A979="Bank",IF(INDEX(Bank!$G:$G,$C979)="","",INDEX(Bank!$G:$G,$C979)),IF(INDEX(GL!$G:$G,$C979)="","",INDEX(GL!$G:$G,$C979))))</f>
        <v/>
      </c>
      <c r="K979" s="5" t="str">
        <f aca="false">IF(C979=0,"",IF($A979="Bank",IF(INDEX(Bank!$I:$I,$C979)="","",INDEX(Bank!$I:$I,$C979)),IF(INDEX(GL!$I:$I,$C979)="","",INDEX(GL!$I:$I,$C979))))</f>
        <v/>
      </c>
      <c r="L979" s="5" t="str">
        <f aca="false">IF(B979="","",IF(C979=0,"NOT FOUND",IF(IF($A979="Bank",INDEX(Bank!$F:$F,$C979),INDEX(GL!$F:$F,$C979))="Y","NOW RECONCILED: refresh","OK")))</f>
        <v/>
      </c>
    </row>
    <row r="980" customFormat="false" ht="15" hidden="false" customHeight="false" outlineLevel="0" collapsed="false">
      <c r="A980" s="41"/>
      <c r="B980" s="41"/>
      <c r="C980" s="5" t="n">
        <f aca="false">IF(B980="",0,IF(A980="Bank",IFERROR(MATCH(B980,Bank!$A:$A,0),0),IFERROR(MATCH(B980,GL!$A:$A,0),0)))</f>
        <v>0</v>
      </c>
      <c r="D980" s="32" t="str">
        <f aca="false">IF(C980=0,"",IF($A980="Bank",INDEX(Bank!$B:$B,$C980),INDEX(GL!$B:$B,$C980)))</f>
        <v/>
      </c>
      <c r="E980" s="5" t="str">
        <f aca="false">IF(C980=0,"",IF($A980="Bank",IF(INDEX(Bank!$C:$C,$C980)="","",INDEX(Bank!$C:$C,$C980)),IF(INDEX(GL!$C:$C,$C980)="","",INDEX(GL!$C:$C,$C980))))</f>
        <v/>
      </c>
      <c r="F980" s="5" t="str">
        <f aca="false">IF(C980=0,"",IF($A980="Bank",IF(INDEX(Bank!$D:$D,$C980)="","",INDEX(Bank!$D:$D,$C980)),IF(INDEX(GL!$D:$D,$C980)="","",INDEX(GL!$D:$D,$C980))))</f>
        <v/>
      </c>
      <c r="G980" s="19" t="str">
        <f aca="false">IF(C980=0,"",IF($A980="Bank",INDEX(Bank!$E:$E,$C980),INDEX(GL!$E:$E,$C980)))</f>
        <v/>
      </c>
      <c r="H980" s="5" t="str">
        <f aca="false">IF(C980=0,"",IF(A980="GL",IF(G980&gt;0,"Deposit in transit","Outstanding check / payment"),IF(G980&gt;0,"Bank credit not in GL","Bank debit not in GL")))</f>
        <v/>
      </c>
      <c r="I980" s="42" t="str">
        <f aca="false">IF(OR(C980=0,CFG_PeriodEnd=""),"",CFG_PeriodEnd-D980)</f>
        <v/>
      </c>
      <c r="J980" s="5" t="str">
        <f aca="false">IF(C980=0,"",IF($A980="Bank",IF(INDEX(Bank!$G:$G,$C980)="","",INDEX(Bank!$G:$G,$C980)),IF(INDEX(GL!$G:$G,$C980)="","",INDEX(GL!$G:$G,$C980))))</f>
        <v/>
      </c>
      <c r="K980" s="5" t="str">
        <f aca="false">IF(C980=0,"",IF($A980="Bank",IF(INDEX(Bank!$I:$I,$C980)="","",INDEX(Bank!$I:$I,$C980)),IF(INDEX(GL!$I:$I,$C980)="","",INDEX(GL!$I:$I,$C980))))</f>
        <v/>
      </c>
      <c r="L980" s="5" t="str">
        <f aca="false">IF(B980="","",IF(C980=0,"NOT FOUND",IF(IF($A980="Bank",INDEX(Bank!$F:$F,$C980),INDEX(GL!$F:$F,$C980))="Y","NOW RECONCILED: refresh","OK")))</f>
        <v/>
      </c>
    </row>
    <row r="981" customFormat="false" ht="15" hidden="false" customHeight="false" outlineLevel="0" collapsed="false">
      <c r="A981" s="41"/>
      <c r="B981" s="41"/>
      <c r="C981" s="5" t="n">
        <f aca="false">IF(B981="",0,IF(A981="Bank",IFERROR(MATCH(B981,Bank!$A:$A,0),0),IFERROR(MATCH(B981,GL!$A:$A,0),0)))</f>
        <v>0</v>
      </c>
      <c r="D981" s="32" t="str">
        <f aca="false">IF(C981=0,"",IF($A981="Bank",INDEX(Bank!$B:$B,$C981),INDEX(GL!$B:$B,$C981)))</f>
        <v/>
      </c>
      <c r="E981" s="5" t="str">
        <f aca="false">IF(C981=0,"",IF($A981="Bank",IF(INDEX(Bank!$C:$C,$C981)="","",INDEX(Bank!$C:$C,$C981)),IF(INDEX(GL!$C:$C,$C981)="","",INDEX(GL!$C:$C,$C981))))</f>
        <v/>
      </c>
      <c r="F981" s="5" t="str">
        <f aca="false">IF(C981=0,"",IF($A981="Bank",IF(INDEX(Bank!$D:$D,$C981)="","",INDEX(Bank!$D:$D,$C981)),IF(INDEX(GL!$D:$D,$C981)="","",INDEX(GL!$D:$D,$C981))))</f>
        <v/>
      </c>
      <c r="G981" s="19" t="str">
        <f aca="false">IF(C981=0,"",IF($A981="Bank",INDEX(Bank!$E:$E,$C981),INDEX(GL!$E:$E,$C981)))</f>
        <v/>
      </c>
      <c r="H981" s="5" t="str">
        <f aca="false">IF(C981=0,"",IF(A981="GL",IF(G981&gt;0,"Deposit in transit","Outstanding check / payment"),IF(G981&gt;0,"Bank credit not in GL","Bank debit not in GL")))</f>
        <v/>
      </c>
      <c r="I981" s="42" t="str">
        <f aca="false">IF(OR(C981=0,CFG_PeriodEnd=""),"",CFG_PeriodEnd-D981)</f>
        <v/>
      </c>
      <c r="J981" s="5" t="str">
        <f aca="false">IF(C981=0,"",IF($A981="Bank",IF(INDEX(Bank!$G:$G,$C981)="","",INDEX(Bank!$G:$G,$C981)),IF(INDEX(GL!$G:$G,$C981)="","",INDEX(GL!$G:$G,$C981))))</f>
        <v/>
      </c>
      <c r="K981" s="5" t="str">
        <f aca="false">IF(C981=0,"",IF($A981="Bank",IF(INDEX(Bank!$I:$I,$C981)="","",INDEX(Bank!$I:$I,$C981)),IF(INDEX(GL!$I:$I,$C981)="","",INDEX(GL!$I:$I,$C981))))</f>
        <v/>
      </c>
      <c r="L981" s="5" t="str">
        <f aca="false">IF(B981="","",IF(C981=0,"NOT FOUND",IF(IF($A981="Bank",INDEX(Bank!$F:$F,$C981),INDEX(GL!$F:$F,$C981))="Y","NOW RECONCILED: refresh","OK")))</f>
        <v/>
      </c>
    </row>
    <row r="982" customFormat="false" ht="15" hidden="false" customHeight="false" outlineLevel="0" collapsed="false">
      <c r="A982" s="41"/>
      <c r="B982" s="41"/>
      <c r="C982" s="5" t="n">
        <f aca="false">IF(B982="",0,IF(A982="Bank",IFERROR(MATCH(B982,Bank!$A:$A,0),0),IFERROR(MATCH(B982,GL!$A:$A,0),0)))</f>
        <v>0</v>
      </c>
      <c r="D982" s="32" t="str">
        <f aca="false">IF(C982=0,"",IF($A982="Bank",INDEX(Bank!$B:$B,$C982),INDEX(GL!$B:$B,$C982)))</f>
        <v/>
      </c>
      <c r="E982" s="5" t="str">
        <f aca="false">IF(C982=0,"",IF($A982="Bank",IF(INDEX(Bank!$C:$C,$C982)="","",INDEX(Bank!$C:$C,$C982)),IF(INDEX(GL!$C:$C,$C982)="","",INDEX(GL!$C:$C,$C982))))</f>
        <v/>
      </c>
      <c r="F982" s="5" t="str">
        <f aca="false">IF(C982=0,"",IF($A982="Bank",IF(INDEX(Bank!$D:$D,$C982)="","",INDEX(Bank!$D:$D,$C982)),IF(INDEX(GL!$D:$D,$C982)="","",INDEX(GL!$D:$D,$C982))))</f>
        <v/>
      </c>
      <c r="G982" s="19" t="str">
        <f aca="false">IF(C982=0,"",IF($A982="Bank",INDEX(Bank!$E:$E,$C982),INDEX(GL!$E:$E,$C982)))</f>
        <v/>
      </c>
      <c r="H982" s="5" t="str">
        <f aca="false">IF(C982=0,"",IF(A982="GL",IF(G982&gt;0,"Deposit in transit","Outstanding check / payment"),IF(G982&gt;0,"Bank credit not in GL","Bank debit not in GL")))</f>
        <v/>
      </c>
      <c r="I982" s="42" t="str">
        <f aca="false">IF(OR(C982=0,CFG_PeriodEnd=""),"",CFG_PeriodEnd-D982)</f>
        <v/>
      </c>
      <c r="J982" s="5" t="str">
        <f aca="false">IF(C982=0,"",IF($A982="Bank",IF(INDEX(Bank!$G:$G,$C982)="","",INDEX(Bank!$G:$G,$C982)),IF(INDEX(GL!$G:$G,$C982)="","",INDEX(GL!$G:$G,$C982))))</f>
        <v/>
      </c>
      <c r="K982" s="5" t="str">
        <f aca="false">IF(C982=0,"",IF($A982="Bank",IF(INDEX(Bank!$I:$I,$C982)="","",INDEX(Bank!$I:$I,$C982)),IF(INDEX(GL!$I:$I,$C982)="","",INDEX(GL!$I:$I,$C982))))</f>
        <v/>
      </c>
      <c r="L982" s="5" t="str">
        <f aca="false">IF(B982="","",IF(C982=0,"NOT FOUND",IF(IF($A982="Bank",INDEX(Bank!$F:$F,$C982),INDEX(GL!$F:$F,$C982))="Y","NOW RECONCILED: refresh","OK")))</f>
        <v/>
      </c>
    </row>
    <row r="983" customFormat="false" ht="15" hidden="false" customHeight="false" outlineLevel="0" collapsed="false">
      <c r="A983" s="41"/>
      <c r="B983" s="41"/>
      <c r="C983" s="5" t="n">
        <f aca="false">IF(B983="",0,IF(A983="Bank",IFERROR(MATCH(B983,Bank!$A:$A,0),0),IFERROR(MATCH(B983,GL!$A:$A,0),0)))</f>
        <v>0</v>
      </c>
      <c r="D983" s="32" t="str">
        <f aca="false">IF(C983=0,"",IF($A983="Bank",INDEX(Bank!$B:$B,$C983),INDEX(GL!$B:$B,$C983)))</f>
        <v/>
      </c>
      <c r="E983" s="5" t="str">
        <f aca="false">IF(C983=0,"",IF($A983="Bank",IF(INDEX(Bank!$C:$C,$C983)="","",INDEX(Bank!$C:$C,$C983)),IF(INDEX(GL!$C:$C,$C983)="","",INDEX(GL!$C:$C,$C983))))</f>
        <v/>
      </c>
      <c r="F983" s="5" t="str">
        <f aca="false">IF(C983=0,"",IF($A983="Bank",IF(INDEX(Bank!$D:$D,$C983)="","",INDEX(Bank!$D:$D,$C983)),IF(INDEX(GL!$D:$D,$C983)="","",INDEX(GL!$D:$D,$C983))))</f>
        <v/>
      </c>
      <c r="G983" s="19" t="str">
        <f aca="false">IF(C983=0,"",IF($A983="Bank",INDEX(Bank!$E:$E,$C983),INDEX(GL!$E:$E,$C983)))</f>
        <v/>
      </c>
      <c r="H983" s="5" t="str">
        <f aca="false">IF(C983=0,"",IF(A983="GL",IF(G983&gt;0,"Deposit in transit","Outstanding check / payment"),IF(G983&gt;0,"Bank credit not in GL","Bank debit not in GL")))</f>
        <v/>
      </c>
      <c r="I983" s="42" t="str">
        <f aca="false">IF(OR(C983=0,CFG_PeriodEnd=""),"",CFG_PeriodEnd-D983)</f>
        <v/>
      </c>
      <c r="J983" s="5" t="str">
        <f aca="false">IF(C983=0,"",IF($A983="Bank",IF(INDEX(Bank!$G:$G,$C983)="","",INDEX(Bank!$G:$G,$C983)),IF(INDEX(GL!$G:$G,$C983)="","",INDEX(GL!$G:$G,$C983))))</f>
        <v/>
      </c>
      <c r="K983" s="5" t="str">
        <f aca="false">IF(C983=0,"",IF($A983="Bank",IF(INDEX(Bank!$I:$I,$C983)="","",INDEX(Bank!$I:$I,$C983)),IF(INDEX(GL!$I:$I,$C983)="","",INDEX(GL!$I:$I,$C983))))</f>
        <v/>
      </c>
      <c r="L983" s="5" t="str">
        <f aca="false">IF(B983="","",IF(C983=0,"NOT FOUND",IF(IF($A983="Bank",INDEX(Bank!$F:$F,$C983),INDEX(GL!$F:$F,$C983))="Y","NOW RECONCILED: refresh","OK")))</f>
        <v/>
      </c>
    </row>
    <row r="984" customFormat="false" ht="15" hidden="false" customHeight="false" outlineLevel="0" collapsed="false">
      <c r="A984" s="41"/>
      <c r="B984" s="41"/>
      <c r="C984" s="5" t="n">
        <f aca="false">IF(B984="",0,IF(A984="Bank",IFERROR(MATCH(B984,Bank!$A:$A,0),0),IFERROR(MATCH(B984,GL!$A:$A,0),0)))</f>
        <v>0</v>
      </c>
      <c r="D984" s="32" t="str">
        <f aca="false">IF(C984=0,"",IF($A984="Bank",INDEX(Bank!$B:$B,$C984),INDEX(GL!$B:$B,$C984)))</f>
        <v/>
      </c>
      <c r="E984" s="5" t="str">
        <f aca="false">IF(C984=0,"",IF($A984="Bank",IF(INDEX(Bank!$C:$C,$C984)="","",INDEX(Bank!$C:$C,$C984)),IF(INDEX(GL!$C:$C,$C984)="","",INDEX(GL!$C:$C,$C984))))</f>
        <v/>
      </c>
      <c r="F984" s="5" t="str">
        <f aca="false">IF(C984=0,"",IF($A984="Bank",IF(INDEX(Bank!$D:$D,$C984)="","",INDEX(Bank!$D:$D,$C984)),IF(INDEX(GL!$D:$D,$C984)="","",INDEX(GL!$D:$D,$C984))))</f>
        <v/>
      </c>
      <c r="G984" s="19" t="str">
        <f aca="false">IF(C984=0,"",IF($A984="Bank",INDEX(Bank!$E:$E,$C984),INDEX(GL!$E:$E,$C984)))</f>
        <v/>
      </c>
      <c r="H984" s="5" t="str">
        <f aca="false">IF(C984=0,"",IF(A984="GL",IF(G984&gt;0,"Deposit in transit","Outstanding check / payment"),IF(G984&gt;0,"Bank credit not in GL","Bank debit not in GL")))</f>
        <v/>
      </c>
      <c r="I984" s="42" t="str">
        <f aca="false">IF(OR(C984=0,CFG_PeriodEnd=""),"",CFG_PeriodEnd-D984)</f>
        <v/>
      </c>
      <c r="J984" s="5" t="str">
        <f aca="false">IF(C984=0,"",IF($A984="Bank",IF(INDEX(Bank!$G:$G,$C984)="","",INDEX(Bank!$G:$G,$C984)),IF(INDEX(GL!$G:$G,$C984)="","",INDEX(GL!$G:$G,$C984))))</f>
        <v/>
      </c>
      <c r="K984" s="5" t="str">
        <f aca="false">IF(C984=0,"",IF($A984="Bank",IF(INDEX(Bank!$I:$I,$C984)="","",INDEX(Bank!$I:$I,$C984)),IF(INDEX(GL!$I:$I,$C984)="","",INDEX(GL!$I:$I,$C984))))</f>
        <v/>
      </c>
      <c r="L984" s="5" t="str">
        <f aca="false">IF(B984="","",IF(C984=0,"NOT FOUND",IF(IF($A984="Bank",INDEX(Bank!$F:$F,$C984),INDEX(GL!$F:$F,$C984))="Y","NOW RECONCILED: refresh","OK")))</f>
        <v/>
      </c>
    </row>
    <row r="985" customFormat="false" ht="15" hidden="false" customHeight="false" outlineLevel="0" collapsed="false">
      <c r="A985" s="41"/>
      <c r="B985" s="41"/>
      <c r="C985" s="5" t="n">
        <f aca="false">IF(B985="",0,IF(A985="Bank",IFERROR(MATCH(B985,Bank!$A:$A,0),0),IFERROR(MATCH(B985,GL!$A:$A,0),0)))</f>
        <v>0</v>
      </c>
      <c r="D985" s="32" t="str">
        <f aca="false">IF(C985=0,"",IF($A985="Bank",INDEX(Bank!$B:$B,$C985),INDEX(GL!$B:$B,$C985)))</f>
        <v/>
      </c>
      <c r="E985" s="5" t="str">
        <f aca="false">IF(C985=0,"",IF($A985="Bank",IF(INDEX(Bank!$C:$C,$C985)="","",INDEX(Bank!$C:$C,$C985)),IF(INDEX(GL!$C:$C,$C985)="","",INDEX(GL!$C:$C,$C985))))</f>
        <v/>
      </c>
      <c r="F985" s="5" t="str">
        <f aca="false">IF(C985=0,"",IF($A985="Bank",IF(INDEX(Bank!$D:$D,$C985)="","",INDEX(Bank!$D:$D,$C985)),IF(INDEX(GL!$D:$D,$C985)="","",INDEX(GL!$D:$D,$C985))))</f>
        <v/>
      </c>
      <c r="G985" s="19" t="str">
        <f aca="false">IF(C985=0,"",IF($A985="Bank",INDEX(Bank!$E:$E,$C985),INDEX(GL!$E:$E,$C985)))</f>
        <v/>
      </c>
      <c r="H985" s="5" t="str">
        <f aca="false">IF(C985=0,"",IF(A985="GL",IF(G985&gt;0,"Deposit in transit","Outstanding check / payment"),IF(G985&gt;0,"Bank credit not in GL","Bank debit not in GL")))</f>
        <v/>
      </c>
      <c r="I985" s="42" t="str">
        <f aca="false">IF(OR(C985=0,CFG_PeriodEnd=""),"",CFG_PeriodEnd-D985)</f>
        <v/>
      </c>
      <c r="J985" s="5" t="str">
        <f aca="false">IF(C985=0,"",IF($A985="Bank",IF(INDEX(Bank!$G:$G,$C985)="","",INDEX(Bank!$G:$G,$C985)),IF(INDEX(GL!$G:$G,$C985)="","",INDEX(GL!$G:$G,$C985))))</f>
        <v/>
      </c>
      <c r="K985" s="5" t="str">
        <f aca="false">IF(C985=0,"",IF($A985="Bank",IF(INDEX(Bank!$I:$I,$C985)="","",INDEX(Bank!$I:$I,$C985)),IF(INDEX(GL!$I:$I,$C985)="","",INDEX(GL!$I:$I,$C985))))</f>
        <v/>
      </c>
      <c r="L985" s="5" t="str">
        <f aca="false">IF(B985="","",IF(C985=0,"NOT FOUND",IF(IF($A985="Bank",INDEX(Bank!$F:$F,$C985),INDEX(GL!$F:$F,$C985))="Y","NOW RECONCILED: refresh","OK")))</f>
        <v/>
      </c>
    </row>
    <row r="986" customFormat="false" ht="15" hidden="false" customHeight="false" outlineLevel="0" collapsed="false">
      <c r="A986" s="41"/>
      <c r="B986" s="41"/>
      <c r="C986" s="5" t="n">
        <f aca="false">IF(B986="",0,IF(A986="Bank",IFERROR(MATCH(B986,Bank!$A:$A,0),0),IFERROR(MATCH(B986,GL!$A:$A,0),0)))</f>
        <v>0</v>
      </c>
      <c r="D986" s="32" t="str">
        <f aca="false">IF(C986=0,"",IF($A986="Bank",INDEX(Bank!$B:$B,$C986),INDEX(GL!$B:$B,$C986)))</f>
        <v/>
      </c>
      <c r="E986" s="5" t="str">
        <f aca="false">IF(C986=0,"",IF($A986="Bank",IF(INDEX(Bank!$C:$C,$C986)="","",INDEX(Bank!$C:$C,$C986)),IF(INDEX(GL!$C:$C,$C986)="","",INDEX(GL!$C:$C,$C986))))</f>
        <v/>
      </c>
      <c r="F986" s="5" t="str">
        <f aca="false">IF(C986=0,"",IF($A986="Bank",IF(INDEX(Bank!$D:$D,$C986)="","",INDEX(Bank!$D:$D,$C986)),IF(INDEX(GL!$D:$D,$C986)="","",INDEX(GL!$D:$D,$C986))))</f>
        <v/>
      </c>
      <c r="G986" s="19" t="str">
        <f aca="false">IF(C986=0,"",IF($A986="Bank",INDEX(Bank!$E:$E,$C986),INDEX(GL!$E:$E,$C986)))</f>
        <v/>
      </c>
      <c r="H986" s="5" t="str">
        <f aca="false">IF(C986=0,"",IF(A986="GL",IF(G986&gt;0,"Deposit in transit","Outstanding check / payment"),IF(G986&gt;0,"Bank credit not in GL","Bank debit not in GL")))</f>
        <v/>
      </c>
      <c r="I986" s="42" t="str">
        <f aca="false">IF(OR(C986=0,CFG_PeriodEnd=""),"",CFG_PeriodEnd-D986)</f>
        <v/>
      </c>
      <c r="J986" s="5" t="str">
        <f aca="false">IF(C986=0,"",IF($A986="Bank",IF(INDEX(Bank!$G:$G,$C986)="","",INDEX(Bank!$G:$G,$C986)),IF(INDEX(GL!$G:$G,$C986)="","",INDEX(GL!$G:$G,$C986))))</f>
        <v/>
      </c>
      <c r="K986" s="5" t="str">
        <f aca="false">IF(C986=0,"",IF($A986="Bank",IF(INDEX(Bank!$I:$I,$C986)="","",INDEX(Bank!$I:$I,$C986)),IF(INDEX(GL!$I:$I,$C986)="","",INDEX(GL!$I:$I,$C986))))</f>
        <v/>
      </c>
      <c r="L986" s="5" t="str">
        <f aca="false">IF(B986="","",IF(C986=0,"NOT FOUND",IF(IF($A986="Bank",INDEX(Bank!$F:$F,$C986),INDEX(GL!$F:$F,$C986))="Y","NOW RECONCILED: refresh","OK")))</f>
        <v/>
      </c>
    </row>
    <row r="987" customFormat="false" ht="15" hidden="false" customHeight="false" outlineLevel="0" collapsed="false">
      <c r="A987" s="41"/>
      <c r="B987" s="41"/>
      <c r="C987" s="5" t="n">
        <f aca="false">IF(B987="",0,IF(A987="Bank",IFERROR(MATCH(B987,Bank!$A:$A,0),0),IFERROR(MATCH(B987,GL!$A:$A,0),0)))</f>
        <v>0</v>
      </c>
      <c r="D987" s="32" t="str">
        <f aca="false">IF(C987=0,"",IF($A987="Bank",INDEX(Bank!$B:$B,$C987),INDEX(GL!$B:$B,$C987)))</f>
        <v/>
      </c>
      <c r="E987" s="5" t="str">
        <f aca="false">IF(C987=0,"",IF($A987="Bank",IF(INDEX(Bank!$C:$C,$C987)="","",INDEX(Bank!$C:$C,$C987)),IF(INDEX(GL!$C:$C,$C987)="","",INDEX(GL!$C:$C,$C987))))</f>
        <v/>
      </c>
      <c r="F987" s="5" t="str">
        <f aca="false">IF(C987=0,"",IF($A987="Bank",IF(INDEX(Bank!$D:$D,$C987)="","",INDEX(Bank!$D:$D,$C987)),IF(INDEX(GL!$D:$D,$C987)="","",INDEX(GL!$D:$D,$C987))))</f>
        <v/>
      </c>
      <c r="G987" s="19" t="str">
        <f aca="false">IF(C987=0,"",IF($A987="Bank",INDEX(Bank!$E:$E,$C987),INDEX(GL!$E:$E,$C987)))</f>
        <v/>
      </c>
      <c r="H987" s="5" t="str">
        <f aca="false">IF(C987=0,"",IF(A987="GL",IF(G987&gt;0,"Deposit in transit","Outstanding check / payment"),IF(G987&gt;0,"Bank credit not in GL","Bank debit not in GL")))</f>
        <v/>
      </c>
      <c r="I987" s="42" t="str">
        <f aca="false">IF(OR(C987=0,CFG_PeriodEnd=""),"",CFG_PeriodEnd-D987)</f>
        <v/>
      </c>
      <c r="J987" s="5" t="str">
        <f aca="false">IF(C987=0,"",IF($A987="Bank",IF(INDEX(Bank!$G:$G,$C987)="","",INDEX(Bank!$G:$G,$C987)),IF(INDEX(GL!$G:$G,$C987)="","",INDEX(GL!$G:$G,$C987))))</f>
        <v/>
      </c>
      <c r="K987" s="5" t="str">
        <f aca="false">IF(C987=0,"",IF($A987="Bank",IF(INDEX(Bank!$I:$I,$C987)="","",INDEX(Bank!$I:$I,$C987)),IF(INDEX(GL!$I:$I,$C987)="","",INDEX(GL!$I:$I,$C987))))</f>
        <v/>
      </c>
      <c r="L987" s="5" t="str">
        <f aca="false">IF(B987="","",IF(C987=0,"NOT FOUND",IF(IF($A987="Bank",INDEX(Bank!$F:$F,$C987),INDEX(GL!$F:$F,$C987))="Y","NOW RECONCILED: refresh","OK")))</f>
        <v/>
      </c>
    </row>
    <row r="988" customFormat="false" ht="15" hidden="false" customHeight="false" outlineLevel="0" collapsed="false">
      <c r="A988" s="41"/>
      <c r="B988" s="41"/>
      <c r="C988" s="5" t="n">
        <f aca="false">IF(B988="",0,IF(A988="Bank",IFERROR(MATCH(B988,Bank!$A:$A,0),0),IFERROR(MATCH(B988,GL!$A:$A,0),0)))</f>
        <v>0</v>
      </c>
      <c r="D988" s="32" t="str">
        <f aca="false">IF(C988=0,"",IF($A988="Bank",INDEX(Bank!$B:$B,$C988),INDEX(GL!$B:$B,$C988)))</f>
        <v/>
      </c>
      <c r="E988" s="5" t="str">
        <f aca="false">IF(C988=0,"",IF($A988="Bank",IF(INDEX(Bank!$C:$C,$C988)="","",INDEX(Bank!$C:$C,$C988)),IF(INDEX(GL!$C:$C,$C988)="","",INDEX(GL!$C:$C,$C988))))</f>
        <v/>
      </c>
      <c r="F988" s="5" t="str">
        <f aca="false">IF(C988=0,"",IF($A988="Bank",IF(INDEX(Bank!$D:$D,$C988)="","",INDEX(Bank!$D:$D,$C988)),IF(INDEX(GL!$D:$D,$C988)="","",INDEX(GL!$D:$D,$C988))))</f>
        <v/>
      </c>
      <c r="G988" s="19" t="str">
        <f aca="false">IF(C988=0,"",IF($A988="Bank",INDEX(Bank!$E:$E,$C988),INDEX(GL!$E:$E,$C988)))</f>
        <v/>
      </c>
      <c r="H988" s="5" t="str">
        <f aca="false">IF(C988=0,"",IF(A988="GL",IF(G988&gt;0,"Deposit in transit","Outstanding check / payment"),IF(G988&gt;0,"Bank credit not in GL","Bank debit not in GL")))</f>
        <v/>
      </c>
      <c r="I988" s="42" t="str">
        <f aca="false">IF(OR(C988=0,CFG_PeriodEnd=""),"",CFG_PeriodEnd-D988)</f>
        <v/>
      </c>
      <c r="J988" s="5" t="str">
        <f aca="false">IF(C988=0,"",IF($A988="Bank",IF(INDEX(Bank!$G:$G,$C988)="","",INDEX(Bank!$G:$G,$C988)),IF(INDEX(GL!$G:$G,$C988)="","",INDEX(GL!$G:$G,$C988))))</f>
        <v/>
      </c>
      <c r="K988" s="5" t="str">
        <f aca="false">IF(C988=0,"",IF($A988="Bank",IF(INDEX(Bank!$I:$I,$C988)="","",INDEX(Bank!$I:$I,$C988)),IF(INDEX(GL!$I:$I,$C988)="","",INDEX(GL!$I:$I,$C988))))</f>
        <v/>
      </c>
      <c r="L988" s="5" t="str">
        <f aca="false">IF(B988="","",IF(C988=0,"NOT FOUND",IF(IF($A988="Bank",INDEX(Bank!$F:$F,$C988),INDEX(GL!$F:$F,$C988))="Y","NOW RECONCILED: refresh","OK")))</f>
        <v/>
      </c>
    </row>
    <row r="989" customFormat="false" ht="15" hidden="false" customHeight="false" outlineLevel="0" collapsed="false">
      <c r="A989" s="41"/>
      <c r="B989" s="41"/>
      <c r="C989" s="5" t="n">
        <f aca="false">IF(B989="",0,IF(A989="Bank",IFERROR(MATCH(B989,Bank!$A:$A,0),0),IFERROR(MATCH(B989,GL!$A:$A,0),0)))</f>
        <v>0</v>
      </c>
      <c r="D989" s="32" t="str">
        <f aca="false">IF(C989=0,"",IF($A989="Bank",INDEX(Bank!$B:$B,$C989),INDEX(GL!$B:$B,$C989)))</f>
        <v/>
      </c>
      <c r="E989" s="5" t="str">
        <f aca="false">IF(C989=0,"",IF($A989="Bank",IF(INDEX(Bank!$C:$C,$C989)="","",INDEX(Bank!$C:$C,$C989)),IF(INDEX(GL!$C:$C,$C989)="","",INDEX(GL!$C:$C,$C989))))</f>
        <v/>
      </c>
      <c r="F989" s="5" t="str">
        <f aca="false">IF(C989=0,"",IF($A989="Bank",IF(INDEX(Bank!$D:$D,$C989)="","",INDEX(Bank!$D:$D,$C989)),IF(INDEX(GL!$D:$D,$C989)="","",INDEX(GL!$D:$D,$C989))))</f>
        <v/>
      </c>
      <c r="G989" s="19" t="str">
        <f aca="false">IF(C989=0,"",IF($A989="Bank",INDEX(Bank!$E:$E,$C989),INDEX(GL!$E:$E,$C989)))</f>
        <v/>
      </c>
      <c r="H989" s="5" t="str">
        <f aca="false">IF(C989=0,"",IF(A989="GL",IF(G989&gt;0,"Deposit in transit","Outstanding check / payment"),IF(G989&gt;0,"Bank credit not in GL","Bank debit not in GL")))</f>
        <v/>
      </c>
      <c r="I989" s="42" t="str">
        <f aca="false">IF(OR(C989=0,CFG_PeriodEnd=""),"",CFG_PeriodEnd-D989)</f>
        <v/>
      </c>
      <c r="J989" s="5" t="str">
        <f aca="false">IF(C989=0,"",IF($A989="Bank",IF(INDEX(Bank!$G:$G,$C989)="","",INDEX(Bank!$G:$G,$C989)),IF(INDEX(GL!$G:$G,$C989)="","",INDEX(GL!$G:$G,$C989))))</f>
        <v/>
      </c>
      <c r="K989" s="5" t="str">
        <f aca="false">IF(C989=0,"",IF($A989="Bank",IF(INDEX(Bank!$I:$I,$C989)="","",INDEX(Bank!$I:$I,$C989)),IF(INDEX(GL!$I:$I,$C989)="","",INDEX(GL!$I:$I,$C989))))</f>
        <v/>
      </c>
      <c r="L989" s="5" t="str">
        <f aca="false">IF(B989="","",IF(C989=0,"NOT FOUND",IF(IF($A989="Bank",INDEX(Bank!$F:$F,$C989),INDEX(GL!$F:$F,$C989))="Y","NOW RECONCILED: refresh","OK")))</f>
        <v/>
      </c>
    </row>
    <row r="990" customFormat="false" ht="15" hidden="false" customHeight="false" outlineLevel="0" collapsed="false">
      <c r="A990" s="41"/>
      <c r="B990" s="41"/>
      <c r="C990" s="5" t="n">
        <f aca="false">IF(B990="",0,IF(A990="Bank",IFERROR(MATCH(B990,Bank!$A:$A,0),0),IFERROR(MATCH(B990,GL!$A:$A,0),0)))</f>
        <v>0</v>
      </c>
      <c r="D990" s="32" t="str">
        <f aca="false">IF(C990=0,"",IF($A990="Bank",INDEX(Bank!$B:$B,$C990),INDEX(GL!$B:$B,$C990)))</f>
        <v/>
      </c>
      <c r="E990" s="5" t="str">
        <f aca="false">IF(C990=0,"",IF($A990="Bank",IF(INDEX(Bank!$C:$C,$C990)="","",INDEX(Bank!$C:$C,$C990)),IF(INDEX(GL!$C:$C,$C990)="","",INDEX(GL!$C:$C,$C990))))</f>
        <v/>
      </c>
      <c r="F990" s="5" t="str">
        <f aca="false">IF(C990=0,"",IF($A990="Bank",IF(INDEX(Bank!$D:$D,$C990)="","",INDEX(Bank!$D:$D,$C990)),IF(INDEX(GL!$D:$D,$C990)="","",INDEX(GL!$D:$D,$C990))))</f>
        <v/>
      </c>
      <c r="G990" s="19" t="str">
        <f aca="false">IF(C990=0,"",IF($A990="Bank",INDEX(Bank!$E:$E,$C990),INDEX(GL!$E:$E,$C990)))</f>
        <v/>
      </c>
      <c r="H990" s="5" t="str">
        <f aca="false">IF(C990=0,"",IF(A990="GL",IF(G990&gt;0,"Deposit in transit","Outstanding check / payment"),IF(G990&gt;0,"Bank credit not in GL","Bank debit not in GL")))</f>
        <v/>
      </c>
      <c r="I990" s="42" t="str">
        <f aca="false">IF(OR(C990=0,CFG_PeriodEnd=""),"",CFG_PeriodEnd-D990)</f>
        <v/>
      </c>
      <c r="J990" s="5" t="str">
        <f aca="false">IF(C990=0,"",IF($A990="Bank",IF(INDEX(Bank!$G:$G,$C990)="","",INDEX(Bank!$G:$G,$C990)),IF(INDEX(GL!$G:$G,$C990)="","",INDEX(GL!$G:$G,$C990))))</f>
        <v/>
      </c>
      <c r="K990" s="5" t="str">
        <f aca="false">IF(C990=0,"",IF($A990="Bank",IF(INDEX(Bank!$I:$I,$C990)="","",INDEX(Bank!$I:$I,$C990)),IF(INDEX(GL!$I:$I,$C990)="","",INDEX(GL!$I:$I,$C990))))</f>
        <v/>
      </c>
      <c r="L990" s="5" t="str">
        <f aca="false">IF(B990="","",IF(C990=0,"NOT FOUND",IF(IF($A990="Bank",INDEX(Bank!$F:$F,$C990),INDEX(GL!$F:$F,$C990))="Y","NOW RECONCILED: refresh","OK")))</f>
        <v/>
      </c>
    </row>
    <row r="991" customFormat="false" ht="15" hidden="false" customHeight="false" outlineLevel="0" collapsed="false">
      <c r="A991" s="41"/>
      <c r="B991" s="41"/>
      <c r="C991" s="5" t="n">
        <f aca="false">IF(B991="",0,IF(A991="Bank",IFERROR(MATCH(B991,Bank!$A:$A,0),0),IFERROR(MATCH(B991,GL!$A:$A,0),0)))</f>
        <v>0</v>
      </c>
      <c r="D991" s="32" t="str">
        <f aca="false">IF(C991=0,"",IF($A991="Bank",INDEX(Bank!$B:$B,$C991),INDEX(GL!$B:$B,$C991)))</f>
        <v/>
      </c>
      <c r="E991" s="5" t="str">
        <f aca="false">IF(C991=0,"",IF($A991="Bank",IF(INDEX(Bank!$C:$C,$C991)="","",INDEX(Bank!$C:$C,$C991)),IF(INDEX(GL!$C:$C,$C991)="","",INDEX(GL!$C:$C,$C991))))</f>
        <v/>
      </c>
      <c r="F991" s="5" t="str">
        <f aca="false">IF(C991=0,"",IF($A991="Bank",IF(INDEX(Bank!$D:$D,$C991)="","",INDEX(Bank!$D:$D,$C991)),IF(INDEX(GL!$D:$D,$C991)="","",INDEX(GL!$D:$D,$C991))))</f>
        <v/>
      </c>
      <c r="G991" s="19" t="str">
        <f aca="false">IF(C991=0,"",IF($A991="Bank",INDEX(Bank!$E:$E,$C991),INDEX(GL!$E:$E,$C991)))</f>
        <v/>
      </c>
      <c r="H991" s="5" t="str">
        <f aca="false">IF(C991=0,"",IF(A991="GL",IF(G991&gt;0,"Deposit in transit","Outstanding check / payment"),IF(G991&gt;0,"Bank credit not in GL","Bank debit not in GL")))</f>
        <v/>
      </c>
      <c r="I991" s="42" t="str">
        <f aca="false">IF(OR(C991=0,CFG_PeriodEnd=""),"",CFG_PeriodEnd-D991)</f>
        <v/>
      </c>
      <c r="J991" s="5" t="str">
        <f aca="false">IF(C991=0,"",IF($A991="Bank",IF(INDEX(Bank!$G:$G,$C991)="","",INDEX(Bank!$G:$G,$C991)),IF(INDEX(GL!$G:$G,$C991)="","",INDEX(GL!$G:$G,$C991))))</f>
        <v/>
      </c>
      <c r="K991" s="5" t="str">
        <f aca="false">IF(C991=0,"",IF($A991="Bank",IF(INDEX(Bank!$I:$I,$C991)="","",INDEX(Bank!$I:$I,$C991)),IF(INDEX(GL!$I:$I,$C991)="","",INDEX(GL!$I:$I,$C991))))</f>
        <v/>
      </c>
      <c r="L991" s="5" t="str">
        <f aca="false">IF(B991="","",IF(C991=0,"NOT FOUND",IF(IF($A991="Bank",INDEX(Bank!$F:$F,$C991),INDEX(GL!$F:$F,$C991))="Y","NOW RECONCILED: refresh","OK")))</f>
        <v/>
      </c>
    </row>
    <row r="992" customFormat="false" ht="15" hidden="false" customHeight="false" outlineLevel="0" collapsed="false">
      <c r="A992" s="41"/>
      <c r="B992" s="41"/>
      <c r="C992" s="5" t="n">
        <f aca="false">IF(B992="",0,IF(A992="Bank",IFERROR(MATCH(B992,Bank!$A:$A,0),0),IFERROR(MATCH(B992,GL!$A:$A,0),0)))</f>
        <v>0</v>
      </c>
      <c r="D992" s="32" t="str">
        <f aca="false">IF(C992=0,"",IF($A992="Bank",INDEX(Bank!$B:$B,$C992),INDEX(GL!$B:$B,$C992)))</f>
        <v/>
      </c>
      <c r="E992" s="5" t="str">
        <f aca="false">IF(C992=0,"",IF($A992="Bank",IF(INDEX(Bank!$C:$C,$C992)="","",INDEX(Bank!$C:$C,$C992)),IF(INDEX(GL!$C:$C,$C992)="","",INDEX(GL!$C:$C,$C992))))</f>
        <v/>
      </c>
      <c r="F992" s="5" t="str">
        <f aca="false">IF(C992=0,"",IF($A992="Bank",IF(INDEX(Bank!$D:$D,$C992)="","",INDEX(Bank!$D:$D,$C992)),IF(INDEX(GL!$D:$D,$C992)="","",INDEX(GL!$D:$D,$C992))))</f>
        <v/>
      </c>
      <c r="G992" s="19" t="str">
        <f aca="false">IF(C992=0,"",IF($A992="Bank",INDEX(Bank!$E:$E,$C992),INDEX(GL!$E:$E,$C992)))</f>
        <v/>
      </c>
      <c r="H992" s="5" t="str">
        <f aca="false">IF(C992=0,"",IF(A992="GL",IF(G992&gt;0,"Deposit in transit","Outstanding check / payment"),IF(G992&gt;0,"Bank credit not in GL","Bank debit not in GL")))</f>
        <v/>
      </c>
      <c r="I992" s="42" t="str">
        <f aca="false">IF(OR(C992=0,CFG_PeriodEnd=""),"",CFG_PeriodEnd-D992)</f>
        <v/>
      </c>
      <c r="J992" s="5" t="str">
        <f aca="false">IF(C992=0,"",IF($A992="Bank",IF(INDEX(Bank!$G:$G,$C992)="","",INDEX(Bank!$G:$G,$C992)),IF(INDEX(GL!$G:$G,$C992)="","",INDEX(GL!$G:$G,$C992))))</f>
        <v/>
      </c>
      <c r="K992" s="5" t="str">
        <f aca="false">IF(C992=0,"",IF($A992="Bank",IF(INDEX(Bank!$I:$I,$C992)="","",INDEX(Bank!$I:$I,$C992)),IF(INDEX(GL!$I:$I,$C992)="","",INDEX(GL!$I:$I,$C992))))</f>
        <v/>
      </c>
      <c r="L992" s="5" t="str">
        <f aca="false">IF(B992="","",IF(C992=0,"NOT FOUND",IF(IF($A992="Bank",INDEX(Bank!$F:$F,$C992),INDEX(GL!$F:$F,$C992))="Y","NOW RECONCILED: refresh","OK")))</f>
        <v/>
      </c>
    </row>
    <row r="993" customFormat="false" ht="15" hidden="false" customHeight="false" outlineLevel="0" collapsed="false">
      <c r="A993" s="41"/>
      <c r="B993" s="41"/>
      <c r="C993" s="5" t="n">
        <f aca="false">IF(B993="",0,IF(A993="Bank",IFERROR(MATCH(B993,Bank!$A:$A,0),0),IFERROR(MATCH(B993,GL!$A:$A,0),0)))</f>
        <v>0</v>
      </c>
      <c r="D993" s="32" t="str">
        <f aca="false">IF(C993=0,"",IF($A993="Bank",INDEX(Bank!$B:$B,$C993),INDEX(GL!$B:$B,$C993)))</f>
        <v/>
      </c>
      <c r="E993" s="5" t="str">
        <f aca="false">IF(C993=0,"",IF($A993="Bank",IF(INDEX(Bank!$C:$C,$C993)="","",INDEX(Bank!$C:$C,$C993)),IF(INDEX(GL!$C:$C,$C993)="","",INDEX(GL!$C:$C,$C993))))</f>
        <v/>
      </c>
      <c r="F993" s="5" t="str">
        <f aca="false">IF(C993=0,"",IF($A993="Bank",IF(INDEX(Bank!$D:$D,$C993)="","",INDEX(Bank!$D:$D,$C993)),IF(INDEX(GL!$D:$D,$C993)="","",INDEX(GL!$D:$D,$C993))))</f>
        <v/>
      </c>
      <c r="G993" s="19" t="str">
        <f aca="false">IF(C993=0,"",IF($A993="Bank",INDEX(Bank!$E:$E,$C993),INDEX(GL!$E:$E,$C993)))</f>
        <v/>
      </c>
      <c r="H993" s="5" t="str">
        <f aca="false">IF(C993=0,"",IF(A993="GL",IF(G993&gt;0,"Deposit in transit","Outstanding check / payment"),IF(G993&gt;0,"Bank credit not in GL","Bank debit not in GL")))</f>
        <v/>
      </c>
      <c r="I993" s="42" t="str">
        <f aca="false">IF(OR(C993=0,CFG_PeriodEnd=""),"",CFG_PeriodEnd-D993)</f>
        <v/>
      </c>
      <c r="J993" s="5" t="str">
        <f aca="false">IF(C993=0,"",IF($A993="Bank",IF(INDEX(Bank!$G:$G,$C993)="","",INDEX(Bank!$G:$G,$C993)),IF(INDEX(GL!$G:$G,$C993)="","",INDEX(GL!$G:$G,$C993))))</f>
        <v/>
      </c>
      <c r="K993" s="5" t="str">
        <f aca="false">IF(C993=0,"",IF($A993="Bank",IF(INDEX(Bank!$I:$I,$C993)="","",INDEX(Bank!$I:$I,$C993)),IF(INDEX(GL!$I:$I,$C993)="","",INDEX(GL!$I:$I,$C993))))</f>
        <v/>
      </c>
      <c r="L993" s="5" t="str">
        <f aca="false">IF(B993="","",IF(C993=0,"NOT FOUND",IF(IF($A993="Bank",INDEX(Bank!$F:$F,$C993),INDEX(GL!$F:$F,$C993))="Y","NOW RECONCILED: refresh","OK")))</f>
        <v/>
      </c>
    </row>
    <row r="994" customFormat="false" ht="15" hidden="false" customHeight="false" outlineLevel="0" collapsed="false">
      <c r="A994" s="41"/>
      <c r="B994" s="41"/>
      <c r="C994" s="5" t="n">
        <f aca="false">IF(B994="",0,IF(A994="Bank",IFERROR(MATCH(B994,Bank!$A:$A,0),0),IFERROR(MATCH(B994,GL!$A:$A,0),0)))</f>
        <v>0</v>
      </c>
      <c r="D994" s="32" t="str">
        <f aca="false">IF(C994=0,"",IF($A994="Bank",INDEX(Bank!$B:$B,$C994),INDEX(GL!$B:$B,$C994)))</f>
        <v/>
      </c>
      <c r="E994" s="5" t="str">
        <f aca="false">IF(C994=0,"",IF($A994="Bank",IF(INDEX(Bank!$C:$C,$C994)="","",INDEX(Bank!$C:$C,$C994)),IF(INDEX(GL!$C:$C,$C994)="","",INDEX(GL!$C:$C,$C994))))</f>
        <v/>
      </c>
      <c r="F994" s="5" t="str">
        <f aca="false">IF(C994=0,"",IF($A994="Bank",IF(INDEX(Bank!$D:$D,$C994)="","",INDEX(Bank!$D:$D,$C994)),IF(INDEX(GL!$D:$D,$C994)="","",INDEX(GL!$D:$D,$C994))))</f>
        <v/>
      </c>
      <c r="G994" s="19" t="str">
        <f aca="false">IF(C994=0,"",IF($A994="Bank",INDEX(Bank!$E:$E,$C994),INDEX(GL!$E:$E,$C994)))</f>
        <v/>
      </c>
      <c r="H994" s="5" t="str">
        <f aca="false">IF(C994=0,"",IF(A994="GL",IF(G994&gt;0,"Deposit in transit","Outstanding check / payment"),IF(G994&gt;0,"Bank credit not in GL","Bank debit not in GL")))</f>
        <v/>
      </c>
      <c r="I994" s="42" t="str">
        <f aca="false">IF(OR(C994=0,CFG_PeriodEnd=""),"",CFG_PeriodEnd-D994)</f>
        <v/>
      </c>
      <c r="J994" s="5" t="str">
        <f aca="false">IF(C994=0,"",IF($A994="Bank",IF(INDEX(Bank!$G:$G,$C994)="","",INDEX(Bank!$G:$G,$C994)),IF(INDEX(GL!$G:$G,$C994)="","",INDEX(GL!$G:$G,$C994))))</f>
        <v/>
      </c>
      <c r="K994" s="5" t="str">
        <f aca="false">IF(C994=0,"",IF($A994="Bank",IF(INDEX(Bank!$I:$I,$C994)="","",INDEX(Bank!$I:$I,$C994)),IF(INDEX(GL!$I:$I,$C994)="","",INDEX(GL!$I:$I,$C994))))</f>
        <v/>
      </c>
      <c r="L994" s="5" t="str">
        <f aca="false">IF(B994="","",IF(C994=0,"NOT FOUND",IF(IF($A994="Bank",INDEX(Bank!$F:$F,$C994),INDEX(GL!$F:$F,$C994))="Y","NOW RECONCILED: refresh","OK")))</f>
        <v/>
      </c>
    </row>
    <row r="995" customFormat="false" ht="15" hidden="false" customHeight="false" outlineLevel="0" collapsed="false">
      <c r="A995" s="41"/>
      <c r="B995" s="41"/>
      <c r="C995" s="5" t="n">
        <f aca="false">IF(B995="",0,IF(A995="Bank",IFERROR(MATCH(B995,Bank!$A:$A,0),0),IFERROR(MATCH(B995,GL!$A:$A,0),0)))</f>
        <v>0</v>
      </c>
      <c r="D995" s="32" t="str">
        <f aca="false">IF(C995=0,"",IF($A995="Bank",INDEX(Bank!$B:$B,$C995),INDEX(GL!$B:$B,$C995)))</f>
        <v/>
      </c>
      <c r="E995" s="5" t="str">
        <f aca="false">IF(C995=0,"",IF($A995="Bank",IF(INDEX(Bank!$C:$C,$C995)="","",INDEX(Bank!$C:$C,$C995)),IF(INDEX(GL!$C:$C,$C995)="","",INDEX(GL!$C:$C,$C995))))</f>
        <v/>
      </c>
      <c r="F995" s="5" t="str">
        <f aca="false">IF(C995=0,"",IF($A995="Bank",IF(INDEX(Bank!$D:$D,$C995)="","",INDEX(Bank!$D:$D,$C995)),IF(INDEX(GL!$D:$D,$C995)="","",INDEX(GL!$D:$D,$C995))))</f>
        <v/>
      </c>
      <c r="G995" s="19" t="str">
        <f aca="false">IF(C995=0,"",IF($A995="Bank",INDEX(Bank!$E:$E,$C995),INDEX(GL!$E:$E,$C995)))</f>
        <v/>
      </c>
      <c r="H995" s="5" t="str">
        <f aca="false">IF(C995=0,"",IF(A995="GL",IF(G995&gt;0,"Deposit in transit","Outstanding check / payment"),IF(G995&gt;0,"Bank credit not in GL","Bank debit not in GL")))</f>
        <v/>
      </c>
      <c r="I995" s="42" t="str">
        <f aca="false">IF(OR(C995=0,CFG_PeriodEnd=""),"",CFG_PeriodEnd-D995)</f>
        <v/>
      </c>
      <c r="J995" s="5" t="str">
        <f aca="false">IF(C995=0,"",IF($A995="Bank",IF(INDEX(Bank!$G:$G,$C995)="","",INDEX(Bank!$G:$G,$C995)),IF(INDEX(GL!$G:$G,$C995)="","",INDEX(GL!$G:$G,$C995))))</f>
        <v/>
      </c>
      <c r="K995" s="5" t="str">
        <f aca="false">IF(C995=0,"",IF($A995="Bank",IF(INDEX(Bank!$I:$I,$C995)="","",INDEX(Bank!$I:$I,$C995)),IF(INDEX(GL!$I:$I,$C995)="","",INDEX(GL!$I:$I,$C995))))</f>
        <v/>
      </c>
      <c r="L995" s="5" t="str">
        <f aca="false">IF(B995="","",IF(C995=0,"NOT FOUND",IF(IF($A995="Bank",INDEX(Bank!$F:$F,$C995),INDEX(GL!$F:$F,$C995))="Y","NOW RECONCILED: refresh","OK")))</f>
        <v/>
      </c>
    </row>
    <row r="996" customFormat="false" ht="15" hidden="false" customHeight="false" outlineLevel="0" collapsed="false">
      <c r="A996" s="41"/>
      <c r="B996" s="41"/>
      <c r="C996" s="5" t="n">
        <f aca="false">IF(B996="",0,IF(A996="Bank",IFERROR(MATCH(B996,Bank!$A:$A,0),0),IFERROR(MATCH(B996,GL!$A:$A,0),0)))</f>
        <v>0</v>
      </c>
      <c r="D996" s="32" t="str">
        <f aca="false">IF(C996=0,"",IF($A996="Bank",INDEX(Bank!$B:$B,$C996),INDEX(GL!$B:$B,$C996)))</f>
        <v/>
      </c>
      <c r="E996" s="5" t="str">
        <f aca="false">IF(C996=0,"",IF($A996="Bank",IF(INDEX(Bank!$C:$C,$C996)="","",INDEX(Bank!$C:$C,$C996)),IF(INDEX(GL!$C:$C,$C996)="","",INDEX(GL!$C:$C,$C996))))</f>
        <v/>
      </c>
      <c r="F996" s="5" t="str">
        <f aca="false">IF(C996=0,"",IF($A996="Bank",IF(INDEX(Bank!$D:$D,$C996)="","",INDEX(Bank!$D:$D,$C996)),IF(INDEX(GL!$D:$D,$C996)="","",INDEX(GL!$D:$D,$C996))))</f>
        <v/>
      </c>
      <c r="G996" s="19" t="str">
        <f aca="false">IF(C996=0,"",IF($A996="Bank",INDEX(Bank!$E:$E,$C996),INDEX(GL!$E:$E,$C996)))</f>
        <v/>
      </c>
      <c r="H996" s="5" t="str">
        <f aca="false">IF(C996=0,"",IF(A996="GL",IF(G996&gt;0,"Deposit in transit","Outstanding check / payment"),IF(G996&gt;0,"Bank credit not in GL","Bank debit not in GL")))</f>
        <v/>
      </c>
      <c r="I996" s="42" t="str">
        <f aca="false">IF(OR(C996=0,CFG_PeriodEnd=""),"",CFG_PeriodEnd-D996)</f>
        <v/>
      </c>
      <c r="J996" s="5" t="str">
        <f aca="false">IF(C996=0,"",IF($A996="Bank",IF(INDEX(Bank!$G:$G,$C996)="","",INDEX(Bank!$G:$G,$C996)),IF(INDEX(GL!$G:$G,$C996)="","",INDEX(GL!$G:$G,$C996))))</f>
        <v/>
      </c>
      <c r="K996" s="5" t="str">
        <f aca="false">IF(C996=0,"",IF($A996="Bank",IF(INDEX(Bank!$I:$I,$C996)="","",INDEX(Bank!$I:$I,$C996)),IF(INDEX(GL!$I:$I,$C996)="","",INDEX(GL!$I:$I,$C996))))</f>
        <v/>
      </c>
      <c r="L996" s="5" t="str">
        <f aca="false">IF(B996="","",IF(C996=0,"NOT FOUND",IF(IF($A996="Bank",INDEX(Bank!$F:$F,$C996),INDEX(GL!$F:$F,$C996))="Y","NOW RECONCILED: refresh","OK")))</f>
        <v/>
      </c>
    </row>
    <row r="997" customFormat="false" ht="15" hidden="false" customHeight="false" outlineLevel="0" collapsed="false">
      <c r="A997" s="41"/>
      <c r="B997" s="41"/>
      <c r="C997" s="5" t="n">
        <f aca="false">IF(B997="",0,IF(A997="Bank",IFERROR(MATCH(B997,Bank!$A:$A,0),0),IFERROR(MATCH(B997,GL!$A:$A,0),0)))</f>
        <v>0</v>
      </c>
      <c r="D997" s="32" t="str">
        <f aca="false">IF(C997=0,"",IF($A997="Bank",INDEX(Bank!$B:$B,$C997),INDEX(GL!$B:$B,$C997)))</f>
        <v/>
      </c>
      <c r="E997" s="5" t="str">
        <f aca="false">IF(C997=0,"",IF($A997="Bank",IF(INDEX(Bank!$C:$C,$C997)="","",INDEX(Bank!$C:$C,$C997)),IF(INDEX(GL!$C:$C,$C997)="","",INDEX(GL!$C:$C,$C997))))</f>
        <v/>
      </c>
      <c r="F997" s="5" t="str">
        <f aca="false">IF(C997=0,"",IF($A997="Bank",IF(INDEX(Bank!$D:$D,$C997)="","",INDEX(Bank!$D:$D,$C997)),IF(INDEX(GL!$D:$D,$C997)="","",INDEX(GL!$D:$D,$C997))))</f>
        <v/>
      </c>
      <c r="G997" s="19" t="str">
        <f aca="false">IF(C997=0,"",IF($A997="Bank",INDEX(Bank!$E:$E,$C997),INDEX(GL!$E:$E,$C997)))</f>
        <v/>
      </c>
      <c r="H997" s="5" t="str">
        <f aca="false">IF(C997=0,"",IF(A997="GL",IF(G997&gt;0,"Deposit in transit","Outstanding check / payment"),IF(G997&gt;0,"Bank credit not in GL","Bank debit not in GL")))</f>
        <v/>
      </c>
      <c r="I997" s="42" t="str">
        <f aca="false">IF(OR(C997=0,CFG_PeriodEnd=""),"",CFG_PeriodEnd-D997)</f>
        <v/>
      </c>
      <c r="J997" s="5" t="str">
        <f aca="false">IF(C997=0,"",IF($A997="Bank",IF(INDEX(Bank!$G:$G,$C997)="","",INDEX(Bank!$G:$G,$C997)),IF(INDEX(GL!$G:$G,$C997)="","",INDEX(GL!$G:$G,$C997))))</f>
        <v/>
      </c>
      <c r="K997" s="5" t="str">
        <f aca="false">IF(C997=0,"",IF($A997="Bank",IF(INDEX(Bank!$I:$I,$C997)="","",INDEX(Bank!$I:$I,$C997)),IF(INDEX(GL!$I:$I,$C997)="","",INDEX(GL!$I:$I,$C997))))</f>
        <v/>
      </c>
      <c r="L997" s="5" t="str">
        <f aca="false">IF(B997="","",IF(C997=0,"NOT FOUND",IF(IF($A997="Bank",INDEX(Bank!$F:$F,$C997),INDEX(GL!$F:$F,$C997))="Y","NOW RECONCILED: refresh","OK")))</f>
        <v/>
      </c>
    </row>
    <row r="998" customFormat="false" ht="15" hidden="false" customHeight="false" outlineLevel="0" collapsed="false">
      <c r="A998" s="41"/>
      <c r="B998" s="41"/>
      <c r="C998" s="5" t="n">
        <f aca="false">IF(B998="",0,IF(A998="Bank",IFERROR(MATCH(B998,Bank!$A:$A,0),0),IFERROR(MATCH(B998,GL!$A:$A,0),0)))</f>
        <v>0</v>
      </c>
      <c r="D998" s="32" t="str">
        <f aca="false">IF(C998=0,"",IF($A998="Bank",INDEX(Bank!$B:$B,$C998),INDEX(GL!$B:$B,$C998)))</f>
        <v/>
      </c>
      <c r="E998" s="5" t="str">
        <f aca="false">IF(C998=0,"",IF($A998="Bank",IF(INDEX(Bank!$C:$C,$C998)="","",INDEX(Bank!$C:$C,$C998)),IF(INDEX(GL!$C:$C,$C998)="","",INDEX(GL!$C:$C,$C998))))</f>
        <v/>
      </c>
      <c r="F998" s="5" t="str">
        <f aca="false">IF(C998=0,"",IF($A998="Bank",IF(INDEX(Bank!$D:$D,$C998)="","",INDEX(Bank!$D:$D,$C998)),IF(INDEX(GL!$D:$D,$C998)="","",INDEX(GL!$D:$D,$C998))))</f>
        <v/>
      </c>
      <c r="G998" s="19" t="str">
        <f aca="false">IF(C998=0,"",IF($A998="Bank",INDEX(Bank!$E:$E,$C998),INDEX(GL!$E:$E,$C998)))</f>
        <v/>
      </c>
      <c r="H998" s="5" t="str">
        <f aca="false">IF(C998=0,"",IF(A998="GL",IF(G998&gt;0,"Deposit in transit","Outstanding check / payment"),IF(G998&gt;0,"Bank credit not in GL","Bank debit not in GL")))</f>
        <v/>
      </c>
      <c r="I998" s="42" t="str">
        <f aca="false">IF(OR(C998=0,CFG_PeriodEnd=""),"",CFG_PeriodEnd-D998)</f>
        <v/>
      </c>
      <c r="J998" s="5" t="str">
        <f aca="false">IF(C998=0,"",IF($A998="Bank",IF(INDEX(Bank!$G:$G,$C998)="","",INDEX(Bank!$G:$G,$C998)),IF(INDEX(GL!$G:$G,$C998)="","",INDEX(GL!$G:$G,$C998))))</f>
        <v/>
      </c>
      <c r="K998" s="5" t="str">
        <f aca="false">IF(C998=0,"",IF($A998="Bank",IF(INDEX(Bank!$I:$I,$C998)="","",INDEX(Bank!$I:$I,$C998)),IF(INDEX(GL!$I:$I,$C998)="","",INDEX(GL!$I:$I,$C998))))</f>
        <v/>
      </c>
      <c r="L998" s="5" t="str">
        <f aca="false">IF(B998="","",IF(C998=0,"NOT FOUND",IF(IF($A998="Bank",INDEX(Bank!$F:$F,$C998),INDEX(GL!$F:$F,$C998))="Y","NOW RECONCILED: refresh","OK")))</f>
        <v/>
      </c>
    </row>
    <row r="999" customFormat="false" ht="15" hidden="false" customHeight="false" outlineLevel="0" collapsed="false">
      <c r="A999" s="41"/>
      <c r="B999" s="41"/>
      <c r="C999" s="5" t="n">
        <f aca="false">IF(B999="",0,IF(A999="Bank",IFERROR(MATCH(B999,Bank!$A:$A,0),0),IFERROR(MATCH(B999,GL!$A:$A,0),0)))</f>
        <v>0</v>
      </c>
      <c r="D999" s="32" t="str">
        <f aca="false">IF(C999=0,"",IF($A999="Bank",INDEX(Bank!$B:$B,$C999),INDEX(GL!$B:$B,$C999)))</f>
        <v/>
      </c>
      <c r="E999" s="5" t="str">
        <f aca="false">IF(C999=0,"",IF($A999="Bank",IF(INDEX(Bank!$C:$C,$C999)="","",INDEX(Bank!$C:$C,$C999)),IF(INDEX(GL!$C:$C,$C999)="","",INDEX(GL!$C:$C,$C999))))</f>
        <v/>
      </c>
      <c r="F999" s="5" t="str">
        <f aca="false">IF(C999=0,"",IF($A999="Bank",IF(INDEX(Bank!$D:$D,$C999)="","",INDEX(Bank!$D:$D,$C999)),IF(INDEX(GL!$D:$D,$C999)="","",INDEX(GL!$D:$D,$C999))))</f>
        <v/>
      </c>
      <c r="G999" s="19" t="str">
        <f aca="false">IF(C999=0,"",IF($A999="Bank",INDEX(Bank!$E:$E,$C999),INDEX(GL!$E:$E,$C999)))</f>
        <v/>
      </c>
      <c r="H999" s="5" t="str">
        <f aca="false">IF(C999=0,"",IF(A999="GL",IF(G999&gt;0,"Deposit in transit","Outstanding check / payment"),IF(G999&gt;0,"Bank credit not in GL","Bank debit not in GL")))</f>
        <v/>
      </c>
      <c r="I999" s="42" t="str">
        <f aca="false">IF(OR(C999=0,CFG_PeriodEnd=""),"",CFG_PeriodEnd-D999)</f>
        <v/>
      </c>
      <c r="J999" s="5" t="str">
        <f aca="false">IF(C999=0,"",IF($A999="Bank",IF(INDEX(Bank!$G:$G,$C999)="","",INDEX(Bank!$G:$G,$C999)),IF(INDEX(GL!$G:$G,$C999)="","",INDEX(GL!$G:$G,$C999))))</f>
        <v/>
      </c>
      <c r="K999" s="5" t="str">
        <f aca="false">IF(C999=0,"",IF($A999="Bank",IF(INDEX(Bank!$I:$I,$C999)="","",INDEX(Bank!$I:$I,$C999)),IF(INDEX(GL!$I:$I,$C999)="","",INDEX(GL!$I:$I,$C999))))</f>
        <v/>
      </c>
      <c r="L999" s="5" t="str">
        <f aca="false">IF(B999="","",IF(C999=0,"NOT FOUND",IF(IF($A999="Bank",INDEX(Bank!$F:$F,$C999),INDEX(GL!$F:$F,$C999))="Y","NOW RECONCILED: refresh","OK")))</f>
        <v/>
      </c>
    </row>
    <row r="1000" customFormat="false" ht="15" hidden="false" customHeight="false" outlineLevel="0" collapsed="false">
      <c r="A1000" s="41"/>
      <c r="B1000" s="41"/>
      <c r="C1000" s="5" t="n">
        <f aca="false">IF(B1000="",0,IF(A1000="Bank",IFERROR(MATCH(B1000,Bank!$A:$A,0),0),IFERROR(MATCH(B1000,GL!$A:$A,0),0)))</f>
        <v>0</v>
      </c>
      <c r="D1000" s="32" t="str">
        <f aca="false">IF(C1000=0,"",IF($A1000="Bank",INDEX(Bank!$B:$B,$C1000),INDEX(GL!$B:$B,$C1000)))</f>
        <v/>
      </c>
      <c r="E1000" s="5" t="str">
        <f aca="false">IF(C1000=0,"",IF($A1000="Bank",IF(INDEX(Bank!$C:$C,$C1000)="","",INDEX(Bank!$C:$C,$C1000)),IF(INDEX(GL!$C:$C,$C1000)="","",INDEX(GL!$C:$C,$C1000))))</f>
        <v/>
      </c>
      <c r="F1000" s="5" t="str">
        <f aca="false">IF(C1000=0,"",IF($A1000="Bank",IF(INDEX(Bank!$D:$D,$C1000)="","",INDEX(Bank!$D:$D,$C1000)),IF(INDEX(GL!$D:$D,$C1000)="","",INDEX(GL!$D:$D,$C1000))))</f>
        <v/>
      </c>
      <c r="G1000" s="19" t="str">
        <f aca="false">IF(C1000=0,"",IF($A1000="Bank",INDEX(Bank!$E:$E,$C1000),INDEX(GL!$E:$E,$C1000)))</f>
        <v/>
      </c>
      <c r="H1000" s="5" t="str">
        <f aca="false">IF(C1000=0,"",IF(A1000="GL",IF(G1000&gt;0,"Deposit in transit","Outstanding check / payment"),IF(G1000&gt;0,"Bank credit not in GL","Bank debit not in GL")))</f>
        <v/>
      </c>
      <c r="I1000" s="42" t="str">
        <f aca="false">IF(OR(C1000=0,CFG_PeriodEnd=""),"",CFG_PeriodEnd-D1000)</f>
        <v/>
      </c>
      <c r="J1000" s="5" t="str">
        <f aca="false">IF(C1000=0,"",IF($A1000="Bank",IF(INDEX(Bank!$G:$G,$C1000)="","",INDEX(Bank!$G:$G,$C1000)),IF(INDEX(GL!$G:$G,$C1000)="","",INDEX(GL!$G:$G,$C1000))))</f>
        <v/>
      </c>
      <c r="K1000" s="5" t="str">
        <f aca="false">IF(C1000=0,"",IF($A1000="Bank",IF(INDEX(Bank!$I:$I,$C1000)="","",INDEX(Bank!$I:$I,$C1000)),IF(INDEX(GL!$I:$I,$C1000)="","",INDEX(GL!$I:$I,$C1000))))</f>
        <v/>
      </c>
      <c r="L1000" s="5" t="str">
        <f aca="false">IF(B1000="","",IF(C1000=0,"NOT FOUND",IF(IF($A1000="Bank",INDEX(Bank!$F:$F,$C1000),INDEX(GL!$F:$F,$C1000))="Y","NOW RECONCILED: refresh","OK")))</f>
        <v/>
      </c>
    </row>
    <row r="1001" customFormat="false" ht="15" hidden="false" customHeight="false" outlineLevel="0" collapsed="false">
      <c r="A1001" s="41"/>
      <c r="B1001" s="41"/>
      <c r="C1001" s="5" t="n">
        <f aca="false">IF(B1001="",0,IF(A1001="Bank",IFERROR(MATCH(B1001,Bank!$A:$A,0),0),IFERROR(MATCH(B1001,GL!$A:$A,0),0)))</f>
        <v>0</v>
      </c>
      <c r="D1001" s="32" t="str">
        <f aca="false">IF(C1001=0,"",IF($A1001="Bank",INDEX(Bank!$B:$B,$C1001),INDEX(GL!$B:$B,$C1001)))</f>
        <v/>
      </c>
      <c r="E1001" s="5" t="str">
        <f aca="false">IF(C1001=0,"",IF($A1001="Bank",IF(INDEX(Bank!$C:$C,$C1001)="","",INDEX(Bank!$C:$C,$C1001)),IF(INDEX(GL!$C:$C,$C1001)="","",INDEX(GL!$C:$C,$C1001))))</f>
        <v/>
      </c>
      <c r="F1001" s="5" t="str">
        <f aca="false">IF(C1001=0,"",IF($A1001="Bank",IF(INDEX(Bank!$D:$D,$C1001)="","",INDEX(Bank!$D:$D,$C1001)),IF(INDEX(GL!$D:$D,$C1001)="","",INDEX(GL!$D:$D,$C1001))))</f>
        <v/>
      </c>
      <c r="G1001" s="19" t="str">
        <f aca="false">IF(C1001=0,"",IF($A1001="Bank",INDEX(Bank!$E:$E,$C1001),INDEX(GL!$E:$E,$C1001)))</f>
        <v/>
      </c>
      <c r="H1001" s="5" t="str">
        <f aca="false">IF(C1001=0,"",IF(A1001="GL",IF(G1001&gt;0,"Deposit in transit","Outstanding check / payment"),IF(G1001&gt;0,"Bank credit not in GL","Bank debit not in GL")))</f>
        <v/>
      </c>
      <c r="I1001" s="42" t="str">
        <f aca="false">IF(OR(C1001=0,CFG_PeriodEnd=""),"",CFG_PeriodEnd-D1001)</f>
        <v/>
      </c>
      <c r="J1001" s="5" t="str">
        <f aca="false">IF(C1001=0,"",IF($A1001="Bank",IF(INDEX(Bank!$G:$G,$C1001)="","",INDEX(Bank!$G:$G,$C1001)),IF(INDEX(GL!$G:$G,$C1001)="","",INDEX(GL!$G:$G,$C1001))))</f>
        <v/>
      </c>
      <c r="K1001" s="5" t="str">
        <f aca="false">IF(C1001=0,"",IF($A1001="Bank",IF(INDEX(Bank!$I:$I,$C1001)="","",INDEX(Bank!$I:$I,$C1001)),IF(INDEX(GL!$I:$I,$C1001)="","",INDEX(GL!$I:$I,$C1001))))</f>
        <v/>
      </c>
      <c r="L1001" s="5" t="str">
        <f aca="false">IF(B1001="","",IF(C1001=0,"NOT FOUND",IF(IF($A1001="Bank",INDEX(Bank!$F:$F,$C1001),INDEX(GL!$F:$F,$C1001))="Y","NOW RECONCILED: refresh","OK")))</f>
        <v/>
      </c>
    </row>
    <row r="1002" customFormat="false" ht="15" hidden="false" customHeight="false" outlineLevel="0" collapsed="false">
      <c r="A1002" s="41"/>
      <c r="B1002" s="41"/>
      <c r="C1002" s="5" t="n">
        <f aca="false">IF(B1002="",0,IF(A1002="Bank",IFERROR(MATCH(B1002,Bank!$A:$A,0),0),IFERROR(MATCH(B1002,GL!$A:$A,0),0)))</f>
        <v>0</v>
      </c>
      <c r="D1002" s="32" t="str">
        <f aca="false">IF(C1002=0,"",IF($A1002="Bank",INDEX(Bank!$B:$B,$C1002),INDEX(GL!$B:$B,$C1002)))</f>
        <v/>
      </c>
      <c r="E1002" s="5" t="str">
        <f aca="false">IF(C1002=0,"",IF($A1002="Bank",IF(INDEX(Bank!$C:$C,$C1002)="","",INDEX(Bank!$C:$C,$C1002)),IF(INDEX(GL!$C:$C,$C1002)="","",INDEX(GL!$C:$C,$C1002))))</f>
        <v/>
      </c>
      <c r="F1002" s="5" t="str">
        <f aca="false">IF(C1002=0,"",IF($A1002="Bank",IF(INDEX(Bank!$D:$D,$C1002)="","",INDEX(Bank!$D:$D,$C1002)),IF(INDEX(GL!$D:$D,$C1002)="","",INDEX(GL!$D:$D,$C1002))))</f>
        <v/>
      </c>
      <c r="G1002" s="19" t="str">
        <f aca="false">IF(C1002=0,"",IF($A1002="Bank",INDEX(Bank!$E:$E,$C1002),INDEX(GL!$E:$E,$C1002)))</f>
        <v/>
      </c>
      <c r="H1002" s="5" t="str">
        <f aca="false">IF(C1002=0,"",IF(A1002="GL",IF(G1002&gt;0,"Deposit in transit","Outstanding check / payment"),IF(G1002&gt;0,"Bank credit not in GL","Bank debit not in GL")))</f>
        <v/>
      </c>
      <c r="I1002" s="42" t="str">
        <f aca="false">IF(OR(C1002=0,CFG_PeriodEnd=""),"",CFG_PeriodEnd-D1002)</f>
        <v/>
      </c>
      <c r="J1002" s="5" t="str">
        <f aca="false">IF(C1002=0,"",IF($A1002="Bank",IF(INDEX(Bank!$G:$G,$C1002)="","",INDEX(Bank!$G:$G,$C1002)),IF(INDEX(GL!$G:$G,$C1002)="","",INDEX(GL!$G:$G,$C1002))))</f>
        <v/>
      </c>
      <c r="K1002" s="5" t="str">
        <f aca="false">IF(C1002=0,"",IF($A1002="Bank",IF(INDEX(Bank!$I:$I,$C1002)="","",INDEX(Bank!$I:$I,$C1002)),IF(INDEX(GL!$I:$I,$C1002)="","",INDEX(GL!$I:$I,$C1002))))</f>
        <v/>
      </c>
      <c r="L1002" s="5" t="str">
        <f aca="false">IF(B1002="","",IF(C1002=0,"NOT FOUND",IF(IF($A1002="Bank",INDEX(Bank!$F:$F,$C1002),INDEX(GL!$F:$F,$C1002))="Y","NOW RECONCILED: refresh","OK")))</f>
        <v/>
      </c>
    </row>
    <row r="1003" customFormat="false" ht="15" hidden="false" customHeight="false" outlineLevel="0" collapsed="false">
      <c r="A1003" s="41"/>
      <c r="B1003" s="41"/>
      <c r="C1003" s="5" t="n">
        <f aca="false">IF(B1003="",0,IF(A1003="Bank",IFERROR(MATCH(B1003,Bank!$A:$A,0),0),IFERROR(MATCH(B1003,GL!$A:$A,0),0)))</f>
        <v>0</v>
      </c>
      <c r="D1003" s="32" t="str">
        <f aca="false">IF(C1003=0,"",IF($A1003="Bank",INDEX(Bank!$B:$B,$C1003),INDEX(GL!$B:$B,$C1003)))</f>
        <v/>
      </c>
      <c r="E1003" s="5" t="str">
        <f aca="false">IF(C1003=0,"",IF($A1003="Bank",IF(INDEX(Bank!$C:$C,$C1003)="","",INDEX(Bank!$C:$C,$C1003)),IF(INDEX(GL!$C:$C,$C1003)="","",INDEX(GL!$C:$C,$C1003))))</f>
        <v/>
      </c>
      <c r="F1003" s="5" t="str">
        <f aca="false">IF(C1003=0,"",IF($A1003="Bank",IF(INDEX(Bank!$D:$D,$C1003)="","",INDEX(Bank!$D:$D,$C1003)),IF(INDEX(GL!$D:$D,$C1003)="","",INDEX(GL!$D:$D,$C1003))))</f>
        <v/>
      </c>
      <c r="G1003" s="19" t="str">
        <f aca="false">IF(C1003=0,"",IF($A1003="Bank",INDEX(Bank!$E:$E,$C1003),INDEX(GL!$E:$E,$C1003)))</f>
        <v/>
      </c>
      <c r="H1003" s="5" t="str">
        <f aca="false">IF(C1003=0,"",IF(A1003="GL",IF(G1003&gt;0,"Deposit in transit","Outstanding check / payment"),IF(G1003&gt;0,"Bank credit not in GL","Bank debit not in GL")))</f>
        <v/>
      </c>
      <c r="I1003" s="42" t="str">
        <f aca="false">IF(OR(C1003=0,CFG_PeriodEnd=""),"",CFG_PeriodEnd-D1003)</f>
        <v/>
      </c>
      <c r="J1003" s="5" t="str">
        <f aca="false">IF(C1003=0,"",IF($A1003="Bank",IF(INDEX(Bank!$G:$G,$C1003)="","",INDEX(Bank!$G:$G,$C1003)),IF(INDEX(GL!$G:$G,$C1003)="","",INDEX(GL!$G:$G,$C1003))))</f>
        <v/>
      </c>
      <c r="K1003" s="5" t="str">
        <f aca="false">IF(C1003=0,"",IF($A1003="Bank",IF(INDEX(Bank!$I:$I,$C1003)="","",INDEX(Bank!$I:$I,$C1003)),IF(INDEX(GL!$I:$I,$C1003)="","",INDEX(GL!$I:$I,$C1003))))</f>
        <v/>
      </c>
      <c r="L1003" s="5" t="str">
        <f aca="false">IF(B1003="","",IF(C1003=0,"NOT FOUND",IF(IF($A1003="Bank",INDEX(Bank!$F:$F,$C1003),INDEX(GL!$F:$F,$C1003))="Y","NOW RECONCILED: refresh","OK")))</f>
        <v/>
      </c>
    </row>
    <row r="1004" customFormat="false" ht="15" hidden="false" customHeight="false" outlineLevel="0" collapsed="false">
      <c r="A1004" s="41"/>
      <c r="B1004" s="41"/>
      <c r="C1004" s="5" t="n">
        <f aca="false">IF(B1004="",0,IF(A1004="Bank",IFERROR(MATCH(B1004,Bank!$A:$A,0),0),IFERROR(MATCH(B1004,GL!$A:$A,0),0)))</f>
        <v>0</v>
      </c>
      <c r="D1004" s="32" t="str">
        <f aca="false">IF(C1004=0,"",IF($A1004="Bank",INDEX(Bank!$B:$B,$C1004),INDEX(GL!$B:$B,$C1004)))</f>
        <v/>
      </c>
      <c r="E1004" s="5" t="str">
        <f aca="false">IF(C1004=0,"",IF($A1004="Bank",IF(INDEX(Bank!$C:$C,$C1004)="","",INDEX(Bank!$C:$C,$C1004)),IF(INDEX(GL!$C:$C,$C1004)="","",INDEX(GL!$C:$C,$C1004))))</f>
        <v/>
      </c>
      <c r="F1004" s="5" t="str">
        <f aca="false">IF(C1004=0,"",IF($A1004="Bank",IF(INDEX(Bank!$D:$D,$C1004)="","",INDEX(Bank!$D:$D,$C1004)),IF(INDEX(GL!$D:$D,$C1004)="","",INDEX(GL!$D:$D,$C1004))))</f>
        <v/>
      </c>
      <c r="G1004" s="19" t="str">
        <f aca="false">IF(C1004=0,"",IF($A1004="Bank",INDEX(Bank!$E:$E,$C1004),INDEX(GL!$E:$E,$C1004)))</f>
        <v/>
      </c>
      <c r="H1004" s="5" t="str">
        <f aca="false">IF(C1004=0,"",IF(A1004="GL",IF(G1004&gt;0,"Deposit in transit","Outstanding check / payment"),IF(G1004&gt;0,"Bank credit not in GL","Bank debit not in GL")))</f>
        <v/>
      </c>
      <c r="I1004" s="42" t="str">
        <f aca="false">IF(OR(C1004=0,CFG_PeriodEnd=""),"",CFG_PeriodEnd-D1004)</f>
        <v/>
      </c>
      <c r="J1004" s="5" t="str">
        <f aca="false">IF(C1004=0,"",IF($A1004="Bank",IF(INDEX(Bank!$G:$G,$C1004)="","",INDEX(Bank!$G:$G,$C1004)),IF(INDEX(GL!$G:$G,$C1004)="","",INDEX(GL!$G:$G,$C1004))))</f>
        <v/>
      </c>
      <c r="K1004" s="5" t="str">
        <f aca="false">IF(C1004=0,"",IF($A1004="Bank",IF(INDEX(Bank!$I:$I,$C1004)="","",INDEX(Bank!$I:$I,$C1004)),IF(INDEX(GL!$I:$I,$C1004)="","",INDEX(GL!$I:$I,$C1004))))</f>
        <v/>
      </c>
      <c r="L1004" s="5" t="str">
        <f aca="false">IF(B1004="","",IF(C1004=0,"NOT FOUND",IF(IF($A1004="Bank",INDEX(Bank!$F:$F,$C1004),INDEX(GL!$F:$F,$C1004))="Y","NOW RECONCILED: refresh","OK")))</f>
        <v/>
      </c>
    </row>
    <row r="1005" customFormat="false" ht="15" hidden="false" customHeight="false" outlineLevel="0" collapsed="false">
      <c r="A1005" s="41"/>
      <c r="B1005" s="41"/>
      <c r="C1005" s="5" t="n">
        <f aca="false">IF(B1005="",0,IF(A1005="Bank",IFERROR(MATCH(B1005,Bank!$A:$A,0),0),IFERROR(MATCH(B1005,GL!$A:$A,0),0)))</f>
        <v>0</v>
      </c>
      <c r="D1005" s="32" t="str">
        <f aca="false">IF(C1005=0,"",IF($A1005="Bank",INDEX(Bank!$B:$B,$C1005),INDEX(GL!$B:$B,$C1005)))</f>
        <v/>
      </c>
      <c r="E1005" s="5" t="str">
        <f aca="false">IF(C1005=0,"",IF($A1005="Bank",IF(INDEX(Bank!$C:$C,$C1005)="","",INDEX(Bank!$C:$C,$C1005)),IF(INDEX(GL!$C:$C,$C1005)="","",INDEX(GL!$C:$C,$C1005))))</f>
        <v/>
      </c>
      <c r="F1005" s="5" t="str">
        <f aca="false">IF(C1005=0,"",IF($A1005="Bank",IF(INDEX(Bank!$D:$D,$C1005)="","",INDEX(Bank!$D:$D,$C1005)),IF(INDEX(GL!$D:$D,$C1005)="","",INDEX(GL!$D:$D,$C1005))))</f>
        <v/>
      </c>
      <c r="G1005" s="19" t="str">
        <f aca="false">IF(C1005=0,"",IF($A1005="Bank",INDEX(Bank!$E:$E,$C1005),INDEX(GL!$E:$E,$C1005)))</f>
        <v/>
      </c>
      <c r="H1005" s="5" t="str">
        <f aca="false">IF(C1005=0,"",IF(A1005="GL",IF(G1005&gt;0,"Deposit in transit","Outstanding check / payment"),IF(G1005&gt;0,"Bank credit not in GL","Bank debit not in GL")))</f>
        <v/>
      </c>
      <c r="I1005" s="42" t="str">
        <f aca="false">IF(OR(C1005=0,CFG_PeriodEnd=""),"",CFG_PeriodEnd-D1005)</f>
        <v/>
      </c>
      <c r="J1005" s="5" t="str">
        <f aca="false">IF(C1005=0,"",IF($A1005="Bank",IF(INDEX(Bank!$G:$G,$C1005)="","",INDEX(Bank!$G:$G,$C1005)),IF(INDEX(GL!$G:$G,$C1005)="","",INDEX(GL!$G:$G,$C1005))))</f>
        <v/>
      </c>
      <c r="K1005" s="5" t="str">
        <f aca="false">IF(C1005=0,"",IF($A1005="Bank",IF(INDEX(Bank!$I:$I,$C1005)="","",INDEX(Bank!$I:$I,$C1005)),IF(INDEX(GL!$I:$I,$C1005)="","",INDEX(GL!$I:$I,$C1005))))</f>
        <v/>
      </c>
      <c r="L1005" s="5" t="str">
        <f aca="false">IF(B1005="","",IF(C1005=0,"NOT FOUND",IF(IF($A1005="Bank",INDEX(Bank!$F:$F,$C1005),INDEX(GL!$F:$F,$C1005))="Y","NOW RECONCILED: refresh","OK")))</f>
        <v/>
      </c>
    </row>
    <row r="1006" customFormat="false" ht="15" hidden="false" customHeight="false" outlineLevel="0" collapsed="false">
      <c r="A1006" s="41"/>
      <c r="B1006" s="41"/>
      <c r="C1006" s="5" t="n">
        <f aca="false">IF(B1006="",0,IF(A1006="Bank",IFERROR(MATCH(B1006,Bank!$A:$A,0),0),IFERROR(MATCH(B1006,GL!$A:$A,0),0)))</f>
        <v>0</v>
      </c>
      <c r="D1006" s="32" t="str">
        <f aca="false">IF(C1006=0,"",IF($A1006="Bank",INDEX(Bank!$B:$B,$C1006),INDEX(GL!$B:$B,$C1006)))</f>
        <v/>
      </c>
      <c r="E1006" s="5" t="str">
        <f aca="false">IF(C1006=0,"",IF($A1006="Bank",IF(INDEX(Bank!$C:$C,$C1006)="","",INDEX(Bank!$C:$C,$C1006)),IF(INDEX(GL!$C:$C,$C1006)="","",INDEX(GL!$C:$C,$C1006))))</f>
        <v/>
      </c>
      <c r="F1006" s="5" t="str">
        <f aca="false">IF(C1006=0,"",IF($A1006="Bank",IF(INDEX(Bank!$D:$D,$C1006)="","",INDEX(Bank!$D:$D,$C1006)),IF(INDEX(GL!$D:$D,$C1006)="","",INDEX(GL!$D:$D,$C1006))))</f>
        <v/>
      </c>
      <c r="G1006" s="19" t="str">
        <f aca="false">IF(C1006=0,"",IF($A1006="Bank",INDEX(Bank!$E:$E,$C1006),INDEX(GL!$E:$E,$C1006)))</f>
        <v/>
      </c>
      <c r="H1006" s="5" t="str">
        <f aca="false">IF(C1006=0,"",IF(A1006="GL",IF(G1006&gt;0,"Deposit in transit","Outstanding check / payment"),IF(G1006&gt;0,"Bank credit not in GL","Bank debit not in GL")))</f>
        <v/>
      </c>
      <c r="I1006" s="42" t="str">
        <f aca="false">IF(OR(C1006=0,CFG_PeriodEnd=""),"",CFG_PeriodEnd-D1006)</f>
        <v/>
      </c>
      <c r="J1006" s="5" t="str">
        <f aca="false">IF(C1006=0,"",IF($A1006="Bank",IF(INDEX(Bank!$G:$G,$C1006)="","",INDEX(Bank!$G:$G,$C1006)),IF(INDEX(GL!$G:$G,$C1006)="","",INDEX(GL!$G:$G,$C1006))))</f>
        <v/>
      </c>
      <c r="K1006" s="5" t="str">
        <f aca="false">IF(C1006=0,"",IF($A1006="Bank",IF(INDEX(Bank!$I:$I,$C1006)="","",INDEX(Bank!$I:$I,$C1006)),IF(INDEX(GL!$I:$I,$C1006)="","",INDEX(GL!$I:$I,$C1006))))</f>
        <v/>
      </c>
      <c r="L1006" s="5" t="str">
        <f aca="false">IF(B1006="","",IF(C1006=0,"NOT FOUND",IF(IF($A1006="Bank",INDEX(Bank!$F:$F,$C1006),INDEX(GL!$F:$F,$C1006))="Y","NOW RECONCILED: refresh","OK")))</f>
        <v/>
      </c>
    </row>
    <row r="1007" customFormat="false" ht="15" hidden="false" customHeight="false" outlineLevel="0" collapsed="false">
      <c r="A1007" s="41"/>
      <c r="B1007" s="41"/>
      <c r="C1007" s="5" t="n">
        <f aca="false">IF(B1007="",0,IF(A1007="Bank",IFERROR(MATCH(B1007,Bank!$A:$A,0),0),IFERROR(MATCH(B1007,GL!$A:$A,0),0)))</f>
        <v>0</v>
      </c>
      <c r="D1007" s="32" t="str">
        <f aca="false">IF(C1007=0,"",IF($A1007="Bank",INDEX(Bank!$B:$B,$C1007),INDEX(GL!$B:$B,$C1007)))</f>
        <v/>
      </c>
      <c r="E1007" s="5" t="str">
        <f aca="false">IF(C1007=0,"",IF($A1007="Bank",IF(INDEX(Bank!$C:$C,$C1007)="","",INDEX(Bank!$C:$C,$C1007)),IF(INDEX(GL!$C:$C,$C1007)="","",INDEX(GL!$C:$C,$C1007))))</f>
        <v/>
      </c>
      <c r="F1007" s="5" t="str">
        <f aca="false">IF(C1007=0,"",IF($A1007="Bank",IF(INDEX(Bank!$D:$D,$C1007)="","",INDEX(Bank!$D:$D,$C1007)),IF(INDEX(GL!$D:$D,$C1007)="","",INDEX(GL!$D:$D,$C1007))))</f>
        <v/>
      </c>
      <c r="G1007" s="19" t="str">
        <f aca="false">IF(C1007=0,"",IF($A1007="Bank",INDEX(Bank!$E:$E,$C1007),INDEX(GL!$E:$E,$C1007)))</f>
        <v/>
      </c>
      <c r="H1007" s="5" t="str">
        <f aca="false">IF(C1007=0,"",IF(A1007="GL",IF(G1007&gt;0,"Deposit in transit","Outstanding check / payment"),IF(G1007&gt;0,"Bank credit not in GL","Bank debit not in GL")))</f>
        <v/>
      </c>
      <c r="I1007" s="42" t="str">
        <f aca="false">IF(OR(C1007=0,CFG_PeriodEnd=""),"",CFG_PeriodEnd-D1007)</f>
        <v/>
      </c>
      <c r="J1007" s="5" t="str">
        <f aca="false">IF(C1007=0,"",IF($A1007="Bank",IF(INDEX(Bank!$G:$G,$C1007)="","",INDEX(Bank!$G:$G,$C1007)),IF(INDEX(GL!$G:$G,$C1007)="","",INDEX(GL!$G:$G,$C1007))))</f>
        <v/>
      </c>
      <c r="K1007" s="5" t="str">
        <f aca="false">IF(C1007=0,"",IF($A1007="Bank",IF(INDEX(Bank!$I:$I,$C1007)="","",INDEX(Bank!$I:$I,$C1007)),IF(INDEX(GL!$I:$I,$C1007)="","",INDEX(GL!$I:$I,$C1007))))</f>
        <v/>
      </c>
      <c r="L1007" s="5" t="str">
        <f aca="false">IF(B1007="","",IF(C1007=0,"NOT FOUND",IF(IF($A1007="Bank",INDEX(Bank!$F:$F,$C1007),INDEX(GL!$F:$F,$C1007))="Y","NOW RECONCILED: refresh","OK")))</f>
        <v/>
      </c>
    </row>
    <row r="1008" customFormat="false" ht="15" hidden="false" customHeight="false" outlineLevel="0" collapsed="false">
      <c r="A1008" s="41"/>
      <c r="B1008" s="41"/>
      <c r="C1008" s="5" t="n">
        <f aca="false">IF(B1008="",0,IF(A1008="Bank",IFERROR(MATCH(B1008,Bank!$A:$A,0),0),IFERROR(MATCH(B1008,GL!$A:$A,0),0)))</f>
        <v>0</v>
      </c>
      <c r="D1008" s="32" t="str">
        <f aca="false">IF(C1008=0,"",IF($A1008="Bank",INDEX(Bank!$B:$B,$C1008),INDEX(GL!$B:$B,$C1008)))</f>
        <v/>
      </c>
      <c r="E1008" s="5" t="str">
        <f aca="false">IF(C1008=0,"",IF($A1008="Bank",IF(INDEX(Bank!$C:$C,$C1008)="","",INDEX(Bank!$C:$C,$C1008)),IF(INDEX(GL!$C:$C,$C1008)="","",INDEX(GL!$C:$C,$C1008))))</f>
        <v/>
      </c>
      <c r="F1008" s="5" t="str">
        <f aca="false">IF(C1008=0,"",IF($A1008="Bank",IF(INDEX(Bank!$D:$D,$C1008)="","",INDEX(Bank!$D:$D,$C1008)),IF(INDEX(GL!$D:$D,$C1008)="","",INDEX(GL!$D:$D,$C1008))))</f>
        <v/>
      </c>
      <c r="G1008" s="19" t="str">
        <f aca="false">IF(C1008=0,"",IF($A1008="Bank",INDEX(Bank!$E:$E,$C1008),INDEX(GL!$E:$E,$C1008)))</f>
        <v/>
      </c>
      <c r="H1008" s="5" t="str">
        <f aca="false">IF(C1008=0,"",IF(A1008="GL",IF(G1008&gt;0,"Deposit in transit","Outstanding check / payment"),IF(G1008&gt;0,"Bank credit not in GL","Bank debit not in GL")))</f>
        <v/>
      </c>
      <c r="I1008" s="42" t="str">
        <f aca="false">IF(OR(C1008=0,CFG_PeriodEnd=""),"",CFG_PeriodEnd-D1008)</f>
        <v/>
      </c>
      <c r="J1008" s="5" t="str">
        <f aca="false">IF(C1008=0,"",IF($A1008="Bank",IF(INDEX(Bank!$G:$G,$C1008)="","",INDEX(Bank!$G:$G,$C1008)),IF(INDEX(GL!$G:$G,$C1008)="","",INDEX(GL!$G:$G,$C1008))))</f>
        <v/>
      </c>
      <c r="K1008" s="5" t="str">
        <f aca="false">IF(C1008=0,"",IF($A1008="Bank",IF(INDEX(Bank!$I:$I,$C1008)="","",INDEX(Bank!$I:$I,$C1008)),IF(INDEX(GL!$I:$I,$C1008)="","",INDEX(GL!$I:$I,$C1008))))</f>
        <v/>
      </c>
      <c r="L1008" s="5" t="str">
        <f aca="false">IF(B1008="","",IF(C1008=0,"NOT FOUND",IF(IF($A1008="Bank",INDEX(Bank!$F:$F,$C1008),INDEX(GL!$F:$F,$C1008))="Y","NOW RECONCILED: refresh","OK")))</f>
        <v/>
      </c>
    </row>
    <row r="1009" customFormat="false" ht="15" hidden="false" customHeight="false" outlineLevel="0" collapsed="false">
      <c r="A1009" s="41"/>
      <c r="B1009" s="41"/>
      <c r="C1009" s="5" t="n">
        <f aca="false">IF(B1009="",0,IF(A1009="Bank",IFERROR(MATCH(B1009,Bank!$A:$A,0),0),IFERROR(MATCH(B1009,GL!$A:$A,0),0)))</f>
        <v>0</v>
      </c>
      <c r="D1009" s="32" t="str">
        <f aca="false">IF(C1009=0,"",IF($A1009="Bank",INDEX(Bank!$B:$B,$C1009),INDEX(GL!$B:$B,$C1009)))</f>
        <v/>
      </c>
      <c r="E1009" s="5" t="str">
        <f aca="false">IF(C1009=0,"",IF($A1009="Bank",IF(INDEX(Bank!$C:$C,$C1009)="","",INDEX(Bank!$C:$C,$C1009)),IF(INDEX(GL!$C:$C,$C1009)="","",INDEX(GL!$C:$C,$C1009))))</f>
        <v/>
      </c>
      <c r="F1009" s="5" t="str">
        <f aca="false">IF(C1009=0,"",IF($A1009="Bank",IF(INDEX(Bank!$D:$D,$C1009)="","",INDEX(Bank!$D:$D,$C1009)),IF(INDEX(GL!$D:$D,$C1009)="","",INDEX(GL!$D:$D,$C1009))))</f>
        <v/>
      </c>
      <c r="G1009" s="19" t="str">
        <f aca="false">IF(C1009=0,"",IF($A1009="Bank",INDEX(Bank!$E:$E,$C1009),INDEX(GL!$E:$E,$C1009)))</f>
        <v/>
      </c>
      <c r="H1009" s="5" t="str">
        <f aca="false">IF(C1009=0,"",IF(A1009="GL",IF(G1009&gt;0,"Deposit in transit","Outstanding check / payment"),IF(G1009&gt;0,"Bank credit not in GL","Bank debit not in GL")))</f>
        <v/>
      </c>
      <c r="I1009" s="42" t="str">
        <f aca="false">IF(OR(C1009=0,CFG_PeriodEnd=""),"",CFG_PeriodEnd-D1009)</f>
        <v/>
      </c>
      <c r="J1009" s="5" t="str">
        <f aca="false">IF(C1009=0,"",IF($A1009="Bank",IF(INDEX(Bank!$G:$G,$C1009)="","",INDEX(Bank!$G:$G,$C1009)),IF(INDEX(GL!$G:$G,$C1009)="","",INDEX(GL!$G:$G,$C1009))))</f>
        <v/>
      </c>
      <c r="K1009" s="5" t="str">
        <f aca="false">IF(C1009=0,"",IF($A1009="Bank",IF(INDEX(Bank!$I:$I,$C1009)="","",INDEX(Bank!$I:$I,$C1009)),IF(INDEX(GL!$I:$I,$C1009)="","",INDEX(GL!$I:$I,$C1009))))</f>
        <v/>
      </c>
      <c r="L1009" s="5" t="str">
        <f aca="false">IF(B1009="","",IF(C1009=0,"NOT FOUND",IF(IF($A1009="Bank",INDEX(Bank!$F:$F,$C1009),INDEX(GL!$F:$F,$C1009))="Y","NOW RECONCILED: refresh","OK")))</f>
        <v/>
      </c>
    </row>
    <row r="1010" customFormat="false" ht="15" hidden="false" customHeight="false" outlineLevel="0" collapsed="false">
      <c r="A1010" s="41"/>
      <c r="B1010" s="41"/>
      <c r="C1010" s="5" t="n">
        <f aca="false">IF(B1010="",0,IF(A1010="Bank",IFERROR(MATCH(B1010,Bank!$A:$A,0),0),IFERROR(MATCH(B1010,GL!$A:$A,0),0)))</f>
        <v>0</v>
      </c>
      <c r="D1010" s="32" t="str">
        <f aca="false">IF(C1010=0,"",IF($A1010="Bank",INDEX(Bank!$B:$B,$C1010),INDEX(GL!$B:$B,$C1010)))</f>
        <v/>
      </c>
      <c r="E1010" s="5" t="str">
        <f aca="false">IF(C1010=0,"",IF($A1010="Bank",IF(INDEX(Bank!$C:$C,$C1010)="","",INDEX(Bank!$C:$C,$C1010)),IF(INDEX(GL!$C:$C,$C1010)="","",INDEX(GL!$C:$C,$C1010))))</f>
        <v/>
      </c>
      <c r="F1010" s="5" t="str">
        <f aca="false">IF(C1010=0,"",IF($A1010="Bank",IF(INDEX(Bank!$D:$D,$C1010)="","",INDEX(Bank!$D:$D,$C1010)),IF(INDEX(GL!$D:$D,$C1010)="","",INDEX(GL!$D:$D,$C1010))))</f>
        <v/>
      </c>
      <c r="G1010" s="19" t="str">
        <f aca="false">IF(C1010=0,"",IF($A1010="Bank",INDEX(Bank!$E:$E,$C1010),INDEX(GL!$E:$E,$C1010)))</f>
        <v/>
      </c>
      <c r="H1010" s="5" t="str">
        <f aca="false">IF(C1010=0,"",IF(A1010="GL",IF(G1010&gt;0,"Deposit in transit","Outstanding check / payment"),IF(G1010&gt;0,"Bank credit not in GL","Bank debit not in GL")))</f>
        <v/>
      </c>
      <c r="I1010" s="42" t="str">
        <f aca="false">IF(OR(C1010=0,CFG_PeriodEnd=""),"",CFG_PeriodEnd-D1010)</f>
        <v/>
      </c>
      <c r="J1010" s="5" t="str">
        <f aca="false">IF(C1010=0,"",IF($A1010="Bank",IF(INDEX(Bank!$G:$G,$C1010)="","",INDEX(Bank!$G:$G,$C1010)),IF(INDEX(GL!$G:$G,$C1010)="","",INDEX(GL!$G:$G,$C1010))))</f>
        <v/>
      </c>
      <c r="K1010" s="5" t="str">
        <f aca="false">IF(C1010=0,"",IF($A1010="Bank",IF(INDEX(Bank!$I:$I,$C1010)="","",INDEX(Bank!$I:$I,$C1010)),IF(INDEX(GL!$I:$I,$C1010)="","",INDEX(GL!$I:$I,$C1010))))</f>
        <v/>
      </c>
      <c r="L1010" s="5" t="str">
        <f aca="false">IF(B1010="","",IF(C1010=0,"NOT FOUND",IF(IF($A1010="Bank",INDEX(Bank!$F:$F,$C1010),INDEX(GL!$F:$F,$C1010))="Y","NOW RECONCILED: refresh","OK")))</f>
        <v/>
      </c>
    </row>
    <row r="1011" customFormat="false" ht="15" hidden="false" customHeight="false" outlineLevel="0" collapsed="false">
      <c r="A1011" s="41"/>
      <c r="B1011" s="41"/>
      <c r="C1011" s="5" t="n">
        <f aca="false">IF(B1011="",0,IF(A1011="Bank",IFERROR(MATCH(B1011,Bank!$A:$A,0),0),IFERROR(MATCH(B1011,GL!$A:$A,0),0)))</f>
        <v>0</v>
      </c>
      <c r="D1011" s="32" t="str">
        <f aca="false">IF(C1011=0,"",IF($A1011="Bank",INDEX(Bank!$B:$B,$C1011),INDEX(GL!$B:$B,$C1011)))</f>
        <v/>
      </c>
      <c r="E1011" s="5" t="str">
        <f aca="false">IF(C1011=0,"",IF($A1011="Bank",IF(INDEX(Bank!$C:$C,$C1011)="","",INDEX(Bank!$C:$C,$C1011)),IF(INDEX(GL!$C:$C,$C1011)="","",INDEX(GL!$C:$C,$C1011))))</f>
        <v/>
      </c>
      <c r="F1011" s="5" t="str">
        <f aca="false">IF(C1011=0,"",IF($A1011="Bank",IF(INDEX(Bank!$D:$D,$C1011)="","",INDEX(Bank!$D:$D,$C1011)),IF(INDEX(GL!$D:$D,$C1011)="","",INDEX(GL!$D:$D,$C1011))))</f>
        <v/>
      </c>
      <c r="G1011" s="19" t="str">
        <f aca="false">IF(C1011=0,"",IF($A1011="Bank",INDEX(Bank!$E:$E,$C1011),INDEX(GL!$E:$E,$C1011)))</f>
        <v/>
      </c>
      <c r="H1011" s="5" t="str">
        <f aca="false">IF(C1011=0,"",IF(A1011="GL",IF(G1011&gt;0,"Deposit in transit","Outstanding check / payment"),IF(G1011&gt;0,"Bank credit not in GL","Bank debit not in GL")))</f>
        <v/>
      </c>
      <c r="I1011" s="42" t="str">
        <f aca="false">IF(OR(C1011=0,CFG_PeriodEnd=""),"",CFG_PeriodEnd-D1011)</f>
        <v/>
      </c>
      <c r="J1011" s="5" t="str">
        <f aca="false">IF(C1011=0,"",IF($A1011="Bank",IF(INDEX(Bank!$G:$G,$C1011)="","",INDEX(Bank!$G:$G,$C1011)),IF(INDEX(GL!$G:$G,$C1011)="","",INDEX(GL!$G:$G,$C1011))))</f>
        <v/>
      </c>
      <c r="K1011" s="5" t="str">
        <f aca="false">IF(C1011=0,"",IF($A1011="Bank",IF(INDEX(Bank!$I:$I,$C1011)="","",INDEX(Bank!$I:$I,$C1011)),IF(INDEX(GL!$I:$I,$C1011)="","",INDEX(GL!$I:$I,$C1011))))</f>
        <v/>
      </c>
      <c r="L1011" s="5" t="str">
        <f aca="false">IF(B1011="","",IF(C1011=0,"NOT FOUND",IF(IF($A1011="Bank",INDEX(Bank!$F:$F,$C1011),INDEX(GL!$F:$F,$C1011))="Y","NOW RECONCILED: refresh","OK")))</f>
        <v/>
      </c>
    </row>
    <row r="1012" customFormat="false" ht="15" hidden="false" customHeight="false" outlineLevel="0" collapsed="false">
      <c r="A1012" s="41"/>
      <c r="B1012" s="41"/>
      <c r="C1012" s="5" t="n">
        <f aca="false">IF(B1012="",0,IF(A1012="Bank",IFERROR(MATCH(B1012,Bank!$A:$A,0),0),IFERROR(MATCH(B1012,GL!$A:$A,0),0)))</f>
        <v>0</v>
      </c>
      <c r="D1012" s="32" t="str">
        <f aca="false">IF(C1012=0,"",IF($A1012="Bank",INDEX(Bank!$B:$B,$C1012),INDEX(GL!$B:$B,$C1012)))</f>
        <v/>
      </c>
      <c r="E1012" s="5" t="str">
        <f aca="false">IF(C1012=0,"",IF($A1012="Bank",IF(INDEX(Bank!$C:$C,$C1012)="","",INDEX(Bank!$C:$C,$C1012)),IF(INDEX(GL!$C:$C,$C1012)="","",INDEX(GL!$C:$C,$C1012))))</f>
        <v/>
      </c>
      <c r="F1012" s="5" t="str">
        <f aca="false">IF(C1012=0,"",IF($A1012="Bank",IF(INDEX(Bank!$D:$D,$C1012)="","",INDEX(Bank!$D:$D,$C1012)),IF(INDEX(GL!$D:$D,$C1012)="","",INDEX(GL!$D:$D,$C1012))))</f>
        <v/>
      </c>
      <c r="G1012" s="19" t="str">
        <f aca="false">IF(C1012=0,"",IF($A1012="Bank",INDEX(Bank!$E:$E,$C1012),INDEX(GL!$E:$E,$C1012)))</f>
        <v/>
      </c>
      <c r="H1012" s="5" t="str">
        <f aca="false">IF(C1012=0,"",IF(A1012="GL",IF(G1012&gt;0,"Deposit in transit","Outstanding check / payment"),IF(G1012&gt;0,"Bank credit not in GL","Bank debit not in GL")))</f>
        <v/>
      </c>
      <c r="I1012" s="42" t="str">
        <f aca="false">IF(OR(C1012=0,CFG_PeriodEnd=""),"",CFG_PeriodEnd-D1012)</f>
        <v/>
      </c>
      <c r="J1012" s="5" t="str">
        <f aca="false">IF(C1012=0,"",IF($A1012="Bank",IF(INDEX(Bank!$G:$G,$C1012)="","",INDEX(Bank!$G:$G,$C1012)),IF(INDEX(GL!$G:$G,$C1012)="","",INDEX(GL!$G:$G,$C1012))))</f>
        <v/>
      </c>
      <c r="K1012" s="5" t="str">
        <f aca="false">IF(C1012=0,"",IF($A1012="Bank",IF(INDEX(Bank!$I:$I,$C1012)="","",INDEX(Bank!$I:$I,$C1012)),IF(INDEX(GL!$I:$I,$C1012)="","",INDEX(GL!$I:$I,$C1012))))</f>
        <v/>
      </c>
      <c r="L1012" s="5" t="str">
        <f aca="false">IF(B1012="","",IF(C1012=0,"NOT FOUND",IF(IF($A1012="Bank",INDEX(Bank!$F:$F,$C1012),INDEX(GL!$F:$F,$C1012))="Y","NOW RECONCILED: refresh","OK")))</f>
        <v/>
      </c>
    </row>
    <row r="1013" customFormat="false" ht="15" hidden="false" customHeight="false" outlineLevel="0" collapsed="false">
      <c r="A1013" s="41"/>
      <c r="B1013" s="41"/>
      <c r="C1013" s="5" t="n">
        <f aca="false">IF(B1013="",0,IF(A1013="Bank",IFERROR(MATCH(B1013,Bank!$A:$A,0),0),IFERROR(MATCH(B1013,GL!$A:$A,0),0)))</f>
        <v>0</v>
      </c>
      <c r="D1013" s="32" t="str">
        <f aca="false">IF(C1013=0,"",IF($A1013="Bank",INDEX(Bank!$B:$B,$C1013),INDEX(GL!$B:$B,$C1013)))</f>
        <v/>
      </c>
      <c r="E1013" s="5" t="str">
        <f aca="false">IF(C1013=0,"",IF($A1013="Bank",IF(INDEX(Bank!$C:$C,$C1013)="","",INDEX(Bank!$C:$C,$C1013)),IF(INDEX(GL!$C:$C,$C1013)="","",INDEX(GL!$C:$C,$C1013))))</f>
        <v/>
      </c>
      <c r="F1013" s="5" t="str">
        <f aca="false">IF(C1013=0,"",IF($A1013="Bank",IF(INDEX(Bank!$D:$D,$C1013)="","",INDEX(Bank!$D:$D,$C1013)),IF(INDEX(GL!$D:$D,$C1013)="","",INDEX(GL!$D:$D,$C1013))))</f>
        <v/>
      </c>
      <c r="G1013" s="19" t="str">
        <f aca="false">IF(C1013=0,"",IF($A1013="Bank",INDEX(Bank!$E:$E,$C1013),INDEX(GL!$E:$E,$C1013)))</f>
        <v/>
      </c>
      <c r="H1013" s="5" t="str">
        <f aca="false">IF(C1013=0,"",IF(A1013="GL",IF(G1013&gt;0,"Deposit in transit","Outstanding check / payment"),IF(G1013&gt;0,"Bank credit not in GL","Bank debit not in GL")))</f>
        <v/>
      </c>
      <c r="I1013" s="42" t="str">
        <f aca="false">IF(OR(C1013=0,CFG_PeriodEnd=""),"",CFG_PeriodEnd-D1013)</f>
        <v/>
      </c>
      <c r="J1013" s="5" t="str">
        <f aca="false">IF(C1013=0,"",IF($A1013="Bank",IF(INDEX(Bank!$G:$G,$C1013)="","",INDEX(Bank!$G:$G,$C1013)),IF(INDEX(GL!$G:$G,$C1013)="","",INDEX(GL!$G:$G,$C1013))))</f>
        <v/>
      </c>
      <c r="K1013" s="5" t="str">
        <f aca="false">IF(C1013=0,"",IF($A1013="Bank",IF(INDEX(Bank!$I:$I,$C1013)="","",INDEX(Bank!$I:$I,$C1013)),IF(INDEX(GL!$I:$I,$C1013)="","",INDEX(GL!$I:$I,$C1013))))</f>
        <v/>
      </c>
      <c r="L1013" s="5" t="str">
        <f aca="false">IF(B1013="","",IF(C1013=0,"NOT FOUND",IF(IF($A1013="Bank",INDEX(Bank!$F:$F,$C1013),INDEX(GL!$F:$F,$C1013))="Y","NOW RECONCILED: refresh","OK")))</f>
        <v/>
      </c>
    </row>
    <row r="1014" customFormat="false" ht="15" hidden="false" customHeight="false" outlineLevel="0" collapsed="false">
      <c r="A1014" s="41"/>
      <c r="B1014" s="41"/>
      <c r="C1014" s="5" t="n">
        <f aca="false">IF(B1014="",0,IF(A1014="Bank",IFERROR(MATCH(B1014,Bank!$A:$A,0),0),IFERROR(MATCH(B1014,GL!$A:$A,0),0)))</f>
        <v>0</v>
      </c>
      <c r="D1014" s="32" t="str">
        <f aca="false">IF(C1014=0,"",IF($A1014="Bank",INDEX(Bank!$B:$B,$C1014),INDEX(GL!$B:$B,$C1014)))</f>
        <v/>
      </c>
      <c r="E1014" s="5" t="str">
        <f aca="false">IF(C1014=0,"",IF($A1014="Bank",IF(INDEX(Bank!$C:$C,$C1014)="","",INDEX(Bank!$C:$C,$C1014)),IF(INDEX(GL!$C:$C,$C1014)="","",INDEX(GL!$C:$C,$C1014))))</f>
        <v/>
      </c>
      <c r="F1014" s="5" t="str">
        <f aca="false">IF(C1014=0,"",IF($A1014="Bank",IF(INDEX(Bank!$D:$D,$C1014)="","",INDEX(Bank!$D:$D,$C1014)),IF(INDEX(GL!$D:$D,$C1014)="","",INDEX(GL!$D:$D,$C1014))))</f>
        <v/>
      </c>
      <c r="G1014" s="19" t="str">
        <f aca="false">IF(C1014=0,"",IF($A1014="Bank",INDEX(Bank!$E:$E,$C1014),INDEX(GL!$E:$E,$C1014)))</f>
        <v/>
      </c>
      <c r="H1014" s="5" t="str">
        <f aca="false">IF(C1014=0,"",IF(A1014="GL",IF(G1014&gt;0,"Deposit in transit","Outstanding check / payment"),IF(G1014&gt;0,"Bank credit not in GL","Bank debit not in GL")))</f>
        <v/>
      </c>
      <c r="I1014" s="42" t="str">
        <f aca="false">IF(OR(C1014=0,CFG_PeriodEnd=""),"",CFG_PeriodEnd-D1014)</f>
        <v/>
      </c>
      <c r="J1014" s="5" t="str">
        <f aca="false">IF(C1014=0,"",IF($A1014="Bank",IF(INDEX(Bank!$G:$G,$C1014)="","",INDEX(Bank!$G:$G,$C1014)),IF(INDEX(GL!$G:$G,$C1014)="","",INDEX(GL!$G:$G,$C1014))))</f>
        <v/>
      </c>
      <c r="K1014" s="5" t="str">
        <f aca="false">IF(C1014=0,"",IF($A1014="Bank",IF(INDEX(Bank!$I:$I,$C1014)="","",INDEX(Bank!$I:$I,$C1014)),IF(INDEX(GL!$I:$I,$C1014)="","",INDEX(GL!$I:$I,$C1014))))</f>
        <v/>
      </c>
      <c r="L1014" s="5" t="str">
        <f aca="false">IF(B1014="","",IF(C1014=0,"NOT FOUND",IF(IF($A1014="Bank",INDEX(Bank!$F:$F,$C1014),INDEX(GL!$F:$F,$C1014))="Y","NOW RECONCILED: refresh","OK")))</f>
        <v/>
      </c>
    </row>
    <row r="1015" customFormat="false" ht="15" hidden="false" customHeight="false" outlineLevel="0" collapsed="false">
      <c r="A1015" s="41"/>
      <c r="B1015" s="41"/>
      <c r="C1015" s="5" t="n">
        <f aca="false">IF(B1015="",0,IF(A1015="Bank",IFERROR(MATCH(B1015,Bank!$A:$A,0),0),IFERROR(MATCH(B1015,GL!$A:$A,0),0)))</f>
        <v>0</v>
      </c>
      <c r="D1015" s="32" t="str">
        <f aca="false">IF(C1015=0,"",IF($A1015="Bank",INDEX(Bank!$B:$B,$C1015),INDEX(GL!$B:$B,$C1015)))</f>
        <v/>
      </c>
      <c r="E1015" s="5" t="str">
        <f aca="false">IF(C1015=0,"",IF($A1015="Bank",IF(INDEX(Bank!$C:$C,$C1015)="","",INDEX(Bank!$C:$C,$C1015)),IF(INDEX(GL!$C:$C,$C1015)="","",INDEX(GL!$C:$C,$C1015))))</f>
        <v/>
      </c>
      <c r="F1015" s="5" t="str">
        <f aca="false">IF(C1015=0,"",IF($A1015="Bank",IF(INDEX(Bank!$D:$D,$C1015)="","",INDEX(Bank!$D:$D,$C1015)),IF(INDEX(GL!$D:$D,$C1015)="","",INDEX(GL!$D:$D,$C1015))))</f>
        <v/>
      </c>
      <c r="G1015" s="19" t="str">
        <f aca="false">IF(C1015=0,"",IF($A1015="Bank",INDEX(Bank!$E:$E,$C1015),INDEX(GL!$E:$E,$C1015)))</f>
        <v/>
      </c>
      <c r="H1015" s="5" t="str">
        <f aca="false">IF(C1015=0,"",IF(A1015="GL",IF(G1015&gt;0,"Deposit in transit","Outstanding check / payment"),IF(G1015&gt;0,"Bank credit not in GL","Bank debit not in GL")))</f>
        <v/>
      </c>
      <c r="I1015" s="42" t="str">
        <f aca="false">IF(OR(C1015=0,CFG_PeriodEnd=""),"",CFG_PeriodEnd-D1015)</f>
        <v/>
      </c>
      <c r="J1015" s="5" t="str">
        <f aca="false">IF(C1015=0,"",IF($A1015="Bank",IF(INDEX(Bank!$G:$G,$C1015)="","",INDEX(Bank!$G:$G,$C1015)),IF(INDEX(GL!$G:$G,$C1015)="","",INDEX(GL!$G:$G,$C1015))))</f>
        <v/>
      </c>
      <c r="K1015" s="5" t="str">
        <f aca="false">IF(C1015=0,"",IF($A1015="Bank",IF(INDEX(Bank!$I:$I,$C1015)="","",INDEX(Bank!$I:$I,$C1015)),IF(INDEX(GL!$I:$I,$C1015)="","",INDEX(GL!$I:$I,$C1015))))</f>
        <v/>
      </c>
      <c r="L1015" s="5" t="str">
        <f aca="false">IF(B1015="","",IF(C1015=0,"NOT FOUND",IF(IF($A1015="Bank",INDEX(Bank!$F:$F,$C1015),INDEX(GL!$F:$F,$C1015))="Y","NOW RECONCILED: refresh","OK")))</f>
        <v/>
      </c>
    </row>
    <row r="1016" customFormat="false" ht="15" hidden="false" customHeight="false" outlineLevel="0" collapsed="false">
      <c r="A1016" s="41"/>
      <c r="B1016" s="41"/>
      <c r="C1016" s="5" t="n">
        <f aca="false">IF(B1016="",0,IF(A1016="Bank",IFERROR(MATCH(B1016,Bank!$A:$A,0),0),IFERROR(MATCH(B1016,GL!$A:$A,0),0)))</f>
        <v>0</v>
      </c>
      <c r="D1016" s="32" t="str">
        <f aca="false">IF(C1016=0,"",IF($A1016="Bank",INDEX(Bank!$B:$B,$C1016),INDEX(GL!$B:$B,$C1016)))</f>
        <v/>
      </c>
      <c r="E1016" s="5" t="str">
        <f aca="false">IF(C1016=0,"",IF($A1016="Bank",IF(INDEX(Bank!$C:$C,$C1016)="","",INDEX(Bank!$C:$C,$C1016)),IF(INDEX(GL!$C:$C,$C1016)="","",INDEX(GL!$C:$C,$C1016))))</f>
        <v/>
      </c>
      <c r="F1016" s="5" t="str">
        <f aca="false">IF(C1016=0,"",IF($A1016="Bank",IF(INDEX(Bank!$D:$D,$C1016)="","",INDEX(Bank!$D:$D,$C1016)),IF(INDEX(GL!$D:$D,$C1016)="","",INDEX(GL!$D:$D,$C1016))))</f>
        <v/>
      </c>
      <c r="G1016" s="19" t="str">
        <f aca="false">IF(C1016=0,"",IF($A1016="Bank",INDEX(Bank!$E:$E,$C1016),INDEX(GL!$E:$E,$C1016)))</f>
        <v/>
      </c>
      <c r="H1016" s="5" t="str">
        <f aca="false">IF(C1016=0,"",IF(A1016="GL",IF(G1016&gt;0,"Deposit in transit","Outstanding check / payment"),IF(G1016&gt;0,"Bank credit not in GL","Bank debit not in GL")))</f>
        <v/>
      </c>
      <c r="I1016" s="42" t="str">
        <f aca="false">IF(OR(C1016=0,CFG_PeriodEnd=""),"",CFG_PeriodEnd-D1016)</f>
        <v/>
      </c>
      <c r="J1016" s="5" t="str">
        <f aca="false">IF(C1016=0,"",IF($A1016="Bank",IF(INDEX(Bank!$G:$G,$C1016)="","",INDEX(Bank!$G:$G,$C1016)),IF(INDEX(GL!$G:$G,$C1016)="","",INDEX(GL!$G:$G,$C1016))))</f>
        <v/>
      </c>
      <c r="K1016" s="5" t="str">
        <f aca="false">IF(C1016=0,"",IF($A1016="Bank",IF(INDEX(Bank!$I:$I,$C1016)="","",INDEX(Bank!$I:$I,$C1016)),IF(INDEX(GL!$I:$I,$C1016)="","",INDEX(GL!$I:$I,$C1016))))</f>
        <v/>
      </c>
      <c r="L1016" s="5" t="str">
        <f aca="false">IF(B1016="","",IF(C1016=0,"NOT FOUND",IF(IF($A1016="Bank",INDEX(Bank!$F:$F,$C1016),INDEX(GL!$F:$F,$C1016))="Y","NOW RECONCILED: refresh","OK")))</f>
        <v/>
      </c>
    </row>
    <row r="1017" customFormat="false" ht="15" hidden="false" customHeight="false" outlineLevel="0" collapsed="false">
      <c r="A1017" s="41"/>
      <c r="B1017" s="41"/>
      <c r="C1017" s="5" t="n">
        <f aca="false">IF(B1017="",0,IF(A1017="Bank",IFERROR(MATCH(B1017,Bank!$A:$A,0),0),IFERROR(MATCH(B1017,GL!$A:$A,0),0)))</f>
        <v>0</v>
      </c>
      <c r="D1017" s="32" t="str">
        <f aca="false">IF(C1017=0,"",IF($A1017="Bank",INDEX(Bank!$B:$B,$C1017),INDEX(GL!$B:$B,$C1017)))</f>
        <v/>
      </c>
      <c r="E1017" s="5" t="str">
        <f aca="false">IF(C1017=0,"",IF($A1017="Bank",IF(INDEX(Bank!$C:$C,$C1017)="","",INDEX(Bank!$C:$C,$C1017)),IF(INDEX(GL!$C:$C,$C1017)="","",INDEX(GL!$C:$C,$C1017))))</f>
        <v/>
      </c>
      <c r="F1017" s="5" t="str">
        <f aca="false">IF(C1017=0,"",IF($A1017="Bank",IF(INDEX(Bank!$D:$D,$C1017)="","",INDEX(Bank!$D:$D,$C1017)),IF(INDEX(GL!$D:$D,$C1017)="","",INDEX(GL!$D:$D,$C1017))))</f>
        <v/>
      </c>
      <c r="G1017" s="19" t="str">
        <f aca="false">IF(C1017=0,"",IF($A1017="Bank",INDEX(Bank!$E:$E,$C1017),INDEX(GL!$E:$E,$C1017)))</f>
        <v/>
      </c>
      <c r="H1017" s="5" t="str">
        <f aca="false">IF(C1017=0,"",IF(A1017="GL",IF(G1017&gt;0,"Deposit in transit","Outstanding check / payment"),IF(G1017&gt;0,"Bank credit not in GL","Bank debit not in GL")))</f>
        <v/>
      </c>
      <c r="I1017" s="42" t="str">
        <f aca="false">IF(OR(C1017=0,CFG_PeriodEnd=""),"",CFG_PeriodEnd-D1017)</f>
        <v/>
      </c>
      <c r="J1017" s="5" t="str">
        <f aca="false">IF(C1017=0,"",IF($A1017="Bank",IF(INDEX(Bank!$G:$G,$C1017)="","",INDEX(Bank!$G:$G,$C1017)),IF(INDEX(GL!$G:$G,$C1017)="","",INDEX(GL!$G:$G,$C1017))))</f>
        <v/>
      </c>
      <c r="K1017" s="5" t="str">
        <f aca="false">IF(C1017=0,"",IF($A1017="Bank",IF(INDEX(Bank!$I:$I,$C1017)="","",INDEX(Bank!$I:$I,$C1017)),IF(INDEX(GL!$I:$I,$C1017)="","",INDEX(GL!$I:$I,$C1017))))</f>
        <v/>
      </c>
      <c r="L1017" s="5" t="str">
        <f aca="false">IF(B1017="","",IF(C1017=0,"NOT FOUND",IF(IF($A1017="Bank",INDEX(Bank!$F:$F,$C1017),INDEX(GL!$F:$F,$C1017))="Y","NOW RECONCILED: refresh","OK")))</f>
        <v/>
      </c>
    </row>
    <row r="1018" customFormat="false" ht="15" hidden="false" customHeight="false" outlineLevel="0" collapsed="false">
      <c r="A1018" s="41"/>
      <c r="B1018" s="41"/>
      <c r="C1018" s="5" t="n">
        <f aca="false">IF(B1018="",0,IF(A1018="Bank",IFERROR(MATCH(B1018,Bank!$A:$A,0),0),IFERROR(MATCH(B1018,GL!$A:$A,0),0)))</f>
        <v>0</v>
      </c>
      <c r="D1018" s="32" t="str">
        <f aca="false">IF(C1018=0,"",IF($A1018="Bank",INDEX(Bank!$B:$B,$C1018),INDEX(GL!$B:$B,$C1018)))</f>
        <v/>
      </c>
      <c r="E1018" s="5" t="str">
        <f aca="false">IF(C1018=0,"",IF($A1018="Bank",IF(INDEX(Bank!$C:$C,$C1018)="","",INDEX(Bank!$C:$C,$C1018)),IF(INDEX(GL!$C:$C,$C1018)="","",INDEX(GL!$C:$C,$C1018))))</f>
        <v/>
      </c>
      <c r="F1018" s="5" t="str">
        <f aca="false">IF(C1018=0,"",IF($A1018="Bank",IF(INDEX(Bank!$D:$D,$C1018)="","",INDEX(Bank!$D:$D,$C1018)),IF(INDEX(GL!$D:$D,$C1018)="","",INDEX(GL!$D:$D,$C1018))))</f>
        <v/>
      </c>
      <c r="G1018" s="19" t="str">
        <f aca="false">IF(C1018=0,"",IF($A1018="Bank",INDEX(Bank!$E:$E,$C1018),INDEX(GL!$E:$E,$C1018)))</f>
        <v/>
      </c>
      <c r="H1018" s="5" t="str">
        <f aca="false">IF(C1018=0,"",IF(A1018="GL",IF(G1018&gt;0,"Deposit in transit","Outstanding check / payment"),IF(G1018&gt;0,"Bank credit not in GL","Bank debit not in GL")))</f>
        <v/>
      </c>
      <c r="I1018" s="42" t="str">
        <f aca="false">IF(OR(C1018=0,CFG_PeriodEnd=""),"",CFG_PeriodEnd-D1018)</f>
        <v/>
      </c>
      <c r="J1018" s="5" t="str">
        <f aca="false">IF(C1018=0,"",IF($A1018="Bank",IF(INDEX(Bank!$G:$G,$C1018)="","",INDEX(Bank!$G:$G,$C1018)),IF(INDEX(GL!$G:$G,$C1018)="","",INDEX(GL!$G:$G,$C1018))))</f>
        <v/>
      </c>
      <c r="K1018" s="5" t="str">
        <f aca="false">IF(C1018=0,"",IF($A1018="Bank",IF(INDEX(Bank!$I:$I,$C1018)="","",INDEX(Bank!$I:$I,$C1018)),IF(INDEX(GL!$I:$I,$C1018)="","",INDEX(GL!$I:$I,$C1018))))</f>
        <v/>
      </c>
      <c r="L1018" s="5" t="str">
        <f aca="false">IF(B1018="","",IF(C1018=0,"NOT FOUND",IF(IF($A1018="Bank",INDEX(Bank!$F:$F,$C1018),INDEX(GL!$F:$F,$C1018))="Y","NOW RECONCILED: refresh","OK")))</f>
        <v/>
      </c>
    </row>
    <row r="1019" customFormat="false" ht="15" hidden="false" customHeight="false" outlineLevel="0" collapsed="false">
      <c r="A1019" s="41"/>
      <c r="B1019" s="41"/>
      <c r="C1019" s="5" t="n">
        <f aca="false">IF(B1019="",0,IF(A1019="Bank",IFERROR(MATCH(B1019,Bank!$A:$A,0),0),IFERROR(MATCH(B1019,GL!$A:$A,0),0)))</f>
        <v>0</v>
      </c>
      <c r="D1019" s="32" t="str">
        <f aca="false">IF(C1019=0,"",IF($A1019="Bank",INDEX(Bank!$B:$B,$C1019),INDEX(GL!$B:$B,$C1019)))</f>
        <v/>
      </c>
      <c r="E1019" s="5" t="str">
        <f aca="false">IF(C1019=0,"",IF($A1019="Bank",IF(INDEX(Bank!$C:$C,$C1019)="","",INDEX(Bank!$C:$C,$C1019)),IF(INDEX(GL!$C:$C,$C1019)="","",INDEX(GL!$C:$C,$C1019))))</f>
        <v/>
      </c>
      <c r="F1019" s="5" t="str">
        <f aca="false">IF(C1019=0,"",IF($A1019="Bank",IF(INDEX(Bank!$D:$D,$C1019)="","",INDEX(Bank!$D:$D,$C1019)),IF(INDEX(GL!$D:$D,$C1019)="","",INDEX(GL!$D:$D,$C1019))))</f>
        <v/>
      </c>
      <c r="G1019" s="19" t="str">
        <f aca="false">IF(C1019=0,"",IF($A1019="Bank",INDEX(Bank!$E:$E,$C1019),INDEX(GL!$E:$E,$C1019)))</f>
        <v/>
      </c>
      <c r="H1019" s="5" t="str">
        <f aca="false">IF(C1019=0,"",IF(A1019="GL",IF(G1019&gt;0,"Deposit in transit","Outstanding check / payment"),IF(G1019&gt;0,"Bank credit not in GL","Bank debit not in GL")))</f>
        <v/>
      </c>
      <c r="I1019" s="42" t="str">
        <f aca="false">IF(OR(C1019=0,CFG_PeriodEnd=""),"",CFG_PeriodEnd-D1019)</f>
        <v/>
      </c>
      <c r="J1019" s="5" t="str">
        <f aca="false">IF(C1019=0,"",IF($A1019="Bank",IF(INDEX(Bank!$G:$G,$C1019)="","",INDEX(Bank!$G:$G,$C1019)),IF(INDEX(GL!$G:$G,$C1019)="","",INDEX(GL!$G:$G,$C1019))))</f>
        <v/>
      </c>
      <c r="K1019" s="5" t="str">
        <f aca="false">IF(C1019=0,"",IF($A1019="Bank",IF(INDEX(Bank!$I:$I,$C1019)="","",INDEX(Bank!$I:$I,$C1019)),IF(INDEX(GL!$I:$I,$C1019)="","",INDEX(GL!$I:$I,$C1019))))</f>
        <v/>
      </c>
      <c r="L1019" s="5" t="str">
        <f aca="false">IF(B1019="","",IF(C1019=0,"NOT FOUND",IF(IF($A1019="Bank",INDEX(Bank!$F:$F,$C1019),INDEX(GL!$F:$F,$C1019))="Y","NOW RECONCILED: refresh","OK")))</f>
        <v/>
      </c>
    </row>
    <row r="1020" customFormat="false" ht="15" hidden="false" customHeight="false" outlineLevel="0" collapsed="false">
      <c r="A1020" s="41"/>
      <c r="B1020" s="41"/>
      <c r="C1020" s="5" t="n">
        <f aca="false">IF(B1020="",0,IF(A1020="Bank",IFERROR(MATCH(B1020,Bank!$A:$A,0),0),IFERROR(MATCH(B1020,GL!$A:$A,0),0)))</f>
        <v>0</v>
      </c>
      <c r="D1020" s="32" t="str">
        <f aca="false">IF(C1020=0,"",IF($A1020="Bank",INDEX(Bank!$B:$B,$C1020),INDEX(GL!$B:$B,$C1020)))</f>
        <v/>
      </c>
      <c r="E1020" s="5" t="str">
        <f aca="false">IF(C1020=0,"",IF($A1020="Bank",IF(INDEX(Bank!$C:$C,$C1020)="","",INDEX(Bank!$C:$C,$C1020)),IF(INDEX(GL!$C:$C,$C1020)="","",INDEX(GL!$C:$C,$C1020))))</f>
        <v/>
      </c>
      <c r="F1020" s="5" t="str">
        <f aca="false">IF(C1020=0,"",IF($A1020="Bank",IF(INDEX(Bank!$D:$D,$C1020)="","",INDEX(Bank!$D:$D,$C1020)),IF(INDEX(GL!$D:$D,$C1020)="","",INDEX(GL!$D:$D,$C1020))))</f>
        <v/>
      </c>
      <c r="G1020" s="19" t="str">
        <f aca="false">IF(C1020=0,"",IF($A1020="Bank",INDEX(Bank!$E:$E,$C1020),INDEX(GL!$E:$E,$C1020)))</f>
        <v/>
      </c>
      <c r="H1020" s="5" t="str">
        <f aca="false">IF(C1020=0,"",IF(A1020="GL",IF(G1020&gt;0,"Deposit in transit","Outstanding check / payment"),IF(G1020&gt;0,"Bank credit not in GL","Bank debit not in GL")))</f>
        <v/>
      </c>
      <c r="I1020" s="42" t="str">
        <f aca="false">IF(OR(C1020=0,CFG_PeriodEnd=""),"",CFG_PeriodEnd-D1020)</f>
        <v/>
      </c>
      <c r="J1020" s="5" t="str">
        <f aca="false">IF(C1020=0,"",IF($A1020="Bank",IF(INDEX(Bank!$G:$G,$C1020)="","",INDEX(Bank!$G:$G,$C1020)),IF(INDEX(GL!$G:$G,$C1020)="","",INDEX(GL!$G:$G,$C1020))))</f>
        <v/>
      </c>
      <c r="K1020" s="5" t="str">
        <f aca="false">IF(C1020=0,"",IF($A1020="Bank",IF(INDEX(Bank!$I:$I,$C1020)="","",INDEX(Bank!$I:$I,$C1020)),IF(INDEX(GL!$I:$I,$C1020)="","",INDEX(GL!$I:$I,$C1020))))</f>
        <v/>
      </c>
      <c r="L1020" s="5" t="str">
        <f aca="false">IF(B1020="","",IF(C1020=0,"NOT FOUND",IF(IF($A1020="Bank",INDEX(Bank!$F:$F,$C1020),INDEX(GL!$F:$F,$C1020))="Y","NOW RECONCILED: refresh","OK")))</f>
        <v/>
      </c>
    </row>
    <row r="1021" customFormat="false" ht="15" hidden="false" customHeight="false" outlineLevel="0" collapsed="false">
      <c r="A1021" s="41"/>
      <c r="B1021" s="41"/>
      <c r="C1021" s="5" t="n">
        <f aca="false">IF(B1021="",0,IF(A1021="Bank",IFERROR(MATCH(B1021,Bank!$A:$A,0),0),IFERROR(MATCH(B1021,GL!$A:$A,0),0)))</f>
        <v>0</v>
      </c>
      <c r="D1021" s="32" t="str">
        <f aca="false">IF(C1021=0,"",IF($A1021="Bank",INDEX(Bank!$B:$B,$C1021),INDEX(GL!$B:$B,$C1021)))</f>
        <v/>
      </c>
      <c r="E1021" s="5" t="str">
        <f aca="false">IF(C1021=0,"",IF($A1021="Bank",IF(INDEX(Bank!$C:$C,$C1021)="","",INDEX(Bank!$C:$C,$C1021)),IF(INDEX(GL!$C:$C,$C1021)="","",INDEX(GL!$C:$C,$C1021))))</f>
        <v/>
      </c>
      <c r="F1021" s="5" t="str">
        <f aca="false">IF(C1021=0,"",IF($A1021="Bank",IF(INDEX(Bank!$D:$D,$C1021)="","",INDEX(Bank!$D:$D,$C1021)),IF(INDEX(GL!$D:$D,$C1021)="","",INDEX(GL!$D:$D,$C1021))))</f>
        <v/>
      </c>
      <c r="G1021" s="19" t="str">
        <f aca="false">IF(C1021=0,"",IF($A1021="Bank",INDEX(Bank!$E:$E,$C1021),INDEX(GL!$E:$E,$C1021)))</f>
        <v/>
      </c>
      <c r="H1021" s="5" t="str">
        <f aca="false">IF(C1021=0,"",IF(A1021="GL",IF(G1021&gt;0,"Deposit in transit","Outstanding check / payment"),IF(G1021&gt;0,"Bank credit not in GL","Bank debit not in GL")))</f>
        <v/>
      </c>
      <c r="I1021" s="42" t="str">
        <f aca="false">IF(OR(C1021=0,CFG_PeriodEnd=""),"",CFG_PeriodEnd-D1021)</f>
        <v/>
      </c>
      <c r="J1021" s="5" t="str">
        <f aca="false">IF(C1021=0,"",IF($A1021="Bank",IF(INDEX(Bank!$G:$G,$C1021)="","",INDEX(Bank!$G:$G,$C1021)),IF(INDEX(GL!$G:$G,$C1021)="","",INDEX(GL!$G:$G,$C1021))))</f>
        <v/>
      </c>
      <c r="K1021" s="5" t="str">
        <f aca="false">IF(C1021=0,"",IF($A1021="Bank",IF(INDEX(Bank!$I:$I,$C1021)="","",INDEX(Bank!$I:$I,$C1021)),IF(INDEX(GL!$I:$I,$C1021)="","",INDEX(GL!$I:$I,$C1021))))</f>
        <v/>
      </c>
      <c r="L1021" s="5" t="str">
        <f aca="false">IF(B1021="","",IF(C1021=0,"NOT FOUND",IF(IF($A1021="Bank",INDEX(Bank!$F:$F,$C1021),INDEX(GL!$F:$F,$C1021))="Y","NOW RECONCILED: refresh","OK")))</f>
        <v/>
      </c>
    </row>
    <row r="1022" customFormat="false" ht="15" hidden="false" customHeight="false" outlineLevel="0" collapsed="false">
      <c r="A1022" s="41"/>
      <c r="B1022" s="41"/>
      <c r="C1022" s="5" t="n">
        <f aca="false">IF(B1022="",0,IF(A1022="Bank",IFERROR(MATCH(B1022,Bank!$A:$A,0),0),IFERROR(MATCH(B1022,GL!$A:$A,0),0)))</f>
        <v>0</v>
      </c>
      <c r="D1022" s="32" t="str">
        <f aca="false">IF(C1022=0,"",IF($A1022="Bank",INDEX(Bank!$B:$B,$C1022),INDEX(GL!$B:$B,$C1022)))</f>
        <v/>
      </c>
      <c r="E1022" s="5" t="str">
        <f aca="false">IF(C1022=0,"",IF($A1022="Bank",IF(INDEX(Bank!$C:$C,$C1022)="","",INDEX(Bank!$C:$C,$C1022)),IF(INDEX(GL!$C:$C,$C1022)="","",INDEX(GL!$C:$C,$C1022))))</f>
        <v/>
      </c>
      <c r="F1022" s="5" t="str">
        <f aca="false">IF(C1022=0,"",IF($A1022="Bank",IF(INDEX(Bank!$D:$D,$C1022)="","",INDEX(Bank!$D:$D,$C1022)),IF(INDEX(GL!$D:$D,$C1022)="","",INDEX(GL!$D:$D,$C1022))))</f>
        <v/>
      </c>
      <c r="G1022" s="19" t="str">
        <f aca="false">IF(C1022=0,"",IF($A1022="Bank",INDEX(Bank!$E:$E,$C1022),INDEX(GL!$E:$E,$C1022)))</f>
        <v/>
      </c>
      <c r="H1022" s="5" t="str">
        <f aca="false">IF(C1022=0,"",IF(A1022="GL",IF(G1022&gt;0,"Deposit in transit","Outstanding check / payment"),IF(G1022&gt;0,"Bank credit not in GL","Bank debit not in GL")))</f>
        <v/>
      </c>
      <c r="I1022" s="42" t="str">
        <f aca="false">IF(OR(C1022=0,CFG_PeriodEnd=""),"",CFG_PeriodEnd-D1022)</f>
        <v/>
      </c>
      <c r="J1022" s="5" t="str">
        <f aca="false">IF(C1022=0,"",IF($A1022="Bank",IF(INDEX(Bank!$G:$G,$C1022)="","",INDEX(Bank!$G:$G,$C1022)),IF(INDEX(GL!$G:$G,$C1022)="","",INDEX(GL!$G:$G,$C1022))))</f>
        <v/>
      </c>
      <c r="K1022" s="5" t="str">
        <f aca="false">IF(C1022=0,"",IF($A1022="Bank",IF(INDEX(Bank!$I:$I,$C1022)="","",INDEX(Bank!$I:$I,$C1022)),IF(INDEX(GL!$I:$I,$C1022)="","",INDEX(GL!$I:$I,$C1022))))</f>
        <v/>
      </c>
      <c r="L1022" s="5" t="str">
        <f aca="false">IF(B1022="","",IF(C1022=0,"NOT FOUND",IF(IF($A1022="Bank",INDEX(Bank!$F:$F,$C1022),INDEX(GL!$F:$F,$C1022))="Y","NOW RECONCILED: refresh","OK")))</f>
        <v/>
      </c>
    </row>
    <row r="1023" customFormat="false" ht="15" hidden="false" customHeight="false" outlineLevel="0" collapsed="false">
      <c r="A1023" s="41"/>
      <c r="B1023" s="41"/>
      <c r="C1023" s="5" t="n">
        <f aca="false">IF(B1023="",0,IF(A1023="Bank",IFERROR(MATCH(B1023,Bank!$A:$A,0),0),IFERROR(MATCH(B1023,GL!$A:$A,0),0)))</f>
        <v>0</v>
      </c>
      <c r="D1023" s="32" t="str">
        <f aca="false">IF(C1023=0,"",IF($A1023="Bank",INDEX(Bank!$B:$B,$C1023),INDEX(GL!$B:$B,$C1023)))</f>
        <v/>
      </c>
      <c r="E1023" s="5" t="str">
        <f aca="false">IF(C1023=0,"",IF($A1023="Bank",IF(INDEX(Bank!$C:$C,$C1023)="","",INDEX(Bank!$C:$C,$C1023)),IF(INDEX(GL!$C:$C,$C1023)="","",INDEX(GL!$C:$C,$C1023))))</f>
        <v/>
      </c>
      <c r="F1023" s="5" t="str">
        <f aca="false">IF(C1023=0,"",IF($A1023="Bank",IF(INDEX(Bank!$D:$D,$C1023)="","",INDEX(Bank!$D:$D,$C1023)),IF(INDEX(GL!$D:$D,$C1023)="","",INDEX(GL!$D:$D,$C1023))))</f>
        <v/>
      </c>
      <c r="G1023" s="19" t="str">
        <f aca="false">IF(C1023=0,"",IF($A1023="Bank",INDEX(Bank!$E:$E,$C1023),INDEX(GL!$E:$E,$C1023)))</f>
        <v/>
      </c>
      <c r="H1023" s="5" t="str">
        <f aca="false">IF(C1023=0,"",IF(A1023="GL",IF(G1023&gt;0,"Deposit in transit","Outstanding check / payment"),IF(G1023&gt;0,"Bank credit not in GL","Bank debit not in GL")))</f>
        <v/>
      </c>
      <c r="I1023" s="42" t="str">
        <f aca="false">IF(OR(C1023=0,CFG_PeriodEnd=""),"",CFG_PeriodEnd-D1023)</f>
        <v/>
      </c>
      <c r="J1023" s="5" t="str">
        <f aca="false">IF(C1023=0,"",IF($A1023="Bank",IF(INDEX(Bank!$G:$G,$C1023)="","",INDEX(Bank!$G:$G,$C1023)),IF(INDEX(GL!$G:$G,$C1023)="","",INDEX(GL!$G:$G,$C1023))))</f>
        <v/>
      </c>
      <c r="K1023" s="5" t="str">
        <f aca="false">IF(C1023=0,"",IF($A1023="Bank",IF(INDEX(Bank!$I:$I,$C1023)="","",INDEX(Bank!$I:$I,$C1023)),IF(INDEX(GL!$I:$I,$C1023)="","",INDEX(GL!$I:$I,$C1023))))</f>
        <v/>
      </c>
      <c r="L1023" s="5" t="str">
        <f aca="false">IF(B1023="","",IF(C1023=0,"NOT FOUND",IF(IF($A1023="Bank",INDEX(Bank!$F:$F,$C1023),INDEX(GL!$F:$F,$C1023))="Y","NOW RECONCILED: refresh","OK")))</f>
        <v/>
      </c>
    </row>
    <row r="1024" customFormat="false" ht="15" hidden="false" customHeight="false" outlineLevel="0" collapsed="false">
      <c r="A1024" s="41"/>
      <c r="B1024" s="41"/>
      <c r="C1024" s="5" t="n">
        <f aca="false">IF(B1024="",0,IF(A1024="Bank",IFERROR(MATCH(B1024,Bank!$A:$A,0),0),IFERROR(MATCH(B1024,GL!$A:$A,0),0)))</f>
        <v>0</v>
      </c>
      <c r="D1024" s="32" t="str">
        <f aca="false">IF(C1024=0,"",IF($A1024="Bank",INDEX(Bank!$B:$B,$C1024),INDEX(GL!$B:$B,$C1024)))</f>
        <v/>
      </c>
      <c r="E1024" s="5" t="str">
        <f aca="false">IF(C1024=0,"",IF($A1024="Bank",IF(INDEX(Bank!$C:$C,$C1024)="","",INDEX(Bank!$C:$C,$C1024)),IF(INDEX(GL!$C:$C,$C1024)="","",INDEX(GL!$C:$C,$C1024))))</f>
        <v/>
      </c>
      <c r="F1024" s="5" t="str">
        <f aca="false">IF(C1024=0,"",IF($A1024="Bank",IF(INDEX(Bank!$D:$D,$C1024)="","",INDEX(Bank!$D:$D,$C1024)),IF(INDEX(GL!$D:$D,$C1024)="","",INDEX(GL!$D:$D,$C1024))))</f>
        <v/>
      </c>
      <c r="G1024" s="19" t="str">
        <f aca="false">IF(C1024=0,"",IF($A1024="Bank",INDEX(Bank!$E:$E,$C1024),INDEX(GL!$E:$E,$C1024)))</f>
        <v/>
      </c>
      <c r="H1024" s="5" t="str">
        <f aca="false">IF(C1024=0,"",IF(A1024="GL",IF(G1024&gt;0,"Deposit in transit","Outstanding check / payment"),IF(G1024&gt;0,"Bank credit not in GL","Bank debit not in GL")))</f>
        <v/>
      </c>
      <c r="I1024" s="42" t="str">
        <f aca="false">IF(OR(C1024=0,CFG_PeriodEnd=""),"",CFG_PeriodEnd-D1024)</f>
        <v/>
      </c>
      <c r="J1024" s="5" t="str">
        <f aca="false">IF(C1024=0,"",IF($A1024="Bank",IF(INDEX(Bank!$G:$G,$C1024)="","",INDEX(Bank!$G:$G,$C1024)),IF(INDEX(GL!$G:$G,$C1024)="","",INDEX(GL!$G:$G,$C1024))))</f>
        <v/>
      </c>
      <c r="K1024" s="5" t="str">
        <f aca="false">IF(C1024=0,"",IF($A1024="Bank",IF(INDEX(Bank!$I:$I,$C1024)="","",INDEX(Bank!$I:$I,$C1024)),IF(INDEX(GL!$I:$I,$C1024)="","",INDEX(GL!$I:$I,$C1024))))</f>
        <v/>
      </c>
      <c r="L1024" s="5" t="str">
        <f aca="false">IF(B1024="","",IF(C1024=0,"NOT FOUND",IF(IF($A1024="Bank",INDEX(Bank!$F:$F,$C1024),INDEX(GL!$F:$F,$C1024))="Y","NOW RECONCILED: refresh","OK")))</f>
        <v/>
      </c>
    </row>
    <row r="1025" customFormat="false" ht="15" hidden="false" customHeight="false" outlineLevel="0" collapsed="false">
      <c r="A1025" s="41"/>
      <c r="B1025" s="41"/>
      <c r="C1025" s="5" t="n">
        <f aca="false">IF(B1025="",0,IF(A1025="Bank",IFERROR(MATCH(B1025,Bank!$A:$A,0),0),IFERROR(MATCH(B1025,GL!$A:$A,0),0)))</f>
        <v>0</v>
      </c>
      <c r="D1025" s="32" t="str">
        <f aca="false">IF(C1025=0,"",IF($A1025="Bank",INDEX(Bank!$B:$B,$C1025),INDEX(GL!$B:$B,$C1025)))</f>
        <v/>
      </c>
      <c r="E1025" s="5" t="str">
        <f aca="false">IF(C1025=0,"",IF($A1025="Bank",IF(INDEX(Bank!$C:$C,$C1025)="","",INDEX(Bank!$C:$C,$C1025)),IF(INDEX(GL!$C:$C,$C1025)="","",INDEX(GL!$C:$C,$C1025))))</f>
        <v/>
      </c>
      <c r="F1025" s="5" t="str">
        <f aca="false">IF(C1025=0,"",IF($A1025="Bank",IF(INDEX(Bank!$D:$D,$C1025)="","",INDEX(Bank!$D:$D,$C1025)),IF(INDEX(GL!$D:$D,$C1025)="","",INDEX(GL!$D:$D,$C1025))))</f>
        <v/>
      </c>
      <c r="G1025" s="19" t="str">
        <f aca="false">IF(C1025=0,"",IF($A1025="Bank",INDEX(Bank!$E:$E,$C1025),INDEX(GL!$E:$E,$C1025)))</f>
        <v/>
      </c>
      <c r="H1025" s="5" t="str">
        <f aca="false">IF(C1025=0,"",IF(A1025="GL",IF(G1025&gt;0,"Deposit in transit","Outstanding check / payment"),IF(G1025&gt;0,"Bank credit not in GL","Bank debit not in GL")))</f>
        <v/>
      </c>
      <c r="I1025" s="42" t="str">
        <f aca="false">IF(OR(C1025=0,CFG_PeriodEnd=""),"",CFG_PeriodEnd-D1025)</f>
        <v/>
      </c>
      <c r="J1025" s="5" t="str">
        <f aca="false">IF(C1025=0,"",IF($A1025="Bank",IF(INDEX(Bank!$G:$G,$C1025)="","",INDEX(Bank!$G:$G,$C1025)),IF(INDEX(GL!$G:$G,$C1025)="","",INDEX(GL!$G:$G,$C1025))))</f>
        <v/>
      </c>
      <c r="K1025" s="5" t="str">
        <f aca="false">IF(C1025=0,"",IF($A1025="Bank",IF(INDEX(Bank!$I:$I,$C1025)="","",INDEX(Bank!$I:$I,$C1025)),IF(INDEX(GL!$I:$I,$C1025)="","",INDEX(GL!$I:$I,$C1025))))</f>
        <v/>
      </c>
      <c r="L1025" s="5" t="str">
        <f aca="false">IF(B1025="","",IF(C1025=0,"NOT FOUND",IF(IF($A1025="Bank",INDEX(Bank!$F:$F,$C1025),INDEX(GL!$F:$F,$C1025))="Y","NOW RECONCILED: refresh","OK")))</f>
        <v/>
      </c>
    </row>
    <row r="1026" customFormat="false" ht="15" hidden="false" customHeight="false" outlineLevel="0" collapsed="false">
      <c r="A1026" s="41"/>
      <c r="B1026" s="41"/>
      <c r="C1026" s="5" t="n">
        <f aca="false">IF(B1026="",0,IF(A1026="Bank",IFERROR(MATCH(B1026,Bank!$A:$A,0),0),IFERROR(MATCH(B1026,GL!$A:$A,0),0)))</f>
        <v>0</v>
      </c>
      <c r="D1026" s="32" t="str">
        <f aca="false">IF(C1026=0,"",IF($A1026="Bank",INDEX(Bank!$B:$B,$C1026),INDEX(GL!$B:$B,$C1026)))</f>
        <v/>
      </c>
      <c r="E1026" s="5" t="str">
        <f aca="false">IF(C1026=0,"",IF($A1026="Bank",IF(INDEX(Bank!$C:$C,$C1026)="","",INDEX(Bank!$C:$C,$C1026)),IF(INDEX(GL!$C:$C,$C1026)="","",INDEX(GL!$C:$C,$C1026))))</f>
        <v/>
      </c>
      <c r="F1026" s="5" t="str">
        <f aca="false">IF(C1026=0,"",IF($A1026="Bank",IF(INDEX(Bank!$D:$D,$C1026)="","",INDEX(Bank!$D:$D,$C1026)),IF(INDEX(GL!$D:$D,$C1026)="","",INDEX(GL!$D:$D,$C1026))))</f>
        <v/>
      </c>
      <c r="G1026" s="19" t="str">
        <f aca="false">IF(C1026=0,"",IF($A1026="Bank",INDEX(Bank!$E:$E,$C1026),INDEX(GL!$E:$E,$C1026)))</f>
        <v/>
      </c>
      <c r="H1026" s="5" t="str">
        <f aca="false">IF(C1026=0,"",IF(A1026="GL",IF(G1026&gt;0,"Deposit in transit","Outstanding check / payment"),IF(G1026&gt;0,"Bank credit not in GL","Bank debit not in GL")))</f>
        <v/>
      </c>
      <c r="I1026" s="42" t="str">
        <f aca="false">IF(OR(C1026=0,CFG_PeriodEnd=""),"",CFG_PeriodEnd-D1026)</f>
        <v/>
      </c>
      <c r="J1026" s="5" t="str">
        <f aca="false">IF(C1026=0,"",IF($A1026="Bank",IF(INDEX(Bank!$G:$G,$C1026)="","",INDEX(Bank!$G:$G,$C1026)),IF(INDEX(GL!$G:$G,$C1026)="","",INDEX(GL!$G:$G,$C1026))))</f>
        <v/>
      </c>
      <c r="K1026" s="5" t="str">
        <f aca="false">IF(C1026=0,"",IF($A1026="Bank",IF(INDEX(Bank!$I:$I,$C1026)="","",INDEX(Bank!$I:$I,$C1026)),IF(INDEX(GL!$I:$I,$C1026)="","",INDEX(GL!$I:$I,$C1026))))</f>
        <v/>
      </c>
      <c r="L1026" s="5" t="str">
        <f aca="false">IF(B1026="","",IF(C1026=0,"NOT FOUND",IF(IF($A1026="Bank",INDEX(Bank!$F:$F,$C1026),INDEX(GL!$F:$F,$C1026))="Y","NOW RECONCILED: refresh","OK")))</f>
        <v/>
      </c>
    </row>
    <row r="1027" customFormat="false" ht="15" hidden="false" customHeight="false" outlineLevel="0" collapsed="false">
      <c r="A1027" s="41"/>
      <c r="B1027" s="41"/>
      <c r="C1027" s="5" t="n">
        <f aca="false">IF(B1027="",0,IF(A1027="Bank",IFERROR(MATCH(B1027,Bank!$A:$A,0),0),IFERROR(MATCH(B1027,GL!$A:$A,0),0)))</f>
        <v>0</v>
      </c>
      <c r="D1027" s="32" t="str">
        <f aca="false">IF(C1027=0,"",IF($A1027="Bank",INDEX(Bank!$B:$B,$C1027),INDEX(GL!$B:$B,$C1027)))</f>
        <v/>
      </c>
      <c r="E1027" s="5" t="str">
        <f aca="false">IF(C1027=0,"",IF($A1027="Bank",IF(INDEX(Bank!$C:$C,$C1027)="","",INDEX(Bank!$C:$C,$C1027)),IF(INDEX(GL!$C:$C,$C1027)="","",INDEX(GL!$C:$C,$C1027))))</f>
        <v/>
      </c>
      <c r="F1027" s="5" t="str">
        <f aca="false">IF(C1027=0,"",IF($A1027="Bank",IF(INDEX(Bank!$D:$D,$C1027)="","",INDEX(Bank!$D:$D,$C1027)),IF(INDEX(GL!$D:$D,$C1027)="","",INDEX(GL!$D:$D,$C1027))))</f>
        <v/>
      </c>
      <c r="G1027" s="19" t="str">
        <f aca="false">IF(C1027=0,"",IF($A1027="Bank",INDEX(Bank!$E:$E,$C1027),INDEX(GL!$E:$E,$C1027)))</f>
        <v/>
      </c>
      <c r="H1027" s="5" t="str">
        <f aca="false">IF(C1027=0,"",IF(A1027="GL",IF(G1027&gt;0,"Deposit in transit","Outstanding check / payment"),IF(G1027&gt;0,"Bank credit not in GL","Bank debit not in GL")))</f>
        <v/>
      </c>
      <c r="I1027" s="42" t="str">
        <f aca="false">IF(OR(C1027=0,CFG_PeriodEnd=""),"",CFG_PeriodEnd-D1027)</f>
        <v/>
      </c>
      <c r="J1027" s="5" t="str">
        <f aca="false">IF(C1027=0,"",IF($A1027="Bank",IF(INDEX(Bank!$G:$G,$C1027)="","",INDEX(Bank!$G:$G,$C1027)),IF(INDEX(GL!$G:$G,$C1027)="","",INDEX(GL!$G:$G,$C1027))))</f>
        <v/>
      </c>
      <c r="K1027" s="5" t="str">
        <f aca="false">IF(C1027=0,"",IF($A1027="Bank",IF(INDEX(Bank!$I:$I,$C1027)="","",INDEX(Bank!$I:$I,$C1027)),IF(INDEX(GL!$I:$I,$C1027)="","",INDEX(GL!$I:$I,$C1027))))</f>
        <v/>
      </c>
      <c r="L1027" s="5" t="str">
        <f aca="false">IF(B1027="","",IF(C1027=0,"NOT FOUND",IF(IF($A1027="Bank",INDEX(Bank!$F:$F,$C1027),INDEX(GL!$F:$F,$C1027))="Y","NOW RECONCILED: refresh","OK")))</f>
        <v/>
      </c>
    </row>
    <row r="1028" customFormat="false" ht="15" hidden="false" customHeight="false" outlineLevel="0" collapsed="false">
      <c r="A1028" s="41"/>
      <c r="B1028" s="41"/>
      <c r="C1028" s="5" t="n">
        <f aca="false">IF(B1028="",0,IF(A1028="Bank",IFERROR(MATCH(B1028,Bank!$A:$A,0),0),IFERROR(MATCH(B1028,GL!$A:$A,0),0)))</f>
        <v>0</v>
      </c>
      <c r="D1028" s="32" t="str">
        <f aca="false">IF(C1028=0,"",IF($A1028="Bank",INDEX(Bank!$B:$B,$C1028),INDEX(GL!$B:$B,$C1028)))</f>
        <v/>
      </c>
      <c r="E1028" s="5" t="str">
        <f aca="false">IF(C1028=0,"",IF($A1028="Bank",IF(INDEX(Bank!$C:$C,$C1028)="","",INDEX(Bank!$C:$C,$C1028)),IF(INDEX(GL!$C:$C,$C1028)="","",INDEX(GL!$C:$C,$C1028))))</f>
        <v/>
      </c>
      <c r="F1028" s="5" t="str">
        <f aca="false">IF(C1028=0,"",IF($A1028="Bank",IF(INDEX(Bank!$D:$D,$C1028)="","",INDEX(Bank!$D:$D,$C1028)),IF(INDEX(GL!$D:$D,$C1028)="","",INDEX(GL!$D:$D,$C1028))))</f>
        <v/>
      </c>
      <c r="G1028" s="19" t="str">
        <f aca="false">IF(C1028=0,"",IF($A1028="Bank",INDEX(Bank!$E:$E,$C1028),INDEX(GL!$E:$E,$C1028)))</f>
        <v/>
      </c>
      <c r="H1028" s="5" t="str">
        <f aca="false">IF(C1028=0,"",IF(A1028="GL",IF(G1028&gt;0,"Deposit in transit","Outstanding check / payment"),IF(G1028&gt;0,"Bank credit not in GL","Bank debit not in GL")))</f>
        <v/>
      </c>
      <c r="I1028" s="42" t="str">
        <f aca="false">IF(OR(C1028=0,CFG_PeriodEnd=""),"",CFG_PeriodEnd-D1028)</f>
        <v/>
      </c>
      <c r="J1028" s="5" t="str">
        <f aca="false">IF(C1028=0,"",IF($A1028="Bank",IF(INDEX(Bank!$G:$G,$C1028)="","",INDEX(Bank!$G:$G,$C1028)),IF(INDEX(GL!$G:$G,$C1028)="","",INDEX(GL!$G:$G,$C1028))))</f>
        <v/>
      </c>
      <c r="K1028" s="5" t="str">
        <f aca="false">IF(C1028=0,"",IF($A1028="Bank",IF(INDEX(Bank!$I:$I,$C1028)="","",INDEX(Bank!$I:$I,$C1028)),IF(INDEX(GL!$I:$I,$C1028)="","",INDEX(GL!$I:$I,$C1028))))</f>
        <v/>
      </c>
      <c r="L1028" s="5" t="str">
        <f aca="false">IF(B1028="","",IF(C1028=0,"NOT FOUND",IF(IF($A1028="Bank",INDEX(Bank!$F:$F,$C1028),INDEX(GL!$F:$F,$C1028))="Y","NOW RECONCILED: refresh","OK")))</f>
        <v/>
      </c>
    </row>
    <row r="1029" customFormat="false" ht="15" hidden="false" customHeight="false" outlineLevel="0" collapsed="false">
      <c r="A1029" s="41"/>
      <c r="B1029" s="41"/>
      <c r="C1029" s="5" t="n">
        <f aca="false">IF(B1029="",0,IF(A1029="Bank",IFERROR(MATCH(B1029,Bank!$A:$A,0),0),IFERROR(MATCH(B1029,GL!$A:$A,0),0)))</f>
        <v>0</v>
      </c>
      <c r="D1029" s="32" t="str">
        <f aca="false">IF(C1029=0,"",IF($A1029="Bank",INDEX(Bank!$B:$B,$C1029),INDEX(GL!$B:$B,$C1029)))</f>
        <v/>
      </c>
      <c r="E1029" s="5" t="str">
        <f aca="false">IF(C1029=0,"",IF($A1029="Bank",IF(INDEX(Bank!$C:$C,$C1029)="","",INDEX(Bank!$C:$C,$C1029)),IF(INDEX(GL!$C:$C,$C1029)="","",INDEX(GL!$C:$C,$C1029))))</f>
        <v/>
      </c>
      <c r="F1029" s="5" t="str">
        <f aca="false">IF(C1029=0,"",IF($A1029="Bank",IF(INDEX(Bank!$D:$D,$C1029)="","",INDEX(Bank!$D:$D,$C1029)),IF(INDEX(GL!$D:$D,$C1029)="","",INDEX(GL!$D:$D,$C1029))))</f>
        <v/>
      </c>
      <c r="G1029" s="19" t="str">
        <f aca="false">IF(C1029=0,"",IF($A1029="Bank",INDEX(Bank!$E:$E,$C1029),INDEX(GL!$E:$E,$C1029)))</f>
        <v/>
      </c>
      <c r="H1029" s="5" t="str">
        <f aca="false">IF(C1029=0,"",IF(A1029="GL",IF(G1029&gt;0,"Deposit in transit","Outstanding check / payment"),IF(G1029&gt;0,"Bank credit not in GL","Bank debit not in GL")))</f>
        <v/>
      </c>
      <c r="I1029" s="42" t="str">
        <f aca="false">IF(OR(C1029=0,CFG_PeriodEnd=""),"",CFG_PeriodEnd-D1029)</f>
        <v/>
      </c>
      <c r="J1029" s="5" t="str">
        <f aca="false">IF(C1029=0,"",IF($A1029="Bank",IF(INDEX(Bank!$G:$G,$C1029)="","",INDEX(Bank!$G:$G,$C1029)),IF(INDEX(GL!$G:$G,$C1029)="","",INDEX(GL!$G:$G,$C1029))))</f>
        <v/>
      </c>
      <c r="K1029" s="5" t="str">
        <f aca="false">IF(C1029=0,"",IF($A1029="Bank",IF(INDEX(Bank!$I:$I,$C1029)="","",INDEX(Bank!$I:$I,$C1029)),IF(INDEX(GL!$I:$I,$C1029)="","",INDEX(GL!$I:$I,$C1029))))</f>
        <v/>
      </c>
      <c r="L1029" s="5" t="str">
        <f aca="false">IF(B1029="","",IF(C1029=0,"NOT FOUND",IF(IF($A1029="Bank",INDEX(Bank!$F:$F,$C1029),INDEX(GL!$F:$F,$C1029))="Y","NOW RECONCILED: refresh","OK")))</f>
        <v/>
      </c>
    </row>
    <row r="1030" customFormat="false" ht="15" hidden="false" customHeight="false" outlineLevel="0" collapsed="false">
      <c r="A1030" s="41"/>
      <c r="B1030" s="41"/>
      <c r="C1030" s="5" t="n">
        <f aca="false">IF(B1030="",0,IF(A1030="Bank",IFERROR(MATCH(B1030,Bank!$A:$A,0),0),IFERROR(MATCH(B1030,GL!$A:$A,0),0)))</f>
        <v>0</v>
      </c>
      <c r="D1030" s="32" t="str">
        <f aca="false">IF(C1030=0,"",IF($A1030="Bank",INDEX(Bank!$B:$B,$C1030),INDEX(GL!$B:$B,$C1030)))</f>
        <v/>
      </c>
      <c r="E1030" s="5" t="str">
        <f aca="false">IF(C1030=0,"",IF($A1030="Bank",IF(INDEX(Bank!$C:$C,$C1030)="","",INDEX(Bank!$C:$C,$C1030)),IF(INDEX(GL!$C:$C,$C1030)="","",INDEX(GL!$C:$C,$C1030))))</f>
        <v/>
      </c>
      <c r="F1030" s="5" t="str">
        <f aca="false">IF(C1030=0,"",IF($A1030="Bank",IF(INDEX(Bank!$D:$D,$C1030)="","",INDEX(Bank!$D:$D,$C1030)),IF(INDEX(GL!$D:$D,$C1030)="","",INDEX(GL!$D:$D,$C1030))))</f>
        <v/>
      </c>
      <c r="G1030" s="19" t="str">
        <f aca="false">IF(C1030=0,"",IF($A1030="Bank",INDEX(Bank!$E:$E,$C1030),INDEX(GL!$E:$E,$C1030)))</f>
        <v/>
      </c>
      <c r="H1030" s="5" t="str">
        <f aca="false">IF(C1030=0,"",IF(A1030="GL",IF(G1030&gt;0,"Deposit in transit","Outstanding check / payment"),IF(G1030&gt;0,"Bank credit not in GL","Bank debit not in GL")))</f>
        <v/>
      </c>
      <c r="I1030" s="42" t="str">
        <f aca="false">IF(OR(C1030=0,CFG_PeriodEnd=""),"",CFG_PeriodEnd-D1030)</f>
        <v/>
      </c>
      <c r="J1030" s="5" t="str">
        <f aca="false">IF(C1030=0,"",IF($A1030="Bank",IF(INDEX(Bank!$G:$G,$C1030)="","",INDEX(Bank!$G:$G,$C1030)),IF(INDEX(GL!$G:$G,$C1030)="","",INDEX(GL!$G:$G,$C1030))))</f>
        <v/>
      </c>
      <c r="K1030" s="5" t="str">
        <f aca="false">IF(C1030=0,"",IF($A1030="Bank",IF(INDEX(Bank!$I:$I,$C1030)="","",INDEX(Bank!$I:$I,$C1030)),IF(INDEX(GL!$I:$I,$C1030)="","",INDEX(GL!$I:$I,$C1030))))</f>
        <v/>
      </c>
      <c r="L1030" s="5" t="str">
        <f aca="false">IF(B1030="","",IF(C1030=0,"NOT FOUND",IF(IF($A1030="Bank",INDEX(Bank!$F:$F,$C1030),INDEX(GL!$F:$F,$C1030))="Y","NOW RECONCILED: refresh","OK")))</f>
        <v/>
      </c>
    </row>
    <row r="1031" customFormat="false" ht="15" hidden="false" customHeight="false" outlineLevel="0" collapsed="false">
      <c r="A1031" s="41"/>
      <c r="B1031" s="41"/>
      <c r="C1031" s="5" t="n">
        <f aca="false">IF(B1031="",0,IF(A1031="Bank",IFERROR(MATCH(B1031,Bank!$A:$A,0),0),IFERROR(MATCH(B1031,GL!$A:$A,0),0)))</f>
        <v>0</v>
      </c>
      <c r="D1031" s="32" t="str">
        <f aca="false">IF(C1031=0,"",IF($A1031="Bank",INDEX(Bank!$B:$B,$C1031),INDEX(GL!$B:$B,$C1031)))</f>
        <v/>
      </c>
      <c r="E1031" s="5" t="str">
        <f aca="false">IF(C1031=0,"",IF($A1031="Bank",IF(INDEX(Bank!$C:$C,$C1031)="","",INDEX(Bank!$C:$C,$C1031)),IF(INDEX(GL!$C:$C,$C1031)="","",INDEX(GL!$C:$C,$C1031))))</f>
        <v/>
      </c>
      <c r="F1031" s="5" t="str">
        <f aca="false">IF(C1031=0,"",IF($A1031="Bank",IF(INDEX(Bank!$D:$D,$C1031)="","",INDEX(Bank!$D:$D,$C1031)),IF(INDEX(GL!$D:$D,$C1031)="","",INDEX(GL!$D:$D,$C1031))))</f>
        <v/>
      </c>
      <c r="G1031" s="19" t="str">
        <f aca="false">IF(C1031=0,"",IF($A1031="Bank",INDEX(Bank!$E:$E,$C1031),INDEX(GL!$E:$E,$C1031)))</f>
        <v/>
      </c>
      <c r="H1031" s="5" t="str">
        <f aca="false">IF(C1031=0,"",IF(A1031="GL",IF(G1031&gt;0,"Deposit in transit","Outstanding check / payment"),IF(G1031&gt;0,"Bank credit not in GL","Bank debit not in GL")))</f>
        <v/>
      </c>
      <c r="I1031" s="42" t="str">
        <f aca="false">IF(OR(C1031=0,CFG_PeriodEnd=""),"",CFG_PeriodEnd-D1031)</f>
        <v/>
      </c>
      <c r="J1031" s="5" t="str">
        <f aca="false">IF(C1031=0,"",IF($A1031="Bank",IF(INDEX(Bank!$G:$G,$C1031)="","",INDEX(Bank!$G:$G,$C1031)),IF(INDEX(GL!$G:$G,$C1031)="","",INDEX(GL!$G:$G,$C1031))))</f>
        <v/>
      </c>
      <c r="K1031" s="5" t="str">
        <f aca="false">IF(C1031=0,"",IF($A1031="Bank",IF(INDEX(Bank!$I:$I,$C1031)="","",INDEX(Bank!$I:$I,$C1031)),IF(INDEX(GL!$I:$I,$C1031)="","",INDEX(GL!$I:$I,$C1031))))</f>
        <v/>
      </c>
      <c r="L1031" s="5" t="str">
        <f aca="false">IF(B1031="","",IF(C1031=0,"NOT FOUND",IF(IF($A1031="Bank",INDEX(Bank!$F:$F,$C1031),INDEX(GL!$F:$F,$C1031))="Y","NOW RECONCILED: refresh","OK")))</f>
        <v/>
      </c>
    </row>
    <row r="1032" customFormat="false" ht="15" hidden="false" customHeight="false" outlineLevel="0" collapsed="false">
      <c r="A1032" s="41"/>
      <c r="B1032" s="41"/>
      <c r="C1032" s="5" t="n">
        <f aca="false">IF(B1032="",0,IF(A1032="Bank",IFERROR(MATCH(B1032,Bank!$A:$A,0),0),IFERROR(MATCH(B1032,GL!$A:$A,0),0)))</f>
        <v>0</v>
      </c>
      <c r="D1032" s="32" t="str">
        <f aca="false">IF(C1032=0,"",IF($A1032="Bank",INDEX(Bank!$B:$B,$C1032),INDEX(GL!$B:$B,$C1032)))</f>
        <v/>
      </c>
      <c r="E1032" s="5" t="str">
        <f aca="false">IF(C1032=0,"",IF($A1032="Bank",IF(INDEX(Bank!$C:$C,$C1032)="","",INDEX(Bank!$C:$C,$C1032)),IF(INDEX(GL!$C:$C,$C1032)="","",INDEX(GL!$C:$C,$C1032))))</f>
        <v/>
      </c>
      <c r="F1032" s="5" t="str">
        <f aca="false">IF(C1032=0,"",IF($A1032="Bank",IF(INDEX(Bank!$D:$D,$C1032)="","",INDEX(Bank!$D:$D,$C1032)),IF(INDEX(GL!$D:$D,$C1032)="","",INDEX(GL!$D:$D,$C1032))))</f>
        <v/>
      </c>
      <c r="G1032" s="19" t="str">
        <f aca="false">IF(C1032=0,"",IF($A1032="Bank",INDEX(Bank!$E:$E,$C1032),INDEX(GL!$E:$E,$C1032)))</f>
        <v/>
      </c>
      <c r="H1032" s="5" t="str">
        <f aca="false">IF(C1032=0,"",IF(A1032="GL",IF(G1032&gt;0,"Deposit in transit","Outstanding check / payment"),IF(G1032&gt;0,"Bank credit not in GL","Bank debit not in GL")))</f>
        <v/>
      </c>
      <c r="I1032" s="42" t="str">
        <f aca="false">IF(OR(C1032=0,CFG_PeriodEnd=""),"",CFG_PeriodEnd-D1032)</f>
        <v/>
      </c>
      <c r="J1032" s="5" t="str">
        <f aca="false">IF(C1032=0,"",IF($A1032="Bank",IF(INDEX(Bank!$G:$G,$C1032)="","",INDEX(Bank!$G:$G,$C1032)),IF(INDEX(GL!$G:$G,$C1032)="","",INDEX(GL!$G:$G,$C1032))))</f>
        <v/>
      </c>
      <c r="K1032" s="5" t="str">
        <f aca="false">IF(C1032=0,"",IF($A1032="Bank",IF(INDEX(Bank!$I:$I,$C1032)="","",INDEX(Bank!$I:$I,$C1032)),IF(INDEX(GL!$I:$I,$C1032)="","",INDEX(GL!$I:$I,$C1032))))</f>
        <v/>
      </c>
      <c r="L1032" s="5" t="str">
        <f aca="false">IF(B1032="","",IF(C1032=0,"NOT FOUND",IF(IF($A1032="Bank",INDEX(Bank!$F:$F,$C1032),INDEX(GL!$F:$F,$C1032))="Y","NOW RECONCILED: refresh","OK")))</f>
        <v/>
      </c>
    </row>
    <row r="1033" customFormat="false" ht="15" hidden="false" customHeight="false" outlineLevel="0" collapsed="false">
      <c r="A1033" s="41"/>
      <c r="B1033" s="41"/>
      <c r="C1033" s="5" t="n">
        <f aca="false">IF(B1033="",0,IF(A1033="Bank",IFERROR(MATCH(B1033,Bank!$A:$A,0),0),IFERROR(MATCH(B1033,GL!$A:$A,0),0)))</f>
        <v>0</v>
      </c>
      <c r="D1033" s="32" t="str">
        <f aca="false">IF(C1033=0,"",IF($A1033="Bank",INDEX(Bank!$B:$B,$C1033),INDEX(GL!$B:$B,$C1033)))</f>
        <v/>
      </c>
      <c r="E1033" s="5" t="str">
        <f aca="false">IF(C1033=0,"",IF($A1033="Bank",IF(INDEX(Bank!$C:$C,$C1033)="","",INDEX(Bank!$C:$C,$C1033)),IF(INDEX(GL!$C:$C,$C1033)="","",INDEX(GL!$C:$C,$C1033))))</f>
        <v/>
      </c>
      <c r="F1033" s="5" t="str">
        <f aca="false">IF(C1033=0,"",IF($A1033="Bank",IF(INDEX(Bank!$D:$D,$C1033)="","",INDEX(Bank!$D:$D,$C1033)),IF(INDEX(GL!$D:$D,$C1033)="","",INDEX(GL!$D:$D,$C1033))))</f>
        <v/>
      </c>
      <c r="G1033" s="19" t="str">
        <f aca="false">IF(C1033=0,"",IF($A1033="Bank",INDEX(Bank!$E:$E,$C1033),INDEX(GL!$E:$E,$C1033)))</f>
        <v/>
      </c>
      <c r="H1033" s="5" t="str">
        <f aca="false">IF(C1033=0,"",IF(A1033="GL",IF(G1033&gt;0,"Deposit in transit","Outstanding check / payment"),IF(G1033&gt;0,"Bank credit not in GL","Bank debit not in GL")))</f>
        <v/>
      </c>
      <c r="I1033" s="42" t="str">
        <f aca="false">IF(OR(C1033=0,CFG_PeriodEnd=""),"",CFG_PeriodEnd-D1033)</f>
        <v/>
      </c>
      <c r="J1033" s="5" t="str">
        <f aca="false">IF(C1033=0,"",IF($A1033="Bank",IF(INDEX(Bank!$G:$G,$C1033)="","",INDEX(Bank!$G:$G,$C1033)),IF(INDEX(GL!$G:$G,$C1033)="","",INDEX(GL!$G:$G,$C1033))))</f>
        <v/>
      </c>
      <c r="K1033" s="5" t="str">
        <f aca="false">IF(C1033=0,"",IF($A1033="Bank",IF(INDEX(Bank!$I:$I,$C1033)="","",INDEX(Bank!$I:$I,$C1033)),IF(INDEX(GL!$I:$I,$C1033)="","",INDEX(GL!$I:$I,$C1033))))</f>
        <v/>
      </c>
      <c r="L1033" s="5" t="str">
        <f aca="false">IF(B1033="","",IF(C1033=0,"NOT FOUND",IF(IF($A1033="Bank",INDEX(Bank!$F:$F,$C1033),INDEX(GL!$F:$F,$C1033))="Y","NOW RECONCILED: refresh","OK")))</f>
        <v/>
      </c>
    </row>
    <row r="1034" customFormat="false" ht="15" hidden="false" customHeight="false" outlineLevel="0" collapsed="false">
      <c r="A1034" s="41"/>
      <c r="B1034" s="41"/>
      <c r="C1034" s="5" t="n">
        <f aca="false">IF(B1034="",0,IF(A1034="Bank",IFERROR(MATCH(B1034,Bank!$A:$A,0),0),IFERROR(MATCH(B1034,GL!$A:$A,0),0)))</f>
        <v>0</v>
      </c>
      <c r="D1034" s="32" t="str">
        <f aca="false">IF(C1034=0,"",IF($A1034="Bank",INDEX(Bank!$B:$B,$C1034),INDEX(GL!$B:$B,$C1034)))</f>
        <v/>
      </c>
      <c r="E1034" s="5" t="str">
        <f aca="false">IF(C1034=0,"",IF($A1034="Bank",IF(INDEX(Bank!$C:$C,$C1034)="","",INDEX(Bank!$C:$C,$C1034)),IF(INDEX(GL!$C:$C,$C1034)="","",INDEX(GL!$C:$C,$C1034))))</f>
        <v/>
      </c>
      <c r="F1034" s="5" t="str">
        <f aca="false">IF(C1034=0,"",IF($A1034="Bank",IF(INDEX(Bank!$D:$D,$C1034)="","",INDEX(Bank!$D:$D,$C1034)),IF(INDEX(GL!$D:$D,$C1034)="","",INDEX(GL!$D:$D,$C1034))))</f>
        <v/>
      </c>
      <c r="G1034" s="19" t="str">
        <f aca="false">IF(C1034=0,"",IF($A1034="Bank",INDEX(Bank!$E:$E,$C1034),INDEX(GL!$E:$E,$C1034)))</f>
        <v/>
      </c>
      <c r="H1034" s="5" t="str">
        <f aca="false">IF(C1034=0,"",IF(A1034="GL",IF(G1034&gt;0,"Deposit in transit","Outstanding check / payment"),IF(G1034&gt;0,"Bank credit not in GL","Bank debit not in GL")))</f>
        <v/>
      </c>
      <c r="I1034" s="42" t="str">
        <f aca="false">IF(OR(C1034=0,CFG_PeriodEnd=""),"",CFG_PeriodEnd-D1034)</f>
        <v/>
      </c>
      <c r="J1034" s="5" t="str">
        <f aca="false">IF(C1034=0,"",IF($A1034="Bank",IF(INDEX(Bank!$G:$G,$C1034)="","",INDEX(Bank!$G:$G,$C1034)),IF(INDEX(GL!$G:$G,$C1034)="","",INDEX(GL!$G:$G,$C1034))))</f>
        <v/>
      </c>
      <c r="K1034" s="5" t="str">
        <f aca="false">IF(C1034=0,"",IF($A1034="Bank",IF(INDEX(Bank!$I:$I,$C1034)="","",INDEX(Bank!$I:$I,$C1034)),IF(INDEX(GL!$I:$I,$C1034)="","",INDEX(GL!$I:$I,$C1034))))</f>
        <v/>
      </c>
      <c r="L1034" s="5" t="str">
        <f aca="false">IF(B1034="","",IF(C1034=0,"NOT FOUND",IF(IF($A1034="Bank",INDEX(Bank!$F:$F,$C1034),INDEX(GL!$F:$F,$C1034))="Y","NOW RECONCILED: refresh","OK")))</f>
        <v/>
      </c>
    </row>
    <row r="1035" customFormat="false" ht="15" hidden="false" customHeight="false" outlineLevel="0" collapsed="false">
      <c r="A1035" s="41"/>
      <c r="B1035" s="41"/>
      <c r="C1035" s="5" t="n">
        <f aca="false">IF(B1035="",0,IF(A1035="Bank",IFERROR(MATCH(B1035,Bank!$A:$A,0),0),IFERROR(MATCH(B1035,GL!$A:$A,0),0)))</f>
        <v>0</v>
      </c>
      <c r="D1035" s="32" t="str">
        <f aca="false">IF(C1035=0,"",IF($A1035="Bank",INDEX(Bank!$B:$B,$C1035),INDEX(GL!$B:$B,$C1035)))</f>
        <v/>
      </c>
      <c r="E1035" s="5" t="str">
        <f aca="false">IF(C1035=0,"",IF($A1035="Bank",IF(INDEX(Bank!$C:$C,$C1035)="","",INDEX(Bank!$C:$C,$C1035)),IF(INDEX(GL!$C:$C,$C1035)="","",INDEX(GL!$C:$C,$C1035))))</f>
        <v/>
      </c>
      <c r="F1035" s="5" t="str">
        <f aca="false">IF(C1035=0,"",IF($A1035="Bank",IF(INDEX(Bank!$D:$D,$C1035)="","",INDEX(Bank!$D:$D,$C1035)),IF(INDEX(GL!$D:$D,$C1035)="","",INDEX(GL!$D:$D,$C1035))))</f>
        <v/>
      </c>
      <c r="G1035" s="19" t="str">
        <f aca="false">IF(C1035=0,"",IF($A1035="Bank",INDEX(Bank!$E:$E,$C1035),INDEX(GL!$E:$E,$C1035)))</f>
        <v/>
      </c>
      <c r="H1035" s="5" t="str">
        <f aca="false">IF(C1035=0,"",IF(A1035="GL",IF(G1035&gt;0,"Deposit in transit","Outstanding check / payment"),IF(G1035&gt;0,"Bank credit not in GL","Bank debit not in GL")))</f>
        <v/>
      </c>
      <c r="I1035" s="42" t="str">
        <f aca="false">IF(OR(C1035=0,CFG_PeriodEnd=""),"",CFG_PeriodEnd-D1035)</f>
        <v/>
      </c>
      <c r="J1035" s="5" t="str">
        <f aca="false">IF(C1035=0,"",IF($A1035="Bank",IF(INDEX(Bank!$G:$G,$C1035)="","",INDEX(Bank!$G:$G,$C1035)),IF(INDEX(GL!$G:$G,$C1035)="","",INDEX(GL!$G:$G,$C1035))))</f>
        <v/>
      </c>
      <c r="K1035" s="5" t="str">
        <f aca="false">IF(C1035=0,"",IF($A1035="Bank",IF(INDEX(Bank!$I:$I,$C1035)="","",INDEX(Bank!$I:$I,$C1035)),IF(INDEX(GL!$I:$I,$C1035)="","",INDEX(GL!$I:$I,$C1035))))</f>
        <v/>
      </c>
      <c r="L1035" s="5" t="str">
        <f aca="false">IF(B1035="","",IF(C1035=0,"NOT FOUND",IF(IF($A1035="Bank",INDEX(Bank!$F:$F,$C1035),INDEX(GL!$F:$F,$C1035))="Y","NOW RECONCILED: refresh","OK")))</f>
        <v/>
      </c>
    </row>
    <row r="1036" customFormat="false" ht="15" hidden="false" customHeight="false" outlineLevel="0" collapsed="false">
      <c r="A1036" s="41"/>
      <c r="B1036" s="41"/>
      <c r="C1036" s="5" t="n">
        <f aca="false">IF(B1036="",0,IF(A1036="Bank",IFERROR(MATCH(B1036,Bank!$A:$A,0),0),IFERROR(MATCH(B1036,GL!$A:$A,0),0)))</f>
        <v>0</v>
      </c>
      <c r="D1036" s="32" t="str">
        <f aca="false">IF(C1036=0,"",IF($A1036="Bank",INDEX(Bank!$B:$B,$C1036),INDEX(GL!$B:$B,$C1036)))</f>
        <v/>
      </c>
      <c r="E1036" s="5" t="str">
        <f aca="false">IF(C1036=0,"",IF($A1036="Bank",IF(INDEX(Bank!$C:$C,$C1036)="","",INDEX(Bank!$C:$C,$C1036)),IF(INDEX(GL!$C:$C,$C1036)="","",INDEX(GL!$C:$C,$C1036))))</f>
        <v/>
      </c>
      <c r="F1036" s="5" t="str">
        <f aca="false">IF(C1036=0,"",IF($A1036="Bank",IF(INDEX(Bank!$D:$D,$C1036)="","",INDEX(Bank!$D:$D,$C1036)),IF(INDEX(GL!$D:$D,$C1036)="","",INDEX(GL!$D:$D,$C1036))))</f>
        <v/>
      </c>
      <c r="G1036" s="19" t="str">
        <f aca="false">IF(C1036=0,"",IF($A1036="Bank",INDEX(Bank!$E:$E,$C1036),INDEX(GL!$E:$E,$C1036)))</f>
        <v/>
      </c>
      <c r="H1036" s="5" t="str">
        <f aca="false">IF(C1036=0,"",IF(A1036="GL",IF(G1036&gt;0,"Deposit in transit","Outstanding check / payment"),IF(G1036&gt;0,"Bank credit not in GL","Bank debit not in GL")))</f>
        <v/>
      </c>
      <c r="I1036" s="42" t="str">
        <f aca="false">IF(OR(C1036=0,CFG_PeriodEnd=""),"",CFG_PeriodEnd-D1036)</f>
        <v/>
      </c>
      <c r="J1036" s="5" t="str">
        <f aca="false">IF(C1036=0,"",IF($A1036="Bank",IF(INDEX(Bank!$G:$G,$C1036)="","",INDEX(Bank!$G:$G,$C1036)),IF(INDEX(GL!$G:$G,$C1036)="","",INDEX(GL!$G:$G,$C1036))))</f>
        <v/>
      </c>
      <c r="K1036" s="5" t="str">
        <f aca="false">IF(C1036=0,"",IF($A1036="Bank",IF(INDEX(Bank!$I:$I,$C1036)="","",INDEX(Bank!$I:$I,$C1036)),IF(INDEX(GL!$I:$I,$C1036)="","",INDEX(GL!$I:$I,$C1036))))</f>
        <v/>
      </c>
      <c r="L1036" s="5" t="str">
        <f aca="false">IF(B1036="","",IF(C1036=0,"NOT FOUND",IF(IF($A1036="Bank",INDEX(Bank!$F:$F,$C1036),INDEX(GL!$F:$F,$C1036))="Y","NOW RECONCILED: refresh","OK")))</f>
        <v/>
      </c>
    </row>
    <row r="1037" customFormat="false" ht="15" hidden="false" customHeight="false" outlineLevel="0" collapsed="false">
      <c r="A1037" s="41"/>
      <c r="B1037" s="41"/>
      <c r="C1037" s="5" t="n">
        <f aca="false">IF(B1037="",0,IF(A1037="Bank",IFERROR(MATCH(B1037,Bank!$A:$A,0),0),IFERROR(MATCH(B1037,GL!$A:$A,0),0)))</f>
        <v>0</v>
      </c>
      <c r="D1037" s="32" t="str">
        <f aca="false">IF(C1037=0,"",IF($A1037="Bank",INDEX(Bank!$B:$B,$C1037),INDEX(GL!$B:$B,$C1037)))</f>
        <v/>
      </c>
      <c r="E1037" s="5" t="str">
        <f aca="false">IF(C1037=0,"",IF($A1037="Bank",IF(INDEX(Bank!$C:$C,$C1037)="","",INDEX(Bank!$C:$C,$C1037)),IF(INDEX(GL!$C:$C,$C1037)="","",INDEX(GL!$C:$C,$C1037))))</f>
        <v/>
      </c>
      <c r="F1037" s="5" t="str">
        <f aca="false">IF(C1037=0,"",IF($A1037="Bank",IF(INDEX(Bank!$D:$D,$C1037)="","",INDEX(Bank!$D:$D,$C1037)),IF(INDEX(GL!$D:$D,$C1037)="","",INDEX(GL!$D:$D,$C1037))))</f>
        <v/>
      </c>
      <c r="G1037" s="19" t="str">
        <f aca="false">IF(C1037=0,"",IF($A1037="Bank",INDEX(Bank!$E:$E,$C1037),INDEX(GL!$E:$E,$C1037)))</f>
        <v/>
      </c>
      <c r="H1037" s="5" t="str">
        <f aca="false">IF(C1037=0,"",IF(A1037="GL",IF(G1037&gt;0,"Deposit in transit","Outstanding check / payment"),IF(G1037&gt;0,"Bank credit not in GL","Bank debit not in GL")))</f>
        <v/>
      </c>
      <c r="I1037" s="42" t="str">
        <f aca="false">IF(OR(C1037=0,CFG_PeriodEnd=""),"",CFG_PeriodEnd-D1037)</f>
        <v/>
      </c>
      <c r="J1037" s="5" t="str">
        <f aca="false">IF(C1037=0,"",IF($A1037="Bank",IF(INDEX(Bank!$G:$G,$C1037)="","",INDEX(Bank!$G:$G,$C1037)),IF(INDEX(GL!$G:$G,$C1037)="","",INDEX(GL!$G:$G,$C1037))))</f>
        <v/>
      </c>
      <c r="K1037" s="5" t="str">
        <f aca="false">IF(C1037=0,"",IF($A1037="Bank",IF(INDEX(Bank!$I:$I,$C1037)="","",INDEX(Bank!$I:$I,$C1037)),IF(INDEX(GL!$I:$I,$C1037)="","",INDEX(GL!$I:$I,$C1037))))</f>
        <v/>
      </c>
      <c r="L1037" s="5" t="str">
        <f aca="false">IF(B1037="","",IF(C1037=0,"NOT FOUND",IF(IF($A1037="Bank",INDEX(Bank!$F:$F,$C1037),INDEX(GL!$F:$F,$C1037))="Y","NOW RECONCILED: refresh","OK")))</f>
        <v/>
      </c>
    </row>
    <row r="1038" customFormat="false" ht="15" hidden="false" customHeight="false" outlineLevel="0" collapsed="false">
      <c r="A1038" s="41"/>
      <c r="B1038" s="41"/>
      <c r="C1038" s="5" t="n">
        <f aca="false">IF(B1038="",0,IF(A1038="Bank",IFERROR(MATCH(B1038,Bank!$A:$A,0),0),IFERROR(MATCH(B1038,GL!$A:$A,0),0)))</f>
        <v>0</v>
      </c>
      <c r="D1038" s="32" t="str">
        <f aca="false">IF(C1038=0,"",IF($A1038="Bank",INDEX(Bank!$B:$B,$C1038),INDEX(GL!$B:$B,$C1038)))</f>
        <v/>
      </c>
      <c r="E1038" s="5" t="str">
        <f aca="false">IF(C1038=0,"",IF($A1038="Bank",IF(INDEX(Bank!$C:$C,$C1038)="","",INDEX(Bank!$C:$C,$C1038)),IF(INDEX(GL!$C:$C,$C1038)="","",INDEX(GL!$C:$C,$C1038))))</f>
        <v/>
      </c>
      <c r="F1038" s="5" t="str">
        <f aca="false">IF(C1038=0,"",IF($A1038="Bank",IF(INDEX(Bank!$D:$D,$C1038)="","",INDEX(Bank!$D:$D,$C1038)),IF(INDEX(GL!$D:$D,$C1038)="","",INDEX(GL!$D:$D,$C1038))))</f>
        <v/>
      </c>
      <c r="G1038" s="19" t="str">
        <f aca="false">IF(C1038=0,"",IF($A1038="Bank",INDEX(Bank!$E:$E,$C1038),INDEX(GL!$E:$E,$C1038)))</f>
        <v/>
      </c>
      <c r="H1038" s="5" t="str">
        <f aca="false">IF(C1038=0,"",IF(A1038="GL",IF(G1038&gt;0,"Deposit in transit","Outstanding check / payment"),IF(G1038&gt;0,"Bank credit not in GL","Bank debit not in GL")))</f>
        <v/>
      </c>
      <c r="I1038" s="42" t="str">
        <f aca="false">IF(OR(C1038=0,CFG_PeriodEnd=""),"",CFG_PeriodEnd-D1038)</f>
        <v/>
      </c>
      <c r="J1038" s="5" t="str">
        <f aca="false">IF(C1038=0,"",IF($A1038="Bank",IF(INDEX(Bank!$G:$G,$C1038)="","",INDEX(Bank!$G:$G,$C1038)),IF(INDEX(GL!$G:$G,$C1038)="","",INDEX(GL!$G:$G,$C1038))))</f>
        <v/>
      </c>
      <c r="K1038" s="5" t="str">
        <f aca="false">IF(C1038=0,"",IF($A1038="Bank",IF(INDEX(Bank!$I:$I,$C1038)="","",INDEX(Bank!$I:$I,$C1038)),IF(INDEX(GL!$I:$I,$C1038)="","",INDEX(GL!$I:$I,$C1038))))</f>
        <v/>
      </c>
      <c r="L1038" s="5" t="str">
        <f aca="false">IF(B1038="","",IF(C1038=0,"NOT FOUND",IF(IF($A1038="Bank",INDEX(Bank!$F:$F,$C1038),INDEX(GL!$F:$F,$C1038))="Y","NOW RECONCILED: refresh","OK")))</f>
        <v/>
      </c>
    </row>
    <row r="1039" customFormat="false" ht="15" hidden="false" customHeight="false" outlineLevel="0" collapsed="false">
      <c r="A1039" s="41"/>
      <c r="B1039" s="41"/>
      <c r="C1039" s="5" t="n">
        <f aca="false">IF(B1039="",0,IF(A1039="Bank",IFERROR(MATCH(B1039,Bank!$A:$A,0),0),IFERROR(MATCH(B1039,GL!$A:$A,0),0)))</f>
        <v>0</v>
      </c>
      <c r="D1039" s="32" t="str">
        <f aca="false">IF(C1039=0,"",IF($A1039="Bank",INDEX(Bank!$B:$B,$C1039),INDEX(GL!$B:$B,$C1039)))</f>
        <v/>
      </c>
      <c r="E1039" s="5" t="str">
        <f aca="false">IF(C1039=0,"",IF($A1039="Bank",IF(INDEX(Bank!$C:$C,$C1039)="","",INDEX(Bank!$C:$C,$C1039)),IF(INDEX(GL!$C:$C,$C1039)="","",INDEX(GL!$C:$C,$C1039))))</f>
        <v/>
      </c>
      <c r="F1039" s="5" t="str">
        <f aca="false">IF(C1039=0,"",IF($A1039="Bank",IF(INDEX(Bank!$D:$D,$C1039)="","",INDEX(Bank!$D:$D,$C1039)),IF(INDEX(GL!$D:$D,$C1039)="","",INDEX(GL!$D:$D,$C1039))))</f>
        <v/>
      </c>
      <c r="G1039" s="19" t="str">
        <f aca="false">IF(C1039=0,"",IF($A1039="Bank",INDEX(Bank!$E:$E,$C1039),INDEX(GL!$E:$E,$C1039)))</f>
        <v/>
      </c>
      <c r="H1039" s="5" t="str">
        <f aca="false">IF(C1039=0,"",IF(A1039="GL",IF(G1039&gt;0,"Deposit in transit","Outstanding check / payment"),IF(G1039&gt;0,"Bank credit not in GL","Bank debit not in GL")))</f>
        <v/>
      </c>
      <c r="I1039" s="42" t="str">
        <f aca="false">IF(OR(C1039=0,CFG_PeriodEnd=""),"",CFG_PeriodEnd-D1039)</f>
        <v/>
      </c>
      <c r="J1039" s="5" t="str">
        <f aca="false">IF(C1039=0,"",IF($A1039="Bank",IF(INDEX(Bank!$G:$G,$C1039)="","",INDEX(Bank!$G:$G,$C1039)),IF(INDEX(GL!$G:$G,$C1039)="","",INDEX(GL!$G:$G,$C1039))))</f>
        <v/>
      </c>
      <c r="K1039" s="5" t="str">
        <f aca="false">IF(C1039=0,"",IF($A1039="Bank",IF(INDEX(Bank!$I:$I,$C1039)="","",INDEX(Bank!$I:$I,$C1039)),IF(INDEX(GL!$I:$I,$C1039)="","",INDEX(GL!$I:$I,$C1039))))</f>
        <v/>
      </c>
      <c r="L1039" s="5" t="str">
        <f aca="false">IF(B1039="","",IF(C1039=0,"NOT FOUND",IF(IF($A1039="Bank",INDEX(Bank!$F:$F,$C1039),INDEX(GL!$F:$F,$C1039))="Y","NOW RECONCILED: refresh","OK")))</f>
        <v/>
      </c>
    </row>
    <row r="1040" customFormat="false" ht="15" hidden="false" customHeight="false" outlineLevel="0" collapsed="false">
      <c r="A1040" s="41"/>
      <c r="B1040" s="41"/>
      <c r="C1040" s="5" t="n">
        <f aca="false">IF(B1040="",0,IF(A1040="Bank",IFERROR(MATCH(B1040,Bank!$A:$A,0),0),IFERROR(MATCH(B1040,GL!$A:$A,0),0)))</f>
        <v>0</v>
      </c>
      <c r="D1040" s="32" t="str">
        <f aca="false">IF(C1040=0,"",IF($A1040="Bank",INDEX(Bank!$B:$B,$C1040),INDEX(GL!$B:$B,$C1040)))</f>
        <v/>
      </c>
      <c r="E1040" s="5" t="str">
        <f aca="false">IF(C1040=0,"",IF($A1040="Bank",IF(INDEX(Bank!$C:$C,$C1040)="","",INDEX(Bank!$C:$C,$C1040)),IF(INDEX(GL!$C:$C,$C1040)="","",INDEX(GL!$C:$C,$C1040))))</f>
        <v/>
      </c>
      <c r="F1040" s="5" t="str">
        <f aca="false">IF(C1040=0,"",IF($A1040="Bank",IF(INDEX(Bank!$D:$D,$C1040)="","",INDEX(Bank!$D:$D,$C1040)),IF(INDEX(GL!$D:$D,$C1040)="","",INDEX(GL!$D:$D,$C1040))))</f>
        <v/>
      </c>
      <c r="G1040" s="19" t="str">
        <f aca="false">IF(C1040=0,"",IF($A1040="Bank",INDEX(Bank!$E:$E,$C1040),INDEX(GL!$E:$E,$C1040)))</f>
        <v/>
      </c>
      <c r="H1040" s="5" t="str">
        <f aca="false">IF(C1040=0,"",IF(A1040="GL",IF(G1040&gt;0,"Deposit in transit","Outstanding check / payment"),IF(G1040&gt;0,"Bank credit not in GL","Bank debit not in GL")))</f>
        <v/>
      </c>
      <c r="I1040" s="42" t="str">
        <f aca="false">IF(OR(C1040=0,CFG_PeriodEnd=""),"",CFG_PeriodEnd-D1040)</f>
        <v/>
      </c>
      <c r="J1040" s="5" t="str">
        <f aca="false">IF(C1040=0,"",IF($A1040="Bank",IF(INDEX(Bank!$G:$G,$C1040)="","",INDEX(Bank!$G:$G,$C1040)),IF(INDEX(GL!$G:$G,$C1040)="","",INDEX(GL!$G:$G,$C1040))))</f>
        <v/>
      </c>
      <c r="K1040" s="5" t="str">
        <f aca="false">IF(C1040=0,"",IF($A1040="Bank",IF(INDEX(Bank!$I:$I,$C1040)="","",INDEX(Bank!$I:$I,$C1040)),IF(INDEX(GL!$I:$I,$C1040)="","",INDEX(GL!$I:$I,$C1040))))</f>
        <v/>
      </c>
      <c r="L1040" s="5" t="str">
        <f aca="false">IF(B1040="","",IF(C1040=0,"NOT FOUND",IF(IF($A1040="Bank",INDEX(Bank!$F:$F,$C1040),INDEX(GL!$F:$F,$C1040))="Y","NOW RECONCILED: refresh","OK")))</f>
        <v/>
      </c>
    </row>
    <row r="1041" customFormat="false" ht="15" hidden="false" customHeight="false" outlineLevel="0" collapsed="false">
      <c r="A1041" s="41"/>
      <c r="B1041" s="41"/>
      <c r="C1041" s="5" t="n">
        <f aca="false">IF(B1041="",0,IF(A1041="Bank",IFERROR(MATCH(B1041,Bank!$A:$A,0),0),IFERROR(MATCH(B1041,GL!$A:$A,0),0)))</f>
        <v>0</v>
      </c>
      <c r="D1041" s="32" t="str">
        <f aca="false">IF(C1041=0,"",IF($A1041="Bank",INDEX(Bank!$B:$B,$C1041),INDEX(GL!$B:$B,$C1041)))</f>
        <v/>
      </c>
      <c r="E1041" s="5" t="str">
        <f aca="false">IF(C1041=0,"",IF($A1041="Bank",IF(INDEX(Bank!$C:$C,$C1041)="","",INDEX(Bank!$C:$C,$C1041)),IF(INDEX(GL!$C:$C,$C1041)="","",INDEX(GL!$C:$C,$C1041))))</f>
        <v/>
      </c>
      <c r="F1041" s="5" t="str">
        <f aca="false">IF(C1041=0,"",IF($A1041="Bank",IF(INDEX(Bank!$D:$D,$C1041)="","",INDEX(Bank!$D:$D,$C1041)),IF(INDEX(GL!$D:$D,$C1041)="","",INDEX(GL!$D:$D,$C1041))))</f>
        <v/>
      </c>
      <c r="G1041" s="19" t="str">
        <f aca="false">IF(C1041=0,"",IF($A1041="Bank",INDEX(Bank!$E:$E,$C1041),INDEX(GL!$E:$E,$C1041)))</f>
        <v/>
      </c>
      <c r="H1041" s="5" t="str">
        <f aca="false">IF(C1041=0,"",IF(A1041="GL",IF(G1041&gt;0,"Deposit in transit","Outstanding check / payment"),IF(G1041&gt;0,"Bank credit not in GL","Bank debit not in GL")))</f>
        <v/>
      </c>
      <c r="I1041" s="42" t="str">
        <f aca="false">IF(OR(C1041=0,CFG_PeriodEnd=""),"",CFG_PeriodEnd-D1041)</f>
        <v/>
      </c>
      <c r="J1041" s="5" t="str">
        <f aca="false">IF(C1041=0,"",IF($A1041="Bank",IF(INDEX(Bank!$G:$G,$C1041)="","",INDEX(Bank!$G:$G,$C1041)),IF(INDEX(GL!$G:$G,$C1041)="","",INDEX(GL!$G:$G,$C1041))))</f>
        <v/>
      </c>
      <c r="K1041" s="5" t="str">
        <f aca="false">IF(C1041=0,"",IF($A1041="Bank",IF(INDEX(Bank!$I:$I,$C1041)="","",INDEX(Bank!$I:$I,$C1041)),IF(INDEX(GL!$I:$I,$C1041)="","",INDEX(GL!$I:$I,$C1041))))</f>
        <v/>
      </c>
      <c r="L1041" s="5" t="str">
        <f aca="false">IF(B1041="","",IF(C1041=0,"NOT FOUND",IF(IF($A1041="Bank",INDEX(Bank!$F:$F,$C1041),INDEX(GL!$F:$F,$C1041))="Y","NOW RECONCILED: refresh","OK")))</f>
        <v/>
      </c>
    </row>
    <row r="1042" customFormat="false" ht="15" hidden="false" customHeight="false" outlineLevel="0" collapsed="false">
      <c r="A1042" s="41"/>
      <c r="B1042" s="41"/>
      <c r="C1042" s="5" t="n">
        <f aca="false">IF(B1042="",0,IF(A1042="Bank",IFERROR(MATCH(B1042,Bank!$A:$A,0),0),IFERROR(MATCH(B1042,GL!$A:$A,0),0)))</f>
        <v>0</v>
      </c>
      <c r="D1042" s="32" t="str">
        <f aca="false">IF(C1042=0,"",IF($A1042="Bank",INDEX(Bank!$B:$B,$C1042),INDEX(GL!$B:$B,$C1042)))</f>
        <v/>
      </c>
      <c r="E1042" s="5" t="str">
        <f aca="false">IF(C1042=0,"",IF($A1042="Bank",IF(INDEX(Bank!$C:$C,$C1042)="","",INDEX(Bank!$C:$C,$C1042)),IF(INDEX(GL!$C:$C,$C1042)="","",INDEX(GL!$C:$C,$C1042))))</f>
        <v/>
      </c>
      <c r="F1042" s="5" t="str">
        <f aca="false">IF(C1042=0,"",IF($A1042="Bank",IF(INDEX(Bank!$D:$D,$C1042)="","",INDEX(Bank!$D:$D,$C1042)),IF(INDEX(GL!$D:$D,$C1042)="","",INDEX(GL!$D:$D,$C1042))))</f>
        <v/>
      </c>
      <c r="G1042" s="19" t="str">
        <f aca="false">IF(C1042=0,"",IF($A1042="Bank",INDEX(Bank!$E:$E,$C1042),INDEX(GL!$E:$E,$C1042)))</f>
        <v/>
      </c>
      <c r="H1042" s="5" t="str">
        <f aca="false">IF(C1042=0,"",IF(A1042="GL",IF(G1042&gt;0,"Deposit in transit","Outstanding check / payment"),IF(G1042&gt;0,"Bank credit not in GL","Bank debit not in GL")))</f>
        <v/>
      </c>
      <c r="I1042" s="42" t="str">
        <f aca="false">IF(OR(C1042=0,CFG_PeriodEnd=""),"",CFG_PeriodEnd-D1042)</f>
        <v/>
      </c>
      <c r="J1042" s="5" t="str">
        <f aca="false">IF(C1042=0,"",IF($A1042="Bank",IF(INDEX(Bank!$G:$G,$C1042)="","",INDEX(Bank!$G:$G,$C1042)),IF(INDEX(GL!$G:$G,$C1042)="","",INDEX(GL!$G:$G,$C1042))))</f>
        <v/>
      </c>
      <c r="K1042" s="5" t="str">
        <f aca="false">IF(C1042=0,"",IF($A1042="Bank",IF(INDEX(Bank!$I:$I,$C1042)="","",INDEX(Bank!$I:$I,$C1042)),IF(INDEX(GL!$I:$I,$C1042)="","",INDEX(GL!$I:$I,$C1042))))</f>
        <v/>
      </c>
      <c r="L1042" s="5" t="str">
        <f aca="false">IF(B1042="","",IF(C1042=0,"NOT FOUND",IF(IF($A1042="Bank",INDEX(Bank!$F:$F,$C1042),INDEX(GL!$F:$F,$C1042))="Y","NOW RECONCILED: refresh","OK")))</f>
        <v/>
      </c>
    </row>
    <row r="1043" customFormat="false" ht="15" hidden="false" customHeight="false" outlineLevel="0" collapsed="false">
      <c r="A1043" s="41"/>
      <c r="B1043" s="41"/>
      <c r="C1043" s="5" t="n">
        <f aca="false">IF(B1043="",0,IF(A1043="Bank",IFERROR(MATCH(B1043,Bank!$A:$A,0),0),IFERROR(MATCH(B1043,GL!$A:$A,0),0)))</f>
        <v>0</v>
      </c>
      <c r="D1043" s="32" t="str">
        <f aca="false">IF(C1043=0,"",IF($A1043="Bank",INDEX(Bank!$B:$B,$C1043),INDEX(GL!$B:$B,$C1043)))</f>
        <v/>
      </c>
      <c r="E1043" s="5" t="str">
        <f aca="false">IF(C1043=0,"",IF($A1043="Bank",IF(INDEX(Bank!$C:$C,$C1043)="","",INDEX(Bank!$C:$C,$C1043)),IF(INDEX(GL!$C:$C,$C1043)="","",INDEX(GL!$C:$C,$C1043))))</f>
        <v/>
      </c>
      <c r="F1043" s="5" t="str">
        <f aca="false">IF(C1043=0,"",IF($A1043="Bank",IF(INDEX(Bank!$D:$D,$C1043)="","",INDEX(Bank!$D:$D,$C1043)),IF(INDEX(GL!$D:$D,$C1043)="","",INDEX(GL!$D:$D,$C1043))))</f>
        <v/>
      </c>
      <c r="G1043" s="19" t="str">
        <f aca="false">IF(C1043=0,"",IF($A1043="Bank",INDEX(Bank!$E:$E,$C1043),INDEX(GL!$E:$E,$C1043)))</f>
        <v/>
      </c>
      <c r="H1043" s="5" t="str">
        <f aca="false">IF(C1043=0,"",IF(A1043="GL",IF(G1043&gt;0,"Deposit in transit","Outstanding check / payment"),IF(G1043&gt;0,"Bank credit not in GL","Bank debit not in GL")))</f>
        <v/>
      </c>
      <c r="I1043" s="42" t="str">
        <f aca="false">IF(OR(C1043=0,CFG_PeriodEnd=""),"",CFG_PeriodEnd-D1043)</f>
        <v/>
      </c>
      <c r="J1043" s="5" t="str">
        <f aca="false">IF(C1043=0,"",IF($A1043="Bank",IF(INDEX(Bank!$G:$G,$C1043)="","",INDEX(Bank!$G:$G,$C1043)),IF(INDEX(GL!$G:$G,$C1043)="","",INDEX(GL!$G:$G,$C1043))))</f>
        <v/>
      </c>
      <c r="K1043" s="5" t="str">
        <f aca="false">IF(C1043=0,"",IF($A1043="Bank",IF(INDEX(Bank!$I:$I,$C1043)="","",INDEX(Bank!$I:$I,$C1043)),IF(INDEX(GL!$I:$I,$C1043)="","",INDEX(GL!$I:$I,$C1043))))</f>
        <v/>
      </c>
      <c r="L1043" s="5" t="str">
        <f aca="false">IF(B1043="","",IF(C1043=0,"NOT FOUND",IF(IF($A1043="Bank",INDEX(Bank!$F:$F,$C1043),INDEX(GL!$F:$F,$C1043))="Y","NOW RECONCILED: refresh","OK")))</f>
        <v/>
      </c>
    </row>
    <row r="1044" customFormat="false" ht="15" hidden="false" customHeight="false" outlineLevel="0" collapsed="false">
      <c r="A1044" s="41"/>
      <c r="B1044" s="41"/>
      <c r="C1044" s="5" t="n">
        <f aca="false">IF(B1044="",0,IF(A1044="Bank",IFERROR(MATCH(B1044,Bank!$A:$A,0),0),IFERROR(MATCH(B1044,GL!$A:$A,0),0)))</f>
        <v>0</v>
      </c>
      <c r="D1044" s="32" t="str">
        <f aca="false">IF(C1044=0,"",IF($A1044="Bank",INDEX(Bank!$B:$B,$C1044),INDEX(GL!$B:$B,$C1044)))</f>
        <v/>
      </c>
      <c r="E1044" s="5" t="str">
        <f aca="false">IF(C1044=0,"",IF($A1044="Bank",IF(INDEX(Bank!$C:$C,$C1044)="","",INDEX(Bank!$C:$C,$C1044)),IF(INDEX(GL!$C:$C,$C1044)="","",INDEX(GL!$C:$C,$C1044))))</f>
        <v/>
      </c>
      <c r="F1044" s="5" t="str">
        <f aca="false">IF(C1044=0,"",IF($A1044="Bank",IF(INDEX(Bank!$D:$D,$C1044)="","",INDEX(Bank!$D:$D,$C1044)),IF(INDEX(GL!$D:$D,$C1044)="","",INDEX(GL!$D:$D,$C1044))))</f>
        <v/>
      </c>
      <c r="G1044" s="19" t="str">
        <f aca="false">IF(C1044=0,"",IF($A1044="Bank",INDEX(Bank!$E:$E,$C1044),INDEX(GL!$E:$E,$C1044)))</f>
        <v/>
      </c>
      <c r="H1044" s="5" t="str">
        <f aca="false">IF(C1044=0,"",IF(A1044="GL",IF(G1044&gt;0,"Deposit in transit","Outstanding check / payment"),IF(G1044&gt;0,"Bank credit not in GL","Bank debit not in GL")))</f>
        <v/>
      </c>
      <c r="I1044" s="42" t="str">
        <f aca="false">IF(OR(C1044=0,CFG_PeriodEnd=""),"",CFG_PeriodEnd-D1044)</f>
        <v/>
      </c>
      <c r="J1044" s="5" t="str">
        <f aca="false">IF(C1044=0,"",IF($A1044="Bank",IF(INDEX(Bank!$G:$G,$C1044)="","",INDEX(Bank!$G:$G,$C1044)),IF(INDEX(GL!$G:$G,$C1044)="","",INDEX(GL!$G:$G,$C1044))))</f>
        <v/>
      </c>
      <c r="K1044" s="5" t="str">
        <f aca="false">IF(C1044=0,"",IF($A1044="Bank",IF(INDEX(Bank!$I:$I,$C1044)="","",INDEX(Bank!$I:$I,$C1044)),IF(INDEX(GL!$I:$I,$C1044)="","",INDEX(GL!$I:$I,$C1044))))</f>
        <v/>
      </c>
      <c r="L1044" s="5" t="str">
        <f aca="false">IF(B1044="","",IF(C1044=0,"NOT FOUND",IF(IF($A1044="Bank",INDEX(Bank!$F:$F,$C1044),INDEX(GL!$F:$F,$C1044))="Y","NOW RECONCILED: refresh","OK")))</f>
        <v/>
      </c>
    </row>
    <row r="1045" customFormat="false" ht="15" hidden="false" customHeight="false" outlineLevel="0" collapsed="false">
      <c r="A1045" s="41"/>
      <c r="B1045" s="41"/>
      <c r="C1045" s="5" t="n">
        <f aca="false">IF(B1045="",0,IF(A1045="Bank",IFERROR(MATCH(B1045,Bank!$A:$A,0),0),IFERROR(MATCH(B1045,GL!$A:$A,0),0)))</f>
        <v>0</v>
      </c>
      <c r="D1045" s="32" t="str">
        <f aca="false">IF(C1045=0,"",IF($A1045="Bank",INDEX(Bank!$B:$B,$C1045),INDEX(GL!$B:$B,$C1045)))</f>
        <v/>
      </c>
      <c r="E1045" s="5" t="str">
        <f aca="false">IF(C1045=0,"",IF($A1045="Bank",IF(INDEX(Bank!$C:$C,$C1045)="","",INDEX(Bank!$C:$C,$C1045)),IF(INDEX(GL!$C:$C,$C1045)="","",INDEX(GL!$C:$C,$C1045))))</f>
        <v/>
      </c>
      <c r="F1045" s="5" t="str">
        <f aca="false">IF(C1045=0,"",IF($A1045="Bank",IF(INDEX(Bank!$D:$D,$C1045)="","",INDEX(Bank!$D:$D,$C1045)),IF(INDEX(GL!$D:$D,$C1045)="","",INDEX(GL!$D:$D,$C1045))))</f>
        <v/>
      </c>
      <c r="G1045" s="19" t="str">
        <f aca="false">IF(C1045=0,"",IF($A1045="Bank",INDEX(Bank!$E:$E,$C1045),INDEX(GL!$E:$E,$C1045)))</f>
        <v/>
      </c>
      <c r="H1045" s="5" t="str">
        <f aca="false">IF(C1045=0,"",IF(A1045="GL",IF(G1045&gt;0,"Deposit in transit","Outstanding check / payment"),IF(G1045&gt;0,"Bank credit not in GL","Bank debit not in GL")))</f>
        <v/>
      </c>
      <c r="I1045" s="42" t="str">
        <f aca="false">IF(OR(C1045=0,CFG_PeriodEnd=""),"",CFG_PeriodEnd-D1045)</f>
        <v/>
      </c>
      <c r="J1045" s="5" t="str">
        <f aca="false">IF(C1045=0,"",IF($A1045="Bank",IF(INDEX(Bank!$G:$G,$C1045)="","",INDEX(Bank!$G:$G,$C1045)),IF(INDEX(GL!$G:$G,$C1045)="","",INDEX(GL!$G:$G,$C1045))))</f>
        <v/>
      </c>
      <c r="K1045" s="5" t="str">
        <f aca="false">IF(C1045=0,"",IF($A1045="Bank",IF(INDEX(Bank!$I:$I,$C1045)="","",INDEX(Bank!$I:$I,$C1045)),IF(INDEX(GL!$I:$I,$C1045)="","",INDEX(GL!$I:$I,$C1045))))</f>
        <v/>
      </c>
      <c r="L1045" s="5" t="str">
        <f aca="false">IF(B1045="","",IF(C1045=0,"NOT FOUND",IF(IF($A1045="Bank",INDEX(Bank!$F:$F,$C1045),INDEX(GL!$F:$F,$C1045))="Y","NOW RECONCILED: refresh","OK")))</f>
        <v/>
      </c>
    </row>
    <row r="1046" customFormat="false" ht="15" hidden="false" customHeight="false" outlineLevel="0" collapsed="false">
      <c r="A1046" s="41"/>
      <c r="B1046" s="41"/>
      <c r="C1046" s="5" t="n">
        <f aca="false">IF(B1046="",0,IF(A1046="Bank",IFERROR(MATCH(B1046,Bank!$A:$A,0),0),IFERROR(MATCH(B1046,GL!$A:$A,0),0)))</f>
        <v>0</v>
      </c>
      <c r="D1046" s="32" t="str">
        <f aca="false">IF(C1046=0,"",IF($A1046="Bank",INDEX(Bank!$B:$B,$C1046),INDEX(GL!$B:$B,$C1046)))</f>
        <v/>
      </c>
      <c r="E1046" s="5" t="str">
        <f aca="false">IF(C1046=0,"",IF($A1046="Bank",IF(INDEX(Bank!$C:$C,$C1046)="","",INDEX(Bank!$C:$C,$C1046)),IF(INDEX(GL!$C:$C,$C1046)="","",INDEX(GL!$C:$C,$C1046))))</f>
        <v/>
      </c>
      <c r="F1046" s="5" t="str">
        <f aca="false">IF(C1046=0,"",IF($A1046="Bank",IF(INDEX(Bank!$D:$D,$C1046)="","",INDEX(Bank!$D:$D,$C1046)),IF(INDEX(GL!$D:$D,$C1046)="","",INDEX(GL!$D:$D,$C1046))))</f>
        <v/>
      </c>
      <c r="G1046" s="19" t="str">
        <f aca="false">IF(C1046=0,"",IF($A1046="Bank",INDEX(Bank!$E:$E,$C1046),INDEX(GL!$E:$E,$C1046)))</f>
        <v/>
      </c>
      <c r="H1046" s="5" t="str">
        <f aca="false">IF(C1046=0,"",IF(A1046="GL",IF(G1046&gt;0,"Deposit in transit","Outstanding check / payment"),IF(G1046&gt;0,"Bank credit not in GL","Bank debit not in GL")))</f>
        <v/>
      </c>
      <c r="I1046" s="42" t="str">
        <f aca="false">IF(OR(C1046=0,CFG_PeriodEnd=""),"",CFG_PeriodEnd-D1046)</f>
        <v/>
      </c>
      <c r="J1046" s="5" t="str">
        <f aca="false">IF(C1046=0,"",IF($A1046="Bank",IF(INDEX(Bank!$G:$G,$C1046)="","",INDEX(Bank!$G:$G,$C1046)),IF(INDEX(GL!$G:$G,$C1046)="","",INDEX(GL!$G:$G,$C1046))))</f>
        <v/>
      </c>
      <c r="K1046" s="5" t="str">
        <f aca="false">IF(C1046=0,"",IF($A1046="Bank",IF(INDEX(Bank!$I:$I,$C1046)="","",INDEX(Bank!$I:$I,$C1046)),IF(INDEX(GL!$I:$I,$C1046)="","",INDEX(GL!$I:$I,$C1046))))</f>
        <v/>
      </c>
      <c r="L1046" s="5" t="str">
        <f aca="false">IF(B1046="","",IF(C1046=0,"NOT FOUND",IF(IF($A1046="Bank",INDEX(Bank!$F:$F,$C1046),INDEX(GL!$F:$F,$C1046))="Y","NOW RECONCILED: refresh","OK")))</f>
        <v/>
      </c>
    </row>
    <row r="1047" customFormat="false" ht="15" hidden="false" customHeight="false" outlineLevel="0" collapsed="false">
      <c r="A1047" s="41"/>
      <c r="B1047" s="41"/>
      <c r="C1047" s="5" t="n">
        <f aca="false">IF(B1047="",0,IF(A1047="Bank",IFERROR(MATCH(B1047,Bank!$A:$A,0),0),IFERROR(MATCH(B1047,GL!$A:$A,0),0)))</f>
        <v>0</v>
      </c>
      <c r="D1047" s="32" t="str">
        <f aca="false">IF(C1047=0,"",IF($A1047="Bank",INDEX(Bank!$B:$B,$C1047),INDEX(GL!$B:$B,$C1047)))</f>
        <v/>
      </c>
      <c r="E1047" s="5" t="str">
        <f aca="false">IF(C1047=0,"",IF($A1047="Bank",IF(INDEX(Bank!$C:$C,$C1047)="","",INDEX(Bank!$C:$C,$C1047)),IF(INDEX(GL!$C:$C,$C1047)="","",INDEX(GL!$C:$C,$C1047))))</f>
        <v/>
      </c>
      <c r="F1047" s="5" t="str">
        <f aca="false">IF(C1047=0,"",IF($A1047="Bank",IF(INDEX(Bank!$D:$D,$C1047)="","",INDEX(Bank!$D:$D,$C1047)),IF(INDEX(GL!$D:$D,$C1047)="","",INDEX(GL!$D:$D,$C1047))))</f>
        <v/>
      </c>
      <c r="G1047" s="19" t="str">
        <f aca="false">IF(C1047=0,"",IF($A1047="Bank",INDEX(Bank!$E:$E,$C1047),INDEX(GL!$E:$E,$C1047)))</f>
        <v/>
      </c>
      <c r="H1047" s="5" t="str">
        <f aca="false">IF(C1047=0,"",IF(A1047="GL",IF(G1047&gt;0,"Deposit in transit","Outstanding check / payment"),IF(G1047&gt;0,"Bank credit not in GL","Bank debit not in GL")))</f>
        <v/>
      </c>
      <c r="I1047" s="42" t="str">
        <f aca="false">IF(OR(C1047=0,CFG_PeriodEnd=""),"",CFG_PeriodEnd-D1047)</f>
        <v/>
      </c>
      <c r="J1047" s="5" t="str">
        <f aca="false">IF(C1047=0,"",IF($A1047="Bank",IF(INDEX(Bank!$G:$G,$C1047)="","",INDEX(Bank!$G:$G,$C1047)),IF(INDEX(GL!$G:$G,$C1047)="","",INDEX(GL!$G:$G,$C1047))))</f>
        <v/>
      </c>
      <c r="K1047" s="5" t="str">
        <f aca="false">IF(C1047=0,"",IF($A1047="Bank",IF(INDEX(Bank!$I:$I,$C1047)="","",INDEX(Bank!$I:$I,$C1047)),IF(INDEX(GL!$I:$I,$C1047)="","",INDEX(GL!$I:$I,$C1047))))</f>
        <v/>
      </c>
      <c r="L1047" s="5" t="str">
        <f aca="false">IF(B1047="","",IF(C1047=0,"NOT FOUND",IF(IF($A1047="Bank",INDEX(Bank!$F:$F,$C1047),INDEX(GL!$F:$F,$C1047))="Y","NOW RECONCILED: refresh","OK")))</f>
        <v/>
      </c>
    </row>
    <row r="1048" customFormat="false" ht="15" hidden="false" customHeight="false" outlineLevel="0" collapsed="false">
      <c r="A1048" s="41"/>
      <c r="B1048" s="41"/>
      <c r="C1048" s="5" t="n">
        <f aca="false">IF(B1048="",0,IF(A1048="Bank",IFERROR(MATCH(B1048,Bank!$A:$A,0),0),IFERROR(MATCH(B1048,GL!$A:$A,0),0)))</f>
        <v>0</v>
      </c>
      <c r="D1048" s="32" t="str">
        <f aca="false">IF(C1048=0,"",IF($A1048="Bank",INDEX(Bank!$B:$B,$C1048),INDEX(GL!$B:$B,$C1048)))</f>
        <v/>
      </c>
      <c r="E1048" s="5" t="str">
        <f aca="false">IF(C1048=0,"",IF($A1048="Bank",IF(INDEX(Bank!$C:$C,$C1048)="","",INDEX(Bank!$C:$C,$C1048)),IF(INDEX(GL!$C:$C,$C1048)="","",INDEX(GL!$C:$C,$C1048))))</f>
        <v/>
      </c>
      <c r="F1048" s="5" t="str">
        <f aca="false">IF(C1048=0,"",IF($A1048="Bank",IF(INDEX(Bank!$D:$D,$C1048)="","",INDEX(Bank!$D:$D,$C1048)),IF(INDEX(GL!$D:$D,$C1048)="","",INDEX(GL!$D:$D,$C1048))))</f>
        <v/>
      </c>
      <c r="G1048" s="19" t="str">
        <f aca="false">IF(C1048=0,"",IF($A1048="Bank",INDEX(Bank!$E:$E,$C1048),INDEX(GL!$E:$E,$C1048)))</f>
        <v/>
      </c>
      <c r="H1048" s="5" t="str">
        <f aca="false">IF(C1048=0,"",IF(A1048="GL",IF(G1048&gt;0,"Deposit in transit","Outstanding check / payment"),IF(G1048&gt;0,"Bank credit not in GL","Bank debit not in GL")))</f>
        <v/>
      </c>
      <c r="I1048" s="42" t="str">
        <f aca="false">IF(OR(C1048=0,CFG_PeriodEnd=""),"",CFG_PeriodEnd-D1048)</f>
        <v/>
      </c>
      <c r="J1048" s="5" t="str">
        <f aca="false">IF(C1048=0,"",IF($A1048="Bank",IF(INDEX(Bank!$G:$G,$C1048)="","",INDEX(Bank!$G:$G,$C1048)),IF(INDEX(GL!$G:$G,$C1048)="","",INDEX(GL!$G:$G,$C1048))))</f>
        <v/>
      </c>
      <c r="K1048" s="5" t="str">
        <f aca="false">IF(C1048=0,"",IF($A1048="Bank",IF(INDEX(Bank!$I:$I,$C1048)="","",INDEX(Bank!$I:$I,$C1048)),IF(INDEX(GL!$I:$I,$C1048)="","",INDEX(GL!$I:$I,$C1048))))</f>
        <v/>
      </c>
      <c r="L1048" s="5" t="str">
        <f aca="false">IF(B1048="","",IF(C1048=0,"NOT FOUND",IF(IF($A1048="Bank",INDEX(Bank!$F:$F,$C1048),INDEX(GL!$F:$F,$C1048))="Y","NOW RECONCILED: refresh","OK")))</f>
        <v/>
      </c>
    </row>
    <row r="1049" customFormat="false" ht="15" hidden="false" customHeight="false" outlineLevel="0" collapsed="false">
      <c r="A1049" s="41"/>
      <c r="B1049" s="41"/>
      <c r="C1049" s="5" t="n">
        <f aca="false">IF(B1049="",0,IF(A1049="Bank",IFERROR(MATCH(B1049,Bank!$A:$A,0),0),IFERROR(MATCH(B1049,GL!$A:$A,0),0)))</f>
        <v>0</v>
      </c>
      <c r="D1049" s="32" t="str">
        <f aca="false">IF(C1049=0,"",IF($A1049="Bank",INDEX(Bank!$B:$B,$C1049),INDEX(GL!$B:$B,$C1049)))</f>
        <v/>
      </c>
      <c r="E1049" s="5" t="str">
        <f aca="false">IF(C1049=0,"",IF($A1049="Bank",IF(INDEX(Bank!$C:$C,$C1049)="","",INDEX(Bank!$C:$C,$C1049)),IF(INDEX(GL!$C:$C,$C1049)="","",INDEX(GL!$C:$C,$C1049))))</f>
        <v/>
      </c>
      <c r="F1049" s="5" t="str">
        <f aca="false">IF(C1049=0,"",IF($A1049="Bank",IF(INDEX(Bank!$D:$D,$C1049)="","",INDEX(Bank!$D:$D,$C1049)),IF(INDEX(GL!$D:$D,$C1049)="","",INDEX(GL!$D:$D,$C1049))))</f>
        <v/>
      </c>
      <c r="G1049" s="19" t="str">
        <f aca="false">IF(C1049=0,"",IF($A1049="Bank",INDEX(Bank!$E:$E,$C1049),INDEX(GL!$E:$E,$C1049)))</f>
        <v/>
      </c>
      <c r="H1049" s="5" t="str">
        <f aca="false">IF(C1049=0,"",IF(A1049="GL",IF(G1049&gt;0,"Deposit in transit","Outstanding check / payment"),IF(G1049&gt;0,"Bank credit not in GL","Bank debit not in GL")))</f>
        <v/>
      </c>
      <c r="I1049" s="42" t="str">
        <f aca="false">IF(OR(C1049=0,CFG_PeriodEnd=""),"",CFG_PeriodEnd-D1049)</f>
        <v/>
      </c>
      <c r="J1049" s="5" t="str">
        <f aca="false">IF(C1049=0,"",IF($A1049="Bank",IF(INDEX(Bank!$G:$G,$C1049)="","",INDEX(Bank!$G:$G,$C1049)),IF(INDEX(GL!$G:$G,$C1049)="","",INDEX(GL!$G:$G,$C1049))))</f>
        <v/>
      </c>
      <c r="K1049" s="5" t="str">
        <f aca="false">IF(C1049=0,"",IF($A1049="Bank",IF(INDEX(Bank!$I:$I,$C1049)="","",INDEX(Bank!$I:$I,$C1049)),IF(INDEX(GL!$I:$I,$C1049)="","",INDEX(GL!$I:$I,$C1049))))</f>
        <v/>
      </c>
      <c r="L1049" s="5" t="str">
        <f aca="false">IF(B1049="","",IF(C1049=0,"NOT FOUND",IF(IF($A1049="Bank",INDEX(Bank!$F:$F,$C1049),INDEX(GL!$F:$F,$C1049))="Y","NOW RECONCILED: refresh","OK")))</f>
        <v/>
      </c>
    </row>
    <row r="1050" customFormat="false" ht="15" hidden="false" customHeight="false" outlineLevel="0" collapsed="false">
      <c r="A1050" s="41"/>
      <c r="B1050" s="41"/>
      <c r="C1050" s="5" t="n">
        <f aca="false">IF(B1050="",0,IF(A1050="Bank",IFERROR(MATCH(B1050,Bank!$A:$A,0),0),IFERROR(MATCH(B1050,GL!$A:$A,0),0)))</f>
        <v>0</v>
      </c>
      <c r="D1050" s="32" t="str">
        <f aca="false">IF(C1050=0,"",IF($A1050="Bank",INDEX(Bank!$B:$B,$C1050),INDEX(GL!$B:$B,$C1050)))</f>
        <v/>
      </c>
      <c r="E1050" s="5" t="str">
        <f aca="false">IF(C1050=0,"",IF($A1050="Bank",IF(INDEX(Bank!$C:$C,$C1050)="","",INDEX(Bank!$C:$C,$C1050)),IF(INDEX(GL!$C:$C,$C1050)="","",INDEX(GL!$C:$C,$C1050))))</f>
        <v/>
      </c>
      <c r="F1050" s="5" t="str">
        <f aca="false">IF(C1050=0,"",IF($A1050="Bank",IF(INDEX(Bank!$D:$D,$C1050)="","",INDEX(Bank!$D:$D,$C1050)),IF(INDEX(GL!$D:$D,$C1050)="","",INDEX(GL!$D:$D,$C1050))))</f>
        <v/>
      </c>
      <c r="G1050" s="19" t="str">
        <f aca="false">IF(C1050=0,"",IF($A1050="Bank",INDEX(Bank!$E:$E,$C1050),INDEX(GL!$E:$E,$C1050)))</f>
        <v/>
      </c>
      <c r="H1050" s="5" t="str">
        <f aca="false">IF(C1050=0,"",IF(A1050="GL",IF(G1050&gt;0,"Deposit in transit","Outstanding check / payment"),IF(G1050&gt;0,"Bank credit not in GL","Bank debit not in GL")))</f>
        <v/>
      </c>
      <c r="I1050" s="42" t="str">
        <f aca="false">IF(OR(C1050=0,CFG_PeriodEnd=""),"",CFG_PeriodEnd-D1050)</f>
        <v/>
      </c>
      <c r="J1050" s="5" t="str">
        <f aca="false">IF(C1050=0,"",IF($A1050="Bank",IF(INDEX(Bank!$G:$G,$C1050)="","",INDEX(Bank!$G:$G,$C1050)),IF(INDEX(GL!$G:$G,$C1050)="","",INDEX(GL!$G:$G,$C1050))))</f>
        <v/>
      </c>
      <c r="K1050" s="5" t="str">
        <f aca="false">IF(C1050=0,"",IF($A1050="Bank",IF(INDEX(Bank!$I:$I,$C1050)="","",INDEX(Bank!$I:$I,$C1050)),IF(INDEX(GL!$I:$I,$C1050)="","",INDEX(GL!$I:$I,$C1050))))</f>
        <v/>
      </c>
      <c r="L1050" s="5" t="str">
        <f aca="false">IF(B1050="","",IF(C1050=0,"NOT FOUND",IF(IF($A1050="Bank",INDEX(Bank!$F:$F,$C1050),INDEX(GL!$F:$F,$C1050))="Y","NOW RECONCILED: refresh","OK")))</f>
        <v/>
      </c>
    </row>
    <row r="1051" customFormat="false" ht="15" hidden="false" customHeight="false" outlineLevel="0" collapsed="false">
      <c r="A1051" s="41"/>
      <c r="B1051" s="41"/>
      <c r="C1051" s="5" t="n">
        <f aca="false">IF(B1051="",0,IF(A1051="Bank",IFERROR(MATCH(B1051,Bank!$A:$A,0),0),IFERROR(MATCH(B1051,GL!$A:$A,0),0)))</f>
        <v>0</v>
      </c>
      <c r="D1051" s="32" t="str">
        <f aca="false">IF(C1051=0,"",IF($A1051="Bank",INDEX(Bank!$B:$B,$C1051),INDEX(GL!$B:$B,$C1051)))</f>
        <v/>
      </c>
      <c r="E1051" s="5" t="str">
        <f aca="false">IF(C1051=0,"",IF($A1051="Bank",IF(INDEX(Bank!$C:$C,$C1051)="","",INDEX(Bank!$C:$C,$C1051)),IF(INDEX(GL!$C:$C,$C1051)="","",INDEX(GL!$C:$C,$C1051))))</f>
        <v/>
      </c>
      <c r="F1051" s="5" t="str">
        <f aca="false">IF(C1051=0,"",IF($A1051="Bank",IF(INDEX(Bank!$D:$D,$C1051)="","",INDEX(Bank!$D:$D,$C1051)),IF(INDEX(GL!$D:$D,$C1051)="","",INDEX(GL!$D:$D,$C1051))))</f>
        <v/>
      </c>
      <c r="G1051" s="19" t="str">
        <f aca="false">IF(C1051=0,"",IF($A1051="Bank",INDEX(Bank!$E:$E,$C1051),INDEX(GL!$E:$E,$C1051)))</f>
        <v/>
      </c>
      <c r="H1051" s="5" t="str">
        <f aca="false">IF(C1051=0,"",IF(A1051="GL",IF(G1051&gt;0,"Deposit in transit","Outstanding check / payment"),IF(G1051&gt;0,"Bank credit not in GL","Bank debit not in GL")))</f>
        <v/>
      </c>
      <c r="I1051" s="42" t="str">
        <f aca="false">IF(OR(C1051=0,CFG_PeriodEnd=""),"",CFG_PeriodEnd-D1051)</f>
        <v/>
      </c>
      <c r="J1051" s="5" t="str">
        <f aca="false">IF(C1051=0,"",IF($A1051="Bank",IF(INDEX(Bank!$G:$G,$C1051)="","",INDEX(Bank!$G:$G,$C1051)),IF(INDEX(GL!$G:$G,$C1051)="","",INDEX(GL!$G:$G,$C1051))))</f>
        <v/>
      </c>
      <c r="K1051" s="5" t="str">
        <f aca="false">IF(C1051=0,"",IF($A1051="Bank",IF(INDEX(Bank!$I:$I,$C1051)="","",INDEX(Bank!$I:$I,$C1051)),IF(INDEX(GL!$I:$I,$C1051)="","",INDEX(GL!$I:$I,$C1051))))</f>
        <v/>
      </c>
      <c r="L1051" s="5" t="str">
        <f aca="false">IF(B1051="","",IF(C1051=0,"NOT FOUND",IF(IF($A1051="Bank",INDEX(Bank!$F:$F,$C1051),INDEX(GL!$F:$F,$C1051))="Y","NOW RECONCILED: refresh","OK")))</f>
        <v/>
      </c>
    </row>
    <row r="1052" customFormat="false" ht="15" hidden="false" customHeight="false" outlineLevel="0" collapsed="false">
      <c r="A1052" s="41"/>
      <c r="B1052" s="41"/>
      <c r="C1052" s="5" t="n">
        <f aca="false">IF(B1052="",0,IF(A1052="Bank",IFERROR(MATCH(B1052,Bank!$A:$A,0),0),IFERROR(MATCH(B1052,GL!$A:$A,0),0)))</f>
        <v>0</v>
      </c>
      <c r="D1052" s="32" t="str">
        <f aca="false">IF(C1052=0,"",IF($A1052="Bank",INDEX(Bank!$B:$B,$C1052),INDEX(GL!$B:$B,$C1052)))</f>
        <v/>
      </c>
      <c r="E1052" s="5" t="str">
        <f aca="false">IF(C1052=0,"",IF($A1052="Bank",IF(INDEX(Bank!$C:$C,$C1052)="","",INDEX(Bank!$C:$C,$C1052)),IF(INDEX(GL!$C:$C,$C1052)="","",INDEX(GL!$C:$C,$C1052))))</f>
        <v/>
      </c>
      <c r="F1052" s="5" t="str">
        <f aca="false">IF(C1052=0,"",IF($A1052="Bank",IF(INDEX(Bank!$D:$D,$C1052)="","",INDEX(Bank!$D:$D,$C1052)),IF(INDEX(GL!$D:$D,$C1052)="","",INDEX(GL!$D:$D,$C1052))))</f>
        <v/>
      </c>
      <c r="G1052" s="19" t="str">
        <f aca="false">IF(C1052=0,"",IF($A1052="Bank",INDEX(Bank!$E:$E,$C1052),INDEX(GL!$E:$E,$C1052)))</f>
        <v/>
      </c>
      <c r="H1052" s="5" t="str">
        <f aca="false">IF(C1052=0,"",IF(A1052="GL",IF(G1052&gt;0,"Deposit in transit","Outstanding check / payment"),IF(G1052&gt;0,"Bank credit not in GL","Bank debit not in GL")))</f>
        <v/>
      </c>
      <c r="I1052" s="42" t="str">
        <f aca="false">IF(OR(C1052=0,CFG_PeriodEnd=""),"",CFG_PeriodEnd-D1052)</f>
        <v/>
      </c>
      <c r="J1052" s="5" t="str">
        <f aca="false">IF(C1052=0,"",IF($A1052="Bank",IF(INDEX(Bank!$G:$G,$C1052)="","",INDEX(Bank!$G:$G,$C1052)),IF(INDEX(GL!$G:$G,$C1052)="","",INDEX(GL!$G:$G,$C1052))))</f>
        <v/>
      </c>
      <c r="K1052" s="5" t="str">
        <f aca="false">IF(C1052=0,"",IF($A1052="Bank",IF(INDEX(Bank!$I:$I,$C1052)="","",INDEX(Bank!$I:$I,$C1052)),IF(INDEX(GL!$I:$I,$C1052)="","",INDEX(GL!$I:$I,$C1052))))</f>
        <v/>
      </c>
      <c r="L1052" s="5" t="str">
        <f aca="false">IF(B1052="","",IF(C1052=0,"NOT FOUND",IF(IF($A1052="Bank",INDEX(Bank!$F:$F,$C1052),INDEX(GL!$F:$F,$C1052))="Y","NOW RECONCILED: refresh","OK")))</f>
        <v/>
      </c>
    </row>
    <row r="1053" customFormat="false" ht="15" hidden="false" customHeight="false" outlineLevel="0" collapsed="false">
      <c r="A1053" s="41"/>
      <c r="B1053" s="41"/>
      <c r="C1053" s="5" t="n">
        <f aca="false">IF(B1053="",0,IF(A1053="Bank",IFERROR(MATCH(B1053,Bank!$A:$A,0),0),IFERROR(MATCH(B1053,GL!$A:$A,0),0)))</f>
        <v>0</v>
      </c>
      <c r="D1053" s="32" t="str">
        <f aca="false">IF(C1053=0,"",IF($A1053="Bank",INDEX(Bank!$B:$B,$C1053),INDEX(GL!$B:$B,$C1053)))</f>
        <v/>
      </c>
      <c r="E1053" s="5" t="str">
        <f aca="false">IF(C1053=0,"",IF($A1053="Bank",IF(INDEX(Bank!$C:$C,$C1053)="","",INDEX(Bank!$C:$C,$C1053)),IF(INDEX(GL!$C:$C,$C1053)="","",INDEX(GL!$C:$C,$C1053))))</f>
        <v/>
      </c>
      <c r="F1053" s="5" t="str">
        <f aca="false">IF(C1053=0,"",IF($A1053="Bank",IF(INDEX(Bank!$D:$D,$C1053)="","",INDEX(Bank!$D:$D,$C1053)),IF(INDEX(GL!$D:$D,$C1053)="","",INDEX(GL!$D:$D,$C1053))))</f>
        <v/>
      </c>
      <c r="G1053" s="19" t="str">
        <f aca="false">IF(C1053=0,"",IF($A1053="Bank",INDEX(Bank!$E:$E,$C1053),INDEX(GL!$E:$E,$C1053)))</f>
        <v/>
      </c>
      <c r="H1053" s="5" t="str">
        <f aca="false">IF(C1053=0,"",IF(A1053="GL",IF(G1053&gt;0,"Deposit in transit","Outstanding check / payment"),IF(G1053&gt;0,"Bank credit not in GL","Bank debit not in GL")))</f>
        <v/>
      </c>
      <c r="I1053" s="42" t="str">
        <f aca="false">IF(OR(C1053=0,CFG_PeriodEnd=""),"",CFG_PeriodEnd-D1053)</f>
        <v/>
      </c>
      <c r="J1053" s="5" t="str">
        <f aca="false">IF(C1053=0,"",IF($A1053="Bank",IF(INDEX(Bank!$G:$G,$C1053)="","",INDEX(Bank!$G:$G,$C1053)),IF(INDEX(GL!$G:$G,$C1053)="","",INDEX(GL!$G:$G,$C1053))))</f>
        <v/>
      </c>
      <c r="K1053" s="5" t="str">
        <f aca="false">IF(C1053=0,"",IF($A1053="Bank",IF(INDEX(Bank!$I:$I,$C1053)="","",INDEX(Bank!$I:$I,$C1053)),IF(INDEX(GL!$I:$I,$C1053)="","",INDEX(GL!$I:$I,$C1053))))</f>
        <v/>
      </c>
      <c r="L1053" s="5" t="str">
        <f aca="false">IF(B1053="","",IF(C1053=0,"NOT FOUND",IF(IF($A1053="Bank",INDEX(Bank!$F:$F,$C1053),INDEX(GL!$F:$F,$C1053))="Y","NOW RECONCILED: refresh","OK")))</f>
        <v/>
      </c>
    </row>
    <row r="1054" customFormat="false" ht="15" hidden="false" customHeight="false" outlineLevel="0" collapsed="false">
      <c r="A1054" s="41"/>
      <c r="B1054" s="41"/>
      <c r="C1054" s="5" t="n">
        <f aca="false">IF(B1054="",0,IF(A1054="Bank",IFERROR(MATCH(B1054,Bank!$A:$A,0),0),IFERROR(MATCH(B1054,GL!$A:$A,0),0)))</f>
        <v>0</v>
      </c>
      <c r="D1054" s="32" t="str">
        <f aca="false">IF(C1054=0,"",IF($A1054="Bank",INDEX(Bank!$B:$B,$C1054),INDEX(GL!$B:$B,$C1054)))</f>
        <v/>
      </c>
      <c r="E1054" s="5" t="str">
        <f aca="false">IF(C1054=0,"",IF($A1054="Bank",IF(INDEX(Bank!$C:$C,$C1054)="","",INDEX(Bank!$C:$C,$C1054)),IF(INDEX(GL!$C:$C,$C1054)="","",INDEX(GL!$C:$C,$C1054))))</f>
        <v/>
      </c>
      <c r="F1054" s="5" t="str">
        <f aca="false">IF(C1054=0,"",IF($A1054="Bank",IF(INDEX(Bank!$D:$D,$C1054)="","",INDEX(Bank!$D:$D,$C1054)),IF(INDEX(GL!$D:$D,$C1054)="","",INDEX(GL!$D:$D,$C1054))))</f>
        <v/>
      </c>
      <c r="G1054" s="19" t="str">
        <f aca="false">IF(C1054=0,"",IF($A1054="Bank",INDEX(Bank!$E:$E,$C1054),INDEX(GL!$E:$E,$C1054)))</f>
        <v/>
      </c>
      <c r="H1054" s="5" t="str">
        <f aca="false">IF(C1054=0,"",IF(A1054="GL",IF(G1054&gt;0,"Deposit in transit","Outstanding check / payment"),IF(G1054&gt;0,"Bank credit not in GL","Bank debit not in GL")))</f>
        <v/>
      </c>
      <c r="I1054" s="42" t="str">
        <f aca="false">IF(OR(C1054=0,CFG_PeriodEnd=""),"",CFG_PeriodEnd-D1054)</f>
        <v/>
      </c>
      <c r="J1054" s="5" t="str">
        <f aca="false">IF(C1054=0,"",IF($A1054="Bank",IF(INDEX(Bank!$G:$G,$C1054)="","",INDEX(Bank!$G:$G,$C1054)),IF(INDEX(GL!$G:$G,$C1054)="","",INDEX(GL!$G:$G,$C1054))))</f>
        <v/>
      </c>
      <c r="K1054" s="5" t="str">
        <f aca="false">IF(C1054=0,"",IF($A1054="Bank",IF(INDEX(Bank!$I:$I,$C1054)="","",INDEX(Bank!$I:$I,$C1054)),IF(INDEX(GL!$I:$I,$C1054)="","",INDEX(GL!$I:$I,$C1054))))</f>
        <v/>
      </c>
      <c r="L1054" s="5" t="str">
        <f aca="false">IF(B1054="","",IF(C1054=0,"NOT FOUND",IF(IF($A1054="Bank",INDEX(Bank!$F:$F,$C1054),INDEX(GL!$F:$F,$C1054))="Y","NOW RECONCILED: refresh","OK")))</f>
        <v/>
      </c>
    </row>
    <row r="1055" customFormat="false" ht="15" hidden="false" customHeight="false" outlineLevel="0" collapsed="false">
      <c r="A1055" s="41"/>
      <c r="B1055" s="41"/>
      <c r="C1055" s="5" t="n">
        <f aca="false">IF(B1055="",0,IF(A1055="Bank",IFERROR(MATCH(B1055,Bank!$A:$A,0),0),IFERROR(MATCH(B1055,GL!$A:$A,0),0)))</f>
        <v>0</v>
      </c>
      <c r="D1055" s="32" t="str">
        <f aca="false">IF(C1055=0,"",IF($A1055="Bank",INDEX(Bank!$B:$B,$C1055),INDEX(GL!$B:$B,$C1055)))</f>
        <v/>
      </c>
      <c r="E1055" s="5" t="str">
        <f aca="false">IF(C1055=0,"",IF($A1055="Bank",IF(INDEX(Bank!$C:$C,$C1055)="","",INDEX(Bank!$C:$C,$C1055)),IF(INDEX(GL!$C:$C,$C1055)="","",INDEX(GL!$C:$C,$C1055))))</f>
        <v/>
      </c>
      <c r="F1055" s="5" t="str">
        <f aca="false">IF(C1055=0,"",IF($A1055="Bank",IF(INDEX(Bank!$D:$D,$C1055)="","",INDEX(Bank!$D:$D,$C1055)),IF(INDEX(GL!$D:$D,$C1055)="","",INDEX(GL!$D:$D,$C1055))))</f>
        <v/>
      </c>
      <c r="G1055" s="19" t="str">
        <f aca="false">IF(C1055=0,"",IF($A1055="Bank",INDEX(Bank!$E:$E,$C1055),INDEX(GL!$E:$E,$C1055)))</f>
        <v/>
      </c>
      <c r="H1055" s="5" t="str">
        <f aca="false">IF(C1055=0,"",IF(A1055="GL",IF(G1055&gt;0,"Deposit in transit","Outstanding check / payment"),IF(G1055&gt;0,"Bank credit not in GL","Bank debit not in GL")))</f>
        <v/>
      </c>
      <c r="I1055" s="42" t="str">
        <f aca="false">IF(OR(C1055=0,CFG_PeriodEnd=""),"",CFG_PeriodEnd-D1055)</f>
        <v/>
      </c>
      <c r="J1055" s="5" t="str">
        <f aca="false">IF(C1055=0,"",IF($A1055="Bank",IF(INDEX(Bank!$G:$G,$C1055)="","",INDEX(Bank!$G:$G,$C1055)),IF(INDEX(GL!$G:$G,$C1055)="","",INDEX(GL!$G:$G,$C1055))))</f>
        <v/>
      </c>
      <c r="K1055" s="5" t="str">
        <f aca="false">IF(C1055=0,"",IF($A1055="Bank",IF(INDEX(Bank!$I:$I,$C1055)="","",INDEX(Bank!$I:$I,$C1055)),IF(INDEX(GL!$I:$I,$C1055)="","",INDEX(GL!$I:$I,$C1055))))</f>
        <v/>
      </c>
      <c r="L1055" s="5" t="str">
        <f aca="false">IF(B1055="","",IF(C1055=0,"NOT FOUND",IF(IF($A1055="Bank",INDEX(Bank!$F:$F,$C1055),INDEX(GL!$F:$F,$C1055))="Y","NOW RECONCILED: refresh","OK")))</f>
        <v/>
      </c>
    </row>
    <row r="1056" customFormat="false" ht="15" hidden="false" customHeight="false" outlineLevel="0" collapsed="false">
      <c r="A1056" s="41"/>
      <c r="B1056" s="41"/>
      <c r="C1056" s="5" t="n">
        <f aca="false">IF(B1056="",0,IF(A1056="Bank",IFERROR(MATCH(B1056,Bank!$A:$A,0),0),IFERROR(MATCH(B1056,GL!$A:$A,0),0)))</f>
        <v>0</v>
      </c>
      <c r="D1056" s="32" t="str">
        <f aca="false">IF(C1056=0,"",IF($A1056="Bank",INDEX(Bank!$B:$B,$C1056),INDEX(GL!$B:$B,$C1056)))</f>
        <v/>
      </c>
      <c r="E1056" s="5" t="str">
        <f aca="false">IF(C1056=0,"",IF($A1056="Bank",IF(INDEX(Bank!$C:$C,$C1056)="","",INDEX(Bank!$C:$C,$C1056)),IF(INDEX(GL!$C:$C,$C1056)="","",INDEX(GL!$C:$C,$C1056))))</f>
        <v/>
      </c>
      <c r="F1056" s="5" t="str">
        <f aca="false">IF(C1056=0,"",IF($A1056="Bank",IF(INDEX(Bank!$D:$D,$C1056)="","",INDEX(Bank!$D:$D,$C1056)),IF(INDEX(GL!$D:$D,$C1056)="","",INDEX(GL!$D:$D,$C1056))))</f>
        <v/>
      </c>
      <c r="G1056" s="19" t="str">
        <f aca="false">IF(C1056=0,"",IF($A1056="Bank",INDEX(Bank!$E:$E,$C1056),INDEX(GL!$E:$E,$C1056)))</f>
        <v/>
      </c>
      <c r="H1056" s="5" t="str">
        <f aca="false">IF(C1056=0,"",IF(A1056="GL",IF(G1056&gt;0,"Deposit in transit","Outstanding check / payment"),IF(G1056&gt;0,"Bank credit not in GL","Bank debit not in GL")))</f>
        <v/>
      </c>
      <c r="I1056" s="42" t="str">
        <f aca="false">IF(OR(C1056=0,CFG_PeriodEnd=""),"",CFG_PeriodEnd-D1056)</f>
        <v/>
      </c>
      <c r="J1056" s="5" t="str">
        <f aca="false">IF(C1056=0,"",IF($A1056="Bank",IF(INDEX(Bank!$G:$G,$C1056)="","",INDEX(Bank!$G:$G,$C1056)),IF(INDEX(GL!$G:$G,$C1056)="","",INDEX(GL!$G:$G,$C1056))))</f>
        <v/>
      </c>
      <c r="K1056" s="5" t="str">
        <f aca="false">IF(C1056=0,"",IF($A1056="Bank",IF(INDEX(Bank!$I:$I,$C1056)="","",INDEX(Bank!$I:$I,$C1056)),IF(INDEX(GL!$I:$I,$C1056)="","",INDEX(GL!$I:$I,$C1056))))</f>
        <v/>
      </c>
      <c r="L1056" s="5" t="str">
        <f aca="false">IF(B1056="","",IF(C1056=0,"NOT FOUND",IF(IF($A1056="Bank",INDEX(Bank!$F:$F,$C1056),INDEX(GL!$F:$F,$C1056))="Y","NOW RECONCILED: refresh","OK")))</f>
        <v/>
      </c>
    </row>
    <row r="1057" customFormat="false" ht="15" hidden="false" customHeight="false" outlineLevel="0" collapsed="false">
      <c r="A1057" s="41"/>
      <c r="B1057" s="41"/>
      <c r="C1057" s="5" t="n">
        <f aca="false">IF(B1057="",0,IF(A1057="Bank",IFERROR(MATCH(B1057,Bank!$A:$A,0),0),IFERROR(MATCH(B1057,GL!$A:$A,0),0)))</f>
        <v>0</v>
      </c>
      <c r="D1057" s="32" t="str">
        <f aca="false">IF(C1057=0,"",IF($A1057="Bank",INDEX(Bank!$B:$B,$C1057),INDEX(GL!$B:$B,$C1057)))</f>
        <v/>
      </c>
      <c r="E1057" s="5" t="str">
        <f aca="false">IF(C1057=0,"",IF($A1057="Bank",IF(INDEX(Bank!$C:$C,$C1057)="","",INDEX(Bank!$C:$C,$C1057)),IF(INDEX(GL!$C:$C,$C1057)="","",INDEX(GL!$C:$C,$C1057))))</f>
        <v/>
      </c>
      <c r="F1057" s="5" t="str">
        <f aca="false">IF(C1057=0,"",IF($A1057="Bank",IF(INDEX(Bank!$D:$D,$C1057)="","",INDEX(Bank!$D:$D,$C1057)),IF(INDEX(GL!$D:$D,$C1057)="","",INDEX(GL!$D:$D,$C1057))))</f>
        <v/>
      </c>
      <c r="G1057" s="19" t="str">
        <f aca="false">IF(C1057=0,"",IF($A1057="Bank",INDEX(Bank!$E:$E,$C1057),INDEX(GL!$E:$E,$C1057)))</f>
        <v/>
      </c>
      <c r="H1057" s="5" t="str">
        <f aca="false">IF(C1057=0,"",IF(A1057="GL",IF(G1057&gt;0,"Deposit in transit","Outstanding check / payment"),IF(G1057&gt;0,"Bank credit not in GL","Bank debit not in GL")))</f>
        <v/>
      </c>
      <c r="I1057" s="42" t="str">
        <f aca="false">IF(OR(C1057=0,CFG_PeriodEnd=""),"",CFG_PeriodEnd-D1057)</f>
        <v/>
      </c>
      <c r="J1057" s="5" t="str">
        <f aca="false">IF(C1057=0,"",IF($A1057="Bank",IF(INDEX(Bank!$G:$G,$C1057)="","",INDEX(Bank!$G:$G,$C1057)),IF(INDEX(GL!$G:$G,$C1057)="","",INDEX(GL!$G:$G,$C1057))))</f>
        <v/>
      </c>
      <c r="K1057" s="5" t="str">
        <f aca="false">IF(C1057=0,"",IF($A1057="Bank",IF(INDEX(Bank!$I:$I,$C1057)="","",INDEX(Bank!$I:$I,$C1057)),IF(INDEX(GL!$I:$I,$C1057)="","",INDEX(GL!$I:$I,$C1057))))</f>
        <v/>
      </c>
      <c r="L1057" s="5" t="str">
        <f aca="false">IF(B1057="","",IF(C1057=0,"NOT FOUND",IF(IF($A1057="Bank",INDEX(Bank!$F:$F,$C1057),INDEX(GL!$F:$F,$C1057))="Y","NOW RECONCILED: refresh","OK")))</f>
        <v/>
      </c>
    </row>
    <row r="1058" customFormat="false" ht="15" hidden="false" customHeight="false" outlineLevel="0" collapsed="false">
      <c r="A1058" s="41"/>
      <c r="B1058" s="41"/>
      <c r="C1058" s="5" t="n">
        <f aca="false">IF(B1058="",0,IF(A1058="Bank",IFERROR(MATCH(B1058,Bank!$A:$A,0),0),IFERROR(MATCH(B1058,GL!$A:$A,0),0)))</f>
        <v>0</v>
      </c>
      <c r="D1058" s="32" t="str">
        <f aca="false">IF(C1058=0,"",IF($A1058="Bank",INDEX(Bank!$B:$B,$C1058),INDEX(GL!$B:$B,$C1058)))</f>
        <v/>
      </c>
      <c r="E1058" s="5" t="str">
        <f aca="false">IF(C1058=0,"",IF($A1058="Bank",IF(INDEX(Bank!$C:$C,$C1058)="","",INDEX(Bank!$C:$C,$C1058)),IF(INDEX(GL!$C:$C,$C1058)="","",INDEX(GL!$C:$C,$C1058))))</f>
        <v/>
      </c>
      <c r="F1058" s="5" t="str">
        <f aca="false">IF(C1058=0,"",IF($A1058="Bank",IF(INDEX(Bank!$D:$D,$C1058)="","",INDEX(Bank!$D:$D,$C1058)),IF(INDEX(GL!$D:$D,$C1058)="","",INDEX(GL!$D:$D,$C1058))))</f>
        <v/>
      </c>
      <c r="G1058" s="19" t="str">
        <f aca="false">IF(C1058=0,"",IF($A1058="Bank",INDEX(Bank!$E:$E,$C1058),INDEX(GL!$E:$E,$C1058)))</f>
        <v/>
      </c>
      <c r="H1058" s="5" t="str">
        <f aca="false">IF(C1058=0,"",IF(A1058="GL",IF(G1058&gt;0,"Deposit in transit","Outstanding check / payment"),IF(G1058&gt;0,"Bank credit not in GL","Bank debit not in GL")))</f>
        <v/>
      </c>
      <c r="I1058" s="42" t="str">
        <f aca="false">IF(OR(C1058=0,CFG_PeriodEnd=""),"",CFG_PeriodEnd-D1058)</f>
        <v/>
      </c>
      <c r="J1058" s="5" t="str">
        <f aca="false">IF(C1058=0,"",IF($A1058="Bank",IF(INDEX(Bank!$G:$G,$C1058)="","",INDEX(Bank!$G:$G,$C1058)),IF(INDEX(GL!$G:$G,$C1058)="","",INDEX(GL!$G:$G,$C1058))))</f>
        <v/>
      </c>
      <c r="K1058" s="5" t="str">
        <f aca="false">IF(C1058=0,"",IF($A1058="Bank",IF(INDEX(Bank!$I:$I,$C1058)="","",INDEX(Bank!$I:$I,$C1058)),IF(INDEX(GL!$I:$I,$C1058)="","",INDEX(GL!$I:$I,$C1058))))</f>
        <v/>
      </c>
      <c r="L1058" s="5" t="str">
        <f aca="false">IF(B1058="","",IF(C1058=0,"NOT FOUND",IF(IF($A1058="Bank",INDEX(Bank!$F:$F,$C1058),INDEX(GL!$F:$F,$C1058))="Y","NOW RECONCILED: refresh","OK")))</f>
        <v/>
      </c>
    </row>
    <row r="1059" customFormat="false" ht="15" hidden="false" customHeight="false" outlineLevel="0" collapsed="false">
      <c r="A1059" s="41"/>
      <c r="B1059" s="41"/>
      <c r="C1059" s="5" t="n">
        <f aca="false">IF(B1059="",0,IF(A1059="Bank",IFERROR(MATCH(B1059,Bank!$A:$A,0),0),IFERROR(MATCH(B1059,GL!$A:$A,0),0)))</f>
        <v>0</v>
      </c>
      <c r="D1059" s="32" t="str">
        <f aca="false">IF(C1059=0,"",IF($A1059="Bank",INDEX(Bank!$B:$B,$C1059),INDEX(GL!$B:$B,$C1059)))</f>
        <v/>
      </c>
      <c r="E1059" s="5" t="str">
        <f aca="false">IF(C1059=0,"",IF($A1059="Bank",IF(INDEX(Bank!$C:$C,$C1059)="","",INDEX(Bank!$C:$C,$C1059)),IF(INDEX(GL!$C:$C,$C1059)="","",INDEX(GL!$C:$C,$C1059))))</f>
        <v/>
      </c>
      <c r="F1059" s="5" t="str">
        <f aca="false">IF(C1059=0,"",IF($A1059="Bank",IF(INDEX(Bank!$D:$D,$C1059)="","",INDEX(Bank!$D:$D,$C1059)),IF(INDEX(GL!$D:$D,$C1059)="","",INDEX(GL!$D:$D,$C1059))))</f>
        <v/>
      </c>
      <c r="G1059" s="19" t="str">
        <f aca="false">IF(C1059=0,"",IF($A1059="Bank",INDEX(Bank!$E:$E,$C1059),INDEX(GL!$E:$E,$C1059)))</f>
        <v/>
      </c>
      <c r="H1059" s="5" t="str">
        <f aca="false">IF(C1059=0,"",IF(A1059="GL",IF(G1059&gt;0,"Deposit in transit","Outstanding check / payment"),IF(G1059&gt;0,"Bank credit not in GL","Bank debit not in GL")))</f>
        <v/>
      </c>
      <c r="I1059" s="42" t="str">
        <f aca="false">IF(OR(C1059=0,CFG_PeriodEnd=""),"",CFG_PeriodEnd-D1059)</f>
        <v/>
      </c>
      <c r="J1059" s="5" t="str">
        <f aca="false">IF(C1059=0,"",IF($A1059="Bank",IF(INDEX(Bank!$G:$G,$C1059)="","",INDEX(Bank!$G:$G,$C1059)),IF(INDEX(GL!$G:$G,$C1059)="","",INDEX(GL!$G:$G,$C1059))))</f>
        <v/>
      </c>
      <c r="K1059" s="5" t="str">
        <f aca="false">IF(C1059=0,"",IF($A1059="Bank",IF(INDEX(Bank!$I:$I,$C1059)="","",INDEX(Bank!$I:$I,$C1059)),IF(INDEX(GL!$I:$I,$C1059)="","",INDEX(GL!$I:$I,$C1059))))</f>
        <v/>
      </c>
      <c r="L1059" s="5" t="str">
        <f aca="false">IF(B1059="","",IF(C1059=0,"NOT FOUND",IF(IF($A1059="Bank",INDEX(Bank!$F:$F,$C1059),INDEX(GL!$F:$F,$C1059))="Y","NOW RECONCILED: refresh","OK")))</f>
        <v/>
      </c>
    </row>
    <row r="1060" customFormat="false" ht="15" hidden="false" customHeight="false" outlineLevel="0" collapsed="false">
      <c r="A1060" s="41"/>
      <c r="B1060" s="41"/>
      <c r="C1060" s="5" t="n">
        <f aca="false">IF(B1060="",0,IF(A1060="Bank",IFERROR(MATCH(B1060,Bank!$A:$A,0),0),IFERROR(MATCH(B1060,GL!$A:$A,0),0)))</f>
        <v>0</v>
      </c>
      <c r="D1060" s="32" t="str">
        <f aca="false">IF(C1060=0,"",IF($A1060="Bank",INDEX(Bank!$B:$B,$C1060),INDEX(GL!$B:$B,$C1060)))</f>
        <v/>
      </c>
      <c r="E1060" s="5" t="str">
        <f aca="false">IF(C1060=0,"",IF($A1060="Bank",IF(INDEX(Bank!$C:$C,$C1060)="","",INDEX(Bank!$C:$C,$C1060)),IF(INDEX(GL!$C:$C,$C1060)="","",INDEX(GL!$C:$C,$C1060))))</f>
        <v/>
      </c>
      <c r="F1060" s="5" t="str">
        <f aca="false">IF(C1060=0,"",IF($A1060="Bank",IF(INDEX(Bank!$D:$D,$C1060)="","",INDEX(Bank!$D:$D,$C1060)),IF(INDEX(GL!$D:$D,$C1060)="","",INDEX(GL!$D:$D,$C1060))))</f>
        <v/>
      </c>
      <c r="G1060" s="19" t="str">
        <f aca="false">IF(C1060=0,"",IF($A1060="Bank",INDEX(Bank!$E:$E,$C1060),INDEX(GL!$E:$E,$C1060)))</f>
        <v/>
      </c>
      <c r="H1060" s="5" t="str">
        <f aca="false">IF(C1060=0,"",IF(A1060="GL",IF(G1060&gt;0,"Deposit in transit","Outstanding check / payment"),IF(G1060&gt;0,"Bank credit not in GL","Bank debit not in GL")))</f>
        <v/>
      </c>
      <c r="I1060" s="42" t="str">
        <f aca="false">IF(OR(C1060=0,CFG_PeriodEnd=""),"",CFG_PeriodEnd-D1060)</f>
        <v/>
      </c>
      <c r="J1060" s="5" t="str">
        <f aca="false">IF(C1060=0,"",IF($A1060="Bank",IF(INDEX(Bank!$G:$G,$C1060)="","",INDEX(Bank!$G:$G,$C1060)),IF(INDEX(GL!$G:$G,$C1060)="","",INDEX(GL!$G:$G,$C1060))))</f>
        <v/>
      </c>
      <c r="K1060" s="5" t="str">
        <f aca="false">IF(C1060=0,"",IF($A1060="Bank",IF(INDEX(Bank!$I:$I,$C1060)="","",INDEX(Bank!$I:$I,$C1060)),IF(INDEX(GL!$I:$I,$C1060)="","",INDEX(GL!$I:$I,$C1060))))</f>
        <v/>
      </c>
      <c r="L1060" s="5" t="str">
        <f aca="false">IF(B1060="","",IF(C1060=0,"NOT FOUND",IF(IF($A1060="Bank",INDEX(Bank!$F:$F,$C1060),INDEX(GL!$F:$F,$C1060))="Y","NOW RECONCILED: refresh","OK")))</f>
        <v/>
      </c>
    </row>
    <row r="1061" customFormat="false" ht="15" hidden="false" customHeight="false" outlineLevel="0" collapsed="false">
      <c r="A1061" s="41"/>
      <c r="B1061" s="41"/>
      <c r="C1061" s="5" t="n">
        <f aca="false">IF(B1061="",0,IF(A1061="Bank",IFERROR(MATCH(B1061,Bank!$A:$A,0),0),IFERROR(MATCH(B1061,GL!$A:$A,0),0)))</f>
        <v>0</v>
      </c>
      <c r="D1061" s="32" t="str">
        <f aca="false">IF(C1061=0,"",IF($A1061="Bank",INDEX(Bank!$B:$B,$C1061),INDEX(GL!$B:$B,$C1061)))</f>
        <v/>
      </c>
      <c r="E1061" s="5" t="str">
        <f aca="false">IF(C1061=0,"",IF($A1061="Bank",IF(INDEX(Bank!$C:$C,$C1061)="","",INDEX(Bank!$C:$C,$C1061)),IF(INDEX(GL!$C:$C,$C1061)="","",INDEX(GL!$C:$C,$C1061))))</f>
        <v/>
      </c>
      <c r="F1061" s="5" t="str">
        <f aca="false">IF(C1061=0,"",IF($A1061="Bank",IF(INDEX(Bank!$D:$D,$C1061)="","",INDEX(Bank!$D:$D,$C1061)),IF(INDEX(GL!$D:$D,$C1061)="","",INDEX(GL!$D:$D,$C1061))))</f>
        <v/>
      </c>
      <c r="G1061" s="19" t="str">
        <f aca="false">IF(C1061=0,"",IF($A1061="Bank",INDEX(Bank!$E:$E,$C1061),INDEX(GL!$E:$E,$C1061)))</f>
        <v/>
      </c>
      <c r="H1061" s="5" t="str">
        <f aca="false">IF(C1061=0,"",IF(A1061="GL",IF(G1061&gt;0,"Deposit in transit","Outstanding check / payment"),IF(G1061&gt;0,"Bank credit not in GL","Bank debit not in GL")))</f>
        <v/>
      </c>
      <c r="I1061" s="42" t="str">
        <f aca="false">IF(OR(C1061=0,CFG_PeriodEnd=""),"",CFG_PeriodEnd-D1061)</f>
        <v/>
      </c>
      <c r="J1061" s="5" t="str">
        <f aca="false">IF(C1061=0,"",IF($A1061="Bank",IF(INDEX(Bank!$G:$G,$C1061)="","",INDEX(Bank!$G:$G,$C1061)),IF(INDEX(GL!$G:$G,$C1061)="","",INDEX(GL!$G:$G,$C1061))))</f>
        <v/>
      </c>
      <c r="K1061" s="5" t="str">
        <f aca="false">IF(C1061=0,"",IF($A1061="Bank",IF(INDEX(Bank!$I:$I,$C1061)="","",INDEX(Bank!$I:$I,$C1061)),IF(INDEX(GL!$I:$I,$C1061)="","",INDEX(GL!$I:$I,$C1061))))</f>
        <v/>
      </c>
      <c r="L1061" s="5" t="str">
        <f aca="false">IF(B1061="","",IF(C1061=0,"NOT FOUND",IF(IF($A1061="Bank",INDEX(Bank!$F:$F,$C1061),INDEX(GL!$F:$F,$C1061))="Y","NOW RECONCILED: refresh","OK")))</f>
        <v/>
      </c>
    </row>
    <row r="1062" customFormat="false" ht="15" hidden="false" customHeight="false" outlineLevel="0" collapsed="false">
      <c r="A1062" s="41"/>
      <c r="B1062" s="41"/>
      <c r="C1062" s="5" t="n">
        <f aca="false">IF(B1062="",0,IF(A1062="Bank",IFERROR(MATCH(B1062,Bank!$A:$A,0),0),IFERROR(MATCH(B1062,GL!$A:$A,0),0)))</f>
        <v>0</v>
      </c>
      <c r="D1062" s="32" t="str">
        <f aca="false">IF(C1062=0,"",IF($A1062="Bank",INDEX(Bank!$B:$B,$C1062),INDEX(GL!$B:$B,$C1062)))</f>
        <v/>
      </c>
      <c r="E1062" s="5" t="str">
        <f aca="false">IF(C1062=0,"",IF($A1062="Bank",IF(INDEX(Bank!$C:$C,$C1062)="","",INDEX(Bank!$C:$C,$C1062)),IF(INDEX(GL!$C:$C,$C1062)="","",INDEX(GL!$C:$C,$C1062))))</f>
        <v/>
      </c>
      <c r="F1062" s="5" t="str">
        <f aca="false">IF(C1062=0,"",IF($A1062="Bank",IF(INDEX(Bank!$D:$D,$C1062)="","",INDEX(Bank!$D:$D,$C1062)),IF(INDEX(GL!$D:$D,$C1062)="","",INDEX(GL!$D:$D,$C1062))))</f>
        <v/>
      </c>
      <c r="G1062" s="19" t="str">
        <f aca="false">IF(C1062=0,"",IF($A1062="Bank",INDEX(Bank!$E:$E,$C1062),INDEX(GL!$E:$E,$C1062)))</f>
        <v/>
      </c>
      <c r="H1062" s="5" t="str">
        <f aca="false">IF(C1062=0,"",IF(A1062="GL",IF(G1062&gt;0,"Deposit in transit","Outstanding check / payment"),IF(G1062&gt;0,"Bank credit not in GL","Bank debit not in GL")))</f>
        <v/>
      </c>
      <c r="I1062" s="42" t="str">
        <f aca="false">IF(OR(C1062=0,CFG_PeriodEnd=""),"",CFG_PeriodEnd-D1062)</f>
        <v/>
      </c>
      <c r="J1062" s="5" t="str">
        <f aca="false">IF(C1062=0,"",IF($A1062="Bank",IF(INDEX(Bank!$G:$G,$C1062)="","",INDEX(Bank!$G:$G,$C1062)),IF(INDEX(GL!$G:$G,$C1062)="","",INDEX(GL!$G:$G,$C1062))))</f>
        <v/>
      </c>
      <c r="K1062" s="5" t="str">
        <f aca="false">IF(C1062=0,"",IF($A1062="Bank",IF(INDEX(Bank!$I:$I,$C1062)="","",INDEX(Bank!$I:$I,$C1062)),IF(INDEX(GL!$I:$I,$C1062)="","",INDEX(GL!$I:$I,$C1062))))</f>
        <v/>
      </c>
      <c r="L1062" s="5" t="str">
        <f aca="false">IF(B1062="","",IF(C1062=0,"NOT FOUND",IF(IF($A1062="Bank",INDEX(Bank!$F:$F,$C1062),INDEX(GL!$F:$F,$C1062))="Y","NOW RECONCILED: refresh","OK")))</f>
        <v/>
      </c>
    </row>
    <row r="1063" customFormat="false" ht="15" hidden="false" customHeight="false" outlineLevel="0" collapsed="false">
      <c r="A1063" s="41"/>
      <c r="B1063" s="41"/>
      <c r="C1063" s="5" t="n">
        <f aca="false">IF(B1063="",0,IF(A1063="Bank",IFERROR(MATCH(B1063,Bank!$A:$A,0),0),IFERROR(MATCH(B1063,GL!$A:$A,0),0)))</f>
        <v>0</v>
      </c>
      <c r="D1063" s="32" t="str">
        <f aca="false">IF(C1063=0,"",IF($A1063="Bank",INDEX(Bank!$B:$B,$C1063),INDEX(GL!$B:$B,$C1063)))</f>
        <v/>
      </c>
      <c r="E1063" s="5" t="str">
        <f aca="false">IF(C1063=0,"",IF($A1063="Bank",IF(INDEX(Bank!$C:$C,$C1063)="","",INDEX(Bank!$C:$C,$C1063)),IF(INDEX(GL!$C:$C,$C1063)="","",INDEX(GL!$C:$C,$C1063))))</f>
        <v/>
      </c>
      <c r="F1063" s="5" t="str">
        <f aca="false">IF(C1063=0,"",IF($A1063="Bank",IF(INDEX(Bank!$D:$D,$C1063)="","",INDEX(Bank!$D:$D,$C1063)),IF(INDEX(GL!$D:$D,$C1063)="","",INDEX(GL!$D:$D,$C1063))))</f>
        <v/>
      </c>
      <c r="G1063" s="19" t="str">
        <f aca="false">IF(C1063=0,"",IF($A1063="Bank",INDEX(Bank!$E:$E,$C1063),INDEX(GL!$E:$E,$C1063)))</f>
        <v/>
      </c>
      <c r="H1063" s="5" t="str">
        <f aca="false">IF(C1063=0,"",IF(A1063="GL",IF(G1063&gt;0,"Deposit in transit","Outstanding check / payment"),IF(G1063&gt;0,"Bank credit not in GL","Bank debit not in GL")))</f>
        <v/>
      </c>
      <c r="I1063" s="42" t="str">
        <f aca="false">IF(OR(C1063=0,CFG_PeriodEnd=""),"",CFG_PeriodEnd-D1063)</f>
        <v/>
      </c>
      <c r="J1063" s="5" t="str">
        <f aca="false">IF(C1063=0,"",IF($A1063="Bank",IF(INDEX(Bank!$G:$G,$C1063)="","",INDEX(Bank!$G:$G,$C1063)),IF(INDEX(GL!$G:$G,$C1063)="","",INDEX(GL!$G:$G,$C1063))))</f>
        <v/>
      </c>
      <c r="K1063" s="5" t="str">
        <f aca="false">IF(C1063=0,"",IF($A1063="Bank",IF(INDEX(Bank!$I:$I,$C1063)="","",INDEX(Bank!$I:$I,$C1063)),IF(INDEX(GL!$I:$I,$C1063)="","",INDEX(GL!$I:$I,$C1063))))</f>
        <v/>
      </c>
      <c r="L1063" s="5" t="str">
        <f aca="false">IF(B1063="","",IF(C1063=0,"NOT FOUND",IF(IF($A1063="Bank",INDEX(Bank!$F:$F,$C1063),INDEX(GL!$F:$F,$C1063))="Y","NOW RECONCILED: refresh","OK")))</f>
        <v/>
      </c>
    </row>
    <row r="1064" customFormat="false" ht="15" hidden="false" customHeight="false" outlineLevel="0" collapsed="false">
      <c r="A1064" s="41"/>
      <c r="B1064" s="41"/>
      <c r="C1064" s="5" t="n">
        <f aca="false">IF(B1064="",0,IF(A1064="Bank",IFERROR(MATCH(B1064,Bank!$A:$A,0),0),IFERROR(MATCH(B1064,GL!$A:$A,0),0)))</f>
        <v>0</v>
      </c>
      <c r="D1064" s="32" t="str">
        <f aca="false">IF(C1064=0,"",IF($A1064="Bank",INDEX(Bank!$B:$B,$C1064),INDEX(GL!$B:$B,$C1064)))</f>
        <v/>
      </c>
      <c r="E1064" s="5" t="str">
        <f aca="false">IF(C1064=0,"",IF($A1064="Bank",IF(INDEX(Bank!$C:$C,$C1064)="","",INDEX(Bank!$C:$C,$C1064)),IF(INDEX(GL!$C:$C,$C1064)="","",INDEX(GL!$C:$C,$C1064))))</f>
        <v/>
      </c>
      <c r="F1064" s="5" t="str">
        <f aca="false">IF(C1064=0,"",IF($A1064="Bank",IF(INDEX(Bank!$D:$D,$C1064)="","",INDEX(Bank!$D:$D,$C1064)),IF(INDEX(GL!$D:$D,$C1064)="","",INDEX(GL!$D:$D,$C1064))))</f>
        <v/>
      </c>
      <c r="G1064" s="19" t="str">
        <f aca="false">IF(C1064=0,"",IF($A1064="Bank",INDEX(Bank!$E:$E,$C1064),INDEX(GL!$E:$E,$C1064)))</f>
        <v/>
      </c>
      <c r="H1064" s="5" t="str">
        <f aca="false">IF(C1064=0,"",IF(A1064="GL",IF(G1064&gt;0,"Deposit in transit","Outstanding check / payment"),IF(G1064&gt;0,"Bank credit not in GL","Bank debit not in GL")))</f>
        <v/>
      </c>
      <c r="I1064" s="42" t="str">
        <f aca="false">IF(OR(C1064=0,CFG_PeriodEnd=""),"",CFG_PeriodEnd-D1064)</f>
        <v/>
      </c>
      <c r="J1064" s="5" t="str">
        <f aca="false">IF(C1064=0,"",IF($A1064="Bank",IF(INDEX(Bank!$G:$G,$C1064)="","",INDEX(Bank!$G:$G,$C1064)),IF(INDEX(GL!$G:$G,$C1064)="","",INDEX(GL!$G:$G,$C1064))))</f>
        <v/>
      </c>
      <c r="K1064" s="5" t="str">
        <f aca="false">IF(C1064=0,"",IF($A1064="Bank",IF(INDEX(Bank!$I:$I,$C1064)="","",INDEX(Bank!$I:$I,$C1064)),IF(INDEX(GL!$I:$I,$C1064)="","",INDEX(GL!$I:$I,$C1064))))</f>
        <v/>
      </c>
      <c r="L1064" s="5" t="str">
        <f aca="false">IF(B1064="","",IF(C1064=0,"NOT FOUND",IF(IF($A1064="Bank",INDEX(Bank!$F:$F,$C1064),INDEX(GL!$F:$F,$C1064))="Y","NOW RECONCILED: refresh","OK")))</f>
        <v/>
      </c>
    </row>
    <row r="1065" customFormat="false" ht="15" hidden="false" customHeight="false" outlineLevel="0" collapsed="false">
      <c r="A1065" s="41"/>
      <c r="B1065" s="41"/>
      <c r="C1065" s="5" t="n">
        <f aca="false">IF(B1065="",0,IF(A1065="Bank",IFERROR(MATCH(B1065,Bank!$A:$A,0),0),IFERROR(MATCH(B1065,GL!$A:$A,0),0)))</f>
        <v>0</v>
      </c>
      <c r="D1065" s="32" t="str">
        <f aca="false">IF(C1065=0,"",IF($A1065="Bank",INDEX(Bank!$B:$B,$C1065),INDEX(GL!$B:$B,$C1065)))</f>
        <v/>
      </c>
      <c r="E1065" s="5" t="str">
        <f aca="false">IF(C1065=0,"",IF($A1065="Bank",IF(INDEX(Bank!$C:$C,$C1065)="","",INDEX(Bank!$C:$C,$C1065)),IF(INDEX(GL!$C:$C,$C1065)="","",INDEX(GL!$C:$C,$C1065))))</f>
        <v/>
      </c>
      <c r="F1065" s="5" t="str">
        <f aca="false">IF(C1065=0,"",IF($A1065="Bank",IF(INDEX(Bank!$D:$D,$C1065)="","",INDEX(Bank!$D:$D,$C1065)),IF(INDEX(GL!$D:$D,$C1065)="","",INDEX(GL!$D:$D,$C1065))))</f>
        <v/>
      </c>
      <c r="G1065" s="19" t="str">
        <f aca="false">IF(C1065=0,"",IF($A1065="Bank",INDEX(Bank!$E:$E,$C1065),INDEX(GL!$E:$E,$C1065)))</f>
        <v/>
      </c>
      <c r="H1065" s="5" t="str">
        <f aca="false">IF(C1065=0,"",IF(A1065="GL",IF(G1065&gt;0,"Deposit in transit","Outstanding check / payment"),IF(G1065&gt;0,"Bank credit not in GL","Bank debit not in GL")))</f>
        <v/>
      </c>
      <c r="I1065" s="42" t="str">
        <f aca="false">IF(OR(C1065=0,CFG_PeriodEnd=""),"",CFG_PeriodEnd-D1065)</f>
        <v/>
      </c>
      <c r="J1065" s="5" t="str">
        <f aca="false">IF(C1065=0,"",IF($A1065="Bank",IF(INDEX(Bank!$G:$G,$C1065)="","",INDEX(Bank!$G:$G,$C1065)),IF(INDEX(GL!$G:$G,$C1065)="","",INDEX(GL!$G:$G,$C1065))))</f>
        <v/>
      </c>
      <c r="K1065" s="5" t="str">
        <f aca="false">IF(C1065=0,"",IF($A1065="Bank",IF(INDEX(Bank!$I:$I,$C1065)="","",INDEX(Bank!$I:$I,$C1065)),IF(INDEX(GL!$I:$I,$C1065)="","",INDEX(GL!$I:$I,$C1065))))</f>
        <v/>
      </c>
      <c r="L1065" s="5" t="str">
        <f aca="false">IF(B1065="","",IF(C1065=0,"NOT FOUND",IF(IF($A1065="Bank",INDEX(Bank!$F:$F,$C1065),INDEX(GL!$F:$F,$C1065))="Y","NOW RECONCILED: refresh","OK")))</f>
        <v/>
      </c>
    </row>
    <row r="1066" customFormat="false" ht="15" hidden="false" customHeight="false" outlineLevel="0" collapsed="false">
      <c r="A1066" s="41"/>
      <c r="B1066" s="41"/>
      <c r="C1066" s="5" t="n">
        <f aca="false">IF(B1066="",0,IF(A1066="Bank",IFERROR(MATCH(B1066,Bank!$A:$A,0),0),IFERROR(MATCH(B1066,GL!$A:$A,0),0)))</f>
        <v>0</v>
      </c>
      <c r="D1066" s="32" t="str">
        <f aca="false">IF(C1066=0,"",IF($A1066="Bank",INDEX(Bank!$B:$B,$C1066),INDEX(GL!$B:$B,$C1066)))</f>
        <v/>
      </c>
      <c r="E1066" s="5" t="str">
        <f aca="false">IF(C1066=0,"",IF($A1066="Bank",IF(INDEX(Bank!$C:$C,$C1066)="","",INDEX(Bank!$C:$C,$C1066)),IF(INDEX(GL!$C:$C,$C1066)="","",INDEX(GL!$C:$C,$C1066))))</f>
        <v/>
      </c>
      <c r="F1066" s="5" t="str">
        <f aca="false">IF(C1066=0,"",IF($A1066="Bank",IF(INDEX(Bank!$D:$D,$C1066)="","",INDEX(Bank!$D:$D,$C1066)),IF(INDEX(GL!$D:$D,$C1066)="","",INDEX(GL!$D:$D,$C1066))))</f>
        <v/>
      </c>
      <c r="G1066" s="19" t="str">
        <f aca="false">IF(C1066=0,"",IF($A1066="Bank",INDEX(Bank!$E:$E,$C1066),INDEX(GL!$E:$E,$C1066)))</f>
        <v/>
      </c>
      <c r="H1066" s="5" t="str">
        <f aca="false">IF(C1066=0,"",IF(A1066="GL",IF(G1066&gt;0,"Deposit in transit","Outstanding check / payment"),IF(G1066&gt;0,"Bank credit not in GL","Bank debit not in GL")))</f>
        <v/>
      </c>
      <c r="I1066" s="42" t="str">
        <f aca="false">IF(OR(C1066=0,CFG_PeriodEnd=""),"",CFG_PeriodEnd-D1066)</f>
        <v/>
      </c>
      <c r="J1066" s="5" t="str">
        <f aca="false">IF(C1066=0,"",IF($A1066="Bank",IF(INDEX(Bank!$G:$G,$C1066)="","",INDEX(Bank!$G:$G,$C1066)),IF(INDEX(GL!$G:$G,$C1066)="","",INDEX(GL!$G:$G,$C1066))))</f>
        <v/>
      </c>
      <c r="K1066" s="5" t="str">
        <f aca="false">IF(C1066=0,"",IF($A1066="Bank",IF(INDEX(Bank!$I:$I,$C1066)="","",INDEX(Bank!$I:$I,$C1066)),IF(INDEX(GL!$I:$I,$C1066)="","",INDEX(GL!$I:$I,$C1066))))</f>
        <v/>
      </c>
      <c r="L1066" s="5" t="str">
        <f aca="false">IF(B1066="","",IF(C1066=0,"NOT FOUND",IF(IF($A1066="Bank",INDEX(Bank!$F:$F,$C1066),INDEX(GL!$F:$F,$C1066))="Y","NOW RECONCILED: refresh","OK")))</f>
        <v/>
      </c>
    </row>
    <row r="1067" customFormat="false" ht="15" hidden="false" customHeight="false" outlineLevel="0" collapsed="false">
      <c r="A1067" s="41"/>
      <c r="B1067" s="41"/>
      <c r="C1067" s="5" t="n">
        <f aca="false">IF(B1067="",0,IF(A1067="Bank",IFERROR(MATCH(B1067,Bank!$A:$A,0),0),IFERROR(MATCH(B1067,GL!$A:$A,0),0)))</f>
        <v>0</v>
      </c>
      <c r="D1067" s="32" t="str">
        <f aca="false">IF(C1067=0,"",IF($A1067="Bank",INDEX(Bank!$B:$B,$C1067),INDEX(GL!$B:$B,$C1067)))</f>
        <v/>
      </c>
      <c r="E1067" s="5" t="str">
        <f aca="false">IF(C1067=0,"",IF($A1067="Bank",IF(INDEX(Bank!$C:$C,$C1067)="","",INDEX(Bank!$C:$C,$C1067)),IF(INDEX(GL!$C:$C,$C1067)="","",INDEX(GL!$C:$C,$C1067))))</f>
        <v/>
      </c>
      <c r="F1067" s="5" t="str">
        <f aca="false">IF(C1067=0,"",IF($A1067="Bank",IF(INDEX(Bank!$D:$D,$C1067)="","",INDEX(Bank!$D:$D,$C1067)),IF(INDEX(GL!$D:$D,$C1067)="","",INDEX(GL!$D:$D,$C1067))))</f>
        <v/>
      </c>
      <c r="G1067" s="19" t="str">
        <f aca="false">IF(C1067=0,"",IF($A1067="Bank",INDEX(Bank!$E:$E,$C1067),INDEX(GL!$E:$E,$C1067)))</f>
        <v/>
      </c>
      <c r="H1067" s="5" t="str">
        <f aca="false">IF(C1067=0,"",IF(A1067="GL",IF(G1067&gt;0,"Deposit in transit","Outstanding check / payment"),IF(G1067&gt;0,"Bank credit not in GL","Bank debit not in GL")))</f>
        <v/>
      </c>
      <c r="I1067" s="42" t="str">
        <f aca="false">IF(OR(C1067=0,CFG_PeriodEnd=""),"",CFG_PeriodEnd-D1067)</f>
        <v/>
      </c>
      <c r="J1067" s="5" t="str">
        <f aca="false">IF(C1067=0,"",IF($A1067="Bank",IF(INDEX(Bank!$G:$G,$C1067)="","",INDEX(Bank!$G:$G,$C1067)),IF(INDEX(GL!$G:$G,$C1067)="","",INDEX(GL!$G:$G,$C1067))))</f>
        <v/>
      </c>
      <c r="K1067" s="5" t="str">
        <f aca="false">IF(C1067=0,"",IF($A1067="Bank",IF(INDEX(Bank!$I:$I,$C1067)="","",INDEX(Bank!$I:$I,$C1067)),IF(INDEX(GL!$I:$I,$C1067)="","",INDEX(GL!$I:$I,$C1067))))</f>
        <v/>
      </c>
      <c r="L1067" s="5" t="str">
        <f aca="false">IF(B1067="","",IF(C1067=0,"NOT FOUND",IF(IF($A1067="Bank",INDEX(Bank!$F:$F,$C1067),INDEX(GL!$F:$F,$C1067))="Y","NOW RECONCILED: refresh","OK")))</f>
        <v/>
      </c>
    </row>
    <row r="1068" customFormat="false" ht="15" hidden="false" customHeight="false" outlineLevel="0" collapsed="false">
      <c r="A1068" s="41"/>
      <c r="B1068" s="41"/>
      <c r="C1068" s="5" t="n">
        <f aca="false">IF(B1068="",0,IF(A1068="Bank",IFERROR(MATCH(B1068,Bank!$A:$A,0),0),IFERROR(MATCH(B1068,GL!$A:$A,0),0)))</f>
        <v>0</v>
      </c>
      <c r="D1068" s="32" t="str">
        <f aca="false">IF(C1068=0,"",IF($A1068="Bank",INDEX(Bank!$B:$B,$C1068),INDEX(GL!$B:$B,$C1068)))</f>
        <v/>
      </c>
      <c r="E1068" s="5" t="str">
        <f aca="false">IF(C1068=0,"",IF($A1068="Bank",IF(INDEX(Bank!$C:$C,$C1068)="","",INDEX(Bank!$C:$C,$C1068)),IF(INDEX(GL!$C:$C,$C1068)="","",INDEX(GL!$C:$C,$C1068))))</f>
        <v/>
      </c>
      <c r="F1068" s="5" t="str">
        <f aca="false">IF(C1068=0,"",IF($A1068="Bank",IF(INDEX(Bank!$D:$D,$C1068)="","",INDEX(Bank!$D:$D,$C1068)),IF(INDEX(GL!$D:$D,$C1068)="","",INDEX(GL!$D:$D,$C1068))))</f>
        <v/>
      </c>
      <c r="G1068" s="19" t="str">
        <f aca="false">IF(C1068=0,"",IF($A1068="Bank",INDEX(Bank!$E:$E,$C1068),INDEX(GL!$E:$E,$C1068)))</f>
        <v/>
      </c>
      <c r="H1068" s="5" t="str">
        <f aca="false">IF(C1068=0,"",IF(A1068="GL",IF(G1068&gt;0,"Deposit in transit","Outstanding check / payment"),IF(G1068&gt;0,"Bank credit not in GL","Bank debit not in GL")))</f>
        <v/>
      </c>
      <c r="I1068" s="42" t="str">
        <f aca="false">IF(OR(C1068=0,CFG_PeriodEnd=""),"",CFG_PeriodEnd-D1068)</f>
        <v/>
      </c>
      <c r="J1068" s="5" t="str">
        <f aca="false">IF(C1068=0,"",IF($A1068="Bank",IF(INDEX(Bank!$G:$G,$C1068)="","",INDEX(Bank!$G:$G,$C1068)),IF(INDEX(GL!$G:$G,$C1068)="","",INDEX(GL!$G:$G,$C1068))))</f>
        <v/>
      </c>
      <c r="K1068" s="5" t="str">
        <f aca="false">IF(C1068=0,"",IF($A1068="Bank",IF(INDEX(Bank!$I:$I,$C1068)="","",INDEX(Bank!$I:$I,$C1068)),IF(INDEX(GL!$I:$I,$C1068)="","",INDEX(GL!$I:$I,$C1068))))</f>
        <v/>
      </c>
      <c r="L1068" s="5" t="str">
        <f aca="false">IF(B1068="","",IF(C1068=0,"NOT FOUND",IF(IF($A1068="Bank",INDEX(Bank!$F:$F,$C1068),INDEX(GL!$F:$F,$C1068))="Y","NOW RECONCILED: refresh","OK")))</f>
        <v/>
      </c>
    </row>
    <row r="1069" customFormat="false" ht="15" hidden="false" customHeight="false" outlineLevel="0" collapsed="false">
      <c r="A1069" s="41"/>
      <c r="B1069" s="41"/>
      <c r="C1069" s="5" t="n">
        <f aca="false">IF(B1069="",0,IF(A1069="Bank",IFERROR(MATCH(B1069,Bank!$A:$A,0),0),IFERROR(MATCH(B1069,GL!$A:$A,0),0)))</f>
        <v>0</v>
      </c>
      <c r="D1069" s="32" t="str">
        <f aca="false">IF(C1069=0,"",IF($A1069="Bank",INDEX(Bank!$B:$B,$C1069),INDEX(GL!$B:$B,$C1069)))</f>
        <v/>
      </c>
      <c r="E1069" s="5" t="str">
        <f aca="false">IF(C1069=0,"",IF($A1069="Bank",IF(INDEX(Bank!$C:$C,$C1069)="","",INDEX(Bank!$C:$C,$C1069)),IF(INDEX(GL!$C:$C,$C1069)="","",INDEX(GL!$C:$C,$C1069))))</f>
        <v/>
      </c>
      <c r="F1069" s="5" t="str">
        <f aca="false">IF(C1069=0,"",IF($A1069="Bank",IF(INDEX(Bank!$D:$D,$C1069)="","",INDEX(Bank!$D:$D,$C1069)),IF(INDEX(GL!$D:$D,$C1069)="","",INDEX(GL!$D:$D,$C1069))))</f>
        <v/>
      </c>
      <c r="G1069" s="19" t="str">
        <f aca="false">IF(C1069=0,"",IF($A1069="Bank",INDEX(Bank!$E:$E,$C1069),INDEX(GL!$E:$E,$C1069)))</f>
        <v/>
      </c>
      <c r="H1069" s="5" t="str">
        <f aca="false">IF(C1069=0,"",IF(A1069="GL",IF(G1069&gt;0,"Deposit in transit","Outstanding check / payment"),IF(G1069&gt;0,"Bank credit not in GL","Bank debit not in GL")))</f>
        <v/>
      </c>
      <c r="I1069" s="42" t="str">
        <f aca="false">IF(OR(C1069=0,CFG_PeriodEnd=""),"",CFG_PeriodEnd-D1069)</f>
        <v/>
      </c>
      <c r="J1069" s="5" t="str">
        <f aca="false">IF(C1069=0,"",IF($A1069="Bank",IF(INDEX(Bank!$G:$G,$C1069)="","",INDEX(Bank!$G:$G,$C1069)),IF(INDEX(GL!$G:$G,$C1069)="","",INDEX(GL!$G:$G,$C1069))))</f>
        <v/>
      </c>
      <c r="K1069" s="5" t="str">
        <f aca="false">IF(C1069=0,"",IF($A1069="Bank",IF(INDEX(Bank!$I:$I,$C1069)="","",INDEX(Bank!$I:$I,$C1069)),IF(INDEX(GL!$I:$I,$C1069)="","",INDEX(GL!$I:$I,$C1069))))</f>
        <v/>
      </c>
      <c r="L1069" s="5" t="str">
        <f aca="false">IF(B1069="","",IF(C1069=0,"NOT FOUND",IF(IF($A1069="Bank",INDEX(Bank!$F:$F,$C1069),INDEX(GL!$F:$F,$C1069))="Y","NOW RECONCILED: refresh","OK")))</f>
        <v/>
      </c>
    </row>
    <row r="1070" customFormat="false" ht="15" hidden="false" customHeight="false" outlineLevel="0" collapsed="false">
      <c r="A1070" s="41"/>
      <c r="B1070" s="41"/>
      <c r="C1070" s="5" t="n">
        <f aca="false">IF(B1070="",0,IF(A1070="Bank",IFERROR(MATCH(B1070,Bank!$A:$A,0),0),IFERROR(MATCH(B1070,GL!$A:$A,0),0)))</f>
        <v>0</v>
      </c>
      <c r="D1070" s="32" t="str">
        <f aca="false">IF(C1070=0,"",IF($A1070="Bank",INDEX(Bank!$B:$B,$C1070),INDEX(GL!$B:$B,$C1070)))</f>
        <v/>
      </c>
      <c r="E1070" s="5" t="str">
        <f aca="false">IF(C1070=0,"",IF($A1070="Bank",IF(INDEX(Bank!$C:$C,$C1070)="","",INDEX(Bank!$C:$C,$C1070)),IF(INDEX(GL!$C:$C,$C1070)="","",INDEX(GL!$C:$C,$C1070))))</f>
        <v/>
      </c>
      <c r="F1070" s="5" t="str">
        <f aca="false">IF(C1070=0,"",IF($A1070="Bank",IF(INDEX(Bank!$D:$D,$C1070)="","",INDEX(Bank!$D:$D,$C1070)),IF(INDEX(GL!$D:$D,$C1070)="","",INDEX(GL!$D:$D,$C1070))))</f>
        <v/>
      </c>
      <c r="G1070" s="19" t="str">
        <f aca="false">IF(C1070=0,"",IF($A1070="Bank",INDEX(Bank!$E:$E,$C1070),INDEX(GL!$E:$E,$C1070)))</f>
        <v/>
      </c>
      <c r="H1070" s="5" t="str">
        <f aca="false">IF(C1070=0,"",IF(A1070="GL",IF(G1070&gt;0,"Deposit in transit","Outstanding check / payment"),IF(G1070&gt;0,"Bank credit not in GL","Bank debit not in GL")))</f>
        <v/>
      </c>
      <c r="I1070" s="42" t="str">
        <f aca="false">IF(OR(C1070=0,CFG_PeriodEnd=""),"",CFG_PeriodEnd-D1070)</f>
        <v/>
      </c>
      <c r="J1070" s="5" t="str">
        <f aca="false">IF(C1070=0,"",IF($A1070="Bank",IF(INDEX(Bank!$G:$G,$C1070)="","",INDEX(Bank!$G:$G,$C1070)),IF(INDEX(GL!$G:$G,$C1070)="","",INDEX(GL!$G:$G,$C1070))))</f>
        <v/>
      </c>
      <c r="K1070" s="5" t="str">
        <f aca="false">IF(C1070=0,"",IF($A1070="Bank",IF(INDEX(Bank!$I:$I,$C1070)="","",INDEX(Bank!$I:$I,$C1070)),IF(INDEX(GL!$I:$I,$C1070)="","",INDEX(GL!$I:$I,$C1070))))</f>
        <v/>
      </c>
      <c r="L1070" s="5" t="str">
        <f aca="false">IF(B1070="","",IF(C1070=0,"NOT FOUND",IF(IF($A1070="Bank",INDEX(Bank!$F:$F,$C1070),INDEX(GL!$F:$F,$C1070))="Y","NOW RECONCILED: refresh","OK")))</f>
        <v/>
      </c>
    </row>
    <row r="1071" customFormat="false" ht="15" hidden="false" customHeight="false" outlineLevel="0" collapsed="false">
      <c r="A1071" s="41"/>
      <c r="B1071" s="41"/>
      <c r="C1071" s="5" t="n">
        <f aca="false">IF(B1071="",0,IF(A1071="Bank",IFERROR(MATCH(B1071,Bank!$A:$A,0),0),IFERROR(MATCH(B1071,GL!$A:$A,0),0)))</f>
        <v>0</v>
      </c>
      <c r="D1071" s="32" t="str">
        <f aca="false">IF(C1071=0,"",IF($A1071="Bank",INDEX(Bank!$B:$B,$C1071),INDEX(GL!$B:$B,$C1071)))</f>
        <v/>
      </c>
      <c r="E1071" s="5" t="str">
        <f aca="false">IF(C1071=0,"",IF($A1071="Bank",IF(INDEX(Bank!$C:$C,$C1071)="","",INDEX(Bank!$C:$C,$C1071)),IF(INDEX(GL!$C:$C,$C1071)="","",INDEX(GL!$C:$C,$C1071))))</f>
        <v/>
      </c>
      <c r="F1071" s="5" t="str">
        <f aca="false">IF(C1071=0,"",IF($A1071="Bank",IF(INDEX(Bank!$D:$D,$C1071)="","",INDEX(Bank!$D:$D,$C1071)),IF(INDEX(GL!$D:$D,$C1071)="","",INDEX(GL!$D:$D,$C1071))))</f>
        <v/>
      </c>
      <c r="G1071" s="19" t="str">
        <f aca="false">IF(C1071=0,"",IF($A1071="Bank",INDEX(Bank!$E:$E,$C1071),INDEX(GL!$E:$E,$C1071)))</f>
        <v/>
      </c>
      <c r="H1071" s="5" t="str">
        <f aca="false">IF(C1071=0,"",IF(A1071="GL",IF(G1071&gt;0,"Deposit in transit","Outstanding check / payment"),IF(G1071&gt;0,"Bank credit not in GL","Bank debit not in GL")))</f>
        <v/>
      </c>
      <c r="I1071" s="42" t="str">
        <f aca="false">IF(OR(C1071=0,CFG_PeriodEnd=""),"",CFG_PeriodEnd-D1071)</f>
        <v/>
      </c>
      <c r="J1071" s="5" t="str">
        <f aca="false">IF(C1071=0,"",IF($A1071="Bank",IF(INDEX(Bank!$G:$G,$C1071)="","",INDEX(Bank!$G:$G,$C1071)),IF(INDEX(GL!$G:$G,$C1071)="","",INDEX(GL!$G:$G,$C1071))))</f>
        <v/>
      </c>
      <c r="K1071" s="5" t="str">
        <f aca="false">IF(C1071=0,"",IF($A1071="Bank",IF(INDEX(Bank!$I:$I,$C1071)="","",INDEX(Bank!$I:$I,$C1071)),IF(INDEX(GL!$I:$I,$C1071)="","",INDEX(GL!$I:$I,$C1071))))</f>
        <v/>
      </c>
      <c r="L1071" s="5" t="str">
        <f aca="false">IF(B1071="","",IF(C1071=0,"NOT FOUND",IF(IF($A1071="Bank",INDEX(Bank!$F:$F,$C1071),INDEX(GL!$F:$F,$C1071))="Y","NOW RECONCILED: refresh","OK")))</f>
        <v/>
      </c>
    </row>
    <row r="1072" customFormat="false" ht="15" hidden="false" customHeight="false" outlineLevel="0" collapsed="false">
      <c r="A1072" s="41"/>
      <c r="B1072" s="41"/>
      <c r="C1072" s="5" t="n">
        <f aca="false">IF(B1072="",0,IF(A1072="Bank",IFERROR(MATCH(B1072,Bank!$A:$A,0),0),IFERROR(MATCH(B1072,GL!$A:$A,0),0)))</f>
        <v>0</v>
      </c>
      <c r="D1072" s="32" t="str">
        <f aca="false">IF(C1072=0,"",IF($A1072="Bank",INDEX(Bank!$B:$B,$C1072),INDEX(GL!$B:$B,$C1072)))</f>
        <v/>
      </c>
      <c r="E1072" s="5" t="str">
        <f aca="false">IF(C1072=0,"",IF($A1072="Bank",IF(INDEX(Bank!$C:$C,$C1072)="","",INDEX(Bank!$C:$C,$C1072)),IF(INDEX(GL!$C:$C,$C1072)="","",INDEX(GL!$C:$C,$C1072))))</f>
        <v/>
      </c>
      <c r="F1072" s="5" t="str">
        <f aca="false">IF(C1072=0,"",IF($A1072="Bank",IF(INDEX(Bank!$D:$D,$C1072)="","",INDEX(Bank!$D:$D,$C1072)),IF(INDEX(GL!$D:$D,$C1072)="","",INDEX(GL!$D:$D,$C1072))))</f>
        <v/>
      </c>
      <c r="G1072" s="19" t="str">
        <f aca="false">IF(C1072=0,"",IF($A1072="Bank",INDEX(Bank!$E:$E,$C1072),INDEX(GL!$E:$E,$C1072)))</f>
        <v/>
      </c>
      <c r="H1072" s="5" t="str">
        <f aca="false">IF(C1072=0,"",IF(A1072="GL",IF(G1072&gt;0,"Deposit in transit","Outstanding check / payment"),IF(G1072&gt;0,"Bank credit not in GL","Bank debit not in GL")))</f>
        <v/>
      </c>
      <c r="I1072" s="42" t="str">
        <f aca="false">IF(OR(C1072=0,CFG_PeriodEnd=""),"",CFG_PeriodEnd-D1072)</f>
        <v/>
      </c>
      <c r="J1072" s="5" t="str">
        <f aca="false">IF(C1072=0,"",IF($A1072="Bank",IF(INDEX(Bank!$G:$G,$C1072)="","",INDEX(Bank!$G:$G,$C1072)),IF(INDEX(GL!$G:$G,$C1072)="","",INDEX(GL!$G:$G,$C1072))))</f>
        <v/>
      </c>
      <c r="K1072" s="5" t="str">
        <f aca="false">IF(C1072=0,"",IF($A1072="Bank",IF(INDEX(Bank!$I:$I,$C1072)="","",INDEX(Bank!$I:$I,$C1072)),IF(INDEX(GL!$I:$I,$C1072)="","",INDEX(GL!$I:$I,$C1072))))</f>
        <v/>
      </c>
      <c r="L1072" s="5" t="str">
        <f aca="false">IF(B1072="","",IF(C1072=0,"NOT FOUND",IF(IF($A1072="Bank",INDEX(Bank!$F:$F,$C1072),INDEX(GL!$F:$F,$C1072))="Y","NOW RECONCILED: refresh","OK")))</f>
        <v/>
      </c>
    </row>
    <row r="1073" customFormat="false" ht="15" hidden="false" customHeight="false" outlineLevel="0" collapsed="false">
      <c r="A1073" s="41"/>
      <c r="B1073" s="41"/>
      <c r="C1073" s="5" t="n">
        <f aca="false">IF(B1073="",0,IF(A1073="Bank",IFERROR(MATCH(B1073,Bank!$A:$A,0),0),IFERROR(MATCH(B1073,GL!$A:$A,0),0)))</f>
        <v>0</v>
      </c>
      <c r="D1073" s="32" t="str">
        <f aca="false">IF(C1073=0,"",IF($A1073="Bank",INDEX(Bank!$B:$B,$C1073),INDEX(GL!$B:$B,$C1073)))</f>
        <v/>
      </c>
      <c r="E1073" s="5" t="str">
        <f aca="false">IF(C1073=0,"",IF($A1073="Bank",IF(INDEX(Bank!$C:$C,$C1073)="","",INDEX(Bank!$C:$C,$C1073)),IF(INDEX(GL!$C:$C,$C1073)="","",INDEX(GL!$C:$C,$C1073))))</f>
        <v/>
      </c>
      <c r="F1073" s="5" t="str">
        <f aca="false">IF(C1073=0,"",IF($A1073="Bank",IF(INDEX(Bank!$D:$D,$C1073)="","",INDEX(Bank!$D:$D,$C1073)),IF(INDEX(GL!$D:$D,$C1073)="","",INDEX(GL!$D:$D,$C1073))))</f>
        <v/>
      </c>
      <c r="G1073" s="19" t="str">
        <f aca="false">IF(C1073=0,"",IF($A1073="Bank",INDEX(Bank!$E:$E,$C1073),INDEX(GL!$E:$E,$C1073)))</f>
        <v/>
      </c>
      <c r="H1073" s="5" t="str">
        <f aca="false">IF(C1073=0,"",IF(A1073="GL",IF(G1073&gt;0,"Deposit in transit","Outstanding check / payment"),IF(G1073&gt;0,"Bank credit not in GL","Bank debit not in GL")))</f>
        <v/>
      </c>
      <c r="I1073" s="42" t="str">
        <f aca="false">IF(OR(C1073=0,CFG_PeriodEnd=""),"",CFG_PeriodEnd-D1073)</f>
        <v/>
      </c>
      <c r="J1073" s="5" t="str">
        <f aca="false">IF(C1073=0,"",IF($A1073="Bank",IF(INDEX(Bank!$G:$G,$C1073)="","",INDEX(Bank!$G:$G,$C1073)),IF(INDEX(GL!$G:$G,$C1073)="","",INDEX(GL!$G:$G,$C1073))))</f>
        <v/>
      </c>
      <c r="K1073" s="5" t="str">
        <f aca="false">IF(C1073=0,"",IF($A1073="Bank",IF(INDEX(Bank!$I:$I,$C1073)="","",INDEX(Bank!$I:$I,$C1073)),IF(INDEX(GL!$I:$I,$C1073)="","",INDEX(GL!$I:$I,$C1073))))</f>
        <v/>
      </c>
      <c r="L1073" s="5" t="str">
        <f aca="false">IF(B1073="","",IF(C1073=0,"NOT FOUND",IF(IF($A1073="Bank",INDEX(Bank!$F:$F,$C1073),INDEX(GL!$F:$F,$C1073))="Y","NOW RECONCILED: refresh","OK")))</f>
        <v/>
      </c>
    </row>
    <row r="1074" customFormat="false" ht="15" hidden="false" customHeight="false" outlineLevel="0" collapsed="false">
      <c r="A1074" s="41"/>
      <c r="B1074" s="41"/>
      <c r="C1074" s="5" t="n">
        <f aca="false">IF(B1074="",0,IF(A1074="Bank",IFERROR(MATCH(B1074,Bank!$A:$A,0),0),IFERROR(MATCH(B1074,GL!$A:$A,0),0)))</f>
        <v>0</v>
      </c>
      <c r="D1074" s="32" t="str">
        <f aca="false">IF(C1074=0,"",IF($A1074="Bank",INDEX(Bank!$B:$B,$C1074),INDEX(GL!$B:$B,$C1074)))</f>
        <v/>
      </c>
      <c r="E1074" s="5" t="str">
        <f aca="false">IF(C1074=0,"",IF($A1074="Bank",IF(INDEX(Bank!$C:$C,$C1074)="","",INDEX(Bank!$C:$C,$C1074)),IF(INDEX(GL!$C:$C,$C1074)="","",INDEX(GL!$C:$C,$C1074))))</f>
        <v/>
      </c>
      <c r="F1074" s="5" t="str">
        <f aca="false">IF(C1074=0,"",IF($A1074="Bank",IF(INDEX(Bank!$D:$D,$C1074)="","",INDEX(Bank!$D:$D,$C1074)),IF(INDEX(GL!$D:$D,$C1074)="","",INDEX(GL!$D:$D,$C1074))))</f>
        <v/>
      </c>
      <c r="G1074" s="19" t="str">
        <f aca="false">IF(C1074=0,"",IF($A1074="Bank",INDEX(Bank!$E:$E,$C1074),INDEX(GL!$E:$E,$C1074)))</f>
        <v/>
      </c>
      <c r="H1074" s="5" t="str">
        <f aca="false">IF(C1074=0,"",IF(A1074="GL",IF(G1074&gt;0,"Deposit in transit","Outstanding check / payment"),IF(G1074&gt;0,"Bank credit not in GL","Bank debit not in GL")))</f>
        <v/>
      </c>
      <c r="I1074" s="42" t="str">
        <f aca="false">IF(OR(C1074=0,CFG_PeriodEnd=""),"",CFG_PeriodEnd-D1074)</f>
        <v/>
      </c>
      <c r="J1074" s="5" t="str">
        <f aca="false">IF(C1074=0,"",IF($A1074="Bank",IF(INDEX(Bank!$G:$G,$C1074)="","",INDEX(Bank!$G:$G,$C1074)),IF(INDEX(GL!$G:$G,$C1074)="","",INDEX(GL!$G:$G,$C1074))))</f>
        <v/>
      </c>
      <c r="K1074" s="5" t="str">
        <f aca="false">IF(C1074=0,"",IF($A1074="Bank",IF(INDEX(Bank!$I:$I,$C1074)="","",INDEX(Bank!$I:$I,$C1074)),IF(INDEX(GL!$I:$I,$C1074)="","",INDEX(GL!$I:$I,$C1074))))</f>
        <v/>
      </c>
      <c r="L1074" s="5" t="str">
        <f aca="false">IF(B1074="","",IF(C1074=0,"NOT FOUND",IF(IF($A1074="Bank",INDEX(Bank!$F:$F,$C1074),INDEX(GL!$F:$F,$C1074))="Y","NOW RECONCILED: refresh","OK")))</f>
        <v/>
      </c>
    </row>
    <row r="1075" customFormat="false" ht="15" hidden="false" customHeight="false" outlineLevel="0" collapsed="false">
      <c r="A1075" s="41"/>
      <c r="B1075" s="41"/>
      <c r="C1075" s="5" t="n">
        <f aca="false">IF(B1075="",0,IF(A1075="Bank",IFERROR(MATCH(B1075,Bank!$A:$A,0),0),IFERROR(MATCH(B1075,GL!$A:$A,0),0)))</f>
        <v>0</v>
      </c>
      <c r="D1075" s="32" t="str">
        <f aca="false">IF(C1075=0,"",IF($A1075="Bank",INDEX(Bank!$B:$B,$C1075),INDEX(GL!$B:$B,$C1075)))</f>
        <v/>
      </c>
      <c r="E1075" s="5" t="str">
        <f aca="false">IF(C1075=0,"",IF($A1075="Bank",IF(INDEX(Bank!$C:$C,$C1075)="","",INDEX(Bank!$C:$C,$C1075)),IF(INDEX(GL!$C:$C,$C1075)="","",INDEX(GL!$C:$C,$C1075))))</f>
        <v/>
      </c>
      <c r="F1075" s="5" t="str">
        <f aca="false">IF(C1075=0,"",IF($A1075="Bank",IF(INDEX(Bank!$D:$D,$C1075)="","",INDEX(Bank!$D:$D,$C1075)),IF(INDEX(GL!$D:$D,$C1075)="","",INDEX(GL!$D:$D,$C1075))))</f>
        <v/>
      </c>
      <c r="G1075" s="19" t="str">
        <f aca="false">IF(C1075=0,"",IF($A1075="Bank",INDEX(Bank!$E:$E,$C1075),INDEX(GL!$E:$E,$C1075)))</f>
        <v/>
      </c>
      <c r="H1075" s="5" t="str">
        <f aca="false">IF(C1075=0,"",IF(A1075="GL",IF(G1075&gt;0,"Deposit in transit","Outstanding check / payment"),IF(G1075&gt;0,"Bank credit not in GL","Bank debit not in GL")))</f>
        <v/>
      </c>
      <c r="I1075" s="42" t="str">
        <f aca="false">IF(OR(C1075=0,CFG_PeriodEnd=""),"",CFG_PeriodEnd-D1075)</f>
        <v/>
      </c>
      <c r="J1075" s="5" t="str">
        <f aca="false">IF(C1075=0,"",IF($A1075="Bank",IF(INDEX(Bank!$G:$G,$C1075)="","",INDEX(Bank!$G:$G,$C1075)),IF(INDEX(GL!$G:$G,$C1075)="","",INDEX(GL!$G:$G,$C1075))))</f>
        <v/>
      </c>
      <c r="K1075" s="5" t="str">
        <f aca="false">IF(C1075=0,"",IF($A1075="Bank",IF(INDEX(Bank!$I:$I,$C1075)="","",INDEX(Bank!$I:$I,$C1075)),IF(INDEX(GL!$I:$I,$C1075)="","",INDEX(GL!$I:$I,$C1075))))</f>
        <v/>
      </c>
      <c r="L1075" s="5" t="str">
        <f aca="false">IF(B1075="","",IF(C1075=0,"NOT FOUND",IF(IF($A1075="Bank",INDEX(Bank!$F:$F,$C1075),INDEX(GL!$F:$F,$C1075))="Y","NOW RECONCILED: refresh","OK")))</f>
        <v/>
      </c>
    </row>
    <row r="1076" customFormat="false" ht="15" hidden="false" customHeight="false" outlineLevel="0" collapsed="false">
      <c r="A1076" s="41"/>
      <c r="B1076" s="41"/>
      <c r="C1076" s="5" t="n">
        <f aca="false">IF(B1076="",0,IF(A1076="Bank",IFERROR(MATCH(B1076,Bank!$A:$A,0),0),IFERROR(MATCH(B1076,GL!$A:$A,0),0)))</f>
        <v>0</v>
      </c>
      <c r="D1076" s="32" t="str">
        <f aca="false">IF(C1076=0,"",IF($A1076="Bank",INDEX(Bank!$B:$B,$C1076),INDEX(GL!$B:$B,$C1076)))</f>
        <v/>
      </c>
      <c r="E1076" s="5" t="str">
        <f aca="false">IF(C1076=0,"",IF($A1076="Bank",IF(INDEX(Bank!$C:$C,$C1076)="","",INDEX(Bank!$C:$C,$C1076)),IF(INDEX(GL!$C:$C,$C1076)="","",INDEX(GL!$C:$C,$C1076))))</f>
        <v/>
      </c>
      <c r="F1076" s="5" t="str">
        <f aca="false">IF(C1076=0,"",IF($A1076="Bank",IF(INDEX(Bank!$D:$D,$C1076)="","",INDEX(Bank!$D:$D,$C1076)),IF(INDEX(GL!$D:$D,$C1076)="","",INDEX(GL!$D:$D,$C1076))))</f>
        <v/>
      </c>
      <c r="G1076" s="19" t="str">
        <f aca="false">IF(C1076=0,"",IF($A1076="Bank",INDEX(Bank!$E:$E,$C1076),INDEX(GL!$E:$E,$C1076)))</f>
        <v/>
      </c>
      <c r="H1076" s="5" t="str">
        <f aca="false">IF(C1076=0,"",IF(A1076="GL",IF(G1076&gt;0,"Deposit in transit","Outstanding check / payment"),IF(G1076&gt;0,"Bank credit not in GL","Bank debit not in GL")))</f>
        <v/>
      </c>
      <c r="I1076" s="42" t="str">
        <f aca="false">IF(OR(C1076=0,CFG_PeriodEnd=""),"",CFG_PeriodEnd-D1076)</f>
        <v/>
      </c>
      <c r="J1076" s="5" t="str">
        <f aca="false">IF(C1076=0,"",IF($A1076="Bank",IF(INDEX(Bank!$G:$G,$C1076)="","",INDEX(Bank!$G:$G,$C1076)),IF(INDEX(GL!$G:$G,$C1076)="","",INDEX(GL!$G:$G,$C1076))))</f>
        <v/>
      </c>
      <c r="K1076" s="5" t="str">
        <f aca="false">IF(C1076=0,"",IF($A1076="Bank",IF(INDEX(Bank!$I:$I,$C1076)="","",INDEX(Bank!$I:$I,$C1076)),IF(INDEX(GL!$I:$I,$C1076)="","",INDEX(GL!$I:$I,$C1076))))</f>
        <v/>
      </c>
      <c r="L1076" s="5" t="str">
        <f aca="false">IF(B1076="","",IF(C1076=0,"NOT FOUND",IF(IF($A1076="Bank",INDEX(Bank!$F:$F,$C1076),INDEX(GL!$F:$F,$C1076))="Y","NOW RECONCILED: refresh","OK")))</f>
        <v/>
      </c>
    </row>
    <row r="1077" customFormat="false" ht="15" hidden="false" customHeight="false" outlineLevel="0" collapsed="false">
      <c r="A1077" s="41"/>
      <c r="B1077" s="41"/>
      <c r="C1077" s="5" t="n">
        <f aca="false">IF(B1077="",0,IF(A1077="Bank",IFERROR(MATCH(B1077,Bank!$A:$A,0),0),IFERROR(MATCH(B1077,GL!$A:$A,0),0)))</f>
        <v>0</v>
      </c>
      <c r="D1077" s="32" t="str">
        <f aca="false">IF(C1077=0,"",IF($A1077="Bank",INDEX(Bank!$B:$B,$C1077),INDEX(GL!$B:$B,$C1077)))</f>
        <v/>
      </c>
      <c r="E1077" s="5" t="str">
        <f aca="false">IF(C1077=0,"",IF($A1077="Bank",IF(INDEX(Bank!$C:$C,$C1077)="","",INDEX(Bank!$C:$C,$C1077)),IF(INDEX(GL!$C:$C,$C1077)="","",INDEX(GL!$C:$C,$C1077))))</f>
        <v/>
      </c>
      <c r="F1077" s="5" t="str">
        <f aca="false">IF(C1077=0,"",IF($A1077="Bank",IF(INDEX(Bank!$D:$D,$C1077)="","",INDEX(Bank!$D:$D,$C1077)),IF(INDEX(GL!$D:$D,$C1077)="","",INDEX(GL!$D:$D,$C1077))))</f>
        <v/>
      </c>
      <c r="G1077" s="19" t="str">
        <f aca="false">IF(C1077=0,"",IF($A1077="Bank",INDEX(Bank!$E:$E,$C1077),INDEX(GL!$E:$E,$C1077)))</f>
        <v/>
      </c>
      <c r="H1077" s="5" t="str">
        <f aca="false">IF(C1077=0,"",IF(A1077="GL",IF(G1077&gt;0,"Deposit in transit","Outstanding check / payment"),IF(G1077&gt;0,"Bank credit not in GL","Bank debit not in GL")))</f>
        <v/>
      </c>
      <c r="I1077" s="42" t="str">
        <f aca="false">IF(OR(C1077=0,CFG_PeriodEnd=""),"",CFG_PeriodEnd-D1077)</f>
        <v/>
      </c>
      <c r="J1077" s="5" t="str">
        <f aca="false">IF(C1077=0,"",IF($A1077="Bank",IF(INDEX(Bank!$G:$G,$C1077)="","",INDEX(Bank!$G:$G,$C1077)),IF(INDEX(GL!$G:$G,$C1077)="","",INDEX(GL!$G:$G,$C1077))))</f>
        <v/>
      </c>
      <c r="K1077" s="5" t="str">
        <f aca="false">IF(C1077=0,"",IF($A1077="Bank",IF(INDEX(Bank!$I:$I,$C1077)="","",INDEX(Bank!$I:$I,$C1077)),IF(INDEX(GL!$I:$I,$C1077)="","",INDEX(GL!$I:$I,$C1077))))</f>
        <v/>
      </c>
      <c r="L1077" s="5" t="str">
        <f aca="false">IF(B1077="","",IF(C1077=0,"NOT FOUND",IF(IF($A1077="Bank",INDEX(Bank!$F:$F,$C1077),INDEX(GL!$F:$F,$C1077))="Y","NOW RECONCILED: refresh","OK")))</f>
        <v/>
      </c>
    </row>
    <row r="1078" customFormat="false" ht="15" hidden="false" customHeight="false" outlineLevel="0" collapsed="false">
      <c r="A1078" s="41"/>
      <c r="B1078" s="41"/>
      <c r="C1078" s="5" t="n">
        <f aca="false">IF(B1078="",0,IF(A1078="Bank",IFERROR(MATCH(B1078,Bank!$A:$A,0),0),IFERROR(MATCH(B1078,GL!$A:$A,0),0)))</f>
        <v>0</v>
      </c>
      <c r="D1078" s="32" t="str">
        <f aca="false">IF(C1078=0,"",IF($A1078="Bank",INDEX(Bank!$B:$B,$C1078),INDEX(GL!$B:$B,$C1078)))</f>
        <v/>
      </c>
      <c r="E1078" s="5" t="str">
        <f aca="false">IF(C1078=0,"",IF($A1078="Bank",IF(INDEX(Bank!$C:$C,$C1078)="","",INDEX(Bank!$C:$C,$C1078)),IF(INDEX(GL!$C:$C,$C1078)="","",INDEX(GL!$C:$C,$C1078))))</f>
        <v/>
      </c>
      <c r="F1078" s="5" t="str">
        <f aca="false">IF(C1078=0,"",IF($A1078="Bank",IF(INDEX(Bank!$D:$D,$C1078)="","",INDEX(Bank!$D:$D,$C1078)),IF(INDEX(GL!$D:$D,$C1078)="","",INDEX(GL!$D:$D,$C1078))))</f>
        <v/>
      </c>
      <c r="G1078" s="19" t="str">
        <f aca="false">IF(C1078=0,"",IF($A1078="Bank",INDEX(Bank!$E:$E,$C1078),INDEX(GL!$E:$E,$C1078)))</f>
        <v/>
      </c>
      <c r="H1078" s="5" t="str">
        <f aca="false">IF(C1078=0,"",IF(A1078="GL",IF(G1078&gt;0,"Deposit in transit","Outstanding check / payment"),IF(G1078&gt;0,"Bank credit not in GL","Bank debit not in GL")))</f>
        <v/>
      </c>
      <c r="I1078" s="42" t="str">
        <f aca="false">IF(OR(C1078=0,CFG_PeriodEnd=""),"",CFG_PeriodEnd-D1078)</f>
        <v/>
      </c>
      <c r="J1078" s="5" t="str">
        <f aca="false">IF(C1078=0,"",IF($A1078="Bank",IF(INDEX(Bank!$G:$G,$C1078)="","",INDEX(Bank!$G:$G,$C1078)),IF(INDEX(GL!$G:$G,$C1078)="","",INDEX(GL!$G:$G,$C1078))))</f>
        <v/>
      </c>
      <c r="K1078" s="5" t="str">
        <f aca="false">IF(C1078=0,"",IF($A1078="Bank",IF(INDEX(Bank!$I:$I,$C1078)="","",INDEX(Bank!$I:$I,$C1078)),IF(INDEX(GL!$I:$I,$C1078)="","",INDEX(GL!$I:$I,$C1078))))</f>
        <v/>
      </c>
      <c r="L1078" s="5" t="str">
        <f aca="false">IF(B1078="","",IF(C1078=0,"NOT FOUND",IF(IF($A1078="Bank",INDEX(Bank!$F:$F,$C1078),INDEX(GL!$F:$F,$C1078))="Y","NOW RECONCILED: refresh","OK")))</f>
        <v/>
      </c>
    </row>
    <row r="1079" customFormat="false" ht="15" hidden="false" customHeight="false" outlineLevel="0" collapsed="false">
      <c r="A1079" s="41"/>
      <c r="B1079" s="41"/>
      <c r="C1079" s="5" t="n">
        <f aca="false">IF(B1079="",0,IF(A1079="Bank",IFERROR(MATCH(B1079,Bank!$A:$A,0),0),IFERROR(MATCH(B1079,GL!$A:$A,0),0)))</f>
        <v>0</v>
      </c>
      <c r="D1079" s="32" t="str">
        <f aca="false">IF(C1079=0,"",IF($A1079="Bank",INDEX(Bank!$B:$B,$C1079),INDEX(GL!$B:$B,$C1079)))</f>
        <v/>
      </c>
      <c r="E1079" s="5" t="str">
        <f aca="false">IF(C1079=0,"",IF($A1079="Bank",IF(INDEX(Bank!$C:$C,$C1079)="","",INDEX(Bank!$C:$C,$C1079)),IF(INDEX(GL!$C:$C,$C1079)="","",INDEX(GL!$C:$C,$C1079))))</f>
        <v/>
      </c>
      <c r="F1079" s="5" t="str">
        <f aca="false">IF(C1079=0,"",IF($A1079="Bank",IF(INDEX(Bank!$D:$D,$C1079)="","",INDEX(Bank!$D:$D,$C1079)),IF(INDEX(GL!$D:$D,$C1079)="","",INDEX(GL!$D:$D,$C1079))))</f>
        <v/>
      </c>
      <c r="G1079" s="19" t="str">
        <f aca="false">IF(C1079=0,"",IF($A1079="Bank",INDEX(Bank!$E:$E,$C1079),INDEX(GL!$E:$E,$C1079)))</f>
        <v/>
      </c>
      <c r="H1079" s="5" t="str">
        <f aca="false">IF(C1079=0,"",IF(A1079="GL",IF(G1079&gt;0,"Deposit in transit","Outstanding check / payment"),IF(G1079&gt;0,"Bank credit not in GL","Bank debit not in GL")))</f>
        <v/>
      </c>
      <c r="I1079" s="42" t="str">
        <f aca="false">IF(OR(C1079=0,CFG_PeriodEnd=""),"",CFG_PeriodEnd-D1079)</f>
        <v/>
      </c>
      <c r="J1079" s="5" t="str">
        <f aca="false">IF(C1079=0,"",IF($A1079="Bank",IF(INDEX(Bank!$G:$G,$C1079)="","",INDEX(Bank!$G:$G,$C1079)),IF(INDEX(GL!$G:$G,$C1079)="","",INDEX(GL!$G:$G,$C1079))))</f>
        <v/>
      </c>
      <c r="K1079" s="5" t="str">
        <f aca="false">IF(C1079=0,"",IF($A1079="Bank",IF(INDEX(Bank!$I:$I,$C1079)="","",INDEX(Bank!$I:$I,$C1079)),IF(INDEX(GL!$I:$I,$C1079)="","",INDEX(GL!$I:$I,$C1079))))</f>
        <v/>
      </c>
      <c r="L1079" s="5" t="str">
        <f aca="false">IF(B1079="","",IF(C1079=0,"NOT FOUND",IF(IF($A1079="Bank",INDEX(Bank!$F:$F,$C1079),INDEX(GL!$F:$F,$C1079))="Y","NOW RECONCILED: refresh","OK")))</f>
        <v/>
      </c>
    </row>
    <row r="1080" customFormat="false" ht="15" hidden="false" customHeight="false" outlineLevel="0" collapsed="false">
      <c r="A1080" s="41"/>
      <c r="B1080" s="41"/>
      <c r="C1080" s="5" t="n">
        <f aca="false">IF(B1080="",0,IF(A1080="Bank",IFERROR(MATCH(B1080,Bank!$A:$A,0),0),IFERROR(MATCH(B1080,GL!$A:$A,0),0)))</f>
        <v>0</v>
      </c>
      <c r="D1080" s="32" t="str">
        <f aca="false">IF(C1080=0,"",IF($A1080="Bank",INDEX(Bank!$B:$B,$C1080),INDEX(GL!$B:$B,$C1080)))</f>
        <v/>
      </c>
      <c r="E1080" s="5" t="str">
        <f aca="false">IF(C1080=0,"",IF($A1080="Bank",IF(INDEX(Bank!$C:$C,$C1080)="","",INDEX(Bank!$C:$C,$C1080)),IF(INDEX(GL!$C:$C,$C1080)="","",INDEX(GL!$C:$C,$C1080))))</f>
        <v/>
      </c>
      <c r="F1080" s="5" t="str">
        <f aca="false">IF(C1080=0,"",IF($A1080="Bank",IF(INDEX(Bank!$D:$D,$C1080)="","",INDEX(Bank!$D:$D,$C1080)),IF(INDEX(GL!$D:$D,$C1080)="","",INDEX(GL!$D:$D,$C1080))))</f>
        <v/>
      </c>
      <c r="G1080" s="19" t="str">
        <f aca="false">IF(C1080=0,"",IF($A1080="Bank",INDEX(Bank!$E:$E,$C1080),INDEX(GL!$E:$E,$C1080)))</f>
        <v/>
      </c>
      <c r="H1080" s="5" t="str">
        <f aca="false">IF(C1080=0,"",IF(A1080="GL",IF(G1080&gt;0,"Deposit in transit","Outstanding check / payment"),IF(G1080&gt;0,"Bank credit not in GL","Bank debit not in GL")))</f>
        <v/>
      </c>
      <c r="I1080" s="42" t="str">
        <f aca="false">IF(OR(C1080=0,CFG_PeriodEnd=""),"",CFG_PeriodEnd-D1080)</f>
        <v/>
      </c>
      <c r="J1080" s="5" t="str">
        <f aca="false">IF(C1080=0,"",IF($A1080="Bank",IF(INDEX(Bank!$G:$G,$C1080)="","",INDEX(Bank!$G:$G,$C1080)),IF(INDEX(GL!$G:$G,$C1080)="","",INDEX(GL!$G:$G,$C1080))))</f>
        <v/>
      </c>
      <c r="K1080" s="5" t="str">
        <f aca="false">IF(C1080=0,"",IF($A1080="Bank",IF(INDEX(Bank!$I:$I,$C1080)="","",INDEX(Bank!$I:$I,$C1080)),IF(INDEX(GL!$I:$I,$C1080)="","",INDEX(GL!$I:$I,$C1080))))</f>
        <v/>
      </c>
      <c r="L1080" s="5" t="str">
        <f aca="false">IF(B1080="","",IF(C1080=0,"NOT FOUND",IF(IF($A1080="Bank",INDEX(Bank!$F:$F,$C1080),INDEX(GL!$F:$F,$C1080))="Y","NOW RECONCILED: refresh","OK")))</f>
        <v/>
      </c>
    </row>
    <row r="1081" customFormat="false" ht="15" hidden="false" customHeight="false" outlineLevel="0" collapsed="false">
      <c r="A1081" s="41"/>
      <c r="B1081" s="41"/>
      <c r="C1081" s="5" t="n">
        <f aca="false">IF(B1081="",0,IF(A1081="Bank",IFERROR(MATCH(B1081,Bank!$A:$A,0),0),IFERROR(MATCH(B1081,GL!$A:$A,0),0)))</f>
        <v>0</v>
      </c>
      <c r="D1081" s="32" t="str">
        <f aca="false">IF(C1081=0,"",IF($A1081="Bank",INDEX(Bank!$B:$B,$C1081),INDEX(GL!$B:$B,$C1081)))</f>
        <v/>
      </c>
      <c r="E1081" s="5" t="str">
        <f aca="false">IF(C1081=0,"",IF($A1081="Bank",IF(INDEX(Bank!$C:$C,$C1081)="","",INDEX(Bank!$C:$C,$C1081)),IF(INDEX(GL!$C:$C,$C1081)="","",INDEX(GL!$C:$C,$C1081))))</f>
        <v/>
      </c>
      <c r="F1081" s="5" t="str">
        <f aca="false">IF(C1081=0,"",IF($A1081="Bank",IF(INDEX(Bank!$D:$D,$C1081)="","",INDEX(Bank!$D:$D,$C1081)),IF(INDEX(GL!$D:$D,$C1081)="","",INDEX(GL!$D:$D,$C1081))))</f>
        <v/>
      </c>
      <c r="G1081" s="19" t="str">
        <f aca="false">IF(C1081=0,"",IF($A1081="Bank",INDEX(Bank!$E:$E,$C1081),INDEX(GL!$E:$E,$C1081)))</f>
        <v/>
      </c>
      <c r="H1081" s="5" t="str">
        <f aca="false">IF(C1081=0,"",IF(A1081="GL",IF(G1081&gt;0,"Deposit in transit","Outstanding check / payment"),IF(G1081&gt;0,"Bank credit not in GL","Bank debit not in GL")))</f>
        <v/>
      </c>
      <c r="I1081" s="42" t="str">
        <f aca="false">IF(OR(C1081=0,CFG_PeriodEnd=""),"",CFG_PeriodEnd-D1081)</f>
        <v/>
      </c>
      <c r="J1081" s="5" t="str">
        <f aca="false">IF(C1081=0,"",IF($A1081="Bank",IF(INDEX(Bank!$G:$G,$C1081)="","",INDEX(Bank!$G:$G,$C1081)),IF(INDEX(GL!$G:$G,$C1081)="","",INDEX(GL!$G:$G,$C1081))))</f>
        <v/>
      </c>
      <c r="K1081" s="5" t="str">
        <f aca="false">IF(C1081=0,"",IF($A1081="Bank",IF(INDEX(Bank!$I:$I,$C1081)="","",INDEX(Bank!$I:$I,$C1081)),IF(INDEX(GL!$I:$I,$C1081)="","",INDEX(GL!$I:$I,$C1081))))</f>
        <v/>
      </c>
      <c r="L1081" s="5" t="str">
        <f aca="false">IF(B1081="","",IF(C1081=0,"NOT FOUND",IF(IF($A1081="Bank",INDEX(Bank!$F:$F,$C1081),INDEX(GL!$F:$F,$C1081))="Y","NOW RECONCILED: refresh","OK")))</f>
        <v/>
      </c>
    </row>
    <row r="1082" customFormat="false" ht="15" hidden="false" customHeight="false" outlineLevel="0" collapsed="false">
      <c r="A1082" s="41"/>
      <c r="B1082" s="41"/>
      <c r="C1082" s="5" t="n">
        <f aca="false">IF(B1082="",0,IF(A1082="Bank",IFERROR(MATCH(B1082,Bank!$A:$A,0),0),IFERROR(MATCH(B1082,GL!$A:$A,0),0)))</f>
        <v>0</v>
      </c>
      <c r="D1082" s="32" t="str">
        <f aca="false">IF(C1082=0,"",IF($A1082="Bank",INDEX(Bank!$B:$B,$C1082),INDEX(GL!$B:$B,$C1082)))</f>
        <v/>
      </c>
      <c r="E1082" s="5" t="str">
        <f aca="false">IF(C1082=0,"",IF($A1082="Bank",IF(INDEX(Bank!$C:$C,$C1082)="","",INDEX(Bank!$C:$C,$C1082)),IF(INDEX(GL!$C:$C,$C1082)="","",INDEX(GL!$C:$C,$C1082))))</f>
        <v/>
      </c>
      <c r="F1082" s="5" t="str">
        <f aca="false">IF(C1082=0,"",IF($A1082="Bank",IF(INDEX(Bank!$D:$D,$C1082)="","",INDEX(Bank!$D:$D,$C1082)),IF(INDEX(GL!$D:$D,$C1082)="","",INDEX(GL!$D:$D,$C1082))))</f>
        <v/>
      </c>
      <c r="G1082" s="19" t="str">
        <f aca="false">IF(C1082=0,"",IF($A1082="Bank",INDEX(Bank!$E:$E,$C1082),INDEX(GL!$E:$E,$C1082)))</f>
        <v/>
      </c>
      <c r="H1082" s="5" t="str">
        <f aca="false">IF(C1082=0,"",IF(A1082="GL",IF(G1082&gt;0,"Deposit in transit","Outstanding check / payment"),IF(G1082&gt;0,"Bank credit not in GL","Bank debit not in GL")))</f>
        <v/>
      </c>
      <c r="I1082" s="42" t="str">
        <f aca="false">IF(OR(C1082=0,CFG_PeriodEnd=""),"",CFG_PeriodEnd-D1082)</f>
        <v/>
      </c>
      <c r="J1082" s="5" t="str">
        <f aca="false">IF(C1082=0,"",IF($A1082="Bank",IF(INDEX(Bank!$G:$G,$C1082)="","",INDEX(Bank!$G:$G,$C1082)),IF(INDEX(GL!$G:$G,$C1082)="","",INDEX(GL!$G:$G,$C1082))))</f>
        <v/>
      </c>
      <c r="K1082" s="5" t="str">
        <f aca="false">IF(C1082=0,"",IF($A1082="Bank",IF(INDEX(Bank!$I:$I,$C1082)="","",INDEX(Bank!$I:$I,$C1082)),IF(INDEX(GL!$I:$I,$C1082)="","",INDEX(GL!$I:$I,$C1082))))</f>
        <v/>
      </c>
      <c r="L1082" s="5" t="str">
        <f aca="false">IF(B1082="","",IF(C1082=0,"NOT FOUND",IF(IF($A1082="Bank",INDEX(Bank!$F:$F,$C1082),INDEX(GL!$F:$F,$C1082))="Y","NOW RECONCILED: refresh","OK")))</f>
        <v/>
      </c>
    </row>
    <row r="1083" customFormat="false" ht="15" hidden="false" customHeight="false" outlineLevel="0" collapsed="false">
      <c r="A1083" s="41"/>
      <c r="B1083" s="41"/>
      <c r="C1083" s="5" t="n">
        <f aca="false">IF(B1083="",0,IF(A1083="Bank",IFERROR(MATCH(B1083,Bank!$A:$A,0),0),IFERROR(MATCH(B1083,GL!$A:$A,0),0)))</f>
        <v>0</v>
      </c>
      <c r="D1083" s="32" t="str">
        <f aca="false">IF(C1083=0,"",IF($A1083="Bank",INDEX(Bank!$B:$B,$C1083),INDEX(GL!$B:$B,$C1083)))</f>
        <v/>
      </c>
      <c r="E1083" s="5" t="str">
        <f aca="false">IF(C1083=0,"",IF($A1083="Bank",IF(INDEX(Bank!$C:$C,$C1083)="","",INDEX(Bank!$C:$C,$C1083)),IF(INDEX(GL!$C:$C,$C1083)="","",INDEX(GL!$C:$C,$C1083))))</f>
        <v/>
      </c>
      <c r="F1083" s="5" t="str">
        <f aca="false">IF(C1083=0,"",IF($A1083="Bank",IF(INDEX(Bank!$D:$D,$C1083)="","",INDEX(Bank!$D:$D,$C1083)),IF(INDEX(GL!$D:$D,$C1083)="","",INDEX(GL!$D:$D,$C1083))))</f>
        <v/>
      </c>
      <c r="G1083" s="19" t="str">
        <f aca="false">IF(C1083=0,"",IF($A1083="Bank",INDEX(Bank!$E:$E,$C1083),INDEX(GL!$E:$E,$C1083)))</f>
        <v/>
      </c>
      <c r="H1083" s="5" t="str">
        <f aca="false">IF(C1083=0,"",IF(A1083="GL",IF(G1083&gt;0,"Deposit in transit","Outstanding check / payment"),IF(G1083&gt;0,"Bank credit not in GL","Bank debit not in GL")))</f>
        <v/>
      </c>
      <c r="I1083" s="42" t="str">
        <f aca="false">IF(OR(C1083=0,CFG_PeriodEnd=""),"",CFG_PeriodEnd-D1083)</f>
        <v/>
      </c>
      <c r="J1083" s="5" t="str">
        <f aca="false">IF(C1083=0,"",IF($A1083="Bank",IF(INDEX(Bank!$G:$G,$C1083)="","",INDEX(Bank!$G:$G,$C1083)),IF(INDEX(GL!$G:$G,$C1083)="","",INDEX(GL!$G:$G,$C1083))))</f>
        <v/>
      </c>
      <c r="K1083" s="5" t="str">
        <f aca="false">IF(C1083=0,"",IF($A1083="Bank",IF(INDEX(Bank!$I:$I,$C1083)="","",INDEX(Bank!$I:$I,$C1083)),IF(INDEX(GL!$I:$I,$C1083)="","",INDEX(GL!$I:$I,$C1083))))</f>
        <v/>
      </c>
      <c r="L1083" s="5" t="str">
        <f aca="false">IF(B1083="","",IF(C1083=0,"NOT FOUND",IF(IF($A1083="Bank",INDEX(Bank!$F:$F,$C1083),INDEX(GL!$F:$F,$C1083))="Y","NOW RECONCILED: refresh","OK")))</f>
        <v/>
      </c>
    </row>
    <row r="1084" customFormat="false" ht="15" hidden="false" customHeight="false" outlineLevel="0" collapsed="false">
      <c r="A1084" s="41"/>
      <c r="B1084" s="41"/>
      <c r="C1084" s="5" t="n">
        <f aca="false">IF(B1084="",0,IF(A1084="Bank",IFERROR(MATCH(B1084,Bank!$A:$A,0),0),IFERROR(MATCH(B1084,GL!$A:$A,0),0)))</f>
        <v>0</v>
      </c>
      <c r="D1084" s="32" t="str">
        <f aca="false">IF(C1084=0,"",IF($A1084="Bank",INDEX(Bank!$B:$B,$C1084),INDEX(GL!$B:$B,$C1084)))</f>
        <v/>
      </c>
      <c r="E1084" s="5" t="str">
        <f aca="false">IF(C1084=0,"",IF($A1084="Bank",IF(INDEX(Bank!$C:$C,$C1084)="","",INDEX(Bank!$C:$C,$C1084)),IF(INDEX(GL!$C:$C,$C1084)="","",INDEX(GL!$C:$C,$C1084))))</f>
        <v/>
      </c>
      <c r="F1084" s="5" t="str">
        <f aca="false">IF(C1084=0,"",IF($A1084="Bank",IF(INDEX(Bank!$D:$D,$C1084)="","",INDEX(Bank!$D:$D,$C1084)),IF(INDEX(GL!$D:$D,$C1084)="","",INDEX(GL!$D:$D,$C1084))))</f>
        <v/>
      </c>
      <c r="G1084" s="19" t="str">
        <f aca="false">IF(C1084=0,"",IF($A1084="Bank",INDEX(Bank!$E:$E,$C1084),INDEX(GL!$E:$E,$C1084)))</f>
        <v/>
      </c>
      <c r="H1084" s="5" t="str">
        <f aca="false">IF(C1084=0,"",IF(A1084="GL",IF(G1084&gt;0,"Deposit in transit","Outstanding check / payment"),IF(G1084&gt;0,"Bank credit not in GL","Bank debit not in GL")))</f>
        <v/>
      </c>
      <c r="I1084" s="42" t="str">
        <f aca="false">IF(OR(C1084=0,CFG_PeriodEnd=""),"",CFG_PeriodEnd-D1084)</f>
        <v/>
      </c>
      <c r="J1084" s="5" t="str">
        <f aca="false">IF(C1084=0,"",IF($A1084="Bank",IF(INDEX(Bank!$G:$G,$C1084)="","",INDEX(Bank!$G:$G,$C1084)),IF(INDEX(GL!$G:$G,$C1084)="","",INDEX(GL!$G:$G,$C1084))))</f>
        <v/>
      </c>
      <c r="K1084" s="5" t="str">
        <f aca="false">IF(C1084=0,"",IF($A1084="Bank",IF(INDEX(Bank!$I:$I,$C1084)="","",INDEX(Bank!$I:$I,$C1084)),IF(INDEX(GL!$I:$I,$C1084)="","",INDEX(GL!$I:$I,$C1084))))</f>
        <v/>
      </c>
      <c r="L1084" s="5" t="str">
        <f aca="false">IF(B1084="","",IF(C1084=0,"NOT FOUND",IF(IF($A1084="Bank",INDEX(Bank!$F:$F,$C1084),INDEX(GL!$F:$F,$C1084))="Y","NOW RECONCILED: refresh","OK")))</f>
        <v/>
      </c>
    </row>
    <row r="1085" customFormat="false" ht="15" hidden="false" customHeight="false" outlineLevel="0" collapsed="false">
      <c r="A1085" s="41"/>
      <c r="B1085" s="41"/>
      <c r="C1085" s="5" t="n">
        <f aca="false">IF(B1085="",0,IF(A1085="Bank",IFERROR(MATCH(B1085,Bank!$A:$A,0),0),IFERROR(MATCH(B1085,GL!$A:$A,0),0)))</f>
        <v>0</v>
      </c>
      <c r="D1085" s="32" t="str">
        <f aca="false">IF(C1085=0,"",IF($A1085="Bank",INDEX(Bank!$B:$B,$C1085),INDEX(GL!$B:$B,$C1085)))</f>
        <v/>
      </c>
      <c r="E1085" s="5" t="str">
        <f aca="false">IF(C1085=0,"",IF($A1085="Bank",IF(INDEX(Bank!$C:$C,$C1085)="","",INDEX(Bank!$C:$C,$C1085)),IF(INDEX(GL!$C:$C,$C1085)="","",INDEX(GL!$C:$C,$C1085))))</f>
        <v/>
      </c>
      <c r="F1085" s="5" t="str">
        <f aca="false">IF(C1085=0,"",IF($A1085="Bank",IF(INDEX(Bank!$D:$D,$C1085)="","",INDEX(Bank!$D:$D,$C1085)),IF(INDEX(GL!$D:$D,$C1085)="","",INDEX(GL!$D:$D,$C1085))))</f>
        <v/>
      </c>
      <c r="G1085" s="19" t="str">
        <f aca="false">IF(C1085=0,"",IF($A1085="Bank",INDEX(Bank!$E:$E,$C1085),INDEX(GL!$E:$E,$C1085)))</f>
        <v/>
      </c>
      <c r="H1085" s="5" t="str">
        <f aca="false">IF(C1085=0,"",IF(A1085="GL",IF(G1085&gt;0,"Deposit in transit","Outstanding check / payment"),IF(G1085&gt;0,"Bank credit not in GL","Bank debit not in GL")))</f>
        <v/>
      </c>
      <c r="I1085" s="42" t="str">
        <f aca="false">IF(OR(C1085=0,CFG_PeriodEnd=""),"",CFG_PeriodEnd-D1085)</f>
        <v/>
      </c>
      <c r="J1085" s="5" t="str">
        <f aca="false">IF(C1085=0,"",IF($A1085="Bank",IF(INDEX(Bank!$G:$G,$C1085)="","",INDEX(Bank!$G:$G,$C1085)),IF(INDEX(GL!$G:$G,$C1085)="","",INDEX(GL!$G:$G,$C1085))))</f>
        <v/>
      </c>
      <c r="K1085" s="5" t="str">
        <f aca="false">IF(C1085=0,"",IF($A1085="Bank",IF(INDEX(Bank!$I:$I,$C1085)="","",INDEX(Bank!$I:$I,$C1085)),IF(INDEX(GL!$I:$I,$C1085)="","",INDEX(GL!$I:$I,$C1085))))</f>
        <v/>
      </c>
      <c r="L1085" s="5" t="str">
        <f aca="false">IF(B1085="","",IF(C1085=0,"NOT FOUND",IF(IF($A1085="Bank",INDEX(Bank!$F:$F,$C1085),INDEX(GL!$F:$F,$C1085))="Y","NOW RECONCILED: refresh","OK")))</f>
        <v/>
      </c>
    </row>
    <row r="1086" customFormat="false" ht="15" hidden="false" customHeight="false" outlineLevel="0" collapsed="false">
      <c r="A1086" s="41"/>
      <c r="B1086" s="41"/>
      <c r="C1086" s="5" t="n">
        <f aca="false">IF(B1086="",0,IF(A1086="Bank",IFERROR(MATCH(B1086,Bank!$A:$A,0),0),IFERROR(MATCH(B1086,GL!$A:$A,0),0)))</f>
        <v>0</v>
      </c>
      <c r="D1086" s="32" t="str">
        <f aca="false">IF(C1086=0,"",IF($A1086="Bank",INDEX(Bank!$B:$B,$C1086),INDEX(GL!$B:$B,$C1086)))</f>
        <v/>
      </c>
      <c r="E1086" s="5" t="str">
        <f aca="false">IF(C1086=0,"",IF($A1086="Bank",IF(INDEX(Bank!$C:$C,$C1086)="","",INDEX(Bank!$C:$C,$C1086)),IF(INDEX(GL!$C:$C,$C1086)="","",INDEX(GL!$C:$C,$C1086))))</f>
        <v/>
      </c>
      <c r="F1086" s="5" t="str">
        <f aca="false">IF(C1086=0,"",IF($A1086="Bank",IF(INDEX(Bank!$D:$D,$C1086)="","",INDEX(Bank!$D:$D,$C1086)),IF(INDEX(GL!$D:$D,$C1086)="","",INDEX(GL!$D:$D,$C1086))))</f>
        <v/>
      </c>
      <c r="G1086" s="19" t="str">
        <f aca="false">IF(C1086=0,"",IF($A1086="Bank",INDEX(Bank!$E:$E,$C1086),INDEX(GL!$E:$E,$C1086)))</f>
        <v/>
      </c>
      <c r="H1086" s="5" t="str">
        <f aca="false">IF(C1086=0,"",IF(A1086="GL",IF(G1086&gt;0,"Deposit in transit","Outstanding check / payment"),IF(G1086&gt;0,"Bank credit not in GL","Bank debit not in GL")))</f>
        <v/>
      </c>
      <c r="I1086" s="42" t="str">
        <f aca="false">IF(OR(C1086=0,CFG_PeriodEnd=""),"",CFG_PeriodEnd-D1086)</f>
        <v/>
      </c>
      <c r="J1086" s="5" t="str">
        <f aca="false">IF(C1086=0,"",IF($A1086="Bank",IF(INDEX(Bank!$G:$G,$C1086)="","",INDEX(Bank!$G:$G,$C1086)),IF(INDEX(GL!$G:$G,$C1086)="","",INDEX(GL!$G:$G,$C1086))))</f>
        <v/>
      </c>
      <c r="K1086" s="5" t="str">
        <f aca="false">IF(C1086=0,"",IF($A1086="Bank",IF(INDEX(Bank!$I:$I,$C1086)="","",INDEX(Bank!$I:$I,$C1086)),IF(INDEX(GL!$I:$I,$C1086)="","",INDEX(GL!$I:$I,$C1086))))</f>
        <v/>
      </c>
      <c r="L1086" s="5" t="str">
        <f aca="false">IF(B1086="","",IF(C1086=0,"NOT FOUND",IF(IF($A1086="Bank",INDEX(Bank!$F:$F,$C1086),INDEX(GL!$F:$F,$C1086))="Y","NOW RECONCILED: refresh","OK")))</f>
        <v/>
      </c>
    </row>
    <row r="1087" customFormat="false" ht="15" hidden="false" customHeight="false" outlineLevel="0" collapsed="false">
      <c r="A1087" s="41"/>
      <c r="B1087" s="41"/>
      <c r="C1087" s="5" t="n">
        <f aca="false">IF(B1087="",0,IF(A1087="Bank",IFERROR(MATCH(B1087,Bank!$A:$A,0),0),IFERROR(MATCH(B1087,GL!$A:$A,0),0)))</f>
        <v>0</v>
      </c>
      <c r="D1087" s="32" t="str">
        <f aca="false">IF(C1087=0,"",IF($A1087="Bank",INDEX(Bank!$B:$B,$C1087),INDEX(GL!$B:$B,$C1087)))</f>
        <v/>
      </c>
      <c r="E1087" s="5" t="str">
        <f aca="false">IF(C1087=0,"",IF($A1087="Bank",IF(INDEX(Bank!$C:$C,$C1087)="","",INDEX(Bank!$C:$C,$C1087)),IF(INDEX(GL!$C:$C,$C1087)="","",INDEX(GL!$C:$C,$C1087))))</f>
        <v/>
      </c>
      <c r="F1087" s="5" t="str">
        <f aca="false">IF(C1087=0,"",IF($A1087="Bank",IF(INDEX(Bank!$D:$D,$C1087)="","",INDEX(Bank!$D:$D,$C1087)),IF(INDEX(GL!$D:$D,$C1087)="","",INDEX(GL!$D:$D,$C1087))))</f>
        <v/>
      </c>
      <c r="G1087" s="19" t="str">
        <f aca="false">IF(C1087=0,"",IF($A1087="Bank",INDEX(Bank!$E:$E,$C1087),INDEX(GL!$E:$E,$C1087)))</f>
        <v/>
      </c>
      <c r="H1087" s="5" t="str">
        <f aca="false">IF(C1087=0,"",IF(A1087="GL",IF(G1087&gt;0,"Deposit in transit","Outstanding check / payment"),IF(G1087&gt;0,"Bank credit not in GL","Bank debit not in GL")))</f>
        <v/>
      </c>
      <c r="I1087" s="42" t="str">
        <f aca="false">IF(OR(C1087=0,CFG_PeriodEnd=""),"",CFG_PeriodEnd-D1087)</f>
        <v/>
      </c>
      <c r="J1087" s="5" t="str">
        <f aca="false">IF(C1087=0,"",IF($A1087="Bank",IF(INDEX(Bank!$G:$G,$C1087)="","",INDEX(Bank!$G:$G,$C1087)),IF(INDEX(GL!$G:$G,$C1087)="","",INDEX(GL!$G:$G,$C1087))))</f>
        <v/>
      </c>
      <c r="K1087" s="5" t="str">
        <f aca="false">IF(C1087=0,"",IF($A1087="Bank",IF(INDEX(Bank!$I:$I,$C1087)="","",INDEX(Bank!$I:$I,$C1087)),IF(INDEX(GL!$I:$I,$C1087)="","",INDEX(GL!$I:$I,$C1087))))</f>
        <v/>
      </c>
      <c r="L1087" s="5" t="str">
        <f aca="false">IF(B1087="","",IF(C1087=0,"NOT FOUND",IF(IF($A1087="Bank",INDEX(Bank!$F:$F,$C1087),INDEX(GL!$F:$F,$C1087))="Y","NOW RECONCILED: refresh","OK")))</f>
        <v/>
      </c>
    </row>
    <row r="1088" customFormat="false" ht="15" hidden="false" customHeight="false" outlineLevel="0" collapsed="false">
      <c r="A1088" s="41"/>
      <c r="B1088" s="41"/>
      <c r="C1088" s="5" t="n">
        <f aca="false">IF(B1088="",0,IF(A1088="Bank",IFERROR(MATCH(B1088,Bank!$A:$A,0),0),IFERROR(MATCH(B1088,GL!$A:$A,0),0)))</f>
        <v>0</v>
      </c>
      <c r="D1088" s="32" t="str">
        <f aca="false">IF(C1088=0,"",IF($A1088="Bank",INDEX(Bank!$B:$B,$C1088),INDEX(GL!$B:$B,$C1088)))</f>
        <v/>
      </c>
      <c r="E1088" s="5" t="str">
        <f aca="false">IF(C1088=0,"",IF($A1088="Bank",IF(INDEX(Bank!$C:$C,$C1088)="","",INDEX(Bank!$C:$C,$C1088)),IF(INDEX(GL!$C:$C,$C1088)="","",INDEX(GL!$C:$C,$C1088))))</f>
        <v/>
      </c>
      <c r="F1088" s="5" t="str">
        <f aca="false">IF(C1088=0,"",IF($A1088="Bank",IF(INDEX(Bank!$D:$D,$C1088)="","",INDEX(Bank!$D:$D,$C1088)),IF(INDEX(GL!$D:$D,$C1088)="","",INDEX(GL!$D:$D,$C1088))))</f>
        <v/>
      </c>
      <c r="G1088" s="19" t="str">
        <f aca="false">IF(C1088=0,"",IF($A1088="Bank",INDEX(Bank!$E:$E,$C1088),INDEX(GL!$E:$E,$C1088)))</f>
        <v/>
      </c>
      <c r="H1088" s="5" t="str">
        <f aca="false">IF(C1088=0,"",IF(A1088="GL",IF(G1088&gt;0,"Deposit in transit","Outstanding check / payment"),IF(G1088&gt;0,"Bank credit not in GL","Bank debit not in GL")))</f>
        <v/>
      </c>
      <c r="I1088" s="42" t="str">
        <f aca="false">IF(OR(C1088=0,CFG_PeriodEnd=""),"",CFG_PeriodEnd-D1088)</f>
        <v/>
      </c>
      <c r="J1088" s="5" t="str">
        <f aca="false">IF(C1088=0,"",IF($A1088="Bank",IF(INDEX(Bank!$G:$G,$C1088)="","",INDEX(Bank!$G:$G,$C1088)),IF(INDEX(GL!$G:$G,$C1088)="","",INDEX(GL!$G:$G,$C1088))))</f>
        <v/>
      </c>
      <c r="K1088" s="5" t="str">
        <f aca="false">IF(C1088=0,"",IF($A1088="Bank",IF(INDEX(Bank!$I:$I,$C1088)="","",INDEX(Bank!$I:$I,$C1088)),IF(INDEX(GL!$I:$I,$C1088)="","",INDEX(GL!$I:$I,$C1088))))</f>
        <v/>
      </c>
      <c r="L1088" s="5" t="str">
        <f aca="false">IF(B1088="","",IF(C1088=0,"NOT FOUND",IF(IF($A1088="Bank",INDEX(Bank!$F:$F,$C1088),INDEX(GL!$F:$F,$C1088))="Y","NOW RECONCILED: refresh","OK")))</f>
        <v/>
      </c>
    </row>
    <row r="1089" customFormat="false" ht="15" hidden="false" customHeight="false" outlineLevel="0" collapsed="false">
      <c r="A1089" s="41"/>
      <c r="B1089" s="41"/>
      <c r="C1089" s="5" t="n">
        <f aca="false">IF(B1089="",0,IF(A1089="Bank",IFERROR(MATCH(B1089,Bank!$A:$A,0),0),IFERROR(MATCH(B1089,GL!$A:$A,0),0)))</f>
        <v>0</v>
      </c>
      <c r="D1089" s="32" t="str">
        <f aca="false">IF(C1089=0,"",IF($A1089="Bank",INDEX(Bank!$B:$B,$C1089),INDEX(GL!$B:$B,$C1089)))</f>
        <v/>
      </c>
      <c r="E1089" s="5" t="str">
        <f aca="false">IF(C1089=0,"",IF($A1089="Bank",IF(INDEX(Bank!$C:$C,$C1089)="","",INDEX(Bank!$C:$C,$C1089)),IF(INDEX(GL!$C:$C,$C1089)="","",INDEX(GL!$C:$C,$C1089))))</f>
        <v/>
      </c>
      <c r="F1089" s="5" t="str">
        <f aca="false">IF(C1089=0,"",IF($A1089="Bank",IF(INDEX(Bank!$D:$D,$C1089)="","",INDEX(Bank!$D:$D,$C1089)),IF(INDEX(GL!$D:$D,$C1089)="","",INDEX(GL!$D:$D,$C1089))))</f>
        <v/>
      </c>
      <c r="G1089" s="19" t="str">
        <f aca="false">IF(C1089=0,"",IF($A1089="Bank",INDEX(Bank!$E:$E,$C1089),INDEX(GL!$E:$E,$C1089)))</f>
        <v/>
      </c>
      <c r="H1089" s="5" t="str">
        <f aca="false">IF(C1089=0,"",IF(A1089="GL",IF(G1089&gt;0,"Deposit in transit","Outstanding check / payment"),IF(G1089&gt;0,"Bank credit not in GL","Bank debit not in GL")))</f>
        <v/>
      </c>
      <c r="I1089" s="42" t="str">
        <f aca="false">IF(OR(C1089=0,CFG_PeriodEnd=""),"",CFG_PeriodEnd-D1089)</f>
        <v/>
      </c>
      <c r="J1089" s="5" t="str">
        <f aca="false">IF(C1089=0,"",IF($A1089="Bank",IF(INDEX(Bank!$G:$G,$C1089)="","",INDEX(Bank!$G:$G,$C1089)),IF(INDEX(GL!$G:$G,$C1089)="","",INDEX(GL!$G:$G,$C1089))))</f>
        <v/>
      </c>
      <c r="K1089" s="5" t="str">
        <f aca="false">IF(C1089=0,"",IF($A1089="Bank",IF(INDEX(Bank!$I:$I,$C1089)="","",INDEX(Bank!$I:$I,$C1089)),IF(INDEX(GL!$I:$I,$C1089)="","",INDEX(GL!$I:$I,$C1089))))</f>
        <v/>
      </c>
      <c r="L1089" s="5" t="str">
        <f aca="false">IF(B1089="","",IF(C1089=0,"NOT FOUND",IF(IF($A1089="Bank",INDEX(Bank!$F:$F,$C1089),INDEX(GL!$F:$F,$C1089))="Y","NOW RECONCILED: refresh","OK")))</f>
        <v/>
      </c>
    </row>
    <row r="1090" customFormat="false" ht="15" hidden="false" customHeight="false" outlineLevel="0" collapsed="false">
      <c r="A1090" s="41"/>
      <c r="B1090" s="41"/>
      <c r="C1090" s="5" t="n">
        <f aca="false">IF(B1090="",0,IF(A1090="Bank",IFERROR(MATCH(B1090,Bank!$A:$A,0),0),IFERROR(MATCH(B1090,GL!$A:$A,0),0)))</f>
        <v>0</v>
      </c>
      <c r="D1090" s="32" t="str">
        <f aca="false">IF(C1090=0,"",IF($A1090="Bank",INDEX(Bank!$B:$B,$C1090),INDEX(GL!$B:$B,$C1090)))</f>
        <v/>
      </c>
      <c r="E1090" s="5" t="str">
        <f aca="false">IF(C1090=0,"",IF($A1090="Bank",IF(INDEX(Bank!$C:$C,$C1090)="","",INDEX(Bank!$C:$C,$C1090)),IF(INDEX(GL!$C:$C,$C1090)="","",INDEX(GL!$C:$C,$C1090))))</f>
        <v/>
      </c>
      <c r="F1090" s="5" t="str">
        <f aca="false">IF(C1090=0,"",IF($A1090="Bank",IF(INDEX(Bank!$D:$D,$C1090)="","",INDEX(Bank!$D:$D,$C1090)),IF(INDEX(GL!$D:$D,$C1090)="","",INDEX(GL!$D:$D,$C1090))))</f>
        <v/>
      </c>
      <c r="G1090" s="19" t="str">
        <f aca="false">IF(C1090=0,"",IF($A1090="Bank",INDEX(Bank!$E:$E,$C1090),INDEX(GL!$E:$E,$C1090)))</f>
        <v/>
      </c>
      <c r="H1090" s="5" t="str">
        <f aca="false">IF(C1090=0,"",IF(A1090="GL",IF(G1090&gt;0,"Deposit in transit","Outstanding check / payment"),IF(G1090&gt;0,"Bank credit not in GL","Bank debit not in GL")))</f>
        <v/>
      </c>
      <c r="I1090" s="42" t="str">
        <f aca="false">IF(OR(C1090=0,CFG_PeriodEnd=""),"",CFG_PeriodEnd-D1090)</f>
        <v/>
      </c>
      <c r="J1090" s="5" t="str">
        <f aca="false">IF(C1090=0,"",IF($A1090="Bank",IF(INDEX(Bank!$G:$G,$C1090)="","",INDEX(Bank!$G:$G,$C1090)),IF(INDEX(GL!$G:$G,$C1090)="","",INDEX(GL!$G:$G,$C1090))))</f>
        <v/>
      </c>
      <c r="K1090" s="5" t="str">
        <f aca="false">IF(C1090=0,"",IF($A1090="Bank",IF(INDEX(Bank!$I:$I,$C1090)="","",INDEX(Bank!$I:$I,$C1090)),IF(INDEX(GL!$I:$I,$C1090)="","",INDEX(GL!$I:$I,$C1090))))</f>
        <v/>
      </c>
      <c r="L1090" s="5" t="str">
        <f aca="false">IF(B1090="","",IF(C1090=0,"NOT FOUND",IF(IF($A1090="Bank",INDEX(Bank!$F:$F,$C1090),INDEX(GL!$F:$F,$C1090))="Y","NOW RECONCILED: refresh","OK")))</f>
        <v/>
      </c>
    </row>
    <row r="1091" customFormat="false" ht="15" hidden="false" customHeight="false" outlineLevel="0" collapsed="false">
      <c r="A1091" s="41"/>
      <c r="B1091" s="41"/>
      <c r="C1091" s="5" t="n">
        <f aca="false">IF(B1091="",0,IF(A1091="Bank",IFERROR(MATCH(B1091,Bank!$A:$A,0),0),IFERROR(MATCH(B1091,GL!$A:$A,0),0)))</f>
        <v>0</v>
      </c>
      <c r="D1091" s="32" t="str">
        <f aca="false">IF(C1091=0,"",IF($A1091="Bank",INDEX(Bank!$B:$B,$C1091),INDEX(GL!$B:$B,$C1091)))</f>
        <v/>
      </c>
      <c r="E1091" s="5" t="str">
        <f aca="false">IF(C1091=0,"",IF($A1091="Bank",IF(INDEX(Bank!$C:$C,$C1091)="","",INDEX(Bank!$C:$C,$C1091)),IF(INDEX(GL!$C:$C,$C1091)="","",INDEX(GL!$C:$C,$C1091))))</f>
        <v/>
      </c>
      <c r="F1091" s="5" t="str">
        <f aca="false">IF(C1091=0,"",IF($A1091="Bank",IF(INDEX(Bank!$D:$D,$C1091)="","",INDEX(Bank!$D:$D,$C1091)),IF(INDEX(GL!$D:$D,$C1091)="","",INDEX(GL!$D:$D,$C1091))))</f>
        <v/>
      </c>
      <c r="G1091" s="19" t="str">
        <f aca="false">IF(C1091=0,"",IF($A1091="Bank",INDEX(Bank!$E:$E,$C1091),INDEX(GL!$E:$E,$C1091)))</f>
        <v/>
      </c>
      <c r="H1091" s="5" t="str">
        <f aca="false">IF(C1091=0,"",IF(A1091="GL",IF(G1091&gt;0,"Deposit in transit","Outstanding check / payment"),IF(G1091&gt;0,"Bank credit not in GL","Bank debit not in GL")))</f>
        <v/>
      </c>
      <c r="I1091" s="42" t="str">
        <f aca="false">IF(OR(C1091=0,CFG_PeriodEnd=""),"",CFG_PeriodEnd-D1091)</f>
        <v/>
      </c>
      <c r="J1091" s="5" t="str">
        <f aca="false">IF(C1091=0,"",IF($A1091="Bank",IF(INDEX(Bank!$G:$G,$C1091)="","",INDEX(Bank!$G:$G,$C1091)),IF(INDEX(GL!$G:$G,$C1091)="","",INDEX(GL!$G:$G,$C1091))))</f>
        <v/>
      </c>
      <c r="K1091" s="5" t="str">
        <f aca="false">IF(C1091=0,"",IF($A1091="Bank",IF(INDEX(Bank!$I:$I,$C1091)="","",INDEX(Bank!$I:$I,$C1091)),IF(INDEX(GL!$I:$I,$C1091)="","",INDEX(GL!$I:$I,$C1091))))</f>
        <v/>
      </c>
      <c r="L1091" s="5" t="str">
        <f aca="false">IF(B1091="","",IF(C1091=0,"NOT FOUND",IF(IF($A1091="Bank",INDEX(Bank!$F:$F,$C1091),INDEX(GL!$F:$F,$C1091))="Y","NOW RECONCILED: refresh","OK")))</f>
        <v/>
      </c>
    </row>
    <row r="1092" customFormat="false" ht="15" hidden="false" customHeight="false" outlineLevel="0" collapsed="false">
      <c r="A1092" s="41"/>
      <c r="B1092" s="41"/>
      <c r="C1092" s="5" t="n">
        <f aca="false">IF(B1092="",0,IF(A1092="Bank",IFERROR(MATCH(B1092,Bank!$A:$A,0),0),IFERROR(MATCH(B1092,GL!$A:$A,0),0)))</f>
        <v>0</v>
      </c>
      <c r="D1092" s="32" t="str">
        <f aca="false">IF(C1092=0,"",IF($A1092="Bank",INDEX(Bank!$B:$B,$C1092),INDEX(GL!$B:$B,$C1092)))</f>
        <v/>
      </c>
      <c r="E1092" s="5" t="str">
        <f aca="false">IF(C1092=0,"",IF($A1092="Bank",IF(INDEX(Bank!$C:$C,$C1092)="","",INDEX(Bank!$C:$C,$C1092)),IF(INDEX(GL!$C:$C,$C1092)="","",INDEX(GL!$C:$C,$C1092))))</f>
        <v/>
      </c>
      <c r="F1092" s="5" t="str">
        <f aca="false">IF(C1092=0,"",IF($A1092="Bank",IF(INDEX(Bank!$D:$D,$C1092)="","",INDEX(Bank!$D:$D,$C1092)),IF(INDEX(GL!$D:$D,$C1092)="","",INDEX(GL!$D:$D,$C1092))))</f>
        <v/>
      </c>
      <c r="G1092" s="19" t="str">
        <f aca="false">IF(C1092=0,"",IF($A1092="Bank",INDEX(Bank!$E:$E,$C1092),INDEX(GL!$E:$E,$C1092)))</f>
        <v/>
      </c>
      <c r="H1092" s="5" t="str">
        <f aca="false">IF(C1092=0,"",IF(A1092="GL",IF(G1092&gt;0,"Deposit in transit","Outstanding check / payment"),IF(G1092&gt;0,"Bank credit not in GL","Bank debit not in GL")))</f>
        <v/>
      </c>
      <c r="I1092" s="42" t="str">
        <f aca="false">IF(OR(C1092=0,CFG_PeriodEnd=""),"",CFG_PeriodEnd-D1092)</f>
        <v/>
      </c>
      <c r="J1092" s="5" t="str">
        <f aca="false">IF(C1092=0,"",IF($A1092="Bank",IF(INDEX(Bank!$G:$G,$C1092)="","",INDEX(Bank!$G:$G,$C1092)),IF(INDEX(GL!$G:$G,$C1092)="","",INDEX(GL!$G:$G,$C1092))))</f>
        <v/>
      </c>
      <c r="K1092" s="5" t="str">
        <f aca="false">IF(C1092=0,"",IF($A1092="Bank",IF(INDEX(Bank!$I:$I,$C1092)="","",INDEX(Bank!$I:$I,$C1092)),IF(INDEX(GL!$I:$I,$C1092)="","",INDEX(GL!$I:$I,$C1092))))</f>
        <v/>
      </c>
      <c r="L1092" s="5" t="str">
        <f aca="false">IF(B1092="","",IF(C1092=0,"NOT FOUND",IF(IF($A1092="Bank",INDEX(Bank!$F:$F,$C1092),INDEX(GL!$F:$F,$C1092))="Y","NOW RECONCILED: refresh","OK")))</f>
        <v/>
      </c>
    </row>
    <row r="1093" customFormat="false" ht="15" hidden="false" customHeight="false" outlineLevel="0" collapsed="false">
      <c r="A1093" s="41"/>
      <c r="B1093" s="41"/>
      <c r="C1093" s="5" t="n">
        <f aca="false">IF(B1093="",0,IF(A1093="Bank",IFERROR(MATCH(B1093,Bank!$A:$A,0),0),IFERROR(MATCH(B1093,GL!$A:$A,0),0)))</f>
        <v>0</v>
      </c>
      <c r="D1093" s="32" t="str">
        <f aca="false">IF(C1093=0,"",IF($A1093="Bank",INDEX(Bank!$B:$B,$C1093),INDEX(GL!$B:$B,$C1093)))</f>
        <v/>
      </c>
      <c r="E1093" s="5" t="str">
        <f aca="false">IF(C1093=0,"",IF($A1093="Bank",IF(INDEX(Bank!$C:$C,$C1093)="","",INDEX(Bank!$C:$C,$C1093)),IF(INDEX(GL!$C:$C,$C1093)="","",INDEX(GL!$C:$C,$C1093))))</f>
        <v/>
      </c>
      <c r="F1093" s="5" t="str">
        <f aca="false">IF(C1093=0,"",IF($A1093="Bank",IF(INDEX(Bank!$D:$D,$C1093)="","",INDEX(Bank!$D:$D,$C1093)),IF(INDEX(GL!$D:$D,$C1093)="","",INDEX(GL!$D:$D,$C1093))))</f>
        <v/>
      </c>
      <c r="G1093" s="19" t="str">
        <f aca="false">IF(C1093=0,"",IF($A1093="Bank",INDEX(Bank!$E:$E,$C1093),INDEX(GL!$E:$E,$C1093)))</f>
        <v/>
      </c>
      <c r="H1093" s="5" t="str">
        <f aca="false">IF(C1093=0,"",IF(A1093="GL",IF(G1093&gt;0,"Deposit in transit","Outstanding check / payment"),IF(G1093&gt;0,"Bank credit not in GL","Bank debit not in GL")))</f>
        <v/>
      </c>
      <c r="I1093" s="42" t="str">
        <f aca="false">IF(OR(C1093=0,CFG_PeriodEnd=""),"",CFG_PeriodEnd-D1093)</f>
        <v/>
      </c>
      <c r="J1093" s="5" t="str">
        <f aca="false">IF(C1093=0,"",IF($A1093="Bank",IF(INDEX(Bank!$G:$G,$C1093)="","",INDEX(Bank!$G:$G,$C1093)),IF(INDEX(GL!$G:$G,$C1093)="","",INDEX(GL!$G:$G,$C1093))))</f>
        <v/>
      </c>
      <c r="K1093" s="5" t="str">
        <f aca="false">IF(C1093=0,"",IF($A1093="Bank",IF(INDEX(Bank!$I:$I,$C1093)="","",INDEX(Bank!$I:$I,$C1093)),IF(INDEX(GL!$I:$I,$C1093)="","",INDEX(GL!$I:$I,$C1093))))</f>
        <v/>
      </c>
      <c r="L1093" s="5" t="str">
        <f aca="false">IF(B1093="","",IF(C1093=0,"NOT FOUND",IF(IF($A1093="Bank",INDEX(Bank!$F:$F,$C1093),INDEX(GL!$F:$F,$C1093))="Y","NOW RECONCILED: refresh","OK")))</f>
        <v/>
      </c>
    </row>
    <row r="1094" customFormat="false" ht="15" hidden="false" customHeight="false" outlineLevel="0" collapsed="false">
      <c r="A1094" s="41"/>
      <c r="B1094" s="41"/>
      <c r="C1094" s="5" t="n">
        <f aca="false">IF(B1094="",0,IF(A1094="Bank",IFERROR(MATCH(B1094,Bank!$A:$A,0),0),IFERROR(MATCH(B1094,GL!$A:$A,0),0)))</f>
        <v>0</v>
      </c>
      <c r="D1094" s="32" t="str">
        <f aca="false">IF(C1094=0,"",IF($A1094="Bank",INDEX(Bank!$B:$B,$C1094),INDEX(GL!$B:$B,$C1094)))</f>
        <v/>
      </c>
      <c r="E1094" s="5" t="str">
        <f aca="false">IF(C1094=0,"",IF($A1094="Bank",IF(INDEX(Bank!$C:$C,$C1094)="","",INDEX(Bank!$C:$C,$C1094)),IF(INDEX(GL!$C:$C,$C1094)="","",INDEX(GL!$C:$C,$C1094))))</f>
        <v/>
      </c>
      <c r="F1094" s="5" t="str">
        <f aca="false">IF(C1094=0,"",IF($A1094="Bank",IF(INDEX(Bank!$D:$D,$C1094)="","",INDEX(Bank!$D:$D,$C1094)),IF(INDEX(GL!$D:$D,$C1094)="","",INDEX(GL!$D:$D,$C1094))))</f>
        <v/>
      </c>
      <c r="G1094" s="19" t="str">
        <f aca="false">IF(C1094=0,"",IF($A1094="Bank",INDEX(Bank!$E:$E,$C1094),INDEX(GL!$E:$E,$C1094)))</f>
        <v/>
      </c>
      <c r="H1094" s="5" t="str">
        <f aca="false">IF(C1094=0,"",IF(A1094="GL",IF(G1094&gt;0,"Deposit in transit","Outstanding check / payment"),IF(G1094&gt;0,"Bank credit not in GL","Bank debit not in GL")))</f>
        <v/>
      </c>
      <c r="I1094" s="42" t="str">
        <f aca="false">IF(OR(C1094=0,CFG_PeriodEnd=""),"",CFG_PeriodEnd-D1094)</f>
        <v/>
      </c>
      <c r="J1094" s="5" t="str">
        <f aca="false">IF(C1094=0,"",IF($A1094="Bank",IF(INDEX(Bank!$G:$G,$C1094)="","",INDEX(Bank!$G:$G,$C1094)),IF(INDEX(GL!$G:$G,$C1094)="","",INDEX(GL!$G:$G,$C1094))))</f>
        <v/>
      </c>
      <c r="K1094" s="5" t="str">
        <f aca="false">IF(C1094=0,"",IF($A1094="Bank",IF(INDEX(Bank!$I:$I,$C1094)="","",INDEX(Bank!$I:$I,$C1094)),IF(INDEX(GL!$I:$I,$C1094)="","",INDEX(GL!$I:$I,$C1094))))</f>
        <v/>
      </c>
      <c r="L1094" s="5" t="str">
        <f aca="false">IF(B1094="","",IF(C1094=0,"NOT FOUND",IF(IF($A1094="Bank",INDEX(Bank!$F:$F,$C1094),INDEX(GL!$F:$F,$C1094))="Y","NOW RECONCILED: refresh","OK")))</f>
        <v/>
      </c>
    </row>
    <row r="1095" customFormat="false" ht="15" hidden="false" customHeight="false" outlineLevel="0" collapsed="false">
      <c r="A1095" s="41"/>
      <c r="B1095" s="41"/>
      <c r="C1095" s="5" t="n">
        <f aca="false">IF(B1095="",0,IF(A1095="Bank",IFERROR(MATCH(B1095,Bank!$A:$A,0),0),IFERROR(MATCH(B1095,GL!$A:$A,0),0)))</f>
        <v>0</v>
      </c>
      <c r="D1095" s="32" t="str">
        <f aca="false">IF(C1095=0,"",IF($A1095="Bank",INDEX(Bank!$B:$B,$C1095),INDEX(GL!$B:$B,$C1095)))</f>
        <v/>
      </c>
      <c r="E1095" s="5" t="str">
        <f aca="false">IF(C1095=0,"",IF($A1095="Bank",IF(INDEX(Bank!$C:$C,$C1095)="","",INDEX(Bank!$C:$C,$C1095)),IF(INDEX(GL!$C:$C,$C1095)="","",INDEX(GL!$C:$C,$C1095))))</f>
        <v/>
      </c>
      <c r="F1095" s="5" t="str">
        <f aca="false">IF(C1095=0,"",IF($A1095="Bank",IF(INDEX(Bank!$D:$D,$C1095)="","",INDEX(Bank!$D:$D,$C1095)),IF(INDEX(GL!$D:$D,$C1095)="","",INDEX(GL!$D:$D,$C1095))))</f>
        <v/>
      </c>
      <c r="G1095" s="19" t="str">
        <f aca="false">IF(C1095=0,"",IF($A1095="Bank",INDEX(Bank!$E:$E,$C1095),INDEX(GL!$E:$E,$C1095)))</f>
        <v/>
      </c>
      <c r="H1095" s="5" t="str">
        <f aca="false">IF(C1095=0,"",IF(A1095="GL",IF(G1095&gt;0,"Deposit in transit","Outstanding check / payment"),IF(G1095&gt;0,"Bank credit not in GL","Bank debit not in GL")))</f>
        <v/>
      </c>
      <c r="I1095" s="42" t="str">
        <f aca="false">IF(OR(C1095=0,CFG_PeriodEnd=""),"",CFG_PeriodEnd-D1095)</f>
        <v/>
      </c>
      <c r="J1095" s="5" t="str">
        <f aca="false">IF(C1095=0,"",IF($A1095="Bank",IF(INDEX(Bank!$G:$G,$C1095)="","",INDEX(Bank!$G:$G,$C1095)),IF(INDEX(GL!$G:$G,$C1095)="","",INDEX(GL!$G:$G,$C1095))))</f>
        <v/>
      </c>
      <c r="K1095" s="5" t="str">
        <f aca="false">IF(C1095=0,"",IF($A1095="Bank",IF(INDEX(Bank!$I:$I,$C1095)="","",INDEX(Bank!$I:$I,$C1095)),IF(INDEX(GL!$I:$I,$C1095)="","",INDEX(GL!$I:$I,$C1095))))</f>
        <v/>
      </c>
      <c r="L1095" s="5" t="str">
        <f aca="false">IF(B1095="","",IF(C1095=0,"NOT FOUND",IF(IF($A1095="Bank",INDEX(Bank!$F:$F,$C1095),INDEX(GL!$F:$F,$C1095))="Y","NOW RECONCILED: refresh","OK")))</f>
        <v/>
      </c>
    </row>
    <row r="1096" customFormat="false" ht="15" hidden="false" customHeight="false" outlineLevel="0" collapsed="false">
      <c r="A1096" s="41"/>
      <c r="B1096" s="41"/>
      <c r="C1096" s="5" t="n">
        <f aca="false">IF(B1096="",0,IF(A1096="Bank",IFERROR(MATCH(B1096,Bank!$A:$A,0),0),IFERROR(MATCH(B1096,GL!$A:$A,0),0)))</f>
        <v>0</v>
      </c>
      <c r="D1096" s="32" t="str">
        <f aca="false">IF(C1096=0,"",IF($A1096="Bank",INDEX(Bank!$B:$B,$C1096),INDEX(GL!$B:$B,$C1096)))</f>
        <v/>
      </c>
      <c r="E1096" s="5" t="str">
        <f aca="false">IF(C1096=0,"",IF($A1096="Bank",IF(INDEX(Bank!$C:$C,$C1096)="","",INDEX(Bank!$C:$C,$C1096)),IF(INDEX(GL!$C:$C,$C1096)="","",INDEX(GL!$C:$C,$C1096))))</f>
        <v/>
      </c>
      <c r="F1096" s="5" t="str">
        <f aca="false">IF(C1096=0,"",IF($A1096="Bank",IF(INDEX(Bank!$D:$D,$C1096)="","",INDEX(Bank!$D:$D,$C1096)),IF(INDEX(GL!$D:$D,$C1096)="","",INDEX(GL!$D:$D,$C1096))))</f>
        <v/>
      </c>
      <c r="G1096" s="19" t="str">
        <f aca="false">IF(C1096=0,"",IF($A1096="Bank",INDEX(Bank!$E:$E,$C1096),INDEX(GL!$E:$E,$C1096)))</f>
        <v/>
      </c>
      <c r="H1096" s="5" t="str">
        <f aca="false">IF(C1096=0,"",IF(A1096="GL",IF(G1096&gt;0,"Deposit in transit","Outstanding check / payment"),IF(G1096&gt;0,"Bank credit not in GL","Bank debit not in GL")))</f>
        <v/>
      </c>
      <c r="I1096" s="42" t="str">
        <f aca="false">IF(OR(C1096=0,CFG_PeriodEnd=""),"",CFG_PeriodEnd-D1096)</f>
        <v/>
      </c>
      <c r="J1096" s="5" t="str">
        <f aca="false">IF(C1096=0,"",IF($A1096="Bank",IF(INDEX(Bank!$G:$G,$C1096)="","",INDEX(Bank!$G:$G,$C1096)),IF(INDEX(GL!$G:$G,$C1096)="","",INDEX(GL!$G:$G,$C1096))))</f>
        <v/>
      </c>
      <c r="K1096" s="5" t="str">
        <f aca="false">IF(C1096=0,"",IF($A1096="Bank",IF(INDEX(Bank!$I:$I,$C1096)="","",INDEX(Bank!$I:$I,$C1096)),IF(INDEX(GL!$I:$I,$C1096)="","",INDEX(GL!$I:$I,$C1096))))</f>
        <v/>
      </c>
      <c r="L1096" s="5" t="str">
        <f aca="false">IF(B1096="","",IF(C1096=0,"NOT FOUND",IF(IF($A1096="Bank",INDEX(Bank!$F:$F,$C1096),INDEX(GL!$F:$F,$C1096))="Y","NOW RECONCILED: refresh","OK")))</f>
        <v/>
      </c>
    </row>
    <row r="1097" customFormat="false" ht="15" hidden="false" customHeight="false" outlineLevel="0" collapsed="false">
      <c r="A1097" s="41"/>
      <c r="B1097" s="41"/>
      <c r="C1097" s="5" t="n">
        <f aca="false">IF(B1097="",0,IF(A1097="Bank",IFERROR(MATCH(B1097,Bank!$A:$A,0),0),IFERROR(MATCH(B1097,GL!$A:$A,0),0)))</f>
        <v>0</v>
      </c>
      <c r="D1097" s="32" t="str">
        <f aca="false">IF(C1097=0,"",IF($A1097="Bank",INDEX(Bank!$B:$B,$C1097),INDEX(GL!$B:$B,$C1097)))</f>
        <v/>
      </c>
      <c r="E1097" s="5" t="str">
        <f aca="false">IF(C1097=0,"",IF($A1097="Bank",IF(INDEX(Bank!$C:$C,$C1097)="","",INDEX(Bank!$C:$C,$C1097)),IF(INDEX(GL!$C:$C,$C1097)="","",INDEX(GL!$C:$C,$C1097))))</f>
        <v/>
      </c>
      <c r="F1097" s="5" t="str">
        <f aca="false">IF(C1097=0,"",IF($A1097="Bank",IF(INDEX(Bank!$D:$D,$C1097)="","",INDEX(Bank!$D:$D,$C1097)),IF(INDEX(GL!$D:$D,$C1097)="","",INDEX(GL!$D:$D,$C1097))))</f>
        <v/>
      </c>
      <c r="G1097" s="19" t="str">
        <f aca="false">IF(C1097=0,"",IF($A1097="Bank",INDEX(Bank!$E:$E,$C1097),INDEX(GL!$E:$E,$C1097)))</f>
        <v/>
      </c>
      <c r="H1097" s="5" t="str">
        <f aca="false">IF(C1097=0,"",IF(A1097="GL",IF(G1097&gt;0,"Deposit in transit","Outstanding check / payment"),IF(G1097&gt;0,"Bank credit not in GL","Bank debit not in GL")))</f>
        <v/>
      </c>
      <c r="I1097" s="42" t="str">
        <f aca="false">IF(OR(C1097=0,CFG_PeriodEnd=""),"",CFG_PeriodEnd-D1097)</f>
        <v/>
      </c>
      <c r="J1097" s="5" t="str">
        <f aca="false">IF(C1097=0,"",IF($A1097="Bank",IF(INDEX(Bank!$G:$G,$C1097)="","",INDEX(Bank!$G:$G,$C1097)),IF(INDEX(GL!$G:$G,$C1097)="","",INDEX(GL!$G:$G,$C1097))))</f>
        <v/>
      </c>
      <c r="K1097" s="5" t="str">
        <f aca="false">IF(C1097=0,"",IF($A1097="Bank",IF(INDEX(Bank!$I:$I,$C1097)="","",INDEX(Bank!$I:$I,$C1097)),IF(INDEX(GL!$I:$I,$C1097)="","",INDEX(GL!$I:$I,$C1097))))</f>
        <v/>
      </c>
      <c r="L1097" s="5" t="str">
        <f aca="false">IF(B1097="","",IF(C1097=0,"NOT FOUND",IF(IF($A1097="Bank",INDEX(Bank!$F:$F,$C1097),INDEX(GL!$F:$F,$C1097))="Y","NOW RECONCILED: refresh","OK")))</f>
        <v/>
      </c>
    </row>
    <row r="1098" customFormat="false" ht="15" hidden="false" customHeight="false" outlineLevel="0" collapsed="false">
      <c r="A1098" s="41"/>
      <c r="B1098" s="41"/>
      <c r="C1098" s="5" t="n">
        <f aca="false">IF(B1098="",0,IF(A1098="Bank",IFERROR(MATCH(B1098,Bank!$A:$A,0),0),IFERROR(MATCH(B1098,GL!$A:$A,0),0)))</f>
        <v>0</v>
      </c>
      <c r="D1098" s="32" t="str">
        <f aca="false">IF(C1098=0,"",IF($A1098="Bank",INDEX(Bank!$B:$B,$C1098),INDEX(GL!$B:$B,$C1098)))</f>
        <v/>
      </c>
      <c r="E1098" s="5" t="str">
        <f aca="false">IF(C1098=0,"",IF($A1098="Bank",IF(INDEX(Bank!$C:$C,$C1098)="","",INDEX(Bank!$C:$C,$C1098)),IF(INDEX(GL!$C:$C,$C1098)="","",INDEX(GL!$C:$C,$C1098))))</f>
        <v/>
      </c>
      <c r="F1098" s="5" t="str">
        <f aca="false">IF(C1098=0,"",IF($A1098="Bank",IF(INDEX(Bank!$D:$D,$C1098)="","",INDEX(Bank!$D:$D,$C1098)),IF(INDEX(GL!$D:$D,$C1098)="","",INDEX(GL!$D:$D,$C1098))))</f>
        <v/>
      </c>
      <c r="G1098" s="19" t="str">
        <f aca="false">IF(C1098=0,"",IF($A1098="Bank",INDEX(Bank!$E:$E,$C1098),INDEX(GL!$E:$E,$C1098)))</f>
        <v/>
      </c>
      <c r="H1098" s="5" t="str">
        <f aca="false">IF(C1098=0,"",IF(A1098="GL",IF(G1098&gt;0,"Deposit in transit","Outstanding check / payment"),IF(G1098&gt;0,"Bank credit not in GL","Bank debit not in GL")))</f>
        <v/>
      </c>
      <c r="I1098" s="42" t="str">
        <f aca="false">IF(OR(C1098=0,CFG_PeriodEnd=""),"",CFG_PeriodEnd-D1098)</f>
        <v/>
      </c>
      <c r="J1098" s="5" t="str">
        <f aca="false">IF(C1098=0,"",IF($A1098="Bank",IF(INDEX(Bank!$G:$G,$C1098)="","",INDEX(Bank!$G:$G,$C1098)),IF(INDEX(GL!$G:$G,$C1098)="","",INDEX(GL!$G:$G,$C1098))))</f>
        <v/>
      </c>
      <c r="K1098" s="5" t="str">
        <f aca="false">IF(C1098=0,"",IF($A1098="Bank",IF(INDEX(Bank!$I:$I,$C1098)="","",INDEX(Bank!$I:$I,$C1098)),IF(INDEX(GL!$I:$I,$C1098)="","",INDEX(GL!$I:$I,$C1098))))</f>
        <v/>
      </c>
      <c r="L1098" s="5" t="str">
        <f aca="false">IF(B1098="","",IF(C1098=0,"NOT FOUND",IF(IF($A1098="Bank",INDEX(Bank!$F:$F,$C1098),INDEX(GL!$F:$F,$C1098))="Y","NOW RECONCILED: refresh","OK")))</f>
        <v/>
      </c>
    </row>
    <row r="1099" customFormat="false" ht="15" hidden="false" customHeight="false" outlineLevel="0" collapsed="false">
      <c r="A1099" s="41"/>
      <c r="B1099" s="41"/>
      <c r="C1099" s="5" t="n">
        <f aca="false">IF(B1099="",0,IF(A1099="Bank",IFERROR(MATCH(B1099,Bank!$A:$A,0),0),IFERROR(MATCH(B1099,GL!$A:$A,0),0)))</f>
        <v>0</v>
      </c>
      <c r="D1099" s="32" t="str">
        <f aca="false">IF(C1099=0,"",IF($A1099="Bank",INDEX(Bank!$B:$B,$C1099),INDEX(GL!$B:$B,$C1099)))</f>
        <v/>
      </c>
      <c r="E1099" s="5" t="str">
        <f aca="false">IF(C1099=0,"",IF($A1099="Bank",IF(INDEX(Bank!$C:$C,$C1099)="","",INDEX(Bank!$C:$C,$C1099)),IF(INDEX(GL!$C:$C,$C1099)="","",INDEX(GL!$C:$C,$C1099))))</f>
        <v/>
      </c>
      <c r="F1099" s="5" t="str">
        <f aca="false">IF(C1099=0,"",IF($A1099="Bank",IF(INDEX(Bank!$D:$D,$C1099)="","",INDEX(Bank!$D:$D,$C1099)),IF(INDEX(GL!$D:$D,$C1099)="","",INDEX(GL!$D:$D,$C1099))))</f>
        <v/>
      </c>
      <c r="G1099" s="19" t="str">
        <f aca="false">IF(C1099=0,"",IF($A1099="Bank",INDEX(Bank!$E:$E,$C1099),INDEX(GL!$E:$E,$C1099)))</f>
        <v/>
      </c>
      <c r="H1099" s="5" t="str">
        <f aca="false">IF(C1099=0,"",IF(A1099="GL",IF(G1099&gt;0,"Deposit in transit","Outstanding check / payment"),IF(G1099&gt;0,"Bank credit not in GL","Bank debit not in GL")))</f>
        <v/>
      </c>
      <c r="I1099" s="42" t="str">
        <f aca="false">IF(OR(C1099=0,CFG_PeriodEnd=""),"",CFG_PeriodEnd-D1099)</f>
        <v/>
      </c>
      <c r="J1099" s="5" t="str">
        <f aca="false">IF(C1099=0,"",IF($A1099="Bank",IF(INDEX(Bank!$G:$G,$C1099)="","",INDEX(Bank!$G:$G,$C1099)),IF(INDEX(GL!$G:$G,$C1099)="","",INDEX(GL!$G:$G,$C1099))))</f>
        <v/>
      </c>
      <c r="K1099" s="5" t="str">
        <f aca="false">IF(C1099=0,"",IF($A1099="Bank",IF(INDEX(Bank!$I:$I,$C1099)="","",INDEX(Bank!$I:$I,$C1099)),IF(INDEX(GL!$I:$I,$C1099)="","",INDEX(GL!$I:$I,$C1099))))</f>
        <v/>
      </c>
      <c r="L1099" s="5" t="str">
        <f aca="false">IF(B1099="","",IF(C1099=0,"NOT FOUND",IF(IF($A1099="Bank",INDEX(Bank!$F:$F,$C1099),INDEX(GL!$F:$F,$C1099))="Y","NOW RECONCILED: refresh","OK")))</f>
        <v/>
      </c>
    </row>
    <row r="1100" customFormat="false" ht="15" hidden="false" customHeight="false" outlineLevel="0" collapsed="false">
      <c r="A1100" s="41"/>
      <c r="B1100" s="41"/>
      <c r="C1100" s="5" t="n">
        <f aca="false">IF(B1100="",0,IF(A1100="Bank",IFERROR(MATCH(B1100,Bank!$A:$A,0),0),IFERROR(MATCH(B1100,GL!$A:$A,0),0)))</f>
        <v>0</v>
      </c>
      <c r="D1100" s="32" t="str">
        <f aca="false">IF(C1100=0,"",IF($A1100="Bank",INDEX(Bank!$B:$B,$C1100),INDEX(GL!$B:$B,$C1100)))</f>
        <v/>
      </c>
      <c r="E1100" s="5" t="str">
        <f aca="false">IF(C1100=0,"",IF($A1100="Bank",IF(INDEX(Bank!$C:$C,$C1100)="","",INDEX(Bank!$C:$C,$C1100)),IF(INDEX(GL!$C:$C,$C1100)="","",INDEX(GL!$C:$C,$C1100))))</f>
        <v/>
      </c>
      <c r="F1100" s="5" t="str">
        <f aca="false">IF(C1100=0,"",IF($A1100="Bank",IF(INDEX(Bank!$D:$D,$C1100)="","",INDEX(Bank!$D:$D,$C1100)),IF(INDEX(GL!$D:$D,$C1100)="","",INDEX(GL!$D:$D,$C1100))))</f>
        <v/>
      </c>
      <c r="G1100" s="19" t="str">
        <f aca="false">IF(C1100=0,"",IF($A1100="Bank",INDEX(Bank!$E:$E,$C1100),INDEX(GL!$E:$E,$C1100)))</f>
        <v/>
      </c>
      <c r="H1100" s="5" t="str">
        <f aca="false">IF(C1100=0,"",IF(A1100="GL",IF(G1100&gt;0,"Deposit in transit","Outstanding check / payment"),IF(G1100&gt;0,"Bank credit not in GL","Bank debit not in GL")))</f>
        <v/>
      </c>
      <c r="I1100" s="42" t="str">
        <f aca="false">IF(OR(C1100=0,CFG_PeriodEnd=""),"",CFG_PeriodEnd-D1100)</f>
        <v/>
      </c>
      <c r="J1100" s="5" t="str">
        <f aca="false">IF(C1100=0,"",IF($A1100="Bank",IF(INDEX(Bank!$G:$G,$C1100)="","",INDEX(Bank!$G:$G,$C1100)),IF(INDEX(GL!$G:$G,$C1100)="","",INDEX(GL!$G:$G,$C1100))))</f>
        <v/>
      </c>
      <c r="K1100" s="5" t="str">
        <f aca="false">IF(C1100=0,"",IF($A1100="Bank",IF(INDEX(Bank!$I:$I,$C1100)="","",INDEX(Bank!$I:$I,$C1100)),IF(INDEX(GL!$I:$I,$C1100)="","",INDEX(GL!$I:$I,$C1100))))</f>
        <v/>
      </c>
      <c r="L1100" s="5" t="str">
        <f aca="false">IF(B1100="","",IF(C1100=0,"NOT FOUND",IF(IF($A1100="Bank",INDEX(Bank!$F:$F,$C1100),INDEX(GL!$F:$F,$C1100))="Y","NOW RECONCILED: refresh","OK")))</f>
        <v/>
      </c>
    </row>
    <row r="1101" customFormat="false" ht="15" hidden="false" customHeight="false" outlineLevel="0" collapsed="false">
      <c r="A1101" s="41"/>
      <c r="B1101" s="41"/>
      <c r="C1101" s="5" t="n">
        <f aca="false">IF(B1101="",0,IF(A1101="Bank",IFERROR(MATCH(B1101,Bank!$A:$A,0),0),IFERROR(MATCH(B1101,GL!$A:$A,0),0)))</f>
        <v>0</v>
      </c>
      <c r="D1101" s="32" t="str">
        <f aca="false">IF(C1101=0,"",IF($A1101="Bank",INDEX(Bank!$B:$B,$C1101),INDEX(GL!$B:$B,$C1101)))</f>
        <v/>
      </c>
      <c r="E1101" s="5" t="str">
        <f aca="false">IF(C1101=0,"",IF($A1101="Bank",IF(INDEX(Bank!$C:$C,$C1101)="","",INDEX(Bank!$C:$C,$C1101)),IF(INDEX(GL!$C:$C,$C1101)="","",INDEX(GL!$C:$C,$C1101))))</f>
        <v/>
      </c>
      <c r="F1101" s="5" t="str">
        <f aca="false">IF(C1101=0,"",IF($A1101="Bank",IF(INDEX(Bank!$D:$D,$C1101)="","",INDEX(Bank!$D:$D,$C1101)),IF(INDEX(GL!$D:$D,$C1101)="","",INDEX(GL!$D:$D,$C1101))))</f>
        <v/>
      </c>
      <c r="G1101" s="19" t="str">
        <f aca="false">IF(C1101=0,"",IF($A1101="Bank",INDEX(Bank!$E:$E,$C1101),INDEX(GL!$E:$E,$C1101)))</f>
        <v/>
      </c>
      <c r="H1101" s="5" t="str">
        <f aca="false">IF(C1101=0,"",IF(A1101="GL",IF(G1101&gt;0,"Deposit in transit","Outstanding check / payment"),IF(G1101&gt;0,"Bank credit not in GL","Bank debit not in GL")))</f>
        <v/>
      </c>
      <c r="I1101" s="42" t="str">
        <f aca="false">IF(OR(C1101=0,CFG_PeriodEnd=""),"",CFG_PeriodEnd-D1101)</f>
        <v/>
      </c>
      <c r="J1101" s="5" t="str">
        <f aca="false">IF(C1101=0,"",IF($A1101="Bank",IF(INDEX(Bank!$G:$G,$C1101)="","",INDEX(Bank!$G:$G,$C1101)),IF(INDEX(GL!$G:$G,$C1101)="","",INDEX(GL!$G:$G,$C1101))))</f>
        <v/>
      </c>
      <c r="K1101" s="5" t="str">
        <f aca="false">IF(C1101=0,"",IF($A1101="Bank",IF(INDEX(Bank!$I:$I,$C1101)="","",INDEX(Bank!$I:$I,$C1101)),IF(INDEX(GL!$I:$I,$C1101)="","",INDEX(GL!$I:$I,$C1101))))</f>
        <v/>
      </c>
      <c r="L1101" s="5" t="str">
        <f aca="false">IF(B1101="","",IF(C1101=0,"NOT FOUND",IF(IF($A1101="Bank",INDEX(Bank!$F:$F,$C1101),INDEX(GL!$F:$F,$C1101))="Y","NOW RECONCILED: refresh","OK")))</f>
        <v/>
      </c>
    </row>
    <row r="1102" customFormat="false" ht="15" hidden="false" customHeight="false" outlineLevel="0" collapsed="false">
      <c r="A1102" s="41"/>
      <c r="B1102" s="41"/>
      <c r="C1102" s="5" t="n">
        <f aca="false">IF(B1102="",0,IF(A1102="Bank",IFERROR(MATCH(B1102,Bank!$A:$A,0),0),IFERROR(MATCH(B1102,GL!$A:$A,0),0)))</f>
        <v>0</v>
      </c>
      <c r="D1102" s="32" t="str">
        <f aca="false">IF(C1102=0,"",IF($A1102="Bank",INDEX(Bank!$B:$B,$C1102),INDEX(GL!$B:$B,$C1102)))</f>
        <v/>
      </c>
      <c r="E1102" s="5" t="str">
        <f aca="false">IF(C1102=0,"",IF($A1102="Bank",IF(INDEX(Bank!$C:$C,$C1102)="","",INDEX(Bank!$C:$C,$C1102)),IF(INDEX(GL!$C:$C,$C1102)="","",INDEX(GL!$C:$C,$C1102))))</f>
        <v/>
      </c>
      <c r="F1102" s="5" t="str">
        <f aca="false">IF(C1102=0,"",IF($A1102="Bank",IF(INDEX(Bank!$D:$D,$C1102)="","",INDEX(Bank!$D:$D,$C1102)),IF(INDEX(GL!$D:$D,$C1102)="","",INDEX(GL!$D:$D,$C1102))))</f>
        <v/>
      </c>
      <c r="G1102" s="19" t="str">
        <f aca="false">IF(C1102=0,"",IF($A1102="Bank",INDEX(Bank!$E:$E,$C1102),INDEX(GL!$E:$E,$C1102)))</f>
        <v/>
      </c>
      <c r="H1102" s="5" t="str">
        <f aca="false">IF(C1102=0,"",IF(A1102="GL",IF(G1102&gt;0,"Deposit in transit","Outstanding check / payment"),IF(G1102&gt;0,"Bank credit not in GL","Bank debit not in GL")))</f>
        <v/>
      </c>
      <c r="I1102" s="42" t="str">
        <f aca="false">IF(OR(C1102=0,CFG_PeriodEnd=""),"",CFG_PeriodEnd-D1102)</f>
        <v/>
      </c>
      <c r="J1102" s="5" t="str">
        <f aca="false">IF(C1102=0,"",IF($A1102="Bank",IF(INDEX(Bank!$G:$G,$C1102)="","",INDEX(Bank!$G:$G,$C1102)),IF(INDEX(GL!$G:$G,$C1102)="","",INDEX(GL!$G:$G,$C1102))))</f>
        <v/>
      </c>
      <c r="K1102" s="5" t="str">
        <f aca="false">IF(C1102=0,"",IF($A1102="Bank",IF(INDEX(Bank!$I:$I,$C1102)="","",INDEX(Bank!$I:$I,$C1102)),IF(INDEX(GL!$I:$I,$C1102)="","",INDEX(GL!$I:$I,$C1102))))</f>
        <v/>
      </c>
      <c r="L1102" s="5" t="str">
        <f aca="false">IF(B1102="","",IF(C1102=0,"NOT FOUND",IF(IF($A1102="Bank",INDEX(Bank!$F:$F,$C1102),INDEX(GL!$F:$F,$C1102))="Y","NOW RECONCILED: refresh","OK")))</f>
        <v/>
      </c>
    </row>
    <row r="1103" customFormat="false" ht="15" hidden="false" customHeight="false" outlineLevel="0" collapsed="false">
      <c r="A1103" s="41"/>
      <c r="B1103" s="41"/>
      <c r="C1103" s="5" t="n">
        <f aca="false">IF(B1103="",0,IF(A1103="Bank",IFERROR(MATCH(B1103,Bank!$A:$A,0),0),IFERROR(MATCH(B1103,GL!$A:$A,0),0)))</f>
        <v>0</v>
      </c>
      <c r="D1103" s="32" t="str">
        <f aca="false">IF(C1103=0,"",IF($A1103="Bank",INDEX(Bank!$B:$B,$C1103),INDEX(GL!$B:$B,$C1103)))</f>
        <v/>
      </c>
      <c r="E1103" s="5" t="str">
        <f aca="false">IF(C1103=0,"",IF($A1103="Bank",IF(INDEX(Bank!$C:$C,$C1103)="","",INDEX(Bank!$C:$C,$C1103)),IF(INDEX(GL!$C:$C,$C1103)="","",INDEX(GL!$C:$C,$C1103))))</f>
        <v/>
      </c>
      <c r="F1103" s="5" t="str">
        <f aca="false">IF(C1103=0,"",IF($A1103="Bank",IF(INDEX(Bank!$D:$D,$C1103)="","",INDEX(Bank!$D:$D,$C1103)),IF(INDEX(GL!$D:$D,$C1103)="","",INDEX(GL!$D:$D,$C1103))))</f>
        <v/>
      </c>
      <c r="G1103" s="19" t="str">
        <f aca="false">IF(C1103=0,"",IF($A1103="Bank",INDEX(Bank!$E:$E,$C1103),INDEX(GL!$E:$E,$C1103)))</f>
        <v/>
      </c>
      <c r="H1103" s="5" t="str">
        <f aca="false">IF(C1103=0,"",IF(A1103="GL",IF(G1103&gt;0,"Deposit in transit","Outstanding check / payment"),IF(G1103&gt;0,"Bank credit not in GL","Bank debit not in GL")))</f>
        <v/>
      </c>
      <c r="I1103" s="42" t="str">
        <f aca="false">IF(OR(C1103=0,CFG_PeriodEnd=""),"",CFG_PeriodEnd-D1103)</f>
        <v/>
      </c>
      <c r="J1103" s="5" t="str">
        <f aca="false">IF(C1103=0,"",IF($A1103="Bank",IF(INDEX(Bank!$G:$G,$C1103)="","",INDEX(Bank!$G:$G,$C1103)),IF(INDEX(GL!$G:$G,$C1103)="","",INDEX(GL!$G:$G,$C1103))))</f>
        <v/>
      </c>
      <c r="K1103" s="5" t="str">
        <f aca="false">IF(C1103=0,"",IF($A1103="Bank",IF(INDEX(Bank!$I:$I,$C1103)="","",INDEX(Bank!$I:$I,$C1103)),IF(INDEX(GL!$I:$I,$C1103)="","",INDEX(GL!$I:$I,$C1103))))</f>
        <v/>
      </c>
      <c r="L1103" s="5" t="str">
        <f aca="false">IF(B1103="","",IF(C1103=0,"NOT FOUND",IF(IF($A1103="Bank",INDEX(Bank!$F:$F,$C1103),INDEX(GL!$F:$F,$C1103))="Y","NOW RECONCILED: refresh","OK")))</f>
        <v/>
      </c>
    </row>
    <row r="1104" customFormat="false" ht="15" hidden="false" customHeight="false" outlineLevel="0" collapsed="false">
      <c r="A1104" s="41"/>
      <c r="B1104" s="41"/>
      <c r="C1104" s="5" t="n">
        <f aca="false">IF(B1104="",0,IF(A1104="Bank",IFERROR(MATCH(B1104,Bank!$A:$A,0),0),IFERROR(MATCH(B1104,GL!$A:$A,0),0)))</f>
        <v>0</v>
      </c>
      <c r="D1104" s="32" t="str">
        <f aca="false">IF(C1104=0,"",IF($A1104="Bank",INDEX(Bank!$B:$B,$C1104),INDEX(GL!$B:$B,$C1104)))</f>
        <v/>
      </c>
      <c r="E1104" s="5" t="str">
        <f aca="false">IF(C1104=0,"",IF($A1104="Bank",IF(INDEX(Bank!$C:$C,$C1104)="","",INDEX(Bank!$C:$C,$C1104)),IF(INDEX(GL!$C:$C,$C1104)="","",INDEX(GL!$C:$C,$C1104))))</f>
        <v/>
      </c>
      <c r="F1104" s="5" t="str">
        <f aca="false">IF(C1104=0,"",IF($A1104="Bank",IF(INDEX(Bank!$D:$D,$C1104)="","",INDEX(Bank!$D:$D,$C1104)),IF(INDEX(GL!$D:$D,$C1104)="","",INDEX(GL!$D:$D,$C1104))))</f>
        <v/>
      </c>
      <c r="G1104" s="19" t="str">
        <f aca="false">IF(C1104=0,"",IF($A1104="Bank",INDEX(Bank!$E:$E,$C1104),INDEX(GL!$E:$E,$C1104)))</f>
        <v/>
      </c>
      <c r="H1104" s="5" t="str">
        <f aca="false">IF(C1104=0,"",IF(A1104="GL",IF(G1104&gt;0,"Deposit in transit","Outstanding check / payment"),IF(G1104&gt;0,"Bank credit not in GL","Bank debit not in GL")))</f>
        <v/>
      </c>
      <c r="I1104" s="42" t="str">
        <f aca="false">IF(OR(C1104=0,CFG_PeriodEnd=""),"",CFG_PeriodEnd-D1104)</f>
        <v/>
      </c>
      <c r="J1104" s="5" t="str">
        <f aca="false">IF(C1104=0,"",IF($A1104="Bank",IF(INDEX(Bank!$G:$G,$C1104)="","",INDEX(Bank!$G:$G,$C1104)),IF(INDEX(GL!$G:$G,$C1104)="","",INDEX(GL!$G:$G,$C1104))))</f>
        <v/>
      </c>
      <c r="K1104" s="5" t="str">
        <f aca="false">IF(C1104=0,"",IF($A1104="Bank",IF(INDEX(Bank!$I:$I,$C1104)="","",INDEX(Bank!$I:$I,$C1104)),IF(INDEX(GL!$I:$I,$C1104)="","",INDEX(GL!$I:$I,$C1104))))</f>
        <v/>
      </c>
      <c r="L1104" s="5" t="str">
        <f aca="false">IF(B1104="","",IF(C1104=0,"NOT FOUND",IF(IF($A1104="Bank",INDEX(Bank!$F:$F,$C1104),INDEX(GL!$F:$F,$C1104))="Y","NOW RECONCILED: refresh","OK")))</f>
        <v/>
      </c>
    </row>
    <row r="1105" customFormat="false" ht="15" hidden="false" customHeight="false" outlineLevel="0" collapsed="false">
      <c r="A1105" s="41"/>
      <c r="B1105" s="41"/>
      <c r="C1105" s="5" t="n">
        <f aca="false">IF(B1105="",0,IF(A1105="Bank",IFERROR(MATCH(B1105,Bank!$A:$A,0),0),IFERROR(MATCH(B1105,GL!$A:$A,0),0)))</f>
        <v>0</v>
      </c>
      <c r="D1105" s="32" t="str">
        <f aca="false">IF(C1105=0,"",IF($A1105="Bank",INDEX(Bank!$B:$B,$C1105),INDEX(GL!$B:$B,$C1105)))</f>
        <v/>
      </c>
      <c r="E1105" s="5" t="str">
        <f aca="false">IF(C1105=0,"",IF($A1105="Bank",IF(INDEX(Bank!$C:$C,$C1105)="","",INDEX(Bank!$C:$C,$C1105)),IF(INDEX(GL!$C:$C,$C1105)="","",INDEX(GL!$C:$C,$C1105))))</f>
        <v/>
      </c>
      <c r="F1105" s="5" t="str">
        <f aca="false">IF(C1105=0,"",IF($A1105="Bank",IF(INDEX(Bank!$D:$D,$C1105)="","",INDEX(Bank!$D:$D,$C1105)),IF(INDEX(GL!$D:$D,$C1105)="","",INDEX(GL!$D:$D,$C1105))))</f>
        <v/>
      </c>
      <c r="G1105" s="19" t="str">
        <f aca="false">IF(C1105=0,"",IF($A1105="Bank",INDEX(Bank!$E:$E,$C1105),INDEX(GL!$E:$E,$C1105)))</f>
        <v/>
      </c>
      <c r="H1105" s="5" t="str">
        <f aca="false">IF(C1105=0,"",IF(A1105="GL",IF(G1105&gt;0,"Deposit in transit","Outstanding check / payment"),IF(G1105&gt;0,"Bank credit not in GL","Bank debit not in GL")))</f>
        <v/>
      </c>
      <c r="I1105" s="42" t="str">
        <f aca="false">IF(OR(C1105=0,CFG_PeriodEnd=""),"",CFG_PeriodEnd-D1105)</f>
        <v/>
      </c>
      <c r="J1105" s="5" t="str">
        <f aca="false">IF(C1105=0,"",IF($A1105="Bank",IF(INDEX(Bank!$G:$G,$C1105)="","",INDEX(Bank!$G:$G,$C1105)),IF(INDEX(GL!$G:$G,$C1105)="","",INDEX(GL!$G:$G,$C1105))))</f>
        <v/>
      </c>
      <c r="K1105" s="5" t="str">
        <f aca="false">IF(C1105=0,"",IF($A1105="Bank",IF(INDEX(Bank!$I:$I,$C1105)="","",INDEX(Bank!$I:$I,$C1105)),IF(INDEX(GL!$I:$I,$C1105)="","",INDEX(GL!$I:$I,$C1105))))</f>
        <v/>
      </c>
      <c r="L1105" s="5" t="str">
        <f aca="false">IF(B1105="","",IF(C1105=0,"NOT FOUND",IF(IF($A1105="Bank",INDEX(Bank!$F:$F,$C1105),INDEX(GL!$F:$F,$C1105))="Y","NOW RECONCILED: refresh","OK")))</f>
        <v/>
      </c>
    </row>
    <row r="1106" customFormat="false" ht="15" hidden="false" customHeight="false" outlineLevel="0" collapsed="false">
      <c r="A1106" s="41"/>
      <c r="B1106" s="41"/>
      <c r="C1106" s="5" t="n">
        <f aca="false">IF(B1106="",0,IF(A1106="Bank",IFERROR(MATCH(B1106,Bank!$A:$A,0),0),IFERROR(MATCH(B1106,GL!$A:$A,0),0)))</f>
        <v>0</v>
      </c>
      <c r="D1106" s="32" t="str">
        <f aca="false">IF(C1106=0,"",IF($A1106="Bank",INDEX(Bank!$B:$B,$C1106),INDEX(GL!$B:$B,$C1106)))</f>
        <v/>
      </c>
      <c r="E1106" s="5" t="str">
        <f aca="false">IF(C1106=0,"",IF($A1106="Bank",IF(INDEX(Bank!$C:$C,$C1106)="","",INDEX(Bank!$C:$C,$C1106)),IF(INDEX(GL!$C:$C,$C1106)="","",INDEX(GL!$C:$C,$C1106))))</f>
        <v/>
      </c>
      <c r="F1106" s="5" t="str">
        <f aca="false">IF(C1106=0,"",IF($A1106="Bank",IF(INDEX(Bank!$D:$D,$C1106)="","",INDEX(Bank!$D:$D,$C1106)),IF(INDEX(GL!$D:$D,$C1106)="","",INDEX(GL!$D:$D,$C1106))))</f>
        <v/>
      </c>
      <c r="G1106" s="19" t="str">
        <f aca="false">IF(C1106=0,"",IF($A1106="Bank",INDEX(Bank!$E:$E,$C1106),INDEX(GL!$E:$E,$C1106)))</f>
        <v/>
      </c>
      <c r="H1106" s="5" t="str">
        <f aca="false">IF(C1106=0,"",IF(A1106="GL",IF(G1106&gt;0,"Deposit in transit","Outstanding check / payment"),IF(G1106&gt;0,"Bank credit not in GL","Bank debit not in GL")))</f>
        <v/>
      </c>
      <c r="I1106" s="42" t="str">
        <f aca="false">IF(OR(C1106=0,CFG_PeriodEnd=""),"",CFG_PeriodEnd-D1106)</f>
        <v/>
      </c>
      <c r="J1106" s="5" t="str">
        <f aca="false">IF(C1106=0,"",IF($A1106="Bank",IF(INDEX(Bank!$G:$G,$C1106)="","",INDEX(Bank!$G:$G,$C1106)),IF(INDEX(GL!$G:$G,$C1106)="","",INDEX(GL!$G:$G,$C1106))))</f>
        <v/>
      </c>
      <c r="K1106" s="5" t="str">
        <f aca="false">IF(C1106=0,"",IF($A1106="Bank",IF(INDEX(Bank!$I:$I,$C1106)="","",INDEX(Bank!$I:$I,$C1106)),IF(INDEX(GL!$I:$I,$C1106)="","",INDEX(GL!$I:$I,$C1106))))</f>
        <v/>
      </c>
      <c r="L1106" s="5" t="str">
        <f aca="false">IF(B1106="","",IF(C1106=0,"NOT FOUND",IF(IF($A1106="Bank",INDEX(Bank!$F:$F,$C1106),INDEX(GL!$F:$F,$C1106))="Y","NOW RECONCILED: refresh","OK")))</f>
        <v/>
      </c>
    </row>
    <row r="1107" customFormat="false" ht="15" hidden="false" customHeight="false" outlineLevel="0" collapsed="false">
      <c r="A1107" s="41"/>
      <c r="B1107" s="41"/>
      <c r="C1107" s="5" t="n">
        <f aca="false">IF(B1107="",0,IF(A1107="Bank",IFERROR(MATCH(B1107,Bank!$A:$A,0),0),IFERROR(MATCH(B1107,GL!$A:$A,0),0)))</f>
        <v>0</v>
      </c>
      <c r="D1107" s="32" t="str">
        <f aca="false">IF(C1107=0,"",IF($A1107="Bank",INDEX(Bank!$B:$B,$C1107),INDEX(GL!$B:$B,$C1107)))</f>
        <v/>
      </c>
      <c r="E1107" s="5" t="str">
        <f aca="false">IF(C1107=0,"",IF($A1107="Bank",IF(INDEX(Bank!$C:$C,$C1107)="","",INDEX(Bank!$C:$C,$C1107)),IF(INDEX(GL!$C:$C,$C1107)="","",INDEX(GL!$C:$C,$C1107))))</f>
        <v/>
      </c>
      <c r="F1107" s="5" t="str">
        <f aca="false">IF(C1107=0,"",IF($A1107="Bank",IF(INDEX(Bank!$D:$D,$C1107)="","",INDEX(Bank!$D:$D,$C1107)),IF(INDEX(GL!$D:$D,$C1107)="","",INDEX(GL!$D:$D,$C1107))))</f>
        <v/>
      </c>
      <c r="G1107" s="19" t="str">
        <f aca="false">IF(C1107=0,"",IF($A1107="Bank",INDEX(Bank!$E:$E,$C1107),INDEX(GL!$E:$E,$C1107)))</f>
        <v/>
      </c>
      <c r="H1107" s="5" t="str">
        <f aca="false">IF(C1107=0,"",IF(A1107="GL",IF(G1107&gt;0,"Deposit in transit","Outstanding check / payment"),IF(G1107&gt;0,"Bank credit not in GL","Bank debit not in GL")))</f>
        <v/>
      </c>
      <c r="I1107" s="42" t="str">
        <f aca="false">IF(OR(C1107=0,CFG_PeriodEnd=""),"",CFG_PeriodEnd-D1107)</f>
        <v/>
      </c>
      <c r="J1107" s="5" t="str">
        <f aca="false">IF(C1107=0,"",IF($A1107="Bank",IF(INDEX(Bank!$G:$G,$C1107)="","",INDEX(Bank!$G:$G,$C1107)),IF(INDEX(GL!$G:$G,$C1107)="","",INDEX(GL!$G:$G,$C1107))))</f>
        <v/>
      </c>
      <c r="K1107" s="5" t="str">
        <f aca="false">IF(C1107=0,"",IF($A1107="Bank",IF(INDEX(Bank!$I:$I,$C1107)="","",INDEX(Bank!$I:$I,$C1107)),IF(INDEX(GL!$I:$I,$C1107)="","",INDEX(GL!$I:$I,$C1107))))</f>
        <v/>
      </c>
      <c r="L1107" s="5" t="str">
        <f aca="false">IF(B1107="","",IF(C1107=0,"NOT FOUND",IF(IF($A1107="Bank",INDEX(Bank!$F:$F,$C1107),INDEX(GL!$F:$F,$C1107))="Y","NOW RECONCILED: refresh","OK")))</f>
        <v/>
      </c>
    </row>
    <row r="1108" customFormat="false" ht="15" hidden="false" customHeight="false" outlineLevel="0" collapsed="false">
      <c r="A1108" s="41"/>
      <c r="B1108" s="41"/>
      <c r="C1108" s="5" t="n">
        <f aca="false">IF(B1108="",0,IF(A1108="Bank",IFERROR(MATCH(B1108,Bank!$A:$A,0),0),IFERROR(MATCH(B1108,GL!$A:$A,0),0)))</f>
        <v>0</v>
      </c>
      <c r="D1108" s="32" t="str">
        <f aca="false">IF(C1108=0,"",IF($A1108="Bank",INDEX(Bank!$B:$B,$C1108),INDEX(GL!$B:$B,$C1108)))</f>
        <v/>
      </c>
      <c r="E1108" s="5" t="str">
        <f aca="false">IF(C1108=0,"",IF($A1108="Bank",IF(INDEX(Bank!$C:$C,$C1108)="","",INDEX(Bank!$C:$C,$C1108)),IF(INDEX(GL!$C:$C,$C1108)="","",INDEX(GL!$C:$C,$C1108))))</f>
        <v/>
      </c>
      <c r="F1108" s="5" t="str">
        <f aca="false">IF(C1108=0,"",IF($A1108="Bank",IF(INDEX(Bank!$D:$D,$C1108)="","",INDEX(Bank!$D:$D,$C1108)),IF(INDEX(GL!$D:$D,$C1108)="","",INDEX(GL!$D:$D,$C1108))))</f>
        <v/>
      </c>
      <c r="G1108" s="19" t="str">
        <f aca="false">IF(C1108=0,"",IF($A1108="Bank",INDEX(Bank!$E:$E,$C1108),INDEX(GL!$E:$E,$C1108)))</f>
        <v/>
      </c>
      <c r="H1108" s="5" t="str">
        <f aca="false">IF(C1108=0,"",IF(A1108="GL",IF(G1108&gt;0,"Deposit in transit","Outstanding check / payment"),IF(G1108&gt;0,"Bank credit not in GL","Bank debit not in GL")))</f>
        <v/>
      </c>
      <c r="I1108" s="42" t="str">
        <f aca="false">IF(OR(C1108=0,CFG_PeriodEnd=""),"",CFG_PeriodEnd-D1108)</f>
        <v/>
      </c>
      <c r="J1108" s="5" t="str">
        <f aca="false">IF(C1108=0,"",IF($A1108="Bank",IF(INDEX(Bank!$G:$G,$C1108)="","",INDEX(Bank!$G:$G,$C1108)),IF(INDEX(GL!$G:$G,$C1108)="","",INDEX(GL!$G:$G,$C1108))))</f>
        <v/>
      </c>
      <c r="K1108" s="5" t="str">
        <f aca="false">IF(C1108=0,"",IF($A1108="Bank",IF(INDEX(Bank!$I:$I,$C1108)="","",INDEX(Bank!$I:$I,$C1108)),IF(INDEX(GL!$I:$I,$C1108)="","",INDEX(GL!$I:$I,$C1108))))</f>
        <v/>
      </c>
      <c r="L1108" s="5" t="str">
        <f aca="false">IF(B1108="","",IF(C1108=0,"NOT FOUND",IF(IF($A1108="Bank",INDEX(Bank!$F:$F,$C1108),INDEX(GL!$F:$F,$C1108))="Y","NOW RECONCILED: refresh","OK")))</f>
        <v/>
      </c>
    </row>
    <row r="1109" customFormat="false" ht="15" hidden="false" customHeight="false" outlineLevel="0" collapsed="false">
      <c r="A1109" s="41"/>
      <c r="B1109" s="41"/>
      <c r="C1109" s="5" t="n">
        <f aca="false">IF(B1109="",0,IF(A1109="Bank",IFERROR(MATCH(B1109,Bank!$A:$A,0),0),IFERROR(MATCH(B1109,GL!$A:$A,0),0)))</f>
        <v>0</v>
      </c>
      <c r="D1109" s="32" t="str">
        <f aca="false">IF(C1109=0,"",IF($A1109="Bank",INDEX(Bank!$B:$B,$C1109),INDEX(GL!$B:$B,$C1109)))</f>
        <v/>
      </c>
      <c r="E1109" s="5" t="str">
        <f aca="false">IF(C1109=0,"",IF($A1109="Bank",IF(INDEX(Bank!$C:$C,$C1109)="","",INDEX(Bank!$C:$C,$C1109)),IF(INDEX(GL!$C:$C,$C1109)="","",INDEX(GL!$C:$C,$C1109))))</f>
        <v/>
      </c>
      <c r="F1109" s="5" t="str">
        <f aca="false">IF(C1109=0,"",IF($A1109="Bank",IF(INDEX(Bank!$D:$D,$C1109)="","",INDEX(Bank!$D:$D,$C1109)),IF(INDEX(GL!$D:$D,$C1109)="","",INDEX(GL!$D:$D,$C1109))))</f>
        <v/>
      </c>
      <c r="G1109" s="19" t="str">
        <f aca="false">IF(C1109=0,"",IF($A1109="Bank",INDEX(Bank!$E:$E,$C1109),INDEX(GL!$E:$E,$C1109)))</f>
        <v/>
      </c>
      <c r="H1109" s="5" t="str">
        <f aca="false">IF(C1109=0,"",IF(A1109="GL",IF(G1109&gt;0,"Deposit in transit","Outstanding check / payment"),IF(G1109&gt;0,"Bank credit not in GL","Bank debit not in GL")))</f>
        <v/>
      </c>
      <c r="I1109" s="42" t="str">
        <f aca="false">IF(OR(C1109=0,CFG_PeriodEnd=""),"",CFG_PeriodEnd-D1109)</f>
        <v/>
      </c>
      <c r="J1109" s="5" t="str">
        <f aca="false">IF(C1109=0,"",IF($A1109="Bank",IF(INDEX(Bank!$G:$G,$C1109)="","",INDEX(Bank!$G:$G,$C1109)),IF(INDEX(GL!$G:$G,$C1109)="","",INDEX(GL!$G:$G,$C1109))))</f>
        <v/>
      </c>
      <c r="K1109" s="5" t="str">
        <f aca="false">IF(C1109=0,"",IF($A1109="Bank",IF(INDEX(Bank!$I:$I,$C1109)="","",INDEX(Bank!$I:$I,$C1109)),IF(INDEX(GL!$I:$I,$C1109)="","",INDEX(GL!$I:$I,$C1109))))</f>
        <v/>
      </c>
      <c r="L1109" s="5" t="str">
        <f aca="false">IF(B1109="","",IF(C1109=0,"NOT FOUND",IF(IF($A1109="Bank",INDEX(Bank!$F:$F,$C1109),INDEX(GL!$F:$F,$C1109))="Y","NOW RECONCILED: refresh","OK")))</f>
        <v/>
      </c>
    </row>
    <row r="1110" customFormat="false" ht="15" hidden="false" customHeight="false" outlineLevel="0" collapsed="false">
      <c r="A1110" s="41"/>
      <c r="B1110" s="41"/>
      <c r="C1110" s="5" t="n">
        <f aca="false">IF(B1110="",0,IF(A1110="Bank",IFERROR(MATCH(B1110,Bank!$A:$A,0),0),IFERROR(MATCH(B1110,GL!$A:$A,0),0)))</f>
        <v>0</v>
      </c>
      <c r="D1110" s="32" t="str">
        <f aca="false">IF(C1110=0,"",IF($A1110="Bank",INDEX(Bank!$B:$B,$C1110),INDEX(GL!$B:$B,$C1110)))</f>
        <v/>
      </c>
      <c r="E1110" s="5" t="str">
        <f aca="false">IF(C1110=0,"",IF($A1110="Bank",IF(INDEX(Bank!$C:$C,$C1110)="","",INDEX(Bank!$C:$C,$C1110)),IF(INDEX(GL!$C:$C,$C1110)="","",INDEX(GL!$C:$C,$C1110))))</f>
        <v/>
      </c>
      <c r="F1110" s="5" t="str">
        <f aca="false">IF(C1110=0,"",IF($A1110="Bank",IF(INDEX(Bank!$D:$D,$C1110)="","",INDEX(Bank!$D:$D,$C1110)),IF(INDEX(GL!$D:$D,$C1110)="","",INDEX(GL!$D:$D,$C1110))))</f>
        <v/>
      </c>
      <c r="G1110" s="19" t="str">
        <f aca="false">IF(C1110=0,"",IF($A1110="Bank",INDEX(Bank!$E:$E,$C1110),INDEX(GL!$E:$E,$C1110)))</f>
        <v/>
      </c>
      <c r="H1110" s="5" t="str">
        <f aca="false">IF(C1110=0,"",IF(A1110="GL",IF(G1110&gt;0,"Deposit in transit","Outstanding check / payment"),IF(G1110&gt;0,"Bank credit not in GL","Bank debit not in GL")))</f>
        <v/>
      </c>
      <c r="I1110" s="42" t="str">
        <f aca="false">IF(OR(C1110=0,CFG_PeriodEnd=""),"",CFG_PeriodEnd-D1110)</f>
        <v/>
      </c>
      <c r="J1110" s="5" t="str">
        <f aca="false">IF(C1110=0,"",IF($A1110="Bank",IF(INDEX(Bank!$G:$G,$C1110)="","",INDEX(Bank!$G:$G,$C1110)),IF(INDEX(GL!$G:$G,$C1110)="","",INDEX(GL!$G:$G,$C1110))))</f>
        <v/>
      </c>
      <c r="K1110" s="5" t="str">
        <f aca="false">IF(C1110=0,"",IF($A1110="Bank",IF(INDEX(Bank!$I:$I,$C1110)="","",INDEX(Bank!$I:$I,$C1110)),IF(INDEX(GL!$I:$I,$C1110)="","",INDEX(GL!$I:$I,$C1110))))</f>
        <v/>
      </c>
      <c r="L1110" s="5" t="str">
        <f aca="false">IF(B1110="","",IF(C1110=0,"NOT FOUND",IF(IF($A1110="Bank",INDEX(Bank!$F:$F,$C1110),INDEX(GL!$F:$F,$C1110))="Y","NOW RECONCILED: refresh","OK")))</f>
        <v/>
      </c>
    </row>
    <row r="1111" customFormat="false" ht="15" hidden="false" customHeight="false" outlineLevel="0" collapsed="false">
      <c r="A1111" s="41"/>
      <c r="B1111" s="41"/>
      <c r="C1111" s="5" t="n">
        <f aca="false">IF(B1111="",0,IF(A1111="Bank",IFERROR(MATCH(B1111,Bank!$A:$A,0),0),IFERROR(MATCH(B1111,GL!$A:$A,0),0)))</f>
        <v>0</v>
      </c>
      <c r="D1111" s="32" t="str">
        <f aca="false">IF(C1111=0,"",IF($A1111="Bank",INDEX(Bank!$B:$B,$C1111),INDEX(GL!$B:$B,$C1111)))</f>
        <v/>
      </c>
      <c r="E1111" s="5" t="str">
        <f aca="false">IF(C1111=0,"",IF($A1111="Bank",IF(INDEX(Bank!$C:$C,$C1111)="","",INDEX(Bank!$C:$C,$C1111)),IF(INDEX(GL!$C:$C,$C1111)="","",INDEX(GL!$C:$C,$C1111))))</f>
        <v/>
      </c>
      <c r="F1111" s="5" t="str">
        <f aca="false">IF(C1111=0,"",IF($A1111="Bank",IF(INDEX(Bank!$D:$D,$C1111)="","",INDEX(Bank!$D:$D,$C1111)),IF(INDEX(GL!$D:$D,$C1111)="","",INDEX(GL!$D:$D,$C1111))))</f>
        <v/>
      </c>
      <c r="G1111" s="19" t="str">
        <f aca="false">IF(C1111=0,"",IF($A1111="Bank",INDEX(Bank!$E:$E,$C1111),INDEX(GL!$E:$E,$C1111)))</f>
        <v/>
      </c>
      <c r="H1111" s="5" t="str">
        <f aca="false">IF(C1111=0,"",IF(A1111="GL",IF(G1111&gt;0,"Deposit in transit","Outstanding check / payment"),IF(G1111&gt;0,"Bank credit not in GL","Bank debit not in GL")))</f>
        <v/>
      </c>
      <c r="I1111" s="42" t="str">
        <f aca="false">IF(OR(C1111=0,CFG_PeriodEnd=""),"",CFG_PeriodEnd-D1111)</f>
        <v/>
      </c>
      <c r="J1111" s="5" t="str">
        <f aca="false">IF(C1111=0,"",IF($A1111="Bank",IF(INDEX(Bank!$G:$G,$C1111)="","",INDEX(Bank!$G:$G,$C1111)),IF(INDEX(GL!$G:$G,$C1111)="","",INDEX(GL!$G:$G,$C1111))))</f>
        <v/>
      </c>
      <c r="K1111" s="5" t="str">
        <f aca="false">IF(C1111=0,"",IF($A1111="Bank",IF(INDEX(Bank!$I:$I,$C1111)="","",INDEX(Bank!$I:$I,$C1111)),IF(INDEX(GL!$I:$I,$C1111)="","",INDEX(GL!$I:$I,$C1111))))</f>
        <v/>
      </c>
      <c r="L1111" s="5" t="str">
        <f aca="false">IF(B1111="","",IF(C1111=0,"NOT FOUND",IF(IF($A1111="Bank",INDEX(Bank!$F:$F,$C1111),INDEX(GL!$F:$F,$C1111))="Y","NOW RECONCILED: refresh","OK")))</f>
        <v/>
      </c>
    </row>
    <row r="1112" customFormat="false" ht="15" hidden="false" customHeight="false" outlineLevel="0" collapsed="false">
      <c r="A1112" s="41"/>
      <c r="B1112" s="41"/>
      <c r="C1112" s="5" t="n">
        <f aca="false">IF(B1112="",0,IF(A1112="Bank",IFERROR(MATCH(B1112,Bank!$A:$A,0),0),IFERROR(MATCH(B1112,GL!$A:$A,0),0)))</f>
        <v>0</v>
      </c>
      <c r="D1112" s="32" t="str">
        <f aca="false">IF(C1112=0,"",IF($A1112="Bank",INDEX(Bank!$B:$B,$C1112),INDEX(GL!$B:$B,$C1112)))</f>
        <v/>
      </c>
      <c r="E1112" s="5" t="str">
        <f aca="false">IF(C1112=0,"",IF($A1112="Bank",IF(INDEX(Bank!$C:$C,$C1112)="","",INDEX(Bank!$C:$C,$C1112)),IF(INDEX(GL!$C:$C,$C1112)="","",INDEX(GL!$C:$C,$C1112))))</f>
        <v/>
      </c>
      <c r="F1112" s="5" t="str">
        <f aca="false">IF(C1112=0,"",IF($A1112="Bank",IF(INDEX(Bank!$D:$D,$C1112)="","",INDEX(Bank!$D:$D,$C1112)),IF(INDEX(GL!$D:$D,$C1112)="","",INDEX(GL!$D:$D,$C1112))))</f>
        <v/>
      </c>
      <c r="G1112" s="19" t="str">
        <f aca="false">IF(C1112=0,"",IF($A1112="Bank",INDEX(Bank!$E:$E,$C1112),INDEX(GL!$E:$E,$C1112)))</f>
        <v/>
      </c>
      <c r="H1112" s="5" t="str">
        <f aca="false">IF(C1112=0,"",IF(A1112="GL",IF(G1112&gt;0,"Deposit in transit","Outstanding check / payment"),IF(G1112&gt;0,"Bank credit not in GL","Bank debit not in GL")))</f>
        <v/>
      </c>
      <c r="I1112" s="42" t="str">
        <f aca="false">IF(OR(C1112=0,CFG_PeriodEnd=""),"",CFG_PeriodEnd-D1112)</f>
        <v/>
      </c>
      <c r="J1112" s="5" t="str">
        <f aca="false">IF(C1112=0,"",IF($A1112="Bank",IF(INDEX(Bank!$G:$G,$C1112)="","",INDEX(Bank!$G:$G,$C1112)),IF(INDEX(GL!$G:$G,$C1112)="","",INDEX(GL!$G:$G,$C1112))))</f>
        <v/>
      </c>
      <c r="K1112" s="5" t="str">
        <f aca="false">IF(C1112=0,"",IF($A1112="Bank",IF(INDEX(Bank!$I:$I,$C1112)="","",INDEX(Bank!$I:$I,$C1112)),IF(INDEX(GL!$I:$I,$C1112)="","",INDEX(GL!$I:$I,$C1112))))</f>
        <v/>
      </c>
      <c r="L1112" s="5" t="str">
        <f aca="false">IF(B1112="","",IF(C1112=0,"NOT FOUND",IF(IF($A1112="Bank",INDEX(Bank!$F:$F,$C1112),INDEX(GL!$F:$F,$C1112))="Y","NOW RECONCILED: refresh","OK")))</f>
        <v/>
      </c>
    </row>
    <row r="1113" customFormat="false" ht="15" hidden="false" customHeight="false" outlineLevel="0" collapsed="false">
      <c r="A1113" s="41"/>
      <c r="B1113" s="41"/>
      <c r="C1113" s="5" t="n">
        <f aca="false">IF(B1113="",0,IF(A1113="Bank",IFERROR(MATCH(B1113,Bank!$A:$A,0),0),IFERROR(MATCH(B1113,GL!$A:$A,0),0)))</f>
        <v>0</v>
      </c>
      <c r="D1113" s="32" t="str">
        <f aca="false">IF(C1113=0,"",IF($A1113="Bank",INDEX(Bank!$B:$B,$C1113),INDEX(GL!$B:$B,$C1113)))</f>
        <v/>
      </c>
      <c r="E1113" s="5" t="str">
        <f aca="false">IF(C1113=0,"",IF($A1113="Bank",IF(INDEX(Bank!$C:$C,$C1113)="","",INDEX(Bank!$C:$C,$C1113)),IF(INDEX(GL!$C:$C,$C1113)="","",INDEX(GL!$C:$C,$C1113))))</f>
        <v/>
      </c>
      <c r="F1113" s="5" t="str">
        <f aca="false">IF(C1113=0,"",IF($A1113="Bank",IF(INDEX(Bank!$D:$D,$C1113)="","",INDEX(Bank!$D:$D,$C1113)),IF(INDEX(GL!$D:$D,$C1113)="","",INDEX(GL!$D:$D,$C1113))))</f>
        <v/>
      </c>
      <c r="G1113" s="19" t="str">
        <f aca="false">IF(C1113=0,"",IF($A1113="Bank",INDEX(Bank!$E:$E,$C1113),INDEX(GL!$E:$E,$C1113)))</f>
        <v/>
      </c>
      <c r="H1113" s="5" t="str">
        <f aca="false">IF(C1113=0,"",IF(A1113="GL",IF(G1113&gt;0,"Deposit in transit","Outstanding check / payment"),IF(G1113&gt;0,"Bank credit not in GL","Bank debit not in GL")))</f>
        <v/>
      </c>
      <c r="I1113" s="42" t="str">
        <f aca="false">IF(OR(C1113=0,CFG_PeriodEnd=""),"",CFG_PeriodEnd-D1113)</f>
        <v/>
      </c>
      <c r="J1113" s="5" t="str">
        <f aca="false">IF(C1113=0,"",IF($A1113="Bank",IF(INDEX(Bank!$G:$G,$C1113)="","",INDEX(Bank!$G:$G,$C1113)),IF(INDEX(GL!$G:$G,$C1113)="","",INDEX(GL!$G:$G,$C1113))))</f>
        <v/>
      </c>
      <c r="K1113" s="5" t="str">
        <f aca="false">IF(C1113=0,"",IF($A1113="Bank",IF(INDEX(Bank!$I:$I,$C1113)="","",INDEX(Bank!$I:$I,$C1113)),IF(INDEX(GL!$I:$I,$C1113)="","",INDEX(GL!$I:$I,$C1113))))</f>
        <v/>
      </c>
      <c r="L1113" s="5" t="str">
        <f aca="false">IF(B1113="","",IF(C1113=0,"NOT FOUND",IF(IF($A1113="Bank",INDEX(Bank!$F:$F,$C1113),INDEX(GL!$F:$F,$C1113))="Y","NOW RECONCILED: refresh","OK")))</f>
        <v/>
      </c>
    </row>
    <row r="1114" customFormat="false" ht="15" hidden="false" customHeight="false" outlineLevel="0" collapsed="false">
      <c r="A1114" s="41"/>
      <c r="B1114" s="41"/>
      <c r="C1114" s="5" t="n">
        <f aca="false">IF(B1114="",0,IF(A1114="Bank",IFERROR(MATCH(B1114,Bank!$A:$A,0),0),IFERROR(MATCH(B1114,GL!$A:$A,0),0)))</f>
        <v>0</v>
      </c>
      <c r="D1114" s="32" t="str">
        <f aca="false">IF(C1114=0,"",IF($A1114="Bank",INDEX(Bank!$B:$B,$C1114),INDEX(GL!$B:$B,$C1114)))</f>
        <v/>
      </c>
      <c r="E1114" s="5" t="str">
        <f aca="false">IF(C1114=0,"",IF($A1114="Bank",IF(INDEX(Bank!$C:$C,$C1114)="","",INDEX(Bank!$C:$C,$C1114)),IF(INDEX(GL!$C:$C,$C1114)="","",INDEX(GL!$C:$C,$C1114))))</f>
        <v/>
      </c>
      <c r="F1114" s="5" t="str">
        <f aca="false">IF(C1114=0,"",IF($A1114="Bank",IF(INDEX(Bank!$D:$D,$C1114)="","",INDEX(Bank!$D:$D,$C1114)),IF(INDEX(GL!$D:$D,$C1114)="","",INDEX(GL!$D:$D,$C1114))))</f>
        <v/>
      </c>
      <c r="G1114" s="19" t="str">
        <f aca="false">IF(C1114=0,"",IF($A1114="Bank",INDEX(Bank!$E:$E,$C1114),INDEX(GL!$E:$E,$C1114)))</f>
        <v/>
      </c>
      <c r="H1114" s="5" t="str">
        <f aca="false">IF(C1114=0,"",IF(A1114="GL",IF(G1114&gt;0,"Deposit in transit","Outstanding check / payment"),IF(G1114&gt;0,"Bank credit not in GL","Bank debit not in GL")))</f>
        <v/>
      </c>
      <c r="I1114" s="42" t="str">
        <f aca="false">IF(OR(C1114=0,CFG_PeriodEnd=""),"",CFG_PeriodEnd-D1114)</f>
        <v/>
      </c>
      <c r="J1114" s="5" t="str">
        <f aca="false">IF(C1114=0,"",IF($A1114="Bank",IF(INDEX(Bank!$G:$G,$C1114)="","",INDEX(Bank!$G:$G,$C1114)),IF(INDEX(GL!$G:$G,$C1114)="","",INDEX(GL!$G:$G,$C1114))))</f>
        <v/>
      </c>
      <c r="K1114" s="5" t="str">
        <f aca="false">IF(C1114=0,"",IF($A1114="Bank",IF(INDEX(Bank!$I:$I,$C1114)="","",INDEX(Bank!$I:$I,$C1114)),IF(INDEX(GL!$I:$I,$C1114)="","",INDEX(GL!$I:$I,$C1114))))</f>
        <v/>
      </c>
      <c r="L1114" s="5" t="str">
        <f aca="false">IF(B1114="","",IF(C1114=0,"NOT FOUND",IF(IF($A1114="Bank",INDEX(Bank!$F:$F,$C1114),INDEX(GL!$F:$F,$C1114))="Y","NOW RECONCILED: refresh","OK")))</f>
        <v/>
      </c>
    </row>
    <row r="1115" customFormat="false" ht="15" hidden="false" customHeight="false" outlineLevel="0" collapsed="false">
      <c r="A1115" s="41"/>
      <c r="B1115" s="41"/>
      <c r="C1115" s="5" t="n">
        <f aca="false">IF(B1115="",0,IF(A1115="Bank",IFERROR(MATCH(B1115,Bank!$A:$A,0),0),IFERROR(MATCH(B1115,GL!$A:$A,0),0)))</f>
        <v>0</v>
      </c>
      <c r="D1115" s="32" t="str">
        <f aca="false">IF(C1115=0,"",IF($A1115="Bank",INDEX(Bank!$B:$B,$C1115),INDEX(GL!$B:$B,$C1115)))</f>
        <v/>
      </c>
      <c r="E1115" s="5" t="str">
        <f aca="false">IF(C1115=0,"",IF($A1115="Bank",IF(INDEX(Bank!$C:$C,$C1115)="","",INDEX(Bank!$C:$C,$C1115)),IF(INDEX(GL!$C:$C,$C1115)="","",INDEX(GL!$C:$C,$C1115))))</f>
        <v/>
      </c>
      <c r="F1115" s="5" t="str">
        <f aca="false">IF(C1115=0,"",IF($A1115="Bank",IF(INDEX(Bank!$D:$D,$C1115)="","",INDEX(Bank!$D:$D,$C1115)),IF(INDEX(GL!$D:$D,$C1115)="","",INDEX(GL!$D:$D,$C1115))))</f>
        <v/>
      </c>
      <c r="G1115" s="19" t="str">
        <f aca="false">IF(C1115=0,"",IF($A1115="Bank",INDEX(Bank!$E:$E,$C1115),INDEX(GL!$E:$E,$C1115)))</f>
        <v/>
      </c>
      <c r="H1115" s="5" t="str">
        <f aca="false">IF(C1115=0,"",IF(A1115="GL",IF(G1115&gt;0,"Deposit in transit","Outstanding check / payment"),IF(G1115&gt;0,"Bank credit not in GL","Bank debit not in GL")))</f>
        <v/>
      </c>
      <c r="I1115" s="42" t="str">
        <f aca="false">IF(OR(C1115=0,CFG_PeriodEnd=""),"",CFG_PeriodEnd-D1115)</f>
        <v/>
      </c>
      <c r="J1115" s="5" t="str">
        <f aca="false">IF(C1115=0,"",IF($A1115="Bank",IF(INDEX(Bank!$G:$G,$C1115)="","",INDEX(Bank!$G:$G,$C1115)),IF(INDEX(GL!$G:$G,$C1115)="","",INDEX(GL!$G:$G,$C1115))))</f>
        <v/>
      </c>
      <c r="K1115" s="5" t="str">
        <f aca="false">IF(C1115=0,"",IF($A1115="Bank",IF(INDEX(Bank!$I:$I,$C1115)="","",INDEX(Bank!$I:$I,$C1115)),IF(INDEX(GL!$I:$I,$C1115)="","",INDEX(GL!$I:$I,$C1115))))</f>
        <v/>
      </c>
      <c r="L1115" s="5" t="str">
        <f aca="false">IF(B1115="","",IF(C1115=0,"NOT FOUND",IF(IF($A1115="Bank",INDEX(Bank!$F:$F,$C1115),INDEX(GL!$F:$F,$C1115))="Y","NOW RECONCILED: refresh","OK")))</f>
        <v/>
      </c>
    </row>
    <row r="1116" customFormat="false" ht="15" hidden="false" customHeight="false" outlineLevel="0" collapsed="false">
      <c r="A1116" s="41"/>
      <c r="B1116" s="41"/>
      <c r="C1116" s="5" t="n">
        <f aca="false">IF(B1116="",0,IF(A1116="Bank",IFERROR(MATCH(B1116,Bank!$A:$A,0),0),IFERROR(MATCH(B1116,GL!$A:$A,0),0)))</f>
        <v>0</v>
      </c>
      <c r="D1116" s="32" t="str">
        <f aca="false">IF(C1116=0,"",IF($A1116="Bank",INDEX(Bank!$B:$B,$C1116),INDEX(GL!$B:$B,$C1116)))</f>
        <v/>
      </c>
      <c r="E1116" s="5" t="str">
        <f aca="false">IF(C1116=0,"",IF($A1116="Bank",IF(INDEX(Bank!$C:$C,$C1116)="","",INDEX(Bank!$C:$C,$C1116)),IF(INDEX(GL!$C:$C,$C1116)="","",INDEX(GL!$C:$C,$C1116))))</f>
        <v/>
      </c>
      <c r="F1116" s="5" t="str">
        <f aca="false">IF(C1116=0,"",IF($A1116="Bank",IF(INDEX(Bank!$D:$D,$C1116)="","",INDEX(Bank!$D:$D,$C1116)),IF(INDEX(GL!$D:$D,$C1116)="","",INDEX(GL!$D:$D,$C1116))))</f>
        <v/>
      </c>
      <c r="G1116" s="19" t="str">
        <f aca="false">IF(C1116=0,"",IF($A1116="Bank",INDEX(Bank!$E:$E,$C1116),INDEX(GL!$E:$E,$C1116)))</f>
        <v/>
      </c>
      <c r="H1116" s="5" t="str">
        <f aca="false">IF(C1116=0,"",IF(A1116="GL",IF(G1116&gt;0,"Deposit in transit","Outstanding check / payment"),IF(G1116&gt;0,"Bank credit not in GL","Bank debit not in GL")))</f>
        <v/>
      </c>
      <c r="I1116" s="42" t="str">
        <f aca="false">IF(OR(C1116=0,CFG_PeriodEnd=""),"",CFG_PeriodEnd-D1116)</f>
        <v/>
      </c>
      <c r="J1116" s="5" t="str">
        <f aca="false">IF(C1116=0,"",IF($A1116="Bank",IF(INDEX(Bank!$G:$G,$C1116)="","",INDEX(Bank!$G:$G,$C1116)),IF(INDEX(GL!$G:$G,$C1116)="","",INDEX(GL!$G:$G,$C1116))))</f>
        <v/>
      </c>
      <c r="K1116" s="5" t="str">
        <f aca="false">IF(C1116=0,"",IF($A1116="Bank",IF(INDEX(Bank!$I:$I,$C1116)="","",INDEX(Bank!$I:$I,$C1116)),IF(INDEX(GL!$I:$I,$C1116)="","",INDEX(GL!$I:$I,$C1116))))</f>
        <v/>
      </c>
      <c r="L1116" s="5" t="str">
        <f aca="false">IF(B1116="","",IF(C1116=0,"NOT FOUND",IF(IF($A1116="Bank",INDEX(Bank!$F:$F,$C1116),INDEX(GL!$F:$F,$C1116))="Y","NOW RECONCILED: refresh","OK")))</f>
        <v/>
      </c>
    </row>
    <row r="1117" customFormat="false" ht="15" hidden="false" customHeight="false" outlineLevel="0" collapsed="false">
      <c r="A1117" s="41"/>
      <c r="B1117" s="41"/>
      <c r="C1117" s="5" t="n">
        <f aca="false">IF(B1117="",0,IF(A1117="Bank",IFERROR(MATCH(B1117,Bank!$A:$A,0),0),IFERROR(MATCH(B1117,GL!$A:$A,0),0)))</f>
        <v>0</v>
      </c>
      <c r="D1117" s="32" t="str">
        <f aca="false">IF(C1117=0,"",IF($A1117="Bank",INDEX(Bank!$B:$B,$C1117),INDEX(GL!$B:$B,$C1117)))</f>
        <v/>
      </c>
      <c r="E1117" s="5" t="str">
        <f aca="false">IF(C1117=0,"",IF($A1117="Bank",IF(INDEX(Bank!$C:$C,$C1117)="","",INDEX(Bank!$C:$C,$C1117)),IF(INDEX(GL!$C:$C,$C1117)="","",INDEX(GL!$C:$C,$C1117))))</f>
        <v/>
      </c>
      <c r="F1117" s="5" t="str">
        <f aca="false">IF(C1117=0,"",IF($A1117="Bank",IF(INDEX(Bank!$D:$D,$C1117)="","",INDEX(Bank!$D:$D,$C1117)),IF(INDEX(GL!$D:$D,$C1117)="","",INDEX(GL!$D:$D,$C1117))))</f>
        <v/>
      </c>
      <c r="G1117" s="19" t="str">
        <f aca="false">IF(C1117=0,"",IF($A1117="Bank",INDEX(Bank!$E:$E,$C1117),INDEX(GL!$E:$E,$C1117)))</f>
        <v/>
      </c>
      <c r="H1117" s="5" t="str">
        <f aca="false">IF(C1117=0,"",IF(A1117="GL",IF(G1117&gt;0,"Deposit in transit","Outstanding check / payment"),IF(G1117&gt;0,"Bank credit not in GL","Bank debit not in GL")))</f>
        <v/>
      </c>
      <c r="I1117" s="42" t="str">
        <f aca="false">IF(OR(C1117=0,CFG_PeriodEnd=""),"",CFG_PeriodEnd-D1117)</f>
        <v/>
      </c>
      <c r="J1117" s="5" t="str">
        <f aca="false">IF(C1117=0,"",IF($A1117="Bank",IF(INDEX(Bank!$G:$G,$C1117)="","",INDEX(Bank!$G:$G,$C1117)),IF(INDEX(GL!$G:$G,$C1117)="","",INDEX(GL!$G:$G,$C1117))))</f>
        <v/>
      </c>
      <c r="K1117" s="5" t="str">
        <f aca="false">IF(C1117=0,"",IF($A1117="Bank",IF(INDEX(Bank!$I:$I,$C1117)="","",INDEX(Bank!$I:$I,$C1117)),IF(INDEX(GL!$I:$I,$C1117)="","",INDEX(GL!$I:$I,$C1117))))</f>
        <v/>
      </c>
      <c r="L1117" s="5" t="str">
        <f aca="false">IF(B1117="","",IF(C1117=0,"NOT FOUND",IF(IF($A1117="Bank",INDEX(Bank!$F:$F,$C1117),INDEX(GL!$F:$F,$C1117))="Y","NOW RECONCILED: refresh","OK")))</f>
        <v/>
      </c>
    </row>
    <row r="1118" customFormat="false" ht="15" hidden="false" customHeight="false" outlineLevel="0" collapsed="false">
      <c r="A1118" s="41"/>
      <c r="B1118" s="41"/>
      <c r="C1118" s="5" t="n">
        <f aca="false">IF(B1118="",0,IF(A1118="Bank",IFERROR(MATCH(B1118,Bank!$A:$A,0),0),IFERROR(MATCH(B1118,GL!$A:$A,0),0)))</f>
        <v>0</v>
      </c>
      <c r="D1118" s="32" t="str">
        <f aca="false">IF(C1118=0,"",IF($A1118="Bank",INDEX(Bank!$B:$B,$C1118),INDEX(GL!$B:$B,$C1118)))</f>
        <v/>
      </c>
      <c r="E1118" s="5" t="str">
        <f aca="false">IF(C1118=0,"",IF($A1118="Bank",IF(INDEX(Bank!$C:$C,$C1118)="","",INDEX(Bank!$C:$C,$C1118)),IF(INDEX(GL!$C:$C,$C1118)="","",INDEX(GL!$C:$C,$C1118))))</f>
        <v/>
      </c>
      <c r="F1118" s="5" t="str">
        <f aca="false">IF(C1118=0,"",IF($A1118="Bank",IF(INDEX(Bank!$D:$D,$C1118)="","",INDEX(Bank!$D:$D,$C1118)),IF(INDEX(GL!$D:$D,$C1118)="","",INDEX(GL!$D:$D,$C1118))))</f>
        <v/>
      </c>
      <c r="G1118" s="19" t="str">
        <f aca="false">IF(C1118=0,"",IF($A1118="Bank",INDEX(Bank!$E:$E,$C1118),INDEX(GL!$E:$E,$C1118)))</f>
        <v/>
      </c>
      <c r="H1118" s="5" t="str">
        <f aca="false">IF(C1118=0,"",IF(A1118="GL",IF(G1118&gt;0,"Deposit in transit","Outstanding check / payment"),IF(G1118&gt;0,"Bank credit not in GL","Bank debit not in GL")))</f>
        <v/>
      </c>
      <c r="I1118" s="42" t="str">
        <f aca="false">IF(OR(C1118=0,CFG_PeriodEnd=""),"",CFG_PeriodEnd-D1118)</f>
        <v/>
      </c>
      <c r="J1118" s="5" t="str">
        <f aca="false">IF(C1118=0,"",IF($A1118="Bank",IF(INDEX(Bank!$G:$G,$C1118)="","",INDEX(Bank!$G:$G,$C1118)),IF(INDEX(GL!$G:$G,$C1118)="","",INDEX(GL!$G:$G,$C1118))))</f>
        <v/>
      </c>
      <c r="K1118" s="5" t="str">
        <f aca="false">IF(C1118=0,"",IF($A1118="Bank",IF(INDEX(Bank!$I:$I,$C1118)="","",INDEX(Bank!$I:$I,$C1118)),IF(INDEX(GL!$I:$I,$C1118)="","",INDEX(GL!$I:$I,$C1118))))</f>
        <v/>
      </c>
      <c r="L1118" s="5" t="str">
        <f aca="false">IF(B1118="","",IF(C1118=0,"NOT FOUND",IF(IF($A1118="Bank",INDEX(Bank!$F:$F,$C1118),INDEX(GL!$F:$F,$C1118))="Y","NOW RECONCILED: refresh","OK")))</f>
        <v/>
      </c>
    </row>
    <row r="1119" customFormat="false" ht="15" hidden="false" customHeight="false" outlineLevel="0" collapsed="false">
      <c r="A1119" s="41"/>
      <c r="B1119" s="41"/>
      <c r="C1119" s="5" t="n">
        <f aca="false">IF(B1119="",0,IF(A1119="Bank",IFERROR(MATCH(B1119,Bank!$A:$A,0),0),IFERROR(MATCH(B1119,GL!$A:$A,0),0)))</f>
        <v>0</v>
      </c>
      <c r="D1119" s="32" t="str">
        <f aca="false">IF(C1119=0,"",IF($A1119="Bank",INDEX(Bank!$B:$B,$C1119),INDEX(GL!$B:$B,$C1119)))</f>
        <v/>
      </c>
      <c r="E1119" s="5" t="str">
        <f aca="false">IF(C1119=0,"",IF($A1119="Bank",IF(INDEX(Bank!$C:$C,$C1119)="","",INDEX(Bank!$C:$C,$C1119)),IF(INDEX(GL!$C:$C,$C1119)="","",INDEX(GL!$C:$C,$C1119))))</f>
        <v/>
      </c>
      <c r="F1119" s="5" t="str">
        <f aca="false">IF(C1119=0,"",IF($A1119="Bank",IF(INDEX(Bank!$D:$D,$C1119)="","",INDEX(Bank!$D:$D,$C1119)),IF(INDEX(GL!$D:$D,$C1119)="","",INDEX(GL!$D:$D,$C1119))))</f>
        <v/>
      </c>
      <c r="G1119" s="19" t="str">
        <f aca="false">IF(C1119=0,"",IF($A1119="Bank",INDEX(Bank!$E:$E,$C1119),INDEX(GL!$E:$E,$C1119)))</f>
        <v/>
      </c>
      <c r="H1119" s="5" t="str">
        <f aca="false">IF(C1119=0,"",IF(A1119="GL",IF(G1119&gt;0,"Deposit in transit","Outstanding check / payment"),IF(G1119&gt;0,"Bank credit not in GL","Bank debit not in GL")))</f>
        <v/>
      </c>
      <c r="I1119" s="42" t="str">
        <f aca="false">IF(OR(C1119=0,CFG_PeriodEnd=""),"",CFG_PeriodEnd-D1119)</f>
        <v/>
      </c>
      <c r="J1119" s="5" t="str">
        <f aca="false">IF(C1119=0,"",IF($A1119="Bank",IF(INDEX(Bank!$G:$G,$C1119)="","",INDEX(Bank!$G:$G,$C1119)),IF(INDEX(GL!$G:$G,$C1119)="","",INDEX(GL!$G:$G,$C1119))))</f>
        <v/>
      </c>
      <c r="K1119" s="5" t="str">
        <f aca="false">IF(C1119=0,"",IF($A1119="Bank",IF(INDEX(Bank!$I:$I,$C1119)="","",INDEX(Bank!$I:$I,$C1119)),IF(INDEX(GL!$I:$I,$C1119)="","",INDEX(GL!$I:$I,$C1119))))</f>
        <v/>
      </c>
      <c r="L1119" s="5" t="str">
        <f aca="false">IF(B1119="","",IF(C1119=0,"NOT FOUND",IF(IF($A1119="Bank",INDEX(Bank!$F:$F,$C1119),INDEX(GL!$F:$F,$C1119))="Y","NOW RECONCILED: refresh","OK")))</f>
        <v/>
      </c>
    </row>
    <row r="1120" customFormat="false" ht="15" hidden="false" customHeight="false" outlineLevel="0" collapsed="false">
      <c r="A1120" s="41"/>
      <c r="B1120" s="41"/>
      <c r="C1120" s="5" t="n">
        <f aca="false">IF(B1120="",0,IF(A1120="Bank",IFERROR(MATCH(B1120,Bank!$A:$A,0),0),IFERROR(MATCH(B1120,GL!$A:$A,0),0)))</f>
        <v>0</v>
      </c>
      <c r="D1120" s="32" t="str">
        <f aca="false">IF(C1120=0,"",IF($A1120="Bank",INDEX(Bank!$B:$B,$C1120),INDEX(GL!$B:$B,$C1120)))</f>
        <v/>
      </c>
      <c r="E1120" s="5" t="str">
        <f aca="false">IF(C1120=0,"",IF($A1120="Bank",IF(INDEX(Bank!$C:$C,$C1120)="","",INDEX(Bank!$C:$C,$C1120)),IF(INDEX(GL!$C:$C,$C1120)="","",INDEX(GL!$C:$C,$C1120))))</f>
        <v/>
      </c>
      <c r="F1120" s="5" t="str">
        <f aca="false">IF(C1120=0,"",IF($A1120="Bank",IF(INDEX(Bank!$D:$D,$C1120)="","",INDEX(Bank!$D:$D,$C1120)),IF(INDEX(GL!$D:$D,$C1120)="","",INDEX(GL!$D:$D,$C1120))))</f>
        <v/>
      </c>
      <c r="G1120" s="19" t="str">
        <f aca="false">IF(C1120=0,"",IF($A1120="Bank",INDEX(Bank!$E:$E,$C1120),INDEX(GL!$E:$E,$C1120)))</f>
        <v/>
      </c>
      <c r="H1120" s="5" t="str">
        <f aca="false">IF(C1120=0,"",IF(A1120="GL",IF(G1120&gt;0,"Deposit in transit","Outstanding check / payment"),IF(G1120&gt;0,"Bank credit not in GL","Bank debit not in GL")))</f>
        <v/>
      </c>
      <c r="I1120" s="42" t="str">
        <f aca="false">IF(OR(C1120=0,CFG_PeriodEnd=""),"",CFG_PeriodEnd-D1120)</f>
        <v/>
      </c>
      <c r="J1120" s="5" t="str">
        <f aca="false">IF(C1120=0,"",IF($A1120="Bank",IF(INDEX(Bank!$G:$G,$C1120)="","",INDEX(Bank!$G:$G,$C1120)),IF(INDEX(GL!$G:$G,$C1120)="","",INDEX(GL!$G:$G,$C1120))))</f>
        <v/>
      </c>
      <c r="K1120" s="5" t="str">
        <f aca="false">IF(C1120=0,"",IF($A1120="Bank",IF(INDEX(Bank!$I:$I,$C1120)="","",INDEX(Bank!$I:$I,$C1120)),IF(INDEX(GL!$I:$I,$C1120)="","",INDEX(GL!$I:$I,$C1120))))</f>
        <v/>
      </c>
      <c r="L1120" s="5" t="str">
        <f aca="false">IF(B1120="","",IF(C1120=0,"NOT FOUND",IF(IF($A1120="Bank",INDEX(Bank!$F:$F,$C1120),INDEX(GL!$F:$F,$C1120))="Y","NOW RECONCILED: refresh","OK")))</f>
        <v/>
      </c>
    </row>
    <row r="1121" customFormat="false" ht="15" hidden="false" customHeight="false" outlineLevel="0" collapsed="false">
      <c r="A1121" s="41"/>
      <c r="B1121" s="41"/>
      <c r="C1121" s="5" t="n">
        <f aca="false">IF(B1121="",0,IF(A1121="Bank",IFERROR(MATCH(B1121,Bank!$A:$A,0),0),IFERROR(MATCH(B1121,GL!$A:$A,0),0)))</f>
        <v>0</v>
      </c>
      <c r="D1121" s="32" t="str">
        <f aca="false">IF(C1121=0,"",IF($A1121="Bank",INDEX(Bank!$B:$B,$C1121),INDEX(GL!$B:$B,$C1121)))</f>
        <v/>
      </c>
      <c r="E1121" s="5" t="str">
        <f aca="false">IF(C1121=0,"",IF($A1121="Bank",IF(INDEX(Bank!$C:$C,$C1121)="","",INDEX(Bank!$C:$C,$C1121)),IF(INDEX(GL!$C:$C,$C1121)="","",INDEX(GL!$C:$C,$C1121))))</f>
        <v/>
      </c>
      <c r="F1121" s="5" t="str">
        <f aca="false">IF(C1121=0,"",IF($A1121="Bank",IF(INDEX(Bank!$D:$D,$C1121)="","",INDEX(Bank!$D:$D,$C1121)),IF(INDEX(GL!$D:$D,$C1121)="","",INDEX(GL!$D:$D,$C1121))))</f>
        <v/>
      </c>
      <c r="G1121" s="19" t="str">
        <f aca="false">IF(C1121=0,"",IF($A1121="Bank",INDEX(Bank!$E:$E,$C1121),INDEX(GL!$E:$E,$C1121)))</f>
        <v/>
      </c>
      <c r="H1121" s="5" t="str">
        <f aca="false">IF(C1121=0,"",IF(A1121="GL",IF(G1121&gt;0,"Deposit in transit","Outstanding check / payment"),IF(G1121&gt;0,"Bank credit not in GL","Bank debit not in GL")))</f>
        <v/>
      </c>
      <c r="I1121" s="42" t="str">
        <f aca="false">IF(OR(C1121=0,CFG_PeriodEnd=""),"",CFG_PeriodEnd-D1121)</f>
        <v/>
      </c>
      <c r="J1121" s="5" t="str">
        <f aca="false">IF(C1121=0,"",IF($A1121="Bank",IF(INDEX(Bank!$G:$G,$C1121)="","",INDEX(Bank!$G:$G,$C1121)),IF(INDEX(GL!$G:$G,$C1121)="","",INDEX(GL!$G:$G,$C1121))))</f>
        <v/>
      </c>
      <c r="K1121" s="5" t="str">
        <f aca="false">IF(C1121=0,"",IF($A1121="Bank",IF(INDEX(Bank!$I:$I,$C1121)="","",INDEX(Bank!$I:$I,$C1121)),IF(INDEX(GL!$I:$I,$C1121)="","",INDEX(GL!$I:$I,$C1121))))</f>
        <v/>
      </c>
      <c r="L1121" s="5" t="str">
        <f aca="false">IF(B1121="","",IF(C1121=0,"NOT FOUND",IF(IF($A1121="Bank",INDEX(Bank!$F:$F,$C1121),INDEX(GL!$F:$F,$C1121))="Y","NOW RECONCILED: refresh","OK")))</f>
        <v/>
      </c>
    </row>
    <row r="1122" customFormat="false" ht="15" hidden="false" customHeight="false" outlineLevel="0" collapsed="false">
      <c r="A1122" s="41"/>
      <c r="B1122" s="41"/>
      <c r="C1122" s="5" t="n">
        <f aca="false">IF(B1122="",0,IF(A1122="Bank",IFERROR(MATCH(B1122,Bank!$A:$A,0),0),IFERROR(MATCH(B1122,GL!$A:$A,0),0)))</f>
        <v>0</v>
      </c>
      <c r="D1122" s="32" t="str">
        <f aca="false">IF(C1122=0,"",IF($A1122="Bank",INDEX(Bank!$B:$B,$C1122),INDEX(GL!$B:$B,$C1122)))</f>
        <v/>
      </c>
      <c r="E1122" s="5" t="str">
        <f aca="false">IF(C1122=0,"",IF($A1122="Bank",IF(INDEX(Bank!$C:$C,$C1122)="","",INDEX(Bank!$C:$C,$C1122)),IF(INDEX(GL!$C:$C,$C1122)="","",INDEX(GL!$C:$C,$C1122))))</f>
        <v/>
      </c>
      <c r="F1122" s="5" t="str">
        <f aca="false">IF(C1122=0,"",IF($A1122="Bank",IF(INDEX(Bank!$D:$D,$C1122)="","",INDEX(Bank!$D:$D,$C1122)),IF(INDEX(GL!$D:$D,$C1122)="","",INDEX(GL!$D:$D,$C1122))))</f>
        <v/>
      </c>
      <c r="G1122" s="19" t="str">
        <f aca="false">IF(C1122=0,"",IF($A1122="Bank",INDEX(Bank!$E:$E,$C1122),INDEX(GL!$E:$E,$C1122)))</f>
        <v/>
      </c>
      <c r="H1122" s="5" t="str">
        <f aca="false">IF(C1122=0,"",IF(A1122="GL",IF(G1122&gt;0,"Deposit in transit","Outstanding check / payment"),IF(G1122&gt;0,"Bank credit not in GL","Bank debit not in GL")))</f>
        <v/>
      </c>
      <c r="I1122" s="42" t="str">
        <f aca="false">IF(OR(C1122=0,CFG_PeriodEnd=""),"",CFG_PeriodEnd-D1122)</f>
        <v/>
      </c>
      <c r="J1122" s="5" t="str">
        <f aca="false">IF(C1122=0,"",IF($A1122="Bank",IF(INDEX(Bank!$G:$G,$C1122)="","",INDEX(Bank!$G:$G,$C1122)),IF(INDEX(GL!$G:$G,$C1122)="","",INDEX(GL!$G:$G,$C1122))))</f>
        <v/>
      </c>
      <c r="K1122" s="5" t="str">
        <f aca="false">IF(C1122=0,"",IF($A1122="Bank",IF(INDEX(Bank!$I:$I,$C1122)="","",INDEX(Bank!$I:$I,$C1122)),IF(INDEX(GL!$I:$I,$C1122)="","",INDEX(GL!$I:$I,$C1122))))</f>
        <v/>
      </c>
      <c r="L1122" s="5" t="str">
        <f aca="false">IF(B1122="","",IF(C1122=0,"NOT FOUND",IF(IF($A1122="Bank",INDEX(Bank!$F:$F,$C1122),INDEX(GL!$F:$F,$C1122))="Y","NOW RECONCILED: refresh","OK")))</f>
        <v/>
      </c>
    </row>
    <row r="1123" customFormat="false" ht="15" hidden="false" customHeight="false" outlineLevel="0" collapsed="false">
      <c r="A1123" s="41"/>
      <c r="B1123" s="41"/>
      <c r="C1123" s="5" t="n">
        <f aca="false">IF(B1123="",0,IF(A1123="Bank",IFERROR(MATCH(B1123,Bank!$A:$A,0),0),IFERROR(MATCH(B1123,GL!$A:$A,0),0)))</f>
        <v>0</v>
      </c>
      <c r="D1123" s="32" t="str">
        <f aca="false">IF(C1123=0,"",IF($A1123="Bank",INDEX(Bank!$B:$B,$C1123),INDEX(GL!$B:$B,$C1123)))</f>
        <v/>
      </c>
      <c r="E1123" s="5" t="str">
        <f aca="false">IF(C1123=0,"",IF($A1123="Bank",IF(INDEX(Bank!$C:$C,$C1123)="","",INDEX(Bank!$C:$C,$C1123)),IF(INDEX(GL!$C:$C,$C1123)="","",INDEX(GL!$C:$C,$C1123))))</f>
        <v/>
      </c>
      <c r="F1123" s="5" t="str">
        <f aca="false">IF(C1123=0,"",IF($A1123="Bank",IF(INDEX(Bank!$D:$D,$C1123)="","",INDEX(Bank!$D:$D,$C1123)),IF(INDEX(GL!$D:$D,$C1123)="","",INDEX(GL!$D:$D,$C1123))))</f>
        <v/>
      </c>
      <c r="G1123" s="19" t="str">
        <f aca="false">IF(C1123=0,"",IF($A1123="Bank",INDEX(Bank!$E:$E,$C1123),INDEX(GL!$E:$E,$C1123)))</f>
        <v/>
      </c>
      <c r="H1123" s="5" t="str">
        <f aca="false">IF(C1123=0,"",IF(A1123="GL",IF(G1123&gt;0,"Deposit in transit","Outstanding check / payment"),IF(G1123&gt;0,"Bank credit not in GL","Bank debit not in GL")))</f>
        <v/>
      </c>
      <c r="I1123" s="42" t="str">
        <f aca="false">IF(OR(C1123=0,CFG_PeriodEnd=""),"",CFG_PeriodEnd-D1123)</f>
        <v/>
      </c>
      <c r="J1123" s="5" t="str">
        <f aca="false">IF(C1123=0,"",IF($A1123="Bank",IF(INDEX(Bank!$G:$G,$C1123)="","",INDEX(Bank!$G:$G,$C1123)),IF(INDEX(GL!$G:$G,$C1123)="","",INDEX(GL!$G:$G,$C1123))))</f>
        <v/>
      </c>
      <c r="K1123" s="5" t="str">
        <f aca="false">IF(C1123=0,"",IF($A1123="Bank",IF(INDEX(Bank!$I:$I,$C1123)="","",INDEX(Bank!$I:$I,$C1123)),IF(INDEX(GL!$I:$I,$C1123)="","",INDEX(GL!$I:$I,$C1123))))</f>
        <v/>
      </c>
      <c r="L1123" s="5" t="str">
        <f aca="false">IF(B1123="","",IF(C1123=0,"NOT FOUND",IF(IF($A1123="Bank",INDEX(Bank!$F:$F,$C1123),INDEX(GL!$F:$F,$C1123))="Y","NOW RECONCILED: refresh","OK")))</f>
        <v/>
      </c>
    </row>
    <row r="1124" customFormat="false" ht="15" hidden="false" customHeight="false" outlineLevel="0" collapsed="false">
      <c r="A1124" s="41"/>
      <c r="B1124" s="41"/>
      <c r="C1124" s="5" t="n">
        <f aca="false">IF(B1124="",0,IF(A1124="Bank",IFERROR(MATCH(B1124,Bank!$A:$A,0),0),IFERROR(MATCH(B1124,GL!$A:$A,0),0)))</f>
        <v>0</v>
      </c>
      <c r="D1124" s="32" t="str">
        <f aca="false">IF(C1124=0,"",IF($A1124="Bank",INDEX(Bank!$B:$B,$C1124),INDEX(GL!$B:$B,$C1124)))</f>
        <v/>
      </c>
      <c r="E1124" s="5" t="str">
        <f aca="false">IF(C1124=0,"",IF($A1124="Bank",IF(INDEX(Bank!$C:$C,$C1124)="","",INDEX(Bank!$C:$C,$C1124)),IF(INDEX(GL!$C:$C,$C1124)="","",INDEX(GL!$C:$C,$C1124))))</f>
        <v/>
      </c>
      <c r="F1124" s="5" t="str">
        <f aca="false">IF(C1124=0,"",IF($A1124="Bank",IF(INDEX(Bank!$D:$D,$C1124)="","",INDEX(Bank!$D:$D,$C1124)),IF(INDEX(GL!$D:$D,$C1124)="","",INDEX(GL!$D:$D,$C1124))))</f>
        <v/>
      </c>
      <c r="G1124" s="19" t="str">
        <f aca="false">IF(C1124=0,"",IF($A1124="Bank",INDEX(Bank!$E:$E,$C1124),INDEX(GL!$E:$E,$C1124)))</f>
        <v/>
      </c>
      <c r="H1124" s="5" t="str">
        <f aca="false">IF(C1124=0,"",IF(A1124="GL",IF(G1124&gt;0,"Deposit in transit","Outstanding check / payment"),IF(G1124&gt;0,"Bank credit not in GL","Bank debit not in GL")))</f>
        <v/>
      </c>
      <c r="I1124" s="42" t="str">
        <f aca="false">IF(OR(C1124=0,CFG_PeriodEnd=""),"",CFG_PeriodEnd-D1124)</f>
        <v/>
      </c>
      <c r="J1124" s="5" t="str">
        <f aca="false">IF(C1124=0,"",IF($A1124="Bank",IF(INDEX(Bank!$G:$G,$C1124)="","",INDEX(Bank!$G:$G,$C1124)),IF(INDEX(GL!$G:$G,$C1124)="","",INDEX(GL!$G:$G,$C1124))))</f>
        <v/>
      </c>
      <c r="K1124" s="5" t="str">
        <f aca="false">IF(C1124=0,"",IF($A1124="Bank",IF(INDEX(Bank!$I:$I,$C1124)="","",INDEX(Bank!$I:$I,$C1124)),IF(INDEX(GL!$I:$I,$C1124)="","",INDEX(GL!$I:$I,$C1124))))</f>
        <v/>
      </c>
      <c r="L1124" s="5" t="str">
        <f aca="false">IF(B1124="","",IF(C1124=0,"NOT FOUND",IF(IF($A1124="Bank",INDEX(Bank!$F:$F,$C1124),INDEX(GL!$F:$F,$C1124))="Y","NOW RECONCILED: refresh","OK")))</f>
        <v/>
      </c>
    </row>
    <row r="1125" customFormat="false" ht="15" hidden="false" customHeight="false" outlineLevel="0" collapsed="false">
      <c r="A1125" s="41"/>
      <c r="B1125" s="41"/>
      <c r="C1125" s="5" t="n">
        <f aca="false">IF(B1125="",0,IF(A1125="Bank",IFERROR(MATCH(B1125,Bank!$A:$A,0),0),IFERROR(MATCH(B1125,GL!$A:$A,0),0)))</f>
        <v>0</v>
      </c>
      <c r="D1125" s="32" t="str">
        <f aca="false">IF(C1125=0,"",IF($A1125="Bank",INDEX(Bank!$B:$B,$C1125),INDEX(GL!$B:$B,$C1125)))</f>
        <v/>
      </c>
      <c r="E1125" s="5" t="str">
        <f aca="false">IF(C1125=0,"",IF($A1125="Bank",IF(INDEX(Bank!$C:$C,$C1125)="","",INDEX(Bank!$C:$C,$C1125)),IF(INDEX(GL!$C:$C,$C1125)="","",INDEX(GL!$C:$C,$C1125))))</f>
        <v/>
      </c>
      <c r="F1125" s="5" t="str">
        <f aca="false">IF(C1125=0,"",IF($A1125="Bank",IF(INDEX(Bank!$D:$D,$C1125)="","",INDEX(Bank!$D:$D,$C1125)),IF(INDEX(GL!$D:$D,$C1125)="","",INDEX(GL!$D:$D,$C1125))))</f>
        <v/>
      </c>
      <c r="G1125" s="19" t="str">
        <f aca="false">IF(C1125=0,"",IF($A1125="Bank",INDEX(Bank!$E:$E,$C1125),INDEX(GL!$E:$E,$C1125)))</f>
        <v/>
      </c>
      <c r="H1125" s="5" t="str">
        <f aca="false">IF(C1125=0,"",IF(A1125="GL",IF(G1125&gt;0,"Deposit in transit","Outstanding check / payment"),IF(G1125&gt;0,"Bank credit not in GL","Bank debit not in GL")))</f>
        <v/>
      </c>
      <c r="I1125" s="42" t="str">
        <f aca="false">IF(OR(C1125=0,CFG_PeriodEnd=""),"",CFG_PeriodEnd-D1125)</f>
        <v/>
      </c>
      <c r="J1125" s="5" t="str">
        <f aca="false">IF(C1125=0,"",IF($A1125="Bank",IF(INDEX(Bank!$G:$G,$C1125)="","",INDEX(Bank!$G:$G,$C1125)),IF(INDEX(GL!$G:$G,$C1125)="","",INDEX(GL!$G:$G,$C1125))))</f>
        <v/>
      </c>
      <c r="K1125" s="5" t="str">
        <f aca="false">IF(C1125=0,"",IF($A1125="Bank",IF(INDEX(Bank!$I:$I,$C1125)="","",INDEX(Bank!$I:$I,$C1125)),IF(INDEX(GL!$I:$I,$C1125)="","",INDEX(GL!$I:$I,$C1125))))</f>
        <v/>
      </c>
      <c r="L1125" s="5" t="str">
        <f aca="false">IF(B1125="","",IF(C1125=0,"NOT FOUND",IF(IF($A1125="Bank",INDEX(Bank!$F:$F,$C1125),INDEX(GL!$F:$F,$C1125))="Y","NOW RECONCILED: refresh","OK")))</f>
        <v/>
      </c>
    </row>
    <row r="1126" customFormat="false" ht="15" hidden="false" customHeight="false" outlineLevel="0" collapsed="false">
      <c r="A1126" s="41"/>
      <c r="B1126" s="41"/>
      <c r="C1126" s="5" t="n">
        <f aca="false">IF(B1126="",0,IF(A1126="Bank",IFERROR(MATCH(B1126,Bank!$A:$A,0),0),IFERROR(MATCH(B1126,GL!$A:$A,0),0)))</f>
        <v>0</v>
      </c>
      <c r="D1126" s="32" t="str">
        <f aca="false">IF(C1126=0,"",IF($A1126="Bank",INDEX(Bank!$B:$B,$C1126),INDEX(GL!$B:$B,$C1126)))</f>
        <v/>
      </c>
      <c r="E1126" s="5" t="str">
        <f aca="false">IF(C1126=0,"",IF($A1126="Bank",IF(INDEX(Bank!$C:$C,$C1126)="","",INDEX(Bank!$C:$C,$C1126)),IF(INDEX(GL!$C:$C,$C1126)="","",INDEX(GL!$C:$C,$C1126))))</f>
        <v/>
      </c>
      <c r="F1126" s="5" t="str">
        <f aca="false">IF(C1126=0,"",IF($A1126="Bank",IF(INDEX(Bank!$D:$D,$C1126)="","",INDEX(Bank!$D:$D,$C1126)),IF(INDEX(GL!$D:$D,$C1126)="","",INDEX(GL!$D:$D,$C1126))))</f>
        <v/>
      </c>
      <c r="G1126" s="19" t="str">
        <f aca="false">IF(C1126=0,"",IF($A1126="Bank",INDEX(Bank!$E:$E,$C1126),INDEX(GL!$E:$E,$C1126)))</f>
        <v/>
      </c>
      <c r="H1126" s="5" t="str">
        <f aca="false">IF(C1126=0,"",IF(A1126="GL",IF(G1126&gt;0,"Deposit in transit","Outstanding check / payment"),IF(G1126&gt;0,"Bank credit not in GL","Bank debit not in GL")))</f>
        <v/>
      </c>
      <c r="I1126" s="42" t="str">
        <f aca="false">IF(OR(C1126=0,CFG_PeriodEnd=""),"",CFG_PeriodEnd-D1126)</f>
        <v/>
      </c>
      <c r="J1126" s="5" t="str">
        <f aca="false">IF(C1126=0,"",IF($A1126="Bank",IF(INDEX(Bank!$G:$G,$C1126)="","",INDEX(Bank!$G:$G,$C1126)),IF(INDEX(GL!$G:$G,$C1126)="","",INDEX(GL!$G:$G,$C1126))))</f>
        <v/>
      </c>
      <c r="K1126" s="5" t="str">
        <f aca="false">IF(C1126=0,"",IF($A1126="Bank",IF(INDEX(Bank!$I:$I,$C1126)="","",INDEX(Bank!$I:$I,$C1126)),IF(INDEX(GL!$I:$I,$C1126)="","",INDEX(GL!$I:$I,$C1126))))</f>
        <v/>
      </c>
      <c r="L1126" s="5" t="str">
        <f aca="false">IF(B1126="","",IF(C1126=0,"NOT FOUND",IF(IF($A1126="Bank",INDEX(Bank!$F:$F,$C1126),INDEX(GL!$F:$F,$C1126))="Y","NOW RECONCILED: refresh","OK")))</f>
        <v/>
      </c>
    </row>
    <row r="1127" customFormat="false" ht="15" hidden="false" customHeight="false" outlineLevel="0" collapsed="false">
      <c r="A1127" s="41"/>
      <c r="B1127" s="41"/>
      <c r="C1127" s="5" t="n">
        <f aca="false">IF(B1127="",0,IF(A1127="Bank",IFERROR(MATCH(B1127,Bank!$A:$A,0),0),IFERROR(MATCH(B1127,GL!$A:$A,0),0)))</f>
        <v>0</v>
      </c>
      <c r="D1127" s="32" t="str">
        <f aca="false">IF(C1127=0,"",IF($A1127="Bank",INDEX(Bank!$B:$B,$C1127),INDEX(GL!$B:$B,$C1127)))</f>
        <v/>
      </c>
      <c r="E1127" s="5" t="str">
        <f aca="false">IF(C1127=0,"",IF($A1127="Bank",IF(INDEX(Bank!$C:$C,$C1127)="","",INDEX(Bank!$C:$C,$C1127)),IF(INDEX(GL!$C:$C,$C1127)="","",INDEX(GL!$C:$C,$C1127))))</f>
        <v/>
      </c>
      <c r="F1127" s="5" t="str">
        <f aca="false">IF(C1127=0,"",IF($A1127="Bank",IF(INDEX(Bank!$D:$D,$C1127)="","",INDEX(Bank!$D:$D,$C1127)),IF(INDEX(GL!$D:$D,$C1127)="","",INDEX(GL!$D:$D,$C1127))))</f>
        <v/>
      </c>
      <c r="G1127" s="19" t="str">
        <f aca="false">IF(C1127=0,"",IF($A1127="Bank",INDEX(Bank!$E:$E,$C1127),INDEX(GL!$E:$E,$C1127)))</f>
        <v/>
      </c>
      <c r="H1127" s="5" t="str">
        <f aca="false">IF(C1127=0,"",IF(A1127="GL",IF(G1127&gt;0,"Deposit in transit","Outstanding check / payment"),IF(G1127&gt;0,"Bank credit not in GL","Bank debit not in GL")))</f>
        <v/>
      </c>
      <c r="I1127" s="42" t="str">
        <f aca="false">IF(OR(C1127=0,CFG_PeriodEnd=""),"",CFG_PeriodEnd-D1127)</f>
        <v/>
      </c>
      <c r="J1127" s="5" t="str">
        <f aca="false">IF(C1127=0,"",IF($A1127="Bank",IF(INDEX(Bank!$G:$G,$C1127)="","",INDEX(Bank!$G:$G,$C1127)),IF(INDEX(GL!$G:$G,$C1127)="","",INDEX(GL!$G:$G,$C1127))))</f>
        <v/>
      </c>
      <c r="K1127" s="5" t="str">
        <f aca="false">IF(C1127=0,"",IF($A1127="Bank",IF(INDEX(Bank!$I:$I,$C1127)="","",INDEX(Bank!$I:$I,$C1127)),IF(INDEX(GL!$I:$I,$C1127)="","",INDEX(GL!$I:$I,$C1127))))</f>
        <v/>
      </c>
      <c r="L1127" s="5" t="str">
        <f aca="false">IF(B1127="","",IF(C1127=0,"NOT FOUND",IF(IF($A1127="Bank",INDEX(Bank!$F:$F,$C1127),INDEX(GL!$F:$F,$C1127))="Y","NOW RECONCILED: refresh","OK")))</f>
        <v/>
      </c>
    </row>
    <row r="1128" customFormat="false" ht="15" hidden="false" customHeight="false" outlineLevel="0" collapsed="false">
      <c r="A1128" s="41"/>
      <c r="B1128" s="41"/>
      <c r="C1128" s="5" t="n">
        <f aca="false">IF(B1128="",0,IF(A1128="Bank",IFERROR(MATCH(B1128,Bank!$A:$A,0),0),IFERROR(MATCH(B1128,GL!$A:$A,0),0)))</f>
        <v>0</v>
      </c>
      <c r="D1128" s="32" t="str">
        <f aca="false">IF(C1128=0,"",IF($A1128="Bank",INDEX(Bank!$B:$B,$C1128),INDEX(GL!$B:$B,$C1128)))</f>
        <v/>
      </c>
      <c r="E1128" s="5" t="str">
        <f aca="false">IF(C1128=0,"",IF($A1128="Bank",IF(INDEX(Bank!$C:$C,$C1128)="","",INDEX(Bank!$C:$C,$C1128)),IF(INDEX(GL!$C:$C,$C1128)="","",INDEX(GL!$C:$C,$C1128))))</f>
        <v/>
      </c>
      <c r="F1128" s="5" t="str">
        <f aca="false">IF(C1128=0,"",IF($A1128="Bank",IF(INDEX(Bank!$D:$D,$C1128)="","",INDEX(Bank!$D:$D,$C1128)),IF(INDEX(GL!$D:$D,$C1128)="","",INDEX(GL!$D:$D,$C1128))))</f>
        <v/>
      </c>
      <c r="G1128" s="19" t="str">
        <f aca="false">IF(C1128=0,"",IF($A1128="Bank",INDEX(Bank!$E:$E,$C1128),INDEX(GL!$E:$E,$C1128)))</f>
        <v/>
      </c>
      <c r="H1128" s="5" t="str">
        <f aca="false">IF(C1128=0,"",IF(A1128="GL",IF(G1128&gt;0,"Deposit in transit","Outstanding check / payment"),IF(G1128&gt;0,"Bank credit not in GL","Bank debit not in GL")))</f>
        <v/>
      </c>
      <c r="I1128" s="42" t="str">
        <f aca="false">IF(OR(C1128=0,CFG_PeriodEnd=""),"",CFG_PeriodEnd-D1128)</f>
        <v/>
      </c>
      <c r="J1128" s="5" t="str">
        <f aca="false">IF(C1128=0,"",IF($A1128="Bank",IF(INDEX(Bank!$G:$G,$C1128)="","",INDEX(Bank!$G:$G,$C1128)),IF(INDEX(GL!$G:$G,$C1128)="","",INDEX(GL!$G:$G,$C1128))))</f>
        <v/>
      </c>
      <c r="K1128" s="5" t="str">
        <f aca="false">IF(C1128=0,"",IF($A1128="Bank",IF(INDEX(Bank!$I:$I,$C1128)="","",INDEX(Bank!$I:$I,$C1128)),IF(INDEX(GL!$I:$I,$C1128)="","",INDEX(GL!$I:$I,$C1128))))</f>
        <v/>
      </c>
      <c r="L1128" s="5" t="str">
        <f aca="false">IF(B1128="","",IF(C1128=0,"NOT FOUND",IF(IF($A1128="Bank",INDEX(Bank!$F:$F,$C1128),INDEX(GL!$F:$F,$C1128))="Y","NOW RECONCILED: refresh","OK")))</f>
        <v/>
      </c>
    </row>
    <row r="1129" customFormat="false" ht="15" hidden="false" customHeight="false" outlineLevel="0" collapsed="false">
      <c r="A1129" s="41"/>
      <c r="B1129" s="41"/>
      <c r="C1129" s="5" t="n">
        <f aca="false">IF(B1129="",0,IF(A1129="Bank",IFERROR(MATCH(B1129,Bank!$A:$A,0),0),IFERROR(MATCH(B1129,GL!$A:$A,0),0)))</f>
        <v>0</v>
      </c>
      <c r="D1129" s="32" t="str">
        <f aca="false">IF(C1129=0,"",IF($A1129="Bank",INDEX(Bank!$B:$B,$C1129),INDEX(GL!$B:$B,$C1129)))</f>
        <v/>
      </c>
      <c r="E1129" s="5" t="str">
        <f aca="false">IF(C1129=0,"",IF($A1129="Bank",IF(INDEX(Bank!$C:$C,$C1129)="","",INDEX(Bank!$C:$C,$C1129)),IF(INDEX(GL!$C:$C,$C1129)="","",INDEX(GL!$C:$C,$C1129))))</f>
        <v/>
      </c>
      <c r="F1129" s="5" t="str">
        <f aca="false">IF(C1129=0,"",IF($A1129="Bank",IF(INDEX(Bank!$D:$D,$C1129)="","",INDEX(Bank!$D:$D,$C1129)),IF(INDEX(GL!$D:$D,$C1129)="","",INDEX(GL!$D:$D,$C1129))))</f>
        <v/>
      </c>
      <c r="G1129" s="19" t="str">
        <f aca="false">IF(C1129=0,"",IF($A1129="Bank",INDEX(Bank!$E:$E,$C1129),INDEX(GL!$E:$E,$C1129)))</f>
        <v/>
      </c>
      <c r="H1129" s="5" t="str">
        <f aca="false">IF(C1129=0,"",IF(A1129="GL",IF(G1129&gt;0,"Deposit in transit","Outstanding check / payment"),IF(G1129&gt;0,"Bank credit not in GL","Bank debit not in GL")))</f>
        <v/>
      </c>
      <c r="I1129" s="42" t="str">
        <f aca="false">IF(OR(C1129=0,CFG_PeriodEnd=""),"",CFG_PeriodEnd-D1129)</f>
        <v/>
      </c>
      <c r="J1129" s="5" t="str">
        <f aca="false">IF(C1129=0,"",IF($A1129="Bank",IF(INDEX(Bank!$G:$G,$C1129)="","",INDEX(Bank!$G:$G,$C1129)),IF(INDEX(GL!$G:$G,$C1129)="","",INDEX(GL!$G:$G,$C1129))))</f>
        <v/>
      </c>
      <c r="K1129" s="5" t="str">
        <f aca="false">IF(C1129=0,"",IF($A1129="Bank",IF(INDEX(Bank!$I:$I,$C1129)="","",INDEX(Bank!$I:$I,$C1129)),IF(INDEX(GL!$I:$I,$C1129)="","",INDEX(GL!$I:$I,$C1129))))</f>
        <v/>
      </c>
      <c r="L1129" s="5" t="str">
        <f aca="false">IF(B1129="","",IF(C1129=0,"NOT FOUND",IF(IF($A1129="Bank",INDEX(Bank!$F:$F,$C1129),INDEX(GL!$F:$F,$C1129))="Y","NOW RECONCILED: refresh","OK")))</f>
        <v/>
      </c>
    </row>
    <row r="1130" customFormat="false" ht="15" hidden="false" customHeight="false" outlineLevel="0" collapsed="false">
      <c r="A1130" s="41"/>
      <c r="B1130" s="41"/>
      <c r="C1130" s="5" t="n">
        <f aca="false">IF(B1130="",0,IF(A1130="Bank",IFERROR(MATCH(B1130,Bank!$A:$A,0),0),IFERROR(MATCH(B1130,GL!$A:$A,0),0)))</f>
        <v>0</v>
      </c>
      <c r="D1130" s="32" t="str">
        <f aca="false">IF(C1130=0,"",IF($A1130="Bank",INDEX(Bank!$B:$B,$C1130),INDEX(GL!$B:$B,$C1130)))</f>
        <v/>
      </c>
      <c r="E1130" s="5" t="str">
        <f aca="false">IF(C1130=0,"",IF($A1130="Bank",IF(INDEX(Bank!$C:$C,$C1130)="","",INDEX(Bank!$C:$C,$C1130)),IF(INDEX(GL!$C:$C,$C1130)="","",INDEX(GL!$C:$C,$C1130))))</f>
        <v/>
      </c>
      <c r="F1130" s="5" t="str">
        <f aca="false">IF(C1130=0,"",IF($A1130="Bank",IF(INDEX(Bank!$D:$D,$C1130)="","",INDEX(Bank!$D:$D,$C1130)),IF(INDEX(GL!$D:$D,$C1130)="","",INDEX(GL!$D:$D,$C1130))))</f>
        <v/>
      </c>
      <c r="G1130" s="19" t="str">
        <f aca="false">IF(C1130=0,"",IF($A1130="Bank",INDEX(Bank!$E:$E,$C1130),INDEX(GL!$E:$E,$C1130)))</f>
        <v/>
      </c>
      <c r="H1130" s="5" t="str">
        <f aca="false">IF(C1130=0,"",IF(A1130="GL",IF(G1130&gt;0,"Deposit in transit","Outstanding check / payment"),IF(G1130&gt;0,"Bank credit not in GL","Bank debit not in GL")))</f>
        <v/>
      </c>
      <c r="I1130" s="42" t="str">
        <f aca="false">IF(OR(C1130=0,CFG_PeriodEnd=""),"",CFG_PeriodEnd-D1130)</f>
        <v/>
      </c>
      <c r="J1130" s="5" t="str">
        <f aca="false">IF(C1130=0,"",IF($A1130="Bank",IF(INDEX(Bank!$G:$G,$C1130)="","",INDEX(Bank!$G:$G,$C1130)),IF(INDEX(GL!$G:$G,$C1130)="","",INDEX(GL!$G:$G,$C1130))))</f>
        <v/>
      </c>
      <c r="K1130" s="5" t="str">
        <f aca="false">IF(C1130=0,"",IF($A1130="Bank",IF(INDEX(Bank!$I:$I,$C1130)="","",INDEX(Bank!$I:$I,$C1130)),IF(INDEX(GL!$I:$I,$C1130)="","",INDEX(GL!$I:$I,$C1130))))</f>
        <v/>
      </c>
      <c r="L1130" s="5" t="str">
        <f aca="false">IF(B1130="","",IF(C1130=0,"NOT FOUND",IF(IF($A1130="Bank",INDEX(Bank!$F:$F,$C1130),INDEX(GL!$F:$F,$C1130))="Y","NOW RECONCILED: refresh","OK")))</f>
        <v/>
      </c>
    </row>
    <row r="1131" customFormat="false" ht="15" hidden="false" customHeight="false" outlineLevel="0" collapsed="false">
      <c r="A1131" s="41"/>
      <c r="B1131" s="41"/>
      <c r="C1131" s="5" t="n">
        <f aca="false">IF(B1131="",0,IF(A1131="Bank",IFERROR(MATCH(B1131,Bank!$A:$A,0),0),IFERROR(MATCH(B1131,GL!$A:$A,0),0)))</f>
        <v>0</v>
      </c>
      <c r="D1131" s="32" t="str">
        <f aca="false">IF(C1131=0,"",IF($A1131="Bank",INDEX(Bank!$B:$B,$C1131),INDEX(GL!$B:$B,$C1131)))</f>
        <v/>
      </c>
      <c r="E1131" s="5" t="str">
        <f aca="false">IF(C1131=0,"",IF($A1131="Bank",IF(INDEX(Bank!$C:$C,$C1131)="","",INDEX(Bank!$C:$C,$C1131)),IF(INDEX(GL!$C:$C,$C1131)="","",INDEX(GL!$C:$C,$C1131))))</f>
        <v/>
      </c>
      <c r="F1131" s="5" t="str">
        <f aca="false">IF(C1131=0,"",IF($A1131="Bank",IF(INDEX(Bank!$D:$D,$C1131)="","",INDEX(Bank!$D:$D,$C1131)),IF(INDEX(GL!$D:$D,$C1131)="","",INDEX(GL!$D:$D,$C1131))))</f>
        <v/>
      </c>
      <c r="G1131" s="19" t="str">
        <f aca="false">IF(C1131=0,"",IF($A1131="Bank",INDEX(Bank!$E:$E,$C1131),INDEX(GL!$E:$E,$C1131)))</f>
        <v/>
      </c>
      <c r="H1131" s="5" t="str">
        <f aca="false">IF(C1131=0,"",IF(A1131="GL",IF(G1131&gt;0,"Deposit in transit","Outstanding check / payment"),IF(G1131&gt;0,"Bank credit not in GL","Bank debit not in GL")))</f>
        <v/>
      </c>
      <c r="I1131" s="42" t="str">
        <f aca="false">IF(OR(C1131=0,CFG_PeriodEnd=""),"",CFG_PeriodEnd-D1131)</f>
        <v/>
      </c>
      <c r="J1131" s="5" t="str">
        <f aca="false">IF(C1131=0,"",IF($A1131="Bank",IF(INDEX(Bank!$G:$G,$C1131)="","",INDEX(Bank!$G:$G,$C1131)),IF(INDEX(GL!$G:$G,$C1131)="","",INDEX(GL!$G:$G,$C1131))))</f>
        <v/>
      </c>
      <c r="K1131" s="5" t="str">
        <f aca="false">IF(C1131=0,"",IF($A1131="Bank",IF(INDEX(Bank!$I:$I,$C1131)="","",INDEX(Bank!$I:$I,$C1131)),IF(INDEX(GL!$I:$I,$C1131)="","",INDEX(GL!$I:$I,$C1131))))</f>
        <v/>
      </c>
      <c r="L1131" s="5" t="str">
        <f aca="false">IF(B1131="","",IF(C1131=0,"NOT FOUND",IF(IF($A1131="Bank",INDEX(Bank!$F:$F,$C1131),INDEX(GL!$F:$F,$C1131))="Y","NOW RECONCILED: refresh","OK")))</f>
        <v/>
      </c>
    </row>
    <row r="1132" customFormat="false" ht="15" hidden="false" customHeight="false" outlineLevel="0" collapsed="false">
      <c r="A1132" s="41"/>
      <c r="B1132" s="41"/>
      <c r="C1132" s="5" t="n">
        <f aca="false">IF(B1132="",0,IF(A1132="Bank",IFERROR(MATCH(B1132,Bank!$A:$A,0),0),IFERROR(MATCH(B1132,GL!$A:$A,0),0)))</f>
        <v>0</v>
      </c>
      <c r="D1132" s="32" t="str">
        <f aca="false">IF(C1132=0,"",IF($A1132="Bank",INDEX(Bank!$B:$B,$C1132),INDEX(GL!$B:$B,$C1132)))</f>
        <v/>
      </c>
      <c r="E1132" s="5" t="str">
        <f aca="false">IF(C1132=0,"",IF($A1132="Bank",IF(INDEX(Bank!$C:$C,$C1132)="","",INDEX(Bank!$C:$C,$C1132)),IF(INDEX(GL!$C:$C,$C1132)="","",INDEX(GL!$C:$C,$C1132))))</f>
        <v/>
      </c>
      <c r="F1132" s="5" t="str">
        <f aca="false">IF(C1132=0,"",IF($A1132="Bank",IF(INDEX(Bank!$D:$D,$C1132)="","",INDEX(Bank!$D:$D,$C1132)),IF(INDEX(GL!$D:$D,$C1132)="","",INDEX(GL!$D:$D,$C1132))))</f>
        <v/>
      </c>
      <c r="G1132" s="19" t="str">
        <f aca="false">IF(C1132=0,"",IF($A1132="Bank",INDEX(Bank!$E:$E,$C1132),INDEX(GL!$E:$E,$C1132)))</f>
        <v/>
      </c>
      <c r="H1132" s="5" t="str">
        <f aca="false">IF(C1132=0,"",IF(A1132="GL",IF(G1132&gt;0,"Deposit in transit","Outstanding check / payment"),IF(G1132&gt;0,"Bank credit not in GL","Bank debit not in GL")))</f>
        <v/>
      </c>
      <c r="I1132" s="42" t="str">
        <f aca="false">IF(OR(C1132=0,CFG_PeriodEnd=""),"",CFG_PeriodEnd-D1132)</f>
        <v/>
      </c>
      <c r="J1132" s="5" t="str">
        <f aca="false">IF(C1132=0,"",IF($A1132="Bank",IF(INDEX(Bank!$G:$G,$C1132)="","",INDEX(Bank!$G:$G,$C1132)),IF(INDEX(GL!$G:$G,$C1132)="","",INDEX(GL!$G:$G,$C1132))))</f>
        <v/>
      </c>
      <c r="K1132" s="5" t="str">
        <f aca="false">IF(C1132=0,"",IF($A1132="Bank",IF(INDEX(Bank!$I:$I,$C1132)="","",INDEX(Bank!$I:$I,$C1132)),IF(INDEX(GL!$I:$I,$C1132)="","",INDEX(GL!$I:$I,$C1132))))</f>
        <v/>
      </c>
      <c r="L1132" s="5" t="str">
        <f aca="false">IF(B1132="","",IF(C1132=0,"NOT FOUND",IF(IF($A1132="Bank",INDEX(Bank!$F:$F,$C1132),INDEX(GL!$F:$F,$C1132))="Y","NOW RECONCILED: refresh","OK")))</f>
        <v/>
      </c>
    </row>
    <row r="1133" customFormat="false" ht="15" hidden="false" customHeight="false" outlineLevel="0" collapsed="false">
      <c r="A1133" s="41"/>
      <c r="B1133" s="41"/>
      <c r="C1133" s="5" t="n">
        <f aca="false">IF(B1133="",0,IF(A1133="Bank",IFERROR(MATCH(B1133,Bank!$A:$A,0),0),IFERROR(MATCH(B1133,GL!$A:$A,0),0)))</f>
        <v>0</v>
      </c>
      <c r="D1133" s="32" t="str">
        <f aca="false">IF(C1133=0,"",IF($A1133="Bank",INDEX(Bank!$B:$B,$C1133),INDEX(GL!$B:$B,$C1133)))</f>
        <v/>
      </c>
      <c r="E1133" s="5" t="str">
        <f aca="false">IF(C1133=0,"",IF($A1133="Bank",IF(INDEX(Bank!$C:$C,$C1133)="","",INDEX(Bank!$C:$C,$C1133)),IF(INDEX(GL!$C:$C,$C1133)="","",INDEX(GL!$C:$C,$C1133))))</f>
        <v/>
      </c>
      <c r="F1133" s="5" t="str">
        <f aca="false">IF(C1133=0,"",IF($A1133="Bank",IF(INDEX(Bank!$D:$D,$C1133)="","",INDEX(Bank!$D:$D,$C1133)),IF(INDEX(GL!$D:$D,$C1133)="","",INDEX(GL!$D:$D,$C1133))))</f>
        <v/>
      </c>
      <c r="G1133" s="19" t="str">
        <f aca="false">IF(C1133=0,"",IF($A1133="Bank",INDEX(Bank!$E:$E,$C1133),INDEX(GL!$E:$E,$C1133)))</f>
        <v/>
      </c>
      <c r="H1133" s="5" t="str">
        <f aca="false">IF(C1133=0,"",IF(A1133="GL",IF(G1133&gt;0,"Deposit in transit","Outstanding check / payment"),IF(G1133&gt;0,"Bank credit not in GL","Bank debit not in GL")))</f>
        <v/>
      </c>
      <c r="I1133" s="42" t="str">
        <f aca="false">IF(OR(C1133=0,CFG_PeriodEnd=""),"",CFG_PeriodEnd-D1133)</f>
        <v/>
      </c>
      <c r="J1133" s="5" t="str">
        <f aca="false">IF(C1133=0,"",IF($A1133="Bank",IF(INDEX(Bank!$G:$G,$C1133)="","",INDEX(Bank!$G:$G,$C1133)),IF(INDEX(GL!$G:$G,$C1133)="","",INDEX(GL!$G:$G,$C1133))))</f>
        <v/>
      </c>
      <c r="K1133" s="5" t="str">
        <f aca="false">IF(C1133=0,"",IF($A1133="Bank",IF(INDEX(Bank!$I:$I,$C1133)="","",INDEX(Bank!$I:$I,$C1133)),IF(INDEX(GL!$I:$I,$C1133)="","",INDEX(GL!$I:$I,$C1133))))</f>
        <v/>
      </c>
      <c r="L1133" s="5" t="str">
        <f aca="false">IF(B1133="","",IF(C1133=0,"NOT FOUND",IF(IF($A1133="Bank",INDEX(Bank!$F:$F,$C1133),INDEX(GL!$F:$F,$C1133))="Y","NOW RECONCILED: refresh","OK")))</f>
        <v/>
      </c>
    </row>
    <row r="1134" customFormat="false" ht="15" hidden="false" customHeight="false" outlineLevel="0" collapsed="false">
      <c r="A1134" s="41"/>
      <c r="B1134" s="41"/>
      <c r="C1134" s="5" t="n">
        <f aca="false">IF(B1134="",0,IF(A1134="Bank",IFERROR(MATCH(B1134,Bank!$A:$A,0),0),IFERROR(MATCH(B1134,GL!$A:$A,0),0)))</f>
        <v>0</v>
      </c>
      <c r="D1134" s="32" t="str">
        <f aca="false">IF(C1134=0,"",IF($A1134="Bank",INDEX(Bank!$B:$B,$C1134),INDEX(GL!$B:$B,$C1134)))</f>
        <v/>
      </c>
      <c r="E1134" s="5" t="str">
        <f aca="false">IF(C1134=0,"",IF($A1134="Bank",IF(INDEX(Bank!$C:$C,$C1134)="","",INDEX(Bank!$C:$C,$C1134)),IF(INDEX(GL!$C:$C,$C1134)="","",INDEX(GL!$C:$C,$C1134))))</f>
        <v/>
      </c>
      <c r="F1134" s="5" t="str">
        <f aca="false">IF(C1134=0,"",IF($A1134="Bank",IF(INDEX(Bank!$D:$D,$C1134)="","",INDEX(Bank!$D:$D,$C1134)),IF(INDEX(GL!$D:$D,$C1134)="","",INDEX(GL!$D:$D,$C1134))))</f>
        <v/>
      </c>
      <c r="G1134" s="19" t="str">
        <f aca="false">IF(C1134=0,"",IF($A1134="Bank",INDEX(Bank!$E:$E,$C1134),INDEX(GL!$E:$E,$C1134)))</f>
        <v/>
      </c>
      <c r="H1134" s="5" t="str">
        <f aca="false">IF(C1134=0,"",IF(A1134="GL",IF(G1134&gt;0,"Deposit in transit","Outstanding check / payment"),IF(G1134&gt;0,"Bank credit not in GL","Bank debit not in GL")))</f>
        <v/>
      </c>
      <c r="I1134" s="42" t="str">
        <f aca="false">IF(OR(C1134=0,CFG_PeriodEnd=""),"",CFG_PeriodEnd-D1134)</f>
        <v/>
      </c>
      <c r="J1134" s="5" t="str">
        <f aca="false">IF(C1134=0,"",IF($A1134="Bank",IF(INDEX(Bank!$G:$G,$C1134)="","",INDEX(Bank!$G:$G,$C1134)),IF(INDEX(GL!$G:$G,$C1134)="","",INDEX(GL!$G:$G,$C1134))))</f>
        <v/>
      </c>
      <c r="K1134" s="5" t="str">
        <f aca="false">IF(C1134=0,"",IF($A1134="Bank",IF(INDEX(Bank!$I:$I,$C1134)="","",INDEX(Bank!$I:$I,$C1134)),IF(INDEX(GL!$I:$I,$C1134)="","",INDEX(GL!$I:$I,$C1134))))</f>
        <v/>
      </c>
      <c r="L1134" s="5" t="str">
        <f aca="false">IF(B1134="","",IF(C1134=0,"NOT FOUND",IF(IF($A1134="Bank",INDEX(Bank!$F:$F,$C1134),INDEX(GL!$F:$F,$C1134))="Y","NOW RECONCILED: refresh","OK")))</f>
        <v/>
      </c>
    </row>
    <row r="1135" customFormat="false" ht="15" hidden="false" customHeight="false" outlineLevel="0" collapsed="false">
      <c r="A1135" s="41"/>
      <c r="B1135" s="41"/>
      <c r="C1135" s="5" t="n">
        <f aca="false">IF(B1135="",0,IF(A1135="Bank",IFERROR(MATCH(B1135,Bank!$A:$A,0),0),IFERROR(MATCH(B1135,GL!$A:$A,0),0)))</f>
        <v>0</v>
      </c>
      <c r="D1135" s="32" t="str">
        <f aca="false">IF(C1135=0,"",IF($A1135="Bank",INDEX(Bank!$B:$B,$C1135),INDEX(GL!$B:$B,$C1135)))</f>
        <v/>
      </c>
      <c r="E1135" s="5" t="str">
        <f aca="false">IF(C1135=0,"",IF($A1135="Bank",IF(INDEX(Bank!$C:$C,$C1135)="","",INDEX(Bank!$C:$C,$C1135)),IF(INDEX(GL!$C:$C,$C1135)="","",INDEX(GL!$C:$C,$C1135))))</f>
        <v/>
      </c>
      <c r="F1135" s="5" t="str">
        <f aca="false">IF(C1135=0,"",IF($A1135="Bank",IF(INDEX(Bank!$D:$D,$C1135)="","",INDEX(Bank!$D:$D,$C1135)),IF(INDEX(GL!$D:$D,$C1135)="","",INDEX(GL!$D:$D,$C1135))))</f>
        <v/>
      </c>
      <c r="G1135" s="19" t="str">
        <f aca="false">IF(C1135=0,"",IF($A1135="Bank",INDEX(Bank!$E:$E,$C1135),INDEX(GL!$E:$E,$C1135)))</f>
        <v/>
      </c>
      <c r="H1135" s="5" t="str">
        <f aca="false">IF(C1135=0,"",IF(A1135="GL",IF(G1135&gt;0,"Deposit in transit","Outstanding check / payment"),IF(G1135&gt;0,"Bank credit not in GL","Bank debit not in GL")))</f>
        <v/>
      </c>
      <c r="I1135" s="42" t="str">
        <f aca="false">IF(OR(C1135=0,CFG_PeriodEnd=""),"",CFG_PeriodEnd-D1135)</f>
        <v/>
      </c>
      <c r="J1135" s="5" t="str">
        <f aca="false">IF(C1135=0,"",IF($A1135="Bank",IF(INDEX(Bank!$G:$G,$C1135)="","",INDEX(Bank!$G:$G,$C1135)),IF(INDEX(GL!$G:$G,$C1135)="","",INDEX(GL!$G:$G,$C1135))))</f>
        <v/>
      </c>
      <c r="K1135" s="5" t="str">
        <f aca="false">IF(C1135=0,"",IF($A1135="Bank",IF(INDEX(Bank!$I:$I,$C1135)="","",INDEX(Bank!$I:$I,$C1135)),IF(INDEX(GL!$I:$I,$C1135)="","",INDEX(GL!$I:$I,$C1135))))</f>
        <v/>
      </c>
      <c r="L1135" s="5" t="str">
        <f aca="false">IF(B1135="","",IF(C1135=0,"NOT FOUND",IF(IF($A1135="Bank",INDEX(Bank!$F:$F,$C1135),INDEX(GL!$F:$F,$C1135))="Y","NOW RECONCILED: refresh","OK")))</f>
        <v/>
      </c>
    </row>
    <row r="1136" customFormat="false" ht="15" hidden="false" customHeight="false" outlineLevel="0" collapsed="false">
      <c r="A1136" s="41"/>
      <c r="B1136" s="41"/>
      <c r="C1136" s="5" t="n">
        <f aca="false">IF(B1136="",0,IF(A1136="Bank",IFERROR(MATCH(B1136,Bank!$A:$A,0),0),IFERROR(MATCH(B1136,GL!$A:$A,0),0)))</f>
        <v>0</v>
      </c>
      <c r="D1136" s="32" t="str">
        <f aca="false">IF(C1136=0,"",IF($A1136="Bank",INDEX(Bank!$B:$B,$C1136),INDEX(GL!$B:$B,$C1136)))</f>
        <v/>
      </c>
      <c r="E1136" s="5" t="str">
        <f aca="false">IF(C1136=0,"",IF($A1136="Bank",IF(INDEX(Bank!$C:$C,$C1136)="","",INDEX(Bank!$C:$C,$C1136)),IF(INDEX(GL!$C:$C,$C1136)="","",INDEX(GL!$C:$C,$C1136))))</f>
        <v/>
      </c>
      <c r="F1136" s="5" t="str">
        <f aca="false">IF(C1136=0,"",IF($A1136="Bank",IF(INDEX(Bank!$D:$D,$C1136)="","",INDEX(Bank!$D:$D,$C1136)),IF(INDEX(GL!$D:$D,$C1136)="","",INDEX(GL!$D:$D,$C1136))))</f>
        <v/>
      </c>
      <c r="G1136" s="19" t="str">
        <f aca="false">IF(C1136=0,"",IF($A1136="Bank",INDEX(Bank!$E:$E,$C1136),INDEX(GL!$E:$E,$C1136)))</f>
        <v/>
      </c>
      <c r="H1136" s="5" t="str">
        <f aca="false">IF(C1136=0,"",IF(A1136="GL",IF(G1136&gt;0,"Deposit in transit","Outstanding check / payment"),IF(G1136&gt;0,"Bank credit not in GL","Bank debit not in GL")))</f>
        <v/>
      </c>
      <c r="I1136" s="42" t="str">
        <f aca="false">IF(OR(C1136=0,CFG_PeriodEnd=""),"",CFG_PeriodEnd-D1136)</f>
        <v/>
      </c>
      <c r="J1136" s="5" t="str">
        <f aca="false">IF(C1136=0,"",IF($A1136="Bank",IF(INDEX(Bank!$G:$G,$C1136)="","",INDEX(Bank!$G:$G,$C1136)),IF(INDEX(GL!$G:$G,$C1136)="","",INDEX(GL!$G:$G,$C1136))))</f>
        <v/>
      </c>
      <c r="K1136" s="5" t="str">
        <f aca="false">IF(C1136=0,"",IF($A1136="Bank",IF(INDEX(Bank!$I:$I,$C1136)="","",INDEX(Bank!$I:$I,$C1136)),IF(INDEX(GL!$I:$I,$C1136)="","",INDEX(GL!$I:$I,$C1136))))</f>
        <v/>
      </c>
      <c r="L1136" s="5" t="str">
        <f aca="false">IF(B1136="","",IF(C1136=0,"NOT FOUND",IF(IF($A1136="Bank",INDEX(Bank!$F:$F,$C1136),INDEX(GL!$F:$F,$C1136))="Y","NOW RECONCILED: refresh","OK")))</f>
        <v/>
      </c>
    </row>
    <row r="1137" customFormat="false" ht="15" hidden="false" customHeight="false" outlineLevel="0" collapsed="false">
      <c r="A1137" s="41"/>
      <c r="B1137" s="41"/>
      <c r="C1137" s="5" t="n">
        <f aca="false">IF(B1137="",0,IF(A1137="Bank",IFERROR(MATCH(B1137,Bank!$A:$A,0),0),IFERROR(MATCH(B1137,GL!$A:$A,0),0)))</f>
        <v>0</v>
      </c>
      <c r="D1137" s="32" t="str">
        <f aca="false">IF(C1137=0,"",IF($A1137="Bank",INDEX(Bank!$B:$B,$C1137),INDEX(GL!$B:$B,$C1137)))</f>
        <v/>
      </c>
      <c r="E1137" s="5" t="str">
        <f aca="false">IF(C1137=0,"",IF($A1137="Bank",IF(INDEX(Bank!$C:$C,$C1137)="","",INDEX(Bank!$C:$C,$C1137)),IF(INDEX(GL!$C:$C,$C1137)="","",INDEX(GL!$C:$C,$C1137))))</f>
        <v/>
      </c>
      <c r="F1137" s="5" t="str">
        <f aca="false">IF(C1137=0,"",IF($A1137="Bank",IF(INDEX(Bank!$D:$D,$C1137)="","",INDEX(Bank!$D:$D,$C1137)),IF(INDEX(GL!$D:$D,$C1137)="","",INDEX(GL!$D:$D,$C1137))))</f>
        <v/>
      </c>
      <c r="G1137" s="19" t="str">
        <f aca="false">IF(C1137=0,"",IF($A1137="Bank",INDEX(Bank!$E:$E,$C1137),INDEX(GL!$E:$E,$C1137)))</f>
        <v/>
      </c>
      <c r="H1137" s="5" t="str">
        <f aca="false">IF(C1137=0,"",IF(A1137="GL",IF(G1137&gt;0,"Deposit in transit","Outstanding check / payment"),IF(G1137&gt;0,"Bank credit not in GL","Bank debit not in GL")))</f>
        <v/>
      </c>
      <c r="I1137" s="42" t="str">
        <f aca="false">IF(OR(C1137=0,CFG_PeriodEnd=""),"",CFG_PeriodEnd-D1137)</f>
        <v/>
      </c>
      <c r="J1137" s="5" t="str">
        <f aca="false">IF(C1137=0,"",IF($A1137="Bank",IF(INDEX(Bank!$G:$G,$C1137)="","",INDEX(Bank!$G:$G,$C1137)),IF(INDEX(GL!$G:$G,$C1137)="","",INDEX(GL!$G:$G,$C1137))))</f>
        <v/>
      </c>
      <c r="K1137" s="5" t="str">
        <f aca="false">IF(C1137=0,"",IF($A1137="Bank",IF(INDEX(Bank!$I:$I,$C1137)="","",INDEX(Bank!$I:$I,$C1137)),IF(INDEX(GL!$I:$I,$C1137)="","",INDEX(GL!$I:$I,$C1137))))</f>
        <v/>
      </c>
      <c r="L1137" s="5" t="str">
        <f aca="false">IF(B1137="","",IF(C1137=0,"NOT FOUND",IF(IF($A1137="Bank",INDEX(Bank!$F:$F,$C1137),INDEX(GL!$F:$F,$C1137))="Y","NOW RECONCILED: refresh","OK")))</f>
        <v/>
      </c>
    </row>
    <row r="1138" customFormat="false" ht="15" hidden="false" customHeight="false" outlineLevel="0" collapsed="false">
      <c r="A1138" s="41"/>
      <c r="B1138" s="41"/>
      <c r="C1138" s="5" t="n">
        <f aca="false">IF(B1138="",0,IF(A1138="Bank",IFERROR(MATCH(B1138,Bank!$A:$A,0),0),IFERROR(MATCH(B1138,GL!$A:$A,0),0)))</f>
        <v>0</v>
      </c>
      <c r="D1138" s="32" t="str">
        <f aca="false">IF(C1138=0,"",IF($A1138="Bank",INDEX(Bank!$B:$B,$C1138),INDEX(GL!$B:$B,$C1138)))</f>
        <v/>
      </c>
      <c r="E1138" s="5" t="str">
        <f aca="false">IF(C1138=0,"",IF($A1138="Bank",IF(INDEX(Bank!$C:$C,$C1138)="","",INDEX(Bank!$C:$C,$C1138)),IF(INDEX(GL!$C:$C,$C1138)="","",INDEX(GL!$C:$C,$C1138))))</f>
        <v/>
      </c>
      <c r="F1138" s="5" t="str">
        <f aca="false">IF(C1138=0,"",IF($A1138="Bank",IF(INDEX(Bank!$D:$D,$C1138)="","",INDEX(Bank!$D:$D,$C1138)),IF(INDEX(GL!$D:$D,$C1138)="","",INDEX(GL!$D:$D,$C1138))))</f>
        <v/>
      </c>
      <c r="G1138" s="19" t="str">
        <f aca="false">IF(C1138=0,"",IF($A1138="Bank",INDEX(Bank!$E:$E,$C1138),INDEX(GL!$E:$E,$C1138)))</f>
        <v/>
      </c>
      <c r="H1138" s="5" t="str">
        <f aca="false">IF(C1138=0,"",IF(A1138="GL",IF(G1138&gt;0,"Deposit in transit","Outstanding check / payment"),IF(G1138&gt;0,"Bank credit not in GL","Bank debit not in GL")))</f>
        <v/>
      </c>
      <c r="I1138" s="42" t="str">
        <f aca="false">IF(OR(C1138=0,CFG_PeriodEnd=""),"",CFG_PeriodEnd-D1138)</f>
        <v/>
      </c>
      <c r="J1138" s="5" t="str">
        <f aca="false">IF(C1138=0,"",IF($A1138="Bank",IF(INDEX(Bank!$G:$G,$C1138)="","",INDEX(Bank!$G:$G,$C1138)),IF(INDEX(GL!$G:$G,$C1138)="","",INDEX(GL!$G:$G,$C1138))))</f>
        <v/>
      </c>
      <c r="K1138" s="5" t="str">
        <f aca="false">IF(C1138=0,"",IF($A1138="Bank",IF(INDEX(Bank!$I:$I,$C1138)="","",INDEX(Bank!$I:$I,$C1138)),IF(INDEX(GL!$I:$I,$C1138)="","",INDEX(GL!$I:$I,$C1138))))</f>
        <v/>
      </c>
      <c r="L1138" s="5" t="str">
        <f aca="false">IF(B1138="","",IF(C1138=0,"NOT FOUND",IF(IF($A1138="Bank",INDEX(Bank!$F:$F,$C1138),INDEX(GL!$F:$F,$C1138))="Y","NOW RECONCILED: refresh","OK")))</f>
        <v/>
      </c>
    </row>
    <row r="1139" customFormat="false" ht="15" hidden="false" customHeight="false" outlineLevel="0" collapsed="false">
      <c r="A1139" s="41"/>
      <c r="B1139" s="41"/>
      <c r="C1139" s="5" t="n">
        <f aca="false">IF(B1139="",0,IF(A1139="Bank",IFERROR(MATCH(B1139,Bank!$A:$A,0),0),IFERROR(MATCH(B1139,GL!$A:$A,0),0)))</f>
        <v>0</v>
      </c>
      <c r="D1139" s="32" t="str">
        <f aca="false">IF(C1139=0,"",IF($A1139="Bank",INDEX(Bank!$B:$B,$C1139),INDEX(GL!$B:$B,$C1139)))</f>
        <v/>
      </c>
      <c r="E1139" s="5" t="str">
        <f aca="false">IF(C1139=0,"",IF($A1139="Bank",IF(INDEX(Bank!$C:$C,$C1139)="","",INDEX(Bank!$C:$C,$C1139)),IF(INDEX(GL!$C:$C,$C1139)="","",INDEX(GL!$C:$C,$C1139))))</f>
        <v/>
      </c>
      <c r="F1139" s="5" t="str">
        <f aca="false">IF(C1139=0,"",IF($A1139="Bank",IF(INDEX(Bank!$D:$D,$C1139)="","",INDEX(Bank!$D:$D,$C1139)),IF(INDEX(GL!$D:$D,$C1139)="","",INDEX(GL!$D:$D,$C1139))))</f>
        <v/>
      </c>
      <c r="G1139" s="19" t="str">
        <f aca="false">IF(C1139=0,"",IF($A1139="Bank",INDEX(Bank!$E:$E,$C1139),INDEX(GL!$E:$E,$C1139)))</f>
        <v/>
      </c>
      <c r="H1139" s="5" t="str">
        <f aca="false">IF(C1139=0,"",IF(A1139="GL",IF(G1139&gt;0,"Deposit in transit","Outstanding check / payment"),IF(G1139&gt;0,"Bank credit not in GL","Bank debit not in GL")))</f>
        <v/>
      </c>
      <c r="I1139" s="42" t="str">
        <f aca="false">IF(OR(C1139=0,CFG_PeriodEnd=""),"",CFG_PeriodEnd-D1139)</f>
        <v/>
      </c>
      <c r="J1139" s="5" t="str">
        <f aca="false">IF(C1139=0,"",IF($A1139="Bank",IF(INDEX(Bank!$G:$G,$C1139)="","",INDEX(Bank!$G:$G,$C1139)),IF(INDEX(GL!$G:$G,$C1139)="","",INDEX(GL!$G:$G,$C1139))))</f>
        <v/>
      </c>
      <c r="K1139" s="5" t="str">
        <f aca="false">IF(C1139=0,"",IF($A1139="Bank",IF(INDEX(Bank!$I:$I,$C1139)="","",INDEX(Bank!$I:$I,$C1139)),IF(INDEX(GL!$I:$I,$C1139)="","",INDEX(GL!$I:$I,$C1139))))</f>
        <v/>
      </c>
      <c r="L1139" s="5" t="str">
        <f aca="false">IF(B1139="","",IF(C1139=0,"NOT FOUND",IF(IF($A1139="Bank",INDEX(Bank!$F:$F,$C1139),INDEX(GL!$F:$F,$C1139))="Y","NOW RECONCILED: refresh","OK")))</f>
        <v/>
      </c>
    </row>
    <row r="1140" customFormat="false" ht="15" hidden="false" customHeight="false" outlineLevel="0" collapsed="false">
      <c r="A1140" s="41"/>
      <c r="B1140" s="41"/>
      <c r="C1140" s="5" t="n">
        <f aca="false">IF(B1140="",0,IF(A1140="Bank",IFERROR(MATCH(B1140,Bank!$A:$A,0),0),IFERROR(MATCH(B1140,GL!$A:$A,0),0)))</f>
        <v>0</v>
      </c>
      <c r="D1140" s="32" t="str">
        <f aca="false">IF(C1140=0,"",IF($A1140="Bank",INDEX(Bank!$B:$B,$C1140),INDEX(GL!$B:$B,$C1140)))</f>
        <v/>
      </c>
      <c r="E1140" s="5" t="str">
        <f aca="false">IF(C1140=0,"",IF($A1140="Bank",IF(INDEX(Bank!$C:$C,$C1140)="","",INDEX(Bank!$C:$C,$C1140)),IF(INDEX(GL!$C:$C,$C1140)="","",INDEX(GL!$C:$C,$C1140))))</f>
        <v/>
      </c>
      <c r="F1140" s="5" t="str">
        <f aca="false">IF(C1140=0,"",IF($A1140="Bank",IF(INDEX(Bank!$D:$D,$C1140)="","",INDEX(Bank!$D:$D,$C1140)),IF(INDEX(GL!$D:$D,$C1140)="","",INDEX(GL!$D:$D,$C1140))))</f>
        <v/>
      </c>
      <c r="G1140" s="19" t="str">
        <f aca="false">IF(C1140=0,"",IF($A1140="Bank",INDEX(Bank!$E:$E,$C1140),INDEX(GL!$E:$E,$C1140)))</f>
        <v/>
      </c>
      <c r="H1140" s="5" t="str">
        <f aca="false">IF(C1140=0,"",IF(A1140="GL",IF(G1140&gt;0,"Deposit in transit","Outstanding check / payment"),IF(G1140&gt;0,"Bank credit not in GL","Bank debit not in GL")))</f>
        <v/>
      </c>
      <c r="I1140" s="42" t="str">
        <f aca="false">IF(OR(C1140=0,CFG_PeriodEnd=""),"",CFG_PeriodEnd-D1140)</f>
        <v/>
      </c>
      <c r="J1140" s="5" t="str">
        <f aca="false">IF(C1140=0,"",IF($A1140="Bank",IF(INDEX(Bank!$G:$G,$C1140)="","",INDEX(Bank!$G:$G,$C1140)),IF(INDEX(GL!$G:$G,$C1140)="","",INDEX(GL!$G:$G,$C1140))))</f>
        <v/>
      </c>
      <c r="K1140" s="5" t="str">
        <f aca="false">IF(C1140=0,"",IF($A1140="Bank",IF(INDEX(Bank!$I:$I,$C1140)="","",INDEX(Bank!$I:$I,$C1140)),IF(INDEX(GL!$I:$I,$C1140)="","",INDEX(GL!$I:$I,$C1140))))</f>
        <v/>
      </c>
      <c r="L1140" s="5" t="str">
        <f aca="false">IF(B1140="","",IF(C1140=0,"NOT FOUND",IF(IF($A1140="Bank",INDEX(Bank!$F:$F,$C1140),INDEX(GL!$F:$F,$C1140))="Y","NOW RECONCILED: refresh","OK")))</f>
        <v/>
      </c>
    </row>
    <row r="1141" customFormat="false" ht="15" hidden="false" customHeight="false" outlineLevel="0" collapsed="false">
      <c r="A1141" s="41"/>
      <c r="B1141" s="41"/>
      <c r="C1141" s="5" t="n">
        <f aca="false">IF(B1141="",0,IF(A1141="Bank",IFERROR(MATCH(B1141,Bank!$A:$A,0),0),IFERROR(MATCH(B1141,GL!$A:$A,0),0)))</f>
        <v>0</v>
      </c>
      <c r="D1141" s="32" t="str">
        <f aca="false">IF(C1141=0,"",IF($A1141="Bank",INDEX(Bank!$B:$B,$C1141),INDEX(GL!$B:$B,$C1141)))</f>
        <v/>
      </c>
      <c r="E1141" s="5" t="str">
        <f aca="false">IF(C1141=0,"",IF($A1141="Bank",IF(INDEX(Bank!$C:$C,$C1141)="","",INDEX(Bank!$C:$C,$C1141)),IF(INDEX(GL!$C:$C,$C1141)="","",INDEX(GL!$C:$C,$C1141))))</f>
        <v/>
      </c>
      <c r="F1141" s="5" t="str">
        <f aca="false">IF(C1141=0,"",IF($A1141="Bank",IF(INDEX(Bank!$D:$D,$C1141)="","",INDEX(Bank!$D:$D,$C1141)),IF(INDEX(GL!$D:$D,$C1141)="","",INDEX(GL!$D:$D,$C1141))))</f>
        <v/>
      </c>
      <c r="G1141" s="19" t="str">
        <f aca="false">IF(C1141=0,"",IF($A1141="Bank",INDEX(Bank!$E:$E,$C1141),INDEX(GL!$E:$E,$C1141)))</f>
        <v/>
      </c>
      <c r="H1141" s="5" t="str">
        <f aca="false">IF(C1141=0,"",IF(A1141="GL",IF(G1141&gt;0,"Deposit in transit","Outstanding check / payment"),IF(G1141&gt;0,"Bank credit not in GL","Bank debit not in GL")))</f>
        <v/>
      </c>
      <c r="I1141" s="42" t="str">
        <f aca="false">IF(OR(C1141=0,CFG_PeriodEnd=""),"",CFG_PeriodEnd-D1141)</f>
        <v/>
      </c>
      <c r="J1141" s="5" t="str">
        <f aca="false">IF(C1141=0,"",IF($A1141="Bank",IF(INDEX(Bank!$G:$G,$C1141)="","",INDEX(Bank!$G:$G,$C1141)),IF(INDEX(GL!$G:$G,$C1141)="","",INDEX(GL!$G:$G,$C1141))))</f>
        <v/>
      </c>
      <c r="K1141" s="5" t="str">
        <f aca="false">IF(C1141=0,"",IF($A1141="Bank",IF(INDEX(Bank!$I:$I,$C1141)="","",INDEX(Bank!$I:$I,$C1141)),IF(INDEX(GL!$I:$I,$C1141)="","",INDEX(GL!$I:$I,$C1141))))</f>
        <v/>
      </c>
      <c r="L1141" s="5" t="str">
        <f aca="false">IF(B1141="","",IF(C1141=0,"NOT FOUND",IF(IF($A1141="Bank",INDEX(Bank!$F:$F,$C1141),INDEX(GL!$F:$F,$C1141))="Y","NOW RECONCILED: refresh","OK")))</f>
        <v/>
      </c>
    </row>
    <row r="1142" customFormat="false" ht="15" hidden="false" customHeight="false" outlineLevel="0" collapsed="false">
      <c r="A1142" s="41"/>
      <c r="B1142" s="41"/>
      <c r="C1142" s="5" t="n">
        <f aca="false">IF(B1142="",0,IF(A1142="Bank",IFERROR(MATCH(B1142,Bank!$A:$A,0),0),IFERROR(MATCH(B1142,GL!$A:$A,0),0)))</f>
        <v>0</v>
      </c>
      <c r="D1142" s="32" t="str">
        <f aca="false">IF(C1142=0,"",IF($A1142="Bank",INDEX(Bank!$B:$B,$C1142),INDEX(GL!$B:$B,$C1142)))</f>
        <v/>
      </c>
      <c r="E1142" s="5" t="str">
        <f aca="false">IF(C1142=0,"",IF($A1142="Bank",IF(INDEX(Bank!$C:$C,$C1142)="","",INDEX(Bank!$C:$C,$C1142)),IF(INDEX(GL!$C:$C,$C1142)="","",INDEX(GL!$C:$C,$C1142))))</f>
        <v/>
      </c>
      <c r="F1142" s="5" t="str">
        <f aca="false">IF(C1142=0,"",IF($A1142="Bank",IF(INDEX(Bank!$D:$D,$C1142)="","",INDEX(Bank!$D:$D,$C1142)),IF(INDEX(GL!$D:$D,$C1142)="","",INDEX(GL!$D:$D,$C1142))))</f>
        <v/>
      </c>
      <c r="G1142" s="19" t="str">
        <f aca="false">IF(C1142=0,"",IF($A1142="Bank",INDEX(Bank!$E:$E,$C1142),INDEX(GL!$E:$E,$C1142)))</f>
        <v/>
      </c>
      <c r="H1142" s="5" t="str">
        <f aca="false">IF(C1142=0,"",IF(A1142="GL",IF(G1142&gt;0,"Deposit in transit","Outstanding check / payment"),IF(G1142&gt;0,"Bank credit not in GL","Bank debit not in GL")))</f>
        <v/>
      </c>
      <c r="I1142" s="42" t="str">
        <f aca="false">IF(OR(C1142=0,CFG_PeriodEnd=""),"",CFG_PeriodEnd-D1142)</f>
        <v/>
      </c>
      <c r="J1142" s="5" t="str">
        <f aca="false">IF(C1142=0,"",IF($A1142="Bank",IF(INDEX(Bank!$G:$G,$C1142)="","",INDEX(Bank!$G:$G,$C1142)),IF(INDEX(GL!$G:$G,$C1142)="","",INDEX(GL!$G:$G,$C1142))))</f>
        <v/>
      </c>
      <c r="K1142" s="5" t="str">
        <f aca="false">IF(C1142=0,"",IF($A1142="Bank",IF(INDEX(Bank!$I:$I,$C1142)="","",INDEX(Bank!$I:$I,$C1142)),IF(INDEX(GL!$I:$I,$C1142)="","",INDEX(GL!$I:$I,$C1142))))</f>
        <v/>
      </c>
      <c r="L1142" s="5" t="str">
        <f aca="false">IF(B1142="","",IF(C1142=0,"NOT FOUND",IF(IF($A1142="Bank",INDEX(Bank!$F:$F,$C1142),INDEX(GL!$F:$F,$C1142))="Y","NOW RECONCILED: refresh","OK")))</f>
        <v/>
      </c>
    </row>
    <row r="1143" customFormat="false" ht="15" hidden="false" customHeight="false" outlineLevel="0" collapsed="false">
      <c r="A1143" s="41"/>
      <c r="B1143" s="41"/>
      <c r="C1143" s="5" t="n">
        <f aca="false">IF(B1143="",0,IF(A1143="Bank",IFERROR(MATCH(B1143,Bank!$A:$A,0),0),IFERROR(MATCH(B1143,GL!$A:$A,0),0)))</f>
        <v>0</v>
      </c>
      <c r="D1143" s="32" t="str">
        <f aca="false">IF(C1143=0,"",IF($A1143="Bank",INDEX(Bank!$B:$B,$C1143),INDEX(GL!$B:$B,$C1143)))</f>
        <v/>
      </c>
      <c r="E1143" s="5" t="str">
        <f aca="false">IF(C1143=0,"",IF($A1143="Bank",IF(INDEX(Bank!$C:$C,$C1143)="","",INDEX(Bank!$C:$C,$C1143)),IF(INDEX(GL!$C:$C,$C1143)="","",INDEX(GL!$C:$C,$C1143))))</f>
        <v/>
      </c>
      <c r="F1143" s="5" t="str">
        <f aca="false">IF(C1143=0,"",IF($A1143="Bank",IF(INDEX(Bank!$D:$D,$C1143)="","",INDEX(Bank!$D:$D,$C1143)),IF(INDEX(GL!$D:$D,$C1143)="","",INDEX(GL!$D:$D,$C1143))))</f>
        <v/>
      </c>
      <c r="G1143" s="19" t="str">
        <f aca="false">IF(C1143=0,"",IF($A1143="Bank",INDEX(Bank!$E:$E,$C1143),INDEX(GL!$E:$E,$C1143)))</f>
        <v/>
      </c>
      <c r="H1143" s="5" t="str">
        <f aca="false">IF(C1143=0,"",IF(A1143="GL",IF(G1143&gt;0,"Deposit in transit","Outstanding check / payment"),IF(G1143&gt;0,"Bank credit not in GL","Bank debit not in GL")))</f>
        <v/>
      </c>
      <c r="I1143" s="42" t="str">
        <f aca="false">IF(OR(C1143=0,CFG_PeriodEnd=""),"",CFG_PeriodEnd-D1143)</f>
        <v/>
      </c>
      <c r="J1143" s="5" t="str">
        <f aca="false">IF(C1143=0,"",IF($A1143="Bank",IF(INDEX(Bank!$G:$G,$C1143)="","",INDEX(Bank!$G:$G,$C1143)),IF(INDEX(GL!$G:$G,$C1143)="","",INDEX(GL!$G:$G,$C1143))))</f>
        <v/>
      </c>
      <c r="K1143" s="5" t="str">
        <f aca="false">IF(C1143=0,"",IF($A1143="Bank",IF(INDEX(Bank!$I:$I,$C1143)="","",INDEX(Bank!$I:$I,$C1143)),IF(INDEX(GL!$I:$I,$C1143)="","",INDEX(GL!$I:$I,$C1143))))</f>
        <v/>
      </c>
      <c r="L1143" s="5" t="str">
        <f aca="false">IF(B1143="","",IF(C1143=0,"NOT FOUND",IF(IF($A1143="Bank",INDEX(Bank!$F:$F,$C1143),INDEX(GL!$F:$F,$C1143))="Y","NOW RECONCILED: refresh","OK")))</f>
        <v/>
      </c>
    </row>
    <row r="1144" customFormat="false" ht="15" hidden="false" customHeight="false" outlineLevel="0" collapsed="false">
      <c r="A1144" s="41"/>
      <c r="B1144" s="41"/>
      <c r="C1144" s="5" t="n">
        <f aca="false">IF(B1144="",0,IF(A1144="Bank",IFERROR(MATCH(B1144,Bank!$A:$A,0),0),IFERROR(MATCH(B1144,GL!$A:$A,0),0)))</f>
        <v>0</v>
      </c>
      <c r="D1144" s="32" t="str">
        <f aca="false">IF(C1144=0,"",IF($A1144="Bank",INDEX(Bank!$B:$B,$C1144),INDEX(GL!$B:$B,$C1144)))</f>
        <v/>
      </c>
      <c r="E1144" s="5" t="str">
        <f aca="false">IF(C1144=0,"",IF($A1144="Bank",IF(INDEX(Bank!$C:$C,$C1144)="","",INDEX(Bank!$C:$C,$C1144)),IF(INDEX(GL!$C:$C,$C1144)="","",INDEX(GL!$C:$C,$C1144))))</f>
        <v/>
      </c>
      <c r="F1144" s="5" t="str">
        <f aca="false">IF(C1144=0,"",IF($A1144="Bank",IF(INDEX(Bank!$D:$D,$C1144)="","",INDEX(Bank!$D:$D,$C1144)),IF(INDEX(GL!$D:$D,$C1144)="","",INDEX(GL!$D:$D,$C1144))))</f>
        <v/>
      </c>
      <c r="G1144" s="19" t="str">
        <f aca="false">IF(C1144=0,"",IF($A1144="Bank",INDEX(Bank!$E:$E,$C1144),INDEX(GL!$E:$E,$C1144)))</f>
        <v/>
      </c>
      <c r="H1144" s="5" t="str">
        <f aca="false">IF(C1144=0,"",IF(A1144="GL",IF(G1144&gt;0,"Deposit in transit","Outstanding check / payment"),IF(G1144&gt;0,"Bank credit not in GL","Bank debit not in GL")))</f>
        <v/>
      </c>
      <c r="I1144" s="42" t="str">
        <f aca="false">IF(OR(C1144=0,CFG_PeriodEnd=""),"",CFG_PeriodEnd-D1144)</f>
        <v/>
      </c>
      <c r="J1144" s="5" t="str">
        <f aca="false">IF(C1144=0,"",IF($A1144="Bank",IF(INDEX(Bank!$G:$G,$C1144)="","",INDEX(Bank!$G:$G,$C1144)),IF(INDEX(GL!$G:$G,$C1144)="","",INDEX(GL!$G:$G,$C1144))))</f>
        <v/>
      </c>
      <c r="K1144" s="5" t="str">
        <f aca="false">IF(C1144=0,"",IF($A1144="Bank",IF(INDEX(Bank!$I:$I,$C1144)="","",INDEX(Bank!$I:$I,$C1144)),IF(INDEX(GL!$I:$I,$C1144)="","",INDEX(GL!$I:$I,$C1144))))</f>
        <v/>
      </c>
      <c r="L1144" s="5" t="str">
        <f aca="false">IF(B1144="","",IF(C1144=0,"NOT FOUND",IF(IF($A1144="Bank",INDEX(Bank!$F:$F,$C1144),INDEX(GL!$F:$F,$C1144))="Y","NOW RECONCILED: refresh","OK")))</f>
        <v/>
      </c>
    </row>
    <row r="1145" customFormat="false" ht="15" hidden="false" customHeight="false" outlineLevel="0" collapsed="false">
      <c r="A1145" s="41"/>
      <c r="B1145" s="41"/>
      <c r="C1145" s="5" t="n">
        <f aca="false">IF(B1145="",0,IF(A1145="Bank",IFERROR(MATCH(B1145,Bank!$A:$A,0),0),IFERROR(MATCH(B1145,GL!$A:$A,0),0)))</f>
        <v>0</v>
      </c>
      <c r="D1145" s="32" t="str">
        <f aca="false">IF(C1145=0,"",IF($A1145="Bank",INDEX(Bank!$B:$B,$C1145),INDEX(GL!$B:$B,$C1145)))</f>
        <v/>
      </c>
      <c r="E1145" s="5" t="str">
        <f aca="false">IF(C1145=0,"",IF($A1145="Bank",IF(INDEX(Bank!$C:$C,$C1145)="","",INDEX(Bank!$C:$C,$C1145)),IF(INDEX(GL!$C:$C,$C1145)="","",INDEX(GL!$C:$C,$C1145))))</f>
        <v/>
      </c>
      <c r="F1145" s="5" t="str">
        <f aca="false">IF(C1145=0,"",IF($A1145="Bank",IF(INDEX(Bank!$D:$D,$C1145)="","",INDEX(Bank!$D:$D,$C1145)),IF(INDEX(GL!$D:$D,$C1145)="","",INDEX(GL!$D:$D,$C1145))))</f>
        <v/>
      </c>
      <c r="G1145" s="19" t="str">
        <f aca="false">IF(C1145=0,"",IF($A1145="Bank",INDEX(Bank!$E:$E,$C1145),INDEX(GL!$E:$E,$C1145)))</f>
        <v/>
      </c>
      <c r="H1145" s="5" t="str">
        <f aca="false">IF(C1145=0,"",IF(A1145="GL",IF(G1145&gt;0,"Deposit in transit","Outstanding check / payment"),IF(G1145&gt;0,"Bank credit not in GL","Bank debit not in GL")))</f>
        <v/>
      </c>
      <c r="I1145" s="42" t="str">
        <f aca="false">IF(OR(C1145=0,CFG_PeriodEnd=""),"",CFG_PeriodEnd-D1145)</f>
        <v/>
      </c>
      <c r="J1145" s="5" t="str">
        <f aca="false">IF(C1145=0,"",IF($A1145="Bank",IF(INDEX(Bank!$G:$G,$C1145)="","",INDEX(Bank!$G:$G,$C1145)),IF(INDEX(GL!$G:$G,$C1145)="","",INDEX(GL!$G:$G,$C1145))))</f>
        <v/>
      </c>
      <c r="K1145" s="5" t="str">
        <f aca="false">IF(C1145=0,"",IF($A1145="Bank",IF(INDEX(Bank!$I:$I,$C1145)="","",INDEX(Bank!$I:$I,$C1145)),IF(INDEX(GL!$I:$I,$C1145)="","",INDEX(GL!$I:$I,$C1145))))</f>
        <v/>
      </c>
      <c r="L1145" s="5" t="str">
        <f aca="false">IF(B1145="","",IF(C1145=0,"NOT FOUND",IF(IF($A1145="Bank",INDEX(Bank!$F:$F,$C1145),INDEX(GL!$F:$F,$C1145))="Y","NOW RECONCILED: refresh","OK")))</f>
        <v/>
      </c>
    </row>
    <row r="1146" customFormat="false" ht="15" hidden="false" customHeight="false" outlineLevel="0" collapsed="false">
      <c r="A1146" s="41"/>
      <c r="B1146" s="41"/>
      <c r="C1146" s="5" t="n">
        <f aca="false">IF(B1146="",0,IF(A1146="Bank",IFERROR(MATCH(B1146,Bank!$A:$A,0),0),IFERROR(MATCH(B1146,GL!$A:$A,0),0)))</f>
        <v>0</v>
      </c>
      <c r="D1146" s="32" t="str">
        <f aca="false">IF(C1146=0,"",IF($A1146="Bank",INDEX(Bank!$B:$B,$C1146),INDEX(GL!$B:$B,$C1146)))</f>
        <v/>
      </c>
      <c r="E1146" s="5" t="str">
        <f aca="false">IF(C1146=0,"",IF($A1146="Bank",IF(INDEX(Bank!$C:$C,$C1146)="","",INDEX(Bank!$C:$C,$C1146)),IF(INDEX(GL!$C:$C,$C1146)="","",INDEX(GL!$C:$C,$C1146))))</f>
        <v/>
      </c>
      <c r="F1146" s="5" t="str">
        <f aca="false">IF(C1146=0,"",IF($A1146="Bank",IF(INDEX(Bank!$D:$D,$C1146)="","",INDEX(Bank!$D:$D,$C1146)),IF(INDEX(GL!$D:$D,$C1146)="","",INDEX(GL!$D:$D,$C1146))))</f>
        <v/>
      </c>
      <c r="G1146" s="19" t="str">
        <f aca="false">IF(C1146=0,"",IF($A1146="Bank",INDEX(Bank!$E:$E,$C1146),INDEX(GL!$E:$E,$C1146)))</f>
        <v/>
      </c>
      <c r="H1146" s="5" t="str">
        <f aca="false">IF(C1146=0,"",IF(A1146="GL",IF(G1146&gt;0,"Deposit in transit","Outstanding check / payment"),IF(G1146&gt;0,"Bank credit not in GL","Bank debit not in GL")))</f>
        <v/>
      </c>
      <c r="I1146" s="42" t="str">
        <f aca="false">IF(OR(C1146=0,CFG_PeriodEnd=""),"",CFG_PeriodEnd-D1146)</f>
        <v/>
      </c>
      <c r="J1146" s="5" t="str">
        <f aca="false">IF(C1146=0,"",IF($A1146="Bank",IF(INDEX(Bank!$G:$G,$C1146)="","",INDEX(Bank!$G:$G,$C1146)),IF(INDEX(GL!$G:$G,$C1146)="","",INDEX(GL!$G:$G,$C1146))))</f>
        <v/>
      </c>
      <c r="K1146" s="5" t="str">
        <f aca="false">IF(C1146=0,"",IF($A1146="Bank",IF(INDEX(Bank!$I:$I,$C1146)="","",INDEX(Bank!$I:$I,$C1146)),IF(INDEX(GL!$I:$I,$C1146)="","",INDEX(GL!$I:$I,$C1146))))</f>
        <v/>
      </c>
      <c r="L1146" s="5" t="str">
        <f aca="false">IF(B1146="","",IF(C1146=0,"NOT FOUND",IF(IF($A1146="Bank",INDEX(Bank!$F:$F,$C1146),INDEX(GL!$F:$F,$C1146))="Y","NOW RECONCILED: refresh","OK")))</f>
        <v/>
      </c>
    </row>
    <row r="1147" customFormat="false" ht="15" hidden="false" customHeight="false" outlineLevel="0" collapsed="false">
      <c r="A1147" s="41"/>
      <c r="B1147" s="41"/>
      <c r="C1147" s="5" t="n">
        <f aca="false">IF(B1147="",0,IF(A1147="Bank",IFERROR(MATCH(B1147,Bank!$A:$A,0),0),IFERROR(MATCH(B1147,GL!$A:$A,0),0)))</f>
        <v>0</v>
      </c>
      <c r="D1147" s="32" t="str">
        <f aca="false">IF(C1147=0,"",IF($A1147="Bank",INDEX(Bank!$B:$B,$C1147),INDEX(GL!$B:$B,$C1147)))</f>
        <v/>
      </c>
      <c r="E1147" s="5" t="str">
        <f aca="false">IF(C1147=0,"",IF($A1147="Bank",IF(INDEX(Bank!$C:$C,$C1147)="","",INDEX(Bank!$C:$C,$C1147)),IF(INDEX(GL!$C:$C,$C1147)="","",INDEX(GL!$C:$C,$C1147))))</f>
        <v/>
      </c>
      <c r="F1147" s="5" t="str">
        <f aca="false">IF(C1147=0,"",IF($A1147="Bank",IF(INDEX(Bank!$D:$D,$C1147)="","",INDEX(Bank!$D:$D,$C1147)),IF(INDEX(GL!$D:$D,$C1147)="","",INDEX(GL!$D:$D,$C1147))))</f>
        <v/>
      </c>
      <c r="G1147" s="19" t="str">
        <f aca="false">IF(C1147=0,"",IF($A1147="Bank",INDEX(Bank!$E:$E,$C1147),INDEX(GL!$E:$E,$C1147)))</f>
        <v/>
      </c>
      <c r="H1147" s="5" t="str">
        <f aca="false">IF(C1147=0,"",IF(A1147="GL",IF(G1147&gt;0,"Deposit in transit","Outstanding check / payment"),IF(G1147&gt;0,"Bank credit not in GL","Bank debit not in GL")))</f>
        <v/>
      </c>
      <c r="I1147" s="42" t="str">
        <f aca="false">IF(OR(C1147=0,CFG_PeriodEnd=""),"",CFG_PeriodEnd-D1147)</f>
        <v/>
      </c>
      <c r="J1147" s="5" t="str">
        <f aca="false">IF(C1147=0,"",IF($A1147="Bank",IF(INDEX(Bank!$G:$G,$C1147)="","",INDEX(Bank!$G:$G,$C1147)),IF(INDEX(GL!$G:$G,$C1147)="","",INDEX(GL!$G:$G,$C1147))))</f>
        <v/>
      </c>
      <c r="K1147" s="5" t="str">
        <f aca="false">IF(C1147=0,"",IF($A1147="Bank",IF(INDEX(Bank!$I:$I,$C1147)="","",INDEX(Bank!$I:$I,$C1147)),IF(INDEX(GL!$I:$I,$C1147)="","",INDEX(GL!$I:$I,$C1147))))</f>
        <v/>
      </c>
      <c r="L1147" s="5" t="str">
        <f aca="false">IF(B1147="","",IF(C1147=0,"NOT FOUND",IF(IF($A1147="Bank",INDEX(Bank!$F:$F,$C1147),INDEX(GL!$F:$F,$C1147))="Y","NOW RECONCILED: refresh","OK")))</f>
        <v/>
      </c>
    </row>
    <row r="1148" customFormat="false" ht="15" hidden="false" customHeight="false" outlineLevel="0" collapsed="false">
      <c r="A1148" s="41"/>
      <c r="B1148" s="41"/>
      <c r="C1148" s="5" t="n">
        <f aca="false">IF(B1148="",0,IF(A1148="Bank",IFERROR(MATCH(B1148,Bank!$A:$A,0),0),IFERROR(MATCH(B1148,GL!$A:$A,0),0)))</f>
        <v>0</v>
      </c>
      <c r="D1148" s="32" t="str">
        <f aca="false">IF(C1148=0,"",IF($A1148="Bank",INDEX(Bank!$B:$B,$C1148),INDEX(GL!$B:$B,$C1148)))</f>
        <v/>
      </c>
      <c r="E1148" s="5" t="str">
        <f aca="false">IF(C1148=0,"",IF($A1148="Bank",IF(INDEX(Bank!$C:$C,$C1148)="","",INDEX(Bank!$C:$C,$C1148)),IF(INDEX(GL!$C:$C,$C1148)="","",INDEX(GL!$C:$C,$C1148))))</f>
        <v/>
      </c>
      <c r="F1148" s="5" t="str">
        <f aca="false">IF(C1148=0,"",IF($A1148="Bank",IF(INDEX(Bank!$D:$D,$C1148)="","",INDEX(Bank!$D:$D,$C1148)),IF(INDEX(GL!$D:$D,$C1148)="","",INDEX(GL!$D:$D,$C1148))))</f>
        <v/>
      </c>
      <c r="G1148" s="19" t="str">
        <f aca="false">IF(C1148=0,"",IF($A1148="Bank",INDEX(Bank!$E:$E,$C1148),INDEX(GL!$E:$E,$C1148)))</f>
        <v/>
      </c>
      <c r="H1148" s="5" t="str">
        <f aca="false">IF(C1148=0,"",IF(A1148="GL",IF(G1148&gt;0,"Deposit in transit","Outstanding check / payment"),IF(G1148&gt;0,"Bank credit not in GL","Bank debit not in GL")))</f>
        <v/>
      </c>
      <c r="I1148" s="42" t="str">
        <f aca="false">IF(OR(C1148=0,CFG_PeriodEnd=""),"",CFG_PeriodEnd-D1148)</f>
        <v/>
      </c>
      <c r="J1148" s="5" t="str">
        <f aca="false">IF(C1148=0,"",IF($A1148="Bank",IF(INDEX(Bank!$G:$G,$C1148)="","",INDEX(Bank!$G:$G,$C1148)),IF(INDEX(GL!$G:$G,$C1148)="","",INDEX(GL!$G:$G,$C1148))))</f>
        <v/>
      </c>
      <c r="K1148" s="5" t="str">
        <f aca="false">IF(C1148=0,"",IF($A1148="Bank",IF(INDEX(Bank!$I:$I,$C1148)="","",INDEX(Bank!$I:$I,$C1148)),IF(INDEX(GL!$I:$I,$C1148)="","",INDEX(GL!$I:$I,$C1148))))</f>
        <v/>
      </c>
      <c r="L1148" s="5" t="str">
        <f aca="false">IF(B1148="","",IF(C1148=0,"NOT FOUND",IF(IF($A1148="Bank",INDEX(Bank!$F:$F,$C1148),INDEX(GL!$F:$F,$C1148))="Y","NOW RECONCILED: refresh","OK")))</f>
        <v/>
      </c>
    </row>
    <row r="1149" customFormat="false" ht="15" hidden="false" customHeight="false" outlineLevel="0" collapsed="false">
      <c r="A1149" s="41"/>
      <c r="B1149" s="41"/>
      <c r="C1149" s="5" t="n">
        <f aca="false">IF(B1149="",0,IF(A1149="Bank",IFERROR(MATCH(B1149,Bank!$A:$A,0),0),IFERROR(MATCH(B1149,GL!$A:$A,0),0)))</f>
        <v>0</v>
      </c>
      <c r="D1149" s="32" t="str">
        <f aca="false">IF(C1149=0,"",IF($A1149="Bank",INDEX(Bank!$B:$B,$C1149),INDEX(GL!$B:$B,$C1149)))</f>
        <v/>
      </c>
      <c r="E1149" s="5" t="str">
        <f aca="false">IF(C1149=0,"",IF($A1149="Bank",IF(INDEX(Bank!$C:$C,$C1149)="","",INDEX(Bank!$C:$C,$C1149)),IF(INDEX(GL!$C:$C,$C1149)="","",INDEX(GL!$C:$C,$C1149))))</f>
        <v/>
      </c>
      <c r="F1149" s="5" t="str">
        <f aca="false">IF(C1149=0,"",IF($A1149="Bank",IF(INDEX(Bank!$D:$D,$C1149)="","",INDEX(Bank!$D:$D,$C1149)),IF(INDEX(GL!$D:$D,$C1149)="","",INDEX(GL!$D:$D,$C1149))))</f>
        <v/>
      </c>
      <c r="G1149" s="19" t="str">
        <f aca="false">IF(C1149=0,"",IF($A1149="Bank",INDEX(Bank!$E:$E,$C1149),INDEX(GL!$E:$E,$C1149)))</f>
        <v/>
      </c>
      <c r="H1149" s="5" t="str">
        <f aca="false">IF(C1149=0,"",IF(A1149="GL",IF(G1149&gt;0,"Deposit in transit","Outstanding check / payment"),IF(G1149&gt;0,"Bank credit not in GL","Bank debit not in GL")))</f>
        <v/>
      </c>
      <c r="I1149" s="42" t="str">
        <f aca="false">IF(OR(C1149=0,CFG_PeriodEnd=""),"",CFG_PeriodEnd-D1149)</f>
        <v/>
      </c>
      <c r="J1149" s="5" t="str">
        <f aca="false">IF(C1149=0,"",IF($A1149="Bank",IF(INDEX(Bank!$G:$G,$C1149)="","",INDEX(Bank!$G:$G,$C1149)),IF(INDEX(GL!$G:$G,$C1149)="","",INDEX(GL!$G:$G,$C1149))))</f>
        <v/>
      </c>
      <c r="K1149" s="5" t="str">
        <f aca="false">IF(C1149=0,"",IF($A1149="Bank",IF(INDEX(Bank!$I:$I,$C1149)="","",INDEX(Bank!$I:$I,$C1149)),IF(INDEX(GL!$I:$I,$C1149)="","",INDEX(GL!$I:$I,$C1149))))</f>
        <v/>
      </c>
      <c r="L1149" s="5" t="str">
        <f aca="false">IF(B1149="","",IF(C1149=0,"NOT FOUND",IF(IF($A1149="Bank",INDEX(Bank!$F:$F,$C1149),INDEX(GL!$F:$F,$C1149))="Y","NOW RECONCILED: refresh","OK")))</f>
        <v/>
      </c>
    </row>
    <row r="1150" customFormat="false" ht="15" hidden="false" customHeight="false" outlineLevel="0" collapsed="false">
      <c r="A1150" s="41"/>
      <c r="B1150" s="41"/>
      <c r="C1150" s="5" t="n">
        <f aca="false">IF(B1150="",0,IF(A1150="Bank",IFERROR(MATCH(B1150,Bank!$A:$A,0),0),IFERROR(MATCH(B1150,GL!$A:$A,0),0)))</f>
        <v>0</v>
      </c>
      <c r="D1150" s="32" t="str">
        <f aca="false">IF(C1150=0,"",IF($A1150="Bank",INDEX(Bank!$B:$B,$C1150),INDEX(GL!$B:$B,$C1150)))</f>
        <v/>
      </c>
      <c r="E1150" s="5" t="str">
        <f aca="false">IF(C1150=0,"",IF($A1150="Bank",IF(INDEX(Bank!$C:$C,$C1150)="","",INDEX(Bank!$C:$C,$C1150)),IF(INDEX(GL!$C:$C,$C1150)="","",INDEX(GL!$C:$C,$C1150))))</f>
        <v/>
      </c>
      <c r="F1150" s="5" t="str">
        <f aca="false">IF(C1150=0,"",IF($A1150="Bank",IF(INDEX(Bank!$D:$D,$C1150)="","",INDEX(Bank!$D:$D,$C1150)),IF(INDEX(GL!$D:$D,$C1150)="","",INDEX(GL!$D:$D,$C1150))))</f>
        <v/>
      </c>
      <c r="G1150" s="19" t="str">
        <f aca="false">IF(C1150=0,"",IF($A1150="Bank",INDEX(Bank!$E:$E,$C1150),INDEX(GL!$E:$E,$C1150)))</f>
        <v/>
      </c>
      <c r="H1150" s="5" t="str">
        <f aca="false">IF(C1150=0,"",IF(A1150="GL",IF(G1150&gt;0,"Deposit in transit","Outstanding check / payment"),IF(G1150&gt;0,"Bank credit not in GL","Bank debit not in GL")))</f>
        <v/>
      </c>
      <c r="I1150" s="42" t="str">
        <f aca="false">IF(OR(C1150=0,CFG_PeriodEnd=""),"",CFG_PeriodEnd-D1150)</f>
        <v/>
      </c>
      <c r="J1150" s="5" t="str">
        <f aca="false">IF(C1150=0,"",IF($A1150="Bank",IF(INDEX(Bank!$G:$G,$C1150)="","",INDEX(Bank!$G:$G,$C1150)),IF(INDEX(GL!$G:$G,$C1150)="","",INDEX(GL!$G:$G,$C1150))))</f>
        <v/>
      </c>
      <c r="K1150" s="5" t="str">
        <f aca="false">IF(C1150=0,"",IF($A1150="Bank",IF(INDEX(Bank!$I:$I,$C1150)="","",INDEX(Bank!$I:$I,$C1150)),IF(INDEX(GL!$I:$I,$C1150)="","",INDEX(GL!$I:$I,$C1150))))</f>
        <v/>
      </c>
      <c r="L1150" s="5" t="str">
        <f aca="false">IF(B1150="","",IF(C1150=0,"NOT FOUND",IF(IF($A1150="Bank",INDEX(Bank!$F:$F,$C1150),INDEX(GL!$F:$F,$C1150))="Y","NOW RECONCILED: refresh","OK")))</f>
        <v/>
      </c>
    </row>
    <row r="1151" customFormat="false" ht="15" hidden="false" customHeight="false" outlineLevel="0" collapsed="false">
      <c r="A1151" s="41"/>
      <c r="B1151" s="41"/>
      <c r="C1151" s="5" t="n">
        <f aca="false">IF(B1151="",0,IF(A1151="Bank",IFERROR(MATCH(B1151,Bank!$A:$A,0),0),IFERROR(MATCH(B1151,GL!$A:$A,0),0)))</f>
        <v>0</v>
      </c>
      <c r="D1151" s="32" t="str">
        <f aca="false">IF(C1151=0,"",IF($A1151="Bank",INDEX(Bank!$B:$B,$C1151),INDEX(GL!$B:$B,$C1151)))</f>
        <v/>
      </c>
      <c r="E1151" s="5" t="str">
        <f aca="false">IF(C1151=0,"",IF($A1151="Bank",IF(INDEX(Bank!$C:$C,$C1151)="","",INDEX(Bank!$C:$C,$C1151)),IF(INDEX(GL!$C:$C,$C1151)="","",INDEX(GL!$C:$C,$C1151))))</f>
        <v/>
      </c>
      <c r="F1151" s="5" t="str">
        <f aca="false">IF(C1151=0,"",IF($A1151="Bank",IF(INDEX(Bank!$D:$D,$C1151)="","",INDEX(Bank!$D:$D,$C1151)),IF(INDEX(GL!$D:$D,$C1151)="","",INDEX(GL!$D:$D,$C1151))))</f>
        <v/>
      </c>
      <c r="G1151" s="19" t="str">
        <f aca="false">IF(C1151=0,"",IF($A1151="Bank",INDEX(Bank!$E:$E,$C1151),INDEX(GL!$E:$E,$C1151)))</f>
        <v/>
      </c>
      <c r="H1151" s="5" t="str">
        <f aca="false">IF(C1151=0,"",IF(A1151="GL",IF(G1151&gt;0,"Deposit in transit","Outstanding check / payment"),IF(G1151&gt;0,"Bank credit not in GL","Bank debit not in GL")))</f>
        <v/>
      </c>
      <c r="I1151" s="42" t="str">
        <f aca="false">IF(OR(C1151=0,CFG_PeriodEnd=""),"",CFG_PeriodEnd-D1151)</f>
        <v/>
      </c>
      <c r="J1151" s="5" t="str">
        <f aca="false">IF(C1151=0,"",IF($A1151="Bank",IF(INDEX(Bank!$G:$G,$C1151)="","",INDEX(Bank!$G:$G,$C1151)),IF(INDEX(GL!$G:$G,$C1151)="","",INDEX(GL!$G:$G,$C1151))))</f>
        <v/>
      </c>
      <c r="K1151" s="5" t="str">
        <f aca="false">IF(C1151=0,"",IF($A1151="Bank",IF(INDEX(Bank!$I:$I,$C1151)="","",INDEX(Bank!$I:$I,$C1151)),IF(INDEX(GL!$I:$I,$C1151)="","",INDEX(GL!$I:$I,$C1151))))</f>
        <v/>
      </c>
      <c r="L1151" s="5" t="str">
        <f aca="false">IF(B1151="","",IF(C1151=0,"NOT FOUND",IF(IF($A1151="Bank",INDEX(Bank!$F:$F,$C1151),INDEX(GL!$F:$F,$C1151))="Y","NOW RECONCILED: refresh","OK")))</f>
        <v/>
      </c>
    </row>
    <row r="1152" customFormat="false" ht="15" hidden="false" customHeight="false" outlineLevel="0" collapsed="false">
      <c r="A1152" s="41"/>
      <c r="B1152" s="41"/>
      <c r="C1152" s="5" t="n">
        <f aca="false">IF(B1152="",0,IF(A1152="Bank",IFERROR(MATCH(B1152,Bank!$A:$A,0),0),IFERROR(MATCH(B1152,GL!$A:$A,0),0)))</f>
        <v>0</v>
      </c>
      <c r="D1152" s="32" t="str">
        <f aca="false">IF(C1152=0,"",IF($A1152="Bank",INDEX(Bank!$B:$B,$C1152),INDEX(GL!$B:$B,$C1152)))</f>
        <v/>
      </c>
      <c r="E1152" s="5" t="str">
        <f aca="false">IF(C1152=0,"",IF($A1152="Bank",IF(INDEX(Bank!$C:$C,$C1152)="","",INDEX(Bank!$C:$C,$C1152)),IF(INDEX(GL!$C:$C,$C1152)="","",INDEX(GL!$C:$C,$C1152))))</f>
        <v/>
      </c>
      <c r="F1152" s="5" t="str">
        <f aca="false">IF(C1152=0,"",IF($A1152="Bank",IF(INDEX(Bank!$D:$D,$C1152)="","",INDEX(Bank!$D:$D,$C1152)),IF(INDEX(GL!$D:$D,$C1152)="","",INDEX(GL!$D:$D,$C1152))))</f>
        <v/>
      </c>
      <c r="G1152" s="19" t="str">
        <f aca="false">IF(C1152=0,"",IF($A1152="Bank",INDEX(Bank!$E:$E,$C1152),INDEX(GL!$E:$E,$C1152)))</f>
        <v/>
      </c>
      <c r="H1152" s="5" t="str">
        <f aca="false">IF(C1152=0,"",IF(A1152="GL",IF(G1152&gt;0,"Deposit in transit","Outstanding check / payment"),IF(G1152&gt;0,"Bank credit not in GL","Bank debit not in GL")))</f>
        <v/>
      </c>
      <c r="I1152" s="42" t="str">
        <f aca="false">IF(OR(C1152=0,CFG_PeriodEnd=""),"",CFG_PeriodEnd-D1152)</f>
        <v/>
      </c>
      <c r="J1152" s="5" t="str">
        <f aca="false">IF(C1152=0,"",IF($A1152="Bank",IF(INDEX(Bank!$G:$G,$C1152)="","",INDEX(Bank!$G:$G,$C1152)),IF(INDEX(GL!$G:$G,$C1152)="","",INDEX(GL!$G:$G,$C1152))))</f>
        <v/>
      </c>
      <c r="K1152" s="5" t="str">
        <f aca="false">IF(C1152=0,"",IF($A1152="Bank",IF(INDEX(Bank!$I:$I,$C1152)="","",INDEX(Bank!$I:$I,$C1152)),IF(INDEX(GL!$I:$I,$C1152)="","",INDEX(GL!$I:$I,$C1152))))</f>
        <v/>
      </c>
      <c r="L1152" s="5" t="str">
        <f aca="false">IF(B1152="","",IF(C1152=0,"NOT FOUND",IF(IF($A1152="Bank",INDEX(Bank!$F:$F,$C1152),INDEX(GL!$F:$F,$C1152))="Y","NOW RECONCILED: refresh","OK")))</f>
        <v/>
      </c>
    </row>
    <row r="1153" customFormat="false" ht="15" hidden="false" customHeight="false" outlineLevel="0" collapsed="false">
      <c r="A1153" s="41"/>
      <c r="B1153" s="41"/>
      <c r="C1153" s="5" t="n">
        <f aca="false">IF(B1153="",0,IF(A1153="Bank",IFERROR(MATCH(B1153,Bank!$A:$A,0),0),IFERROR(MATCH(B1153,GL!$A:$A,0),0)))</f>
        <v>0</v>
      </c>
      <c r="D1153" s="32" t="str">
        <f aca="false">IF(C1153=0,"",IF($A1153="Bank",INDEX(Bank!$B:$B,$C1153),INDEX(GL!$B:$B,$C1153)))</f>
        <v/>
      </c>
      <c r="E1153" s="5" t="str">
        <f aca="false">IF(C1153=0,"",IF($A1153="Bank",IF(INDEX(Bank!$C:$C,$C1153)="","",INDEX(Bank!$C:$C,$C1153)),IF(INDEX(GL!$C:$C,$C1153)="","",INDEX(GL!$C:$C,$C1153))))</f>
        <v/>
      </c>
      <c r="F1153" s="5" t="str">
        <f aca="false">IF(C1153=0,"",IF($A1153="Bank",IF(INDEX(Bank!$D:$D,$C1153)="","",INDEX(Bank!$D:$D,$C1153)),IF(INDEX(GL!$D:$D,$C1153)="","",INDEX(GL!$D:$D,$C1153))))</f>
        <v/>
      </c>
      <c r="G1153" s="19" t="str">
        <f aca="false">IF(C1153=0,"",IF($A1153="Bank",INDEX(Bank!$E:$E,$C1153),INDEX(GL!$E:$E,$C1153)))</f>
        <v/>
      </c>
      <c r="H1153" s="5" t="str">
        <f aca="false">IF(C1153=0,"",IF(A1153="GL",IF(G1153&gt;0,"Deposit in transit","Outstanding check / payment"),IF(G1153&gt;0,"Bank credit not in GL","Bank debit not in GL")))</f>
        <v/>
      </c>
      <c r="I1153" s="42" t="str">
        <f aca="false">IF(OR(C1153=0,CFG_PeriodEnd=""),"",CFG_PeriodEnd-D1153)</f>
        <v/>
      </c>
      <c r="J1153" s="5" t="str">
        <f aca="false">IF(C1153=0,"",IF($A1153="Bank",IF(INDEX(Bank!$G:$G,$C1153)="","",INDEX(Bank!$G:$G,$C1153)),IF(INDEX(GL!$G:$G,$C1153)="","",INDEX(GL!$G:$G,$C1153))))</f>
        <v/>
      </c>
      <c r="K1153" s="5" t="str">
        <f aca="false">IF(C1153=0,"",IF($A1153="Bank",IF(INDEX(Bank!$I:$I,$C1153)="","",INDEX(Bank!$I:$I,$C1153)),IF(INDEX(GL!$I:$I,$C1153)="","",INDEX(GL!$I:$I,$C1153))))</f>
        <v/>
      </c>
      <c r="L1153" s="5" t="str">
        <f aca="false">IF(B1153="","",IF(C1153=0,"NOT FOUND",IF(IF($A1153="Bank",INDEX(Bank!$F:$F,$C1153),INDEX(GL!$F:$F,$C1153))="Y","NOW RECONCILED: refresh","OK")))</f>
        <v/>
      </c>
    </row>
    <row r="1154" customFormat="false" ht="15" hidden="false" customHeight="false" outlineLevel="0" collapsed="false">
      <c r="A1154" s="41"/>
      <c r="B1154" s="41"/>
      <c r="C1154" s="5" t="n">
        <f aca="false">IF(B1154="",0,IF(A1154="Bank",IFERROR(MATCH(B1154,Bank!$A:$A,0),0),IFERROR(MATCH(B1154,GL!$A:$A,0),0)))</f>
        <v>0</v>
      </c>
      <c r="D1154" s="32" t="str">
        <f aca="false">IF(C1154=0,"",IF($A1154="Bank",INDEX(Bank!$B:$B,$C1154),INDEX(GL!$B:$B,$C1154)))</f>
        <v/>
      </c>
      <c r="E1154" s="5" t="str">
        <f aca="false">IF(C1154=0,"",IF($A1154="Bank",IF(INDEX(Bank!$C:$C,$C1154)="","",INDEX(Bank!$C:$C,$C1154)),IF(INDEX(GL!$C:$C,$C1154)="","",INDEX(GL!$C:$C,$C1154))))</f>
        <v/>
      </c>
      <c r="F1154" s="5" t="str">
        <f aca="false">IF(C1154=0,"",IF($A1154="Bank",IF(INDEX(Bank!$D:$D,$C1154)="","",INDEX(Bank!$D:$D,$C1154)),IF(INDEX(GL!$D:$D,$C1154)="","",INDEX(GL!$D:$D,$C1154))))</f>
        <v/>
      </c>
      <c r="G1154" s="19" t="str">
        <f aca="false">IF(C1154=0,"",IF($A1154="Bank",INDEX(Bank!$E:$E,$C1154),INDEX(GL!$E:$E,$C1154)))</f>
        <v/>
      </c>
      <c r="H1154" s="5" t="str">
        <f aca="false">IF(C1154=0,"",IF(A1154="GL",IF(G1154&gt;0,"Deposit in transit","Outstanding check / payment"),IF(G1154&gt;0,"Bank credit not in GL","Bank debit not in GL")))</f>
        <v/>
      </c>
      <c r="I1154" s="42" t="str">
        <f aca="false">IF(OR(C1154=0,CFG_PeriodEnd=""),"",CFG_PeriodEnd-D1154)</f>
        <v/>
      </c>
      <c r="J1154" s="5" t="str">
        <f aca="false">IF(C1154=0,"",IF($A1154="Bank",IF(INDEX(Bank!$G:$G,$C1154)="","",INDEX(Bank!$G:$G,$C1154)),IF(INDEX(GL!$G:$G,$C1154)="","",INDEX(GL!$G:$G,$C1154))))</f>
        <v/>
      </c>
      <c r="K1154" s="5" t="str">
        <f aca="false">IF(C1154=0,"",IF($A1154="Bank",IF(INDEX(Bank!$I:$I,$C1154)="","",INDEX(Bank!$I:$I,$C1154)),IF(INDEX(GL!$I:$I,$C1154)="","",INDEX(GL!$I:$I,$C1154))))</f>
        <v/>
      </c>
      <c r="L1154" s="5" t="str">
        <f aca="false">IF(B1154="","",IF(C1154=0,"NOT FOUND",IF(IF($A1154="Bank",INDEX(Bank!$F:$F,$C1154),INDEX(GL!$F:$F,$C1154))="Y","NOW RECONCILED: refresh","OK")))</f>
        <v/>
      </c>
    </row>
    <row r="1155" customFormat="false" ht="15" hidden="false" customHeight="false" outlineLevel="0" collapsed="false">
      <c r="A1155" s="41"/>
      <c r="B1155" s="41"/>
      <c r="C1155" s="5" t="n">
        <f aca="false">IF(B1155="",0,IF(A1155="Bank",IFERROR(MATCH(B1155,Bank!$A:$A,0),0),IFERROR(MATCH(B1155,GL!$A:$A,0),0)))</f>
        <v>0</v>
      </c>
      <c r="D1155" s="32" t="str">
        <f aca="false">IF(C1155=0,"",IF($A1155="Bank",INDEX(Bank!$B:$B,$C1155),INDEX(GL!$B:$B,$C1155)))</f>
        <v/>
      </c>
      <c r="E1155" s="5" t="str">
        <f aca="false">IF(C1155=0,"",IF($A1155="Bank",IF(INDEX(Bank!$C:$C,$C1155)="","",INDEX(Bank!$C:$C,$C1155)),IF(INDEX(GL!$C:$C,$C1155)="","",INDEX(GL!$C:$C,$C1155))))</f>
        <v/>
      </c>
      <c r="F1155" s="5" t="str">
        <f aca="false">IF(C1155=0,"",IF($A1155="Bank",IF(INDEX(Bank!$D:$D,$C1155)="","",INDEX(Bank!$D:$D,$C1155)),IF(INDEX(GL!$D:$D,$C1155)="","",INDEX(GL!$D:$D,$C1155))))</f>
        <v/>
      </c>
      <c r="G1155" s="19" t="str">
        <f aca="false">IF(C1155=0,"",IF($A1155="Bank",INDEX(Bank!$E:$E,$C1155),INDEX(GL!$E:$E,$C1155)))</f>
        <v/>
      </c>
      <c r="H1155" s="5" t="str">
        <f aca="false">IF(C1155=0,"",IF(A1155="GL",IF(G1155&gt;0,"Deposit in transit","Outstanding check / payment"),IF(G1155&gt;0,"Bank credit not in GL","Bank debit not in GL")))</f>
        <v/>
      </c>
      <c r="I1155" s="42" t="str">
        <f aca="false">IF(OR(C1155=0,CFG_PeriodEnd=""),"",CFG_PeriodEnd-D1155)</f>
        <v/>
      </c>
      <c r="J1155" s="5" t="str">
        <f aca="false">IF(C1155=0,"",IF($A1155="Bank",IF(INDEX(Bank!$G:$G,$C1155)="","",INDEX(Bank!$G:$G,$C1155)),IF(INDEX(GL!$G:$G,$C1155)="","",INDEX(GL!$G:$G,$C1155))))</f>
        <v/>
      </c>
      <c r="K1155" s="5" t="str">
        <f aca="false">IF(C1155=0,"",IF($A1155="Bank",IF(INDEX(Bank!$I:$I,$C1155)="","",INDEX(Bank!$I:$I,$C1155)),IF(INDEX(GL!$I:$I,$C1155)="","",INDEX(GL!$I:$I,$C1155))))</f>
        <v/>
      </c>
      <c r="L1155" s="5" t="str">
        <f aca="false">IF(B1155="","",IF(C1155=0,"NOT FOUND",IF(IF($A1155="Bank",INDEX(Bank!$F:$F,$C1155),INDEX(GL!$F:$F,$C1155))="Y","NOW RECONCILED: refresh","OK")))</f>
        <v/>
      </c>
    </row>
    <row r="1156" customFormat="false" ht="15" hidden="false" customHeight="false" outlineLevel="0" collapsed="false">
      <c r="A1156" s="41"/>
      <c r="B1156" s="41"/>
      <c r="C1156" s="5" t="n">
        <f aca="false">IF(B1156="",0,IF(A1156="Bank",IFERROR(MATCH(B1156,Bank!$A:$A,0),0),IFERROR(MATCH(B1156,GL!$A:$A,0),0)))</f>
        <v>0</v>
      </c>
      <c r="D1156" s="32" t="str">
        <f aca="false">IF(C1156=0,"",IF($A1156="Bank",INDEX(Bank!$B:$B,$C1156),INDEX(GL!$B:$B,$C1156)))</f>
        <v/>
      </c>
      <c r="E1156" s="5" t="str">
        <f aca="false">IF(C1156=0,"",IF($A1156="Bank",IF(INDEX(Bank!$C:$C,$C1156)="","",INDEX(Bank!$C:$C,$C1156)),IF(INDEX(GL!$C:$C,$C1156)="","",INDEX(GL!$C:$C,$C1156))))</f>
        <v/>
      </c>
      <c r="F1156" s="5" t="str">
        <f aca="false">IF(C1156=0,"",IF($A1156="Bank",IF(INDEX(Bank!$D:$D,$C1156)="","",INDEX(Bank!$D:$D,$C1156)),IF(INDEX(GL!$D:$D,$C1156)="","",INDEX(GL!$D:$D,$C1156))))</f>
        <v/>
      </c>
      <c r="G1156" s="19" t="str">
        <f aca="false">IF(C1156=0,"",IF($A1156="Bank",INDEX(Bank!$E:$E,$C1156),INDEX(GL!$E:$E,$C1156)))</f>
        <v/>
      </c>
      <c r="H1156" s="5" t="str">
        <f aca="false">IF(C1156=0,"",IF(A1156="GL",IF(G1156&gt;0,"Deposit in transit","Outstanding check / payment"),IF(G1156&gt;0,"Bank credit not in GL","Bank debit not in GL")))</f>
        <v/>
      </c>
      <c r="I1156" s="42" t="str">
        <f aca="false">IF(OR(C1156=0,CFG_PeriodEnd=""),"",CFG_PeriodEnd-D1156)</f>
        <v/>
      </c>
      <c r="J1156" s="5" t="str">
        <f aca="false">IF(C1156=0,"",IF($A1156="Bank",IF(INDEX(Bank!$G:$G,$C1156)="","",INDEX(Bank!$G:$G,$C1156)),IF(INDEX(GL!$G:$G,$C1156)="","",INDEX(GL!$G:$G,$C1156))))</f>
        <v/>
      </c>
      <c r="K1156" s="5" t="str">
        <f aca="false">IF(C1156=0,"",IF($A1156="Bank",IF(INDEX(Bank!$I:$I,$C1156)="","",INDEX(Bank!$I:$I,$C1156)),IF(INDEX(GL!$I:$I,$C1156)="","",INDEX(GL!$I:$I,$C1156))))</f>
        <v/>
      </c>
      <c r="L1156" s="5" t="str">
        <f aca="false">IF(B1156="","",IF(C1156=0,"NOT FOUND",IF(IF($A1156="Bank",INDEX(Bank!$F:$F,$C1156),INDEX(GL!$F:$F,$C1156))="Y","NOW RECONCILED: refresh","OK")))</f>
        <v/>
      </c>
    </row>
    <row r="1157" customFormat="false" ht="15" hidden="false" customHeight="false" outlineLevel="0" collapsed="false">
      <c r="A1157" s="41"/>
      <c r="B1157" s="41"/>
      <c r="C1157" s="5" t="n">
        <f aca="false">IF(B1157="",0,IF(A1157="Bank",IFERROR(MATCH(B1157,Bank!$A:$A,0),0),IFERROR(MATCH(B1157,GL!$A:$A,0),0)))</f>
        <v>0</v>
      </c>
      <c r="D1157" s="32" t="str">
        <f aca="false">IF(C1157=0,"",IF($A1157="Bank",INDEX(Bank!$B:$B,$C1157),INDEX(GL!$B:$B,$C1157)))</f>
        <v/>
      </c>
      <c r="E1157" s="5" t="str">
        <f aca="false">IF(C1157=0,"",IF($A1157="Bank",IF(INDEX(Bank!$C:$C,$C1157)="","",INDEX(Bank!$C:$C,$C1157)),IF(INDEX(GL!$C:$C,$C1157)="","",INDEX(GL!$C:$C,$C1157))))</f>
        <v/>
      </c>
      <c r="F1157" s="5" t="str">
        <f aca="false">IF(C1157=0,"",IF($A1157="Bank",IF(INDEX(Bank!$D:$D,$C1157)="","",INDEX(Bank!$D:$D,$C1157)),IF(INDEX(GL!$D:$D,$C1157)="","",INDEX(GL!$D:$D,$C1157))))</f>
        <v/>
      </c>
      <c r="G1157" s="19" t="str">
        <f aca="false">IF(C1157=0,"",IF($A1157="Bank",INDEX(Bank!$E:$E,$C1157),INDEX(GL!$E:$E,$C1157)))</f>
        <v/>
      </c>
      <c r="H1157" s="5" t="str">
        <f aca="false">IF(C1157=0,"",IF(A1157="GL",IF(G1157&gt;0,"Deposit in transit","Outstanding check / payment"),IF(G1157&gt;0,"Bank credit not in GL","Bank debit not in GL")))</f>
        <v/>
      </c>
      <c r="I1157" s="42" t="str">
        <f aca="false">IF(OR(C1157=0,CFG_PeriodEnd=""),"",CFG_PeriodEnd-D1157)</f>
        <v/>
      </c>
      <c r="J1157" s="5" t="str">
        <f aca="false">IF(C1157=0,"",IF($A1157="Bank",IF(INDEX(Bank!$G:$G,$C1157)="","",INDEX(Bank!$G:$G,$C1157)),IF(INDEX(GL!$G:$G,$C1157)="","",INDEX(GL!$G:$G,$C1157))))</f>
        <v/>
      </c>
      <c r="K1157" s="5" t="str">
        <f aca="false">IF(C1157=0,"",IF($A1157="Bank",IF(INDEX(Bank!$I:$I,$C1157)="","",INDEX(Bank!$I:$I,$C1157)),IF(INDEX(GL!$I:$I,$C1157)="","",INDEX(GL!$I:$I,$C1157))))</f>
        <v/>
      </c>
      <c r="L1157" s="5" t="str">
        <f aca="false">IF(B1157="","",IF(C1157=0,"NOT FOUND",IF(IF($A1157="Bank",INDEX(Bank!$F:$F,$C1157),INDEX(GL!$F:$F,$C1157))="Y","NOW RECONCILED: refresh","OK")))</f>
        <v/>
      </c>
    </row>
    <row r="1158" customFormat="false" ht="15" hidden="false" customHeight="false" outlineLevel="0" collapsed="false">
      <c r="A1158" s="41"/>
      <c r="B1158" s="41"/>
      <c r="C1158" s="5" t="n">
        <f aca="false">IF(B1158="",0,IF(A1158="Bank",IFERROR(MATCH(B1158,Bank!$A:$A,0),0),IFERROR(MATCH(B1158,GL!$A:$A,0),0)))</f>
        <v>0</v>
      </c>
      <c r="D1158" s="32" t="str">
        <f aca="false">IF(C1158=0,"",IF($A1158="Bank",INDEX(Bank!$B:$B,$C1158),INDEX(GL!$B:$B,$C1158)))</f>
        <v/>
      </c>
      <c r="E1158" s="5" t="str">
        <f aca="false">IF(C1158=0,"",IF($A1158="Bank",IF(INDEX(Bank!$C:$C,$C1158)="","",INDEX(Bank!$C:$C,$C1158)),IF(INDEX(GL!$C:$C,$C1158)="","",INDEX(GL!$C:$C,$C1158))))</f>
        <v/>
      </c>
      <c r="F1158" s="5" t="str">
        <f aca="false">IF(C1158=0,"",IF($A1158="Bank",IF(INDEX(Bank!$D:$D,$C1158)="","",INDEX(Bank!$D:$D,$C1158)),IF(INDEX(GL!$D:$D,$C1158)="","",INDEX(GL!$D:$D,$C1158))))</f>
        <v/>
      </c>
      <c r="G1158" s="19" t="str">
        <f aca="false">IF(C1158=0,"",IF($A1158="Bank",INDEX(Bank!$E:$E,$C1158),INDEX(GL!$E:$E,$C1158)))</f>
        <v/>
      </c>
      <c r="H1158" s="5" t="str">
        <f aca="false">IF(C1158=0,"",IF(A1158="GL",IF(G1158&gt;0,"Deposit in transit","Outstanding check / payment"),IF(G1158&gt;0,"Bank credit not in GL","Bank debit not in GL")))</f>
        <v/>
      </c>
      <c r="I1158" s="42" t="str">
        <f aca="false">IF(OR(C1158=0,CFG_PeriodEnd=""),"",CFG_PeriodEnd-D1158)</f>
        <v/>
      </c>
      <c r="J1158" s="5" t="str">
        <f aca="false">IF(C1158=0,"",IF($A1158="Bank",IF(INDEX(Bank!$G:$G,$C1158)="","",INDEX(Bank!$G:$G,$C1158)),IF(INDEX(GL!$G:$G,$C1158)="","",INDEX(GL!$G:$G,$C1158))))</f>
        <v/>
      </c>
      <c r="K1158" s="5" t="str">
        <f aca="false">IF(C1158=0,"",IF($A1158="Bank",IF(INDEX(Bank!$I:$I,$C1158)="","",INDEX(Bank!$I:$I,$C1158)),IF(INDEX(GL!$I:$I,$C1158)="","",INDEX(GL!$I:$I,$C1158))))</f>
        <v/>
      </c>
      <c r="L1158" s="5" t="str">
        <f aca="false">IF(B1158="","",IF(C1158=0,"NOT FOUND",IF(IF($A1158="Bank",INDEX(Bank!$F:$F,$C1158),INDEX(GL!$F:$F,$C1158))="Y","NOW RECONCILED: refresh","OK")))</f>
        <v/>
      </c>
    </row>
    <row r="1159" customFormat="false" ht="15" hidden="false" customHeight="false" outlineLevel="0" collapsed="false">
      <c r="A1159" s="41"/>
      <c r="B1159" s="41"/>
      <c r="C1159" s="5" t="n">
        <f aca="false">IF(B1159="",0,IF(A1159="Bank",IFERROR(MATCH(B1159,Bank!$A:$A,0),0),IFERROR(MATCH(B1159,GL!$A:$A,0),0)))</f>
        <v>0</v>
      </c>
      <c r="D1159" s="32" t="str">
        <f aca="false">IF(C1159=0,"",IF($A1159="Bank",INDEX(Bank!$B:$B,$C1159),INDEX(GL!$B:$B,$C1159)))</f>
        <v/>
      </c>
      <c r="E1159" s="5" t="str">
        <f aca="false">IF(C1159=0,"",IF($A1159="Bank",IF(INDEX(Bank!$C:$C,$C1159)="","",INDEX(Bank!$C:$C,$C1159)),IF(INDEX(GL!$C:$C,$C1159)="","",INDEX(GL!$C:$C,$C1159))))</f>
        <v/>
      </c>
      <c r="F1159" s="5" t="str">
        <f aca="false">IF(C1159=0,"",IF($A1159="Bank",IF(INDEX(Bank!$D:$D,$C1159)="","",INDEX(Bank!$D:$D,$C1159)),IF(INDEX(GL!$D:$D,$C1159)="","",INDEX(GL!$D:$D,$C1159))))</f>
        <v/>
      </c>
      <c r="G1159" s="19" t="str">
        <f aca="false">IF(C1159=0,"",IF($A1159="Bank",INDEX(Bank!$E:$E,$C1159),INDEX(GL!$E:$E,$C1159)))</f>
        <v/>
      </c>
      <c r="H1159" s="5" t="str">
        <f aca="false">IF(C1159=0,"",IF(A1159="GL",IF(G1159&gt;0,"Deposit in transit","Outstanding check / payment"),IF(G1159&gt;0,"Bank credit not in GL","Bank debit not in GL")))</f>
        <v/>
      </c>
      <c r="I1159" s="42" t="str">
        <f aca="false">IF(OR(C1159=0,CFG_PeriodEnd=""),"",CFG_PeriodEnd-D1159)</f>
        <v/>
      </c>
      <c r="J1159" s="5" t="str">
        <f aca="false">IF(C1159=0,"",IF($A1159="Bank",IF(INDEX(Bank!$G:$G,$C1159)="","",INDEX(Bank!$G:$G,$C1159)),IF(INDEX(GL!$G:$G,$C1159)="","",INDEX(GL!$G:$G,$C1159))))</f>
        <v/>
      </c>
      <c r="K1159" s="5" t="str">
        <f aca="false">IF(C1159=0,"",IF($A1159="Bank",IF(INDEX(Bank!$I:$I,$C1159)="","",INDEX(Bank!$I:$I,$C1159)),IF(INDEX(GL!$I:$I,$C1159)="","",INDEX(GL!$I:$I,$C1159))))</f>
        <v/>
      </c>
      <c r="L1159" s="5" t="str">
        <f aca="false">IF(B1159="","",IF(C1159=0,"NOT FOUND",IF(IF($A1159="Bank",INDEX(Bank!$F:$F,$C1159),INDEX(GL!$F:$F,$C1159))="Y","NOW RECONCILED: refresh","OK")))</f>
        <v/>
      </c>
    </row>
    <row r="1160" customFormat="false" ht="15" hidden="false" customHeight="false" outlineLevel="0" collapsed="false">
      <c r="A1160" s="41"/>
      <c r="B1160" s="41"/>
      <c r="C1160" s="5" t="n">
        <f aca="false">IF(B1160="",0,IF(A1160="Bank",IFERROR(MATCH(B1160,Bank!$A:$A,0),0),IFERROR(MATCH(B1160,GL!$A:$A,0),0)))</f>
        <v>0</v>
      </c>
      <c r="D1160" s="32" t="str">
        <f aca="false">IF(C1160=0,"",IF($A1160="Bank",INDEX(Bank!$B:$B,$C1160),INDEX(GL!$B:$B,$C1160)))</f>
        <v/>
      </c>
      <c r="E1160" s="5" t="str">
        <f aca="false">IF(C1160=0,"",IF($A1160="Bank",IF(INDEX(Bank!$C:$C,$C1160)="","",INDEX(Bank!$C:$C,$C1160)),IF(INDEX(GL!$C:$C,$C1160)="","",INDEX(GL!$C:$C,$C1160))))</f>
        <v/>
      </c>
      <c r="F1160" s="5" t="str">
        <f aca="false">IF(C1160=0,"",IF($A1160="Bank",IF(INDEX(Bank!$D:$D,$C1160)="","",INDEX(Bank!$D:$D,$C1160)),IF(INDEX(GL!$D:$D,$C1160)="","",INDEX(GL!$D:$D,$C1160))))</f>
        <v/>
      </c>
      <c r="G1160" s="19" t="str">
        <f aca="false">IF(C1160=0,"",IF($A1160="Bank",INDEX(Bank!$E:$E,$C1160),INDEX(GL!$E:$E,$C1160)))</f>
        <v/>
      </c>
      <c r="H1160" s="5" t="str">
        <f aca="false">IF(C1160=0,"",IF(A1160="GL",IF(G1160&gt;0,"Deposit in transit","Outstanding check / payment"),IF(G1160&gt;0,"Bank credit not in GL","Bank debit not in GL")))</f>
        <v/>
      </c>
      <c r="I1160" s="42" t="str">
        <f aca="false">IF(OR(C1160=0,CFG_PeriodEnd=""),"",CFG_PeriodEnd-D1160)</f>
        <v/>
      </c>
      <c r="J1160" s="5" t="str">
        <f aca="false">IF(C1160=0,"",IF($A1160="Bank",IF(INDEX(Bank!$G:$G,$C1160)="","",INDEX(Bank!$G:$G,$C1160)),IF(INDEX(GL!$G:$G,$C1160)="","",INDEX(GL!$G:$G,$C1160))))</f>
        <v/>
      </c>
      <c r="K1160" s="5" t="str">
        <f aca="false">IF(C1160=0,"",IF($A1160="Bank",IF(INDEX(Bank!$I:$I,$C1160)="","",INDEX(Bank!$I:$I,$C1160)),IF(INDEX(GL!$I:$I,$C1160)="","",INDEX(GL!$I:$I,$C1160))))</f>
        <v/>
      </c>
      <c r="L1160" s="5" t="str">
        <f aca="false">IF(B1160="","",IF(C1160=0,"NOT FOUND",IF(IF($A1160="Bank",INDEX(Bank!$F:$F,$C1160),INDEX(GL!$F:$F,$C1160))="Y","NOW RECONCILED: refresh","OK")))</f>
        <v/>
      </c>
    </row>
    <row r="1161" customFormat="false" ht="15" hidden="false" customHeight="false" outlineLevel="0" collapsed="false">
      <c r="A1161" s="41"/>
      <c r="B1161" s="41"/>
      <c r="C1161" s="5" t="n">
        <f aca="false">IF(B1161="",0,IF(A1161="Bank",IFERROR(MATCH(B1161,Bank!$A:$A,0),0),IFERROR(MATCH(B1161,GL!$A:$A,0),0)))</f>
        <v>0</v>
      </c>
      <c r="D1161" s="32" t="str">
        <f aca="false">IF(C1161=0,"",IF($A1161="Bank",INDEX(Bank!$B:$B,$C1161),INDEX(GL!$B:$B,$C1161)))</f>
        <v/>
      </c>
      <c r="E1161" s="5" t="str">
        <f aca="false">IF(C1161=0,"",IF($A1161="Bank",IF(INDEX(Bank!$C:$C,$C1161)="","",INDEX(Bank!$C:$C,$C1161)),IF(INDEX(GL!$C:$C,$C1161)="","",INDEX(GL!$C:$C,$C1161))))</f>
        <v/>
      </c>
      <c r="F1161" s="5" t="str">
        <f aca="false">IF(C1161=0,"",IF($A1161="Bank",IF(INDEX(Bank!$D:$D,$C1161)="","",INDEX(Bank!$D:$D,$C1161)),IF(INDEX(GL!$D:$D,$C1161)="","",INDEX(GL!$D:$D,$C1161))))</f>
        <v/>
      </c>
      <c r="G1161" s="19" t="str">
        <f aca="false">IF(C1161=0,"",IF($A1161="Bank",INDEX(Bank!$E:$E,$C1161),INDEX(GL!$E:$E,$C1161)))</f>
        <v/>
      </c>
      <c r="H1161" s="5" t="str">
        <f aca="false">IF(C1161=0,"",IF(A1161="GL",IF(G1161&gt;0,"Deposit in transit","Outstanding check / payment"),IF(G1161&gt;0,"Bank credit not in GL","Bank debit not in GL")))</f>
        <v/>
      </c>
      <c r="I1161" s="42" t="str">
        <f aca="false">IF(OR(C1161=0,CFG_PeriodEnd=""),"",CFG_PeriodEnd-D1161)</f>
        <v/>
      </c>
      <c r="J1161" s="5" t="str">
        <f aca="false">IF(C1161=0,"",IF($A1161="Bank",IF(INDEX(Bank!$G:$G,$C1161)="","",INDEX(Bank!$G:$G,$C1161)),IF(INDEX(GL!$G:$G,$C1161)="","",INDEX(GL!$G:$G,$C1161))))</f>
        <v/>
      </c>
      <c r="K1161" s="5" t="str">
        <f aca="false">IF(C1161=0,"",IF($A1161="Bank",IF(INDEX(Bank!$I:$I,$C1161)="","",INDEX(Bank!$I:$I,$C1161)),IF(INDEX(GL!$I:$I,$C1161)="","",INDEX(GL!$I:$I,$C1161))))</f>
        <v/>
      </c>
      <c r="L1161" s="5" t="str">
        <f aca="false">IF(B1161="","",IF(C1161=0,"NOT FOUND",IF(IF($A1161="Bank",INDEX(Bank!$F:$F,$C1161),INDEX(GL!$F:$F,$C1161))="Y","NOW RECONCILED: refresh","OK")))</f>
        <v/>
      </c>
    </row>
    <row r="1162" customFormat="false" ht="15" hidden="false" customHeight="false" outlineLevel="0" collapsed="false">
      <c r="A1162" s="41"/>
      <c r="B1162" s="41"/>
      <c r="C1162" s="5" t="n">
        <f aca="false">IF(B1162="",0,IF(A1162="Bank",IFERROR(MATCH(B1162,Bank!$A:$A,0),0),IFERROR(MATCH(B1162,GL!$A:$A,0),0)))</f>
        <v>0</v>
      </c>
      <c r="D1162" s="32" t="str">
        <f aca="false">IF(C1162=0,"",IF($A1162="Bank",INDEX(Bank!$B:$B,$C1162),INDEX(GL!$B:$B,$C1162)))</f>
        <v/>
      </c>
      <c r="E1162" s="5" t="str">
        <f aca="false">IF(C1162=0,"",IF($A1162="Bank",IF(INDEX(Bank!$C:$C,$C1162)="","",INDEX(Bank!$C:$C,$C1162)),IF(INDEX(GL!$C:$C,$C1162)="","",INDEX(GL!$C:$C,$C1162))))</f>
        <v/>
      </c>
      <c r="F1162" s="5" t="str">
        <f aca="false">IF(C1162=0,"",IF($A1162="Bank",IF(INDEX(Bank!$D:$D,$C1162)="","",INDEX(Bank!$D:$D,$C1162)),IF(INDEX(GL!$D:$D,$C1162)="","",INDEX(GL!$D:$D,$C1162))))</f>
        <v/>
      </c>
      <c r="G1162" s="19" t="str">
        <f aca="false">IF(C1162=0,"",IF($A1162="Bank",INDEX(Bank!$E:$E,$C1162),INDEX(GL!$E:$E,$C1162)))</f>
        <v/>
      </c>
      <c r="H1162" s="5" t="str">
        <f aca="false">IF(C1162=0,"",IF(A1162="GL",IF(G1162&gt;0,"Deposit in transit","Outstanding check / payment"),IF(G1162&gt;0,"Bank credit not in GL","Bank debit not in GL")))</f>
        <v/>
      </c>
      <c r="I1162" s="42" t="str">
        <f aca="false">IF(OR(C1162=0,CFG_PeriodEnd=""),"",CFG_PeriodEnd-D1162)</f>
        <v/>
      </c>
      <c r="J1162" s="5" t="str">
        <f aca="false">IF(C1162=0,"",IF($A1162="Bank",IF(INDEX(Bank!$G:$G,$C1162)="","",INDEX(Bank!$G:$G,$C1162)),IF(INDEX(GL!$G:$G,$C1162)="","",INDEX(GL!$G:$G,$C1162))))</f>
        <v/>
      </c>
      <c r="K1162" s="5" t="str">
        <f aca="false">IF(C1162=0,"",IF($A1162="Bank",IF(INDEX(Bank!$I:$I,$C1162)="","",INDEX(Bank!$I:$I,$C1162)),IF(INDEX(GL!$I:$I,$C1162)="","",INDEX(GL!$I:$I,$C1162))))</f>
        <v/>
      </c>
      <c r="L1162" s="5" t="str">
        <f aca="false">IF(B1162="","",IF(C1162=0,"NOT FOUND",IF(IF($A1162="Bank",INDEX(Bank!$F:$F,$C1162),INDEX(GL!$F:$F,$C1162))="Y","NOW RECONCILED: refresh","OK")))</f>
        <v/>
      </c>
    </row>
    <row r="1163" customFormat="false" ht="15" hidden="false" customHeight="false" outlineLevel="0" collapsed="false">
      <c r="A1163" s="41"/>
      <c r="B1163" s="41"/>
      <c r="C1163" s="5" t="n">
        <f aca="false">IF(B1163="",0,IF(A1163="Bank",IFERROR(MATCH(B1163,Bank!$A:$A,0),0),IFERROR(MATCH(B1163,GL!$A:$A,0),0)))</f>
        <v>0</v>
      </c>
      <c r="D1163" s="32" t="str">
        <f aca="false">IF(C1163=0,"",IF($A1163="Bank",INDEX(Bank!$B:$B,$C1163),INDEX(GL!$B:$B,$C1163)))</f>
        <v/>
      </c>
      <c r="E1163" s="5" t="str">
        <f aca="false">IF(C1163=0,"",IF($A1163="Bank",IF(INDEX(Bank!$C:$C,$C1163)="","",INDEX(Bank!$C:$C,$C1163)),IF(INDEX(GL!$C:$C,$C1163)="","",INDEX(GL!$C:$C,$C1163))))</f>
        <v/>
      </c>
      <c r="F1163" s="5" t="str">
        <f aca="false">IF(C1163=0,"",IF($A1163="Bank",IF(INDEX(Bank!$D:$D,$C1163)="","",INDEX(Bank!$D:$D,$C1163)),IF(INDEX(GL!$D:$D,$C1163)="","",INDEX(GL!$D:$D,$C1163))))</f>
        <v/>
      </c>
      <c r="G1163" s="19" t="str">
        <f aca="false">IF(C1163=0,"",IF($A1163="Bank",INDEX(Bank!$E:$E,$C1163),INDEX(GL!$E:$E,$C1163)))</f>
        <v/>
      </c>
      <c r="H1163" s="5" t="str">
        <f aca="false">IF(C1163=0,"",IF(A1163="GL",IF(G1163&gt;0,"Deposit in transit","Outstanding check / payment"),IF(G1163&gt;0,"Bank credit not in GL","Bank debit not in GL")))</f>
        <v/>
      </c>
      <c r="I1163" s="42" t="str">
        <f aca="false">IF(OR(C1163=0,CFG_PeriodEnd=""),"",CFG_PeriodEnd-D1163)</f>
        <v/>
      </c>
      <c r="J1163" s="5" t="str">
        <f aca="false">IF(C1163=0,"",IF($A1163="Bank",IF(INDEX(Bank!$G:$G,$C1163)="","",INDEX(Bank!$G:$G,$C1163)),IF(INDEX(GL!$G:$G,$C1163)="","",INDEX(GL!$G:$G,$C1163))))</f>
        <v/>
      </c>
      <c r="K1163" s="5" t="str">
        <f aca="false">IF(C1163=0,"",IF($A1163="Bank",IF(INDEX(Bank!$I:$I,$C1163)="","",INDEX(Bank!$I:$I,$C1163)),IF(INDEX(GL!$I:$I,$C1163)="","",INDEX(GL!$I:$I,$C1163))))</f>
        <v/>
      </c>
      <c r="L1163" s="5" t="str">
        <f aca="false">IF(B1163="","",IF(C1163=0,"NOT FOUND",IF(IF($A1163="Bank",INDEX(Bank!$F:$F,$C1163),INDEX(GL!$F:$F,$C1163))="Y","NOW RECONCILED: refresh","OK")))</f>
        <v/>
      </c>
    </row>
    <row r="1164" customFormat="false" ht="15" hidden="false" customHeight="false" outlineLevel="0" collapsed="false">
      <c r="A1164" s="41"/>
      <c r="B1164" s="41"/>
      <c r="C1164" s="5" t="n">
        <f aca="false">IF(B1164="",0,IF(A1164="Bank",IFERROR(MATCH(B1164,Bank!$A:$A,0),0),IFERROR(MATCH(B1164,GL!$A:$A,0),0)))</f>
        <v>0</v>
      </c>
      <c r="D1164" s="32" t="str">
        <f aca="false">IF(C1164=0,"",IF($A1164="Bank",INDEX(Bank!$B:$B,$C1164),INDEX(GL!$B:$B,$C1164)))</f>
        <v/>
      </c>
      <c r="E1164" s="5" t="str">
        <f aca="false">IF(C1164=0,"",IF($A1164="Bank",IF(INDEX(Bank!$C:$C,$C1164)="","",INDEX(Bank!$C:$C,$C1164)),IF(INDEX(GL!$C:$C,$C1164)="","",INDEX(GL!$C:$C,$C1164))))</f>
        <v/>
      </c>
      <c r="F1164" s="5" t="str">
        <f aca="false">IF(C1164=0,"",IF($A1164="Bank",IF(INDEX(Bank!$D:$D,$C1164)="","",INDEX(Bank!$D:$D,$C1164)),IF(INDEX(GL!$D:$D,$C1164)="","",INDEX(GL!$D:$D,$C1164))))</f>
        <v/>
      </c>
      <c r="G1164" s="19" t="str">
        <f aca="false">IF(C1164=0,"",IF($A1164="Bank",INDEX(Bank!$E:$E,$C1164),INDEX(GL!$E:$E,$C1164)))</f>
        <v/>
      </c>
      <c r="H1164" s="5" t="str">
        <f aca="false">IF(C1164=0,"",IF(A1164="GL",IF(G1164&gt;0,"Deposit in transit","Outstanding check / payment"),IF(G1164&gt;0,"Bank credit not in GL","Bank debit not in GL")))</f>
        <v/>
      </c>
      <c r="I1164" s="42" t="str">
        <f aca="false">IF(OR(C1164=0,CFG_PeriodEnd=""),"",CFG_PeriodEnd-D1164)</f>
        <v/>
      </c>
      <c r="J1164" s="5" t="str">
        <f aca="false">IF(C1164=0,"",IF($A1164="Bank",IF(INDEX(Bank!$G:$G,$C1164)="","",INDEX(Bank!$G:$G,$C1164)),IF(INDEX(GL!$G:$G,$C1164)="","",INDEX(GL!$G:$G,$C1164))))</f>
        <v/>
      </c>
      <c r="K1164" s="5" t="str">
        <f aca="false">IF(C1164=0,"",IF($A1164="Bank",IF(INDEX(Bank!$I:$I,$C1164)="","",INDEX(Bank!$I:$I,$C1164)),IF(INDEX(GL!$I:$I,$C1164)="","",INDEX(GL!$I:$I,$C1164))))</f>
        <v/>
      </c>
      <c r="L1164" s="5" t="str">
        <f aca="false">IF(B1164="","",IF(C1164=0,"NOT FOUND",IF(IF($A1164="Bank",INDEX(Bank!$F:$F,$C1164),INDEX(GL!$F:$F,$C1164))="Y","NOW RECONCILED: refresh","OK")))</f>
        <v/>
      </c>
    </row>
    <row r="1165" customFormat="false" ht="15" hidden="false" customHeight="false" outlineLevel="0" collapsed="false">
      <c r="A1165" s="41"/>
      <c r="B1165" s="41"/>
      <c r="C1165" s="5" t="n">
        <f aca="false">IF(B1165="",0,IF(A1165="Bank",IFERROR(MATCH(B1165,Bank!$A:$A,0),0),IFERROR(MATCH(B1165,GL!$A:$A,0),0)))</f>
        <v>0</v>
      </c>
      <c r="D1165" s="32" t="str">
        <f aca="false">IF(C1165=0,"",IF($A1165="Bank",INDEX(Bank!$B:$B,$C1165),INDEX(GL!$B:$B,$C1165)))</f>
        <v/>
      </c>
      <c r="E1165" s="5" t="str">
        <f aca="false">IF(C1165=0,"",IF($A1165="Bank",IF(INDEX(Bank!$C:$C,$C1165)="","",INDEX(Bank!$C:$C,$C1165)),IF(INDEX(GL!$C:$C,$C1165)="","",INDEX(GL!$C:$C,$C1165))))</f>
        <v/>
      </c>
      <c r="F1165" s="5" t="str">
        <f aca="false">IF(C1165=0,"",IF($A1165="Bank",IF(INDEX(Bank!$D:$D,$C1165)="","",INDEX(Bank!$D:$D,$C1165)),IF(INDEX(GL!$D:$D,$C1165)="","",INDEX(GL!$D:$D,$C1165))))</f>
        <v/>
      </c>
      <c r="G1165" s="19" t="str">
        <f aca="false">IF(C1165=0,"",IF($A1165="Bank",INDEX(Bank!$E:$E,$C1165),INDEX(GL!$E:$E,$C1165)))</f>
        <v/>
      </c>
      <c r="H1165" s="5" t="str">
        <f aca="false">IF(C1165=0,"",IF(A1165="GL",IF(G1165&gt;0,"Deposit in transit","Outstanding check / payment"),IF(G1165&gt;0,"Bank credit not in GL","Bank debit not in GL")))</f>
        <v/>
      </c>
      <c r="I1165" s="42" t="str">
        <f aca="false">IF(OR(C1165=0,CFG_PeriodEnd=""),"",CFG_PeriodEnd-D1165)</f>
        <v/>
      </c>
      <c r="J1165" s="5" t="str">
        <f aca="false">IF(C1165=0,"",IF($A1165="Bank",IF(INDEX(Bank!$G:$G,$C1165)="","",INDEX(Bank!$G:$G,$C1165)),IF(INDEX(GL!$G:$G,$C1165)="","",INDEX(GL!$G:$G,$C1165))))</f>
        <v/>
      </c>
      <c r="K1165" s="5" t="str">
        <f aca="false">IF(C1165=0,"",IF($A1165="Bank",IF(INDEX(Bank!$I:$I,$C1165)="","",INDEX(Bank!$I:$I,$C1165)),IF(INDEX(GL!$I:$I,$C1165)="","",INDEX(GL!$I:$I,$C1165))))</f>
        <v/>
      </c>
      <c r="L1165" s="5" t="str">
        <f aca="false">IF(B1165="","",IF(C1165=0,"NOT FOUND",IF(IF($A1165="Bank",INDEX(Bank!$F:$F,$C1165),INDEX(GL!$F:$F,$C1165))="Y","NOW RECONCILED: refresh","OK")))</f>
        <v/>
      </c>
    </row>
    <row r="1166" customFormat="false" ht="15" hidden="false" customHeight="false" outlineLevel="0" collapsed="false">
      <c r="A1166" s="41"/>
      <c r="B1166" s="41"/>
      <c r="C1166" s="5" t="n">
        <f aca="false">IF(B1166="",0,IF(A1166="Bank",IFERROR(MATCH(B1166,Bank!$A:$A,0),0),IFERROR(MATCH(B1166,GL!$A:$A,0),0)))</f>
        <v>0</v>
      </c>
      <c r="D1166" s="32" t="str">
        <f aca="false">IF(C1166=0,"",IF($A1166="Bank",INDEX(Bank!$B:$B,$C1166),INDEX(GL!$B:$B,$C1166)))</f>
        <v/>
      </c>
      <c r="E1166" s="5" t="str">
        <f aca="false">IF(C1166=0,"",IF($A1166="Bank",IF(INDEX(Bank!$C:$C,$C1166)="","",INDEX(Bank!$C:$C,$C1166)),IF(INDEX(GL!$C:$C,$C1166)="","",INDEX(GL!$C:$C,$C1166))))</f>
        <v/>
      </c>
      <c r="F1166" s="5" t="str">
        <f aca="false">IF(C1166=0,"",IF($A1166="Bank",IF(INDEX(Bank!$D:$D,$C1166)="","",INDEX(Bank!$D:$D,$C1166)),IF(INDEX(GL!$D:$D,$C1166)="","",INDEX(GL!$D:$D,$C1166))))</f>
        <v/>
      </c>
      <c r="G1166" s="19" t="str">
        <f aca="false">IF(C1166=0,"",IF($A1166="Bank",INDEX(Bank!$E:$E,$C1166),INDEX(GL!$E:$E,$C1166)))</f>
        <v/>
      </c>
      <c r="H1166" s="5" t="str">
        <f aca="false">IF(C1166=0,"",IF(A1166="GL",IF(G1166&gt;0,"Deposit in transit","Outstanding check / payment"),IF(G1166&gt;0,"Bank credit not in GL","Bank debit not in GL")))</f>
        <v/>
      </c>
      <c r="I1166" s="42" t="str">
        <f aca="false">IF(OR(C1166=0,CFG_PeriodEnd=""),"",CFG_PeriodEnd-D1166)</f>
        <v/>
      </c>
      <c r="J1166" s="5" t="str">
        <f aca="false">IF(C1166=0,"",IF($A1166="Bank",IF(INDEX(Bank!$G:$G,$C1166)="","",INDEX(Bank!$G:$G,$C1166)),IF(INDEX(GL!$G:$G,$C1166)="","",INDEX(GL!$G:$G,$C1166))))</f>
        <v/>
      </c>
      <c r="K1166" s="5" t="str">
        <f aca="false">IF(C1166=0,"",IF($A1166="Bank",IF(INDEX(Bank!$I:$I,$C1166)="","",INDEX(Bank!$I:$I,$C1166)),IF(INDEX(GL!$I:$I,$C1166)="","",INDEX(GL!$I:$I,$C1166))))</f>
        <v/>
      </c>
      <c r="L1166" s="5" t="str">
        <f aca="false">IF(B1166="","",IF(C1166=0,"NOT FOUND",IF(IF($A1166="Bank",INDEX(Bank!$F:$F,$C1166),INDEX(GL!$F:$F,$C1166))="Y","NOW RECONCILED: refresh","OK")))</f>
        <v/>
      </c>
    </row>
    <row r="1167" customFormat="false" ht="15" hidden="false" customHeight="false" outlineLevel="0" collapsed="false">
      <c r="A1167" s="41"/>
      <c r="B1167" s="41"/>
      <c r="C1167" s="5" t="n">
        <f aca="false">IF(B1167="",0,IF(A1167="Bank",IFERROR(MATCH(B1167,Bank!$A:$A,0),0),IFERROR(MATCH(B1167,GL!$A:$A,0),0)))</f>
        <v>0</v>
      </c>
      <c r="D1167" s="32" t="str">
        <f aca="false">IF(C1167=0,"",IF($A1167="Bank",INDEX(Bank!$B:$B,$C1167),INDEX(GL!$B:$B,$C1167)))</f>
        <v/>
      </c>
      <c r="E1167" s="5" t="str">
        <f aca="false">IF(C1167=0,"",IF($A1167="Bank",IF(INDEX(Bank!$C:$C,$C1167)="","",INDEX(Bank!$C:$C,$C1167)),IF(INDEX(GL!$C:$C,$C1167)="","",INDEX(GL!$C:$C,$C1167))))</f>
        <v/>
      </c>
      <c r="F1167" s="5" t="str">
        <f aca="false">IF(C1167=0,"",IF($A1167="Bank",IF(INDEX(Bank!$D:$D,$C1167)="","",INDEX(Bank!$D:$D,$C1167)),IF(INDEX(GL!$D:$D,$C1167)="","",INDEX(GL!$D:$D,$C1167))))</f>
        <v/>
      </c>
      <c r="G1167" s="19" t="str">
        <f aca="false">IF(C1167=0,"",IF($A1167="Bank",INDEX(Bank!$E:$E,$C1167),INDEX(GL!$E:$E,$C1167)))</f>
        <v/>
      </c>
      <c r="H1167" s="5" t="str">
        <f aca="false">IF(C1167=0,"",IF(A1167="GL",IF(G1167&gt;0,"Deposit in transit","Outstanding check / payment"),IF(G1167&gt;0,"Bank credit not in GL","Bank debit not in GL")))</f>
        <v/>
      </c>
      <c r="I1167" s="42" t="str">
        <f aca="false">IF(OR(C1167=0,CFG_PeriodEnd=""),"",CFG_PeriodEnd-D1167)</f>
        <v/>
      </c>
      <c r="J1167" s="5" t="str">
        <f aca="false">IF(C1167=0,"",IF($A1167="Bank",IF(INDEX(Bank!$G:$G,$C1167)="","",INDEX(Bank!$G:$G,$C1167)),IF(INDEX(GL!$G:$G,$C1167)="","",INDEX(GL!$G:$G,$C1167))))</f>
        <v/>
      </c>
      <c r="K1167" s="5" t="str">
        <f aca="false">IF(C1167=0,"",IF($A1167="Bank",IF(INDEX(Bank!$I:$I,$C1167)="","",INDEX(Bank!$I:$I,$C1167)),IF(INDEX(GL!$I:$I,$C1167)="","",INDEX(GL!$I:$I,$C1167))))</f>
        <v/>
      </c>
      <c r="L1167" s="5" t="str">
        <f aca="false">IF(B1167="","",IF(C1167=0,"NOT FOUND",IF(IF($A1167="Bank",INDEX(Bank!$F:$F,$C1167),INDEX(GL!$F:$F,$C1167))="Y","NOW RECONCILED: refresh","OK")))</f>
        <v/>
      </c>
    </row>
    <row r="1168" customFormat="false" ht="15" hidden="false" customHeight="false" outlineLevel="0" collapsed="false">
      <c r="A1168" s="41"/>
      <c r="B1168" s="41"/>
      <c r="C1168" s="5" t="n">
        <f aca="false">IF(B1168="",0,IF(A1168="Bank",IFERROR(MATCH(B1168,Bank!$A:$A,0),0),IFERROR(MATCH(B1168,GL!$A:$A,0),0)))</f>
        <v>0</v>
      </c>
      <c r="D1168" s="32" t="str">
        <f aca="false">IF(C1168=0,"",IF($A1168="Bank",INDEX(Bank!$B:$B,$C1168),INDEX(GL!$B:$B,$C1168)))</f>
        <v/>
      </c>
      <c r="E1168" s="5" t="str">
        <f aca="false">IF(C1168=0,"",IF($A1168="Bank",IF(INDEX(Bank!$C:$C,$C1168)="","",INDEX(Bank!$C:$C,$C1168)),IF(INDEX(GL!$C:$C,$C1168)="","",INDEX(GL!$C:$C,$C1168))))</f>
        <v/>
      </c>
      <c r="F1168" s="5" t="str">
        <f aca="false">IF(C1168=0,"",IF($A1168="Bank",IF(INDEX(Bank!$D:$D,$C1168)="","",INDEX(Bank!$D:$D,$C1168)),IF(INDEX(GL!$D:$D,$C1168)="","",INDEX(GL!$D:$D,$C1168))))</f>
        <v/>
      </c>
      <c r="G1168" s="19" t="str">
        <f aca="false">IF(C1168=0,"",IF($A1168="Bank",INDEX(Bank!$E:$E,$C1168),INDEX(GL!$E:$E,$C1168)))</f>
        <v/>
      </c>
      <c r="H1168" s="5" t="str">
        <f aca="false">IF(C1168=0,"",IF(A1168="GL",IF(G1168&gt;0,"Deposit in transit","Outstanding check / payment"),IF(G1168&gt;0,"Bank credit not in GL","Bank debit not in GL")))</f>
        <v/>
      </c>
      <c r="I1168" s="42" t="str">
        <f aca="false">IF(OR(C1168=0,CFG_PeriodEnd=""),"",CFG_PeriodEnd-D1168)</f>
        <v/>
      </c>
      <c r="J1168" s="5" t="str">
        <f aca="false">IF(C1168=0,"",IF($A1168="Bank",IF(INDEX(Bank!$G:$G,$C1168)="","",INDEX(Bank!$G:$G,$C1168)),IF(INDEX(GL!$G:$G,$C1168)="","",INDEX(GL!$G:$G,$C1168))))</f>
        <v/>
      </c>
      <c r="K1168" s="5" t="str">
        <f aca="false">IF(C1168=0,"",IF($A1168="Bank",IF(INDEX(Bank!$I:$I,$C1168)="","",INDEX(Bank!$I:$I,$C1168)),IF(INDEX(GL!$I:$I,$C1168)="","",INDEX(GL!$I:$I,$C1168))))</f>
        <v/>
      </c>
      <c r="L1168" s="5" t="str">
        <f aca="false">IF(B1168="","",IF(C1168=0,"NOT FOUND",IF(IF($A1168="Bank",INDEX(Bank!$F:$F,$C1168),INDEX(GL!$F:$F,$C1168))="Y","NOW RECONCILED: refresh","OK")))</f>
        <v/>
      </c>
    </row>
    <row r="1169" customFormat="false" ht="15" hidden="false" customHeight="false" outlineLevel="0" collapsed="false">
      <c r="A1169" s="41"/>
      <c r="B1169" s="41"/>
      <c r="C1169" s="5" t="n">
        <f aca="false">IF(B1169="",0,IF(A1169="Bank",IFERROR(MATCH(B1169,Bank!$A:$A,0),0),IFERROR(MATCH(B1169,GL!$A:$A,0),0)))</f>
        <v>0</v>
      </c>
      <c r="D1169" s="32" t="str">
        <f aca="false">IF(C1169=0,"",IF($A1169="Bank",INDEX(Bank!$B:$B,$C1169),INDEX(GL!$B:$B,$C1169)))</f>
        <v/>
      </c>
      <c r="E1169" s="5" t="str">
        <f aca="false">IF(C1169=0,"",IF($A1169="Bank",IF(INDEX(Bank!$C:$C,$C1169)="","",INDEX(Bank!$C:$C,$C1169)),IF(INDEX(GL!$C:$C,$C1169)="","",INDEX(GL!$C:$C,$C1169))))</f>
        <v/>
      </c>
      <c r="F1169" s="5" t="str">
        <f aca="false">IF(C1169=0,"",IF($A1169="Bank",IF(INDEX(Bank!$D:$D,$C1169)="","",INDEX(Bank!$D:$D,$C1169)),IF(INDEX(GL!$D:$D,$C1169)="","",INDEX(GL!$D:$D,$C1169))))</f>
        <v/>
      </c>
      <c r="G1169" s="19" t="str">
        <f aca="false">IF(C1169=0,"",IF($A1169="Bank",INDEX(Bank!$E:$E,$C1169),INDEX(GL!$E:$E,$C1169)))</f>
        <v/>
      </c>
      <c r="H1169" s="5" t="str">
        <f aca="false">IF(C1169=0,"",IF(A1169="GL",IF(G1169&gt;0,"Deposit in transit","Outstanding check / payment"),IF(G1169&gt;0,"Bank credit not in GL","Bank debit not in GL")))</f>
        <v/>
      </c>
      <c r="I1169" s="42" t="str">
        <f aca="false">IF(OR(C1169=0,CFG_PeriodEnd=""),"",CFG_PeriodEnd-D1169)</f>
        <v/>
      </c>
      <c r="J1169" s="5" t="str">
        <f aca="false">IF(C1169=0,"",IF($A1169="Bank",IF(INDEX(Bank!$G:$G,$C1169)="","",INDEX(Bank!$G:$G,$C1169)),IF(INDEX(GL!$G:$G,$C1169)="","",INDEX(GL!$G:$G,$C1169))))</f>
        <v/>
      </c>
      <c r="K1169" s="5" t="str">
        <f aca="false">IF(C1169=0,"",IF($A1169="Bank",IF(INDEX(Bank!$I:$I,$C1169)="","",INDEX(Bank!$I:$I,$C1169)),IF(INDEX(GL!$I:$I,$C1169)="","",INDEX(GL!$I:$I,$C1169))))</f>
        <v/>
      </c>
      <c r="L1169" s="5" t="str">
        <f aca="false">IF(B1169="","",IF(C1169=0,"NOT FOUND",IF(IF($A1169="Bank",INDEX(Bank!$F:$F,$C1169),INDEX(GL!$F:$F,$C1169))="Y","NOW RECONCILED: refresh","OK")))</f>
        <v/>
      </c>
    </row>
    <row r="1170" customFormat="false" ht="15" hidden="false" customHeight="false" outlineLevel="0" collapsed="false">
      <c r="A1170" s="41"/>
      <c r="B1170" s="41"/>
      <c r="C1170" s="5" t="n">
        <f aca="false">IF(B1170="",0,IF(A1170="Bank",IFERROR(MATCH(B1170,Bank!$A:$A,0),0),IFERROR(MATCH(B1170,GL!$A:$A,0),0)))</f>
        <v>0</v>
      </c>
      <c r="D1170" s="32" t="str">
        <f aca="false">IF(C1170=0,"",IF($A1170="Bank",INDEX(Bank!$B:$B,$C1170),INDEX(GL!$B:$B,$C1170)))</f>
        <v/>
      </c>
      <c r="E1170" s="5" t="str">
        <f aca="false">IF(C1170=0,"",IF($A1170="Bank",IF(INDEX(Bank!$C:$C,$C1170)="","",INDEX(Bank!$C:$C,$C1170)),IF(INDEX(GL!$C:$C,$C1170)="","",INDEX(GL!$C:$C,$C1170))))</f>
        <v/>
      </c>
      <c r="F1170" s="5" t="str">
        <f aca="false">IF(C1170=0,"",IF($A1170="Bank",IF(INDEX(Bank!$D:$D,$C1170)="","",INDEX(Bank!$D:$D,$C1170)),IF(INDEX(GL!$D:$D,$C1170)="","",INDEX(GL!$D:$D,$C1170))))</f>
        <v/>
      </c>
      <c r="G1170" s="19" t="str">
        <f aca="false">IF(C1170=0,"",IF($A1170="Bank",INDEX(Bank!$E:$E,$C1170),INDEX(GL!$E:$E,$C1170)))</f>
        <v/>
      </c>
      <c r="H1170" s="5" t="str">
        <f aca="false">IF(C1170=0,"",IF(A1170="GL",IF(G1170&gt;0,"Deposit in transit","Outstanding check / payment"),IF(G1170&gt;0,"Bank credit not in GL","Bank debit not in GL")))</f>
        <v/>
      </c>
      <c r="I1170" s="42" t="str">
        <f aca="false">IF(OR(C1170=0,CFG_PeriodEnd=""),"",CFG_PeriodEnd-D1170)</f>
        <v/>
      </c>
      <c r="J1170" s="5" t="str">
        <f aca="false">IF(C1170=0,"",IF($A1170="Bank",IF(INDEX(Bank!$G:$G,$C1170)="","",INDEX(Bank!$G:$G,$C1170)),IF(INDEX(GL!$G:$G,$C1170)="","",INDEX(GL!$G:$G,$C1170))))</f>
        <v/>
      </c>
      <c r="K1170" s="5" t="str">
        <f aca="false">IF(C1170=0,"",IF($A1170="Bank",IF(INDEX(Bank!$I:$I,$C1170)="","",INDEX(Bank!$I:$I,$C1170)),IF(INDEX(GL!$I:$I,$C1170)="","",INDEX(GL!$I:$I,$C1170))))</f>
        <v/>
      </c>
      <c r="L1170" s="5" t="str">
        <f aca="false">IF(B1170="","",IF(C1170=0,"NOT FOUND",IF(IF($A1170="Bank",INDEX(Bank!$F:$F,$C1170),INDEX(GL!$F:$F,$C1170))="Y","NOW RECONCILED: refresh","OK")))</f>
        <v/>
      </c>
    </row>
    <row r="1171" customFormat="false" ht="15" hidden="false" customHeight="false" outlineLevel="0" collapsed="false">
      <c r="A1171" s="41"/>
      <c r="B1171" s="41"/>
      <c r="C1171" s="5" t="n">
        <f aca="false">IF(B1171="",0,IF(A1171="Bank",IFERROR(MATCH(B1171,Bank!$A:$A,0),0),IFERROR(MATCH(B1171,GL!$A:$A,0),0)))</f>
        <v>0</v>
      </c>
      <c r="D1171" s="32" t="str">
        <f aca="false">IF(C1171=0,"",IF($A1171="Bank",INDEX(Bank!$B:$B,$C1171),INDEX(GL!$B:$B,$C1171)))</f>
        <v/>
      </c>
      <c r="E1171" s="5" t="str">
        <f aca="false">IF(C1171=0,"",IF($A1171="Bank",IF(INDEX(Bank!$C:$C,$C1171)="","",INDEX(Bank!$C:$C,$C1171)),IF(INDEX(GL!$C:$C,$C1171)="","",INDEX(GL!$C:$C,$C1171))))</f>
        <v/>
      </c>
      <c r="F1171" s="5" t="str">
        <f aca="false">IF(C1171=0,"",IF($A1171="Bank",IF(INDEX(Bank!$D:$D,$C1171)="","",INDEX(Bank!$D:$D,$C1171)),IF(INDEX(GL!$D:$D,$C1171)="","",INDEX(GL!$D:$D,$C1171))))</f>
        <v/>
      </c>
      <c r="G1171" s="19" t="str">
        <f aca="false">IF(C1171=0,"",IF($A1171="Bank",INDEX(Bank!$E:$E,$C1171),INDEX(GL!$E:$E,$C1171)))</f>
        <v/>
      </c>
      <c r="H1171" s="5" t="str">
        <f aca="false">IF(C1171=0,"",IF(A1171="GL",IF(G1171&gt;0,"Deposit in transit","Outstanding check / payment"),IF(G1171&gt;0,"Bank credit not in GL","Bank debit not in GL")))</f>
        <v/>
      </c>
      <c r="I1171" s="42" t="str">
        <f aca="false">IF(OR(C1171=0,CFG_PeriodEnd=""),"",CFG_PeriodEnd-D1171)</f>
        <v/>
      </c>
      <c r="J1171" s="5" t="str">
        <f aca="false">IF(C1171=0,"",IF($A1171="Bank",IF(INDEX(Bank!$G:$G,$C1171)="","",INDEX(Bank!$G:$G,$C1171)),IF(INDEX(GL!$G:$G,$C1171)="","",INDEX(GL!$G:$G,$C1171))))</f>
        <v/>
      </c>
      <c r="K1171" s="5" t="str">
        <f aca="false">IF(C1171=0,"",IF($A1171="Bank",IF(INDEX(Bank!$I:$I,$C1171)="","",INDEX(Bank!$I:$I,$C1171)),IF(INDEX(GL!$I:$I,$C1171)="","",INDEX(GL!$I:$I,$C1171))))</f>
        <v/>
      </c>
      <c r="L1171" s="5" t="str">
        <f aca="false">IF(B1171="","",IF(C1171=0,"NOT FOUND",IF(IF($A1171="Bank",INDEX(Bank!$F:$F,$C1171),INDEX(GL!$F:$F,$C1171))="Y","NOW RECONCILED: refresh","OK")))</f>
        <v/>
      </c>
    </row>
    <row r="1172" customFormat="false" ht="15" hidden="false" customHeight="false" outlineLevel="0" collapsed="false">
      <c r="A1172" s="41"/>
      <c r="B1172" s="41"/>
      <c r="C1172" s="5" t="n">
        <f aca="false">IF(B1172="",0,IF(A1172="Bank",IFERROR(MATCH(B1172,Bank!$A:$A,0),0),IFERROR(MATCH(B1172,GL!$A:$A,0),0)))</f>
        <v>0</v>
      </c>
      <c r="D1172" s="32" t="str">
        <f aca="false">IF(C1172=0,"",IF($A1172="Bank",INDEX(Bank!$B:$B,$C1172),INDEX(GL!$B:$B,$C1172)))</f>
        <v/>
      </c>
      <c r="E1172" s="5" t="str">
        <f aca="false">IF(C1172=0,"",IF($A1172="Bank",IF(INDEX(Bank!$C:$C,$C1172)="","",INDEX(Bank!$C:$C,$C1172)),IF(INDEX(GL!$C:$C,$C1172)="","",INDEX(GL!$C:$C,$C1172))))</f>
        <v/>
      </c>
      <c r="F1172" s="5" t="str">
        <f aca="false">IF(C1172=0,"",IF($A1172="Bank",IF(INDEX(Bank!$D:$D,$C1172)="","",INDEX(Bank!$D:$D,$C1172)),IF(INDEX(GL!$D:$D,$C1172)="","",INDEX(GL!$D:$D,$C1172))))</f>
        <v/>
      </c>
      <c r="G1172" s="19" t="str">
        <f aca="false">IF(C1172=0,"",IF($A1172="Bank",INDEX(Bank!$E:$E,$C1172),INDEX(GL!$E:$E,$C1172)))</f>
        <v/>
      </c>
      <c r="H1172" s="5" t="str">
        <f aca="false">IF(C1172=0,"",IF(A1172="GL",IF(G1172&gt;0,"Deposit in transit","Outstanding check / payment"),IF(G1172&gt;0,"Bank credit not in GL","Bank debit not in GL")))</f>
        <v/>
      </c>
      <c r="I1172" s="42" t="str">
        <f aca="false">IF(OR(C1172=0,CFG_PeriodEnd=""),"",CFG_PeriodEnd-D1172)</f>
        <v/>
      </c>
      <c r="J1172" s="5" t="str">
        <f aca="false">IF(C1172=0,"",IF($A1172="Bank",IF(INDEX(Bank!$G:$G,$C1172)="","",INDEX(Bank!$G:$G,$C1172)),IF(INDEX(GL!$G:$G,$C1172)="","",INDEX(GL!$G:$G,$C1172))))</f>
        <v/>
      </c>
      <c r="K1172" s="5" t="str">
        <f aca="false">IF(C1172=0,"",IF($A1172="Bank",IF(INDEX(Bank!$I:$I,$C1172)="","",INDEX(Bank!$I:$I,$C1172)),IF(INDEX(GL!$I:$I,$C1172)="","",INDEX(GL!$I:$I,$C1172))))</f>
        <v/>
      </c>
      <c r="L1172" s="5" t="str">
        <f aca="false">IF(B1172="","",IF(C1172=0,"NOT FOUND",IF(IF($A1172="Bank",INDEX(Bank!$F:$F,$C1172),INDEX(GL!$F:$F,$C1172))="Y","NOW RECONCILED: refresh","OK")))</f>
        <v/>
      </c>
    </row>
    <row r="1173" customFormat="false" ht="15" hidden="false" customHeight="false" outlineLevel="0" collapsed="false">
      <c r="A1173" s="41"/>
      <c r="B1173" s="41"/>
      <c r="C1173" s="5" t="n">
        <f aca="false">IF(B1173="",0,IF(A1173="Bank",IFERROR(MATCH(B1173,Bank!$A:$A,0),0),IFERROR(MATCH(B1173,GL!$A:$A,0),0)))</f>
        <v>0</v>
      </c>
      <c r="D1173" s="32" t="str">
        <f aca="false">IF(C1173=0,"",IF($A1173="Bank",INDEX(Bank!$B:$B,$C1173),INDEX(GL!$B:$B,$C1173)))</f>
        <v/>
      </c>
      <c r="E1173" s="5" t="str">
        <f aca="false">IF(C1173=0,"",IF($A1173="Bank",IF(INDEX(Bank!$C:$C,$C1173)="","",INDEX(Bank!$C:$C,$C1173)),IF(INDEX(GL!$C:$C,$C1173)="","",INDEX(GL!$C:$C,$C1173))))</f>
        <v/>
      </c>
      <c r="F1173" s="5" t="str">
        <f aca="false">IF(C1173=0,"",IF($A1173="Bank",IF(INDEX(Bank!$D:$D,$C1173)="","",INDEX(Bank!$D:$D,$C1173)),IF(INDEX(GL!$D:$D,$C1173)="","",INDEX(GL!$D:$D,$C1173))))</f>
        <v/>
      </c>
      <c r="G1173" s="19" t="str">
        <f aca="false">IF(C1173=0,"",IF($A1173="Bank",INDEX(Bank!$E:$E,$C1173),INDEX(GL!$E:$E,$C1173)))</f>
        <v/>
      </c>
      <c r="H1173" s="5" t="str">
        <f aca="false">IF(C1173=0,"",IF(A1173="GL",IF(G1173&gt;0,"Deposit in transit","Outstanding check / payment"),IF(G1173&gt;0,"Bank credit not in GL","Bank debit not in GL")))</f>
        <v/>
      </c>
      <c r="I1173" s="42" t="str">
        <f aca="false">IF(OR(C1173=0,CFG_PeriodEnd=""),"",CFG_PeriodEnd-D1173)</f>
        <v/>
      </c>
      <c r="J1173" s="5" t="str">
        <f aca="false">IF(C1173=0,"",IF($A1173="Bank",IF(INDEX(Bank!$G:$G,$C1173)="","",INDEX(Bank!$G:$G,$C1173)),IF(INDEX(GL!$G:$G,$C1173)="","",INDEX(GL!$G:$G,$C1173))))</f>
        <v/>
      </c>
      <c r="K1173" s="5" t="str">
        <f aca="false">IF(C1173=0,"",IF($A1173="Bank",IF(INDEX(Bank!$I:$I,$C1173)="","",INDEX(Bank!$I:$I,$C1173)),IF(INDEX(GL!$I:$I,$C1173)="","",INDEX(GL!$I:$I,$C1173))))</f>
        <v/>
      </c>
      <c r="L1173" s="5" t="str">
        <f aca="false">IF(B1173="","",IF(C1173=0,"NOT FOUND",IF(IF($A1173="Bank",INDEX(Bank!$F:$F,$C1173),INDEX(GL!$F:$F,$C1173))="Y","NOW RECONCILED: refresh","OK")))</f>
        <v/>
      </c>
    </row>
    <row r="1174" customFormat="false" ht="15" hidden="false" customHeight="false" outlineLevel="0" collapsed="false">
      <c r="A1174" s="41"/>
      <c r="B1174" s="41"/>
      <c r="C1174" s="5" t="n">
        <f aca="false">IF(B1174="",0,IF(A1174="Bank",IFERROR(MATCH(B1174,Bank!$A:$A,0),0),IFERROR(MATCH(B1174,GL!$A:$A,0),0)))</f>
        <v>0</v>
      </c>
      <c r="D1174" s="32" t="str">
        <f aca="false">IF(C1174=0,"",IF($A1174="Bank",INDEX(Bank!$B:$B,$C1174),INDEX(GL!$B:$B,$C1174)))</f>
        <v/>
      </c>
      <c r="E1174" s="5" t="str">
        <f aca="false">IF(C1174=0,"",IF($A1174="Bank",IF(INDEX(Bank!$C:$C,$C1174)="","",INDEX(Bank!$C:$C,$C1174)),IF(INDEX(GL!$C:$C,$C1174)="","",INDEX(GL!$C:$C,$C1174))))</f>
        <v/>
      </c>
      <c r="F1174" s="5" t="str">
        <f aca="false">IF(C1174=0,"",IF($A1174="Bank",IF(INDEX(Bank!$D:$D,$C1174)="","",INDEX(Bank!$D:$D,$C1174)),IF(INDEX(GL!$D:$D,$C1174)="","",INDEX(GL!$D:$D,$C1174))))</f>
        <v/>
      </c>
      <c r="G1174" s="19" t="str">
        <f aca="false">IF(C1174=0,"",IF($A1174="Bank",INDEX(Bank!$E:$E,$C1174),INDEX(GL!$E:$E,$C1174)))</f>
        <v/>
      </c>
      <c r="H1174" s="5" t="str">
        <f aca="false">IF(C1174=0,"",IF(A1174="GL",IF(G1174&gt;0,"Deposit in transit","Outstanding check / payment"),IF(G1174&gt;0,"Bank credit not in GL","Bank debit not in GL")))</f>
        <v/>
      </c>
      <c r="I1174" s="42" t="str">
        <f aca="false">IF(OR(C1174=0,CFG_PeriodEnd=""),"",CFG_PeriodEnd-D1174)</f>
        <v/>
      </c>
      <c r="J1174" s="5" t="str">
        <f aca="false">IF(C1174=0,"",IF($A1174="Bank",IF(INDEX(Bank!$G:$G,$C1174)="","",INDEX(Bank!$G:$G,$C1174)),IF(INDEX(GL!$G:$G,$C1174)="","",INDEX(GL!$G:$G,$C1174))))</f>
        <v/>
      </c>
      <c r="K1174" s="5" t="str">
        <f aca="false">IF(C1174=0,"",IF($A1174="Bank",IF(INDEX(Bank!$I:$I,$C1174)="","",INDEX(Bank!$I:$I,$C1174)),IF(INDEX(GL!$I:$I,$C1174)="","",INDEX(GL!$I:$I,$C1174))))</f>
        <v/>
      </c>
      <c r="L1174" s="5" t="str">
        <f aca="false">IF(B1174="","",IF(C1174=0,"NOT FOUND",IF(IF($A1174="Bank",INDEX(Bank!$F:$F,$C1174),INDEX(GL!$F:$F,$C1174))="Y","NOW RECONCILED: refresh","OK")))</f>
        <v/>
      </c>
    </row>
    <row r="1175" customFormat="false" ht="15" hidden="false" customHeight="false" outlineLevel="0" collapsed="false">
      <c r="A1175" s="41"/>
      <c r="B1175" s="41"/>
      <c r="C1175" s="5" t="n">
        <f aca="false">IF(B1175="",0,IF(A1175="Bank",IFERROR(MATCH(B1175,Bank!$A:$A,0),0),IFERROR(MATCH(B1175,GL!$A:$A,0),0)))</f>
        <v>0</v>
      </c>
      <c r="D1175" s="32" t="str">
        <f aca="false">IF(C1175=0,"",IF($A1175="Bank",INDEX(Bank!$B:$B,$C1175),INDEX(GL!$B:$B,$C1175)))</f>
        <v/>
      </c>
      <c r="E1175" s="5" t="str">
        <f aca="false">IF(C1175=0,"",IF($A1175="Bank",IF(INDEX(Bank!$C:$C,$C1175)="","",INDEX(Bank!$C:$C,$C1175)),IF(INDEX(GL!$C:$C,$C1175)="","",INDEX(GL!$C:$C,$C1175))))</f>
        <v/>
      </c>
      <c r="F1175" s="5" t="str">
        <f aca="false">IF(C1175=0,"",IF($A1175="Bank",IF(INDEX(Bank!$D:$D,$C1175)="","",INDEX(Bank!$D:$D,$C1175)),IF(INDEX(GL!$D:$D,$C1175)="","",INDEX(GL!$D:$D,$C1175))))</f>
        <v/>
      </c>
      <c r="G1175" s="19" t="str">
        <f aca="false">IF(C1175=0,"",IF($A1175="Bank",INDEX(Bank!$E:$E,$C1175),INDEX(GL!$E:$E,$C1175)))</f>
        <v/>
      </c>
      <c r="H1175" s="5" t="str">
        <f aca="false">IF(C1175=0,"",IF(A1175="GL",IF(G1175&gt;0,"Deposit in transit","Outstanding check / payment"),IF(G1175&gt;0,"Bank credit not in GL","Bank debit not in GL")))</f>
        <v/>
      </c>
      <c r="I1175" s="42" t="str">
        <f aca="false">IF(OR(C1175=0,CFG_PeriodEnd=""),"",CFG_PeriodEnd-D1175)</f>
        <v/>
      </c>
      <c r="J1175" s="5" t="str">
        <f aca="false">IF(C1175=0,"",IF($A1175="Bank",IF(INDEX(Bank!$G:$G,$C1175)="","",INDEX(Bank!$G:$G,$C1175)),IF(INDEX(GL!$G:$G,$C1175)="","",INDEX(GL!$G:$G,$C1175))))</f>
        <v/>
      </c>
      <c r="K1175" s="5" t="str">
        <f aca="false">IF(C1175=0,"",IF($A1175="Bank",IF(INDEX(Bank!$I:$I,$C1175)="","",INDEX(Bank!$I:$I,$C1175)),IF(INDEX(GL!$I:$I,$C1175)="","",INDEX(GL!$I:$I,$C1175))))</f>
        <v/>
      </c>
      <c r="L1175" s="5" t="str">
        <f aca="false">IF(B1175="","",IF(C1175=0,"NOT FOUND",IF(IF($A1175="Bank",INDEX(Bank!$F:$F,$C1175),INDEX(GL!$F:$F,$C1175))="Y","NOW RECONCILED: refresh","OK")))</f>
        <v/>
      </c>
    </row>
    <row r="1176" customFormat="false" ht="15" hidden="false" customHeight="false" outlineLevel="0" collapsed="false">
      <c r="A1176" s="41"/>
      <c r="B1176" s="41"/>
      <c r="C1176" s="5" t="n">
        <f aca="false">IF(B1176="",0,IF(A1176="Bank",IFERROR(MATCH(B1176,Bank!$A:$A,0),0),IFERROR(MATCH(B1176,GL!$A:$A,0),0)))</f>
        <v>0</v>
      </c>
      <c r="D1176" s="32" t="str">
        <f aca="false">IF(C1176=0,"",IF($A1176="Bank",INDEX(Bank!$B:$B,$C1176),INDEX(GL!$B:$B,$C1176)))</f>
        <v/>
      </c>
      <c r="E1176" s="5" t="str">
        <f aca="false">IF(C1176=0,"",IF($A1176="Bank",IF(INDEX(Bank!$C:$C,$C1176)="","",INDEX(Bank!$C:$C,$C1176)),IF(INDEX(GL!$C:$C,$C1176)="","",INDEX(GL!$C:$C,$C1176))))</f>
        <v/>
      </c>
      <c r="F1176" s="5" t="str">
        <f aca="false">IF(C1176=0,"",IF($A1176="Bank",IF(INDEX(Bank!$D:$D,$C1176)="","",INDEX(Bank!$D:$D,$C1176)),IF(INDEX(GL!$D:$D,$C1176)="","",INDEX(GL!$D:$D,$C1176))))</f>
        <v/>
      </c>
      <c r="G1176" s="19" t="str">
        <f aca="false">IF(C1176=0,"",IF($A1176="Bank",INDEX(Bank!$E:$E,$C1176),INDEX(GL!$E:$E,$C1176)))</f>
        <v/>
      </c>
      <c r="H1176" s="5" t="str">
        <f aca="false">IF(C1176=0,"",IF(A1176="GL",IF(G1176&gt;0,"Deposit in transit","Outstanding check / payment"),IF(G1176&gt;0,"Bank credit not in GL","Bank debit not in GL")))</f>
        <v/>
      </c>
      <c r="I1176" s="42" t="str">
        <f aca="false">IF(OR(C1176=0,CFG_PeriodEnd=""),"",CFG_PeriodEnd-D1176)</f>
        <v/>
      </c>
      <c r="J1176" s="5" t="str">
        <f aca="false">IF(C1176=0,"",IF($A1176="Bank",IF(INDEX(Bank!$G:$G,$C1176)="","",INDEX(Bank!$G:$G,$C1176)),IF(INDEX(GL!$G:$G,$C1176)="","",INDEX(GL!$G:$G,$C1176))))</f>
        <v/>
      </c>
      <c r="K1176" s="5" t="str">
        <f aca="false">IF(C1176=0,"",IF($A1176="Bank",IF(INDEX(Bank!$I:$I,$C1176)="","",INDEX(Bank!$I:$I,$C1176)),IF(INDEX(GL!$I:$I,$C1176)="","",INDEX(GL!$I:$I,$C1176))))</f>
        <v/>
      </c>
      <c r="L1176" s="5" t="str">
        <f aca="false">IF(B1176="","",IF(C1176=0,"NOT FOUND",IF(IF($A1176="Bank",INDEX(Bank!$F:$F,$C1176),INDEX(GL!$F:$F,$C1176))="Y","NOW RECONCILED: refresh","OK")))</f>
        <v/>
      </c>
    </row>
    <row r="1177" customFormat="false" ht="15" hidden="false" customHeight="false" outlineLevel="0" collapsed="false">
      <c r="A1177" s="41"/>
      <c r="B1177" s="41"/>
      <c r="C1177" s="5" t="n">
        <f aca="false">IF(B1177="",0,IF(A1177="Bank",IFERROR(MATCH(B1177,Bank!$A:$A,0),0),IFERROR(MATCH(B1177,GL!$A:$A,0),0)))</f>
        <v>0</v>
      </c>
      <c r="D1177" s="32" t="str">
        <f aca="false">IF(C1177=0,"",IF($A1177="Bank",INDEX(Bank!$B:$B,$C1177),INDEX(GL!$B:$B,$C1177)))</f>
        <v/>
      </c>
      <c r="E1177" s="5" t="str">
        <f aca="false">IF(C1177=0,"",IF($A1177="Bank",IF(INDEX(Bank!$C:$C,$C1177)="","",INDEX(Bank!$C:$C,$C1177)),IF(INDEX(GL!$C:$C,$C1177)="","",INDEX(GL!$C:$C,$C1177))))</f>
        <v/>
      </c>
      <c r="F1177" s="5" t="str">
        <f aca="false">IF(C1177=0,"",IF($A1177="Bank",IF(INDEX(Bank!$D:$D,$C1177)="","",INDEX(Bank!$D:$D,$C1177)),IF(INDEX(GL!$D:$D,$C1177)="","",INDEX(GL!$D:$D,$C1177))))</f>
        <v/>
      </c>
      <c r="G1177" s="19" t="str">
        <f aca="false">IF(C1177=0,"",IF($A1177="Bank",INDEX(Bank!$E:$E,$C1177),INDEX(GL!$E:$E,$C1177)))</f>
        <v/>
      </c>
      <c r="H1177" s="5" t="str">
        <f aca="false">IF(C1177=0,"",IF(A1177="GL",IF(G1177&gt;0,"Deposit in transit","Outstanding check / payment"),IF(G1177&gt;0,"Bank credit not in GL","Bank debit not in GL")))</f>
        <v/>
      </c>
      <c r="I1177" s="42" t="str">
        <f aca="false">IF(OR(C1177=0,CFG_PeriodEnd=""),"",CFG_PeriodEnd-D1177)</f>
        <v/>
      </c>
      <c r="J1177" s="5" t="str">
        <f aca="false">IF(C1177=0,"",IF($A1177="Bank",IF(INDEX(Bank!$G:$G,$C1177)="","",INDEX(Bank!$G:$G,$C1177)),IF(INDEX(GL!$G:$G,$C1177)="","",INDEX(GL!$G:$G,$C1177))))</f>
        <v/>
      </c>
      <c r="K1177" s="5" t="str">
        <f aca="false">IF(C1177=0,"",IF($A1177="Bank",IF(INDEX(Bank!$I:$I,$C1177)="","",INDEX(Bank!$I:$I,$C1177)),IF(INDEX(GL!$I:$I,$C1177)="","",INDEX(GL!$I:$I,$C1177))))</f>
        <v/>
      </c>
      <c r="L1177" s="5" t="str">
        <f aca="false">IF(B1177="","",IF(C1177=0,"NOT FOUND",IF(IF($A1177="Bank",INDEX(Bank!$F:$F,$C1177),INDEX(GL!$F:$F,$C1177))="Y","NOW RECONCILED: refresh","OK")))</f>
        <v/>
      </c>
    </row>
    <row r="1178" customFormat="false" ht="15" hidden="false" customHeight="false" outlineLevel="0" collapsed="false">
      <c r="A1178" s="41"/>
      <c r="B1178" s="41"/>
      <c r="C1178" s="5" t="n">
        <f aca="false">IF(B1178="",0,IF(A1178="Bank",IFERROR(MATCH(B1178,Bank!$A:$A,0),0),IFERROR(MATCH(B1178,GL!$A:$A,0),0)))</f>
        <v>0</v>
      </c>
      <c r="D1178" s="32" t="str">
        <f aca="false">IF(C1178=0,"",IF($A1178="Bank",INDEX(Bank!$B:$B,$C1178),INDEX(GL!$B:$B,$C1178)))</f>
        <v/>
      </c>
      <c r="E1178" s="5" t="str">
        <f aca="false">IF(C1178=0,"",IF($A1178="Bank",IF(INDEX(Bank!$C:$C,$C1178)="","",INDEX(Bank!$C:$C,$C1178)),IF(INDEX(GL!$C:$C,$C1178)="","",INDEX(GL!$C:$C,$C1178))))</f>
        <v/>
      </c>
      <c r="F1178" s="5" t="str">
        <f aca="false">IF(C1178=0,"",IF($A1178="Bank",IF(INDEX(Bank!$D:$D,$C1178)="","",INDEX(Bank!$D:$D,$C1178)),IF(INDEX(GL!$D:$D,$C1178)="","",INDEX(GL!$D:$D,$C1178))))</f>
        <v/>
      </c>
      <c r="G1178" s="19" t="str">
        <f aca="false">IF(C1178=0,"",IF($A1178="Bank",INDEX(Bank!$E:$E,$C1178),INDEX(GL!$E:$E,$C1178)))</f>
        <v/>
      </c>
      <c r="H1178" s="5" t="str">
        <f aca="false">IF(C1178=0,"",IF(A1178="GL",IF(G1178&gt;0,"Deposit in transit","Outstanding check / payment"),IF(G1178&gt;0,"Bank credit not in GL","Bank debit not in GL")))</f>
        <v/>
      </c>
      <c r="I1178" s="42" t="str">
        <f aca="false">IF(OR(C1178=0,CFG_PeriodEnd=""),"",CFG_PeriodEnd-D1178)</f>
        <v/>
      </c>
      <c r="J1178" s="5" t="str">
        <f aca="false">IF(C1178=0,"",IF($A1178="Bank",IF(INDEX(Bank!$G:$G,$C1178)="","",INDEX(Bank!$G:$G,$C1178)),IF(INDEX(GL!$G:$G,$C1178)="","",INDEX(GL!$G:$G,$C1178))))</f>
        <v/>
      </c>
      <c r="K1178" s="5" t="str">
        <f aca="false">IF(C1178=0,"",IF($A1178="Bank",IF(INDEX(Bank!$I:$I,$C1178)="","",INDEX(Bank!$I:$I,$C1178)),IF(INDEX(GL!$I:$I,$C1178)="","",INDEX(GL!$I:$I,$C1178))))</f>
        <v/>
      </c>
      <c r="L1178" s="5" t="str">
        <f aca="false">IF(B1178="","",IF(C1178=0,"NOT FOUND",IF(IF($A1178="Bank",INDEX(Bank!$F:$F,$C1178),INDEX(GL!$F:$F,$C1178))="Y","NOW RECONCILED: refresh","OK")))</f>
        <v/>
      </c>
    </row>
    <row r="1179" customFormat="false" ht="15" hidden="false" customHeight="false" outlineLevel="0" collapsed="false">
      <c r="A1179" s="41"/>
      <c r="B1179" s="41"/>
      <c r="C1179" s="5" t="n">
        <f aca="false">IF(B1179="",0,IF(A1179="Bank",IFERROR(MATCH(B1179,Bank!$A:$A,0),0),IFERROR(MATCH(B1179,GL!$A:$A,0),0)))</f>
        <v>0</v>
      </c>
      <c r="D1179" s="32" t="str">
        <f aca="false">IF(C1179=0,"",IF($A1179="Bank",INDEX(Bank!$B:$B,$C1179),INDEX(GL!$B:$B,$C1179)))</f>
        <v/>
      </c>
      <c r="E1179" s="5" t="str">
        <f aca="false">IF(C1179=0,"",IF($A1179="Bank",IF(INDEX(Bank!$C:$C,$C1179)="","",INDEX(Bank!$C:$C,$C1179)),IF(INDEX(GL!$C:$C,$C1179)="","",INDEX(GL!$C:$C,$C1179))))</f>
        <v/>
      </c>
      <c r="F1179" s="5" t="str">
        <f aca="false">IF(C1179=0,"",IF($A1179="Bank",IF(INDEX(Bank!$D:$D,$C1179)="","",INDEX(Bank!$D:$D,$C1179)),IF(INDEX(GL!$D:$D,$C1179)="","",INDEX(GL!$D:$D,$C1179))))</f>
        <v/>
      </c>
      <c r="G1179" s="19" t="str">
        <f aca="false">IF(C1179=0,"",IF($A1179="Bank",INDEX(Bank!$E:$E,$C1179),INDEX(GL!$E:$E,$C1179)))</f>
        <v/>
      </c>
      <c r="H1179" s="5" t="str">
        <f aca="false">IF(C1179=0,"",IF(A1179="GL",IF(G1179&gt;0,"Deposit in transit","Outstanding check / payment"),IF(G1179&gt;0,"Bank credit not in GL","Bank debit not in GL")))</f>
        <v/>
      </c>
      <c r="I1179" s="42" t="str">
        <f aca="false">IF(OR(C1179=0,CFG_PeriodEnd=""),"",CFG_PeriodEnd-D1179)</f>
        <v/>
      </c>
      <c r="J1179" s="5" t="str">
        <f aca="false">IF(C1179=0,"",IF($A1179="Bank",IF(INDEX(Bank!$G:$G,$C1179)="","",INDEX(Bank!$G:$G,$C1179)),IF(INDEX(GL!$G:$G,$C1179)="","",INDEX(GL!$G:$G,$C1179))))</f>
        <v/>
      </c>
      <c r="K1179" s="5" t="str">
        <f aca="false">IF(C1179=0,"",IF($A1179="Bank",IF(INDEX(Bank!$I:$I,$C1179)="","",INDEX(Bank!$I:$I,$C1179)),IF(INDEX(GL!$I:$I,$C1179)="","",INDEX(GL!$I:$I,$C1179))))</f>
        <v/>
      </c>
      <c r="L1179" s="5" t="str">
        <f aca="false">IF(B1179="","",IF(C1179=0,"NOT FOUND",IF(IF($A1179="Bank",INDEX(Bank!$F:$F,$C1179),INDEX(GL!$F:$F,$C1179))="Y","NOW RECONCILED: refresh","OK")))</f>
        <v/>
      </c>
    </row>
    <row r="1180" customFormat="false" ht="15" hidden="false" customHeight="false" outlineLevel="0" collapsed="false">
      <c r="A1180" s="41"/>
      <c r="B1180" s="41"/>
      <c r="C1180" s="5" t="n">
        <f aca="false">IF(B1180="",0,IF(A1180="Bank",IFERROR(MATCH(B1180,Bank!$A:$A,0),0),IFERROR(MATCH(B1180,GL!$A:$A,0),0)))</f>
        <v>0</v>
      </c>
      <c r="D1180" s="32" t="str">
        <f aca="false">IF(C1180=0,"",IF($A1180="Bank",INDEX(Bank!$B:$B,$C1180),INDEX(GL!$B:$B,$C1180)))</f>
        <v/>
      </c>
      <c r="E1180" s="5" t="str">
        <f aca="false">IF(C1180=0,"",IF($A1180="Bank",IF(INDEX(Bank!$C:$C,$C1180)="","",INDEX(Bank!$C:$C,$C1180)),IF(INDEX(GL!$C:$C,$C1180)="","",INDEX(GL!$C:$C,$C1180))))</f>
        <v/>
      </c>
      <c r="F1180" s="5" t="str">
        <f aca="false">IF(C1180=0,"",IF($A1180="Bank",IF(INDEX(Bank!$D:$D,$C1180)="","",INDEX(Bank!$D:$D,$C1180)),IF(INDEX(GL!$D:$D,$C1180)="","",INDEX(GL!$D:$D,$C1180))))</f>
        <v/>
      </c>
      <c r="G1180" s="19" t="str">
        <f aca="false">IF(C1180=0,"",IF($A1180="Bank",INDEX(Bank!$E:$E,$C1180),INDEX(GL!$E:$E,$C1180)))</f>
        <v/>
      </c>
      <c r="H1180" s="5" t="str">
        <f aca="false">IF(C1180=0,"",IF(A1180="GL",IF(G1180&gt;0,"Deposit in transit","Outstanding check / payment"),IF(G1180&gt;0,"Bank credit not in GL","Bank debit not in GL")))</f>
        <v/>
      </c>
      <c r="I1180" s="42" t="str">
        <f aca="false">IF(OR(C1180=0,CFG_PeriodEnd=""),"",CFG_PeriodEnd-D1180)</f>
        <v/>
      </c>
      <c r="J1180" s="5" t="str">
        <f aca="false">IF(C1180=0,"",IF($A1180="Bank",IF(INDEX(Bank!$G:$G,$C1180)="","",INDEX(Bank!$G:$G,$C1180)),IF(INDEX(GL!$G:$G,$C1180)="","",INDEX(GL!$G:$G,$C1180))))</f>
        <v/>
      </c>
      <c r="K1180" s="5" t="str">
        <f aca="false">IF(C1180=0,"",IF($A1180="Bank",IF(INDEX(Bank!$I:$I,$C1180)="","",INDEX(Bank!$I:$I,$C1180)),IF(INDEX(GL!$I:$I,$C1180)="","",INDEX(GL!$I:$I,$C1180))))</f>
        <v/>
      </c>
      <c r="L1180" s="5" t="str">
        <f aca="false">IF(B1180="","",IF(C1180=0,"NOT FOUND",IF(IF($A1180="Bank",INDEX(Bank!$F:$F,$C1180),INDEX(GL!$F:$F,$C1180))="Y","NOW RECONCILED: refresh","OK")))</f>
        <v/>
      </c>
    </row>
    <row r="1181" customFormat="false" ht="15" hidden="false" customHeight="false" outlineLevel="0" collapsed="false">
      <c r="A1181" s="41"/>
      <c r="B1181" s="41"/>
      <c r="C1181" s="5" t="n">
        <f aca="false">IF(B1181="",0,IF(A1181="Bank",IFERROR(MATCH(B1181,Bank!$A:$A,0),0),IFERROR(MATCH(B1181,GL!$A:$A,0),0)))</f>
        <v>0</v>
      </c>
      <c r="D1181" s="32" t="str">
        <f aca="false">IF(C1181=0,"",IF($A1181="Bank",INDEX(Bank!$B:$B,$C1181),INDEX(GL!$B:$B,$C1181)))</f>
        <v/>
      </c>
      <c r="E1181" s="5" t="str">
        <f aca="false">IF(C1181=0,"",IF($A1181="Bank",IF(INDEX(Bank!$C:$C,$C1181)="","",INDEX(Bank!$C:$C,$C1181)),IF(INDEX(GL!$C:$C,$C1181)="","",INDEX(GL!$C:$C,$C1181))))</f>
        <v/>
      </c>
      <c r="F1181" s="5" t="str">
        <f aca="false">IF(C1181=0,"",IF($A1181="Bank",IF(INDEX(Bank!$D:$D,$C1181)="","",INDEX(Bank!$D:$D,$C1181)),IF(INDEX(GL!$D:$D,$C1181)="","",INDEX(GL!$D:$D,$C1181))))</f>
        <v/>
      </c>
      <c r="G1181" s="19" t="str">
        <f aca="false">IF(C1181=0,"",IF($A1181="Bank",INDEX(Bank!$E:$E,$C1181),INDEX(GL!$E:$E,$C1181)))</f>
        <v/>
      </c>
      <c r="H1181" s="5" t="str">
        <f aca="false">IF(C1181=0,"",IF(A1181="GL",IF(G1181&gt;0,"Deposit in transit","Outstanding check / payment"),IF(G1181&gt;0,"Bank credit not in GL","Bank debit not in GL")))</f>
        <v/>
      </c>
      <c r="I1181" s="42" t="str">
        <f aca="false">IF(OR(C1181=0,CFG_PeriodEnd=""),"",CFG_PeriodEnd-D1181)</f>
        <v/>
      </c>
      <c r="J1181" s="5" t="str">
        <f aca="false">IF(C1181=0,"",IF($A1181="Bank",IF(INDEX(Bank!$G:$G,$C1181)="","",INDEX(Bank!$G:$G,$C1181)),IF(INDEX(GL!$G:$G,$C1181)="","",INDEX(GL!$G:$G,$C1181))))</f>
        <v/>
      </c>
      <c r="K1181" s="5" t="str">
        <f aca="false">IF(C1181=0,"",IF($A1181="Bank",IF(INDEX(Bank!$I:$I,$C1181)="","",INDEX(Bank!$I:$I,$C1181)),IF(INDEX(GL!$I:$I,$C1181)="","",INDEX(GL!$I:$I,$C1181))))</f>
        <v/>
      </c>
      <c r="L1181" s="5" t="str">
        <f aca="false">IF(B1181="","",IF(C1181=0,"NOT FOUND",IF(IF($A1181="Bank",INDEX(Bank!$F:$F,$C1181),INDEX(GL!$F:$F,$C1181))="Y","NOW RECONCILED: refresh","OK")))</f>
        <v/>
      </c>
    </row>
    <row r="1182" customFormat="false" ht="15" hidden="false" customHeight="false" outlineLevel="0" collapsed="false">
      <c r="A1182" s="41"/>
      <c r="B1182" s="41"/>
      <c r="C1182" s="5" t="n">
        <f aca="false">IF(B1182="",0,IF(A1182="Bank",IFERROR(MATCH(B1182,Bank!$A:$A,0),0),IFERROR(MATCH(B1182,GL!$A:$A,0),0)))</f>
        <v>0</v>
      </c>
      <c r="D1182" s="32" t="str">
        <f aca="false">IF(C1182=0,"",IF($A1182="Bank",INDEX(Bank!$B:$B,$C1182),INDEX(GL!$B:$B,$C1182)))</f>
        <v/>
      </c>
      <c r="E1182" s="5" t="str">
        <f aca="false">IF(C1182=0,"",IF($A1182="Bank",IF(INDEX(Bank!$C:$C,$C1182)="","",INDEX(Bank!$C:$C,$C1182)),IF(INDEX(GL!$C:$C,$C1182)="","",INDEX(GL!$C:$C,$C1182))))</f>
        <v/>
      </c>
      <c r="F1182" s="5" t="str">
        <f aca="false">IF(C1182=0,"",IF($A1182="Bank",IF(INDEX(Bank!$D:$D,$C1182)="","",INDEX(Bank!$D:$D,$C1182)),IF(INDEX(GL!$D:$D,$C1182)="","",INDEX(GL!$D:$D,$C1182))))</f>
        <v/>
      </c>
      <c r="G1182" s="19" t="str">
        <f aca="false">IF(C1182=0,"",IF($A1182="Bank",INDEX(Bank!$E:$E,$C1182),INDEX(GL!$E:$E,$C1182)))</f>
        <v/>
      </c>
      <c r="H1182" s="5" t="str">
        <f aca="false">IF(C1182=0,"",IF(A1182="GL",IF(G1182&gt;0,"Deposit in transit","Outstanding check / payment"),IF(G1182&gt;0,"Bank credit not in GL","Bank debit not in GL")))</f>
        <v/>
      </c>
      <c r="I1182" s="42" t="str">
        <f aca="false">IF(OR(C1182=0,CFG_PeriodEnd=""),"",CFG_PeriodEnd-D1182)</f>
        <v/>
      </c>
      <c r="J1182" s="5" t="str">
        <f aca="false">IF(C1182=0,"",IF($A1182="Bank",IF(INDEX(Bank!$G:$G,$C1182)="","",INDEX(Bank!$G:$G,$C1182)),IF(INDEX(GL!$G:$G,$C1182)="","",INDEX(GL!$G:$G,$C1182))))</f>
        <v/>
      </c>
      <c r="K1182" s="5" t="str">
        <f aca="false">IF(C1182=0,"",IF($A1182="Bank",IF(INDEX(Bank!$I:$I,$C1182)="","",INDEX(Bank!$I:$I,$C1182)),IF(INDEX(GL!$I:$I,$C1182)="","",INDEX(GL!$I:$I,$C1182))))</f>
        <v/>
      </c>
      <c r="L1182" s="5" t="str">
        <f aca="false">IF(B1182="","",IF(C1182=0,"NOT FOUND",IF(IF($A1182="Bank",INDEX(Bank!$F:$F,$C1182),INDEX(GL!$F:$F,$C1182))="Y","NOW RECONCILED: refresh","OK")))</f>
        <v/>
      </c>
    </row>
    <row r="1183" customFormat="false" ht="15" hidden="false" customHeight="false" outlineLevel="0" collapsed="false">
      <c r="A1183" s="41"/>
      <c r="B1183" s="41"/>
      <c r="C1183" s="5" t="n">
        <f aca="false">IF(B1183="",0,IF(A1183="Bank",IFERROR(MATCH(B1183,Bank!$A:$A,0),0),IFERROR(MATCH(B1183,GL!$A:$A,0),0)))</f>
        <v>0</v>
      </c>
      <c r="D1183" s="32" t="str">
        <f aca="false">IF(C1183=0,"",IF($A1183="Bank",INDEX(Bank!$B:$B,$C1183),INDEX(GL!$B:$B,$C1183)))</f>
        <v/>
      </c>
      <c r="E1183" s="5" t="str">
        <f aca="false">IF(C1183=0,"",IF($A1183="Bank",IF(INDEX(Bank!$C:$C,$C1183)="","",INDEX(Bank!$C:$C,$C1183)),IF(INDEX(GL!$C:$C,$C1183)="","",INDEX(GL!$C:$C,$C1183))))</f>
        <v/>
      </c>
      <c r="F1183" s="5" t="str">
        <f aca="false">IF(C1183=0,"",IF($A1183="Bank",IF(INDEX(Bank!$D:$D,$C1183)="","",INDEX(Bank!$D:$D,$C1183)),IF(INDEX(GL!$D:$D,$C1183)="","",INDEX(GL!$D:$D,$C1183))))</f>
        <v/>
      </c>
      <c r="G1183" s="19" t="str">
        <f aca="false">IF(C1183=0,"",IF($A1183="Bank",INDEX(Bank!$E:$E,$C1183),INDEX(GL!$E:$E,$C1183)))</f>
        <v/>
      </c>
      <c r="H1183" s="5" t="str">
        <f aca="false">IF(C1183=0,"",IF(A1183="GL",IF(G1183&gt;0,"Deposit in transit","Outstanding check / payment"),IF(G1183&gt;0,"Bank credit not in GL","Bank debit not in GL")))</f>
        <v/>
      </c>
      <c r="I1183" s="42" t="str">
        <f aca="false">IF(OR(C1183=0,CFG_PeriodEnd=""),"",CFG_PeriodEnd-D1183)</f>
        <v/>
      </c>
      <c r="J1183" s="5" t="str">
        <f aca="false">IF(C1183=0,"",IF($A1183="Bank",IF(INDEX(Bank!$G:$G,$C1183)="","",INDEX(Bank!$G:$G,$C1183)),IF(INDEX(GL!$G:$G,$C1183)="","",INDEX(GL!$G:$G,$C1183))))</f>
        <v/>
      </c>
      <c r="K1183" s="5" t="str">
        <f aca="false">IF(C1183=0,"",IF($A1183="Bank",IF(INDEX(Bank!$I:$I,$C1183)="","",INDEX(Bank!$I:$I,$C1183)),IF(INDEX(GL!$I:$I,$C1183)="","",INDEX(GL!$I:$I,$C1183))))</f>
        <v/>
      </c>
      <c r="L1183" s="5" t="str">
        <f aca="false">IF(B1183="","",IF(C1183=0,"NOT FOUND",IF(IF($A1183="Bank",INDEX(Bank!$F:$F,$C1183),INDEX(GL!$F:$F,$C1183))="Y","NOW RECONCILED: refresh","OK")))</f>
        <v/>
      </c>
    </row>
    <row r="1184" customFormat="false" ht="15" hidden="false" customHeight="false" outlineLevel="0" collapsed="false">
      <c r="A1184" s="41"/>
      <c r="B1184" s="41"/>
      <c r="C1184" s="5" t="n">
        <f aca="false">IF(B1184="",0,IF(A1184="Bank",IFERROR(MATCH(B1184,Bank!$A:$A,0),0),IFERROR(MATCH(B1184,GL!$A:$A,0),0)))</f>
        <v>0</v>
      </c>
      <c r="D1184" s="32" t="str">
        <f aca="false">IF(C1184=0,"",IF($A1184="Bank",INDEX(Bank!$B:$B,$C1184),INDEX(GL!$B:$B,$C1184)))</f>
        <v/>
      </c>
      <c r="E1184" s="5" t="str">
        <f aca="false">IF(C1184=0,"",IF($A1184="Bank",IF(INDEX(Bank!$C:$C,$C1184)="","",INDEX(Bank!$C:$C,$C1184)),IF(INDEX(GL!$C:$C,$C1184)="","",INDEX(GL!$C:$C,$C1184))))</f>
        <v/>
      </c>
      <c r="F1184" s="5" t="str">
        <f aca="false">IF(C1184=0,"",IF($A1184="Bank",IF(INDEX(Bank!$D:$D,$C1184)="","",INDEX(Bank!$D:$D,$C1184)),IF(INDEX(GL!$D:$D,$C1184)="","",INDEX(GL!$D:$D,$C1184))))</f>
        <v/>
      </c>
      <c r="G1184" s="19" t="str">
        <f aca="false">IF(C1184=0,"",IF($A1184="Bank",INDEX(Bank!$E:$E,$C1184),INDEX(GL!$E:$E,$C1184)))</f>
        <v/>
      </c>
      <c r="H1184" s="5" t="str">
        <f aca="false">IF(C1184=0,"",IF(A1184="GL",IF(G1184&gt;0,"Deposit in transit","Outstanding check / payment"),IF(G1184&gt;0,"Bank credit not in GL","Bank debit not in GL")))</f>
        <v/>
      </c>
      <c r="I1184" s="42" t="str">
        <f aca="false">IF(OR(C1184=0,CFG_PeriodEnd=""),"",CFG_PeriodEnd-D1184)</f>
        <v/>
      </c>
      <c r="J1184" s="5" t="str">
        <f aca="false">IF(C1184=0,"",IF($A1184="Bank",IF(INDEX(Bank!$G:$G,$C1184)="","",INDEX(Bank!$G:$G,$C1184)),IF(INDEX(GL!$G:$G,$C1184)="","",INDEX(GL!$G:$G,$C1184))))</f>
        <v/>
      </c>
      <c r="K1184" s="5" t="str">
        <f aca="false">IF(C1184=0,"",IF($A1184="Bank",IF(INDEX(Bank!$I:$I,$C1184)="","",INDEX(Bank!$I:$I,$C1184)),IF(INDEX(GL!$I:$I,$C1184)="","",INDEX(GL!$I:$I,$C1184))))</f>
        <v/>
      </c>
      <c r="L1184" s="5" t="str">
        <f aca="false">IF(B1184="","",IF(C1184=0,"NOT FOUND",IF(IF($A1184="Bank",INDEX(Bank!$F:$F,$C1184),INDEX(GL!$F:$F,$C1184))="Y","NOW RECONCILED: refresh","OK")))</f>
        <v/>
      </c>
    </row>
    <row r="1185" customFormat="false" ht="15" hidden="false" customHeight="false" outlineLevel="0" collapsed="false">
      <c r="A1185" s="41"/>
      <c r="B1185" s="41"/>
      <c r="C1185" s="5" t="n">
        <f aca="false">IF(B1185="",0,IF(A1185="Bank",IFERROR(MATCH(B1185,Bank!$A:$A,0),0),IFERROR(MATCH(B1185,GL!$A:$A,0),0)))</f>
        <v>0</v>
      </c>
      <c r="D1185" s="32" t="str">
        <f aca="false">IF(C1185=0,"",IF($A1185="Bank",INDEX(Bank!$B:$B,$C1185),INDEX(GL!$B:$B,$C1185)))</f>
        <v/>
      </c>
      <c r="E1185" s="5" t="str">
        <f aca="false">IF(C1185=0,"",IF($A1185="Bank",IF(INDEX(Bank!$C:$C,$C1185)="","",INDEX(Bank!$C:$C,$C1185)),IF(INDEX(GL!$C:$C,$C1185)="","",INDEX(GL!$C:$C,$C1185))))</f>
        <v/>
      </c>
      <c r="F1185" s="5" t="str">
        <f aca="false">IF(C1185=0,"",IF($A1185="Bank",IF(INDEX(Bank!$D:$D,$C1185)="","",INDEX(Bank!$D:$D,$C1185)),IF(INDEX(GL!$D:$D,$C1185)="","",INDEX(GL!$D:$D,$C1185))))</f>
        <v/>
      </c>
      <c r="G1185" s="19" t="str">
        <f aca="false">IF(C1185=0,"",IF($A1185="Bank",INDEX(Bank!$E:$E,$C1185),INDEX(GL!$E:$E,$C1185)))</f>
        <v/>
      </c>
      <c r="H1185" s="5" t="str">
        <f aca="false">IF(C1185=0,"",IF(A1185="GL",IF(G1185&gt;0,"Deposit in transit","Outstanding check / payment"),IF(G1185&gt;0,"Bank credit not in GL","Bank debit not in GL")))</f>
        <v/>
      </c>
      <c r="I1185" s="42" t="str">
        <f aca="false">IF(OR(C1185=0,CFG_PeriodEnd=""),"",CFG_PeriodEnd-D1185)</f>
        <v/>
      </c>
      <c r="J1185" s="5" t="str">
        <f aca="false">IF(C1185=0,"",IF($A1185="Bank",IF(INDEX(Bank!$G:$G,$C1185)="","",INDEX(Bank!$G:$G,$C1185)),IF(INDEX(GL!$G:$G,$C1185)="","",INDEX(GL!$G:$G,$C1185))))</f>
        <v/>
      </c>
      <c r="K1185" s="5" t="str">
        <f aca="false">IF(C1185=0,"",IF($A1185="Bank",IF(INDEX(Bank!$I:$I,$C1185)="","",INDEX(Bank!$I:$I,$C1185)),IF(INDEX(GL!$I:$I,$C1185)="","",INDEX(GL!$I:$I,$C1185))))</f>
        <v/>
      </c>
      <c r="L1185" s="5" t="str">
        <f aca="false">IF(B1185="","",IF(C1185=0,"NOT FOUND",IF(IF($A1185="Bank",INDEX(Bank!$F:$F,$C1185),INDEX(GL!$F:$F,$C1185))="Y","NOW RECONCILED: refresh","OK")))</f>
        <v/>
      </c>
    </row>
    <row r="1186" customFormat="false" ht="15" hidden="false" customHeight="false" outlineLevel="0" collapsed="false">
      <c r="A1186" s="41"/>
      <c r="B1186" s="41"/>
      <c r="C1186" s="5" t="n">
        <f aca="false">IF(B1186="",0,IF(A1186="Bank",IFERROR(MATCH(B1186,Bank!$A:$A,0),0),IFERROR(MATCH(B1186,GL!$A:$A,0),0)))</f>
        <v>0</v>
      </c>
      <c r="D1186" s="32" t="str">
        <f aca="false">IF(C1186=0,"",IF($A1186="Bank",INDEX(Bank!$B:$B,$C1186),INDEX(GL!$B:$B,$C1186)))</f>
        <v/>
      </c>
      <c r="E1186" s="5" t="str">
        <f aca="false">IF(C1186=0,"",IF($A1186="Bank",IF(INDEX(Bank!$C:$C,$C1186)="","",INDEX(Bank!$C:$C,$C1186)),IF(INDEX(GL!$C:$C,$C1186)="","",INDEX(GL!$C:$C,$C1186))))</f>
        <v/>
      </c>
      <c r="F1186" s="5" t="str">
        <f aca="false">IF(C1186=0,"",IF($A1186="Bank",IF(INDEX(Bank!$D:$D,$C1186)="","",INDEX(Bank!$D:$D,$C1186)),IF(INDEX(GL!$D:$D,$C1186)="","",INDEX(GL!$D:$D,$C1186))))</f>
        <v/>
      </c>
      <c r="G1186" s="19" t="str">
        <f aca="false">IF(C1186=0,"",IF($A1186="Bank",INDEX(Bank!$E:$E,$C1186),INDEX(GL!$E:$E,$C1186)))</f>
        <v/>
      </c>
      <c r="H1186" s="5" t="str">
        <f aca="false">IF(C1186=0,"",IF(A1186="GL",IF(G1186&gt;0,"Deposit in transit","Outstanding check / payment"),IF(G1186&gt;0,"Bank credit not in GL","Bank debit not in GL")))</f>
        <v/>
      </c>
      <c r="I1186" s="42" t="str">
        <f aca="false">IF(OR(C1186=0,CFG_PeriodEnd=""),"",CFG_PeriodEnd-D1186)</f>
        <v/>
      </c>
      <c r="J1186" s="5" t="str">
        <f aca="false">IF(C1186=0,"",IF($A1186="Bank",IF(INDEX(Bank!$G:$G,$C1186)="","",INDEX(Bank!$G:$G,$C1186)),IF(INDEX(GL!$G:$G,$C1186)="","",INDEX(GL!$G:$G,$C1186))))</f>
        <v/>
      </c>
      <c r="K1186" s="5" t="str">
        <f aca="false">IF(C1186=0,"",IF($A1186="Bank",IF(INDEX(Bank!$I:$I,$C1186)="","",INDEX(Bank!$I:$I,$C1186)),IF(INDEX(GL!$I:$I,$C1186)="","",INDEX(GL!$I:$I,$C1186))))</f>
        <v/>
      </c>
      <c r="L1186" s="5" t="str">
        <f aca="false">IF(B1186="","",IF(C1186=0,"NOT FOUND",IF(IF($A1186="Bank",INDEX(Bank!$F:$F,$C1186),INDEX(GL!$F:$F,$C1186))="Y","NOW RECONCILED: refresh","OK")))</f>
        <v/>
      </c>
    </row>
    <row r="1187" customFormat="false" ht="15" hidden="false" customHeight="false" outlineLevel="0" collapsed="false">
      <c r="A1187" s="41"/>
      <c r="B1187" s="41"/>
      <c r="C1187" s="5" t="n">
        <f aca="false">IF(B1187="",0,IF(A1187="Bank",IFERROR(MATCH(B1187,Bank!$A:$A,0),0),IFERROR(MATCH(B1187,GL!$A:$A,0),0)))</f>
        <v>0</v>
      </c>
      <c r="D1187" s="32" t="str">
        <f aca="false">IF(C1187=0,"",IF($A1187="Bank",INDEX(Bank!$B:$B,$C1187),INDEX(GL!$B:$B,$C1187)))</f>
        <v/>
      </c>
      <c r="E1187" s="5" t="str">
        <f aca="false">IF(C1187=0,"",IF($A1187="Bank",IF(INDEX(Bank!$C:$C,$C1187)="","",INDEX(Bank!$C:$C,$C1187)),IF(INDEX(GL!$C:$C,$C1187)="","",INDEX(GL!$C:$C,$C1187))))</f>
        <v/>
      </c>
      <c r="F1187" s="5" t="str">
        <f aca="false">IF(C1187=0,"",IF($A1187="Bank",IF(INDEX(Bank!$D:$D,$C1187)="","",INDEX(Bank!$D:$D,$C1187)),IF(INDEX(GL!$D:$D,$C1187)="","",INDEX(GL!$D:$D,$C1187))))</f>
        <v/>
      </c>
      <c r="G1187" s="19" t="str">
        <f aca="false">IF(C1187=0,"",IF($A1187="Bank",INDEX(Bank!$E:$E,$C1187),INDEX(GL!$E:$E,$C1187)))</f>
        <v/>
      </c>
      <c r="H1187" s="5" t="str">
        <f aca="false">IF(C1187=0,"",IF(A1187="GL",IF(G1187&gt;0,"Deposit in transit","Outstanding check / payment"),IF(G1187&gt;0,"Bank credit not in GL","Bank debit not in GL")))</f>
        <v/>
      </c>
      <c r="I1187" s="42" t="str">
        <f aca="false">IF(OR(C1187=0,CFG_PeriodEnd=""),"",CFG_PeriodEnd-D1187)</f>
        <v/>
      </c>
      <c r="J1187" s="5" t="str">
        <f aca="false">IF(C1187=0,"",IF($A1187="Bank",IF(INDEX(Bank!$G:$G,$C1187)="","",INDEX(Bank!$G:$G,$C1187)),IF(INDEX(GL!$G:$G,$C1187)="","",INDEX(GL!$G:$G,$C1187))))</f>
        <v/>
      </c>
      <c r="K1187" s="5" t="str">
        <f aca="false">IF(C1187=0,"",IF($A1187="Bank",IF(INDEX(Bank!$I:$I,$C1187)="","",INDEX(Bank!$I:$I,$C1187)),IF(INDEX(GL!$I:$I,$C1187)="","",INDEX(GL!$I:$I,$C1187))))</f>
        <v/>
      </c>
      <c r="L1187" s="5" t="str">
        <f aca="false">IF(B1187="","",IF(C1187=0,"NOT FOUND",IF(IF($A1187="Bank",INDEX(Bank!$F:$F,$C1187),INDEX(GL!$F:$F,$C1187))="Y","NOW RECONCILED: refresh","OK")))</f>
        <v/>
      </c>
    </row>
    <row r="1188" customFormat="false" ht="15" hidden="false" customHeight="false" outlineLevel="0" collapsed="false">
      <c r="A1188" s="41"/>
      <c r="B1188" s="41"/>
      <c r="C1188" s="5" t="n">
        <f aca="false">IF(B1188="",0,IF(A1188="Bank",IFERROR(MATCH(B1188,Bank!$A:$A,0),0),IFERROR(MATCH(B1188,GL!$A:$A,0),0)))</f>
        <v>0</v>
      </c>
      <c r="D1188" s="32" t="str">
        <f aca="false">IF(C1188=0,"",IF($A1188="Bank",INDEX(Bank!$B:$B,$C1188),INDEX(GL!$B:$B,$C1188)))</f>
        <v/>
      </c>
      <c r="E1188" s="5" t="str">
        <f aca="false">IF(C1188=0,"",IF($A1188="Bank",IF(INDEX(Bank!$C:$C,$C1188)="","",INDEX(Bank!$C:$C,$C1188)),IF(INDEX(GL!$C:$C,$C1188)="","",INDEX(GL!$C:$C,$C1188))))</f>
        <v/>
      </c>
      <c r="F1188" s="5" t="str">
        <f aca="false">IF(C1188=0,"",IF($A1188="Bank",IF(INDEX(Bank!$D:$D,$C1188)="","",INDEX(Bank!$D:$D,$C1188)),IF(INDEX(GL!$D:$D,$C1188)="","",INDEX(GL!$D:$D,$C1188))))</f>
        <v/>
      </c>
      <c r="G1188" s="19" t="str">
        <f aca="false">IF(C1188=0,"",IF($A1188="Bank",INDEX(Bank!$E:$E,$C1188),INDEX(GL!$E:$E,$C1188)))</f>
        <v/>
      </c>
      <c r="H1188" s="5" t="str">
        <f aca="false">IF(C1188=0,"",IF(A1188="GL",IF(G1188&gt;0,"Deposit in transit","Outstanding check / payment"),IF(G1188&gt;0,"Bank credit not in GL","Bank debit not in GL")))</f>
        <v/>
      </c>
      <c r="I1188" s="42" t="str">
        <f aca="false">IF(OR(C1188=0,CFG_PeriodEnd=""),"",CFG_PeriodEnd-D1188)</f>
        <v/>
      </c>
      <c r="J1188" s="5" t="str">
        <f aca="false">IF(C1188=0,"",IF($A1188="Bank",IF(INDEX(Bank!$G:$G,$C1188)="","",INDEX(Bank!$G:$G,$C1188)),IF(INDEX(GL!$G:$G,$C1188)="","",INDEX(GL!$G:$G,$C1188))))</f>
        <v/>
      </c>
      <c r="K1188" s="5" t="str">
        <f aca="false">IF(C1188=0,"",IF($A1188="Bank",IF(INDEX(Bank!$I:$I,$C1188)="","",INDEX(Bank!$I:$I,$C1188)),IF(INDEX(GL!$I:$I,$C1188)="","",INDEX(GL!$I:$I,$C1188))))</f>
        <v/>
      </c>
      <c r="L1188" s="5" t="str">
        <f aca="false">IF(B1188="","",IF(C1188=0,"NOT FOUND",IF(IF($A1188="Bank",INDEX(Bank!$F:$F,$C1188),INDEX(GL!$F:$F,$C1188))="Y","NOW RECONCILED: refresh","OK")))</f>
        <v/>
      </c>
    </row>
    <row r="1189" customFormat="false" ht="15" hidden="false" customHeight="false" outlineLevel="0" collapsed="false">
      <c r="A1189" s="41"/>
      <c r="B1189" s="41"/>
      <c r="C1189" s="5" t="n">
        <f aca="false">IF(B1189="",0,IF(A1189="Bank",IFERROR(MATCH(B1189,Bank!$A:$A,0),0),IFERROR(MATCH(B1189,GL!$A:$A,0),0)))</f>
        <v>0</v>
      </c>
      <c r="D1189" s="32" t="str">
        <f aca="false">IF(C1189=0,"",IF($A1189="Bank",INDEX(Bank!$B:$B,$C1189),INDEX(GL!$B:$B,$C1189)))</f>
        <v/>
      </c>
      <c r="E1189" s="5" t="str">
        <f aca="false">IF(C1189=0,"",IF($A1189="Bank",IF(INDEX(Bank!$C:$C,$C1189)="","",INDEX(Bank!$C:$C,$C1189)),IF(INDEX(GL!$C:$C,$C1189)="","",INDEX(GL!$C:$C,$C1189))))</f>
        <v/>
      </c>
      <c r="F1189" s="5" t="str">
        <f aca="false">IF(C1189=0,"",IF($A1189="Bank",IF(INDEX(Bank!$D:$D,$C1189)="","",INDEX(Bank!$D:$D,$C1189)),IF(INDEX(GL!$D:$D,$C1189)="","",INDEX(GL!$D:$D,$C1189))))</f>
        <v/>
      </c>
      <c r="G1189" s="19" t="str">
        <f aca="false">IF(C1189=0,"",IF($A1189="Bank",INDEX(Bank!$E:$E,$C1189),INDEX(GL!$E:$E,$C1189)))</f>
        <v/>
      </c>
      <c r="H1189" s="5" t="str">
        <f aca="false">IF(C1189=0,"",IF(A1189="GL",IF(G1189&gt;0,"Deposit in transit","Outstanding check / payment"),IF(G1189&gt;0,"Bank credit not in GL","Bank debit not in GL")))</f>
        <v/>
      </c>
      <c r="I1189" s="42" t="str">
        <f aca="false">IF(OR(C1189=0,CFG_PeriodEnd=""),"",CFG_PeriodEnd-D1189)</f>
        <v/>
      </c>
      <c r="J1189" s="5" t="str">
        <f aca="false">IF(C1189=0,"",IF($A1189="Bank",IF(INDEX(Bank!$G:$G,$C1189)="","",INDEX(Bank!$G:$G,$C1189)),IF(INDEX(GL!$G:$G,$C1189)="","",INDEX(GL!$G:$G,$C1189))))</f>
        <v/>
      </c>
      <c r="K1189" s="5" t="str">
        <f aca="false">IF(C1189=0,"",IF($A1189="Bank",IF(INDEX(Bank!$I:$I,$C1189)="","",INDEX(Bank!$I:$I,$C1189)),IF(INDEX(GL!$I:$I,$C1189)="","",INDEX(GL!$I:$I,$C1189))))</f>
        <v/>
      </c>
      <c r="L1189" s="5" t="str">
        <f aca="false">IF(B1189="","",IF(C1189=0,"NOT FOUND",IF(IF($A1189="Bank",INDEX(Bank!$F:$F,$C1189),INDEX(GL!$F:$F,$C1189))="Y","NOW RECONCILED: refresh","OK")))</f>
        <v/>
      </c>
    </row>
    <row r="1190" customFormat="false" ht="15" hidden="false" customHeight="false" outlineLevel="0" collapsed="false">
      <c r="A1190" s="41"/>
      <c r="B1190" s="41"/>
      <c r="C1190" s="5" t="n">
        <f aca="false">IF(B1190="",0,IF(A1190="Bank",IFERROR(MATCH(B1190,Bank!$A:$A,0),0),IFERROR(MATCH(B1190,GL!$A:$A,0),0)))</f>
        <v>0</v>
      </c>
      <c r="D1190" s="32" t="str">
        <f aca="false">IF(C1190=0,"",IF($A1190="Bank",INDEX(Bank!$B:$B,$C1190),INDEX(GL!$B:$B,$C1190)))</f>
        <v/>
      </c>
      <c r="E1190" s="5" t="str">
        <f aca="false">IF(C1190=0,"",IF($A1190="Bank",IF(INDEX(Bank!$C:$C,$C1190)="","",INDEX(Bank!$C:$C,$C1190)),IF(INDEX(GL!$C:$C,$C1190)="","",INDEX(GL!$C:$C,$C1190))))</f>
        <v/>
      </c>
      <c r="F1190" s="5" t="str">
        <f aca="false">IF(C1190=0,"",IF($A1190="Bank",IF(INDEX(Bank!$D:$D,$C1190)="","",INDEX(Bank!$D:$D,$C1190)),IF(INDEX(GL!$D:$D,$C1190)="","",INDEX(GL!$D:$D,$C1190))))</f>
        <v/>
      </c>
      <c r="G1190" s="19" t="str">
        <f aca="false">IF(C1190=0,"",IF($A1190="Bank",INDEX(Bank!$E:$E,$C1190),INDEX(GL!$E:$E,$C1190)))</f>
        <v/>
      </c>
      <c r="H1190" s="5" t="str">
        <f aca="false">IF(C1190=0,"",IF(A1190="GL",IF(G1190&gt;0,"Deposit in transit","Outstanding check / payment"),IF(G1190&gt;0,"Bank credit not in GL","Bank debit not in GL")))</f>
        <v/>
      </c>
      <c r="I1190" s="42" t="str">
        <f aca="false">IF(OR(C1190=0,CFG_PeriodEnd=""),"",CFG_PeriodEnd-D1190)</f>
        <v/>
      </c>
      <c r="J1190" s="5" t="str">
        <f aca="false">IF(C1190=0,"",IF($A1190="Bank",IF(INDEX(Bank!$G:$G,$C1190)="","",INDEX(Bank!$G:$G,$C1190)),IF(INDEX(GL!$G:$G,$C1190)="","",INDEX(GL!$G:$G,$C1190))))</f>
        <v/>
      </c>
      <c r="K1190" s="5" t="str">
        <f aca="false">IF(C1190=0,"",IF($A1190="Bank",IF(INDEX(Bank!$I:$I,$C1190)="","",INDEX(Bank!$I:$I,$C1190)),IF(INDEX(GL!$I:$I,$C1190)="","",INDEX(GL!$I:$I,$C1190))))</f>
        <v/>
      </c>
      <c r="L1190" s="5" t="str">
        <f aca="false">IF(B1190="","",IF(C1190=0,"NOT FOUND",IF(IF($A1190="Bank",INDEX(Bank!$F:$F,$C1190),INDEX(GL!$F:$F,$C1190))="Y","NOW RECONCILED: refresh","OK")))</f>
        <v/>
      </c>
    </row>
    <row r="1191" customFormat="false" ht="15" hidden="false" customHeight="false" outlineLevel="0" collapsed="false">
      <c r="A1191" s="41"/>
      <c r="B1191" s="41"/>
      <c r="C1191" s="5" t="n">
        <f aca="false">IF(B1191="",0,IF(A1191="Bank",IFERROR(MATCH(B1191,Bank!$A:$A,0),0),IFERROR(MATCH(B1191,GL!$A:$A,0),0)))</f>
        <v>0</v>
      </c>
      <c r="D1191" s="32" t="str">
        <f aca="false">IF(C1191=0,"",IF($A1191="Bank",INDEX(Bank!$B:$B,$C1191),INDEX(GL!$B:$B,$C1191)))</f>
        <v/>
      </c>
      <c r="E1191" s="5" t="str">
        <f aca="false">IF(C1191=0,"",IF($A1191="Bank",IF(INDEX(Bank!$C:$C,$C1191)="","",INDEX(Bank!$C:$C,$C1191)),IF(INDEX(GL!$C:$C,$C1191)="","",INDEX(GL!$C:$C,$C1191))))</f>
        <v/>
      </c>
      <c r="F1191" s="5" t="str">
        <f aca="false">IF(C1191=0,"",IF($A1191="Bank",IF(INDEX(Bank!$D:$D,$C1191)="","",INDEX(Bank!$D:$D,$C1191)),IF(INDEX(GL!$D:$D,$C1191)="","",INDEX(GL!$D:$D,$C1191))))</f>
        <v/>
      </c>
      <c r="G1191" s="19" t="str">
        <f aca="false">IF(C1191=0,"",IF($A1191="Bank",INDEX(Bank!$E:$E,$C1191),INDEX(GL!$E:$E,$C1191)))</f>
        <v/>
      </c>
      <c r="H1191" s="5" t="str">
        <f aca="false">IF(C1191=0,"",IF(A1191="GL",IF(G1191&gt;0,"Deposit in transit","Outstanding check / payment"),IF(G1191&gt;0,"Bank credit not in GL","Bank debit not in GL")))</f>
        <v/>
      </c>
      <c r="I1191" s="42" t="str">
        <f aca="false">IF(OR(C1191=0,CFG_PeriodEnd=""),"",CFG_PeriodEnd-D1191)</f>
        <v/>
      </c>
      <c r="J1191" s="5" t="str">
        <f aca="false">IF(C1191=0,"",IF($A1191="Bank",IF(INDEX(Bank!$G:$G,$C1191)="","",INDEX(Bank!$G:$G,$C1191)),IF(INDEX(GL!$G:$G,$C1191)="","",INDEX(GL!$G:$G,$C1191))))</f>
        <v/>
      </c>
      <c r="K1191" s="5" t="str">
        <f aca="false">IF(C1191=0,"",IF($A1191="Bank",IF(INDEX(Bank!$I:$I,$C1191)="","",INDEX(Bank!$I:$I,$C1191)),IF(INDEX(GL!$I:$I,$C1191)="","",INDEX(GL!$I:$I,$C1191))))</f>
        <v/>
      </c>
      <c r="L1191" s="5" t="str">
        <f aca="false">IF(B1191="","",IF(C1191=0,"NOT FOUND",IF(IF($A1191="Bank",INDEX(Bank!$F:$F,$C1191),INDEX(GL!$F:$F,$C1191))="Y","NOW RECONCILED: refresh","OK")))</f>
        <v/>
      </c>
    </row>
    <row r="1192" customFormat="false" ht="15" hidden="false" customHeight="false" outlineLevel="0" collapsed="false">
      <c r="A1192" s="41"/>
      <c r="B1192" s="41"/>
      <c r="C1192" s="5" t="n">
        <f aca="false">IF(B1192="",0,IF(A1192="Bank",IFERROR(MATCH(B1192,Bank!$A:$A,0),0),IFERROR(MATCH(B1192,GL!$A:$A,0),0)))</f>
        <v>0</v>
      </c>
      <c r="D1192" s="32" t="str">
        <f aca="false">IF(C1192=0,"",IF($A1192="Bank",INDEX(Bank!$B:$B,$C1192),INDEX(GL!$B:$B,$C1192)))</f>
        <v/>
      </c>
      <c r="E1192" s="5" t="str">
        <f aca="false">IF(C1192=0,"",IF($A1192="Bank",IF(INDEX(Bank!$C:$C,$C1192)="","",INDEX(Bank!$C:$C,$C1192)),IF(INDEX(GL!$C:$C,$C1192)="","",INDEX(GL!$C:$C,$C1192))))</f>
        <v/>
      </c>
      <c r="F1192" s="5" t="str">
        <f aca="false">IF(C1192=0,"",IF($A1192="Bank",IF(INDEX(Bank!$D:$D,$C1192)="","",INDEX(Bank!$D:$D,$C1192)),IF(INDEX(GL!$D:$D,$C1192)="","",INDEX(GL!$D:$D,$C1192))))</f>
        <v/>
      </c>
      <c r="G1192" s="19" t="str">
        <f aca="false">IF(C1192=0,"",IF($A1192="Bank",INDEX(Bank!$E:$E,$C1192),INDEX(GL!$E:$E,$C1192)))</f>
        <v/>
      </c>
      <c r="H1192" s="5" t="str">
        <f aca="false">IF(C1192=0,"",IF(A1192="GL",IF(G1192&gt;0,"Deposit in transit","Outstanding check / payment"),IF(G1192&gt;0,"Bank credit not in GL","Bank debit not in GL")))</f>
        <v/>
      </c>
      <c r="I1192" s="42" t="str">
        <f aca="false">IF(OR(C1192=0,CFG_PeriodEnd=""),"",CFG_PeriodEnd-D1192)</f>
        <v/>
      </c>
      <c r="J1192" s="5" t="str">
        <f aca="false">IF(C1192=0,"",IF($A1192="Bank",IF(INDEX(Bank!$G:$G,$C1192)="","",INDEX(Bank!$G:$G,$C1192)),IF(INDEX(GL!$G:$G,$C1192)="","",INDEX(GL!$G:$G,$C1192))))</f>
        <v/>
      </c>
      <c r="K1192" s="5" t="str">
        <f aca="false">IF(C1192=0,"",IF($A1192="Bank",IF(INDEX(Bank!$I:$I,$C1192)="","",INDEX(Bank!$I:$I,$C1192)),IF(INDEX(GL!$I:$I,$C1192)="","",INDEX(GL!$I:$I,$C1192))))</f>
        <v/>
      </c>
      <c r="L1192" s="5" t="str">
        <f aca="false">IF(B1192="","",IF(C1192=0,"NOT FOUND",IF(IF($A1192="Bank",INDEX(Bank!$F:$F,$C1192),INDEX(GL!$F:$F,$C1192))="Y","NOW RECONCILED: refresh","OK")))</f>
        <v/>
      </c>
    </row>
    <row r="1193" customFormat="false" ht="15" hidden="false" customHeight="false" outlineLevel="0" collapsed="false">
      <c r="A1193" s="41"/>
      <c r="B1193" s="41"/>
      <c r="C1193" s="5" t="n">
        <f aca="false">IF(B1193="",0,IF(A1193="Bank",IFERROR(MATCH(B1193,Bank!$A:$A,0),0),IFERROR(MATCH(B1193,GL!$A:$A,0),0)))</f>
        <v>0</v>
      </c>
      <c r="D1193" s="32" t="str">
        <f aca="false">IF(C1193=0,"",IF($A1193="Bank",INDEX(Bank!$B:$B,$C1193),INDEX(GL!$B:$B,$C1193)))</f>
        <v/>
      </c>
      <c r="E1193" s="5" t="str">
        <f aca="false">IF(C1193=0,"",IF($A1193="Bank",IF(INDEX(Bank!$C:$C,$C1193)="","",INDEX(Bank!$C:$C,$C1193)),IF(INDEX(GL!$C:$C,$C1193)="","",INDEX(GL!$C:$C,$C1193))))</f>
        <v/>
      </c>
      <c r="F1193" s="5" t="str">
        <f aca="false">IF(C1193=0,"",IF($A1193="Bank",IF(INDEX(Bank!$D:$D,$C1193)="","",INDEX(Bank!$D:$D,$C1193)),IF(INDEX(GL!$D:$D,$C1193)="","",INDEX(GL!$D:$D,$C1193))))</f>
        <v/>
      </c>
      <c r="G1193" s="19" t="str">
        <f aca="false">IF(C1193=0,"",IF($A1193="Bank",INDEX(Bank!$E:$E,$C1193),INDEX(GL!$E:$E,$C1193)))</f>
        <v/>
      </c>
      <c r="H1193" s="5" t="str">
        <f aca="false">IF(C1193=0,"",IF(A1193="GL",IF(G1193&gt;0,"Deposit in transit","Outstanding check / payment"),IF(G1193&gt;0,"Bank credit not in GL","Bank debit not in GL")))</f>
        <v/>
      </c>
      <c r="I1193" s="42" t="str">
        <f aca="false">IF(OR(C1193=0,CFG_PeriodEnd=""),"",CFG_PeriodEnd-D1193)</f>
        <v/>
      </c>
      <c r="J1193" s="5" t="str">
        <f aca="false">IF(C1193=0,"",IF($A1193="Bank",IF(INDEX(Bank!$G:$G,$C1193)="","",INDEX(Bank!$G:$G,$C1193)),IF(INDEX(GL!$G:$G,$C1193)="","",INDEX(GL!$G:$G,$C1193))))</f>
        <v/>
      </c>
      <c r="K1193" s="5" t="str">
        <f aca="false">IF(C1193=0,"",IF($A1193="Bank",IF(INDEX(Bank!$I:$I,$C1193)="","",INDEX(Bank!$I:$I,$C1193)),IF(INDEX(GL!$I:$I,$C1193)="","",INDEX(GL!$I:$I,$C1193))))</f>
        <v/>
      </c>
      <c r="L1193" s="5" t="str">
        <f aca="false">IF(B1193="","",IF(C1193=0,"NOT FOUND",IF(IF($A1193="Bank",INDEX(Bank!$F:$F,$C1193),INDEX(GL!$F:$F,$C1193))="Y","NOW RECONCILED: refresh","OK")))</f>
        <v/>
      </c>
    </row>
    <row r="1194" customFormat="false" ht="15" hidden="false" customHeight="false" outlineLevel="0" collapsed="false">
      <c r="A1194" s="41"/>
      <c r="B1194" s="41"/>
      <c r="C1194" s="5" t="n">
        <f aca="false">IF(B1194="",0,IF(A1194="Bank",IFERROR(MATCH(B1194,Bank!$A:$A,0),0),IFERROR(MATCH(B1194,GL!$A:$A,0),0)))</f>
        <v>0</v>
      </c>
      <c r="D1194" s="32" t="str">
        <f aca="false">IF(C1194=0,"",IF($A1194="Bank",INDEX(Bank!$B:$B,$C1194),INDEX(GL!$B:$B,$C1194)))</f>
        <v/>
      </c>
      <c r="E1194" s="5" t="str">
        <f aca="false">IF(C1194=0,"",IF($A1194="Bank",IF(INDEX(Bank!$C:$C,$C1194)="","",INDEX(Bank!$C:$C,$C1194)),IF(INDEX(GL!$C:$C,$C1194)="","",INDEX(GL!$C:$C,$C1194))))</f>
        <v/>
      </c>
      <c r="F1194" s="5" t="str">
        <f aca="false">IF(C1194=0,"",IF($A1194="Bank",IF(INDEX(Bank!$D:$D,$C1194)="","",INDEX(Bank!$D:$D,$C1194)),IF(INDEX(GL!$D:$D,$C1194)="","",INDEX(GL!$D:$D,$C1194))))</f>
        <v/>
      </c>
      <c r="G1194" s="19" t="str">
        <f aca="false">IF(C1194=0,"",IF($A1194="Bank",INDEX(Bank!$E:$E,$C1194),INDEX(GL!$E:$E,$C1194)))</f>
        <v/>
      </c>
      <c r="H1194" s="5" t="str">
        <f aca="false">IF(C1194=0,"",IF(A1194="GL",IF(G1194&gt;0,"Deposit in transit","Outstanding check / payment"),IF(G1194&gt;0,"Bank credit not in GL","Bank debit not in GL")))</f>
        <v/>
      </c>
      <c r="I1194" s="42" t="str">
        <f aca="false">IF(OR(C1194=0,CFG_PeriodEnd=""),"",CFG_PeriodEnd-D1194)</f>
        <v/>
      </c>
      <c r="J1194" s="5" t="str">
        <f aca="false">IF(C1194=0,"",IF($A1194="Bank",IF(INDEX(Bank!$G:$G,$C1194)="","",INDEX(Bank!$G:$G,$C1194)),IF(INDEX(GL!$G:$G,$C1194)="","",INDEX(GL!$G:$G,$C1194))))</f>
        <v/>
      </c>
      <c r="K1194" s="5" t="str">
        <f aca="false">IF(C1194=0,"",IF($A1194="Bank",IF(INDEX(Bank!$I:$I,$C1194)="","",INDEX(Bank!$I:$I,$C1194)),IF(INDEX(GL!$I:$I,$C1194)="","",INDEX(GL!$I:$I,$C1194))))</f>
        <v/>
      </c>
      <c r="L1194" s="5" t="str">
        <f aca="false">IF(B1194="","",IF(C1194=0,"NOT FOUND",IF(IF($A1194="Bank",INDEX(Bank!$F:$F,$C1194),INDEX(GL!$F:$F,$C1194))="Y","NOW RECONCILED: refresh","OK")))</f>
        <v/>
      </c>
    </row>
    <row r="1195" customFormat="false" ht="15" hidden="false" customHeight="false" outlineLevel="0" collapsed="false">
      <c r="A1195" s="41"/>
      <c r="B1195" s="41"/>
      <c r="C1195" s="5" t="n">
        <f aca="false">IF(B1195="",0,IF(A1195="Bank",IFERROR(MATCH(B1195,Bank!$A:$A,0),0),IFERROR(MATCH(B1195,GL!$A:$A,0),0)))</f>
        <v>0</v>
      </c>
      <c r="D1195" s="32" t="str">
        <f aca="false">IF(C1195=0,"",IF($A1195="Bank",INDEX(Bank!$B:$B,$C1195),INDEX(GL!$B:$B,$C1195)))</f>
        <v/>
      </c>
      <c r="E1195" s="5" t="str">
        <f aca="false">IF(C1195=0,"",IF($A1195="Bank",IF(INDEX(Bank!$C:$C,$C1195)="","",INDEX(Bank!$C:$C,$C1195)),IF(INDEX(GL!$C:$C,$C1195)="","",INDEX(GL!$C:$C,$C1195))))</f>
        <v/>
      </c>
      <c r="F1195" s="5" t="str">
        <f aca="false">IF(C1195=0,"",IF($A1195="Bank",IF(INDEX(Bank!$D:$D,$C1195)="","",INDEX(Bank!$D:$D,$C1195)),IF(INDEX(GL!$D:$D,$C1195)="","",INDEX(GL!$D:$D,$C1195))))</f>
        <v/>
      </c>
      <c r="G1195" s="19" t="str">
        <f aca="false">IF(C1195=0,"",IF($A1195="Bank",INDEX(Bank!$E:$E,$C1195),INDEX(GL!$E:$E,$C1195)))</f>
        <v/>
      </c>
      <c r="H1195" s="5" t="str">
        <f aca="false">IF(C1195=0,"",IF(A1195="GL",IF(G1195&gt;0,"Deposit in transit","Outstanding check / payment"),IF(G1195&gt;0,"Bank credit not in GL","Bank debit not in GL")))</f>
        <v/>
      </c>
      <c r="I1195" s="42" t="str">
        <f aca="false">IF(OR(C1195=0,CFG_PeriodEnd=""),"",CFG_PeriodEnd-D1195)</f>
        <v/>
      </c>
      <c r="J1195" s="5" t="str">
        <f aca="false">IF(C1195=0,"",IF($A1195="Bank",IF(INDEX(Bank!$G:$G,$C1195)="","",INDEX(Bank!$G:$G,$C1195)),IF(INDEX(GL!$G:$G,$C1195)="","",INDEX(GL!$G:$G,$C1195))))</f>
        <v/>
      </c>
      <c r="K1195" s="5" t="str">
        <f aca="false">IF(C1195=0,"",IF($A1195="Bank",IF(INDEX(Bank!$I:$I,$C1195)="","",INDEX(Bank!$I:$I,$C1195)),IF(INDEX(GL!$I:$I,$C1195)="","",INDEX(GL!$I:$I,$C1195))))</f>
        <v/>
      </c>
      <c r="L1195" s="5" t="str">
        <f aca="false">IF(B1195="","",IF(C1195=0,"NOT FOUND",IF(IF($A1195="Bank",INDEX(Bank!$F:$F,$C1195),INDEX(GL!$F:$F,$C1195))="Y","NOW RECONCILED: refresh","OK")))</f>
        <v/>
      </c>
    </row>
    <row r="1196" customFormat="false" ht="15" hidden="false" customHeight="false" outlineLevel="0" collapsed="false">
      <c r="A1196" s="41"/>
      <c r="B1196" s="41"/>
      <c r="C1196" s="5" t="n">
        <f aca="false">IF(B1196="",0,IF(A1196="Bank",IFERROR(MATCH(B1196,Bank!$A:$A,0),0),IFERROR(MATCH(B1196,GL!$A:$A,0),0)))</f>
        <v>0</v>
      </c>
      <c r="D1196" s="32" t="str">
        <f aca="false">IF(C1196=0,"",IF($A1196="Bank",INDEX(Bank!$B:$B,$C1196),INDEX(GL!$B:$B,$C1196)))</f>
        <v/>
      </c>
      <c r="E1196" s="5" t="str">
        <f aca="false">IF(C1196=0,"",IF($A1196="Bank",IF(INDEX(Bank!$C:$C,$C1196)="","",INDEX(Bank!$C:$C,$C1196)),IF(INDEX(GL!$C:$C,$C1196)="","",INDEX(GL!$C:$C,$C1196))))</f>
        <v/>
      </c>
      <c r="F1196" s="5" t="str">
        <f aca="false">IF(C1196=0,"",IF($A1196="Bank",IF(INDEX(Bank!$D:$D,$C1196)="","",INDEX(Bank!$D:$D,$C1196)),IF(INDEX(GL!$D:$D,$C1196)="","",INDEX(GL!$D:$D,$C1196))))</f>
        <v/>
      </c>
      <c r="G1196" s="19" t="str">
        <f aca="false">IF(C1196=0,"",IF($A1196="Bank",INDEX(Bank!$E:$E,$C1196),INDEX(GL!$E:$E,$C1196)))</f>
        <v/>
      </c>
      <c r="H1196" s="5" t="str">
        <f aca="false">IF(C1196=0,"",IF(A1196="GL",IF(G1196&gt;0,"Deposit in transit","Outstanding check / payment"),IF(G1196&gt;0,"Bank credit not in GL","Bank debit not in GL")))</f>
        <v/>
      </c>
      <c r="I1196" s="42" t="str">
        <f aca="false">IF(OR(C1196=0,CFG_PeriodEnd=""),"",CFG_PeriodEnd-D1196)</f>
        <v/>
      </c>
      <c r="J1196" s="5" t="str">
        <f aca="false">IF(C1196=0,"",IF($A1196="Bank",IF(INDEX(Bank!$G:$G,$C1196)="","",INDEX(Bank!$G:$G,$C1196)),IF(INDEX(GL!$G:$G,$C1196)="","",INDEX(GL!$G:$G,$C1196))))</f>
        <v/>
      </c>
      <c r="K1196" s="5" t="str">
        <f aca="false">IF(C1196=0,"",IF($A1196="Bank",IF(INDEX(Bank!$I:$I,$C1196)="","",INDEX(Bank!$I:$I,$C1196)),IF(INDEX(GL!$I:$I,$C1196)="","",INDEX(GL!$I:$I,$C1196))))</f>
        <v/>
      </c>
      <c r="L1196" s="5" t="str">
        <f aca="false">IF(B1196="","",IF(C1196=0,"NOT FOUND",IF(IF($A1196="Bank",INDEX(Bank!$F:$F,$C1196),INDEX(GL!$F:$F,$C1196))="Y","NOW RECONCILED: refresh","OK")))</f>
        <v/>
      </c>
    </row>
    <row r="1197" customFormat="false" ht="15" hidden="false" customHeight="false" outlineLevel="0" collapsed="false">
      <c r="A1197" s="41"/>
      <c r="B1197" s="41"/>
      <c r="C1197" s="5" t="n">
        <f aca="false">IF(B1197="",0,IF(A1197="Bank",IFERROR(MATCH(B1197,Bank!$A:$A,0),0),IFERROR(MATCH(B1197,GL!$A:$A,0),0)))</f>
        <v>0</v>
      </c>
      <c r="D1197" s="32" t="str">
        <f aca="false">IF(C1197=0,"",IF($A1197="Bank",INDEX(Bank!$B:$B,$C1197),INDEX(GL!$B:$B,$C1197)))</f>
        <v/>
      </c>
      <c r="E1197" s="5" t="str">
        <f aca="false">IF(C1197=0,"",IF($A1197="Bank",IF(INDEX(Bank!$C:$C,$C1197)="","",INDEX(Bank!$C:$C,$C1197)),IF(INDEX(GL!$C:$C,$C1197)="","",INDEX(GL!$C:$C,$C1197))))</f>
        <v/>
      </c>
      <c r="F1197" s="5" t="str">
        <f aca="false">IF(C1197=0,"",IF($A1197="Bank",IF(INDEX(Bank!$D:$D,$C1197)="","",INDEX(Bank!$D:$D,$C1197)),IF(INDEX(GL!$D:$D,$C1197)="","",INDEX(GL!$D:$D,$C1197))))</f>
        <v/>
      </c>
      <c r="G1197" s="19" t="str">
        <f aca="false">IF(C1197=0,"",IF($A1197="Bank",INDEX(Bank!$E:$E,$C1197),INDEX(GL!$E:$E,$C1197)))</f>
        <v/>
      </c>
      <c r="H1197" s="5" t="str">
        <f aca="false">IF(C1197=0,"",IF(A1197="GL",IF(G1197&gt;0,"Deposit in transit","Outstanding check / payment"),IF(G1197&gt;0,"Bank credit not in GL","Bank debit not in GL")))</f>
        <v/>
      </c>
      <c r="I1197" s="42" t="str">
        <f aca="false">IF(OR(C1197=0,CFG_PeriodEnd=""),"",CFG_PeriodEnd-D1197)</f>
        <v/>
      </c>
      <c r="J1197" s="5" t="str">
        <f aca="false">IF(C1197=0,"",IF($A1197="Bank",IF(INDEX(Bank!$G:$G,$C1197)="","",INDEX(Bank!$G:$G,$C1197)),IF(INDEX(GL!$G:$G,$C1197)="","",INDEX(GL!$G:$G,$C1197))))</f>
        <v/>
      </c>
      <c r="K1197" s="5" t="str">
        <f aca="false">IF(C1197=0,"",IF($A1197="Bank",IF(INDEX(Bank!$I:$I,$C1197)="","",INDEX(Bank!$I:$I,$C1197)),IF(INDEX(GL!$I:$I,$C1197)="","",INDEX(GL!$I:$I,$C1197))))</f>
        <v/>
      </c>
      <c r="L1197" s="5" t="str">
        <f aca="false">IF(B1197="","",IF(C1197=0,"NOT FOUND",IF(IF($A1197="Bank",INDEX(Bank!$F:$F,$C1197),INDEX(GL!$F:$F,$C1197))="Y","NOW RECONCILED: refresh","OK")))</f>
        <v/>
      </c>
    </row>
    <row r="1198" customFormat="false" ht="15" hidden="false" customHeight="false" outlineLevel="0" collapsed="false">
      <c r="A1198" s="41"/>
      <c r="B1198" s="41"/>
      <c r="C1198" s="5" t="n">
        <f aca="false">IF(B1198="",0,IF(A1198="Bank",IFERROR(MATCH(B1198,Bank!$A:$A,0),0),IFERROR(MATCH(B1198,GL!$A:$A,0),0)))</f>
        <v>0</v>
      </c>
      <c r="D1198" s="32" t="str">
        <f aca="false">IF(C1198=0,"",IF($A1198="Bank",INDEX(Bank!$B:$B,$C1198),INDEX(GL!$B:$B,$C1198)))</f>
        <v/>
      </c>
      <c r="E1198" s="5" t="str">
        <f aca="false">IF(C1198=0,"",IF($A1198="Bank",IF(INDEX(Bank!$C:$C,$C1198)="","",INDEX(Bank!$C:$C,$C1198)),IF(INDEX(GL!$C:$C,$C1198)="","",INDEX(GL!$C:$C,$C1198))))</f>
        <v/>
      </c>
      <c r="F1198" s="5" t="str">
        <f aca="false">IF(C1198=0,"",IF($A1198="Bank",IF(INDEX(Bank!$D:$D,$C1198)="","",INDEX(Bank!$D:$D,$C1198)),IF(INDEX(GL!$D:$D,$C1198)="","",INDEX(GL!$D:$D,$C1198))))</f>
        <v/>
      </c>
      <c r="G1198" s="19" t="str">
        <f aca="false">IF(C1198=0,"",IF($A1198="Bank",INDEX(Bank!$E:$E,$C1198),INDEX(GL!$E:$E,$C1198)))</f>
        <v/>
      </c>
      <c r="H1198" s="5" t="str">
        <f aca="false">IF(C1198=0,"",IF(A1198="GL",IF(G1198&gt;0,"Deposit in transit","Outstanding check / payment"),IF(G1198&gt;0,"Bank credit not in GL","Bank debit not in GL")))</f>
        <v/>
      </c>
      <c r="I1198" s="42" t="str">
        <f aca="false">IF(OR(C1198=0,CFG_PeriodEnd=""),"",CFG_PeriodEnd-D1198)</f>
        <v/>
      </c>
      <c r="J1198" s="5" t="str">
        <f aca="false">IF(C1198=0,"",IF($A1198="Bank",IF(INDEX(Bank!$G:$G,$C1198)="","",INDEX(Bank!$G:$G,$C1198)),IF(INDEX(GL!$G:$G,$C1198)="","",INDEX(GL!$G:$G,$C1198))))</f>
        <v/>
      </c>
      <c r="K1198" s="5" t="str">
        <f aca="false">IF(C1198=0,"",IF($A1198="Bank",IF(INDEX(Bank!$I:$I,$C1198)="","",INDEX(Bank!$I:$I,$C1198)),IF(INDEX(GL!$I:$I,$C1198)="","",INDEX(GL!$I:$I,$C1198))))</f>
        <v/>
      </c>
      <c r="L1198" s="5" t="str">
        <f aca="false">IF(B1198="","",IF(C1198=0,"NOT FOUND",IF(IF($A1198="Bank",INDEX(Bank!$F:$F,$C1198),INDEX(GL!$F:$F,$C1198))="Y","NOW RECONCILED: refresh","OK")))</f>
        <v/>
      </c>
    </row>
    <row r="1199" customFormat="false" ht="15" hidden="false" customHeight="false" outlineLevel="0" collapsed="false">
      <c r="A1199" s="41"/>
      <c r="B1199" s="41"/>
      <c r="C1199" s="5" t="n">
        <f aca="false">IF(B1199="",0,IF(A1199="Bank",IFERROR(MATCH(B1199,Bank!$A:$A,0),0),IFERROR(MATCH(B1199,GL!$A:$A,0),0)))</f>
        <v>0</v>
      </c>
      <c r="D1199" s="32" t="str">
        <f aca="false">IF(C1199=0,"",IF($A1199="Bank",INDEX(Bank!$B:$B,$C1199),INDEX(GL!$B:$B,$C1199)))</f>
        <v/>
      </c>
      <c r="E1199" s="5" t="str">
        <f aca="false">IF(C1199=0,"",IF($A1199="Bank",IF(INDEX(Bank!$C:$C,$C1199)="","",INDEX(Bank!$C:$C,$C1199)),IF(INDEX(GL!$C:$C,$C1199)="","",INDEX(GL!$C:$C,$C1199))))</f>
        <v/>
      </c>
      <c r="F1199" s="5" t="str">
        <f aca="false">IF(C1199=0,"",IF($A1199="Bank",IF(INDEX(Bank!$D:$D,$C1199)="","",INDEX(Bank!$D:$D,$C1199)),IF(INDEX(GL!$D:$D,$C1199)="","",INDEX(GL!$D:$D,$C1199))))</f>
        <v/>
      </c>
      <c r="G1199" s="19" t="str">
        <f aca="false">IF(C1199=0,"",IF($A1199="Bank",INDEX(Bank!$E:$E,$C1199),INDEX(GL!$E:$E,$C1199)))</f>
        <v/>
      </c>
      <c r="H1199" s="5" t="str">
        <f aca="false">IF(C1199=0,"",IF(A1199="GL",IF(G1199&gt;0,"Deposit in transit","Outstanding check / payment"),IF(G1199&gt;0,"Bank credit not in GL","Bank debit not in GL")))</f>
        <v/>
      </c>
      <c r="I1199" s="42" t="str">
        <f aca="false">IF(OR(C1199=0,CFG_PeriodEnd=""),"",CFG_PeriodEnd-D1199)</f>
        <v/>
      </c>
      <c r="J1199" s="5" t="str">
        <f aca="false">IF(C1199=0,"",IF($A1199="Bank",IF(INDEX(Bank!$G:$G,$C1199)="","",INDEX(Bank!$G:$G,$C1199)),IF(INDEX(GL!$G:$G,$C1199)="","",INDEX(GL!$G:$G,$C1199))))</f>
        <v/>
      </c>
      <c r="K1199" s="5" t="str">
        <f aca="false">IF(C1199=0,"",IF($A1199="Bank",IF(INDEX(Bank!$I:$I,$C1199)="","",INDEX(Bank!$I:$I,$C1199)),IF(INDEX(GL!$I:$I,$C1199)="","",INDEX(GL!$I:$I,$C1199))))</f>
        <v/>
      </c>
      <c r="L1199" s="5" t="str">
        <f aca="false">IF(B1199="","",IF(C1199=0,"NOT FOUND",IF(IF($A1199="Bank",INDEX(Bank!$F:$F,$C1199),INDEX(GL!$F:$F,$C1199))="Y","NOW RECONCILED: refresh","OK")))</f>
        <v/>
      </c>
    </row>
    <row r="1200" customFormat="false" ht="15" hidden="false" customHeight="false" outlineLevel="0" collapsed="false">
      <c r="A1200" s="41"/>
      <c r="B1200" s="41"/>
      <c r="C1200" s="5" t="n">
        <f aca="false">IF(B1200="",0,IF(A1200="Bank",IFERROR(MATCH(B1200,Bank!$A:$A,0),0),IFERROR(MATCH(B1200,GL!$A:$A,0),0)))</f>
        <v>0</v>
      </c>
      <c r="D1200" s="32" t="str">
        <f aca="false">IF(C1200=0,"",IF($A1200="Bank",INDEX(Bank!$B:$B,$C1200),INDEX(GL!$B:$B,$C1200)))</f>
        <v/>
      </c>
      <c r="E1200" s="5" t="str">
        <f aca="false">IF(C1200=0,"",IF($A1200="Bank",IF(INDEX(Bank!$C:$C,$C1200)="","",INDEX(Bank!$C:$C,$C1200)),IF(INDEX(GL!$C:$C,$C1200)="","",INDEX(GL!$C:$C,$C1200))))</f>
        <v/>
      </c>
      <c r="F1200" s="5" t="str">
        <f aca="false">IF(C1200=0,"",IF($A1200="Bank",IF(INDEX(Bank!$D:$D,$C1200)="","",INDEX(Bank!$D:$D,$C1200)),IF(INDEX(GL!$D:$D,$C1200)="","",INDEX(GL!$D:$D,$C1200))))</f>
        <v/>
      </c>
      <c r="G1200" s="19" t="str">
        <f aca="false">IF(C1200=0,"",IF($A1200="Bank",INDEX(Bank!$E:$E,$C1200),INDEX(GL!$E:$E,$C1200)))</f>
        <v/>
      </c>
      <c r="H1200" s="5" t="str">
        <f aca="false">IF(C1200=0,"",IF(A1200="GL",IF(G1200&gt;0,"Deposit in transit","Outstanding check / payment"),IF(G1200&gt;0,"Bank credit not in GL","Bank debit not in GL")))</f>
        <v/>
      </c>
      <c r="I1200" s="42" t="str">
        <f aca="false">IF(OR(C1200=0,CFG_PeriodEnd=""),"",CFG_PeriodEnd-D1200)</f>
        <v/>
      </c>
      <c r="J1200" s="5" t="str">
        <f aca="false">IF(C1200=0,"",IF($A1200="Bank",IF(INDEX(Bank!$G:$G,$C1200)="","",INDEX(Bank!$G:$G,$C1200)),IF(INDEX(GL!$G:$G,$C1200)="","",INDEX(GL!$G:$G,$C1200))))</f>
        <v/>
      </c>
      <c r="K1200" s="5" t="str">
        <f aca="false">IF(C1200=0,"",IF($A1200="Bank",IF(INDEX(Bank!$I:$I,$C1200)="","",INDEX(Bank!$I:$I,$C1200)),IF(INDEX(GL!$I:$I,$C1200)="","",INDEX(GL!$I:$I,$C1200))))</f>
        <v/>
      </c>
      <c r="L1200" s="5" t="str">
        <f aca="false">IF(B1200="","",IF(C1200=0,"NOT FOUND",IF(IF($A1200="Bank",INDEX(Bank!$F:$F,$C1200),INDEX(GL!$F:$F,$C1200))="Y","NOW RECONCILED: refresh","OK")))</f>
        <v/>
      </c>
    </row>
    <row r="1201" customFormat="false" ht="15" hidden="false" customHeight="false" outlineLevel="0" collapsed="false">
      <c r="A1201" s="41"/>
      <c r="B1201" s="41"/>
      <c r="C1201" s="5" t="n">
        <f aca="false">IF(B1201="",0,IF(A1201="Bank",IFERROR(MATCH(B1201,Bank!$A:$A,0),0),IFERROR(MATCH(B1201,GL!$A:$A,0),0)))</f>
        <v>0</v>
      </c>
      <c r="D1201" s="32" t="str">
        <f aca="false">IF(C1201=0,"",IF($A1201="Bank",INDEX(Bank!$B:$B,$C1201),INDEX(GL!$B:$B,$C1201)))</f>
        <v/>
      </c>
      <c r="E1201" s="5" t="str">
        <f aca="false">IF(C1201=0,"",IF($A1201="Bank",IF(INDEX(Bank!$C:$C,$C1201)="","",INDEX(Bank!$C:$C,$C1201)),IF(INDEX(GL!$C:$C,$C1201)="","",INDEX(GL!$C:$C,$C1201))))</f>
        <v/>
      </c>
      <c r="F1201" s="5" t="str">
        <f aca="false">IF(C1201=0,"",IF($A1201="Bank",IF(INDEX(Bank!$D:$D,$C1201)="","",INDEX(Bank!$D:$D,$C1201)),IF(INDEX(GL!$D:$D,$C1201)="","",INDEX(GL!$D:$D,$C1201))))</f>
        <v/>
      </c>
      <c r="G1201" s="19" t="str">
        <f aca="false">IF(C1201=0,"",IF($A1201="Bank",INDEX(Bank!$E:$E,$C1201),INDEX(GL!$E:$E,$C1201)))</f>
        <v/>
      </c>
      <c r="H1201" s="5" t="str">
        <f aca="false">IF(C1201=0,"",IF(A1201="GL",IF(G1201&gt;0,"Deposit in transit","Outstanding check / payment"),IF(G1201&gt;0,"Bank credit not in GL","Bank debit not in GL")))</f>
        <v/>
      </c>
      <c r="I1201" s="42" t="str">
        <f aca="false">IF(OR(C1201=0,CFG_PeriodEnd=""),"",CFG_PeriodEnd-D1201)</f>
        <v/>
      </c>
      <c r="J1201" s="5" t="str">
        <f aca="false">IF(C1201=0,"",IF($A1201="Bank",IF(INDEX(Bank!$G:$G,$C1201)="","",INDEX(Bank!$G:$G,$C1201)),IF(INDEX(GL!$G:$G,$C1201)="","",INDEX(GL!$G:$G,$C1201))))</f>
        <v/>
      </c>
      <c r="K1201" s="5" t="str">
        <f aca="false">IF(C1201=0,"",IF($A1201="Bank",IF(INDEX(Bank!$I:$I,$C1201)="","",INDEX(Bank!$I:$I,$C1201)),IF(INDEX(GL!$I:$I,$C1201)="","",INDEX(GL!$I:$I,$C1201))))</f>
        <v/>
      </c>
      <c r="L1201" s="5" t="str">
        <f aca="false">IF(B1201="","",IF(C1201=0,"NOT FOUND",IF(IF($A1201="Bank",INDEX(Bank!$F:$F,$C1201),INDEX(GL!$F:$F,$C1201))="Y","NOW RECONCILED: refresh","OK")))</f>
        <v/>
      </c>
    </row>
    <row r="1202" customFormat="false" ht="15" hidden="false" customHeight="false" outlineLevel="0" collapsed="false">
      <c r="A1202" s="41"/>
      <c r="B1202" s="41"/>
      <c r="C1202" s="5" t="n">
        <f aca="false">IF(B1202="",0,IF(A1202="Bank",IFERROR(MATCH(B1202,Bank!$A:$A,0),0),IFERROR(MATCH(B1202,GL!$A:$A,0),0)))</f>
        <v>0</v>
      </c>
      <c r="D1202" s="32" t="str">
        <f aca="false">IF(C1202=0,"",IF($A1202="Bank",INDEX(Bank!$B:$B,$C1202),INDEX(GL!$B:$B,$C1202)))</f>
        <v/>
      </c>
      <c r="E1202" s="5" t="str">
        <f aca="false">IF(C1202=0,"",IF($A1202="Bank",IF(INDEX(Bank!$C:$C,$C1202)="","",INDEX(Bank!$C:$C,$C1202)),IF(INDEX(GL!$C:$C,$C1202)="","",INDEX(GL!$C:$C,$C1202))))</f>
        <v/>
      </c>
      <c r="F1202" s="5" t="str">
        <f aca="false">IF(C1202=0,"",IF($A1202="Bank",IF(INDEX(Bank!$D:$D,$C1202)="","",INDEX(Bank!$D:$D,$C1202)),IF(INDEX(GL!$D:$D,$C1202)="","",INDEX(GL!$D:$D,$C1202))))</f>
        <v/>
      </c>
      <c r="G1202" s="19" t="str">
        <f aca="false">IF(C1202=0,"",IF($A1202="Bank",INDEX(Bank!$E:$E,$C1202),INDEX(GL!$E:$E,$C1202)))</f>
        <v/>
      </c>
      <c r="H1202" s="5" t="str">
        <f aca="false">IF(C1202=0,"",IF(A1202="GL",IF(G1202&gt;0,"Deposit in transit","Outstanding check / payment"),IF(G1202&gt;0,"Bank credit not in GL","Bank debit not in GL")))</f>
        <v/>
      </c>
      <c r="I1202" s="42" t="str">
        <f aca="false">IF(OR(C1202=0,CFG_PeriodEnd=""),"",CFG_PeriodEnd-D1202)</f>
        <v/>
      </c>
      <c r="J1202" s="5" t="str">
        <f aca="false">IF(C1202=0,"",IF($A1202="Bank",IF(INDEX(Bank!$G:$G,$C1202)="","",INDEX(Bank!$G:$G,$C1202)),IF(INDEX(GL!$G:$G,$C1202)="","",INDEX(GL!$G:$G,$C1202))))</f>
        <v/>
      </c>
      <c r="K1202" s="5" t="str">
        <f aca="false">IF(C1202=0,"",IF($A1202="Bank",IF(INDEX(Bank!$I:$I,$C1202)="","",INDEX(Bank!$I:$I,$C1202)),IF(INDEX(GL!$I:$I,$C1202)="","",INDEX(GL!$I:$I,$C1202))))</f>
        <v/>
      </c>
      <c r="L1202" s="5" t="str">
        <f aca="false">IF(B1202="","",IF(C1202=0,"NOT FOUND",IF(IF($A1202="Bank",INDEX(Bank!$F:$F,$C1202),INDEX(GL!$F:$F,$C1202))="Y","NOW RECONCILED: refresh","OK")))</f>
        <v/>
      </c>
    </row>
    <row r="1203" customFormat="false" ht="15" hidden="false" customHeight="false" outlineLevel="0" collapsed="false">
      <c r="A1203" s="41"/>
      <c r="B1203" s="41"/>
      <c r="C1203" s="5" t="n">
        <f aca="false">IF(B1203="",0,IF(A1203="Bank",IFERROR(MATCH(B1203,Bank!$A:$A,0),0),IFERROR(MATCH(B1203,GL!$A:$A,0),0)))</f>
        <v>0</v>
      </c>
      <c r="D1203" s="32" t="str">
        <f aca="false">IF(C1203=0,"",IF($A1203="Bank",INDEX(Bank!$B:$B,$C1203),INDEX(GL!$B:$B,$C1203)))</f>
        <v/>
      </c>
      <c r="E1203" s="5" t="str">
        <f aca="false">IF(C1203=0,"",IF($A1203="Bank",IF(INDEX(Bank!$C:$C,$C1203)="","",INDEX(Bank!$C:$C,$C1203)),IF(INDEX(GL!$C:$C,$C1203)="","",INDEX(GL!$C:$C,$C1203))))</f>
        <v/>
      </c>
      <c r="F1203" s="5" t="str">
        <f aca="false">IF(C1203=0,"",IF($A1203="Bank",IF(INDEX(Bank!$D:$D,$C1203)="","",INDEX(Bank!$D:$D,$C1203)),IF(INDEX(GL!$D:$D,$C1203)="","",INDEX(GL!$D:$D,$C1203))))</f>
        <v/>
      </c>
      <c r="G1203" s="19" t="str">
        <f aca="false">IF(C1203=0,"",IF($A1203="Bank",INDEX(Bank!$E:$E,$C1203),INDEX(GL!$E:$E,$C1203)))</f>
        <v/>
      </c>
      <c r="H1203" s="5" t="str">
        <f aca="false">IF(C1203=0,"",IF(A1203="GL",IF(G1203&gt;0,"Deposit in transit","Outstanding check / payment"),IF(G1203&gt;0,"Bank credit not in GL","Bank debit not in GL")))</f>
        <v/>
      </c>
      <c r="I1203" s="42" t="str">
        <f aca="false">IF(OR(C1203=0,CFG_PeriodEnd=""),"",CFG_PeriodEnd-D1203)</f>
        <v/>
      </c>
      <c r="J1203" s="5" t="str">
        <f aca="false">IF(C1203=0,"",IF($A1203="Bank",IF(INDEX(Bank!$G:$G,$C1203)="","",INDEX(Bank!$G:$G,$C1203)),IF(INDEX(GL!$G:$G,$C1203)="","",INDEX(GL!$G:$G,$C1203))))</f>
        <v/>
      </c>
      <c r="K1203" s="5" t="str">
        <f aca="false">IF(C1203=0,"",IF($A1203="Bank",IF(INDEX(Bank!$I:$I,$C1203)="","",INDEX(Bank!$I:$I,$C1203)),IF(INDEX(GL!$I:$I,$C1203)="","",INDEX(GL!$I:$I,$C1203))))</f>
        <v/>
      </c>
      <c r="L1203" s="5" t="str">
        <f aca="false">IF(B1203="","",IF(C1203=0,"NOT FOUND",IF(IF($A1203="Bank",INDEX(Bank!$F:$F,$C1203),INDEX(GL!$F:$F,$C1203))="Y","NOW RECONCILED: refresh","OK")))</f>
        <v/>
      </c>
    </row>
    <row r="1204" customFormat="false" ht="15" hidden="false" customHeight="false" outlineLevel="0" collapsed="false">
      <c r="A1204" s="41"/>
      <c r="B1204" s="41"/>
      <c r="C1204" s="5" t="n">
        <f aca="false">IF(B1204="",0,IF(A1204="Bank",IFERROR(MATCH(B1204,Bank!$A:$A,0),0),IFERROR(MATCH(B1204,GL!$A:$A,0),0)))</f>
        <v>0</v>
      </c>
      <c r="D1204" s="32" t="str">
        <f aca="false">IF(C1204=0,"",IF($A1204="Bank",INDEX(Bank!$B:$B,$C1204),INDEX(GL!$B:$B,$C1204)))</f>
        <v/>
      </c>
      <c r="E1204" s="5" t="str">
        <f aca="false">IF(C1204=0,"",IF($A1204="Bank",IF(INDEX(Bank!$C:$C,$C1204)="","",INDEX(Bank!$C:$C,$C1204)),IF(INDEX(GL!$C:$C,$C1204)="","",INDEX(GL!$C:$C,$C1204))))</f>
        <v/>
      </c>
      <c r="F1204" s="5" t="str">
        <f aca="false">IF(C1204=0,"",IF($A1204="Bank",IF(INDEX(Bank!$D:$D,$C1204)="","",INDEX(Bank!$D:$D,$C1204)),IF(INDEX(GL!$D:$D,$C1204)="","",INDEX(GL!$D:$D,$C1204))))</f>
        <v/>
      </c>
      <c r="G1204" s="19" t="str">
        <f aca="false">IF(C1204=0,"",IF($A1204="Bank",INDEX(Bank!$E:$E,$C1204),INDEX(GL!$E:$E,$C1204)))</f>
        <v/>
      </c>
      <c r="H1204" s="5" t="str">
        <f aca="false">IF(C1204=0,"",IF(A1204="GL",IF(G1204&gt;0,"Deposit in transit","Outstanding check / payment"),IF(G1204&gt;0,"Bank credit not in GL","Bank debit not in GL")))</f>
        <v/>
      </c>
      <c r="I1204" s="42" t="str">
        <f aca="false">IF(OR(C1204=0,CFG_PeriodEnd=""),"",CFG_PeriodEnd-D1204)</f>
        <v/>
      </c>
      <c r="J1204" s="5" t="str">
        <f aca="false">IF(C1204=0,"",IF($A1204="Bank",IF(INDEX(Bank!$G:$G,$C1204)="","",INDEX(Bank!$G:$G,$C1204)),IF(INDEX(GL!$G:$G,$C1204)="","",INDEX(GL!$G:$G,$C1204))))</f>
        <v/>
      </c>
      <c r="K1204" s="5" t="str">
        <f aca="false">IF(C1204=0,"",IF($A1204="Bank",IF(INDEX(Bank!$I:$I,$C1204)="","",INDEX(Bank!$I:$I,$C1204)),IF(INDEX(GL!$I:$I,$C1204)="","",INDEX(GL!$I:$I,$C1204))))</f>
        <v/>
      </c>
      <c r="L1204" s="5" t="str">
        <f aca="false">IF(B1204="","",IF(C1204=0,"NOT FOUND",IF(IF($A1204="Bank",INDEX(Bank!$F:$F,$C1204),INDEX(GL!$F:$F,$C1204))="Y","NOW RECONCILED: refresh","OK")))</f>
        <v/>
      </c>
    </row>
    <row r="1205" customFormat="false" ht="15" hidden="false" customHeight="false" outlineLevel="0" collapsed="false">
      <c r="A1205" s="41"/>
      <c r="B1205" s="41"/>
      <c r="C1205" s="5" t="n">
        <f aca="false">IF(B1205="",0,IF(A1205="Bank",IFERROR(MATCH(B1205,Bank!$A:$A,0),0),IFERROR(MATCH(B1205,GL!$A:$A,0),0)))</f>
        <v>0</v>
      </c>
      <c r="D1205" s="32" t="str">
        <f aca="false">IF(C1205=0,"",IF($A1205="Bank",INDEX(Bank!$B:$B,$C1205),INDEX(GL!$B:$B,$C1205)))</f>
        <v/>
      </c>
      <c r="E1205" s="5" t="str">
        <f aca="false">IF(C1205=0,"",IF($A1205="Bank",IF(INDEX(Bank!$C:$C,$C1205)="","",INDEX(Bank!$C:$C,$C1205)),IF(INDEX(GL!$C:$C,$C1205)="","",INDEX(GL!$C:$C,$C1205))))</f>
        <v/>
      </c>
      <c r="F1205" s="5" t="str">
        <f aca="false">IF(C1205=0,"",IF($A1205="Bank",IF(INDEX(Bank!$D:$D,$C1205)="","",INDEX(Bank!$D:$D,$C1205)),IF(INDEX(GL!$D:$D,$C1205)="","",INDEX(GL!$D:$D,$C1205))))</f>
        <v/>
      </c>
      <c r="G1205" s="19" t="str">
        <f aca="false">IF(C1205=0,"",IF($A1205="Bank",INDEX(Bank!$E:$E,$C1205),INDEX(GL!$E:$E,$C1205)))</f>
        <v/>
      </c>
      <c r="H1205" s="5" t="str">
        <f aca="false">IF(C1205=0,"",IF(A1205="GL",IF(G1205&gt;0,"Deposit in transit","Outstanding check / payment"),IF(G1205&gt;0,"Bank credit not in GL","Bank debit not in GL")))</f>
        <v/>
      </c>
      <c r="I1205" s="42" t="str">
        <f aca="false">IF(OR(C1205=0,CFG_PeriodEnd=""),"",CFG_PeriodEnd-D1205)</f>
        <v/>
      </c>
      <c r="J1205" s="5" t="str">
        <f aca="false">IF(C1205=0,"",IF($A1205="Bank",IF(INDEX(Bank!$G:$G,$C1205)="","",INDEX(Bank!$G:$G,$C1205)),IF(INDEX(GL!$G:$G,$C1205)="","",INDEX(GL!$G:$G,$C1205))))</f>
        <v/>
      </c>
      <c r="K1205" s="5" t="str">
        <f aca="false">IF(C1205=0,"",IF($A1205="Bank",IF(INDEX(Bank!$I:$I,$C1205)="","",INDEX(Bank!$I:$I,$C1205)),IF(INDEX(GL!$I:$I,$C1205)="","",INDEX(GL!$I:$I,$C1205))))</f>
        <v/>
      </c>
      <c r="L1205" s="5" t="str">
        <f aca="false">IF(B1205="","",IF(C1205=0,"NOT FOUND",IF(IF($A1205="Bank",INDEX(Bank!$F:$F,$C1205),INDEX(GL!$F:$F,$C1205))="Y","NOW RECONCILED: refresh","OK")))</f>
        <v/>
      </c>
    </row>
    <row r="1206" customFormat="false" ht="15" hidden="false" customHeight="false" outlineLevel="0" collapsed="false">
      <c r="A1206" s="41"/>
      <c r="B1206" s="41"/>
      <c r="C1206" s="5" t="n">
        <f aca="false">IF(B1206="",0,IF(A1206="Bank",IFERROR(MATCH(B1206,Bank!$A:$A,0),0),IFERROR(MATCH(B1206,GL!$A:$A,0),0)))</f>
        <v>0</v>
      </c>
      <c r="D1206" s="32" t="str">
        <f aca="false">IF(C1206=0,"",IF($A1206="Bank",INDEX(Bank!$B:$B,$C1206),INDEX(GL!$B:$B,$C1206)))</f>
        <v/>
      </c>
      <c r="E1206" s="5" t="str">
        <f aca="false">IF(C1206=0,"",IF($A1206="Bank",IF(INDEX(Bank!$C:$C,$C1206)="","",INDEX(Bank!$C:$C,$C1206)),IF(INDEX(GL!$C:$C,$C1206)="","",INDEX(GL!$C:$C,$C1206))))</f>
        <v/>
      </c>
      <c r="F1206" s="5" t="str">
        <f aca="false">IF(C1206=0,"",IF($A1206="Bank",IF(INDEX(Bank!$D:$D,$C1206)="","",INDEX(Bank!$D:$D,$C1206)),IF(INDEX(GL!$D:$D,$C1206)="","",INDEX(GL!$D:$D,$C1206))))</f>
        <v/>
      </c>
      <c r="G1206" s="19" t="str">
        <f aca="false">IF(C1206=0,"",IF($A1206="Bank",INDEX(Bank!$E:$E,$C1206),INDEX(GL!$E:$E,$C1206)))</f>
        <v/>
      </c>
      <c r="H1206" s="5" t="str">
        <f aca="false">IF(C1206=0,"",IF(A1206="GL",IF(G1206&gt;0,"Deposit in transit","Outstanding check / payment"),IF(G1206&gt;0,"Bank credit not in GL","Bank debit not in GL")))</f>
        <v/>
      </c>
      <c r="I1206" s="42" t="str">
        <f aca="false">IF(OR(C1206=0,CFG_PeriodEnd=""),"",CFG_PeriodEnd-D1206)</f>
        <v/>
      </c>
      <c r="J1206" s="5" t="str">
        <f aca="false">IF(C1206=0,"",IF($A1206="Bank",IF(INDEX(Bank!$G:$G,$C1206)="","",INDEX(Bank!$G:$G,$C1206)),IF(INDEX(GL!$G:$G,$C1206)="","",INDEX(GL!$G:$G,$C1206))))</f>
        <v/>
      </c>
      <c r="K1206" s="5" t="str">
        <f aca="false">IF(C1206=0,"",IF($A1206="Bank",IF(INDEX(Bank!$I:$I,$C1206)="","",INDEX(Bank!$I:$I,$C1206)),IF(INDEX(GL!$I:$I,$C1206)="","",INDEX(GL!$I:$I,$C1206))))</f>
        <v/>
      </c>
      <c r="L1206" s="5" t="str">
        <f aca="false">IF(B1206="","",IF(C1206=0,"NOT FOUND",IF(IF($A1206="Bank",INDEX(Bank!$F:$F,$C1206),INDEX(GL!$F:$F,$C1206))="Y","NOW RECONCILED: refresh","OK")))</f>
        <v/>
      </c>
    </row>
    <row r="1207" customFormat="false" ht="15" hidden="false" customHeight="false" outlineLevel="0" collapsed="false">
      <c r="A1207" s="41"/>
      <c r="B1207" s="41"/>
      <c r="C1207" s="5" t="n">
        <f aca="false">IF(B1207="",0,IF(A1207="Bank",IFERROR(MATCH(B1207,Bank!$A:$A,0),0),IFERROR(MATCH(B1207,GL!$A:$A,0),0)))</f>
        <v>0</v>
      </c>
      <c r="D1207" s="32" t="str">
        <f aca="false">IF(C1207=0,"",IF($A1207="Bank",INDEX(Bank!$B:$B,$C1207),INDEX(GL!$B:$B,$C1207)))</f>
        <v/>
      </c>
      <c r="E1207" s="5" t="str">
        <f aca="false">IF(C1207=0,"",IF($A1207="Bank",IF(INDEX(Bank!$C:$C,$C1207)="","",INDEX(Bank!$C:$C,$C1207)),IF(INDEX(GL!$C:$C,$C1207)="","",INDEX(GL!$C:$C,$C1207))))</f>
        <v/>
      </c>
      <c r="F1207" s="5" t="str">
        <f aca="false">IF(C1207=0,"",IF($A1207="Bank",IF(INDEX(Bank!$D:$D,$C1207)="","",INDEX(Bank!$D:$D,$C1207)),IF(INDEX(GL!$D:$D,$C1207)="","",INDEX(GL!$D:$D,$C1207))))</f>
        <v/>
      </c>
      <c r="G1207" s="19" t="str">
        <f aca="false">IF(C1207=0,"",IF($A1207="Bank",INDEX(Bank!$E:$E,$C1207),INDEX(GL!$E:$E,$C1207)))</f>
        <v/>
      </c>
      <c r="H1207" s="5" t="str">
        <f aca="false">IF(C1207=0,"",IF(A1207="GL",IF(G1207&gt;0,"Deposit in transit","Outstanding check / payment"),IF(G1207&gt;0,"Bank credit not in GL","Bank debit not in GL")))</f>
        <v/>
      </c>
      <c r="I1207" s="42" t="str">
        <f aca="false">IF(OR(C1207=0,CFG_PeriodEnd=""),"",CFG_PeriodEnd-D1207)</f>
        <v/>
      </c>
      <c r="J1207" s="5" t="str">
        <f aca="false">IF(C1207=0,"",IF($A1207="Bank",IF(INDEX(Bank!$G:$G,$C1207)="","",INDEX(Bank!$G:$G,$C1207)),IF(INDEX(GL!$G:$G,$C1207)="","",INDEX(GL!$G:$G,$C1207))))</f>
        <v/>
      </c>
      <c r="K1207" s="5" t="str">
        <f aca="false">IF(C1207=0,"",IF($A1207="Bank",IF(INDEX(Bank!$I:$I,$C1207)="","",INDEX(Bank!$I:$I,$C1207)),IF(INDEX(GL!$I:$I,$C1207)="","",INDEX(GL!$I:$I,$C1207))))</f>
        <v/>
      </c>
      <c r="L1207" s="5" t="str">
        <f aca="false">IF(B1207="","",IF(C1207=0,"NOT FOUND",IF(IF($A1207="Bank",INDEX(Bank!$F:$F,$C1207),INDEX(GL!$F:$F,$C1207))="Y","NOW RECONCILED: refresh","OK")))</f>
        <v/>
      </c>
    </row>
    <row r="1208" customFormat="false" ht="15" hidden="false" customHeight="false" outlineLevel="0" collapsed="false">
      <c r="A1208" s="41"/>
      <c r="B1208" s="41"/>
      <c r="C1208" s="5" t="n">
        <f aca="false">IF(B1208="",0,IF(A1208="Bank",IFERROR(MATCH(B1208,Bank!$A:$A,0),0),IFERROR(MATCH(B1208,GL!$A:$A,0),0)))</f>
        <v>0</v>
      </c>
      <c r="D1208" s="32" t="str">
        <f aca="false">IF(C1208=0,"",IF($A1208="Bank",INDEX(Bank!$B:$B,$C1208),INDEX(GL!$B:$B,$C1208)))</f>
        <v/>
      </c>
      <c r="E1208" s="5" t="str">
        <f aca="false">IF(C1208=0,"",IF($A1208="Bank",IF(INDEX(Bank!$C:$C,$C1208)="","",INDEX(Bank!$C:$C,$C1208)),IF(INDEX(GL!$C:$C,$C1208)="","",INDEX(GL!$C:$C,$C1208))))</f>
        <v/>
      </c>
      <c r="F1208" s="5" t="str">
        <f aca="false">IF(C1208=0,"",IF($A1208="Bank",IF(INDEX(Bank!$D:$D,$C1208)="","",INDEX(Bank!$D:$D,$C1208)),IF(INDEX(GL!$D:$D,$C1208)="","",INDEX(GL!$D:$D,$C1208))))</f>
        <v/>
      </c>
      <c r="G1208" s="19" t="str">
        <f aca="false">IF(C1208=0,"",IF($A1208="Bank",INDEX(Bank!$E:$E,$C1208),INDEX(GL!$E:$E,$C1208)))</f>
        <v/>
      </c>
      <c r="H1208" s="5" t="str">
        <f aca="false">IF(C1208=0,"",IF(A1208="GL",IF(G1208&gt;0,"Deposit in transit","Outstanding check / payment"),IF(G1208&gt;0,"Bank credit not in GL","Bank debit not in GL")))</f>
        <v/>
      </c>
      <c r="I1208" s="42" t="str">
        <f aca="false">IF(OR(C1208=0,CFG_PeriodEnd=""),"",CFG_PeriodEnd-D1208)</f>
        <v/>
      </c>
      <c r="J1208" s="5" t="str">
        <f aca="false">IF(C1208=0,"",IF($A1208="Bank",IF(INDEX(Bank!$G:$G,$C1208)="","",INDEX(Bank!$G:$G,$C1208)),IF(INDEX(GL!$G:$G,$C1208)="","",INDEX(GL!$G:$G,$C1208))))</f>
        <v/>
      </c>
      <c r="K1208" s="5" t="str">
        <f aca="false">IF(C1208=0,"",IF($A1208="Bank",IF(INDEX(Bank!$I:$I,$C1208)="","",INDEX(Bank!$I:$I,$C1208)),IF(INDEX(GL!$I:$I,$C1208)="","",INDEX(GL!$I:$I,$C1208))))</f>
        <v/>
      </c>
      <c r="L1208" s="5" t="str">
        <f aca="false">IF(B1208="","",IF(C1208=0,"NOT FOUND",IF(IF($A1208="Bank",INDEX(Bank!$F:$F,$C1208),INDEX(GL!$F:$F,$C1208))="Y","NOW RECONCILED: refresh","OK")))</f>
        <v/>
      </c>
    </row>
    <row r="1209" customFormat="false" ht="15" hidden="false" customHeight="false" outlineLevel="0" collapsed="false">
      <c r="A1209" s="41"/>
      <c r="B1209" s="41"/>
      <c r="C1209" s="5" t="n">
        <f aca="false">IF(B1209="",0,IF(A1209="Bank",IFERROR(MATCH(B1209,Bank!$A:$A,0),0),IFERROR(MATCH(B1209,GL!$A:$A,0),0)))</f>
        <v>0</v>
      </c>
      <c r="D1209" s="32" t="str">
        <f aca="false">IF(C1209=0,"",IF($A1209="Bank",INDEX(Bank!$B:$B,$C1209),INDEX(GL!$B:$B,$C1209)))</f>
        <v/>
      </c>
      <c r="E1209" s="5" t="str">
        <f aca="false">IF(C1209=0,"",IF($A1209="Bank",IF(INDEX(Bank!$C:$C,$C1209)="","",INDEX(Bank!$C:$C,$C1209)),IF(INDEX(GL!$C:$C,$C1209)="","",INDEX(GL!$C:$C,$C1209))))</f>
        <v/>
      </c>
      <c r="F1209" s="5" t="str">
        <f aca="false">IF(C1209=0,"",IF($A1209="Bank",IF(INDEX(Bank!$D:$D,$C1209)="","",INDEX(Bank!$D:$D,$C1209)),IF(INDEX(GL!$D:$D,$C1209)="","",INDEX(GL!$D:$D,$C1209))))</f>
        <v/>
      </c>
      <c r="G1209" s="19" t="str">
        <f aca="false">IF(C1209=0,"",IF($A1209="Bank",INDEX(Bank!$E:$E,$C1209),INDEX(GL!$E:$E,$C1209)))</f>
        <v/>
      </c>
      <c r="H1209" s="5" t="str">
        <f aca="false">IF(C1209=0,"",IF(A1209="GL",IF(G1209&gt;0,"Deposit in transit","Outstanding check / payment"),IF(G1209&gt;0,"Bank credit not in GL","Bank debit not in GL")))</f>
        <v/>
      </c>
      <c r="I1209" s="42" t="str">
        <f aca="false">IF(OR(C1209=0,CFG_PeriodEnd=""),"",CFG_PeriodEnd-D1209)</f>
        <v/>
      </c>
      <c r="J1209" s="5" t="str">
        <f aca="false">IF(C1209=0,"",IF($A1209="Bank",IF(INDEX(Bank!$G:$G,$C1209)="","",INDEX(Bank!$G:$G,$C1209)),IF(INDEX(GL!$G:$G,$C1209)="","",INDEX(GL!$G:$G,$C1209))))</f>
        <v/>
      </c>
      <c r="K1209" s="5" t="str">
        <f aca="false">IF(C1209=0,"",IF($A1209="Bank",IF(INDEX(Bank!$I:$I,$C1209)="","",INDEX(Bank!$I:$I,$C1209)),IF(INDEX(GL!$I:$I,$C1209)="","",INDEX(GL!$I:$I,$C1209))))</f>
        <v/>
      </c>
      <c r="L1209" s="5" t="str">
        <f aca="false">IF(B1209="","",IF(C1209=0,"NOT FOUND",IF(IF($A1209="Bank",INDEX(Bank!$F:$F,$C1209),INDEX(GL!$F:$F,$C1209))="Y","NOW RECONCILED: refresh","OK")))</f>
        <v/>
      </c>
    </row>
    <row r="1210" customFormat="false" ht="15" hidden="false" customHeight="false" outlineLevel="0" collapsed="false">
      <c r="A1210" s="41"/>
      <c r="B1210" s="41"/>
      <c r="C1210" s="5" t="n">
        <f aca="false">IF(B1210="",0,IF(A1210="Bank",IFERROR(MATCH(B1210,Bank!$A:$A,0),0),IFERROR(MATCH(B1210,GL!$A:$A,0),0)))</f>
        <v>0</v>
      </c>
      <c r="D1210" s="32" t="str">
        <f aca="false">IF(C1210=0,"",IF($A1210="Bank",INDEX(Bank!$B:$B,$C1210),INDEX(GL!$B:$B,$C1210)))</f>
        <v/>
      </c>
      <c r="E1210" s="5" t="str">
        <f aca="false">IF(C1210=0,"",IF($A1210="Bank",IF(INDEX(Bank!$C:$C,$C1210)="","",INDEX(Bank!$C:$C,$C1210)),IF(INDEX(GL!$C:$C,$C1210)="","",INDEX(GL!$C:$C,$C1210))))</f>
        <v/>
      </c>
      <c r="F1210" s="5" t="str">
        <f aca="false">IF(C1210=0,"",IF($A1210="Bank",IF(INDEX(Bank!$D:$D,$C1210)="","",INDEX(Bank!$D:$D,$C1210)),IF(INDEX(GL!$D:$D,$C1210)="","",INDEX(GL!$D:$D,$C1210))))</f>
        <v/>
      </c>
      <c r="G1210" s="19" t="str">
        <f aca="false">IF(C1210=0,"",IF($A1210="Bank",INDEX(Bank!$E:$E,$C1210),INDEX(GL!$E:$E,$C1210)))</f>
        <v/>
      </c>
      <c r="H1210" s="5" t="str">
        <f aca="false">IF(C1210=0,"",IF(A1210="GL",IF(G1210&gt;0,"Deposit in transit","Outstanding check / payment"),IF(G1210&gt;0,"Bank credit not in GL","Bank debit not in GL")))</f>
        <v/>
      </c>
      <c r="I1210" s="42" t="str">
        <f aca="false">IF(OR(C1210=0,CFG_PeriodEnd=""),"",CFG_PeriodEnd-D1210)</f>
        <v/>
      </c>
      <c r="J1210" s="5" t="str">
        <f aca="false">IF(C1210=0,"",IF($A1210="Bank",IF(INDEX(Bank!$G:$G,$C1210)="","",INDEX(Bank!$G:$G,$C1210)),IF(INDEX(GL!$G:$G,$C1210)="","",INDEX(GL!$G:$G,$C1210))))</f>
        <v/>
      </c>
      <c r="K1210" s="5" t="str">
        <f aca="false">IF(C1210=0,"",IF($A1210="Bank",IF(INDEX(Bank!$I:$I,$C1210)="","",INDEX(Bank!$I:$I,$C1210)),IF(INDEX(GL!$I:$I,$C1210)="","",INDEX(GL!$I:$I,$C1210))))</f>
        <v/>
      </c>
      <c r="L1210" s="5" t="str">
        <f aca="false">IF(B1210="","",IF(C1210=0,"NOT FOUND",IF(IF($A1210="Bank",INDEX(Bank!$F:$F,$C1210),INDEX(GL!$F:$F,$C1210))="Y","NOW RECONCILED: refresh","OK")))</f>
        <v/>
      </c>
    </row>
    <row r="1211" customFormat="false" ht="15" hidden="false" customHeight="false" outlineLevel="0" collapsed="false">
      <c r="A1211" s="41"/>
      <c r="B1211" s="41"/>
      <c r="C1211" s="5" t="n">
        <f aca="false">IF(B1211="",0,IF(A1211="Bank",IFERROR(MATCH(B1211,Bank!$A:$A,0),0),IFERROR(MATCH(B1211,GL!$A:$A,0),0)))</f>
        <v>0</v>
      </c>
      <c r="D1211" s="32" t="str">
        <f aca="false">IF(C1211=0,"",IF($A1211="Bank",INDEX(Bank!$B:$B,$C1211),INDEX(GL!$B:$B,$C1211)))</f>
        <v/>
      </c>
      <c r="E1211" s="5" t="str">
        <f aca="false">IF(C1211=0,"",IF($A1211="Bank",IF(INDEX(Bank!$C:$C,$C1211)="","",INDEX(Bank!$C:$C,$C1211)),IF(INDEX(GL!$C:$C,$C1211)="","",INDEX(GL!$C:$C,$C1211))))</f>
        <v/>
      </c>
      <c r="F1211" s="5" t="str">
        <f aca="false">IF(C1211=0,"",IF($A1211="Bank",IF(INDEX(Bank!$D:$D,$C1211)="","",INDEX(Bank!$D:$D,$C1211)),IF(INDEX(GL!$D:$D,$C1211)="","",INDEX(GL!$D:$D,$C1211))))</f>
        <v/>
      </c>
      <c r="G1211" s="19" t="str">
        <f aca="false">IF(C1211=0,"",IF($A1211="Bank",INDEX(Bank!$E:$E,$C1211),INDEX(GL!$E:$E,$C1211)))</f>
        <v/>
      </c>
      <c r="H1211" s="5" t="str">
        <f aca="false">IF(C1211=0,"",IF(A1211="GL",IF(G1211&gt;0,"Deposit in transit","Outstanding check / payment"),IF(G1211&gt;0,"Bank credit not in GL","Bank debit not in GL")))</f>
        <v/>
      </c>
      <c r="I1211" s="42" t="str">
        <f aca="false">IF(OR(C1211=0,CFG_PeriodEnd=""),"",CFG_PeriodEnd-D1211)</f>
        <v/>
      </c>
      <c r="J1211" s="5" t="str">
        <f aca="false">IF(C1211=0,"",IF($A1211="Bank",IF(INDEX(Bank!$G:$G,$C1211)="","",INDEX(Bank!$G:$G,$C1211)),IF(INDEX(GL!$G:$G,$C1211)="","",INDEX(GL!$G:$G,$C1211))))</f>
        <v/>
      </c>
      <c r="K1211" s="5" t="str">
        <f aca="false">IF(C1211=0,"",IF($A1211="Bank",IF(INDEX(Bank!$I:$I,$C1211)="","",INDEX(Bank!$I:$I,$C1211)),IF(INDEX(GL!$I:$I,$C1211)="","",INDEX(GL!$I:$I,$C1211))))</f>
        <v/>
      </c>
      <c r="L1211" s="5" t="str">
        <f aca="false">IF(B1211="","",IF(C1211=0,"NOT FOUND",IF(IF($A1211="Bank",INDEX(Bank!$F:$F,$C1211),INDEX(GL!$F:$F,$C1211))="Y","NOW RECONCILED: refresh","OK")))</f>
        <v/>
      </c>
    </row>
    <row r="1212" customFormat="false" ht="15" hidden="false" customHeight="false" outlineLevel="0" collapsed="false">
      <c r="A1212" s="41"/>
      <c r="B1212" s="41"/>
      <c r="C1212" s="5" t="n">
        <f aca="false">IF(B1212="",0,IF(A1212="Bank",IFERROR(MATCH(B1212,Bank!$A:$A,0),0),IFERROR(MATCH(B1212,GL!$A:$A,0),0)))</f>
        <v>0</v>
      </c>
      <c r="D1212" s="32" t="str">
        <f aca="false">IF(C1212=0,"",IF($A1212="Bank",INDEX(Bank!$B:$B,$C1212),INDEX(GL!$B:$B,$C1212)))</f>
        <v/>
      </c>
      <c r="E1212" s="5" t="str">
        <f aca="false">IF(C1212=0,"",IF($A1212="Bank",IF(INDEX(Bank!$C:$C,$C1212)="","",INDEX(Bank!$C:$C,$C1212)),IF(INDEX(GL!$C:$C,$C1212)="","",INDEX(GL!$C:$C,$C1212))))</f>
        <v/>
      </c>
      <c r="F1212" s="5" t="str">
        <f aca="false">IF(C1212=0,"",IF($A1212="Bank",IF(INDEX(Bank!$D:$D,$C1212)="","",INDEX(Bank!$D:$D,$C1212)),IF(INDEX(GL!$D:$D,$C1212)="","",INDEX(GL!$D:$D,$C1212))))</f>
        <v/>
      </c>
      <c r="G1212" s="19" t="str">
        <f aca="false">IF(C1212=0,"",IF($A1212="Bank",INDEX(Bank!$E:$E,$C1212),INDEX(GL!$E:$E,$C1212)))</f>
        <v/>
      </c>
      <c r="H1212" s="5" t="str">
        <f aca="false">IF(C1212=0,"",IF(A1212="GL",IF(G1212&gt;0,"Deposit in transit","Outstanding check / payment"),IF(G1212&gt;0,"Bank credit not in GL","Bank debit not in GL")))</f>
        <v/>
      </c>
      <c r="I1212" s="42" t="str">
        <f aca="false">IF(OR(C1212=0,CFG_PeriodEnd=""),"",CFG_PeriodEnd-D1212)</f>
        <v/>
      </c>
      <c r="J1212" s="5" t="str">
        <f aca="false">IF(C1212=0,"",IF($A1212="Bank",IF(INDEX(Bank!$G:$G,$C1212)="","",INDEX(Bank!$G:$G,$C1212)),IF(INDEX(GL!$G:$G,$C1212)="","",INDEX(GL!$G:$G,$C1212))))</f>
        <v/>
      </c>
      <c r="K1212" s="5" t="str">
        <f aca="false">IF(C1212=0,"",IF($A1212="Bank",IF(INDEX(Bank!$I:$I,$C1212)="","",INDEX(Bank!$I:$I,$C1212)),IF(INDEX(GL!$I:$I,$C1212)="","",INDEX(GL!$I:$I,$C1212))))</f>
        <v/>
      </c>
      <c r="L1212" s="5" t="str">
        <f aca="false">IF(B1212="","",IF(C1212=0,"NOT FOUND",IF(IF($A1212="Bank",INDEX(Bank!$F:$F,$C1212),INDEX(GL!$F:$F,$C1212))="Y","NOW RECONCILED: refresh","OK")))</f>
        <v/>
      </c>
    </row>
    <row r="1213" customFormat="false" ht="15" hidden="false" customHeight="false" outlineLevel="0" collapsed="false">
      <c r="A1213" s="41"/>
      <c r="B1213" s="41"/>
      <c r="C1213" s="5" t="n">
        <f aca="false">IF(B1213="",0,IF(A1213="Bank",IFERROR(MATCH(B1213,Bank!$A:$A,0),0),IFERROR(MATCH(B1213,GL!$A:$A,0),0)))</f>
        <v>0</v>
      </c>
      <c r="D1213" s="32" t="str">
        <f aca="false">IF(C1213=0,"",IF($A1213="Bank",INDEX(Bank!$B:$B,$C1213),INDEX(GL!$B:$B,$C1213)))</f>
        <v/>
      </c>
      <c r="E1213" s="5" t="str">
        <f aca="false">IF(C1213=0,"",IF($A1213="Bank",IF(INDEX(Bank!$C:$C,$C1213)="","",INDEX(Bank!$C:$C,$C1213)),IF(INDEX(GL!$C:$C,$C1213)="","",INDEX(GL!$C:$C,$C1213))))</f>
        <v/>
      </c>
      <c r="F1213" s="5" t="str">
        <f aca="false">IF(C1213=0,"",IF($A1213="Bank",IF(INDEX(Bank!$D:$D,$C1213)="","",INDEX(Bank!$D:$D,$C1213)),IF(INDEX(GL!$D:$D,$C1213)="","",INDEX(GL!$D:$D,$C1213))))</f>
        <v/>
      </c>
      <c r="G1213" s="19" t="str">
        <f aca="false">IF(C1213=0,"",IF($A1213="Bank",INDEX(Bank!$E:$E,$C1213),INDEX(GL!$E:$E,$C1213)))</f>
        <v/>
      </c>
      <c r="H1213" s="5" t="str">
        <f aca="false">IF(C1213=0,"",IF(A1213="GL",IF(G1213&gt;0,"Deposit in transit","Outstanding check / payment"),IF(G1213&gt;0,"Bank credit not in GL","Bank debit not in GL")))</f>
        <v/>
      </c>
      <c r="I1213" s="42" t="str">
        <f aca="false">IF(OR(C1213=0,CFG_PeriodEnd=""),"",CFG_PeriodEnd-D1213)</f>
        <v/>
      </c>
      <c r="J1213" s="5" t="str">
        <f aca="false">IF(C1213=0,"",IF($A1213="Bank",IF(INDEX(Bank!$G:$G,$C1213)="","",INDEX(Bank!$G:$G,$C1213)),IF(INDEX(GL!$G:$G,$C1213)="","",INDEX(GL!$G:$G,$C1213))))</f>
        <v/>
      </c>
      <c r="K1213" s="5" t="str">
        <f aca="false">IF(C1213=0,"",IF($A1213="Bank",IF(INDEX(Bank!$I:$I,$C1213)="","",INDEX(Bank!$I:$I,$C1213)),IF(INDEX(GL!$I:$I,$C1213)="","",INDEX(GL!$I:$I,$C1213))))</f>
        <v/>
      </c>
      <c r="L1213" s="5" t="str">
        <f aca="false">IF(B1213="","",IF(C1213=0,"NOT FOUND",IF(IF($A1213="Bank",INDEX(Bank!$F:$F,$C1213),INDEX(GL!$F:$F,$C1213))="Y","NOW RECONCILED: refresh","OK")))</f>
        <v/>
      </c>
    </row>
    <row r="1214" customFormat="false" ht="15" hidden="false" customHeight="false" outlineLevel="0" collapsed="false">
      <c r="A1214" s="41"/>
      <c r="B1214" s="41"/>
      <c r="C1214" s="5" t="n">
        <f aca="false">IF(B1214="",0,IF(A1214="Bank",IFERROR(MATCH(B1214,Bank!$A:$A,0),0),IFERROR(MATCH(B1214,GL!$A:$A,0),0)))</f>
        <v>0</v>
      </c>
      <c r="D1214" s="32" t="str">
        <f aca="false">IF(C1214=0,"",IF($A1214="Bank",INDEX(Bank!$B:$B,$C1214),INDEX(GL!$B:$B,$C1214)))</f>
        <v/>
      </c>
      <c r="E1214" s="5" t="str">
        <f aca="false">IF(C1214=0,"",IF($A1214="Bank",IF(INDEX(Bank!$C:$C,$C1214)="","",INDEX(Bank!$C:$C,$C1214)),IF(INDEX(GL!$C:$C,$C1214)="","",INDEX(GL!$C:$C,$C1214))))</f>
        <v/>
      </c>
      <c r="F1214" s="5" t="str">
        <f aca="false">IF(C1214=0,"",IF($A1214="Bank",IF(INDEX(Bank!$D:$D,$C1214)="","",INDEX(Bank!$D:$D,$C1214)),IF(INDEX(GL!$D:$D,$C1214)="","",INDEX(GL!$D:$D,$C1214))))</f>
        <v/>
      </c>
      <c r="G1214" s="19" t="str">
        <f aca="false">IF(C1214=0,"",IF($A1214="Bank",INDEX(Bank!$E:$E,$C1214),INDEX(GL!$E:$E,$C1214)))</f>
        <v/>
      </c>
      <c r="H1214" s="5" t="str">
        <f aca="false">IF(C1214=0,"",IF(A1214="GL",IF(G1214&gt;0,"Deposit in transit","Outstanding check / payment"),IF(G1214&gt;0,"Bank credit not in GL","Bank debit not in GL")))</f>
        <v/>
      </c>
      <c r="I1214" s="42" t="str">
        <f aca="false">IF(OR(C1214=0,CFG_PeriodEnd=""),"",CFG_PeriodEnd-D1214)</f>
        <v/>
      </c>
      <c r="J1214" s="5" t="str">
        <f aca="false">IF(C1214=0,"",IF($A1214="Bank",IF(INDEX(Bank!$G:$G,$C1214)="","",INDEX(Bank!$G:$G,$C1214)),IF(INDEX(GL!$G:$G,$C1214)="","",INDEX(GL!$G:$G,$C1214))))</f>
        <v/>
      </c>
      <c r="K1214" s="5" t="str">
        <f aca="false">IF(C1214=0,"",IF($A1214="Bank",IF(INDEX(Bank!$I:$I,$C1214)="","",INDEX(Bank!$I:$I,$C1214)),IF(INDEX(GL!$I:$I,$C1214)="","",INDEX(GL!$I:$I,$C1214))))</f>
        <v/>
      </c>
      <c r="L1214" s="5" t="str">
        <f aca="false">IF(B1214="","",IF(C1214=0,"NOT FOUND",IF(IF($A1214="Bank",INDEX(Bank!$F:$F,$C1214),INDEX(GL!$F:$F,$C1214))="Y","NOW RECONCILED: refresh","OK")))</f>
        <v/>
      </c>
    </row>
    <row r="1215" customFormat="false" ht="15" hidden="false" customHeight="false" outlineLevel="0" collapsed="false">
      <c r="A1215" s="41"/>
      <c r="B1215" s="41"/>
      <c r="C1215" s="5" t="n">
        <f aca="false">IF(B1215="",0,IF(A1215="Bank",IFERROR(MATCH(B1215,Bank!$A:$A,0),0),IFERROR(MATCH(B1215,GL!$A:$A,0),0)))</f>
        <v>0</v>
      </c>
      <c r="D1215" s="32" t="str">
        <f aca="false">IF(C1215=0,"",IF($A1215="Bank",INDEX(Bank!$B:$B,$C1215),INDEX(GL!$B:$B,$C1215)))</f>
        <v/>
      </c>
      <c r="E1215" s="5" t="str">
        <f aca="false">IF(C1215=0,"",IF($A1215="Bank",IF(INDEX(Bank!$C:$C,$C1215)="","",INDEX(Bank!$C:$C,$C1215)),IF(INDEX(GL!$C:$C,$C1215)="","",INDEX(GL!$C:$C,$C1215))))</f>
        <v/>
      </c>
      <c r="F1215" s="5" t="str">
        <f aca="false">IF(C1215=0,"",IF($A1215="Bank",IF(INDEX(Bank!$D:$D,$C1215)="","",INDEX(Bank!$D:$D,$C1215)),IF(INDEX(GL!$D:$D,$C1215)="","",INDEX(GL!$D:$D,$C1215))))</f>
        <v/>
      </c>
      <c r="G1215" s="19" t="str">
        <f aca="false">IF(C1215=0,"",IF($A1215="Bank",INDEX(Bank!$E:$E,$C1215),INDEX(GL!$E:$E,$C1215)))</f>
        <v/>
      </c>
      <c r="H1215" s="5" t="str">
        <f aca="false">IF(C1215=0,"",IF(A1215="GL",IF(G1215&gt;0,"Deposit in transit","Outstanding check / payment"),IF(G1215&gt;0,"Bank credit not in GL","Bank debit not in GL")))</f>
        <v/>
      </c>
      <c r="I1215" s="42" t="str">
        <f aca="false">IF(OR(C1215=0,CFG_PeriodEnd=""),"",CFG_PeriodEnd-D1215)</f>
        <v/>
      </c>
      <c r="J1215" s="5" t="str">
        <f aca="false">IF(C1215=0,"",IF($A1215="Bank",IF(INDEX(Bank!$G:$G,$C1215)="","",INDEX(Bank!$G:$G,$C1215)),IF(INDEX(GL!$G:$G,$C1215)="","",INDEX(GL!$G:$G,$C1215))))</f>
        <v/>
      </c>
      <c r="K1215" s="5" t="str">
        <f aca="false">IF(C1215=0,"",IF($A1215="Bank",IF(INDEX(Bank!$I:$I,$C1215)="","",INDEX(Bank!$I:$I,$C1215)),IF(INDEX(GL!$I:$I,$C1215)="","",INDEX(GL!$I:$I,$C1215))))</f>
        <v/>
      </c>
      <c r="L1215" s="5" t="str">
        <f aca="false">IF(B1215="","",IF(C1215=0,"NOT FOUND",IF(IF($A1215="Bank",INDEX(Bank!$F:$F,$C1215),INDEX(GL!$F:$F,$C1215))="Y","NOW RECONCILED: refresh","OK")))</f>
        <v/>
      </c>
    </row>
    <row r="1216" customFormat="false" ht="15" hidden="false" customHeight="false" outlineLevel="0" collapsed="false">
      <c r="A1216" s="41"/>
      <c r="B1216" s="41"/>
      <c r="C1216" s="5" t="n">
        <f aca="false">IF(B1216="",0,IF(A1216="Bank",IFERROR(MATCH(B1216,Bank!$A:$A,0),0),IFERROR(MATCH(B1216,GL!$A:$A,0),0)))</f>
        <v>0</v>
      </c>
      <c r="D1216" s="32" t="str">
        <f aca="false">IF(C1216=0,"",IF($A1216="Bank",INDEX(Bank!$B:$B,$C1216),INDEX(GL!$B:$B,$C1216)))</f>
        <v/>
      </c>
      <c r="E1216" s="5" t="str">
        <f aca="false">IF(C1216=0,"",IF($A1216="Bank",IF(INDEX(Bank!$C:$C,$C1216)="","",INDEX(Bank!$C:$C,$C1216)),IF(INDEX(GL!$C:$C,$C1216)="","",INDEX(GL!$C:$C,$C1216))))</f>
        <v/>
      </c>
      <c r="F1216" s="5" t="str">
        <f aca="false">IF(C1216=0,"",IF($A1216="Bank",IF(INDEX(Bank!$D:$D,$C1216)="","",INDEX(Bank!$D:$D,$C1216)),IF(INDEX(GL!$D:$D,$C1216)="","",INDEX(GL!$D:$D,$C1216))))</f>
        <v/>
      </c>
      <c r="G1216" s="19" t="str">
        <f aca="false">IF(C1216=0,"",IF($A1216="Bank",INDEX(Bank!$E:$E,$C1216),INDEX(GL!$E:$E,$C1216)))</f>
        <v/>
      </c>
      <c r="H1216" s="5" t="str">
        <f aca="false">IF(C1216=0,"",IF(A1216="GL",IF(G1216&gt;0,"Deposit in transit","Outstanding check / payment"),IF(G1216&gt;0,"Bank credit not in GL","Bank debit not in GL")))</f>
        <v/>
      </c>
      <c r="I1216" s="42" t="str">
        <f aca="false">IF(OR(C1216=0,CFG_PeriodEnd=""),"",CFG_PeriodEnd-D1216)</f>
        <v/>
      </c>
      <c r="J1216" s="5" t="str">
        <f aca="false">IF(C1216=0,"",IF($A1216="Bank",IF(INDEX(Bank!$G:$G,$C1216)="","",INDEX(Bank!$G:$G,$C1216)),IF(INDEX(GL!$G:$G,$C1216)="","",INDEX(GL!$G:$G,$C1216))))</f>
        <v/>
      </c>
      <c r="K1216" s="5" t="str">
        <f aca="false">IF(C1216=0,"",IF($A1216="Bank",IF(INDEX(Bank!$I:$I,$C1216)="","",INDEX(Bank!$I:$I,$C1216)),IF(INDEX(GL!$I:$I,$C1216)="","",INDEX(GL!$I:$I,$C1216))))</f>
        <v/>
      </c>
      <c r="L1216" s="5" t="str">
        <f aca="false">IF(B1216="","",IF(C1216=0,"NOT FOUND",IF(IF($A1216="Bank",INDEX(Bank!$F:$F,$C1216),INDEX(GL!$F:$F,$C1216))="Y","NOW RECONCILED: refresh","OK")))</f>
        <v/>
      </c>
    </row>
    <row r="1217" customFormat="false" ht="15" hidden="false" customHeight="false" outlineLevel="0" collapsed="false">
      <c r="A1217" s="41"/>
      <c r="B1217" s="41"/>
      <c r="C1217" s="5" t="n">
        <f aca="false">IF(B1217="",0,IF(A1217="Bank",IFERROR(MATCH(B1217,Bank!$A:$A,0),0),IFERROR(MATCH(B1217,GL!$A:$A,0),0)))</f>
        <v>0</v>
      </c>
      <c r="D1217" s="32" t="str">
        <f aca="false">IF(C1217=0,"",IF($A1217="Bank",INDEX(Bank!$B:$B,$C1217),INDEX(GL!$B:$B,$C1217)))</f>
        <v/>
      </c>
      <c r="E1217" s="5" t="str">
        <f aca="false">IF(C1217=0,"",IF($A1217="Bank",IF(INDEX(Bank!$C:$C,$C1217)="","",INDEX(Bank!$C:$C,$C1217)),IF(INDEX(GL!$C:$C,$C1217)="","",INDEX(GL!$C:$C,$C1217))))</f>
        <v/>
      </c>
      <c r="F1217" s="5" t="str">
        <f aca="false">IF(C1217=0,"",IF($A1217="Bank",IF(INDEX(Bank!$D:$D,$C1217)="","",INDEX(Bank!$D:$D,$C1217)),IF(INDEX(GL!$D:$D,$C1217)="","",INDEX(GL!$D:$D,$C1217))))</f>
        <v/>
      </c>
      <c r="G1217" s="19" t="str">
        <f aca="false">IF(C1217=0,"",IF($A1217="Bank",INDEX(Bank!$E:$E,$C1217),INDEX(GL!$E:$E,$C1217)))</f>
        <v/>
      </c>
      <c r="H1217" s="5" t="str">
        <f aca="false">IF(C1217=0,"",IF(A1217="GL",IF(G1217&gt;0,"Deposit in transit","Outstanding check / payment"),IF(G1217&gt;0,"Bank credit not in GL","Bank debit not in GL")))</f>
        <v/>
      </c>
      <c r="I1217" s="42" t="str">
        <f aca="false">IF(OR(C1217=0,CFG_PeriodEnd=""),"",CFG_PeriodEnd-D1217)</f>
        <v/>
      </c>
      <c r="J1217" s="5" t="str">
        <f aca="false">IF(C1217=0,"",IF($A1217="Bank",IF(INDEX(Bank!$G:$G,$C1217)="","",INDEX(Bank!$G:$G,$C1217)),IF(INDEX(GL!$G:$G,$C1217)="","",INDEX(GL!$G:$G,$C1217))))</f>
        <v/>
      </c>
      <c r="K1217" s="5" t="str">
        <f aca="false">IF(C1217=0,"",IF($A1217="Bank",IF(INDEX(Bank!$I:$I,$C1217)="","",INDEX(Bank!$I:$I,$C1217)),IF(INDEX(GL!$I:$I,$C1217)="","",INDEX(GL!$I:$I,$C1217))))</f>
        <v/>
      </c>
      <c r="L1217" s="5" t="str">
        <f aca="false">IF(B1217="","",IF(C1217=0,"NOT FOUND",IF(IF($A1217="Bank",INDEX(Bank!$F:$F,$C1217),INDEX(GL!$F:$F,$C1217))="Y","NOW RECONCILED: refresh","OK")))</f>
        <v/>
      </c>
    </row>
    <row r="1218" customFormat="false" ht="15" hidden="false" customHeight="false" outlineLevel="0" collapsed="false">
      <c r="A1218" s="41"/>
      <c r="B1218" s="41"/>
      <c r="C1218" s="5" t="n">
        <f aca="false">IF(B1218="",0,IF(A1218="Bank",IFERROR(MATCH(B1218,Bank!$A:$A,0),0),IFERROR(MATCH(B1218,GL!$A:$A,0),0)))</f>
        <v>0</v>
      </c>
      <c r="D1218" s="32" t="str">
        <f aca="false">IF(C1218=0,"",IF($A1218="Bank",INDEX(Bank!$B:$B,$C1218),INDEX(GL!$B:$B,$C1218)))</f>
        <v/>
      </c>
      <c r="E1218" s="5" t="str">
        <f aca="false">IF(C1218=0,"",IF($A1218="Bank",IF(INDEX(Bank!$C:$C,$C1218)="","",INDEX(Bank!$C:$C,$C1218)),IF(INDEX(GL!$C:$C,$C1218)="","",INDEX(GL!$C:$C,$C1218))))</f>
        <v/>
      </c>
      <c r="F1218" s="5" t="str">
        <f aca="false">IF(C1218=0,"",IF($A1218="Bank",IF(INDEX(Bank!$D:$D,$C1218)="","",INDEX(Bank!$D:$D,$C1218)),IF(INDEX(GL!$D:$D,$C1218)="","",INDEX(GL!$D:$D,$C1218))))</f>
        <v/>
      </c>
      <c r="G1218" s="19" t="str">
        <f aca="false">IF(C1218=0,"",IF($A1218="Bank",INDEX(Bank!$E:$E,$C1218),INDEX(GL!$E:$E,$C1218)))</f>
        <v/>
      </c>
      <c r="H1218" s="5" t="str">
        <f aca="false">IF(C1218=0,"",IF(A1218="GL",IF(G1218&gt;0,"Deposit in transit","Outstanding check / payment"),IF(G1218&gt;0,"Bank credit not in GL","Bank debit not in GL")))</f>
        <v/>
      </c>
      <c r="I1218" s="42" t="str">
        <f aca="false">IF(OR(C1218=0,CFG_PeriodEnd=""),"",CFG_PeriodEnd-D1218)</f>
        <v/>
      </c>
      <c r="J1218" s="5" t="str">
        <f aca="false">IF(C1218=0,"",IF($A1218="Bank",IF(INDEX(Bank!$G:$G,$C1218)="","",INDEX(Bank!$G:$G,$C1218)),IF(INDEX(GL!$G:$G,$C1218)="","",INDEX(GL!$G:$G,$C1218))))</f>
        <v/>
      </c>
      <c r="K1218" s="5" t="str">
        <f aca="false">IF(C1218=0,"",IF($A1218="Bank",IF(INDEX(Bank!$I:$I,$C1218)="","",INDEX(Bank!$I:$I,$C1218)),IF(INDEX(GL!$I:$I,$C1218)="","",INDEX(GL!$I:$I,$C1218))))</f>
        <v/>
      </c>
      <c r="L1218" s="5" t="str">
        <f aca="false">IF(B1218="","",IF(C1218=0,"NOT FOUND",IF(IF($A1218="Bank",INDEX(Bank!$F:$F,$C1218),INDEX(GL!$F:$F,$C1218))="Y","NOW RECONCILED: refresh","OK")))</f>
        <v/>
      </c>
    </row>
    <row r="1219" customFormat="false" ht="15" hidden="false" customHeight="false" outlineLevel="0" collapsed="false">
      <c r="A1219" s="41"/>
      <c r="B1219" s="41"/>
      <c r="C1219" s="5" t="n">
        <f aca="false">IF(B1219="",0,IF(A1219="Bank",IFERROR(MATCH(B1219,Bank!$A:$A,0),0),IFERROR(MATCH(B1219,GL!$A:$A,0),0)))</f>
        <v>0</v>
      </c>
      <c r="D1219" s="32" t="str">
        <f aca="false">IF(C1219=0,"",IF($A1219="Bank",INDEX(Bank!$B:$B,$C1219),INDEX(GL!$B:$B,$C1219)))</f>
        <v/>
      </c>
      <c r="E1219" s="5" t="str">
        <f aca="false">IF(C1219=0,"",IF($A1219="Bank",IF(INDEX(Bank!$C:$C,$C1219)="","",INDEX(Bank!$C:$C,$C1219)),IF(INDEX(GL!$C:$C,$C1219)="","",INDEX(GL!$C:$C,$C1219))))</f>
        <v/>
      </c>
      <c r="F1219" s="5" t="str">
        <f aca="false">IF(C1219=0,"",IF($A1219="Bank",IF(INDEX(Bank!$D:$D,$C1219)="","",INDEX(Bank!$D:$D,$C1219)),IF(INDEX(GL!$D:$D,$C1219)="","",INDEX(GL!$D:$D,$C1219))))</f>
        <v/>
      </c>
      <c r="G1219" s="19" t="str">
        <f aca="false">IF(C1219=0,"",IF($A1219="Bank",INDEX(Bank!$E:$E,$C1219),INDEX(GL!$E:$E,$C1219)))</f>
        <v/>
      </c>
      <c r="H1219" s="5" t="str">
        <f aca="false">IF(C1219=0,"",IF(A1219="GL",IF(G1219&gt;0,"Deposit in transit","Outstanding check / payment"),IF(G1219&gt;0,"Bank credit not in GL","Bank debit not in GL")))</f>
        <v/>
      </c>
      <c r="I1219" s="42" t="str">
        <f aca="false">IF(OR(C1219=0,CFG_PeriodEnd=""),"",CFG_PeriodEnd-D1219)</f>
        <v/>
      </c>
      <c r="J1219" s="5" t="str">
        <f aca="false">IF(C1219=0,"",IF($A1219="Bank",IF(INDEX(Bank!$G:$G,$C1219)="","",INDEX(Bank!$G:$G,$C1219)),IF(INDEX(GL!$G:$G,$C1219)="","",INDEX(GL!$G:$G,$C1219))))</f>
        <v/>
      </c>
      <c r="K1219" s="5" t="str">
        <f aca="false">IF(C1219=0,"",IF($A1219="Bank",IF(INDEX(Bank!$I:$I,$C1219)="","",INDEX(Bank!$I:$I,$C1219)),IF(INDEX(GL!$I:$I,$C1219)="","",INDEX(GL!$I:$I,$C1219))))</f>
        <v/>
      </c>
      <c r="L1219" s="5" t="str">
        <f aca="false">IF(B1219="","",IF(C1219=0,"NOT FOUND",IF(IF($A1219="Bank",INDEX(Bank!$F:$F,$C1219),INDEX(GL!$F:$F,$C1219))="Y","NOW RECONCILED: refresh","OK")))</f>
        <v/>
      </c>
    </row>
    <row r="1220" customFormat="false" ht="15" hidden="false" customHeight="false" outlineLevel="0" collapsed="false">
      <c r="A1220" s="41"/>
      <c r="B1220" s="41"/>
      <c r="C1220" s="5" t="n">
        <f aca="false">IF(B1220="",0,IF(A1220="Bank",IFERROR(MATCH(B1220,Bank!$A:$A,0),0),IFERROR(MATCH(B1220,GL!$A:$A,0),0)))</f>
        <v>0</v>
      </c>
      <c r="D1220" s="32" t="str">
        <f aca="false">IF(C1220=0,"",IF($A1220="Bank",INDEX(Bank!$B:$B,$C1220),INDEX(GL!$B:$B,$C1220)))</f>
        <v/>
      </c>
      <c r="E1220" s="5" t="str">
        <f aca="false">IF(C1220=0,"",IF($A1220="Bank",IF(INDEX(Bank!$C:$C,$C1220)="","",INDEX(Bank!$C:$C,$C1220)),IF(INDEX(GL!$C:$C,$C1220)="","",INDEX(GL!$C:$C,$C1220))))</f>
        <v/>
      </c>
      <c r="F1220" s="5" t="str">
        <f aca="false">IF(C1220=0,"",IF($A1220="Bank",IF(INDEX(Bank!$D:$D,$C1220)="","",INDEX(Bank!$D:$D,$C1220)),IF(INDEX(GL!$D:$D,$C1220)="","",INDEX(GL!$D:$D,$C1220))))</f>
        <v/>
      </c>
      <c r="G1220" s="19" t="str">
        <f aca="false">IF(C1220=0,"",IF($A1220="Bank",INDEX(Bank!$E:$E,$C1220),INDEX(GL!$E:$E,$C1220)))</f>
        <v/>
      </c>
      <c r="H1220" s="5" t="str">
        <f aca="false">IF(C1220=0,"",IF(A1220="GL",IF(G1220&gt;0,"Deposit in transit","Outstanding check / payment"),IF(G1220&gt;0,"Bank credit not in GL","Bank debit not in GL")))</f>
        <v/>
      </c>
      <c r="I1220" s="42" t="str">
        <f aca="false">IF(OR(C1220=0,CFG_PeriodEnd=""),"",CFG_PeriodEnd-D1220)</f>
        <v/>
      </c>
      <c r="J1220" s="5" t="str">
        <f aca="false">IF(C1220=0,"",IF($A1220="Bank",IF(INDEX(Bank!$G:$G,$C1220)="","",INDEX(Bank!$G:$G,$C1220)),IF(INDEX(GL!$G:$G,$C1220)="","",INDEX(GL!$G:$G,$C1220))))</f>
        <v/>
      </c>
      <c r="K1220" s="5" t="str">
        <f aca="false">IF(C1220=0,"",IF($A1220="Bank",IF(INDEX(Bank!$I:$I,$C1220)="","",INDEX(Bank!$I:$I,$C1220)),IF(INDEX(GL!$I:$I,$C1220)="","",INDEX(GL!$I:$I,$C1220))))</f>
        <v/>
      </c>
      <c r="L1220" s="5" t="str">
        <f aca="false">IF(B1220="","",IF(C1220=0,"NOT FOUND",IF(IF($A1220="Bank",INDEX(Bank!$F:$F,$C1220),INDEX(GL!$F:$F,$C1220))="Y","NOW RECONCILED: refresh","OK")))</f>
        <v/>
      </c>
    </row>
    <row r="1221" customFormat="false" ht="15" hidden="false" customHeight="false" outlineLevel="0" collapsed="false">
      <c r="A1221" s="41"/>
      <c r="B1221" s="41"/>
      <c r="C1221" s="5" t="n">
        <f aca="false">IF(B1221="",0,IF(A1221="Bank",IFERROR(MATCH(B1221,Bank!$A:$A,0),0),IFERROR(MATCH(B1221,GL!$A:$A,0),0)))</f>
        <v>0</v>
      </c>
      <c r="D1221" s="32" t="str">
        <f aca="false">IF(C1221=0,"",IF($A1221="Bank",INDEX(Bank!$B:$B,$C1221),INDEX(GL!$B:$B,$C1221)))</f>
        <v/>
      </c>
      <c r="E1221" s="5" t="str">
        <f aca="false">IF(C1221=0,"",IF($A1221="Bank",IF(INDEX(Bank!$C:$C,$C1221)="","",INDEX(Bank!$C:$C,$C1221)),IF(INDEX(GL!$C:$C,$C1221)="","",INDEX(GL!$C:$C,$C1221))))</f>
        <v/>
      </c>
      <c r="F1221" s="5" t="str">
        <f aca="false">IF(C1221=0,"",IF($A1221="Bank",IF(INDEX(Bank!$D:$D,$C1221)="","",INDEX(Bank!$D:$D,$C1221)),IF(INDEX(GL!$D:$D,$C1221)="","",INDEX(GL!$D:$D,$C1221))))</f>
        <v/>
      </c>
      <c r="G1221" s="19" t="str">
        <f aca="false">IF(C1221=0,"",IF($A1221="Bank",INDEX(Bank!$E:$E,$C1221),INDEX(GL!$E:$E,$C1221)))</f>
        <v/>
      </c>
      <c r="H1221" s="5" t="str">
        <f aca="false">IF(C1221=0,"",IF(A1221="GL",IF(G1221&gt;0,"Deposit in transit","Outstanding check / payment"),IF(G1221&gt;0,"Bank credit not in GL","Bank debit not in GL")))</f>
        <v/>
      </c>
      <c r="I1221" s="42" t="str">
        <f aca="false">IF(OR(C1221=0,CFG_PeriodEnd=""),"",CFG_PeriodEnd-D1221)</f>
        <v/>
      </c>
      <c r="J1221" s="5" t="str">
        <f aca="false">IF(C1221=0,"",IF($A1221="Bank",IF(INDEX(Bank!$G:$G,$C1221)="","",INDEX(Bank!$G:$G,$C1221)),IF(INDEX(GL!$G:$G,$C1221)="","",INDEX(GL!$G:$G,$C1221))))</f>
        <v/>
      </c>
      <c r="K1221" s="5" t="str">
        <f aca="false">IF(C1221=0,"",IF($A1221="Bank",IF(INDEX(Bank!$I:$I,$C1221)="","",INDEX(Bank!$I:$I,$C1221)),IF(INDEX(GL!$I:$I,$C1221)="","",INDEX(GL!$I:$I,$C1221))))</f>
        <v/>
      </c>
      <c r="L1221" s="5" t="str">
        <f aca="false">IF(B1221="","",IF(C1221=0,"NOT FOUND",IF(IF($A1221="Bank",INDEX(Bank!$F:$F,$C1221),INDEX(GL!$F:$F,$C1221))="Y","NOW RECONCILED: refresh","OK")))</f>
        <v/>
      </c>
    </row>
    <row r="1222" customFormat="false" ht="15" hidden="false" customHeight="false" outlineLevel="0" collapsed="false">
      <c r="A1222" s="41"/>
      <c r="B1222" s="41"/>
      <c r="C1222" s="5" t="n">
        <f aca="false">IF(B1222="",0,IF(A1222="Bank",IFERROR(MATCH(B1222,Bank!$A:$A,0),0),IFERROR(MATCH(B1222,GL!$A:$A,0),0)))</f>
        <v>0</v>
      </c>
      <c r="D1222" s="32" t="str">
        <f aca="false">IF(C1222=0,"",IF($A1222="Bank",INDEX(Bank!$B:$B,$C1222),INDEX(GL!$B:$B,$C1222)))</f>
        <v/>
      </c>
      <c r="E1222" s="5" t="str">
        <f aca="false">IF(C1222=0,"",IF($A1222="Bank",IF(INDEX(Bank!$C:$C,$C1222)="","",INDEX(Bank!$C:$C,$C1222)),IF(INDEX(GL!$C:$C,$C1222)="","",INDEX(GL!$C:$C,$C1222))))</f>
        <v/>
      </c>
      <c r="F1222" s="5" t="str">
        <f aca="false">IF(C1222=0,"",IF($A1222="Bank",IF(INDEX(Bank!$D:$D,$C1222)="","",INDEX(Bank!$D:$D,$C1222)),IF(INDEX(GL!$D:$D,$C1222)="","",INDEX(GL!$D:$D,$C1222))))</f>
        <v/>
      </c>
      <c r="G1222" s="19" t="str">
        <f aca="false">IF(C1222=0,"",IF($A1222="Bank",INDEX(Bank!$E:$E,$C1222),INDEX(GL!$E:$E,$C1222)))</f>
        <v/>
      </c>
      <c r="H1222" s="5" t="str">
        <f aca="false">IF(C1222=0,"",IF(A1222="GL",IF(G1222&gt;0,"Deposit in transit","Outstanding check / payment"),IF(G1222&gt;0,"Bank credit not in GL","Bank debit not in GL")))</f>
        <v/>
      </c>
      <c r="I1222" s="42" t="str">
        <f aca="false">IF(OR(C1222=0,CFG_PeriodEnd=""),"",CFG_PeriodEnd-D1222)</f>
        <v/>
      </c>
      <c r="J1222" s="5" t="str">
        <f aca="false">IF(C1222=0,"",IF($A1222="Bank",IF(INDEX(Bank!$G:$G,$C1222)="","",INDEX(Bank!$G:$G,$C1222)),IF(INDEX(GL!$G:$G,$C1222)="","",INDEX(GL!$G:$G,$C1222))))</f>
        <v/>
      </c>
      <c r="K1222" s="5" t="str">
        <f aca="false">IF(C1222=0,"",IF($A1222="Bank",IF(INDEX(Bank!$I:$I,$C1222)="","",INDEX(Bank!$I:$I,$C1222)),IF(INDEX(GL!$I:$I,$C1222)="","",INDEX(GL!$I:$I,$C1222))))</f>
        <v/>
      </c>
      <c r="L1222" s="5" t="str">
        <f aca="false">IF(B1222="","",IF(C1222=0,"NOT FOUND",IF(IF($A1222="Bank",INDEX(Bank!$F:$F,$C1222),INDEX(GL!$F:$F,$C1222))="Y","NOW RECONCILED: refresh","OK")))</f>
        <v/>
      </c>
    </row>
    <row r="1223" customFormat="false" ht="15" hidden="false" customHeight="false" outlineLevel="0" collapsed="false">
      <c r="A1223" s="41"/>
      <c r="B1223" s="41"/>
      <c r="C1223" s="5" t="n">
        <f aca="false">IF(B1223="",0,IF(A1223="Bank",IFERROR(MATCH(B1223,Bank!$A:$A,0),0),IFERROR(MATCH(B1223,GL!$A:$A,0),0)))</f>
        <v>0</v>
      </c>
      <c r="D1223" s="32" t="str">
        <f aca="false">IF(C1223=0,"",IF($A1223="Bank",INDEX(Bank!$B:$B,$C1223),INDEX(GL!$B:$B,$C1223)))</f>
        <v/>
      </c>
      <c r="E1223" s="5" t="str">
        <f aca="false">IF(C1223=0,"",IF($A1223="Bank",IF(INDEX(Bank!$C:$C,$C1223)="","",INDEX(Bank!$C:$C,$C1223)),IF(INDEX(GL!$C:$C,$C1223)="","",INDEX(GL!$C:$C,$C1223))))</f>
        <v/>
      </c>
      <c r="F1223" s="5" t="str">
        <f aca="false">IF(C1223=0,"",IF($A1223="Bank",IF(INDEX(Bank!$D:$D,$C1223)="","",INDEX(Bank!$D:$D,$C1223)),IF(INDEX(GL!$D:$D,$C1223)="","",INDEX(GL!$D:$D,$C1223))))</f>
        <v/>
      </c>
      <c r="G1223" s="19" t="str">
        <f aca="false">IF(C1223=0,"",IF($A1223="Bank",INDEX(Bank!$E:$E,$C1223),INDEX(GL!$E:$E,$C1223)))</f>
        <v/>
      </c>
      <c r="H1223" s="5" t="str">
        <f aca="false">IF(C1223=0,"",IF(A1223="GL",IF(G1223&gt;0,"Deposit in transit","Outstanding check / payment"),IF(G1223&gt;0,"Bank credit not in GL","Bank debit not in GL")))</f>
        <v/>
      </c>
      <c r="I1223" s="42" t="str">
        <f aca="false">IF(OR(C1223=0,CFG_PeriodEnd=""),"",CFG_PeriodEnd-D1223)</f>
        <v/>
      </c>
      <c r="J1223" s="5" t="str">
        <f aca="false">IF(C1223=0,"",IF($A1223="Bank",IF(INDEX(Bank!$G:$G,$C1223)="","",INDEX(Bank!$G:$G,$C1223)),IF(INDEX(GL!$G:$G,$C1223)="","",INDEX(GL!$G:$G,$C1223))))</f>
        <v/>
      </c>
      <c r="K1223" s="5" t="str">
        <f aca="false">IF(C1223=0,"",IF($A1223="Bank",IF(INDEX(Bank!$I:$I,$C1223)="","",INDEX(Bank!$I:$I,$C1223)),IF(INDEX(GL!$I:$I,$C1223)="","",INDEX(GL!$I:$I,$C1223))))</f>
        <v/>
      </c>
      <c r="L1223" s="5" t="str">
        <f aca="false">IF(B1223="","",IF(C1223=0,"NOT FOUND",IF(IF($A1223="Bank",INDEX(Bank!$F:$F,$C1223),INDEX(GL!$F:$F,$C1223))="Y","NOW RECONCILED: refresh","OK")))</f>
        <v/>
      </c>
    </row>
    <row r="1224" customFormat="false" ht="15" hidden="false" customHeight="false" outlineLevel="0" collapsed="false">
      <c r="A1224" s="41"/>
      <c r="B1224" s="41"/>
      <c r="C1224" s="5" t="n">
        <f aca="false">IF(B1224="",0,IF(A1224="Bank",IFERROR(MATCH(B1224,Bank!$A:$A,0),0),IFERROR(MATCH(B1224,GL!$A:$A,0),0)))</f>
        <v>0</v>
      </c>
      <c r="D1224" s="32" t="str">
        <f aca="false">IF(C1224=0,"",IF($A1224="Bank",INDEX(Bank!$B:$B,$C1224),INDEX(GL!$B:$B,$C1224)))</f>
        <v/>
      </c>
      <c r="E1224" s="5" t="str">
        <f aca="false">IF(C1224=0,"",IF($A1224="Bank",IF(INDEX(Bank!$C:$C,$C1224)="","",INDEX(Bank!$C:$C,$C1224)),IF(INDEX(GL!$C:$C,$C1224)="","",INDEX(GL!$C:$C,$C1224))))</f>
        <v/>
      </c>
      <c r="F1224" s="5" t="str">
        <f aca="false">IF(C1224=0,"",IF($A1224="Bank",IF(INDEX(Bank!$D:$D,$C1224)="","",INDEX(Bank!$D:$D,$C1224)),IF(INDEX(GL!$D:$D,$C1224)="","",INDEX(GL!$D:$D,$C1224))))</f>
        <v/>
      </c>
      <c r="G1224" s="19" t="str">
        <f aca="false">IF(C1224=0,"",IF($A1224="Bank",INDEX(Bank!$E:$E,$C1224),INDEX(GL!$E:$E,$C1224)))</f>
        <v/>
      </c>
      <c r="H1224" s="5" t="str">
        <f aca="false">IF(C1224=0,"",IF(A1224="GL",IF(G1224&gt;0,"Deposit in transit","Outstanding check / payment"),IF(G1224&gt;0,"Bank credit not in GL","Bank debit not in GL")))</f>
        <v/>
      </c>
      <c r="I1224" s="42" t="str">
        <f aca="false">IF(OR(C1224=0,CFG_PeriodEnd=""),"",CFG_PeriodEnd-D1224)</f>
        <v/>
      </c>
      <c r="J1224" s="5" t="str">
        <f aca="false">IF(C1224=0,"",IF($A1224="Bank",IF(INDEX(Bank!$G:$G,$C1224)="","",INDEX(Bank!$G:$G,$C1224)),IF(INDEX(GL!$G:$G,$C1224)="","",INDEX(GL!$G:$G,$C1224))))</f>
        <v/>
      </c>
      <c r="K1224" s="5" t="str">
        <f aca="false">IF(C1224=0,"",IF($A1224="Bank",IF(INDEX(Bank!$I:$I,$C1224)="","",INDEX(Bank!$I:$I,$C1224)),IF(INDEX(GL!$I:$I,$C1224)="","",INDEX(GL!$I:$I,$C1224))))</f>
        <v/>
      </c>
      <c r="L1224" s="5" t="str">
        <f aca="false">IF(B1224="","",IF(C1224=0,"NOT FOUND",IF(IF($A1224="Bank",INDEX(Bank!$F:$F,$C1224),INDEX(GL!$F:$F,$C1224))="Y","NOW RECONCILED: refresh","OK")))</f>
        <v/>
      </c>
    </row>
    <row r="1225" customFormat="false" ht="15" hidden="false" customHeight="false" outlineLevel="0" collapsed="false">
      <c r="A1225" s="41"/>
      <c r="B1225" s="41"/>
      <c r="C1225" s="5" t="n">
        <f aca="false">IF(B1225="",0,IF(A1225="Bank",IFERROR(MATCH(B1225,Bank!$A:$A,0),0),IFERROR(MATCH(B1225,GL!$A:$A,0),0)))</f>
        <v>0</v>
      </c>
      <c r="D1225" s="32" t="str">
        <f aca="false">IF(C1225=0,"",IF($A1225="Bank",INDEX(Bank!$B:$B,$C1225),INDEX(GL!$B:$B,$C1225)))</f>
        <v/>
      </c>
      <c r="E1225" s="5" t="str">
        <f aca="false">IF(C1225=0,"",IF($A1225="Bank",IF(INDEX(Bank!$C:$C,$C1225)="","",INDEX(Bank!$C:$C,$C1225)),IF(INDEX(GL!$C:$C,$C1225)="","",INDEX(GL!$C:$C,$C1225))))</f>
        <v/>
      </c>
      <c r="F1225" s="5" t="str">
        <f aca="false">IF(C1225=0,"",IF($A1225="Bank",IF(INDEX(Bank!$D:$D,$C1225)="","",INDEX(Bank!$D:$D,$C1225)),IF(INDEX(GL!$D:$D,$C1225)="","",INDEX(GL!$D:$D,$C1225))))</f>
        <v/>
      </c>
      <c r="G1225" s="19" t="str">
        <f aca="false">IF(C1225=0,"",IF($A1225="Bank",INDEX(Bank!$E:$E,$C1225),INDEX(GL!$E:$E,$C1225)))</f>
        <v/>
      </c>
      <c r="H1225" s="5" t="str">
        <f aca="false">IF(C1225=0,"",IF(A1225="GL",IF(G1225&gt;0,"Deposit in transit","Outstanding check / payment"),IF(G1225&gt;0,"Bank credit not in GL","Bank debit not in GL")))</f>
        <v/>
      </c>
      <c r="I1225" s="42" t="str">
        <f aca="false">IF(OR(C1225=0,CFG_PeriodEnd=""),"",CFG_PeriodEnd-D1225)</f>
        <v/>
      </c>
      <c r="J1225" s="5" t="str">
        <f aca="false">IF(C1225=0,"",IF($A1225="Bank",IF(INDEX(Bank!$G:$G,$C1225)="","",INDEX(Bank!$G:$G,$C1225)),IF(INDEX(GL!$G:$G,$C1225)="","",INDEX(GL!$G:$G,$C1225))))</f>
        <v/>
      </c>
      <c r="K1225" s="5" t="str">
        <f aca="false">IF(C1225=0,"",IF($A1225="Bank",IF(INDEX(Bank!$I:$I,$C1225)="","",INDEX(Bank!$I:$I,$C1225)),IF(INDEX(GL!$I:$I,$C1225)="","",INDEX(GL!$I:$I,$C1225))))</f>
        <v/>
      </c>
      <c r="L1225" s="5" t="str">
        <f aca="false">IF(B1225="","",IF(C1225=0,"NOT FOUND",IF(IF($A1225="Bank",INDEX(Bank!$F:$F,$C1225),INDEX(GL!$F:$F,$C1225))="Y","NOW RECONCILED: refresh","OK")))</f>
        <v/>
      </c>
    </row>
    <row r="1226" customFormat="false" ht="15" hidden="false" customHeight="false" outlineLevel="0" collapsed="false">
      <c r="A1226" s="41"/>
      <c r="B1226" s="41"/>
      <c r="C1226" s="5" t="n">
        <f aca="false">IF(B1226="",0,IF(A1226="Bank",IFERROR(MATCH(B1226,Bank!$A:$A,0),0),IFERROR(MATCH(B1226,GL!$A:$A,0),0)))</f>
        <v>0</v>
      </c>
      <c r="D1226" s="32" t="str">
        <f aca="false">IF(C1226=0,"",IF($A1226="Bank",INDEX(Bank!$B:$B,$C1226),INDEX(GL!$B:$B,$C1226)))</f>
        <v/>
      </c>
      <c r="E1226" s="5" t="str">
        <f aca="false">IF(C1226=0,"",IF($A1226="Bank",IF(INDEX(Bank!$C:$C,$C1226)="","",INDEX(Bank!$C:$C,$C1226)),IF(INDEX(GL!$C:$C,$C1226)="","",INDEX(GL!$C:$C,$C1226))))</f>
        <v/>
      </c>
      <c r="F1226" s="5" t="str">
        <f aca="false">IF(C1226=0,"",IF($A1226="Bank",IF(INDEX(Bank!$D:$D,$C1226)="","",INDEX(Bank!$D:$D,$C1226)),IF(INDEX(GL!$D:$D,$C1226)="","",INDEX(GL!$D:$D,$C1226))))</f>
        <v/>
      </c>
      <c r="G1226" s="19" t="str">
        <f aca="false">IF(C1226=0,"",IF($A1226="Bank",INDEX(Bank!$E:$E,$C1226),INDEX(GL!$E:$E,$C1226)))</f>
        <v/>
      </c>
      <c r="H1226" s="5" t="str">
        <f aca="false">IF(C1226=0,"",IF(A1226="GL",IF(G1226&gt;0,"Deposit in transit","Outstanding check / payment"),IF(G1226&gt;0,"Bank credit not in GL","Bank debit not in GL")))</f>
        <v/>
      </c>
      <c r="I1226" s="42" t="str">
        <f aca="false">IF(OR(C1226=0,CFG_PeriodEnd=""),"",CFG_PeriodEnd-D1226)</f>
        <v/>
      </c>
      <c r="J1226" s="5" t="str">
        <f aca="false">IF(C1226=0,"",IF($A1226="Bank",IF(INDEX(Bank!$G:$G,$C1226)="","",INDEX(Bank!$G:$G,$C1226)),IF(INDEX(GL!$G:$G,$C1226)="","",INDEX(GL!$G:$G,$C1226))))</f>
        <v/>
      </c>
      <c r="K1226" s="5" t="str">
        <f aca="false">IF(C1226=0,"",IF($A1226="Bank",IF(INDEX(Bank!$I:$I,$C1226)="","",INDEX(Bank!$I:$I,$C1226)),IF(INDEX(GL!$I:$I,$C1226)="","",INDEX(GL!$I:$I,$C1226))))</f>
        <v/>
      </c>
      <c r="L1226" s="5" t="str">
        <f aca="false">IF(B1226="","",IF(C1226=0,"NOT FOUND",IF(IF($A1226="Bank",INDEX(Bank!$F:$F,$C1226),INDEX(GL!$F:$F,$C1226))="Y","NOW RECONCILED: refresh","OK")))</f>
        <v/>
      </c>
    </row>
    <row r="1227" customFormat="false" ht="15" hidden="false" customHeight="false" outlineLevel="0" collapsed="false">
      <c r="A1227" s="41"/>
      <c r="B1227" s="41"/>
      <c r="C1227" s="5" t="n">
        <f aca="false">IF(B1227="",0,IF(A1227="Bank",IFERROR(MATCH(B1227,Bank!$A:$A,0),0),IFERROR(MATCH(B1227,GL!$A:$A,0),0)))</f>
        <v>0</v>
      </c>
      <c r="D1227" s="32" t="str">
        <f aca="false">IF(C1227=0,"",IF($A1227="Bank",INDEX(Bank!$B:$B,$C1227),INDEX(GL!$B:$B,$C1227)))</f>
        <v/>
      </c>
      <c r="E1227" s="5" t="str">
        <f aca="false">IF(C1227=0,"",IF($A1227="Bank",IF(INDEX(Bank!$C:$C,$C1227)="","",INDEX(Bank!$C:$C,$C1227)),IF(INDEX(GL!$C:$C,$C1227)="","",INDEX(GL!$C:$C,$C1227))))</f>
        <v/>
      </c>
      <c r="F1227" s="5" t="str">
        <f aca="false">IF(C1227=0,"",IF($A1227="Bank",IF(INDEX(Bank!$D:$D,$C1227)="","",INDEX(Bank!$D:$D,$C1227)),IF(INDEX(GL!$D:$D,$C1227)="","",INDEX(GL!$D:$D,$C1227))))</f>
        <v/>
      </c>
      <c r="G1227" s="19" t="str">
        <f aca="false">IF(C1227=0,"",IF($A1227="Bank",INDEX(Bank!$E:$E,$C1227),INDEX(GL!$E:$E,$C1227)))</f>
        <v/>
      </c>
      <c r="H1227" s="5" t="str">
        <f aca="false">IF(C1227=0,"",IF(A1227="GL",IF(G1227&gt;0,"Deposit in transit","Outstanding check / payment"),IF(G1227&gt;0,"Bank credit not in GL","Bank debit not in GL")))</f>
        <v/>
      </c>
      <c r="I1227" s="42" t="str">
        <f aca="false">IF(OR(C1227=0,CFG_PeriodEnd=""),"",CFG_PeriodEnd-D1227)</f>
        <v/>
      </c>
      <c r="J1227" s="5" t="str">
        <f aca="false">IF(C1227=0,"",IF($A1227="Bank",IF(INDEX(Bank!$G:$G,$C1227)="","",INDEX(Bank!$G:$G,$C1227)),IF(INDEX(GL!$G:$G,$C1227)="","",INDEX(GL!$G:$G,$C1227))))</f>
        <v/>
      </c>
      <c r="K1227" s="5" t="str">
        <f aca="false">IF(C1227=0,"",IF($A1227="Bank",IF(INDEX(Bank!$I:$I,$C1227)="","",INDEX(Bank!$I:$I,$C1227)),IF(INDEX(GL!$I:$I,$C1227)="","",INDEX(GL!$I:$I,$C1227))))</f>
        <v/>
      </c>
      <c r="L1227" s="5" t="str">
        <f aca="false">IF(B1227="","",IF(C1227=0,"NOT FOUND",IF(IF($A1227="Bank",INDEX(Bank!$F:$F,$C1227),INDEX(GL!$F:$F,$C1227))="Y","NOW RECONCILED: refresh","OK")))</f>
        <v/>
      </c>
    </row>
    <row r="1228" customFormat="false" ht="15" hidden="false" customHeight="false" outlineLevel="0" collapsed="false">
      <c r="A1228" s="41"/>
      <c r="B1228" s="41"/>
      <c r="C1228" s="5" t="n">
        <f aca="false">IF(B1228="",0,IF(A1228="Bank",IFERROR(MATCH(B1228,Bank!$A:$A,0),0),IFERROR(MATCH(B1228,GL!$A:$A,0),0)))</f>
        <v>0</v>
      </c>
      <c r="D1228" s="32" t="str">
        <f aca="false">IF(C1228=0,"",IF($A1228="Bank",INDEX(Bank!$B:$B,$C1228),INDEX(GL!$B:$B,$C1228)))</f>
        <v/>
      </c>
      <c r="E1228" s="5" t="str">
        <f aca="false">IF(C1228=0,"",IF($A1228="Bank",IF(INDEX(Bank!$C:$C,$C1228)="","",INDEX(Bank!$C:$C,$C1228)),IF(INDEX(GL!$C:$C,$C1228)="","",INDEX(GL!$C:$C,$C1228))))</f>
        <v/>
      </c>
      <c r="F1228" s="5" t="str">
        <f aca="false">IF(C1228=0,"",IF($A1228="Bank",IF(INDEX(Bank!$D:$D,$C1228)="","",INDEX(Bank!$D:$D,$C1228)),IF(INDEX(GL!$D:$D,$C1228)="","",INDEX(GL!$D:$D,$C1228))))</f>
        <v/>
      </c>
      <c r="G1228" s="19" t="str">
        <f aca="false">IF(C1228=0,"",IF($A1228="Bank",INDEX(Bank!$E:$E,$C1228),INDEX(GL!$E:$E,$C1228)))</f>
        <v/>
      </c>
      <c r="H1228" s="5" t="str">
        <f aca="false">IF(C1228=0,"",IF(A1228="GL",IF(G1228&gt;0,"Deposit in transit","Outstanding check / payment"),IF(G1228&gt;0,"Bank credit not in GL","Bank debit not in GL")))</f>
        <v/>
      </c>
      <c r="I1228" s="42" t="str">
        <f aca="false">IF(OR(C1228=0,CFG_PeriodEnd=""),"",CFG_PeriodEnd-D1228)</f>
        <v/>
      </c>
      <c r="J1228" s="5" t="str">
        <f aca="false">IF(C1228=0,"",IF($A1228="Bank",IF(INDEX(Bank!$G:$G,$C1228)="","",INDEX(Bank!$G:$G,$C1228)),IF(INDEX(GL!$G:$G,$C1228)="","",INDEX(GL!$G:$G,$C1228))))</f>
        <v/>
      </c>
      <c r="K1228" s="5" t="str">
        <f aca="false">IF(C1228=0,"",IF($A1228="Bank",IF(INDEX(Bank!$I:$I,$C1228)="","",INDEX(Bank!$I:$I,$C1228)),IF(INDEX(GL!$I:$I,$C1228)="","",INDEX(GL!$I:$I,$C1228))))</f>
        <v/>
      </c>
      <c r="L1228" s="5" t="str">
        <f aca="false">IF(B1228="","",IF(C1228=0,"NOT FOUND",IF(IF($A1228="Bank",INDEX(Bank!$F:$F,$C1228),INDEX(GL!$F:$F,$C1228))="Y","NOW RECONCILED: refresh","OK")))</f>
        <v/>
      </c>
    </row>
    <row r="1229" customFormat="false" ht="15" hidden="false" customHeight="false" outlineLevel="0" collapsed="false">
      <c r="A1229" s="41"/>
      <c r="B1229" s="41"/>
      <c r="C1229" s="5" t="n">
        <f aca="false">IF(B1229="",0,IF(A1229="Bank",IFERROR(MATCH(B1229,Bank!$A:$A,0),0),IFERROR(MATCH(B1229,GL!$A:$A,0),0)))</f>
        <v>0</v>
      </c>
      <c r="D1229" s="32" t="str">
        <f aca="false">IF(C1229=0,"",IF($A1229="Bank",INDEX(Bank!$B:$B,$C1229),INDEX(GL!$B:$B,$C1229)))</f>
        <v/>
      </c>
      <c r="E1229" s="5" t="str">
        <f aca="false">IF(C1229=0,"",IF($A1229="Bank",IF(INDEX(Bank!$C:$C,$C1229)="","",INDEX(Bank!$C:$C,$C1229)),IF(INDEX(GL!$C:$C,$C1229)="","",INDEX(GL!$C:$C,$C1229))))</f>
        <v/>
      </c>
      <c r="F1229" s="5" t="str">
        <f aca="false">IF(C1229=0,"",IF($A1229="Bank",IF(INDEX(Bank!$D:$D,$C1229)="","",INDEX(Bank!$D:$D,$C1229)),IF(INDEX(GL!$D:$D,$C1229)="","",INDEX(GL!$D:$D,$C1229))))</f>
        <v/>
      </c>
      <c r="G1229" s="19" t="str">
        <f aca="false">IF(C1229=0,"",IF($A1229="Bank",INDEX(Bank!$E:$E,$C1229),INDEX(GL!$E:$E,$C1229)))</f>
        <v/>
      </c>
      <c r="H1229" s="5" t="str">
        <f aca="false">IF(C1229=0,"",IF(A1229="GL",IF(G1229&gt;0,"Deposit in transit","Outstanding check / payment"),IF(G1229&gt;0,"Bank credit not in GL","Bank debit not in GL")))</f>
        <v/>
      </c>
      <c r="I1229" s="42" t="str">
        <f aca="false">IF(OR(C1229=0,CFG_PeriodEnd=""),"",CFG_PeriodEnd-D1229)</f>
        <v/>
      </c>
      <c r="J1229" s="5" t="str">
        <f aca="false">IF(C1229=0,"",IF($A1229="Bank",IF(INDEX(Bank!$G:$G,$C1229)="","",INDEX(Bank!$G:$G,$C1229)),IF(INDEX(GL!$G:$G,$C1229)="","",INDEX(GL!$G:$G,$C1229))))</f>
        <v/>
      </c>
      <c r="K1229" s="5" t="str">
        <f aca="false">IF(C1229=0,"",IF($A1229="Bank",IF(INDEX(Bank!$I:$I,$C1229)="","",INDEX(Bank!$I:$I,$C1229)),IF(INDEX(GL!$I:$I,$C1229)="","",INDEX(GL!$I:$I,$C1229))))</f>
        <v/>
      </c>
      <c r="L1229" s="5" t="str">
        <f aca="false">IF(B1229="","",IF(C1229=0,"NOT FOUND",IF(IF($A1229="Bank",INDEX(Bank!$F:$F,$C1229),INDEX(GL!$F:$F,$C1229))="Y","NOW RECONCILED: refresh","OK")))</f>
        <v/>
      </c>
    </row>
    <row r="1230" customFormat="false" ht="15" hidden="false" customHeight="false" outlineLevel="0" collapsed="false">
      <c r="A1230" s="41"/>
      <c r="B1230" s="41"/>
      <c r="C1230" s="5" t="n">
        <f aca="false">IF(B1230="",0,IF(A1230="Bank",IFERROR(MATCH(B1230,Bank!$A:$A,0),0),IFERROR(MATCH(B1230,GL!$A:$A,0),0)))</f>
        <v>0</v>
      </c>
      <c r="D1230" s="32" t="str">
        <f aca="false">IF(C1230=0,"",IF($A1230="Bank",INDEX(Bank!$B:$B,$C1230),INDEX(GL!$B:$B,$C1230)))</f>
        <v/>
      </c>
      <c r="E1230" s="5" t="str">
        <f aca="false">IF(C1230=0,"",IF($A1230="Bank",IF(INDEX(Bank!$C:$C,$C1230)="","",INDEX(Bank!$C:$C,$C1230)),IF(INDEX(GL!$C:$C,$C1230)="","",INDEX(GL!$C:$C,$C1230))))</f>
        <v/>
      </c>
      <c r="F1230" s="5" t="str">
        <f aca="false">IF(C1230=0,"",IF($A1230="Bank",IF(INDEX(Bank!$D:$D,$C1230)="","",INDEX(Bank!$D:$D,$C1230)),IF(INDEX(GL!$D:$D,$C1230)="","",INDEX(GL!$D:$D,$C1230))))</f>
        <v/>
      </c>
      <c r="G1230" s="19" t="str">
        <f aca="false">IF(C1230=0,"",IF($A1230="Bank",INDEX(Bank!$E:$E,$C1230),INDEX(GL!$E:$E,$C1230)))</f>
        <v/>
      </c>
      <c r="H1230" s="5" t="str">
        <f aca="false">IF(C1230=0,"",IF(A1230="GL",IF(G1230&gt;0,"Deposit in transit","Outstanding check / payment"),IF(G1230&gt;0,"Bank credit not in GL","Bank debit not in GL")))</f>
        <v/>
      </c>
      <c r="I1230" s="42" t="str">
        <f aca="false">IF(OR(C1230=0,CFG_PeriodEnd=""),"",CFG_PeriodEnd-D1230)</f>
        <v/>
      </c>
      <c r="J1230" s="5" t="str">
        <f aca="false">IF(C1230=0,"",IF($A1230="Bank",IF(INDEX(Bank!$G:$G,$C1230)="","",INDEX(Bank!$G:$G,$C1230)),IF(INDEX(GL!$G:$G,$C1230)="","",INDEX(GL!$G:$G,$C1230))))</f>
        <v/>
      </c>
      <c r="K1230" s="5" t="str">
        <f aca="false">IF(C1230=0,"",IF($A1230="Bank",IF(INDEX(Bank!$I:$I,$C1230)="","",INDEX(Bank!$I:$I,$C1230)),IF(INDEX(GL!$I:$I,$C1230)="","",INDEX(GL!$I:$I,$C1230))))</f>
        <v/>
      </c>
      <c r="L1230" s="5" t="str">
        <f aca="false">IF(B1230="","",IF(C1230=0,"NOT FOUND",IF(IF($A1230="Bank",INDEX(Bank!$F:$F,$C1230),INDEX(GL!$F:$F,$C1230))="Y","NOW RECONCILED: refresh","OK")))</f>
        <v/>
      </c>
    </row>
    <row r="1231" customFormat="false" ht="15" hidden="false" customHeight="false" outlineLevel="0" collapsed="false">
      <c r="A1231" s="41"/>
      <c r="B1231" s="41"/>
      <c r="C1231" s="5" t="n">
        <f aca="false">IF(B1231="",0,IF(A1231="Bank",IFERROR(MATCH(B1231,Bank!$A:$A,0),0),IFERROR(MATCH(B1231,GL!$A:$A,0),0)))</f>
        <v>0</v>
      </c>
      <c r="D1231" s="32" t="str">
        <f aca="false">IF(C1231=0,"",IF($A1231="Bank",INDEX(Bank!$B:$B,$C1231),INDEX(GL!$B:$B,$C1231)))</f>
        <v/>
      </c>
      <c r="E1231" s="5" t="str">
        <f aca="false">IF(C1231=0,"",IF($A1231="Bank",IF(INDEX(Bank!$C:$C,$C1231)="","",INDEX(Bank!$C:$C,$C1231)),IF(INDEX(GL!$C:$C,$C1231)="","",INDEX(GL!$C:$C,$C1231))))</f>
        <v/>
      </c>
      <c r="F1231" s="5" t="str">
        <f aca="false">IF(C1231=0,"",IF($A1231="Bank",IF(INDEX(Bank!$D:$D,$C1231)="","",INDEX(Bank!$D:$D,$C1231)),IF(INDEX(GL!$D:$D,$C1231)="","",INDEX(GL!$D:$D,$C1231))))</f>
        <v/>
      </c>
      <c r="G1231" s="19" t="str">
        <f aca="false">IF(C1231=0,"",IF($A1231="Bank",INDEX(Bank!$E:$E,$C1231),INDEX(GL!$E:$E,$C1231)))</f>
        <v/>
      </c>
      <c r="H1231" s="5" t="str">
        <f aca="false">IF(C1231=0,"",IF(A1231="GL",IF(G1231&gt;0,"Deposit in transit","Outstanding check / payment"),IF(G1231&gt;0,"Bank credit not in GL","Bank debit not in GL")))</f>
        <v/>
      </c>
      <c r="I1231" s="42" t="str">
        <f aca="false">IF(OR(C1231=0,CFG_PeriodEnd=""),"",CFG_PeriodEnd-D1231)</f>
        <v/>
      </c>
      <c r="J1231" s="5" t="str">
        <f aca="false">IF(C1231=0,"",IF($A1231="Bank",IF(INDEX(Bank!$G:$G,$C1231)="","",INDEX(Bank!$G:$G,$C1231)),IF(INDEX(GL!$G:$G,$C1231)="","",INDEX(GL!$G:$G,$C1231))))</f>
        <v/>
      </c>
      <c r="K1231" s="5" t="str">
        <f aca="false">IF(C1231=0,"",IF($A1231="Bank",IF(INDEX(Bank!$I:$I,$C1231)="","",INDEX(Bank!$I:$I,$C1231)),IF(INDEX(GL!$I:$I,$C1231)="","",INDEX(GL!$I:$I,$C1231))))</f>
        <v/>
      </c>
      <c r="L1231" s="5" t="str">
        <f aca="false">IF(B1231="","",IF(C1231=0,"NOT FOUND",IF(IF($A1231="Bank",INDEX(Bank!$F:$F,$C1231),INDEX(GL!$F:$F,$C1231))="Y","NOW RECONCILED: refresh","OK")))</f>
        <v/>
      </c>
    </row>
    <row r="1232" customFormat="false" ht="15" hidden="false" customHeight="false" outlineLevel="0" collapsed="false">
      <c r="A1232" s="41"/>
      <c r="B1232" s="41"/>
      <c r="C1232" s="5" t="n">
        <f aca="false">IF(B1232="",0,IF(A1232="Bank",IFERROR(MATCH(B1232,Bank!$A:$A,0),0),IFERROR(MATCH(B1232,GL!$A:$A,0),0)))</f>
        <v>0</v>
      </c>
      <c r="D1232" s="32" t="str">
        <f aca="false">IF(C1232=0,"",IF($A1232="Bank",INDEX(Bank!$B:$B,$C1232),INDEX(GL!$B:$B,$C1232)))</f>
        <v/>
      </c>
      <c r="E1232" s="5" t="str">
        <f aca="false">IF(C1232=0,"",IF($A1232="Bank",IF(INDEX(Bank!$C:$C,$C1232)="","",INDEX(Bank!$C:$C,$C1232)),IF(INDEX(GL!$C:$C,$C1232)="","",INDEX(GL!$C:$C,$C1232))))</f>
        <v/>
      </c>
      <c r="F1232" s="5" t="str">
        <f aca="false">IF(C1232=0,"",IF($A1232="Bank",IF(INDEX(Bank!$D:$D,$C1232)="","",INDEX(Bank!$D:$D,$C1232)),IF(INDEX(GL!$D:$D,$C1232)="","",INDEX(GL!$D:$D,$C1232))))</f>
        <v/>
      </c>
      <c r="G1232" s="19" t="str">
        <f aca="false">IF(C1232=0,"",IF($A1232="Bank",INDEX(Bank!$E:$E,$C1232),INDEX(GL!$E:$E,$C1232)))</f>
        <v/>
      </c>
      <c r="H1232" s="5" t="str">
        <f aca="false">IF(C1232=0,"",IF(A1232="GL",IF(G1232&gt;0,"Deposit in transit","Outstanding check / payment"),IF(G1232&gt;0,"Bank credit not in GL","Bank debit not in GL")))</f>
        <v/>
      </c>
      <c r="I1232" s="42" t="str">
        <f aca="false">IF(OR(C1232=0,CFG_PeriodEnd=""),"",CFG_PeriodEnd-D1232)</f>
        <v/>
      </c>
      <c r="J1232" s="5" t="str">
        <f aca="false">IF(C1232=0,"",IF($A1232="Bank",IF(INDEX(Bank!$G:$G,$C1232)="","",INDEX(Bank!$G:$G,$C1232)),IF(INDEX(GL!$G:$G,$C1232)="","",INDEX(GL!$G:$G,$C1232))))</f>
        <v/>
      </c>
      <c r="K1232" s="5" t="str">
        <f aca="false">IF(C1232=0,"",IF($A1232="Bank",IF(INDEX(Bank!$I:$I,$C1232)="","",INDEX(Bank!$I:$I,$C1232)),IF(INDEX(GL!$I:$I,$C1232)="","",INDEX(GL!$I:$I,$C1232))))</f>
        <v/>
      </c>
      <c r="L1232" s="5" t="str">
        <f aca="false">IF(B1232="","",IF(C1232=0,"NOT FOUND",IF(IF($A1232="Bank",INDEX(Bank!$F:$F,$C1232),INDEX(GL!$F:$F,$C1232))="Y","NOW RECONCILED: refresh","OK")))</f>
        <v/>
      </c>
    </row>
    <row r="1233" customFormat="false" ht="15" hidden="false" customHeight="false" outlineLevel="0" collapsed="false">
      <c r="A1233" s="41"/>
      <c r="B1233" s="41"/>
      <c r="C1233" s="5" t="n">
        <f aca="false">IF(B1233="",0,IF(A1233="Bank",IFERROR(MATCH(B1233,Bank!$A:$A,0),0),IFERROR(MATCH(B1233,GL!$A:$A,0),0)))</f>
        <v>0</v>
      </c>
      <c r="D1233" s="32" t="str">
        <f aca="false">IF(C1233=0,"",IF($A1233="Bank",INDEX(Bank!$B:$B,$C1233),INDEX(GL!$B:$B,$C1233)))</f>
        <v/>
      </c>
      <c r="E1233" s="5" t="str">
        <f aca="false">IF(C1233=0,"",IF($A1233="Bank",IF(INDEX(Bank!$C:$C,$C1233)="","",INDEX(Bank!$C:$C,$C1233)),IF(INDEX(GL!$C:$C,$C1233)="","",INDEX(GL!$C:$C,$C1233))))</f>
        <v/>
      </c>
      <c r="F1233" s="5" t="str">
        <f aca="false">IF(C1233=0,"",IF($A1233="Bank",IF(INDEX(Bank!$D:$D,$C1233)="","",INDEX(Bank!$D:$D,$C1233)),IF(INDEX(GL!$D:$D,$C1233)="","",INDEX(GL!$D:$D,$C1233))))</f>
        <v/>
      </c>
      <c r="G1233" s="19" t="str">
        <f aca="false">IF(C1233=0,"",IF($A1233="Bank",INDEX(Bank!$E:$E,$C1233),INDEX(GL!$E:$E,$C1233)))</f>
        <v/>
      </c>
      <c r="H1233" s="5" t="str">
        <f aca="false">IF(C1233=0,"",IF(A1233="GL",IF(G1233&gt;0,"Deposit in transit","Outstanding check / payment"),IF(G1233&gt;0,"Bank credit not in GL","Bank debit not in GL")))</f>
        <v/>
      </c>
      <c r="I1233" s="42" t="str">
        <f aca="false">IF(OR(C1233=0,CFG_PeriodEnd=""),"",CFG_PeriodEnd-D1233)</f>
        <v/>
      </c>
      <c r="J1233" s="5" t="str">
        <f aca="false">IF(C1233=0,"",IF($A1233="Bank",IF(INDEX(Bank!$G:$G,$C1233)="","",INDEX(Bank!$G:$G,$C1233)),IF(INDEX(GL!$G:$G,$C1233)="","",INDEX(GL!$G:$G,$C1233))))</f>
        <v/>
      </c>
      <c r="K1233" s="5" t="str">
        <f aca="false">IF(C1233=0,"",IF($A1233="Bank",IF(INDEX(Bank!$I:$I,$C1233)="","",INDEX(Bank!$I:$I,$C1233)),IF(INDEX(GL!$I:$I,$C1233)="","",INDEX(GL!$I:$I,$C1233))))</f>
        <v/>
      </c>
      <c r="L1233" s="5" t="str">
        <f aca="false">IF(B1233="","",IF(C1233=0,"NOT FOUND",IF(IF($A1233="Bank",INDEX(Bank!$F:$F,$C1233),INDEX(GL!$F:$F,$C1233))="Y","NOW RECONCILED: refresh","OK")))</f>
        <v/>
      </c>
    </row>
    <row r="1234" customFormat="false" ht="15" hidden="false" customHeight="false" outlineLevel="0" collapsed="false">
      <c r="A1234" s="41"/>
      <c r="B1234" s="41"/>
      <c r="C1234" s="5" t="n">
        <f aca="false">IF(B1234="",0,IF(A1234="Bank",IFERROR(MATCH(B1234,Bank!$A:$A,0),0),IFERROR(MATCH(B1234,GL!$A:$A,0),0)))</f>
        <v>0</v>
      </c>
      <c r="D1234" s="32" t="str">
        <f aca="false">IF(C1234=0,"",IF($A1234="Bank",INDEX(Bank!$B:$B,$C1234),INDEX(GL!$B:$B,$C1234)))</f>
        <v/>
      </c>
      <c r="E1234" s="5" t="str">
        <f aca="false">IF(C1234=0,"",IF($A1234="Bank",IF(INDEX(Bank!$C:$C,$C1234)="","",INDEX(Bank!$C:$C,$C1234)),IF(INDEX(GL!$C:$C,$C1234)="","",INDEX(GL!$C:$C,$C1234))))</f>
        <v/>
      </c>
      <c r="F1234" s="5" t="str">
        <f aca="false">IF(C1234=0,"",IF($A1234="Bank",IF(INDEX(Bank!$D:$D,$C1234)="","",INDEX(Bank!$D:$D,$C1234)),IF(INDEX(GL!$D:$D,$C1234)="","",INDEX(GL!$D:$D,$C1234))))</f>
        <v/>
      </c>
      <c r="G1234" s="19" t="str">
        <f aca="false">IF(C1234=0,"",IF($A1234="Bank",INDEX(Bank!$E:$E,$C1234),INDEX(GL!$E:$E,$C1234)))</f>
        <v/>
      </c>
      <c r="H1234" s="5" t="str">
        <f aca="false">IF(C1234=0,"",IF(A1234="GL",IF(G1234&gt;0,"Deposit in transit","Outstanding check / payment"),IF(G1234&gt;0,"Bank credit not in GL","Bank debit not in GL")))</f>
        <v/>
      </c>
      <c r="I1234" s="42" t="str">
        <f aca="false">IF(OR(C1234=0,CFG_PeriodEnd=""),"",CFG_PeriodEnd-D1234)</f>
        <v/>
      </c>
      <c r="J1234" s="5" t="str">
        <f aca="false">IF(C1234=0,"",IF($A1234="Bank",IF(INDEX(Bank!$G:$G,$C1234)="","",INDEX(Bank!$G:$G,$C1234)),IF(INDEX(GL!$G:$G,$C1234)="","",INDEX(GL!$G:$G,$C1234))))</f>
        <v/>
      </c>
      <c r="K1234" s="5" t="str">
        <f aca="false">IF(C1234=0,"",IF($A1234="Bank",IF(INDEX(Bank!$I:$I,$C1234)="","",INDEX(Bank!$I:$I,$C1234)),IF(INDEX(GL!$I:$I,$C1234)="","",INDEX(GL!$I:$I,$C1234))))</f>
        <v/>
      </c>
      <c r="L1234" s="5" t="str">
        <f aca="false">IF(B1234="","",IF(C1234=0,"NOT FOUND",IF(IF($A1234="Bank",INDEX(Bank!$F:$F,$C1234),INDEX(GL!$F:$F,$C1234))="Y","NOW RECONCILED: refresh","OK")))</f>
        <v/>
      </c>
    </row>
    <row r="1235" customFormat="false" ht="15" hidden="false" customHeight="false" outlineLevel="0" collapsed="false">
      <c r="A1235" s="41"/>
      <c r="B1235" s="41"/>
      <c r="C1235" s="5" t="n">
        <f aca="false">IF(B1235="",0,IF(A1235="Bank",IFERROR(MATCH(B1235,Bank!$A:$A,0),0),IFERROR(MATCH(B1235,GL!$A:$A,0),0)))</f>
        <v>0</v>
      </c>
      <c r="D1235" s="32" t="str">
        <f aca="false">IF(C1235=0,"",IF($A1235="Bank",INDEX(Bank!$B:$B,$C1235),INDEX(GL!$B:$B,$C1235)))</f>
        <v/>
      </c>
      <c r="E1235" s="5" t="str">
        <f aca="false">IF(C1235=0,"",IF($A1235="Bank",IF(INDEX(Bank!$C:$C,$C1235)="","",INDEX(Bank!$C:$C,$C1235)),IF(INDEX(GL!$C:$C,$C1235)="","",INDEX(GL!$C:$C,$C1235))))</f>
        <v/>
      </c>
      <c r="F1235" s="5" t="str">
        <f aca="false">IF(C1235=0,"",IF($A1235="Bank",IF(INDEX(Bank!$D:$D,$C1235)="","",INDEX(Bank!$D:$D,$C1235)),IF(INDEX(GL!$D:$D,$C1235)="","",INDEX(GL!$D:$D,$C1235))))</f>
        <v/>
      </c>
      <c r="G1235" s="19" t="str">
        <f aca="false">IF(C1235=0,"",IF($A1235="Bank",INDEX(Bank!$E:$E,$C1235),INDEX(GL!$E:$E,$C1235)))</f>
        <v/>
      </c>
      <c r="H1235" s="5" t="str">
        <f aca="false">IF(C1235=0,"",IF(A1235="GL",IF(G1235&gt;0,"Deposit in transit","Outstanding check / payment"),IF(G1235&gt;0,"Bank credit not in GL","Bank debit not in GL")))</f>
        <v/>
      </c>
      <c r="I1235" s="42" t="str">
        <f aca="false">IF(OR(C1235=0,CFG_PeriodEnd=""),"",CFG_PeriodEnd-D1235)</f>
        <v/>
      </c>
      <c r="J1235" s="5" t="str">
        <f aca="false">IF(C1235=0,"",IF($A1235="Bank",IF(INDEX(Bank!$G:$G,$C1235)="","",INDEX(Bank!$G:$G,$C1235)),IF(INDEX(GL!$G:$G,$C1235)="","",INDEX(GL!$G:$G,$C1235))))</f>
        <v/>
      </c>
      <c r="K1235" s="5" t="str">
        <f aca="false">IF(C1235=0,"",IF($A1235="Bank",IF(INDEX(Bank!$I:$I,$C1235)="","",INDEX(Bank!$I:$I,$C1235)),IF(INDEX(GL!$I:$I,$C1235)="","",INDEX(GL!$I:$I,$C1235))))</f>
        <v/>
      </c>
      <c r="L1235" s="5" t="str">
        <f aca="false">IF(B1235="","",IF(C1235=0,"NOT FOUND",IF(IF($A1235="Bank",INDEX(Bank!$F:$F,$C1235),INDEX(GL!$F:$F,$C1235))="Y","NOW RECONCILED: refresh","OK")))</f>
        <v/>
      </c>
    </row>
    <row r="1236" customFormat="false" ht="15" hidden="false" customHeight="false" outlineLevel="0" collapsed="false">
      <c r="A1236" s="41"/>
      <c r="B1236" s="41"/>
      <c r="C1236" s="5" t="n">
        <f aca="false">IF(B1236="",0,IF(A1236="Bank",IFERROR(MATCH(B1236,Bank!$A:$A,0),0),IFERROR(MATCH(B1236,GL!$A:$A,0),0)))</f>
        <v>0</v>
      </c>
      <c r="D1236" s="32" t="str">
        <f aca="false">IF(C1236=0,"",IF($A1236="Bank",INDEX(Bank!$B:$B,$C1236),INDEX(GL!$B:$B,$C1236)))</f>
        <v/>
      </c>
      <c r="E1236" s="5" t="str">
        <f aca="false">IF(C1236=0,"",IF($A1236="Bank",IF(INDEX(Bank!$C:$C,$C1236)="","",INDEX(Bank!$C:$C,$C1236)),IF(INDEX(GL!$C:$C,$C1236)="","",INDEX(GL!$C:$C,$C1236))))</f>
        <v/>
      </c>
      <c r="F1236" s="5" t="str">
        <f aca="false">IF(C1236=0,"",IF($A1236="Bank",IF(INDEX(Bank!$D:$D,$C1236)="","",INDEX(Bank!$D:$D,$C1236)),IF(INDEX(GL!$D:$D,$C1236)="","",INDEX(GL!$D:$D,$C1236))))</f>
        <v/>
      </c>
      <c r="G1236" s="19" t="str">
        <f aca="false">IF(C1236=0,"",IF($A1236="Bank",INDEX(Bank!$E:$E,$C1236),INDEX(GL!$E:$E,$C1236)))</f>
        <v/>
      </c>
      <c r="H1236" s="5" t="str">
        <f aca="false">IF(C1236=0,"",IF(A1236="GL",IF(G1236&gt;0,"Deposit in transit","Outstanding check / payment"),IF(G1236&gt;0,"Bank credit not in GL","Bank debit not in GL")))</f>
        <v/>
      </c>
      <c r="I1236" s="42" t="str">
        <f aca="false">IF(OR(C1236=0,CFG_PeriodEnd=""),"",CFG_PeriodEnd-D1236)</f>
        <v/>
      </c>
      <c r="J1236" s="5" t="str">
        <f aca="false">IF(C1236=0,"",IF($A1236="Bank",IF(INDEX(Bank!$G:$G,$C1236)="","",INDEX(Bank!$G:$G,$C1236)),IF(INDEX(GL!$G:$G,$C1236)="","",INDEX(GL!$G:$G,$C1236))))</f>
        <v/>
      </c>
      <c r="K1236" s="5" t="str">
        <f aca="false">IF(C1236=0,"",IF($A1236="Bank",IF(INDEX(Bank!$I:$I,$C1236)="","",INDEX(Bank!$I:$I,$C1236)),IF(INDEX(GL!$I:$I,$C1236)="","",INDEX(GL!$I:$I,$C1236))))</f>
        <v/>
      </c>
      <c r="L1236" s="5" t="str">
        <f aca="false">IF(B1236="","",IF(C1236=0,"NOT FOUND",IF(IF($A1236="Bank",INDEX(Bank!$F:$F,$C1236),INDEX(GL!$F:$F,$C1236))="Y","NOW RECONCILED: refresh","OK")))</f>
        <v/>
      </c>
    </row>
    <row r="1237" customFormat="false" ht="15" hidden="false" customHeight="false" outlineLevel="0" collapsed="false">
      <c r="A1237" s="41"/>
      <c r="B1237" s="41"/>
      <c r="C1237" s="5" t="n">
        <f aca="false">IF(B1237="",0,IF(A1237="Bank",IFERROR(MATCH(B1237,Bank!$A:$A,0),0),IFERROR(MATCH(B1237,GL!$A:$A,0),0)))</f>
        <v>0</v>
      </c>
      <c r="D1237" s="32" t="str">
        <f aca="false">IF(C1237=0,"",IF($A1237="Bank",INDEX(Bank!$B:$B,$C1237),INDEX(GL!$B:$B,$C1237)))</f>
        <v/>
      </c>
      <c r="E1237" s="5" t="str">
        <f aca="false">IF(C1237=0,"",IF($A1237="Bank",IF(INDEX(Bank!$C:$C,$C1237)="","",INDEX(Bank!$C:$C,$C1237)),IF(INDEX(GL!$C:$C,$C1237)="","",INDEX(GL!$C:$C,$C1237))))</f>
        <v/>
      </c>
      <c r="F1237" s="5" t="str">
        <f aca="false">IF(C1237=0,"",IF($A1237="Bank",IF(INDEX(Bank!$D:$D,$C1237)="","",INDEX(Bank!$D:$D,$C1237)),IF(INDEX(GL!$D:$D,$C1237)="","",INDEX(GL!$D:$D,$C1237))))</f>
        <v/>
      </c>
      <c r="G1237" s="19" t="str">
        <f aca="false">IF(C1237=0,"",IF($A1237="Bank",INDEX(Bank!$E:$E,$C1237),INDEX(GL!$E:$E,$C1237)))</f>
        <v/>
      </c>
      <c r="H1237" s="5" t="str">
        <f aca="false">IF(C1237=0,"",IF(A1237="GL",IF(G1237&gt;0,"Deposit in transit","Outstanding check / payment"),IF(G1237&gt;0,"Bank credit not in GL","Bank debit not in GL")))</f>
        <v/>
      </c>
      <c r="I1237" s="42" t="str">
        <f aca="false">IF(OR(C1237=0,CFG_PeriodEnd=""),"",CFG_PeriodEnd-D1237)</f>
        <v/>
      </c>
      <c r="J1237" s="5" t="str">
        <f aca="false">IF(C1237=0,"",IF($A1237="Bank",IF(INDEX(Bank!$G:$G,$C1237)="","",INDEX(Bank!$G:$G,$C1237)),IF(INDEX(GL!$G:$G,$C1237)="","",INDEX(GL!$G:$G,$C1237))))</f>
        <v/>
      </c>
      <c r="K1237" s="5" t="str">
        <f aca="false">IF(C1237=0,"",IF($A1237="Bank",IF(INDEX(Bank!$I:$I,$C1237)="","",INDEX(Bank!$I:$I,$C1237)),IF(INDEX(GL!$I:$I,$C1237)="","",INDEX(GL!$I:$I,$C1237))))</f>
        <v/>
      </c>
      <c r="L1237" s="5" t="str">
        <f aca="false">IF(B1237="","",IF(C1237=0,"NOT FOUND",IF(IF($A1237="Bank",INDEX(Bank!$F:$F,$C1237),INDEX(GL!$F:$F,$C1237))="Y","NOW RECONCILED: refresh","OK")))</f>
        <v/>
      </c>
    </row>
    <row r="1238" customFormat="false" ht="15" hidden="false" customHeight="false" outlineLevel="0" collapsed="false">
      <c r="A1238" s="41"/>
      <c r="B1238" s="41"/>
      <c r="C1238" s="5" t="n">
        <f aca="false">IF(B1238="",0,IF(A1238="Bank",IFERROR(MATCH(B1238,Bank!$A:$A,0),0),IFERROR(MATCH(B1238,GL!$A:$A,0),0)))</f>
        <v>0</v>
      </c>
      <c r="D1238" s="32" t="str">
        <f aca="false">IF(C1238=0,"",IF($A1238="Bank",INDEX(Bank!$B:$B,$C1238),INDEX(GL!$B:$B,$C1238)))</f>
        <v/>
      </c>
      <c r="E1238" s="5" t="str">
        <f aca="false">IF(C1238=0,"",IF($A1238="Bank",IF(INDEX(Bank!$C:$C,$C1238)="","",INDEX(Bank!$C:$C,$C1238)),IF(INDEX(GL!$C:$C,$C1238)="","",INDEX(GL!$C:$C,$C1238))))</f>
        <v/>
      </c>
      <c r="F1238" s="5" t="str">
        <f aca="false">IF(C1238=0,"",IF($A1238="Bank",IF(INDEX(Bank!$D:$D,$C1238)="","",INDEX(Bank!$D:$D,$C1238)),IF(INDEX(GL!$D:$D,$C1238)="","",INDEX(GL!$D:$D,$C1238))))</f>
        <v/>
      </c>
      <c r="G1238" s="19" t="str">
        <f aca="false">IF(C1238=0,"",IF($A1238="Bank",INDEX(Bank!$E:$E,$C1238),INDEX(GL!$E:$E,$C1238)))</f>
        <v/>
      </c>
      <c r="H1238" s="5" t="str">
        <f aca="false">IF(C1238=0,"",IF(A1238="GL",IF(G1238&gt;0,"Deposit in transit","Outstanding check / payment"),IF(G1238&gt;0,"Bank credit not in GL","Bank debit not in GL")))</f>
        <v/>
      </c>
      <c r="I1238" s="42" t="str">
        <f aca="false">IF(OR(C1238=0,CFG_PeriodEnd=""),"",CFG_PeriodEnd-D1238)</f>
        <v/>
      </c>
      <c r="J1238" s="5" t="str">
        <f aca="false">IF(C1238=0,"",IF($A1238="Bank",IF(INDEX(Bank!$G:$G,$C1238)="","",INDEX(Bank!$G:$G,$C1238)),IF(INDEX(GL!$G:$G,$C1238)="","",INDEX(GL!$G:$G,$C1238))))</f>
        <v/>
      </c>
      <c r="K1238" s="5" t="str">
        <f aca="false">IF(C1238=0,"",IF($A1238="Bank",IF(INDEX(Bank!$I:$I,$C1238)="","",INDEX(Bank!$I:$I,$C1238)),IF(INDEX(GL!$I:$I,$C1238)="","",INDEX(GL!$I:$I,$C1238))))</f>
        <v/>
      </c>
      <c r="L1238" s="5" t="str">
        <f aca="false">IF(B1238="","",IF(C1238=0,"NOT FOUND",IF(IF($A1238="Bank",INDEX(Bank!$F:$F,$C1238),INDEX(GL!$F:$F,$C1238))="Y","NOW RECONCILED: refresh","OK")))</f>
        <v/>
      </c>
    </row>
    <row r="1239" customFormat="false" ht="15" hidden="false" customHeight="false" outlineLevel="0" collapsed="false">
      <c r="A1239" s="41"/>
      <c r="B1239" s="41"/>
      <c r="C1239" s="5" t="n">
        <f aca="false">IF(B1239="",0,IF(A1239="Bank",IFERROR(MATCH(B1239,Bank!$A:$A,0),0),IFERROR(MATCH(B1239,GL!$A:$A,0),0)))</f>
        <v>0</v>
      </c>
      <c r="D1239" s="32" t="str">
        <f aca="false">IF(C1239=0,"",IF($A1239="Bank",INDEX(Bank!$B:$B,$C1239),INDEX(GL!$B:$B,$C1239)))</f>
        <v/>
      </c>
      <c r="E1239" s="5" t="str">
        <f aca="false">IF(C1239=0,"",IF($A1239="Bank",IF(INDEX(Bank!$C:$C,$C1239)="","",INDEX(Bank!$C:$C,$C1239)),IF(INDEX(GL!$C:$C,$C1239)="","",INDEX(GL!$C:$C,$C1239))))</f>
        <v/>
      </c>
      <c r="F1239" s="5" t="str">
        <f aca="false">IF(C1239=0,"",IF($A1239="Bank",IF(INDEX(Bank!$D:$D,$C1239)="","",INDEX(Bank!$D:$D,$C1239)),IF(INDEX(GL!$D:$D,$C1239)="","",INDEX(GL!$D:$D,$C1239))))</f>
        <v/>
      </c>
      <c r="G1239" s="19" t="str">
        <f aca="false">IF(C1239=0,"",IF($A1239="Bank",INDEX(Bank!$E:$E,$C1239),INDEX(GL!$E:$E,$C1239)))</f>
        <v/>
      </c>
      <c r="H1239" s="5" t="str">
        <f aca="false">IF(C1239=0,"",IF(A1239="GL",IF(G1239&gt;0,"Deposit in transit","Outstanding check / payment"),IF(G1239&gt;0,"Bank credit not in GL","Bank debit not in GL")))</f>
        <v/>
      </c>
      <c r="I1239" s="42" t="str">
        <f aca="false">IF(OR(C1239=0,CFG_PeriodEnd=""),"",CFG_PeriodEnd-D1239)</f>
        <v/>
      </c>
      <c r="J1239" s="5" t="str">
        <f aca="false">IF(C1239=0,"",IF($A1239="Bank",IF(INDEX(Bank!$G:$G,$C1239)="","",INDEX(Bank!$G:$G,$C1239)),IF(INDEX(GL!$G:$G,$C1239)="","",INDEX(GL!$G:$G,$C1239))))</f>
        <v/>
      </c>
      <c r="K1239" s="5" t="str">
        <f aca="false">IF(C1239=0,"",IF($A1239="Bank",IF(INDEX(Bank!$I:$I,$C1239)="","",INDEX(Bank!$I:$I,$C1239)),IF(INDEX(GL!$I:$I,$C1239)="","",INDEX(GL!$I:$I,$C1239))))</f>
        <v/>
      </c>
      <c r="L1239" s="5" t="str">
        <f aca="false">IF(B1239="","",IF(C1239=0,"NOT FOUND",IF(IF($A1239="Bank",INDEX(Bank!$F:$F,$C1239),INDEX(GL!$F:$F,$C1239))="Y","NOW RECONCILED: refresh","OK")))</f>
        <v/>
      </c>
    </row>
    <row r="1240" customFormat="false" ht="15" hidden="false" customHeight="false" outlineLevel="0" collapsed="false">
      <c r="A1240" s="41"/>
      <c r="B1240" s="41"/>
      <c r="C1240" s="5" t="n">
        <f aca="false">IF(B1240="",0,IF(A1240="Bank",IFERROR(MATCH(B1240,Bank!$A:$A,0),0),IFERROR(MATCH(B1240,GL!$A:$A,0),0)))</f>
        <v>0</v>
      </c>
      <c r="D1240" s="32" t="str">
        <f aca="false">IF(C1240=0,"",IF($A1240="Bank",INDEX(Bank!$B:$B,$C1240),INDEX(GL!$B:$B,$C1240)))</f>
        <v/>
      </c>
      <c r="E1240" s="5" t="str">
        <f aca="false">IF(C1240=0,"",IF($A1240="Bank",IF(INDEX(Bank!$C:$C,$C1240)="","",INDEX(Bank!$C:$C,$C1240)),IF(INDEX(GL!$C:$C,$C1240)="","",INDEX(GL!$C:$C,$C1240))))</f>
        <v/>
      </c>
      <c r="F1240" s="5" t="str">
        <f aca="false">IF(C1240=0,"",IF($A1240="Bank",IF(INDEX(Bank!$D:$D,$C1240)="","",INDEX(Bank!$D:$D,$C1240)),IF(INDEX(GL!$D:$D,$C1240)="","",INDEX(GL!$D:$D,$C1240))))</f>
        <v/>
      </c>
      <c r="G1240" s="19" t="str">
        <f aca="false">IF(C1240=0,"",IF($A1240="Bank",INDEX(Bank!$E:$E,$C1240),INDEX(GL!$E:$E,$C1240)))</f>
        <v/>
      </c>
      <c r="H1240" s="5" t="str">
        <f aca="false">IF(C1240=0,"",IF(A1240="GL",IF(G1240&gt;0,"Deposit in transit","Outstanding check / payment"),IF(G1240&gt;0,"Bank credit not in GL","Bank debit not in GL")))</f>
        <v/>
      </c>
      <c r="I1240" s="42" t="str">
        <f aca="false">IF(OR(C1240=0,CFG_PeriodEnd=""),"",CFG_PeriodEnd-D1240)</f>
        <v/>
      </c>
      <c r="J1240" s="5" t="str">
        <f aca="false">IF(C1240=0,"",IF($A1240="Bank",IF(INDEX(Bank!$G:$G,$C1240)="","",INDEX(Bank!$G:$G,$C1240)),IF(INDEX(GL!$G:$G,$C1240)="","",INDEX(GL!$G:$G,$C1240))))</f>
        <v/>
      </c>
      <c r="K1240" s="5" t="str">
        <f aca="false">IF(C1240=0,"",IF($A1240="Bank",IF(INDEX(Bank!$I:$I,$C1240)="","",INDEX(Bank!$I:$I,$C1240)),IF(INDEX(GL!$I:$I,$C1240)="","",INDEX(GL!$I:$I,$C1240))))</f>
        <v/>
      </c>
      <c r="L1240" s="5" t="str">
        <f aca="false">IF(B1240="","",IF(C1240=0,"NOT FOUND",IF(IF($A1240="Bank",INDEX(Bank!$F:$F,$C1240),INDEX(GL!$F:$F,$C1240))="Y","NOW RECONCILED: refresh","OK")))</f>
        <v/>
      </c>
    </row>
    <row r="1241" customFormat="false" ht="15" hidden="false" customHeight="false" outlineLevel="0" collapsed="false">
      <c r="A1241" s="41"/>
      <c r="B1241" s="41"/>
      <c r="C1241" s="5" t="n">
        <f aca="false">IF(B1241="",0,IF(A1241="Bank",IFERROR(MATCH(B1241,Bank!$A:$A,0),0),IFERROR(MATCH(B1241,GL!$A:$A,0),0)))</f>
        <v>0</v>
      </c>
      <c r="D1241" s="32" t="str">
        <f aca="false">IF(C1241=0,"",IF($A1241="Bank",INDEX(Bank!$B:$B,$C1241),INDEX(GL!$B:$B,$C1241)))</f>
        <v/>
      </c>
      <c r="E1241" s="5" t="str">
        <f aca="false">IF(C1241=0,"",IF($A1241="Bank",IF(INDEX(Bank!$C:$C,$C1241)="","",INDEX(Bank!$C:$C,$C1241)),IF(INDEX(GL!$C:$C,$C1241)="","",INDEX(GL!$C:$C,$C1241))))</f>
        <v/>
      </c>
      <c r="F1241" s="5" t="str">
        <f aca="false">IF(C1241=0,"",IF($A1241="Bank",IF(INDEX(Bank!$D:$D,$C1241)="","",INDEX(Bank!$D:$D,$C1241)),IF(INDEX(GL!$D:$D,$C1241)="","",INDEX(GL!$D:$D,$C1241))))</f>
        <v/>
      </c>
      <c r="G1241" s="19" t="str">
        <f aca="false">IF(C1241=0,"",IF($A1241="Bank",INDEX(Bank!$E:$E,$C1241),INDEX(GL!$E:$E,$C1241)))</f>
        <v/>
      </c>
      <c r="H1241" s="5" t="str">
        <f aca="false">IF(C1241=0,"",IF(A1241="GL",IF(G1241&gt;0,"Deposit in transit","Outstanding check / payment"),IF(G1241&gt;0,"Bank credit not in GL","Bank debit not in GL")))</f>
        <v/>
      </c>
      <c r="I1241" s="42" t="str">
        <f aca="false">IF(OR(C1241=0,CFG_PeriodEnd=""),"",CFG_PeriodEnd-D1241)</f>
        <v/>
      </c>
      <c r="J1241" s="5" t="str">
        <f aca="false">IF(C1241=0,"",IF($A1241="Bank",IF(INDEX(Bank!$G:$G,$C1241)="","",INDEX(Bank!$G:$G,$C1241)),IF(INDEX(GL!$G:$G,$C1241)="","",INDEX(GL!$G:$G,$C1241))))</f>
        <v/>
      </c>
      <c r="K1241" s="5" t="str">
        <f aca="false">IF(C1241=0,"",IF($A1241="Bank",IF(INDEX(Bank!$I:$I,$C1241)="","",INDEX(Bank!$I:$I,$C1241)),IF(INDEX(GL!$I:$I,$C1241)="","",INDEX(GL!$I:$I,$C1241))))</f>
        <v/>
      </c>
      <c r="L1241" s="5" t="str">
        <f aca="false">IF(B1241="","",IF(C1241=0,"NOT FOUND",IF(IF($A1241="Bank",INDEX(Bank!$F:$F,$C1241),INDEX(GL!$F:$F,$C1241))="Y","NOW RECONCILED: refresh","OK")))</f>
        <v/>
      </c>
    </row>
    <row r="1242" customFormat="false" ht="15" hidden="false" customHeight="false" outlineLevel="0" collapsed="false">
      <c r="A1242" s="41"/>
      <c r="B1242" s="41"/>
      <c r="C1242" s="5" t="n">
        <f aca="false">IF(B1242="",0,IF(A1242="Bank",IFERROR(MATCH(B1242,Bank!$A:$A,0),0),IFERROR(MATCH(B1242,GL!$A:$A,0),0)))</f>
        <v>0</v>
      </c>
      <c r="D1242" s="32" t="str">
        <f aca="false">IF(C1242=0,"",IF($A1242="Bank",INDEX(Bank!$B:$B,$C1242),INDEX(GL!$B:$B,$C1242)))</f>
        <v/>
      </c>
      <c r="E1242" s="5" t="str">
        <f aca="false">IF(C1242=0,"",IF($A1242="Bank",IF(INDEX(Bank!$C:$C,$C1242)="","",INDEX(Bank!$C:$C,$C1242)),IF(INDEX(GL!$C:$C,$C1242)="","",INDEX(GL!$C:$C,$C1242))))</f>
        <v/>
      </c>
      <c r="F1242" s="5" t="str">
        <f aca="false">IF(C1242=0,"",IF($A1242="Bank",IF(INDEX(Bank!$D:$D,$C1242)="","",INDEX(Bank!$D:$D,$C1242)),IF(INDEX(GL!$D:$D,$C1242)="","",INDEX(GL!$D:$D,$C1242))))</f>
        <v/>
      </c>
      <c r="G1242" s="19" t="str">
        <f aca="false">IF(C1242=0,"",IF($A1242="Bank",INDEX(Bank!$E:$E,$C1242),INDEX(GL!$E:$E,$C1242)))</f>
        <v/>
      </c>
      <c r="H1242" s="5" t="str">
        <f aca="false">IF(C1242=0,"",IF(A1242="GL",IF(G1242&gt;0,"Deposit in transit","Outstanding check / payment"),IF(G1242&gt;0,"Bank credit not in GL","Bank debit not in GL")))</f>
        <v/>
      </c>
      <c r="I1242" s="42" t="str">
        <f aca="false">IF(OR(C1242=0,CFG_PeriodEnd=""),"",CFG_PeriodEnd-D1242)</f>
        <v/>
      </c>
      <c r="J1242" s="5" t="str">
        <f aca="false">IF(C1242=0,"",IF($A1242="Bank",IF(INDEX(Bank!$G:$G,$C1242)="","",INDEX(Bank!$G:$G,$C1242)),IF(INDEX(GL!$G:$G,$C1242)="","",INDEX(GL!$G:$G,$C1242))))</f>
        <v/>
      </c>
      <c r="K1242" s="5" t="str">
        <f aca="false">IF(C1242=0,"",IF($A1242="Bank",IF(INDEX(Bank!$I:$I,$C1242)="","",INDEX(Bank!$I:$I,$C1242)),IF(INDEX(GL!$I:$I,$C1242)="","",INDEX(GL!$I:$I,$C1242))))</f>
        <v/>
      </c>
      <c r="L1242" s="5" t="str">
        <f aca="false">IF(B1242="","",IF(C1242=0,"NOT FOUND",IF(IF($A1242="Bank",INDEX(Bank!$F:$F,$C1242),INDEX(GL!$F:$F,$C1242))="Y","NOW RECONCILED: refresh","OK")))</f>
        <v/>
      </c>
    </row>
    <row r="1243" customFormat="false" ht="15" hidden="false" customHeight="false" outlineLevel="0" collapsed="false">
      <c r="A1243" s="41"/>
      <c r="B1243" s="41"/>
      <c r="C1243" s="5" t="n">
        <f aca="false">IF(B1243="",0,IF(A1243="Bank",IFERROR(MATCH(B1243,Bank!$A:$A,0),0),IFERROR(MATCH(B1243,GL!$A:$A,0),0)))</f>
        <v>0</v>
      </c>
      <c r="D1243" s="32" t="str">
        <f aca="false">IF(C1243=0,"",IF($A1243="Bank",INDEX(Bank!$B:$B,$C1243),INDEX(GL!$B:$B,$C1243)))</f>
        <v/>
      </c>
      <c r="E1243" s="5" t="str">
        <f aca="false">IF(C1243=0,"",IF($A1243="Bank",IF(INDEX(Bank!$C:$C,$C1243)="","",INDEX(Bank!$C:$C,$C1243)),IF(INDEX(GL!$C:$C,$C1243)="","",INDEX(GL!$C:$C,$C1243))))</f>
        <v/>
      </c>
      <c r="F1243" s="5" t="str">
        <f aca="false">IF(C1243=0,"",IF($A1243="Bank",IF(INDEX(Bank!$D:$D,$C1243)="","",INDEX(Bank!$D:$D,$C1243)),IF(INDEX(GL!$D:$D,$C1243)="","",INDEX(GL!$D:$D,$C1243))))</f>
        <v/>
      </c>
      <c r="G1243" s="19" t="str">
        <f aca="false">IF(C1243=0,"",IF($A1243="Bank",INDEX(Bank!$E:$E,$C1243),INDEX(GL!$E:$E,$C1243)))</f>
        <v/>
      </c>
      <c r="H1243" s="5" t="str">
        <f aca="false">IF(C1243=0,"",IF(A1243="GL",IF(G1243&gt;0,"Deposit in transit","Outstanding check / payment"),IF(G1243&gt;0,"Bank credit not in GL","Bank debit not in GL")))</f>
        <v/>
      </c>
      <c r="I1243" s="42" t="str">
        <f aca="false">IF(OR(C1243=0,CFG_PeriodEnd=""),"",CFG_PeriodEnd-D1243)</f>
        <v/>
      </c>
      <c r="J1243" s="5" t="str">
        <f aca="false">IF(C1243=0,"",IF($A1243="Bank",IF(INDEX(Bank!$G:$G,$C1243)="","",INDEX(Bank!$G:$G,$C1243)),IF(INDEX(GL!$G:$G,$C1243)="","",INDEX(GL!$G:$G,$C1243))))</f>
        <v/>
      </c>
      <c r="K1243" s="5" t="str">
        <f aca="false">IF(C1243=0,"",IF($A1243="Bank",IF(INDEX(Bank!$I:$I,$C1243)="","",INDEX(Bank!$I:$I,$C1243)),IF(INDEX(GL!$I:$I,$C1243)="","",INDEX(GL!$I:$I,$C1243))))</f>
        <v/>
      </c>
      <c r="L1243" s="5" t="str">
        <f aca="false">IF(B1243="","",IF(C1243=0,"NOT FOUND",IF(IF($A1243="Bank",INDEX(Bank!$F:$F,$C1243),INDEX(GL!$F:$F,$C1243))="Y","NOW RECONCILED: refresh","OK")))</f>
        <v/>
      </c>
    </row>
    <row r="1244" customFormat="false" ht="15" hidden="false" customHeight="false" outlineLevel="0" collapsed="false">
      <c r="A1244" s="41"/>
      <c r="B1244" s="41"/>
      <c r="C1244" s="5" t="n">
        <f aca="false">IF(B1244="",0,IF(A1244="Bank",IFERROR(MATCH(B1244,Bank!$A:$A,0),0),IFERROR(MATCH(B1244,GL!$A:$A,0),0)))</f>
        <v>0</v>
      </c>
      <c r="D1244" s="32" t="str">
        <f aca="false">IF(C1244=0,"",IF($A1244="Bank",INDEX(Bank!$B:$B,$C1244),INDEX(GL!$B:$B,$C1244)))</f>
        <v/>
      </c>
      <c r="E1244" s="5" t="str">
        <f aca="false">IF(C1244=0,"",IF($A1244="Bank",IF(INDEX(Bank!$C:$C,$C1244)="","",INDEX(Bank!$C:$C,$C1244)),IF(INDEX(GL!$C:$C,$C1244)="","",INDEX(GL!$C:$C,$C1244))))</f>
        <v/>
      </c>
      <c r="F1244" s="5" t="str">
        <f aca="false">IF(C1244=0,"",IF($A1244="Bank",IF(INDEX(Bank!$D:$D,$C1244)="","",INDEX(Bank!$D:$D,$C1244)),IF(INDEX(GL!$D:$D,$C1244)="","",INDEX(GL!$D:$D,$C1244))))</f>
        <v/>
      </c>
      <c r="G1244" s="19" t="str">
        <f aca="false">IF(C1244=0,"",IF($A1244="Bank",INDEX(Bank!$E:$E,$C1244),INDEX(GL!$E:$E,$C1244)))</f>
        <v/>
      </c>
      <c r="H1244" s="5" t="str">
        <f aca="false">IF(C1244=0,"",IF(A1244="GL",IF(G1244&gt;0,"Deposit in transit","Outstanding check / payment"),IF(G1244&gt;0,"Bank credit not in GL","Bank debit not in GL")))</f>
        <v/>
      </c>
      <c r="I1244" s="42" t="str">
        <f aca="false">IF(OR(C1244=0,CFG_PeriodEnd=""),"",CFG_PeriodEnd-D1244)</f>
        <v/>
      </c>
      <c r="J1244" s="5" t="str">
        <f aca="false">IF(C1244=0,"",IF($A1244="Bank",IF(INDEX(Bank!$G:$G,$C1244)="","",INDEX(Bank!$G:$G,$C1244)),IF(INDEX(GL!$G:$G,$C1244)="","",INDEX(GL!$G:$G,$C1244))))</f>
        <v/>
      </c>
      <c r="K1244" s="5" t="str">
        <f aca="false">IF(C1244=0,"",IF($A1244="Bank",IF(INDEX(Bank!$I:$I,$C1244)="","",INDEX(Bank!$I:$I,$C1244)),IF(INDEX(GL!$I:$I,$C1244)="","",INDEX(GL!$I:$I,$C1244))))</f>
        <v/>
      </c>
      <c r="L1244" s="5" t="str">
        <f aca="false">IF(B1244="","",IF(C1244=0,"NOT FOUND",IF(IF($A1244="Bank",INDEX(Bank!$F:$F,$C1244),INDEX(GL!$F:$F,$C1244))="Y","NOW RECONCILED: refresh","OK")))</f>
        <v/>
      </c>
    </row>
    <row r="1245" customFormat="false" ht="15" hidden="false" customHeight="false" outlineLevel="0" collapsed="false">
      <c r="A1245" s="41"/>
      <c r="B1245" s="41"/>
      <c r="C1245" s="5" t="n">
        <f aca="false">IF(B1245="",0,IF(A1245="Bank",IFERROR(MATCH(B1245,Bank!$A:$A,0),0),IFERROR(MATCH(B1245,GL!$A:$A,0),0)))</f>
        <v>0</v>
      </c>
      <c r="D1245" s="32" t="str">
        <f aca="false">IF(C1245=0,"",IF($A1245="Bank",INDEX(Bank!$B:$B,$C1245),INDEX(GL!$B:$B,$C1245)))</f>
        <v/>
      </c>
      <c r="E1245" s="5" t="str">
        <f aca="false">IF(C1245=0,"",IF($A1245="Bank",IF(INDEX(Bank!$C:$C,$C1245)="","",INDEX(Bank!$C:$C,$C1245)),IF(INDEX(GL!$C:$C,$C1245)="","",INDEX(GL!$C:$C,$C1245))))</f>
        <v/>
      </c>
      <c r="F1245" s="5" t="str">
        <f aca="false">IF(C1245=0,"",IF($A1245="Bank",IF(INDEX(Bank!$D:$D,$C1245)="","",INDEX(Bank!$D:$D,$C1245)),IF(INDEX(GL!$D:$D,$C1245)="","",INDEX(GL!$D:$D,$C1245))))</f>
        <v/>
      </c>
      <c r="G1245" s="19" t="str">
        <f aca="false">IF(C1245=0,"",IF($A1245="Bank",INDEX(Bank!$E:$E,$C1245),INDEX(GL!$E:$E,$C1245)))</f>
        <v/>
      </c>
      <c r="H1245" s="5" t="str">
        <f aca="false">IF(C1245=0,"",IF(A1245="GL",IF(G1245&gt;0,"Deposit in transit","Outstanding check / payment"),IF(G1245&gt;0,"Bank credit not in GL","Bank debit not in GL")))</f>
        <v/>
      </c>
      <c r="I1245" s="42" t="str">
        <f aca="false">IF(OR(C1245=0,CFG_PeriodEnd=""),"",CFG_PeriodEnd-D1245)</f>
        <v/>
      </c>
      <c r="J1245" s="5" t="str">
        <f aca="false">IF(C1245=0,"",IF($A1245="Bank",IF(INDEX(Bank!$G:$G,$C1245)="","",INDEX(Bank!$G:$G,$C1245)),IF(INDEX(GL!$G:$G,$C1245)="","",INDEX(GL!$G:$G,$C1245))))</f>
        <v/>
      </c>
      <c r="K1245" s="5" t="str">
        <f aca="false">IF(C1245=0,"",IF($A1245="Bank",IF(INDEX(Bank!$I:$I,$C1245)="","",INDEX(Bank!$I:$I,$C1245)),IF(INDEX(GL!$I:$I,$C1245)="","",INDEX(GL!$I:$I,$C1245))))</f>
        <v/>
      </c>
      <c r="L1245" s="5" t="str">
        <f aca="false">IF(B1245="","",IF(C1245=0,"NOT FOUND",IF(IF($A1245="Bank",INDEX(Bank!$F:$F,$C1245),INDEX(GL!$F:$F,$C1245))="Y","NOW RECONCILED: refresh","OK")))</f>
        <v/>
      </c>
    </row>
    <row r="1246" customFormat="false" ht="15" hidden="false" customHeight="false" outlineLevel="0" collapsed="false">
      <c r="A1246" s="41"/>
      <c r="B1246" s="41"/>
      <c r="C1246" s="5" t="n">
        <f aca="false">IF(B1246="",0,IF(A1246="Bank",IFERROR(MATCH(B1246,Bank!$A:$A,0),0),IFERROR(MATCH(B1246,GL!$A:$A,0),0)))</f>
        <v>0</v>
      </c>
      <c r="D1246" s="32" t="str">
        <f aca="false">IF(C1246=0,"",IF($A1246="Bank",INDEX(Bank!$B:$B,$C1246),INDEX(GL!$B:$B,$C1246)))</f>
        <v/>
      </c>
      <c r="E1246" s="5" t="str">
        <f aca="false">IF(C1246=0,"",IF($A1246="Bank",IF(INDEX(Bank!$C:$C,$C1246)="","",INDEX(Bank!$C:$C,$C1246)),IF(INDEX(GL!$C:$C,$C1246)="","",INDEX(GL!$C:$C,$C1246))))</f>
        <v/>
      </c>
      <c r="F1246" s="5" t="str">
        <f aca="false">IF(C1246=0,"",IF($A1246="Bank",IF(INDEX(Bank!$D:$D,$C1246)="","",INDEX(Bank!$D:$D,$C1246)),IF(INDEX(GL!$D:$D,$C1246)="","",INDEX(GL!$D:$D,$C1246))))</f>
        <v/>
      </c>
      <c r="G1246" s="19" t="str">
        <f aca="false">IF(C1246=0,"",IF($A1246="Bank",INDEX(Bank!$E:$E,$C1246),INDEX(GL!$E:$E,$C1246)))</f>
        <v/>
      </c>
      <c r="H1246" s="5" t="str">
        <f aca="false">IF(C1246=0,"",IF(A1246="GL",IF(G1246&gt;0,"Deposit in transit","Outstanding check / payment"),IF(G1246&gt;0,"Bank credit not in GL","Bank debit not in GL")))</f>
        <v/>
      </c>
      <c r="I1246" s="42" t="str">
        <f aca="false">IF(OR(C1246=0,CFG_PeriodEnd=""),"",CFG_PeriodEnd-D1246)</f>
        <v/>
      </c>
      <c r="J1246" s="5" t="str">
        <f aca="false">IF(C1246=0,"",IF($A1246="Bank",IF(INDEX(Bank!$G:$G,$C1246)="","",INDEX(Bank!$G:$G,$C1246)),IF(INDEX(GL!$G:$G,$C1246)="","",INDEX(GL!$G:$G,$C1246))))</f>
        <v/>
      </c>
      <c r="K1246" s="5" t="str">
        <f aca="false">IF(C1246=0,"",IF($A1246="Bank",IF(INDEX(Bank!$I:$I,$C1246)="","",INDEX(Bank!$I:$I,$C1246)),IF(INDEX(GL!$I:$I,$C1246)="","",INDEX(GL!$I:$I,$C1246))))</f>
        <v/>
      </c>
      <c r="L1246" s="5" t="str">
        <f aca="false">IF(B1246="","",IF(C1246=0,"NOT FOUND",IF(IF($A1246="Bank",INDEX(Bank!$F:$F,$C1246),INDEX(GL!$F:$F,$C1246))="Y","NOW RECONCILED: refresh","OK")))</f>
        <v/>
      </c>
    </row>
    <row r="1247" customFormat="false" ht="15" hidden="false" customHeight="false" outlineLevel="0" collapsed="false">
      <c r="A1247" s="41"/>
      <c r="B1247" s="41"/>
      <c r="C1247" s="5" t="n">
        <f aca="false">IF(B1247="",0,IF(A1247="Bank",IFERROR(MATCH(B1247,Bank!$A:$A,0),0),IFERROR(MATCH(B1247,GL!$A:$A,0),0)))</f>
        <v>0</v>
      </c>
      <c r="D1247" s="32" t="str">
        <f aca="false">IF(C1247=0,"",IF($A1247="Bank",INDEX(Bank!$B:$B,$C1247),INDEX(GL!$B:$B,$C1247)))</f>
        <v/>
      </c>
      <c r="E1247" s="5" t="str">
        <f aca="false">IF(C1247=0,"",IF($A1247="Bank",IF(INDEX(Bank!$C:$C,$C1247)="","",INDEX(Bank!$C:$C,$C1247)),IF(INDEX(GL!$C:$C,$C1247)="","",INDEX(GL!$C:$C,$C1247))))</f>
        <v/>
      </c>
      <c r="F1247" s="5" t="str">
        <f aca="false">IF(C1247=0,"",IF($A1247="Bank",IF(INDEX(Bank!$D:$D,$C1247)="","",INDEX(Bank!$D:$D,$C1247)),IF(INDEX(GL!$D:$D,$C1247)="","",INDEX(GL!$D:$D,$C1247))))</f>
        <v/>
      </c>
      <c r="G1247" s="19" t="str">
        <f aca="false">IF(C1247=0,"",IF($A1247="Bank",INDEX(Bank!$E:$E,$C1247),INDEX(GL!$E:$E,$C1247)))</f>
        <v/>
      </c>
      <c r="H1247" s="5" t="str">
        <f aca="false">IF(C1247=0,"",IF(A1247="GL",IF(G1247&gt;0,"Deposit in transit","Outstanding check / payment"),IF(G1247&gt;0,"Bank credit not in GL","Bank debit not in GL")))</f>
        <v/>
      </c>
      <c r="I1247" s="42" t="str">
        <f aca="false">IF(OR(C1247=0,CFG_PeriodEnd=""),"",CFG_PeriodEnd-D1247)</f>
        <v/>
      </c>
      <c r="J1247" s="5" t="str">
        <f aca="false">IF(C1247=0,"",IF($A1247="Bank",IF(INDEX(Bank!$G:$G,$C1247)="","",INDEX(Bank!$G:$G,$C1247)),IF(INDEX(GL!$G:$G,$C1247)="","",INDEX(GL!$G:$G,$C1247))))</f>
        <v/>
      </c>
      <c r="K1247" s="5" t="str">
        <f aca="false">IF(C1247=0,"",IF($A1247="Bank",IF(INDEX(Bank!$I:$I,$C1247)="","",INDEX(Bank!$I:$I,$C1247)),IF(INDEX(GL!$I:$I,$C1247)="","",INDEX(GL!$I:$I,$C1247))))</f>
        <v/>
      </c>
      <c r="L1247" s="5" t="str">
        <f aca="false">IF(B1247="","",IF(C1247=0,"NOT FOUND",IF(IF($A1247="Bank",INDEX(Bank!$F:$F,$C1247),INDEX(GL!$F:$F,$C1247))="Y","NOW RECONCILED: refresh","OK")))</f>
        <v/>
      </c>
    </row>
    <row r="1248" customFormat="false" ht="15" hidden="false" customHeight="false" outlineLevel="0" collapsed="false">
      <c r="A1248" s="41"/>
      <c r="B1248" s="41"/>
      <c r="C1248" s="5" t="n">
        <f aca="false">IF(B1248="",0,IF(A1248="Bank",IFERROR(MATCH(B1248,Bank!$A:$A,0),0),IFERROR(MATCH(B1248,GL!$A:$A,0),0)))</f>
        <v>0</v>
      </c>
      <c r="D1248" s="32" t="str">
        <f aca="false">IF(C1248=0,"",IF($A1248="Bank",INDEX(Bank!$B:$B,$C1248),INDEX(GL!$B:$B,$C1248)))</f>
        <v/>
      </c>
      <c r="E1248" s="5" t="str">
        <f aca="false">IF(C1248=0,"",IF($A1248="Bank",IF(INDEX(Bank!$C:$C,$C1248)="","",INDEX(Bank!$C:$C,$C1248)),IF(INDEX(GL!$C:$C,$C1248)="","",INDEX(GL!$C:$C,$C1248))))</f>
        <v/>
      </c>
      <c r="F1248" s="5" t="str">
        <f aca="false">IF(C1248=0,"",IF($A1248="Bank",IF(INDEX(Bank!$D:$D,$C1248)="","",INDEX(Bank!$D:$D,$C1248)),IF(INDEX(GL!$D:$D,$C1248)="","",INDEX(GL!$D:$D,$C1248))))</f>
        <v/>
      </c>
      <c r="G1248" s="19" t="str">
        <f aca="false">IF(C1248=0,"",IF($A1248="Bank",INDEX(Bank!$E:$E,$C1248),INDEX(GL!$E:$E,$C1248)))</f>
        <v/>
      </c>
      <c r="H1248" s="5" t="str">
        <f aca="false">IF(C1248=0,"",IF(A1248="GL",IF(G1248&gt;0,"Deposit in transit","Outstanding check / payment"),IF(G1248&gt;0,"Bank credit not in GL","Bank debit not in GL")))</f>
        <v/>
      </c>
      <c r="I1248" s="42" t="str">
        <f aca="false">IF(OR(C1248=0,CFG_PeriodEnd=""),"",CFG_PeriodEnd-D1248)</f>
        <v/>
      </c>
      <c r="J1248" s="5" t="str">
        <f aca="false">IF(C1248=0,"",IF($A1248="Bank",IF(INDEX(Bank!$G:$G,$C1248)="","",INDEX(Bank!$G:$G,$C1248)),IF(INDEX(GL!$G:$G,$C1248)="","",INDEX(GL!$G:$G,$C1248))))</f>
        <v/>
      </c>
      <c r="K1248" s="5" t="str">
        <f aca="false">IF(C1248=0,"",IF($A1248="Bank",IF(INDEX(Bank!$I:$I,$C1248)="","",INDEX(Bank!$I:$I,$C1248)),IF(INDEX(GL!$I:$I,$C1248)="","",INDEX(GL!$I:$I,$C1248))))</f>
        <v/>
      </c>
      <c r="L1248" s="5" t="str">
        <f aca="false">IF(B1248="","",IF(C1248=0,"NOT FOUND",IF(IF($A1248="Bank",INDEX(Bank!$F:$F,$C1248),INDEX(GL!$F:$F,$C1248))="Y","NOW RECONCILED: refresh","OK")))</f>
        <v/>
      </c>
    </row>
    <row r="1249" customFormat="false" ht="15" hidden="false" customHeight="false" outlineLevel="0" collapsed="false">
      <c r="A1249" s="41"/>
      <c r="B1249" s="41"/>
      <c r="C1249" s="5" t="n">
        <f aca="false">IF(B1249="",0,IF(A1249="Bank",IFERROR(MATCH(B1249,Bank!$A:$A,0),0),IFERROR(MATCH(B1249,GL!$A:$A,0),0)))</f>
        <v>0</v>
      </c>
      <c r="D1249" s="32" t="str">
        <f aca="false">IF(C1249=0,"",IF($A1249="Bank",INDEX(Bank!$B:$B,$C1249),INDEX(GL!$B:$B,$C1249)))</f>
        <v/>
      </c>
      <c r="E1249" s="5" t="str">
        <f aca="false">IF(C1249=0,"",IF($A1249="Bank",IF(INDEX(Bank!$C:$C,$C1249)="","",INDEX(Bank!$C:$C,$C1249)),IF(INDEX(GL!$C:$C,$C1249)="","",INDEX(GL!$C:$C,$C1249))))</f>
        <v/>
      </c>
      <c r="F1249" s="5" t="str">
        <f aca="false">IF(C1249=0,"",IF($A1249="Bank",IF(INDEX(Bank!$D:$D,$C1249)="","",INDEX(Bank!$D:$D,$C1249)),IF(INDEX(GL!$D:$D,$C1249)="","",INDEX(GL!$D:$D,$C1249))))</f>
        <v/>
      </c>
      <c r="G1249" s="19" t="str">
        <f aca="false">IF(C1249=0,"",IF($A1249="Bank",INDEX(Bank!$E:$E,$C1249),INDEX(GL!$E:$E,$C1249)))</f>
        <v/>
      </c>
      <c r="H1249" s="5" t="str">
        <f aca="false">IF(C1249=0,"",IF(A1249="GL",IF(G1249&gt;0,"Deposit in transit","Outstanding check / payment"),IF(G1249&gt;0,"Bank credit not in GL","Bank debit not in GL")))</f>
        <v/>
      </c>
      <c r="I1249" s="42" t="str">
        <f aca="false">IF(OR(C1249=0,CFG_PeriodEnd=""),"",CFG_PeriodEnd-D1249)</f>
        <v/>
      </c>
      <c r="J1249" s="5" t="str">
        <f aca="false">IF(C1249=0,"",IF($A1249="Bank",IF(INDEX(Bank!$G:$G,$C1249)="","",INDEX(Bank!$G:$G,$C1249)),IF(INDEX(GL!$G:$G,$C1249)="","",INDEX(GL!$G:$G,$C1249))))</f>
        <v/>
      </c>
      <c r="K1249" s="5" t="str">
        <f aca="false">IF(C1249=0,"",IF($A1249="Bank",IF(INDEX(Bank!$I:$I,$C1249)="","",INDEX(Bank!$I:$I,$C1249)),IF(INDEX(GL!$I:$I,$C1249)="","",INDEX(GL!$I:$I,$C1249))))</f>
        <v/>
      </c>
      <c r="L1249" s="5" t="str">
        <f aca="false">IF(B1249="","",IF(C1249=0,"NOT FOUND",IF(IF($A1249="Bank",INDEX(Bank!$F:$F,$C1249),INDEX(GL!$F:$F,$C1249))="Y","NOW RECONCILED: refresh","OK")))</f>
        <v/>
      </c>
    </row>
    <row r="1250" customFormat="false" ht="15" hidden="false" customHeight="false" outlineLevel="0" collapsed="false">
      <c r="A1250" s="41"/>
      <c r="B1250" s="41"/>
      <c r="C1250" s="5" t="n">
        <f aca="false">IF(B1250="",0,IF(A1250="Bank",IFERROR(MATCH(B1250,Bank!$A:$A,0),0),IFERROR(MATCH(B1250,GL!$A:$A,0),0)))</f>
        <v>0</v>
      </c>
      <c r="D1250" s="32" t="str">
        <f aca="false">IF(C1250=0,"",IF($A1250="Bank",INDEX(Bank!$B:$B,$C1250),INDEX(GL!$B:$B,$C1250)))</f>
        <v/>
      </c>
      <c r="E1250" s="5" t="str">
        <f aca="false">IF(C1250=0,"",IF($A1250="Bank",IF(INDEX(Bank!$C:$C,$C1250)="","",INDEX(Bank!$C:$C,$C1250)),IF(INDEX(GL!$C:$C,$C1250)="","",INDEX(GL!$C:$C,$C1250))))</f>
        <v/>
      </c>
      <c r="F1250" s="5" t="str">
        <f aca="false">IF(C1250=0,"",IF($A1250="Bank",IF(INDEX(Bank!$D:$D,$C1250)="","",INDEX(Bank!$D:$D,$C1250)),IF(INDEX(GL!$D:$D,$C1250)="","",INDEX(GL!$D:$D,$C1250))))</f>
        <v/>
      </c>
      <c r="G1250" s="19" t="str">
        <f aca="false">IF(C1250=0,"",IF($A1250="Bank",INDEX(Bank!$E:$E,$C1250),INDEX(GL!$E:$E,$C1250)))</f>
        <v/>
      </c>
      <c r="H1250" s="5" t="str">
        <f aca="false">IF(C1250=0,"",IF(A1250="GL",IF(G1250&gt;0,"Deposit in transit","Outstanding check / payment"),IF(G1250&gt;0,"Bank credit not in GL","Bank debit not in GL")))</f>
        <v/>
      </c>
      <c r="I1250" s="42" t="str">
        <f aca="false">IF(OR(C1250=0,CFG_PeriodEnd=""),"",CFG_PeriodEnd-D1250)</f>
        <v/>
      </c>
      <c r="J1250" s="5" t="str">
        <f aca="false">IF(C1250=0,"",IF($A1250="Bank",IF(INDEX(Bank!$G:$G,$C1250)="","",INDEX(Bank!$G:$G,$C1250)),IF(INDEX(GL!$G:$G,$C1250)="","",INDEX(GL!$G:$G,$C1250))))</f>
        <v/>
      </c>
      <c r="K1250" s="5" t="str">
        <f aca="false">IF(C1250=0,"",IF($A1250="Bank",IF(INDEX(Bank!$I:$I,$C1250)="","",INDEX(Bank!$I:$I,$C1250)),IF(INDEX(GL!$I:$I,$C1250)="","",INDEX(GL!$I:$I,$C1250))))</f>
        <v/>
      </c>
      <c r="L1250" s="5" t="str">
        <f aca="false">IF(B1250="","",IF(C1250=0,"NOT FOUND",IF(IF($A1250="Bank",INDEX(Bank!$F:$F,$C1250),INDEX(GL!$F:$F,$C1250))="Y","NOW RECONCILED: refresh","OK")))</f>
        <v/>
      </c>
    </row>
    <row r="1251" customFormat="false" ht="15" hidden="false" customHeight="false" outlineLevel="0" collapsed="false">
      <c r="A1251" s="41"/>
      <c r="B1251" s="41"/>
      <c r="C1251" s="5" t="n">
        <f aca="false">IF(B1251="",0,IF(A1251="Bank",IFERROR(MATCH(B1251,Bank!$A:$A,0),0),IFERROR(MATCH(B1251,GL!$A:$A,0),0)))</f>
        <v>0</v>
      </c>
      <c r="D1251" s="32" t="str">
        <f aca="false">IF(C1251=0,"",IF($A1251="Bank",INDEX(Bank!$B:$B,$C1251),INDEX(GL!$B:$B,$C1251)))</f>
        <v/>
      </c>
      <c r="E1251" s="5" t="str">
        <f aca="false">IF(C1251=0,"",IF($A1251="Bank",IF(INDEX(Bank!$C:$C,$C1251)="","",INDEX(Bank!$C:$C,$C1251)),IF(INDEX(GL!$C:$C,$C1251)="","",INDEX(GL!$C:$C,$C1251))))</f>
        <v/>
      </c>
      <c r="F1251" s="5" t="str">
        <f aca="false">IF(C1251=0,"",IF($A1251="Bank",IF(INDEX(Bank!$D:$D,$C1251)="","",INDEX(Bank!$D:$D,$C1251)),IF(INDEX(GL!$D:$D,$C1251)="","",INDEX(GL!$D:$D,$C1251))))</f>
        <v/>
      </c>
      <c r="G1251" s="19" t="str">
        <f aca="false">IF(C1251=0,"",IF($A1251="Bank",INDEX(Bank!$E:$E,$C1251),INDEX(GL!$E:$E,$C1251)))</f>
        <v/>
      </c>
      <c r="H1251" s="5" t="str">
        <f aca="false">IF(C1251=0,"",IF(A1251="GL",IF(G1251&gt;0,"Deposit in transit","Outstanding check / payment"),IF(G1251&gt;0,"Bank credit not in GL","Bank debit not in GL")))</f>
        <v/>
      </c>
      <c r="I1251" s="42" t="str">
        <f aca="false">IF(OR(C1251=0,CFG_PeriodEnd=""),"",CFG_PeriodEnd-D1251)</f>
        <v/>
      </c>
      <c r="J1251" s="5" t="str">
        <f aca="false">IF(C1251=0,"",IF($A1251="Bank",IF(INDEX(Bank!$G:$G,$C1251)="","",INDEX(Bank!$G:$G,$C1251)),IF(INDEX(GL!$G:$G,$C1251)="","",INDEX(GL!$G:$G,$C1251))))</f>
        <v/>
      </c>
      <c r="K1251" s="5" t="str">
        <f aca="false">IF(C1251=0,"",IF($A1251="Bank",IF(INDEX(Bank!$I:$I,$C1251)="","",INDEX(Bank!$I:$I,$C1251)),IF(INDEX(GL!$I:$I,$C1251)="","",INDEX(GL!$I:$I,$C1251))))</f>
        <v/>
      </c>
      <c r="L1251" s="5" t="str">
        <f aca="false">IF(B1251="","",IF(C1251=0,"NOT FOUND",IF(IF($A1251="Bank",INDEX(Bank!$F:$F,$C1251),INDEX(GL!$F:$F,$C1251))="Y","NOW RECONCILED: refresh","OK")))</f>
        <v/>
      </c>
    </row>
    <row r="1252" customFormat="false" ht="15" hidden="false" customHeight="false" outlineLevel="0" collapsed="false">
      <c r="A1252" s="41"/>
      <c r="B1252" s="41"/>
      <c r="C1252" s="5" t="n">
        <f aca="false">IF(B1252="",0,IF(A1252="Bank",IFERROR(MATCH(B1252,Bank!$A:$A,0),0),IFERROR(MATCH(B1252,GL!$A:$A,0),0)))</f>
        <v>0</v>
      </c>
      <c r="D1252" s="32" t="str">
        <f aca="false">IF(C1252=0,"",IF($A1252="Bank",INDEX(Bank!$B:$B,$C1252),INDEX(GL!$B:$B,$C1252)))</f>
        <v/>
      </c>
      <c r="E1252" s="5" t="str">
        <f aca="false">IF(C1252=0,"",IF($A1252="Bank",IF(INDEX(Bank!$C:$C,$C1252)="","",INDEX(Bank!$C:$C,$C1252)),IF(INDEX(GL!$C:$C,$C1252)="","",INDEX(GL!$C:$C,$C1252))))</f>
        <v/>
      </c>
      <c r="F1252" s="5" t="str">
        <f aca="false">IF(C1252=0,"",IF($A1252="Bank",IF(INDEX(Bank!$D:$D,$C1252)="","",INDEX(Bank!$D:$D,$C1252)),IF(INDEX(GL!$D:$D,$C1252)="","",INDEX(GL!$D:$D,$C1252))))</f>
        <v/>
      </c>
      <c r="G1252" s="19" t="str">
        <f aca="false">IF(C1252=0,"",IF($A1252="Bank",INDEX(Bank!$E:$E,$C1252),INDEX(GL!$E:$E,$C1252)))</f>
        <v/>
      </c>
      <c r="H1252" s="5" t="str">
        <f aca="false">IF(C1252=0,"",IF(A1252="GL",IF(G1252&gt;0,"Deposit in transit","Outstanding check / payment"),IF(G1252&gt;0,"Bank credit not in GL","Bank debit not in GL")))</f>
        <v/>
      </c>
      <c r="I1252" s="42" t="str">
        <f aca="false">IF(OR(C1252=0,CFG_PeriodEnd=""),"",CFG_PeriodEnd-D1252)</f>
        <v/>
      </c>
      <c r="J1252" s="5" t="str">
        <f aca="false">IF(C1252=0,"",IF($A1252="Bank",IF(INDEX(Bank!$G:$G,$C1252)="","",INDEX(Bank!$G:$G,$C1252)),IF(INDEX(GL!$G:$G,$C1252)="","",INDEX(GL!$G:$G,$C1252))))</f>
        <v/>
      </c>
      <c r="K1252" s="5" t="str">
        <f aca="false">IF(C1252=0,"",IF($A1252="Bank",IF(INDEX(Bank!$I:$I,$C1252)="","",INDEX(Bank!$I:$I,$C1252)),IF(INDEX(GL!$I:$I,$C1252)="","",INDEX(GL!$I:$I,$C1252))))</f>
        <v/>
      </c>
      <c r="L1252" s="5" t="str">
        <f aca="false">IF(B1252="","",IF(C1252=0,"NOT FOUND",IF(IF($A1252="Bank",INDEX(Bank!$F:$F,$C1252),INDEX(GL!$F:$F,$C1252))="Y","NOW RECONCILED: refresh","OK")))</f>
        <v/>
      </c>
    </row>
    <row r="1253" customFormat="false" ht="15" hidden="false" customHeight="false" outlineLevel="0" collapsed="false">
      <c r="A1253" s="41"/>
      <c r="B1253" s="41"/>
      <c r="C1253" s="5" t="n">
        <f aca="false">IF(B1253="",0,IF(A1253="Bank",IFERROR(MATCH(B1253,Bank!$A:$A,0),0),IFERROR(MATCH(B1253,GL!$A:$A,0),0)))</f>
        <v>0</v>
      </c>
      <c r="D1253" s="32" t="str">
        <f aca="false">IF(C1253=0,"",IF($A1253="Bank",INDEX(Bank!$B:$B,$C1253),INDEX(GL!$B:$B,$C1253)))</f>
        <v/>
      </c>
      <c r="E1253" s="5" t="str">
        <f aca="false">IF(C1253=0,"",IF($A1253="Bank",IF(INDEX(Bank!$C:$C,$C1253)="","",INDEX(Bank!$C:$C,$C1253)),IF(INDEX(GL!$C:$C,$C1253)="","",INDEX(GL!$C:$C,$C1253))))</f>
        <v/>
      </c>
      <c r="F1253" s="5" t="str">
        <f aca="false">IF(C1253=0,"",IF($A1253="Bank",IF(INDEX(Bank!$D:$D,$C1253)="","",INDEX(Bank!$D:$D,$C1253)),IF(INDEX(GL!$D:$D,$C1253)="","",INDEX(GL!$D:$D,$C1253))))</f>
        <v/>
      </c>
      <c r="G1253" s="19" t="str">
        <f aca="false">IF(C1253=0,"",IF($A1253="Bank",INDEX(Bank!$E:$E,$C1253),INDEX(GL!$E:$E,$C1253)))</f>
        <v/>
      </c>
      <c r="H1253" s="5" t="str">
        <f aca="false">IF(C1253=0,"",IF(A1253="GL",IF(G1253&gt;0,"Deposit in transit","Outstanding check / payment"),IF(G1253&gt;0,"Bank credit not in GL","Bank debit not in GL")))</f>
        <v/>
      </c>
      <c r="I1253" s="42" t="str">
        <f aca="false">IF(OR(C1253=0,CFG_PeriodEnd=""),"",CFG_PeriodEnd-D1253)</f>
        <v/>
      </c>
      <c r="J1253" s="5" t="str">
        <f aca="false">IF(C1253=0,"",IF($A1253="Bank",IF(INDEX(Bank!$G:$G,$C1253)="","",INDEX(Bank!$G:$G,$C1253)),IF(INDEX(GL!$G:$G,$C1253)="","",INDEX(GL!$G:$G,$C1253))))</f>
        <v/>
      </c>
      <c r="K1253" s="5" t="str">
        <f aca="false">IF(C1253=0,"",IF($A1253="Bank",IF(INDEX(Bank!$I:$I,$C1253)="","",INDEX(Bank!$I:$I,$C1253)),IF(INDEX(GL!$I:$I,$C1253)="","",INDEX(GL!$I:$I,$C1253))))</f>
        <v/>
      </c>
      <c r="L1253" s="5" t="str">
        <f aca="false">IF(B1253="","",IF(C1253=0,"NOT FOUND",IF(IF($A1253="Bank",INDEX(Bank!$F:$F,$C1253),INDEX(GL!$F:$F,$C1253))="Y","NOW RECONCILED: refresh","OK")))</f>
        <v/>
      </c>
    </row>
    <row r="1254" customFormat="false" ht="15" hidden="false" customHeight="false" outlineLevel="0" collapsed="false">
      <c r="A1254" s="41"/>
      <c r="B1254" s="41"/>
      <c r="C1254" s="5" t="n">
        <f aca="false">IF(B1254="",0,IF(A1254="Bank",IFERROR(MATCH(B1254,Bank!$A:$A,0),0),IFERROR(MATCH(B1254,GL!$A:$A,0),0)))</f>
        <v>0</v>
      </c>
      <c r="D1254" s="32" t="str">
        <f aca="false">IF(C1254=0,"",IF($A1254="Bank",INDEX(Bank!$B:$B,$C1254),INDEX(GL!$B:$B,$C1254)))</f>
        <v/>
      </c>
      <c r="E1254" s="5" t="str">
        <f aca="false">IF(C1254=0,"",IF($A1254="Bank",IF(INDEX(Bank!$C:$C,$C1254)="","",INDEX(Bank!$C:$C,$C1254)),IF(INDEX(GL!$C:$C,$C1254)="","",INDEX(GL!$C:$C,$C1254))))</f>
        <v/>
      </c>
      <c r="F1254" s="5" t="str">
        <f aca="false">IF(C1254=0,"",IF($A1254="Bank",IF(INDEX(Bank!$D:$D,$C1254)="","",INDEX(Bank!$D:$D,$C1254)),IF(INDEX(GL!$D:$D,$C1254)="","",INDEX(GL!$D:$D,$C1254))))</f>
        <v/>
      </c>
      <c r="G1254" s="19" t="str">
        <f aca="false">IF(C1254=0,"",IF($A1254="Bank",INDEX(Bank!$E:$E,$C1254),INDEX(GL!$E:$E,$C1254)))</f>
        <v/>
      </c>
      <c r="H1254" s="5" t="str">
        <f aca="false">IF(C1254=0,"",IF(A1254="GL",IF(G1254&gt;0,"Deposit in transit","Outstanding check / payment"),IF(G1254&gt;0,"Bank credit not in GL","Bank debit not in GL")))</f>
        <v/>
      </c>
      <c r="I1254" s="42" t="str">
        <f aca="false">IF(OR(C1254=0,CFG_PeriodEnd=""),"",CFG_PeriodEnd-D1254)</f>
        <v/>
      </c>
      <c r="J1254" s="5" t="str">
        <f aca="false">IF(C1254=0,"",IF($A1254="Bank",IF(INDEX(Bank!$G:$G,$C1254)="","",INDEX(Bank!$G:$G,$C1254)),IF(INDEX(GL!$G:$G,$C1254)="","",INDEX(GL!$G:$G,$C1254))))</f>
        <v/>
      </c>
      <c r="K1254" s="5" t="str">
        <f aca="false">IF(C1254=0,"",IF($A1254="Bank",IF(INDEX(Bank!$I:$I,$C1254)="","",INDEX(Bank!$I:$I,$C1254)),IF(INDEX(GL!$I:$I,$C1254)="","",INDEX(GL!$I:$I,$C1254))))</f>
        <v/>
      </c>
      <c r="L1254" s="5" t="str">
        <f aca="false">IF(B1254="","",IF(C1254=0,"NOT FOUND",IF(IF($A1254="Bank",INDEX(Bank!$F:$F,$C1254),INDEX(GL!$F:$F,$C1254))="Y","NOW RECONCILED: refresh","OK")))</f>
        <v/>
      </c>
    </row>
    <row r="1255" customFormat="false" ht="15" hidden="false" customHeight="false" outlineLevel="0" collapsed="false">
      <c r="A1255" s="41"/>
      <c r="B1255" s="41"/>
      <c r="C1255" s="5" t="n">
        <f aca="false">IF(B1255="",0,IF(A1255="Bank",IFERROR(MATCH(B1255,Bank!$A:$A,0),0),IFERROR(MATCH(B1255,GL!$A:$A,0),0)))</f>
        <v>0</v>
      </c>
      <c r="D1255" s="32" t="str">
        <f aca="false">IF(C1255=0,"",IF($A1255="Bank",INDEX(Bank!$B:$B,$C1255),INDEX(GL!$B:$B,$C1255)))</f>
        <v/>
      </c>
      <c r="E1255" s="5" t="str">
        <f aca="false">IF(C1255=0,"",IF($A1255="Bank",IF(INDEX(Bank!$C:$C,$C1255)="","",INDEX(Bank!$C:$C,$C1255)),IF(INDEX(GL!$C:$C,$C1255)="","",INDEX(GL!$C:$C,$C1255))))</f>
        <v/>
      </c>
      <c r="F1255" s="5" t="str">
        <f aca="false">IF(C1255=0,"",IF($A1255="Bank",IF(INDEX(Bank!$D:$D,$C1255)="","",INDEX(Bank!$D:$D,$C1255)),IF(INDEX(GL!$D:$D,$C1255)="","",INDEX(GL!$D:$D,$C1255))))</f>
        <v/>
      </c>
      <c r="G1255" s="19" t="str">
        <f aca="false">IF(C1255=0,"",IF($A1255="Bank",INDEX(Bank!$E:$E,$C1255),INDEX(GL!$E:$E,$C1255)))</f>
        <v/>
      </c>
      <c r="H1255" s="5" t="str">
        <f aca="false">IF(C1255=0,"",IF(A1255="GL",IF(G1255&gt;0,"Deposit in transit","Outstanding check / payment"),IF(G1255&gt;0,"Bank credit not in GL","Bank debit not in GL")))</f>
        <v/>
      </c>
      <c r="I1255" s="42" t="str">
        <f aca="false">IF(OR(C1255=0,CFG_PeriodEnd=""),"",CFG_PeriodEnd-D1255)</f>
        <v/>
      </c>
      <c r="J1255" s="5" t="str">
        <f aca="false">IF(C1255=0,"",IF($A1255="Bank",IF(INDEX(Bank!$G:$G,$C1255)="","",INDEX(Bank!$G:$G,$C1255)),IF(INDEX(GL!$G:$G,$C1255)="","",INDEX(GL!$G:$G,$C1255))))</f>
        <v/>
      </c>
      <c r="K1255" s="5" t="str">
        <f aca="false">IF(C1255=0,"",IF($A1255="Bank",IF(INDEX(Bank!$I:$I,$C1255)="","",INDEX(Bank!$I:$I,$C1255)),IF(INDEX(GL!$I:$I,$C1255)="","",INDEX(GL!$I:$I,$C1255))))</f>
        <v/>
      </c>
      <c r="L1255" s="5" t="str">
        <f aca="false">IF(B1255="","",IF(C1255=0,"NOT FOUND",IF(IF($A1255="Bank",INDEX(Bank!$F:$F,$C1255),INDEX(GL!$F:$F,$C1255))="Y","NOW RECONCILED: refresh","OK")))</f>
        <v/>
      </c>
    </row>
    <row r="1256" customFormat="false" ht="15" hidden="false" customHeight="false" outlineLevel="0" collapsed="false">
      <c r="A1256" s="41"/>
      <c r="B1256" s="41"/>
      <c r="C1256" s="5" t="n">
        <f aca="false">IF(B1256="",0,IF(A1256="Bank",IFERROR(MATCH(B1256,Bank!$A:$A,0),0),IFERROR(MATCH(B1256,GL!$A:$A,0),0)))</f>
        <v>0</v>
      </c>
      <c r="D1256" s="32" t="str">
        <f aca="false">IF(C1256=0,"",IF($A1256="Bank",INDEX(Bank!$B:$B,$C1256),INDEX(GL!$B:$B,$C1256)))</f>
        <v/>
      </c>
      <c r="E1256" s="5" t="str">
        <f aca="false">IF(C1256=0,"",IF($A1256="Bank",IF(INDEX(Bank!$C:$C,$C1256)="","",INDEX(Bank!$C:$C,$C1256)),IF(INDEX(GL!$C:$C,$C1256)="","",INDEX(GL!$C:$C,$C1256))))</f>
        <v/>
      </c>
      <c r="F1256" s="5" t="str">
        <f aca="false">IF(C1256=0,"",IF($A1256="Bank",IF(INDEX(Bank!$D:$D,$C1256)="","",INDEX(Bank!$D:$D,$C1256)),IF(INDEX(GL!$D:$D,$C1256)="","",INDEX(GL!$D:$D,$C1256))))</f>
        <v/>
      </c>
      <c r="G1256" s="19" t="str">
        <f aca="false">IF(C1256=0,"",IF($A1256="Bank",INDEX(Bank!$E:$E,$C1256),INDEX(GL!$E:$E,$C1256)))</f>
        <v/>
      </c>
      <c r="H1256" s="5" t="str">
        <f aca="false">IF(C1256=0,"",IF(A1256="GL",IF(G1256&gt;0,"Deposit in transit","Outstanding check / payment"),IF(G1256&gt;0,"Bank credit not in GL","Bank debit not in GL")))</f>
        <v/>
      </c>
      <c r="I1256" s="42" t="str">
        <f aca="false">IF(OR(C1256=0,CFG_PeriodEnd=""),"",CFG_PeriodEnd-D1256)</f>
        <v/>
      </c>
      <c r="J1256" s="5" t="str">
        <f aca="false">IF(C1256=0,"",IF($A1256="Bank",IF(INDEX(Bank!$G:$G,$C1256)="","",INDEX(Bank!$G:$G,$C1256)),IF(INDEX(GL!$G:$G,$C1256)="","",INDEX(GL!$G:$G,$C1256))))</f>
        <v/>
      </c>
      <c r="K1256" s="5" t="str">
        <f aca="false">IF(C1256=0,"",IF($A1256="Bank",IF(INDEX(Bank!$I:$I,$C1256)="","",INDEX(Bank!$I:$I,$C1256)),IF(INDEX(GL!$I:$I,$C1256)="","",INDEX(GL!$I:$I,$C1256))))</f>
        <v/>
      </c>
      <c r="L1256" s="5" t="str">
        <f aca="false">IF(B1256="","",IF(C1256=0,"NOT FOUND",IF(IF($A1256="Bank",INDEX(Bank!$F:$F,$C1256),INDEX(GL!$F:$F,$C1256))="Y","NOW RECONCILED: refresh","OK")))</f>
        <v/>
      </c>
    </row>
    <row r="1257" customFormat="false" ht="15" hidden="false" customHeight="false" outlineLevel="0" collapsed="false">
      <c r="A1257" s="41"/>
      <c r="B1257" s="41"/>
      <c r="C1257" s="5" t="n">
        <f aca="false">IF(B1257="",0,IF(A1257="Bank",IFERROR(MATCH(B1257,Bank!$A:$A,0),0),IFERROR(MATCH(B1257,GL!$A:$A,0),0)))</f>
        <v>0</v>
      </c>
      <c r="D1257" s="32" t="str">
        <f aca="false">IF(C1257=0,"",IF($A1257="Bank",INDEX(Bank!$B:$B,$C1257),INDEX(GL!$B:$B,$C1257)))</f>
        <v/>
      </c>
      <c r="E1257" s="5" t="str">
        <f aca="false">IF(C1257=0,"",IF($A1257="Bank",IF(INDEX(Bank!$C:$C,$C1257)="","",INDEX(Bank!$C:$C,$C1257)),IF(INDEX(GL!$C:$C,$C1257)="","",INDEX(GL!$C:$C,$C1257))))</f>
        <v/>
      </c>
      <c r="F1257" s="5" t="str">
        <f aca="false">IF(C1257=0,"",IF($A1257="Bank",IF(INDEX(Bank!$D:$D,$C1257)="","",INDEX(Bank!$D:$D,$C1257)),IF(INDEX(GL!$D:$D,$C1257)="","",INDEX(GL!$D:$D,$C1257))))</f>
        <v/>
      </c>
      <c r="G1257" s="19" t="str">
        <f aca="false">IF(C1257=0,"",IF($A1257="Bank",INDEX(Bank!$E:$E,$C1257),INDEX(GL!$E:$E,$C1257)))</f>
        <v/>
      </c>
      <c r="H1257" s="5" t="str">
        <f aca="false">IF(C1257=0,"",IF(A1257="GL",IF(G1257&gt;0,"Deposit in transit","Outstanding check / payment"),IF(G1257&gt;0,"Bank credit not in GL","Bank debit not in GL")))</f>
        <v/>
      </c>
      <c r="I1257" s="42" t="str">
        <f aca="false">IF(OR(C1257=0,CFG_PeriodEnd=""),"",CFG_PeriodEnd-D1257)</f>
        <v/>
      </c>
      <c r="J1257" s="5" t="str">
        <f aca="false">IF(C1257=0,"",IF($A1257="Bank",IF(INDEX(Bank!$G:$G,$C1257)="","",INDEX(Bank!$G:$G,$C1257)),IF(INDEX(GL!$G:$G,$C1257)="","",INDEX(GL!$G:$G,$C1257))))</f>
        <v/>
      </c>
      <c r="K1257" s="5" t="str">
        <f aca="false">IF(C1257=0,"",IF($A1257="Bank",IF(INDEX(Bank!$I:$I,$C1257)="","",INDEX(Bank!$I:$I,$C1257)),IF(INDEX(GL!$I:$I,$C1257)="","",INDEX(GL!$I:$I,$C1257))))</f>
        <v/>
      </c>
      <c r="L1257" s="5" t="str">
        <f aca="false">IF(B1257="","",IF(C1257=0,"NOT FOUND",IF(IF($A1257="Bank",INDEX(Bank!$F:$F,$C1257),INDEX(GL!$F:$F,$C1257))="Y","NOW RECONCILED: refresh","OK")))</f>
        <v/>
      </c>
    </row>
    <row r="1258" customFormat="false" ht="15" hidden="false" customHeight="false" outlineLevel="0" collapsed="false">
      <c r="A1258" s="41"/>
      <c r="B1258" s="41"/>
      <c r="C1258" s="5" t="n">
        <f aca="false">IF(B1258="",0,IF(A1258="Bank",IFERROR(MATCH(B1258,Bank!$A:$A,0),0),IFERROR(MATCH(B1258,GL!$A:$A,0),0)))</f>
        <v>0</v>
      </c>
      <c r="D1258" s="32" t="str">
        <f aca="false">IF(C1258=0,"",IF($A1258="Bank",INDEX(Bank!$B:$B,$C1258),INDEX(GL!$B:$B,$C1258)))</f>
        <v/>
      </c>
      <c r="E1258" s="5" t="str">
        <f aca="false">IF(C1258=0,"",IF($A1258="Bank",IF(INDEX(Bank!$C:$C,$C1258)="","",INDEX(Bank!$C:$C,$C1258)),IF(INDEX(GL!$C:$C,$C1258)="","",INDEX(GL!$C:$C,$C1258))))</f>
        <v/>
      </c>
      <c r="F1258" s="5" t="str">
        <f aca="false">IF(C1258=0,"",IF($A1258="Bank",IF(INDEX(Bank!$D:$D,$C1258)="","",INDEX(Bank!$D:$D,$C1258)),IF(INDEX(GL!$D:$D,$C1258)="","",INDEX(GL!$D:$D,$C1258))))</f>
        <v/>
      </c>
      <c r="G1258" s="19" t="str">
        <f aca="false">IF(C1258=0,"",IF($A1258="Bank",INDEX(Bank!$E:$E,$C1258),INDEX(GL!$E:$E,$C1258)))</f>
        <v/>
      </c>
      <c r="H1258" s="5" t="str">
        <f aca="false">IF(C1258=0,"",IF(A1258="GL",IF(G1258&gt;0,"Deposit in transit","Outstanding check / payment"),IF(G1258&gt;0,"Bank credit not in GL","Bank debit not in GL")))</f>
        <v/>
      </c>
      <c r="I1258" s="42" t="str">
        <f aca="false">IF(OR(C1258=0,CFG_PeriodEnd=""),"",CFG_PeriodEnd-D1258)</f>
        <v/>
      </c>
      <c r="J1258" s="5" t="str">
        <f aca="false">IF(C1258=0,"",IF($A1258="Bank",IF(INDEX(Bank!$G:$G,$C1258)="","",INDEX(Bank!$G:$G,$C1258)),IF(INDEX(GL!$G:$G,$C1258)="","",INDEX(GL!$G:$G,$C1258))))</f>
        <v/>
      </c>
      <c r="K1258" s="5" t="str">
        <f aca="false">IF(C1258=0,"",IF($A1258="Bank",IF(INDEX(Bank!$I:$I,$C1258)="","",INDEX(Bank!$I:$I,$C1258)),IF(INDEX(GL!$I:$I,$C1258)="","",INDEX(GL!$I:$I,$C1258))))</f>
        <v/>
      </c>
      <c r="L1258" s="5" t="str">
        <f aca="false">IF(B1258="","",IF(C1258=0,"NOT FOUND",IF(IF($A1258="Bank",INDEX(Bank!$F:$F,$C1258),INDEX(GL!$F:$F,$C1258))="Y","NOW RECONCILED: refresh","OK")))</f>
        <v/>
      </c>
    </row>
    <row r="1259" customFormat="false" ht="15" hidden="false" customHeight="false" outlineLevel="0" collapsed="false">
      <c r="A1259" s="41"/>
      <c r="B1259" s="41"/>
      <c r="C1259" s="5" t="n">
        <f aca="false">IF(B1259="",0,IF(A1259="Bank",IFERROR(MATCH(B1259,Bank!$A:$A,0),0),IFERROR(MATCH(B1259,GL!$A:$A,0),0)))</f>
        <v>0</v>
      </c>
      <c r="D1259" s="32" t="str">
        <f aca="false">IF(C1259=0,"",IF($A1259="Bank",INDEX(Bank!$B:$B,$C1259),INDEX(GL!$B:$B,$C1259)))</f>
        <v/>
      </c>
      <c r="E1259" s="5" t="str">
        <f aca="false">IF(C1259=0,"",IF($A1259="Bank",IF(INDEX(Bank!$C:$C,$C1259)="","",INDEX(Bank!$C:$C,$C1259)),IF(INDEX(GL!$C:$C,$C1259)="","",INDEX(GL!$C:$C,$C1259))))</f>
        <v/>
      </c>
      <c r="F1259" s="5" t="str">
        <f aca="false">IF(C1259=0,"",IF($A1259="Bank",IF(INDEX(Bank!$D:$D,$C1259)="","",INDEX(Bank!$D:$D,$C1259)),IF(INDEX(GL!$D:$D,$C1259)="","",INDEX(GL!$D:$D,$C1259))))</f>
        <v/>
      </c>
      <c r="G1259" s="19" t="str">
        <f aca="false">IF(C1259=0,"",IF($A1259="Bank",INDEX(Bank!$E:$E,$C1259),INDEX(GL!$E:$E,$C1259)))</f>
        <v/>
      </c>
      <c r="H1259" s="5" t="str">
        <f aca="false">IF(C1259=0,"",IF(A1259="GL",IF(G1259&gt;0,"Deposit in transit","Outstanding check / payment"),IF(G1259&gt;0,"Bank credit not in GL","Bank debit not in GL")))</f>
        <v/>
      </c>
      <c r="I1259" s="42" t="str">
        <f aca="false">IF(OR(C1259=0,CFG_PeriodEnd=""),"",CFG_PeriodEnd-D1259)</f>
        <v/>
      </c>
      <c r="J1259" s="5" t="str">
        <f aca="false">IF(C1259=0,"",IF($A1259="Bank",IF(INDEX(Bank!$G:$G,$C1259)="","",INDEX(Bank!$G:$G,$C1259)),IF(INDEX(GL!$G:$G,$C1259)="","",INDEX(GL!$G:$G,$C1259))))</f>
        <v/>
      </c>
      <c r="K1259" s="5" t="str">
        <f aca="false">IF(C1259=0,"",IF($A1259="Bank",IF(INDEX(Bank!$I:$I,$C1259)="","",INDEX(Bank!$I:$I,$C1259)),IF(INDEX(GL!$I:$I,$C1259)="","",INDEX(GL!$I:$I,$C1259))))</f>
        <v/>
      </c>
      <c r="L1259" s="5" t="str">
        <f aca="false">IF(B1259="","",IF(C1259=0,"NOT FOUND",IF(IF($A1259="Bank",INDEX(Bank!$F:$F,$C1259),INDEX(GL!$F:$F,$C1259))="Y","NOW RECONCILED: refresh","OK")))</f>
        <v/>
      </c>
    </row>
    <row r="1260" customFormat="false" ht="15" hidden="false" customHeight="false" outlineLevel="0" collapsed="false">
      <c r="A1260" s="41"/>
      <c r="B1260" s="41"/>
      <c r="C1260" s="5" t="n">
        <f aca="false">IF(B1260="",0,IF(A1260="Bank",IFERROR(MATCH(B1260,Bank!$A:$A,0),0),IFERROR(MATCH(B1260,GL!$A:$A,0),0)))</f>
        <v>0</v>
      </c>
      <c r="D1260" s="32" t="str">
        <f aca="false">IF(C1260=0,"",IF($A1260="Bank",INDEX(Bank!$B:$B,$C1260),INDEX(GL!$B:$B,$C1260)))</f>
        <v/>
      </c>
      <c r="E1260" s="5" t="str">
        <f aca="false">IF(C1260=0,"",IF($A1260="Bank",IF(INDEX(Bank!$C:$C,$C1260)="","",INDEX(Bank!$C:$C,$C1260)),IF(INDEX(GL!$C:$C,$C1260)="","",INDEX(GL!$C:$C,$C1260))))</f>
        <v/>
      </c>
      <c r="F1260" s="5" t="str">
        <f aca="false">IF(C1260=0,"",IF($A1260="Bank",IF(INDEX(Bank!$D:$D,$C1260)="","",INDEX(Bank!$D:$D,$C1260)),IF(INDEX(GL!$D:$D,$C1260)="","",INDEX(GL!$D:$D,$C1260))))</f>
        <v/>
      </c>
      <c r="G1260" s="19" t="str">
        <f aca="false">IF(C1260=0,"",IF($A1260="Bank",INDEX(Bank!$E:$E,$C1260),INDEX(GL!$E:$E,$C1260)))</f>
        <v/>
      </c>
      <c r="H1260" s="5" t="str">
        <f aca="false">IF(C1260=0,"",IF(A1260="GL",IF(G1260&gt;0,"Deposit in transit","Outstanding check / payment"),IF(G1260&gt;0,"Bank credit not in GL","Bank debit not in GL")))</f>
        <v/>
      </c>
      <c r="I1260" s="42" t="str">
        <f aca="false">IF(OR(C1260=0,CFG_PeriodEnd=""),"",CFG_PeriodEnd-D1260)</f>
        <v/>
      </c>
      <c r="J1260" s="5" t="str">
        <f aca="false">IF(C1260=0,"",IF($A1260="Bank",IF(INDEX(Bank!$G:$G,$C1260)="","",INDEX(Bank!$G:$G,$C1260)),IF(INDEX(GL!$G:$G,$C1260)="","",INDEX(GL!$G:$G,$C1260))))</f>
        <v/>
      </c>
      <c r="K1260" s="5" t="str">
        <f aca="false">IF(C1260=0,"",IF($A1260="Bank",IF(INDEX(Bank!$I:$I,$C1260)="","",INDEX(Bank!$I:$I,$C1260)),IF(INDEX(GL!$I:$I,$C1260)="","",INDEX(GL!$I:$I,$C1260))))</f>
        <v/>
      </c>
      <c r="L1260" s="5" t="str">
        <f aca="false">IF(B1260="","",IF(C1260=0,"NOT FOUND",IF(IF($A1260="Bank",INDEX(Bank!$F:$F,$C1260),INDEX(GL!$F:$F,$C1260))="Y","NOW RECONCILED: refresh","OK")))</f>
        <v/>
      </c>
    </row>
    <row r="1261" customFormat="false" ht="15" hidden="false" customHeight="false" outlineLevel="0" collapsed="false">
      <c r="A1261" s="41"/>
      <c r="B1261" s="41"/>
      <c r="C1261" s="5" t="n">
        <f aca="false">IF(B1261="",0,IF(A1261="Bank",IFERROR(MATCH(B1261,Bank!$A:$A,0),0),IFERROR(MATCH(B1261,GL!$A:$A,0),0)))</f>
        <v>0</v>
      </c>
      <c r="D1261" s="32" t="str">
        <f aca="false">IF(C1261=0,"",IF($A1261="Bank",INDEX(Bank!$B:$B,$C1261),INDEX(GL!$B:$B,$C1261)))</f>
        <v/>
      </c>
      <c r="E1261" s="5" t="str">
        <f aca="false">IF(C1261=0,"",IF($A1261="Bank",IF(INDEX(Bank!$C:$C,$C1261)="","",INDEX(Bank!$C:$C,$C1261)),IF(INDEX(GL!$C:$C,$C1261)="","",INDEX(GL!$C:$C,$C1261))))</f>
        <v/>
      </c>
      <c r="F1261" s="5" t="str">
        <f aca="false">IF(C1261=0,"",IF($A1261="Bank",IF(INDEX(Bank!$D:$D,$C1261)="","",INDEX(Bank!$D:$D,$C1261)),IF(INDEX(GL!$D:$D,$C1261)="","",INDEX(GL!$D:$D,$C1261))))</f>
        <v/>
      </c>
      <c r="G1261" s="19" t="str">
        <f aca="false">IF(C1261=0,"",IF($A1261="Bank",INDEX(Bank!$E:$E,$C1261),INDEX(GL!$E:$E,$C1261)))</f>
        <v/>
      </c>
      <c r="H1261" s="5" t="str">
        <f aca="false">IF(C1261=0,"",IF(A1261="GL",IF(G1261&gt;0,"Deposit in transit","Outstanding check / payment"),IF(G1261&gt;0,"Bank credit not in GL","Bank debit not in GL")))</f>
        <v/>
      </c>
      <c r="I1261" s="42" t="str">
        <f aca="false">IF(OR(C1261=0,CFG_PeriodEnd=""),"",CFG_PeriodEnd-D1261)</f>
        <v/>
      </c>
      <c r="J1261" s="5" t="str">
        <f aca="false">IF(C1261=0,"",IF($A1261="Bank",IF(INDEX(Bank!$G:$G,$C1261)="","",INDEX(Bank!$G:$G,$C1261)),IF(INDEX(GL!$G:$G,$C1261)="","",INDEX(GL!$G:$G,$C1261))))</f>
        <v/>
      </c>
      <c r="K1261" s="5" t="str">
        <f aca="false">IF(C1261=0,"",IF($A1261="Bank",IF(INDEX(Bank!$I:$I,$C1261)="","",INDEX(Bank!$I:$I,$C1261)),IF(INDEX(GL!$I:$I,$C1261)="","",INDEX(GL!$I:$I,$C1261))))</f>
        <v/>
      </c>
      <c r="L1261" s="5" t="str">
        <f aca="false">IF(B1261="","",IF(C1261=0,"NOT FOUND",IF(IF($A1261="Bank",INDEX(Bank!$F:$F,$C1261),INDEX(GL!$F:$F,$C1261))="Y","NOW RECONCILED: refresh","OK")))</f>
        <v/>
      </c>
    </row>
    <row r="1262" customFormat="false" ht="15" hidden="false" customHeight="false" outlineLevel="0" collapsed="false">
      <c r="A1262" s="41"/>
      <c r="B1262" s="41"/>
      <c r="C1262" s="5" t="n">
        <f aca="false">IF(B1262="",0,IF(A1262="Bank",IFERROR(MATCH(B1262,Bank!$A:$A,0),0),IFERROR(MATCH(B1262,GL!$A:$A,0),0)))</f>
        <v>0</v>
      </c>
      <c r="D1262" s="32" t="str">
        <f aca="false">IF(C1262=0,"",IF($A1262="Bank",INDEX(Bank!$B:$B,$C1262),INDEX(GL!$B:$B,$C1262)))</f>
        <v/>
      </c>
      <c r="E1262" s="5" t="str">
        <f aca="false">IF(C1262=0,"",IF($A1262="Bank",IF(INDEX(Bank!$C:$C,$C1262)="","",INDEX(Bank!$C:$C,$C1262)),IF(INDEX(GL!$C:$C,$C1262)="","",INDEX(GL!$C:$C,$C1262))))</f>
        <v/>
      </c>
      <c r="F1262" s="5" t="str">
        <f aca="false">IF(C1262=0,"",IF($A1262="Bank",IF(INDEX(Bank!$D:$D,$C1262)="","",INDEX(Bank!$D:$D,$C1262)),IF(INDEX(GL!$D:$D,$C1262)="","",INDEX(GL!$D:$D,$C1262))))</f>
        <v/>
      </c>
      <c r="G1262" s="19" t="str">
        <f aca="false">IF(C1262=0,"",IF($A1262="Bank",INDEX(Bank!$E:$E,$C1262),INDEX(GL!$E:$E,$C1262)))</f>
        <v/>
      </c>
      <c r="H1262" s="5" t="str">
        <f aca="false">IF(C1262=0,"",IF(A1262="GL",IF(G1262&gt;0,"Deposit in transit","Outstanding check / payment"),IF(G1262&gt;0,"Bank credit not in GL","Bank debit not in GL")))</f>
        <v/>
      </c>
      <c r="I1262" s="42" t="str">
        <f aca="false">IF(OR(C1262=0,CFG_PeriodEnd=""),"",CFG_PeriodEnd-D1262)</f>
        <v/>
      </c>
      <c r="J1262" s="5" t="str">
        <f aca="false">IF(C1262=0,"",IF($A1262="Bank",IF(INDEX(Bank!$G:$G,$C1262)="","",INDEX(Bank!$G:$G,$C1262)),IF(INDEX(GL!$G:$G,$C1262)="","",INDEX(GL!$G:$G,$C1262))))</f>
        <v/>
      </c>
      <c r="K1262" s="5" t="str">
        <f aca="false">IF(C1262=0,"",IF($A1262="Bank",IF(INDEX(Bank!$I:$I,$C1262)="","",INDEX(Bank!$I:$I,$C1262)),IF(INDEX(GL!$I:$I,$C1262)="","",INDEX(GL!$I:$I,$C1262))))</f>
        <v/>
      </c>
      <c r="L1262" s="5" t="str">
        <f aca="false">IF(B1262="","",IF(C1262=0,"NOT FOUND",IF(IF($A1262="Bank",INDEX(Bank!$F:$F,$C1262),INDEX(GL!$F:$F,$C1262))="Y","NOW RECONCILED: refresh","OK")))</f>
        <v/>
      </c>
    </row>
    <row r="1263" customFormat="false" ht="15" hidden="false" customHeight="false" outlineLevel="0" collapsed="false">
      <c r="A1263" s="41"/>
      <c r="B1263" s="41"/>
      <c r="C1263" s="5" t="n">
        <f aca="false">IF(B1263="",0,IF(A1263="Bank",IFERROR(MATCH(B1263,Bank!$A:$A,0),0),IFERROR(MATCH(B1263,GL!$A:$A,0),0)))</f>
        <v>0</v>
      </c>
      <c r="D1263" s="32" t="str">
        <f aca="false">IF(C1263=0,"",IF($A1263="Bank",INDEX(Bank!$B:$B,$C1263),INDEX(GL!$B:$B,$C1263)))</f>
        <v/>
      </c>
      <c r="E1263" s="5" t="str">
        <f aca="false">IF(C1263=0,"",IF($A1263="Bank",IF(INDEX(Bank!$C:$C,$C1263)="","",INDEX(Bank!$C:$C,$C1263)),IF(INDEX(GL!$C:$C,$C1263)="","",INDEX(GL!$C:$C,$C1263))))</f>
        <v/>
      </c>
      <c r="F1263" s="5" t="str">
        <f aca="false">IF(C1263=0,"",IF($A1263="Bank",IF(INDEX(Bank!$D:$D,$C1263)="","",INDEX(Bank!$D:$D,$C1263)),IF(INDEX(GL!$D:$D,$C1263)="","",INDEX(GL!$D:$D,$C1263))))</f>
        <v/>
      </c>
      <c r="G1263" s="19" t="str">
        <f aca="false">IF(C1263=0,"",IF($A1263="Bank",INDEX(Bank!$E:$E,$C1263),INDEX(GL!$E:$E,$C1263)))</f>
        <v/>
      </c>
      <c r="H1263" s="5" t="str">
        <f aca="false">IF(C1263=0,"",IF(A1263="GL",IF(G1263&gt;0,"Deposit in transit","Outstanding check / payment"),IF(G1263&gt;0,"Bank credit not in GL","Bank debit not in GL")))</f>
        <v/>
      </c>
      <c r="I1263" s="42" t="str">
        <f aca="false">IF(OR(C1263=0,CFG_PeriodEnd=""),"",CFG_PeriodEnd-D1263)</f>
        <v/>
      </c>
      <c r="J1263" s="5" t="str">
        <f aca="false">IF(C1263=0,"",IF($A1263="Bank",IF(INDEX(Bank!$G:$G,$C1263)="","",INDEX(Bank!$G:$G,$C1263)),IF(INDEX(GL!$G:$G,$C1263)="","",INDEX(GL!$G:$G,$C1263))))</f>
        <v/>
      </c>
      <c r="K1263" s="5" t="str">
        <f aca="false">IF(C1263=0,"",IF($A1263="Bank",IF(INDEX(Bank!$I:$I,$C1263)="","",INDEX(Bank!$I:$I,$C1263)),IF(INDEX(GL!$I:$I,$C1263)="","",INDEX(GL!$I:$I,$C1263))))</f>
        <v/>
      </c>
      <c r="L1263" s="5" t="str">
        <f aca="false">IF(B1263="","",IF(C1263=0,"NOT FOUND",IF(IF($A1263="Bank",INDEX(Bank!$F:$F,$C1263),INDEX(GL!$F:$F,$C1263))="Y","NOW RECONCILED: refresh","OK")))</f>
        <v/>
      </c>
    </row>
    <row r="1264" customFormat="false" ht="15" hidden="false" customHeight="false" outlineLevel="0" collapsed="false">
      <c r="A1264" s="41"/>
      <c r="B1264" s="41"/>
      <c r="C1264" s="5" t="n">
        <f aca="false">IF(B1264="",0,IF(A1264="Bank",IFERROR(MATCH(B1264,Bank!$A:$A,0),0),IFERROR(MATCH(B1264,GL!$A:$A,0),0)))</f>
        <v>0</v>
      </c>
      <c r="D1264" s="32" t="str">
        <f aca="false">IF(C1264=0,"",IF($A1264="Bank",INDEX(Bank!$B:$B,$C1264),INDEX(GL!$B:$B,$C1264)))</f>
        <v/>
      </c>
      <c r="E1264" s="5" t="str">
        <f aca="false">IF(C1264=0,"",IF($A1264="Bank",IF(INDEX(Bank!$C:$C,$C1264)="","",INDEX(Bank!$C:$C,$C1264)),IF(INDEX(GL!$C:$C,$C1264)="","",INDEX(GL!$C:$C,$C1264))))</f>
        <v/>
      </c>
      <c r="F1264" s="5" t="str">
        <f aca="false">IF(C1264=0,"",IF($A1264="Bank",IF(INDEX(Bank!$D:$D,$C1264)="","",INDEX(Bank!$D:$D,$C1264)),IF(INDEX(GL!$D:$D,$C1264)="","",INDEX(GL!$D:$D,$C1264))))</f>
        <v/>
      </c>
      <c r="G1264" s="19" t="str">
        <f aca="false">IF(C1264=0,"",IF($A1264="Bank",INDEX(Bank!$E:$E,$C1264),INDEX(GL!$E:$E,$C1264)))</f>
        <v/>
      </c>
      <c r="H1264" s="5" t="str">
        <f aca="false">IF(C1264=0,"",IF(A1264="GL",IF(G1264&gt;0,"Deposit in transit","Outstanding check / payment"),IF(G1264&gt;0,"Bank credit not in GL","Bank debit not in GL")))</f>
        <v/>
      </c>
      <c r="I1264" s="42" t="str">
        <f aca="false">IF(OR(C1264=0,CFG_PeriodEnd=""),"",CFG_PeriodEnd-D1264)</f>
        <v/>
      </c>
      <c r="J1264" s="5" t="str">
        <f aca="false">IF(C1264=0,"",IF($A1264="Bank",IF(INDEX(Bank!$G:$G,$C1264)="","",INDEX(Bank!$G:$G,$C1264)),IF(INDEX(GL!$G:$G,$C1264)="","",INDEX(GL!$G:$G,$C1264))))</f>
        <v/>
      </c>
      <c r="K1264" s="5" t="str">
        <f aca="false">IF(C1264=0,"",IF($A1264="Bank",IF(INDEX(Bank!$I:$I,$C1264)="","",INDEX(Bank!$I:$I,$C1264)),IF(INDEX(GL!$I:$I,$C1264)="","",INDEX(GL!$I:$I,$C1264))))</f>
        <v/>
      </c>
      <c r="L1264" s="5" t="str">
        <f aca="false">IF(B1264="","",IF(C1264=0,"NOT FOUND",IF(IF($A1264="Bank",INDEX(Bank!$F:$F,$C1264),INDEX(GL!$F:$F,$C1264))="Y","NOW RECONCILED: refresh","OK")))</f>
        <v/>
      </c>
    </row>
    <row r="1265" customFormat="false" ht="15" hidden="false" customHeight="false" outlineLevel="0" collapsed="false">
      <c r="A1265" s="41"/>
      <c r="B1265" s="41"/>
      <c r="C1265" s="5" t="n">
        <f aca="false">IF(B1265="",0,IF(A1265="Bank",IFERROR(MATCH(B1265,Bank!$A:$A,0),0),IFERROR(MATCH(B1265,GL!$A:$A,0),0)))</f>
        <v>0</v>
      </c>
      <c r="D1265" s="32" t="str">
        <f aca="false">IF(C1265=0,"",IF($A1265="Bank",INDEX(Bank!$B:$B,$C1265),INDEX(GL!$B:$B,$C1265)))</f>
        <v/>
      </c>
      <c r="E1265" s="5" t="str">
        <f aca="false">IF(C1265=0,"",IF($A1265="Bank",IF(INDEX(Bank!$C:$C,$C1265)="","",INDEX(Bank!$C:$C,$C1265)),IF(INDEX(GL!$C:$C,$C1265)="","",INDEX(GL!$C:$C,$C1265))))</f>
        <v/>
      </c>
      <c r="F1265" s="5" t="str">
        <f aca="false">IF(C1265=0,"",IF($A1265="Bank",IF(INDEX(Bank!$D:$D,$C1265)="","",INDEX(Bank!$D:$D,$C1265)),IF(INDEX(GL!$D:$D,$C1265)="","",INDEX(GL!$D:$D,$C1265))))</f>
        <v/>
      </c>
      <c r="G1265" s="19" t="str">
        <f aca="false">IF(C1265=0,"",IF($A1265="Bank",INDEX(Bank!$E:$E,$C1265),INDEX(GL!$E:$E,$C1265)))</f>
        <v/>
      </c>
      <c r="H1265" s="5" t="str">
        <f aca="false">IF(C1265=0,"",IF(A1265="GL",IF(G1265&gt;0,"Deposit in transit","Outstanding check / payment"),IF(G1265&gt;0,"Bank credit not in GL","Bank debit not in GL")))</f>
        <v/>
      </c>
      <c r="I1265" s="42" t="str">
        <f aca="false">IF(OR(C1265=0,CFG_PeriodEnd=""),"",CFG_PeriodEnd-D1265)</f>
        <v/>
      </c>
      <c r="J1265" s="5" t="str">
        <f aca="false">IF(C1265=0,"",IF($A1265="Bank",IF(INDEX(Bank!$G:$G,$C1265)="","",INDEX(Bank!$G:$G,$C1265)),IF(INDEX(GL!$G:$G,$C1265)="","",INDEX(GL!$G:$G,$C1265))))</f>
        <v/>
      </c>
      <c r="K1265" s="5" t="str">
        <f aca="false">IF(C1265=0,"",IF($A1265="Bank",IF(INDEX(Bank!$I:$I,$C1265)="","",INDEX(Bank!$I:$I,$C1265)),IF(INDEX(GL!$I:$I,$C1265)="","",INDEX(GL!$I:$I,$C1265))))</f>
        <v/>
      </c>
      <c r="L1265" s="5" t="str">
        <f aca="false">IF(B1265="","",IF(C1265=0,"NOT FOUND",IF(IF($A1265="Bank",INDEX(Bank!$F:$F,$C1265),INDEX(GL!$F:$F,$C1265))="Y","NOW RECONCILED: refresh","OK")))</f>
        <v/>
      </c>
    </row>
    <row r="1266" customFormat="false" ht="15" hidden="false" customHeight="false" outlineLevel="0" collapsed="false">
      <c r="A1266" s="41"/>
      <c r="B1266" s="41"/>
      <c r="C1266" s="5" t="n">
        <f aca="false">IF(B1266="",0,IF(A1266="Bank",IFERROR(MATCH(B1266,Bank!$A:$A,0),0),IFERROR(MATCH(B1266,GL!$A:$A,0),0)))</f>
        <v>0</v>
      </c>
      <c r="D1266" s="32" t="str">
        <f aca="false">IF(C1266=0,"",IF($A1266="Bank",INDEX(Bank!$B:$B,$C1266),INDEX(GL!$B:$B,$C1266)))</f>
        <v/>
      </c>
      <c r="E1266" s="5" t="str">
        <f aca="false">IF(C1266=0,"",IF($A1266="Bank",IF(INDEX(Bank!$C:$C,$C1266)="","",INDEX(Bank!$C:$C,$C1266)),IF(INDEX(GL!$C:$C,$C1266)="","",INDEX(GL!$C:$C,$C1266))))</f>
        <v/>
      </c>
      <c r="F1266" s="5" t="str">
        <f aca="false">IF(C1266=0,"",IF($A1266="Bank",IF(INDEX(Bank!$D:$D,$C1266)="","",INDEX(Bank!$D:$D,$C1266)),IF(INDEX(GL!$D:$D,$C1266)="","",INDEX(GL!$D:$D,$C1266))))</f>
        <v/>
      </c>
      <c r="G1266" s="19" t="str">
        <f aca="false">IF(C1266=0,"",IF($A1266="Bank",INDEX(Bank!$E:$E,$C1266),INDEX(GL!$E:$E,$C1266)))</f>
        <v/>
      </c>
      <c r="H1266" s="5" t="str">
        <f aca="false">IF(C1266=0,"",IF(A1266="GL",IF(G1266&gt;0,"Deposit in transit","Outstanding check / payment"),IF(G1266&gt;0,"Bank credit not in GL","Bank debit not in GL")))</f>
        <v/>
      </c>
      <c r="I1266" s="42" t="str">
        <f aca="false">IF(OR(C1266=0,CFG_PeriodEnd=""),"",CFG_PeriodEnd-D1266)</f>
        <v/>
      </c>
      <c r="J1266" s="5" t="str">
        <f aca="false">IF(C1266=0,"",IF($A1266="Bank",IF(INDEX(Bank!$G:$G,$C1266)="","",INDEX(Bank!$G:$G,$C1266)),IF(INDEX(GL!$G:$G,$C1266)="","",INDEX(GL!$G:$G,$C1266))))</f>
        <v/>
      </c>
      <c r="K1266" s="5" t="str">
        <f aca="false">IF(C1266=0,"",IF($A1266="Bank",IF(INDEX(Bank!$I:$I,$C1266)="","",INDEX(Bank!$I:$I,$C1266)),IF(INDEX(GL!$I:$I,$C1266)="","",INDEX(GL!$I:$I,$C1266))))</f>
        <v/>
      </c>
      <c r="L1266" s="5" t="str">
        <f aca="false">IF(B1266="","",IF(C1266=0,"NOT FOUND",IF(IF($A1266="Bank",INDEX(Bank!$F:$F,$C1266),INDEX(GL!$F:$F,$C1266))="Y","NOW RECONCILED: refresh","OK")))</f>
        <v/>
      </c>
    </row>
    <row r="1267" customFormat="false" ht="15" hidden="false" customHeight="false" outlineLevel="0" collapsed="false">
      <c r="A1267" s="41"/>
      <c r="B1267" s="41"/>
      <c r="C1267" s="5" t="n">
        <f aca="false">IF(B1267="",0,IF(A1267="Bank",IFERROR(MATCH(B1267,Bank!$A:$A,0),0),IFERROR(MATCH(B1267,GL!$A:$A,0),0)))</f>
        <v>0</v>
      </c>
      <c r="D1267" s="32" t="str">
        <f aca="false">IF(C1267=0,"",IF($A1267="Bank",INDEX(Bank!$B:$B,$C1267),INDEX(GL!$B:$B,$C1267)))</f>
        <v/>
      </c>
      <c r="E1267" s="5" t="str">
        <f aca="false">IF(C1267=0,"",IF($A1267="Bank",IF(INDEX(Bank!$C:$C,$C1267)="","",INDEX(Bank!$C:$C,$C1267)),IF(INDEX(GL!$C:$C,$C1267)="","",INDEX(GL!$C:$C,$C1267))))</f>
        <v/>
      </c>
      <c r="F1267" s="5" t="str">
        <f aca="false">IF(C1267=0,"",IF($A1267="Bank",IF(INDEX(Bank!$D:$D,$C1267)="","",INDEX(Bank!$D:$D,$C1267)),IF(INDEX(GL!$D:$D,$C1267)="","",INDEX(GL!$D:$D,$C1267))))</f>
        <v/>
      </c>
      <c r="G1267" s="19" t="str">
        <f aca="false">IF(C1267=0,"",IF($A1267="Bank",INDEX(Bank!$E:$E,$C1267),INDEX(GL!$E:$E,$C1267)))</f>
        <v/>
      </c>
      <c r="H1267" s="5" t="str">
        <f aca="false">IF(C1267=0,"",IF(A1267="GL",IF(G1267&gt;0,"Deposit in transit","Outstanding check / payment"),IF(G1267&gt;0,"Bank credit not in GL","Bank debit not in GL")))</f>
        <v/>
      </c>
      <c r="I1267" s="42" t="str">
        <f aca="false">IF(OR(C1267=0,CFG_PeriodEnd=""),"",CFG_PeriodEnd-D1267)</f>
        <v/>
      </c>
      <c r="J1267" s="5" t="str">
        <f aca="false">IF(C1267=0,"",IF($A1267="Bank",IF(INDEX(Bank!$G:$G,$C1267)="","",INDEX(Bank!$G:$G,$C1267)),IF(INDEX(GL!$G:$G,$C1267)="","",INDEX(GL!$G:$G,$C1267))))</f>
        <v/>
      </c>
      <c r="K1267" s="5" t="str">
        <f aca="false">IF(C1267=0,"",IF($A1267="Bank",IF(INDEX(Bank!$I:$I,$C1267)="","",INDEX(Bank!$I:$I,$C1267)),IF(INDEX(GL!$I:$I,$C1267)="","",INDEX(GL!$I:$I,$C1267))))</f>
        <v/>
      </c>
      <c r="L1267" s="5" t="str">
        <f aca="false">IF(B1267="","",IF(C1267=0,"NOT FOUND",IF(IF($A1267="Bank",INDEX(Bank!$F:$F,$C1267),INDEX(GL!$F:$F,$C1267))="Y","NOW RECONCILED: refresh","OK")))</f>
        <v/>
      </c>
    </row>
    <row r="1268" customFormat="false" ht="15" hidden="false" customHeight="false" outlineLevel="0" collapsed="false">
      <c r="A1268" s="41"/>
      <c r="B1268" s="41"/>
      <c r="C1268" s="5" t="n">
        <f aca="false">IF(B1268="",0,IF(A1268="Bank",IFERROR(MATCH(B1268,Bank!$A:$A,0),0),IFERROR(MATCH(B1268,GL!$A:$A,0),0)))</f>
        <v>0</v>
      </c>
      <c r="D1268" s="32" t="str">
        <f aca="false">IF(C1268=0,"",IF($A1268="Bank",INDEX(Bank!$B:$B,$C1268),INDEX(GL!$B:$B,$C1268)))</f>
        <v/>
      </c>
      <c r="E1268" s="5" t="str">
        <f aca="false">IF(C1268=0,"",IF($A1268="Bank",IF(INDEX(Bank!$C:$C,$C1268)="","",INDEX(Bank!$C:$C,$C1268)),IF(INDEX(GL!$C:$C,$C1268)="","",INDEX(GL!$C:$C,$C1268))))</f>
        <v/>
      </c>
      <c r="F1268" s="5" t="str">
        <f aca="false">IF(C1268=0,"",IF($A1268="Bank",IF(INDEX(Bank!$D:$D,$C1268)="","",INDEX(Bank!$D:$D,$C1268)),IF(INDEX(GL!$D:$D,$C1268)="","",INDEX(GL!$D:$D,$C1268))))</f>
        <v/>
      </c>
      <c r="G1268" s="19" t="str">
        <f aca="false">IF(C1268=0,"",IF($A1268="Bank",INDEX(Bank!$E:$E,$C1268),INDEX(GL!$E:$E,$C1268)))</f>
        <v/>
      </c>
      <c r="H1268" s="5" t="str">
        <f aca="false">IF(C1268=0,"",IF(A1268="GL",IF(G1268&gt;0,"Deposit in transit","Outstanding check / payment"),IF(G1268&gt;0,"Bank credit not in GL","Bank debit not in GL")))</f>
        <v/>
      </c>
      <c r="I1268" s="42" t="str">
        <f aca="false">IF(OR(C1268=0,CFG_PeriodEnd=""),"",CFG_PeriodEnd-D1268)</f>
        <v/>
      </c>
      <c r="J1268" s="5" t="str">
        <f aca="false">IF(C1268=0,"",IF($A1268="Bank",IF(INDEX(Bank!$G:$G,$C1268)="","",INDEX(Bank!$G:$G,$C1268)),IF(INDEX(GL!$G:$G,$C1268)="","",INDEX(GL!$G:$G,$C1268))))</f>
        <v/>
      </c>
      <c r="K1268" s="5" t="str">
        <f aca="false">IF(C1268=0,"",IF($A1268="Bank",IF(INDEX(Bank!$I:$I,$C1268)="","",INDEX(Bank!$I:$I,$C1268)),IF(INDEX(GL!$I:$I,$C1268)="","",INDEX(GL!$I:$I,$C1268))))</f>
        <v/>
      </c>
      <c r="L1268" s="5" t="str">
        <f aca="false">IF(B1268="","",IF(C1268=0,"NOT FOUND",IF(IF($A1268="Bank",INDEX(Bank!$F:$F,$C1268),INDEX(GL!$F:$F,$C1268))="Y","NOW RECONCILED: refresh","OK")))</f>
        <v/>
      </c>
    </row>
    <row r="1269" customFormat="false" ht="15" hidden="false" customHeight="false" outlineLevel="0" collapsed="false">
      <c r="A1269" s="41"/>
      <c r="B1269" s="41"/>
      <c r="C1269" s="5" t="n">
        <f aca="false">IF(B1269="",0,IF(A1269="Bank",IFERROR(MATCH(B1269,Bank!$A:$A,0),0),IFERROR(MATCH(B1269,GL!$A:$A,0),0)))</f>
        <v>0</v>
      </c>
      <c r="D1269" s="32" t="str">
        <f aca="false">IF(C1269=0,"",IF($A1269="Bank",INDEX(Bank!$B:$B,$C1269),INDEX(GL!$B:$B,$C1269)))</f>
        <v/>
      </c>
      <c r="E1269" s="5" t="str">
        <f aca="false">IF(C1269=0,"",IF($A1269="Bank",IF(INDEX(Bank!$C:$C,$C1269)="","",INDEX(Bank!$C:$C,$C1269)),IF(INDEX(GL!$C:$C,$C1269)="","",INDEX(GL!$C:$C,$C1269))))</f>
        <v/>
      </c>
      <c r="F1269" s="5" t="str">
        <f aca="false">IF(C1269=0,"",IF($A1269="Bank",IF(INDEX(Bank!$D:$D,$C1269)="","",INDEX(Bank!$D:$D,$C1269)),IF(INDEX(GL!$D:$D,$C1269)="","",INDEX(GL!$D:$D,$C1269))))</f>
        <v/>
      </c>
      <c r="G1269" s="19" t="str">
        <f aca="false">IF(C1269=0,"",IF($A1269="Bank",INDEX(Bank!$E:$E,$C1269),INDEX(GL!$E:$E,$C1269)))</f>
        <v/>
      </c>
      <c r="H1269" s="5" t="str">
        <f aca="false">IF(C1269=0,"",IF(A1269="GL",IF(G1269&gt;0,"Deposit in transit","Outstanding check / payment"),IF(G1269&gt;0,"Bank credit not in GL","Bank debit not in GL")))</f>
        <v/>
      </c>
      <c r="I1269" s="42" t="str">
        <f aca="false">IF(OR(C1269=0,CFG_PeriodEnd=""),"",CFG_PeriodEnd-D1269)</f>
        <v/>
      </c>
      <c r="J1269" s="5" t="str">
        <f aca="false">IF(C1269=0,"",IF($A1269="Bank",IF(INDEX(Bank!$G:$G,$C1269)="","",INDEX(Bank!$G:$G,$C1269)),IF(INDEX(GL!$G:$G,$C1269)="","",INDEX(GL!$G:$G,$C1269))))</f>
        <v/>
      </c>
      <c r="K1269" s="5" t="str">
        <f aca="false">IF(C1269=0,"",IF($A1269="Bank",IF(INDEX(Bank!$I:$I,$C1269)="","",INDEX(Bank!$I:$I,$C1269)),IF(INDEX(GL!$I:$I,$C1269)="","",INDEX(GL!$I:$I,$C1269))))</f>
        <v/>
      </c>
      <c r="L1269" s="5" t="str">
        <f aca="false">IF(B1269="","",IF(C1269=0,"NOT FOUND",IF(IF($A1269="Bank",INDEX(Bank!$F:$F,$C1269),INDEX(GL!$F:$F,$C1269))="Y","NOW RECONCILED: refresh","OK")))</f>
        <v/>
      </c>
    </row>
    <row r="1270" customFormat="false" ht="15" hidden="false" customHeight="false" outlineLevel="0" collapsed="false">
      <c r="A1270" s="41"/>
      <c r="B1270" s="41"/>
      <c r="C1270" s="5" t="n">
        <f aca="false">IF(B1270="",0,IF(A1270="Bank",IFERROR(MATCH(B1270,Bank!$A:$A,0),0),IFERROR(MATCH(B1270,GL!$A:$A,0),0)))</f>
        <v>0</v>
      </c>
      <c r="D1270" s="32" t="str">
        <f aca="false">IF(C1270=0,"",IF($A1270="Bank",INDEX(Bank!$B:$B,$C1270),INDEX(GL!$B:$B,$C1270)))</f>
        <v/>
      </c>
      <c r="E1270" s="5" t="str">
        <f aca="false">IF(C1270=0,"",IF($A1270="Bank",IF(INDEX(Bank!$C:$C,$C1270)="","",INDEX(Bank!$C:$C,$C1270)),IF(INDEX(GL!$C:$C,$C1270)="","",INDEX(GL!$C:$C,$C1270))))</f>
        <v/>
      </c>
      <c r="F1270" s="5" t="str">
        <f aca="false">IF(C1270=0,"",IF($A1270="Bank",IF(INDEX(Bank!$D:$D,$C1270)="","",INDEX(Bank!$D:$D,$C1270)),IF(INDEX(GL!$D:$D,$C1270)="","",INDEX(GL!$D:$D,$C1270))))</f>
        <v/>
      </c>
      <c r="G1270" s="19" t="str">
        <f aca="false">IF(C1270=0,"",IF($A1270="Bank",INDEX(Bank!$E:$E,$C1270),INDEX(GL!$E:$E,$C1270)))</f>
        <v/>
      </c>
      <c r="H1270" s="5" t="str">
        <f aca="false">IF(C1270=0,"",IF(A1270="GL",IF(G1270&gt;0,"Deposit in transit","Outstanding check / payment"),IF(G1270&gt;0,"Bank credit not in GL","Bank debit not in GL")))</f>
        <v/>
      </c>
      <c r="I1270" s="42" t="str">
        <f aca="false">IF(OR(C1270=0,CFG_PeriodEnd=""),"",CFG_PeriodEnd-D1270)</f>
        <v/>
      </c>
      <c r="J1270" s="5" t="str">
        <f aca="false">IF(C1270=0,"",IF($A1270="Bank",IF(INDEX(Bank!$G:$G,$C1270)="","",INDEX(Bank!$G:$G,$C1270)),IF(INDEX(GL!$G:$G,$C1270)="","",INDEX(GL!$G:$G,$C1270))))</f>
        <v/>
      </c>
      <c r="K1270" s="5" t="str">
        <f aca="false">IF(C1270=0,"",IF($A1270="Bank",IF(INDEX(Bank!$I:$I,$C1270)="","",INDEX(Bank!$I:$I,$C1270)),IF(INDEX(GL!$I:$I,$C1270)="","",INDEX(GL!$I:$I,$C1270))))</f>
        <v/>
      </c>
      <c r="L1270" s="5" t="str">
        <f aca="false">IF(B1270="","",IF(C1270=0,"NOT FOUND",IF(IF($A1270="Bank",INDEX(Bank!$F:$F,$C1270),INDEX(GL!$F:$F,$C1270))="Y","NOW RECONCILED: refresh","OK")))</f>
        <v/>
      </c>
    </row>
    <row r="1271" customFormat="false" ht="15" hidden="false" customHeight="false" outlineLevel="0" collapsed="false">
      <c r="A1271" s="41"/>
      <c r="B1271" s="41"/>
      <c r="C1271" s="5" t="n">
        <f aca="false">IF(B1271="",0,IF(A1271="Bank",IFERROR(MATCH(B1271,Bank!$A:$A,0),0),IFERROR(MATCH(B1271,GL!$A:$A,0),0)))</f>
        <v>0</v>
      </c>
      <c r="D1271" s="32" t="str">
        <f aca="false">IF(C1271=0,"",IF($A1271="Bank",INDEX(Bank!$B:$B,$C1271),INDEX(GL!$B:$B,$C1271)))</f>
        <v/>
      </c>
      <c r="E1271" s="5" t="str">
        <f aca="false">IF(C1271=0,"",IF($A1271="Bank",IF(INDEX(Bank!$C:$C,$C1271)="","",INDEX(Bank!$C:$C,$C1271)),IF(INDEX(GL!$C:$C,$C1271)="","",INDEX(GL!$C:$C,$C1271))))</f>
        <v/>
      </c>
      <c r="F1271" s="5" t="str">
        <f aca="false">IF(C1271=0,"",IF($A1271="Bank",IF(INDEX(Bank!$D:$D,$C1271)="","",INDEX(Bank!$D:$D,$C1271)),IF(INDEX(GL!$D:$D,$C1271)="","",INDEX(GL!$D:$D,$C1271))))</f>
        <v/>
      </c>
      <c r="G1271" s="19" t="str">
        <f aca="false">IF(C1271=0,"",IF($A1271="Bank",INDEX(Bank!$E:$E,$C1271),INDEX(GL!$E:$E,$C1271)))</f>
        <v/>
      </c>
      <c r="H1271" s="5" t="str">
        <f aca="false">IF(C1271=0,"",IF(A1271="GL",IF(G1271&gt;0,"Deposit in transit","Outstanding check / payment"),IF(G1271&gt;0,"Bank credit not in GL","Bank debit not in GL")))</f>
        <v/>
      </c>
      <c r="I1271" s="42" t="str">
        <f aca="false">IF(OR(C1271=0,CFG_PeriodEnd=""),"",CFG_PeriodEnd-D1271)</f>
        <v/>
      </c>
      <c r="J1271" s="5" t="str">
        <f aca="false">IF(C1271=0,"",IF($A1271="Bank",IF(INDEX(Bank!$G:$G,$C1271)="","",INDEX(Bank!$G:$G,$C1271)),IF(INDEX(GL!$G:$G,$C1271)="","",INDEX(GL!$G:$G,$C1271))))</f>
        <v/>
      </c>
      <c r="K1271" s="5" t="str">
        <f aca="false">IF(C1271=0,"",IF($A1271="Bank",IF(INDEX(Bank!$I:$I,$C1271)="","",INDEX(Bank!$I:$I,$C1271)),IF(INDEX(GL!$I:$I,$C1271)="","",INDEX(GL!$I:$I,$C1271))))</f>
        <v/>
      </c>
      <c r="L1271" s="5" t="str">
        <f aca="false">IF(B1271="","",IF(C1271=0,"NOT FOUND",IF(IF($A1271="Bank",INDEX(Bank!$F:$F,$C1271),INDEX(GL!$F:$F,$C1271))="Y","NOW RECONCILED: refresh","OK")))</f>
        <v/>
      </c>
    </row>
    <row r="1272" customFormat="false" ht="15" hidden="false" customHeight="false" outlineLevel="0" collapsed="false">
      <c r="A1272" s="41"/>
      <c r="B1272" s="41"/>
      <c r="C1272" s="5" t="n">
        <f aca="false">IF(B1272="",0,IF(A1272="Bank",IFERROR(MATCH(B1272,Bank!$A:$A,0),0),IFERROR(MATCH(B1272,GL!$A:$A,0),0)))</f>
        <v>0</v>
      </c>
      <c r="D1272" s="32" t="str">
        <f aca="false">IF(C1272=0,"",IF($A1272="Bank",INDEX(Bank!$B:$B,$C1272),INDEX(GL!$B:$B,$C1272)))</f>
        <v/>
      </c>
      <c r="E1272" s="5" t="str">
        <f aca="false">IF(C1272=0,"",IF($A1272="Bank",IF(INDEX(Bank!$C:$C,$C1272)="","",INDEX(Bank!$C:$C,$C1272)),IF(INDEX(GL!$C:$C,$C1272)="","",INDEX(GL!$C:$C,$C1272))))</f>
        <v/>
      </c>
      <c r="F1272" s="5" t="str">
        <f aca="false">IF(C1272=0,"",IF($A1272="Bank",IF(INDEX(Bank!$D:$D,$C1272)="","",INDEX(Bank!$D:$D,$C1272)),IF(INDEX(GL!$D:$D,$C1272)="","",INDEX(GL!$D:$D,$C1272))))</f>
        <v/>
      </c>
      <c r="G1272" s="19" t="str">
        <f aca="false">IF(C1272=0,"",IF($A1272="Bank",INDEX(Bank!$E:$E,$C1272),INDEX(GL!$E:$E,$C1272)))</f>
        <v/>
      </c>
      <c r="H1272" s="5" t="str">
        <f aca="false">IF(C1272=0,"",IF(A1272="GL",IF(G1272&gt;0,"Deposit in transit","Outstanding check / payment"),IF(G1272&gt;0,"Bank credit not in GL","Bank debit not in GL")))</f>
        <v/>
      </c>
      <c r="I1272" s="42" t="str">
        <f aca="false">IF(OR(C1272=0,CFG_PeriodEnd=""),"",CFG_PeriodEnd-D1272)</f>
        <v/>
      </c>
      <c r="J1272" s="5" t="str">
        <f aca="false">IF(C1272=0,"",IF($A1272="Bank",IF(INDEX(Bank!$G:$G,$C1272)="","",INDEX(Bank!$G:$G,$C1272)),IF(INDEX(GL!$G:$G,$C1272)="","",INDEX(GL!$G:$G,$C1272))))</f>
        <v/>
      </c>
      <c r="K1272" s="5" t="str">
        <f aca="false">IF(C1272=0,"",IF($A1272="Bank",IF(INDEX(Bank!$I:$I,$C1272)="","",INDEX(Bank!$I:$I,$C1272)),IF(INDEX(GL!$I:$I,$C1272)="","",INDEX(GL!$I:$I,$C1272))))</f>
        <v/>
      </c>
      <c r="L1272" s="5" t="str">
        <f aca="false">IF(B1272="","",IF(C1272=0,"NOT FOUND",IF(IF($A1272="Bank",INDEX(Bank!$F:$F,$C1272),INDEX(GL!$F:$F,$C1272))="Y","NOW RECONCILED: refresh","OK")))</f>
        <v/>
      </c>
    </row>
    <row r="1273" customFormat="false" ht="15" hidden="false" customHeight="false" outlineLevel="0" collapsed="false">
      <c r="A1273" s="41"/>
      <c r="B1273" s="41"/>
      <c r="C1273" s="5" t="n">
        <f aca="false">IF(B1273="",0,IF(A1273="Bank",IFERROR(MATCH(B1273,Bank!$A:$A,0),0),IFERROR(MATCH(B1273,GL!$A:$A,0),0)))</f>
        <v>0</v>
      </c>
      <c r="D1273" s="32" t="str">
        <f aca="false">IF(C1273=0,"",IF($A1273="Bank",INDEX(Bank!$B:$B,$C1273),INDEX(GL!$B:$B,$C1273)))</f>
        <v/>
      </c>
      <c r="E1273" s="5" t="str">
        <f aca="false">IF(C1273=0,"",IF($A1273="Bank",IF(INDEX(Bank!$C:$C,$C1273)="","",INDEX(Bank!$C:$C,$C1273)),IF(INDEX(GL!$C:$C,$C1273)="","",INDEX(GL!$C:$C,$C1273))))</f>
        <v/>
      </c>
      <c r="F1273" s="5" t="str">
        <f aca="false">IF(C1273=0,"",IF($A1273="Bank",IF(INDEX(Bank!$D:$D,$C1273)="","",INDEX(Bank!$D:$D,$C1273)),IF(INDEX(GL!$D:$D,$C1273)="","",INDEX(GL!$D:$D,$C1273))))</f>
        <v/>
      </c>
      <c r="G1273" s="19" t="str">
        <f aca="false">IF(C1273=0,"",IF($A1273="Bank",INDEX(Bank!$E:$E,$C1273),INDEX(GL!$E:$E,$C1273)))</f>
        <v/>
      </c>
      <c r="H1273" s="5" t="str">
        <f aca="false">IF(C1273=0,"",IF(A1273="GL",IF(G1273&gt;0,"Deposit in transit","Outstanding check / payment"),IF(G1273&gt;0,"Bank credit not in GL","Bank debit not in GL")))</f>
        <v/>
      </c>
      <c r="I1273" s="42" t="str">
        <f aca="false">IF(OR(C1273=0,CFG_PeriodEnd=""),"",CFG_PeriodEnd-D1273)</f>
        <v/>
      </c>
      <c r="J1273" s="5" t="str">
        <f aca="false">IF(C1273=0,"",IF($A1273="Bank",IF(INDEX(Bank!$G:$G,$C1273)="","",INDEX(Bank!$G:$G,$C1273)),IF(INDEX(GL!$G:$G,$C1273)="","",INDEX(GL!$G:$G,$C1273))))</f>
        <v/>
      </c>
      <c r="K1273" s="5" t="str">
        <f aca="false">IF(C1273=0,"",IF($A1273="Bank",IF(INDEX(Bank!$I:$I,$C1273)="","",INDEX(Bank!$I:$I,$C1273)),IF(INDEX(GL!$I:$I,$C1273)="","",INDEX(GL!$I:$I,$C1273))))</f>
        <v/>
      </c>
      <c r="L1273" s="5" t="str">
        <f aca="false">IF(B1273="","",IF(C1273=0,"NOT FOUND",IF(IF($A1273="Bank",INDEX(Bank!$F:$F,$C1273),INDEX(GL!$F:$F,$C1273))="Y","NOW RECONCILED: refresh","OK")))</f>
        <v/>
      </c>
    </row>
    <row r="1274" customFormat="false" ht="15" hidden="false" customHeight="false" outlineLevel="0" collapsed="false">
      <c r="A1274" s="41"/>
      <c r="B1274" s="41"/>
      <c r="C1274" s="5" t="n">
        <f aca="false">IF(B1274="",0,IF(A1274="Bank",IFERROR(MATCH(B1274,Bank!$A:$A,0),0),IFERROR(MATCH(B1274,GL!$A:$A,0),0)))</f>
        <v>0</v>
      </c>
      <c r="D1274" s="32" t="str">
        <f aca="false">IF(C1274=0,"",IF($A1274="Bank",INDEX(Bank!$B:$B,$C1274),INDEX(GL!$B:$B,$C1274)))</f>
        <v/>
      </c>
      <c r="E1274" s="5" t="str">
        <f aca="false">IF(C1274=0,"",IF($A1274="Bank",IF(INDEX(Bank!$C:$C,$C1274)="","",INDEX(Bank!$C:$C,$C1274)),IF(INDEX(GL!$C:$C,$C1274)="","",INDEX(GL!$C:$C,$C1274))))</f>
        <v/>
      </c>
      <c r="F1274" s="5" t="str">
        <f aca="false">IF(C1274=0,"",IF($A1274="Bank",IF(INDEX(Bank!$D:$D,$C1274)="","",INDEX(Bank!$D:$D,$C1274)),IF(INDEX(GL!$D:$D,$C1274)="","",INDEX(GL!$D:$D,$C1274))))</f>
        <v/>
      </c>
      <c r="G1274" s="19" t="str">
        <f aca="false">IF(C1274=0,"",IF($A1274="Bank",INDEX(Bank!$E:$E,$C1274),INDEX(GL!$E:$E,$C1274)))</f>
        <v/>
      </c>
      <c r="H1274" s="5" t="str">
        <f aca="false">IF(C1274=0,"",IF(A1274="GL",IF(G1274&gt;0,"Deposit in transit","Outstanding check / payment"),IF(G1274&gt;0,"Bank credit not in GL","Bank debit not in GL")))</f>
        <v/>
      </c>
      <c r="I1274" s="42" t="str">
        <f aca="false">IF(OR(C1274=0,CFG_PeriodEnd=""),"",CFG_PeriodEnd-D1274)</f>
        <v/>
      </c>
      <c r="J1274" s="5" t="str">
        <f aca="false">IF(C1274=0,"",IF($A1274="Bank",IF(INDEX(Bank!$G:$G,$C1274)="","",INDEX(Bank!$G:$G,$C1274)),IF(INDEX(GL!$G:$G,$C1274)="","",INDEX(GL!$G:$G,$C1274))))</f>
        <v/>
      </c>
      <c r="K1274" s="5" t="str">
        <f aca="false">IF(C1274=0,"",IF($A1274="Bank",IF(INDEX(Bank!$I:$I,$C1274)="","",INDEX(Bank!$I:$I,$C1274)),IF(INDEX(GL!$I:$I,$C1274)="","",INDEX(GL!$I:$I,$C1274))))</f>
        <v/>
      </c>
      <c r="L1274" s="5" t="str">
        <f aca="false">IF(B1274="","",IF(C1274=0,"NOT FOUND",IF(IF($A1274="Bank",INDEX(Bank!$F:$F,$C1274),INDEX(GL!$F:$F,$C1274))="Y","NOW RECONCILED: refresh","OK")))</f>
        <v/>
      </c>
    </row>
    <row r="1275" customFormat="false" ht="15" hidden="false" customHeight="false" outlineLevel="0" collapsed="false">
      <c r="A1275" s="41"/>
      <c r="B1275" s="41"/>
      <c r="C1275" s="5" t="n">
        <f aca="false">IF(B1275="",0,IF(A1275="Bank",IFERROR(MATCH(B1275,Bank!$A:$A,0),0),IFERROR(MATCH(B1275,GL!$A:$A,0),0)))</f>
        <v>0</v>
      </c>
      <c r="D1275" s="32" t="str">
        <f aca="false">IF(C1275=0,"",IF($A1275="Bank",INDEX(Bank!$B:$B,$C1275),INDEX(GL!$B:$B,$C1275)))</f>
        <v/>
      </c>
      <c r="E1275" s="5" t="str">
        <f aca="false">IF(C1275=0,"",IF($A1275="Bank",IF(INDEX(Bank!$C:$C,$C1275)="","",INDEX(Bank!$C:$C,$C1275)),IF(INDEX(GL!$C:$C,$C1275)="","",INDEX(GL!$C:$C,$C1275))))</f>
        <v/>
      </c>
      <c r="F1275" s="5" t="str">
        <f aca="false">IF(C1275=0,"",IF($A1275="Bank",IF(INDEX(Bank!$D:$D,$C1275)="","",INDEX(Bank!$D:$D,$C1275)),IF(INDEX(GL!$D:$D,$C1275)="","",INDEX(GL!$D:$D,$C1275))))</f>
        <v/>
      </c>
      <c r="G1275" s="19" t="str">
        <f aca="false">IF(C1275=0,"",IF($A1275="Bank",INDEX(Bank!$E:$E,$C1275),INDEX(GL!$E:$E,$C1275)))</f>
        <v/>
      </c>
      <c r="H1275" s="5" t="str">
        <f aca="false">IF(C1275=0,"",IF(A1275="GL",IF(G1275&gt;0,"Deposit in transit","Outstanding check / payment"),IF(G1275&gt;0,"Bank credit not in GL","Bank debit not in GL")))</f>
        <v/>
      </c>
      <c r="I1275" s="42" t="str">
        <f aca="false">IF(OR(C1275=0,CFG_PeriodEnd=""),"",CFG_PeriodEnd-D1275)</f>
        <v/>
      </c>
      <c r="J1275" s="5" t="str">
        <f aca="false">IF(C1275=0,"",IF($A1275="Bank",IF(INDEX(Bank!$G:$G,$C1275)="","",INDEX(Bank!$G:$G,$C1275)),IF(INDEX(GL!$G:$G,$C1275)="","",INDEX(GL!$G:$G,$C1275))))</f>
        <v/>
      </c>
      <c r="K1275" s="5" t="str">
        <f aca="false">IF(C1275=0,"",IF($A1275="Bank",IF(INDEX(Bank!$I:$I,$C1275)="","",INDEX(Bank!$I:$I,$C1275)),IF(INDEX(GL!$I:$I,$C1275)="","",INDEX(GL!$I:$I,$C1275))))</f>
        <v/>
      </c>
      <c r="L1275" s="5" t="str">
        <f aca="false">IF(B1275="","",IF(C1275=0,"NOT FOUND",IF(IF($A1275="Bank",INDEX(Bank!$F:$F,$C1275),INDEX(GL!$F:$F,$C1275))="Y","NOW RECONCILED: refresh","OK")))</f>
        <v/>
      </c>
    </row>
    <row r="1276" customFormat="false" ht="15" hidden="false" customHeight="false" outlineLevel="0" collapsed="false">
      <c r="A1276" s="41"/>
      <c r="B1276" s="41"/>
      <c r="C1276" s="5" t="n">
        <f aca="false">IF(B1276="",0,IF(A1276="Bank",IFERROR(MATCH(B1276,Bank!$A:$A,0),0),IFERROR(MATCH(B1276,GL!$A:$A,0),0)))</f>
        <v>0</v>
      </c>
      <c r="D1276" s="32" t="str">
        <f aca="false">IF(C1276=0,"",IF($A1276="Bank",INDEX(Bank!$B:$B,$C1276),INDEX(GL!$B:$B,$C1276)))</f>
        <v/>
      </c>
      <c r="E1276" s="5" t="str">
        <f aca="false">IF(C1276=0,"",IF($A1276="Bank",IF(INDEX(Bank!$C:$C,$C1276)="","",INDEX(Bank!$C:$C,$C1276)),IF(INDEX(GL!$C:$C,$C1276)="","",INDEX(GL!$C:$C,$C1276))))</f>
        <v/>
      </c>
      <c r="F1276" s="5" t="str">
        <f aca="false">IF(C1276=0,"",IF($A1276="Bank",IF(INDEX(Bank!$D:$D,$C1276)="","",INDEX(Bank!$D:$D,$C1276)),IF(INDEX(GL!$D:$D,$C1276)="","",INDEX(GL!$D:$D,$C1276))))</f>
        <v/>
      </c>
      <c r="G1276" s="19" t="str">
        <f aca="false">IF(C1276=0,"",IF($A1276="Bank",INDEX(Bank!$E:$E,$C1276),INDEX(GL!$E:$E,$C1276)))</f>
        <v/>
      </c>
      <c r="H1276" s="5" t="str">
        <f aca="false">IF(C1276=0,"",IF(A1276="GL",IF(G1276&gt;0,"Deposit in transit","Outstanding check / payment"),IF(G1276&gt;0,"Bank credit not in GL","Bank debit not in GL")))</f>
        <v/>
      </c>
      <c r="I1276" s="42" t="str">
        <f aca="false">IF(OR(C1276=0,CFG_PeriodEnd=""),"",CFG_PeriodEnd-D1276)</f>
        <v/>
      </c>
      <c r="J1276" s="5" t="str">
        <f aca="false">IF(C1276=0,"",IF($A1276="Bank",IF(INDEX(Bank!$G:$G,$C1276)="","",INDEX(Bank!$G:$G,$C1276)),IF(INDEX(GL!$G:$G,$C1276)="","",INDEX(GL!$G:$G,$C1276))))</f>
        <v/>
      </c>
      <c r="K1276" s="5" t="str">
        <f aca="false">IF(C1276=0,"",IF($A1276="Bank",IF(INDEX(Bank!$I:$I,$C1276)="","",INDEX(Bank!$I:$I,$C1276)),IF(INDEX(GL!$I:$I,$C1276)="","",INDEX(GL!$I:$I,$C1276))))</f>
        <v/>
      </c>
      <c r="L1276" s="5" t="str">
        <f aca="false">IF(B1276="","",IF(C1276=0,"NOT FOUND",IF(IF($A1276="Bank",INDEX(Bank!$F:$F,$C1276),INDEX(GL!$F:$F,$C1276))="Y","NOW RECONCILED: refresh","OK")))</f>
        <v/>
      </c>
    </row>
    <row r="1277" customFormat="false" ht="15" hidden="false" customHeight="false" outlineLevel="0" collapsed="false">
      <c r="A1277" s="41"/>
      <c r="B1277" s="41"/>
      <c r="C1277" s="5" t="n">
        <f aca="false">IF(B1277="",0,IF(A1277="Bank",IFERROR(MATCH(B1277,Bank!$A:$A,0),0),IFERROR(MATCH(B1277,GL!$A:$A,0),0)))</f>
        <v>0</v>
      </c>
      <c r="D1277" s="32" t="str">
        <f aca="false">IF(C1277=0,"",IF($A1277="Bank",INDEX(Bank!$B:$B,$C1277),INDEX(GL!$B:$B,$C1277)))</f>
        <v/>
      </c>
      <c r="E1277" s="5" t="str">
        <f aca="false">IF(C1277=0,"",IF($A1277="Bank",IF(INDEX(Bank!$C:$C,$C1277)="","",INDEX(Bank!$C:$C,$C1277)),IF(INDEX(GL!$C:$C,$C1277)="","",INDEX(GL!$C:$C,$C1277))))</f>
        <v/>
      </c>
      <c r="F1277" s="5" t="str">
        <f aca="false">IF(C1277=0,"",IF($A1277="Bank",IF(INDEX(Bank!$D:$D,$C1277)="","",INDEX(Bank!$D:$D,$C1277)),IF(INDEX(GL!$D:$D,$C1277)="","",INDEX(GL!$D:$D,$C1277))))</f>
        <v/>
      </c>
      <c r="G1277" s="19" t="str">
        <f aca="false">IF(C1277=0,"",IF($A1277="Bank",INDEX(Bank!$E:$E,$C1277),INDEX(GL!$E:$E,$C1277)))</f>
        <v/>
      </c>
      <c r="H1277" s="5" t="str">
        <f aca="false">IF(C1277=0,"",IF(A1277="GL",IF(G1277&gt;0,"Deposit in transit","Outstanding check / payment"),IF(G1277&gt;0,"Bank credit not in GL","Bank debit not in GL")))</f>
        <v/>
      </c>
      <c r="I1277" s="42" t="str">
        <f aca="false">IF(OR(C1277=0,CFG_PeriodEnd=""),"",CFG_PeriodEnd-D1277)</f>
        <v/>
      </c>
      <c r="J1277" s="5" t="str">
        <f aca="false">IF(C1277=0,"",IF($A1277="Bank",IF(INDEX(Bank!$G:$G,$C1277)="","",INDEX(Bank!$G:$G,$C1277)),IF(INDEX(GL!$G:$G,$C1277)="","",INDEX(GL!$G:$G,$C1277))))</f>
        <v/>
      </c>
      <c r="K1277" s="5" t="str">
        <f aca="false">IF(C1277=0,"",IF($A1277="Bank",IF(INDEX(Bank!$I:$I,$C1277)="","",INDEX(Bank!$I:$I,$C1277)),IF(INDEX(GL!$I:$I,$C1277)="","",INDEX(GL!$I:$I,$C1277))))</f>
        <v/>
      </c>
      <c r="L1277" s="5" t="str">
        <f aca="false">IF(B1277="","",IF(C1277=0,"NOT FOUND",IF(IF($A1277="Bank",INDEX(Bank!$F:$F,$C1277),INDEX(GL!$F:$F,$C1277))="Y","NOW RECONCILED: refresh","OK")))</f>
        <v/>
      </c>
    </row>
    <row r="1278" customFormat="false" ht="15" hidden="false" customHeight="false" outlineLevel="0" collapsed="false">
      <c r="A1278" s="41"/>
      <c r="B1278" s="41"/>
      <c r="C1278" s="5" t="n">
        <f aca="false">IF(B1278="",0,IF(A1278="Bank",IFERROR(MATCH(B1278,Bank!$A:$A,0),0),IFERROR(MATCH(B1278,GL!$A:$A,0),0)))</f>
        <v>0</v>
      </c>
      <c r="D1278" s="32" t="str">
        <f aca="false">IF(C1278=0,"",IF($A1278="Bank",INDEX(Bank!$B:$B,$C1278),INDEX(GL!$B:$B,$C1278)))</f>
        <v/>
      </c>
      <c r="E1278" s="5" t="str">
        <f aca="false">IF(C1278=0,"",IF($A1278="Bank",IF(INDEX(Bank!$C:$C,$C1278)="","",INDEX(Bank!$C:$C,$C1278)),IF(INDEX(GL!$C:$C,$C1278)="","",INDEX(GL!$C:$C,$C1278))))</f>
        <v/>
      </c>
      <c r="F1278" s="5" t="str">
        <f aca="false">IF(C1278=0,"",IF($A1278="Bank",IF(INDEX(Bank!$D:$D,$C1278)="","",INDEX(Bank!$D:$D,$C1278)),IF(INDEX(GL!$D:$D,$C1278)="","",INDEX(GL!$D:$D,$C1278))))</f>
        <v/>
      </c>
      <c r="G1278" s="19" t="str">
        <f aca="false">IF(C1278=0,"",IF($A1278="Bank",INDEX(Bank!$E:$E,$C1278),INDEX(GL!$E:$E,$C1278)))</f>
        <v/>
      </c>
      <c r="H1278" s="5" t="str">
        <f aca="false">IF(C1278=0,"",IF(A1278="GL",IF(G1278&gt;0,"Deposit in transit","Outstanding check / payment"),IF(G1278&gt;0,"Bank credit not in GL","Bank debit not in GL")))</f>
        <v/>
      </c>
      <c r="I1278" s="42" t="str">
        <f aca="false">IF(OR(C1278=0,CFG_PeriodEnd=""),"",CFG_PeriodEnd-D1278)</f>
        <v/>
      </c>
      <c r="J1278" s="5" t="str">
        <f aca="false">IF(C1278=0,"",IF($A1278="Bank",IF(INDEX(Bank!$G:$G,$C1278)="","",INDEX(Bank!$G:$G,$C1278)),IF(INDEX(GL!$G:$G,$C1278)="","",INDEX(GL!$G:$G,$C1278))))</f>
        <v/>
      </c>
      <c r="K1278" s="5" t="str">
        <f aca="false">IF(C1278=0,"",IF($A1278="Bank",IF(INDEX(Bank!$I:$I,$C1278)="","",INDEX(Bank!$I:$I,$C1278)),IF(INDEX(GL!$I:$I,$C1278)="","",INDEX(GL!$I:$I,$C1278))))</f>
        <v/>
      </c>
      <c r="L1278" s="5" t="str">
        <f aca="false">IF(B1278="","",IF(C1278=0,"NOT FOUND",IF(IF($A1278="Bank",INDEX(Bank!$F:$F,$C1278),INDEX(GL!$F:$F,$C1278))="Y","NOW RECONCILED: refresh","OK")))</f>
        <v/>
      </c>
    </row>
    <row r="1279" customFormat="false" ht="15" hidden="false" customHeight="false" outlineLevel="0" collapsed="false">
      <c r="A1279" s="41"/>
      <c r="B1279" s="41"/>
      <c r="C1279" s="5" t="n">
        <f aca="false">IF(B1279="",0,IF(A1279="Bank",IFERROR(MATCH(B1279,Bank!$A:$A,0),0),IFERROR(MATCH(B1279,GL!$A:$A,0),0)))</f>
        <v>0</v>
      </c>
      <c r="D1279" s="32" t="str">
        <f aca="false">IF(C1279=0,"",IF($A1279="Bank",INDEX(Bank!$B:$B,$C1279),INDEX(GL!$B:$B,$C1279)))</f>
        <v/>
      </c>
      <c r="E1279" s="5" t="str">
        <f aca="false">IF(C1279=0,"",IF($A1279="Bank",IF(INDEX(Bank!$C:$C,$C1279)="","",INDEX(Bank!$C:$C,$C1279)),IF(INDEX(GL!$C:$C,$C1279)="","",INDEX(GL!$C:$C,$C1279))))</f>
        <v/>
      </c>
      <c r="F1279" s="5" t="str">
        <f aca="false">IF(C1279=0,"",IF($A1279="Bank",IF(INDEX(Bank!$D:$D,$C1279)="","",INDEX(Bank!$D:$D,$C1279)),IF(INDEX(GL!$D:$D,$C1279)="","",INDEX(GL!$D:$D,$C1279))))</f>
        <v/>
      </c>
      <c r="G1279" s="19" t="str">
        <f aca="false">IF(C1279=0,"",IF($A1279="Bank",INDEX(Bank!$E:$E,$C1279),INDEX(GL!$E:$E,$C1279)))</f>
        <v/>
      </c>
      <c r="H1279" s="5" t="str">
        <f aca="false">IF(C1279=0,"",IF(A1279="GL",IF(G1279&gt;0,"Deposit in transit","Outstanding check / payment"),IF(G1279&gt;0,"Bank credit not in GL","Bank debit not in GL")))</f>
        <v/>
      </c>
      <c r="I1279" s="42" t="str">
        <f aca="false">IF(OR(C1279=0,CFG_PeriodEnd=""),"",CFG_PeriodEnd-D1279)</f>
        <v/>
      </c>
      <c r="J1279" s="5" t="str">
        <f aca="false">IF(C1279=0,"",IF($A1279="Bank",IF(INDEX(Bank!$G:$G,$C1279)="","",INDEX(Bank!$G:$G,$C1279)),IF(INDEX(GL!$G:$G,$C1279)="","",INDEX(GL!$G:$G,$C1279))))</f>
        <v/>
      </c>
      <c r="K1279" s="5" t="str">
        <f aca="false">IF(C1279=0,"",IF($A1279="Bank",IF(INDEX(Bank!$I:$I,$C1279)="","",INDEX(Bank!$I:$I,$C1279)),IF(INDEX(GL!$I:$I,$C1279)="","",INDEX(GL!$I:$I,$C1279))))</f>
        <v/>
      </c>
      <c r="L1279" s="5" t="str">
        <f aca="false">IF(B1279="","",IF(C1279=0,"NOT FOUND",IF(IF($A1279="Bank",INDEX(Bank!$F:$F,$C1279),INDEX(GL!$F:$F,$C1279))="Y","NOW RECONCILED: refresh","OK")))</f>
        <v/>
      </c>
    </row>
    <row r="1280" customFormat="false" ht="15" hidden="false" customHeight="false" outlineLevel="0" collapsed="false">
      <c r="A1280" s="41"/>
      <c r="B1280" s="41"/>
      <c r="C1280" s="5" t="n">
        <f aca="false">IF(B1280="",0,IF(A1280="Bank",IFERROR(MATCH(B1280,Bank!$A:$A,0),0),IFERROR(MATCH(B1280,GL!$A:$A,0),0)))</f>
        <v>0</v>
      </c>
      <c r="D1280" s="32" t="str">
        <f aca="false">IF(C1280=0,"",IF($A1280="Bank",INDEX(Bank!$B:$B,$C1280),INDEX(GL!$B:$B,$C1280)))</f>
        <v/>
      </c>
      <c r="E1280" s="5" t="str">
        <f aca="false">IF(C1280=0,"",IF($A1280="Bank",IF(INDEX(Bank!$C:$C,$C1280)="","",INDEX(Bank!$C:$C,$C1280)),IF(INDEX(GL!$C:$C,$C1280)="","",INDEX(GL!$C:$C,$C1280))))</f>
        <v/>
      </c>
      <c r="F1280" s="5" t="str">
        <f aca="false">IF(C1280=0,"",IF($A1280="Bank",IF(INDEX(Bank!$D:$D,$C1280)="","",INDEX(Bank!$D:$D,$C1280)),IF(INDEX(GL!$D:$D,$C1280)="","",INDEX(GL!$D:$D,$C1280))))</f>
        <v/>
      </c>
      <c r="G1280" s="19" t="str">
        <f aca="false">IF(C1280=0,"",IF($A1280="Bank",INDEX(Bank!$E:$E,$C1280),INDEX(GL!$E:$E,$C1280)))</f>
        <v/>
      </c>
      <c r="H1280" s="5" t="str">
        <f aca="false">IF(C1280=0,"",IF(A1280="GL",IF(G1280&gt;0,"Deposit in transit","Outstanding check / payment"),IF(G1280&gt;0,"Bank credit not in GL","Bank debit not in GL")))</f>
        <v/>
      </c>
      <c r="I1280" s="42" t="str">
        <f aca="false">IF(OR(C1280=0,CFG_PeriodEnd=""),"",CFG_PeriodEnd-D1280)</f>
        <v/>
      </c>
      <c r="J1280" s="5" t="str">
        <f aca="false">IF(C1280=0,"",IF($A1280="Bank",IF(INDEX(Bank!$G:$G,$C1280)="","",INDEX(Bank!$G:$G,$C1280)),IF(INDEX(GL!$G:$G,$C1280)="","",INDEX(GL!$G:$G,$C1280))))</f>
        <v/>
      </c>
      <c r="K1280" s="5" t="str">
        <f aca="false">IF(C1280=0,"",IF($A1280="Bank",IF(INDEX(Bank!$I:$I,$C1280)="","",INDEX(Bank!$I:$I,$C1280)),IF(INDEX(GL!$I:$I,$C1280)="","",INDEX(GL!$I:$I,$C1280))))</f>
        <v/>
      </c>
      <c r="L1280" s="5" t="str">
        <f aca="false">IF(B1280="","",IF(C1280=0,"NOT FOUND",IF(IF($A1280="Bank",INDEX(Bank!$F:$F,$C1280),INDEX(GL!$F:$F,$C1280))="Y","NOW RECONCILED: refresh","OK")))</f>
        <v/>
      </c>
    </row>
    <row r="1281" customFormat="false" ht="15" hidden="false" customHeight="false" outlineLevel="0" collapsed="false">
      <c r="A1281" s="41"/>
      <c r="B1281" s="41"/>
      <c r="C1281" s="5" t="n">
        <f aca="false">IF(B1281="",0,IF(A1281="Bank",IFERROR(MATCH(B1281,Bank!$A:$A,0),0),IFERROR(MATCH(B1281,GL!$A:$A,0),0)))</f>
        <v>0</v>
      </c>
      <c r="D1281" s="32" t="str">
        <f aca="false">IF(C1281=0,"",IF($A1281="Bank",INDEX(Bank!$B:$B,$C1281),INDEX(GL!$B:$B,$C1281)))</f>
        <v/>
      </c>
      <c r="E1281" s="5" t="str">
        <f aca="false">IF(C1281=0,"",IF($A1281="Bank",IF(INDEX(Bank!$C:$C,$C1281)="","",INDEX(Bank!$C:$C,$C1281)),IF(INDEX(GL!$C:$C,$C1281)="","",INDEX(GL!$C:$C,$C1281))))</f>
        <v/>
      </c>
      <c r="F1281" s="5" t="str">
        <f aca="false">IF(C1281=0,"",IF($A1281="Bank",IF(INDEX(Bank!$D:$D,$C1281)="","",INDEX(Bank!$D:$D,$C1281)),IF(INDEX(GL!$D:$D,$C1281)="","",INDEX(GL!$D:$D,$C1281))))</f>
        <v/>
      </c>
      <c r="G1281" s="19" t="str">
        <f aca="false">IF(C1281=0,"",IF($A1281="Bank",INDEX(Bank!$E:$E,$C1281),INDEX(GL!$E:$E,$C1281)))</f>
        <v/>
      </c>
      <c r="H1281" s="5" t="str">
        <f aca="false">IF(C1281=0,"",IF(A1281="GL",IF(G1281&gt;0,"Deposit in transit","Outstanding check / payment"),IF(G1281&gt;0,"Bank credit not in GL","Bank debit not in GL")))</f>
        <v/>
      </c>
      <c r="I1281" s="42" t="str">
        <f aca="false">IF(OR(C1281=0,CFG_PeriodEnd=""),"",CFG_PeriodEnd-D1281)</f>
        <v/>
      </c>
      <c r="J1281" s="5" t="str">
        <f aca="false">IF(C1281=0,"",IF($A1281="Bank",IF(INDEX(Bank!$G:$G,$C1281)="","",INDEX(Bank!$G:$G,$C1281)),IF(INDEX(GL!$G:$G,$C1281)="","",INDEX(GL!$G:$G,$C1281))))</f>
        <v/>
      </c>
      <c r="K1281" s="5" t="str">
        <f aca="false">IF(C1281=0,"",IF($A1281="Bank",IF(INDEX(Bank!$I:$I,$C1281)="","",INDEX(Bank!$I:$I,$C1281)),IF(INDEX(GL!$I:$I,$C1281)="","",INDEX(GL!$I:$I,$C1281))))</f>
        <v/>
      </c>
      <c r="L1281" s="5" t="str">
        <f aca="false">IF(B1281="","",IF(C1281=0,"NOT FOUND",IF(IF($A1281="Bank",INDEX(Bank!$F:$F,$C1281),INDEX(GL!$F:$F,$C1281))="Y","NOW RECONCILED: refresh","OK")))</f>
        <v/>
      </c>
    </row>
    <row r="1282" customFormat="false" ht="15" hidden="false" customHeight="false" outlineLevel="0" collapsed="false">
      <c r="A1282" s="41"/>
      <c r="B1282" s="41"/>
      <c r="C1282" s="5" t="n">
        <f aca="false">IF(B1282="",0,IF(A1282="Bank",IFERROR(MATCH(B1282,Bank!$A:$A,0),0),IFERROR(MATCH(B1282,GL!$A:$A,0),0)))</f>
        <v>0</v>
      </c>
      <c r="D1282" s="32" t="str">
        <f aca="false">IF(C1282=0,"",IF($A1282="Bank",INDEX(Bank!$B:$B,$C1282),INDEX(GL!$B:$B,$C1282)))</f>
        <v/>
      </c>
      <c r="E1282" s="5" t="str">
        <f aca="false">IF(C1282=0,"",IF($A1282="Bank",IF(INDEX(Bank!$C:$C,$C1282)="","",INDEX(Bank!$C:$C,$C1282)),IF(INDEX(GL!$C:$C,$C1282)="","",INDEX(GL!$C:$C,$C1282))))</f>
        <v/>
      </c>
      <c r="F1282" s="5" t="str">
        <f aca="false">IF(C1282=0,"",IF($A1282="Bank",IF(INDEX(Bank!$D:$D,$C1282)="","",INDEX(Bank!$D:$D,$C1282)),IF(INDEX(GL!$D:$D,$C1282)="","",INDEX(GL!$D:$D,$C1282))))</f>
        <v/>
      </c>
      <c r="G1282" s="19" t="str">
        <f aca="false">IF(C1282=0,"",IF($A1282="Bank",INDEX(Bank!$E:$E,$C1282),INDEX(GL!$E:$E,$C1282)))</f>
        <v/>
      </c>
      <c r="H1282" s="5" t="str">
        <f aca="false">IF(C1282=0,"",IF(A1282="GL",IF(G1282&gt;0,"Deposit in transit","Outstanding check / payment"),IF(G1282&gt;0,"Bank credit not in GL","Bank debit not in GL")))</f>
        <v/>
      </c>
      <c r="I1282" s="42" t="str">
        <f aca="false">IF(OR(C1282=0,CFG_PeriodEnd=""),"",CFG_PeriodEnd-D1282)</f>
        <v/>
      </c>
      <c r="J1282" s="5" t="str">
        <f aca="false">IF(C1282=0,"",IF($A1282="Bank",IF(INDEX(Bank!$G:$G,$C1282)="","",INDEX(Bank!$G:$G,$C1282)),IF(INDEX(GL!$G:$G,$C1282)="","",INDEX(GL!$G:$G,$C1282))))</f>
        <v/>
      </c>
      <c r="K1282" s="5" t="str">
        <f aca="false">IF(C1282=0,"",IF($A1282="Bank",IF(INDEX(Bank!$I:$I,$C1282)="","",INDEX(Bank!$I:$I,$C1282)),IF(INDEX(GL!$I:$I,$C1282)="","",INDEX(GL!$I:$I,$C1282))))</f>
        <v/>
      </c>
      <c r="L1282" s="5" t="str">
        <f aca="false">IF(B1282="","",IF(C1282=0,"NOT FOUND",IF(IF($A1282="Bank",INDEX(Bank!$F:$F,$C1282),INDEX(GL!$F:$F,$C1282))="Y","NOW RECONCILED: refresh","OK")))</f>
        <v/>
      </c>
    </row>
    <row r="1283" customFormat="false" ht="15" hidden="false" customHeight="false" outlineLevel="0" collapsed="false">
      <c r="A1283" s="41"/>
      <c r="B1283" s="41"/>
      <c r="C1283" s="5" t="n">
        <f aca="false">IF(B1283="",0,IF(A1283="Bank",IFERROR(MATCH(B1283,Bank!$A:$A,0),0),IFERROR(MATCH(B1283,GL!$A:$A,0),0)))</f>
        <v>0</v>
      </c>
      <c r="D1283" s="32" t="str">
        <f aca="false">IF(C1283=0,"",IF($A1283="Bank",INDEX(Bank!$B:$B,$C1283),INDEX(GL!$B:$B,$C1283)))</f>
        <v/>
      </c>
      <c r="E1283" s="5" t="str">
        <f aca="false">IF(C1283=0,"",IF($A1283="Bank",IF(INDEX(Bank!$C:$C,$C1283)="","",INDEX(Bank!$C:$C,$C1283)),IF(INDEX(GL!$C:$C,$C1283)="","",INDEX(GL!$C:$C,$C1283))))</f>
        <v/>
      </c>
      <c r="F1283" s="5" t="str">
        <f aca="false">IF(C1283=0,"",IF($A1283="Bank",IF(INDEX(Bank!$D:$D,$C1283)="","",INDEX(Bank!$D:$D,$C1283)),IF(INDEX(GL!$D:$D,$C1283)="","",INDEX(GL!$D:$D,$C1283))))</f>
        <v/>
      </c>
      <c r="G1283" s="19" t="str">
        <f aca="false">IF(C1283=0,"",IF($A1283="Bank",INDEX(Bank!$E:$E,$C1283),INDEX(GL!$E:$E,$C1283)))</f>
        <v/>
      </c>
      <c r="H1283" s="5" t="str">
        <f aca="false">IF(C1283=0,"",IF(A1283="GL",IF(G1283&gt;0,"Deposit in transit","Outstanding check / payment"),IF(G1283&gt;0,"Bank credit not in GL","Bank debit not in GL")))</f>
        <v/>
      </c>
      <c r="I1283" s="42" t="str">
        <f aca="false">IF(OR(C1283=0,CFG_PeriodEnd=""),"",CFG_PeriodEnd-D1283)</f>
        <v/>
      </c>
      <c r="J1283" s="5" t="str">
        <f aca="false">IF(C1283=0,"",IF($A1283="Bank",IF(INDEX(Bank!$G:$G,$C1283)="","",INDEX(Bank!$G:$G,$C1283)),IF(INDEX(GL!$G:$G,$C1283)="","",INDEX(GL!$G:$G,$C1283))))</f>
        <v/>
      </c>
      <c r="K1283" s="5" t="str">
        <f aca="false">IF(C1283=0,"",IF($A1283="Bank",IF(INDEX(Bank!$I:$I,$C1283)="","",INDEX(Bank!$I:$I,$C1283)),IF(INDEX(GL!$I:$I,$C1283)="","",INDEX(GL!$I:$I,$C1283))))</f>
        <v/>
      </c>
      <c r="L1283" s="5" t="str">
        <f aca="false">IF(B1283="","",IF(C1283=0,"NOT FOUND",IF(IF($A1283="Bank",INDEX(Bank!$F:$F,$C1283),INDEX(GL!$F:$F,$C1283))="Y","NOW RECONCILED: refresh","OK")))</f>
        <v/>
      </c>
    </row>
    <row r="1284" customFormat="false" ht="15" hidden="false" customHeight="false" outlineLevel="0" collapsed="false">
      <c r="A1284" s="41"/>
      <c r="B1284" s="41"/>
      <c r="C1284" s="5" t="n">
        <f aca="false">IF(B1284="",0,IF(A1284="Bank",IFERROR(MATCH(B1284,Bank!$A:$A,0),0),IFERROR(MATCH(B1284,GL!$A:$A,0),0)))</f>
        <v>0</v>
      </c>
      <c r="D1284" s="32" t="str">
        <f aca="false">IF(C1284=0,"",IF($A1284="Bank",INDEX(Bank!$B:$B,$C1284),INDEX(GL!$B:$B,$C1284)))</f>
        <v/>
      </c>
      <c r="E1284" s="5" t="str">
        <f aca="false">IF(C1284=0,"",IF($A1284="Bank",IF(INDEX(Bank!$C:$C,$C1284)="","",INDEX(Bank!$C:$C,$C1284)),IF(INDEX(GL!$C:$C,$C1284)="","",INDEX(GL!$C:$C,$C1284))))</f>
        <v/>
      </c>
      <c r="F1284" s="5" t="str">
        <f aca="false">IF(C1284=0,"",IF($A1284="Bank",IF(INDEX(Bank!$D:$D,$C1284)="","",INDEX(Bank!$D:$D,$C1284)),IF(INDEX(GL!$D:$D,$C1284)="","",INDEX(GL!$D:$D,$C1284))))</f>
        <v/>
      </c>
      <c r="G1284" s="19" t="str">
        <f aca="false">IF(C1284=0,"",IF($A1284="Bank",INDEX(Bank!$E:$E,$C1284),INDEX(GL!$E:$E,$C1284)))</f>
        <v/>
      </c>
      <c r="H1284" s="5" t="str">
        <f aca="false">IF(C1284=0,"",IF(A1284="GL",IF(G1284&gt;0,"Deposit in transit","Outstanding check / payment"),IF(G1284&gt;0,"Bank credit not in GL","Bank debit not in GL")))</f>
        <v/>
      </c>
      <c r="I1284" s="42" t="str">
        <f aca="false">IF(OR(C1284=0,CFG_PeriodEnd=""),"",CFG_PeriodEnd-D1284)</f>
        <v/>
      </c>
      <c r="J1284" s="5" t="str">
        <f aca="false">IF(C1284=0,"",IF($A1284="Bank",IF(INDEX(Bank!$G:$G,$C1284)="","",INDEX(Bank!$G:$G,$C1284)),IF(INDEX(GL!$G:$G,$C1284)="","",INDEX(GL!$G:$G,$C1284))))</f>
        <v/>
      </c>
      <c r="K1284" s="5" t="str">
        <f aca="false">IF(C1284=0,"",IF($A1284="Bank",IF(INDEX(Bank!$I:$I,$C1284)="","",INDEX(Bank!$I:$I,$C1284)),IF(INDEX(GL!$I:$I,$C1284)="","",INDEX(GL!$I:$I,$C1284))))</f>
        <v/>
      </c>
      <c r="L1284" s="5" t="str">
        <f aca="false">IF(B1284="","",IF(C1284=0,"NOT FOUND",IF(IF($A1284="Bank",INDEX(Bank!$F:$F,$C1284),INDEX(GL!$F:$F,$C1284))="Y","NOW RECONCILED: refresh","OK")))</f>
        <v/>
      </c>
    </row>
    <row r="1285" customFormat="false" ht="15" hidden="false" customHeight="false" outlineLevel="0" collapsed="false">
      <c r="A1285" s="41"/>
      <c r="B1285" s="41"/>
      <c r="C1285" s="5" t="n">
        <f aca="false">IF(B1285="",0,IF(A1285="Bank",IFERROR(MATCH(B1285,Bank!$A:$A,0),0),IFERROR(MATCH(B1285,GL!$A:$A,0),0)))</f>
        <v>0</v>
      </c>
      <c r="D1285" s="32" t="str">
        <f aca="false">IF(C1285=0,"",IF($A1285="Bank",INDEX(Bank!$B:$B,$C1285),INDEX(GL!$B:$B,$C1285)))</f>
        <v/>
      </c>
      <c r="E1285" s="5" t="str">
        <f aca="false">IF(C1285=0,"",IF($A1285="Bank",IF(INDEX(Bank!$C:$C,$C1285)="","",INDEX(Bank!$C:$C,$C1285)),IF(INDEX(GL!$C:$C,$C1285)="","",INDEX(GL!$C:$C,$C1285))))</f>
        <v/>
      </c>
      <c r="F1285" s="5" t="str">
        <f aca="false">IF(C1285=0,"",IF($A1285="Bank",IF(INDEX(Bank!$D:$D,$C1285)="","",INDEX(Bank!$D:$D,$C1285)),IF(INDEX(GL!$D:$D,$C1285)="","",INDEX(GL!$D:$D,$C1285))))</f>
        <v/>
      </c>
      <c r="G1285" s="19" t="str">
        <f aca="false">IF(C1285=0,"",IF($A1285="Bank",INDEX(Bank!$E:$E,$C1285),INDEX(GL!$E:$E,$C1285)))</f>
        <v/>
      </c>
      <c r="H1285" s="5" t="str">
        <f aca="false">IF(C1285=0,"",IF(A1285="GL",IF(G1285&gt;0,"Deposit in transit","Outstanding check / payment"),IF(G1285&gt;0,"Bank credit not in GL","Bank debit not in GL")))</f>
        <v/>
      </c>
      <c r="I1285" s="42" t="str">
        <f aca="false">IF(OR(C1285=0,CFG_PeriodEnd=""),"",CFG_PeriodEnd-D1285)</f>
        <v/>
      </c>
      <c r="J1285" s="5" t="str">
        <f aca="false">IF(C1285=0,"",IF($A1285="Bank",IF(INDEX(Bank!$G:$G,$C1285)="","",INDEX(Bank!$G:$G,$C1285)),IF(INDEX(GL!$G:$G,$C1285)="","",INDEX(GL!$G:$G,$C1285))))</f>
        <v/>
      </c>
      <c r="K1285" s="5" t="str">
        <f aca="false">IF(C1285=0,"",IF($A1285="Bank",IF(INDEX(Bank!$I:$I,$C1285)="","",INDEX(Bank!$I:$I,$C1285)),IF(INDEX(GL!$I:$I,$C1285)="","",INDEX(GL!$I:$I,$C1285))))</f>
        <v/>
      </c>
      <c r="L1285" s="5" t="str">
        <f aca="false">IF(B1285="","",IF(C1285=0,"NOT FOUND",IF(IF($A1285="Bank",INDEX(Bank!$F:$F,$C1285),INDEX(GL!$F:$F,$C1285))="Y","NOW RECONCILED: refresh","OK")))</f>
        <v/>
      </c>
    </row>
    <row r="1286" customFormat="false" ht="15" hidden="false" customHeight="false" outlineLevel="0" collapsed="false">
      <c r="A1286" s="41"/>
      <c r="B1286" s="41"/>
      <c r="C1286" s="5" t="n">
        <f aca="false">IF(B1286="",0,IF(A1286="Bank",IFERROR(MATCH(B1286,Bank!$A:$A,0),0),IFERROR(MATCH(B1286,GL!$A:$A,0),0)))</f>
        <v>0</v>
      </c>
      <c r="D1286" s="32" t="str">
        <f aca="false">IF(C1286=0,"",IF($A1286="Bank",INDEX(Bank!$B:$B,$C1286),INDEX(GL!$B:$B,$C1286)))</f>
        <v/>
      </c>
      <c r="E1286" s="5" t="str">
        <f aca="false">IF(C1286=0,"",IF($A1286="Bank",IF(INDEX(Bank!$C:$C,$C1286)="","",INDEX(Bank!$C:$C,$C1286)),IF(INDEX(GL!$C:$C,$C1286)="","",INDEX(GL!$C:$C,$C1286))))</f>
        <v/>
      </c>
      <c r="F1286" s="5" t="str">
        <f aca="false">IF(C1286=0,"",IF($A1286="Bank",IF(INDEX(Bank!$D:$D,$C1286)="","",INDEX(Bank!$D:$D,$C1286)),IF(INDEX(GL!$D:$D,$C1286)="","",INDEX(GL!$D:$D,$C1286))))</f>
        <v/>
      </c>
      <c r="G1286" s="19" t="str">
        <f aca="false">IF(C1286=0,"",IF($A1286="Bank",INDEX(Bank!$E:$E,$C1286),INDEX(GL!$E:$E,$C1286)))</f>
        <v/>
      </c>
      <c r="H1286" s="5" t="str">
        <f aca="false">IF(C1286=0,"",IF(A1286="GL",IF(G1286&gt;0,"Deposit in transit","Outstanding check / payment"),IF(G1286&gt;0,"Bank credit not in GL","Bank debit not in GL")))</f>
        <v/>
      </c>
      <c r="I1286" s="42" t="str">
        <f aca="false">IF(OR(C1286=0,CFG_PeriodEnd=""),"",CFG_PeriodEnd-D1286)</f>
        <v/>
      </c>
      <c r="J1286" s="5" t="str">
        <f aca="false">IF(C1286=0,"",IF($A1286="Bank",IF(INDEX(Bank!$G:$G,$C1286)="","",INDEX(Bank!$G:$G,$C1286)),IF(INDEX(GL!$G:$G,$C1286)="","",INDEX(GL!$G:$G,$C1286))))</f>
        <v/>
      </c>
      <c r="K1286" s="5" t="str">
        <f aca="false">IF(C1286=0,"",IF($A1286="Bank",IF(INDEX(Bank!$I:$I,$C1286)="","",INDEX(Bank!$I:$I,$C1286)),IF(INDEX(GL!$I:$I,$C1286)="","",INDEX(GL!$I:$I,$C1286))))</f>
        <v/>
      </c>
      <c r="L1286" s="5" t="str">
        <f aca="false">IF(B1286="","",IF(C1286=0,"NOT FOUND",IF(IF($A1286="Bank",INDEX(Bank!$F:$F,$C1286),INDEX(GL!$F:$F,$C1286))="Y","NOW RECONCILED: refresh","OK")))</f>
        <v/>
      </c>
    </row>
    <row r="1287" customFormat="false" ht="15" hidden="false" customHeight="false" outlineLevel="0" collapsed="false">
      <c r="A1287" s="41"/>
      <c r="B1287" s="41"/>
      <c r="C1287" s="5" t="n">
        <f aca="false">IF(B1287="",0,IF(A1287="Bank",IFERROR(MATCH(B1287,Bank!$A:$A,0),0),IFERROR(MATCH(B1287,GL!$A:$A,0),0)))</f>
        <v>0</v>
      </c>
      <c r="D1287" s="32" t="str">
        <f aca="false">IF(C1287=0,"",IF($A1287="Bank",INDEX(Bank!$B:$B,$C1287),INDEX(GL!$B:$B,$C1287)))</f>
        <v/>
      </c>
      <c r="E1287" s="5" t="str">
        <f aca="false">IF(C1287=0,"",IF($A1287="Bank",IF(INDEX(Bank!$C:$C,$C1287)="","",INDEX(Bank!$C:$C,$C1287)),IF(INDEX(GL!$C:$C,$C1287)="","",INDEX(GL!$C:$C,$C1287))))</f>
        <v/>
      </c>
      <c r="F1287" s="5" t="str">
        <f aca="false">IF(C1287=0,"",IF($A1287="Bank",IF(INDEX(Bank!$D:$D,$C1287)="","",INDEX(Bank!$D:$D,$C1287)),IF(INDEX(GL!$D:$D,$C1287)="","",INDEX(GL!$D:$D,$C1287))))</f>
        <v/>
      </c>
      <c r="G1287" s="19" t="str">
        <f aca="false">IF(C1287=0,"",IF($A1287="Bank",INDEX(Bank!$E:$E,$C1287),INDEX(GL!$E:$E,$C1287)))</f>
        <v/>
      </c>
      <c r="H1287" s="5" t="str">
        <f aca="false">IF(C1287=0,"",IF(A1287="GL",IF(G1287&gt;0,"Deposit in transit","Outstanding check / payment"),IF(G1287&gt;0,"Bank credit not in GL","Bank debit not in GL")))</f>
        <v/>
      </c>
      <c r="I1287" s="42" t="str">
        <f aca="false">IF(OR(C1287=0,CFG_PeriodEnd=""),"",CFG_PeriodEnd-D1287)</f>
        <v/>
      </c>
      <c r="J1287" s="5" t="str">
        <f aca="false">IF(C1287=0,"",IF($A1287="Bank",IF(INDEX(Bank!$G:$G,$C1287)="","",INDEX(Bank!$G:$G,$C1287)),IF(INDEX(GL!$G:$G,$C1287)="","",INDEX(GL!$G:$G,$C1287))))</f>
        <v/>
      </c>
      <c r="K1287" s="5" t="str">
        <f aca="false">IF(C1287=0,"",IF($A1287="Bank",IF(INDEX(Bank!$I:$I,$C1287)="","",INDEX(Bank!$I:$I,$C1287)),IF(INDEX(GL!$I:$I,$C1287)="","",INDEX(GL!$I:$I,$C1287))))</f>
        <v/>
      </c>
      <c r="L1287" s="5" t="str">
        <f aca="false">IF(B1287="","",IF(C1287=0,"NOT FOUND",IF(IF($A1287="Bank",INDEX(Bank!$F:$F,$C1287),INDEX(GL!$F:$F,$C1287))="Y","NOW RECONCILED: refresh","OK")))</f>
        <v/>
      </c>
    </row>
    <row r="1288" customFormat="false" ht="15" hidden="false" customHeight="false" outlineLevel="0" collapsed="false">
      <c r="A1288" s="41"/>
      <c r="B1288" s="41"/>
      <c r="C1288" s="5" t="n">
        <f aca="false">IF(B1288="",0,IF(A1288="Bank",IFERROR(MATCH(B1288,Bank!$A:$A,0),0),IFERROR(MATCH(B1288,GL!$A:$A,0),0)))</f>
        <v>0</v>
      </c>
      <c r="D1288" s="32" t="str">
        <f aca="false">IF(C1288=0,"",IF($A1288="Bank",INDEX(Bank!$B:$B,$C1288),INDEX(GL!$B:$B,$C1288)))</f>
        <v/>
      </c>
      <c r="E1288" s="5" t="str">
        <f aca="false">IF(C1288=0,"",IF($A1288="Bank",IF(INDEX(Bank!$C:$C,$C1288)="","",INDEX(Bank!$C:$C,$C1288)),IF(INDEX(GL!$C:$C,$C1288)="","",INDEX(GL!$C:$C,$C1288))))</f>
        <v/>
      </c>
      <c r="F1288" s="5" t="str">
        <f aca="false">IF(C1288=0,"",IF($A1288="Bank",IF(INDEX(Bank!$D:$D,$C1288)="","",INDEX(Bank!$D:$D,$C1288)),IF(INDEX(GL!$D:$D,$C1288)="","",INDEX(GL!$D:$D,$C1288))))</f>
        <v/>
      </c>
      <c r="G1288" s="19" t="str">
        <f aca="false">IF(C1288=0,"",IF($A1288="Bank",INDEX(Bank!$E:$E,$C1288),INDEX(GL!$E:$E,$C1288)))</f>
        <v/>
      </c>
      <c r="H1288" s="5" t="str">
        <f aca="false">IF(C1288=0,"",IF(A1288="GL",IF(G1288&gt;0,"Deposit in transit","Outstanding check / payment"),IF(G1288&gt;0,"Bank credit not in GL","Bank debit not in GL")))</f>
        <v/>
      </c>
      <c r="I1288" s="42" t="str">
        <f aca="false">IF(OR(C1288=0,CFG_PeriodEnd=""),"",CFG_PeriodEnd-D1288)</f>
        <v/>
      </c>
      <c r="J1288" s="5" t="str">
        <f aca="false">IF(C1288=0,"",IF($A1288="Bank",IF(INDEX(Bank!$G:$G,$C1288)="","",INDEX(Bank!$G:$G,$C1288)),IF(INDEX(GL!$G:$G,$C1288)="","",INDEX(GL!$G:$G,$C1288))))</f>
        <v/>
      </c>
      <c r="K1288" s="5" t="str">
        <f aca="false">IF(C1288=0,"",IF($A1288="Bank",IF(INDEX(Bank!$I:$I,$C1288)="","",INDEX(Bank!$I:$I,$C1288)),IF(INDEX(GL!$I:$I,$C1288)="","",INDEX(GL!$I:$I,$C1288))))</f>
        <v/>
      </c>
      <c r="L1288" s="5" t="str">
        <f aca="false">IF(B1288="","",IF(C1288=0,"NOT FOUND",IF(IF($A1288="Bank",INDEX(Bank!$F:$F,$C1288),INDEX(GL!$F:$F,$C1288))="Y","NOW RECONCILED: refresh","OK")))</f>
        <v/>
      </c>
    </row>
    <row r="1289" customFormat="false" ht="15" hidden="false" customHeight="false" outlineLevel="0" collapsed="false">
      <c r="A1289" s="41"/>
      <c r="B1289" s="41"/>
      <c r="C1289" s="5" t="n">
        <f aca="false">IF(B1289="",0,IF(A1289="Bank",IFERROR(MATCH(B1289,Bank!$A:$A,0),0),IFERROR(MATCH(B1289,GL!$A:$A,0),0)))</f>
        <v>0</v>
      </c>
      <c r="D1289" s="32" t="str">
        <f aca="false">IF(C1289=0,"",IF($A1289="Bank",INDEX(Bank!$B:$B,$C1289),INDEX(GL!$B:$B,$C1289)))</f>
        <v/>
      </c>
      <c r="E1289" s="5" t="str">
        <f aca="false">IF(C1289=0,"",IF($A1289="Bank",IF(INDEX(Bank!$C:$C,$C1289)="","",INDEX(Bank!$C:$C,$C1289)),IF(INDEX(GL!$C:$C,$C1289)="","",INDEX(GL!$C:$C,$C1289))))</f>
        <v/>
      </c>
      <c r="F1289" s="5" t="str">
        <f aca="false">IF(C1289=0,"",IF($A1289="Bank",IF(INDEX(Bank!$D:$D,$C1289)="","",INDEX(Bank!$D:$D,$C1289)),IF(INDEX(GL!$D:$D,$C1289)="","",INDEX(GL!$D:$D,$C1289))))</f>
        <v/>
      </c>
      <c r="G1289" s="19" t="str">
        <f aca="false">IF(C1289=0,"",IF($A1289="Bank",INDEX(Bank!$E:$E,$C1289),INDEX(GL!$E:$E,$C1289)))</f>
        <v/>
      </c>
      <c r="H1289" s="5" t="str">
        <f aca="false">IF(C1289=0,"",IF(A1289="GL",IF(G1289&gt;0,"Deposit in transit","Outstanding check / payment"),IF(G1289&gt;0,"Bank credit not in GL","Bank debit not in GL")))</f>
        <v/>
      </c>
      <c r="I1289" s="42" t="str">
        <f aca="false">IF(OR(C1289=0,CFG_PeriodEnd=""),"",CFG_PeriodEnd-D1289)</f>
        <v/>
      </c>
      <c r="J1289" s="5" t="str">
        <f aca="false">IF(C1289=0,"",IF($A1289="Bank",IF(INDEX(Bank!$G:$G,$C1289)="","",INDEX(Bank!$G:$G,$C1289)),IF(INDEX(GL!$G:$G,$C1289)="","",INDEX(GL!$G:$G,$C1289))))</f>
        <v/>
      </c>
      <c r="K1289" s="5" t="str">
        <f aca="false">IF(C1289=0,"",IF($A1289="Bank",IF(INDEX(Bank!$I:$I,$C1289)="","",INDEX(Bank!$I:$I,$C1289)),IF(INDEX(GL!$I:$I,$C1289)="","",INDEX(GL!$I:$I,$C1289))))</f>
        <v/>
      </c>
      <c r="L1289" s="5" t="str">
        <f aca="false">IF(B1289="","",IF(C1289=0,"NOT FOUND",IF(IF($A1289="Bank",INDEX(Bank!$F:$F,$C1289),INDEX(GL!$F:$F,$C1289))="Y","NOW RECONCILED: refresh","OK")))</f>
        <v/>
      </c>
    </row>
    <row r="1290" customFormat="false" ht="15" hidden="false" customHeight="false" outlineLevel="0" collapsed="false">
      <c r="A1290" s="41"/>
      <c r="B1290" s="41"/>
      <c r="C1290" s="5" t="n">
        <f aca="false">IF(B1290="",0,IF(A1290="Bank",IFERROR(MATCH(B1290,Bank!$A:$A,0),0),IFERROR(MATCH(B1290,GL!$A:$A,0),0)))</f>
        <v>0</v>
      </c>
      <c r="D1290" s="32" t="str">
        <f aca="false">IF(C1290=0,"",IF($A1290="Bank",INDEX(Bank!$B:$B,$C1290),INDEX(GL!$B:$B,$C1290)))</f>
        <v/>
      </c>
      <c r="E1290" s="5" t="str">
        <f aca="false">IF(C1290=0,"",IF($A1290="Bank",IF(INDEX(Bank!$C:$C,$C1290)="","",INDEX(Bank!$C:$C,$C1290)),IF(INDEX(GL!$C:$C,$C1290)="","",INDEX(GL!$C:$C,$C1290))))</f>
        <v/>
      </c>
      <c r="F1290" s="5" t="str">
        <f aca="false">IF(C1290=0,"",IF($A1290="Bank",IF(INDEX(Bank!$D:$D,$C1290)="","",INDEX(Bank!$D:$D,$C1290)),IF(INDEX(GL!$D:$D,$C1290)="","",INDEX(GL!$D:$D,$C1290))))</f>
        <v/>
      </c>
      <c r="G1290" s="19" t="str">
        <f aca="false">IF(C1290=0,"",IF($A1290="Bank",INDEX(Bank!$E:$E,$C1290),INDEX(GL!$E:$E,$C1290)))</f>
        <v/>
      </c>
      <c r="H1290" s="5" t="str">
        <f aca="false">IF(C1290=0,"",IF(A1290="GL",IF(G1290&gt;0,"Deposit in transit","Outstanding check / payment"),IF(G1290&gt;0,"Bank credit not in GL","Bank debit not in GL")))</f>
        <v/>
      </c>
      <c r="I1290" s="42" t="str">
        <f aca="false">IF(OR(C1290=0,CFG_PeriodEnd=""),"",CFG_PeriodEnd-D1290)</f>
        <v/>
      </c>
      <c r="J1290" s="5" t="str">
        <f aca="false">IF(C1290=0,"",IF($A1290="Bank",IF(INDEX(Bank!$G:$G,$C1290)="","",INDEX(Bank!$G:$G,$C1290)),IF(INDEX(GL!$G:$G,$C1290)="","",INDEX(GL!$G:$G,$C1290))))</f>
        <v/>
      </c>
      <c r="K1290" s="5" t="str">
        <f aca="false">IF(C1290=0,"",IF($A1290="Bank",IF(INDEX(Bank!$I:$I,$C1290)="","",INDEX(Bank!$I:$I,$C1290)),IF(INDEX(GL!$I:$I,$C1290)="","",INDEX(GL!$I:$I,$C1290))))</f>
        <v/>
      </c>
      <c r="L1290" s="5" t="str">
        <f aca="false">IF(B1290="","",IF(C1290=0,"NOT FOUND",IF(IF($A1290="Bank",INDEX(Bank!$F:$F,$C1290),INDEX(GL!$F:$F,$C1290))="Y","NOW RECONCILED: refresh","OK")))</f>
        <v/>
      </c>
    </row>
    <row r="1291" customFormat="false" ht="15" hidden="false" customHeight="false" outlineLevel="0" collapsed="false">
      <c r="A1291" s="41"/>
      <c r="B1291" s="41"/>
      <c r="C1291" s="5" t="n">
        <f aca="false">IF(B1291="",0,IF(A1291="Bank",IFERROR(MATCH(B1291,Bank!$A:$A,0),0),IFERROR(MATCH(B1291,GL!$A:$A,0),0)))</f>
        <v>0</v>
      </c>
      <c r="D1291" s="32" t="str">
        <f aca="false">IF(C1291=0,"",IF($A1291="Bank",INDEX(Bank!$B:$B,$C1291),INDEX(GL!$B:$B,$C1291)))</f>
        <v/>
      </c>
      <c r="E1291" s="5" t="str">
        <f aca="false">IF(C1291=0,"",IF($A1291="Bank",IF(INDEX(Bank!$C:$C,$C1291)="","",INDEX(Bank!$C:$C,$C1291)),IF(INDEX(GL!$C:$C,$C1291)="","",INDEX(GL!$C:$C,$C1291))))</f>
        <v/>
      </c>
      <c r="F1291" s="5" t="str">
        <f aca="false">IF(C1291=0,"",IF($A1291="Bank",IF(INDEX(Bank!$D:$D,$C1291)="","",INDEX(Bank!$D:$D,$C1291)),IF(INDEX(GL!$D:$D,$C1291)="","",INDEX(GL!$D:$D,$C1291))))</f>
        <v/>
      </c>
      <c r="G1291" s="19" t="str">
        <f aca="false">IF(C1291=0,"",IF($A1291="Bank",INDEX(Bank!$E:$E,$C1291),INDEX(GL!$E:$E,$C1291)))</f>
        <v/>
      </c>
      <c r="H1291" s="5" t="str">
        <f aca="false">IF(C1291=0,"",IF(A1291="GL",IF(G1291&gt;0,"Deposit in transit","Outstanding check / payment"),IF(G1291&gt;0,"Bank credit not in GL","Bank debit not in GL")))</f>
        <v/>
      </c>
      <c r="I1291" s="42" t="str">
        <f aca="false">IF(OR(C1291=0,CFG_PeriodEnd=""),"",CFG_PeriodEnd-D1291)</f>
        <v/>
      </c>
      <c r="J1291" s="5" t="str">
        <f aca="false">IF(C1291=0,"",IF($A1291="Bank",IF(INDEX(Bank!$G:$G,$C1291)="","",INDEX(Bank!$G:$G,$C1291)),IF(INDEX(GL!$G:$G,$C1291)="","",INDEX(GL!$G:$G,$C1291))))</f>
        <v/>
      </c>
      <c r="K1291" s="5" t="str">
        <f aca="false">IF(C1291=0,"",IF($A1291="Bank",IF(INDEX(Bank!$I:$I,$C1291)="","",INDEX(Bank!$I:$I,$C1291)),IF(INDEX(GL!$I:$I,$C1291)="","",INDEX(GL!$I:$I,$C1291))))</f>
        <v/>
      </c>
      <c r="L1291" s="5" t="str">
        <f aca="false">IF(B1291="","",IF(C1291=0,"NOT FOUND",IF(IF($A1291="Bank",INDEX(Bank!$F:$F,$C1291),INDEX(GL!$F:$F,$C1291))="Y","NOW RECONCILED: refresh","OK")))</f>
        <v/>
      </c>
    </row>
    <row r="1292" customFormat="false" ht="15" hidden="false" customHeight="false" outlineLevel="0" collapsed="false">
      <c r="A1292" s="41"/>
      <c r="B1292" s="41"/>
      <c r="C1292" s="5" t="n">
        <f aca="false">IF(B1292="",0,IF(A1292="Bank",IFERROR(MATCH(B1292,Bank!$A:$A,0),0),IFERROR(MATCH(B1292,GL!$A:$A,0),0)))</f>
        <v>0</v>
      </c>
      <c r="D1292" s="32" t="str">
        <f aca="false">IF(C1292=0,"",IF($A1292="Bank",INDEX(Bank!$B:$B,$C1292),INDEX(GL!$B:$B,$C1292)))</f>
        <v/>
      </c>
      <c r="E1292" s="5" t="str">
        <f aca="false">IF(C1292=0,"",IF($A1292="Bank",IF(INDEX(Bank!$C:$C,$C1292)="","",INDEX(Bank!$C:$C,$C1292)),IF(INDEX(GL!$C:$C,$C1292)="","",INDEX(GL!$C:$C,$C1292))))</f>
        <v/>
      </c>
      <c r="F1292" s="5" t="str">
        <f aca="false">IF(C1292=0,"",IF($A1292="Bank",IF(INDEX(Bank!$D:$D,$C1292)="","",INDEX(Bank!$D:$D,$C1292)),IF(INDEX(GL!$D:$D,$C1292)="","",INDEX(GL!$D:$D,$C1292))))</f>
        <v/>
      </c>
      <c r="G1292" s="19" t="str">
        <f aca="false">IF(C1292=0,"",IF($A1292="Bank",INDEX(Bank!$E:$E,$C1292),INDEX(GL!$E:$E,$C1292)))</f>
        <v/>
      </c>
      <c r="H1292" s="5" t="str">
        <f aca="false">IF(C1292=0,"",IF(A1292="GL",IF(G1292&gt;0,"Deposit in transit","Outstanding check / payment"),IF(G1292&gt;0,"Bank credit not in GL","Bank debit not in GL")))</f>
        <v/>
      </c>
      <c r="I1292" s="42" t="str">
        <f aca="false">IF(OR(C1292=0,CFG_PeriodEnd=""),"",CFG_PeriodEnd-D1292)</f>
        <v/>
      </c>
      <c r="J1292" s="5" t="str">
        <f aca="false">IF(C1292=0,"",IF($A1292="Bank",IF(INDEX(Bank!$G:$G,$C1292)="","",INDEX(Bank!$G:$G,$C1292)),IF(INDEX(GL!$G:$G,$C1292)="","",INDEX(GL!$G:$G,$C1292))))</f>
        <v/>
      </c>
      <c r="K1292" s="5" t="str">
        <f aca="false">IF(C1292=0,"",IF($A1292="Bank",IF(INDEX(Bank!$I:$I,$C1292)="","",INDEX(Bank!$I:$I,$C1292)),IF(INDEX(GL!$I:$I,$C1292)="","",INDEX(GL!$I:$I,$C1292))))</f>
        <v/>
      </c>
      <c r="L1292" s="5" t="str">
        <f aca="false">IF(B1292="","",IF(C1292=0,"NOT FOUND",IF(IF($A1292="Bank",INDEX(Bank!$F:$F,$C1292),INDEX(GL!$F:$F,$C1292))="Y","NOW RECONCILED: refresh","OK")))</f>
        <v/>
      </c>
    </row>
    <row r="1293" customFormat="false" ht="15" hidden="false" customHeight="false" outlineLevel="0" collapsed="false">
      <c r="A1293" s="41"/>
      <c r="B1293" s="41"/>
      <c r="C1293" s="5" t="n">
        <f aca="false">IF(B1293="",0,IF(A1293="Bank",IFERROR(MATCH(B1293,Bank!$A:$A,0),0),IFERROR(MATCH(B1293,GL!$A:$A,0),0)))</f>
        <v>0</v>
      </c>
      <c r="D1293" s="32" t="str">
        <f aca="false">IF(C1293=0,"",IF($A1293="Bank",INDEX(Bank!$B:$B,$C1293),INDEX(GL!$B:$B,$C1293)))</f>
        <v/>
      </c>
      <c r="E1293" s="5" t="str">
        <f aca="false">IF(C1293=0,"",IF($A1293="Bank",IF(INDEX(Bank!$C:$C,$C1293)="","",INDEX(Bank!$C:$C,$C1293)),IF(INDEX(GL!$C:$C,$C1293)="","",INDEX(GL!$C:$C,$C1293))))</f>
        <v/>
      </c>
      <c r="F1293" s="5" t="str">
        <f aca="false">IF(C1293=0,"",IF($A1293="Bank",IF(INDEX(Bank!$D:$D,$C1293)="","",INDEX(Bank!$D:$D,$C1293)),IF(INDEX(GL!$D:$D,$C1293)="","",INDEX(GL!$D:$D,$C1293))))</f>
        <v/>
      </c>
      <c r="G1293" s="19" t="str">
        <f aca="false">IF(C1293=0,"",IF($A1293="Bank",INDEX(Bank!$E:$E,$C1293),INDEX(GL!$E:$E,$C1293)))</f>
        <v/>
      </c>
      <c r="H1293" s="5" t="str">
        <f aca="false">IF(C1293=0,"",IF(A1293="GL",IF(G1293&gt;0,"Deposit in transit","Outstanding check / payment"),IF(G1293&gt;0,"Bank credit not in GL","Bank debit not in GL")))</f>
        <v/>
      </c>
      <c r="I1293" s="42" t="str">
        <f aca="false">IF(OR(C1293=0,CFG_PeriodEnd=""),"",CFG_PeriodEnd-D1293)</f>
        <v/>
      </c>
      <c r="J1293" s="5" t="str">
        <f aca="false">IF(C1293=0,"",IF($A1293="Bank",IF(INDEX(Bank!$G:$G,$C1293)="","",INDEX(Bank!$G:$G,$C1293)),IF(INDEX(GL!$G:$G,$C1293)="","",INDEX(GL!$G:$G,$C1293))))</f>
        <v/>
      </c>
      <c r="K1293" s="5" t="str">
        <f aca="false">IF(C1293=0,"",IF($A1293="Bank",IF(INDEX(Bank!$I:$I,$C1293)="","",INDEX(Bank!$I:$I,$C1293)),IF(INDEX(GL!$I:$I,$C1293)="","",INDEX(GL!$I:$I,$C1293))))</f>
        <v/>
      </c>
      <c r="L1293" s="5" t="str">
        <f aca="false">IF(B1293="","",IF(C1293=0,"NOT FOUND",IF(IF($A1293="Bank",INDEX(Bank!$F:$F,$C1293),INDEX(GL!$F:$F,$C1293))="Y","NOW RECONCILED: refresh","OK")))</f>
        <v/>
      </c>
    </row>
    <row r="1294" customFormat="false" ht="15" hidden="false" customHeight="false" outlineLevel="0" collapsed="false">
      <c r="A1294" s="41"/>
      <c r="B1294" s="41"/>
      <c r="C1294" s="5" t="n">
        <f aca="false">IF(B1294="",0,IF(A1294="Bank",IFERROR(MATCH(B1294,Bank!$A:$A,0),0),IFERROR(MATCH(B1294,GL!$A:$A,0),0)))</f>
        <v>0</v>
      </c>
      <c r="D1294" s="32" t="str">
        <f aca="false">IF(C1294=0,"",IF($A1294="Bank",INDEX(Bank!$B:$B,$C1294),INDEX(GL!$B:$B,$C1294)))</f>
        <v/>
      </c>
      <c r="E1294" s="5" t="str">
        <f aca="false">IF(C1294=0,"",IF($A1294="Bank",IF(INDEX(Bank!$C:$C,$C1294)="","",INDEX(Bank!$C:$C,$C1294)),IF(INDEX(GL!$C:$C,$C1294)="","",INDEX(GL!$C:$C,$C1294))))</f>
        <v/>
      </c>
      <c r="F1294" s="5" t="str">
        <f aca="false">IF(C1294=0,"",IF($A1294="Bank",IF(INDEX(Bank!$D:$D,$C1294)="","",INDEX(Bank!$D:$D,$C1294)),IF(INDEX(GL!$D:$D,$C1294)="","",INDEX(GL!$D:$D,$C1294))))</f>
        <v/>
      </c>
      <c r="G1294" s="19" t="str">
        <f aca="false">IF(C1294=0,"",IF($A1294="Bank",INDEX(Bank!$E:$E,$C1294),INDEX(GL!$E:$E,$C1294)))</f>
        <v/>
      </c>
      <c r="H1294" s="5" t="str">
        <f aca="false">IF(C1294=0,"",IF(A1294="GL",IF(G1294&gt;0,"Deposit in transit","Outstanding check / payment"),IF(G1294&gt;0,"Bank credit not in GL","Bank debit not in GL")))</f>
        <v/>
      </c>
      <c r="I1294" s="42" t="str">
        <f aca="false">IF(OR(C1294=0,CFG_PeriodEnd=""),"",CFG_PeriodEnd-D1294)</f>
        <v/>
      </c>
      <c r="J1294" s="5" t="str">
        <f aca="false">IF(C1294=0,"",IF($A1294="Bank",IF(INDEX(Bank!$G:$G,$C1294)="","",INDEX(Bank!$G:$G,$C1294)),IF(INDEX(GL!$G:$G,$C1294)="","",INDEX(GL!$G:$G,$C1294))))</f>
        <v/>
      </c>
      <c r="K1294" s="5" t="str">
        <f aca="false">IF(C1294=0,"",IF($A1294="Bank",IF(INDEX(Bank!$I:$I,$C1294)="","",INDEX(Bank!$I:$I,$C1294)),IF(INDEX(GL!$I:$I,$C1294)="","",INDEX(GL!$I:$I,$C1294))))</f>
        <v/>
      </c>
      <c r="L1294" s="5" t="str">
        <f aca="false">IF(B1294="","",IF(C1294=0,"NOT FOUND",IF(IF($A1294="Bank",INDEX(Bank!$F:$F,$C1294),INDEX(GL!$F:$F,$C1294))="Y","NOW RECONCILED: refresh","OK")))</f>
        <v/>
      </c>
    </row>
    <row r="1295" customFormat="false" ht="15" hidden="false" customHeight="false" outlineLevel="0" collapsed="false">
      <c r="A1295" s="41"/>
      <c r="B1295" s="41"/>
      <c r="C1295" s="5" t="n">
        <f aca="false">IF(B1295="",0,IF(A1295="Bank",IFERROR(MATCH(B1295,Bank!$A:$A,0),0),IFERROR(MATCH(B1295,GL!$A:$A,0),0)))</f>
        <v>0</v>
      </c>
      <c r="D1295" s="32" t="str">
        <f aca="false">IF(C1295=0,"",IF($A1295="Bank",INDEX(Bank!$B:$B,$C1295),INDEX(GL!$B:$B,$C1295)))</f>
        <v/>
      </c>
      <c r="E1295" s="5" t="str">
        <f aca="false">IF(C1295=0,"",IF($A1295="Bank",IF(INDEX(Bank!$C:$C,$C1295)="","",INDEX(Bank!$C:$C,$C1295)),IF(INDEX(GL!$C:$C,$C1295)="","",INDEX(GL!$C:$C,$C1295))))</f>
        <v/>
      </c>
      <c r="F1295" s="5" t="str">
        <f aca="false">IF(C1295=0,"",IF($A1295="Bank",IF(INDEX(Bank!$D:$D,$C1295)="","",INDEX(Bank!$D:$D,$C1295)),IF(INDEX(GL!$D:$D,$C1295)="","",INDEX(GL!$D:$D,$C1295))))</f>
        <v/>
      </c>
      <c r="G1295" s="19" t="str">
        <f aca="false">IF(C1295=0,"",IF($A1295="Bank",INDEX(Bank!$E:$E,$C1295),INDEX(GL!$E:$E,$C1295)))</f>
        <v/>
      </c>
      <c r="H1295" s="5" t="str">
        <f aca="false">IF(C1295=0,"",IF(A1295="GL",IF(G1295&gt;0,"Deposit in transit","Outstanding check / payment"),IF(G1295&gt;0,"Bank credit not in GL","Bank debit not in GL")))</f>
        <v/>
      </c>
      <c r="I1295" s="42" t="str">
        <f aca="false">IF(OR(C1295=0,CFG_PeriodEnd=""),"",CFG_PeriodEnd-D1295)</f>
        <v/>
      </c>
      <c r="J1295" s="5" t="str">
        <f aca="false">IF(C1295=0,"",IF($A1295="Bank",IF(INDEX(Bank!$G:$G,$C1295)="","",INDEX(Bank!$G:$G,$C1295)),IF(INDEX(GL!$G:$G,$C1295)="","",INDEX(GL!$G:$G,$C1295))))</f>
        <v/>
      </c>
      <c r="K1295" s="5" t="str">
        <f aca="false">IF(C1295=0,"",IF($A1295="Bank",IF(INDEX(Bank!$I:$I,$C1295)="","",INDEX(Bank!$I:$I,$C1295)),IF(INDEX(GL!$I:$I,$C1295)="","",INDEX(GL!$I:$I,$C1295))))</f>
        <v/>
      </c>
      <c r="L1295" s="5" t="str">
        <f aca="false">IF(B1295="","",IF(C1295=0,"NOT FOUND",IF(IF($A1295="Bank",INDEX(Bank!$F:$F,$C1295),INDEX(GL!$F:$F,$C1295))="Y","NOW RECONCILED: refresh","OK")))</f>
        <v/>
      </c>
    </row>
    <row r="1296" customFormat="false" ht="15" hidden="false" customHeight="false" outlineLevel="0" collapsed="false">
      <c r="A1296" s="41"/>
      <c r="B1296" s="41"/>
      <c r="C1296" s="5" t="n">
        <f aca="false">IF(B1296="",0,IF(A1296="Bank",IFERROR(MATCH(B1296,Bank!$A:$A,0),0),IFERROR(MATCH(B1296,GL!$A:$A,0),0)))</f>
        <v>0</v>
      </c>
      <c r="D1296" s="32" t="str">
        <f aca="false">IF(C1296=0,"",IF($A1296="Bank",INDEX(Bank!$B:$B,$C1296),INDEX(GL!$B:$B,$C1296)))</f>
        <v/>
      </c>
      <c r="E1296" s="5" t="str">
        <f aca="false">IF(C1296=0,"",IF($A1296="Bank",IF(INDEX(Bank!$C:$C,$C1296)="","",INDEX(Bank!$C:$C,$C1296)),IF(INDEX(GL!$C:$C,$C1296)="","",INDEX(GL!$C:$C,$C1296))))</f>
        <v/>
      </c>
      <c r="F1296" s="5" t="str">
        <f aca="false">IF(C1296=0,"",IF($A1296="Bank",IF(INDEX(Bank!$D:$D,$C1296)="","",INDEX(Bank!$D:$D,$C1296)),IF(INDEX(GL!$D:$D,$C1296)="","",INDEX(GL!$D:$D,$C1296))))</f>
        <v/>
      </c>
      <c r="G1296" s="19" t="str">
        <f aca="false">IF(C1296=0,"",IF($A1296="Bank",INDEX(Bank!$E:$E,$C1296),INDEX(GL!$E:$E,$C1296)))</f>
        <v/>
      </c>
      <c r="H1296" s="5" t="str">
        <f aca="false">IF(C1296=0,"",IF(A1296="GL",IF(G1296&gt;0,"Deposit in transit","Outstanding check / payment"),IF(G1296&gt;0,"Bank credit not in GL","Bank debit not in GL")))</f>
        <v/>
      </c>
      <c r="I1296" s="42" t="str">
        <f aca="false">IF(OR(C1296=0,CFG_PeriodEnd=""),"",CFG_PeriodEnd-D1296)</f>
        <v/>
      </c>
      <c r="J1296" s="5" t="str">
        <f aca="false">IF(C1296=0,"",IF($A1296="Bank",IF(INDEX(Bank!$G:$G,$C1296)="","",INDEX(Bank!$G:$G,$C1296)),IF(INDEX(GL!$G:$G,$C1296)="","",INDEX(GL!$G:$G,$C1296))))</f>
        <v/>
      </c>
      <c r="K1296" s="5" t="str">
        <f aca="false">IF(C1296=0,"",IF($A1296="Bank",IF(INDEX(Bank!$I:$I,$C1296)="","",INDEX(Bank!$I:$I,$C1296)),IF(INDEX(GL!$I:$I,$C1296)="","",INDEX(GL!$I:$I,$C1296))))</f>
        <v/>
      </c>
      <c r="L1296" s="5" t="str">
        <f aca="false">IF(B1296="","",IF(C1296=0,"NOT FOUND",IF(IF($A1296="Bank",INDEX(Bank!$F:$F,$C1296),INDEX(GL!$F:$F,$C1296))="Y","NOW RECONCILED: refresh","OK")))</f>
        <v/>
      </c>
    </row>
    <row r="1297" customFormat="false" ht="15" hidden="false" customHeight="false" outlineLevel="0" collapsed="false">
      <c r="A1297" s="41"/>
      <c r="B1297" s="41"/>
      <c r="C1297" s="5" t="n">
        <f aca="false">IF(B1297="",0,IF(A1297="Bank",IFERROR(MATCH(B1297,Bank!$A:$A,0),0),IFERROR(MATCH(B1297,GL!$A:$A,0),0)))</f>
        <v>0</v>
      </c>
      <c r="D1297" s="32" t="str">
        <f aca="false">IF(C1297=0,"",IF($A1297="Bank",INDEX(Bank!$B:$B,$C1297),INDEX(GL!$B:$B,$C1297)))</f>
        <v/>
      </c>
      <c r="E1297" s="5" t="str">
        <f aca="false">IF(C1297=0,"",IF($A1297="Bank",IF(INDEX(Bank!$C:$C,$C1297)="","",INDEX(Bank!$C:$C,$C1297)),IF(INDEX(GL!$C:$C,$C1297)="","",INDEX(GL!$C:$C,$C1297))))</f>
        <v/>
      </c>
      <c r="F1297" s="5" t="str">
        <f aca="false">IF(C1297=0,"",IF($A1297="Bank",IF(INDEX(Bank!$D:$D,$C1297)="","",INDEX(Bank!$D:$D,$C1297)),IF(INDEX(GL!$D:$D,$C1297)="","",INDEX(GL!$D:$D,$C1297))))</f>
        <v/>
      </c>
      <c r="G1297" s="19" t="str">
        <f aca="false">IF(C1297=0,"",IF($A1297="Bank",INDEX(Bank!$E:$E,$C1297),INDEX(GL!$E:$E,$C1297)))</f>
        <v/>
      </c>
      <c r="H1297" s="5" t="str">
        <f aca="false">IF(C1297=0,"",IF(A1297="GL",IF(G1297&gt;0,"Deposit in transit","Outstanding check / payment"),IF(G1297&gt;0,"Bank credit not in GL","Bank debit not in GL")))</f>
        <v/>
      </c>
      <c r="I1297" s="42" t="str">
        <f aca="false">IF(OR(C1297=0,CFG_PeriodEnd=""),"",CFG_PeriodEnd-D1297)</f>
        <v/>
      </c>
      <c r="J1297" s="5" t="str">
        <f aca="false">IF(C1297=0,"",IF($A1297="Bank",IF(INDEX(Bank!$G:$G,$C1297)="","",INDEX(Bank!$G:$G,$C1297)),IF(INDEX(GL!$G:$G,$C1297)="","",INDEX(GL!$G:$G,$C1297))))</f>
        <v/>
      </c>
      <c r="K1297" s="5" t="str">
        <f aca="false">IF(C1297=0,"",IF($A1297="Bank",IF(INDEX(Bank!$I:$I,$C1297)="","",INDEX(Bank!$I:$I,$C1297)),IF(INDEX(GL!$I:$I,$C1297)="","",INDEX(GL!$I:$I,$C1297))))</f>
        <v/>
      </c>
      <c r="L1297" s="5" t="str">
        <f aca="false">IF(B1297="","",IF(C1297=0,"NOT FOUND",IF(IF($A1297="Bank",INDEX(Bank!$F:$F,$C1297),INDEX(GL!$F:$F,$C1297))="Y","NOW RECONCILED: refresh","OK")))</f>
        <v/>
      </c>
    </row>
    <row r="1298" customFormat="false" ht="15" hidden="false" customHeight="false" outlineLevel="0" collapsed="false">
      <c r="A1298" s="41"/>
      <c r="B1298" s="41"/>
      <c r="C1298" s="5" t="n">
        <f aca="false">IF(B1298="",0,IF(A1298="Bank",IFERROR(MATCH(B1298,Bank!$A:$A,0),0),IFERROR(MATCH(B1298,GL!$A:$A,0),0)))</f>
        <v>0</v>
      </c>
      <c r="D1298" s="32" t="str">
        <f aca="false">IF(C1298=0,"",IF($A1298="Bank",INDEX(Bank!$B:$B,$C1298),INDEX(GL!$B:$B,$C1298)))</f>
        <v/>
      </c>
      <c r="E1298" s="5" t="str">
        <f aca="false">IF(C1298=0,"",IF($A1298="Bank",IF(INDEX(Bank!$C:$C,$C1298)="","",INDEX(Bank!$C:$C,$C1298)),IF(INDEX(GL!$C:$C,$C1298)="","",INDEX(GL!$C:$C,$C1298))))</f>
        <v/>
      </c>
      <c r="F1298" s="5" t="str">
        <f aca="false">IF(C1298=0,"",IF($A1298="Bank",IF(INDEX(Bank!$D:$D,$C1298)="","",INDEX(Bank!$D:$D,$C1298)),IF(INDEX(GL!$D:$D,$C1298)="","",INDEX(GL!$D:$D,$C1298))))</f>
        <v/>
      </c>
      <c r="G1298" s="19" t="str">
        <f aca="false">IF(C1298=0,"",IF($A1298="Bank",INDEX(Bank!$E:$E,$C1298),INDEX(GL!$E:$E,$C1298)))</f>
        <v/>
      </c>
      <c r="H1298" s="5" t="str">
        <f aca="false">IF(C1298=0,"",IF(A1298="GL",IF(G1298&gt;0,"Deposit in transit","Outstanding check / payment"),IF(G1298&gt;0,"Bank credit not in GL","Bank debit not in GL")))</f>
        <v/>
      </c>
      <c r="I1298" s="42" t="str">
        <f aca="false">IF(OR(C1298=0,CFG_PeriodEnd=""),"",CFG_PeriodEnd-D1298)</f>
        <v/>
      </c>
      <c r="J1298" s="5" t="str">
        <f aca="false">IF(C1298=0,"",IF($A1298="Bank",IF(INDEX(Bank!$G:$G,$C1298)="","",INDEX(Bank!$G:$G,$C1298)),IF(INDEX(GL!$G:$G,$C1298)="","",INDEX(GL!$G:$G,$C1298))))</f>
        <v/>
      </c>
      <c r="K1298" s="5" t="str">
        <f aca="false">IF(C1298=0,"",IF($A1298="Bank",IF(INDEX(Bank!$I:$I,$C1298)="","",INDEX(Bank!$I:$I,$C1298)),IF(INDEX(GL!$I:$I,$C1298)="","",INDEX(GL!$I:$I,$C1298))))</f>
        <v/>
      </c>
      <c r="L1298" s="5" t="str">
        <f aca="false">IF(B1298="","",IF(C1298=0,"NOT FOUND",IF(IF($A1298="Bank",INDEX(Bank!$F:$F,$C1298),INDEX(GL!$F:$F,$C1298))="Y","NOW RECONCILED: refresh","OK")))</f>
        <v/>
      </c>
    </row>
    <row r="1299" customFormat="false" ht="15" hidden="false" customHeight="false" outlineLevel="0" collapsed="false">
      <c r="A1299" s="41"/>
      <c r="B1299" s="41"/>
      <c r="C1299" s="5" t="n">
        <f aca="false">IF(B1299="",0,IF(A1299="Bank",IFERROR(MATCH(B1299,Bank!$A:$A,0),0),IFERROR(MATCH(B1299,GL!$A:$A,0),0)))</f>
        <v>0</v>
      </c>
      <c r="D1299" s="32" t="str">
        <f aca="false">IF(C1299=0,"",IF($A1299="Bank",INDEX(Bank!$B:$B,$C1299),INDEX(GL!$B:$B,$C1299)))</f>
        <v/>
      </c>
      <c r="E1299" s="5" t="str">
        <f aca="false">IF(C1299=0,"",IF($A1299="Bank",IF(INDEX(Bank!$C:$C,$C1299)="","",INDEX(Bank!$C:$C,$C1299)),IF(INDEX(GL!$C:$C,$C1299)="","",INDEX(GL!$C:$C,$C1299))))</f>
        <v/>
      </c>
      <c r="F1299" s="5" t="str">
        <f aca="false">IF(C1299=0,"",IF($A1299="Bank",IF(INDEX(Bank!$D:$D,$C1299)="","",INDEX(Bank!$D:$D,$C1299)),IF(INDEX(GL!$D:$D,$C1299)="","",INDEX(GL!$D:$D,$C1299))))</f>
        <v/>
      </c>
      <c r="G1299" s="19" t="str">
        <f aca="false">IF(C1299=0,"",IF($A1299="Bank",INDEX(Bank!$E:$E,$C1299),INDEX(GL!$E:$E,$C1299)))</f>
        <v/>
      </c>
      <c r="H1299" s="5" t="str">
        <f aca="false">IF(C1299=0,"",IF(A1299="GL",IF(G1299&gt;0,"Deposit in transit","Outstanding check / payment"),IF(G1299&gt;0,"Bank credit not in GL","Bank debit not in GL")))</f>
        <v/>
      </c>
      <c r="I1299" s="42" t="str">
        <f aca="false">IF(OR(C1299=0,CFG_PeriodEnd=""),"",CFG_PeriodEnd-D1299)</f>
        <v/>
      </c>
      <c r="J1299" s="5" t="str">
        <f aca="false">IF(C1299=0,"",IF($A1299="Bank",IF(INDEX(Bank!$G:$G,$C1299)="","",INDEX(Bank!$G:$G,$C1299)),IF(INDEX(GL!$G:$G,$C1299)="","",INDEX(GL!$G:$G,$C1299))))</f>
        <v/>
      </c>
      <c r="K1299" s="5" t="str">
        <f aca="false">IF(C1299=0,"",IF($A1299="Bank",IF(INDEX(Bank!$I:$I,$C1299)="","",INDEX(Bank!$I:$I,$C1299)),IF(INDEX(GL!$I:$I,$C1299)="","",INDEX(GL!$I:$I,$C1299))))</f>
        <v/>
      </c>
      <c r="L1299" s="5" t="str">
        <f aca="false">IF(B1299="","",IF(C1299=0,"NOT FOUND",IF(IF($A1299="Bank",INDEX(Bank!$F:$F,$C1299),INDEX(GL!$F:$F,$C1299))="Y","NOW RECONCILED: refresh","OK")))</f>
        <v/>
      </c>
    </row>
    <row r="1300" customFormat="false" ht="15" hidden="false" customHeight="false" outlineLevel="0" collapsed="false">
      <c r="A1300" s="41"/>
      <c r="B1300" s="41"/>
      <c r="C1300" s="5" t="n">
        <f aca="false">IF(B1300="",0,IF(A1300="Bank",IFERROR(MATCH(B1300,Bank!$A:$A,0),0),IFERROR(MATCH(B1300,GL!$A:$A,0),0)))</f>
        <v>0</v>
      </c>
      <c r="D1300" s="32" t="str">
        <f aca="false">IF(C1300=0,"",IF($A1300="Bank",INDEX(Bank!$B:$B,$C1300),INDEX(GL!$B:$B,$C1300)))</f>
        <v/>
      </c>
      <c r="E1300" s="5" t="str">
        <f aca="false">IF(C1300=0,"",IF($A1300="Bank",IF(INDEX(Bank!$C:$C,$C1300)="","",INDEX(Bank!$C:$C,$C1300)),IF(INDEX(GL!$C:$C,$C1300)="","",INDEX(GL!$C:$C,$C1300))))</f>
        <v/>
      </c>
      <c r="F1300" s="5" t="str">
        <f aca="false">IF(C1300=0,"",IF($A1300="Bank",IF(INDEX(Bank!$D:$D,$C1300)="","",INDEX(Bank!$D:$D,$C1300)),IF(INDEX(GL!$D:$D,$C1300)="","",INDEX(GL!$D:$D,$C1300))))</f>
        <v/>
      </c>
      <c r="G1300" s="19" t="str">
        <f aca="false">IF(C1300=0,"",IF($A1300="Bank",INDEX(Bank!$E:$E,$C1300),INDEX(GL!$E:$E,$C1300)))</f>
        <v/>
      </c>
      <c r="H1300" s="5" t="str">
        <f aca="false">IF(C1300=0,"",IF(A1300="GL",IF(G1300&gt;0,"Deposit in transit","Outstanding check / payment"),IF(G1300&gt;0,"Bank credit not in GL","Bank debit not in GL")))</f>
        <v/>
      </c>
      <c r="I1300" s="42" t="str">
        <f aca="false">IF(OR(C1300=0,CFG_PeriodEnd=""),"",CFG_PeriodEnd-D1300)</f>
        <v/>
      </c>
      <c r="J1300" s="5" t="str">
        <f aca="false">IF(C1300=0,"",IF($A1300="Bank",IF(INDEX(Bank!$G:$G,$C1300)="","",INDEX(Bank!$G:$G,$C1300)),IF(INDEX(GL!$G:$G,$C1300)="","",INDEX(GL!$G:$G,$C1300))))</f>
        <v/>
      </c>
      <c r="K1300" s="5" t="str">
        <f aca="false">IF(C1300=0,"",IF($A1300="Bank",IF(INDEX(Bank!$I:$I,$C1300)="","",INDEX(Bank!$I:$I,$C1300)),IF(INDEX(GL!$I:$I,$C1300)="","",INDEX(GL!$I:$I,$C1300))))</f>
        <v/>
      </c>
      <c r="L1300" s="5" t="str">
        <f aca="false">IF(B1300="","",IF(C1300=0,"NOT FOUND",IF(IF($A1300="Bank",INDEX(Bank!$F:$F,$C1300),INDEX(GL!$F:$F,$C1300))="Y","NOW RECONCILED: refresh","OK")))</f>
        <v/>
      </c>
    </row>
    <row r="1301" customFormat="false" ht="15" hidden="false" customHeight="false" outlineLevel="0" collapsed="false">
      <c r="A1301" s="41"/>
      <c r="B1301" s="41"/>
      <c r="C1301" s="5" t="n">
        <f aca="false">IF(B1301="",0,IF(A1301="Bank",IFERROR(MATCH(B1301,Bank!$A:$A,0),0),IFERROR(MATCH(B1301,GL!$A:$A,0),0)))</f>
        <v>0</v>
      </c>
      <c r="D1301" s="32" t="str">
        <f aca="false">IF(C1301=0,"",IF($A1301="Bank",INDEX(Bank!$B:$B,$C1301),INDEX(GL!$B:$B,$C1301)))</f>
        <v/>
      </c>
      <c r="E1301" s="5" t="str">
        <f aca="false">IF(C1301=0,"",IF($A1301="Bank",IF(INDEX(Bank!$C:$C,$C1301)="","",INDEX(Bank!$C:$C,$C1301)),IF(INDEX(GL!$C:$C,$C1301)="","",INDEX(GL!$C:$C,$C1301))))</f>
        <v/>
      </c>
      <c r="F1301" s="5" t="str">
        <f aca="false">IF(C1301=0,"",IF($A1301="Bank",IF(INDEX(Bank!$D:$D,$C1301)="","",INDEX(Bank!$D:$D,$C1301)),IF(INDEX(GL!$D:$D,$C1301)="","",INDEX(GL!$D:$D,$C1301))))</f>
        <v/>
      </c>
      <c r="G1301" s="19" t="str">
        <f aca="false">IF(C1301=0,"",IF($A1301="Bank",INDEX(Bank!$E:$E,$C1301),INDEX(GL!$E:$E,$C1301)))</f>
        <v/>
      </c>
      <c r="H1301" s="5" t="str">
        <f aca="false">IF(C1301=0,"",IF(A1301="GL",IF(G1301&gt;0,"Deposit in transit","Outstanding check / payment"),IF(G1301&gt;0,"Bank credit not in GL","Bank debit not in GL")))</f>
        <v/>
      </c>
      <c r="I1301" s="42" t="str">
        <f aca="false">IF(OR(C1301=0,CFG_PeriodEnd=""),"",CFG_PeriodEnd-D1301)</f>
        <v/>
      </c>
      <c r="J1301" s="5" t="str">
        <f aca="false">IF(C1301=0,"",IF($A1301="Bank",IF(INDEX(Bank!$G:$G,$C1301)="","",INDEX(Bank!$G:$G,$C1301)),IF(INDEX(GL!$G:$G,$C1301)="","",INDEX(GL!$G:$G,$C1301))))</f>
        <v/>
      </c>
      <c r="K1301" s="5" t="str">
        <f aca="false">IF(C1301=0,"",IF($A1301="Bank",IF(INDEX(Bank!$I:$I,$C1301)="","",INDEX(Bank!$I:$I,$C1301)),IF(INDEX(GL!$I:$I,$C1301)="","",INDEX(GL!$I:$I,$C1301))))</f>
        <v/>
      </c>
      <c r="L1301" s="5" t="str">
        <f aca="false">IF(B1301="","",IF(C1301=0,"NOT FOUND",IF(IF($A1301="Bank",INDEX(Bank!$F:$F,$C1301),INDEX(GL!$F:$F,$C1301))="Y","NOW RECONCILED: refresh","OK")))</f>
        <v/>
      </c>
    </row>
    <row r="1302" customFormat="false" ht="15" hidden="false" customHeight="false" outlineLevel="0" collapsed="false">
      <c r="A1302" s="41"/>
      <c r="B1302" s="41"/>
      <c r="C1302" s="5" t="n">
        <f aca="false">IF(B1302="",0,IF(A1302="Bank",IFERROR(MATCH(B1302,Bank!$A:$A,0),0),IFERROR(MATCH(B1302,GL!$A:$A,0),0)))</f>
        <v>0</v>
      </c>
      <c r="D1302" s="32" t="str">
        <f aca="false">IF(C1302=0,"",IF($A1302="Bank",INDEX(Bank!$B:$B,$C1302),INDEX(GL!$B:$B,$C1302)))</f>
        <v/>
      </c>
      <c r="E1302" s="5" t="str">
        <f aca="false">IF(C1302=0,"",IF($A1302="Bank",IF(INDEX(Bank!$C:$C,$C1302)="","",INDEX(Bank!$C:$C,$C1302)),IF(INDEX(GL!$C:$C,$C1302)="","",INDEX(GL!$C:$C,$C1302))))</f>
        <v/>
      </c>
      <c r="F1302" s="5" t="str">
        <f aca="false">IF(C1302=0,"",IF($A1302="Bank",IF(INDEX(Bank!$D:$D,$C1302)="","",INDEX(Bank!$D:$D,$C1302)),IF(INDEX(GL!$D:$D,$C1302)="","",INDEX(GL!$D:$D,$C1302))))</f>
        <v/>
      </c>
      <c r="G1302" s="19" t="str">
        <f aca="false">IF(C1302=0,"",IF($A1302="Bank",INDEX(Bank!$E:$E,$C1302),INDEX(GL!$E:$E,$C1302)))</f>
        <v/>
      </c>
      <c r="H1302" s="5" t="str">
        <f aca="false">IF(C1302=0,"",IF(A1302="GL",IF(G1302&gt;0,"Deposit in transit","Outstanding check / payment"),IF(G1302&gt;0,"Bank credit not in GL","Bank debit not in GL")))</f>
        <v/>
      </c>
      <c r="I1302" s="42" t="str">
        <f aca="false">IF(OR(C1302=0,CFG_PeriodEnd=""),"",CFG_PeriodEnd-D1302)</f>
        <v/>
      </c>
      <c r="J1302" s="5" t="str">
        <f aca="false">IF(C1302=0,"",IF($A1302="Bank",IF(INDEX(Bank!$G:$G,$C1302)="","",INDEX(Bank!$G:$G,$C1302)),IF(INDEX(GL!$G:$G,$C1302)="","",INDEX(GL!$G:$G,$C1302))))</f>
        <v/>
      </c>
      <c r="K1302" s="5" t="str">
        <f aca="false">IF(C1302=0,"",IF($A1302="Bank",IF(INDEX(Bank!$I:$I,$C1302)="","",INDEX(Bank!$I:$I,$C1302)),IF(INDEX(GL!$I:$I,$C1302)="","",INDEX(GL!$I:$I,$C1302))))</f>
        <v/>
      </c>
      <c r="L1302" s="5" t="str">
        <f aca="false">IF(B1302="","",IF(C1302=0,"NOT FOUND",IF(IF($A1302="Bank",INDEX(Bank!$F:$F,$C1302),INDEX(GL!$F:$F,$C1302))="Y","NOW RECONCILED: refresh","OK")))</f>
        <v/>
      </c>
    </row>
    <row r="1303" customFormat="false" ht="15" hidden="false" customHeight="false" outlineLevel="0" collapsed="false">
      <c r="A1303" s="41"/>
      <c r="B1303" s="41"/>
      <c r="C1303" s="5" t="n">
        <f aca="false">IF(B1303="",0,IF(A1303="Bank",IFERROR(MATCH(B1303,Bank!$A:$A,0),0),IFERROR(MATCH(B1303,GL!$A:$A,0),0)))</f>
        <v>0</v>
      </c>
      <c r="D1303" s="32" t="str">
        <f aca="false">IF(C1303=0,"",IF($A1303="Bank",INDEX(Bank!$B:$B,$C1303),INDEX(GL!$B:$B,$C1303)))</f>
        <v/>
      </c>
      <c r="E1303" s="5" t="str">
        <f aca="false">IF(C1303=0,"",IF($A1303="Bank",IF(INDEX(Bank!$C:$C,$C1303)="","",INDEX(Bank!$C:$C,$C1303)),IF(INDEX(GL!$C:$C,$C1303)="","",INDEX(GL!$C:$C,$C1303))))</f>
        <v/>
      </c>
      <c r="F1303" s="5" t="str">
        <f aca="false">IF(C1303=0,"",IF($A1303="Bank",IF(INDEX(Bank!$D:$D,$C1303)="","",INDEX(Bank!$D:$D,$C1303)),IF(INDEX(GL!$D:$D,$C1303)="","",INDEX(GL!$D:$D,$C1303))))</f>
        <v/>
      </c>
      <c r="G1303" s="19" t="str">
        <f aca="false">IF(C1303=0,"",IF($A1303="Bank",INDEX(Bank!$E:$E,$C1303),INDEX(GL!$E:$E,$C1303)))</f>
        <v/>
      </c>
      <c r="H1303" s="5" t="str">
        <f aca="false">IF(C1303=0,"",IF(A1303="GL",IF(G1303&gt;0,"Deposit in transit","Outstanding check / payment"),IF(G1303&gt;0,"Bank credit not in GL","Bank debit not in GL")))</f>
        <v/>
      </c>
      <c r="I1303" s="42" t="str">
        <f aca="false">IF(OR(C1303=0,CFG_PeriodEnd=""),"",CFG_PeriodEnd-D1303)</f>
        <v/>
      </c>
      <c r="J1303" s="5" t="str">
        <f aca="false">IF(C1303=0,"",IF($A1303="Bank",IF(INDEX(Bank!$G:$G,$C1303)="","",INDEX(Bank!$G:$G,$C1303)),IF(INDEX(GL!$G:$G,$C1303)="","",INDEX(GL!$G:$G,$C1303))))</f>
        <v/>
      </c>
      <c r="K1303" s="5" t="str">
        <f aca="false">IF(C1303=0,"",IF($A1303="Bank",IF(INDEX(Bank!$I:$I,$C1303)="","",INDEX(Bank!$I:$I,$C1303)),IF(INDEX(GL!$I:$I,$C1303)="","",INDEX(GL!$I:$I,$C1303))))</f>
        <v/>
      </c>
      <c r="L1303" s="5" t="str">
        <f aca="false">IF(B1303="","",IF(C1303=0,"NOT FOUND",IF(IF($A1303="Bank",INDEX(Bank!$F:$F,$C1303),INDEX(GL!$F:$F,$C1303))="Y","NOW RECONCILED: refresh","OK")))</f>
        <v/>
      </c>
    </row>
    <row r="1304" customFormat="false" ht="15" hidden="false" customHeight="false" outlineLevel="0" collapsed="false">
      <c r="A1304" s="41"/>
      <c r="B1304" s="41"/>
      <c r="C1304" s="5" t="n">
        <f aca="false">IF(B1304="",0,IF(A1304="Bank",IFERROR(MATCH(B1304,Bank!$A:$A,0),0),IFERROR(MATCH(B1304,GL!$A:$A,0),0)))</f>
        <v>0</v>
      </c>
      <c r="D1304" s="32" t="str">
        <f aca="false">IF(C1304=0,"",IF($A1304="Bank",INDEX(Bank!$B:$B,$C1304),INDEX(GL!$B:$B,$C1304)))</f>
        <v/>
      </c>
      <c r="E1304" s="5" t="str">
        <f aca="false">IF(C1304=0,"",IF($A1304="Bank",IF(INDEX(Bank!$C:$C,$C1304)="","",INDEX(Bank!$C:$C,$C1304)),IF(INDEX(GL!$C:$C,$C1304)="","",INDEX(GL!$C:$C,$C1304))))</f>
        <v/>
      </c>
      <c r="F1304" s="5" t="str">
        <f aca="false">IF(C1304=0,"",IF($A1304="Bank",IF(INDEX(Bank!$D:$D,$C1304)="","",INDEX(Bank!$D:$D,$C1304)),IF(INDEX(GL!$D:$D,$C1304)="","",INDEX(GL!$D:$D,$C1304))))</f>
        <v/>
      </c>
      <c r="G1304" s="19" t="str">
        <f aca="false">IF(C1304=0,"",IF($A1304="Bank",INDEX(Bank!$E:$E,$C1304),INDEX(GL!$E:$E,$C1304)))</f>
        <v/>
      </c>
      <c r="H1304" s="5" t="str">
        <f aca="false">IF(C1304=0,"",IF(A1304="GL",IF(G1304&gt;0,"Deposit in transit","Outstanding check / payment"),IF(G1304&gt;0,"Bank credit not in GL","Bank debit not in GL")))</f>
        <v/>
      </c>
      <c r="I1304" s="42" t="str">
        <f aca="false">IF(OR(C1304=0,CFG_PeriodEnd=""),"",CFG_PeriodEnd-D1304)</f>
        <v/>
      </c>
      <c r="J1304" s="5" t="str">
        <f aca="false">IF(C1304=0,"",IF($A1304="Bank",IF(INDEX(Bank!$G:$G,$C1304)="","",INDEX(Bank!$G:$G,$C1304)),IF(INDEX(GL!$G:$G,$C1304)="","",INDEX(GL!$G:$G,$C1304))))</f>
        <v/>
      </c>
      <c r="K1304" s="5" t="str">
        <f aca="false">IF(C1304=0,"",IF($A1304="Bank",IF(INDEX(Bank!$I:$I,$C1304)="","",INDEX(Bank!$I:$I,$C1304)),IF(INDEX(GL!$I:$I,$C1304)="","",INDEX(GL!$I:$I,$C1304))))</f>
        <v/>
      </c>
      <c r="L1304" s="5" t="str">
        <f aca="false">IF(B1304="","",IF(C1304=0,"NOT FOUND",IF(IF($A1304="Bank",INDEX(Bank!$F:$F,$C1304),INDEX(GL!$F:$F,$C1304))="Y","NOW RECONCILED: refresh","OK")))</f>
        <v/>
      </c>
    </row>
    <row r="1305" customFormat="false" ht="15" hidden="false" customHeight="false" outlineLevel="0" collapsed="false">
      <c r="A1305" s="41"/>
      <c r="B1305" s="41"/>
      <c r="C1305" s="5" t="n">
        <f aca="false">IF(B1305="",0,IF(A1305="Bank",IFERROR(MATCH(B1305,Bank!$A:$A,0),0),IFERROR(MATCH(B1305,GL!$A:$A,0),0)))</f>
        <v>0</v>
      </c>
      <c r="D1305" s="32" t="str">
        <f aca="false">IF(C1305=0,"",IF($A1305="Bank",INDEX(Bank!$B:$B,$C1305),INDEX(GL!$B:$B,$C1305)))</f>
        <v/>
      </c>
      <c r="E1305" s="5" t="str">
        <f aca="false">IF(C1305=0,"",IF($A1305="Bank",IF(INDEX(Bank!$C:$C,$C1305)="","",INDEX(Bank!$C:$C,$C1305)),IF(INDEX(GL!$C:$C,$C1305)="","",INDEX(GL!$C:$C,$C1305))))</f>
        <v/>
      </c>
      <c r="F1305" s="5" t="str">
        <f aca="false">IF(C1305=0,"",IF($A1305="Bank",IF(INDEX(Bank!$D:$D,$C1305)="","",INDEX(Bank!$D:$D,$C1305)),IF(INDEX(GL!$D:$D,$C1305)="","",INDEX(GL!$D:$D,$C1305))))</f>
        <v/>
      </c>
      <c r="G1305" s="19" t="str">
        <f aca="false">IF(C1305=0,"",IF($A1305="Bank",INDEX(Bank!$E:$E,$C1305),INDEX(GL!$E:$E,$C1305)))</f>
        <v/>
      </c>
      <c r="H1305" s="5" t="str">
        <f aca="false">IF(C1305=0,"",IF(A1305="GL",IF(G1305&gt;0,"Deposit in transit","Outstanding check / payment"),IF(G1305&gt;0,"Bank credit not in GL","Bank debit not in GL")))</f>
        <v/>
      </c>
      <c r="I1305" s="42" t="str">
        <f aca="false">IF(OR(C1305=0,CFG_PeriodEnd=""),"",CFG_PeriodEnd-D1305)</f>
        <v/>
      </c>
      <c r="J1305" s="5" t="str">
        <f aca="false">IF(C1305=0,"",IF($A1305="Bank",IF(INDEX(Bank!$G:$G,$C1305)="","",INDEX(Bank!$G:$G,$C1305)),IF(INDEX(GL!$G:$G,$C1305)="","",INDEX(GL!$G:$G,$C1305))))</f>
        <v/>
      </c>
      <c r="K1305" s="5" t="str">
        <f aca="false">IF(C1305=0,"",IF($A1305="Bank",IF(INDEX(Bank!$I:$I,$C1305)="","",INDEX(Bank!$I:$I,$C1305)),IF(INDEX(GL!$I:$I,$C1305)="","",INDEX(GL!$I:$I,$C1305))))</f>
        <v/>
      </c>
      <c r="L1305" s="5" t="str">
        <f aca="false">IF(B1305="","",IF(C1305=0,"NOT FOUND",IF(IF($A1305="Bank",INDEX(Bank!$F:$F,$C1305),INDEX(GL!$F:$F,$C1305))="Y","NOW RECONCILED: refresh","OK")))</f>
        <v/>
      </c>
    </row>
    <row r="1306" customFormat="false" ht="15" hidden="false" customHeight="false" outlineLevel="0" collapsed="false">
      <c r="A1306" s="41"/>
      <c r="B1306" s="41"/>
      <c r="C1306" s="5" t="n">
        <f aca="false">IF(B1306="",0,IF(A1306="Bank",IFERROR(MATCH(B1306,Bank!$A:$A,0),0),IFERROR(MATCH(B1306,GL!$A:$A,0),0)))</f>
        <v>0</v>
      </c>
      <c r="D1306" s="32" t="str">
        <f aca="false">IF(C1306=0,"",IF($A1306="Bank",INDEX(Bank!$B:$B,$C1306),INDEX(GL!$B:$B,$C1306)))</f>
        <v/>
      </c>
      <c r="E1306" s="5" t="str">
        <f aca="false">IF(C1306=0,"",IF($A1306="Bank",IF(INDEX(Bank!$C:$C,$C1306)="","",INDEX(Bank!$C:$C,$C1306)),IF(INDEX(GL!$C:$C,$C1306)="","",INDEX(GL!$C:$C,$C1306))))</f>
        <v/>
      </c>
      <c r="F1306" s="5" t="str">
        <f aca="false">IF(C1306=0,"",IF($A1306="Bank",IF(INDEX(Bank!$D:$D,$C1306)="","",INDEX(Bank!$D:$D,$C1306)),IF(INDEX(GL!$D:$D,$C1306)="","",INDEX(GL!$D:$D,$C1306))))</f>
        <v/>
      </c>
      <c r="G1306" s="19" t="str">
        <f aca="false">IF(C1306=0,"",IF($A1306="Bank",INDEX(Bank!$E:$E,$C1306),INDEX(GL!$E:$E,$C1306)))</f>
        <v/>
      </c>
      <c r="H1306" s="5" t="str">
        <f aca="false">IF(C1306=0,"",IF(A1306="GL",IF(G1306&gt;0,"Deposit in transit","Outstanding check / payment"),IF(G1306&gt;0,"Bank credit not in GL","Bank debit not in GL")))</f>
        <v/>
      </c>
      <c r="I1306" s="42" t="str">
        <f aca="false">IF(OR(C1306=0,CFG_PeriodEnd=""),"",CFG_PeriodEnd-D1306)</f>
        <v/>
      </c>
      <c r="J1306" s="5" t="str">
        <f aca="false">IF(C1306=0,"",IF($A1306="Bank",IF(INDEX(Bank!$G:$G,$C1306)="","",INDEX(Bank!$G:$G,$C1306)),IF(INDEX(GL!$G:$G,$C1306)="","",INDEX(GL!$G:$G,$C1306))))</f>
        <v/>
      </c>
      <c r="K1306" s="5" t="str">
        <f aca="false">IF(C1306=0,"",IF($A1306="Bank",IF(INDEX(Bank!$I:$I,$C1306)="","",INDEX(Bank!$I:$I,$C1306)),IF(INDEX(GL!$I:$I,$C1306)="","",INDEX(GL!$I:$I,$C1306))))</f>
        <v/>
      </c>
      <c r="L1306" s="5" t="str">
        <f aca="false">IF(B1306="","",IF(C1306=0,"NOT FOUND",IF(IF($A1306="Bank",INDEX(Bank!$F:$F,$C1306),INDEX(GL!$F:$F,$C1306))="Y","NOW RECONCILED: refresh","OK")))</f>
        <v/>
      </c>
    </row>
    <row r="1307" customFormat="false" ht="15" hidden="false" customHeight="false" outlineLevel="0" collapsed="false">
      <c r="A1307" s="41"/>
      <c r="B1307" s="41"/>
      <c r="C1307" s="5" t="n">
        <f aca="false">IF(B1307="",0,IF(A1307="Bank",IFERROR(MATCH(B1307,Bank!$A:$A,0),0),IFERROR(MATCH(B1307,GL!$A:$A,0),0)))</f>
        <v>0</v>
      </c>
      <c r="D1307" s="32" t="str">
        <f aca="false">IF(C1307=0,"",IF($A1307="Bank",INDEX(Bank!$B:$B,$C1307),INDEX(GL!$B:$B,$C1307)))</f>
        <v/>
      </c>
      <c r="E1307" s="5" t="str">
        <f aca="false">IF(C1307=0,"",IF($A1307="Bank",IF(INDEX(Bank!$C:$C,$C1307)="","",INDEX(Bank!$C:$C,$C1307)),IF(INDEX(GL!$C:$C,$C1307)="","",INDEX(GL!$C:$C,$C1307))))</f>
        <v/>
      </c>
      <c r="F1307" s="5" t="str">
        <f aca="false">IF(C1307=0,"",IF($A1307="Bank",IF(INDEX(Bank!$D:$D,$C1307)="","",INDEX(Bank!$D:$D,$C1307)),IF(INDEX(GL!$D:$D,$C1307)="","",INDEX(GL!$D:$D,$C1307))))</f>
        <v/>
      </c>
      <c r="G1307" s="19" t="str">
        <f aca="false">IF(C1307=0,"",IF($A1307="Bank",INDEX(Bank!$E:$E,$C1307),INDEX(GL!$E:$E,$C1307)))</f>
        <v/>
      </c>
      <c r="H1307" s="5" t="str">
        <f aca="false">IF(C1307=0,"",IF(A1307="GL",IF(G1307&gt;0,"Deposit in transit","Outstanding check / payment"),IF(G1307&gt;0,"Bank credit not in GL","Bank debit not in GL")))</f>
        <v/>
      </c>
      <c r="I1307" s="42" t="str">
        <f aca="false">IF(OR(C1307=0,CFG_PeriodEnd=""),"",CFG_PeriodEnd-D1307)</f>
        <v/>
      </c>
      <c r="J1307" s="5" t="str">
        <f aca="false">IF(C1307=0,"",IF($A1307="Bank",IF(INDEX(Bank!$G:$G,$C1307)="","",INDEX(Bank!$G:$G,$C1307)),IF(INDEX(GL!$G:$G,$C1307)="","",INDEX(GL!$G:$G,$C1307))))</f>
        <v/>
      </c>
      <c r="K1307" s="5" t="str">
        <f aca="false">IF(C1307=0,"",IF($A1307="Bank",IF(INDEX(Bank!$I:$I,$C1307)="","",INDEX(Bank!$I:$I,$C1307)),IF(INDEX(GL!$I:$I,$C1307)="","",INDEX(GL!$I:$I,$C1307))))</f>
        <v/>
      </c>
      <c r="L1307" s="5" t="str">
        <f aca="false">IF(B1307="","",IF(C1307=0,"NOT FOUND",IF(IF($A1307="Bank",INDEX(Bank!$F:$F,$C1307),INDEX(GL!$F:$F,$C1307))="Y","NOW RECONCILED: refresh","OK")))</f>
        <v/>
      </c>
    </row>
    <row r="1308" customFormat="false" ht="15" hidden="false" customHeight="false" outlineLevel="0" collapsed="false">
      <c r="A1308" s="41"/>
      <c r="B1308" s="41"/>
      <c r="C1308" s="5" t="n">
        <f aca="false">IF(B1308="",0,IF(A1308="Bank",IFERROR(MATCH(B1308,Bank!$A:$A,0),0),IFERROR(MATCH(B1308,GL!$A:$A,0),0)))</f>
        <v>0</v>
      </c>
      <c r="D1308" s="32" t="str">
        <f aca="false">IF(C1308=0,"",IF($A1308="Bank",INDEX(Bank!$B:$B,$C1308),INDEX(GL!$B:$B,$C1308)))</f>
        <v/>
      </c>
      <c r="E1308" s="5" t="str">
        <f aca="false">IF(C1308=0,"",IF($A1308="Bank",IF(INDEX(Bank!$C:$C,$C1308)="","",INDEX(Bank!$C:$C,$C1308)),IF(INDEX(GL!$C:$C,$C1308)="","",INDEX(GL!$C:$C,$C1308))))</f>
        <v/>
      </c>
      <c r="F1308" s="5" t="str">
        <f aca="false">IF(C1308=0,"",IF($A1308="Bank",IF(INDEX(Bank!$D:$D,$C1308)="","",INDEX(Bank!$D:$D,$C1308)),IF(INDEX(GL!$D:$D,$C1308)="","",INDEX(GL!$D:$D,$C1308))))</f>
        <v/>
      </c>
      <c r="G1308" s="19" t="str">
        <f aca="false">IF(C1308=0,"",IF($A1308="Bank",INDEX(Bank!$E:$E,$C1308),INDEX(GL!$E:$E,$C1308)))</f>
        <v/>
      </c>
      <c r="H1308" s="5" t="str">
        <f aca="false">IF(C1308=0,"",IF(A1308="GL",IF(G1308&gt;0,"Deposit in transit","Outstanding check / payment"),IF(G1308&gt;0,"Bank credit not in GL","Bank debit not in GL")))</f>
        <v/>
      </c>
      <c r="I1308" s="42" t="str">
        <f aca="false">IF(OR(C1308=0,CFG_PeriodEnd=""),"",CFG_PeriodEnd-D1308)</f>
        <v/>
      </c>
      <c r="J1308" s="5" t="str">
        <f aca="false">IF(C1308=0,"",IF($A1308="Bank",IF(INDEX(Bank!$G:$G,$C1308)="","",INDEX(Bank!$G:$G,$C1308)),IF(INDEX(GL!$G:$G,$C1308)="","",INDEX(GL!$G:$G,$C1308))))</f>
        <v/>
      </c>
      <c r="K1308" s="5" t="str">
        <f aca="false">IF(C1308=0,"",IF($A1308="Bank",IF(INDEX(Bank!$I:$I,$C1308)="","",INDEX(Bank!$I:$I,$C1308)),IF(INDEX(GL!$I:$I,$C1308)="","",INDEX(GL!$I:$I,$C1308))))</f>
        <v/>
      </c>
      <c r="L1308" s="5" t="str">
        <f aca="false">IF(B1308="","",IF(C1308=0,"NOT FOUND",IF(IF($A1308="Bank",INDEX(Bank!$F:$F,$C1308),INDEX(GL!$F:$F,$C1308))="Y","NOW RECONCILED: refresh","OK")))</f>
        <v/>
      </c>
    </row>
    <row r="1309" customFormat="false" ht="15" hidden="false" customHeight="false" outlineLevel="0" collapsed="false">
      <c r="A1309" s="41"/>
      <c r="B1309" s="41"/>
      <c r="C1309" s="5" t="n">
        <f aca="false">IF(B1309="",0,IF(A1309="Bank",IFERROR(MATCH(B1309,Bank!$A:$A,0),0),IFERROR(MATCH(B1309,GL!$A:$A,0),0)))</f>
        <v>0</v>
      </c>
      <c r="D1309" s="32" t="str">
        <f aca="false">IF(C1309=0,"",IF($A1309="Bank",INDEX(Bank!$B:$B,$C1309),INDEX(GL!$B:$B,$C1309)))</f>
        <v/>
      </c>
      <c r="E1309" s="5" t="str">
        <f aca="false">IF(C1309=0,"",IF($A1309="Bank",IF(INDEX(Bank!$C:$C,$C1309)="","",INDEX(Bank!$C:$C,$C1309)),IF(INDEX(GL!$C:$C,$C1309)="","",INDEX(GL!$C:$C,$C1309))))</f>
        <v/>
      </c>
      <c r="F1309" s="5" t="str">
        <f aca="false">IF(C1309=0,"",IF($A1309="Bank",IF(INDEX(Bank!$D:$D,$C1309)="","",INDEX(Bank!$D:$D,$C1309)),IF(INDEX(GL!$D:$D,$C1309)="","",INDEX(GL!$D:$D,$C1309))))</f>
        <v/>
      </c>
      <c r="G1309" s="19" t="str">
        <f aca="false">IF(C1309=0,"",IF($A1309="Bank",INDEX(Bank!$E:$E,$C1309),INDEX(GL!$E:$E,$C1309)))</f>
        <v/>
      </c>
      <c r="H1309" s="5" t="str">
        <f aca="false">IF(C1309=0,"",IF(A1309="GL",IF(G1309&gt;0,"Deposit in transit","Outstanding check / payment"),IF(G1309&gt;0,"Bank credit not in GL","Bank debit not in GL")))</f>
        <v/>
      </c>
      <c r="I1309" s="42" t="str">
        <f aca="false">IF(OR(C1309=0,CFG_PeriodEnd=""),"",CFG_PeriodEnd-D1309)</f>
        <v/>
      </c>
      <c r="J1309" s="5" t="str">
        <f aca="false">IF(C1309=0,"",IF($A1309="Bank",IF(INDEX(Bank!$G:$G,$C1309)="","",INDEX(Bank!$G:$G,$C1309)),IF(INDEX(GL!$G:$G,$C1309)="","",INDEX(GL!$G:$G,$C1309))))</f>
        <v/>
      </c>
      <c r="K1309" s="5" t="str">
        <f aca="false">IF(C1309=0,"",IF($A1309="Bank",IF(INDEX(Bank!$I:$I,$C1309)="","",INDEX(Bank!$I:$I,$C1309)),IF(INDEX(GL!$I:$I,$C1309)="","",INDEX(GL!$I:$I,$C1309))))</f>
        <v/>
      </c>
      <c r="L1309" s="5" t="str">
        <f aca="false">IF(B1309="","",IF(C1309=0,"NOT FOUND",IF(IF($A1309="Bank",INDEX(Bank!$F:$F,$C1309),INDEX(GL!$F:$F,$C1309))="Y","NOW RECONCILED: refresh","OK")))</f>
        <v/>
      </c>
    </row>
    <row r="1310" customFormat="false" ht="15" hidden="false" customHeight="false" outlineLevel="0" collapsed="false">
      <c r="A1310" s="41"/>
      <c r="B1310" s="41"/>
      <c r="C1310" s="5" t="n">
        <f aca="false">IF(B1310="",0,IF(A1310="Bank",IFERROR(MATCH(B1310,Bank!$A:$A,0),0),IFERROR(MATCH(B1310,GL!$A:$A,0),0)))</f>
        <v>0</v>
      </c>
      <c r="D1310" s="32" t="str">
        <f aca="false">IF(C1310=0,"",IF($A1310="Bank",INDEX(Bank!$B:$B,$C1310),INDEX(GL!$B:$B,$C1310)))</f>
        <v/>
      </c>
      <c r="E1310" s="5" t="str">
        <f aca="false">IF(C1310=0,"",IF($A1310="Bank",IF(INDEX(Bank!$C:$C,$C1310)="","",INDEX(Bank!$C:$C,$C1310)),IF(INDEX(GL!$C:$C,$C1310)="","",INDEX(GL!$C:$C,$C1310))))</f>
        <v/>
      </c>
      <c r="F1310" s="5" t="str">
        <f aca="false">IF(C1310=0,"",IF($A1310="Bank",IF(INDEX(Bank!$D:$D,$C1310)="","",INDEX(Bank!$D:$D,$C1310)),IF(INDEX(GL!$D:$D,$C1310)="","",INDEX(GL!$D:$D,$C1310))))</f>
        <v/>
      </c>
      <c r="G1310" s="19" t="str">
        <f aca="false">IF(C1310=0,"",IF($A1310="Bank",INDEX(Bank!$E:$E,$C1310),INDEX(GL!$E:$E,$C1310)))</f>
        <v/>
      </c>
      <c r="H1310" s="5" t="str">
        <f aca="false">IF(C1310=0,"",IF(A1310="GL",IF(G1310&gt;0,"Deposit in transit","Outstanding check / payment"),IF(G1310&gt;0,"Bank credit not in GL","Bank debit not in GL")))</f>
        <v/>
      </c>
      <c r="I1310" s="42" t="str">
        <f aca="false">IF(OR(C1310=0,CFG_PeriodEnd=""),"",CFG_PeriodEnd-D1310)</f>
        <v/>
      </c>
      <c r="J1310" s="5" t="str">
        <f aca="false">IF(C1310=0,"",IF($A1310="Bank",IF(INDEX(Bank!$G:$G,$C1310)="","",INDEX(Bank!$G:$G,$C1310)),IF(INDEX(GL!$G:$G,$C1310)="","",INDEX(GL!$G:$G,$C1310))))</f>
        <v/>
      </c>
      <c r="K1310" s="5" t="str">
        <f aca="false">IF(C1310=0,"",IF($A1310="Bank",IF(INDEX(Bank!$I:$I,$C1310)="","",INDEX(Bank!$I:$I,$C1310)),IF(INDEX(GL!$I:$I,$C1310)="","",INDEX(GL!$I:$I,$C1310))))</f>
        <v/>
      </c>
      <c r="L1310" s="5" t="str">
        <f aca="false">IF(B1310="","",IF(C1310=0,"NOT FOUND",IF(IF($A1310="Bank",INDEX(Bank!$F:$F,$C1310),INDEX(GL!$F:$F,$C1310))="Y","NOW RECONCILED: refresh","OK")))</f>
        <v/>
      </c>
    </row>
    <row r="1311" customFormat="false" ht="15" hidden="false" customHeight="false" outlineLevel="0" collapsed="false">
      <c r="A1311" s="41"/>
      <c r="B1311" s="41"/>
      <c r="C1311" s="5" t="n">
        <f aca="false">IF(B1311="",0,IF(A1311="Bank",IFERROR(MATCH(B1311,Bank!$A:$A,0),0),IFERROR(MATCH(B1311,GL!$A:$A,0),0)))</f>
        <v>0</v>
      </c>
      <c r="D1311" s="32" t="str">
        <f aca="false">IF(C1311=0,"",IF($A1311="Bank",INDEX(Bank!$B:$B,$C1311),INDEX(GL!$B:$B,$C1311)))</f>
        <v/>
      </c>
      <c r="E1311" s="5" t="str">
        <f aca="false">IF(C1311=0,"",IF($A1311="Bank",IF(INDEX(Bank!$C:$C,$C1311)="","",INDEX(Bank!$C:$C,$C1311)),IF(INDEX(GL!$C:$C,$C1311)="","",INDEX(GL!$C:$C,$C1311))))</f>
        <v/>
      </c>
      <c r="F1311" s="5" t="str">
        <f aca="false">IF(C1311=0,"",IF($A1311="Bank",IF(INDEX(Bank!$D:$D,$C1311)="","",INDEX(Bank!$D:$D,$C1311)),IF(INDEX(GL!$D:$D,$C1311)="","",INDEX(GL!$D:$D,$C1311))))</f>
        <v/>
      </c>
      <c r="G1311" s="19" t="str">
        <f aca="false">IF(C1311=0,"",IF($A1311="Bank",INDEX(Bank!$E:$E,$C1311),INDEX(GL!$E:$E,$C1311)))</f>
        <v/>
      </c>
      <c r="H1311" s="5" t="str">
        <f aca="false">IF(C1311=0,"",IF(A1311="GL",IF(G1311&gt;0,"Deposit in transit","Outstanding check / payment"),IF(G1311&gt;0,"Bank credit not in GL","Bank debit not in GL")))</f>
        <v/>
      </c>
      <c r="I1311" s="42" t="str">
        <f aca="false">IF(OR(C1311=0,CFG_PeriodEnd=""),"",CFG_PeriodEnd-D1311)</f>
        <v/>
      </c>
      <c r="J1311" s="5" t="str">
        <f aca="false">IF(C1311=0,"",IF($A1311="Bank",IF(INDEX(Bank!$G:$G,$C1311)="","",INDEX(Bank!$G:$G,$C1311)),IF(INDEX(GL!$G:$G,$C1311)="","",INDEX(GL!$G:$G,$C1311))))</f>
        <v/>
      </c>
      <c r="K1311" s="5" t="str">
        <f aca="false">IF(C1311=0,"",IF($A1311="Bank",IF(INDEX(Bank!$I:$I,$C1311)="","",INDEX(Bank!$I:$I,$C1311)),IF(INDEX(GL!$I:$I,$C1311)="","",INDEX(GL!$I:$I,$C1311))))</f>
        <v/>
      </c>
      <c r="L1311" s="5" t="str">
        <f aca="false">IF(B1311="","",IF(C1311=0,"NOT FOUND",IF(IF($A1311="Bank",INDEX(Bank!$F:$F,$C1311),INDEX(GL!$F:$F,$C1311))="Y","NOW RECONCILED: refresh","OK")))</f>
        <v/>
      </c>
    </row>
    <row r="1312" customFormat="false" ht="15" hidden="false" customHeight="false" outlineLevel="0" collapsed="false">
      <c r="A1312" s="41"/>
      <c r="B1312" s="41"/>
      <c r="C1312" s="5" t="n">
        <f aca="false">IF(B1312="",0,IF(A1312="Bank",IFERROR(MATCH(B1312,Bank!$A:$A,0),0),IFERROR(MATCH(B1312,GL!$A:$A,0),0)))</f>
        <v>0</v>
      </c>
      <c r="D1312" s="32" t="str">
        <f aca="false">IF(C1312=0,"",IF($A1312="Bank",INDEX(Bank!$B:$B,$C1312),INDEX(GL!$B:$B,$C1312)))</f>
        <v/>
      </c>
      <c r="E1312" s="5" t="str">
        <f aca="false">IF(C1312=0,"",IF($A1312="Bank",IF(INDEX(Bank!$C:$C,$C1312)="","",INDEX(Bank!$C:$C,$C1312)),IF(INDEX(GL!$C:$C,$C1312)="","",INDEX(GL!$C:$C,$C1312))))</f>
        <v/>
      </c>
      <c r="F1312" s="5" t="str">
        <f aca="false">IF(C1312=0,"",IF($A1312="Bank",IF(INDEX(Bank!$D:$D,$C1312)="","",INDEX(Bank!$D:$D,$C1312)),IF(INDEX(GL!$D:$D,$C1312)="","",INDEX(GL!$D:$D,$C1312))))</f>
        <v/>
      </c>
      <c r="G1312" s="19" t="str">
        <f aca="false">IF(C1312=0,"",IF($A1312="Bank",INDEX(Bank!$E:$E,$C1312),INDEX(GL!$E:$E,$C1312)))</f>
        <v/>
      </c>
      <c r="H1312" s="5" t="str">
        <f aca="false">IF(C1312=0,"",IF(A1312="GL",IF(G1312&gt;0,"Deposit in transit","Outstanding check / payment"),IF(G1312&gt;0,"Bank credit not in GL","Bank debit not in GL")))</f>
        <v/>
      </c>
      <c r="I1312" s="42" t="str">
        <f aca="false">IF(OR(C1312=0,CFG_PeriodEnd=""),"",CFG_PeriodEnd-D1312)</f>
        <v/>
      </c>
      <c r="J1312" s="5" t="str">
        <f aca="false">IF(C1312=0,"",IF($A1312="Bank",IF(INDEX(Bank!$G:$G,$C1312)="","",INDEX(Bank!$G:$G,$C1312)),IF(INDEX(GL!$G:$G,$C1312)="","",INDEX(GL!$G:$G,$C1312))))</f>
        <v/>
      </c>
      <c r="K1312" s="5" t="str">
        <f aca="false">IF(C1312=0,"",IF($A1312="Bank",IF(INDEX(Bank!$I:$I,$C1312)="","",INDEX(Bank!$I:$I,$C1312)),IF(INDEX(GL!$I:$I,$C1312)="","",INDEX(GL!$I:$I,$C1312))))</f>
        <v/>
      </c>
      <c r="L1312" s="5" t="str">
        <f aca="false">IF(B1312="","",IF(C1312=0,"NOT FOUND",IF(IF($A1312="Bank",INDEX(Bank!$F:$F,$C1312),INDEX(GL!$F:$F,$C1312))="Y","NOW RECONCILED: refresh","OK")))</f>
        <v/>
      </c>
    </row>
    <row r="1313" customFormat="false" ht="15" hidden="false" customHeight="false" outlineLevel="0" collapsed="false">
      <c r="A1313" s="41"/>
      <c r="B1313" s="41"/>
      <c r="C1313" s="5" t="n">
        <f aca="false">IF(B1313="",0,IF(A1313="Bank",IFERROR(MATCH(B1313,Bank!$A:$A,0),0),IFERROR(MATCH(B1313,GL!$A:$A,0),0)))</f>
        <v>0</v>
      </c>
      <c r="D1313" s="32" t="str">
        <f aca="false">IF(C1313=0,"",IF($A1313="Bank",INDEX(Bank!$B:$B,$C1313),INDEX(GL!$B:$B,$C1313)))</f>
        <v/>
      </c>
      <c r="E1313" s="5" t="str">
        <f aca="false">IF(C1313=0,"",IF($A1313="Bank",IF(INDEX(Bank!$C:$C,$C1313)="","",INDEX(Bank!$C:$C,$C1313)),IF(INDEX(GL!$C:$C,$C1313)="","",INDEX(GL!$C:$C,$C1313))))</f>
        <v/>
      </c>
      <c r="F1313" s="5" t="str">
        <f aca="false">IF(C1313=0,"",IF($A1313="Bank",IF(INDEX(Bank!$D:$D,$C1313)="","",INDEX(Bank!$D:$D,$C1313)),IF(INDEX(GL!$D:$D,$C1313)="","",INDEX(GL!$D:$D,$C1313))))</f>
        <v/>
      </c>
      <c r="G1313" s="19" t="str">
        <f aca="false">IF(C1313=0,"",IF($A1313="Bank",INDEX(Bank!$E:$E,$C1313),INDEX(GL!$E:$E,$C1313)))</f>
        <v/>
      </c>
      <c r="H1313" s="5" t="str">
        <f aca="false">IF(C1313=0,"",IF(A1313="GL",IF(G1313&gt;0,"Deposit in transit","Outstanding check / payment"),IF(G1313&gt;0,"Bank credit not in GL","Bank debit not in GL")))</f>
        <v/>
      </c>
      <c r="I1313" s="42" t="str">
        <f aca="false">IF(OR(C1313=0,CFG_PeriodEnd=""),"",CFG_PeriodEnd-D1313)</f>
        <v/>
      </c>
      <c r="J1313" s="5" t="str">
        <f aca="false">IF(C1313=0,"",IF($A1313="Bank",IF(INDEX(Bank!$G:$G,$C1313)="","",INDEX(Bank!$G:$G,$C1313)),IF(INDEX(GL!$G:$G,$C1313)="","",INDEX(GL!$G:$G,$C1313))))</f>
        <v/>
      </c>
      <c r="K1313" s="5" t="str">
        <f aca="false">IF(C1313=0,"",IF($A1313="Bank",IF(INDEX(Bank!$I:$I,$C1313)="","",INDEX(Bank!$I:$I,$C1313)),IF(INDEX(GL!$I:$I,$C1313)="","",INDEX(GL!$I:$I,$C1313))))</f>
        <v/>
      </c>
      <c r="L1313" s="5" t="str">
        <f aca="false">IF(B1313="","",IF(C1313=0,"NOT FOUND",IF(IF($A1313="Bank",INDEX(Bank!$F:$F,$C1313),INDEX(GL!$F:$F,$C1313))="Y","NOW RECONCILED: refresh","OK")))</f>
        <v/>
      </c>
    </row>
    <row r="1314" customFormat="false" ht="15" hidden="false" customHeight="false" outlineLevel="0" collapsed="false">
      <c r="A1314" s="41"/>
      <c r="B1314" s="41"/>
      <c r="C1314" s="5" t="n">
        <f aca="false">IF(B1314="",0,IF(A1314="Bank",IFERROR(MATCH(B1314,Bank!$A:$A,0),0),IFERROR(MATCH(B1314,GL!$A:$A,0),0)))</f>
        <v>0</v>
      </c>
      <c r="D1314" s="32" t="str">
        <f aca="false">IF(C1314=0,"",IF($A1314="Bank",INDEX(Bank!$B:$B,$C1314),INDEX(GL!$B:$B,$C1314)))</f>
        <v/>
      </c>
      <c r="E1314" s="5" t="str">
        <f aca="false">IF(C1314=0,"",IF($A1314="Bank",IF(INDEX(Bank!$C:$C,$C1314)="","",INDEX(Bank!$C:$C,$C1314)),IF(INDEX(GL!$C:$C,$C1314)="","",INDEX(GL!$C:$C,$C1314))))</f>
        <v/>
      </c>
      <c r="F1314" s="5" t="str">
        <f aca="false">IF(C1314=0,"",IF($A1314="Bank",IF(INDEX(Bank!$D:$D,$C1314)="","",INDEX(Bank!$D:$D,$C1314)),IF(INDEX(GL!$D:$D,$C1314)="","",INDEX(GL!$D:$D,$C1314))))</f>
        <v/>
      </c>
      <c r="G1314" s="19" t="str">
        <f aca="false">IF(C1314=0,"",IF($A1314="Bank",INDEX(Bank!$E:$E,$C1314),INDEX(GL!$E:$E,$C1314)))</f>
        <v/>
      </c>
      <c r="H1314" s="5" t="str">
        <f aca="false">IF(C1314=0,"",IF(A1314="GL",IF(G1314&gt;0,"Deposit in transit","Outstanding check / payment"),IF(G1314&gt;0,"Bank credit not in GL","Bank debit not in GL")))</f>
        <v/>
      </c>
      <c r="I1314" s="42" t="str">
        <f aca="false">IF(OR(C1314=0,CFG_PeriodEnd=""),"",CFG_PeriodEnd-D1314)</f>
        <v/>
      </c>
      <c r="J1314" s="5" t="str">
        <f aca="false">IF(C1314=0,"",IF($A1314="Bank",IF(INDEX(Bank!$G:$G,$C1314)="","",INDEX(Bank!$G:$G,$C1314)),IF(INDEX(GL!$G:$G,$C1314)="","",INDEX(GL!$G:$G,$C1314))))</f>
        <v/>
      </c>
      <c r="K1314" s="5" t="str">
        <f aca="false">IF(C1314=0,"",IF($A1314="Bank",IF(INDEX(Bank!$I:$I,$C1314)="","",INDEX(Bank!$I:$I,$C1314)),IF(INDEX(GL!$I:$I,$C1314)="","",INDEX(GL!$I:$I,$C1314))))</f>
        <v/>
      </c>
      <c r="L1314" s="5" t="str">
        <f aca="false">IF(B1314="","",IF(C1314=0,"NOT FOUND",IF(IF($A1314="Bank",INDEX(Bank!$F:$F,$C1314),INDEX(GL!$F:$F,$C1314))="Y","NOW RECONCILED: refresh","OK")))</f>
        <v/>
      </c>
    </row>
    <row r="1315" customFormat="false" ht="15" hidden="false" customHeight="false" outlineLevel="0" collapsed="false">
      <c r="A1315" s="41"/>
      <c r="B1315" s="41"/>
      <c r="C1315" s="5" t="n">
        <f aca="false">IF(B1315="",0,IF(A1315="Bank",IFERROR(MATCH(B1315,Bank!$A:$A,0),0),IFERROR(MATCH(B1315,GL!$A:$A,0),0)))</f>
        <v>0</v>
      </c>
      <c r="D1315" s="32" t="str">
        <f aca="false">IF(C1315=0,"",IF($A1315="Bank",INDEX(Bank!$B:$B,$C1315),INDEX(GL!$B:$B,$C1315)))</f>
        <v/>
      </c>
      <c r="E1315" s="5" t="str">
        <f aca="false">IF(C1315=0,"",IF($A1315="Bank",IF(INDEX(Bank!$C:$C,$C1315)="","",INDEX(Bank!$C:$C,$C1315)),IF(INDEX(GL!$C:$C,$C1315)="","",INDEX(GL!$C:$C,$C1315))))</f>
        <v/>
      </c>
      <c r="F1315" s="5" t="str">
        <f aca="false">IF(C1315=0,"",IF($A1315="Bank",IF(INDEX(Bank!$D:$D,$C1315)="","",INDEX(Bank!$D:$D,$C1315)),IF(INDEX(GL!$D:$D,$C1315)="","",INDEX(GL!$D:$D,$C1315))))</f>
        <v/>
      </c>
      <c r="G1315" s="19" t="str">
        <f aca="false">IF(C1315=0,"",IF($A1315="Bank",INDEX(Bank!$E:$E,$C1315),INDEX(GL!$E:$E,$C1315)))</f>
        <v/>
      </c>
      <c r="H1315" s="5" t="str">
        <f aca="false">IF(C1315=0,"",IF(A1315="GL",IF(G1315&gt;0,"Deposit in transit","Outstanding check / payment"),IF(G1315&gt;0,"Bank credit not in GL","Bank debit not in GL")))</f>
        <v/>
      </c>
      <c r="I1315" s="42" t="str">
        <f aca="false">IF(OR(C1315=0,CFG_PeriodEnd=""),"",CFG_PeriodEnd-D1315)</f>
        <v/>
      </c>
      <c r="J1315" s="5" t="str">
        <f aca="false">IF(C1315=0,"",IF($A1315="Bank",IF(INDEX(Bank!$G:$G,$C1315)="","",INDEX(Bank!$G:$G,$C1315)),IF(INDEX(GL!$G:$G,$C1315)="","",INDEX(GL!$G:$G,$C1315))))</f>
        <v/>
      </c>
      <c r="K1315" s="5" t="str">
        <f aca="false">IF(C1315=0,"",IF($A1315="Bank",IF(INDEX(Bank!$I:$I,$C1315)="","",INDEX(Bank!$I:$I,$C1315)),IF(INDEX(GL!$I:$I,$C1315)="","",INDEX(GL!$I:$I,$C1315))))</f>
        <v/>
      </c>
      <c r="L1315" s="5" t="str">
        <f aca="false">IF(B1315="","",IF(C1315=0,"NOT FOUND",IF(IF($A1315="Bank",INDEX(Bank!$F:$F,$C1315),INDEX(GL!$F:$F,$C1315))="Y","NOW RECONCILED: refresh","OK")))</f>
        <v/>
      </c>
    </row>
    <row r="1316" customFormat="false" ht="15" hidden="false" customHeight="false" outlineLevel="0" collapsed="false">
      <c r="A1316" s="41"/>
      <c r="B1316" s="41"/>
      <c r="C1316" s="5" t="n">
        <f aca="false">IF(B1316="",0,IF(A1316="Bank",IFERROR(MATCH(B1316,Bank!$A:$A,0),0),IFERROR(MATCH(B1316,GL!$A:$A,0),0)))</f>
        <v>0</v>
      </c>
      <c r="D1316" s="32" t="str">
        <f aca="false">IF(C1316=0,"",IF($A1316="Bank",INDEX(Bank!$B:$B,$C1316),INDEX(GL!$B:$B,$C1316)))</f>
        <v/>
      </c>
      <c r="E1316" s="5" t="str">
        <f aca="false">IF(C1316=0,"",IF($A1316="Bank",IF(INDEX(Bank!$C:$C,$C1316)="","",INDEX(Bank!$C:$C,$C1316)),IF(INDEX(GL!$C:$C,$C1316)="","",INDEX(GL!$C:$C,$C1316))))</f>
        <v/>
      </c>
      <c r="F1316" s="5" t="str">
        <f aca="false">IF(C1316=0,"",IF($A1316="Bank",IF(INDEX(Bank!$D:$D,$C1316)="","",INDEX(Bank!$D:$D,$C1316)),IF(INDEX(GL!$D:$D,$C1316)="","",INDEX(GL!$D:$D,$C1316))))</f>
        <v/>
      </c>
      <c r="G1316" s="19" t="str">
        <f aca="false">IF(C1316=0,"",IF($A1316="Bank",INDEX(Bank!$E:$E,$C1316),INDEX(GL!$E:$E,$C1316)))</f>
        <v/>
      </c>
      <c r="H1316" s="5" t="str">
        <f aca="false">IF(C1316=0,"",IF(A1316="GL",IF(G1316&gt;0,"Deposit in transit","Outstanding check / payment"),IF(G1316&gt;0,"Bank credit not in GL","Bank debit not in GL")))</f>
        <v/>
      </c>
      <c r="I1316" s="42" t="str">
        <f aca="false">IF(OR(C1316=0,CFG_PeriodEnd=""),"",CFG_PeriodEnd-D1316)</f>
        <v/>
      </c>
      <c r="J1316" s="5" t="str">
        <f aca="false">IF(C1316=0,"",IF($A1316="Bank",IF(INDEX(Bank!$G:$G,$C1316)="","",INDEX(Bank!$G:$G,$C1316)),IF(INDEX(GL!$G:$G,$C1316)="","",INDEX(GL!$G:$G,$C1316))))</f>
        <v/>
      </c>
      <c r="K1316" s="5" t="str">
        <f aca="false">IF(C1316=0,"",IF($A1316="Bank",IF(INDEX(Bank!$I:$I,$C1316)="","",INDEX(Bank!$I:$I,$C1316)),IF(INDEX(GL!$I:$I,$C1316)="","",INDEX(GL!$I:$I,$C1316))))</f>
        <v/>
      </c>
      <c r="L1316" s="5" t="str">
        <f aca="false">IF(B1316="","",IF(C1316=0,"NOT FOUND",IF(IF($A1316="Bank",INDEX(Bank!$F:$F,$C1316),INDEX(GL!$F:$F,$C1316))="Y","NOW RECONCILED: refresh","OK")))</f>
        <v/>
      </c>
    </row>
    <row r="1317" customFormat="false" ht="15" hidden="false" customHeight="false" outlineLevel="0" collapsed="false">
      <c r="A1317" s="41"/>
      <c r="B1317" s="41"/>
      <c r="C1317" s="5" t="n">
        <f aca="false">IF(B1317="",0,IF(A1317="Bank",IFERROR(MATCH(B1317,Bank!$A:$A,0),0),IFERROR(MATCH(B1317,GL!$A:$A,0),0)))</f>
        <v>0</v>
      </c>
      <c r="D1317" s="32" t="str">
        <f aca="false">IF(C1317=0,"",IF($A1317="Bank",INDEX(Bank!$B:$B,$C1317),INDEX(GL!$B:$B,$C1317)))</f>
        <v/>
      </c>
      <c r="E1317" s="5" t="str">
        <f aca="false">IF(C1317=0,"",IF($A1317="Bank",IF(INDEX(Bank!$C:$C,$C1317)="","",INDEX(Bank!$C:$C,$C1317)),IF(INDEX(GL!$C:$C,$C1317)="","",INDEX(GL!$C:$C,$C1317))))</f>
        <v/>
      </c>
      <c r="F1317" s="5" t="str">
        <f aca="false">IF(C1317=0,"",IF($A1317="Bank",IF(INDEX(Bank!$D:$D,$C1317)="","",INDEX(Bank!$D:$D,$C1317)),IF(INDEX(GL!$D:$D,$C1317)="","",INDEX(GL!$D:$D,$C1317))))</f>
        <v/>
      </c>
      <c r="G1317" s="19" t="str">
        <f aca="false">IF(C1317=0,"",IF($A1317="Bank",INDEX(Bank!$E:$E,$C1317),INDEX(GL!$E:$E,$C1317)))</f>
        <v/>
      </c>
      <c r="H1317" s="5" t="str">
        <f aca="false">IF(C1317=0,"",IF(A1317="GL",IF(G1317&gt;0,"Deposit in transit","Outstanding check / payment"),IF(G1317&gt;0,"Bank credit not in GL","Bank debit not in GL")))</f>
        <v/>
      </c>
      <c r="I1317" s="42" t="str">
        <f aca="false">IF(OR(C1317=0,CFG_PeriodEnd=""),"",CFG_PeriodEnd-D1317)</f>
        <v/>
      </c>
      <c r="J1317" s="5" t="str">
        <f aca="false">IF(C1317=0,"",IF($A1317="Bank",IF(INDEX(Bank!$G:$G,$C1317)="","",INDEX(Bank!$G:$G,$C1317)),IF(INDEX(GL!$G:$G,$C1317)="","",INDEX(GL!$G:$G,$C1317))))</f>
        <v/>
      </c>
      <c r="K1317" s="5" t="str">
        <f aca="false">IF(C1317=0,"",IF($A1317="Bank",IF(INDEX(Bank!$I:$I,$C1317)="","",INDEX(Bank!$I:$I,$C1317)),IF(INDEX(GL!$I:$I,$C1317)="","",INDEX(GL!$I:$I,$C1317))))</f>
        <v/>
      </c>
      <c r="L1317" s="5" t="str">
        <f aca="false">IF(B1317="","",IF(C1317=0,"NOT FOUND",IF(IF($A1317="Bank",INDEX(Bank!$F:$F,$C1317),INDEX(GL!$F:$F,$C1317))="Y","NOW RECONCILED: refresh","OK")))</f>
        <v/>
      </c>
    </row>
    <row r="1318" customFormat="false" ht="15" hidden="false" customHeight="false" outlineLevel="0" collapsed="false">
      <c r="A1318" s="41"/>
      <c r="B1318" s="41"/>
      <c r="C1318" s="5" t="n">
        <f aca="false">IF(B1318="",0,IF(A1318="Bank",IFERROR(MATCH(B1318,Bank!$A:$A,0),0),IFERROR(MATCH(B1318,GL!$A:$A,0),0)))</f>
        <v>0</v>
      </c>
      <c r="D1318" s="32" t="str">
        <f aca="false">IF(C1318=0,"",IF($A1318="Bank",INDEX(Bank!$B:$B,$C1318),INDEX(GL!$B:$B,$C1318)))</f>
        <v/>
      </c>
      <c r="E1318" s="5" t="str">
        <f aca="false">IF(C1318=0,"",IF($A1318="Bank",IF(INDEX(Bank!$C:$C,$C1318)="","",INDEX(Bank!$C:$C,$C1318)),IF(INDEX(GL!$C:$C,$C1318)="","",INDEX(GL!$C:$C,$C1318))))</f>
        <v/>
      </c>
      <c r="F1318" s="5" t="str">
        <f aca="false">IF(C1318=0,"",IF($A1318="Bank",IF(INDEX(Bank!$D:$D,$C1318)="","",INDEX(Bank!$D:$D,$C1318)),IF(INDEX(GL!$D:$D,$C1318)="","",INDEX(GL!$D:$D,$C1318))))</f>
        <v/>
      </c>
      <c r="G1318" s="19" t="str">
        <f aca="false">IF(C1318=0,"",IF($A1318="Bank",INDEX(Bank!$E:$E,$C1318),INDEX(GL!$E:$E,$C1318)))</f>
        <v/>
      </c>
      <c r="H1318" s="5" t="str">
        <f aca="false">IF(C1318=0,"",IF(A1318="GL",IF(G1318&gt;0,"Deposit in transit","Outstanding check / payment"),IF(G1318&gt;0,"Bank credit not in GL","Bank debit not in GL")))</f>
        <v/>
      </c>
      <c r="I1318" s="42" t="str">
        <f aca="false">IF(OR(C1318=0,CFG_PeriodEnd=""),"",CFG_PeriodEnd-D1318)</f>
        <v/>
      </c>
      <c r="J1318" s="5" t="str">
        <f aca="false">IF(C1318=0,"",IF($A1318="Bank",IF(INDEX(Bank!$G:$G,$C1318)="","",INDEX(Bank!$G:$G,$C1318)),IF(INDEX(GL!$G:$G,$C1318)="","",INDEX(GL!$G:$G,$C1318))))</f>
        <v/>
      </c>
      <c r="K1318" s="5" t="str">
        <f aca="false">IF(C1318=0,"",IF($A1318="Bank",IF(INDEX(Bank!$I:$I,$C1318)="","",INDEX(Bank!$I:$I,$C1318)),IF(INDEX(GL!$I:$I,$C1318)="","",INDEX(GL!$I:$I,$C1318))))</f>
        <v/>
      </c>
      <c r="L1318" s="5" t="str">
        <f aca="false">IF(B1318="","",IF(C1318=0,"NOT FOUND",IF(IF($A1318="Bank",INDEX(Bank!$F:$F,$C1318),INDEX(GL!$F:$F,$C1318))="Y","NOW RECONCILED: refresh","OK")))</f>
        <v/>
      </c>
    </row>
    <row r="1319" customFormat="false" ht="15" hidden="false" customHeight="false" outlineLevel="0" collapsed="false">
      <c r="A1319" s="41"/>
      <c r="B1319" s="41"/>
      <c r="C1319" s="5" t="n">
        <f aca="false">IF(B1319="",0,IF(A1319="Bank",IFERROR(MATCH(B1319,Bank!$A:$A,0),0),IFERROR(MATCH(B1319,GL!$A:$A,0),0)))</f>
        <v>0</v>
      </c>
      <c r="D1319" s="32" t="str">
        <f aca="false">IF(C1319=0,"",IF($A1319="Bank",INDEX(Bank!$B:$B,$C1319),INDEX(GL!$B:$B,$C1319)))</f>
        <v/>
      </c>
      <c r="E1319" s="5" t="str">
        <f aca="false">IF(C1319=0,"",IF($A1319="Bank",IF(INDEX(Bank!$C:$C,$C1319)="","",INDEX(Bank!$C:$C,$C1319)),IF(INDEX(GL!$C:$C,$C1319)="","",INDEX(GL!$C:$C,$C1319))))</f>
        <v/>
      </c>
      <c r="F1319" s="5" t="str">
        <f aca="false">IF(C1319=0,"",IF($A1319="Bank",IF(INDEX(Bank!$D:$D,$C1319)="","",INDEX(Bank!$D:$D,$C1319)),IF(INDEX(GL!$D:$D,$C1319)="","",INDEX(GL!$D:$D,$C1319))))</f>
        <v/>
      </c>
      <c r="G1319" s="19" t="str">
        <f aca="false">IF(C1319=0,"",IF($A1319="Bank",INDEX(Bank!$E:$E,$C1319),INDEX(GL!$E:$E,$C1319)))</f>
        <v/>
      </c>
      <c r="H1319" s="5" t="str">
        <f aca="false">IF(C1319=0,"",IF(A1319="GL",IF(G1319&gt;0,"Deposit in transit","Outstanding check / payment"),IF(G1319&gt;0,"Bank credit not in GL","Bank debit not in GL")))</f>
        <v/>
      </c>
      <c r="I1319" s="42" t="str">
        <f aca="false">IF(OR(C1319=0,CFG_PeriodEnd=""),"",CFG_PeriodEnd-D1319)</f>
        <v/>
      </c>
      <c r="J1319" s="5" t="str">
        <f aca="false">IF(C1319=0,"",IF($A1319="Bank",IF(INDEX(Bank!$G:$G,$C1319)="","",INDEX(Bank!$G:$G,$C1319)),IF(INDEX(GL!$G:$G,$C1319)="","",INDEX(GL!$G:$G,$C1319))))</f>
        <v/>
      </c>
      <c r="K1319" s="5" t="str">
        <f aca="false">IF(C1319=0,"",IF($A1319="Bank",IF(INDEX(Bank!$I:$I,$C1319)="","",INDEX(Bank!$I:$I,$C1319)),IF(INDEX(GL!$I:$I,$C1319)="","",INDEX(GL!$I:$I,$C1319))))</f>
        <v/>
      </c>
      <c r="L1319" s="5" t="str">
        <f aca="false">IF(B1319="","",IF(C1319=0,"NOT FOUND",IF(IF($A1319="Bank",INDEX(Bank!$F:$F,$C1319),INDEX(GL!$F:$F,$C1319))="Y","NOW RECONCILED: refresh","OK")))</f>
        <v/>
      </c>
    </row>
    <row r="1320" customFormat="false" ht="15" hidden="false" customHeight="false" outlineLevel="0" collapsed="false">
      <c r="A1320" s="41"/>
      <c r="B1320" s="41"/>
      <c r="C1320" s="5" t="n">
        <f aca="false">IF(B1320="",0,IF(A1320="Bank",IFERROR(MATCH(B1320,Bank!$A:$A,0),0),IFERROR(MATCH(B1320,GL!$A:$A,0),0)))</f>
        <v>0</v>
      </c>
      <c r="D1320" s="32" t="str">
        <f aca="false">IF(C1320=0,"",IF($A1320="Bank",INDEX(Bank!$B:$B,$C1320),INDEX(GL!$B:$B,$C1320)))</f>
        <v/>
      </c>
      <c r="E1320" s="5" t="str">
        <f aca="false">IF(C1320=0,"",IF($A1320="Bank",IF(INDEX(Bank!$C:$C,$C1320)="","",INDEX(Bank!$C:$C,$C1320)),IF(INDEX(GL!$C:$C,$C1320)="","",INDEX(GL!$C:$C,$C1320))))</f>
        <v/>
      </c>
      <c r="F1320" s="5" t="str">
        <f aca="false">IF(C1320=0,"",IF($A1320="Bank",IF(INDEX(Bank!$D:$D,$C1320)="","",INDEX(Bank!$D:$D,$C1320)),IF(INDEX(GL!$D:$D,$C1320)="","",INDEX(GL!$D:$D,$C1320))))</f>
        <v/>
      </c>
      <c r="G1320" s="19" t="str">
        <f aca="false">IF(C1320=0,"",IF($A1320="Bank",INDEX(Bank!$E:$E,$C1320),INDEX(GL!$E:$E,$C1320)))</f>
        <v/>
      </c>
      <c r="H1320" s="5" t="str">
        <f aca="false">IF(C1320=0,"",IF(A1320="GL",IF(G1320&gt;0,"Deposit in transit","Outstanding check / payment"),IF(G1320&gt;0,"Bank credit not in GL","Bank debit not in GL")))</f>
        <v/>
      </c>
      <c r="I1320" s="42" t="str">
        <f aca="false">IF(OR(C1320=0,CFG_PeriodEnd=""),"",CFG_PeriodEnd-D1320)</f>
        <v/>
      </c>
      <c r="J1320" s="5" t="str">
        <f aca="false">IF(C1320=0,"",IF($A1320="Bank",IF(INDEX(Bank!$G:$G,$C1320)="","",INDEX(Bank!$G:$G,$C1320)),IF(INDEX(GL!$G:$G,$C1320)="","",INDEX(GL!$G:$G,$C1320))))</f>
        <v/>
      </c>
      <c r="K1320" s="5" t="str">
        <f aca="false">IF(C1320=0,"",IF($A1320="Bank",IF(INDEX(Bank!$I:$I,$C1320)="","",INDEX(Bank!$I:$I,$C1320)),IF(INDEX(GL!$I:$I,$C1320)="","",INDEX(GL!$I:$I,$C1320))))</f>
        <v/>
      </c>
      <c r="L1320" s="5" t="str">
        <f aca="false">IF(B1320="","",IF(C1320=0,"NOT FOUND",IF(IF($A1320="Bank",INDEX(Bank!$F:$F,$C1320),INDEX(GL!$F:$F,$C1320))="Y","NOW RECONCILED: refresh","OK")))</f>
        <v/>
      </c>
    </row>
    <row r="1321" customFormat="false" ht="15" hidden="false" customHeight="false" outlineLevel="0" collapsed="false">
      <c r="A1321" s="41"/>
      <c r="B1321" s="41"/>
      <c r="C1321" s="5" t="n">
        <f aca="false">IF(B1321="",0,IF(A1321="Bank",IFERROR(MATCH(B1321,Bank!$A:$A,0),0),IFERROR(MATCH(B1321,GL!$A:$A,0),0)))</f>
        <v>0</v>
      </c>
      <c r="D1321" s="32" t="str">
        <f aca="false">IF(C1321=0,"",IF($A1321="Bank",INDEX(Bank!$B:$B,$C1321),INDEX(GL!$B:$B,$C1321)))</f>
        <v/>
      </c>
      <c r="E1321" s="5" t="str">
        <f aca="false">IF(C1321=0,"",IF($A1321="Bank",IF(INDEX(Bank!$C:$C,$C1321)="","",INDEX(Bank!$C:$C,$C1321)),IF(INDEX(GL!$C:$C,$C1321)="","",INDEX(GL!$C:$C,$C1321))))</f>
        <v/>
      </c>
      <c r="F1321" s="5" t="str">
        <f aca="false">IF(C1321=0,"",IF($A1321="Bank",IF(INDEX(Bank!$D:$D,$C1321)="","",INDEX(Bank!$D:$D,$C1321)),IF(INDEX(GL!$D:$D,$C1321)="","",INDEX(GL!$D:$D,$C1321))))</f>
        <v/>
      </c>
      <c r="G1321" s="19" t="str">
        <f aca="false">IF(C1321=0,"",IF($A1321="Bank",INDEX(Bank!$E:$E,$C1321),INDEX(GL!$E:$E,$C1321)))</f>
        <v/>
      </c>
      <c r="H1321" s="5" t="str">
        <f aca="false">IF(C1321=0,"",IF(A1321="GL",IF(G1321&gt;0,"Deposit in transit","Outstanding check / payment"),IF(G1321&gt;0,"Bank credit not in GL","Bank debit not in GL")))</f>
        <v/>
      </c>
      <c r="I1321" s="42" t="str">
        <f aca="false">IF(OR(C1321=0,CFG_PeriodEnd=""),"",CFG_PeriodEnd-D1321)</f>
        <v/>
      </c>
      <c r="J1321" s="5" t="str">
        <f aca="false">IF(C1321=0,"",IF($A1321="Bank",IF(INDEX(Bank!$G:$G,$C1321)="","",INDEX(Bank!$G:$G,$C1321)),IF(INDEX(GL!$G:$G,$C1321)="","",INDEX(GL!$G:$G,$C1321))))</f>
        <v/>
      </c>
      <c r="K1321" s="5" t="str">
        <f aca="false">IF(C1321=0,"",IF($A1321="Bank",IF(INDEX(Bank!$I:$I,$C1321)="","",INDEX(Bank!$I:$I,$C1321)),IF(INDEX(GL!$I:$I,$C1321)="","",INDEX(GL!$I:$I,$C1321))))</f>
        <v/>
      </c>
      <c r="L1321" s="5" t="str">
        <f aca="false">IF(B1321="","",IF(C1321=0,"NOT FOUND",IF(IF($A1321="Bank",INDEX(Bank!$F:$F,$C1321),INDEX(GL!$F:$F,$C1321))="Y","NOW RECONCILED: refresh","OK")))</f>
        <v/>
      </c>
    </row>
    <row r="1322" customFormat="false" ht="15" hidden="false" customHeight="false" outlineLevel="0" collapsed="false">
      <c r="A1322" s="41"/>
      <c r="B1322" s="41"/>
      <c r="C1322" s="5" t="n">
        <f aca="false">IF(B1322="",0,IF(A1322="Bank",IFERROR(MATCH(B1322,Bank!$A:$A,0),0),IFERROR(MATCH(B1322,GL!$A:$A,0),0)))</f>
        <v>0</v>
      </c>
      <c r="D1322" s="32" t="str">
        <f aca="false">IF(C1322=0,"",IF($A1322="Bank",INDEX(Bank!$B:$B,$C1322),INDEX(GL!$B:$B,$C1322)))</f>
        <v/>
      </c>
      <c r="E1322" s="5" t="str">
        <f aca="false">IF(C1322=0,"",IF($A1322="Bank",IF(INDEX(Bank!$C:$C,$C1322)="","",INDEX(Bank!$C:$C,$C1322)),IF(INDEX(GL!$C:$C,$C1322)="","",INDEX(GL!$C:$C,$C1322))))</f>
        <v/>
      </c>
      <c r="F1322" s="5" t="str">
        <f aca="false">IF(C1322=0,"",IF($A1322="Bank",IF(INDEX(Bank!$D:$D,$C1322)="","",INDEX(Bank!$D:$D,$C1322)),IF(INDEX(GL!$D:$D,$C1322)="","",INDEX(GL!$D:$D,$C1322))))</f>
        <v/>
      </c>
      <c r="G1322" s="19" t="str">
        <f aca="false">IF(C1322=0,"",IF($A1322="Bank",INDEX(Bank!$E:$E,$C1322),INDEX(GL!$E:$E,$C1322)))</f>
        <v/>
      </c>
      <c r="H1322" s="5" t="str">
        <f aca="false">IF(C1322=0,"",IF(A1322="GL",IF(G1322&gt;0,"Deposit in transit","Outstanding check / payment"),IF(G1322&gt;0,"Bank credit not in GL","Bank debit not in GL")))</f>
        <v/>
      </c>
      <c r="I1322" s="42" t="str">
        <f aca="false">IF(OR(C1322=0,CFG_PeriodEnd=""),"",CFG_PeriodEnd-D1322)</f>
        <v/>
      </c>
      <c r="J1322" s="5" t="str">
        <f aca="false">IF(C1322=0,"",IF($A1322="Bank",IF(INDEX(Bank!$G:$G,$C1322)="","",INDEX(Bank!$G:$G,$C1322)),IF(INDEX(GL!$G:$G,$C1322)="","",INDEX(GL!$G:$G,$C1322))))</f>
        <v/>
      </c>
      <c r="K1322" s="5" t="str">
        <f aca="false">IF(C1322=0,"",IF($A1322="Bank",IF(INDEX(Bank!$I:$I,$C1322)="","",INDEX(Bank!$I:$I,$C1322)),IF(INDEX(GL!$I:$I,$C1322)="","",INDEX(GL!$I:$I,$C1322))))</f>
        <v/>
      </c>
      <c r="L1322" s="5" t="str">
        <f aca="false">IF(B1322="","",IF(C1322=0,"NOT FOUND",IF(IF($A1322="Bank",INDEX(Bank!$F:$F,$C1322),INDEX(GL!$F:$F,$C1322))="Y","NOW RECONCILED: refresh","OK")))</f>
        <v/>
      </c>
    </row>
    <row r="1323" customFormat="false" ht="15" hidden="false" customHeight="false" outlineLevel="0" collapsed="false">
      <c r="A1323" s="41"/>
      <c r="B1323" s="41"/>
      <c r="C1323" s="5" t="n">
        <f aca="false">IF(B1323="",0,IF(A1323="Bank",IFERROR(MATCH(B1323,Bank!$A:$A,0),0),IFERROR(MATCH(B1323,GL!$A:$A,0),0)))</f>
        <v>0</v>
      </c>
      <c r="D1323" s="32" t="str">
        <f aca="false">IF(C1323=0,"",IF($A1323="Bank",INDEX(Bank!$B:$B,$C1323),INDEX(GL!$B:$B,$C1323)))</f>
        <v/>
      </c>
      <c r="E1323" s="5" t="str">
        <f aca="false">IF(C1323=0,"",IF($A1323="Bank",IF(INDEX(Bank!$C:$C,$C1323)="","",INDEX(Bank!$C:$C,$C1323)),IF(INDEX(GL!$C:$C,$C1323)="","",INDEX(GL!$C:$C,$C1323))))</f>
        <v/>
      </c>
      <c r="F1323" s="5" t="str">
        <f aca="false">IF(C1323=0,"",IF($A1323="Bank",IF(INDEX(Bank!$D:$D,$C1323)="","",INDEX(Bank!$D:$D,$C1323)),IF(INDEX(GL!$D:$D,$C1323)="","",INDEX(GL!$D:$D,$C1323))))</f>
        <v/>
      </c>
      <c r="G1323" s="19" t="str">
        <f aca="false">IF(C1323=0,"",IF($A1323="Bank",INDEX(Bank!$E:$E,$C1323),INDEX(GL!$E:$E,$C1323)))</f>
        <v/>
      </c>
      <c r="H1323" s="5" t="str">
        <f aca="false">IF(C1323=0,"",IF(A1323="GL",IF(G1323&gt;0,"Deposit in transit","Outstanding check / payment"),IF(G1323&gt;0,"Bank credit not in GL","Bank debit not in GL")))</f>
        <v/>
      </c>
      <c r="I1323" s="42" t="str">
        <f aca="false">IF(OR(C1323=0,CFG_PeriodEnd=""),"",CFG_PeriodEnd-D1323)</f>
        <v/>
      </c>
      <c r="J1323" s="5" t="str">
        <f aca="false">IF(C1323=0,"",IF($A1323="Bank",IF(INDEX(Bank!$G:$G,$C1323)="","",INDEX(Bank!$G:$G,$C1323)),IF(INDEX(GL!$G:$G,$C1323)="","",INDEX(GL!$G:$G,$C1323))))</f>
        <v/>
      </c>
      <c r="K1323" s="5" t="str">
        <f aca="false">IF(C1323=0,"",IF($A1323="Bank",IF(INDEX(Bank!$I:$I,$C1323)="","",INDEX(Bank!$I:$I,$C1323)),IF(INDEX(GL!$I:$I,$C1323)="","",INDEX(GL!$I:$I,$C1323))))</f>
        <v/>
      </c>
      <c r="L1323" s="5" t="str">
        <f aca="false">IF(B1323="","",IF(C1323=0,"NOT FOUND",IF(IF($A1323="Bank",INDEX(Bank!$F:$F,$C1323),INDEX(GL!$F:$F,$C1323))="Y","NOW RECONCILED: refresh","OK")))</f>
        <v/>
      </c>
    </row>
    <row r="1324" customFormat="false" ht="15" hidden="false" customHeight="false" outlineLevel="0" collapsed="false">
      <c r="A1324" s="41"/>
      <c r="B1324" s="41"/>
      <c r="C1324" s="5" t="n">
        <f aca="false">IF(B1324="",0,IF(A1324="Bank",IFERROR(MATCH(B1324,Bank!$A:$A,0),0),IFERROR(MATCH(B1324,GL!$A:$A,0),0)))</f>
        <v>0</v>
      </c>
      <c r="D1324" s="32" t="str">
        <f aca="false">IF(C1324=0,"",IF($A1324="Bank",INDEX(Bank!$B:$B,$C1324),INDEX(GL!$B:$B,$C1324)))</f>
        <v/>
      </c>
      <c r="E1324" s="5" t="str">
        <f aca="false">IF(C1324=0,"",IF($A1324="Bank",IF(INDEX(Bank!$C:$C,$C1324)="","",INDEX(Bank!$C:$C,$C1324)),IF(INDEX(GL!$C:$C,$C1324)="","",INDEX(GL!$C:$C,$C1324))))</f>
        <v/>
      </c>
      <c r="F1324" s="5" t="str">
        <f aca="false">IF(C1324=0,"",IF($A1324="Bank",IF(INDEX(Bank!$D:$D,$C1324)="","",INDEX(Bank!$D:$D,$C1324)),IF(INDEX(GL!$D:$D,$C1324)="","",INDEX(GL!$D:$D,$C1324))))</f>
        <v/>
      </c>
      <c r="G1324" s="19" t="str">
        <f aca="false">IF(C1324=0,"",IF($A1324="Bank",INDEX(Bank!$E:$E,$C1324),INDEX(GL!$E:$E,$C1324)))</f>
        <v/>
      </c>
      <c r="H1324" s="5" t="str">
        <f aca="false">IF(C1324=0,"",IF(A1324="GL",IF(G1324&gt;0,"Deposit in transit","Outstanding check / payment"),IF(G1324&gt;0,"Bank credit not in GL","Bank debit not in GL")))</f>
        <v/>
      </c>
      <c r="I1324" s="42" t="str">
        <f aca="false">IF(OR(C1324=0,CFG_PeriodEnd=""),"",CFG_PeriodEnd-D1324)</f>
        <v/>
      </c>
      <c r="J1324" s="5" t="str">
        <f aca="false">IF(C1324=0,"",IF($A1324="Bank",IF(INDEX(Bank!$G:$G,$C1324)="","",INDEX(Bank!$G:$G,$C1324)),IF(INDEX(GL!$G:$G,$C1324)="","",INDEX(GL!$G:$G,$C1324))))</f>
        <v/>
      </c>
      <c r="K1324" s="5" t="str">
        <f aca="false">IF(C1324=0,"",IF($A1324="Bank",IF(INDEX(Bank!$I:$I,$C1324)="","",INDEX(Bank!$I:$I,$C1324)),IF(INDEX(GL!$I:$I,$C1324)="","",INDEX(GL!$I:$I,$C1324))))</f>
        <v/>
      </c>
      <c r="L1324" s="5" t="str">
        <f aca="false">IF(B1324="","",IF(C1324=0,"NOT FOUND",IF(IF($A1324="Bank",INDEX(Bank!$F:$F,$C1324),INDEX(GL!$F:$F,$C1324))="Y","NOW RECONCILED: refresh","OK")))</f>
        <v/>
      </c>
    </row>
    <row r="1325" customFormat="false" ht="15" hidden="false" customHeight="false" outlineLevel="0" collapsed="false">
      <c r="A1325" s="41"/>
      <c r="B1325" s="41"/>
      <c r="C1325" s="5" t="n">
        <f aca="false">IF(B1325="",0,IF(A1325="Bank",IFERROR(MATCH(B1325,Bank!$A:$A,0),0),IFERROR(MATCH(B1325,GL!$A:$A,0),0)))</f>
        <v>0</v>
      </c>
      <c r="D1325" s="32" t="str">
        <f aca="false">IF(C1325=0,"",IF($A1325="Bank",INDEX(Bank!$B:$B,$C1325),INDEX(GL!$B:$B,$C1325)))</f>
        <v/>
      </c>
      <c r="E1325" s="5" t="str">
        <f aca="false">IF(C1325=0,"",IF($A1325="Bank",IF(INDEX(Bank!$C:$C,$C1325)="","",INDEX(Bank!$C:$C,$C1325)),IF(INDEX(GL!$C:$C,$C1325)="","",INDEX(GL!$C:$C,$C1325))))</f>
        <v/>
      </c>
      <c r="F1325" s="5" t="str">
        <f aca="false">IF(C1325=0,"",IF($A1325="Bank",IF(INDEX(Bank!$D:$D,$C1325)="","",INDEX(Bank!$D:$D,$C1325)),IF(INDEX(GL!$D:$D,$C1325)="","",INDEX(GL!$D:$D,$C1325))))</f>
        <v/>
      </c>
      <c r="G1325" s="19" t="str">
        <f aca="false">IF(C1325=0,"",IF($A1325="Bank",INDEX(Bank!$E:$E,$C1325),INDEX(GL!$E:$E,$C1325)))</f>
        <v/>
      </c>
      <c r="H1325" s="5" t="str">
        <f aca="false">IF(C1325=0,"",IF(A1325="GL",IF(G1325&gt;0,"Deposit in transit","Outstanding check / payment"),IF(G1325&gt;0,"Bank credit not in GL","Bank debit not in GL")))</f>
        <v/>
      </c>
      <c r="I1325" s="42" t="str">
        <f aca="false">IF(OR(C1325=0,CFG_PeriodEnd=""),"",CFG_PeriodEnd-D1325)</f>
        <v/>
      </c>
      <c r="J1325" s="5" t="str">
        <f aca="false">IF(C1325=0,"",IF($A1325="Bank",IF(INDEX(Bank!$G:$G,$C1325)="","",INDEX(Bank!$G:$G,$C1325)),IF(INDEX(GL!$G:$G,$C1325)="","",INDEX(GL!$G:$G,$C1325))))</f>
        <v/>
      </c>
      <c r="K1325" s="5" t="str">
        <f aca="false">IF(C1325=0,"",IF($A1325="Bank",IF(INDEX(Bank!$I:$I,$C1325)="","",INDEX(Bank!$I:$I,$C1325)),IF(INDEX(GL!$I:$I,$C1325)="","",INDEX(GL!$I:$I,$C1325))))</f>
        <v/>
      </c>
      <c r="L1325" s="5" t="str">
        <f aca="false">IF(B1325="","",IF(C1325=0,"NOT FOUND",IF(IF($A1325="Bank",INDEX(Bank!$F:$F,$C1325),INDEX(GL!$F:$F,$C1325))="Y","NOW RECONCILED: refresh","OK")))</f>
        <v/>
      </c>
    </row>
    <row r="1326" customFormat="false" ht="15" hidden="false" customHeight="false" outlineLevel="0" collapsed="false">
      <c r="A1326" s="41"/>
      <c r="B1326" s="41"/>
      <c r="C1326" s="5" t="n">
        <f aca="false">IF(B1326="",0,IF(A1326="Bank",IFERROR(MATCH(B1326,Bank!$A:$A,0),0),IFERROR(MATCH(B1326,GL!$A:$A,0),0)))</f>
        <v>0</v>
      </c>
      <c r="D1326" s="32" t="str">
        <f aca="false">IF(C1326=0,"",IF($A1326="Bank",INDEX(Bank!$B:$B,$C1326),INDEX(GL!$B:$B,$C1326)))</f>
        <v/>
      </c>
      <c r="E1326" s="5" t="str">
        <f aca="false">IF(C1326=0,"",IF($A1326="Bank",IF(INDEX(Bank!$C:$C,$C1326)="","",INDEX(Bank!$C:$C,$C1326)),IF(INDEX(GL!$C:$C,$C1326)="","",INDEX(GL!$C:$C,$C1326))))</f>
        <v/>
      </c>
      <c r="F1326" s="5" t="str">
        <f aca="false">IF(C1326=0,"",IF($A1326="Bank",IF(INDEX(Bank!$D:$D,$C1326)="","",INDEX(Bank!$D:$D,$C1326)),IF(INDEX(GL!$D:$D,$C1326)="","",INDEX(GL!$D:$D,$C1326))))</f>
        <v/>
      </c>
      <c r="G1326" s="19" t="str">
        <f aca="false">IF(C1326=0,"",IF($A1326="Bank",INDEX(Bank!$E:$E,$C1326),INDEX(GL!$E:$E,$C1326)))</f>
        <v/>
      </c>
      <c r="H1326" s="5" t="str">
        <f aca="false">IF(C1326=0,"",IF(A1326="GL",IF(G1326&gt;0,"Deposit in transit","Outstanding check / payment"),IF(G1326&gt;0,"Bank credit not in GL","Bank debit not in GL")))</f>
        <v/>
      </c>
      <c r="I1326" s="42" t="str">
        <f aca="false">IF(OR(C1326=0,CFG_PeriodEnd=""),"",CFG_PeriodEnd-D1326)</f>
        <v/>
      </c>
      <c r="J1326" s="5" t="str">
        <f aca="false">IF(C1326=0,"",IF($A1326="Bank",IF(INDEX(Bank!$G:$G,$C1326)="","",INDEX(Bank!$G:$G,$C1326)),IF(INDEX(GL!$G:$G,$C1326)="","",INDEX(GL!$G:$G,$C1326))))</f>
        <v/>
      </c>
      <c r="K1326" s="5" t="str">
        <f aca="false">IF(C1326=0,"",IF($A1326="Bank",IF(INDEX(Bank!$I:$I,$C1326)="","",INDEX(Bank!$I:$I,$C1326)),IF(INDEX(GL!$I:$I,$C1326)="","",INDEX(GL!$I:$I,$C1326))))</f>
        <v/>
      </c>
      <c r="L1326" s="5" t="str">
        <f aca="false">IF(B1326="","",IF(C1326=0,"NOT FOUND",IF(IF($A1326="Bank",INDEX(Bank!$F:$F,$C1326),INDEX(GL!$F:$F,$C1326))="Y","NOW RECONCILED: refresh","OK")))</f>
        <v/>
      </c>
    </row>
    <row r="1327" customFormat="false" ht="15" hidden="false" customHeight="false" outlineLevel="0" collapsed="false">
      <c r="A1327" s="41"/>
      <c r="B1327" s="41"/>
      <c r="C1327" s="5" t="n">
        <f aca="false">IF(B1327="",0,IF(A1327="Bank",IFERROR(MATCH(B1327,Bank!$A:$A,0),0),IFERROR(MATCH(B1327,GL!$A:$A,0),0)))</f>
        <v>0</v>
      </c>
      <c r="D1327" s="32" t="str">
        <f aca="false">IF(C1327=0,"",IF($A1327="Bank",INDEX(Bank!$B:$B,$C1327),INDEX(GL!$B:$B,$C1327)))</f>
        <v/>
      </c>
      <c r="E1327" s="5" t="str">
        <f aca="false">IF(C1327=0,"",IF($A1327="Bank",IF(INDEX(Bank!$C:$C,$C1327)="","",INDEX(Bank!$C:$C,$C1327)),IF(INDEX(GL!$C:$C,$C1327)="","",INDEX(GL!$C:$C,$C1327))))</f>
        <v/>
      </c>
      <c r="F1327" s="5" t="str">
        <f aca="false">IF(C1327=0,"",IF($A1327="Bank",IF(INDEX(Bank!$D:$D,$C1327)="","",INDEX(Bank!$D:$D,$C1327)),IF(INDEX(GL!$D:$D,$C1327)="","",INDEX(GL!$D:$D,$C1327))))</f>
        <v/>
      </c>
      <c r="G1327" s="19" t="str">
        <f aca="false">IF(C1327=0,"",IF($A1327="Bank",INDEX(Bank!$E:$E,$C1327),INDEX(GL!$E:$E,$C1327)))</f>
        <v/>
      </c>
      <c r="H1327" s="5" t="str">
        <f aca="false">IF(C1327=0,"",IF(A1327="GL",IF(G1327&gt;0,"Deposit in transit","Outstanding check / payment"),IF(G1327&gt;0,"Bank credit not in GL","Bank debit not in GL")))</f>
        <v/>
      </c>
      <c r="I1327" s="42" t="str">
        <f aca="false">IF(OR(C1327=0,CFG_PeriodEnd=""),"",CFG_PeriodEnd-D1327)</f>
        <v/>
      </c>
      <c r="J1327" s="5" t="str">
        <f aca="false">IF(C1327=0,"",IF($A1327="Bank",IF(INDEX(Bank!$G:$G,$C1327)="","",INDEX(Bank!$G:$G,$C1327)),IF(INDEX(GL!$G:$G,$C1327)="","",INDEX(GL!$G:$G,$C1327))))</f>
        <v/>
      </c>
      <c r="K1327" s="5" t="str">
        <f aca="false">IF(C1327=0,"",IF($A1327="Bank",IF(INDEX(Bank!$I:$I,$C1327)="","",INDEX(Bank!$I:$I,$C1327)),IF(INDEX(GL!$I:$I,$C1327)="","",INDEX(GL!$I:$I,$C1327))))</f>
        <v/>
      </c>
      <c r="L1327" s="5" t="str">
        <f aca="false">IF(B1327="","",IF(C1327=0,"NOT FOUND",IF(IF($A1327="Bank",INDEX(Bank!$F:$F,$C1327),INDEX(GL!$F:$F,$C1327))="Y","NOW RECONCILED: refresh","OK")))</f>
        <v/>
      </c>
    </row>
    <row r="1328" customFormat="false" ht="15" hidden="false" customHeight="false" outlineLevel="0" collapsed="false">
      <c r="A1328" s="41"/>
      <c r="B1328" s="41"/>
      <c r="C1328" s="5" t="n">
        <f aca="false">IF(B1328="",0,IF(A1328="Bank",IFERROR(MATCH(B1328,Bank!$A:$A,0),0),IFERROR(MATCH(B1328,GL!$A:$A,0),0)))</f>
        <v>0</v>
      </c>
      <c r="D1328" s="32" t="str">
        <f aca="false">IF(C1328=0,"",IF($A1328="Bank",INDEX(Bank!$B:$B,$C1328),INDEX(GL!$B:$B,$C1328)))</f>
        <v/>
      </c>
      <c r="E1328" s="5" t="str">
        <f aca="false">IF(C1328=0,"",IF($A1328="Bank",IF(INDEX(Bank!$C:$C,$C1328)="","",INDEX(Bank!$C:$C,$C1328)),IF(INDEX(GL!$C:$C,$C1328)="","",INDEX(GL!$C:$C,$C1328))))</f>
        <v/>
      </c>
      <c r="F1328" s="5" t="str">
        <f aca="false">IF(C1328=0,"",IF($A1328="Bank",IF(INDEX(Bank!$D:$D,$C1328)="","",INDEX(Bank!$D:$D,$C1328)),IF(INDEX(GL!$D:$D,$C1328)="","",INDEX(GL!$D:$D,$C1328))))</f>
        <v/>
      </c>
      <c r="G1328" s="19" t="str">
        <f aca="false">IF(C1328=0,"",IF($A1328="Bank",INDEX(Bank!$E:$E,$C1328),INDEX(GL!$E:$E,$C1328)))</f>
        <v/>
      </c>
      <c r="H1328" s="5" t="str">
        <f aca="false">IF(C1328=0,"",IF(A1328="GL",IF(G1328&gt;0,"Deposit in transit","Outstanding check / payment"),IF(G1328&gt;0,"Bank credit not in GL","Bank debit not in GL")))</f>
        <v/>
      </c>
      <c r="I1328" s="42" t="str">
        <f aca="false">IF(OR(C1328=0,CFG_PeriodEnd=""),"",CFG_PeriodEnd-D1328)</f>
        <v/>
      </c>
      <c r="J1328" s="5" t="str">
        <f aca="false">IF(C1328=0,"",IF($A1328="Bank",IF(INDEX(Bank!$G:$G,$C1328)="","",INDEX(Bank!$G:$G,$C1328)),IF(INDEX(GL!$G:$G,$C1328)="","",INDEX(GL!$G:$G,$C1328))))</f>
        <v/>
      </c>
      <c r="K1328" s="5" t="str">
        <f aca="false">IF(C1328=0,"",IF($A1328="Bank",IF(INDEX(Bank!$I:$I,$C1328)="","",INDEX(Bank!$I:$I,$C1328)),IF(INDEX(GL!$I:$I,$C1328)="","",INDEX(GL!$I:$I,$C1328))))</f>
        <v/>
      </c>
      <c r="L1328" s="5" t="str">
        <f aca="false">IF(B1328="","",IF(C1328=0,"NOT FOUND",IF(IF($A1328="Bank",INDEX(Bank!$F:$F,$C1328),INDEX(GL!$F:$F,$C1328))="Y","NOW RECONCILED: refresh","OK")))</f>
        <v/>
      </c>
    </row>
    <row r="1329" customFormat="false" ht="15" hidden="false" customHeight="false" outlineLevel="0" collapsed="false">
      <c r="A1329" s="41"/>
      <c r="B1329" s="41"/>
      <c r="C1329" s="5" t="n">
        <f aca="false">IF(B1329="",0,IF(A1329="Bank",IFERROR(MATCH(B1329,Bank!$A:$A,0),0),IFERROR(MATCH(B1329,GL!$A:$A,0),0)))</f>
        <v>0</v>
      </c>
      <c r="D1329" s="32" t="str">
        <f aca="false">IF(C1329=0,"",IF($A1329="Bank",INDEX(Bank!$B:$B,$C1329),INDEX(GL!$B:$B,$C1329)))</f>
        <v/>
      </c>
      <c r="E1329" s="5" t="str">
        <f aca="false">IF(C1329=0,"",IF($A1329="Bank",IF(INDEX(Bank!$C:$C,$C1329)="","",INDEX(Bank!$C:$C,$C1329)),IF(INDEX(GL!$C:$C,$C1329)="","",INDEX(GL!$C:$C,$C1329))))</f>
        <v/>
      </c>
      <c r="F1329" s="5" t="str">
        <f aca="false">IF(C1329=0,"",IF($A1329="Bank",IF(INDEX(Bank!$D:$D,$C1329)="","",INDEX(Bank!$D:$D,$C1329)),IF(INDEX(GL!$D:$D,$C1329)="","",INDEX(GL!$D:$D,$C1329))))</f>
        <v/>
      </c>
      <c r="G1329" s="19" t="str">
        <f aca="false">IF(C1329=0,"",IF($A1329="Bank",INDEX(Bank!$E:$E,$C1329),INDEX(GL!$E:$E,$C1329)))</f>
        <v/>
      </c>
      <c r="H1329" s="5" t="str">
        <f aca="false">IF(C1329=0,"",IF(A1329="GL",IF(G1329&gt;0,"Deposit in transit","Outstanding check / payment"),IF(G1329&gt;0,"Bank credit not in GL","Bank debit not in GL")))</f>
        <v/>
      </c>
      <c r="I1329" s="42" t="str">
        <f aca="false">IF(OR(C1329=0,CFG_PeriodEnd=""),"",CFG_PeriodEnd-D1329)</f>
        <v/>
      </c>
      <c r="J1329" s="5" t="str">
        <f aca="false">IF(C1329=0,"",IF($A1329="Bank",IF(INDEX(Bank!$G:$G,$C1329)="","",INDEX(Bank!$G:$G,$C1329)),IF(INDEX(GL!$G:$G,$C1329)="","",INDEX(GL!$G:$G,$C1329))))</f>
        <v/>
      </c>
      <c r="K1329" s="5" t="str">
        <f aca="false">IF(C1329=0,"",IF($A1329="Bank",IF(INDEX(Bank!$I:$I,$C1329)="","",INDEX(Bank!$I:$I,$C1329)),IF(INDEX(GL!$I:$I,$C1329)="","",INDEX(GL!$I:$I,$C1329))))</f>
        <v/>
      </c>
      <c r="L1329" s="5" t="str">
        <f aca="false">IF(B1329="","",IF(C1329=0,"NOT FOUND",IF(IF($A1329="Bank",INDEX(Bank!$F:$F,$C1329),INDEX(GL!$F:$F,$C1329))="Y","NOW RECONCILED: refresh","OK")))</f>
        <v/>
      </c>
    </row>
    <row r="1330" customFormat="false" ht="15" hidden="false" customHeight="false" outlineLevel="0" collapsed="false">
      <c r="A1330" s="41"/>
      <c r="B1330" s="41"/>
      <c r="C1330" s="5" t="n">
        <f aca="false">IF(B1330="",0,IF(A1330="Bank",IFERROR(MATCH(B1330,Bank!$A:$A,0),0),IFERROR(MATCH(B1330,GL!$A:$A,0),0)))</f>
        <v>0</v>
      </c>
      <c r="D1330" s="32" t="str">
        <f aca="false">IF(C1330=0,"",IF($A1330="Bank",INDEX(Bank!$B:$B,$C1330),INDEX(GL!$B:$B,$C1330)))</f>
        <v/>
      </c>
      <c r="E1330" s="5" t="str">
        <f aca="false">IF(C1330=0,"",IF($A1330="Bank",IF(INDEX(Bank!$C:$C,$C1330)="","",INDEX(Bank!$C:$C,$C1330)),IF(INDEX(GL!$C:$C,$C1330)="","",INDEX(GL!$C:$C,$C1330))))</f>
        <v/>
      </c>
      <c r="F1330" s="5" t="str">
        <f aca="false">IF(C1330=0,"",IF($A1330="Bank",IF(INDEX(Bank!$D:$D,$C1330)="","",INDEX(Bank!$D:$D,$C1330)),IF(INDEX(GL!$D:$D,$C1330)="","",INDEX(GL!$D:$D,$C1330))))</f>
        <v/>
      </c>
      <c r="G1330" s="19" t="str">
        <f aca="false">IF(C1330=0,"",IF($A1330="Bank",INDEX(Bank!$E:$E,$C1330),INDEX(GL!$E:$E,$C1330)))</f>
        <v/>
      </c>
      <c r="H1330" s="5" t="str">
        <f aca="false">IF(C1330=0,"",IF(A1330="GL",IF(G1330&gt;0,"Deposit in transit","Outstanding check / payment"),IF(G1330&gt;0,"Bank credit not in GL","Bank debit not in GL")))</f>
        <v/>
      </c>
      <c r="I1330" s="42" t="str">
        <f aca="false">IF(OR(C1330=0,CFG_PeriodEnd=""),"",CFG_PeriodEnd-D1330)</f>
        <v/>
      </c>
      <c r="J1330" s="5" t="str">
        <f aca="false">IF(C1330=0,"",IF($A1330="Bank",IF(INDEX(Bank!$G:$G,$C1330)="","",INDEX(Bank!$G:$G,$C1330)),IF(INDEX(GL!$G:$G,$C1330)="","",INDEX(GL!$G:$G,$C1330))))</f>
        <v/>
      </c>
      <c r="K1330" s="5" t="str">
        <f aca="false">IF(C1330=0,"",IF($A1330="Bank",IF(INDEX(Bank!$I:$I,$C1330)="","",INDEX(Bank!$I:$I,$C1330)),IF(INDEX(GL!$I:$I,$C1330)="","",INDEX(GL!$I:$I,$C1330))))</f>
        <v/>
      </c>
      <c r="L1330" s="5" t="str">
        <f aca="false">IF(B1330="","",IF(C1330=0,"NOT FOUND",IF(IF($A1330="Bank",INDEX(Bank!$F:$F,$C1330),INDEX(GL!$F:$F,$C1330))="Y","NOW RECONCILED: refresh","OK")))</f>
        <v/>
      </c>
    </row>
    <row r="1331" customFormat="false" ht="15" hidden="false" customHeight="false" outlineLevel="0" collapsed="false">
      <c r="A1331" s="41"/>
      <c r="B1331" s="41"/>
      <c r="C1331" s="5" t="n">
        <f aca="false">IF(B1331="",0,IF(A1331="Bank",IFERROR(MATCH(B1331,Bank!$A:$A,0),0),IFERROR(MATCH(B1331,GL!$A:$A,0),0)))</f>
        <v>0</v>
      </c>
      <c r="D1331" s="32" t="str">
        <f aca="false">IF(C1331=0,"",IF($A1331="Bank",INDEX(Bank!$B:$B,$C1331),INDEX(GL!$B:$B,$C1331)))</f>
        <v/>
      </c>
      <c r="E1331" s="5" t="str">
        <f aca="false">IF(C1331=0,"",IF($A1331="Bank",IF(INDEX(Bank!$C:$C,$C1331)="","",INDEX(Bank!$C:$C,$C1331)),IF(INDEX(GL!$C:$C,$C1331)="","",INDEX(GL!$C:$C,$C1331))))</f>
        <v/>
      </c>
      <c r="F1331" s="5" t="str">
        <f aca="false">IF(C1331=0,"",IF($A1331="Bank",IF(INDEX(Bank!$D:$D,$C1331)="","",INDEX(Bank!$D:$D,$C1331)),IF(INDEX(GL!$D:$D,$C1331)="","",INDEX(GL!$D:$D,$C1331))))</f>
        <v/>
      </c>
      <c r="G1331" s="19" t="str">
        <f aca="false">IF(C1331=0,"",IF($A1331="Bank",INDEX(Bank!$E:$E,$C1331),INDEX(GL!$E:$E,$C1331)))</f>
        <v/>
      </c>
      <c r="H1331" s="5" t="str">
        <f aca="false">IF(C1331=0,"",IF(A1331="GL",IF(G1331&gt;0,"Deposit in transit","Outstanding check / payment"),IF(G1331&gt;0,"Bank credit not in GL","Bank debit not in GL")))</f>
        <v/>
      </c>
      <c r="I1331" s="42" t="str">
        <f aca="false">IF(OR(C1331=0,CFG_PeriodEnd=""),"",CFG_PeriodEnd-D1331)</f>
        <v/>
      </c>
      <c r="J1331" s="5" t="str">
        <f aca="false">IF(C1331=0,"",IF($A1331="Bank",IF(INDEX(Bank!$G:$G,$C1331)="","",INDEX(Bank!$G:$G,$C1331)),IF(INDEX(GL!$G:$G,$C1331)="","",INDEX(GL!$G:$G,$C1331))))</f>
        <v/>
      </c>
      <c r="K1331" s="5" t="str">
        <f aca="false">IF(C1331=0,"",IF($A1331="Bank",IF(INDEX(Bank!$I:$I,$C1331)="","",INDEX(Bank!$I:$I,$C1331)),IF(INDEX(GL!$I:$I,$C1331)="","",INDEX(GL!$I:$I,$C1331))))</f>
        <v/>
      </c>
      <c r="L1331" s="5" t="str">
        <f aca="false">IF(B1331="","",IF(C1331=0,"NOT FOUND",IF(IF($A1331="Bank",INDEX(Bank!$F:$F,$C1331),INDEX(GL!$F:$F,$C1331))="Y","NOW RECONCILED: refresh","OK")))</f>
        <v/>
      </c>
    </row>
    <row r="1332" customFormat="false" ht="15" hidden="false" customHeight="false" outlineLevel="0" collapsed="false">
      <c r="A1332" s="41"/>
      <c r="B1332" s="41"/>
      <c r="C1332" s="5" t="n">
        <f aca="false">IF(B1332="",0,IF(A1332="Bank",IFERROR(MATCH(B1332,Bank!$A:$A,0),0),IFERROR(MATCH(B1332,GL!$A:$A,0),0)))</f>
        <v>0</v>
      </c>
      <c r="D1332" s="32" t="str">
        <f aca="false">IF(C1332=0,"",IF($A1332="Bank",INDEX(Bank!$B:$B,$C1332),INDEX(GL!$B:$B,$C1332)))</f>
        <v/>
      </c>
      <c r="E1332" s="5" t="str">
        <f aca="false">IF(C1332=0,"",IF($A1332="Bank",IF(INDEX(Bank!$C:$C,$C1332)="","",INDEX(Bank!$C:$C,$C1332)),IF(INDEX(GL!$C:$C,$C1332)="","",INDEX(GL!$C:$C,$C1332))))</f>
        <v/>
      </c>
      <c r="F1332" s="5" t="str">
        <f aca="false">IF(C1332=0,"",IF($A1332="Bank",IF(INDEX(Bank!$D:$D,$C1332)="","",INDEX(Bank!$D:$D,$C1332)),IF(INDEX(GL!$D:$D,$C1332)="","",INDEX(GL!$D:$D,$C1332))))</f>
        <v/>
      </c>
      <c r="G1332" s="19" t="str">
        <f aca="false">IF(C1332=0,"",IF($A1332="Bank",INDEX(Bank!$E:$E,$C1332),INDEX(GL!$E:$E,$C1332)))</f>
        <v/>
      </c>
      <c r="H1332" s="5" t="str">
        <f aca="false">IF(C1332=0,"",IF(A1332="GL",IF(G1332&gt;0,"Deposit in transit","Outstanding check / payment"),IF(G1332&gt;0,"Bank credit not in GL","Bank debit not in GL")))</f>
        <v/>
      </c>
      <c r="I1332" s="42" t="str">
        <f aca="false">IF(OR(C1332=0,CFG_PeriodEnd=""),"",CFG_PeriodEnd-D1332)</f>
        <v/>
      </c>
      <c r="J1332" s="5" t="str">
        <f aca="false">IF(C1332=0,"",IF($A1332="Bank",IF(INDEX(Bank!$G:$G,$C1332)="","",INDEX(Bank!$G:$G,$C1332)),IF(INDEX(GL!$G:$G,$C1332)="","",INDEX(GL!$G:$G,$C1332))))</f>
        <v/>
      </c>
      <c r="K1332" s="5" t="str">
        <f aca="false">IF(C1332=0,"",IF($A1332="Bank",IF(INDEX(Bank!$I:$I,$C1332)="","",INDEX(Bank!$I:$I,$C1332)),IF(INDEX(GL!$I:$I,$C1332)="","",INDEX(GL!$I:$I,$C1332))))</f>
        <v/>
      </c>
      <c r="L1332" s="5" t="str">
        <f aca="false">IF(B1332="","",IF(C1332=0,"NOT FOUND",IF(IF($A1332="Bank",INDEX(Bank!$F:$F,$C1332),INDEX(GL!$F:$F,$C1332))="Y","NOW RECONCILED: refresh","OK")))</f>
        <v/>
      </c>
    </row>
    <row r="1333" customFormat="false" ht="15" hidden="false" customHeight="false" outlineLevel="0" collapsed="false">
      <c r="A1333" s="41"/>
      <c r="B1333" s="41"/>
      <c r="C1333" s="5" t="n">
        <f aca="false">IF(B1333="",0,IF(A1333="Bank",IFERROR(MATCH(B1333,Bank!$A:$A,0),0),IFERROR(MATCH(B1333,GL!$A:$A,0),0)))</f>
        <v>0</v>
      </c>
      <c r="D1333" s="32" t="str">
        <f aca="false">IF(C1333=0,"",IF($A1333="Bank",INDEX(Bank!$B:$B,$C1333),INDEX(GL!$B:$B,$C1333)))</f>
        <v/>
      </c>
      <c r="E1333" s="5" t="str">
        <f aca="false">IF(C1333=0,"",IF($A1333="Bank",IF(INDEX(Bank!$C:$C,$C1333)="","",INDEX(Bank!$C:$C,$C1333)),IF(INDEX(GL!$C:$C,$C1333)="","",INDEX(GL!$C:$C,$C1333))))</f>
        <v/>
      </c>
      <c r="F1333" s="5" t="str">
        <f aca="false">IF(C1333=0,"",IF($A1333="Bank",IF(INDEX(Bank!$D:$D,$C1333)="","",INDEX(Bank!$D:$D,$C1333)),IF(INDEX(GL!$D:$D,$C1333)="","",INDEX(GL!$D:$D,$C1333))))</f>
        <v/>
      </c>
      <c r="G1333" s="19" t="str">
        <f aca="false">IF(C1333=0,"",IF($A1333="Bank",INDEX(Bank!$E:$E,$C1333),INDEX(GL!$E:$E,$C1333)))</f>
        <v/>
      </c>
      <c r="H1333" s="5" t="str">
        <f aca="false">IF(C1333=0,"",IF(A1333="GL",IF(G1333&gt;0,"Deposit in transit","Outstanding check / payment"),IF(G1333&gt;0,"Bank credit not in GL","Bank debit not in GL")))</f>
        <v/>
      </c>
      <c r="I1333" s="42" t="str">
        <f aca="false">IF(OR(C1333=0,CFG_PeriodEnd=""),"",CFG_PeriodEnd-D1333)</f>
        <v/>
      </c>
      <c r="J1333" s="5" t="str">
        <f aca="false">IF(C1333=0,"",IF($A1333="Bank",IF(INDEX(Bank!$G:$G,$C1333)="","",INDEX(Bank!$G:$G,$C1333)),IF(INDEX(GL!$G:$G,$C1333)="","",INDEX(GL!$G:$G,$C1333))))</f>
        <v/>
      </c>
      <c r="K1333" s="5" t="str">
        <f aca="false">IF(C1333=0,"",IF($A1333="Bank",IF(INDEX(Bank!$I:$I,$C1333)="","",INDEX(Bank!$I:$I,$C1333)),IF(INDEX(GL!$I:$I,$C1333)="","",INDEX(GL!$I:$I,$C1333))))</f>
        <v/>
      </c>
      <c r="L1333" s="5" t="str">
        <f aca="false">IF(B1333="","",IF(C1333=0,"NOT FOUND",IF(IF($A1333="Bank",INDEX(Bank!$F:$F,$C1333),INDEX(GL!$F:$F,$C1333))="Y","NOW RECONCILED: refresh","OK")))</f>
        <v/>
      </c>
    </row>
    <row r="1334" customFormat="false" ht="15" hidden="false" customHeight="false" outlineLevel="0" collapsed="false">
      <c r="A1334" s="41"/>
      <c r="B1334" s="41"/>
      <c r="C1334" s="5" t="n">
        <f aca="false">IF(B1334="",0,IF(A1334="Bank",IFERROR(MATCH(B1334,Bank!$A:$A,0),0),IFERROR(MATCH(B1334,GL!$A:$A,0),0)))</f>
        <v>0</v>
      </c>
      <c r="D1334" s="32" t="str">
        <f aca="false">IF(C1334=0,"",IF($A1334="Bank",INDEX(Bank!$B:$B,$C1334),INDEX(GL!$B:$B,$C1334)))</f>
        <v/>
      </c>
      <c r="E1334" s="5" t="str">
        <f aca="false">IF(C1334=0,"",IF($A1334="Bank",IF(INDEX(Bank!$C:$C,$C1334)="","",INDEX(Bank!$C:$C,$C1334)),IF(INDEX(GL!$C:$C,$C1334)="","",INDEX(GL!$C:$C,$C1334))))</f>
        <v/>
      </c>
      <c r="F1334" s="5" t="str">
        <f aca="false">IF(C1334=0,"",IF($A1334="Bank",IF(INDEX(Bank!$D:$D,$C1334)="","",INDEX(Bank!$D:$D,$C1334)),IF(INDEX(GL!$D:$D,$C1334)="","",INDEX(GL!$D:$D,$C1334))))</f>
        <v/>
      </c>
      <c r="G1334" s="19" t="str">
        <f aca="false">IF(C1334=0,"",IF($A1334="Bank",INDEX(Bank!$E:$E,$C1334),INDEX(GL!$E:$E,$C1334)))</f>
        <v/>
      </c>
      <c r="H1334" s="5" t="str">
        <f aca="false">IF(C1334=0,"",IF(A1334="GL",IF(G1334&gt;0,"Deposit in transit","Outstanding check / payment"),IF(G1334&gt;0,"Bank credit not in GL","Bank debit not in GL")))</f>
        <v/>
      </c>
      <c r="I1334" s="42" t="str">
        <f aca="false">IF(OR(C1334=0,CFG_PeriodEnd=""),"",CFG_PeriodEnd-D1334)</f>
        <v/>
      </c>
      <c r="J1334" s="5" t="str">
        <f aca="false">IF(C1334=0,"",IF($A1334="Bank",IF(INDEX(Bank!$G:$G,$C1334)="","",INDEX(Bank!$G:$G,$C1334)),IF(INDEX(GL!$G:$G,$C1334)="","",INDEX(GL!$G:$G,$C1334))))</f>
        <v/>
      </c>
      <c r="K1334" s="5" t="str">
        <f aca="false">IF(C1334=0,"",IF($A1334="Bank",IF(INDEX(Bank!$I:$I,$C1334)="","",INDEX(Bank!$I:$I,$C1334)),IF(INDEX(GL!$I:$I,$C1334)="","",INDEX(GL!$I:$I,$C1334))))</f>
        <v/>
      </c>
      <c r="L1334" s="5" t="str">
        <f aca="false">IF(B1334="","",IF(C1334=0,"NOT FOUND",IF(IF($A1334="Bank",INDEX(Bank!$F:$F,$C1334),INDEX(GL!$F:$F,$C1334))="Y","NOW RECONCILED: refresh","OK")))</f>
        <v/>
      </c>
    </row>
    <row r="1335" customFormat="false" ht="15" hidden="false" customHeight="false" outlineLevel="0" collapsed="false">
      <c r="A1335" s="41"/>
      <c r="B1335" s="41"/>
      <c r="C1335" s="5" t="n">
        <f aca="false">IF(B1335="",0,IF(A1335="Bank",IFERROR(MATCH(B1335,Bank!$A:$A,0),0),IFERROR(MATCH(B1335,GL!$A:$A,0),0)))</f>
        <v>0</v>
      </c>
      <c r="D1335" s="32" t="str">
        <f aca="false">IF(C1335=0,"",IF($A1335="Bank",INDEX(Bank!$B:$B,$C1335),INDEX(GL!$B:$B,$C1335)))</f>
        <v/>
      </c>
      <c r="E1335" s="5" t="str">
        <f aca="false">IF(C1335=0,"",IF($A1335="Bank",IF(INDEX(Bank!$C:$C,$C1335)="","",INDEX(Bank!$C:$C,$C1335)),IF(INDEX(GL!$C:$C,$C1335)="","",INDEX(GL!$C:$C,$C1335))))</f>
        <v/>
      </c>
      <c r="F1335" s="5" t="str">
        <f aca="false">IF(C1335=0,"",IF($A1335="Bank",IF(INDEX(Bank!$D:$D,$C1335)="","",INDEX(Bank!$D:$D,$C1335)),IF(INDEX(GL!$D:$D,$C1335)="","",INDEX(GL!$D:$D,$C1335))))</f>
        <v/>
      </c>
      <c r="G1335" s="19" t="str">
        <f aca="false">IF(C1335=0,"",IF($A1335="Bank",INDEX(Bank!$E:$E,$C1335),INDEX(GL!$E:$E,$C1335)))</f>
        <v/>
      </c>
      <c r="H1335" s="5" t="str">
        <f aca="false">IF(C1335=0,"",IF(A1335="GL",IF(G1335&gt;0,"Deposit in transit","Outstanding check / payment"),IF(G1335&gt;0,"Bank credit not in GL","Bank debit not in GL")))</f>
        <v/>
      </c>
      <c r="I1335" s="42" t="str">
        <f aca="false">IF(OR(C1335=0,CFG_PeriodEnd=""),"",CFG_PeriodEnd-D1335)</f>
        <v/>
      </c>
      <c r="J1335" s="5" t="str">
        <f aca="false">IF(C1335=0,"",IF($A1335="Bank",IF(INDEX(Bank!$G:$G,$C1335)="","",INDEX(Bank!$G:$G,$C1335)),IF(INDEX(GL!$G:$G,$C1335)="","",INDEX(GL!$G:$G,$C1335))))</f>
        <v/>
      </c>
      <c r="K1335" s="5" t="str">
        <f aca="false">IF(C1335=0,"",IF($A1335="Bank",IF(INDEX(Bank!$I:$I,$C1335)="","",INDEX(Bank!$I:$I,$C1335)),IF(INDEX(GL!$I:$I,$C1335)="","",INDEX(GL!$I:$I,$C1335))))</f>
        <v/>
      </c>
      <c r="L1335" s="5" t="str">
        <f aca="false">IF(B1335="","",IF(C1335=0,"NOT FOUND",IF(IF($A1335="Bank",INDEX(Bank!$F:$F,$C1335),INDEX(GL!$F:$F,$C1335))="Y","NOW RECONCILED: refresh","OK")))</f>
        <v/>
      </c>
    </row>
    <row r="1336" customFormat="false" ht="15" hidden="false" customHeight="false" outlineLevel="0" collapsed="false">
      <c r="A1336" s="41"/>
      <c r="B1336" s="41"/>
      <c r="C1336" s="5" t="n">
        <f aca="false">IF(B1336="",0,IF(A1336="Bank",IFERROR(MATCH(B1336,Bank!$A:$A,0),0),IFERROR(MATCH(B1336,GL!$A:$A,0),0)))</f>
        <v>0</v>
      </c>
      <c r="D1336" s="32" t="str">
        <f aca="false">IF(C1336=0,"",IF($A1336="Bank",INDEX(Bank!$B:$B,$C1336),INDEX(GL!$B:$B,$C1336)))</f>
        <v/>
      </c>
      <c r="E1336" s="5" t="str">
        <f aca="false">IF(C1336=0,"",IF($A1336="Bank",IF(INDEX(Bank!$C:$C,$C1336)="","",INDEX(Bank!$C:$C,$C1336)),IF(INDEX(GL!$C:$C,$C1336)="","",INDEX(GL!$C:$C,$C1336))))</f>
        <v/>
      </c>
      <c r="F1336" s="5" t="str">
        <f aca="false">IF(C1336=0,"",IF($A1336="Bank",IF(INDEX(Bank!$D:$D,$C1336)="","",INDEX(Bank!$D:$D,$C1336)),IF(INDEX(GL!$D:$D,$C1336)="","",INDEX(GL!$D:$D,$C1336))))</f>
        <v/>
      </c>
      <c r="G1336" s="19" t="str">
        <f aca="false">IF(C1336=0,"",IF($A1336="Bank",INDEX(Bank!$E:$E,$C1336),INDEX(GL!$E:$E,$C1336)))</f>
        <v/>
      </c>
      <c r="H1336" s="5" t="str">
        <f aca="false">IF(C1336=0,"",IF(A1336="GL",IF(G1336&gt;0,"Deposit in transit","Outstanding check / payment"),IF(G1336&gt;0,"Bank credit not in GL","Bank debit not in GL")))</f>
        <v/>
      </c>
      <c r="I1336" s="42" t="str">
        <f aca="false">IF(OR(C1336=0,CFG_PeriodEnd=""),"",CFG_PeriodEnd-D1336)</f>
        <v/>
      </c>
      <c r="J1336" s="5" t="str">
        <f aca="false">IF(C1336=0,"",IF($A1336="Bank",IF(INDEX(Bank!$G:$G,$C1336)="","",INDEX(Bank!$G:$G,$C1336)),IF(INDEX(GL!$G:$G,$C1336)="","",INDEX(GL!$G:$G,$C1336))))</f>
        <v/>
      </c>
      <c r="K1336" s="5" t="str">
        <f aca="false">IF(C1336=0,"",IF($A1336="Bank",IF(INDEX(Bank!$I:$I,$C1336)="","",INDEX(Bank!$I:$I,$C1336)),IF(INDEX(GL!$I:$I,$C1336)="","",INDEX(GL!$I:$I,$C1336))))</f>
        <v/>
      </c>
      <c r="L1336" s="5" t="str">
        <f aca="false">IF(B1336="","",IF(C1336=0,"NOT FOUND",IF(IF($A1336="Bank",INDEX(Bank!$F:$F,$C1336),INDEX(GL!$F:$F,$C1336))="Y","NOW RECONCILED: refresh","OK")))</f>
        <v/>
      </c>
    </row>
    <row r="1337" customFormat="false" ht="15" hidden="false" customHeight="false" outlineLevel="0" collapsed="false">
      <c r="A1337" s="41"/>
      <c r="B1337" s="41"/>
      <c r="C1337" s="5" t="n">
        <f aca="false">IF(B1337="",0,IF(A1337="Bank",IFERROR(MATCH(B1337,Bank!$A:$A,0),0),IFERROR(MATCH(B1337,GL!$A:$A,0),0)))</f>
        <v>0</v>
      </c>
      <c r="D1337" s="32" t="str">
        <f aca="false">IF(C1337=0,"",IF($A1337="Bank",INDEX(Bank!$B:$B,$C1337),INDEX(GL!$B:$B,$C1337)))</f>
        <v/>
      </c>
      <c r="E1337" s="5" t="str">
        <f aca="false">IF(C1337=0,"",IF($A1337="Bank",IF(INDEX(Bank!$C:$C,$C1337)="","",INDEX(Bank!$C:$C,$C1337)),IF(INDEX(GL!$C:$C,$C1337)="","",INDEX(GL!$C:$C,$C1337))))</f>
        <v/>
      </c>
      <c r="F1337" s="5" t="str">
        <f aca="false">IF(C1337=0,"",IF($A1337="Bank",IF(INDEX(Bank!$D:$D,$C1337)="","",INDEX(Bank!$D:$D,$C1337)),IF(INDEX(GL!$D:$D,$C1337)="","",INDEX(GL!$D:$D,$C1337))))</f>
        <v/>
      </c>
      <c r="G1337" s="19" t="str">
        <f aca="false">IF(C1337=0,"",IF($A1337="Bank",INDEX(Bank!$E:$E,$C1337),INDEX(GL!$E:$E,$C1337)))</f>
        <v/>
      </c>
      <c r="H1337" s="5" t="str">
        <f aca="false">IF(C1337=0,"",IF(A1337="GL",IF(G1337&gt;0,"Deposit in transit","Outstanding check / payment"),IF(G1337&gt;0,"Bank credit not in GL","Bank debit not in GL")))</f>
        <v/>
      </c>
      <c r="I1337" s="42" t="str">
        <f aca="false">IF(OR(C1337=0,CFG_PeriodEnd=""),"",CFG_PeriodEnd-D1337)</f>
        <v/>
      </c>
      <c r="J1337" s="5" t="str">
        <f aca="false">IF(C1337=0,"",IF($A1337="Bank",IF(INDEX(Bank!$G:$G,$C1337)="","",INDEX(Bank!$G:$G,$C1337)),IF(INDEX(GL!$G:$G,$C1337)="","",INDEX(GL!$G:$G,$C1337))))</f>
        <v/>
      </c>
      <c r="K1337" s="5" t="str">
        <f aca="false">IF(C1337=0,"",IF($A1337="Bank",IF(INDEX(Bank!$I:$I,$C1337)="","",INDEX(Bank!$I:$I,$C1337)),IF(INDEX(GL!$I:$I,$C1337)="","",INDEX(GL!$I:$I,$C1337))))</f>
        <v/>
      </c>
      <c r="L1337" s="5" t="str">
        <f aca="false">IF(B1337="","",IF(C1337=0,"NOT FOUND",IF(IF($A1337="Bank",INDEX(Bank!$F:$F,$C1337),INDEX(GL!$F:$F,$C1337))="Y","NOW RECONCILED: refresh","OK")))</f>
        <v/>
      </c>
    </row>
    <row r="1338" customFormat="false" ht="15" hidden="false" customHeight="false" outlineLevel="0" collapsed="false">
      <c r="A1338" s="41"/>
      <c r="B1338" s="41"/>
      <c r="C1338" s="5" t="n">
        <f aca="false">IF(B1338="",0,IF(A1338="Bank",IFERROR(MATCH(B1338,Bank!$A:$A,0),0),IFERROR(MATCH(B1338,GL!$A:$A,0),0)))</f>
        <v>0</v>
      </c>
      <c r="D1338" s="32" t="str">
        <f aca="false">IF(C1338=0,"",IF($A1338="Bank",INDEX(Bank!$B:$B,$C1338),INDEX(GL!$B:$B,$C1338)))</f>
        <v/>
      </c>
      <c r="E1338" s="5" t="str">
        <f aca="false">IF(C1338=0,"",IF($A1338="Bank",IF(INDEX(Bank!$C:$C,$C1338)="","",INDEX(Bank!$C:$C,$C1338)),IF(INDEX(GL!$C:$C,$C1338)="","",INDEX(GL!$C:$C,$C1338))))</f>
        <v/>
      </c>
      <c r="F1338" s="5" t="str">
        <f aca="false">IF(C1338=0,"",IF($A1338="Bank",IF(INDEX(Bank!$D:$D,$C1338)="","",INDEX(Bank!$D:$D,$C1338)),IF(INDEX(GL!$D:$D,$C1338)="","",INDEX(GL!$D:$D,$C1338))))</f>
        <v/>
      </c>
      <c r="G1338" s="19" t="str">
        <f aca="false">IF(C1338=0,"",IF($A1338="Bank",INDEX(Bank!$E:$E,$C1338),INDEX(GL!$E:$E,$C1338)))</f>
        <v/>
      </c>
      <c r="H1338" s="5" t="str">
        <f aca="false">IF(C1338=0,"",IF(A1338="GL",IF(G1338&gt;0,"Deposit in transit","Outstanding check / payment"),IF(G1338&gt;0,"Bank credit not in GL","Bank debit not in GL")))</f>
        <v/>
      </c>
      <c r="I1338" s="42" t="str">
        <f aca="false">IF(OR(C1338=0,CFG_PeriodEnd=""),"",CFG_PeriodEnd-D1338)</f>
        <v/>
      </c>
      <c r="J1338" s="5" t="str">
        <f aca="false">IF(C1338=0,"",IF($A1338="Bank",IF(INDEX(Bank!$G:$G,$C1338)="","",INDEX(Bank!$G:$G,$C1338)),IF(INDEX(GL!$G:$G,$C1338)="","",INDEX(GL!$G:$G,$C1338))))</f>
        <v/>
      </c>
      <c r="K1338" s="5" t="str">
        <f aca="false">IF(C1338=0,"",IF($A1338="Bank",IF(INDEX(Bank!$I:$I,$C1338)="","",INDEX(Bank!$I:$I,$C1338)),IF(INDEX(GL!$I:$I,$C1338)="","",INDEX(GL!$I:$I,$C1338))))</f>
        <v/>
      </c>
      <c r="L1338" s="5" t="str">
        <f aca="false">IF(B1338="","",IF(C1338=0,"NOT FOUND",IF(IF($A1338="Bank",INDEX(Bank!$F:$F,$C1338),INDEX(GL!$F:$F,$C1338))="Y","NOW RECONCILED: refresh","OK")))</f>
        <v/>
      </c>
    </row>
    <row r="1339" customFormat="false" ht="15" hidden="false" customHeight="false" outlineLevel="0" collapsed="false">
      <c r="A1339" s="41"/>
      <c r="B1339" s="41"/>
      <c r="C1339" s="5" t="n">
        <f aca="false">IF(B1339="",0,IF(A1339="Bank",IFERROR(MATCH(B1339,Bank!$A:$A,0),0),IFERROR(MATCH(B1339,GL!$A:$A,0),0)))</f>
        <v>0</v>
      </c>
      <c r="D1339" s="32" t="str">
        <f aca="false">IF(C1339=0,"",IF($A1339="Bank",INDEX(Bank!$B:$B,$C1339),INDEX(GL!$B:$B,$C1339)))</f>
        <v/>
      </c>
      <c r="E1339" s="5" t="str">
        <f aca="false">IF(C1339=0,"",IF($A1339="Bank",IF(INDEX(Bank!$C:$C,$C1339)="","",INDEX(Bank!$C:$C,$C1339)),IF(INDEX(GL!$C:$C,$C1339)="","",INDEX(GL!$C:$C,$C1339))))</f>
        <v/>
      </c>
      <c r="F1339" s="5" t="str">
        <f aca="false">IF(C1339=0,"",IF($A1339="Bank",IF(INDEX(Bank!$D:$D,$C1339)="","",INDEX(Bank!$D:$D,$C1339)),IF(INDEX(GL!$D:$D,$C1339)="","",INDEX(GL!$D:$D,$C1339))))</f>
        <v/>
      </c>
      <c r="G1339" s="19" t="str">
        <f aca="false">IF(C1339=0,"",IF($A1339="Bank",INDEX(Bank!$E:$E,$C1339),INDEX(GL!$E:$E,$C1339)))</f>
        <v/>
      </c>
      <c r="H1339" s="5" t="str">
        <f aca="false">IF(C1339=0,"",IF(A1339="GL",IF(G1339&gt;0,"Deposit in transit","Outstanding check / payment"),IF(G1339&gt;0,"Bank credit not in GL","Bank debit not in GL")))</f>
        <v/>
      </c>
      <c r="I1339" s="42" t="str">
        <f aca="false">IF(OR(C1339=0,CFG_PeriodEnd=""),"",CFG_PeriodEnd-D1339)</f>
        <v/>
      </c>
      <c r="J1339" s="5" t="str">
        <f aca="false">IF(C1339=0,"",IF($A1339="Bank",IF(INDEX(Bank!$G:$G,$C1339)="","",INDEX(Bank!$G:$G,$C1339)),IF(INDEX(GL!$G:$G,$C1339)="","",INDEX(GL!$G:$G,$C1339))))</f>
        <v/>
      </c>
      <c r="K1339" s="5" t="str">
        <f aca="false">IF(C1339=0,"",IF($A1339="Bank",IF(INDEX(Bank!$I:$I,$C1339)="","",INDEX(Bank!$I:$I,$C1339)),IF(INDEX(GL!$I:$I,$C1339)="","",INDEX(GL!$I:$I,$C1339))))</f>
        <v/>
      </c>
      <c r="L1339" s="5" t="str">
        <f aca="false">IF(B1339="","",IF(C1339=0,"NOT FOUND",IF(IF($A1339="Bank",INDEX(Bank!$F:$F,$C1339),INDEX(GL!$F:$F,$C1339))="Y","NOW RECONCILED: refresh","OK")))</f>
        <v/>
      </c>
    </row>
    <row r="1340" customFormat="false" ht="15" hidden="false" customHeight="false" outlineLevel="0" collapsed="false">
      <c r="A1340" s="41"/>
      <c r="B1340" s="41"/>
      <c r="C1340" s="5" t="n">
        <f aca="false">IF(B1340="",0,IF(A1340="Bank",IFERROR(MATCH(B1340,Bank!$A:$A,0),0),IFERROR(MATCH(B1340,GL!$A:$A,0),0)))</f>
        <v>0</v>
      </c>
      <c r="D1340" s="32" t="str">
        <f aca="false">IF(C1340=0,"",IF($A1340="Bank",INDEX(Bank!$B:$B,$C1340),INDEX(GL!$B:$B,$C1340)))</f>
        <v/>
      </c>
      <c r="E1340" s="5" t="str">
        <f aca="false">IF(C1340=0,"",IF($A1340="Bank",IF(INDEX(Bank!$C:$C,$C1340)="","",INDEX(Bank!$C:$C,$C1340)),IF(INDEX(GL!$C:$C,$C1340)="","",INDEX(GL!$C:$C,$C1340))))</f>
        <v/>
      </c>
      <c r="F1340" s="5" t="str">
        <f aca="false">IF(C1340=0,"",IF($A1340="Bank",IF(INDEX(Bank!$D:$D,$C1340)="","",INDEX(Bank!$D:$D,$C1340)),IF(INDEX(GL!$D:$D,$C1340)="","",INDEX(GL!$D:$D,$C1340))))</f>
        <v/>
      </c>
      <c r="G1340" s="19" t="str">
        <f aca="false">IF(C1340=0,"",IF($A1340="Bank",INDEX(Bank!$E:$E,$C1340),INDEX(GL!$E:$E,$C1340)))</f>
        <v/>
      </c>
      <c r="H1340" s="5" t="str">
        <f aca="false">IF(C1340=0,"",IF(A1340="GL",IF(G1340&gt;0,"Deposit in transit","Outstanding check / payment"),IF(G1340&gt;0,"Bank credit not in GL","Bank debit not in GL")))</f>
        <v/>
      </c>
      <c r="I1340" s="42" t="str">
        <f aca="false">IF(OR(C1340=0,CFG_PeriodEnd=""),"",CFG_PeriodEnd-D1340)</f>
        <v/>
      </c>
      <c r="J1340" s="5" t="str">
        <f aca="false">IF(C1340=0,"",IF($A1340="Bank",IF(INDEX(Bank!$G:$G,$C1340)="","",INDEX(Bank!$G:$G,$C1340)),IF(INDEX(GL!$G:$G,$C1340)="","",INDEX(GL!$G:$G,$C1340))))</f>
        <v/>
      </c>
      <c r="K1340" s="5" t="str">
        <f aca="false">IF(C1340=0,"",IF($A1340="Bank",IF(INDEX(Bank!$I:$I,$C1340)="","",INDEX(Bank!$I:$I,$C1340)),IF(INDEX(GL!$I:$I,$C1340)="","",INDEX(GL!$I:$I,$C1340))))</f>
        <v/>
      </c>
      <c r="L1340" s="5" t="str">
        <f aca="false">IF(B1340="","",IF(C1340=0,"NOT FOUND",IF(IF($A1340="Bank",INDEX(Bank!$F:$F,$C1340),INDEX(GL!$F:$F,$C1340))="Y","NOW RECONCILED: refresh","OK")))</f>
        <v/>
      </c>
    </row>
    <row r="1341" customFormat="false" ht="15" hidden="false" customHeight="false" outlineLevel="0" collapsed="false">
      <c r="A1341" s="41"/>
      <c r="B1341" s="41"/>
      <c r="C1341" s="5" t="n">
        <f aca="false">IF(B1341="",0,IF(A1341="Bank",IFERROR(MATCH(B1341,Bank!$A:$A,0),0),IFERROR(MATCH(B1341,GL!$A:$A,0),0)))</f>
        <v>0</v>
      </c>
      <c r="D1341" s="32" t="str">
        <f aca="false">IF(C1341=0,"",IF($A1341="Bank",INDEX(Bank!$B:$B,$C1341),INDEX(GL!$B:$B,$C1341)))</f>
        <v/>
      </c>
      <c r="E1341" s="5" t="str">
        <f aca="false">IF(C1341=0,"",IF($A1341="Bank",IF(INDEX(Bank!$C:$C,$C1341)="","",INDEX(Bank!$C:$C,$C1341)),IF(INDEX(GL!$C:$C,$C1341)="","",INDEX(GL!$C:$C,$C1341))))</f>
        <v/>
      </c>
      <c r="F1341" s="5" t="str">
        <f aca="false">IF(C1341=0,"",IF($A1341="Bank",IF(INDEX(Bank!$D:$D,$C1341)="","",INDEX(Bank!$D:$D,$C1341)),IF(INDEX(GL!$D:$D,$C1341)="","",INDEX(GL!$D:$D,$C1341))))</f>
        <v/>
      </c>
      <c r="G1341" s="19" t="str">
        <f aca="false">IF(C1341=0,"",IF($A1341="Bank",INDEX(Bank!$E:$E,$C1341),INDEX(GL!$E:$E,$C1341)))</f>
        <v/>
      </c>
      <c r="H1341" s="5" t="str">
        <f aca="false">IF(C1341=0,"",IF(A1341="GL",IF(G1341&gt;0,"Deposit in transit","Outstanding check / payment"),IF(G1341&gt;0,"Bank credit not in GL","Bank debit not in GL")))</f>
        <v/>
      </c>
      <c r="I1341" s="42" t="str">
        <f aca="false">IF(OR(C1341=0,CFG_PeriodEnd=""),"",CFG_PeriodEnd-D1341)</f>
        <v/>
      </c>
      <c r="J1341" s="5" t="str">
        <f aca="false">IF(C1341=0,"",IF($A1341="Bank",IF(INDEX(Bank!$G:$G,$C1341)="","",INDEX(Bank!$G:$G,$C1341)),IF(INDEX(GL!$G:$G,$C1341)="","",INDEX(GL!$G:$G,$C1341))))</f>
        <v/>
      </c>
      <c r="K1341" s="5" t="str">
        <f aca="false">IF(C1341=0,"",IF($A1341="Bank",IF(INDEX(Bank!$I:$I,$C1341)="","",INDEX(Bank!$I:$I,$C1341)),IF(INDEX(GL!$I:$I,$C1341)="","",INDEX(GL!$I:$I,$C1341))))</f>
        <v/>
      </c>
      <c r="L1341" s="5" t="str">
        <f aca="false">IF(B1341="","",IF(C1341=0,"NOT FOUND",IF(IF($A1341="Bank",INDEX(Bank!$F:$F,$C1341),INDEX(GL!$F:$F,$C1341))="Y","NOW RECONCILED: refresh","OK")))</f>
        <v/>
      </c>
    </row>
    <row r="1342" customFormat="false" ht="15" hidden="false" customHeight="false" outlineLevel="0" collapsed="false">
      <c r="A1342" s="41"/>
      <c r="B1342" s="41"/>
      <c r="C1342" s="5" t="n">
        <f aca="false">IF(B1342="",0,IF(A1342="Bank",IFERROR(MATCH(B1342,Bank!$A:$A,0),0),IFERROR(MATCH(B1342,GL!$A:$A,0),0)))</f>
        <v>0</v>
      </c>
      <c r="D1342" s="32" t="str">
        <f aca="false">IF(C1342=0,"",IF($A1342="Bank",INDEX(Bank!$B:$B,$C1342),INDEX(GL!$B:$B,$C1342)))</f>
        <v/>
      </c>
      <c r="E1342" s="5" t="str">
        <f aca="false">IF(C1342=0,"",IF($A1342="Bank",IF(INDEX(Bank!$C:$C,$C1342)="","",INDEX(Bank!$C:$C,$C1342)),IF(INDEX(GL!$C:$C,$C1342)="","",INDEX(GL!$C:$C,$C1342))))</f>
        <v/>
      </c>
      <c r="F1342" s="5" t="str">
        <f aca="false">IF(C1342=0,"",IF($A1342="Bank",IF(INDEX(Bank!$D:$D,$C1342)="","",INDEX(Bank!$D:$D,$C1342)),IF(INDEX(GL!$D:$D,$C1342)="","",INDEX(GL!$D:$D,$C1342))))</f>
        <v/>
      </c>
      <c r="G1342" s="19" t="str">
        <f aca="false">IF(C1342=0,"",IF($A1342="Bank",INDEX(Bank!$E:$E,$C1342),INDEX(GL!$E:$E,$C1342)))</f>
        <v/>
      </c>
      <c r="H1342" s="5" t="str">
        <f aca="false">IF(C1342=0,"",IF(A1342="GL",IF(G1342&gt;0,"Deposit in transit","Outstanding check / payment"),IF(G1342&gt;0,"Bank credit not in GL","Bank debit not in GL")))</f>
        <v/>
      </c>
      <c r="I1342" s="42" t="str">
        <f aca="false">IF(OR(C1342=0,CFG_PeriodEnd=""),"",CFG_PeriodEnd-D1342)</f>
        <v/>
      </c>
      <c r="J1342" s="5" t="str">
        <f aca="false">IF(C1342=0,"",IF($A1342="Bank",IF(INDEX(Bank!$G:$G,$C1342)="","",INDEX(Bank!$G:$G,$C1342)),IF(INDEX(GL!$G:$G,$C1342)="","",INDEX(GL!$G:$G,$C1342))))</f>
        <v/>
      </c>
      <c r="K1342" s="5" t="str">
        <f aca="false">IF(C1342=0,"",IF($A1342="Bank",IF(INDEX(Bank!$I:$I,$C1342)="","",INDEX(Bank!$I:$I,$C1342)),IF(INDEX(GL!$I:$I,$C1342)="","",INDEX(GL!$I:$I,$C1342))))</f>
        <v/>
      </c>
      <c r="L1342" s="5" t="str">
        <f aca="false">IF(B1342="","",IF(C1342=0,"NOT FOUND",IF(IF($A1342="Bank",INDEX(Bank!$F:$F,$C1342),INDEX(GL!$F:$F,$C1342))="Y","NOW RECONCILED: refresh","OK")))</f>
        <v/>
      </c>
    </row>
    <row r="1343" customFormat="false" ht="15" hidden="false" customHeight="false" outlineLevel="0" collapsed="false">
      <c r="A1343" s="41"/>
      <c r="B1343" s="41"/>
      <c r="C1343" s="5" t="n">
        <f aca="false">IF(B1343="",0,IF(A1343="Bank",IFERROR(MATCH(B1343,Bank!$A:$A,0),0),IFERROR(MATCH(B1343,GL!$A:$A,0),0)))</f>
        <v>0</v>
      </c>
      <c r="D1343" s="32" t="str">
        <f aca="false">IF(C1343=0,"",IF($A1343="Bank",INDEX(Bank!$B:$B,$C1343),INDEX(GL!$B:$B,$C1343)))</f>
        <v/>
      </c>
      <c r="E1343" s="5" t="str">
        <f aca="false">IF(C1343=0,"",IF($A1343="Bank",IF(INDEX(Bank!$C:$C,$C1343)="","",INDEX(Bank!$C:$C,$C1343)),IF(INDEX(GL!$C:$C,$C1343)="","",INDEX(GL!$C:$C,$C1343))))</f>
        <v/>
      </c>
      <c r="F1343" s="5" t="str">
        <f aca="false">IF(C1343=0,"",IF($A1343="Bank",IF(INDEX(Bank!$D:$D,$C1343)="","",INDEX(Bank!$D:$D,$C1343)),IF(INDEX(GL!$D:$D,$C1343)="","",INDEX(GL!$D:$D,$C1343))))</f>
        <v/>
      </c>
      <c r="G1343" s="19" t="str">
        <f aca="false">IF(C1343=0,"",IF($A1343="Bank",INDEX(Bank!$E:$E,$C1343),INDEX(GL!$E:$E,$C1343)))</f>
        <v/>
      </c>
      <c r="H1343" s="5" t="str">
        <f aca="false">IF(C1343=0,"",IF(A1343="GL",IF(G1343&gt;0,"Deposit in transit","Outstanding check / payment"),IF(G1343&gt;0,"Bank credit not in GL","Bank debit not in GL")))</f>
        <v/>
      </c>
      <c r="I1343" s="42" t="str">
        <f aca="false">IF(OR(C1343=0,CFG_PeriodEnd=""),"",CFG_PeriodEnd-D1343)</f>
        <v/>
      </c>
      <c r="J1343" s="5" t="str">
        <f aca="false">IF(C1343=0,"",IF($A1343="Bank",IF(INDEX(Bank!$G:$G,$C1343)="","",INDEX(Bank!$G:$G,$C1343)),IF(INDEX(GL!$G:$G,$C1343)="","",INDEX(GL!$G:$G,$C1343))))</f>
        <v/>
      </c>
      <c r="K1343" s="5" t="str">
        <f aca="false">IF(C1343=0,"",IF($A1343="Bank",IF(INDEX(Bank!$I:$I,$C1343)="","",INDEX(Bank!$I:$I,$C1343)),IF(INDEX(GL!$I:$I,$C1343)="","",INDEX(GL!$I:$I,$C1343))))</f>
        <v/>
      </c>
      <c r="L1343" s="5" t="str">
        <f aca="false">IF(B1343="","",IF(C1343=0,"NOT FOUND",IF(IF($A1343="Bank",INDEX(Bank!$F:$F,$C1343),INDEX(GL!$F:$F,$C1343))="Y","NOW RECONCILED: refresh","OK")))</f>
        <v/>
      </c>
    </row>
    <row r="1344" customFormat="false" ht="15" hidden="false" customHeight="false" outlineLevel="0" collapsed="false">
      <c r="A1344" s="41"/>
      <c r="B1344" s="41"/>
      <c r="C1344" s="5" t="n">
        <f aca="false">IF(B1344="",0,IF(A1344="Bank",IFERROR(MATCH(B1344,Bank!$A:$A,0),0),IFERROR(MATCH(B1344,GL!$A:$A,0),0)))</f>
        <v>0</v>
      </c>
      <c r="D1344" s="32" t="str">
        <f aca="false">IF(C1344=0,"",IF($A1344="Bank",INDEX(Bank!$B:$B,$C1344),INDEX(GL!$B:$B,$C1344)))</f>
        <v/>
      </c>
      <c r="E1344" s="5" t="str">
        <f aca="false">IF(C1344=0,"",IF($A1344="Bank",IF(INDEX(Bank!$C:$C,$C1344)="","",INDEX(Bank!$C:$C,$C1344)),IF(INDEX(GL!$C:$C,$C1344)="","",INDEX(GL!$C:$C,$C1344))))</f>
        <v/>
      </c>
      <c r="F1344" s="5" t="str">
        <f aca="false">IF(C1344=0,"",IF($A1344="Bank",IF(INDEX(Bank!$D:$D,$C1344)="","",INDEX(Bank!$D:$D,$C1344)),IF(INDEX(GL!$D:$D,$C1344)="","",INDEX(GL!$D:$D,$C1344))))</f>
        <v/>
      </c>
      <c r="G1344" s="19" t="str">
        <f aca="false">IF(C1344=0,"",IF($A1344="Bank",INDEX(Bank!$E:$E,$C1344),INDEX(GL!$E:$E,$C1344)))</f>
        <v/>
      </c>
      <c r="H1344" s="5" t="str">
        <f aca="false">IF(C1344=0,"",IF(A1344="GL",IF(G1344&gt;0,"Deposit in transit","Outstanding check / payment"),IF(G1344&gt;0,"Bank credit not in GL","Bank debit not in GL")))</f>
        <v/>
      </c>
      <c r="I1344" s="42" t="str">
        <f aca="false">IF(OR(C1344=0,CFG_PeriodEnd=""),"",CFG_PeriodEnd-D1344)</f>
        <v/>
      </c>
      <c r="J1344" s="5" t="str">
        <f aca="false">IF(C1344=0,"",IF($A1344="Bank",IF(INDEX(Bank!$G:$G,$C1344)="","",INDEX(Bank!$G:$G,$C1344)),IF(INDEX(GL!$G:$G,$C1344)="","",INDEX(GL!$G:$G,$C1344))))</f>
        <v/>
      </c>
      <c r="K1344" s="5" t="str">
        <f aca="false">IF(C1344=0,"",IF($A1344="Bank",IF(INDEX(Bank!$I:$I,$C1344)="","",INDEX(Bank!$I:$I,$C1344)),IF(INDEX(GL!$I:$I,$C1344)="","",INDEX(GL!$I:$I,$C1344))))</f>
        <v/>
      </c>
      <c r="L1344" s="5" t="str">
        <f aca="false">IF(B1344="","",IF(C1344=0,"NOT FOUND",IF(IF($A1344="Bank",INDEX(Bank!$F:$F,$C1344),INDEX(GL!$F:$F,$C1344))="Y","NOW RECONCILED: refresh","OK")))</f>
        <v/>
      </c>
    </row>
    <row r="1345" customFormat="false" ht="15" hidden="false" customHeight="false" outlineLevel="0" collapsed="false">
      <c r="A1345" s="41"/>
      <c r="B1345" s="41"/>
      <c r="C1345" s="5" t="n">
        <f aca="false">IF(B1345="",0,IF(A1345="Bank",IFERROR(MATCH(B1345,Bank!$A:$A,0),0),IFERROR(MATCH(B1345,GL!$A:$A,0),0)))</f>
        <v>0</v>
      </c>
      <c r="D1345" s="32" t="str">
        <f aca="false">IF(C1345=0,"",IF($A1345="Bank",INDEX(Bank!$B:$B,$C1345),INDEX(GL!$B:$B,$C1345)))</f>
        <v/>
      </c>
      <c r="E1345" s="5" t="str">
        <f aca="false">IF(C1345=0,"",IF($A1345="Bank",IF(INDEX(Bank!$C:$C,$C1345)="","",INDEX(Bank!$C:$C,$C1345)),IF(INDEX(GL!$C:$C,$C1345)="","",INDEX(GL!$C:$C,$C1345))))</f>
        <v/>
      </c>
      <c r="F1345" s="5" t="str">
        <f aca="false">IF(C1345=0,"",IF($A1345="Bank",IF(INDEX(Bank!$D:$D,$C1345)="","",INDEX(Bank!$D:$D,$C1345)),IF(INDEX(GL!$D:$D,$C1345)="","",INDEX(GL!$D:$D,$C1345))))</f>
        <v/>
      </c>
      <c r="G1345" s="19" t="str">
        <f aca="false">IF(C1345=0,"",IF($A1345="Bank",INDEX(Bank!$E:$E,$C1345),INDEX(GL!$E:$E,$C1345)))</f>
        <v/>
      </c>
      <c r="H1345" s="5" t="str">
        <f aca="false">IF(C1345=0,"",IF(A1345="GL",IF(G1345&gt;0,"Deposit in transit","Outstanding check / payment"),IF(G1345&gt;0,"Bank credit not in GL","Bank debit not in GL")))</f>
        <v/>
      </c>
      <c r="I1345" s="42" t="str">
        <f aca="false">IF(OR(C1345=0,CFG_PeriodEnd=""),"",CFG_PeriodEnd-D1345)</f>
        <v/>
      </c>
      <c r="J1345" s="5" t="str">
        <f aca="false">IF(C1345=0,"",IF($A1345="Bank",IF(INDEX(Bank!$G:$G,$C1345)="","",INDEX(Bank!$G:$G,$C1345)),IF(INDEX(GL!$G:$G,$C1345)="","",INDEX(GL!$G:$G,$C1345))))</f>
        <v/>
      </c>
      <c r="K1345" s="5" t="str">
        <f aca="false">IF(C1345=0,"",IF($A1345="Bank",IF(INDEX(Bank!$I:$I,$C1345)="","",INDEX(Bank!$I:$I,$C1345)),IF(INDEX(GL!$I:$I,$C1345)="","",INDEX(GL!$I:$I,$C1345))))</f>
        <v/>
      </c>
      <c r="L1345" s="5" t="str">
        <f aca="false">IF(B1345="","",IF(C1345=0,"NOT FOUND",IF(IF($A1345="Bank",INDEX(Bank!$F:$F,$C1345),INDEX(GL!$F:$F,$C1345))="Y","NOW RECONCILED: refresh","OK")))</f>
        <v/>
      </c>
    </row>
    <row r="1346" customFormat="false" ht="15" hidden="false" customHeight="false" outlineLevel="0" collapsed="false">
      <c r="A1346" s="41"/>
      <c r="B1346" s="41"/>
      <c r="C1346" s="5" t="n">
        <f aca="false">IF(B1346="",0,IF(A1346="Bank",IFERROR(MATCH(B1346,Bank!$A:$A,0),0),IFERROR(MATCH(B1346,GL!$A:$A,0),0)))</f>
        <v>0</v>
      </c>
      <c r="D1346" s="32" t="str">
        <f aca="false">IF(C1346=0,"",IF($A1346="Bank",INDEX(Bank!$B:$B,$C1346),INDEX(GL!$B:$B,$C1346)))</f>
        <v/>
      </c>
      <c r="E1346" s="5" t="str">
        <f aca="false">IF(C1346=0,"",IF($A1346="Bank",IF(INDEX(Bank!$C:$C,$C1346)="","",INDEX(Bank!$C:$C,$C1346)),IF(INDEX(GL!$C:$C,$C1346)="","",INDEX(GL!$C:$C,$C1346))))</f>
        <v/>
      </c>
      <c r="F1346" s="5" t="str">
        <f aca="false">IF(C1346=0,"",IF($A1346="Bank",IF(INDEX(Bank!$D:$D,$C1346)="","",INDEX(Bank!$D:$D,$C1346)),IF(INDEX(GL!$D:$D,$C1346)="","",INDEX(GL!$D:$D,$C1346))))</f>
        <v/>
      </c>
      <c r="G1346" s="19" t="str">
        <f aca="false">IF(C1346=0,"",IF($A1346="Bank",INDEX(Bank!$E:$E,$C1346),INDEX(GL!$E:$E,$C1346)))</f>
        <v/>
      </c>
      <c r="H1346" s="5" t="str">
        <f aca="false">IF(C1346=0,"",IF(A1346="GL",IF(G1346&gt;0,"Deposit in transit","Outstanding check / payment"),IF(G1346&gt;0,"Bank credit not in GL","Bank debit not in GL")))</f>
        <v/>
      </c>
      <c r="I1346" s="42" t="str">
        <f aca="false">IF(OR(C1346=0,CFG_PeriodEnd=""),"",CFG_PeriodEnd-D1346)</f>
        <v/>
      </c>
      <c r="J1346" s="5" t="str">
        <f aca="false">IF(C1346=0,"",IF($A1346="Bank",IF(INDEX(Bank!$G:$G,$C1346)="","",INDEX(Bank!$G:$G,$C1346)),IF(INDEX(GL!$G:$G,$C1346)="","",INDEX(GL!$G:$G,$C1346))))</f>
        <v/>
      </c>
      <c r="K1346" s="5" t="str">
        <f aca="false">IF(C1346=0,"",IF($A1346="Bank",IF(INDEX(Bank!$I:$I,$C1346)="","",INDEX(Bank!$I:$I,$C1346)),IF(INDEX(GL!$I:$I,$C1346)="","",INDEX(GL!$I:$I,$C1346))))</f>
        <v/>
      </c>
      <c r="L1346" s="5" t="str">
        <f aca="false">IF(B1346="","",IF(C1346=0,"NOT FOUND",IF(IF($A1346="Bank",INDEX(Bank!$F:$F,$C1346),INDEX(GL!$F:$F,$C1346))="Y","NOW RECONCILED: refresh","OK")))</f>
        <v/>
      </c>
    </row>
    <row r="1347" customFormat="false" ht="15" hidden="false" customHeight="false" outlineLevel="0" collapsed="false">
      <c r="A1347" s="41"/>
      <c r="B1347" s="41"/>
      <c r="C1347" s="5" t="n">
        <f aca="false">IF(B1347="",0,IF(A1347="Bank",IFERROR(MATCH(B1347,Bank!$A:$A,0),0),IFERROR(MATCH(B1347,GL!$A:$A,0),0)))</f>
        <v>0</v>
      </c>
      <c r="D1347" s="32" t="str">
        <f aca="false">IF(C1347=0,"",IF($A1347="Bank",INDEX(Bank!$B:$B,$C1347),INDEX(GL!$B:$B,$C1347)))</f>
        <v/>
      </c>
      <c r="E1347" s="5" t="str">
        <f aca="false">IF(C1347=0,"",IF($A1347="Bank",IF(INDEX(Bank!$C:$C,$C1347)="","",INDEX(Bank!$C:$C,$C1347)),IF(INDEX(GL!$C:$C,$C1347)="","",INDEX(GL!$C:$C,$C1347))))</f>
        <v/>
      </c>
      <c r="F1347" s="5" t="str">
        <f aca="false">IF(C1347=0,"",IF($A1347="Bank",IF(INDEX(Bank!$D:$D,$C1347)="","",INDEX(Bank!$D:$D,$C1347)),IF(INDEX(GL!$D:$D,$C1347)="","",INDEX(GL!$D:$D,$C1347))))</f>
        <v/>
      </c>
      <c r="G1347" s="19" t="str">
        <f aca="false">IF(C1347=0,"",IF($A1347="Bank",INDEX(Bank!$E:$E,$C1347),INDEX(GL!$E:$E,$C1347)))</f>
        <v/>
      </c>
      <c r="H1347" s="5" t="str">
        <f aca="false">IF(C1347=0,"",IF(A1347="GL",IF(G1347&gt;0,"Deposit in transit","Outstanding check / payment"),IF(G1347&gt;0,"Bank credit not in GL","Bank debit not in GL")))</f>
        <v/>
      </c>
      <c r="I1347" s="42" t="str">
        <f aca="false">IF(OR(C1347=0,CFG_PeriodEnd=""),"",CFG_PeriodEnd-D1347)</f>
        <v/>
      </c>
      <c r="J1347" s="5" t="str">
        <f aca="false">IF(C1347=0,"",IF($A1347="Bank",IF(INDEX(Bank!$G:$G,$C1347)="","",INDEX(Bank!$G:$G,$C1347)),IF(INDEX(GL!$G:$G,$C1347)="","",INDEX(GL!$G:$G,$C1347))))</f>
        <v/>
      </c>
      <c r="K1347" s="5" t="str">
        <f aca="false">IF(C1347=0,"",IF($A1347="Bank",IF(INDEX(Bank!$I:$I,$C1347)="","",INDEX(Bank!$I:$I,$C1347)),IF(INDEX(GL!$I:$I,$C1347)="","",INDEX(GL!$I:$I,$C1347))))</f>
        <v/>
      </c>
      <c r="L1347" s="5" t="str">
        <f aca="false">IF(B1347="","",IF(C1347=0,"NOT FOUND",IF(IF($A1347="Bank",INDEX(Bank!$F:$F,$C1347),INDEX(GL!$F:$F,$C1347))="Y","NOW RECONCILED: refresh","OK")))</f>
        <v/>
      </c>
    </row>
    <row r="1348" customFormat="false" ht="15" hidden="false" customHeight="false" outlineLevel="0" collapsed="false">
      <c r="A1348" s="41"/>
      <c r="B1348" s="41"/>
      <c r="C1348" s="5" t="n">
        <f aca="false">IF(B1348="",0,IF(A1348="Bank",IFERROR(MATCH(B1348,Bank!$A:$A,0),0),IFERROR(MATCH(B1348,GL!$A:$A,0),0)))</f>
        <v>0</v>
      </c>
      <c r="D1348" s="32" t="str">
        <f aca="false">IF(C1348=0,"",IF($A1348="Bank",INDEX(Bank!$B:$B,$C1348),INDEX(GL!$B:$B,$C1348)))</f>
        <v/>
      </c>
      <c r="E1348" s="5" t="str">
        <f aca="false">IF(C1348=0,"",IF($A1348="Bank",IF(INDEX(Bank!$C:$C,$C1348)="","",INDEX(Bank!$C:$C,$C1348)),IF(INDEX(GL!$C:$C,$C1348)="","",INDEX(GL!$C:$C,$C1348))))</f>
        <v/>
      </c>
      <c r="F1348" s="5" t="str">
        <f aca="false">IF(C1348=0,"",IF($A1348="Bank",IF(INDEX(Bank!$D:$D,$C1348)="","",INDEX(Bank!$D:$D,$C1348)),IF(INDEX(GL!$D:$D,$C1348)="","",INDEX(GL!$D:$D,$C1348))))</f>
        <v/>
      </c>
      <c r="G1348" s="19" t="str">
        <f aca="false">IF(C1348=0,"",IF($A1348="Bank",INDEX(Bank!$E:$E,$C1348),INDEX(GL!$E:$E,$C1348)))</f>
        <v/>
      </c>
      <c r="H1348" s="5" t="str">
        <f aca="false">IF(C1348=0,"",IF(A1348="GL",IF(G1348&gt;0,"Deposit in transit","Outstanding check / payment"),IF(G1348&gt;0,"Bank credit not in GL","Bank debit not in GL")))</f>
        <v/>
      </c>
      <c r="I1348" s="42" t="str">
        <f aca="false">IF(OR(C1348=0,CFG_PeriodEnd=""),"",CFG_PeriodEnd-D1348)</f>
        <v/>
      </c>
      <c r="J1348" s="5" t="str">
        <f aca="false">IF(C1348=0,"",IF($A1348="Bank",IF(INDEX(Bank!$G:$G,$C1348)="","",INDEX(Bank!$G:$G,$C1348)),IF(INDEX(GL!$G:$G,$C1348)="","",INDEX(GL!$G:$G,$C1348))))</f>
        <v/>
      </c>
      <c r="K1348" s="5" t="str">
        <f aca="false">IF(C1348=0,"",IF($A1348="Bank",IF(INDEX(Bank!$I:$I,$C1348)="","",INDEX(Bank!$I:$I,$C1348)),IF(INDEX(GL!$I:$I,$C1348)="","",INDEX(GL!$I:$I,$C1348))))</f>
        <v/>
      </c>
      <c r="L1348" s="5" t="str">
        <f aca="false">IF(B1348="","",IF(C1348=0,"NOT FOUND",IF(IF($A1348="Bank",INDEX(Bank!$F:$F,$C1348),INDEX(GL!$F:$F,$C1348))="Y","NOW RECONCILED: refresh","OK")))</f>
        <v/>
      </c>
    </row>
    <row r="1349" customFormat="false" ht="15" hidden="false" customHeight="false" outlineLevel="0" collapsed="false">
      <c r="A1349" s="41"/>
      <c r="B1349" s="41"/>
      <c r="C1349" s="5" t="n">
        <f aca="false">IF(B1349="",0,IF(A1349="Bank",IFERROR(MATCH(B1349,Bank!$A:$A,0),0),IFERROR(MATCH(B1349,GL!$A:$A,0),0)))</f>
        <v>0</v>
      </c>
      <c r="D1349" s="32" t="str">
        <f aca="false">IF(C1349=0,"",IF($A1349="Bank",INDEX(Bank!$B:$B,$C1349),INDEX(GL!$B:$B,$C1349)))</f>
        <v/>
      </c>
      <c r="E1349" s="5" t="str">
        <f aca="false">IF(C1349=0,"",IF($A1349="Bank",IF(INDEX(Bank!$C:$C,$C1349)="","",INDEX(Bank!$C:$C,$C1349)),IF(INDEX(GL!$C:$C,$C1349)="","",INDEX(GL!$C:$C,$C1349))))</f>
        <v/>
      </c>
      <c r="F1349" s="5" t="str">
        <f aca="false">IF(C1349=0,"",IF($A1349="Bank",IF(INDEX(Bank!$D:$D,$C1349)="","",INDEX(Bank!$D:$D,$C1349)),IF(INDEX(GL!$D:$D,$C1349)="","",INDEX(GL!$D:$D,$C1349))))</f>
        <v/>
      </c>
      <c r="G1349" s="19" t="str">
        <f aca="false">IF(C1349=0,"",IF($A1349="Bank",INDEX(Bank!$E:$E,$C1349),INDEX(GL!$E:$E,$C1349)))</f>
        <v/>
      </c>
      <c r="H1349" s="5" t="str">
        <f aca="false">IF(C1349=0,"",IF(A1349="GL",IF(G1349&gt;0,"Deposit in transit","Outstanding check / payment"),IF(G1349&gt;0,"Bank credit not in GL","Bank debit not in GL")))</f>
        <v/>
      </c>
      <c r="I1349" s="42" t="str">
        <f aca="false">IF(OR(C1349=0,CFG_PeriodEnd=""),"",CFG_PeriodEnd-D1349)</f>
        <v/>
      </c>
      <c r="J1349" s="5" t="str">
        <f aca="false">IF(C1349=0,"",IF($A1349="Bank",IF(INDEX(Bank!$G:$G,$C1349)="","",INDEX(Bank!$G:$G,$C1349)),IF(INDEX(GL!$G:$G,$C1349)="","",INDEX(GL!$G:$G,$C1349))))</f>
        <v/>
      </c>
      <c r="K1349" s="5" t="str">
        <f aca="false">IF(C1349=0,"",IF($A1349="Bank",IF(INDEX(Bank!$I:$I,$C1349)="","",INDEX(Bank!$I:$I,$C1349)),IF(INDEX(GL!$I:$I,$C1349)="","",INDEX(GL!$I:$I,$C1349))))</f>
        <v/>
      </c>
      <c r="L1349" s="5" t="str">
        <f aca="false">IF(B1349="","",IF(C1349=0,"NOT FOUND",IF(IF($A1349="Bank",INDEX(Bank!$F:$F,$C1349),INDEX(GL!$F:$F,$C1349))="Y","NOW RECONCILED: refresh","OK")))</f>
        <v/>
      </c>
    </row>
    <row r="1350" customFormat="false" ht="15" hidden="false" customHeight="false" outlineLevel="0" collapsed="false">
      <c r="A1350" s="41"/>
      <c r="B1350" s="41"/>
      <c r="C1350" s="5" t="n">
        <f aca="false">IF(B1350="",0,IF(A1350="Bank",IFERROR(MATCH(B1350,Bank!$A:$A,0),0),IFERROR(MATCH(B1350,GL!$A:$A,0),0)))</f>
        <v>0</v>
      </c>
      <c r="D1350" s="32" t="str">
        <f aca="false">IF(C1350=0,"",IF($A1350="Bank",INDEX(Bank!$B:$B,$C1350),INDEX(GL!$B:$B,$C1350)))</f>
        <v/>
      </c>
      <c r="E1350" s="5" t="str">
        <f aca="false">IF(C1350=0,"",IF($A1350="Bank",IF(INDEX(Bank!$C:$C,$C1350)="","",INDEX(Bank!$C:$C,$C1350)),IF(INDEX(GL!$C:$C,$C1350)="","",INDEX(GL!$C:$C,$C1350))))</f>
        <v/>
      </c>
      <c r="F1350" s="5" t="str">
        <f aca="false">IF(C1350=0,"",IF($A1350="Bank",IF(INDEX(Bank!$D:$D,$C1350)="","",INDEX(Bank!$D:$D,$C1350)),IF(INDEX(GL!$D:$D,$C1350)="","",INDEX(GL!$D:$D,$C1350))))</f>
        <v/>
      </c>
      <c r="G1350" s="19" t="str">
        <f aca="false">IF(C1350=0,"",IF($A1350="Bank",INDEX(Bank!$E:$E,$C1350),INDEX(GL!$E:$E,$C1350)))</f>
        <v/>
      </c>
      <c r="H1350" s="5" t="str">
        <f aca="false">IF(C1350=0,"",IF(A1350="GL",IF(G1350&gt;0,"Deposit in transit","Outstanding check / payment"),IF(G1350&gt;0,"Bank credit not in GL","Bank debit not in GL")))</f>
        <v/>
      </c>
      <c r="I1350" s="42" t="str">
        <f aca="false">IF(OR(C1350=0,CFG_PeriodEnd=""),"",CFG_PeriodEnd-D1350)</f>
        <v/>
      </c>
      <c r="J1350" s="5" t="str">
        <f aca="false">IF(C1350=0,"",IF($A1350="Bank",IF(INDEX(Bank!$G:$G,$C1350)="","",INDEX(Bank!$G:$G,$C1350)),IF(INDEX(GL!$G:$G,$C1350)="","",INDEX(GL!$G:$G,$C1350))))</f>
        <v/>
      </c>
      <c r="K1350" s="5" t="str">
        <f aca="false">IF(C1350=0,"",IF($A1350="Bank",IF(INDEX(Bank!$I:$I,$C1350)="","",INDEX(Bank!$I:$I,$C1350)),IF(INDEX(GL!$I:$I,$C1350)="","",INDEX(GL!$I:$I,$C1350))))</f>
        <v/>
      </c>
      <c r="L1350" s="5" t="str">
        <f aca="false">IF(B1350="","",IF(C1350=0,"NOT FOUND",IF(IF($A1350="Bank",INDEX(Bank!$F:$F,$C1350),INDEX(GL!$F:$F,$C1350))="Y","NOW RECONCILED: refresh","OK")))</f>
        <v/>
      </c>
    </row>
    <row r="1351" customFormat="false" ht="15" hidden="false" customHeight="false" outlineLevel="0" collapsed="false">
      <c r="A1351" s="41"/>
      <c r="B1351" s="41"/>
      <c r="C1351" s="5" t="n">
        <f aca="false">IF(B1351="",0,IF(A1351="Bank",IFERROR(MATCH(B1351,Bank!$A:$A,0),0),IFERROR(MATCH(B1351,GL!$A:$A,0),0)))</f>
        <v>0</v>
      </c>
      <c r="D1351" s="32" t="str">
        <f aca="false">IF(C1351=0,"",IF($A1351="Bank",INDEX(Bank!$B:$B,$C1351),INDEX(GL!$B:$B,$C1351)))</f>
        <v/>
      </c>
      <c r="E1351" s="5" t="str">
        <f aca="false">IF(C1351=0,"",IF($A1351="Bank",IF(INDEX(Bank!$C:$C,$C1351)="","",INDEX(Bank!$C:$C,$C1351)),IF(INDEX(GL!$C:$C,$C1351)="","",INDEX(GL!$C:$C,$C1351))))</f>
        <v/>
      </c>
      <c r="F1351" s="5" t="str">
        <f aca="false">IF(C1351=0,"",IF($A1351="Bank",IF(INDEX(Bank!$D:$D,$C1351)="","",INDEX(Bank!$D:$D,$C1351)),IF(INDEX(GL!$D:$D,$C1351)="","",INDEX(GL!$D:$D,$C1351))))</f>
        <v/>
      </c>
      <c r="G1351" s="19" t="str">
        <f aca="false">IF(C1351=0,"",IF($A1351="Bank",INDEX(Bank!$E:$E,$C1351),INDEX(GL!$E:$E,$C1351)))</f>
        <v/>
      </c>
      <c r="H1351" s="5" t="str">
        <f aca="false">IF(C1351=0,"",IF(A1351="GL",IF(G1351&gt;0,"Deposit in transit","Outstanding check / payment"),IF(G1351&gt;0,"Bank credit not in GL","Bank debit not in GL")))</f>
        <v/>
      </c>
      <c r="I1351" s="42" t="str">
        <f aca="false">IF(OR(C1351=0,CFG_PeriodEnd=""),"",CFG_PeriodEnd-D1351)</f>
        <v/>
      </c>
      <c r="J1351" s="5" t="str">
        <f aca="false">IF(C1351=0,"",IF($A1351="Bank",IF(INDEX(Bank!$G:$G,$C1351)="","",INDEX(Bank!$G:$G,$C1351)),IF(INDEX(GL!$G:$G,$C1351)="","",INDEX(GL!$G:$G,$C1351))))</f>
        <v/>
      </c>
      <c r="K1351" s="5" t="str">
        <f aca="false">IF(C1351=0,"",IF($A1351="Bank",IF(INDEX(Bank!$I:$I,$C1351)="","",INDEX(Bank!$I:$I,$C1351)),IF(INDEX(GL!$I:$I,$C1351)="","",INDEX(GL!$I:$I,$C1351))))</f>
        <v/>
      </c>
      <c r="L1351" s="5" t="str">
        <f aca="false">IF(B1351="","",IF(C1351=0,"NOT FOUND",IF(IF($A1351="Bank",INDEX(Bank!$F:$F,$C1351),INDEX(GL!$F:$F,$C1351))="Y","NOW RECONCILED: refresh","OK")))</f>
        <v/>
      </c>
    </row>
    <row r="1352" customFormat="false" ht="15" hidden="false" customHeight="false" outlineLevel="0" collapsed="false">
      <c r="A1352" s="41"/>
      <c r="B1352" s="41"/>
      <c r="C1352" s="5" t="n">
        <f aca="false">IF(B1352="",0,IF(A1352="Bank",IFERROR(MATCH(B1352,Bank!$A:$A,0),0),IFERROR(MATCH(B1352,GL!$A:$A,0),0)))</f>
        <v>0</v>
      </c>
      <c r="D1352" s="32" t="str">
        <f aca="false">IF(C1352=0,"",IF($A1352="Bank",INDEX(Bank!$B:$B,$C1352),INDEX(GL!$B:$B,$C1352)))</f>
        <v/>
      </c>
      <c r="E1352" s="5" t="str">
        <f aca="false">IF(C1352=0,"",IF($A1352="Bank",IF(INDEX(Bank!$C:$C,$C1352)="","",INDEX(Bank!$C:$C,$C1352)),IF(INDEX(GL!$C:$C,$C1352)="","",INDEX(GL!$C:$C,$C1352))))</f>
        <v/>
      </c>
      <c r="F1352" s="5" t="str">
        <f aca="false">IF(C1352=0,"",IF($A1352="Bank",IF(INDEX(Bank!$D:$D,$C1352)="","",INDEX(Bank!$D:$D,$C1352)),IF(INDEX(GL!$D:$D,$C1352)="","",INDEX(GL!$D:$D,$C1352))))</f>
        <v/>
      </c>
      <c r="G1352" s="19" t="str">
        <f aca="false">IF(C1352=0,"",IF($A1352="Bank",INDEX(Bank!$E:$E,$C1352),INDEX(GL!$E:$E,$C1352)))</f>
        <v/>
      </c>
      <c r="H1352" s="5" t="str">
        <f aca="false">IF(C1352=0,"",IF(A1352="GL",IF(G1352&gt;0,"Deposit in transit","Outstanding check / payment"),IF(G1352&gt;0,"Bank credit not in GL","Bank debit not in GL")))</f>
        <v/>
      </c>
      <c r="I1352" s="42" t="str">
        <f aca="false">IF(OR(C1352=0,CFG_PeriodEnd=""),"",CFG_PeriodEnd-D1352)</f>
        <v/>
      </c>
      <c r="J1352" s="5" t="str">
        <f aca="false">IF(C1352=0,"",IF($A1352="Bank",IF(INDEX(Bank!$G:$G,$C1352)="","",INDEX(Bank!$G:$G,$C1352)),IF(INDEX(GL!$G:$G,$C1352)="","",INDEX(GL!$G:$G,$C1352))))</f>
        <v/>
      </c>
      <c r="K1352" s="5" t="str">
        <f aca="false">IF(C1352=0,"",IF($A1352="Bank",IF(INDEX(Bank!$I:$I,$C1352)="","",INDEX(Bank!$I:$I,$C1352)),IF(INDEX(GL!$I:$I,$C1352)="","",INDEX(GL!$I:$I,$C1352))))</f>
        <v/>
      </c>
      <c r="L1352" s="5" t="str">
        <f aca="false">IF(B1352="","",IF(C1352=0,"NOT FOUND",IF(IF($A1352="Bank",INDEX(Bank!$F:$F,$C1352),INDEX(GL!$F:$F,$C1352))="Y","NOW RECONCILED: refresh","OK")))</f>
        <v/>
      </c>
    </row>
    <row r="1353" customFormat="false" ht="15" hidden="false" customHeight="false" outlineLevel="0" collapsed="false">
      <c r="A1353" s="41"/>
      <c r="B1353" s="41"/>
      <c r="C1353" s="5" t="n">
        <f aca="false">IF(B1353="",0,IF(A1353="Bank",IFERROR(MATCH(B1353,Bank!$A:$A,0),0),IFERROR(MATCH(B1353,GL!$A:$A,0),0)))</f>
        <v>0</v>
      </c>
      <c r="D1353" s="32" t="str">
        <f aca="false">IF(C1353=0,"",IF($A1353="Bank",INDEX(Bank!$B:$B,$C1353),INDEX(GL!$B:$B,$C1353)))</f>
        <v/>
      </c>
      <c r="E1353" s="5" t="str">
        <f aca="false">IF(C1353=0,"",IF($A1353="Bank",IF(INDEX(Bank!$C:$C,$C1353)="","",INDEX(Bank!$C:$C,$C1353)),IF(INDEX(GL!$C:$C,$C1353)="","",INDEX(GL!$C:$C,$C1353))))</f>
        <v/>
      </c>
      <c r="F1353" s="5" t="str">
        <f aca="false">IF(C1353=0,"",IF($A1353="Bank",IF(INDEX(Bank!$D:$D,$C1353)="","",INDEX(Bank!$D:$D,$C1353)),IF(INDEX(GL!$D:$D,$C1353)="","",INDEX(GL!$D:$D,$C1353))))</f>
        <v/>
      </c>
      <c r="G1353" s="19" t="str">
        <f aca="false">IF(C1353=0,"",IF($A1353="Bank",INDEX(Bank!$E:$E,$C1353),INDEX(GL!$E:$E,$C1353)))</f>
        <v/>
      </c>
      <c r="H1353" s="5" t="str">
        <f aca="false">IF(C1353=0,"",IF(A1353="GL",IF(G1353&gt;0,"Deposit in transit","Outstanding check / payment"),IF(G1353&gt;0,"Bank credit not in GL","Bank debit not in GL")))</f>
        <v/>
      </c>
      <c r="I1353" s="42" t="str">
        <f aca="false">IF(OR(C1353=0,CFG_PeriodEnd=""),"",CFG_PeriodEnd-D1353)</f>
        <v/>
      </c>
      <c r="J1353" s="5" t="str">
        <f aca="false">IF(C1353=0,"",IF($A1353="Bank",IF(INDEX(Bank!$G:$G,$C1353)="","",INDEX(Bank!$G:$G,$C1353)),IF(INDEX(GL!$G:$G,$C1353)="","",INDEX(GL!$G:$G,$C1353))))</f>
        <v/>
      </c>
      <c r="K1353" s="5" t="str">
        <f aca="false">IF(C1353=0,"",IF($A1353="Bank",IF(INDEX(Bank!$I:$I,$C1353)="","",INDEX(Bank!$I:$I,$C1353)),IF(INDEX(GL!$I:$I,$C1353)="","",INDEX(GL!$I:$I,$C1353))))</f>
        <v/>
      </c>
      <c r="L1353" s="5" t="str">
        <f aca="false">IF(B1353="","",IF(C1353=0,"NOT FOUND",IF(IF($A1353="Bank",INDEX(Bank!$F:$F,$C1353),INDEX(GL!$F:$F,$C1353))="Y","NOW RECONCILED: refresh","OK")))</f>
        <v/>
      </c>
    </row>
    <row r="1354" customFormat="false" ht="15" hidden="false" customHeight="false" outlineLevel="0" collapsed="false">
      <c r="A1354" s="41"/>
      <c r="B1354" s="41"/>
      <c r="C1354" s="5" t="n">
        <f aca="false">IF(B1354="",0,IF(A1354="Bank",IFERROR(MATCH(B1354,Bank!$A:$A,0),0),IFERROR(MATCH(B1354,GL!$A:$A,0),0)))</f>
        <v>0</v>
      </c>
      <c r="D1354" s="32" t="str">
        <f aca="false">IF(C1354=0,"",IF($A1354="Bank",INDEX(Bank!$B:$B,$C1354),INDEX(GL!$B:$B,$C1354)))</f>
        <v/>
      </c>
      <c r="E1354" s="5" t="str">
        <f aca="false">IF(C1354=0,"",IF($A1354="Bank",IF(INDEX(Bank!$C:$C,$C1354)="","",INDEX(Bank!$C:$C,$C1354)),IF(INDEX(GL!$C:$C,$C1354)="","",INDEX(GL!$C:$C,$C1354))))</f>
        <v/>
      </c>
      <c r="F1354" s="5" t="str">
        <f aca="false">IF(C1354=0,"",IF($A1354="Bank",IF(INDEX(Bank!$D:$D,$C1354)="","",INDEX(Bank!$D:$D,$C1354)),IF(INDEX(GL!$D:$D,$C1354)="","",INDEX(GL!$D:$D,$C1354))))</f>
        <v/>
      </c>
      <c r="G1354" s="19" t="str">
        <f aca="false">IF(C1354=0,"",IF($A1354="Bank",INDEX(Bank!$E:$E,$C1354),INDEX(GL!$E:$E,$C1354)))</f>
        <v/>
      </c>
      <c r="H1354" s="5" t="str">
        <f aca="false">IF(C1354=0,"",IF(A1354="GL",IF(G1354&gt;0,"Deposit in transit","Outstanding check / payment"),IF(G1354&gt;0,"Bank credit not in GL","Bank debit not in GL")))</f>
        <v/>
      </c>
      <c r="I1354" s="42" t="str">
        <f aca="false">IF(OR(C1354=0,CFG_PeriodEnd=""),"",CFG_PeriodEnd-D1354)</f>
        <v/>
      </c>
      <c r="J1354" s="5" t="str">
        <f aca="false">IF(C1354=0,"",IF($A1354="Bank",IF(INDEX(Bank!$G:$G,$C1354)="","",INDEX(Bank!$G:$G,$C1354)),IF(INDEX(GL!$G:$G,$C1354)="","",INDEX(GL!$G:$G,$C1354))))</f>
        <v/>
      </c>
      <c r="K1354" s="5" t="str">
        <f aca="false">IF(C1354=0,"",IF($A1354="Bank",IF(INDEX(Bank!$I:$I,$C1354)="","",INDEX(Bank!$I:$I,$C1354)),IF(INDEX(GL!$I:$I,$C1354)="","",INDEX(GL!$I:$I,$C1354))))</f>
        <v/>
      </c>
      <c r="L1354" s="5" t="str">
        <f aca="false">IF(B1354="","",IF(C1354=0,"NOT FOUND",IF(IF($A1354="Bank",INDEX(Bank!$F:$F,$C1354),INDEX(GL!$F:$F,$C1354))="Y","NOW RECONCILED: refresh","OK")))</f>
        <v/>
      </c>
    </row>
    <row r="1355" customFormat="false" ht="15" hidden="false" customHeight="false" outlineLevel="0" collapsed="false">
      <c r="A1355" s="41"/>
      <c r="B1355" s="41"/>
      <c r="C1355" s="5" t="n">
        <f aca="false">IF(B1355="",0,IF(A1355="Bank",IFERROR(MATCH(B1355,Bank!$A:$A,0),0),IFERROR(MATCH(B1355,GL!$A:$A,0),0)))</f>
        <v>0</v>
      </c>
      <c r="D1355" s="32" t="str">
        <f aca="false">IF(C1355=0,"",IF($A1355="Bank",INDEX(Bank!$B:$B,$C1355),INDEX(GL!$B:$B,$C1355)))</f>
        <v/>
      </c>
      <c r="E1355" s="5" t="str">
        <f aca="false">IF(C1355=0,"",IF($A1355="Bank",IF(INDEX(Bank!$C:$C,$C1355)="","",INDEX(Bank!$C:$C,$C1355)),IF(INDEX(GL!$C:$C,$C1355)="","",INDEX(GL!$C:$C,$C1355))))</f>
        <v/>
      </c>
      <c r="F1355" s="5" t="str">
        <f aca="false">IF(C1355=0,"",IF($A1355="Bank",IF(INDEX(Bank!$D:$D,$C1355)="","",INDEX(Bank!$D:$D,$C1355)),IF(INDEX(GL!$D:$D,$C1355)="","",INDEX(GL!$D:$D,$C1355))))</f>
        <v/>
      </c>
      <c r="G1355" s="19" t="str">
        <f aca="false">IF(C1355=0,"",IF($A1355="Bank",INDEX(Bank!$E:$E,$C1355),INDEX(GL!$E:$E,$C1355)))</f>
        <v/>
      </c>
      <c r="H1355" s="5" t="str">
        <f aca="false">IF(C1355=0,"",IF(A1355="GL",IF(G1355&gt;0,"Deposit in transit","Outstanding check / payment"),IF(G1355&gt;0,"Bank credit not in GL","Bank debit not in GL")))</f>
        <v/>
      </c>
      <c r="I1355" s="42" t="str">
        <f aca="false">IF(OR(C1355=0,CFG_PeriodEnd=""),"",CFG_PeriodEnd-D1355)</f>
        <v/>
      </c>
      <c r="J1355" s="5" t="str">
        <f aca="false">IF(C1355=0,"",IF($A1355="Bank",IF(INDEX(Bank!$G:$G,$C1355)="","",INDEX(Bank!$G:$G,$C1355)),IF(INDEX(GL!$G:$G,$C1355)="","",INDEX(GL!$G:$G,$C1355))))</f>
        <v/>
      </c>
      <c r="K1355" s="5" t="str">
        <f aca="false">IF(C1355=0,"",IF($A1355="Bank",IF(INDEX(Bank!$I:$I,$C1355)="","",INDEX(Bank!$I:$I,$C1355)),IF(INDEX(GL!$I:$I,$C1355)="","",INDEX(GL!$I:$I,$C1355))))</f>
        <v/>
      </c>
      <c r="L1355" s="5" t="str">
        <f aca="false">IF(B1355="","",IF(C1355=0,"NOT FOUND",IF(IF($A1355="Bank",INDEX(Bank!$F:$F,$C1355),INDEX(GL!$F:$F,$C1355))="Y","NOW RECONCILED: refresh","OK")))</f>
        <v/>
      </c>
    </row>
    <row r="1356" customFormat="false" ht="15" hidden="false" customHeight="false" outlineLevel="0" collapsed="false">
      <c r="A1356" s="41"/>
      <c r="B1356" s="41"/>
      <c r="C1356" s="5" t="n">
        <f aca="false">IF(B1356="",0,IF(A1356="Bank",IFERROR(MATCH(B1356,Bank!$A:$A,0),0),IFERROR(MATCH(B1356,GL!$A:$A,0),0)))</f>
        <v>0</v>
      </c>
      <c r="D1356" s="32" t="str">
        <f aca="false">IF(C1356=0,"",IF($A1356="Bank",INDEX(Bank!$B:$B,$C1356),INDEX(GL!$B:$B,$C1356)))</f>
        <v/>
      </c>
      <c r="E1356" s="5" t="str">
        <f aca="false">IF(C1356=0,"",IF($A1356="Bank",IF(INDEX(Bank!$C:$C,$C1356)="","",INDEX(Bank!$C:$C,$C1356)),IF(INDEX(GL!$C:$C,$C1356)="","",INDEX(GL!$C:$C,$C1356))))</f>
        <v/>
      </c>
      <c r="F1356" s="5" t="str">
        <f aca="false">IF(C1356=0,"",IF($A1356="Bank",IF(INDEX(Bank!$D:$D,$C1356)="","",INDEX(Bank!$D:$D,$C1356)),IF(INDEX(GL!$D:$D,$C1356)="","",INDEX(GL!$D:$D,$C1356))))</f>
        <v/>
      </c>
      <c r="G1356" s="19" t="str">
        <f aca="false">IF(C1356=0,"",IF($A1356="Bank",INDEX(Bank!$E:$E,$C1356),INDEX(GL!$E:$E,$C1356)))</f>
        <v/>
      </c>
      <c r="H1356" s="5" t="str">
        <f aca="false">IF(C1356=0,"",IF(A1356="GL",IF(G1356&gt;0,"Deposit in transit","Outstanding check / payment"),IF(G1356&gt;0,"Bank credit not in GL","Bank debit not in GL")))</f>
        <v/>
      </c>
      <c r="I1356" s="42" t="str">
        <f aca="false">IF(OR(C1356=0,CFG_PeriodEnd=""),"",CFG_PeriodEnd-D1356)</f>
        <v/>
      </c>
      <c r="J1356" s="5" t="str">
        <f aca="false">IF(C1356=0,"",IF($A1356="Bank",IF(INDEX(Bank!$G:$G,$C1356)="","",INDEX(Bank!$G:$G,$C1356)),IF(INDEX(GL!$G:$G,$C1356)="","",INDEX(GL!$G:$G,$C1356))))</f>
        <v/>
      </c>
      <c r="K1356" s="5" t="str">
        <f aca="false">IF(C1356=0,"",IF($A1356="Bank",IF(INDEX(Bank!$I:$I,$C1356)="","",INDEX(Bank!$I:$I,$C1356)),IF(INDEX(GL!$I:$I,$C1356)="","",INDEX(GL!$I:$I,$C1356))))</f>
        <v/>
      </c>
      <c r="L1356" s="5" t="str">
        <f aca="false">IF(B1356="","",IF(C1356=0,"NOT FOUND",IF(IF($A1356="Bank",INDEX(Bank!$F:$F,$C1356),INDEX(GL!$F:$F,$C1356))="Y","NOW RECONCILED: refresh","OK")))</f>
        <v/>
      </c>
    </row>
    <row r="1357" customFormat="false" ht="15" hidden="false" customHeight="false" outlineLevel="0" collapsed="false">
      <c r="A1357" s="41"/>
      <c r="B1357" s="41"/>
      <c r="C1357" s="5" t="n">
        <f aca="false">IF(B1357="",0,IF(A1357="Bank",IFERROR(MATCH(B1357,Bank!$A:$A,0),0),IFERROR(MATCH(B1357,GL!$A:$A,0),0)))</f>
        <v>0</v>
      </c>
      <c r="D1357" s="32" t="str">
        <f aca="false">IF(C1357=0,"",IF($A1357="Bank",INDEX(Bank!$B:$B,$C1357),INDEX(GL!$B:$B,$C1357)))</f>
        <v/>
      </c>
      <c r="E1357" s="5" t="str">
        <f aca="false">IF(C1357=0,"",IF($A1357="Bank",IF(INDEX(Bank!$C:$C,$C1357)="","",INDEX(Bank!$C:$C,$C1357)),IF(INDEX(GL!$C:$C,$C1357)="","",INDEX(GL!$C:$C,$C1357))))</f>
        <v/>
      </c>
      <c r="F1357" s="5" t="str">
        <f aca="false">IF(C1357=0,"",IF($A1357="Bank",IF(INDEX(Bank!$D:$D,$C1357)="","",INDEX(Bank!$D:$D,$C1357)),IF(INDEX(GL!$D:$D,$C1357)="","",INDEX(GL!$D:$D,$C1357))))</f>
        <v/>
      </c>
      <c r="G1357" s="19" t="str">
        <f aca="false">IF(C1357=0,"",IF($A1357="Bank",INDEX(Bank!$E:$E,$C1357),INDEX(GL!$E:$E,$C1357)))</f>
        <v/>
      </c>
      <c r="H1357" s="5" t="str">
        <f aca="false">IF(C1357=0,"",IF(A1357="GL",IF(G1357&gt;0,"Deposit in transit","Outstanding check / payment"),IF(G1357&gt;0,"Bank credit not in GL","Bank debit not in GL")))</f>
        <v/>
      </c>
      <c r="I1357" s="42" t="str">
        <f aca="false">IF(OR(C1357=0,CFG_PeriodEnd=""),"",CFG_PeriodEnd-D1357)</f>
        <v/>
      </c>
      <c r="J1357" s="5" t="str">
        <f aca="false">IF(C1357=0,"",IF($A1357="Bank",IF(INDEX(Bank!$G:$G,$C1357)="","",INDEX(Bank!$G:$G,$C1357)),IF(INDEX(GL!$G:$G,$C1357)="","",INDEX(GL!$G:$G,$C1357))))</f>
        <v/>
      </c>
      <c r="K1357" s="5" t="str">
        <f aca="false">IF(C1357=0,"",IF($A1357="Bank",IF(INDEX(Bank!$I:$I,$C1357)="","",INDEX(Bank!$I:$I,$C1357)),IF(INDEX(GL!$I:$I,$C1357)="","",INDEX(GL!$I:$I,$C1357))))</f>
        <v/>
      </c>
      <c r="L1357" s="5" t="str">
        <f aca="false">IF(B1357="","",IF(C1357=0,"NOT FOUND",IF(IF($A1357="Bank",INDEX(Bank!$F:$F,$C1357),INDEX(GL!$F:$F,$C1357))="Y","NOW RECONCILED: refresh","OK")))</f>
        <v/>
      </c>
    </row>
    <row r="1358" customFormat="false" ht="15" hidden="false" customHeight="false" outlineLevel="0" collapsed="false">
      <c r="A1358" s="41"/>
      <c r="B1358" s="41"/>
      <c r="C1358" s="5" t="n">
        <f aca="false">IF(B1358="",0,IF(A1358="Bank",IFERROR(MATCH(B1358,Bank!$A:$A,0),0),IFERROR(MATCH(B1358,GL!$A:$A,0),0)))</f>
        <v>0</v>
      </c>
      <c r="D1358" s="32" t="str">
        <f aca="false">IF(C1358=0,"",IF($A1358="Bank",INDEX(Bank!$B:$B,$C1358),INDEX(GL!$B:$B,$C1358)))</f>
        <v/>
      </c>
      <c r="E1358" s="5" t="str">
        <f aca="false">IF(C1358=0,"",IF($A1358="Bank",IF(INDEX(Bank!$C:$C,$C1358)="","",INDEX(Bank!$C:$C,$C1358)),IF(INDEX(GL!$C:$C,$C1358)="","",INDEX(GL!$C:$C,$C1358))))</f>
        <v/>
      </c>
      <c r="F1358" s="5" t="str">
        <f aca="false">IF(C1358=0,"",IF($A1358="Bank",IF(INDEX(Bank!$D:$D,$C1358)="","",INDEX(Bank!$D:$D,$C1358)),IF(INDEX(GL!$D:$D,$C1358)="","",INDEX(GL!$D:$D,$C1358))))</f>
        <v/>
      </c>
      <c r="G1358" s="19" t="str">
        <f aca="false">IF(C1358=0,"",IF($A1358="Bank",INDEX(Bank!$E:$E,$C1358),INDEX(GL!$E:$E,$C1358)))</f>
        <v/>
      </c>
      <c r="H1358" s="5" t="str">
        <f aca="false">IF(C1358=0,"",IF(A1358="GL",IF(G1358&gt;0,"Deposit in transit","Outstanding check / payment"),IF(G1358&gt;0,"Bank credit not in GL","Bank debit not in GL")))</f>
        <v/>
      </c>
      <c r="I1358" s="42" t="str">
        <f aca="false">IF(OR(C1358=0,CFG_PeriodEnd=""),"",CFG_PeriodEnd-D1358)</f>
        <v/>
      </c>
      <c r="J1358" s="5" t="str">
        <f aca="false">IF(C1358=0,"",IF($A1358="Bank",IF(INDEX(Bank!$G:$G,$C1358)="","",INDEX(Bank!$G:$G,$C1358)),IF(INDEX(GL!$G:$G,$C1358)="","",INDEX(GL!$G:$G,$C1358))))</f>
        <v/>
      </c>
      <c r="K1358" s="5" t="str">
        <f aca="false">IF(C1358=0,"",IF($A1358="Bank",IF(INDEX(Bank!$I:$I,$C1358)="","",INDEX(Bank!$I:$I,$C1358)),IF(INDEX(GL!$I:$I,$C1358)="","",INDEX(GL!$I:$I,$C1358))))</f>
        <v/>
      </c>
      <c r="L1358" s="5" t="str">
        <f aca="false">IF(B1358="","",IF(C1358=0,"NOT FOUND",IF(IF($A1358="Bank",INDEX(Bank!$F:$F,$C1358),INDEX(GL!$F:$F,$C1358))="Y","NOW RECONCILED: refresh","OK")))</f>
        <v/>
      </c>
    </row>
    <row r="1359" customFormat="false" ht="15" hidden="false" customHeight="false" outlineLevel="0" collapsed="false">
      <c r="A1359" s="41"/>
      <c r="B1359" s="41"/>
      <c r="C1359" s="5" t="n">
        <f aca="false">IF(B1359="",0,IF(A1359="Bank",IFERROR(MATCH(B1359,Bank!$A:$A,0),0),IFERROR(MATCH(B1359,GL!$A:$A,0),0)))</f>
        <v>0</v>
      </c>
      <c r="D1359" s="32" t="str">
        <f aca="false">IF(C1359=0,"",IF($A1359="Bank",INDEX(Bank!$B:$B,$C1359),INDEX(GL!$B:$B,$C1359)))</f>
        <v/>
      </c>
      <c r="E1359" s="5" t="str">
        <f aca="false">IF(C1359=0,"",IF($A1359="Bank",IF(INDEX(Bank!$C:$C,$C1359)="","",INDEX(Bank!$C:$C,$C1359)),IF(INDEX(GL!$C:$C,$C1359)="","",INDEX(GL!$C:$C,$C1359))))</f>
        <v/>
      </c>
      <c r="F1359" s="5" t="str">
        <f aca="false">IF(C1359=0,"",IF($A1359="Bank",IF(INDEX(Bank!$D:$D,$C1359)="","",INDEX(Bank!$D:$D,$C1359)),IF(INDEX(GL!$D:$D,$C1359)="","",INDEX(GL!$D:$D,$C1359))))</f>
        <v/>
      </c>
      <c r="G1359" s="19" t="str">
        <f aca="false">IF(C1359=0,"",IF($A1359="Bank",INDEX(Bank!$E:$E,$C1359),INDEX(GL!$E:$E,$C1359)))</f>
        <v/>
      </c>
      <c r="H1359" s="5" t="str">
        <f aca="false">IF(C1359=0,"",IF(A1359="GL",IF(G1359&gt;0,"Deposit in transit","Outstanding check / payment"),IF(G1359&gt;0,"Bank credit not in GL","Bank debit not in GL")))</f>
        <v/>
      </c>
      <c r="I1359" s="42" t="str">
        <f aca="false">IF(OR(C1359=0,CFG_PeriodEnd=""),"",CFG_PeriodEnd-D1359)</f>
        <v/>
      </c>
      <c r="J1359" s="5" t="str">
        <f aca="false">IF(C1359=0,"",IF($A1359="Bank",IF(INDEX(Bank!$G:$G,$C1359)="","",INDEX(Bank!$G:$G,$C1359)),IF(INDEX(GL!$G:$G,$C1359)="","",INDEX(GL!$G:$G,$C1359))))</f>
        <v/>
      </c>
      <c r="K1359" s="5" t="str">
        <f aca="false">IF(C1359=0,"",IF($A1359="Bank",IF(INDEX(Bank!$I:$I,$C1359)="","",INDEX(Bank!$I:$I,$C1359)),IF(INDEX(GL!$I:$I,$C1359)="","",INDEX(GL!$I:$I,$C1359))))</f>
        <v/>
      </c>
      <c r="L1359" s="5" t="str">
        <f aca="false">IF(B1359="","",IF(C1359=0,"NOT FOUND",IF(IF($A1359="Bank",INDEX(Bank!$F:$F,$C1359),INDEX(GL!$F:$F,$C1359))="Y","NOW RECONCILED: refresh","OK")))</f>
        <v/>
      </c>
    </row>
    <row r="1360" customFormat="false" ht="15" hidden="false" customHeight="false" outlineLevel="0" collapsed="false">
      <c r="A1360" s="41"/>
      <c r="B1360" s="41"/>
      <c r="C1360" s="5" t="n">
        <f aca="false">IF(B1360="",0,IF(A1360="Bank",IFERROR(MATCH(B1360,Bank!$A:$A,0),0),IFERROR(MATCH(B1360,GL!$A:$A,0),0)))</f>
        <v>0</v>
      </c>
      <c r="D1360" s="32" t="str">
        <f aca="false">IF(C1360=0,"",IF($A1360="Bank",INDEX(Bank!$B:$B,$C1360),INDEX(GL!$B:$B,$C1360)))</f>
        <v/>
      </c>
      <c r="E1360" s="5" t="str">
        <f aca="false">IF(C1360=0,"",IF($A1360="Bank",IF(INDEX(Bank!$C:$C,$C1360)="","",INDEX(Bank!$C:$C,$C1360)),IF(INDEX(GL!$C:$C,$C1360)="","",INDEX(GL!$C:$C,$C1360))))</f>
        <v/>
      </c>
      <c r="F1360" s="5" t="str">
        <f aca="false">IF(C1360=0,"",IF($A1360="Bank",IF(INDEX(Bank!$D:$D,$C1360)="","",INDEX(Bank!$D:$D,$C1360)),IF(INDEX(GL!$D:$D,$C1360)="","",INDEX(GL!$D:$D,$C1360))))</f>
        <v/>
      </c>
      <c r="G1360" s="19" t="str">
        <f aca="false">IF(C1360=0,"",IF($A1360="Bank",INDEX(Bank!$E:$E,$C1360),INDEX(GL!$E:$E,$C1360)))</f>
        <v/>
      </c>
      <c r="H1360" s="5" t="str">
        <f aca="false">IF(C1360=0,"",IF(A1360="GL",IF(G1360&gt;0,"Deposit in transit","Outstanding check / payment"),IF(G1360&gt;0,"Bank credit not in GL","Bank debit not in GL")))</f>
        <v/>
      </c>
      <c r="I1360" s="42" t="str">
        <f aca="false">IF(OR(C1360=0,CFG_PeriodEnd=""),"",CFG_PeriodEnd-D1360)</f>
        <v/>
      </c>
      <c r="J1360" s="5" t="str">
        <f aca="false">IF(C1360=0,"",IF($A1360="Bank",IF(INDEX(Bank!$G:$G,$C1360)="","",INDEX(Bank!$G:$G,$C1360)),IF(INDEX(GL!$G:$G,$C1360)="","",INDEX(GL!$G:$G,$C1360))))</f>
        <v/>
      </c>
      <c r="K1360" s="5" t="str">
        <f aca="false">IF(C1360=0,"",IF($A1360="Bank",IF(INDEX(Bank!$I:$I,$C1360)="","",INDEX(Bank!$I:$I,$C1360)),IF(INDEX(GL!$I:$I,$C1360)="","",INDEX(GL!$I:$I,$C1360))))</f>
        <v/>
      </c>
      <c r="L1360" s="5" t="str">
        <f aca="false">IF(B1360="","",IF(C1360=0,"NOT FOUND",IF(IF($A1360="Bank",INDEX(Bank!$F:$F,$C1360),INDEX(GL!$F:$F,$C1360))="Y","NOW RECONCILED: refresh","OK")))</f>
        <v/>
      </c>
    </row>
    <row r="1361" customFormat="false" ht="15" hidden="false" customHeight="false" outlineLevel="0" collapsed="false">
      <c r="A1361" s="41"/>
      <c r="B1361" s="41"/>
      <c r="C1361" s="5" t="n">
        <f aca="false">IF(B1361="",0,IF(A1361="Bank",IFERROR(MATCH(B1361,Bank!$A:$A,0),0),IFERROR(MATCH(B1361,GL!$A:$A,0),0)))</f>
        <v>0</v>
      </c>
      <c r="D1361" s="32" t="str">
        <f aca="false">IF(C1361=0,"",IF($A1361="Bank",INDEX(Bank!$B:$B,$C1361),INDEX(GL!$B:$B,$C1361)))</f>
        <v/>
      </c>
      <c r="E1361" s="5" t="str">
        <f aca="false">IF(C1361=0,"",IF($A1361="Bank",IF(INDEX(Bank!$C:$C,$C1361)="","",INDEX(Bank!$C:$C,$C1361)),IF(INDEX(GL!$C:$C,$C1361)="","",INDEX(GL!$C:$C,$C1361))))</f>
        <v/>
      </c>
      <c r="F1361" s="5" t="str">
        <f aca="false">IF(C1361=0,"",IF($A1361="Bank",IF(INDEX(Bank!$D:$D,$C1361)="","",INDEX(Bank!$D:$D,$C1361)),IF(INDEX(GL!$D:$D,$C1361)="","",INDEX(GL!$D:$D,$C1361))))</f>
        <v/>
      </c>
      <c r="G1361" s="19" t="str">
        <f aca="false">IF(C1361=0,"",IF($A1361="Bank",INDEX(Bank!$E:$E,$C1361),INDEX(GL!$E:$E,$C1361)))</f>
        <v/>
      </c>
      <c r="H1361" s="5" t="str">
        <f aca="false">IF(C1361=0,"",IF(A1361="GL",IF(G1361&gt;0,"Deposit in transit","Outstanding check / payment"),IF(G1361&gt;0,"Bank credit not in GL","Bank debit not in GL")))</f>
        <v/>
      </c>
      <c r="I1361" s="42" t="str">
        <f aca="false">IF(OR(C1361=0,CFG_PeriodEnd=""),"",CFG_PeriodEnd-D1361)</f>
        <v/>
      </c>
      <c r="J1361" s="5" t="str">
        <f aca="false">IF(C1361=0,"",IF($A1361="Bank",IF(INDEX(Bank!$G:$G,$C1361)="","",INDEX(Bank!$G:$G,$C1361)),IF(INDEX(GL!$G:$G,$C1361)="","",INDEX(GL!$G:$G,$C1361))))</f>
        <v/>
      </c>
      <c r="K1361" s="5" t="str">
        <f aca="false">IF(C1361=0,"",IF($A1361="Bank",IF(INDEX(Bank!$I:$I,$C1361)="","",INDEX(Bank!$I:$I,$C1361)),IF(INDEX(GL!$I:$I,$C1361)="","",INDEX(GL!$I:$I,$C1361))))</f>
        <v/>
      </c>
      <c r="L1361" s="5" t="str">
        <f aca="false">IF(B1361="","",IF(C1361=0,"NOT FOUND",IF(IF($A1361="Bank",INDEX(Bank!$F:$F,$C1361),INDEX(GL!$F:$F,$C1361))="Y","NOW RECONCILED: refresh","OK")))</f>
        <v/>
      </c>
    </row>
    <row r="1362" customFormat="false" ht="15" hidden="false" customHeight="false" outlineLevel="0" collapsed="false">
      <c r="A1362" s="41"/>
      <c r="B1362" s="41"/>
      <c r="C1362" s="5" t="n">
        <f aca="false">IF(B1362="",0,IF(A1362="Bank",IFERROR(MATCH(B1362,Bank!$A:$A,0),0),IFERROR(MATCH(B1362,GL!$A:$A,0),0)))</f>
        <v>0</v>
      </c>
      <c r="D1362" s="32" t="str">
        <f aca="false">IF(C1362=0,"",IF($A1362="Bank",INDEX(Bank!$B:$B,$C1362),INDEX(GL!$B:$B,$C1362)))</f>
        <v/>
      </c>
      <c r="E1362" s="5" t="str">
        <f aca="false">IF(C1362=0,"",IF($A1362="Bank",IF(INDEX(Bank!$C:$C,$C1362)="","",INDEX(Bank!$C:$C,$C1362)),IF(INDEX(GL!$C:$C,$C1362)="","",INDEX(GL!$C:$C,$C1362))))</f>
        <v/>
      </c>
      <c r="F1362" s="5" t="str">
        <f aca="false">IF(C1362=0,"",IF($A1362="Bank",IF(INDEX(Bank!$D:$D,$C1362)="","",INDEX(Bank!$D:$D,$C1362)),IF(INDEX(GL!$D:$D,$C1362)="","",INDEX(GL!$D:$D,$C1362))))</f>
        <v/>
      </c>
      <c r="G1362" s="19" t="str">
        <f aca="false">IF(C1362=0,"",IF($A1362="Bank",INDEX(Bank!$E:$E,$C1362),INDEX(GL!$E:$E,$C1362)))</f>
        <v/>
      </c>
      <c r="H1362" s="5" t="str">
        <f aca="false">IF(C1362=0,"",IF(A1362="GL",IF(G1362&gt;0,"Deposit in transit","Outstanding check / payment"),IF(G1362&gt;0,"Bank credit not in GL","Bank debit not in GL")))</f>
        <v/>
      </c>
      <c r="I1362" s="42" t="str">
        <f aca="false">IF(OR(C1362=0,CFG_PeriodEnd=""),"",CFG_PeriodEnd-D1362)</f>
        <v/>
      </c>
      <c r="J1362" s="5" t="str">
        <f aca="false">IF(C1362=0,"",IF($A1362="Bank",IF(INDEX(Bank!$G:$G,$C1362)="","",INDEX(Bank!$G:$G,$C1362)),IF(INDEX(GL!$G:$G,$C1362)="","",INDEX(GL!$G:$G,$C1362))))</f>
        <v/>
      </c>
      <c r="K1362" s="5" t="str">
        <f aca="false">IF(C1362=0,"",IF($A1362="Bank",IF(INDEX(Bank!$I:$I,$C1362)="","",INDEX(Bank!$I:$I,$C1362)),IF(INDEX(GL!$I:$I,$C1362)="","",INDEX(GL!$I:$I,$C1362))))</f>
        <v/>
      </c>
      <c r="L1362" s="5" t="str">
        <f aca="false">IF(B1362="","",IF(C1362=0,"NOT FOUND",IF(IF($A1362="Bank",INDEX(Bank!$F:$F,$C1362),INDEX(GL!$F:$F,$C1362))="Y","NOW RECONCILED: refresh","OK")))</f>
        <v/>
      </c>
    </row>
    <row r="1363" customFormat="false" ht="15" hidden="false" customHeight="false" outlineLevel="0" collapsed="false">
      <c r="A1363" s="41"/>
      <c r="B1363" s="41"/>
      <c r="C1363" s="5" t="n">
        <f aca="false">IF(B1363="",0,IF(A1363="Bank",IFERROR(MATCH(B1363,Bank!$A:$A,0),0),IFERROR(MATCH(B1363,GL!$A:$A,0),0)))</f>
        <v>0</v>
      </c>
      <c r="D1363" s="32" t="str">
        <f aca="false">IF(C1363=0,"",IF($A1363="Bank",INDEX(Bank!$B:$B,$C1363),INDEX(GL!$B:$B,$C1363)))</f>
        <v/>
      </c>
      <c r="E1363" s="5" t="str">
        <f aca="false">IF(C1363=0,"",IF($A1363="Bank",IF(INDEX(Bank!$C:$C,$C1363)="","",INDEX(Bank!$C:$C,$C1363)),IF(INDEX(GL!$C:$C,$C1363)="","",INDEX(GL!$C:$C,$C1363))))</f>
        <v/>
      </c>
      <c r="F1363" s="5" t="str">
        <f aca="false">IF(C1363=0,"",IF($A1363="Bank",IF(INDEX(Bank!$D:$D,$C1363)="","",INDEX(Bank!$D:$D,$C1363)),IF(INDEX(GL!$D:$D,$C1363)="","",INDEX(GL!$D:$D,$C1363))))</f>
        <v/>
      </c>
      <c r="G1363" s="19" t="str">
        <f aca="false">IF(C1363=0,"",IF($A1363="Bank",INDEX(Bank!$E:$E,$C1363),INDEX(GL!$E:$E,$C1363)))</f>
        <v/>
      </c>
      <c r="H1363" s="5" t="str">
        <f aca="false">IF(C1363=0,"",IF(A1363="GL",IF(G1363&gt;0,"Deposit in transit","Outstanding check / payment"),IF(G1363&gt;0,"Bank credit not in GL","Bank debit not in GL")))</f>
        <v/>
      </c>
      <c r="I1363" s="42" t="str">
        <f aca="false">IF(OR(C1363=0,CFG_PeriodEnd=""),"",CFG_PeriodEnd-D1363)</f>
        <v/>
      </c>
      <c r="J1363" s="5" t="str">
        <f aca="false">IF(C1363=0,"",IF($A1363="Bank",IF(INDEX(Bank!$G:$G,$C1363)="","",INDEX(Bank!$G:$G,$C1363)),IF(INDEX(GL!$G:$G,$C1363)="","",INDEX(GL!$G:$G,$C1363))))</f>
        <v/>
      </c>
      <c r="K1363" s="5" t="str">
        <f aca="false">IF(C1363=0,"",IF($A1363="Bank",IF(INDEX(Bank!$I:$I,$C1363)="","",INDEX(Bank!$I:$I,$C1363)),IF(INDEX(GL!$I:$I,$C1363)="","",INDEX(GL!$I:$I,$C1363))))</f>
        <v/>
      </c>
      <c r="L1363" s="5" t="str">
        <f aca="false">IF(B1363="","",IF(C1363=0,"NOT FOUND",IF(IF($A1363="Bank",INDEX(Bank!$F:$F,$C1363),INDEX(GL!$F:$F,$C1363))="Y","NOW RECONCILED: refresh","OK")))</f>
        <v/>
      </c>
    </row>
    <row r="1364" customFormat="false" ht="15" hidden="false" customHeight="false" outlineLevel="0" collapsed="false">
      <c r="A1364" s="41"/>
      <c r="B1364" s="41"/>
      <c r="C1364" s="5" t="n">
        <f aca="false">IF(B1364="",0,IF(A1364="Bank",IFERROR(MATCH(B1364,Bank!$A:$A,0),0),IFERROR(MATCH(B1364,GL!$A:$A,0),0)))</f>
        <v>0</v>
      </c>
      <c r="D1364" s="32" t="str">
        <f aca="false">IF(C1364=0,"",IF($A1364="Bank",INDEX(Bank!$B:$B,$C1364),INDEX(GL!$B:$B,$C1364)))</f>
        <v/>
      </c>
      <c r="E1364" s="5" t="str">
        <f aca="false">IF(C1364=0,"",IF($A1364="Bank",IF(INDEX(Bank!$C:$C,$C1364)="","",INDEX(Bank!$C:$C,$C1364)),IF(INDEX(GL!$C:$C,$C1364)="","",INDEX(GL!$C:$C,$C1364))))</f>
        <v/>
      </c>
      <c r="F1364" s="5" t="str">
        <f aca="false">IF(C1364=0,"",IF($A1364="Bank",IF(INDEX(Bank!$D:$D,$C1364)="","",INDEX(Bank!$D:$D,$C1364)),IF(INDEX(GL!$D:$D,$C1364)="","",INDEX(GL!$D:$D,$C1364))))</f>
        <v/>
      </c>
      <c r="G1364" s="19" t="str">
        <f aca="false">IF(C1364=0,"",IF($A1364="Bank",INDEX(Bank!$E:$E,$C1364),INDEX(GL!$E:$E,$C1364)))</f>
        <v/>
      </c>
      <c r="H1364" s="5" t="str">
        <f aca="false">IF(C1364=0,"",IF(A1364="GL",IF(G1364&gt;0,"Deposit in transit","Outstanding check / payment"),IF(G1364&gt;0,"Bank credit not in GL","Bank debit not in GL")))</f>
        <v/>
      </c>
      <c r="I1364" s="42" t="str">
        <f aca="false">IF(OR(C1364=0,CFG_PeriodEnd=""),"",CFG_PeriodEnd-D1364)</f>
        <v/>
      </c>
      <c r="J1364" s="5" t="str">
        <f aca="false">IF(C1364=0,"",IF($A1364="Bank",IF(INDEX(Bank!$G:$G,$C1364)="","",INDEX(Bank!$G:$G,$C1364)),IF(INDEX(GL!$G:$G,$C1364)="","",INDEX(GL!$G:$G,$C1364))))</f>
        <v/>
      </c>
      <c r="K1364" s="5" t="str">
        <f aca="false">IF(C1364=0,"",IF($A1364="Bank",IF(INDEX(Bank!$I:$I,$C1364)="","",INDEX(Bank!$I:$I,$C1364)),IF(INDEX(GL!$I:$I,$C1364)="","",INDEX(GL!$I:$I,$C1364))))</f>
        <v/>
      </c>
      <c r="L1364" s="5" t="str">
        <f aca="false">IF(B1364="","",IF(C1364=0,"NOT FOUND",IF(IF($A1364="Bank",INDEX(Bank!$F:$F,$C1364),INDEX(GL!$F:$F,$C1364))="Y","NOW RECONCILED: refresh","OK")))</f>
        <v/>
      </c>
    </row>
    <row r="1365" customFormat="false" ht="15" hidden="false" customHeight="false" outlineLevel="0" collapsed="false">
      <c r="A1365" s="41"/>
      <c r="B1365" s="41"/>
      <c r="C1365" s="5" t="n">
        <f aca="false">IF(B1365="",0,IF(A1365="Bank",IFERROR(MATCH(B1365,Bank!$A:$A,0),0),IFERROR(MATCH(B1365,GL!$A:$A,0),0)))</f>
        <v>0</v>
      </c>
      <c r="D1365" s="32" t="str">
        <f aca="false">IF(C1365=0,"",IF($A1365="Bank",INDEX(Bank!$B:$B,$C1365),INDEX(GL!$B:$B,$C1365)))</f>
        <v/>
      </c>
      <c r="E1365" s="5" t="str">
        <f aca="false">IF(C1365=0,"",IF($A1365="Bank",IF(INDEX(Bank!$C:$C,$C1365)="","",INDEX(Bank!$C:$C,$C1365)),IF(INDEX(GL!$C:$C,$C1365)="","",INDEX(GL!$C:$C,$C1365))))</f>
        <v/>
      </c>
      <c r="F1365" s="5" t="str">
        <f aca="false">IF(C1365=0,"",IF($A1365="Bank",IF(INDEX(Bank!$D:$D,$C1365)="","",INDEX(Bank!$D:$D,$C1365)),IF(INDEX(GL!$D:$D,$C1365)="","",INDEX(GL!$D:$D,$C1365))))</f>
        <v/>
      </c>
      <c r="G1365" s="19" t="str">
        <f aca="false">IF(C1365=0,"",IF($A1365="Bank",INDEX(Bank!$E:$E,$C1365),INDEX(GL!$E:$E,$C1365)))</f>
        <v/>
      </c>
      <c r="H1365" s="5" t="str">
        <f aca="false">IF(C1365=0,"",IF(A1365="GL",IF(G1365&gt;0,"Deposit in transit","Outstanding check / payment"),IF(G1365&gt;0,"Bank credit not in GL","Bank debit not in GL")))</f>
        <v/>
      </c>
      <c r="I1365" s="42" t="str">
        <f aca="false">IF(OR(C1365=0,CFG_PeriodEnd=""),"",CFG_PeriodEnd-D1365)</f>
        <v/>
      </c>
      <c r="J1365" s="5" t="str">
        <f aca="false">IF(C1365=0,"",IF($A1365="Bank",IF(INDEX(Bank!$G:$G,$C1365)="","",INDEX(Bank!$G:$G,$C1365)),IF(INDEX(GL!$G:$G,$C1365)="","",INDEX(GL!$G:$G,$C1365))))</f>
        <v/>
      </c>
      <c r="K1365" s="5" t="str">
        <f aca="false">IF(C1365=0,"",IF($A1365="Bank",IF(INDEX(Bank!$I:$I,$C1365)="","",INDEX(Bank!$I:$I,$C1365)),IF(INDEX(GL!$I:$I,$C1365)="","",INDEX(GL!$I:$I,$C1365))))</f>
        <v/>
      </c>
      <c r="L1365" s="5" t="str">
        <f aca="false">IF(B1365="","",IF(C1365=0,"NOT FOUND",IF(IF($A1365="Bank",INDEX(Bank!$F:$F,$C1365),INDEX(GL!$F:$F,$C1365))="Y","NOW RECONCILED: refresh","OK")))</f>
        <v/>
      </c>
    </row>
    <row r="1366" customFormat="false" ht="15" hidden="false" customHeight="false" outlineLevel="0" collapsed="false">
      <c r="A1366" s="41"/>
      <c r="B1366" s="41"/>
      <c r="C1366" s="5" t="n">
        <f aca="false">IF(B1366="",0,IF(A1366="Bank",IFERROR(MATCH(B1366,Bank!$A:$A,0),0),IFERROR(MATCH(B1366,GL!$A:$A,0),0)))</f>
        <v>0</v>
      </c>
      <c r="D1366" s="32" t="str">
        <f aca="false">IF(C1366=0,"",IF($A1366="Bank",INDEX(Bank!$B:$B,$C1366),INDEX(GL!$B:$B,$C1366)))</f>
        <v/>
      </c>
      <c r="E1366" s="5" t="str">
        <f aca="false">IF(C1366=0,"",IF($A1366="Bank",IF(INDEX(Bank!$C:$C,$C1366)="","",INDEX(Bank!$C:$C,$C1366)),IF(INDEX(GL!$C:$C,$C1366)="","",INDEX(GL!$C:$C,$C1366))))</f>
        <v/>
      </c>
      <c r="F1366" s="5" t="str">
        <f aca="false">IF(C1366=0,"",IF($A1366="Bank",IF(INDEX(Bank!$D:$D,$C1366)="","",INDEX(Bank!$D:$D,$C1366)),IF(INDEX(GL!$D:$D,$C1366)="","",INDEX(GL!$D:$D,$C1366))))</f>
        <v/>
      </c>
      <c r="G1366" s="19" t="str">
        <f aca="false">IF(C1366=0,"",IF($A1366="Bank",INDEX(Bank!$E:$E,$C1366),INDEX(GL!$E:$E,$C1366)))</f>
        <v/>
      </c>
      <c r="H1366" s="5" t="str">
        <f aca="false">IF(C1366=0,"",IF(A1366="GL",IF(G1366&gt;0,"Deposit in transit","Outstanding check / payment"),IF(G1366&gt;0,"Bank credit not in GL","Bank debit not in GL")))</f>
        <v/>
      </c>
      <c r="I1366" s="42" t="str">
        <f aca="false">IF(OR(C1366=0,CFG_PeriodEnd=""),"",CFG_PeriodEnd-D1366)</f>
        <v/>
      </c>
      <c r="J1366" s="5" t="str">
        <f aca="false">IF(C1366=0,"",IF($A1366="Bank",IF(INDEX(Bank!$G:$G,$C1366)="","",INDEX(Bank!$G:$G,$C1366)),IF(INDEX(GL!$G:$G,$C1366)="","",INDEX(GL!$G:$G,$C1366))))</f>
        <v/>
      </c>
      <c r="K1366" s="5" t="str">
        <f aca="false">IF(C1366=0,"",IF($A1366="Bank",IF(INDEX(Bank!$I:$I,$C1366)="","",INDEX(Bank!$I:$I,$C1366)),IF(INDEX(GL!$I:$I,$C1366)="","",INDEX(GL!$I:$I,$C1366))))</f>
        <v/>
      </c>
      <c r="L1366" s="5" t="str">
        <f aca="false">IF(B1366="","",IF(C1366=0,"NOT FOUND",IF(IF($A1366="Bank",INDEX(Bank!$F:$F,$C1366),INDEX(GL!$F:$F,$C1366))="Y","NOW RECONCILED: refresh","OK")))</f>
        <v/>
      </c>
    </row>
    <row r="1367" customFormat="false" ht="15" hidden="false" customHeight="false" outlineLevel="0" collapsed="false">
      <c r="A1367" s="41"/>
      <c r="B1367" s="41"/>
      <c r="C1367" s="5" t="n">
        <f aca="false">IF(B1367="",0,IF(A1367="Bank",IFERROR(MATCH(B1367,Bank!$A:$A,0),0),IFERROR(MATCH(B1367,GL!$A:$A,0),0)))</f>
        <v>0</v>
      </c>
      <c r="D1367" s="32" t="str">
        <f aca="false">IF(C1367=0,"",IF($A1367="Bank",INDEX(Bank!$B:$B,$C1367),INDEX(GL!$B:$B,$C1367)))</f>
        <v/>
      </c>
      <c r="E1367" s="5" t="str">
        <f aca="false">IF(C1367=0,"",IF($A1367="Bank",IF(INDEX(Bank!$C:$C,$C1367)="","",INDEX(Bank!$C:$C,$C1367)),IF(INDEX(GL!$C:$C,$C1367)="","",INDEX(GL!$C:$C,$C1367))))</f>
        <v/>
      </c>
      <c r="F1367" s="5" t="str">
        <f aca="false">IF(C1367=0,"",IF($A1367="Bank",IF(INDEX(Bank!$D:$D,$C1367)="","",INDEX(Bank!$D:$D,$C1367)),IF(INDEX(GL!$D:$D,$C1367)="","",INDEX(GL!$D:$D,$C1367))))</f>
        <v/>
      </c>
      <c r="G1367" s="19" t="str">
        <f aca="false">IF(C1367=0,"",IF($A1367="Bank",INDEX(Bank!$E:$E,$C1367),INDEX(GL!$E:$E,$C1367)))</f>
        <v/>
      </c>
      <c r="H1367" s="5" t="str">
        <f aca="false">IF(C1367=0,"",IF(A1367="GL",IF(G1367&gt;0,"Deposit in transit","Outstanding check / payment"),IF(G1367&gt;0,"Bank credit not in GL","Bank debit not in GL")))</f>
        <v/>
      </c>
      <c r="I1367" s="42" t="str">
        <f aca="false">IF(OR(C1367=0,CFG_PeriodEnd=""),"",CFG_PeriodEnd-D1367)</f>
        <v/>
      </c>
      <c r="J1367" s="5" t="str">
        <f aca="false">IF(C1367=0,"",IF($A1367="Bank",IF(INDEX(Bank!$G:$G,$C1367)="","",INDEX(Bank!$G:$G,$C1367)),IF(INDEX(GL!$G:$G,$C1367)="","",INDEX(GL!$G:$G,$C1367))))</f>
        <v/>
      </c>
      <c r="K1367" s="5" t="str">
        <f aca="false">IF(C1367=0,"",IF($A1367="Bank",IF(INDEX(Bank!$I:$I,$C1367)="","",INDEX(Bank!$I:$I,$C1367)),IF(INDEX(GL!$I:$I,$C1367)="","",INDEX(GL!$I:$I,$C1367))))</f>
        <v/>
      </c>
      <c r="L1367" s="5" t="str">
        <f aca="false">IF(B1367="","",IF(C1367=0,"NOT FOUND",IF(IF($A1367="Bank",INDEX(Bank!$F:$F,$C1367),INDEX(GL!$F:$F,$C1367))="Y","NOW RECONCILED: refresh","OK")))</f>
        <v/>
      </c>
    </row>
    <row r="1368" customFormat="false" ht="15" hidden="false" customHeight="false" outlineLevel="0" collapsed="false">
      <c r="A1368" s="41"/>
      <c r="B1368" s="41"/>
      <c r="C1368" s="5" t="n">
        <f aca="false">IF(B1368="",0,IF(A1368="Bank",IFERROR(MATCH(B1368,Bank!$A:$A,0),0),IFERROR(MATCH(B1368,GL!$A:$A,0),0)))</f>
        <v>0</v>
      </c>
      <c r="D1368" s="32" t="str">
        <f aca="false">IF(C1368=0,"",IF($A1368="Bank",INDEX(Bank!$B:$B,$C1368),INDEX(GL!$B:$B,$C1368)))</f>
        <v/>
      </c>
      <c r="E1368" s="5" t="str">
        <f aca="false">IF(C1368=0,"",IF($A1368="Bank",IF(INDEX(Bank!$C:$C,$C1368)="","",INDEX(Bank!$C:$C,$C1368)),IF(INDEX(GL!$C:$C,$C1368)="","",INDEX(GL!$C:$C,$C1368))))</f>
        <v/>
      </c>
      <c r="F1368" s="5" t="str">
        <f aca="false">IF(C1368=0,"",IF($A1368="Bank",IF(INDEX(Bank!$D:$D,$C1368)="","",INDEX(Bank!$D:$D,$C1368)),IF(INDEX(GL!$D:$D,$C1368)="","",INDEX(GL!$D:$D,$C1368))))</f>
        <v/>
      </c>
      <c r="G1368" s="19" t="str">
        <f aca="false">IF(C1368=0,"",IF($A1368="Bank",INDEX(Bank!$E:$E,$C1368),INDEX(GL!$E:$E,$C1368)))</f>
        <v/>
      </c>
      <c r="H1368" s="5" t="str">
        <f aca="false">IF(C1368=0,"",IF(A1368="GL",IF(G1368&gt;0,"Deposit in transit","Outstanding check / payment"),IF(G1368&gt;0,"Bank credit not in GL","Bank debit not in GL")))</f>
        <v/>
      </c>
      <c r="I1368" s="42" t="str">
        <f aca="false">IF(OR(C1368=0,CFG_PeriodEnd=""),"",CFG_PeriodEnd-D1368)</f>
        <v/>
      </c>
      <c r="J1368" s="5" t="str">
        <f aca="false">IF(C1368=0,"",IF($A1368="Bank",IF(INDEX(Bank!$G:$G,$C1368)="","",INDEX(Bank!$G:$G,$C1368)),IF(INDEX(GL!$G:$G,$C1368)="","",INDEX(GL!$G:$G,$C1368))))</f>
        <v/>
      </c>
      <c r="K1368" s="5" t="str">
        <f aca="false">IF(C1368=0,"",IF($A1368="Bank",IF(INDEX(Bank!$I:$I,$C1368)="","",INDEX(Bank!$I:$I,$C1368)),IF(INDEX(GL!$I:$I,$C1368)="","",INDEX(GL!$I:$I,$C1368))))</f>
        <v/>
      </c>
      <c r="L1368" s="5" t="str">
        <f aca="false">IF(B1368="","",IF(C1368=0,"NOT FOUND",IF(IF($A1368="Bank",INDEX(Bank!$F:$F,$C1368),INDEX(GL!$F:$F,$C1368))="Y","NOW RECONCILED: refresh","OK")))</f>
        <v/>
      </c>
    </row>
    <row r="1369" customFormat="false" ht="15" hidden="false" customHeight="false" outlineLevel="0" collapsed="false">
      <c r="A1369" s="41"/>
      <c r="B1369" s="41"/>
      <c r="C1369" s="5" t="n">
        <f aca="false">IF(B1369="",0,IF(A1369="Bank",IFERROR(MATCH(B1369,Bank!$A:$A,0),0),IFERROR(MATCH(B1369,GL!$A:$A,0),0)))</f>
        <v>0</v>
      </c>
      <c r="D1369" s="32" t="str">
        <f aca="false">IF(C1369=0,"",IF($A1369="Bank",INDEX(Bank!$B:$B,$C1369),INDEX(GL!$B:$B,$C1369)))</f>
        <v/>
      </c>
      <c r="E1369" s="5" t="str">
        <f aca="false">IF(C1369=0,"",IF($A1369="Bank",IF(INDEX(Bank!$C:$C,$C1369)="","",INDEX(Bank!$C:$C,$C1369)),IF(INDEX(GL!$C:$C,$C1369)="","",INDEX(GL!$C:$C,$C1369))))</f>
        <v/>
      </c>
      <c r="F1369" s="5" t="str">
        <f aca="false">IF(C1369=0,"",IF($A1369="Bank",IF(INDEX(Bank!$D:$D,$C1369)="","",INDEX(Bank!$D:$D,$C1369)),IF(INDEX(GL!$D:$D,$C1369)="","",INDEX(GL!$D:$D,$C1369))))</f>
        <v/>
      </c>
      <c r="G1369" s="19" t="str">
        <f aca="false">IF(C1369=0,"",IF($A1369="Bank",INDEX(Bank!$E:$E,$C1369),INDEX(GL!$E:$E,$C1369)))</f>
        <v/>
      </c>
      <c r="H1369" s="5" t="str">
        <f aca="false">IF(C1369=0,"",IF(A1369="GL",IF(G1369&gt;0,"Deposit in transit","Outstanding check / payment"),IF(G1369&gt;0,"Bank credit not in GL","Bank debit not in GL")))</f>
        <v/>
      </c>
      <c r="I1369" s="42" t="str">
        <f aca="false">IF(OR(C1369=0,CFG_PeriodEnd=""),"",CFG_PeriodEnd-D1369)</f>
        <v/>
      </c>
      <c r="J1369" s="5" t="str">
        <f aca="false">IF(C1369=0,"",IF($A1369="Bank",IF(INDEX(Bank!$G:$G,$C1369)="","",INDEX(Bank!$G:$G,$C1369)),IF(INDEX(GL!$G:$G,$C1369)="","",INDEX(GL!$G:$G,$C1369))))</f>
        <v/>
      </c>
      <c r="K1369" s="5" t="str">
        <f aca="false">IF(C1369=0,"",IF($A1369="Bank",IF(INDEX(Bank!$I:$I,$C1369)="","",INDEX(Bank!$I:$I,$C1369)),IF(INDEX(GL!$I:$I,$C1369)="","",INDEX(GL!$I:$I,$C1369))))</f>
        <v/>
      </c>
      <c r="L1369" s="5" t="str">
        <f aca="false">IF(B1369="","",IF(C1369=0,"NOT FOUND",IF(IF($A1369="Bank",INDEX(Bank!$F:$F,$C1369),INDEX(GL!$F:$F,$C1369))="Y","NOW RECONCILED: refresh","OK")))</f>
        <v/>
      </c>
    </row>
    <row r="1370" customFormat="false" ht="15" hidden="false" customHeight="false" outlineLevel="0" collapsed="false">
      <c r="A1370" s="41"/>
      <c r="B1370" s="41"/>
      <c r="C1370" s="5" t="n">
        <f aca="false">IF(B1370="",0,IF(A1370="Bank",IFERROR(MATCH(B1370,Bank!$A:$A,0),0),IFERROR(MATCH(B1370,GL!$A:$A,0),0)))</f>
        <v>0</v>
      </c>
      <c r="D1370" s="32" t="str">
        <f aca="false">IF(C1370=0,"",IF($A1370="Bank",INDEX(Bank!$B:$B,$C1370),INDEX(GL!$B:$B,$C1370)))</f>
        <v/>
      </c>
      <c r="E1370" s="5" t="str">
        <f aca="false">IF(C1370=0,"",IF($A1370="Bank",IF(INDEX(Bank!$C:$C,$C1370)="","",INDEX(Bank!$C:$C,$C1370)),IF(INDEX(GL!$C:$C,$C1370)="","",INDEX(GL!$C:$C,$C1370))))</f>
        <v/>
      </c>
      <c r="F1370" s="5" t="str">
        <f aca="false">IF(C1370=0,"",IF($A1370="Bank",IF(INDEX(Bank!$D:$D,$C1370)="","",INDEX(Bank!$D:$D,$C1370)),IF(INDEX(GL!$D:$D,$C1370)="","",INDEX(GL!$D:$D,$C1370))))</f>
        <v/>
      </c>
      <c r="G1370" s="19" t="str">
        <f aca="false">IF(C1370=0,"",IF($A1370="Bank",INDEX(Bank!$E:$E,$C1370),INDEX(GL!$E:$E,$C1370)))</f>
        <v/>
      </c>
      <c r="H1370" s="5" t="str">
        <f aca="false">IF(C1370=0,"",IF(A1370="GL",IF(G1370&gt;0,"Deposit in transit","Outstanding check / payment"),IF(G1370&gt;0,"Bank credit not in GL","Bank debit not in GL")))</f>
        <v/>
      </c>
      <c r="I1370" s="42" t="str">
        <f aca="false">IF(OR(C1370=0,CFG_PeriodEnd=""),"",CFG_PeriodEnd-D1370)</f>
        <v/>
      </c>
      <c r="J1370" s="5" t="str">
        <f aca="false">IF(C1370=0,"",IF($A1370="Bank",IF(INDEX(Bank!$G:$G,$C1370)="","",INDEX(Bank!$G:$G,$C1370)),IF(INDEX(GL!$G:$G,$C1370)="","",INDEX(GL!$G:$G,$C1370))))</f>
        <v/>
      </c>
      <c r="K1370" s="5" t="str">
        <f aca="false">IF(C1370=0,"",IF($A1370="Bank",IF(INDEX(Bank!$I:$I,$C1370)="","",INDEX(Bank!$I:$I,$C1370)),IF(INDEX(GL!$I:$I,$C1370)="","",INDEX(GL!$I:$I,$C1370))))</f>
        <v/>
      </c>
      <c r="L1370" s="5" t="str">
        <f aca="false">IF(B1370="","",IF(C1370=0,"NOT FOUND",IF(IF($A1370="Bank",INDEX(Bank!$F:$F,$C1370),INDEX(GL!$F:$F,$C1370))="Y","NOW RECONCILED: refresh","OK")))</f>
        <v/>
      </c>
    </row>
    <row r="1371" customFormat="false" ht="15" hidden="false" customHeight="false" outlineLevel="0" collapsed="false">
      <c r="A1371" s="41"/>
      <c r="B1371" s="41"/>
      <c r="C1371" s="5" t="n">
        <f aca="false">IF(B1371="",0,IF(A1371="Bank",IFERROR(MATCH(B1371,Bank!$A:$A,0),0),IFERROR(MATCH(B1371,GL!$A:$A,0),0)))</f>
        <v>0</v>
      </c>
      <c r="D1371" s="32" t="str">
        <f aca="false">IF(C1371=0,"",IF($A1371="Bank",INDEX(Bank!$B:$B,$C1371),INDEX(GL!$B:$B,$C1371)))</f>
        <v/>
      </c>
      <c r="E1371" s="5" t="str">
        <f aca="false">IF(C1371=0,"",IF($A1371="Bank",IF(INDEX(Bank!$C:$C,$C1371)="","",INDEX(Bank!$C:$C,$C1371)),IF(INDEX(GL!$C:$C,$C1371)="","",INDEX(GL!$C:$C,$C1371))))</f>
        <v/>
      </c>
      <c r="F1371" s="5" t="str">
        <f aca="false">IF(C1371=0,"",IF($A1371="Bank",IF(INDEX(Bank!$D:$D,$C1371)="","",INDEX(Bank!$D:$D,$C1371)),IF(INDEX(GL!$D:$D,$C1371)="","",INDEX(GL!$D:$D,$C1371))))</f>
        <v/>
      </c>
      <c r="G1371" s="19" t="str">
        <f aca="false">IF(C1371=0,"",IF($A1371="Bank",INDEX(Bank!$E:$E,$C1371),INDEX(GL!$E:$E,$C1371)))</f>
        <v/>
      </c>
      <c r="H1371" s="5" t="str">
        <f aca="false">IF(C1371=0,"",IF(A1371="GL",IF(G1371&gt;0,"Deposit in transit","Outstanding check / payment"),IF(G1371&gt;0,"Bank credit not in GL","Bank debit not in GL")))</f>
        <v/>
      </c>
      <c r="I1371" s="42" t="str">
        <f aca="false">IF(OR(C1371=0,CFG_PeriodEnd=""),"",CFG_PeriodEnd-D1371)</f>
        <v/>
      </c>
      <c r="J1371" s="5" t="str">
        <f aca="false">IF(C1371=0,"",IF($A1371="Bank",IF(INDEX(Bank!$G:$G,$C1371)="","",INDEX(Bank!$G:$G,$C1371)),IF(INDEX(GL!$G:$G,$C1371)="","",INDEX(GL!$G:$G,$C1371))))</f>
        <v/>
      </c>
      <c r="K1371" s="5" t="str">
        <f aca="false">IF(C1371=0,"",IF($A1371="Bank",IF(INDEX(Bank!$I:$I,$C1371)="","",INDEX(Bank!$I:$I,$C1371)),IF(INDEX(GL!$I:$I,$C1371)="","",INDEX(GL!$I:$I,$C1371))))</f>
        <v/>
      </c>
      <c r="L1371" s="5" t="str">
        <f aca="false">IF(B1371="","",IF(C1371=0,"NOT FOUND",IF(IF($A1371="Bank",INDEX(Bank!$F:$F,$C1371),INDEX(GL!$F:$F,$C1371))="Y","NOW RECONCILED: refresh","OK")))</f>
        <v/>
      </c>
    </row>
    <row r="1372" customFormat="false" ht="15" hidden="false" customHeight="false" outlineLevel="0" collapsed="false">
      <c r="A1372" s="41"/>
      <c r="B1372" s="41"/>
      <c r="C1372" s="5" t="n">
        <f aca="false">IF(B1372="",0,IF(A1372="Bank",IFERROR(MATCH(B1372,Bank!$A:$A,0),0),IFERROR(MATCH(B1372,GL!$A:$A,0),0)))</f>
        <v>0</v>
      </c>
      <c r="D1372" s="32" t="str">
        <f aca="false">IF(C1372=0,"",IF($A1372="Bank",INDEX(Bank!$B:$B,$C1372),INDEX(GL!$B:$B,$C1372)))</f>
        <v/>
      </c>
      <c r="E1372" s="5" t="str">
        <f aca="false">IF(C1372=0,"",IF($A1372="Bank",IF(INDEX(Bank!$C:$C,$C1372)="","",INDEX(Bank!$C:$C,$C1372)),IF(INDEX(GL!$C:$C,$C1372)="","",INDEX(GL!$C:$C,$C1372))))</f>
        <v/>
      </c>
      <c r="F1372" s="5" t="str">
        <f aca="false">IF(C1372=0,"",IF($A1372="Bank",IF(INDEX(Bank!$D:$D,$C1372)="","",INDEX(Bank!$D:$D,$C1372)),IF(INDEX(GL!$D:$D,$C1372)="","",INDEX(GL!$D:$D,$C1372))))</f>
        <v/>
      </c>
      <c r="G1372" s="19" t="str">
        <f aca="false">IF(C1372=0,"",IF($A1372="Bank",INDEX(Bank!$E:$E,$C1372),INDEX(GL!$E:$E,$C1372)))</f>
        <v/>
      </c>
      <c r="H1372" s="5" t="str">
        <f aca="false">IF(C1372=0,"",IF(A1372="GL",IF(G1372&gt;0,"Deposit in transit","Outstanding check / payment"),IF(G1372&gt;0,"Bank credit not in GL","Bank debit not in GL")))</f>
        <v/>
      </c>
      <c r="I1372" s="42" t="str">
        <f aca="false">IF(OR(C1372=0,CFG_PeriodEnd=""),"",CFG_PeriodEnd-D1372)</f>
        <v/>
      </c>
      <c r="J1372" s="5" t="str">
        <f aca="false">IF(C1372=0,"",IF($A1372="Bank",IF(INDEX(Bank!$G:$G,$C1372)="","",INDEX(Bank!$G:$G,$C1372)),IF(INDEX(GL!$G:$G,$C1372)="","",INDEX(GL!$G:$G,$C1372))))</f>
        <v/>
      </c>
      <c r="K1372" s="5" t="str">
        <f aca="false">IF(C1372=0,"",IF($A1372="Bank",IF(INDEX(Bank!$I:$I,$C1372)="","",INDEX(Bank!$I:$I,$C1372)),IF(INDEX(GL!$I:$I,$C1372)="","",INDEX(GL!$I:$I,$C1372))))</f>
        <v/>
      </c>
      <c r="L1372" s="5" t="str">
        <f aca="false">IF(B1372="","",IF(C1372=0,"NOT FOUND",IF(IF($A1372="Bank",INDEX(Bank!$F:$F,$C1372),INDEX(GL!$F:$F,$C1372))="Y","NOW RECONCILED: refresh","OK")))</f>
        <v/>
      </c>
    </row>
    <row r="1373" customFormat="false" ht="15" hidden="false" customHeight="false" outlineLevel="0" collapsed="false">
      <c r="A1373" s="41"/>
      <c r="B1373" s="41"/>
      <c r="C1373" s="5" t="n">
        <f aca="false">IF(B1373="",0,IF(A1373="Bank",IFERROR(MATCH(B1373,Bank!$A:$A,0),0),IFERROR(MATCH(B1373,GL!$A:$A,0),0)))</f>
        <v>0</v>
      </c>
      <c r="D1373" s="32" t="str">
        <f aca="false">IF(C1373=0,"",IF($A1373="Bank",INDEX(Bank!$B:$B,$C1373),INDEX(GL!$B:$B,$C1373)))</f>
        <v/>
      </c>
      <c r="E1373" s="5" t="str">
        <f aca="false">IF(C1373=0,"",IF($A1373="Bank",IF(INDEX(Bank!$C:$C,$C1373)="","",INDEX(Bank!$C:$C,$C1373)),IF(INDEX(GL!$C:$C,$C1373)="","",INDEX(GL!$C:$C,$C1373))))</f>
        <v/>
      </c>
      <c r="F1373" s="5" t="str">
        <f aca="false">IF(C1373=0,"",IF($A1373="Bank",IF(INDEX(Bank!$D:$D,$C1373)="","",INDEX(Bank!$D:$D,$C1373)),IF(INDEX(GL!$D:$D,$C1373)="","",INDEX(GL!$D:$D,$C1373))))</f>
        <v/>
      </c>
      <c r="G1373" s="19" t="str">
        <f aca="false">IF(C1373=0,"",IF($A1373="Bank",INDEX(Bank!$E:$E,$C1373),INDEX(GL!$E:$E,$C1373)))</f>
        <v/>
      </c>
      <c r="H1373" s="5" t="str">
        <f aca="false">IF(C1373=0,"",IF(A1373="GL",IF(G1373&gt;0,"Deposit in transit","Outstanding check / payment"),IF(G1373&gt;0,"Bank credit not in GL","Bank debit not in GL")))</f>
        <v/>
      </c>
      <c r="I1373" s="42" t="str">
        <f aca="false">IF(OR(C1373=0,CFG_PeriodEnd=""),"",CFG_PeriodEnd-D1373)</f>
        <v/>
      </c>
      <c r="J1373" s="5" t="str">
        <f aca="false">IF(C1373=0,"",IF($A1373="Bank",IF(INDEX(Bank!$G:$G,$C1373)="","",INDEX(Bank!$G:$G,$C1373)),IF(INDEX(GL!$G:$G,$C1373)="","",INDEX(GL!$G:$G,$C1373))))</f>
        <v/>
      </c>
      <c r="K1373" s="5" t="str">
        <f aca="false">IF(C1373=0,"",IF($A1373="Bank",IF(INDEX(Bank!$I:$I,$C1373)="","",INDEX(Bank!$I:$I,$C1373)),IF(INDEX(GL!$I:$I,$C1373)="","",INDEX(GL!$I:$I,$C1373))))</f>
        <v/>
      </c>
      <c r="L1373" s="5" t="str">
        <f aca="false">IF(B1373="","",IF(C1373=0,"NOT FOUND",IF(IF($A1373="Bank",INDEX(Bank!$F:$F,$C1373),INDEX(GL!$F:$F,$C1373))="Y","NOW RECONCILED: refresh","OK")))</f>
        <v/>
      </c>
    </row>
    <row r="1374" customFormat="false" ht="15" hidden="false" customHeight="false" outlineLevel="0" collapsed="false">
      <c r="A1374" s="41"/>
      <c r="B1374" s="41"/>
      <c r="C1374" s="5" t="n">
        <f aca="false">IF(B1374="",0,IF(A1374="Bank",IFERROR(MATCH(B1374,Bank!$A:$A,0),0),IFERROR(MATCH(B1374,GL!$A:$A,0),0)))</f>
        <v>0</v>
      </c>
      <c r="D1374" s="32" t="str">
        <f aca="false">IF(C1374=0,"",IF($A1374="Bank",INDEX(Bank!$B:$B,$C1374),INDEX(GL!$B:$B,$C1374)))</f>
        <v/>
      </c>
      <c r="E1374" s="5" t="str">
        <f aca="false">IF(C1374=0,"",IF($A1374="Bank",IF(INDEX(Bank!$C:$C,$C1374)="","",INDEX(Bank!$C:$C,$C1374)),IF(INDEX(GL!$C:$C,$C1374)="","",INDEX(GL!$C:$C,$C1374))))</f>
        <v/>
      </c>
      <c r="F1374" s="5" t="str">
        <f aca="false">IF(C1374=0,"",IF($A1374="Bank",IF(INDEX(Bank!$D:$D,$C1374)="","",INDEX(Bank!$D:$D,$C1374)),IF(INDEX(GL!$D:$D,$C1374)="","",INDEX(GL!$D:$D,$C1374))))</f>
        <v/>
      </c>
      <c r="G1374" s="19" t="str">
        <f aca="false">IF(C1374=0,"",IF($A1374="Bank",INDEX(Bank!$E:$E,$C1374),INDEX(GL!$E:$E,$C1374)))</f>
        <v/>
      </c>
      <c r="H1374" s="5" t="str">
        <f aca="false">IF(C1374=0,"",IF(A1374="GL",IF(G1374&gt;0,"Deposit in transit","Outstanding check / payment"),IF(G1374&gt;0,"Bank credit not in GL","Bank debit not in GL")))</f>
        <v/>
      </c>
      <c r="I1374" s="42" t="str">
        <f aca="false">IF(OR(C1374=0,CFG_PeriodEnd=""),"",CFG_PeriodEnd-D1374)</f>
        <v/>
      </c>
      <c r="J1374" s="5" t="str">
        <f aca="false">IF(C1374=0,"",IF($A1374="Bank",IF(INDEX(Bank!$G:$G,$C1374)="","",INDEX(Bank!$G:$G,$C1374)),IF(INDEX(GL!$G:$G,$C1374)="","",INDEX(GL!$G:$G,$C1374))))</f>
        <v/>
      </c>
      <c r="K1374" s="5" t="str">
        <f aca="false">IF(C1374=0,"",IF($A1374="Bank",IF(INDEX(Bank!$I:$I,$C1374)="","",INDEX(Bank!$I:$I,$C1374)),IF(INDEX(GL!$I:$I,$C1374)="","",INDEX(GL!$I:$I,$C1374))))</f>
        <v/>
      </c>
      <c r="L1374" s="5" t="str">
        <f aca="false">IF(B1374="","",IF(C1374=0,"NOT FOUND",IF(IF($A1374="Bank",INDEX(Bank!$F:$F,$C1374),INDEX(GL!$F:$F,$C1374))="Y","NOW RECONCILED: refresh","OK")))</f>
        <v/>
      </c>
    </row>
    <row r="1375" customFormat="false" ht="15" hidden="false" customHeight="false" outlineLevel="0" collapsed="false">
      <c r="A1375" s="41"/>
      <c r="B1375" s="41"/>
      <c r="C1375" s="5" t="n">
        <f aca="false">IF(B1375="",0,IF(A1375="Bank",IFERROR(MATCH(B1375,Bank!$A:$A,0),0),IFERROR(MATCH(B1375,GL!$A:$A,0),0)))</f>
        <v>0</v>
      </c>
      <c r="D1375" s="32" t="str">
        <f aca="false">IF(C1375=0,"",IF($A1375="Bank",INDEX(Bank!$B:$B,$C1375),INDEX(GL!$B:$B,$C1375)))</f>
        <v/>
      </c>
      <c r="E1375" s="5" t="str">
        <f aca="false">IF(C1375=0,"",IF($A1375="Bank",IF(INDEX(Bank!$C:$C,$C1375)="","",INDEX(Bank!$C:$C,$C1375)),IF(INDEX(GL!$C:$C,$C1375)="","",INDEX(GL!$C:$C,$C1375))))</f>
        <v/>
      </c>
      <c r="F1375" s="5" t="str">
        <f aca="false">IF(C1375=0,"",IF($A1375="Bank",IF(INDEX(Bank!$D:$D,$C1375)="","",INDEX(Bank!$D:$D,$C1375)),IF(INDEX(GL!$D:$D,$C1375)="","",INDEX(GL!$D:$D,$C1375))))</f>
        <v/>
      </c>
      <c r="G1375" s="19" t="str">
        <f aca="false">IF(C1375=0,"",IF($A1375="Bank",INDEX(Bank!$E:$E,$C1375),INDEX(GL!$E:$E,$C1375)))</f>
        <v/>
      </c>
      <c r="H1375" s="5" t="str">
        <f aca="false">IF(C1375=0,"",IF(A1375="GL",IF(G1375&gt;0,"Deposit in transit","Outstanding check / payment"),IF(G1375&gt;0,"Bank credit not in GL","Bank debit not in GL")))</f>
        <v/>
      </c>
      <c r="I1375" s="42" t="str">
        <f aca="false">IF(OR(C1375=0,CFG_PeriodEnd=""),"",CFG_PeriodEnd-D1375)</f>
        <v/>
      </c>
      <c r="J1375" s="5" t="str">
        <f aca="false">IF(C1375=0,"",IF($A1375="Bank",IF(INDEX(Bank!$G:$G,$C1375)="","",INDEX(Bank!$G:$G,$C1375)),IF(INDEX(GL!$G:$G,$C1375)="","",INDEX(GL!$G:$G,$C1375))))</f>
        <v/>
      </c>
      <c r="K1375" s="5" t="str">
        <f aca="false">IF(C1375=0,"",IF($A1375="Bank",IF(INDEX(Bank!$I:$I,$C1375)="","",INDEX(Bank!$I:$I,$C1375)),IF(INDEX(GL!$I:$I,$C1375)="","",INDEX(GL!$I:$I,$C1375))))</f>
        <v/>
      </c>
      <c r="L1375" s="5" t="str">
        <f aca="false">IF(B1375="","",IF(C1375=0,"NOT FOUND",IF(IF($A1375="Bank",INDEX(Bank!$F:$F,$C1375),INDEX(GL!$F:$F,$C1375))="Y","NOW RECONCILED: refresh","OK")))</f>
        <v/>
      </c>
    </row>
    <row r="1376" customFormat="false" ht="15" hidden="false" customHeight="false" outlineLevel="0" collapsed="false">
      <c r="A1376" s="41"/>
      <c r="B1376" s="41"/>
      <c r="C1376" s="5" t="n">
        <f aca="false">IF(B1376="",0,IF(A1376="Bank",IFERROR(MATCH(B1376,Bank!$A:$A,0),0),IFERROR(MATCH(B1376,GL!$A:$A,0),0)))</f>
        <v>0</v>
      </c>
      <c r="D1376" s="32" t="str">
        <f aca="false">IF(C1376=0,"",IF($A1376="Bank",INDEX(Bank!$B:$B,$C1376),INDEX(GL!$B:$B,$C1376)))</f>
        <v/>
      </c>
      <c r="E1376" s="5" t="str">
        <f aca="false">IF(C1376=0,"",IF($A1376="Bank",IF(INDEX(Bank!$C:$C,$C1376)="","",INDEX(Bank!$C:$C,$C1376)),IF(INDEX(GL!$C:$C,$C1376)="","",INDEX(GL!$C:$C,$C1376))))</f>
        <v/>
      </c>
      <c r="F1376" s="5" t="str">
        <f aca="false">IF(C1376=0,"",IF($A1376="Bank",IF(INDEX(Bank!$D:$D,$C1376)="","",INDEX(Bank!$D:$D,$C1376)),IF(INDEX(GL!$D:$D,$C1376)="","",INDEX(GL!$D:$D,$C1376))))</f>
        <v/>
      </c>
      <c r="G1376" s="19" t="str">
        <f aca="false">IF(C1376=0,"",IF($A1376="Bank",INDEX(Bank!$E:$E,$C1376),INDEX(GL!$E:$E,$C1376)))</f>
        <v/>
      </c>
      <c r="H1376" s="5" t="str">
        <f aca="false">IF(C1376=0,"",IF(A1376="GL",IF(G1376&gt;0,"Deposit in transit","Outstanding check / payment"),IF(G1376&gt;0,"Bank credit not in GL","Bank debit not in GL")))</f>
        <v/>
      </c>
      <c r="I1376" s="42" t="str">
        <f aca="false">IF(OR(C1376=0,CFG_PeriodEnd=""),"",CFG_PeriodEnd-D1376)</f>
        <v/>
      </c>
      <c r="J1376" s="5" t="str">
        <f aca="false">IF(C1376=0,"",IF($A1376="Bank",IF(INDEX(Bank!$G:$G,$C1376)="","",INDEX(Bank!$G:$G,$C1376)),IF(INDEX(GL!$G:$G,$C1376)="","",INDEX(GL!$G:$G,$C1376))))</f>
        <v/>
      </c>
      <c r="K1376" s="5" t="str">
        <f aca="false">IF(C1376=0,"",IF($A1376="Bank",IF(INDEX(Bank!$I:$I,$C1376)="","",INDEX(Bank!$I:$I,$C1376)),IF(INDEX(GL!$I:$I,$C1376)="","",INDEX(GL!$I:$I,$C1376))))</f>
        <v/>
      </c>
      <c r="L1376" s="5" t="str">
        <f aca="false">IF(B1376="","",IF(C1376=0,"NOT FOUND",IF(IF($A1376="Bank",INDEX(Bank!$F:$F,$C1376),INDEX(GL!$F:$F,$C1376))="Y","NOW RECONCILED: refresh","OK")))</f>
        <v/>
      </c>
    </row>
    <row r="1377" customFormat="false" ht="15" hidden="false" customHeight="false" outlineLevel="0" collapsed="false">
      <c r="A1377" s="41"/>
      <c r="B1377" s="41"/>
      <c r="C1377" s="5" t="n">
        <f aca="false">IF(B1377="",0,IF(A1377="Bank",IFERROR(MATCH(B1377,Bank!$A:$A,0),0),IFERROR(MATCH(B1377,GL!$A:$A,0),0)))</f>
        <v>0</v>
      </c>
      <c r="D1377" s="32" t="str">
        <f aca="false">IF(C1377=0,"",IF($A1377="Bank",INDEX(Bank!$B:$B,$C1377),INDEX(GL!$B:$B,$C1377)))</f>
        <v/>
      </c>
      <c r="E1377" s="5" t="str">
        <f aca="false">IF(C1377=0,"",IF($A1377="Bank",IF(INDEX(Bank!$C:$C,$C1377)="","",INDEX(Bank!$C:$C,$C1377)),IF(INDEX(GL!$C:$C,$C1377)="","",INDEX(GL!$C:$C,$C1377))))</f>
        <v/>
      </c>
      <c r="F1377" s="5" t="str">
        <f aca="false">IF(C1377=0,"",IF($A1377="Bank",IF(INDEX(Bank!$D:$D,$C1377)="","",INDEX(Bank!$D:$D,$C1377)),IF(INDEX(GL!$D:$D,$C1377)="","",INDEX(GL!$D:$D,$C1377))))</f>
        <v/>
      </c>
      <c r="G1377" s="19" t="str">
        <f aca="false">IF(C1377=0,"",IF($A1377="Bank",INDEX(Bank!$E:$E,$C1377),INDEX(GL!$E:$E,$C1377)))</f>
        <v/>
      </c>
      <c r="H1377" s="5" t="str">
        <f aca="false">IF(C1377=0,"",IF(A1377="GL",IF(G1377&gt;0,"Deposit in transit","Outstanding check / payment"),IF(G1377&gt;0,"Bank credit not in GL","Bank debit not in GL")))</f>
        <v/>
      </c>
      <c r="I1377" s="42" t="str">
        <f aca="false">IF(OR(C1377=0,CFG_PeriodEnd=""),"",CFG_PeriodEnd-D1377)</f>
        <v/>
      </c>
      <c r="J1377" s="5" t="str">
        <f aca="false">IF(C1377=0,"",IF($A1377="Bank",IF(INDEX(Bank!$G:$G,$C1377)="","",INDEX(Bank!$G:$G,$C1377)),IF(INDEX(GL!$G:$G,$C1377)="","",INDEX(GL!$G:$G,$C1377))))</f>
        <v/>
      </c>
      <c r="K1377" s="5" t="str">
        <f aca="false">IF(C1377=0,"",IF($A1377="Bank",IF(INDEX(Bank!$I:$I,$C1377)="","",INDEX(Bank!$I:$I,$C1377)),IF(INDEX(GL!$I:$I,$C1377)="","",INDEX(GL!$I:$I,$C1377))))</f>
        <v/>
      </c>
      <c r="L1377" s="5" t="str">
        <f aca="false">IF(B1377="","",IF(C1377=0,"NOT FOUND",IF(IF($A1377="Bank",INDEX(Bank!$F:$F,$C1377),INDEX(GL!$F:$F,$C1377))="Y","NOW RECONCILED: refresh","OK")))</f>
        <v/>
      </c>
    </row>
    <row r="1378" customFormat="false" ht="15" hidden="false" customHeight="false" outlineLevel="0" collapsed="false">
      <c r="A1378" s="41"/>
      <c r="B1378" s="41"/>
      <c r="C1378" s="5" t="n">
        <f aca="false">IF(B1378="",0,IF(A1378="Bank",IFERROR(MATCH(B1378,Bank!$A:$A,0),0),IFERROR(MATCH(B1378,GL!$A:$A,0),0)))</f>
        <v>0</v>
      </c>
      <c r="D1378" s="32" t="str">
        <f aca="false">IF(C1378=0,"",IF($A1378="Bank",INDEX(Bank!$B:$B,$C1378),INDEX(GL!$B:$B,$C1378)))</f>
        <v/>
      </c>
      <c r="E1378" s="5" t="str">
        <f aca="false">IF(C1378=0,"",IF($A1378="Bank",IF(INDEX(Bank!$C:$C,$C1378)="","",INDEX(Bank!$C:$C,$C1378)),IF(INDEX(GL!$C:$C,$C1378)="","",INDEX(GL!$C:$C,$C1378))))</f>
        <v/>
      </c>
      <c r="F1378" s="5" t="str">
        <f aca="false">IF(C1378=0,"",IF($A1378="Bank",IF(INDEX(Bank!$D:$D,$C1378)="","",INDEX(Bank!$D:$D,$C1378)),IF(INDEX(GL!$D:$D,$C1378)="","",INDEX(GL!$D:$D,$C1378))))</f>
        <v/>
      </c>
      <c r="G1378" s="19" t="str">
        <f aca="false">IF(C1378=0,"",IF($A1378="Bank",INDEX(Bank!$E:$E,$C1378),INDEX(GL!$E:$E,$C1378)))</f>
        <v/>
      </c>
      <c r="H1378" s="5" t="str">
        <f aca="false">IF(C1378=0,"",IF(A1378="GL",IF(G1378&gt;0,"Deposit in transit","Outstanding check / payment"),IF(G1378&gt;0,"Bank credit not in GL","Bank debit not in GL")))</f>
        <v/>
      </c>
      <c r="I1378" s="42" t="str">
        <f aca="false">IF(OR(C1378=0,CFG_PeriodEnd=""),"",CFG_PeriodEnd-D1378)</f>
        <v/>
      </c>
      <c r="J1378" s="5" t="str">
        <f aca="false">IF(C1378=0,"",IF($A1378="Bank",IF(INDEX(Bank!$G:$G,$C1378)="","",INDEX(Bank!$G:$G,$C1378)),IF(INDEX(GL!$G:$G,$C1378)="","",INDEX(GL!$G:$G,$C1378))))</f>
        <v/>
      </c>
      <c r="K1378" s="5" t="str">
        <f aca="false">IF(C1378=0,"",IF($A1378="Bank",IF(INDEX(Bank!$I:$I,$C1378)="","",INDEX(Bank!$I:$I,$C1378)),IF(INDEX(GL!$I:$I,$C1378)="","",INDEX(GL!$I:$I,$C1378))))</f>
        <v/>
      </c>
      <c r="L1378" s="5" t="str">
        <f aca="false">IF(B1378="","",IF(C1378=0,"NOT FOUND",IF(IF($A1378="Bank",INDEX(Bank!$F:$F,$C1378),INDEX(GL!$F:$F,$C1378))="Y","NOW RECONCILED: refresh","OK")))</f>
        <v/>
      </c>
    </row>
    <row r="1379" customFormat="false" ht="15" hidden="false" customHeight="false" outlineLevel="0" collapsed="false">
      <c r="A1379" s="41"/>
      <c r="B1379" s="41"/>
      <c r="C1379" s="5" t="n">
        <f aca="false">IF(B1379="",0,IF(A1379="Bank",IFERROR(MATCH(B1379,Bank!$A:$A,0),0),IFERROR(MATCH(B1379,GL!$A:$A,0),0)))</f>
        <v>0</v>
      </c>
      <c r="D1379" s="32" t="str">
        <f aca="false">IF(C1379=0,"",IF($A1379="Bank",INDEX(Bank!$B:$B,$C1379),INDEX(GL!$B:$B,$C1379)))</f>
        <v/>
      </c>
      <c r="E1379" s="5" t="str">
        <f aca="false">IF(C1379=0,"",IF($A1379="Bank",IF(INDEX(Bank!$C:$C,$C1379)="","",INDEX(Bank!$C:$C,$C1379)),IF(INDEX(GL!$C:$C,$C1379)="","",INDEX(GL!$C:$C,$C1379))))</f>
        <v/>
      </c>
      <c r="F1379" s="5" t="str">
        <f aca="false">IF(C1379=0,"",IF($A1379="Bank",IF(INDEX(Bank!$D:$D,$C1379)="","",INDEX(Bank!$D:$D,$C1379)),IF(INDEX(GL!$D:$D,$C1379)="","",INDEX(GL!$D:$D,$C1379))))</f>
        <v/>
      </c>
      <c r="G1379" s="19" t="str">
        <f aca="false">IF(C1379=0,"",IF($A1379="Bank",INDEX(Bank!$E:$E,$C1379),INDEX(GL!$E:$E,$C1379)))</f>
        <v/>
      </c>
      <c r="H1379" s="5" t="str">
        <f aca="false">IF(C1379=0,"",IF(A1379="GL",IF(G1379&gt;0,"Deposit in transit","Outstanding check / payment"),IF(G1379&gt;0,"Bank credit not in GL","Bank debit not in GL")))</f>
        <v/>
      </c>
      <c r="I1379" s="42" t="str">
        <f aca="false">IF(OR(C1379=0,CFG_PeriodEnd=""),"",CFG_PeriodEnd-D1379)</f>
        <v/>
      </c>
      <c r="J1379" s="5" t="str">
        <f aca="false">IF(C1379=0,"",IF($A1379="Bank",IF(INDEX(Bank!$G:$G,$C1379)="","",INDEX(Bank!$G:$G,$C1379)),IF(INDEX(GL!$G:$G,$C1379)="","",INDEX(GL!$G:$G,$C1379))))</f>
        <v/>
      </c>
      <c r="K1379" s="5" t="str">
        <f aca="false">IF(C1379=0,"",IF($A1379="Bank",IF(INDEX(Bank!$I:$I,$C1379)="","",INDEX(Bank!$I:$I,$C1379)),IF(INDEX(GL!$I:$I,$C1379)="","",INDEX(GL!$I:$I,$C1379))))</f>
        <v/>
      </c>
      <c r="L1379" s="5" t="str">
        <f aca="false">IF(B1379="","",IF(C1379=0,"NOT FOUND",IF(IF($A1379="Bank",INDEX(Bank!$F:$F,$C1379),INDEX(GL!$F:$F,$C1379))="Y","NOW RECONCILED: refresh","OK")))</f>
        <v/>
      </c>
    </row>
    <row r="1380" customFormat="false" ht="15" hidden="false" customHeight="false" outlineLevel="0" collapsed="false">
      <c r="A1380" s="41"/>
      <c r="B1380" s="41"/>
      <c r="C1380" s="5" t="n">
        <f aca="false">IF(B1380="",0,IF(A1380="Bank",IFERROR(MATCH(B1380,Bank!$A:$A,0),0),IFERROR(MATCH(B1380,GL!$A:$A,0),0)))</f>
        <v>0</v>
      </c>
      <c r="D1380" s="32" t="str">
        <f aca="false">IF(C1380=0,"",IF($A1380="Bank",INDEX(Bank!$B:$B,$C1380),INDEX(GL!$B:$B,$C1380)))</f>
        <v/>
      </c>
      <c r="E1380" s="5" t="str">
        <f aca="false">IF(C1380=0,"",IF($A1380="Bank",IF(INDEX(Bank!$C:$C,$C1380)="","",INDEX(Bank!$C:$C,$C1380)),IF(INDEX(GL!$C:$C,$C1380)="","",INDEX(GL!$C:$C,$C1380))))</f>
        <v/>
      </c>
      <c r="F1380" s="5" t="str">
        <f aca="false">IF(C1380=0,"",IF($A1380="Bank",IF(INDEX(Bank!$D:$D,$C1380)="","",INDEX(Bank!$D:$D,$C1380)),IF(INDEX(GL!$D:$D,$C1380)="","",INDEX(GL!$D:$D,$C1380))))</f>
        <v/>
      </c>
      <c r="G1380" s="19" t="str">
        <f aca="false">IF(C1380=0,"",IF($A1380="Bank",INDEX(Bank!$E:$E,$C1380),INDEX(GL!$E:$E,$C1380)))</f>
        <v/>
      </c>
      <c r="H1380" s="5" t="str">
        <f aca="false">IF(C1380=0,"",IF(A1380="GL",IF(G1380&gt;0,"Deposit in transit","Outstanding check / payment"),IF(G1380&gt;0,"Bank credit not in GL","Bank debit not in GL")))</f>
        <v/>
      </c>
      <c r="I1380" s="42" t="str">
        <f aca="false">IF(OR(C1380=0,CFG_PeriodEnd=""),"",CFG_PeriodEnd-D1380)</f>
        <v/>
      </c>
      <c r="J1380" s="5" t="str">
        <f aca="false">IF(C1380=0,"",IF($A1380="Bank",IF(INDEX(Bank!$G:$G,$C1380)="","",INDEX(Bank!$G:$G,$C1380)),IF(INDEX(GL!$G:$G,$C1380)="","",INDEX(GL!$G:$G,$C1380))))</f>
        <v/>
      </c>
      <c r="K1380" s="5" t="str">
        <f aca="false">IF(C1380=0,"",IF($A1380="Bank",IF(INDEX(Bank!$I:$I,$C1380)="","",INDEX(Bank!$I:$I,$C1380)),IF(INDEX(GL!$I:$I,$C1380)="","",INDEX(GL!$I:$I,$C1380))))</f>
        <v/>
      </c>
      <c r="L1380" s="5" t="str">
        <f aca="false">IF(B1380="","",IF(C1380=0,"NOT FOUND",IF(IF($A1380="Bank",INDEX(Bank!$F:$F,$C1380),INDEX(GL!$F:$F,$C1380))="Y","NOW RECONCILED: refresh","OK")))</f>
        <v/>
      </c>
    </row>
    <row r="1381" customFormat="false" ht="15" hidden="false" customHeight="false" outlineLevel="0" collapsed="false">
      <c r="A1381" s="41"/>
      <c r="B1381" s="41"/>
      <c r="C1381" s="5" t="n">
        <f aca="false">IF(B1381="",0,IF(A1381="Bank",IFERROR(MATCH(B1381,Bank!$A:$A,0),0),IFERROR(MATCH(B1381,GL!$A:$A,0),0)))</f>
        <v>0</v>
      </c>
      <c r="D1381" s="32" t="str">
        <f aca="false">IF(C1381=0,"",IF($A1381="Bank",INDEX(Bank!$B:$B,$C1381),INDEX(GL!$B:$B,$C1381)))</f>
        <v/>
      </c>
      <c r="E1381" s="5" t="str">
        <f aca="false">IF(C1381=0,"",IF($A1381="Bank",IF(INDEX(Bank!$C:$C,$C1381)="","",INDEX(Bank!$C:$C,$C1381)),IF(INDEX(GL!$C:$C,$C1381)="","",INDEX(GL!$C:$C,$C1381))))</f>
        <v/>
      </c>
      <c r="F1381" s="5" t="str">
        <f aca="false">IF(C1381=0,"",IF($A1381="Bank",IF(INDEX(Bank!$D:$D,$C1381)="","",INDEX(Bank!$D:$D,$C1381)),IF(INDEX(GL!$D:$D,$C1381)="","",INDEX(GL!$D:$D,$C1381))))</f>
        <v/>
      </c>
      <c r="G1381" s="19" t="str">
        <f aca="false">IF(C1381=0,"",IF($A1381="Bank",INDEX(Bank!$E:$E,$C1381),INDEX(GL!$E:$E,$C1381)))</f>
        <v/>
      </c>
      <c r="H1381" s="5" t="str">
        <f aca="false">IF(C1381=0,"",IF(A1381="GL",IF(G1381&gt;0,"Deposit in transit","Outstanding check / payment"),IF(G1381&gt;0,"Bank credit not in GL","Bank debit not in GL")))</f>
        <v/>
      </c>
      <c r="I1381" s="42" t="str">
        <f aca="false">IF(OR(C1381=0,CFG_PeriodEnd=""),"",CFG_PeriodEnd-D1381)</f>
        <v/>
      </c>
      <c r="J1381" s="5" t="str">
        <f aca="false">IF(C1381=0,"",IF($A1381="Bank",IF(INDEX(Bank!$G:$G,$C1381)="","",INDEX(Bank!$G:$G,$C1381)),IF(INDEX(GL!$G:$G,$C1381)="","",INDEX(GL!$G:$G,$C1381))))</f>
        <v/>
      </c>
      <c r="K1381" s="5" t="str">
        <f aca="false">IF(C1381=0,"",IF($A1381="Bank",IF(INDEX(Bank!$I:$I,$C1381)="","",INDEX(Bank!$I:$I,$C1381)),IF(INDEX(GL!$I:$I,$C1381)="","",INDEX(GL!$I:$I,$C1381))))</f>
        <v/>
      </c>
      <c r="L1381" s="5" t="str">
        <f aca="false">IF(B1381="","",IF(C1381=0,"NOT FOUND",IF(IF($A1381="Bank",INDEX(Bank!$F:$F,$C1381),INDEX(GL!$F:$F,$C1381))="Y","NOW RECONCILED: refresh","OK")))</f>
        <v/>
      </c>
    </row>
    <row r="1382" customFormat="false" ht="15" hidden="false" customHeight="false" outlineLevel="0" collapsed="false">
      <c r="A1382" s="41"/>
      <c r="B1382" s="41"/>
      <c r="C1382" s="5" t="n">
        <f aca="false">IF(B1382="",0,IF(A1382="Bank",IFERROR(MATCH(B1382,Bank!$A:$A,0),0),IFERROR(MATCH(B1382,GL!$A:$A,0),0)))</f>
        <v>0</v>
      </c>
      <c r="D1382" s="32" t="str">
        <f aca="false">IF(C1382=0,"",IF($A1382="Bank",INDEX(Bank!$B:$B,$C1382),INDEX(GL!$B:$B,$C1382)))</f>
        <v/>
      </c>
      <c r="E1382" s="5" t="str">
        <f aca="false">IF(C1382=0,"",IF($A1382="Bank",IF(INDEX(Bank!$C:$C,$C1382)="","",INDEX(Bank!$C:$C,$C1382)),IF(INDEX(GL!$C:$C,$C1382)="","",INDEX(GL!$C:$C,$C1382))))</f>
        <v/>
      </c>
      <c r="F1382" s="5" t="str">
        <f aca="false">IF(C1382=0,"",IF($A1382="Bank",IF(INDEX(Bank!$D:$D,$C1382)="","",INDEX(Bank!$D:$D,$C1382)),IF(INDEX(GL!$D:$D,$C1382)="","",INDEX(GL!$D:$D,$C1382))))</f>
        <v/>
      </c>
      <c r="G1382" s="19" t="str">
        <f aca="false">IF(C1382=0,"",IF($A1382="Bank",INDEX(Bank!$E:$E,$C1382),INDEX(GL!$E:$E,$C1382)))</f>
        <v/>
      </c>
      <c r="H1382" s="5" t="str">
        <f aca="false">IF(C1382=0,"",IF(A1382="GL",IF(G1382&gt;0,"Deposit in transit","Outstanding check / payment"),IF(G1382&gt;0,"Bank credit not in GL","Bank debit not in GL")))</f>
        <v/>
      </c>
      <c r="I1382" s="42" t="str">
        <f aca="false">IF(OR(C1382=0,CFG_PeriodEnd=""),"",CFG_PeriodEnd-D1382)</f>
        <v/>
      </c>
      <c r="J1382" s="5" t="str">
        <f aca="false">IF(C1382=0,"",IF($A1382="Bank",IF(INDEX(Bank!$G:$G,$C1382)="","",INDEX(Bank!$G:$G,$C1382)),IF(INDEX(GL!$G:$G,$C1382)="","",INDEX(GL!$G:$G,$C1382))))</f>
        <v/>
      </c>
      <c r="K1382" s="5" t="str">
        <f aca="false">IF(C1382=0,"",IF($A1382="Bank",IF(INDEX(Bank!$I:$I,$C1382)="","",INDEX(Bank!$I:$I,$C1382)),IF(INDEX(GL!$I:$I,$C1382)="","",INDEX(GL!$I:$I,$C1382))))</f>
        <v/>
      </c>
      <c r="L1382" s="5" t="str">
        <f aca="false">IF(B1382="","",IF(C1382=0,"NOT FOUND",IF(IF($A1382="Bank",INDEX(Bank!$F:$F,$C1382),INDEX(GL!$F:$F,$C1382))="Y","NOW RECONCILED: refresh","OK")))</f>
        <v/>
      </c>
    </row>
    <row r="1383" customFormat="false" ht="15" hidden="false" customHeight="false" outlineLevel="0" collapsed="false">
      <c r="A1383" s="41"/>
      <c r="B1383" s="41"/>
      <c r="C1383" s="5" t="n">
        <f aca="false">IF(B1383="",0,IF(A1383="Bank",IFERROR(MATCH(B1383,Bank!$A:$A,0),0),IFERROR(MATCH(B1383,GL!$A:$A,0),0)))</f>
        <v>0</v>
      </c>
      <c r="D1383" s="32" t="str">
        <f aca="false">IF(C1383=0,"",IF($A1383="Bank",INDEX(Bank!$B:$B,$C1383),INDEX(GL!$B:$B,$C1383)))</f>
        <v/>
      </c>
      <c r="E1383" s="5" t="str">
        <f aca="false">IF(C1383=0,"",IF($A1383="Bank",IF(INDEX(Bank!$C:$C,$C1383)="","",INDEX(Bank!$C:$C,$C1383)),IF(INDEX(GL!$C:$C,$C1383)="","",INDEX(GL!$C:$C,$C1383))))</f>
        <v/>
      </c>
      <c r="F1383" s="5" t="str">
        <f aca="false">IF(C1383=0,"",IF($A1383="Bank",IF(INDEX(Bank!$D:$D,$C1383)="","",INDEX(Bank!$D:$D,$C1383)),IF(INDEX(GL!$D:$D,$C1383)="","",INDEX(GL!$D:$D,$C1383))))</f>
        <v/>
      </c>
      <c r="G1383" s="19" t="str">
        <f aca="false">IF(C1383=0,"",IF($A1383="Bank",INDEX(Bank!$E:$E,$C1383),INDEX(GL!$E:$E,$C1383)))</f>
        <v/>
      </c>
      <c r="H1383" s="5" t="str">
        <f aca="false">IF(C1383=0,"",IF(A1383="GL",IF(G1383&gt;0,"Deposit in transit","Outstanding check / payment"),IF(G1383&gt;0,"Bank credit not in GL","Bank debit not in GL")))</f>
        <v/>
      </c>
      <c r="I1383" s="42" t="str">
        <f aca="false">IF(OR(C1383=0,CFG_PeriodEnd=""),"",CFG_PeriodEnd-D1383)</f>
        <v/>
      </c>
      <c r="J1383" s="5" t="str">
        <f aca="false">IF(C1383=0,"",IF($A1383="Bank",IF(INDEX(Bank!$G:$G,$C1383)="","",INDEX(Bank!$G:$G,$C1383)),IF(INDEX(GL!$G:$G,$C1383)="","",INDEX(GL!$G:$G,$C1383))))</f>
        <v/>
      </c>
      <c r="K1383" s="5" t="str">
        <f aca="false">IF(C1383=0,"",IF($A1383="Bank",IF(INDEX(Bank!$I:$I,$C1383)="","",INDEX(Bank!$I:$I,$C1383)),IF(INDEX(GL!$I:$I,$C1383)="","",INDEX(GL!$I:$I,$C1383))))</f>
        <v/>
      </c>
      <c r="L1383" s="5" t="str">
        <f aca="false">IF(B1383="","",IF(C1383=0,"NOT FOUND",IF(IF($A1383="Bank",INDEX(Bank!$F:$F,$C1383),INDEX(GL!$F:$F,$C1383))="Y","NOW RECONCILED: refresh","OK")))</f>
        <v/>
      </c>
    </row>
    <row r="1384" customFormat="false" ht="15" hidden="false" customHeight="false" outlineLevel="0" collapsed="false">
      <c r="A1384" s="41"/>
      <c r="B1384" s="41"/>
      <c r="C1384" s="5" t="n">
        <f aca="false">IF(B1384="",0,IF(A1384="Bank",IFERROR(MATCH(B1384,Bank!$A:$A,0),0),IFERROR(MATCH(B1384,GL!$A:$A,0),0)))</f>
        <v>0</v>
      </c>
      <c r="D1384" s="32" t="str">
        <f aca="false">IF(C1384=0,"",IF($A1384="Bank",INDEX(Bank!$B:$B,$C1384),INDEX(GL!$B:$B,$C1384)))</f>
        <v/>
      </c>
      <c r="E1384" s="5" t="str">
        <f aca="false">IF(C1384=0,"",IF($A1384="Bank",IF(INDEX(Bank!$C:$C,$C1384)="","",INDEX(Bank!$C:$C,$C1384)),IF(INDEX(GL!$C:$C,$C1384)="","",INDEX(GL!$C:$C,$C1384))))</f>
        <v/>
      </c>
      <c r="F1384" s="5" t="str">
        <f aca="false">IF(C1384=0,"",IF($A1384="Bank",IF(INDEX(Bank!$D:$D,$C1384)="","",INDEX(Bank!$D:$D,$C1384)),IF(INDEX(GL!$D:$D,$C1384)="","",INDEX(GL!$D:$D,$C1384))))</f>
        <v/>
      </c>
      <c r="G1384" s="19" t="str">
        <f aca="false">IF(C1384=0,"",IF($A1384="Bank",INDEX(Bank!$E:$E,$C1384),INDEX(GL!$E:$E,$C1384)))</f>
        <v/>
      </c>
      <c r="H1384" s="5" t="str">
        <f aca="false">IF(C1384=0,"",IF(A1384="GL",IF(G1384&gt;0,"Deposit in transit","Outstanding check / payment"),IF(G1384&gt;0,"Bank credit not in GL","Bank debit not in GL")))</f>
        <v/>
      </c>
      <c r="I1384" s="42" t="str">
        <f aca="false">IF(OR(C1384=0,CFG_PeriodEnd=""),"",CFG_PeriodEnd-D1384)</f>
        <v/>
      </c>
      <c r="J1384" s="5" t="str">
        <f aca="false">IF(C1384=0,"",IF($A1384="Bank",IF(INDEX(Bank!$G:$G,$C1384)="","",INDEX(Bank!$G:$G,$C1384)),IF(INDEX(GL!$G:$G,$C1384)="","",INDEX(GL!$G:$G,$C1384))))</f>
        <v/>
      </c>
      <c r="K1384" s="5" t="str">
        <f aca="false">IF(C1384=0,"",IF($A1384="Bank",IF(INDEX(Bank!$I:$I,$C1384)="","",INDEX(Bank!$I:$I,$C1384)),IF(INDEX(GL!$I:$I,$C1384)="","",INDEX(GL!$I:$I,$C1384))))</f>
        <v/>
      </c>
      <c r="L1384" s="5" t="str">
        <f aca="false">IF(B1384="","",IF(C1384=0,"NOT FOUND",IF(IF($A1384="Bank",INDEX(Bank!$F:$F,$C1384),INDEX(GL!$F:$F,$C1384))="Y","NOW RECONCILED: refresh","OK")))</f>
        <v/>
      </c>
    </row>
    <row r="1385" customFormat="false" ht="15" hidden="false" customHeight="false" outlineLevel="0" collapsed="false">
      <c r="A1385" s="41"/>
      <c r="B1385" s="41"/>
      <c r="C1385" s="5" t="n">
        <f aca="false">IF(B1385="",0,IF(A1385="Bank",IFERROR(MATCH(B1385,Bank!$A:$A,0),0),IFERROR(MATCH(B1385,GL!$A:$A,0),0)))</f>
        <v>0</v>
      </c>
      <c r="D1385" s="32" t="str">
        <f aca="false">IF(C1385=0,"",IF($A1385="Bank",INDEX(Bank!$B:$B,$C1385),INDEX(GL!$B:$B,$C1385)))</f>
        <v/>
      </c>
      <c r="E1385" s="5" t="str">
        <f aca="false">IF(C1385=0,"",IF($A1385="Bank",IF(INDEX(Bank!$C:$C,$C1385)="","",INDEX(Bank!$C:$C,$C1385)),IF(INDEX(GL!$C:$C,$C1385)="","",INDEX(GL!$C:$C,$C1385))))</f>
        <v/>
      </c>
      <c r="F1385" s="5" t="str">
        <f aca="false">IF(C1385=0,"",IF($A1385="Bank",IF(INDEX(Bank!$D:$D,$C1385)="","",INDEX(Bank!$D:$D,$C1385)),IF(INDEX(GL!$D:$D,$C1385)="","",INDEX(GL!$D:$D,$C1385))))</f>
        <v/>
      </c>
      <c r="G1385" s="19" t="str">
        <f aca="false">IF(C1385=0,"",IF($A1385="Bank",INDEX(Bank!$E:$E,$C1385),INDEX(GL!$E:$E,$C1385)))</f>
        <v/>
      </c>
      <c r="H1385" s="5" t="str">
        <f aca="false">IF(C1385=0,"",IF(A1385="GL",IF(G1385&gt;0,"Deposit in transit","Outstanding check / payment"),IF(G1385&gt;0,"Bank credit not in GL","Bank debit not in GL")))</f>
        <v/>
      </c>
      <c r="I1385" s="42" t="str">
        <f aca="false">IF(OR(C1385=0,CFG_PeriodEnd=""),"",CFG_PeriodEnd-D1385)</f>
        <v/>
      </c>
      <c r="J1385" s="5" t="str">
        <f aca="false">IF(C1385=0,"",IF($A1385="Bank",IF(INDEX(Bank!$G:$G,$C1385)="","",INDEX(Bank!$G:$G,$C1385)),IF(INDEX(GL!$G:$G,$C1385)="","",INDEX(GL!$G:$G,$C1385))))</f>
        <v/>
      </c>
      <c r="K1385" s="5" t="str">
        <f aca="false">IF(C1385=0,"",IF($A1385="Bank",IF(INDEX(Bank!$I:$I,$C1385)="","",INDEX(Bank!$I:$I,$C1385)),IF(INDEX(GL!$I:$I,$C1385)="","",INDEX(GL!$I:$I,$C1385))))</f>
        <v/>
      </c>
      <c r="L1385" s="5" t="str">
        <f aca="false">IF(B1385="","",IF(C1385=0,"NOT FOUND",IF(IF($A1385="Bank",INDEX(Bank!$F:$F,$C1385),INDEX(GL!$F:$F,$C1385))="Y","NOW RECONCILED: refresh","OK")))</f>
        <v/>
      </c>
    </row>
    <row r="1386" customFormat="false" ht="15" hidden="false" customHeight="false" outlineLevel="0" collapsed="false">
      <c r="A1386" s="41"/>
      <c r="B1386" s="41"/>
      <c r="C1386" s="5" t="n">
        <f aca="false">IF(B1386="",0,IF(A1386="Bank",IFERROR(MATCH(B1386,Bank!$A:$A,0),0),IFERROR(MATCH(B1386,GL!$A:$A,0),0)))</f>
        <v>0</v>
      </c>
      <c r="D1386" s="32" t="str">
        <f aca="false">IF(C1386=0,"",IF($A1386="Bank",INDEX(Bank!$B:$B,$C1386),INDEX(GL!$B:$B,$C1386)))</f>
        <v/>
      </c>
      <c r="E1386" s="5" t="str">
        <f aca="false">IF(C1386=0,"",IF($A1386="Bank",IF(INDEX(Bank!$C:$C,$C1386)="","",INDEX(Bank!$C:$C,$C1386)),IF(INDEX(GL!$C:$C,$C1386)="","",INDEX(GL!$C:$C,$C1386))))</f>
        <v/>
      </c>
      <c r="F1386" s="5" t="str">
        <f aca="false">IF(C1386=0,"",IF($A1386="Bank",IF(INDEX(Bank!$D:$D,$C1386)="","",INDEX(Bank!$D:$D,$C1386)),IF(INDEX(GL!$D:$D,$C1386)="","",INDEX(GL!$D:$D,$C1386))))</f>
        <v/>
      </c>
      <c r="G1386" s="19" t="str">
        <f aca="false">IF(C1386=0,"",IF($A1386="Bank",INDEX(Bank!$E:$E,$C1386),INDEX(GL!$E:$E,$C1386)))</f>
        <v/>
      </c>
      <c r="H1386" s="5" t="str">
        <f aca="false">IF(C1386=0,"",IF(A1386="GL",IF(G1386&gt;0,"Deposit in transit","Outstanding check / payment"),IF(G1386&gt;0,"Bank credit not in GL","Bank debit not in GL")))</f>
        <v/>
      </c>
      <c r="I1386" s="42" t="str">
        <f aca="false">IF(OR(C1386=0,CFG_PeriodEnd=""),"",CFG_PeriodEnd-D1386)</f>
        <v/>
      </c>
      <c r="J1386" s="5" t="str">
        <f aca="false">IF(C1386=0,"",IF($A1386="Bank",IF(INDEX(Bank!$G:$G,$C1386)="","",INDEX(Bank!$G:$G,$C1386)),IF(INDEX(GL!$G:$G,$C1386)="","",INDEX(GL!$G:$G,$C1386))))</f>
        <v/>
      </c>
      <c r="K1386" s="5" t="str">
        <f aca="false">IF(C1386=0,"",IF($A1386="Bank",IF(INDEX(Bank!$I:$I,$C1386)="","",INDEX(Bank!$I:$I,$C1386)),IF(INDEX(GL!$I:$I,$C1386)="","",INDEX(GL!$I:$I,$C1386))))</f>
        <v/>
      </c>
      <c r="L1386" s="5" t="str">
        <f aca="false">IF(B1386="","",IF(C1386=0,"NOT FOUND",IF(IF($A1386="Bank",INDEX(Bank!$F:$F,$C1386),INDEX(GL!$F:$F,$C1386))="Y","NOW RECONCILED: refresh","OK")))</f>
        <v/>
      </c>
    </row>
    <row r="1387" customFormat="false" ht="15" hidden="false" customHeight="false" outlineLevel="0" collapsed="false">
      <c r="A1387" s="41"/>
      <c r="B1387" s="41"/>
      <c r="C1387" s="5" t="n">
        <f aca="false">IF(B1387="",0,IF(A1387="Bank",IFERROR(MATCH(B1387,Bank!$A:$A,0),0),IFERROR(MATCH(B1387,GL!$A:$A,0),0)))</f>
        <v>0</v>
      </c>
      <c r="D1387" s="32" t="str">
        <f aca="false">IF(C1387=0,"",IF($A1387="Bank",INDEX(Bank!$B:$B,$C1387),INDEX(GL!$B:$B,$C1387)))</f>
        <v/>
      </c>
      <c r="E1387" s="5" t="str">
        <f aca="false">IF(C1387=0,"",IF($A1387="Bank",IF(INDEX(Bank!$C:$C,$C1387)="","",INDEX(Bank!$C:$C,$C1387)),IF(INDEX(GL!$C:$C,$C1387)="","",INDEX(GL!$C:$C,$C1387))))</f>
        <v/>
      </c>
      <c r="F1387" s="5" t="str">
        <f aca="false">IF(C1387=0,"",IF($A1387="Bank",IF(INDEX(Bank!$D:$D,$C1387)="","",INDEX(Bank!$D:$D,$C1387)),IF(INDEX(GL!$D:$D,$C1387)="","",INDEX(GL!$D:$D,$C1387))))</f>
        <v/>
      </c>
      <c r="G1387" s="19" t="str">
        <f aca="false">IF(C1387=0,"",IF($A1387="Bank",INDEX(Bank!$E:$E,$C1387),INDEX(GL!$E:$E,$C1387)))</f>
        <v/>
      </c>
      <c r="H1387" s="5" t="str">
        <f aca="false">IF(C1387=0,"",IF(A1387="GL",IF(G1387&gt;0,"Deposit in transit","Outstanding check / payment"),IF(G1387&gt;0,"Bank credit not in GL","Bank debit not in GL")))</f>
        <v/>
      </c>
      <c r="I1387" s="42" t="str">
        <f aca="false">IF(OR(C1387=0,CFG_PeriodEnd=""),"",CFG_PeriodEnd-D1387)</f>
        <v/>
      </c>
      <c r="J1387" s="5" t="str">
        <f aca="false">IF(C1387=0,"",IF($A1387="Bank",IF(INDEX(Bank!$G:$G,$C1387)="","",INDEX(Bank!$G:$G,$C1387)),IF(INDEX(GL!$G:$G,$C1387)="","",INDEX(GL!$G:$G,$C1387))))</f>
        <v/>
      </c>
      <c r="K1387" s="5" t="str">
        <f aca="false">IF(C1387=0,"",IF($A1387="Bank",IF(INDEX(Bank!$I:$I,$C1387)="","",INDEX(Bank!$I:$I,$C1387)),IF(INDEX(GL!$I:$I,$C1387)="","",INDEX(GL!$I:$I,$C1387))))</f>
        <v/>
      </c>
      <c r="L1387" s="5" t="str">
        <f aca="false">IF(B1387="","",IF(C1387=0,"NOT FOUND",IF(IF($A1387="Bank",INDEX(Bank!$F:$F,$C1387),INDEX(GL!$F:$F,$C1387))="Y","NOW RECONCILED: refresh","OK")))</f>
        <v/>
      </c>
    </row>
    <row r="1388" customFormat="false" ht="15" hidden="false" customHeight="false" outlineLevel="0" collapsed="false">
      <c r="A1388" s="41"/>
      <c r="B1388" s="41"/>
      <c r="C1388" s="5" t="n">
        <f aca="false">IF(B1388="",0,IF(A1388="Bank",IFERROR(MATCH(B1388,Bank!$A:$A,0),0),IFERROR(MATCH(B1388,GL!$A:$A,0),0)))</f>
        <v>0</v>
      </c>
      <c r="D1388" s="32" t="str">
        <f aca="false">IF(C1388=0,"",IF($A1388="Bank",INDEX(Bank!$B:$B,$C1388),INDEX(GL!$B:$B,$C1388)))</f>
        <v/>
      </c>
      <c r="E1388" s="5" t="str">
        <f aca="false">IF(C1388=0,"",IF($A1388="Bank",IF(INDEX(Bank!$C:$C,$C1388)="","",INDEX(Bank!$C:$C,$C1388)),IF(INDEX(GL!$C:$C,$C1388)="","",INDEX(GL!$C:$C,$C1388))))</f>
        <v/>
      </c>
      <c r="F1388" s="5" t="str">
        <f aca="false">IF(C1388=0,"",IF($A1388="Bank",IF(INDEX(Bank!$D:$D,$C1388)="","",INDEX(Bank!$D:$D,$C1388)),IF(INDEX(GL!$D:$D,$C1388)="","",INDEX(GL!$D:$D,$C1388))))</f>
        <v/>
      </c>
      <c r="G1388" s="19" t="str">
        <f aca="false">IF(C1388=0,"",IF($A1388="Bank",INDEX(Bank!$E:$E,$C1388),INDEX(GL!$E:$E,$C1388)))</f>
        <v/>
      </c>
      <c r="H1388" s="5" t="str">
        <f aca="false">IF(C1388=0,"",IF(A1388="GL",IF(G1388&gt;0,"Deposit in transit","Outstanding check / payment"),IF(G1388&gt;0,"Bank credit not in GL","Bank debit not in GL")))</f>
        <v/>
      </c>
      <c r="I1388" s="42" t="str">
        <f aca="false">IF(OR(C1388=0,CFG_PeriodEnd=""),"",CFG_PeriodEnd-D1388)</f>
        <v/>
      </c>
      <c r="J1388" s="5" t="str">
        <f aca="false">IF(C1388=0,"",IF($A1388="Bank",IF(INDEX(Bank!$G:$G,$C1388)="","",INDEX(Bank!$G:$G,$C1388)),IF(INDEX(GL!$G:$G,$C1388)="","",INDEX(GL!$G:$G,$C1388))))</f>
        <v/>
      </c>
      <c r="K1388" s="5" t="str">
        <f aca="false">IF(C1388=0,"",IF($A1388="Bank",IF(INDEX(Bank!$I:$I,$C1388)="","",INDEX(Bank!$I:$I,$C1388)),IF(INDEX(GL!$I:$I,$C1388)="","",INDEX(GL!$I:$I,$C1388))))</f>
        <v/>
      </c>
      <c r="L1388" s="5" t="str">
        <f aca="false">IF(B1388="","",IF(C1388=0,"NOT FOUND",IF(IF($A1388="Bank",INDEX(Bank!$F:$F,$C1388),INDEX(GL!$F:$F,$C1388))="Y","NOW RECONCILED: refresh","OK")))</f>
        <v/>
      </c>
    </row>
    <row r="1389" customFormat="false" ht="15" hidden="false" customHeight="false" outlineLevel="0" collapsed="false">
      <c r="A1389" s="41"/>
      <c r="B1389" s="41"/>
      <c r="C1389" s="5" t="n">
        <f aca="false">IF(B1389="",0,IF(A1389="Bank",IFERROR(MATCH(B1389,Bank!$A:$A,0),0),IFERROR(MATCH(B1389,GL!$A:$A,0),0)))</f>
        <v>0</v>
      </c>
      <c r="D1389" s="32" t="str">
        <f aca="false">IF(C1389=0,"",IF($A1389="Bank",INDEX(Bank!$B:$B,$C1389),INDEX(GL!$B:$B,$C1389)))</f>
        <v/>
      </c>
      <c r="E1389" s="5" t="str">
        <f aca="false">IF(C1389=0,"",IF($A1389="Bank",IF(INDEX(Bank!$C:$C,$C1389)="","",INDEX(Bank!$C:$C,$C1389)),IF(INDEX(GL!$C:$C,$C1389)="","",INDEX(GL!$C:$C,$C1389))))</f>
        <v/>
      </c>
      <c r="F1389" s="5" t="str">
        <f aca="false">IF(C1389=0,"",IF($A1389="Bank",IF(INDEX(Bank!$D:$D,$C1389)="","",INDEX(Bank!$D:$D,$C1389)),IF(INDEX(GL!$D:$D,$C1389)="","",INDEX(GL!$D:$D,$C1389))))</f>
        <v/>
      </c>
      <c r="G1389" s="19" t="str">
        <f aca="false">IF(C1389=0,"",IF($A1389="Bank",INDEX(Bank!$E:$E,$C1389),INDEX(GL!$E:$E,$C1389)))</f>
        <v/>
      </c>
      <c r="H1389" s="5" t="str">
        <f aca="false">IF(C1389=0,"",IF(A1389="GL",IF(G1389&gt;0,"Deposit in transit","Outstanding check / payment"),IF(G1389&gt;0,"Bank credit not in GL","Bank debit not in GL")))</f>
        <v/>
      </c>
      <c r="I1389" s="42" t="str">
        <f aca="false">IF(OR(C1389=0,CFG_PeriodEnd=""),"",CFG_PeriodEnd-D1389)</f>
        <v/>
      </c>
      <c r="J1389" s="5" t="str">
        <f aca="false">IF(C1389=0,"",IF($A1389="Bank",IF(INDEX(Bank!$G:$G,$C1389)="","",INDEX(Bank!$G:$G,$C1389)),IF(INDEX(GL!$G:$G,$C1389)="","",INDEX(GL!$G:$G,$C1389))))</f>
        <v/>
      </c>
      <c r="K1389" s="5" t="str">
        <f aca="false">IF(C1389=0,"",IF($A1389="Bank",IF(INDEX(Bank!$I:$I,$C1389)="","",INDEX(Bank!$I:$I,$C1389)),IF(INDEX(GL!$I:$I,$C1389)="","",INDEX(GL!$I:$I,$C1389))))</f>
        <v/>
      </c>
      <c r="L1389" s="5" t="str">
        <f aca="false">IF(B1389="","",IF(C1389=0,"NOT FOUND",IF(IF($A1389="Bank",INDEX(Bank!$F:$F,$C1389),INDEX(GL!$F:$F,$C1389))="Y","NOW RECONCILED: refresh","OK")))</f>
        <v/>
      </c>
    </row>
    <row r="1390" customFormat="false" ht="15" hidden="false" customHeight="false" outlineLevel="0" collapsed="false">
      <c r="A1390" s="41"/>
      <c r="B1390" s="41"/>
      <c r="C1390" s="5" t="n">
        <f aca="false">IF(B1390="",0,IF(A1390="Bank",IFERROR(MATCH(B1390,Bank!$A:$A,0),0),IFERROR(MATCH(B1390,GL!$A:$A,0),0)))</f>
        <v>0</v>
      </c>
      <c r="D1390" s="32" t="str">
        <f aca="false">IF(C1390=0,"",IF($A1390="Bank",INDEX(Bank!$B:$B,$C1390),INDEX(GL!$B:$B,$C1390)))</f>
        <v/>
      </c>
      <c r="E1390" s="5" t="str">
        <f aca="false">IF(C1390=0,"",IF($A1390="Bank",IF(INDEX(Bank!$C:$C,$C1390)="","",INDEX(Bank!$C:$C,$C1390)),IF(INDEX(GL!$C:$C,$C1390)="","",INDEX(GL!$C:$C,$C1390))))</f>
        <v/>
      </c>
      <c r="F1390" s="5" t="str">
        <f aca="false">IF(C1390=0,"",IF($A1390="Bank",IF(INDEX(Bank!$D:$D,$C1390)="","",INDEX(Bank!$D:$D,$C1390)),IF(INDEX(GL!$D:$D,$C1390)="","",INDEX(GL!$D:$D,$C1390))))</f>
        <v/>
      </c>
      <c r="G1390" s="19" t="str">
        <f aca="false">IF(C1390=0,"",IF($A1390="Bank",INDEX(Bank!$E:$E,$C1390),INDEX(GL!$E:$E,$C1390)))</f>
        <v/>
      </c>
      <c r="H1390" s="5" t="str">
        <f aca="false">IF(C1390=0,"",IF(A1390="GL",IF(G1390&gt;0,"Deposit in transit","Outstanding check / payment"),IF(G1390&gt;0,"Bank credit not in GL","Bank debit not in GL")))</f>
        <v/>
      </c>
      <c r="I1390" s="42" t="str">
        <f aca="false">IF(OR(C1390=0,CFG_PeriodEnd=""),"",CFG_PeriodEnd-D1390)</f>
        <v/>
      </c>
      <c r="J1390" s="5" t="str">
        <f aca="false">IF(C1390=0,"",IF($A1390="Bank",IF(INDEX(Bank!$G:$G,$C1390)="","",INDEX(Bank!$G:$G,$C1390)),IF(INDEX(GL!$G:$G,$C1390)="","",INDEX(GL!$G:$G,$C1390))))</f>
        <v/>
      </c>
      <c r="K1390" s="5" t="str">
        <f aca="false">IF(C1390=0,"",IF($A1390="Bank",IF(INDEX(Bank!$I:$I,$C1390)="","",INDEX(Bank!$I:$I,$C1390)),IF(INDEX(GL!$I:$I,$C1390)="","",INDEX(GL!$I:$I,$C1390))))</f>
        <v/>
      </c>
      <c r="L1390" s="5" t="str">
        <f aca="false">IF(B1390="","",IF(C1390=0,"NOT FOUND",IF(IF($A1390="Bank",INDEX(Bank!$F:$F,$C1390),INDEX(GL!$F:$F,$C1390))="Y","NOW RECONCILED: refresh","OK")))</f>
        <v/>
      </c>
    </row>
    <row r="1391" customFormat="false" ht="15" hidden="false" customHeight="false" outlineLevel="0" collapsed="false">
      <c r="A1391" s="41"/>
      <c r="B1391" s="41"/>
      <c r="C1391" s="5" t="n">
        <f aca="false">IF(B1391="",0,IF(A1391="Bank",IFERROR(MATCH(B1391,Bank!$A:$A,0),0),IFERROR(MATCH(B1391,GL!$A:$A,0),0)))</f>
        <v>0</v>
      </c>
      <c r="D1391" s="32" t="str">
        <f aca="false">IF(C1391=0,"",IF($A1391="Bank",INDEX(Bank!$B:$B,$C1391),INDEX(GL!$B:$B,$C1391)))</f>
        <v/>
      </c>
      <c r="E1391" s="5" t="str">
        <f aca="false">IF(C1391=0,"",IF($A1391="Bank",IF(INDEX(Bank!$C:$C,$C1391)="","",INDEX(Bank!$C:$C,$C1391)),IF(INDEX(GL!$C:$C,$C1391)="","",INDEX(GL!$C:$C,$C1391))))</f>
        <v/>
      </c>
      <c r="F1391" s="5" t="str">
        <f aca="false">IF(C1391=0,"",IF($A1391="Bank",IF(INDEX(Bank!$D:$D,$C1391)="","",INDEX(Bank!$D:$D,$C1391)),IF(INDEX(GL!$D:$D,$C1391)="","",INDEX(GL!$D:$D,$C1391))))</f>
        <v/>
      </c>
      <c r="G1391" s="19" t="str">
        <f aca="false">IF(C1391=0,"",IF($A1391="Bank",INDEX(Bank!$E:$E,$C1391),INDEX(GL!$E:$E,$C1391)))</f>
        <v/>
      </c>
      <c r="H1391" s="5" t="str">
        <f aca="false">IF(C1391=0,"",IF(A1391="GL",IF(G1391&gt;0,"Deposit in transit","Outstanding check / payment"),IF(G1391&gt;0,"Bank credit not in GL","Bank debit not in GL")))</f>
        <v/>
      </c>
      <c r="I1391" s="42" t="str">
        <f aca="false">IF(OR(C1391=0,CFG_PeriodEnd=""),"",CFG_PeriodEnd-D1391)</f>
        <v/>
      </c>
      <c r="J1391" s="5" t="str">
        <f aca="false">IF(C1391=0,"",IF($A1391="Bank",IF(INDEX(Bank!$G:$G,$C1391)="","",INDEX(Bank!$G:$G,$C1391)),IF(INDEX(GL!$G:$G,$C1391)="","",INDEX(GL!$G:$G,$C1391))))</f>
        <v/>
      </c>
      <c r="K1391" s="5" t="str">
        <f aca="false">IF(C1391=0,"",IF($A1391="Bank",IF(INDEX(Bank!$I:$I,$C1391)="","",INDEX(Bank!$I:$I,$C1391)),IF(INDEX(GL!$I:$I,$C1391)="","",INDEX(GL!$I:$I,$C1391))))</f>
        <v/>
      </c>
      <c r="L1391" s="5" t="str">
        <f aca="false">IF(B1391="","",IF(C1391=0,"NOT FOUND",IF(IF($A1391="Bank",INDEX(Bank!$F:$F,$C1391),INDEX(GL!$F:$F,$C1391))="Y","NOW RECONCILED: refresh","OK")))</f>
        <v/>
      </c>
    </row>
    <row r="1392" customFormat="false" ht="15" hidden="false" customHeight="false" outlineLevel="0" collapsed="false">
      <c r="A1392" s="41"/>
      <c r="B1392" s="41"/>
      <c r="C1392" s="5" t="n">
        <f aca="false">IF(B1392="",0,IF(A1392="Bank",IFERROR(MATCH(B1392,Bank!$A:$A,0),0),IFERROR(MATCH(B1392,GL!$A:$A,0),0)))</f>
        <v>0</v>
      </c>
      <c r="D1392" s="32" t="str">
        <f aca="false">IF(C1392=0,"",IF($A1392="Bank",INDEX(Bank!$B:$B,$C1392),INDEX(GL!$B:$B,$C1392)))</f>
        <v/>
      </c>
      <c r="E1392" s="5" t="str">
        <f aca="false">IF(C1392=0,"",IF($A1392="Bank",IF(INDEX(Bank!$C:$C,$C1392)="","",INDEX(Bank!$C:$C,$C1392)),IF(INDEX(GL!$C:$C,$C1392)="","",INDEX(GL!$C:$C,$C1392))))</f>
        <v/>
      </c>
      <c r="F1392" s="5" t="str">
        <f aca="false">IF(C1392=0,"",IF($A1392="Bank",IF(INDEX(Bank!$D:$D,$C1392)="","",INDEX(Bank!$D:$D,$C1392)),IF(INDEX(GL!$D:$D,$C1392)="","",INDEX(GL!$D:$D,$C1392))))</f>
        <v/>
      </c>
      <c r="G1392" s="19" t="str">
        <f aca="false">IF(C1392=0,"",IF($A1392="Bank",INDEX(Bank!$E:$E,$C1392),INDEX(GL!$E:$E,$C1392)))</f>
        <v/>
      </c>
      <c r="H1392" s="5" t="str">
        <f aca="false">IF(C1392=0,"",IF(A1392="GL",IF(G1392&gt;0,"Deposit in transit","Outstanding check / payment"),IF(G1392&gt;0,"Bank credit not in GL","Bank debit not in GL")))</f>
        <v/>
      </c>
      <c r="I1392" s="42" t="str">
        <f aca="false">IF(OR(C1392=0,CFG_PeriodEnd=""),"",CFG_PeriodEnd-D1392)</f>
        <v/>
      </c>
      <c r="J1392" s="5" t="str">
        <f aca="false">IF(C1392=0,"",IF($A1392="Bank",IF(INDEX(Bank!$G:$G,$C1392)="","",INDEX(Bank!$G:$G,$C1392)),IF(INDEX(GL!$G:$G,$C1392)="","",INDEX(GL!$G:$G,$C1392))))</f>
        <v/>
      </c>
      <c r="K1392" s="5" t="str">
        <f aca="false">IF(C1392=0,"",IF($A1392="Bank",IF(INDEX(Bank!$I:$I,$C1392)="","",INDEX(Bank!$I:$I,$C1392)),IF(INDEX(GL!$I:$I,$C1392)="","",INDEX(GL!$I:$I,$C1392))))</f>
        <v/>
      </c>
      <c r="L1392" s="5" t="str">
        <f aca="false">IF(B1392="","",IF(C1392=0,"NOT FOUND",IF(IF($A1392="Bank",INDEX(Bank!$F:$F,$C1392),INDEX(GL!$F:$F,$C1392))="Y","NOW RECONCILED: refresh","OK")))</f>
        <v/>
      </c>
    </row>
    <row r="1393" customFormat="false" ht="15" hidden="false" customHeight="false" outlineLevel="0" collapsed="false">
      <c r="A1393" s="41"/>
      <c r="B1393" s="41"/>
      <c r="C1393" s="5" t="n">
        <f aca="false">IF(B1393="",0,IF(A1393="Bank",IFERROR(MATCH(B1393,Bank!$A:$A,0),0),IFERROR(MATCH(B1393,GL!$A:$A,0),0)))</f>
        <v>0</v>
      </c>
      <c r="D1393" s="32" t="str">
        <f aca="false">IF(C1393=0,"",IF($A1393="Bank",INDEX(Bank!$B:$B,$C1393),INDEX(GL!$B:$B,$C1393)))</f>
        <v/>
      </c>
      <c r="E1393" s="5" t="str">
        <f aca="false">IF(C1393=0,"",IF($A1393="Bank",IF(INDEX(Bank!$C:$C,$C1393)="","",INDEX(Bank!$C:$C,$C1393)),IF(INDEX(GL!$C:$C,$C1393)="","",INDEX(GL!$C:$C,$C1393))))</f>
        <v/>
      </c>
      <c r="F1393" s="5" t="str">
        <f aca="false">IF(C1393=0,"",IF($A1393="Bank",IF(INDEX(Bank!$D:$D,$C1393)="","",INDEX(Bank!$D:$D,$C1393)),IF(INDEX(GL!$D:$D,$C1393)="","",INDEX(GL!$D:$D,$C1393))))</f>
        <v/>
      </c>
      <c r="G1393" s="19" t="str">
        <f aca="false">IF(C1393=0,"",IF($A1393="Bank",INDEX(Bank!$E:$E,$C1393),INDEX(GL!$E:$E,$C1393)))</f>
        <v/>
      </c>
      <c r="H1393" s="5" t="str">
        <f aca="false">IF(C1393=0,"",IF(A1393="GL",IF(G1393&gt;0,"Deposit in transit","Outstanding check / payment"),IF(G1393&gt;0,"Bank credit not in GL","Bank debit not in GL")))</f>
        <v/>
      </c>
      <c r="I1393" s="42" t="str">
        <f aca="false">IF(OR(C1393=0,CFG_PeriodEnd=""),"",CFG_PeriodEnd-D1393)</f>
        <v/>
      </c>
      <c r="J1393" s="5" t="str">
        <f aca="false">IF(C1393=0,"",IF($A1393="Bank",IF(INDEX(Bank!$G:$G,$C1393)="","",INDEX(Bank!$G:$G,$C1393)),IF(INDEX(GL!$G:$G,$C1393)="","",INDEX(GL!$G:$G,$C1393))))</f>
        <v/>
      </c>
      <c r="K1393" s="5" t="str">
        <f aca="false">IF(C1393=0,"",IF($A1393="Bank",IF(INDEX(Bank!$I:$I,$C1393)="","",INDEX(Bank!$I:$I,$C1393)),IF(INDEX(GL!$I:$I,$C1393)="","",INDEX(GL!$I:$I,$C1393))))</f>
        <v/>
      </c>
      <c r="L1393" s="5" t="str">
        <f aca="false">IF(B1393="","",IF(C1393=0,"NOT FOUND",IF(IF($A1393="Bank",INDEX(Bank!$F:$F,$C1393),INDEX(GL!$F:$F,$C1393))="Y","NOW RECONCILED: refresh","OK")))</f>
        <v/>
      </c>
    </row>
    <row r="1394" customFormat="false" ht="15" hidden="false" customHeight="false" outlineLevel="0" collapsed="false">
      <c r="A1394" s="41"/>
      <c r="B1394" s="41"/>
      <c r="C1394" s="5" t="n">
        <f aca="false">IF(B1394="",0,IF(A1394="Bank",IFERROR(MATCH(B1394,Bank!$A:$A,0),0),IFERROR(MATCH(B1394,GL!$A:$A,0),0)))</f>
        <v>0</v>
      </c>
      <c r="D1394" s="32" t="str">
        <f aca="false">IF(C1394=0,"",IF($A1394="Bank",INDEX(Bank!$B:$B,$C1394),INDEX(GL!$B:$B,$C1394)))</f>
        <v/>
      </c>
      <c r="E1394" s="5" t="str">
        <f aca="false">IF(C1394=0,"",IF($A1394="Bank",IF(INDEX(Bank!$C:$C,$C1394)="","",INDEX(Bank!$C:$C,$C1394)),IF(INDEX(GL!$C:$C,$C1394)="","",INDEX(GL!$C:$C,$C1394))))</f>
        <v/>
      </c>
      <c r="F1394" s="5" t="str">
        <f aca="false">IF(C1394=0,"",IF($A1394="Bank",IF(INDEX(Bank!$D:$D,$C1394)="","",INDEX(Bank!$D:$D,$C1394)),IF(INDEX(GL!$D:$D,$C1394)="","",INDEX(GL!$D:$D,$C1394))))</f>
        <v/>
      </c>
      <c r="G1394" s="19" t="str">
        <f aca="false">IF(C1394=0,"",IF($A1394="Bank",INDEX(Bank!$E:$E,$C1394),INDEX(GL!$E:$E,$C1394)))</f>
        <v/>
      </c>
      <c r="H1394" s="5" t="str">
        <f aca="false">IF(C1394=0,"",IF(A1394="GL",IF(G1394&gt;0,"Deposit in transit","Outstanding check / payment"),IF(G1394&gt;0,"Bank credit not in GL","Bank debit not in GL")))</f>
        <v/>
      </c>
      <c r="I1394" s="42" t="str">
        <f aca="false">IF(OR(C1394=0,CFG_PeriodEnd=""),"",CFG_PeriodEnd-D1394)</f>
        <v/>
      </c>
      <c r="J1394" s="5" t="str">
        <f aca="false">IF(C1394=0,"",IF($A1394="Bank",IF(INDEX(Bank!$G:$G,$C1394)="","",INDEX(Bank!$G:$G,$C1394)),IF(INDEX(GL!$G:$G,$C1394)="","",INDEX(GL!$G:$G,$C1394))))</f>
        <v/>
      </c>
      <c r="K1394" s="5" t="str">
        <f aca="false">IF(C1394=0,"",IF($A1394="Bank",IF(INDEX(Bank!$I:$I,$C1394)="","",INDEX(Bank!$I:$I,$C1394)),IF(INDEX(GL!$I:$I,$C1394)="","",INDEX(GL!$I:$I,$C1394))))</f>
        <v/>
      </c>
      <c r="L1394" s="5" t="str">
        <f aca="false">IF(B1394="","",IF(C1394=0,"NOT FOUND",IF(IF($A1394="Bank",INDEX(Bank!$F:$F,$C1394),INDEX(GL!$F:$F,$C1394))="Y","NOW RECONCILED: refresh","OK")))</f>
        <v/>
      </c>
    </row>
    <row r="1395" customFormat="false" ht="15" hidden="false" customHeight="false" outlineLevel="0" collapsed="false">
      <c r="A1395" s="41"/>
      <c r="B1395" s="41"/>
      <c r="C1395" s="5" t="n">
        <f aca="false">IF(B1395="",0,IF(A1395="Bank",IFERROR(MATCH(B1395,Bank!$A:$A,0),0),IFERROR(MATCH(B1395,GL!$A:$A,0),0)))</f>
        <v>0</v>
      </c>
      <c r="D1395" s="32" t="str">
        <f aca="false">IF(C1395=0,"",IF($A1395="Bank",INDEX(Bank!$B:$B,$C1395),INDEX(GL!$B:$B,$C1395)))</f>
        <v/>
      </c>
      <c r="E1395" s="5" t="str">
        <f aca="false">IF(C1395=0,"",IF($A1395="Bank",IF(INDEX(Bank!$C:$C,$C1395)="","",INDEX(Bank!$C:$C,$C1395)),IF(INDEX(GL!$C:$C,$C1395)="","",INDEX(GL!$C:$C,$C1395))))</f>
        <v/>
      </c>
      <c r="F1395" s="5" t="str">
        <f aca="false">IF(C1395=0,"",IF($A1395="Bank",IF(INDEX(Bank!$D:$D,$C1395)="","",INDEX(Bank!$D:$D,$C1395)),IF(INDEX(GL!$D:$D,$C1395)="","",INDEX(GL!$D:$D,$C1395))))</f>
        <v/>
      </c>
      <c r="G1395" s="19" t="str">
        <f aca="false">IF(C1395=0,"",IF($A1395="Bank",INDEX(Bank!$E:$E,$C1395),INDEX(GL!$E:$E,$C1395)))</f>
        <v/>
      </c>
      <c r="H1395" s="5" t="str">
        <f aca="false">IF(C1395=0,"",IF(A1395="GL",IF(G1395&gt;0,"Deposit in transit","Outstanding check / payment"),IF(G1395&gt;0,"Bank credit not in GL","Bank debit not in GL")))</f>
        <v/>
      </c>
      <c r="I1395" s="42" t="str">
        <f aca="false">IF(OR(C1395=0,CFG_PeriodEnd=""),"",CFG_PeriodEnd-D1395)</f>
        <v/>
      </c>
      <c r="J1395" s="5" t="str">
        <f aca="false">IF(C1395=0,"",IF($A1395="Bank",IF(INDEX(Bank!$G:$G,$C1395)="","",INDEX(Bank!$G:$G,$C1395)),IF(INDEX(GL!$G:$G,$C1395)="","",INDEX(GL!$G:$G,$C1395))))</f>
        <v/>
      </c>
      <c r="K1395" s="5" t="str">
        <f aca="false">IF(C1395=0,"",IF($A1395="Bank",IF(INDEX(Bank!$I:$I,$C1395)="","",INDEX(Bank!$I:$I,$C1395)),IF(INDEX(GL!$I:$I,$C1395)="","",INDEX(GL!$I:$I,$C1395))))</f>
        <v/>
      </c>
      <c r="L1395" s="5" t="str">
        <f aca="false">IF(B1395="","",IF(C1395=0,"NOT FOUND",IF(IF($A1395="Bank",INDEX(Bank!$F:$F,$C1395),INDEX(GL!$F:$F,$C1395))="Y","NOW RECONCILED: refresh","OK")))</f>
        <v/>
      </c>
    </row>
    <row r="1396" customFormat="false" ht="15" hidden="false" customHeight="false" outlineLevel="0" collapsed="false">
      <c r="A1396" s="41"/>
      <c r="B1396" s="41"/>
      <c r="C1396" s="5" t="n">
        <f aca="false">IF(B1396="",0,IF(A1396="Bank",IFERROR(MATCH(B1396,Bank!$A:$A,0),0),IFERROR(MATCH(B1396,GL!$A:$A,0),0)))</f>
        <v>0</v>
      </c>
      <c r="D1396" s="32" t="str">
        <f aca="false">IF(C1396=0,"",IF($A1396="Bank",INDEX(Bank!$B:$B,$C1396),INDEX(GL!$B:$B,$C1396)))</f>
        <v/>
      </c>
      <c r="E1396" s="5" t="str">
        <f aca="false">IF(C1396=0,"",IF($A1396="Bank",IF(INDEX(Bank!$C:$C,$C1396)="","",INDEX(Bank!$C:$C,$C1396)),IF(INDEX(GL!$C:$C,$C1396)="","",INDEX(GL!$C:$C,$C1396))))</f>
        <v/>
      </c>
      <c r="F1396" s="5" t="str">
        <f aca="false">IF(C1396=0,"",IF($A1396="Bank",IF(INDEX(Bank!$D:$D,$C1396)="","",INDEX(Bank!$D:$D,$C1396)),IF(INDEX(GL!$D:$D,$C1396)="","",INDEX(GL!$D:$D,$C1396))))</f>
        <v/>
      </c>
      <c r="G1396" s="19" t="str">
        <f aca="false">IF(C1396=0,"",IF($A1396="Bank",INDEX(Bank!$E:$E,$C1396),INDEX(GL!$E:$E,$C1396)))</f>
        <v/>
      </c>
      <c r="H1396" s="5" t="str">
        <f aca="false">IF(C1396=0,"",IF(A1396="GL",IF(G1396&gt;0,"Deposit in transit","Outstanding check / payment"),IF(G1396&gt;0,"Bank credit not in GL","Bank debit not in GL")))</f>
        <v/>
      </c>
      <c r="I1396" s="42" t="str">
        <f aca="false">IF(OR(C1396=0,CFG_PeriodEnd=""),"",CFG_PeriodEnd-D1396)</f>
        <v/>
      </c>
      <c r="J1396" s="5" t="str">
        <f aca="false">IF(C1396=0,"",IF($A1396="Bank",IF(INDEX(Bank!$G:$G,$C1396)="","",INDEX(Bank!$G:$G,$C1396)),IF(INDEX(GL!$G:$G,$C1396)="","",INDEX(GL!$G:$G,$C1396))))</f>
        <v/>
      </c>
      <c r="K1396" s="5" t="str">
        <f aca="false">IF(C1396=0,"",IF($A1396="Bank",IF(INDEX(Bank!$I:$I,$C1396)="","",INDEX(Bank!$I:$I,$C1396)),IF(INDEX(GL!$I:$I,$C1396)="","",INDEX(GL!$I:$I,$C1396))))</f>
        <v/>
      </c>
      <c r="L1396" s="5" t="str">
        <f aca="false">IF(B1396="","",IF(C1396=0,"NOT FOUND",IF(IF($A1396="Bank",INDEX(Bank!$F:$F,$C1396),INDEX(GL!$F:$F,$C1396))="Y","NOW RECONCILED: refresh","OK")))</f>
        <v/>
      </c>
    </row>
    <row r="1397" customFormat="false" ht="15" hidden="false" customHeight="false" outlineLevel="0" collapsed="false">
      <c r="A1397" s="41"/>
      <c r="B1397" s="41"/>
      <c r="C1397" s="5" t="n">
        <f aca="false">IF(B1397="",0,IF(A1397="Bank",IFERROR(MATCH(B1397,Bank!$A:$A,0),0),IFERROR(MATCH(B1397,GL!$A:$A,0),0)))</f>
        <v>0</v>
      </c>
      <c r="D1397" s="32" t="str">
        <f aca="false">IF(C1397=0,"",IF($A1397="Bank",INDEX(Bank!$B:$B,$C1397),INDEX(GL!$B:$B,$C1397)))</f>
        <v/>
      </c>
      <c r="E1397" s="5" t="str">
        <f aca="false">IF(C1397=0,"",IF($A1397="Bank",IF(INDEX(Bank!$C:$C,$C1397)="","",INDEX(Bank!$C:$C,$C1397)),IF(INDEX(GL!$C:$C,$C1397)="","",INDEX(GL!$C:$C,$C1397))))</f>
        <v/>
      </c>
      <c r="F1397" s="5" t="str">
        <f aca="false">IF(C1397=0,"",IF($A1397="Bank",IF(INDEX(Bank!$D:$D,$C1397)="","",INDEX(Bank!$D:$D,$C1397)),IF(INDEX(GL!$D:$D,$C1397)="","",INDEX(GL!$D:$D,$C1397))))</f>
        <v/>
      </c>
      <c r="G1397" s="19" t="str">
        <f aca="false">IF(C1397=0,"",IF($A1397="Bank",INDEX(Bank!$E:$E,$C1397),INDEX(GL!$E:$E,$C1397)))</f>
        <v/>
      </c>
      <c r="H1397" s="5" t="str">
        <f aca="false">IF(C1397=0,"",IF(A1397="GL",IF(G1397&gt;0,"Deposit in transit","Outstanding check / payment"),IF(G1397&gt;0,"Bank credit not in GL","Bank debit not in GL")))</f>
        <v/>
      </c>
      <c r="I1397" s="42" t="str">
        <f aca="false">IF(OR(C1397=0,CFG_PeriodEnd=""),"",CFG_PeriodEnd-D1397)</f>
        <v/>
      </c>
      <c r="J1397" s="5" t="str">
        <f aca="false">IF(C1397=0,"",IF($A1397="Bank",IF(INDEX(Bank!$G:$G,$C1397)="","",INDEX(Bank!$G:$G,$C1397)),IF(INDEX(GL!$G:$G,$C1397)="","",INDEX(GL!$G:$G,$C1397))))</f>
        <v/>
      </c>
      <c r="K1397" s="5" t="str">
        <f aca="false">IF(C1397=0,"",IF($A1397="Bank",IF(INDEX(Bank!$I:$I,$C1397)="","",INDEX(Bank!$I:$I,$C1397)),IF(INDEX(GL!$I:$I,$C1397)="","",INDEX(GL!$I:$I,$C1397))))</f>
        <v/>
      </c>
      <c r="L1397" s="5" t="str">
        <f aca="false">IF(B1397="","",IF(C1397=0,"NOT FOUND",IF(IF($A1397="Bank",INDEX(Bank!$F:$F,$C1397),INDEX(GL!$F:$F,$C1397))="Y","NOW RECONCILED: refresh","OK")))</f>
        <v/>
      </c>
    </row>
    <row r="1398" customFormat="false" ht="15" hidden="false" customHeight="false" outlineLevel="0" collapsed="false">
      <c r="A1398" s="41"/>
      <c r="B1398" s="41"/>
      <c r="C1398" s="5" t="n">
        <f aca="false">IF(B1398="",0,IF(A1398="Bank",IFERROR(MATCH(B1398,Bank!$A:$A,0),0),IFERROR(MATCH(B1398,GL!$A:$A,0),0)))</f>
        <v>0</v>
      </c>
      <c r="D1398" s="32" t="str">
        <f aca="false">IF(C1398=0,"",IF($A1398="Bank",INDEX(Bank!$B:$B,$C1398),INDEX(GL!$B:$B,$C1398)))</f>
        <v/>
      </c>
      <c r="E1398" s="5" t="str">
        <f aca="false">IF(C1398=0,"",IF($A1398="Bank",IF(INDEX(Bank!$C:$C,$C1398)="","",INDEX(Bank!$C:$C,$C1398)),IF(INDEX(GL!$C:$C,$C1398)="","",INDEX(GL!$C:$C,$C1398))))</f>
        <v/>
      </c>
      <c r="F1398" s="5" t="str">
        <f aca="false">IF(C1398=0,"",IF($A1398="Bank",IF(INDEX(Bank!$D:$D,$C1398)="","",INDEX(Bank!$D:$D,$C1398)),IF(INDEX(GL!$D:$D,$C1398)="","",INDEX(GL!$D:$D,$C1398))))</f>
        <v/>
      </c>
      <c r="G1398" s="19" t="str">
        <f aca="false">IF(C1398=0,"",IF($A1398="Bank",INDEX(Bank!$E:$E,$C1398),INDEX(GL!$E:$E,$C1398)))</f>
        <v/>
      </c>
      <c r="H1398" s="5" t="str">
        <f aca="false">IF(C1398=0,"",IF(A1398="GL",IF(G1398&gt;0,"Deposit in transit","Outstanding check / payment"),IF(G1398&gt;0,"Bank credit not in GL","Bank debit not in GL")))</f>
        <v/>
      </c>
      <c r="I1398" s="42" t="str">
        <f aca="false">IF(OR(C1398=0,CFG_PeriodEnd=""),"",CFG_PeriodEnd-D1398)</f>
        <v/>
      </c>
      <c r="J1398" s="5" t="str">
        <f aca="false">IF(C1398=0,"",IF($A1398="Bank",IF(INDEX(Bank!$G:$G,$C1398)="","",INDEX(Bank!$G:$G,$C1398)),IF(INDEX(GL!$G:$G,$C1398)="","",INDEX(GL!$G:$G,$C1398))))</f>
        <v/>
      </c>
      <c r="K1398" s="5" t="str">
        <f aca="false">IF(C1398=0,"",IF($A1398="Bank",IF(INDEX(Bank!$I:$I,$C1398)="","",INDEX(Bank!$I:$I,$C1398)),IF(INDEX(GL!$I:$I,$C1398)="","",INDEX(GL!$I:$I,$C1398))))</f>
        <v/>
      </c>
      <c r="L1398" s="5" t="str">
        <f aca="false">IF(B1398="","",IF(C1398=0,"NOT FOUND",IF(IF($A1398="Bank",INDEX(Bank!$F:$F,$C1398),INDEX(GL!$F:$F,$C1398))="Y","NOW RECONCILED: refresh","OK")))</f>
        <v/>
      </c>
    </row>
    <row r="1399" customFormat="false" ht="15" hidden="false" customHeight="false" outlineLevel="0" collapsed="false">
      <c r="A1399" s="41"/>
      <c r="B1399" s="41"/>
      <c r="C1399" s="5" t="n">
        <f aca="false">IF(B1399="",0,IF(A1399="Bank",IFERROR(MATCH(B1399,Bank!$A:$A,0),0),IFERROR(MATCH(B1399,GL!$A:$A,0),0)))</f>
        <v>0</v>
      </c>
      <c r="D1399" s="32" t="str">
        <f aca="false">IF(C1399=0,"",IF($A1399="Bank",INDEX(Bank!$B:$B,$C1399),INDEX(GL!$B:$B,$C1399)))</f>
        <v/>
      </c>
      <c r="E1399" s="5" t="str">
        <f aca="false">IF(C1399=0,"",IF($A1399="Bank",IF(INDEX(Bank!$C:$C,$C1399)="","",INDEX(Bank!$C:$C,$C1399)),IF(INDEX(GL!$C:$C,$C1399)="","",INDEX(GL!$C:$C,$C1399))))</f>
        <v/>
      </c>
      <c r="F1399" s="5" t="str">
        <f aca="false">IF(C1399=0,"",IF($A1399="Bank",IF(INDEX(Bank!$D:$D,$C1399)="","",INDEX(Bank!$D:$D,$C1399)),IF(INDEX(GL!$D:$D,$C1399)="","",INDEX(GL!$D:$D,$C1399))))</f>
        <v/>
      </c>
      <c r="G1399" s="19" t="str">
        <f aca="false">IF(C1399=0,"",IF($A1399="Bank",INDEX(Bank!$E:$E,$C1399),INDEX(GL!$E:$E,$C1399)))</f>
        <v/>
      </c>
      <c r="H1399" s="5" t="str">
        <f aca="false">IF(C1399=0,"",IF(A1399="GL",IF(G1399&gt;0,"Deposit in transit","Outstanding check / payment"),IF(G1399&gt;0,"Bank credit not in GL","Bank debit not in GL")))</f>
        <v/>
      </c>
      <c r="I1399" s="42" t="str">
        <f aca="false">IF(OR(C1399=0,CFG_PeriodEnd=""),"",CFG_PeriodEnd-D1399)</f>
        <v/>
      </c>
      <c r="J1399" s="5" t="str">
        <f aca="false">IF(C1399=0,"",IF($A1399="Bank",IF(INDEX(Bank!$G:$G,$C1399)="","",INDEX(Bank!$G:$G,$C1399)),IF(INDEX(GL!$G:$G,$C1399)="","",INDEX(GL!$G:$G,$C1399))))</f>
        <v/>
      </c>
      <c r="K1399" s="5" t="str">
        <f aca="false">IF(C1399=0,"",IF($A1399="Bank",IF(INDEX(Bank!$I:$I,$C1399)="","",INDEX(Bank!$I:$I,$C1399)),IF(INDEX(GL!$I:$I,$C1399)="","",INDEX(GL!$I:$I,$C1399))))</f>
        <v/>
      </c>
      <c r="L1399" s="5" t="str">
        <f aca="false">IF(B1399="","",IF(C1399=0,"NOT FOUND",IF(IF($A1399="Bank",INDEX(Bank!$F:$F,$C1399),INDEX(GL!$F:$F,$C1399))="Y","NOW RECONCILED: refresh","OK")))</f>
        <v/>
      </c>
    </row>
    <row r="1400" customFormat="false" ht="15" hidden="false" customHeight="false" outlineLevel="0" collapsed="false">
      <c r="A1400" s="41"/>
      <c r="B1400" s="41"/>
      <c r="C1400" s="5" t="n">
        <f aca="false">IF(B1400="",0,IF(A1400="Bank",IFERROR(MATCH(B1400,Bank!$A:$A,0),0),IFERROR(MATCH(B1400,GL!$A:$A,0),0)))</f>
        <v>0</v>
      </c>
      <c r="D1400" s="32" t="str">
        <f aca="false">IF(C1400=0,"",IF($A1400="Bank",INDEX(Bank!$B:$B,$C1400),INDEX(GL!$B:$B,$C1400)))</f>
        <v/>
      </c>
      <c r="E1400" s="5" t="str">
        <f aca="false">IF(C1400=0,"",IF($A1400="Bank",IF(INDEX(Bank!$C:$C,$C1400)="","",INDEX(Bank!$C:$C,$C1400)),IF(INDEX(GL!$C:$C,$C1400)="","",INDEX(GL!$C:$C,$C1400))))</f>
        <v/>
      </c>
      <c r="F1400" s="5" t="str">
        <f aca="false">IF(C1400=0,"",IF($A1400="Bank",IF(INDEX(Bank!$D:$D,$C1400)="","",INDEX(Bank!$D:$D,$C1400)),IF(INDEX(GL!$D:$D,$C1400)="","",INDEX(GL!$D:$D,$C1400))))</f>
        <v/>
      </c>
      <c r="G1400" s="19" t="str">
        <f aca="false">IF(C1400=0,"",IF($A1400="Bank",INDEX(Bank!$E:$E,$C1400),INDEX(GL!$E:$E,$C1400)))</f>
        <v/>
      </c>
      <c r="H1400" s="5" t="str">
        <f aca="false">IF(C1400=0,"",IF(A1400="GL",IF(G1400&gt;0,"Deposit in transit","Outstanding check / payment"),IF(G1400&gt;0,"Bank credit not in GL","Bank debit not in GL")))</f>
        <v/>
      </c>
      <c r="I1400" s="42" t="str">
        <f aca="false">IF(OR(C1400=0,CFG_PeriodEnd=""),"",CFG_PeriodEnd-D1400)</f>
        <v/>
      </c>
      <c r="J1400" s="5" t="str">
        <f aca="false">IF(C1400=0,"",IF($A1400="Bank",IF(INDEX(Bank!$G:$G,$C1400)="","",INDEX(Bank!$G:$G,$C1400)),IF(INDEX(GL!$G:$G,$C1400)="","",INDEX(GL!$G:$G,$C1400))))</f>
        <v/>
      </c>
      <c r="K1400" s="5" t="str">
        <f aca="false">IF(C1400=0,"",IF($A1400="Bank",IF(INDEX(Bank!$I:$I,$C1400)="","",INDEX(Bank!$I:$I,$C1400)),IF(INDEX(GL!$I:$I,$C1400)="","",INDEX(GL!$I:$I,$C1400))))</f>
        <v/>
      </c>
      <c r="L1400" s="5" t="str">
        <f aca="false">IF(B1400="","",IF(C1400=0,"NOT FOUND",IF(IF($A1400="Bank",INDEX(Bank!$F:$F,$C1400),INDEX(GL!$F:$F,$C1400))="Y","NOW RECONCILED: refresh","OK")))</f>
        <v/>
      </c>
    </row>
    <row r="1401" customFormat="false" ht="15" hidden="false" customHeight="false" outlineLevel="0" collapsed="false">
      <c r="A1401" s="41"/>
      <c r="B1401" s="41"/>
      <c r="C1401" s="5" t="n">
        <f aca="false">IF(B1401="",0,IF(A1401="Bank",IFERROR(MATCH(B1401,Bank!$A:$A,0),0),IFERROR(MATCH(B1401,GL!$A:$A,0),0)))</f>
        <v>0</v>
      </c>
      <c r="D1401" s="32" t="str">
        <f aca="false">IF(C1401=0,"",IF($A1401="Bank",INDEX(Bank!$B:$B,$C1401),INDEX(GL!$B:$B,$C1401)))</f>
        <v/>
      </c>
      <c r="E1401" s="5" t="str">
        <f aca="false">IF(C1401=0,"",IF($A1401="Bank",IF(INDEX(Bank!$C:$C,$C1401)="","",INDEX(Bank!$C:$C,$C1401)),IF(INDEX(GL!$C:$C,$C1401)="","",INDEX(GL!$C:$C,$C1401))))</f>
        <v/>
      </c>
      <c r="F1401" s="5" t="str">
        <f aca="false">IF(C1401=0,"",IF($A1401="Bank",IF(INDEX(Bank!$D:$D,$C1401)="","",INDEX(Bank!$D:$D,$C1401)),IF(INDEX(GL!$D:$D,$C1401)="","",INDEX(GL!$D:$D,$C1401))))</f>
        <v/>
      </c>
      <c r="G1401" s="19" t="str">
        <f aca="false">IF(C1401=0,"",IF($A1401="Bank",INDEX(Bank!$E:$E,$C1401),INDEX(GL!$E:$E,$C1401)))</f>
        <v/>
      </c>
      <c r="H1401" s="5" t="str">
        <f aca="false">IF(C1401=0,"",IF(A1401="GL",IF(G1401&gt;0,"Deposit in transit","Outstanding check / payment"),IF(G1401&gt;0,"Bank credit not in GL","Bank debit not in GL")))</f>
        <v/>
      </c>
      <c r="I1401" s="42" t="str">
        <f aca="false">IF(OR(C1401=0,CFG_PeriodEnd=""),"",CFG_PeriodEnd-D1401)</f>
        <v/>
      </c>
      <c r="J1401" s="5" t="str">
        <f aca="false">IF(C1401=0,"",IF($A1401="Bank",IF(INDEX(Bank!$G:$G,$C1401)="","",INDEX(Bank!$G:$G,$C1401)),IF(INDEX(GL!$G:$G,$C1401)="","",INDEX(GL!$G:$G,$C1401))))</f>
        <v/>
      </c>
      <c r="K1401" s="5" t="str">
        <f aca="false">IF(C1401=0,"",IF($A1401="Bank",IF(INDEX(Bank!$I:$I,$C1401)="","",INDEX(Bank!$I:$I,$C1401)),IF(INDEX(GL!$I:$I,$C1401)="","",INDEX(GL!$I:$I,$C1401))))</f>
        <v/>
      </c>
      <c r="L1401" s="5" t="str">
        <f aca="false">IF(B1401="","",IF(C1401=0,"NOT FOUND",IF(IF($A1401="Bank",INDEX(Bank!$F:$F,$C1401),INDEX(GL!$F:$F,$C1401))="Y","NOW RECONCILED: refresh","OK")))</f>
        <v/>
      </c>
    </row>
    <row r="1402" customFormat="false" ht="15" hidden="false" customHeight="false" outlineLevel="0" collapsed="false">
      <c r="A1402" s="41"/>
      <c r="B1402" s="41"/>
      <c r="C1402" s="5" t="n">
        <f aca="false">IF(B1402="",0,IF(A1402="Bank",IFERROR(MATCH(B1402,Bank!$A:$A,0),0),IFERROR(MATCH(B1402,GL!$A:$A,0),0)))</f>
        <v>0</v>
      </c>
      <c r="D1402" s="32" t="str">
        <f aca="false">IF(C1402=0,"",IF($A1402="Bank",INDEX(Bank!$B:$B,$C1402),INDEX(GL!$B:$B,$C1402)))</f>
        <v/>
      </c>
      <c r="E1402" s="5" t="str">
        <f aca="false">IF(C1402=0,"",IF($A1402="Bank",IF(INDEX(Bank!$C:$C,$C1402)="","",INDEX(Bank!$C:$C,$C1402)),IF(INDEX(GL!$C:$C,$C1402)="","",INDEX(GL!$C:$C,$C1402))))</f>
        <v/>
      </c>
      <c r="F1402" s="5" t="str">
        <f aca="false">IF(C1402=0,"",IF($A1402="Bank",IF(INDEX(Bank!$D:$D,$C1402)="","",INDEX(Bank!$D:$D,$C1402)),IF(INDEX(GL!$D:$D,$C1402)="","",INDEX(GL!$D:$D,$C1402))))</f>
        <v/>
      </c>
      <c r="G1402" s="19" t="str">
        <f aca="false">IF(C1402=0,"",IF($A1402="Bank",INDEX(Bank!$E:$E,$C1402),INDEX(GL!$E:$E,$C1402)))</f>
        <v/>
      </c>
      <c r="H1402" s="5" t="str">
        <f aca="false">IF(C1402=0,"",IF(A1402="GL",IF(G1402&gt;0,"Deposit in transit","Outstanding check / payment"),IF(G1402&gt;0,"Bank credit not in GL","Bank debit not in GL")))</f>
        <v/>
      </c>
      <c r="I1402" s="42" t="str">
        <f aca="false">IF(OR(C1402=0,CFG_PeriodEnd=""),"",CFG_PeriodEnd-D1402)</f>
        <v/>
      </c>
      <c r="J1402" s="5" t="str">
        <f aca="false">IF(C1402=0,"",IF($A1402="Bank",IF(INDEX(Bank!$G:$G,$C1402)="","",INDEX(Bank!$G:$G,$C1402)),IF(INDEX(GL!$G:$G,$C1402)="","",INDEX(GL!$G:$G,$C1402))))</f>
        <v/>
      </c>
      <c r="K1402" s="5" t="str">
        <f aca="false">IF(C1402=0,"",IF($A1402="Bank",IF(INDEX(Bank!$I:$I,$C1402)="","",INDEX(Bank!$I:$I,$C1402)),IF(INDEX(GL!$I:$I,$C1402)="","",INDEX(GL!$I:$I,$C1402))))</f>
        <v/>
      </c>
      <c r="L1402" s="5" t="str">
        <f aca="false">IF(B1402="","",IF(C1402=0,"NOT FOUND",IF(IF($A1402="Bank",INDEX(Bank!$F:$F,$C1402),INDEX(GL!$F:$F,$C1402))="Y","NOW RECONCILED: refresh","OK")))</f>
        <v/>
      </c>
    </row>
    <row r="1403" customFormat="false" ht="15" hidden="false" customHeight="false" outlineLevel="0" collapsed="false">
      <c r="A1403" s="41"/>
      <c r="B1403" s="41"/>
      <c r="C1403" s="5" t="n">
        <f aca="false">IF(B1403="",0,IF(A1403="Bank",IFERROR(MATCH(B1403,Bank!$A:$A,0),0),IFERROR(MATCH(B1403,GL!$A:$A,0),0)))</f>
        <v>0</v>
      </c>
      <c r="D1403" s="32" t="str">
        <f aca="false">IF(C1403=0,"",IF($A1403="Bank",INDEX(Bank!$B:$B,$C1403),INDEX(GL!$B:$B,$C1403)))</f>
        <v/>
      </c>
      <c r="E1403" s="5" t="str">
        <f aca="false">IF(C1403=0,"",IF($A1403="Bank",IF(INDEX(Bank!$C:$C,$C1403)="","",INDEX(Bank!$C:$C,$C1403)),IF(INDEX(GL!$C:$C,$C1403)="","",INDEX(GL!$C:$C,$C1403))))</f>
        <v/>
      </c>
      <c r="F1403" s="5" t="str">
        <f aca="false">IF(C1403=0,"",IF($A1403="Bank",IF(INDEX(Bank!$D:$D,$C1403)="","",INDEX(Bank!$D:$D,$C1403)),IF(INDEX(GL!$D:$D,$C1403)="","",INDEX(GL!$D:$D,$C1403))))</f>
        <v/>
      </c>
      <c r="G1403" s="19" t="str">
        <f aca="false">IF(C1403=0,"",IF($A1403="Bank",INDEX(Bank!$E:$E,$C1403),INDEX(GL!$E:$E,$C1403)))</f>
        <v/>
      </c>
      <c r="H1403" s="5" t="str">
        <f aca="false">IF(C1403=0,"",IF(A1403="GL",IF(G1403&gt;0,"Deposit in transit","Outstanding check / payment"),IF(G1403&gt;0,"Bank credit not in GL","Bank debit not in GL")))</f>
        <v/>
      </c>
      <c r="I1403" s="42" t="str">
        <f aca="false">IF(OR(C1403=0,CFG_PeriodEnd=""),"",CFG_PeriodEnd-D1403)</f>
        <v/>
      </c>
      <c r="J1403" s="5" t="str">
        <f aca="false">IF(C1403=0,"",IF($A1403="Bank",IF(INDEX(Bank!$G:$G,$C1403)="","",INDEX(Bank!$G:$G,$C1403)),IF(INDEX(GL!$G:$G,$C1403)="","",INDEX(GL!$G:$G,$C1403))))</f>
        <v/>
      </c>
      <c r="K1403" s="5" t="str">
        <f aca="false">IF(C1403=0,"",IF($A1403="Bank",IF(INDEX(Bank!$I:$I,$C1403)="","",INDEX(Bank!$I:$I,$C1403)),IF(INDEX(GL!$I:$I,$C1403)="","",INDEX(GL!$I:$I,$C1403))))</f>
        <v/>
      </c>
      <c r="L1403" s="5" t="str">
        <f aca="false">IF(B1403="","",IF(C1403=0,"NOT FOUND",IF(IF($A1403="Bank",INDEX(Bank!$F:$F,$C1403),INDEX(GL!$F:$F,$C1403))="Y","NOW RECONCILED: refresh","OK")))</f>
        <v/>
      </c>
    </row>
    <row r="1404" customFormat="false" ht="15" hidden="false" customHeight="false" outlineLevel="0" collapsed="false">
      <c r="A1404" s="41"/>
      <c r="B1404" s="41"/>
      <c r="C1404" s="5" t="n">
        <f aca="false">IF(B1404="",0,IF(A1404="Bank",IFERROR(MATCH(B1404,Bank!$A:$A,0),0),IFERROR(MATCH(B1404,GL!$A:$A,0),0)))</f>
        <v>0</v>
      </c>
      <c r="D1404" s="32" t="str">
        <f aca="false">IF(C1404=0,"",IF($A1404="Bank",INDEX(Bank!$B:$B,$C1404),INDEX(GL!$B:$B,$C1404)))</f>
        <v/>
      </c>
      <c r="E1404" s="5" t="str">
        <f aca="false">IF(C1404=0,"",IF($A1404="Bank",IF(INDEX(Bank!$C:$C,$C1404)="","",INDEX(Bank!$C:$C,$C1404)),IF(INDEX(GL!$C:$C,$C1404)="","",INDEX(GL!$C:$C,$C1404))))</f>
        <v/>
      </c>
      <c r="F1404" s="5" t="str">
        <f aca="false">IF(C1404=0,"",IF($A1404="Bank",IF(INDEX(Bank!$D:$D,$C1404)="","",INDEX(Bank!$D:$D,$C1404)),IF(INDEX(GL!$D:$D,$C1404)="","",INDEX(GL!$D:$D,$C1404))))</f>
        <v/>
      </c>
      <c r="G1404" s="19" t="str">
        <f aca="false">IF(C1404=0,"",IF($A1404="Bank",INDEX(Bank!$E:$E,$C1404),INDEX(GL!$E:$E,$C1404)))</f>
        <v/>
      </c>
      <c r="H1404" s="5" t="str">
        <f aca="false">IF(C1404=0,"",IF(A1404="GL",IF(G1404&gt;0,"Deposit in transit","Outstanding check / payment"),IF(G1404&gt;0,"Bank credit not in GL","Bank debit not in GL")))</f>
        <v/>
      </c>
      <c r="I1404" s="42" t="str">
        <f aca="false">IF(OR(C1404=0,CFG_PeriodEnd=""),"",CFG_PeriodEnd-D1404)</f>
        <v/>
      </c>
      <c r="J1404" s="5" t="str">
        <f aca="false">IF(C1404=0,"",IF($A1404="Bank",IF(INDEX(Bank!$G:$G,$C1404)="","",INDEX(Bank!$G:$G,$C1404)),IF(INDEX(GL!$G:$G,$C1404)="","",INDEX(GL!$G:$G,$C1404))))</f>
        <v/>
      </c>
      <c r="K1404" s="5" t="str">
        <f aca="false">IF(C1404=0,"",IF($A1404="Bank",IF(INDEX(Bank!$I:$I,$C1404)="","",INDEX(Bank!$I:$I,$C1404)),IF(INDEX(GL!$I:$I,$C1404)="","",INDEX(GL!$I:$I,$C1404))))</f>
        <v/>
      </c>
      <c r="L1404" s="5" t="str">
        <f aca="false">IF(B1404="","",IF(C1404=0,"NOT FOUND",IF(IF($A1404="Bank",INDEX(Bank!$F:$F,$C1404),INDEX(GL!$F:$F,$C1404))="Y","NOW RECONCILED: refresh","OK")))</f>
        <v/>
      </c>
    </row>
    <row r="1405" customFormat="false" ht="15" hidden="false" customHeight="false" outlineLevel="0" collapsed="false">
      <c r="A1405" s="41"/>
      <c r="B1405" s="41"/>
      <c r="C1405" s="5" t="n">
        <f aca="false">IF(B1405="",0,IF(A1405="Bank",IFERROR(MATCH(B1405,Bank!$A:$A,0),0),IFERROR(MATCH(B1405,GL!$A:$A,0),0)))</f>
        <v>0</v>
      </c>
      <c r="D1405" s="32" t="str">
        <f aca="false">IF(C1405=0,"",IF($A1405="Bank",INDEX(Bank!$B:$B,$C1405),INDEX(GL!$B:$B,$C1405)))</f>
        <v/>
      </c>
      <c r="E1405" s="5" t="str">
        <f aca="false">IF(C1405=0,"",IF($A1405="Bank",IF(INDEX(Bank!$C:$C,$C1405)="","",INDEX(Bank!$C:$C,$C1405)),IF(INDEX(GL!$C:$C,$C1405)="","",INDEX(GL!$C:$C,$C1405))))</f>
        <v/>
      </c>
      <c r="F1405" s="5" t="str">
        <f aca="false">IF(C1405=0,"",IF($A1405="Bank",IF(INDEX(Bank!$D:$D,$C1405)="","",INDEX(Bank!$D:$D,$C1405)),IF(INDEX(GL!$D:$D,$C1405)="","",INDEX(GL!$D:$D,$C1405))))</f>
        <v/>
      </c>
      <c r="G1405" s="19" t="str">
        <f aca="false">IF(C1405=0,"",IF($A1405="Bank",INDEX(Bank!$E:$E,$C1405),INDEX(GL!$E:$E,$C1405)))</f>
        <v/>
      </c>
      <c r="H1405" s="5" t="str">
        <f aca="false">IF(C1405=0,"",IF(A1405="GL",IF(G1405&gt;0,"Deposit in transit","Outstanding check / payment"),IF(G1405&gt;0,"Bank credit not in GL","Bank debit not in GL")))</f>
        <v/>
      </c>
      <c r="I1405" s="42" t="str">
        <f aca="false">IF(OR(C1405=0,CFG_PeriodEnd=""),"",CFG_PeriodEnd-D1405)</f>
        <v/>
      </c>
      <c r="J1405" s="5" t="str">
        <f aca="false">IF(C1405=0,"",IF($A1405="Bank",IF(INDEX(Bank!$G:$G,$C1405)="","",INDEX(Bank!$G:$G,$C1405)),IF(INDEX(GL!$G:$G,$C1405)="","",INDEX(GL!$G:$G,$C1405))))</f>
        <v/>
      </c>
      <c r="K1405" s="5" t="str">
        <f aca="false">IF(C1405=0,"",IF($A1405="Bank",IF(INDEX(Bank!$I:$I,$C1405)="","",INDEX(Bank!$I:$I,$C1405)),IF(INDEX(GL!$I:$I,$C1405)="","",INDEX(GL!$I:$I,$C1405))))</f>
        <v/>
      </c>
      <c r="L1405" s="5" t="str">
        <f aca="false">IF(B1405="","",IF(C1405=0,"NOT FOUND",IF(IF($A1405="Bank",INDEX(Bank!$F:$F,$C1405),INDEX(GL!$F:$F,$C1405))="Y","NOW RECONCILED: refresh","OK")))</f>
        <v/>
      </c>
    </row>
    <row r="1406" customFormat="false" ht="15" hidden="false" customHeight="false" outlineLevel="0" collapsed="false">
      <c r="A1406" s="41"/>
      <c r="B1406" s="41"/>
      <c r="C1406" s="5" t="n">
        <f aca="false">IF(B1406="",0,IF(A1406="Bank",IFERROR(MATCH(B1406,Bank!$A:$A,0),0),IFERROR(MATCH(B1406,GL!$A:$A,0),0)))</f>
        <v>0</v>
      </c>
      <c r="D1406" s="32" t="str">
        <f aca="false">IF(C1406=0,"",IF($A1406="Bank",INDEX(Bank!$B:$B,$C1406),INDEX(GL!$B:$B,$C1406)))</f>
        <v/>
      </c>
      <c r="E1406" s="5" t="str">
        <f aca="false">IF(C1406=0,"",IF($A1406="Bank",IF(INDEX(Bank!$C:$C,$C1406)="","",INDEX(Bank!$C:$C,$C1406)),IF(INDEX(GL!$C:$C,$C1406)="","",INDEX(GL!$C:$C,$C1406))))</f>
        <v/>
      </c>
      <c r="F1406" s="5" t="str">
        <f aca="false">IF(C1406=0,"",IF($A1406="Bank",IF(INDEX(Bank!$D:$D,$C1406)="","",INDEX(Bank!$D:$D,$C1406)),IF(INDEX(GL!$D:$D,$C1406)="","",INDEX(GL!$D:$D,$C1406))))</f>
        <v/>
      </c>
      <c r="G1406" s="19" t="str">
        <f aca="false">IF(C1406=0,"",IF($A1406="Bank",INDEX(Bank!$E:$E,$C1406),INDEX(GL!$E:$E,$C1406)))</f>
        <v/>
      </c>
      <c r="H1406" s="5" t="str">
        <f aca="false">IF(C1406=0,"",IF(A1406="GL",IF(G1406&gt;0,"Deposit in transit","Outstanding check / payment"),IF(G1406&gt;0,"Bank credit not in GL","Bank debit not in GL")))</f>
        <v/>
      </c>
      <c r="I1406" s="42" t="str">
        <f aca="false">IF(OR(C1406=0,CFG_PeriodEnd=""),"",CFG_PeriodEnd-D1406)</f>
        <v/>
      </c>
      <c r="J1406" s="5" t="str">
        <f aca="false">IF(C1406=0,"",IF($A1406="Bank",IF(INDEX(Bank!$G:$G,$C1406)="","",INDEX(Bank!$G:$G,$C1406)),IF(INDEX(GL!$G:$G,$C1406)="","",INDEX(GL!$G:$G,$C1406))))</f>
        <v/>
      </c>
      <c r="K1406" s="5" t="str">
        <f aca="false">IF(C1406=0,"",IF($A1406="Bank",IF(INDEX(Bank!$I:$I,$C1406)="","",INDEX(Bank!$I:$I,$C1406)),IF(INDEX(GL!$I:$I,$C1406)="","",INDEX(GL!$I:$I,$C1406))))</f>
        <v/>
      </c>
      <c r="L1406" s="5" t="str">
        <f aca="false">IF(B1406="","",IF(C1406=0,"NOT FOUND",IF(IF($A1406="Bank",INDEX(Bank!$F:$F,$C1406),INDEX(GL!$F:$F,$C1406))="Y","NOW RECONCILED: refresh","OK")))</f>
        <v/>
      </c>
    </row>
    <row r="1407" customFormat="false" ht="15" hidden="false" customHeight="false" outlineLevel="0" collapsed="false">
      <c r="A1407" s="41"/>
      <c r="B1407" s="41"/>
      <c r="C1407" s="5" t="n">
        <f aca="false">IF(B1407="",0,IF(A1407="Bank",IFERROR(MATCH(B1407,Bank!$A:$A,0),0),IFERROR(MATCH(B1407,GL!$A:$A,0),0)))</f>
        <v>0</v>
      </c>
      <c r="D1407" s="32" t="str">
        <f aca="false">IF(C1407=0,"",IF($A1407="Bank",INDEX(Bank!$B:$B,$C1407),INDEX(GL!$B:$B,$C1407)))</f>
        <v/>
      </c>
      <c r="E1407" s="5" t="str">
        <f aca="false">IF(C1407=0,"",IF($A1407="Bank",IF(INDEX(Bank!$C:$C,$C1407)="","",INDEX(Bank!$C:$C,$C1407)),IF(INDEX(GL!$C:$C,$C1407)="","",INDEX(GL!$C:$C,$C1407))))</f>
        <v/>
      </c>
      <c r="F1407" s="5" t="str">
        <f aca="false">IF(C1407=0,"",IF($A1407="Bank",IF(INDEX(Bank!$D:$D,$C1407)="","",INDEX(Bank!$D:$D,$C1407)),IF(INDEX(GL!$D:$D,$C1407)="","",INDEX(GL!$D:$D,$C1407))))</f>
        <v/>
      </c>
      <c r="G1407" s="19" t="str">
        <f aca="false">IF(C1407=0,"",IF($A1407="Bank",INDEX(Bank!$E:$E,$C1407),INDEX(GL!$E:$E,$C1407)))</f>
        <v/>
      </c>
      <c r="H1407" s="5" t="str">
        <f aca="false">IF(C1407=0,"",IF(A1407="GL",IF(G1407&gt;0,"Deposit in transit","Outstanding check / payment"),IF(G1407&gt;0,"Bank credit not in GL","Bank debit not in GL")))</f>
        <v/>
      </c>
      <c r="I1407" s="42" t="str">
        <f aca="false">IF(OR(C1407=0,CFG_PeriodEnd=""),"",CFG_PeriodEnd-D1407)</f>
        <v/>
      </c>
      <c r="J1407" s="5" t="str">
        <f aca="false">IF(C1407=0,"",IF($A1407="Bank",IF(INDEX(Bank!$G:$G,$C1407)="","",INDEX(Bank!$G:$G,$C1407)),IF(INDEX(GL!$G:$G,$C1407)="","",INDEX(GL!$G:$G,$C1407))))</f>
        <v/>
      </c>
      <c r="K1407" s="5" t="str">
        <f aca="false">IF(C1407=0,"",IF($A1407="Bank",IF(INDEX(Bank!$I:$I,$C1407)="","",INDEX(Bank!$I:$I,$C1407)),IF(INDEX(GL!$I:$I,$C1407)="","",INDEX(GL!$I:$I,$C1407))))</f>
        <v/>
      </c>
      <c r="L1407" s="5" t="str">
        <f aca="false">IF(B1407="","",IF(C1407=0,"NOT FOUND",IF(IF($A1407="Bank",INDEX(Bank!$F:$F,$C1407),INDEX(GL!$F:$F,$C1407))="Y","NOW RECONCILED: refresh","OK")))</f>
        <v/>
      </c>
    </row>
    <row r="1408" customFormat="false" ht="15" hidden="false" customHeight="false" outlineLevel="0" collapsed="false">
      <c r="A1408" s="41"/>
      <c r="B1408" s="41"/>
      <c r="C1408" s="5" t="n">
        <f aca="false">IF(B1408="",0,IF(A1408="Bank",IFERROR(MATCH(B1408,Bank!$A:$A,0),0),IFERROR(MATCH(B1408,GL!$A:$A,0),0)))</f>
        <v>0</v>
      </c>
      <c r="D1408" s="32" t="str">
        <f aca="false">IF(C1408=0,"",IF($A1408="Bank",INDEX(Bank!$B:$B,$C1408),INDEX(GL!$B:$B,$C1408)))</f>
        <v/>
      </c>
      <c r="E1408" s="5" t="str">
        <f aca="false">IF(C1408=0,"",IF($A1408="Bank",IF(INDEX(Bank!$C:$C,$C1408)="","",INDEX(Bank!$C:$C,$C1408)),IF(INDEX(GL!$C:$C,$C1408)="","",INDEX(GL!$C:$C,$C1408))))</f>
        <v/>
      </c>
      <c r="F1408" s="5" t="str">
        <f aca="false">IF(C1408=0,"",IF($A1408="Bank",IF(INDEX(Bank!$D:$D,$C1408)="","",INDEX(Bank!$D:$D,$C1408)),IF(INDEX(GL!$D:$D,$C1408)="","",INDEX(GL!$D:$D,$C1408))))</f>
        <v/>
      </c>
      <c r="G1408" s="19" t="str">
        <f aca="false">IF(C1408=0,"",IF($A1408="Bank",INDEX(Bank!$E:$E,$C1408),INDEX(GL!$E:$E,$C1408)))</f>
        <v/>
      </c>
      <c r="H1408" s="5" t="str">
        <f aca="false">IF(C1408=0,"",IF(A1408="GL",IF(G1408&gt;0,"Deposit in transit","Outstanding check / payment"),IF(G1408&gt;0,"Bank credit not in GL","Bank debit not in GL")))</f>
        <v/>
      </c>
      <c r="I1408" s="42" t="str">
        <f aca="false">IF(OR(C1408=0,CFG_PeriodEnd=""),"",CFG_PeriodEnd-D1408)</f>
        <v/>
      </c>
      <c r="J1408" s="5" t="str">
        <f aca="false">IF(C1408=0,"",IF($A1408="Bank",IF(INDEX(Bank!$G:$G,$C1408)="","",INDEX(Bank!$G:$G,$C1408)),IF(INDEX(GL!$G:$G,$C1408)="","",INDEX(GL!$G:$G,$C1408))))</f>
        <v/>
      </c>
      <c r="K1408" s="5" t="str">
        <f aca="false">IF(C1408=0,"",IF($A1408="Bank",IF(INDEX(Bank!$I:$I,$C1408)="","",INDEX(Bank!$I:$I,$C1408)),IF(INDEX(GL!$I:$I,$C1408)="","",INDEX(GL!$I:$I,$C1408))))</f>
        <v/>
      </c>
      <c r="L1408" s="5" t="str">
        <f aca="false">IF(B1408="","",IF(C1408=0,"NOT FOUND",IF(IF($A1408="Bank",INDEX(Bank!$F:$F,$C1408),INDEX(GL!$F:$F,$C1408))="Y","NOW RECONCILED: refresh","OK")))</f>
        <v/>
      </c>
    </row>
    <row r="1409" customFormat="false" ht="15" hidden="false" customHeight="false" outlineLevel="0" collapsed="false">
      <c r="A1409" s="41"/>
      <c r="B1409" s="41"/>
      <c r="C1409" s="5" t="n">
        <f aca="false">IF(B1409="",0,IF(A1409="Bank",IFERROR(MATCH(B1409,Bank!$A:$A,0),0),IFERROR(MATCH(B1409,GL!$A:$A,0),0)))</f>
        <v>0</v>
      </c>
      <c r="D1409" s="32" t="str">
        <f aca="false">IF(C1409=0,"",IF($A1409="Bank",INDEX(Bank!$B:$B,$C1409),INDEX(GL!$B:$B,$C1409)))</f>
        <v/>
      </c>
      <c r="E1409" s="5" t="str">
        <f aca="false">IF(C1409=0,"",IF($A1409="Bank",IF(INDEX(Bank!$C:$C,$C1409)="","",INDEX(Bank!$C:$C,$C1409)),IF(INDEX(GL!$C:$C,$C1409)="","",INDEX(GL!$C:$C,$C1409))))</f>
        <v/>
      </c>
      <c r="F1409" s="5" t="str">
        <f aca="false">IF(C1409=0,"",IF($A1409="Bank",IF(INDEX(Bank!$D:$D,$C1409)="","",INDEX(Bank!$D:$D,$C1409)),IF(INDEX(GL!$D:$D,$C1409)="","",INDEX(GL!$D:$D,$C1409))))</f>
        <v/>
      </c>
      <c r="G1409" s="19" t="str">
        <f aca="false">IF(C1409=0,"",IF($A1409="Bank",INDEX(Bank!$E:$E,$C1409),INDEX(GL!$E:$E,$C1409)))</f>
        <v/>
      </c>
      <c r="H1409" s="5" t="str">
        <f aca="false">IF(C1409=0,"",IF(A1409="GL",IF(G1409&gt;0,"Deposit in transit","Outstanding check / payment"),IF(G1409&gt;0,"Bank credit not in GL","Bank debit not in GL")))</f>
        <v/>
      </c>
      <c r="I1409" s="42" t="str">
        <f aca="false">IF(OR(C1409=0,CFG_PeriodEnd=""),"",CFG_PeriodEnd-D1409)</f>
        <v/>
      </c>
      <c r="J1409" s="5" t="str">
        <f aca="false">IF(C1409=0,"",IF($A1409="Bank",IF(INDEX(Bank!$G:$G,$C1409)="","",INDEX(Bank!$G:$G,$C1409)),IF(INDEX(GL!$G:$G,$C1409)="","",INDEX(GL!$G:$G,$C1409))))</f>
        <v/>
      </c>
      <c r="K1409" s="5" t="str">
        <f aca="false">IF(C1409=0,"",IF($A1409="Bank",IF(INDEX(Bank!$I:$I,$C1409)="","",INDEX(Bank!$I:$I,$C1409)),IF(INDEX(GL!$I:$I,$C1409)="","",INDEX(GL!$I:$I,$C1409))))</f>
        <v/>
      </c>
      <c r="L1409" s="5" t="str">
        <f aca="false">IF(B1409="","",IF(C1409=0,"NOT FOUND",IF(IF($A1409="Bank",INDEX(Bank!$F:$F,$C1409),INDEX(GL!$F:$F,$C1409))="Y","NOW RECONCILED: refresh","OK")))</f>
        <v/>
      </c>
    </row>
    <row r="1410" customFormat="false" ht="15" hidden="false" customHeight="false" outlineLevel="0" collapsed="false">
      <c r="A1410" s="41"/>
      <c r="B1410" s="41"/>
      <c r="C1410" s="5" t="n">
        <f aca="false">IF(B1410="",0,IF(A1410="Bank",IFERROR(MATCH(B1410,Bank!$A:$A,0),0),IFERROR(MATCH(B1410,GL!$A:$A,0),0)))</f>
        <v>0</v>
      </c>
      <c r="D1410" s="32" t="str">
        <f aca="false">IF(C1410=0,"",IF($A1410="Bank",INDEX(Bank!$B:$B,$C1410),INDEX(GL!$B:$B,$C1410)))</f>
        <v/>
      </c>
      <c r="E1410" s="5" t="str">
        <f aca="false">IF(C1410=0,"",IF($A1410="Bank",IF(INDEX(Bank!$C:$C,$C1410)="","",INDEX(Bank!$C:$C,$C1410)),IF(INDEX(GL!$C:$C,$C1410)="","",INDEX(GL!$C:$C,$C1410))))</f>
        <v/>
      </c>
      <c r="F1410" s="5" t="str">
        <f aca="false">IF(C1410=0,"",IF($A1410="Bank",IF(INDEX(Bank!$D:$D,$C1410)="","",INDEX(Bank!$D:$D,$C1410)),IF(INDEX(GL!$D:$D,$C1410)="","",INDEX(GL!$D:$D,$C1410))))</f>
        <v/>
      </c>
      <c r="G1410" s="19" t="str">
        <f aca="false">IF(C1410=0,"",IF($A1410="Bank",INDEX(Bank!$E:$E,$C1410),INDEX(GL!$E:$E,$C1410)))</f>
        <v/>
      </c>
      <c r="H1410" s="5" t="str">
        <f aca="false">IF(C1410=0,"",IF(A1410="GL",IF(G1410&gt;0,"Deposit in transit","Outstanding check / payment"),IF(G1410&gt;0,"Bank credit not in GL","Bank debit not in GL")))</f>
        <v/>
      </c>
      <c r="I1410" s="42" t="str">
        <f aca="false">IF(OR(C1410=0,CFG_PeriodEnd=""),"",CFG_PeriodEnd-D1410)</f>
        <v/>
      </c>
      <c r="J1410" s="5" t="str">
        <f aca="false">IF(C1410=0,"",IF($A1410="Bank",IF(INDEX(Bank!$G:$G,$C1410)="","",INDEX(Bank!$G:$G,$C1410)),IF(INDEX(GL!$G:$G,$C1410)="","",INDEX(GL!$G:$G,$C1410))))</f>
        <v/>
      </c>
      <c r="K1410" s="5" t="str">
        <f aca="false">IF(C1410=0,"",IF($A1410="Bank",IF(INDEX(Bank!$I:$I,$C1410)="","",INDEX(Bank!$I:$I,$C1410)),IF(INDEX(GL!$I:$I,$C1410)="","",INDEX(GL!$I:$I,$C1410))))</f>
        <v/>
      </c>
      <c r="L1410" s="5" t="str">
        <f aca="false">IF(B1410="","",IF(C1410=0,"NOT FOUND",IF(IF($A1410="Bank",INDEX(Bank!$F:$F,$C1410),INDEX(GL!$F:$F,$C1410))="Y","NOW RECONCILED: refresh","OK")))</f>
        <v/>
      </c>
    </row>
    <row r="1411" customFormat="false" ht="15" hidden="false" customHeight="false" outlineLevel="0" collapsed="false">
      <c r="A1411" s="41"/>
      <c r="B1411" s="41"/>
      <c r="C1411" s="5" t="n">
        <f aca="false">IF(B1411="",0,IF(A1411="Bank",IFERROR(MATCH(B1411,Bank!$A:$A,0),0),IFERROR(MATCH(B1411,GL!$A:$A,0),0)))</f>
        <v>0</v>
      </c>
      <c r="D1411" s="32" t="str">
        <f aca="false">IF(C1411=0,"",IF($A1411="Bank",INDEX(Bank!$B:$B,$C1411),INDEX(GL!$B:$B,$C1411)))</f>
        <v/>
      </c>
      <c r="E1411" s="5" t="str">
        <f aca="false">IF(C1411=0,"",IF($A1411="Bank",IF(INDEX(Bank!$C:$C,$C1411)="","",INDEX(Bank!$C:$C,$C1411)),IF(INDEX(GL!$C:$C,$C1411)="","",INDEX(GL!$C:$C,$C1411))))</f>
        <v/>
      </c>
      <c r="F1411" s="5" t="str">
        <f aca="false">IF(C1411=0,"",IF($A1411="Bank",IF(INDEX(Bank!$D:$D,$C1411)="","",INDEX(Bank!$D:$D,$C1411)),IF(INDEX(GL!$D:$D,$C1411)="","",INDEX(GL!$D:$D,$C1411))))</f>
        <v/>
      </c>
      <c r="G1411" s="19" t="str">
        <f aca="false">IF(C1411=0,"",IF($A1411="Bank",INDEX(Bank!$E:$E,$C1411),INDEX(GL!$E:$E,$C1411)))</f>
        <v/>
      </c>
      <c r="H1411" s="5" t="str">
        <f aca="false">IF(C1411=0,"",IF(A1411="GL",IF(G1411&gt;0,"Deposit in transit","Outstanding check / payment"),IF(G1411&gt;0,"Bank credit not in GL","Bank debit not in GL")))</f>
        <v/>
      </c>
      <c r="I1411" s="42" t="str">
        <f aca="false">IF(OR(C1411=0,CFG_PeriodEnd=""),"",CFG_PeriodEnd-D1411)</f>
        <v/>
      </c>
      <c r="J1411" s="5" t="str">
        <f aca="false">IF(C1411=0,"",IF($A1411="Bank",IF(INDEX(Bank!$G:$G,$C1411)="","",INDEX(Bank!$G:$G,$C1411)),IF(INDEX(GL!$G:$G,$C1411)="","",INDEX(GL!$G:$G,$C1411))))</f>
        <v/>
      </c>
      <c r="K1411" s="5" t="str">
        <f aca="false">IF(C1411=0,"",IF($A1411="Bank",IF(INDEX(Bank!$I:$I,$C1411)="","",INDEX(Bank!$I:$I,$C1411)),IF(INDEX(GL!$I:$I,$C1411)="","",INDEX(GL!$I:$I,$C1411))))</f>
        <v/>
      </c>
      <c r="L1411" s="5" t="str">
        <f aca="false">IF(B1411="","",IF(C1411=0,"NOT FOUND",IF(IF($A1411="Bank",INDEX(Bank!$F:$F,$C1411),INDEX(GL!$F:$F,$C1411))="Y","NOW RECONCILED: refresh","OK")))</f>
        <v/>
      </c>
    </row>
    <row r="1412" customFormat="false" ht="15" hidden="false" customHeight="false" outlineLevel="0" collapsed="false">
      <c r="A1412" s="41"/>
      <c r="B1412" s="41"/>
      <c r="C1412" s="5" t="n">
        <f aca="false">IF(B1412="",0,IF(A1412="Bank",IFERROR(MATCH(B1412,Bank!$A:$A,0),0),IFERROR(MATCH(B1412,GL!$A:$A,0),0)))</f>
        <v>0</v>
      </c>
      <c r="D1412" s="32" t="str">
        <f aca="false">IF(C1412=0,"",IF($A1412="Bank",INDEX(Bank!$B:$B,$C1412),INDEX(GL!$B:$B,$C1412)))</f>
        <v/>
      </c>
      <c r="E1412" s="5" t="str">
        <f aca="false">IF(C1412=0,"",IF($A1412="Bank",IF(INDEX(Bank!$C:$C,$C1412)="","",INDEX(Bank!$C:$C,$C1412)),IF(INDEX(GL!$C:$C,$C1412)="","",INDEX(GL!$C:$C,$C1412))))</f>
        <v/>
      </c>
      <c r="F1412" s="5" t="str">
        <f aca="false">IF(C1412=0,"",IF($A1412="Bank",IF(INDEX(Bank!$D:$D,$C1412)="","",INDEX(Bank!$D:$D,$C1412)),IF(INDEX(GL!$D:$D,$C1412)="","",INDEX(GL!$D:$D,$C1412))))</f>
        <v/>
      </c>
      <c r="G1412" s="19" t="str">
        <f aca="false">IF(C1412=0,"",IF($A1412="Bank",INDEX(Bank!$E:$E,$C1412),INDEX(GL!$E:$E,$C1412)))</f>
        <v/>
      </c>
      <c r="H1412" s="5" t="str">
        <f aca="false">IF(C1412=0,"",IF(A1412="GL",IF(G1412&gt;0,"Deposit in transit","Outstanding check / payment"),IF(G1412&gt;0,"Bank credit not in GL","Bank debit not in GL")))</f>
        <v/>
      </c>
      <c r="I1412" s="42" t="str">
        <f aca="false">IF(OR(C1412=0,CFG_PeriodEnd=""),"",CFG_PeriodEnd-D1412)</f>
        <v/>
      </c>
      <c r="J1412" s="5" t="str">
        <f aca="false">IF(C1412=0,"",IF($A1412="Bank",IF(INDEX(Bank!$G:$G,$C1412)="","",INDEX(Bank!$G:$G,$C1412)),IF(INDEX(GL!$G:$G,$C1412)="","",INDEX(GL!$G:$G,$C1412))))</f>
        <v/>
      </c>
      <c r="K1412" s="5" t="str">
        <f aca="false">IF(C1412=0,"",IF($A1412="Bank",IF(INDEX(Bank!$I:$I,$C1412)="","",INDEX(Bank!$I:$I,$C1412)),IF(INDEX(GL!$I:$I,$C1412)="","",INDEX(GL!$I:$I,$C1412))))</f>
        <v/>
      </c>
      <c r="L1412" s="5" t="str">
        <f aca="false">IF(B1412="","",IF(C1412=0,"NOT FOUND",IF(IF($A1412="Bank",INDEX(Bank!$F:$F,$C1412),INDEX(GL!$F:$F,$C1412))="Y","NOW RECONCILED: refresh","OK")))</f>
        <v/>
      </c>
    </row>
    <row r="1413" customFormat="false" ht="15" hidden="false" customHeight="false" outlineLevel="0" collapsed="false">
      <c r="A1413" s="41"/>
      <c r="B1413" s="41"/>
      <c r="C1413" s="5" t="n">
        <f aca="false">IF(B1413="",0,IF(A1413="Bank",IFERROR(MATCH(B1413,Bank!$A:$A,0),0),IFERROR(MATCH(B1413,GL!$A:$A,0),0)))</f>
        <v>0</v>
      </c>
      <c r="D1413" s="32" t="str">
        <f aca="false">IF(C1413=0,"",IF($A1413="Bank",INDEX(Bank!$B:$B,$C1413),INDEX(GL!$B:$B,$C1413)))</f>
        <v/>
      </c>
      <c r="E1413" s="5" t="str">
        <f aca="false">IF(C1413=0,"",IF($A1413="Bank",IF(INDEX(Bank!$C:$C,$C1413)="","",INDEX(Bank!$C:$C,$C1413)),IF(INDEX(GL!$C:$C,$C1413)="","",INDEX(GL!$C:$C,$C1413))))</f>
        <v/>
      </c>
      <c r="F1413" s="5" t="str">
        <f aca="false">IF(C1413=0,"",IF($A1413="Bank",IF(INDEX(Bank!$D:$D,$C1413)="","",INDEX(Bank!$D:$D,$C1413)),IF(INDEX(GL!$D:$D,$C1413)="","",INDEX(GL!$D:$D,$C1413))))</f>
        <v/>
      </c>
      <c r="G1413" s="19" t="str">
        <f aca="false">IF(C1413=0,"",IF($A1413="Bank",INDEX(Bank!$E:$E,$C1413),INDEX(GL!$E:$E,$C1413)))</f>
        <v/>
      </c>
      <c r="H1413" s="5" t="str">
        <f aca="false">IF(C1413=0,"",IF(A1413="GL",IF(G1413&gt;0,"Deposit in transit","Outstanding check / payment"),IF(G1413&gt;0,"Bank credit not in GL","Bank debit not in GL")))</f>
        <v/>
      </c>
      <c r="I1413" s="42" t="str">
        <f aca="false">IF(OR(C1413=0,CFG_PeriodEnd=""),"",CFG_PeriodEnd-D1413)</f>
        <v/>
      </c>
      <c r="J1413" s="5" t="str">
        <f aca="false">IF(C1413=0,"",IF($A1413="Bank",IF(INDEX(Bank!$G:$G,$C1413)="","",INDEX(Bank!$G:$G,$C1413)),IF(INDEX(GL!$G:$G,$C1413)="","",INDEX(GL!$G:$G,$C1413))))</f>
        <v/>
      </c>
      <c r="K1413" s="5" t="str">
        <f aca="false">IF(C1413=0,"",IF($A1413="Bank",IF(INDEX(Bank!$I:$I,$C1413)="","",INDEX(Bank!$I:$I,$C1413)),IF(INDEX(GL!$I:$I,$C1413)="","",INDEX(GL!$I:$I,$C1413))))</f>
        <v/>
      </c>
      <c r="L1413" s="5" t="str">
        <f aca="false">IF(B1413="","",IF(C1413=0,"NOT FOUND",IF(IF($A1413="Bank",INDEX(Bank!$F:$F,$C1413),INDEX(GL!$F:$F,$C1413))="Y","NOW RECONCILED: refresh","OK")))</f>
        <v/>
      </c>
    </row>
    <row r="1414" customFormat="false" ht="15" hidden="false" customHeight="false" outlineLevel="0" collapsed="false">
      <c r="A1414" s="41"/>
      <c r="B1414" s="41"/>
      <c r="C1414" s="5" t="n">
        <f aca="false">IF(B1414="",0,IF(A1414="Bank",IFERROR(MATCH(B1414,Bank!$A:$A,0),0),IFERROR(MATCH(B1414,GL!$A:$A,0),0)))</f>
        <v>0</v>
      </c>
      <c r="D1414" s="32" t="str">
        <f aca="false">IF(C1414=0,"",IF($A1414="Bank",INDEX(Bank!$B:$B,$C1414),INDEX(GL!$B:$B,$C1414)))</f>
        <v/>
      </c>
      <c r="E1414" s="5" t="str">
        <f aca="false">IF(C1414=0,"",IF($A1414="Bank",IF(INDEX(Bank!$C:$C,$C1414)="","",INDEX(Bank!$C:$C,$C1414)),IF(INDEX(GL!$C:$C,$C1414)="","",INDEX(GL!$C:$C,$C1414))))</f>
        <v/>
      </c>
      <c r="F1414" s="5" t="str">
        <f aca="false">IF(C1414=0,"",IF($A1414="Bank",IF(INDEX(Bank!$D:$D,$C1414)="","",INDEX(Bank!$D:$D,$C1414)),IF(INDEX(GL!$D:$D,$C1414)="","",INDEX(GL!$D:$D,$C1414))))</f>
        <v/>
      </c>
      <c r="G1414" s="19" t="str">
        <f aca="false">IF(C1414=0,"",IF($A1414="Bank",INDEX(Bank!$E:$E,$C1414),INDEX(GL!$E:$E,$C1414)))</f>
        <v/>
      </c>
      <c r="H1414" s="5" t="str">
        <f aca="false">IF(C1414=0,"",IF(A1414="GL",IF(G1414&gt;0,"Deposit in transit","Outstanding check / payment"),IF(G1414&gt;0,"Bank credit not in GL","Bank debit not in GL")))</f>
        <v/>
      </c>
      <c r="I1414" s="42" t="str">
        <f aca="false">IF(OR(C1414=0,CFG_PeriodEnd=""),"",CFG_PeriodEnd-D1414)</f>
        <v/>
      </c>
      <c r="J1414" s="5" t="str">
        <f aca="false">IF(C1414=0,"",IF($A1414="Bank",IF(INDEX(Bank!$G:$G,$C1414)="","",INDEX(Bank!$G:$G,$C1414)),IF(INDEX(GL!$G:$G,$C1414)="","",INDEX(GL!$G:$G,$C1414))))</f>
        <v/>
      </c>
      <c r="K1414" s="5" t="str">
        <f aca="false">IF(C1414=0,"",IF($A1414="Bank",IF(INDEX(Bank!$I:$I,$C1414)="","",INDEX(Bank!$I:$I,$C1414)),IF(INDEX(GL!$I:$I,$C1414)="","",INDEX(GL!$I:$I,$C1414))))</f>
        <v/>
      </c>
      <c r="L1414" s="5" t="str">
        <f aca="false">IF(B1414="","",IF(C1414=0,"NOT FOUND",IF(IF($A1414="Bank",INDEX(Bank!$F:$F,$C1414),INDEX(GL!$F:$F,$C1414))="Y","NOW RECONCILED: refresh","OK")))</f>
        <v/>
      </c>
    </row>
    <row r="1415" customFormat="false" ht="15" hidden="false" customHeight="false" outlineLevel="0" collapsed="false">
      <c r="A1415" s="41"/>
      <c r="B1415" s="41"/>
      <c r="C1415" s="5" t="n">
        <f aca="false">IF(B1415="",0,IF(A1415="Bank",IFERROR(MATCH(B1415,Bank!$A:$A,0),0),IFERROR(MATCH(B1415,GL!$A:$A,0),0)))</f>
        <v>0</v>
      </c>
      <c r="D1415" s="32" t="str">
        <f aca="false">IF(C1415=0,"",IF($A1415="Bank",INDEX(Bank!$B:$B,$C1415),INDEX(GL!$B:$B,$C1415)))</f>
        <v/>
      </c>
      <c r="E1415" s="5" t="str">
        <f aca="false">IF(C1415=0,"",IF($A1415="Bank",IF(INDEX(Bank!$C:$C,$C1415)="","",INDEX(Bank!$C:$C,$C1415)),IF(INDEX(GL!$C:$C,$C1415)="","",INDEX(GL!$C:$C,$C1415))))</f>
        <v/>
      </c>
      <c r="F1415" s="5" t="str">
        <f aca="false">IF(C1415=0,"",IF($A1415="Bank",IF(INDEX(Bank!$D:$D,$C1415)="","",INDEX(Bank!$D:$D,$C1415)),IF(INDEX(GL!$D:$D,$C1415)="","",INDEX(GL!$D:$D,$C1415))))</f>
        <v/>
      </c>
      <c r="G1415" s="19" t="str">
        <f aca="false">IF(C1415=0,"",IF($A1415="Bank",INDEX(Bank!$E:$E,$C1415),INDEX(GL!$E:$E,$C1415)))</f>
        <v/>
      </c>
      <c r="H1415" s="5" t="str">
        <f aca="false">IF(C1415=0,"",IF(A1415="GL",IF(G1415&gt;0,"Deposit in transit","Outstanding check / payment"),IF(G1415&gt;0,"Bank credit not in GL","Bank debit not in GL")))</f>
        <v/>
      </c>
      <c r="I1415" s="42" t="str">
        <f aca="false">IF(OR(C1415=0,CFG_PeriodEnd=""),"",CFG_PeriodEnd-D1415)</f>
        <v/>
      </c>
      <c r="J1415" s="5" t="str">
        <f aca="false">IF(C1415=0,"",IF($A1415="Bank",IF(INDEX(Bank!$G:$G,$C1415)="","",INDEX(Bank!$G:$G,$C1415)),IF(INDEX(GL!$G:$G,$C1415)="","",INDEX(GL!$G:$G,$C1415))))</f>
        <v/>
      </c>
      <c r="K1415" s="5" t="str">
        <f aca="false">IF(C1415=0,"",IF($A1415="Bank",IF(INDEX(Bank!$I:$I,$C1415)="","",INDEX(Bank!$I:$I,$C1415)),IF(INDEX(GL!$I:$I,$C1415)="","",INDEX(GL!$I:$I,$C1415))))</f>
        <v/>
      </c>
      <c r="L1415" s="5" t="str">
        <f aca="false">IF(B1415="","",IF(C1415=0,"NOT FOUND",IF(IF($A1415="Bank",INDEX(Bank!$F:$F,$C1415),INDEX(GL!$F:$F,$C1415))="Y","NOW RECONCILED: refresh","OK")))</f>
        <v/>
      </c>
    </row>
    <row r="1416" customFormat="false" ht="15" hidden="false" customHeight="false" outlineLevel="0" collapsed="false">
      <c r="A1416" s="41"/>
      <c r="B1416" s="41"/>
      <c r="C1416" s="5" t="n">
        <f aca="false">IF(B1416="",0,IF(A1416="Bank",IFERROR(MATCH(B1416,Bank!$A:$A,0),0),IFERROR(MATCH(B1416,GL!$A:$A,0),0)))</f>
        <v>0</v>
      </c>
      <c r="D1416" s="32" t="str">
        <f aca="false">IF(C1416=0,"",IF($A1416="Bank",INDEX(Bank!$B:$B,$C1416),INDEX(GL!$B:$B,$C1416)))</f>
        <v/>
      </c>
      <c r="E1416" s="5" t="str">
        <f aca="false">IF(C1416=0,"",IF($A1416="Bank",IF(INDEX(Bank!$C:$C,$C1416)="","",INDEX(Bank!$C:$C,$C1416)),IF(INDEX(GL!$C:$C,$C1416)="","",INDEX(GL!$C:$C,$C1416))))</f>
        <v/>
      </c>
      <c r="F1416" s="5" t="str">
        <f aca="false">IF(C1416=0,"",IF($A1416="Bank",IF(INDEX(Bank!$D:$D,$C1416)="","",INDEX(Bank!$D:$D,$C1416)),IF(INDEX(GL!$D:$D,$C1416)="","",INDEX(GL!$D:$D,$C1416))))</f>
        <v/>
      </c>
      <c r="G1416" s="19" t="str">
        <f aca="false">IF(C1416=0,"",IF($A1416="Bank",INDEX(Bank!$E:$E,$C1416),INDEX(GL!$E:$E,$C1416)))</f>
        <v/>
      </c>
      <c r="H1416" s="5" t="str">
        <f aca="false">IF(C1416=0,"",IF(A1416="GL",IF(G1416&gt;0,"Deposit in transit","Outstanding check / payment"),IF(G1416&gt;0,"Bank credit not in GL","Bank debit not in GL")))</f>
        <v/>
      </c>
      <c r="I1416" s="42" t="str">
        <f aca="false">IF(OR(C1416=0,CFG_PeriodEnd=""),"",CFG_PeriodEnd-D1416)</f>
        <v/>
      </c>
      <c r="J1416" s="5" t="str">
        <f aca="false">IF(C1416=0,"",IF($A1416="Bank",IF(INDEX(Bank!$G:$G,$C1416)="","",INDEX(Bank!$G:$G,$C1416)),IF(INDEX(GL!$G:$G,$C1416)="","",INDEX(GL!$G:$G,$C1416))))</f>
        <v/>
      </c>
      <c r="K1416" s="5" t="str">
        <f aca="false">IF(C1416=0,"",IF($A1416="Bank",IF(INDEX(Bank!$I:$I,$C1416)="","",INDEX(Bank!$I:$I,$C1416)),IF(INDEX(GL!$I:$I,$C1416)="","",INDEX(GL!$I:$I,$C1416))))</f>
        <v/>
      </c>
      <c r="L1416" s="5" t="str">
        <f aca="false">IF(B1416="","",IF(C1416=0,"NOT FOUND",IF(IF($A1416="Bank",INDEX(Bank!$F:$F,$C1416),INDEX(GL!$F:$F,$C1416))="Y","NOW RECONCILED: refresh","OK")))</f>
        <v/>
      </c>
    </row>
    <row r="1417" customFormat="false" ht="15" hidden="false" customHeight="false" outlineLevel="0" collapsed="false">
      <c r="A1417" s="41"/>
      <c r="B1417" s="41"/>
      <c r="C1417" s="5" t="n">
        <f aca="false">IF(B1417="",0,IF(A1417="Bank",IFERROR(MATCH(B1417,Bank!$A:$A,0),0),IFERROR(MATCH(B1417,GL!$A:$A,0),0)))</f>
        <v>0</v>
      </c>
      <c r="D1417" s="32" t="str">
        <f aca="false">IF(C1417=0,"",IF($A1417="Bank",INDEX(Bank!$B:$B,$C1417),INDEX(GL!$B:$B,$C1417)))</f>
        <v/>
      </c>
      <c r="E1417" s="5" t="str">
        <f aca="false">IF(C1417=0,"",IF($A1417="Bank",IF(INDEX(Bank!$C:$C,$C1417)="","",INDEX(Bank!$C:$C,$C1417)),IF(INDEX(GL!$C:$C,$C1417)="","",INDEX(GL!$C:$C,$C1417))))</f>
        <v/>
      </c>
      <c r="F1417" s="5" t="str">
        <f aca="false">IF(C1417=0,"",IF($A1417="Bank",IF(INDEX(Bank!$D:$D,$C1417)="","",INDEX(Bank!$D:$D,$C1417)),IF(INDEX(GL!$D:$D,$C1417)="","",INDEX(GL!$D:$D,$C1417))))</f>
        <v/>
      </c>
      <c r="G1417" s="19" t="str">
        <f aca="false">IF(C1417=0,"",IF($A1417="Bank",INDEX(Bank!$E:$E,$C1417),INDEX(GL!$E:$E,$C1417)))</f>
        <v/>
      </c>
      <c r="H1417" s="5" t="str">
        <f aca="false">IF(C1417=0,"",IF(A1417="GL",IF(G1417&gt;0,"Deposit in transit","Outstanding check / payment"),IF(G1417&gt;0,"Bank credit not in GL","Bank debit not in GL")))</f>
        <v/>
      </c>
      <c r="I1417" s="42" t="str">
        <f aca="false">IF(OR(C1417=0,CFG_PeriodEnd=""),"",CFG_PeriodEnd-D1417)</f>
        <v/>
      </c>
      <c r="J1417" s="5" t="str">
        <f aca="false">IF(C1417=0,"",IF($A1417="Bank",IF(INDEX(Bank!$G:$G,$C1417)="","",INDEX(Bank!$G:$G,$C1417)),IF(INDEX(GL!$G:$G,$C1417)="","",INDEX(GL!$G:$G,$C1417))))</f>
        <v/>
      </c>
      <c r="K1417" s="5" t="str">
        <f aca="false">IF(C1417=0,"",IF($A1417="Bank",IF(INDEX(Bank!$I:$I,$C1417)="","",INDEX(Bank!$I:$I,$C1417)),IF(INDEX(GL!$I:$I,$C1417)="","",INDEX(GL!$I:$I,$C1417))))</f>
        <v/>
      </c>
      <c r="L1417" s="5" t="str">
        <f aca="false">IF(B1417="","",IF(C1417=0,"NOT FOUND",IF(IF($A1417="Bank",INDEX(Bank!$F:$F,$C1417),INDEX(GL!$F:$F,$C1417))="Y","NOW RECONCILED: refresh","OK")))</f>
        <v/>
      </c>
    </row>
    <row r="1418" customFormat="false" ht="15" hidden="false" customHeight="false" outlineLevel="0" collapsed="false">
      <c r="A1418" s="41"/>
      <c r="B1418" s="41"/>
      <c r="C1418" s="5" t="n">
        <f aca="false">IF(B1418="",0,IF(A1418="Bank",IFERROR(MATCH(B1418,Bank!$A:$A,0),0),IFERROR(MATCH(B1418,GL!$A:$A,0),0)))</f>
        <v>0</v>
      </c>
      <c r="D1418" s="32" t="str">
        <f aca="false">IF(C1418=0,"",IF($A1418="Bank",INDEX(Bank!$B:$B,$C1418),INDEX(GL!$B:$B,$C1418)))</f>
        <v/>
      </c>
      <c r="E1418" s="5" t="str">
        <f aca="false">IF(C1418=0,"",IF($A1418="Bank",IF(INDEX(Bank!$C:$C,$C1418)="","",INDEX(Bank!$C:$C,$C1418)),IF(INDEX(GL!$C:$C,$C1418)="","",INDEX(GL!$C:$C,$C1418))))</f>
        <v/>
      </c>
      <c r="F1418" s="5" t="str">
        <f aca="false">IF(C1418=0,"",IF($A1418="Bank",IF(INDEX(Bank!$D:$D,$C1418)="","",INDEX(Bank!$D:$D,$C1418)),IF(INDEX(GL!$D:$D,$C1418)="","",INDEX(GL!$D:$D,$C1418))))</f>
        <v/>
      </c>
      <c r="G1418" s="19" t="str">
        <f aca="false">IF(C1418=0,"",IF($A1418="Bank",INDEX(Bank!$E:$E,$C1418),INDEX(GL!$E:$E,$C1418)))</f>
        <v/>
      </c>
      <c r="H1418" s="5" t="str">
        <f aca="false">IF(C1418=0,"",IF(A1418="GL",IF(G1418&gt;0,"Deposit in transit","Outstanding check / payment"),IF(G1418&gt;0,"Bank credit not in GL","Bank debit not in GL")))</f>
        <v/>
      </c>
      <c r="I1418" s="42" t="str">
        <f aca="false">IF(OR(C1418=0,CFG_PeriodEnd=""),"",CFG_PeriodEnd-D1418)</f>
        <v/>
      </c>
      <c r="J1418" s="5" t="str">
        <f aca="false">IF(C1418=0,"",IF($A1418="Bank",IF(INDEX(Bank!$G:$G,$C1418)="","",INDEX(Bank!$G:$G,$C1418)),IF(INDEX(GL!$G:$G,$C1418)="","",INDEX(GL!$G:$G,$C1418))))</f>
        <v/>
      </c>
      <c r="K1418" s="5" t="str">
        <f aca="false">IF(C1418=0,"",IF($A1418="Bank",IF(INDEX(Bank!$I:$I,$C1418)="","",INDEX(Bank!$I:$I,$C1418)),IF(INDEX(GL!$I:$I,$C1418)="","",INDEX(GL!$I:$I,$C1418))))</f>
        <v/>
      </c>
      <c r="L1418" s="5" t="str">
        <f aca="false">IF(B1418="","",IF(C1418=0,"NOT FOUND",IF(IF($A1418="Bank",INDEX(Bank!$F:$F,$C1418),INDEX(GL!$F:$F,$C1418))="Y","NOW RECONCILED: refresh","OK")))</f>
        <v/>
      </c>
    </row>
    <row r="1419" customFormat="false" ht="15" hidden="false" customHeight="false" outlineLevel="0" collapsed="false">
      <c r="A1419" s="41"/>
      <c r="B1419" s="41"/>
      <c r="C1419" s="5" t="n">
        <f aca="false">IF(B1419="",0,IF(A1419="Bank",IFERROR(MATCH(B1419,Bank!$A:$A,0),0),IFERROR(MATCH(B1419,GL!$A:$A,0),0)))</f>
        <v>0</v>
      </c>
      <c r="D1419" s="32" t="str">
        <f aca="false">IF(C1419=0,"",IF($A1419="Bank",INDEX(Bank!$B:$B,$C1419),INDEX(GL!$B:$B,$C1419)))</f>
        <v/>
      </c>
      <c r="E1419" s="5" t="str">
        <f aca="false">IF(C1419=0,"",IF($A1419="Bank",IF(INDEX(Bank!$C:$C,$C1419)="","",INDEX(Bank!$C:$C,$C1419)),IF(INDEX(GL!$C:$C,$C1419)="","",INDEX(GL!$C:$C,$C1419))))</f>
        <v/>
      </c>
      <c r="F1419" s="5" t="str">
        <f aca="false">IF(C1419=0,"",IF($A1419="Bank",IF(INDEX(Bank!$D:$D,$C1419)="","",INDEX(Bank!$D:$D,$C1419)),IF(INDEX(GL!$D:$D,$C1419)="","",INDEX(GL!$D:$D,$C1419))))</f>
        <v/>
      </c>
      <c r="G1419" s="19" t="str">
        <f aca="false">IF(C1419=0,"",IF($A1419="Bank",INDEX(Bank!$E:$E,$C1419),INDEX(GL!$E:$E,$C1419)))</f>
        <v/>
      </c>
      <c r="H1419" s="5" t="str">
        <f aca="false">IF(C1419=0,"",IF(A1419="GL",IF(G1419&gt;0,"Deposit in transit","Outstanding check / payment"),IF(G1419&gt;0,"Bank credit not in GL","Bank debit not in GL")))</f>
        <v/>
      </c>
      <c r="I1419" s="42" t="str">
        <f aca="false">IF(OR(C1419=0,CFG_PeriodEnd=""),"",CFG_PeriodEnd-D1419)</f>
        <v/>
      </c>
      <c r="J1419" s="5" t="str">
        <f aca="false">IF(C1419=0,"",IF($A1419="Bank",IF(INDEX(Bank!$G:$G,$C1419)="","",INDEX(Bank!$G:$G,$C1419)),IF(INDEX(GL!$G:$G,$C1419)="","",INDEX(GL!$G:$G,$C1419))))</f>
        <v/>
      </c>
      <c r="K1419" s="5" t="str">
        <f aca="false">IF(C1419=0,"",IF($A1419="Bank",IF(INDEX(Bank!$I:$I,$C1419)="","",INDEX(Bank!$I:$I,$C1419)),IF(INDEX(GL!$I:$I,$C1419)="","",INDEX(GL!$I:$I,$C1419))))</f>
        <v/>
      </c>
      <c r="L1419" s="5" t="str">
        <f aca="false">IF(B1419="","",IF(C1419=0,"NOT FOUND",IF(IF($A1419="Bank",INDEX(Bank!$F:$F,$C1419),INDEX(GL!$F:$F,$C1419))="Y","NOW RECONCILED: refresh","OK")))</f>
        <v/>
      </c>
    </row>
    <row r="1420" customFormat="false" ht="15" hidden="false" customHeight="false" outlineLevel="0" collapsed="false">
      <c r="A1420" s="41"/>
      <c r="B1420" s="41"/>
      <c r="C1420" s="5" t="n">
        <f aca="false">IF(B1420="",0,IF(A1420="Bank",IFERROR(MATCH(B1420,Bank!$A:$A,0),0),IFERROR(MATCH(B1420,GL!$A:$A,0),0)))</f>
        <v>0</v>
      </c>
      <c r="D1420" s="32" t="str">
        <f aca="false">IF(C1420=0,"",IF($A1420="Bank",INDEX(Bank!$B:$B,$C1420),INDEX(GL!$B:$B,$C1420)))</f>
        <v/>
      </c>
      <c r="E1420" s="5" t="str">
        <f aca="false">IF(C1420=0,"",IF($A1420="Bank",IF(INDEX(Bank!$C:$C,$C1420)="","",INDEX(Bank!$C:$C,$C1420)),IF(INDEX(GL!$C:$C,$C1420)="","",INDEX(GL!$C:$C,$C1420))))</f>
        <v/>
      </c>
      <c r="F1420" s="5" t="str">
        <f aca="false">IF(C1420=0,"",IF($A1420="Bank",IF(INDEX(Bank!$D:$D,$C1420)="","",INDEX(Bank!$D:$D,$C1420)),IF(INDEX(GL!$D:$D,$C1420)="","",INDEX(GL!$D:$D,$C1420))))</f>
        <v/>
      </c>
      <c r="G1420" s="19" t="str">
        <f aca="false">IF(C1420=0,"",IF($A1420="Bank",INDEX(Bank!$E:$E,$C1420),INDEX(GL!$E:$E,$C1420)))</f>
        <v/>
      </c>
      <c r="H1420" s="5" t="str">
        <f aca="false">IF(C1420=0,"",IF(A1420="GL",IF(G1420&gt;0,"Deposit in transit","Outstanding check / payment"),IF(G1420&gt;0,"Bank credit not in GL","Bank debit not in GL")))</f>
        <v/>
      </c>
      <c r="I1420" s="42" t="str">
        <f aca="false">IF(OR(C1420=0,CFG_PeriodEnd=""),"",CFG_PeriodEnd-D1420)</f>
        <v/>
      </c>
      <c r="J1420" s="5" t="str">
        <f aca="false">IF(C1420=0,"",IF($A1420="Bank",IF(INDEX(Bank!$G:$G,$C1420)="","",INDEX(Bank!$G:$G,$C1420)),IF(INDEX(GL!$G:$G,$C1420)="","",INDEX(GL!$G:$G,$C1420))))</f>
        <v/>
      </c>
      <c r="K1420" s="5" t="str">
        <f aca="false">IF(C1420=0,"",IF($A1420="Bank",IF(INDEX(Bank!$I:$I,$C1420)="","",INDEX(Bank!$I:$I,$C1420)),IF(INDEX(GL!$I:$I,$C1420)="","",INDEX(GL!$I:$I,$C1420))))</f>
        <v/>
      </c>
      <c r="L1420" s="5" t="str">
        <f aca="false">IF(B1420="","",IF(C1420=0,"NOT FOUND",IF(IF($A1420="Bank",INDEX(Bank!$F:$F,$C1420),INDEX(GL!$F:$F,$C1420))="Y","NOW RECONCILED: refresh","OK")))</f>
        <v/>
      </c>
    </row>
    <row r="1421" customFormat="false" ht="15" hidden="false" customHeight="false" outlineLevel="0" collapsed="false">
      <c r="A1421" s="41"/>
      <c r="B1421" s="41"/>
      <c r="C1421" s="5" t="n">
        <f aca="false">IF(B1421="",0,IF(A1421="Bank",IFERROR(MATCH(B1421,Bank!$A:$A,0),0),IFERROR(MATCH(B1421,GL!$A:$A,0),0)))</f>
        <v>0</v>
      </c>
      <c r="D1421" s="32" t="str">
        <f aca="false">IF(C1421=0,"",IF($A1421="Bank",INDEX(Bank!$B:$B,$C1421),INDEX(GL!$B:$B,$C1421)))</f>
        <v/>
      </c>
      <c r="E1421" s="5" t="str">
        <f aca="false">IF(C1421=0,"",IF($A1421="Bank",IF(INDEX(Bank!$C:$C,$C1421)="","",INDEX(Bank!$C:$C,$C1421)),IF(INDEX(GL!$C:$C,$C1421)="","",INDEX(GL!$C:$C,$C1421))))</f>
        <v/>
      </c>
      <c r="F1421" s="5" t="str">
        <f aca="false">IF(C1421=0,"",IF($A1421="Bank",IF(INDEX(Bank!$D:$D,$C1421)="","",INDEX(Bank!$D:$D,$C1421)),IF(INDEX(GL!$D:$D,$C1421)="","",INDEX(GL!$D:$D,$C1421))))</f>
        <v/>
      </c>
      <c r="G1421" s="19" t="str">
        <f aca="false">IF(C1421=0,"",IF($A1421="Bank",INDEX(Bank!$E:$E,$C1421),INDEX(GL!$E:$E,$C1421)))</f>
        <v/>
      </c>
      <c r="H1421" s="5" t="str">
        <f aca="false">IF(C1421=0,"",IF(A1421="GL",IF(G1421&gt;0,"Deposit in transit","Outstanding check / payment"),IF(G1421&gt;0,"Bank credit not in GL","Bank debit not in GL")))</f>
        <v/>
      </c>
      <c r="I1421" s="42" t="str">
        <f aca="false">IF(OR(C1421=0,CFG_PeriodEnd=""),"",CFG_PeriodEnd-D1421)</f>
        <v/>
      </c>
      <c r="J1421" s="5" t="str">
        <f aca="false">IF(C1421=0,"",IF($A1421="Bank",IF(INDEX(Bank!$G:$G,$C1421)="","",INDEX(Bank!$G:$G,$C1421)),IF(INDEX(GL!$G:$G,$C1421)="","",INDEX(GL!$G:$G,$C1421))))</f>
        <v/>
      </c>
      <c r="K1421" s="5" t="str">
        <f aca="false">IF(C1421=0,"",IF($A1421="Bank",IF(INDEX(Bank!$I:$I,$C1421)="","",INDEX(Bank!$I:$I,$C1421)),IF(INDEX(GL!$I:$I,$C1421)="","",INDEX(GL!$I:$I,$C1421))))</f>
        <v/>
      </c>
      <c r="L1421" s="5" t="str">
        <f aca="false">IF(B1421="","",IF(C1421=0,"NOT FOUND",IF(IF($A1421="Bank",INDEX(Bank!$F:$F,$C1421),INDEX(GL!$F:$F,$C1421))="Y","NOW RECONCILED: refresh","OK")))</f>
        <v/>
      </c>
    </row>
    <row r="1422" customFormat="false" ht="15" hidden="false" customHeight="false" outlineLevel="0" collapsed="false">
      <c r="A1422" s="41"/>
      <c r="B1422" s="41"/>
      <c r="C1422" s="5" t="n">
        <f aca="false">IF(B1422="",0,IF(A1422="Bank",IFERROR(MATCH(B1422,Bank!$A:$A,0),0),IFERROR(MATCH(B1422,GL!$A:$A,0),0)))</f>
        <v>0</v>
      </c>
      <c r="D1422" s="32" t="str">
        <f aca="false">IF(C1422=0,"",IF($A1422="Bank",INDEX(Bank!$B:$B,$C1422),INDEX(GL!$B:$B,$C1422)))</f>
        <v/>
      </c>
      <c r="E1422" s="5" t="str">
        <f aca="false">IF(C1422=0,"",IF($A1422="Bank",IF(INDEX(Bank!$C:$C,$C1422)="","",INDEX(Bank!$C:$C,$C1422)),IF(INDEX(GL!$C:$C,$C1422)="","",INDEX(GL!$C:$C,$C1422))))</f>
        <v/>
      </c>
      <c r="F1422" s="5" t="str">
        <f aca="false">IF(C1422=0,"",IF($A1422="Bank",IF(INDEX(Bank!$D:$D,$C1422)="","",INDEX(Bank!$D:$D,$C1422)),IF(INDEX(GL!$D:$D,$C1422)="","",INDEX(GL!$D:$D,$C1422))))</f>
        <v/>
      </c>
      <c r="G1422" s="19" t="str">
        <f aca="false">IF(C1422=0,"",IF($A1422="Bank",INDEX(Bank!$E:$E,$C1422),INDEX(GL!$E:$E,$C1422)))</f>
        <v/>
      </c>
      <c r="H1422" s="5" t="str">
        <f aca="false">IF(C1422=0,"",IF(A1422="GL",IF(G1422&gt;0,"Deposit in transit","Outstanding check / payment"),IF(G1422&gt;0,"Bank credit not in GL","Bank debit not in GL")))</f>
        <v/>
      </c>
      <c r="I1422" s="42" t="str">
        <f aca="false">IF(OR(C1422=0,CFG_PeriodEnd=""),"",CFG_PeriodEnd-D1422)</f>
        <v/>
      </c>
      <c r="J1422" s="5" t="str">
        <f aca="false">IF(C1422=0,"",IF($A1422="Bank",IF(INDEX(Bank!$G:$G,$C1422)="","",INDEX(Bank!$G:$G,$C1422)),IF(INDEX(GL!$G:$G,$C1422)="","",INDEX(GL!$G:$G,$C1422))))</f>
        <v/>
      </c>
      <c r="K1422" s="5" t="str">
        <f aca="false">IF(C1422=0,"",IF($A1422="Bank",IF(INDEX(Bank!$I:$I,$C1422)="","",INDEX(Bank!$I:$I,$C1422)),IF(INDEX(GL!$I:$I,$C1422)="","",INDEX(GL!$I:$I,$C1422))))</f>
        <v/>
      </c>
      <c r="L1422" s="5" t="str">
        <f aca="false">IF(B1422="","",IF(C1422=0,"NOT FOUND",IF(IF($A1422="Bank",INDEX(Bank!$F:$F,$C1422),INDEX(GL!$F:$F,$C1422))="Y","NOW RECONCILED: refresh","OK")))</f>
        <v/>
      </c>
    </row>
    <row r="1423" customFormat="false" ht="15" hidden="false" customHeight="false" outlineLevel="0" collapsed="false">
      <c r="A1423" s="41"/>
      <c r="B1423" s="41"/>
      <c r="C1423" s="5" t="n">
        <f aca="false">IF(B1423="",0,IF(A1423="Bank",IFERROR(MATCH(B1423,Bank!$A:$A,0),0),IFERROR(MATCH(B1423,GL!$A:$A,0),0)))</f>
        <v>0</v>
      </c>
      <c r="D1423" s="32" t="str">
        <f aca="false">IF(C1423=0,"",IF($A1423="Bank",INDEX(Bank!$B:$B,$C1423),INDEX(GL!$B:$B,$C1423)))</f>
        <v/>
      </c>
      <c r="E1423" s="5" t="str">
        <f aca="false">IF(C1423=0,"",IF($A1423="Bank",IF(INDEX(Bank!$C:$C,$C1423)="","",INDEX(Bank!$C:$C,$C1423)),IF(INDEX(GL!$C:$C,$C1423)="","",INDEX(GL!$C:$C,$C1423))))</f>
        <v/>
      </c>
      <c r="F1423" s="5" t="str">
        <f aca="false">IF(C1423=0,"",IF($A1423="Bank",IF(INDEX(Bank!$D:$D,$C1423)="","",INDEX(Bank!$D:$D,$C1423)),IF(INDEX(GL!$D:$D,$C1423)="","",INDEX(GL!$D:$D,$C1423))))</f>
        <v/>
      </c>
      <c r="G1423" s="19" t="str">
        <f aca="false">IF(C1423=0,"",IF($A1423="Bank",INDEX(Bank!$E:$E,$C1423),INDEX(GL!$E:$E,$C1423)))</f>
        <v/>
      </c>
      <c r="H1423" s="5" t="str">
        <f aca="false">IF(C1423=0,"",IF(A1423="GL",IF(G1423&gt;0,"Deposit in transit","Outstanding check / payment"),IF(G1423&gt;0,"Bank credit not in GL","Bank debit not in GL")))</f>
        <v/>
      </c>
      <c r="I1423" s="42" t="str">
        <f aca="false">IF(OR(C1423=0,CFG_PeriodEnd=""),"",CFG_PeriodEnd-D1423)</f>
        <v/>
      </c>
      <c r="J1423" s="5" t="str">
        <f aca="false">IF(C1423=0,"",IF($A1423="Bank",IF(INDEX(Bank!$G:$G,$C1423)="","",INDEX(Bank!$G:$G,$C1423)),IF(INDEX(GL!$G:$G,$C1423)="","",INDEX(GL!$G:$G,$C1423))))</f>
        <v/>
      </c>
      <c r="K1423" s="5" t="str">
        <f aca="false">IF(C1423=0,"",IF($A1423="Bank",IF(INDEX(Bank!$I:$I,$C1423)="","",INDEX(Bank!$I:$I,$C1423)),IF(INDEX(GL!$I:$I,$C1423)="","",INDEX(GL!$I:$I,$C1423))))</f>
        <v/>
      </c>
      <c r="L1423" s="5" t="str">
        <f aca="false">IF(B1423="","",IF(C1423=0,"NOT FOUND",IF(IF($A1423="Bank",INDEX(Bank!$F:$F,$C1423),INDEX(GL!$F:$F,$C1423))="Y","NOW RECONCILED: refresh","OK")))</f>
        <v/>
      </c>
    </row>
    <row r="1424" customFormat="false" ht="15" hidden="false" customHeight="false" outlineLevel="0" collapsed="false">
      <c r="A1424" s="41"/>
      <c r="B1424" s="41"/>
      <c r="C1424" s="5" t="n">
        <f aca="false">IF(B1424="",0,IF(A1424="Bank",IFERROR(MATCH(B1424,Bank!$A:$A,0),0),IFERROR(MATCH(B1424,GL!$A:$A,0),0)))</f>
        <v>0</v>
      </c>
      <c r="D1424" s="32" t="str">
        <f aca="false">IF(C1424=0,"",IF($A1424="Bank",INDEX(Bank!$B:$B,$C1424),INDEX(GL!$B:$B,$C1424)))</f>
        <v/>
      </c>
      <c r="E1424" s="5" t="str">
        <f aca="false">IF(C1424=0,"",IF($A1424="Bank",IF(INDEX(Bank!$C:$C,$C1424)="","",INDEX(Bank!$C:$C,$C1424)),IF(INDEX(GL!$C:$C,$C1424)="","",INDEX(GL!$C:$C,$C1424))))</f>
        <v/>
      </c>
      <c r="F1424" s="5" t="str">
        <f aca="false">IF(C1424=0,"",IF($A1424="Bank",IF(INDEX(Bank!$D:$D,$C1424)="","",INDEX(Bank!$D:$D,$C1424)),IF(INDEX(GL!$D:$D,$C1424)="","",INDEX(GL!$D:$D,$C1424))))</f>
        <v/>
      </c>
      <c r="G1424" s="19" t="str">
        <f aca="false">IF(C1424=0,"",IF($A1424="Bank",INDEX(Bank!$E:$E,$C1424),INDEX(GL!$E:$E,$C1424)))</f>
        <v/>
      </c>
      <c r="H1424" s="5" t="str">
        <f aca="false">IF(C1424=0,"",IF(A1424="GL",IF(G1424&gt;0,"Deposit in transit","Outstanding check / payment"),IF(G1424&gt;0,"Bank credit not in GL","Bank debit not in GL")))</f>
        <v/>
      </c>
      <c r="I1424" s="42" t="str">
        <f aca="false">IF(OR(C1424=0,CFG_PeriodEnd=""),"",CFG_PeriodEnd-D1424)</f>
        <v/>
      </c>
      <c r="J1424" s="5" t="str">
        <f aca="false">IF(C1424=0,"",IF($A1424="Bank",IF(INDEX(Bank!$G:$G,$C1424)="","",INDEX(Bank!$G:$G,$C1424)),IF(INDEX(GL!$G:$G,$C1424)="","",INDEX(GL!$G:$G,$C1424))))</f>
        <v/>
      </c>
      <c r="K1424" s="5" t="str">
        <f aca="false">IF(C1424=0,"",IF($A1424="Bank",IF(INDEX(Bank!$I:$I,$C1424)="","",INDEX(Bank!$I:$I,$C1424)),IF(INDEX(GL!$I:$I,$C1424)="","",INDEX(GL!$I:$I,$C1424))))</f>
        <v/>
      </c>
      <c r="L1424" s="5" t="str">
        <f aca="false">IF(B1424="","",IF(C1424=0,"NOT FOUND",IF(IF($A1424="Bank",INDEX(Bank!$F:$F,$C1424),INDEX(GL!$F:$F,$C1424))="Y","NOW RECONCILED: refresh","OK")))</f>
        <v/>
      </c>
    </row>
    <row r="1425" customFormat="false" ht="15" hidden="false" customHeight="false" outlineLevel="0" collapsed="false">
      <c r="A1425" s="41"/>
      <c r="B1425" s="41"/>
      <c r="C1425" s="5" t="n">
        <f aca="false">IF(B1425="",0,IF(A1425="Bank",IFERROR(MATCH(B1425,Bank!$A:$A,0),0),IFERROR(MATCH(B1425,GL!$A:$A,0),0)))</f>
        <v>0</v>
      </c>
      <c r="D1425" s="32" t="str">
        <f aca="false">IF(C1425=0,"",IF($A1425="Bank",INDEX(Bank!$B:$B,$C1425),INDEX(GL!$B:$B,$C1425)))</f>
        <v/>
      </c>
      <c r="E1425" s="5" t="str">
        <f aca="false">IF(C1425=0,"",IF($A1425="Bank",IF(INDEX(Bank!$C:$C,$C1425)="","",INDEX(Bank!$C:$C,$C1425)),IF(INDEX(GL!$C:$C,$C1425)="","",INDEX(GL!$C:$C,$C1425))))</f>
        <v/>
      </c>
      <c r="F1425" s="5" t="str">
        <f aca="false">IF(C1425=0,"",IF($A1425="Bank",IF(INDEX(Bank!$D:$D,$C1425)="","",INDEX(Bank!$D:$D,$C1425)),IF(INDEX(GL!$D:$D,$C1425)="","",INDEX(GL!$D:$D,$C1425))))</f>
        <v/>
      </c>
      <c r="G1425" s="19" t="str">
        <f aca="false">IF(C1425=0,"",IF($A1425="Bank",INDEX(Bank!$E:$E,$C1425),INDEX(GL!$E:$E,$C1425)))</f>
        <v/>
      </c>
      <c r="H1425" s="5" t="str">
        <f aca="false">IF(C1425=0,"",IF(A1425="GL",IF(G1425&gt;0,"Deposit in transit","Outstanding check / payment"),IF(G1425&gt;0,"Bank credit not in GL","Bank debit not in GL")))</f>
        <v/>
      </c>
      <c r="I1425" s="42" t="str">
        <f aca="false">IF(OR(C1425=0,CFG_PeriodEnd=""),"",CFG_PeriodEnd-D1425)</f>
        <v/>
      </c>
      <c r="J1425" s="5" t="str">
        <f aca="false">IF(C1425=0,"",IF($A1425="Bank",IF(INDEX(Bank!$G:$G,$C1425)="","",INDEX(Bank!$G:$G,$C1425)),IF(INDEX(GL!$G:$G,$C1425)="","",INDEX(GL!$G:$G,$C1425))))</f>
        <v/>
      </c>
      <c r="K1425" s="5" t="str">
        <f aca="false">IF(C1425=0,"",IF($A1425="Bank",IF(INDEX(Bank!$I:$I,$C1425)="","",INDEX(Bank!$I:$I,$C1425)),IF(INDEX(GL!$I:$I,$C1425)="","",INDEX(GL!$I:$I,$C1425))))</f>
        <v/>
      </c>
      <c r="L1425" s="5" t="str">
        <f aca="false">IF(B1425="","",IF(C1425=0,"NOT FOUND",IF(IF($A1425="Bank",INDEX(Bank!$F:$F,$C1425),INDEX(GL!$F:$F,$C1425))="Y","NOW RECONCILED: refresh","OK")))</f>
        <v/>
      </c>
    </row>
    <row r="1426" customFormat="false" ht="15" hidden="false" customHeight="false" outlineLevel="0" collapsed="false">
      <c r="A1426" s="41"/>
      <c r="B1426" s="41"/>
      <c r="C1426" s="5" t="n">
        <f aca="false">IF(B1426="",0,IF(A1426="Bank",IFERROR(MATCH(B1426,Bank!$A:$A,0),0),IFERROR(MATCH(B1426,GL!$A:$A,0),0)))</f>
        <v>0</v>
      </c>
      <c r="D1426" s="32" t="str">
        <f aca="false">IF(C1426=0,"",IF($A1426="Bank",INDEX(Bank!$B:$B,$C1426),INDEX(GL!$B:$B,$C1426)))</f>
        <v/>
      </c>
      <c r="E1426" s="5" t="str">
        <f aca="false">IF(C1426=0,"",IF($A1426="Bank",IF(INDEX(Bank!$C:$C,$C1426)="","",INDEX(Bank!$C:$C,$C1426)),IF(INDEX(GL!$C:$C,$C1426)="","",INDEX(GL!$C:$C,$C1426))))</f>
        <v/>
      </c>
      <c r="F1426" s="5" t="str">
        <f aca="false">IF(C1426=0,"",IF($A1426="Bank",IF(INDEX(Bank!$D:$D,$C1426)="","",INDEX(Bank!$D:$D,$C1426)),IF(INDEX(GL!$D:$D,$C1426)="","",INDEX(GL!$D:$D,$C1426))))</f>
        <v/>
      </c>
      <c r="G1426" s="19" t="str">
        <f aca="false">IF(C1426=0,"",IF($A1426="Bank",INDEX(Bank!$E:$E,$C1426),INDEX(GL!$E:$E,$C1426)))</f>
        <v/>
      </c>
      <c r="H1426" s="5" t="str">
        <f aca="false">IF(C1426=0,"",IF(A1426="GL",IF(G1426&gt;0,"Deposit in transit","Outstanding check / payment"),IF(G1426&gt;0,"Bank credit not in GL","Bank debit not in GL")))</f>
        <v/>
      </c>
      <c r="I1426" s="42" t="str">
        <f aca="false">IF(OR(C1426=0,CFG_PeriodEnd=""),"",CFG_PeriodEnd-D1426)</f>
        <v/>
      </c>
      <c r="J1426" s="5" t="str">
        <f aca="false">IF(C1426=0,"",IF($A1426="Bank",IF(INDEX(Bank!$G:$G,$C1426)="","",INDEX(Bank!$G:$G,$C1426)),IF(INDEX(GL!$G:$G,$C1426)="","",INDEX(GL!$G:$G,$C1426))))</f>
        <v/>
      </c>
      <c r="K1426" s="5" t="str">
        <f aca="false">IF(C1426=0,"",IF($A1426="Bank",IF(INDEX(Bank!$I:$I,$C1426)="","",INDEX(Bank!$I:$I,$C1426)),IF(INDEX(GL!$I:$I,$C1426)="","",INDEX(GL!$I:$I,$C1426))))</f>
        <v/>
      </c>
      <c r="L1426" s="5" t="str">
        <f aca="false">IF(B1426="","",IF(C1426=0,"NOT FOUND",IF(IF($A1426="Bank",INDEX(Bank!$F:$F,$C1426),INDEX(GL!$F:$F,$C1426))="Y","NOW RECONCILED: refresh","OK")))</f>
        <v/>
      </c>
    </row>
    <row r="1427" customFormat="false" ht="15" hidden="false" customHeight="false" outlineLevel="0" collapsed="false">
      <c r="A1427" s="41"/>
      <c r="B1427" s="41"/>
      <c r="C1427" s="5" t="n">
        <f aca="false">IF(B1427="",0,IF(A1427="Bank",IFERROR(MATCH(B1427,Bank!$A:$A,0),0),IFERROR(MATCH(B1427,GL!$A:$A,0),0)))</f>
        <v>0</v>
      </c>
      <c r="D1427" s="32" t="str">
        <f aca="false">IF(C1427=0,"",IF($A1427="Bank",INDEX(Bank!$B:$B,$C1427),INDEX(GL!$B:$B,$C1427)))</f>
        <v/>
      </c>
      <c r="E1427" s="5" t="str">
        <f aca="false">IF(C1427=0,"",IF($A1427="Bank",IF(INDEX(Bank!$C:$C,$C1427)="","",INDEX(Bank!$C:$C,$C1427)),IF(INDEX(GL!$C:$C,$C1427)="","",INDEX(GL!$C:$C,$C1427))))</f>
        <v/>
      </c>
      <c r="F1427" s="5" t="str">
        <f aca="false">IF(C1427=0,"",IF($A1427="Bank",IF(INDEX(Bank!$D:$D,$C1427)="","",INDEX(Bank!$D:$D,$C1427)),IF(INDEX(GL!$D:$D,$C1427)="","",INDEX(GL!$D:$D,$C1427))))</f>
        <v/>
      </c>
      <c r="G1427" s="19" t="str">
        <f aca="false">IF(C1427=0,"",IF($A1427="Bank",INDEX(Bank!$E:$E,$C1427),INDEX(GL!$E:$E,$C1427)))</f>
        <v/>
      </c>
      <c r="H1427" s="5" t="str">
        <f aca="false">IF(C1427=0,"",IF(A1427="GL",IF(G1427&gt;0,"Deposit in transit","Outstanding check / payment"),IF(G1427&gt;0,"Bank credit not in GL","Bank debit not in GL")))</f>
        <v/>
      </c>
      <c r="I1427" s="42" t="str">
        <f aca="false">IF(OR(C1427=0,CFG_PeriodEnd=""),"",CFG_PeriodEnd-D1427)</f>
        <v/>
      </c>
      <c r="J1427" s="5" t="str">
        <f aca="false">IF(C1427=0,"",IF($A1427="Bank",IF(INDEX(Bank!$G:$G,$C1427)="","",INDEX(Bank!$G:$G,$C1427)),IF(INDEX(GL!$G:$G,$C1427)="","",INDEX(GL!$G:$G,$C1427))))</f>
        <v/>
      </c>
      <c r="K1427" s="5" t="str">
        <f aca="false">IF(C1427=0,"",IF($A1427="Bank",IF(INDEX(Bank!$I:$I,$C1427)="","",INDEX(Bank!$I:$I,$C1427)),IF(INDEX(GL!$I:$I,$C1427)="","",INDEX(GL!$I:$I,$C1427))))</f>
        <v/>
      </c>
      <c r="L1427" s="5" t="str">
        <f aca="false">IF(B1427="","",IF(C1427=0,"NOT FOUND",IF(IF($A1427="Bank",INDEX(Bank!$F:$F,$C1427),INDEX(GL!$F:$F,$C1427))="Y","NOW RECONCILED: refresh","OK")))</f>
        <v/>
      </c>
    </row>
    <row r="1428" customFormat="false" ht="15" hidden="false" customHeight="false" outlineLevel="0" collapsed="false">
      <c r="A1428" s="41"/>
      <c r="B1428" s="41"/>
      <c r="C1428" s="5" t="n">
        <f aca="false">IF(B1428="",0,IF(A1428="Bank",IFERROR(MATCH(B1428,Bank!$A:$A,0),0),IFERROR(MATCH(B1428,GL!$A:$A,0),0)))</f>
        <v>0</v>
      </c>
      <c r="D1428" s="32" t="str">
        <f aca="false">IF(C1428=0,"",IF($A1428="Bank",INDEX(Bank!$B:$B,$C1428),INDEX(GL!$B:$B,$C1428)))</f>
        <v/>
      </c>
      <c r="E1428" s="5" t="str">
        <f aca="false">IF(C1428=0,"",IF($A1428="Bank",IF(INDEX(Bank!$C:$C,$C1428)="","",INDEX(Bank!$C:$C,$C1428)),IF(INDEX(GL!$C:$C,$C1428)="","",INDEX(GL!$C:$C,$C1428))))</f>
        <v/>
      </c>
      <c r="F1428" s="5" t="str">
        <f aca="false">IF(C1428=0,"",IF($A1428="Bank",IF(INDEX(Bank!$D:$D,$C1428)="","",INDEX(Bank!$D:$D,$C1428)),IF(INDEX(GL!$D:$D,$C1428)="","",INDEX(GL!$D:$D,$C1428))))</f>
        <v/>
      </c>
      <c r="G1428" s="19" t="str">
        <f aca="false">IF(C1428=0,"",IF($A1428="Bank",INDEX(Bank!$E:$E,$C1428),INDEX(GL!$E:$E,$C1428)))</f>
        <v/>
      </c>
      <c r="H1428" s="5" t="str">
        <f aca="false">IF(C1428=0,"",IF(A1428="GL",IF(G1428&gt;0,"Deposit in transit","Outstanding check / payment"),IF(G1428&gt;0,"Bank credit not in GL","Bank debit not in GL")))</f>
        <v/>
      </c>
      <c r="I1428" s="42" t="str">
        <f aca="false">IF(OR(C1428=0,CFG_PeriodEnd=""),"",CFG_PeriodEnd-D1428)</f>
        <v/>
      </c>
      <c r="J1428" s="5" t="str">
        <f aca="false">IF(C1428=0,"",IF($A1428="Bank",IF(INDEX(Bank!$G:$G,$C1428)="","",INDEX(Bank!$G:$G,$C1428)),IF(INDEX(GL!$G:$G,$C1428)="","",INDEX(GL!$G:$G,$C1428))))</f>
        <v/>
      </c>
      <c r="K1428" s="5" t="str">
        <f aca="false">IF(C1428=0,"",IF($A1428="Bank",IF(INDEX(Bank!$I:$I,$C1428)="","",INDEX(Bank!$I:$I,$C1428)),IF(INDEX(GL!$I:$I,$C1428)="","",INDEX(GL!$I:$I,$C1428))))</f>
        <v/>
      </c>
      <c r="L1428" s="5" t="str">
        <f aca="false">IF(B1428="","",IF(C1428=0,"NOT FOUND",IF(IF($A1428="Bank",INDEX(Bank!$F:$F,$C1428),INDEX(GL!$F:$F,$C1428))="Y","NOW RECONCILED: refresh","OK")))</f>
        <v/>
      </c>
    </row>
    <row r="1429" customFormat="false" ht="15" hidden="false" customHeight="false" outlineLevel="0" collapsed="false">
      <c r="A1429" s="41"/>
      <c r="B1429" s="41"/>
      <c r="C1429" s="5" t="n">
        <f aca="false">IF(B1429="",0,IF(A1429="Bank",IFERROR(MATCH(B1429,Bank!$A:$A,0),0),IFERROR(MATCH(B1429,GL!$A:$A,0),0)))</f>
        <v>0</v>
      </c>
      <c r="D1429" s="32" t="str">
        <f aca="false">IF(C1429=0,"",IF($A1429="Bank",INDEX(Bank!$B:$B,$C1429),INDEX(GL!$B:$B,$C1429)))</f>
        <v/>
      </c>
      <c r="E1429" s="5" t="str">
        <f aca="false">IF(C1429=0,"",IF($A1429="Bank",IF(INDEX(Bank!$C:$C,$C1429)="","",INDEX(Bank!$C:$C,$C1429)),IF(INDEX(GL!$C:$C,$C1429)="","",INDEX(GL!$C:$C,$C1429))))</f>
        <v/>
      </c>
      <c r="F1429" s="5" t="str">
        <f aca="false">IF(C1429=0,"",IF($A1429="Bank",IF(INDEX(Bank!$D:$D,$C1429)="","",INDEX(Bank!$D:$D,$C1429)),IF(INDEX(GL!$D:$D,$C1429)="","",INDEX(GL!$D:$D,$C1429))))</f>
        <v/>
      </c>
      <c r="G1429" s="19" t="str">
        <f aca="false">IF(C1429=0,"",IF($A1429="Bank",INDEX(Bank!$E:$E,$C1429),INDEX(GL!$E:$E,$C1429)))</f>
        <v/>
      </c>
      <c r="H1429" s="5" t="str">
        <f aca="false">IF(C1429=0,"",IF(A1429="GL",IF(G1429&gt;0,"Deposit in transit","Outstanding check / payment"),IF(G1429&gt;0,"Bank credit not in GL","Bank debit not in GL")))</f>
        <v/>
      </c>
      <c r="I1429" s="42" t="str">
        <f aca="false">IF(OR(C1429=0,CFG_PeriodEnd=""),"",CFG_PeriodEnd-D1429)</f>
        <v/>
      </c>
      <c r="J1429" s="5" t="str">
        <f aca="false">IF(C1429=0,"",IF($A1429="Bank",IF(INDEX(Bank!$G:$G,$C1429)="","",INDEX(Bank!$G:$G,$C1429)),IF(INDEX(GL!$G:$G,$C1429)="","",INDEX(GL!$G:$G,$C1429))))</f>
        <v/>
      </c>
      <c r="K1429" s="5" t="str">
        <f aca="false">IF(C1429=0,"",IF($A1429="Bank",IF(INDEX(Bank!$I:$I,$C1429)="","",INDEX(Bank!$I:$I,$C1429)),IF(INDEX(GL!$I:$I,$C1429)="","",INDEX(GL!$I:$I,$C1429))))</f>
        <v/>
      </c>
      <c r="L1429" s="5" t="str">
        <f aca="false">IF(B1429="","",IF(C1429=0,"NOT FOUND",IF(IF($A1429="Bank",INDEX(Bank!$F:$F,$C1429),INDEX(GL!$F:$F,$C1429))="Y","NOW RECONCILED: refresh","OK")))</f>
        <v/>
      </c>
    </row>
    <row r="1430" customFormat="false" ht="15" hidden="false" customHeight="false" outlineLevel="0" collapsed="false">
      <c r="A1430" s="41"/>
      <c r="B1430" s="41"/>
      <c r="C1430" s="5" t="n">
        <f aca="false">IF(B1430="",0,IF(A1430="Bank",IFERROR(MATCH(B1430,Bank!$A:$A,0),0),IFERROR(MATCH(B1430,GL!$A:$A,0),0)))</f>
        <v>0</v>
      </c>
      <c r="D1430" s="32" t="str">
        <f aca="false">IF(C1430=0,"",IF($A1430="Bank",INDEX(Bank!$B:$B,$C1430),INDEX(GL!$B:$B,$C1430)))</f>
        <v/>
      </c>
      <c r="E1430" s="5" t="str">
        <f aca="false">IF(C1430=0,"",IF($A1430="Bank",IF(INDEX(Bank!$C:$C,$C1430)="","",INDEX(Bank!$C:$C,$C1430)),IF(INDEX(GL!$C:$C,$C1430)="","",INDEX(GL!$C:$C,$C1430))))</f>
        <v/>
      </c>
      <c r="F1430" s="5" t="str">
        <f aca="false">IF(C1430=0,"",IF($A1430="Bank",IF(INDEX(Bank!$D:$D,$C1430)="","",INDEX(Bank!$D:$D,$C1430)),IF(INDEX(GL!$D:$D,$C1430)="","",INDEX(GL!$D:$D,$C1430))))</f>
        <v/>
      </c>
      <c r="G1430" s="19" t="str">
        <f aca="false">IF(C1430=0,"",IF($A1430="Bank",INDEX(Bank!$E:$E,$C1430),INDEX(GL!$E:$E,$C1430)))</f>
        <v/>
      </c>
      <c r="H1430" s="5" t="str">
        <f aca="false">IF(C1430=0,"",IF(A1430="GL",IF(G1430&gt;0,"Deposit in transit","Outstanding check / payment"),IF(G1430&gt;0,"Bank credit not in GL","Bank debit not in GL")))</f>
        <v/>
      </c>
      <c r="I1430" s="42" t="str">
        <f aca="false">IF(OR(C1430=0,CFG_PeriodEnd=""),"",CFG_PeriodEnd-D1430)</f>
        <v/>
      </c>
      <c r="J1430" s="5" t="str">
        <f aca="false">IF(C1430=0,"",IF($A1430="Bank",IF(INDEX(Bank!$G:$G,$C1430)="","",INDEX(Bank!$G:$G,$C1430)),IF(INDEX(GL!$G:$G,$C1430)="","",INDEX(GL!$G:$G,$C1430))))</f>
        <v/>
      </c>
      <c r="K1430" s="5" t="str">
        <f aca="false">IF(C1430=0,"",IF($A1430="Bank",IF(INDEX(Bank!$I:$I,$C1430)="","",INDEX(Bank!$I:$I,$C1430)),IF(INDEX(GL!$I:$I,$C1430)="","",INDEX(GL!$I:$I,$C1430))))</f>
        <v/>
      </c>
      <c r="L1430" s="5" t="str">
        <f aca="false">IF(B1430="","",IF(C1430=0,"NOT FOUND",IF(IF($A1430="Bank",INDEX(Bank!$F:$F,$C1430),INDEX(GL!$F:$F,$C1430))="Y","NOW RECONCILED: refresh","OK")))</f>
        <v/>
      </c>
    </row>
    <row r="1431" customFormat="false" ht="15" hidden="false" customHeight="false" outlineLevel="0" collapsed="false">
      <c r="A1431" s="41"/>
      <c r="B1431" s="41"/>
      <c r="C1431" s="5" t="n">
        <f aca="false">IF(B1431="",0,IF(A1431="Bank",IFERROR(MATCH(B1431,Bank!$A:$A,0),0),IFERROR(MATCH(B1431,GL!$A:$A,0),0)))</f>
        <v>0</v>
      </c>
      <c r="D1431" s="32" t="str">
        <f aca="false">IF(C1431=0,"",IF($A1431="Bank",INDEX(Bank!$B:$B,$C1431),INDEX(GL!$B:$B,$C1431)))</f>
        <v/>
      </c>
      <c r="E1431" s="5" t="str">
        <f aca="false">IF(C1431=0,"",IF($A1431="Bank",IF(INDEX(Bank!$C:$C,$C1431)="","",INDEX(Bank!$C:$C,$C1431)),IF(INDEX(GL!$C:$C,$C1431)="","",INDEX(GL!$C:$C,$C1431))))</f>
        <v/>
      </c>
      <c r="F1431" s="5" t="str">
        <f aca="false">IF(C1431=0,"",IF($A1431="Bank",IF(INDEX(Bank!$D:$D,$C1431)="","",INDEX(Bank!$D:$D,$C1431)),IF(INDEX(GL!$D:$D,$C1431)="","",INDEX(GL!$D:$D,$C1431))))</f>
        <v/>
      </c>
      <c r="G1431" s="19" t="str">
        <f aca="false">IF(C1431=0,"",IF($A1431="Bank",INDEX(Bank!$E:$E,$C1431),INDEX(GL!$E:$E,$C1431)))</f>
        <v/>
      </c>
      <c r="H1431" s="5" t="str">
        <f aca="false">IF(C1431=0,"",IF(A1431="GL",IF(G1431&gt;0,"Deposit in transit","Outstanding check / payment"),IF(G1431&gt;0,"Bank credit not in GL","Bank debit not in GL")))</f>
        <v/>
      </c>
      <c r="I1431" s="42" t="str">
        <f aca="false">IF(OR(C1431=0,CFG_PeriodEnd=""),"",CFG_PeriodEnd-D1431)</f>
        <v/>
      </c>
      <c r="J1431" s="5" t="str">
        <f aca="false">IF(C1431=0,"",IF($A1431="Bank",IF(INDEX(Bank!$G:$G,$C1431)="","",INDEX(Bank!$G:$G,$C1431)),IF(INDEX(GL!$G:$G,$C1431)="","",INDEX(GL!$G:$G,$C1431))))</f>
        <v/>
      </c>
      <c r="K1431" s="5" t="str">
        <f aca="false">IF(C1431=0,"",IF($A1431="Bank",IF(INDEX(Bank!$I:$I,$C1431)="","",INDEX(Bank!$I:$I,$C1431)),IF(INDEX(GL!$I:$I,$C1431)="","",INDEX(GL!$I:$I,$C1431))))</f>
        <v/>
      </c>
      <c r="L1431" s="5" t="str">
        <f aca="false">IF(B1431="","",IF(C1431=0,"NOT FOUND",IF(IF($A1431="Bank",INDEX(Bank!$F:$F,$C1431),INDEX(GL!$F:$F,$C1431))="Y","NOW RECONCILED: refresh","OK")))</f>
        <v/>
      </c>
    </row>
    <row r="1432" customFormat="false" ht="15" hidden="false" customHeight="false" outlineLevel="0" collapsed="false">
      <c r="A1432" s="41"/>
      <c r="B1432" s="41"/>
      <c r="C1432" s="5" t="n">
        <f aca="false">IF(B1432="",0,IF(A1432="Bank",IFERROR(MATCH(B1432,Bank!$A:$A,0),0),IFERROR(MATCH(B1432,GL!$A:$A,0),0)))</f>
        <v>0</v>
      </c>
      <c r="D1432" s="32" t="str">
        <f aca="false">IF(C1432=0,"",IF($A1432="Bank",INDEX(Bank!$B:$B,$C1432),INDEX(GL!$B:$B,$C1432)))</f>
        <v/>
      </c>
      <c r="E1432" s="5" t="str">
        <f aca="false">IF(C1432=0,"",IF($A1432="Bank",IF(INDEX(Bank!$C:$C,$C1432)="","",INDEX(Bank!$C:$C,$C1432)),IF(INDEX(GL!$C:$C,$C1432)="","",INDEX(GL!$C:$C,$C1432))))</f>
        <v/>
      </c>
      <c r="F1432" s="5" t="str">
        <f aca="false">IF(C1432=0,"",IF($A1432="Bank",IF(INDEX(Bank!$D:$D,$C1432)="","",INDEX(Bank!$D:$D,$C1432)),IF(INDEX(GL!$D:$D,$C1432)="","",INDEX(GL!$D:$D,$C1432))))</f>
        <v/>
      </c>
      <c r="G1432" s="19" t="str">
        <f aca="false">IF(C1432=0,"",IF($A1432="Bank",INDEX(Bank!$E:$E,$C1432),INDEX(GL!$E:$E,$C1432)))</f>
        <v/>
      </c>
      <c r="H1432" s="5" t="str">
        <f aca="false">IF(C1432=0,"",IF(A1432="GL",IF(G1432&gt;0,"Deposit in transit","Outstanding check / payment"),IF(G1432&gt;0,"Bank credit not in GL","Bank debit not in GL")))</f>
        <v/>
      </c>
      <c r="I1432" s="42" t="str">
        <f aca="false">IF(OR(C1432=0,CFG_PeriodEnd=""),"",CFG_PeriodEnd-D1432)</f>
        <v/>
      </c>
      <c r="J1432" s="5" t="str">
        <f aca="false">IF(C1432=0,"",IF($A1432="Bank",IF(INDEX(Bank!$G:$G,$C1432)="","",INDEX(Bank!$G:$G,$C1432)),IF(INDEX(GL!$G:$G,$C1432)="","",INDEX(GL!$G:$G,$C1432))))</f>
        <v/>
      </c>
      <c r="K1432" s="5" t="str">
        <f aca="false">IF(C1432=0,"",IF($A1432="Bank",IF(INDEX(Bank!$I:$I,$C1432)="","",INDEX(Bank!$I:$I,$C1432)),IF(INDEX(GL!$I:$I,$C1432)="","",INDEX(GL!$I:$I,$C1432))))</f>
        <v/>
      </c>
      <c r="L1432" s="5" t="str">
        <f aca="false">IF(B1432="","",IF(C1432=0,"NOT FOUND",IF(IF($A1432="Bank",INDEX(Bank!$F:$F,$C1432),INDEX(GL!$F:$F,$C1432))="Y","NOW RECONCILED: refresh","OK")))</f>
        <v/>
      </c>
    </row>
    <row r="1433" customFormat="false" ht="15" hidden="false" customHeight="false" outlineLevel="0" collapsed="false">
      <c r="A1433" s="41"/>
      <c r="B1433" s="41"/>
      <c r="C1433" s="5" t="n">
        <f aca="false">IF(B1433="",0,IF(A1433="Bank",IFERROR(MATCH(B1433,Bank!$A:$A,0),0),IFERROR(MATCH(B1433,GL!$A:$A,0),0)))</f>
        <v>0</v>
      </c>
      <c r="D1433" s="32" t="str">
        <f aca="false">IF(C1433=0,"",IF($A1433="Bank",INDEX(Bank!$B:$B,$C1433),INDEX(GL!$B:$B,$C1433)))</f>
        <v/>
      </c>
      <c r="E1433" s="5" t="str">
        <f aca="false">IF(C1433=0,"",IF($A1433="Bank",IF(INDEX(Bank!$C:$C,$C1433)="","",INDEX(Bank!$C:$C,$C1433)),IF(INDEX(GL!$C:$C,$C1433)="","",INDEX(GL!$C:$C,$C1433))))</f>
        <v/>
      </c>
      <c r="F1433" s="5" t="str">
        <f aca="false">IF(C1433=0,"",IF($A1433="Bank",IF(INDEX(Bank!$D:$D,$C1433)="","",INDEX(Bank!$D:$D,$C1433)),IF(INDEX(GL!$D:$D,$C1433)="","",INDEX(GL!$D:$D,$C1433))))</f>
        <v/>
      </c>
      <c r="G1433" s="19" t="str">
        <f aca="false">IF(C1433=0,"",IF($A1433="Bank",INDEX(Bank!$E:$E,$C1433),INDEX(GL!$E:$E,$C1433)))</f>
        <v/>
      </c>
      <c r="H1433" s="5" t="str">
        <f aca="false">IF(C1433=0,"",IF(A1433="GL",IF(G1433&gt;0,"Deposit in transit","Outstanding check / payment"),IF(G1433&gt;0,"Bank credit not in GL","Bank debit not in GL")))</f>
        <v/>
      </c>
      <c r="I1433" s="42" t="str">
        <f aca="false">IF(OR(C1433=0,CFG_PeriodEnd=""),"",CFG_PeriodEnd-D1433)</f>
        <v/>
      </c>
      <c r="J1433" s="5" t="str">
        <f aca="false">IF(C1433=0,"",IF($A1433="Bank",IF(INDEX(Bank!$G:$G,$C1433)="","",INDEX(Bank!$G:$G,$C1433)),IF(INDEX(GL!$G:$G,$C1433)="","",INDEX(GL!$G:$G,$C1433))))</f>
        <v/>
      </c>
      <c r="K1433" s="5" t="str">
        <f aca="false">IF(C1433=0,"",IF($A1433="Bank",IF(INDEX(Bank!$I:$I,$C1433)="","",INDEX(Bank!$I:$I,$C1433)),IF(INDEX(GL!$I:$I,$C1433)="","",INDEX(GL!$I:$I,$C1433))))</f>
        <v/>
      </c>
      <c r="L1433" s="5" t="str">
        <f aca="false">IF(B1433="","",IF(C1433=0,"NOT FOUND",IF(IF($A1433="Bank",INDEX(Bank!$F:$F,$C1433),INDEX(GL!$F:$F,$C1433))="Y","NOW RECONCILED: refresh","OK")))</f>
        <v/>
      </c>
    </row>
    <row r="1434" customFormat="false" ht="15" hidden="false" customHeight="false" outlineLevel="0" collapsed="false">
      <c r="A1434" s="41"/>
      <c r="B1434" s="41"/>
      <c r="C1434" s="5" t="n">
        <f aca="false">IF(B1434="",0,IF(A1434="Bank",IFERROR(MATCH(B1434,Bank!$A:$A,0),0),IFERROR(MATCH(B1434,GL!$A:$A,0),0)))</f>
        <v>0</v>
      </c>
      <c r="D1434" s="32" t="str">
        <f aca="false">IF(C1434=0,"",IF($A1434="Bank",INDEX(Bank!$B:$B,$C1434),INDEX(GL!$B:$B,$C1434)))</f>
        <v/>
      </c>
      <c r="E1434" s="5" t="str">
        <f aca="false">IF(C1434=0,"",IF($A1434="Bank",IF(INDEX(Bank!$C:$C,$C1434)="","",INDEX(Bank!$C:$C,$C1434)),IF(INDEX(GL!$C:$C,$C1434)="","",INDEX(GL!$C:$C,$C1434))))</f>
        <v/>
      </c>
      <c r="F1434" s="5" t="str">
        <f aca="false">IF(C1434=0,"",IF($A1434="Bank",IF(INDEX(Bank!$D:$D,$C1434)="","",INDEX(Bank!$D:$D,$C1434)),IF(INDEX(GL!$D:$D,$C1434)="","",INDEX(GL!$D:$D,$C1434))))</f>
        <v/>
      </c>
      <c r="G1434" s="19" t="str">
        <f aca="false">IF(C1434=0,"",IF($A1434="Bank",INDEX(Bank!$E:$E,$C1434),INDEX(GL!$E:$E,$C1434)))</f>
        <v/>
      </c>
      <c r="H1434" s="5" t="str">
        <f aca="false">IF(C1434=0,"",IF(A1434="GL",IF(G1434&gt;0,"Deposit in transit","Outstanding check / payment"),IF(G1434&gt;0,"Bank credit not in GL","Bank debit not in GL")))</f>
        <v/>
      </c>
      <c r="I1434" s="42" t="str">
        <f aca="false">IF(OR(C1434=0,CFG_PeriodEnd=""),"",CFG_PeriodEnd-D1434)</f>
        <v/>
      </c>
      <c r="J1434" s="5" t="str">
        <f aca="false">IF(C1434=0,"",IF($A1434="Bank",IF(INDEX(Bank!$G:$G,$C1434)="","",INDEX(Bank!$G:$G,$C1434)),IF(INDEX(GL!$G:$G,$C1434)="","",INDEX(GL!$G:$G,$C1434))))</f>
        <v/>
      </c>
      <c r="K1434" s="5" t="str">
        <f aca="false">IF(C1434=0,"",IF($A1434="Bank",IF(INDEX(Bank!$I:$I,$C1434)="","",INDEX(Bank!$I:$I,$C1434)),IF(INDEX(GL!$I:$I,$C1434)="","",INDEX(GL!$I:$I,$C1434))))</f>
        <v/>
      </c>
      <c r="L1434" s="5" t="str">
        <f aca="false">IF(B1434="","",IF(C1434=0,"NOT FOUND",IF(IF($A1434="Bank",INDEX(Bank!$F:$F,$C1434),INDEX(GL!$F:$F,$C1434))="Y","NOW RECONCILED: refresh","OK")))</f>
        <v/>
      </c>
    </row>
    <row r="1435" customFormat="false" ht="15" hidden="false" customHeight="false" outlineLevel="0" collapsed="false">
      <c r="A1435" s="41"/>
      <c r="B1435" s="41"/>
      <c r="C1435" s="5" t="n">
        <f aca="false">IF(B1435="",0,IF(A1435="Bank",IFERROR(MATCH(B1435,Bank!$A:$A,0),0),IFERROR(MATCH(B1435,GL!$A:$A,0),0)))</f>
        <v>0</v>
      </c>
      <c r="D1435" s="32" t="str">
        <f aca="false">IF(C1435=0,"",IF($A1435="Bank",INDEX(Bank!$B:$B,$C1435),INDEX(GL!$B:$B,$C1435)))</f>
        <v/>
      </c>
      <c r="E1435" s="5" t="str">
        <f aca="false">IF(C1435=0,"",IF($A1435="Bank",IF(INDEX(Bank!$C:$C,$C1435)="","",INDEX(Bank!$C:$C,$C1435)),IF(INDEX(GL!$C:$C,$C1435)="","",INDEX(GL!$C:$C,$C1435))))</f>
        <v/>
      </c>
      <c r="F1435" s="5" t="str">
        <f aca="false">IF(C1435=0,"",IF($A1435="Bank",IF(INDEX(Bank!$D:$D,$C1435)="","",INDEX(Bank!$D:$D,$C1435)),IF(INDEX(GL!$D:$D,$C1435)="","",INDEX(GL!$D:$D,$C1435))))</f>
        <v/>
      </c>
      <c r="G1435" s="19" t="str">
        <f aca="false">IF(C1435=0,"",IF($A1435="Bank",INDEX(Bank!$E:$E,$C1435),INDEX(GL!$E:$E,$C1435)))</f>
        <v/>
      </c>
      <c r="H1435" s="5" t="str">
        <f aca="false">IF(C1435=0,"",IF(A1435="GL",IF(G1435&gt;0,"Deposit in transit","Outstanding check / payment"),IF(G1435&gt;0,"Bank credit not in GL","Bank debit not in GL")))</f>
        <v/>
      </c>
      <c r="I1435" s="42" t="str">
        <f aca="false">IF(OR(C1435=0,CFG_PeriodEnd=""),"",CFG_PeriodEnd-D1435)</f>
        <v/>
      </c>
      <c r="J1435" s="5" t="str">
        <f aca="false">IF(C1435=0,"",IF($A1435="Bank",IF(INDEX(Bank!$G:$G,$C1435)="","",INDEX(Bank!$G:$G,$C1435)),IF(INDEX(GL!$G:$G,$C1435)="","",INDEX(GL!$G:$G,$C1435))))</f>
        <v/>
      </c>
      <c r="K1435" s="5" t="str">
        <f aca="false">IF(C1435=0,"",IF($A1435="Bank",IF(INDEX(Bank!$I:$I,$C1435)="","",INDEX(Bank!$I:$I,$C1435)),IF(INDEX(GL!$I:$I,$C1435)="","",INDEX(GL!$I:$I,$C1435))))</f>
        <v/>
      </c>
      <c r="L1435" s="5" t="str">
        <f aca="false">IF(B1435="","",IF(C1435=0,"NOT FOUND",IF(IF($A1435="Bank",INDEX(Bank!$F:$F,$C1435),INDEX(GL!$F:$F,$C1435))="Y","NOW RECONCILED: refresh","OK")))</f>
        <v/>
      </c>
    </row>
    <row r="1436" customFormat="false" ht="15" hidden="false" customHeight="false" outlineLevel="0" collapsed="false">
      <c r="A1436" s="41"/>
      <c r="B1436" s="41"/>
      <c r="C1436" s="5" t="n">
        <f aca="false">IF(B1436="",0,IF(A1436="Bank",IFERROR(MATCH(B1436,Bank!$A:$A,0),0),IFERROR(MATCH(B1436,GL!$A:$A,0),0)))</f>
        <v>0</v>
      </c>
      <c r="D1436" s="32" t="str">
        <f aca="false">IF(C1436=0,"",IF($A1436="Bank",INDEX(Bank!$B:$B,$C1436),INDEX(GL!$B:$B,$C1436)))</f>
        <v/>
      </c>
      <c r="E1436" s="5" t="str">
        <f aca="false">IF(C1436=0,"",IF($A1436="Bank",IF(INDEX(Bank!$C:$C,$C1436)="","",INDEX(Bank!$C:$C,$C1436)),IF(INDEX(GL!$C:$C,$C1436)="","",INDEX(GL!$C:$C,$C1436))))</f>
        <v/>
      </c>
      <c r="F1436" s="5" t="str">
        <f aca="false">IF(C1436=0,"",IF($A1436="Bank",IF(INDEX(Bank!$D:$D,$C1436)="","",INDEX(Bank!$D:$D,$C1436)),IF(INDEX(GL!$D:$D,$C1436)="","",INDEX(GL!$D:$D,$C1436))))</f>
        <v/>
      </c>
      <c r="G1436" s="19" t="str">
        <f aca="false">IF(C1436=0,"",IF($A1436="Bank",INDEX(Bank!$E:$E,$C1436),INDEX(GL!$E:$E,$C1436)))</f>
        <v/>
      </c>
      <c r="H1436" s="5" t="str">
        <f aca="false">IF(C1436=0,"",IF(A1436="GL",IF(G1436&gt;0,"Deposit in transit","Outstanding check / payment"),IF(G1436&gt;0,"Bank credit not in GL","Bank debit not in GL")))</f>
        <v/>
      </c>
      <c r="I1436" s="42" t="str">
        <f aca="false">IF(OR(C1436=0,CFG_PeriodEnd=""),"",CFG_PeriodEnd-D1436)</f>
        <v/>
      </c>
      <c r="J1436" s="5" t="str">
        <f aca="false">IF(C1436=0,"",IF($A1436="Bank",IF(INDEX(Bank!$G:$G,$C1436)="","",INDEX(Bank!$G:$G,$C1436)),IF(INDEX(GL!$G:$G,$C1436)="","",INDEX(GL!$G:$G,$C1436))))</f>
        <v/>
      </c>
      <c r="K1436" s="5" t="str">
        <f aca="false">IF(C1436=0,"",IF($A1436="Bank",IF(INDEX(Bank!$I:$I,$C1436)="","",INDEX(Bank!$I:$I,$C1436)),IF(INDEX(GL!$I:$I,$C1436)="","",INDEX(GL!$I:$I,$C1436))))</f>
        <v/>
      </c>
      <c r="L1436" s="5" t="str">
        <f aca="false">IF(B1436="","",IF(C1436=0,"NOT FOUND",IF(IF($A1436="Bank",INDEX(Bank!$F:$F,$C1436),INDEX(GL!$F:$F,$C1436))="Y","NOW RECONCILED: refresh","OK")))</f>
        <v/>
      </c>
    </row>
    <row r="1437" customFormat="false" ht="15" hidden="false" customHeight="false" outlineLevel="0" collapsed="false">
      <c r="A1437" s="41"/>
      <c r="B1437" s="41"/>
      <c r="C1437" s="5" t="n">
        <f aca="false">IF(B1437="",0,IF(A1437="Bank",IFERROR(MATCH(B1437,Bank!$A:$A,0),0),IFERROR(MATCH(B1437,GL!$A:$A,0),0)))</f>
        <v>0</v>
      </c>
      <c r="D1437" s="32" t="str">
        <f aca="false">IF(C1437=0,"",IF($A1437="Bank",INDEX(Bank!$B:$B,$C1437),INDEX(GL!$B:$B,$C1437)))</f>
        <v/>
      </c>
      <c r="E1437" s="5" t="str">
        <f aca="false">IF(C1437=0,"",IF($A1437="Bank",IF(INDEX(Bank!$C:$C,$C1437)="","",INDEX(Bank!$C:$C,$C1437)),IF(INDEX(GL!$C:$C,$C1437)="","",INDEX(GL!$C:$C,$C1437))))</f>
        <v/>
      </c>
      <c r="F1437" s="5" t="str">
        <f aca="false">IF(C1437=0,"",IF($A1437="Bank",IF(INDEX(Bank!$D:$D,$C1437)="","",INDEX(Bank!$D:$D,$C1437)),IF(INDEX(GL!$D:$D,$C1437)="","",INDEX(GL!$D:$D,$C1437))))</f>
        <v/>
      </c>
      <c r="G1437" s="19" t="str">
        <f aca="false">IF(C1437=0,"",IF($A1437="Bank",INDEX(Bank!$E:$E,$C1437),INDEX(GL!$E:$E,$C1437)))</f>
        <v/>
      </c>
      <c r="H1437" s="5" t="str">
        <f aca="false">IF(C1437=0,"",IF(A1437="GL",IF(G1437&gt;0,"Deposit in transit","Outstanding check / payment"),IF(G1437&gt;0,"Bank credit not in GL","Bank debit not in GL")))</f>
        <v/>
      </c>
      <c r="I1437" s="42" t="str">
        <f aca="false">IF(OR(C1437=0,CFG_PeriodEnd=""),"",CFG_PeriodEnd-D1437)</f>
        <v/>
      </c>
      <c r="J1437" s="5" t="str">
        <f aca="false">IF(C1437=0,"",IF($A1437="Bank",IF(INDEX(Bank!$G:$G,$C1437)="","",INDEX(Bank!$G:$G,$C1437)),IF(INDEX(GL!$G:$G,$C1437)="","",INDEX(GL!$G:$G,$C1437))))</f>
        <v/>
      </c>
      <c r="K1437" s="5" t="str">
        <f aca="false">IF(C1437=0,"",IF($A1437="Bank",IF(INDEX(Bank!$I:$I,$C1437)="","",INDEX(Bank!$I:$I,$C1437)),IF(INDEX(GL!$I:$I,$C1437)="","",INDEX(GL!$I:$I,$C1437))))</f>
        <v/>
      </c>
      <c r="L1437" s="5" t="str">
        <f aca="false">IF(B1437="","",IF(C1437=0,"NOT FOUND",IF(IF($A1437="Bank",INDEX(Bank!$F:$F,$C1437),INDEX(GL!$F:$F,$C1437))="Y","NOW RECONCILED: refresh","OK")))</f>
        <v/>
      </c>
    </row>
    <row r="1438" customFormat="false" ht="15" hidden="false" customHeight="false" outlineLevel="0" collapsed="false">
      <c r="A1438" s="41"/>
      <c r="B1438" s="41"/>
      <c r="C1438" s="5" t="n">
        <f aca="false">IF(B1438="",0,IF(A1438="Bank",IFERROR(MATCH(B1438,Bank!$A:$A,0),0),IFERROR(MATCH(B1438,GL!$A:$A,0),0)))</f>
        <v>0</v>
      </c>
      <c r="D1438" s="32" t="str">
        <f aca="false">IF(C1438=0,"",IF($A1438="Bank",INDEX(Bank!$B:$B,$C1438),INDEX(GL!$B:$B,$C1438)))</f>
        <v/>
      </c>
      <c r="E1438" s="5" t="str">
        <f aca="false">IF(C1438=0,"",IF($A1438="Bank",IF(INDEX(Bank!$C:$C,$C1438)="","",INDEX(Bank!$C:$C,$C1438)),IF(INDEX(GL!$C:$C,$C1438)="","",INDEX(GL!$C:$C,$C1438))))</f>
        <v/>
      </c>
      <c r="F1438" s="5" t="str">
        <f aca="false">IF(C1438=0,"",IF($A1438="Bank",IF(INDEX(Bank!$D:$D,$C1438)="","",INDEX(Bank!$D:$D,$C1438)),IF(INDEX(GL!$D:$D,$C1438)="","",INDEX(GL!$D:$D,$C1438))))</f>
        <v/>
      </c>
      <c r="G1438" s="19" t="str">
        <f aca="false">IF(C1438=0,"",IF($A1438="Bank",INDEX(Bank!$E:$E,$C1438),INDEX(GL!$E:$E,$C1438)))</f>
        <v/>
      </c>
      <c r="H1438" s="5" t="str">
        <f aca="false">IF(C1438=0,"",IF(A1438="GL",IF(G1438&gt;0,"Deposit in transit","Outstanding check / payment"),IF(G1438&gt;0,"Bank credit not in GL","Bank debit not in GL")))</f>
        <v/>
      </c>
      <c r="I1438" s="42" t="str">
        <f aca="false">IF(OR(C1438=0,CFG_PeriodEnd=""),"",CFG_PeriodEnd-D1438)</f>
        <v/>
      </c>
      <c r="J1438" s="5" t="str">
        <f aca="false">IF(C1438=0,"",IF($A1438="Bank",IF(INDEX(Bank!$G:$G,$C1438)="","",INDEX(Bank!$G:$G,$C1438)),IF(INDEX(GL!$G:$G,$C1438)="","",INDEX(GL!$G:$G,$C1438))))</f>
        <v/>
      </c>
      <c r="K1438" s="5" t="str">
        <f aca="false">IF(C1438=0,"",IF($A1438="Bank",IF(INDEX(Bank!$I:$I,$C1438)="","",INDEX(Bank!$I:$I,$C1438)),IF(INDEX(GL!$I:$I,$C1438)="","",INDEX(GL!$I:$I,$C1438))))</f>
        <v/>
      </c>
      <c r="L1438" s="5" t="str">
        <f aca="false">IF(B1438="","",IF(C1438=0,"NOT FOUND",IF(IF($A1438="Bank",INDEX(Bank!$F:$F,$C1438),INDEX(GL!$F:$F,$C1438))="Y","NOW RECONCILED: refresh","OK")))</f>
        <v/>
      </c>
    </row>
    <row r="1439" customFormat="false" ht="15" hidden="false" customHeight="false" outlineLevel="0" collapsed="false">
      <c r="A1439" s="41"/>
      <c r="B1439" s="41"/>
      <c r="C1439" s="5" t="n">
        <f aca="false">IF(B1439="",0,IF(A1439="Bank",IFERROR(MATCH(B1439,Bank!$A:$A,0),0),IFERROR(MATCH(B1439,GL!$A:$A,0),0)))</f>
        <v>0</v>
      </c>
      <c r="D1439" s="32" t="str">
        <f aca="false">IF(C1439=0,"",IF($A1439="Bank",INDEX(Bank!$B:$B,$C1439),INDEX(GL!$B:$B,$C1439)))</f>
        <v/>
      </c>
      <c r="E1439" s="5" t="str">
        <f aca="false">IF(C1439=0,"",IF($A1439="Bank",IF(INDEX(Bank!$C:$C,$C1439)="","",INDEX(Bank!$C:$C,$C1439)),IF(INDEX(GL!$C:$C,$C1439)="","",INDEX(GL!$C:$C,$C1439))))</f>
        <v/>
      </c>
      <c r="F1439" s="5" t="str">
        <f aca="false">IF(C1439=0,"",IF($A1439="Bank",IF(INDEX(Bank!$D:$D,$C1439)="","",INDEX(Bank!$D:$D,$C1439)),IF(INDEX(GL!$D:$D,$C1439)="","",INDEX(GL!$D:$D,$C1439))))</f>
        <v/>
      </c>
      <c r="G1439" s="19" t="str">
        <f aca="false">IF(C1439=0,"",IF($A1439="Bank",INDEX(Bank!$E:$E,$C1439),INDEX(GL!$E:$E,$C1439)))</f>
        <v/>
      </c>
      <c r="H1439" s="5" t="str">
        <f aca="false">IF(C1439=0,"",IF(A1439="GL",IF(G1439&gt;0,"Deposit in transit","Outstanding check / payment"),IF(G1439&gt;0,"Bank credit not in GL","Bank debit not in GL")))</f>
        <v/>
      </c>
      <c r="I1439" s="42" t="str">
        <f aca="false">IF(OR(C1439=0,CFG_PeriodEnd=""),"",CFG_PeriodEnd-D1439)</f>
        <v/>
      </c>
      <c r="J1439" s="5" t="str">
        <f aca="false">IF(C1439=0,"",IF($A1439="Bank",IF(INDEX(Bank!$G:$G,$C1439)="","",INDEX(Bank!$G:$G,$C1439)),IF(INDEX(GL!$G:$G,$C1439)="","",INDEX(GL!$G:$G,$C1439))))</f>
        <v/>
      </c>
      <c r="K1439" s="5" t="str">
        <f aca="false">IF(C1439=0,"",IF($A1439="Bank",IF(INDEX(Bank!$I:$I,$C1439)="","",INDEX(Bank!$I:$I,$C1439)),IF(INDEX(GL!$I:$I,$C1439)="","",INDEX(GL!$I:$I,$C1439))))</f>
        <v/>
      </c>
      <c r="L1439" s="5" t="str">
        <f aca="false">IF(B1439="","",IF(C1439=0,"NOT FOUND",IF(IF($A1439="Bank",INDEX(Bank!$F:$F,$C1439),INDEX(GL!$F:$F,$C1439))="Y","NOW RECONCILED: refresh","OK")))</f>
        <v/>
      </c>
    </row>
    <row r="1440" customFormat="false" ht="15" hidden="false" customHeight="false" outlineLevel="0" collapsed="false">
      <c r="A1440" s="41"/>
      <c r="B1440" s="41"/>
      <c r="C1440" s="5" t="n">
        <f aca="false">IF(B1440="",0,IF(A1440="Bank",IFERROR(MATCH(B1440,Bank!$A:$A,0),0),IFERROR(MATCH(B1440,GL!$A:$A,0),0)))</f>
        <v>0</v>
      </c>
      <c r="D1440" s="32" t="str">
        <f aca="false">IF(C1440=0,"",IF($A1440="Bank",INDEX(Bank!$B:$B,$C1440),INDEX(GL!$B:$B,$C1440)))</f>
        <v/>
      </c>
      <c r="E1440" s="5" t="str">
        <f aca="false">IF(C1440=0,"",IF($A1440="Bank",IF(INDEX(Bank!$C:$C,$C1440)="","",INDEX(Bank!$C:$C,$C1440)),IF(INDEX(GL!$C:$C,$C1440)="","",INDEX(GL!$C:$C,$C1440))))</f>
        <v/>
      </c>
      <c r="F1440" s="5" t="str">
        <f aca="false">IF(C1440=0,"",IF($A1440="Bank",IF(INDEX(Bank!$D:$D,$C1440)="","",INDEX(Bank!$D:$D,$C1440)),IF(INDEX(GL!$D:$D,$C1440)="","",INDEX(GL!$D:$D,$C1440))))</f>
        <v/>
      </c>
      <c r="G1440" s="19" t="str">
        <f aca="false">IF(C1440=0,"",IF($A1440="Bank",INDEX(Bank!$E:$E,$C1440),INDEX(GL!$E:$E,$C1440)))</f>
        <v/>
      </c>
      <c r="H1440" s="5" t="str">
        <f aca="false">IF(C1440=0,"",IF(A1440="GL",IF(G1440&gt;0,"Deposit in transit","Outstanding check / payment"),IF(G1440&gt;0,"Bank credit not in GL","Bank debit not in GL")))</f>
        <v/>
      </c>
      <c r="I1440" s="42" t="str">
        <f aca="false">IF(OR(C1440=0,CFG_PeriodEnd=""),"",CFG_PeriodEnd-D1440)</f>
        <v/>
      </c>
      <c r="J1440" s="5" t="str">
        <f aca="false">IF(C1440=0,"",IF($A1440="Bank",IF(INDEX(Bank!$G:$G,$C1440)="","",INDEX(Bank!$G:$G,$C1440)),IF(INDEX(GL!$G:$G,$C1440)="","",INDEX(GL!$G:$G,$C1440))))</f>
        <v/>
      </c>
      <c r="K1440" s="5" t="str">
        <f aca="false">IF(C1440=0,"",IF($A1440="Bank",IF(INDEX(Bank!$I:$I,$C1440)="","",INDEX(Bank!$I:$I,$C1440)),IF(INDEX(GL!$I:$I,$C1440)="","",INDEX(GL!$I:$I,$C1440))))</f>
        <v/>
      </c>
      <c r="L1440" s="5" t="str">
        <f aca="false">IF(B1440="","",IF(C1440=0,"NOT FOUND",IF(IF($A1440="Bank",INDEX(Bank!$F:$F,$C1440),INDEX(GL!$F:$F,$C1440))="Y","NOW RECONCILED: refresh","OK")))</f>
        <v/>
      </c>
    </row>
    <row r="1441" customFormat="false" ht="15" hidden="false" customHeight="false" outlineLevel="0" collapsed="false">
      <c r="A1441" s="41"/>
      <c r="B1441" s="41"/>
      <c r="C1441" s="5" t="n">
        <f aca="false">IF(B1441="",0,IF(A1441="Bank",IFERROR(MATCH(B1441,Bank!$A:$A,0),0),IFERROR(MATCH(B1441,GL!$A:$A,0),0)))</f>
        <v>0</v>
      </c>
      <c r="D1441" s="32" t="str">
        <f aca="false">IF(C1441=0,"",IF($A1441="Bank",INDEX(Bank!$B:$B,$C1441),INDEX(GL!$B:$B,$C1441)))</f>
        <v/>
      </c>
      <c r="E1441" s="5" t="str">
        <f aca="false">IF(C1441=0,"",IF($A1441="Bank",IF(INDEX(Bank!$C:$C,$C1441)="","",INDEX(Bank!$C:$C,$C1441)),IF(INDEX(GL!$C:$C,$C1441)="","",INDEX(GL!$C:$C,$C1441))))</f>
        <v/>
      </c>
      <c r="F1441" s="5" t="str">
        <f aca="false">IF(C1441=0,"",IF($A1441="Bank",IF(INDEX(Bank!$D:$D,$C1441)="","",INDEX(Bank!$D:$D,$C1441)),IF(INDEX(GL!$D:$D,$C1441)="","",INDEX(GL!$D:$D,$C1441))))</f>
        <v/>
      </c>
      <c r="G1441" s="19" t="str">
        <f aca="false">IF(C1441=0,"",IF($A1441="Bank",INDEX(Bank!$E:$E,$C1441),INDEX(GL!$E:$E,$C1441)))</f>
        <v/>
      </c>
      <c r="H1441" s="5" t="str">
        <f aca="false">IF(C1441=0,"",IF(A1441="GL",IF(G1441&gt;0,"Deposit in transit","Outstanding check / payment"),IF(G1441&gt;0,"Bank credit not in GL","Bank debit not in GL")))</f>
        <v/>
      </c>
      <c r="I1441" s="42" t="str">
        <f aca="false">IF(OR(C1441=0,CFG_PeriodEnd=""),"",CFG_PeriodEnd-D1441)</f>
        <v/>
      </c>
      <c r="J1441" s="5" t="str">
        <f aca="false">IF(C1441=0,"",IF($A1441="Bank",IF(INDEX(Bank!$G:$G,$C1441)="","",INDEX(Bank!$G:$G,$C1441)),IF(INDEX(GL!$G:$G,$C1441)="","",INDEX(GL!$G:$G,$C1441))))</f>
        <v/>
      </c>
      <c r="K1441" s="5" t="str">
        <f aca="false">IF(C1441=0,"",IF($A1441="Bank",IF(INDEX(Bank!$I:$I,$C1441)="","",INDEX(Bank!$I:$I,$C1441)),IF(INDEX(GL!$I:$I,$C1441)="","",INDEX(GL!$I:$I,$C1441))))</f>
        <v/>
      </c>
      <c r="L1441" s="5" t="str">
        <f aca="false">IF(B1441="","",IF(C1441=0,"NOT FOUND",IF(IF($A1441="Bank",INDEX(Bank!$F:$F,$C1441),INDEX(GL!$F:$F,$C1441))="Y","NOW RECONCILED: refresh","OK")))</f>
        <v/>
      </c>
    </row>
    <row r="1442" customFormat="false" ht="15" hidden="false" customHeight="false" outlineLevel="0" collapsed="false">
      <c r="A1442" s="41"/>
      <c r="B1442" s="41"/>
      <c r="C1442" s="5" t="n">
        <f aca="false">IF(B1442="",0,IF(A1442="Bank",IFERROR(MATCH(B1442,Bank!$A:$A,0),0),IFERROR(MATCH(B1442,GL!$A:$A,0),0)))</f>
        <v>0</v>
      </c>
      <c r="D1442" s="32" t="str">
        <f aca="false">IF(C1442=0,"",IF($A1442="Bank",INDEX(Bank!$B:$B,$C1442),INDEX(GL!$B:$B,$C1442)))</f>
        <v/>
      </c>
      <c r="E1442" s="5" t="str">
        <f aca="false">IF(C1442=0,"",IF($A1442="Bank",IF(INDEX(Bank!$C:$C,$C1442)="","",INDEX(Bank!$C:$C,$C1442)),IF(INDEX(GL!$C:$C,$C1442)="","",INDEX(GL!$C:$C,$C1442))))</f>
        <v/>
      </c>
      <c r="F1442" s="5" t="str">
        <f aca="false">IF(C1442=0,"",IF($A1442="Bank",IF(INDEX(Bank!$D:$D,$C1442)="","",INDEX(Bank!$D:$D,$C1442)),IF(INDEX(GL!$D:$D,$C1442)="","",INDEX(GL!$D:$D,$C1442))))</f>
        <v/>
      </c>
      <c r="G1442" s="19" t="str">
        <f aca="false">IF(C1442=0,"",IF($A1442="Bank",INDEX(Bank!$E:$E,$C1442),INDEX(GL!$E:$E,$C1442)))</f>
        <v/>
      </c>
      <c r="H1442" s="5" t="str">
        <f aca="false">IF(C1442=0,"",IF(A1442="GL",IF(G1442&gt;0,"Deposit in transit","Outstanding check / payment"),IF(G1442&gt;0,"Bank credit not in GL","Bank debit not in GL")))</f>
        <v/>
      </c>
      <c r="I1442" s="42" t="str">
        <f aca="false">IF(OR(C1442=0,CFG_PeriodEnd=""),"",CFG_PeriodEnd-D1442)</f>
        <v/>
      </c>
      <c r="J1442" s="5" t="str">
        <f aca="false">IF(C1442=0,"",IF($A1442="Bank",IF(INDEX(Bank!$G:$G,$C1442)="","",INDEX(Bank!$G:$G,$C1442)),IF(INDEX(GL!$G:$G,$C1442)="","",INDEX(GL!$G:$G,$C1442))))</f>
        <v/>
      </c>
      <c r="K1442" s="5" t="str">
        <f aca="false">IF(C1442=0,"",IF($A1442="Bank",IF(INDEX(Bank!$I:$I,$C1442)="","",INDEX(Bank!$I:$I,$C1442)),IF(INDEX(GL!$I:$I,$C1442)="","",INDEX(GL!$I:$I,$C1442))))</f>
        <v/>
      </c>
      <c r="L1442" s="5" t="str">
        <f aca="false">IF(B1442="","",IF(C1442=0,"NOT FOUND",IF(IF($A1442="Bank",INDEX(Bank!$F:$F,$C1442),INDEX(GL!$F:$F,$C1442))="Y","NOW RECONCILED: refresh","OK")))</f>
        <v/>
      </c>
    </row>
    <row r="1443" customFormat="false" ht="15" hidden="false" customHeight="false" outlineLevel="0" collapsed="false">
      <c r="A1443" s="41"/>
      <c r="B1443" s="41"/>
      <c r="C1443" s="5" t="n">
        <f aca="false">IF(B1443="",0,IF(A1443="Bank",IFERROR(MATCH(B1443,Bank!$A:$A,0),0),IFERROR(MATCH(B1443,GL!$A:$A,0),0)))</f>
        <v>0</v>
      </c>
      <c r="D1443" s="32" t="str">
        <f aca="false">IF(C1443=0,"",IF($A1443="Bank",INDEX(Bank!$B:$B,$C1443),INDEX(GL!$B:$B,$C1443)))</f>
        <v/>
      </c>
      <c r="E1443" s="5" t="str">
        <f aca="false">IF(C1443=0,"",IF($A1443="Bank",IF(INDEX(Bank!$C:$C,$C1443)="","",INDEX(Bank!$C:$C,$C1443)),IF(INDEX(GL!$C:$C,$C1443)="","",INDEX(GL!$C:$C,$C1443))))</f>
        <v/>
      </c>
      <c r="F1443" s="5" t="str">
        <f aca="false">IF(C1443=0,"",IF($A1443="Bank",IF(INDEX(Bank!$D:$D,$C1443)="","",INDEX(Bank!$D:$D,$C1443)),IF(INDEX(GL!$D:$D,$C1443)="","",INDEX(GL!$D:$D,$C1443))))</f>
        <v/>
      </c>
      <c r="G1443" s="19" t="str">
        <f aca="false">IF(C1443=0,"",IF($A1443="Bank",INDEX(Bank!$E:$E,$C1443),INDEX(GL!$E:$E,$C1443)))</f>
        <v/>
      </c>
      <c r="H1443" s="5" t="str">
        <f aca="false">IF(C1443=0,"",IF(A1443="GL",IF(G1443&gt;0,"Deposit in transit","Outstanding check / payment"),IF(G1443&gt;0,"Bank credit not in GL","Bank debit not in GL")))</f>
        <v/>
      </c>
      <c r="I1443" s="42" t="str">
        <f aca="false">IF(OR(C1443=0,CFG_PeriodEnd=""),"",CFG_PeriodEnd-D1443)</f>
        <v/>
      </c>
      <c r="J1443" s="5" t="str">
        <f aca="false">IF(C1443=0,"",IF($A1443="Bank",IF(INDEX(Bank!$G:$G,$C1443)="","",INDEX(Bank!$G:$G,$C1443)),IF(INDEX(GL!$G:$G,$C1443)="","",INDEX(GL!$G:$G,$C1443))))</f>
        <v/>
      </c>
      <c r="K1443" s="5" t="str">
        <f aca="false">IF(C1443=0,"",IF($A1443="Bank",IF(INDEX(Bank!$I:$I,$C1443)="","",INDEX(Bank!$I:$I,$C1443)),IF(INDEX(GL!$I:$I,$C1443)="","",INDEX(GL!$I:$I,$C1443))))</f>
        <v/>
      </c>
      <c r="L1443" s="5" t="str">
        <f aca="false">IF(B1443="","",IF(C1443=0,"NOT FOUND",IF(IF($A1443="Bank",INDEX(Bank!$F:$F,$C1443),INDEX(GL!$F:$F,$C1443))="Y","NOW RECONCILED: refresh","OK")))</f>
        <v/>
      </c>
    </row>
    <row r="1444" customFormat="false" ht="15" hidden="false" customHeight="false" outlineLevel="0" collapsed="false">
      <c r="A1444" s="41"/>
      <c r="B1444" s="41"/>
      <c r="C1444" s="5" t="n">
        <f aca="false">IF(B1444="",0,IF(A1444="Bank",IFERROR(MATCH(B1444,Bank!$A:$A,0),0),IFERROR(MATCH(B1444,GL!$A:$A,0),0)))</f>
        <v>0</v>
      </c>
      <c r="D1444" s="32" t="str">
        <f aca="false">IF(C1444=0,"",IF($A1444="Bank",INDEX(Bank!$B:$B,$C1444),INDEX(GL!$B:$B,$C1444)))</f>
        <v/>
      </c>
      <c r="E1444" s="5" t="str">
        <f aca="false">IF(C1444=0,"",IF($A1444="Bank",IF(INDEX(Bank!$C:$C,$C1444)="","",INDEX(Bank!$C:$C,$C1444)),IF(INDEX(GL!$C:$C,$C1444)="","",INDEX(GL!$C:$C,$C1444))))</f>
        <v/>
      </c>
      <c r="F1444" s="5" t="str">
        <f aca="false">IF(C1444=0,"",IF($A1444="Bank",IF(INDEX(Bank!$D:$D,$C1444)="","",INDEX(Bank!$D:$D,$C1444)),IF(INDEX(GL!$D:$D,$C1444)="","",INDEX(GL!$D:$D,$C1444))))</f>
        <v/>
      </c>
      <c r="G1444" s="19" t="str">
        <f aca="false">IF(C1444=0,"",IF($A1444="Bank",INDEX(Bank!$E:$E,$C1444),INDEX(GL!$E:$E,$C1444)))</f>
        <v/>
      </c>
      <c r="H1444" s="5" t="str">
        <f aca="false">IF(C1444=0,"",IF(A1444="GL",IF(G1444&gt;0,"Deposit in transit","Outstanding check / payment"),IF(G1444&gt;0,"Bank credit not in GL","Bank debit not in GL")))</f>
        <v/>
      </c>
      <c r="I1444" s="42" t="str">
        <f aca="false">IF(OR(C1444=0,CFG_PeriodEnd=""),"",CFG_PeriodEnd-D1444)</f>
        <v/>
      </c>
      <c r="J1444" s="5" t="str">
        <f aca="false">IF(C1444=0,"",IF($A1444="Bank",IF(INDEX(Bank!$G:$G,$C1444)="","",INDEX(Bank!$G:$G,$C1444)),IF(INDEX(GL!$G:$G,$C1444)="","",INDEX(GL!$G:$G,$C1444))))</f>
        <v/>
      </c>
      <c r="K1444" s="5" t="str">
        <f aca="false">IF(C1444=0,"",IF($A1444="Bank",IF(INDEX(Bank!$I:$I,$C1444)="","",INDEX(Bank!$I:$I,$C1444)),IF(INDEX(GL!$I:$I,$C1444)="","",INDEX(GL!$I:$I,$C1444))))</f>
        <v/>
      </c>
      <c r="L1444" s="5" t="str">
        <f aca="false">IF(B1444="","",IF(C1444=0,"NOT FOUND",IF(IF($A1444="Bank",INDEX(Bank!$F:$F,$C1444),INDEX(GL!$F:$F,$C1444))="Y","NOW RECONCILED: refresh","OK")))</f>
        <v/>
      </c>
    </row>
    <row r="1445" customFormat="false" ht="15" hidden="false" customHeight="false" outlineLevel="0" collapsed="false">
      <c r="A1445" s="41"/>
      <c r="B1445" s="41"/>
      <c r="C1445" s="5" t="n">
        <f aca="false">IF(B1445="",0,IF(A1445="Bank",IFERROR(MATCH(B1445,Bank!$A:$A,0),0),IFERROR(MATCH(B1445,GL!$A:$A,0),0)))</f>
        <v>0</v>
      </c>
      <c r="D1445" s="32" t="str">
        <f aca="false">IF(C1445=0,"",IF($A1445="Bank",INDEX(Bank!$B:$B,$C1445),INDEX(GL!$B:$B,$C1445)))</f>
        <v/>
      </c>
      <c r="E1445" s="5" t="str">
        <f aca="false">IF(C1445=0,"",IF($A1445="Bank",IF(INDEX(Bank!$C:$C,$C1445)="","",INDEX(Bank!$C:$C,$C1445)),IF(INDEX(GL!$C:$C,$C1445)="","",INDEX(GL!$C:$C,$C1445))))</f>
        <v/>
      </c>
      <c r="F1445" s="5" t="str">
        <f aca="false">IF(C1445=0,"",IF($A1445="Bank",IF(INDEX(Bank!$D:$D,$C1445)="","",INDEX(Bank!$D:$D,$C1445)),IF(INDEX(GL!$D:$D,$C1445)="","",INDEX(GL!$D:$D,$C1445))))</f>
        <v/>
      </c>
      <c r="G1445" s="19" t="str">
        <f aca="false">IF(C1445=0,"",IF($A1445="Bank",INDEX(Bank!$E:$E,$C1445),INDEX(GL!$E:$E,$C1445)))</f>
        <v/>
      </c>
      <c r="H1445" s="5" t="str">
        <f aca="false">IF(C1445=0,"",IF(A1445="GL",IF(G1445&gt;0,"Deposit in transit","Outstanding check / payment"),IF(G1445&gt;0,"Bank credit not in GL","Bank debit not in GL")))</f>
        <v/>
      </c>
      <c r="I1445" s="42" t="str">
        <f aca="false">IF(OR(C1445=0,CFG_PeriodEnd=""),"",CFG_PeriodEnd-D1445)</f>
        <v/>
      </c>
      <c r="J1445" s="5" t="str">
        <f aca="false">IF(C1445=0,"",IF($A1445="Bank",IF(INDEX(Bank!$G:$G,$C1445)="","",INDEX(Bank!$G:$G,$C1445)),IF(INDEX(GL!$G:$G,$C1445)="","",INDEX(GL!$G:$G,$C1445))))</f>
        <v/>
      </c>
      <c r="K1445" s="5" t="str">
        <f aca="false">IF(C1445=0,"",IF($A1445="Bank",IF(INDEX(Bank!$I:$I,$C1445)="","",INDEX(Bank!$I:$I,$C1445)),IF(INDEX(GL!$I:$I,$C1445)="","",INDEX(GL!$I:$I,$C1445))))</f>
        <v/>
      </c>
      <c r="L1445" s="5" t="str">
        <f aca="false">IF(B1445="","",IF(C1445=0,"NOT FOUND",IF(IF($A1445="Bank",INDEX(Bank!$F:$F,$C1445),INDEX(GL!$F:$F,$C1445))="Y","NOW RECONCILED: refresh","OK")))</f>
        <v/>
      </c>
    </row>
    <row r="1446" customFormat="false" ht="15" hidden="false" customHeight="false" outlineLevel="0" collapsed="false">
      <c r="A1446" s="41"/>
      <c r="B1446" s="41"/>
      <c r="C1446" s="5" t="n">
        <f aca="false">IF(B1446="",0,IF(A1446="Bank",IFERROR(MATCH(B1446,Bank!$A:$A,0),0),IFERROR(MATCH(B1446,GL!$A:$A,0),0)))</f>
        <v>0</v>
      </c>
      <c r="D1446" s="32" t="str">
        <f aca="false">IF(C1446=0,"",IF($A1446="Bank",INDEX(Bank!$B:$B,$C1446),INDEX(GL!$B:$B,$C1446)))</f>
        <v/>
      </c>
      <c r="E1446" s="5" t="str">
        <f aca="false">IF(C1446=0,"",IF($A1446="Bank",IF(INDEX(Bank!$C:$C,$C1446)="","",INDEX(Bank!$C:$C,$C1446)),IF(INDEX(GL!$C:$C,$C1446)="","",INDEX(GL!$C:$C,$C1446))))</f>
        <v/>
      </c>
      <c r="F1446" s="5" t="str">
        <f aca="false">IF(C1446=0,"",IF($A1446="Bank",IF(INDEX(Bank!$D:$D,$C1446)="","",INDEX(Bank!$D:$D,$C1446)),IF(INDEX(GL!$D:$D,$C1446)="","",INDEX(GL!$D:$D,$C1446))))</f>
        <v/>
      </c>
      <c r="G1446" s="19" t="str">
        <f aca="false">IF(C1446=0,"",IF($A1446="Bank",INDEX(Bank!$E:$E,$C1446),INDEX(GL!$E:$E,$C1446)))</f>
        <v/>
      </c>
      <c r="H1446" s="5" t="str">
        <f aca="false">IF(C1446=0,"",IF(A1446="GL",IF(G1446&gt;0,"Deposit in transit","Outstanding check / payment"),IF(G1446&gt;0,"Bank credit not in GL","Bank debit not in GL")))</f>
        <v/>
      </c>
      <c r="I1446" s="42" t="str">
        <f aca="false">IF(OR(C1446=0,CFG_PeriodEnd=""),"",CFG_PeriodEnd-D1446)</f>
        <v/>
      </c>
      <c r="J1446" s="5" t="str">
        <f aca="false">IF(C1446=0,"",IF($A1446="Bank",IF(INDEX(Bank!$G:$G,$C1446)="","",INDEX(Bank!$G:$G,$C1446)),IF(INDEX(GL!$G:$G,$C1446)="","",INDEX(GL!$G:$G,$C1446))))</f>
        <v/>
      </c>
      <c r="K1446" s="5" t="str">
        <f aca="false">IF(C1446=0,"",IF($A1446="Bank",IF(INDEX(Bank!$I:$I,$C1446)="","",INDEX(Bank!$I:$I,$C1446)),IF(INDEX(GL!$I:$I,$C1446)="","",INDEX(GL!$I:$I,$C1446))))</f>
        <v/>
      </c>
      <c r="L1446" s="5" t="str">
        <f aca="false">IF(B1446="","",IF(C1446=0,"NOT FOUND",IF(IF($A1446="Bank",INDEX(Bank!$F:$F,$C1446),INDEX(GL!$F:$F,$C1446))="Y","NOW RECONCILED: refresh","OK")))</f>
        <v/>
      </c>
    </row>
    <row r="1447" customFormat="false" ht="15" hidden="false" customHeight="false" outlineLevel="0" collapsed="false">
      <c r="A1447" s="41"/>
      <c r="B1447" s="41"/>
      <c r="C1447" s="5" t="n">
        <f aca="false">IF(B1447="",0,IF(A1447="Bank",IFERROR(MATCH(B1447,Bank!$A:$A,0),0),IFERROR(MATCH(B1447,GL!$A:$A,0),0)))</f>
        <v>0</v>
      </c>
      <c r="D1447" s="32" t="str">
        <f aca="false">IF(C1447=0,"",IF($A1447="Bank",INDEX(Bank!$B:$B,$C1447),INDEX(GL!$B:$B,$C1447)))</f>
        <v/>
      </c>
      <c r="E1447" s="5" t="str">
        <f aca="false">IF(C1447=0,"",IF($A1447="Bank",IF(INDEX(Bank!$C:$C,$C1447)="","",INDEX(Bank!$C:$C,$C1447)),IF(INDEX(GL!$C:$C,$C1447)="","",INDEX(GL!$C:$C,$C1447))))</f>
        <v/>
      </c>
      <c r="F1447" s="5" t="str">
        <f aca="false">IF(C1447=0,"",IF($A1447="Bank",IF(INDEX(Bank!$D:$D,$C1447)="","",INDEX(Bank!$D:$D,$C1447)),IF(INDEX(GL!$D:$D,$C1447)="","",INDEX(GL!$D:$D,$C1447))))</f>
        <v/>
      </c>
      <c r="G1447" s="19" t="str">
        <f aca="false">IF(C1447=0,"",IF($A1447="Bank",INDEX(Bank!$E:$E,$C1447),INDEX(GL!$E:$E,$C1447)))</f>
        <v/>
      </c>
      <c r="H1447" s="5" t="str">
        <f aca="false">IF(C1447=0,"",IF(A1447="GL",IF(G1447&gt;0,"Deposit in transit","Outstanding check / payment"),IF(G1447&gt;0,"Bank credit not in GL","Bank debit not in GL")))</f>
        <v/>
      </c>
      <c r="I1447" s="42" t="str">
        <f aca="false">IF(OR(C1447=0,CFG_PeriodEnd=""),"",CFG_PeriodEnd-D1447)</f>
        <v/>
      </c>
      <c r="J1447" s="5" t="str">
        <f aca="false">IF(C1447=0,"",IF($A1447="Bank",IF(INDEX(Bank!$G:$G,$C1447)="","",INDEX(Bank!$G:$G,$C1447)),IF(INDEX(GL!$G:$G,$C1447)="","",INDEX(GL!$G:$G,$C1447))))</f>
        <v/>
      </c>
      <c r="K1447" s="5" t="str">
        <f aca="false">IF(C1447=0,"",IF($A1447="Bank",IF(INDEX(Bank!$I:$I,$C1447)="","",INDEX(Bank!$I:$I,$C1447)),IF(INDEX(GL!$I:$I,$C1447)="","",INDEX(GL!$I:$I,$C1447))))</f>
        <v/>
      </c>
      <c r="L1447" s="5" t="str">
        <f aca="false">IF(B1447="","",IF(C1447=0,"NOT FOUND",IF(IF($A1447="Bank",INDEX(Bank!$F:$F,$C1447),INDEX(GL!$F:$F,$C1447))="Y","NOW RECONCILED: refresh","OK")))</f>
        <v/>
      </c>
    </row>
    <row r="1448" customFormat="false" ht="15" hidden="false" customHeight="false" outlineLevel="0" collapsed="false">
      <c r="A1448" s="41"/>
      <c r="B1448" s="41"/>
      <c r="C1448" s="5" t="n">
        <f aca="false">IF(B1448="",0,IF(A1448="Bank",IFERROR(MATCH(B1448,Bank!$A:$A,0),0),IFERROR(MATCH(B1448,GL!$A:$A,0),0)))</f>
        <v>0</v>
      </c>
      <c r="D1448" s="32" t="str">
        <f aca="false">IF(C1448=0,"",IF($A1448="Bank",INDEX(Bank!$B:$B,$C1448),INDEX(GL!$B:$B,$C1448)))</f>
        <v/>
      </c>
      <c r="E1448" s="5" t="str">
        <f aca="false">IF(C1448=0,"",IF($A1448="Bank",IF(INDEX(Bank!$C:$C,$C1448)="","",INDEX(Bank!$C:$C,$C1448)),IF(INDEX(GL!$C:$C,$C1448)="","",INDEX(GL!$C:$C,$C1448))))</f>
        <v/>
      </c>
      <c r="F1448" s="5" t="str">
        <f aca="false">IF(C1448=0,"",IF($A1448="Bank",IF(INDEX(Bank!$D:$D,$C1448)="","",INDEX(Bank!$D:$D,$C1448)),IF(INDEX(GL!$D:$D,$C1448)="","",INDEX(GL!$D:$D,$C1448))))</f>
        <v/>
      </c>
      <c r="G1448" s="19" t="str">
        <f aca="false">IF(C1448=0,"",IF($A1448="Bank",INDEX(Bank!$E:$E,$C1448),INDEX(GL!$E:$E,$C1448)))</f>
        <v/>
      </c>
      <c r="H1448" s="5" t="str">
        <f aca="false">IF(C1448=0,"",IF(A1448="GL",IF(G1448&gt;0,"Deposit in transit","Outstanding check / payment"),IF(G1448&gt;0,"Bank credit not in GL","Bank debit not in GL")))</f>
        <v/>
      </c>
      <c r="I1448" s="42" t="str">
        <f aca="false">IF(OR(C1448=0,CFG_PeriodEnd=""),"",CFG_PeriodEnd-D1448)</f>
        <v/>
      </c>
      <c r="J1448" s="5" t="str">
        <f aca="false">IF(C1448=0,"",IF($A1448="Bank",IF(INDEX(Bank!$G:$G,$C1448)="","",INDEX(Bank!$G:$G,$C1448)),IF(INDEX(GL!$G:$G,$C1448)="","",INDEX(GL!$G:$G,$C1448))))</f>
        <v/>
      </c>
      <c r="K1448" s="5" t="str">
        <f aca="false">IF(C1448=0,"",IF($A1448="Bank",IF(INDEX(Bank!$I:$I,$C1448)="","",INDEX(Bank!$I:$I,$C1448)),IF(INDEX(GL!$I:$I,$C1448)="","",INDEX(GL!$I:$I,$C1448))))</f>
        <v/>
      </c>
      <c r="L1448" s="5" t="str">
        <f aca="false">IF(B1448="","",IF(C1448=0,"NOT FOUND",IF(IF($A1448="Bank",INDEX(Bank!$F:$F,$C1448),INDEX(GL!$F:$F,$C1448))="Y","NOW RECONCILED: refresh","OK")))</f>
        <v/>
      </c>
    </row>
    <row r="1449" customFormat="false" ht="15" hidden="false" customHeight="false" outlineLevel="0" collapsed="false">
      <c r="A1449" s="41"/>
      <c r="B1449" s="41"/>
      <c r="C1449" s="5" t="n">
        <f aca="false">IF(B1449="",0,IF(A1449="Bank",IFERROR(MATCH(B1449,Bank!$A:$A,0),0),IFERROR(MATCH(B1449,GL!$A:$A,0),0)))</f>
        <v>0</v>
      </c>
      <c r="D1449" s="32" t="str">
        <f aca="false">IF(C1449=0,"",IF($A1449="Bank",INDEX(Bank!$B:$B,$C1449),INDEX(GL!$B:$B,$C1449)))</f>
        <v/>
      </c>
      <c r="E1449" s="5" t="str">
        <f aca="false">IF(C1449=0,"",IF($A1449="Bank",IF(INDEX(Bank!$C:$C,$C1449)="","",INDEX(Bank!$C:$C,$C1449)),IF(INDEX(GL!$C:$C,$C1449)="","",INDEX(GL!$C:$C,$C1449))))</f>
        <v/>
      </c>
      <c r="F1449" s="5" t="str">
        <f aca="false">IF(C1449=0,"",IF($A1449="Bank",IF(INDEX(Bank!$D:$D,$C1449)="","",INDEX(Bank!$D:$D,$C1449)),IF(INDEX(GL!$D:$D,$C1449)="","",INDEX(GL!$D:$D,$C1449))))</f>
        <v/>
      </c>
      <c r="G1449" s="19" t="str">
        <f aca="false">IF(C1449=0,"",IF($A1449="Bank",INDEX(Bank!$E:$E,$C1449),INDEX(GL!$E:$E,$C1449)))</f>
        <v/>
      </c>
      <c r="H1449" s="5" t="str">
        <f aca="false">IF(C1449=0,"",IF(A1449="GL",IF(G1449&gt;0,"Deposit in transit","Outstanding check / payment"),IF(G1449&gt;0,"Bank credit not in GL","Bank debit not in GL")))</f>
        <v/>
      </c>
      <c r="I1449" s="42" t="str">
        <f aca="false">IF(OR(C1449=0,CFG_PeriodEnd=""),"",CFG_PeriodEnd-D1449)</f>
        <v/>
      </c>
      <c r="J1449" s="5" t="str">
        <f aca="false">IF(C1449=0,"",IF($A1449="Bank",IF(INDEX(Bank!$G:$G,$C1449)="","",INDEX(Bank!$G:$G,$C1449)),IF(INDEX(GL!$G:$G,$C1449)="","",INDEX(GL!$G:$G,$C1449))))</f>
        <v/>
      </c>
      <c r="K1449" s="5" t="str">
        <f aca="false">IF(C1449=0,"",IF($A1449="Bank",IF(INDEX(Bank!$I:$I,$C1449)="","",INDEX(Bank!$I:$I,$C1449)),IF(INDEX(GL!$I:$I,$C1449)="","",INDEX(GL!$I:$I,$C1449))))</f>
        <v/>
      </c>
      <c r="L1449" s="5" t="str">
        <f aca="false">IF(B1449="","",IF(C1449=0,"NOT FOUND",IF(IF($A1449="Bank",INDEX(Bank!$F:$F,$C1449),INDEX(GL!$F:$F,$C1449))="Y","NOW RECONCILED: refresh","OK")))</f>
        <v/>
      </c>
    </row>
    <row r="1450" customFormat="false" ht="15" hidden="false" customHeight="false" outlineLevel="0" collapsed="false">
      <c r="A1450" s="41"/>
      <c r="B1450" s="41"/>
      <c r="C1450" s="5" t="n">
        <f aca="false">IF(B1450="",0,IF(A1450="Bank",IFERROR(MATCH(B1450,Bank!$A:$A,0),0),IFERROR(MATCH(B1450,GL!$A:$A,0),0)))</f>
        <v>0</v>
      </c>
      <c r="D1450" s="32" t="str">
        <f aca="false">IF(C1450=0,"",IF($A1450="Bank",INDEX(Bank!$B:$B,$C1450),INDEX(GL!$B:$B,$C1450)))</f>
        <v/>
      </c>
      <c r="E1450" s="5" t="str">
        <f aca="false">IF(C1450=0,"",IF($A1450="Bank",IF(INDEX(Bank!$C:$C,$C1450)="","",INDEX(Bank!$C:$C,$C1450)),IF(INDEX(GL!$C:$C,$C1450)="","",INDEX(GL!$C:$C,$C1450))))</f>
        <v/>
      </c>
      <c r="F1450" s="5" t="str">
        <f aca="false">IF(C1450=0,"",IF($A1450="Bank",IF(INDEX(Bank!$D:$D,$C1450)="","",INDEX(Bank!$D:$D,$C1450)),IF(INDEX(GL!$D:$D,$C1450)="","",INDEX(GL!$D:$D,$C1450))))</f>
        <v/>
      </c>
      <c r="G1450" s="19" t="str">
        <f aca="false">IF(C1450=0,"",IF($A1450="Bank",INDEX(Bank!$E:$E,$C1450),INDEX(GL!$E:$E,$C1450)))</f>
        <v/>
      </c>
      <c r="H1450" s="5" t="str">
        <f aca="false">IF(C1450=0,"",IF(A1450="GL",IF(G1450&gt;0,"Deposit in transit","Outstanding check / payment"),IF(G1450&gt;0,"Bank credit not in GL","Bank debit not in GL")))</f>
        <v/>
      </c>
      <c r="I1450" s="42" t="str">
        <f aca="false">IF(OR(C1450=0,CFG_PeriodEnd=""),"",CFG_PeriodEnd-D1450)</f>
        <v/>
      </c>
      <c r="J1450" s="5" t="str">
        <f aca="false">IF(C1450=0,"",IF($A1450="Bank",IF(INDEX(Bank!$G:$G,$C1450)="","",INDEX(Bank!$G:$G,$C1450)),IF(INDEX(GL!$G:$G,$C1450)="","",INDEX(GL!$G:$G,$C1450))))</f>
        <v/>
      </c>
      <c r="K1450" s="5" t="str">
        <f aca="false">IF(C1450=0,"",IF($A1450="Bank",IF(INDEX(Bank!$I:$I,$C1450)="","",INDEX(Bank!$I:$I,$C1450)),IF(INDEX(GL!$I:$I,$C1450)="","",INDEX(GL!$I:$I,$C1450))))</f>
        <v/>
      </c>
      <c r="L1450" s="5" t="str">
        <f aca="false">IF(B1450="","",IF(C1450=0,"NOT FOUND",IF(IF($A1450="Bank",INDEX(Bank!$F:$F,$C1450),INDEX(GL!$F:$F,$C1450))="Y","NOW RECONCILED: refresh","OK")))</f>
        <v/>
      </c>
    </row>
    <row r="1451" customFormat="false" ht="15" hidden="false" customHeight="false" outlineLevel="0" collapsed="false">
      <c r="A1451" s="41"/>
      <c r="B1451" s="41"/>
      <c r="C1451" s="5" t="n">
        <f aca="false">IF(B1451="",0,IF(A1451="Bank",IFERROR(MATCH(B1451,Bank!$A:$A,0),0),IFERROR(MATCH(B1451,GL!$A:$A,0),0)))</f>
        <v>0</v>
      </c>
      <c r="D1451" s="32" t="str">
        <f aca="false">IF(C1451=0,"",IF($A1451="Bank",INDEX(Bank!$B:$B,$C1451),INDEX(GL!$B:$B,$C1451)))</f>
        <v/>
      </c>
      <c r="E1451" s="5" t="str">
        <f aca="false">IF(C1451=0,"",IF($A1451="Bank",IF(INDEX(Bank!$C:$C,$C1451)="","",INDEX(Bank!$C:$C,$C1451)),IF(INDEX(GL!$C:$C,$C1451)="","",INDEX(GL!$C:$C,$C1451))))</f>
        <v/>
      </c>
      <c r="F1451" s="5" t="str">
        <f aca="false">IF(C1451=0,"",IF($A1451="Bank",IF(INDEX(Bank!$D:$D,$C1451)="","",INDEX(Bank!$D:$D,$C1451)),IF(INDEX(GL!$D:$D,$C1451)="","",INDEX(GL!$D:$D,$C1451))))</f>
        <v/>
      </c>
      <c r="G1451" s="19" t="str">
        <f aca="false">IF(C1451=0,"",IF($A1451="Bank",INDEX(Bank!$E:$E,$C1451),INDEX(GL!$E:$E,$C1451)))</f>
        <v/>
      </c>
      <c r="H1451" s="5" t="str">
        <f aca="false">IF(C1451=0,"",IF(A1451="GL",IF(G1451&gt;0,"Deposit in transit","Outstanding check / payment"),IF(G1451&gt;0,"Bank credit not in GL","Bank debit not in GL")))</f>
        <v/>
      </c>
      <c r="I1451" s="42" t="str">
        <f aca="false">IF(OR(C1451=0,CFG_PeriodEnd=""),"",CFG_PeriodEnd-D1451)</f>
        <v/>
      </c>
      <c r="J1451" s="5" t="str">
        <f aca="false">IF(C1451=0,"",IF($A1451="Bank",IF(INDEX(Bank!$G:$G,$C1451)="","",INDEX(Bank!$G:$G,$C1451)),IF(INDEX(GL!$G:$G,$C1451)="","",INDEX(GL!$G:$G,$C1451))))</f>
        <v/>
      </c>
      <c r="K1451" s="5" t="str">
        <f aca="false">IF(C1451=0,"",IF($A1451="Bank",IF(INDEX(Bank!$I:$I,$C1451)="","",INDEX(Bank!$I:$I,$C1451)),IF(INDEX(GL!$I:$I,$C1451)="","",INDEX(GL!$I:$I,$C1451))))</f>
        <v/>
      </c>
      <c r="L1451" s="5" t="str">
        <f aca="false">IF(B1451="","",IF(C1451=0,"NOT FOUND",IF(IF($A1451="Bank",INDEX(Bank!$F:$F,$C1451),INDEX(GL!$F:$F,$C1451))="Y","NOW RECONCILED: refresh","OK")))</f>
        <v/>
      </c>
    </row>
    <row r="1452" customFormat="false" ht="15" hidden="false" customHeight="false" outlineLevel="0" collapsed="false">
      <c r="A1452" s="41"/>
      <c r="B1452" s="41"/>
      <c r="C1452" s="5" t="n">
        <f aca="false">IF(B1452="",0,IF(A1452="Bank",IFERROR(MATCH(B1452,Bank!$A:$A,0),0),IFERROR(MATCH(B1452,GL!$A:$A,0),0)))</f>
        <v>0</v>
      </c>
      <c r="D1452" s="32" t="str">
        <f aca="false">IF(C1452=0,"",IF($A1452="Bank",INDEX(Bank!$B:$B,$C1452),INDEX(GL!$B:$B,$C1452)))</f>
        <v/>
      </c>
      <c r="E1452" s="5" t="str">
        <f aca="false">IF(C1452=0,"",IF($A1452="Bank",IF(INDEX(Bank!$C:$C,$C1452)="","",INDEX(Bank!$C:$C,$C1452)),IF(INDEX(GL!$C:$C,$C1452)="","",INDEX(GL!$C:$C,$C1452))))</f>
        <v/>
      </c>
      <c r="F1452" s="5" t="str">
        <f aca="false">IF(C1452=0,"",IF($A1452="Bank",IF(INDEX(Bank!$D:$D,$C1452)="","",INDEX(Bank!$D:$D,$C1452)),IF(INDEX(GL!$D:$D,$C1452)="","",INDEX(GL!$D:$D,$C1452))))</f>
        <v/>
      </c>
      <c r="G1452" s="19" t="str">
        <f aca="false">IF(C1452=0,"",IF($A1452="Bank",INDEX(Bank!$E:$E,$C1452),INDEX(GL!$E:$E,$C1452)))</f>
        <v/>
      </c>
      <c r="H1452" s="5" t="str">
        <f aca="false">IF(C1452=0,"",IF(A1452="GL",IF(G1452&gt;0,"Deposit in transit","Outstanding check / payment"),IF(G1452&gt;0,"Bank credit not in GL","Bank debit not in GL")))</f>
        <v/>
      </c>
      <c r="I1452" s="42" t="str">
        <f aca="false">IF(OR(C1452=0,CFG_PeriodEnd=""),"",CFG_PeriodEnd-D1452)</f>
        <v/>
      </c>
      <c r="J1452" s="5" t="str">
        <f aca="false">IF(C1452=0,"",IF($A1452="Bank",IF(INDEX(Bank!$G:$G,$C1452)="","",INDEX(Bank!$G:$G,$C1452)),IF(INDEX(GL!$G:$G,$C1452)="","",INDEX(GL!$G:$G,$C1452))))</f>
        <v/>
      </c>
      <c r="K1452" s="5" t="str">
        <f aca="false">IF(C1452=0,"",IF($A1452="Bank",IF(INDEX(Bank!$I:$I,$C1452)="","",INDEX(Bank!$I:$I,$C1452)),IF(INDEX(GL!$I:$I,$C1452)="","",INDEX(GL!$I:$I,$C1452))))</f>
        <v/>
      </c>
      <c r="L1452" s="5" t="str">
        <f aca="false">IF(B1452="","",IF(C1452=0,"NOT FOUND",IF(IF($A1452="Bank",INDEX(Bank!$F:$F,$C1452),INDEX(GL!$F:$F,$C1452))="Y","NOW RECONCILED: refresh","OK")))</f>
        <v/>
      </c>
    </row>
    <row r="1453" customFormat="false" ht="15" hidden="false" customHeight="false" outlineLevel="0" collapsed="false">
      <c r="A1453" s="41"/>
      <c r="B1453" s="41"/>
      <c r="C1453" s="5" t="n">
        <f aca="false">IF(B1453="",0,IF(A1453="Bank",IFERROR(MATCH(B1453,Bank!$A:$A,0),0),IFERROR(MATCH(B1453,GL!$A:$A,0),0)))</f>
        <v>0</v>
      </c>
      <c r="D1453" s="32" t="str">
        <f aca="false">IF(C1453=0,"",IF($A1453="Bank",INDEX(Bank!$B:$B,$C1453),INDEX(GL!$B:$B,$C1453)))</f>
        <v/>
      </c>
      <c r="E1453" s="5" t="str">
        <f aca="false">IF(C1453=0,"",IF($A1453="Bank",IF(INDEX(Bank!$C:$C,$C1453)="","",INDEX(Bank!$C:$C,$C1453)),IF(INDEX(GL!$C:$C,$C1453)="","",INDEX(GL!$C:$C,$C1453))))</f>
        <v/>
      </c>
      <c r="F1453" s="5" t="str">
        <f aca="false">IF(C1453=0,"",IF($A1453="Bank",IF(INDEX(Bank!$D:$D,$C1453)="","",INDEX(Bank!$D:$D,$C1453)),IF(INDEX(GL!$D:$D,$C1453)="","",INDEX(GL!$D:$D,$C1453))))</f>
        <v/>
      </c>
      <c r="G1453" s="19" t="str">
        <f aca="false">IF(C1453=0,"",IF($A1453="Bank",INDEX(Bank!$E:$E,$C1453),INDEX(GL!$E:$E,$C1453)))</f>
        <v/>
      </c>
      <c r="H1453" s="5" t="str">
        <f aca="false">IF(C1453=0,"",IF(A1453="GL",IF(G1453&gt;0,"Deposit in transit","Outstanding check / payment"),IF(G1453&gt;0,"Bank credit not in GL","Bank debit not in GL")))</f>
        <v/>
      </c>
      <c r="I1453" s="42" t="str">
        <f aca="false">IF(OR(C1453=0,CFG_PeriodEnd=""),"",CFG_PeriodEnd-D1453)</f>
        <v/>
      </c>
      <c r="J1453" s="5" t="str">
        <f aca="false">IF(C1453=0,"",IF($A1453="Bank",IF(INDEX(Bank!$G:$G,$C1453)="","",INDEX(Bank!$G:$G,$C1453)),IF(INDEX(GL!$G:$G,$C1453)="","",INDEX(GL!$G:$G,$C1453))))</f>
        <v/>
      </c>
      <c r="K1453" s="5" t="str">
        <f aca="false">IF(C1453=0,"",IF($A1453="Bank",IF(INDEX(Bank!$I:$I,$C1453)="","",INDEX(Bank!$I:$I,$C1453)),IF(INDEX(GL!$I:$I,$C1453)="","",INDEX(GL!$I:$I,$C1453))))</f>
        <v/>
      </c>
      <c r="L1453" s="5" t="str">
        <f aca="false">IF(B1453="","",IF(C1453=0,"NOT FOUND",IF(IF($A1453="Bank",INDEX(Bank!$F:$F,$C1453),INDEX(GL!$F:$F,$C1453))="Y","NOW RECONCILED: refresh","OK")))</f>
        <v/>
      </c>
    </row>
    <row r="1454" customFormat="false" ht="15" hidden="false" customHeight="false" outlineLevel="0" collapsed="false">
      <c r="A1454" s="41"/>
      <c r="B1454" s="41"/>
      <c r="C1454" s="5" t="n">
        <f aca="false">IF(B1454="",0,IF(A1454="Bank",IFERROR(MATCH(B1454,Bank!$A:$A,0),0),IFERROR(MATCH(B1454,GL!$A:$A,0),0)))</f>
        <v>0</v>
      </c>
      <c r="D1454" s="32" t="str">
        <f aca="false">IF(C1454=0,"",IF($A1454="Bank",INDEX(Bank!$B:$B,$C1454),INDEX(GL!$B:$B,$C1454)))</f>
        <v/>
      </c>
      <c r="E1454" s="5" t="str">
        <f aca="false">IF(C1454=0,"",IF($A1454="Bank",IF(INDEX(Bank!$C:$C,$C1454)="","",INDEX(Bank!$C:$C,$C1454)),IF(INDEX(GL!$C:$C,$C1454)="","",INDEX(GL!$C:$C,$C1454))))</f>
        <v/>
      </c>
      <c r="F1454" s="5" t="str">
        <f aca="false">IF(C1454=0,"",IF($A1454="Bank",IF(INDEX(Bank!$D:$D,$C1454)="","",INDEX(Bank!$D:$D,$C1454)),IF(INDEX(GL!$D:$D,$C1454)="","",INDEX(GL!$D:$D,$C1454))))</f>
        <v/>
      </c>
      <c r="G1454" s="19" t="str">
        <f aca="false">IF(C1454=0,"",IF($A1454="Bank",INDEX(Bank!$E:$E,$C1454),INDEX(GL!$E:$E,$C1454)))</f>
        <v/>
      </c>
      <c r="H1454" s="5" t="str">
        <f aca="false">IF(C1454=0,"",IF(A1454="GL",IF(G1454&gt;0,"Deposit in transit","Outstanding check / payment"),IF(G1454&gt;0,"Bank credit not in GL","Bank debit not in GL")))</f>
        <v/>
      </c>
      <c r="I1454" s="42" t="str">
        <f aca="false">IF(OR(C1454=0,CFG_PeriodEnd=""),"",CFG_PeriodEnd-D1454)</f>
        <v/>
      </c>
      <c r="J1454" s="5" t="str">
        <f aca="false">IF(C1454=0,"",IF($A1454="Bank",IF(INDEX(Bank!$G:$G,$C1454)="","",INDEX(Bank!$G:$G,$C1454)),IF(INDEX(GL!$G:$G,$C1454)="","",INDEX(GL!$G:$G,$C1454))))</f>
        <v/>
      </c>
      <c r="K1454" s="5" t="str">
        <f aca="false">IF(C1454=0,"",IF($A1454="Bank",IF(INDEX(Bank!$I:$I,$C1454)="","",INDEX(Bank!$I:$I,$C1454)),IF(INDEX(GL!$I:$I,$C1454)="","",INDEX(GL!$I:$I,$C1454))))</f>
        <v/>
      </c>
      <c r="L1454" s="5" t="str">
        <f aca="false">IF(B1454="","",IF(C1454=0,"NOT FOUND",IF(IF($A1454="Bank",INDEX(Bank!$F:$F,$C1454),INDEX(GL!$F:$F,$C1454))="Y","NOW RECONCILED: refresh","OK")))</f>
        <v/>
      </c>
    </row>
    <row r="1455" customFormat="false" ht="15" hidden="false" customHeight="false" outlineLevel="0" collapsed="false">
      <c r="A1455" s="41"/>
      <c r="B1455" s="41"/>
      <c r="C1455" s="5" t="n">
        <f aca="false">IF(B1455="",0,IF(A1455="Bank",IFERROR(MATCH(B1455,Bank!$A:$A,0),0),IFERROR(MATCH(B1455,GL!$A:$A,0),0)))</f>
        <v>0</v>
      </c>
      <c r="D1455" s="32" t="str">
        <f aca="false">IF(C1455=0,"",IF($A1455="Bank",INDEX(Bank!$B:$B,$C1455),INDEX(GL!$B:$B,$C1455)))</f>
        <v/>
      </c>
      <c r="E1455" s="5" t="str">
        <f aca="false">IF(C1455=0,"",IF($A1455="Bank",IF(INDEX(Bank!$C:$C,$C1455)="","",INDEX(Bank!$C:$C,$C1455)),IF(INDEX(GL!$C:$C,$C1455)="","",INDEX(GL!$C:$C,$C1455))))</f>
        <v/>
      </c>
      <c r="F1455" s="5" t="str">
        <f aca="false">IF(C1455=0,"",IF($A1455="Bank",IF(INDEX(Bank!$D:$D,$C1455)="","",INDEX(Bank!$D:$D,$C1455)),IF(INDEX(GL!$D:$D,$C1455)="","",INDEX(GL!$D:$D,$C1455))))</f>
        <v/>
      </c>
      <c r="G1455" s="19" t="str">
        <f aca="false">IF(C1455=0,"",IF($A1455="Bank",INDEX(Bank!$E:$E,$C1455),INDEX(GL!$E:$E,$C1455)))</f>
        <v/>
      </c>
      <c r="H1455" s="5" t="str">
        <f aca="false">IF(C1455=0,"",IF(A1455="GL",IF(G1455&gt;0,"Deposit in transit","Outstanding check / payment"),IF(G1455&gt;0,"Bank credit not in GL","Bank debit not in GL")))</f>
        <v/>
      </c>
      <c r="I1455" s="42" t="str">
        <f aca="false">IF(OR(C1455=0,CFG_PeriodEnd=""),"",CFG_PeriodEnd-D1455)</f>
        <v/>
      </c>
      <c r="J1455" s="5" t="str">
        <f aca="false">IF(C1455=0,"",IF($A1455="Bank",IF(INDEX(Bank!$G:$G,$C1455)="","",INDEX(Bank!$G:$G,$C1455)),IF(INDEX(GL!$G:$G,$C1455)="","",INDEX(GL!$G:$G,$C1455))))</f>
        <v/>
      </c>
      <c r="K1455" s="5" t="str">
        <f aca="false">IF(C1455=0,"",IF($A1455="Bank",IF(INDEX(Bank!$I:$I,$C1455)="","",INDEX(Bank!$I:$I,$C1455)),IF(INDEX(GL!$I:$I,$C1455)="","",INDEX(GL!$I:$I,$C1455))))</f>
        <v/>
      </c>
      <c r="L1455" s="5" t="str">
        <f aca="false">IF(B1455="","",IF(C1455=0,"NOT FOUND",IF(IF($A1455="Bank",INDEX(Bank!$F:$F,$C1455),INDEX(GL!$F:$F,$C1455))="Y","NOW RECONCILED: refresh","OK")))</f>
        <v/>
      </c>
    </row>
    <row r="1456" customFormat="false" ht="15" hidden="false" customHeight="false" outlineLevel="0" collapsed="false">
      <c r="A1456" s="41"/>
      <c r="B1456" s="41"/>
      <c r="C1456" s="5" t="n">
        <f aca="false">IF(B1456="",0,IF(A1456="Bank",IFERROR(MATCH(B1456,Bank!$A:$A,0),0),IFERROR(MATCH(B1456,GL!$A:$A,0),0)))</f>
        <v>0</v>
      </c>
      <c r="D1456" s="32" t="str">
        <f aca="false">IF(C1456=0,"",IF($A1456="Bank",INDEX(Bank!$B:$B,$C1456),INDEX(GL!$B:$B,$C1456)))</f>
        <v/>
      </c>
      <c r="E1456" s="5" t="str">
        <f aca="false">IF(C1456=0,"",IF($A1456="Bank",IF(INDEX(Bank!$C:$C,$C1456)="","",INDEX(Bank!$C:$C,$C1456)),IF(INDEX(GL!$C:$C,$C1456)="","",INDEX(GL!$C:$C,$C1456))))</f>
        <v/>
      </c>
      <c r="F1456" s="5" t="str">
        <f aca="false">IF(C1456=0,"",IF($A1456="Bank",IF(INDEX(Bank!$D:$D,$C1456)="","",INDEX(Bank!$D:$D,$C1456)),IF(INDEX(GL!$D:$D,$C1456)="","",INDEX(GL!$D:$D,$C1456))))</f>
        <v/>
      </c>
      <c r="G1456" s="19" t="str">
        <f aca="false">IF(C1456=0,"",IF($A1456="Bank",INDEX(Bank!$E:$E,$C1456),INDEX(GL!$E:$E,$C1456)))</f>
        <v/>
      </c>
      <c r="H1456" s="5" t="str">
        <f aca="false">IF(C1456=0,"",IF(A1456="GL",IF(G1456&gt;0,"Deposit in transit","Outstanding check / payment"),IF(G1456&gt;0,"Bank credit not in GL","Bank debit not in GL")))</f>
        <v/>
      </c>
      <c r="I1456" s="42" t="str">
        <f aca="false">IF(OR(C1456=0,CFG_PeriodEnd=""),"",CFG_PeriodEnd-D1456)</f>
        <v/>
      </c>
      <c r="J1456" s="5" t="str">
        <f aca="false">IF(C1456=0,"",IF($A1456="Bank",IF(INDEX(Bank!$G:$G,$C1456)="","",INDEX(Bank!$G:$G,$C1456)),IF(INDEX(GL!$G:$G,$C1456)="","",INDEX(GL!$G:$G,$C1456))))</f>
        <v/>
      </c>
      <c r="K1456" s="5" t="str">
        <f aca="false">IF(C1456=0,"",IF($A1456="Bank",IF(INDEX(Bank!$I:$I,$C1456)="","",INDEX(Bank!$I:$I,$C1456)),IF(INDEX(GL!$I:$I,$C1456)="","",INDEX(GL!$I:$I,$C1456))))</f>
        <v/>
      </c>
      <c r="L1456" s="5" t="str">
        <f aca="false">IF(B1456="","",IF(C1456=0,"NOT FOUND",IF(IF($A1456="Bank",INDEX(Bank!$F:$F,$C1456),INDEX(GL!$F:$F,$C1456))="Y","NOW RECONCILED: refresh","OK")))</f>
        <v/>
      </c>
    </row>
    <row r="1457" customFormat="false" ht="15" hidden="false" customHeight="false" outlineLevel="0" collapsed="false">
      <c r="A1457" s="41"/>
      <c r="B1457" s="41"/>
      <c r="C1457" s="5" t="n">
        <f aca="false">IF(B1457="",0,IF(A1457="Bank",IFERROR(MATCH(B1457,Bank!$A:$A,0),0),IFERROR(MATCH(B1457,GL!$A:$A,0),0)))</f>
        <v>0</v>
      </c>
      <c r="D1457" s="32" t="str">
        <f aca="false">IF(C1457=0,"",IF($A1457="Bank",INDEX(Bank!$B:$B,$C1457),INDEX(GL!$B:$B,$C1457)))</f>
        <v/>
      </c>
      <c r="E1457" s="5" t="str">
        <f aca="false">IF(C1457=0,"",IF($A1457="Bank",IF(INDEX(Bank!$C:$C,$C1457)="","",INDEX(Bank!$C:$C,$C1457)),IF(INDEX(GL!$C:$C,$C1457)="","",INDEX(GL!$C:$C,$C1457))))</f>
        <v/>
      </c>
      <c r="F1457" s="5" t="str">
        <f aca="false">IF(C1457=0,"",IF($A1457="Bank",IF(INDEX(Bank!$D:$D,$C1457)="","",INDEX(Bank!$D:$D,$C1457)),IF(INDEX(GL!$D:$D,$C1457)="","",INDEX(GL!$D:$D,$C1457))))</f>
        <v/>
      </c>
      <c r="G1457" s="19" t="str">
        <f aca="false">IF(C1457=0,"",IF($A1457="Bank",INDEX(Bank!$E:$E,$C1457),INDEX(GL!$E:$E,$C1457)))</f>
        <v/>
      </c>
      <c r="H1457" s="5" t="str">
        <f aca="false">IF(C1457=0,"",IF(A1457="GL",IF(G1457&gt;0,"Deposit in transit","Outstanding check / payment"),IF(G1457&gt;0,"Bank credit not in GL","Bank debit not in GL")))</f>
        <v/>
      </c>
      <c r="I1457" s="42" t="str">
        <f aca="false">IF(OR(C1457=0,CFG_PeriodEnd=""),"",CFG_PeriodEnd-D1457)</f>
        <v/>
      </c>
      <c r="J1457" s="5" t="str">
        <f aca="false">IF(C1457=0,"",IF($A1457="Bank",IF(INDEX(Bank!$G:$G,$C1457)="","",INDEX(Bank!$G:$G,$C1457)),IF(INDEX(GL!$G:$G,$C1457)="","",INDEX(GL!$G:$G,$C1457))))</f>
        <v/>
      </c>
      <c r="K1457" s="5" t="str">
        <f aca="false">IF(C1457=0,"",IF($A1457="Bank",IF(INDEX(Bank!$I:$I,$C1457)="","",INDEX(Bank!$I:$I,$C1457)),IF(INDEX(GL!$I:$I,$C1457)="","",INDEX(GL!$I:$I,$C1457))))</f>
        <v/>
      </c>
      <c r="L1457" s="5" t="str">
        <f aca="false">IF(B1457="","",IF(C1457=0,"NOT FOUND",IF(IF($A1457="Bank",INDEX(Bank!$F:$F,$C1457),INDEX(GL!$F:$F,$C1457))="Y","NOW RECONCILED: refresh","OK")))</f>
        <v/>
      </c>
    </row>
    <row r="1458" customFormat="false" ht="15" hidden="false" customHeight="false" outlineLevel="0" collapsed="false">
      <c r="A1458" s="41"/>
      <c r="B1458" s="41"/>
      <c r="C1458" s="5" t="n">
        <f aca="false">IF(B1458="",0,IF(A1458="Bank",IFERROR(MATCH(B1458,Bank!$A:$A,0),0),IFERROR(MATCH(B1458,GL!$A:$A,0),0)))</f>
        <v>0</v>
      </c>
      <c r="D1458" s="32" t="str">
        <f aca="false">IF(C1458=0,"",IF($A1458="Bank",INDEX(Bank!$B:$B,$C1458),INDEX(GL!$B:$B,$C1458)))</f>
        <v/>
      </c>
      <c r="E1458" s="5" t="str">
        <f aca="false">IF(C1458=0,"",IF($A1458="Bank",IF(INDEX(Bank!$C:$C,$C1458)="","",INDEX(Bank!$C:$C,$C1458)),IF(INDEX(GL!$C:$C,$C1458)="","",INDEX(GL!$C:$C,$C1458))))</f>
        <v/>
      </c>
      <c r="F1458" s="5" t="str">
        <f aca="false">IF(C1458=0,"",IF($A1458="Bank",IF(INDEX(Bank!$D:$D,$C1458)="","",INDEX(Bank!$D:$D,$C1458)),IF(INDEX(GL!$D:$D,$C1458)="","",INDEX(GL!$D:$D,$C1458))))</f>
        <v/>
      </c>
      <c r="G1458" s="19" t="str">
        <f aca="false">IF(C1458=0,"",IF($A1458="Bank",INDEX(Bank!$E:$E,$C1458),INDEX(GL!$E:$E,$C1458)))</f>
        <v/>
      </c>
      <c r="H1458" s="5" t="str">
        <f aca="false">IF(C1458=0,"",IF(A1458="GL",IF(G1458&gt;0,"Deposit in transit","Outstanding check / payment"),IF(G1458&gt;0,"Bank credit not in GL","Bank debit not in GL")))</f>
        <v/>
      </c>
      <c r="I1458" s="42" t="str">
        <f aca="false">IF(OR(C1458=0,CFG_PeriodEnd=""),"",CFG_PeriodEnd-D1458)</f>
        <v/>
      </c>
      <c r="J1458" s="5" t="str">
        <f aca="false">IF(C1458=0,"",IF($A1458="Bank",IF(INDEX(Bank!$G:$G,$C1458)="","",INDEX(Bank!$G:$G,$C1458)),IF(INDEX(GL!$G:$G,$C1458)="","",INDEX(GL!$G:$G,$C1458))))</f>
        <v/>
      </c>
      <c r="K1458" s="5" t="str">
        <f aca="false">IF(C1458=0,"",IF($A1458="Bank",IF(INDEX(Bank!$I:$I,$C1458)="","",INDEX(Bank!$I:$I,$C1458)),IF(INDEX(GL!$I:$I,$C1458)="","",INDEX(GL!$I:$I,$C1458))))</f>
        <v/>
      </c>
      <c r="L1458" s="5" t="str">
        <f aca="false">IF(B1458="","",IF(C1458=0,"NOT FOUND",IF(IF($A1458="Bank",INDEX(Bank!$F:$F,$C1458),INDEX(GL!$F:$F,$C1458))="Y","NOW RECONCILED: refresh","OK")))</f>
        <v/>
      </c>
    </row>
    <row r="1459" customFormat="false" ht="15" hidden="false" customHeight="false" outlineLevel="0" collapsed="false">
      <c r="A1459" s="41"/>
      <c r="B1459" s="41"/>
      <c r="C1459" s="5" t="n">
        <f aca="false">IF(B1459="",0,IF(A1459="Bank",IFERROR(MATCH(B1459,Bank!$A:$A,0),0),IFERROR(MATCH(B1459,GL!$A:$A,0),0)))</f>
        <v>0</v>
      </c>
      <c r="D1459" s="32" t="str">
        <f aca="false">IF(C1459=0,"",IF($A1459="Bank",INDEX(Bank!$B:$B,$C1459),INDEX(GL!$B:$B,$C1459)))</f>
        <v/>
      </c>
      <c r="E1459" s="5" t="str">
        <f aca="false">IF(C1459=0,"",IF($A1459="Bank",IF(INDEX(Bank!$C:$C,$C1459)="","",INDEX(Bank!$C:$C,$C1459)),IF(INDEX(GL!$C:$C,$C1459)="","",INDEX(GL!$C:$C,$C1459))))</f>
        <v/>
      </c>
      <c r="F1459" s="5" t="str">
        <f aca="false">IF(C1459=0,"",IF($A1459="Bank",IF(INDEX(Bank!$D:$D,$C1459)="","",INDEX(Bank!$D:$D,$C1459)),IF(INDEX(GL!$D:$D,$C1459)="","",INDEX(GL!$D:$D,$C1459))))</f>
        <v/>
      </c>
      <c r="G1459" s="19" t="str">
        <f aca="false">IF(C1459=0,"",IF($A1459="Bank",INDEX(Bank!$E:$E,$C1459),INDEX(GL!$E:$E,$C1459)))</f>
        <v/>
      </c>
      <c r="H1459" s="5" t="str">
        <f aca="false">IF(C1459=0,"",IF(A1459="GL",IF(G1459&gt;0,"Deposit in transit","Outstanding check / payment"),IF(G1459&gt;0,"Bank credit not in GL","Bank debit not in GL")))</f>
        <v/>
      </c>
      <c r="I1459" s="42" t="str">
        <f aca="false">IF(OR(C1459=0,CFG_PeriodEnd=""),"",CFG_PeriodEnd-D1459)</f>
        <v/>
      </c>
      <c r="J1459" s="5" t="str">
        <f aca="false">IF(C1459=0,"",IF($A1459="Bank",IF(INDEX(Bank!$G:$G,$C1459)="","",INDEX(Bank!$G:$G,$C1459)),IF(INDEX(GL!$G:$G,$C1459)="","",INDEX(GL!$G:$G,$C1459))))</f>
        <v/>
      </c>
      <c r="K1459" s="5" t="str">
        <f aca="false">IF(C1459=0,"",IF($A1459="Bank",IF(INDEX(Bank!$I:$I,$C1459)="","",INDEX(Bank!$I:$I,$C1459)),IF(INDEX(GL!$I:$I,$C1459)="","",INDEX(GL!$I:$I,$C1459))))</f>
        <v/>
      </c>
      <c r="L1459" s="5" t="str">
        <f aca="false">IF(B1459="","",IF(C1459=0,"NOT FOUND",IF(IF($A1459="Bank",INDEX(Bank!$F:$F,$C1459),INDEX(GL!$F:$F,$C1459))="Y","NOW RECONCILED: refresh","OK")))</f>
        <v/>
      </c>
    </row>
    <row r="1460" customFormat="false" ht="15" hidden="false" customHeight="false" outlineLevel="0" collapsed="false">
      <c r="A1460" s="41"/>
      <c r="B1460" s="41"/>
      <c r="C1460" s="5" t="n">
        <f aca="false">IF(B1460="",0,IF(A1460="Bank",IFERROR(MATCH(B1460,Bank!$A:$A,0),0),IFERROR(MATCH(B1460,GL!$A:$A,0),0)))</f>
        <v>0</v>
      </c>
      <c r="D1460" s="32" t="str">
        <f aca="false">IF(C1460=0,"",IF($A1460="Bank",INDEX(Bank!$B:$B,$C1460),INDEX(GL!$B:$B,$C1460)))</f>
        <v/>
      </c>
      <c r="E1460" s="5" t="str">
        <f aca="false">IF(C1460=0,"",IF($A1460="Bank",IF(INDEX(Bank!$C:$C,$C1460)="","",INDEX(Bank!$C:$C,$C1460)),IF(INDEX(GL!$C:$C,$C1460)="","",INDEX(GL!$C:$C,$C1460))))</f>
        <v/>
      </c>
      <c r="F1460" s="5" t="str">
        <f aca="false">IF(C1460=0,"",IF($A1460="Bank",IF(INDEX(Bank!$D:$D,$C1460)="","",INDEX(Bank!$D:$D,$C1460)),IF(INDEX(GL!$D:$D,$C1460)="","",INDEX(GL!$D:$D,$C1460))))</f>
        <v/>
      </c>
      <c r="G1460" s="19" t="str">
        <f aca="false">IF(C1460=0,"",IF($A1460="Bank",INDEX(Bank!$E:$E,$C1460),INDEX(GL!$E:$E,$C1460)))</f>
        <v/>
      </c>
      <c r="H1460" s="5" t="str">
        <f aca="false">IF(C1460=0,"",IF(A1460="GL",IF(G1460&gt;0,"Deposit in transit","Outstanding check / payment"),IF(G1460&gt;0,"Bank credit not in GL","Bank debit not in GL")))</f>
        <v/>
      </c>
      <c r="I1460" s="42" t="str">
        <f aca="false">IF(OR(C1460=0,CFG_PeriodEnd=""),"",CFG_PeriodEnd-D1460)</f>
        <v/>
      </c>
      <c r="J1460" s="5" t="str">
        <f aca="false">IF(C1460=0,"",IF($A1460="Bank",IF(INDEX(Bank!$G:$G,$C1460)="","",INDEX(Bank!$G:$G,$C1460)),IF(INDEX(GL!$G:$G,$C1460)="","",INDEX(GL!$G:$G,$C1460))))</f>
        <v/>
      </c>
      <c r="K1460" s="5" t="str">
        <f aca="false">IF(C1460=0,"",IF($A1460="Bank",IF(INDEX(Bank!$I:$I,$C1460)="","",INDEX(Bank!$I:$I,$C1460)),IF(INDEX(GL!$I:$I,$C1460)="","",INDEX(GL!$I:$I,$C1460))))</f>
        <v/>
      </c>
      <c r="L1460" s="5" t="str">
        <f aca="false">IF(B1460="","",IF(C1460=0,"NOT FOUND",IF(IF($A1460="Bank",INDEX(Bank!$F:$F,$C1460),INDEX(GL!$F:$F,$C1460))="Y","NOW RECONCILED: refresh","OK")))</f>
        <v/>
      </c>
    </row>
    <row r="1461" customFormat="false" ht="15" hidden="false" customHeight="false" outlineLevel="0" collapsed="false">
      <c r="A1461" s="41"/>
      <c r="B1461" s="41"/>
      <c r="C1461" s="5" t="n">
        <f aca="false">IF(B1461="",0,IF(A1461="Bank",IFERROR(MATCH(B1461,Bank!$A:$A,0),0),IFERROR(MATCH(B1461,GL!$A:$A,0),0)))</f>
        <v>0</v>
      </c>
      <c r="D1461" s="32" t="str">
        <f aca="false">IF(C1461=0,"",IF($A1461="Bank",INDEX(Bank!$B:$B,$C1461),INDEX(GL!$B:$B,$C1461)))</f>
        <v/>
      </c>
      <c r="E1461" s="5" t="str">
        <f aca="false">IF(C1461=0,"",IF($A1461="Bank",IF(INDEX(Bank!$C:$C,$C1461)="","",INDEX(Bank!$C:$C,$C1461)),IF(INDEX(GL!$C:$C,$C1461)="","",INDEX(GL!$C:$C,$C1461))))</f>
        <v/>
      </c>
      <c r="F1461" s="5" t="str">
        <f aca="false">IF(C1461=0,"",IF($A1461="Bank",IF(INDEX(Bank!$D:$D,$C1461)="","",INDEX(Bank!$D:$D,$C1461)),IF(INDEX(GL!$D:$D,$C1461)="","",INDEX(GL!$D:$D,$C1461))))</f>
        <v/>
      </c>
      <c r="G1461" s="19" t="str">
        <f aca="false">IF(C1461=0,"",IF($A1461="Bank",INDEX(Bank!$E:$E,$C1461),INDEX(GL!$E:$E,$C1461)))</f>
        <v/>
      </c>
      <c r="H1461" s="5" t="str">
        <f aca="false">IF(C1461=0,"",IF(A1461="GL",IF(G1461&gt;0,"Deposit in transit","Outstanding check / payment"),IF(G1461&gt;0,"Bank credit not in GL","Bank debit not in GL")))</f>
        <v/>
      </c>
      <c r="I1461" s="42" t="str">
        <f aca="false">IF(OR(C1461=0,CFG_PeriodEnd=""),"",CFG_PeriodEnd-D1461)</f>
        <v/>
      </c>
      <c r="J1461" s="5" t="str">
        <f aca="false">IF(C1461=0,"",IF($A1461="Bank",IF(INDEX(Bank!$G:$G,$C1461)="","",INDEX(Bank!$G:$G,$C1461)),IF(INDEX(GL!$G:$G,$C1461)="","",INDEX(GL!$G:$G,$C1461))))</f>
        <v/>
      </c>
      <c r="K1461" s="5" t="str">
        <f aca="false">IF(C1461=0,"",IF($A1461="Bank",IF(INDEX(Bank!$I:$I,$C1461)="","",INDEX(Bank!$I:$I,$C1461)),IF(INDEX(GL!$I:$I,$C1461)="","",INDEX(GL!$I:$I,$C1461))))</f>
        <v/>
      </c>
      <c r="L1461" s="5" t="str">
        <f aca="false">IF(B1461="","",IF(C1461=0,"NOT FOUND",IF(IF($A1461="Bank",INDEX(Bank!$F:$F,$C1461),INDEX(GL!$F:$F,$C1461))="Y","NOW RECONCILED: refresh","OK")))</f>
        <v/>
      </c>
    </row>
    <row r="1462" customFormat="false" ht="15" hidden="false" customHeight="false" outlineLevel="0" collapsed="false">
      <c r="A1462" s="41"/>
      <c r="B1462" s="41"/>
      <c r="C1462" s="5" t="n">
        <f aca="false">IF(B1462="",0,IF(A1462="Bank",IFERROR(MATCH(B1462,Bank!$A:$A,0),0),IFERROR(MATCH(B1462,GL!$A:$A,0),0)))</f>
        <v>0</v>
      </c>
      <c r="D1462" s="32" t="str">
        <f aca="false">IF(C1462=0,"",IF($A1462="Bank",INDEX(Bank!$B:$B,$C1462),INDEX(GL!$B:$B,$C1462)))</f>
        <v/>
      </c>
      <c r="E1462" s="5" t="str">
        <f aca="false">IF(C1462=0,"",IF($A1462="Bank",IF(INDEX(Bank!$C:$C,$C1462)="","",INDEX(Bank!$C:$C,$C1462)),IF(INDEX(GL!$C:$C,$C1462)="","",INDEX(GL!$C:$C,$C1462))))</f>
        <v/>
      </c>
      <c r="F1462" s="5" t="str">
        <f aca="false">IF(C1462=0,"",IF($A1462="Bank",IF(INDEX(Bank!$D:$D,$C1462)="","",INDEX(Bank!$D:$D,$C1462)),IF(INDEX(GL!$D:$D,$C1462)="","",INDEX(GL!$D:$D,$C1462))))</f>
        <v/>
      </c>
      <c r="G1462" s="19" t="str">
        <f aca="false">IF(C1462=0,"",IF($A1462="Bank",INDEX(Bank!$E:$E,$C1462),INDEX(GL!$E:$E,$C1462)))</f>
        <v/>
      </c>
      <c r="H1462" s="5" t="str">
        <f aca="false">IF(C1462=0,"",IF(A1462="GL",IF(G1462&gt;0,"Deposit in transit","Outstanding check / payment"),IF(G1462&gt;0,"Bank credit not in GL","Bank debit not in GL")))</f>
        <v/>
      </c>
      <c r="I1462" s="42" t="str">
        <f aca="false">IF(OR(C1462=0,CFG_PeriodEnd=""),"",CFG_PeriodEnd-D1462)</f>
        <v/>
      </c>
      <c r="J1462" s="5" t="str">
        <f aca="false">IF(C1462=0,"",IF($A1462="Bank",IF(INDEX(Bank!$G:$G,$C1462)="","",INDEX(Bank!$G:$G,$C1462)),IF(INDEX(GL!$G:$G,$C1462)="","",INDEX(GL!$G:$G,$C1462))))</f>
        <v/>
      </c>
      <c r="K1462" s="5" t="str">
        <f aca="false">IF(C1462=0,"",IF($A1462="Bank",IF(INDEX(Bank!$I:$I,$C1462)="","",INDEX(Bank!$I:$I,$C1462)),IF(INDEX(GL!$I:$I,$C1462)="","",INDEX(GL!$I:$I,$C1462))))</f>
        <v/>
      </c>
      <c r="L1462" s="5" t="str">
        <f aca="false">IF(B1462="","",IF(C1462=0,"NOT FOUND",IF(IF($A1462="Bank",INDEX(Bank!$F:$F,$C1462),INDEX(GL!$F:$F,$C1462))="Y","NOW RECONCILED: refresh","OK")))</f>
        <v/>
      </c>
    </row>
    <row r="1463" customFormat="false" ht="15" hidden="false" customHeight="false" outlineLevel="0" collapsed="false">
      <c r="A1463" s="41"/>
      <c r="B1463" s="41"/>
      <c r="C1463" s="5" t="n">
        <f aca="false">IF(B1463="",0,IF(A1463="Bank",IFERROR(MATCH(B1463,Bank!$A:$A,0),0),IFERROR(MATCH(B1463,GL!$A:$A,0),0)))</f>
        <v>0</v>
      </c>
      <c r="D1463" s="32" t="str">
        <f aca="false">IF(C1463=0,"",IF($A1463="Bank",INDEX(Bank!$B:$B,$C1463),INDEX(GL!$B:$B,$C1463)))</f>
        <v/>
      </c>
      <c r="E1463" s="5" t="str">
        <f aca="false">IF(C1463=0,"",IF($A1463="Bank",IF(INDEX(Bank!$C:$C,$C1463)="","",INDEX(Bank!$C:$C,$C1463)),IF(INDEX(GL!$C:$C,$C1463)="","",INDEX(GL!$C:$C,$C1463))))</f>
        <v/>
      </c>
      <c r="F1463" s="5" t="str">
        <f aca="false">IF(C1463=0,"",IF($A1463="Bank",IF(INDEX(Bank!$D:$D,$C1463)="","",INDEX(Bank!$D:$D,$C1463)),IF(INDEX(GL!$D:$D,$C1463)="","",INDEX(GL!$D:$D,$C1463))))</f>
        <v/>
      </c>
      <c r="G1463" s="19" t="str">
        <f aca="false">IF(C1463=0,"",IF($A1463="Bank",INDEX(Bank!$E:$E,$C1463),INDEX(GL!$E:$E,$C1463)))</f>
        <v/>
      </c>
      <c r="H1463" s="5" t="str">
        <f aca="false">IF(C1463=0,"",IF(A1463="GL",IF(G1463&gt;0,"Deposit in transit","Outstanding check / payment"),IF(G1463&gt;0,"Bank credit not in GL","Bank debit not in GL")))</f>
        <v/>
      </c>
      <c r="I1463" s="42" t="str">
        <f aca="false">IF(OR(C1463=0,CFG_PeriodEnd=""),"",CFG_PeriodEnd-D1463)</f>
        <v/>
      </c>
      <c r="J1463" s="5" t="str">
        <f aca="false">IF(C1463=0,"",IF($A1463="Bank",IF(INDEX(Bank!$G:$G,$C1463)="","",INDEX(Bank!$G:$G,$C1463)),IF(INDEX(GL!$G:$G,$C1463)="","",INDEX(GL!$G:$G,$C1463))))</f>
        <v/>
      </c>
      <c r="K1463" s="5" t="str">
        <f aca="false">IF(C1463=0,"",IF($A1463="Bank",IF(INDEX(Bank!$I:$I,$C1463)="","",INDEX(Bank!$I:$I,$C1463)),IF(INDEX(GL!$I:$I,$C1463)="","",INDEX(GL!$I:$I,$C1463))))</f>
        <v/>
      </c>
      <c r="L1463" s="5" t="str">
        <f aca="false">IF(B1463="","",IF(C1463=0,"NOT FOUND",IF(IF($A1463="Bank",INDEX(Bank!$F:$F,$C1463),INDEX(GL!$F:$F,$C1463))="Y","NOW RECONCILED: refresh","OK")))</f>
        <v/>
      </c>
    </row>
    <row r="1464" customFormat="false" ht="15" hidden="false" customHeight="false" outlineLevel="0" collapsed="false">
      <c r="A1464" s="41"/>
      <c r="B1464" s="41"/>
      <c r="C1464" s="5" t="n">
        <f aca="false">IF(B1464="",0,IF(A1464="Bank",IFERROR(MATCH(B1464,Bank!$A:$A,0),0),IFERROR(MATCH(B1464,GL!$A:$A,0),0)))</f>
        <v>0</v>
      </c>
      <c r="D1464" s="32" t="str">
        <f aca="false">IF(C1464=0,"",IF($A1464="Bank",INDEX(Bank!$B:$B,$C1464),INDEX(GL!$B:$B,$C1464)))</f>
        <v/>
      </c>
      <c r="E1464" s="5" t="str">
        <f aca="false">IF(C1464=0,"",IF($A1464="Bank",IF(INDEX(Bank!$C:$C,$C1464)="","",INDEX(Bank!$C:$C,$C1464)),IF(INDEX(GL!$C:$C,$C1464)="","",INDEX(GL!$C:$C,$C1464))))</f>
        <v/>
      </c>
      <c r="F1464" s="5" t="str">
        <f aca="false">IF(C1464=0,"",IF($A1464="Bank",IF(INDEX(Bank!$D:$D,$C1464)="","",INDEX(Bank!$D:$D,$C1464)),IF(INDEX(GL!$D:$D,$C1464)="","",INDEX(GL!$D:$D,$C1464))))</f>
        <v/>
      </c>
      <c r="G1464" s="19" t="str">
        <f aca="false">IF(C1464=0,"",IF($A1464="Bank",INDEX(Bank!$E:$E,$C1464),INDEX(GL!$E:$E,$C1464)))</f>
        <v/>
      </c>
      <c r="H1464" s="5" t="str">
        <f aca="false">IF(C1464=0,"",IF(A1464="GL",IF(G1464&gt;0,"Deposit in transit","Outstanding check / payment"),IF(G1464&gt;0,"Bank credit not in GL","Bank debit not in GL")))</f>
        <v/>
      </c>
      <c r="I1464" s="42" t="str">
        <f aca="false">IF(OR(C1464=0,CFG_PeriodEnd=""),"",CFG_PeriodEnd-D1464)</f>
        <v/>
      </c>
      <c r="J1464" s="5" t="str">
        <f aca="false">IF(C1464=0,"",IF($A1464="Bank",IF(INDEX(Bank!$G:$G,$C1464)="","",INDEX(Bank!$G:$G,$C1464)),IF(INDEX(GL!$G:$G,$C1464)="","",INDEX(GL!$G:$G,$C1464))))</f>
        <v/>
      </c>
      <c r="K1464" s="5" t="str">
        <f aca="false">IF(C1464=0,"",IF($A1464="Bank",IF(INDEX(Bank!$I:$I,$C1464)="","",INDEX(Bank!$I:$I,$C1464)),IF(INDEX(GL!$I:$I,$C1464)="","",INDEX(GL!$I:$I,$C1464))))</f>
        <v/>
      </c>
      <c r="L1464" s="5" t="str">
        <f aca="false">IF(B1464="","",IF(C1464=0,"NOT FOUND",IF(IF($A1464="Bank",INDEX(Bank!$F:$F,$C1464),INDEX(GL!$F:$F,$C1464))="Y","NOW RECONCILED: refresh","OK")))</f>
        <v/>
      </c>
    </row>
    <row r="1465" customFormat="false" ht="15" hidden="false" customHeight="false" outlineLevel="0" collapsed="false">
      <c r="A1465" s="41"/>
      <c r="B1465" s="41"/>
      <c r="C1465" s="5" t="n">
        <f aca="false">IF(B1465="",0,IF(A1465="Bank",IFERROR(MATCH(B1465,Bank!$A:$A,0),0),IFERROR(MATCH(B1465,GL!$A:$A,0),0)))</f>
        <v>0</v>
      </c>
      <c r="D1465" s="32" t="str">
        <f aca="false">IF(C1465=0,"",IF($A1465="Bank",INDEX(Bank!$B:$B,$C1465),INDEX(GL!$B:$B,$C1465)))</f>
        <v/>
      </c>
      <c r="E1465" s="5" t="str">
        <f aca="false">IF(C1465=0,"",IF($A1465="Bank",IF(INDEX(Bank!$C:$C,$C1465)="","",INDEX(Bank!$C:$C,$C1465)),IF(INDEX(GL!$C:$C,$C1465)="","",INDEX(GL!$C:$C,$C1465))))</f>
        <v/>
      </c>
      <c r="F1465" s="5" t="str">
        <f aca="false">IF(C1465=0,"",IF($A1465="Bank",IF(INDEX(Bank!$D:$D,$C1465)="","",INDEX(Bank!$D:$D,$C1465)),IF(INDEX(GL!$D:$D,$C1465)="","",INDEX(GL!$D:$D,$C1465))))</f>
        <v/>
      </c>
      <c r="G1465" s="19" t="str">
        <f aca="false">IF(C1465=0,"",IF($A1465="Bank",INDEX(Bank!$E:$E,$C1465),INDEX(GL!$E:$E,$C1465)))</f>
        <v/>
      </c>
      <c r="H1465" s="5" t="str">
        <f aca="false">IF(C1465=0,"",IF(A1465="GL",IF(G1465&gt;0,"Deposit in transit","Outstanding check / payment"),IF(G1465&gt;0,"Bank credit not in GL","Bank debit not in GL")))</f>
        <v/>
      </c>
      <c r="I1465" s="42" t="str">
        <f aca="false">IF(OR(C1465=0,CFG_PeriodEnd=""),"",CFG_PeriodEnd-D1465)</f>
        <v/>
      </c>
      <c r="J1465" s="5" t="str">
        <f aca="false">IF(C1465=0,"",IF($A1465="Bank",IF(INDEX(Bank!$G:$G,$C1465)="","",INDEX(Bank!$G:$G,$C1465)),IF(INDEX(GL!$G:$G,$C1465)="","",INDEX(GL!$G:$G,$C1465))))</f>
        <v/>
      </c>
      <c r="K1465" s="5" t="str">
        <f aca="false">IF(C1465=0,"",IF($A1465="Bank",IF(INDEX(Bank!$I:$I,$C1465)="","",INDEX(Bank!$I:$I,$C1465)),IF(INDEX(GL!$I:$I,$C1465)="","",INDEX(GL!$I:$I,$C1465))))</f>
        <v/>
      </c>
      <c r="L1465" s="5" t="str">
        <f aca="false">IF(B1465="","",IF(C1465=0,"NOT FOUND",IF(IF($A1465="Bank",INDEX(Bank!$F:$F,$C1465),INDEX(GL!$F:$F,$C1465))="Y","NOW RECONCILED: refresh","OK")))</f>
        <v/>
      </c>
    </row>
    <row r="1466" customFormat="false" ht="15" hidden="false" customHeight="false" outlineLevel="0" collapsed="false">
      <c r="A1466" s="41"/>
      <c r="B1466" s="41"/>
      <c r="C1466" s="5" t="n">
        <f aca="false">IF(B1466="",0,IF(A1466="Bank",IFERROR(MATCH(B1466,Bank!$A:$A,0),0),IFERROR(MATCH(B1466,GL!$A:$A,0),0)))</f>
        <v>0</v>
      </c>
      <c r="D1466" s="32" t="str">
        <f aca="false">IF(C1466=0,"",IF($A1466="Bank",INDEX(Bank!$B:$B,$C1466),INDEX(GL!$B:$B,$C1466)))</f>
        <v/>
      </c>
      <c r="E1466" s="5" t="str">
        <f aca="false">IF(C1466=0,"",IF($A1466="Bank",IF(INDEX(Bank!$C:$C,$C1466)="","",INDEX(Bank!$C:$C,$C1466)),IF(INDEX(GL!$C:$C,$C1466)="","",INDEX(GL!$C:$C,$C1466))))</f>
        <v/>
      </c>
      <c r="F1466" s="5" t="str">
        <f aca="false">IF(C1466=0,"",IF($A1466="Bank",IF(INDEX(Bank!$D:$D,$C1466)="","",INDEX(Bank!$D:$D,$C1466)),IF(INDEX(GL!$D:$D,$C1466)="","",INDEX(GL!$D:$D,$C1466))))</f>
        <v/>
      </c>
      <c r="G1466" s="19" t="str">
        <f aca="false">IF(C1466=0,"",IF($A1466="Bank",INDEX(Bank!$E:$E,$C1466),INDEX(GL!$E:$E,$C1466)))</f>
        <v/>
      </c>
      <c r="H1466" s="5" t="str">
        <f aca="false">IF(C1466=0,"",IF(A1466="GL",IF(G1466&gt;0,"Deposit in transit","Outstanding check / payment"),IF(G1466&gt;0,"Bank credit not in GL","Bank debit not in GL")))</f>
        <v/>
      </c>
      <c r="I1466" s="42" t="str">
        <f aca="false">IF(OR(C1466=0,CFG_PeriodEnd=""),"",CFG_PeriodEnd-D1466)</f>
        <v/>
      </c>
      <c r="J1466" s="5" t="str">
        <f aca="false">IF(C1466=0,"",IF($A1466="Bank",IF(INDEX(Bank!$G:$G,$C1466)="","",INDEX(Bank!$G:$G,$C1466)),IF(INDEX(GL!$G:$G,$C1466)="","",INDEX(GL!$G:$G,$C1466))))</f>
        <v/>
      </c>
      <c r="K1466" s="5" t="str">
        <f aca="false">IF(C1466=0,"",IF($A1466="Bank",IF(INDEX(Bank!$I:$I,$C1466)="","",INDEX(Bank!$I:$I,$C1466)),IF(INDEX(GL!$I:$I,$C1466)="","",INDEX(GL!$I:$I,$C1466))))</f>
        <v/>
      </c>
      <c r="L1466" s="5" t="str">
        <f aca="false">IF(B1466="","",IF(C1466=0,"NOT FOUND",IF(IF($A1466="Bank",INDEX(Bank!$F:$F,$C1466),INDEX(GL!$F:$F,$C1466))="Y","NOW RECONCILED: refresh","OK")))</f>
        <v/>
      </c>
    </row>
    <row r="1467" customFormat="false" ht="15" hidden="false" customHeight="false" outlineLevel="0" collapsed="false">
      <c r="A1467" s="41"/>
      <c r="B1467" s="41"/>
      <c r="C1467" s="5" t="n">
        <f aca="false">IF(B1467="",0,IF(A1467="Bank",IFERROR(MATCH(B1467,Bank!$A:$A,0),0),IFERROR(MATCH(B1467,GL!$A:$A,0),0)))</f>
        <v>0</v>
      </c>
      <c r="D1467" s="32" t="str">
        <f aca="false">IF(C1467=0,"",IF($A1467="Bank",INDEX(Bank!$B:$B,$C1467),INDEX(GL!$B:$B,$C1467)))</f>
        <v/>
      </c>
      <c r="E1467" s="5" t="str">
        <f aca="false">IF(C1467=0,"",IF($A1467="Bank",IF(INDEX(Bank!$C:$C,$C1467)="","",INDEX(Bank!$C:$C,$C1467)),IF(INDEX(GL!$C:$C,$C1467)="","",INDEX(GL!$C:$C,$C1467))))</f>
        <v/>
      </c>
      <c r="F1467" s="5" t="str">
        <f aca="false">IF(C1467=0,"",IF($A1467="Bank",IF(INDEX(Bank!$D:$D,$C1467)="","",INDEX(Bank!$D:$D,$C1467)),IF(INDEX(GL!$D:$D,$C1467)="","",INDEX(GL!$D:$D,$C1467))))</f>
        <v/>
      </c>
      <c r="G1467" s="19" t="str">
        <f aca="false">IF(C1467=0,"",IF($A1467="Bank",INDEX(Bank!$E:$E,$C1467),INDEX(GL!$E:$E,$C1467)))</f>
        <v/>
      </c>
      <c r="H1467" s="5" t="str">
        <f aca="false">IF(C1467=0,"",IF(A1467="GL",IF(G1467&gt;0,"Deposit in transit","Outstanding check / payment"),IF(G1467&gt;0,"Bank credit not in GL","Bank debit not in GL")))</f>
        <v/>
      </c>
      <c r="I1467" s="42" t="str">
        <f aca="false">IF(OR(C1467=0,CFG_PeriodEnd=""),"",CFG_PeriodEnd-D1467)</f>
        <v/>
      </c>
      <c r="J1467" s="5" t="str">
        <f aca="false">IF(C1467=0,"",IF($A1467="Bank",IF(INDEX(Bank!$G:$G,$C1467)="","",INDEX(Bank!$G:$G,$C1467)),IF(INDEX(GL!$G:$G,$C1467)="","",INDEX(GL!$G:$G,$C1467))))</f>
        <v/>
      </c>
      <c r="K1467" s="5" t="str">
        <f aca="false">IF(C1467=0,"",IF($A1467="Bank",IF(INDEX(Bank!$I:$I,$C1467)="","",INDEX(Bank!$I:$I,$C1467)),IF(INDEX(GL!$I:$I,$C1467)="","",INDEX(GL!$I:$I,$C1467))))</f>
        <v/>
      </c>
      <c r="L1467" s="5" t="str">
        <f aca="false">IF(B1467="","",IF(C1467=0,"NOT FOUND",IF(IF($A1467="Bank",INDEX(Bank!$F:$F,$C1467),INDEX(GL!$F:$F,$C1467))="Y","NOW RECONCILED: refresh","OK")))</f>
        <v/>
      </c>
    </row>
    <row r="1468" customFormat="false" ht="15" hidden="false" customHeight="false" outlineLevel="0" collapsed="false">
      <c r="A1468" s="41"/>
      <c r="B1468" s="41"/>
      <c r="C1468" s="5" t="n">
        <f aca="false">IF(B1468="",0,IF(A1468="Bank",IFERROR(MATCH(B1468,Bank!$A:$A,0),0),IFERROR(MATCH(B1468,GL!$A:$A,0),0)))</f>
        <v>0</v>
      </c>
      <c r="D1468" s="32" t="str">
        <f aca="false">IF(C1468=0,"",IF($A1468="Bank",INDEX(Bank!$B:$B,$C1468),INDEX(GL!$B:$B,$C1468)))</f>
        <v/>
      </c>
      <c r="E1468" s="5" t="str">
        <f aca="false">IF(C1468=0,"",IF($A1468="Bank",IF(INDEX(Bank!$C:$C,$C1468)="","",INDEX(Bank!$C:$C,$C1468)),IF(INDEX(GL!$C:$C,$C1468)="","",INDEX(GL!$C:$C,$C1468))))</f>
        <v/>
      </c>
      <c r="F1468" s="5" t="str">
        <f aca="false">IF(C1468=0,"",IF($A1468="Bank",IF(INDEX(Bank!$D:$D,$C1468)="","",INDEX(Bank!$D:$D,$C1468)),IF(INDEX(GL!$D:$D,$C1468)="","",INDEX(GL!$D:$D,$C1468))))</f>
        <v/>
      </c>
      <c r="G1468" s="19" t="str">
        <f aca="false">IF(C1468=0,"",IF($A1468="Bank",INDEX(Bank!$E:$E,$C1468),INDEX(GL!$E:$E,$C1468)))</f>
        <v/>
      </c>
      <c r="H1468" s="5" t="str">
        <f aca="false">IF(C1468=0,"",IF(A1468="GL",IF(G1468&gt;0,"Deposit in transit","Outstanding check / payment"),IF(G1468&gt;0,"Bank credit not in GL","Bank debit not in GL")))</f>
        <v/>
      </c>
      <c r="I1468" s="42" t="str">
        <f aca="false">IF(OR(C1468=0,CFG_PeriodEnd=""),"",CFG_PeriodEnd-D1468)</f>
        <v/>
      </c>
      <c r="J1468" s="5" t="str">
        <f aca="false">IF(C1468=0,"",IF($A1468="Bank",IF(INDEX(Bank!$G:$G,$C1468)="","",INDEX(Bank!$G:$G,$C1468)),IF(INDEX(GL!$G:$G,$C1468)="","",INDEX(GL!$G:$G,$C1468))))</f>
        <v/>
      </c>
      <c r="K1468" s="5" t="str">
        <f aca="false">IF(C1468=0,"",IF($A1468="Bank",IF(INDEX(Bank!$I:$I,$C1468)="","",INDEX(Bank!$I:$I,$C1468)),IF(INDEX(GL!$I:$I,$C1468)="","",INDEX(GL!$I:$I,$C1468))))</f>
        <v/>
      </c>
      <c r="L1468" s="5" t="str">
        <f aca="false">IF(B1468="","",IF(C1468=0,"NOT FOUND",IF(IF($A1468="Bank",INDEX(Bank!$F:$F,$C1468),INDEX(GL!$F:$F,$C1468))="Y","NOW RECONCILED: refresh","OK")))</f>
        <v/>
      </c>
    </row>
    <row r="1469" customFormat="false" ht="15" hidden="false" customHeight="false" outlineLevel="0" collapsed="false">
      <c r="A1469" s="41"/>
      <c r="B1469" s="41"/>
      <c r="C1469" s="5" t="n">
        <f aca="false">IF(B1469="",0,IF(A1469="Bank",IFERROR(MATCH(B1469,Bank!$A:$A,0),0),IFERROR(MATCH(B1469,GL!$A:$A,0),0)))</f>
        <v>0</v>
      </c>
      <c r="D1469" s="32" t="str">
        <f aca="false">IF(C1469=0,"",IF($A1469="Bank",INDEX(Bank!$B:$B,$C1469),INDEX(GL!$B:$B,$C1469)))</f>
        <v/>
      </c>
      <c r="E1469" s="5" t="str">
        <f aca="false">IF(C1469=0,"",IF($A1469="Bank",IF(INDEX(Bank!$C:$C,$C1469)="","",INDEX(Bank!$C:$C,$C1469)),IF(INDEX(GL!$C:$C,$C1469)="","",INDEX(GL!$C:$C,$C1469))))</f>
        <v/>
      </c>
      <c r="F1469" s="5" t="str">
        <f aca="false">IF(C1469=0,"",IF($A1469="Bank",IF(INDEX(Bank!$D:$D,$C1469)="","",INDEX(Bank!$D:$D,$C1469)),IF(INDEX(GL!$D:$D,$C1469)="","",INDEX(GL!$D:$D,$C1469))))</f>
        <v/>
      </c>
      <c r="G1469" s="19" t="str">
        <f aca="false">IF(C1469=0,"",IF($A1469="Bank",INDEX(Bank!$E:$E,$C1469),INDEX(GL!$E:$E,$C1469)))</f>
        <v/>
      </c>
      <c r="H1469" s="5" t="str">
        <f aca="false">IF(C1469=0,"",IF(A1469="GL",IF(G1469&gt;0,"Deposit in transit","Outstanding check / payment"),IF(G1469&gt;0,"Bank credit not in GL","Bank debit not in GL")))</f>
        <v/>
      </c>
      <c r="I1469" s="42" t="str">
        <f aca="false">IF(OR(C1469=0,CFG_PeriodEnd=""),"",CFG_PeriodEnd-D1469)</f>
        <v/>
      </c>
      <c r="J1469" s="5" t="str">
        <f aca="false">IF(C1469=0,"",IF($A1469="Bank",IF(INDEX(Bank!$G:$G,$C1469)="","",INDEX(Bank!$G:$G,$C1469)),IF(INDEX(GL!$G:$G,$C1469)="","",INDEX(GL!$G:$G,$C1469))))</f>
        <v/>
      </c>
      <c r="K1469" s="5" t="str">
        <f aca="false">IF(C1469=0,"",IF($A1469="Bank",IF(INDEX(Bank!$I:$I,$C1469)="","",INDEX(Bank!$I:$I,$C1469)),IF(INDEX(GL!$I:$I,$C1469)="","",INDEX(GL!$I:$I,$C1469))))</f>
        <v/>
      </c>
      <c r="L1469" s="5" t="str">
        <f aca="false">IF(B1469="","",IF(C1469=0,"NOT FOUND",IF(IF($A1469="Bank",INDEX(Bank!$F:$F,$C1469),INDEX(GL!$F:$F,$C1469))="Y","NOW RECONCILED: refresh","OK")))</f>
        <v/>
      </c>
    </row>
    <row r="1470" customFormat="false" ht="15" hidden="false" customHeight="false" outlineLevel="0" collapsed="false">
      <c r="A1470" s="41"/>
      <c r="B1470" s="41"/>
      <c r="C1470" s="5" t="n">
        <f aca="false">IF(B1470="",0,IF(A1470="Bank",IFERROR(MATCH(B1470,Bank!$A:$A,0),0),IFERROR(MATCH(B1470,GL!$A:$A,0),0)))</f>
        <v>0</v>
      </c>
      <c r="D1470" s="32" t="str">
        <f aca="false">IF(C1470=0,"",IF($A1470="Bank",INDEX(Bank!$B:$B,$C1470),INDEX(GL!$B:$B,$C1470)))</f>
        <v/>
      </c>
      <c r="E1470" s="5" t="str">
        <f aca="false">IF(C1470=0,"",IF($A1470="Bank",IF(INDEX(Bank!$C:$C,$C1470)="","",INDEX(Bank!$C:$C,$C1470)),IF(INDEX(GL!$C:$C,$C1470)="","",INDEX(GL!$C:$C,$C1470))))</f>
        <v/>
      </c>
      <c r="F1470" s="5" t="str">
        <f aca="false">IF(C1470=0,"",IF($A1470="Bank",IF(INDEX(Bank!$D:$D,$C1470)="","",INDEX(Bank!$D:$D,$C1470)),IF(INDEX(GL!$D:$D,$C1470)="","",INDEX(GL!$D:$D,$C1470))))</f>
        <v/>
      </c>
      <c r="G1470" s="19" t="str">
        <f aca="false">IF(C1470=0,"",IF($A1470="Bank",INDEX(Bank!$E:$E,$C1470),INDEX(GL!$E:$E,$C1470)))</f>
        <v/>
      </c>
      <c r="H1470" s="5" t="str">
        <f aca="false">IF(C1470=0,"",IF(A1470="GL",IF(G1470&gt;0,"Deposit in transit","Outstanding check / payment"),IF(G1470&gt;0,"Bank credit not in GL","Bank debit not in GL")))</f>
        <v/>
      </c>
      <c r="I1470" s="42" t="str">
        <f aca="false">IF(OR(C1470=0,CFG_PeriodEnd=""),"",CFG_PeriodEnd-D1470)</f>
        <v/>
      </c>
      <c r="J1470" s="5" t="str">
        <f aca="false">IF(C1470=0,"",IF($A1470="Bank",IF(INDEX(Bank!$G:$G,$C1470)="","",INDEX(Bank!$G:$G,$C1470)),IF(INDEX(GL!$G:$G,$C1470)="","",INDEX(GL!$G:$G,$C1470))))</f>
        <v/>
      </c>
      <c r="K1470" s="5" t="str">
        <f aca="false">IF(C1470=0,"",IF($A1470="Bank",IF(INDEX(Bank!$I:$I,$C1470)="","",INDEX(Bank!$I:$I,$C1470)),IF(INDEX(GL!$I:$I,$C1470)="","",INDEX(GL!$I:$I,$C1470))))</f>
        <v/>
      </c>
      <c r="L1470" s="5" t="str">
        <f aca="false">IF(B1470="","",IF(C1470=0,"NOT FOUND",IF(IF($A1470="Bank",INDEX(Bank!$F:$F,$C1470),INDEX(GL!$F:$F,$C1470))="Y","NOW RECONCILED: refresh","OK")))</f>
        <v/>
      </c>
    </row>
    <row r="1471" customFormat="false" ht="15" hidden="false" customHeight="false" outlineLevel="0" collapsed="false">
      <c r="A1471" s="41"/>
      <c r="B1471" s="41"/>
      <c r="C1471" s="5" t="n">
        <f aca="false">IF(B1471="",0,IF(A1471="Bank",IFERROR(MATCH(B1471,Bank!$A:$A,0),0),IFERROR(MATCH(B1471,GL!$A:$A,0),0)))</f>
        <v>0</v>
      </c>
      <c r="D1471" s="32" t="str">
        <f aca="false">IF(C1471=0,"",IF($A1471="Bank",INDEX(Bank!$B:$B,$C1471),INDEX(GL!$B:$B,$C1471)))</f>
        <v/>
      </c>
      <c r="E1471" s="5" t="str">
        <f aca="false">IF(C1471=0,"",IF($A1471="Bank",IF(INDEX(Bank!$C:$C,$C1471)="","",INDEX(Bank!$C:$C,$C1471)),IF(INDEX(GL!$C:$C,$C1471)="","",INDEX(GL!$C:$C,$C1471))))</f>
        <v/>
      </c>
      <c r="F1471" s="5" t="str">
        <f aca="false">IF(C1471=0,"",IF($A1471="Bank",IF(INDEX(Bank!$D:$D,$C1471)="","",INDEX(Bank!$D:$D,$C1471)),IF(INDEX(GL!$D:$D,$C1471)="","",INDEX(GL!$D:$D,$C1471))))</f>
        <v/>
      </c>
      <c r="G1471" s="19" t="str">
        <f aca="false">IF(C1471=0,"",IF($A1471="Bank",INDEX(Bank!$E:$E,$C1471),INDEX(GL!$E:$E,$C1471)))</f>
        <v/>
      </c>
      <c r="H1471" s="5" t="str">
        <f aca="false">IF(C1471=0,"",IF(A1471="GL",IF(G1471&gt;0,"Deposit in transit","Outstanding check / payment"),IF(G1471&gt;0,"Bank credit not in GL","Bank debit not in GL")))</f>
        <v/>
      </c>
      <c r="I1471" s="42" t="str">
        <f aca="false">IF(OR(C1471=0,CFG_PeriodEnd=""),"",CFG_PeriodEnd-D1471)</f>
        <v/>
      </c>
      <c r="J1471" s="5" t="str">
        <f aca="false">IF(C1471=0,"",IF($A1471="Bank",IF(INDEX(Bank!$G:$G,$C1471)="","",INDEX(Bank!$G:$G,$C1471)),IF(INDEX(GL!$G:$G,$C1471)="","",INDEX(GL!$G:$G,$C1471))))</f>
        <v/>
      </c>
      <c r="K1471" s="5" t="str">
        <f aca="false">IF(C1471=0,"",IF($A1471="Bank",IF(INDEX(Bank!$I:$I,$C1471)="","",INDEX(Bank!$I:$I,$C1471)),IF(INDEX(GL!$I:$I,$C1471)="","",INDEX(GL!$I:$I,$C1471))))</f>
        <v/>
      </c>
      <c r="L1471" s="5" t="str">
        <f aca="false">IF(B1471="","",IF(C1471=0,"NOT FOUND",IF(IF($A1471="Bank",INDEX(Bank!$F:$F,$C1471),INDEX(GL!$F:$F,$C1471))="Y","NOW RECONCILED: refresh","OK")))</f>
        <v/>
      </c>
    </row>
    <row r="1472" customFormat="false" ht="15" hidden="false" customHeight="false" outlineLevel="0" collapsed="false">
      <c r="A1472" s="41"/>
      <c r="B1472" s="41"/>
      <c r="C1472" s="5" t="n">
        <f aca="false">IF(B1472="",0,IF(A1472="Bank",IFERROR(MATCH(B1472,Bank!$A:$A,0),0),IFERROR(MATCH(B1472,GL!$A:$A,0),0)))</f>
        <v>0</v>
      </c>
      <c r="D1472" s="32" t="str">
        <f aca="false">IF(C1472=0,"",IF($A1472="Bank",INDEX(Bank!$B:$B,$C1472),INDEX(GL!$B:$B,$C1472)))</f>
        <v/>
      </c>
      <c r="E1472" s="5" t="str">
        <f aca="false">IF(C1472=0,"",IF($A1472="Bank",IF(INDEX(Bank!$C:$C,$C1472)="","",INDEX(Bank!$C:$C,$C1472)),IF(INDEX(GL!$C:$C,$C1472)="","",INDEX(GL!$C:$C,$C1472))))</f>
        <v/>
      </c>
      <c r="F1472" s="5" t="str">
        <f aca="false">IF(C1472=0,"",IF($A1472="Bank",IF(INDEX(Bank!$D:$D,$C1472)="","",INDEX(Bank!$D:$D,$C1472)),IF(INDEX(GL!$D:$D,$C1472)="","",INDEX(GL!$D:$D,$C1472))))</f>
        <v/>
      </c>
      <c r="G1472" s="19" t="str">
        <f aca="false">IF(C1472=0,"",IF($A1472="Bank",INDEX(Bank!$E:$E,$C1472),INDEX(GL!$E:$E,$C1472)))</f>
        <v/>
      </c>
      <c r="H1472" s="5" t="str">
        <f aca="false">IF(C1472=0,"",IF(A1472="GL",IF(G1472&gt;0,"Deposit in transit","Outstanding check / payment"),IF(G1472&gt;0,"Bank credit not in GL","Bank debit not in GL")))</f>
        <v/>
      </c>
      <c r="I1472" s="42" t="str">
        <f aca="false">IF(OR(C1472=0,CFG_PeriodEnd=""),"",CFG_PeriodEnd-D1472)</f>
        <v/>
      </c>
      <c r="J1472" s="5" t="str">
        <f aca="false">IF(C1472=0,"",IF($A1472="Bank",IF(INDEX(Bank!$G:$G,$C1472)="","",INDEX(Bank!$G:$G,$C1472)),IF(INDEX(GL!$G:$G,$C1472)="","",INDEX(GL!$G:$G,$C1472))))</f>
        <v/>
      </c>
      <c r="K1472" s="5" t="str">
        <f aca="false">IF(C1472=0,"",IF($A1472="Bank",IF(INDEX(Bank!$I:$I,$C1472)="","",INDEX(Bank!$I:$I,$C1472)),IF(INDEX(GL!$I:$I,$C1472)="","",INDEX(GL!$I:$I,$C1472))))</f>
        <v/>
      </c>
      <c r="L1472" s="5" t="str">
        <f aca="false">IF(B1472="","",IF(C1472=0,"NOT FOUND",IF(IF($A1472="Bank",INDEX(Bank!$F:$F,$C1472),INDEX(GL!$F:$F,$C1472))="Y","NOW RECONCILED: refresh","OK")))</f>
        <v/>
      </c>
    </row>
    <row r="1473" customFormat="false" ht="15" hidden="false" customHeight="false" outlineLevel="0" collapsed="false">
      <c r="A1473" s="41"/>
      <c r="B1473" s="41"/>
      <c r="C1473" s="5" t="n">
        <f aca="false">IF(B1473="",0,IF(A1473="Bank",IFERROR(MATCH(B1473,Bank!$A:$A,0),0),IFERROR(MATCH(B1473,GL!$A:$A,0),0)))</f>
        <v>0</v>
      </c>
      <c r="D1473" s="32" t="str">
        <f aca="false">IF(C1473=0,"",IF($A1473="Bank",INDEX(Bank!$B:$B,$C1473),INDEX(GL!$B:$B,$C1473)))</f>
        <v/>
      </c>
      <c r="E1473" s="5" t="str">
        <f aca="false">IF(C1473=0,"",IF($A1473="Bank",IF(INDEX(Bank!$C:$C,$C1473)="","",INDEX(Bank!$C:$C,$C1473)),IF(INDEX(GL!$C:$C,$C1473)="","",INDEX(GL!$C:$C,$C1473))))</f>
        <v/>
      </c>
      <c r="F1473" s="5" t="str">
        <f aca="false">IF(C1473=0,"",IF($A1473="Bank",IF(INDEX(Bank!$D:$D,$C1473)="","",INDEX(Bank!$D:$D,$C1473)),IF(INDEX(GL!$D:$D,$C1473)="","",INDEX(GL!$D:$D,$C1473))))</f>
        <v/>
      </c>
      <c r="G1473" s="19" t="str">
        <f aca="false">IF(C1473=0,"",IF($A1473="Bank",INDEX(Bank!$E:$E,$C1473),INDEX(GL!$E:$E,$C1473)))</f>
        <v/>
      </c>
      <c r="H1473" s="5" t="str">
        <f aca="false">IF(C1473=0,"",IF(A1473="GL",IF(G1473&gt;0,"Deposit in transit","Outstanding check / payment"),IF(G1473&gt;0,"Bank credit not in GL","Bank debit not in GL")))</f>
        <v/>
      </c>
      <c r="I1473" s="42" t="str">
        <f aca="false">IF(OR(C1473=0,CFG_PeriodEnd=""),"",CFG_PeriodEnd-D1473)</f>
        <v/>
      </c>
      <c r="J1473" s="5" t="str">
        <f aca="false">IF(C1473=0,"",IF($A1473="Bank",IF(INDEX(Bank!$G:$G,$C1473)="","",INDEX(Bank!$G:$G,$C1473)),IF(INDEX(GL!$G:$G,$C1473)="","",INDEX(GL!$G:$G,$C1473))))</f>
        <v/>
      </c>
      <c r="K1473" s="5" t="str">
        <f aca="false">IF(C1473=0,"",IF($A1473="Bank",IF(INDEX(Bank!$I:$I,$C1473)="","",INDEX(Bank!$I:$I,$C1473)),IF(INDEX(GL!$I:$I,$C1473)="","",INDEX(GL!$I:$I,$C1473))))</f>
        <v/>
      </c>
      <c r="L1473" s="5" t="str">
        <f aca="false">IF(B1473="","",IF(C1473=0,"NOT FOUND",IF(IF($A1473="Bank",INDEX(Bank!$F:$F,$C1473),INDEX(GL!$F:$F,$C1473))="Y","NOW RECONCILED: refresh","OK")))</f>
        <v/>
      </c>
    </row>
    <row r="1474" customFormat="false" ht="15" hidden="false" customHeight="false" outlineLevel="0" collapsed="false">
      <c r="A1474" s="41"/>
      <c r="B1474" s="41"/>
      <c r="C1474" s="5" t="n">
        <f aca="false">IF(B1474="",0,IF(A1474="Bank",IFERROR(MATCH(B1474,Bank!$A:$A,0),0),IFERROR(MATCH(B1474,GL!$A:$A,0),0)))</f>
        <v>0</v>
      </c>
      <c r="D1474" s="32" t="str">
        <f aca="false">IF(C1474=0,"",IF($A1474="Bank",INDEX(Bank!$B:$B,$C1474),INDEX(GL!$B:$B,$C1474)))</f>
        <v/>
      </c>
      <c r="E1474" s="5" t="str">
        <f aca="false">IF(C1474=0,"",IF($A1474="Bank",IF(INDEX(Bank!$C:$C,$C1474)="","",INDEX(Bank!$C:$C,$C1474)),IF(INDEX(GL!$C:$C,$C1474)="","",INDEX(GL!$C:$C,$C1474))))</f>
        <v/>
      </c>
      <c r="F1474" s="5" t="str">
        <f aca="false">IF(C1474=0,"",IF($A1474="Bank",IF(INDEX(Bank!$D:$D,$C1474)="","",INDEX(Bank!$D:$D,$C1474)),IF(INDEX(GL!$D:$D,$C1474)="","",INDEX(GL!$D:$D,$C1474))))</f>
        <v/>
      </c>
      <c r="G1474" s="19" t="str">
        <f aca="false">IF(C1474=0,"",IF($A1474="Bank",INDEX(Bank!$E:$E,$C1474),INDEX(GL!$E:$E,$C1474)))</f>
        <v/>
      </c>
      <c r="H1474" s="5" t="str">
        <f aca="false">IF(C1474=0,"",IF(A1474="GL",IF(G1474&gt;0,"Deposit in transit","Outstanding check / payment"),IF(G1474&gt;0,"Bank credit not in GL","Bank debit not in GL")))</f>
        <v/>
      </c>
      <c r="I1474" s="42" t="str">
        <f aca="false">IF(OR(C1474=0,CFG_PeriodEnd=""),"",CFG_PeriodEnd-D1474)</f>
        <v/>
      </c>
      <c r="J1474" s="5" t="str">
        <f aca="false">IF(C1474=0,"",IF($A1474="Bank",IF(INDEX(Bank!$G:$G,$C1474)="","",INDEX(Bank!$G:$G,$C1474)),IF(INDEX(GL!$G:$G,$C1474)="","",INDEX(GL!$G:$G,$C1474))))</f>
        <v/>
      </c>
      <c r="K1474" s="5" t="str">
        <f aca="false">IF(C1474=0,"",IF($A1474="Bank",IF(INDEX(Bank!$I:$I,$C1474)="","",INDEX(Bank!$I:$I,$C1474)),IF(INDEX(GL!$I:$I,$C1474)="","",INDEX(GL!$I:$I,$C1474))))</f>
        <v/>
      </c>
      <c r="L1474" s="5" t="str">
        <f aca="false">IF(B1474="","",IF(C1474=0,"NOT FOUND",IF(IF($A1474="Bank",INDEX(Bank!$F:$F,$C1474),INDEX(GL!$F:$F,$C1474))="Y","NOW RECONCILED: refresh","OK")))</f>
        <v/>
      </c>
    </row>
    <row r="1475" customFormat="false" ht="15" hidden="false" customHeight="false" outlineLevel="0" collapsed="false">
      <c r="A1475" s="41"/>
      <c r="B1475" s="41"/>
      <c r="C1475" s="5" t="n">
        <f aca="false">IF(B1475="",0,IF(A1475="Bank",IFERROR(MATCH(B1475,Bank!$A:$A,0),0),IFERROR(MATCH(B1475,GL!$A:$A,0),0)))</f>
        <v>0</v>
      </c>
      <c r="D1475" s="32" t="str">
        <f aca="false">IF(C1475=0,"",IF($A1475="Bank",INDEX(Bank!$B:$B,$C1475),INDEX(GL!$B:$B,$C1475)))</f>
        <v/>
      </c>
      <c r="E1475" s="5" t="str">
        <f aca="false">IF(C1475=0,"",IF($A1475="Bank",IF(INDEX(Bank!$C:$C,$C1475)="","",INDEX(Bank!$C:$C,$C1475)),IF(INDEX(GL!$C:$C,$C1475)="","",INDEX(GL!$C:$C,$C1475))))</f>
        <v/>
      </c>
      <c r="F1475" s="5" t="str">
        <f aca="false">IF(C1475=0,"",IF($A1475="Bank",IF(INDEX(Bank!$D:$D,$C1475)="","",INDEX(Bank!$D:$D,$C1475)),IF(INDEX(GL!$D:$D,$C1475)="","",INDEX(GL!$D:$D,$C1475))))</f>
        <v/>
      </c>
      <c r="G1475" s="19" t="str">
        <f aca="false">IF(C1475=0,"",IF($A1475="Bank",INDEX(Bank!$E:$E,$C1475),INDEX(GL!$E:$E,$C1475)))</f>
        <v/>
      </c>
      <c r="H1475" s="5" t="str">
        <f aca="false">IF(C1475=0,"",IF(A1475="GL",IF(G1475&gt;0,"Deposit in transit","Outstanding check / payment"),IF(G1475&gt;0,"Bank credit not in GL","Bank debit not in GL")))</f>
        <v/>
      </c>
      <c r="I1475" s="42" t="str">
        <f aca="false">IF(OR(C1475=0,CFG_PeriodEnd=""),"",CFG_PeriodEnd-D1475)</f>
        <v/>
      </c>
      <c r="J1475" s="5" t="str">
        <f aca="false">IF(C1475=0,"",IF($A1475="Bank",IF(INDEX(Bank!$G:$G,$C1475)="","",INDEX(Bank!$G:$G,$C1475)),IF(INDEX(GL!$G:$G,$C1475)="","",INDEX(GL!$G:$G,$C1475))))</f>
        <v/>
      </c>
      <c r="K1475" s="5" t="str">
        <f aca="false">IF(C1475=0,"",IF($A1475="Bank",IF(INDEX(Bank!$I:$I,$C1475)="","",INDEX(Bank!$I:$I,$C1475)),IF(INDEX(GL!$I:$I,$C1475)="","",INDEX(GL!$I:$I,$C1475))))</f>
        <v/>
      </c>
      <c r="L1475" s="5" t="str">
        <f aca="false">IF(B1475="","",IF(C1475=0,"NOT FOUND",IF(IF($A1475="Bank",INDEX(Bank!$F:$F,$C1475),INDEX(GL!$F:$F,$C1475))="Y","NOW RECONCILED: refresh","OK")))</f>
        <v/>
      </c>
    </row>
    <row r="1476" customFormat="false" ht="15" hidden="false" customHeight="false" outlineLevel="0" collapsed="false">
      <c r="A1476" s="41"/>
      <c r="B1476" s="41"/>
      <c r="C1476" s="5" t="n">
        <f aca="false">IF(B1476="",0,IF(A1476="Bank",IFERROR(MATCH(B1476,Bank!$A:$A,0),0),IFERROR(MATCH(B1476,GL!$A:$A,0),0)))</f>
        <v>0</v>
      </c>
      <c r="D1476" s="32" t="str">
        <f aca="false">IF(C1476=0,"",IF($A1476="Bank",INDEX(Bank!$B:$B,$C1476),INDEX(GL!$B:$B,$C1476)))</f>
        <v/>
      </c>
      <c r="E1476" s="5" t="str">
        <f aca="false">IF(C1476=0,"",IF($A1476="Bank",IF(INDEX(Bank!$C:$C,$C1476)="","",INDEX(Bank!$C:$C,$C1476)),IF(INDEX(GL!$C:$C,$C1476)="","",INDEX(GL!$C:$C,$C1476))))</f>
        <v/>
      </c>
      <c r="F1476" s="5" t="str">
        <f aca="false">IF(C1476=0,"",IF($A1476="Bank",IF(INDEX(Bank!$D:$D,$C1476)="","",INDEX(Bank!$D:$D,$C1476)),IF(INDEX(GL!$D:$D,$C1476)="","",INDEX(GL!$D:$D,$C1476))))</f>
        <v/>
      </c>
      <c r="G1476" s="19" t="str">
        <f aca="false">IF(C1476=0,"",IF($A1476="Bank",INDEX(Bank!$E:$E,$C1476),INDEX(GL!$E:$E,$C1476)))</f>
        <v/>
      </c>
      <c r="H1476" s="5" t="str">
        <f aca="false">IF(C1476=0,"",IF(A1476="GL",IF(G1476&gt;0,"Deposit in transit","Outstanding check / payment"),IF(G1476&gt;0,"Bank credit not in GL","Bank debit not in GL")))</f>
        <v/>
      </c>
      <c r="I1476" s="42" t="str">
        <f aca="false">IF(OR(C1476=0,CFG_PeriodEnd=""),"",CFG_PeriodEnd-D1476)</f>
        <v/>
      </c>
      <c r="J1476" s="5" t="str">
        <f aca="false">IF(C1476=0,"",IF($A1476="Bank",IF(INDEX(Bank!$G:$G,$C1476)="","",INDEX(Bank!$G:$G,$C1476)),IF(INDEX(GL!$G:$G,$C1476)="","",INDEX(GL!$G:$G,$C1476))))</f>
        <v/>
      </c>
      <c r="K1476" s="5" t="str">
        <f aca="false">IF(C1476=0,"",IF($A1476="Bank",IF(INDEX(Bank!$I:$I,$C1476)="","",INDEX(Bank!$I:$I,$C1476)),IF(INDEX(GL!$I:$I,$C1476)="","",INDEX(GL!$I:$I,$C1476))))</f>
        <v/>
      </c>
      <c r="L1476" s="5" t="str">
        <f aca="false">IF(B1476="","",IF(C1476=0,"NOT FOUND",IF(IF($A1476="Bank",INDEX(Bank!$F:$F,$C1476),INDEX(GL!$F:$F,$C1476))="Y","NOW RECONCILED: refresh","OK")))</f>
        <v/>
      </c>
    </row>
    <row r="1477" customFormat="false" ht="15" hidden="false" customHeight="false" outlineLevel="0" collapsed="false">
      <c r="A1477" s="41"/>
      <c r="B1477" s="41"/>
      <c r="C1477" s="5" t="n">
        <f aca="false">IF(B1477="",0,IF(A1477="Bank",IFERROR(MATCH(B1477,Bank!$A:$A,0),0),IFERROR(MATCH(B1477,GL!$A:$A,0),0)))</f>
        <v>0</v>
      </c>
      <c r="D1477" s="32" t="str">
        <f aca="false">IF(C1477=0,"",IF($A1477="Bank",INDEX(Bank!$B:$B,$C1477),INDEX(GL!$B:$B,$C1477)))</f>
        <v/>
      </c>
      <c r="E1477" s="5" t="str">
        <f aca="false">IF(C1477=0,"",IF($A1477="Bank",IF(INDEX(Bank!$C:$C,$C1477)="","",INDEX(Bank!$C:$C,$C1477)),IF(INDEX(GL!$C:$C,$C1477)="","",INDEX(GL!$C:$C,$C1477))))</f>
        <v/>
      </c>
      <c r="F1477" s="5" t="str">
        <f aca="false">IF(C1477=0,"",IF($A1477="Bank",IF(INDEX(Bank!$D:$D,$C1477)="","",INDEX(Bank!$D:$D,$C1477)),IF(INDEX(GL!$D:$D,$C1477)="","",INDEX(GL!$D:$D,$C1477))))</f>
        <v/>
      </c>
      <c r="G1477" s="19" t="str">
        <f aca="false">IF(C1477=0,"",IF($A1477="Bank",INDEX(Bank!$E:$E,$C1477),INDEX(GL!$E:$E,$C1477)))</f>
        <v/>
      </c>
      <c r="H1477" s="5" t="str">
        <f aca="false">IF(C1477=0,"",IF(A1477="GL",IF(G1477&gt;0,"Deposit in transit","Outstanding check / payment"),IF(G1477&gt;0,"Bank credit not in GL","Bank debit not in GL")))</f>
        <v/>
      </c>
      <c r="I1477" s="42" t="str">
        <f aca="false">IF(OR(C1477=0,CFG_PeriodEnd=""),"",CFG_PeriodEnd-D1477)</f>
        <v/>
      </c>
      <c r="J1477" s="5" t="str">
        <f aca="false">IF(C1477=0,"",IF($A1477="Bank",IF(INDEX(Bank!$G:$G,$C1477)="","",INDEX(Bank!$G:$G,$C1477)),IF(INDEX(GL!$G:$G,$C1477)="","",INDEX(GL!$G:$G,$C1477))))</f>
        <v/>
      </c>
      <c r="K1477" s="5" t="str">
        <f aca="false">IF(C1477=0,"",IF($A1477="Bank",IF(INDEX(Bank!$I:$I,$C1477)="","",INDEX(Bank!$I:$I,$C1477)),IF(INDEX(GL!$I:$I,$C1477)="","",INDEX(GL!$I:$I,$C1477))))</f>
        <v/>
      </c>
      <c r="L1477" s="5" t="str">
        <f aca="false">IF(B1477="","",IF(C1477=0,"NOT FOUND",IF(IF($A1477="Bank",INDEX(Bank!$F:$F,$C1477),INDEX(GL!$F:$F,$C1477))="Y","NOW RECONCILED: refresh","OK")))</f>
        <v/>
      </c>
    </row>
    <row r="1478" customFormat="false" ht="15" hidden="false" customHeight="false" outlineLevel="0" collapsed="false">
      <c r="A1478" s="41"/>
      <c r="B1478" s="41"/>
      <c r="C1478" s="5" t="n">
        <f aca="false">IF(B1478="",0,IF(A1478="Bank",IFERROR(MATCH(B1478,Bank!$A:$A,0),0),IFERROR(MATCH(B1478,GL!$A:$A,0),0)))</f>
        <v>0</v>
      </c>
      <c r="D1478" s="32" t="str">
        <f aca="false">IF(C1478=0,"",IF($A1478="Bank",INDEX(Bank!$B:$B,$C1478),INDEX(GL!$B:$B,$C1478)))</f>
        <v/>
      </c>
      <c r="E1478" s="5" t="str">
        <f aca="false">IF(C1478=0,"",IF($A1478="Bank",IF(INDEX(Bank!$C:$C,$C1478)="","",INDEX(Bank!$C:$C,$C1478)),IF(INDEX(GL!$C:$C,$C1478)="","",INDEX(GL!$C:$C,$C1478))))</f>
        <v/>
      </c>
      <c r="F1478" s="5" t="str">
        <f aca="false">IF(C1478=0,"",IF($A1478="Bank",IF(INDEX(Bank!$D:$D,$C1478)="","",INDEX(Bank!$D:$D,$C1478)),IF(INDEX(GL!$D:$D,$C1478)="","",INDEX(GL!$D:$D,$C1478))))</f>
        <v/>
      </c>
      <c r="G1478" s="19" t="str">
        <f aca="false">IF(C1478=0,"",IF($A1478="Bank",INDEX(Bank!$E:$E,$C1478),INDEX(GL!$E:$E,$C1478)))</f>
        <v/>
      </c>
      <c r="H1478" s="5" t="str">
        <f aca="false">IF(C1478=0,"",IF(A1478="GL",IF(G1478&gt;0,"Deposit in transit","Outstanding check / payment"),IF(G1478&gt;0,"Bank credit not in GL","Bank debit not in GL")))</f>
        <v/>
      </c>
      <c r="I1478" s="42" t="str">
        <f aca="false">IF(OR(C1478=0,CFG_PeriodEnd=""),"",CFG_PeriodEnd-D1478)</f>
        <v/>
      </c>
      <c r="J1478" s="5" t="str">
        <f aca="false">IF(C1478=0,"",IF($A1478="Bank",IF(INDEX(Bank!$G:$G,$C1478)="","",INDEX(Bank!$G:$G,$C1478)),IF(INDEX(GL!$G:$G,$C1478)="","",INDEX(GL!$G:$G,$C1478))))</f>
        <v/>
      </c>
      <c r="K1478" s="5" t="str">
        <f aca="false">IF(C1478=0,"",IF($A1478="Bank",IF(INDEX(Bank!$I:$I,$C1478)="","",INDEX(Bank!$I:$I,$C1478)),IF(INDEX(GL!$I:$I,$C1478)="","",INDEX(GL!$I:$I,$C1478))))</f>
        <v/>
      </c>
      <c r="L1478" s="5" t="str">
        <f aca="false">IF(B1478="","",IF(C1478=0,"NOT FOUND",IF(IF($A1478="Bank",INDEX(Bank!$F:$F,$C1478),INDEX(GL!$F:$F,$C1478))="Y","NOW RECONCILED: refresh","OK")))</f>
        <v/>
      </c>
    </row>
    <row r="1479" customFormat="false" ht="15" hidden="false" customHeight="false" outlineLevel="0" collapsed="false">
      <c r="A1479" s="41"/>
      <c r="B1479" s="41"/>
      <c r="C1479" s="5" t="n">
        <f aca="false">IF(B1479="",0,IF(A1479="Bank",IFERROR(MATCH(B1479,Bank!$A:$A,0),0),IFERROR(MATCH(B1479,GL!$A:$A,0),0)))</f>
        <v>0</v>
      </c>
      <c r="D1479" s="32" t="str">
        <f aca="false">IF(C1479=0,"",IF($A1479="Bank",INDEX(Bank!$B:$B,$C1479),INDEX(GL!$B:$B,$C1479)))</f>
        <v/>
      </c>
      <c r="E1479" s="5" t="str">
        <f aca="false">IF(C1479=0,"",IF($A1479="Bank",IF(INDEX(Bank!$C:$C,$C1479)="","",INDEX(Bank!$C:$C,$C1479)),IF(INDEX(GL!$C:$C,$C1479)="","",INDEX(GL!$C:$C,$C1479))))</f>
        <v/>
      </c>
      <c r="F1479" s="5" t="str">
        <f aca="false">IF(C1479=0,"",IF($A1479="Bank",IF(INDEX(Bank!$D:$D,$C1479)="","",INDEX(Bank!$D:$D,$C1479)),IF(INDEX(GL!$D:$D,$C1479)="","",INDEX(GL!$D:$D,$C1479))))</f>
        <v/>
      </c>
      <c r="G1479" s="19" t="str">
        <f aca="false">IF(C1479=0,"",IF($A1479="Bank",INDEX(Bank!$E:$E,$C1479),INDEX(GL!$E:$E,$C1479)))</f>
        <v/>
      </c>
      <c r="H1479" s="5" t="str">
        <f aca="false">IF(C1479=0,"",IF(A1479="GL",IF(G1479&gt;0,"Deposit in transit","Outstanding check / payment"),IF(G1479&gt;0,"Bank credit not in GL","Bank debit not in GL")))</f>
        <v/>
      </c>
      <c r="I1479" s="42" t="str">
        <f aca="false">IF(OR(C1479=0,CFG_PeriodEnd=""),"",CFG_PeriodEnd-D1479)</f>
        <v/>
      </c>
      <c r="J1479" s="5" t="str">
        <f aca="false">IF(C1479=0,"",IF($A1479="Bank",IF(INDEX(Bank!$G:$G,$C1479)="","",INDEX(Bank!$G:$G,$C1479)),IF(INDEX(GL!$G:$G,$C1479)="","",INDEX(GL!$G:$G,$C1479))))</f>
        <v/>
      </c>
      <c r="K1479" s="5" t="str">
        <f aca="false">IF(C1479=0,"",IF($A1479="Bank",IF(INDEX(Bank!$I:$I,$C1479)="","",INDEX(Bank!$I:$I,$C1479)),IF(INDEX(GL!$I:$I,$C1479)="","",INDEX(GL!$I:$I,$C1479))))</f>
        <v/>
      </c>
      <c r="L1479" s="5" t="str">
        <f aca="false">IF(B1479="","",IF(C1479=0,"NOT FOUND",IF(IF($A1479="Bank",INDEX(Bank!$F:$F,$C1479),INDEX(GL!$F:$F,$C1479))="Y","NOW RECONCILED: refresh","OK")))</f>
        <v/>
      </c>
    </row>
    <row r="1480" customFormat="false" ht="15" hidden="false" customHeight="false" outlineLevel="0" collapsed="false">
      <c r="A1480" s="41"/>
      <c r="B1480" s="41"/>
      <c r="C1480" s="5" t="n">
        <f aca="false">IF(B1480="",0,IF(A1480="Bank",IFERROR(MATCH(B1480,Bank!$A:$A,0),0),IFERROR(MATCH(B1480,GL!$A:$A,0),0)))</f>
        <v>0</v>
      </c>
      <c r="D1480" s="32" t="str">
        <f aca="false">IF(C1480=0,"",IF($A1480="Bank",INDEX(Bank!$B:$B,$C1480),INDEX(GL!$B:$B,$C1480)))</f>
        <v/>
      </c>
      <c r="E1480" s="5" t="str">
        <f aca="false">IF(C1480=0,"",IF($A1480="Bank",IF(INDEX(Bank!$C:$C,$C1480)="","",INDEX(Bank!$C:$C,$C1480)),IF(INDEX(GL!$C:$C,$C1480)="","",INDEX(GL!$C:$C,$C1480))))</f>
        <v/>
      </c>
      <c r="F1480" s="5" t="str">
        <f aca="false">IF(C1480=0,"",IF($A1480="Bank",IF(INDEX(Bank!$D:$D,$C1480)="","",INDEX(Bank!$D:$D,$C1480)),IF(INDEX(GL!$D:$D,$C1480)="","",INDEX(GL!$D:$D,$C1480))))</f>
        <v/>
      </c>
      <c r="G1480" s="19" t="str">
        <f aca="false">IF(C1480=0,"",IF($A1480="Bank",INDEX(Bank!$E:$E,$C1480),INDEX(GL!$E:$E,$C1480)))</f>
        <v/>
      </c>
      <c r="H1480" s="5" t="str">
        <f aca="false">IF(C1480=0,"",IF(A1480="GL",IF(G1480&gt;0,"Deposit in transit","Outstanding check / payment"),IF(G1480&gt;0,"Bank credit not in GL","Bank debit not in GL")))</f>
        <v/>
      </c>
      <c r="I1480" s="42" t="str">
        <f aca="false">IF(OR(C1480=0,CFG_PeriodEnd=""),"",CFG_PeriodEnd-D1480)</f>
        <v/>
      </c>
      <c r="J1480" s="5" t="str">
        <f aca="false">IF(C1480=0,"",IF($A1480="Bank",IF(INDEX(Bank!$G:$G,$C1480)="","",INDEX(Bank!$G:$G,$C1480)),IF(INDEX(GL!$G:$G,$C1480)="","",INDEX(GL!$G:$G,$C1480))))</f>
        <v/>
      </c>
      <c r="K1480" s="5" t="str">
        <f aca="false">IF(C1480=0,"",IF($A1480="Bank",IF(INDEX(Bank!$I:$I,$C1480)="","",INDEX(Bank!$I:$I,$C1480)),IF(INDEX(GL!$I:$I,$C1480)="","",INDEX(GL!$I:$I,$C1480))))</f>
        <v/>
      </c>
      <c r="L1480" s="5" t="str">
        <f aca="false">IF(B1480="","",IF(C1480=0,"NOT FOUND",IF(IF($A1480="Bank",INDEX(Bank!$F:$F,$C1480),INDEX(GL!$F:$F,$C1480))="Y","NOW RECONCILED: refresh","OK")))</f>
        <v/>
      </c>
    </row>
    <row r="1481" customFormat="false" ht="15" hidden="false" customHeight="false" outlineLevel="0" collapsed="false">
      <c r="A1481" s="41"/>
      <c r="B1481" s="41"/>
      <c r="C1481" s="5" t="n">
        <f aca="false">IF(B1481="",0,IF(A1481="Bank",IFERROR(MATCH(B1481,Bank!$A:$A,0),0),IFERROR(MATCH(B1481,GL!$A:$A,0),0)))</f>
        <v>0</v>
      </c>
      <c r="D1481" s="32" t="str">
        <f aca="false">IF(C1481=0,"",IF($A1481="Bank",INDEX(Bank!$B:$B,$C1481),INDEX(GL!$B:$B,$C1481)))</f>
        <v/>
      </c>
      <c r="E1481" s="5" t="str">
        <f aca="false">IF(C1481=0,"",IF($A1481="Bank",IF(INDEX(Bank!$C:$C,$C1481)="","",INDEX(Bank!$C:$C,$C1481)),IF(INDEX(GL!$C:$C,$C1481)="","",INDEX(GL!$C:$C,$C1481))))</f>
        <v/>
      </c>
      <c r="F1481" s="5" t="str">
        <f aca="false">IF(C1481=0,"",IF($A1481="Bank",IF(INDEX(Bank!$D:$D,$C1481)="","",INDEX(Bank!$D:$D,$C1481)),IF(INDEX(GL!$D:$D,$C1481)="","",INDEX(GL!$D:$D,$C1481))))</f>
        <v/>
      </c>
      <c r="G1481" s="19" t="str">
        <f aca="false">IF(C1481=0,"",IF($A1481="Bank",INDEX(Bank!$E:$E,$C1481),INDEX(GL!$E:$E,$C1481)))</f>
        <v/>
      </c>
      <c r="H1481" s="5" t="str">
        <f aca="false">IF(C1481=0,"",IF(A1481="GL",IF(G1481&gt;0,"Deposit in transit","Outstanding check / payment"),IF(G1481&gt;0,"Bank credit not in GL","Bank debit not in GL")))</f>
        <v/>
      </c>
      <c r="I1481" s="42" t="str">
        <f aca="false">IF(OR(C1481=0,CFG_PeriodEnd=""),"",CFG_PeriodEnd-D1481)</f>
        <v/>
      </c>
      <c r="J1481" s="5" t="str">
        <f aca="false">IF(C1481=0,"",IF($A1481="Bank",IF(INDEX(Bank!$G:$G,$C1481)="","",INDEX(Bank!$G:$G,$C1481)),IF(INDEX(GL!$G:$G,$C1481)="","",INDEX(GL!$G:$G,$C1481))))</f>
        <v/>
      </c>
      <c r="K1481" s="5" t="str">
        <f aca="false">IF(C1481=0,"",IF($A1481="Bank",IF(INDEX(Bank!$I:$I,$C1481)="","",INDEX(Bank!$I:$I,$C1481)),IF(INDEX(GL!$I:$I,$C1481)="","",INDEX(GL!$I:$I,$C1481))))</f>
        <v/>
      </c>
      <c r="L1481" s="5" t="str">
        <f aca="false">IF(B1481="","",IF(C1481=0,"NOT FOUND",IF(IF($A1481="Bank",INDEX(Bank!$F:$F,$C1481),INDEX(GL!$F:$F,$C1481))="Y","NOW RECONCILED: refresh","OK")))</f>
        <v/>
      </c>
    </row>
    <row r="1482" customFormat="false" ht="15" hidden="false" customHeight="false" outlineLevel="0" collapsed="false">
      <c r="A1482" s="41"/>
      <c r="B1482" s="41"/>
      <c r="C1482" s="5" t="n">
        <f aca="false">IF(B1482="",0,IF(A1482="Bank",IFERROR(MATCH(B1482,Bank!$A:$A,0),0),IFERROR(MATCH(B1482,GL!$A:$A,0),0)))</f>
        <v>0</v>
      </c>
      <c r="D1482" s="32" t="str">
        <f aca="false">IF(C1482=0,"",IF($A1482="Bank",INDEX(Bank!$B:$B,$C1482),INDEX(GL!$B:$B,$C1482)))</f>
        <v/>
      </c>
      <c r="E1482" s="5" t="str">
        <f aca="false">IF(C1482=0,"",IF($A1482="Bank",IF(INDEX(Bank!$C:$C,$C1482)="","",INDEX(Bank!$C:$C,$C1482)),IF(INDEX(GL!$C:$C,$C1482)="","",INDEX(GL!$C:$C,$C1482))))</f>
        <v/>
      </c>
      <c r="F1482" s="5" t="str">
        <f aca="false">IF(C1482=0,"",IF($A1482="Bank",IF(INDEX(Bank!$D:$D,$C1482)="","",INDEX(Bank!$D:$D,$C1482)),IF(INDEX(GL!$D:$D,$C1482)="","",INDEX(GL!$D:$D,$C1482))))</f>
        <v/>
      </c>
      <c r="G1482" s="19" t="str">
        <f aca="false">IF(C1482=0,"",IF($A1482="Bank",INDEX(Bank!$E:$E,$C1482),INDEX(GL!$E:$E,$C1482)))</f>
        <v/>
      </c>
      <c r="H1482" s="5" t="str">
        <f aca="false">IF(C1482=0,"",IF(A1482="GL",IF(G1482&gt;0,"Deposit in transit","Outstanding check / payment"),IF(G1482&gt;0,"Bank credit not in GL","Bank debit not in GL")))</f>
        <v/>
      </c>
      <c r="I1482" s="42" t="str">
        <f aca="false">IF(OR(C1482=0,CFG_PeriodEnd=""),"",CFG_PeriodEnd-D1482)</f>
        <v/>
      </c>
      <c r="J1482" s="5" t="str">
        <f aca="false">IF(C1482=0,"",IF($A1482="Bank",IF(INDEX(Bank!$G:$G,$C1482)="","",INDEX(Bank!$G:$G,$C1482)),IF(INDEX(GL!$G:$G,$C1482)="","",INDEX(GL!$G:$G,$C1482))))</f>
        <v/>
      </c>
      <c r="K1482" s="5" t="str">
        <f aca="false">IF(C1482=0,"",IF($A1482="Bank",IF(INDEX(Bank!$I:$I,$C1482)="","",INDEX(Bank!$I:$I,$C1482)),IF(INDEX(GL!$I:$I,$C1482)="","",INDEX(GL!$I:$I,$C1482))))</f>
        <v/>
      </c>
      <c r="L1482" s="5" t="str">
        <f aca="false">IF(B1482="","",IF(C1482=0,"NOT FOUND",IF(IF($A1482="Bank",INDEX(Bank!$F:$F,$C1482),INDEX(GL!$F:$F,$C1482))="Y","NOW RECONCILED: refresh","OK")))</f>
        <v/>
      </c>
    </row>
    <row r="1483" customFormat="false" ht="15" hidden="false" customHeight="false" outlineLevel="0" collapsed="false">
      <c r="A1483" s="41"/>
      <c r="B1483" s="41"/>
      <c r="C1483" s="5" t="n">
        <f aca="false">IF(B1483="",0,IF(A1483="Bank",IFERROR(MATCH(B1483,Bank!$A:$A,0),0),IFERROR(MATCH(B1483,GL!$A:$A,0),0)))</f>
        <v>0</v>
      </c>
      <c r="D1483" s="32" t="str">
        <f aca="false">IF(C1483=0,"",IF($A1483="Bank",INDEX(Bank!$B:$B,$C1483),INDEX(GL!$B:$B,$C1483)))</f>
        <v/>
      </c>
      <c r="E1483" s="5" t="str">
        <f aca="false">IF(C1483=0,"",IF($A1483="Bank",IF(INDEX(Bank!$C:$C,$C1483)="","",INDEX(Bank!$C:$C,$C1483)),IF(INDEX(GL!$C:$C,$C1483)="","",INDEX(GL!$C:$C,$C1483))))</f>
        <v/>
      </c>
      <c r="F1483" s="5" t="str">
        <f aca="false">IF(C1483=0,"",IF($A1483="Bank",IF(INDEX(Bank!$D:$D,$C1483)="","",INDEX(Bank!$D:$D,$C1483)),IF(INDEX(GL!$D:$D,$C1483)="","",INDEX(GL!$D:$D,$C1483))))</f>
        <v/>
      </c>
      <c r="G1483" s="19" t="str">
        <f aca="false">IF(C1483=0,"",IF($A1483="Bank",INDEX(Bank!$E:$E,$C1483),INDEX(GL!$E:$E,$C1483)))</f>
        <v/>
      </c>
      <c r="H1483" s="5" t="str">
        <f aca="false">IF(C1483=0,"",IF(A1483="GL",IF(G1483&gt;0,"Deposit in transit","Outstanding check / payment"),IF(G1483&gt;0,"Bank credit not in GL","Bank debit not in GL")))</f>
        <v/>
      </c>
      <c r="I1483" s="42" t="str">
        <f aca="false">IF(OR(C1483=0,CFG_PeriodEnd=""),"",CFG_PeriodEnd-D1483)</f>
        <v/>
      </c>
      <c r="J1483" s="5" t="str">
        <f aca="false">IF(C1483=0,"",IF($A1483="Bank",IF(INDEX(Bank!$G:$G,$C1483)="","",INDEX(Bank!$G:$G,$C1483)),IF(INDEX(GL!$G:$G,$C1483)="","",INDEX(GL!$G:$G,$C1483))))</f>
        <v/>
      </c>
      <c r="K1483" s="5" t="str">
        <f aca="false">IF(C1483=0,"",IF($A1483="Bank",IF(INDEX(Bank!$I:$I,$C1483)="","",INDEX(Bank!$I:$I,$C1483)),IF(INDEX(GL!$I:$I,$C1483)="","",INDEX(GL!$I:$I,$C1483))))</f>
        <v/>
      </c>
      <c r="L1483" s="5" t="str">
        <f aca="false">IF(B1483="","",IF(C1483=0,"NOT FOUND",IF(IF($A1483="Bank",INDEX(Bank!$F:$F,$C1483),INDEX(GL!$F:$F,$C1483))="Y","NOW RECONCILED: refresh","OK")))</f>
        <v/>
      </c>
    </row>
    <row r="1484" customFormat="false" ht="15" hidden="false" customHeight="false" outlineLevel="0" collapsed="false">
      <c r="A1484" s="41"/>
      <c r="B1484" s="41"/>
      <c r="C1484" s="5" t="n">
        <f aca="false">IF(B1484="",0,IF(A1484="Bank",IFERROR(MATCH(B1484,Bank!$A:$A,0),0),IFERROR(MATCH(B1484,GL!$A:$A,0),0)))</f>
        <v>0</v>
      </c>
      <c r="D1484" s="32" t="str">
        <f aca="false">IF(C1484=0,"",IF($A1484="Bank",INDEX(Bank!$B:$B,$C1484),INDEX(GL!$B:$B,$C1484)))</f>
        <v/>
      </c>
      <c r="E1484" s="5" t="str">
        <f aca="false">IF(C1484=0,"",IF($A1484="Bank",IF(INDEX(Bank!$C:$C,$C1484)="","",INDEX(Bank!$C:$C,$C1484)),IF(INDEX(GL!$C:$C,$C1484)="","",INDEX(GL!$C:$C,$C1484))))</f>
        <v/>
      </c>
      <c r="F1484" s="5" t="str">
        <f aca="false">IF(C1484=0,"",IF($A1484="Bank",IF(INDEX(Bank!$D:$D,$C1484)="","",INDEX(Bank!$D:$D,$C1484)),IF(INDEX(GL!$D:$D,$C1484)="","",INDEX(GL!$D:$D,$C1484))))</f>
        <v/>
      </c>
      <c r="G1484" s="19" t="str">
        <f aca="false">IF(C1484=0,"",IF($A1484="Bank",INDEX(Bank!$E:$E,$C1484),INDEX(GL!$E:$E,$C1484)))</f>
        <v/>
      </c>
      <c r="H1484" s="5" t="str">
        <f aca="false">IF(C1484=0,"",IF(A1484="GL",IF(G1484&gt;0,"Deposit in transit","Outstanding check / payment"),IF(G1484&gt;0,"Bank credit not in GL","Bank debit not in GL")))</f>
        <v/>
      </c>
      <c r="I1484" s="42" t="str">
        <f aca="false">IF(OR(C1484=0,CFG_PeriodEnd=""),"",CFG_PeriodEnd-D1484)</f>
        <v/>
      </c>
      <c r="J1484" s="5" t="str">
        <f aca="false">IF(C1484=0,"",IF($A1484="Bank",IF(INDEX(Bank!$G:$G,$C1484)="","",INDEX(Bank!$G:$G,$C1484)),IF(INDEX(GL!$G:$G,$C1484)="","",INDEX(GL!$G:$G,$C1484))))</f>
        <v/>
      </c>
      <c r="K1484" s="5" t="str">
        <f aca="false">IF(C1484=0,"",IF($A1484="Bank",IF(INDEX(Bank!$I:$I,$C1484)="","",INDEX(Bank!$I:$I,$C1484)),IF(INDEX(GL!$I:$I,$C1484)="","",INDEX(GL!$I:$I,$C1484))))</f>
        <v/>
      </c>
      <c r="L1484" s="5" t="str">
        <f aca="false">IF(B1484="","",IF(C1484=0,"NOT FOUND",IF(IF($A1484="Bank",INDEX(Bank!$F:$F,$C1484),INDEX(GL!$F:$F,$C1484))="Y","NOW RECONCILED: refresh","OK")))</f>
        <v/>
      </c>
    </row>
    <row r="1485" customFormat="false" ht="15" hidden="false" customHeight="false" outlineLevel="0" collapsed="false">
      <c r="A1485" s="41"/>
      <c r="B1485" s="41"/>
      <c r="C1485" s="5" t="n">
        <f aca="false">IF(B1485="",0,IF(A1485="Bank",IFERROR(MATCH(B1485,Bank!$A:$A,0),0),IFERROR(MATCH(B1485,GL!$A:$A,0),0)))</f>
        <v>0</v>
      </c>
      <c r="D1485" s="32" t="str">
        <f aca="false">IF(C1485=0,"",IF($A1485="Bank",INDEX(Bank!$B:$B,$C1485),INDEX(GL!$B:$B,$C1485)))</f>
        <v/>
      </c>
      <c r="E1485" s="5" t="str">
        <f aca="false">IF(C1485=0,"",IF($A1485="Bank",IF(INDEX(Bank!$C:$C,$C1485)="","",INDEX(Bank!$C:$C,$C1485)),IF(INDEX(GL!$C:$C,$C1485)="","",INDEX(GL!$C:$C,$C1485))))</f>
        <v/>
      </c>
      <c r="F1485" s="5" t="str">
        <f aca="false">IF(C1485=0,"",IF($A1485="Bank",IF(INDEX(Bank!$D:$D,$C1485)="","",INDEX(Bank!$D:$D,$C1485)),IF(INDEX(GL!$D:$D,$C1485)="","",INDEX(GL!$D:$D,$C1485))))</f>
        <v/>
      </c>
      <c r="G1485" s="19" t="str">
        <f aca="false">IF(C1485=0,"",IF($A1485="Bank",INDEX(Bank!$E:$E,$C1485),INDEX(GL!$E:$E,$C1485)))</f>
        <v/>
      </c>
      <c r="H1485" s="5" t="str">
        <f aca="false">IF(C1485=0,"",IF(A1485="GL",IF(G1485&gt;0,"Deposit in transit","Outstanding check / payment"),IF(G1485&gt;0,"Bank credit not in GL","Bank debit not in GL")))</f>
        <v/>
      </c>
      <c r="I1485" s="42" t="str">
        <f aca="false">IF(OR(C1485=0,CFG_PeriodEnd=""),"",CFG_PeriodEnd-D1485)</f>
        <v/>
      </c>
      <c r="J1485" s="5" t="str">
        <f aca="false">IF(C1485=0,"",IF($A1485="Bank",IF(INDEX(Bank!$G:$G,$C1485)="","",INDEX(Bank!$G:$G,$C1485)),IF(INDEX(GL!$G:$G,$C1485)="","",INDEX(GL!$G:$G,$C1485))))</f>
        <v/>
      </c>
      <c r="K1485" s="5" t="str">
        <f aca="false">IF(C1485=0,"",IF($A1485="Bank",IF(INDEX(Bank!$I:$I,$C1485)="","",INDEX(Bank!$I:$I,$C1485)),IF(INDEX(GL!$I:$I,$C1485)="","",INDEX(GL!$I:$I,$C1485))))</f>
        <v/>
      </c>
      <c r="L1485" s="5" t="str">
        <f aca="false">IF(B1485="","",IF(C1485=0,"NOT FOUND",IF(IF($A1485="Bank",INDEX(Bank!$F:$F,$C1485),INDEX(GL!$F:$F,$C1485))="Y","NOW RECONCILED: refresh","OK")))</f>
        <v/>
      </c>
    </row>
    <row r="1486" customFormat="false" ht="15" hidden="false" customHeight="false" outlineLevel="0" collapsed="false">
      <c r="A1486" s="41"/>
      <c r="B1486" s="41"/>
      <c r="C1486" s="5" t="n">
        <f aca="false">IF(B1486="",0,IF(A1486="Bank",IFERROR(MATCH(B1486,Bank!$A:$A,0),0),IFERROR(MATCH(B1486,GL!$A:$A,0),0)))</f>
        <v>0</v>
      </c>
      <c r="D1486" s="32" t="str">
        <f aca="false">IF(C1486=0,"",IF($A1486="Bank",INDEX(Bank!$B:$B,$C1486),INDEX(GL!$B:$B,$C1486)))</f>
        <v/>
      </c>
      <c r="E1486" s="5" t="str">
        <f aca="false">IF(C1486=0,"",IF($A1486="Bank",IF(INDEX(Bank!$C:$C,$C1486)="","",INDEX(Bank!$C:$C,$C1486)),IF(INDEX(GL!$C:$C,$C1486)="","",INDEX(GL!$C:$C,$C1486))))</f>
        <v/>
      </c>
      <c r="F1486" s="5" t="str">
        <f aca="false">IF(C1486=0,"",IF($A1486="Bank",IF(INDEX(Bank!$D:$D,$C1486)="","",INDEX(Bank!$D:$D,$C1486)),IF(INDEX(GL!$D:$D,$C1486)="","",INDEX(GL!$D:$D,$C1486))))</f>
        <v/>
      </c>
      <c r="G1486" s="19" t="str">
        <f aca="false">IF(C1486=0,"",IF($A1486="Bank",INDEX(Bank!$E:$E,$C1486),INDEX(GL!$E:$E,$C1486)))</f>
        <v/>
      </c>
      <c r="H1486" s="5" t="str">
        <f aca="false">IF(C1486=0,"",IF(A1486="GL",IF(G1486&gt;0,"Deposit in transit","Outstanding check / payment"),IF(G1486&gt;0,"Bank credit not in GL","Bank debit not in GL")))</f>
        <v/>
      </c>
      <c r="I1486" s="42" t="str">
        <f aca="false">IF(OR(C1486=0,CFG_PeriodEnd=""),"",CFG_PeriodEnd-D1486)</f>
        <v/>
      </c>
      <c r="J1486" s="5" t="str">
        <f aca="false">IF(C1486=0,"",IF($A1486="Bank",IF(INDEX(Bank!$G:$G,$C1486)="","",INDEX(Bank!$G:$G,$C1486)),IF(INDEX(GL!$G:$G,$C1486)="","",INDEX(GL!$G:$G,$C1486))))</f>
        <v/>
      </c>
      <c r="K1486" s="5" t="str">
        <f aca="false">IF(C1486=0,"",IF($A1486="Bank",IF(INDEX(Bank!$I:$I,$C1486)="","",INDEX(Bank!$I:$I,$C1486)),IF(INDEX(GL!$I:$I,$C1486)="","",INDEX(GL!$I:$I,$C1486))))</f>
        <v/>
      </c>
      <c r="L1486" s="5" t="str">
        <f aca="false">IF(B1486="","",IF(C1486=0,"NOT FOUND",IF(IF($A1486="Bank",INDEX(Bank!$F:$F,$C1486),INDEX(GL!$F:$F,$C1486))="Y","NOW RECONCILED: refresh","OK")))</f>
        <v/>
      </c>
    </row>
    <row r="1487" customFormat="false" ht="15" hidden="false" customHeight="false" outlineLevel="0" collapsed="false">
      <c r="A1487" s="41"/>
      <c r="B1487" s="41"/>
      <c r="C1487" s="5" t="n">
        <f aca="false">IF(B1487="",0,IF(A1487="Bank",IFERROR(MATCH(B1487,Bank!$A:$A,0),0),IFERROR(MATCH(B1487,GL!$A:$A,0),0)))</f>
        <v>0</v>
      </c>
      <c r="D1487" s="32" t="str">
        <f aca="false">IF(C1487=0,"",IF($A1487="Bank",INDEX(Bank!$B:$B,$C1487),INDEX(GL!$B:$B,$C1487)))</f>
        <v/>
      </c>
      <c r="E1487" s="5" t="str">
        <f aca="false">IF(C1487=0,"",IF($A1487="Bank",IF(INDEX(Bank!$C:$C,$C1487)="","",INDEX(Bank!$C:$C,$C1487)),IF(INDEX(GL!$C:$C,$C1487)="","",INDEX(GL!$C:$C,$C1487))))</f>
        <v/>
      </c>
      <c r="F1487" s="5" t="str">
        <f aca="false">IF(C1487=0,"",IF($A1487="Bank",IF(INDEX(Bank!$D:$D,$C1487)="","",INDEX(Bank!$D:$D,$C1487)),IF(INDEX(GL!$D:$D,$C1487)="","",INDEX(GL!$D:$D,$C1487))))</f>
        <v/>
      </c>
      <c r="G1487" s="19" t="str">
        <f aca="false">IF(C1487=0,"",IF($A1487="Bank",INDEX(Bank!$E:$E,$C1487),INDEX(GL!$E:$E,$C1487)))</f>
        <v/>
      </c>
      <c r="H1487" s="5" t="str">
        <f aca="false">IF(C1487=0,"",IF(A1487="GL",IF(G1487&gt;0,"Deposit in transit","Outstanding check / payment"),IF(G1487&gt;0,"Bank credit not in GL","Bank debit not in GL")))</f>
        <v/>
      </c>
      <c r="I1487" s="42" t="str">
        <f aca="false">IF(OR(C1487=0,CFG_PeriodEnd=""),"",CFG_PeriodEnd-D1487)</f>
        <v/>
      </c>
      <c r="J1487" s="5" t="str">
        <f aca="false">IF(C1487=0,"",IF($A1487="Bank",IF(INDEX(Bank!$G:$G,$C1487)="","",INDEX(Bank!$G:$G,$C1487)),IF(INDEX(GL!$G:$G,$C1487)="","",INDEX(GL!$G:$G,$C1487))))</f>
        <v/>
      </c>
      <c r="K1487" s="5" t="str">
        <f aca="false">IF(C1487=0,"",IF($A1487="Bank",IF(INDEX(Bank!$I:$I,$C1487)="","",INDEX(Bank!$I:$I,$C1487)),IF(INDEX(GL!$I:$I,$C1487)="","",INDEX(GL!$I:$I,$C1487))))</f>
        <v/>
      </c>
      <c r="L1487" s="5" t="str">
        <f aca="false">IF(B1487="","",IF(C1487=0,"NOT FOUND",IF(IF($A1487="Bank",INDEX(Bank!$F:$F,$C1487),INDEX(GL!$F:$F,$C1487))="Y","NOW RECONCILED: refresh","OK")))</f>
        <v/>
      </c>
    </row>
    <row r="1488" customFormat="false" ht="15" hidden="false" customHeight="false" outlineLevel="0" collapsed="false">
      <c r="A1488" s="41"/>
      <c r="B1488" s="41"/>
      <c r="C1488" s="5" t="n">
        <f aca="false">IF(B1488="",0,IF(A1488="Bank",IFERROR(MATCH(B1488,Bank!$A:$A,0),0),IFERROR(MATCH(B1488,GL!$A:$A,0),0)))</f>
        <v>0</v>
      </c>
      <c r="D1488" s="32" t="str">
        <f aca="false">IF(C1488=0,"",IF($A1488="Bank",INDEX(Bank!$B:$B,$C1488),INDEX(GL!$B:$B,$C1488)))</f>
        <v/>
      </c>
      <c r="E1488" s="5" t="str">
        <f aca="false">IF(C1488=0,"",IF($A1488="Bank",IF(INDEX(Bank!$C:$C,$C1488)="","",INDEX(Bank!$C:$C,$C1488)),IF(INDEX(GL!$C:$C,$C1488)="","",INDEX(GL!$C:$C,$C1488))))</f>
        <v/>
      </c>
      <c r="F1488" s="5" t="str">
        <f aca="false">IF(C1488=0,"",IF($A1488="Bank",IF(INDEX(Bank!$D:$D,$C1488)="","",INDEX(Bank!$D:$D,$C1488)),IF(INDEX(GL!$D:$D,$C1488)="","",INDEX(GL!$D:$D,$C1488))))</f>
        <v/>
      </c>
      <c r="G1488" s="19" t="str">
        <f aca="false">IF(C1488=0,"",IF($A1488="Bank",INDEX(Bank!$E:$E,$C1488),INDEX(GL!$E:$E,$C1488)))</f>
        <v/>
      </c>
      <c r="H1488" s="5" t="str">
        <f aca="false">IF(C1488=0,"",IF(A1488="GL",IF(G1488&gt;0,"Deposit in transit","Outstanding check / payment"),IF(G1488&gt;0,"Bank credit not in GL","Bank debit not in GL")))</f>
        <v/>
      </c>
      <c r="I1488" s="42" t="str">
        <f aca="false">IF(OR(C1488=0,CFG_PeriodEnd=""),"",CFG_PeriodEnd-D1488)</f>
        <v/>
      </c>
      <c r="J1488" s="5" t="str">
        <f aca="false">IF(C1488=0,"",IF($A1488="Bank",IF(INDEX(Bank!$G:$G,$C1488)="","",INDEX(Bank!$G:$G,$C1488)),IF(INDEX(GL!$G:$G,$C1488)="","",INDEX(GL!$G:$G,$C1488))))</f>
        <v/>
      </c>
      <c r="K1488" s="5" t="str">
        <f aca="false">IF(C1488=0,"",IF($A1488="Bank",IF(INDEX(Bank!$I:$I,$C1488)="","",INDEX(Bank!$I:$I,$C1488)),IF(INDEX(GL!$I:$I,$C1488)="","",INDEX(GL!$I:$I,$C1488))))</f>
        <v/>
      </c>
      <c r="L1488" s="5" t="str">
        <f aca="false">IF(B1488="","",IF(C1488=0,"NOT FOUND",IF(IF($A1488="Bank",INDEX(Bank!$F:$F,$C1488),INDEX(GL!$F:$F,$C1488))="Y","NOW RECONCILED: refresh","OK")))</f>
        <v/>
      </c>
    </row>
    <row r="1489" customFormat="false" ht="15" hidden="false" customHeight="false" outlineLevel="0" collapsed="false">
      <c r="A1489" s="41"/>
      <c r="B1489" s="41"/>
      <c r="C1489" s="5" t="n">
        <f aca="false">IF(B1489="",0,IF(A1489="Bank",IFERROR(MATCH(B1489,Bank!$A:$A,0),0),IFERROR(MATCH(B1489,GL!$A:$A,0),0)))</f>
        <v>0</v>
      </c>
      <c r="D1489" s="32" t="str">
        <f aca="false">IF(C1489=0,"",IF($A1489="Bank",INDEX(Bank!$B:$B,$C1489),INDEX(GL!$B:$B,$C1489)))</f>
        <v/>
      </c>
      <c r="E1489" s="5" t="str">
        <f aca="false">IF(C1489=0,"",IF($A1489="Bank",IF(INDEX(Bank!$C:$C,$C1489)="","",INDEX(Bank!$C:$C,$C1489)),IF(INDEX(GL!$C:$C,$C1489)="","",INDEX(GL!$C:$C,$C1489))))</f>
        <v/>
      </c>
      <c r="F1489" s="5" t="str">
        <f aca="false">IF(C1489=0,"",IF($A1489="Bank",IF(INDEX(Bank!$D:$D,$C1489)="","",INDEX(Bank!$D:$D,$C1489)),IF(INDEX(GL!$D:$D,$C1489)="","",INDEX(GL!$D:$D,$C1489))))</f>
        <v/>
      </c>
      <c r="G1489" s="19" t="str">
        <f aca="false">IF(C1489=0,"",IF($A1489="Bank",INDEX(Bank!$E:$E,$C1489),INDEX(GL!$E:$E,$C1489)))</f>
        <v/>
      </c>
      <c r="H1489" s="5" t="str">
        <f aca="false">IF(C1489=0,"",IF(A1489="GL",IF(G1489&gt;0,"Deposit in transit","Outstanding check / payment"),IF(G1489&gt;0,"Bank credit not in GL","Bank debit not in GL")))</f>
        <v/>
      </c>
      <c r="I1489" s="42" t="str">
        <f aca="false">IF(OR(C1489=0,CFG_PeriodEnd=""),"",CFG_PeriodEnd-D1489)</f>
        <v/>
      </c>
      <c r="J1489" s="5" t="str">
        <f aca="false">IF(C1489=0,"",IF($A1489="Bank",IF(INDEX(Bank!$G:$G,$C1489)="","",INDEX(Bank!$G:$G,$C1489)),IF(INDEX(GL!$G:$G,$C1489)="","",INDEX(GL!$G:$G,$C1489))))</f>
        <v/>
      </c>
      <c r="K1489" s="5" t="str">
        <f aca="false">IF(C1489=0,"",IF($A1489="Bank",IF(INDEX(Bank!$I:$I,$C1489)="","",INDEX(Bank!$I:$I,$C1489)),IF(INDEX(GL!$I:$I,$C1489)="","",INDEX(GL!$I:$I,$C1489))))</f>
        <v/>
      </c>
      <c r="L1489" s="5" t="str">
        <f aca="false">IF(B1489="","",IF(C1489=0,"NOT FOUND",IF(IF($A1489="Bank",INDEX(Bank!$F:$F,$C1489),INDEX(GL!$F:$F,$C1489))="Y","NOW RECONCILED: refresh","OK")))</f>
        <v/>
      </c>
    </row>
    <row r="1490" customFormat="false" ht="15" hidden="false" customHeight="false" outlineLevel="0" collapsed="false">
      <c r="A1490" s="41"/>
      <c r="B1490" s="41"/>
      <c r="C1490" s="5" t="n">
        <f aca="false">IF(B1490="",0,IF(A1490="Bank",IFERROR(MATCH(B1490,Bank!$A:$A,0),0),IFERROR(MATCH(B1490,GL!$A:$A,0),0)))</f>
        <v>0</v>
      </c>
      <c r="D1490" s="32" t="str">
        <f aca="false">IF(C1490=0,"",IF($A1490="Bank",INDEX(Bank!$B:$B,$C1490),INDEX(GL!$B:$B,$C1490)))</f>
        <v/>
      </c>
      <c r="E1490" s="5" t="str">
        <f aca="false">IF(C1490=0,"",IF($A1490="Bank",IF(INDEX(Bank!$C:$C,$C1490)="","",INDEX(Bank!$C:$C,$C1490)),IF(INDEX(GL!$C:$C,$C1490)="","",INDEX(GL!$C:$C,$C1490))))</f>
        <v/>
      </c>
      <c r="F1490" s="5" t="str">
        <f aca="false">IF(C1490=0,"",IF($A1490="Bank",IF(INDEX(Bank!$D:$D,$C1490)="","",INDEX(Bank!$D:$D,$C1490)),IF(INDEX(GL!$D:$D,$C1490)="","",INDEX(GL!$D:$D,$C1490))))</f>
        <v/>
      </c>
      <c r="G1490" s="19" t="str">
        <f aca="false">IF(C1490=0,"",IF($A1490="Bank",INDEX(Bank!$E:$E,$C1490),INDEX(GL!$E:$E,$C1490)))</f>
        <v/>
      </c>
      <c r="H1490" s="5" t="str">
        <f aca="false">IF(C1490=0,"",IF(A1490="GL",IF(G1490&gt;0,"Deposit in transit","Outstanding check / payment"),IF(G1490&gt;0,"Bank credit not in GL","Bank debit not in GL")))</f>
        <v/>
      </c>
      <c r="I1490" s="42" t="str">
        <f aca="false">IF(OR(C1490=0,CFG_PeriodEnd=""),"",CFG_PeriodEnd-D1490)</f>
        <v/>
      </c>
      <c r="J1490" s="5" t="str">
        <f aca="false">IF(C1490=0,"",IF($A1490="Bank",IF(INDEX(Bank!$G:$G,$C1490)="","",INDEX(Bank!$G:$G,$C1490)),IF(INDEX(GL!$G:$G,$C1490)="","",INDEX(GL!$G:$G,$C1490))))</f>
        <v/>
      </c>
      <c r="K1490" s="5" t="str">
        <f aca="false">IF(C1490=0,"",IF($A1490="Bank",IF(INDEX(Bank!$I:$I,$C1490)="","",INDEX(Bank!$I:$I,$C1490)),IF(INDEX(GL!$I:$I,$C1490)="","",INDEX(GL!$I:$I,$C1490))))</f>
        <v/>
      </c>
      <c r="L1490" s="5" t="str">
        <f aca="false">IF(B1490="","",IF(C1490=0,"NOT FOUND",IF(IF($A1490="Bank",INDEX(Bank!$F:$F,$C1490),INDEX(GL!$F:$F,$C1490))="Y","NOW RECONCILED: refresh","OK")))</f>
        <v/>
      </c>
    </row>
    <row r="1491" customFormat="false" ht="15" hidden="false" customHeight="false" outlineLevel="0" collapsed="false">
      <c r="A1491" s="41"/>
      <c r="B1491" s="41"/>
      <c r="C1491" s="5" t="n">
        <f aca="false">IF(B1491="",0,IF(A1491="Bank",IFERROR(MATCH(B1491,Bank!$A:$A,0),0),IFERROR(MATCH(B1491,GL!$A:$A,0),0)))</f>
        <v>0</v>
      </c>
      <c r="D1491" s="32" t="str">
        <f aca="false">IF(C1491=0,"",IF($A1491="Bank",INDEX(Bank!$B:$B,$C1491),INDEX(GL!$B:$B,$C1491)))</f>
        <v/>
      </c>
      <c r="E1491" s="5" t="str">
        <f aca="false">IF(C1491=0,"",IF($A1491="Bank",IF(INDEX(Bank!$C:$C,$C1491)="","",INDEX(Bank!$C:$C,$C1491)),IF(INDEX(GL!$C:$C,$C1491)="","",INDEX(GL!$C:$C,$C1491))))</f>
        <v/>
      </c>
      <c r="F1491" s="5" t="str">
        <f aca="false">IF(C1491=0,"",IF($A1491="Bank",IF(INDEX(Bank!$D:$D,$C1491)="","",INDEX(Bank!$D:$D,$C1491)),IF(INDEX(GL!$D:$D,$C1491)="","",INDEX(GL!$D:$D,$C1491))))</f>
        <v/>
      </c>
      <c r="G1491" s="19" t="str">
        <f aca="false">IF(C1491=0,"",IF($A1491="Bank",INDEX(Bank!$E:$E,$C1491),INDEX(GL!$E:$E,$C1491)))</f>
        <v/>
      </c>
      <c r="H1491" s="5" t="str">
        <f aca="false">IF(C1491=0,"",IF(A1491="GL",IF(G1491&gt;0,"Deposit in transit","Outstanding check / payment"),IF(G1491&gt;0,"Bank credit not in GL","Bank debit not in GL")))</f>
        <v/>
      </c>
      <c r="I1491" s="42" t="str">
        <f aca="false">IF(OR(C1491=0,CFG_PeriodEnd=""),"",CFG_PeriodEnd-D1491)</f>
        <v/>
      </c>
      <c r="J1491" s="5" t="str">
        <f aca="false">IF(C1491=0,"",IF($A1491="Bank",IF(INDEX(Bank!$G:$G,$C1491)="","",INDEX(Bank!$G:$G,$C1491)),IF(INDEX(GL!$G:$G,$C1491)="","",INDEX(GL!$G:$G,$C1491))))</f>
        <v/>
      </c>
      <c r="K1491" s="5" t="str">
        <f aca="false">IF(C1491=0,"",IF($A1491="Bank",IF(INDEX(Bank!$I:$I,$C1491)="","",INDEX(Bank!$I:$I,$C1491)),IF(INDEX(GL!$I:$I,$C1491)="","",INDEX(GL!$I:$I,$C1491))))</f>
        <v/>
      </c>
      <c r="L1491" s="5" t="str">
        <f aca="false">IF(B1491="","",IF(C1491=0,"NOT FOUND",IF(IF($A1491="Bank",INDEX(Bank!$F:$F,$C1491),INDEX(GL!$F:$F,$C1491))="Y","NOW RECONCILED: refresh","OK")))</f>
        <v/>
      </c>
    </row>
    <row r="1492" customFormat="false" ht="15" hidden="false" customHeight="false" outlineLevel="0" collapsed="false">
      <c r="A1492" s="41"/>
      <c r="B1492" s="41"/>
      <c r="C1492" s="5" t="n">
        <f aca="false">IF(B1492="",0,IF(A1492="Bank",IFERROR(MATCH(B1492,Bank!$A:$A,0),0),IFERROR(MATCH(B1492,GL!$A:$A,0),0)))</f>
        <v>0</v>
      </c>
      <c r="D1492" s="32" t="str">
        <f aca="false">IF(C1492=0,"",IF($A1492="Bank",INDEX(Bank!$B:$B,$C1492),INDEX(GL!$B:$B,$C1492)))</f>
        <v/>
      </c>
      <c r="E1492" s="5" t="str">
        <f aca="false">IF(C1492=0,"",IF($A1492="Bank",IF(INDEX(Bank!$C:$C,$C1492)="","",INDEX(Bank!$C:$C,$C1492)),IF(INDEX(GL!$C:$C,$C1492)="","",INDEX(GL!$C:$C,$C1492))))</f>
        <v/>
      </c>
      <c r="F1492" s="5" t="str">
        <f aca="false">IF(C1492=0,"",IF($A1492="Bank",IF(INDEX(Bank!$D:$D,$C1492)="","",INDEX(Bank!$D:$D,$C1492)),IF(INDEX(GL!$D:$D,$C1492)="","",INDEX(GL!$D:$D,$C1492))))</f>
        <v/>
      </c>
      <c r="G1492" s="19" t="str">
        <f aca="false">IF(C1492=0,"",IF($A1492="Bank",INDEX(Bank!$E:$E,$C1492),INDEX(GL!$E:$E,$C1492)))</f>
        <v/>
      </c>
      <c r="H1492" s="5" t="str">
        <f aca="false">IF(C1492=0,"",IF(A1492="GL",IF(G1492&gt;0,"Deposit in transit","Outstanding check / payment"),IF(G1492&gt;0,"Bank credit not in GL","Bank debit not in GL")))</f>
        <v/>
      </c>
      <c r="I1492" s="42" t="str">
        <f aca="false">IF(OR(C1492=0,CFG_PeriodEnd=""),"",CFG_PeriodEnd-D1492)</f>
        <v/>
      </c>
      <c r="J1492" s="5" t="str">
        <f aca="false">IF(C1492=0,"",IF($A1492="Bank",IF(INDEX(Bank!$G:$G,$C1492)="","",INDEX(Bank!$G:$G,$C1492)),IF(INDEX(GL!$G:$G,$C1492)="","",INDEX(GL!$G:$G,$C1492))))</f>
        <v/>
      </c>
      <c r="K1492" s="5" t="str">
        <f aca="false">IF(C1492=0,"",IF($A1492="Bank",IF(INDEX(Bank!$I:$I,$C1492)="","",INDEX(Bank!$I:$I,$C1492)),IF(INDEX(GL!$I:$I,$C1492)="","",INDEX(GL!$I:$I,$C1492))))</f>
        <v/>
      </c>
      <c r="L1492" s="5" t="str">
        <f aca="false">IF(B1492="","",IF(C1492=0,"NOT FOUND",IF(IF($A1492="Bank",INDEX(Bank!$F:$F,$C1492),INDEX(GL!$F:$F,$C1492))="Y","NOW RECONCILED: refresh","OK")))</f>
        <v/>
      </c>
    </row>
    <row r="1493" customFormat="false" ht="15" hidden="false" customHeight="false" outlineLevel="0" collapsed="false">
      <c r="A1493" s="41"/>
      <c r="B1493" s="41"/>
      <c r="C1493" s="5" t="n">
        <f aca="false">IF(B1493="",0,IF(A1493="Bank",IFERROR(MATCH(B1493,Bank!$A:$A,0),0),IFERROR(MATCH(B1493,GL!$A:$A,0),0)))</f>
        <v>0</v>
      </c>
      <c r="D1493" s="32" t="str">
        <f aca="false">IF(C1493=0,"",IF($A1493="Bank",INDEX(Bank!$B:$B,$C1493),INDEX(GL!$B:$B,$C1493)))</f>
        <v/>
      </c>
      <c r="E1493" s="5" t="str">
        <f aca="false">IF(C1493=0,"",IF($A1493="Bank",IF(INDEX(Bank!$C:$C,$C1493)="","",INDEX(Bank!$C:$C,$C1493)),IF(INDEX(GL!$C:$C,$C1493)="","",INDEX(GL!$C:$C,$C1493))))</f>
        <v/>
      </c>
      <c r="F1493" s="5" t="str">
        <f aca="false">IF(C1493=0,"",IF($A1493="Bank",IF(INDEX(Bank!$D:$D,$C1493)="","",INDEX(Bank!$D:$D,$C1493)),IF(INDEX(GL!$D:$D,$C1493)="","",INDEX(GL!$D:$D,$C1493))))</f>
        <v/>
      </c>
      <c r="G1493" s="19" t="str">
        <f aca="false">IF(C1493=0,"",IF($A1493="Bank",INDEX(Bank!$E:$E,$C1493),INDEX(GL!$E:$E,$C1493)))</f>
        <v/>
      </c>
      <c r="H1493" s="5" t="str">
        <f aca="false">IF(C1493=0,"",IF(A1493="GL",IF(G1493&gt;0,"Deposit in transit","Outstanding check / payment"),IF(G1493&gt;0,"Bank credit not in GL","Bank debit not in GL")))</f>
        <v/>
      </c>
      <c r="I1493" s="42" t="str">
        <f aca="false">IF(OR(C1493=0,CFG_PeriodEnd=""),"",CFG_PeriodEnd-D1493)</f>
        <v/>
      </c>
      <c r="J1493" s="5" t="str">
        <f aca="false">IF(C1493=0,"",IF($A1493="Bank",IF(INDEX(Bank!$G:$G,$C1493)="","",INDEX(Bank!$G:$G,$C1493)),IF(INDEX(GL!$G:$G,$C1493)="","",INDEX(GL!$G:$G,$C1493))))</f>
        <v/>
      </c>
      <c r="K1493" s="5" t="str">
        <f aca="false">IF(C1493=0,"",IF($A1493="Bank",IF(INDEX(Bank!$I:$I,$C1493)="","",INDEX(Bank!$I:$I,$C1493)),IF(INDEX(GL!$I:$I,$C1493)="","",INDEX(GL!$I:$I,$C1493))))</f>
        <v/>
      </c>
      <c r="L1493" s="5" t="str">
        <f aca="false">IF(B1493="","",IF(C1493=0,"NOT FOUND",IF(IF($A1493="Bank",INDEX(Bank!$F:$F,$C1493),INDEX(GL!$F:$F,$C1493))="Y","NOW RECONCILED: refresh","OK")))</f>
        <v/>
      </c>
    </row>
    <row r="1494" customFormat="false" ht="15" hidden="false" customHeight="false" outlineLevel="0" collapsed="false">
      <c r="A1494" s="41"/>
      <c r="B1494" s="41"/>
      <c r="C1494" s="5" t="n">
        <f aca="false">IF(B1494="",0,IF(A1494="Bank",IFERROR(MATCH(B1494,Bank!$A:$A,0),0),IFERROR(MATCH(B1494,GL!$A:$A,0),0)))</f>
        <v>0</v>
      </c>
      <c r="D1494" s="32" t="str">
        <f aca="false">IF(C1494=0,"",IF($A1494="Bank",INDEX(Bank!$B:$B,$C1494),INDEX(GL!$B:$B,$C1494)))</f>
        <v/>
      </c>
      <c r="E1494" s="5" t="str">
        <f aca="false">IF(C1494=0,"",IF($A1494="Bank",IF(INDEX(Bank!$C:$C,$C1494)="","",INDEX(Bank!$C:$C,$C1494)),IF(INDEX(GL!$C:$C,$C1494)="","",INDEX(GL!$C:$C,$C1494))))</f>
        <v/>
      </c>
      <c r="F1494" s="5" t="str">
        <f aca="false">IF(C1494=0,"",IF($A1494="Bank",IF(INDEX(Bank!$D:$D,$C1494)="","",INDEX(Bank!$D:$D,$C1494)),IF(INDEX(GL!$D:$D,$C1494)="","",INDEX(GL!$D:$D,$C1494))))</f>
        <v/>
      </c>
      <c r="G1494" s="19" t="str">
        <f aca="false">IF(C1494=0,"",IF($A1494="Bank",INDEX(Bank!$E:$E,$C1494),INDEX(GL!$E:$E,$C1494)))</f>
        <v/>
      </c>
      <c r="H1494" s="5" t="str">
        <f aca="false">IF(C1494=0,"",IF(A1494="GL",IF(G1494&gt;0,"Deposit in transit","Outstanding check / payment"),IF(G1494&gt;0,"Bank credit not in GL","Bank debit not in GL")))</f>
        <v/>
      </c>
      <c r="I1494" s="42" t="str">
        <f aca="false">IF(OR(C1494=0,CFG_PeriodEnd=""),"",CFG_PeriodEnd-D1494)</f>
        <v/>
      </c>
      <c r="J1494" s="5" t="str">
        <f aca="false">IF(C1494=0,"",IF($A1494="Bank",IF(INDEX(Bank!$G:$G,$C1494)="","",INDEX(Bank!$G:$G,$C1494)),IF(INDEX(GL!$G:$G,$C1494)="","",INDEX(GL!$G:$G,$C1494))))</f>
        <v/>
      </c>
      <c r="K1494" s="5" t="str">
        <f aca="false">IF(C1494=0,"",IF($A1494="Bank",IF(INDEX(Bank!$I:$I,$C1494)="","",INDEX(Bank!$I:$I,$C1494)),IF(INDEX(GL!$I:$I,$C1494)="","",INDEX(GL!$I:$I,$C1494))))</f>
        <v/>
      </c>
      <c r="L1494" s="5" t="str">
        <f aca="false">IF(B1494="","",IF(C1494=0,"NOT FOUND",IF(IF($A1494="Bank",INDEX(Bank!$F:$F,$C1494),INDEX(GL!$F:$F,$C1494))="Y","NOW RECONCILED: refresh","OK")))</f>
        <v/>
      </c>
    </row>
    <row r="1495" customFormat="false" ht="15" hidden="false" customHeight="false" outlineLevel="0" collapsed="false">
      <c r="A1495" s="41"/>
      <c r="B1495" s="41"/>
      <c r="C1495" s="5" t="n">
        <f aca="false">IF(B1495="",0,IF(A1495="Bank",IFERROR(MATCH(B1495,Bank!$A:$A,0),0),IFERROR(MATCH(B1495,GL!$A:$A,0),0)))</f>
        <v>0</v>
      </c>
      <c r="D1495" s="32" t="str">
        <f aca="false">IF(C1495=0,"",IF($A1495="Bank",INDEX(Bank!$B:$B,$C1495),INDEX(GL!$B:$B,$C1495)))</f>
        <v/>
      </c>
      <c r="E1495" s="5" t="str">
        <f aca="false">IF(C1495=0,"",IF($A1495="Bank",IF(INDEX(Bank!$C:$C,$C1495)="","",INDEX(Bank!$C:$C,$C1495)),IF(INDEX(GL!$C:$C,$C1495)="","",INDEX(GL!$C:$C,$C1495))))</f>
        <v/>
      </c>
      <c r="F1495" s="5" t="str">
        <f aca="false">IF(C1495=0,"",IF($A1495="Bank",IF(INDEX(Bank!$D:$D,$C1495)="","",INDEX(Bank!$D:$D,$C1495)),IF(INDEX(GL!$D:$D,$C1495)="","",INDEX(GL!$D:$D,$C1495))))</f>
        <v/>
      </c>
      <c r="G1495" s="19" t="str">
        <f aca="false">IF(C1495=0,"",IF($A1495="Bank",INDEX(Bank!$E:$E,$C1495),INDEX(GL!$E:$E,$C1495)))</f>
        <v/>
      </c>
      <c r="H1495" s="5" t="str">
        <f aca="false">IF(C1495=0,"",IF(A1495="GL",IF(G1495&gt;0,"Deposit in transit","Outstanding check / payment"),IF(G1495&gt;0,"Bank credit not in GL","Bank debit not in GL")))</f>
        <v/>
      </c>
      <c r="I1495" s="42" t="str">
        <f aca="false">IF(OR(C1495=0,CFG_PeriodEnd=""),"",CFG_PeriodEnd-D1495)</f>
        <v/>
      </c>
      <c r="J1495" s="5" t="str">
        <f aca="false">IF(C1495=0,"",IF($A1495="Bank",IF(INDEX(Bank!$G:$G,$C1495)="","",INDEX(Bank!$G:$G,$C1495)),IF(INDEX(GL!$G:$G,$C1495)="","",INDEX(GL!$G:$G,$C1495))))</f>
        <v/>
      </c>
      <c r="K1495" s="5" t="str">
        <f aca="false">IF(C1495=0,"",IF($A1495="Bank",IF(INDEX(Bank!$I:$I,$C1495)="","",INDEX(Bank!$I:$I,$C1495)),IF(INDEX(GL!$I:$I,$C1495)="","",INDEX(GL!$I:$I,$C1495))))</f>
        <v/>
      </c>
      <c r="L1495" s="5" t="str">
        <f aca="false">IF(B1495="","",IF(C1495=0,"NOT FOUND",IF(IF($A1495="Bank",INDEX(Bank!$F:$F,$C1495),INDEX(GL!$F:$F,$C1495))="Y","NOW RECONCILED: refresh","OK")))</f>
        <v/>
      </c>
    </row>
    <row r="1496" customFormat="false" ht="15" hidden="false" customHeight="false" outlineLevel="0" collapsed="false">
      <c r="A1496" s="41"/>
      <c r="B1496" s="41"/>
      <c r="C1496" s="5" t="n">
        <f aca="false">IF(B1496="",0,IF(A1496="Bank",IFERROR(MATCH(B1496,Bank!$A:$A,0),0),IFERROR(MATCH(B1496,GL!$A:$A,0),0)))</f>
        <v>0</v>
      </c>
      <c r="D1496" s="32" t="str">
        <f aca="false">IF(C1496=0,"",IF($A1496="Bank",INDEX(Bank!$B:$B,$C1496),INDEX(GL!$B:$B,$C1496)))</f>
        <v/>
      </c>
      <c r="E1496" s="5" t="str">
        <f aca="false">IF(C1496=0,"",IF($A1496="Bank",IF(INDEX(Bank!$C:$C,$C1496)="","",INDEX(Bank!$C:$C,$C1496)),IF(INDEX(GL!$C:$C,$C1496)="","",INDEX(GL!$C:$C,$C1496))))</f>
        <v/>
      </c>
      <c r="F1496" s="5" t="str">
        <f aca="false">IF(C1496=0,"",IF($A1496="Bank",IF(INDEX(Bank!$D:$D,$C1496)="","",INDEX(Bank!$D:$D,$C1496)),IF(INDEX(GL!$D:$D,$C1496)="","",INDEX(GL!$D:$D,$C1496))))</f>
        <v/>
      </c>
      <c r="G1496" s="19" t="str">
        <f aca="false">IF(C1496=0,"",IF($A1496="Bank",INDEX(Bank!$E:$E,$C1496),INDEX(GL!$E:$E,$C1496)))</f>
        <v/>
      </c>
      <c r="H1496" s="5" t="str">
        <f aca="false">IF(C1496=0,"",IF(A1496="GL",IF(G1496&gt;0,"Deposit in transit","Outstanding check / payment"),IF(G1496&gt;0,"Bank credit not in GL","Bank debit not in GL")))</f>
        <v/>
      </c>
      <c r="I1496" s="42" t="str">
        <f aca="false">IF(OR(C1496=0,CFG_PeriodEnd=""),"",CFG_PeriodEnd-D1496)</f>
        <v/>
      </c>
      <c r="J1496" s="5" t="str">
        <f aca="false">IF(C1496=0,"",IF($A1496="Bank",IF(INDEX(Bank!$G:$G,$C1496)="","",INDEX(Bank!$G:$G,$C1496)),IF(INDEX(GL!$G:$G,$C1496)="","",INDEX(GL!$G:$G,$C1496))))</f>
        <v/>
      </c>
      <c r="K1496" s="5" t="str">
        <f aca="false">IF(C1496=0,"",IF($A1496="Bank",IF(INDEX(Bank!$I:$I,$C1496)="","",INDEX(Bank!$I:$I,$C1496)),IF(INDEX(GL!$I:$I,$C1496)="","",INDEX(GL!$I:$I,$C1496))))</f>
        <v/>
      </c>
      <c r="L1496" s="5" t="str">
        <f aca="false">IF(B1496="","",IF(C1496=0,"NOT FOUND",IF(IF($A1496="Bank",INDEX(Bank!$F:$F,$C1496),INDEX(GL!$F:$F,$C1496))="Y","NOW RECONCILED: refresh","OK")))</f>
        <v/>
      </c>
    </row>
    <row r="1497" customFormat="false" ht="15" hidden="false" customHeight="false" outlineLevel="0" collapsed="false">
      <c r="A1497" s="41"/>
      <c r="B1497" s="41"/>
      <c r="C1497" s="5" t="n">
        <f aca="false">IF(B1497="",0,IF(A1497="Bank",IFERROR(MATCH(B1497,Bank!$A:$A,0),0),IFERROR(MATCH(B1497,GL!$A:$A,0),0)))</f>
        <v>0</v>
      </c>
      <c r="D1497" s="32" t="str">
        <f aca="false">IF(C1497=0,"",IF($A1497="Bank",INDEX(Bank!$B:$B,$C1497),INDEX(GL!$B:$B,$C1497)))</f>
        <v/>
      </c>
      <c r="E1497" s="5" t="str">
        <f aca="false">IF(C1497=0,"",IF($A1497="Bank",IF(INDEX(Bank!$C:$C,$C1497)="","",INDEX(Bank!$C:$C,$C1497)),IF(INDEX(GL!$C:$C,$C1497)="","",INDEX(GL!$C:$C,$C1497))))</f>
        <v/>
      </c>
      <c r="F1497" s="5" t="str">
        <f aca="false">IF(C1497=0,"",IF($A1497="Bank",IF(INDEX(Bank!$D:$D,$C1497)="","",INDEX(Bank!$D:$D,$C1497)),IF(INDEX(GL!$D:$D,$C1497)="","",INDEX(GL!$D:$D,$C1497))))</f>
        <v/>
      </c>
      <c r="G1497" s="19" t="str">
        <f aca="false">IF(C1497=0,"",IF($A1497="Bank",INDEX(Bank!$E:$E,$C1497),INDEX(GL!$E:$E,$C1497)))</f>
        <v/>
      </c>
      <c r="H1497" s="5" t="str">
        <f aca="false">IF(C1497=0,"",IF(A1497="GL",IF(G1497&gt;0,"Deposit in transit","Outstanding check / payment"),IF(G1497&gt;0,"Bank credit not in GL","Bank debit not in GL")))</f>
        <v/>
      </c>
      <c r="I1497" s="42" t="str">
        <f aca="false">IF(OR(C1497=0,CFG_PeriodEnd=""),"",CFG_PeriodEnd-D1497)</f>
        <v/>
      </c>
      <c r="J1497" s="5" t="str">
        <f aca="false">IF(C1497=0,"",IF($A1497="Bank",IF(INDEX(Bank!$G:$G,$C1497)="","",INDEX(Bank!$G:$G,$C1497)),IF(INDEX(GL!$G:$G,$C1497)="","",INDEX(GL!$G:$G,$C1497))))</f>
        <v/>
      </c>
      <c r="K1497" s="5" t="str">
        <f aca="false">IF(C1497=0,"",IF($A1497="Bank",IF(INDEX(Bank!$I:$I,$C1497)="","",INDEX(Bank!$I:$I,$C1497)),IF(INDEX(GL!$I:$I,$C1497)="","",INDEX(GL!$I:$I,$C1497))))</f>
        <v/>
      </c>
      <c r="L1497" s="5" t="str">
        <f aca="false">IF(B1497="","",IF(C1497=0,"NOT FOUND",IF(IF($A1497="Bank",INDEX(Bank!$F:$F,$C1497),INDEX(GL!$F:$F,$C1497))="Y","NOW RECONCILED: refresh","OK")))</f>
        <v/>
      </c>
    </row>
    <row r="1498" customFormat="false" ht="15" hidden="false" customHeight="false" outlineLevel="0" collapsed="false">
      <c r="A1498" s="41"/>
      <c r="B1498" s="41"/>
      <c r="C1498" s="5" t="n">
        <f aca="false">IF(B1498="",0,IF(A1498="Bank",IFERROR(MATCH(B1498,Bank!$A:$A,0),0),IFERROR(MATCH(B1498,GL!$A:$A,0),0)))</f>
        <v>0</v>
      </c>
      <c r="D1498" s="32" t="str">
        <f aca="false">IF(C1498=0,"",IF($A1498="Bank",INDEX(Bank!$B:$B,$C1498),INDEX(GL!$B:$B,$C1498)))</f>
        <v/>
      </c>
      <c r="E1498" s="5" t="str">
        <f aca="false">IF(C1498=0,"",IF($A1498="Bank",IF(INDEX(Bank!$C:$C,$C1498)="","",INDEX(Bank!$C:$C,$C1498)),IF(INDEX(GL!$C:$C,$C1498)="","",INDEX(GL!$C:$C,$C1498))))</f>
        <v/>
      </c>
      <c r="F1498" s="5" t="str">
        <f aca="false">IF(C1498=0,"",IF($A1498="Bank",IF(INDEX(Bank!$D:$D,$C1498)="","",INDEX(Bank!$D:$D,$C1498)),IF(INDEX(GL!$D:$D,$C1498)="","",INDEX(GL!$D:$D,$C1498))))</f>
        <v/>
      </c>
      <c r="G1498" s="19" t="str">
        <f aca="false">IF(C1498=0,"",IF($A1498="Bank",INDEX(Bank!$E:$E,$C1498),INDEX(GL!$E:$E,$C1498)))</f>
        <v/>
      </c>
      <c r="H1498" s="5" t="str">
        <f aca="false">IF(C1498=0,"",IF(A1498="GL",IF(G1498&gt;0,"Deposit in transit","Outstanding check / payment"),IF(G1498&gt;0,"Bank credit not in GL","Bank debit not in GL")))</f>
        <v/>
      </c>
      <c r="I1498" s="42" t="str">
        <f aca="false">IF(OR(C1498=0,CFG_PeriodEnd=""),"",CFG_PeriodEnd-D1498)</f>
        <v/>
      </c>
      <c r="J1498" s="5" t="str">
        <f aca="false">IF(C1498=0,"",IF($A1498="Bank",IF(INDEX(Bank!$G:$G,$C1498)="","",INDEX(Bank!$G:$G,$C1498)),IF(INDEX(GL!$G:$G,$C1498)="","",INDEX(GL!$G:$G,$C1498))))</f>
        <v/>
      </c>
      <c r="K1498" s="5" t="str">
        <f aca="false">IF(C1498=0,"",IF($A1498="Bank",IF(INDEX(Bank!$I:$I,$C1498)="","",INDEX(Bank!$I:$I,$C1498)),IF(INDEX(GL!$I:$I,$C1498)="","",INDEX(GL!$I:$I,$C1498))))</f>
        <v/>
      </c>
      <c r="L1498" s="5" t="str">
        <f aca="false">IF(B1498="","",IF(C1498=0,"NOT FOUND",IF(IF($A1498="Bank",INDEX(Bank!$F:$F,$C1498),INDEX(GL!$F:$F,$C1498))="Y","NOW RECONCILED: refresh","OK")))</f>
        <v/>
      </c>
    </row>
    <row r="1499" customFormat="false" ht="15" hidden="false" customHeight="false" outlineLevel="0" collapsed="false">
      <c r="A1499" s="41"/>
      <c r="B1499" s="41"/>
      <c r="C1499" s="5" t="n">
        <f aca="false">IF(B1499="",0,IF(A1499="Bank",IFERROR(MATCH(B1499,Bank!$A:$A,0),0),IFERROR(MATCH(B1499,GL!$A:$A,0),0)))</f>
        <v>0</v>
      </c>
      <c r="D1499" s="32" t="str">
        <f aca="false">IF(C1499=0,"",IF($A1499="Bank",INDEX(Bank!$B:$B,$C1499),INDEX(GL!$B:$B,$C1499)))</f>
        <v/>
      </c>
      <c r="E1499" s="5" t="str">
        <f aca="false">IF(C1499=0,"",IF($A1499="Bank",IF(INDEX(Bank!$C:$C,$C1499)="","",INDEX(Bank!$C:$C,$C1499)),IF(INDEX(GL!$C:$C,$C1499)="","",INDEX(GL!$C:$C,$C1499))))</f>
        <v/>
      </c>
      <c r="F1499" s="5" t="str">
        <f aca="false">IF(C1499=0,"",IF($A1499="Bank",IF(INDEX(Bank!$D:$D,$C1499)="","",INDEX(Bank!$D:$D,$C1499)),IF(INDEX(GL!$D:$D,$C1499)="","",INDEX(GL!$D:$D,$C1499))))</f>
        <v/>
      </c>
      <c r="G1499" s="19" t="str">
        <f aca="false">IF(C1499=0,"",IF($A1499="Bank",INDEX(Bank!$E:$E,$C1499),INDEX(GL!$E:$E,$C1499)))</f>
        <v/>
      </c>
      <c r="H1499" s="5" t="str">
        <f aca="false">IF(C1499=0,"",IF(A1499="GL",IF(G1499&gt;0,"Deposit in transit","Outstanding check / payment"),IF(G1499&gt;0,"Bank credit not in GL","Bank debit not in GL")))</f>
        <v/>
      </c>
      <c r="I1499" s="42" t="str">
        <f aca="false">IF(OR(C1499=0,CFG_PeriodEnd=""),"",CFG_PeriodEnd-D1499)</f>
        <v/>
      </c>
      <c r="J1499" s="5" t="str">
        <f aca="false">IF(C1499=0,"",IF($A1499="Bank",IF(INDEX(Bank!$G:$G,$C1499)="","",INDEX(Bank!$G:$G,$C1499)),IF(INDEX(GL!$G:$G,$C1499)="","",INDEX(GL!$G:$G,$C1499))))</f>
        <v/>
      </c>
      <c r="K1499" s="5" t="str">
        <f aca="false">IF(C1499=0,"",IF($A1499="Bank",IF(INDEX(Bank!$I:$I,$C1499)="","",INDEX(Bank!$I:$I,$C1499)),IF(INDEX(GL!$I:$I,$C1499)="","",INDEX(GL!$I:$I,$C1499))))</f>
        <v/>
      </c>
      <c r="L1499" s="5" t="str">
        <f aca="false">IF(B1499="","",IF(C1499=0,"NOT FOUND",IF(IF($A1499="Bank",INDEX(Bank!$F:$F,$C1499),INDEX(GL!$F:$F,$C1499))="Y","NOW RECONCILED: refresh","OK")))</f>
        <v/>
      </c>
    </row>
    <row r="1500" customFormat="false" ht="15" hidden="false" customHeight="false" outlineLevel="0" collapsed="false">
      <c r="A1500" s="41"/>
      <c r="B1500" s="41"/>
      <c r="C1500" s="5" t="n">
        <f aca="false">IF(B1500="",0,IF(A1500="Bank",IFERROR(MATCH(B1500,Bank!$A:$A,0),0),IFERROR(MATCH(B1500,GL!$A:$A,0),0)))</f>
        <v>0</v>
      </c>
      <c r="D1500" s="32" t="str">
        <f aca="false">IF(C1500=0,"",IF($A1500="Bank",INDEX(Bank!$B:$B,$C1500),INDEX(GL!$B:$B,$C1500)))</f>
        <v/>
      </c>
      <c r="E1500" s="5" t="str">
        <f aca="false">IF(C1500=0,"",IF($A1500="Bank",IF(INDEX(Bank!$C:$C,$C1500)="","",INDEX(Bank!$C:$C,$C1500)),IF(INDEX(GL!$C:$C,$C1500)="","",INDEX(GL!$C:$C,$C1500))))</f>
        <v/>
      </c>
      <c r="F1500" s="5" t="str">
        <f aca="false">IF(C1500=0,"",IF($A1500="Bank",IF(INDEX(Bank!$D:$D,$C1500)="","",INDEX(Bank!$D:$D,$C1500)),IF(INDEX(GL!$D:$D,$C1500)="","",INDEX(GL!$D:$D,$C1500))))</f>
        <v/>
      </c>
      <c r="G1500" s="19" t="str">
        <f aca="false">IF(C1500=0,"",IF($A1500="Bank",INDEX(Bank!$E:$E,$C1500),INDEX(GL!$E:$E,$C1500)))</f>
        <v/>
      </c>
      <c r="H1500" s="5" t="str">
        <f aca="false">IF(C1500=0,"",IF(A1500="GL",IF(G1500&gt;0,"Deposit in transit","Outstanding check / payment"),IF(G1500&gt;0,"Bank credit not in GL","Bank debit not in GL")))</f>
        <v/>
      </c>
      <c r="I1500" s="42" t="str">
        <f aca="false">IF(OR(C1500=0,CFG_PeriodEnd=""),"",CFG_PeriodEnd-D1500)</f>
        <v/>
      </c>
      <c r="J1500" s="5" t="str">
        <f aca="false">IF(C1500=0,"",IF($A1500="Bank",IF(INDEX(Bank!$G:$G,$C1500)="","",INDEX(Bank!$G:$G,$C1500)),IF(INDEX(GL!$G:$G,$C1500)="","",INDEX(GL!$G:$G,$C1500))))</f>
        <v/>
      </c>
      <c r="K1500" s="5" t="str">
        <f aca="false">IF(C1500=0,"",IF($A1500="Bank",IF(INDEX(Bank!$I:$I,$C1500)="","",INDEX(Bank!$I:$I,$C1500)),IF(INDEX(GL!$I:$I,$C1500)="","",INDEX(GL!$I:$I,$C1500))))</f>
        <v/>
      </c>
      <c r="L1500" s="5" t="str">
        <f aca="false">IF(B1500="","",IF(C1500=0,"NOT FOUND",IF(IF($A1500="Bank",INDEX(Bank!$F:$F,$C1500),INDEX(GL!$F:$F,$C1500))="Y","NOW RECONCILED: refresh","OK")))</f>
        <v/>
      </c>
    </row>
    <row r="1501" customFormat="false" ht="15" hidden="false" customHeight="false" outlineLevel="0" collapsed="false">
      <c r="A1501" s="41"/>
      <c r="B1501" s="41"/>
      <c r="C1501" s="5" t="n">
        <f aca="false">IF(B1501="",0,IF(A1501="Bank",IFERROR(MATCH(B1501,Bank!$A:$A,0),0),IFERROR(MATCH(B1501,GL!$A:$A,0),0)))</f>
        <v>0</v>
      </c>
      <c r="D1501" s="32" t="str">
        <f aca="false">IF(C1501=0,"",IF($A1501="Bank",INDEX(Bank!$B:$B,$C1501),INDEX(GL!$B:$B,$C1501)))</f>
        <v/>
      </c>
      <c r="E1501" s="5" t="str">
        <f aca="false">IF(C1501=0,"",IF($A1501="Bank",IF(INDEX(Bank!$C:$C,$C1501)="","",INDEX(Bank!$C:$C,$C1501)),IF(INDEX(GL!$C:$C,$C1501)="","",INDEX(GL!$C:$C,$C1501))))</f>
        <v/>
      </c>
      <c r="F1501" s="5" t="str">
        <f aca="false">IF(C1501=0,"",IF($A1501="Bank",IF(INDEX(Bank!$D:$D,$C1501)="","",INDEX(Bank!$D:$D,$C1501)),IF(INDEX(GL!$D:$D,$C1501)="","",INDEX(GL!$D:$D,$C1501))))</f>
        <v/>
      </c>
      <c r="G1501" s="19" t="str">
        <f aca="false">IF(C1501=0,"",IF($A1501="Bank",INDEX(Bank!$E:$E,$C1501),INDEX(GL!$E:$E,$C1501)))</f>
        <v/>
      </c>
      <c r="H1501" s="5" t="str">
        <f aca="false">IF(C1501=0,"",IF(A1501="GL",IF(G1501&gt;0,"Deposit in transit","Outstanding check / payment"),IF(G1501&gt;0,"Bank credit not in GL","Bank debit not in GL")))</f>
        <v/>
      </c>
      <c r="I1501" s="42" t="str">
        <f aca="false">IF(OR(C1501=0,CFG_PeriodEnd=""),"",CFG_PeriodEnd-D1501)</f>
        <v/>
      </c>
      <c r="J1501" s="5" t="str">
        <f aca="false">IF(C1501=0,"",IF($A1501="Bank",IF(INDEX(Bank!$G:$G,$C1501)="","",INDEX(Bank!$G:$G,$C1501)),IF(INDEX(GL!$G:$G,$C1501)="","",INDEX(GL!$G:$G,$C1501))))</f>
        <v/>
      </c>
      <c r="K1501" s="5" t="str">
        <f aca="false">IF(C1501=0,"",IF($A1501="Bank",IF(INDEX(Bank!$I:$I,$C1501)="","",INDEX(Bank!$I:$I,$C1501)),IF(INDEX(GL!$I:$I,$C1501)="","",INDEX(GL!$I:$I,$C1501))))</f>
        <v/>
      </c>
      <c r="L1501" s="5" t="str">
        <f aca="false">IF(B1501="","",IF(C1501=0,"NOT FOUND",IF(IF($A1501="Bank",INDEX(Bank!$F:$F,$C1501),INDEX(GL!$F:$F,$C1501))="Y","NOW RECONCILED: refresh","OK")))</f>
        <v/>
      </c>
    </row>
    <row r="1502" customFormat="false" ht="15" hidden="false" customHeight="false" outlineLevel="0" collapsed="false">
      <c r="A1502" s="41"/>
      <c r="B1502" s="41"/>
      <c r="C1502" s="5" t="n">
        <f aca="false">IF(B1502="",0,IF(A1502="Bank",IFERROR(MATCH(B1502,Bank!$A:$A,0),0),IFERROR(MATCH(B1502,GL!$A:$A,0),0)))</f>
        <v>0</v>
      </c>
      <c r="D1502" s="32" t="str">
        <f aca="false">IF(C1502=0,"",IF($A1502="Bank",INDEX(Bank!$B:$B,$C1502),INDEX(GL!$B:$B,$C1502)))</f>
        <v/>
      </c>
      <c r="E1502" s="5" t="str">
        <f aca="false">IF(C1502=0,"",IF($A1502="Bank",IF(INDEX(Bank!$C:$C,$C1502)="","",INDEX(Bank!$C:$C,$C1502)),IF(INDEX(GL!$C:$C,$C1502)="","",INDEX(GL!$C:$C,$C1502))))</f>
        <v/>
      </c>
      <c r="F1502" s="5" t="str">
        <f aca="false">IF(C1502=0,"",IF($A1502="Bank",IF(INDEX(Bank!$D:$D,$C1502)="","",INDEX(Bank!$D:$D,$C1502)),IF(INDEX(GL!$D:$D,$C1502)="","",INDEX(GL!$D:$D,$C1502))))</f>
        <v/>
      </c>
      <c r="G1502" s="19" t="str">
        <f aca="false">IF(C1502=0,"",IF($A1502="Bank",INDEX(Bank!$E:$E,$C1502),INDEX(GL!$E:$E,$C1502)))</f>
        <v/>
      </c>
      <c r="H1502" s="5" t="str">
        <f aca="false">IF(C1502=0,"",IF(A1502="GL",IF(G1502&gt;0,"Deposit in transit","Outstanding check / payment"),IF(G1502&gt;0,"Bank credit not in GL","Bank debit not in GL")))</f>
        <v/>
      </c>
      <c r="I1502" s="42" t="str">
        <f aca="false">IF(OR(C1502=0,CFG_PeriodEnd=""),"",CFG_PeriodEnd-D1502)</f>
        <v/>
      </c>
      <c r="J1502" s="5" t="str">
        <f aca="false">IF(C1502=0,"",IF($A1502="Bank",IF(INDEX(Bank!$G:$G,$C1502)="","",INDEX(Bank!$G:$G,$C1502)),IF(INDEX(GL!$G:$G,$C1502)="","",INDEX(GL!$G:$G,$C1502))))</f>
        <v/>
      </c>
      <c r="K1502" s="5" t="str">
        <f aca="false">IF(C1502=0,"",IF($A1502="Bank",IF(INDEX(Bank!$I:$I,$C1502)="","",INDEX(Bank!$I:$I,$C1502)),IF(INDEX(GL!$I:$I,$C1502)="","",INDEX(GL!$I:$I,$C1502))))</f>
        <v/>
      </c>
      <c r="L1502" s="5" t="str">
        <f aca="false">IF(B1502="","",IF(C1502=0,"NOT FOUND",IF(IF($A1502="Bank",INDEX(Bank!$F:$F,$C1502),INDEX(GL!$F:$F,$C1502))="Y","NOW RECONCILED: refresh","OK")))</f>
        <v/>
      </c>
    </row>
    <row r="1503" customFormat="false" ht="15" hidden="false" customHeight="false" outlineLevel="0" collapsed="false">
      <c r="A1503" s="41"/>
      <c r="B1503" s="41"/>
      <c r="C1503" s="5" t="n">
        <f aca="false">IF(B1503="",0,IF(A1503="Bank",IFERROR(MATCH(B1503,Bank!$A:$A,0),0),IFERROR(MATCH(B1503,GL!$A:$A,0),0)))</f>
        <v>0</v>
      </c>
      <c r="D1503" s="32" t="str">
        <f aca="false">IF(C1503=0,"",IF($A1503="Bank",INDEX(Bank!$B:$B,$C1503),INDEX(GL!$B:$B,$C1503)))</f>
        <v/>
      </c>
      <c r="E1503" s="5" t="str">
        <f aca="false">IF(C1503=0,"",IF($A1503="Bank",IF(INDEX(Bank!$C:$C,$C1503)="","",INDEX(Bank!$C:$C,$C1503)),IF(INDEX(GL!$C:$C,$C1503)="","",INDEX(GL!$C:$C,$C1503))))</f>
        <v/>
      </c>
      <c r="F1503" s="5" t="str">
        <f aca="false">IF(C1503=0,"",IF($A1503="Bank",IF(INDEX(Bank!$D:$D,$C1503)="","",INDEX(Bank!$D:$D,$C1503)),IF(INDEX(GL!$D:$D,$C1503)="","",INDEX(GL!$D:$D,$C1503))))</f>
        <v/>
      </c>
      <c r="G1503" s="19" t="str">
        <f aca="false">IF(C1503=0,"",IF($A1503="Bank",INDEX(Bank!$E:$E,$C1503),INDEX(GL!$E:$E,$C1503)))</f>
        <v/>
      </c>
      <c r="H1503" s="5" t="str">
        <f aca="false">IF(C1503=0,"",IF(A1503="GL",IF(G1503&gt;0,"Deposit in transit","Outstanding check / payment"),IF(G1503&gt;0,"Bank credit not in GL","Bank debit not in GL")))</f>
        <v/>
      </c>
      <c r="I1503" s="42" t="str">
        <f aca="false">IF(OR(C1503=0,CFG_PeriodEnd=""),"",CFG_PeriodEnd-D1503)</f>
        <v/>
      </c>
      <c r="J1503" s="5" t="str">
        <f aca="false">IF(C1503=0,"",IF($A1503="Bank",IF(INDEX(Bank!$G:$G,$C1503)="","",INDEX(Bank!$G:$G,$C1503)),IF(INDEX(GL!$G:$G,$C1503)="","",INDEX(GL!$G:$G,$C1503))))</f>
        <v/>
      </c>
      <c r="K1503" s="5" t="str">
        <f aca="false">IF(C1503=0,"",IF($A1503="Bank",IF(INDEX(Bank!$I:$I,$C1503)="","",INDEX(Bank!$I:$I,$C1503)),IF(INDEX(GL!$I:$I,$C1503)="","",INDEX(GL!$I:$I,$C1503))))</f>
        <v/>
      </c>
      <c r="L1503" s="5" t="str">
        <f aca="false">IF(B1503="","",IF(C1503=0,"NOT FOUND",IF(IF($A1503="Bank",INDEX(Bank!$F:$F,$C1503),INDEX(GL!$F:$F,$C1503))="Y","NOW RECONCILED: refresh","OK")))</f>
        <v/>
      </c>
    </row>
    <row r="1504" customFormat="false" ht="15" hidden="false" customHeight="false" outlineLevel="0" collapsed="false">
      <c r="A1504" s="41"/>
      <c r="B1504" s="41"/>
      <c r="C1504" s="5" t="n">
        <f aca="false">IF(B1504="",0,IF(A1504="Bank",IFERROR(MATCH(B1504,Bank!$A:$A,0),0),IFERROR(MATCH(B1504,GL!$A:$A,0),0)))</f>
        <v>0</v>
      </c>
      <c r="D1504" s="32" t="str">
        <f aca="false">IF(C1504=0,"",IF($A1504="Bank",INDEX(Bank!$B:$B,$C1504),INDEX(GL!$B:$B,$C1504)))</f>
        <v/>
      </c>
      <c r="E1504" s="5" t="str">
        <f aca="false">IF(C1504=0,"",IF($A1504="Bank",IF(INDEX(Bank!$C:$C,$C1504)="","",INDEX(Bank!$C:$C,$C1504)),IF(INDEX(GL!$C:$C,$C1504)="","",INDEX(GL!$C:$C,$C1504))))</f>
        <v/>
      </c>
      <c r="F1504" s="5" t="str">
        <f aca="false">IF(C1504=0,"",IF($A1504="Bank",IF(INDEX(Bank!$D:$D,$C1504)="","",INDEX(Bank!$D:$D,$C1504)),IF(INDEX(GL!$D:$D,$C1504)="","",INDEX(GL!$D:$D,$C1504))))</f>
        <v/>
      </c>
      <c r="G1504" s="19" t="str">
        <f aca="false">IF(C1504=0,"",IF($A1504="Bank",INDEX(Bank!$E:$E,$C1504),INDEX(GL!$E:$E,$C1504)))</f>
        <v/>
      </c>
      <c r="H1504" s="5" t="str">
        <f aca="false">IF(C1504=0,"",IF(A1504="GL",IF(G1504&gt;0,"Deposit in transit","Outstanding check / payment"),IF(G1504&gt;0,"Bank credit not in GL","Bank debit not in GL")))</f>
        <v/>
      </c>
      <c r="I1504" s="42" t="str">
        <f aca="false">IF(OR(C1504=0,CFG_PeriodEnd=""),"",CFG_PeriodEnd-D1504)</f>
        <v/>
      </c>
      <c r="J1504" s="5" t="str">
        <f aca="false">IF(C1504=0,"",IF($A1504="Bank",IF(INDEX(Bank!$G:$G,$C1504)="","",INDEX(Bank!$G:$G,$C1504)),IF(INDEX(GL!$G:$G,$C1504)="","",INDEX(GL!$G:$G,$C1504))))</f>
        <v/>
      </c>
      <c r="K1504" s="5" t="str">
        <f aca="false">IF(C1504=0,"",IF($A1504="Bank",IF(INDEX(Bank!$I:$I,$C1504)="","",INDEX(Bank!$I:$I,$C1504)),IF(INDEX(GL!$I:$I,$C1504)="","",INDEX(GL!$I:$I,$C1504))))</f>
        <v/>
      </c>
      <c r="L1504" s="5" t="str">
        <f aca="false">IF(B1504="","",IF(C1504=0,"NOT FOUND",IF(IF($A1504="Bank",INDEX(Bank!$F:$F,$C1504),INDEX(GL!$F:$F,$C1504))="Y","NOW RECONCILED: refresh","OK")))</f>
        <v/>
      </c>
    </row>
    <row r="1505" customFormat="false" ht="15" hidden="false" customHeight="false" outlineLevel="0" collapsed="false">
      <c r="A1505" s="41"/>
      <c r="B1505" s="41"/>
      <c r="C1505" s="5" t="n">
        <f aca="false">IF(B1505="",0,IF(A1505="Bank",IFERROR(MATCH(B1505,Bank!$A:$A,0),0),IFERROR(MATCH(B1505,GL!$A:$A,0),0)))</f>
        <v>0</v>
      </c>
      <c r="D1505" s="32" t="str">
        <f aca="false">IF(C1505=0,"",IF($A1505="Bank",INDEX(Bank!$B:$B,$C1505),INDEX(GL!$B:$B,$C1505)))</f>
        <v/>
      </c>
      <c r="E1505" s="5" t="str">
        <f aca="false">IF(C1505=0,"",IF($A1505="Bank",IF(INDEX(Bank!$C:$C,$C1505)="","",INDEX(Bank!$C:$C,$C1505)),IF(INDEX(GL!$C:$C,$C1505)="","",INDEX(GL!$C:$C,$C1505))))</f>
        <v/>
      </c>
      <c r="F1505" s="5" t="str">
        <f aca="false">IF(C1505=0,"",IF($A1505="Bank",IF(INDEX(Bank!$D:$D,$C1505)="","",INDEX(Bank!$D:$D,$C1505)),IF(INDEX(GL!$D:$D,$C1505)="","",INDEX(GL!$D:$D,$C1505))))</f>
        <v/>
      </c>
      <c r="G1505" s="19" t="str">
        <f aca="false">IF(C1505=0,"",IF($A1505="Bank",INDEX(Bank!$E:$E,$C1505),INDEX(GL!$E:$E,$C1505)))</f>
        <v/>
      </c>
      <c r="H1505" s="5" t="str">
        <f aca="false">IF(C1505=0,"",IF(A1505="GL",IF(G1505&gt;0,"Deposit in transit","Outstanding check / payment"),IF(G1505&gt;0,"Bank credit not in GL","Bank debit not in GL")))</f>
        <v/>
      </c>
      <c r="I1505" s="42" t="str">
        <f aca="false">IF(OR(C1505=0,CFG_PeriodEnd=""),"",CFG_PeriodEnd-D1505)</f>
        <v/>
      </c>
      <c r="J1505" s="5" t="str">
        <f aca="false">IF(C1505=0,"",IF($A1505="Bank",IF(INDEX(Bank!$G:$G,$C1505)="","",INDEX(Bank!$G:$G,$C1505)),IF(INDEX(GL!$G:$G,$C1505)="","",INDEX(GL!$G:$G,$C1505))))</f>
        <v/>
      </c>
      <c r="K1505" s="5" t="str">
        <f aca="false">IF(C1505=0,"",IF($A1505="Bank",IF(INDEX(Bank!$I:$I,$C1505)="","",INDEX(Bank!$I:$I,$C1505)),IF(INDEX(GL!$I:$I,$C1505)="","",INDEX(GL!$I:$I,$C1505))))</f>
        <v/>
      </c>
      <c r="L1505" s="5" t="str">
        <f aca="false">IF(B1505="","",IF(C1505=0,"NOT FOUND",IF(IF($A1505="Bank",INDEX(Bank!$F:$F,$C1505),INDEX(GL!$F:$F,$C1505))="Y","NOW RECONCILED: refresh","OK")))</f>
        <v/>
      </c>
    </row>
    <row r="1506" customFormat="false" ht="15" hidden="false" customHeight="false" outlineLevel="0" collapsed="false">
      <c r="A1506" s="41"/>
      <c r="B1506" s="41"/>
      <c r="C1506" s="5" t="n">
        <f aca="false">IF(B1506="",0,IF(A1506="Bank",IFERROR(MATCH(B1506,Bank!$A:$A,0),0),IFERROR(MATCH(B1506,GL!$A:$A,0),0)))</f>
        <v>0</v>
      </c>
      <c r="D1506" s="32" t="str">
        <f aca="false">IF(C1506=0,"",IF($A1506="Bank",INDEX(Bank!$B:$B,$C1506),INDEX(GL!$B:$B,$C1506)))</f>
        <v/>
      </c>
      <c r="E1506" s="5" t="str">
        <f aca="false">IF(C1506=0,"",IF($A1506="Bank",IF(INDEX(Bank!$C:$C,$C1506)="","",INDEX(Bank!$C:$C,$C1506)),IF(INDEX(GL!$C:$C,$C1506)="","",INDEX(GL!$C:$C,$C1506))))</f>
        <v/>
      </c>
      <c r="F1506" s="5" t="str">
        <f aca="false">IF(C1506=0,"",IF($A1506="Bank",IF(INDEX(Bank!$D:$D,$C1506)="","",INDEX(Bank!$D:$D,$C1506)),IF(INDEX(GL!$D:$D,$C1506)="","",INDEX(GL!$D:$D,$C1506))))</f>
        <v/>
      </c>
      <c r="G1506" s="19" t="str">
        <f aca="false">IF(C1506=0,"",IF($A1506="Bank",INDEX(Bank!$E:$E,$C1506),INDEX(GL!$E:$E,$C1506)))</f>
        <v/>
      </c>
      <c r="H1506" s="5" t="str">
        <f aca="false">IF(C1506=0,"",IF(A1506="GL",IF(G1506&gt;0,"Deposit in transit","Outstanding check / payment"),IF(G1506&gt;0,"Bank credit not in GL","Bank debit not in GL")))</f>
        <v/>
      </c>
      <c r="I1506" s="42" t="str">
        <f aca="false">IF(OR(C1506=0,CFG_PeriodEnd=""),"",CFG_PeriodEnd-D1506)</f>
        <v/>
      </c>
      <c r="J1506" s="5" t="str">
        <f aca="false">IF(C1506=0,"",IF($A1506="Bank",IF(INDEX(Bank!$G:$G,$C1506)="","",INDEX(Bank!$G:$G,$C1506)),IF(INDEX(GL!$G:$G,$C1506)="","",INDEX(GL!$G:$G,$C1506))))</f>
        <v/>
      </c>
      <c r="K1506" s="5" t="str">
        <f aca="false">IF(C1506=0,"",IF($A1506="Bank",IF(INDEX(Bank!$I:$I,$C1506)="","",INDEX(Bank!$I:$I,$C1506)),IF(INDEX(GL!$I:$I,$C1506)="","",INDEX(GL!$I:$I,$C1506))))</f>
        <v/>
      </c>
      <c r="L1506" s="5" t="str">
        <f aca="false">IF(B1506="","",IF(C1506=0,"NOT FOUND",IF(IF($A1506="Bank",INDEX(Bank!$F:$F,$C1506),INDEX(GL!$F:$F,$C1506))="Y","NOW RECONCILED: refresh","OK")))</f>
        <v/>
      </c>
    </row>
    <row r="1507" customFormat="false" ht="15" hidden="false" customHeight="false" outlineLevel="0" collapsed="false">
      <c r="A1507" s="41"/>
      <c r="B1507" s="41"/>
      <c r="C1507" s="5" t="n">
        <f aca="false">IF(B1507="",0,IF(A1507="Bank",IFERROR(MATCH(B1507,Bank!$A:$A,0),0),IFERROR(MATCH(B1507,GL!$A:$A,0),0)))</f>
        <v>0</v>
      </c>
      <c r="D1507" s="32" t="str">
        <f aca="false">IF(C1507=0,"",IF($A1507="Bank",INDEX(Bank!$B:$B,$C1507),INDEX(GL!$B:$B,$C1507)))</f>
        <v/>
      </c>
      <c r="E1507" s="5" t="str">
        <f aca="false">IF(C1507=0,"",IF($A1507="Bank",IF(INDEX(Bank!$C:$C,$C1507)="","",INDEX(Bank!$C:$C,$C1507)),IF(INDEX(GL!$C:$C,$C1507)="","",INDEX(GL!$C:$C,$C1507))))</f>
        <v/>
      </c>
      <c r="F1507" s="5" t="str">
        <f aca="false">IF(C1507=0,"",IF($A1507="Bank",IF(INDEX(Bank!$D:$D,$C1507)="","",INDEX(Bank!$D:$D,$C1507)),IF(INDEX(GL!$D:$D,$C1507)="","",INDEX(GL!$D:$D,$C1507))))</f>
        <v/>
      </c>
      <c r="G1507" s="19" t="str">
        <f aca="false">IF(C1507=0,"",IF($A1507="Bank",INDEX(Bank!$E:$E,$C1507),INDEX(GL!$E:$E,$C1507)))</f>
        <v/>
      </c>
      <c r="H1507" s="5" t="str">
        <f aca="false">IF(C1507=0,"",IF(A1507="GL",IF(G1507&gt;0,"Deposit in transit","Outstanding check / payment"),IF(G1507&gt;0,"Bank credit not in GL","Bank debit not in GL")))</f>
        <v/>
      </c>
      <c r="I1507" s="42" t="str">
        <f aca="false">IF(OR(C1507=0,CFG_PeriodEnd=""),"",CFG_PeriodEnd-D1507)</f>
        <v/>
      </c>
      <c r="J1507" s="5" t="str">
        <f aca="false">IF(C1507=0,"",IF($A1507="Bank",IF(INDEX(Bank!$G:$G,$C1507)="","",INDEX(Bank!$G:$G,$C1507)),IF(INDEX(GL!$G:$G,$C1507)="","",INDEX(GL!$G:$G,$C1507))))</f>
        <v/>
      </c>
      <c r="K1507" s="5" t="str">
        <f aca="false">IF(C1507=0,"",IF($A1507="Bank",IF(INDEX(Bank!$I:$I,$C1507)="","",INDEX(Bank!$I:$I,$C1507)),IF(INDEX(GL!$I:$I,$C1507)="","",INDEX(GL!$I:$I,$C1507))))</f>
        <v/>
      </c>
      <c r="L1507" s="5" t="str">
        <f aca="false">IF(B1507="","",IF(C1507=0,"NOT FOUND",IF(IF($A1507="Bank",INDEX(Bank!$F:$F,$C1507),INDEX(GL!$F:$F,$C1507))="Y","NOW RECONCILED: refresh","OK")))</f>
        <v/>
      </c>
    </row>
    <row r="1508" customFormat="false" ht="15" hidden="false" customHeight="false" outlineLevel="0" collapsed="false">
      <c r="A1508" s="41"/>
      <c r="B1508" s="41"/>
      <c r="C1508" s="5" t="n">
        <f aca="false">IF(B1508="",0,IF(A1508="Bank",IFERROR(MATCH(B1508,Bank!$A:$A,0),0),IFERROR(MATCH(B1508,GL!$A:$A,0),0)))</f>
        <v>0</v>
      </c>
      <c r="D1508" s="32" t="str">
        <f aca="false">IF(C1508=0,"",IF($A1508="Bank",INDEX(Bank!$B:$B,$C1508),INDEX(GL!$B:$B,$C1508)))</f>
        <v/>
      </c>
      <c r="E1508" s="5" t="str">
        <f aca="false">IF(C1508=0,"",IF($A1508="Bank",IF(INDEX(Bank!$C:$C,$C1508)="","",INDEX(Bank!$C:$C,$C1508)),IF(INDEX(GL!$C:$C,$C1508)="","",INDEX(GL!$C:$C,$C1508))))</f>
        <v/>
      </c>
      <c r="F1508" s="5" t="str">
        <f aca="false">IF(C1508=0,"",IF($A1508="Bank",IF(INDEX(Bank!$D:$D,$C1508)="","",INDEX(Bank!$D:$D,$C1508)),IF(INDEX(GL!$D:$D,$C1508)="","",INDEX(GL!$D:$D,$C1508))))</f>
        <v/>
      </c>
      <c r="G1508" s="19" t="str">
        <f aca="false">IF(C1508=0,"",IF($A1508="Bank",INDEX(Bank!$E:$E,$C1508),INDEX(GL!$E:$E,$C1508)))</f>
        <v/>
      </c>
      <c r="H1508" s="5" t="str">
        <f aca="false">IF(C1508=0,"",IF(A1508="GL",IF(G1508&gt;0,"Deposit in transit","Outstanding check / payment"),IF(G1508&gt;0,"Bank credit not in GL","Bank debit not in GL")))</f>
        <v/>
      </c>
      <c r="I1508" s="42" t="str">
        <f aca="false">IF(OR(C1508=0,CFG_PeriodEnd=""),"",CFG_PeriodEnd-D1508)</f>
        <v/>
      </c>
      <c r="J1508" s="5" t="str">
        <f aca="false">IF(C1508=0,"",IF($A1508="Bank",IF(INDEX(Bank!$G:$G,$C1508)="","",INDEX(Bank!$G:$G,$C1508)),IF(INDEX(GL!$G:$G,$C1508)="","",INDEX(GL!$G:$G,$C1508))))</f>
        <v/>
      </c>
      <c r="K1508" s="5" t="str">
        <f aca="false">IF(C1508=0,"",IF($A1508="Bank",IF(INDEX(Bank!$I:$I,$C1508)="","",INDEX(Bank!$I:$I,$C1508)),IF(INDEX(GL!$I:$I,$C1508)="","",INDEX(GL!$I:$I,$C1508))))</f>
        <v/>
      </c>
      <c r="L1508" s="5" t="str">
        <f aca="false">IF(B1508="","",IF(C1508=0,"NOT FOUND",IF(IF($A1508="Bank",INDEX(Bank!$F:$F,$C1508),INDEX(GL!$F:$F,$C1508))="Y","NOW RECONCILED: refresh","OK")))</f>
        <v/>
      </c>
    </row>
    <row r="1509" customFormat="false" ht="15" hidden="false" customHeight="false" outlineLevel="0" collapsed="false">
      <c r="A1509" s="41"/>
      <c r="B1509" s="41"/>
      <c r="C1509" s="5" t="n">
        <f aca="false">IF(B1509="",0,IF(A1509="Bank",IFERROR(MATCH(B1509,Bank!$A:$A,0),0),IFERROR(MATCH(B1509,GL!$A:$A,0),0)))</f>
        <v>0</v>
      </c>
      <c r="D1509" s="32" t="str">
        <f aca="false">IF(C1509=0,"",IF($A1509="Bank",INDEX(Bank!$B:$B,$C1509),INDEX(GL!$B:$B,$C1509)))</f>
        <v/>
      </c>
      <c r="E1509" s="5" t="str">
        <f aca="false">IF(C1509=0,"",IF($A1509="Bank",IF(INDEX(Bank!$C:$C,$C1509)="","",INDEX(Bank!$C:$C,$C1509)),IF(INDEX(GL!$C:$C,$C1509)="","",INDEX(GL!$C:$C,$C1509))))</f>
        <v/>
      </c>
      <c r="F1509" s="5" t="str">
        <f aca="false">IF(C1509=0,"",IF($A1509="Bank",IF(INDEX(Bank!$D:$D,$C1509)="","",INDEX(Bank!$D:$D,$C1509)),IF(INDEX(GL!$D:$D,$C1509)="","",INDEX(GL!$D:$D,$C1509))))</f>
        <v/>
      </c>
      <c r="G1509" s="19" t="str">
        <f aca="false">IF(C1509=0,"",IF($A1509="Bank",INDEX(Bank!$E:$E,$C1509),INDEX(GL!$E:$E,$C1509)))</f>
        <v/>
      </c>
      <c r="H1509" s="5" t="str">
        <f aca="false">IF(C1509=0,"",IF(A1509="GL",IF(G1509&gt;0,"Deposit in transit","Outstanding check / payment"),IF(G1509&gt;0,"Bank credit not in GL","Bank debit not in GL")))</f>
        <v/>
      </c>
      <c r="I1509" s="42" t="str">
        <f aca="false">IF(OR(C1509=0,CFG_PeriodEnd=""),"",CFG_PeriodEnd-D1509)</f>
        <v/>
      </c>
      <c r="J1509" s="5" t="str">
        <f aca="false">IF(C1509=0,"",IF($A1509="Bank",IF(INDEX(Bank!$G:$G,$C1509)="","",INDEX(Bank!$G:$G,$C1509)),IF(INDEX(GL!$G:$G,$C1509)="","",INDEX(GL!$G:$G,$C1509))))</f>
        <v/>
      </c>
      <c r="K1509" s="5" t="str">
        <f aca="false">IF(C1509=0,"",IF($A1509="Bank",IF(INDEX(Bank!$I:$I,$C1509)="","",INDEX(Bank!$I:$I,$C1509)),IF(INDEX(GL!$I:$I,$C1509)="","",INDEX(GL!$I:$I,$C1509))))</f>
        <v/>
      </c>
      <c r="L1509" s="5" t="str">
        <f aca="false">IF(B1509="","",IF(C1509=0,"NOT FOUND",IF(IF($A1509="Bank",INDEX(Bank!$F:$F,$C1509),INDEX(GL!$F:$F,$C1509))="Y","NOW RECONCILED: refresh","OK")))</f>
        <v/>
      </c>
    </row>
    <row r="1510" customFormat="false" ht="15" hidden="false" customHeight="false" outlineLevel="0" collapsed="false">
      <c r="A1510" s="41"/>
      <c r="B1510" s="41"/>
      <c r="C1510" s="5" t="n">
        <f aca="false">IF(B1510="",0,IF(A1510="Bank",IFERROR(MATCH(B1510,Bank!$A:$A,0),0),IFERROR(MATCH(B1510,GL!$A:$A,0),0)))</f>
        <v>0</v>
      </c>
      <c r="D1510" s="32" t="str">
        <f aca="false">IF(C1510=0,"",IF($A1510="Bank",INDEX(Bank!$B:$B,$C1510),INDEX(GL!$B:$B,$C1510)))</f>
        <v/>
      </c>
      <c r="E1510" s="5" t="str">
        <f aca="false">IF(C1510=0,"",IF($A1510="Bank",IF(INDEX(Bank!$C:$C,$C1510)="","",INDEX(Bank!$C:$C,$C1510)),IF(INDEX(GL!$C:$C,$C1510)="","",INDEX(GL!$C:$C,$C1510))))</f>
        <v/>
      </c>
      <c r="F1510" s="5" t="str">
        <f aca="false">IF(C1510=0,"",IF($A1510="Bank",IF(INDEX(Bank!$D:$D,$C1510)="","",INDEX(Bank!$D:$D,$C1510)),IF(INDEX(GL!$D:$D,$C1510)="","",INDEX(GL!$D:$D,$C1510))))</f>
        <v/>
      </c>
      <c r="G1510" s="19" t="str">
        <f aca="false">IF(C1510=0,"",IF($A1510="Bank",INDEX(Bank!$E:$E,$C1510),INDEX(GL!$E:$E,$C1510)))</f>
        <v/>
      </c>
      <c r="H1510" s="5" t="str">
        <f aca="false">IF(C1510=0,"",IF(A1510="GL",IF(G1510&gt;0,"Deposit in transit","Outstanding check / payment"),IF(G1510&gt;0,"Bank credit not in GL","Bank debit not in GL")))</f>
        <v/>
      </c>
      <c r="I1510" s="42" t="str">
        <f aca="false">IF(OR(C1510=0,CFG_PeriodEnd=""),"",CFG_PeriodEnd-D1510)</f>
        <v/>
      </c>
      <c r="J1510" s="5" t="str">
        <f aca="false">IF(C1510=0,"",IF($A1510="Bank",IF(INDEX(Bank!$G:$G,$C1510)="","",INDEX(Bank!$G:$G,$C1510)),IF(INDEX(GL!$G:$G,$C1510)="","",INDEX(GL!$G:$G,$C1510))))</f>
        <v/>
      </c>
      <c r="K1510" s="5" t="str">
        <f aca="false">IF(C1510=0,"",IF($A1510="Bank",IF(INDEX(Bank!$I:$I,$C1510)="","",INDEX(Bank!$I:$I,$C1510)),IF(INDEX(GL!$I:$I,$C1510)="","",INDEX(GL!$I:$I,$C1510))))</f>
        <v/>
      </c>
      <c r="L1510" s="5" t="str">
        <f aca="false">IF(B1510="","",IF(C1510=0,"NOT FOUND",IF(IF($A1510="Bank",INDEX(Bank!$F:$F,$C1510),INDEX(GL!$F:$F,$C1510))="Y","NOW RECONCILED: refresh","OK")))</f>
        <v/>
      </c>
    </row>
    <row r="1511" customFormat="false" ht="15" hidden="false" customHeight="false" outlineLevel="0" collapsed="false">
      <c r="A1511" s="41"/>
      <c r="B1511" s="41"/>
      <c r="C1511" s="5" t="n">
        <f aca="false">IF(B1511="",0,IF(A1511="Bank",IFERROR(MATCH(B1511,Bank!$A:$A,0),0),IFERROR(MATCH(B1511,GL!$A:$A,0),0)))</f>
        <v>0</v>
      </c>
      <c r="D1511" s="32" t="str">
        <f aca="false">IF(C1511=0,"",IF($A1511="Bank",INDEX(Bank!$B:$B,$C1511),INDEX(GL!$B:$B,$C1511)))</f>
        <v/>
      </c>
      <c r="E1511" s="5" t="str">
        <f aca="false">IF(C1511=0,"",IF($A1511="Bank",IF(INDEX(Bank!$C:$C,$C1511)="","",INDEX(Bank!$C:$C,$C1511)),IF(INDEX(GL!$C:$C,$C1511)="","",INDEX(GL!$C:$C,$C1511))))</f>
        <v/>
      </c>
      <c r="F1511" s="5" t="str">
        <f aca="false">IF(C1511=0,"",IF($A1511="Bank",IF(INDEX(Bank!$D:$D,$C1511)="","",INDEX(Bank!$D:$D,$C1511)),IF(INDEX(GL!$D:$D,$C1511)="","",INDEX(GL!$D:$D,$C1511))))</f>
        <v/>
      </c>
      <c r="G1511" s="19" t="str">
        <f aca="false">IF(C1511=0,"",IF($A1511="Bank",INDEX(Bank!$E:$E,$C1511),INDEX(GL!$E:$E,$C1511)))</f>
        <v/>
      </c>
      <c r="H1511" s="5" t="str">
        <f aca="false">IF(C1511=0,"",IF(A1511="GL",IF(G1511&gt;0,"Deposit in transit","Outstanding check / payment"),IF(G1511&gt;0,"Bank credit not in GL","Bank debit not in GL")))</f>
        <v/>
      </c>
      <c r="I1511" s="42" t="str">
        <f aca="false">IF(OR(C1511=0,CFG_PeriodEnd=""),"",CFG_PeriodEnd-D1511)</f>
        <v/>
      </c>
      <c r="J1511" s="5" t="str">
        <f aca="false">IF(C1511=0,"",IF($A1511="Bank",IF(INDEX(Bank!$G:$G,$C1511)="","",INDEX(Bank!$G:$G,$C1511)),IF(INDEX(GL!$G:$G,$C1511)="","",INDEX(GL!$G:$G,$C1511))))</f>
        <v/>
      </c>
      <c r="K1511" s="5" t="str">
        <f aca="false">IF(C1511=0,"",IF($A1511="Bank",IF(INDEX(Bank!$I:$I,$C1511)="","",INDEX(Bank!$I:$I,$C1511)),IF(INDEX(GL!$I:$I,$C1511)="","",INDEX(GL!$I:$I,$C1511))))</f>
        <v/>
      </c>
      <c r="L1511" s="5" t="str">
        <f aca="false">IF(B1511="","",IF(C1511=0,"NOT FOUND",IF(IF($A1511="Bank",INDEX(Bank!$F:$F,$C1511),INDEX(GL!$F:$F,$C1511))="Y","NOW RECONCILED: refresh","OK")))</f>
        <v/>
      </c>
    </row>
    <row r="1512" customFormat="false" ht="15" hidden="false" customHeight="false" outlineLevel="0" collapsed="false">
      <c r="A1512" s="41"/>
      <c r="B1512" s="41"/>
      <c r="C1512" s="5" t="n">
        <f aca="false">IF(B1512="",0,IF(A1512="Bank",IFERROR(MATCH(B1512,Bank!$A:$A,0),0),IFERROR(MATCH(B1512,GL!$A:$A,0),0)))</f>
        <v>0</v>
      </c>
      <c r="D1512" s="32" t="str">
        <f aca="false">IF(C1512=0,"",IF($A1512="Bank",INDEX(Bank!$B:$B,$C1512),INDEX(GL!$B:$B,$C1512)))</f>
        <v/>
      </c>
      <c r="E1512" s="5" t="str">
        <f aca="false">IF(C1512=0,"",IF($A1512="Bank",IF(INDEX(Bank!$C:$C,$C1512)="","",INDEX(Bank!$C:$C,$C1512)),IF(INDEX(GL!$C:$C,$C1512)="","",INDEX(GL!$C:$C,$C1512))))</f>
        <v/>
      </c>
      <c r="F1512" s="5" t="str">
        <f aca="false">IF(C1512=0,"",IF($A1512="Bank",IF(INDEX(Bank!$D:$D,$C1512)="","",INDEX(Bank!$D:$D,$C1512)),IF(INDEX(GL!$D:$D,$C1512)="","",INDEX(GL!$D:$D,$C1512))))</f>
        <v/>
      </c>
      <c r="G1512" s="19" t="str">
        <f aca="false">IF(C1512=0,"",IF($A1512="Bank",INDEX(Bank!$E:$E,$C1512),INDEX(GL!$E:$E,$C1512)))</f>
        <v/>
      </c>
      <c r="H1512" s="5" t="str">
        <f aca="false">IF(C1512=0,"",IF(A1512="GL",IF(G1512&gt;0,"Deposit in transit","Outstanding check / payment"),IF(G1512&gt;0,"Bank credit not in GL","Bank debit not in GL")))</f>
        <v/>
      </c>
      <c r="I1512" s="42" t="str">
        <f aca="false">IF(OR(C1512=0,CFG_PeriodEnd=""),"",CFG_PeriodEnd-D1512)</f>
        <v/>
      </c>
      <c r="J1512" s="5" t="str">
        <f aca="false">IF(C1512=0,"",IF($A1512="Bank",IF(INDEX(Bank!$G:$G,$C1512)="","",INDEX(Bank!$G:$G,$C1512)),IF(INDEX(GL!$G:$G,$C1512)="","",INDEX(GL!$G:$G,$C1512))))</f>
        <v/>
      </c>
      <c r="K1512" s="5" t="str">
        <f aca="false">IF(C1512=0,"",IF($A1512="Bank",IF(INDEX(Bank!$I:$I,$C1512)="","",INDEX(Bank!$I:$I,$C1512)),IF(INDEX(GL!$I:$I,$C1512)="","",INDEX(GL!$I:$I,$C1512))))</f>
        <v/>
      </c>
      <c r="L1512" s="5" t="str">
        <f aca="false">IF(B1512="","",IF(C1512=0,"NOT FOUND",IF(IF($A1512="Bank",INDEX(Bank!$F:$F,$C1512),INDEX(GL!$F:$F,$C1512))="Y","NOW RECONCILED: refresh","OK")))</f>
        <v/>
      </c>
    </row>
    <row r="1513" customFormat="false" ht="15" hidden="false" customHeight="false" outlineLevel="0" collapsed="false">
      <c r="A1513" s="41"/>
      <c r="B1513" s="41"/>
      <c r="C1513" s="5" t="n">
        <f aca="false">IF(B1513="",0,IF(A1513="Bank",IFERROR(MATCH(B1513,Bank!$A:$A,0),0),IFERROR(MATCH(B1513,GL!$A:$A,0),0)))</f>
        <v>0</v>
      </c>
      <c r="D1513" s="32" t="str">
        <f aca="false">IF(C1513=0,"",IF($A1513="Bank",INDEX(Bank!$B:$B,$C1513),INDEX(GL!$B:$B,$C1513)))</f>
        <v/>
      </c>
      <c r="E1513" s="5" t="str">
        <f aca="false">IF(C1513=0,"",IF($A1513="Bank",IF(INDEX(Bank!$C:$C,$C1513)="","",INDEX(Bank!$C:$C,$C1513)),IF(INDEX(GL!$C:$C,$C1513)="","",INDEX(GL!$C:$C,$C1513))))</f>
        <v/>
      </c>
      <c r="F1513" s="5" t="str">
        <f aca="false">IF(C1513=0,"",IF($A1513="Bank",IF(INDEX(Bank!$D:$D,$C1513)="","",INDEX(Bank!$D:$D,$C1513)),IF(INDEX(GL!$D:$D,$C1513)="","",INDEX(GL!$D:$D,$C1513))))</f>
        <v/>
      </c>
      <c r="G1513" s="19" t="str">
        <f aca="false">IF(C1513=0,"",IF($A1513="Bank",INDEX(Bank!$E:$E,$C1513),INDEX(GL!$E:$E,$C1513)))</f>
        <v/>
      </c>
      <c r="H1513" s="5" t="str">
        <f aca="false">IF(C1513=0,"",IF(A1513="GL",IF(G1513&gt;0,"Deposit in transit","Outstanding check / payment"),IF(G1513&gt;0,"Bank credit not in GL","Bank debit not in GL")))</f>
        <v/>
      </c>
      <c r="I1513" s="42" t="str">
        <f aca="false">IF(OR(C1513=0,CFG_PeriodEnd=""),"",CFG_PeriodEnd-D1513)</f>
        <v/>
      </c>
      <c r="J1513" s="5" t="str">
        <f aca="false">IF(C1513=0,"",IF($A1513="Bank",IF(INDEX(Bank!$G:$G,$C1513)="","",INDEX(Bank!$G:$G,$C1513)),IF(INDEX(GL!$G:$G,$C1513)="","",INDEX(GL!$G:$G,$C1513))))</f>
        <v/>
      </c>
      <c r="K1513" s="5" t="str">
        <f aca="false">IF(C1513=0,"",IF($A1513="Bank",IF(INDEX(Bank!$I:$I,$C1513)="","",INDEX(Bank!$I:$I,$C1513)),IF(INDEX(GL!$I:$I,$C1513)="","",INDEX(GL!$I:$I,$C1513))))</f>
        <v/>
      </c>
      <c r="L1513" s="5" t="str">
        <f aca="false">IF(B1513="","",IF(C1513=0,"NOT FOUND",IF(IF($A1513="Bank",INDEX(Bank!$F:$F,$C1513),INDEX(GL!$F:$F,$C1513))="Y","NOW RECONCILED: refresh","OK")))</f>
        <v/>
      </c>
    </row>
    <row r="1514" customFormat="false" ht="15" hidden="false" customHeight="false" outlineLevel="0" collapsed="false">
      <c r="A1514" s="41"/>
      <c r="B1514" s="41"/>
      <c r="C1514" s="5" t="n">
        <f aca="false">IF(B1514="",0,IF(A1514="Bank",IFERROR(MATCH(B1514,Bank!$A:$A,0),0),IFERROR(MATCH(B1514,GL!$A:$A,0),0)))</f>
        <v>0</v>
      </c>
      <c r="D1514" s="32" t="str">
        <f aca="false">IF(C1514=0,"",IF($A1514="Bank",INDEX(Bank!$B:$B,$C1514),INDEX(GL!$B:$B,$C1514)))</f>
        <v/>
      </c>
      <c r="E1514" s="5" t="str">
        <f aca="false">IF(C1514=0,"",IF($A1514="Bank",IF(INDEX(Bank!$C:$C,$C1514)="","",INDEX(Bank!$C:$C,$C1514)),IF(INDEX(GL!$C:$C,$C1514)="","",INDEX(GL!$C:$C,$C1514))))</f>
        <v/>
      </c>
      <c r="F1514" s="5" t="str">
        <f aca="false">IF(C1514=0,"",IF($A1514="Bank",IF(INDEX(Bank!$D:$D,$C1514)="","",INDEX(Bank!$D:$D,$C1514)),IF(INDEX(GL!$D:$D,$C1514)="","",INDEX(GL!$D:$D,$C1514))))</f>
        <v/>
      </c>
      <c r="G1514" s="19" t="str">
        <f aca="false">IF(C1514=0,"",IF($A1514="Bank",INDEX(Bank!$E:$E,$C1514),INDEX(GL!$E:$E,$C1514)))</f>
        <v/>
      </c>
      <c r="H1514" s="5" t="str">
        <f aca="false">IF(C1514=0,"",IF(A1514="GL",IF(G1514&gt;0,"Deposit in transit","Outstanding check / payment"),IF(G1514&gt;0,"Bank credit not in GL","Bank debit not in GL")))</f>
        <v/>
      </c>
      <c r="I1514" s="42" t="str">
        <f aca="false">IF(OR(C1514=0,CFG_PeriodEnd=""),"",CFG_PeriodEnd-D1514)</f>
        <v/>
      </c>
      <c r="J1514" s="5" t="str">
        <f aca="false">IF(C1514=0,"",IF($A1514="Bank",IF(INDEX(Bank!$G:$G,$C1514)="","",INDEX(Bank!$G:$G,$C1514)),IF(INDEX(GL!$G:$G,$C1514)="","",INDEX(GL!$G:$G,$C1514))))</f>
        <v/>
      </c>
      <c r="K1514" s="5" t="str">
        <f aca="false">IF(C1514=0,"",IF($A1514="Bank",IF(INDEX(Bank!$I:$I,$C1514)="","",INDEX(Bank!$I:$I,$C1514)),IF(INDEX(GL!$I:$I,$C1514)="","",INDEX(GL!$I:$I,$C1514))))</f>
        <v/>
      </c>
      <c r="L1514" s="5" t="str">
        <f aca="false">IF(B1514="","",IF(C1514=0,"NOT FOUND",IF(IF($A1514="Bank",INDEX(Bank!$F:$F,$C1514),INDEX(GL!$F:$F,$C1514))="Y","NOW RECONCILED: refresh","OK")))</f>
        <v/>
      </c>
    </row>
    <row r="1515" customFormat="false" ht="15" hidden="false" customHeight="false" outlineLevel="0" collapsed="false">
      <c r="A1515" s="41"/>
      <c r="B1515" s="41"/>
      <c r="C1515" s="5" t="n">
        <f aca="false">IF(B1515="",0,IF(A1515="Bank",IFERROR(MATCH(B1515,Bank!$A:$A,0),0),IFERROR(MATCH(B1515,GL!$A:$A,0),0)))</f>
        <v>0</v>
      </c>
      <c r="D1515" s="32" t="str">
        <f aca="false">IF(C1515=0,"",IF($A1515="Bank",INDEX(Bank!$B:$B,$C1515),INDEX(GL!$B:$B,$C1515)))</f>
        <v/>
      </c>
      <c r="E1515" s="5" t="str">
        <f aca="false">IF(C1515=0,"",IF($A1515="Bank",IF(INDEX(Bank!$C:$C,$C1515)="","",INDEX(Bank!$C:$C,$C1515)),IF(INDEX(GL!$C:$C,$C1515)="","",INDEX(GL!$C:$C,$C1515))))</f>
        <v/>
      </c>
      <c r="F1515" s="5" t="str">
        <f aca="false">IF(C1515=0,"",IF($A1515="Bank",IF(INDEX(Bank!$D:$D,$C1515)="","",INDEX(Bank!$D:$D,$C1515)),IF(INDEX(GL!$D:$D,$C1515)="","",INDEX(GL!$D:$D,$C1515))))</f>
        <v/>
      </c>
      <c r="G1515" s="19" t="str">
        <f aca="false">IF(C1515=0,"",IF($A1515="Bank",INDEX(Bank!$E:$E,$C1515),INDEX(GL!$E:$E,$C1515)))</f>
        <v/>
      </c>
      <c r="H1515" s="5" t="str">
        <f aca="false">IF(C1515=0,"",IF(A1515="GL",IF(G1515&gt;0,"Deposit in transit","Outstanding check / payment"),IF(G1515&gt;0,"Bank credit not in GL","Bank debit not in GL")))</f>
        <v/>
      </c>
      <c r="I1515" s="42" t="str">
        <f aca="false">IF(OR(C1515=0,CFG_PeriodEnd=""),"",CFG_PeriodEnd-D1515)</f>
        <v/>
      </c>
      <c r="J1515" s="5" t="str">
        <f aca="false">IF(C1515=0,"",IF($A1515="Bank",IF(INDEX(Bank!$G:$G,$C1515)="","",INDEX(Bank!$G:$G,$C1515)),IF(INDEX(GL!$G:$G,$C1515)="","",INDEX(GL!$G:$G,$C1515))))</f>
        <v/>
      </c>
      <c r="K1515" s="5" t="str">
        <f aca="false">IF(C1515=0,"",IF($A1515="Bank",IF(INDEX(Bank!$I:$I,$C1515)="","",INDEX(Bank!$I:$I,$C1515)),IF(INDEX(GL!$I:$I,$C1515)="","",INDEX(GL!$I:$I,$C1515))))</f>
        <v/>
      </c>
      <c r="L1515" s="5" t="str">
        <f aca="false">IF(B1515="","",IF(C1515=0,"NOT FOUND",IF(IF($A1515="Bank",INDEX(Bank!$F:$F,$C1515),INDEX(GL!$F:$F,$C1515))="Y","NOW RECONCILED: refresh","OK")))</f>
        <v/>
      </c>
    </row>
    <row r="1516" customFormat="false" ht="15" hidden="false" customHeight="false" outlineLevel="0" collapsed="false">
      <c r="A1516" s="41"/>
      <c r="B1516" s="41"/>
      <c r="C1516" s="5" t="n">
        <f aca="false">IF(B1516="",0,IF(A1516="Bank",IFERROR(MATCH(B1516,Bank!$A:$A,0),0),IFERROR(MATCH(B1516,GL!$A:$A,0),0)))</f>
        <v>0</v>
      </c>
      <c r="D1516" s="32" t="str">
        <f aca="false">IF(C1516=0,"",IF($A1516="Bank",INDEX(Bank!$B:$B,$C1516),INDEX(GL!$B:$B,$C1516)))</f>
        <v/>
      </c>
      <c r="E1516" s="5" t="str">
        <f aca="false">IF(C1516=0,"",IF($A1516="Bank",IF(INDEX(Bank!$C:$C,$C1516)="","",INDEX(Bank!$C:$C,$C1516)),IF(INDEX(GL!$C:$C,$C1516)="","",INDEX(GL!$C:$C,$C1516))))</f>
        <v/>
      </c>
      <c r="F1516" s="5" t="str">
        <f aca="false">IF(C1516=0,"",IF($A1516="Bank",IF(INDEX(Bank!$D:$D,$C1516)="","",INDEX(Bank!$D:$D,$C1516)),IF(INDEX(GL!$D:$D,$C1516)="","",INDEX(GL!$D:$D,$C1516))))</f>
        <v/>
      </c>
      <c r="G1516" s="19" t="str">
        <f aca="false">IF(C1516=0,"",IF($A1516="Bank",INDEX(Bank!$E:$E,$C1516),INDEX(GL!$E:$E,$C1516)))</f>
        <v/>
      </c>
      <c r="H1516" s="5" t="str">
        <f aca="false">IF(C1516=0,"",IF(A1516="GL",IF(G1516&gt;0,"Deposit in transit","Outstanding check / payment"),IF(G1516&gt;0,"Bank credit not in GL","Bank debit not in GL")))</f>
        <v/>
      </c>
      <c r="I1516" s="42" t="str">
        <f aca="false">IF(OR(C1516=0,CFG_PeriodEnd=""),"",CFG_PeriodEnd-D1516)</f>
        <v/>
      </c>
      <c r="J1516" s="5" t="str">
        <f aca="false">IF(C1516=0,"",IF($A1516="Bank",IF(INDEX(Bank!$G:$G,$C1516)="","",INDEX(Bank!$G:$G,$C1516)),IF(INDEX(GL!$G:$G,$C1516)="","",INDEX(GL!$G:$G,$C1516))))</f>
        <v/>
      </c>
      <c r="K1516" s="5" t="str">
        <f aca="false">IF(C1516=0,"",IF($A1516="Bank",IF(INDEX(Bank!$I:$I,$C1516)="","",INDEX(Bank!$I:$I,$C1516)),IF(INDEX(GL!$I:$I,$C1516)="","",INDEX(GL!$I:$I,$C1516))))</f>
        <v/>
      </c>
      <c r="L1516" s="5" t="str">
        <f aca="false">IF(B1516="","",IF(C1516=0,"NOT FOUND",IF(IF($A1516="Bank",INDEX(Bank!$F:$F,$C1516),INDEX(GL!$F:$F,$C1516))="Y","NOW RECONCILED: refresh","OK")))</f>
        <v/>
      </c>
    </row>
    <row r="1517" customFormat="false" ht="15" hidden="false" customHeight="false" outlineLevel="0" collapsed="false">
      <c r="A1517" s="41"/>
      <c r="B1517" s="41"/>
      <c r="C1517" s="5" t="n">
        <f aca="false">IF(B1517="",0,IF(A1517="Bank",IFERROR(MATCH(B1517,Bank!$A:$A,0),0),IFERROR(MATCH(B1517,GL!$A:$A,0),0)))</f>
        <v>0</v>
      </c>
      <c r="D1517" s="32" t="str">
        <f aca="false">IF(C1517=0,"",IF($A1517="Bank",INDEX(Bank!$B:$B,$C1517),INDEX(GL!$B:$B,$C1517)))</f>
        <v/>
      </c>
      <c r="E1517" s="5" t="str">
        <f aca="false">IF(C1517=0,"",IF($A1517="Bank",IF(INDEX(Bank!$C:$C,$C1517)="","",INDEX(Bank!$C:$C,$C1517)),IF(INDEX(GL!$C:$C,$C1517)="","",INDEX(GL!$C:$C,$C1517))))</f>
        <v/>
      </c>
      <c r="F1517" s="5" t="str">
        <f aca="false">IF(C1517=0,"",IF($A1517="Bank",IF(INDEX(Bank!$D:$D,$C1517)="","",INDEX(Bank!$D:$D,$C1517)),IF(INDEX(GL!$D:$D,$C1517)="","",INDEX(GL!$D:$D,$C1517))))</f>
        <v/>
      </c>
      <c r="G1517" s="19" t="str">
        <f aca="false">IF(C1517=0,"",IF($A1517="Bank",INDEX(Bank!$E:$E,$C1517),INDEX(GL!$E:$E,$C1517)))</f>
        <v/>
      </c>
      <c r="H1517" s="5" t="str">
        <f aca="false">IF(C1517=0,"",IF(A1517="GL",IF(G1517&gt;0,"Deposit in transit","Outstanding check / payment"),IF(G1517&gt;0,"Bank credit not in GL","Bank debit not in GL")))</f>
        <v/>
      </c>
      <c r="I1517" s="42" t="str">
        <f aca="false">IF(OR(C1517=0,CFG_PeriodEnd=""),"",CFG_PeriodEnd-D1517)</f>
        <v/>
      </c>
      <c r="J1517" s="5" t="str">
        <f aca="false">IF(C1517=0,"",IF($A1517="Bank",IF(INDEX(Bank!$G:$G,$C1517)="","",INDEX(Bank!$G:$G,$C1517)),IF(INDEX(GL!$G:$G,$C1517)="","",INDEX(GL!$G:$G,$C1517))))</f>
        <v/>
      </c>
      <c r="K1517" s="5" t="str">
        <f aca="false">IF(C1517=0,"",IF($A1517="Bank",IF(INDEX(Bank!$I:$I,$C1517)="","",INDEX(Bank!$I:$I,$C1517)),IF(INDEX(GL!$I:$I,$C1517)="","",INDEX(GL!$I:$I,$C1517))))</f>
        <v/>
      </c>
      <c r="L1517" s="5" t="str">
        <f aca="false">IF(B1517="","",IF(C1517=0,"NOT FOUND",IF(IF($A1517="Bank",INDEX(Bank!$F:$F,$C1517),INDEX(GL!$F:$F,$C1517))="Y","NOW RECONCILED: refresh","OK")))</f>
        <v/>
      </c>
    </row>
    <row r="1518" customFormat="false" ht="15" hidden="false" customHeight="false" outlineLevel="0" collapsed="false">
      <c r="A1518" s="41"/>
      <c r="B1518" s="41"/>
      <c r="C1518" s="5" t="n">
        <f aca="false">IF(B1518="",0,IF(A1518="Bank",IFERROR(MATCH(B1518,Bank!$A:$A,0),0),IFERROR(MATCH(B1518,GL!$A:$A,0),0)))</f>
        <v>0</v>
      </c>
      <c r="D1518" s="32" t="str">
        <f aca="false">IF(C1518=0,"",IF($A1518="Bank",INDEX(Bank!$B:$B,$C1518),INDEX(GL!$B:$B,$C1518)))</f>
        <v/>
      </c>
      <c r="E1518" s="5" t="str">
        <f aca="false">IF(C1518=0,"",IF($A1518="Bank",IF(INDEX(Bank!$C:$C,$C1518)="","",INDEX(Bank!$C:$C,$C1518)),IF(INDEX(GL!$C:$C,$C1518)="","",INDEX(GL!$C:$C,$C1518))))</f>
        <v/>
      </c>
      <c r="F1518" s="5" t="str">
        <f aca="false">IF(C1518=0,"",IF($A1518="Bank",IF(INDEX(Bank!$D:$D,$C1518)="","",INDEX(Bank!$D:$D,$C1518)),IF(INDEX(GL!$D:$D,$C1518)="","",INDEX(GL!$D:$D,$C1518))))</f>
        <v/>
      </c>
      <c r="G1518" s="19" t="str">
        <f aca="false">IF(C1518=0,"",IF($A1518="Bank",INDEX(Bank!$E:$E,$C1518),INDEX(GL!$E:$E,$C1518)))</f>
        <v/>
      </c>
      <c r="H1518" s="5" t="str">
        <f aca="false">IF(C1518=0,"",IF(A1518="GL",IF(G1518&gt;0,"Deposit in transit","Outstanding check / payment"),IF(G1518&gt;0,"Bank credit not in GL","Bank debit not in GL")))</f>
        <v/>
      </c>
      <c r="I1518" s="42" t="str">
        <f aca="false">IF(OR(C1518=0,CFG_PeriodEnd=""),"",CFG_PeriodEnd-D1518)</f>
        <v/>
      </c>
      <c r="J1518" s="5" t="str">
        <f aca="false">IF(C1518=0,"",IF($A1518="Bank",IF(INDEX(Bank!$G:$G,$C1518)="","",INDEX(Bank!$G:$G,$C1518)),IF(INDEX(GL!$G:$G,$C1518)="","",INDEX(GL!$G:$G,$C1518))))</f>
        <v/>
      </c>
      <c r="K1518" s="5" t="str">
        <f aca="false">IF(C1518=0,"",IF($A1518="Bank",IF(INDEX(Bank!$I:$I,$C1518)="","",INDEX(Bank!$I:$I,$C1518)),IF(INDEX(GL!$I:$I,$C1518)="","",INDEX(GL!$I:$I,$C1518))))</f>
        <v/>
      </c>
      <c r="L1518" s="5" t="str">
        <f aca="false">IF(B1518="","",IF(C1518=0,"NOT FOUND",IF(IF($A1518="Bank",INDEX(Bank!$F:$F,$C1518),INDEX(GL!$F:$F,$C1518))="Y","NOW RECONCILED: refresh","OK")))</f>
        <v/>
      </c>
    </row>
    <row r="1519" customFormat="false" ht="15" hidden="false" customHeight="false" outlineLevel="0" collapsed="false">
      <c r="A1519" s="41"/>
      <c r="B1519" s="41"/>
      <c r="C1519" s="5" t="n">
        <f aca="false">IF(B1519="",0,IF(A1519="Bank",IFERROR(MATCH(B1519,Bank!$A:$A,0),0),IFERROR(MATCH(B1519,GL!$A:$A,0),0)))</f>
        <v>0</v>
      </c>
      <c r="D1519" s="32" t="str">
        <f aca="false">IF(C1519=0,"",IF($A1519="Bank",INDEX(Bank!$B:$B,$C1519),INDEX(GL!$B:$B,$C1519)))</f>
        <v/>
      </c>
      <c r="E1519" s="5" t="str">
        <f aca="false">IF(C1519=0,"",IF($A1519="Bank",IF(INDEX(Bank!$C:$C,$C1519)="","",INDEX(Bank!$C:$C,$C1519)),IF(INDEX(GL!$C:$C,$C1519)="","",INDEX(GL!$C:$C,$C1519))))</f>
        <v/>
      </c>
      <c r="F1519" s="5" t="str">
        <f aca="false">IF(C1519=0,"",IF($A1519="Bank",IF(INDEX(Bank!$D:$D,$C1519)="","",INDEX(Bank!$D:$D,$C1519)),IF(INDEX(GL!$D:$D,$C1519)="","",INDEX(GL!$D:$D,$C1519))))</f>
        <v/>
      </c>
      <c r="G1519" s="19" t="str">
        <f aca="false">IF(C1519=0,"",IF($A1519="Bank",INDEX(Bank!$E:$E,$C1519),INDEX(GL!$E:$E,$C1519)))</f>
        <v/>
      </c>
      <c r="H1519" s="5" t="str">
        <f aca="false">IF(C1519=0,"",IF(A1519="GL",IF(G1519&gt;0,"Deposit in transit","Outstanding check / payment"),IF(G1519&gt;0,"Bank credit not in GL","Bank debit not in GL")))</f>
        <v/>
      </c>
      <c r="I1519" s="42" t="str">
        <f aca="false">IF(OR(C1519=0,CFG_PeriodEnd=""),"",CFG_PeriodEnd-D1519)</f>
        <v/>
      </c>
      <c r="J1519" s="5" t="str">
        <f aca="false">IF(C1519=0,"",IF($A1519="Bank",IF(INDEX(Bank!$G:$G,$C1519)="","",INDEX(Bank!$G:$G,$C1519)),IF(INDEX(GL!$G:$G,$C1519)="","",INDEX(GL!$G:$G,$C1519))))</f>
        <v/>
      </c>
      <c r="K1519" s="5" t="str">
        <f aca="false">IF(C1519=0,"",IF($A1519="Bank",IF(INDEX(Bank!$I:$I,$C1519)="","",INDEX(Bank!$I:$I,$C1519)),IF(INDEX(GL!$I:$I,$C1519)="","",INDEX(GL!$I:$I,$C1519))))</f>
        <v/>
      </c>
      <c r="L1519" s="5" t="str">
        <f aca="false">IF(B1519="","",IF(C1519=0,"NOT FOUND",IF(IF($A1519="Bank",INDEX(Bank!$F:$F,$C1519),INDEX(GL!$F:$F,$C1519))="Y","NOW RECONCILED: refresh","OK")))</f>
        <v/>
      </c>
    </row>
    <row r="1520" customFormat="false" ht="15" hidden="false" customHeight="false" outlineLevel="0" collapsed="false">
      <c r="A1520" s="41"/>
      <c r="B1520" s="41"/>
      <c r="C1520" s="5" t="n">
        <f aca="false">IF(B1520="",0,IF(A1520="Bank",IFERROR(MATCH(B1520,Bank!$A:$A,0),0),IFERROR(MATCH(B1520,GL!$A:$A,0),0)))</f>
        <v>0</v>
      </c>
      <c r="D1520" s="32" t="str">
        <f aca="false">IF(C1520=0,"",IF($A1520="Bank",INDEX(Bank!$B:$B,$C1520),INDEX(GL!$B:$B,$C1520)))</f>
        <v/>
      </c>
      <c r="E1520" s="5" t="str">
        <f aca="false">IF(C1520=0,"",IF($A1520="Bank",IF(INDEX(Bank!$C:$C,$C1520)="","",INDEX(Bank!$C:$C,$C1520)),IF(INDEX(GL!$C:$C,$C1520)="","",INDEX(GL!$C:$C,$C1520))))</f>
        <v/>
      </c>
      <c r="F1520" s="5" t="str">
        <f aca="false">IF(C1520=0,"",IF($A1520="Bank",IF(INDEX(Bank!$D:$D,$C1520)="","",INDEX(Bank!$D:$D,$C1520)),IF(INDEX(GL!$D:$D,$C1520)="","",INDEX(GL!$D:$D,$C1520))))</f>
        <v/>
      </c>
      <c r="G1520" s="19" t="str">
        <f aca="false">IF(C1520=0,"",IF($A1520="Bank",INDEX(Bank!$E:$E,$C1520),INDEX(GL!$E:$E,$C1520)))</f>
        <v/>
      </c>
      <c r="H1520" s="5" t="str">
        <f aca="false">IF(C1520=0,"",IF(A1520="GL",IF(G1520&gt;0,"Deposit in transit","Outstanding check / payment"),IF(G1520&gt;0,"Bank credit not in GL","Bank debit not in GL")))</f>
        <v/>
      </c>
      <c r="I1520" s="42" t="str">
        <f aca="false">IF(OR(C1520=0,CFG_PeriodEnd=""),"",CFG_PeriodEnd-D1520)</f>
        <v/>
      </c>
      <c r="J1520" s="5" t="str">
        <f aca="false">IF(C1520=0,"",IF($A1520="Bank",IF(INDEX(Bank!$G:$G,$C1520)="","",INDEX(Bank!$G:$G,$C1520)),IF(INDEX(GL!$G:$G,$C1520)="","",INDEX(GL!$G:$G,$C1520))))</f>
        <v/>
      </c>
      <c r="K1520" s="5" t="str">
        <f aca="false">IF(C1520=0,"",IF($A1520="Bank",IF(INDEX(Bank!$I:$I,$C1520)="","",INDEX(Bank!$I:$I,$C1520)),IF(INDEX(GL!$I:$I,$C1520)="","",INDEX(GL!$I:$I,$C1520))))</f>
        <v/>
      </c>
      <c r="L1520" s="5" t="str">
        <f aca="false">IF(B1520="","",IF(C1520=0,"NOT FOUND",IF(IF($A1520="Bank",INDEX(Bank!$F:$F,$C1520),INDEX(GL!$F:$F,$C1520))="Y","NOW RECONCILED: refresh","OK")))</f>
        <v/>
      </c>
    </row>
    <row r="1521" customFormat="false" ht="15" hidden="false" customHeight="false" outlineLevel="0" collapsed="false">
      <c r="A1521" s="41"/>
      <c r="B1521" s="41"/>
      <c r="C1521" s="5" t="n">
        <f aca="false">IF(B1521="",0,IF(A1521="Bank",IFERROR(MATCH(B1521,Bank!$A:$A,0),0),IFERROR(MATCH(B1521,GL!$A:$A,0),0)))</f>
        <v>0</v>
      </c>
      <c r="D1521" s="32" t="str">
        <f aca="false">IF(C1521=0,"",IF($A1521="Bank",INDEX(Bank!$B:$B,$C1521),INDEX(GL!$B:$B,$C1521)))</f>
        <v/>
      </c>
      <c r="E1521" s="5" t="str">
        <f aca="false">IF(C1521=0,"",IF($A1521="Bank",IF(INDEX(Bank!$C:$C,$C1521)="","",INDEX(Bank!$C:$C,$C1521)),IF(INDEX(GL!$C:$C,$C1521)="","",INDEX(GL!$C:$C,$C1521))))</f>
        <v/>
      </c>
      <c r="F1521" s="5" t="str">
        <f aca="false">IF(C1521=0,"",IF($A1521="Bank",IF(INDEX(Bank!$D:$D,$C1521)="","",INDEX(Bank!$D:$D,$C1521)),IF(INDEX(GL!$D:$D,$C1521)="","",INDEX(GL!$D:$D,$C1521))))</f>
        <v/>
      </c>
      <c r="G1521" s="19" t="str">
        <f aca="false">IF(C1521=0,"",IF($A1521="Bank",INDEX(Bank!$E:$E,$C1521),INDEX(GL!$E:$E,$C1521)))</f>
        <v/>
      </c>
      <c r="H1521" s="5" t="str">
        <f aca="false">IF(C1521=0,"",IF(A1521="GL",IF(G1521&gt;0,"Deposit in transit","Outstanding check / payment"),IF(G1521&gt;0,"Bank credit not in GL","Bank debit not in GL")))</f>
        <v/>
      </c>
      <c r="I1521" s="42" t="str">
        <f aca="false">IF(OR(C1521=0,CFG_PeriodEnd=""),"",CFG_PeriodEnd-D1521)</f>
        <v/>
      </c>
      <c r="J1521" s="5" t="str">
        <f aca="false">IF(C1521=0,"",IF($A1521="Bank",IF(INDEX(Bank!$G:$G,$C1521)="","",INDEX(Bank!$G:$G,$C1521)),IF(INDEX(GL!$G:$G,$C1521)="","",INDEX(GL!$G:$G,$C1521))))</f>
        <v/>
      </c>
      <c r="K1521" s="5" t="str">
        <f aca="false">IF(C1521=0,"",IF($A1521="Bank",IF(INDEX(Bank!$I:$I,$C1521)="","",INDEX(Bank!$I:$I,$C1521)),IF(INDEX(GL!$I:$I,$C1521)="","",INDEX(GL!$I:$I,$C1521))))</f>
        <v/>
      </c>
      <c r="L1521" s="5" t="str">
        <f aca="false">IF(B1521="","",IF(C1521=0,"NOT FOUND",IF(IF($A1521="Bank",INDEX(Bank!$F:$F,$C1521),INDEX(GL!$F:$F,$C1521))="Y","NOW RECONCILED: refresh","OK")))</f>
        <v/>
      </c>
    </row>
    <row r="1522" customFormat="false" ht="15" hidden="false" customHeight="false" outlineLevel="0" collapsed="false">
      <c r="A1522" s="41"/>
      <c r="B1522" s="41"/>
      <c r="C1522" s="5" t="n">
        <f aca="false">IF(B1522="",0,IF(A1522="Bank",IFERROR(MATCH(B1522,Bank!$A:$A,0),0),IFERROR(MATCH(B1522,GL!$A:$A,0),0)))</f>
        <v>0</v>
      </c>
      <c r="D1522" s="32" t="str">
        <f aca="false">IF(C1522=0,"",IF($A1522="Bank",INDEX(Bank!$B:$B,$C1522),INDEX(GL!$B:$B,$C1522)))</f>
        <v/>
      </c>
      <c r="E1522" s="5" t="str">
        <f aca="false">IF(C1522=0,"",IF($A1522="Bank",IF(INDEX(Bank!$C:$C,$C1522)="","",INDEX(Bank!$C:$C,$C1522)),IF(INDEX(GL!$C:$C,$C1522)="","",INDEX(GL!$C:$C,$C1522))))</f>
        <v/>
      </c>
      <c r="F1522" s="5" t="str">
        <f aca="false">IF(C1522=0,"",IF($A1522="Bank",IF(INDEX(Bank!$D:$D,$C1522)="","",INDEX(Bank!$D:$D,$C1522)),IF(INDEX(GL!$D:$D,$C1522)="","",INDEX(GL!$D:$D,$C1522))))</f>
        <v/>
      </c>
      <c r="G1522" s="19" t="str">
        <f aca="false">IF(C1522=0,"",IF($A1522="Bank",INDEX(Bank!$E:$E,$C1522),INDEX(GL!$E:$E,$C1522)))</f>
        <v/>
      </c>
      <c r="H1522" s="5" t="str">
        <f aca="false">IF(C1522=0,"",IF(A1522="GL",IF(G1522&gt;0,"Deposit in transit","Outstanding check / payment"),IF(G1522&gt;0,"Bank credit not in GL","Bank debit not in GL")))</f>
        <v/>
      </c>
      <c r="I1522" s="42" t="str">
        <f aca="false">IF(OR(C1522=0,CFG_PeriodEnd=""),"",CFG_PeriodEnd-D1522)</f>
        <v/>
      </c>
      <c r="J1522" s="5" t="str">
        <f aca="false">IF(C1522=0,"",IF($A1522="Bank",IF(INDEX(Bank!$G:$G,$C1522)="","",INDEX(Bank!$G:$G,$C1522)),IF(INDEX(GL!$G:$G,$C1522)="","",INDEX(GL!$G:$G,$C1522))))</f>
        <v/>
      </c>
      <c r="K1522" s="5" t="str">
        <f aca="false">IF(C1522=0,"",IF($A1522="Bank",IF(INDEX(Bank!$I:$I,$C1522)="","",INDEX(Bank!$I:$I,$C1522)),IF(INDEX(GL!$I:$I,$C1522)="","",INDEX(GL!$I:$I,$C1522))))</f>
        <v/>
      </c>
      <c r="L1522" s="5" t="str">
        <f aca="false">IF(B1522="","",IF(C1522=0,"NOT FOUND",IF(IF($A1522="Bank",INDEX(Bank!$F:$F,$C1522),INDEX(GL!$F:$F,$C1522))="Y","NOW RECONCILED: refresh","OK")))</f>
        <v/>
      </c>
    </row>
    <row r="1523" customFormat="false" ht="15" hidden="false" customHeight="false" outlineLevel="0" collapsed="false">
      <c r="A1523" s="41"/>
      <c r="B1523" s="41"/>
      <c r="C1523" s="5" t="n">
        <f aca="false">IF(B1523="",0,IF(A1523="Bank",IFERROR(MATCH(B1523,Bank!$A:$A,0),0),IFERROR(MATCH(B1523,GL!$A:$A,0),0)))</f>
        <v>0</v>
      </c>
      <c r="D1523" s="32" t="str">
        <f aca="false">IF(C1523=0,"",IF($A1523="Bank",INDEX(Bank!$B:$B,$C1523),INDEX(GL!$B:$B,$C1523)))</f>
        <v/>
      </c>
      <c r="E1523" s="5" t="str">
        <f aca="false">IF(C1523=0,"",IF($A1523="Bank",IF(INDEX(Bank!$C:$C,$C1523)="","",INDEX(Bank!$C:$C,$C1523)),IF(INDEX(GL!$C:$C,$C1523)="","",INDEX(GL!$C:$C,$C1523))))</f>
        <v/>
      </c>
      <c r="F1523" s="5" t="str">
        <f aca="false">IF(C1523=0,"",IF($A1523="Bank",IF(INDEX(Bank!$D:$D,$C1523)="","",INDEX(Bank!$D:$D,$C1523)),IF(INDEX(GL!$D:$D,$C1523)="","",INDEX(GL!$D:$D,$C1523))))</f>
        <v/>
      </c>
      <c r="G1523" s="19" t="str">
        <f aca="false">IF(C1523=0,"",IF($A1523="Bank",INDEX(Bank!$E:$E,$C1523),INDEX(GL!$E:$E,$C1523)))</f>
        <v/>
      </c>
      <c r="H1523" s="5" t="str">
        <f aca="false">IF(C1523=0,"",IF(A1523="GL",IF(G1523&gt;0,"Deposit in transit","Outstanding check / payment"),IF(G1523&gt;0,"Bank credit not in GL","Bank debit not in GL")))</f>
        <v/>
      </c>
      <c r="I1523" s="42" t="str">
        <f aca="false">IF(OR(C1523=0,CFG_PeriodEnd=""),"",CFG_PeriodEnd-D1523)</f>
        <v/>
      </c>
      <c r="J1523" s="5" t="str">
        <f aca="false">IF(C1523=0,"",IF($A1523="Bank",IF(INDEX(Bank!$G:$G,$C1523)="","",INDEX(Bank!$G:$G,$C1523)),IF(INDEX(GL!$G:$G,$C1523)="","",INDEX(GL!$G:$G,$C1523))))</f>
        <v/>
      </c>
      <c r="K1523" s="5" t="str">
        <f aca="false">IF(C1523=0,"",IF($A1523="Bank",IF(INDEX(Bank!$I:$I,$C1523)="","",INDEX(Bank!$I:$I,$C1523)),IF(INDEX(GL!$I:$I,$C1523)="","",INDEX(GL!$I:$I,$C1523))))</f>
        <v/>
      </c>
      <c r="L1523" s="5" t="str">
        <f aca="false">IF(B1523="","",IF(C1523=0,"NOT FOUND",IF(IF($A1523="Bank",INDEX(Bank!$F:$F,$C1523),INDEX(GL!$F:$F,$C1523))="Y","NOW RECONCILED: refresh","OK")))</f>
        <v/>
      </c>
    </row>
    <row r="1524" customFormat="false" ht="15" hidden="false" customHeight="false" outlineLevel="0" collapsed="false">
      <c r="A1524" s="41"/>
      <c r="B1524" s="41"/>
      <c r="C1524" s="5" t="n">
        <f aca="false">IF(B1524="",0,IF(A1524="Bank",IFERROR(MATCH(B1524,Bank!$A:$A,0),0),IFERROR(MATCH(B1524,GL!$A:$A,0),0)))</f>
        <v>0</v>
      </c>
      <c r="D1524" s="32" t="str">
        <f aca="false">IF(C1524=0,"",IF($A1524="Bank",INDEX(Bank!$B:$B,$C1524),INDEX(GL!$B:$B,$C1524)))</f>
        <v/>
      </c>
      <c r="E1524" s="5" t="str">
        <f aca="false">IF(C1524=0,"",IF($A1524="Bank",IF(INDEX(Bank!$C:$C,$C1524)="","",INDEX(Bank!$C:$C,$C1524)),IF(INDEX(GL!$C:$C,$C1524)="","",INDEX(GL!$C:$C,$C1524))))</f>
        <v/>
      </c>
      <c r="F1524" s="5" t="str">
        <f aca="false">IF(C1524=0,"",IF($A1524="Bank",IF(INDEX(Bank!$D:$D,$C1524)="","",INDEX(Bank!$D:$D,$C1524)),IF(INDEX(GL!$D:$D,$C1524)="","",INDEX(GL!$D:$D,$C1524))))</f>
        <v/>
      </c>
      <c r="G1524" s="19" t="str">
        <f aca="false">IF(C1524=0,"",IF($A1524="Bank",INDEX(Bank!$E:$E,$C1524),INDEX(GL!$E:$E,$C1524)))</f>
        <v/>
      </c>
      <c r="H1524" s="5" t="str">
        <f aca="false">IF(C1524=0,"",IF(A1524="GL",IF(G1524&gt;0,"Deposit in transit","Outstanding check / payment"),IF(G1524&gt;0,"Bank credit not in GL","Bank debit not in GL")))</f>
        <v/>
      </c>
      <c r="I1524" s="42" t="str">
        <f aca="false">IF(OR(C1524=0,CFG_PeriodEnd=""),"",CFG_PeriodEnd-D1524)</f>
        <v/>
      </c>
      <c r="J1524" s="5" t="str">
        <f aca="false">IF(C1524=0,"",IF($A1524="Bank",IF(INDEX(Bank!$G:$G,$C1524)="","",INDEX(Bank!$G:$G,$C1524)),IF(INDEX(GL!$G:$G,$C1524)="","",INDEX(GL!$G:$G,$C1524))))</f>
        <v/>
      </c>
      <c r="K1524" s="5" t="str">
        <f aca="false">IF(C1524=0,"",IF($A1524="Bank",IF(INDEX(Bank!$I:$I,$C1524)="","",INDEX(Bank!$I:$I,$C1524)),IF(INDEX(GL!$I:$I,$C1524)="","",INDEX(GL!$I:$I,$C1524))))</f>
        <v/>
      </c>
      <c r="L1524" s="5" t="str">
        <f aca="false">IF(B1524="","",IF(C1524=0,"NOT FOUND",IF(IF($A1524="Bank",INDEX(Bank!$F:$F,$C1524),INDEX(GL!$F:$F,$C1524))="Y","NOW RECONCILED: refresh","OK")))</f>
        <v/>
      </c>
    </row>
    <row r="1525" customFormat="false" ht="15" hidden="false" customHeight="false" outlineLevel="0" collapsed="false">
      <c r="A1525" s="41"/>
      <c r="B1525" s="41"/>
      <c r="C1525" s="5" t="n">
        <f aca="false">IF(B1525="",0,IF(A1525="Bank",IFERROR(MATCH(B1525,Bank!$A:$A,0),0),IFERROR(MATCH(B1525,GL!$A:$A,0),0)))</f>
        <v>0</v>
      </c>
      <c r="D1525" s="32" t="str">
        <f aca="false">IF(C1525=0,"",IF($A1525="Bank",INDEX(Bank!$B:$B,$C1525),INDEX(GL!$B:$B,$C1525)))</f>
        <v/>
      </c>
      <c r="E1525" s="5" t="str">
        <f aca="false">IF(C1525=0,"",IF($A1525="Bank",IF(INDEX(Bank!$C:$C,$C1525)="","",INDEX(Bank!$C:$C,$C1525)),IF(INDEX(GL!$C:$C,$C1525)="","",INDEX(GL!$C:$C,$C1525))))</f>
        <v/>
      </c>
      <c r="F1525" s="5" t="str">
        <f aca="false">IF(C1525=0,"",IF($A1525="Bank",IF(INDEX(Bank!$D:$D,$C1525)="","",INDEX(Bank!$D:$D,$C1525)),IF(INDEX(GL!$D:$D,$C1525)="","",INDEX(GL!$D:$D,$C1525))))</f>
        <v/>
      </c>
      <c r="G1525" s="19" t="str">
        <f aca="false">IF(C1525=0,"",IF($A1525="Bank",INDEX(Bank!$E:$E,$C1525),INDEX(GL!$E:$E,$C1525)))</f>
        <v/>
      </c>
      <c r="H1525" s="5" t="str">
        <f aca="false">IF(C1525=0,"",IF(A1525="GL",IF(G1525&gt;0,"Deposit in transit","Outstanding check / payment"),IF(G1525&gt;0,"Bank credit not in GL","Bank debit not in GL")))</f>
        <v/>
      </c>
      <c r="I1525" s="42" t="str">
        <f aca="false">IF(OR(C1525=0,CFG_PeriodEnd=""),"",CFG_PeriodEnd-D1525)</f>
        <v/>
      </c>
      <c r="J1525" s="5" t="str">
        <f aca="false">IF(C1525=0,"",IF($A1525="Bank",IF(INDEX(Bank!$G:$G,$C1525)="","",INDEX(Bank!$G:$G,$C1525)),IF(INDEX(GL!$G:$G,$C1525)="","",INDEX(GL!$G:$G,$C1525))))</f>
        <v/>
      </c>
      <c r="K1525" s="5" t="str">
        <f aca="false">IF(C1525=0,"",IF($A1525="Bank",IF(INDEX(Bank!$I:$I,$C1525)="","",INDEX(Bank!$I:$I,$C1525)),IF(INDEX(GL!$I:$I,$C1525)="","",INDEX(GL!$I:$I,$C1525))))</f>
        <v/>
      </c>
      <c r="L1525" s="5" t="str">
        <f aca="false">IF(B1525="","",IF(C1525=0,"NOT FOUND",IF(IF($A1525="Bank",INDEX(Bank!$F:$F,$C1525),INDEX(GL!$F:$F,$C1525))="Y","NOW RECONCILED: refresh","OK")))</f>
        <v/>
      </c>
    </row>
    <row r="1526" customFormat="false" ht="15" hidden="false" customHeight="false" outlineLevel="0" collapsed="false">
      <c r="A1526" s="41"/>
      <c r="B1526" s="41"/>
      <c r="C1526" s="5" t="n">
        <f aca="false">IF(B1526="",0,IF(A1526="Bank",IFERROR(MATCH(B1526,Bank!$A:$A,0),0),IFERROR(MATCH(B1526,GL!$A:$A,0),0)))</f>
        <v>0</v>
      </c>
      <c r="D1526" s="32" t="str">
        <f aca="false">IF(C1526=0,"",IF($A1526="Bank",INDEX(Bank!$B:$B,$C1526),INDEX(GL!$B:$B,$C1526)))</f>
        <v/>
      </c>
      <c r="E1526" s="5" t="str">
        <f aca="false">IF(C1526=0,"",IF($A1526="Bank",IF(INDEX(Bank!$C:$C,$C1526)="","",INDEX(Bank!$C:$C,$C1526)),IF(INDEX(GL!$C:$C,$C1526)="","",INDEX(GL!$C:$C,$C1526))))</f>
        <v/>
      </c>
      <c r="F1526" s="5" t="str">
        <f aca="false">IF(C1526=0,"",IF($A1526="Bank",IF(INDEX(Bank!$D:$D,$C1526)="","",INDEX(Bank!$D:$D,$C1526)),IF(INDEX(GL!$D:$D,$C1526)="","",INDEX(GL!$D:$D,$C1526))))</f>
        <v/>
      </c>
      <c r="G1526" s="19" t="str">
        <f aca="false">IF(C1526=0,"",IF($A1526="Bank",INDEX(Bank!$E:$E,$C1526),INDEX(GL!$E:$E,$C1526)))</f>
        <v/>
      </c>
      <c r="H1526" s="5" t="str">
        <f aca="false">IF(C1526=0,"",IF(A1526="GL",IF(G1526&gt;0,"Deposit in transit","Outstanding check / payment"),IF(G1526&gt;0,"Bank credit not in GL","Bank debit not in GL")))</f>
        <v/>
      </c>
      <c r="I1526" s="42" t="str">
        <f aca="false">IF(OR(C1526=0,CFG_PeriodEnd=""),"",CFG_PeriodEnd-D1526)</f>
        <v/>
      </c>
      <c r="J1526" s="5" t="str">
        <f aca="false">IF(C1526=0,"",IF($A1526="Bank",IF(INDEX(Bank!$G:$G,$C1526)="","",INDEX(Bank!$G:$G,$C1526)),IF(INDEX(GL!$G:$G,$C1526)="","",INDEX(GL!$G:$G,$C1526))))</f>
        <v/>
      </c>
      <c r="K1526" s="5" t="str">
        <f aca="false">IF(C1526=0,"",IF($A1526="Bank",IF(INDEX(Bank!$I:$I,$C1526)="","",INDEX(Bank!$I:$I,$C1526)),IF(INDEX(GL!$I:$I,$C1526)="","",INDEX(GL!$I:$I,$C1526))))</f>
        <v/>
      </c>
      <c r="L1526" s="5" t="str">
        <f aca="false">IF(B1526="","",IF(C1526=0,"NOT FOUND",IF(IF($A1526="Bank",INDEX(Bank!$F:$F,$C1526),INDEX(GL!$F:$F,$C1526))="Y","NOW RECONCILED: refresh","OK")))</f>
        <v/>
      </c>
    </row>
    <row r="1527" customFormat="false" ht="15" hidden="false" customHeight="false" outlineLevel="0" collapsed="false">
      <c r="A1527" s="41"/>
      <c r="B1527" s="41"/>
      <c r="C1527" s="5" t="n">
        <f aca="false">IF(B1527="",0,IF(A1527="Bank",IFERROR(MATCH(B1527,Bank!$A:$A,0),0),IFERROR(MATCH(B1527,GL!$A:$A,0),0)))</f>
        <v>0</v>
      </c>
      <c r="D1527" s="32" t="str">
        <f aca="false">IF(C1527=0,"",IF($A1527="Bank",INDEX(Bank!$B:$B,$C1527),INDEX(GL!$B:$B,$C1527)))</f>
        <v/>
      </c>
      <c r="E1527" s="5" t="str">
        <f aca="false">IF(C1527=0,"",IF($A1527="Bank",IF(INDEX(Bank!$C:$C,$C1527)="","",INDEX(Bank!$C:$C,$C1527)),IF(INDEX(GL!$C:$C,$C1527)="","",INDEX(GL!$C:$C,$C1527))))</f>
        <v/>
      </c>
      <c r="F1527" s="5" t="str">
        <f aca="false">IF(C1527=0,"",IF($A1527="Bank",IF(INDEX(Bank!$D:$D,$C1527)="","",INDEX(Bank!$D:$D,$C1527)),IF(INDEX(GL!$D:$D,$C1527)="","",INDEX(GL!$D:$D,$C1527))))</f>
        <v/>
      </c>
      <c r="G1527" s="19" t="str">
        <f aca="false">IF(C1527=0,"",IF($A1527="Bank",INDEX(Bank!$E:$E,$C1527),INDEX(GL!$E:$E,$C1527)))</f>
        <v/>
      </c>
      <c r="H1527" s="5" t="str">
        <f aca="false">IF(C1527=0,"",IF(A1527="GL",IF(G1527&gt;0,"Deposit in transit","Outstanding check / payment"),IF(G1527&gt;0,"Bank credit not in GL","Bank debit not in GL")))</f>
        <v/>
      </c>
      <c r="I1527" s="42" t="str">
        <f aca="false">IF(OR(C1527=0,CFG_PeriodEnd=""),"",CFG_PeriodEnd-D1527)</f>
        <v/>
      </c>
      <c r="J1527" s="5" t="str">
        <f aca="false">IF(C1527=0,"",IF($A1527="Bank",IF(INDEX(Bank!$G:$G,$C1527)="","",INDEX(Bank!$G:$G,$C1527)),IF(INDEX(GL!$G:$G,$C1527)="","",INDEX(GL!$G:$G,$C1527))))</f>
        <v/>
      </c>
      <c r="K1527" s="5" t="str">
        <f aca="false">IF(C1527=0,"",IF($A1527="Bank",IF(INDEX(Bank!$I:$I,$C1527)="","",INDEX(Bank!$I:$I,$C1527)),IF(INDEX(GL!$I:$I,$C1527)="","",INDEX(GL!$I:$I,$C1527))))</f>
        <v/>
      </c>
      <c r="L1527" s="5" t="str">
        <f aca="false">IF(B1527="","",IF(C1527=0,"NOT FOUND",IF(IF($A1527="Bank",INDEX(Bank!$F:$F,$C1527),INDEX(GL!$F:$F,$C1527))="Y","NOW RECONCILED: refresh","OK")))</f>
        <v/>
      </c>
    </row>
    <row r="1528" customFormat="false" ht="15" hidden="false" customHeight="false" outlineLevel="0" collapsed="false">
      <c r="A1528" s="41"/>
      <c r="B1528" s="41"/>
      <c r="C1528" s="5" t="n">
        <f aca="false">IF(B1528="",0,IF(A1528="Bank",IFERROR(MATCH(B1528,Bank!$A:$A,0),0),IFERROR(MATCH(B1528,GL!$A:$A,0),0)))</f>
        <v>0</v>
      </c>
      <c r="D1528" s="32" t="str">
        <f aca="false">IF(C1528=0,"",IF($A1528="Bank",INDEX(Bank!$B:$B,$C1528),INDEX(GL!$B:$B,$C1528)))</f>
        <v/>
      </c>
      <c r="E1528" s="5" t="str">
        <f aca="false">IF(C1528=0,"",IF($A1528="Bank",IF(INDEX(Bank!$C:$C,$C1528)="","",INDEX(Bank!$C:$C,$C1528)),IF(INDEX(GL!$C:$C,$C1528)="","",INDEX(GL!$C:$C,$C1528))))</f>
        <v/>
      </c>
      <c r="F1528" s="5" t="str">
        <f aca="false">IF(C1528=0,"",IF($A1528="Bank",IF(INDEX(Bank!$D:$D,$C1528)="","",INDEX(Bank!$D:$D,$C1528)),IF(INDEX(GL!$D:$D,$C1528)="","",INDEX(GL!$D:$D,$C1528))))</f>
        <v/>
      </c>
      <c r="G1528" s="19" t="str">
        <f aca="false">IF(C1528=0,"",IF($A1528="Bank",INDEX(Bank!$E:$E,$C1528),INDEX(GL!$E:$E,$C1528)))</f>
        <v/>
      </c>
      <c r="H1528" s="5" t="str">
        <f aca="false">IF(C1528=0,"",IF(A1528="GL",IF(G1528&gt;0,"Deposit in transit","Outstanding check / payment"),IF(G1528&gt;0,"Bank credit not in GL","Bank debit not in GL")))</f>
        <v/>
      </c>
      <c r="I1528" s="42" t="str">
        <f aca="false">IF(OR(C1528=0,CFG_PeriodEnd=""),"",CFG_PeriodEnd-D1528)</f>
        <v/>
      </c>
      <c r="J1528" s="5" t="str">
        <f aca="false">IF(C1528=0,"",IF($A1528="Bank",IF(INDEX(Bank!$G:$G,$C1528)="","",INDEX(Bank!$G:$G,$C1528)),IF(INDEX(GL!$G:$G,$C1528)="","",INDEX(GL!$G:$G,$C1528))))</f>
        <v/>
      </c>
      <c r="K1528" s="5" t="str">
        <f aca="false">IF(C1528=0,"",IF($A1528="Bank",IF(INDEX(Bank!$I:$I,$C1528)="","",INDEX(Bank!$I:$I,$C1528)),IF(INDEX(GL!$I:$I,$C1528)="","",INDEX(GL!$I:$I,$C1528))))</f>
        <v/>
      </c>
      <c r="L1528" s="5" t="str">
        <f aca="false">IF(B1528="","",IF(C1528=0,"NOT FOUND",IF(IF($A1528="Bank",INDEX(Bank!$F:$F,$C1528),INDEX(GL!$F:$F,$C1528))="Y","NOW RECONCILED: refresh","OK")))</f>
        <v/>
      </c>
    </row>
    <row r="1529" customFormat="false" ht="15" hidden="false" customHeight="false" outlineLevel="0" collapsed="false">
      <c r="A1529" s="41"/>
      <c r="B1529" s="41"/>
      <c r="C1529" s="5" t="n">
        <f aca="false">IF(B1529="",0,IF(A1529="Bank",IFERROR(MATCH(B1529,Bank!$A:$A,0),0),IFERROR(MATCH(B1529,GL!$A:$A,0),0)))</f>
        <v>0</v>
      </c>
      <c r="D1529" s="32" t="str">
        <f aca="false">IF(C1529=0,"",IF($A1529="Bank",INDEX(Bank!$B:$B,$C1529),INDEX(GL!$B:$B,$C1529)))</f>
        <v/>
      </c>
      <c r="E1529" s="5" t="str">
        <f aca="false">IF(C1529=0,"",IF($A1529="Bank",IF(INDEX(Bank!$C:$C,$C1529)="","",INDEX(Bank!$C:$C,$C1529)),IF(INDEX(GL!$C:$C,$C1529)="","",INDEX(GL!$C:$C,$C1529))))</f>
        <v/>
      </c>
      <c r="F1529" s="5" t="str">
        <f aca="false">IF(C1529=0,"",IF($A1529="Bank",IF(INDEX(Bank!$D:$D,$C1529)="","",INDEX(Bank!$D:$D,$C1529)),IF(INDEX(GL!$D:$D,$C1529)="","",INDEX(GL!$D:$D,$C1529))))</f>
        <v/>
      </c>
      <c r="G1529" s="19" t="str">
        <f aca="false">IF(C1529=0,"",IF($A1529="Bank",INDEX(Bank!$E:$E,$C1529),INDEX(GL!$E:$E,$C1529)))</f>
        <v/>
      </c>
      <c r="H1529" s="5" t="str">
        <f aca="false">IF(C1529=0,"",IF(A1529="GL",IF(G1529&gt;0,"Deposit in transit","Outstanding check / payment"),IF(G1529&gt;0,"Bank credit not in GL","Bank debit not in GL")))</f>
        <v/>
      </c>
      <c r="I1529" s="42" t="str">
        <f aca="false">IF(OR(C1529=0,CFG_PeriodEnd=""),"",CFG_PeriodEnd-D1529)</f>
        <v/>
      </c>
      <c r="J1529" s="5" t="str">
        <f aca="false">IF(C1529=0,"",IF($A1529="Bank",IF(INDEX(Bank!$G:$G,$C1529)="","",INDEX(Bank!$G:$G,$C1529)),IF(INDEX(GL!$G:$G,$C1529)="","",INDEX(GL!$G:$G,$C1529))))</f>
        <v/>
      </c>
      <c r="K1529" s="5" t="str">
        <f aca="false">IF(C1529=0,"",IF($A1529="Bank",IF(INDEX(Bank!$I:$I,$C1529)="","",INDEX(Bank!$I:$I,$C1529)),IF(INDEX(GL!$I:$I,$C1529)="","",INDEX(GL!$I:$I,$C1529))))</f>
        <v/>
      </c>
      <c r="L1529" s="5" t="str">
        <f aca="false">IF(B1529="","",IF(C1529=0,"NOT FOUND",IF(IF($A1529="Bank",INDEX(Bank!$F:$F,$C1529),INDEX(GL!$F:$F,$C1529))="Y","NOW RECONCILED: refresh","OK")))</f>
        <v/>
      </c>
    </row>
    <row r="1530" customFormat="false" ht="15" hidden="false" customHeight="false" outlineLevel="0" collapsed="false">
      <c r="A1530" s="41"/>
      <c r="B1530" s="41"/>
      <c r="C1530" s="5" t="n">
        <f aca="false">IF(B1530="",0,IF(A1530="Bank",IFERROR(MATCH(B1530,Bank!$A:$A,0),0),IFERROR(MATCH(B1530,GL!$A:$A,0),0)))</f>
        <v>0</v>
      </c>
      <c r="D1530" s="32" t="str">
        <f aca="false">IF(C1530=0,"",IF($A1530="Bank",INDEX(Bank!$B:$B,$C1530),INDEX(GL!$B:$B,$C1530)))</f>
        <v/>
      </c>
      <c r="E1530" s="5" t="str">
        <f aca="false">IF(C1530=0,"",IF($A1530="Bank",IF(INDEX(Bank!$C:$C,$C1530)="","",INDEX(Bank!$C:$C,$C1530)),IF(INDEX(GL!$C:$C,$C1530)="","",INDEX(GL!$C:$C,$C1530))))</f>
        <v/>
      </c>
      <c r="F1530" s="5" t="str">
        <f aca="false">IF(C1530=0,"",IF($A1530="Bank",IF(INDEX(Bank!$D:$D,$C1530)="","",INDEX(Bank!$D:$D,$C1530)),IF(INDEX(GL!$D:$D,$C1530)="","",INDEX(GL!$D:$D,$C1530))))</f>
        <v/>
      </c>
      <c r="G1530" s="19" t="str">
        <f aca="false">IF(C1530=0,"",IF($A1530="Bank",INDEX(Bank!$E:$E,$C1530),INDEX(GL!$E:$E,$C1530)))</f>
        <v/>
      </c>
      <c r="H1530" s="5" t="str">
        <f aca="false">IF(C1530=0,"",IF(A1530="GL",IF(G1530&gt;0,"Deposit in transit","Outstanding check / payment"),IF(G1530&gt;0,"Bank credit not in GL","Bank debit not in GL")))</f>
        <v/>
      </c>
      <c r="I1530" s="42" t="str">
        <f aca="false">IF(OR(C1530=0,CFG_PeriodEnd=""),"",CFG_PeriodEnd-D1530)</f>
        <v/>
      </c>
      <c r="J1530" s="5" t="str">
        <f aca="false">IF(C1530=0,"",IF($A1530="Bank",IF(INDEX(Bank!$G:$G,$C1530)="","",INDEX(Bank!$G:$G,$C1530)),IF(INDEX(GL!$G:$G,$C1530)="","",INDEX(GL!$G:$G,$C1530))))</f>
        <v/>
      </c>
      <c r="K1530" s="5" t="str">
        <f aca="false">IF(C1530=0,"",IF($A1530="Bank",IF(INDEX(Bank!$I:$I,$C1530)="","",INDEX(Bank!$I:$I,$C1530)),IF(INDEX(GL!$I:$I,$C1530)="","",INDEX(GL!$I:$I,$C1530))))</f>
        <v/>
      </c>
      <c r="L1530" s="5" t="str">
        <f aca="false">IF(B1530="","",IF(C1530=0,"NOT FOUND",IF(IF($A1530="Bank",INDEX(Bank!$F:$F,$C1530),INDEX(GL!$F:$F,$C1530))="Y","NOW RECONCILED: refresh","OK")))</f>
        <v/>
      </c>
    </row>
    <row r="1531" customFormat="false" ht="15" hidden="false" customHeight="false" outlineLevel="0" collapsed="false">
      <c r="A1531" s="41"/>
      <c r="B1531" s="41"/>
      <c r="C1531" s="5" t="n">
        <f aca="false">IF(B1531="",0,IF(A1531="Bank",IFERROR(MATCH(B1531,Bank!$A:$A,0),0),IFERROR(MATCH(B1531,GL!$A:$A,0),0)))</f>
        <v>0</v>
      </c>
      <c r="D1531" s="32" t="str">
        <f aca="false">IF(C1531=0,"",IF($A1531="Bank",INDEX(Bank!$B:$B,$C1531),INDEX(GL!$B:$B,$C1531)))</f>
        <v/>
      </c>
      <c r="E1531" s="5" t="str">
        <f aca="false">IF(C1531=0,"",IF($A1531="Bank",IF(INDEX(Bank!$C:$C,$C1531)="","",INDEX(Bank!$C:$C,$C1531)),IF(INDEX(GL!$C:$C,$C1531)="","",INDEX(GL!$C:$C,$C1531))))</f>
        <v/>
      </c>
      <c r="F1531" s="5" t="str">
        <f aca="false">IF(C1531=0,"",IF($A1531="Bank",IF(INDEX(Bank!$D:$D,$C1531)="","",INDEX(Bank!$D:$D,$C1531)),IF(INDEX(GL!$D:$D,$C1531)="","",INDEX(GL!$D:$D,$C1531))))</f>
        <v/>
      </c>
      <c r="G1531" s="19" t="str">
        <f aca="false">IF(C1531=0,"",IF($A1531="Bank",INDEX(Bank!$E:$E,$C1531),INDEX(GL!$E:$E,$C1531)))</f>
        <v/>
      </c>
      <c r="H1531" s="5" t="str">
        <f aca="false">IF(C1531=0,"",IF(A1531="GL",IF(G1531&gt;0,"Deposit in transit","Outstanding check / payment"),IF(G1531&gt;0,"Bank credit not in GL","Bank debit not in GL")))</f>
        <v/>
      </c>
      <c r="I1531" s="42" t="str">
        <f aca="false">IF(OR(C1531=0,CFG_PeriodEnd=""),"",CFG_PeriodEnd-D1531)</f>
        <v/>
      </c>
      <c r="J1531" s="5" t="str">
        <f aca="false">IF(C1531=0,"",IF($A1531="Bank",IF(INDEX(Bank!$G:$G,$C1531)="","",INDEX(Bank!$G:$G,$C1531)),IF(INDEX(GL!$G:$G,$C1531)="","",INDEX(GL!$G:$G,$C1531))))</f>
        <v/>
      </c>
      <c r="K1531" s="5" t="str">
        <f aca="false">IF(C1531=0,"",IF($A1531="Bank",IF(INDEX(Bank!$I:$I,$C1531)="","",INDEX(Bank!$I:$I,$C1531)),IF(INDEX(GL!$I:$I,$C1531)="","",INDEX(GL!$I:$I,$C1531))))</f>
        <v/>
      </c>
      <c r="L1531" s="5" t="str">
        <f aca="false">IF(B1531="","",IF(C1531=0,"NOT FOUND",IF(IF($A1531="Bank",INDEX(Bank!$F:$F,$C1531),INDEX(GL!$F:$F,$C1531))="Y","NOW RECONCILED: refresh","OK")))</f>
        <v/>
      </c>
    </row>
    <row r="1532" customFormat="false" ht="15" hidden="false" customHeight="false" outlineLevel="0" collapsed="false">
      <c r="A1532" s="41"/>
      <c r="B1532" s="41"/>
      <c r="C1532" s="5" t="n">
        <f aca="false">IF(B1532="",0,IF(A1532="Bank",IFERROR(MATCH(B1532,Bank!$A:$A,0),0),IFERROR(MATCH(B1532,GL!$A:$A,0),0)))</f>
        <v>0</v>
      </c>
      <c r="D1532" s="32" t="str">
        <f aca="false">IF(C1532=0,"",IF($A1532="Bank",INDEX(Bank!$B:$B,$C1532),INDEX(GL!$B:$B,$C1532)))</f>
        <v/>
      </c>
      <c r="E1532" s="5" t="str">
        <f aca="false">IF(C1532=0,"",IF($A1532="Bank",IF(INDEX(Bank!$C:$C,$C1532)="","",INDEX(Bank!$C:$C,$C1532)),IF(INDEX(GL!$C:$C,$C1532)="","",INDEX(GL!$C:$C,$C1532))))</f>
        <v/>
      </c>
      <c r="F1532" s="5" t="str">
        <f aca="false">IF(C1532=0,"",IF($A1532="Bank",IF(INDEX(Bank!$D:$D,$C1532)="","",INDEX(Bank!$D:$D,$C1532)),IF(INDEX(GL!$D:$D,$C1532)="","",INDEX(GL!$D:$D,$C1532))))</f>
        <v/>
      </c>
      <c r="G1532" s="19" t="str">
        <f aca="false">IF(C1532=0,"",IF($A1532="Bank",INDEX(Bank!$E:$E,$C1532),INDEX(GL!$E:$E,$C1532)))</f>
        <v/>
      </c>
      <c r="H1532" s="5" t="str">
        <f aca="false">IF(C1532=0,"",IF(A1532="GL",IF(G1532&gt;0,"Deposit in transit","Outstanding check / payment"),IF(G1532&gt;0,"Bank credit not in GL","Bank debit not in GL")))</f>
        <v/>
      </c>
      <c r="I1532" s="42" t="str">
        <f aca="false">IF(OR(C1532=0,CFG_PeriodEnd=""),"",CFG_PeriodEnd-D1532)</f>
        <v/>
      </c>
      <c r="J1532" s="5" t="str">
        <f aca="false">IF(C1532=0,"",IF($A1532="Bank",IF(INDEX(Bank!$G:$G,$C1532)="","",INDEX(Bank!$G:$G,$C1532)),IF(INDEX(GL!$G:$G,$C1532)="","",INDEX(GL!$G:$G,$C1532))))</f>
        <v/>
      </c>
      <c r="K1532" s="5" t="str">
        <f aca="false">IF(C1532=0,"",IF($A1532="Bank",IF(INDEX(Bank!$I:$I,$C1532)="","",INDEX(Bank!$I:$I,$C1532)),IF(INDEX(GL!$I:$I,$C1532)="","",INDEX(GL!$I:$I,$C1532))))</f>
        <v/>
      </c>
      <c r="L1532" s="5" t="str">
        <f aca="false">IF(B1532="","",IF(C1532=0,"NOT FOUND",IF(IF($A1532="Bank",INDEX(Bank!$F:$F,$C1532),INDEX(GL!$F:$F,$C1532))="Y","NOW RECONCILED: refresh","OK")))</f>
        <v/>
      </c>
    </row>
    <row r="1533" customFormat="false" ht="15" hidden="false" customHeight="false" outlineLevel="0" collapsed="false">
      <c r="A1533" s="41"/>
      <c r="B1533" s="41"/>
      <c r="C1533" s="5" t="n">
        <f aca="false">IF(B1533="",0,IF(A1533="Bank",IFERROR(MATCH(B1533,Bank!$A:$A,0),0),IFERROR(MATCH(B1533,GL!$A:$A,0),0)))</f>
        <v>0</v>
      </c>
      <c r="D1533" s="32" t="str">
        <f aca="false">IF(C1533=0,"",IF($A1533="Bank",INDEX(Bank!$B:$B,$C1533),INDEX(GL!$B:$B,$C1533)))</f>
        <v/>
      </c>
      <c r="E1533" s="5" t="str">
        <f aca="false">IF(C1533=0,"",IF($A1533="Bank",IF(INDEX(Bank!$C:$C,$C1533)="","",INDEX(Bank!$C:$C,$C1533)),IF(INDEX(GL!$C:$C,$C1533)="","",INDEX(GL!$C:$C,$C1533))))</f>
        <v/>
      </c>
      <c r="F1533" s="5" t="str">
        <f aca="false">IF(C1533=0,"",IF($A1533="Bank",IF(INDEX(Bank!$D:$D,$C1533)="","",INDEX(Bank!$D:$D,$C1533)),IF(INDEX(GL!$D:$D,$C1533)="","",INDEX(GL!$D:$D,$C1533))))</f>
        <v/>
      </c>
      <c r="G1533" s="19" t="str">
        <f aca="false">IF(C1533=0,"",IF($A1533="Bank",INDEX(Bank!$E:$E,$C1533),INDEX(GL!$E:$E,$C1533)))</f>
        <v/>
      </c>
      <c r="H1533" s="5" t="str">
        <f aca="false">IF(C1533=0,"",IF(A1533="GL",IF(G1533&gt;0,"Deposit in transit","Outstanding check / payment"),IF(G1533&gt;0,"Bank credit not in GL","Bank debit not in GL")))</f>
        <v/>
      </c>
      <c r="I1533" s="42" t="str">
        <f aca="false">IF(OR(C1533=0,CFG_PeriodEnd=""),"",CFG_PeriodEnd-D1533)</f>
        <v/>
      </c>
      <c r="J1533" s="5" t="str">
        <f aca="false">IF(C1533=0,"",IF($A1533="Bank",IF(INDEX(Bank!$G:$G,$C1533)="","",INDEX(Bank!$G:$G,$C1533)),IF(INDEX(GL!$G:$G,$C1533)="","",INDEX(GL!$G:$G,$C1533))))</f>
        <v/>
      </c>
      <c r="K1533" s="5" t="str">
        <f aca="false">IF(C1533=0,"",IF($A1533="Bank",IF(INDEX(Bank!$I:$I,$C1533)="","",INDEX(Bank!$I:$I,$C1533)),IF(INDEX(GL!$I:$I,$C1533)="","",INDEX(GL!$I:$I,$C1533))))</f>
        <v/>
      </c>
      <c r="L1533" s="5" t="str">
        <f aca="false">IF(B1533="","",IF(C1533=0,"NOT FOUND",IF(IF($A1533="Bank",INDEX(Bank!$F:$F,$C1533),INDEX(GL!$F:$F,$C1533))="Y","NOW RECONCILED: refresh","OK")))</f>
        <v/>
      </c>
    </row>
    <row r="1534" customFormat="false" ht="15" hidden="false" customHeight="false" outlineLevel="0" collapsed="false">
      <c r="A1534" s="41"/>
      <c r="B1534" s="41"/>
      <c r="C1534" s="5" t="n">
        <f aca="false">IF(B1534="",0,IF(A1534="Bank",IFERROR(MATCH(B1534,Bank!$A:$A,0),0),IFERROR(MATCH(B1534,GL!$A:$A,0),0)))</f>
        <v>0</v>
      </c>
      <c r="D1534" s="32" t="str">
        <f aca="false">IF(C1534=0,"",IF($A1534="Bank",INDEX(Bank!$B:$B,$C1534),INDEX(GL!$B:$B,$C1534)))</f>
        <v/>
      </c>
      <c r="E1534" s="5" t="str">
        <f aca="false">IF(C1534=0,"",IF($A1534="Bank",IF(INDEX(Bank!$C:$C,$C1534)="","",INDEX(Bank!$C:$C,$C1534)),IF(INDEX(GL!$C:$C,$C1534)="","",INDEX(GL!$C:$C,$C1534))))</f>
        <v/>
      </c>
      <c r="F1534" s="5" t="str">
        <f aca="false">IF(C1534=0,"",IF($A1534="Bank",IF(INDEX(Bank!$D:$D,$C1534)="","",INDEX(Bank!$D:$D,$C1534)),IF(INDEX(GL!$D:$D,$C1534)="","",INDEX(GL!$D:$D,$C1534))))</f>
        <v/>
      </c>
      <c r="G1534" s="19" t="str">
        <f aca="false">IF(C1534=0,"",IF($A1534="Bank",INDEX(Bank!$E:$E,$C1534),INDEX(GL!$E:$E,$C1534)))</f>
        <v/>
      </c>
      <c r="H1534" s="5" t="str">
        <f aca="false">IF(C1534=0,"",IF(A1534="GL",IF(G1534&gt;0,"Deposit in transit","Outstanding check / payment"),IF(G1534&gt;0,"Bank credit not in GL","Bank debit not in GL")))</f>
        <v/>
      </c>
      <c r="I1534" s="42" t="str">
        <f aca="false">IF(OR(C1534=0,CFG_PeriodEnd=""),"",CFG_PeriodEnd-D1534)</f>
        <v/>
      </c>
      <c r="J1534" s="5" t="str">
        <f aca="false">IF(C1534=0,"",IF($A1534="Bank",IF(INDEX(Bank!$G:$G,$C1534)="","",INDEX(Bank!$G:$G,$C1534)),IF(INDEX(GL!$G:$G,$C1534)="","",INDEX(GL!$G:$G,$C1534))))</f>
        <v/>
      </c>
      <c r="K1534" s="5" t="str">
        <f aca="false">IF(C1534=0,"",IF($A1534="Bank",IF(INDEX(Bank!$I:$I,$C1534)="","",INDEX(Bank!$I:$I,$C1534)),IF(INDEX(GL!$I:$I,$C1534)="","",INDEX(GL!$I:$I,$C1534))))</f>
        <v/>
      </c>
      <c r="L1534" s="5" t="str">
        <f aca="false">IF(B1534="","",IF(C1534=0,"NOT FOUND",IF(IF($A1534="Bank",INDEX(Bank!$F:$F,$C1534),INDEX(GL!$F:$F,$C1534))="Y","NOW RECONCILED: refresh","OK")))</f>
        <v/>
      </c>
    </row>
    <row r="1535" customFormat="false" ht="15" hidden="false" customHeight="false" outlineLevel="0" collapsed="false">
      <c r="A1535" s="41"/>
      <c r="B1535" s="41"/>
      <c r="C1535" s="5" t="n">
        <f aca="false">IF(B1535="",0,IF(A1535="Bank",IFERROR(MATCH(B1535,Bank!$A:$A,0),0),IFERROR(MATCH(B1535,GL!$A:$A,0),0)))</f>
        <v>0</v>
      </c>
      <c r="D1535" s="32" t="str">
        <f aca="false">IF(C1535=0,"",IF($A1535="Bank",INDEX(Bank!$B:$B,$C1535),INDEX(GL!$B:$B,$C1535)))</f>
        <v/>
      </c>
      <c r="E1535" s="5" t="str">
        <f aca="false">IF(C1535=0,"",IF($A1535="Bank",IF(INDEX(Bank!$C:$C,$C1535)="","",INDEX(Bank!$C:$C,$C1535)),IF(INDEX(GL!$C:$C,$C1535)="","",INDEX(GL!$C:$C,$C1535))))</f>
        <v/>
      </c>
      <c r="F1535" s="5" t="str">
        <f aca="false">IF(C1535=0,"",IF($A1535="Bank",IF(INDEX(Bank!$D:$D,$C1535)="","",INDEX(Bank!$D:$D,$C1535)),IF(INDEX(GL!$D:$D,$C1535)="","",INDEX(GL!$D:$D,$C1535))))</f>
        <v/>
      </c>
      <c r="G1535" s="19" t="str">
        <f aca="false">IF(C1535=0,"",IF($A1535="Bank",INDEX(Bank!$E:$E,$C1535),INDEX(GL!$E:$E,$C1535)))</f>
        <v/>
      </c>
      <c r="H1535" s="5" t="str">
        <f aca="false">IF(C1535=0,"",IF(A1535="GL",IF(G1535&gt;0,"Deposit in transit","Outstanding check / payment"),IF(G1535&gt;0,"Bank credit not in GL","Bank debit not in GL")))</f>
        <v/>
      </c>
      <c r="I1535" s="42" t="str">
        <f aca="false">IF(OR(C1535=0,CFG_PeriodEnd=""),"",CFG_PeriodEnd-D1535)</f>
        <v/>
      </c>
      <c r="J1535" s="5" t="str">
        <f aca="false">IF(C1535=0,"",IF($A1535="Bank",IF(INDEX(Bank!$G:$G,$C1535)="","",INDEX(Bank!$G:$G,$C1535)),IF(INDEX(GL!$G:$G,$C1535)="","",INDEX(GL!$G:$G,$C1535))))</f>
        <v/>
      </c>
      <c r="K1535" s="5" t="str">
        <f aca="false">IF(C1535=0,"",IF($A1535="Bank",IF(INDEX(Bank!$I:$I,$C1535)="","",INDEX(Bank!$I:$I,$C1535)),IF(INDEX(GL!$I:$I,$C1535)="","",INDEX(GL!$I:$I,$C1535))))</f>
        <v/>
      </c>
      <c r="L1535" s="5" t="str">
        <f aca="false">IF(B1535="","",IF(C1535=0,"NOT FOUND",IF(IF($A1535="Bank",INDEX(Bank!$F:$F,$C1535),INDEX(GL!$F:$F,$C1535))="Y","NOW RECONCILED: refresh","OK")))</f>
        <v/>
      </c>
    </row>
    <row r="1536" customFormat="false" ht="15" hidden="false" customHeight="false" outlineLevel="0" collapsed="false">
      <c r="A1536" s="41"/>
      <c r="B1536" s="41"/>
      <c r="C1536" s="5" t="n">
        <f aca="false">IF(B1536="",0,IF(A1536="Bank",IFERROR(MATCH(B1536,Bank!$A:$A,0),0),IFERROR(MATCH(B1536,GL!$A:$A,0),0)))</f>
        <v>0</v>
      </c>
      <c r="D1536" s="32" t="str">
        <f aca="false">IF(C1536=0,"",IF($A1536="Bank",INDEX(Bank!$B:$B,$C1536),INDEX(GL!$B:$B,$C1536)))</f>
        <v/>
      </c>
      <c r="E1536" s="5" t="str">
        <f aca="false">IF(C1536=0,"",IF($A1536="Bank",IF(INDEX(Bank!$C:$C,$C1536)="","",INDEX(Bank!$C:$C,$C1536)),IF(INDEX(GL!$C:$C,$C1536)="","",INDEX(GL!$C:$C,$C1536))))</f>
        <v/>
      </c>
      <c r="F1536" s="5" t="str">
        <f aca="false">IF(C1536=0,"",IF($A1536="Bank",IF(INDEX(Bank!$D:$D,$C1536)="","",INDEX(Bank!$D:$D,$C1536)),IF(INDEX(GL!$D:$D,$C1536)="","",INDEX(GL!$D:$D,$C1536))))</f>
        <v/>
      </c>
      <c r="G1536" s="19" t="str">
        <f aca="false">IF(C1536=0,"",IF($A1536="Bank",INDEX(Bank!$E:$E,$C1536),INDEX(GL!$E:$E,$C1536)))</f>
        <v/>
      </c>
      <c r="H1536" s="5" t="str">
        <f aca="false">IF(C1536=0,"",IF(A1536="GL",IF(G1536&gt;0,"Deposit in transit","Outstanding check / payment"),IF(G1536&gt;0,"Bank credit not in GL","Bank debit not in GL")))</f>
        <v/>
      </c>
      <c r="I1536" s="42" t="str">
        <f aca="false">IF(OR(C1536=0,CFG_PeriodEnd=""),"",CFG_PeriodEnd-D1536)</f>
        <v/>
      </c>
      <c r="J1536" s="5" t="str">
        <f aca="false">IF(C1536=0,"",IF($A1536="Bank",IF(INDEX(Bank!$G:$G,$C1536)="","",INDEX(Bank!$G:$G,$C1536)),IF(INDEX(GL!$G:$G,$C1536)="","",INDEX(GL!$G:$G,$C1536))))</f>
        <v/>
      </c>
      <c r="K1536" s="5" t="str">
        <f aca="false">IF(C1536=0,"",IF($A1536="Bank",IF(INDEX(Bank!$I:$I,$C1536)="","",INDEX(Bank!$I:$I,$C1536)),IF(INDEX(GL!$I:$I,$C1536)="","",INDEX(GL!$I:$I,$C1536))))</f>
        <v/>
      </c>
      <c r="L1536" s="5" t="str">
        <f aca="false">IF(B1536="","",IF(C1536=0,"NOT FOUND",IF(IF($A1536="Bank",INDEX(Bank!$F:$F,$C1536),INDEX(GL!$F:$F,$C1536))="Y","NOW RECONCILED: refresh","OK")))</f>
        <v/>
      </c>
    </row>
    <row r="1537" customFormat="false" ht="15" hidden="false" customHeight="false" outlineLevel="0" collapsed="false">
      <c r="A1537" s="41"/>
      <c r="B1537" s="41"/>
      <c r="C1537" s="5" t="n">
        <f aca="false">IF(B1537="",0,IF(A1537="Bank",IFERROR(MATCH(B1537,Bank!$A:$A,0),0),IFERROR(MATCH(B1537,GL!$A:$A,0),0)))</f>
        <v>0</v>
      </c>
      <c r="D1537" s="32" t="str">
        <f aca="false">IF(C1537=0,"",IF($A1537="Bank",INDEX(Bank!$B:$B,$C1537),INDEX(GL!$B:$B,$C1537)))</f>
        <v/>
      </c>
      <c r="E1537" s="5" t="str">
        <f aca="false">IF(C1537=0,"",IF($A1537="Bank",IF(INDEX(Bank!$C:$C,$C1537)="","",INDEX(Bank!$C:$C,$C1537)),IF(INDEX(GL!$C:$C,$C1537)="","",INDEX(GL!$C:$C,$C1537))))</f>
        <v/>
      </c>
      <c r="F1537" s="5" t="str">
        <f aca="false">IF(C1537=0,"",IF($A1537="Bank",IF(INDEX(Bank!$D:$D,$C1537)="","",INDEX(Bank!$D:$D,$C1537)),IF(INDEX(GL!$D:$D,$C1537)="","",INDEX(GL!$D:$D,$C1537))))</f>
        <v/>
      </c>
      <c r="G1537" s="19" t="str">
        <f aca="false">IF(C1537=0,"",IF($A1537="Bank",INDEX(Bank!$E:$E,$C1537),INDEX(GL!$E:$E,$C1537)))</f>
        <v/>
      </c>
      <c r="H1537" s="5" t="str">
        <f aca="false">IF(C1537=0,"",IF(A1537="GL",IF(G1537&gt;0,"Deposit in transit","Outstanding check / payment"),IF(G1537&gt;0,"Bank credit not in GL","Bank debit not in GL")))</f>
        <v/>
      </c>
      <c r="I1537" s="42" t="str">
        <f aca="false">IF(OR(C1537=0,CFG_PeriodEnd=""),"",CFG_PeriodEnd-D1537)</f>
        <v/>
      </c>
      <c r="J1537" s="5" t="str">
        <f aca="false">IF(C1537=0,"",IF($A1537="Bank",IF(INDEX(Bank!$G:$G,$C1537)="","",INDEX(Bank!$G:$G,$C1537)),IF(INDEX(GL!$G:$G,$C1537)="","",INDEX(GL!$G:$G,$C1537))))</f>
        <v/>
      </c>
      <c r="K1537" s="5" t="str">
        <f aca="false">IF(C1537=0,"",IF($A1537="Bank",IF(INDEX(Bank!$I:$I,$C1537)="","",INDEX(Bank!$I:$I,$C1537)),IF(INDEX(GL!$I:$I,$C1537)="","",INDEX(GL!$I:$I,$C1537))))</f>
        <v/>
      </c>
      <c r="L1537" s="5" t="str">
        <f aca="false">IF(B1537="","",IF(C1537=0,"NOT FOUND",IF(IF($A1537="Bank",INDEX(Bank!$F:$F,$C1537),INDEX(GL!$F:$F,$C1537))="Y","NOW RECONCILED: refresh","OK")))</f>
        <v/>
      </c>
    </row>
    <row r="1538" customFormat="false" ht="15" hidden="false" customHeight="false" outlineLevel="0" collapsed="false">
      <c r="A1538" s="41"/>
      <c r="B1538" s="41"/>
      <c r="C1538" s="5" t="n">
        <f aca="false">IF(B1538="",0,IF(A1538="Bank",IFERROR(MATCH(B1538,Bank!$A:$A,0),0),IFERROR(MATCH(B1538,GL!$A:$A,0),0)))</f>
        <v>0</v>
      </c>
      <c r="D1538" s="32" t="str">
        <f aca="false">IF(C1538=0,"",IF($A1538="Bank",INDEX(Bank!$B:$B,$C1538),INDEX(GL!$B:$B,$C1538)))</f>
        <v/>
      </c>
      <c r="E1538" s="5" t="str">
        <f aca="false">IF(C1538=0,"",IF($A1538="Bank",IF(INDEX(Bank!$C:$C,$C1538)="","",INDEX(Bank!$C:$C,$C1538)),IF(INDEX(GL!$C:$C,$C1538)="","",INDEX(GL!$C:$C,$C1538))))</f>
        <v/>
      </c>
      <c r="F1538" s="5" t="str">
        <f aca="false">IF(C1538=0,"",IF($A1538="Bank",IF(INDEX(Bank!$D:$D,$C1538)="","",INDEX(Bank!$D:$D,$C1538)),IF(INDEX(GL!$D:$D,$C1538)="","",INDEX(GL!$D:$D,$C1538))))</f>
        <v/>
      </c>
      <c r="G1538" s="19" t="str">
        <f aca="false">IF(C1538=0,"",IF($A1538="Bank",INDEX(Bank!$E:$E,$C1538),INDEX(GL!$E:$E,$C1538)))</f>
        <v/>
      </c>
      <c r="H1538" s="5" t="str">
        <f aca="false">IF(C1538=0,"",IF(A1538="GL",IF(G1538&gt;0,"Deposit in transit","Outstanding check / payment"),IF(G1538&gt;0,"Bank credit not in GL","Bank debit not in GL")))</f>
        <v/>
      </c>
      <c r="I1538" s="42" t="str">
        <f aca="false">IF(OR(C1538=0,CFG_PeriodEnd=""),"",CFG_PeriodEnd-D1538)</f>
        <v/>
      </c>
      <c r="J1538" s="5" t="str">
        <f aca="false">IF(C1538=0,"",IF($A1538="Bank",IF(INDEX(Bank!$G:$G,$C1538)="","",INDEX(Bank!$G:$G,$C1538)),IF(INDEX(GL!$G:$G,$C1538)="","",INDEX(GL!$G:$G,$C1538))))</f>
        <v/>
      </c>
      <c r="K1538" s="5" t="str">
        <f aca="false">IF(C1538=0,"",IF($A1538="Bank",IF(INDEX(Bank!$I:$I,$C1538)="","",INDEX(Bank!$I:$I,$C1538)),IF(INDEX(GL!$I:$I,$C1538)="","",INDEX(GL!$I:$I,$C1538))))</f>
        <v/>
      </c>
      <c r="L1538" s="5" t="str">
        <f aca="false">IF(B1538="","",IF(C1538=0,"NOT FOUND",IF(IF($A1538="Bank",INDEX(Bank!$F:$F,$C1538),INDEX(GL!$F:$F,$C1538))="Y","NOW RECONCILED: refresh","OK")))</f>
        <v/>
      </c>
    </row>
    <row r="1539" customFormat="false" ht="15" hidden="false" customHeight="false" outlineLevel="0" collapsed="false">
      <c r="A1539" s="41"/>
      <c r="B1539" s="41"/>
      <c r="C1539" s="5" t="n">
        <f aca="false">IF(B1539="",0,IF(A1539="Bank",IFERROR(MATCH(B1539,Bank!$A:$A,0),0),IFERROR(MATCH(B1539,GL!$A:$A,0),0)))</f>
        <v>0</v>
      </c>
      <c r="D1539" s="32" t="str">
        <f aca="false">IF(C1539=0,"",IF($A1539="Bank",INDEX(Bank!$B:$B,$C1539),INDEX(GL!$B:$B,$C1539)))</f>
        <v/>
      </c>
      <c r="E1539" s="5" t="str">
        <f aca="false">IF(C1539=0,"",IF($A1539="Bank",IF(INDEX(Bank!$C:$C,$C1539)="","",INDEX(Bank!$C:$C,$C1539)),IF(INDEX(GL!$C:$C,$C1539)="","",INDEX(GL!$C:$C,$C1539))))</f>
        <v/>
      </c>
      <c r="F1539" s="5" t="str">
        <f aca="false">IF(C1539=0,"",IF($A1539="Bank",IF(INDEX(Bank!$D:$D,$C1539)="","",INDEX(Bank!$D:$D,$C1539)),IF(INDEX(GL!$D:$D,$C1539)="","",INDEX(GL!$D:$D,$C1539))))</f>
        <v/>
      </c>
      <c r="G1539" s="19" t="str">
        <f aca="false">IF(C1539=0,"",IF($A1539="Bank",INDEX(Bank!$E:$E,$C1539),INDEX(GL!$E:$E,$C1539)))</f>
        <v/>
      </c>
      <c r="H1539" s="5" t="str">
        <f aca="false">IF(C1539=0,"",IF(A1539="GL",IF(G1539&gt;0,"Deposit in transit","Outstanding check / payment"),IF(G1539&gt;0,"Bank credit not in GL","Bank debit not in GL")))</f>
        <v/>
      </c>
      <c r="I1539" s="42" t="str">
        <f aca="false">IF(OR(C1539=0,CFG_PeriodEnd=""),"",CFG_PeriodEnd-D1539)</f>
        <v/>
      </c>
      <c r="J1539" s="5" t="str">
        <f aca="false">IF(C1539=0,"",IF($A1539="Bank",IF(INDEX(Bank!$G:$G,$C1539)="","",INDEX(Bank!$G:$G,$C1539)),IF(INDEX(GL!$G:$G,$C1539)="","",INDEX(GL!$G:$G,$C1539))))</f>
        <v/>
      </c>
      <c r="K1539" s="5" t="str">
        <f aca="false">IF(C1539=0,"",IF($A1539="Bank",IF(INDEX(Bank!$I:$I,$C1539)="","",INDEX(Bank!$I:$I,$C1539)),IF(INDEX(GL!$I:$I,$C1539)="","",INDEX(GL!$I:$I,$C1539))))</f>
        <v/>
      </c>
      <c r="L1539" s="5" t="str">
        <f aca="false">IF(B1539="","",IF(C1539=0,"NOT FOUND",IF(IF($A1539="Bank",INDEX(Bank!$F:$F,$C1539),INDEX(GL!$F:$F,$C1539))="Y","NOW RECONCILED: refresh","OK")))</f>
        <v/>
      </c>
    </row>
    <row r="1540" customFormat="false" ht="15" hidden="false" customHeight="false" outlineLevel="0" collapsed="false">
      <c r="A1540" s="41"/>
      <c r="B1540" s="41"/>
      <c r="C1540" s="5" t="n">
        <f aca="false">IF(B1540="",0,IF(A1540="Bank",IFERROR(MATCH(B1540,Bank!$A:$A,0),0),IFERROR(MATCH(B1540,GL!$A:$A,0),0)))</f>
        <v>0</v>
      </c>
      <c r="D1540" s="32" t="str">
        <f aca="false">IF(C1540=0,"",IF($A1540="Bank",INDEX(Bank!$B:$B,$C1540),INDEX(GL!$B:$B,$C1540)))</f>
        <v/>
      </c>
      <c r="E1540" s="5" t="str">
        <f aca="false">IF(C1540=0,"",IF($A1540="Bank",IF(INDEX(Bank!$C:$C,$C1540)="","",INDEX(Bank!$C:$C,$C1540)),IF(INDEX(GL!$C:$C,$C1540)="","",INDEX(GL!$C:$C,$C1540))))</f>
        <v/>
      </c>
      <c r="F1540" s="5" t="str">
        <f aca="false">IF(C1540=0,"",IF($A1540="Bank",IF(INDEX(Bank!$D:$D,$C1540)="","",INDEX(Bank!$D:$D,$C1540)),IF(INDEX(GL!$D:$D,$C1540)="","",INDEX(GL!$D:$D,$C1540))))</f>
        <v/>
      </c>
      <c r="G1540" s="19" t="str">
        <f aca="false">IF(C1540=0,"",IF($A1540="Bank",INDEX(Bank!$E:$E,$C1540),INDEX(GL!$E:$E,$C1540)))</f>
        <v/>
      </c>
      <c r="H1540" s="5" t="str">
        <f aca="false">IF(C1540=0,"",IF(A1540="GL",IF(G1540&gt;0,"Deposit in transit","Outstanding check / payment"),IF(G1540&gt;0,"Bank credit not in GL","Bank debit not in GL")))</f>
        <v/>
      </c>
      <c r="I1540" s="42" t="str">
        <f aca="false">IF(OR(C1540=0,CFG_PeriodEnd=""),"",CFG_PeriodEnd-D1540)</f>
        <v/>
      </c>
      <c r="J1540" s="5" t="str">
        <f aca="false">IF(C1540=0,"",IF($A1540="Bank",IF(INDEX(Bank!$G:$G,$C1540)="","",INDEX(Bank!$G:$G,$C1540)),IF(INDEX(GL!$G:$G,$C1540)="","",INDEX(GL!$G:$G,$C1540))))</f>
        <v/>
      </c>
      <c r="K1540" s="5" t="str">
        <f aca="false">IF(C1540=0,"",IF($A1540="Bank",IF(INDEX(Bank!$I:$I,$C1540)="","",INDEX(Bank!$I:$I,$C1540)),IF(INDEX(GL!$I:$I,$C1540)="","",INDEX(GL!$I:$I,$C1540))))</f>
        <v/>
      </c>
      <c r="L1540" s="5" t="str">
        <f aca="false">IF(B1540="","",IF(C1540=0,"NOT FOUND",IF(IF($A1540="Bank",INDEX(Bank!$F:$F,$C1540),INDEX(GL!$F:$F,$C1540))="Y","NOW RECONCILED: refresh","OK")))</f>
        <v/>
      </c>
    </row>
    <row r="1541" customFormat="false" ht="15" hidden="false" customHeight="false" outlineLevel="0" collapsed="false">
      <c r="A1541" s="41"/>
      <c r="B1541" s="41"/>
      <c r="C1541" s="5" t="n">
        <f aca="false">IF(B1541="",0,IF(A1541="Bank",IFERROR(MATCH(B1541,Bank!$A:$A,0),0),IFERROR(MATCH(B1541,GL!$A:$A,0),0)))</f>
        <v>0</v>
      </c>
      <c r="D1541" s="32" t="str">
        <f aca="false">IF(C1541=0,"",IF($A1541="Bank",INDEX(Bank!$B:$B,$C1541),INDEX(GL!$B:$B,$C1541)))</f>
        <v/>
      </c>
      <c r="E1541" s="5" t="str">
        <f aca="false">IF(C1541=0,"",IF($A1541="Bank",IF(INDEX(Bank!$C:$C,$C1541)="","",INDEX(Bank!$C:$C,$C1541)),IF(INDEX(GL!$C:$C,$C1541)="","",INDEX(GL!$C:$C,$C1541))))</f>
        <v/>
      </c>
      <c r="F1541" s="5" t="str">
        <f aca="false">IF(C1541=0,"",IF($A1541="Bank",IF(INDEX(Bank!$D:$D,$C1541)="","",INDEX(Bank!$D:$D,$C1541)),IF(INDEX(GL!$D:$D,$C1541)="","",INDEX(GL!$D:$D,$C1541))))</f>
        <v/>
      </c>
      <c r="G1541" s="19" t="str">
        <f aca="false">IF(C1541=0,"",IF($A1541="Bank",INDEX(Bank!$E:$E,$C1541),INDEX(GL!$E:$E,$C1541)))</f>
        <v/>
      </c>
      <c r="H1541" s="5" t="str">
        <f aca="false">IF(C1541=0,"",IF(A1541="GL",IF(G1541&gt;0,"Deposit in transit","Outstanding check / payment"),IF(G1541&gt;0,"Bank credit not in GL","Bank debit not in GL")))</f>
        <v/>
      </c>
      <c r="I1541" s="42" t="str">
        <f aca="false">IF(OR(C1541=0,CFG_PeriodEnd=""),"",CFG_PeriodEnd-D1541)</f>
        <v/>
      </c>
      <c r="J1541" s="5" t="str">
        <f aca="false">IF(C1541=0,"",IF($A1541="Bank",IF(INDEX(Bank!$G:$G,$C1541)="","",INDEX(Bank!$G:$G,$C1541)),IF(INDEX(GL!$G:$G,$C1541)="","",INDEX(GL!$G:$G,$C1541))))</f>
        <v/>
      </c>
      <c r="K1541" s="5" t="str">
        <f aca="false">IF(C1541=0,"",IF($A1541="Bank",IF(INDEX(Bank!$I:$I,$C1541)="","",INDEX(Bank!$I:$I,$C1541)),IF(INDEX(GL!$I:$I,$C1541)="","",INDEX(GL!$I:$I,$C1541))))</f>
        <v/>
      </c>
      <c r="L1541" s="5" t="str">
        <f aca="false">IF(B1541="","",IF(C1541=0,"NOT FOUND",IF(IF($A1541="Bank",INDEX(Bank!$F:$F,$C1541),INDEX(GL!$F:$F,$C1541))="Y","NOW RECONCILED: refresh","OK")))</f>
        <v/>
      </c>
    </row>
    <row r="1542" customFormat="false" ht="15" hidden="false" customHeight="false" outlineLevel="0" collapsed="false">
      <c r="A1542" s="41"/>
      <c r="B1542" s="41"/>
      <c r="C1542" s="5" t="n">
        <f aca="false">IF(B1542="",0,IF(A1542="Bank",IFERROR(MATCH(B1542,Bank!$A:$A,0),0),IFERROR(MATCH(B1542,GL!$A:$A,0),0)))</f>
        <v>0</v>
      </c>
      <c r="D1542" s="32" t="str">
        <f aca="false">IF(C1542=0,"",IF($A1542="Bank",INDEX(Bank!$B:$B,$C1542),INDEX(GL!$B:$B,$C1542)))</f>
        <v/>
      </c>
      <c r="E1542" s="5" t="str">
        <f aca="false">IF(C1542=0,"",IF($A1542="Bank",IF(INDEX(Bank!$C:$C,$C1542)="","",INDEX(Bank!$C:$C,$C1542)),IF(INDEX(GL!$C:$C,$C1542)="","",INDEX(GL!$C:$C,$C1542))))</f>
        <v/>
      </c>
      <c r="F1542" s="5" t="str">
        <f aca="false">IF(C1542=0,"",IF($A1542="Bank",IF(INDEX(Bank!$D:$D,$C1542)="","",INDEX(Bank!$D:$D,$C1542)),IF(INDEX(GL!$D:$D,$C1542)="","",INDEX(GL!$D:$D,$C1542))))</f>
        <v/>
      </c>
      <c r="G1542" s="19" t="str">
        <f aca="false">IF(C1542=0,"",IF($A1542="Bank",INDEX(Bank!$E:$E,$C1542),INDEX(GL!$E:$E,$C1542)))</f>
        <v/>
      </c>
      <c r="H1542" s="5" t="str">
        <f aca="false">IF(C1542=0,"",IF(A1542="GL",IF(G1542&gt;0,"Deposit in transit","Outstanding check / payment"),IF(G1542&gt;0,"Bank credit not in GL","Bank debit not in GL")))</f>
        <v/>
      </c>
      <c r="I1542" s="42" t="str">
        <f aca="false">IF(OR(C1542=0,CFG_PeriodEnd=""),"",CFG_PeriodEnd-D1542)</f>
        <v/>
      </c>
      <c r="J1542" s="5" t="str">
        <f aca="false">IF(C1542=0,"",IF($A1542="Bank",IF(INDEX(Bank!$G:$G,$C1542)="","",INDEX(Bank!$G:$G,$C1542)),IF(INDEX(GL!$G:$G,$C1542)="","",INDEX(GL!$G:$G,$C1542))))</f>
        <v/>
      </c>
      <c r="K1542" s="5" t="str">
        <f aca="false">IF(C1542=0,"",IF($A1542="Bank",IF(INDEX(Bank!$I:$I,$C1542)="","",INDEX(Bank!$I:$I,$C1542)),IF(INDEX(GL!$I:$I,$C1542)="","",INDEX(GL!$I:$I,$C1542))))</f>
        <v/>
      </c>
      <c r="L1542" s="5" t="str">
        <f aca="false">IF(B1542="","",IF(C1542=0,"NOT FOUND",IF(IF($A1542="Bank",INDEX(Bank!$F:$F,$C1542),INDEX(GL!$F:$F,$C1542))="Y","NOW RECONCILED: refresh","OK")))</f>
        <v/>
      </c>
    </row>
    <row r="1543" customFormat="false" ht="15" hidden="false" customHeight="false" outlineLevel="0" collapsed="false">
      <c r="A1543" s="41"/>
      <c r="B1543" s="41"/>
      <c r="C1543" s="5" t="n">
        <f aca="false">IF(B1543="",0,IF(A1543="Bank",IFERROR(MATCH(B1543,Bank!$A:$A,0),0),IFERROR(MATCH(B1543,GL!$A:$A,0),0)))</f>
        <v>0</v>
      </c>
      <c r="D1543" s="32" t="str">
        <f aca="false">IF(C1543=0,"",IF($A1543="Bank",INDEX(Bank!$B:$B,$C1543),INDEX(GL!$B:$B,$C1543)))</f>
        <v/>
      </c>
      <c r="E1543" s="5" t="str">
        <f aca="false">IF(C1543=0,"",IF($A1543="Bank",IF(INDEX(Bank!$C:$C,$C1543)="","",INDEX(Bank!$C:$C,$C1543)),IF(INDEX(GL!$C:$C,$C1543)="","",INDEX(GL!$C:$C,$C1543))))</f>
        <v/>
      </c>
      <c r="F1543" s="5" t="str">
        <f aca="false">IF(C1543=0,"",IF($A1543="Bank",IF(INDEX(Bank!$D:$D,$C1543)="","",INDEX(Bank!$D:$D,$C1543)),IF(INDEX(GL!$D:$D,$C1543)="","",INDEX(GL!$D:$D,$C1543))))</f>
        <v/>
      </c>
      <c r="G1543" s="19" t="str">
        <f aca="false">IF(C1543=0,"",IF($A1543="Bank",INDEX(Bank!$E:$E,$C1543),INDEX(GL!$E:$E,$C1543)))</f>
        <v/>
      </c>
      <c r="H1543" s="5" t="str">
        <f aca="false">IF(C1543=0,"",IF(A1543="GL",IF(G1543&gt;0,"Deposit in transit","Outstanding check / payment"),IF(G1543&gt;0,"Bank credit not in GL","Bank debit not in GL")))</f>
        <v/>
      </c>
      <c r="I1543" s="42" t="str">
        <f aca="false">IF(OR(C1543=0,CFG_PeriodEnd=""),"",CFG_PeriodEnd-D1543)</f>
        <v/>
      </c>
      <c r="J1543" s="5" t="str">
        <f aca="false">IF(C1543=0,"",IF($A1543="Bank",IF(INDEX(Bank!$G:$G,$C1543)="","",INDEX(Bank!$G:$G,$C1543)),IF(INDEX(GL!$G:$G,$C1543)="","",INDEX(GL!$G:$G,$C1543))))</f>
        <v/>
      </c>
      <c r="K1543" s="5" t="str">
        <f aca="false">IF(C1543=0,"",IF($A1543="Bank",IF(INDEX(Bank!$I:$I,$C1543)="","",INDEX(Bank!$I:$I,$C1543)),IF(INDEX(GL!$I:$I,$C1543)="","",INDEX(GL!$I:$I,$C1543))))</f>
        <v/>
      </c>
      <c r="L1543" s="5" t="str">
        <f aca="false">IF(B1543="","",IF(C1543=0,"NOT FOUND",IF(IF($A1543="Bank",INDEX(Bank!$F:$F,$C1543),INDEX(GL!$F:$F,$C1543))="Y","NOW RECONCILED: refresh","OK")))</f>
        <v/>
      </c>
    </row>
    <row r="1544" customFormat="false" ht="15" hidden="false" customHeight="false" outlineLevel="0" collapsed="false">
      <c r="A1544" s="41"/>
      <c r="B1544" s="41"/>
      <c r="C1544" s="5" t="n">
        <f aca="false">IF(B1544="",0,IF(A1544="Bank",IFERROR(MATCH(B1544,Bank!$A:$A,0),0),IFERROR(MATCH(B1544,GL!$A:$A,0),0)))</f>
        <v>0</v>
      </c>
      <c r="D1544" s="32" t="str">
        <f aca="false">IF(C1544=0,"",IF($A1544="Bank",INDEX(Bank!$B:$B,$C1544),INDEX(GL!$B:$B,$C1544)))</f>
        <v/>
      </c>
      <c r="E1544" s="5" t="str">
        <f aca="false">IF(C1544=0,"",IF($A1544="Bank",IF(INDEX(Bank!$C:$C,$C1544)="","",INDEX(Bank!$C:$C,$C1544)),IF(INDEX(GL!$C:$C,$C1544)="","",INDEX(GL!$C:$C,$C1544))))</f>
        <v/>
      </c>
      <c r="F1544" s="5" t="str">
        <f aca="false">IF(C1544=0,"",IF($A1544="Bank",IF(INDEX(Bank!$D:$D,$C1544)="","",INDEX(Bank!$D:$D,$C1544)),IF(INDEX(GL!$D:$D,$C1544)="","",INDEX(GL!$D:$D,$C1544))))</f>
        <v/>
      </c>
      <c r="G1544" s="19" t="str">
        <f aca="false">IF(C1544=0,"",IF($A1544="Bank",INDEX(Bank!$E:$E,$C1544),INDEX(GL!$E:$E,$C1544)))</f>
        <v/>
      </c>
      <c r="H1544" s="5" t="str">
        <f aca="false">IF(C1544=0,"",IF(A1544="GL",IF(G1544&gt;0,"Deposit in transit","Outstanding check / payment"),IF(G1544&gt;0,"Bank credit not in GL","Bank debit not in GL")))</f>
        <v/>
      </c>
      <c r="I1544" s="42" t="str">
        <f aca="false">IF(OR(C1544=0,CFG_PeriodEnd=""),"",CFG_PeriodEnd-D1544)</f>
        <v/>
      </c>
      <c r="J1544" s="5" t="str">
        <f aca="false">IF(C1544=0,"",IF($A1544="Bank",IF(INDEX(Bank!$G:$G,$C1544)="","",INDEX(Bank!$G:$G,$C1544)),IF(INDEX(GL!$G:$G,$C1544)="","",INDEX(GL!$G:$G,$C1544))))</f>
        <v/>
      </c>
      <c r="K1544" s="5" t="str">
        <f aca="false">IF(C1544=0,"",IF($A1544="Bank",IF(INDEX(Bank!$I:$I,$C1544)="","",INDEX(Bank!$I:$I,$C1544)),IF(INDEX(GL!$I:$I,$C1544)="","",INDEX(GL!$I:$I,$C1544))))</f>
        <v/>
      </c>
      <c r="L1544" s="5" t="str">
        <f aca="false">IF(B1544="","",IF(C1544=0,"NOT FOUND",IF(IF($A1544="Bank",INDEX(Bank!$F:$F,$C1544),INDEX(GL!$F:$F,$C1544))="Y","NOW RECONCILED: refresh","OK")))</f>
        <v/>
      </c>
    </row>
    <row r="1545" customFormat="false" ht="15" hidden="false" customHeight="false" outlineLevel="0" collapsed="false">
      <c r="A1545" s="41"/>
      <c r="B1545" s="41"/>
      <c r="C1545" s="5" t="n">
        <f aca="false">IF(B1545="",0,IF(A1545="Bank",IFERROR(MATCH(B1545,Bank!$A:$A,0),0),IFERROR(MATCH(B1545,GL!$A:$A,0),0)))</f>
        <v>0</v>
      </c>
      <c r="D1545" s="32" t="str">
        <f aca="false">IF(C1545=0,"",IF($A1545="Bank",INDEX(Bank!$B:$B,$C1545),INDEX(GL!$B:$B,$C1545)))</f>
        <v/>
      </c>
      <c r="E1545" s="5" t="str">
        <f aca="false">IF(C1545=0,"",IF($A1545="Bank",IF(INDEX(Bank!$C:$C,$C1545)="","",INDEX(Bank!$C:$C,$C1545)),IF(INDEX(GL!$C:$C,$C1545)="","",INDEX(GL!$C:$C,$C1545))))</f>
        <v/>
      </c>
      <c r="F1545" s="5" t="str">
        <f aca="false">IF(C1545=0,"",IF($A1545="Bank",IF(INDEX(Bank!$D:$D,$C1545)="","",INDEX(Bank!$D:$D,$C1545)),IF(INDEX(GL!$D:$D,$C1545)="","",INDEX(GL!$D:$D,$C1545))))</f>
        <v/>
      </c>
      <c r="G1545" s="19" t="str">
        <f aca="false">IF(C1545=0,"",IF($A1545="Bank",INDEX(Bank!$E:$E,$C1545),INDEX(GL!$E:$E,$C1545)))</f>
        <v/>
      </c>
      <c r="H1545" s="5" t="str">
        <f aca="false">IF(C1545=0,"",IF(A1545="GL",IF(G1545&gt;0,"Deposit in transit","Outstanding check / payment"),IF(G1545&gt;0,"Bank credit not in GL","Bank debit not in GL")))</f>
        <v/>
      </c>
      <c r="I1545" s="42" t="str">
        <f aca="false">IF(OR(C1545=0,CFG_PeriodEnd=""),"",CFG_PeriodEnd-D1545)</f>
        <v/>
      </c>
      <c r="J1545" s="5" t="str">
        <f aca="false">IF(C1545=0,"",IF($A1545="Bank",IF(INDEX(Bank!$G:$G,$C1545)="","",INDEX(Bank!$G:$G,$C1545)),IF(INDEX(GL!$G:$G,$C1545)="","",INDEX(GL!$G:$G,$C1545))))</f>
        <v/>
      </c>
      <c r="K1545" s="5" t="str">
        <f aca="false">IF(C1545=0,"",IF($A1545="Bank",IF(INDEX(Bank!$I:$I,$C1545)="","",INDEX(Bank!$I:$I,$C1545)),IF(INDEX(GL!$I:$I,$C1545)="","",INDEX(GL!$I:$I,$C1545))))</f>
        <v/>
      </c>
      <c r="L1545" s="5" t="str">
        <f aca="false">IF(B1545="","",IF(C1545=0,"NOT FOUND",IF(IF($A1545="Bank",INDEX(Bank!$F:$F,$C1545),INDEX(GL!$F:$F,$C1545))="Y","NOW RECONCILED: refresh","OK")))</f>
        <v/>
      </c>
    </row>
    <row r="1546" customFormat="false" ht="15" hidden="false" customHeight="false" outlineLevel="0" collapsed="false">
      <c r="A1546" s="41"/>
      <c r="B1546" s="41"/>
      <c r="C1546" s="5" t="n">
        <f aca="false">IF(B1546="",0,IF(A1546="Bank",IFERROR(MATCH(B1546,Bank!$A:$A,0),0),IFERROR(MATCH(B1546,GL!$A:$A,0),0)))</f>
        <v>0</v>
      </c>
      <c r="D1546" s="32" t="str">
        <f aca="false">IF(C1546=0,"",IF($A1546="Bank",INDEX(Bank!$B:$B,$C1546),INDEX(GL!$B:$B,$C1546)))</f>
        <v/>
      </c>
      <c r="E1546" s="5" t="str">
        <f aca="false">IF(C1546=0,"",IF($A1546="Bank",IF(INDEX(Bank!$C:$C,$C1546)="","",INDEX(Bank!$C:$C,$C1546)),IF(INDEX(GL!$C:$C,$C1546)="","",INDEX(GL!$C:$C,$C1546))))</f>
        <v/>
      </c>
      <c r="F1546" s="5" t="str">
        <f aca="false">IF(C1546=0,"",IF($A1546="Bank",IF(INDEX(Bank!$D:$D,$C1546)="","",INDEX(Bank!$D:$D,$C1546)),IF(INDEX(GL!$D:$D,$C1546)="","",INDEX(GL!$D:$D,$C1546))))</f>
        <v/>
      </c>
      <c r="G1546" s="19" t="str">
        <f aca="false">IF(C1546=0,"",IF($A1546="Bank",INDEX(Bank!$E:$E,$C1546),INDEX(GL!$E:$E,$C1546)))</f>
        <v/>
      </c>
      <c r="H1546" s="5" t="str">
        <f aca="false">IF(C1546=0,"",IF(A1546="GL",IF(G1546&gt;0,"Deposit in transit","Outstanding check / payment"),IF(G1546&gt;0,"Bank credit not in GL","Bank debit not in GL")))</f>
        <v/>
      </c>
      <c r="I1546" s="42" t="str">
        <f aca="false">IF(OR(C1546=0,CFG_PeriodEnd=""),"",CFG_PeriodEnd-D1546)</f>
        <v/>
      </c>
      <c r="J1546" s="5" t="str">
        <f aca="false">IF(C1546=0,"",IF($A1546="Bank",IF(INDEX(Bank!$G:$G,$C1546)="","",INDEX(Bank!$G:$G,$C1546)),IF(INDEX(GL!$G:$G,$C1546)="","",INDEX(GL!$G:$G,$C1546))))</f>
        <v/>
      </c>
      <c r="K1546" s="5" t="str">
        <f aca="false">IF(C1546=0,"",IF($A1546="Bank",IF(INDEX(Bank!$I:$I,$C1546)="","",INDEX(Bank!$I:$I,$C1546)),IF(INDEX(GL!$I:$I,$C1546)="","",INDEX(GL!$I:$I,$C1546))))</f>
        <v/>
      </c>
      <c r="L1546" s="5" t="str">
        <f aca="false">IF(B1546="","",IF(C1546=0,"NOT FOUND",IF(IF($A1546="Bank",INDEX(Bank!$F:$F,$C1546),INDEX(GL!$F:$F,$C1546))="Y","NOW RECONCILED: refresh","OK")))</f>
        <v/>
      </c>
    </row>
    <row r="1547" customFormat="false" ht="15" hidden="false" customHeight="false" outlineLevel="0" collapsed="false">
      <c r="A1547" s="41"/>
      <c r="B1547" s="41"/>
      <c r="C1547" s="5" t="n">
        <f aca="false">IF(B1547="",0,IF(A1547="Bank",IFERROR(MATCH(B1547,Bank!$A:$A,0),0),IFERROR(MATCH(B1547,GL!$A:$A,0),0)))</f>
        <v>0</v>
      </c>
      <c r="D1547" s="32" t="str">
        <f aca="false">IF(C1547=0,"",IF($A1547="Bank",INDEX(Bank!$B:$B,$C1547),INDEX(GL!$B:$B,$C1547)))</f>
        <v/>
      </c>
      <c r="E1547" s="5" t="str">
        <f aca="false">IF(C1547=0,"",IF($A1547="Bank",IF(INDEX(Bank!$C:$C,$C1547)="","",INDEX(Bank!$C:$C,$C1547)),IF(INDEX(GL!$C:$C,$C1547)="","",INDEX(GL!$C:$C,$C1547))))</f>
        <v/>
      </c>
      <c r="F1547" s="5" t="str">
        <f aca="false">IF(C1547=0,"",IF($A1547="Bank",IF(INDEX(Bank!$D:$D,$C1547)="","",INDEX(Bank!$D:$D,$C1547)),IF(INDEX(GL!$D:$D,$C1547)="","",INDEX(GL!$D:$D,$C1547))))</f>
        <v/>
      </c>
      <c r="G1547" s="19" t="str">
        <f aca="false">IF(C1547=0,"",IF($A1547="Bank",INDEX(Bank!$E:$E,$C1547),INDEX(GL!$E:$E,$C1547)))</f>
        <v/>
      </c>
      <c r="H1547" s="5" t="str">
        <f aca="false">IF(C1547=0,"",IF(A1547="GL",IF(G1547&gt;0,"Deposit in transit","Outstanding check / payment"),IF(G1547&gt;0,"Bank credit not in GL","Bank debit not in GL")))</f>
        <v/>
      </c>
      <c r="I1547" s="42" t="str">
        <f aca="false">IF(OR(C1547=0,CFG_PeriodEnd=""),"",CFG_PeriodEnd-D1547)</f>
        <v/>
      </c>
      <c r="J1547" s="5" t="str">
        <f aca="false">IF(C1547=0,"",IF($A1547="Bank",IF(INDEX(Bank!$G:$G,$C1547)="","",INDEX(Bank!$G:$G,$C1547)),IF(INDEX(GL!$G:$G,$C1547)="","",INDEX(GL!$G:$G,$C1547))))</f>
        <v/>
      </c>
      <c r="K1547" s="5" t="str">
        <f aca="false">IF(C1547=0,"",IF($A1547="Bank",IF(INDEX(Bank!$I:$I,$C1547)="","",INDEX(Bank!$I:$I,$C1547)),IF(INDEX(GL!$I:$I,$C1547)="","",INDEX(GL!$I:$I,$C1547))))</f>
        <v/>
      </c>
      <c r="L1547" s="5" t="str">
        <f aca="false">IF(B1547="","",IF(C1547=0,"NOT FOUND",IF(IF($A1547="Bank",INDEX(Bank!$F:$F,$C1547),INDEX(GL!$F:$F,$C1547))="Y","NOW RECONCILED: refresh","OK")))</f>
        <v/>
      </c>
    </row>
    <row r="1548" customFormat="false" ht="15" hidden="false" customHeight="false" outlineLevel="0" collapsed="false">
      <c r="A1548" s="41"/>
      <c r="B1548" s="41"/>
      <c r="C1548" s="5" t="n">
        <f aca="false">IF(B1548="",0,IF(A1548="Bank",IFERROR(MATCH(B1548,Bank!$A:$A,0),0),IFERROR(MATCH(B1548,GL!$A:$A,0),0)))</f>
        <v>0</v>
      </c>
      <c r="D1548" s="32" t="str">
        <f aca="false">IF(C1548=0,"",IF($A1548="Bank",INDEX(Bank!$B:$B,$C1548),INDEX(GL!$B:$B,$C1548)))</f>
        <v/>
      </c>
      <c r="E1548" s="5" t="str">
        <f aca="false">IF(C1548=0,"",IF($A1548="Bank",IF(INDEX(Bank!$C:$C,$C1548)="","",INDEX(Bank!$C:$C,$C1548)),IF(INDEX(GL!$C:$C,$C1548)="","",INDEX(GL!$C:$C,$C1548))))</f>
        <v/>
      </c>
      <c r="F1548" s="5" t="str">
        <f aca="false">IF(C1548=0,"",IF($A1548="Bank",IF(INDEX(Bank!$D:$D,$C1548)="","",INDEX(Bank!$D:$D,$C1548)),IF(INDEX(GL!$D:$D,$C1548)="","",INDEX(GL!$D:$D,$C1548))))</f>
        <v/>
      </c>
      <c r="G1548" s="19" t="str">
        <f aca="false">IF(C1548=0,"",IF($A1548="Bank",INDEX(Bank!$E:$E,$C1548),INDEX(GL!$E:$E,$C1548)))</f>
        <v/>
      </c>
      <c r="H1548" s="5" t="str">
        <f aca="false">IF(C1548=0,"",IF(A1548="GL",IF(G1548&gt;0,"Deposit in transit","Outstanding check / payment"),IF(G1548&gt;0,"Bank credit not in GL","Bank debit not in GL")))</f>
        <v/>
      </c>
      <c r="I1548" s="42" t="str">
        <f aca="false">IF(OR(C1548=0,CFG_PeriodEnd=""),"",CFG_PeriodEnd-D1548)</f>
        <v/>
      </c>
      <c r="J1548" s="5" t="str">
        <f aca="false">IF(C1548=0,"",IF($A1548="Bank",IF(INDEX(Bank!$G:$G,$C1548)="","",INDEX(Bank!$G:$G,$C1548)),IF(INDEX(GL!$G:$G,$C1548)="","",INDEX(GL!$G:$G,$C1548))))</f>
        <v/>
      </c>
      <c r="K1548" s="5" t="str">
        <f aca="false">IF(C1548=0,"",IF($A1548="Bank",IF(INDEX(Bank!$I:$I,$C1548)="","",INDEX(Bank!$I:$I,$C1548)),IF(INDEX(GL!$I:$I,$C1548)="","",INDEX(GL!$I:$I,$C1548))))</f>
        <v/>
      </c>
      <c r="L1548" s="5" t="str">
        <f aca="false">IF(B1548="","",IF(C1548=0,"NOT FOUND",IF(IF($A1548="Bank",INDEX(Bank!$F:$F,$C1548),INDEX(GL!$F:$F,$C1548))="Y","NOW RECONCILED: refresh","OK")))</f>
        <v/>
      </c>
    </row>
    <row r="1549" customFormat="false" ht="15" hidden="false" customHeight="false" outlineLevel="0" collapsed="false">
      <c r="A1549" s="41"/>
      <c r="B1549" s="41"/>
      <c r="C1549" s="5" t="n">
        <f aca="false">IF(B1549="",0,IF(A1549="Bank",IFERROR(MATCH(B1549,Bank!$A:$A,0),0),IFERROR(MATCH(B1549,GL!$A:$A,0),0)))</f>
        <v>0</v>
      </c>
      <c r="D1549" s="32" t="str">
        <f aca="false">IF(C1549=0,"",IF($A1549="Bank",INDEX(Bank!$B:$B,$C1549),INDEX(GL!$B:$B,$C1549)))</f>
        <v/>
      </c>
      <c r="E1549" s="5" t="str">
        <f aca="false">IF(C1549=0,"",IF($A1549="Bank",IF(INDEX(Bank!$C:$C,$C1549)="","",INDEX(Bank!$C:$C,$C1549)),IF(INDEX(GL!$C:$C,$C1549)="","",INDEX(GL!$C:$C,$C1549))))</f>
        <v/>
      </c>
      <c r="F1549" s="5" t="str">
        <f aca="false">IF(C1549=0,"",IF($A1549="Bank",IF(INDEX(Bank!$D:$D,$C1549)="","",INDEX(Bank!$D:$D,$C1549)),IF(INDEX(GL!$D:$D,$C1549)="","",INDEX(GL!$D:$D,$C1549))))</f>
        <v/>
      </c>
      <c r="G1549" s="19" t="str">
        <f aca="false">IF(C1549=0,"",IF($A1549="Bank",INDEX(Bank!$E:$E,$C1549),INDEX(GL!$E:$E,$C1549)))</f>
        <v/>
      </c>
      <c r="H1549" s="5" t="str">
        <f aca="false">IF(C1549=0,"",IF(A1549="GL",IF(G1549&gt;0,"Deposit in transit","Outstanding check / payment"),IF(G1549&gt;0,"Bank credit not in GL","Bank debit not in GL")))</f>
        <v/>
      </c>
      <c r="I1549" s="42" t="str">
        <f aca="false">IF(OR(C1549=0,CFG_PeriodEnd=""),"",CFG_PeriodEnd-D1549)</f>
        <v/>
      </c>
      <c r="J1549" s="5" t="str">
        <f aca="false">IF(C1549=0,"",IF($A1549="Bank",IF(INDEX(Bank!$G:$G,$C1549)="","",INDEX(Bank!$G:$G,$C1549)),IF(INDEX(GL!$G:$G,$C1549)="","",INDEX(GL!$G:$G,$C1549))))</f>
        <v/>
      </c>
      <c r="K1549" s="5" t="str">
        <f aca="false">IF(C1549=0,"",IF($A1549="Bank",IF(INDEX(Bank!$I:$I,$C1549)="","",INDEX(Bank!$I:$I,$C1549)),IF(INDEX(GL!$I:$I,$C1549)="","",INDEX(GL!$I:$I,$C1549))))</f>
        <v/>
      </c>
      <c r="L1549" s="5" t="str">
        <f aca="false">IF(B1549="","",IF(C1549=0,"NOT FOUND",IF(IF($A1549="Bank",INDEX(Bank!$F:$F,$C1549),INDEX(GL!$F:$F,$C1549))="Y","NOW RECONCILED: refresh","OK")))</f>
        <v/>
      </c>
    </row>
    <row r="1550" customFormat="false" ht="15" hidden="false" customHeight="false" outlineLevel="0" collapsed="false">
      <c r="A1550" s="41"/>
      <c r="B1550" s="41"/>
      <c r="C1550" s="5" t="n">
        <f aca="false">IF(B1550="",0,IF(A1550="Bank",IFERROR(MATCH(B1550,Bank!$A:$A,0),0),IFERROR(MATCH(B1550,GL!$A:$A,0),0)))</f>
        <v>0</v>
      </c>
      <c r="D1550" s="32" t="str">
        <f aca="false">IF(C1550=0,"",IF($A1550="Bank",INDEX(Bank!$B:$B,$C1550),INDEX(GL!$B:$B,$C1550)))</f>
        <v/>
      </c>
      <c r="E1550" s="5" t="str">
        <f aca="false">IF(C1550=0,"",IF($A1550="Bank",IF(INDEX(Bank!$C:$C,$C1550)="","",INDEX(Bank!$C:$C,$C1550)),IF(INDEX(GL!$C:$C,$C1550)="","",INDEX(GL!$C:$C,$C1550))))</f>
        <v/>
      </c>
      <c r="F1550" s="5" t="str">
        <f aca="false">IF(C1550=0,"",IF($A1550="Bank",IF(INDEX(Bank!$D:$D,$C1550)="","",INDEX(Bank!$D:$D,$C1550)),IF(INDEX(GL!$D:$D,$C1550)="","",INDEX(GL!$D:$D,$C1550))))</f>
        <v/>
      </c>
      <c r="G1550" s="19" t="str">
        <f aca="false">IF(C1550=0,"",IF($A1550="Bank",INDEX(Bank!$E:$E,$C1550),INDEX(GL!$E:$E,$C1550)))</f>
        <v/>
      </c>
      <c r="H1550" s="5" t="str">
        <f aca="false">IF(C1550=0,"",IF(A1550="GL",IF(G1550&gt;0,"Deposit in transit","Outstanding check / payment"),IF(G1550&gt;0,"Bank credit not in GL","Bank debit not in GL")))</f>
        <v/>
      </c>
      <c r="I1550" s="42" t="str">
        <f aca="false">IF(OR(C1550=0,CFG_PeriodEnd=""),"",CFG_PeriodEnd-D1550)</f>
        <v/>
      </c>
      <c r="J1550" s="5" t="str">
        <f aca="false">IF(C1550=0,"",IF($A1550="Bank",IF(INDEX(Bank!$G:$G,$C1550)="","",INDEX(Bank!$G:$G,$C1550)),IF(INDEX(GL!$G:$G,$C1550)="","",INDEX(GL!$G:$G,$C1550))))</f>
        <v/>
      </c>
      <c r="K1550" s="5" t="str">
        <f aca="false">IF(C1550=0,"",IF($A1550="Bank",IF(INDEX(Bank!$I:$I,$C1550)="","",INDEX(Bank!$I:$I,$C1550)),IF(INDEX(GL!$I:$I,$C1550)="","",INDEX(GL!$I:$I,$C1550))))</f>
        <v/>
      </c>
      <c r="L1550" s="5" t="str">
        <f aca="false">IF(B1550="","",IF(C1550=0,"NOT FOUND",IF(IF($A1550="Bank",INDEX(Bank!$F:$F,$C1550),INDEX(GL!$F:$F,$C1550))="Y","NOW RECONCILED: refresh","OK")))</f>
        <v/>
      </c>
    </row>
    <row r="1551" customFormat="false" ht="15" hidden="false" customHeight="false" outlineLevel="0" collapsed="false">
      <c r="A1551" s="41"/>
      <c r="B1551" s="41"/>
      <c r="C1551" s="5" t="n">
        <f aca="false">IF(B1551="",0,IF(A1551="Bank",IFERROR(MATCH(B1551,Bank!$A:$A,0),0),IFERROR(MATCH(B1551,GL!$A:$A,0),0)))</f>
        <v>0</v>
      </c>
      <c r="D1551" s="32" t="str">
        <f aca="false">IF(C1551=0,"",IF($A1551="Bank",INDEX(Bank!$B:$B,$C1551),INDEX(GL!$B:$B,$C1551)))</f>
        <v/>
      </c>
      <c r="E1551" s="5" t="str">
        <f aca="false">IF(C1551=0,"",IF($A1551="Bank",IF(INDEX(Bank!$C:$C,$C1551)="","",INDEX(Bank!$C:$C,$C1551)),IF(INDEX(GL!$C:$C,$C1551)="","",INDEX(GL!$C:$C,$C1551))))</f>
        <v/>
      </c>
      <c r="F1551" s="5" t="str">
        <f aca="false">IF(C1551=0,"",IF($A1551="Bank",IF(INDEX(Bank!$D:$D,$C1551)="","",INDEX(Bank!$D:$D,$C1551)),IF(INDEX(GL!$D:$D,$C1551)="","",INDEX(GL!$D:$D,$C1551))))</f>
        <v/>
      </c>
      <c r="G1551" s="19" t="str">
        <f aca="false">IF(C1551=0,"",IF($A1551="Bank",INDEX(Bank!$E:$E,$C1551),INDEX(GL!$E:$E,$C1551)))</f>
        <v/>
      </c>
      <c r="H1551" s="5" t="str">
        <f aca="false">IF(C1551=0,"",IF(A1551="GL",IF(G1551&gt;0,"Deposit in transit","Outstanding check / payment"),IF(G1551&gt;0,"Bank credit not in GL","Bank debit not in GL")))</f>
        <v/>
      </c>
      <c r="I1551" s="42" t="str">
        <f aca="false">IF(OR(C1551=0,CFG_PeriodEnd=""),"",CFG_PeriodEnd-D1551)</f>
        <v/>
      </c>
      <c r="J1551" s="5" t="str">
        <f aca="false">IF(C1551=0,"",IF($A1551="Bank",IF(INDEX(Bank!$G:$G,$C1551)="","",INDEX(Bank!$G:$G,$C1551)),IF(INDEX(GL!$G:$G,$C1551)="","",INDEX(GL!$G:$G,$C1551))))</f>
        <v/>
      </c>
      <c r="K1551" s="5" t="str">
        <f aca="false">IF(C1551=0,"",IF($A1551="Bank",IF(INDEX(Bank!$I:$I,$C1551)="","",INDEX(Bank!$I:$I,$C1551)),IF(INDEX(GL!$I:$I,$C1551)="","",INDEX(GL!$I:$I,$C1551))))</f>
        <v/>
      </c>
      <c r="L1551" s="5" t="str">
        <f aca="false">IF(B1551="","",IF(C1551=0,"NOT FOUND",IF(IF($A1551="Bank",INDEX(Bank!$F:$F,$C1551),INDEX(GL!$F:$F,$C1551))="Y","NOW RECONCILED: refresh","OK")))</f>
        <v/>
      </c>
    </row>
    <row r="1552" customFormat="false" ht="15" hidden="false" customHeight="false" outlineLevel="0" collapsed="false">
      <c r="A1552" s="41"/>
      <c r="B1552" s="41"/>
      <c r="C1552" s="5" t="n">
        <f aca="false">IF(B1552="",0,IF(A1552="Bank",IFERROR(MATCH(B1552,Bank!$A:$A,0),0),IFERROR(MATCH(B1552,GL!$A:$A,0),0)))</f>
        <v>0</v>
      </c>
      <c r="D1552" s="32" t="str">
        <f aca="false">IF(C1552=0,"",IF($A1552="Bank",INDEX(Bank!$B:$B,$C1552),INDEX(GL!$B:$B,$C1552)))</f>
        <v/>
      </c>
      <c r="E1552" s="5" t="str">
        <f aca="false">IF(C1552=0,"",IF($A1552="Bank",IF(INDEX(Bank!$C:$C,$C1552)="","",INDEX(Bank!$C:$C,$C1552)),IF(INDEX(GL!$C:$C,$C1552)="","",INDEX(GL!$C:$C,$C1552))))</f>
        <v/>
      </c>
      <c r="F1552" s="5" t="str">
        <f aca="false">IF(C1552=0,"",IF($A1552="Bank",IF(INDEX(Bank!$D:$D,$C1552)="","",INDEX(Bank!$D:$D,$C1552)),IF(INDEX(GL!$D:$D,$C1552)="","",INDEX(GL!$D:$D,$C1552))))</f>
        <v/>
      </c>
      <c r="G1552" s="19" t="str">
        <f aca="false">IF(C1552=0,"",IF($A1552="Bank",INDEX(Bank!$E:$E,$C1552),INDEX(GL!$E:$E,$C1552)))</f>
        <v/>
      </c>
      <c r="H1552" s="5" t="str">
        <f aca="false">IF(C1552=0,"",IF(A1552="GL",IF(G1552&gt;0,"Deposit in transit","Outstanding check / payment"),IF(G1552&gt;0,"Bank credit not in GL","Bank debit not in GL")))</f>
        <v/>
      </c>
      <c r="I1552" s="42" t="str">
        <f aca="false">IF(OR(C1552=0,CFG_PeriodEnd=""),"",CFG_PeriodEnd-D1552)</f>
        <v/>
      </c>
      <c r="J1552" s="5" t="str">
        <f aca="false">IF(C1552=0,"",IF($A1552="Bank",IF(INDEX(Bank!$G:$G,$C1552)="","",INDEX(Bank!$G:$G,$C1552)),IF(INDEX(GL!$G:$G,$C1552)="","",INDEX(GL!$G:$G,$C1552))))</f>
        <v/>
      </c>
      <c r="K1552" s="5" t="str">
        <f aca="false">IF(C1552=0,"",IF($A1552="Bank",IF(INDEX(Bank!$I:$I,$C1552)="","",INDEX(Bank!$I:$I,$C1552)),IF(INDEX(GL!$I:$I,$C1552)="","",INDEX(GL!$I:$I,$C1552))))</f>
        <v/>
      </c>
      <c r="L1552" s="5" t="str">
        <f aca="false">IF(B1552="","",IF(C1552=0,"NOT FOUND",IF(IF($A1552="Bank",INDEX(Bank!$F:$F,$C1552),INDEX(GL!$F:$F,$C1552))="Y","NOW RECONCILED: refresh","OK")))</f>
        <v/>
      </c>
    </row>
    <row r="1553" customFormat="false" ht="15" hidden="false" customHeight="false" outlineLevel="0" collapsed="false">
      <c r="A1553" s="41"/>
      <c r="B1553" s="41"/>
      <c r="C1553" s="5" t="n">
        <f aca="false">IF(B1553="",0,IF(A1553="Bank",IFERROR(MATCH(B1553,Bank!$A:$A,0),0),IFERROR(MATCH(B1553,GL!$A:$A,0),0)))</f>
        <v>0</v>
      </c>
      <c r="D1553" s="32" t="str">
        <f aca="false">IF(C1553=0,"",IF($A1553="Bank",INDEX(Bank!$B:$B,$C1553),INDEX(GL!$B:$B,$C1553)))</f>
        <v/>
      </c>
      <c r="E1553" s="5" t="str">
        <f aca="false">IF(C1553=0,"",IF($A1553="Bank",IF(INDEX(Bank!$C:$C,$C1553)="","",INDEX(Bank!$C:$C,$C1553)),IF(INDEX(GL!$C:$C,$C1553)="","",INDEX(GL!$C:$C,$C1553))))</f>
        <v/>
      </c>
      <c r="F1553" s="5" t="str">
        <f aca="false">IF(C1553=0,"",IF($A1553="Bank",IF(INDEX(Bank!$D:$D,$C1553)="","",INDEX(Bank!$D:$D,$C1553)),IF(INDEX(GL!$D:$D,$C1553)="","",INDEX(GL!$D:$D,$C1553))))</f>
        <v/>
      </c>
      <c r="G1553" s="19" t="str">
        <f aca="false">IF(C1553=0,"",IF($A1553="Bank",INDEX(Bank!$E:$E,$C1553),INDEX(GL!$E:$E,$C1553)))</f>
        <v/>
      </c>
      <c r="H1553" s="5" t="str">
        <f aca="false">IF(C1553=0,"",IF(A1553="GL",IF(G1553&gt;0,"Deposit in transit","Outstanding check / payment"),IF(G1553&gt;0,"Bank credit not in GL","Bank debit not in GL")))</f>
        <v/>
      </c>
      <c r="I1553" s="42" t="str">
        <f aca="false">IF(OR(C1553=0,CFG_PeriodEnd=""),"",CFG_PeriodEnd-D1553)</f>
        <v/>
      </c>
      <c r="J1553" s="5" t="str">
        <f aca="false">IF(C1553=0,"",IF($A1553="Bank",IF(INDEX(Bank!$G:$G,$C1553)="","",INDEX(Bank!$G:$G,$C1553)),IF(INDEX(GL!$G:$G,$C1553)="","",INDEX(GL!$G:$G,$C1553))))</f>
        <v/>
      </c>
      <c r="K1553" s="5" t="str">
        <f aca="false">IF(C1553=0,"",IF($A1553="Bank",IF(INDEX(Bank!$I:$I,$C1553)="","",INDEX(Bank!$I:$I,$C1553)),IF(INDEX(GL!$I:$I,$C1553)="","",INDEX(GL!$I:$I,$C1553))))</f>
        <v/>
      </c>
      <c r="L1553" s="5" t="str">
        <f aca="false">IF(B1553="","",IF(C1553=0,"NOT FOUND",IF(IF($A1553="Bank",INDEX(Bank!$F:$F,$C1553),INDEX(GL!$F:$F,$C1553))="Y","NOW RECONCILED: refresh","OK")))</f>
        <v/>
      </c>
    </row>
    <row r="1554" customFormat="false" ht="15" hidden="false" customHeight="false" outlineLevel="0" collapsed="false">
      <c r="A1554" s="41"/>
      <c r="B1554" s="41"/>
      <c r="C1554" s="5" t="n">
        <f aca="false">IF(B1554="",0,IF(A1554="Bank",IFERROR(MATCH(B1554,Bank!$A:$A,0),0),IFERROR(MATCH(B1554,GL!$A:$A,0),0)))</f>
        <v>0</v>
      </c>
      <c r="D1554" s="32" t="str">
        <f aca="false">IF(C1554=0,"",IF($A1554="Bank",INDEX(Bank!$B:$B,$C1554),INDEX(GL!$B:$B,$C1554)))</f>
        <v/>
      </c>
      <c r="E1554" s="5" t="str">
        <f aca="false">IF(C1554=0,"",IF($A1554="Bank",IF(INDEX(Bank!$C:$C,$C1554)="","",INDEX(Bank!$C:$C,$C1554)),IF(INDEX(GL!$C:$C,$C1554)="","",INDEX(GL!$C:$C,$C1554))))</f>
        <v/>
      </c>
      <c r="F1554" s="5" t="str">
        <f aca="false">IF(C1554=0,"",IF($A1554="Bank",IF(INDEX(Bank!$D:$D,$C1554)="","",INDEX(Bank!$D:$D,$C1554)),IF(INDEX(GL!$D:$D,$C1554)="","",INDEX(GL!$D:$D,$C1554))))</f>
        <v/>
      </c>
      <c r="G1554" s="19" t="str">
        <f aca="false">IF(C1554=0,"",IF($A1554="Bank",INDEX(Bank!$E:$E,$C1554),INDEX(GL!$E:$E,$C1554)))</f>
        <v/>
      </c>
      <c r="H1554" s="5" t="str">
        <f aca="false">IF(C1554=0,"",IF(A1554="GL",IF(G1554&gt;0,"Deposit in transit","Outstanding check / payment"),IF(G1554&gt;0,"Bank credit not in GL","Bank debit not in GL")))</f>
        <v/>
      </c>
      <c r="I1554" s="42" t="str">
        <f aca="false">IF(OR(C1554=0,CFG_PeriodEnd=""),"",CFG_PeriodEnd-D1554)</f>
        <v/>
      </c>
      <c r="J1554" s="5" t="str">
        <f aca="false">IF(C1554=0,"",IF($A1554="Bank",IF(INDEX(Bank!$G:$G,$C1554)="","",INDEX(Bank!$G:$G,$C1554)),IF(INDEX(GL!$G:$G,$C1554)="","",INDEX(GL!$G:$G,$C1554))))</f>
        <v/>
      </c>
      <c r="K1554" s="5" t="str">
        <f aca="false">IF(C1554=0,"",IF($A1554="Bank",IF(INDEX(Bank!$I:$I,$C1554)="","",INDEX(Bank!$I:$I,$C1554)),IF(INDEX(GL!$I:$I,$C1554)="","",INDEX(GL!$I:$I,$C1554))))</f>
        <v/>
      </c>
      <c r="L1554" s="5" t="str">
        <f aca="false">IF(B1554="","",IF(C1554=0,"NOT FOUND",IF(IF($A1554="Bank",INDEX(Bank!$F:$F,$C1554),INDEX(GL!$F:$F,$C1554))="Y","NOW RECONCILED: refresh","OK")))</f>
        <v/>
      </c>
    </row>
    <row r="1555" customFormat="false" ht="15" hidden="false" customHeight="false" outlineLevel="0" collapsed="false">
      <c r="A1555" s="41"/>
      <c r="B1555" s="41"/>
      <c r="C1555" s="5" t="n">
        <f aca="false">IF(B1555="",0,IF(A1555="Bank",IFERROR(MATCH(B1555,Bank!$A:$A,0),0),IFERROR(MATCH(B1555,GL!$A:$A,0),0)))</f>
        <v>0</v>
      </c>
      <c r="D1555" s="32" t="str">
        <f aca="false">IF(C1555=0,"",IF($A1555="Bank",INDEX(Bank!$B:$B,$C1555),INDEX(GL!$B:$B,$C1555)))</f>
        <v/>
      </c>
      <c r="E1555" s="5" t="str">
        <f aca="false">IF(C1555=0,"",IF($A1555="Bank",IF(INDEX(Bank!$C:$C,$C1555)="","",INDEX(Bank!$C:$C,$C1555)),IF(INDEX(GL!$C:$C,$C1555)="","",INDEX(GL!$C:$C,$C1555))))</f>
        <v/>
      </c>
      <c r="F1555" s="5" t="str">
        <f aca="false">IF(C1555=0,"",IF($A1555="Bank",IF(INDEX(Bank!$D:$D,$C1555)="","",INDEX(Bank!$D:$D,$C1555)),IF(INDEX(GL!$D:$D,$C1555)="","",INDEX(GL!$D:$D,$C1555))))</f>
        <v/>
      </c>
      <c r="G1555" s="19" t="str">
        <f aca="false">IF(C1555=0,"",IF($A1555="Bank",INDEX(Bank!$E:$E,$C1555),INDEX(GL!$E:$E,$C1555)))</f>
        <v/>
      </c>
      <c r="H1555" s="5" t="str">
        <f aca="false">IF(C1555=0,"",IF(A1555="GL",IF(G1555&gt;0,"Deposit in transit","Outstanding check / payment"),IF(G1555&gt;0,"Bank credit not in GL","Bank debit not in GL")))</f>
        <v/>
      </c>
      <c r="I1555" s="42" t="str">
        <f aca="false">IF(OR(C1555=0,CFG_PeriodEnd=""),"",CFG_PeriodEnd-D1555)</f>
        <v/>
      </c>
      <c r="J1555" s="5" t="str">
        <f aca="false">IF(C1555=0,"",IF($A1555="Bank",IF(INDEX(Bank!$G:$G,$C1555)="","",INDEX(Bank!$G:$G,$C1555)),IF(INDEX(GL!$G:$G,$C1555)="","",INDEX(GL!$G:$G,$C1555))))</f>
        <v/>
      </c>
      <c r="K1555" s="5" t="str">
        <f aca="false">IF(C1555=0,"",IF($A1555="Bank",IF(INDEX(Bank!$I:$I,$C1555)="","",INDEX(Bank!$I:$I,$C1555)),IF(INDEX(GL!$I:$I,$C1555)="","",INDEX(GL!$I:$I,$C1555))))</f>
        <v/>
      </c>
      <c r="L1555" s="5" t="str">
        <f aca="false">IF(B1555="","",IF(C1555=0,"NOT FOUND",IF(IF($A1555="Bank",INDEX(Bank!$F:$F,$C1555),INDEX(GL!$F:$F,$C1555))="Y","NOW RECONCILED: refresh","OK")))</f>
        <v/>
      </c>
    </row>
    <row r="1556" customFormat="false" ht="15" hidden="false" customHeight="false" outlineLevel="0" collapsed="false">
      <c r="A1556" s="41"/>
      <c r="B1556" s="41"/>
      <c r="C1556" s="5" t="n">
        <f aca="false">IF(B1556="",0,IF(A1556="Bank",IFERROR(MATCH(B1556,Bank!$A:$A,0),0),IFERROR(MATCH(B1556,GL!$A:$A,0),0)))</f>
        <v>0</v>
      </c>
      <c r="D1556" s="32" t="str">
        <f aca="false">IF(C1556=0,"",IF($A1556="Bank",INDEX(Bank!$B:$B,$C1556),INDEX(GL!$B:$B,$C1556)))</f>
        <v/>
      </c>
      <c r="E1556" s="5" t="str">
        <f aca="false">IF(C1556=0,"",IF($A1556="Bank",IF(INDEX(Bank!$C:$C,$C1556)="","",INDEX(Bank!$C:$C,$C1556)),IF(INDEX(GL!$C:$C,$C1556)="","",INDEX(GL!$C:$C,$C1556))))</f>
        <v/>
      </c>
      <c r="F1556" s="5" t="str">
        <f aca="false">IF(C1556=0,"",IF($A1556="Bank",IF(INDEX(Bank!$D:$D,$C1556)="","",INDEX(Bank!$D:$D,$C1556)),IF(INDEX(GL!$D:$D,$C1556)="","",INDEX(GL!$D:$D,$C1556))))</f>
        <v/>
      </c>
      <c r="G1556" s="19" t="str">
        <f aca="false">IF(C1556=0,"",IF($A1556="Bank",INDEX(Bank!$E:$E,$C1556),INDEX(GL!$E:$E,$C1556)))</f>
        <v/>
      </c>
      <c r="H1556" s="5" t="str">
        <f aca="false">IF(C1556=0,"",IF(A1556="GL",IF(G1556&gt;0,"Deposit in transit","Outstanding check / payment"),IF(G1556&gt;0,"Bank credit not in GL","Bank debit not in GL")))</f>
        <v/>
      </c>
      <c r="I1556" s="42" t="str">
        <f aca="false">IF(OR(C1556=0,CFG_PeriodEnd=""),"",CFG_PeriodEnd-D1556)</f>
        <v/>
      </c>
      <c r="J1556" s="5" t="str">
        <f aca="false">IF(C1556=0,"",IF($A1556="Bank",IF(INDEX(Bank!$G:$G,$C1556)="","",INDEX(Bank!$G:$G,$C1556)),IF(INDEX(GL!$G:$G,$C1556)="","",INDEX(GL!$G:$G,$C1556))))</f>
        <v/>
      </c>
      <c r="K1556" s="5" t="str">
        <f aca="false">IF(C1556=0,"",IF($A1556="Bank",IF(INDEX(Bank!$I:$I,$C1556)="","",INDEX(Bank!$I:$I,$C1556)),IF(INDEX(GL!$I:$I,$C1556)="","",INDEX(GL!$I:$I,$C1556))))</f>
        <v/>
      </c>
      <c r="L1556" s="5" t="str">
        <f aca="false">IF(B1556="","",IF(C1556=0,"NOT FOUND",IF(IF($A1556="Bank",INDEX(Bank!$F:$F,$C1556),INDEX(GL!$F:$F,$C1556))="Y","NOW RECONCILED: refresh","OK")))</f>
        <v/>
      </c>
    </row>
    <row r="1557" customFormat="false" ht="15" hidden="false" customHeight="false" outlineLevel="0" collapsed="false">
      <c r="A1557" s="41"/>
      <c r="B1557" s="41"/>
      <c r="C1557" s="5" t="n">
        <f aca="false">IF(B1557="",0,IF(A1557="Bank",IFERROR(MATCH(B1557,Bank!$A:$A,0),0),IFERROR(MATCH(B1557,GL!$A:$A,0),0)))</f>
        <v>0</v>
      </c>
      <c r="D1557" s="32" t="str">
        <f aca="false">IF(C1557=0,"",IF($A1557="Bank",INDEX(Bank!$B:$B,$C1557),INDEX(GL!$B:$B,$C1557)))</f>
        <v/>
      </c>
      <c r="E1557" s="5" t="str">
        <f aca="false">IF(C1557=0,"",IF($A1557="Bank",IF(INDEX(Bank!$C:$C,$C1557)="","",INDEX(Bank!$C:$C,$C1557)),IF(INDEX(GL!$C:$C,$C1557)="","",INDEX(GL!$C:$C,$C1557))))</f>
        <v/>
      </c>
      <c r="F1557" s="5" t="str">
        <f aca="false">IF(C1557=0,"",IF($A1557="Bank",IF(INDEX(Bank!$D:$D,$C1557)="","",INDEX(Bank!$D:$D,$C1557)),IF(INDEX(GL!$D:$D,$C1557)="","",INDEX(GL!$D:$D,$C1557))))</f>
        <v/>
      </c>
      <c r="G1557" s="19" t="str">
        <f aca="false">IF(C1557=0,"",IF($A1557="Bank",INDEX(Bank!$E:$E,$C1557),INDEX(GL!$E:$E,$C1557)))</f>
        <v/>
      </c>
      <c r="H1557" s="5" t="str">
        <f aca="false">IF(C1557=0,"",IF(A1557="GL",IF(G1557&gt;0,"Deposit in transit","Outstanding check / payment"),IF(G1557&gt;0,"Bank credit not in GL","Bank debit not in GL")))</f>
        <v/>
      </c>
      <c r="I1557" s="42" t="str">
        <f aca="false">IF(OR(C1557=0,CFG_PeriodEnd=""),"",CFG_PeriodEnd-D1557)</f>
        <v/>
      </c>
      <c r="J1557" s="5" t="str">
        <f aca="false">IF(C1557=0,"",IF($A1557="Bank",IF(INDEX(Bank!$G:$G,$C1557)="","",INDEX(Bank!$G:$G,$C1557)),IF(INDEX(GL!$G:$G,$C1557)="","",INDEX(GL!$G:$G,$C1557))))</f>
        <v/>
      </c>
      <c r="K1557" s="5" t="str">
        <f aca="false">IF(C1557=0,"",IF($A1557="Bank",IF(INDEX(Bank!$I:$I,$C1557)="","",INDEX(Bank!$I:$I,$C1557)),IF(INDEX(GL!$I:$I,$C1557)="","",INDEX(GL!$I:$I,$C1557))))</f>
        <v/>
      </c>
      <c r="L1557" s="5" t="str">
        <f aca="false">IF(B1557="","",IF(C1557=0,"NOT FOUND",IF(IF($A1557="Bank",INDEX(Bank!$F:$F,$C1557),INDEX(GL!$F:$F,$C1557))="Y","NOW RECONCILED: refresh","OK")))</f>
        <v/>
      </c>
    </row>
    <row r="1558" customFormat="false" ht="15" hidden="false" customHeight="false" outlineLevel="0" collapsed="false">
      <c r="A1558" s="41"/>
      <c r="B1558" s="41"/>
      <c r="C1558" s="5" t="n">
        <f aca="false">IF(B1558="",0,IF(A1558="Bank",IFERROR(MATCH(B1558,Bank!$A:$A,0),0),IFERROR(MATCH(B1558,GL!$A:$A,0),0)))</f>
        <v>0</v>
      </c>
      <c r="D1558" s="32" t="str">
        <f aca="false">IF(C1558=0,"",IF($A1558="Bank",INDEX(Bank!$B:$B,$C1558),INDEX(GL!$B:$B,$C1558)))</f>
        <v/>
      </c>
      <c r="E1558" s="5" t="str">
        <f aca="false">IF(C1558=0,"",IF($A1558="Bank",IF(INDEX(Bank!$C:$C,$C1558)="","",INDEX(Bank!$C:$C,$C1558)),IF(INDEX(GL!$C:$C,$C1558)="","",INDEX(GL!$C:$C,$C1558))))</f>
        <v/>
      </c>
      <c r="F1558" s="5" t="str">
        <f aca="false">IF(C1558=0,"",IF($A1558="Bank",IF(INDEX(Bank!$D:$D,$C1558)="","",INDEX(Bank!$D:$D,$C1558)),IF(INDEX(GL!$D:$D,$C1558)="","",INDEX(GL!$D:$D,$C1558))))</f>
        <v/>
      </c>
      <c r="G1558" s="19" t="str">
        <f aca="false">IF(C1558=0,"",IF($A1558="Bank",INDEX(Bank!$E:$E,$C1558),INDEX(GL!$E:$E,$C1558)))</f>
        <v/>
      </c>
      <c r="H1558" s="5" t="str">
        <f aca="false">IF(C1558=0,"",IF(A1558="GL",IF(G1558&gt;0,"Deposit in transit","Outstanding check / payment"),IF(G1558&gt;0,"Bank credit not in GL","Bank debit not in GL")))</f>
        <v/>
      </c>
      <c r="I1558" s="42" t="str">
        <f aca="false">IF(OR(C1558=0,CFG_PeriodEnd=""),"",CFG_PeriodEnd-D1558)</f>
        <v/>
      </c>
      <c r="J1558" s="5" t="str">
        <f aca="false">IF(C1558=0,"",IF($A1558="Bank",IF(INDEX(Bank!$G:$G,$C1558)="","",INDEX(Bank!$G:$G,$C1558)),IF(INDEX(GL!$G:$G,$C1558)="","",INDEX(GL!$G:$G,$C1558))))</f>
        <v/>
      </c>
      <c r="K1558" s="5" t="str">
        <f aca="false">IF(C1558=0,"",IF($A1558="Bank",IF(INDEX(Bank!$I:$I,$C1558)="","",INDEX(Bank!$I:$I,$C1558)),IF(INDEX(GL!$I:$I,$C1558)="","",INDEX(GL!$I:$I,$C1558))))</f>
        <v/>
      </c>
      <c r="L1558" s="5" t="str">
        <f aca="false">IF(B1558="","",IF(C1558=0,"NOT FOUND",IF(IF($A1558="Bank",INDEX(Bank!$F:$F,$C1558),INDEX(GL!$F:$F,$C1558))="Y","NOW RECONCILED: refresh","OK")))</f>
        <v/>
      </c>
    </row>
    <row r="1559" customFormat="false" ht="15" hidden="false" customHeight="false" outlineLevel="0" collapsed="false">
      <c r="A1559" s="41"/>
      <c r="B1559" s="41"/>
      <c r="C1559" s="5" t="n">
        <f aca="false">IF(B1559="",0,IF(A1559="Bank",IFERROR(MATCH(B1559,Bank!$A:$A,0),0),IFERROR(MATCH(B1559,GL!$A:$A,0),0)))</f>
        <v>0</v>
      </c>
      <c r="D1559" s="32" t="str">
        <f aca="false">IF(C1559=0,"",IF($A1559="Bank",INDEX(Bank!$B:$B,$C1559),INDEX(GL!$B:$B,$C1559)))</f>
        <v/>
      </c>
      <c r="E1559" s="5" t="str">
        <f aca="false">IF(C1559=0,"",IF($A1559="Bank",IF(INDEX(Bank!$C:$C,$C1559)="","",INDEX(Bank!$C:$C,$C1559)),IF(INDEX(GL!$C:$C,$C1559)="","",INDEX(GL!$C:$C,$C1559))))</f>
        <v/>
      </c>
      <c r="F1559" s="5" t="str">
        <f aca="false">IF(C1559=0,"",IF($A1559="Bank",IF(INDEX(Bank!$D:$D,$C1559)="","",INDEX(Bank!$D:$D,$C1559)),IF(INDEX(GL!$D:$D,$C1559)="","",INDEX(GL!$D:$D,$C1559))))</f>
        <v/>
      </c>
      <c r="G1559" s="19" t="str">
        <f aca="false">IF(C1559=0,"",IF($A1559="Bank",INDEX(Bank!$E:$E,$C1559),INDEX(GL!$E:$E,$C1559)))</f>
        <v/>
      </c>
      <c r="H1559" s="5" t="str">
        <f aca="false">IF(C1559=0,"",IF(A1559="GL",IF(G1559&gt;0,"Deposit in transit","Outstanding check / payment"),IF(G1559&gt;0,"Bank credit not in GL","Bank debit not in GL")))</f>
        <v/>
      </c>
      <c r="I1559" s="42" t="str">
        <f aca="false">IF(OR(C1559=0,CFG_PeriodEnd=""),"",CFG_PeriodEnd-D1559)</f>
        <v/>
      </c>
      <c r="J1559" s="5" t="str">
        <f aca="false">IF(C1559=0,"",IF($A1559="Bank",IF(INDEX(Bank!$G:$G,$C1559)="","",INDEX(Bank!$G:$G,$C1559)),IF(INDEX(GL!$G:$G,$C1559)="","",INDEX(GL!$G:$G,$C1559))))</f>
        <v/>
      </c>
      <c r="K1559" s="5" t="str">
        <f aca="false">IF(C1559=0,"",IF($A1559="Bank",IF(INDEX(Bank!$I:$I,$C1559)="","",INDEX(Bank!$I:$I,$C1559)),IF(INDEX(GL!$I:$I,$C1559)="","",INDEX(GL!$I:$I,$C1559))))</f>
        <v/>
      </c>
      <c r="L1559" s="5" t="str">
        <f aca="false">IF(B1559="","",IF(C1559=0,"NOT FOUND",IF(IF($A1559="Bank",INDEX(Bank!$F:$F,$C1559),INDEX(GL!$F:$F,$C1559))="Y","NOW RECONCILED: refresh","OK")))</f>
        <v/>
      </c>
    </row>
    <row r="1560" customFormat="false" ht="15" hidden="false" customHeight="false" outlineLevel="0" collapsed="false">
      <c r="A1560" s="41"/>
      <c r="B1560" s="41"/>
      <c r="C1560" s="5" t="n">
        <f aca="false">IF(B1560="",0,IF(A1560="Bank",IFERROR(MATCH(B1560,Bank!$A:$A,0),0),IFERROR(MATCH(B1560,GL!$A:$A,0),0)))</f>
        <v>0</v>
      </c>
      <c r="D1560" s="32" t="str">
        <f aca="false">IF(C1560=0,"",IF($A1560="Bank",INDEX(Bank!$B:$B,$C1560),INDEX(GL!$B:$B,$C1560)))</f>
        <v/>
      </c>
      <c r="E1560" s="5" t="str">
        <f aca="false">IF(C1560=0,"",IF($A1560="Bank",IF(INDEX(Bank!$C:$C,$C1560)="","",INDEX(Bank!$C:$C,$C1560)),IF(INDEX(GL!$C:$C,$C1560)="","",INDEX(GL!$C:$C,$C1560))))</f>
        <v/>
      </c>
      <c r="F1560" s="5" t="str">
        <f aca="false">IF(C1560=0,"",IF($A1560="Bank",IF(INDEX(Bank!$D:$D,$C1560)="","",INDEX(Bank!$D:$D,$C1560)),IF(INDEX(GL!$D:$D,$C1560)="","",INDEX(GL!$D:$D,$C1560))))</f>
        <v/>
      </c>
      <c r="G1560" s="19" t="str">
        <f aca="false">IF(C1560=0,"",IF($A1560="Bank",INDEX(Bank!$E:$E,$C1560),INDEX(GL!$E:$E,$C1560)))</f>
        <v/>
      </c>
      <c r="H1560" s="5" t="str">
        <f aca="false">IF(C1560=0,"",IF(A1560="GL",IF(G1560&gt;0,"Deposit in transit","Outstanding check / payment"),IF(G1560&gt;0,"Bank credit not in GL","Bank debit not in GL")))</f>
        <v/>
      </c>
      <c r="I1560" s="42" t="str">
        <f aca="false">IF(OR(C1560=0,CFG_PeriodEnd=""),"",CFG_PeriodEnd-D1560)</f>
        <v/>
      </c>
      <c r="J1560" s="5" t="str">
        <f aca="false">IF(C1560=0,"",IF($A1560="Bank",IF(INDEX(Bank!$G:$G,$C1560)="","",INDEX(Bank!$G:$G,$C1560)),IF(INDEX(GL!$G:$G,$C1560)="","",INDEX(GL!$G:$G,$C1560))))</f>
        <v/>
      </c>
      <c r="K1560" s="5" t="str">
        <f aca="false">IF(C1560=0,"",IF($A1560="Bank",IF(INDEX(Bank!$I:$I,$C1560)="","",INDEX(Bank!$I:$I,$C1560)),IF(INDEX(GL!$I:$I,$C1560)="","",INDEX(GL!$I:$I,$C1560))))</f>
        <v/>
      </c>
      <c r="L1560" s="5" t="str">
        <f aca="false">IF(B1560="","",IF(C1560=0,"NOT FOUND",IF(IF($A1560="Bank",INDEX(Bank!$F:$F,$C1560),INDEX(GL!$F:$F,$C1560))="Y","NOW RECONCILED: refresh","OK")))</f>
        <v/>
      </c>
    </row>
    <row r="1561" customFormat="false" ht="15" hidden="false" customHeight="false" outlineLevel="0" collapsed="false">
      <c r="A1561" s="41"/>
      <c r="B1561" s="41"/>
      <c r="C1561" s="5" t="n">
        <f aca="false">IF(B1561="",0,IF(A1561="Bank",IFERROR(MATCH(B1561,Bank!$A:$A,0),0),IFERROR(MATCH(B1561,GL!$A:$A,0),0)))</f>
        <v>0</v>
      </c>
      <c r="D1561" s="32" t="str">
        <f aca="false">IF(C1561=0,"",IF($A1561="Bank",INDEX(Bank!$B:$B,$C1561),INDEX(GL!$B:$B,$C1561)))</f>
        <v/>
      </c>
      <c r="E1561" s="5" t="str">
        <f aca="false">IF(C1561=0,"",IF($A1561="Bank",IF(INDEX(Bank!$C:$C,$C1561)="","",INDEX(Bank!$C:$C,$C1561)),IF(INDEX(GL!$C:$C,$C1561)="","",INDEX(GL!$C:$C,$C1561))))</f>
        <v/>
      </c>
      <c r="F1561" s="5" t="str">
        <f aca="false">IF(C1561=0,"",IF($A1561="Bank",IF(INDEX(Bank!$D:$D,$C1561)="","",INDEX(Bank!$D:$D,$C1561)),IF(INDEX(GL!$D:$D,$C1561)="","",INDEX(GL!$D:$D,$C1561))))</f>
        <v/>
      </c>
      <c r="G1561" s="19" t="str">
        <f aca="false">IF(C1561=0,"",IF($A1561="Bank",INDEX(Bank!$E:$E,$C1561),INDEX(GL!$E:$E,$C1561)))</f>
        <v/>
      </c>
      <c r="H1561" s="5" t="str">
        <f aca="false">IF(C1561=0,"",IF(A1561="GL",IF(G1561&gt;0,"Deposit in transit","Outstanding check / payment"),IF(G1561&gt;0,"Bank credit not in GL","Bank debit not in GL")))</f>
        <v/>
      </c>
      <c r="I1561" s="42" t="str">
        <f aca="false">IF(OR(C1561=0,CFG_PeriodEnd=""),"",CFG_PeriodEnd-D1561)</f>
        <v/>
      </c>
      <c r="J1561" s="5" t="str">
        <f aca="false">IF(C1561=0,"",IF($A1561="Bank",IF(INDEX(Bank!$G:$G,$C1561)="","",INDEX(Bank!$G:$G,$C1561)),IF(INDEX(GL!$G:$G,$C1561)="","",INDEX(GL!$G:$G,$C1561))))</f>
        <v/>
      </c>
      <c r="K1561" s="5" t="str">
        <f aca="false">IF(C1561=0,"",IF($A1561="Bank",IF(INDEX(Bank!$I:$I,$C1561)="","",INDEX(Bank!$I:$I,$C1561)),IF(INDEX(GL!$I:$I,$C1561)="","",INDEX(GL!$I:$I,$C1561))))</f>
        <v/>
      </c>
      <c r="L1561" s="5" t="str">
        <f aca="false">IF(B1561="","",IF(C1561=0,"NOT FOUND",IF(IF($A1561="Bank",INDEX(Bank!$F:$F,$C1561),INDEX(GL!$F:$F,$C1561))="Y","NOW RECONCILED: refresh","OK")))</f>
        <v/>
      </c>
    </row>
    <row r="1562" customFormat="false" ht="15" hidden="false" customHeight="false" outlineLevel="0" collapsed="false">
      <c r="A1562" s="41"/>
      <c r="B1562" s="41"/>
      <c r="C1562" s="5" t="n">
        <f aca="false">IF(B1562="",0,IF(A1562="Bank",IFERROR(MATCH(B1562,Bank!$A:$A,0),0),IFERROR(MATCH(B1562,GL!$A:$A,0),0)))</f>
        <v>0</v>
      </c>
      <c r="D1562" s="32" t="str">
        <f aca="false">IF(C1562=0,"",IF($A1562="Bank",INDEX(Bank!$B:$B,$C1562),INDEX(GL!$B:$B,$C1562)))</f>
        <v/>
      </c>
      <c r="E1562" s="5" t="str">
        <f aca="false">IF(C1562=0,"",IF($A1562="Bank",IF(INDEX(Bank!$C:$C,$C1562)="","",INDEX(Bank!$C:$C,$C1562)),IF(INDEX(GL!$C:$C,$C1562)="","",INDEX(GL!$C:$C,$C1562))))</f>
        <v/>
      </c>
      <c r="F1562" s="5" t="str">
        <f aca="false">IF(C1562=0,"",IF($A1562="Bank",IF(INDEX(Bank!$D:$D,$C1562)="","",INDEX(Bank!$D:$D,$C1562)),IF(INDEX(GL!$D:$D,$C1562)="","",INDEX(GL!$D:$D,$C1562))))</f>
        <v/>
      </c>
      <c r="G1562" s="19" t="str">
        <f aca="false">IF(C1562=0,"",IF($A1562="Bank",INDEX(Bank!$E:$E,$C1562),INDEX(GL!$E:$E,$C1562)))</f>
        <v/>
      </c>
      <c r="H1562" s="5" t="str">
        <f aca="false">IF(C1562=0,"",IF(A1562="GL",IF(G1562&gt;0,"Deposit in transit","Outstanding check / payment"),IF(G1562&gt;0,"Bank credit not in GL","Bank debit not in GL")))</f>
        <v/>
      </c>
      <c r="I1562" s="42" t="str">
        <f aca="false">IF(OR(C1562=0,CFG_PeriodEnd=""),"",CFG_PeriodEnd-D1562)</f>
        <v/>
      </c>
      <c r="J1562" s="5" t="str">
        <f aca="false">IF(C1562=0,"",IF($A1562="Bank",IF(INDEX(Bank!$G:$G,$C1562)="","",INDEX(Bank!$G:$G,$C1562)),IF(INDEX(GL!$G:$G,$C1562)="","",INDEX(GL!$G:$G,$C1562))))</f>
        <v/>
      </c>
      <c r="K1562" s="5" t="str">
        <f aca="false">IF(C1562=0,"",IF($A1562="Bank",IF(INDEX(Bank!$I:$I,$C1562)="","",INDEX(Bank!$I:$I,$C1562)),IF(INDEX(GL!$I:$I,$C1562)="","",INDEX(GL!$I:$I,$C1562))))</f>
        <v/>
      </c>
      <c r="L1562" s="5" t="str">
        <f aca="false">IF(B1562="","",IF(C1562=0,"NOT FOUND",IF(IF($A1562="Bank",INDEX(Bank!$F:$F,$C1562),INDEX(GL!$F:$F,$C1562))="Y","NOW RECONCILED: refresh","OK")))</f>
        <v/>
      </c>
    </row>
    <row r="1563" customFormat="false" ht="15" hidden="false" customHeight="false" outlineLevel="0" collapsed="false">
      <c r="A1563" s="41"/>
      <c r="B1563" s="41"/>
      <c r="C1563" s="5" t="n">
        <f aca="false">IF(B1563="",0,IF(A1563="Bank",IFERROR(MATCH(B1563,Bank!$A:$A,0),0),IFERROR(MATCH(B1563,GL!$A:$A,0),0)))</f>
        <v>0</v>
      </c>
      <c r="D1563" s="32" t="str">
        <f aca="false">IF(C1563=0,"",IF($A1563="Bank",INDEX(Bank!$B:$B,$C1563),INDEX(GL!$B:$B,$C1563)))</f>
        <v/>
      </c>
      <c r="E1563" s="5" t="str">
        <f aca="false">IF(C1563=0,"",IF($A1563="Bank",IF(INDEX(Bank!$C:$C,$C1563)="","",INDEX(Bank!$C:$C,$C1563)),IF(INDEX(GL!$C:$C,$C1563)="","",INDEX(GL!$C:$C,$C1563))))</f>
        <v/>
      </c>
      <c r="F1563" s="5" t="str">
        <f aca="false">IF(C1563=0,"",IF($A1563="Bank",IF(INDEX(Bank!$D:$D,$C1563)="","",INDEX(Bank!$D:$D,$C1563)),IF(INDEX(GL!$D:$D,$C1563)="","",INDEX(GL!$D:$D,$C1563))))</f>
        <v/>
      </c>
      <c r="G1563" s="19" t="str">
        <f aca="false">IF(C1563=0,"",IF($A1563="Bank",INDEX(Bank!$E:$E,$C1563),INDEX(GL!$E:$E,$C1563)))</f>
        <v/>
      </c>
      <c r="H1563" s="5" t="str">
        <f aca="false">IF(C1563=0,"",IF(A1563="GL",IF(G1563&gt;0,"Deposit in transit","Outstanding check / payment"),IF(G1563&gt;0,"Bank credit not in GL","Bank debit not in GL")))</f>
        <v/>
      </c>
      <c r="I1563" s="42" t="str">
        <f aca="false">IF(OR(C1563=0,CFG_PeriodEnd=""),"",CFG_PeriodEnd-D1563)</f>
        <v/>
      </c>
      <c r="J1563" s="5" t="str">
        <f aca="false">IF(C1563=0,"",IF($A1563="Bank",IF(INDEX(Bank!$G:$G,$C1563)="","",INDEX(Bank!$G:$G,$C1563)),IF(INDEX(GL!$G:$G,$C1563)="","",INDEX(GL!$G:$G,$C1563))))</f>
        <v/>
      </c>
      <c r="K1563" s="5" t="str">
        <f aca="false">IF(C1563=0,"",IF($A1563="Bank",IF(INDEX(Bank!$I:$I,$C1563)="","",INDEX(Bank!$I:$I,$C1563)),IF(INDEX(GL!$I:$I,$C1563)="","",INDEX(GL!$I:$I,$C1563))))</f>
        <v/>
      </c>
      <c r="L1563" s="5" t="str">
        <f aca="false">IF(B1563="","",IF(C1563=0,"NOT FOUND",IF(IF($A1563="Bank",INDEX(Bank!$F:$F,$C1563),INDEX(GL!$F:$F,$C1563))="Y","NOW RECONCILED: refresh","OK")))</f>
        <v/>
      </c>
    </row>
    <row r="1564" customFormat="false" ht="15" hidden="false" customHeight="false" outlineLevel="0" collapsed="false">
      <c r="A1564" s="41"/>
      <c r="B1564" s="41"/>
      <c r="C1564" s="5" t="n">
        <f aca="false">IF(B1564="",0,IF(A1564="Bank",IFERROR(MATCH(B1564,Bank!$A:$A,0),0),IFERROR(MATCH(B1564,GL!$A:$A,0),0)))</f>
        <v>0</v>
      </c>
      <c r="D1564" s="32" t="str">
        <f aca="false">IF(C1564=0,"",IF($A1564="Bank",INDEX(Bank!$B:$B,$C1564),INDEX(GL!$B:$B,$C1564)))</f>
        <v/>
      </c>
      <c r="E1564" s="5" t="str">
        <f aca="false">IF(C1564=0,"",IF($A1564="Bank",IF(INDEX(Bank!$C:$C,$C1564)="","",INDEX(Bank!$C:$C,$C1564)),IF(INDEX(GL!$C:$C,$C1564)="","",INDEX(GL!$C:$C,$C1564))))</f>
        <v/>
      </c>
      <c r="F1564" s="5" t="str">
        <f aca="false">IF(C1564=0,"",IF($A1564="Bank",IF(INDEX(Bank!$D:$D,$C1564)="","",INDEX(Bank!$D:$D,$C1564)),IF(INDEX(GL!$D:$D,$C1564)="","",INDEX(GL!$D:$D,$C1564))))</f>
        <v/>
      </c>
      <c r="G1564" s="19" t="str">
        <f aca="false">IF(C1564=0,"",IF($A1564="Bank",INDEX(Bank!$E:$E,$C1564),INDEX(GL!$E:$E,$C1564)))</f>
        <v/>
      </c>
      <c r="H1564" s="5" t="str">
        <f aca="false">IF(C1564=0,"",IF(A1564="GL",IF(G1564&gt;0,"Deposit in transit","Outstanding check / payment"),IF(G1564&gt;0,"Bank credit not in GL","Bank debit not in GL")))</f>
        <v/>
      </c>
      <c r="I1564" s="42" t="str">
        <f aca="false">IF(OR(C1564=0,CFG_PeriodEnd=""),"",CFG_PeriodEnd-D1564)</f>
        <v/>
      </c>
      <c r="J1564" s="5" t="str">
        <f aca="false">IF(C1564=0,"",IF($A1564="Bank",IF(INDEX(Bank!$G:$G,$C1564)="","",INDEX(Bank!$G:$G,$C1564)),IF(INDEX(GL!$G:$G,$C1564)="","",INDEX(GL!$G:$G,$C1564))))</f>
        <v/>
      </c>
      <c r="K1564" s="5" t="str">
        <f aca="false">IF(C1564=0,"",IF($A1564="Bank",IF(INDEX(Bank!$I:$I,$C1564)="","",INDEX(Bank!$I:$I,$C1564)),IF(INDEX(GL!$I:$I,$C1564)="","",INDEX(GL!$I:$I,$C1564))))</f>
        <v/>
      </c>
      <c r="L1564" s="5" t="str">
        <f aca="false">IF(B1564="","",IF(C1564=0,"NOT FOUND",IF(IF($A1564="Bank",INDEX(Bank!$F:$F,$C1564),INDEX(GL!$F:$F,$C1564))="Y","NOW RECONCILED: refresh","OK")))</f>
        <v/>
      </c>
    </row>
    <row r="1565" customFormat="false" ht="15" hidden="false" customHeight="false" outlineLevel="0" collapsed="false">
      <c r="A1565" s="41"/>
      <c r="B1565" s="41"/>
      <c r="C1565" s="5" t="n">
        <f aca="false">IF(B1565="",0,IF(A1565="Bank",IFERROR(MATCH(B1565,Bank!$A:$A,0),0),IFERROR(MATCH(B1565,GL!$A:$A,0),0)))</f>
        <v>0</v>
      </c>
      <c r="D1565" s="32" t="str">
        <f aca="false">IF(C1565=0,"",IF($A1565="Bank",INDEX(Bank!$B:$B,$C1565),INDEX(GL!$B:$B,$C1565)))</f>
        <v/>
      </c>
      <c r="E1565" s="5" t="str">
        <f aca="false">IF(C1565=0,"",IF($A1565="Bank",IF(INDEX(Bank!$C:$C,$C1565)="","",INDEX(Bank!$C:$C,$C1565)),IF(INDEX(GL!$C:$C,$C1565)="","",INDEX(GL!$C:$C,$C1565))))</f>
        <v/>
      </c>
      <c r="F1565" s="5" t="str">
        <f aca="false">IF(C1565=0,"",IF($A1565="Bank",IF(INDEX(Bank!$D:$D,$C1565)="","",INDEX(Bank!$D:$D,$C1565)),IF(INDEX(GL!$D:$D,$C1565)="","",INDEX(GL!$D:$D,$C1565))))</f>
        <v/>
      </c>
      <c r="G1565" s="19" t="str">
        <f aca="false">IF(C1565=0,"",IF($A1565="Bank",INDEX(Bank!$E:$E,$C1565),INDEX(GL!$E:$E,$C1565)))</f>
        <v/>
      </c>
      <c r="H1565" s="5" t="str">
        <f aca="false">IF(C1565=0,"",IF(A1565="GL",IF(G1565&gt;0,"Deposit in transit","Outstanding check / payment"),IF(G1565&gt;0,"Bank credit not in GL","Bank debit not in GL")))</f>
        <v/>
      </c>
      <c r="I1565" s="42" t="str">
        <f aca="false">IF(OR(C1565=0,CFG_PeriodEnd=""),"",CFG_PeriodEnd-D1565)</f>
        <v/>
      </c>
      <c r="J1565" s="5" t="str">
        <f aca="false">IF(C1565=0,"",IF($A1565="Bank",IF(INDEX(Bank!$G:$G,$C1565)="","",INDEX(Bank!$G:$G,$C1565)),IF(INDEX(GL!$G:$G,$C1565)="","",INDEX(GL!$G:$G,$C1565))))</f>
        <v/>
      </c>
      <c r="K1565" s="5" t="str">
        <f aca="false">IF(C1565=0,"",IF($A1565="Bank",IF(INDEX(Bank!$I:$I,$C1565)="","",INDEX(Bank!$I:$I,$C1565)),IF(INDEX(GL!$I:$I,$C1565)="","",INDEX(GL!$I:$I,$C1565))))</f>
        <v/>
      </c>
      <c r="L1565" s="5" t="str">
        <f aca="false">IF(B1565="","",IF(C1565=0,"NOT FOUND",IF(IF($A1565="Bank",INDEX(Bank!$F:$F,$C1565),INDEX(GL!$F:$F,$C1565))="Y","NOW RECONCILED: refresh","OK")))</f>
        <v/>
      </c>
    </row>
    <row r="1566" customFormat="false" ht="15" hidden="false" customHeight="false" outlineLevel="0" collapsed="false">
      <c r="A1566" s="41"/>
      <c r="B1566" s="41"/>
      <c r="C1566" s="5" t="n">
        <f aca="false">IF(B1566="",0,IF(A1566="Bank",IFERROR(MATCH(B1566,Bank!$A:$A,0),0),IFERROR(MATCH(B1566,GL!$A:$A,0),0)))</f>
        <v>0</v>
      </c>
      <c r="D1566" s="32" t="str">
        <f aca="false">IF(C1566=0,"",IF($A1566="Bank",INDEX(Bank!$B:$B,$C1566),INDEX(GL!$B:$B,$C1566)))</f>
        <v/>
      </c>
      <c r="E1566" s="5" t="str">
        <f aca="false">IF(C1566=0,"",IF($A1566="Bank",IF(INDEX(Bank!$C:$C,$C1566)="","",INDEX(Bank!$C:$C,$C1566)),IF(INDEX(GL!$C:$C,$C1566)="","",INDEX(GL!$C:$C,$C1566))))</f>
        <v/>
      </c>
      <c r="F1566" s="5" t="str">
        <f aca="false">IF(C1566=0,"",IF($A1566="Bank",IF(INDEX(Bank!$D:$D,$C1566)="","",INDEX(Bank!$D:$D,$C1566)),IF(INDEX(GL!$D:$D,$C1566)="","",INDEX(GL!$D:$D,$C1566))))</f>
        <v/>
      </c>
      <c r="G1566" s="19" t="str">
        <f aca="false">IF(C1566=0,"",IF($A1566="Bank",INDEX(Bank!$E:$E,$C1566),INDEX(GL!$E:$E,$C1566)))</f>
        <v/>
      </c>
      <c r="H1566" s="5" t="str">
        <f aca="false">IF(C1566=0,"",IF(A1566="GL",IF(G1566&gt;0,"Deposit in transit","Outstanding check / payment"),IF(G1566&gt;0,"Bank credit not in GL","Bank debit not in GL")))</f>
        <v/>
      </c>
      <c r="I1566" s="42" t="str">
        <f aca="false">IF(OR(C1566=0,CFG_PeriodEnd=""),"",CFG_PeriodEnd-D1566)</f>
        <v/>
      </c>
      <c r="J1566" s="5" t="str">
        <f aca="false">IF(C1566=0,"",IF($A1566="Bank",IF(INDEX(Bank!$G:$G,$C1566)="","",INDEX(Bank!$G:$G,$C1566)),IF(INDEX(GL!$G:$G,$C1566)="","",INDEX(GL!$G:$G,$C1566))))</f>
        <v/>
      </c>
      <c r="K1566" s="5" t="str">
        <f aca="false">IF(C1566=0,"",IF($A1566="Bank",IF(INDEX(Bank!$I:$I,$C1566)="","",INDEX(Bank!$I:$I,$C1566)),IF(INDEX(GL!$I:$I,$C1566)="","",INDEX(GL!$I:$I,$C1566))))</f>
        <v/>
      </c>
      <c r="L1566" s="5" t="str">
        <f aca="false">IF(B1566="","",IF(C1566=0,"NOT FOUND",IF(IF($A1566="Bank",INDEX(Bank!$F:$F,$C1566),INDEX(GL!$F:$F,$C1566))="Y","NOW RECONCILED: refresh","OK")))</f>
        <v/>
      </c>
    </row>
    <row r="1567" customFormat="false" ht="15" hidden="false" customHeight="false" outlineLevel="0" collapsed="false">
      <c r="A1567" s="41"/>
      <c r="B1567" s="41"/>
      <c r="C1567" s="5" t="n">
        <f aca="false">IF(B1567="",0,IF(A1567="Bank",IFERROR(MATCH(B1567,Bank!$A:$A,0),0),IFERROR(MATCH(B1567,GL!$A:$A,0),0)))</f>
        <v>0</v>
      </c>
      <c r="D1567" s="32" t="str">
        <f aca="false">IF(C1567=0,"",IF($A1567="Bank",INDEX(Bank!$B:$B,$C1567),INDEX(GL!$B:$B,$C1567)))</f>
        <v/>
      </c>
      <c r="E1567" s="5" t="str">
        <f aca="false">IF(C1567=0,"",IF($A1567="Bank",IF(INDEX(Bank!$C:$C,$C1567)="","",INDEX(Bank!$C:$C,$C1567)),IF(INDEX(GL!$C:$C,$C1567)="","",INDEX(GL!$C:$C,$C1567))))</f>
        <v/>
      </c>
      <c r="F1567" s="5" t="str">
        <f aca="false">IF(C1567=0,"",IF($A1567="Bank",IF(INDEX(Bank!$D:$D,$C1567)="","",INDEX(Bank!$D:$D,$C1567)),IF(INDEX(GL!$D:$D,$C1567)="","",INDEX(GL!$D:$D,$C1567))))</f>
        <v/>
      </c>
      <c r="G1567" s="19" t="str">
        <f aca="false">IF(C1567=0,"",IF($A1567="Bank",INDEX(Bank!$E:$E,$C1567),INDEX(GL!$E:$E,$C1567)))</f>
        <v/>
      </c>
      <c r="H1567" s="5" t="str">
        <f aca="false">IF(C1567=0,"",IF(A1567="GL",IF(G1567&gt;0,"Deposit in transit","Outstanding check / payment"),IF(G1567&gt;0,"Bank credit not in GL","Bank debit not in GL")))</f>
        <v/>
      </c>
      <c r="I1567" s="42" t="str">
        <f aca="false">IF(OR(C1567=0,CFG_PeriodEnd=""),"",CFG_PeriodEnd-D1567)</f>
        <v/>
      </c>
      <c r="J1567" s="5" t="str">
        <f aca="false">IF(C1567=0,"",IF($A1567="Bank",IF(INDEX(Bank!$G:$G,$C1567)="","",INDEX(Bank!$G:$G,$C1567)),IF(INDEX(GL!$G:$G,$C1567)="","",INDEX(GL!$G:$G,$C1567))))</f>
        <v/>
      </c>
      <c r="K1567" s="5" t="str">
        <f aca="false">IF(C1567=0,"",IF($A1567="Bank",IF(INDEX(Bank!$I:$I,$C1567)="","",INDEX(Bank!$I:$I,$C1567)),IF(INDEX(GL!$I:$I,$C1567)="","",INDEX(GL!$I:$I,$C1567))))</f>
        <v/>
      </c>
      <c r="L1567" s="5" t="str">
        <f aca="false">IF(B1567="","",IF(C1567=0,"NOT FOUND",IF(IF($A1567="Bank",INDEX(Bank!$F:$F,$C1567),INDEX(GL!$F:$F,$C1567))="Y","NOW RECONCILED: refresh","OK")))</f>
        <v/>
      </c>
    </row>
    <row r="1568" customFormat="false" ht="15" hidden="false" customHeight="false" outlineLevel="0" collapsed="false">
      <c r="A1568" s="41"/>
      <c r="B1568" s="41"/>
      <c r="C1568" s="5" t="n">
        <f aca="false">IF(B1568="",0,IF(A1568="Bank",IFERROR(MATCH(B1568,Bank!$A:$A,0),0),IFERROR(MATCH(B1568,GL!$A:$A,0),0)))</f>
        <v>0</v>
      </c>
      <c r="D1568" s="32" t="str">
        <f aca="false">IF(C1568=0,"",IF($A1568="Bank",INDEX(Bank!$B:$B,$C1568),INDEX(GL!$B:$B,$C1568)))</f>
        <v/>
      </c>
      <c r="E1568" s="5" t="str">
        <f aca="false">IF(C1568=0,"",IF($A1568="Bank",IF(INDEX(Bank!$C:$C,$C1568)="","",INDEX(Bank!$C:$C,$C1568)),IF(INDEX(GL!$C:$C,$C1568)="","",INDEX(GL!$C:$C,$C1568))))</f>
        <v/>
      </c>
      <c r="F1568" s="5" t="str">
        <f aca="false">IF(C1568=0,"",IF($A1568="Bank",IF(INDEX(Bank!$D:$D,$C1568)="","",INDEX(Bank!$D:$D,$C1568)),IF(INDEX(GL!$D:$D,$C1568)="","",INDEX(GL!$D:$D,$C1568))))</f>
        <v/>
      </c>
      <c r="G1568" s="19" t="str">
        <f aca="false">IF(C1568=0,"",IF($A1568="Bank",INDEX(Bank!$E:$E,$C1568),INDEX(GL!$E:$E,$C1568)))</f>
        <v/>
      </c>
      <c r="H1568" s="5" t="str">
        <f aca="false">IF(C1568=0,"",IF(A1568="GL",IF(G1568&gt;0,"Deposit in transit","Outstanding check / payment"),IF(G1568&gt;0,"Bank credit not in GL","Bank debit not in GL")))</f>
        <v/>
      </c>
      <c r="I1568" s="42" t="str">
        <f aca="false">IF(OR(C1568=0,CFG_PeriodEnd=""),"",CFG_PeriodEnd-D1568)</f>
        <v/>
      </c>
      <c r="J1568" s="5" t="str">
        <f aca="false">IF(C1568=0,"",IF($A1568="Bank",IF(INDEX(Bank!$G:$G,$C1568)="","",INDEX(Bank!$G:$G,$C1568)),IF(INDEX(GL!$G:$G,$C1568)="","",INDEX(GL!$G:$G,$C1568))))</f>
        <v/>
      </c>
      <c r="K1568" s="5" t="str">
        <f aca="false">IF(C1568=0,"",IF($A1568="Bank",IF(INDEX(Bank!$I:$I,$C1568)="","",INDEX(Bank!$I:$I,$C1568)),IF(INDEX(GL!$I:$I,$C1568)="","",INDEX(GL!$I:$I,$C1568))))</f>
        <v/>
      </c>
      <c r="L1568" s="5" t="str">
        <f aca="false">IF(B1568="","",IF(C1568=0,"NOT FOUND",IF(IF($A1568="Bank",INDEX(Bank!$F:$F,$C1568),INDEX(GL!$F:$F,$C1568))="Y","NOW RECONCILED: refresh","OK")))</f>
        <v/>
      </c>
    </row>
    <row r="1569" customFormat="false" ht="15" hidden="false" customHeight="false" outlineLevel="0" collapsed="false">
      <c r="A1569" s="41"/>
      <c r="B1569" s="41"/>
      <c r="C1569" s="5" t="n">
        <f aca="false">IF(B1569="",0,IF(A1569="Bank",IFERROR(MATCH(B1569,Bank!$A:$A,0),0),IFERROR(MATCH(B1569,GL!$A:$A,0),0)))</f>
        <v>0</v>
      </c>
      <c r="D1569" s="32" t="str">
        <f aca="false">IF(C1569=0,"",IF($A1569="Bank",INDEX(Bank!$B:$B,$C1569),INDEX(GL!$B:$B,$C1569)))</f>
        <v/>
      </c>
      <c r="E1569" s="5" t="str">
        <f aca="false">IF(C1569=0,"",IF($A1569="Bank",IF(INDEX(Bank!$C:$C,$C1569)="","",INDEX(Bank!$C:$C,$C1569)),IF(INDEX(GL!$C:$C,$C1569)="","",INDEX(GL!$C:$C,$C1569))))</f>
        <v/>
      </c>
      <c r="F1569" s="5" t="str">
        <f aca="false">IF(C1569=0,"",IF($A1569="Bank",IF(INDEX(Bank!$D:$D,$C1569)="","",INDEX(Bank!$D:$D,$C1569)),IF(INDEX(GL!$D:$D,$C1569)="","",INDEX(GL!$D:$D,$C1569))))</f>
        <v/>
      </c>
      <c r="G1569" s="19" t="str">
        <f aca="false">IF(C1569=0,"",IF($A1569="Bank",INDEX(Bank!$E:$E,$C1569),INDEX(GL!$E:$E,$C1569)))</f>
        <v/>
      </c>
      <c r="H1569" s="5" t="str">
        <f aca="false">IF(C1569=0,"",IF(A1569="GL",IF(G1569&gt;0,"Deposit in transit","Outstanding check / payment"),IF(G1569&gt;0,"Bank credit not in GL","Bank debit not in GL")))</f>
        <v/>
      </c>
      <c r="I1569" s="42" t="str">
        <f aca="false">IF(OR(C1569=0,CFG_PeriodEnd=""),"",CFG_PeriodEnd-D1569)</f>
        <v/>
      </c>
      <c r="J1569" s="5" t="str">
        <f aca="false">IF(C1569=0,"",IF($A1569="Bank",IF(INDEX(Bank!$G:$G,$C1569)="","",INDEX(Bank!$G:$G,$C1569)),IF(INDEX(GL!$G:$G,$C1569)="","",INDEX(GL!$G:$G,$C1569))))</f>
        <v/>
      </c>
      <c r="K1569" s="5" t="str">
        <f aca="false">IF(C1569=0,"",IF($A1569="Bank",IF(INDEX(Bank!$I:$I,$C1569)="","",INDEX(Bank!$I:$I,$C1569)),IF(INDEX(GL!$I:$I,$C1569)="","",INDEX(GL!$I:$I,$C1569))))</f>
        <v/>
      </c>
      <c r="L1569" s="5" t="str">
        <f aca="false">IF(B1569="","",IF(C1569=0,"NOT FOUND",IF(IF($A1569="Bank",INDEX(Bank!$F:$F,$C1569),INDEX(GL!$F:$F,$C1569))="Y","NOW RECONCILED: refresh","OK")))</f>
        <v/>
      </c>
    </row>
    <row r="1570" customFormat="false" ht="15" hidden="false" customHeight="false" outlineLevel="0" collapsed="false">
      <c r="A1570" s="41"/>
      <c r="B1570" s="41"/>
      <c r="C1570" s="5" t="n">
        <f aca="false">IF(B1570="",0,IF(A1570="Bank",IFERROR(MATCH(B1570,Bank!$A:$A,0),0),IFERROR(MATCH(B1570,GL!$A:$A,0),0)))</f>
        <v>0</v>
      </c>
      <c r="D1570" s="32" t="str">
        <f aca="false">IF(C1570=0,"",IF($A1570="Bank",INDEX(Bank!$B:$B,$C1570),INDEX(GL!$B:$B,$C1570)))</f>
        <v/>
      </c>
      <c r="E1570" s="5" t="str">
        <f aca="false">IF(C1570=0,"",IF($A1570="Bank",IF(INDEX(Bank!$C:$C,$C1570)="","",INDEX(Bank!$C:$C,$C1570)),IF(INDEX(GL!$C:$C,$C1570)="","",INDEX(GL!$C:$C,$C1570))))</f>
        <v/>
      </c>
      <c r="F1570" s="5" t="str">
        <f aca="false">IF(C1570=0,"",IF($A1570="Bank",IF(INDEX(Bank!$D:$D,$C1570)="","",INDEX(Bank!$D:$D,$C1570)),IF(INDEX(GL!$D:$D,$C1570)="","",INDEX(GL!$D:$D,$C1570))))</f>
        <v/>
      </c>
      <c r="G1570" s="19" t="str">
        <f aca="false">IF(C1570=0,"",IF($A1570="Bank",INDEX(Bank!$E:$E,$C1570),INDEX(GL!$E:$E,$C1570)))</f>
        <v/>
      </c>
      <c r="H1570" s="5" t="str">
        <f aca="false">IF(C1570=0,"",IF(A1570="GL",IF(G1570&gt;0,"Deposit in transit","Outstanding check / payment"),IF(G1570&gt;0,"Bank credit not in GL","Bank debit not in GL")))</f>
        <v/>
      </c>
      <c r="I1570" s="42" t="str">
        <f aca="false">IF(OR(C1570=0,CFG_PeriodEnd=""),"",CFG_PeriodEnd-D1570)</f>
        <v/>
      </c>
      <c r="J1570" s="5" t="str">
        <f aca="false">IF(C1570=0,"",IF($A1570="Bank",IF(INDEX(Bank!$G:$G,$C1570)="","",INDEX(Bank!$G:$G,$C1570)),IF(INDEX(GL!$G:$G,$C1570)="","",INDEX(GL!$G:$G,$C1570))))</f>
        <v/>
      </c>
      <c r="K1570" s="5" t="str">
        <f aca="false">IF(C1570=0,"",IF($A1570="Bank",IF(INDEX(Bank!$I:$I,$C1570)="","",INDEX(Bank!$I:$I,$C1570)),IF(INDEX(GL!$I:$I,$C1570)="","",INDEX(GL!$I:$I,$C1570))))</f>
        <v/>
      </c>
      <c r="L1570" s="5" t="str">
        <f aca="false">IF(B1570="","",IF(C1570=0,"NOT FOUND",IF(IF($A1570="Bank",INDEX(Bank!$F:$F,$C1570),INDEX(GL!$F:$F,$C1570))="Y","NOW RECONCILED: refresh","OK")))</f>
        <v/>
      </c>
    </row>
    <row r="1571" customFormat="false" ht="15" hidden="false" customHeight="false" outlineLevel="0" collapsed="false">
      <c r="A1571" s="41"/>
      <c r="B1571" s="41"/>
      <c r="C1571" s="5" t="n">
        <f aca="false">IF(B1571="",0,IF(A1571="Bank",IFERROR(MATCH(B1571,Bank!$A:$A,0),0),IFERROR(MATCH(B1571,GL!$A:$A,0),0)))</f>
        <v>0</v>
      </c>
      <c r="D1571" s="32" t="str">
        <f aca="false">IF(C1571=0,"",IF($A1571="Bank",INDEX(Bank!$B:$B,$C1571),INDEX(GL!$B:$B,$C1571)))</f>
        <v/>
      </c>
      <c r="E1571" s="5" t="str">
        <f aca="false">IF(C1571=0,"",IF($A1571="Bank",IF(INDEX(Bank!$C:$C,$C1571)="","",INDEX(Bank!$C:$C,$C1571)),IF(INDEX(GL!$C:$C,$C1571)="","",INDEX(GL!$C:$C,$C1571))))</f>
        <v/>
      </c>
      <c r="F1571" s="5" t="str">
        <f aca="false">IF(C1571=0,"",IF($A1571="Bank",IF(INDEX(Bank!$D:$D,$C1571)="","",INDEX(Bank!$D:$D,$C1571)),IF(INDEX(GL!$D:$D,$C1571)="","",INDEX(GL!$D:$D,$C1571))))</f>
        <v/>
      </c>
      <c r="G1571" s="19" t="str">
        <f aca="false">IF(C1571=0,"",IF($A1571="Bank",INDEX(Bank!$E:$E,$C1571),INDEX(GL!$E:$E,$C1571)))</f>
        <v/>
      </c>
      <c r="H1571" s="5" t="str">
        <f aca="false">IF(C1571=0,"",IF(A1571="GL",IF(G1571&gt;0,"Deposit in transit","Outstanding check / payment"),IF(G1571&gt;0,"Bank credit not in GL","Bank debit not in GL")))</f>
        <v/>
      </c>
      <c r="I1571" s="42" t="str">
        <f aca="false">IF(OR(C1571=0,CFG_PeriodEnd=""),"",CFG_PeriodEnd-D1571)</f>
        <v/>
      </c>
      <c r="J1571" s="5" t="str">
        <f aca="false">IF(C1571=0,"",IF($A1571="Bank",IF(INDEX(Bank!$G:$G,$C1571)="","",INDEX(Bank!$G:$G,$C1571)),IF(INDEX(GL!$G:$G,$C1571)="","",INDEX(GL!$G:$G,$C1571))))</f>
        <v/>
      </c>
      <c r="K1571" s="5" t="str">
        <f aca="false">IF(C1571=0,"",IF($A1571="Bank",IF(INDEX(Bank!$I:$I,$C1571)="","",INDEX(Bank!$I:$I,$C1571)),IF(INDEX(GL!$I:$I,$C1571)="","",INDEX(GL!$I:$I,$C1571))))</f>
        <v/>
      </c>
      <c r="L1571" s="5" t="str">
        <f aca="false">IF(B1571="","",IF(C1571=0,"NOT FOUND",IF(IF($A1571="Bank",INDEX(Bank!$F:$F,$C1571),INDEX(GL!$F:$F,$C1571))="Y","NOW RECONCILED: refresh","OK")))</f>
        <v/>
      </c>
    </row>
    <row r="1572" customFormat="false" ht="15" hidden="false" customHeight="false" outlineLevel="0" collapsed="false">
      <c r="A1572" s="41"/>
      <c r="B1572" s="41"/>
      <c r="C1572" s="5" t="n">
        <f aca="false">IF(B1572="",0,IF(A1572="Bank",IFERROR(MATCH(B1572,Bank!$A:$A,0),0),IFERROR(MATCH(B1572,GL!$A:$A,0),0)))</f>
        <v>0</v>
      </c>
      <c r="D1572" s="32" t="str">
        <f aca="false">IF(C1572=0,"",IF($A1572="Bank",INDEX(Bank!$B:$B,$C1572),INDEX(GL!$B:$B,$C1572)))</f>
        <v/>
      </c>
      <c r="E1572" s="5" t="str">
        <f aca="false">IF(C1572=0,"",IF($A1572="Bank",IF(INDEX(Bank!$C:$C,$C1572)="","",INDEX(Bank!$C:$C,$C1572)),IF(INDEX(GL!$C:$C,$C1572)="","",INDEX(GL!$C:$C,$C1572))))</f>
        <v/>
      </c>
      <c r="F1572" s="5" t="str">
        <f aca="false">IF(C1572=0,"",IF($A1572="Bank",IF(INDEX(Bank!$D:$D,$C1572)="","",INDEX(Bank!$D:$D,$C1572)),IF(INDEX(GL!$D:$D,$C1572)="","",INDEX(GL!$D:$D,$C1572))))</f>
        <v/>
      </c>
      <c r="G1572" s="19" t="str">
        <f aca="false">IF(C1572=0,"",IF($A1572="Bank",INDEX(Bank!$E:$E,$C1572),INDEX(GL!$E:$E,$C1572)))</f>
        <v/>
      </c>
      <c r="H1572" s="5" t="str">
        <f aca="false">IF(C1572=0,"",IF(A1572="GL",IF(G1572&gt;0,"Deposit in transit","Outstanding check / payment"),IF(G1572&gt;0,"Bank credit not in GL","Bank debit not in GL")))</f>
        <v/>
      </c>
      <c r="I1572" s="42" t="str">
        <f aca="false">IF(OR(C1572=0,CFG_PeriodEnd=""),"",CFG_PeriodEnd-D1572)</f>
        <v/>
      </c>
      <c r="J1572" s="5" t="str">
        <f aca="false">IF(C1572=0,"",IF($A1572="Bank",IF(INDEX(Bank!$G:$G,$C1572)="","",INDEX(Bank!$G:$G,$C1572)),IF(INDEX(GL!$G:$G,$C1572)="","",INDEX(GL!$G:$G,$C1572))))</f>
        <v/>
      </c>
      <c r="K1572" s="5" t="str">
        <f aca="false">IF(C1572=0,"",IF($A1572="Bank",IF(INDEX(Bank!$I:$I,$C1572)="","",INDEX(Bank!$I:$I,$C1572)),IF(INDEX(GL!$I:$I,$C1572)="","",INDEX(GL!$I:$I,$C1572))))</f>
        <v/>
      </c>
      <c r="L1572" s="5" t="str">
        <f aca="false">IF(B1572="","",IF(C1572=0,"NOT FOUND",IF(IF($A1572="Bank",INDEX(Bank!$F:$F,$C1572),INDEX(GL!$F:$F,$C1572))="Y","NOW RECONCILED: refresh","OK")))</f>
        <v/>
      </c>
    </row>
    <row r="1573" customFormat="false" ht="15" hidden="false" customHeight="false" outlineLevel="0" collapsed="false">
      <c r="A1573" s="41"/>
      <c r="B1573" s="41"/>
      <c r="C1573" s="5" t="n">
        <f aca="false">IF(B1573="",0,IF(A1573="Bank",IFERROR(MATCH(B1573,Bank!$A:$A,0),0),IFERROR(MATCH(B1573,GL!$A:$A,0),0)))</f>
        <v>0</v>
      </c>
      <c r="D1573" s="32" t="str">
        <f aca="false">IF(C1573=0,"",IF($A1573="Bank",INDEX(Bank!$B:$B,$C1573),INDEX(GL!$B:$B,$C1573)))</f>
        <v/>
      </c>
      <c r="E1573" s="5" t="str">
        <f aca="false">IF(C1573=0,"",IF($A1573="Bank",IF(INDEX(Bank!$C:$C,$C1573)="","",INDEX(Bank!$C:$C,$C1573)),IF(INDEX(GL!$C:$C,$C1573)="","",INDEX(GL!$C:$C,$C1573))))</f>
        <v/>
      </c>
      <c r="F1573" s="5" t="str">
        <f aca="false">IF(C1573=0,"",IF($A1573="Bank",IF(INDEX(Bank!$D:$D,$C1573)="","",INDEX(Bank!$D:$D,$C1573)),IF(INDEX(GL!$D:$D,$C1573)="","",INDEX(GL!$D:$D,$C1573))))</f>
        <v/>
      </c>
      <c r="G1573" s="19" t="str">
        <f aca="false">IF(C1573=0,"",IF($A1573="Bank",INDEX(Bank!$E:$E,$C1573),INDEX(GL!$E:$E,$C1573)))</f>
        <v/>
      </c>
      <c r="H1573" s="5" t="str">
        <f aca="false">IF(C1573=0,"",IF(A1573="GL",IF(G1573&gt;0,"Deposit in transit","Outstanding check / payment"),IF(G1573&gt;0,"Bank credit not in GL","Bank debit not in GL")))</f>
        <v/>
      </c>
      <c r="I1573" s="42" t="str">
        <f aca="false">IF(OR(C1573=0,CFG_PeriodEnd=""),"",CFG_PeriodEnd-D1573)</f>
        <v/>
      </c>
      <c r="J1573" s="5" t="str">
        <f aca="false">IF(C1573=0,"",IF($A1573="Bank",IF(INDEX(Bank!$G:$G,$C1573)="","",INDEX(Bank!$G:$G,$C1573)),IF(INDEX(GL!$G:$G,$C1573)="","",INDEX(GL!$G:$G,$C1573))))</f>
        <v/>
      </c>
      <c r="K1573" s="5" t="str">
        <f aca="false">IF(C1573=0,"",IF($A1573="Bank",IF(INDEX(Bank!$I:$I,$C1573)="","",INDEX(Bank!$I:$I,$C1573)),IF(INDEX(GL!$I:$I,$C1573)="","",INDEX(GL!$I:$I,$C1573))))</f>
        <v/>
      </c>
      <c r="L1573" s="5" t="str">
        <f aca="false">IF(B1573="","",IF(C1573=0,"NOT FOUND",IF(IF($A1573="Bank",INDEX(Bank!$F:$F,$C1573),INDEX(GL!$F:$F,$C1573))="Y","NOW RECONCILED: refresh","OK")))</f>
        <v/>
      </c>
    </row>
    <row r="1574" customFormat="false" ht="15" hidden="false" customHeight="false" outlineLevel="0" collapsed="false">
      <c r="A1574" s="41"/>
      <c r="B1574" s="41"/>
      <c r="C1574" s="5" t="n">
        <f aca="false">IF(B1574="",0,IF(A1574="Bank",IFERROR(MATCH(B1574,Bank!$A:$A,0),0),IFERROR(MATCH(B1574,GL!$A:$A,0),0)))</f>
        <v>0</v>
      </c>
      <c r="D1574" s="32" t="str">
        <f aca="false">IF(C1574=0,"",IF($A1574="Bank",INDEX(Bank!$B:$B,$C1574),INDEX(GL!$B:$B,$C1574)))</f>
        <v/>
      </c>
      <c r="E1574" s="5" t="str">
        <f aca="false">IF(C1574=0,"",IF($A1574="Bank",IF(INDEX(Bank!$C:$C,$C1574)="","",INDEX(Bank!$C:$C,$C1574)),IF(INDEX(GL!$C:$C,$C1574)="","",INDEX(GL!$C:$C,$C1574))))</f>
        <v/>
      </c>
      <c r="F1574" s="5" t="str">
        <f aca="false">IF(C1574=0,"",IF($A1574="Bank",IF(INDEX(Bank!$D:$D,$C1574)="","",INDEX(Bank!$D:$D,$C1574)),IF(INDEX(GL!$D:$D,$C1574)="","",INDEX(GL!$D:$D,$C1574))))</f>
        <v/>
      </c>
      <c r="G1574" s="19" t="str">
        <f aca="false">IF(C1574=0,"",IF($A1574="Bank",INDEX(Bank!$E:$E,$C1574),INDEX(GL!$E:$E,$C1574)))</f>
        <v/>
      </c>
      <c r="H1574" s="5" t="str">
        <f aca="false">IF(C1574=0,"",IF(A1574="GL",IF(G1574&gt;0,"Deposit in transit","Outstanding check / payment"),IF(G1574&gt;0,"Bank credit not in GL","Bank debit not in GL")))</f>
        <v/>
      </c>
      <c r="I1574" s="42" t="str">
        <f aca="false">IF(OR(C1574=0,CFG_PeriodEnd=""),"",CFG_PeriodEnd-D1574)</f>
        <v/>
      </c>
      <c r="J1574" s="5" t="str">
        <f aca="false">IF(C1574=0,"",IF($A1574="Bank",IF(INDEX(Bank!$G:$G,$C1574)="","",INDEX(Bank!$G:$G,$C1574)),IF(INDEX(GL!$G:$G,$C1574)="","",INDEX(GL!$G:$G,$C1574))))</f>
        <v/>
      </c>
      <c r="K1574" s="5" t="str">
        <f aca="false">IF(C1574=0,"",IF($A1574="Bank",IF(INDEX(Bank!$I:$I,$C1574)="","",INDEX(Bank!$I:$I,$C1574)),IF(INDEX(GL!$I:$I,$C1574)="","",INDEX(GL!$I:$I,$C1574))))</f>
        <v/>
      </c>
      <c r="L1574" s="5" t="str">
        <f aca="false">IF(B1574="","",IF(C1574=0,"NOT FOUND",IF(IF($A1574="Bank",INDEX(Bank!$F:$F,$C1574),INDEX(GL!$F:$F,$C1574))="Y","NOW RECONCILED: refresh","OK")))</f>
        <v/>
      </c>
    </row>
    <row r="1575" customFormat="false" ht="15" hidden="false" customHeight="false" outlineLevel="0" collapsed="false">
      <c r="A1575" s="41"/>
      <c r="B1575" s="41"/>
      <c r="C1575" s="5" t="n">
        <f aca="false">IF(B1575="",0,IF(A1575="Bank",IFERROR(MATCH(B1575,Bank!$A:$A,0),0),IFERROR(MATCH(B1575,GL!$A:$A,0),0)))</f>
        <v>0</v>
      </c>
      <c r="D1575" s="32" t="str">
        <f aca="false">IF(C1575=0,"",IF($A1575="Bank",INDEX(Bank!$B:$B,$C1575),INDEX(GL!$B:$B,$C1575)))</f>
        <v/>
      </c>
      <c r="E1575" s="5" t="str">
        <f aca="false">IF(C1575=0,"",IF($A1575="Bank",IF(INDEX(Bank!$C:$C,$C1575)="","",INDEX(Bank!$C:$C,$C1575)),IF(INDEX(GL!$C:$C,$C1575)="","",INDEX(GL!$C:$C,$C1575))))</f>
        <v/>
      </c>
      <c r="F1575" s="5" t="str">
        <f aca="false">IF(C1575=0,"",IF($A1575="Bank",IF(INDEX(Bank!$D:$D,$C1575)="","",INDEX(Bank!$D:$D,$C1575)),IF(INDEX(GL!$D:$D,$C1575)="","",INDEX(GL!$D:$D,$C1575))))</f>
        <v/>
      </c>
      <c r="G1575" s="19" t="str">
        <f aca="false">IF(C1575=0,"",IF($A1575="Bank",INDEX(Bank!$E:$E,$C1575),INDEX(GL!$E:$E,$C1575)))</f>
        <v/>
      </c>
      <c r="H1575" s="5" t="str">
        <f aca="false">IF(C1575=0,"",IF(A1575="GL",IF(G1575&gt;0,"Deposit in transit","Outstanding check / payment"),IF(G1575&gt;0,"Bank credit not in GL","Bank debit not in GL")))</f>
        <v/>
      </c>
      <c r="I1575" s="42" t="str">
        <f aca="false">IF(OR(C1575=0,CFG_PeriodEnd=""),"",CFG_PeriodEnd-D1575)</f>
        <v/>
      </c>
      <c r="J1575" s="5" t="str">
        <f aca="false">IF(C1575=0,"",IF($A1575="Bank",IF(INDEX(Bank!$G:$G,$C1575)="","",INDEX(Bank!$G:$G,$C1575)),IF(INDEX(GL!$G:$G,$C1575)="","",INDEX(GL!$G:$G,$C1575))))</f>
        <v/>
      </c>
      <c r="K1575" s="5" t="str">
        <f aca="false">IF(C1575=0,"",IF($A1575="Bank",IF(INDEX(Bank!$I:$I,$C1575)="","",INDEX(Bank!$I:$I,$C1575)),IF(INDEX(GL!$I:$I,$C1575)="","",INDEX(GL!$I:$I,$C1575))))</f>
        <v/>
      </c>
      <c r="L1575" s="5" t="str">
        <f aca="false">IF(B1575="","",IF(C1575=0,"NOT FOUND",IF(IF($A1575="Bank",INDEX(Bank!$F:$F,$C1575),INDEX(GL!$F:$F,$C1575))="Y","NOW RECONCILED: refresh","OK")))</f>
        <v/>
      </c>
    </row>
    <row r="1576" customFormat="false" ht="15" hidden="false" customHeight="false" outlineLevel="0" collapsed="false">
      <c r="A1576" s="41"/>
      <c r="B1576" s="41"/>
      <c r="C1576" s="5" t="n">
        <f aca="false">IF(B1576="",0,IF(A1576="Bank",IFERROR(MATCH(B1576,Bank!$A:$A,0),0),IFERROR(MATCH(B1576,GL!$A:$A,0),0)))</f>
        <v>0</v>
      </c>
      <c r="D1576" s="32" t="str">
        <f aca="false">IF(C1576=0,"",IF($A1576="Bank",INDEX(Bank!$B:$B,$C1576),INDEX(GL!$B:$B,$C1576)))</f>
        <v/>
      </c>
      <c r="E1576" s="5" t="str">
        <f aca="false">IF(C1576=0,"",IF($A1576="Bank",IF(INDEX(Bank!$C:$C,$C1576)="","",INDEX(Bank!$C:$C,$C1576)),IF(INDEX(GL!$C:$C,$C1576)="","",INDEX(GL!$C:$C,$C1576))))</f>
        <v/>
      </c>
      <c r="F1576" s="5" t="str">
        <f aca="false">IF(C1576=0,"",IF($A1576="Bank",IF(INDEX(Bank!$D:$D,$C1576)="","",INDEX(Bank!$D:$D,$C1576)),IF(INDEX(GL!$D:$D,$C1576)="","",INDEX(GL!$D:$D,$C1576))))</f>
        <v/>
      </c>
      <c r="G1576" s="19" t="str">
        <f aca="false">IF(C1576=0,"",IF($A1576="Bank",INDEX(Bank!$E:$E,$C1576),INDEX(GL!$E:$E,$C1576)))</f>
        <v/>
      </c>
      <c r="H1576" s="5" t="str">
        <f aca="false">IF(C1576=0,"",IF(A1576="GL",IF(G1576&gt;0,"Deposit in transit","Outstanding check / payment"),IF(G1576&gt;0,"Bank credit not in GL","Bank debit not in GL")))</f>
        <v/>
      </c>
      <c r="I1576" s="42" t="str">
        <f aca="false">IF(OR(C1576=0,CFG_PeriodEnd=""),"",CFG_PeriodEnd-D1576)</f>
        <v/>
      </c>
      <c r="J1576" s="5" t="str">
        <f aca="false">IF(C1576=0,"",IF($A1576="Bank",IF(INDEX(Bank!$G:$G,$C1576)="","",INDEX(Bank!$G:$G,$C1576)),IF(INDEX(GL!$G:$G,$C1576)="","",INDEX(GL!$G:$G,$C1576))))</f>
        <v/>
      </c>
      <c r="K1576" s="5" t="str">
        <f aca="false">IF(C1576=0,"",IF($A1576="Bank",IF(INDEX(Bank!$I:$I,$C1576)="","",INDEX(Bank!$I:$I,$C1576)),IF(INDEX(GL!$I:$I,$C1576)="","",INDEX(GL!$I:$I,$C1576))))</f>
        <v/>
      </c>
      <c r="L1576" s="5" t="str">
        <f aca="false">IF(B1576="","",IF(C1576=0,"NOT FOUND",IF(IF($A1576="Bank",INDEX(Bank!$F:$F,$C1576),INDEX(GL!$F:$F,$C1576))="Y","NOW RECONCILED: refresh","OK")))</f>
        <v/>
      </c>
    </row>
    <row r="1577" customFormat="false" ht="15" hidden="false" customHeight="false" outlineLevel="0" collapsed="false">
      <c r="A1577" s="41"/>
      <c r="B1577" s="41"/>
      <c r="C1577" s="5" t="n">
        <f aca="false">IF(B1577="",0,IF(A1577="Bank",IFERROR(MATCH(B1577,Bank!$A:$A,0),0),IFERROR(MATCH(B1577,GL!$A:$A,0),0)))</f>
        <v>0</v>
      </c>
      <c r="D1577" s="32" t="str">
        <f aca="false">IF(C1577=0,"",IF($A1577="Bank",INDEX(Bank!$B:$B,$C1577),INDEX(GL!$B:$B,$C1577)))</f>
        <v/>
      </c>
      <c r="E1577" s="5" t="str">
        <f aca="false">IF(C1577=0,"",IF($A1577="Bank",IF(INDEX(Bank!$C:$C,$C1577)="","",INDEX(Bank!$C:$C,$C1577)),IF(INDEX(GL!$C:$C,$C1577)="","",INDEX(GL!$C:$C,$C1577))))</f>
        <v/>
      </c>
      <c r="F1577" s="5" t="str">
        <f aca="false">IF(C1577=0,"",IF($A1577="Bank",IF(INDEX(Bank!$D:$D,$C1577)="","",INDEX(Bank!$D:$D,$C1577)),IF(INDEX(GL!$D:$D,$C1577)="","",INDEX(GL!$D:$D,$C1577))))</f>
        <v/>
      </c>
      <c r="G1577" s="19" t="str">
        <f aca="false">IF(C1577=0,"",IF($A1577="Bank",INDEX(Bank!$E:$E,$C1577),INDEX(GL!$E:$E,$C1577)))</f>
        <v/>
      </c>
      <c r="H1577" s="5" t="str">
        <f aca="false">IF(C1577=0,"",IF(A1577="GL",IF(G1577&gt;0,"Deposit in transit","Outstanding check / payment"),IF(G1577&gt;0,"Bank credit not in GL","Bank debit not in GL")))</f>
        <v/>
      </c>
      <c r="I1577" s="42" t="str">
        <f aca="false">IF(OR(C1577=0,CFG_PeriodEnd=""),"",CFG_PeriodEnd-D1577)</f>
        <v/>
      </c>
      <c r="J1577" s="5" t="str">
        <f aca="false">IF(C1577=0,"",IF($A1577="Bank",IF(INDEX(Bank!$G:$G,$C1577)="","",INDEX(Bank!$G:$G,$C1577)),IF(INDEX(GL!$G:$G,$C1577)="","",INDEX(GL!$G:$G,$C1577))))</f>
        <v/>
      </c>
      <c r="K1577" s="5" t="str">
        <f aca="false">IF(C1577=0,"",IF($A1577="Bank",IF(INDEX(Bank!$I:$I,$C1577)="","",INDEX(Bank!$I:$I,$C1577)),IF(INDEX(GL!$I:$I,$C1577)="","",INDEX(GL!$I:$I,$C1577))))</f>
        <v/>
      </c>
      <c r="L1577" s="5" t="str">
        <f aca="false">IF(B1577="","",IF(C1577=0,"NOT FOUND",IF(IF($A1577="Bank",INDEX(Bank!$F:$F,$C1577),INDEX(GL!$F:$F,$C1577))="Y","NOW RECONCILED: refresh","OK")))</f>
        <v/>
      </c>
    </row>
    <row r="1578" customFormat="false" ht="15" hidden="false" customHeight="false" outlineLevel="0" collapsed="false">
      <c r="A1578" s="41"/>
      <c r="B1578" s="41"/>
      <c r="C1578" s="5" t="n">
        <f aca="false">IF(B1578="",0,IF(A1578="Bank",IFERROR(MATCH(B1578,Bank!$A:$A,0),0),IFERROR(MATCH(B1578,GL!$A:$A,0),0)))</f>
        <v>0</v>
      </c>
      <c r="D1578" s="32" t="str">
        <f aca="false">IF(C1578=0,"",IF($A1578="Bank",INDEX(Bank!$B:$B,$C1578),INDEX(GL!$B:$B,$C1578)))</f>
        <v/>
      </c>
      <c r="E1578" s="5" t="str">
        <f aca="false">IF(C1578=0,"",IF($A1578="Bank",IF(INDEX(Bank!$C:$C,$C1578)="","",INDEX(Bank!$C:$C,$C1578)),IF(INDEX(GL!$C:$C,$C1578)="","",INDEX(GL!$C:$C,$C1578))))</f>
        <v/>
      </c>
      <c r="F1578" s="5" t="str">
        <f aca="false">IF(C1578=0,"",IF($A1578="Bank",IF(INDEX(Bank!$D:$D,$C1578)="","",INDEX(Bank!$D:$D,$C1578)),IF(INDEX(GL!$D:$D,$C1578)="","",INDEX(GL!$D:$D,$C1578))))</f>
        <v/>
      </c>
      <c r="G1578" s="19" t="str">
        <f aca="false">IF(C1578=0,"",IF($A1578="Bank",INDEX(Bank!$E:$E,$C1578),INDEX(GL!$E:$E,$C1578)))</f>
        <v/>
      </c>
      <c r="H1578" s="5" t="str">
        <f aca="false">IF(C1578=0,"",IF(A1578="GL",IF(G1578&gt;0,"Deposit in transit","Outstanding check / payment"),IF(G1578&gt;0,"Bank credit not in GL","Bank debit not in GL")))</f>
        <v/>
      </c>
      <c r="I1578" s="42" t="str">
        <f aca="false">IF(OR(C1578=0,CFG_PeriodEnd=""),"",CFG_PeriodEnd-D1578)</f>
        <v/>
      </c>
      <c r="J1578" s="5" t="str">
        <f aca="false">IF(C1578=0,"",IF($A1578="Bank",IF(INDEX(Bank!$G:$G,$C1578)="","",INDEX(Bank!$G:$G,$C1578)),IF(INDEX(GL!$G:$G,$C1578)="","",INDEX(GL!$G:$G,$C1578))))</f>
        <v/>
      </c>
      <c r="K1578" s="5" t="str">
        <f aca="false">IF(C1578=0,"",IF($A1578="Bank",IF(INDEX(Bank!$I:$I,$C1578)="","",INDEX(Bank!$I:$I,$C1578)),IF(INDEX(GL!$I:$I,$C1578)="","",INDEX(GL!$I:$I,$C1578))))</f>
        <v/>
      </c>
      <c r="L1578" s="5" t="str">
        <f aca="false">IF(B1578="","",IF(C1578=0,"NOT FOUND",IF(IF($A1578="Bank",INDEX(Bank!$F:$F,$C1578),INDEX(GL!$F:$F,$C1578))="Y","NOW RECONCILED: refresh","OK")))</f>
        <v/>
      </c>
    </row>
    <row r="1579" customFormat="false" ht="15" hidden="false" customHeight="false" outlineLevel="0" collapsed="false">
      <c r="A1579" s="41"/>
      <c r="B1579" s="41"/>
      <c r="C1579" s="5" t="n">
        <f aca="false">IF(B1579="",0,IF(A1579="Bank",IFERROR(MATCH(B1579,Bank!$A:$A,0),0),IFERROR(MATCH(B1579,GL!$A:$A,0),0)))</f>
        <v>0</v>
      </c>
      <c r="D1579" s="32" t="str">
        <f aca="false">IF(C1579=0,"",IF($A1579="Bank",INDEX(Bank!$B:$B,$C1579),INDEX(GL!$B:$B,$C1579)))</f>
        <v/>
      </c>
      <c r="E1579" s="5" t="str">
        <f aca="false">IF(C1579=0,"",IF($A1579="Bank",IF(INDEX(Bank!$C:$C,$C1579)="","",INDEX(Bank!$C:$C,$C1579)),IF(INDEX(GL!$C:$C,$C1579)="","",INDEX(GL!$C:$C,$C1579))))</f>
        <v/>
      </c>
      <c r="F1579" s="5" t="str">
        <f aca="false">IF(C1579=0,"",IF($A1579="Bank",IF(INDEX(Bank!$D:$D,$C1579)="","",INDEX(Bank!$D:$D,$C1579)),IF(INDEX(GL!$D:$D,$C1579)="","",INDEX(GL!$D:$D,$C1579))))</f>
        <v/>
      </c>
      <c r="G1579" s="19" t="str">
        <f aca="false">IF(C1579=0,"",IF($A1579="Bank",INDEX(Bank!$E:$E,$C1579),INDEX(GL!$E:$E,$C1579)))</f>
        <v/>
      </c>
      <c r="H1579" s="5" t="str">
        <f aca="false">IF(C1579=0,"",IF(A1579="GL",IF(G1579&gt;0,"Deposit in transit","Outstanding check / payment"),IF(G1579&gt;0,"Bank credit not in GL","Bank debit not in GL")))</f>
        <v/>
      </c>
      <c r="I1579" s="42" t="str">
        <f aca="false">IF(OR(C1579=0,CFG_PeriodEnd=""),"",CFG_PeriodEnd-D1579)</f>
        <v/>
      </c>
      <c r="J1579" s="5" t="str">
        <f aca="false">IF(C1579=0,"",IF($A1579="Bank",IF(INDEX(Bank!$G:$G,$C1579)="","",INDEX(Bank!$G:$G,$C1579)),IF(INDEX(GL!$G:$G,$C1579)="","",INDEX(GL!$G:$G,$C1579))))</f>
        <v/>
      </c>
      <c r="K1579" s="5" t="str">
        <f aca="false">IF(C1579=0,"",IF($A1579="Bank",IF(INDEX(Bank!$I:$I,$C1579)="","",INDEX(Bank!$I:$I,$C1579)),IF(INDEX(GL!$I:$I,$C1579)="","",INDEX(GL!$I:$I,$C1579))))</f>
        <v/>
      </c>
      <c r="L1579" s="5" t="str">
        <f aca="false">IF(B1579="","",IF(C1579=0,"NOT FOUND",IF(IF($A1579="Bank",INDEX(Bank!$F:$F,$C1579),INDEX(GL!$F:$F,$C1579))="Y","NOW RECONCILED: refresh","OK")))</f>
        <v/>
      </c>
    </row>
    <row r="1580" customFormat="false" ht="15" hidden="false" customHeight="false" outlineLevel="0" collapsed="false">
      <c r="A1580" s="41"/>
      <c r="B1580" s="41"/>
      <c r="C1580" s="5" t="n">
        <f aca="false">IF(B1580="",0,IF(A1580="Bank",IFERROR(MATCH(B1580,Bank!$A:$A,0),0),IFERROR(MATCH(B1580,GL!$A:$A,0),0)))</f>
        <v>0</v>
      </c>
      <c r="D1580" s="32" t="str">
        <f aca="false">IF(C1580=0,"",IF($A1580="Bank",INDEX(Bank!$B:$B,$C1580),INDEX(GL!$B:$B,$C1580)))</f>
        <v/>
      </c>
      <c r="E1580" s="5" t="str">
        <f aca="false">IF(C1580=0,"",IF($A1580="Bank",IF(INDEX(Bank!$C:$C,$C1580)="","",INDEX(Bank!$C:$C,$C1580)),IF(INDEX(GL!$C:$C,$C1580)="","",INDEX(GL!$C:$C,$C1580))))</f>
        <v/>
      </c>
      <c r="F1580" s="5" t="str">
        <f aca="false">IF(C1580=0,"",IF($A1580="Bank",IF(INDEX(Bank!$D:$D,$C1580)="","",INDEX(Bank!$D:$D,$C1580)),IF(INDEX(GL!$D:$D,$C1580)="","",INDEX(GL!$D:$D,$C1580))))</f>
        <v/>
      </c>
      <c r="G1580" s="19" t="str">
        <f aca="false">IF(C1580=0,"",IF($A1580="Bank",INDEX(Bank!$E:$E,$C1580),INDEX(GL!$E:$E,$C1580)))</f>
        <v/>
      </c>
      <c r="H1580" s="5" t="str">
        <f aca="false">IF(C1580=0,"",IF(A1580="GL",IF(G1580&gt;0,"Deposit in transit","Outstanding check / payment"),IF(G1580&gt;0,"Bank credit not in GL","Bank debit not in GL")))</f>
        <v/>
      </c>
      <c r="I1580" s="42" t="str">
        <f aca="false">IF(OR(C1580=0,CFG_PeriodEnd=""),"",CFG_PeriodEnd-D1580)</f>
        <v/>
      </c>
      <c r="J1580" s="5" t="str">
        <f aca="false">IF(C1580=0,"",IF($A1580="Bank",IF(INDEX(Bank!$G:$G,$C1580)="","",INDEX(Bank!$G:$G,$C1580)),IF(INDEX(GL!$G:$G,$C1580)="","",INDEX(GL!$G:$G,$C1580))))</f>
        <v/>
      </c>
      <c r="K1580" s="5" t="str">
        <f aca="false">IF(C1580=0,"",IF($A1580="Bank",IF(INDEX(Bank!$I:$I,$C1580)="","",INDEX(Bank!$I:$I,$C1580)),IF(INDEX(GL!$I:$I,$C1580)="","",INDEX(GL!$I:$I,$C1580))))</f>
        <v/>
      </c>
      <c r="L1580" s="5" t="str">
        <f aca="false">IF(B1580="","",IF(C1580=0,"NOT FOUND",IF(IF($A1580="Bank",INDEX(Bank!$F:$F,$C1580),INDEX(GL!$F:$F,$C1580))="Y","NOW RECONCILED: refresh","OK")))</f>
        <v/>
      </c>
    </row>
    <row r="1581" customFormat="false" ht="15" hidden="false" customHeight="false" outlineLevel="0" collapsed="false">
      <c r="A1581" s="41"/>
      <c r="B1581" s="41"/>
      <c r="C1581" s="5" t="n">
        <f aca="false">IF(B1581="",0,IF(A1581="Bank",IFERROR(MATCH(B1581,Bank!$A:$A,0),0),IFERROR(MATCH(B1581,GL!$A:$A,0),0)))</f>
        <v>0</v>
      </c>
      <c r="D1581" s="32" t="str">
        <f aca="false">IF(C1581=0,"",IF($A1581="Bank",INDEX(Bank!$B:$B,$C1581),INDEX(GL!$B:$B,$C1581)))</f>
        <v/>
      </c>
      <c r="E1581" s="5" t="str">
        <f aca="false">IF(C1581=0,"",IF($A1581="Bank",IF(INDEX(Bank!$C:$C,$C1581)="","",INDEX(Bank!$C:$C,$C1581)),IF(INDEX(GL!$C:$C,$C1581)="","",INDEX(GL!$C:$C,$C1581))))</f>
        <v/>
      </c>
      <c r="F1581" s="5" t="str">
        <f aca="false">IF(C1581=0,"",IF($A1581="Bank",IF(INDEX(Bank!$D:$D,$C1581)="","",INDEX(Bank!$D:$D,$C1581)),IF(INDEX(GL!$D:$D,$C1581)="","",INDEX(GL!$D:$D,$C1581))))</f>
        <v/>
      </c>
      <c r="G1581" s="19" t="str">
        <f aca="false">IF(C1581=0,"",IF($A1581="Bank",INDEX(Bank!$E:$E,$C1581),INDEX(GL!$E:$E,$C1581)))</f>
        <v/>
      </c>
      <c r="H1581" s="5" t="str">
        <f aca="false">IF(C1581=0,"",IF(A1581="GL",IF(G1581&gt;0,"Deposit in transit","Outstanding check / payment"),IF(G1581&gt;0,"Bank credit not in GL","Bank debit not in GL")))</f>
        <v/>
      </c>
      <c r="I1581" s="42" t="str">
        <f aca="false">IF(OR(C1581=0,CFG_PeriodEnd=""),"",CFG_PeriodEnd-D1581)</f>
        <v/>
      </c>
      <c r="J1581" s="5" t="str">
        <f aca="false">IF(C1581=0,"",IF($A1581="Bank",IF(INDEX(Bank!$G:$G,$C1581)="","",INDEX(Bank!$G:$G,$C1581)),IF(INDEX(GL!$G:$G,$C1581)="","",INDEX(GL!$G:$G,$C1581))))</f>
        <v/>
      </c>
      <c r="K1581" s="5" t="str">
        <f aca="false">IF(C1581=0,"",IF($A1581="Bank",IF(INDEX(Bank!$I:$I,$C1581)="","",INDEX(Bank!$I:$I,$C1581)),IF(INDEX(GL!$I:$I,$C1581)="","",INDEX(GL!$I:$I,$C1581))))</f>
        <v/>
      </c>
      <c r="L1581" s="5" t="str">
        <f aca="false">IF(B1581="","",IF(C1581=0,"NOT FOUND",IF(IF($A1581="Bank",INDEX(Bank!$F:$F,$C1581),INDEX(GL!$F:$F,$C1581))="Y","NOW RECONCILED: refresh","OK")))</f>
        <v/>
      </c>
    </row>
    <row r="1582" customFormat="false" ht="15" hidden="false" customHeight="false" outlineLevel="0" collapsed="false">
      <c r="A1582" s="41"/>
      <c r="B1582" s="41"/>
      <c r="C1582" s="5" t="n">
        <f aca="false">IF(B1582="",0,IF(A1582="Bank",IFERROR(MATCH(B1582,Bank!$A:$A,0),0),IFERROR(MATCH(B1582,GL!$A:$A,0),0)))</f>
        <v>0</v>
      </c>
      <c r="D1582" s="32" t="str">
        <f aca="false">IF(C1582=0,"",IF($A1582="Bank",INDEX(Bank!$B:$B,$C1582),INDEX(GL!$B:$B,$C1582)))</f>
        <v/>
      </c>
      <c r="E1582" s="5" t="str">
        <f aca="false">IF(C1582=0,"",IF($A1582="Bank",IF(INDEX(Bank!$C:$C,$C1582)="","",INDEX(Bank!$C:$C,$C1582)),IF(INDEX(GL!$C:$C,$C1582)="","",INDEX(GL!$C:$C,$C1582))))</f>
        <v/>
      </c>
      <c r="F1582" s="5" t="str">
        <f aca="false">IF(C1582=0,"",IF($A1582="Bank",IF(INDEX(Bank!$D:$D,$C1582)="","",INDEX(Bank!$D:$D,$C1582)),IF(INDEX(GL!$D:$D,$C1582)="","",INDEX(GL!$D:$D,$C1582))))</f>
        <v/>
      </c>
      <c r="G1582" s="19" t="str">
        <f aca="false">IF(C1582=0,"",IF($A1582="Bank",INDEX(Bank!$E:$E,$C1582),INDEX(GL!$E:$E,$C1582)))</f>
        <v/>
      </c>
      <c r="H1582" s="5" t="str">
        <f aca="false">IF(C1582=0,"",IF(A1582="GL",IF(G1582&gt;0,"Deposit in transit","Outstanding check / payment"),IF(G1582&gt;0,"Bank credit not in GL","Bank debit not in GL")))</f>
        <v/>
      </c>
      <c r="I1582" s="42" t="str">
        <f aca="false">IF(OR(C1582=0,CFG_PeriodEnd=""),"",CFG_PeriodEnd-D1582)</f>
        <v/>
      </c>
      <c r="J1582" s="5" t="str">
        <f aca="false">IF(C1582=0,"",IF($A1582="Bank",IF(INDEX(Bank!$G:$G,$C1582)="","",INDEX(Bank!$G:$G,$C1582)),IF(INDEX(GL!$G:$G,$C1582)="","",INDEX(GL!$G:$G,$C1582))))</f>
        <v/>
      </c>
      <c r="K1582" s="5" t="str">
        <f aca="false">IF(C1582=0,"",IF($A1582="Bank",IF(INDEX(Bank!$I:$I,$C1582)="","",INDEX(Bank!$I:$I,$C1582)),IF(INDEX(GL!$I:$I,$C1582)="","",INDEX(GL!$I:$I,$C1582))))</f>
        <v/>
      </c>
      <c r="L1582" s="5" t="str">
        <f aca="false">IF(B1582="","",IF(C1582=0,"NOT FOUND",IF(IF($A1582="Bank",INDEX(Bank!$F:$F,$C1582),INDEX(GL!$F:$F,$C1582))="Y","NOW RECONCILED: refresh","OK")))</f>
        <v/>
      </c>
    </row>
    <row r="1583" customFormat="false" ht="15" hidden="false" customHeight="false" outlineLevel="0" collapsed="false">
      <c r="A1583" s="41"/>
      <c r="B1583" s="41"/>
      <c r="C1583" s="5" t="n">
        <f aca="false">IF(B1583="",0,IF(A1583="Bank",IFERROR(MATCH(B1583,Bank!$A:$A,0),0),IFERROR(MATCH(B1583,GL!$A:$A,0),0)))</f>
        <v>0</v>
      </c>
      <c r="D1583" s="32" t="str">
        <f aca="false">IF(C1583=0,"",IF($A1583="Bank",INDEX(Bank!$B:$B,$C1583),INDEX(GL!$B:$B,$C1583)))</f>
        <v/>
      </c>
      <c r="E1583" s="5" t="str">
        <f aca="false">IF(C1583=0,"",IF($A1583="Bank",IF(INDEX(Bank!$C:$C,$C1583)="","",INDEX(Bank!$C:$C,$C1583)),IF(INDEX(GL!$C:$C,$C1583)="","",INDEX(GL!$C:$C,$C1583))))</f>
        <v/>
      </c>
      <c r="F1583" s="5" t="str">
        <f aca="false">IF(C1583=0,"",IF($A1583="Bank",IF(INDEX(Bank!$D:$D,$C1583)="","",INDEX(Bank!$D:$D,$C1583)),IF(INDEX(GL!$D:$D,$C1583)="","",INDEX(GL!$D:$D,$C1583))))</f>
        <v/>
      </c>
      <c r="G1583" s="19" t="str">
        <f aca="false">IF(C1583=0,"",IF($A1583="Bank",INDEX(Bank!$E:$E,$C1583),INDEX(GL!$E:$E,$C1583)))</f>
        <v/>
      </c>
      <c r="H1583" s="5" t="str">
        <f aca="false">IF(C1583=0,"",IF(A1583="GL",IF(G1583&gt;0,"Deposit in transit","Outstanding check / payment"),IF(G1583&gt;0,"Bank credit not in GL","Bank debit not in GL")))</f>
        <v/>
      </c>
      <c r="I1583" s="42" t="str">
        <f aca="false">IF(OR(C1583=0,CFG_PeriodEnd=""),"",CFG_PeriodEnd-D1583)</f>
        <v/>
      </c>
      <c r="J1583" s="5" t="str">
        <f aca="false">IF(C1583=0,"",IF($A1583="Bank",IF(INDEX(Bank!$G:$G,$C1583)="","",INDEX(Bank!$G:$G,$C1583)),IF(INDEX(GL!$G:$G,$C1583)="","",INDEX(GL!$G:$G,$C1583))))</f>
        <v/>
      </c>
      <c r="K1583" s="5" t="str">
        <f aca="false">IF(C1583=0,"",IF($A1583="Bank",IF(INDEX(Bank!$I:$I,$C1583)="","",INDEX(Bank!$I:$I,$C1583)),IF(INDEX(GL!$I:$I,$C1583)="","",INDEX(GL!$I:$I,$C1583))))</f>
        <v/>
      </c>
      <c r="L1583" s="5" t="str">
        <f aca="false">IF(B1583="","",IF(C1583=0,"NOT FOUND",IF(IF($A1583="Bank",INDEX(Bank!$F:$F,$C1583),INDEX(GL!$F:$F,$C1583))="Y","NOW RECONCILED: refresh","OK")))</f>
        <v/>
      </c>
    </row>
    <row r="1584" customFormat="false" ht="15" hidden="false" customHeight="false" outlineLevel="0" collapsed="false">
      <c r="A1584" s="41"/>
      <c r="B1584" s="41"/>
      <c r="C1584" s="5" t="n">
        <f aca="false">IF(B1584="",0,IF(A1584="Bank",IFERROR(MATCH(B1584,Bank!$A:$A,0),0),IFERROR(MATCH(B1584,GL!$A:$A,0),0)))</f>
        <v>0</v>
      </c>
      <c r="D1584" s="32" t="str">
        <f aca="false">IF(C1584=0,"",IF($A1584="Bank",INDEX(Bank!$B:$B,$C1584),INDEX(GL!$B:$B,$C1584)))</f>
        <v/>
      </c>
      <c r="E1584" s="5" t="str">
        <f aca="false">IF(C1584=0,"",IF($A1584="Bank",IF(INDEX(Bank!$C:$C,$C1584)="","",INDEX(Bank!$C:$C,$C1584)),IF(INDEX(GL!$C:$C,$C1584)="","",INDEX(GL!$C:$C,$C1584))))</f>
        <v/>
      </c>
      <c r="F1584" s="5" t="str">
        <f aca="false">IF(C1584=0,"",IF($A1584="Bank",IF(INDEX(Bank!$D:$D,$C1584)="","",INDEX(Bank!$D:$D,$C1584)),IF(INDEX(GL!$D:$D,$C1584)="","",INDEX(GL!$D:$D,$C1584))))</f>
        <v/>
      </c>
      <c r="G1584" s="19" t="str">
        <f aca="false">IF(C1584=0,"",IF($A1584="Bank",INDEX(Bank!$E:$E,$C1584),INDEX(GL!$E:$E,$C1584)))</f>
        <v/>
      </c>
      <c r="H1584" s="5" t="str">
        <f aca="false">IF(C1584=0,"",IF(A1584="GL",IF(G1584&gt;0,"Deposit in transit","Outstanding check / payment"),IF(G1584&gt;0,"Bank credit not in GL","Bank debit not in GL")))</f>
        <v/>
      </c>
      <c r="I1584" s="42" t="str">
        <f aca="false">IF(OR(C1584=0,CFG_PeriodEnd=""),"",CFG_PeriodEnd-D1584)</f>
        <v/>
      </c>
      <c r="J1584" s="5" t="str">
        <f aca="false">IF(C1584=0,"",IF($A1584="Bank",IF(INDEX(Bank!$G:$G,$C1584)="","",INDEX(Bank!$G:$G,$C1584)),IF(INDEX(GL!$G:$G,$C1584)="","",INDEX(GL!$G:$G,$C1584))))</f>
        <v/>
      </c>
      <c r="K1584" s="5" t="str">
        <f aca="false">IF(C1584=0,"",IF($A1584="Bank",IF(INDEX(Bank!$I:$I,$C1584)="","",INDEX(Bank!$I:$I,$C1584)),IF(INDEX(GL!$I:$I,$C1584)="","",INDEX(GL!$I:$I,$C1584))))</f>
        <v/>
      </c>
      <c r="L1584" s="5" t="str">
        <f aca="false">IF(B1584="","",IF(C1584=0,"NOT FOUND",IF(IF($A1584="Bank",INDEX(Bank!$F:$F,$C1584),INDEX(GL!$F:$F,$C1584))="Y","NOW RECONCILED: refresh","OK")))</f>
        <v/>
      </c>
    </row>
    <row r="1585" customFormat="false" ht="15" hidden="false" customHeight="false" outlineLevel="0" collapsed="false">
      <c r="A1585" s="41"/>
      <c r="B1585" s="41"/>
      <c r="C1585" s="5" t="n">
        <f aca="false">IF(B1585="",0,IF(A1585="Bank",IFERROR(MATCH(B1585,Bank!$A:$A,0),0),IFERROR(MATCH(B1585,GL!$A:$A,0),0)))</f>
        <v>0</v>
      </c>
      <c r="D1585" s="32" t="str">
        <f aca="false">IF(C1585=0,"",IF($A1585="Bank",INDEX(Bank!$B:$B,$C1585),INDEX(GL!$B:$B,$C1585)))</f>
        <v/>
      </c>
      <c r="E1585" s="5" t="str">
        <f aca="false">IF(C1585=0,"",IF($A1585="Bank",IF(INDEX(Bank!$C:$C,$C1585)="","",INDEX(Bank!$C:$C,$C1585)),IF(INDEX(GL!$C:$C,$C1585)="","",INDEX(GL!$C:$C,$C1585))))</f>
        <v/>
      </c>
      <c r="F1585" s="5" t="str">
        <f aca="false">IF(C1585=0,"",IF($A1585="Bank",IF(INDEX(Bank!$D:$D,$C1585)="","",INDEX(Bank!$D:$D,$C1585)),IF(INDEX(GL!$D:$D,$C1585)="","",INDEX(GL!$D:$D,$C1585))))</f>
        <v/>
      </c>
      <c r="G1585" s="19" t="str">
        <f aca="false">IF(C1585=0,"",IF($A1585="Bank",INDEX(Bank!$E:$E,$C1585),INDEX(GL!$E:$E,$C1585)))</f>
        <v/>
      </c>
      <c r="H1585" s="5" t="str">
        <f aca="false">IF(C1585=0,"",IF(A1585="GL",IF(G1585&gt;0,"Deposit in transit","Outstanding check / payment"),IF(G1585&gt;0,"Bank credit not in GL","Bank debit not in GL")))</f>
        <v/>
      </c>
      <c r="I1585" s="42" t="str">
        <f aca="false">IF(OR(C1585=0,CFG_PeriodEnd=""),"",CFG_PeriodEnd-D1585)</f>
        <v/>
      </c>
      <c r="J1585" s="5" t="str">
        <f aca="false">IF(C1585=0,"",IF($A1585="Bank",IF(INDEX(Bank!$G:$G,$C1585)="","",INDEX(Bank!$G:$G,$C1585)),IF(INDEX(GL!$G:$G,$C1585)="","",INDEX(GL!$G:$G,$C1585))))</f>
        <v/>
      </c>
      <c r="K1585" s="5" t="str">
        <f aca="false">IF(C1585=0,"",IF($A1585="Bank",IF(INDEX(Bank!$I:$I,$C1585)="","",INDEX(Bank!$I:$I,$C1585)),IF(INDEX(GL!$I:$I,$C1585)="","",INDEX(GL!$I:$I,$C1585))))</f>
        <v/>
      </c>
      <c r="L1585" s="5" t="str">
        <f aca="false">IF(B1585="","",IF(C1585=0,"NOT FOUND",IF(IF($A1585="Bank",INDEX(Bank!$F:$F,$C1585),INDEX(GL!$F:$F,$C1585))="Y","NOW RECONCILED: refresh","OK")))</f>
        <v/>
      </c>
    </row>
    <row r="1586" customFormat="false" ht="15" hidden="false" customHeight="false" outlineLevel="0" collapsed="false">
      <c r="A1586" s="41"/>
      <c r="B1586" s="41"/>
      <c r="C1586" s="5" t="n">
        <f aca="false">IF(B1586="",0,IF(A1586="Bank",IFERROR(MATCH(B1586,Bank!$A:$A,0),0),IFERROR(MATCH(B1586,GL!$A:$A,0),0)))</f>
        <v>0</v>
      </c>
      <c r="D1586" s="32" t="str">
        <f aca="false">IF(C1586=0,"",IF($A1586="Bank",INDEX(Bank!$B:$B,$C1586),INDEX(GL!$B:$B,$C1586)))</f>
        <v/>
      </c>
      <c r="E1586" s="5" t="str">
        <f aca="false">IF(C1586=0,"",IF($A1586="Bank",IF(INDEX(Bank!$C:$C,$C1586)="","",INDEX(Bank!$C:$C,$C1586)),IF(INDEX(GL!$C:$C,$C1586)="","",INDEX(GL!$C:$C,$C1586))))</f>
        <v/>
      </c>
      <c r="F1586" s="5" t="str">
        <f aca="false">IF(C1586=0,"",IF($A1586="Bank",IF(INDEX(Bank!$D:$D,$C1586)="","",INDEX(Bank!$D:$D,$C1586)),IF(INDEX(GL!$D:$D,$C1586)="","",INDEX(GL!$D:$D,$C1586))))</f>
        <v/>
      </c>
      <c r="G1586" s="19" t="str">
        <f aca="false">IF(C1586=0,"",IF($A1586="Bank",INDEX(Bank!$E:$E,$C1586),INDEX(GL!$E:$E,$C1586)))</f>
        <v/>
      </c>
      <c r="H1586" s="5" t="str">
        <f aca="false">IF(C1586=0,"",IF(A1586="GL",IF(G1586&gt;0,"Deposit in transit","Outstanding check / payment"),IF(G1586&gt;0,"Bank credit not in GL","Bank debit not in GL")))</f>
        <v/>
      </c>
      <c r="I1586" s="42" t="str">
        <f aca="false">IF(OR(C1586=0,CFG_PeriodEnd=""),"",CFG_PeriodEnd-D1586)</f>
        <v/>
      </c>
      <c r="J1586" s="5" t="str">
        <f aca="false">IF(C1586=0,"",IF($A1586="Bank",IF(INDEX(Bank!$G:$G,$C1586)="","",INDEX(Bank!$G:$G,$C1586)),IF(INDEX(GL!$G:$G,$C1586)="","",INDEX(GL!$G:$G,$C1586))))</f>
        <v/>
      </c>
      <c r="K1586" s="5" t="str">
        <f aca="false">IF(C1586=0,"",IF($A1586="Bank",IF(INDEX(Bank!$I:$I,$C1586)="","",INDEX(Bank!$I:$I,$C1586)),IF(INDEX(GL!$I:$I,$C1586)="","",INDEX(GL!$I:$I,$C1586))))</f>
        <v/>
      </c>
      <c r="L1586" s="5" t="str">
        <f aca="false">IF(B1586="","",IF(C1586=0,"NOT FOUND",IF(IF($A1586="Bank",INDEX(Bank!$F:$F,$C1586),INDEX(GL!$F:$F,$C1586))="Y","NOW RECONCILED: refresh","OK")))</f>
        <v/>
      </c>
    </row>
    <row r="1587" customFormat="false" ht="15" hidden="false" customHeight="false" outlineLevel="0" collapsed="false">
      <c r="A1587" s="41"/>
      <c r="B1587" s="41"/>
      <c r="C1587" s="5" t="n">
        <f aca="false">IF(B1587="",0,IF(A1587="Bank",IFERROR(MATCH(B1587,Bank!$A:$A,0),0),IFERROR(MATCH(B1587,GL!$A:$A,0),0)))</f>
        <v>0</v>
      </c>
      <c r="D1587" s="32" t="str">
        <f aca="false">IF(C1587=0,"",IF($A1587="Bank",INDEX(Bank!$B:$B,$C1587),INDEX(GL!$B:$B,$C1587)))</f>
        <v/>
      </c>
      <c r="E1587" s="5" t="str">
        <f aca="false">IF(C1587=0,"",IF($A1587="Bank",IF(INDEX(Bank!$C:$C,$C1587)="","",INDEX(Bank!$C:$C,$C1587)),IF(INDEX(GL!$C:$C,$C1587)="","",INDEX(GL!$C:$C,$C1587))))</f>
        <v/>
      </c>
      <c r="F1587" s="5" t="str">
        <f aca="false">IF(C1587=0,"",IF($A1587="Bank",IF(INDEX(Bank!$D:$D,$C1587)="","",INDEX(Bank!$D:$D,$C1587)),IF(INDEX(GL!$D:$D,$C1587)="","",INDEX(GL!$D:$D,$C1587))))</f>
        <v/>
      </c>
      <c r="G1587" s="19" t="str">
        <f aca="false">IF(C1587=0,"",IF($A1587="Bank",INDEX(Bank!$E:$E,$C1587),INDEX(GL!$E:$E,$C1587)))</f>
        <v/>
      </c>
      <c r="H1587" s="5" t="str">
        <f aca="false">IF(C1587=0,"",IF(A1587="GL",IF(G1587&gt;0,"Deposit in transit","Outstanding check / payment"),IF(G1587&gt;0,"Bank credit not in GL","Bank debit not in GL")))</f>
        <v/>
      </c>
      <c r="I1587" s="42" t="str">
        <f aca="false">IF(OR(C1587=0,CFG_PeriodEnd=""),"",CFG_PeriodEnd-D1587)</f>
        <v/>
      </c>
      <c r="J1587" s="5" t="str">
        <f aca="false">IF(C1587=0,"",IF($A1587="Bank",IF(INDEX(Bank!$G:$G,$C1587)="","",INDEX(Bank!$G:$G,$C1587)),IF(INDEX(GL!$G:$G,$C1587)="","",INDEX(GL!$G:$G,$C1587))))</f>
        <v/>
      </c>
      <c r="K1587" s="5" t="str">
        <f aca="false">IF(C1587=0,"",IF($A1587="Bank",IF(INDEX(Bank!$I:$I,$C1587)="","",INDEX(Bank!$I:$I,$C1587)),IF(INDEX(GL!$I:$I,$C1587)="","",INDEX(GL!$I:$I,$C1587))))</f>
        <v/>
      </c>
      <c r="L1587" s="5" t="str">
        <f aca="false">IF(B1587="","",IF(C1587=0,"NOT FOUND",IF(IF($A1587="Bank",INDEX(Bank!$F:$F,$C1587),INDEX(GL!$F:$F,$C1587))="Y","NOW RECONCILED: refresh","OK")))</f>
        <v/>
      </c>
    </row>
    <row r="1588" customFormat="false" ht="15" hidden="false" customHeight="false" outlineLevel="0" collapsed="false">
      <c r="A1588" s="41"/>
      <c r="B1588" s="41"/>
      <c r="C1588" s="5" t="n">
        <f aca="false">IF(B1588="",0,IF(A1588="Bank",IFERROR(MATCH(B1588,Bank!$A:$A,0),0),IFERROR(MATCH(B1588,GL!$A:$A,0),0)))</f>
        <v>0</v>
      </c>
      <c r="D1588" s="32" t="str">
        <f aca="false">IF(C1588=0,"",IF($A1588="Bank",INDEX(Bank!$B:$B,$C1588),INDEX(GL!$B:$B,$C1588)))</f>
        <v/>
      </c>
      <c r="E1588" s="5" t="str">
        <f aca="false">IF(C1588=0,"",IF($A1588="Bank",IF(INDEX(Bank!$C:$C,$C1588)="","",INDEX(Bank!$C:$C,$C1588)),IF(INDEX(GL!$C:$C,$C1588)="","",INDEX(GL!$C:$C,$C1588))))</f>
        <v/>
      </c>
      <c r="F1588" s="5" t="str">
        <f aca="false">IF(C1588=0,"",IF($A1588="Bank",IF(INDEX(Bank!$D:$D,$C1588)="","",INDEX(Bank!$D:$D,$C1588)),IF(INDEX(GL!$D:$D,$C1588)="","",INDEX(GL!$D:$D,$C1588))))</f>
        <v/>
      </c>
      <c r="G1588" s="19" t="str">
        <f aca="false">IF(C1588=0,"",IF($A1588="Bank",INDEX(Bank!$E:$E,$C1588),INDEX(GL!$E:$E,$C1588)))</f>
        <v/>
      </c>
      <c r="H1588" s="5" t="str">
        <f aca="false">IF(C1588=0,"",IF(A1588="GL",IF(G1588&gt;0,"Deposit in transit","Outstanding check / payment"),IF(G1588&gt;0,"Bank credit not in GL","Bank debit not in GL")))</f>
        <v/>
      </c>
      <c r="I1588" s="42" t="str">
        <f aca="false">IF(OR(C1588=0,CFG_PeriodEnd=""),"",CFG_PeriodEnd-D1588)</f>
        <v/>
      </c>
      <c r="J1588" s="5" t="str">
        <f aca="false">IF(C1588=0,"",IF($A1588="Bank",IF(INDEX(Bank!$G:$G,$C1588)="","",INDEX(Bank!$G:$G,$C1588)),IF(INDEX(GL!$G:$G,$C1588)="","",INDEX(GL!$G:$G,$C1588))))</f>
        <v/>
      </c>
      <c r="K1588" s="5" t="str">
        <f aca="false">IF(C1588=0,"",IF($A1588="Bank",IF(INDEX(Bank!$I:$I,$C1588)="","",INDEX(Bank!$I:$I,$C1588)),IF(INDEX(GL!$I:$I,$C1588)="","",INDEX(GL!$I:$I,$C1588))))</f>
        <v/>
      </c>
      <c r="L1588" s="5" t="str">
        <f aca="false">IF(B1588="","",IF(C1588=0,"NOT FOUND",IF(IF($A1588="Bank",INDEX(Bank!$F:$F,$C1588),INDEX(GL!$F:$F,$C1588))="Y","NOW RECONCILED: refresh","OK")))</f>
        <v/>
      </c>
    </row>
    <row r="1589" customFormat="false" ht="15" hidden="false" customHeight="false" outlineLevel="0" collapsed="false">
      <c r="A1589" s="41"/>
      <c r="B1589" s="41"/>
      <c r="C1589" s="5" t="n">
        <f aca="false">IF(B1589="",0,IF(A1589="Bank",IFERROR(MATCH(B1589,Bank!$A:$A,0),0),IFERROR(MATCH(B1589,GL!$A:$A,0),0)))</f>
        <v>0</v>
      </c>
      <c r="D1589" s="32" t="str">
        <f aca="false">IF(C1589=0,"",IF($A1589="Bank",INDEX(Bank!$B:$B,$C1589),INDEX(GL!$B:$B,$C1589)))</f>
        <v/>
      </c>
      <c r="E1589" s="5" t="str">
        <f aca="false">IF(C1589=0,"",IF($A1589="Bank",IF(INDEX(Bank!$C:$C,$C1589)="","",INDEX(Bank!$C:$C,$C1589)),IF(INDEX(GL!$C:$C,$C1589)="","",INDEX(GL!$C:$C,$C1589))))</f>
        <v/>
      </c>
      <c r="F1589" s="5" t="str">
        <f aca="false">IF(C1589=0,"",IF($A1589="Bank",IF(INDEX(Bank!$D:$D,$C1589)="","",INDEX(Bank!$D:$D,$C1589)),IF(INDEX(GL!$D:$D,$C1589)="","",INDEX(GL!$D:$D,$C1589))))</f>
        <v/>
      </c>
      <c r="G1589" s="19" t="str">
        <f aca="false">IF(C1589=0,"",IF($A1589="Bank",INDEX(Bank!$E:$E,$C1589),INDEX(GL!$E:$E,$C1589)))</f>
        <v/>
      </c>
      <c r="H1589" s="5" t="str">
        <f aca="false">IF(C1589=0,"",IF(A1589="GL",IF(G1589&gt;0,"Deposit in transit","Outstanding check / payment"),IF(G1589&gt;0,"Bank credit not in GL","Bank debit not in GL")))</f>
        <v/>
      </c>
      <c r="I1589" s="42" t="str">
        <f aca="false">IF(OR(C1589=0,CFG_PeriodEnd=""),"",CFG_PeriodEnd-D1589)</f>
        <v/>
      </c>
      <c r="J1589" s="5" t="str">
        <f aca="false">IF(C1589=0,"",IF($A1589="Bank",IF(INDEX(Bank!$G:$G,$C1589)="","",INDEX(Bank!$G:$G,$C1589)),IF(INDEX(GL!$G:$G,$C1589)="","",INDEX(GL!$G:$G,$C1589))))</f>
        <v/>
      </c>
      <c r="K1589" s="5" t="str">
        <f aca="false">IF(C1589=0,"",IF($A1589="Bank",IF(INDEX(Bank!$I:$I,$C1589)="","",INDEX(Bank!$I:$I,$C1589)),IF(INDEX(GL!$I:$I,$C1589)="","",INDEX(GL!$I:$I,$C1589))))</f>
        <v/>
      </c>
      <c r="L1589" s="5" t="str">
        <f aca="false">IF(B1589="","",IF(C1589=0,"NOT FOUND",IF(IF($A1589="Bank",INDEX(Bank!$F:$F,$C1589),INDEX(GL!$F:$F,$C1589))="Y","NOW RECONCILED: refresh","OK")))</f>
        <v/>
      </c>
    </row>
    <row r="1590" customFormat="false" ht="15" hidden="false" customHeight="false" outlineLevel="0" collapsed="false">
      <c r="A1590" s="41"/>
      <c r="B1590" s="41"/>
      <c r="C1590" s="5" t="n">
        <f aca="false">IF(B1590="",0,IF(A1590="Bank",IFERROR(MATCH(B1590,Bank!$A:$A,0),0),IFERROR(MATCH(B1590,GL!$A:$A,0),0)))</f>
        <v>0</v>
      </c>
      <c r="D1590" s="32" t="str">
        <f aca="false">IF(C1590=0,"",IF($A1590="Bank",INDEX(Bank!$B:$B,$C1590),INDEX(GL!$B:$B,$C1590)))</f>
        <v/>
      </c>
      <c r="E1590" s="5" t="str">
        <f aca="false">IF(C1590=0,"",IF($A1590="Bank",IF(INDEX(Bank!$C:$C,$C1590)="","",INDEX(Bank!$C:$C,$C1590)),IF(INDEX(GL!$C:$C,$C1590)="","",INDEX(GL!$C:$C,$C1590))))</f>
        <v/>
      </c>
      <c r="F1590" s="5" t="str">
        <f aca="false">IF(C1590=0,"",IF($A1590="Bank",IF(INDEX(Bank!$D:$D,$C1590)="","",INDEX(Bank!$D:$D,$C1590)),IF(INDEX(GL!$D:$D,$C1590)="","",INDEX(GL!$D:$D,$C1590))))</f>
        <v/>
      </c>
      <c r="G1590" s="19" t="str">
        <f aca="false">IF(C1590=0,"",IF($A1590="Bank",INDEX(Bank!$E:$E,$C1590),INDEX(GL!$E:$E,$C1590)))</f>
        <v/>
      </c>
      <c r="H1590" s="5" t="str">
        <f aca="false">IF(C1590=0,"",IF(A1590="GL",IF(G1590&gt;0,"Deposit in transit","Outstanding check / payment"),IF(G1590&gt;0,"Bank credit not in GL","Bank debit not in GL")))</f>
        <v/>
      </c>
      <c r="I1590" s="42" t="str">
        <f aca="false">IF(OR(C1590=0,CFG_PeriodEnd=""),"",CFG_PeriodEnd-D1590)</f>
        <v/>
      </c>
      <c r="J1590" s="5" t="str">
        <f aca="false">IF(C1590=0,"",IF($A1590="Bank",IF(INDEX(Bank!$G:$G,$C1590)="","",INDEX(Bank!$G:$G,$C1590)),IF(INDEX(GL!$G:$G,$C1590)="","",INDEX(GL!$G:$G,$C1590))))</f>
        <v/>
      </c>
      <c r="K1590" s="5" t="str">
        <f aca="false">IF(C1590=0,"",IF($A1590="Bank",IF(INDEX(Bank!$I:$I,$C1590)="","",INDEX(Bank!$I:$I,$C1590)),IF(INDEX(GL!$I:$I,$C1590)="","",INDEX(GL!$I:$I,$C1590))))</f>
        <v/>
      </c>
      <c r="L1590" s="5" t="str">
        <f aca="false">IF(B1590="","",IF(C1590=0,"NOT FOUND",IF(IF($A1590="Bank",INDEX(Bank!$F:$F,$C1590),INDEX(GL!$F:$F,$C1590))="Y","NOW RECONCILED: refresh","OK")))</f>
        <v/>
      </c>
    </row>
    <row r="1591" customFormat="false" ht="15" hidden="false" customHeight="false" outlineLevel="0" collapsed="false">
      <c r="A1591" s="41"/>
      <c r="B1591" s="41"/>
      <c r="C1591" s="5" t="n">
        <f aca="false">IF(B1591="",0,IF(A1591="Bank",IFERROR(MATCH(B1591,Bank!$A:$A,0),0),IFERROR(MATCH(B1591,GL!$A:$A,0),0)))</f>
        <v>0</v>
      </c>
      <c r="D1591" s="32" t="str">
        <f aca="false">IF(C1591=0,"",IF($A1591="Bank",INDEX(Bank!$B:$B,$C1591),INDEX(GL!$B:$B,$C1591)))</f>
        <v/>
      </c>
      <c r="E1591" s="5" t="str">
        <f aca="false">IF(C1591=0,"",IF($A1591="Bank",IF(INDEX(Bank!$C:$C,$C1591)="","",INDEX(Bank!$C:$C,$C1591)),IF(INDEX(GL!$C:$C,$C1591)="","",INDEX(GL!$C:$C,$C1591))))</f>
        <v/>
      </c>
      <c r="F1591" s="5" t="str">
        <f aca="false">IF(C1591=0,"",IF($A1591="Bank",IF(INDEX(Bank!$D:$D,$C1591)="","",INDEX(Bank!$D:$D,$C1591)),IF(INDEX(GL!$D:$D,$C1591)="","",INDEX(GL!$D:$D,$C1591))))</f>
        <v/>
      </c>
      <c r="G1591" s="19" t="str">
        <f aca="false">IF(C1591=0,"",IF($A1591="Bank",INDEX(Bank!$E:$E,$C1591),INDEX(GL!$E:$E,$C1591)))</f>
        <v/>
      </c>
      <c r="H1591" s="5" t="str">
        <f aca="false">IF(C1591=0,"",IF(A1591="GL",IF(G1591&gt;0,"Deposit in transit","Outstanding check / payment"),IF(G1591&gt;0,"Bank credit not in GL","Bank debit not in GL")))</f>
        <v/>
      </c>
      <c r="I1591" s="42" t="str">
        <f aca="false">IF(OR(C1591=0,CFG_PeriodEnd=""),"",CFG_PeriodEnd-D1591)</f>
        <v/>
      </c>
      <c r="J1591" s="5" t="str">
        <f aca="false">IF(C1591=0,"",IF($A1591="Bank",IF(INDEX(Bank!$G:$G,$C1591)="","",INDEX(Bank!$G:$G,$C1591)),IF(INDEX(GL!$G:$G,$C1591)="","",INDEX(GL!$G:$G,$C1591))))</f>
        <v/>
      </c>
      <c r="K1591" s="5" t="str">
        <f aca="false">IF(C1591=0,"",IF($A1591="Bank",IF(INDEX(Bank!$I:$I,$C1591)="","",INDEX(Bank!$I:$I,$C1591)),IF(INDEX(GL!$I:$I,$C1591)="","",INDEX(GL!$I:$I,$C1591))))</f>
        <v/>
      </c>
      <c r="L1591" s="5" t="str">
        <f aca="false">IF(B1591="","",IF(C1591=0,"NOT FOUND",IF(IF($A1591="Bank",INDEX(Bank!$F:$F,$C1591),INDEX(GL!$F:$F,$C1591))="Y","NOW RECONCILED: refresh","OK")))</f>
        <v/>
      </c>
    </row>
    <row r="1592" customFormat="false" ht="15" hidden="false" customHeight="false" outlineLevel="0" collapsed="false">
      <c r="A1592" s="41"/>
      <c r="B1592" s="41"/>
      <c r="C1592" s="5" t="n">
        <f aca="false">IF(B1592="",0,IF(A1592="Bank",IFERROR(MATCH(B1592,Bank!$A:$A,0),0),IFERROR(MATCH(B1592,GL!$A:$A,0),0)))</f>
        <v>0</v>
      </c>
      <c r="D1592" s="32" t="str">
        <f aca="false">IF(C1592=0,"",IF($A1592="Bank",INDEX(Bank!$B:$B,$C1592),INDEX(GL!$B:$B,$C1592)))</f>
        <v/>
      </c>
      <c r="E1592" s="5" t="str">
        <f aca="false">IF(C1592=0,"",IF($A1592="Bank",IF(INDEX(Bank!$C:$C,$C1592)="","",INDEX(Bank!$C:$C,$C1592)),IF(INDEX(GL!$C:$C,$C1592)="","",INDEX(GL!$C:$C,$C1592))))</f>
        <v/>
      </c>
      <c r="F1592" s="5" t="str">
        <f aca="false">IF(C1592=0,"",IF($A1592="Bank",IF(INDEX(Bank!$D:$D,$C1592)="","",INDEX(Bank!$D:$D,$C1592)),IF(INDEX(GL!$D:$D,$C1592)="","",INDEX(GL!$D:$D,$C1592))))</f>
        <v/>
      </c>
      <c r="G1592" s="19" t="str">
        <f aca="false">IF(C1592=0,"",IF($A1592="Bank",INDEX(Bank!$E:$E,$C1592),INDEX(GL!$E:$E,$C1592)))</f>
        <v/>
      </c>
      <c r="H1592" s="5" t="str">
        <f aca="false">IF(C1592=0,"",IF(A1592="GL",IF(G1592&gt;0,"Deposit in transit","Outstanding check / payment"),IF(G1592&gt;0,"Bank credit not in GL","Bank debit not in GL")))</f>
        <v/>
      </c>
      <c r="I1592" s="42" t="str">
        <f aca="false">IF(OR(C1592=0,CFG_PeriodEnd=""),"",CFG_PeriodEnd-D1592)</f>
        <v/>
      </c>
      <c r="J1592" s="5" t="str">
        <f aca="false">IF(C1592=0,"",IF($A1592="Bank",IF(INDEX(Bank!$G:$G,$C1592)="","",INDEX(Bank!$G:$G,$C1592)),IF(INDEX(GL!$G:$G,$C1592)="","",INDEX(GL!$G:$G,$C1592))))</f>
        <v/>
      </c>
      <c r="K1592" s="5" t="str">
        <f aca="false">IF(C1592=0,"",IF($A1592="Bank",IF(INDEX(Bank!$I:$I,$C1592)="","",INDEX(Bank!$I:$I,$C1592)),IF(INDEX(GL!$I:$I,$C1592)="","",INDEX(GL!$I:$I,$C1592))))</f>
        <v/>
      </c>
      <c r="L1592" s="5" t="str">
        <f aca="false">IF(B1592="","",IF(C1592=0,"NOT FOUND",IF(IF($A1592="Bank",INDEX(Bank!$F:$F,$C1592),INDEX(GL!$F:$F,$C1592))="Y","NOW RECONCILED: refresh","OK")))</f>
        <v/>
      </c>
    </row>
    <row r="1593" customFormat="false" ht="15" hidden="false" customHeight="false" outlineLevel="0" collapsed="false">
      <c r="A1593" s="41"/>
      <c r="B1593" s="41"/>
      <c r="C1593" s="5" t="n">
        <f aca="false">IF(B1593="",0,IF(A1593="Bank",IFERROR(MATCH(B1593,Bank!$A:$A,0),0),IFERROR(MATCH(B1593,GL!$A:$A,0),0)))</f>
        <v>0</v>
      </c>
      <c r="D1593" s="32" t="str">
        <f aca="false">IF(C1593=0,"",IF($A1593="Bank",INDEX(Bank!$B:$B,$C1593),INDEX(GL!$B:$B,$C1593)))</f>
        <v/>
      </c>
      <c r="E1593" s="5" t="str">
        <f aca="false">IF(C1593=0,"",IF($A1593="Bank",IF(INDEX(Bank!$C:$C,$C1593)="","",INDEX(Bank!$C:$C,$C1593)),IF(INDEX(GL!$C:$C,$C1593)="","",INDEX(GL!$C:$C,$C1593))))</f>
        <v/>
      </c>
      <c r="F1593" s="5" t="str">
        <f aca="false">IF(C1593=0,"",IF($A1593="Bank",IF(INDEX(Bank!$D:$D,$C1593)="","",INDEX(Bank!$D:$D,$C1593)),IF(INDEX(GL!$D:$D,$C1593)="","",INDEX(GL!$D:$D,$C1593))))</f>
        <v/>
      </c>
      <c r="G1593" s="19" t="str">
        <f aca="false">IF(C1593=0,"",IF($A1593="Bank",INDEX(Bank!$E:$E,$C1593),INDEX(GL!$E:$E,$C1593)))</f>
        <v/>
      </c>
      <c r="H1593" s="5" t="str">
        <f aca="false">IF(C1593=0,"",IF(A1593="GL",IF(G1593&gt;0,"Deposit in transit","Outstanding check / payment"),IF(G1593&gt;0,"Bank credit not in GL","Bank debit not in GL")))</f>
        <v/>
      </c>
      <c r="I1593" s="42" t="str">
        <f aca="false">IF(OR(C1593=0,CFG_PeriodEnd=""),"",CFG_PeriodEnd-D1593)</f>
        <v/>
      </c>
      <c r="J1593" s="5" t="str">
        <f aca="false">IF(C1593=0,"",IF($A1593="Bank",IF(INDEX(Bank!$G:$G,$C1593)="","",INDEX(Bank!$G:$G,$C1593)),IF(INDEX(GL!$G:$G,$C1593)="","",INDEX(GL!$G:$G,$C1593))))</f>
        <v/>
      </c>
      <c r="K1593" s="5" t="str">
        <f aca="false">IF(C1593=0,"",IF($A1593="Bank",IF(INDEX(Bank!$I:$I,$C1593)="","",INDEX(Bank!$I:$I,$C1593)),IF(INDEX(GL!$I:$I,$C1593)="","",INDEX(GL!$I:$I,$C1593))))</f>
        <v/>
      </c>
      <c r="L1593" s="5" t="str">
        <f aca="false">IF(B1593="","",IF(C1593=0,"NOT FOUND",IF(IF($A1593="Bank",INDEX(Bank!$F:$F,$C1593),INDEX(GL!$F:$F,$C1593))="Y","NOW RECONCILED: refresh","OK")))</f>
        <v/>
      </c>
    </row>
    <row r="1594" customFormat="false" ht="15" hidden="false" customHeight="false" outlineLevel="0" collapsed="false">
      <c r="A1594" s="41"/>
      <c r="B1594" s="41"/>
      <c r="C1594" s="5" t="n">
        <f aca="false">IF(B1594="",0,IF(A1594="Bank",IFERROR(MATCH(B1594,Bank!$A:$A,0),0),IFERROR(MATCH(B1594,GL!$A:$A,0),0)))</f>
        <v>0</v>
      </c>
      <c r="D1594" s="32" t="str">
        <f aca="false">IF(C1594=0,"",IF($A1594="Bank",INDEX(Bank!$B:$B,$C1594),INDEX(GL!$B:$B,$C1594)))</f>
        <v/>
      </c>
      <c r="E1594" s="5" t="str">
        <f aca="false">IF(C1594=0,"",IF($A1594="Bank",IF(INDEX(Bank!$C:$C,$C1594)="","",INDEX(Bank!$C:$C,$C1594)),IF(INDEX(GL!$C:$C,$C1594)="","",INDEX(GL!$C:$C,$C1594))))</f>
        <v/>
      </c>
      <c r="F1594" s="5" t="str">
        <f aca="false">IF(C1594=0,"",IF($A1594="Bank",IF(INDEX(Bank!$D:$D,$C1594)="","",INDEX(Bank!$D:$D,$C1594)),IF(INDEX(GL!$D:$D,$C1594)="","",INDEX(GL!$D:$D,$C1594))))</f>
        <v/>
      </c>
      <c r="G1594" s="19" t="str">
        <f aca="false">IF(C1594=0,"",IF($A1594="Bank",INDEX(Bank!$E:$E,$C1594),INDEX(GL!$E:$E,$C1594)))</f>
        <v/>
      </c>
      <c r="H1594" s="5" t="str">
        <f aca="false">IF(C1594=0,"",IF(A1594="GL",IF(G1594&gt;0,"Deposit in transit","Outstanding check / payment"),IF(G1594&gt;0,"Bank credit not in GL","Bank debit not in GL")))</f>
        <v/>
      </c>
      <c r="I1594" s="42" t="str">
        <f aca="false">IF(OR(C1594=0,CFG_PeriodEnd=""),"",CFG_PeriodEnd-D1594)</f>
        <v/>
      </c>
      <c r="J1594" s="5" t="str">
        <f aca="false">IF(C1594=0,"",IF($A1594="Bank",IF(INDEX(Bank!$G:$G,$C1594)="","",INDEX(Bank!$G:$G,$C1594)),IF(INDEX(GL!$G:$G,$C1594)="","",INDEX(GL!$G:$G,$C1594))))</f>
        <v/>
      </c>
      <c r="K1594" s="5" t="str">
        <f aca="false">IF(C1594=0,"",IF($A1594="Bank",IF(INDEX(Bank!$I:$I,$C1594)="","",INDEX(Bank!$I:$I,$C1594)),IF(INDEX(GL!$I:$I,$C1594)="","",INDEX(GL!$I:$I,$C1594))))</f>
        <v/>
      </c>
      <c r="L1594" s="5" t="str">
        <f aca="false">IF(B1594="","",IF(C1594=0,"NOT FOUND",IF(IF($A1594="Bank",INDEX(Bank!$F:$F,$C1594),INDEX(GL!$F:$F,$C1594))="Y","NOW RECONCILED: refresh","OK")))</f>
        <v/>
      </c>
    </row>
    <row r="1595" customFormat="false" ht="15" hidden="false" customHeight="false" outlineLevel="0" collapsed="false">
      <c r="A1595" s="41"/>
      <c r="B1595" s="41"/>
      <c r="C1595" s="5" t="n">
        <f aca="false">IF(B1595="",0,IF(A1595="Bank",IFERROR(MATCH(B1595,Bank!$A:$A,0),0),IFERROR(MATCH(B1595,GL!$A:$A,0),0)))</f>
        <v>0</v>
      </c>
      <c r="D1595" s="32" t="str">
        <f aca="false">IF(C1595=0,"",IF($A1595="Bank",INDEX(Bank!$B:$B,$C1595),INDEX(GL!$B:$B,$C1595)))</f>
        <v/>
      </c>
      <c r="E1595" s="5" t="str">
        <f aca="false">IF(C1595=0,"",IF($A1595="Bank",IF(INDEX(Bank!$C:$C,$C1595)="","",INDEX(Bank!$C:$C,$C1595)),IF(INDEX(GL!$C:$C,$C1595)="","",INDEX(GL!$C:$C,$C1595))))</f>
        <v/>
      </c>
      <c r="F1595" s="5" t="str">
        <f aca="false">IF(C1595=0,"",IF($A1595="Bank",IF(INDEX(Bank!$D:$D,$C1595)="","",INDEX(Bank!$D:$D,$C1595)),IF(INDEX(GL!$D:$D,$C1595)="","",INDEX(GL!$D:$D,$C1595))))</f>
        <v/>
      </c>
      <c r="G1595" s="19" t="str">
        <f aca="false">IF(C1595=0,"",IF($A1595="Bank",INDEX(Bank!$E:$E,$C1595),INDEX(GL!$E:$E,$C1595)))</f>
        <v/>
      </c>
      <c r="H1595" s="5" t="str">
        <f aca="false">IF(C1595=0,"",IF(A1595="GL",IF(G1595&gt;0,"Deposit in transit","Outstanding check / payment"),IF(G1595&gt;0,"Bank credit not in GL","Bank debit not in GL")))</f>
        <v/>
      </c>
      <c r="I1595" s="42" t="str">
        <f aca="false">IF(OR(C1595=0,CFG_PeriodEnd=""),"",CFG_PeriodEnd-D1595)</f>
        <v/>
      </c>
      <c r="J1595" s="5" t="str">
        <f aca="false">IF(C1595=0,"",IF($A1595="Bank",IF(INDEX(Bank!$G:$G,$C1595)="","",INDEX(Bank!$G:$G,$C1595)),IF(INDEX(GL!$G:$G,$C1595)="","",INDEX(GL!$G:$G,$C1595))))</f>
        <v/>
      </c>
      <c r="K1595" s="5" t="str">
        <f aca="false">IF(C1595=0,"",IF($A1595="Bank",IF(INDEX(Bank!$I:$I,$C1595)="","",INDEX(Bank!$I:$I,$C1595)),IF(INDEX(GL!$I:$I,$C1595)="","",INDEX(GL!$I:$I,$C1595))))</f>
        <v/>
      </c>
      <c r="L1595" s="5" t="str">
        <f aca="false">IF(B1595="","",IF(C1595=0,"NOT FOUND",IF(IF($A1595="Bank",INDEX(Bank!$F:$F,$C1595),INDEX(GL!$F:$F,$C1595))="Y","NOW RECONCILED: refresh","OK")))</f>
        <v/>
      </c>
    </row>
    <row r="1596" customFormat="false" ht="15" hidden="false" customHeight="false" outlineLevel="0" collapsed="false">
      <c r="A1596" s="41"/>
      <c r="B1596" s="41"/>
      <c r="C1596" s="5" t="n">
        <f aca="false">IF(B1596="",0,IF(A1596="Bank",IFERROR(MATCH(B1596,Bank!$A:$A,0),0),IFERROR(MATCH(B1596,GL!$A:$A,0),0)))</f>
        <v>0</v>
      </c>
      <c r="D1596" s="32" t="str">
        <f aca="false">IF(C1596=0,"",IF($A1596="Bank",INDEX(Bank!$B:$B,$C1596),INDEX(GL!$B:$B,$C1596)))</f>
        <v/>
      </c>
      <c r="E1596" s="5" t="str">
        <f aca="false">IF(C1596=0,"",IF($A1596="Bank",IF(INDEX(Bank!$C:$C,$C1596)="","",INDEX(Bank!$C:$C,$C1596)),IF(INDEX(GL!$C:$C,$C1596)="","",INDEX(GL!$C:$C,$C1596))))</f>
        <v/>
      </c>
      <c r="F1596" s="5" t="str">
        <f aca="false">IF(C1596=0,"",IF($A1596="Bank",IF(INDEX(Bank!$D:$D,$C1596)="","",INDEX(Bank!$D:$D,$C1596)),IF(INDEX(GL!$D:$D,$C1596)="","",INDEX(GL!$D:$D,$C1596))))</f>
        <v/>
      </c>
      <c r="G1596" s="19" t="str">
        <f aca="false">IF(C1596=0,"",IF($A1596="Bank",INDEX(Bank!$E:$E,$C1596),INDEX(GL!$E:$E,$C1596)))</f>
        <v/>
      </c>
      <c r="H1596" s="5" t="str">
        <f aca="false">IF(C1596=0,"",IF(A1596="GL",IF(G1596&gt;0,"Deposit in transit","Outstanding check / payment"),IF(G1596&gt;0,"Bank credit not in GL","Bank debit not in GL")))</f>
        <v/>
      </c>
      <c r="I1596" s="42" t="str">
        <f aca="false">IF(OR(C1596=0,CFG_PeriodEnd=""),"",CFG_PeriodEnd-D1596)</f>
        <v/>
      </c>
      <c r="J1596" s="5" t="str">
        <f aca="false">IF(C1596=0,"",IF($A1596="Bank",IF(INDEX(Bank!$G:$G,$C1596)="","",INDEX(Bank!$G:$G,$C1596)),IF(INDEX(GL!$G:$G,$C1596)="","",INDEX(GL!$G:$G,$C1596))))</f>
        <v/>
      </c>
      <c r="K1596" s="5" t="str">
        <f aca="false">IF(C1596=0,"",IF($A1596="Bank",IF(INDEX(Bank!$I:$I,$C1596)="","",INDEX(Bank!$I:$I,$C1596)),IF(INDEX(GL!$I:$I,$C1596)="","",INDEX(GL!$I:$I,$C1596))))</f>
        <v/>
      </c>
      <c r="L1596" s="5" t="str">
        <f aca="false">IF(B1596="","",IF(C1596=0,"NOT FOUND",IF(IF($A1596="Bank",INDEX(Bank!$F:$F,$C1596),INDEX(GL!$F:$F,$C1596))="Y","NOW RECONCILED: refresh","OK")))</f>
        <v/>
      </c>
    </row>
    <row r="1597" customFormat="false" ht="15" hidden="false" customHeight="false" outlineLevel="0" collapsed="false">
      <c r="A1597" s="41"/>
      <c r="B1597" s="41"/>
      <c r="C1597" s="5" t="n">
        <f aca="false">IF(B1597="",0,IF(A1597="Bank",IFERROR(MATCH(B1597,Bank!$A:$A,0),0),IFERROR(MATCH(B1597,GL!$A:$A,0),0)))</f>
        <v>0</v>
      </c>
      <c r="D1597" s="32" t="str">
        <f aca="false">IF(C1597=0,"",IF($A1597="Bank",INDEX(Bank!$B:$B,$C1597),INDEX(GL!$B:$B,$C1597)))</f>
        <v/>
      </c>
      <c r="E1597" s="5" t="str">
        <f aca="false">IF(C1597=0,"",IF($A1597="Bank",IF(INDEX(Bank!$C:$C,$C1597)="","",INDEX(Bank!$C:$C,$C1597)),IF(INDEX(GL!$C:$C,$C1597)="","",INDEX(GL!$C:$C,$C1597))))</f>
        <v/>
      </c>
      <c r="F1597" s="5" t="str">
        <f aca="false">IF(C1597=0,"",IF($A1597="Bank",IF(INDEX(Bank!$D:$D,$C1597)="","",INDEX(Bank!$D:$D,$C1597)),IF(INDEX(GL!$D:$D,$C1597)="","",INDEX(GL!$D:$D,$C1597))))</f>
        <v/>
      </c>
      <c r="G1597" s="19" t="str">
        <f aca="false">IF(C1597=0,"",IF($A1597="Bank",INDEX(Bank!$E:$E,$C1597),INDEX(GL!$E:$E,$C1597)))</f>
        <v/>
      </c>
      <c r="H1597" s="5" t="str">
        <f aca="false">IF(C1597=0,"",IF(A1597="GL",IF(G1597&gt;0,"Deposit in transit","Outstanding check / payment"),IF(G1597&gt;0,"Bank credit not in GL","Bank debit not in GL")))</f>
        <v/>
      </c>
      <c r="I1597" s="42" t="str">
        <f aca="false">IF(OR(C1597=0,CFG_PeriodEnd=""),"",CFG_PeriodEnd-D1597)</f>
        <v/>
      </c>
      <c r="J1597" s="5" t="str">
        <f aca="false">IF(C1597=0,"",IF($A1597="Bank",IF(INDEX(Bank!$G:$G,$C1597)="","",INDEX(Bank!$G:$G,$C1597)),IF(INDEX(GL!$G:$G,$C1597)="","",INDEX(GL!$G:$G,$C1597))))</f>
        <v/>
      </c>
      <c r="K1597" s="5" t="str">
        <f aca="false">IF(C1597=0,"",IF($A1597="Bank",IF(INDEX(Bank!$I:$I,$C1597)="","",INDEX(Bank!$I:$I,$C1597)),IF(INDEX(GL!$I:$I,$C1597)="","",INDEX(GL!$I:$I,$C1597))))</f>
        <v/>
      </c>
      <c r="L1597" s="5" t="str">
        <f aca="false">IF(B1597="","",IF(C1597=0,"NOT FOUND",IF(IF($A1597="Bank",INDEX(Bank!$F:$F,$C1597),INDEX(GL!$F:$F,$C1597))="Y","NOW RECONCILED: refresh","OK")))</f>
        <v/>
      </c>
    </row>
    <row r="1598" customFormat="false" ht="15" hidden="false" customHeight="false" outlineLevel="0" collapsed="false">
      <c r="A1598" s="41"/>
      <c r="B1598" s="41"/>
      <c r="C1598" s="5" t="n">
        <f aca="false">IF(B1598="",0,IF(A1598="Bank",IFERROR(MATCH(B1598,Bank!$A:$A,0),0),IFERROR(MATCH(B1598,GL!$A:$A,0),0)))</f>
        <v>0</v>
      </c>
      <c r="D1598" s="32" t="str">
        <f aca="false">IF(C1598=0,"",IF($A1598="Bank",INDEX(Bank!$B:$B,$C1598),INDEX(GL!$B:$B,$C1598)))</f>
        <v/>
      </c>
      <c r="E1598" s="5" t="str">
        <f aca="false">IF(C1598=0,"",IF($A1598="Bank",IF(INDEX(Bank!$C:$C,$C1598)="","",INDEX(Bank!$C:$C,$C1598)),IF(INDEX(GL!$C:$C,$C1598)="","",INDEX(GL!$C:$C,$C1598))))</f>
        <v/>
      </c>
      <c r="F1598" s="5" t="str">
        <f aca="false">IF(C1598=0,"",IF($A1598="Bank",IF(INDEX(Bank!$D:$D,$C1598)="","",INDEX(Bank!$D:$D,$C1598)),IF(INDEX(GL!$D:$D,$C1598)="","",INDEX(GL!$D:$D,$C1598))))</f>
        <v/>
      </c>
      <c r="G1598" s="19" t="str">
        <f aca="false">IF(C1598=0,"",IF($A1598="Bank",INDEX(Bank!$E:$E,$C1598),INDEX(GL!$E:$E,$C1598)))</f>
        <v/>
      </c>
      <c r="H1598" s="5" t="str">
        <f aca="false">IF(C1598=0,"",IF(A1598="GL",IF(G1598&gt;0,"Deposit in transit","Outstanding check / payment"),IF(G1598&gt;0,"Bank credit not in GL","Bank debit not in GL")))</f>
        <v/>
      </c>
      <c r="I1598" s="42" t="str">
        <f aca="false">IF(OR(C1598=0,CFG_PeriodEnd=""),"",CFG_PeriodEnd-D1598)</f>
        <v/>
      </c>
      <c r="J1598" s="5" t="str">
        <f aca="false">IF(C1598=0,"",IF($A1598="Bank",IF(INDEX(Bank!$G:$G,$C1598)="","",INDEX(Bank!$G:$G,$C1598)),IF(INDEX(GL!$G:$G,$C1598)="","",INDEX(GL!$G:$G,$C1598))))</f>
        <v/>
      </c>
      <c r="K1598" s="5" t="str">
        <f aca="false">IF(C1598=0,"",IF($A1598="Bank",IF(INDEX(Bank!$I:$I,$C1598)="","",INDEX(Bank!$I:$I,$C1598)),IF(INDEX(GL!$I:$I,$C1598)="","",INDEX(GL!$I:$I,$C1598))))</f>
        <v/>
      </c>
      <c r="L1598" s="5" t="str">
        <f aca="false">IF(B1598="","",IF(C1598=0,"NOT FOUND",IF(IF($A1598="Bank",INDEX(Bank!$F:$F,$C1598),INDEX(GL!$F:$F,$C1598))="Y","NOW RECONCILED: refresh","OK")))</f>
        <v/>
      </c>
    </row>
    <row r="1599" customFormat="false" ht="15" hidden="false" customHeight="false" outlineLevel="0" collapsed="false">
      <c r="A1599" s="41"/>
      <c r="B1599" s="41"/>
      <c r="C1599" s="5" t="n">
        <f aca="false">IF(B1599="",0,IF(A1599="Bank",IFERROR(MATCH(B1599,Bank!$A:$A,0),0),IFERROR(MATCH(B1599,GL!$A:$A,0),0)))</f>
        <v>0</v>
      </c>
      <c r="D1599" s="32" t="str">
        <f aca="false">IF(C1599=0,"",IF($A1599="Bank",INDEX(Bank!$B:$B,$C1599),INDEX(GL!$B:$B,$C1599)))</f>
        <v/>
      </c>
      <c r="E1599" s="5" t="str">
        <f aca="false">IF(C1599=0,"",IF($A1599="Bank",IF(INDEX(Bank!$C:$C,$C1599)="","",INDEX(Bank!$C:$C,$C1599)),IF(INDEX(GL!$C:$C,$C1599)="","",INDEX(GL!$C:$C,$C1599))))</f>
        <v/>
      </c>
      <c r="F1599" s="5" t="str">
        <f aca="false">IF(C1599=0,"",IF($A1599="Bank",IF(INDEX(Bank!$D:$D,$C1599)="","",INDEX(Bank!$D:$D,$C1599)),IF(INDEX(GL!$D:$D,$C1599)="","",INDEX(GL!$D:$D,$C1599))))</f>
        <v/>
      </c>
      <c r="G1599" s="19" t="str">
        <f aca="false">IF(C1599=0,"",IF($A1599="Bank",INDEX(Bank!$E:$E,$C1599),INDEX(GL!$E:$E,$C1599)))</f>
        <v/>
      </c>
      <c r="H1599" s="5" t="str">
        <f aca="false">IF(C1599=0,"",IF(A1599="GL",IF(G1599&gt;0,"Deposit in transit","Outstanding check / payment"),IF(G1599&gt;0,"Bank credit not in GL","Bank debit not in GL")))</f>
        <v/>
      </c>
      <c r="I1599" s="42" t="str">
        <f aca="false">IF(OR(C1599=0,CFG_PeriodEnd=""),"",CFG_PeriodEnd-D1599)</f>
        <v/>
      </c>
      <c r="J1599" s="5" t="str">
        <f aca="false">IF(C1599=0,"",IF($A1599="Bank",IF(INDEX(Bank!$G:$G,$C1599)="","",INDEX(Bank!$G:$G,$C1599)),IF(INDEX(GL!$G:$G,$C1599)="","",INDEX(GL!$G:$G,$C1599))))</f>
        <v/>
      </c>
      <c r="K1599" s="5" t="str">
        <f aca="false">IF(C1599=0,"",IF($A1599="Bank",IF(INDEX(Bank!$I:$I,$C1599)="","",INDEX(Bank!$I:$I,$C1599)),IF(INDEX(GL!$I:$I,$C1599)="","",INDEX(GL!$I:$I,$C1599))))</f>
        <v/>
      </c>
      <c r="L1599" s="5" t="str">
        <f aca="false">IF(B1599="","",IF(C1599=0,"NOT FOUND",IF(IF($A1599="Bank",INDEX(Bank!$F:$F,$C1599),INDEX(GL!$F:$F,$C1599))="Y","NOW RECONCILED: refresh","OK")))</f>
        <v/>
      </c>
    </row>
    <row r="1600" customFormat="false" ht="15" hidden="false" customHeight="false" outlineLevel="0" collapsed="false">
      <c r="A1600" s="41"/>
      <c r="B1600" s="41"/>
      <c r="C1600" s="5" t="n">
        <f aca="false">IF(B1600="",0,IF(A1600="Bank",IFERROR(MATCH(B1600,Bank!$A:$A,0),0),IFERROR(MATCH(B1600,GL!$A:$A,0),0)))</f>
        <v>0</v>
      </c>
      <c r="D1600" s="32" t="str">
        <f aca="false">IF(C1600=0,"",IF($A1600="Bank",INDEX(Bank!$B:$B,$C1600),INDEX(GL!$B:$B,$C1600)))</f>
        <v/>
      </c>
      <c r="E1600" s="5" t="str">
        <f aca="false">IF(C1600=0,"",IF($A1600="Bank",IF(INDEX(Bank!$C:$C,$C1600)="","",INDEX(Bank!$C:$C,$C1600)),IF(INDEX(GL!$C:$C,$C1600)="","",INDEX(GL!$C:$C,$C1600))))</f>
        <v/>
      </c>
      <c r="F1600" s="5" t="str">
        <f aca="false">IF(C1600=0,"",IF($A1600="Bank",IF(INDEX(Bank!$D:$D,$C1600)="","",INDEX(Bank!$D:$D,$C1600)),IF(INDEX(GL!$D:$D,$C1600)="","",INDEX(GL!$D:$D,$C1600))))</f>
        <v/>
      </c>
      <c r="G1600" s="19" t="str">
        <f aca="false">IF(C1600=0,"",IF($A1600="Bank",INDEX(Bank!$E:$E,$C1600),INDEX(GL!$E:$E,$C1600)))</f>
        <v/>
      </c>
      <c r="H1600" s="5" t="str">
        <f aca="false">IF(C1600=0,"",IF(A1600="GL",IF(G1600&gt;0,"Deposit in transit","Outstanding check / payment"),IF(G1600&gt;0,"Bank credit not in GL","Bank debit not in GL")))</f>
        <v/>
      </c>
      <c r="I1600" s="42" t="str">
        <f aca="false">IF(OR(C1600=0,CFG_PeriodEnd=""),"",CFG_PeriodEnd-D1600)</f>
        <v/>
      </c>
      <c r="J1600" s="5" t="str">
        <f aca="false">IF(C1600=0,"",IF($A1600="Bank",IF(INDEX(Bank!$G:$G,$C1600)="","",INDEX(Bank!$G:$G,$C1600)),IF(INDEX(GL!$G:$G,$C1600)="","",INDEX(GL!$G:$G,$C1600))))</f>
        <v/>
      </c>
      <c r="K1600" s="5" t="str">
        <f aca="false">IF(C1600=0,"",IF($A1600="Bank",IF(INDEX(Bank!$I:$I,$C1600)="","",INDEX(Bank!$I:$I,$C1600)),IF(INDEX(GL!$I:$I,$C1600)="","",INDEX(GL!$I:$I,$C1600))))</f>
        <v/>
      </c>
      <c r="L1600" s="5" t="str">
        <f aca="false">IF(B1600="","",IF(C1600=0,"NOT FOUND",IF(IF($A1600="Bank",INDEX(Bank!$F:$F,$C1600),INDEX(GL!$F:$F,$C1600))="Y","NOW RECONCILED: refresh","OK")))</f>
        <v/>
      </c>
    </row>
    <row r="1601" customFormat="false" ht="15" hidden="false" customHeight="false" outlineLevel="0" collapsed="false">
      <c r="A1601" s="41"/>
      <c r="B1601" s="41"/>
      <c r="C1601" s="5" t="n">
        <f aca="false">IF(B1601="",0,IF(A1601="Bank",IFERROR(MATCH(B1601,Bank!$A:$A,0),0),IFERROR(MATCH(B1601,GL!$A:$A,0),0)))</f>
        <v>0</v>
      </c>
      <c r="D1601" s="32" t="str">
        <f aca="false">IF(C1601=0,"",IF($A1601="Bank",INDEX(Bank!$B:$B,$C1601),INDEX(GL!$B:$B,$C1601)))</f>
        <v/>
      </c>
      <c r="E1601" s="5" t="str">
        <f aca="false">IF(C1601=0,"",IF($A1601="Bank",IF(INDEX(Bank!$C:$C,$C1601)="","",INDEX(Bank!$C:$C,$C1601)),IF(INDEX(GL!$C:$C,$C1601)="","",INDEX(GL!$C:$C,$C1601))))</f>
        <v/>
      </c>
      <c r="F1601" s="5" t="str">
        <f aca="false">IF(C1601=0,"",IF($A1601="Bank",IF(INDEX(Bank!$D:$D,$C1601)="","",INDEX(Bank!$D:$D,$C1601)),IF(INDEX(GL!$D:$D,$C1601)="","",INDEX(GL!$D:$D,$C1601))))</f>
        <v/>
      </c>
      <c r="G1601" s="19" t="str">
        <f aca="false">IF(C1601=0,"",IF($A1601="Bank",INDEX(Bank!$E:$E,$C1601),INDEX(GL!$E:$E,$C1601)))</f>
        <v/>
      </c>
      <c r="H1601" s="5" t="str">
        <f aca="false">IF(C1601=0,"",IF(A1601="GL",IF(G1601&gt;0,"Deposit in transit","Outstanding check / payment"),IF(G1601&gt;0,"Bank credit not in GL","Bank debit not in GL")))</f>
        <v/>
      </c>
      <c r="I1601" s="42" t="str">
        <f aca="false">IF(OR(C1601=0,CFG_PeriodEnd=""),"",CFG_PeriodEnd-D1601)</f>
        <v/>
      </c>
      <c r="J1601" s="5" t="str">
        <f aca="false">IF(C1601=0,"",IF($A1601="Bank",IF(INDEX(Bank!$G:$G,$C1601)="","",INDEX(Bank!$G:$G,$C1601)),IF(INDEX(GL!$G:$G,$C1601)="","",INDEX(GL!$G:$G,$C1601))))</f>
        <v/>
      </c>
      <c r="K1601" s="5" t="str">
        <f aca="false">IF(C1601=0,"",IF($A1601="Bank",IF(INDEX(Bank!$I:$I,$C1601)="","",INDEX(Bank!$I:$I,$C1601)),IF(INDEX(GL!$I:$I,$C1601)="","",INDEX(GL!$I:$I,$C1601))))</f>
        <v/>
      </c>
      <c r="L1601" s="5" t="str">
        <f aca="false">IF(B1601="","",IF(C1601=0,"NOT FOUND",IF(IF($A1601="Bank",INDEX(Bank!$F:$F,$C1601),INDEX(GL!$F:$F,$C1601))="Y","NOW RECONCILED: refresh","OK")))</f>
        <v/>
      </c>
    </row>
    <row r="1602" customFormat="false" ht="15" hidden="false" customHeight="false" outlineLevel="0" collapsed="false">
      <c r="A1602" s="41"/>
      <c r="B1602" s="41"/>
      <c r="C1602" s="5" t="n">
        <f aca="false">IF(B1602="",0,IF(A1602="Bank",IFERROR(MATCH(B1602,Bank!$A:$A,0),0),IFERROR(MATCH(B1602,GL!$A:$A,0),0)))</f>
        <v>0</v>
      </c>
      <c r="D1602" s="32" t="str">
        <f aca="false">IF(C1602=0,"",IF($A1602="Bank",INDEX(Bank!$B:$B,$C1602),INDEX(GL!$B:$B,$C1602)))</f>
        <v/>
      </c>
      <c r="E1602" s="5" t="str">
        <f aca="false">IF(C1602=0,"",IF($A1602="Bank",IF(INDEX(Bank!$C:$C,$C1602)="","",INDEX(Bank!$C:$C,$C1602)),IF(INDEX(GL!$C:$C,$C1602)="","",INDEX(GL!$C:$C,$C1602))))</f>
        <v/>
      </c>
      <c r="F1602" s="5" t="str">
        <f aca="false">IF(C1602=0,"",IF($A1602="Bank",IF(INDEX(Bank!$D:$D,$C1602)="","",INDEX(Bank!$D:$D,$C1602)),IF(INDEX(GL!$D:$D,$C1602)="","",INDEX(GL!$D:$D,$C1602))))</f>
        <v/>
      </c>
      <c r="G1602" s="19" t="str">
        <f aca="false">IF(C1602=0,"",IF($A1602="Bank",INDEX(Bank!$E:$E,$C1602),INDEX(GL!$E:$E,$C1602)))</f>
        <v/>
      </c>
      <c r="H1602" s="5" t="str">
        <f aca="false">IF(C1602=0,"",IF(A1602="GL",IF(G1602&gt;0,"Deposit in transit","Outstanding check / payment"),IF(G1602&gt;0,"Bank credit not in GL","Bank debit not in GL")))</f>
        <v/>
      </c>
      <c r="I1602" s="42" t="str">
        <f aca="false">IF(OR(C1602=0,CFG_PeriodEnd=""),"",CFG_PeriodEnd-D1602)</f>
        <v/>
      </c>
      <c r="J1602" s="5" t="str">
        <f aca="false">IF(C1602=0,"",IF($A1602="Bank",IF(INDEX(Bank!$G:$G,$C1602)="","",INDEX(Bank!$G:$G,$C1602)),IF(INDEX(GL!$G:$G,$C1602)="","",INDEX(GL!$G:$G,$C1602))))</f>
        <v/>
      </c>
      <c r="K1602" s="5" t="str">
        <f aca="false">IF(C1602=0,"",IF($A1602="Bank",IF(INDEX(Bank!$I:$I,$C1602)="","",INDEX(Bank!$I:$I,$C1602)),IF(INDEX(GL!$I:$I,$C1602)="","",INDEX(GL!$I:$I,$C1602))))</f>
        <v/>
      </c>
      <c r="L1602" s="5" t="str">
        <f aca="false">IF(B1602="","",IF(C1602=0,"NOT FOUND",IF(IF($A1602="Bank",INDEX(Bank!$F:$F,$C1602),INDEX(GL!$F:$F,$C1602))="Y","NOW RECONCILED: refresh","OK")))</f>
        <v/>
      </c>
    </row>
    <row r="1603" customFormat="false" ht="15" hidden="false" customHeight="false" outlineLevel="0" collapsed="false">
      <c r="A1603" s="41"/>
      <c r="B1603" s="41"/>
      <c r="C1603" s="5" t="n">
        <f aca="false">IF(B1603="",0,IF(A1603="Bank",IFERROR(MATCH(B1603,Bank!$A:$A,0),0),IFERROR(MATCH(B1603,GL!$A:$A,0),0)))</f>
        <v>0</v>
      </c>
      <c r="D1603" s="32" t="str">
        <f aca="false">IF(C1603=0,"",IF($A1603="Bank",INDEX(Bank!$B:$B,$C1603),INDEX(GL!$B:$B,$C1603)))</f>
        <v/>
      </c>
      <c r="E1603" s="5" t="str">
        <f aca="false">IF(C1603=0,"",IF($A1603="Bank",IF(INDEX(Bank!$C:$C,$C1603)="","",INDEX(Bank!$C:$C,$C1603)),IF(INDEX(GL!$C:$C,$C1603)="","",INDEX(GL!$C:$C,$C1603))))</f>
        <v/>
      </c>
      <c r="F1603" s="5" t="str">
        <f aca="false">IF(C1603=0,"",IF($A1603="Bank",IF(INDEX(Bank!$D:$D,$C1603)="","",INDEX(Bank!$D:$D,$C1603)),IF(INDEX(GL!$D:$D,$C1603)="","",INDEX(GL!$D:$D,$C1603))))</f>
        <v/>
      </c>
      <c r="G1603" s="19" t="str">
        <f aca="false">IF(C1603=0,"",IF($A1603="Bank",INDEX(Bank!$E:$E,$C1603),INDEX(GL!$E:$E,$C1603)))</f>
        <v/>
      </c>
      <c r="H1603" s="5" t="str">
        <f aca="false">IF(C1603=0,"",IF(A1603="GL",IF(G1603&gt;0,"Deposit in transit","Outstanding check / payment"),IF(G1603&gt;0,"Bank credit not in GL","Bank debit not in GL")))</f>
        <v/>
      </c>
      <c r="I1603" s="42" t="str">
        <f aca="false">IF(OR(C1603=0,CFG_PeriodEnd=""),"",CFG_PeriodEnd-D1603)</f>
        <v/>
      </c>
      <c r="J1603" s="5" t="str">
        <f aca="false">IF(C1603=0,"",IF($A1603="Bank",IF(INDEX(Bank!$G:$G,$C1603)="","",INDEX(Bank!$G:$G,$C1603)),IF(INDEX(GL!$G:$G,$C1603)="","",INDEX(GL!$G:$G,$C1603))))</f>
        <v/>
      </c>
      <c r="K1603" s="5" t="str">
        <f aca="false">IF(C1603=0,"",IF($A1603="Bank",IF(INDEX(Bank!$I:$I,$C1603)="","",INDEX(Bank!$I:$I,$C1603)),IF(INDEX(GL!$I:$I,$C1603)="","",INDEX(GL!$I:$I,$C1603))))</f>
        <v/>
      </c>
      <c r="L1603" s="5" t="str">
        <f aca="false">IF(B1603="","",IF(C1603=0,"NOT FOUND",IF(IF($A1603="Bank",INDEX(Bank!$F:$F,$C1603),INDEX(GL!$F:$F,$C1603))="Y","NOW RECONCILED: refresh","OK")))</f>
        <v/>
      </c>
    </row>
    <row r="1604" customFormat="false" ht="15" hidden="false" customHeight="false" outlineLevel="0" collapsed="false">
      <c r="A1604" s="41"/>
      <c r="B1604" s="41"/>
      <c r="C1604" s="5" t="n">
        <f aca="false">IF(B1604="",0,IF(A1604="Bank",IFERROR(MATCH(B1604,Bank!$A:$A,0),0),IFERROR(MATCH(B1604,GL!$A:$A,0),0)))</f>
        <v>0</v>
      </c>
      <c r="D1604" s="32" t="str">
        <f aca="false">IF(C1604=0,"",IF($A1604="Bank",INDEX(Bank!$B:$B,$C1604),INDEX(GL!$B:$B,$C1604)))</f>
        <v/>
      </c>
      <c r="E1604" s="5" t="str">
        <f aca="false">IF(C1604=0,"",IF($A1604="Bank",IF(INDEX(Bank!$C:$C,$C1604)="","",INDEX(Bank!$C:$C,$C1604)),IF(INDEX(GL!$C:$C,$C1604)="","",INDEX(GL!$C:$C,$C1604))))</f>
        <v/>
      </c>
      <c r="F1604" s="5" t="str">
        <f aca="false">IF(C1604=0,"",IF($A1604="Bank",IF(INDEX(Bank!$D:$D,$C1604)="","",INDEX(Bank!$D:$D,$C1604)),IF(INDEX(GL!$D:$D,$C1604)="","",INDEX(GL!$D:$D,$C1604))))</f>
        <v/>
      </c>
      <c r="G1604" s="19" t="str">
        <f aca="false">IF(C1604=0,"",IF($A1604="Bank",INDEX(Bank!$E:$E,$C1604),INDEX(GL!$E:$E,$C1604)))</f>
        <v/>
      </c>
      <c r="H1604" s="5" t="str">
        <f aca="false">IF(C1604=0,"",IF(A1604="GL",IF(G1604&gt;0,"Deposit in transit","Outstanding check / payment"),IF(G1604&gt;0,"Bank credit not in GL","Bank debit not in GL")))</f>
        <v/>
      </c>
      <c r="I1604" s="42" t="str">
        <f aca="false">IF(OR(C1604=0,CFG_PeriodEnd=""),"",CFG_PeriodEnd-D1604)</f>
        <v/>
      </c>
      <c r="J1604" s="5" t="str">
        <f aca="false">IF(C1604=0,"",IF($A1604="Bank",IF(INDEX(Bank!$G:$G,$C1604)="","",INDEX(Bank!$G:$G,$C1604)),IF(INDEX(GL!$G:$G,$C1604)="","",INDEX(GL!$G:$G,$C1604))))</f>
        <v/>
      </c>
      <c r="K1604" s="5" t="str">
        <f aca="false">IF(C1604=0,"",IF($A1604="Bank",IF(INDEX(Bank!$I:$I,$C1604)="","",INDEX(Bank!$I:$I,$C1604)),IF(INDEX(GL!$I:$I,$C1604)="","",INDEX(GL!$I:$I,$C1604))))</f>
        <v/>
      </c>
      <c r="L1604" s="5" t="str">
        <f aca="false">IF(B1604="","",IF(C1604=0,"NOT FOUND",IF(IF($A1604="Bank",INDEX(Bank!$F:$F,$C1604),INDEX(GL!$F:$F,$C1604))="Y","NOW RECONCILED: refresh","OK")))</f>
        <v/>
      </c>
    </row>
    <row r="1605" customFormat="false" ht="15" hidden="false" customHeight="false" outlineLevel="0" collapsed="false">
      <c r="A1605" s="41"/>
      <c r="B1605" s="41"/>
      <c r="C1605" s="5" t="n">
        <f aca="false">IF(B1605="",0,IF(A1605="Bank",IFERROR(MATCH(B1605,Bank!$A:$A,0),0),IFERROR(MATCH(B1605,GL!$A:$A,0),0)))</f>
        <v>0</v>
      </c>
      <c r="D1605" s="32" t="str">
        <f aca="false">IF(C1605=0,"",IF($A1605="Bank",INDEX(Bank!$B:$B,$C1605),INDEX(GL!$B:$B,$C1605)))</f>
        <v/>
      </c>
      <c r="E1605" s="5" t="str">
        <f aca="false">IF(C1605=0,"",IF($A1605="Bank",IF(INDEX(Bank!$C:$C,$C1605)="","",INDEX(Bank!$C:$C,$C1605)),IF(INDEX(GL!$C:$C,$C1605)="","",INDEX(GL!$C:$C,$C1605))))</f>
        <v/>
      </c>
      <c r="F1605" s="5" t="str">
        <f aca="false">IF(C1605=0,"",IF($A1605="Bank",IF(INDEX(Bank!$D:$D,$C1605)="","",INDEX(Bank!$D:$D,$C1605)),IF(INDEX(GL!$D:$D,$C1605)="","",INDEX(GL!$D:$D,$C1605))))</f>
        <v/>
      </c>
      <c r="G1605" s="19" t="str">
        <f aca="false">IF(C1605=0,"",IF($A1605="Bank",INDEX(Bank!$E:$E,$C1605),INDEX(GL!$E:$E,$C1605)))</f>
        <v/>
      </c>
      <c r="H1605" s="5" t="str">
        <f aca="false">IF(C1605=0,"",IF(A1605="GL",IF(G1605&gt;0,"Deposit in transit","Outstanding check / payment"),IF(G1605&gt;0,"Bank credit not in GL","Bank debit not in GL")))</f>
        <v/>
      </c>
      <c r="I1605" s="42" t="str">
        <f aca="false">IF(OR(C1605=0,CFG_PeriodEnd=""),"",CFG_PeriodEnd-D1605)</f>
        <v/>
      </c>
      <c r="J1605" s="5" t="str">
        <f aca="false">IF(C1605=0,"",IF($A1605="Bank",IF(INDEX(Bank!$G:$G,$C1605)="","",INDEX(Bank!$G:$G,$C1605)),IF(INDEX(GL!$G:$G,$C1605)="","",INDEX(GL!$G:$G,$C1605))))</f>
        <v/>
      </c>
      <c r="K1605" s="5" t="str">
        <f aca="false">IF(C1605=0,"",IF($A1605="Bank",IF(INDEX(Bank!$I:$I,$C1605)="","",INDEX(Bank!$I:$I,$C1605)),IF(INDEX(GL!$I:$I,$C1605)="","",INDEX(GL!$I:$I,$C1605))))</f>
        <v/>
      </c>
      <c r="L1605" s="5" t="str">
        <f aca="false">IF(B1605="","",IF(C1605=0,"NOT FOUND",IF(IF($A1605="Bank",INDEX(Bank!$F:$F,$C1605),INDEX(GL!$F:$F,$C1605))="Y","NOW RECONCILED: refresh","OK")))</f>
        <v/>
      </c>
    </row>
    <row r="1606" customFormat="false" ht="15" hidden="false" customHeight="false" outlineLevel="0" collapsed="false">
      <c r="A1606" s="41"/>
      <c r="B1606" s="41"/>
      <c r="C1606" s="5" t="n">
        <f aca="false">IF(B1606="",0,IF(A1606="Bank",IFERROR(MATCH(B1606,Bank!$A:$A,0),0),IFERROR(MATCH(B1606,GL!$A:$A,0),0)))</f>
        <v>0</v>
      </c>
      <c r="D1606" s="32" t="str">
        <f aca="false">IF(C1606=0,"",IF($A1606="Bank",INDEX(Bank!$B:$B,$C1606),INDEX(GL!$B:$B,$C1606)))</f>
        <v/>
      </c>
      <c r="E1606" s="5" t="str">
        <f aca="false">IF(C1606=0,"",IF($A1606="Bank",IF(INDEX(Bank!$C:$C,$C1606)="","",INDEX(Bank!$C:$C,$C1606)),IF(INDEX(GL!$C:$C,$C1606)="","",INDEX(GL!$C:$C,$C1606))))</f>
        <v/>
      </c>
      <c r="F1606" s="5" t="str">
        <f aca="false">IF(C1606=0,"",IF($A1606="Bank",IF(INDEX(Bank!$D:$D,$C1606)="","",INDEX(Bank!$D:$D,$C1606)),IF(INDEX(GL!$D:$D,$C1606)="","",INDEX(GL!$D:$D,$C1606))))</f>
        <v/>
      </c>
      <c r="G1606" s="19" t="str">
        <f aca="false">IF(C1606=0,"",IF($A1606="Bank",INDEX(Bank!$E:$E,$C1606),INDEX(GL!$E:$E,$C1606)))</f>
        <v/>
      </c>
      <c r="H1606" s="5" t="str">
        <f aca="false">IF(C1606=0,"",IF(A1606="GL",IF(G1606&gt;0,"Deposit in transit","Outstanding check / payment"),IF(G1606&gt;0,"Bank credit not in GL","Bank debit not in GL")))</f>
        <v/>
      </c>
      <c r="I1606" s="42" t="str">
        <f aca="false">IF(OR(C1606=0,CFG_PeriodEnd=""),"",CFG_PeriodEnd-D1606)</f>
        <v/>
      </c>
      <c r="J1606" s="5" t="str">
        <f aca="false">IF(C1606=0,"",IF($A1606="Bank",IF(INDEX(Bank!$G:$G,$C1606)="","",INDEX(Bank!$G:$G,$C1606)),IF(INDEX(GL!$G:$G,$C1606)="","",INDEX(GL!$G:$G,$C1606))))</f>
        <v/>
      </c>
      <c r="K1606" s="5" t="str">
        <f aca="false">IF(C1606=0,"",IF($A1606="Bank",IF(INDEX(Bank!$I:$I,$C1606)="","",INDEX(Bank!$I:$I,$C1606)),IF(INDEX(GL!$I:$I,$C1606)="","",INDEX(GL!$I:$I,$C1606))))</f>
        <v/>
      </c>
      <c r="L1606" s="5" t="str">
        <f aca="false">IF(B1606="","",IF(C1606=0,"NOT FOUND",IF(IF($A1606="Bank",INDEX(Bank!$F:$F,$C1606),INDEX(GL!$F:$F,$C1606))="Y","NOW RECONCILED: refresh","OK")))</f>
        <v/>
      </c>
    </row>
    <row r="1607" customFormat="false" ht="15" hidden="false" customHeight="false" outlineLevel="0" collapsed="false">
      <c r="A1607" s="41"/>
      <c r="B1607" s="41"/>
      <c r="C1607" s="5" t="n">
        <f aca="false">IF(B1607="",0,IF(A1607="Bank",IFERROR(MATCH(B1607,Bank!$A:$A,0),0),IFERROR(MATCH(B1607,GL!$A:$A,0),0)))</f>
        <v>0</v>
      </c>
      <c r="D1607" s="32" t="str">
        <f aca="false">IF(C1607=0,"",IF($A1607="Bank",INDEX(Bank!$B:$B,$C1607),INDEX(GL!$B:$B,$C1607)))</f>
        <v/>
      </c>
      <c r="E1607" s="5" t="str">
        <f aca="false">IF(C1607=0,"",IF($A1607="Bank",IF(INDEX(Bank!$C:$C,$C1607)="","",INDEX(Bank!$C:$C,$C1607)),IF(INDEX(GL!$C:$C,$C1607)="","",INDEX(GL!$C:$C,$C1607))))</f>
        <v/>
      </c>
      <c r="F1607" s="5" t="str">
        <f aca="false">IF(C1607=0,"",IF($A1607="Bank",IF(INDEX(Bank!$D:$D,$C1607)="","",INDEX(Bank!$D:$D,$C1607)),IF(INDEX(GL!$D:$D,$C1607)="","",INDEX(GL!$D:$D,$C1607))))</f>
        <v/>
      </c>
      <c r="G1607" s="19" t="str">
        <f aca="false">IF(C1607=0,"",IF($A1607="Bank",INDEX(Bank!$E:$E,$C1607),INDEX(GL!$E:$E,$C1607)))</f>
        <v/>
      </c>
      <c r="H1607" s="5" t="str">
        <f aca="false">IF(C1607=0,"",IF(A1607="GL",IF(G1607&gt;0,"Deposit in transit","Outstanding check / payment"),IF(G1607&gt;0,"Bank credit not in GL","Bank debit not in GL")))</f>
        <v/>
      </c>
      <c r="I1607" s="42" t="str">
        <f aca="false">IF(OR(C1607=0,CFG_PeriodEnd=""),"",CFG_PeriodEnd-D1607)</f>
        <v/>
      </c>
      <c r="J1607" s="5" t="str">
        <f aca="false">IF(C1607=0,"",IF($A1607="Bank",IF(INDEX(Bank!$G:$G,$C1607)="","",INDEX(Bank!$G:$G,$C1607)),IF(INDEX(GL!$G:$G,$C1607)="","",INDEX(GL!$G:$G,$C1607))))</f>
        <v/>
      </c>
      <c r="K1607" s="5" t="str">
        <f aca="false">IF(C1607=0,"",IF($A1607="Bank",IF(INDEX(Bank!$I:$I,$C1607)="","",INDEX(Bank!$I:$I,$C1607)),IF(INDEX(GL!$I:$I,$C1607)="","",INDEX(GL!$I:$I,$C1607))))</f>
        <v/>
      </c>
      <c r="L1607" s="5" t="str">
        <f aca="false">IF(B1607="","",IF(C1607=0,"NOT FOUND",IF(IF($A1607="Bank",INDEX(Bank!$F:$F,$C1607),INDEX(GL!$F:$F,$C1607))="Y","NOW RECONCILED: refresh","OK")))</f>
        <v/>
      </c>
    </row>
    <row r="1608" customFormat="false" ht="15" hidden="false" customHeight="false" outlineLevel="0" collapsed="false">
      <c r="A1608" s="41"/>
      <c r="B1608" s="41"/>
      <c r="C1608" s="5" t="n">
        <f aca="false">IF(B1608="",0,IF(A1608="Bank",IFERROR(MATCH(B1608,Bank!$A:$A,0),0),IFERROR(MATCH(B1608,GL!$A:$A,0),0)))</f>
        <v>0</v>
      </c>
      <c r="D1608" s="32" t="str">
        <f aca="false">IF(C1608=0,"",IF($A1608="Bank",INDEX(Bank!$B:$B,$C1608),INDEX(GL!$B:$B,$C1608)))</f>
        <v/>
      </c>
      <c r="E1608" s="5" t="str">
        <f aca="false">IF(C1608=0,"",IF($A1608="Bank",IF(INDEX(Bank!$C:$C,$C1608)="","",INDEX(Bank!$C:$C,$C1608)),IF(INDEX(GL!$C:$C,$C1608)="","",INDEX(GL!$C:$C,$C1608))))</f>
        <v/>
      </c>
      <c r="F1608" s="5" t="str">
        <f aca="false">IF(C1608=0,"",IF($A1608="Bank",IF(INDEX(Bank!$D:$D,$C1608)="","",INDEX(Bank!$D:$D,$C1608)),IF(INDEX(GL!$D:$D,$C1608)="","",INDEX(GL!$D:$D,$C1608))))</f>
        <v/>
      </c>
      <c r="G1608" s="19" t="str">
        <f aca="false">IF(C1608=0,"",IF($A1608="Bank",INDEX(Bank!$E:$E,$C1608),INDEX(GL!$E:$E,$C1608)))</f>
        <v/>
      </c>
      <c r="H1608" s="5" t="str">
        <f aca="false">IF(C1608=0,"",IF(A1608="GL",IF(G1608&gt;0,"Deposit in transit","Outstanding check / payment"),IF(G1608&gt;0,"Bank credit not in GL","Bank debit not in GL")))</f>
        <v/>
      </c>
      <c r="I1608" s="42" t="str">
        <f aca="false">IF(OR(C1608=0,CFG_PeriodEnd=""),"",CFG_PeriodEnd-D1608)</f>
        <v/>
      </c>
      <c r="J1608" s="5" t="str">
        <f aca="false">IF(C1608=0,"",IF($A1608="Bank",IF(INDEX(Bank!$G:$G,$C1608)="","",INDEX(Bank!$G:$G,$C1608)),IF(INDEX(GL!$G:$G,$C1608)="","",INDEX(GL!$G:$G,$C1608))))</f>
        <v/>
      </c>
      <c r="K1608" s="5" t="str">
        <f aca="false">IF(C1608=0,"",IF($A1608="Bank",IF(INDEX(Bank!$I:$I,$C1608)="","",INDEX(Bank!$I:$I,$C1608)),IF(INDEX(GL!$I:$I,$C1608)="","",INDEX(GL!$I:$I,$C1608))))</f>
        <v/>
      </c>
      <c r="L1608" s="5" t="str">
        <f aca="false">IF(B1608="","",IF(C1608=0,"NOT FOUND",IF(IF($A1608="Bank",INDEX(Bank!$F:$F,$C1608),INDEX(GL!$F:$F,$C1608))="Y","NOW RECONCILED: refresh","OK")))</f>
        <v/>
      </c>
    </row>
    <row r="1609" customFormat="false" ht="15" hidden="false" customHeight="false" outlineLevel="0" collapsed="false">
      <c r="A1609" s="41"/>
      <c r="B1609" s="41"/>
      <c r="C1609" s="5" t="n">
        <f aca="false">IF(B1609="",0,IF(A1609="Bank",IFERROR(MATCH(B1609,Bank!$A:$A,0),0),IFERROR(MATCH(B1609,GL!$A:$A,0),0)))</f>
        <v>0</v>
      </c>
      <c r="D1609" s="32" t="str">
        <f aca="false">IF(C1609=0,"",IF($A1609="Bank",INDEX(Bank!$B:$B,$C1609),INDEX(GL!$B:$B,$C1609)))</f>
        <v/>
      </c>
      <c r="E1609" s="5" t="str">
        <f aca="false">IF(C1609=0,"",IF($A1609="Bank",IF(INDEX(Bank!$C:$C,$C1609)="","",INDEX(Bank!$C:$C,$C1609)),IF(INDEX(GL!$C:$C,$C1609)="","",INDEX(GL!$C:$C,$C1609))))</f>
        <v/>
      </c>
      <c r="F1609" s="5" t="str">
        <f aca="false">IF(C1609=0,"",IF($A1609="Bank",IF(INDEX(Bank!$D:$D,$C1609)="","",INDEX(Bank!$D:$D,$C1609)),IF(INDEX(GL!$D:$D,$C1609)="","",INDEX(GL!$D:$D,$C1609))))</f>
        <v/>
      </c>
      <c r="G1609" s="19" t="str">
        <f aca="false">IF(C1609=0,"",IF($A1609="Bank",INDEX(Bank!$E:$E,$C1609),INDEX(GL!$E:$E,$C1609)))</f>
        <v/>
      </c>
      <c r="H1609" s="5" t="str">
        <f aca="false">IF(C1609=0,"",IF(A1609="GL",IF(G1609&gt;0,"Deposit in transit","Outstanding check / payment"),IF(G1609&gt;0,"Bank credit not in GL","Bank debit not in GL")))</f>
        <v/>
      </c>
      <c r="I1609" s="42" t="str">
        <f aca="false">IF(OR(C1609=0,CFG_PeriodEnd=""),"",CFG_PeriodEnd-D1609)</f>
        <v/>
      </c>
      <c r="J1609" s="5" t="str">
        <f aca="false">IF(C1609=0,"",IF($A1609="Bank",IF(INDEX(Bank!$G:$G,$C1609)="","",INDEX(Bank!$G:$G,$C1609)),IF(INDEX(GL!$G:$G,$C1609)="","",INDEX(GL!$G:$G,$C1609))))</f>
        <v/>
      </c>
      <c r="K1609" s="5" t="str">
        <f aca="false">IF(C1609=0,"",IF($A1609="Bank",IF(INDEX(Bank!$I:$I,$C1609)="","",INDEX(Bank!$I:$I,$C1609)),IF(INDEX(GL!$I:$I,$C1609)="","",INDEX(GL!$I:$I,$C1609))))</f>
        <v/>
      </c>
      <c r="L1609" s="5" t="str">
        <f aca="false">IF(B1609="","",IF(C1609=0,"NOT FOUND",IF(IF($A1609="Bank",INDEX(Bank!$F:$F,$C1609),INDEX(GL!$F:$F,$C1609))="Y","NOW RECONCILED: refresh","OK")))</f>
        <v/>
      </c>
    </row>
    <row r="1610" customFormat="false" ht="15" hidden="false" customHeight="false" outlineLevel="0" collapsed="false">
      <c r="A1610" s="41"/>
      <c r="B1610" s="41"/>
      <c r="C1610" s="5" t="n">
        <f aca="false">IF(B1610="",0,IF(A1610="Bank",IFERROR(MATCH(B1610,Bank!$A:$A,0),0),IFERROR(MATCH(B1610,GL!$A:$A,0),0)))</f>
        <v>0</v>
      </c>
      <c r="D1610" s="32" t="str">
        <f aca="false">IF(C1610=0,"",IF($A1610="Bank",INDEX(Bank!$B:$B,$C1610),INDEX(GL!$B:$B,$C1610)))</f>
        <v/>
      </c>
      <c r="E1610" s="5" t="str">
        <f aca="false">IF(C1610=0,"",IF($A1610="Bank",IF(INDEX(Bank!$C:$C,$C1610)="","",INDEX(Bank!$C:$C,$C1610)),IF(INDEX(GL!$C:$C,$C1610)="","",INDEX(GL!$C:$C,$C1610))))</f>
        <v/>
      </c>
      <c r="F1610" s="5" t="str">
        <f aca="false">IF(C1610=0,"",IF($A1610="Bank",IF(INDEX(Bank!$D:$D,$C1610)="","",INDEX(Bank!$D:$D,$C1610)),IF(INDEX(GL!$D:$D,$C1610)="","",INDEX(GL!$D:$D,$C1610))))</f>
        <v/>
      </c>
      <c r="G1610" s="19" t="str">
        <f aca="false">IF(C1610=0,"",IF($A1610="Bank",INDEX(Bank!$E:$E,$C1610),INDEX(GL!$E:$E,$C1610)))</f>
        <v/>
      </c>
      <c r="H1610" s="5" t="str">
        <f aca="false">IF(C1610=0,"",IF(A1610="GL",IF(G1610&gt;0,"Deposit in transit","Outstanding check / payment"),IF(G1610&gt;0,"Bank credit not in GL","Bank debit not in GL")))</f>
        <v/>
      </c>
      <c r="I1610" s="42" t="str">
        <f aca="false">IF(OR(C1610=0,CFG_PeriodEnd=""),"",CFG_PeriodEnd-D1610)</f>
        <v/>
      </c>
      <c r="J1610" s="5" t="str">
        <f aca="false">IF(C1610=0,"",IF($A1610="Bank",IF(INDEX(Bank!$G:$G,$C1610)="","",INDEX(Bank!$G:$G,$C1610)),IF(INDEX(GL!$G:$G,$C1610)="","",INDEX(GL!$G:$G,$C1610))))</f>
        <v/>
      </c>
      <c r="K1610" s="5" t="str">
        <f aca="false">IF(C1610=0,"",IF($A1610="Bank",IF(INDEX(Bank!$I:$I,$C1610)="","",INDEX(Bank!$I:$I,$C1610)),IF(INDEX(GL!$I:$I,$C1610)="","",INDEX(GL!$I:$I,$C1610))))</f>
        <v/>
      </c>
      <c r="L1610" s="5" t="str">
        <f aca="false">IF(B1610="","",IF(C1610=0,"NOT FOUND",IF(IF($A1610="Bank",INDEX(Bank!$F:$F,$C1610),INDEX(GL!$F:$F,$C1610))="Y","NOW RECONCILED: refresh","OK")))</f>
        <v/>
      </c>
    </row>
    <row r="1611" customFormat="false" ht="15" hidden="false" customHeight="false" outlineLevel="0" collapsed="false">
      <c r="A1611" s="41"/>
      <c r="B1611" s="41"/>
      <c r="C1611" s="5" t="n">
        <f aca="false">IF(B1611="",0,IF(A1611="Bank",IFERROR(MATCH(B1611,Bank!$A:$A,0),0),IFERROR(MATCH(B1611,GL!$A:$A,0),0)))</f>
        <v>0</v>
      </c>
      <c r="D1611" s="32" t="str">
        <f aca="false">IF(C1611=0,"",IF($A1611="Bank",INDEX(Bank!$B:$B,$C1611),INDEX(GL!$B:$B,$C1611)))</f>
        <v/>
      </c>
      <c r="E1611" s="5" t="str">
        <f aca="false">IF(C1611=0,"",IF($A1611="Bank",IF(INDEX(Bank!$C:$C,$C1611)="","",INDEX(Bank!$C:$C,$C1611)),IF(INDEX(GL!$C:$C,$C1611)="","",INDEX(GL!$C:$C,$C1611))))</f>
        <v/>
      </c>
      <c r="F1611" s="5" t="str">
        <f aca="false">IF(C1611=0,"",IF($A1611="Bank",IF(INDEX(Bank!$D:$D,$C1611)="","",INDEX(Bank!$D:$D,$C1611)),IF(INDEX(GL!$D:$D,$C1611)="","",INDEX(GL!$D:$D,$C1611))))</f>
        <v/>
      </c>
      <c r="G1611" s="19" t="str">
        <f aca="false">IF(C1611=0,"",IF($A1611="Bank",INDEX(Bank!$E:$E,$C1611),INDEX(GL!$E:$E,$C1611)))</f>
        <v/>
      </c>
      <c r="H1611" s="5" t="str">
        <f aca="false">IF(C1611=0,"",IF(A1611="GL",IF(G1611&gt;0,"Deposit in transit","Outstanding check / payment"),IF(G1611&gt;0,"Bank credit not in GL","Bank debit not in GL")))</f>
        <v/>
      </c>
      <c r="I1611" s="42" t="str">
        <f aca="false">IF(OR(C1611=0,CFG_PeriodEnd=""),"",CFG_PeriodEnd-D1611)</f>
        <v/>
      </c>
      <c r="J1611" s="5" t="str">
        <f aca="false">IF(C1611=0,"",IF($A1611="Bank",IF(INDEX(Bank!$G:$G,$C1611)="","",INDEX(Bank!$G:$G,$C1611)),IF(INDEX(GL!$G:$G,$C1611)="","",INDEX(GL!$G:$G,$C1611))))</f>
        <v/>
      </c>
      <c r="K1611" s="5" t="str">
        <f aca="false">IF(C1611=0,"",IF($A1611="Bank",IF(INDEX(Bank!$I:$I,$C1611)="","",INDEX(Bank!$I:$I,$C1611)),IF(INDEX(GL!$I:$I,$C1611)="","",INDEX(GL!$I:$I,$C1611))))</f>
        <v/>
      </c>
      <c r="L1611" s="5" t="str">
        <f aca="false">IF(B1611="","",IF(C1611=0,"NOT FOUND",IF(IF($A1611="Bank",INDEX(Bank!$F:$F,$C1611),INDEX(GL!$F:$F,$C1611))="Y","NOW RECONCILED: refresh","OK")))</f>
        <v/>
      </c>
    </row>
    <row r="1612" customFormat="false" ht="15" hidden="false" customHeight="false" outlineLevel="0" collapsed="false">
      <c r="A1612" s="41"/>
      <c r="B1612" s="41"/>
      <c r="C1612" s="5" t="n">
        <f aca="false">IF(B1612="",0,IF(A1612="Bank",IFERROR(MATCH(B1612,Bank!$A:$A,0),0),IFERROR(MATCH(B1612,GL!$A:$A,0),0)))</f>
        <v>0</v>
      </c>
      <c r="D1612" s="32" t="str">
        <f aca="false">IF(C1612=0,"",IF($A1612="Bank",INDEX(Bank!$B:$B,$C1612),INDEX(GL!$B:$B,$C1612)))</f>
        <v/>
      </c>
      <c r="E1612" s="5" t="str">
        <f aca="false">IF(C1612=0,"",IF($A1612="Bank",IF(INDEX(Bank!$C:$C,$C1612)="","",INDEX(Bank!$C:$C,$C1612)),IF(INDEX(GL!$C:$C,$C1612)="","",INDEX(GL!$C:$C,$C1612))))</f>
        <v/>
      </c>
      <c r="F1612" s="5" t="str">
        <f aca="false">IF(C1612=0,"",IF($A1612="Bank",IF(INDEX(Bank!$D:$D,$C1612)="","",INDEX(Bank!$D:$D,$C1612)),IF(INDEX(GL!$D:$D,$C1612)="","",INDEX(GL!$D:$D,$C1612))))</f>
        <v/>
      </c>
      <c r="G1612" s="19" t="str">
        <f aca="false">IF(C1612=0,"",IF($A1612="Bank",INDEX(Bank!$E:$E,$C1612),INDEX(GL!$E:$E,$C1612)))</f>
        <v/>
      </c>
      <c r="H1612" s="5" t="str">
        <f aca="false">IF(C1612=0,"",IF(A1612="GL",IF(G1612&gt;0,"Deposit in transit","Outstanding check / payment"),IF(G1612&gt;0,"Bank credit not in GL","Bank debit not in GL")))</f>
        <v/>
      </c>
      <c r="I1612" s="42" t="str">
        <f aca="false">IF(OR(C1612=0,CFG_PeriodEnd=""),"",CFG_PeriodEnd-D1612)</f>
        <v/>
      </c>
      <c r="J1612" s="5" t="str">
        <f aca="false">IF(C1612=0,"",IF($A1612="Bank",IF(INDEX(Bank!$G:$G,$C1612)="","",INDEX(Bank!$G:$G,$C1612)),IF(INDEX(GL!$G:$G,$C1612)="","",INDEX(GL!$G:$G,$C1612))))</f>
        <v/>
      </c>
      <c r="K1612" s="5" t="str">
        <f aca="false">IF(C1612=0,"",IF($A1612="Bank",IF(INDEX(Bank!$I:$I,$C1612)="","",INDEX(Bank!$I:$I,$C1612)),IF(INDEX(GL!$I:$I,$C1612)="","",INDEX(GL!$I:$I,$C1612))))</f>
        <v/>
      </c>
      <c r="L1612" s="5" t="str">
        <f aca="false">IF(B1612="","",IF(C1612=0,"NOT FOUND",IF(IF($A1612="Bank",INDEX(Bank!$F:$F,$C1612),INDEX(GL!$F:$F,$C1612))="Y","NOW RECONCILED: refresh","OK")))</f>
        <v/>
      </c>
    </row>
    <row r="1613" customFormat="false" ht="15" hidden="false" customHeight="false" outlineLevel="0" collapsed="false">
      <c r="A1613" s="41"/>
      <c r="B1613" s="41"/>
      <c r="C1613" s="5" t="n">
        <f aca="false">IF(B1613="",0,IF(A1613="Bank",IFERROR(MATCH(B1613,Bank!$A:$A,0),0),IFERROR(MATCH(B1613,GL!$A:$A,0),0)))</f>
        <v>0</v>
      </c>
      <c r="D1613" s="32" t="str">
        <f aca="false">IF(C1613=0,"",IF($A1613="Bank",INDEX(Bank!$B:$B,$C1613),INDEX(GL!$B:$B,$C1613)))</f>
        <v/>
      </c>
      <c r="E1613" s="5" t="str">
        <f aca="false">IF(C1613=0,"",IF($A1613="Bank",IF(INDEX(Bank!$C:$C,$C1613)="","",INDEX(Bank!$C:$C,$C1613)),IF(INDEX(GL!$C:$C,$C1613)="","",INDEX(GL!$C:$C,$C1613))))</f>
        <v/>
      </c>
      <c r="F1613" s="5" t="str">
        <f aca="false">IF(C1613=0,"",IF($A1613="Bank",IF(INDEX(Bank!$D:$D,$C1613)="","",INDEX(Bank!$D:$D,$C1613)),IF(INDEX(GL!$D:$D,$C1613)="","",INDEX(GL!$D:$D,$C1613))))</f>
        <v/>
      </c>
      <c r="G1613" s="19" t="str">
        <f aca="false">IF(C1613=0,"",IF($A1613="Bank",INDEX(Bank!$E:$E,$C1613),INDEX(GL!$E:$E,$C1613)))</f>
        <v/>
      </c>
      <c r="H1613" s="5" t="str">
        <f aca="false">IF(C1613=0,"",IF(A1613="GL",IF(G1613&gt;0,"Deposit in transit","Outstanding check / payment"),IF(G1613&gt;0,"Bank credit not in GL","Bank debit not in GL")))</f>
        <v/>
      </c>
      <c r="I1613" s="42" t="str">
        <f aca="false">IF(OR(C1613=0,CFG_PeriodEnd=""),"",CFG_PeriodEnd-D1613)</f>
        <v/>
      </c>
      <c r="J1613" s="5" t="str">
        <f aca="false">IF(C1613=0,"",IF($A1613="Bank",IF(INDEX(Bank!$G:$G,$C1613)="","",INDEX(Bank!$G:$G,$C1613)),IF(INDEX(GL!$G:$G,$C1613)="","",INDEX(GL!$G:$G,$C1613))))</f>
        <v/>
      </c>
      <c r="K1613" s="5" t="str">
        <f aca="false">IF(C1613=0,"",IF($A1613="Bank",IF(INDEX(Bank!$I:$I,$C1613)="","",INDEX(Bank!$I:$I,$C1613)),IF(INDEX(GL!$I:$I,$C1613)="","",INDEX(GL!$I:$I,$C1613))))</f>
        <v/>
      </c>
      <c r="L1613" s="5" t="str">
        <f aca="false">IF(B1613="","",IF(C1613=0,"NOT FOUND",IF(IF($A1613="Bank",INDEX(Bank!$F:$F,$C1613),INDEX(GL!$F:$F,$C1613))="Y","NOW RECONCILED: refresh","OK")))</f>
        <v/>
      </c>
    </row>
    <row r="1614" customFormat="false" ht="15" hidden="false" customHeight="false" outlineLevel="0" collapsed="false">
      <c r="A1614" s="41"/>
      <c r="B1614" s="41"/>
      <c r="C1614" s="5" t="n">
        <f aca="false">IF(B1614="",0,IF(A1614="Bank",IFERROR(MATCH(B1614,Bank!$A:$A,0),0),IFERROR(MATCH(B1614,GL!$A:$A,0),0)))</f>
        <v>0</v>
      </c>
      <c r="D1614" s="32" t="str">
        <f aca="false">IF(C1614=0,"",IF($A1614="Bank",INDEX(Bank!$B:$B,$C1614),INDEX(GL!$B:$B,$C1614)))</f>
        <v/>
      </c>
      <c r="E1614" s="5" t="str">
        <f aca="false">IF(C1614=0,"",IF($A1614="Bank",IF(INDEX(Bank!$C:$C,$C1614)="","",INDEX(Bank!$C:$C,$C1614)),IF(INDEX(GL!$C:$C,$C1614)="","",INDEX(GL!$C:$C,$C1614))))</f>
        <v/>
      </c>
      <c r="F1614" s="5" t="str">
        <f aca="false">IF(C1614=0,"",IF($A1614="Bank",IF(INDEX(Bank!$D:$D,$C1614)="","",INDEX(Bank!$D:$D,$C1614)),IF(INDEX(GL!$D:$D,$C1614)="","",INDEX(GL!$D:$D,$C1614))))</f>
        <v/>
      </c>
      <c r="G1614" s="19" t="str">
        <f aca="false">IF(C1614=0,"",IF($A1614="Bank",INDEX(Bank!$E:$E,$C1614),INDEX(GL!$E:$E,$C1614)))</f>
        <v/>
      </c>
      <c r="H1614" s="5" t="str">
        <f aca="false">IF(C1614=0,"",IF(A1614="GL",IF(G1614&gt;0,"Deposit in transit","Outstanding check / payment"),IF(G1614&gt;0,"Bank credit not in GL","Bank debit not in GL")))</f>
        <v/>
      </c>
      <c r="I1614" s="42" t="str">
        <f aca="false">IF(OR(C1614=0,CFG_PeriodEnd=""),"",CFG_PeriodEnd-D1614)</f>
        <v/>
      </c>
      <c r="J1614" s="5" t="str">
        <f aca="false">IF(C1614=0,"",IF($A1614="Bank",IF(INDEX(Bank!$G:$G,$C1614)="","",INDEX(Bank!$G:$G,$C1614)),IF(INDEX(GL!$G:$G,$C1614)="","",INDEX(GL!$G:$G,$C1614))))</f>
        <v/>
      </c>
      <c r="K1614" s="5" t="str">
        <f aca="false">IF(C1614=0,"",IF($A1614="Bank",IF(INDEX(Bank!$I:$I,$C1614)="","",INDEX(Bank!$I:$I,$C1614)),IF(INDEX(GL!$I:$I,$C1614)="","",INDEX(GL!$I:$I,$C1614))))</f>
        <v/>
      </c>
      <c r="L1614" s="5" t="str">
        <f aca="false">IF(B1614="","",IF(C1614=0,"NOT FOUND",IF(IF($A1614="Bank",INDEX(Bank!$F:$F,$C1614),INDEX(GL!$F:$F,$C1614))="Y","NOW RECONCILED: refresh","OK")))</f>
        <v/>
      </c>
    </row>
    <row r="1615" customFormat="false" ht="15" hidden="false" customHeight="false" outlineLevel="0" collapsed="false">
      <c r="A1615" s="41"/>
      <c r="B1615" s="41"/>
      <c r="C1615" s="5" t="n">
        <f aca="false">IF(B1615="",0,IF(A1615="Bank",IFERROR(MATCH(B1615,Bank!$A:$A,0),0),IFERROR(MATCH(B1615,GL!$A:$A,0),0)))</f>
        <v>0</v>
      </c>
      <c r="D1615" s="32" t="str">
        <f aca="false">IF(C1615=0,"",IF($A1615="Bank",INDEX(Bank!$B:$B,$C1615),INDEX(GL!$B:$B,$C1615)))</f>
        <v/>
      </c>
      <c r="E1615" s="5" t="str">
        <f aca="false">IF(C1615=0,"",IF($A1615="Bank",IF(INDEX(Bank!$C:$C,$C1615)="","",INDEX(Bank!$C:$C,$C1615)),IF(INDEX(GL!$C:$C,$C1615)="","",INDEX(GL!$C:$C,$C1615))))</f>
        <v/>
      </c>
      <c r="F1615" s="5" t="str">
        <f aca="false">IF(C1615=0,"",IF($A1615="Bank",IF(INDEX(Bank!$D:$D,$C1615)="","",INDEX(Bank!$D:$D,$C1615)),IF(INDEX(GL!$D:$D,$C1615)="","",INDEX(GL!$D:$D,$C1615))))</f>
        <v/>
      </c>
      <c r="G1615" s="19" t="str">
        <f aca="false">IF(C1615=0,"",IF($A1615="Bank",INDEX(Bank!$E:$E,$C1615),INDEX(GL!$E:$E,$C1615)))</f>
        <v/>
      </c>
      <c r="H1615" s="5" t="str">
        <f aca="false">IF(C1615=0,"",IF(A1615="GL",IF(G1615&gt;0,"Deposit in transit","Outstanding check / payment"),IF(G1615&gt;0,"Bank credit not in GL","Bank debit not in GL")))</f>
        <v/>
      </c>
      <c r="I1615" s="42" t="str">
        <f aca="false">IF(OR(C1615=0,CFG_PeriodEnd=""),"",CFG_PeriodEnd-D1615)</f>
        <v/>
      </c>
      <c r="J1615" s="5" t="str">
        <f aca="false">IF(C1615=0,"",IF($A1615="Bank",IF(INDEX(Bank!$G:$G,$C1615)="","",INDEX(Bank!$G:$G,$C1615)),IF(INDEX(GL!$G:$G,$C1615)="","",INDEX(GL!$G:$G,$C1615))))</f>
        <v/>
      </c>
      <c r="K1615" s="5" t="str">
        <f aca="false">IF(C1615=0,"",IF($A1615="Bank",IF(INDEX(Bank!$I:$I,$C1615)="","",INDEX(Bank!$I:$I,$C1615)),IF(INDEX(GL!$I:$I,$C1615)="","",INDEX(GL!$I:$I,$C1615))))</f>
        <v/>
      </c>
      <c r="L1615" s="5" t="str">
        <f aca="false">IF(B1615="","",IF(C1615=0,"NOT FOUND",IF(IF($A1615="Bank",INDEX(Bank!$F:$F,$C1615),INDEX(GL!$F:$F,$C1615))="Y","NOW RECONCILED: refresh","OK")))</f>
        <v/>
      </c>
    </row>
    <row r="1616" customFormat="false" ht="15" hidden="false" customHeight="false" outlineLevel="0" collapsed="false">
      <c r="A1616" s="41"/>
      <c r="B1616" s="41"/>
      <c r="C1616" s="5" t="n">
        <f aca="false">IF(B1616="",0,IF(A1616="Bank",IFERROR(MATCH(B1616,Bank!$A:$A,0),0),IFERROR(MATCH(B1616,GL!$A:$A,0),0)))</f>
        <v>0</v>
      </c>
      <c r="D1616" s="32" t="str">
        <f aca="false">IF(C1616=0,"",IF($A1616="Bank",INDEX(Bank!$B:$B,$C1616),INDEX(GL!$B:$B,$C1616)))</f>
        <v/>
      </c>
      <c r="E1616" s="5" t="str">
        <f aca="false">IF(C1616=0,"",IF($A1616="Bank",IF(INDEX(Bank!$C:$C,$C1616)="","",INDEX(Bank!$C:$C,$C1616)),IF(INDEX(GL!$C:$C,$C1616)="","",INDEX(GL!$C:$C,$C1616))))</f>
        <v/>
      </c>
      <c r="F1616" s="5" t="str">
        <f aca="false">IF(C1616=0,"",IF($A1616="Bank",IF(INDEX(Bank!$D:$D,$C1616)="","",INDEX(Bank!$D:$D,$C1616)),IF(INDEX(GL!$D:$D,$C1616)="","",INDEX(GL!$D:$D,$C1616))))</f>
        <v/>
      </c>
      <c r="G1616" s="19" t="str">
        <f aca="false">IF(C1616=0,"",IF($A1616="Bank",INDEX(Bank!$E:$E,$C1616),INDEX(GL!$E:$E,$C1616)))</f>
        <v/>
      </c>
      <c r="H1616" s="5" t="str">
        <f aca="false">IF(C1616=0,"",IF(A1616="GL",IF(G1616&gt;0,"Deposit in transit","Outstanding check / payment"),IF(G1616&gt;0,"Bank credit not in GL","Bank debit not in GL")))</f>
        <v/>
      </c>
      <c r="I1616" s="42" t="str">
        <f aca="false">IF(OR(C1616=0,CFG_PeriodEnd=""),"",CFG_PeriodEnd-D1616)</f>
        <v/>
      </c>
      <c r="J1616" s="5" t="str">
        <f aca="false">IF(C1616=0,"",IF($A1616="Bank",IF(INDEX(Bank!$G:$G,$C1616)="","",INDEX(Bank!$G:$G,$C1616)),IF(INDEX(GL!$G:$G,$C1616)="","",INDEX(GL!$G:$G,$C1616))))</f>
        <v/>
      </c>
      <c r="K1616" s="5" t="str">
        <f aca="false">IF(C1616=0,"",IF($A1616="Bank",IF(INDEX(Bank!$I:$I,$C1616)="","",INDEX(Bank!$I:$I,$C1616)),IF(INDEX(GL!$I:$I,$C1616)="","",INDEX(GL!$I:$I,$C1616))))</f>
        <v/>
      </c>
      <c r="L1616" s="5" t="str">
        <f aca="false">IF(B1616="","",IF(C1616=0,"NOT FOUND",IF(IF($A1616="Bank",INDEX(Bank!$F:$F,$C1616),INDEX(GL!$F:$F,$C1616))="Y","NOW RECONCILED: refresh","OK")))</f>
        <v/>
      </c>
    </row>
    <row r="1617" customFormat="false" ht="15" hidden="false" customHeight="false" outlineLevel="0" collapsed="false">
      <c r="A1617" s="41"/>
      <c r="B1617" s="41"/>
      <c r="C1617" s="5" t="n">
        <f aca="false">IF(B1617="",0,IF(A1617="Bank",IFERROR(MATCH(B1617,Bank!$A:$A,0),0),IFERROR(MATCH(B1617,GL!$A:$A,0),0)))</f>
        <v>0</v>
      </c>
      <c r="D1617" s="32" t="str">
        <f aca="false">IF(C1617=0,"",IF($A1617="Bank",INDEX(Bank!$B:$B,$C1617),INDEX(GL!$B:$B,$C1617)))</f>
        <v/>
      </c>
      <c r="E1617" s="5" t="str">
        <f aca="false">IF(C1617=0,"",IF($A1617="Bank",IF(INDEX(Bank!$C:$C,$C1617)="","",INDEX(Bank!$C:$C,$C1617)),IF(INDEX(GL!$C:$C,$C1617)="","",INDEX(GL!$C:$C,$C1617))))</f>
        <v/>
      </c>
      <c r="F1617" s="5" t="str">
        <f aca="false">IF(C1617=0,"",IF($A1617="Bank",IF(INDEX(Bank!$D:$D,$C1617)="","",INDEX(Bank!$D:$D,$C1617)),IF(INDEX(GL!$D:$D,$C1617)="","",INDEX(GL!$D:$D,$C1617))))</f>
        <v/>
      </c>
      <c r="G1617" s="19" t="str">
        <f aca="false">IF(C1617=0,"",IF($A1617="Bank",INDEX(Bank!$E:$E,$C1617),INDEX(GL!$E:$E,$C1617)))</f>
        <v/>
      </c>
      <c r="H1617" s="5" t="str">
        <f aca="false">IF(C1617=0,"",IF(A1617="GL",IF(G1617&gt;0,"Deposit in transit","Outstanding check / payment"),IF(G1617&gt;0,"Bank credit not in GL","Bank debit not in GL")))</f>
        <v/>
      </c>
      <c r="I1617" s="42" t="str">
        <f aca="false">IF(OR(C1617=0,CFG_PeriodEnd=""),"",CFG_PeriodEnd-D1617)</f>
        <v/>
      </c>
      <c r="J1617" s="5" t="str">
        <f aca="false">IF(C1617=0,"",IF($A1617="Bank",IF(INDEX(Bank!$G:$G,$C1617)="","",INDEX(Bank!$G:$G,$C1617)),IF(INDEX(GL!$G:$G,$C1617)="","",INDEX(GL!$G:$G,$C1617))))</f>
        <v/>
      </c>
      <c r="K1617" s="5" t="str">
        <f aca="false">IF(C1617=0,"",IF($A1617="Bank",IF(INDEX(Bank!$I:$I,$C1617)="","",INDEX(Bank!$I:$I,$C1617)),IF(INDEX(GL!$I:$I,$C1617)="","",INDEX(GL!$I:$I,$C1617))))</f>
        <v/>
      </c>
      <c r="L1617" s="5" t="str">
        <f aca="false">IF(B1617="","",IF(C1617=0,"NOT FOUND",IF(IF($A1617="Bank",INDEX(Bank!$F:$F,$C1617),INDEX(GL!$F:$F,$C1617))="Y","NOW RECONCILED: refresh","OK")))</f>
        <v/>
      </c>
    </row>
    <row r="1618" customFormat="false" ht="15" hidden="false" customHeight="false" outlineLevel="0" collapsed="false">
      <c r="A1618" s="41"/>
      <c r="B1618" s="41"/>
      <c r="C1618" s="5" t="n">
        <f aca="false">IF(B1618="",0,IF(A1618="Bank",IFERROR(MATCH(B1618,Bank!$A:$A,0),0),IFERROR(MATCH(B1618,GL!$A:$A,0),0)))</f>
        <v>0</v>
      </c>
      <c r="D1618" s="32" t="str">
        <f aca="false">IF(C1618=0,"",IF($A1618="Bank",INDEX(Bank!$B:$B,$C1618),INDEX(GL!$B:$B,$C1618)))</f>
        <v/>
      </c>
      <c r="E1618" s="5" t="str">
        <f aca="false">IF(C1618=0,"",IF($A1618="Bank",IF(INDEX(Bank!$C:$C,$C1618)="","",INDEX(Bank!$C:$C,$C1618)),IF(INDEX(GL!$C:$C,$C1618)="","",INDEX(GL!$C:$C,$C1618))))</f>
        <v/>
      </c>
      <c r="F1618" s="5" t="str">
        <f aca="false">IF(C1618=0,"",IF($A1618="Bank",IF(INDEX(Bank!$D:$D,$C1618)="","",INDEX(Bank!$D:$D,$C1618)),IF(INDEX(GL!$D:$D,$C1618)="","",INDEX(GL!$D:$D,$C1618))))</f>
        <v/>
      </c>
      <c r="G1618" s="19" t="str">
        <f aca="false">IF(C1618=0,"",IF($A1618="Bank",INDEX(Bank!$E:$E,$C1618),INDEX(GL!$E:$E,$C1618)))</f>
        <v/>
      </c>
      <c r="H1618" s="5" t="str">
        <f aca="false">IF(C1618=0,"",IF(A1618="GL",IF(G1618&gt;0,"Deposit in transit","Outstanding check / payment"),IF(G1618&gt;0,"Bank credit not in GL","Bank debit not in GL")))</f>
        <v/>
      </c>
      <c r="I1618" s="42" t="str">
        <f aca="false">IF(OR(C1618=0,CFG_PeriodEnd=""),"",CFG_PeriodEnd-D1618)</f>
        <v/>
      </c>
      <c r="J1618" s="5" t="str">
        <f aca="false">IF(C1618=0,"",IF($A1618="Bank",IF(INDEX(Bank!$G:$G,$C1618)="","",INDEX(Bank!$G:$G,$C1618)),IF(INDEX(GL!$G:$G,$C1618)="","",INDEX(GL!$G:$G,$C1618))))</f>
        <v/>
      </c>
      <c r="K1618" s="5" t="str">
        <f aca="false">IF(C1618=0,"",IF($A1618="Bank",IF(INDEX(Bank!$I:$I,$C1618)="","",INDEX(Bank!$I:$I,$C1618)),IF(INDEX(GL!$I:$I,$C1618)="","",INDEX(GL!$I:$I,$C1618))))</f>
        <v/>
      </c>
      <c r="L1618" s="5" t="str">
        <f aca="false">IF(B1618="","",IF(C1618=0,"NOT FOUND",IF(IF($A1618="Bank",INDEX(Bank!$F:$F,$C1618),INDEX(GL!$F:$F,$C1618))="Y","NOW RECONCILED: refresh","OK")))</f>
        <v/>
      </c>
    </row>
    <row r="1619" customFormat="false" ht="15" hidden="false" customHeight="false" outlineLevel="0" collapsed="false">
      <c r="A1619" s="41"/>
      <c r="B1619" s="41"/>
      <c r="C1619" s="5" t="n">
        <f aca="false">IF(B1619="",0,IF(A1619="Bank",IFERROR(MATCH(B1619,Bank!$A:$A,0),0),IFERROR(MATCH(B1619,GL!$A:$A,0),0)))</f>
        <v>0</v>
      </c>
      <c r="D1619" s="32" t="str">
        <f aca="false">IF(C1619=0,"",IF($A1619="Bank",INDEX(Bank!$B:$B,$C1619),INDEX(GL!$B:$B,$C1619)))</f>
        <v/>
      </c>
      <c r="E1619" s="5" t="str">
        <f aca="false">IF(C1619=0,"",IF($A1619="Bank",IF(INDEX(Bank!$C:$C,$C1619)="","",INDEX(Bank!$C:$C,$C1619)),IF(INDEX(GL!$C:$C,$C1619)="","",INDEX(GL!$C:$C,$C1619))))</f>
        <v/>
      </c>
      <c r="F1619" s="5" t="str">
        <f aca="false">IF(C1619=0,"",IF($A1619="Bank",IF(INDEX(Bank!$D:$D,$C1619)="","",INDEX(Bank!$D:$D,$C1619)),IF(INDEX(GL!$D:$D,$C1619)="","",INDEX(GL!$D:$D,$C1619))))</f>
        <v/>
      </c>
      <c r="G1619" s="19" t="str">
        <f aca="false">IF(C1619=0,"",IF($A1619="Bank",INDEX(Bank!$E:$E,$C1619),INDEX(GL!$E:$E,$C1619)))</f>
        <v/>
      </c>
      <c r="H1619" s="5" t="str">
        <f aca="false">IF(C1619=0,"",IF(A1619="GL",IF(G1619&gt;0,"Deposit in transit","Outstanding check / payment"),IF(G1619&gt;0,"Bank credit not in GL","Bank debit not in GL")))</f>
        <v/>
      </c>
      <c r="I1619" s="42" t="str">
        <f aca="false">IF(OR(C1619=0,CFG_PeriodEnd=""),"",CFG_PeriodEnd-D1619)</f>
        <v/>
      </c>
      <c r="J1619" s="5" t="str">
        <f aca="false">IF(C1619=0,"",IF($A1619="Bank",IF(INDEX(Bank!$G:$G,$C1619)="","",INDEX(Bank!$G:$G,$C1619)),IF(INDEX(GL!$G:$G,$C1619)="","",INDEX(GL!$G:$G,$C1619))))</f>
        <v/>
      </c>
      <c r="K1619" s="5" t="str">
        <f aca="false">IF(C1619=0,"",IF($A1619="Bank",IF(INDEX(Bank!$I:$I,$C1619)="","",INDEX(Bank!$I:$I,$C1619)),IF(INDEX(GL!$I:$I,$C1619)="","",INDEX(GL!$I:$I,$C1619))))</f>
        <v/>
      </c>
      <c r="L1619" s="5" t="str">
        <f aca="false">IF(B1619="","",IF(C1619=0,"NOT FOUND",IF(IF($A1619="Bank",INDEX(Bank!$F:$F,$C1619),INDEX(GL!$F:$F,$C1619))="Y","NOW RECONCILED: refresh","OK")))</f>
        <v/>
      </c>
    </row>
    <row r="1620" customFormat="false" ht="15" hidden="false" customHeight="false" outlineLevel="0" collapsed="false">
      <c r="A1620" s="41"/>
      <c r="B1620" s="41"/>
      <c r="C1620" s="5" t="n">
        <f aca="false">IF(B1620="",0,IF(A1620="Bank",IFERROR(MATCH(B1620,Bank!$A:$A,0),0),IFERROR(MATCH(B1620,GL!$A:$A,0),0)))</f>
        <v>0</v>
      </c>
      <c r="D1620" s="32" t="str">
        <f aca="false">IF(C1620=0,"",IF($A1620="Bank",INDEX(Bank!$B:$B,$C1620),INDEX(GL!$B:$B,$C1620)))</f>
        <v/>
      </c>
      <c r="E1620" s="5" t="str">
        <f aca="false">IF(C1620=0,"",IF($A1620="Bank",IF(INDEX(Bank!$C:$C,$C1620)="","",INDEX(Bank!$C:$C,$C1620)),IF(INDEX(GL!$C:$C,$C1620)="","",INDEX(GL!$C:$C,$C1620))))</f>
        <v/>
      </c>
      <c r="F1620" s="5" t="str">
        <f aca="false">IF(C1620=0,"",IF($A1620="Bank",IF(INDEX(Bank!$D:$D,$C1620)="","",INDEX(Bank!$D:$D,$C1620)),IF(INDEX(GL!$D:$D,$C1620)="","",INDEX(GL!$D:$D,$C1620))))</f>
        <v/>
      </c>
      <c r="G1620" s="19" t="str">
        <f aca="false">IF(C1620=0,"",IF($A1620="Bank",INDEX(Bank!$E:$E,$C1620),INDEX(GL!$E:$E,$C1620)))</f>
        <v/>
      </c>
      <c r="H1620" s="5" t="str">
        <f aca="false">IF(C1620=0,"",IF(A1620="GL",IF(G1620&gt;0,"Deposit in transit","Outstanding check / payment"),IF(G1620&gt;0,"Bank credit not in GL","Bank debit not in GL")))</f>
        <v/>
      </c>
      <c r="I1620" s="42" t="str">
        <f aca="false">IF(OR(C1620=0,CFG_PeriodEnd=""),"",CFG_PeriodEnd-D1620)</f>
        <v/>
      </c>
      <c r="J1620" s="5" t="str">
        <f aca="false">IF(C1620=0,"",IF($A1620="Bank",IF(INDEX(Bank!$G:$G,$C1620)="","",INDEX(Bank!$G:$G,$C1620)),IF(INDEX(GL!$G:$G,$C1620)="","",INDEX(GL!$G:$G,$C1620))))</f>
        <v/>
      </c>
      <c r="K1620" s="5" t="str">
        <f aca="false">IF(C1620=0,"",IF($A1620="Bank",IF(INDEX(Bank!$I:$I,$C1620)="","",INDEX(Bank!$I:$I,$C1620)),IF(INDEX(GL!$I:$I,$C1620)="","",INDEX(GL!$I:$I,$C1620))))</f>
        <v/>
      </c>
      <c r="L1620" s="5" t="str">
        <f aca="false">IF(B1620="","",IF(C1620=0,"NOT FOUND",IF(IF($A1620="Bank",INDEX(Bank!$F:$F,$C1620),INDEX(GL!$F:$F,$C1620))="Y","NOW RECONCILED: refresh","OK")))</f>
        <v/>
      </c>
    </row>
    <row r="1621" customFormat="false" ht="15" hidden="false" customHeight="false" outlineLevel="0" collapsed="false">
      <c r="A1621" s="41"/>
      <c r="B1621" s="41"/>
      <c r="C1621" s="5" t="n">
        <f aca="false">IF(B1621="",0,IF(A1621="Bank",IFERROR(MATCH(B1621,Bank!$A:$A,0),0),IFERROR(MATCH(B1621,GL!$A:$A,0),0)))</f>
        <v>0</v>
      </c>
      <c r="D1621" s="32" t="str">
        <f aca="false">IF(C1621=0,"",IF($A1621="Bank",INDEX(Bank!$B:$B,$C1621),INDEX(GL!$B:$B,$C1621)))</f>
        <v/>
      </c>
      <c r="E1621" s="5" t="str">
        <f aca="false">IF(C1621=0,"",IF($A1621="Bank",IF(INDEX(Bank!$C:$C,$C1621)="","",INDEX(Bank!$C:$C,$C1621)),IF(INDEX(GL!$C:$C,$C1621)="","",INDEX(GL!$C:$C,$C1621))))</f>
        <v/>
      </c>
      <c r="F1621" s="5" t="str">
        <f aca="false">IF(C1621=0,"",IF($A1621="Bank",IF(INDEX(Bank!$D:$D,$C1621)="","",INDEX(Bank!$D:$D,$C1621)),IF(INDEX(GL!$D:$D,$C1621)="","",INDEX(GL!$D:$D,$C1621))))</f>
        <v/>
      </c>
      <c r="G1621" s="19" t="str">
        <f aca="false">IF(C1621=0,"",IF($A1621="Bank",INDEX(Bank!$E:$E,$C1621),INDEX(GL!$E:$E,$C1621)))</f>
        <v/>
      </c>
      <c r="H1621" s="5" t="str">
        <f aca="false">IF(C1621=0,"",IF(A1621="GL",IF(G1621&gt;0,"Deposit in transit","Outstanding check / payment"),IF(G1621&gt;0,"Bank credit not in GL","Bank debit not in GL")))</f>
        <v/>
      </c>
      <c r="I1621" s="42" t="str">
        <f aca="false">IF(OR(C1621=0,CFG_PeriodEnd=""),"",CFG_PeriodEnd-D1621)</f>
        <v/>
      </c>
      <c r="J1621" s="5" t="str">
        <f aca="false">IF(C1621=0,"",IF($A1621="Bank",IF(INDEX(Bank!$G:$G,$C1621)="","",INDEX(Bank!$G:$G,$C1621)),IF(INDEX(GL!$G:$G,$C1621)="","",INDEX(GL!$G:$G,$C1621))))</f>
        <v/>
      </c>
      <c r="K1621" s="5" t="str">
        <f aca="false">IF(C1621=0,"",IF($A1621="Bank",IF(INDEX(Bank!$I:$I,$C1621)="","",INDEX(Bank!$I:$I,$C1621)),IF(INDEX(GL!$I:$I,$C1621)="","",INDEX(GL!$I:$I,$C1621))))</f>
        <v/>
      </c>
      <c r="L1621" s="5" t="str">
        <f aca="false">IF(B1621="","",IF(C1621=0,"NOT FOUND",IF(IF($A1621="Bank",INDEX(Bank!$F:$F,$C1621),INDEX(GL!$F:$F,$C1621))="Y","NOW RECONCILED: refresh","OK")))</f>
        <v/>
      </c>
    </row>
    <row r="1622" customFormat="false" ht="15" hidden="false" customHeight="false" outlineLevel="0" collapsed="false">
      <c r="A1622" s="41"/>
      <c r="B1622" s="41"/>
      <c r="C1622" s="5" t="n">
        <f aca="false">IF(B1622="",0,IF(A1622="Bank",IFERROR(MATCH(B1622,Bank!$A:$A,0),0),IFERROR(MATCH(B1622,GL!$A:$A,0),0)))</f>
        <v>0</v>
      </c>
      <c r="D1622" s="32" t="str">
        <f aca="false">IF(C1622=0,"",IF($A1622="Bank",INDEX(Bank!$B:$B,$C1622),INDEX(GL!$B:$B,$C1622)))</f>
        <v/>
      </c>
      <c r="E1622" s="5" t="str">
        <f aca="false">IF(C1622=0,"",IF($A1622="Bank",IF(INDEX(Bank!$C:$C,$C1622)="","",INDEX(Bank!$C:$C,$C1622)),IF(INDEX(GL!$C:$C,$C1622)="","",INDEX(GL!$C:$C,$C1622))))</f>
        <v/>
      </c>
      <c r="F1622" s="5" t="str">
        <f aca="false">IF(C1622=0,"",IF($A1622="Bank",IF(INDEX(Bank!$D:$D,$C1622)="","",INDEX(Bank!$D:$D,$C1622)),IF(INDEX(GL!$D:$D,$C1622)="","",INDEX(GL!$D:$D,$C1622))))</f>
        <v/>
      </c>
      <c r="G1622" s="19" t="str">
        <f aca="false">IF(C1622=0,"",IF($A1622="Bank",INDEX(Bank!$E:$E,$C1622),INDEX(GL!$E:$E,$C1622)))</f>
        <v/>
      </c>
      <c r="H1622" s="5" t="str">
        <f aca="false">IF(C1622=0,"",IF(A1622="GL",IF(G1622&gt;0,"Deposit in transit","Outstanding check / payment"),IF(G1622&gt;0,"Bank credit not in GL","Bank debit not in GL")))</f>
        <v/>
      </c>
      <c r="I1622" s="42" t="str">
        <f aca="false">IF(OR(C1622=0,CFG_PeriodEnd=""),"",CFG_PeriodEnd-D1622)</f>
        <v/>
      </c>
      <c r="J1622" s="5" t="str">
        <f aca="false">IF(C1622=0,"",IF($A1622="Bank",IF(INDEX(Bank!$G:$G,$C1622)="","",INDEX(Bank!$G:$G,$C1622)),IF(INDEX(GL!$G:$G,$C1622)="","",INDEX(GL!$G:$G,$C1622))))</f>
        <v/>
      </c>
      <c r="K1622" s="5" t="str">
        <f aca="false">IF(C1622=0,"",IF($A1622="Bank",IF(INDEX(Bank!$I:$I,$C1622)="","",INDEX(Bank!$I:$I,$C1622)),IF(INDEX(GL!$I:$I,$C1622)="","",INDEX(GL!$I:$I,$C1622))))</f>
        <v/>
      </c>
      <c r="L1622" s="5" t="str">
        <f aca="false">IF(B1622="","",IF(C1622=0,"NOT FOUND",IF(IF($A1622="Bank",INDEX(Bank!$F:$F,$C1622),INDEX(GL!$F:$F,$C1622))="Y","NOW RECONCILED: refresh","OK")))</f>
        <v/>
      </c>
    </row>
    <row r="1623" customFormat="false" ht="15" hidden="false" customHeight="false" outlineLevel="0" collapsed="false">
      <c r="A1623" s="41"/>
      <c r="B1623" s="41"/>
      <c r="C1623" s="5" t="n">
        <f aca="false">IF(B1623="",0,IF(A1623="Bank",IFERROR(MATCH(B1623,Bank!$A:$A,0),0),IFERROR(MATCH(B1623,GL!$A:$A,0),0)))</f>
        <v>0</v>
      </c>
      <c r="D1623" s="32" t="str">
        <f aca="false">IF(C1623=0,"",IF($A1623="Bank",INDEX(Bank!$B:$B,$C1623),INDEX(GL!$B:$B,$C1623)))</f>
        <v/>
      </c>
      <c r="E1623" s="5" t="str">
        <f aca="false">IF(C1623=0,"",IF($A1623="Bank",IF(INDEX(Bank!$C:$C,$C1623)="","",INDEX(Bank!$C:$C,$C1623)),IF(INDEX(GL!$C:$C,$C1623)="","",INDEX(GL!$C:$C,$C1623))))</f>
        <v/>
      </c>
      <c r="F1623" s="5" t="str">
        <f aca="false">IF(C1623=0,"",IF($A1623="Bank",IF(INDEX(Bank!$D:$D,$C1623)="","",INDEX(Bank!$D:$D,$C1623)),IF(INDEX(GL!$D:$D,$C1623)="","",INDEX(GL!$D:$D,$C1623))))</f>
        <v/>
      </c>
      <c r="G1623" s="19" t="str">
        <f aca="false">IF(C1623=0,"",IF($A1623="Bank",INDEX(Bank!$E:$E,$C1623),INDEX(GL!$E:$E,$C1623)))</f>
        <v/>
      </c>
      <c r="H1623" s="5" t="str">
        <f aca="false">IF(C1623=0,"",IF(A1623="GL",IF(G1623&gt;0,"Deposit in transit","Outstanding check / payment"),IF(G1623&gt;0,"Bank credit not in GL","Bank debit not in GL")))</f>
        <v/>
      </c>
      <c r="I1623" s="42" t="str">
        <f aca="false">IF(OR(C1623=0,CFG_PeriodEnd=""),"",CFG_PeriodEnd-D1623)</f>
        <v/>
      </c>
      <c r="J1623" s="5" t="str">
        <f aca="false">IF(C1623=0,"",IF($A1623="Bank",IF(INDEX(Bank!$G:$G,$C1623)="","",INDEX(Bank!$G:$G,$C1623)),IF(INDEX(GL!$G:$G,$C1623)="","",INDEX(GL!$G:$G,$C1623))))</f>
        <v/>
      </c>
      <c r="K1623" s="5" t="str">
        <f aca="false">IF(C1623=0,"",IF($A1623="Bank",IF(INDEX(Bank!$I:$I,$C1623)="","",INDEX(Bank!$I:$I,$C1623)),IF(INDEX(GL!$I:$I,$C1623)="","",INDEX(GL!$I:$I,$C1623))))</f>
        <v/>
      </c>
      <c r="L1623" s="5" t="str">
        <f aca="false">IF(B1623="","",IF(C1623=0,"NOT FOUND",IF(IF($A1623="Bank",INDEX(Bank!$F:$F,$C1623),INDEX(GL!$F:$F,$C1623))="Y","NOW RECONCILED: refresh","OK")))</f>
        <v/>
      </c>
    </row>
    <row r="1624" customFormat="false" ht="15" hidden="false" customHeight="false" outlineLevel="0" collapsed="false">
      <c r="A1624" s="41"/>
      <c r="B1624" s="41"/>
      <c r="C1624" s="5" t="n">
        <f aca="false">IF(B1624="",0,IF(A1624="Bank",IFERROR(MATCH(B1624,Bank!$A:$A,0),0),IFERROR(MATCH(B1624,GL!$A:$A,0),0)))</f>
        <v>0</v>
      </c>
      <c r="D1624" s="32" t="str">
        <f aca="false">IF(C1624=0,"",IF($A1624="Bank",INDEX(Bank!$B:$B,$C1624),INDEX(GL!$B:$B,$C1624)))</f>
        <v/>
      </c>
      <c r="E1624" s="5" t="str">
        <f aca="false">IF(C1624=0,"",IF($A1624="Bank",IF(INDEX(Bank!$C:$C,$C1624)="","",INDEX(Bank!$C:$C,$C1624)),IF(INDEX(GL!$C:$C,$C1624)="","",INDEX(GL!$C:$C,$C1624))))</f>
        <v/>
      </c>
      <c r="F1624" s="5" t="str">
        <f aca="false">IF(C1624=0,"",IF($A1624="Bank",IF(INDEX(Bank!$D:$D,$C1624)="","",INDEX(Bank!$D:$D,$C1624)),IF(INDEX(GL!$D:$D,$C1624)="","",INDEX(GL!$D:$D,$C1624))))</f>
        <v/>
      </c>
      <c r="G1624" s="19" t="str">
        <f aca="false">IF(C1624=0,"",IF($A1624="Bank",INDEX(Bank!$E:$E,$C1624),INDEX(GL!$E:$E,$C1624)))</f>
        <v/>
      </c>
      <c r="H1624" s="5" t="str">
        <f aca="false">IF(C1624=0,"",IF(A1624="GL",IF(G1624&gt;0,"Deposit in transit","Outstanding check / payment"),IF(G1624&gt;0,"Bank credit not in GL","Bank debit not in GL")))</f>
        <v/>
      </c>
      <c r="I1624" s="42" t="str">
        <f aca="false">IF(OR(C1624=0,CFG_PeriodEnd=""),"",CFG_PeriodEnd-D1624)</f>
        <v/>
      </c>
      <c r="J1624" s="5" t="str">
        <f aca="false">IF(C1624=0,"",IF($A1624="Bank",IF(INDEX(Bank!$G:$G,$C1624)="","",INDEX(Bank!$G:$G,$C1624)),IF(INDEX(GL!$G:$G,$C1624)="","",INDEX(GL!$G:$G,$C1624))))</f>
        <v/>
      </c>
      <c r="K1624" s="5" t="str">
        <f aca="false">IF(C1624=0,"",IF($A1624="Bank",IF(INDEX(Bank!$I:$I,$C1624)="","",INDEX(Bank!$I:$I,$C1624)),IF(INDEX(GL!$I:$I,$C1624)="","",INDEX(GL!$I:$I,$C1624))))</f>
        <v/>
      </c>
      <c r="L1624" s="5" t="str">
        <f aca="false">IF(B1624="","",IF(C1624=0,"NOT FOUND",IF(IF($A1624="Bank",INDEX(Bank!$F:$F,$C1624),INDEX(GL!$F:$F,$C1624))="Y","NOW RECONCILED: refresh","OK")))</f>
        <v/>
      </c>
    </row>
    <row r="1625" customFormat="false" ht="15" hidden="false" customHeight="false" outlineLevel="0" collapsed="false">
      <c r="A1625" s="41"/>
      <c r="B1625" s="41"/>
      <c r="C1625" s="5" t="n">
        <f aca="false">IF(B1625="",0,IF(A1625="Bank",IFERROR(MATCH(B1625,Bank!$A:$A,0),0),IFERROR(MATCH(B1625,GL!$A:$A,0),0)))</f>
        <v>0</v>
      </c>
      <c r="D1625" s="32" t="str">
        <f aca="false">IF(C1625=0,"",IF($A1625="Bank",INDEX(Bank!$B:$B,$C1625),INDEX(GL!$B:$B,$C1625)))</f>
        <v/>
      </c>
      <c r="E1625" s="5" t="str">
        <f aca="false">IF(C1625=0,"",IF($A1625="Bank",IF(INDEX(Bank!$C:$C,$C1625)="","",INDEX(Bank!$C:$C,$C1625)),IF(INDEX(GL!$C:$C,$C1625)="","",INDEX(GL!$C:$C,$C1625))))</f>
        <v/>
      </c>
      <c r="F1625" s="5" t="str">
        <f aca="false">IF(C1625=0,"",IF($A1625="Bank",IF(INDEX(Bank!$D:$D,$C1625)="","",INDEX(Bank!$D:$D,$C1625)),IF(INDEX(GL!$D:$D,$C1625)="","",INDEX(GL!$D:$D,$C1625))))</f>
        <v/>
      </c>
      <c r="G1625" s="19" t="str">
        <f aca="false">IF(C1625=0,"",IF($A1625="Bank",INDEX(Bank!$E:$E,$C1625),INDEX(GL!$E:$E,$C1625)))</f>
        <v/>
      </c>
      <c r="H1625" s="5" t="str">
        <f aca="false">IF(C1625=0,"",IF(A1625="GL",IF(G1625&gt;0,"Deposit in transit","Outstanding check / payment"),IF(G1625&gt;0,"Bank credit not in GL","Bank debit not in GL")))</f>
        <v/>
      </c>
      <c r="I1625" s="42" t="str">
        <f aca="false">IF(OR(C1625=0,CFG_PeriodEnd=""),"",CFG_PeriodEnd-D1625)</f>
        <v/>
      </c>
      <c r="J1625" s="5" t="str">
        <f aca="false">IF(C1625=0,"",IF($A1625="Bank",IF(INDEX(Bank!$G:$G,$C1625)="","",INDEX(Bank!$G:$G,$C1625)),IF(INDEX(GL!$G:$G,$C1625)="","",INDEX(GL!$G:$G,$C1625))))</f>
        <v/>
      </c>
      <c r="K1625" s="5" t="str">
        <f aca="false">IF(C1625=0,"",IF($A1625="Bank",IF(INDEX(Bank!$I:$I,$C1625)="","",INDEX(Bank!$I:$I,$C1625)),IF(INDEX(GL!$I:$I,$C1625)="","",INDEX(GL!$I:$I,$C1625))))</f>
        <v/>
      </c>
      <c r="L1625" s="5" t="str">
        <f aca="false">IF(B1625="","",IF(C1625=0,"NOT FOUND",IF(IF($A1625="Bank",INDEX(Bank!$F:$F,$C1625),INDEX(GL!$F:$F,$C1625))="Y","NOW RECONCILED: refresh","OK")))</f>
        <v/>
      </c>
    </row>
    <row r="1626" customFormat="false" ht="15" hidden="false" customHeight="false" outlineLevel="0" collapsed="false">
      <c r="A1626" s="41"/>
      <c r="B1626" s="41"/>
      <c r="C1626" s="5" t="n">
        <f aca="false">IF(B1626="",0,IF(A1626="Bank",IFERROR(MATCH(B1626,Bank!$A:$A,0),0),IFERROR(MATCH(B1626,GL!$A:$A,0),0)))</f>
        <v>0</v>
      </c>
      <c r="D1626" s="32" t="str">
        <f aca="false">IF(C1626=0,"",IF($A1626="Bank",INDEX(Bank!$B:$B,$C1626),INDEX(GL!$B:$B,$C1626)))</f>
        <v/>
      </c>
      <c r="E1626" s="5" t="str">
        <f aca="false">IF(C1626=0,"",IF($A1626="Bank",IF(INDEX(Bank!$C:$C,$C1626)="","",INDEX(Bank!$C:$C,$C1626)),IF(INDEX(GL!$C:$C,$C1626)="","",INDEX(GL!$C:$C,$C1626))))</f>
        <v/>
      </c>
      <c r="F1626" s="5" t="str">
        <f aca="false">IF(C1626=0,"",IF($A1626="Bank",IF(INDEX(Bank!$D:$D,$C1626)="","",INDEX(Bank!$D:$D,$C1626)),IF(INDEX(GL!$D:$D,$C1626)="","",INDEX(GL!$D:$D,$C1626))))</f>
        <v/>
      </c>
      <c r="G1626" s="19" t="str">
        <f aca="false">IF(C1626=0,"",IF($A1626="Bank",INDEX(Bank!$E:$E,$C1626),INDEX(GL!$E:$E,$C1626)))</f>
        <v/>
      </c>
      <c r="H1626" s="5" t="str">
        <f aca="false">IF(C1626=0,"",IF(A1626="GL",IF(G1626&gt;0,"Deposit in transit","Outstanding check / payment"),IF(G1626&gt;0,"Bank credit not in GL","Bank debit not in GL")))</f>
        <v/>
      </c>
      <c r="I1626" s="42" t="str">
        <f aca="false">IF(OR(C1626=0,CFG_PeriodEnd=""),"",CFG_PeriodEnd-D1626)</f>
        <v/>
      </c>
      <c r="J1626" s="5" t="str">
        <f aca="false">IF(C1626=0,"",IF($A1626="Bank",IF(INDEX(Bank!$G:$G,$C1626)="","",INDEX(Bank!$G:$G,$C1626)),IF(INDEX(GL!$G:$G,$C1626)="","",INDEX(GL!$G:$G,$C1626))))</f>
        <v/>
      </c>
      <c r="K1626" s="5" t="str">
        <f aca="false">IF(C1626=0,"",IF($A1626="Bank",IF(INDEX(Bank!$I:$I,$C1626)="","",INDEX(Bank!$I:$I,$C1626)),IF(INDEX(GL!$I:$I,$C1626)="","",INDEX(GL!$I:$I,$C1626))))</f>
        <v/>
      </c>
      <c r="L1626" s="5" t="str">
        <f aca="false">IF(B1626="","",IF(C1626=0,"NOT FOUND",IF(IF($A1626="Bank",INDEX(Bank!$F:$F,$C1626),INDEX(GL!$F:$F,$C1626))="Y","NOW RECONCILED: refresh","OK")))</f>
        <v/>
      </c>
    </row>
    <row r="1627" customFormat="false" ht="15" hidden="false" customHeight="false" outlineLevel="0" collapsed="false">
      <c r="A1627" s="41"/>
      <c r="B1627" s="41"/>
      <c r="C1627" s="5" t="n">
        <f aca="false">IF(B1627="",0,IF(A1627="Bank",IFERROR(MATCH(B1627,Bank!$A:$A,0),0),IFERROR(MATCH(B1627,GL!$A:$A,0),0)))</f>
        <v>0</v>
      </c>
      <c r="D1627" s="32" t="str">
        <f aca="false">IF(C1627=0,"",IF($A1627="Bank",INDEX(Bank!$B:$B,$C1627),INDEX(GL!$B:$B,$C1627)))</f>
        <v/>
      </c>
      <c r="E1627" s="5" t="str">
        <f aca="false">IF(C1627=0,"",IF($A1627="Bank",IF(INDEX(Bank!$C:$C,$C1627)="","",INDEX(Bank!$C:$C,$C1627)),IF(INDEX(GL!$C:$C,$C1627)="","",INDEX(GL!$C:$C,$C1627))))</f>
        <v/>
      </c>
      <c r="F1627" s="5" t="str">
        <f aca="false">IF(C1627=0,"",IF($A1627="Bank",IF(INDEX(Bank!$D:$D,$C1627)="","",INDEX(Bank!$D:$D,$C1627)),IF(INDEX(GL!$D:$D,$C1627)="","",INDEX(GL!$D:$D,$C1627))))</f>
        <v/>
      </c>
      <c r="G1627" s="19" t="str">
        <f aca="false">IF(C1627=0,"",IF($A1627="Bank",INDEX(Bank!$E:$E,$C1627),INDEX(GL!$E:$E,$C1627)))</f>
        <v/>
      </c>
      <c r="H1627" s="5" t="str">
        <f aca="false">IF(C1627=0,"",IF(A1627="GL",IF(G1627&gt;0,"Deposit in transit","Outstanding check / payment"),IF(G1627&gt;0,"Bank credit not in GL","Bank debit not in GL")))</f>
        <v/>
      </c>
      <c r="I1627" s="42" t="str">
        <f aca="false">IF(OR(C1627=0,CFG_PeriodEnd=""),"",CFG_PeriodEnd-D1627)</f>
        <v/>
      </c>
      <c r="J1627" s="5" t="str">
        <f aca="false">IF(C1627=0,"",IF($A1627="Bank",IF(INDEX(Bank!$G:$G,$C1627)="","",INDEX(Bank!$G:$G,$C1627)),IF(INDEX(GL!$G:$G,$C1627)="","",INDEX(GL!$G:$G,$C1627))))</f>
        <v/>
      </c>
      <c r="K1627" s="5" t="str">
        <f aca="false">IF(C1627=0,"",IF($A1627="Bank",IF(INDEX(Bank!$I:$I,$C1627)="","",INDEX(Bank!$I:$I,$C1627)),IF(INDEX(GL!$I:$I,$C1627)="","",INDEX(GL!$I:$I,$C1627))))</f>
        <v/>
      </c>
      <c r="L1627" s="5" t="str">
        <f aca="false">IF(B1627="","",IF(C1627=0,"NOT FOUND",IF(IF($A1627="Bank",INDEX(Bank!$F:$F,$C1627),INDEX(GL!$F:$F,$C1627))="Y","NOW RECONCILED: refresh","OK")))</f>
        <v/>
      </c>
    </row>
    <row r="1628" customFormat="false" ht="15" hidden="false" customHeight="false" outlineLevel="0" collapsed="false">
      <c r="A1628" s="41"/>
      <c r="B1628" s="41"/>
      <c r="C1628" s="5" t="n">
        <f aca="false">IF(B1628="",0,IF(A1628="Bank",IFERROR(MATCH(B1628,Bank!$A:$A,0),0),IFERROR(MATCH(B1628,GL!$A:$A,0),0)))</f>
        <v>0</v>
      </c>
      <c r="D1628" s="32" t="str">
        <f aca="false">IF(C1628=0,"",IF($A1628="Bank",INDEX(Bank!$B:$B,$C1628),INDEX(GL!$B:$B,$C1628)))</f>
        <v/>
      </c>
      <c r="E1628" s="5" t="str">
        <f aca="false">IF(C1628=0,"",IF($A1628="Bank",IF(INDEX(Bank!$C:$C,$C1628)="","",INDEX(Bank!$C:$C,$C1628)),IF(INDEX(GL!$C:$C,$C1628)="","",INDEX(GL!$C:$C,$C1628))))</f>
        <v/>
      </c>
      <c r="F1628" s="5" t="str">
        <f aca="false">IF(C1628=0,"",IF($A1628="Bank",IF(INDEX(Bank!$D:$D,$C1628)="","",INDEX(Bank!$D:$D,$C1628)),IF(INDEX(GL!$D:$D,$C1628)="","",INDEX(GL!$D:$D,$C1628))))</f>
        <v/>
      </c>
      <c r="G1628" s="19" t="str">
        <f aca="false">IF(C1628=0,"",IF($A1628="Bank",INDEX(Bank!$E:$E,$C1628),INDEX(GL!$E:$E,$C1628)))</f>
        <v/>
      </c>
      <c r="H1628" s="5" t="str">
        <f aca="false">IF(C1628=0,"",IF(A1628="GL",IF(G1628&gt;0,"Deposit in transit","Outstanding check / payment"),IF(G1628&gt;0,"Bank credit not in GL","Bank debit not in GL")))</f>
        <v/>
      </c>
      <c r="I1628" s="42" t="str">
        <f aca="false">IF(OR(C1628=0,CFG_PeriodEnd=""),"",CFG_PeriodEnd-D1628)</f>
        <v/>
      </c>
      <c r="J1628" s="5" t="str">
        <f aca="false">IF(C1628=0,"",IF($A1628="Bank",IF(INDEX(Bank!$G:$G,$C1628)="","",INDEX(Bank!$G:$G,$C1628)),IF(INDEX(GL!$G:$G,$C1628)="","",INDEX(GL!$G:$G,$C1628))))</f>
        <v/>
      </c>
      <c r="K1628" s="5" t="str">
        <f aca="false">IF(C1628=0,"",IF($A1628="Bank",IF(INDEX(Bank!$I:$I,$C1628)="","",INDEX(Bank!$I:$I,$C1628)),IF(INDEX(GL!$I:$I,$C1628)="","",INDEX(GL!$I:$I,$C1628))))</f>
        <v/>
      </c>
      <c r="L1628" s="5" t="str">
        <f aca="false">IF(B1628="","",IF(C1628=0,"NOT FOUND",IF(IF($A1628="Bank",INDEX(Bank!$F:$F,$C1628),INDEX(GL!$F:$F,$C1628))="Y","NOW RECONCILED: refresh","OK")))</f>
        <v/>
      </c>
    </row>
    <row r="1629" customFormat="false" ht="15" hidden="false" customHeight="false" outlineLevel="0" collapsed="false">
      <c r="A1629" s="41"/>
      <c r="B1629" s="41"/>
      <c r="C1629" s="5" t="n">
        <f aca="false">IF(B1629="",0,IF(A1629="Bank",IFERROR(MATCH(B1629,Bank!$A:$A,0),0),IFERROR(MATCH(B1629,GL!$A:$A,0),0)))</f>
        <v>0</v>
      </c>
      <c r="D1629" s="32" t="str">
        <f aca="false">IF(C1629=0,"",IF($A1629="Bank",INDEX(Bank!$B:$B,$C1629),INDEX(GL!$B:$B,$C1629)))</f>
        <v/>
      </c>
      <c r="E1629" s="5" t="str">
        <f aca="false">IF(C1629=0,"",IF($A1629="Bank",IF(INDEX(Bank!$C:$C,$C1629)="","",INDEX(Bank!$C:$C,$C1629)),IF(INDEX(GL!$C:$C,$C1629)="","",INDEX(GL!$C:$C,$C1629))))</f>
        <v/>
      </c>
      <c r="F1629" s="5" t="str">
        <f aca="false">IF(C1629=0,"",IF($A1629="Bank",IF(INDEX(Bank!$D:$D,$C1629)="","",INDEX(Bank!$D:$D,$C1629)),IF(INDEX(GL!$D:$D,$C1629)="","",INDEX(GL!$D:$D,$C1629))))</f>
        <v/>
      </c>
      <c r="G1629" s="19" t="str">
        <f aca="false">IF(C1629=0,"",IF($A1629="Bank",INDEX(Bank!$E:$E,$C1629),INDEX(GL!$E:$E,$C1629)))</f>
        <v/>
      </c>
      <c r="H1629" s="5" t="str">
        <f aca="false">IF(C1629=0,"",IF(A1629="GL",IF(G1629&gt;0,"Deposit in transit","Outstanding check / payment"),IF(G1629&gt;0,"Bank credit not in GL","Bank debit not in GL")))</f>
        <v/>
      </c>
      <c r="I1629" s="42" t="str">
        <f aca="false">IF(OR(C1629=0,CFG_PeriodEnd=""),"",CFG_PeriodEnd-D1629)</f>
        <v/>
      </c>
      <c r="J1629" s="5" t="str">
        <f aca="false">IF(C1629=0,"",IF($A1629="Bank",IF(INDEX(Bank!$G:$G,$C1629)="","",INDEX(Bank!$G:$G,$C1629)),IF(INDEX(GL!$G:$G,$C1629)="","",INDEX(GL!$G:$G,$C1629))))</f>
        <v/>
      </c>
      <c r="K1629" s="5" t="str">
        <f aca="false">IF(C1629=0,"",IF($A1629="Bank",IF(INDEX(Bank!$I:$I,$C1629)="","",INDEX(Bank!$I:$I,$C1629)),IF(INDEX(GL!$I:$I,$C1629)="","",INDEX(GL!$I:$I,$C1629))))</f>
        <v/>
      </c>
      <c r="L1629" s="5" t="str">
        <f aca="false">IF(B1629="","",IF(C1629=0,"NOT FOUND",IF(IF($A1629="Bank",INDEX(Bank!$F:$F,$C1629),INDEX(GL!$F:$F,$C1629))="Y","NOW RECONCILED: refresh","OK")))</f>
        <v/>
      </c>
    </row>
    <row r="1630" customFormat="false" ht="15" hidden="false" customHeight="false" outlineLevel="0" collapsed="false">
      <c r="A1630" s="41"/>
      <c r="B1630" s="41"/>
      <c r="C1630" s="5" t="n">
        <f aca="false">IF(B1630="",0,IF(A1630="Bank",IFERROR(MATCH(B1630,Bank!$A:$A,0),0),IFERROR(MATCH(B1630,GL!$A:$A,0),0)))</f>
        <v>0</v>
      </c>
      <c r="D1630" s="32" t="str">
        <f aca="false">IF(C1630=0,"",IF($A1630="Bank",INDEX(Bank!$B:$B,$C1630),INDEX(GL!$B:$B,$C1630)))</f>
        <v/>
      </c>
      <c r="E1630" s="5" t="str">
        <f aca="false">IF(C1630=0,"",IF($A1630="Bank",IF(INDEX(Bank!$C:$C,$C1630)="","",INDEX(Bank!$C:$C,$C1630)),IF(INDEX(GL!$C:$C,$C1630)="","",INDEX(GL!$C:$C,$C1630))))</f>
        <v/>
      </c>
      <c r="F1630" s="5" t="str">
        <f aca="false">IF(C1630=0,"",IF($A1630="Bank",IF(INDEX(Bank!$D:$D,$C1630)="","",INDEX(Bank!$D:$D,$C1630)),IF(INDEX(GL!$D:$D,$C1630)="","",INDEX(GL!$D:$D,$C1630))))</f>
        <v/>
      </c>
      <c r="G1630" s="19" t="str">
        <f aca="false">IF(C1630=0,"",IF($A1630="Bank",INDEX(Bank!$E:$E,$C1630),INDEX(GL!$E:$E,$C1630)))</f>
        <v/>
      </c>
      <c r="H1630" s="5" t="str">
        <f aca="false">IF(C1630=0,"",IF(A1630="GL",IF(G1630&gt;0,"Deposit in transit","Outstanding check / payment"),IF(G1630&gt;0,"Bank credit not in GL","Bank debit not in GL")))</f>
        <v/>
      </c>
      <c r="I1630" s="42" t="str">
        <f aca="false">IF(OR(C1630=0,CFG_PeriodEnd=""),"",CFG_PeriodEnd-D1630)</f>
        <v/>
      </c>
      <c r="J1630" s="5" t="str">
        <f aca="false">IF(C1630=0,"",IF($A1630="Bank",IF(INDEX(Bank!$G:$G,$C1630)="","",INDEX(Bank!$G:$G,$C1630)),IF(INDEX(GL!$G:$G,$C1630)="","",INDEX(GL!$G:$G,$C1630))))</f>
        <v/>
      </c>
      <c r="K1630" s="5" t="str">
        <f aca="false">IF(C1630=0,"",IF($A1630="Bank",IF(INDEX(Bank!$I:$I,$C1630)="","",INDEX(Bank!$I:$I,$C1630)),IF(INDEX(GL!$I:$I,$C1630)="","",INDEX(GL!$I:$I,$C1630))))</f>
        <v/>
      </c>
      <c r="L1630" s="5" t="str">
        <f aca="false">IF(B1630="","",IF(C1630=0,"NOT FOUND",IF(IF($A1630="Bank",INDEX(Bank!$F:$F,$C1630),INDEX(GL!$F:$F,$C1630))="Y","NOW RECONCILED: refresh","OK")))</f>
        <v/>
      </c>
    </row>
    <row r="1631" customFormat="false" ht="15" hidden="false" customHeight="false" outlineLevel="0" collapsed="false">
      <c r="A1631" s="41"/>
      <c r="B1631" s="41"/>
      <c r="C1631" s="5" t="n">
        <f aca="false">IF(B1631="",0,IF(A1631="Bank",IFERROR(MATCH(B1631,Bank!$A:$A,0),0),IFERROR(MATCH(B1631,GL!$A:$A,0),0)))</f>
        <v>0</v>
      </c>
      <c r="D1631" s="32" t="str">
        <f aca="false">IF(C1631=0,"",IF($A1631="Bank",INDEX(Bank!$B:$B,$C1631),INDEX(GL!$B:$B,$C1631)))</f>
        <v/>
      </c>
      <c r="E1631" s="5" t="str">
        <f aca="false">IF(C1631=0,"",IF($A1631="Bank",IF(INDEX(Bank!$C:$C,$C1631)="","",INDEX(Bank!$C:$C,$C1631)),IF(INDEX(GL!$C:$C,$C1631)="","",INDEX(GL!$C:$C,$C1631))))</f>
        <v/>
      </c>
      <c r="F1631" s="5" t="str">
        <f aca="false">IF(C1631=0,"",IF($A1631="Bank",IF(INDEX(Bank!$D:$D,$C1631)="","",INDEX(Bank!$D:$D,$C1631)),IF(INDEX(GL!$D:$D,$C1631)="","",INDEX(GL!$D:$D,$C1631))))</f>
        <v/>
      </c>
      <c r="G1631" s="19" t="str">
        <f aca="false">IF(C1631=0,"",IF($A1631="Bank",INDEX(Bank!$E:$E,$C1631),INDEX(GL!$E:$E,$C1631)))</f>
        <v/>
      </c>
      <c r="H1631" s="5" t="str">
        <f aca="false">IF(C1631=0,"",IF(A1631="GL",IF(G1631&gt;0,"Deposit in transit","Outstanding check / payment"),IF(G1631&gt;0,"Bank credit not in GL","Bank debit not in GL")))</f>
        <v/>
      </c>
      <c r="I1631" s="42" t="str">
        <f aca="false">IF(OR(C1631=0,CFG_PeriodEnd=""),"",CFG_PeriodEnd-D1631)</f>
        <v/>
      </c>
      <c r="J1631" s="5" t="str">
        <f aca="false">IF(C1631=0,"",IF($A1631="Bank",IF(INDEX(Bank!$G:$G,$C1631)="","",INDEX(Bank!$G:$G,$C1631)),IF(INDEX(GL!$G:$G,$C1631)="","",INDEX(GL!$G:$G,$C1631))))</f>
        <v/>
      </c>
      <c r="K1631" s="5" t="str">
        <f aca="false">IF(C1631=0,"",IF($A1631="Bank",IF(INDEX(Bank!$I:$I,$C1631)="","",INDEX(Bank!$I:$I,$C1631)),IF(INDEX(GL!$I:$I,$C1631)="","",INDEX(GL!$I:$I,$C1631))))</f>
        <v/>
      </c>
      <c r="L1631" s="5" t="str">
        <f aca="false">IF(B1631="","",IF(C1631=0,"NOT FOUND",IF(IF($A1631="Bank",INDEX(Bank!$F:$F,$C1631),INDEX(GL!$F:$F,$C1631))="Y","NOW RECONCILED: refresh","OK")))</f>
        <v/>
      </c>
    </row>
    <row r="1632" customFormat="false" ht="15" hidden="false" customHeight="false" outlineLevel="0" collapsed="false">
      <c r="A1632" s="41"/>
      <c r="B1632" s="41"/>
      <c r="C1632" s="5" t="n">
        <f aca="false">IF(B1632="",0,IF(A1632="Bank",IFERROR(MATCH(B1632,Bank!$A:$A,0),0),IFERROR(MATCH(B1632,GL!$A:$A,0),0)))</f>
        <v>0</v>
      </c>
      <c r="D1632" s="32" t="str">
        <f aca="false">IF(C1632=0,"",IF($A1632="Bank",INDEX(Bank!$B:$B,$C1632),INDEX(GL!$B:$B,$C1632)))</f>
        <v/>
      </c>
      <c r="E1632" s="5" t="str">
        <f aca="false">IF(C1632=0,"",IF($A1632="Bank",IF(INDEX(Bank!$C:$C,$C1632)="","",INDEX(Bank!$C:$C,$C1632)),IF(INDEX(GL!$C:$C,$C1632)="","",INDEX(GL!$C:$C,$C1632))))</f>
        <v/>
      </c>
      <c r="F1632" s="5" t="str">
        <f aca="false">IF(C1632=0,"",IF($A1632="Bank",IF(INDEX(Bank!$D:$D,$C1632)="","",INDEX(Bank!$D:$D,$C1632)),IF(INDEX(GL!$D:$D,$C1632)="","",INDEX(GL!$D:$D,$C1632))))</f>
        <v/>
      </c>
      <c r="G1632" s="19" t="str">
        <f aca="false">IF(C1632=0,"",IF($A1632="Bank",INDEX(Bank!$E:$E,$C1632),INDEX(GL!$E:$E,$C1632)))</f>
        <v/>
      </c>
      <c r="H1632" s="5" t="str">
        <f aca="false">IF(C1632=0,"",IF(A1632="GL",IF(G1632&gt;0,"Deposit in transit","Outstanding check / payment"),IF(G1632&gt;0,"Bank credit not in GL","Bank debit not in GL")))</f>
        <v/>
      </c>
      <c r="I1632" s="42" t="str">
        <f aca="false">IF(OR(C1632=0,CFG_PeriodEnd=""),"",CFG_PeriodEnd-D1632)</f>
        <v/>
      </c>
      <c r="J1632" s="5" t="str">
        <f aca="false">IF(C1632=0,"",IF($A1632="Bank",IF(INDEX(Bank!$G:$G,$C1632)="","",INDEX(Bank!$G:$G,$C1632)),IF(INDEX(GL!$G:$G,$C1632)="","",INDEX(GL!$G:$G,$C1632))))</f>
        <v/>
      </c>
      <c r="K1632" s="5" t="str">
        <f aca="false">IF(C1632=0,"",IF($A1632="Bank",IF(INDEX(Bank!$I:$I,$C1632)="","",INDEX(Bank!$I:$I,$C1632)),IF(INDEX(GL!$I:$I,$C1632)="","",INDEX(GL!$I:$I,$C1632))))</f>
        <v/>
      </c>
      <c r="L1632" s="5" t="str">
        <f aca="false">IF(B1632="","",IF(C1632=0,"NOT FOUND",IF(IF($A1632="Bank",INDEX(Bank!$F:$F,$C1632),INDEX(GL!$F:$F,$C1632))="Y","NOW RECONCILED: refresh","OK")))</f>
        <v/>
      </c>
    </row>
    <row r="1633" customFormat="false" ht="15" hidden="false" customHeight="false" outlineLevel="0" collapsed="false">
      <c r="A1633" s="41"/>
      <c r="B1633" s="41"/>
      <c r="C1633" s="5" t="n">
        <f aca="false">IF(B1633="",0,IF(A1633="Bank",IFERROR(MATCH(B1633,Bank!$A:$A,0),0),IFERROR(MATCH(B1633,GL!$A:$A,0),0)))</f>
        <v>0</v>
      </c>
      <c r="D1633" s="32" t="str">
        <f aca="false">IF(C1633=0,"",IF($A1633="Bank",INDEX(Bank!$B:$B,$C1633),INDEX(GL!$B:$B,$C1633)))</f>
        <v/>
      </c>
      <c r="E1633" s="5" t="str">
        <f aca="false">IF(C1633=0,"",IF($A1633="Bank",IF(INDEX(Bank!$C:$C,$C1633)="","",INDEX(Bank!$C:$C,$C1633)),IF(INDEX(GL!$C:$C,$C1633)="","",INDEX(GL!$C:$C,$C1633))))</f>
        <v/>
      </c>
      <c r="F1633" s="5" t="str">
        <f aca="false">IF(C1633=0,"",IF($A1633="Bank",IF(INDEX(Bank!$D:$D,$C1633)="","",INDEX(Bank!$D:$D,$C1633)),IF(INDEX(GL!$D:$D,$C1633)="","",INDEX(GL!$D:$D,$C1633))))</f>
        <v/>
      </c>
      <c r="G1633" s="19" t="str">
        <f aca="false">IF(C1633=0,"",IF($A1633="Bank",INDEX(Bank!$E:$E,$C1633),INDEX(GL!$E:$E,$C1633)))</f>
        <v/>
      </c>
      <c r="H1633" s="5" t="str">
        <f aca="false">IF(C1633=0,"",IF(A1633="GL",IF(G1633&gt;0,"Deposit in transit","Outstanding check / payment"),IF(G1633&gt;0,"Bank credit not in GL","Bank debit not in GL")))</f>
        <v/>
      </c>
      <c r="I1633" s="42" t="str">
        <f aca="false">IF(OR(C1633=0,CFG_PeriodEnd=""),"",CFG_PeriodEnd-D1633)</f>
        <v/>
      </c>
      <c r="J1633" s="5" t="str">
        <f aca="false">IF(C1633=0,"",IF($A1633="Bank",IF(INDEX(Bank!$G:$G,$C1633)="","",INDEX(Bank!$G:$G,$C1633)),IF(INDEX(GL!$G:$G,$C1633)="","",INDEX(GL!$G:$G,$C1633))))</f>
        <v/>
      </c>
      <c r="K1633" s="5" t="str">
        <f aca="false">IF(C1633=0,"",IF($A1633="Bank",IF(INDEX(Bank!$I:$I,$C1633)="","",INDEX(Bank!$I:$I,$C1633)),IF(INDEX(GL!$I:$I,$C1633)="","",INDEX(GL!$I:$I,$C1633))))</f>
        <v/>
      </c>
      <c r="L1633" s="5" t="str">
        <f aca="false">IF(B1633="","",IF(C1633=0,"NOT FOUND",IF(IF($A1633="Bank",INDEX(Bank!$F:$F,$C1633),INDEX(GL!$F:$F,$C1633))="Y","NOW RECONCILED: refresh","OK")))</f>
        <v/>
      </c>
    </row>
    <row r="1634" customFormat="false" ht="15" hidden="false" customHeight="false" outlineLevel="0" collapsed="false">
      <c r="A1634" s="41"/>
      <c r="B1634" s="41"/>
      <c r="C1634" s="5" t="n">
        <f aca="false">IF(B1634="",0,IF(A1634="Bank",IFERROR(MATCH(B1634,Bank!$A:$A,0),0),IFERROR(MATCH(B1634,GL!$A:$A,0),0)))</f>
        <v>0</v>
      </c>
      <c r="D1634" s="32" t="str">
        <f aca="false">IF(C1634=0,"",IF($A1634="Bank",INDEX(Bank!$B:$B,$C1634),INDEX(GL!$B:$B,$C1634)))</f>
        <v/>
      </c>
      <c r="E1634" s="5" t="str">
        <f aca="false">IF(C1634=0,"",IF($A1634="Bank",IF(INDEX(Bank!$C:$C,$C1634)="","",INDEX(Bank!$C:$C,$C1634)),IF(INDEX(GL!$C:$C,$C1634)="","",INDEX(GL!$C:$C,$C1634))))</f>
        <v/>
      </c>
      <c r="F1634" s="5" t="str">
        <f aca="false">IF(C1634=0,"",IF($A1634="Bank",IF(INDEX(Bank!$D:$D,$C1634)="","",INDEX(Bank!$D:$D,$C1634)),IF(INDEX(GL!$D:$D,$C1634)="","",INDEX(GL!$D:$D,$C1634))))</f>
        <v/>
      </c>
      <c r="G1634" s="19" t="str">
        <f aca="false">IF(C1634=0,"",IF($A1634="Bank",INDEX(Bank!$E:$E,$C1634),INDEX(GL!$E:$E,$C1634)))</f>
        <v/>
      </c>
      <c r="H1634" s="5" t="str">
        <f aca="false">IF(C1634=0,"",IF(A1634="GL",IF(G1634&gt;0,"Deposit in transit","Outstanding check / payment"),IF(G1634&gt;0,"Bank credit not in GL","Bank debit not in GL")))</f>
        <v/>
      </c>
      <c r="I1634" s="42" t="str">
        <f aca="false">IF(OR(C1634=0,CFG_PeriodEnd=""),"",CFG_PeriodEnd-D1634)</f>
        <v/>
      </c>
      <c r="J1634" s="5" t="str">
        <f aca="false">IF(C1634=0,"",IF($A1634="Bank",IF(INDEX(Bank!$G:$G,$C1634)="","",INDEX(Bank!$G:$G,$C1634)),IF(INDEX(GL!$G:$G,$C1634)="","",INDEX(GL!$G:$G,$C1634))))</f>
        <v/>
      </c>
      <c r="K1634" s="5" t="str">
        <f aca="false">IF(C1634=0,"",IF($A1634="Bank",IF(INDEX(Bank!$I:$I,$C1634)="","",INDEX(Bank!$I:$I,$C1634)),IF(INDEX(GL!$I:$I,$C1634)="","",INDEX(GL!$I:$I,$C1634))))</f>
        <v/>
      </c>
      <c r="L1634" s="5" t="str">
        <f aca="false">IF(B1634="","",IF(C1634=0,"NOT FOUND",IF(IF($A1634="Bank",INDEX(Bank!$F:$F,$C1634),INDEX(GL!$F:$F,$C1634))="Y","NOW RECONCILED: refresh","OK")))</f>
        <v/>
      </c>
    </row>
    <row r="1635" customFormat="false" ht="15" hidden="false" customHeight="false" outlineLevel="0" collapsed="false">
      <c r="A1635" s="41"/>
      <c r="B1635" s="41"/>
      <c r="C1635" s="5" t="n">
        <f aca="false">IF(B1635="",0,IF(A1635="Bank",IFERROR(MATCH(B1635,Bank!$A:$A,0),0),IFERROR(MATCH(B1635,GL!$A:$A,0),0)))</f>
        <v>0</v>
      </c>
      <c r="D1635" s="32" t="str">
        <f aca="false">IF(C1635=0,"",IF($A1635="Bank",INDEX(Bank!$B:$B,$C1635),INDEX(GL!$B:$B,$C1635)))</f>
        <v/>
      </c>
      <c r="E1635" s="5" t="str">
        <f aca="false">IF(C1635=0,"",IF($A1635="Bank",IF(INDEX(Bank!$C:$C,$C1635)="","",INDEX(Bank!$C:$C,$C1635)),IF(INDEX(GL!$C:$C,$C1635)="","",INDEX(GL!$C:$C,$C1635))))</f>
        <v/>
      </c>
      <c r="F1635" s="5" t="str">
        <f aca="false">IF(C1635=0,"",IF($A1635="Bank",IF(INDEX(Bank!$D:$D,$C1635)="","",INDEX(Bank!$D:$D,$C1635)),IF(INDEX(GL!$D:$D,$C1635)="","",INDEX(GL!$D:$D,$C1635))))</f>
        <v/>
      </c>
      <c r="G1635" s="19" t="str">
        <f aca="false">IF(C1635=0,"",IF($A1635="Bank",INDEX(Bank!$E:$E,$C1635),INDEX(GL!$E:$E,$C1635)))</f>
        <v/>
      </c>
      <c r="H1635" s="5" t="str">
        <f aca="false">IF(C1635=0,"",IF(A1635="GL",IF(G1635&gt;0,"Deposit in transit","Outstanding check / payment"),IF(G1635&gt;0,"Bank credit not in GL","Bank debit not in GL")))</f>
        <v/>
      </c>
      <c r="I1635" s="42" t="str">
        <f aca="false">IF(OR(C1635=0,CFG_PeriodEnd=""),"",CFG_PeriodEnd-D1635)</f>
        <v/>
      </c>
      <c r="J1635" s="5" t="str">
        <f aca="false">IF(C1635=0,"",IF($A1635="Bank",IF(INDEX(Bank!$G:$G,$C1635)="","",INDEX(Bank!$G:$G,$C1635)),IF(INDEX(GL!$G:$G,$C1635)="","",INDEX(GL!$G:$G,$C1635))))</f>
        <v/>
      </c>
      <c r="K1635" s="5" t="str">
        <f aca="false">IF(C1635=0,"",IF($A1635="Bank",IF(INDEX(Bank!$I:$I,$C1635)="","",INDEX(Bank!$I:$I,$C1635)),IF(INDEX(GL!$I:$I,$C1635)="","",INDEX(GL!$I:$I,$C1635))))</f>
        <v/>
      </c>
      <c r="L1635" s="5" t="str">
        <f aca="false">IF(B1635="","",IF(C1635=0,"NOT FOUND",IF(IF($A1635="Bank",INDEX(Bank!$F:$F,$C1635),INDEX(GL!$F:$F,$C1635))="Y","NOW RECONCILED: refresh","OK")))</f>
        <v/>
      </c>
    </row>
    <row r="1636" customFormat="false" ht="15" hidden="false" customHeight="false" outlineLevel="0" collapsed="false">
      <c r="A1636" s="41"/>
      <c r="B1636" s="41"/>
      <c r="C1636" s="5" t="n">
        <f aca="false">IF(B1636="",0,IF(A1636="Bank",IFERROR(MATCH(B1636,Bank!$A:$A,0),0),IFERROR(MATCH(B1636,GL!$A:$A,0),0)))</f>
        <v>0</v>
      </c>
      <c r="D1636" s="32" t="str">
        <f aca="false">IF(C1636=0,"",IF($A1636="Bank",INDEX(Bank!$B:$B,$C1636),INDEX(GL!$B:$B,$C1636)))</f>
        <v/>
      </c>
      <c r="E1636" s="5" t="str">
        <f aca="false">IF(C1636=0,"",IF($A1636="Bank",IF(INDEX(Bank!$C:$C,$C1636)="","",INDEX(Bank!$C:$C,$C1636)),IF(INDEX(GL!$C:$C,$C1636)="","",INDEX(GL!$C:$C,$C1636))))</f>
        <v/>
      </c>
      <c r="F1636" s="5" t="str">
        <f aca="false">IF(C1636=0,"",IF($A1636="Bank",IF(INDEX(Bank!$D:$D,$C1636)="","",INDEX(Bank!$D:$D,$C1636)),IF(INDEX(GL!$D:$D,$C1636)="","",INDEX(GL!$D:$D,$C1636))))</f>
        <v/>
      </c>
      <c r="G1636" s="19" t="str">
        <f aca="false">IF(C1636=0,"",IF($A1636="Bank",INDEX(Bank!$E:$E,$C1636),INDEX(GL!$E:$E,$C1636)))</f>
        <v/>
      </c>
      <c r="H1636" s="5" t="str">
        <f aca="false">IF(C1636=0,"",IF(A1636="GL",IF(G1636&gt;0,"Deposit in transit","Outstanding check / payment"),IF(G1636&gt;0,"Bank credit not in GL","Bank debit not in GL")))</f>
        <v/>
      </c>
      <c r="I1636" s="42" t="str">
        <f aca="false">IF(OR(C1636=0,CFG_PeriodEnd=""),"",CFG_PeriodEnd-D1636)</f>
        <v/>
      </c>
      <c r="J1636" s="5" t="str">
        <f aca="false">IF(C1636=0,"",IF($A1636="Bank",IF(INDEX(Bank!$G:$G,$C1636)="","",INDEX(Bank!$G:$G,$C1636)),IF(INDEX(GL!$G:$G,$C1636)="","",INDEX(GL!$G:$G,$C1636))))</f>
        <v/>
      </c>
      <c r="K1636" s="5" t="str">
        <f aca="false">IF(C1636=0,"",IF($A1636="Bank",IF(INDEX(Bank!$I:$I,$C1636)="","",INDEX(Bank!$I:$I,$C1636)),IF(INDEX(GL!$I:$I,$C1636)="","",INDEX(GL!$I:$I,$C1636))))</f>
        <v/>
      </c>
      <c r="L1636" s="5" t="str">
        <f aca="false">IF(B1636="","",IF(C1636=0,"NOT FOUND",IF(IF($A1636="Bank",INDEX(Bank!$F:$F,$C1636),INDEX(GL!$F:$F,$C1636))="Y","NOW RECONCILED: refresh","OK")))</f>
        <v/>
      </c>
    </row>
    <row r="1637" customFormat="false" ht="15" hidden="false" customHeight="false" outlineLevel="0" collapsed="false">
      <c r="A1637" s="41"/>
      <c r="B1637" s="41"/>
      <c r="C1637" s="5" t="n">
        <f aca="false">IF(B1637="",0,IF(A1637="Bank",IFERROR(MATCH(B1637,Bank!$A:$A,0),0),IFERROR(MATCH(B1637,GL!$A:$A,0),0)))</f>
        <v>0</v>
      </c>
      <c r="D1637" s="32" t="str">
        <f aca="false">IF(C1637=0,"",IF($A1637="Bank",INDEX(Bank!$B:$B,$C1637),INDEX(GL!$B:$B,$C1637)))</f>
        <v/>
      </c>
      <c r="E1637" s="5" t="str">
        <f aca="false">IF(C1637=0,"",IF($A1637="Bank",IF(INDEX(Bank!$C:$C,$C1637)="","",INDEX(Bank!$C:$C,$C1637)),IF(INDEX(GL!$C:$C,$C1637)="","",INDEX(GL!$C:$C,$C1637))))</f>
        <v/>
      </c>
      <c r="F1637" s="5" t="str">
        <f aca="false">IF(C1637=0,"",IF($A1637="Bank",IF(INDEX(Bank!$D:$D,$C1637)="","",INDEX(Bank!$D:$D,$C1637)),IF(INDEX(GL!$D:$D,$C1637)="","",INDEX(GL!$D:$D,$C1637))))</f>
        <v/>
      </c>
      <c r="G1637" s="19" t="str">
        <f aca="false">IF(C1637=0,"",IF($A1637="Bank",INDEX(Bank!$E:$E,$C1637),INDEX(GL!$E:$E,$C1637)))</f>
        <v/>
      </c>
      <c r="H1637" s="5" t="str">
        <f aca="false">IF(C1637=0,"",IF(A1637="GL",IF(G1637&gt;0,"Deposit in transit","Outstanding check / payment"),IF(G1637&gt;0,"Bank credit not in GL","Bank debit not in GL")))</f>
        <v/>
      </c>
      <c r="I1637" s="42" t="str">
        <f aca="false">IF(OR(C1637=0,CFG_PeriodEnd=""),"",CFG_PeriodEnd-D1637)</f>
        <v/>
      </c>
      <c r="J1637" s="5" t="str">
        <f aca="false">IF(C1637=0,"",IF($A1637="Bank",IF(INDEX(Bank!$G:$G,$C1637)="","",INDEX(Bank!$G:$G,$C1637)),IF(INDEX(GL!$G:$G,$C1637)="","",INDEX(GL!$G:$G,$C1637))))</f>
        <v/>
      </c>
      <c r="K1637" s="5" t="str">
        <f aca="false">IF(C1637=0,"",IF($A1637="Bank",IF(INDEX(Bank!$I:$I,$C1637)="","",INDEX(Bank!$I:$I,$C1637)),IF(INDEX(GL!$I:$I,$C1637)="","",INDEX(GL!$I:$I,$C1637))))</f>
        <v/>
      </c>
      <c r="L1637" s="5" t="str">
        <f aca="false">IF(B1637="","",IF(C1637=0,"NOT FOUND",IF(IF($A1637="Bank",INDEX(Bank!$F:$F,$C1637),INDEX(GL!$F:$F,$C1637))="Y","NOW RECONCILED: refresh","OK")))</f>
        <v/>
      </c>
    </row>
    <row r="1638" customFormat="false" ht="15" hidden="false" customHeight="false" outlineLevel="0" collapsed="false">
      <c r="A1638" s="41"/>
      <c r="B1638" s="41"/>
      <c r="C1638" s="5" t="n">
        <f aca="false">IF(B1638="",0,IF(A1638="Bank",IFERROR(MATCH(B1638,Bank!$A:$A,0),0),IFERROR(MATCH(B1638,GL!$A:$A,0),0)))</f>
        <v>0</v>
      </c>
      <c r="D1638" s="32" t="str">
        <f aca="false">IF(C1638=0,"",IF($A1638="Bank",INDEX(Bank!$B:$B,$C1638),INDEX(GL!$B:$B,$C1638)))</f>
        <v/>
      </c>
      <c r="E1638" s="5" t="str">
        <f aca="false">IF(C1638=0,"",IF($A1638="Bank",IF(INDEX(Bank!$C:$C,$C1638)="","",INDEX(Bank!$C:$C,$C1638)),IF(INDEX(GL!$C:$C,$C1638)="","",INDEX(GL!$C:$C,$C1638))))</f>
        <v/>
      </c>
      <c r="F1638" s="5" t="str">
        <f aca="false">IF(C1638=0,"",IF($A1638="Bank",IF(INDEX(Bank!$D:$D,$C1638)="","",INDEX(Bank!$D:$D,$C1638)),IF(INDEX(GL!$D:$D,$C1638)="","",INDEX(GL!$D:$D,$C1638))))</f>
        <v/>
      </c>
      <c r="G1638" s="19" t="str">
        <f aca="false">IF(C1638=0,"",IF($A1638="Bank",INDEX(Bank!$E:$E,$C1638),INDEX(GL!$E:$E,$C1638)))</f>
        <v/>
      </c>
      <c r="H1638" s="5" t="str">
        <f aca="false">IF(C1638=0,"",IF(A1638="GL",IF(G1638&gt;0,"Deposit in transit","Outstanding check / payment"),IF(G1638&gt;0,"Bank credit not in GL","Bank debit not in GL")))</f>
        <v/>
      </c>
      <c r="I1638" s="42" t="str">
        <f aca="false">IF(OR(C1638=0,CFG_PeriodEnd=""),"",CFG_PeriodEnd-D1638)</f>
        <v/>
      </c>
      <c r="J1638" s="5" t="str">
        <f aca="false">IF(C1638=0,"",IF($A1638="Bank",IF(INDEX(Bank!$G:$G,$C1638)="","",INDEX(Bank!$G:$G,$C1638)),IF(INDEX(GL!$G:$G,$C1638)="","",INDEX(GL!$G:$G,$C1638))))</f>
        <v/>
      </c>
      <c r="K1638" s="5" t="str">
        <f aca="false">IF(C1638=0,"",IF($A1638="Bank",IF(INDEX(Bank!$I:$I,$C1638)="","",INDEX(Bank!$I:$I,$C1638)),IF(INDEX(GL!$I:$I,$C1638)="","",INDEX(GL!$I:$I,$C1638))))</f>
        <v/>
      </c>
      <c r="L1638" s="5" t="str">
        <f aca="false">IF(B1638="","",IF(C1638=0,"NOT FOUND",IF(IF($A1638="Bank",INDEX(Bank!$F:$F,$C1638),INDEX(GL!$F:$F,$C1638))="Y","NOW RECONCILED: refresh","OK")))</f>
        <v/>
      </c>
    </row>
    <row r="1639" customFormat="false" ht="15" hidden="false" customHeight="false" outlineLevel="0" collapsed="false">
      <c r="A1639" s="41"/>
      <c r="B1639" s="41"/>
      <c r="C1639" s="5" t="n">
        <f aca="false">IF(B1639="",0,IF(A1639="Bank",IFERROR(MATCH(B1639,Bank!$A:$A,0),0),IFERROR(MATCH(B1639,GL!$A:$A,0),0)))</f>
        <v>0</v>
      </c>
      <c r="D1639" s="32" t="str">
        <f aca="false">IF(C1639=0,"",IF($A1639="Bank",INDEX(Bank!$B:$B,$C1639),INDEX(GL!$B:$B,$C1639)))</f>
        <v/>
      </c>
      <c r="E1639" s="5" t="str">
        <f aca="false">IF(C1639=0,"",IF($A1639="Bank",IF(INDEX(Bank!$C:$C,$C1639)="","",INDEX(Bank!$C:$C,$C1639)),IF(INDEX(GL!$C:$C,$C1639)="","",INDEX(GL!$C:$C,$C1639))))</f>
        <v/>
      </c>
      <c r="F1639" s="5" t="str">
        <f aca="false">IF(C1639=0,"",IF($A1639="Bank",IF(INDEX(Bank!$D:$D,$C1639)="","",INDEX(Bank!$D:$D,$C1639)),IF(INDEX(GL!$D:$D,$C1639)="","",INDEX(GL!$D:$D,$C1639))))</f>
        <v/>
      </c>
      <c r="G1639" s="19" t="str">
        <f aca="false">IF(C1639=0,"",IF($A1639="Bank",INDEX(Bank!$E:$E,$C1639),INDEX(GL!$E:$E,$C1639)))</f>
        <v/>
      </c>
      <c r="H1639" s="5" t="str">
        <f aca="false">IF(C1639=0,"",IF(A1639="GL",IF(G1639&gt;0,"Deposit in transit","Outstanding check / payment"),IF(G1639&gt;0,"Bank credit not in GL","Bank debit not in GL")))</f>
        <v/>
      </c>
      <c r="I1639" s="42" t="str">
        <f aca="false">IF(OR(C1639=0,CFG_PeriodEnd=""),"",CFG_PeriodEnd-D1639)</f>
        <v/>
      </c>
      <c r="J1639" s="5" t="str">
        <f aca="false">IF(C1639=0,"",IF($A1639="Bank",IF(INDEX(Bank!$G:$G,$C1639)="","",INDEX(Bank!$G:$G,$C1639)),IF(INDEX(GL!$G:$G,$C1639)="","",INDEX(GL!$G:$G,$C1639))))</f>
        <v/>
      </c>
      <c r="K1639" s="5" t="str">
        <f aca="false">IF(C1639=0,"",IF($A1639="Bank",IF(INDEX(Bank!$I:$I,$C1639)="","",INDEX(Bank!$I:$I,$C1639)),IF(INDEX(GL!$I:$I,$C1639)="","",INDEX(GL!$I:$I,$C1639))))</f>
        <v/>
      </c>
      <c r="L1639" s="5" t="str">
        <f aca="false">IF(B1639="","",IF(C1639=0,"NOT FOUND",IF(IF($A1639="Bank",INDEX(Bank!$F:$F,$C1639),INDEX(GL!$F:$F,$C1639))="Y","NOW RECONCILED: refresh","OK")))</f>
        <v/>
      </c>
    </row>
    <row r="1640" customFormat="false" ht="15" hidden="false" customHeight="false" outlineLevel="0" collapsed="false">
      <c r="A1640" s="41"/>
      <c r="B1640" s="41"/>
      <c r="C1640" s="5" t="n">
        <f aca="false">IF(B1640="",0,IF(A1640="Bank",IFERROR(MATCH(B1640,Bank!$A:$A,0),0),IFERROR(MATCH(B1640,GL!$A:$A,0),0)))</f>
        <v>0</v>
      </c>
      <c r="D1640" s="32" t="str">
        <f aca="false">IF(C1640=0,"",IF($A1640="Bank",INDEX(Bank!$B:$B,$C1640),INDEX(GL!$B:$B,$C1640)))</f>
        <v/>
      </c>
      <c r="E1640" s="5" t="str">
        <f aca="false">IF(C1640=0,"",IF($A1640="Bank",IF(INDEX(Bank!$C:$C,$C1640)="","",INDEX(Bank!$C:$C,$C1640)),IF(INDEX(GL!$C:$C,$C1640)="","",INDEX(GL!$C:$C,$C1640))))</f>
        <v/>
      </c>
      <c r="F1640" s="5" t="str">
        <f aca="false">IF(C1640=0,"",IF($A1640="Bank",IF(INDEX(Bank!$D:$D,$C1640)="","",INDEX(Bank!$D:$D,$C1640)),IF(INDEX(GL!$D:$D,$C1640)="","",INDEX(GL!$D:$D,$C1640))))</f>
        <v/>
      </c>
      <c r="G1640" s="19" t="str">
        <f aca="false">IF(C1640=0,"",IF($A1640="Bank",INDEX(Bank!$E:$E,$C1640),INDEX(GL!$E:$E,$C1640)))</f>
        <v/>
      </c>
      <c r="H1640" s="5" t="str">
        <f aca="false">IF(C1640=0,"",IF(A1640="GL",IF(G1640&gt;0,"Deposit in transit","Outstanding check / payment"),IF(G1640&gt;0,"Bank credit not in GL","Bank debit not in GL")))</f>
        <v/>
      </c>
      <c r="I1640" s="42" t="str">
        <f aca="false">IF(OR(C1640=0,CFG_PeriodEnd=""),"",CFG_PeriodEnd-D1640)</f>
        <v/>
      </c>
      <c r="J1640" s="5" t="str">
        <f aca="false">IF(C1640=0,"",IF($A1640="Bank",IF(INDEX(Bank!$G:$G,$C1640)="","",INDEX(Bank!$G:$G,$C1640)),IF(INDEX(GL!$G:$G,$C1640)="","",INDEX(GL!$G:$G,$C1640))))</f>
        <v/>
      </c>
      <c r="K1640" s="5" t="str">
        <f aca="false">IF(C1640=0,"",IF($A1640="Bank",IF(INDEX(Bank!$I:$I,$C1640)="","",INDEX(Bank!$I:$I,$C1640)),IF(INDEX(GL!$I:$I,$C1640)="","",INDEX(GL!$I:$I,$C1640))))</f>
        <v/>
      </c>
      <c r="L1640" s="5" t="str">
        <f aca="false">IF(B1640="","",IF(C1640=0,"NOT FOUND",IF(IF($A1640="Bank",INDEX(Bank!$F:$F,$C1640),INDEX(GL!$F:$F,$C1640))="Y","NOW RECONCILED: refresh","OK")))</f>
        <v/>
      </c>
    </row>
    <row r="1641" customFormat="false" ht="15" hidden="false" customHeight="false" outlineLevel="0" collapsed="false">
      <c r="A1641" s="41"/>
      <c r="B1641" s="41"/>
      <c r="C1641" s="5" t="n">
        <f aca="false">IF(B1641="",0,IF(A1641="Bank",IFERROR(MATCH(B1641,Bank!$A:$A,0),0),IFERROR(MATCH(B1641,GL!$A:$A,0),0)))</f>
        <v>0</v>
      </c>
      <c r="D1641" s="32" t="str">
        <f aca="false">IF(C1641=0,"",IF($A1641="Bank",INDEX(Bank!$B:$B,$C1641),INDEX(GL!$B:$B,$C1641)))</f>
        <v/>
      </c>
      <c r="E1641" s="5" t="str">
        <f aca="false">IF(C1641=0,"",IF($A1641="Bank",IF(INDEX(Bank!$C:$C,$C1641)="","",INDEX(Bank!$C:$C,$C1641)),IF(INDEX(GL!$C:$C,$C1641)="","",INDEX(GL!$C:$C,$C1641))))</f>
        <v/>
      </c>
      <c r="F1641" s="5" t="str">
        <f aca="false">IF(C1641=0,"",IF($A1641="Bank",IF(INDEX(Bank!$D:$D,$C1641)="","",INDEX(Bank!$D:$D,$C1641)),IF(INDEX(GL!$D:$D,$C1641)="","",INDEX(GL!$D:$D,$C1641))))</f>
        <v/>
      </c>
      <c r="G1641" s="19" t="str">
        <f aca="false">IF(C1641=0,"",IF($A1641="Bank",INDEX(Bank!$E:$E,$C1641),INDEX(GL!$E:$E,$C1641)))</f>
        <v/>
      </c>
      <c r="H1641" s="5" t="str">
        <f aca="false">IF(C1641=0,"",IF(A1641="GL",IF(G1641&gt;0,"Deposit in transit","Outstanding check / payment"),IF(G1641&gt;0,"Bank credit not in GL","Bank debit not in GL")))</f>
        <v/>
      </c>
      <c r="I1641" s="42" t="str">
        <f aca="false">IF(OR(C1641=0,CFG_PeriodEnd=""),"",CFG_PeriodEnd-D1641)</f>
        <v/>
      </c>
      <c r="J1641" s="5" t="str">
        <f aca="false">IF(C1641=0,"",IF($A1641="Bank",IF(INDEX(Bank!$G:$G,$C1641)="","",INDEX(Bank!$G:$G,$C1641)),IF(INDEX(GL!$G:$G,$C1641)="","",INDEX(GL!$G:$G,$C1641))))</f>
        <v/>
      </c>
      <c r="K1641" s="5" t="str">
        <f aca="false">IF(C1641=0,"",IF($A1641="Bank",IF(INDEX(Bank!$I:$I,$C1641)="","",INDEX(Bank!$I:$I,$C1641)),IF(INDEX(GL!$I:$I,$C1641)="","",INDEX(GL!$I:$I,$C1641))))</f>
        <v/>
      </c>
      <c r="L1641" s="5" t="str">
        <f aca="false">IF(B1641="","",IF(C1641=0,"NOT FOUND",IF(IF($A1641="Bank",INDEX(Bank!$F:$F,$C1641),INDEX(GL!$F:$F,$C1641))="Y","NOW RECONCILED: refresh","OK")))</f>
        <v/>
      </c>
    </row>
    <row r="1642" customFormat="false" ht="15" hidden="false" customHeight="false" outlineLevel="0" collapsed="false">
      <c r="A1642" s="41"/>
      <c r="B1642" s="41"/>
      <c r="C1642" s="5" t="n">
        <f aca="false">IF(B1642="",0,IF(A1642="Bank",IFERROR(MATCH(B1642,Bank!$A:$A,0),0),IFERROR(MATCH(B1642,GL!$A:$A,0),0)))</f>
        <v>0</v>
      </c>
      <c r="D1642" s="32" t="str">
        <f aca="false">IF(C1642=0,"",IF($A1642="Bank",INDEX(Bank!$B:$B,$C1642),INDEX(GL!$B:$B,$C1642)))</f>
        <v/>
      </c>
      <c r="E1642" s="5" t="str">
        <f aca="false">IF(C1642=0,"",IF($A1642="Bank",IF(INDEX(Bank!$C:$C,$C1642)="","",INDEX(Bank!$C:$C,$C1642)),IF(INDEX(GL!$C:$C,$C1642)="","",INDEX(GL!$C:$C,$C1642))))</f>
        <v/>
      </c>
      <c r="F1642" s="5" t="str">
        <f aca="false">IF(C1642=0,"",IF($A1642="Bank",IF(INDEX(Bank!$D:$D,$C1642)="","",INDEX(Bank!$D:$D,$C1642)),IF(INDEX(GL!$D:$D,$C1642)="","",INDEX(GL!$D:$D,$C1642))))</f>
        <v/>
      </c>
      <c r="G1642" s="19" t="str">
        <f aca="false">IF(C1642=0,"",IF($A1642="Bank",INDEX(Bank!$E:$E,$C1642),INDEX(GL!$E:$E,$C1642)))</f>
        <v/>
      </c>
      <c r="H1642" s="5" t="str">
        <f aca="false">IF(C1642=0,"",IF(A1642="GL",IF(G1642&gt;0,"Deposit in transit","Outstanding check / payment"),IF(G1642&gt;0,"Bank credit not in GL","Bank debit not in GL")))</f>
        <v/>
      </c>
      <c r="I1642" s="42" t="str">
        <f aca="false">IF(OR(C1642=0,CFG_PeriodEnd=""),"",CFG_PeriodEnd-D1642)</f>
        <v/>
      </c>
      <c r="J1642" s="5" t="str">
        <f aca="false">IF(C1642=0,"",IF($A1642="Bank",IF(INDEX(Bank!$G:$G,$C1642)="","",INDEX(Bank!$G:$G,$C1642)),IF(INDEX(GL!$G:$G,$C1642)="","",INDEX(GL!$G:$G,$C1642))))</f>
        <v/>
      </c>
      <c r="K1642" s="5" t="str">
        <f aca="false">IF(C1642=0,"",IF($A1642="Bank",IF(INDEX(Bank!$I:$I,$C1642)="","",INDEX(Bank!$I:$I,$C1642)),IF(INDEX(GL!$I:$I,$C1642)="","",INDEX(GL!$I:$I,$C1642))))</f>
        <v/>
      </c>
      <c r="L1642" s="5" t="str">
        <f aca="false">IF(B1642="","",IF(C1642=0,"NOT FOUND",IF(IF($A1642="Bank",INDEX(Bank!$F:$F,$C1642),INDEX(GL!$F:$F,$C1642))="Y","NOW RECONCILED: refresh","OK")))</f>
        <v/>
      </c>
    </row>
    <row r="1643" customFormat="false" ht="15" hidden="false" customHeight="false" outlineLevel="0" collapsed="false">
      <c r="A1643" s="41"/>
      <c r="B1643" s="41"/>
      <c r="C1643" s="5" t="n">
        <f aca="false">IF(B1643="",0,IF(A1643="Bank",IFERROR(MATCH(B1643,Bank!$A:$A,0),0),IFERROR(MATCH(B1643,GL!$A:$A,0),0)))</f>
        <v>0</v>
      </c>
      <c r="D1643" s="32" t="str">
        <f aca="false">IF(C1643=0,"",IF($A1643="Bank",INDEX(Bank!$B:$B,$C1643),INDEX(GL!$B:$B,$C1643)))</f>
        <v/>
      </c>
      <c r="E1643" s="5" t="str">
        <f aca="false">IF(C1643=0,"",IF($A1643="Bank",IF(INDEX(Bank!$C:$C,$C1643)="","",INDEX(Bank!$C:$C,$C1643)),IF(INDEX(GL!$C:$C,$C1643)="","",INDEX(GL!$C:$C,$C1643))))</f>
        <v/>
      </c>
      <c r="F1643" s="5" t="str">
        <f aca="false">IF(C1643=0,"",IF($A1643="Bank",IF(INDEX(Bank!$D:$D,$C1643)="","",INDEX(Bank!$D:$D,$C1643)),IF(INDEX(GL!$D:$D,$C1643)="","",INDEX(GL!$D:$D,$C1643))))</f>
        <v/>
      </c>
      <c r="G1643" s="19" t="str">
        <f aca="false">IF(C1643=0,"",IF($A1643="Bank",INDEX(Bank!$E:$E,$C1643),INDEX(GL!$E:$E,$C1643)))</f>
        <v/>
      </c>
      <c r="H1643" s="5" t="str">
        <f aca="false">IF(C1643=0,"",IF(A1643="GL",IF(G1643&gt;0,"Deposit in transit","Outstanding check / payment"),IF(G1643&gt;0,"Bank credit not in GL","Bank debit not in GL")))</f>
        <v/>
      </c>
      <c r="I1643" s="42" t="str">
        <f aca="false">IF(OR(C1643=0,CFG_PeriodEnd=""),"",CFG_PeriodEnd-D1643)</f>
        <v/>
      </c>
      <c r="J1643" s="5" t="str">
        <f aca="false">IF(C1643=0,"",IF($A1643="Bank",IF(INDEX(Bank!$G:$G,$C1643)="","",INDEX(Bank!$G:$G,$C1643)),IF(INDEX(GL!$G:$G,$C1643)="","",INDEX(GL!$G:$G,$C1643))))</f>
        <v/>
      </c>
      <c r="K1643" s="5" t="str">
        <f aca="false">IF(C1643=0,"",IF($A1643="Bank",IF(INDEX(Bank!$I:$I,$C1643)="","",INDEX(Bank!$I:$I,$C1643)),IF(INDEX(GL!$I:$I,$C1643)="","",INDEX(GL!$I:$I,$C1643))))</f>
        <v/>
      </c>
      <c r="L1643" s="5" t="str">
        <f aca="false">IF(B1643="","",IF(C1643=0,"NOT FOUND",IF(IF($A1643="Bank",INDEX(Bank!$F:$F,$C1643),INDEX(GL!$F:$F,$C1643))="Y","NOW RECONCILED: refresh","OK")))</f>
        <v/>
      </c>
    </row>
    <row r="1644" customFormat="false" ht="15" hidden="false" customHeight="false" outlineLevel="0" collapsed="false">
      <c r="A1644" s="41"/>
      <c r="B1644" s="41"/>
      <c r="C1644" s="5" t="n">
        <f aca="false">IF(B1644="",0,IF(A1644="Bank",IFERROR(MATCH(B1644,Bank!$A:$A,0),0),IFERROR(MATCH(B1644,GL!$A:$A,0),0)))</f>
        <v>0</v>
      </c>
      <c r="D1644" s="32" t="str">
        <f aca="false">IF(C1644=0,"",IF($A1644="Bank",INDEX(Bank!$B:$B,$C1644),INDEX(GL!$B:$B,$C1644)))</f>
        <v/>
      </c>
      <c r="E1644" s="5" t="str">
        <f aca="false">IF(C1644=0,"",IF($A1644="Bank",IF(INDEX(Bank!$C:$C,$C1644)="","",INDEX(Bank!$C:$C,$C1644)),IF(INDEX(GL!$C:$C,$C1644)="","",INDEX(GL!$C:$C,$C1644))))</f>
        <v/>
      </c>
      <c r="F1644" s="5" t="str">
        <f aca="false">IF(C1644=0,"",IF($A1644="Bank",IF(INDEX(Bank!$D:$D,$C1644)="","",INDEX(Bank!$D:$D,$C1644)),IF(INDEX(GL!$D:$D,$C1644)="","",INDEX(GL!$D:$D,$C1644))))</f>
        <v/>
      </c>
      <c r="G1644" s="19" t="str">
        <f aca="false">IF(C1644=0,"",IF($A1644="Bank",INDEX(Bank!$E:$E,$C1644),INDEX(GL!$E:$E,$C1644)))</f>
        <v/>
      </c>
      <c r="H1644" s="5" t="str">
        <f aca="false">IF(C1644=0,"",IF(A1644="GL",IF(G1644&gt;0,"Deposit in transit","Outstanding check / payment"),IF(G1644&gt;0,"Bank credit not in GL","Bank debit not in GL")))</f>
        <v/>
      </c>
      <c r="I1644" s="42" t="str">
        <f aca="false">IF(OR(C1644=0,CFG_PeriodEnd=""),"",CFG_PeriodEnd-D1644)</f>
        <v/>
      </c>
      <c r="J1644" s="5" t="str">
        <f aca="false">IF(C1644=0,"",IF($A1644="Bank",IF(INDEX(Bank!$G:$G,$C1644)="","",INDEX(Bank!$G:$G,$C1644)),IF(INDEX(GL!$G:$G,$C1644)="","",INDEX(GL!$G:$G,$C1644))))</f>
        <v/>
      </c>
      <c r="K1644" s="5" t="str">
        <f aca="false">IF(C1644=0,"",IF($A1644="Bank",IF(INDEX(Bank!$I:$I,$C1644)="","",INDEX(Bank!$I:$I,$C1644)),IF(INDEX(GL!$I:$I,$C1644)="","",INDEX(GL!$I:$I,$C1644))))</f>
        <v/>
      </c>
      <c r="L1644" s="5" t="str">
        <f aca="false">IF(B1644="","",IF(C1644=0,"NOT FOUND",IF(IF($A1644="Bank",INDEX(Bank!$F:$F,$C1644),INDEX(GL!$F:$F,$C1644))="Y","NOW RECONCILED: refresh","OK")))</f>
        <v/>
      </c>
    </row>
    <row r="1645" customFormat="false" ht="15" hidden="false" customHeight="false" outlineLevel="0" collapsed="false">
      <c r="A1645" s="41"/>
      <c r="B1645" s="41"/>
      <c r="C1645" s="5" t="n">
        <f aca="false">IF(B1645="",0,IF(A1645="Bank",IFERROR(MATCH(B1645,Bank!$A:$A,0),0),IFERROR(MATCH(B1645,GL!$A:$A,0),0)))</f>
        <v>0</v>
      </c>
      <c r="D1645" s="32" t="str">
        <f aca="false">IF(C1645=0,"",IF($A1645="Bank",INDEX(Bank!$B:$B,$C1645),INDEX(GL!$B:$B,$C1645)))</f>
        <v/>
      </c>
      <c r="E1645" s="5" t="str">
        <f aca="false">IF(C1645=0,"",IF($A1645="Bank",IF(INDEX(Bank!$C:$C,$C1645)="","",INDEX(Bank!$C:$C,$C1645)),IF(INDEX(GL!$C:$C,$C1645)="","",INDEX(GL!$C:$C,$C1645))))</f>
        <v/>
      </c>
      <c r="F1645" s="5" t="str">
        <f aca="false">IF(C1645=0,"",IF($A1645="Bank",IF(INDEX(Bank!$D:$D,$C1645)="","",INDEX(Bank!$D:$D,$C1645)),IF(INDEX(GL!$D:$D,$C1645)="","",INDEX(GL!$D:$D,$C1645))))</f>
        <v/>
      </c>
      <c r="G1645" s="19" t="str">
        <f aca="false">IF(C1645=0,"",IF($A1645="Bank",INDEX(Bank!$E:$E,$C1645),INDEX(GL!$E:$E,$C1645)))</f>
        <v/>
      </c>
      <c r="H1645" s="5" t="str">
        <f aca="false">IF(C1645=0,"",IF(A1645="GL",IF(G1645&gt;0,"Deposit in transit","Outstanding check / payment"),IF(G1645&gt;0,"Bank credit not in GL","Bank debit not in GL")))</f>
        <v/>
      </c>
      <c r="I1645" s="42" t="str">
        <f aca="false">IF(OR(C1645=0,CFG_PeriodEnd=""),"",CFG_PeriodEnd-D1645)</f>
        <v/>
      </c>
      <c r="J1645" s="5" t="str">
        <f aca="false">IF(C1645=0,"",IF($A1645="Bank",IF(INDEX(Bank!$G:$G,$C1645)="","",INDEX(Bank!$G:$G,$C1645)),IF(INDEX(GL!$G:$G,$C1645)="","",INDEX(GL!$G:$G,$C1645))))</f>
        <v/>
      </c>
      <c r="K1645" s="5" t="str">
        <f aca="false">IF(C1645=0,"",IF($A1645="Bank",IF(INDEX(Bank!$I:$I,$C1645)="","",INDEX(Bank!$I:$I,$C1645)),IF(INDEX(GL!$I:$I,$C1645)="","",INDEX(GL!$I:$I,$C1645))))</f>
        <v/>
      </c>
      <c r="L1645" s="5" t="str">
        <f aca="false">IF(B1645="","",IF(C1645=0,"NOT FOUND",IF(IF($A1645="Bank",INDEX(Bank!$F:$F,$C1645),INDEX(GL!$F:$F,$C1645))="Y","NOW RECONCILED: refresh","OK")))</f>
        <v/>
      </c>
    </row>
    <row r="1646" customFormat="false" ht="15" hidden="false" customHeight="false" outlineLevel="0" collapsed="false">
      <c r="A1646" s="41"/>
      <c r="B1646" s="41"/>
      <c r="C1646" s="5" t="n">
        <f aca="false">IF(B1646="",0,IF(A1646="Bank",IFERROR(MATCH(B1646,Bank!$A:$A,0),0),IFERROR(MATCH(B1646,GL!$A:$A,0),0)))</f>
        <v>0</v>
      </c>
      <c r="D1646" s="32" t="str">
        <f aca="false">IF(C1646=0,"",IF($A1646="Bank",INDEX(Bank!$B:$B,$C1646),INDEX(GL!$B:$B,$C1646)))</f>
        <v/>
      </c>
      <c r="E1646" s="5" t="str">
        <f aca="false">IF(C1646=0,"",IF($A1646="Bank",IF(INDEX(Bank!$C:$C,$C1646)="","",INDEX(Bank!$C:$C,$C1646)),IF(INDEX(GL!$C:$C,$C1646)="","",INDEX(GL!$C:$C,$C1646))))</f>
        <v/>
      </c>
      <c r="F1646" s="5" t="str">
        <f aca="false">IF(C1646=0,"",IF($A1646="Bank",IF(INDEX(Bank!$D:$D,$C1646)="","",INDEX(Bank!$D:$D,$C1646)),IF(INDEX(GL!$D:$D,$C1646)="","",INDEX(GL!$D:$D,$C1646))))</f>
        <v/>
      </c>
      <c r="G1646" s="19" t="str">
        <f aca="false">IF(C1646=0,"",IF($A1646="Bank",INDEX(Bank!$E:$E,$C1646),INDEX(GL!$E:$E,$C1646)))</f>
        <v/>
      </c>
      <c r="H1646" s="5" t="str">
        <f aca="false">IF(C1646=0,"",IF(A1646="GL",IF(G1646&gt;0,"Deposit in transit","Outstanding check / payment"),IF(G1646&gt;0,"Bank credit not in GL","Bank debit not in GL")))</f>
        <v/>
      </c>
      <c r="I1646" s="42" t="str">
        <f aca="false">IF(OR(C1646=0,CFG_PeriodEnd=""),"",CFG_PeriodEnd-D1646)</f>
        <v/>
      </c>
      <c r="J1646" s="5" t="str">
        <f aca="false">IF(C1646=0,"",IF($A1646="Bank",IF(INDEX(Bank!$G:$G,$C1646)="","",INDEX(Bank!$G:$G,$C1646)),IF(INDEX(GL!$G:$G,$C1646)="","",INDEX(GL!$G:$G,$C1646))))</f>
        <v/>
      </c>
      <c r="K1646" s="5" t="str">
        <f aca="false">IF(C1646=0,"",IF($A1646="Bank",IF(INDEX(Bank!$I:$I,$C1646)="","",INDEX(Bank!$I:$I,$C1646)),IF(INDEX(GL!$I:$I,$C1646)="","",INDEX(GL!$I:$I,$C1646))))</f>
        <v/>
      </c>
      <c r="L1646" s="5" t="str">
        <f aca="false">IF(B1646="","",IF(C1646=0,"NOT FOUND",IF(IF($A1646="Bank",INDEX(Bank!$F:$F,$C1646),INDEX(GL!$F:$F,$C1646))="Y","NOW RECONCILED: refresh","OK")))</f>
        <v/>
      </c>
    </row>
    <row r="1647" customFormat="false" ht="15" hidden="false" customHeight="false" outlineLevel="0" collapsed="false">
      <c r="A1647" s="41"/>
      <c r="B1647" s="41"/>
      <c r="C1647" s="5" t="n">
        <f aca="false">IF(B1647="",0,IF(A1647="Bank",IFERROR(MATCH(B1647,Bank!$A:$A,0),0),IFERROR(MATCH(B1647,GL!$A:$A,0),0)))</f>
        <v>0</v>
      </c>
      <c r="D1647" s="32" t="str">
        <f aca="false">IF(C1647=0,"",IF($A1647="Bank",INDEX(Bank!$B:$B,$C1647),INDEX(GL!$B:$B,$C1647)))</f>
        <v/>
      </c>
      <c r="E1647" s="5" t="str">
        <f aca="false">IF(C1647=0,"",IF($A1647="Bank",IF(INDEX(Bank!$C:$C,$C1647)="","",INDEX(Bank!$C:$C,$C1647)),IF(INDEX(GL!$C:$C,$C1647)="","",INDEX(GL!$C:$C,$C1647))))</f>
        <v/>
      </c>
      <c r="F1647" s="5" t="str">
        <f aca="false">IF(C1647=0,"",IF($A1647="Bank",IF(INDEX(Bank!$D:$D,$C1647)="","",INDEX(Bank!$D:$D,$C1647)),IF(INDEX(GL!$D:$D,$C1647)="","",INDEX(GL!$D:$D,$C1647))))</f>
        <v/>
      </c>
      <c r="G1647" s="19" t="str">
        <f aca="false">IF(C1647=0,"",IF($A1647="Bank",INDEX(Bank!$E:$E,$C1647),INDEX(GL!$E:$E,$C1647)))</f>
        <v/>
      </c>
      <c r="H1647" s="5" t="str">
        <f aca="false">IF(C1647=0,"",IF(A1647="GL",IF(G1647&gt;0,"Deposit in transit","Outstanding check / payment"),IF(G1647&gt;0,"Bank credit not in GL","Bank debit not in GL")))</f>
        <v/>
      </c>
      <c r="I1647" s="42" t="str">
        <f aca="false">IF(OR(C1647=0,CFG_PeriodEnd=""),"",CFG_PeriodEnd-D1647)</f>
        <v/>
      </c>
      <c r="J1647" s="5" t="str">
        <f aca="false">IF(C1647=0,"",IF($A1647="Bank",IF(INDEX(Bank!$G:$G,$C1647)="","",INDEX(Bank!$G:$G,$C1647)),IF(INDEX(GL!$G:$G,$C1647)="","",INDEX(GL!$G:$G,$C1647))))</f>
        <v/>
      </c>
      <c r="K1647" s="5" t="str">
        <f aca="false">IF(C1647=0,"",IF($A1647="Bank",IF(INDEX(Bank!$I:$I,$C1647)="","",INDEX(Bank!$I:$I,$C1647)),IF(INDEX(GL!$I:$I,$C1647)="","",INDEX(GL!$I:$I,$C1647))))</f>
        <v/>
      </c>
      <c r="L1647" s="5" t="str">
        <f aca="false">IF(B1647="","",IF(C1647=0,"NOT FOUND",IF(IF($A1647="Bank",INDEX(Bank!$F:$F,$C1647),INDEX(GL!$F:$F,$C1647))="Y","NOW RECONCILED: refresh","OK")))</f>
        <v/>
      </c>
    </row>
    <row r="1648" customFormat="false" ht="15" hidden="false" customHeight="false" outlineLevel="0" collapsed="false">
      <c r="A1648" s="41"/>
      <c r="B1648" s="41"/>
      <c r="C1648" s="5" t="n">
        <f aca="false">IF(B1648="",0,IF(A1648="Bank",IFERROR(MATCH(B1648,Bank!$A:$A,0),0),IFERROR(MATCH(B1648,GL!$A:$A,0),0)))</f>
        <v>0</v>
      </c>
      <c r="D1648" s="32" t="str">
        <f aca="false">IF(C1648=0,"",IF($A1648="Bank",INDEX(Bank!$B:$B,$C1648),INDEX(GL!$B:$B,$C1648)))</f>
        <v/>
      </c>
      <c r="E1648" s="5" t="str">
        <f aca="false">IF(C1648=0,"",IF($A1648="Bank",IF(INDEX(Bank!$C:$C,$C1648)="","",INDEX(Bank!$C:$C,$C1648)),IF(INDEX(GL!$C:$C,$C1648)="","",INDEX(GL!$C:$C,$C1648))))</f>
        <v/>
      </c>
      <c r="F1648" s="5" t="str">
        <f aca="false">IF(C1648=0,"",IF($A1648="Bank",IF(INDEX(Bank!$D:$D,$C1648)="","",INDEX(Bank!$D:$D,$C1648)),IF(INDEX(GL!$D:$D,$C1648)="","",INDEX(GL!$D:$D,$C1648))))</f>
        <v/>
      </c>
      <c r="G1648" s="19" t="str">
        <f aca="false">IF(C1648=0,"",IF($A1648="Bank",INDEX(Bank!$E:$E,$C1648),INDEX(GL!$E:$E,$C1648)))</f>
        <v/>
      </c>
      <c r="H1648" s="5" t="str">
        <f aca="false">IF(C1648=0,"",IF(A1648="GL",IF(G1648&gt;0,"Deposit in transit","Outstanding check / payment"),IF(G1648&gt;0,"Bank credit not in GL","Bank debit not in GL")))</f>
        <v/>
      </c>
      <c r="I1648" s="42" t="str">
        <f aca="false">IF(OR(C1648=0,CFG_PeriodEnd=""),"",CFG_PeriodEnd-D1648)</f>
        <v/>
      </c>
      <c r="J1648" s="5" t="str">
        <f aca="false">IF(C1648=0,"",IF($A1648="Bank",IF(INDEX(Bank!$G:$G,$C1648)="","",INDEX(Bank!$G:$G,$C1648)),IF(INDEX(GL!$G:$G,$C1648)="","",INDEX(GL!$G:$G,$C1648))))</f>
        <v/>
      </c>
      <c r="K1648" s="5" t="str">
        <f aca="false">IF(C1648=0,"",IF($A1648="Bank",IF(INDEX(Bank!$I:$I,$C1648)="","",INDEX(Bank!$I:$I,$C1648)),IF(INDEX(GL!$I:$I,$C1648)="","",INDEX(GL!$I:$I,$C1648))))</f>
        <v/>
      </c>
      <c r="L1648" s="5" t="str">
        <f aca="false">IF(B1648="","",IF(C1648=0,"NOT FOUND",IF(IF($A1648="Bank",INDEX(Bank!$F:$F,$C1648),INDEX(GL!$F:$F,$C1648))="Y","NOW RECONCILED: refresh","OK")))</f>
        <v/>
      </c>
    </row>
    <row r="1649" customFormat="false" ht="15" hidden="false" customHeight="false" outlineLevel="0" collapsed="false">
      <c r="A1649" s="41"/>
      <c r="B1649" s="41"/>
      <c r="C1649" s="5" t="n">
        <f aca="false">IF(B1649="",0,IF(A1649="Bank",IFERROR(MATCH(B1649,Bank!$A:$A,0),0),IFERROR(MATCH(B1649,GL!$A:$A,0),0)))</f>
        <v>0</v>
      </c>
      <c r="D1649" s="32" t="str">
        <f aca="false">IF(C1649=0,"",IF($A1649="Bank",INDEX(Bank!$B:$B,$C1649),INDEX(GL!$B:$B,$C1649)))</f>
        <v/>
      </c>
      <c r="E1649" s="5" t="str">
        <f aca="false">IF(C1649=0,"",IF($A1649="Bank",IF(INDEX(Bank!$C:$C,$C1649)="","",INDEX(Bank!$C:$C,$C1649)),IF(INDEX(GL!$C:$C,$C1649)="","",INDEX(GL!$C:$C,$C1649))))</f>
        <v/>
      </c>
      <c r="F1649" s="5" t="str">
        <f aca="false">IF(C1649=0,"",IF($A1649="Bank",IF(INDEX(Bank!$D:$D,$C1649)="","",INDEX(Bank!$D:$D,$C1649)),IF(INDEX(GL!$D:$D,$C1649)="","",INDEX(GL!$D:$D,$C1649))))</f>
        <v/>
      </c>
      <c r="G1649" s="19" t="str">
        <f aca="false">IF(C1649=0,"",IF($A1649="Bank",INDEX(Bank!$E:$E,$C1649),INDEX(GL!$E:$E,$C1649)))</f>
        <v/>
      </c>
      <c r="H1649" s="5" t="str">
        <f aca="false">IF(C1649=0,"",IF(A1649="GL",IF(G1649&gt;0,"Deposit in transit","Outstanding check / payment"),IF(G1649&gt;0,"Bank credit not in GL","Bank debit not in GL")))</f>
        <v/>
      </c>
      <c r="I1649" s="42" t="str">
        <f aca="false">IF(OR(C1649=0,CFG_PeriodEnd=""),"",CFG_PeriodEnd-D1649)</f>
        <v/>
      </c>
      <c r="J1649" s="5" t="str">
        <f aca="false">IF(C1649=0,"",IF($A1649="Bank",IF(INDEX(Bank!$G:$G,$C1649)="","",INDEX(Bank!$G:$G,$C1649)),IF(INDEX(GL!$G:$G,$C1649)="","",INDEX(GL!$G:$G,$C1649))))</f>
        <v/>
      </c>
      <c r="K1649" s="5" t="str">
        <f aca="false">IF(C1649=0,"",IF($A1649="Bank",IF(INDEX(Bank!$I:$I,$C1649)="","",INDEX(Bank!$I:$I,$C1649)),IF(INDEX(GL!$I:$I,$C1649)="","",INDEX(GL!$I:$I,$C1649))))</f>
        <v/>
      </c>
      <c r="L1649" s="5" t="str">
        <f aca="false">IF(B1649="","",IF(C1649=0,"NOT FOUND",IF(IF($A1649="Bank",INDEX(Bank!$F:$F,$C1649),INDEX(GL!$F:$F,$C1649))="Y","NOW RECONCILED: refresh","OK")))</f>
        <v/>
      </c>
    </row>
    <row r="1650" customFormat="false" ht="15" hidden="false" customHeight="false" outlineLevel="0" collapsed="false">
      <c r="A1650" s="41"/>
      <c r="B1650" s="41"/>
      <c r="C1650" s="5" t="n">
        <f aca="false">IF(B1650="",0,IF(A1650="Bank",IFERROR(MATCH(B1650,Bank!$A:$A,0),0),IFERROR(MATCH(B1650,GL!$A:$A,0),0)))</f>
        <v>0</v>
      </c>
      <c r="D1650" s="32" t="str">
        <f aca="false">IF(C1650=0,"",IF($A1650="Bank",INDEX(Bank!$B:$B,$C1650),INDEX(GL!$B:$B,$C1650)))</f>
        <v/>
      </c>
      <c r="E1650" s="5" t="str">
        <f aca="false">IF(C1650=0,"",IF($A1650="Bank",IF(INDEX(Bank!$C:$C,$C1650)="","",INDEX(Bank!$C:$C,$C1650)),IF(INDEX(GL!$C:$C,$C1650)="","",INDEX(GL!$C:$C,$C1650))))</f>
        <v/>
      </c>
      <c r="F1650" s="5" t="str">
        <f aca="false">IF(C1650=0,"",IF($A1650="Bank",IF(INDEX(Bank!$D:$D,$C1650)="","",INDEX(Bank!$D:$D,$C1650)),IF(INDEX(GL!$D:$D,$C1650)="","",INDEX(GL!$D:$D,$C1650))))</f>
        <v/>
      </c>
      <c r="G1650" s="19" t="str">
        <f aca="false">IF(C1650=0,"",IF($A1650="Bank",INDEX(Bank!$E:$E,$C1650),INDEX(GL!$E:$E,$C1650)))</f>
        <v/>
      </c>
      <c r="H1650" s="5" t="str">
        <f aca="false">IF(C1650=0,"",IF(A1650="GL",IF(G1650&gt;0,"Deposit in transit","Outstanding check / payment"),IF(G1650&gt;0,"Bank credit not in GL","Bank debit not in GL")))</f>
        <v/>
      </c>
      <c r="I1650" s="42" t="str">
        <f aca="false">IF(OR(C1650=0,CFG_PeriodEnd=""),"",CFG_PeriodEnd-D1650)</f>
        <v/>
      </c>
      <c r="J1650" s="5" t="str">
        <f aca="false">IF(C1650=0,"",IF($A1650="Bank",IF(INDEX(Bank!$G:$G,$C1650)="","",INDEX(Bank!$G:$G,$C1650)),IF(INDEX(GL!$G:$G,$C1650)="","",INDEX(GL!$G:$G,$C1650))))</f>
        <v/>
      </c>
      <c r="K1650" s="5" t="str">
        <f aca="false">IF(C1650=0,"",IF($A1650="Bank",IF(INDEX(Bank!$I:$I,$C1650)="","",INDEX(Bank!$I:$I,$C1650)),IF(INDEX(GL!$I:$I,$C1650)="","",INDEX(GL!$I:$I,$C1650))))</f>
        <v/>
      </c>
      <c r="L1650" s="5" t="str">
        <f aca="false">IF(B1650="","",IF(C1650=0,"NOT FOUND",IF(IF($A1650="Bank",INDEX(Bank!$F:$F,$C1650),INDEX(GL!$F:$F,$C1650))="Y","NOW RECONCILED: refresh","OK")))</f>
        <v/>
      </c>
    </row>
    <row r="1651" customFormat="false" ht="15" hidden="false" customHeight="false" outlineLevel="0" collapsed="false">
      <c r="A1651" s="41"/>
      <c r="B1651" s="41"/>
      <c r="C1651" s="5" t="n">
        <f aca="false">IF(B1651="",0,IF(A1651="Bank",IFERROR(MATCH(B1651,Bank!$A:$A,0),0),IFERROR(MATCH(B1651,GL!$A:$A,0),0)))</f>
        <v>0</v>
      </c>
      <c r="D1651" s="32" t="str">
        <f aca="false">IF(C1651=0,"",IF($A1651="Bank",INDEX(Bank!$B:$B,$C1651),INDEX(GL!$B:$B,$C1651)))</f>
        <v/>
      </c>
      <c r="E1651" s="5" t="str">
        <f aca="false">IF(C1651=0,"",IF($A1651="Bank",IF(INDEX(Bank!$C:$C,$C1651)="","",INDEX(Bank!$C:$C,$C1651)),IF(INDEX(GL!$C:$C,$C1651)="","",INDEX(GL!$C:$C,$C1651))))</f>
        <v/>
      </c>
      <c r="F1651" s="5" t="str">
        <f aca="false">IF(C1651=0,"",IF($A1651="Bank",IF(INDEX(Bank!$D:$D,$C1651)="","",INDEX(Bank!$D:$D,$C1651)),IF(INDEX(GL!$D:$D,$C1651)="","",INDEX(GL!$D:$D,$C1651))))</f>
        <v/>
      </c>
      <c r="G1651" s="19" t="str">
        <f aca="false">IF(C1651=0,"",IF($A1651="Bank",INDEX(Bank!$E:$E,$C1651),INDEX(GL!$E:$E,$C1651)))</f>
        <v/>
      </c>
      <c r="H1651" s="5" t="str">
        <f aca="false">IF(C1651=0,"",IF(A1651="GL",IF(G1651&gt;0,"Deposit in transit","Outstanding check / payment"),IF(G1651&gt;0,"Bank credit not in GL","Bank debit not in GL")))</f>
        <v/>
      </c>
      <c r="I1651" s="42" t="str">
        <f aca="false">IF(OR(C1651=0,CFG_PeriodEnd=""),"",CFG_PeriodEnd-D1651)</f>
        <v/>
      </c>
      <c r="J1651" s="5" t="str">
        <f aca="false">IF(C1651=0,"",IF($A1651="Bank",IF(INDEX(Bank!$G:$G,$C1651)="","",INDEX(Bank!$G:$G,$C1651)),IF(INDEX(GL!$G:$G,$C1651)="","",INDEX(GL!$G:$G,$C1651))))</f>
        <v/>
      </c>
      <c r="K1651" s="5" t="str">
        <f aca="false">IF(C1651=0,"",IF($A1651="Bank",IF(INDEX(Bank!$I:$I,$C1651)="","",INDEX(Bank!$I:$I,$C1651)),IF(INDEX(GL!$I:$I,$C1651)="","",INDEX(GL!$I:$I,$C1651))))</f>
        <v/>
      </c>
      <c r="L1651" s="5" t="str">
        <f aca="false">IF(B1651="","",IF(C1651=0,"NOT FOUND",IF(IF($A1651="Bank",INDEX(Bank!$F:$F,$C1651),INDEX(GL!$F:$F,$C1651))="Y","NOW RECONCILED: refresh","OK")))</f>
        <v/>
      </c>
    </row>
    <row r="1652" customFormat="false" ht="15" hidden="false" customHeight="false" outlineLevel="0" collapsed="false">
      <c r="A1652" s="41"/>
      <c r="B1652" s="41"/>
      <c r="C1652" s="5" t="n">
        <f aca="false">IF(B1652="",0,IF(A1652="Bank",IFERROR(MATCH(B1652,Bank!$A:$A,0),0),IFERROR(MATCH(B1652,GL!$A:$A,0),0)))</f>
        <v>0</v>
      </c>
      <c r="D1652" s="32" t="str">
        <f aca="false">IF(C1652=0,"",IF($A1652="Bank",INDEX(Bank!$B:$B,$C1652),INDEX(GL!$B:$B,$C1652)))</f>
        <v/>
      </c>
      <c r="E1652" s="5" t="str">
        <f aca="false">IF(C1652=0,"",IF($A1652="Bank",IF(INDEX(Bank!$C:$C,$C1652)="","",INDEX(Bank!$C:$C,$C1652)),IF(INDEX(GL!$C:$C,$C1652)="","",INDEX(GL!$C:$C,$C1652))))</f>
        <v/>
      </c>
      <c r="F1652" s="5" t="str">
        <f aca="false">IF(C1652=0,"",IF($A1652="Bank",IF(INDEX(Bank!$D:$D,$C1652)="","",INDEX(Bank!$D:$D,$C1652)),IF(INDEX(GL!$D:$D,$C1652)="","",INDEX(GL!$D:$D,$C1652))))</f>
        <v/>
      </c>
      <c r="G1652" s="19" t="str">
        <f aca="false">IF(C1652=0,"",IF($A1652="Bank",INDEX(Bank!$E:$E,$C1652),INDEX(GL!$E:$E,$C1652)))</f>
        <v/>
      </c>
      <c r="H1652" s="5" t="str">
        <f aca="false">IF(C1652=0,"",IF(A1652="GL",IF(G1652&gt;0,"Deposit in transit","Outstanding check / payment"),IF(G1652&gt;0,"Bank credit not in GL","Bank debit not in GL")))</f>
        <v/>
      </c>
      <c r="I1652" s="42" t="str">
        <f aca="false">IF(OR(C1652=0,CFG_PeriodEnd=""),"",CFG_PeriodEnd-D1652)</f>
        <v/>
      </c>
      <c r="J1652" s="5" t="str">
        <f aca="false">IF(C1652=0,"",IF($A1652="Bank",IF(INDEX(Bank!$G:$G,$C1652)="","",INDEX(Bank!$G:$G,$C1652)),IF(INDEX(GL!$G:$G,$C1652)="","",INDEX(GL!$G:$G,$C1652))))</f>
        <v/>
      </c>
      <c r="K1652" s="5" t="str">
        <f aca="false">IF(C1652=0,"",IF($A1652="Bank",IF(INDEX(Bank!$I:$I,$C1652)="","",INDEX(Bank!$I:$I,$C1652)),IF(INDEX(GL!$I:$I,$C1652)="","",INDEX(GL!$I:$I,$C1652))))</f>
        <v/>
      </c>
      <c r="L1652" s="5" t="str">
        <f aca="false">IF(B1652="","",IF(C1652=0,"NOT FOUND",IF(IF($A1652="Bank",INDEX(Bank!$F:$F,$C1652),INDEX(GL!$F:$F,$C1652))="Y","NOW RECONCILED: refresh","OK")))</f>
        <v/>
      </c>
    </row>
    <row r="1653" customFormat="false" ht="15" hidden="false" customHeight="false" outlineLevel="0" collapsed="false">
      <c r="A1653" s="41"/>
      <c r="B1653" s="41"/>
      <c r="C1653" s="5" t="n">
        <f aca="false">IF(B1653="",0,IF(A1653="Bank",IFERROR(MATCH(B1653,Bank!$A:$A,0),0),IFERROR(MATCH(B1653,GL!$A:$A,0),0)))</f>
        <v>0</v>
      </c>
      <c r="D1653" s="32" t="str">
        <f aca="false">IF(C1653=0,"",IF($A1653="Bank",INDEX(Bank!$B:$B,$C1653),INDEX(GL!$B:$B,$C1653)))</f>
        <v/>
      </c>
      <c r="E1653" s="5" t="str">
        <f aca="false">IF(C1653=0,"",IF($A1653="Bank",IF(INDEX(Bank!$C:$C,$C1653)="","",INDEX(Bank!$C:$C,$C1653)),IF(INDEX(GL!$C:$C,$C1653)="","",INDEX(GL!$C:$C,$C1653))))</f>
        <v/>
      </c>
      <c r="F1653" s="5" t="str">
        <f aca="false">IF(C1653=0,"",IF($A1653="Bank",IF(INDEX(Bank!$D:$D,$C1653)="","",INDEX(Bank!$D:$D,$C1653)),IF(INDEX(GL!$D:$D,$C1653)="","",INDEX(GL!$D:$D,$C1653))))</f>
        <v/>
      </c>
      <c r="G1653" s="19" t="str">
        <f aca="false">IF(C1653=0,"",IF($A1653="Bank",INDEX(Bank!$E:$E,$C1653),INDEX(GL!$E:$E,$C1653)))</f>
        <v/>
      </c>
      <c r="H1653" s="5" t="str">
        <f aca="false">IF(C1653=0,"",IF(A1653="GL",IF(G1653&gt;0,"Deposit in transit","Outstanding check / payment"),IF(G1653&gt;0,"Bank credit not in GL","Bank debit not in GL")))</f>
        <v/>
      </c>
      <c r="I1653" s="42" t="str">
        <f aca="false">IF(OR(C1653=0,CFG_PeriodEnd=""),"",CFG_PeriodEnd-D1653)</f>
        <v/>
      </c>
      <c r="J1653" s="5" t="str">
        <f aca="false">IF(C1653=0,"",IF($A1653="Bank",IF(INDEX(Bank!$G:$G,$C1653)="","",INDEX(Bank!$G:$G,$C1653)),IF(INDEX(GL!$G:$G,$C1653)="","",INDEX(GL!$G:$G,$C1653))))</f>
        <v/>
      </c>
      <c r="K1653" s="5" t="str">
        <f aca="false">IF(C1653=0,"",IF($A1653="Bank",IF(INDEX(Bank!$I:$I,$C1653)="","",INDEX(Bank!$I:$I,$C1653)),IF(INDEX(GL!$I:$I,$C1653)="","",INDEX(GL!$I:$I,$C1653))))</f>
        <v/>
      </c>
      <c r="L1653" s="5" t="str">
        <f aca="false">IF(B1653="","",IF(C1653=0,"NOT FOUND",IF(IF($A1653="Bank",INDEX(Bank!$F:$F,$C1653),INDEX(GL!$F:$F,$C1653))="Y","NOW RECONCILED: refresh","OK")))</f>
        <v/>
      </c>
    </row>
    <row r="1654" customFormat="false" ht="15" hidden="false" customHeight="false" outlineLevel="0" collapsed="false">
      <c r="A1654" s="41"/>
      <c r="B1654" s="41"/>
      <c r="C1654" s="5" t="n">
        <f aca="false">IF(B1654="",0,IF(A1654="Bank",IFERROR(MATCH(B1654,Bank!$A:$A,0),0),IFERROR(MATCH(B1654,GL!$A:$A,0),0)))</f>
        <v>0</v>
      </c>
      <c r="D1654" s="32" t="str">
        <f aca="false">IF(C1654=0,"",IF($A1654="Bank",INDEX(Bank!$B:$B,$C1654),INDEX(GL!$B:$B,$C1654)))</f>
        <v/>
      </c>
      <c r="E1654" s="5" t="str">
        <f aca="false">IF(C1654=0,"",IF($A1654="Bank",IF(INDEX(Bank!$C:$C,$C1654)="","",INDEX(Bank!$C:$C,$C1654)),IF(INDEX(GL!$C:$C,$C1654)="","",INDEX(GL!$C:$C,$C1654))))</f>
        <v/>
      </c>
      <c r="F1654" s="5" t="str">
        <f aca="false">IF(C1654=0,"",IF($A1654="Bank",IF(INDEX(Bank!$D:$D,$C1654)="","",INDEX(Bank!$D:$D,$C1654)),IF(INDEX(GL!$D:$D,$C1654)="","",INDEX(GL!$D:$D,$C1654))))</f>
        <v/>
      </c>
      <c r="G1654" s="19" t="str">
        <f aca="false">IF(C1654=0,"",IF($A1654="Bank",INDEX(Bank!$E:$E,$C1654),INDEX(GL!$E:$E,$C1654)))</f>
        <v/>
      </c>
      <c r="H1654" s="5" t="str">
        <f aca="false">IF(C1654=0,"",IF(A1654="GL",IF(G1654&gt;0,"Deposit in transit","Outstanding check / payment"),IF(G1654&gt;0,"Bank credit not in GL","Bank debit not in GL")))</f>
        <v/>
      </c>
      <c r="I1654" s="42" t="str">
        <f aca="false">IF(OR(C1654=0,CFG_PeriodEnd=""),"",CFG_PeriodEnd-D1654)</f>
        <v/>
      </c>
      <c r="J1654" s="5" t="str">
        <f aca="false">IF(C1654=0,"",IF($A1654="Bank",IF(INDEX(Bank!$G:$G,$C1654)="","",INDEX(Bank!$G:$G,$C1654)),IF(INDEX(GL!$G:$G,$C1654)="","",INDEX(GL!$G:$G,$C1654))))</f>
        <v/>
      </c>
      <c r="K1654" s="5" t="str">
        <f aca="false">IF(C1654=0,"",IF($A1654="Bank",IF(INDEX(Bank!$I:$I,$C1654)="","",INDEX(Bank!$I:$I,$C1654)),IF(INDEX(GL!$I:$I,$C1654)="","",INDEX(GL!$I:$I,$C1654))))</f>
        <v/>
      </c>
      <c r="L1654" s="5" t="str">
        <f aca="false">IF(B1654="","",IF(C1654=0,"NOT FOUND",IF(IF($A1654="Bank",INDEX(Bank!$F:$F,$C1654),INDEX(GL!$F:$F,$C1654))="Y","NOW RECONCILED: refresh","OK")))</f>
        <v/>
      </c>
    </row>
    <row r="1655" customFormat="false" ht="15" hidden="false" customHeight="false" outlineLevel="0" collapsed="false">
      <c r="A1655" s="41"/>
      <c r="B1655" s="41"/>
      <c r="C1655" s="5" t="n">
        <f aca="false">IF(B1655="",0,IF(A1655="Bank",IFERROR(MATCH(B1655,Bank!$A:$A,0),0),IFERROR(MATCH(B1655,GL!$A:$A,0),0)))</f>
        <v>0</v>
      </c>
      <c r="D1655" s="32" t="str">
        <f aca="false">IF(C1655=0,"",IF($A1655="Bank",INDEX(Bank!$B:$B,$C1655),INDEX(GL!$B:$B,$C1655)))</f>
        <v/>
      </c>
      <c r="E1655" s="5" t="str">
        <f aca="false">IF(C1655=0,"",IF($A1655="Bank",IF(INDEX(Bank!$C:$C,$C1655)="","",INDEX(Bank!$C:$C,$C1655)),IF(INDEX(GL!$C:$C,$C1655)="","",INDEX(GL!$C:$C,$C1655))))</f>
        <v/>
      </c>
      <c r="F1655" s="5" t="str">
        <f aca="false">IF(C1655=0,"",IF($A1655="Bank",IF(INDEX(Bank!$D:$D,$C1655)="","",INDEX(Bank!$D:$D,$C1655)),IF(INDEX(GL!$D:$D,$C1655)="","",INDEX(GL!$D:$D,$C1655))))</f>
        <v/>
      </c>
      <c r="G1655" s="19" t="str">
        <f aca="false">IF(C1655=0,"",IF($A1655="Bank",INDEX(Bank!$E:$E,$C1655),INDEX(GL!$E:$E,$C1655)))</f>
        <v/>
      </c>
      <c r="H1655" s="5" t="str">
        <f aca="false">IF(C1655=0,"",IF(A1655="GL",IF(G1655&gt;0,"Deposit in transit","Outstanding check / payment"),IF(G1655&gt;0,"Bank credit not in GL","Bank debit not in GL")))</f>
        <v/>
      </c>
      <c r="I1655" s="42" t="str">
        <f aca="false">IF(OR(C1655=0,CFG_PeriodEnd=""),"",CFG_PeriodEnd-D1655)</f>
        <v/>
      </c>
      <c r="J1655" s="5" t="str">
        <f aca="false">IF(C1655=0,"",IF($A1655="Bank",IF(INDEX(Bank!$G:$G,$C1655)="","",INDEX(Bank!$G:$G,$C1655)),IF(INDEX(GL!$G:$G,$C1655)="","",INDEX(GL!$G:$G,$C1655))))</f>
        <v/>
      </c>
      <c r="K1655" s="5" t="str">
        <f aca="false">IF(C1655=0,"",IF($A1655="Bank",IF(INDEX(Bank!$I:$I,$C1655)="","",INDEX(Bank!$I:$I,$C1655)),IF(INDEX(GL!$I:$I,$C1655)="","",INDEX(GL!$I:$I,$C1655))))</f>
        <v/>
      </c>
      <c r="L1655" s="5" t="str">
        <f aca="false">IF(B1655="","",IF(C1655=0,"NOT FOUND",IF(IF($A1655="Bank",INDEX(Bank!$F:$F,$C1655),INDEX(GL!$F:$F,$C1655))="Y","NOW RECONCILED: refresh","OK")))</f>
        <v/>
      </c>
    </row>
    <row r="1656" customFormat="false" ht="15" hidden="false" customHeight="false" outlineLevel="0" collapsed="false">
      <c r="A1656" s="41"/>
      <c r="B1656" s="41"/>
      <c r="C1656" s="5" t="n">
        <f aca="false">IF(B1656="",0,IF(A1656="Bank",IFERROR(MATCH(B1656,Bank!$A:$A,0),0),IFERROR(MATCH(B1656,GL!$A:$A,0),0)))</f>
        <v>0</v>
      </c>
      <c r="D1656" s="32" t="str">
        <f aca="false">IF(C1656=0,"",IF($A1656="Bank",INDEX(Bank!$B:$B,$C1656),INDEX(GL!$B:$B,$C1656)))</f>
        <v/>
      </c>
      <c r="E1656" s="5" t="str">
        <f aca="false">IF(C1656=0,"",IF($A1656="Bank",IF(INDEX(Bank!$C:$C,$C1656)="","",INDEX(Bank!$C:$C,$C1656)),IF(INDEX(GL!$C:$C,$C1656)="","",INDEX(GL!$C:$C,$C1656))))</f>
        <v/>
      </c>
      <c r="F1656" s="5" t="str">
        <f aca="false">IF(C1656=0,"",IF($A1656="Bank",IF(INDEX(Bank!$D:$D,$C1656)="","",INDEX(Bank!$D:$D,$C1656)),IF(INDEX(GL!$D:$D,$C1656)="","",INDEX(GL!$D:$D,$C1656))))</f>
        <v/>
      </c>
      <c r="G1656" s="19" t="str">
        <f aca="false">IF(C1656=0,"",IF($A1656="Bank",INDEX(Bank!$E:$E,$C1656),INDEX(GL!$E:$E,$C1656)))</f>
        <v/>
      </c>
      <c r="H1656" s="5" t="str">
        <f aca="false">IF(C1656=0,"",IF(A1656="GL",IF(G1656&gt;0,"Deposit in transit","Outstanding check / payment"),IF(G1656&gt;0,"Bank credit not in GL","Bank debit not in GL")))</f>
        <v/>
      </c>
      <c r="I1656" s="42" t="str">
        <f aca="false">IF(OR(C1656=0,CFG_PeriodEnd=""),"",CFG_PeriodEnd-D1656)</f>
        <v/>
      </c>
      <c r="J1656" s="5" t="str">
        <f aca="false">IF(C1656=0,"",IF($A1656="Bank",IF(INDEX(Bank!$G:$G,$C1656)="","",INDEX(Bank!$G:$G,$C1656)),IF(INDEX(GL!$G:$G,$C1656)="","",INDEX(GL!$G:$G,$C1656))))</f>
        <v/>
      </c>
      <c r="K1656" s="5" t="str">
        <f aca="false">IF(C1656=0,"",IF($A1656="Bank",IF(INDEX(Bank!$I:$I,$C1656)="","",INDEX(Bank!$I:$I,$C1656)),IF(INDEX(GL!$I:$I,$C1656)="","",INDEX(GL!$I:$I,$C1656))))</f>
        <v/>
      </c>
      <c r="L1656" s="5" t="str">
        <f aca="false">IF(B1656="","",IF(C1656=0,"NOT FOUND",IF(IF($A1656="Bank",INDEX(Bank!$F:$F,$C1656),INDEX(GL!$F:$F,$C1656))="Y","NOW RECONCILED: refresh","OK")))</f>
        <v/>
      </c>
    </row>
    <row r="1657" customFormat="false" ht="15" hidden="false" customHeight="false" outlineLevel="0" collapsed="false">
      <c r="A1657" s="41"/>
      <c r="B1657" s="41"/>
      <c r="C1657" s="5" t="n">
        <f aca="false">IF(B1657="",0,IF(A1657="Bank",IFERROR(MATCH(B1657,Bank!$A:$A,0),0),IFERROR(MATCH(B1657,GL!$A:$A,0),0)))</f>
        <v>0</v>
      </c>
      <c r="D1657" s="32" t="str">
        <f aca="false">IF(C1657=0,"",IF($A1657="Bank",INDEX(Bank!$B:$B,$C1657),INDEX(GL!$B:$B,$C1657)))</f>
        <v/>
      </c>
      <c r="E1657" s="5" t="str">
        <f aca="false">IF(C1657=0,"",IF($A1657="Bank",IF(INDEX(Bank!$C:$C,$C1657)="","",INDEX(Bank!$C:$C,$C1657)),IF(INDEX(GL!$C:$C,$C1657)="","",INDEX(GL!$C:$C,$C1657))))</f>
        <v/>
      </c>
      <c r="F1657" s="5" t="str">
        <f aca="false">IF(C1657=0,"",IF($A1657="Bank",IF(INDEX(Bank!$D:$D,$C1657)="","",INDEX(Bank!$D:$D,$C1657)),IF(INDEX(GL!$D:$D,$C1657)="","",INDEX(GL!$D:$D,$C1657))))</f>
        <v/>
      </c>
      <c r="G1657" s="19" t="str">
        <f aca="false">IF(C1657=0,"",IF($A1657="Bank",INDEX(Bank!$E:$E,$C1657),INDEX(GL!$E:$E,$C1657)))</f>
        <v/>
      </c>
      <c r="H1657" s="5" t="str">
        <f aca="false">IF(C1657=0,"",IF(A1657="GL",IF(G1657&gt;0,"Deposit in transit","Outstanding check / payment"),IF(G1657&gt;0,"Bank credit not in GL","Bank debit not in GL")))</f>
        <v/>
      </c>
      <c r="I1657" s="42" t="str">
        <f aca="false">IF(OR(C1657=0,CFG_PeriodEnd=""),"",CFG_PeriodEnd-D1657)</f>
        <v/>
      </c>
      <c r="J1657" s="5" t="str">
        <f aca="false">IF(C1657=0,"",IF($A1657="Bank",IF(INDEX(Bank!$G:$G,$C1657)="","",INDEX(Bank!$G:$G,$C1657)),IF(INDEX(GL!$G:$G,$C1657)="","",INDEX(GL!$G:$G,$C1657))))</f>
        <v/>
      </c>
      <c r="K1657" s="5" t="str">
        <f aca="false">IF(C1657=0,"",IF($A1657="Bank",IF(INDEX(Bank!$I:$I,$C1657)="","",INDEX(Bank!$I:$I,$C1657)),IF(INDEX(GL!$I:$I,$C1657)="","",INDEX(GL!$I:$I,$C1657))))</f>
        <v/>
      </c>
      <c r="L1657" s="5" t="str">
        <f aca="false">IF(B1657="","",IF(C1657=0,"NOT FOUND",IF(IF($A1657="Bank",INDEX(Bank!$F:$F,$C1657),INDEX(GL!$F:$F,$C1657))="Y","NOW RECONCILED: refresh","OK")))</f>
        <v/>
      </c>
    </row>
    <row r="1658" customFormat="false" ht="15" hidden="false" customHeight="false" outlineLevel="0" collapsed="false">
      <c r="A1658" s="41"/>
      <c r="B1658" s="41"/>
      <c r="C1658" s="5" t="n">
        <f aca="false">IF(B1658="",0,IF(A1658="Bank",IFERROR(MATCH(B1658,Bank!$A:$A,0),0),IFERROR(MATCH(B1658,GL!$A:$A,0),0)))</f>
        <v>0</v>
      </c>
      <c r="D1658" s="32" t="str">
        <f aca="false">IF(C1658=0,"",IF($A1658="Bank",INDEX(Bank!$B:$B,$C1658),INDEX(GL!$B:$B,$C1658)))</f>
        <v/>
      </c>
      <c r="E1658" s="5" t="str">
        <f aca="false">IF(C1658=0,"",IF($A1658="Bank",IF(INDEX(Bank!$C:$C,$C1658)="","",INDEX(Bank!$C:$C,$C1658)),IF(INDEX(GL!$C:$C,$C1658)="","",INDEX(GL!$C:$C,$C1658))))</f>
        <v/>
      </c>
      <c r="F1658" s="5" t="str">
        <f aca="false">IF(C1658=0,"",IF($A1658="Bank",IF(INDEX(Bank!$D:$D,$C1658)="","",INDEX(Bank!$D:$D,$C1658)),IF(INDEX(GL!$D:$D,$C1658)="","",INDEX(GL!$D:$D,$C1658))))</f>
        <v/>
      </c>
      <c r="G1658" s="19" t="str">
        <f aca="false">IF(C1658=0,"",IF($A1658="Bank",INDEX(Bank!$E:$E,$C1658),INDEX(GL!$E:$E,$C1658)))</f>
        <v/>
      </c>
      <c r="H1658" s="5" t="str">
        <f aca="false">IF(C1658=0,"",IF(A1658="GL",IF(G1658&gt;0,"Deposit in transit","Outstanding check / payment"),IF(G1658&gt;0,"Bank credit not in GL","Bank debit not in GL")))</f>
        <v/>
      </c>
      <c r="I1658" s="42" t="str">
        <f aca="false">IF(OR(C1658=0,CFG_PeriodEnd=""),"",CFG_PeriodEnd-D1658)</f>
        <v/>
      </c>
      <c r="J1658" s="5" t="str">
        <f aca="false">IF(C1658=0,"",IF($A1658="Bank",IF(INDEX(Bank!$G:$G,$C1658)="","",INDEX(Bank!$G:$G,$C1658)),IF(INDEX(GL!$G:$G,$C1658)="","",INDEX(GL!$G:$G,$C1658))))</f>
        <v/>
      </c>
      <c r="K1658" s="5" t="str">
        <f aca="false">IF(C1658=0,"",IF($A1658="Bank",IF(INDEX(Bank!$I:$I,$C1658)="","",INDEX(Bank!$I:$I,$C1658)),IF(INDEX(GL!$I:$I,$C1658)="","",INDEX(GL!$I:$I,$C1658))))</f>
        <v/>
      </c>
      <c r="L1658" s="5" t="str">
        <f aca="false">IF(B1658="","",IF(C1658=0,"NOT FOUND",IF(IF($A1658="Bank",INDEX(Bank!$F:$F,$C1658),INDEX(GL!$F:$F,$C1658))="Y","NOW RECONCILED: refresh","OK")))</f>
        <v/>
      </c>
    </row>
    <row r="1659" customFormat="false" ht="15" hidden="false" customHeight="false" outlineLevel="0" collapsed="false">
      <c r="A1659" s="41"/>
      <c r="B1659" s="41"/>
      <c r="C1659" s="5" t="n">
        <f aca="false">IF(B1659="",0,IF(A1659="Bank",IFERROR(MATCH(B1659,Bank!$A:$A,0),0),IFERROR(MATCH(B1659,GL!$A:$A,0),0)))</f>
        <v>0</v>
      </c>
      <c r="D1659" s="32" t="str">
        <f aca="false">IF(C1659=0,"",IF($A1659="Bank",INDEX(Bank!$B:$B,$C1659),INDEX(GL!$B:$B,$C1659)))</f>
        <v/>
      </c>
      <c r="E1659" s="5" t="str">
        <f aca="false">IF(C1659=0,"",IF($A1659="Bank",IF(INDEX(Bank!$C:$C,$C1659)="","",INDEX(Bank!$C:$C,$C1659)),IF(INDEX(GL!$C:$C,$C1659)="","",INDEX(GL!$C:$C,$C1659))))</f>
        <v/>
      </c>
      <c r="F1659" s="5" t="str">
        <f aca="false">IF(C1659=0,"",IF($A1659="Bank",IF(INDEX(Bank!$D:$D,$C1659)="","",INDEX(Bank!$D:$D,$C1659)),IF(INDEX(GL!$D:$D,$C1659)="","",INDEX(GL!$D:$D,$C1659))))</f>
        <v/>
      </c>
      <c r="G1659" s="19" t="str">
        <f aca="false">IF(C1659=0,"",IF($A1659="Bank",INDEX(Bank!$E:$E,$C1659),INDEX(GL!$E:$E,$C1659)))</f>
        <v/>
      </c>
      <c r="H1659" s="5" t="str">
        <f aca="false">IF(C1659=0,"",IF(A1659="GL",IF(G1659&gt;0,"Deposit in transit","Outstanding check / payment"),IF(G1659&gt;0,"Bank credit not in GL","Bank debit not in GL")))</f>
        <v/>
      </c>
      <c r="I1659" s="42" t="str">
        <f aca="false">IF(OR(C1659=0,CFG_PeriodEnd=""),"",CFG_PeriodEnd-D1659)</f>
        <v/>
      </c>
      <c r="J1659" s="5" t="str">
        <f aca="false">IF(C1659=0,"",IF($A1659="Bank",IF(INDEX(Bank!$G:$G,$C1659)="","",INDEX(Bank!$G:$G,$C1659)),IF(INDEX(GL!$G:$G,$C1659)="","",INDEX(GL!$G:$G,$C1659))))</f>
        <v/>
      </c>
      <c r="K1659" s="5" t="str">
        <f aca="false">IF(C1659=0,"",IF($A1659="Bank",IF(INDEX(Bank!$I:$I,$C1659)="","",INDEX(Bank!$I:$I,$C1659)),IF(INDEX(GL!$I:$I,$C1659)="","",INDEX(GL!$I:$I,$C1659))))</f>
        <v/>
      </c>
      <c r="L1659" s="5" t="str">
        <f aca="false">IF(B1659="","",IF(C1659=0,"NOT FOUND",IF(IF($A1659="Bank",INDEX(Bank!$F:$F,$C1659),INDEX(GL!$F:$F,$C1659))="Y","NOW RECONCILED: refresh","OK")))</f>
        <v/>
      </c>
    </row>
    <row r="1660" customFormat="false" ht="15" hidden="false" customHeight="false" outlineLevel="0" collapsed="false">
      <c r="A1660" s="41"/>
      <c r="B1660" s="41"/>
      <c r="C1660" s="5" t="n">
        <f aca="false">IF(B1660="",0,IF(A1660="Bank",IFERROR(MATCH(B1660,Bank!$A:$A,0),0),IFERROR(MATCH(B1660,GL!$A:$A,0),0)))</f>
        <v>0</v>
      </c>
      <c r="D1660" s="32" t="str">
        <f aca="false">IF(C1660=0,"",IF($A1660="Bank",INDEX(Bank!$B:$B,$C1660),INDEX(GL!$B:$B,$C1660)))</f>
        <v/>
      </c>
      <c r="E1660" s="5" t="str">
        <f aca="false">IF(C1660=0,"",IF($A1660="Bank",IF(INDEX(Bank!$C:$C,$C1660)="","",INDEX(Bank!$C:$C,$C1660)),IF(INDEX(GL!$C:$C,$C1660)="","",INDEX(GL!$C:$C,$C1660))))</f>
        <v/>
      </c>
      <c r="F1660" s="5" t="str">
        <f aca="false">IF(C1660=0,"",IF($A1660="Bank",IF(INDEX(Bank!$D:$D,$C1660)="","",INDEX(Bank!$D:$D,$C1660)),IF(INDEX(GL!$D:$D,$C1660)="","",INDEX(GL!$D:$D,$C1660))))</f>
        <v/>
      </c>
      <c r="G1660" s="19" t="str">
        <f aca="false">IF(C1660=0,"",IF($A1660="Bank",INDEX(Bank!$E:$E,$C1660),INDEX(GL!$E:$E,$C1660)))</f>
        <v/>
      </c>
      <c r="H1660" s="5" t="str">
        <f aca="false">IF(C1660=0,"",IF(A1660="GL",IF(G1660&gt;0,"Deposit in transit","Outstanding check / payment"),IF(G1660&gt;0,"Bank credit not in GL","Bank debit not in GL")))</f>
        <v/>
      </c>
      <c r="I1660" s="42" t="str">
        <f aca="false">IF(OR(C1660=0,CFG_PeriodEnd=""),"",CFG_PeriodEnd-D1660)</f>
        <v/>
      </c>
      <c r="J1660" s="5" t="str">
        <f aca="false">IF(C1660=0,"",IF($A1660="Bank",IF(INDEX(Bank!$G:$G,$C1660)="","",INDEX(Bank!$G:$G,$C1660)),IF(INDEX(GL!$G:$G,$C1660)="","",INDEX(GL!$G:$G,$C1660))))</f>
        <v/>
      </c>
      <c r="K1660" s="5" t="str">
        <f aca="false">IF(C1660=0,"",IF($A1660="Bank",IF(INDEX(Bank!$I:$I,$C1660)="","",INDEX(Bank!$I:$I,$C1660)),IF(INDEX(GL!$I:$I,$C1660)="","",INDEX(GL!$I:$I,$C1660))))</f>
        <v/>
      </c>
      <c r="L1660" s="5" t="str">
        <f aca="false">IF(B1660="","",IF(C1660=0,"NOT FOUND",IF(IF($A1660="Bank",INDEX(Bank!$F:$F,$C1660),INDEX(GL!$F:$F,$C1660))="Y","NOW RECONCILED: refresh","OK")))</f>
        <v/>
      </c>
    </row>
    <row r="1661" customFormat="false" ht="15" hidden="false" customHeight="false" outlineLevel="0" collapsed="false">
      <c r="A1661" s="41"/>
      <c r="B1661" s="41"/>
      <c r="C1661" s="5" t="n">
        <f aca="false">IF(B1661="",0,IF(A1661="Bank",IFERROR(MATCH(B1661,Bank!$A:$A,0),0),IFERROR(MATCH(B1661,GL!$A:$A,0),0)))</f>
        <v>0</v>
      </c>
      <c r="D1661" s="32" t="str">
        <f aca="false">IF(C1661=0,"",IF($A1661="Bank",INDEX(Bank!$B:$B,$C1661),INDEX(GL!$B:$B,$C1661)))</f>
        <v/>
      </c>
      <c r="E1661" s="5" t="str">
        <f aca="false">IF(C1661=0,"",IF($A1661="Bank",IF(INDEX(Bank!$C:$C,$C1661)="","",INDEX(Bank!$C:$C,$C1661)),IF(INDEX(GL!$C:$C,$C1661)="","",INDEX(GL!$C:$C,$C1661))))</f>
        <v/>
      </c>
      <c r="F1661" s="5" t="str">
        <f aca="false">IF(C1661=0,"",IF($A1661="Bank",IF(INDEX(Bank!$D:$D,$C1661)="","",INDEX(Bank!$D:$D,$C1661)),IF(INDEX(GL!$D:$D,$C1661)="","",INDEX(GL!$D:$D,$C1661))))</f>
        <v/>
      </c>
      <c r="G1661" s="19" t="str">
        <f aca="false">IF(C1661=0,"",IF($A1661="Bank",INDEX(Bank!$E:$E,$C1661),INDEX(GL!$E:$E,$C1661)))</f>
        <v/>
      </c>
      <c r="H1661" s="5" t="str">
        <f aca="false">IF(C1661=0,"",IF(A1661="GL",IF(G1661&gt;0,"Deposit in transit","Outstanding check / payment"),IF(G1661&gt;0,"Bank credit not in GL","Bank debit not in GL")))</f>
        <v/>
      </c>
      <c r="I1661" s="42" t="str">
        <f aca="false">IF(OR(C1661=0,CFG_PeriodEnd=""),"",CFG_PeriodEnd-D1661)</f>
        <v/>
      </c>
      <c r="J1661" s="5" t="str">
        <f aca="false">IF(C1661=0,"",IF($A1661="Bank",IF(INDEX(Bank!$G:$G,$C1661)="","",INDEX(Bank!$G:$G,$C1661)),IF(INDEX(GL!$G:$G,$C1661)="","",INDEX(GL!$G:$G,$C1661))))</f>
        <v/>
      </c>
      <c r="K1661" s="5" t="str">
        <f aca="false">IF(C1661=0,"",IF($A1661="Bank",IF(INDEX(Bank!$I:$I,$C1661)="","",INDEX(Bank!$I:$I,$C1661)),IF(INDEX(GL!$I:$I,$C1661)="","",INDEX(GL!$I:$I,$C1661))))</f>
        <v/>
      </c>
      <c r="L1661" s="5" t="str">
        <f aca="false">IF(B1661="","",IF(C1661=0,"NOT FOUND",IF(IF($A1661="Bank",INDEX(Bank!$F:$F,$C1661),INDEX(GL!$F:$F,$C1661))="Y","NOW RECONCILED: refresh","OK")))</f>
        <v/>
      </c>
    </row>
    <row r="1662" customFormat="false" ht="15" hidden="false" customHeight="false" outlineLevel="0" collapsed="false">
      <c r="A1662" s="41"/>
      <c r="B1662" s="41"/>
      <c r="C1662" s="5" t="n">
        <f aca="false">IF(B1662="",0,IF(A1662="Bank",IFERROR(MATCH(B1662,Bank!$A:$A,0),0),IFERROR(MATCH(B1662,GL!$A:$A,0),0)))</f>
        <v>0</v>
      </c>
      <c r="D1662" s="32" t="str">
        <f aca="false">IF(C1662=0,"",IF($A1662="Bank",INDEX(Bank!$B:$B,$C1662),INDEX(GL!$B:$B,$C1662)))</f>
        <v/>
      </c>
      <c r="E1662" s="5" t="str">
        <f aca="false">IF(C1662=0,"",IF($A1662="Bank",IF(INDEX(Bank!$C:$C,$C1662)="","",INDEX(Bank!$C:$C,$C1662)),IF(INDEX(GL!$C:$C,$C1662)="","",INDEX(GL!$C:$C,$C1662))))</f>
        <v/>
      </c>
      <c r="F1662" s="5" t="str">
        <f aca="false">IF(C1662=0,"",IF($A1662="Bank",IF(INDEX(Bank!$D:$D,$C1662)="","",INDEX(Bank!$D:$D,$C1662)),IF(INDEX(GL!$D:$D,$C1662)="","",INDEX(GL!$D:$D,$C1662))))</f>
        <v/>
      </c>
      <c r="G1662" s="19" t="str">
        <f aca="false">IF(C1662=0,"",IF($A1662="Bank",INDEX(Bank!$E:$E,$C1662),INDEX(GL!$E:$E,$C1662)))</f>
        <v/>
      </c>
      <c r="H1662" s="5" t="str">
        <f aca="false">IF(C1662=0,"",IF(A1662="GL",IF(G1662&gt;0,"Deposit in transit","Outstanding check / payment"),IF(G1662&gt;0,"Bank credit not in GL","Bank debit not in GL")))</f>
        <v/>
      </c>
      <c r="I1662" s="42" t="str">
        <f aca="false">IF(OR(C1662=0,CFG_PeriodEnd=""),"",CFG_PeriodEnd-D1662)</f>
        <v/>
      </c>
      <c r="J1662" s="5" t="str">
        <f aca="false">IF(C1662=0,"",IF($A1662="Bank",IF(INDEX(Bank!$G:$G,$C1662)="","",INDEX(Bank!$G:$G,$C1662)),IF(INDEX(GL!$G:$G,$C1662)="","",INDEX(GL!$G:$G,$C1662))))</f>
        <v/>
      </c>
      <c r="K1662" s="5" t="str">
        <f aca="false">IF(C1662=0,"",IF($A1662="Bank",IF(INDEX(Bank!$I:$I,$C1662)="","",INDEX(Bank!$I:$I,$C1662)),IF(INDEX(GL!$I:$I,$C1662)="","",INDEX(GL!$I:$I,$C1662))))</f>
        <v/>
      </c>
      <c r="L1662" s="5" t="str">
        <f aca="false">IF(B1662="","",IF(C1662=0,"NOT FOUND",IF(IF($A1662="Bank",INDEX(Bank!$F:$F,$C1662),INDEX(GL!$F:$F,$C1662))="Y","NOW RECONCILED: refresh","OK")))</f>
        <v/>
      </c>
    </row>
    <row r="1663" customFormat="false" ht="15" hidden="false" customHeight="false" outlineLevel="0" collapsed="false">
      <c r="A1663" s="41"/>
      <c r="B1663" s="41"/>
      <c r="C1663" s="5" t="n">
        <f aca="false">IF(B1663="",0,IF(A1663="Bank",IFERROR(MATCH(B1663,Bank!$A:$A,0),0),IFERROR(MATCH(B1663,GL!$A:$A,0),0)))</f>
        <v>0</v>
      </c>
      <c r="D1663" s="32" t="str">
        <f aca="false">IF(C1663=0,"",IF($A1663="Bank",INDEX(Bank!$B:$B,$C1663),INDEX(GL!$B:$B,$C1663)))</f>
        <v/>
      </c>
      <c r="E1663" s="5" t="str">
        <f aca="false">IF(C1663=0,"",IF($A1663="Bank",IF(INDEX(Bank!$C:$C,$C1663)="","",INDEX(Bank!$C:$C,$C1663)),IF(INDEX(GL!$C:$C,$C1663)="","",INDEX(GL!$C:$C,$C1663))))</f>
        <v/>
      </c>
      <c r="F1663" s="5" t="str">
        <f aca="false">IF(C1663=0,"",IF($A1663="Bank",IF(INDEX(Bank!$D:$D,$C1663)="","",INDEX(Bank!$D:$D,$C1663)),IF(INDEX(GL!$D:$D,$C1663)="","",INDEX(GL!$D:$D,$C1663))))</f>
        <v/>
      </c>
      <c r="G1663" s="19" t="str">
        <f aca="false">IF(C1663=0,"",IF($A1663="Bank",INDEX(Bank!$E:$E,$C1663),INDEX(GL!$E:$E,$C1663)))</f>
        <v/>
      </c>
      <c r="H1663" s="5" t="str">
        <f aca="false">IF(C1663=0,"",IF(A1663="GL",IF(G1663&gt;0,"Deposit in transit","Outstanding check / payment"),IF(G1663&gt;0,"Bank credit not in GL","Bank debit not in GL")))</f>
        <v/>
      </c>
      <c r="I1663" s="42" t="str">
        <f aca="false">IF(OR(C1663=0,CFG_PeriodEnd=""),"",CFG_PeriodEnd-D1663)</f>
        <v/>
      </c>
      <c r="J1663" s="5" t="str">
        <f aca="false">IF(C1663=0,"",IF($A1663="Bank",IF(INDEX(Bank!$G:$G,$C1663)="","",INDEX(Bank!$G:$G,$C1663)),IF(INDEX(GL!$G:$G,$C1663)="","",INDEX(GL!$G:$G,$C1663))))</f>
        <v/>
      </c>
      <c r="K1663" s="5" t="str">
        <f aca="false">IF(C1663=0,"",IF($A1663="Bank",IF(INDEX(Bank!$I:$I,$C1663)="","",INDEX(Bank!$I:$I,$C1663)),IF(INDEX(GL!$I:$I,$C1663)="","",INDEX(GL!$I:$I,$C1663))))</f>
        <v/>
      </c>
      <c r="L1663" s="5" t="str">
        <f aca="false">IF(B1663="","",IF(C1663=0,"NOT FOUND",IF(IF($A1663="Bank",INDEX(Bank!$F:$F,$C1663),INDEX(GL!$F:$F,$C1663))="Y","NOW RECONCILED: refresh","OK")))</f>
        <v/>
      </c>
    </row>
    <row r="1664" customFormat="false" ht="15" hidden="false" customHeight="false" outlineLevel="0" collapsed="false">
      <c r="A1664" s="41"/>
      <c r="B1664" s="41"/>
      <c r="C1664" s="5" t="n">
        <f aca="false">IF(B1664="",0,IF(A1664="Bank",IFERROR(MATCH(B1664,Bank!$A:$A,0),0),IFERROR(MATCH(B1664,GL!$A:$A,0),0)))</f>
        <v>0</v>
      </c>
      <c r="D1664" s="32" t="str">
        <f aca="false">IF(C1664=0,"",IF($A1664="Bank",INDEX(Bank!$B:$B,$C1664),INDEX(GL!$B:$B,$C1664)))</f>
        <v/>
      </c>
      <c r="E1664" s="5" t="str">
        <f aca="false">IF(C1664=0,"",IF($A1664="Bank",IF(INDEX(Bank!$C:$C,$C1664)="","",INDEX(Bank!$C:$C,$C1664)),IF(INDEX(GL!$C:$C,$C1664)="","",INDEX(GL!$C:$C,$C1664))))</f>
        <v/>
      </c>
      <c r="F1664" s="5" t="str">
        <f aca="false">IF(C1664=0,"",IF($A1664="Bank",IF(INDEX(Bank!$D:$D,$C1664)="","",INDEX(Bank!$D:$D,$C1664)),IF(INDEX(GL!$D:$D,$C1664)="","",INDEX(GL!$D:$D,$C1664))))</f>
        <v/>
      </c>
      <c r="G1664" s="19" t="str">
        <f aca="false">IF(C1664=0,"",IF($A1664="Bank",INDEX(Bank!$E:$E,$C1664),INDEX(GL!$E:$E,$C1664)))</f>
        <v/>
      </c>
      <c r="H1664" s="5" t="str">
        <f aca="false">IF(C1664=0,"",IF(A1664="GL",IF(G1664&gt;0,"Deposit in transit","Outstanding check / payment"),IF(G1664&gt;0,"Bank credit not in GL","Bank debit not in GL")))</f>
        <v/>
      </c>
      <c r="I1664" s="42" t="str">
        <f aca="false">IF(OR(C1664=0,CFG_PeriodEnd=""),"",CFG_PeriodEnd-D1664)</f>
        <v/>
      </c>
      <c r="J1664" s="5" t="str">
        <f aca="false">IF(C1664=0,"",IF($A1664="Bank",IF(INDEX(Bank!$G:$G,$C1664)="","",INDEX(Bank!$G:$G,$C1664)),IF(INDEX(GL!$G:$G,$C1664)="","",INDEX(GL!$G:$G,$C1664))))</f>
        <v/>
      </c>
      <c r="K1664" s="5" t="str">
        <f aca="false">IF(C1664=0,"",IF($A1664="Bank",IF(INDEX(Bank!$I:$I,$C1664)="","",INDEX(Bank!$I:$I,$C1664)),IF(INDEX(GL!$I:$I,$C1664)="","",INDEX(GL!$I:$I,$C1664))))</f>
        <v/>
      </c>
      <c r="L1664" s="5" t="str">
        <f aca="false">IF(B1664="","",IF(C1664=0,"NOT FOUND",IF(IF($A1664="Bank",INDEX(Bank!$F:$F,$C1664),INDEX(GL!$F:$F,$C1664))="Y","NOW RECONCILED: refresh","OK")))</f>
        <v/>
      </c>
    </row>
    <row r="1665" customFormat="false" ht="15" hidden="false" customHeight="false" outlineLevel="0" collapsed="false">
      <c r="A1665" s="41"/>
      <c r="B1665" s="41"/>
      <c r="C1665" s="5" t="n">
        <f aca="false">IF(B1665="",0,IF(A1665="Bank",IFERROR(MATCH(B1665,Bank!$A:$A,0),0),IFERROR(MATCH(B1665,GL!$A:$A,0),0)))</f>
        <v>0</v>
      </c>
      <c r="D1665" s="32" t="str">
        <f aca="false">IF(C1665=0,"",IF($A1665="Bank",INDEX(Bank!$B:$B,$C1665),INDEX(GL!$B:$B,$C1665)))</f>
        <v/>
      </c>
      <c r="E1665" s="5" t="str">
        <f aca="false">IF(C1665=0,"",IF($A1665="Bank",IF(INDEX(Bank!$C:$C,$C1665)="","",INDEX(Bank!$C:$C,$C1665)),IF(INDEX(GL!$C:$C,$C1665)="","",INDEX(GL!$C:$C,$C1665))))</f>
        <v/>
      </c>
      <c r="F1665" s="5" t="str">
        <f aca="false">IF(C1665=0,"",IF($A1665="Bank",IF(INDEX(Bank!$D:$D,$C1665)="","",INDEX(Bank!$D:$D,$C1665)),IF(INDEX(GL!$D:$D,$C1665)="","",INDEX(GL!$D:$D,$C1665))))</f>
        <v/>
      </c>
      <c r="G1665" s="19" t="str">
        <f aca="false">IF(C1665=0,"",IF($A1665="Bank",INDEX(Bank!$E:$E,$C1665),INDEX(GL!$E:$E,$C1665)))</f>
        <v/>
      </c>
      <c r="H1665" s="5" t="str">
        <f aca="false">IF(C1665=0,"",IF(A1665="GL",IF(G1665&gt;0,"Deposit in transit","Outstanding check / payment"),IF(G1665&gt;0,"Bank credit not in GL","Bank debit not in GL")))</f>
        <v/>
      </c>
      <c r="I1665" s="42" t="str">
        <f aca="false">IF(OR(C1665=0,CFG_PeriodEnd=""),"",CFG_PeriodEnd-D1665)</f>
        <v/>
      </c>
      <c r="J1665" s="5" t="str">
        <f aca="false">IF(C1665=0,"",IF($A1665="Bank",IF(INDEX(Bank!$G:$G,$C1665)="","",INDEX(Bank!$G:$G,$C1665)),IF(INDEX(GL!$G:$G,$C1665)="","",INDEX(GL!$G:$G,$C1665))))</f>
        <v/>
      </c>
      <c r="K1665" s="5" t="str">
        <f aca="false">IF(C1665=0,"",IF($A1665="Bank",IF(INDEX(Bank!$I:$I,$C1665)="","",INDEX(Bank!$I:$I,$C1665)),IF(INDEX(GL!$I:$I,$C1665)="","",INDEX(GL!$I:$I,$C1665))))</f>
        <v/>
      </c>
      <c r="L1665" s="5" t="str">
        <f aca="false">IF(B1665="","",IF(C1665=0,"NOT FOUND",IF(IF($A1665="Bank",INDEX(Bank!$F:$F,$C1665),INDEX(GL!$F:$F,$C1665))="Y","NOW RECONCILED: refresh","OK")))</f>
        <v/>
      </c>
    </row>
    <row r="1666" customFormat="false" ht="15" hidden="false" customHeight="false" outlineLevel="0" collapsed="false">
      <c r="A1666" s="41"/>
      <c r="B1666" s="41"/>
      <c r="C1666" s="5" t="n">
        <f aca="false">IF(B1666="",0,IF(A1666="Bank",IFERROR(MATCH(B1666,Bank!$A:$A,0),0),IFERROR(MATCH(B1666,GL!$A:$A,0),0)))</f>
        <v>0</v>
      </c>
      <c r="D1666" s="32" t="str">
        <f aca="false">IF(C1666=0,"",IF($A1666="Bank",INDEX(Bank!$B:$B,$C1666),INDEX(GL!$B:$B,$C1666)))</f>
        <v/>
      </c>
      <c r="E1666" s="5" t="str">
        <f aca="false">IF(C1666=0,"",IF($A1666="Bank",IF(INDEX(Bank!$C:$C,$C1666)="","",INDEX(Bank!$C:$C,$C1666)),IF(INDEX(GL!$C:$C,$C1666)="","",INDEX(GL!$C:$C,$C1666))))</f>
        <v/>
      </c>
      <c r="F1666" s="5" t="str">
        <f aca="false">IF(C1666=0,"",IF($A1666="Bank",IF(INDEX(Bank!$D:$D,$C1666)="","",INDEX(Bank!$D:$D,$C1666)),IF(INDEX(GL!$D:$D,$C1666)="","",INDEX(GL!$D:$D,$C1666))))</f>
        <v/>
      </c>
      <c r="G1666" s="19" t="str">
        <f aca="false">IF(C1666=0,"",IF($A1666="Bank",INDEX(Bank!$E:$E,$C1666),INDEX(GL!$E:$E,$C1666)))</f>
        <v/>
      </c>
      <c r="H1666" s="5" t="str">
        <f aca="false">IF(C1666=0,"",IF(A1666="GL",IF(G1666&gt;0,"Deposit in transit","Outstanding check / payment"),IF(G1666&gt;0,"Bank credit not in GL","Bank debit not in GL")))</f>
        <v/>
      </c>
      <c r="I1666" s="42" t="str">
        <f aca="false">IF(OR(C1666=0,CFG_PeriodEnd=""),"",CFG_PeriodEnd-D1666)</f>
        <v/>
      </c>
      <c r="J1666" s="5" t="str">
        <f aca="false">IF(C1666=0,"",IF($A1666="Bank",IF(INDEX(Bank!$G:$G,$C1666)="","",INDEX(Bank!$G:$G,$C1666)),IF(INDEX(GL!$G:$G,$C1666)="","",INDEX(GL!$G:$G,$C1666))))</f>
        <v/>
      </c>
      <c r="K1666" s="5" t="str">
        <f aca="false">IF(C1666=0,"",IF($A1666="Bank",IF(INDEX(Bank!$I:$I,$C1666)="","",INDEX(Bank!$I:$I,$C1666)),IF(INDEX(GL!$I:$I,$C1666)="","",INDEX(GL!$I:$I,$C1666))))</f>
        <v/>
      </c>
      <c r="L1666" s="5" t="str">
        <f aca="false">IF(B1666="","",IF(C1666=0,"NOT FOUND",IF(IF($A1666="Bank",INDEX(Bank!$F:$F,$C1666),INDEX(GL!$F:$F,$C1666))="Y","NOW RECONCILED: refresh","OK")))</f>
        <v/>
      </c>
    </row>
    <row r="1667" customFormat="false" ht="15" hidden="false" customHeight="false" outlineLevel="0" collapsed="false">
      <c r="A1667" s="41"/>
      <c r="B1667" s="41"/>
      <c r="C1667" s="5" t="n">
        <f aca="false">IF(B1667="",0,IF(A1667="Bank",IFERROR(MATCH(B1667,Bank!$A:$A,0),0),IFERROR(MATCH(B1667,GL!$A:$A,0),0)))</f>
        <v>0</v>
      </c>
      <c r="D1667" s="32" t="str">
        <f aca="false">IF(C1667=0,"",IF($A1667="Bank",INDEX(Bank!$B:$B,$C1667),INDEX(GL!$B:$B,$C1667)))</f>
        <v/>
      </c>
      <c r="E1667" s="5" t="str">
        <f aca="false">IF(C1667=0,"",IF($A1667="Bank",IF(INDEX(Bank!$C:$C,$C1667)="","",INDEX(Bank!$C:$C,$C1667)),IF(INDEX(GL!$C:$C,$C1667)="","",INDEX(GL!$C:$C,$C1667))))</f>
        <v/>
      </c>
      <c r="F1667" s="5" t="str">
        <f aca="false">IF(C1667=0,"",IF($A1667="Bank",IF(INDEX(Bank!$D:$D,$C1667)="","",INDEX(Bank!$D:$D,$C1667)),IF(INDEX(GL!$D:$D,$C1667)="","",INDEX(GL!$D:$D,$C1667))))</f>
        <v/>
      </c>
      <c r="G1667" s="19" t="str">
        <f aca="false">IF(C1667=0,"",IF($A1667="Bank",INDEX(Bank!$E:$E,$C1667),INDEX(GL!$E:$E,$C1667)))</f>
        <v/>
      </c>
      <c r="H1667" s="5" t="str">
        <f aca="false">IF(C1667=0,"",IF(A1667="GL",IF(G1667&gt;0,"Deposit in transit","Outstanding check / payment"),IF(G1667&gt;0,"Bank credit not in GL","Bank debit not in GL")))</f>
        <v/>
      </c>
      <c r="I1667" s="42" t="str">
        <f aca="false">IF(OR(C1667=0,CFG_PeriodEnd=""),"",CFG_PeriodEnd-D1667)</f>
        <v/>
      </c>
      <c r="J1667" s="5" t="str">
        <f aca="false">IF(C1667=0,"",IF($A1667="Bank",IF(INDEX(Bank!$G:$G,$C1667)="","",INDEX(Bank!$G:$G,$C1667)),IF(INDEX(GL!$G:$G,$C1667)="","",INDEX(GL!$G:$G,$C1667))))</f>
        <v/>
      </c>
      <c r="K1667" s="5" t="str">
        <f aca="false">IF(C1667=0,"",IF($A1667="Bank",IF(INDEX(Bank!$I:$I,$C1667)="","",INDEX(Bank!$I:$I,$C1667)),IF(INDEX(GL!$I:$I,$C1667)="","",INDEX(GL!$I:$I,$C1667))))</f>
        <v/>
      </c>
      <c r="L1667" s="5" t="str">
        <f aca="false">IF(B1667="","",IF(C1667=0,"NOT FOUND",IF(IF($A1667="Bank",INDEX(Bank!$F:$F,$C1667),INDEX(GL!$F:$F,$C1667))="Y","NOW RECONCILED: refresh","OK")))</f>
        <v/>
      </c>
    </row>
    <row r="1668" customFormat="false" ht="15" hidden="false" customHeight="false" outlineLevel="0" collapsed="false">
      <c r="A1668" s="41"/>
      <c r="B1668" s="41"/>
      <c r="C1668" s="5" t="n">
        <f aca="false">IF(B1668="",0,IF(A1668="Bank",IFERROR(MATCH(B1668,Bank!$A:$A,0),0),IFERROR(MATCH(B1668,GL!$A:$A,0),0)))</f>
        <v>0</v>
      </c>
      <c r="D1668" s="32" t="str">
        <f aca="false">IF(C1668=0,"",IF($A1668="Bank",INDEX(Bank!$B:$B,$C1668),INDEX(GL!$B:$B,$C1668)))</f>
        <v/>
      </c>
      <c r="E1668" s="5" t="str">
        <f aca="false">IF(C1668=0,"",IF($A1668="Bank",IF(INDEX(Bank!$C:$C,$C1668)="","",INDEX(Bank!$C:$C,$C1668)),IF(INDEX(GL!$C:$C,$C1668)="","",INDEX(GL!$C:$C,$C1668))))</f>
        <v/>
      </c>
      <c r="F1668" s="5" t="str">
        <f aca="false">IF(C1668=0,"",IF($A1668="Bank",IF(INDEX(Bank!$D:$D,$C1668)="","",INDEX(Bank!$D:$D,$C1668)),IF(INDEX(GL!$D:$D,$C1668)="","",INDEX(GL!$D:$D,$C1668))))</f>
        <v/>
      </c>
      <c r="G1668" s="19" t="str">
        <f aca="false">IF(C1668=0,"",IF($A1668="Bank",INDEX(Bank!$E:$E,$C1668),INDEX(GL!$E:$E,$C1668)))</f>
        <v/>
      </c>
      <c r="H1668" s="5" t="str">
        <f aca="false">IF(C1668=0,"",IF(A1668="GL",IF(G1668&gt;0,"Deposit in transit","Outstanding check / payment"),IF(G1668&gt;0,"Bank credit not in GL","Bank debit not in GL")))</f>
        <v/>
      </c>
      <c r="I1668" s="42" t="str">
        <f aca="false">IF(OR(C1668=0,CFG_PeriodEnd=""),"",CFG_PeriodEnd-D1668)</f>
        <v/>
      </c>
      <c r="J1668" s="5" t="str">
        <f aca="false">IF(C1668=0,"",IF($A1668="Bank",IF(INDEX(Bank!$G:$G,$C1668)="","",INDEX(Bank!$G:$G,$C1668)),IF(INDEX(GL!$G:$G,$C1668)="","",INDEX(GL!$G:$G,$C1668))))</f>
        <v/>
      </c>
      <c r="K1668" s="5" t="str">
        <f aca="false">IF(C1668=0,"",IF($A1668="Bank",IF(INDEX(Bank!$I:$I,$C1668)="","",INDEX(Bank!$I:$I,$C1668)),IF(INDEX(GL!$I:$I,$C1668)="","",INDEX(GL!$I:$I,$C1668))))</f>
        <v/>
      </c>
      <c r="L1668" s="5" t="str">
        <f aca="false">IF(B1668="","",IF(C1668=0,"NOT FOUND",IF(IF($A1668="Bank",INDEX(Bank!$F:$F,$C1668),INDEX(GL!$F:$F,$C1668))="Y","NOW RECONCILED: refresh","OK")))</f>
        <v/>
      </c>
    </row>
    <row r="1669" customFormat="false" ht="15" hidden="false" customHeight="false" outlineLevel="0" collapsed="false">
      <c r="A1669" s="41"/>
      <c r="B1669" s="41"/>
      <c r="C1669" s="5" t="n">
        <f aca="false">IF(B1669="",0,IF(A1669="Bank",IFERROR(MATCH(B1669,Bank!$A:$A,0),0),IFERROR(MATCH(B1669,GL!$A:$A,0),0)))</f>
        <v>0</v>
      </c>
      <c r="D1669" s="32" t="str">
        <f aca="false">IF(C1669=0,"",IF($A1669="Bank",INDEX(Bank!$B:$B,$C1669),INDEX(GL!$B:$B,$C1669)))</f>
        <v/>
      </c>
      <c r="E1669" s="5" t="str">
        <f aca="false">IF(C1669=0,"",IF($A1669="Bank",IF(INDEX(Bank!$C:$C,$C1669)="","",INDEX(Bank!$C:$C,$C1669)),IF(INDEX(GL!$C:$C,$C1669)="","",INDEX(GL!$C:$C,$C1669))))</f>
        <v/>
      </c>
      <c r="F1669" s="5" t="str">
        <f aca="false">IF(C1669=0,"",IF($A1669="Bank",IF(INDEX(Bank!$D:$D,$C1669)="","",INDEX(Bank!$D:$D,$C1669)),IF(INDEX(GL!$D:$D,$C1669)="","",INDEX(GL!$D:$D,$C1669))))</f>
        <v/>
      </c>
      <c r="G1669" s="19" t="str">
        <f aca="false">IF(C1669=0,"",IF($A1669="Bank",INDEX(Bank!$E:$E,$C1669),INDEX(GL!$E:$E,$C1669)))</f>
        <v/>
      </c>
      <c r="H1669" s="5" t="str">
        <f aca="false">IF(C1669=0,"",IF(A1669="GL",IF(G1669&gt;0,"Deposit in transit","Outstanding check / payment"),IF(G1669&gt;0,"Bank credit not in GL","Bank debit not in GL")))</f>
        <v/>
      </c>
      <c r="I1669" s="42" t="str">
        <f aca="false">IF(OR(C1669=0,CFG_PeriodEnd=""),"",CFG_PeriodEnd-D1669)</f>
        <v/>
      </c>
      <c r="J1669" s="5" t="str">
        <f aca="false">IF(C1669=0,"",IF($A1669="Bank",IF(INDEX(Bank!$G:$G,$C1669)="","",INDEX(Bank!$G:$G,$C1669)),IF(INDEX(GL!$G:$G,$C1669)="","",INDEX(GL!$G:$G,$C1669))))</f>
        <v/>
      </c>
      <c r="K1669" s="5" t="str">
        <f aca="false">IF(C1669=0,"",IF($A1669="Bank",IF(INDEX(Bank!$I:$I,$C1669)="","",INDEX(Bank!$I:$I,$C1669)),IF(INDEX(GL!$I:$I,$C1669)="","",INDEX(GL!$I:$I,$C1669))))</f>
        <v/>
      </c>
      <c r="L1669" s="5" t="str">
        <f aca="false">IF(B1669="","",IF(C1669=0,"NOT FOUND",IF(IF($A1669="Bank",INDEX(Bank!$F:$F,$C1669),INDEX(GL!$F:$F,$C1669))="Y","NOW RECONCILED: refresh","OK")))</f>
        <v/>
      </c>
    </row>
    <row r="1670" customFormat="false" ht="15" hidden="false" customHeight="false" outlineLevel="0" collapsed="false">
      <c r="A1670" s="41"/>
      <c r="B1670" s="41"/>
      <c r="C1670" s="5" t="n">
        <f aca="false">IF(B1670="",0,IF(A1670="Bank",IFERROR(MATCH(B1670,Bank!$A:$A,0),0),IFERROR(MATCH(B1670,GL!$A:$A,0),0)))</f>
        <v>0</v>
      </c>
      <c r="D1670" s="32" t="str">
        <f aca="false">IF(C1670=0,"",IF($A1670="Bank",INDEX(Bank!$B:$B,$C1670),INDEX(GL!$B:$B,$C1670)))</f>
        <v/>
      </c>
      <c r="E1670" s="5" t="str">
        <f aca="false">IF(C1670=0,"",IF($A1670="Bank",IF(INDEX(Bank!$C:$C,$C1670)="","",INDEX(Bank!$C:$C,$C1670)),IF(INDEX(GL!$C:$C,$C1670)="","",INDEX(GL!$C:$C,$C1670))))</f>
        <v/>
      </c>
      <c r="F1670" s="5" t="str">
        <f aca="false">IF(C1670=0,"",IF($A1670="Bank",IF(INDEX(Bank!$D:$D,$C1670)="","",INDEX(Bank!$D:$D,$C1670)),IF(INDEX(GL!$D:$D,$C1670)="","",INDEX(GL!$D:$D,$C1670))))</f>
        <v/>
      </c>
      <c r="G1670" s="19" t="str">
        <f aca="false">IF(C1670=0,"",IF($A1670="Bank",INDEX(Bank!$E:$E,$C1670),INDEX(GL!$E:$E,$C1670)))</f>
        <v/>
      </c>
      <c r="H1670" s="5" t="str">
        <f aca="false">IF(C1670=0,"",IF(A1670="GL",IF(G1670&gt;0,"Deposit in transit","Outstanding check / payment"),IF(G1670&gt;0,"Bank credit not in GL","Bank debit not in GL")))</f>
        <v/>
      </c>
      <c r="I1670" s="42" t="str">
        <f aca="false">IF(OR(C1670=0,CFG_PeriodEnd=""),"",CFG_PeriodEnd-D1670)</f>
        <v/>
      </c>
      <c r="J1670" s="5" t="str">
        <f aca="false">IF(C1670=0,"",IF($A1670="Bank",IF(INDEX(Bank!$G:$G,$C1670)="","",INDEX(Bank!$G:$G,$C1670)),IF(INDEX(GL!$G:$G,$C1670)="","",INDEX(GL!$G:$G,$C1670))))</f>
        <v/>
      </c>
      <c r="K1670" s="5" t="str">
        <f aca="false">IF(C1670=0,"",IF($A1670="Bank",IF(INDEX(Bank!$I:$I,$C1670)="","",INDEX(Bank!$I:$I,$C1670)),IF(INDEX(GL!$I:$I,$C1670)="","",INDEX(GL!$I:$I,$C1670))))</f>
        <v/>
      </c>
      <c r="L1670" s="5" t="str">
        <f aca="false">IF(B1670="","",IF(C1670=0,"NOT FOUND",IF(IF($A1670="Bank",INDEX(Bank!$F:$F,$C1670),INDEX(GL!$F:$F,$C1670))="Y","NOW RECONCILED: refresh","OK")))</f>
        <v/>
      </c>
    </row>
    <row r="1671" customFormat="false" ht="15" hidden="false" customHeight="false" outlineLevel="0" collapsed="false">
      <c r="A1671" s="41"/>
      <c r="B1671" s="41"/>
      <c r="C1671" s="5" t="n">
        <f aca="false">IF(B1671="",0,IF(A1671="Bank",IFERROR(MATCH(B1671,Bank!$A:$A,0),0),IFERROR(MATCH(B1671,GL!$A:$A,0),0)))</f>
        <v>0</v>
      </c>
      <c r="D1671" s="32" t="str">
        <f aca="false">IF(C1671=0,"",IF($A1671="Bank",INDEX(Bank!$B:$B,$C1671),INDEX(GL!$B:$B,$C1671)))</f>
        <v/>
      </c>
      <c r="E1671" s="5" t="str">
        <f aca="false">IF(C1671=0,"",IF($A1671="Bank",IF(INDEX(Bank!$C:$C,$C1671)="","",INDEX(Bank!$C:$C,$C1671)),IF(INDEX(GL!$C:$C,$C1671)="","",INDEX(GL!$C:$C,$C1671))))</f>
        <v/>
      </c>
      <c r="F1671" s="5" t="str">
        <f aca="false">IF(C1671=0,"",IF($A1671="Bank",IF(INDEX(Bank!$D:$D,$C1671)="","",INDEX(Bank!$D:$D,$C1671)),IF(INDEX(GL!$D:$D,$C1671)="","",INDEX(GL!$D:$D,$C1671))))</f>
        <v/>
      </c>
      <c r="G1671" s="19" t="str">
        <f aca="false">IF(C1671=0,"",IF($A1671="Bank",INDEX(Bank!$E:$E,$C1671),INDEX(GL!$E:$E,$C1671)))</f>
        <v/>
      </c>
      <c r="H1671" s="5" t="str">
        <f aca="false">IF(C1671=0,"",IF(A1671="GL",IF(G1671&gt;0,"Deposit in transit","Outstanding check / payment"),IF(G1671&gt;0,"Bank credit not in GL","Bank debit not in GL")))</f>
        <v/>
      </c>
      <c r="I1671" s="42" t="str">
        <f aca="false">IF(OR(C1671=0,CFG_PeriodEnd=""),"",CFG_PeriodEnd-D1671)</f>
        <v/>
      </c>
      <c r="J1671" s="5" t="str">
        <f aca="false">IF(C1671=0,"",IF($A1671="Bank",IF(INDEX(Bank!$G:$G,$C1671)="","",INDEX(Bank!$G:$G,$C1671)),IF(INDEX(GL!$G:$G,$C1671)="","",INDEX(GL!$G:$G,$C1671))))</f>
        <v/>
      </c>
      <c r="K1671" s="5" t="str">
        <f aca="false">IF(C1671=0,"",IF($A1671="Bank",IF(INDEX(Bank!$I:$I,$C1671)="","",INDEX(Bank!$I:$I,$C1671)),IF(INDEX(GL!$I:$I,$C1671)="","",INDEX(GL!$I:$I,$C1671))))</f>
        <v/>
      </c>
      <c r="L1671" s="5" t="str">
        <f aca="false">IF(B1671="","",IF(C1671=0,"NOT FOUND",IF(IF($A1671="Bank",INDEX(Bank!$F:$F,$C1671),INDEX(GL!$F:$F,$C1671))="Y","NOW RECONCILED: refresh","OK")))</f>
        <v/>
      </c>
    </row>
    <row r="1672" customFormat="false" ht="15" hidden="false" customHeight="false" outlineLevel="0" collapsed="false">
      <c r="A1672" s="41"/>
      <c r="B1672" s="41"/>
      <c r="C1672" s="5" t="n">
        <f aca="false">IF(B1672="",0,IF(A1672="Bank",IFERROR(MATCH(B1672,Bank!$A:$A,0),0),IFERROR(MATCH(B1672,GL!$A:$A,0),0)))</f>
        <v>0</v>
      </c>
      <c r="D1672" s="32" t="str">
        <f aca="false">IF(C1672=0,"",IF($A1672="Bank",INDEX(Bank!$B:$B,$C1672),INDEX(GL!$B:$B,$C1672)))</f>
        <v/>
      </c>
      <c r="E1672" s="5" t="str">
        <f aca="false">IF(C1672=0,"",IF($A1672="Bank",IF(INDEX(Bank!$C:$C,$C1672)="","",INDEX(Bank!$C:$C,$C1672)),IF(INDEX(GL!$C:$C,$C1672)="","",INDEX(GL!$C:$C,$C1672))))</f>
        <v/>
      </c>
      <c r="F1672" s="5" t="str">
        <f aca="false">IF(C1672=0,"",IF($A1672="Bank",IF(INDEX(Bank!$D:$D,$C1672)="","",INDEX(Bank!$D:$D,$C1672)),IF(INDEX(GL!$D:$D,$C1672)="","",INDEX(GL!$D:$D,$C1672))))</f>
        <v/>
      </c>
      <c r="G1672" s="19" t="str">
        <f aca="false">IF(C1672=0,"",IF($A1672="Bank",INDEX(Bank!$E:$E,$C1672),INDEX(GL!$E:$E,$C1672)))</f>
        <v/>
      </c>
      <c r="H1672" s="5" t="str">
        <f aca="false">IF(C1672=0,"",IF(A1672="GL",IF(G1672&gt;0,"Deposit in transit","Outstanding check / payment"),IF(G1672&gt;0,"Bank credit not in GL","Bank debit not in GL")))</f>
        <v/>
      </c>
      <c r="I1672" s="42" t="str">
        <f aca="false">IF(OR(C1672=0,CFG_PeriodEnd=""),"",CFG_PeriodEnd-D1672)</f>
        <v/>
      </c>
      <c r="J1672" s="5" t="str">
        <f aca="false">IF(C1672=0,"",IF($A1672="Bank",IF(INDEX(Bank!$G:$G,$C1672)="","",INDEX(Bank!$G:$G,$C1672)),IF(INDEX(GL!$G:$G,$C1672)="","",INDEX(GL!$G:$G,$C1672))))</f>
        <v/>
      </c>
      <c r="K1672" s="5" t="str">
        <f aca="false">IF(C1672=0,"",IF($A1672="Bank",IF(INDEX(Bank!$I:$I,$C1672)="","",INDEX(Bank!$I:$I,$C1672)),IF(INDEX(GL!$I:$I,$C1672)="","",INDEX(GL!$I:$I,$C1672))))</f>
        <v/>
      </c>
      <c r="L1672" s="5" t="str">
        <f aca="false">IF(B1672="","",IF(C1672=0,"NOT FOUND",IF(IF($A1672="Bank",INDEX(Bank!$F:$F,$C1672),INDEX(GL!$F:$F,$C1672))="Y","NOW RECONCILED: refresh","OK")))</f>
        <v/>
      </c>
    </row>
    <row r="1673" customFormat="false" ht="15" hidden="false" customHeight="false" outlineLevel="0" collapsed="false">
      <c r="A1673" s="41"/>
      <c r="B1673" s="41"/>
      <c r="C1673" s="5" t="n">
        <f aca="false">IF(B1673="",0,IF(A1673="Bank",IFERROR(MATCH(B1673,Bank!$A:$A,0),0),IFERROR(MATCH(B1673,GL!$A:$A,0),0)))</f>
        <v>0</v>
      </c>
      <c r="D1673" s="32" t="str">
        <f aca="false">IF(C1673=0,"",IF($A1673="Bank",INDEX(Bank!$B:$B,$C1673),INDEX(GL!$B:$B,$C1673)))</f>
        <v/>
      </c>
      <c r="E1673" s="5" t="str">
        <f aca="false">IF(C1673=0,"",IF($A1673="Bank",IF(INDEX(Bank!$C:$C,$C1673)="","",INDEX(Bank!$C:$C,$C1673)),IF(INDEX(GL!$C:$C,$C1673)="","",INDEX(GL!$C:$C,$C1673))))</f>
        <v/>
      </c>
      <c r="F1673" s="5" t="str">
        <f aca="false">IF(C1673=0,"",IF($A1673="Bank",IF(INDEX(Bank!$D:$D,$C1673)="","",INDEX(Bank!$D:$D,$C1673)),IF(INDEX(GL!$D:$D,$C1673)="","",INDEX(GL!$D:$D,$C1673))))</f>
        <v/>
      </c>
      <c r="G1673" s="19" t="str">
        <f aca="false">IF(C1673=0,"",IF($A1673="Bank",INDEX(Bank!$E:$E,$C1673),INDEX(GL!$E:$E,$C1673)))</f>
        <v/>
      </c>
      <c r="H1673" s="5" t="str">
        <f aca="false">IF(C1673=0,"",IF(A1673="GL",IF(G1673&gt;0,"Deposit in transit","Outstanding check / payment"),IF(G1673&gt;0,"Bank credit not in GL","Bank debit not in GL")))</f>
        <v/>
      </c>
      <c r="I1673" s="42" t="str">
        <f aca="false">IF(OR(C1673=0,CFG_PeriodEnd=""),"",CFG_PeriodEnd-D1673)</f>
        <v/>
      </c>
      <c r="J1673" s="5" t="str">
        <f aca="false">IF(C1673=0,"",IF($A1673="Bank",IF(INDEX(Bank!$G:$G,$C1673)="","",INDEX(Bank!$G:$G,$C1673)),IF(INDEX(GL!$G:$G,$C1673)="","",INDEX(GL!$G:$G,$C1673))))</f>
        <v/>
      </c>
      <c r="K1673" s="5" t="str">
        <f aca="false">IF(C1673=0,"",IF($A1673="Bank",IF(INDEX(Bank!$I:$I,$C1673)="","",INDEX(Bank!$I:$I,$C1673)),IF(INDEX(GL!$I:$I,$C1673)="","",INDEX(GL!$I:$I,$C1673))))</f>
        <v/>
      </c>
      <c r="L1673" s="5" t="str">
        <f aca="false">IF(B1673="","",IF(C1673=0,"NOT FOUND",IF(IF($A1673="Bank",INDEX(Bank!$F:$F,$C1673),INDEX(GL!$F:$F,$C1673))="Y","NOW RECONCILED: refresh","OK")))</f>
        <v/>
      </c>
    </row>
    <row r="1674" customFormat="false" ht="15" hidden="false" customHeight="false" outlineLevel="0" collapsed="false">
      <c r="A1674" s="41"/>
      <c r="B1674" s="41"/>
      <c r="C1674" s="5" t="n">
        <f aca="false">IF(B1674="",0,IF(A1674="Bank",IFERROR(MATCH(B1674,Bank!$A:$A,0),0),IFERROR(MATCH(B1674,GL!$A:$A,0),0)))</f>
        <v>0</v>
      </c>
      <c r="D1674" s="32" t="str">
        <f aca="false">IF(C1674=0,"",IF($A1674="Bank",INDEX(Bank!$B:$B,$C1674),INDEX(GL!$B:$B,$C1674)))</f>
        <v/>
      </c>
      <c r="E1674" s="5" t="str">
        <f aca="false">IF(C1674=0,"",IF($A1674="Bank",IF(INDEX(Bank!$C:$C,$C1674)="","",INDEX(Bank!$C:$C,$C1674)),IF(INDEX(GL!$C:$C,$C1674)="","",INDEX(GL!$C:$C,$C1674))))</f>
        <v/>
      </c>
      <c r="F1674" s="5" t="str">
        <f aca="false">IF(C1674=0,"",IF($A1674="Bank",IF(INDEX(Bank!$D:$D,$C1674)="","",INDEX(Bank!$D:$D,$C1674)),IF(INDEX(GL!$D:$D,$C1674)="","",INDEX(GL!$D:$D,$C1674))))</f>
        <v/>
      </c>
      <c r="G1674" s="19" t="str">
        <f aca="false">IF(C1674=0,"",IF($A1674="Bank",INDEX(Bank!$E:$E,$C1674),INDEX(GL!$E:$E,$C1674)))</f>
        <v/>
      </c>
      <c r="H1674" s="5" t="str">
        <f aca="false">IF(C1674=0,"",IF(A1674="GL",IF(G1674&gt;0,"Deposit in transit","Outstanding check / payment"),IF(G1674&gt;0,"Bank credit not in GL","Bank debit not in GL")))</f>
        <v/>
      </c>
      <c r="I1674" s="42" t="str">
        <f aca="false">IF(OR(C1674=0,CFG_PeriodEnd=""),"",CFG_PeriodEnd-D1674)</f>
        <v/>
      </c>
      <c r="J1674" s="5" t="str">
        <f aca="false">IF(C1674=0,"",IF($A1674="Bank",IF(INDEX(Bank!$G:$G,$C1674)="","",INDEX(Bank!$G:$G,$C1674)),IF(INDEX(GL!$G:$G,$C1674)="","",INDEX(GL!$G:$G,$C1674))))</f>
        <v/>
      </c>
      <c r="K1674" s="5" t="str">
        <f aca="false">IF(C1674=0,"",IF($A1674="Bank",IF(INDEX(Bank!$I:$I,$C1674)="","",INDEX(Bank!$I:$I,$C1674)),IF(INDEX(GL!$I:$I,$C1674)="","",INDEX(GL!$I:$I,$C1674))))</f>
        <v/>
      </c>
      <c r="L1674" s="5" t="str">
        <f aca="false">IF(B1674="","",IF(C1674=0,"NOT FOUND",IF(IF($A1674="Bank",INDEX(Bank!$F:$F,$C1674),INDEX(GL!$F:$F,$C1674))="Y","NOW RECONCILED: refresh","OK")))</f>
        <v/>
      </c>
    </row>
    <row r="1675" customFormat="false" ht="15" hidden="false" customHeight="false" outlineLevel="0" collapsed="false">
      <c r="A1675" s="41"/>
      <c r="B1675" s="41"/>
      <c r="C1675" s="5" t="n">
        <f aca="false">IF(B1675="",0,IF(A1675="Bank",IFERROR(MATCH(B1675,Bank!$A:$A,0),0),IFERROR(MATCH(B1675,GL!$A:$A,0),0)))</f>
        <v>0</v>
      </c>
      <c r="D1675" s="32" t="str">
        <f aca="false">IF(C1675=0,"",IF($A1675="Bank",INDEX(Bank!$B:$B,$C1675),INDEX(GL!$B:$B,$C1675)))</f>
        <v/>
      </c>
      <c r="E1675" s="5" t="str">
        <f aca="false">IF(C1675=0,"",IF($A1675="Bank",IF(INDEX(Bank!$C:$C,$C1675)="","",INDEX(Bank!$C:$C,$C1675)),IF(INDEX(GL!$C:$C,$C1675)="","",INDEX(GL!$C:$C,$C1675))))</f>
        <v/>
      </c>
      <c r="F1675" s="5" t="str">
        <f aca="false">IF(C1675=0,"",IF($A1675="Bank",IF(INDEX(Bank!$D:$D,$C1675)="","",INDEX(Bank!$D:$D,$C1675)),IF(INDEX(GL!$D:$D,$C1675)="","",INDEX(GL!$D:$D,$C1675))))</f>
        <v/>
      </c>
      <c r="G1675" s="19" t="str">
        <f aca="false">IF(C1675=0,"",IF($A1675="Bank",INDEX(Bank!$E:$E,$C1675),INDEX(GL!$E:$E,$C1675)))</f>
        <v/>
      </c>
      <c r="H1675" s="5" t="str">
        <f aca="false">IF(C1675=0,"",IF(A1675="GL",IF(G1675&gt;0,"Deposit in transit","Outstanding check / payment"),IF(G1675&gt;0,"Bank credit not in GL","Bank debit not in GL")))</f>
        <v/>
      </c>
      <c r="I1675" s="42" t="str">
        <f aca="false">IF(OR(C1675=0,CFG_PeriodEnd=""),"",CFG_PeriodEnd-D1675)</f>
        <v/>
      </c>
      <c r="J1675" s="5" t="str">
        <f aca="false">IF(C1675=0,"",IF($A1675="Bank",IF(INDEX(Bank!$G:$G,$C1675)="","",INDEX(Bank!$G:$G,$C1675)),IF(INDEX(GL!$G:$G,$C1675)="","",INDEX(GL!$G:$G,$C1675))))</f>
        <v/>
      </c>
      <c r="K1675" s="5" t="str">
        <f aca="false">IF(C1675=0,"",IF($A1675="Bank",IF(INDEX(Bank!$I:$I,$C1675)="","",INDEX(Bank!$I:$I,$C1675)),IF(INDEX(GL!$I:$I,$C1675)="","",INDEX(GL!$I:$I,$C1675))))</f>
        <v/>
      </c>
      <c r="L1675" s="5" t="str">
        <f aca="false">IF(B1675="","",IF(C1675=0,"NOT FOUND",IF(IF($A1675="Bank",INDEX(Bank!$F:$F,$C1675),INDEX(GL!$F:$F,$C1675))="Y","NOW RECONCILED: refresh","OK")))</f>
        <v/>
      </c>
    </row>
    <row r="1676" customFormat="false" ht="15" hidden="false" customHeight="false" outlineLevel="0" collapsed="false">
      <c r="A1676" s="41"/>
      <c r="B1676" s="41"/>
      <c r="C1676" s="5" t="n">
        <f aca="false">IF(B1676="",0,IF(A1676="Bank",IFERROR(MATCH(B1676,Bank!$A:$A,0),0),IFERROR(MATCH(B1676,GL!$A:$A,0),0)))</f>
        <v>0</v>
      </c>
      <c r="D1676" s="32" t="str">
        <f aca="false">IF(C1676=0,"",IF($A1676="Bank",INDEX(Bank!$B:$B,$C1676),INDEX(GL!$B:$B,$C1676)))</f>
        <v/>
      </c>
      <c r="E1676" s="5" t="str">
        <f aca="false">IF(C1676=0,"",IF($A1676="Bank",IF(INDEX(Bank!$C:$C,$C1676)="","",INDEX(Bank!$C:$C,$C1676)),IF(INDEX(GL!$C:$C,$C1676)="","",INDEX(GL!$C:$C,$C1676))))</f>
        <v/>
      </c>
      <c r="F1676" s="5" t="str">
        <f aca="false">IF(C1676=0,"",IF($A1676="Bank",IF(INDEX(Bank!$D:$D,$C1676)="","",INDEX(Bank!$D:$D,$C1676)),IF(INDEX(GL!$D:$D,$C1676)="","",INDEX(GL!$D:$D,$C1676))))</f>
        <v/>
      </c>
      <c r="G1676" s="19" t="str">
        <f aca="false">IF(C1676=0,"",IF($A1676="Bank",INDEX(Bank!$E:$E,$C1676),INDEX(GL!$E:$E,$C1676)))</f>
        <v/>
      </c>
      <c r="H1676" s="5" t="str">
        <f aca="false">IF(C1676=0,"",IF(A1676="GL",IF(G1676&gt;0,"Deposit in transit","Outstanding check / payment"),IF(G1676&gt;0,"Bank credit not in GL","Bank debit not in GL")))</f>
        <v/>
      </c>
      <c r="I1676" s="42" t="str">
        <f aca="false">IF(OR(C1676=0,CFG_PeriodEnd=""),"",CFG_PeriodEnd-D1676)</f>
        <v/>
      </c>
      <c r="J1676" s="5" t="str">
        <f aca="false">IF(C1676=0,"",IF($A1676="Bank",IF(INDEX(Bank!$G:$G,$C1676)="","",INDEX(Bank!$G:$G,$C1676)),IF(INDEX(GL!$G:$G,$C1676)="","",INDEX(GL!$G:$G,$C1676))))</f>
        <v/>
      </c>
      <c r="K1676" s="5" t="str">
        <f aca="false">IF(C1676=0,"",IF($A1676="Bank",IF(INDEX(Bank!$I:$I,$C1676)="","",INDEX(Bank!$I:$I,$C1676)),IF(INDEX(GL!$I:$I,$C1676)="","",INDEX(GL!$I:$I,$C1676))))</f>
        <v/>
      </c>
      <c r="L1676" s="5" t="str">
        <f aca="false">IF(B1676="","",IF(C1676=0,"NOT FOUND",IF(IF($A1676="Bank",INDEX(Bank!$F:$F,$C1676),INDEX(GL!$F:$F,$C1676))="Y","NOW RECONCILED: refresh","OK")))</f>
        <v/>
      </c>
    </row>
    <row r="1677" customFormat="false" ht="15" hidden="false" customHeight="false" outlineLevel="0" collapsed="false">
      <c r="A1677" s="41"/>
      <c r="B1677" s="41"/>
      <c r="C1677" s="5" t="n">
        <f aca="false">IF(B1677="",0,IF(A1677="Bank",IFERROR(MATCH(B1677,Bank!$A:$A,0),0),IFERROR(MATCH(B1677,GL!$A:$A,0),0)))</f>
        <v>0</v>
      </c>
      <c r="D1677" s="32" t="str">
        <f aca="false">IF(C1677=0,"",IF($A1677="Bank",INDEX(Bank!$B:$B,$C1677),INDEX(GL!$B:$B,$C1677)))</f>
        <v/>
      </c>
      <c r="E1677" s="5" t="str">
        <f aca="false">IF(C1677=0,"",IF($A1677="Bank",IF(INDEX(Bank!$C:$C,$C1677)="","",INDEX(Bank!$C:$C,$C1677)),IF(INDEX(GL!$C:$C,$C1677)="","",INDEX(GL!$C:$C,$C1677))))</f>
        <v/>
      </c>
      <c r="F1677" s="5" t="str">
        <f aca="false">IF(C1677=0,"",IF($A1677="Bank",IF(INDEX(Bank!$D:$D,$C1677)="","",INDEX(Bank!$D:$D,$C1677)),IF(INDEX(GL!$D:$D,$C1677)="","",INDEX(GL!$D:$D,$C1677))))</f>
        <v/>
      </c>
      <c r="G1677" s="19" t="str">
        <f aca="false">IF(C1677=0,"",IF($A1677="Bank",INDEX(Bank!$E:$E,$C1677),INDEX(GL!$E:$E,$C1677)))</f>
        <v/>
      </c>
      <c r="H1677" s="5" t="str">
        <f aca="false">IF(C1677=0,"",IF(A1677="GL",IF(G1677&gt;0,"Deposit in transit","Outstanding check / payment"),IF(G1677&gt;0,"Bank credit not in GL","Bank debit not in GL")))</f>
        <v/>
      </c>
      <c r="I1677" s="42" t="str">
        <f aca="false">IF(OR(C1677=0,CFG_PeriodEnd=""),"",CFG_PeriodEnd-D1677)</f>
        <v/>
      </c>
      <c r="J1677" s="5" t="str">
        <f aca="false">IF(C1677=0,"",IF($A1677="Bank",IF(INDEX(Bank!$G:$G,$C1677)="","",INDEX(Bank!$G:$G,$C1677)),IF(INDEX(GL!$G:$G,$C1677)="","",INDEX(GL!$G:$G,$C1677))))</f>
        <v/>
      </c>
      <c r="K1677" s="5" t="str">
        <f aca="false">IF(C1677=0,"",IF($A1677="Bank",IF(INDEX(Bank!$I:$I,$C1677)="","",INDEX(Bank!$I:$I,$C1677)),IF(INDEX(GL!$I:$I,$C1677)="","",INDEX(GL!$I:$I,$C1677))))</f>
        <v/>
      </c>
      <c r="L1677" s="5" t="str">
        <f aca="false">IF(B1677="","",IF(C1677=0,"NOT FOUND",IF(IF($A1677="Bank",INDEX(Bank!$F:$F,$C1677),INDEX(GL!$F:$F,$C1677))="Y","NOW RECONCILED: refresh","OK")))</f>
        <v/>
      </c>
    </row>
    <row r="1678" customFormat="false" ht="15" hidden="false" customHeight="false" outlineLevel="0" collapsed="false">
      <c r="A1678" s="41"/>
      <c r="B1678" s="41"/>
      <c r="C1678" s="5" t="n">
        <f aca="false">IF(B1678="",0,IF(A1678="Bank",IFERROR(MATCH(B1678,Bank!$A:$A,0),0),IFERROR(MATCH(B1678,GL!$A:$A,0),0)))</f>
        <v>0</v>
      </c>
      <c r="D1678" s="32" t="str">
        <f aca="false">IF(C1678=0,"",IF($A1678="Bank",INDEX(Bank!$B:$B,$C1678),INDEX(GL!$B:$B,$C1678)))</f>
        <v/>
      </c>
      <c r="E1678" s="5" t="str">
        <f aca="false">IF(C1678=0,"",IF($A1678="Bank",IF(INDEX(Bank!$C:$C,$C1678)="","",INDEX(Bank!$C:$C,$C1678)),IF(INDEX(GL!$C:$C,$C1678)="","",INDEX(GL!$C:$C,$C1678))))</f>
        <v/>
      </c>
      <c r="F1678" s="5" t="str">
        <f aca="false">IF(C1678=0,"",IF($A1678="Bank",IF(INDEX(Bank!$D:$D,$C1678)="","",INDEX(Bank!$D:$D,$C1678)),IF(INDEX(GL!$D:$D,$C1678)="","",INDEX(GL!$D:$D,$C1678))))</f>
        <v/>
      </c>
      <c r="G1678" s="19" t="str">
        <f aca="false">IF(C1678=0,"",IF($A1678="Bank",INDEX(Bank!$E:$E,$C1678),INDEX(GL!$E:$E,$C1678)))</f>
        <v/>
      </c>
      <c r="H1678" s="5" t="str">
        <f aca="false">IF(C1678=0,"",IF(A1678="GL",IF(G1678&gt;0,"Deposit in transit","Outstanding check / payment"),IF(G1678&gt;0,"Bank credit not in GL","Bank debit not in GL")))</f>
        <v/>
      </c>
      <c r="I1678" s="42" t="str">
        <f aca="false">IF(OR(C1678=0,CFG_PeriodEnd=""),"",CFG_PeriodEnd-D1678)</f>
        <v/>
      </c>
      <c r="J1678" s="5" t="str">
        <f aca="false">IF(C1678=0,"",IF($A1678="Bank",IF(INDEX(Bank!$G:$G,$C1678)="","",INDEX(Bank!$G:$G,$C1678)),IF(INDEX(GL!$G:$G,$C1678)="","",INDEX(GL!$G:$G,$C1678))))</f>
        <v/>
      </c>
      <c r="K1678" s="5" t="str">
        <f aca="false">IF(C1678=0,"",IF($A1678="Bank",IF(INDEX(Bank!$I:$I,$C1678)="","",INDEX(Bank!$I:$I,$C1678)),IF(INDEX(GL!$I:$I,$C1678)="","",INDEX(GL!$I:$I,$C1678))))</f>
        <v/>
      </c>
      <c r="L1678" s="5" t="str">
        <f aca="false">IF(B1678="","",IF(C1678=0,"NOT FOUND",IF(IF($A1678="Bank",INDEX(Bank!$F:$F,$C1678),INDEX(GL!$F:$F,$C1678))="Y","NOW RECONCILED: refresh","OK")))</f>
        <v/>
      </c>
    </row>
    <row r="1679" customFormat="false" ht="15" hidden="false" customHeight="false" outlineLevel="0" collapsed="false">
      <c r="A1679" s="41"/>
      <c r="B1679" s="41"/>
      <c r="C1679" s="5" t="n">
        <f aca="false">IF(B1679="",0,IF(A1679="Bank",IFERROR(MATCH(B1679,Bank!$A:$A,0),0),IFERROR(MATCH(B1679,GL!$A:$A,0),0)))</f>
        <v>0</v>
      </c>
      <c r="D1679" s="32" t="str">
        <f aca="false">IF(C1679=0,"",IF($A1679="Bank",INDEX(Bank!$B:$B,$C1679),INDEX(GL!$B:$B,$C1679)))</f>
        <v/>
      </c>
      <c r="E1679" s="5" t="str">
        <f aca="false">IF(C1679=0,"",IF($A1679="Bank",IF(INDEX(Bank!$C:$C,$C1679)="","",INDEX(Bank!$C:$C,$C1679)),IF(INDEX(GL!$C:$C,$C1679)="","",INDEX(GL!$C:$C,$C1679))))</f>
        <v/>
      </c>
      <c r="F1679" s="5" t="str">
        <f aca="false">IF(C1679=0,"",IF($A1679="Bank",IF(INDEX(Bank!$D:$D,$C1679)="","",INDEX(Bank!$D:$D,$C1679)),IF(INDEX(GL!$D:$D,$C1679)="","",INDEX(GL!$D:$D,$C1679))))</f>
        <v/>
      </c>
      <c r="G1679" s="19" t="str">
        <f aca="false">IF(C1679=0,"",IF($A1679="Bank",INDEX(Bank!$E:$E,$C1679),INDEX(GL!$E:$E,$C1679)))</f>
        <v/>
      </c>
      <c r="H1679" s="5" t="str">
        <f aca="false">IF(C1679=0,"",IF(A1679="GL",IF(G1679&gt;0,"Deposit in transit","Outstanding check / payment"),IF(G1679&gt;0,"Bank credit not in GL","Bank debit not in GL")))</f>
        <v/>
      </c>
      <c r="I1679" s="42" t="str">
        <f aca="false">IF(OR(C1679=0,CFG_PeriodEnd=""),"",CFG_PeriodEnd-D1679)</f>
        <v/>
      </c>
      <c r="J1679" s="5" t="str">
        <f aca="false">IF(C1679=0,"",IF($A1679="Bank",IF(INDEX(Bank!$G:$G,$C1679)="","",INDEX(Bank!$G:$G,$C1679)),IF(INDEX(GL!$G:$G,$C1679)="","",INDEX(GL!$G:$G,$C1679))))</f>
        <v/>
      </c>
      <c r="K1679" s="5" t="str">
        <f aca="false">IF(C1679=0,"",IF($A1679="Bank",IF(INDEX(Bank!$I:$I,$C1679)="","",INDEX(Bank!$I:$I,$C1679)),IF(INDEX(GL!$I:$I,$C1679)="","",INDEX(GL!$I:$I,$C1679))))</f>
        <v/>
      </c>
      <c r="L1679" s="5" t="str">
        <f aca="false">IF(B1679="","",IF(C1679=0,"NOT FOUND",IF(IF($A1679="Bank",INDEX(Bank!$F:$F,$C1679),INDEX(GL!$F:$F,$C1679))="Y","NOW RECONCILED: refresh","OK")))</f>
        <v/>
      </c>
    </row>
    <row r="1680" customFormat="false" ht="15" hidden="false" customHeight="false" outlineLevel="0" collapsed="false">
      <c r="A1680" s="41"/>
      <c r="B1680" s="41"/>
      <c r="C1680" s="5" t="n">
        <f aca="false">IF(B1680="",0,IF(A1680="Bank",IFERROR(MATCH(B1680,Bank!$A:$A,0),0),IFERROR(MATCH(B1680,GL!$A:$A,0),0)))</f>
        <v>0</v>
      </c>
      <c r="D1680" s="32" t="str">
        <f aca="false">IF(C1680=0,"",IF($A1680="Bank",INDEX(Bank!$B:$B,$C1680),INDEX(GL!$B:$B,$C1680)))</f>
        <v/>
      </c>
      <c r="E1680" s="5" t="str">
        <f aca="false">IF(C1680=0,"",IF($A1680="Bank",IF(INDEX(Bank!$C:$C,$C1680)="","",INDEX(Bank!$C:$C,$C1680)),IF(INDEX(GL!$C:$C,$C1680)="","",INDEX(GL!$C:$C,$C1680))))</f>
        <v/>
      </c>
      <c r="F1680" s="5" t="str">
        <f aca="false">IF(C1680=0,"",IF($A1680="Bank",IF(INDEX(Bank!$D:$D,$C1680)="","",INDEX(Bank!$D:$D,$C1680)),IF(INDEX(GL!$D:$D,$C1680)="","",INDEX(GL!$D:$D,$C1680))))</f>
        <v/>
      </c>
      <c r="G1680" s="19" t="str">
        <f aca="false">IF(C1680=0,"",IF($A1680="Bank",INDEX(Bank!$E:$E,$C1680),INDEX(GL!$E:$E,$C1680)))</f>
        <v/>
      </c>
      <c r="H1680" s="5" t="str">
        <f aca="false">IF(C1680=0,"",IF(A1680="GL",IF(G1680&gt;0,"Deposit in transit","Outstanding check / payment"),IF(G1680&gt;0,"Bank credit not in GL","Bank debit not in GL")))</f>
        <v/>
      </c>
      <c r="I1680" s="42" t="str">
        <f aca="false">IF(OR(C1680=0,CFG_PeriodEnd=""),"",CFG_PeriodEnd-D1680)</f>
        <v/>
      </c>
      <c r="J1680" s="5" t="str">
        <f aca="false">IF(C1680=0,"",IF($A1680="Bank",IF(INDEX(Bank!$G:$G,$C1680)="","",INDEX(Bank!$G:$G,$C1680)),IF(INDEX(GL!$G:$G,$C1680)="","",INDEX(GL!$G:$G,$C1680))))</f>
        <v/>
      </c>
      <c r="K1680" s="5" t="str">
        <f aca="false">IF(C1680=0,"",IF($A1680="Bank",IF(INDEX(Bank!$I:$I,$C1680)="","",INDEX(Bank!$I:$I,$C1680)),IF(INDEX(GL!$I:$I,$C1680)="","",INDEX(GL!$I:$I,$C1680))))</f>
        <v/>
      </c>
      <c r="L1680" s="5" t="str">
        <f aca="false">IF(B1680="","",IF(C1680=0,"NOT FOUND",IF(IF($A1680="Bank",INDEX(Bank!$F:$F,$C1680),INDEX(GL!$F:$F,$C1680))="Y","NOW RECONCILED: refresh","OK")))</f>
        <v/>
      </c>
    </row>
    <row r="1681" customFormat="false" ht="15" hidden="false" customHeight="false" outlineLevel="0" collapsed="false">
      <c r="A1681" s="41"/>
      <c r="B1681" s="41"/>
      <c r="C1681" s="5" t="n">
        <f aca="false">IF(B1681="",0,IF(A1681="Bank",IFERROR(MATCH(B1681,Bank!$A:$A,0),0),IFERROR(MATCH(B1681,GL!$A:$A,0),0)))</f>
        <v>0</v>
      </c>
      <c r="D1681" s="32" t="str">
        <f aca="false">IF(C1681=0,"",IF($A1681="Bank",INDEX(Bank!$B:$B,$C1681),INDEX(GL!$B:$B,$C1681)))</f>
        <v/>
      </c>
      <c r="E1681" s="5" t="str">
        <f aca="false">IF(C1681=0,"",IF($A1681="Bank",IF(INDEX(Bank!$C:$C,$C1681)="","",INDEX(Bank!$C:$C,$C1681)),IF(INDEX(GL!$C:$C,$C1681)="","",INDEX(GL!$C:$C,$C1681))))</f>
        <v/>
      </c>
      <c r="F1681" s="5" t="str">
        <f aca="false">IF(C1681=0,"",IF($A1681="Bank",IF(INDEX(Bank!$D:$D,$C1681)="","",INDEX(Bank!$D:$D,$C1681)),IF(INDEX(GL!$D:$D,$C1681)="","",INDEX(GL!$D:$D,$C1681))))</f>
        <v/>
      </c>
      <c r="G1681" s="19" t="str">
        <f aca="false">IF(C1681=0,"",IF($A1681="Bank",INDEX(Bank!$E:$E,$C1681),INDEX(GL!$E:$E,$C1681)))</f>
        <v/>
      </c>
      <c r="H1681" s="5" t="str">
        <f aca="false">IF(C1681=0,"",IF(A1681="GL",IF(G1681&gt;0,"Deposit in transit","Outstanding check / payment"),IF(G1681&gt;0,"Bank credit not in GL","Bank debit not in GL")))</f>
        <v/>
      </c>
      <c r="I1681" s="42" t="str">
        <f aca="false">IF(OR(C1681=0,CFG_PeriodEnd=""),"",CFG_PeriodEnd-D1681)</f>
        <v/>
      </c>
      <c r="J1681" s="5" t="str">
        <f aca="false">IF(C1681=0,"",IF($A1681="Bank",IF(INDEX(Bank!$G:$G,$C1681)="","",INDEX(Bank!$G:$G,$C1681)),IF(INDEX(GL!$G:$G,$C1681)="","",INDEX(GL!$G:$G,$C1681))))</f>
        <v/>
      </c>
      <c r="K1681" s="5" t="str">
        <f aca="false">IF(C1681=0,"",IF($A1681="Bank",IF(INDEX(Bank!$I:$I,$C1681)="","",INDEX(Bank!$I:$I,$C1681)),IF(INDEX(GL!$I:$I,$C1681)="","",INDEX(GL!$I:$I,$C1681))))</f>
        <v/>
      </c>
      <c r="L1681" s="5" t="str">
        <f aca="false">IF(B1681="","",IF(C1681=0,"NOT FOUND",IF(IF($A1681="Bank",INDEX(Bank!$F:$F,$C1681),INDEX(GL!$F:$F,$C1681))="Y","NOW RECONCILED: refresh","OK")))</f>
        <v/>
      </c>
    </row>
    <row r="1682" customFormat="false" ht="15" hidden="false" customHeight="false" outlineLevel="0" collapsed="false">
      <c r="A1682" s="41"/>
      <c r="B1682" s="41"/>
      <c r="C1682" s="5" t="n">
        <f aca="false">IF(B1682="",0,IF(A1682="Bank",IFERROR(MATCH(B1682,Bank!$A:$A,0),0),IFERROR(MATCH(B1682,GL!$A:$A,0),0)))</f>
        <v>0</v>
      </c>
      <c r="D1682" s="32" t="str">
        <f aca="false">IF(C1682=0,"",IF($A1682="Bank",INDEX(Bank!$B:$B,$C1682),INDEX(GL!$B:$B,$C1682)))</f>
        <v/>
      </c>
      <c r="E1682" s="5" t="str">
        <f aca="false">IF(C1682=0,"",IF($A1682="Bank",IF(INDEX(Bank!$C:$C,$C1682)="","",INDEX(Bank!$C:$C,$C1682)),IF(INDEX(GL!$C:$C,$C1682)="","",INDEX(GL!$C:$C,$C1682))))</f>
        <v/>
      </c>
      <c r="F1682" s="5" t="str">
        <f aca="false">IF(C1682=0,"",IF($A1682="Bank",IF(INDEX(Bank!$D:$D,$C1682)="","",INDEX(Bank!$D:$D,$C1682)),IF(INDEX(GL!$D:$D,$C1682)="","",INDEX(GL!$D:$D,$C1682))))</f>
        <v/>
      </c>
      <c r="G1682" s="19" t="str">
        <f aca="false">IF(C1682=0,"",IF($A1682="Bank",INDEX(Bank!$E:$E,$C1682),INDEX(GL!$E:$E,$C1682)))</f>
        <v/>
      </c>
      <c r="H1682" s="5" t="str">
        <f aca="false">IF(C1682=0,"",IF(A1682="GL",IF(G1682&gt;0,"Deposit in transit","Outstanding check / payment"),IF(G1682&gt;0,"Bank credit not in GL","Bank debit not in GL")))</f>
        <v/>
      </c>
      <c r="I1682" s="42" t="str">
        <f aca="false">IF(OR(C1682=0,CFG_PeriodEnd=""),"",CFG_PeriodEnd-D1682)</f>
        <v/>
      </c>
      <c r="J1682" s="5" t="str">
        <f aca="false">IF(C1682=0,"",IF($A1682="Bank",IF(INDEX(Bank!$G:$G,$C1682)="","",INDEX(Bank!$G:$G,$C1682)),IF(INDEX(GL!$G:$G,$C1682)="","",INDEX(GL!$G:$G,$C1682))))</f>
        <v/>
      </c>
      <c r="K1682" s="5" t="str">
        <f aca="false">IF(C1682=0,"",IF($A1682="Bank",IF(INDEX(Bank!$I:$I,$C1682)="","",INDEX(Bank!$I:$I,$C1682)),IF(INDEX(GL!$I:$I,$C1682)="","",INDEX(GL!$I:$I,$C1682))))</f>
        <v/>
      </c>
      <c r="L1682" s="5" t="str">
        <f aca="false">IF(B1682="","",IF(C1682=0,"NOT FOUND",IF(IF($A1682="Bank",INDEX(Bank!$F:$F,$C1682),INDEX(GL!$F:$F,$C1682))="Y","NOW RECONCILED: refresh","OK")))</f>
        <v/>
      </c>
    </row>
    <row r="1683" customFormat="false" ht="15" hidden="false" customHeight="false" outlineLevel="0" collapsed="false">
      <c r="A1683" s="41"/>
      <c r="B1683" s="41"/>
      <c r="C1683" s="5" t="n">
        <f aca="false">IF(B1683="",0,IF(A1683="Bank",IFERROR(MATCH(B1683,Bank!$A:$A,0),0),IFERROR(MATCH(B1683,GL!$A:$A,0),0)))</f>
        <v>0</v>
      </c>
      <c r="D1683" s="32" t="str">
        <f aca="false">IF(C1683=0,"",IF($A1683="Bank",INDEX(Bank!$B:$B,$C1683),INDEX(GL!$B:$B,$C1683)))</f>
        <v/>
      </c>
      <c r="E1683" s="5" t="str">
        <f aca="false">IF(C1683=0,"",IF($A1683="Bank",IF(INDEX(Bank!$C:$C,$C1683)="","",INDEX(Bank!$C:$C,$C1683)),IF(INDEX(GL!$C:$C,$C1683)="","",INDEX(GL!$C:$C,$C1683))))</f>
        <v/>
      </c>
      <c r="F1683" s="5" t="str">
        <f aca="false">IF(C1683=0,"",IF($A1683="Bank",IF(INDEX(Bank!$D:$D,$C1683)="","",INDEX(Bank!$D:$D,$C1683)),IF(INDEX(GL!$D:$D,$C1683)="","",INDEX(GL!$D:$D,$C1683))))</f>
        <v/>
      </c>
      <c r="G1683" s="19" t="str">
        <f aca="false">IF(C1683=0,"",IF($A1683="Bank",INDEX(Bank!$E:$E,$C1683),INDEX(GL!$E:$E,$C1683)))</f>
        <v/>
      </c>
      <c r="H1683" s="5" t="str">
        <f aca="false">IF(C1683=0,"",IF(A1683="GL",IF(G1683&gt;0,"Deposit in transit","Outstanding check / payment"),IF(G1683&gt;0,"Bank credit not in GL","Bank debit not in GL")))</f>
        <v/>
      </c>
      <c r="I1683" s="42" t="str">
        <f aca="false">IF(OR(C1683=0,CFG_PeriodEnd=""),"",CFG_PeriodEnd-D1683)</f>
        <v/>
      </c>
      <c r="J1683" s="5" t="str">
        <f aca="false">IF(C1683=0,"",IF($A1683="Bank",IF(INDEX(Bank!$G:$G,$C1683)="","",INDEX(Bank!$G:$G,$C1683)),IF(INDEX(GL!$G:$G,$C1683)="","",INDEX(GL!$G:$G,$C1683))))</f>
        <v/>
      </c>
      <c r="K1683" s="5" t="str">
        <f aca="false">IF(C1683=0,"",IF($A1683="Bank",IF(INDEX(Bank!$I:$I,$C1683)="","",INDEX(Bank!$I:$I,$C1683)),IF(INDEX(GL!$I:$I,$C1683)="","",INDEX(GL!$I:$I,$C1683))))</f>
        <v/>
      </c>
      <c r="L1683" s="5" t="str">
        <f aca="false">IF(B1683="","",IF(C1683=0,"NOT FOUND",IF(IF($A1683="Bank",INDEX(Bank!$F:$F,$C1683),INDEX(GL!$F:$F,$C1683))="Y","NOW RECONCILED: refresh","OK")))</f>
        <v/>
      </c>
    </row>
    <row r="1684" customFormat="false" ht="15" hidden="false" customHeight="false" outlineLevel="0" collapsed="false">
      <c r="A1684" s="41"/>
      <c r="B1684" s="41"/>
      <c r="C1684" s="5" t="n">
        <f aca="false">IF(B1684="",0,IF(A1684="Bank",IFERROR(MATCH(B1684,Bank!$A:$A,0),0),IFERROR(MATCH(B1684,GL!$A:$A,0),0)))</f>
        <v>0</v>
      </c>
      <c r="D1684" s="32" t="str">
        <f aca="false">IF(C1684=0,"",IF($A1684="Bank",INDEX(Bank!$B:$B,$C1684),INDEX(GL!$B:$B,$C1684)))</f>
        <v/>
      </c>
      <c r="E1684" s="5" t="str">
        <f aca="false">IF(C1684=0,"",IF($A1684="Bank",IF(INDEX(Bank!$C:$C,$C1684)="","",INDEX(Bank!$C:$C,$C1684)),IF(INDEX(GL!$C:$C,$C1684)="","",INDEX(GL!$C:$C,$C1684))))</f>
        <v/>
      </c>
      <c r="F1684" s="5" t="str">
        <f aca="false">IF(C1684=0,"",IF($A1684="Bank",IF(INDEX(Bank!$D:$D,$C1684)="","",INDEX(Bank!$D:$D,$C1684)),IF(INDEX(GL!$D:$D,$C1684)="","",INDEX(GL!$D:$D,$C1684))))</f>
        <v/>
      </c>
      <c r="G1684" s="19" t="str">
        <f aca="false">IF(C1684=0,"",IF($A1684="Bank",INDEX(Bank!$E:$E,$C1684),INDEX(GL!$E:$E,$C1684)))</f>
        <v/>
      </c>
      <c r="H1684" s="5" t="str">
        <f aca="false">IF(C1684=0,"",IF(A1684="GL",IF(G1684&gt;0,"Deposit in transit","Outstanding check / payment"),IF(G1684&gt;0,"Bank credit not in GL","Bank debit not in GL")))</f>
        <v/>
      </c>
      <c r="I1684" s="42" t="str">
        <f aca="false">IF(OR(C1684=0,CFG_PeriodEnd=""),"",CFG_PeriodEnd-D1684)</f>
        <v/>
      </c>
      <c r="J1684" s="5" t="str">
        <f aca="false">IF(C1684=0,"",IF($A1684="Bank",IF(INDEX(Bank!$G:$G,$C1684)="","",INDEX(Bank!$G:$G,$C1684)),IF(INDEX(GL!$G:$G,$C1684)="","",INDEX(GL!$G:$G,$C1684))))</f>
        <v/>
      </c>
      <c r="K1684" s="5" t="str">
        <f aca="false">IF(C1684=0,"",IF($A1684="Bank",IF(INDEX(Bank!$I:$I,$C1684)="","",INDEX(Bank!$I:$I,$C1684)),IF(INDEX(GL!$I:$I,$C1684)="","",INDEX(GL!$I:$I,$C1684))))</f>
        <v/>
      </c>
      <c r="L1684" s="5" t="str">
        <f aca="false">IF(B1684="","",IF(C1684=0,"NOT FOUND",IF(IF($A1684="Bank",INDEX(Bank!$F:$F,$C1684),INDEX(GL!$F:$F,$C1684))="Y","NOW RECONCILED: refresh","OK")))</f>
        <v/>
      </c>
    </row>
    <row r="1685" customFormat="false" ht="15" hidden="false" customHeight="false" outlineLevel="0" collapsed="false">
      <c r="A1685" s="41"/>
      <c r="B1685" s="41"/>
      <c r="C1685" s="5" t="n">
        <f aca="false">IF(B1685="",0,IF(A1685="Bank",IFERROR(MATCH(B1685,Bank!$A:$A,0),0),IFERROR(MATCH(B1685,GL!$A:$A,0),0)))</f>
        <v>0</v>
      </c>
      <c r="D1685" s="32" t="str">
        <f aca="false">IF(C1685=0,"",IF($A1685="Bank",INDEX(Bank!$B:$B,$C1685),INDEX(GL!$B:$B,$C1685)))</f>
        <v/>
      </c>
      <c r="E1685" s="5" t="str">
        <f aca="false">IF(C1685=0,"",IF($A1685="Bank",IF(INDEX(Bank!$C:$C,$C1685)="","",INDEX(Bank!$C:$C,$C1685)),IF(INDEX(GL!$C:$C,$C1685)="","",INDEX(GL!$C:$C,$C1685))))</f>
        <v/>
      </c>
      <c r="F1685" s="5" t="str">
        <f aca="false">IF(C1685=0,"",IF($A1685="Bank",IF(INDEX(Bank!$D:$D,$C1685)="","",INDEX(Bank!$D:$D,$C1685)),IF(INDEX(GL!$D:$D,$C1685)="","",INDEX(GL!$D:$D,$C1685))))</f>
        <v/>
      </c>
      <c r="G1685" s="19" t="str">
        <f aca="false">IF(C1685=0,"",IF($A1685="Bank",INDEX(Bank!$E:$E,$C1685),INDEX(GL!$E:$E,$C1685)))</f>
        <v/>
      </c>
      <c r="H1685" s="5" t="str">
        <f aca="false">IF(C1685=0,"",IF(A1685="GL",IF(G1685&gt;0,"Deposit in transit","Outstanding check / payment"),IF(G1685&gt;0,"Bank credit not in GL","Bank debit not in GL")))</f>
        <v/>
      </c>
      <c r="I1685" s="42" t="str">
        <f aca="false">IF(OR(C1685=0,CFG_PeriodEnd=""),"",CFG_PeriodEnd-D1685)</f>
        <v/>
      </c>
      <c r="J1685" s="5" t="str">
        <f aca="false">IF(C1685=0,"",IF($A1685="Bank",IF(INDEX(Bank!$G:$G,$C1685)="","",INDEX(Bank!$G:$G,$C1685)),IF(INDEX(GL!$G:$G,$C1685)="","",INDEX(GL!$G:$G,$C1685))))</f>
        <v/>
      </c>
      <c r="K1685" s="5" t="str">
        <f aca="false">IF(C1685=0,"",IF($A1685="Bank",IF(INDEX(Bank!$I:$I,$C1685)="","",INDEX(Bank!$I:$I,$C1685)),IF(INDEX(GL!$I:$I,$C1685)="","",INDEX(GL!$I:$I,$C1685))))</f>
        <v/>
      </c>
      <c r="L1685" s="5" t="str">
        <f aca="false">IF(B1685="","",IF(C1685=0,"NOT FOUND",IF(IF($A1685="Bank",INDEX(Bank!$F:$F,$C1685),INDEX(GL!$F:$F,$C1685))="Y","NOW RECONCILED: refresh","OK")))</f>
        <v/>
      </c>
    </row>
    <row r="1686" customFormat="false" ht="15" hidden="false" customHeight="false" outlineLevel="0" collapsed="false">
      <c r="A1686" s="41"/>
      <c r="B1686" s="41"/>
      <c r="C1686" s="5" t="n">
        <f aca="false">IF(B1686="",0,IF(A1686="Bank",IFERROR(MATCH(B1686,Bank!$A:$A,0),0),IFERROR(MATCH(B1686,GL!$A:$A,0),0)))</f>
        <v>0</v>
      </c>
      <c r="D1686" s="32" t="str">
        <f aca="false">IF(C1686=0,"",IF($A1686="Bank",INDEX(Bank!$B:$B,$C1686),INDEX(GL!$B:$B,$C1686)))</f>
        <v/>
      </c>
      <c r="E1686" s="5" t="str">
        <f aca="false">IF(C1686=0,"",IF($A1686="Bank",IF(INDEX(Bank!$C:$C,$C1686)="","",INDEX(Bank!$C:$C,$C1686)),IF(INDEX(GL!$C:$C,$C1686)="","",INDEX(GL!$C:$C,$C1686))))</f>
        <v/>
      </c>
      <c r="F1686" s="5" t="str">
        <f aca="false">IF(C1686=0,"",IF($A1686="Bank",IF(INDEX(Bank!$D:$D,$C1686)="","",INDEX(Bank!$D:$D,$C1686)),IF(INDEX(GL!$D:$D,$C1686)="","",INDEX(GL!$D:$D,$C1686))))</f>
        <v/>
      </c>
      <c r="G1686" s="19" t="str">
        <f aca="false">IF(C1686=0,"",IF($A1686="Bank",INDEX(Bank!$E:$E,$C1686),INDEX(GL!$E:$E,$C1686)))</f>
        <v/>
      </c>
      <c r="H1686" s="5" t="str">
        <f aca="false">IF(C1686=0,"",IF(A1686="GL",IF(G1686&gt;0,"Deposit in transit","Outstanding check / payment"),IF(G1686&gt;0,"Bank credit not in GL","Bank debit not in GL")))</f>
        <v/>
      </c>
      <c r="I1686" s="42" t="str">
        <f aca="false">IF(OR(C1686=0,CFG_PeriodEnd=""),"",CFG_PeriodEnd-D1686)</f>
        <v/>
      </c>
      <c r="J1686" s="5" t="str">
        <f aca="false">IF(C1686=0,"",IF($A1686="Bank",IF(INDEX(Bank!$G:$G,$C1686)="","",INDEX(Bank!$G:$G,$C1686)),IF(INDEX(GL!$G:$G,$C1686)="","",INDEX(GL!$G:$G,$C1686))))</f>
        <v/>
      </c>
      <c r="K1686" s="5" t="str">
        <f aca="false">IF(C1686=0,"",IF($A1686="Bank",IF(INDEX(Bank!$I:$I,$C1686)="","",INDEX(Bank!$I:$I,$C1686)),IF(INDEX(GL!$I:$I,$C1686)="","",INDEX(GL!$I:$I,$C1686))))</f>
        <v/>
      </c>
      <c r="L1686" s="5" t="str">
        <f aca="false">IF(B1686="","",IF(C1686=0,"NOT FOUND",IF(IF($A1686="Bank",INDEX(Bank!$F:$F,$C1686),INDEX(GL!$F:$F,$C1686))="Y","NOW RECONCILED: refresh","OK")))</f>
        <v/>
      </c>
    </row>
    <row r="1687" customFormat="false" ht="15" hidden="false" customHeight="false" outlineLevel="0" collapsed="false">
      <c r="A1687" s="41"/>
      <c r="B1687" s="41"/>
      <c r="C1687" s="5" t="n">
        <f aca="false">IF(B1687="",0,IF(A1687="Bank",IFERROR(MATCH(B1687,Bank!$A:$A,0),0),IFERROR(MATCH(B1687,GL!$A:$A,0),0)))</f>
        <v>0</v>
      </c>
      <c r="D1687" s="32" t="str">
        <f aca="false">IF(C1687=0,"",IF($A1687="Bank",INDEX(Bank!$B:$B,$C1687),INDEX(GL!$B:$B,$C1687)))</f>
        <v/>
      </c>
      <c r="E1687" s="5" t="str">
        <f aca="false">IF(C1687=0,"",IF($A1687="Bank",IF(INDEX(Bank!$C:$C,$C1687)="","",INDEX(Bank!$C:$C,$C1687)),IF(INDEX(GL!$C:$C,$C1687)="","",INDEX(GL!$C:$C,$C1687))))</f>
        <v/>
      </c>
      <c r="F1687" s="5" t="str">
        <f aca="false">IF(C1687=0,"",IF($A1687="Bank",IF(INDEX(Bank!$D:$D,$C1687)="","",INDEX(Bank!$D:$D,$C1687)),IF(INDEX(GL!$D:$D,$C1687)="","",INDEX(GL!$D:$D,$C1687))))</f>
        <v/>
      </c>
      <c r="G1687" s="19" t="str">
        <f aca="false">IF(C1687=0,"",IF($A1687="Bank",INDEX(Bank!$E:$E,$C1687),INDEX(GL!$E:$E,$C1687)))</f>
        <v/>
      </c>
      <c r="H1687" s="5" t="str">
        <f aca="false">IF(C1687=0,"",IF(A1687="GL",IF(G1687&gt;0,"Deposit in transit","Outstanding check / payment"),IF(G1687&gt;0,"Bank credit not in GL","Bank debit not in GL")))</f>
        <v/>
      </c>
      <c r="I1687" s="42" t="str">
        <f aca="false">IF(OR(C1687=0,CFG_PeriodEnd=""),"",CFG_PeriodEnd-D1687)</f>
        <v/>
      </c>
      <c r="J1687" s="5" t="str">
        <f aca="false">IF(C1687=0,"",IF($A1687="Bank",IF(INDEX(Bank!$G:$G,$C1687)="","",INDEX(Bank!$G:$G,$C1687)),IF(INDEX(GL!$G:$G,$C1687)="","",INDEX(GL!$G:$G,$C1687))))</f>
        <v/>
      </c>
      <c r="K1687" s="5" t="str">
        <f aca="false">IF(C1687=0,"",IF($A1687="Bank",IF(INDEX(Bank!$I:$I,$C1687)="","",INDEX(Bank!$I:$I,$C1687)),IF(INDEX(GL!$I:$I,$C1687)="","",INDEX(GL!$I:$I,$C1687))))</f>
        <v/>
      </c>
      <c r="L1687" s="5" t="str">
        <f aca="false">IF(B1687="","",IF(C1687=0,"NOT FOUND",IF(IF($A1687="Bank",INDEX(Bank!$F:$F,$C1687),INDEX(GL!$F:$F,$C1687))="Y","NOW RECONCILED: refresh","OK")))</f>
        <v/>
      </c>
    </row>
    <row r="1688" customFormat="false" ht="15" hidden="false" customHeight="false" outlineLevel="0" collapsed="false">
      <c r="A1688" s="41"/>
      <c r="B1688" s="41"/>
      <c r="C1688" s="5" t="n">
        <f aca="false">IF(B1688="",0,IF(A1688="Bank",IFERROR(MATCH(B1688,Bank!$A:$A,0),0),IFERROR(MATCH(B1688,GL!$A:$A,0),0)))</f>
        <v>0</v>
      </c>
      <c r="D1688" s="32" t="str">
        <f aca="false">IF(C1688=0,"",IF($A1688="Bank",INDEX(Bank!$B:$B,$C1688),INDEX(GL!$B:$B,$C1688)))</f>
        <v/>
      </c>
      <c r="E1688" s="5" t="str">
        <f aca="false">IF(C1688=0,"",IF($A1688="Bank",IF(INDEX(Bank!$C:$C,$C1688)="","",INDEX(Bank!$C:$C,$C1688)),IF(INDEX(GL!$C:$C,$C1688)="","",INDEX(GL!$C:$C,$C1688))))</f>
        <v/>
      </c>
      <c r="F1688" s="5" t="str">
        <f aca="false">IF(C1688=0,"",IF($A1688="Bank",IF(INDEX(Bank!$D:$D,$C1688)="","",INDEX(Bank!$D:$D,$C1688)),IF(INDEX(GL!$D:$D,$C1688)="","",INDEX(GL!$D:$D,$C1688))))</f>
        <v/>
      </c>
      <c r="G1688" s="19" t="str">
        <f aca="false">IF(C1688=0,"",IF($A1688="Bank",INDEX(Bank!$E:$E,$C1688),INDEX(GL!$E:$E,$C1688)))</f>
        <v/>
      </c>
      <c r="H1688" s="5" t="str">
        <f aca="false">IF(C1688=0,"",IF(A1688="GL",IF(G1688&gt;0,"Deposit in transit","Outstanding check / payment"),IF(G1688&gt;0,"Bank credit not in GL","Bank debit not in GL")))</f>
        <v/>
      </c>
      <c r="I1688" s="42" t="str">
        <f aca="false">IF(OR(C1688=0,CFG_PeriodEnd=""),"",CFG_PeriodEnd-D1688)</f>
        <v/>
      </c>
      <c r="J1688" s="5" t="str">
        <f aca="false">IF(C1688=0,"",IF($A1688="Bank",IF(INDEX(Bank!$G:$G,$C1688)="","",INDEX(Bank!$G:$G,$C1688)),IF(INDEX(GL!$G:$G,$C1688)="","",INDEX(GL!$G:$G,$C1688))))</f>
        <v/>
      </c>
      <c r="K1688" s="5" t="str">
        <f aca="false">IF(C1688=0,"",IF($A1688="Bank",IF(INDEX(Bank!$I:$I,$C1688)="","",INDEX(Bank!$I:$I,$C1688)),IF(INDEX(GL!$I:$I,$C1688)="","",INDEX(GL!$I:$I,$C1688))))</f>
        <v/>
      </c>
      <c r="L1688" s="5" t="str">
        <f aca="false">IF(B1688="","",IF(C1688=0,"NOT FOUND",IF(IF($A1688="Bank",INDEX(Bank!$F:$F,$C1688),INDEX(GL!$F:$F,$C1688))="Y","NOW RECONCILED: refresh","OK")))</f>
        <v/>
      </c>
    </row>
    <row r="1689" customFormat="false" ht="15" hidden="false" customHeight="false" outlineLevel="0" collapsed="false">
      <c r="A1689" s="41"/>
      <c r="B1689" s="41"/>
      <c r="C1689" s="5" t="n">
        <f aca="false">IF(B1689="",0,IF(A1689="Bank",IFERROR(MATCH(B1689,Bank!$A:$A,0),0),IFERROR(MATCH(B1689,GL!$A:$A,0),0)))</f>
        <v>0</v>
      </c>
      <c r="D1689" s="32" t="str">
        <f aca="false">IF(C1689=0,"",IF($A1689="Bank",INDEX(Bank!$B:$B,$C1689),INDEX(GL!$B:$B,$C1689)))</f>
        <v/>
      </c>
      <c r="E1689" s="5" t="str">
        <f aca="false">IF(C1689=0,"",IF($A1689="Bank",IF(INDEX(Bank!$C:$C,$C1689)="","",INDEX(Bank!$C:$C,$C1689)),IF(INDEX(GL!$C:$C,$C1689)="","",INDEX(GL!$C:$C,$C1689))))</f>
        <v/>
      </c>
      <c r="F1689" s="5" t="str">
        <f aca="false">IF(C1689=0,"",IF($A1689="Bank",IF(INDEX(Bank!$D:$D,$C1689)="","",INDEX(Bank!$D:$D,$C1689)),IF(INDEX(GL!$D:$D,$C1689)="","",INDEX(GL!$D:$D,$C1689))))</f>
        <v/>
      </c>
      <c r="G1689" s="19" t="str">
        <f aca="false">IF(C1689=0,"",IF($A1689="Bank",INDEX(Bank!$E:$E,$C1689),INDEX(GL!$E:$E,$C1689)))</f>
        <v/>
      </c>
      <c r="H1689" s="5" t="str">
        <f aca="false">IF(C1689=0,"",IF(A1689="GL",IF(G1689&gt;0,"Deposit in transit","Outstanding check / payment"),IF(G1689&gt;0,"Bank credit not in GL","Bank debit not in GL")))</f>
        <v/>
      </c>
      <c r="I1689" s="42" t="str">
        <f aca="false">IF(OR(C1689=0,CFG_PeriodEnd=""),"",CFG_PeriodEnd-D1689)</f>
        <v/>
      </c>
      <c r="J1689" s="5" t="str">
        <f aca="false">IF(C1689=0,"",IF($A1689="Bank",IF(INDEX(Bank!$G:$G,$C1689)="","",INDEX(Bank!$G:$G,$C1689)),IF(INDEX(GL!$G:$G,$C1689)="","",INDEX(GL!$G:$G,$C1689))))</f>
        <v/>
      </c>
      <c r="K1689" s="5" t="str">
        <f aca="false">IF(C1689=0,"",IF($A1689="Bank",IF(INDEX(Bank!$I:$I,$C1689)="","",INDEX(Bank!$I:$I,$C1689)),IF(INDEX(GL!$I:$I,$C1689)="","",INDEX(GL!$I:$I,$C1689))))</f>
        <v/>
      </c>
      <c r="L1689" s="5" t="str">
        <f aca="false">IF(B1689="","",IF(C1689=0,"NOT FOUND",IF(IF($A1689="Bank",INDEX(Bank!$F:$F,$C1689),INDEX(GL!$F:$F,$C1689))="Y","NOW RECONCILED: refresh","OK")))</f>
        <v/>
      </c>
    </row>
    <row r="1690" customFormat="false" ht="15" hidden="false" customHeight="false" outlineLevel="0" collapsed="false">
      <c r="A1690" s="41"/>
      <c r="B1690" s="41"/>
      <c r="C1690" s="5" t="n">
        <f aca="false">IF(B1690="",0,IF(A1690="Bank",IFERROR(MATCH(B1690,Bank!$A:$A,0),0),IFERROR(MATCH(B1690,GL!$A:$A,0),0)))</f>
        <v>0</v>
      </c>
      <c r="D1690" s="32" t="str">
        <f aca="false">IF(C1690=0,"",IF($A1690="Bank",INDEX(Bank!$B:$B,$C1690),INDEX(GL!$B:$B,$C1690)))</f>
        <v/>
      </c>
      <c r="E1690" s="5" t="str">
        <f aca="false">IF(C1690=0,"",IF($A1690="Bank",IF(INDEX(Bank!$C:$C,$C1690)="","",INDEX(Bank!$C:$C,$C1690)),IF(INDEX(GL!$C:$C,$C1690)="","",INDEX(GL!$C:$C,$C1690))))</f>
        <v/>
      </c>
      <c r="F1690" s="5" t="str">
        <f aca="false">IF(C1690=0,"",IF($A1690="Bank",IF(INDEX(Bank!$D:$D,$C1690)="","",INDEX(Bank!$D:$D,$C1690)),IF(INDEX(GL!$D:$D,$C1690)="","",INDEX(GL!$D:$D,$C1690))))</f>
        <v/>
      </c>
      <c r="G1690" s="19" t="str">
        <f aca="false">IF(C1690=0,"",IF($A1690="Bank",INDEX(Bank!$E:$E,$C1690),INDEX(GL!$E:$E,$C1690)))</f>
        <v/>
      </c>
      <c r="H1690" s="5" t="str">
        <f aca="false">IF(C1690=0,"",IF(A1690="GL",IF(G1690&gt;0,"Deposit in transit","Outstanding check / payment"),IF(G1690&gt;0,"Bank credit not in GL","Bank debit not in GL")))</f>
        <v/>
      </c>
      <c r="I1690" s="42" t="str">
        <f aca="false">IF(OR(C1690=0,CFG_PeriodEnd=""),"",CFG_PeriodEnd-D1690)</f>
        <v/>
      </c>
      <c r="J1690" s="5" t="str">
        <f aca="false">IF(C1690=0,"",IF($A1690="Bank",IF(INDEX(Bank!$G:$G,$C1690)="","",INDEX(Bank!$G:$G,$C1690)),IF(INDEX(GL!$G:$G,$C1690)="","",INDEX(GL!$G:$G,$C1690))))</f>
        <v/>
      </c>
      <c r="K1690" s="5" t="str">
        <f aca="false">IF(C1690=0,"",IF($A1690="Bank",IF(INDEX(Bank!$I:$I,$C1690)="","",INDEX(Bank!$I:$I,$C1690)),IF(INDEX(GL!$I:$I,$C1690)="","",INDEX(GL!$I:$I,$C1690))))</f>
        <v/>
      </c>
      <c r="L1690" s="5" t="str">
        <f aca="false">IF(B1690="","",IF(C1690=0,"NOT FOUND",IF(IF($A1690="Bank",INDEX(Bank!$F:$F,$C1690),INDEX(GL!$F:$F,$C1690))="Y","NOW RECONCILED: refresh","OK")))</f>
        <v/>
      </c>
    </row>
    <row r="1691" customFormat="false" ht="15" hidden="false" customHeight="false" outlineLevel="0" collapsed="false">
      <c r="A1691" s="41"/>
      <c r="B1691" s="41"/>
      <c r="C1691" s="5" t="n">
        <f aca="false">IF(B1691="",0,IF(A1691="Bank",IFERROR(MATCH(B1691,Bank!$A:$A,0),0),IFERROR(MATCH(B1691,GL!$A:$A,0),0)))</f>
        <v>0</v>
      </c>
      <c r="D1691" s="32" t="str">
        <f aca="false">IF(C1691=0,"",IF($A1691="Bank",INDEX(Bank!$B:$B,$C1691),INDEX(GL!$B:$B,$C1691)))</f>
        <v/>
      </c>
      <c r="E1691" s="5" t="str">
        <f aca="false">IF(C1691=0,"",IF($A1691="Bank",IF(INDEX(Bank!$C:$C,$C1691)="","",INDEX(Bank!$C:$C,$C1691)),IF(INDEX(GL!$C:$C,$C1691)="","",INDEX(GL!$C:$C,$C1691))))</f>
        <v/>
      </c>
      <c r="F1691" s="5" t="str">
        <f aca="false">IF(C1691=0,"",IF($A1691="Bank",IF(INDEX(Bank!$D:$D,$C1691)="","",INDEX(Bank!$D:$D,$C1691)),IF(INDEX(GL!$D:$D,$C1691)="","",INDEX(GL!$D:$D,$C1691))))</f>
        <v/>
      </c>
      <c r="G1691" s="19" t="str">
        <f aca="false">IF(C1691=0,"",IF($A1691="Bank",INDEX(Bank!$E:$E,$C1691),INDEX(GL!$E:$E,$C1691)))</f>
        <v/>
      </c>
      <c r="H1691" s="5" t="str">
        <f aca="false">IF(C1691=0,"",IF(A1691="GL",IF(G1691&gt;0,"Deposit in transit","Outstanding check / payment"),IF(G1691&gt;0,"Bank credit not in GL","Bank debit not in GL")))</f>
        <v/>
      </c>
      <c r="I1691" s="42" t="str">
        <f aca="false">IF(OR(C1691=0,CFG_PeriodEnd=""),"",CFG_PeriodEnd-D1691)</f>
        <v/>
      </c>
      <c r="J1691" s="5" t="str">
        <f aca="false">IF(C1691=0,"",IF($A1691="Bank",IF(INDEX(Bank!$G:$G,$C1691)="","",INDEX(Bank!$G:$G,$C1691)),IF(INDEX(GL!$G:$G,$C1691)="","",INDEX(GL!$G:$G,$C1691))))</f>
        <v/>
      </c>
      <c r="K1691" s="5" t="str">
        <f aca="false">IF(C1691=0,"",IF($A1691="Bank",IF(INDEX(Bank!$I:$I,$C1691)="","",INDEX(Bank!$I:$I,$C1691)),IF(INDEX(GL!$I:$I,$C1691)="","",INDEX(GL!$I:$I,$C1691))))</f>
        <v/>
      </c>
      <c r="L1691" s="5" t="str">
        <f aca="false">IF(B1691="","",IF(C1691=0,"NOT FOUND",IF(IF($A1691="Bank",INDEX(Bank!$F:$F,$C1691),INDEX(GL!$F:$F,$C1691))="Y","NOW RECONCILED: refresh","OK")))</f>
        <v/>
      </c>
    </row>
    <row r="1692" customFormat="false" ht="15" hidden="false" customHeight="false" outlineLevel="0" collapsed="false">
      <c r="A1692" s="41"/>
      <c r="B1692" s="41"/>
      <c r="C1692" s="5" t="n">
        <f aca="false">IF(B1692="",0,IF(A1692="Bank",IFERROR(MATCH(B1692,Bank!$A:$A,0),0),IFERROR(MATCH(B1692,GL!$A:$A,0),0)))</f>
        <v>0</v>
      </c>
      <c r="D1692" s="32" t="str">
        <f aca="false">IF(C1692=0,"",IF($A1692="Bank",INDEX(Bank!$B:$B,$C1692),INDEX(GL!$B:$B,$C1692)))</f>
        <v/>
      </c>
      <c r="E1692" s="5" t="str">
        <f aca="false">IF(C1692=0,"",IF($A1692="Bank",IF(INDEX(Bank!$C:$C,$C1692)="","",INDEX(Bank!$C:$C,$C1692)),IF(INDEX(GL!$C:$C,$C1692)="","",INDEX(GL!$C:$C,$C1692))))</f>
        <v/>
      </c>
      <c r="F1692" s="5" t="str">
        <f aca="false">IF(C1692=0,"",IF($A1692="Bank",IF(INDEX(Bank!$D:$D,$C1692)="","",INDEX(Bank!$D:$D,$C1692)),IF(INDEX(GL!$D:$D,$C1692)="","",INDEX(GL!$D:$D,$C1692))))</f>
        <v/>
      </c>
      <c r="G1692" s="19" t="str">
        <f aca="false">IF(C1692=0,"",IF($A1692="Bank",INDEX(Bank!$E:$E,$C1692),INDEX(GL!$E:$E,$C1692)))</f>
        <v/>
      </c>
      <c r="H1692" s="5" t="str">
        <f aca="false">IF(C1692=0,"",IF(A1692="GL",IF(G1692&gt;0,"Deposit in transit","Outstanding check / payment"),IF(G1692&gt;0,"Bank credit not in GL","Bank debit not in GL")))</f>
        <v/>
      </c>
      <c r="I1692" s="42" t="str">
        <f aca="false">IF(OR(C1692=0,CFG_PeriodEnd=""),"",CFG_PeriodEnd-D1692)</f>
        <v/>
      </c>
      <c r="J1692" s="5" t="str">
        <f aca="false">IF(C1692=0,"",IF($A1692="Bank",IF(INDEX(Bank!$G:$G,$C1692)="","",INDEX(Bank!$G:$G,$C1692)),IF(INDEX(GL!$G:$G,$C1692)="","",INDEX(GL!$G:$G,$C1692))))</f>
        <v/>
      </c>
      <c r="K1692" s="5" t="str">
        <f aca="false">IF(C1692=0,"",IF($A1692="Bank",IF(INDEX(Bank!$I:$I,$C1692)="","",INDEX(Bank!$I:$I,$C1692)),IF(INDEX(GL!$I:$I,$C1692)="","",INDEX(GL!$I:$I,$C1692))))</f>
        <v/>
      </c>
      <c r="L1692" s="5" t="str">
        <f aca="false">IF(B1692="","",IF(C1692=0,"NOT FOUND",IF(IF($A1692="Bank",INDEX(Bank!$F:$F,$C1692),INDEX(GL!$F:$F,$C1692))="Y","NOW RECONCILED: refresh","OK")))</f>
        <v/>
      </c>
    </row>
    <row r="1693" customFormat="false" ht="15" hidden="false" customHeight="false" outlineLevel="0" collapsed="false">
      <c r="A1693" s="41"/>
      <c r="B1693" s="41"/>
      <c r="C1693" s="5" t="n">
        <f aca="false">IF(B1693="",0,IF(A1693="Bank",IFERROR(MATCH(B1693,Bank!$A:$A,0),0),IFERROR(MATCH(B1693,GL!$A:$A,0),0)))</f>
        <v>0</v>
      </c>
      <c r="D1693" s="32" t="str">
        <f aca="false">IF(C1693=0,"",IF($A1693="Bank",INDEX(Bank!$B:$B,$C1693),INDEX(GL!$B:$B,$C1693)))</f>
        <v/>
      </c>
      <c r="E1693" s="5" t="str">
        <f aca="false">IF(C1693=0,"",IF($A1693="Bank",IF(INDEX(Bank!$C:$C,$C1693)="","",INDEX(Bank!$C:$C,$C1693)),IF(INDEX(GL!$C:$C,$C1693)="","",INDEX(GL!$C:$C,$C1693))))</f>
        <v/>
      </c>
      <c r="F1693" s="5" t="str">
        <f aca="false">IF(C1693=0,"",IF($A1693="Bank",IF(INDEX(Bank!$D:$D,$C1693)="","",INDEX(Bank!$D:$D,$C1693)),IF(INDEX(GL!$D:$D,$C1693)="","",INDEX(GL!$D:$D,$C1693))))</f>
        <v/>
      </c>
      <c r="G1693" s="19" t="str">
        <f aca="false">IF(C1693=0,"",IF($A1693="Bank",INDEX(Bank!$E:$E,$C1693),INDEX(GL!$E:$E,$C1693)))</f>
        <v/>
      </c>
      <c r="H1693" s="5" t="str">
        <f aca="false">IF(C1693=0,"",IF(A1693="GL",IF(G1693&gt;0,"Deposit in transit","Outstanding check / payment"),IF(G1693&gt;0,"Bank credit not in GL","Bank debit not in GL")))</f>
        <v/>
      </c>
      <c r="I1693" s="42" t="str">
        <f aca="false">IF(OR(C1693=0,CFG_PeriodEnd=""),"",CFG_PeriodEnd-D1693)</f>
        <v/>
      </c>
      <c r="J1693" s="5" t="str">
        <f aca="false">IF(C1693=0,"",IF($A1693="Bank",IF(INDEX(Bank!$G:$G,$C1693)="","",INDEX(Bank!$G:$G,$C1693)),IF(INDEX(GL!$G:$G,$C1693)="","",INDEX(GL!$G:$G,$C1693))))</f>
        <v/>
      </c>
      <c r="K1693" s="5" t="str">
        <f aca="false">IF(C1693=0,"",IF($A1693="Bank",IF(INDEX(Bank!$I:$I,$C1693)="","",INDEX(Bank!$I:$I,$C1693)),IF(INDEX(GL!$I:$I,$C1693)="","",INDEX(GL!$I:$I,$C1693))))</f>
        <v/>
      </c>
      <c r="L1693" s="5" t="str">
        <f aca="false">IF(B1693="","",IF(C1693=0,"NOT FOUND",IF(IF($A1693="Bank",INDEX(Bank!$F:$F,$C1693),INDEX(GL!$F:$F,$C1693))="Y","NOW RECONCILED: refresh","OK")))</f>
        <v/>
      </c>
    </row>
    <row r="1694" customFormat="false" ht="15" hidden="false" customHeight="false" outlineLevel="0" collapsed="false">
      <c r="A1694" s="41"/>
      <c r="B1694" s="41"/>
      <c r="C1694" s="5" t="n">
        <f aca="false">IF(B1694="",0,IF(A1694="Bank",IFERROR(MATCH(B1694,Bank!$A:$A,0),0),IFERROR(MATCH(B1694,GL!$A:$A,0),0)))</f>
        <v>0</v>
      </c>
      <c r="D1694" s="32" t="str">
        <f aca="false">IF(C1694=0,"",IF($A1694="Bank",INDEX(Bank!$B:$B,$C1694),INDEX(GL!$B:$B,$C1694)))</f>
        <v/>
      </c>
      <c r="E1694" s="5" t="str">
        <f aca="false">IF(C1694=0,"",IF($A1694="Bank",IF(INDEX(Bank!$C:$C,$C1694)="","",INDEX(Bank!$C:$C,$C1694)),IF(INDEX(GL!$C:$C,$C1694)="","",INDEX(GL!$C:$C,$C1694))))</f>
        <v/>
      </c>
      <c r="F1694" s="5" t="str">
        <f aca="false">IF(C1694=0,"",IF($A1694="Bank",IF(INDEX(Bank!$D:$D,$C1694)="","",INDEX(Bank!$D:$D,$C1694)),IF(INDEX(GL!$D:$D,$C1694)="","",INDEX(GL!$D:$D,$C1694))))</f>
        <v/>
      </c>
      <c r="G1694" s="19" t="str">
        <f aca="false">IF(C1694=0,"",IF($A1694="Bank",INDEX(Bank!$E:$E,$C1694),INDEX(GL!$E:$E,$C1694)))</f>
        <v/>
      </c>
      <c r="H1694" s="5" t="str">
        <f aca="false">IF(C1694=0,"",IF(A1694="GL",IF(G1694&gt;0,"Deposit in transit","Outstanding check / payment"),IF(G1694&gt;0,"Bank credit not in GL","Bank debit not in GL")))</f>
        <v/>
      </c>
      <c r="I1694" s="42" t="str">
        <f aca="false">IF(OR(C1694=0,CFG_PeriodEnd=""),"",CFG_PeriodEnd-D1694)</f>
        <v/>
      </c>
      <c r="J1694" s="5" t="str">
        <f aca="false">IF(C1694=0,"",IF($A1694="Bank",IF(INDEX(Bank!$G:$G,$C1694)="","",INDEX(Bank!$G:$G,$C1694)),IF(INDEX(GL!$G:$G,$C1694)="","",INDEX(GL!$G:$G,$C1694))))</f>
        <v/>
      </c>
      <c r="K1694" s="5" t="str">
        <f aca="false">IF(C1694=0,"",IF($A1694="Bank",IF(INDEX(Bank!$I:$I,$C1694)="","",INDEX(Bank!$I:$I,$C1694)),IF(INDEX(GL!$I:$I,$C1694)="","",INDEX(GL!$I:$I,$C1694))))</f>
        <v/>
      </c>
      <c r="L1694" s="5" t="str">
        <f aca="false">IF(B1694="","",IF(C1694=0,"NOT FOUND",IF(IF($A1694="Bank",INDEX(Bank!$F:$F,$C1694),INDEX(GL!$F:$F,$C1694))="Y","NOW RECONCILED: refresh","OK")))</f>
        <v/>
      </c>
    </row>
    <row r="1695" customFormat="false" ht="15" hidden="false" customHeight="false" outlineLevel="0" collapsed="false">
      <c r="A1695" s="41"/>
      <c r="B1695" s="41"/>
      <c r="C1695" s="5" t="n">
        <f aca="false">IF(B1695="",0,IF(A1695="Bank",IFERROR(MATCH(B1695,Bank!$A:$A,0),0),IFERROR(MATCH(B1695,GL!$A:$A,0),0)))</f>
        <v>0</v>
      </c>
      <c r="D1695" s="32" t="str">
        <f aca="false">IF(C1695=0,"",IF($A1695="Bank",INDEX(Bank!$B:$B,$C1695),INDEX(GL!$B:$B,$C1695)))</f>
        <v/>
      </c>
      <c r="E1695" s="5" t="str">
        <f aca="false">IF(C1695=0,"",IF($A1695="Bank",IF(INDEX(Bank!$C:$C,$C1695)="","",INDEX(Bank!$C:$C,$C1695)),IF(INDEX(GL!$C:$C,$C1695)="","",INDEX(GL!$C:$C,$C1695))))</f>
        <v/>
      </c>
      <c r="F1695" s="5" t="str">
        <f aca="false">IF(C1695=0,"",IF($A1695="Bank",IF(INDEX(Bank!$D:$D,$C1695)="","",INDEX(Bank!$D:$D,$C1695)),IF(INDEX(GL!$D:$D,$C1695)="","",INDEX(GL!$D:$D,$C1695))))</f>
        <v/>
      </c>
      <c r="G1695" s="19" t="str">
        <f aca="false">IF(C1695=0,"",IF($A1695="Bank",INDEX(Bank!$E:$E,$C1695),INDEX(GL!$E:$E,$C1695)))</f>
        <v/>
      </c>
      <c r="H1695" s="5" t="str">
        <f aca="false">IF(C1695=0,"",IF(A1695="GL",IF(G1695&gt;0,"Deposit in transit","Outstanding check / payment"),IF(G1695&gt;0,"Bank credit not in GL","Bank debit not in GL")))</f>
        <v/>
      </c>
      <c r="I1695" s="42" t="str">
        <f aca="false">IF(OR(C1695=0,CFG_PeriodEnd=""),"",CFG_PeriodEnd-D1695)</f>
        <v/>
      </c>
      <c r="J1695" s="5" t="str">
        <f aca="false">IF(C1695=0,"",IF($A1695="Bank",IF(INDEX(Bank!$G:$G,$C1695)="","",INDEX(Bank!$G:$G,$C1695)),IF(INDEX(GL!$G:$G,$C1695)="","",INDEX(GL!$G:$G,$C1695))))</f>
        <v/>
      </c>
      <c r="K1695" s="5" t="str">
        <f aca="false">IF(C1695=0,"",IF($A1695="Bank",IF(INDEX(Bank!$I:$I,$C1695)="","",INDEX(Bank!$I:$I,$C1695)),IF(INDEX(GL!$I:$I,$C1695)="","",INDEX(GL!$I:$I,$C1695))))</f>
        <v/>
      </c>
      <c r="L1695" s="5" t="str">
        <f aca="false">IF(B1695="","",IF(C1695=0,"NOT FOUND",IF(IF($A1695="Bank",INDEX(Bank!$F:$F,$C1695),INDEX(GL!$F:$F,$C1695))="Y","NOW RECONCILED: refresh","OK")))</f>
        <v/>
      </c>
    </row>
    <row r="1696" customFormat="false" ht="15" hidden="false" customHeight="false" outlineLevel="0" collapsed="false">
      <c r="A1696" s="41"/>
      <c r="B1696" s="41"/>
      <c r="C1696" s="5" t="n">
        <f aca="false">IF(B1696="",0,IF(A1696="Bank",IFERROR(MATCH(B1696,Bank!$A:$A,0),0),IFERROR(MATCH(B1696,GL!$A:$A,0),0)))</f>
        <v>0</v>
      </c>
      <c r="D1696" s="32" t="str">
        <f aca="false">IF(C1696=0,"",IF($A1696="Bank",INDEX(Bank!$B:$B,$C1696),INDEX(GL!$B:$B,$C1696)))</f>
        <v/>
      </c>
      <c r="E1696" s="5" t="str">
        <f aca="false">IF(C1696=0,"",IF($A1696="Bank",IF(INDEX(Bank!$C:$C,$C1696)="","",INDEX(Bank!$C:$C,$C1696)),IF(INDEX(GL!$C:$C,$C1696)="","",INDEX(GL!$C:$C,$C1696))))</f>
        <v/>
      </c>
      <c r="F1696" s="5" t="str">
        <f aca="false">IF(C1696=0,"",IF($A1696="Bank",IF(INDEX(Bank!$D:$D,$C1696)="","",INDEX(Bank!$D:$D,$C1696)),IF(INDEX(GL!$D:$D,$C1696)="","",INDEX(GL!$D:$D,$C1696))))</f>
        <v/>
      </c>
      <c r="G1696" s="19" t="str">
        <f aca="false">IF(C1696=0,"",IF($A1696="Bank",INDEX(Bank!$E:$E,$C1696),INDEX(GL!$E:$E,$C1696)))</f>
        <v/>
      </c>
      <c r="H1696" s="5" t="str">
        <f aca="false">IF(C1696=0,"",IF(A1696="GL",IF(G1696&gt;0,"Deposit in transit","Outstanding check / payment"),IF(G1696&gt;0,"Bank credit not in GL","Bank debit not in GL")))</f>
        <v/>
      </c>
      <c r="I1696" s="42" t="str">
        <f aca="false">IF(OR(C1696=0,CFG_PeriodEnd=""),"",CFG_PeriodEnd-D1696)</f>
        <v/>
      </c>
      <c r="J1696" s="5" t="str">
        <f aca="false">IF(C1696=0,"",IF($A1696="Bank",IF(INDEX(Bank!$G:$G,$C1696)="","",INDEX(Bank!$G:$G,$C1696)),IF(INDEX(GL!$G:$G,$C1696)="","",INDEX(GL!$G:$G,$C1696))))</f>
        <v/>
      </c>
      <c r="K1696" s="5" t="str">
        <f aca="false">IF(C1696=0,"",IF($A1696="Bank",IF(INDEX(Bank!$I:$I,$C1696)="","",INDEX(Bank!$I:$I,$C1696)),IF(INDEX(GL!$I:$I,$C1696)="","",INDEX(GL!$I:$I,$C1696))))</f>
        <v/>
      </c>
      <c r="L1696" s="5" t="str">
        <f aca="false">IF(B1696="","",IF(C1696=0,"NOT FOUND",IF(IF($A1696="Bank",INDEX(Bank!$F:$F,$C1696),INDEX(GL!$F:$F,$C1696))="Y","NOW RECONCILED: refresh","OK")))</f>
        <v/>
      </c>
    </row>
    <row r="1697" customFormat="false" ht="15" hidden="false" customHeight="false" outlineLevel="0" collapsed="false">
      <c r="A1697" s="41"/>
      <c r="B1697" s="41"/>
      <c r="C1697" s="5" t="n">
        <f aca="false">IF(B1697="",0,IF(A1697="Bank",IFERROR(MATCH(B1697,Bank!$A:$A,0),0),IFERROR(MATCH(B1697,GL!$A:$A,0),0)))</f>
        <v>0</v>
      </c>
      <c r="D1697" s="32" t="str">
        <f aca="false">IF(C1697=0,"",IF($A1697="Bank",INDEX(Bank!$B:$B,$C1697),INDEX(GL!$B:$B,$C1697)))</f>
        <v/>
      </c>
      <c r="E1697" s="5" t="str">
        <f aca="false">IF(C1697=0,"",IF($A1697="Bank",IF(INDEX(Bank!$C:$C,$C1697)="","",INDEX(Bank!$C:$C,$C1697)),IF(INDEX(GL!$C:$C,$C1697)="","",INDEX(GL!$C:$C,$C1697))))</f>
        <v/>
      </c>
      <c r="F1697" s="5" t="str">
        <f aca="false">IF(C1697=0,"",IF($A1697="Bank",IF(INDEX(Bank!$D:$D,$C1697)="","",INDEX(Bank!$D:$D,$C1697)),IF(INDEX(GL!$D:$D,$C1697)="","",INDEX(GL!$D:$D,$C1697))))</f>
        <v/>
      </c>
      <c r="G1697" s="19" t="str">
        <f aca="false">IF(C1697=0,"",IF($A1697="Bank",INDEX(Bank!$E:$E,$C1697),INDEX(GL!$E:$E,$C1697)))</f>
        <v/>
      </c>
      <c r="H1697" s="5" t="str">
        <f aca="false">IF(C1697=0,"",IF(A1697="GL",IF(G1697&gt;0,"Deposit in transit","Outstanding check / payment"),IF(G1697&gt;0,"Bank credit not in GL","Bank debit not in GL")))</f>
        <v/>
      </c>
      <c r="I1697" s="42" t="str">
        <f aca="false">IF(OR(C1697=0,CFG_PeriodEnd=""),"",CFG_PeriodEnd-D1697)</f>
        <v/>
      </c>
      <c r="J1697" s="5" t="str">
        <f aca="false">IF(C1697=0,"",IF($A1697="Bank",IF(INDEX(Bank!$G:$G,$C1697)="","",INDEX(Bank!$G:$G,$C1697)),IF(INDEX(GL!$G:$G,$C1697)="","",INDEX(GL!$G:$G,$C1697))))</f>
        <v/>
      </c>
      <c r="K1697" s="5" t="str">
        <f aca="false">IF(C1697=0,"",IF($A1697="Bank",IF(INDEX(Bank!$I:$I,$C1697)="","",INDEX(Bank!$I:$I,$C1697)),IF(INDEX(GL!$I:$I,$C1697)="","",INDEX(GL!$I:$I,$C1697))))</f>
        <v/>
      </c>
      <c r="L1697" s="5" t="str">
        <f aca="false">IF(B1697="","",IF(C1697=0,"NOT FOUND",IF(IF($A1697="Bank",INDEX(Bank!$F:$F,$C1697),INDEX(GL!$F:$F,$C1697))="Y","NOW RECONCILED: refresh","OK")))</f>
        <v/>
      </c>
    </row>
    <row r="1698" customFormat="false" ht="15" hidden="false" customHeight="false" outlineLevel="0" collapsed="false">
      <c r="A1698" s="41"/>
      <c r="B1698" s="41"/>
      <c r="C1698" s="5" t="n">
        <f aca="false">IF(B1698="",0,IF(A1698="Bank",IFERROR(MATCH(B1698,Bank!$A:$A,0),0),IFERROR(MATCH(B1698,GL!$A:$A,0),0)))</f>
        <v>0</v>
      </c>
      <c r="D1698" s="32" t="str">
        <f aca="false">IF(C1698=0,"",IF($A1698="Bank",INDEX(Bank!$B:$B,$C1698),INDEX(GL!$B:$B,$C1698)))</f>
        <v/>
      </c>
      <c r="E1698" s="5" t="str">
        <f aca="false">IF(C1698=0,"",IF($A1698="Bank",IF(INDEX(Bank!$C:$C,$C1698)="","",INDEX(Bank!$C:$C,$C1698)),IF(INDEX(GL!$C:$C,$C1698)="","",INDEX(GL!$C:$C,$C1698))))</f>
        <v/>
      </c>
      <c r="F1698" s="5" t="str">
        <f aca="false">IF(C1698=0,"",IF($A1698="Bank",IF(INDEX(Bank!$D:$D,$C1698)="","",INDEX(Bank!$D:$D,$C1698)),IF(INDEX(GL!$D:$D,$C1698)="","",INDEX(GL!$D:$D,$C1698))))</f>
        <v/>
      </c>
      <c r="G1698" s="19" t="str">
        <f aca="false">IF(C1698=0,"",IF($A1698="Bank",INDEX(Bank!$E:$E,$C1698),INDEX(GL!$E:$E,$C1698)))</f>
        <v/>
      </c>
      <c r="H1698" s="5" t="str">
        <f aca="false">IF(C1698=0,"",IF(A1698="GL",IF(G1698&gt;0,"Deposit in transit","Outstanding check / payment"),IF(G1698&gt;0,"Bank credit not in GL","Bank debit not in GL")))</f>
        <v/>
      </c>
      <c r="I1698" s="42" t="str">
        <f aca="false">IF(OR(C1698=0,CFG_PeriodEnd=""),"",CFG_PeriodEnd-D1698)</f>
        <v/>
      </c>
      <c r="J1698" s="5" t="str">
        <f aca="false">IF(C1698=0,"",IF($A1698="Bank",IF(INDEX(Bank!$G:$G,$C1698)="","",INDEX(Bank!$G:$G,$C1698)),IF(INDEX(GL!$G:$G,$C1698)="","",INDEX(GL!$G:$G,$C1698))))</f>
        <v/>
      </c>
      <c r="K1698" s="5" t="str">
        <f aca="false">IF(C1698=0,"",IF($A1698="Bank",IF(INDEX(Bank!$I:$I,$C1698)="","",INDEX(Bank!$I:$I,$C1698)),IF(INDEX(GL!$I:$I,$C1698)="","",INDEX(GL!$I:$I,$C1698))))</f>
        <v/>
      </c>
      <c r="L1698" s="5" t="str">
        <f aca="false">IF(B1698="","",IF(C1698=0,"NOT FOUND",IF(IF($A1698="Bank",INDEX(Bank!$F:$F,$C1698),INDEX(GL!$F:$F,$C1698))="Y","NOW RECONCILED: refresh","OK")))</f>
        <v/>
      </c>
    </row>
    <row r="1699" customFormat="false" ht="15" hidden="false" customHeight="false" outlineLevel="0" collapsed="false">
      <c r="A1699" s="41"/>
      <c r="B1699" s="41"/>
      <c r="C1699" s="5" t="n">
        <f aca="false">IF(B1699="",0,IF(A1699="Bank",IFERROR(MATCH(B1699,Bank!$A:$A,0),0),IFERROR(MATCH(B1699,GL!$A:$A,0),0)))</f>
        <v>0</v>
      </c>
      <c r="D1699" s="32" t="str">
        <f aca="false">IF(C1699=0,"",IF($A1699="Bank",INDEX(Bank!$B:$B,$C1699),INDEX(GL!$B:$B,$C1699)))</f>
        <v/>
      </c>
      <c r="E1699" s="5" t="str">
        <f aca="false">IF(C1699=0,"",IF($A1699="Bank",IF(INDEX(Bank!$C:$C,$C1699)="","",INDEX(Bank!$C:$C,$C1699)),IF(INDEX(GL!$C:$C,$C1699)="","",INDEX(GL!$C:$C,$C1699))))</f>
        <v/>
      </c>
      <c r="F1699" s="5" t="str">
        <f aca="false">IF(C1699=0,"",IF($A1699="Bank",IF(INDEX(Bank!$D:$D,$C1699)="","",INDEX(Bank!$D:$D,$C1699)),IF(INDEX(GL!$D:$D,$C1699)="","",INDEX(GL!$D:$D,$C1699))))</f>
        <v/>
      </c>
      <c r="G1699" s="19" t="str">
        <f aca="false">IF(C1699=0,"",IF($A1699="Bank",INDEX(Bank!$E:$E,$C1699),INDEX(GL!$E:$E,$C1699)))</f>
        <v/>
      </c>
      <c r="H1699" s="5" t="str">
        <f aca="false">IF(C1699=0,"",IF(A1699="GL",IF(G1699&gt;0,"Deposit in transit","Outstanding check / payment"),IF(G1699&gt;0,"Bank credit not in GL","Bank debit not in GL")))</f>
        <v/>
      </c>
      <c r="I1699" s="42" t="str">
        <f aca="false">IF(OR(C1699=0,CFG_PeriodEnd=""),"",CFG_PeriodEnd-D1699)</f>
        <v/>
      </c>
      <c r="J1699" s="5" t="str">
        <f aca="false">IF(C1699=0,"",IF($A1699="Bank",IF(INDEX(Bank!$G:$G,$C1699)="","",INDEX(Bank!$G:$G,$C1699)),IF(INDEX(GL!$G:$G,$C1699)="","",INDEX(GL!$G:$G,$C1699))))</f>
        <v/>
      </c>
      <c r="K1699" s="5" t="str">
        <f aca="false">IF(C1699=0,"",IF($A1699="Bank",IF(INDEX(Bank!$I:$I,$C1699)="","",INDEX(Bank!$I:$I,$C1699)),IF(INDEX(GL!$I:$I,$C1699)="","",INDEX(GL!$I:$I,$C1699))))</f>
        <v/>
      </c>
      <c r="L1699" s="5" t="str">
        <f aca="false">IF(B1699="","",IF(C1699=0,"NOT FOUND",IF(IF($A1699="Bank",INDEX(Bank!$F:$F,$C1699),INDEX(GL!$F:$F,$C1699))="Y","NOW RECONCILED: refresh","OK")))</f>
        <v/>
      </c>
    </row>
    <row r="1700" customFormat="false" ht="15" hidden="false" customHeight="false" outlineLevel="0" collapsed="false">
      <c r="A1700" s="41"/>
      <c r="B1700" s="41"/>
      <c r="C1700" s="5" t="n">
        <f aca="false">IF(B1700="",0,IF(A1700="Bank",IFERROR(MATCH(B1700,Bank!$A:$A,0),0),IFERROR(MATCH(B1700,GL!$A:$A,0),0)))</f>
        <v>0</v>
      </c>
      <c r="D1700" s="32" t="str">
        <f aca="false">IF(C1700=0,"",IF($A1700="Bank",INDEX(Bank!$B:$B,$C1700),INDEX(GL!$B:$B,$C1700)))</f>
        <v/>
      </c>
      <c r="E1700" s="5" t="str">
        <f aca="false">IF(C1700=0,"",IF($A1700="Bank",IF(INDEX(Bank!$C:$C,$C1700)="","",INDEX(Bank!$C:$C,$C1700)),IF(INDEX(GL!$C:$C,$C1700)="","",INDEX(GL!$C:$C,$C1700))))</f>
        <v/>
      </c>
      <c r="F1700" s="5" t="str">
        <f aca="false">IF(C1700=0,"",IF($A1700="Bank",IF(INDEX(Bank!$D:$D,$C1700)="","",INDEX(Bank!$D:$D,$C1700)),IF(INDEX(GL!$D:$D,$C1700)="","",INDEX(GL!$D:$D,$C1700))))</f>
        <v/>
      </c>
      <c r="G1700" s="19" t="str">
        <f aca="false">IF(C1700=0,"",IF($A1700="Bank",INDEX(Bank!$E:$E,$C1700),INDEX(GL!$E:$E,$C1700)))</f>
        <v/>
      </c>
      <c r="H1700" s="5" t="str">
        <f aca="false">IF(C1700=0,"",IF(A1700="GL",IF(G1700&gt;0,"Deposit in transit","Outstanding check / payment"),IF(G1700&gt;0,"Bank credit not in GL","Bank debit not in GL")))</f>
        <v/>
      </c>
      <c r="I1700" s="42" t="str">
        <f aca="false">IF(OR(C1700=0,CFG_PeriodEnd=""),"",CFG_PeriodEnd-D1700)</f>
        <v/>
      </c>
      <c r="J1700" s="5" t="str">
        <f aca="false">IF(C1700=0,"",IF($A1700="Bank",IF(INDEX(Bank!$G:$G,$C1700)="","",INDEX(Bank!$G:$G,$C1700)),IF(INDEX(GL!$G:$G,$C1700)="","",INDEX(GL!$G:$G,$C1700))))</f>
        <v/>
      </c>
      <c r="K1700" s="5" t="str">
        <f aca="false">IF(C1700=0,"",IF($A1700="Bank",IF(INDEX(Bank!$I:$I,$C1700)="","",INDEX(Bank!$I:$I,$C1700)),IF(INDEX(GL!$I:$I,$C1700)="","",INDEX(GL!$I:$I,$C1700))))</f>
        <v/>
      </c>
      <c r="L1700" s="5" t="str">
        <f aca="false">IF(B1700="","",IF(C1700=0,"NOT FOUND",IF(IF($A1700="Bank",INDEX(Bank!$F:$F,$C1700),INDEX(GL!$F:$F,$C1700))="Y","NOW RECONCILED: refresh","OK")))</f>
        <v/>
      </c>
    </row>
    <row r="1701" customFormat="false" ht="15" hidden="false" customHeight="false" outlineLevel="0" collapsed="false">
      <c r="A1701" s="41"/>
      <c r="B1701" s="41"/>
      <c r="C1701" s="5" t="n">
        <f aca="false">IF(B1701="",0,IF(A1701="Bank",IFERROR(MATCH(B1701,Bank!$A:$A,0),0),IFERROR(MATCH(B1701,GL!$A:$A,0),0)))</f>
        <v>0</v>
      </c>
      <c r="D1701" s="32" t="str">
        <f aca="false">IF(C1701=0,"",IF($A1701="Bank",INDEX(Bank!$B:$B,$C1701),INDEX(GL!$B:$B,$C1701)))</f>
        <v/>
      </c>
      <c r="E1701" s="5" t="str">
        <f aca="false">IF(C1701=0,"",IF($A1701="Bank",IF(INDEX(Bank!$C:$C,$C1701)="","",INDEX(Bank!$C:$C,$C1701)),IF(INDEX(GL!$C:$C,$C1701)="","",INDEX(GL!$C:$C,$C1701))))</f>
        <v/>
      </c>
      <c r="F1701" s="5" t="str">
        <f aca="false">IF(C1701=0,"",IF($A1701="Bank",IF(INDEX(Bank!$D:$D,$C1701)="","",INDEX(Bank!$D:$D,$C1701)),IF(INDEX(GL!$D:$D,$C1701)="","",INDEX(GL!$D:$D,$C1701))))</f>
        <v/>
      </c>
      <c r="G1701" s="19" t="str">
        <f aca="false">IF(C1701=0,"",IF($A1701="Bank",INDEX(Bank!$E:$E,$C1701),INDEX(GL!$E:$E,$C1701)))</f>
        <v/>
      </c>
      <c r="H1701" s="5" t="str">
        <f aca="false">IF(C1701=0,"",IF(A1701="GL",IF(G1701&gt;0,"Deposit in transit","Outstanding check / payment"),IF(G1701&gt;0,"Bank credit not in GL","Bank debit not in GL")))</f>
        <v/>
      </c>
      <c r="I1701" s="42" t="str">
        <f aca="false">IF(OR(C1701=0,CFG_PeriodEnd=""),"",CFG_PeriodEnd-D1701)</f>
        <v/>
      </c>
      <c r="J1701" s="5" t="str">
        <f aca="false">IF(C1701=0,"",IF($A1701="Bank",IF(INDEX(Bank!$G:$G,$C1701)="","",INDEX(Bank!$G:$G,$C1701)),IF(INDEX(GL!$G:$G,$C1701)="","",INDEX(GL!$G:$G,$C1701))))</f>
        <v/>
      </c>
      <c r="K1701" s="5" t="str">
        <f aca="false">IF(C1701=0,"",IF($A1701="Bank",IF(INDEX(Bank!$I:$I,$C1701)="","",INDEX(Bank!$I:$I,$C1701)),IF(INDEX(GL!$I:$I,$C1701)="","",INDEX(GL!$I:$I,$C1701))))</f>
        <v/>
      </c>
      <c r="L1701" s="5" t="str">
        <f aca="false">IF(B1701="","",IF(C1701=0,"NOT FOUND",IF(IF($A1701="Bank",INDEX(Bank!$F:$F,$C1701),INDEX(GL!$F:$F,$C1701))="Y","NOW RECONCILED: refresh","OK")))</f>
        <v/>
      </c>
    </row>
    <row r="1702" customFormat="false" ht="15" hidden="false" customHeight="false" outlineLevel="0" collapsed="false">
      <c r="A1702" s="41"/>
      <c r="B1702" s="41"/>
      <c r="C1702" s="5" t="n">
        <f aca="false">IF(B1702="",0,IF(A1702="Bank",IFERROR(MATCH(B1702,Bank!$A:$A,0),0),IFERROR(MATCH(B1702,GL!$A:$A,0),0)))</f>
        <v>0</v>
      </c>
      <c r="D1702" s="32" t="str">
        <f aca="false">IF(C1702=0,"",IF($A1702="Bank",INDEX(Bank!$B:$B,$C1702),INDEX(GL!$B:$B,$C1702)))</f>
        <v/>
      </c>
      <c r="E1702" s="5" t="str">
        <f aca="false">IF(C1702=0,"",IF($A1702="Bank",IF(INDEX(Bank!$C:$C,$C1702)="","",INDEX(Bank!$C:$C,$C1702)),IF(INDEX(GL!$C:$C,$C1702)="","",INDEX(GL!$C:$C,$C1702))))</f>
        <v/>
      </c>
      <c r="F1702" s="5" t="str">
        <f aca="false">IF(C1702=0,"",IF($A1702="Bank",IF(INDEX(Bank!$D:$D,$C1702)="","",INDEX(Bank!$D:$D,$C1702)),IF(INDEX(GL!$D:$D,$C1702)="","",INDEX(GL!$D:$D,$C1702))))</f>
        <v/>
      </c>
      <c r="G1702" s="19" t="str">
        <f aca="false">IF(C1702=0,"",IF($A1702="Bank",INDEX(Bank!$E:$E,$C1702),INDEX(GL!$E:$E,$C1702)))</f>
        <v/>
      </c>
      <c r="H1702" s="5" t="str">
        <f aca="false">IF(C1702=0,"",IF(A1702="GL",IF(G1702&gt;0,"Deposit in transit","Outstanding check / payment"),IF(G1702&gt;0,"Bank credit not in GL","Bank debit not in GL")))</f>
        <v/>
      </c>
      <c r="I1702" s="42" t="str">
        <f aca="false">IF(OR(C1702=0,CFG_PeriodEnd=""),"",CFG_PeriodEnd-D1702)</f>
        <v/>
      </c>
      <c r="J1702" s="5" t="str">
        <f aca="false">IF(C1702=0,"",IF($A1702="Bank",IF(INDEX(Bank!$G:$G,$C1702)="","",INDEX(Bank!$G:$G,$C1702)),IF(INDEX(GL!$G:$G,$C1702)="","",INDEX(GL!$G:$G,$C1702))))</f>
        <v/>
      </c>
      <c r="K1702" s="5" t="str">
        <f aca="false">IF(C1702=0,"",IF($A1702="Bank",IF(INDEX(Bank!$I:$I,$C1702)="","",INDEX(Bank!$I:$I,$C1702)),IF(INDEX(GL!$I:$I,$C1702)="","",INDEX(GL!$I:$I,$C1702))))</f>
        <v/>
      </c>
      <c r="L1702" s="5" t="str">
        <f aca="false">IF(B1702="","",IF(C1702=0,"NOT FOUND",IF(IF($A1702="Bank",INDEX(Bank!$F:$F,$C1702),INDEX(GL!$F:$F,$C1702))="Y","NOW RECONCILED: refresh","OK")))</f>
        <v/>
      </c>
    </row>
    <row r="1703" customFormat="false" ht="15" hidden="false" customHeight="false" outlineLevel="0" collapsed="false">
      <c r="A1703" s="41"/>
      <c r="B1703" s="41"/>
      <c r="C1703" s="5" t="n">
        <f aca="false">IF(B1703="",0,IF(A1703="Bank",IFERROR(MATCH(B1703,Bank!$A:$A,0),0),IFERROR(MATCH(B1703,GL!$A:$A,0),0)))</f>
        <v>0</v>
      </c>
      <c r="D1703" s="32" t="str">
        <f aca="false">IF(C1703=0,"",IF($A1703="Bank",INDEX(Bank!$B:$B,$C1703),INDEX(GL!$B:$B,$C1703)))</f>
        <v/>
      </c>
      <c r="E1703" s="5" t="str">
        <f aca="false">IF(C1703=0,"",IF($A1703="Bank",IF(INDEX(Bank!$C:$C,$C1703)="","",INDEX(Bank!$C:$C,$C1703)),IF(INDEX(GL!$C:$C,$C1703)="","",INDEX(GL!$C:$C,$C1703))))</f>
        <v/>
      </c>
      <c r="F1703" s="5" t="str">
        <f aca="false">IF(C1703=0,"",IF($A1703="Bank",IF(INDEX(Bank!$D:$D,$C1703)="","",INDEX(Bank!$D:$D,$C1703)),IF(INDEX(GL!$D:$D,$C1703)="","",INDEX(GL!$D:$D,$C1703))))</f>
        <v/>
      </c>
      <c r="G1703" s="19" t="str">
        <f aca="false">IF(C1703=0,"",IF($A1703="Bank",INDEX(Bank!$E:$E,$C1703),INDEX(GL!$E:$E,$C1703)))</f>
        <v/>
      </c>
      <c r="H1703" s="5" t="str">
        <f aca="false">IF(C1703=0,"",IF(A1703="GL",IF(G1703&gt;0,"Deposit in transit","Outstanding check / payment"),IF(G1703&gt;0,"Bank credit not in GL","Bank debit not in GL")))</f>
        <v/>
      </c>
      <c r="I1703" s="42" t="str">
        <f aca="false">IF(OR(C1703=0,CFG_PeriodEnd=""),"",CFG_PeriodEnd-D1703)</f>
        <v/>
      </c>
      <c r="J1703" s="5" t="str">
        <f aca="false">IF(C1703=0,"",IF($A1703="Bank",IF(INDEX(Bank!$G:$G,$C1703)="","",INDEX(Bank!$G:$G,$C1703)),IF(INDEX(GL!$G:$G,$C1703)="","",INDEX(GL!$G:$G,$C1703))))</f>
        <v/>
      </c>
      <c r="K1703" s="5" t="str">
        <f aca="false">IF(C1703=0,"",IF($A1703="Bank",IF(INDEX(Bank!$I:$I,$C1703)="","",INDEX(Bank!$I:$I,$C1703)),IF(INDEX(GL!$I:$I,$C1703)="","",INDEX(GL!$I:$I,$C1703))))</f>
        <v/>
      </c>
      <c r="L1703" s="5" t="str">
        <f aca="false">IF(B1703="","",IF(C1703=0,"NOT FOUND",IF(IF($A1703="Bank",INDEX(Bank!$F:$F,$C1703),INDEX(GL!$F:$F,$C1703))="Y","NOW RECONCILED: refresh","OK")))</f>
        <v/>
      </c>
    </row>
    <row r="1704" customFormat="false" ht="15" hidden="false" customHeight="false" outlineLevel="0" collapsed="false">
      <c r="A1704" s="41"/>
      <c r="B1704" s="41"/>
      <c r="C1704" s="5" t="n">
        <f aca="false">IF(B1704="",0,IF(A1704="Bank",IFERROR(MATCH(B1704,Bank!$A:$A,0),0),IFERROR(MATCH(B1704,GL!$A:$A,0),0)))</f>
        <v>0</v>
      </c>
      <c r="D1704" s="32" t="str">
        <f aca="false">IF(C1704=0,"",IF($A1704="Bank",INDEX(Bank!$B:$B,$C1704),INDEX(GL!$B:$B,$C1704)))</f>
        <v/>
      </c>
      <c r="E1704" s="5" t="str">
        <f aca="false">IF(C1704=0,"",IF($A1704="Bank",IF(INDEX(Bank!$C:$C,$C1704)="","",INDEX(Bank!$C:$C,$C1704)),IF(INDEX(GL!$C:$C,$C1704)="","",INDEX(GL!$C:$C,$C1704))))</f>
        <v/>
      </c>
      <c r="F1704" s="5" t="str">
        <f aca="false">IF(C1704=0,"",IF($A1704="Bank",IF(INDEX(Bank!$D:$D,$C1704)="","",INDEX(Bank!$D:$D,$C1704)),IF(INDEX(GL!$D:$D,$C1704)="","",INDEX(GL!$D:$D,$C1704))))</f>
        <v/>
      </c>
      <c r="G1704" s="19" t="str">
        <f aca="false">IF(C1704=0,"",IF($A1704="Bank",INDEX(Bank!$E:$E,$C1704),INDEX(GL!$E:$E,$C1704)))</f>
        <v/>
      </c>
      <c r="H1704" s="5" t="str">
        <f aca="false">IF(C1704=0,"",IF(A1704="GL",IF(G1704&gt;0,"Deposit in transit","Outstanding check / payment"),IF(G1704&gt;0,"Bank credit not in GL","Bank debit not in GL")))</f>
        <v/>
      </c>
      <c r="I1704" s="42" t="str">
        <f aca="false">IF(OR(C1704=0,CFG_PeriodEnd=""),"",CFG_PeriodEnd-D1704)</f>
        <v/>
      </c>
      <c r="J1704" s="5" t="str">
        <f aca="false">IF(C1704=0,"",IF($A1704="Bank",IF(INDEX(Bank!$G:$G,$C1704)="","",INDEX(Bank!$G:$G,$C1704)),IF(INDEX(GL!$G:$G,$C1704)="","",INDEX(GL!$G:$G,$C1704))))</f>
        <v/>
      </c>
      <c r="K1704" s="5" t="str">
        <f aca="false">IF(C1704=0,"",IF($A1704="Bank",IF(INDEX(Bank!$I:$I,$C1704)="","",INDEX(Bank!$I:$I,$C1704)),IF(INDEX(GL!$I:$I,$C1704)="","",INDEX(GL!$I:$I,$C1704))))</f>
        <v/>
      </c>
      <c r="L1704" s="5" t="str">
        <f aca="false">IF(B1704="","",IF(C1704=0,"NOT FOUND",IF(IF($A1704="Bank",INDEX(Bank!$F:$F,$C1704),INDEX(GL!$F:$F,$C1704))="Y","NOW RECONCILED: refresh","OK")))</f>
        <v/>
      </c>
    </row>
    <row r="1705" customFormat="false" ht="15" hidden="false" customHeight="false" outlineLevel="0" collapsed="false">
      <c r="A1705" s="41"/>
      <c r="B1705" s="41"/>
      <c r="C1705" s="5" t="n">
        <f aca="false">IF(B1705="",0,IF(A1705="Bank",IFERROR(MATCH(B1705,Bank!$A:$A,0),0),IFERROR(MATCH(B1705,GL!$A:$A,0),0)))</f>
        <v>0</v>
      </c>
      <c r="D1705" s="32" t="str">
        <f aca="false">IF(C1705=0,"",IF($A1705="Bank",INDEX(Bank!$B:$B,$C1705),INDEX(GL!$B:$B,$C1705)))</f>
        <v/>
      </c>
      <c r="E1705" s="5" t="str">
        <f aca="false">IF(C1705=0,"",IF($A1705="Bank",IF(INDEX(Bank!$C:$C,$C1705)="","",INDEX(Bank!$C:$C,$C1705)),IF(INDEX(GL!$C:$C,$C1705)="","",INDEX(GL!$C:$C,$C1705))))</f>
        <v/>
      </c>
      <c r="F1705" s="5" t="str">
        <f aca="false">IF(C1705=0,"",IF($A1705="Bank",IF(INDEX(Bank!$D:$D,$C1705)="","",INDEX(Bank!$D:$D,$C1705)),IF(INDEX(GL!$D:$D,$C1705)="","",INDEX(GL!$D:$D,$C1705))))</f>
        <v/>
      </c>
      <c r="G1705" s="19" t="str">
        <f aca="false">IF(C1705=0,"",IF($A1705="Bank",INDEX(Bank!$E:$E,$C1705),INDEX(GL!$E:$E,$C1705)))</f>
        <v/>
      </c>
      <c r="H1705" s="5" t="str">
        <f aca="false">IF(C1705=0,"",IF(A1705="GL",IF(G1705&gt;0,"Deposit in transit","Outstanding check / payment"),IF(G1705&gt;0,"Bank credit not in GL","Bank debit not in GL")))</f>
        <v/>
      </c>
      <c r="I1705" s="42" t="str">
        <f aca="false">IF(OR(C1705=0,CFG_PeriodEnd=""),"",CFG_PeriodEnd-D1705)</f>
        <v/>
      </c>
      <c r="J1705" s="5" t="str">
        <f aca="false">IF(C1705=0,"",IF($A1705="Bank",IF(INDEX(Bank!$G:$G,$C1705)="","",INDEX(Bank!$G:$G,$C1705)),IF(INDEX(GL!$G:$G,$C1705)="","",INDEX(GL!$G:$G,$C1705))))</f>
        <v/>
      </c>
      <c r="K1705" s="5" t="str">
        <f aca="false">IF(C1705=0,"",IF($A1705="Bank",IF(INDEX(Bank!$I:$I,$C1705)="","",INDEX(Bank!$I:$I,$C1705)),IF(INDEX(GL!$I:$I,$C1705)="","",INDEX(GL!$I:$I,$C1705))))</f>
        <v/>
      </c>
      <c r="L1705" s="5" t="str">
        <f aca="false">IF(B1705="","",IF(C1705=0,"NOT FOUND",IF(IF($A1705="Bank",INDEX(Bank!$F:$F,$C1705),INDEX(GL!$F:$F,$C1705))="Y","NOW RECONCILED: refresh","OK")))</f>
        <v/>
      </c>
    </row>
    <row r="1706" customFormat="false" ht="15" hidden="false" customHeight="false" outlineLevel="0" collapsed="false">
      <c r="A1706" s="41"/>
      <c r="B1706" s="41"/>
      <c r="C1706" s="5" t="n">
        <f aca="false">IF(B1706="",0,IF(A1706="Bank",IFERROR(MATCH(B1706,Bank!$A:$A,0),0),IFERROR(MATCH(B1706,GL!$A:$A,0),0)))</f>
        <v>0</v>
      </c>
      <c r="D1706" s="32" t="str">
        <f aca="false">IF(C1706=0,"",IF($A1706="Bank",INDEX(Bank!$B:$B,$C1706),INDEX(GL!$B:$B,$C1706)))</f>
        <v/>
      </c>
      <c r="E1706" s="5" t="str">
        <f aca="false">IF(C1706=0,"",IF($A1706="Bank",IF(INDEX(Bank!$C:$C,$C1706)="","",INDEX(Bank!$C:$C,$C1706)),IF(INDEX(GL!$C:$C,$C1706)="","",INDEX(GL!$C:$C,$C1706))))</f>
        <v/>
      </c>
      <c r="F1706" s="5" t="str">
        <f aca="false">IF(C1706=0,"",IF($A1706="Bank",IF(INDEX(Bank!$D:$D,$C1706)="","",INDEX(Bank!$D:$D,$C1706)),IF(INDEX(GL!$D:$D,$C1706)="","",INDEX(GL!$D:$D,$C1706))))</f>
        <v/>
      </c>
      <c r="G1706" s="19" t="str">
        <f aca="false">IF(C1706=0,"",IF($A1706="Bank",INDEX(Bank!$E:$E,$C1706),INDEX(GL!$E:$E,$C1706)))</f>
        <v/>
      </c>
      <c r="H1706" s="5" t="str">
        <f aca="false">IF(C1706=0,"",IF(A1706="GL",IF(G1706&gt;0,"Deposit in transit","Outstanding check / payment"),IF(G1706&gt;0,"Bank credit not in GL","Bank debit not in GL")))</f>
        <v/>
      </c>
      <c r="I1706" s="42" t="str">
        <f aca="false">IF(OR(C1706=0,CFG_PeriodEnd=""),"",CFG_PeriodEnd-D1706)</f>
        <v/>
      </c>
      <c r="J1706" s="5" t="str">
        <f aca="false">IF(C1706=0,"",IF($A1706="Bank",IF(INDEX(Bank!$G:$G,$C1706)="","",INDEX(Bank!$G:$G,$C1706)),IF(INDEX(GL!$G:$G,$C1706)="","",INDEX(GL!$G:$G,$C1706))))</f>
        <v/>
      </c>
      <c r="K1706" s="5" t="str">
        <f aca="false">IF(C1706=0,"",IF($A1706="Bank",IF(INDEX(Bank!$I:$I,$C1706)="","",INDEX(Bank!$I:$I,$C1706)),IF(INDEX(GL!$I:$I,$C1706)="","",INDEX(GL!$I:$I,$C1706))))</f>
        <v/>
      </c>
      <c r="L1706" s="5" t="str">
        <f aca="false">IF(B1706="","",IF(C1706=0,"NOT FOUND",IF(IF($A1706="Bank",INDEX(Bank!$F:$F,$C1706),INDEX(GL!$F:$F,$C1706))="Y","NOW RECONCILED: refresh","OK")))</f>
        <v/>
      </c>
    </row>
    <row r="1707" customFormat="false" ht="15" hidden="false" customHeight="false" outlineLevel="0" collapsed="false">
      <c r="A1707" s="41"/>
      <c r="B1707" s="41"/>
      <c r="C1707" s="5" t="n">
        <f aca="false">IF(B1707="",0,IF(A1707="Bank",IFERROR(MATCH(B1707,Bank!$A:$A,0),0),IFERROR(MATCH(B1707,GL!$A:$A,0),0)))</f>
        <v>0</v>
      </c>
      <c r="D1707" s="32" t="str">
        <f aca="false">IF(C1707=0,"",IF($A1707="Bank",INDEX(Bank!$B:$B,$C1707),INDEX(GL!$B:$B,$C1707)))</f>
        <v/>
      </c>
      <c r="E1707" s="5" t="str">
        <f aca="false">IF(C1707=0,"",IF($A1707="Bank",IF(INDEX(Bank!$C:$C,$C1707)="","",INDEX(Bank!$C:$C,$C1707)),IF(INDEX(GL!$C:$C,$C1707)="","",INDEX(GL!$C:$C,$C1707))))</f>
        <v/>
      </c>
      <c r="F1707" s="5" t="str">
        <f aca="false">IF(C1707=0,"",IF($A1707="Bank",IF(INDEX(Bank!$D:$D,$C1707)="","",INDEX(Bank!$D:$D,$C1707)),IF(INDEX(GL!$D:$D,$C1707)="","",INDEX(GL!$D:$D,$C1707))))</f>
        <v/>
      </c>
      <c r="G1707" s="19" t="str">
        <f aca="false">IF(C1707=0,"",IF($A1707="Bank",INDEX(Bank!$E:$E,$C1707),INDEX(GL!$E:$E,$C1707)))</f>
        <v/>
      </c>
      <c r="H1707" s="5" t="str">
        <f aca="false">IF(C1707=0,"",IF(A1707="GL",IF(G1707&gt;0,"Deposit in transit","Outstanding check / payment"),IF(G1707&gt;0,"Bank credit not in GL","Bank debit not in GL")))</f>
        <v/>
      </c>
      <c r="I1707" s="42" t="str">
        <f aca="false">IF(OR(C1707=0,CFG_PeriodEnd=""),"",CFG_PeriodEnd-D1707)</f>
        <v/>
      </c>
      <c r="J1707" s="5" t="str">
        <f aca="false">IF(C1707=0,"",IF($A1707="Bank",IF(INDEX(Bank!$G:$G,$C1707)="","",INDEX(Bank!$G:$G,$C1707)),IF(INDEX(GL!$G:$G,$C1707)="","",INDEX(GL!$G:$G,$C1707))))</f>
        <v/>
      </c>
      <c r="K1707" s="5" t="str">
        <f aca="false">IF(C1707=0,"",IF($A1707="Bank",IF(INDEX(Bank!$I:$I,$C1707)="","",INDEX(Bank!$I:$I,$C1707)),IF(INDEX(GL!$I:$I,$C1707)="","",INDEX(GL!$I:$I,$C1707))))</f>
        <v/>
      </c>
      <c r="L1707" s="5" t="str">
        <f aca="false">IF(B1707="","",IF(C1707=0,"NOT FOUND",IF(IF($A1707="Bank",INDEX(Bank!$F:$F,$C1707),INDEX(GL!$F:$F,$C1707))="Y","NOW RECONCILED: refresh","OK")))</f>
        <v/>
      </c>
    </row>
    <row r="1708" customFormat="false" ht="15" hidden="false" customHeight="false" outlineLevel="0" collapsed="false">
      <c r="A1708" s="41"/>
      <c r="B1708" s="41"/>
      <c r="C1708" s="5" t="n">
        <f aca="false">IF(B1708="",0,IF(A1708="Bank",IFERROR(MATCH(B1708,Bank!$A:$A,0),0),IFERROR(MATCH(B1708,GL!$A:$A,0),0)))</f>
        <v>0</v>
      </c>
      <c r="D1708" s="32" t="str">
        <f aca="false">IF(C1708=0,"",IF($A1708="Bank",INDEX(Bank!$B:$B,$C1708),INDEX(GL!$B:$B,$C1708)))</f>
        <v/>
      </c>
      <c r="E1708" s="5" t="str">
        <f aca="false">IF(C1708=0,"",IF($A1708="Bank",IF(INDEX(Bank!$C:$C,$C1708)="","",INDEX(Bank!$C:$C,$C1708)),IF(INDEX(GL!$C:$C,$C1708)="","",INDEX(GL!$C:$C,$C1708))))</f>
        <v/>
      </c>
      <c r="F1708" s="5" t="str">
        <f aca="false">IF(C1708=0,"",IF($A1708="Bank",IF(INDEX(Bank!$D:$D,$C1708)="","",INDEX(Bank!$D:$D,$C1708)),IF(INDEX(GL!$D:$D,$C1708)="","",INDEX(GL!$D:$D,$C1708))))</f>
        <v/>
      </c>
      <c r="G1708" s="19" t="str">
        <f aca="false">IF(C1708=0,"",IF($A1708="Bank",INDEX(Bank!$E:$E,$C1708),INDEX(GL!$E:$E,$C1708)))</f>
        <v/>
      </c>
      <c r="H1708" s="5" t="str">
        <f aca="false">IF(C1708=0,"",IF(A1708="GL",IF(G1708&gt;0,"Deposit in transit","Outstanding check / payment"),IF(G1708&gt;0,"Bank credit not in GL","Bank debit not in GL")))</f>
        <v/>
      </c>
      <c r="I1708" s="42" t="str">
        <f aca="false">IF(OR(C1708=0,CFG_PeriodEnd=""),"",CFG_PeriodEnd-D1708)</f>
        <v/>
      </c>
      <c r="J1708" s="5" t="str">
        <f aca="false">IF(C1708=0,"",IF($A1708="Bank",IF(INDEX(Bank!$G:$G,$C1708)="","",INDEX(Bank!$G:$G,$C1708)),IF(INDEX(GL!$G:$G,$C1708)="","",INDEX(GL!$G:$G,$C1708))))</f>
        <v/>
      </c>
      <c r="K1708" s="5" t="str">
        <f aca="false">IF(C1708=0,"",IF($A1708="Bank",IF(INDEX(Bank!$I:$I,$C1708)="","",INDEX(Bank!$I:$I,$C1708)),IF(INDEX(GL!$I:$I,$C1708)="","",INDEX(GL!$I:$I,$C1708))))</f>
        <v/>
      </c>
      <c r="L1708" s="5" t="str">
        <f aca="false">IF(B1708="","",IF(C1708=0,"NOT FOUND",IF(IF($A1708="Bank",INDEX(Bank!$F:$F,$C1708),INDEX(GL!$F:$F,$C1708))="Y","NOW RECONCILED: refresh","OK")))</f>
        <v/>
      </c>
    </row>
    <row r="1709" customFormat="false" ht="15" hidden="false" customHeight="false" outlineLevel="0" collapsed="false">
      <c r="A1709" s="41"/>
      <c r="B1709" s="41"/>
      <c r="C1709" s="5" t="n">
        <f aca="false">IF(B1709="",0,IF(A1709="Bank",IFERROR(MATCH(B1709,Bank!$A:$A,0),0),IFERROR(MATCH(B1709,GL!$A:$A,0),0)))</f>
        <v>0</v>
      </c>
      <c r="D1709" s="32" t="str">
        <f aca="false">IF(C1709=0,"",IF($A1709="Bank",INDEX(Bank!$B:$B,$C1709),INDEX(GL!$B:$B,$C1709)))</f>
        <v/>
      </c>
      <c r="E1709" s="5" t="str">
        <f aca="false">IF(C1709=0,"",IF($A1709="Bank",IF(INDEX(Bank!$C:$C,$C1709)="","",INDEX(Bank!$C:$C,$C1709)),IF(INDEX(GL!$C:$C,$C1709)="","",INDEX(GL!$C:$C,$C1709))))</f>
        <v/>
      </c>
      <c r="F1709" s="5" t="str">
        <f aca="false">IF(C1709=0,"",IF($A1709="Bank",IF(INDEX(Bank!$D:$D,$C1709)="","",INDEX(Bank!$D:$D,$C1709)),IF(INDEX(GL!$D:$D,$C1709)="","",INDEX(GL!$D:$D,$C1709))))</f>
        <v/>
      </c>
      <c r="G1709" s="19" t="str">
        <f aca="false">IF(C1709=0,"",IF($A1709="Bank",INDEX(Bank!$E:$E,$C1709),INDEX(GL!$E:$E,$C1709)))</f>
        <v/>
      </c>
      <c r="H1709" s="5" t="str">
        <f aca="false">IF(C1709=0,"",IF(A1709="GL",IF(G1709&gt;0,"Deposit in transit","Outstanding check / payment"),IF(G1709&gt;0,"Bank credit not in GL","Bank debit not in GL")))</f>
        <v/>
      </c>
      <c r="I1709" s="42" t="str">
        <f aca="false">IF(OR(C1709=0,CFG_PeriodEnd=""),"",CFG_PeriodEnd-D1709)</f>
        <v/>
      </c>
      <c r="J1709" s="5" t="str">
        <f aca="false">IF(C1709=0,"",IF($A1709="Bank",IF(INDEX(Bank!$G:$G,$C1709)="","",INDEX(Bank!$G:$G,$C1709)),IF(INDEX(GL!$G:$G,$C1709)="","",INDEX(GL!$G:$G,$C1709))))</f>
        <v/>
      </c>
      <c r="K1709" s="5" t="str">
        <f aca="false">IF(C1709=0,"",IF($A1709="Bank",IF(INDEX(Bank!$I:$I,$C1709)="","",INDEX(Bank!$I:$I,$C1709)),IF(INDEX(GL!$I:$I,$C1709)="","",INDEX(GL!$I:$I,$C1709))))</f>
        <v/>
      </c>
      <c r="L1709" s="5" t="str">
        <f aca="false">IF(B1709="","",IF(C1709=0,"NOT FOUND",IF(IF($A1709="Bank",INDEX(Bank!$F:$F,$C1709),INDEX(GL!$F:$F,$C1709))="Y","NOW RECONCILED: refresh","OK")))</f>
        <v/>
      </c>
    </row>
    <row r="1710" customFormat="false" ht="15" hidden="false" customHeight="false" outlineLevel="0" collapsed="false">
      <c r="A1710" s="41"/>
      <c r="B1710" s="41"/>
      <c r="C1710" s="5" t="n">
        <f aca="false">IF(B1710="",0,IF(A1710="Bank",IFERROR(MATCH(B1710,Bank!$A:$A,0),0),IFERROR(MATCH(B1710,GL!$A:$A,0),0)))</f>
        <v>0</v>
      </c>
      <c r="D1710" s="32" t="str">
        <f aca="false">IF(C1710=0,"",IF($A1710="Bank",INDEX(Bank!$B:$B,$C1710),INDEX(GL!$B:$B,$C1710)))</f>
        <v/>
      </c>
      <c r="E1710" s="5" t="str">
        <f aca="false">IF(C1710=0,"",IF($A1710="Bank",IF(INDEX(Bank!$C:$C,$C1710)="","",INDEX(Bank!$C:$C,$C1710)),IF(INDEX(GL!$C:$C,$C1710)="","",INDEX(GL!$C:$C,$C1710))))</f>
        <v/>
      </c>
      <c r="F1710" s="5" t="str">
        <f aca="false">IF(C1710=0,"",IF($A1710="Bank",IF(INDEX(Bank!$D:$D,$C1710)="","",INDEX(Bank!$D:$D,$C1710)),IF(INDEX(GL!$D:$D,$C1710)="","",INDEX(GL!$D:$D,$C1710))))</f>
        <v/>
      </c>
      <c r="G1710" s="19" t="str">
        <f aca="false">IF(C1710=0,"",IF($A1710="Bank",INDEX(Bank!$E:$E,$C1710),INDEX(GL!$E:$E,$C1710)))</f>
        <v/>
      </c>
      <c r="H1710" s="5" t="str">
        <f aca="false">IF(C1710=0,"",IF(A1710="GL",IF(G1710&gt;0,"Deposit in transit","Outstanding check / payment"),IF(G1710&gt;0,"Bank credit not in GL","Bank debit not in GL")))</f>
        <v/>
      </c>
      <c r="I1710" s="42" t="str">
        <f aca="false">IF(OR(C1710=0,CFG_PeriodEnd=""),"",CFG_PeriodEnd-D1710)</f>
        <v/>
      </c>
      <c r="J1710" s="5" t="str">
        <f aca="false">IF(C1710=0,"",IF($A1710="Bank",IF(INDEX(Bank!$G:$G,$C1710)="","",INDEX(Bank!$G:$G,$C1710)),IF(INDEX(GL!$G:$G,$C1710)="","",INDEX(GL!$G:$G,$C1710))))</f>
        <v/>
      </c>
      <c r="K1710" s="5" t="str">
        <f aca="false">IF(C1710=0,"",IF($A1710="Bank",IF(INDEX(Bank!$I:$I,$C1710)="","",INDEX(Bank!$I:$I,$C1710)),IF(INDEX(GL!$I:$I,$C1710)="","",INDEX(GL!$I:$I,$C1710))))</f>
        <v/>
      </c>
      <c r="L1710" s="5" t="str">
        <f aca="false">IF(B1710="","",IF(C1710=0,"NOT FOUND",IF(IF($A1710="Bank",INDEX(Bank!$F:$F,$C1710),INDEX(GL!$F:$F,$C1710))="Y","NOW RECONCILED: refresh","OK")))</f>
        <v/>
      </c>
    </row>
    <row r="1711" customFormat="false" ht="15" hidden="false" customHeight="false" outlineLevel="0" collapsed="false">
      <c r="A1711" s="41"/>
      <c r="B1711" s="41"/>
      <c r="C1711" s="5" t="n">
        <f aca="false">IF(B1711="",0,IF(A1711="Bank",IFERROR(MATCH(B1711,Bank!$A:$A,0),0),IFERROR(MATCH(B1711,GL!$A:$A,0),0)))</f>
        <v>0</v>
      </c>
      <c r="D1711" s="32" t="str">
        <f aca="false">IF(C1711=0,"",IF($A1711="Bank",INDEX(Bank!$B:$B,$C1711),INDEX(GL!$B:$B,$C1711)))</f>
        <v/>
      </c>
      <c r="E1711" s="5" t="str">
        <f aca="false">IF(C1711=0,"",IF($A1711="Bank",IF(INDEX(Bank!$C:$C,$C1711)="","",INDEX(Bank!$C:$C,$C1711)),IF(INDEX(GL!$C:$C,$C1711)="","",INDEX(GL!$C:$C,$C1711))))</f>
        <v/>
      </c>
      <c r="F1711" s="5" t="str">
        <f aca="false">IF(C1711=0,"",IF($A1711="Bank",IF(INDEX(Bank!$D:$D,$C1711)="","",INDEX(Bank!$D:$D,$C1711)),IF(INDEX(GL!$D:$D,$C1711)="","",INDEX(GL!$D:$D,$C1711))))</f>
        <v/>
      </c>
      <c r="G1711" s="19" t="str">
        <f aca="false">IF(C1711=0,"",IF($A1711="Bank",INDEX(Bank!$E:$E,$C1711),INDEX(GL!$E:$E,$C1711)))</f>
        <v/>
      </c>
      <c r="H1711" s="5" t="str">
        <f aca="false">IF(C1711=0,"",IF(A1711="GL",IF(G1711&gt;0,"Deposit in transit","Outstanding check / payment"),IF(G1711&gt;0,"Bank credit not in GL","Bank debit not in GL")))</f>
        <v/>
      </c>
      <c r="I1711" s="42" t="str">
        <f aca="false">IF(OR(C1711=0,CFG_PeriodEnd=""),"",CFG_PeriodEnd-D1711)</f>
        <v/>
      </c>
      <c r="J1711" s="5" t="str">
        <f aca="false">IF(C1711=0,"",IF($A1711="Bank",IF(INDEX(Bank!$G:$G,$C1711)="","",INDEX(Bank!$G:$G,$C1711)),IF(INDEX(GL!$G:$G,$C1711)="","",INDEX(GL!$G:$G,$C1711))))</f>
        <v/>
      </c>
      <c r="K1711" s="5" t="str">
        <f aca="false">IF(C1711=0,"",IF($A1711="Bank",IF(INDEX(Bank!$I:$I,$C1711)="","",INDEX(Bank!$I:$I,$C1711)),IF(INDEX(GL!$I:$I,$C1711)="","",INDEX(GL!$I:$I,$C1711))))</f>
        <v/>
      </c>
      <c r="L1711" s="5" t="str">
        <f aca="false">IF(B1711="","",IF(C1711=0,"NOT FOUND",IF(IF($A1711="Bank",INDEX(Bank!$F:$F,$C1711),INDEX(GL!$F:$F,$C1711))="Y","NOW RECONCILED: refresh","OK")))</f>
        <v/>
      </c>
    </row>
    <row r="1712" customFormat="false" ht="15" hidden="false" customHeight="false" outlineLevel="0" collapsed="false">
      <c r="A1712" s="41"/>
      <c r="B1712" s="41"/>
      <c r="C1712" s="5" t="n">
        <f aca="false">IF(B1712="",0,IF(A1712="Bank",IFERROR(MATCH(B1712,Bank!$A:$A,0),0),IFERROR(MATCH(B1712,GL!$A:$A,0),0)))</f>
        <v>0</v>
      </c>
      <c r="D1712" s="32" t="str">
        <f aca="false">IF(C1712=0,"",IF($A1712="Bank",INDEX(Bank!$B:$B,$C1712),INDEX(GL!$B:$B,$C1712)))</f>
        <v/>
      </c>
      <c r="E1712" s="5" t="str">
        <f aca="false">IF(C1712=0,"",IF($A1712="Bank",IF(INDEX(Bank!$C:$C,$C1712)="","",INDEX(Bank!$C:$C,$C1712)),IF(INDEX(GL!$C:$C,$C1712)="","",INDEX(GL!$C:$C,$C1712))))</f>
        <v/>
      </c>
      <c r="F1712" s="5" t="str">
        <f aca="false">IF(C1712=0,"",IF($A1712="Bank",IF(INDEX(Bank!$D:$D,$C1712)="","",INDEX(Bank!$D:$D,$C1712)),IF(INDEX(GL!$D:$D,$C1712)="","",INDEX(GL!$D:$D,$C1712))))</f>
        <v/>
      </c>
      <c r="G1712" s="19" t="str">
        <f aca="false">IF(C1712=0,"",IF($A1712="Bank",INDEX(Bank!$E:$E,$C1712),INDEX(GL!$E:$E,$C1712)))</f>
        <v/>
      </c>
      <c r="H1712" s="5" t="str">
        <f aca="false">IF(C1712=0,"",IF(A1712="GL",IF(G1712&gt;0,"Deposit in transit","Outstanding check / payment"),IF(G1712&gt;0,"Bank credit not in GL","Bank debit not in GL")))</f>
        <v/>
      </c>
      <c r="I1712" s="42" t="str">
        <f aca="false">IF(OR(C1712=0,CFG_PeriodEnd=""),"",CFG_PeriodEnd-D1712)</f>
        <v/>
      </c>
      <c r="J1712" s="5" t="str">
        <f aca="false">IF(C1712=0,"",IF($A1712="Bank",IF(INDEX(Bank!$G:$G,$C1712)="","",INDEX(Bank!$G:$G,$C1712)),IF(INDEX(GL!$G:$G,$C1712)="","",INDEX(GL!$G:$G,$C1712))))</f>
        <v/>
      </c>
      <c r="K1712" s="5" t="str">
        <f aca="false">IF(C1712=0,"",IF($A1712="Bank",IF(INDEX(Bank!$I:$I,$C1712)="","",INDEX(Bank!$I:$I,$C1712)),IF(INDEX(GL!$I:$I,$C1712)="","",INDEX(GL!$I:$I,$C1712))))</f>
        <v/>
      </c>
      <c r="L1712" s="5" t="str">
        <f aca="false">IF(B1712="","",IF(C1712=0,"NOT FOUND",IF(IF($A1712="Bank",INDEX(Bank!$F:$F,$C1712),INDEX(GL!$F:$F,$C1712))="Y","NOW RECONCILED: refresh","OK")))</f>
        <v/>
      </c>
    </row>
    <row r="1713" customFormat="false" ht="15" hidden="false" customHeight="false" outlineLevel="0" collapsed="false">
      <c r="A1713" s="41"/>
      <c r="B1713" s="41"/>
      <c r="C1713" s="5" t="n">
        <f aca="false">IF(B1713="",0,IF(A1713="Bank",IFERROR(MATCH(B1713,Bank!$A:$A,0),0),IFERROR(MATCH(B1713,GL!$A:$A,0),0)))</f>
        <v>0</v>
      </c>
      <c r="D1713" s="32" t="str">
        <f aca="false">IF(C1713=0,"",IF($A1713="Bank",INDEX(Bank!$B:$B,$C1713),INDEX(GL!$B:$B,$C1713)))</f>
        <v/>
      </c>
      <c r="E1713" s="5" t="str">
        <f aca="false">IF(C1713=0,"",IF($A1713="Bank",IF(INDEX(Bank!$C:$C,$C1713)="","",INDEX(Bank!$C:$C,$C1713)),IF(INDEX(GL!$C:$C,$C1713)="","",INDEX(GL!$C:$C,$C1713))))</f>
        <v/>
      </c>
      <c r="F1713" s="5" t="str">
        <f aca="false">IF(C1713=0,"",IF($A1713="Bank",IF(INDEX(Bank!$D:$D,$C1713)="","",INDEX(Bank!$D:$D,$C1713)),IF(INDEX(GL!$D:$D,$C1713)="","",INDEX(GL!$D:$D,$C1713))))</f>
        <v/>
      </c>
      <c r="G1713" s="19" t="str">
        <f aca="false">IF(C1713=0,"",IF($A1713="Bank",INDEX(Bank!$E:$E,$C1713),INDEX(GL!$E:$E,$C1713)))</f>
        <v/>
      </c>
      <c r="H1713" s="5" t="str">
        <f aca="false">IF(C1713=0,"",IF(A1713="GL",IF(G1713&gt;0,"Deposit in transit","Outstanding check / payment"),IF(G1713&gt;0,"Bank credit not in GL","Bank debit not in GL")))</f>
        <v/>
      </c>
      <c r="I1713" s="42" t="str">
        <f aca="false">IF(OR(C1713=0,CFG_PeriodEnd=""),"",CFG_PeriodEnd-D1713)</f>
        <v/>
      </c>
      <c r="J1713" s="5" t="str">
        <f aca="false">IF(C1713=0,"",IF($A1713="Bank",IF(INDEX(Bank!$G:$G,$C1713)="","",INDEX(Bank!$G:$G,$C1713)),IF(INDEX(GL!$G:$G,$C1713)="","",INDEX(GL!$G:$G,$C1713))))</f>
        <v/>
      </c>
      <c r="K1713" s="5" t="str">
        <f aca="false">IF(C1713=0,"",IF($A1713="Bank",IF(INDEX(Bank!$I:$I,$C1713)="","",INDEX(Bank!$I:$I,$C1713)),IF(INDEX(GL!$I:$I,$C1713)="","",INDEX(GL!$I:$I,$C1713))))</f>
        <v/>
      </c>
      <c r="L1713" s="5" t="str">
        <f aca="false">IF(B1713="","",IF(C1713=0,"NOT FOUND",IF(IF($A1713="Bank",INDEX(Bank!$F:$F,$C1713),INDEX(GL!$F:$F,$C1713))="Y","NOW RECONCILED: refresh","OK")))</f>
        <v/>
      </c>
    </row>
    <row r="1714" customFormat="false" ht="15" hidden="false" customHeight="false" outlineLevel="0" collapsed="false">
      <c r="A1714" s="41"/>
      <c r="B1714" s="41"/>
      <c r="C1714" s="5" t="n">
        <f aca="false">IF(B1714="",0,IF(A1714="Bank",IFERROR(MATCH(B1714,Bank!$A:$A,0),0),IFERROR(MATCH(B1714,GL!$A:$A,0),0)))</f>
        <v>0</v>
      </c>
      <c r="D1714" s="32" t="str">
        <f aca="false">IF(C1714=0,"",IF($A1714="Bank",INDEX(Bank!$B:$B,$C1714),INDEX(GL!$B:$B,$C1714)))</f>
        <v/>
      </c>
      <c r="E1714" s="5" t="str">
        <f aca="false">IF(C1714=0,"",IF($A1714="Bank",IF(INDEX(Bank!$C:$C,$C1714)="","",INDEX(Bank!$C:$C,$C1714)),IF(INDEX(GL!$C:$C,$C1714)="","",INDEX(GL!$C:$C,$C1714))))</f>
        <v/>
      </c>
      <c r="F1714" s="5" t="str">
        <f aca="false">IF(C1714=0,"",IF($A1714="Bank",IF(INDEX(Bank!$D:$D,$C1714)="","",INDEX(Bank!$D:$D,$C1714)),IF(INDEX(GL!$D:$D,$C1714)="","",INDEX(GL!$D:$D,$C1714))))</f>
        <v/>
      </c>
      <c r="G1714" s="19" t="str">
        <f aca="false">IF(C1714=0,"",IF($A1714="Bank",INDEX(Bank!$E:$E,$C1714),INDEX(GL!$E:$E,$C1714)))</f>
        <v/>
      </c>
      <c r="H1714" s="5" t="str">
        <f aca="false">IF(C1714=0,"",IF(A1714="GL",IF(G1714&gt;0,"Deposit in transit","Outstanding check / payment"),IF(G1714&gt;0,"Bank credit not in GL","Bank debit not in GL")))</f>
        <v/>
      </c>
      <c r="I1714" s="42" t="str">
        <f aca="false">IF(OR(C1714=0,CFG_PeriodEnd=""),"",CFG_PeriodEnd-D1714)</f>
        <v/>
      </c>
      <c r="J1714" s="5" t="str">
        <f aca="false">IF(C1714=0,"",IF($A1714="Bank",IF(INDEX(Bank!$G:$G,$C1714)="","",INDEX(Bank!$G:$G,$C1714)),IF(INDEX(GL!$G:$G,$C1714)="","",INDEX(GL!$G:$G,$C1714))))</f>
        <v/>
      </c>
      <c r="K1714" s="5" t="str">
        <f aca="false">IF(C1714=0,"",IF($A1714="Bank",IF(INDEX(Bank!$I:$I,$C1714)="","",INDEX(Bank!$I:$I,$C1714)),IF(INDEX(GL!$I:$I,$C1714)="","",INDEX(GL!$I:$I,$C1714))))</f>
        <v/>
      </c>
      <c r="L1714" s="5" t="str">
        <f aca="false">IF(B1714="","",IF(C1714=0,"NOT FOUND",IF(IF($A1714="Bank",INDEX(Bank!$F:$F,$C1714),INDEX(GL!$F:$F,$C1714))="Y","NOW RECONCILED: refresh","OK")))</f>
        <v/>
      </c>
    </row>
    <row r="1715" customFormat="false" ht="15" hidden="false" customHeight="false" outlineLevel="0" collapsed="false">
      <c r="A1715" s="41"/>
      <c r="B1715" s="41"/>
      <c r="C1715" s="5" t="n">
        <f aca="false">IF(B1715="",0,IF(A1715="Bank",IFERROR(MATCH(B1715,Bank!$A:$A,0),0),IFERROR(MATCH(B1715,GL!$A:$A,0),0)))</f>
        <v>0</v>
      </c>
      <c r="D1715" s="32" t="str">
        <f aca="false">IF(C1715=0,"",IF($A1715="Bank",INDEX(Bank!$B:$B,$C1715),INDEX(GL!$B:$B,$C1715)))</f>
        <v/>
      </c>
      <c r="E1715" s="5" t="str">
        <f aca="false">IF(C1715=0,"",IF($A1715="Bank",IF(INDEX(Bank!$C:$C,$C1715)="","",INDEX(Bank!$C:$C,$C1715)),IF(INDEX(GL!$C:$C,$C1715)="","",INDEX(GL!$C:$C,$C1715))))</f>
        <v/>
      </c>
      <c r="F1715" s="5" t="str">
        <f aca="false">IF(C1715=0,"",IF($A1715="Bank",IF(INDEX(Bank!$D:$D,$C1715)="","",INDEX(Bank!$D:$D,$C1715)),IF(INDEX(GL!$D:$D,$C1715)="","",INDEX(GL!$D:$D,$C1715))))</f>
        <v/>
      </c>
      <c r="G1715" s="19" t="str">
        <f aca="false">IF(C1715=0,"",IF($A1715="Bank",INDEX(Bank!$E:$E,$C1715),INDEX(GL!$E:$E,$C1715)))</f>
        <v/>
      </c>
      <c r="H1715" s="5" t="str">
        <f aca="false">IF(C1715=0,"",IF(A1715="GL",IF(G1715&gt;0,"Deposit in transit","Outstanding check / payment"),IF(G1715&gt;0,"Bank credit not in GL","Bank debit not in GL")))</f>
        <v/>
      </c>
      <c r="I1715" s="42" t="str">
        <f aca="false">IF(OR(C1715=0,CFG_PeriodEnd=""),"",CFG_PeriodEnd-D1715)</f>
        <v/>
      </c>
      <c r="J1715" s="5" t="str">
        <f aca="false">IF(C1715=0,"",IF($A1715="Bank",IF(INDEX(Bank!$G:$G,$C1715)="","",INDEX(Bank!$G:$G,$C1715)),IF(INDEX(GL!$G:$G,$C1715)="","",INDEX(GL!$G:$G,$C1715))))</f>
        <v/>
      </c>
      <c r="K1715" s="5" t="str">
        <f aca="false">IF(C1715=0,"",IF($A1715="Bank",IF(INDEX(Bank!$I:$I,$C1715)="","",INDEX(Bank!$I:$I,$C1715)),IF(INDEX(GL!$I:$I,$C1715)="","",INDEX(GL!$I:$I,$C1715))))</f>
        <v/>
      </c>
      <c r="L1715" s="5" t="str">
        <f aca="false">IF(B1715="","",IF(C1715=0,"NOT FOUND",IF(IF($A1715="Bank",INDEX(Bank!$F:$F,$C1715),INDEX(GL!$F:$F,$C1715))="Y","NOW RECONCILED: refresh","OK")))</f>
        <v/>
      </c>
    </row>
    <row r="1716" customFormat="false" ht="15" hidden="false" customHeight="false" outlineLevel="0" collapsed="false">
      <c r="A1716" s="41"/>
      <c r="B1716" s="41"/>
      <c r="C1716" s="5" t="n">
        <f aca="false">IF(B1716="",0,IF(A1716="Bank",IFERROR(MATCH(B1716,Bank!$A:$A,0),0),IFERROR(MATCH(B1716,GL!$A:$A,0),0)))</f>
        <v>0</v>
      </c>
      <c r="D1716" s="32" t="str">
        <f aca="false">IF(C1716=0,"",IF($A1716="Bank",INDEX(Bank!$B:$B,$C1716),INDEX(GL!$B:$B,$C1716)))</f>
        <v/>
      </c>
      <c r="E1716" s="5" t="str">
        <f aca="false">IF(C1716=0,"",IF($A1716="Bank",IF(INDEX(Bank!$C:$C,$C1716)="","",INDEX(Bank!$C:$C,$C1716)),IF(INDEX(GL!$C:$C,$C1716)="","",INDEX(GL!$C:$C,$C1716))))</f>
        <v/>
      </c>
      <c r="F1716" s="5" t="str">
        <f aca="false">IF(C1716=0,"",IF($A1716="Bank",IF(INDEX(Bank!$D:$D,$C1716)="","",INDEX(Bank!$D:$D,$C1716)),IF(INDEX(GL!$D:$D,$C1716)="","",INDEX(GL!$D:$D,$C1716))))</f>
        <v/>
      </c>
      <c r="G1716" s="19" t="str">
        <f aca="false">IF(C1716=0,"",IF($A1716="Bank",INDEX(Bank!$E:$E,$C1716),INDEX(GL!$E:$E,$C1716)))</f>
        <v/>
      </c>
      <c r="H1716" s="5" t="str">
        <f aca="false">IF(C1716=0,"",IF(A1716="GL",IF(G1716&gt;0,"Deposit in transit","Outstanding check / payment"),IF(G1716&gt;0,"Bank credit not in GL","Bank debit not in GL")))</f>
        <v/>
      </c>
      <c r="I1716" s="42" t="str">
        <f aca="false">IF(OR(C1716=0,CFG_PeriodEnd=""),"",CFG_PeriodEnd-D1716)</f>
        <v/>
      </c>
      <c r="J1716" s="5" t="str">
        <f aca="false">IF(C1716=0,"",IF($A1716="Bank",IF(INDEX(Bank!$G:$G,$C1716)="","",INDEX(Bank!$G:$G,$C1716)),IF(INDEX(GL!$G:$G,$C1716)="","",INDEX(GL!$G:$G,$C1716))))</f>
        <v/>
      </c>
      <c r="K1716" s="5" t="str">
        <f aca="false">IF(C1716=0,"",IF($A1716="Bank",IF(INDEX(Bank!$I:$I,$C1716)="","",INDEX(Bank!$I:$I,$C1716)),IF(INDEX(GL!$I:$I,$C1716)="","",INDEX(GL!$I:$I,$C1716))))</f>
        <v/>
      </c>
      <c r="L1716" s="5" t="str">
        <f aca="false">IF(B1716="","",IF(C1716=0,"NOT FOUND",IF(IF($A1716="Bank",INDEX(Bank!$F:$F,$C1716),INDEX(GL!$F:$F,$C1716))="Y","NOW RECONCILED: refresh","OK")))</f>
        <v/>
      </c>
    </row>
    <row r="1717" customFormat="false" ht="15" hidden="false" customHeight="false" outlineLevel="0" collapsed="false">
      <c r="A1717" s="41"/>
      <c r="B1717" s="41"/>
      <c r="C1717" s="5" t="n">
        <f aca="false">IF(B1717="",0,IF(A1717="Bank",IFERROR(MATCH(B1717,Bank!$A:$A,0),0),IFERROR(MATCH(B1717,GL!$A:$A,0),0)))</f>
        <v>0</v>
      </c>
      <c r="D1717" s="32" t="str">
        <f aca="false">IF(C1717=0,"",IF($A1717="Bank",INDEX(Bank!$B:$B,$C1717),INDEX(GL!$B:$B,$C1717)))</f>
        <v/>
      </c>
      <c r="E1717" s="5" t="str">
        <f aca="false">IF(C1717=0,"",IF($A1717="Bank",IF(INDEX(Bank!$C:$C,$C1717)="","",INDEX(Bank!$C:$C,$C1717)),IF(INDEX(GL!$C:$C,$C1717)="","",INDEX(GL!$C:$C,$C1717))))</f>
        <v/>
      </c>
      <c r="F1717" s="5" t="str">
        <f aca="false">IF(C1717=0,"",IF($A1717="Bank",IF(INDEX(Bank!$D:$D,$C1717)="","",INDEX(Bank!$D:$D,$C1717)),IF(INDEX(GL!$D:$D,$C1717)="","",INDEX(GL!$D:$D,$C1717))))</f>
        <v/>
      </c>
      <c r="G1717" s="19" t="str">
        <f aca="false">IF(C1717=0,"",IF($A1717="Bank",INDEX(Bank!$E:$E,$C1717),INDEX(GL!$E:$E,$C1717)))</f>
        <v/>
      </c>
      <c r="H1717" s="5" t="str">
        <f aca="false">IF(C1717=0,"",IF(A1717="GL",IF(G1717&gt;0,"Deposit in transit","Outstanding check / payment"),IF(G1717&gt;0,"Bank credit not in GL","Bank debit not in GL")))</f>
        <v/>
      </c>
      <c r="I1717" s="42" t="str">
        <f aca="false">IF(OR(C1717=0,CFG_PeriodEnd=""),"",CFG_PeriodEnd-D1717)</f>
        <v/>
      </c>
      <c r="J1717" s="5" t="str">
        <f aca="false">IF(C1717=0,"",IF($A1717="Bank",IF(INDEX(Bank!$G:$G,$C1717)="","",INDEX(Bank!$G:$G,$C1717)),IF(INDEX(GL!$G:$G,$C1717)="","",INDEX(GL!$G:$G,$C1717))))</f>
        <v/>
      </c>
      <c r="K1717" s="5" t="str">
        <f aca="false">IF(C1717=0,"",IF($A1717="Bank",IF(INDEX(Bank!$I:$I,$C1717)="","",INDEX(Bank!$I:$I,$C1717)),IF(INDEX(GL!$I:$I,$C1717)="","",INDEX(GL!$I:$I,$C1717))))</f>
        <v/>
      </c>
      <c r="L1717" s="5" t="str">
        <f aca="false">IF(B1717="","",IF(C1717=0,"NOT FOUND",IF(IF($A1717="Bank",INDEX(Bank!$F:$F,$C1717),INDEX(GL!$F:$F,$C1717))="Y","NOW RECONCILED: refresh","OK")))</f>
        <v/>
      </c>
    </row>
    <row r="1718" customFormat="false" ht="15" hidden="false" customHeight="false" outlineLevel="0" collapsed="false">
      <c r="A1718" s="41"/>
      <c r="B1718" s="41"/>
      <c r="C1718" s="5" t="n">
        <f aca="false">IF(B1718="",0,IF(A1718="Bank",IFERROR(MATCH(B1718,Bank!$A:$A,0),0),IFERROR(MATCH(B1718,GL!$A:$A,0),0)))</f>
        <v>0</v>
      </c>
      <c r="D1718" s="32" t="str">
        <f aca="false">IF(C1718=0,"",IF($A1718="Bank",INDEX(Bank!$B:$B,$C1718),INDEX(GL!$B:$B,$C1718)))</f>
        <v/>
      </c>
      <c r="E1718" s="5" t="str">
        <f aca="false">IF(C1718=0,"",IF($A1718="Bank",IF(INDEX(Bank!$C:$C,$C1718)="","",INDEX(Bank!$C:$C,$C1718)),IF(INDEX(GL!$C:$C,$C1718)="","",INDEX(GL!$C:$C,$C1718))))</f>
        <v/>
      </c>
      <c r="F1718" s="5" t="str">
        <f aca="false">IF(C1718=0,"",IF($A1718="Bank",IF(INDEX(Bank!$D:$D,$C1718)="","",INDEX(Bank!$D:$D,$C1718)),IF(INDEX(GL!$D:$D,$C1718)="","",INDEX(GL!$D:$D,$C1718))))</f>
        <v/>
      </c>
      <c r="G1718" s="19" t="str">
        <f aca="false">IF(C1718=0,"",IF($A1718="Bank",INDEX(Bank!$E:$E,$C1718),INDEX(GL!$E:$E,$C1718)))</f>
        <v/>
      </c>
      <c r="H1718" s="5" t="str">
        <f aca="false">IF(C1718=0,"",IF(A1718="GL",IF(G1718&gt;0,"Deposit in transit","Outstanding check / payment"),IF(G1718&gt;0,"Bank credit not in GL","Bank debit not in GL")))</f>
        <v/>
      </c>
      <c r="I1718" s="42" t="str">
        <f aca="false">IF(OR(C1718=0,CFG_PeriodEnd=""),"",CFG_PeriodEnd-D1718)</f>
        <v/>
      </c>
      <c r="J1718" s="5" t="str">
        <f aca="false">IF(C1718=0,"",IF($A1718="Bank",IF(INDEX(Bank!$G:$G,$C1718)="","",INDEX(Bank!$G:$G,$C1718)),IF(INDEX(GL!$G:$G,$C1718)="","",INDEX(GL!$G:$G,$C1718))))</f>
        <v/>
      </c>
      <c r="K1718" s="5" t="str">
        <f aca="false">IF(C1718=0,"",IF($A1718="Bank",IF(INDEX(Bank!$I:$I,$C1718)="","",INDEX(Bank!$I:$I,$C1718)),IF(INDEX(GL!$I:$I,$C1718)="","",INDEX(GL!$I:$I,$C1718))))</f>
        <v/>
      </c>
      <c r="L1718" s="5" t="str">
        <f aca="false">IF(B1718="","",IF(C1718=0,"NOT FOUND",IF(IF($A1718="Bank",INDEX(Bank!$F:$F,$C1718),INDEX(GL!$F:$F,$C1718))="Y","NOW RECONCILED: refresh","OK")))</f>
        <v/>
      </c>
    </row>
    <row r="1719" customFormat="false" ht="15" hidden="false" customHeight="false" outlineLevel="0" collapsed="false">
      <c r="A1719" s="41"/>
      <c r="B1719" s="41"/>
      <c r="C1719" s="5" t="n">
        <f aca="false">IF(B1719="",0,IF(A1719="Bank",IFERROR(MATCH(B1719,Bank!$A:$A,0),0),IFERROR(MATCH(B1719,GL!$A:$A,0),0)))</f>
        <v>0</v>
      </c>
      <c r="D1719" s="32" t="str">
        <f aca="false">IF(C1719=0,"",IF($A1719="Bank",INDEX(Bank!$B:$B,$C1719),INDEX(GL!$B:$B,$C1719)))</f>
        <v/>
      </c>
      <c r="E1719" s="5" t="str">
        <f aca="false">IF(C1719=0,"",IF($A1719="Bank",IF(INDEX(Bank!$C:$C,$C1719)="","",INDEX(Bank!$C:$C,$C1719)),IF(INDEX(GL!$C:$C,$C1719)="","",INDEX(GL!$C:$C,$C1719))))</f>
        <v/>
      </c>
      <c r="F1719" s="5" t="str">
        <f aca="false">IF(C1719=0,"",IF($A1719="Bank",IF(INDEX(Bank!$D:$D,$C1719)="","",INDEX(Bank!$D:$D,$C1719)),IF(INDEX(GL!$D:$D,$C1719)="","",INDEX(GL!$D:$D,$C1719))))</f>
        <v/>
      </c>
      <c r="G1719" s="19" t="str">
        <f aca="false">IF(C1719=0,"",IF($A1719="Bank",INDEX(Bank!$E:$E,$C1719),INDEX(GL!$E:$E,$C1719)))</f>
        <v/>
      </c>
      <c r="H1719" s="5" t="str">
        <f aca="false">IF(C1719=0,"",IF(A1719="GL",IF(G1719&gt;0,"Deposit in transit","Outstanding check / payment"),IF(G1719&gt;0,"Bank credit not in GL","Bank debit not in GL")))</f>
        <v/>
      </c>
      <c r="I1719" s="42" t="str">
        <f aca="false">IF(OR(C1719=0,CFG_PeriodEnd=""),"",CFG_PeriodEnd-D1719)</f>
        <v/>
      </c>
      <c r="J1719" s="5" t="str">
        <f aca="false">IF(C1719=0,"",IF($A1719="Bank",IF(INDEX(Bank!$G:$G,$C1719)="","",INDEX(Bank!$G:$G,$C1719)),IF(INDEX(GL!$G:$G,$C1719)="","",INDEX(GL!$G:$G,$C1719))))</f>
        <v/>
      </c>
      <c r="K1719" s="5" t="str">
        <f aca="false">IF(C1719=0,"",IF($A1719="Bank",IF(INDEX(Bank!$I:$I,$C1719)="","",INDEX(Bank!$I:$I,$C1719)),IF(INDEX(GL!$I:$I,$C1719)="","",INDEX(GL!$I:$I,$C1719))))</f>
        <v/>
      </c>
      <c r="L1719" s="5" t="str">
        <f aca="false">IF(B1719="","",IF(C1719=0,"NOT FOUND",IF(IF($A1719="Bank",INDEX(Bank!$F:$F,$C1719),INDEX(GL!$F:$F,$C1719))="Y","NOW RECONCILED: refresh","OK")))</f>
        <v/>
      </c>
    </row>
    <row r="1720" customFormat="false" ht="15" hidden="false" customHeight="false" outlineLevel="0" collapsed="false">
      <c r="A1720" s="41"/>
      <c r="B1720" s="41"/>
      <c r="C1720" s="5" t="n">
        <f aca="false">IF(B1720="",0,IF(A1720="Bank",IFERROR(MATCH(B1720,Bank!$A:$A,0),0),IFERROR(MATCH(B1720,GL!$A:$A,0),0)))</f>
        <v>0</v>
      </c>
      <c r="D1720" s="32" t="str">
        <f aca="false">IF(C1720=0,"",IF($A1720="Bank",INDEX(Bank!$B:$B,$C1720),INDEX(GL!$B:$B,$C1720)))</f>
        <v/>
      </c>
      <c r="E1720" s="5" t="str">
        <f aca="false">IF(C1720=0,"",IF($A1720="Bank",IF(INDEX(Bank!$C:$C,$C1720)="","",INDEX(Bank!$C:$C,$C1720)),IF(INDEX(GL!$C:$C,$C1720)="","",INDEX(GL!$C:$C,$C1720))))</f>
        <v/>
      </c>
      <c r="F1720" s="5" t="str">
        <f aca="false">IF(C1720=0,"",IF($A1720="Bank",IF(INDEX(Bank!$D:$D,$C1720)="","",INDEX(Bank!$D:$D,$C1720)),IF(INDEX(GL!$D:$D,$C1720)="","",INDEX(GL!$D:$D,$C1720))))</f>
        <v/>
      </c>
      <c r="G1720" s="19" t="str">
        <f aca="false">IF(C1720=0,"",IF($A1720="Bank",INDEX(Bank!$E:$E,$C1720),INDEX(GL!$E:$E,$C1720)))</f>
        <v/>
      </c>
      <c r="H1720" s="5" t="str">
        <f aca="false">IF(C1720=0,"",IF(A1720="GL",IF(G1720&gt;0,"Deposit in transit","Outstanding check / payment"),IF(G1720&gt;0,"Bank credit not in GL","Bank debit not in GL")))</f>
        <v/>
      </c>
      <c r="I1720" s="42" t="str">
        <f aca="false">IF(OR(C1720=0,CFG_PeriodEnd=""),"",CFG_PeriodEnd-D1720)</f>
        <v/>
      </c>
      <c r="J1720" s="5" t="str">
        <f aca="false">IF(C1720=0,"",IF($A1720="Bank",IF(INDEX(Bank!$G:$G,$C1720)="","",INDEX(Bank!$G:$G,$C1720)),IF(INDEX(GL!$G:$G,$C1720)="","",INDEX(GL!$G:$G,$C1720))))</f>
        <v/>
      </c>
      <c r="K1720" s="5" t="str">
        <f aca="false">IF(C1720=0,"",IF($A1720="Bank",IF(INDEX(Bank!$I:$I,$C1720)="","",INDEX(Bank!$I:$I,$C1720)),IF(INDEX(GL!$I:$I,$C1720)="","",INDEX(GL!$I:$I,$C1720))))</f>
        <v/>
      </c>
      <c r="L1720" s="5" t="str">
        <f aca="false">IF(B1720="","",IF(C1720=0,"NOT FOUND",IF(IF($A1720="Bank",INDEX(Bank!$F:$F,$C1720),INDEX(GL!$F:$F,$C1720))="Y","NOW RECONCILED: refresh","OK")))</f>
        <v/>
      </c>
    </row>
    <row r="1721" customFormat="false" ht="15" hidden="false" customHeight="false" outlineLevel="0" collapsed="false">
      <c r="A1721" s="41"/>
      <c r="B1721" s="41"/>
      <c r="C1721" s="5" t="n">
        <f aca="false">IF(B1721="",0,IF(A1721="Bank",IFERROR(MATCH(B1721,Bank!$A:$A,0),0),IFERROR(MATCH(B1721,GL!$A:$A,0),0)))</f>
        <v>0</v>
      </c>
      <c r="D1721" s="32" t="str">
        <f aca="false">IF(C1721=0,"",IF($A1721="Bank",INDEX(Bank!$B:$B,$C1721),INDEX(GL!$B:$B,$C1721)))</f>
        <v/>
      </c>
      <c r="E1721" s="5" t="str">
        <f aca="false">IF(C1721=0,"",IF($A1721="Bank",IF(INDEX(Bank!$C:$C,$C1721)="","",INDEX(Bank!$C:$C,$C1721)),IF(INDEX(GL!$C:$C,$C1721)="","",INDEX(GL!$C:$C,$C1721))))</f>
        <v/>
      </c>
      <c r="F1721" s="5" t="str">
        <f aca="false">IF(C1721=0,"",IF($A1721="Bank",IF(INDEX(Bank!$D:$D,$C1721)="","",INDEX(Bank!$D:$D,$C1721)),IF(INDEX(GL!$D:$D,$C1721)="","",INDEX(GL!$D:$D,$C1721))))</f>
        <v/>
      </c>
      <c r="G1721" s="19" t="str">
        <f aca="false">IF(C1721=0,"",IF($A1721="Bank",INDEX(Bank!$E:$E,$C1721),INDEX(GL!$E:$E,$C1721)))</f>
        <v/>
      </c>
      <c r="H1721" s="5" t="str">
        <f aca="false">IF(C1721=0,"",IF(A1721="GL",IF(G1721&gt;0,"Deposit in transit","Outstanding check / payment"),IF(G1721&gt;0,"Bank credit not in GL","Bank debit not in GL")))</f>
        <v/>
      </c>
      <c r="I1721" s="42" t="str">
        <f aca="false">IF(OR(C1721=0,CFG_PeriodEnd=""),"",CFG_PeriodEnd-D1721)</f>
        <v/>
      </c>
      <c r="J1721" s="5" t="str">
        <f aca="false">IF(C1721=0,"",IF($A1721="Bank",IF(INDEX(Bank!$G:$G,$C1721)="","",INDEX(Bank!$G:$G,$C1721)),IF(INDEX(GL!$G:$G,$C1721)="","",INDEX(GL!$G:$G,$C1721))))</f>
        <v/>
      </c>
      <c r="K1721" s="5" t="str">
        <f aca="false">IF(C1721=0,"",IF($A1721="Bank",IF(INDEX(Bank!$I:$I,$C1721)="","",INDEX(Bank!$I:$I,$C1721)),IF(INDEX(GL!$I:$I,$C1721)="","",INDEX(GL!$I:$I,$C1721))))</f>
        <v/>
      </c>
      <c r="L1721" s="5" t="str">
        <f aca="false">IF(B1721="","",IF(C1721=0,"NOT FOUND",IF(IF($A1721="Bank",INDEX(Bank!$F:$F,$C1721),INDEX(GL!$F:$F,$C1721))="Y","NOW RECONCILED: refresh","OK")))</f>
        <v/>
      </c>
    </row>
    <row r="1722" customFormat="false" ht="15" hidden="false" customHeight="false" outlineLevel="0" collapsed="false">
      <c r="A1722" s="41"/>
      <c r="B1722" s="41"/>
      <c r="C1722" s="5" t="n">
        <f aca="false">IF(B1722="",0,IF(A1722="Bank",IFERROR(MATCH(B1722,Bank!$A:$A,0),0),IFERROR(MATCH(B1722,GL!$A:$A,0),0)))</f>
        <v>0</v>
      </c>
      <c r="D1722" s="32" t="str">
        <f aca="false">IF(C1722=0,"",IF($A1722="Bank",INDEX(Bank!$B:$B,$C1722),INDEX(GL!$B:$B,$C1722)))</f>
        <v/>
      </c>
      <c r="E1722" s="5" t="str">
        <f aca="false">IF(C1722=0,"",IF($A1722="Bank",IF(INDEX(Bank!$C:$C,$C1722)="","",INDEX(Bank!$C:$C,$C1722)),IF(INDEX(GL!$C:$C,$C1722)="","",INDEX(GL!$C:$C,$C1722))))</f>
        <v/>
      </c>
      <c r="F1722" s="5" t="str">
        <f aca="false">IF(C1722=0,"",IF($A1722="Bank",IF(INDEX(Bank!$D:$D,$C1722)="","",INDEX(Bank!$D:$D,$C1722)),IF(INDEX(GL!$D:$D,$C1722)="","",INDEX(GL!$D:$D,$C1722))))</f>
        <v/>
      </c>
      <c r="G1722" s="19" t="str">
        <f aca="false">IF(C1722=0,"",IF($A1722="Bank",INDEX(Bank!$E:$E,$C1722),INDEX(GL!$E:$E,$C1722)))</f>
        <v/>
      </c>
      <c r="H1722" s="5" t="str">
        <f aca="false">IF(C1722=0,"",IF(A1722="GL",IF(G1722&gt;0,"Deposit in transit","Outstanding check / payment"),IF(G1722&gt;0,"Bank credit not in GL","Bank debit not in GL")))</f>
        <v/>
      </c>
      <c r="I1722" s="42" t="str">
        <f aca="false">IF(OR(C1722=0,CFG_PeriodEnd=""),"",CFG_PeriodEnd-D1722)</f>
        <v/>
      </c>
      <c r="J1722" s="5" t="str">
        <f aca="false">IF(C1722=0,"",IF($A1722="Bank",IF(INDEX(Bank!$G:$G,$C1722)="","",INDEX(Bank!$G:$G,$C1722)),IF(INDEX(GL!$G:$G,$C1722)="","",INDEX(GL!$G:$G,$C1722))))</f>
        <v/>
      </c>
      <c r="K1722" s="5" t="str">
        <f aca="false">IF(C1722=0,"",IF($A1722="Bank",IF(INDEX(Bank!$I:$I,$C1722)="","",INDEX(Bank!$I:$I,$C1722)),IF(INDEX(GL!$I:$I,$C1722)="","",INDEX(GL!$I:$I,$C1722))))</f>
        <v/>
      </c>
      <c r="L1722" s="5" t="str">
        <f aca="false">IF(B1722="","",IF(C1722=0,"NOT FOUND",IF(IF($A1722="Bank",INDEX(Bank!$F:$F,$C1722),INDEX(GL!$F:$F,$C1722))="Y","NOW RECONCILED: refresh","OK")))</f>
        <v/>
      </c>
    </row>
    <row r="1723" customFormat="false" ht="15" hidden="false" customHeight="false" outlineLevel="0" collapsed="false">
      <c r="A1723" s="41"/>
      <c r="B1723" s="41"/>
      <c r="C1723" s="5" t="n">
        <f aca="false">IF(B1723="",0,IF(A1723="Bank",IFERROR(MATCH(B1723,Bank!$A:$A,0),0),IFERROR(MATCH(B1723,GL!$A:$A,0),0)))</f>
        <v>0</v>
      </c>
      <c r="D1723" s="32" t="str">
        <f aca="false">IF(C1723=0,"",IF($A1723="Bank",INDEX(Bank!$B:$B,$C1723),INDEX(GL!$B:$B,$C1723)))</f>
        <v/>
      </c>
      <c r="E1723" s="5" t="str">
        <f aca="false">IF(C1723=0,"",IF($A1723="Bank",IF(INDEX(Bank!$C:$C,$C1723)="","",INDEX(Bank!$C:$C,$C1723)),IF(INDEX(GL!$C:$C,$C1723)="","",INDEX(GL!$C:$C,$C1723))))</f>
        <v/>
      </c>
      <c r="F1723" s="5" t="str">
        <f aca="false">IF(C1723=0,"",IF($A1723="Bank",IF(INDEX(Bank!$D:$D,$C1723)="","",INDEX(Bank!$D:$D,$C1723)),IF(INDEX(GL!$D:$D,$C1723)="","",INDEX(GL!$D:$D,$C1723))))</f>
        <v/>
      </c>
      <c r="G1723" s="19" t="str">
        <f aca="false">IF(C1723=0,"",IF($A1723="Bank",INDEX(Bank!$E:$E,$C1723),INDEX(GL!$E:$E,$C1723)))</f>
        <v/>
      </c>
      <c r="H1723" s="5" t="str">
        <f aca="false">IF(C1723=0,"",IF(A1723="GL",IF(G1723&gt;0,"Deposit in transit","Outstanding check / payment"),IF(G1723&gt;0,"Bank credit not in GL","Bank debit not in GL")))</f>
        <v/>
      </c>
      <c r="I1723" s="42" t="str">
        <f aca="false">IF(OR(C1723=0,CFG_PeriodEnd=""),"",CFG_PeriodEnd-D1723)</f>
        <v/>
      </c>
      <c r="J1723" s="5" t="str">
        <f aca="false">IF(C1723=0,"",IF($A1723="Bank",IF(INDEX(Bank!$G:$G,$C1723)="","",INDEX(Bank!$G:$G,$C1723)),IF(INDEX(GL!$G:$G,$C1723)="","",INDEX(GL!$G:$G,$C1723))))</f>
        <v/>
      </c>
      <c r="K1723" s="5" t="str">
        <f aca="false">IF(C1723=0,"",IF($A1723="Bank",IF(INDEX(Bank!$I:$I,$C1723)="","",INDEX(Bank!$I:$I,$C1723)),IF(INDEX(GL!$I:$I,$C1723)="","",INDEX(GL!$I:$I,$C1723))))</f>
        <v/>
      </c>
      <c r="L1723" s="5" t="str">
        <f aca="false">IF(B1723="","",IF(C1723=0,"NOT FOUND",IF(IF($A1723="Bank",INDEX(Bank!$F:$F,$C1723),INDEX(GL!$F:$F,$C1723))="Y","NOW RECONCILED: refresh","OK")))</f>
        <v/>
      </c>
    </row>
    <row r="1724" customFormat="false" ht="15" hidden="false" customHeight="false" outlineLevel="0" collapsed="false">
      <c r="A1724" s="41"/>
      <c r="B1724" s="41"/>
      <c r="C1724" s="5" t="n">
        <f aca="false">IF(B1724="",0,IF(A1724="Bank",IFERROR(MATCH(B1724,Bank!$A:$A,0),0),IFERROR(MATCH(B1724,GL!$A:$A,0),0)))</f>
        <v>0</v>
      </c>
      <c r="D1724" s="32" t="str">
        <f aca="false">IF(C1724=0,"",IF($A1724="Bank",INDEX(Bank!$B:$B,$C1724),INDEX(GL!$B:$B,$C1724)))</f>
        <v/>
      </c>
      <c r="E1724" s="5" t="str">
        <f aca="false">IF(C1724=0,"",IF($A1724="Bank",IF(INDEX(Bank!$C:$C,$C1724)="","",INDEX(Bank!$C:$C,$C1724)),IF(INDEX(GL!$C:$C,$C1724)="","",INDEX(GL!$C:$C,$C1724))))</f>
        <v/>
      </c>
      <c r="F1724" s="5" t="str">
        <f aca="false">IF(C1724=0,"",IF($A1724="Bank",IF(INDEX(Bank!$D:$D,$C1724)="","",INDEX(Bank!$D:$D,$C1724)),IF(INDEX(GL!$D:$D,$C1724)="","",INDEX(GL!$D:$D,$C1724))))</f>
        <v/>
      </c>
      <c r="G1724" s="19" t="str">
        <f aca="false">IF(C1724=0,"",IF($A1724="Bank",INDEX(Bank!$E:$E,$C1724),INDEX(GL!$E:$E,$C1724)))</f>
        <v/>
      </c>
      <c r="H1724" s="5" t="str">
        <f aca="false">IF(C1724=0,"",IF(A1724="GL",IF(G1724&gt;0,"Deposit in transit","Outstanding check / payment"),IF(G1724&gt;0,"Bank credit not in GL","Bank debit not in GL")))</f>
        <v/>
      </c>
      <c r="I1724" s="42" t="str">
        <f aca="false">IF(OR(C1724=0,CFG_PeriodEnd=""),"",CFG_PeriodEnd-D1724)</f>
        <v/>
      </c>
      <c r="J1724" s="5" t="str">
        <f aca="false">IF(C1724=0,"",IF($A1724="Bank",IF(INDEX(Bank!$G:$G,$C1724)="","",INDEX(Bank!$G:$G,$C1724)),IF(INDEX(GL!$G:$G,$C1724)="","",INDEX(GL!$G:$G,$C1724))))</f>
        <v/>
      </c>
      <c r="K1724" s="5" t="str">
        <f aca="false">IF(C1724=0,"",IF($A1724="Bank",IF(INDEX(Bank!$I:$I,$C1724)="","",INDEX(Bank!$I:$I,$C1724)),IF(INDEX(GL!$I:$I,$C1724)="","",INDEX(GL!$I:$I,$C1724))))</f>
        <v/>
      </c>
      <c r="L1724" s="5" t="str">
        <f aca="false">IF(B1724="","",IF(C1724=0,"NOT FOUND",IF(IF($A1724="Bank",INDEX(Bank!$F:$F,$C1724),INDEX(GL!$F:$F,$C1724))="Y","NOW RECONCILED: refresh","OK")))</f>
        <v/>
      </c>
    </row>
    <row r="1725" customFormat="false" ht="15" hidden="false" customHeight="false" outlineLevel="0" collapsed="false">
      <c r="A1725" s="41"/>
      <c r="B1725" s="41"/>
      <c r="C1725" s="5" t="n">
        <f aca="false">IF(B1725="",0,IF(A1725="Bank",IFERROR(MATCH(B1725,Bank!$A:$A,0),0),IFERROR(MATCH(B1725,GL!$A:$A,0),0)))</f>
        <v>0</v>
      </c>
      <c r="D1725" s="32" t="str">
        <f aca="false">IF(C1725=0,"",IF($A1725="Bank",INDEX(Bank!$B:$B,$C1725),INDEX(GL!$B:$B,$C1725)))</f>
        <v/>
      </c>
      <c r="E1725" s="5" t="str">
        <f aca="false">IF(C1725=0,"",IF($A1725="Bank",IF(INDEX(Bank!$C:$C,$C1725)="","",INDEX(Bank!$C:$C,$C1725)),IF(INDEX(GL!$C:$C,$C1725)="","",INDEX(GL!$C:$C,$C1725))))</f>
        <v/>
      </c>
      <c r="F1725" s="5" t="str">
        <f aca="false">IF(C1725=0,"",IF($A1725="Bank",IF(INDEX(Bank!$D:$D,$C1725)="","",INDEX(Bank!$D:$D,$C1725)),IF(INDEX(GL!$D:$D,$C1725)="","",INDEX(GL!$D:$D,$C1725))))</f>
        <v/>
      </c>
      <c r="G1725" s="19" t="str">
        <f aca="false">IF(C1725=0,"",IF($A1725="Bank",INDEX(Bank!$E:$E,$C1725),INDEX(GL!$E:$E,$C1725)))</f>
        <v/>
      </c>
      <c r="H1725" s="5" t="str">
        <f aca="false">IF(C1725=0,"",IF(A1725="GL",IF(G1725&gt;0,"Deposit in transit","Outstanding check / payment"),IF(G1725&gt;0,"Bank credit not in GL","Bank debit not in GL")))</f>
        <v/>
      </c>
      <c r="I1725" s="42" t="str">
        <f aca="false">IF(OR(C1725=0,CFG_PeriodEnd=""),"",CFG_PeriodEnd-D1725)</f>
        <v/>
      </c>
      <c r="J1725" s="5" t="str">
        <f aca="false">IF(C1725=0,"",IF($A1725="Bank",IF(INDEX(Bank!$G:$G,$C1725)="","",INDEX(Bank!$G:$G,$C1725)),IF(INDEX(GL!$G:$G,$C1725)="","",INDEX(GL!$G:$G,$C1725))))</f>
        <v/>
      </c>
      <c r="K1725" s="5" t="str">
        <f aca="false">IF(C1725=0,"",IF($A1725="Bank",IF(INDEX(Bank!$I:$I,$C1725)="","",INDEX(Bank!$I:$I,$C1725)),IF(INDEX(GL!$I:$I,$C1725)="","",INDEX(GL!$I:$I,$C1725))))</f>
        <v/>
      </c>
      <c r="L1725" s="5" t="str">
        <f aca="false">IF(B1725="","",IF(C1725=0,"NOT FOUND",IF(IF($A1725="Bank",INDEX(Bank!$F:$F,$C1725),INDEX(GL!$F:$F,$C1725))="Y","NOW RECONCILED: refresh","OK")))</f>
        <v/>
      </c>
    </row>
    <row r="1726" customFormat="false" ht="15" hidden="false" customHeight="false" outlineLevel="0" collapsed="false">
      <c r="A1726" s="41"/>
      <c r="B1726" s="41"/>
      <c r="C1726" s="5" t="n">
        <f aca="false">IF(B1726="",0,IF(A1726="Bank",IFERROR(MATCH(B1726,Bank!$A:$A,0),0),IFERROR(MATCH(B1726,GL!$A:$A,0),0)))</f>
        <v>0</v>
      </c>
      <c r="D1726" s="32" t="str">
        <f aca="false">IF(C1726=0,"",IF($A1726="Bank",INDEX(Bank!$B:$B,$C1726),INDEX(GL!$B:$B,$C1726)))</f>
        <v/>
      </c>
      <c r="E1726" s="5" t="str">
        <f aca="false">IF(C1726=0,"",IF($A1726="Bank",IF(INDEX(Bank!$C:$C,$C1726)="","",INDEX(Bank!$C:$C,$C1726)),IF(INDEX(GL!$C:$C,$C1726)="","",INDEX(GL!$C:$C,$C1726))))</f>
        <v/>
      </c>
      <c r="F1726" s="5" t="str">
        <f aca="false">IF(C1726=0,"",IF($A1726="Bank",IF(INDEX(Bank!$D:$D,$C1726)="","",INDEX(Bank!$D:$D,$C1726)),IF(INDEX(GL!$D:$D,$C1726)="","",INDEX(GL!$D:$D,$C1726))))</f>
        <v/>
      </c>
      <c r="G1726" s="19" t="str">
        <f aca="false">IF(C1726=0,"",IF($A1726="Bank",INDEX(Bank!$E:$E,$C1726),INDEX(GL!$E:$E,$C1726)))</f>
        <v/>
      </c>
      <c r="H1726" s="5" t="str">
        <f aca="false">IF(C1726=0,"",IF(A1726="GL",IF(G1726&gt;0,"Deposit in transit","Outstanding check / payment"),IF(G1726&gt;0,"Bank credit not in GL","Bank debit not in GL")))</f>
        <v/>
      </c>
      <c r="I1726" s="42" t="str">
        <f aca="false">IF(OR(C1726=0,CFG_PeriodEnd=""),"",CFG_PeriodEnd-D1726)</f>
        <v/>
      </c>
      <c r="J1726" s="5" t="str">
        <f aca="false">IF(C1726=0,"",IF($A1726="Bank",IF(INDEX(Bank!$G:$G,$C1726)="","",INDEX(Bank!$G:$G,$C1726)),IF(INDEX(GL!$G:$G,$C1726)="","",INDEX(GL!$G:$G,$C1726))))</f>
        <v/>
      </c>
      <c r="K1726" s="5" t="str">
        <f aca="false">IF(C1726=0,"",IF($A1726="Bank",IF(INDEX(Bank!$I:$I,$C1726)="","",INDEX(Bank!$I:$I,$C1726)),IF(INDEX(GL!$I:$I,$C1726)="","",INDEX(GL!$I:$I,$C1726))))</f>
        <v/>
      </c>
      <c r="L1726" s="5" t="str">
        <f aca="false">IF(B1726="","",IF(C1726=0,"NOT FOUND",IF(IF($A1726="Bank",INDEX(Bank!$F:$F,$C1726),INDEX(GL!$F:$F,$C1726))="Y","NOW RECONCILED: refresh","OK")))</f>
        <v/>
      </c>
    </row>
    <row r="1727" customFormat="false" ht="15" hidden="false" customHeight="false" outlineLevel="0" collapsed="false">
      <c r="A1727" s="41"/>
      <c r="B1727" s="41"/>
      <c r="C1727" s="5" t="n">
        <f aca="false">IF(B1727="",0,IF(A1727="Bank",IFERROR(MATCH(B1727,Bank!$A:$A,0),0),IFERROR(MATCH(B1727,GL!$A:$A,0),0)))</f>
        <v>0</v>
      </c>
      <c r="D1727" s="32" t="str">
        <f aca="false">IF(C1727=0,"",IF($A1727="Bank",INDEX(Bank!$B:$B,$C1727),INDEX(GL!$B:$B,$C1727)))</f>
        <v/>
      </c>
      <c r="E1727" s="5" t="str">
        <f aca="false">IF(C1727=0,"",IF($A1727="Bank",IF(INDEX(Bank!$C:$C,$C1727)="","",INDEX(Bank!$C:$C,$C1727)),IF(INDEX(GL!$C:$C,$C1727)="","",INDEX(GL!$C:$C,$C1727))))</f>
        <v/>
      </c>
      <c r="F1727" s="5" t="str">
        <f aca="false">IF(C1727=0,"",IF($A1727="Bank",IF(INDEX(Bank!$D:$D,$C1727)="","",INDEX(Bank!$D:$D,$C1727)),IF(INDEX(GL!$D:$D,$C1727)="","",INDEX(GL!$D:$D,$C1727))))</f>
        <v/>
      </c>
      <c r="G1727" s="19" t="str">
        <f aca="false">IF(C1727=0,"",IF($A1727="Bank",INDEX(Bank!$E:$E,$C1727),INDEX(GL!$E:$E,$C1727)))</f>
        <v/>
      </c>
      <c r="H1727" s="5" t="str">
        <f aca="false">IF(C1727=0,"",IF(A1727="GL",IF(G1727&gt;0,"Deposit in transit","Outstanding check / payment"),IF(G1727&gt;0,"Bank credit not in GL","Bank debit not in GL")))</f>
        <v/>
      </c>
      <c r="I1727" s="42" t="str">
        <f aca="false">IF(OR(C1727=0,CFG_PeriodEnd=""),"",CFG_PeriodEnd-D1727)</f>
        <v/>
      </c>
      <c r="J1727" s="5" t="str">
        <f aca="false">IF(C1727=0,"",IF($A1727="Bank",IF(INDEX(Bank!$G:$G,$C1727)="","",INDEX(Bank!$G:$G,$C1727)),IF(INDEX(GL!$G:$G,$C1727)="","",INDEX(GL!$G:$G,$C1727))))</f>
        <v/>
      </c>
      <c r="K1727" s="5" t="str">
        <f aca="false">IF(C1727=0,"",IF($A1727="Bank",IF(INDEX(Bank!$I:$I,$C1727)="","",INDEX(Bank!$I:$I,$C1727)),IF(INDEX(GL!$I:$I,$C1727)="","",INDEX(GL!$I:$I,$C1727))))</f>
        <v/>
      </c>
      <c r="L1727" s="5" t="str">
        <f aca="false">IF(B1727="","",IF(C1727=0,"NOT FOUND",IF(IF($A1727="Bank",INDEX(Bank!$F:$F,$C1727),INDEX(GL!$F:$F,$C1727))="Y","NOW RECONCILED: refresh","OK")))</f>
        <v/>
      </c>
    </row>
    <row r="1728" customFormat="false" ht="15" hidden="false" customHeight="false" outlineLevel="0" collapsed="false">
      <c r="A1728" s="41"/>
      <c r="B1728" s="41"/>
      <c r="C1728" s="5" t="n">
        <f aca="false">IF(B1728="",0,IF(A1728="Bank",IFERROR(MATCH(B1728,Bank!$A:$A,0),0),IFERROR(MATCH(B1728,GL!$A:$A,0),0)))</f>
        <v>0</v>
      </c>
      <c r="D1728" s="32" t="str">
        <f aca="false">IF(C1728=0,"",IF($A1728="Bank",INDEX(Bank!$B:$B,$C1728),INDEX(GL!$B:$B,$C1728)))</f>
        <v/>
      </c>
      <c r="E1728" s="5" t="str">
        <f aca="false">IF(C1728=0,"",IF($A1728="Bank",IF(INDEX(Bank!$C:$C,$C1728)="","",INDEX(Bank!$C:$C,$C1728)),IF(INDEX(GL!$C:$C,$C1728)="","",INDEX(GL!$C:$C,$C1728))))</f>
        <v/>
      </c>
      <c r="F1728" s="5" t="str">
        <f aca="false">IF(C1728=0,"",IF($A1728="Bank",IF(INDEX(Bank!$D:$D,$C1728)="","",INDEX(Bank!$D:$D,$C1728)),IF(INDEX(GL!$D:$D,$C1728)="","",INDEX(GL!$D:$D,$C1728))))</f>
        <v/>
      </c>
      <c r="G1728" s="19" t="str">
        <f aca="false">IF(C1728=0,"",IF($A1728="Bank",INDEX(Bank!$E:$E,$C1728),INDEX(GL!$E:$E,$C1728)))</f>
        <v/>
      </c>
      <c r="H1728" s="5" t="str">
        <f aca="false">IF(C1728=0,"",IF(A1728="GL",IF(G1728&gt;0,"Deposit in transit","Outstanding check / payment"),IF(G1728&gt;0,"Bank credit not in GL","Bank debit not in GL")))</f>
        <v/>
      </c>
      <c r="I1728" s="42" t="str">
        <f aca="false">IF(OR(C1728=0,CFG_PeriodEnd=""),"",CFG_PeriodEnd-D1728)</f>
        <v/>
      </c>
      <c r="J1728" s="5" t="str">
        <f aca="false">IF(C1728=0,"",IF($A1728="Bank",IF(INDEX(Bank!$G:$G,$C1728)="","",INDEX(Bank!$G:$G,$C1728)),IF(INDEX(GL!$G:$G,$C1728)="","",INDEX(GL!$G:$G,$C1728))))</f>
        <v/>
      </c>
      <c r="K1728" s="5" t="str">
        <f aca="false">IF(C1728=0,"",IF($A1728="Bank",IF(INDEX(Bank!$I:$I,$C1728)="","",INDEX(Bank!$I:$I,$C1728)),IF(INDEX(GL!$I:$I,$C1728)="","",INDEX(GL!$I:$I,$C1728))))</f>
        <v/>
      </c>
      <c r="L1728" s="5" t="str">
        <f aca="false">IF(B1728="","",IF(C1728=0,"NOT FOUND",IF(IF($A1728="Bank",INDEX(Bank!$F:$F,$C1728),INDEX(GL!$F:$F,$C1728))="Y","NOW RECONCILED: refresh","OK")))</f>
        <v/>
      </c>
    </row>
    <row r="1729" customFormat="false" ht="15" hidden="false" customHeight="false" outlineLevel="0" collapsed="false">
      <c r="A1729" s="41"/>
      <c r="B1729" s="41"/>
      <c r="C1729" s="5" t="n">
        <f aca="false">IF(B1729="",0,IF(A1729="Bank",IFERROR(MATCH(B1729,Bank!$A:$A,0),0),IFERROR(MATCH(B1729,GL!$A:$A,0),0)))</f>
        <v>0</v>
      </c>
      <c r="D1729" s="32" t="str">
        <f aca="false">IF(C1729=0,"",IF($A1729="Bank",INDEX(Bank!$B:$B,$C1729),INDEX(GL!$B:$B,$C1729)))</f>
        <v/>
      </c>
      <c r="E1729" s="5" t="str">
        <f aca="false">IF(C1729=0,"",IF($A1729="Bank",IF(INDEX(Bank!$C:$C,$C1729)="","",INDEX(Bank!$C:$C,$C1729)),IF(INDEX(GL!$C:$C,$C1729)="","",INDEX(GL!$C:$C,$C1729))))</f>
        <v/>
      </c>
      <c r="F1729" s="5" t="str">
        <f aca="false">IF(C1729=0,"",IF($A1729="Bank",IF(INDEX(Bank!$D:$D,$C1729)="","",INDEX(Bank!$D:$D,$C1729)),IF(INDEX(GL!$D:$D,$C1729)="","",INDEX(GL!$D:$D,$C1729))))</f>
        <v/>
      </c>
      <c r="G1729" s="19" t="str">
        <f aca="false">IF(C1729=0,"",IF($A1729="Bank",INDEX(Bank!$E:$E,$C1729),INDEX(GL!$E:$E,$C1729)))</f>
        <v/>
      </c>
      <c r="H1729" s="5" t="str">
        <f aca="false">IF(C1729=0,"",IF(A1729="GL",IF(G1729&gt;0,"Deposit in transit","Outstanding check / payment"),IF(G1729&gt;0,"Bank credit not in GL","Bank debit not in GL")))</f>
        <v/>
      </c>
      <c r="I1729" s="42" t="str">
        <f aca="false">IF(OR(C1729=0,CFG_PeriodEnd=""),"",CFG_PeriodEnd-D1729)</f>
        <v/>
      </c>
      <c r="J1729" s="5" t="str">
        <f aca="false">IF(C1729=0,"",IF($A1729="Bank",IF(INDEX(Bank!$G:$G,$C1729)="","",INDEX(Bank!$G:$G,$C1729)),IF(INDEX(GL!$G:$G,$C1729)="","",INDEX(GL!$G:$G,$C1729))))</f>
        <v/>
      </c>
      <c r="K1729" s="5" t="str">
        <f aca="false">IF(C1729=0,"",IF($A1729="Bank",IF(INDEX(Bank!$I:$I,$C1729)="","",INDEX(Bank!$I:$I,$C1729)),IF(INDEX(GL!$I:$I,$C1729)="","",INDEX(GL!$I:$I,$C1729))))</f>
        <v/>
      </c>
      <c r="L1729" s="5" t="str">
        <f aca="false">IF(B1729="","",IF(C1729=0,"NOT FOUND",IF(IF($A1729="Bank",INDEX(Bank!$F:$F,$C1729),INDEX(GL!$F:$F,$C1729))="Y","NOW RECONCILED: refresh","OK")))</f>
        <v/>
      </c>
    </row>
    <row r="1730" customFormat="false" ht="15" hidden="false" customHeight="false" outlineLevel="0" collapsed="false">
      <c r="A1730" s="41"/>
      <c r="B1730" s="41"/>
      <c r="C1730" s="5" t="n">
        <f aca="false">IF(B1730="",0,IF(A1730="Bank",IFERROR(MATCH(B1730,Bank!$A:$A,0),0),IFERROR(MATCH(B1730,GL!$A:$A,0),0)))</f>
        <v>0</v>
      </c>
      <c r="D1730" s="32" t="str">
        <f aca="false">IF(C1730=0,"",IF($A1730="Bank",INDEX(Bank!$B:$B,$C1730),INDEX(GL!$B:$B,$C1730)))</f>
        <v/>
      </c>
      <c r="E1730" s="5" t="str">
        <f aca="false">IF(C1730=0,"",IF($A1730="Bank",IF(INDEX(Bank!$C:$C,$C1730)="","",INDEX(Bank!$C:$C,$C1730)),IF(INDEX(GL!$C:$C,$C1730)="","",INDEX(GL!$C:$C,$C1730))))</f>
        <v/>
      </c>
      <c r="F1730" s="5" t="str">
        <f aca="false">IF(C1730=0,"",IF($A1730="Bank",IF(INDEX(Bank!$D:$D,$C1730)="","",INDEX(Bank!$D:$D,$C1730)),IF(INDEX(GL!$D:$D,$C1730)="","",INDEX(GL!$D:$D,$C1730))))</f>
        <v/>
      </c>
      <c r="G1730" s="19" t="str">
        <f aca="false">IF(C1730=0,"",IF($A1730="Bank",INDEX(Bank!$E:$E,$C1730),INDEX(GL!$E:$E,$C1730)))</f>
        <v/>
      </c>
      <c r="H1730" s="5" t="str">
        <f aca="false">IF(C1730=0,"",IF(A1730="GL",IF(G1730&gt;0,"Deposit in transit","Outstanding check / payment"),IF(G1730&gt;0,"Bank credit not in GL","Bank debit not in GL")))</f>
        <v/>
      </c>
      <c r="I1730" s="42" t="str">
        <f aca="false">IF(OR(C1730=0,CFG_PeriodEnd=""),"",CFG_PeriodEnd-D1730)</f>
        <v/>
      </c>
      <c r="J1730" s="5" t="str">
        <f aca="false">IF(C1730=0,"",IF($A1730="Bank",IF(INDEX(Bank!$G:$G,$C1730)="","",INDEX(Bank!$G:$G,$C1730)),IF(INDEX(GL!$G:$G,$C1730)="","",INDEX(GL!$G:$G,$C1730))))</f>
        <v/>
      </c>
      <c r="K1730" s="5" t="str">
        <f aca="false">IF(C1730=0,"",IF($A1730="Bank",IF(INDEX(Bank!$I:$I,$C1730)="","",INDEX(Bank!$I:$I,$C1730)),IF(INDEX(GL!$I:$I,$C1730)="","",INDEX(GL!$I:$I,$C1730))))</f>
        <v/>
      </c>
      <c r="L1730" s="5" t="str">
        <f aca="false">IF(B1730="","",IF(C1730=0,"NOT FOUND",IF(IF($A1730="Bank",INDEX(Bank!$F:$F,$C1730),INDEX(GL!$F:$F,$C1730))="Y","NOW RECONCILED: refresh","OK")))</f>
        <v/>
      </c>
    </row>
    <row r="1731" customFormat="false" ht="15" hidden="false" customHeight="false" outlineLevel="0" collapsed="false">
      <c r="A1731" s="41"/>
      <c r="B1731" s="41"/>
      <c r="C1731" s="5" t="n">
        <f aca="false">IF(B1731="",0,IF(A1731="Bank",IFERROR(MATCH(B1731,Bank!$A:$A,0),0),IFERROR(MATCH(B1731,GL!$A:$A,0),0)))</f>
        <v>0</v>
      </c>
      <c r="D1731" s="32" t="str">
        <f aca="false">IF(C1731=0,"",IF($A1731="Bank",INDEX(Bank!$B:$B,$C1731),INDEX(GL!$B:$B,$C1731)))</f>
        <v/>
      </c>
      <c r="E1731" s="5" t="str">
        <f aca="false">IF(C1731=0,"",IF($A1731="Bank",IF(INDEX(Bank!$C:$C,$C1731)="","",INDEX(Bank!$C:$C,$C1731)),IF(INDEX(GL!$C:$C,$C1731)="","",INDEX(GL!$C:$C,$C1731))))</f>
        <v/>
      </c>
      <c r="F1731" s="5" t="str">
        <f aca="false">IF(C1731=0,"",IF($A1731="Bank",IF(INDEX(Bank!$D:$D,$C1731)="","",INDEX(Bank!$D:$D,$C1731)),IF(INDEX(GL!$D:$D,$C1731)="","",INDEX(GL!$D:$D,$C1731))))</f>
        <v/>
      </c>
      <c r="G1731" s="19" t="str">
        <f aca="false">IF(C1731=0,"",IF($A1731="Bank",INDEX(Bank!$E:$E,$C1731),INDEX(GL!$E:$E,$C1731)))</f>
        <v/>
      </c>
      <c r="H1731" s="5" t="str">
        <f aca="false">IF(C1731=0,"",IF(A1731="GL",IF(G1731&gt;0,"Deposit in transit","Outstanding check / payment"),IF(G1731&gt;0,"Bank credit not in GL","Bank debit not in GL")))</f>
        <v/>
      </c>
      <c r="I1731" s="42" t="str">
        <f aca="false">IF(OR(C1731=0,CFG_PeriodEnd=""),"",CFG_PeriodEnd-D1731)</f>
        <v/>
      </c>
      <c r="J1731" s="5" t="str">
        <f aca="false">IF(C1731=0,"",IF($A1731="Bank",IF(INDEX(Bank!$G:$G,$C1731)="","",INDEX(Bank!$G:$G,$C1731)),IF(INDEX(GL!$G:$G,$C1731)="","",INDEX(GL!$G:$G,$C1731))))</f>
        <v/>
      </c>
      <c r="K1731" s="5" t="str">
        <f aca="false">IF(C1731=0,"",IF($A1731="Bank",IF(INDEX(Bank!$I:$I,$C1731)="","",INDEX(Bank!$I:$I,$C1731)),IF(INDEX(GL!$I:$I,$C1731)="","",INDEX(GL!$I:$I,$C1731))))</f>
        <v/>
      </c>
      <c r="L1731" s="5" t="str">
        <f aca="false">IF(B1731="","",IF(C1731=0,"NOT FOUND",IF(IF($A1731="Bank",INDEX(Bank!$F:$F,$C1731),INDEX(GL!$F:$F,$C1731))="Y","NOW RECONCILED: refresh","OK")))</f>
        <v/>
      </c>
    </row>
    <row r="1732" customFormat="false" ht="15" hidden="false" customHeight="false" outlineLevel="0" collapsed="false">
      <c r="A1732" s="41"/>
      <c r="B1732" s="41"/>
      <c r="C1732" s="5" t="n">
        <f aca="false">IF(B1732="",0,IF(A1732="Bank",IFERROR(MATCH(B1732,Bank!$A:$A,0),0),IFERROR(MATCH(B1732,GL!$A:$A,0),0)))</f>
        <v>0</v>
      </c>
      <c r="D1732" s="32" t="str">
        <f aca="false">IF(C1732=0,"",IF($A1732="Bank",INDEX(Bank!$B:$B,$C1732),INDEX(GL!$B:$B,$C1732)))</f>
        <v/>
      </c>
      <c r="E1732" s="5" t="str">
        <f aca="false">IF(C1732=0,"",IF($A1732="Bank",IF(INDEX(Bank!$C:$C,$C1732)="","",INDEX(Bank!$C:$C,$C1732)),IF(INDEX(GL!$C:$C,$C1732)="","",INDEX(GL!$C:$C,$C1732))))</f>
        <v/>
      </c>
      <c r="F1732" s="5" t="str">
        <f aca="false">IF(C1732=0,"",IF($A1732="Bank",IF(INDEX(Bank!$D:$D,$C1732)="","",INDEX(Bank!$D:$D,$C1732)),IF(INDEX(GL!$D:$D,$C1732)="","",INDEX(GL!$D:$D,$C1732))))</f>
        <v/>
      </c>
      <c r="G1732" s="19" t="str">
        <f aca="false">IF(C1732=0,"",IF($A1732="Bank",INDEX(Bank!$E:$E,$C1732),INDEX(GL!$E:$E,$C1732)))</f>
        <v/>
      </c>
      <c r="H1732" s="5" t="str">
        <f aca="false">IF(C1732=0,"",IF(A1732="GL",IF(G1732&gt;0,"Deposit in transit","Outstanding check / payment"),IF(G1732&gt;0,"Bank credit not in GL","Bank debit not in GL")))</f>
        <v/>
      </c>
      <c r="I1732" s="42" t="str">
        <f aca="false">IF(OR(C1732=0,CFG_PeriodEnd=""),"",CFG_PeriodEnd-D1732)</f>
        <v/>
      </c>
      <c r="J1732" s="5" t="str">
        <f aca="false">IF(C1732=0,"",IF($A1732="Bank",IF(INDEX(Bank!$G:$G,$C1732)="","",INDEX(Bank!$G:$G,$C1732)),IF(INDEX(GL!$G:$G,$C1732)="","",INDEX(GL!$G:$G,$C1732))))</f>
        <v/>
      </c>
      <c r="K1732" s="5" t="str">
        <f aca="false">IF(C1732=0,"",IF($A1732="Bank",IF(INDEX(Bank!$I:$I,$C1732)="","",INDEX(Bank!$I:$I,$C1732)),IF(INDEX(GL!$I:$I,$C1732)="","",INDEX(GL!$I:$I,$C1732))))</f>
        <v/>
      </c>
      <c r="L1732" s="5" t="str">
        <f aca="false">IF(B1732="","",IF(C1732=0,"NOT FOUND",IF(IF($A1732="Bank",INDEX(Bank!$F:$F,$C1732),INDEX(GL!$F:$F,$C1732))="Y","NOW RECONCILED: refresh","OK")))</f>
        <v/>
      </c>
    </row>
    <row r="1733" customFormat="false" ht="15" hidden="false" customHeight="false" outlineLevel="0" collapsed="false">
      <c r="A1733" s="41"/>
      <c r="B1733" s="41"/>
      <c r="C1733" s="5" t="n">
        <f aca="false">IF(B1733="",0,IF(A1733="Bank",IFERROR(MATCH(B1733,Bank!$A:$A,0),0),IFERROR(MATCH(B1733,GL!$A:$A,0),0)))</f>
        <v>0</v>
      </c>
      <c r="D1733" s="32" t="str">
        <f aca="false">IF(C1733=0,"",IF($A1733="Bank",INDEX(Bank!$B:$B,$C1733),INDEX(GL!$B:$B,$C1733)))</f>
        <v/>
      </c>
      <c r="E1733" s="5" t="str">
        <f aca="false">IF(C1733=0,"",IF($A1733="Bank",IF(INDEX(Bank!$C:$C,$C1733)="","",INDEX(Bank!$C:$C,$C1733)),IF(INDEX(GL!$C:$C,$C1733)="","",INDEX(GL!$C:$C,$C1733))))</f>
        <v/>
      </c>
      <c r="F1733" s="5" t="str">
        <f aca="false">IF(C1733=0,"",IF($A1733="Bank",IF(INDEX(Bank!$D:$D,$C1733)="","",INDEX(Bank!$D:$D,$C1733)),IF(INDEX(GL!$D:$D,$C1733)="","",INDEX(GL!$D:$D,$C1733))))</f>
        <v/>
      </c>
      <c r="G1733" s="19" t="str">
        <f aca="false">IF(C1733=0,"",IF($A1733="Bank",INDEX(Bank!$E:$E,$C1733),INDEX(GL!$E:$E,$C1733)))</f>
        <v/>
      </c>
      <c r="H1733" s="5" t="str">
        <f aca="false">IF(C1733=0,"",IF(A1733="GL",IF(G1733&gt;0,"Deposit in transit","Outstanding check / payment"),IF(G1733&gt;0,"Bank credit not in GL","Bank debit not in GL")))</f>
        <v/>
      </c>
      <c r="I1733" s="42" t="str">
        <f aca="false">IF(OR(C1733=0,CFG_PeriodEnd=""),"",CFG_PeriodEnd-D1733)</f>
        <v/>
      </c>
      <c r="J1733" s="5" t="str">
        <f aca="false">IF(C1733=0,"",IF($A1733="Bank",IF(INDEX(Bank!$G:$G,$C1733)="","",INDEX(Bank!$G:$G,$C1733)),IF(INDEX(GL!$G:$G,$C1733)="","",INDEX(GL!$G:$G,$C1733))))</f>
        <v/>
      </c>
      <c r="K1733" s="5" t="str">
        <f aca="false">IF(C1733=0,"",IF($A1733="Bank",IF(INDEX(Bank!$I:$I,$C1733)="","",INDEX(Bank!$I:$I,$C1733)),IF(INDEX(GL!$I:$I,$C1733)="","",INDEX(GL!$I:$I,$C1733))))</f>
        <v/>
      </c>
      <c r="L1733" s="5" t="str">
        <f aca="false">IF(B1733="","",IF(C1733=0,"NOT FOUND",IF(IF($A1733="Bank",INDEX(Bank!$F:$F,$C1733),INDEX(GL!$F:$F,$C1733))="Y","NOW RECONCILED: refresh","OK")))</f>
        <v/>
      </c>
    </row>
    <row r="1734" customFormat="false" ht="15" hidden="false" customHeight="false" outlineLevel="0" collapsed="false">
      <c r="A1734" s="41"/>
      <c r="B1734" s="41"/>
      <c r="C1734" s="5" t="n">
        <f aca="false">IF(B1734="",0,IF(A1734="Bank",IFERROR(MATCH(B1734,Bank!$A:$A,0),0),IFERROR(MATCH(B1734,GL!$A:$A,0),0)))</f>
        <v>0</v>
      </c>
      <c r="D1734" s="32" t="str">
        <f aca="false">IF(C1734=0,"",IF($A1734="Bank",INDEX(Bank!$B:$B,$C1734),INDEX(GL!$B:$B,$C1734)))</f>
        <v/>
      </c>
      <c r="E1734" s="5" t="str">
        <f aca="false">IF(C1734=0,"",IF($A1734="Bank",IF(INDEX(Bank!$C:$C,$C1734)="","",INDEX(Bank!$C:$C,$C1734)),IF(INDEX(GL!$C:$C,$C1734)="","",INDEX(GL!$C:$C,$C1734))))</f>
        <v/>
      </c>
      <c r="F1734" s="5" t="str">
        <f aca="false">IF(C1734=0,"",IF($A1734="Bank",IF(INDEX(Bank!$D:$D,$C1734)="","",INDEX(Bank!$D:$D,$C1734)),IF(INDEX(GL!$D:$D,$C1734)="","",INDEX(GL!$D:$D,$C1734))))</f>
        <v/>
      </c>
      <c r="G1734" s="19" t="str">
        <f aca="false">IF(C1734=0,"",IF($A1734="Bank",INDEX(Bank!$E:$E,$C1734),INDEX(GL!$E:$E,$C1734)))</f>
        <v/>
      </c>
      <c r="H1734" s="5" t="str">
        <f aca="false">IF(C1734=0,"",IF(A1734="GL",IF(G1734&gt;0,"Deposit in transit","Outstanding check / payment"),IF(G1734&gt;0,"Bank credit not in GL","Bank debit not in GL")))</f>
        <v/>
      </c>
      <c r="I1734" s="42" t="str">
        <f aca="false">IF(OR(C1734=0,CFG_PeriodEnd=""),"",CFG_PeriodEnd-D1734)</f>
        <v/>
      </c>
      <c r="J1734" s="5" t="str">
        <f aca="false">IF(C1734=0,"",IF($A1734="Bank",IF(INDEX(Bank!$G:$G,$C1734)="","",INDEX(Bank!$G:$G,$C1734)),IF(INDEX(GL!$G:$G,$C1734)="","",INDEX(GL!$G:$G,$C1734))))</f>
        <v/>
      </c>
      <c r="K1734" s="5" t="str">
        <f aca="false">IF(C1734=0,"",IF($A1734="Bank",IF(INDEX(Bank!$I:$I,$C1734)="","",INDEX(Bank!$I:$I,$C1734)),IF(INDEX(GL!$I:$I,$C1734)="","",INDEX(GL!$I:$I,$C1734))))</f>
        <v/>
      </c>
      <c r="L1734" s="5" t="str">
        <f aca="false">IF(B1734="","",IF(C1734=0,"NOT FOUND",IF(IF($A1734="Bank",INDEX(Bank!$F:$F,$C1734),INDEX(GL!$F:$F,$C1734))="Y","NOW RECONCILED: refresh","OK")))</f>
        <v/>
      </c>
    </row>
    <row r="1735" customFormat="false" ht="15" hidden="false" customHeight="false" outlineLevel="0" collapsed="false">
      <c r="A1735" s="41"/>
      <c r="B1735" s="41"/>
      <c r="C1735" s="5" t="n">
        <f aca="false">IF(B1735="",0,IF(A1735="Bank",IFERROR(MATCH(B1735,Bank!$A:$A,0),0),IFERROR(MATCH(B1735,GL!$A:$A,0),0)))</f>
        <v>0</v>
      </c>
      <c r="D1735" s="32" t="str">
        <f aca="false">IF(C1735=0,"",IF($A1735="Bank",INDEX(Bank!$B:$B,$C1735),INDEX(GL!$B:$B,$C1735)))</f>
        <v/>
      </c>
      <c r="E1735" s="5" t="str">
        <f aca="false">IF(C1735=0,"",IF($A1735="Bank",IF(INDEX(Bank!$C:$C,$C1735)="","",INDEX(Bank!$C:$C,$C1735)),IF(INDEX(GL!$C:$C,$C1735)="","",INDEX(GL!$C:$C,$C1735))))</f>
        <v/>
      </c>
      <c r="F1735" s="5" t="str">
        <f aca="false">IF(C1735=0,"",IF($A1735="Bank",IF(INDEX(Bank!$D:$D,$C1735)="","",INDEX(Bank!$D:$D,$C1735)),IF(INDEX(GL!$D:$D,$C1735)="","",INDEX(GL!$D:$D,$C1735))))</f>
        <v/>
      </c>
      <c r="G1735" s="19" t="str">
        <f aca="false">IF(C1735=0,"",IF($A1735="Bank",INDEX(Bank!$E:$E,$C1735),INDEX(GL!$E:$E,$C1735)))</f>
        <v/>
      </c>
      <c r="H1735" s="5" t="str">
        <f aca="false">IF(C1735=0,"",IF(A1735="GL",IF(G1735&gt;0,"Deposit in transit","Outstanding check / payment"),IF(G1735&gt;0,"Bank credit not in GL","Bank debit not in GL")))</f>
        <v/>
      </c>
      <c r="I1735" s="42" t="str">
        <f aca="false">IF(OR(C1735=0,CFG_PeriodEnd=""),"",CFG_PeriodEnd-D1735)</f>
        <v/>
      </c>
      <c r="J1735" s="5" t="str">
        <f aca="false">IF(C1735=0,"",IF($A1735="Bank",IF(INDEX(Bank!$G:$G,$C1735)="","",INDEX(Bank!$G:$G,$C1735)),IF(INDEX(GL!$G:$G,$C1735)="","",INDEX(GL!$G:$G,$C1735))))</f>
        <v/>
      </c>
      <c r="K1735" s="5" t="str">
        <f aca="false">IF(C1735=0,"",IF($A1735="Bank",IF(INDEX(Bank!$I:$I,$C1735)="","",INDEX(Bank!$I:$I,$C1735)),IF(INDEX(GL!$I:$I,$C1735)="","",INDEX(GL!$I:$I,$C1735))))</f>
        <v/>
      </c>
      <c r="L1735" s="5" t="str">
        <f aca="false">IF(B1735="","",IF(C1735=0,"NOT FOUND",IF(IF($A1735="Bank",INDEX(Bank!$F:$F,$C1735),INDEX(GL!$F:$F,$C1735))="Y","NOW RECONCILED: refresh","OK")))</f>
        <v/>
      </c>
    </row>
    <row r="1736" customFormat="false" ht="15" hidden="false" customHeight="false" outlineLevel="0" collapsed="false">
      <c r="A1736" s="41"/>
      <c r="B1736" s="41"/>
      <c r="C1736" s="5" t="n">
        <f aca="false">IF(B1736="",0,IF(A1736="Bank",IFERROR(MATCH(B1736,Bank!$A:$A,0),0),IFERROR(MATCH(B1736,GL!$A:$A,0),0)))</f>
        <v>0</v>
      </c>
      <c r="D1736" s="32" t="str">
        <f aca="false">IF(C1736=0,"",IF($A1736="Bank",INDEX(Bank!$B:$B,$C1736),INDEX(GL!$B:$B,$C1736)))</f>
        <v/>
      </c>
      <c r="E1736" s="5" t="str">
        <f aca="false">IF(C1736=0,"",IF($A1736="Bank",IF(INDEX(Bank!$C:$C,$C1736)="","",INDEX(Bank!$C:$C,$C1736)),IF(INDEX(GL!$C:$C,$C1736)="","",INDEX(GL!$C:$C,$C1736))))</f>
        <v/>
      </c>
      <c r="F1736" s="5" t="str">
        <f aca="false">IF(C1736=0,"",IF($A1736="Bank",IF(INDEX(Bank!$D:$D,$C1736)="","",INDEX(Bank!$D:$D,$C1736)),IF(INDEX(GL!$D:$D,$C1736)="","",INDEX(GL!$D:$D,$C1736))))</f>
        <v/>
      </c>
      <c r="G1736" s="19" t="str">
        <f aca="false">IF(C1736=0,"",IF($A1736="Bank",INDEX(Bank!$E:$E,$C1736),INDEX(GL!$E:$E,$C1736)))</f>
        <v/>
      </c>
      <c r="H1736" s="5" t="str">
        <f aca="false">IF(C1736=0,"",IF(A1736="GL",IF(G1736&gt;0,"Deposit in transit","Outstanding check / payment"),IF(G1736&gt;0,"Bank credit not in GL","Bank debit not in GL")))</f>
        <v/>
      </c>
      <c r="I1736" s="42" t="str">
        <f aca="false">IF(OR(C1736=0,CFG_PeriodEnd=""),"",CFG_PeriodEnd-D1736)</f>
        <v/>
      </c>
      <c r="J1736" s="5" t="str">
        <f aca="false">IF(C1736=0,"",IF($A1736="Bank",IF(INDEX(Bank!$G:$G,$C1736)="","",INDEX(Bank!$G:$G,$C1736)),IF(INDEX(GL!$G:$G,$C1736)="","",INDEX(GL!$G:$G,$C1736))))</f>
        <v/>
      </c>
      <c r="K1736" s="5" t="str">
        <f aca="false">IF(C1736=0,"",IF($A1736="Bank",IF(INDEX(Bank!$I:$I,$C1736)="","",INDEX(Bank!$I:$I,$C1736)),IF(INDEX(GL!$I:$I,$C1736)="","",INDEX(GL!$I:$I,$C1736))))</f>
        <v/>
      </c>
      <c r="L1736" s="5" t="str">
        <f aca="false">IF(B1736="","",IF(C1736=0,"NOT FOUND",IF(IF($A1736="Bank",INDEX(Bank!$F:$F,$C1736),INDEX(GL!$F:$F,$C1736))="Y","NOW RECONCILED: refresh","OK")))</f>
        <v/>
      </c>
    </row>
    <row r="1737" customFormat="false" ht="15" hidden="false" customHeight="false" outlineLevel="0" collapsed="false">
      <c r="A1737" s="41"/>
      <c r="B1737" s="41"/>
      <c r="C1737" s="5" t="n">
        <f aca="false">IF(B1737="",0,IF(A1737="Bank",IFERROR(MATCH(B1737,Bank!$A:$A,0),0),IFERROR(MATCH(B1737,GL!$A:$A,0),0)))</f>
        <v>0</v>
      </c>
      <c r="D1737" s="32" t="str">
        <f aca="false">IF(C1737=0,"",IF($A1737="Bank",INDEX(Bank!$B:$B,$C1737),INDEX(GL!$B:$B,$C1737)))</f>
        <v/>
      </c>
      <c r="E1737" s="5" t="str">
        <f aca="false">IF(C1737=0,"",IF($A1737="Bank",IF(INDEX(Bank!$C:$C,$C1737)="","",INDEX(Bank!$C:$C,$C1737)),IF(INDEX(GL!$C:$C,$C1737)="","",INDEX(GL!$C:$C,$C1737))))</f>
        <v/>
      </c>
      <c r="F1737" s="5" t="str">
        <f aca="false">IF(C1737=0,"",IF($A1737="Bank",IF(INDEX(Bank!$D:$D,$C1737)="","",INDEX(Bank!$D:$D,$C1737)),IF(INDEX(GL!$D:$D,$C1737)="","",INDEX(GL!$D:$D,$C1737))))</f>
        <v/>
      </c>
      <c r="G1737" s="19" t="str">
        <f aca="false">IF(C1737=0,"",IF($A1737="Bank",INDEX(Bank!$E:$E,$C1737),INDEX(GL!$E:$E,$C1737)))</f>
        <v/>
      </c>
      <c r="H1737" s="5" t="str">
        <f aca="false">IF(C1737=0,"",IF(A1737="GL",IF(G1737&gt;0,"Deposit in transit","Outstanding check / payment"),IF(G1737&gt;0,"Bank credit not in GL","Bank debit not in GL")))</f>
        <v/>
      </c>
      <c r="I1737" s="42" t="str">
        <f aca="false">IF(OR(C1737=0,CFG_PeriodEnd=""),"",CFG_PeriodEnd-D1737)</f>
        <v/>
      </c>
      <c r="J1737" s="5" t="str">
        <f aca="false">IF(C1737=0,"",IF($A1737="Bank",IF(INDEX(Bank!$G:$G,$C1737)="","",INDEX(Bank!$G:$G,$C1737)),IF(INDEX(GL!$G:$G,$C1737)="","",INDEX(GL!$G:$G,$C1737))))</f>
        <v/>
      </c>
      <c r="K1737" s="5" t="str">
        <f aca="false">IF(C1737=0,"",IF($A1737="Bank",IF(INDEX(Bank!$I:$I,$C1737)="","",INDEX(Bank!$I:$I,$C1737)),IF(INDEX(GL!$I:$I,$C1737)="","",INDEX(GL!$I:$I,$C1737))))</f>
        <v/>
      </c>
      <c r="L1737" s="5" t="str">
        <f aca="false">IF(B1737="","",IF(C1737=0,"NOT FOUND",IF(IF($A1737="Bank",INDEX(Bank!$F:$F,$C1737),INDEX(GL!$F:$F,$C1737))="Y","NOW RECONCILED: refresh","OK")))</f>
        <v/>
      </c>
    </row>
    <row r="1738" customFormat="false" ht="15" hidden="false" customHeight="false" outlineLevel="0" collapsed="false">
      <c r="A1738" s="41"/>
      <c r="B1738" s="41"/>
      <c r="C1738" s="5" t="n">
        <f aca="false">IF(B1738="",0,IF(A1738="Bank",IFERROR(MATCH(B1738,Bank!$A:$A,0),0),IFERROR(MATCH(B1738,GL!$A:$A,0),0)))</f>
        <v>0</v>
      </c>
      <c r="D1738" s="32" t="str">
        <f aca="false">IF(C1738=0,"",IF($A1738="Bank",INDEX(Bank!$B:$B,$C1738),INDEX(GL!$B:$B,$C1738)))</f>
        <v/>
      </c>
      <c r="E1738" s="5" t="str">
        <f aca="false">IF(C1738=0,"",IF($A1738="Bank",IF(INDEX(Bank!$C:$C,$C1738)="","",INDEX(Bank!$C:$C,$C1738)),IF(INDEX(GL!$C:$C,$C1738)="","",INDEX(GL!$C:$C,$C1738))))</f>
        <v/>
      </c>
      <c r="F1738" s="5" t="str">
        <f aca="false">IF(C1738=0,"",IF($A1738="Bank",IF(INDEX(Bank!$D:$D,$C1738)="","",INDEX(Bank!$D:$D,$C1738)),IF(INDEX(GL!$D:$D,$C1738)="","",INDEX(GL!$D:$D,$C1738))))</f>
        <v/>
      </c>
      <c r="G1738" s="19" t="str">
        <f aca="false">IF(C1738=0,"",IF($A1738="Bank",INDEX(Bank!$E:$E,$C1738),INDEX(GL!$E:$E,$C1738)))</f>
        <v/>
      </c>
      <c r="H1738" s="5" t="str">
        <f aca="false">IF(C1738=0,"",IF(A1738="GL",IF(G1738&gt;0,"Deposit in transit","Outstanding check / payment"),IF(G1738&gt;0,"Bank credit not in GL","Bank debit not in GL")))</f>
        <v/>
      </c>
      <c r="I1738" s="42" t="str">
        <f aca="false">IF(OR(C1738=0,CFG_PeriodEnd=""),"",CFG_PeriodEnd-D1738)</f>
        <v/>
      </c>
      <c r="J1738" s="5" t="str">
        <f aca="false">IF(C1738=0,"",IF($A1738="Bank",IF(INDEX(Bank!$G:$G,$C1738)="","",INDEX(Bank!$G:$G,$C1738)),IF(INDEX(GL!$G:$G,$C1738)="","",INDEX(GL!$G:$G,$C1738))))</f>
        <v/>
      </c>
      <c r="K1738" s="5" t="str">
        <f aca="false">IF(C1738=0,"",IF($A1738="Bank",IF(INDEX(Bank!$I:$I,$C1738)="","",INDEX(Bank!$I:$I,$C1738)),IF(INDEX(GL!$I:$I,$C1738)="","",INDEX(GL!$I:$I,$C1738))))</f>
        <v/>
      </c>
      <c r="L1738" s="5" t="str">
        <f aca="false">IF(B1738="","",IF(C1738=0,"NOT FOUND",IF(IF($A1738="Bank",INDEX(Bank!$F:$F,$C1738),INDEX(GL!$F:$F,$C1738))="Y","NOW RECONCILED: refresh","OK")))</f>
        <v/>
      </c>
    </row>
    <row r="1739" customFormat="false" ht="15" hidden="false" customHeight="false" outlineLevel="0" collapsed="false">
      <c r="A1739" s="41"/>
      <c r="B1739" s="41"/>
      <c r="C1739" s="5" t="n">
        <f aca="false">IF(B1739="",0,IF(A1739="Bank",IFERROR(MATCH(B1739,Bank!$A:$A,0),0),IFERROR(MATCH(B1739,GL!$A:$A,0),0)))</f>
        <v>0</v>
      </c>
      <c r="D1739" s="32" t="str">
        <f aca="false">IF(C1739=0,"",IF($A1739="Bank",INDEX(Bank!$B:$B,$C1739),INDEX(GL!$B:$B,$C1739)))</f>
        <v/>
      </c>
      <c r="E1739" s="5" t="str">
        <f aca="false">IF(C1739=0,"",IF($A1739="Bank",IF(INDEX(Bank!$C:$C,$C1739)="","",INDEX(Bank!$C:$C,$C1739)),IF(INDEX(GL!$C:$C,$C1739)="","",INDEX(GL!$C:$C,$C1739))))</f>
        <v/>
      </c>
      <c r="F1739" s="5" t="str">
        <f aca="false">IF(C1739=0,"",IF($A1739="Bank",IF(INDEX(Bank!$D:$D,$C1739)="","",INDEX(Bank!$D:$D,$C1739)),IF(INDEX(GL!$D:$D,$C1739)="","",INDEX(GL!$D:$D,$C1739))))</f>
        <v/>
      </c>
      <c r="G1739" s="19" t="str">
        <f aca="false">IF(C1739=0,"",IF($A1739="Bank",INDEX(Bank!$E:$E,$C1739),INDEX(GL!$E:$E,$C1739)))</f>
        <v/>
      </c>
      <c r="H1739" s="5" t="str">
        <f aca="false">IF(C1739=0,"",IF(A1739="GL",IF(G1739&gt;0,"Deposit in transit","Outstanding check / payment"),IF(G1739&gt;0,"Bank credit not in GL","Bank debit not in GL")))</f>
        <v/>
      </c>
      <c r="I1739" s="42" t="str">
        <f aca="false">IF(OR(C1739=0,CFG_PeriodEnd=""),"",CFG_PeriodEnd-D1739)</f>
        <v/>
      </c>
      <c r="J1739" s="5" t="str">
        <f aca="false">IF(C1739=0,"",IF($A1739="Bank",IF(INDEX(Bank!$G:$G,$C1739)="","",INDEX(Bank!$G:$G,$C1739)),IF(INDEX(GL!$G:$G,$C1739)="","",INDEX(GL!$G:$G,$C1739))))</f>
        <v/>
      </c>
      <c r="K1739" s="5" t="str">
        <f aca="false">IF(C1739=0,"",IF($A1739="Bank",IF(INDEX(Bank!$I:$I,$C1739)="","",INDEX(Bank!$I:$I,$C1739)),IF(INDEX(GL!$I:$I,$C1739)="","",INDEX(GL!$I:$I,$C1739))))</f>
        <v/>
      </c>
      <c r="L1739" s="5" t="str">
        <f aca="false">IF(B1739="","",IF(C1739=0,"NOT FOUND",IF(IF($A1739="Bank",INDEX(Bank!$F:$F,$C1739),INDEX(GL!$F:$F,$C1739))="Y","NOW RECONCILED: refresh","OK")))</f>
        <v/>
      </c>
    </row>
    <row r="1740" customFormat="false" ht="15" hidden="false" customHeight="false" outlineLevel="0" collapsed="false">
      <c r="A1740" s="41"/>
      <c r="B1740" s="41"/>
      <c r="C1740" s="5" t="n">
        <f aca="false">IF(B1740="",0,IF(A1740="Bank",IFERROR(MATCH(B1740,Bank!$A:$A,0),0),IFERROR(MATCH(B1740,GL!$A:$A,0),0)))</f>
        <v>0</v>
      </c>
      <c r="D1740" s="32" t="str">
        <f aca="false">IF(C1740=0,"",IF($A1740="Bank",INDEX(Bank!$B:$B,$C1740),INDEX(GL!$B:$B,$C1740)))</f>
        <v/>
      </c>
      <c r="E1740" s="5" t="str">
        <f aca="false">IF(C1740=0,"",IF($A1740="Bank",IF(INDEX(Bank!$C:$C,$C1740)="","",INDEX(Bank!$C:$C,$C1740)),IF(INDEX(GL!$C:$C,$C1740)="","",INDEX(GL!$C:$C,$C1740))))</f>
        <v/>
      </c>
      <c r="F1740" s="5" t="str">
        <f aca="false">IF(C1740=0,"",IF($A1740="Bank",IF(INDEX(Bank!$D:$D,$C1740)="","",INDEX(Bank!$D:$D,$C1740)),IF(INDEX(GL!$D:$D,$C1740)="","",INDEX(GL!$D:$D,$C1740))))</f>
        <v/>
      </c>
      <c r="G1740" s="19" t="str">
        <f aca="false">IF(C1740=0,"",IF($A1740="Bank",INDEX(Bank!$E:$E,$C1740),INDEX(GL!$E:$E,$C1740)))</f>
        <v/>
      </c>
      <c r="H1740" s="5" t="str">
        <f aca="false">IF(C1740=0,"",IF(A1740="GL",IF(G1740&gt;0,"Deposit in transit","Outstanding check / payment"),IF(G1740&gt;0,"Bank credit not in GL","Bank debit not in GL")))</f>
        <v/>
      </c>
      <c r="I1740" s="42" t="str">
        <f aca="false">IF(OR(C1740=0,CFG_PeriodEnd=""),"",CFG_PeriodEnd-D1740)</f>
        <v/>
      </c>
      <c r="J1740" s="5" t="str">
        <f aca="false">IF(C1740=0,"",IF($A1740="Bank",IF(INDEX(Bank!$G:$G,$C1740)="","",INDEX(Bank!$G:$G,$C1740)),IF(INDEX(GL!$G:$G,$C1740)="","",INDEX(GL!$G:$G,$C1740))))</f>
        <v/>
      </c>
      <c r="K1740" s="5" t="str">
        <f aca="false">IF(C1740=0,"",IF($A1740="Bank",IF(INDEX(Bank!$I:$I,$C1740)="","",INDEX(Bank!$I:$I,$C1740)),IF(INDEX(GL!$I:$I,$C1740)="","",INDEX(GL!$I:$I,$C1740))))</f>
        <v/>
      </c>
      <c r="L1740" s="5" t="str">
        <f aca="false">IF(B1740="","",IF(C1740=0,"NOT FOUND",IF(IF($A1740="Bank",INDEX(Bank!$F:$F,$C1740),INDEX(GL!$F:$F,$C1740))="Y","NOW RECONCILED: refresh","OK")))</f>
        <v/>
      </c>
    </row>
    <row r="1741" customFormat="false" ht="15" hidden="false" customHeight="false" outlineLevel="0" collapsed="false">
      <c r="A1741" s="41"/>
      <c r="B1741" s="41"/>
      <c r="C1741" s="5" t="n">
        <f aca="false">IF(B1741="",0,IF(A1741="Bank",IFERROR(MATCH(B1741,Bank!$A:$A,0),0),IFERROR(MATCH(B1741,GL!$A:$A,0),0)))</f>
        <v>0</v>
      </c>
      <c r="D1741" s="32" t="str">
        <f aca="false">IF(C1741=0,"",IF($A1741="Bank",INDEX(Bank!$B:$B,$C1741),INDEX(GL!$B:$B,$C1741)))</f>
        <v/>
      </c>
      <c r="E1741" s="5" t="str">
        <f aca="false">IF(C1741=0,"",IF($A1741="Bank",IF(INDEX(Bank!$C:$C,$C1741)="","",INDEX(Bank!$C:$C,$C1741)),IF(INDEX(GL!$C:$C,$C1741)="","",INDEX(GL!$C:$C,$C1741))))</f>
        <v/>
      </c>
      <c r="F1741" s="5" t="str">
        <f aca="false">IF(C1741=0,"",IF($A1741="Bank",IF(INDEX(Bank!$D:$D,$C1741)="","",INDEX(Bank!$D:$D,$C1741)),IF(INDEX(GL!$D:$D,$C1741)="","",INDEX(GL!$D:$D,$C1741))))</f>
        <v/>
      </c>
      <c r="G1741" s="19" t="str">
        <f aca="false">IF(C1741=0,"",IF($A1741="Bank",INDEX(Bank!$E:$E,$C1741),INDEX(GL!$E:$E,$C1741)))</f>
        <v/>
      </c>
      <c r="H1741" s="5" t="str">
        <f aca="false">IF(C1741=0,"",IF(A1741="GL",IF(G1741&gt;0,"Deposit in transit","Outstanding check / payment"),IF(G1741&gt;0,"Bank credit not in GL","Bank debit not in GL")))</f>
        <v/>
      </c>
      <c r="I1741" s="42" t="str">
        <f aca="false">IF(OR(C1741=0,CFG_PeriodEnd=""),"",CFG_PeriodEnd-D1741)</f>
        <v/>
      </c>
      <c r="J1741" s="5" t="str">
        <f aca="false">IF(C1741=0,"",IF($A1741="Bank",IF(INDEX(Bank!$G:$G,$C1741)="","",INDEX(Bank!$G:$G,$C1741)),IF(INDEX(GL!$G:$G,$C1741)="","",INDEX(GL!$G:$G,$C1741))))</f>
        <v/>
      </c>
      <c r="K1741" s="5" t="str">
        <f aca="false">IF(C1741=0,"",IF($A1741="Bank",IF(INDEX(Bank!$I:$I,$C1741)="","",INDEX(Bank!$I:$I,$C1741)),IF(INDEX(GL!$I:$I,$C1741)="","",INDEX(GL!$I:$I,$C1741))))</f>
        <v/>
      </c>
      <c r="L1741" s="5" t="str">
        <f aca="false">IF(B1741="","",IF(C1741=0,"NOT FOUND",IF(IF($A1741="Bank",INDEX(Bank!$F:$F,$C1741),INDEX(GL!$F:$F,$C1741))="Y","NOW RECONCILED: refresh","OK")))</f>
        <v/>
      </c>
    </row>
    <row r="1742" customFormat="false" ht="15" hidden="false" customHeight="false" outlineLevel="0" collapsed="false">
      <c r="A1742" s="41"/>
      <c r="B1742" s="41"/>
      <c r="C1742" s="5" t="n">
        <f aca="false">IF(B1742="",0,IF(A1742="Bank",IFERROR(MATCH(B1742,Bank!$A:$A,0),0),IFERROR(MATCH(B1742,GL!$A:$A,0),0)))</f>
        <v>0</v>
      </c>
      <c r="D1742" s="32" t="str">
        <f aca="false">IF(C1742=0,"",IF($A1742="Bank",INDEX(Bank!$B:$B,$C1742),INDEX(GL!$B:$B,$C1742)))</f>
        <v/>
      </c>
      <c r="E1742" s="5" t="str">
        <f aca="false">IF(C1742=0,"",IF($A1742="Bank",IF(INDEX(Bank!$C:$C,$C1742)="","",INDEX(Bank!$C:$C,$C1742)),IF(INDEX(GL!$C:$C,$C1742)="","",INDEX(GL!$C:$C,$C1742))))</f>
        <v/>
      </c>
      <c r="F1742" s="5" t="str">
        <f aca="false">IF(C1742=0,"",IF($A1742="Bank",IF(INDEX(Bank!$D:$D,$C1742)="","",INDEX(Bank!$D:$D,$C1742)),IF(INDEX(GL!$D:$D,$C1742)="","",INDEX(GL!$D:$D,$C1742))))</f>
        <v/>
      </c>
      <c r="G1742" s="19" t="str">
        <f aca="false">IF(C1742=0,"",IF($A1742="Bank",INDEX(Bank!$E:$E,$C1742),INDEX(GL!$E:$E,$C1742)))</f>
        <v/>
      </c>
      <c r="H1742" s="5" t="str">
        <f aca="false">IF(C1742=0,"",IF(A1742="GL",IF(G1742&gt;0,"Deposit in transit","Outstanding check / payment"),IF(G1742&gt;0,"Bank credit not in GL","Bank debit not in GL")))</f>
        <v/>
      </c>
      <c r="I1742" s="42" t="str">
        <f aca="false">IF(OR(C1742=0,CFG_PeriodEnd=""),"",CFG_PeriodEnd-D1742)</f>
        <v/>
      </c>
      <c r="J1742" s="5" t="str">
        <f aca="false">IF(C1742=0,"",IF($A1742="Bank",IF(INDEX(Bank!$G:$G,$C1742)="","",INDEX(Bank!$G:$G,$C1742)),IF(INDEX(GL!$G:$G,$C1742)="","",INDEX(GL!$G:$G,$C1742))))</f>
        <v/>
      </c>
      <c r="K1742" s="5" t="str">
        <f aca="false">IF(C1742=0,"",IF($A1742="Bank",IF(INDEX(Bank!$I:$I,$C1742)="","",INDEX(Bank!$I:$I,$C1742)),IF(INDEX(GL!$I:$I,$C1742)="","",INDEX(GL!$I:$I,$C1742))))</f>
        <v/>
      </c>
      <c r="L1742" s="5" t="str">
        <f aca="false">IF(B1742="","",IF(C1742=0,"NOT FOUND",IF(IF($A1742="Bank",INDEX(Bank!$F:$F,$C1742),INDEX(GL!$F:$F,$C1742))="Y","NOW RECONCILED: refresh","OK")))</f>
        <v/>
      </c>
    </row>
    <row r="1743" customFormat="false" ht="15" hidden="false" customHeight="false" outlineLevel="0" collapsed="false">
      <c r="A1743" s="41"/>
      <c r="B1743" s="41"/>
      <c r="C1743" s="5" t="n">
        <f aca="false">IF(B1743="",0,IF(A1743="Bank",IFERROR(MATCH(B1743,Bank!$A:$A,0),0),IFERROR(MATCH(B1743,GL!$A:$A,0),0)))</f>
        <v>0</v>
      </c>
      <c r="D1743" s="32" t="str">
        <f aca="false">IF(C1743=0,"",IF($A1743="Bank",INDEX(Bank!$B:$B,$C1743),INDEX(GL!$B:$B,$C1743)))</f>
        <v/>
      </c>
      <c r="E1743" s="5" t="str">
        <f aca="false">IF(C1743=0,"",IF($A1743="Bank",IF(INDEX(Bank!$C:$C,$C1743)="","",INDEX(Bank!$C:$C,$C1743)),IF(INDEX(GL!$C:$C,$C1743)="","",INDEX(GL!$C:$C,$C1743))))</f>
        <v/>
      </c>
      <c r="F1743" s="5" t="str">
        <f aca="false">IF(C1743=0,"",IF($A1743="Bank",IF(INDEX(Bank!$D:$D,$C1743)="","",INDEX(Bank!$D:$D,$C1743)),IF(INDEX(GL!$D:$D,$C1743)="","",INDEX(GL!$D:$D,$C1743))))</f>
        <v/>
      </c>
      <c r="G1743" s="19" t="str">
        <f aca="false">IF(C1743=0,"",IF($A1743="Bank",INDEX(Bank!$E:$E,$C1743),INDEX(GL!$E:$E,$C1743)))</f>
        <v/>
      </c>
      <c r="H1743" s="5" t="str">
        <f aca="false">IF(C1743=0,"",IF(A1743="GL",IF(G1743&gt;0,"Deposit in transit","Outstanding check / payment"),IF(G1743&gt;0,"Bank credit not in GL","Bank debit not in GL")))</f>
        <v/>
      </c>
      <c r="I1743" s="42" t="str">
        <f aca="false">IF(OR(C1743=0,CFG_PeriodEnd=""),"",CFG_PeriodEnd-D1743)</f>
        <v/>
      </c>
      <c r="J1743" s="5" t="str">
        <f aca="false">IF(C1743=0,"",IF($A1743="Bank",IF(INDEX(Bank!$G:$G,$C1743)="","",INDEX(Bank!$G:$G,$C1743)),IF(INDEX(GL!$G:$G,$C1743)="","",INDEX(GL!$G:$G,$C1743))))</f>
        <v/>
      </c>
      <c r="K1743" s="5" t="str">
        <f aca="false">IF(C1743=0,"",IF($A1743="Bank",IF(INDEX(Bank!$I:$I,$C1743)="","",INDEX(Bank!$I:$I,$C1743)),IF(INDEX(GL!$I:$I,$C1743)="","",INDEX(GL!$I:$I,$C1743))))</f>
        <v/>
      </c>
      <c r="L1743" s="5" t="str">
        <f aca="false">IF(B1743="","",IF(C1743=0,"NOT FOUND",IF(IF($A1743="Bank",INDEX(Bank!$F:$F,$C1743),INDEX(GL!$F:$F,$C1743))="Y","NOW RECONCILED: refresh","OK")))</f>
        <v/>
      </c>
    </row>
    <row r="1744" customFormat="false" ht="15" hidden="false" customHeight="false" outlineLevel="0" collapsed="false">
      <c r="A1744" s="41"/>
      <c r="B1744" s="41"/>
      <c r="C1744" s="5" t="n">
        <f aca="false">IF(B1744="",0,IF(A1744="Bank",IFERROR(MATCH(B1744,Bank!$A:$A,0),0),IFERROR(MATCH(B1744,GL!$A:$A,0),0)))</f>
        <v>0</v>
      </c>
      <c r="D1744" s="32" t="str">
        <f aca="false">IF(C1744=0,"",IF($A1744="Bank",INDEX(Bank!$B:$B,$C1744),INDEX(GL!$B:$B,$C1744)))</f>
        <v/>
      </c>
      <c r="E1744" s="5" t="str">
        <f aca="false">IF(C1744=0,"",IF($A1744="Bank",IF(INDEX(Bank!$C:$C,$C1744)="","",INDEX(Bank!$C:$C,$C1744)),IF(INDEX(GL!$C:$C,$C1744)="","",INDEX(GL!$C:$C,$C1744))))</f>
        <v/>
      </c>
      <c r="F1744" s="5" t="str">
        <f aca="false">IF(C1744=0,"",IF($A1744="Bank",IF(INDEX(Bank!$D:$D,$C1744)="","",INDEX(Bank!$D:$D,$C1744)),IF(INDEX(GL!$D:$D,$C1744)="","",INDEX(GL!$D:$D,$C1744))))</f>
        <v/>
      </c>
      <c r="G1744" s="19" t="str">
        <f aca="false">IF(C1744=0,"",IF($A1744="Bank",INDEX(Bank!$E:$E,$C1744),INDEX(GL!$E:$E,$C1744)))</f>
        <v/>
      </c>
      <c r="H1744" s="5" t="str">
        <f aca="false">IF(C1744=0,"",IF(A1744="GL",IF(G1744&gt;0,"Deposit in transit","Outstanding check / payment"),IF(G1744&gt;0,"Bank credit not in GL","Bank debit not in GL")))</f>
        <v/>
      </c>
      <c r="I1744" s="42" t="str">
        <f aca="false">IF(OR(C1744=0,CFG_PeriodEnd=""),"",CFG_PeriodEnd-D1744)</f>
        <v/>
      </c>
      <c r="J1744" s="5" t="str">
        <f aca="false">IF(C1744=0,"",IF($A1744="Bank",IF(INDEX(Bank!$G:$G,$C1744)="","",INDEX(Bank!$G:$G,$C1744)),IF(INDEX(GL!$G:$G,$C1744)="","",INDEX(GL!$G:$G,$C1744))))</f>
        <v/>
      </c>
      <c r="K1744" s="5" t="str">
        <f aca="false">IF(C1744=0,"",IF($A1744="Bank",IF(INDEX(Bank!$I:$I,$C1744)="","",INDEX(Bank!$I:$I,$C1744)),IF(INDEX(GL!$I:$I,$C1744)="","",INDEX(GL!$I:$I,$C1744))))</f>
        <v/>
      </c>
      <c r="L1744" s="5" t="str">
        <f aca="false">IF(B1744="","",IF(C1744=0,"NOT FOUND",IF(IF($A1744="Bank",INDEX(Bank!$F:$F,$C1744),INDEX(GL!$F:$F,$C1744))="Y","NOW RECONCILED: refresh","OK")))</f>
        <v/>
      </c>
    </row>
    <row r="1745" customFormat="false" ht="15" hidden="false" customHeight="false" outlineLevel="0" collapsed="false">
      <c r="A1745" s="41"/>
      <c r="B1745" s="41"/>
      <c r="C1745" s="5" t="n">
        <f aca="false">IF(B1745="",0,IF(A1745="Bank",IFERROR(MATCH(B1745,Bank!$A:$A,0),0),IFERROR(MATCH(B1745,GL!$A:$A,0),0)))</f>
        <v>0</v>
      </c>
      <c r="D1745" s="32" t="str">
        <f aca="false">IF(C1745=0,"",IF($A1745="Bank",INDEX(Bank!$B:$B,$C1745),INDEX(GL!$B:$B,$C1745)))</f>
        <v/>
      </c>
      <c r="E1745" s="5" t="str">
        <f aca="false">IF(C1745=0,"",IF($A1745="Bank",IF(INDEX(Bank!$C:$C,$C1745)="","",INDEX(Bank!$C:$C,$C1745)),IF(INDEX(GL!$C:$C,$C1745)="","",INDEX(GL!$C:$C,$C1745))))</f>
        <v/>
      </c>
      <c r="F1745" s="5" t="str">
        <f aca="false">IF(C1745=0,"",IF($A1745="Bank",IF(INDEX(Bank!$D:$D,$C1745)="","",INDEX(Bank!$D:$D,$C1745)),IF(INDEX(GL!$D:$D,$C1745)="","",INDEX(GL!$D:$D,$C1745))))</f>
        <v/>
      </c>
      <c r="G1745" s="19" t="str">
        <f aca="false">IF(C1745=0,"",IF($A1745="Bank",INDEX(Bank!$E:$E,$C1745),INDEX(GL!$E:$E,$C1745)))</f>
        <v/>
      </c>
      <c r="H1745" s="5" t="str">
        <f aca="false">IF(C1745=0,"",IF(A1745="GL",IF(G1745&gt;0,"Deposit in transit","Outstanding check / payment"),IF(G1745&gt;0,"Bank credit not in GL","Bank debit not in GL")))</f>
        <v/>
      </c>
      <c r="I1745" s="42" t="str">
        <f aca="false">IF(OR(C1745=0,CFG_PeriodEnd=""),"",CFG_PeriodEnd-D1745)</f>
        <v/>
      </c>
      <c r="J1745" s="5" t="str">
        <f aca="false">IF(C1745=0,"",IF($A1745="Bank",IF(INDEX(Bank!$G:$G,$C1745)="","",INDEX(Bank!$G:$G,$C1745)),IF(INDEX(GL!$G:$G,$C1745)="","",INDEX(GL!$G:$G,$C1745))))</f>
        <v/>
      </c>
      <c r="K1745" s="5" t="str">
        <f aca="false">IF(C1745=0,"",IF($A1745="Bank",IF(INDEX(Bank!$I:$I,$C1745)="","",INDEX(Bank!$I:$I,$C1745)),IF(INDEX(GL!$I:$I,$C1745)="","",INDEX(GL!$I:$I,$C1745))))</f>
        <v/>
      </c>
      <c r="L1745" s="5" t="str">
        <f aca="false">IF(B1745="","",IF(C1745=0,"NOT FOUND",IF(IF($A1745="Bank",INDEX(Bank!$F:$F,$C1745),INDEX(GL!$F:$F,$C1745))="Y","NOW RECONCILED: refresh","OK")))</f>
        <v/>
      </c>
    </row>
    <row r="1746" customFormat="false" ht="15" hidden="false" customHeight="false" outlineLevel="0" collapsed="false">
      <c r="A1746" s="41"/>
      <c r="B1746" s="41"/>
      <c r="C1746" s="5" t="n">
        <f aca="false">IF(B1746="",0,IF(A1746="Bank",IFERROR(MATCH(B1746,Bank!$A:$A,0),0),IFERROR(MATCH(B1746,GL!$A:$A,0),0)))</f>
        <v>0</v>
      </c>
      <c r="D1746" s="32" t="str">
        <f aca="false">IF(C1746=0,"",IF($A1746="Bank",INDEX(Bank!$B:$B,$C1746),INDEX(GL!$B:$B,$C1746)))</f>
        <v/>
      </c>
      <c r="E1746" s="5" t="str">
        <f aca="false">IF(C1746=0,"",IF($A1746="Bank",IF(INDEX(Bank!$C:$C,$C1746)="","",INDEX(Bank!$C:$C,$C1746)),IF(INDEX(GL!$C:$C,$C1746)="","",INDEX(GL!$C:$C,$C1746))))</f>
        <v/>
      </c>
      <c r="F1746" s="5" t="str">
        <f aca="false">IF(C1746=0,"",IF($A1746="Bank",IF(INDEX(Bank!$D:$D,$C1746)="","",INDEX(Bank!$D:$D,$C1746)),IF(INDEX(GL!$D:$D,$C1746)="","",INDEX(GL!$D:$D,$C1746))))</f>
        <v/>
      </c>
      <c r="G1746" s="19" t="str">
        <f aca="false">IF(C1746=0,"",IF($A1746="Bank",INDEX(Bank!$E:$E,$C1746),INDEX(GL!$E:$E,$C1746)))</f>
        <v/>
      </c>
      <c r="H1746" s="5" t="str">
        <f aca="false">IF(C1746=0,"",IF(A1746="GL",IF(G1746&gt;0,"Deposit in transit","Outstanding check / payment"),IF(G1746&gt;0,"Bank credit not in GL","Bank debit not in GL")))</f>
        <v/>
      </c>
      <c r="I1746" s="42" t="str">
        <f aca="false">IF(OR(C1746=0,CFG_PeriodEnd=""),"",CFG_PeriodEnd-D1746)</f>
        <v/>
      </c>
      <c r="J1746" s="5" t="str">
        <f aca="false">IF(C1746=0,"",IF($A1746="Bank",IF(INDEX(Bank!$G:$G,$C1746)="","",INDEX(Bank!$G:$G,$C1746)),IF(INDEX(GL!$G:$G,$C1746)="","",INDEX(GL!$G:$G,$C1746))))</f>
        <v/>
      </c>
      <c r="K1746" s="5" t="str">
        <f aca="false">IF(C1746=0,"",IF($A1746="Bank",IF(INDEX(Bank!$I:$I,$C1746)="","",INDEX(Bank!$I:$I,$C1746)),IF(INDEX(GL!$I:$I,$C1746)="","",INDEX(GL!$I:$I,$C1746))))</f>
        <v/>
      </c>
      <c r="L1746" s="5" t="str">
        <f aca="false">IF(B1746="","",IF(C1746=0,"NOT FOUND",IF(IF($A1746="Bank",INDEX(Bank!$F:$F,$C1746),INDEX(GL!$F:$F,$C1746))="Y","NOW RECONCILED: refresh","OK")))</f>
        <v/>
      </c>
    </row>
    <row r="1747" customFormat="false" ht="15" hidden="false" customHeight="false" outlineLevel="0" collapsed="false">
      <c r="A1747" s="41"/>
      <c r="B1747" s="41"/>
      <c r="C1747" s="5" t="n">
        <f aca="false">IF(B1747="",0,IF(A1747="Bank",IFERROR(MATCH(B1747,Bank!$A:$A,0),0),IFERROR(MATCH(B1747,GL!$A:$A,0),0)))</f>
        <v>0</v>
      </c>
      <c r="D1747" s="32" t="str">
        <f aca="false">IF(C1747=0,"",IF($A1747="Bank",INDEX(Bank!$B:$B,$C1747),INDEX(GL!$B:$B,$C1747)))</f>
        <v/>
      </c>
      <c r="E1747" s="5" t="str">
        <f aca="false">IF(C1747=0,"",IF($A1747="Bank",IF(INDEX(Bank!$C:$C,$C1747)="","",INDEX(Bank!$C:$C,$C1747)),IF(INDEX(GL!$C:$C,$C1747)="","",INDEX(GL!$C:$C,$C1747))))</f>
        <v/>
      </c>
      <c r="F1747" s="5" t="str">
        <f aca="false">IF(C1747=0,"",IF($A1747="Bank",IF(INDEX(Bank!$D:$D,$C1747)="","",INDEX(Bank!$D:$D,$C1747)),IF(INDEX(GL!$D:$D,$C1747)="","",INDEX(GL!$D:$D,$C1747))))</f>
        <v/>
      </c>
      <c r="G1747" s="19" t="str">
        <f aca="false">IF(C1747=0,"",IF($A1747="Bank",INDEX(Bank!$E:$E,$C1747),INDEX(GL!$E:$E,$C1747)))</f>
        <v/>
      </c>
      <c r="H1747" s="5" t="str">
        <f aca="false">IF(C1747=0,"",IF(A1747="GL",IF(G1747&gt;0,"Deposit in transit","Outstanding check / payment"),IF(G1747&gt;0,"Bank credit not in GL","Bank debit not in GL")))</f>
        <v/>
      </c>
      <c r="I1747" s="42" t="str">
        <f aca="false">IF(OR(C1747=0,CFG_PeriodEnd=""),"",CFG_PeriodEnd-D1747)</f>
        <v/>
      </c>
      <c r="J1747" s="5" t="str">
        <f aca="false">IF(C1747=0,"",IF($A1747="Bank",IF(INDEX(Bank!$G:$G,$C1747)="","",INDEX(Bank!$G:$G,$C1747)),IF(INDEX(GL!$G:$G,$C1747)="","",INDEX(GL!$G:$G,$C1747))))</f>
        <v/>
      </c>
      <c r="K1747" s="5" t="str">
        <f aca="false">IF(C1747=0,"",IF($A1747="Bank",IF(INDEX(Bank!$I:$I,$C1747)="","",INDEX(Bank!$I:$I,$C1747)),IF(INDEX(GL!$I:$I,$C1747)="","",INDEX(GL!$I:$I,$C1747))))</f>
        <v/>
      </c>
      <c r="L1747" s="5" t="str">
        <f aca="false">IF(B1747="","",IF(C1747=0,"NOT FOUND",IF(IF($A1747="Bank",INDEX(Bank!$F:$F,$C1747),INDEX(GL!$F:$F,$C1747))="Y","NOW RECONCILED: refresh","OK")))</f>
        <v/>
      </c>
    </row>
    <row r="1748" customFormat="false" ht="15" hidden="false" customHeight="false" outlineLevel="0" collapsed="false">
      <c r="A1748" s="41"/>
      <c r="B1748" s="41"/>
      <c r="C1748" s="5" t="n">
        <f aca="false">IF(B1748="",0,IF(A1748="Bank",IFERROR(MATCH(B1748,Bank!$A:$A,0),0),IFERROR(MATCH(B1748,GL!$A:$A,0),0)))</f>
        <v>0</v>
      </c>
      <c r="D1748" s="32" t="str">
        <f aca="false">IF(C1748=0,"",IF($A1748="Bank",INDEX(Bank!$B:$B,$C1748),INDEX(GL!$B:$B,$C1748)))</f>
        <v/>
      </c>
      <c r="E1748" s="5" t="str">
        <f aca="false">IF(C1748=0,"",IF($A1748="Bank",IF(INDEX(Bank!$C:$C,$C1748)="","",INDEX(Bank!$C:$C,$C1748)),IF(INDEX(GL!$C:$C,$C1748)="","",INDEX(GL!$C:$C,$C1748))))</f>
        <v/>
      </c>
      <c r="F1748" s="5" t="str">
        <f aca="false">IF(C1748=0,"",IF($A1748="Bank",IF(INDEX(Bank!$D:$D,$C1748)="","",INDEX(Bank!$D:$D,$C1748)),IF(INDEX(GL!$D:$D,$C1748)="","",INDEX(GL!$D:$D,$C1748))))</f>
        <v/>
      </c>
      <c r="G1748" s="19" t="str">
        <f aca="false">IF(C1748=0,"",IF($A1748="Bank",INDEX(Bank!$E:$E,$C1748),INDEX(GL!$E:$E,$C1748)))</f>
        <v/>
      </c>
      <c r="H1748" s="5" t="str">
        <f aca="false">IF(C1748=0,"",IF(A1748="GL",IF(G1748&gt;0,"Deposit in transit","Outstanding check / payment"),IF(G1748&gt;0,"Bank credit not in GL","Bank debit not in GL")))</f>
        <v/>
      </c>
      <c r="I1748" s="42" t="str">
        <f aca="false">IF(OR(C1748=0,CFG_PeriodEnd=""),"",CFG_PeriodEnd-D1748)</f>
        <v/>
      </c>
      <c r="J1748" s="5" t="str">
        <f aca="false">IF(C1748=0,"",IF($A1748="Bank",IF(INDEX(Bank!$G:$G,$C1748)="","",INDEX(Bank!$G:$G,$C1748)),IF(INDEX(GL!$G:$G,$C1748)="","",INDEX(GL!$G:$G,$C1748))))</f>
        <v/>
      </c>
      <c r="K1748" s="5" t="str">
        <f aca="false">IF(C1748=0,"",IF($A1748="Bank",IF(INDEX(Bank!$I:$I,$C1748)="","",INDEX(Bank!$I:$I,$C1748)),IF(INDEX(GL!$I:$I,$C1748)="","",INDEX(GL!$I:$I,$C1748))))</f>
        <v/>
      </c>
      <c r="L1748" s="5" t="str">
        <f aca="false">IF(B1748="","",IF(C1748=0,"NOT FOUND",IF(IF($A1748="Bank",INDEX(Bank!$F:$F,$C1748),INDEX(GL!$F:$F,$C1748))="Y","NOW RECONCILED: refresh","OK")))</f>
        <v/>
      </c>
    </row>
    <row r="1749" customFormat="false" ht="15" hidden="false" customHeight="false" outlineLevel="0" collapsed="false">
      <c r="A1749" s="41"/>
      <c r="B1749" s="41"/>
      <c r="C1749" s="5" t="n">
        <f aca="false">IF(B1749="",0,IF(A1749="Bank",IFERROR(MATCH(B1749,Bank!$A:$A,0),0),IFERROR(MATCH(B1749,GL!$A:$A,0),0)))</f>
        <v>0</v>
      </c>
      <c r="D1749" s="32" t="str">
        <f aca="false">IF(C1749=0,"",IF($A1749="Bank",INDEX(Bank!$B:$B,$C1749),INDEX(GL!$B:$B,$C1749)))</f>
        <v/>
      </c>
      <c r="E1749" s="5" t="str">
        <f aca="false">IF(C1749=0,"",IF($A1749="Bank",IF(INDEX(Bank!$C:$C,$C1749)="","",INDEX(Bank!$C:$C,$C1749)),IF(INDEX(GL!$C:$C,$C1749)="","",INDEX(GL!$C:$C,$C1749))))</f>
        <v/>
      </c>
      <c r="F1749" s="5" t="str">
        <f aca="false">IF(C1749=0,"",IF($A1749="Bank",IF(INDEX(Bank!$D:$D,$C1749)="","",INDEX(Bank!$D:$D,$C1749)),IF(INDEX(GL!$D:$D,$C1749)="","",INDEX(GL!$D:$D,$C1749))))</f>
        <v/>
      </c>
      <c r="G1749" s="19" t="str">
        <f aca="false">IF(C1749=0,"",IF($A1749="Bank",INDEX(Bank!$E:$E,$C1749),INDEX(GL!$E:$E,$C1749)))</f>
        <v/>
      </c>
      <c r="H1749" s="5" t="str">
        <f aca="false">IF(C1749=0,"",IF(A1749="GL",IF(G1749&gt;0,"Deposit in transit","Outstanding check / payment"),IF(G1749&gt;0,"Bank credit not in GL","Bank debit not in GL")))</f>
        <v/>
      </c>
      <c r="I1749" s="42" t="str">
        <f aca="false">IF(OR(C1749=0,CFG_PeriodEnd=""),"",CFG_PeriodEnd-D1749)</f>
        <v/>
      </c>
      <c r="J1749" s="5" t="str">
        <f aca="false">IF(C1749=0,"",IF($A1749="Bank",IF(INDEX(Bank!$G:$G,$C1749)="","",INDEX(Bank!$G:$G,$C1749)),IF(INDEX(GL!$G:$G,$C1749)="","",INDEX(GL!$G:$G,$C1749))))</f>
        <v/>
      </c>
      <c r="K1749" s="5" t="str">
        <f aca="false">IF(C1749=0,"",IF($A1749="Bank",IF(INDEX(Bank!$I:$I,$C1749)="","",INDEX(Bank!$I:$I,$C1749)),IF(INDEX(GL!$I:$I,$C1749)="","",INDEX(GL!$I:$I,$C1749))))</f>
        <v/>
      </c>
      <c r="L1749" s="5" t="str">
        <f aca="false">IF(B1749="","",IF(C1749=0,"NOT FOUND",IF(IF($A1749="Bank",INDEX(Bank!$F:$F,$C1749),INDEX(GL!$F:$F,$C1749))="Y","NOW RECONCILED: refresh","OK")))</f>
        <v/>
      </c>
    </row>
    <row r="1750" customFormat="false" ht="15" hidden="false" customHeight="false" outlineLevel="0" collapsed="false">
      <c r="A1750" s="41"/>
      <c r="B1750" s="41"/>
      <c r="C1750" s="5" t="n">
        <f aca="false">IF(B1750="",0,IF(A1750="Bank",IFERROR(MATCH(B1750,Bank!$A:$A,0),0),IFERROR(MATCH(B1750,GL!$A:$A,0),0)))</f>
        <v>0</v>
      </c>
      <c r="D1750" s="32" t="str">
        <f aca="false">IF(C1750=0,"",IF($A1750="Bank",INDEX(Bank!$B:$B,$C1750),INDEX(GL!$B:$B,$C1750)))</f>
        <v/>
      </c>
      <c r="E1750" s="5" t="str">
        <f aca="false">IF(C1750=0,"",IF($A1750="Bank",IF(INDEX(Bank!$C:$C,$C1750)="","",INDEX(Bank!$C:$C,$C1750)),IF(INDEX(GL!$C:$C,$C1750)="","",INDEX(GL!$C:$C,$C1750))))</f>
        <v/>
      </c>
      <c r="F1750" s="5" t="str">
        <f aca="false">IF(C1750=0,"",IF($A1750="Bank",IF(INDEX(Bank!$D:$D,$C1750)="","",INDEX(Bank!$D:$D,$C1750)),IF(INDEX(GL!$D:$D,$C1750)="","",INDEX(GL!$D:$D,$C1750))))</f>
        <v/>
      </c>
      <c r="G1750" s="19" t="str">
        <f aca="false">IF(C1750=0,"",IF($A1750="Bank",INDEX(Bank!$E:$E,$C1750),INDEX(GL!$E:$E,$C1750)))</f>
        <v/>
      </c>
      <c r="H1750" s="5" t="str">
        <f aca="false">IF(C1750=0,"",IF(A1750="GL",IF(G1750&gt;0,"Deposit in transit","Outstanding check / payment"),IF(G1750&gt;0,"Bank credit not in GL","Bank debit not in GL")))</f>
        <v/>
      </c>
      <c r="I1750" s="42" t="str">
        <f aca="false">IF(OR(C1750=0,CFG_PeriodEnd=""),"",CFG_PeriodEnd-D1750)</f>
        <v/>
      </c>
      <c r="J1750" s="5" t="str">
        <f aca="false">IF(C1750=0,"",IF($A1750="Bank",IF(INDEX(Bank!$G:$G,$C1750)="","",INDEX(Bank!$G:$G,$C1750)),IF(INDEX(GL!$G:$G,$C1750)="","",INDEX(GL!$G:$G,$C1750))))</f>
        <v/>
      </c>
      <c r="K1750" s="5" t="str">
        <f aca="false">IF(C1750=0,"",IF($A1750="Bank",IF(INDEX(Bank!$I:$I,$C1750)="","",INDEX(Bank!$I:$I,$C1750)),IF(INDEX(GL!$I:$I,$C1750)="","",INDEX(GL!$I:$I,$C1750))))</f>
        <v/>
      </c>
      <c r="L1750" s="5" t="str">
        <f aca="false">IF(B1750="","",IF(C1750=0,"NOT FOUND",IF(IF($A1750="Bank",INDEX(Bank!$F:$F,$C1750),INDEX(GL!$F:$F,$C1750))="Y","NOW RECONCILED: refresh","OK")))</f>
        <v/>
      </c>
    </row>
    <row r="1751" customFormat="false" ht="15" hidden="false" customHeight="false" outlineLevel="0" collapsed="false">
      <c r="A1751" s="41"/>
      <c r="B1751" s="41"/>
      <c r="C1751" s="5" t="n">
        <f aca="false">IF(B1751="",0,IF(A1751="Bank",IFERROR(MATCH(B1751,Bank!$A:$A,0),0),IFERROR(MATCH(B1751,GL!$A:$A,0),0)))</f>
        <v>0</v>
      </c>
      <c r="D1751" s="32" t="str">
        <f aca="false">IF(C1751=0,"",IF($A1751="Bank",INDEX(Bank!$B:$B,$C1751),INDEX(GL!$B:$B,$C1751)))</f>
        <v/>
      </c>
      <c r="E1751" s="5" t="str">
        <f aca="false">IF(C1751=0,"",IF($A1751="Bank",IF(INDEX(Bank!$C:$C,$C1751)="","",INDEX(Bank!$C:$C,$C1751)),IF(INDEX(GL!$C:$C,$C1751)="","",INDEX(GL!$C:$C,$C1751))))</f>
        <v/>
      </c>
      <c r="F1751" s="5" t="str">
        <f aca="false">IF(C1751=0,"",IF($A1751="Bank",IF(INDEX(Bank!$D:$D,$C1751)="","",INDEX(Bank!$D:$D,$C1751)),IF(INDEX(GL!$D:$D,$C1751)="","",INDEX(GL!$D:$D,$C1751))))</f>
        <v/>
      </c>
      <c r="G1751" s="19" t="str">
        <f aca="false">IF(C1751=0,"",IF($A1751="Bank",INDEX(Bank!$E:$E,$C1751),INDEX(GL!$E:$E,$C1751)))</f>
        <v/>
      </c>
      <c r="H1751" s="5" t="str">
        <f aca="false">IF(C1751=0,"",IF(A1751="GL",IF(G1751&gt;0,"Deposit in transit","Outstanding check / payment"),IF(G1751&gt;0,"Bank credit not in GL","Bank debit not in GL")))</f>
        <v/>
      </c>
      <c r="I1751" s="42" t="str">
        <f aca="false">IF(OR(C1751=0,CFG_PeriodEnd=""),"",CFG_PeriodEnd-D1751)</f>
        <v/>
      </c>
      <c r="J1751" s="5" t="str">
        <f aca="false">IF(C1751=0,"",IF($A1751="Bank",IF(INDEX(Bank!$G:$G,$C1751)="","",INDEX(Bank!$G:$G,$C1751)),IF(INDEX(GL!$G:$G,$C1751)="","",INDEX(GL!$G:$G,$C1751))))</f>
        <v/>
      </c>
      <c r="K1751" s="5" t="str">
        <f aca="false">IF(C1751=0,"",IF($A1751="Bank",IF(INDEX(Bank!$I:$I,$C1751)="","",INDEX(Bank!$I:$I,$C1751)),IF(INDEX(GL!$I:$I,$C1751)="","",INDEX(GL!$I:$I,$C1751))))</f>
        <v/>
      </c>
      <c r="L1751" s="5" t="str">
        <f aca="false">IF(B1751="","",IF(C1751=0,"NOT FOUND",IF(IF($A1751="Bank",INDEX(Bank!$F:$F,$C1751),INDEX(GL!$F:$F,$C1751))="Y","NOW RECONCILED: refresh","OK")))</f>
        <v/>
      </c>
    </row>
    <row r="1752" customFormat="false" ht="15" hidden="false" customHeight="false" outlineLevel="0" collapsed="false">
      <c r="A1752" s="41"/>
      <c r="B1752" s="41"/>
      <c r="C1752" s="5" t="n">
        <f aca="false">IF(B1752="",0,IF(A1752="Bank",IFERROR(MATCH(B1752,Bank!$A:$A,0),0),IFERROR(MATCH(B1752,GL!$A:$A,0),0)))</f>
        <v>0</v>
      </c>
      <c r="D1752" s="32" t="str">
        <f aca="false">IF(C1752=0,"",IF($A1752="Bank",INDEX(Bank!$B:$B,$C1752),INDEX(GL!$B:$B,$C1752)))</f>
        <v/>
      </c>
      <c r="E1752" s="5" t="str">
        <f aca="false">IF(C1752=0,"",IF($A1752="Bank",IF(INDEX(Bank!$C:$C,$C1752)="","",INDEX(Bank!$C:$C,$C1752)),IF(INDEX(GL!$C:$C,$C1752)="","",INDEX(GL!$C:$C,$C1752))))</f>
        <v/>
      </c>
      <c r="F1752" s="5" t="str">
        <f aca="false">IF(C1752=0,"",IF($A1752="Bank",IF(INDEX(Bank!$D:$D,$C1752)="","",INDEX(Bank!$D:$D,$C1752)),IF(INDEX(GL!$D:$D,$C1752)="","",INDEX(GL!$D:$D,$C1752))))</f>
        <v/>
      </c>
      <c r="G1752" s="19" t="str">
        <f aca="false">IF(C1752=0,"",IF($A1752="Bank",INDEX(Bank!$E:$E,$C1752),INDEX(GL!$E:$E,$C1752)))</f>
        <v/>
      </c>
      <c r="H1752" s="5" t="str">
        <f aca="false">IF(C1752=0,"",IF(A1752="GL",IF(G1752&gt;0,"Deposit in transit","Outstanding check / payment"),IF(G1752&gt;0,"Bank credit not in GL","Bank debit not in GL")))</f>
        <v/>
      </c>
      <c r="I1752" s="42" t="str">
        <f aca="false">IF(OR(C1752=0,CFG_PeriodEnd=""),"",CFG_PeriodEnd-D1752)</f>
        <v/>
      </c>
      <c r="J1752" s="5" t="str">
        <f aca="false">IF(C1752=0,"",IF($A1752="Bank",IF(INDEX(Bank!$G:$G,$C1752)="","",INDEX(Bank!$G:$G,$C1752)),IF(INDEX(GL!$G:$G,$C1752)="","",INDEX(GL!$G:$G,$C1752))))</f>
        <v/>
      </c>
      <c r="K1752" s="5" t="str">
        <f aca="false">IF(C1752=0,"",IF($A1752="Bank",IF(INDEX(Bank!$I:$I,$C1752)="","",INDEX(Bank!$I:$I,$C1752)),IF(INDEX(GL!$I:$I,$C1752)="","",INDEX(GL!$I:$I,$C1752))))</f>
        <v/>
      </c>
      <c r="L1752" s="5" t="str">
        <f aca="false">IF(B1752="","",IF(C1752=0,"NOT FOUND",IF(IF($A1752="Bank",INDEX(Bank!$F:$F,$C1752),INDEX(GL!$F:$F,$C1752))="Y","NOW RECONCILED: refresh","OK")))</f>
        <v/>
      </c>
    </row>
    <row r="1753" customFormat="false" ht="15" hidden="false" customHeight="false" outlineLevel="0" collapsed="false">
      <c r="A1753" s="41"/>
      <c r="B1753" s="41"/>
      <c r="C1753" s="5" t="n">
        <f aca="false">IF(B1753="",0,IF(A1753="Bank",IFERROR(MATCH(B1753,Bank!$A:$A,0),0),IFERROR(MATCH(B1753,GL!$A:$A,0),0)))</f>
        <v>0</v>
      </c>
      <c r="D1753" s="32" t="str">
        <f aca="false">IF(C1753=0,"",IF($A1753="Bank",INDEX(Bank!$B:$B,$C1753),INDEX(GL!$B:$B,$C1753)))</f>
        <v/>
      </c>
      <c r="E1753" s="5" t="str">
        <f aca="false">IF(C1753=0,"",IF($A1753="Bank",IF(INDEX(Bank!$C:$C,$C1753)="","",INDEX(Bank!$C:$C,$C1753)),IF(INDEX(GL!$C:$C,$C1753)="","",INDEX(GL!$C:$C,$C1753))))</f>
        <v/>
      </c>
      <c r="F1753" s="5" t="str">
        <f aca="false">IF(C1753=0,"",IF($A1753="Bank",IF(INDEX(Bank!$D:$D,$C1753)="","",INDEX(Bank!$D:$D,$C1753)),IF(INDEX(GL!$D:$D,$C1753)="","",INDEX(GL!$D:$D,$C1753))))</f>
        <v/>
      </c>
      <c r="G1753" s="19" t="str">
        <f aca="false">IF(C1753=0,"",IF($A1753="Bank",INDEX(Bank!$E:$E,$C1753),INDEX(GL!$E:$E,$C1753)))</f>
        <v/>
      </c>
      <c r="H1753" s="5" t="str">
        <f aca="false">IF(C1753=0,"",IF(A1753="GL",IF(G1753&gt;0,"Deposit in transit","Outstanding check / payment"),IF(G1753&gt;0,"Bank credit not in GL","Bank debit not in GL")))</f>
        <v/>
      </c>
      <c r="I1753" s="42" t="str">
        <f aca="false">IF(OR(C1753=0,CFG_PeriodEnd=""),"",CFG_PeriodEnd-D1753)</f>
        <v/>
      </c>
      <c r="J1753" s="5" t="str">
        <f aca="false">IF(C1753=0,"",IF($A1753="Bank",IF(INDEX(Bank!$G:$G,$C1753)="","",INDEX(Bank!$G:$G,$C1753)),IF(INDEX(GL!$G:$G,$C1753)="","",INDEX(GL!$G:$G,$C1753))))</f>
        <v/>
      </c>
      <c r="K1753" s="5" t="str">
        <f aca="false">IF(C1753=0,"",IF($A1753="Bank",IF(INDEX(Bank!$I:$I,$C1753)="","",INDEX(Bank!$I:$I,$C1753)),IF(INDEX(GL!$I:$I,$C1753)="","",INDEX(GL!$I:$I,$C1753))))</f>
        <v/>
      </c>
      <c r="L1753" s="5" t="str">
        <f aca="false">IF(B1753="","",IF(C1753=0,"NOT FOUND",IF(IF($A1753="Bank",INDEX(Bank!$F:$F,$C1753),INDEX(GL!$F:$F,$C1753))="Y","NOW RECONCILED: refresh","OK")))</f>
        <v/>
      </c>
    </row>
    <row r="1754" customFormat="false" ht="15" hidden="false" customHeight="false" outlineLevel="0" collapsed="false">
      <c r="A1754" s="41"/>
      <c r="B1754" s="41"/>
      <c r="C1754" s="5" t="n">
        <f aca="false">IF(B1754="",0,IF(A1754="Bank",IFERROR(MATCH(B1754,Bank!$A:$A,0),0),IFERROR(MATCH(B1754,GL!$A:$A,0),0)))</f>
        <v>0</v>
      </c>
      <c r="D1754" s="32" t="str">
        <f aca="false">IF(C1754=0,"",IF($A1754="Bank",INDEX(Bank!$B:$B,$C1754),INDEX(GL!$B:$B,$C1754)))</f>
        <v/>
      </c>
      <c r="E1754" s="5" t="str">
        <f aca="false">IF(C1754=0,"",IF($A1754="Bank",IF(INDEX(Bank!$C:$C,$C1754)="","",INDEX(Bank!$C:$C,$C1754)),IF(INDEX(GL!$C:$C,$C1754)="","",INDEX(GL!$C:$C,$C1754))))</f>
        <v/>
      </c>
      <c r="F1754" s="5" t="str">
        <f aca="false">IF(C1754=0,"",IF($A1754="Bank",IF(INDEX(Bank!$D:$D,$C1754)="","",INDEX(Bank!$D:$D,$C1754)),IF(INDEX(GL!$D:$D,$C1754)="","",INDEX(GL!$D:$D,$C1754))))</f>
        <v/>
      </c>
      <c r="G1754" s="19" t="str">
        <f aca="false">IF(C1754=0,"",IF($A1754="Bank",INDEX(Bank!$E:$E,$C1754),INDEX(GL!$E:$E,$C1754)))</f>
        <v/>
      </c>
      <c r="H1754" s="5" t="str">
        <f aca="false">IF(C1754=0,"",IF(A1754="GL",IF(G1754&gt;0,"Deposit in transit","Outstanding check / payment"),IF(G1754&gt;0,"Bank credit not in GL","Bank debit not in GL")))</f>
        <v/>
      </c>
      <c r="I1754" s="42" t="str">
        <f aca="false">IF(OR(C1754=0,CFG_PeriodEnd=""),"",CFG_PeriodEnd-D1754)</f>
        <v/>
      </c>
      <c r="J1754" s="5" t="str">
        <f aca="false">IF(C1754=0,"",IF($A1754="Bank",IF(INDEX(Bank!$G:$G,$C1754)="","",INDEX(Bank!$G:$G,$C1754)),IF(INDEX(GL!$G:$G,$C1754)="","",INDEX(GL!$G:$G,$C1754))))</f>
        <v/>
      </c>
      <c r="K1754" s="5" t="str">
        <f aca="false">IF(C1754=0,"",IF($A1754="Bank",IF(INDEX(Bank!$I:$I,$C1754)="","",INDEX(Bank!$I:$I,$C1754)),IF(INDEX(GL!$I:$I,$C1754)="","",INDEX(GL!$I:$I,$C1754))))</f>
        <v/>
      </c>
      <c r="L1754" s="5" t="str">
        <f aca="false">IF(B1754="","",IF(C1754=0,"NOT FOUND",IF(IF($A1754="Bank",INDEX(Bank!$F:$F,$C1754),INDEX(GL!$F:$F,$C1754))="Y","NOW RECONCILED: refresh","OK")))</f>
        <v/>
      </c>
    </row>
    <row r="1755" customFormat="false" ht="15" hidden="false" customHeight="false" outlineLevel="0" collapsed="false">
      <c r="A1755" s="41"/>
      <c r="B1755" s="41"/>
      <c r="C1755" s="5" t="n">
        <f aca="false">IF(B1755="",0,IF(A1755="Bank",IFERROR(MATCH(B1755,Bank!$A:$A,0),0),IFERROR(MATCH(B1755,GL!$A:$A,0),0)))</f>
        <v>0</v>
      </c>
      <c r="D1755" s="32" t="str">
        <f aca="false">IF(C1755=0,"",IF($A1755="Bank",INDEX(Bank!$B:$B,$C1755),INDEX(GL!$B:$B,$C1755)))</f>
        <v/>
      </c>
      <c r="E1755" s="5" t="str">
        <f aca="false">IF(C1755=0,"",IF($A1755="Bank",IF(INDEX(Bank!$C:$C,$C1755)="","",INDEX(Bank!$C:$C,$C1755)),IF(INDEX(GL!$C:$C,$C1755)="","",INDEX(GL!$C:$C,$C1755))))</f>
        <v/>
      </c>
      <c r="F1755" s="5" t="str">
        <f aca="false">IF(C1755=0,"",IF($A1755="Bank",IF(INDEX(Bank!$D:$D,$C1755)="","",INDEX(Bank!$D:$D,$C1755)),IF(INDEX(GL!$D:$D,$C1755)="","",INDEX(GL!$D:$D,$C1755))))</f>
        <v/>
      </c>
      <c r="G1755" s="19" t="str">
        <f aca="false">IF(C1755=0,"",IF($A1755="Bank",INDEX(Bank!$E:$E,$C1755),INDEX(GL!$E:$E,$C1755)))</f>
        <v/>
      </c>
      <c r="H1755" s="5" t="str">
        <f aca="false">IF(C1755=0,"",IF(A1755="GL",IF(G1755&gt;0,"Deposit in transit","Outstanding check / payment"),IF(G1755&gt;0,"Bank credit not in GL","Bank debit not in GL")))</f>
        <v/>
      </c>
      <c r="I1755" s="42" t="str">
        <f aca="false">IF(OR(C1755=0,CFG_PeriodEnd=""),"",CFG_PeriodEnd-D1755)</f>
        <v/>
      </c>
      <c r="J1755" s="5" t="str">
        <f aca="false">IF(C1755=0,"",IF($A1755="Bank",IF(INDEX(Bank!$G:$G,$C1755)="","",INDEX(Bank!$G:$G,$C1755)),IF(INDEX(GL!$G:$G,$C1755)="","",INDEX(GL!$G:$G,$C1755))))</f>
        <v/>
      </c>
      <c r="K1755" s="5" t="str">
        <f aca="false">IF(C1755=0,"",IF($A1755="Bank",IF(INDEX(Bank!$I:$I,$C1755)="","",INDEX(Bank!$I:$I,$C1755)),IF(INDEX(GL!$I:$I,$C1755)="","",INDEX(GL!$I:$I,$C1755))))</f>
        <v/>
      </c>
      <c r="L1755" s="5" t="str">
        <f aca="false">IF(B1755="","",IF(C1755=0,"NOT FOUND",IF(IF($A1755="Bank",INDEX(Bank!$F:$F,$C1755),INDEX(GL!$F:$F,$C1755))="Y","NOW RECONCILED: refresh","OK")))</f>
        <v/>
      </c>
    </row>
    <row r="1756" customFormat="false" ht="15" hidden="false" customHeight="false" outlineLevel="0" collapsed="false">
      <c r="A1756" s="41"/>
      <c r="B1756" s="41"/>
      <c r="C1756" s="5" t="n">
        <f aca="false">IF(B1756="",0,IF(A1756="Bank",IFERROR(MATCH(B1756,Bank!$A:$A,0),0),IFERROR(MATCH(B1756,GL!$A:$A,0),0)))</f>
        <v>0</v>
      </c>
      <c r="D1756" s="32" t="str">
        <f aca="false">IF(C1756=0,"",IF($A1756="Bank",INDEX(Bank!$B:$B,$C1756),INDEX(GL!$B:$B,$C1756)))</f>
        <v/>
      </c>
      <c r="E1756" s="5" t="str">
        <f aca="false">IF(C1756=0,"",IF($A1756="Bank",IF(INDEX(Bank!$C:$C,$C1756)="","",INDEX(Bank!$C:$C,$C1756)),IF(INDEX(GL!$C:$C,$C1756)="","",INDEX(GL!$C:$C,$C1756))))</f>
        <v/>
      </c>
      <c r="F1756" s="5" t="str">
        <f aca="false">IF(C1756=0,"",IF($A1756="Bank",IF(INDEX(Bank!$D:$D,$C1756)="","",INDEX(Bank!$D:$D,$C1756)),IF(INDEX(GL!$D:$D,$C1756)="","",INDEX(GL!$D:$D,$C1756))))</f>
        <v/>
      </c>
      <c r="G1756" s="19" t="str">
        <f aca="false">IF(C1756=0,"",IF($A1756="Bank",INDEX(Bank!$E:$E,$C1756),INDEX(GL!$E:$E,$C1756)))</f>
        <v/>
      </c>
      <c r="H1756" s="5" t="str">
        <f aca="false">IF(C1756=0,"",IF(A1756="GL",IF(G1756&gt;0,"Deposit in transit","Outstanding check / payment"),IF(G1756&gt;0,"Bank credit not in GL","Bank debit not in GL")))</f>
        <v/>
      </c>
      <c r="I1756" s="42" t="str">
        <f aca="false">IF(OR(C1756=0,CFG_PeriodEnd=""),"",CFG_PeriodEnd-D1756)</f>
        <v/>
      </c>
      <c r="J1756" s="5" t="str">
        <f aca="false">IF(C1756=0,"",IF($A1756="Bank",IF(INDEX(Bank!$G:$G,$C1756)="","",INDEX(Bank!$G:$G,$C1756)),IF(INDEX(GL!$G:$G,$C1756)="","",INDEX(GL!$G:$G,$C1756))))</f>
        <v/>
      </c>
      <c r="K1756" s="5" t="str">
        <f aca="false">IF(C1756=0,"",IF($A1756="Bank",IF(INDEX(Bank!$I:$I,$C1756)="","",INDEX(Bank!$I:$I,$C1756)),IF(INDEX(GL!$I:$I,$C1756)="","",INDEX(GL!$I:$I,$C1756))))</f>
        <v/>
      </c>
      <c r="L1756" s="5" t="str">
        <f aca="false">IF(B1756="","",IF(C1756=0,"NOT FOUND",IF(IF($A1756="Bank",INDEX(Bank!$F:$F,$C1756),INDEX(GL!$F:$F,$C1756))="Y","NOW RECONCILED: refresh","OK")))</f>
        <v/>
      </c>
    </row>
    <row r="1757" customFormat="false" ht="15" hidden="false" customHeight="false" outlineLevel="0" collapsed="false">
      <c r="A1757" s="41"/>
      <c r="B1757" s="41"/>
      <c r="C1757" s="5" t="n">
        <f aca="false">IF(B1757="",0,IF(A1757="Bank",IFERROR(MATCH(B1757,Bank!$A:$A,0),0),IFERROR(MATCH(B1757,GL!$A:$A,0),0)))</f>
        <v>0</v>
      </c>
      <c r="D1757" s="32" t="str">
        <f aca="false">IF(C1757=0,"",IF($A1757="Bank",INDEX(Bank!$B:$B,$C1757),INDEX(GL!$B:$B,$C1757)))</f>
        <v/>
      </c>
      <c r="E1757" s="5" t="str">
        <f aca="false">IF(C1757=0,"",IF($A1757="Bank",IF(INDEX(Bank!$C:$C,$C1757)="","",INDEX(Bank!$C:$C,$C1757)),IF(INDEX(GL!$C:$C,$C1757)="","",INDEX(GL!$C:$C,$C1757))))</f>
        <v/>
      </c>
      <c r="F1757" s="5" t="str">
        <f aca="false">IF(C1757=0,"",IF($A1757="Bank",IF(INDEX(Bank!$D:$D,$C1757)="","",INDEX(Bank!$D:$D,$C1757)),IF(INDEX(GL!$D:$D,$C1757)="","",INDEX(GL!$D:$D,$C1757))))</f>
        <v/>
      </c>
      <c r="G1757" s="19" t="str">
        <f aca="false">IF(C1757=0,"",IF($A1757="Bank",INDEX(Bank!$E:$E,$C1757),INDEX(GL!$E:$E,$C1757)))</f>
        <v/>
      </c>
      <c r="H1757" s="5" t="str">
        <f aca="false">IF(C1757=0,"",IF(A1757="GL",IF(G1757&gt;0,"Deposit in transit","Outstanding check / payment"),IF(G1757&gt;0,"Bank credit not in GL","Bank debit not in GL")))</f>
        <v/>
      </c>
      <c r="I1757" s="42" t="str">
        <f aca="false">IF(OR(C1757=0,CFG_PeriodEnd=""),"",CFG_PeriodEnd-D1757)</f>
        <v/>
      </c>
      <c r="J1757" s="5" t="str">
        <f aca="false">IF(C1757=0,"",IF($A1757="Bank",IF(INDEX(Bank!$G:$G,$C1757)="","",INDEX(Bank!$G:$G,$C1757)),IF(INDEX(GL!$G:$G,$C1757)="","",INDEX(GL!$G:$G,$C1757))))</f>
        <v/>
      </c>
      <c r="K1757" s="5" t="str">
        <f aca="false">IF(C1757=0,"",IF($A1757="Bank",IF(INDEX(Bank!$I:$I,$C1757)="","",INDEX(Bank!$I:$I,$C1757)),IF(INDEX(GL!$I:$I,$C1757)="","",INDEX(GL!$I:$I,$C1757))))</f>
        <v/>
      </c>
      <c r="L1757" s="5" t="str">
        <f aca="false">IF(B1757="","",IF(C1757=0,"NOT FOUND",IF(IF($A1757="Bank",INDEX(Bank!$F:$F,$C1757),INDEX(GL!$F:$F,$C1757))="Y","NOW RECONCILED: refresh","OK")))</f>
        <v/>
      </c>
    </row>
    <row r="1758" customFormat="false" ht="15" hidden="false" customHeight="false" outlineLevel="0" collapsed="false">
      <c r="A1758" s="41"/>
      <c r="B1758" s="41"/>
      <c r="C1758" s="5" t="n">
        <f aca="false">IF(B1758="",0,IF(A1758="Bank",IFERROR(MATCH(B1758,Bank!$A:$A,0),0),IFERROR(MATCH(B1758,GL!$A:$A,0),0)))</f>
        <v>0</v>
      </c>
      <c r="D1758" s="32" t="str">
        <f aca="false">IF(C1758=0,"",IF($A1758="Bank",INDEX(Bank!$B:$B,$C1758),INDEX(GL!$B:$B,$C1758)))</f>
        <v/>
      </c>
      <c r="E1758" s="5" t="str">
        <f aca="false">IF(C1758=0,"",IF($A1758="Bank",IF(INDEX(Bank!$C:$C,$C1758)="","",INDEX(Bank!$C:$C,$C1758)),IF(INDEX(GL!$C:$C,$C1758)="","",INDEX(GL!$C:$C,$C1758))))</f>
        <v/>
      </c>
      <c r="F1758" s="5" t="str">
        <f aca="false">IF(C1758=0,"",IF($A1758="Bank",IF(INDEX(Bank!$D:$D,$C1758)="","",INDEX(Bank!$D:$D,$C1758)),IF(INDEX(GL!$D:$D,$C1758)="","",INDEX(GL!$D:$D,$C1758))))</f>
        <v/>
      </c>
      <c r="G1758" s="19" t="str">
        <f aca="false">IF(C1758=0,"",IF($A1758="Bank",INDEX(Bank!$E:$E,$C1758),INDEX(GL!$E:$E,$C1758)))</f>
        <v/>
      </c>
      <c r="H1758" s="5" t="str">
        <f aca="false">IF(C1758=0,"",IF(A1758="GL",IF(G1758&gt;0,"Deposit in transit","Outstanding check / payment"),IF(G1758&gt;0,"Bank credit not in GL","Bank debit not in GL")))</f>
        <v/>
      </c>
      <c r="I1758" s="42" t="str">
        <f aca="false">IF(OR(C1758=0,CFG_PeriodEnd=""),"",CFG_PeriodEnd-D1758)</f>
        <v/>
      </c>
      <c r="J1758" s="5" t="str">
        <f aca="false">IF(C1758=0,"",IF($A1758="Bank",IF(INDEX(Bank!$G:$G,$C1758)="","",INDEX(Bank!$G:$G,$C1758)),IF(INDEX(GL!$G:$G,$C1758)="","",INDEX(GL!$G:$G,$C1758))))</f>
        <v/>
      </c>
      <c r="K1758" s="5" t="str">
        <f aca="false">IF(C1758=0,"",IF($A1758="Bank",IF(INDEX(Bank!$I:$I,$C1758)="","",INDEX(Bank!$I:$I,$C1758)),IF(INDEX(GL!$I:$I,$C1758)="","",INDEX(GL!$I:$I,$C1758))))</f>
        <v/>
      </c>
      <c r="L1758" s="5" t="str">
        <f aca="false">IF(B1758="","",IF(C1758=0,"NOT FOUND",IF(IF($A1758="Bank",INDEX(Bank!$F:$F,$C1758),INDEX(GL!$F:$F,$C1758))="Y","NOW RECONCILED: refresh","OK")))</f>
        <v/>
      </c>
    </row>
    <row r="1759" customFormat="false" ht="15" hidden="false" customHeight="false" outlineLevel="0" collapsed="false">
      <c r="A1759" s="41"/>
      <c r="B1759" s="41"/>
      <c r="C1759" s="5" t="n">
        <f aca="false">IF(B1759="",0,IF(A1759="Bank",IFERROR(MATCH(B1759,Bank!$A:$A,0),0),IFERROR(MATCH(B1759,GL!$A:$A,0),0)))</f>
        <v>0</v>
      </c>
      <c r="D1759" s="32" t="str">
        <f aca="false">IF(C1759=0,"",IF($A1759="Bank",INDEX(Bank!$B:$B,$C1759),INDEX(GL!$B:$B,$C1759)))</f>
        <v/>
      </c>
      <c r="E1759" s="5" t="str">
        <f aca="false">IF(C1759=0,"",IF($A1759="Bank",IF(INDEX(Bank!$C:$C,$C1759)="","",INDEX(Bank!$C:$C,$C1759)),IF(INDEX(GL!$C:$C,$C1759)="","",INDEX(GL!$C:$C,$C1759))))</f>
        <v/>
      </c>
      <c r="F1759" s="5" t="str">
        <f aca="false">IF(C1759=0,"",IF($A1759="Bank",IF(INDEX(Bank!$D:$D,$C1759)="","",INDEX(Bank!$D:$D,$C1759)),IF(INDEX(GL!$D:$D,$C1759)="","",INDEX(GL!$D:$D,$C1759))))</f>
        <v/>
      </c>
      <c r="G1759" s="19" t="str">
        <f aca="false">IF(C1759=0,"",IF($A1759="Bank",INDEX(Bank!$E:$E,$C1759),INDEX(GL!$E:$E,$C1759)))</f>
        <v/>
      </c>
      <c r="H1759" s="5" t="str">
        <f aca="false">IF(C1759=0,"",IF(A1759="GL",IF(G1759&gt;0,"Deposit in transit","Outstanding check / payment"),IF(G1759&gt;0,"Bank credit not in GL","Bank debit not in GL")))</f>
        <v/>
      </c>
      <c r="I1759" s="42" t="str">
        <f aca="false">IF(OR(C1759=0,CFG_PeriodEnd=""),"",CFG_PeriodEnd-D1759)</f>
        <v/>
      </c>
      <c r="J1759" s="5" t="str">
        <f aca="false">IF(C1759=0,"",IF($A1759="Bank",IF(INDEX(Bank!$G:$G,$C1759)="","",INDEX(Bank!$G:$G,$C1759)),IF(INDEX(GL!$G:$G,$C1759)="","",INDEX(GL!$G:$G,$C1759))))</f>
        <v/>
      </c>
      <c r="K1759" s="5" t="str">
        <f aca="false">IF(C1759=0,"",IF($A1759="Bank",IF(INDEX(Bank!$I:$I,$C1759)="","",INDEX(Bank!$I:$I,$C1759)),IF(INDEX(GL!$I:$I,$C1759)="","",INDEX(GL!$I:$I,$C1759))))</f>
        <v/>
      </c>
      <c r="L1759" s="5" t="str">
        <f aca="false">IF(B1759="","",IF(C1759=0,"NOT FOUND",IF(IF($A1759="Bank",INDEX(Bank!$F:$F,$C1759),INDEX(GL!$F:$F,$C1759))="Y","NOW RECONCILED: refresh","OK")))</f>
        <v/>
      </c>
    </row>
    <row r="1760" customFormat="false" ht="15" hidden="false" customHeight="false" outlineLevel="0" collapsed="false">
      <c r="A1760" s="41"/>
      <c r="B1760" s="41"/>
      <c r="C1760" s="5" t="n">
        <f aca="false">IF(B1760="",0,IF(A1760="Bank",IFERROR(MATCH(B1760,Bank!$A:$A,0),0),IFERROR(MATCH(B1760,GL!$A:$A,0),0)))</f>
        <v>0</v>
      </c>
      <c r="D1760" s="32" t="str">
        <f aca="false">IF(C1760=0,"",IF($A1760="Bank",INDEX(Bank!$B:$B,$C1760),INDEX(GL!$B:$B,$C1760)))</f>
        <v/>
      </c>
      <c r="E1760" s="5" t="str">
        <f aca="false">IF(C1760=0,"",IF($A1760="Bank",IF(INDEX(Bank!$C:$C,$C1760)="","",INDEX(Bank!$C:$C,$C1760)),IF(INDEX(GL!$C:$C,$C1760)="","",INDEX(GL!$C:$C,$C1760))))</f>
        <v/>
      </c>
      <c r="F1760" s="5" t="str">
        <f aca="false">IF(C1760=0,"",IF($A1760="Bank",IF(INDEX(Bank!$D:$D,$C1760)="","",INDEX(Bank!$D:$D,$C1760)),IF(INDEX(GL!$D:$D,$C1760)="","",INDEX(GL!$D:$D,$C1760))))</f>
        <v/>
      </c>
      <c r="G1760" s="19" t="str">
        <f aca="false">IF(C1760=0,"",IF($A1760="Bank",INDEX(Bank!$E:$E,$C1760),INDEX(GL!$E:$E,$C1760)))</f>
        <v/>
      </c>
      <c r="H1760" s="5" t="str">
        <f aca="false">IF(C1760=0,"",IF(A1760="GL",IF(G1760&gt;0,"Deposit in transit","Outstanding check / payment"),IF(G1760&gt;0,"Bank credit not in GL","Bank debit not in GL")))</f>
        <v/>
      </c>
      <c r="I1760" s="42" t="str">
        <f aca="false">IF(OR(C1760=0,CFG_PeriodEnd=""),"",CFG_PeriodEnd-D1760)</f>
        <v/>
      </c>
      <c r="J1760" s="5" t="str">
        <f aca="false">IF(C1760=0,"",IF($A1760="Bank",IF(INDEX(Bank!$G:$G,$C1760)="","",INDEX(Bank!$G:$G,$C1760)),IF(INDEX(GL!$G:$G,$C1760)="","",INDEX(GL!$G:$G,$C1760))))</f>
        <v/>
      </c>
      <c r="K1760" s="5" t="str">
        <f aca="false">IF(C1760=0,"",IF($A1760="Bank",IF(INDEX(Bank!$I:$I,$C1760)="","",INDEX(Bank!$I:$I,$C1760)),IF(INDEX(GL!$I:$I,$C1760)="","",INDEX(GL!$I:$I,$C1760))))</f>
        <v/>
      </c>
      <c r="L1760" s="5" t="str">
        <f aca="false">IF(B1760="","",IF(C1760=0,"NOT FOUND",IF(IF($A1760="Bank",INDEX(Bank!$F:$F,$C1760),INDEX(GL!$F:$F,$C1760))="Y","NOW RECONCILED: refresh","OK")))</f>
        <v/>
      </c>
    </row>
    <row r="1761" customFormat="false" ht="15" hidden="false" customHeight="false" outlineLevel="0" collapsed="false">
      <c r="A1761" s="41"/>
      <c r="B1761" s="41"/>
      <c r="C1761" s="5" t="n">
        <f aca="false">IF(B1761="",0,IF(A1761="Bank",IFERROR(MATCH(B1761,Bank!$A:$A,0),0),IFERROR(MATCH(B1761,GL!$A:$A,0),0)))</f>
        <v>0</v>
      </c>
      <c r="D1761" s="32" t="str">
        <f aca="false">IF(C1761=0,"",IF($A1761="Bank",INDEX(Bank!$B:$B,$C1761),INDEX(GL!$B:$B,$C1761)))</f>
        <v/>
      </c>
      <c r="E1761" s="5" t="str">
        <f aca="false">IF(C1761=0,"",IF($A1761="Bank",IF(INDEX(Bank!$C:$C,$C1761)="","",INDEX(Bank!$C:$C,$C1761)),IF(INDEX(GL!$C:$C,$C1761)="","",INDEX(GL!$C:$C,$C1761))))</f>
        <v/>
      </c>
      <c r="F1761" s="5" t="str">
        <f aca="false">IF(C1761=0,"",IF($A1761="Bank",IF(INDEX(Bank!$D:$D,$C1761)="","",INDEX(Bank!$D:$D,$C1761)),IF(INDEX(GL!$D:$D,$C1761)="","",INDEX(GL!$D:$D,$C1761))))</f>
        <v/>
      </c>
      <c r="G1761" s="19" t="str">
        <f aca="false">IF(C1761=0,"",IF($A1761="Bank",INDEX(Bank!$E:$E,$C1761),INDEX(GL!$E:$E,$C1761)))</f>
        <v/>
      </c>
      <c r="H1761" s="5" t="str">
        <f aca="false">IF(C1761=0,"",IF(A1761="GL",IF(G1761&gt;0,"Deposit in transit","Outstanding check / payment"),IF(G1761&gt;0,"Bank credit not in GL","Bank debit not in GL")))</f>
        <v/>
      </c>
      <c r="I1761" s="42" t="str">
        <f aca="false">IF(OR(C1761=0,CFG_PeriodEnd=""),"",CFG_PeriodEnd-D1761)</f>
        <v/>
      </c>
      <c r="J1761" s="5" t="str">
        <f aca="false">IF(C1761=0,"",IF($A1761="Bank",IF(INDEX(Bank!$G:$G,$C1761)="","",INDEX(Bank!$G:$G,$C1761)),IF(INDEX(GL!$G:$G,$C1761)="","",INDEX(GL!$G:$G,$C1761))))</f>
        <v/>
      </c>
      <c r="K1761" s="5" t="str">
        <f aca="false">IF(C1761=0,"",IF($A1761="Bank",IF(INDEX(Bank!$I:$I,$C1761)="","",INDEX(Bank!$I:$I,$C1761)),IF(INDEX(GL!$I:$I,$C1761)="","",INDEX(GL!$I:$I,$C1761))))</f>
        <v/>
      </c>
      <c r="L1761" s="5" t="str">
        <f aca="false">IF(B1761="","",IF(C1761=0,"NOT FOUND",IF(IF($A1761="Bank",INDEX(Bank!$F:$F,$C1761),INDEX(GL!$F:$F,$C1761))="Y","NOW RECONCILED: refresh","OK")))</f>
        <v/>
      </c>
    </row>
    <row r="1762" customFormat="false" ht="15" hidden="false" customHeight="false" outlineLevel="0" collapsed="false">
      <c r="A1762" s="41"/>
      <c r="B1762" s="41"/>
      <c r="C1762" s="5" t="n">
        <f aca="false">IF(B1762="",0,IF(A1762="Bank",IFERROR(MATCH(B1762,Bank!$A:$A,0),0),IFERROR(MATCH(B1762,GL!$A:$A,0),0)))</f>
        <v>0</v>
      </c>
      <c r="D1762" s="32" t="str">
        <f aca="false">IF(C1762=0,"",IF($A1762="Bank",INDEX(Bank!$B:$B,$C1762),INDEX(GL!$B:$B,$C1762)))</f>
        <v/>
      </c>
      <c r="E1762" s="5" t="str">
        <f aca="false">IF(C1762=0,"",IF($A1762="Bank",IF(INDEX(Bank!$C:$C,$C1762)="","",INDEX(Bank!$C:$C,$C1762)),IF(INDEX(GL!$C:$C,$C1762)="","",INDEX(GL!$C:$C,$C1762))))</f>
        <v/>
      </c>
      <c r="F1762" s="5" t="str">
        <f aca="false">IF(C1762=0,"",IF($A1762="Bank",IF(INDEX(Bank!$D:$D,$C1762)="","",INDEX(Bank!$D:$D,$C1762)),IF(INDEX(GL!$D:$D,$C1762)="","",INDEX(GL!$D:$D,$C1762))))</f>
        <v/>
      </c>
      <c r="G1762" s="19" t="str">
        <f aca="false">IF(C1762=0,"",IF($A1762="Bank",INDEX(Bank!$E:$E,$C1762),INDEX(GL!$E:$E,$C1762)))</f>
        <v/>
      </c>
      <c r="H1762" s="5" t="str">
        <f aca="false">IF(C1762=0,"",IF(A1762="GL",IF(G1762&gt;0,"Deposit in transit","Outstanding check / payment"),IF(G1762&gt;0,"Bank credit not in GL","Bank debit not in GL")))</f>
        <v/>
      </c>
      <c r="I1762" s="42" t="str">
        <f aca="false">IF(OR(C1762=0,CFG_PeriodEnd=""),"",CFG_PeriodEnd-D1762)</f>
        <v/>
      </c>
      <c r="J1762" s="5" t="str">
        <f aca="false">IF(C1762=0,"",IF($A1762="Bank",IF(INDEX(Bank!$G:$G,$C1762)="","",INDEX(Bank!$G:$G,$C1762)),IF(INDEX(GL!$G:$G,$C1762)="","",INDEX(GL!$G:$G,$C1762))))</f>
        <v/>
      </c>
      <c r="K1762" s="5" t="str">
        <f aca="false">IF(C1762=0,"",IF($A1762="Bank",IF(INDEX(Bank!$I:$I,$C1762)="","",INDEX(Bank!$I:$I,$C1762)),IF(INDEX(GL!$I:$I,$C1762)="","",INDEX(GL!$I:$I,$C1762))))</f>
        <v/>
      </c>
      <c r="L1762" s="5" t="str">
        <f aca="false">IF(B1762="","",IF(C1762=0,"NOT FOUND",IF(IF($A1762="Bank",INDEX(Bank!$F:$F,$C1762),INDEX(GL!$F:$F,$C1762))="Y","NOW RECONCILED: refresh","OK")))</f>
        <v/>
      </c>
    </row>
    <row r="1763" customFormat="false" ht="15" hidden="false" customHeight="false" outlineLevel="0" collapsed="false">
      <c r="A1763" s="41"/>
      <c r="B1763" s="41"/>
      <c r="C1763" s="5" t="n">
        <f aca="false">IF(B1763="",0,IF(A1763="Bank",IFERROR(MATCH(B1763,Bank!$A:$A,0),0),IFERROR(MATCH(B1763,GL!$A:$A,0),0)))</f>
        <v>0</v>
      </c>
      <c r="D1763" s="32" t="str">
        <f aca="false">IF(C1763=0,"",IF($A1763="Bank",INDEX(Bank!$B:$B,$C1763),INDEX(GL!$B:$B,$C1763)))</f>
        <v/>
      </c>
      <c r="E1763" s="5" t="str">
        <f aca="false">IF(C1763=0,"",IF($A1763="Bank",IF(INDEX(Bank!$C:$C,$C1763)="","",INDEX(Bank!$C:$C,$C1763)),IF(INDEX(GL!$C:$C,$C1763)="","",INDEX(GL!$C:$C,$C1763))))</f>
        <v/>
      </c>
      <c r="F1763" s="5" t="str">
        <f aca="false">IF(C1763=0,"",IF($A1763="Bank",IF(INDEX(Bank!$D:$D,$C1763)="","",INDEX(Bank!$D:$D,$C1763)),IF(INDEX(GL!$D:$D,$C1763)="","",INDEX(GL!$D:$D,$C1763))))</f>
        <v/>
      </c>
      <c r="G1763" s="19" t="str">
        <f aca="false">IF(C1763=0,"",IF($A1763="Bank",INDEX(Bank!$E:$E,$C1763),INDEX(GL!$E:$E,$C1763)))</f>
        <v/>
      </c>
      <c r="H1763" s="5" t="str">
        <f aca="false">IF(C1763=0,"",IF(A1763="GL",IF(G1763&gt;0,"Deposit in transit","Outstanding check / payment"),IF(G1763&gt;0,"Bank credit not in GL","Bank debit not in GL")))</f>
        <v/>
      </c>
      <c r="I1763" s="42" t="str">
        <f aca="false">IF(OR(C1763=0,CFG_PeriodEnd=""),"",CFG_PeriodEnd-D1763)</f>
        <v/>
      </c>
      <c r="J1763" s="5" t="str">
        <f aca="false">IF(C1763=0,"",IF($A1763="Bank",IF(INDEX(Bank!$G:$G,$C1763)="","",INDEX(Bank!$G:$G,$C1763)),IF(INDEX(GL!$G:$G,$C1763)="","",INDEX(GL!$G:$G,$C1763))))</f>
        <v/>
      </c>
      <c r="K1763" s="5" t="str">
        <f aca="false">IF(C1763=0,"",IF($A1763="Bank",IF(INDEX(Bank!$I:$I,$C1763)="","",INDEX(Bank!$I:$I,$C1763)),IF(INDEX(GL!$I:$I,$C1763)="","",INDEX(GL!$I:$I,$C1763))))</f>
        <v/>
      </c>
      <c r="L1763" s="5" t="str">
        <f aca="false">IF(B1763="","",IF(C1763=0,"NOT FOUND",IF(IF($A1763="Bank",INDEX(Bank!$F:$F,$C1763),INDEX(GL!$F:$F,$C1763))="Y","NOW RECONCILED: refresh","OK")))</f>
        <v/>
      </c>
    </row>
    <row r="1764" customFormat="false" ht="15" hidden="false" customHeight="false" outlineLevel="0" collapsed="false">
      <c r="A1764" s="41"/>
      <c r="B1764" s="41"/>
      <c r="C1764" s="5" t="n">
        <f aca="false">IF(B1764="",0,IF(A1764="Bank",IFERROR(MATCH(B1764,Bank!$A:$A,0),0),IFERROR(MATCH(B1764,GL!$A:$A,0),0)))</f>
        <v>0</v>
      </c>
      <c r="D1764" s="32" t="str">
        <f aca="false">IF(C1764=0,"",IF($A1764="Bank",INDEX(Bank!$B:$B,$C1764),INDEX(GL!$B:$B,$C1764)))</f>
        <v/>
      </c>
      <c r="E1764" s="5" t="str">
        <f aca="false">IF(C1764=0,"",IF($A1764="Bank",IF(INDEX(Bank!$C:$C,$C1764)="","",INDEX(Bank!$C:$C,$C1764)),IF(INDEX(GL!$C:$C,$C1764)="","",INDEX(GL!$C:$C,$C1764))))</f>
        <v/>
      </c>
      <c r="F1764" s="5" t="str">
        <f aca="false">IF(C1764=0,"",IF($A1764="Bank",IF(INDEX(Bank!$D:$D,$C1764)="","",INDEX(Bank!$D:$D,$C1764)),IF(INDEX(GL!$D:$D,$C1764)="","",INDEX(GL!$D:$D,$C1764))))</f>
        <v/>
      </c>
      <c r="G1764" s="19" t="str">
        <f aca="false">IF(C1764=0,"",IF($A1764="Bank",INDEX(Bank!$E:$E,$C1764),INDEX(GL!$E:$E,$C1764)))</f>
        <v/>
      </c>
      <c r="H1764" s="5" t="str">
        <f aca="false">IF(C1764=0,"",IF(A1764="GL",IF(G1764&gt;0,"Deposit in transit","Outstanding check / payment"),IF(G1764&gt;0,"Bank credit not in GL","Bank debit not in GL")))</f>
        <v/>
      </c>
      <c r="I1764" s="42" t="str">
        <f aca="false">IF(OR(C1764=0,CFG_PeriodEnd=""),"",CFG_PeriodEnd-D1764)</f>
        <v/>
      </c>
      <c r="J1764" s="5" t="str">
        <f aca="false">IF(C1764=0,"",IF($A1764="Bank",IF(INDEX(Bank!$G:$G,$C1764)="","",INDEX(Bank!$G:$G,$C1764)),IF(INDEX(GL!$G:$G,$C1764)="","",INDEX(GL!$G:$G,$C1764))))</f>
        <v/>
      </c>
      <c r="K1764" s="5" t="str">
        <f aca="false">IF(C1764=0,"",IF($A1764="Bank",IF(INDEX(Bank!$I:$I,$C1764)="","",INDEX(Bank!$I:$I,$C1764)),IF(INDEX(GL!$I:$I,$C1764)="","",INDEX(GL!$I:$I,$C1764))))</f>
        <v/>
      </c>
      <c r="L1764" s="5" t="str">
        <f aca="false">IF(B1764="","",IF(C1764=0,"NOT FOUND",IF(IF($A1764="Bank",INDEX(Bank!$F:$F,$C1764),INDEX(GL!$F:$F,$C1764))="Y","NOW RECONCILED: refresh","OK")))</f>
        <v/>
      </c>
    </row>
    <row r="1765" customFormat="false" ht="15" hidden="false" customHeight="false" outlineLevel="0" collapsed="false">
      <c r="A1765" s="41"/>
      <c r="B1765" s="41"/>
      <c r="C1765" s="5" t="n">
        <f aca="false">IF(B1765="",0,IF(A1765="Bank",IFERROR(MATCH(B1765,Bank!$A:$A,0),0),IFERROR(MATCH(B1765,GL!$A:$A,0),0)))</f>
        <v>0</v>
      </c>
      <c r="D1765" s="32" t="str">
        <f aca="false">IF(C1765=0,"",IF($A1765="Bank",INDEX(Bank!$B:$B,$C1765),INDEX(GL!$B:$B,$C1765)))</f>
        <v/>
      </c>
      <c r="E1765" s="5" t="str">
        <f aca="false">IF(C1765=0,"",IF($A1765="Bank",IF(INDEX(Bank!$C:$C,$C1765)="","",INDEX(Bank!$C:$C,$C1765)),IF(INDEX(GL!$C:$C,$C1765)="","",INDEX(GL!$C:$C,$C1765))))</f>
        <v/>
      </c>
      <c r="F1765" s="5" t="str">
        <f aca="false">IF(C1765=0,"",IF($A1765="Bank",IF(INDEX(Bank!$D:$D,$C1765)="","",INDEX(Bank!$D:$D,$C1765)),IF(INDEX(GL!$D:$D,$C1765)="","",INDEX(GL!$D:$D,$C1765))))</f>
        <v/>
      </c>
      <c r="G1765" s="19" t="str">
        <f aca="false">IF(C1765=0,"",IF($A1765="Bank",INDEX(Bank!$E:$E,$C1765),INDEX(GL!$E:$E,$C1765)))</f>
        <v/>
      </c>
      <c r="H1765" s="5" t="str">
        <f aca="false">IF(C1765=0,"",IF(A1765="GL",IF(G1765&gt;0,"Deposit in transit","Outstanding check / payment"),IF(G1765&gt;0,"Bank credit not in GL","Bank debit not in GL")))</f>
        <v/>
      </c>
      <c r="I1765" s="42" t="str">
        <f aca="false">IF(OR(C1765=0,CFG_PeriodEnd=""),"",CFG_PeriodEnd-D1765)</f>
        <v/>
      </c>
      <c r="J1765" s="5" t="str">
        <f aca="false">IF(C1765=0,"",IF($A1765="Bank",IF(INDEX(Bank!$G:$G,$C1765)="","",INDEX(Bank!$G:$G,$C1765)),IF(INDEX(GL!$G:$G,$C1765)="","",INDEX(GL!$G:$G,$C1765))))</f>
        <v/>
      </c>
      <c r="K1765" s="5" t="str">
        <f aca="false">IF(C1765=0,"",IF($A1765="Bank",IF(INDEX(Bank!$I:$I,$C1765)="","",INDEX(Bank!$I:$I,$C1765)),IF(INDEX(GL!$I:$I,$C1765)="","",INDEX(GL!$I:$I,$C1765))))</f>
        <v/>
      </c>
      <c r="L1765" s="5" t="str">
        <f aca="false">IF(B1765="","",IF(C1765=0,"NOT FOUND",IF(IF($A1765="Bank",INDEX(Bank!$F:$F,$C1765),INDEX(GL!$F:$F,$C1765))="Y","NOW RECONCILED: refresh","OK")))</f>
        <v/>
      </c>
    </row>
    <row r="1766" customFormat="false" ht="15" hidden="false" customHeight="false" outlineLevel="0" collapsed="false">
      <c r="A1766" s="41"/>
      <c r="B1766" s="41"/>
      <c r="C1766" s="5" t="n">
        <f aca="false">IF(B1766="",0,IF(A1766="Bank",IFERROR(MATCH(B1766,Bank!$A:$A,0),0),IFERROR(MATCH(B1766,GL!$A:$A,0),0)))</f>
        <v>0</v>
      </c>
      <c r="D1766" s="32" t="str">
        <f aca="false">IF(C1766=0,"",IF($A1766="Bank",INDEX(Bank!$B:$B,$C1766),INDEX(GL!$B:$B,$C1766)))</f>
        <v/>
      </c>
      <c r="E1766" s="5" t="str">
        <f aca="false">IF(C1766=0,"",IF($A1766="Bank",IF(INDEX(Bank!$C:$C,$C1766)="","",INDEX(Bank!$C:$C,$C1766)),IF(INDEX(GL!$C:$C,$C1766)="","",INDEX(GL!$C:$C,$C1766))))</f>
        <v/>
      </c>
      <c r="F1766" s="5" t="str">
        <f aca="false">IF(C1766=0,"",IF($A1766="Bank",IF(INDEX(Bank!$D:$D,$C1766)="","",INDEX(Bank!$D:$D,$C1766)),IF(INDEX(GL!$D:$D,$C1766)="","",INDEX(GL!$D:$D,$C1766))))</f>
        <v/>
      </c>
      <c r="G1766" s="19" t="str">
        <f aca="false">IF(C1766=0,"",IF($A1766="Bank",INDEX(Bank!$E:$E,$C1766),INDEX(GL!$E:$E,$C1766)))</f>
        <v/>
      </c>
      <c r="H1766" s="5" t="str">
        <f aca="false">IF(C1766=0,"",IF(A1766="GL",IF(G1766&gt;0,"Deposit in transit","Outstanding check / payment"),IF(G1766&gt;0,"Bank credit not in GL","Bank debit not in GL")))</f>
        <v/>
      </c>
      <c r="I1766" s="42" t="str">
        <f aca="false">IF(OR(C1766=0,CFG_PeriodEnd=""),"",CFG_PeriodEnd-D1766)</f>
        <v/>
      </c>
      <c r="J1766" s="5" t="str">
        <f aca="false">IF(C1766=0,"",IF($A1766="Bank",IF(INDEX(Bank!$G:$G,$C1766)="","",INDEX(Bank!$G:$G,$C1766)),IF(INDEX(GL!$G:$G,$C1766)="","",INDEX(GL!$G:$G,$C1766))))</f>
        <v/>
      </c>
      <c r="K1766" s="5" t="str">
        <f aca="false">IF(C1766=0,"",IF($A1766="Bank",IF(INDEX(Bank!$I:$I,$C1766)="","",INDEX(Bank!$I:$I,$C1766)),IF(INDEX(GL!$I:$I,$C1766)="","",INDEX(GL!$I:$I,$C1766))))</f>
        <v/>
      </c>
      <c r="L1766" s="5" t="str">
        <f aca="false">IF(B1766="","",IF(C1766=0,"NOT FOUND",IF(IF($A1766="Bank",INDEX(Bank!$F:$F,$C1766),INDEX(GL!$F:$F,$C1766))="Y","NOW RECONCILED: refresh","OK")))</f>
        <v/>
      </c>
    </row>
    <row r="1767" customFormat="false" ht="15" hidden="false" customHeight="false" outlineLevel="0" collapsed="false">
      <c r="A1767" s="41"/>
      <c r="B1767" s="41"/>
      <c r="C1767" s="5" t="n">
        <f aca="false">IF(B1767="",0,IF(A1767="Bank",IFERROR(MATCH(B1767,Bank!$A:$A,0),0),IFERROR(MATCH(B1767,GL!$A:$A,0),0)))</f>
        <v>0</v>
      </c>
      <c r="D1767" s="32" t="str">
        <f aca="false">IF(C1767=0,"",IF($A1767="Bank",INDEX(Bank!$B:$B,$C1767),INDEX(GL!$B:$B,$C1767)))</f>
        <v/>
      </c>
      <c r="E1767" s="5" t="str">
        <f aca="false">IF(C1767=0,"",IF($A1767="Bank",IF(INDEX(Bank!$C:$C,$C1767)="","",INDEX(Bank!$C:$C,$C1767)),IF(INDEX(GL!$C:$C,$C1767)="","",INDEX(GL!$C:$C,$C1767))))</f>
        <v/>
      </c>
      <c r="F1767" s="5" t="str">
        <f aca="false">IF(C1767=0,"",IF($A1767="Bank",IF(INDEX(Bank!$D:$D,$C1767)="","",INDEX(Bank!$D:$D,$C1767)),IF(INDEX(GL!$D:$D,$C1767)="","",INDEX(GL!$D:$D,$C1767))))</f>
        <v/>
      </c>
      <c r="G1767" s="19" t="str">
        <f aca="false">IF(C1767=0,"",IF($A1767="Bank",INDEX(Bank!$E:$E,$C1767),INDEX(GL!$E:$E,$C1767)))</f>
        <v/>
      </c>
      <c r="H1767" s="5" t="str">
        <f aca="false">IF(C1767=0,"",IF(A1767="GL",IF(G1767&gt;0,"Deposit in transit","Outstanding check / payment"),IF(G1767&gt;0,"Bank credit not in GL","Bank debit not in GL")))</f>
        <v/>
      </c>
      <c r="I1767" s="42" t="str">
        <f aca="false">IF(OR(C1767=0,CFG_PeriodEnd=""),"",CFG_PeriodEnd-D1767)</f>
        <v/>
      </c>
      <c r="J1767" s="5" t="str">
        <f aca="false">IF(C1767=0,"",IF($A1767="Bank",IF(INDEX(Bank!$G:$G,$C1767)="","",INDEX(Bank!$G:$G,$C1767)),IF(INDEX(GL!$G:$G,$C1767)="","",INDEX(GL!$G:$G,$C1767))))</f>
        <v/>
      </c>
      <c r="K1767" s="5" t="str">
        <f aca="false">IF(C1767=0,"",IF($A1767="Bank",IF(INDEX(Bank!$I:$I,$C1767)="","",INDEX(Bank!$I:$I,$C1767)),IF(INDEX(GL!$I:$I,$C1767)="","",INDEX(GL!$I:$I,$C1767))))</f>
        <v/>
      </c>
      <c r="L1767" s="5" t="str">
        <f aca="false">IF(B1767="","",IF(C1767=0,"NOT FOUND",IF(IF($A1767="Bank",INDEX(Bank!$F:$F,$C1767),INDEX(GL!$F:$F,$C1767))="Y","NOW RECONCILED: refresh","OK")))</f>
        <v/>
      </c>
    </row>
    <row r="1768" customFormat="false" ht="15" hidden="false" customHeight="false" outlineLevel="0" collapsed="false">
      <c r="A1768" s="41"/>
      <c r="B1768" s="41"/>
      <c r="C1768" s="5" t="n">
        <f aca="false">IF(B1768="",0,IF(A1768="Bank",IFERROR(MATCH(B1768,Bank!$A:$A,0),0),IFERROR(MATCH(B1768,GL!$A:$A,0),0)))</f>
        <v>0</v>
      </c>
      <c r="D1768" s="32" t="str">
        <f aca="false">IF(C1768=0,"",IF($A1768="Bank",INDEX(Bank!$B:$B,$C1768),INDEX(GL!$B:$B,$C1768)))</f>
        <v/>
      </c>
      <c r="E1768" s="5" t="str">
        <f aca="false">IF(C1768=0,"",IF($A1768="Bank",IF(INDEX(Bank!$C:$C,$C1768)="","",INDEX(Bank!$C:$C,$C1768)),IF(INDEX(GL!$C:$C,$C1768)="","",INDEX(GL!$C:$C,$C1768))))</f>
        <v/>
      </c>
      <c r="F1768" s="5" t="str">
        <f aca="false">IF(C1768=0,"",IF($A1768="Bank",IF(INDEX(Bank!$D:$D,$C1768)="","",INDEX(Bank!$D:$D,$C1768)),IF(INDEX(GL!$D:$D,$C1768)="","",INDEX(GL!$D:$D,$C1768))))</f>
        <v/>
      </c>
      <c r="G1768" s="19" t="str">
        <f aca="false">IF(C1768=0,"",IF($A1768="Bank",INDEX(Bank!$E:$E,$C1768),INDEX(GL!$E:$E,$C1768)))</f>
        <v/>
      </c>
      <c r="H1768" s="5" t="str">
        <f aca="false">IF(C1768=0,"",IF(A1768="GL",IF(G1768&gt;0,"Deposit in transit","Outstanding check / payment"),IF(G1768&gt;0,"Bank credit not in GL","Bank debit not in GL")))</f>
        <v/>
      </c>
      <c r="I1768" s="42" t="str">
        <f aca="false">IF(OR(C1768=0,CFG_PeriodEnd=""),"",CFG_PeriodEnd-D1768)</f>
        <v/>
      </c>
      <c r="J1768" s="5" t="str">
        <f aca="false">IF(C1768=0,"",IF($A1768="Bank",IF(INDEX(Bank!$G:$G,$C1768)="","",INDEX(Bank!$G:$G,$C1768)),IF(INDEX(GL!$G:$G,$C1768)="","",INDEX(GL!$G:$G,$C1768))))</f>
        <v/>
      </c>
      <c r="K1768" s="5" t="str">
        <f aca="false">IF(C1768=0,"",IF($A1768="Bank",IF(INDEX(Bank!$I:$I,$C1768)="","",INDEX(Bank!$I:$I,$C1768)),IF(INDEX(GL!$I:$I,$C1768)="","",INDEX(GL!$I:$I,$C1768))))</f>
        <v/>
      </c>
      <c r="L1768" s="5" t="str">
        <f aca="false">IF(B1768="","",IF(C1768=0,"NOT FOUND",IF(IF($A1768="Bank",INDEX(Bank!$F:$F,$C1768),INDEX(GL!$F:$F,$C1768))="Y","NOW RECONCILED: refresh","OK")))</f>
        <v/>
      </c>
    </row>
    <row r="1769" customFormat="false" ht="15" hidden="false" customHeight="false" outlineLevel="0" collapsed="false">
      <c r="A1769" s="41"/>
      <c r="B1769" s="41"/>
      <c r="C1769" s="5" t="n">
        <f aca="false">IF(B1769="",0,IF(A1769="Bank",IFERROR(MATCH(B1769,Bank!$A:$A,0),0),IFERROR(MATCH(B1769,GL!$A:$A,0),0)))</f>
        <v>0</v>
      </c>
      <c r="D1769" s="32" t="str">
        <f aca="false">IF(C1769=0,"",IF($A1769="Bank",INDEX(Bank!$B:$B,$C1769),INDEX(GL!$B:$B,$C1769)))</f>
        <v/>
      </c>
      <c r="E1769" s="5" t="str">
        <f aca="false">IF(C1769=0,"",IF($A1769="Bank",IF(INDEX(Bank!$C:$C,$C1769)="","",INDEX(Bank!$C:$C,$C1769)),IF(INDEX(GL!$C:$C,$C1769)="","",INDEX(GL!$C:$C,$C1769))))</f>
        <v/>
      </c>
      <c r="F1769" s="5" t="str">
        <f aca="false">IF(C1769=0,"",IF($A1769="Bank",IF(INDEX(Bank!$D:$D,$C1769)="","",INDEX(Bank!$D:$D,$C1769)),IF(INDEX(GL!$D:$D,$C1769)="","",INDEX(GL!$D:$D,$C1769))))</f>
        <v/>
      </c>
      <c r="G1769" s="19" t="str">
        <f aca="false">IF(C1769=0,"",IF($A1769="Bank",INDEX(Bank!$E:$E,$C1769),INDEX(GL!$E:$E,$C1769)))</f>
        <v/>
      </c>
      <c r="H1769" s="5" t="str">
        <f aca="false">IF(C1769=0,"",IF(A1769="GL",IF(G1769&gt;0,"Deposit in transit","Outstanding check / payment"),IF(G1769&gt;0,"Bank credit not in GL","Bank debit not in GL")))</f>
        <v/>
      </c>
      <c r="I1769" s="42" t="str">
        <f aca="false">IF(OR(C1769=0,CFG_PeriodEnd=""),"",CFG_PeriodEnd-D1769)</f>
        <v/>
      </c>
      <c r="J1769" s="5" t="str">
        <f aca="false">IF(C1769=0,"",IF($A1769="Bank",IF(INDEX(Bank!$G:$G,$C1769)="","",INDEX(Bank!$G:$G,$C1769)),IF(INDEX(GL!$G:$G,$C1769)="","",INDEX(GL!$G:$G,$C1769))))</f>
        <v/>
      </c>
      <c r="K1769" s="5" t="str">
        <f aca="false">IF(C1769=0,"",IF($A1769="Bank",IF(INDEX(Bank!$I:$I,$C1769)="","",INDEX(Bank!$I:$I,$C1769)),IF(INDEX(GL!$I:$I,$C1769)="","",INDEX(GL!$I:$I,$C1769))))</f>
        <v/>
      </c>
      <c r="L1769" s="5" t="str">
        <f aca="false">IF(B1769="","",IF(C1769=0,"NOT FOUND",IF(IF($A1769="Bank",INDEX(Bank!$F:$F,$C1769),INDEX(GL!$F:$F,$C1769))="Y","NOW RECONCILED: refresh","OK")))</f>
        <v/>
      </c>
    </row>
    <row r="1770" customFormat="false" ht="15" hidden="false" customHeight="false" outlineLevel="0" collapsed="false">
      <c r="A1770" s="41"/>
      <c r="B1770" s="41"/>
      <c r="C1770" s="5" t="n">
        <f aca="false">IF(B1770="",0,IF(A1770="Bank",IFERROR(MATCH(B1770,Bank!$A:$A,0),0),IFERROR(MATCH(B1770,GL!$A:$A,0),0)))</f>
        <v>0</v>
      </c>
      <c r="D1770" s="32" t="str">
        <f aca="false">IF(C1770=0,"",IF($A1770="Bank",INDEX(Bank!$B:$B,$C1770),INDEX(GL!$B:$B,$C1770)))</f>
        <v/>
      </c>
      <c r="E1770" s="5" t="str">
        <f aca="false">IF(C1770=0,"",IF($A1770="Bank",IF(INDEX(Bank!$C:$C,$C1770)="","",INDEX(Bank!$C:$C,$C1770)),IF(INDEX(GL!$C:$C,$C1770)="","",INDEX(GL!$C:$C,$C1770))))</f>
        <v/>
      </c>
      <c r="F1770" s="5" t="str">
        <f aca="false">IF(C1770=0,"",IF($A1770="Bank",IF(INDEX(Bank!$D:$D,$C1770)="","",INDEX(Bank!$D:$D,$C1770)),IF(INDEX(GL!$D:$D,$C1770)="","",INDEX(GL!$D:$D,$C1770))))</f>
        <v/>
      </c>
      <c r="G1770" s="19" t="str">
        <f aca="false">IF(C1770=0,"",IF($A1770="Bank",INDEX(Bank!$E:$E,$C1770),INDEX(GL!$E:$E,$C1770)))</f>
        <v/>
      </c>
      <c r="H1770" s="5" t="str">
        <f aca="false">IF(C1770=0,"",IF(A1770="GL",IF(G1770&gt;0,"Deposit in transit","Outstanding check / payment"),IF(G1770&gt;0,"Bank credit not in GL","Bank debit not in GL")))</f>
        <v/>
      </c>
      <c r="I1770" s="42" t="str">
        <f aca="false">IF(OR(C1770=0,CFG_PeriodEnd=""),"",CFG_PeriodEnd-D1770)</f>
        <v/>
      </c>
      <c r="J1770" s="5" t="str">
        <f aca="false">IF(C1770=0,"",IF($A1770="Bank",IF(INDEX(Bank!$G:$G,$C1770)="","",INDEX(Bank!$G:$G,$C1770)),IF(INDEX(GL!$G:$G,$C1770)="","",INDEX(GL!$G:$G,$C1770))))</f>
        <v/>
      </c>
      <c r="K1770" s="5" t="str">
        <f aca="false">IF(C1770=0,"",IF($A1770="Bank",IF(INDEX(Bank!$I:$I,$C1770)="","",INDEX(Bank!$I:$I,$C1770)),IF(INDEX(GL!$I:$I,$C1770)="","",INDEX(GL!$I:$I,$C1770))))</f>
        <v/>
      </c>
      <c r="L1770" s="5" t="str">
        <f aca="false">IF(B1770="","",IF(C1770=0,"NOT FOUND",IF(IF($A1770="Bank",INDEX(Bank!$F:$F,$C1770),INDEX(GL!$F:$F,$C1770))="Y","NOW RECONCILED: refresh","OK")))</f>
        <v/>
      </c>
    </row>
    <row r="1771" customFormat="false" ht="15" hidden="false" customHeight="false" outlineLevel="0" collapsed="false">
      <c r="A1771" s="41"/>
      <c r="B1771" s="41"/>
      <c r="C1771" s="5" t="n">
        <f aca="false">IF(B1771="",0,IF(A1771="Bank",IFERROR(MATCH(B1771,Bank!$A:$A,0),0),IFERROR(MATCH(B1771,GL!$A:$A,0),0)))</f>
        <v>0</v>
      </c>
      <c r="D1771" s="32" t="str">
        <f aca="false">IF(C1771=0,"",IF($A1771="Bank",INDEX(Bank!$B:$B,$C1771),INDEX(GL!$B:$B,$C1771)))</f>
        <v/>
      </c>
      <c r="E1771" s="5" t="str">
        <f aca="false">IF(C1771=0,"",IF($A1771="Bank",IF(INDEX(Bank!$C:$C,$C1771)="","",INDEX(Bank!$C:$C,$C1771)),IF(INDEX(GL!$C:$C,$C1771)="","",INDEX(GL!$C:$C,$C1771))))</f>
        <v/>
      </c>
      <c r="F1771" s="5" t="str">
        <f aca="false">IF(C1771=0,"",IF($A1771="Bank",IF(INDEX(Bank!$D:$D,$C1771)="","",INDEX(Bank!$D:$D,$C1771)),IF(INDEX(GL!$D:$D,$C1771)="","",INDEX(GL!$D:$D,$C1771))))</f>
        <v/>
      </c>
      <c r="G1771" s="19" t="str">
        <f aca="false">IF(C1771=0,"",IF($A1771="Bank",INDEX(Bank!$E:$E,$C1771),INDEX(GL!$E:$E,$C1771)))</f>
        <v/>
      </c>
      <c r="H1771" s="5" t="str">
        <f aca="false">IF(C1771=0,"",IF(A1771="GL",IF(G1771&gt;0,"Deposit in transit","Outstanding check / payment"),IF(G1771&gt;0,"Bank credit not in GL","Bank debit not in GL")))</f>
        <v/>
      </c>
      <c r="I1771" s="42" t="str">
        <f aca="false">IF(OR(C1771=0,CFG_PeriodEnd=""),"",CFG_PeriodEnd-D1771)</f>
        <v/>
      </c>
      <c r="J1771" s="5" t="str">
        <f aca="false">IF(C1771=0,"",IF($A1771="Bank",IF(INDEX(Bank!$G:$G,$C1771)="","",INDEX(Bank!$G:$G,$C1771)),IF(INDEX(GL!$G:$G,$C1771)="","",INDEX(GL!$G:$G,$C1771))))</f>
        <v/>
      </c>
      <c r="K1771" s="5" t="str">
        <f aca="false">IF(C1771=0,"",IF($A1771="Bank",IF(INDEX(Bank!$I:$I,$C1771)="","",INDEX(Bank!$I:$I,$C1771)),IF(INDEX(GL!$I:$I,$C1771)="","",INDEX(GL!$I:$I,$C1771))))</f>
        <v/>
      </c>
      <c r="L1771" s="5" t="str">
        <f aca="false">IF(B1771="","",IF(C1771=0,"NOT FOUND",IF(IF($A1771="Bank",INDEX(Bank!$F:$F,$C1771),INDEX(GL!$F:$F,$C1771))="Y","NOW RECONCILED: refresh","OK")))</f>
        <v/>
      </c>
    </row>
    <row r="1772" customFormat="false" ht="15" hidden="false" customHeight="false" outlineLevel="0" collapsed="false">
      <c r="A1772" s="41"/>
      <c r="B1772" s="41"/>
      <c r="C1772" s="5" t="n">
        <f aca="false">IF(B1772="",0,IF(A1772="Bank",IFERROR(MATCH(B1772,Bank!$A:$A,0),0),IFERROR(MATCH(B1772,GL!$A:$A,0),0)))</f>
        <v>0</v>
      </c>
      <c r="D1772" s="32" t="str">
        <f aca="false">IF(C1772=0,"",IF($A1772="Bank",INDEX(Bank!$B:$B,$C1772),INDEX(GL!$B:$B,$C1772)))</f>
        <v/>
      </c>
      <c r="E1772" s="5" t="str">
        <f aca="false">IF(C1772=0,"",IF($A1772="Bank",IF(INDEX(Bank!$C:$C,$C1772)="","",INDEX(Bank!$C:$C,$C1772)),IF(INDEX(GL!$C:$C,$C1772)="","",INDEX(GL!$C:$C,$C1772))))</f>
        <v/>
      </c>
      <c r="F1772" s="5" t="str">
        <f aca="false">IF(C1772=0,"",IF($A1772="Bank",IF(INDEX(Bank!$D:$D,$C1772)="","",INDEX(Bank!$D:$D,$C1772)),IF(INDEX(GL!$D:$D,$C1772)="","",INDEX(GL!$D:$D,$C1772))))</f>
        <v/>
      </c>
      <c r="G1772" s="19" t="str">
        <f aca="false">IF(C1772=0,"",IF($A1772="Bank",INDEX(Bank!$E:$E,$C1772),INDEX(GL!$E:$E,$C1772)))</f>
        <v/>
      </c>
      <c r="H1772" s="5" t="str">
        <f aca="false">IF(C1772=0,"",IF(A1772="GL",IF(G1772&gt;0,"Deposit in transit","Outstanding check / payment"),IF(G1772&gt;0,"Bank credit not in GL","Bank debit not in GL")))</f>
        <v/>
      </c>
      <c r="I1772" s="42" t="str">
        <f aca="false">IF(OR(C1772=0,CFG_PeriodEnd=""),"",CFG_PeriodEnd-D1772)</f>
        <v/>
      </c>
      <c r="J1772" s="5" t="str">
        <f aca="false">IF(C1772=0,"",IF($A1772="Bank",IF(INDEX(Bank!$G:$G,$C1772)="","",INDEX(Bank!$G:$G,$C1772)),IF(INDEX(GL!$G:$G,$C1772)="","",INDEX(GL!$G:$G,$C1772))))</f>
        <v/>
      </c>
      <c r="K1772" s="5" t="str">
        <f aca="false">IF(C1772=0,"",IF($A1772="Bank",IF(INDEX(Bank!$I:$I,$C1772)="","",INDEX(Bank!$I:$I,$C1772)),IF(INDEX(GL!$I:$I,$C1772)="","",INDEX(GL!$I:$I,$C1772))))</f>
        <v/>
      </c>
      <c r="L1772" s="5" t="str">
        <f aca="false">IF(B1772="","",IF(C1772=0,"NOT FOUND",IF(IF($A1772="Bank",INDEX(Bank!$F:$F,$C1772),INDEX(GL!$F:$F,$C1772))="Y","NOW RECONCILED: refresh","OK")))</f>
        <v/>
      </c>
    </row>
    <row r="1773" customFormat="false" ht="15" hidden="false" customHeight="false" outlineLevel="0" collapsed="false">
      <c r="A1773" s="41"/>
      <c r="B1773" s="41"/>
      <c r="C1773" s="5" t="n">
        <f aca="false">IF(B1773="",0,IF(A1773="Bank",IFERROR(MATCH(B1773,Bank!$A:$A,0),0),IFERROR(MATCH(B1773,GL!$A:$A,0),0)))</f>
        <v>0</v>
      </c>
      <c r="D1773" s="32" t="str">
        <f aca="false">IF(C1773=0,"",IF($A1773="Bank",INDEX(Bank!$B:$B,$C1773),INDEX(GL!$B:$B,$C1773)))</f>
        <v/>
      </c>
      <c r="E1773" s="5" t="str">
        <f aca="false">IF(C1773=0,"",IF($A1773="Bank",IF(INDEX(Bank!$C:$C,$C1773)="","",INDEX(Bank!$C:$C,$C1773)),IF(INDEX(GL!$C:$C,$C1773)="","",INDEX(GL!$C:$C,$C1773))))</f>
        <v/>
      </c>
      <c r="F1773" s="5" t="str">
        <f aca="false">IF(C1773=0,"",IF($A1773="Bank",IF(INDEX(Bank!$D:$D,$C1773)="","",INDEX(Bank!$D:$D,$C1773)),IF(INDEX(GL!$D:$D,$C1773)="","",INDEX(GL!$D:$D,$C1773))))</f>
        <v/>
      </c>
      <c r="G1773" s="19" t="str">
        <f aca="false">IF(C1773=0,"",IF($A1773="Bank",INDEX(Bank!$E:$E,$C1773),INDEX(GL!$E:$E,$C1773)))</f>
        <v/>
      </c>
      <c r="H1773" s="5" t="str">
        <f aca="false">IF(C1773=0,"",IF(A1773="GL",IF(G1773&gt;0,"Deposit in transit","Outstanding check / payment"),IF(G1773&gt;0,"Bank credit not in GL","Bank debit not in GL")))</f>
        <v/>
      </c>
      <c r="I1773" s="42" t="str">
        <f aca="false">IF(OR(C1773=0,CFG_PeriodEnd=""),"",CFG_PeriodEnd-D1773)</f>
        <v/>
      </c>
      <c r="J1773" s="5" t="str">
        <f aca="false">IF(C1773=0,"",IF($A1773="Bank",IF(INDEX(Bank!$G:$G,$C1773)="","",INDEX(Bank!$G:$G,$C1773)),IF(INDEX(GL!$G:$G,$C1773)="","",INDEX(GL!$G:$G,$C1773))))</f>
        <v/>
      </c>
      <c r="K1773" s="5" t="str">
        <f aca="false">IF(C1773=0,"",IF($A1773="Bank",IF(INDEX(Bank!$I:$I,$C1773)="","",INDEX(Bank!$I:$I,$C1773)),IF(INDEX(GL!$I:$I,$C1773)="","",INDEX(GL!$I:$I,$C1773))))</f>
        <v/>
      </c>
      <c r="L1773" s="5" t="str">
        <f aca="false">IF(B1773="","",IF(C1773=0,"NOT FOUND",IF(IF($A1773="Bank",INDEX(Bank!$F:$F,$C1773),INDEX(GL!$F:$F,$C1773))="Y","NOW RECONCILED: refresh","OK")))</f>
        <v/>
      </c>
    </row>
    <row r="1774" customFormat="false" ht="15" hidden="false" customHeight="false" outlineLevel="0" collapsed="false">
      <c r="A1774" s="41"/>
      <c r="B1774" s="41"/>
      <c r="C1774" s="5" t="n">
        <f aca="false">IF(B1774="",0,IF(A1774="Bank",IFERROR(MATCH(B1774,Bank!$A:$A,0),0),IFERROR(MATCH(B1774,GL!$A:$A,0),0)))</f>
        <v>0</v>
      </c>
      <c r="D1774" s="32" t="str">
        <f aca="false">IF(C1774=0,"",IF($A1774="Bank",INDEX(Bank!$B:$B,$C1774),INDEX(GL!$B:$B,$C1774)))</f>
        <v/>
      </c>
      <c r="E1774" s="5" t="str">
        <f aca="false">IF(C1774=0,"",IF($A1774="Bank",IF(INDEX(Bank!$C:$C,$C1774)="","",INDEX(Bank!$C:$C,$C1774)),IF(INDEX(GL!$C:$C,$C1774)="","",INDEX(GL!$C:$C,$C1774))))</f>
        <v/>
      </c>
      <c r="F1774" s="5" t="str">
        <f aca="false">IF(C1774=0,"",IF($A1774="Bank",IF(INDEX(Bank!$D:$D,$C1774)="","",INDEX(Bank!$D:$D,$C1774)),IF(INDEX(GL!$D:$D,$C1774)="","",INDEX(GL!$D:$D,$C1774))))</f>
        <v/>
      </c>
      <c r="G1774" s="19" t="str">
        <f aca="false">IF(C1774=0,"",IF($A1774="Bank",INDEX(Bank!$E:$E,$C1774),INDEX(GL!$E:$E,$C1774)))</f>
        <v/>
      </c>
      <c r="H1774" s="5" t="str">
        <f aca="false">IF(C1774=0,"",IF(A1774="GL",IF(G1774&gt;0,"Deposit in transit","Outstanding check / payment"),IF(G1774&gt;0,"Bank credit not in GL","Bank debit not in GL")))</f>
        <v/>
      </c>
      <c r="I1774" s="42" t="str">
        <f aca="false">IF(OR(C1774=0,CFG_PeriodEnd=""),"",CFG_PeriodEnd-D1774)</f>
        <v/>
      </c>
      <c r="J1774" s="5" t="str">
        <f aca="false">IF(C1774=0,"",IF($A1774="Bank",IF(INDEX(Bank!$G:$G,$C1774)="","",INDEX(Bank!$G:$G,$C1774)),IF(INDEX(GL!$G:$G,$C1774)="","",INDEX(GL!$G:$G,$C1774))))</f>
        <v/>
      </c>
      <c r="K1774" s="5" t="str">
        <f aca="false">IF(C1774=0,"",IF($A1774="Bank",IF(INDEX(Bank!$I:$I,$C1774)="","",INDEX(Bank!$I:$I,$C1774)),IF(INDEX(GL!$I:$I,$C1774)="","",INDEX(GL!$I:$I,$C1774))))</f>
        <v/>
      </c>
      <c r="L1774" s="5" t="str">
        <f aca="false">IF(B1774="","",IF(C1774=0,"NOT FOUND",IF(IF($A1774="Bank",INDEX(Bank!$F:$F,$C1774),INDEX(GL!$F:$F,$C1774))="Y","NOW RECONCILED: refresh","OK")))</f>
        <v/>
      </c>
    </row>
    <row r="1775" customFormat="false" ht="15" hidden="false" customHeight="false" outlineLevel="0" collapsed="false">
      <c r="A1775" s="41"/>
      <c r="B1775" s="41"/>
      <c r="C1775" s="5" t="n">
        <f aca="false">IF(B1775="",0,IF(A1775="Bank",IFERROR(MATCH(B1775,Bank!$A:$A,0),0),IFERROR(MATCH(B1775,GL!$A:$A,0),0)))</f>
        <v>0</v>
      </c>
      <c r="D1775" s="32" t="str">
        <f aca="false">IF(C1775=0,"",IF($A1775="Bank",INDEX(Bank!$B:$B,$C1775),INDEX(GL!$B:$B,$C1775)))</f>
        <v/>
      </c>
      <c r="E1775" s="5" t="str">
        <f aca="false">IF(C1775=0,"",IF($A1775="Bank",IF(INDEX(Bank!$C:$C,$C1775)="","",INDEX(Bank!$C:$C,$C1775)),IF(INDEX(GL!$C:$C,$C1775)="","",INDEX(GL!$C:$C,$C1775))))</f>
        <v/>
      </c>
      <c r="F1775" s="5" t="str">
        <f aca="false">IF(C1775=0,"",IF($A1775="Bank",IF(INDEX(Bank!$D:$D,$C1775)="","",INDEX(Bank!$D:$D,$C1775)),IF(INDEX(GL!$D:$D,$C1775)="","",INDEX(GL!$D:$D,$C1775))))</f>
        <v/>
      </c>
      <c r="G1775" s="19" t="str">
        <f aca="false">IF(C1775=0,"",IF($A1775="Bank",INDEX(Bank!$E:$E,$C1775),INDEX(GL!$E:$E,$C1775)))</f>
        <v/>
      </c>
      <c r="H1775" s="5" t="str">
        <f aca="false">IF(C1775=0,"",IF(A1775="GL",IF(G1775&gt;0,"Deposit in transit","Outstanding check / payment"),IF(G1775&gt;0,"Bank credit not in GL","Bank debit not in GL")))</f>
        <v/>
      </c>
      <c r="I1775" s="42" t="str">
        <f aca="false">IF(OR(C1775=0,CFG_PeriodEnd=""),"",CFG_PeriodEnd-D1775)</f>
        <v/>
      </c>
      <c r="J1775" s="5" t="str">
        <f aca="false">IF(C1775=0,"",IF($A1775="Bank",IF(INDEX(Bank!$G:$G,$C1775)="","",INDEX(Bank!$G:$G,$C1775)),IF(INDEX(GL!$G:$G,$C1775)="","",INDEX(GL!$G:$G,$C1775))))</f>
        <v/>
      </c>
      <c r="K1775" s="5" t="str">
        <f aca="false">IF(C1775=0,"",IF($A1775="Bank",IF(INDEX(Bank!$I:$I,$C1775)="","",INDEX(Bank!$I:$I,$C1775)),IF(INDEX(GL!$I:$I,$C1775)="","",INDEX(GL!$I:$I,$C1775))))</f>
        <v/>
      </c>
      <c r="L1775" s="5" t="str">
        <f aca="false">IF(B1775="","",IF(C1775=0,"NOT FOUND",IF(IF($A1775="Bank",INDEX(Bank!$F:$F,$C1775),INDEX(GL!$F:$F,$C1775))="Y","NOW RECONCILED: refresh","OK")))</f>
        <v/>
      </c>
    </row>
    <row r="1776" customFormat="false" ht="15" hidden="false" customHeight="false" outlineLevel="0" collapsed="false">
      <c r="A1776" s="41"/>
      <c r="B1776" s="41"/>
      <c r="C1776" s="5" t="n">
        <f aca="false">IF(B1776="",0,IF(A1776="Bank",IFERROR(MATCH(B1776,Bank!$A:$A,0),0),IFERROR(MATCH(B1776,GL!$A:$A,0),0)))</f>
        <v>0</v>
      </c>
      <c r="D1776" s="32" t="str">
        <f aca="false">IF(C1776=0,"",IF($A1776="Bank",INDEX(Bank!$B:$B,$C1776),INDEX(GL!$B:$B,$C1776)))</f>
        <v/>
      </c>
      <c r="E1776" s="5" t="str">
        <f aca="false">IF(C1776=0,"",IF($A1776="Bank",IF(INDEX(Bank!$C:$C,$C1776)="","",INDEX(Bank!$C:$C,$C1776)),IF(INDEX(GL!$C:$C,$C1776)="","",INDEX(GL!$C:$C,$C1776))))</f>
        <v/>
      </c>
      <c r="F1776" s="5" t="str">
        <f aca="false">IF(C1776=0,"",IF($A1776="Bank",IF(INDEX(Bank!$D:$D,$C1776)="","",INDEX(Bank!$D:$D,$C1776)),IF(INDEX(GL!$D:$D,$C1776)="","",INDEX(GL!$D:$D,$C1776))))</f>
        <v/>
      </c>
      <c r="G1776" s="19" t="str">
        <f aca="false">IF(C1776=0,"",IF($A1776="Bank",INDEX(Bank!$E:$E,$C1776),INDEX(GL!$E:$E,$C1776)))</f>
        <v/>
      </c>
      <c r="H1776" s="5" t="str">
        <f aca="false">IF(C1776=0,"",IF(A1776="GL",IF(G1776&gt;0,"Deposit in transit","Outstanding check / payment"),IF(G1776&gt;0,"Bank credit not in GL","Bank debit not in GL")))</f>
        <v/>
      </c>
      <c r="I1776" s="42" t="str">
        <f aca="false">IF(OR(C1776=0,CFG_PeriodEnd=""),"",CFG_PeriodEnd-D1776)</f>
        <v/>
      </c>
      <c r="J1776" s="5" t="str">
        <f aca="false">IF(C1776=0,"",IF($A1776="Bank",IF(INDEX(Bank!$G:$G,$C1776)="","",INDEX(Bank!$G:$G,$C1776)),IF(INDEX(GL!$G:$G,$C1776)="","",INDEX(GL!$G:$G,$C1776))))</f>
        <v/>
      </c>
      <c r="K1776" s="5" t="str">
        <f aca="false">IF(C1776=0,"",IF($A1776="Bank",IF(INDEX(Bank!$I:$I,$C1776)="","",INDEX(Bank!$I:$I,$C1776)),IF(INDEX(GL!$I:$I,$C1776)="","",INDEX(GL!$I:$I,$C1776))))</f>
        <v/>
      </c>
      <c r="L1776" s="5" t="str">
        <f aca="false">IF(B1776="","",IF(C1776=0,"NOT FOUND",IF(IF($A1776="Bank",INDEX(Bank!$F:$F,$C1776),INDEX(GL!$F:$F,$C1776))="Y","NOW RECONCILED: refresh","OK")))</f>
        <v/>
      </c>
    </row>
    <row r="1777" customFormat="false" ht="15" hidden="false" customHeight="false" outlineLevel="0" collapsed="false">
      <c r="A1777" s="41"/>
      <c r="B1777" s="41"/>
      <c r="C1777" s="5" t="n">
        <f aca="false">IF(B1777="",0,IF(A1777="Bank",IFERROR(MATCH(B1777,Bank!$A:$A,0),0),IFERROR(MATCH(B1777,GL!$A:$A,0),0)))</f>
        <v>0</v>
      </c>
      <c r="D1777" s="32" t="str">
        <f aca="false">IF(C1777=0,"",IF($A1777="Bank",INDEX(Bank!$B:$B,$C1777),INDEX(GL!$B:$B,$C1777)))</f>
        <v/>
      </c>
      <c r="E1777" s="5" t="str">
        <f aca="false">IF(C1777=0,"",IF($A1777="Bank",IF(INDEX(Bank!$C:$C,$C1777)="","",INDEX(Bank!$C:$C,$C1777)),IF(INDEX(GL!$C:$C,$C1777)="","",INDEX(GL!$C:$C,$C1777))))</f>
        <v/>
      </c>
      <c r="F1777" s="5" t="str">
        <f aca="false">IF(C1777=0,"",IF($A1777="Bank",IF(INDEX(Bank!$D:$D,$C1777)="","",INDEX(Bank!$D:$D,$C1777)),IF(INDEX(GL!$D:$D,$C1777)="","",INDEX(GL!$D:$D,$C1777))))</f>
        <v/>
      </c>
      <c r="G1777" s="19" t="str">
        <f aca="false">IF(C1777=0,"",IF($A1777="Bank",INDEX(Bank!$E:$E,$C1777),INDEX(GL!$E:$E,$C1777)))</f>
        <v/>
      </c>
      <c r="H1777" s="5" t="str">
        <f aca="false">IF(C1777=0,"",IF(A1777="GL",IF(G1777&gt;0,"Deposit in transit","Outstanding check / payment"),IF(G1777&gt;0,"Bank credit not in GL","Bank debit not in GL")))</f>
        <v/>
      </c>
      <c r="I1777" s="42" t="str">
        <f aca="false">IF(OR(C1777=0,CFG_PeriodEnd=""),"",CFG_PeriodEnd-D1777)</f>
        <v/>
      </c>
      <c r="J1777" s="5" t="str">
        <f aca="false">IF(C1777=0,"",IF($A1777="Bank",IF(INDEX(Bank!$G:$G,$C1777)="","",INDEX(Bank!$G:$G,$C1777)),IF(INDEX(GL!$G:$G,$C1777)="","",INDEX(GL!$G:$G,$C1777))))</f>
        <v/>
      </c>
      <c r="K1777" s="5" t="str">
        <f aca="false">IF(C1777=0,"",IF($A1777="Bank",IF(INDEX(Bank!$I:$I,$C1777)="","",INDEX(Bank!$I:$I,$C1777)),IF(INDEX(GL!$I:$I,$C1777)="","",INDEX(GL!$I:$I,$C1777))))</f>
        <v/>
      </c>
      <c r="L1777" s="5" t="str">
        <f aca="false">IF(B1777="","",IF(C1777=0,"NOT FOUND",IF(IF($A1777="Bank",INDEX(Bank!$F:$F,$C1777),INDEX(GL!$F:$F,$C1777))="Y","NOW RECONCILED: refresh","OK")))</f>
        <v/>
      </c>
    </row>
    <row r="1778" customFormat="false" ht="15" hidden="false" customHeight="false" outlineLevel="0" collapsed="false">
      <c r="A1778" s="41"/>
      <c r="B1778" s="41"/>
      <c r="C1778" s="5" t="n">
        <f aca="false">IF(B1778="",0,IF(A1778="Bank",IFERROR(MATCH(B1778,Bank!$A:$A,0),0),IFERROR(MATCH(B1778,GL!$A:$A,0),0)))</f>
        <v>0</v>
      </c>
      <c r="D1778" s="32" t="str">
        <f aca="false">IF(C1778=0,"",IF($A1778="Bank",INDEX(Bank!$B:$B,$C1778),INDEX(GL!$B:$B,$C1778)))</f>
        <v/>
      </c>
      <c r="E1778" s="5" t="str">
        <f aca="false">IF(C1778=0,"",IF($A1778="Bank",IF(INDEX(Bank!$C:$C,$C1778)="","",INDEX(Bank!$C:$C,$C1778)),IF(INDEX(GL!$C:$C,$C1778)="","",INDEX(GL!$C:$C,$C1778))))</f>
        <v/>
      </c>
      <c r="F1778" s="5" t="str">
        <f aca="false">IF(C1778=0,"",IF($A1778="Bank",IF(INDEX(Bank!$D:$D,$C1778)="","",INDEX(Bank!$D:$D,$C1778)),IF(INDEX(GL!$D:$D,$C1778)="","",INDEX(GL!$D:$D,$C1778))))</f>
        <v/>
      </c>
      <c r="G1778" s="19" t="str">
        <f aca="false">IF(C1778=0,"",IF($A1778="Bank",INDEX(Bank!$E:$E,$C1778),INDEX(GL!$E:$E,$C1778)))</f>
        <v/>
      </c>
      <c r="H1778" s="5" t="str">
        <f aca="false">IF(C1778=0,"",IF(A1778="GL",IF(G1778&gt;0,"Deposit in transit","Outstanding check / payment"),IF(G1778&gt;0,"Bank credit not in GL","Bank debit not in GL")))</f>
        <v/>
      </c>
      <c r="I1778" s="42" t="str">
        <f aca="false">IF(OR(C1778=0,CFG_PeriodEnd=""),"",CFG_PeriodEnd-D1778)</f>
        <v/>
      </c>
      <c r="J1778" s="5" t="str">
        <f aca="false">IF(C1778=0,"",IF($A1778="Bank",IF(INDEX(Bank!$G:$G,$C1778)="","",INDEX(Bank!$G:$G,$C1778)),IF(INDEX(GL!$G:$G,$C1778)="","",INDEX(GL!$G:$G,$C1778))))</f>
        <v/>
      </c>
      <c r="K1778" s="5" t="str">
        <f aca="false">IF(C1778=0,"",IF($A1778="Bank",IF(INDEX(Bank!$I:$I,$C1778)="","",INDEX(Bank!$I:$I,$C1778)),IF(INDEX(GL!$I:$I,$C1778)="","",INDEX(GL!$I:$I,$C1778))))</f>
        <v/>
      </c>
      <c r="L1778" s="5" t="str">
        <f aca="false">IF(B1778="","",IF(C1778=0,"NOT FOUND",IF(IF($A1778="Bank",INDEX(Bank!$F:$F,$C1778),INDEX(GL!$F:$F,$C1778))="Y","NOW RECONCILED: refresh","OK")))</f>
        <v/>
      </c>
    </row>
    <row r="1779" customFormat="false" ht="15" hidden="false" customHeight="false" outlineLevel="0" collapsed="false">
      <c r="A1779" s="41"/>
      <c r="B1779" s="41"/>
      <c r="C1779" s="5" t="n">
        <f aca="false">IF(B1779="",0,IF(A1779="Bank",IFERROR(MATCH(B1779,Bank!$A:$A,0),0),IFERROR(MATCH(B1779,GL!$A:$A,0),0)))</f>
        <v>0</v>
      </c>
      <c r="D1779" s="32" t="str">
        <f aca="false">IF(C1779=0,"",IF($A1779="Bank",INDEX(Bank!$B:$B,$C1779),INDEX(GL!$B:$B,$C1779)))</f>
        <v/>
      </c>
      <c r="E1779" s="5" t="str">
        <f aca="false">IF(C1779=0,"",IF($A1779="Bank",IF(INDEX(Bank!$C:$C,$C1779)="","",INDEX(Bank!$C:$C,$C1779)),IF(INDEX(GL!$C:$C,$C1779)="","",INDEX(GL!$C:$C,$C1779))))</f>
        <v/>
      </c>
      <c r="F1779" s="5" t="str">
        <f aca="false">IF(C1779=0,"",IF($A1779="Bank",IF(INDEX(Bank!$D:$D,$C1779)="","",INDEX(Bank!$D:$D,$C1779)),IF(INDEX(GL!$D:$D,$C1779)="","",INDEX(GL!$D:$D,$C1779))))</f>
        <v/>
      </c>
      <c r="G1779" s="19" t="str">
        <f aca="false">IF(C1779=0,"",IF($A1779="Bank",INDEX(Bank!$E:$E,$C1779),INDEX(GL!$E:$E,$C1779)))</f>
        <v/>
      </c>
      <c r="H1779" s="5" t="str">
        <f aca="false">IF(C1779=0,"",IF(A1779="GL",IF(G1779&gt;0,"Deposit in transit","Outstanding check / payment"),IF(G1779&gt;0,"Bank credit not in GL","Bank debit not in GL")))</f>
        <v/>
      </c>
      <c r="I1779" s="42" t="str">
        <f aca="false">IF(OR(C1779=0,CFG_PeriodEnd=""),"",CFG_PeriodEnd-D1779)</f>
        <v/>
      </c>
      <c r="J1779" s="5" t="str">
        <f aca="false">IF(C1779=0,"",IF($A1779="Bank",IF(INDEX(Bank!$G:$G,$C1779)="","",INDEX(Bank!$G:$G,$C1779)),IF(INDEX(GL!$G:$G,$C1779)="","",INDEX(GL!$G:$G,$C1779))))</f>
        <v/>
      </c>
      <c r="K1779" s="5" t="str">
        <f aca="false">IF(C1779=0,"",IF($A1779="Bank",IF(INDEX(Bank!$I:$I,$C1779)="","",INDEX(Bank!$I:$I,$C1779)),IF(INDEX(GL!$I:$I,$C1779)="","",INDEX(GL!$I:$I,$C1779))))</f>
        <v/>
      </c>
      <c r="L1779" s="5" t="str">
        <f aca="false">IF(B1779="","",IF(C1779=0,"NOT FOUND",IF(IF($A1779="Bank",INDEX(Bank!$F:$F,$C1779),INDEX(GL!$F:$F,$C1779))="Y","NOW RECONCILED: refresh","OK")))</f>
        <v/>
      </c>
    </row>
    <row r="1780" customFormat="false" ht="15" hidden="false" customHeight="false" outlineLevel="0" collapsed="false">
      <c r="A1780" s="41"/>
      <c r="B1780" s="41"/>
      <c r="C1780" s="5" t="n">
        <f aca="false">IF(B1780="",0,IF(A1780="Bank",IFERROR(MATCH(B1780,Bank!$A:$A,0),0),IFERROR(MATCH(B1780,GL!$A:$A,0),0)))</f>
        <v>0</v>
      </c>
      <c r="D1780" s="32" t="str">
        <f aca="false">IF(C1780=0,"",IF($A1780="Bank",INDEX(Bank!$B:$B,$C1780),INDEX(GL!$B:$B,$C1780)))</f>
        <v/>
      </c>
      <c r="E1780" s="5" t="str">
        <f aca="false">IF(C1780=0,"",IF($A1780="Bank",IF(INDEX(Bank!$C:$C,$C1780)="","",INDEX(Bank!$C:$C,$C1780)),IF(INDEX(GL!$C:$C,$C1780)="","",INDEX(GL!$C:$C,$C1780))))</f>
        <v/>
      </c>
      <c r="F1780" s="5" t="str">
        <f aca="false">IF(C1780=0,"",IF($A1780="Bank",IF(INDEX(Bank!$D:$D,$C1780)="","",INDEX(Bank!$D:$D,$C1780)),IF(INDEX(GL!$D:$D,$C1780)="","",INDEX(GL!$D:$D,$C1780))))</f>
        <v/>
      </c>
      <c r="G1780" s="19" t="str">
        <f aca="false">IF(C1780=0,"",IF($A1780="Bank",INDEX(Bank!$E:$E,$C1780),INDEX(GL!$E:$E,$C1780)))</f>
        <v/>
      </c>
      <c r="H1780" s="5" t="str">
        <f aca="false">IF(C1780=0,"",IF(A1780="GL",IF(G1780&gt;0,"Deposit in transit","Outstanding check / payment"),IF(G1780&gt;0,"Bank credit not in GL","Bank debit not in GL")))</f>
        <v/>
      </c>
      <c r="I1780" s="42" t="str">
        <f aca="false">IF(OR(C1780=0,CFG_PeriodEnd=""),"",CFG_PeriodEnd-D1780)</f>
        <v/>
      </c>
      <c r="J1780" s="5" t="str">
        <f aca="false">IF(C1780=0,"",IF($A1780="Bank",IF(INDEX(Bank!$G:$G,$C1780)="","",INDEX(Bank!$G:$G,$C1780)),IF(INDEX(GL!$G:$G,$C1780)="","",INDEX(GL!$G:$G,$C1780))))</f>
        <v/>
      </c>
      <c r="K1780" s="5" t="str">
        <f aca="false">IF(C1780=0,"",IF($A1780="Bank",IF(INDEX(Bank!$I:$I,$C1780)="","",INDEX(Bank!$I:$I,$C1780)),IF(INDEX(GL!$I:$I,$C1780)="","",INDEX(GL!$I:$I,$C1780))))</f>
        <v/>
      </c>
      <c r="L1780" s="5" t="str">
        <f aca="false">IF(B1780="","",IF(C1780=0,"NOT FOUND",IF(IF($A1780="Bank",INDEX(Bank!$F:$F,$C1780),INDEX(GL!$F:$F,$C1780))="Y","NOW RECONCILED: refresh","OK")))</f>
        <v/>
      </c>
    </row>
    <row r="1781" customFormat="false" ht="15" hidden="false" customHeight="false" outlineLevel="0" collapsed="false">
      <c r="A1781" s="41"/>
      <c r="B1781" s="41"/>
      <c r="C1781" s="5" t="n">
        <f aca="false">IF(B1781="",0,IF(A1781="Bank",IFERROR(MATCH(B1781,Bank!$A:$A,0),0),IFERROR(MATCH(B1781,GL!$A:$A,0),0)))</f>
        <v>0</v>
      </c>
      <c r="D1781" s="32" t="str">
        <f aca="false">IF(C1781=0,"",IF($A1781="Bank",INDEX(Bank!$B:$B,$C1781),INDEX(GL!$B:$B,$C1781)))</f>
        <v/>
      </c>
      <c r="E1781" s="5" t="str">
        <f aca="false">IF(C1781=0,"",IF($A1781="Bank",IF(INDEX(Bank!$C:$C,$C1781)="","",INDEX(Bank!$C:$C,$C1781)),IF(INDEX(GL!$C:$C,$C1781)="","",INDEX(GL!$C:$C,$C1781))))</f>
        <v/>
      </c>
      <c r="F1781" s="5" t="str">
        <f aca="false">IF(C1781=0,"",IF($A1781="Bank",IF(INDEX(Bank!$D:$D,$C1781)="","",INDEX(Bank!$D:$D,$C1781)),IF(INDEX(GL!$D:$D,$C1781)="","",INDEX(GL!$D:$D,$C1781))))</f>
        <v/>
      </c>
      <c r="G1781" s="19" t="str">
        <f aca="false">IF(C1781=0,"",IF($A1781="Bank",INDEX(Bank!$E:$E,$C1781),INDEX(GL!$E:$E,$C1781)))</f>
        <v/>
      </c>
      <c r="H1781" s="5" t="str">
        <f aca="false">IF(C1781=0,"",IF(A1781="GL",IF(G1781&gt;0,"Deposit in transit","Outstanding check / payment"),IF(G1781&gt;0,"Bank credit not in GL","Bank debit not in GL")))</f>
        <v/>
      </c>
      <c r="I1781" s="42" t="str">
        <f aca="false">IF(OR(C1781=0,CFG_PeriodEnd=""),"",CFG_PeriodEnd-D1781)</f>
        <v/>
      </c>
      <c r="J1781" s="5" t="str">
        <f aca="false">IF(C1781=0,"",IF($A1781="Bank",IF(INDEX(Bank!$G:$G,$C1781)="","",INDEX(Bank!$G:$G,$C1781)),IF(INDEX(GL!$G:$G,$C1781)="","",INDEX(GL!$G:$G,$C1781))))</f>
        <v/>
      </c>
      <c r="K1781" s="5" t="str">
        <f aca="false">IF(C1781=0,"",IF($A1781="Bank",IF(INDEX(Bank!$I:$I,$C1781)="","",INDEX(Bank!$I:$I,$C1781)),IF(INDEX(GL!$I:$I,$C1781)="","",INDEX(GL!$I:$I,$C1781))))</f>
        <v/>
      </c>
      <c r="L1781" s="5" t="str">
        <f aca="false">IF(B1781="","",IF(C1781=0,"NOT FOUND",IF(IF($A1781="Bank",INDEX(Bank!$F:$F,$C1781),INDEX(GL!$F:$F,$C1781))="Y","NOW RECONCILED: refresh","OK")))</f>
        <v/>
      </c>
    </row>
    <row r="1782" customFormat="false" ht="15" hidden="false" customHeight="false" outlineLevel="0" collapsed="false">
      <c r="A1782" s="41"/>
      <c r="B1782" s="41"/>
      <c r="C1782" s="5" t="n">
        <f aca="false">IF(B1782="",0,IF(A1782="Bank",IFERROR(MATCH(B1782,Bank!$A:$A,0),0),IFERROR(MATCH(B1782,GL!$A:$A,0),0)))</f>
        <v>0</v>
      </c>
      <c r="D1782" s="32" t="str">
        <f aca="false">IF(C1782=0,"",IF($A1782="Bank",INDEX(Bank!$B:$B,$C1782),INDEX(GL!$B:$B,$C1782)))</f>
        <v/>
      </c>
      <c r="E1782" s="5" t="str">
        <f aca="false">IF(C1782=0,"",IF($A1782="Bank",IF(INDEX(Bank!$C:$C,$C1782)="","",INDEX(Bank!$C:$C,$C1782)),IF(INDEX(GL!$C:$C,$C1782)="","",INDEX(GL!$C:$C,$C1782))))</f>
        <v/>
      </c>
      <c r="F1782" s="5" t="str">
        <f aca="false">IF(C1782=0,"",IF($A1782="Bank",IF(INDEX(Bank!$D:$D,$C1782)="","",INDEX(Bank!$D:$D,$C1782)),IF(INDEX(GL!$D:$D,$C1782)="","",INDEX(GL!$D:$D,$C1782))))</f>
        <v/>
      </c>
      <c r="G1782" s="19" t="str">
        <f aca="false">IF(C1782=0,"",IF($A1782="Bank",INDEX(Bank!$E:$E,$C1782),INDEX(GL!$E:$E,$C1782)))</f>
        <v/>
      </c>
      <c r="H1782" s="5" t="str">
        <f aca="false">IF(C1782=0,"",IF(A1782="GL",IF(G1782&gt;0,"Deposit in transit","Outstanding check / payment"),IF(G1782&gt;0,"Bank credit not in GL","Bank debit not in GL")))</f>
        <v/>
      </c>
      <c r="I1782" s="42" t="str">
        <f aca="false">IF(OR(C1782=0,CFG_PeriodEnd=""),"",CFG_PeriodEnd-D1782)</f>
        <v/>
      </c>
      <c r="J1782" s="5" t="str">
        <f aca="false">IF(C1782=0,"",IF($A1782="Bank",IF(INDEX(Bank!$G:$G,$C1782)="","",INDEX(Bank!$G:$G,$C1782)),IF(INDEX(GL!$G:$G,$C1782)="","",INDEX(GL!$G:$G,$C1782))))</f>
        <v/>
      </c>
      <c r="K1782" s="5" t="str">
        <f aca="false">IF(C1782=0,"",IF($A1782="Bank",IF(INDEX(Bank!$I:$I,$C1782)="","",INDEX(Bank!$I:$I,$C1782)),IF(INDEX(GL!$I:$I,$C1782)="","",INDEX(GL!$I:$I,$C1782))))</f>
        <v/>
      </c>
      <c r="L1782" s="5" t="str">
        <f aca="false">IF(B1782="","",IF(C1782=0,"NOT FOUND",IF(IF($A1782="Bank",INDEX(Bank!$F:$F,$C1782),INDEX(GL!$F:$F,$C1782))="Y","NOW RECONCILED: refresh","OK")))</f>
        <v/>
      </c>
    </row>
    <row r="1783" customFormat="false" ht="15" hidden="false" customHeight="false" outlineLevel="0" collapsed="false">
      <c r="A1783" s="41"/>
      <c r="B1783" s="41"/>
      <c r="C1783" s="5" t="n">
        <f aca="false">IF(B1783="",0,IF(A1783="Bank",IFERROR(MATCH(B1783,Bank!$A:$A,0),0),IFERROR(MATCH(B1783,GL!$A:$A,0),0)))</f>
        <v>0</v>
      </c>
      <c r="D1783" s="32" t="str">
        <f aca="false">IF(C1783=0,"",IF($A1783="Bank",INDEX(Bank!$B:$B,$C1783),INDEX(GL!$B:$B,$C1783)))</f>
        <v/>
      </c>
      <c r="E1783" s="5" t="str">
        <f aca="false">IF(C1783=0,"",IF($A1783="Bank",IF(INDEX(Bank!$C:$C,$C1783)="","",INDEX(Bank!$C:$C,$C1783)),IF(INDEX(GL!$C:$C,$C1783)="","",INDEX(GL!$C:$C,$C1783))))</f>
        <v/>
      </c>
      <c r="F1783" s="5" t="str">
        <f aca="false">IF(C1783=0,"",IF($A1783="Bank",IF(INDEX(Bank!$D:$D,$C1783)="","",INDEX(Bank!$D:$D,$C1783)),IF(INDEX(GL!$D:$D,$C1783)="","",INDEX(GL!$D:$D,$C1783))))</f>
        <v/>
      </c>
      <c r="G1783" s="19" t="str">
        <f aca="false">IF(C1783=0,"",IF($A1783="Bank",INDEX(Bank!$E:$E,$C1783),INDEX(GL!$E:$E,$C1783)))</f>
        <v/>
      </c>
      <c r="H1783" s="5" t="str">
        <f aca="false">IF(C1783=0,"",IF(A1783="GL",IF(G1783&gt;0,"Deposit in transit","Outstanding check / payment"),IF(G1783&gt;0,"Bank credit not in GL","Bank debit not in GL")))</f>
        <v/>
      </c>
      <c r="I1783" s="42" t="str">
        <f aca="false">IF(OR(C1783=0,CFG_PeriodEnd=""),"",CFG_PeriodEnd-D1783)</f>
        <v/>
      </c>
      <c r="J1783" s="5" t="str">
        <f aca="false">IF(C1783=0,"",IF($A1783="Bank",IF(INDEX(Bank!$G:$G,$C1783)="","",INDEX(Bank!$G:$G,$C1783)),IF(INDEX(GL!$G:$G,$C1783)="","",INDEX(GL!$G:$G,$C1783))))</f>
        <v/>
      </c>
      <c r="K1783" s="5" t="str">
        <f aca="false">IF(C1783=0,"",IF($A1783="Bank",IF(INDEX(Bank!$I:$I,$C1783)="","",INDEX(Bank!$I:$I,$C1783)),IF(INDEX(GL!$I:$I,$C1783)="","",INDEX(GL!$I:$I,$C1783))))</f>
        <v/>
      </c>
      <c r="L1783" s="5" t="str">
        <f aca="false">IF(B1783="","",IF(C1783=0,"NOT FOUND",IF(IF($A1783="Bank",INDEX(Bank!$F:$F,$C1783),INDEX(GL!$F:$F,$C1783))="Y","NOW RECONCILED: refresh","OK")))</f>
        <v/>
      </c>
    </row>
    <row r="1784" customFormat="false" ht="15" hidden="false" customHeight="false" outlineLevel="0" collapsed="false">
      <c r="A1784" s="41"/>
      <c r="B1784" s="41"/>
      <c r="C1784" s="5" t="n">
        <f aca="false">IF(B1784="",0,IF(A1784="Bank",IFERROR(MATCH(B1784,Bank!$A:$A,0),0),IFERROR(MATCH(B1784,GL!$A:$A,0),0)))</f>
        <v>0</v>
      </c>
      <c r="D1784" s="32" t="str">
        <f aca="false">IF(C1784=0,"",IF($A1784="Bank",INDEX(Bank!$B:$B,$C1784),INDEX(GL!$B:$B,$C1784)))</f>
        <v/>
      </c>
      <c r="E1784" s="5" t="str">
        <f aca="false">IF(C1784=0,"",IF($A1784="Bank",IF(INDEX(Bank!$C:$C,$C1784)="","",INDEX(Bank!$C:$C,$C1784)),IF(INDEX(GL!$C:$C,$C1784)="","",INDEX(GL!$C:$C,$C1784))))</f>
        <v/>
      </c>
      <c r="F1784" s="5" t="str">
        <f aca="false">IF(C1784=0,"",IF($A1784="Bank",IF(INDEX(Bank!$D:$D,$C1784)="","",INDEX(Bank!$D:$D,$C1784)),IF(INDEX(GL!$D:$D,$C1784)="","",INDEX(GL!$D:$D,$C1784))))</f>
        <v/>
      </c>
      <c r="G1784" s="19" t="str">
        <f aca="false">IF(C1784=0,"",IF($A1784="Bank",INDEX(Bank!$E:$E,$C1784),INDEX(GL!$E:$E,$C1784)))</f>
        <v/>
      </c>
      <c r="H1784" s="5" t="str">
        <f aca="false">IF(C1784=0,"",IF(A1784="GL",IF(G1784&gt;0,"Deposit in transit","Outstanding check / payment"),IF(G1784&gt;0,"Bank credit not in GL","Bank debit not in GL")))</f>
        <v/>
      </c>
      <c r="I1784" s="42" t="str">
        <f aca="false">IF(OR(C1784=0,CFG_PeriodEnd=""),"",CFG_PeriodEnd-D1784)</f>
        <v/>
      </c>
      <c r="J1784" s="5" t="str">
        <f aca="false">IF(C1784=0,"",IF($A1784="Bank",IF(INDEX(Bank!$G:$G,$C1784)="","",INDEX(Bank!$G:$G,$C1784)),IF(INDEX(GL!$G:$G,$C1784)="","",INDEX(GL!$G:$G,$C1784))))</f>
        <v/>
      </c>
      <c r="K1784" s="5" t="str">
        <f aca="false">IF(C1784=0,"",IF($A1784="Bank",IF(INDEX(Bank!$I:$I,$C1784)="","",INDEX(Bank!$I:$I,$C1784)),IF(INDEX(GL!$I:$I,$C1784)="","",INDEX(GL!$I:$I,$C1784))))</f>
        <v/>
      </c>
      <c r="L1784" s="5" t="str">
        <f aca="false">IF(B1784="","",IF(C1784=0,"NOT FOUND",IF(IF($A1784="Bank",INDEX(Bank!$F:$F,$C1784),INDEX(GL!$F:$F,$C1784))="Y","NOW RECONCILED: refresh","OK")))</f>
        <v/>
      </c>
    </row>
    <row r="1785" customFormat="false" ht="15" hidden="false" customHeight="false" outlineLevel="0" collapsed="false">
      <c r="A1785" s="41"/>
      <c r="B1785" s="41"/>
      <c r="C1785" s="5" t="n">
        <f aca="false">IF(B1785="",0,IF(A1785="Bank",IFERROR(MATCH(B1785,Bank!$A:$A,0),0),IFERROR(MATCH(B1785,GL!$A:$A,0),0)))</f>
        <v>0</v>
      </c>
      <c r="D1785" s="32" t="str">
        <f aca="false">IF(C1785=0,"",IF($A1785="Bank",INDEX(Bank!$B:$B,$C1785),INDEX(GL!$B:$B,$C1785)))</f>
        <v/>
      </c>
      <c r="E1785" s="5" t="str">
        <f aca="false">IF(C1785=0,"",IF($A1785="Bank",IF(INDEX(Bank!$C:$C,$C1785)="","",INDEX(Bank!$C:$C,$C1785)),IF(INDEX(GL!$C:$C,$C1785)="","",INDEX(GL!$C:$C,$C1785))))</f>
        <v/>
      </c>
      <c r="F1785" s="5" t="str">
        <f aca="false">IF(C1785=0,"",IF($A1785="Bank",IF(INDEX(Bank!$D:$D,$C1785)="","",INDEX(Bank!$D:$D,$C1785)),IF(INDEX(GL!$D:$D,$C1785)="","",INDEX(GL!$D:$D,$C1785))))</f>
        <v/>
      </c>
      <c r="G1785" s="19" t="str">
        <f aca="false">IF(C1785=0,"",IF($A1785="Bank",INDEX(Bank!$E:$E,$C1785),INDEX(GL!$E:$E,$C1785)))</f>
        <v/>
      </c>
      <c r="H1785" s="5" t="str">
        <f aca="false">IF(C1785=0,"",IF(A1785="GL",IF(G1785&gt;0,"Deposit in transit","Outstanding check / payment"),IF(G1785&gt;0,"Bank credit not in GL","Bank debit not in GL")))</f>
        <v/>
      </c>
      <c r="I1785" s="42" t="str">
        <f aca="false">IF(OR(C1785=0,CFG_PeriodEnd=""),"",CFG_PeriodEnd-D1785)</f>
        <v/>
      </c>
      <c r="J1785" s="5" t="str">
        <f aca="false">IF(C1785=0,"",IF($A1785="Bank",IF(INDEX(Bank!$G:$G,$C1785)="","",INDEX(Bank!$G:$G,$C1785)),IF(INDEX(GL!$G:$G,$C1785)="","",INDEX(GL!$G:$G,$C1785))))</f>
        <v/>
      </c>
      <c r="K1785" s="5" t="str">
        <f aca="false">IF(C1785=0,"",IF($A1785="Bank",IF(INDEX(Bank!$I:$I,$C1785)="","",INDEX(Bank!$I:$I,$C1785)),IF(INDEX(GL!$I:$I,$C1785)="","",INDEX(GL!$I:$I,$C1785))))</f>
        <v/>
      </c>
      <c r="L1785" s="5" t="str">
        <f aca="false">IF(B1785="","",IF(C1785=0,"NOT FOUND",IF(IF($A1785="Bank",INDEX(Bank!$F:$F,$C1785),INDEX(GL!$F:$F,$C1785))="Y","NOW RECONCILED: refresh","OK")))</f>
        <v/>
      </c>
    </row>
    <row r="1786" customFormat="false" ht="15" hidden="false" customHeight="false" outlineLevel="0" collapsed="false">
      <c r="A1786" s="41"/>
      <c r="B1786" s="41"/>
      <c r="C1786" s="5" t="n">
        <f aca="false">IF(B1786="",0,IF(A1786="Bank",IFERROR(MATCH(B1786,Bank!$A:$A,0),0),IFERROR(MATCH(B1786,GL!$A:$A,0),0)))</f>
        <v>0</v>
      </c>
      <c r="D1786" s="32" t="str">
        <f aca="false">IF(C1786=0,"",IF($A1786="Bank",INDEX(Bank!$B:$B,$C1786),INDEX(GL!$B:$B,$C1786)))</f>
        <v/>
      </c>
      <c r="E1786" s="5" t="str">
        <f aca="false">IF(C1786=0,"",IF($A1786="Bank",IF(INDEX(Bank!$C:$C,$C1786)="","",INDEX(Bank!$C:$C,$C1786)),IF(INDEX(GL!$C:$C,$C1786)="","",INDEX(GL!$C:$C,$C1786))))</f>
        <v/>
      </c>
      <c r="F1786" s="5" t="str">
        <f aca="false">IF(C1786=0,"",IF($A1786="Bank",IF(INDEX(Bank!$D:$D,$C1786)="","",INDEX(Bank!$D:$D,$C1786)),IF(INDEX(GL!$D:$D,$C1786)="","",INDEX(GL!$D:$D,$C1786))))</f>
        <v/>
      </c>
      <c r="G1786" s="19" t="str">
        <f aca="false">IF(C1786=0,"",IF($A1786="Bank",INDEX(Bank!$E:$E,$C1786),INDEX(GL!$E:$E,$C1786)))</f>
        <v/>
      </c>
      <c r="H1786" s="5" t="str">
        <f aca="false">IF(C1786=0,"",IF(A1786="GL",IF(G1786&gt;0,"Deposit in transit","Outstanding check / payment"),IF(G1786&gt;0,"Bank credit not in GL","Bank debit not in GL")))</f>
        <v/>
      </c>
      <c r="I1786" s="42" t="str">
        <f aca="false">IF(OR(C1786=0,CFG_PeriodEnd=""),"",CFG_PeriodEnd-D1786)</f>
        <v/>
      </c>
      <c r="J1786" s="5" t="str">
        <f aca="false">IF(C1786=0,"",IF($A1786="Bank",IF(INDEX(Bank!$G:$G,$C1786)="","",INDEX(Bank!$G:$G,$C1786)),IF(INDEX(GL!$G:$G,$C1786)="","",INDEX(GL!$G:$G,$C1786))))</f>
        <v/>
      </c>
      <c r="K1786" s="5" t="str">
        <f aca="false">IF(C1786=0,"",IF($A1786="Bank",IF(INDEX(Bank!$I:$I,$C1786)="","",INDEX(Bank!$I:$I,$C1786)),IF(INDEX(GL!$I:$I,$C1786)="","",INDEX(GL!$I:$I,$C1786))))</f>
        <v/>
      </c>
      <c r="L1786" s="5" t="str">
        <f aca="false">IF(B1786="","",IF(C1786=0,"NOT FOUND",IF(IF($A1786="Bank",INDEX(Bank!$F:$F,$C1786),INDEX(GL!$F:$F,$C1786))="Y","NOW RECONCILED: refresh","OK")))</f>
        <v/>
      </c>
    </row>
    <row r="1787" customFormat="false" ht="15" hidden="false" customHeight="false" outlineLevel="0" collapsed="false">
      <c r="A1787" s="41"/>
      <c r="B1787" s="41"/>
      <c r="C1787" s="5" t="n">
        <f aca="false">IF(B1787="",0,IF(A1787="Bank",IFERROR(MATCH(B1787,Bank!$A:$A,0),0),IFERROR(MATCH(B1787,GL!$A:$A,0),0)))</f>
        <v>0</v>
      </c>
      <c r="D1787" s="32" t="str">
        <f aca="false">IF(C1787=0,"",IF($A1787="Bank",INDEX(Bank!$B:$B,$C1787),INDEX(GL!$B:$B,$C1787)))</f>
        <v/>
      </c>
      <c r="E1787" s="5" t="str">
        <f aca="false">IF(C1787=0,"",IF($A1787="Bank",IF(INDEX(Bank!$C:$C,$C1787)="","",INDEX(Bank!$C:$C,$C1787)),IF(INDEX(GL!$C:$C,$C1787)="","",INDEX(GL!$C:$C,$C1787))))</f>
        <v/>
      </c>
      <c r="F1787" s="5" t="str">
        <f aca="false">IF(C1787=0,"",IF($A1787="Bank",IF(INDEX(Bank!$D:$D,$C1787)="","",INDEX(Bank!$D:$D,$C1787)),IF(INDEX(GL!$D:$D,$C1787)="","",INDEX(GL!$D:$D,$C1787))))</f>
        <v/>
      </c>
      <c r="G1787" s="19" t="str">
        <f aca="false">IF(C1787=0,"",IF($A1787="Bank",INDEX(Bank!$E:$E,$C1787),INDEX(GL!$E:$E,$C1787)))</f>
        <v/>
      </c>
      <c r="H1787" s="5" t="str">
        <f aca="false">IF(C1787=0,"",IF(A1787="GL",IF(G1787&gt;0,"Deposit in transit","Outstanding check / payment"),IF(G1787&gt;0,"Bank credit not in GL","Bank debit not in GL")))</f>
        <v/>
      </c>
      <c r="I1787" s="42" t="str">
        <f aca="false">IF(OR(C1787=0,CFG_PeriodEnd=""),"",CFG_PeriodEnd-D1787)</f>
        <v/>
      </c>
      <c r="J1787" s="5" t="str">
        <f aca="false">IF(C1787=0,"",IF($A1787="Bank",IF(INDEX(Bank!$G:$G,$C1787)="","",INDEX(Bank!$G:$G,$C1787)),IF(INDEX(GL!$G:$G,$C1787)="","",INDEX(GL!$G:$G,$C1787))))</f>
        <v/>
      </c>
      <c r="K1787" s="5" t="str">
        <f aca="false">IF(C1787=0,"",IF($A1787="Bank",IF(INDEX(Bank!$I:$I,$C1787)="","",INDEX(Bank!$I:$I,$C1787)),IF(INDEX(GL!$I:$I,$C1787)="","",INDEX(GL!$I:$I,$C1787))))</f>
        <v/>
      </c>
      <c r="L1787" s="5" t="str">
        <f aca="false">IF(B1787="","",IF(C1787=0,"NOT FOUND",IF(IF($A1787="Bank",INDEX(Bank!$F:$F,$C1787),INDEX(GL!$F:$F,$C1787))="Y","NOW RECONCILED: refresh","OK")))</f>
        <v/>
      </c>
    </row>
    <row r="1788" customFormat="false" ht="15" hidden="false" customHeight="false" outlineLevel="0" collapsed="false">
      <c r="A1788" s="41"/>
      <c r="B1788" s="41"/>
      <c r="C1788" s="5" t="n">
        <f aca="false">IF(B1788="",0,IF(A1788="Bank",IFERROR(MATCH(B1788,Bank!$A:$A,0),0),IFERROR(MATCH(B1788,GL!$A:$A,0),0)))</f>
        <v>0</v>
      </c>
      <c r="D1788" s="32" t="str">
        <f aca="false">IF(C1788=0,"",IF($A1788="Bank",INDEX(Bank!$B:$B,$C1788),INDEX(GL!$B:$B,$C1788)))</f>
        <v/>
      </c>
      <c r="E1788" s="5" t="str">
        <f aca="false">IF(C1788=0,"",IF($A1788="Bank",IF(INDEX(Bank!$C:$C,$C1788)="","",INDEX(Bank!$C:$C,$C1788)),IF(INDEX(GL!$C:$C,$C1788)="","",INDEX(GL!$C:$C,$C1788))))</f>
        <v/>
      </c>
      <c r="F1788" s="5" t="str">
        <f aca="false">IF(C1788=0,"",IF($A1788="Bank",IF(INDEX(Bank!$D:$D,$C1788)="","",INDEX(Bank!$D:$D,$C1788)),IF(INDEX(GL!$D:$D,$C1788)="","",INDEX(GL!$D:$D,$C1788))))</f>
        <v/>
      </c>
      <c r="G1788" s="19" t="str">
        <f aca="false">IF(C1788=0,"",IF($A1788="Bank",INDEX(Bank!$E:$E,$C1788),INDEX(GL!$E:$E,$C1788)))</f>
        <v/>
      </c>
      <c r="H1788" s="5" t="str">
        <f aca="false">IF(C1788=0,"",IF(A1788="GL",IF(G1788&gt;0,"Deposit in transit","Outstanding check / payment"),IF(G1788&gt;0,"Bank credit not in GL","Bank debit not in GL")))</f>
        <v/>
      </c>
      <c r="I1788" s="42" t="str">
        <f aca="false">IF(OR(C1788=0,CFG_PeriodEnd=""),"",CFG_PeriodEnd-D1788)</f>
        <v/>
      </c>
      <c r="J1788" s="5" t="str">
        <f aca="false">IF(C1788=0,"",IF($A1788="Bank",IF(INDEX(Bank!$G:$G,$C1788)="","",INDEX(Bank!$G:$G,$C1788)),IF(INDEX(GL!$G:$G,$C1788)="","",INDEX(GL!$G:$G,$C1788))))</f>
        <v/>
      </c>
      <c r="K1788" s="5" t="str">
        <f aca="false">IF(C1788=0,"",IF($A1788="Bank",IF(INDEX(Bank!$I:$I,$C1788)="","",INDEX(Bank!$I:$I,$C1788)),IF(INDEX(GL!$I:$I,$C1788)="","",INDEX(GL!$I:$I,$C1788))))</f>
        <v/>
      </c>
      <c r="L1788" s="5" t="str">
        <f aca="false">IF(B1788="","",IF(C1788=0,"NOT FOUND",IF(IF($A1788="Bank",INDEX(Bank!$F:$F,$C1788),INDEX(GL!$F:$F,$C1788))="Y","NOW RECONCILED: refresh","OK")))</f>
        <v/>
      </c>
    </row>
    <row r="1789" customFormat="false" ht="15" hidden="false" customHeight="false" outlineLevel="0" collapsed="false">
      <c r="A1789" s="41"/>
      <c r="B1789" s="41"/>
      <c r="C1789" s="5" t="n">
        <f aca="false">IF(B1789="",0,IF(A1789="Bank",IFERROR(MATCH(B1789,Bank!$A:$A,0),0),IFERROR(MATCH(B1789,GL!$A:$A,0),0)))</f>
        <v>0</v>
      </c>
      <c r="D1789" s="32" t="str">
        <f aca="false">IF(C1789=0,"",IF($A1789="Bank",INDEX(Bank!$B:$B,$C1789),INDEX(GL!$B:$B,$C1789)))</f>
        <v/>
      </c>
      <c r="E1789" s="5" t="str">
        <f aca="false">IF(C1789=0,"",IF($A1789="Bank",IF(INDEX(Bank!$C:$C,$C1789)="","",INDEX(Bank!$C:$C,$C1789)),IF(INDEX(GL!$C:$C,$C1789)="","",INDEX(GL!$C:$C,$C1789))))</f>
        <v/>
      </c>
      <c r="F1789" s="5" t="str">
        <f aca="false">IF(C1789=0,"",IF($A1789="Bank",IF(INDEX(Bank!$D:$D,$C1789)="","",INDEX(Bank!$D:$D,$C1789)),IF(INDEX(GL!$D:$D,$C1789)="","",INDEX(GL!$D:$D,$C1789))))</f>
        <v/>
      </c>
      <c r="G1789" s="19" t="str">
        <f aca="false">IF(C1789=0,"",IF($A1789="Bank",INDEX(Bank!$E:$E,$C1789),INDEX(GL!$E:$E,$C1789)))</f>
        <v/>
      </c>
      <c r="H1789" s="5" t="str">
        <f aca="false">IF(C1789=0,"",IF(A1789="GL",IF(G1789&gt;0,"Deposit in transit","Outstanding check / payment"),IF(G1789&gt;0,"Bank credit not in GL","Bank debit not in GL")))</f>
        <v/>
      </c>
      <c r="I1789" s="42" t="str">
        <f aca="false">IF(OR(C1789=0,CFG_PeriodEnd=""),"",CFG_PeriodEnd-D1789)</f>
        <v/>
      </c>
      <c r="J1789" s="5" t="str">
        <f aca="false">IF(C1789=0,"",IF($A1789="Bank",IF(INDEX(Bank!$G:$G,$C1789)="","",INDEX(Bank!$G:$G,$C1789)),IF(INDEX(GL!$G:$G,$C1789)="","",INDEX(GL!$G:$G,$C1789))))</f>
        <v/>
      </c>
      <c r="K1789" s="5" t="str">
        <f aca="false">IF(C1789=0,"",IF($A1789="Bank",IF(INDEX(Bank!$I:$I,$C1789)="","",INDEX(Bank!$I:$I,$C1789)),IF(INDEX(GL!$I:$I,$C1789)="","",INDEX(GL!$I:$I,$C1789))))</f>
        <v/>
      </c>
      <c r="L1789" s="5" t="str">
        <f aca="false">IF(B1789="","",IF(C1789=0,"NOT FOUND",IF(IF($A1789="Bank",INDEX(Bank!$F:$F,$C1789),INDEX(GL!$F:$F,$C1789))="Y","NOW RECONCILED: refresh","OK")))</f>
        <v/>
      </c>
    </row>
    <row r="1790" customFormat="false" ht="15" hidden="false" customHeight="false" outlineLevel="0" collapsed="false">
      <c r="A1790" s="41"/>
      <c r="B1790" s="41"/>
      <c r="C1790" s="5" t="n">
        <f aca="false">IF(B1790="",0,IF(A1790="Bank",IFERROR(MATCH(B1790,Bank!$A:$A,0),0),IFERROR(MATCH(B1790,GL!$A:$A,0),0)))</f>
        <v>0</v>
      </c>
      <c r="D1790" s="32" t="str">
        <f aca="false">IF(C1790=0,"",IF($A1790="Bank",INDEX(Bank!$B:$B,$C1790),INDEX(GL!$B:$B,$C1790)))</f>
        <v/>
      </c>
      <c r="E1790" s="5" t="str">
        <f aca="false">IF(C1790=0,"",IF($A1790="Bank",IF(INDEX(Bank!$C:$C,$C1790)="","",INDEX(Bank!$C:$C,$C1790)),IF(INDEX(GL!$C:$C,$C1790)="","",INDEX(GL!$C:$C,$C1790))))</f>
        <v/>
      </c>
      <c r="F1790" s="5" t="str">
        <f aca="false">IF(C1790=0,"",IF($A1790="Bank",IF(INDEX(Bank!$D:$D,$C1790)="","",INDEX(Bank!$D:$D,$C1790)),IF(INDEX(GL!$D:$D,$C1790)="","",INDEX(GL!$D:$D,$C1790))))</f>
        <v/>
      </c>
      <c r="G1790" s="19" t="str">
        <f aca="false">IF(C1790=0,"",IF($A1790="Bank",INDEX(Bank!$E:$E,$C1790),INDEX(GL!$E:$E,$C1790)))</f>
        <v/>
      </c>
      <c r="H1790" s="5" t="str">
        <f aca="false">IF(C1790=0,"",IF(A1790="GL",IF(G1790&gt;0,"Deposit in transit","Outstanding check / payment"),IF(G1790&gt;0,"Bank credit not in GL","Bank debit not in GL")))</f>
        <v/>
      </c>
      <c r="I1790" s="42" t="str">
        <f aca="false">IF(OR(C1790=0,CFG_PeriodEnd=""),"",CFG_PeriodEnd-D1790)</f>
        <v/>
      </c>
      <c r="J1790" s="5" t="str">
        <f aca="false">IF(C1790=0,"",IF($A1790="Bank",IF(INDEX(Bank!$G:$G,$C1790)="","",INDEX(Bank!$G:$G,$C1790)),IF(INDEX(GL!$G:$G,$C1790)="","",INDEX(GL!$G:$G,$C1790))))</f>
        <v/>
      </c>
      <c r="K1790" s="5" t="str">
        <f aca="false">IF(C1790=0,"",IF($A1790="Bank",IF(INDEX(Bank!$I:$I,$C1790)="","",INDEX(Bank!$I:$I,$C1790)),IF(INDEX(GL!$I:$I,$C1790)="","",INDEX(GL!$I:$I,$C1790))))</f>
        <v/>
      </c>
      <c r="L1790" s="5" t="str">
        <f aca="false">IF(B1790="","",IF(C1790=0,"NOT FOUND",IF(IF($A1790="Bank",INDEX(Bank!$F:$F,$C1790),INDEX(GL!$F:$F,$C1790))="Y","NOW RECONCILED: refresh","OK")))</f>
        <v/>
      </c>
    </row>
    <row r="1791" customFormat="false" ht="15" hidden="false" customHeight="false" outlineLevel="0" collapsed="false">
      <c r="A1791" s="41"/>
      <c r="B1791" s="41"/>
      <c r="C1791" s="5" t="n">
        <f aca="false">IF(B1791="",0,IF(A1791="Bank",IFERROR(MATCH(B1791,Bank!$A:$A,0),0),IFERROR(MATCH(B1791,GL!$A:$A,0),0)))</f>
        <v>0</v>
      </c>
      <c r="D1791" s="32" t="str">
        <f aca="false">IF(C1791=0,"",IF($A1791="Bank",INDEX(Bank!$B:$B,$C1791),INDEX(GL!$B:$B,$C1791)))</f>
        <v/>
      </c>
      <c r="E1791" s="5" t="str">
        <f aca="false">IF(C1791=0,"",IF($A1791="Bank",IF(INDEX(Bank!$C:$C,$C1791)="","",INDEX(Bank!$C:$C,$C1791)),IF(INDEX(GL!$C:$C,$C1791)="","",INDEX(GL!$C:$C,$C1791))))</f>
        <v/>
      </c>
      <c r="F1791" s="5" t="str">
        <f aca="false">IF(C1791=0,"",IF($A1791="Bank",IF(INDEX(Bank!$D:$D,$C1791)="","",INDEX(Bank!$D:$D,$C1791)),IF(INDEX(GL!$D:$D,$C1791)="","",INDEX(GL!$D:$D,$C1791))))</f>
        <v/>
      </c>
      <c r="G1791" s="19" t="str">
        <f aca="false">IF(C1791=0,"",IF($A1791="Bank",INDEX(Bank!$E:$E,$C1791),INDEX(GL!$E:$E,$C1791)))</f>
        <v/>
      </c>
      <c r="H1791" s="5" t="str">
        <f aca="false">IF(C1791=0,"",IF(A1791="GL",IF(G1791&gt;0,"Deposit in transit","Outstanding check / payment"),IF(G1791&gt;0,"Bank credit not in GL","Bank debit not in GL")))</f>
        <v/>
      </c>
      <c r="I1791" s="42" t="str">
        <f aca="false">IF(OR(C1791=0,CFG_PeriodEnd=""),"",CFG_PeriodEnd-D1791)</f>
        <v/>
      </c>
      <c r="J1791" s="5" t="str">
        <f aca="false">IF(C1791=0,"",IF($A1791="Bank",IF(INDEX(Bank!$G:$G,$C1791)="","",INDEX(Bank!$G:$G,$C1791)),IF(INDEX(GL!$G:$G,$C1791)="","",INDEX(GL!$G:$G,$C1791))))</f>
        <v/>
      </c>
      <c r="K1791" s="5" t="str">
        <f aca="false">IF(C1791=0,"",IF($A1791="Bank",IF(INDEX(Bank!$I:$I,$C1791)="","",INDEX(Bank!$I:$I,$C1791)),IF(INDEX(GL!$I:$I,$C1791)="","",INDEX(GL!$I:$I,$C1791))))</f>
        <v/>
      </c>
      <c r="L1791" s="5" t="str">
        <f aca="false">IF(B1791="","",IF(C1791=0,"NOT FOUND",IF(IF($A1791="Bank",INDEX(Bank!$F:$F,$C1791),INDEX(GL!$F:$F,$C1791))="Y","NOW RECONCILED: refresh","OK")))</f>
        <v/>
      </c>
    </row>
    <row r="1792" customFormat="false" ht="15" hidden="false" customHeight="false" outlineLevel="0" collapsed="false">
      <c r="A1792" s="41"/>
      <c r="B1792" s="41"/>
      <c r="C1792" s="5" t="n">
        <f aca="false">IF(B1792="",0,IF(A1792="Bank",IFERROR(MATCH(B1792,Bank!$A:$A,0),0),IFERROR(MATCH(B1792,GL!$A:$A,0),0)))</f>
        <v>0</v>
      </c>
      <c r="D1792" s="32" t="str">
        <f aca="false">IF(C1792=0,"",IF($A1792="Bank",INDEX(Bank!$B:$B,$C1792),INDEX(GL!$B:$B,$C1792)))</f>
        <v/>
      </c>
      <c r="E1792" s="5" t="str">
        <f aca="false">IF(C1792=0,"",IF($A1792="Bank",IF(INDEX(Bank!$C:$C,$C1792)="","",INDEX(Bank!$C:$C,$C1792)),IF(INDEX(GL!$C:$C,$C1792)="","",INDEX(GL!$C:$C,$C1792))))</f>
        <v/>
      </c>
      <c r="F1792" s="5" t="str">
        <f aca="false">IF(C1792=0,"",IF($A1792="Bank",IF(INDEX(Bank!$D:$D,$C1792)="","",INDEX(Bank!$D:$D,$C1792)),IF(INDEX(GL!$D:$D,$C1792)="","",INDEX(GL!$D:$D,$C1792))))</f>
        <v/>
      </c>
      <c r="G1792" s="19" t="str">
        <f aca="false">IF(C1792=0,"",IF($A1792="Bank",INDEX(Bank!$E:$E,$C1792),INDEX(GL!$E:$E,$C1792)))</f>
        <v/>
      </c>
      <c r="H1792" s="5" t="str">
        <f aca="false">IF(C1792=0,"",IF(A1792="GL",IF(G1792&gt;0,"Deposit in transit","Outstanding check / payment"),IF(G1792&gt;0,"Bank credit not in GL","Bank debit not in GL")))</f>
        <v/>
      </c>
      <c r="I1792" s="42" t="str">
        <f aca="false">IF(OR(C1792=0,CFG_PeriodEnd=""),"",CFG_PeriodEnd-D1792)</f>
        <v/>
      </c>
      <c r="J1792" s="5" t="str">
        <f aca="false">IF(C1792=0,"",IF($A1792="Bank",IF(INDEX(Bank!$G:$G,$C1792)="","",INDEX(Bank!$G:$G,$C1792)),IF(INDEX(GL!$G:$G,$C1792)="","",INDEX(GL!$G:$G,$C1792))))</f>
        <v/>
      </c>
      <c r="K1792" s="5" t="str">
        <f aca="false">IF(C1792=0,"",IF($A1792="Bank",IF(INDEX(Bank!$I:$I,$C1792)="","",INDEX(Bank!$I:$I,$C1792)),IF(INDEX(GL!$I:$I,$C1792)="","",INDEX(GL!$I:$I,$C1792))))</f>
        <v/>
      </c>
      <c r="L1792" s="5" t="str">
        <f aca="false">IF(B1792="","",IF(C1792=0,"NOT FOUND",IF(IF($A1792="Bank",INDEX(Bank!$F:$F,$C1792),INDEX(GL!$F:$F,$C1792))="Y","NOW RECONCILED: refresh","OK")))</f>
        <v/>
      </c>
    </row>
    <row r="1793" customFormat="false" ht="15" hidden="false" customHeight="false" outlineLevel="0" collapsed="false">
      <c r="A1793" s="41"/>
      <c r="B1793" s="41"/>
      <c r="C1793" s="5" t="n">
        <f aca="false">IF(B1793="",0,IF(A1793="Bank",IFERROR(MATCH(B1793,Bank!$A:$A,0),0),IFERROR(MATCH(B1793,GL!$A:$A,0),0)))</f>
        <v>0</v>
      </c>
      <c r="D1793" s="32" t="str">
        <f aca="false">IF(C1793=0,"",IF($A1793="Bank",INDEX(Bank!$B:$B,$C1793),INDEX(GL!$B:$B,$C1793)))</f>
        <v/>
      </c>
      <c r="E1793" s="5" t="str">
        <f aca="false">IF(C1793=0,"",IF($A1793="Bank",IF(INDEX(Bank!$C:$C,$C1793)="","",INDEX(Bank!$C:$C,$C1793)),IF(INDEX(GL!$C:$C,$C1793)="","",INDEX(GL!$C:$C,$C1793))))</f>
        <v/>
      </c>
      <c r="F1793" s="5" t="str">
        <f aca="false">IF(C1793=0,"",IF($A1793="Bank",IF(INDEX(Bank!$D:$D,$C1793)="","",INDEX(Bank!$D:$D,$C1793)),IF(INDEX(GL!$D:$D,$C1793)="","",INDEX(GL!$D:$D,$C1793))))</f>
        <v/>
      </c>
      <c r="G1793" s="19" t="str">
        <f aca="false">IF(C1793=0,"",IF($A1793="Bank",INDEX(Bank!$E:$E,$C1793),INDEX(GL!$E:$E,$C1793)))</f>
        <v/>
      </c>
      <c r="H1793" s="5" t="str">
        <f aca="false">IF(C1793=0,"",IF(A1793="GL",IF(G1793&gt;0,"Deposit in transit","Outstanding check / payment"),IF(G1793&gt;0,"Bank credit not in GL","Bank debit not in GL")))</f>
        <v/>
      </c>
      <c r="I1793" s="42" t="str">
        <f aca="false">IF(OR(C1793=0,CFG_PeriodEnd=""),"",CFG_PeriodEnd-D1793)</f>
        <v/>
      </c>
      <c r="J1793" s="5" t="str">
        <f aca="false">IF(C1793=0,"",IF($A1793="Bank",IF(INDEX(Bank!$G:$G,$C1793)="","",INDEX(Bank!$G:$G,$C1793)),IF(INDEX(GL!$G:$G,$C1793)="","",INDEX(GL!$G:$G,$C1793))))</f>
        <v/>
      </c>
      <c r="K1793" s="5" t="str">
        <f aca="false">IF(C1793=0,"",IF($A1793="Bank",IF(INDEX(Bank!$I:$I,$C1793)="","",INDEX(Bank!$I:$I,$C1793)),IF(INDEX(GL!$I:$I,$C1793)="","",INDEX(GL!$I:$I,$C1793))))</f>
        <v/>
      </c>
      <c r="L1793" s="5" t="str">
        <f aca="false">IF(B1793="","",IF(C1793=0,"NOT FOUND",IF(IF($A1793="Bank",INDEX(Bank!$F:$F,$C1793),INDEX(GL!$F:$F,$C1793))="Y","NOW RECONCILED: refresh","OK")))</f>
        <v/>
      </c>
    </row>
    <row r="1794" customFormat="false" ht="15" hidden="false" customHeight="false" outlineLevel="0" collapsed="false">
      <c r="A1794" s="41"/>
      <c r="B1794" s="41"/>
      <c r="C1794" s="5" t="n">
        <f aca="false">IF(B1794="",0,IF(A1794="Bank",IFERROR(MATCH(B1794,Bank!$A:$A,0),0),IFERROR(MATCH(B1794,GL!$A:$A,0),0)))</f>
        <v>0</v>
      </c>
      <c r="D1794" s="32" t="str">
        <f aca="false">IF(C1794=0,"",IF($A1794="Bank",INDEX(Bank!$B:$B,$C1794),INDEX(GL!$B:$B,$C1794)))</f>
        <v/>
      </c>
      <c r="E1794" s="5" t="str">
        <f aca="false">IF(C1794=0,"",IF($A1794="Bank",IF(INDEX(Bank!$C:$C,$C1794)="","",INDEX(Bank!$C:$C,$C1794)),IF(INDEX(GL!$C:$C,$C1794)="","",INDEX(GL!$C:$C,$C1794))))</f>
        <v/>
      </c>
      <c r="F1794" s="5" t="str">
        <f aca="false">IF(C1794=0,"",IF($A1794="Bank",IF(INDEX(Bank!$D:$D,$C1794)="","",INDEX(Bank!$D:$D,$C1794)),IF(INDEX(GL!$D:$D,$C1794)="","",INDEX(GL!$D:$D,$C1794))))</f>
        <v/>
      </c>
      <c r="G1794" s="19" t="str">
        <f aca="false">IF(C1794=0,"",IF($A1794="Bank",INDEX(Bank!$E:$E,$C1794),INDEX(GL!$E:$E,$C1794)))</f>
        <v/>
      </c>
      <c r="H1794" s="5" t="str">
        <f aca="false">IF(C1794=0,"",IF(A1794="GL",IF(G1794&gt;0,"Deposit in transit","Outstanding check / payment"),IF(G1794&gt;0,"Bank credit not in GL","Bank debit not in GL")))</f>
        <v/>
      </c>
      <c r="I1794" s="42" t="str">
        <f aca="false">IF(OR(C1794=0,CFG_PeriodEnd=""),"",CFG_PeriodEnd-D1794)</f>
        <v/>
      </c>
      <c r="J1794" s="5" t="str">
        <f aca="false">IF(C1794=0,"",IF($A1794="Bank",IF(INDEX(Bank!$G:$G,$C1794)="","",INDEX(Bank!$G:$G,$C1794)),IF(INDEX(GL!$G:$G,$C1794)="","",INDEX(GL!$G:$G,$C1794))))</f>
        <v/>
      </c>
      <c r="K1794" s="5" t="str">
        <f aca="false">IF(C1794=0,"",IF($A1794="Bank",IF(INDEX(Bank!$I:$I,$C1794)="","",INDEX(Bank!$I:$I,$C1794)),IF(INDEX(GL!$I:$I,$C1794)="","",INDEX(GL!$I:$I,$C1794))))</f>
        <v/>
      </c>
      <c r="L1794" s="5" t="str">
        <f aca="false">IF(B1794="","",IF(C1794=0,"NOT FOUND",IF(IF($A1794="Bank",INDEX(Bank!$F:$F,$C1794),INDEX(GL!$F:$F,$C1794))="Y","NOW RECONCILED: refresh","OK")))</f>
        <v/>
      </c>
    </row>
    <row r="1795" customFormat="false" ht="15" hidden="false" customHeight="false" outlineLevel="0" collapsed="false">
      <c r="A1795" s="41"/>
      <c r="B1795" s="41"/>
      <c r="C1795" s="5" t="n">
        <f aca="false">IF(B1795="",0,IF(A1795="Bank",IFERROR(MATCH(B1795,Bank!$A:$A,0),0),IFERROR(MATCH(B1795,GL!$A:$A,0),0)))</f>
        <v>0</v>
      </c>
      <c r="D1795" s="32" t="str">
        <f aca="false">IF(C1795=0,"",IF($A1795="Bank",INDEX(Bank!$B:$B,$C1795),INDEX(GL!$B:$B,$C1795)))</f>
        <v/>
      </c>
      <c r="E1795" s="5" t="str">
        <f aca="false">IF(C1795=0,"",IF($A1795="Bank",IF(INDEX(Bank!$C:$C,$C1795)="","",INDEX(Bank!$C:$C,$C1795)),IF(INDEX(GL!$C:$C,$C1795)="","",INDEX(GL!$C:$C,$C1795))))</f>
        <v/>
      </c>
      <c r="F1795" s="5" t="str">
        <f aca="false">IF(C1795=0,"",IF($A1795="Bank",IF(INDEX(Bank!$D:$D,$C1795)="","",INDEX(Bank!$D:$D,$C1795)),IF(INDEX(GL!$D:$D,$C1795)="","",INDEX(GL!$D:$D,$C1795))))</f>
        <v/>
      </c>
      <c r="G1795" s="19" t="str">
        <f aca="false">IF(C1795=0,"",IF($A1795="Bank",INDEX(Bank!$E:$E,$C1795),INDEX(GL!$E:$E,$C1795)))</f>
        <v/>
      </c>
      <c r="H1795" s="5" t="str">
        <f aca="false">IF(C1795=0,"",IF(A1795="GL",IF(G1795&gt;0,"Deposit in transit","Outstanding check / payment"),IF(G1795&gt;0,"Bank credit not in GL","Bank debit not in GL")))</f>
        <v/>
      </c>
      <c r="I1795" s="42" t="str">
        <f aca="false">IF(OR(C1795=0,CFG_PeriodEnd=""),"",CFG_PeriodEnd-D1795)</f>
        <v/>
      </c>
      <c r="J1795" s="5" t="str">
        <f aca="false">IF(C1795=0,"",IF($A1795="Bank",IF(INDEX(Bank!$G:$G,$C1795)="","",INDEX(Bank!$G:$G,$C1795)),IF(INDEX(GL!$G:$G,$C1795)="","",INDEX(GL!$G:$G,$C1795))))</f>
        <v/>
      </c>
      <c r="K1795" s="5" t="str">
        <f aca="false">IF(C1795=0,"",IF($A1795="Bank",IF(INDEX(Bank!$I:$I,$C1795)="","",INDEX(Bank!$I:$I,$C1795)),IF(INDEX(GL!$I:$I,$C1795)="","",INDEX(GL!$I:$I,$C1795))))</f>
        <v/>
      </c>
      <c r="L1795" s="5" t="str">
        <f aca="false">IF(B1795="","",IF(C1795=0,"NOT FOUND",IF(IF($A1795="Bank",INDEX(Bank!$F:$F,$C1795),INDEX(GL!$F:$F,$C1795))="Y","NOW RECONCILED: refresh","OK")))</f>
        <v/>
      </c>
    </row>
    <row r="1796" customFormat="false" ht="15" hidden="false" customHeight="false" outlineLevel="0" collapsed="false">
      <c r="A1796" s="41"/>
      <c r="B1796" s="41"/>
      <c r="C1796" s="5" t="n">
        <f aca="false">IF(B1796="",0,IF(A1796="Bank",IFERROR(MATCH(B1796,Bank!$A:$A,0),0),IFERROR(MATCH(B1796,GL!$A:$A,0),0)))</f>
        <v>0</v>
      </c>
      <c r="D1796" s="32" t="str">
        <f aca="false">IF(C1796=0,"",IF($A1796="Bank",INDEX(Bank!$B:$B,$C1796),INDEX(GL!$B:$B,$C1796)))</f>
        <v/>
      </c>
      <c r="E1796" s="5" t="str">
        <f aca="false">IF(C1796=0,"",IF($A1796="Bank",IF(INDEX(Bank!$C:$C,$C1796)="","",INDEX(Bank!$C:$C,$C1796)),IF(INDEX(GL!$C:$C,$C1796)="","",INDEX(GL!$C:$C,$C1796))))</f>
        <v/>
      </c>
      <c r="F1796" s="5" t="str">
        <f aca="false">IF(C1796=0,"",IF($A1796="Bank",IF(INDEX(Bank!$D:$D,$C1796)="","",INDEX(Bank!$D:$D,$C1796)),IF(INDEX(GL!$D:$D,$C1796)="","",INDEX(GL!$D:$D,$C1796))))</f>
        <v/>
      </c>
      <c r="G1796" s="19" t="str">
        <f aca="false">IF(C1796=0,"",IF($A1796="Bank",INDEX(Bank!$E:$E,$C1796),INDEX(GL!$E:$E,$C1796)))</f>
        <v/>
      </c>
      <c r="H1796" s="5" t="str">
        <f aca="false">IF(C1796=0,"",IF(A1796="GL",IF(G1796&gt;0,"Deposit in transit","Outstanding check / payment"),IF(G1796&gt;0,"Bank credit not in GL","Bank debit not in GL")))</f>
        <v/>
      </c>
      <c r="I1796" s="42" t="str">
        <f aca="false">IF(OR(C1796=0,CFG_PeriodEnd=""),"",CFG_PeriodEnd-D1796)</f>
        <v/>
      </c>
      <c r="J1796" s="5" t="str">
        <f aca="false">IF(C1796=0,"",IF($A1796="Bank",IF(INDEX(Bank!$G:$G,$C1796)="","",INDEX(Bank!$G:$G,$C1796)),IF(INDEX(GL!$G:$G,$C1796)="","",INDEX(GL!$G:$G,$C1796))))</f>
        <v/>
      </c>
      <c r="K1796" s="5" t="str">
        <f aca="false">IF(C1796=0,"",IF($A1796="Bank",IF(INDEX(Bank!$I:$I,$C1796)="","",INDEX(Bank!$I:$I,$C1796)),IF(INDEX(GL!$I:$I,$C1796)="","",INDEX(GL!$I:$I,$C1796))))</f>
        <v/>
      </c>
      <c r="L1796" s="5" t="str">
        <f aca="false">IF(B1796="","",IF(C1796=0,"NOT FOUND",IF(IF($A1796="Bank",INDEX(Bank!$F:$F,$C1796),INDEX(GL!$F:$F,$C1796))="Y","NOW RECONCILED: refresh","OK")))</f>
        <v/>
      </c>
    </row>
    <row r="1797" customFormat="false" ht="15" hidden="false" customHeight="false" outlineLevel="0" collapsed="false">
      <c r="A1797" s="41"/>
      <c r="B1797" s="41"/>
      <c r="C1797" s="5" t="n">
        <f aca="false">IF(B1797="",0,IF(A1797="Bank",IFERROR(MATCH(B1797,Bank!$A:$A,0),0),IFERROR(MATCH(B1797,GL!$A:$A,0),0)))</f>
        <v>0</v>
      </c>
      <c r="D1797" s="32" t="str">
        <f aca="false">IF(C1797=0,"",IF($A1797="Bank",INDEX(Bank!$B:$B,$C1797),INDEX(GL!$B:$B,$C1797)))</f>
        <v/>
      </c>
      <c r="E1797" s="5" t="str">
        <f aca="false">IF(C1797=0,"",IF($A1797="Bank",IF(INDEX(Bank!$C:$C,$C1797)="","",INDEX(Bank!$C:$C,$C1797)),IF(INDEX(GL!$C:$C,$C1797)="","",INDEX(GL!$C:$C,$C1797))))</f>
        <v/>
      </c>
      <c r="F1797" s="5" t="str">
        <f aca="false">IF(C1797=0,"",IF($A1797="Bank",IF(INDEX(Bank!$D:$D,$C1797)="","",INDEX(Bank!$D:$D,$C1797)),IF(INDEX(GL!$D:$D,$C1797)="","",INDEX(GL!$D:$D,$C1797))))</f>
        <v/>
      </c>
      <c r="G1797" s="19" t="str">
        <f aca="false">IF(C1797=0,"",IF($A1797="Bank",INDEX(Bank!$E:$E,$C1797),INDEX(GL!$E:$E,$C1797)))</f>
        <v/>
      </c>
      <c r="H1797" s="5" t="str">
        <f aca="false">IF(C1797=0,"",IF(A1797="GL",IF(G1797&gt;0,"Deposit in transit","Outstanding check / payment"),IF(G1797&gt;0,"Bank credit not in GL","Bank debit not in GL")))</f>
        <v/>
      </c>
      <c r="I1797" s="42" t="str">
        <f aca="false">IF(OR(C1797=0,CFG_PeriodEnd=""),"",CFG_PeriodEnd-D1797)</f>
        <v/>
      </c>
      <c r="J1797" s="5" t="str">
        <f aca="false">IF(C1797=0,"",IF($A1797="Bank",IF(INDEX(Bank!$G:$G,$C1797)="","",INDEX(Bank!$G:$G,$C1797)),IF(INDEX(GL!$G:$G,$C1797)="","",INDEX(GL!$G:$G,$C1797))))</f>
        <v/>
      </c>
      <c r="K1797" s="5" t="str">
        <f aca="false">IF(C1797=0,"",IF($A1797="Bank",IF(INDEX(Bank!$I:$I,$C1797)="","",INDEX(Bank!$I:$I,$C1797)),IF(INDEX(GL!$I:$I,$C1797)="","",INDEX(GL!$I:$I,$C1797))))</f>
        <v/>
      </c>
      <c r="L1797" s="5" t="str">
        <f aca="false">IF(B1797="","",IF(C1797=0,"NOT FOUND",IF(IF($A1797="Bank",INDEX(Bank!$F:$F,$C1797),INDEX(GL!$F:$F,$C1797))="Y","NOW RECONCILED: refresh","OK")))</f>
        <v/>
      </c>
    </row>
    <row r="1798" customFormat="false" ht="15" hidden="false" customHeight="false" outlineLevel="0" collapsed="false">
      <c r="A1798" s="41"/>
      <c r="B1798" s="41"/>
      <c r="C1798" s="5" t="n">
        <f aca="false">IF(B1798="",0,IF(A1798="Bank",IFERROR(MATCH(B1798,Bank!$A:$A,0),0),IFERROR(MATCH(B1798,GL!$A:$A,0),0)))</f>
        <v>0</v>
      </c>
      <c r="D1798" s="32" t="str">
        <f aca="false">IF(C1798=0,"",IF($A1798="Bank",INDEX(Bank!$B:$B,$C1798),INDEX(GL!$B:$B,$C1798)))</f>
        <v/>
      </c>
      <c r="E1798" s="5" t="str">
        <f aca="false">IF(C1798=0,"",IF($A1798="Bank",IF(INDEX(Bank!$C:$C,$C1798)="","",INDEX(Bank!$C:$C,$C1798)),IF(INDEX(GL!$C:$C,$C1798)="","",INDEX(GL!$C:$C,$C1798))))</f>
        <v/>
      </c>
      <c r="F1798" s="5" t="str">
        <f aca="false">IF(C1798=0,"",IF($A1798="Bank",IF(INDEX(Bank!$D:$D,$C1798)="","",INDEX(Bank!$D:$D,$C1798)),IF(INDEX(GL!$D:$D,$C1798)="","",INDEX(GL!$D:$D,$C1798))))</f>
        <v/>
      </c>
      <c r="G1798" s="19" t="str">
        <f aca="false">IF(C1798=0,"",IF($A1798="Bank",INDEX(Bank!$E:$E,$C1798),INDEX(GL!$E:$E,$C1798)))</f>
        <v/>
      </c>
      <c r="H1798" s="5" t="str">
        <f aca="false">IF(C1798=0,"",IF(A1798="GL",IF(G1798&gt;0,"Deposit in transit","Outstanding check / payment"),IF(G1798&gt;0,"Bank credit not in GL","Bank debit not in GL")))</f>
        <v/>
      </c>
      <c r="I1798" s="42" t="str">
        <f aca="false">IF(OR(C1798=0,CFG_PeriodEnd=""),"",CFG_PeriodEnd-D1798)</f>
        <v/>
      </c>
      <c r="J1798" s="5" t="str">
        <f aca="false">IF(C1798=0,"",IF($A1798="Bank",IF(INDEX(Bank!$G:$G,$C1798)="","",INDEX(Bank!$G:$G,$C1798)),IF(INDEX(GL!$G:$G,$C1798)="","",INDEX(GL!$G:$G,$C1798))))</f>
        <v/>
      </c>
      <c r="K1798" s="5" t="str">
        <f aca="false">IF(C1798=0,"",IF($A1798="Bank",IF(INDEX(Bank!$I:$I,$C1798)="","",INDEX(Bank!$I:$I,$C1798)),IF(INDEX(GL!$I:$I,$C1798)="","",INDEX(GL!$I:$I,$C1798))))</f>
        <v/>
      </c>
      <c r="L1798" s="5" t="str">
        <f aca="false">IF(B1798="","",IF(C1798=0,"NOT FOUND",IF(IF($A1798="Bank",INDEX(Bank!$F:$F,$C1798),INDEX(GL!$F:$F,$C1798))="Y","NOW RECONCILED: refresh","OK")))</f>
        <v/>
      </c>
    </row>
    <row r="1799" customFormat="false" ht="15" hidden="false" customHeight="false" outlineLevel="0" collapsed="false">
      <c r="A1799" s="41"/>
      <c r="B1799" s="41"/>
      <c r="C1799" s="5" t="n">
        <f aca="false">IF(B1799="",0,IF(A1799="Bank",IFERROR(MATCH(B1799,Bank!$A:$A,0),0),IFERROR(MATCH(B1799,GL!$A:$A,0),0)))</f>
        <v>0</v>
      </c>
      <c r="D1799" s="32" t="str">
        <f aca="false">IF(C1799=0,"",IF($A1799="Bank",INDEX(Bank!$B:$B,$C1799),INDEX(GL!$B:$B,$C1799)))</f>
        <v/>
      </c>
      <c r="E1799" s="5" t="str">
        <f aca="false">IF(C1799=0,"",IF($A1799="Bank",IF(INDEX(Bank!$C:$C,$C1799)="","",INDEX(Bank!$C:$C,$C1799)),IF(INDEX(GL!$C:$C,$C1799)="","",INDEX(GL!$C:$C,$C1799))))</f>
        <v/>
      </c>
      <c r="F1799" s="5" t="str">
        <f aca="false">IF(C1799=0,"",IF($A1799="Bank",IF(INDEX(Bank!$D:$D,$C1799)="","",INDEX(Bank!$D:$D,$C1799)),IF(INDEX(GL!$D:$D,$C1799)="","",INDEX(GL!$D:$D,$C1799))))</f>
        <v/>
      </c>
      <c r="G1799" s="19" t="str">
        <f aca="false">IF(C1799=0,"",IF($A1799="Bank",INDEX(Bank!$E:$E,$C1799),INDEX(GL!$E:$E,$C1799)))</f>
        <v/>
      </c>
      <c r="H1799" s="5" t="str">
        <f aca="false">IF(C1799=0,"",IF(A1799="GL",IF(G1799&gt;0,"Deposit in transit","Outstanding check / payment"),IF(G1799&gt;0,"Bank credit not in GL","Bank debit not in GL")))</f>
        <v/>
      </c>
      <c r="I1799" s="42" t="str">
        <f aca="false">IF(OR(C1799=0,CFG_PeriodEnd=""),"",CFG_PeriodEnd-D1799)</f>
        <v/>
      </c>
      <c r="J1799" s="5" t="str">
        <f aca="false">IF(C1799=0,"",IF($A1799="Bank",IF(INDEX(Bank!$G:$G,$C1799)="","",INDEX(Bank!$G:$G,$C1799)),IF(INDEX(GL!$G:$G,$C1799)="","",INDEX(GL!$G:$G,$C1799))))</f>
        <v/>
      </c>
      <c r="K1799" s="5" t="str">
        <f aca="false">IF(C1799=0,"",IF($A1799="Bank",IF(INDEX(Bank!$I:$I,$C1799)="","",INDEX(Bank!$I:$I,$C1799)),IF(INDEX(GL!$I:$I,$C1799)="","",INDEX(GL!$I:$I,$C1799))))</f>
        <v/>
      </c>
      <c r="L1799" s="5" t="str">
        <f aca="false">IF(B1799="","",IF(C1799=0,"NOT FOUND",IF(IF($A1799="Bank",INDEX(Bank!$F:$F,$C1799),INDEX(GL!$F:$F,$C1799))="Y","NOW RECONCILED: refresh","OK")))</f>
        <v/>
      </c>
    </row>
    <row r="1800" customFormat="false" ht="15" hidden="false" customHeight="false" outlineLevel="0" collapsed="false">
      <c r="A1800" s="41"/>
      <c r="B1800" s="41"/>
      <c r="C1800" s="5" t="n">
        <f aca="false">IF(B1800="",0,IF(A1800="Bank",IFERROR(MATCH(B1800,Bank!$A:$A,0),0),IFERROR(MATCH(B1800,GL!$A:$A,0),0)))</f>
        <v>0</v>
      </c>
      <c r="D1800" s="32" t="str">
        <f aca="false">IF(C1800=0,"",IF($A1800="Bank",INDEX(Bank!$B:$B,$C1800),INDEX(GL!$B:$B,$C1800)))</f>
        <v/>
      </c>
      <c r="E1800" s="5" t="str">
        <f aca="false">IF(C1800=0,"",IF($A1800="Bank",IF(INDEX(Bank!$C:$C,$C1800)="","",INDEX(Bank!$C:$C,$C1800)),IF(INDEX(GL!$C:$C,$C1800)="","",INDEX(GL!$C:$C,$C1800))))</f>
        <v/>
      </c>
      <c r="F1800" s="5" t="str">
        <f aca="false">IF(C1800=0,"",IF($A1800="Bank",IF(INDEX(Bank!$D:$D,$C1800)="","",INDEX(Bank!$D:$D,$C1800)),IF(INDEX(GL!$D:$D,$C1800)="","",INDEX(GL!$D:$D,$C1800))))</f>
        <v/>
      </c>
      <c r="G1800" s="19" t="str">
        <f aca="false">IF(C1800=0,"",IF($A1800="Bank",INDEX(Bank!$E:$E,$C1800),INDEX(GL!$E:$E,$C1800)))</f>
        <v/>
      </c>
      <c r="H1800" s="5" t="str">
        <f aca="false">IF(C1800=0,"",IF(A1800="GL",IF(G1800&gt;0,"Deposit in transit","Outstanding check / payment"),IF(G1800&gt;0,"Bank credit not in GL","Bank debit not in GL")))</f>
        <v/>
      </c>
      <c r="I1800" s="42" t="str">
        <f aca="false">IF(OR(C1800=0,CFG_PeriodEnd=""),"",CFG_PeriodEnd-D1800)</f>
        <v/>
      </c>
      <c r="J1800" s="5" t="str">
        <f aca="false">IF(C1800=0,"",IF($A1800="Bank",IF(INDEX(Bank!$G:$G,$C1800)="","",INDEX(Bank!$G:$G,$C1800)),IF(INDEX(GL!$G:$G,$C1800)="","",INDEX(GL!$G:$G,$C1800))))</f>
        <v/>
      </c>
      <c r="K1800" s="5" t="str">
        <f aca="false">IF(C1800=0,"",IF($A1800="Bank",IF(INDEX(Bank!$I:$I,$C1800)="","",INDEX(Bank!$I:$I,$C1800)),IF(INDEX(GL!$I:$I,$C1800)="","",INDEX(GL!$I:$I,$C1800))))</f>
        <v/>
      </c>
      <c r="L1800" s="5" t="str">
        <f aca="false">IF(B1800="","",IF(C1800=0,"NOT FOUND",IF(IF($A1800="Bank",INDEX(Bank!$F:$F,$C1800),INDEX(GL!$F:$F,$C1800))="Y","NOW RECONCILED: refresh","OK")))</f>
        <v/>
      </c>
    </row>
    <row r="1801" customFormat="false" ht="15" hidden="false" customHeight="false" outlineLevel="0" collapsed="false">
      <c r="A1801" s="41"/>
      <c r="B1801" s="41"/>
      <c r="C1801" s="5" t="n">
        <f aca="false">IF(B1801="",0,IF(A1801="Bank",IFERROR(MATCH(B1801,Bank!$A:$A,0),0),IFERROR(MATCH(B1801,GL!$A:$A,0),0)))</f>
        <v>0</v>
      </c>
      <c r="D1801" s="32" t="str">
        <f aca="false">IF(C1801=0,"",IF($A1801="Bank",INDEX(Bank!$B:$B,$C1801),INDEX(GL!$B:$B,$C1801)))</f>
        <v/>
      </c>
      <c r="E1801" s="5" t="str">
        <f aca="false">IF(C1801=0,"",IF($A1801="Bank",IF(INDEX(Bank!$C:$C,$C1801)="","",INDEX(Bank!$C:$C,$C1801)),IF(INDEX(GL!$C:$C,$C1801)="","",INDEX(GL!$C:$C,$C1801))))</f>
        <v/>
      </c>
      <c r="F1801" s="5" t="str">
        <f aca="false">IF(C1801=0,"",IF($A1801="Bank",IF(INDEX(Bank!$D:$D,$C1801)="","",INDEX(Bank!$D:$D,$C1801)),IF(INDEX(GL!$D:$D,$C1801)="","",INDEX(GL!$D:$D,$C1801))))</f>
        <v/>
      </c>
      <c r="G1801" s="19" t="str">
        <f aca="false">IF(C1801=0,"",IF($A1801="Bank",INDEX(Bank!$E:$E,$C1801),INDEX(GL!$E:$E,$C1801)))</f>
        <v/>
      </c>
      <c r="H1801" s="5" t="str">
        <f aca="false">IF(C1801=0,"",IF(A1801="GL",IF(G1801&gt;0,"Deposit in transit","Outstanding check / payment"),IF(G1801&gt;0,"Bank credit not in GL","Bank debit not in GL")))</f>
        <v/>
      </c>
      <c r="I1801" s="42" t="str">
        <f aca="false">IF(OR(C1801=0,CFG_PeriodEnd=""),"",CFG_PeriodEnd-D1801)</f>
        <v/>
      </c>
      <c r="J1801" s="5" t="str">
        <f aca="false">IF(C1801=0,"",IF($A1801="Bank",IF(INDEX(Bank!$G:$G,$C1801)="","",INDEX(Bank!$G:$G,$C1801)),IF(INDEX(GL!$G:$G,$C1801)="","",INDEX(GL!$G:$G,$C1801))))</f>
        <v/>
      </c>
      <c r="K1801" s="5" t="str">
        <f aca="false">IF(C1801=0,"",IF($A1801="Bank",IF(INDEX(Bank!$I:$I,$C1801)="","",INDEX(Bank!$I:$I,$C1801)),IF(INDEX(GL!$I:$I,$C1801)="","",INDEX(GL!$I:$I,$C1801))))</f>
        <v/>
      </c>
      <c r="L1801" s="5" t="str">
        <f aca="false">IF(B1801="","",IF(C1801=0,"NOT FOUND",IF(IF($A1801="Bank",INDEX(Bank!$F:$F,$C1801),INDEX(GL!$F:$F,$C1801))="Y","NOW RECONCILED: refresh","OK")))</f>
        <v/>
      </c>
    </row>
    <row r="1802" customFormat="false" ht="15" hidden="false" customHeight="false" outlineLevel="0" collapsed="false">
      <c r="A1802" s="41"/>
      <c r="B1802" s="41"/>
      <c r="C1802" s="5" t="n">
        <f aca="false">IF(B1802="",0,IF(A1802="Bank",IFERROR(MATCH(B1802,Bank!$A:$A,0),0),IFERROR(MATCH(B1802,GL!$A:$A,0),0)))</f>
        <v>0</v>
      </c>
      <c r="D1802" s="32" t="str">
        <f aca="false">IF(C1802=0,"",IF($A1802="Bank",INDEX(Bank!$B:$B,$C1802),INDEX(GL!$B:$B,$C1802)))</f>
        <v/>
      </c>
      <c r="E1802" s="5" t="str">
        <f aca="false">IF(C1802=0,"",IF($A1802="Bank",IF(INDEX(Bank!$C:$C,$C1802)="","",INDEX(Bank!$C:$C,$C1802)),IF(INDEX(GL!$C:$C,$C1802)="","",INDEX(GL!$C:$C,$C1802))))</f>
        <v/>
      </c>
      <c r="F1802" s="5" t="str">
        <f aca="false">IF(C1802=0,"",IF($A1802="Bank",IF(INDEX(Bank!$D:$D,$C1802)="","",INDEX(Bank!$D:$D,$C1802)),IF(INDEX(GL!$D:$D,$C1802)="","",INDEX(GL!$D:$D,$C1802))))</f>
        <v/>
      </c>
      <c r="G1802" s="19" t="str">
        <f aca="false">IF(C1802=0,"",IF($A1802="Bank",INDEX(Bank!$E:$E,$C1802),INDEX(GL!$E:$E,$C1802)))</f>
        <v/>
      </c>
      <c r="H1802" s="5" t="str">
        <f aca="false">IF(C1802=0,"",IF(A1802="GL",IF(G1802&gt;0,"Deposit in transit","Outstanding check / payment"),IF(G1802&gt;0,"Bank credit not in GL","Bank debit not in GL")))</f>
        <v/>
      </c>
      <c r="I1802" s="42" t="str">
        <f aca="false">IF(OR(C1802=0,CFG_PeriodEnd=""),"",CFG_PeriodEnd-D1802)</f>
        <v/>
      </c>
      <c r="J1802" s="5" t="str">
        <f aca="false">IF(C1802=0,"",IF($A1802="Bank",IF(INDEX(Bank!$G:$G,$C1802)="","",INDEX(Bank!$G:$G,$C1802)),IF(INDEX(GL!$G:$G,$C1802)="","",INDEX(GL!$G:$G,$C1802))))</f>
        <v/>
      </c>
      <c r="K1802" s="5" t="str">
        <f aca="false">IF(C1802=0,"",IF($A1802="Bank",IF(INDEX(Bank!$I:$I,$C1802)="","",INDEX(Bank!$I:$I,$C1802)),IF(INDEX(GL!$I:$I,$C1802)="","",INDEX(GL!$I:$I,$C1802))))</f>
        <v/>
      </c>
      <c r="L1802" s="5" t="str">
        <f aca="false">IF(B1802="","",IF(C1802=0,"NOT FOUND",IF(IF($A1802="Bank",INDEX(Bank!$F:$F,$C1802),INDEX(GL!$F:$F,$C1802))="Y","NOW RECONCILED: refresh","OK")))</f>
        <v/>
      </c>
    </row>
    <row r="1803" customFormat="false" ht="15" hidden="false" customHeight="false" outlineLevel="0" collapsed="false">
      <c r="A1803" s="41"/>
      <c r="B1803" s="41"/>
      <c r="C1803" s="5" t="n">
        <f aca="false">IF(B1803="",0,IF(A1803="Bank",IFERROR(MATCH(B1803,Bank!$A:$A,0),0),IFERROR(MATCH(B1803,GL!$A:$A,0),0)))</f>
        <v>0</v>
      </c>
      <c r="D1803" s="32" t="str">
        <f aca="false">IF(C1803=0,"",IF($A1803="Bank",INDEX(Bank!$B:$B,$C1803),INDEX(GL!$B:$B,$C1803)))</f>
        <v/>
      </c>
      <c r="E1803" s="5" t="str">
        <f aca="false">IF(C1803=0,"",IF($A1803="Bank",IF(INDEX(Bank!$C:$C,$C1803)="","",INDEX(Bank!$C:$C,$C1803)),IF(INDEX(GL!$C:$C,$C1803)="","",INDEX(GL!$C:$C,$C1803))))</f>
        <v/>
      </c>
      <c r="F1803" s="5" t="str">
        <f aca="false">IF(C1803=0,"",IF($A1803="Bank",IF(INDEX(Bank!$D:$D,$C1803)="","",INDEX(Bank!$D:$D,$C1803)),IF(INDEX(GL!$D:$D,$C1803)="","",INDEX(GL!$D:$D,$C1803))))</f>
        <v/>
      </c>
      <c r="G1803" s="19" t="str">
        <f aca="false">IF(C1803=0,"",IF($A1803="Bank",INDEX(Bank!$E:$E,$C1803),INDEX(GL!$E:$E,$C1803)))</f>
        <v/>
      </c>
      <c r="H1803" s="5" t="str">
        <f aca="false">IF(C1803=0,"",IF(A1803="GL",IF(G1803&gt;0,"Deposit in transit","Outstanding check / payment"),IF(G1803&gt;0,"Bank credit not in GL","Bank debit not in GL")))</f>
        <v/>
      </c>
      <c r="I1803" s="42" t="str">
        <f aca="false">IF(OR(C1803=0,CFG_PeriodEnd=""),"",CFG_PeriodEnd-D1803)</f>
        <v/>
      </c>
      <c r="J1803" s="5" t="str">
        <f aca="false">IF(C1803=0,"",IF($A1803="Bank",IF(INDEX(Bank!$G:$G,$C1803)="","",INDEX(Bank!$G:$G,$C1803)),IF(INDEX(GL!$G:$G,$C1803)="","",INDEX(GL!$G:$G,$C1803))))</f>
        <v/>
      </c>
      <c r="K1803" s="5" t="str">
        <f aca="false">IF(C1803=0,"",IF($A1803="Bank",IF(INDEX(Bank!$I:$I,$C1803)="","",INDEX(Bank!$I:$I,$C1803)),IF(INDEX(GL!$I:$I,$C1803)="","",INDEX(GL!$I:$I,$C1803))))</f>
        <v/>
      </c>
      <c r="L1803" s="5" t="str">
        <f aca="false">IF(B1803="","",IF(C1803=0,"NOT FOUND",IF(IF($A1803="Bank",INDEX(Bank!$F:$F,$C1803),INDEX(GL!$F:$F,$C1803))="Y","NOW RECONCILED: refresh","OK")))</f>
        <v/>
      </c>
    </row>
    <row r="1804" customFormat="false" ht="15" hidden="false" customHeight="false" outlineLevel="0" collapsed="false">
      <c r="A1804" s="41"/>
      <c r="B1804" s="41"/>
      <c r="C1804" s="5" t="n">
        <f aca="false">IF(B1804="",0,IF(A1804="Bank",IFERROR(MATCH(B1804,Bank!$A:$A,0),0),IFERROR(MATCH(B1804,GL!$A:$A,0),0)))</f>
        <v>0</v>
      </c>
      <c r="D1804" s="32" t="str">
        <f aca="false">IF(C1804=0,"",IF($A1804="Bank",INDEX(Bank!$B:$B,$C1804),INDEX(GL!$B:$B,$C1804)))</f>
        <v/>
      </c>
      <c r="E1804" s="5" t="str">
        <f aca="false">IF(C1804=0,"",IF($A1804="Bank",IF(INDEX(Bank!$C:$C,$C1804)="","",INDEX(Bank!$C:$C,$C1804)),IF(INDEX(GL!$C:$C,$C1804)="","",INDEX(GL!$C:$C,$C1804))))</f>
        <v/>
      </c>
      <c r="F1804" s="5" t="str">
        <f aca="false">IF(C1804=0,"",IF($A1804="Bank",IF(INDEX(Bank!$D:$D,$C1804)="","",INDEX(Bank!$D:$D,$C1804)),IF(INDEX(GL!$D:$D,$C1804)="","",INDEX(GL!$D:$D,$C1804))))</f>
        <v/>
      </c>
      <c r="G1804" s="19" t="str">
        <f aca="false">IF(C1804=0,"",IF($A1804="Bank",INDEX(Bank!$E:$E,$C1804),INDEX(GL!$E:$E,$C1804)))</f>
        <v/>
      </c>
      <c r="H1804" s="5" t="str">
        <f aca="false">IF(C1804=0,"",IF(A1804="GL",IF(G1804&gt;0,"Deposit in transit","Outstanding check / payment"),IF(G1804&gt;0,"Bank credit not in GL","Bank debit not in GL")))</f>
        <v/>
      </c>
      <c r="I1804" s="42" t="str">
        <f aca="false">IF(OR(C1804=0,CFG_PeriodEnd=""),"",CFG_PeriodEnd-D1804)</f>
        <v/>
      </c>
      <c r="J1804" s="5" t="str">
        <f aca="false">IF(C1804=0,"",IF($A1804="Bank",IF(INDEX(Bank!$G:$G,$C1804)="","",INDEX(Bank!$G:$G,$C1804)),IF(INDEX(GL!$G:$G,$C1804)="","",INDEX(GL!$G:$G,$C1804))))</f>
        <v/>
      </c>
      <c r="K1804" s="5" t="str">
        <f aca="false">IF(C1804=0,"",IF($A1804="Bank",IF(INDEX(Bank!$I:$I,$C1804)="","",INDEX(Bank!$I:$I,$C1804)),IF(INDEX(GL!$I:$I,$C1804)="","",INDEX(GL!$I:$I,$C1804))))</f>
        <v/>
      </c>
      <c r="L1804" s="5" t="str">
        <f aca="false">IF(B1804="","",IF(C1804=0,"NOT FOUND",IF(IF($A1804="Bank",INDEX(Bank!$F:$F,$C1804),INDEX(GL!$F:$F,$C1804))="Y","NOW RECONCILED: refresh","OK")))</f>
        <v/>
      </c>
    </row>
    <row r="1805" customFormat="false" ht="15" hidden="false" customHeight="false" outlineLevel="0" collapsed="false">
      <c r="A1805" s="41"/>
      <c r="B1805" s="41"/>
      <c r="C1805" s="5" t="n">
        <f aca="false">IF(B1805="",0,IF(A1805="Bank",IFERROR(MATCH(B1805,Bank!$A:$A,0),0),IFERROR(MATCH(B1805,GL!$A:$A,0),0)))</f>
        <v>0</v>
      </c>
      <c r="D1805" s="32" t="str">
        <f aca="false">IF(C1805=0,"",IF($A1805="Bank",INDEX(Bank!$B:$B,$C1805),INDEX(GL!$B:$B,$C1805)))</f>
        <v/>
      </c>
      <c r="E1805" s="5" t="str">
        <f aca="false">IF(C1805=0,"",IF($A1805="Bank",IF(INDEX(Bank!$C:$C,$C1805)="","",INDEX(Bank!$C:$C,$C1805)),IF(INDEX(GL!$C:$C,$C1805)="","",INDEX(GL!$C:$C,$C1805))))</f>
        <v/>
      </c>
      <c r="F1805" s="5" t="str">
        <f aca="false">IF(C1805=0,"",IF($A1805="Bank",IF(INDEX(Bank!$D:$D,$C1805)="","",INDEX(Bank!$D:$D,$C1805)),IF(INDEX(GL!$D:$D,$C1805)="","",INDEX(GL!$D:$D,$C1805))))</f>
        <v/>
      </c>
      <c r="G1805" s="19" t="str">
        <f aca="false">IF(C1805=0,"",IF($A1805="Bank",INDEX(Bank!$E:$E,$C1805),INDEX(GL!$E:$E,$C1805)))</f>
        <v/>
      </c>
      <c r="H1805" s="5" t="str">
        <f aca="false">IF(C1805=0,"",IF(A1805="GL",IF(G1805&gt;0,"Deposit in transit","Outstanding check / payment"),IF(G1805&gt;0,"Bank credit not in GL","Bank debit not in GL")))</f>
        <v/>
      </c>
      <c r="I1805" s="42" t="str">
        <f aca="false">IF(OR(C1805=0,CFG_PeriodEnd=""),"",CFG_PeriodEnd-D1805)</f>
        <v/>
      </c>
      <c r="J1805" s="5" t="str">
        <f aca="false">IF(C1805=0,"",IF($A1805="Bank",IF(INDEX(Bank!$G:$G,$C1805)="","",INDEX(Bank!$G:$G,$C1805)),IF(INDEX(GL!$G:$G,$C1805)="","",INDEX(GL!$G:$G,$C1805))))</f>
        <v/>
      </c>
      <c r="K1805" s="5" t="str">
        <f aca="false">IF(C1805=0,"",IF($A1805="Bank",IF(INDEX(Bank!$I:$I,$C1805)="","",INDEX(Bank!$I:$I,$C1805)),IF(INDEX(GL!$I:$I,$C1805)="","",INDEX(GL!$I:$I,$C1805))))</f>
        <v/>
      </c>
      <c r="L1805" s="5" t="str">
        <f aca="false">IF(B1805="","",IF(C1805=0,"NOT FOUND",IF(IF($A1805="Bank",INDEX(Bank!$F:$F,$C1805),INDEX(GL!$F:$F,$C1805))="Y","NOW RECONCILED: refresh","OK")))</f>
        <v/>
      </c>
    </row>
    <row r="1806" customFormat="false" ht="15" hidden="false" customHeight="false" outlineLevel="0" collapsed="false">
      <c r="A1806" s="41"/>
      <c r="B1806" s="41"/>
      <c r="C1806" s="5" t="n">
        <f aca="false">IF(B1806="",0,IF(A1806="Bank",IFERROR(MATCH(B1806,Bank!$A:$A,0),0),IFERROR(MATCH(B1806,GL!$A:$A,0),0)))</f>
        <v>0</v>
      </c>
      <c r="D1806" s="32" t="str">
        <f aca="false">IF(C1806=0,"",IF($A1806="Bank",INDEX(Bank!$B:$B,$C1806),INDEX(GL!$B:$B,$C1806)))</f>
        <v/>
      </c>
      <c r="E1806" s="5" t="str">
        <f aca="false">IF(C1806=0,"",IF($A1806="Bank",IF(INDEX(Bank!$C:$C,$C1806)="","",INDEX(Bank!$C:$C,$C1806)),IF(INDEX(GL!$C:$C,$C1806)="","",INDEX(GL!$C:$C,$C1806))))</f>
        <v/>
      </c>
      <c r="F1806" s="5" t="str">
        <f aca="false">IF(C1806=0,"",IF($A1806="Bank",IF(INDEX(Bank!$D:$D,$C1806)="","",INDEX(Bank!$D:$D,$C1806)),IF(INDEX(GL!$D:$D,$C1806)="","",INDEX(GL!$D:$D,$C1806))))</f>
        <v/>
      </c>
      <c r="G1806" s="19" t="str">
        <f aca="false">IF(C1806=0,"",IF($A1806="Bank",INDEX(Bank!$E:$E,$C1806),INDEX(GL!$E:$E,$C1806)))</f>
        <v/>
      </c>
      <c r="H1806" s="5" t="str">
        <f aca="false">IF(C1806=0,"",IF(A1806="GL",IF(G1806&gt;0,"Deposit in transit","Outstanding check / payment"),IF(G1806&gt;0,"Bank credit not in GL","Bank debit not in GL")))</f>
        <v/>
      </c>
      <c r="I1806" s="42" t="str">
        <f aca="false">IF(OR(C1806=0,CFG_PeriodEnd=""),"",CFG_PeriodEnd-D1806)</f>
        <v/>
      </c>
      <c r="J1806" s="5" t="str">
        <f aca="false">IF(C1806=0,"",IF($A1806="Bank",IF(INDEX(Bank!$G:$G,$C1806)="","",INDEX(Bank!$G:$G,$C1806)),IF(INDEX(GL!$G:$G,$C1806)="","",INDEX(GL!$G:$G,$C1806))))</f>
        <v/>
      </c>
      <c r="K1806" s="5" t="str">
        <f aca="false">IF(C1806=0,"",IF($A1806="Bank",IF(INDEX(Bank!$I:$I,$C1806)="","",INDEX(Bank!$I:$I,$C1806)),IF(INDEX(GL!$I:$I,$C1806)="","",INDEX(GL!$I:$I,$C1806))))</f>
        <v/>
      </c>
      <c r="L1806" s="5" t="str">
        <f aca="false">IF(B1806="","",IF(C1806=0,"NOT FOUND",IF(IF($A1806="Bank",INDEX(Bank!$F:$F,$C1806),INDEX(GL!$F:$F,$C1806))="Y","NOW RECONCILED: refresh","OK")))</f>
        <v/>
      </c>
    </row>
    <row r="1807" customFormat="false" ht="15" hidden="false" customHeight="false" outlineLevel="0" collapsed="false">
      <c r="A1807" s="41"/>
      <c r="B1807" s="41"/>
      <c r="C1807" s="5" t="n">
        <f aca="false">IF(B1807="",0,IF(A1807="Bank",IFERROR(MATCH(B1807,Bank!$A:$A,0),0),IFERROR(MATCH(B1807,GL!$A:$A,0),0)))</f>
        <v>0</v>
      </c>
      <c r="D1807" s="32" t="str">
        <f aca="false">IF(C1807=0,"",IF($A1807="Bank",INDEX(Bank!$B:$B,$C1807),INDEX(GL!$B:$B,$C1807)))</f>
        <v/>
      </c>
      <c r="E1807" s="5" t="str">
        <f aca="false">IF(C1807=0,"",IF($A1807="Bank",IF(INDEX(Bank!$C:$C,$C1807)="","",INDEX(Bank!$C:$C,$C1807)),IF(INDEX(GL!$C:$C,$C1807)="","",INDEX(GL!$C:$C,$C1807))))</f>
        <v/>
      </c>
      <c r="F1807" s="5" t="str">
        <f aca="false">IF(C1807=0,"",IF($A1807="Bank",IF(INDEX(Bank!$D:$D,$C1807)="","",INDEX(Bank!$D:$D,$C1807)),IF(INDEX(GL!$D:$D,$C1807)="","",INDEX(GL!$D:$D,$C1807))))</f>
        <v/>
      </c>
      <c r="G1807" s="19" t="str">
        <f aca="false">IF(C1807=0,"",IF($A1807="Bank",INDEX(Bank!$E:$E,$C1807),INDEX(GL!$E:$E,$C1807)))</f>
        <v/>
      </c>
      <c r="H1807" s="5" t="str">
        <f aca="false">IF(C1807=0,"",IF(A1807="GL",IF(G1807&gt;0,"Deposit in transit","Outstanding check / payment"),IF(G1807&gt;0,"Bank credit not in GL","Bank debit not in GL")))</f>
        <v/>
      </c>
      <c r="I1807" s="42" t="str">
        <f aca="false">IF(OR(C1807=0,CFG_PeriodEnd=""),"",CFG_PeriodEnd-D1807)</f>
        <v/>
      </c>
      <c r="J1807" s="5" t="str">
        <f aca="false">IF(C1807=0,"",IF($A1807="Bank",IF(INDEX(Bank!$G:$G,$C1807)="","",INDEX(Bank!$G:$G,$C1807)),IF(INDEX(GL!$G:$G,$C1807)="","",INDEX(GL!$G:$G,$C1807))))</f>
        <v/>
      </c>
      <c r="K1807" s="5" t="str">
        <f aca="false">IF(C1807=0,"",IF($A1807="Bank",IF(INDEX(Bank!$I:$I,$C1807)="","",INDEX(Bank!$I:$I,$C1807)),IF(INDEX(GL!$I:$I,$C1807)="","",INDEX(GL!$I:$I,$C1807))))</f>
        <v/>
      </c>
      <c r="L1807" s="5" t="str">
        <f aca="false">IF(B1807="","",IF(C1807=0,"NOT FOUND",IF(IF($A1807="Bank",INDEX(Bank!$F:$F,$C1807),INDEX(GL!$F:$F,$C1807))="Y","NOW RECONCILED: refresh","OK")))</f>
        <v/>
      </c>
    </row>
    <row r="1808" customFormat="false" ht="15" hidden="false" customHeight="false" outlineLevel="0" collapsed="false">
      <c r="A1808" s="41"/>
      <c r="B1808" s="41"/>
      <c r="C1808" s="5" t="n">
        <f aca="false">IF(B1808="",0,IF(A1808="Bank",IFERROR(MATCH(B1808,Bank!$A:$A,0),0),IFERROR(MATCH(B1808,GL!$A:$A,0),0)))</f>
        <v>0</v>
      </c>
      <c r="D1808" s="32" t="str">
        <f aca="false">IF(C1808=0,"",IF($A1808="Bank",INDEX(Bank!$B:$B,$C1808),INDEX(GL!$B:$B,$C1808)))</f>
        <v/>
      </c>
      <c r="E1808" s="5" t="str">
        <f aca="false">IF(C1808=0,"",IF($A1808="Bank",IF(INDEX(Bank!$C:$C,$C1808)="","",INDEX(Bank!$C:$C,$C1808)),IF(INDEX(GL!$C:$C,$C1808)="","",INDEX(GL!$C:$C,$C1808))))</f>
        <v/>
      </c>
      <c r="F1808" s="5" t="str">
        <f aca="false">IF(C1808=0,"",IF($A1808="Bank",IF(INDEX(Bank!$D:$D,$C1808)="","",INDEX(Bank!$D:$D,$C1808)),IF(INDEX(GL!$D:$D,$C1808)="","",INDEX(GL!$D:$D,$C1808))))</f>
        <v/>
      </c>
      <c r="G1808" s="19" t="str">
        <f aca="false">IF(C1808=0,"",IF($A1808="Bank",INDEX(Bank!$E:$E,$C1808),INDEX(GL!$E:$E,$C1808)))</f>
        <v/>
      </c>
      <c r="H1808" s="5" t="str">
        <f aca="false">IF(C1808=0,"",IF(A1808="GL",IF(G1808&gt;0,"Deposit in transit","Outstanding check / payment"),IF(G1808&gt;0,"Bank credit not in GL","Bank debit not in GL")))</f>
        <v/>
      </c>
      <c r="I1808" s="42" t="str">
        <f aca="false">IF(OR(C1808=0,CFG_PeriodEnd=""),"",CFG_PeriodEnd-D1808)</f>
        <v/>
      </c>
      <c r="J1808" s="5" t="str">
        <f aca="false">IF(C1808=0,"",IF($A1808="Bank",IF(INDEX(Bank!$G:$G,$C1808)="","",INDEX(Bank!$G:$G,$C1808)),IF(INDEX(GL!$G:$G,$C1808)="","",INDEX(GL!$G:$G,$C1808))))</f>
        <v/>
      </c>
      <c r="K1808" s="5" t="str">
        <f aca="false">IF(C1808=0,"",IF($A1808="Bank",IF(INDEX(Bank!$I:$I,$C1808)="","",INDEX(Bank!$I:$I,$C1808)),IF(INDEX(GL!$I:$I,$C1808)="","",INDEX(GL!$I:$I,$C1808))))</f>
        <v/>
      </c>
      <c r="L1808" s="5" t="str">
        <f aca="false">IF(B1808="","",IF(C1808=0,"NOT FOUND",IF(IF($A1808="Bank",INDEX(Bank!$F:$F,$C1808),INDEX(GL!$F:$F,$C1808))="Y","NOW RECONCILED: refresh","OK")))</f>
        <v/>
      </c>
    </row>
    <row r="1809" customFormat="false" ht="15" hidden="false" customHeight="false" outlineLevel="0" collapsed="false">
      <c r="A1809" s="41"/>
      <c r="B1809" s="41"/>
      <c r="C1809" s="5" t="n">
        <f aca="false">IF(B1809="",0,IF(A1809="Bank",IFERROR(MATCH(B1809,Bank!$A:$A,0),0),IFERROR(MATCH(B1809,GL!$A:$A,0),0)))</f>
        <v>0</v>
      </c>
      <c r="D1809" s="32" t="str">
        <f aca="false">IF(C1809=0,"",IF($A1809="Bank",INDEX(Bank!$B:$B,$C1809),INDEX(GL!$B:$B,$C1809)))</f>
        <v/>
      </c>
      <c r="E1809" s="5" t="str">
        <f aca="false">IF(C1809=0,"",IF($A1809="Bank",IF(INDEX(Bank!$C:$C,$C1809)="","",INDEX(Bank!$C:$C,$C1809)),IF(INDEX(GL!$C:$C,$C1809)="","",INDEX(GL!$C:$C,$C1809))))</f>
        <v/>
      </c>
      <c r="F1809" s="5" t="str">
        <f aca="false">IF(C1809=0,"",IF($A1809="Bank",IF(INDEX(Bank!$D:$D,$C1809)="","",INDEX(Bank!$D:$D,$C1809)),IF(INDEX(GL!$D:$D,$C1809)="","",INDEX(GL!$D:$D,$C1809))))</f>
        <v/>
      </c>
      <c r="G1809" s="19" t="str">
        <f aca="false">IF(C1809=0,"",IF($A1809="Bank",INDEX(Bank!$E:$E,$C1809),INDEX(GL!$E:$E,$C1809)))</f>
        <v/>
      </c>
      <c r="H1809" s="5" t="str">
        <f aca="false">IF(C1809=0,"",IF(A1809="GL",IF(G1809&gt;0,"Deposit in transit","Outstanding check / payment"),IF(G1809&gt;0,"Bank credit not in GL","Bank debit not in GL")))</f>
        <v/>
      </c>
      <c r="I1809" s="42" t="str">
        <f aca="false">IF(OR(C1809=0,CFG_PeriodEnd=""),"",CFG_PeriodEnd-D1809)</f>
        <v/>
      </c>
      <c r="J1809" s="5" t="str">
        <f aca="false">IF(C1809=0,"",IF($A1809="Bank",IF(INDEX(Bank!$G:$G,$C1809)="","",INDEX(Bank!$G:$G,$C1809)),IF(INDEX(GL!$G:$G,$C1809)="","",INDEX(GL!$G:$G,$C1809))))</f>
        <v/>
      </c>
      <c r="K1809" s="5" t="str">
        <f aca="false">IF(C1809=0,"",IF($A1809="Bank",IF(INDEX(Bank!$I:$I,$C1809)="","",INDEX(Bank!$I:$I,$C1809)),IF(INDEX(GL!$I:$I,$C1809)="","",INDEX(GL!$I:$I,$C1809))))</f>
        <v/>
      </c>
      <c r="L1809" s="5" t="str">
        <f aca="false">IF(B1809="","",IF(C1809=0,"NOT FOUND",IF(IF($A1809="Bank",INDEX(Bank!$F:$F,$C1809),INDEX(GL!$F:$F,$C1809))="Y","NOW RECONCILED: refresh","OK")))</f>
        <v/>
      </c>
    </row>
    <row r="1810" customFormat="false" ht="15" hidden="false" customHeight="false" outlineLevel="0" collapsed="false">
      <c r="A1810" s="41"/>
      <c r="B1810" s="41"/>
      <c r="C1810" s="5" t="n">
        <f aca="false">IF(B1810="",0,IF(A1810="Bank",IFERROR(MATCH(B1810,Bank!$A:$A,0),0),IFERROR(MATCH(B1810,GL!$A:$A,0),0)))</f>
        <v>0</v>
      </c>
      <c r="D1810" s="32" t="str">
        <f aca="false">IF(C1810=0,"",IF($A1810="Bank",INDEX(Bank!$B:$B,$C1810),INDEX(GL!$B:$B,$C1810)))</f>
        <v/>
      </c>
      <c r="E1810" s="5" t="str">
        <f aca="false">IF(C1810=0,"",IF($A1810="Bank",IF(INDEX(Bank!$C:$C,$C1810)="","",INDEX(Bank!$C:$C,$C1810)),IF(INDEX(GL!$C:$C,$C1810)="","",INDEX(GL!$C:$C,$C1810))))</f>
        <v/>
      </c>
      <c r="F1810" s="5" t="str">
        <f aca="false">IF(C1810=0,"",IF($A1810="Bank",IF(INDEX(Bank!$D:$D,$C1810)="","",INDEX(Bank!$D:$D,$C1810)),IF(INDEX(GL!$D:$D,$C1810)="","",INDEX(GL!$D:$D,$C1810))))</f>
        <v/>
      </c>
      <c r="G1810" s="19" t="str">
        <f aca="false">IF(C1810=0,"",IF($A1810="Bank",INDEX(Bank!$E:$E,$C1810),INDEX(GL!$E:$E,$C1810)))</f>
        <v/>
      </c>
      <c r="H1810" s="5" t="str">
        <f aca="false">IF(C1810=0,"",IF(A1810="GL",IF(G1810&gt;0,"Deposit in transit","Outstanding check / payment"),IF(G1810&gt;0,"Bank credit not in GL","Bank debit not in GL")))</f>
        <v/>
      </c>
      <c r="I1810" s="42" t="str">
        <f aca="false">IF(OR(C1810=0,CFG_PeriodEnd=""),"",CFG_PeriodEnd-D1810)</f>
        <v/>
      </c>
      <c r="J1810" s="5" t="str">
        <f aca="false">IF(C1810=0,"",IF($A1810="Bank",IF(INDEX(Bank!$G:$G,$C1810)="","",INDEX(Bank!$G:$G,$C1810)),IF(INDEX(GL!$G:$G,$C1810)="","",INDEX(GL!$G:$G,$C1810))))</f>
        <v/>
      </c>
      <c r="K1810" s="5" t="str">
        <f aca="false">IF(C1810=0,"",IF($A1810="Bank",IF(INDEX(Bank!$I:$I,$C1810)="","",INDEX(Bank!$I:$I,$C1810)),IF(INDEX(GL!$I:$I,$C1810)="","",INDEX(GL!$I:$I,$C1810))))</f>
        <v/>
      </c>
      <c r="L1810" s="5" t="str">
        <f aca="false">IF(B1810="","",IF(C1810=0,"NOT FOUND",IF(IF($A1810="Bank",INDEX(Bank!$F:$F,$C1810),INDEX(GL!$F:$F,$C1810))="Y","NOW RECONCILED: refresh","OK")))</f>
        <v/>
      </c>
    </row>
    <row r="1811" customFormat="false" ht="15" hidden="false" customHeight="false" outlineLevel="0" collapsed="false">
      <c r="A1811" s="41"/>
      <c r="B1811" s="41"/>
      <c r="C1811" s="5" t="n">
        <f aca="false">IF(B1811="",0,IF(A1811="Bank",IFERROR(MATCH(B1811,Bank!$A:$A,0),0),IFERROR(MATCH(B1811,GL!$A:$A,0),0)))</f>
        <v>0</v>
      </c>
      <c r="D1811" s="32" t="str">
        <f aca="false">IF(C1811=0,"",IF($A1811="Bank",INDEX(Bank!$B:$B,$C1811),INDEX(GL!$B:$B,$C1811)))</f>
        <v/>
      </c>
      <c r="E1811" s="5" t="str">
        <f aca="false">IF(C1811=0,"",IF($A1811="Bank",IF(INDEX(Bank!$C:$C,$C1811)="","",INDEX(Bank!$C:$C,$C1811)),IF(INDEX(GL!$C:$C,$C1811)="","",INDEX(GL!$C:$C,$C1811))))</f>
        <v/>
      </c>
      <c r="F1811" s="5" t="str">
        <f aca="false">IF(C1811=0,"",IF($A1811="Bank",IF(INDEX(Bank!$D:$D,$C1811)="","",INDEX(Bank!$D:$D,$C1811)),IF(INDEX(GL!$D:$D,$C1811)="","",INDEX(GL!$D:$D,$C1811))))</f>
        <v/>
      </c>
      <c r="G1811" s="19" t="str">
        <f aca="false">IF(C1811=0,"",IF($A1811="Bank",INDEX(Bank!$E:$E,$C1811),INDEX(GL!$E:$E,$C1811)))</f>
        <v/>
      </c>
      <c r="H1811" s="5" t="str">
        <f aca="false">IF(C1811=0,"",IF(A1811="GL",IF(G1811&gt;0,"Deposit in transit","Outstanding check / payment"),IF(G1811&gt;0,"Bank credit not in GL","Bank debit not in GL")))</f>
        <v/>
      </c>
      <c r="I1811" s="42" t="str">
        <f aca="false">IF(OR(C1811=0,CFG_PeriodEnd=""),"",CFG_PeriodEnd-D1811)</f>
        <v/>
      </c>
      <c r="J1811" s="5" t="str">
        <f aca="false">IF(C1811=0,"",IF($A1811="Bank",IF(INDEX(Bank!$G:$G,$C1811)="","",INDEX(Bank!$G:$G,$C1811)),IF(INDEX(GL!$G:$G,$C1811)="","",INDEX(GL!$G:$G,$C1811))))</f>
        <v/>
      </c>
      <c r="K1811" s="5" t="str">
        <f aca="false">IF(C1811=0,"",IF($A1811="Bank",IF(INDEX(Bank!$I:$I,$C1811)="","",INDEX(Bank!$I:$I,$C1811)),IF(INDEX(GL!$I:$I,$C1811)="","",INDEX(GL!$I:$I,$C1811))))</f>
        <v/>
      </c>
      <c r="L1811" s="5" t="str">
        <f aca="false">IF(B1811="","",IF(C1811=0,"NOT FOUND",IF(IF($A1811="Bank",INDEX(Bank!$F:$F,$C1811),INDEX(GL!$F:$F,$C1811))="Y","NOW RECONCILED: refresh","OK")))</f>
        <v/>
      </c>
    </row>
    <row r="1812" customFormat="false" ht="15" hidden="false" customHeight="false" outlineLevel="0" collapsed="false">
      <c r="A1812" s="41"/>
      <c r="B1812" s="41"/>
      <c r="C1812" s="5" t="n">
        <f aca="false">IF(B1812="",0,IF(A1812="Bank",IFERROR(MATCH(B1812,Bank!$A:$A,0),0),IFERROR(MATCH(B1812,GL!$A:$A,0),0)))</f>
        <v>0</v>
      </c>
      <c r="D1812" s="32" t="str">
        <f aca="false">IF(C1812=0,"",IF($A1812="Bank",INDEX(Bank!$B:$B,$C1812),INDEX(GL!$B:$B,$C1812)))</f>
        <v/>
      </c>
      <c r="E1812" s="5" t="str">
        <f aca="false">IF(C1812=0,"",IF($A1812="Bank",IF(INDEX(Bank!$C:$C,$C1812)="","",INDEX(Bank!$C:$C,$C1812)),IF(INDEX(GL!$C:$C,$C1812)="","",INDEX(GL!$C:$C,$C1812))))</f>
        <v/>
      </c>
      <c r="F1812" s="5" t="str">
        <f aca="false">IF(C1812=0,"",IF($A1812="Bank",IF(INDEX(Bank!$D:$D,$C1812)="","",INDEX(Bank!$D:$D,$C1812)),IF(INDEX(GL!$D:$D,$C1812)="","",INDEX(GL!$D:$D,$C1812))))</f>
        <v/>
      </c>
      <c r="G1812" s="19" t="str">
        <f aca="false">IF(C1812=0,"",IF($A1812="Bank",INDEX(Bank!$E:$E,$C1812),INDEX(GL!$E:$E,$C1812)))</f>
        <v/>
      </c>
      <c r="H1812" s="5" t="str">
        <f aca="false">IF(C1812=0,"",IF(A1812="GL",IF(G1812&gt;0,"Deposit in transit","Outstanding check / payment"),IF(G1812&gt;0,"Bank credit not in GL","Bank debit not in GL")))</f>
        <v/>
      </c>
      <c r="I1812" s="42" t="str">
        <f aca="false">IF(OR(C1812=0,CFG_PeriodEnd=""),"",CFG_PeriodEnd-D1812)</f>
        <v/>
      </c>
      <c r="J1812" s="5" t="str">
        <f aca="false">IF(C1812=0,"",IF($A1812="Bank",IF(INDEX(Bank!$G:$G,$C1812)="","",INDEX(Bank!$G:$G,$C1812)),IF(INDEX(GL!$G:$G,$C1812)="","",INDEX(GL!$G:$G,$C1812))))</f>
        <v/>
      </c>
      <c r="K1812" s="5" t="str">
        <f aca="false">IF(C1812=0,"",IF($A1812="Bank",IF(INDEX(Bank!$I:$I,$C1812)="","",INDEX(Bank!$I:$I,$C1812)),IF(INDEX(GL!$I:$I,$C1812)="","",INDEX(GL!$I:$I,$C1812))))</f>
        <v/>
      </c>
      <c r="L1812" s="5" t="str">
        <f aca="false">IF(B1812="","",IF(C1812=0,"NOT FOUND",IF(IF($A1812="Bank",INDEX(Bank!$F:$F,$C1812),INDEX(GL!$F:$F,$C1812))="Y","NOW RECONCILED: refresh","OK")))</f>
        <v/>
      </c>
    </row>
    <row r="1813" customFormat="false" ht="15" hidden="false" customHeight="false" outlineLevel="0" collapsed="false">
      <c r="A1813" s="41"/>
      <c r="B1813" s="41"/>
      <c r="C1813" s="5" t="n">
        <f aca="false">IF(B1813="",0,IF(A1813="Bank",IFERROR(MATCH(B1813,Bank!$A:$A,0),0),IFERROR(MATCH(B1813,GL!$A:$A,0),0)))</f>
        <v>0</v>
      </c>
      <c r="D1813" s="32" t="str">
        <f aca="false">IF(C1813=0,"",IF($A1813="Bank",INDEX(Bank!$B:$B,$C1813),INDEX(GL!$B:$B,$C1813)))</f>
        <v/>
      </c>
      <c r="E1813" s="5" t="str">
        <f aca="false">IF(C1813=0,"",IF($A1813="Bank",IF(INDEX(Bank!$C:$C,$C1813)="","",INDEX(Bank!$C:$C,$C1813)),IF(INDEX(GL!$C:$C,$C1813)="","",INDEX(GL!$C:$C,$C1813))))</f>
        <v/>
      </c>
      <c r="F1813" s="5" t="str">
        <f aca="false">IF(C1813=0,"",IF($A1813="Bank",IF(INDEX(Bank!$D:$D,$C1813)="","",INDEX(Bank!$D:$D,$C1813)),IF(INDEX(GL!$D:$D,$C1813)="","",INDEX(GL!$D:$D,$C1813))))</f>
        <v/>
      </c>
      <c r="G1813" s="19" t="str">
        <f aca="false">IF(C1813=0,"",IF($A1813="Bank",INDEX(Bank!$E:$E,$C1813),INDEX(GL!$E:$E,$C1813)))</f>
        <v/>
      </c>
      <c r="H1813" s="5" t="str">
        <f aca="false">IF(C1813=0,"",IF(A1813="GL",IF(G1813&gt;0,"Deposit in transit","Outstanding check / payment"),IF(G1813&gt;0,"Bank credit not in GL","Bank debit not in GL")))</f>
        <v/>
      </c>
      <c r="I1813" s="42" t="str">
        <f aca="false">IF(OR(C1813=0,CFG_PeriodEnd=""),"",CFG_PeriodEnd-D1813)</f>
        <v/>
      </c>
      <c r="J1813" s="5" t="str">
        <f aca="false">IF(C1813=0,"",IF($A1813="Bank",IF(INDEX(Bank!$G:$G,$C1813)="","",INDEX(Bank!$G:$G,$C1813)),IF(INDEX(GL!$G:$G,$C1813)="","",INDEX(GL!$G:$G,$C1813))))</f>
        <v/>
      </c>
      <c r="K1813" s="5" t="str">
        <f aca="false">IF(C1813=0,"",IF($A1813="Bank",IF(INDEX(Bank!$I:$I,$C1813)="","",INDEX(Bank!$I:$I,$C1813)),IF(INDEX(GL!$I:$I,$C1813)="","",INDEX(GL!$I:$I,$C1813))))</f>
        <v/>
      </c>
      <c r="L1813" s="5" t="str">
        <f aca="false">IF(B1813="","",IF(C1813=0,"NOT FOUND",IF(IF($A1813="Bank",INDEX(Bank!$F:$F,$C1813),INDEX(GL!$F:$F,$C1813))="Y","NOW RECONCILED: refresh","OK")))</f>
        <v/>
      </c>
    </row>
    <row r="1814" customFormat="false" ht="15" hidden="false" customHeight="false" outlineLevel="0" collapsed="false">
      <c r="A1814" s="41"/>
      <c r="B1814" s="41"/>
      <c r="C1814" s="5" t="n">
        <f aca="false">IF(B1814="",0,IF(A1814="Bank",IFERROR(MATCH(B1814,Bank!$A:$A,0),0),IFERROR(MATCH(B1814,GL!$A:$A,0),0)))</f>
        <v>0</v>
      </c>
      <c r="D1814" s="32" t="str">
        <f aca="false">IF(C1814=0,"",IF($A1814="Bank",INDEX(Bank!$B:$B,$C1814),INDEX(GL!$B:$B,$C1814)))</f>
        <v/>
      </c>
      <c r="E1814" s="5" t="str">
        <f aca="false">IF(C1814=0,"",IF($A1814="Bank",IF(INDEX(Bank!$C:$C,$C1814)="","",INDEX(Bank!$C:$C,$C1814)),IF(INDEX(GL!$C:$C,$C1814)="","",INDEX(GL!$C:$C,$C1814))))</f>
        <v/>
      </c>
      <c r="F1814" s="5" t="str">
        <f aca="false">IF(C1814=0,"",IF($A1814="Bank",IF(INDEX(Bank!$D:$D,$C1814)="","",INDEX(Bank!$D:$D,$C1814)),IF(INDEX(GL!$D:$D,$C1814)="","",INDEX(GL!$D:$D,$C1814))))</f>
        <v/>
      </c>
      <c r="G1814" s="19" t="str">
        <f aca="false">IF(C1814=0,"",IF($A1814="Bank",INDEX(Bank!$E:$E,$C1814),INDEX(GL!$E:$E,$C1814)))</f>
        <v/>
      </c>
      <c r="H1814" s="5" t="str">
        <f aca="false">IF(C1814=0,"",IF(A1814="GL",IF(G1814&gt;0,"Deposit in transit","Outstanding check / payment"),IF(G1814&gt;0,"Bank credit not in GL","Bank debit not in GL")))</f>
        <v/>
      </c>
      <c r="I1814" s="42" t="str">
        <f aca="false">IF(OR(C1814=0,CFG_PeriodEnd=""),"",CFG_PeriodEnd-D1814)</f>
        <v/>
      </c>
      <c r="J1814" s="5" t="str">
        <f aca="false">IF(C1814=0,"",IF($A1814="Bank",IF(INDEX(Bank!$G:$G,$C1814)="","",INDEX(Bank!$G:$G,$C1814)),IF(INDEX(GL!$G:$G,$C1814)="","",INDEX(GL!$G:$G,$C1814))))</f>
        <v/>
      </c>
      <c r="K1814" s="5" t="str">
        <f aca="false">IF(C1814=0,"",IF($A1814="Bank",IF(INDEX(Bank!$I:$I,$C1814)="","",INDEX(Bank!$I:$I,$C1814)),IF(INDEX(GL!$I:$I,$C1814)="","",INDEX(GL!$I:$I,$C1814))))</f>
        <v/>
      </c>
      <c r="L1814" s="5" t="str">
        <f aca="false">IF(B1814="","",IF(C1814=0,"NOT FOUND",IF(IF($A1814="Bank",INDEX(Bank!$F:$F,$C1814),INDEX(GL!$F:$F,$C1814))="Y","NOW RECONCILED: refresh","OK")))</f>
        <v/>
      </c>
    </row>
    <row r="1815" customFormat="false" ht="15" hidden="false" customHeight="false" outlineLevel="0" collapsed="false">
      <c r="A1815" s="41"/>
      <c r="B1815" s="41"/>
      <c r="C1815" s="5" t="n">
        <f aca="false">IF(B1815="",0,IF(A1815="Bank",IFERROR(MATCH(B1815,Bank!$A:$A,0),0),IFERROR(MATCH(B1815,GL!$A:$A,0),0)))</f>
        <v>0</v>
      </c>
      <c r="D1815" s="32" t="str">
        <f aca="false">IF(C1815=0,"",IF($A1815="Bank",INDEX(Bank!$B:$B,$C1815),INDEX(GL!$B:$B,$C1815)))</f>
        <v/>
      </c>
      <c r="E1815" s="5" t="str">
        <f aca="false">IF(C1815=0,"",IF($A1815="Bank",IF(INDEX(Bank!$C:$C,$C1815)="","",INDEX(Bank!$C:$C,$C1815)),IF(INDEX(GL!$C:$C,$C1815)="","",INDEX(GL!$C:$C,$C1815))))</f>
        <v/>
      </c>
      <c r="F1815" s="5" t="str">
        <f aca="false">IF(C1815=0,"",IF($A1815="Bank",IF(INDEX(Bank!$D:$D,$C1815)="","",INDEX(Bank!$D:$D,$C1815)),IF(INDEX(GL!$D:$D,$C1815)="","",INDEX(GL!$D:$D,$C1815))))</f>
        <v/>
      </c>
      <c r="G1815" s="19" t="str">
        <f aca="false">IF(C1815=0,"",IF($A1815="Bank",INDEX(Bank!$E:$E,$C1815),INDEX(GL!$E:$E,$C1815)))</f>
        <v/>
      </c>
      <c r="H1815" s="5" t="str">
        <f aca="false">IF(C1815=0,"",IF(A1815="GL",IF(G1815&gt;0,"Deposit in transit","Outstanding check / payment"),IF(G1815&gt;0,"Bank credit not in GL","Bank debit not in GL")))</f>
        <v/>
      </c>
      <c r="I1815" s="42" t="str">
        <f aca="false">IF(OR(C1815=0,CFG_PeriodEnd=""),"",CFG_PeriodEnd-D1815)</f>
        <v/>
      </c>
      <c r="J1815" s="5" t="str">
        <f aca="false">IF(C1815=0,"",IF($A1815="Bank",IF(INDEX(Bank!$G:$G,$C1815)="","",INDEX(Bank!$G:$G,$C1815)),IF(INDEX(GL!$G:$G,$C1815)="","",INDEX(GL!$G:$G,$C1815))))</f>
        <v/>
      </c>
      <c r="K1815" s="5" t="str">
        <f aca="false">IF(C1815=0,"",IF($A1815="Bank",IF(INDEX(Bank!$I:$I,$C1815)="","",INDEX(Bank!$I:$I,$C1815)),IF(INDEX(GL!$I:$I,$C1815)="","",INDEX(GL!$I:$I,$C1815))))</f>
        <v/>
      </c>
      <c r="L1815" s="5" t="str">
        <f aca="false">IF(B1815="","",IF(C1815=0,"NOT FOUND",IF(IF($A1815="Bank",INDEX(Bank!$F:$F,$C1815),INDEX(GL!$F:$F,$C1815))="Y","NOW RECONCILED: refresh","OK")))</f>
        <v/>
      </c>
    </row>
    <row r="1816" customFormat="false" ht="15" hidden="false" customHeight="false" outlineLevel="0" collapsed="false">
      <c r="A1816" s="41"/>
      <c r="B1816" s="41"/>
      <c r="C1816" s="5" t="n">
        <f aca="false">IF(B1816="",0,IF(A1816="Bank",IFERROR(MATCH(B1816,Bank!$A:$A,0),0),IFERROR(MATCH(B1816,GL!$A:$A,0),0)))</f>
        <v>0</v>
      </c>
      <c r="D1816" s="32" t="str">
        <f aca="false">IF(C1816=0,"",IF($A1816="Bank",INDEX(Bank!$B:$B,$C1816),INDEX(GL!$B:$B,$C1816)))</f>
        <v/>
      </c>
      <c r="E1816" s="5" t="str">
        <f aca="false">IF(C1816=0,"",IF($A1816="Bank",IF(INDEX(Bank!$C:$C,$C1816)="","",INDEX(Bank!$C:$C,$C1816)),IF(INDEX(GL!$C:$C,$C1816)="","",INDEX(GL!$C:$C,$C1816))))</f>
        <v/>
      </c>
      <c r="F1816" s="5" t="str">
        <f aca="false">IF(C1816=0,"",IF($A1816="Bank",IF(INDEX(Bank!$D:$D,$C1816)="","",INDEX(Bank!$D:$D,$C1816)),IF(INDEX(GL!$D:$D,$C1816)="","",INDEX(GL!$D:$D,$C1816))))</f>
        <v/>
      </c>
      <c r="G1816" s="19" t="str">
        <f aca="false">IF(C1816=0,"",IF($A1816="Bank",INDEX(Bank!$E:$E,$C1816),INDEX(GL!$E:$E,$C1816)))</f>
        <v/>
      </c>
      <c r="H1816" s="5" t="str">
        <f aca="false">IF(C1816=0,"",IF(A1816="GL",IF(G1816&gt;0,"Deposit in transit","Outstanding check / payment"),IF(G1816&gt;0,"Bank credit not in GL","Bank debit not in GL")))</f>
        <v/>
      </c>
      <c r="I1816" s="42" t="str">
        <f aca="false">IF(OR(C1816=0,CFG_PeriodEnd=""),"",CFG_PeriodEnd-D1816)</f>
        <v/>
      </c>
      <c r="J1816" s="5" t="str">
        <f aca="false">IF(C1816=0,"",IF($A1816="Bank",IF(INDEX(Bank!$G:$G,$C1816)="","",INDEX(Bank!$G:$G,$C1816)),IF(INDEX(GL!$G:$G,$C1816)="","",INDEX(GL!$G:$G,$C1816))))</f>
        <v/>
      </c>
      <c r="K1816" s="5" t="str">
        <f aca="false">IF(C1816=0,"",IF($A1816="Bank",IF(INDEX(Bank!$I:$I,$C1816)="","",INDEX(Bank!$I:$I,$C1816)),IF(INDEX(GL!$I:$I,$C1816)="","",INDEX(GL!$I:$I,$C1816))))</f>
        <v/>
      </c>
      <c r="L1816" s="5" t="str">
        <f aca="false">IF(B1816="","",IF(C1816=0,"NOT FOUND",IF(IF($A1816="Bank",INDEX(Bank!$F:$F,$C1816),INDEX(GL!$F:$F,$C1816))="Y","NOW RECONCILED: refresh","OK")))</f>
        <v/>
      </c>
    </row>
    <row r="1817" customFormat="false" ht="15" hidden="false" customHeight="false" outlineLevel="0" collapsed="false">
      <c r="A1817" s="41"/>
      <c r="B1817" s="41"/>
      <c r="C1817" s="5" t="n">
        <f aca="false">IF(B1817="",0,IF(A1817="Bank",IFERROR(MATCH(B1817,Bank!$A:$A,0),0),IFERROR(MATCH(B1817,GL!$A:$A,0),0)))</f>
        <v>0</v>
      </c>
      <c r="D1817" s="32" t="str">
        <f aca="false">IF(C1817=0,"",IF($A1817="Bank",INDEX(Bank!$B:$B,$C1817),INDEX(GL!$B:$B,$C1817)))</f>
        <v/>
      </c>
      <c r="E1817" s="5" t="str">
        <f aca="false">IF(C1817=0,"",IF($A1817="Bank",IF(INDEX(Bank!$C:$C,$C1817)="","",INDEX(Bank!$C:$C,$C1817)),IF(INDEX(GL!$C:$C,$C1817)="","",INDEX(GL!$C:$C,$C1817))))</f>
        <v/>
      </c>
      <c r="F1817" s="5" t="str">
        <f aca="false">IF(C1817=0,"",IF($A1817="Bank",IF(INDEX(Bank!$D:$D,$C1817)="","",INDEX(Bank!$D:$D,$C1817)),IF(INDEX(GL!$D:$D,$C1817)="","",INDEX(GL!$D:$D,$C1817))))</f>
        <v/>
      </c>
      <c r="G1817" s="19" t="str">
        <f aca="false">IF(C1817=0,"",IF($A1817="Bank",INDEX(Bank!$E:$E,$C1817),INDEX(GL!$E:$E,$C1817)))</f>
        <v/>
      </c>
      <c r="H1817" s="5" t="str">
        <f aca="false">IF(C1817=0,"",IF(A1817="GL",IF(G1817&gt;0,"Deposit in transit","Outstanding check / payment"),IF(G1817&gt;0,"Bank credit not in GL","Bank debit not in GL")))</f>
        <v/>
      </c>
      <c r="I1817" s="42" t="str">
        <f aca="false">IF(OR(C1817=0,CFG_PeriodEnd=""),"",CFG_PeriodEnd-D1817)</f>
        <v/>
      </c>
      <c r="J1817" s="5" t="str">
        <f aca="false">IF(C1817=0,"",IF($A1817="Bank",IF(INDEX(Bank!$G:$G,$C1817)="","",INDEX(Bank!$G:$G,$C1817)),IF(INDEX(GL!$G:$G,$C1817)="","",INDEX(GL!$G:$G,$C1817))))</f>
        <v/>
      </c>
      <c r="K1817" s="5" t="str">
        <f aca="false">IF(C1817=0,"",IF($A1817="Bank",IF(INDEX(Bank!$I:$I,$C1817)="","",INDEX(Bank!$I:$I,$C1817)),IF(INDEX(GL!$I:$I,$C1817)="","",INDEX(GL!$I:$I,$C1817))))</f>
        <v/>
      </c>
      <c r="L1817" s="5" t="str">
        <f aca="false">IF(B1817="","",IF(C1817=0,"NOT FOUND",IF(IF($A1817="Bank",INDEX(Bank!$F:$F,$C1817),INDEX(GL!$F:$F,$C1817))="Y","NOW RECONCILED: refresh","OK")))</f>
        <v/>
      </c>
    </row>
    <row r="1818" customFormat="false" ht="15" hidden="false" customHeight="false" outlineLevel="0" collapsed="false">
      <c r="A1818" s="41"/>
      <c r="B1818" s="41"/>
      <c r="C1818" s="5" t="n">
        <f aca="false">IF(B1818="",0,IF(A1818="Bank",IFERROR(MATCH(B1818,Bank!$A:$A,0),0),IFERROR(MATCH(B1818,GL!$A:$A,0),0)))</f>
        <v>0</v>
      </c>
      <c r="D1818" s="32" t="str">
        <f aca="false">IF(C1818=0,"",IF($A1818="Bank",INDEX(Bank!$B:$B,$C1818),INDEX(GL!$B:$B,$C1818)))</f>
        <v/>
      </c>
      <c r="E1818" s="5" t="str">
        <f aca="false">IF(C1818=0,"",IF($A1818="Bank",IF(INDEX(Bank!$C:$C,$C1818)="","",INDEX(Bank!$C:$C,$C1818)),IF(INDEX(GL!$C:$C,$C1818)="","",INDEX(GL!$C:$C,$C1818))))</f>
        <v/>
      </c>
      <c r="F1818" s="5" t="str">
        <f aca="false">IF(C1818=0,"",IF($A1818="Bank",IF(INDEX(Bank!$D:$D,$C1818)="","",INDEX(Bank!$D:$D,$C1818)),IF(INDEX(GL!$D:$D,$C1818)="","",INDEX(GL!$D:$D,$C1818))))</f>
        <v/>
      </c>
      <c r="G1818" s="19" t="str">
        <f aca="false">IF(C1818=0,"",IF($A1818="Bank",INDEX(Bank!$E:$E,$C1818),INDEX(GL!$E:$E,$C1818)))</f>
        <v/>
      </c>
      <c r="H1818" s="5" t="str">
        <f aca="false">IF(C1818=0,"",IF(A1818="GL",IF(G1818&gt;0,"Deposit in transit","Outstanding check / payment"),IF(G1818&gt;0,"Bank credit not in GL","Bank debit not in GL")))</f>
        <v/>
      </c>
      <c r="I1818" s="42" t="str">
        <f aca="false">IF(OR(C1818=0,CFG_PeriodEnd=""),"",CFG_PeriodEnd-D1818)</f>
        <v/>
      </c>
      <c r="J1818" s="5" t="str">
        <f aca="false">IF(C1818=0,"",IF($A1818="Bank",IF(INDEX(Bank!$G:$G,$C1818)="","",INDEX(Bank!$G:$G,$C1818)),IF(INDEX(GL!$G:$G,$C1818)="","",INDEX(GL!$G:$G,$C1818))))</f>
        <v/>
      </c>
      <c r="K1818" s="5" t="str">
        <f aca="false">IF(C1818=0,"",IF($A1818="Bank",IF(INDEX(Bank!$I:$I,$C1818)="","",INDEX(Bank!$I:$I,$C1818)),IF(INDEX(GL!$I:$I,$C1818)="","",INDEX(GL!$I:$I,$C1818))))</f>
        <v/>
      </c>
      <c r="L1818" s="5" t="str">
        <f aca="false">IF(B1818="","",IF(C1818=0,"NOT FOUND",IF(IF($A1818="Bank",INDEX(Bank!$F:$F,$C1818),INDEX(GL!$F:$F,$C1818))="Y","NOW RECONCILED: refresh","OK")))</f>
        <v/>
      </c>
    </row>
    <row r="1819" customFormat="false" ht="15" hidden="false" customHeight="false" outlineLevel="0" collapsed="false">
      <c r="A1819" s="41"/>
      <c r="B1819" s="41"/>
      <c r="C1819" s="5" t="n">
        <f aca="false">IF(B1819="",0,IF(A1819="Bank",IFERROR(MATCH(B1819,Bank!$A:$A,0),0),IFERROR(MATCH(B1819,GL!$A:$A,0),0)))</f>
        <v>0</v>
      </c>
      <c r="D1819" s="32" t="str">
        <f aca="false">IF(C1819=0,"",IF($A1819="Bank",INDEX(Bank!$B:$B,$C1819),INDEX(GL!$B:$B,$C1819)))</f>
        <v/>
      </c>
      <c r="E1819" s="5" t="str">
        <f aca="false">IF(C1819=0,"",IF($A1819="Bank",IF(INDEX(Bank!$C:$C,$C1819)="","",INDEX(Bank!$C:$C,$C1819)),IF(INDEX(GL!$C:$C,$C1819)="","",INDEX(GL!$C:$C,$C1819))))</f>
        <v/>
      </c>
      <c r="F1819" s="5" t="str">
        <f aca="false">IF(C1819=0,"",IF($A1819="Bank",IF(INDEX(Bank!$D:$D,$C1819)="","",INDEX(Bank!$D:$D,$C1819)),IF(INDEX(GL!$D:$D,$C1819)="","",INDEX(GL!$D:$D,$C1819))))</f>
        <v/>
      </c>
      <c r="G1819" s="19" t="str">
        <f aca="false">IF(C1819=0,"",IF($A1819="Bank",INDEX(Bank!$E:$E,$C1819),INDEX(GL!$E:$E,$C1819)))</f>
        <v/>
      </c>
      <c r="H1819" s="5" t="str">
        <f aca="false">IF(C1819=0,"",IF(A1819="GL",IF(G1819&gt;0,"Deposit in transit","Outstanding check / payment"),IF(G1819&gt;0,"Bank credit not in GL","Bank debit not in GL")))</f>
        <v/>
      </c>
      <c r="I1819" s="42" t="str">
        <f aca="false">IF(OR(C1819=0,CFG_PeriodEnd=""),"",CFG_PeriodEnd-D1819)</f>
        <v/>
      </c>
      <c r="J1819" s="5" t="str">
        <f aca="false">IF(C1819=0,"",IF($A1819="Bank",IF(INDEX(Bank!$G:$G,$C1819)="","",INDEX(Bank!$G:$G,$C1819)),IF(INDEX(GL!$G:$G,$C1819)="","",INDEX(GL!$G:$G,$C1819))))</f>
        <v/>
      </c>
      <c r="K1819" s="5" t="str">
        <f aca="false">IF(C1819=0,"",IF($A1819="Bank",IF(INDEX(Bank!$I:$I,$C1819)="","",INDEX(Bank!$I:$I,$C1819)),IF(INDEX(GL!$I:$I,$C1819)="","",INDEX(GL!$I:$I,$C1819))))</f>
        <v/>
      </c>
      <c r="L1819" s="5" t="str">
        <f aca="false">IF(B1819="","",IF(C1819=0,"NOT FOUND",IF(IF($A1819="Bank",INDEX(Bank!$F:$F,$C1819),INDEX(GL!$F:$F,$C1819))="Y","NOW RECONCILED: refresh","OK")))</f>
        <v/>
      </c>
    </row>
    <row r="1820" customFormat="false" ht="15" hidden="false" customHeight="false" outlineLevel="0" collapsed="false">
      <c r="A1820" s="41"/>
      <c r="B1820" s="41"/>
      <c r="C1820" s="5" t="n">
        <f aca="false">IF(B1820="",0,IF(A1820="Bank",IFERROR(MATCH(B1820,Bank!$A:$A,0),0),IFERROR(MATCH(B1820,GL!$A:$A,0),0)))</f>
        <v>0</v>
      </c>
      <c r="D1820" s="32" t="str">
        <f aca="false">IF(C1820=0,"",IF($A1820="Bank",INDEX(Bank!$B:$B,$C1820),INDEX(GL!$B:$B,$C1820)))</f>
        <v/>
      </c>
      <c r="E1820" s="5" t="str">
        <f aca="false">IF(C1820=0,"",IF($A1820="Bank",IF(INDEX(Bank!$C:$C,$C1820)="","",INDEX(Bank!$C:$C,$C1820)),IF(INDEX(GL!$C:$C,$C1820)="","",INDEX(GL!$C:$C,$C1820))))</f>
        <v/>
      </c>
      <c r="F1820" s="5" t="str">
        <f aca="false">IF(C1820=0,"",IF($A1820="Bank",IF(INDEX(Bank!$D:$D,$C1820)="","",INDEX(Bank!$D:$D,$C1820)),IF(INDEX(GL!$D:$D,$C1820)="","",INDEX(GL!$D:$D,$C1820))))</f>
        <v/>
      </c>
      <c r="G1820" s="19" t="str">
        <f aca="false">IF(C1820=0,"",IF($A1820="Bank",INDEX(Bank!$E:$E,$C1820),INDEX(GL!$E:$E,$C1820)))</f>
        <v/>
      </c>
      <c r="H1820" s="5" t="str">
        <f aca="false">IF(C1820=0,"",IF(A1820="GL",IF(G1820&gt;0,"Deposit in transit","Outstanding check / payment"),IF(G1820&gt;0,"Bank credit not in GL","Bank debit not in GL")))</f>
        <v/>
      </c>
      <c r="I1820" s="42" t="str">
        <f aca="false">IF(OR(C1820=0,CFG_PeriodEnd=""),"",CFG_PeriodEnd-D1820)</f>
        <v/>
      </c>
      <c r="J1820" s="5" t="str">
        <f aca="false">IF(C1820=0,"",IF($A1820="Bank",IF(INDEX(Bank!$G:$G,$C1820)="","",INDEX(Bank!$G:$G,$C1820)),IF(INDEX(GL!$G:$G,$C1820)="","",INDEX(GL!$G:$G,$C1820))))</f>
        <v/>
      </c>
      <c r="K1820" s="5" t="str">
        <f aca="false">IF(C1820=0,"",IF($A1820="Bank",IF(INDEX(Bank!$I:$I,$C1820)="","",INDEX(Bank!$I:$I,$C1820)),IF(INDEX(GL!$I:$I,$C1820)="","",INDEX(GL!$I:$I,$C1820))))</f>
        <v/>
      </c>
      <c r="L1820" s="5" t="str">
        <f aca="false">IF(B1820="","",IF(C1820=0,"NOT FOUND",IF(IF($A1820="Bank",INDEX(Bank!$F:$F,$C1820),INDEX(GL!$F:$F,$C1820))="Y","NOW RECONCILED: refresh","OK")))</f>
        <v/>
      </c>
    </row>
    <row r="1821" customFormat="false" ht="15" hidden="false" customHeight="false" outlineLevel="0" collapsed="false">
      <c r="A1821" s="41"/>
      <c r="B1821" s="41"/>
      <c r="C1821" s="5" t="n">
        <f aca="false">IF(B1821="",0,IF(A1821="Bank",IFERROR(MATCH(B1821,Bank!$A:$A,0),0),IFERROR(MATCH(B1821,GL!$A:$A,0),0)))</f>
        <v>0</v>
      </c>
      <c r="D1821" s="32" t="str">
        <f aca="false">IF(C1821=0,"",IF($A1821="Bank",INDEX(Bank!$B:$B,$C1821),INDEX(GL!$B:$B,$C1821)))</f>
        <v/>
      </c>
      <c r="E1821" s="5" t="str">
        <f aca="false">IF(C1821=0,"",IF($A1821="Bank",IF(INDEX(Bank!$C:$C,$C1821)="","",INDEX(Bank!$C:$C,$C1821)),IF(INDEX(GL!$C:$C,$C1821)="","",INDEX(GL!$C:$C,$C1821))))</f>
        <v/>
      </c>
      <c r="F1821" s="5" t="str">
        <f aca="false">IF(C1821=0,"",IF($A1821="Bank",IF(INDEX(Bank!$D:$D,$C1821)="","",INDEX(Bank!$D:$D,$C1821)),IF(INDEX(GL!$D:$D,$C1821)="","",INDEX(GL!$D:$D,$C1821))))</f>
        <v/>
      </c>
      <c r="G1821" s="19" t="str">
        <f aca="false">IF(C1821=0,"",IF($A1821="Bank",INDEX(Bank!$E:$E,$C1821),INDEX(GL!$E:$E,$C1821)))</f>
        <v/>
      </c>
      <c r="H1821" s="5" t="str">
        <f aca="false">IF(C1821=0,"",IF(A1821="GL",IF(G1821&gt;0,"Deposit in transit","Outstanding check / payment"),IF(G1821&gt;0,"Bank credit not in GL","Bank debit not in GL")))</f>
        <v/>
      </c>
      <c r="I1821" s="42" t="str">
        <f aca="false">IF(OR(C1821=0,CFG_PeriodEnd=""),"",CFG_PeriodEnd-D1821)</f>
        <v/>
      </c>
      <c r="J1821" s="5" t="str">
        <f aca="false">IF(C1821=0,"",IF($A1821="Bank",IF(INDEX(Bank!$G:$G,$C1821)="","",INDEX(Bank!$G:$G,$C1821)),IF(INDEX(GL!$G:$G,$C1821)="","",INDEX(GL!$G:$G,$C1821))))</f>
        <v/>
      </c>
      <c r="K1821" s="5" t="str">
        <f aca="false">IF(C1821=0,"",IF($A1821="Bank",IF(INDEX(Bank!$I:$I,$C1821)="","",INDEX(Bank!$I:$I,$C1821)),IF(INDEX(GL!$I:$I,$C1821)="","",INDEX(GL!$I:$I,$C1821))))</f>
        <v/>
      </c>
      <c r="L1821" s="5" t="str">
        <f aca="false">IF(B1821="","",IF(C1821=0,"NOT FOUND",IF(IF($A1821="Bank",INDEX(Bank!$F:$F,$C1821),INDEX(GL!$F:$F,$C1821))="Y","NOW RECONCILED: refresh","OK")))</f>
        <v/>
      </c>
    </row>
    <row r="1822" customFormat="false" ht="15" hidden="false" customHeight="false" outlineLevel="0" collapsed="false">
      <c r="A1822" s="41"/>
      <c r="B1822" s="41"/>
      <c r="C1822" s="5" t="n">
        <f aca="false">IF(B1822="",0,IF(A1822="Bank",IFERROR(MATCH(B1822,Bank!$A:$A,0),0),IFERROR(MATCH(B1822,GL!$A:$A,0),0)))</f>
        <v>0</v>
      </c>
      <c r="D1822" s="32" t="str">
        <f aca="false">IF(C1822=0,"",IF($A1822="Bank",INDEX(Bank!$B:$B,$C1822),INDEX(GL!$B:$B,$C1822)))</f>
        <v/>
      </c>
      <c r="E1822" s="5" t="str">
        <f aca="false">IF(C1822=0,"",IF($A1822="Bank",IF(INDEX(Bank!$C:$C,$C1822)="","",INDEX(Bank!$C:$C,$C1822)),IF(INDEX(GL!$C:$C,$C1822)="","",INDEX(GL!$C:$C,$C1822))))</f>
        <v/>
      </c>
      <c r="F1822" s="5" t="str">
        <f aca="false">IF(C1822=0,"",IF($A1822="Bank",IF(INDEX(Bank!$D:$D,$C1822)="","",INDEX(Bank!$D:$D,$C1822)),IF(INDEX(GL!$D:$D,$C1822)="","",INDEX(GL!$D:$D,$C1822))))</f>
        <v/>
      </c>
      <c r="G1822" s="19" t="str">
        <f aca="false">IF(C1822=0,"",IF($A1822="Bank",INDEX(Bank!$E:$E,$C1822),INDEX(GL!$E:$E,$C1822)))</f>
        <v/>
      </c>
      <c r="H1822" s="5" t="str">
        <f aca="false">IF(C1822=0,"",IF(A1822="GL",IF(G1822&gt;0,"Deposit in transit","Outstanding check / payment"),IF(G1822&gt;0,"Bank credit not in GL","Bank debit not in GL")))</f>
        <v/>
      </c>
      <c r="I1822" s="42" t="str">
        <f aca="false">IF(OR(C1822=0,CFG_PeriodEnd=""),"",CFG_PeriodEnd-D1822)</f>
        <v/>
      </c>
      <c r="J1822" s="5" t="str">
        <f aca="false">IF(C1822=0,"",IF($A1822="Bank",IF(INDEX(Bank!$G:$G,$C1822)="","",INDEX(Bank!$G:$G,$C1822)),IF(INDEX(GL!$G:$G,$C1822)="","",INDEX(GL!$G:$G,$C1822))))</f>
        <v/>
      </c>
      <c r="K1822" s="5" t="str">
        <f aca="false">IF(C1822=0,"",IF($A1822="Bank",IF(INDEX(Bank!$I:$I,$C1822)="","",INDEX(Bank!$I:$I,$C1822)),IF(INDEX(GL!$I:$I,$C1822)="","",INDEX(GL!$I:$I,$C1822))))</f>
        <v/>
      </c>
      <c r="L1822" s="5" t="str">
        <f aca="false">IF(B1822="","",IF(C1822=0,"NOT FOUND",IF(IF($A1822="Bank",INDEX(Bank!$F:$F,$C1822),INDEX(GL!$F:$F,$C1822))="Y","NOW RECONCILED: refresh","OK")))</f>
        <v/>
      </c>
    </row>
    <row r="1823" customFormat="false" ht="15" hidden="false" customHeight="false" outlineLevel="0" collapsed="false">
      <c r="A1823" s="41"/>
      <c r="B1823" s="41"/>
      <c r="C1823" s="5" t="n">
        <f aca="false">IF(B1823="",0,IF(A1823="Bank",IFERROR(MATCH(B1823,Bank!$A:$A,0),0),IFERROR(MATCH(B1823,GL!$A:$A,0),0)))</f>
        <v>0</v>
      </c>
      <c r="D1823" s="32" t="str">
        <f aca="false">IF(C1823=0,"",IF($A1823="Bank",INDEX(Bank!$B:$B,$C1823),INDEX(GL!$B:$B,$C1823)))</f>
        <v/>
      </c>
      <c r="E1823" s="5" t="str">
        <f aca="false">IF(C1823=0,"",IF($A1823="Bank",IF(INDEX(Bank!$C:$C,$C1823)="","",INDEX(Bank!$C:$C,$C1823)),IF(INDEX(GL!$C:$C,$C1823)="","",INDEX(GL!$C:$C,$C1823))))</f>
        <v/>
      </c>
      <c r="F1823" s="5" t="str">
        <f aca="false">IF(C1823=0,"",IF($A1823="Bank",IF(INDEX(Bank!$D:$D,$C1823)="","",INDEX(Bank!$D:$D,$C1823)),IF(INDEX(GL!$D:$D,$C1823)="","",INDEX(GL!$D:$D,$C1823))))</f>
        <v/>
      </c>
      <c r="G1823" s="19" t="str">
        <f aca="false">IF(C1823=0,"",IF($A1823="Bank",INDEX(Bank!$E:$E,$C1823),INDEX(GL!$E:$E,$C1823)))</f>
        <v/>
      </c>
      <c r="H1823" s="5" t="str">
        <f aca="false">IF(C1823=0,"",IF(A1823="GL",IF(G1823&gt;0,"Deposit in transit","Outstanding check / payment"),IF(G1823&gt;0,"Bank credit not in GL","Bank debit not in GL")))</f>
        <v/>
      </c>
      <c r="I1823" s="42" t="str">
        <f aca="false">IF(OR(C1823=0,CFG_PeriodEnd=""),"",CFG_PeriodEnd-D1823)</f>
        <v/>
      </c>
      <c r="J1823" s="5" t="str">
        <f aca="false">IF(C1823=0,"",IF($A1823="Bank",IF(INDEX(Bank!$G:$G,$C1823)="","",INDEX(Bank!$G:$G,$C1823)),IF(INDEX(GL!$G:$G,$C1823)="","",INDEX(GL!$G:$G,$C1823))))</f>
        <v/>
      </c>
      <c r="K1823" s="5" t="str">
        <f aca="false">IF(C1823=0,"",IF($A1823="Bank",IF(INDEX(Bank!$I:$I,$C1823)="","",INDEX(Bank!$I:$I,$C1823)),IF(INDEX(GL!$I:$I,$C1823)="","",INDEX(GL!$I:$I,$C1823))))</f>
        <v/>
      </c>
      <c r="L1823" s="5" t="str">
        <f aca="false">IF(B1823="","",IF(C1823=0,"NOT FOUND",IF(IF($A1823="Bank",INDEX(Bank!$F:$F,$C1823),INDEX(GL!$F:$F,$C1823))="Y","NOW RECONCILED: refresh","OK")))</f>
        <v/>
      </c>
    </row>
    <row r="1824" customFormat="false" ht="15" hidden="false" customHeight="false" outlineLevel="0" collapsed="false">
      <c r="A1824" s="41"/>
      <c r="B1824" s="41"/>
      <c r="C1824" s="5" t="n">
        <f aca="false">IF(B1824="",0,IF(A1824="Bank",IFERROR(MATCH(B1824,Bank!$A:$A,0),0),IFERROR(MATCH(B1824,GL!$A:$A,0),0)))</f>
        <v>0</v>
      </c>
      <c r="D1824" s="32" t="str">
        <f aca="false">IF(C1824=0,"",IF($A1824="Bank",INDEX(Bank!$B:$B,$C1824),INDEX(GL!$B:$B,$C1824)))</f>
        <v/>
      </c>
      <c r="E1824" s="5" t="str">
        <f aca="false">IF(C1824=0,"",IF($A1824="Bank",IF(INDEX(Bank!$C:$C,$C1824)="","",INDEX(Bank!$C:$C,$C1824)),IF(INDEX(GL!$C:$C,$C1824)="","",INDEX(GL!$C:$C,$C1824))))</f>
        <v/>
      </c>
      <c r="F1824" s="5" t="str">
        <f aca="false">IF(C1824=0,"",IF($A1824="Bank",IF(INDEX(Bank!$D:$D,$C1824)="","",INDEX(Bank!$D:$D,$C1824)),IF(INDEX(GL!$D:$D,$C1824)="","",INDEX(GL!$D:$D,$C1824))))</f>
        <v/>
      </c>
      <c r="G1824" s="19" t="str">
        <f aca="false">IF(C1824=0,"",IF($A1824="Bank",INDEX(Bank!$E:$E,$C1824),INDEX(GL!$E:$E,$C1824)))</f>
        <v/>
      </c>
      <c r="H1824" s="5" t="str">
        <f aca="false">IF(C1824=0,"",IF(A1824="GL",IF(G1824&gt;0,"Deposit in transit","Outstanding check / payment"),IF(G1824&gt;0,"Bank credit not in GL","Bank debit not in GL")))</f>
        <v/>
      </c>
      <c r="I1824" s="42" t="str">
        <f aca="false">IF(OR(C1824=0,CFG_PeriodEnd=""),"",CFG_PeriodEnd-D1824)</f>
        <v/>
      </c>
      <c r="J1824" s="5" t="str">
        <f aca="false">IF(C1824=0,"",IF($A1824="Bank",IF(INDEX(Bank!$G:$G,$C1824)="","",INDEX(Bank!$G:$G,$C1824)),IF(INDEX(GL!$G:$G,$C1824)="","",INDEX(GL!$G:$G,$C1824))))</f>
        <v/>
      </c>
      <c r="K1824" s="5" t="str">
        <f aca="false">IF(C1824=0,"",IF($A1824="Bank",IF(INDEX(Bank!$I:$I,$C1824)="","",INDEX(Bank!$I:$I,$C1824)),IF(INDEX(GL!$I:$I,$C1824)="","",INDEX(GL!$I:$I,$C1824))))</f>
        <v/>
      </c>
      <c r="L1824" s="5" t="str">
        <f aca="false">IF(B1824="","",IF(C1824=0,"NOT FOUND",IF(IF($A1824="Bank",INDEX(Bank!$F:$F,$C1824),INDEX(GL!$F:$F,$C1824))="Y","NOW RECONCILED: refresh","OK")))</f>
        <v/>
      </c>
    </row>
    <row r="1825" customFormat="false" ht="15" hidden="false" customHeight="false" outlineLevel="0" collapsed="false">
      <c r="A1825" s="41"/>
      <c r="B1825" s="41"/>
      <c r="C1825" s="5" t="n">
        <f aca="false">IF(B1825="",0,IF(A1825="Bank",IFERROR(MATCH(B1825,Bank!$A:$A,0),0),IFERROR(MATCH(B1825,GL!$A:$A,0),0)))</f>
        <v>0</v>
      </c>
      <c r="D1825" s="32" t="str">
        <f aca="false">IF(C1825=0,"",IF($A1825="Bank",INDEX(Bank!$B:$B,$C1825),INDEX(GL!$B:$B,$C1825)))</f>
        <v/>
      </c>
      <c r="E1825" s="5" t="str">
        <f aca="false">IF(C1825=0,"",IF($A1825="Bank",IF(INDEX(Bank!$C:$C,$C1825)="","",INDEX(Bank!$C:$C,$C1825)),IF(INDEX(GL!$C:$C,$C1825)="","",INDEX(GL!$C:$C,$C1825))))</f>
        <v/>
      </c>
      <c r="F1825" s="5" t="str">
        <f aca="false">IF(C1825=0,"",IF($A1825="Bank",IF(INDEX(Bank!$D:$D,$C1825)="","",INDEX(Bank!$D:$D,$C1825)),IF(INDEX(GL!$D:$D,$C1825)="","",INDEX(GL!$D:$D,$C1825))))</f>
        <v/>
      </c>
      <c r="G1825" s="19" t="str">
        <f aca="false">IF(C1825=0,"",IF($A1825="Bank",INDEX(Bank!$E:$E,$C1825),INDEX(GL!$E:$E,$C1825)))</f>
        <v/>
      </c>
      <c r="H1825" s="5" t="str">
        <f aca="false">IF(C1825=0,"",IF(A1825="GL",IF(G1825&gt;0,"Deposit in transit","Outstanding check / payment"),IF(G1825&gt;0,"Bank credit not in GL","Bank debit not in GL")))</f>
        <v/>
      </c>
      <c r="I1825" s="42" t="str">
        <f aca="false">IF(OR(C1825=0,CFG_PeriodEnd=""),"",CFG_PeriodEnd-D1825)</f>
        <v/>
      </c>
      <c r="J1825" s="5" t="str">
        <f aca="false">IF(C1825=0,"",IF($A1825="Bank",IF(INDEX(Bank!$G:$G,$C1825)="","",INDEX(Bank!$G:$G,$C1825)),IF(INDEX(GL!$G:$G,$C1825)="","",INDEX(GL!$G:$G,$C1825))))</f>
        <v/>
      </c>
      <c r="K1825" s="5" t="str">
        <f aca="false">IF(C1825=0,"",IF($A1825="Bank",IF(INDEX(Bank!$I:$I,$C1825)="","",INDEX(Bank!$I:$I,$C1825)),IF(INDEX(GL!$I:$I,$C1825)="","",INDEX(GL!$I:$I,$C1825))))</f>
        <v/>
      </c>
      <c r="L1825" s="5" t="str">
        <f aca="false">IF(B1825="","",IF(C1825=0,"NOT FOUND",IF(IF($A1825="Bank",INDEX(Bank!$F:$F,$C1825),INDEX(GL!$F:$F,$C1825))="Y","NOW RECONCILED: refresh","OK")))</f>
        <v/>
      </c>
    </row>
    <row r="1826" customFormat="false" ht="15" hidden="false" customHeight="false" outlineLevel="0" collapsed="false">
      <c r="A1826" s="41"/>
      <c r="B1826" s="41"/>
      <c r="C1826" s="5" t="n">
        <f aca="false">IF(B1826="",0,IF(A1826="Bank",IFERROR(MATCH(B1826,Bank!$A:$A,0),0),IFERROR(MATCH(B1826,GL!$A:$A,0),0)))</f>
        <v>0</v>
      </c>
      <c r="D1826" s="32" t="str">
        <f aca="false">IF(C1826=0,"",IF($A1826="Bank",INDEX(Bank!$B:$B,$C1826),INDEX(GL!$B:$B,$C1826)))</f>
        <v/>
      </c>
      <c r="E1826" s="5" t="str">
        <f aca="false">IF(C1826=0,"",IF($A1826="Bank",IF(INDEX(Bank!$C:$C,$C1826)="","",INDEX(Bank!$C:$C,$C1826)),IF(INDEX(GL!$C:$C,$C1826)="","",INDEX(GL!$C:$C,$C1826))))</f>
        <v/>
      </c>
      <c r="F1826" s="5" t="str">
        <f aca="false">IF(C1826=0,"",IF($A1826="Bank",IF(INDEX(Bank!$D:$D,$C1826)="","",INDEX(Bank!$D:$D,$C1826)),IF(INDEX(GL!$D:$D,$C1826)="","",INDEX(GL!$D:$D,$C1826))))</f>
        <v/>
      </c>
      <c r="G1826" s="19" t="str">
        <f aca="false">IF(C1826=0,"",IF($A1826="Bank",INDEX(Bank!$E:$E,$C1826),INDEX(GL!$E:$E,$C1826)))</f>
        <v/>
      </c>
      <c r="H1826" s="5" t="str">
        <f aca="false">IF(C1826=0,"",IF(A1826="GL",IF(G1826&gt;0,"Deposit in transit","Outstanding check / payment"),IF(G1826&gt;0,"Bank credit not in GL","Bank debit not in GL")))</f>
        <v/>
      </c>
      <c r="I1826" s="42" t="str">
        <f aca="false">IF(OR(C1826=0,CFG_PeriodEnd=""),"",CFG_PeriodEnd-D1826)</f>
        <v/>
      </c>
      <c r="J1826" s="5" t="str">
        <f aca="false">IF(C1826=0,"",IF($A1826="Bank",IF(INDEX(Bank!$G:$G,$C1826)="","",INDEX(Bank!$G:$G,$C1826)),IF(INDEX(GL!$G:$G,$C1826)="","",INDEX(GL!$G:$G,$C1826))))</f>
        <v/>
      </c>
      <c r="K1826" s="5" t="str">
        <f aca="false">IF(C1826=0,"",IF($A1826="Bank",IF(INDEX(Bank!$I:$I,$C1826)="","",INDEX(Bank!$I:$I,$C1826)),IF(INDEX(GL!$I:$I,$C1826)="","",INDEX(GL!$I:$I,$C1826))))</f>
        <v/>
      </c>
      <c r="L1826" s="5" t="str">
        <f aca="false">IF(B1826="","",IF(C1826=0,"NOT FOUND",IF(IF($A1826="Bank",INDEX(Bank!$F:$F,$C1826),INDEX(GL!$F:$F,$C1826))="Y","NOW RECONCILED: refresh","OK")))</f>
        <v/>
      </c>
    </row>
    <row r="1827" customFormat="false" ht="15" hidden="false" customHeight="false" outlineLevel="0" collapsed="false">
      <c r="A1827" s="41"/>
      <c r="B1827" s="41"/>
      <c r="C1827" s="5" t="n">
        <f aca="false">IF(B1827="",0,IF(A1827="Bank",IFERROR(MATCH(B1827,Bank!$A:$A,0),0),IFERROR(MATCH(B1827,GL!$A:$A,0),0)))</f>
        <v>0</v>
      </c>
      <c r="D1827" s="32" t="str">
        <f aca="false">IF(C1827=0,"",IF($A1827="Bank",INDEX(Bank!$B:$B,$C1827),INDEX(GL!$B:$B,$C1827)))</f>
        <v/>
      </c>
      <c r="E1827" s="5" t="str">
        <f aca="false">IF(C1827=0,"",IF($A1827="Bank",IF(INDEX(Bank!$C:$C,$C1827)="","",INDEX(Bank!$C:$C,$C1827)),IF(INDEX(GL!$C:$C,$C1827)="","",INDEX(GL!$C:$C,$C1827))))</f>
        <v/>
      </c>
      <c r="F1827" s="5" t="str">
        <f aca="false">IF(C1827=0,"",IF($A1827="Bank",IF(INDEX(Bank!$D:$D,$C1827)="","",INDEX(Bank!$D:$D,$C1827)),IF(INDEX(GL!$D:$D,$C1827)="","",INDEX(GL!$D:$D,$C1827))))</f>
        <v/>
      </c>
      <c r="G1827" s="19" t="str">
        <f aca="false">IF(C1827=0,"",IF($A1827="Bank",INDEX(Bank!$E:$E,$C1827),INDEX(GL!$E:$E,$C1827)))</f>
        <v/>
      </c>
      <c r="H1827" s="5" t="str">
        <f aca="false">IF(C1827=0,"",IF(A1827="GL",IF(G1827&gt;0,"Deposit in transit","Outstanding check / payment"),IF(G1827&gt;0,"Bank credit not in GL","Bank debit not in GL")))</f>
        <v/>
      </c>
      <c r="I1827" s="42" t="str">
        <f aca="false">IF(OR(C1827=0,CFG_PeriodEnd=""),"",CFG_PeriodEnd-D1827)</f>
        <v/>
      </c>
      <c r="J1827" s="5" t="str">
        <f aca="false">IF(C1827=0,"",IF($A1827="Bank",IF(INDEX(Bank!$G:$G,$C1827)="","",INDEX(Bank!$G:$G,$C1827)),IF(INDEX(GL!$G:$G,$C1827)="","",INDEX(GL!$G:$G,$C1827))))</f>
        <v/>
      </c>
      <c r="K1827" s="5" t="str">
        <f aca="false">IF(C1827=0,"",IF($A1827="Bank",IF(INDEX(Bank!$I:$I,$C1827)="","",INDEX(Bank!$I:$I,$C1827)),IF(INDEX(GL!$I:$I,$C1827)="","",INDEX(GL!$I:$I,$C1827))))</f>
        <v/>
      </c>
      <c r="L1827" s="5" t="str">
        <f aca="false">IF(B1827="","",IF(C1827=0,"NOT FOUND",IF(IF($A1827="Bank",INDEX(Bank!$F:$F,$C1827),INDEX(GL!$F:$F,$C1827))="Y","NOW RECONCILED: refresh","OK")))</f>
        <v/>
      </c>
    </row>
    <row r="1828" customFormat="false" ht="15" hidden="false" customHeight="false" outlineLevel="0" collapsed="false">
      <c r="A1828" s="41"/>
      <c r="B1828" s="41"/>
      <c r="C1828" s="5" t="n">
        <f aca="false">IF(B1828="",0,IF(A1828="Bank",IFERROR(MATCH(B1828,Bank!$A:$A,0),0),IFERROR(MATCH(B1828,GL!$A:$A,0),0)))</f>
        <v>0</v>
      </c>
      <c r="D1828" s="32" t="str">
        <f aca="false">IF(C1828=0,"",IF($A1828="Bank",INDEX(Bank!$B:$B,$C1828),INDEX(GL!$B:$B,$C1828)))</f>
        <v/>
      </c>
      <c r="E1828" s="5" t="str">
        <f aca="false">IF(C1828=0,"",IF($A1828="Bank",IF(INDEX(Bank!$C:$C,$C1828)="","",INDEX(Bank!$C:$C,$C1828)),IF(INDEX(GL!$C:$C,$C1828)="","",INDEX(GL!$C:$C,$C1828))))</f>
        <v/>
      </c>
      <c r="F1828" s="5" t="str">
        <f aca="false">IF(C1828=0,"",IF($A1828="Bank",IF(INDEX(Bank!$D:$D,$C1828)="","",INDEX(Bank!$D:$D,$C1828)),IF(INDEX(GL!$D:$D,$C1828)="","",INDEX(GL!$D:$D,$C1828))))</f>
        <v/>
      </c>
      <c r="G1828" s="19" t="str">
        <f aca="false">IF(C1828=0,"",IF($A1828="Bank",INDEX(Bank!$E:$E,$C1828),INDEX(GL!$E:$E,$C1828)))</f>
        <v/>
      </c>
      <c r="H1828" s="5" t="str">
        <f aca="false">IF(C1828=0,"",IF(A1828="GL",IF(G1828&gt;0,"Deposit in transit","Outstanding check / payment"),IF(G1828&gt;0,"Bank credit not in GL","Bank debit not in GL")))</f>
        <v/>
      </c>
      <c r="I1828" s="42" t="str">
        <f aca="false">IF(OR(C1828=0,CFG_PeriodEnd=""),"",CFG_PeriodEnd-D1828)</f>
        <v/>
      </c>
      <c r="J1828" s="5" t="str">
        <f aca="false">IF(C1828=0,"",IF($A1828="Bank",IF(INDEX(Bank!$G:$G,$C1828)="","",INDEX(Bank!$G:$G,$C1828)),IF(INDEX(GL!$G:$G,$C1828)="","",INDEX(GL!$G:$G,$C1828))))</f>
        <v/>
      </c>
      <c r="K1828" s="5" t="str">
        <f aca="false">IF(C1828=0,"",IF($A1828="Bank",IF(INDEX(Bank!$I:$I,$C1828)="","",INDEX(Bank!$I:$I,$C1828)),IF(INDEX(GL!$I:$I,$C1828)="","",INDEX(GL!$I:$I,$C1828))))</f>
        <v/>
      </c>
      <c r="L1828" s="5" t="str">
        <f aca="false">IF(B1828="","",IF(C1828=0,"NOT FOUND",IF(IF($A1828="Bank",INDEX(Bank!$F:$F,$C1828),INDEX(GL!$F:$F,$C1828))="Y","NOW RECONCILED: refresh","OK")))</f>
        <v/>
      </c>
    </row>
    <row r="1829" customFormat="false" ht="15" hidden="false" customHeight="false" outlineLevel="0" collapsed="false">
      <c r="A1829" s="41"/>
      <c r="B1829" s="41"/>
      <c r="C1829" s="5" t="n">
        <f aca="false">IF(B1829="",0,IF(A1829="Bank",IFERROR(MATCH(B1829,Bank!$A:$A,0),0),IFERROR(MATCH(B1829,GL!$A:$A,0),0)))</f>
        <v>0</v>
      </c>
      <c r="D1829" s="32" t="str">
        <f aca="false">IF(C1829=0,"",IF($A1829="Bank",INDEX(Bank!$B:$B,$C1829),INDEX(GL!$B:$B,$C1829)))</f>
        <v/>
      </c>
      <c r="E1829" s="5" t="str">
        <f aca="false">IF(C1829=0,"",IF($A1829="Bank",IF(INDEX(Bank!$C:$C,$C1829)="","",INDEX(Bank!$C:$C,$C1829)),IF(INDEX(GL!$C:$C,$C1829)="","",INDEX(GL!$C:$C,$C1829))))</f>
        <v/>
      </c>
      <c r="F1829" s="5" t="str">
        <f aca="false">IF(C1829=0,"",IF($A1829="Bank",IF(INDEX(Bank!$D:$D,$C1829)="","",INDEX(Bank!$D:$D,$C1829)),IF(INDEX(GL!$D:$D,$C1829)="","",INDEX(GL!$D:$D,$C1829))))</f>
        <v/>
      </c>
      <c r="G1829" s="19" t="str">
        <f aca="false">IF(C1829=0,"",IF($A1829="Bank",INDEX(Bank!$E:$E,$C1829),INDEX(GL!$E:$E,$C1829)))</f>
        <v/>
      </c>
      <c r="H1829" s="5" t="str">
        <f aca="false">IF(C1829=0,"",IF(A1829="GL",IF(G1829&gt;0,"Deposit in transit","Outstanding check / payment"),IF(G1829&gt;0,"Bank credit not in GL","Bank debit not in GL")))</f>
        <v/>
      </c>
      <c r="I1829" s="42" t="str">
        <f aca="false">IF(OR(C1829=0,CFG_PeriodEnd=""),"",CFG_PeriodEnd-D1829)</f>
        <v/>
      </c>
      <c r="J1829" s="5" t="str">
        <f aca="false">IF(C1829=0,"",IF($A1829="Bank",IF(INDEX(Bank!$G:$G,$C1829)="","",INDEX(Bank!$G:$G,$C1829)),IF(INDEX(GL!$G:$G,$C1829)="","",INDEX(GL!$G:$G,$C1829))))</f>
        <v/>
      </c>
      <c r="K1829" s="5" t="str">
        <f aca="false">IF(C1829=0,"",IF($A1829="Bank",IF(INDEX(Bank!$I:$I,$C1829)="","",INDEX(Bank!$I:$I,$C1829)),IF(INDEX(GL!$I:$I,$C1829)="","",INDEX(GL!$I:$I,$C1829))))</f>
        <v/>
      </c>
      <c r="L1829" s="5" t="str">
        <f aca="false">IF(B1829="","",IF(C1829=0,"NOT FOUND",IF(IF($A1829="Bank",INDEX(Bank!$F:$F,$C1829),INDEX(GL!$F:$F,$C1829))="Y","NOW RECONCILED: refresh","OK")))</f>
        <v/>
      </c>
    </row>
    <row r="1830" customFormat="false" ht="15" hidden="false" customHeight="false" outlineLevel="0" collapsed="false">
      <c r="A1830" s="41"/>
      <c r="B1830" s="41"/>
      <c r="C1830" s="5" t="n">
        <f aca="false">IF(B1830="",0,IF(A1830="Bank",IFERROR(MATCH(B1830,Bank!$A:$A,0),0),IFERROR(MATCH(B1830,GL!$A:$A,0),0)))</f>
        <v>0</v>
      </c>
      <c r="D1830" s="32" t="str">
        <f aca="false">IF(C1830=0,"",IF($A1830="Bank",INDEX(Bank!$B:$B,$C1830),INDEX(GL!$B:$B,$C1830)))</f>
        <v/>
      </c>
      <c r="E1830" s="5" t="str">
        <f aca="false">IF(C1830=0,"",IF($A1830="Bank",IF(INDEX(Bank!$C:$C,$C1830)="","",INDEX(Bank!$C:$C,$C1830)),IF(INDEX(GL!$C:$C,$C1830)="","",INDEX(GL!$C:$C,$C1830))))</f>
        <v/>
      </c>
      <c r="F1830" s="5" t="str">
        <f aca="false">IF(C1830=0,"",IF($A1830="Bank",IF(INDEX(Bank!$D:$D,$C1830)="","",INDEX(Bank!$D:$D,$C1830)),IF(INDEX(GL!$D:$D,$C1830)="","",INDEX(GL!$D:$D,$C1830))))</f>
        <v/>
      </c>
      <c r="G1830" s="19" t="str">
        <f aca="false">IF(C1830=0,"",IF($A1830="Bank",INDEX(Bank!$E:$E,$C1830),INDEX(GL!$E:$E,$C1830)))</f>
        <v/>
      </c>
      <c r="H1830" s="5" t="str">
        <f aca="false">IF(C1830=0,"",IF(A1830="GL",IF(G1830&gt;0,"Deposit in transit","Outstanding check / payment"),IF(G1830&gt;0,"Bank credit not in GL","Bank debit not in GL")))</f>
        <v/>
      </c>
      <c r="I1830" s="42" t="str">
        <f aca="false">IF(OR(C1830=0,CFG_PeriodEnd=""),"",CFG_PeriodEnd-D1830)</f>
        <v/>
      </c>
      <c r="J1830" s="5" t="str">
        <f aca="false">IF(C1830=0,"",IF($A1830="Bank",IF(INDEX(Bank!$G:$G,$C1830)="","",INDEX(Bank!$G:$G,$C1830)),IF(INDEX(GL!$G:$G,$C1830)="","",INDEX(GL!$G:$G,$C1830))))</f>
        <v/>
      </c>
      <c r="K1830" s="5" t="str">
        <f aca="false">IF(C1830=0,"",IF($A1830="Bank",IF(INDEX(Bank!$I:$I,$C1830)="","",INDEX(Bank!$I:$I,$C1830)),IF(INDEX(GL!$I:$I,$C1830)="","",INDEX(GL!$I:$I,$C1830))))</f>
        <v/>
      </c>
      <c r="L1830" s="5" t="str">
        <f aca="false">IF(B1830="","",IF(C1830=0,"NOT FOUND",IF(IF($A1830="Bank",INDEX(Bank!$F:$F,$C1830),INDEX(GL!$F:$F,$C1830))="Y","NOW RECONCILED: refresh","OK")))</f>
        <v/>
      </c>
    </row>
    <row r="1831" customFormat="false" ht="15" hidden="false" customHeight="false" outlineLevel="0" collapsed="false">
      <c r="A1831" s="41"/>
      <c r="B1831" s="41"/>
      <c r="C1831" s="5" t="n">
        <f aca="false">IF(B1831="",0,IF(A1831="Bank",IFERROR(MATCH(B1831,Bank!$A:$A,0),0),IFERROR(MATCH(B1831,GL!$A:$A,0),0)))</f>
        <v>0</v>
      </c>
      <c r="D1831" s="32" t="str">
        <f aca="false">IF(C1831=0,"",IF($A1831="Bank",INDEX(Bank!$B:$B,$C1831),INDEX(GL!$B:$B,$C1831)))</f>
        <v/>
      </c>
      <c r="E1831" s="5" t="str">
        <f aca="false">IF(C1831=0,"",IF($A1831="Bank",IF(INDEX(Bank!$C:$C,$C1831)="","",INDEX(Bank!$C:$C,$C1831)),IF(INDEX(GL!$C:$C,$C1831)="","",INDEX(GL!$C:$C,$C1831))))</f>
        <v/>
      </c>
      <c r="F1831" s="5" t="str">
        <f aca="false">IF(C1831=0,"",IF($A1831="Bank",IF(INDEX(Bank!$D:$D,$C1831)="","",INDEX(Bank!$D:$D,$C1831)),IF(INDEX(GL!$D:$D,$C1831)="","",INDEX(GL!$D:$D,$C1831))))</f>
        <v/>
      </c>
      <c r="G1831" s="19" t="str">
        <f aca="false">IF(C1831=0,"",IF($A1831="Bank",INDEX(Bank!$E:$E,$C1831),INDEX(GL!$E:$E,$C1831)))</f>
        <v/>
      </c>
      <c r="H1831" s="5" t="str">
        <f aca="false">IF(C1831=0,"",IF(A1831="GL",IF(G1831&gt;0,"Deposit in transit","Outstanding check / payment"),IF(G1831&gt;0,"Bank credit not in GL","Bank debit not in GL")))</f>
        <v/>
      </c>
      <c r="I1831" s="42" t="str">
        <f aca="false">IF(OR(C1831=0,CFG_PeriodEnd=""),"",CFG_PeriodEnd-D1831)</f>
        <v/>
      </c>
      <c r="J1831" s="5" t="str">
        <f aca="false">IF(C1831=0,"",IF($A1831="Bank",IF(INDEX(Bank!$G:$G,$C1831)="","",INDEX(Bank!$G:$G,$C1831)),IF(INDEX(GL!$G:$G,$C1831)="","",INDEX(GL!$G:$G,$C1831))))</f>
        <v/>
      </c>
      <c r="K1831" s="5" t="str">
        <f aca="false">IF(C1831=0,"",IF($A1831="Bank",IF(INDEX(Bank!$I:$I,$C1831)="","",INDEX(Bank!$I:$I,$C1831)),IF(INDEX(GL!$I:$I,$C1831)="","",INDEX(GL!$I:$I,$C1831))))</f>
        <v/>
      </c>
      <c r="L1831" s="5" t="str">
        <f aca="false">IF(B1831="","",IF(C1831=0,"NOT FOUND",IF(IF($A1831="Bank",INDEX(Bank!$F:$F,$C1831),INDEX(GL!$F:$F,$C1831))="Y","NOW RECONCILED: refresh","OK")))</f>
        <v/>
      </c>
    </row>
    <row r="1832" customFormat="false" ht="15" hidden="false" customHeight="false" outlineLevel="0" collapsed="false">
      <c r="A1832" s="41"/>
      <c r="B1832" s="41"/>
      <c r="C1832" s="5" t="n">
        <f aca="false">IF(B1832="",0,IF(A1832="Bank",IFERROR(MATCH(B1832,Bank!$A:$A,0),0),IFERROR(MATCH(B1832,GL!$A:$A,0),0)))</f>
        <v>0</v>
      </c>
      <c r="D1832" s="32" t="str">
        <f aca="false">IF(C1832=0,"",IF($A1832="Bank",INDEX(Bank!$B:$B,$C1832),INDEX(GL!$B:$B,$C1832)))</f>
        <v/>
      </c>
      <c r="E1832" s="5" t="str">
        <f aca="false">IF(C1832=0,"",IF($A1832="Bank",IF(INDEX(Bank!$C:$C,$C1832)="","",INDEX(Bank!$C:$C,$C1832)),IF(INDEX(GL!$C:$C,$C1832)="","",INDEX(GL!$C:$C,$C1832))))</f>
        <v/>
      </c>
      <c r="F1832" s="5" t="str">
        <f aca="false">IF(C1832=0,"",IF($A1832="Bank",IF(INDEX(Bank!$D:$D,$C1832)="","",INDEX(Bank!$D:$D,$C1832)),IF(INDEX(GL!$D:$D,$C1832)="","",INDEX(GL!$D:$D,$C1832))))</f>
        <v/>
      </c>
      <c r="G1832" s="19" t="str">
        <f aca="false">IF(C1832=0,"",IF($A1832="Bank",INDEX(Bank!$E:$E,$C1832),INDEX(GL!$E:$E,$C1832)))</f>
        <v/>
      </c>
      <c r="H1832" s="5" t="str">
        <f aca="false">IF(C1832=0,"",IF(A1832="GL",IF(G1832&gt;0,"Deposit in transit","Outstanding check / payment"),IF(G1832&gt;0,"Bank credit not in GL","Bank debit not in GL")))</f>
        <v/>
      </c>
      <c r="I1832" s="42" t="str">
        <f aca="false">IF(OR(C1832=0,CFG_PeriodEnd=""),"",CFG_PeriodEnd-D1832)</f>
        <v/>
      </c>
      <c r="J1832" s="5" t="str">
        <f aca="false">IF(C1832=0,"",IF($A1832="Bank",IF(INDEX(Bank!$G:$G,$C1832)="","",INDEX(Bank!$G:$G,$C1832)),IF(INDEX(GL!$G:$G,$C1832)="","",INDEX(GL!$G:$G,$C1832))))</f>
        <v/>
      </c>
      <c r="K1832" s="5" t="str">
        <f aca="false">IF(C1832=0,"",IF($A1832="Bank",IF(INDEX(Bank!$I:$I,$C1832)="","",INDEX(Bank!$I:$I,$C1832)),IF(INDEX(GL!$I:$I,$C1832)="","",INDEX(GL!$I:$I,$C1832))))</f>
        <v/>
      </c>
      <c r="L1832" s="5" t="str">
        <f aca="false">IF(B1832="","",IF(C1832=0,"NOT FOUND",IF(IF($A1832="Bank",INDEX(Bank!$F:$F,$C1832),INDEX(GL!$F:$F,$C1832))="Y","NOW RECONCILED: refresh","OK")))</f>
        <v/>
      </c>
    </row>
    <row r="1833" customFormat="false" ht="15" hidden="false" customHeight="false" outlineLevel="0" collapsed="false">
      <c r="A1833" s="41"/>
      <c r="B1833" s="41"/>
      <c r="C1833" s="5" t="n">
        <f aca="false">IF(B1833="",0,IF(A1833="Bank",IFERROR(MATCH(B1833,Bank!$A:$A,0),0),IFERROR(MATCH(B1833,GL!$A:$A,0),0)))</f>
        <v>0</v>
      </c>
      <c r="D1833" s="32" t="str">
        <f aca="false">IF(C1833=0,"",IF($A1833="Bank",INDEX(Bank!$B:$B,$C1833),INDEX(GL!$B:$B,$C1833)))</f>
        <v/>
      </c>
      <c r="E1833" s="5" t="str">
        <f aca="false">IF(C1833=0,"",IF($A1833="Bank",IF(INDEX(Bank!$C:$C,$C1833)="","",INDEX(Bank!$C:$C,$C1833)),IF(INDEX(GL!$C:$C,$C1833)="","",INDEX(GL!$C:$C,$C1833))))</f>
        <v/>
      </c>
      <c r="F1833" s="5" t="str">
        <f aca="false">IF(C1833=0,"",IF($A1833="Bank",IF(INDEX(Bank!$D:$D,$C1833)="","",INDEX(Bank!$D:$D,$C1833)),IF(INDEX(GL!$D:$D,$C1833)="","",INDEX(GL!$D:$D,$C1833))))</f>
        <v/>
      </c>
      <c r="G1833" s="19" t="str">
        <f aca="false">IF(C1833=0,"",IF($A1833="Bank",INDEX(Bank!$E:$E,$C1833),INDEX(GL!$E:$E,$C1833)))</f>
        <v/>
      </c>
      <c r="H1833" s="5" t="str">
        <f aca="false">IF(C1833=0,"",IF(A1833="GL",IF(G1833&gt;0,"Deposit in transit","Outstanding check / payment"),IF(G1833&gt;0,"Bank credit not in GL","Bank debit not in GL")))</f>
        <v/>
      </c>
      <c r="I1833" s="42" t="str">
        <f aca="false">IF(OR(C1833=0,CFG_PeriodEnd=""),"",CFG_PeriodEnd-D1833)</f>
        <v/>
      </c>
      <c r="J1833" s="5" t="str">
        <f aca="false">IF(C1833=0,"",IF($A1833="Bank",IF(INDEX(Bank!$G:$G,$C1833)="","",INDEX(Bank!$G:$G,$C1833)),IF(INDEX(GL!$G:$G,$C1833)="","",INDEX(GL!$G:$G,$C1833))))</f>
        <v/>
      </c>
      <c r="K1833" s="5" t="str">
        <f aca="false">IF(C1833=0,"",IF($A1833="Bank",IF(INDEX(Bank!$I:$I,$C1833)="","",INDEX(Bank!$I:$I,$C1833)),IF(INDEX(GL!$I:$I,$C1833)="","",INDEX(GL!$I:$I,$C1833))))</f>
        <v/>
      </c>
      <c r="L1833" s="5" t="str">
        <f aca="false">IF(B1833="","",IF(C1833=0,"NOT FOUND",IF(IF($A1833="Bank",INDEX(Bank!$F:$F,$C1833),INDEX(GL!$F:$F,$C1833))="Y","NOW RECONCILED: refresh","OK")))</f>
        <v/>
      </c>
    </row>
    <row r="1834" customFormat="false" ht="15" hidden="false" customHeight="false" outlineLevel="0" collapsed="false">
      <c r="A1834" s="41"/>
      <c r="B1834" s="41"/>
      <c r="C1834" s="5" t="n">
        <f aca="false">IF(B1834="",0,IF(A1834="Bank",IFERROR(MATCH(B1834,Bank!$A:$A,0),0),IFERROR(MATCH(B1834,GL!$A:$A,0),0)))</f>
        <v>0</v>
      </c>
      <c r="D1834" s="32" t="str">
        <f aca="false">IF(C1834=0,"",IF($A1834="Bank",INDEX(Bank!$B:$B,$C1834),INDEX(GL!$B:$B,$C1834)))</f>
        <v/>
      </c>
      <c r="E1834" s="5" t="str">
        <f aca="false">IF(C1834=0,"",IF($A1834="Bank",IF(INDEX(Bank!$C:$C,$C1834)="","",INDEX(Bank!$C:$C,$C1834)),IF(INDEX(GL!$C:$C,$C1834)="","",INDEX(GL!$C:$C,$C1834))))</f>
        <v/>
      </c>
      <c r="F1834" s="5" t="str">
        <f aca="false">IF(C1834=0,"",IF($A1834="Bank",IF(INDEX(Bank!$D:$D,$C1834)="","",INDEX(Bank!$D:$D,$C1834)),IF(INDEX(GL!$D:$D,$C1834)="","",INDEX(GL!$D:$D,$C1834))))</f>
        <v/>
      </c>
      <c r="G1834" s="19" t="str">
        <f aca="false">IF(C1834=0,"",IF($A1834="Bank",INDEX(Bank!$E:$E,$C1834),INDEX(GL!$E:$E,$C1834)))</f>
        <v/>
      </c>
      <c r="H1834" s="5" t="str">
        <f aca="false">IF(C1834=0,"",IF(A1834="GL",IF(G1834&gt;0,"Deposit in transit","Outstanding check / payment"),IF(G1834&gt;0,"Bank credit not in GL","Bank debit not in GL")))</f>
        <v/>
      </c>
      <c r="I1834" s="42" t="str">
        <f aca="false">IF(OR(C1834=0,CFG_PeriodEnd=""),"",CFG_PeriodEnd-D1834)</f>
        <v/>
      </c>
      <c r="J1834" s="5" t="str">
        <f aca="false">IF(C1834=0,"",IF($A1834="Bank",IF(INDEX(Bank!$G:$G,$C1834)="","",INDEX(Bank!$G:$G,$C1834)),IF(INDEX(GL!$G:$G,$C1834)="","",INDEX(GL!$G:$G,$C1834))))</f>
        <v/>
      </c>
      <c r="K1834" s="5" t="str">
        <f aca="false">IF(C1834=0,"",IF($A1834="Bank",IF(INDEX(Bank!$I:$I,$C1834)="","",INDEX(Bank!$I:$I,$C1834)),IF(INDEX(GL!$I:$I,$C1834)="","",INDEX(GL!$I:$I,$C1834))))</f>
        <v/>
      </c>
      <c r="L1834" s="5" t="str">
        <f aca="false">IF(B1834="","",IF(C1834=0,"NOT FOUND",IF(IF($A1834="Bank",INDEX(Bank!$F:$F,$C1834),INDEX(GL!$F:$F,$C1834))="Y","NOW RECONCILED: refresh","OK")))</f>
        <v/>
      </c>
    </row>
    <row r="1835" customFormat="false" ht="15" hidden="false" customHeight="false" outlineLevel="0" collapsed="false">
      <c r="A1835" s="41"/>
      <c r="B1835" s="41"/>
      <c r="C1835" s="5" t="n">
        <f aca="false">IF(B1835="",0,IF(A1835="Bank",IFERROR(MATCH(B1835,Bank!$A:$A,0),0),IFERROR(MATCH(B1835,GL!$A:$A,0),0)))</f>
        <v>0</v>
      </c>
      <c r="D1835" s="32" t="str">
        <f aca="false">IF(C1835=0,"",IF($A1835="Bank",INDEX(Bank!$B:$B,$C1835),INDEX(GL!$B:$B,$C1835)))</f>
        <v/>
      </c>
      <c r="E1835" s="5" t="str">
        <f aca="false">IF(C1835=0,"",IF($A1835="Bank",IF(INDEX(Bank!$C:$C,$C1835)="","",INDEX(Bank!$C:$C,$C1835)),IF(INDEX(GL!$C:$C,$C1835)="","",INDEX(GL!$C:$C,$C1835))))</f>
        <v/>
      </c>
      <c r="F1835" s="5" t="str">
        <f aca="false">IF(C1835=0,"",IF($A1835="Bank",IF(INDEX(Bank!$D:$D,$C1835)="","",INDEX(Bank!$D:$D,$C1835)),IF(INDEX(GL!$D:$D,$C1835)="","",INDEX(GL!$D:$D,$C1835))))</f>
        <v/>
      </c>
      <c r="G1835" s="19" t="str">
        <f aca="false">IF(C1835=0,"",IF($A1835="Bank",INDEX(Bank!$E:$E,$C1835),INDEX(GL!$E:$E,$C1835)))</f>
        <v/>
      </c>
      <c r="H1835" s="5" t="str">
        <f aca="false">IF(C1835=0,"",IF(A1835="GL",IF(G1835&gt;0,"Deposit in transit","Outstanding check / payment"),IF(G1835&gt;0,"Bank credit not in GL","Bank debit not in GL")))</f>
        <v/>
      </c>
      <c r="I1835" s="42" t="str">
        <f aca="false">IF(OR(C1835=0,CFG_PeriodEnd=""),"",CFG_PeriodEnd-D1835)</f>
        <v/>
      </c>
      <c r="J1835" s="5" t="str">
        <f aca="false">IF(C1835=0,"",IF($A1835="Bank",IF(INDEX(Bank!$G:$G,$C1835)="","",INDEX(Bank!$G:$G,$C1835)),IF(INDEX(GL!$G:$G,$C1835)="","",INDEX(GL!$G:$G,$C1835))))</f>
        <v/>
      </c>
      <c r="K1835" s="5" t="str">
        <f aca="false">IF(C1835=0,"",IF($A1835="Bank",IF(INDEX(Bank!$I:$I,$C1835)="","",INDEX(Bank!$I:$I,$C1835)),IF(INDEX(GL!$I:$I,$C1835)="","",INDEX(GL!$I:$I,$C1835))))</f>
        <v/>
      </c>
      <c r="L1835" s="5" t="str">
        <f aca="false">IF(B1835="","",IF(C1835=0,"NOT FOUND",IF(IF($A1835="Bank",INDEX(Bank!$F:$F,$C1835),INDEX(GL!$F:$F,$C1835))="Y","NOW RECONCILED: refresh","OK")))</f>
        <v/>
      </c>
    </row>
    <row r="1836" customFormat="false" ht="15" hidden="false" customHeight="false" outlineLevel="0" collapsed="false">
      <c r="A1836" s="41"/>
      <c r="B1836" s="41"/>
      <c r="C1836" s="5" t="n">
        <f aca="false">IF(B1836="",0,IF(A1836="Bank",IFERROR(MATCH(B1836,Bank!$A:$A,0),0),IFERROR(MATCH(B1836,GL!$A:$A,0),0)))</f>
        <v>0</v>
      </c>
      <c r="D1836" s="32" t="str">
        <f aca="false">IF(C1836=0,"",IF($A1836="Bank",INDEX(Bank!$B:$B,$C1836),INDEX(GL!$B:$B,$C1836)))</f>
        <v/>
      </c>
      <c r="E1836" s="5" t="str">
        <f aca="false">IF(C1836=0,"",IF($A1836="Bank",IF(INDEX(Bank!$C:$C,$C1836)="","",INDEX(Bank!$C:$C,$C1836)),IF(INDEX(GL!$C:$C,$C1836)="","",INDEX(GL!$C:$C,$C1836))))</f>
        <v/>
      </c>
      <c r="F1836" s="5" t="str">
        <f aca="false">IF(C1836=0,"",IF($A1836="Bank",IF(INDEX(Bank!$D:$D,$C1836)="","",INDEX(Bank!$D:$D,$C1836)),IF(INDEX(GL!$D:$D,$C1836)="","",INDEX(GL!$D:$D,$C1836))))</f>
        <v/>
      </c>
      <c r="G1836" s="19" t="str">
        <f aca="false">IF(C1836=0,"",IF($A1836="Bank",INDEX(Bank!$E:$E,$C1836),INDEX(GL!$E:$E,$C1836)))</f>
        <v/>
      </c>
      <c r="H1836" s="5" t="str">
        <f aca="false">IF(C1836=0,"",IF(A1836="GL",IF(G1836&gt;0,"Deposit in transit","Outstanding check / payment"),IF(G1836&gt;0,"Bank credit not in GL","Bank debit not in GL")))</f>
        <v/>
      </c>
      <c r="I1836" s="42" t="str">
        <f aca="false">IF(OR(C1836=0,CFG_PeriodEnd=""),"",CFG_PeriodEnd-D1836)</f>
        <v/>
      </c>
      <c r="J1836" s="5" t="str">
        <f aca="false">IF(C1836=0,"",IF($A1836="Bank",IF(INDEX(Bank!$G:$G,$C1836)="","",INDEX(Bank!$G:$G,$C1836)),IF(INDEX(GL!$G:$G,$C1836)="","",INDEX(GL!$G:$G,$C1836))))</f>
        <v/>
      </c>
      <c r="K1836" s="5" t="str">
        <f aca="false">IF(C1836=0,"",IF($A1836="Bank",IF(INDEX(Bank!$I:$I,$C1836)="","",INDEX(Bank!$I:$I,$C1836)),IF(INDEX(GL!$I:$I,$C1836)="","",INDEX(GL!$I:$I,$C1836))))</f>
        <v/>
      </c>
      <c r="L1836" s="5" t="str">
        <f aca="false">IF(B1836="","",IF(C1836=0,"NOT FOUND",IF(IF($A1836="Bank",INDEX(Bank!$F:$F,$C1836),INDEX(GL!$F:$F,$C1836))="Y","NOW RECONCILED: refresh","OK")))</f>
        <v/>
      </c>
    </row>
    <row r="1837" customFormat="false" ht="15" hidden="false" customHeight="false" outlineLevel="0" collapsed="false">
      <c r="A1837" s="41"/>
      <c r="B1837" s="41"/>
      <c r="C1837" s="5" t="n">
        <f aca="false">IF(B1837="",0,IF(A1837="Bank",IFERROR(MATCH(B1837,Bank!$A:$A,0),0),IFERROR(MATCH(B1837,GL!$A:$A,0),0)))</f>
        <v>0</v>
      </c>
      <c r="D1837" s="32" t="str">
        <f aca="false">IF(C1837=0,"",IF($A1837="Bank",INDEX(Bank!$B:$B,$C1837),INDEX(GL!$B:$B,$C1837)))</f>
        <v/>
      </c>
      <c r="E1837" s="5" t="str">
        <f aca="false">IF(C1837=0,"",IF($A1837="Bank",IF(INDEX(Bank!$C:$C,$C1837)="","",INDEX(Bank!$C:$C,$C1837)),IF(INDEX(GL!$C:$C,$C1837)="","",INDEX(GL!$C:$C,$C1837))))</f>
        <v/>
      </c>
      <c r="F1837" s="5" t="str">
        <f aca="false">IF(C1837=0,"",IF($A1837="Bank",IF(INDEX(Bank!$D:$D,$C1837)="","",INDEX(Bank!$D:$D,$C1837)),IF(INDEX(GL!$D:$D,$C1837)="","",INDEX(GL!$D:$D,$C1837))))</f>
        <v/>
      </c>
      <c r="G1837" s="19" t="str">
        <f aca="false">IF(C1837=0,"",IF($A1837="Bank",INDEX(Bank!$E:$E,$C1837),INDEX(GL!$E:$E,$C1837)))</f>
        <v/>
      </c>
      <c r="H1837" s="5" t="str">
        <f aca="false">IF(C1837=0,"",IF(A1837="GL",IF(G1837&gt;0,"Deposit in transit","Outstanding check / payment"),IF(G1837&gt;0,"Bank credit not in GL","Bank debit not in GL")))</f>
        <v/>
      </c>
      <c r="I1837" s="42" t="str">
        <f aca="false">IF(OR(C1837=0,CFG_PeriodEnd=""),"",CFG_PeriodEnd-D1837)</f>
        <v/>
      </c>
      <c r="J1837" s="5" t="str">
        <f aca="false">IF(C1837=0,"",IF($A1837="Bank",IF(INDEX(Bank!$G:$G,$C1837)="","",INDEX(Bank!$G:$G,$C1837)),IF(INDEX(GL!$G:$G,$C1837)="","",INDEX(GL!$G:$G,$C1837))))</f>
        <v/>
      </c>
      <c r="K1837" s="5" t="str">
        <f aca="false">IF(C1837=0,"",IF($A1837="Bank",IF(INDEX(Bank!$I:$I,$C1837)="","",INDEX(Bank!$I:$I,$C1837)),IF(INDEX(GL!$I:$I,$C1837)="","",INDEX(GL!$I:$I,$C1837))))</f>
        <v/>
      </c>
      <c r="L1837" s="5" t="str">
        <f aca="false">IF(B1837="","",IF(C1837=0,"NOT FOUND",IF(IF($A1837="Bank",INDEX(Bank!$F:$F,$C1837),INDEX(GL!$F:$F,$C1837))="Y","NOW RECONCILED: refresh","OK")))</f>
        <v/>
      </c>
    </row>
    <row r="1838" customFormat="false" ht="15" hidden="false" customHeight="false" outlineLevel="0" collapsed="false">
      <c r="A1838" s="41"/>
      <c r="B1838" s="41"/>
      <c r="C1838" s="5" t="n">
        <f aca="false">IF(B1838="",0,IF(A1838="Bank",IFERROR(MATCH(B1838,Bank!$A:$A,0),0),IFERROR(MATCH(B1838,GL!$A:$A,0),0)))</f>
        <v>0</v>
      </c>
      <c r="D1838" s="32" t="str">
        <f aca="false">IF(C1838=0,"",IF($A1838="Bank",INDEX(Bank!$B:$B,$C1838),INDEX(GL!$B:$B,$C1838)))</f>
        <v/>
      </c>
      <c r="E1838" s="5" t="str">
        <f aca="false">IF(C1838=0,"",IF($A1838="Bank",IF(INDEX(Bank!$C:$C,$C1838)="","",INDEX(Bank!$C:$C,$C1838)),IF(INDEX(GL!$C:$C,$C1838)="","",INDEX(GL!$C:$C,$C1838))))</f>
        <v/>
      </c>
      <c r="F1838" s="5" t="str">
        <f aca="false">IF(C1838=0,"",IF($A1838="Bank",IF(INDEX(Bank!$D:$D,$C1838)="","",INDEX(Bank!$D:$D,$C1838)),IF(INDEX(GL!$D:$D,$C1838)="","",INDEX(GL!$D:$D,$C1838))))</f>
        <v/>
      </c>
      <c r="G1838" s="19" t="str">
        <f aca="false">IF(C1838=0,"",IF($A1838="Bank",INDEX(Bank!$E:$E,$C1838),INDEX(GL!$E:$E,$C1838)))</f>
        <v/>
      </c>
      <c r="H1838" s="5" t="str">
        <f aca="false">IF(C1838=0,"",IF(A1838="GL",IF(G1838&gt;0,"Deposit in transit","Outstanding check / payment"),IF(G1838&gt;0,"Bank credit not in GL","Bank debit not in GL")))</f>
        <v/>
      </c>
      <c r="I1838" s="42" t="str">
        <f aca="false">IF(OR(C1838=0,CFG_PeriodEnd=""),"",CFG_PeriodEnd-D1838)</f>
        <v/>
      </c>
      <c r="J1838" s="5" t="str">
        <f aca="false">IF(C1838=0,"",IF($A1838="Bank",IF(INDEX(Bank!$G:$G,$C1838)="","",INDEX(Bank!$G:$G,$C1838)),IF(INDEX(GL!$G:$G,$C1838)="","",INDEX(GL!$G:$G,$C1838))))</f>
        <v/>
      </c>
      <c r="K1838" s="5" t="str">
        <f aca="false">IF(C1838=0,"",IF($A1838="Bank",IF(INDEX(Bank!$I:$I,$C1838)="","",INDEX(Bank!$I:$I,$C1838)),IF(INDEX(GL!$I:$I,$C1838)="","",INDEX(GL!$I:$I,$C1838))))</f>
        <v/>
      </c>
      <c r="L1838" s="5" t="str">
        <f aca="false">IF(B1838="","",IF(C1838=0,"NOT FOUND",IF(IF($A1838="Bank",INDEX(Bank!$F:$F,$C1838),INDEX(GL!$F:$F,$C1838))="Y","NOW RECONCILED: refresh","OK")))</f>
        <v/>
      </c>
    </row>
    <row r="1839" customFormat="false" ht="15" hidden="false" customHeight="false" outlineLevel="0" collapsed="false">
      <c r="A1839" s="41"/>
      <c r="B1839" s="41"/>
      <c r="C1839" s="5" t="n">
        <f aca="false">IF(B1839="",0,IF(A1839="Bank",IFERROR(MATCH(B1839,Bank!$A:$A,0),0),IFERROR(MATCH(B1839,GL!$A:$A,0),0)))</f>
        <v>0</v>
      </c>
      <c r="D1839" s="32" t="str">
        <f aca="false">IF(C1839=0,"",IF($A1839="Bank",INDEX(Bank!$B:$B,$C1839),INDEX(GL!$B:$B,$C1839)))</f>
        <v/>
      </c>
      <c r="E1839" s="5" t="str">
        <f aca="false">IF(C1839=0,"",IF($A1839="Bank",IF(INDEX(Bank!$C:$C,$C1839)="","",INDEX(Bank!$C:$C,$C1839)),IF(INDEX(GL!$C:$C,$C1839)="","",INDEX(GL!$C:$C,$C1839))))</f>
        <v/>
      </c>
      <c r="F1839" s="5" t="str">
        <f aca="false">IF(C1839=0,"",IF($A1839="Bank",IF(INDEX(Bank!$D:$D,$C1839)="","",INDEX(Bank!$D:$D,$C1839)),IF(INDEX(GL!$D:$D,$C1839)="","",INDEX(GL!$D:$D,$C1839))))</f>
        <v/>
      </c>
      <c r="G1839" s="19" t="str">
        <f aca="false">IF(C1839=0,"",IF($A1839="Bank",INDEX(Bank!$E:$E,$C1839),INDEX(GL!$E:$E,$C1839)))</f>
        <v/>
      </c>
      <c r="H1839" s="5" t="str">
        <f aca="false">IF(C1839=0,"",IF(A1839="GL",IF(G1839&gt;0,"Deposit in transit","Outstanding check / payment"),IF(G1839&gt;0,"Bank credit not in GL","Bank debit not in GL")))</f>
        <v/>
      </c>
      <c r="I1839" s="42" t="str">
        <f aca="false">IF(OR(C1839=0,CFG_PeriodEnd=""),"",CFG_PeriodEnd-D1839)</f>
        <v/>
      </c>
      <c r="J1839" s="5" t="str">
        <f aca="false">IF(C1839=0,"",IF($A1839="Bank",IF(INDEX(Bank!$G:$G,$C1839)="","",INDEX(Bank!$G:$G,$C1839)),IF(INDEX(GL!$G:$G,$C1839)="","",INDEX(GL!$G:$G,$C1839))))</f>
        <v/>
      </c>
      <c r="K1839" s="5" t="str">
        <f aca="false">IF(C1839=0,"",IF($A1839="Bank",IF(INDEX(Bank!$I:$I,$C1839)="","",INDEX(Bank!$I:$I,$C1839)),IF(INDEX(GL!$I:$I,$C1839)="","",INDEX(GL!$I:$I,$C1839))))</f>
        <v/>
      </c>
      <c r="L1839" s="5" t="str">
        <f aca="false">IF(B1839="","",IF(C1839=0,"NOT FOUND",IF(IF($A1839="Bank",INDEX(Bank!$F:$F,$C1839),INDEX(GL!$F:$F,$C1839))="Y","NOW RECONCILED: refresh","OK")))</f>
        <v/>
      </c>
    </row>
    <row r="1840" customFormat="false" ht="15" hidden="false" customHeight="false" outlineLevel="0" collapsed="false">
      <c r="A1840" s="41"/>
      <c r="B1840" s="41"/>
      <c r="C1840" s="5" t="n">
        <f aca="false">IF(B1840="",0,IF(A1840="Bank",IFERROR(MATCH(B1840,Bank!$A:$A,0),0),IFERROR(MATCH(B1840,GL!$A:$A,0),0)))</f>
        <v>0</v>
      </c>
      <c r="D1840" s="32" t="str">
        <f aca="false">IF(C1840=0,"",IF($A1840="Bank",INDEX(Bank!$B:$B,$C1840),INDEX(GL!$B:$B,$C1840)))</f>
        <v/>
      </c>
      <c r="E1840" s="5" t="str">
        <f aca="false">IF(C1840=0,"",IF($A1840="Bank",IF(INDEX(Bank!$C:$C,$C1840)="","",INDEX(Bank!$C:$C,$C1840)),IF(INDEX(GL!$C:$C,$C1840)="","",INDEX(GL!$C:$C,$C1840))))</f>
        <v/>
      </c>
      <c r="F1840" s="5" t="str">
        <f aca="false">IF(C1840=0,"",IF($A1840="Bank",IF(INDEX(Bank!$D:$D,$C1840)="","",INDEX(Bank!$D:$D,$C1840)),IF(INDEX(GL!$D:$D,$C1840)="","",INDEX(GL!$D:$D,$C1840))))</f>
        <v/>
      </c>
      <c r="G1840" s="19" t="str">
        <f aca="false">IF(C1840=0,"",IF($A1840="Bank",INDEX(Bank!$E:$E,$C1840),INDEX(GL!$E:$E,$C1840)))</f>
        <v/>
      </c>
      <c r="H1840" s="5" t="str">
        <f aca="false">IF(C1840=0,"",IF(A1840="GL",IF(G1840&gt;0,"Deposit in transit","Outstanding check / payment"),IF(G1840&gt;0,"Bank credit not in GL","Bank debit not in GL")))</f>
        <v/>
      </c>
      <c r="I1840" s="42" t="str">
        <f aca="false">IF(OR(C1840=0,CFG_PeriodEnd=""),"",CFG_PeriodEnd-D1840)</f>
        <v/>
      </c>
      <c r="J1840" s="5" t="str">
        <f aca="false">IF(C1840=0,"",IF($A1840="Bank",IF(INDEX(Bank!$G:$G,$C1840)="","",INDEX(Bank!$G:$G,$C1840)),IF(INDEX(GL!$G:$G,$C1840)="","",INDEX(GL!$G:$G,$C1840))))</f>
        <v/>
      </c>
      <c r="K1840" s="5" t="str">
        <f aca="false">IF(C1840=0,"",IF($A1840="Bank",IF(INDEX(Bank!$I:$I,$C1840)="","",INDEX(Bank!$I:$I,$C1840)),IF(INDEX(GL!$I:$I,$C1840)="","",INDEX(GL!$I:$I,$C1840))))</f>
        <v/>
      </c>
      <c r="L1840" s="5" t="str">
        <f aca="false">IF(B1840="","",IF(C1840=0,"NOT FOUND",IF(IF($A1840="Bank",INDEX(Bank!$F:$F,$C1840),INDEX(GL!$F:$F,$C1840))="Y","NOW RECONCILED: refresh","OK")))</f>
        <v/>
      </c>
    </row>
    <row r="1841" customFormat="false" ht="15" hidden="false" customHeight="false" outlineLevel="0" collapsed="false">
      <c r="A1841" s="41"/>
      <c r="B1841" s="41"/>
      <c r="C1841" s="5" t="n">
        <f aca="false">IF(B1841="",0,IF(A1841="Bank",IFERROR(MATCH(B1841,Bank!$A:$A,0),0),IFERROR(MATCH(B1841,GL!$A:$A,0),0)))</f>
        <v>0</v>
      </c>
      <c r="D1841" s="32" t="str">
        <f aca="false">IF(C1841=0,"",IF($A1841="Bank",INDEX(Bank!$B:$B,$C1841),INDEX(GL!$B:$B,$C1841)))</f>
        <v/>
      </c>
      <c r="E1841" s="5" t="str">
        <f aca="false">IF(C1841=0,"",IF($A1841="Bank",IF(INDEX(Bank!$C:$C,$C1841)="","",INDEX(Bank!$C:$C,$C1841)),IF(INDEX(GL!$C:$C,$C1841)="","",INDEX(GL!$C:$C,$C1841))))</f>
        <v/>
      </c>
      <c r="F1841" s="5" t="str">
        <f aca="false">IF(C1841=0,"",IF($A1841="Bank",IF(INDEX(Bank!$D:$D,$C1841)="","",INDEX(Bank!$D:$D,$C1841)),IF(INDEX(GL!$D:$D,$C1841)="","",INDEX(GL!$D:$D,$C1841))))</f>
        <v/>
      </c>
      <c r="G1841" s="19" t="str">
        <f aca="false">IF(C1841=0,"",IF($A1841="Bank",INDEX(Bank!$E:$E,$C1841),INDEX(GL!$E:$E,$C1841)))</f>
        <v/>
      </c>
      <c r="H1841" s="5" t="str">
        <f aca="false">IF(C1841=0,"",IF(A1841="GL",IF(G1841&gt;0,"Deposit in transit","Outstanding check / payment"),IF(G1841&gt;0,"Bank credit not in GL","Bank debit not in GL")))</f>
        <v/>
      </c>
      <c r="I1841" s="42" t="str">
        <f aca="false">IF(OR(C1841=0,CFG_PeriodEnd=""),"",CFG_PeriodEnd-D1841)</f>
        <v/>
      </c>
      <c r="J1841" s="5" t="str">
        <f aca="false">IF(C1841=0,"",IF($A1841="Bank",IF(INDEX(Bank!$G:$G,$C1841)="","",INDEX(Bank!$G:$G,$C1841)),IF(INDEX(GL!$G:$G,$C1841)="","",INDEX(GL!$G:$G,$C1841))))</f>
        <v/>
      </c>
      <c r="K1841" s="5" t="str">
        <f aca="false">IF(C1841=0,"",IF($A1841="Bank",IF(INDEX(Bank!$I:$I,$C1841)="","",INDEX(Bank!$I:$I,$C1841)),IF(INDEX(GL!$I:$I,$C1841)="","",INDEX(GL!$I:$I,$C1841))))</f>
        <v/>
      </c>
      <c r="L1841" s="5" t="str">
        <f aca="false">IF(B1841="","",IF(C1841=0,"NOT FOUND",IF(IF($A1841="Bank",INDEX(Bank!$F:$F,$C1841),INDEX(GL!$F:$F,$C1841))="Y","NOW RECONCILED: refresh","OK")))</f>
        <v/>
      </c>
    </row>
    <row r="1842" customFormat="false" ht="15" hidden="false" customHeight="false" outlineLevel="0" collapsed="false">
      <c r="A1842" s="41"/>
      <c r="B1842" s="41"/>
      <c r="C1842" s="5" t="n">
        <f aca="false">IF(B1842="",0,IF(A1842="Bank",IFERROR(MATCH(B1842,Bank!$A:$A,0),0),IFERROR(MATCH(B1842,GL!$A:$A,0),0)))</f>
        <v>0</v>
      </c>
      <c r="D1842" s="32" t="str">
        <f aca="false">IF(C1842=0,"",IF($A1842="Bank",INDEX(Bank!$B:$B,$C1842),INDEX(GL!$B:$B,$C1842)))</f>
        <v/>
      </c>
      <c r="E1842" s="5" t="str">
        <f aca="false">IF(C1842=0,"",IF($A1842="Bank",IF(INDEX(Bank!$C:$C,$C1842)="","",INDEX(Bank!$C:$C,$C1842)),IF(INDEX(GL!$C:$C,$C1842)="","",INDEX(GL!$C:$C,$C1842))))</f>
        <v/>
      </c>
      <c r="F1842" s="5" t="str">
        <f aca="false">IF(C1842=0,"",IF($A1842="Bank",IF(INDEX(Bank!$D:$D,$C1842)="","",INDEX(Bank!$D:$D,$C1842)),IF(INDEX(GL!$D:$D,$C1842)="","",INDEX(GL!$D:$D,$C1842))))</f>
        <v/>
      </c>
      <c r="G1842" s="19" t="str">
        <f aca="false">IF(C1842=0,"",IF($A1842="Bank",INDEX(Bank!$E:$E,$C1842),INDEX(GL!$E:$E,$C1842)))</f>
        <v/>
      </c>
      <c r="H1842" s="5" t="str">
        <f aca="false">IF(C1842=0,"",IF(A1842="GL",IF(G1842&gt;0,"Deposit in transit","Outstanding check / payment"),IF(G1842&gt;0,"Bank credit not in GL","Bank debit not in GL")))</f>
        <v/>
      </c>
      <c r="I1842" s="42" t="str">
        <f aca="false">IF(OR(C1842=0,CFG_PeriodEnd=""),"",CFG_PeriodEnd-D1842)</f>
        <v/>
      </c>
      <c r="J1842" s="5" t="str">
        <f aca="false">IF(C1842=0,"",IF($A1842="Bank",IF(INDEX(Bank!$G:$G,$C1842)="","",INDEX(Bank!$G:$G,$C1842)),IF(INDEX(GL!$G:$G,$C1842)="","",INDEX(GL!$G:$G,$C1842))))</f>
        <v/>
      </c>
      <c r="K1842" s="5" t="str">
        <f aca="false">IF(C1842=0,"",IF($A1842="Bank",IF(INDEX(Bank!$I:$I,$C1842)="","",INDEX(Bank!$I:$I,$C1842)),IF(INDEX(GL!$I:$I,$C1842)="","",INDEX(GL!$I:$I,$C1842))))</f>
        <v/>
      </c>
      <c r="L1842" s="5" t="str">
        <f aca="false">IF(B1842="","",IF(C1842=0,"NOT FOUND",IF(IF($A1842="Bank",INDEX(Bank!$F:$F,$C1842),INDEX(GL!$F:$F,$C1842))="Y","NOW RECONCILED: refresh","OK")))</f>
        <v/>
      </c>
    </row>
    <row r="1843" customFormat="false" ht="15" hidden="false" customHeight="false" outlineLevel="0" collapsed="false">
      <c r="A1843" s="41"/>
      <c r="B1843" s="41"/>
      <c r="C1843" s="5" t="n">
        <f aca="false">IF(B1843="",0,IF(A1843="Bank",IFERROR(MATCH(B1843,Bank!$A:$A,0),0),IFERROR(MATCH(B1843,GL!$A:$A,0),0)))</f>
        <v>0</v>
      </c>
      <c r="D1843" s="32" t="str">
        <f aca="false">IF(C1843=0,"",IF($A1843="Bank",INDEX(Bank!$B:$B,$C1843),INDEX(GL!$B:$B,$C1843)))</f>
        <v/>
      </c>
      <c r="E1843" s="5" t="str">
        <f aca="false">IF(C1843=0,"",IF($A1843="Bank",IF(INDEX(Bank!$C:$C,$C1843)="","",INDEX(Bank!$C:$C,$C1843)),IF(INDEX(GL!$C:$C,$C1843)="","",INDEX(GL!$C:$C,$C1843))))</f>
        <v/>
      </c>
      <c r="F1843" s="5" t="str">
        <f aca="false">IF(C1843=0,"",IF($A1843="Bank",IF(INDEX(Bank!$D:$D,$C1843)="","",INDEX(Bank!$D:$D,$C1843)),IF(INDEX(GL!$D:$D,$C1843)="","",INDEX(GL!$D:$D,$C1843))))</f>
        <v/>
      </c>
      <c r="G1843" s="19" t="str">
        <f aca="false">IF(C1843=0,"",IF($A1843="Bank",INDEX(Bank!$E:$E,$C1843),INDEX(GL!$E:$E,$C1843)))</f>
        <v/>
      </c>
      <c r="H1843" s="5" t="str">
        <f aca="false">IF(C1843=0,"",IF(A1843="GL",IF(G1843&gt;0,"Deposit in transit","Outstanding check / payment"),IF(G1843&gt;0,"Bank credit not in GL","Bank debit not in GL")))</f>
        <v/>
      </c>
      <c r="I1843" s="42" t="str">
        <f aca="false">IF(OR(C1843=0,CFG_PeriodEnd=""),"",CFG_PeriodEnd-D1843)</f>
        <v/>
      </c>
      <c r="J1843" s="5" t="str">
        <f aca="false">IF(C1843=0,"",IF($A1843="Bank",IF(INDEX(Bank!$G:$G,$C1843)="","",INDEX(Bank!$G:$G,$C1843)),IF(INDEX(GL!$G:$G,$C1843)="","",INDEX(GL!$G:$G,$C1843))))</f>
        <v/>
      </c>
      <c r="K1843" s="5" t="str">
        <f aca="false">IF(C1843=0,"",IF($A1843="Bank",IF(INDEX(Bank!$I:$I,$C1843)="","",INDEX(Bank!$I:$I,$C1843)),IF(INDEX(GL!$I:$I,$C1843)="","",INDEX(GL!$I:$I,$C1843))))</f>
        <v/>
      </c>
      <c r="L1843" s="5" t="str">
        <f aca="false">IF(B1843="","",IF(C1843=0,"NOT FOUND",IF(IF($A1843="Bank",INDEX(Bank!$F:$F,$C1843),INDEX(GL!$F:$F,$C1843))="Y","NOW RECONCILED: refresh","OK")))</f>
        <v/>
      </c>
    </row>
    <row r="1844" customFormat="false" ht="15" hidden="false" customHeight="false" outlineLevel="0" collapsed="false">
      <c r="A1844" s="41"/>
      <c r="B1844" s="41"/>
      <c r="C1844" s="5" t="n">
        <f aca="false">IF(B1844="",0,IF(A1844="Bank",IFERROR(MATCH(B1844,Bank!$A:$A,0),0),IFERROR(MATCH(B1844,GL!$A:$A,0),0)))</f>
        <v>0</v>
      </c>
      <c r="D1844" s="32" t="str">
        <f aca="false">IF(C1844=0,"",IF($A1844="Bank",INDEX(Bank!$B:$B,$C1844),INDEX(GL!$B:$B,$C1844)))</f>
        <v/>
      </c>
      <c r="E1844" s="5" t="str">
        <f aca="false">IF(C1844=0,"",IF($A1844="Bank",IF(INDEX(Bank!$C:$C,$C1844)="","",INDEX(Bank!$C:$C,$C1844)),IF(INDEX(GL!$C:$C,$C1844)="","",INDEX(GL!$C:$C,$C1844))))</f>
        <v/>
      </c>
      <c r="F1844" s="5" t="str">
        <f aca="false">IF(C1844=0,"",IF($A1844="Bank",IF(INDEX(Bank!$D:$D,$C1844)="","",INDEX(Bank!$D:$D,$C1844)),IF(INDEX(GL!$D:$D,$C1844)="","",INDEX(GL!$D:$D,$C1844))))</f>
        <v/>
      </c>
      <c r="G1844" s="19" t="str">
        <f aca="false">IF(C1844=0,"",IF($A1844="Bank",INDEX(Bank!$E:$E,$C1844),INDEX(GL!$E:$E,$C1844)))</f>
        <v/>
      </c>
      <c r="H1844" s="5" t="str">
        <f aca="false">IF(C1844=0,"",IF(A1844="GL",IF(G1844&gt;0,"Deposit in transit","Outstanding check / payment"),IF(G1844&gt;0,"Bank credit not in GL","Bank debit not in GL")))</f>
        <v/>
      </c>
      <c r="I1844" s="42" t="str">
        <f aca="false">IF(OR(C1844=0,CFG_PeriodEnd=""),"",CFG_PeriodEnd-D1844)</f>
        <v/>
      </c>
      <c r="J1844" s="5" t="str">
        <f aca="false">IF(C1844=0,"",IF($A1844="Bank",IF(INDEX(Bank!$G:$G,$C1844)="","",INDEX(Bank!$G:$G,$C1844)),IF(INDEX(GL!$G:$G,$C1844)="","",INDEX(GL!$G:$G,$C1844))))</f>
        <v/>
      </c>
      <c r="K1844" s="5" t="str">
        <f aca="false">IF(C1844=0,"",IF($A1844="Bank",IF(INDEX(Bank!$I:$I,$C1844)="","",INDEX(Bank!$I:$I,$C1844)),IF(INDEX(GL!$I:$I,$C1844)="","",INDEX(GL!$I:$I,$C1844))))</f>
        <v/>
      </c>
      <c r="L1844" s="5" t="str">
        <f aca="false">IF(B1844="","",IF(C1844=0,"NOT FOUND",IF(IF($A1844="Bank",INDEX(Bank!$F:$F,$C1844),INDEX(GL!$F:$F,$C1844))="Y","NOW RECONCILED: refresh","OK")))</f>
        <v/>
      </c>
    </row>
    <row r="1845" customFormat="false" ht="15" hidden="false" customHeight="false" outlineLevel="0" collapsed="false">
      <c r="A1845" s="41"/>
      <c r="B1845" s="41"/>
      <c r="C1845" s="5" t="n">
        <f aca="false">IF(B1845="",0,IF(A1845="Bank",IFERROR(MATCH(B1845,Bank!$A:$A,0),0),IFERROR(MATCH(B1845,GL!$A:$A,0),0)))</f>
        <v>0</v>
      </c>
      <c r="D1845" s="32" t="str">
        <f aca="false">IF(C1845=0,"",IF($A1845="Bank",INDEX(Bank!$B:$B,$C1845),INDEX(GL!$B:$B,$C1845)))</f>
        <v/>
      </c>
      <c r="E1845" s="5" t="str">
        <f aca="false">IF(C1845=0,"",IF($A1845="Bank",IF(INDEX(Bank!$C:$C,$C1845)="","",INDEX(Bank!$C:$C,$C1845)),IF(INDEX(GL!$C:$C,$C1845)="","",INDEX(GL!$C:$C,$C1845))))</f>
        <v/>
      </c>
      <c r="F1845" s="5" t="str">
        <f aca="false">IF(C1845=0,"",IF($A1845="Bank",IF(INDEX(Bank!$D:$D,$C1845)="","",INDEX(Bank!$D:$D,$C1845)),IF(INDEX(GL!$D:$D,$C1845)="","",INDEX(GL!$D:$D,$C1845))))</f>
        <v/>
      </c>
      <c r="G1845" s="19" t="str">
        <f aca="false">IF(C1845=0,"",IF($A1845="Bank",INDEX(Bank!$E:$E,$C1845),INDEX(GL!$E:$E,$C1845)))</f>
        <v/>
      </c>
      <c r="H1845" s="5" t="str">
        <f aca="false">IF(C1845=0,"",IF(A1845="GL",IF(G1845&gt;0,"Deposit in transit","Outstanding check / payment"),IF(G1845&gt;0,"Bank credit not in GL","Bank debit not in GL")))</f>
        <v/>
      </c>
      <c r="I1845" s="42" t="str">
        <f aca="false">IF(OR(C1845=0,CFG_PeriodEnd=""),"",CFG_PeriodEnd-D1845)</f>
        <v/>
      </c>
      <c r="J1845" s="5" t="str">
        <f aca="false">IF(C1845=0,"",IF($A1845="Bank",IF(INDEX(Bank!$G:$G,$C1845)="","",INDEX(Bank!$G:$G,$C1845)),IF(INDEX(GL!$G:$G,$C1845)="","",INDEX(GL!$G:$G,$C1845))))</f>
        <v/>
      </c>
      <c r="K1845" s="5" t="str">
        <f aca="false">IF(C1845=0,"",IF($A1845="Bank",IF(INDEX(Bank!$I:$I,$C1845)="","",INDEX(Bank!$I:$I,$C1845)),IF(INDEX(GL!$I:$I,$C1845)="","",INDEX(GL!$I:$I,$C1845))))</f>
        <v/>
      </c>
      <c r="L1845" s="5" t="str">
        <f aca="false">IF(B1845="","",IF(C1845=0,"NOT FOUND",IF(IF($A1845="Bank",INDEX(Bank!$F:$F,$C1845),INDEX(GL!$F:$F,$C1845))="Y","NOW RECONCILED: refresh","OK")))</f>
        <v/>
      </c>
    </row>
    <row r="1846" customFormat="false" ht="15" hidden="false" customHeight="false" outlineLevel="0" collapsed="false">
      <c r="A1846" s="41"/>
      <c r="B1846" s="41"/>
      <c r="C1846" s="5" t="n">
        <f aca="false">IF(B1846="",0,IF(A1846="Bank",IFERROR(MATCH(B1846,Bank!$A:$A,0),0),IFERROR(MATCH(B1846,GL!$A:$A,0),0)))</f>
        <v>0</v>
      </c>
      <c r="D1846" s="32" t="str">
        <f aca="false">IF(C1846=0,"",IF($A1846="Bank",INDEX(Bank!$B:$B,$C1846),INDEX(GL!$B:$B,$C1846)))</f>
        <v/>
      </c>
      <c r="E1846" s="5" t="str">
        <f aca="false">IF(C1846=0,"",IF($A1846="Bank",IF(INDEX(Bank!$C:$C,$C1846)="","",INDEX(Bank!$C:$C,$C1846)),IF(INDEX(GL!$C:$C,$C1846)="","",INDEX(GL!$C:$C,$C1846))))</f>
        <v/>
      </c>
      <c r="F1846" s="5" t="str">
        <f aca="false">IF(C1846=0,"",IF($A1846="Bank",IF(INDEX(Bank!$D:$D,$C1846)="","",INDEX(Bank!$D:$D,$C1846)),IF(INDEX(GL!$D:$D,$C1846)="","",INDEX(GL!$D:$D,$C1846))))</f>
        <v/>
      </c>
      <c r="G1846" s="19" t="str">
        <f aca="false">IF(C1846=0,"",IF($A1846="Bank",INDEX(Bank!$E:$E,$C1846),INDEX(GL!$E:$E,$C1846)))</f>
        <v/>
      </c>
      <c r="H1846" s="5" t="str">
        <f aca="false">IF(C1846=0,"",IF(A1846="GL",IF(G1846&gt;0,"Deposit in transit","Outstanding check / payment"),IF(G1846&gt;0,"Bank credit not in GL","Bank debit not in GL")))</f>
        <v/>
      </c>
      <c r="I1846" s="42" t="str">
        <f aca="false">IF(OR(C1846=0,CFG_PeriodEnd=""),"",CFG_PeriodEnd-D1846)</f>
        <v/>
      </c>
      <c r="J1846" s="5" t="str">
        <f aca="false">IF(C1846=0,"",IF($A1846="Bank",IF(INDEX(Bank!$G:$G,$C1846)="","",INDEX(Bank!$G:$G,$C1846)),IF(INDEX(GL!$G:$G,$C1846)="","",INDEX(GL!$G:$G,$C1846))))</f>
        <v/>
      </c>
      <c r="K1846" s="5" t="str">
        <f aca="false">IF(C1846=0,"",IF($A1846="Bank",IF(INDEX(Bank!$I:$I,$C1846)="","",INDEX(Bank!$I:$I,$C1846)),IF(INDEX(GL!$I:$I,$C1846)="","",INDEX(GL!$I:$I,$C1846))))</f>
        <v/>
      </c>
      <c r="L1846" s="5" t="str">
        <f aca="false">IF(B1846="","",IF(C1846=0,"NOT FOUND",IF(IF($A1846="Bank",INDEX(Bank!$F:$F,$C1846),INDEX(GL!$F:$F,$C1846))="Y","NOW RECONCILED: refresh","OK")))</f>
        <v/>
      </c>
    </row>
    <row r="1847" customFormat="false" ht="15" hidden="false" customHeight="false" outlineLevel="0" collapsed="false">
      <c r="A1847" s="41"/>
      <c r="B1847" s="41"/>
      <c r="C1847" s="5" t="n">
        <f aca="false">IF(B1847="",0,IF(A1847="Bank",IFERROR(MATCH(B1847,Bank!$A:$A,0),0),IFERROR(MATCH(B1847,GL!$A:$A,0),0)))</f>
        <v>0</v>
      </c>
      <c r="D1847" s="32" t="str">
        <f aca="false">IF(C1847=0,"",IF($A1847="Bank",INDEX(Bank!$B:$B,$C1847),INDEX(GL!$B:$B,$C1847)))</f>
        <v/>
      </c>
      <c r="E1847" s="5" t="str">
        <f aca="false">IF(C1847=0,"",IF($A1847="Bank",IF(INDEX(Bank!$C:$C,$C1847)="","",INDEX(Bank!$C:$C,$C1847)),IF(INDEX(GL!$C:$C,$C1847)="","",INDEX(GL!$C:$C,$C1847))))</f>
        <v/>
      </c>
      <c r="F1847" s="5" t="str">
        <f aca="false">IF(C1847=0,"",IF($A1847="Bank",IF(INDEX(Bank!$D:$D,$C1847)="","",INDEX(Bank!$D:$D,$C1847)),IF(INDEX(GL!$D:$D,$C1847)="","",INDEX(GL!$D:$D,$C1847))))</f>
        <v/>
      </c>
      <c r="G1847" s="19" t="str">
        <f aca="false">IF(C1847=0,"",IF($A1847="Bank",INDEX(Bank!$E:$E,$C1847),INDEX(GL!$E:$E,$C1847)))</f>
        <v/>
      </c>
      <c r="H1847" s="5" t="str">
        <f aca="false">IF(C1847=0,"",IF(A1847="GL",IF(G1847&gt;0,"Deposit in transit","Outstanding check / payment"),IF(G1847&gt;0,"Bank credit not in GL","Bank debit not in GL")))</f>
        <v/>
      </c>
      <c r="I1847" s="42" t="str">
        <f aca="false">IF(OR(C1847=0,CFG_PeriodEnd=""),"",CFG_PeriodEnd-D1847)</f>
        <v/>
      </c>
      <c r="J1847" s="5" t="str">
        <f aca="false">IF(C1847=0,"",IF($A1847="Bank",IF(INDEX(Bank!$G:$G,$C1847)="","",INDEX(Bank!$G:$G,$C1847)),IF(INDEX(GL!$G:$G,$C1847)="","",INDEX(GL!$G:$G,$C1847))))</f>
        <v/>
      </c>
      <c r="K1847" s="5" t="str">
        <f aca="false">IF(C1847=0,"",IF($A1847="Bank",IF(INDEX(Bank!$I:$I,$C1847)="","",INDEX(Bank!$I:$I,$C1847)),IF(INDEX(GL!$I:$I,$C1847)="","",INDEX(GL!$I:$I,$C1847))))</f>
        <v/>
      </c>
      <c r="L1847" s="5" t="str">
        <f aca="false">IF(B1847="","",IF(C1847=0,"NOT FOUND",IF(IF($A1847="Bank",INDEX(Bank!$F:$F,$C1847),INDEX(GL!$F:$F,$C1847))="Y","NOW RECONCILED: refresh","OK")))</f>
        <v/>
      </c>
    </row>
    <row r="1848" customFormat="false" ht="15" hidden="false" customHeight="false" outlineLevel="0" collapsed="false">
      <c r="A1848" s="41"/>
      <c r="B1848" s="41"/>
      <c r="C1848" s="5" t="n">
        <f aca="false">IF(B1848="",0,IF(A1848="Bank",IFERROR(MATCH(B1848,Bank!$A:$A,0),0),IFERROR(MATCH(B1848,GL!$A:$A,0),0)))</f>
        <v>0</v>
      </c>
      <c r="D1848" s="32" t="str">
        <f aca="false">IF(C1848=0,"",IF($A1848="Bank",INDEX(Bank!$B:$B,$C1848),INDEX(GL!$B:$B,$C1848)))</f>
        <v/>
      </c>
      <c r="E1848" s="5" t="str">
        <f aca="false">IF(C1848=0,"",IF($A1848="Bank",IF(INDEX(Bank!$C:$C,$C1848)="","",INDEX(Bank!$C:$C,$C1848)),IF(INDEX(GL!$C:$C,$C1848)="","",INDEX(GL!$C:$C,$C1848))))</f>
        <v/>
      </c>
      <c r="F1848" s="5" t="str">
        <f aca="false">IF(C1848=0,"",IF($A1848="Bank",IF(INDEX(Bank!$D:$D,$C1848)="","",INDEX(Bank!$D:$D,$C1848)),IF(INDEX(GL!$D:$D,$C1848)="","",INDEX(GL!$D:$D,$C1848))))</f>
        <v/>
      </c>
      <c r="G1848" s="19" t="str">
        <f aca="false">IF(C1848=0,"",IF($A1848="Bank",INDEX(Bank!$E:$E,$C1848),INDEX(GL!$E:$E,$C1848)))</f>
        <v/>
      </c>
      <c r="H1848" s="5" t="str">
        <f aca="false">IF(C1848=0,"",IF(A1848="GL",IF(G1848&gt;0,"Deposit in transit","Outstanding check / payment"),IF(G1848&gt;0,"Bank credit not in GL","Bank debit not in GL")))</f>
        <v/>
      </c>
      <c r="I1848" s="42" t="str">
        <f aca="false">IF(OR(C1848=0,CFG_PeriodEnd=""),"",CFG_PeriodEnd-D1848)</f>
        <v/>
      </c>
      <c r="J1848" s="5" t="str">
        <f aca="false">IF(C1848=0,"",IF($A1848="Bank",IF(INDEX(Bank!$G:$G,$C1848)="","",INDEX(Bank!$G:$G,$C1848)),IF(INDEX(GL!$G:$G,$C1848)="","",INDEX(GL!$G:$G,$C1848))))</f>
        <v/>
      </c>
      <c r="K1848" s="5" t="str">
        <f aca="false">IF(C1848=0,"",IF($A1848="Bank",IF(INDEX(Bank!$I:$I,$C1848)="","",INDEX(Bank!$I:$I,$C1848)),IF(INDEX(GL!$I:$I,$C1848)="","",INDEX(GL!$I:$I,$C1848))))</f>
        <v/>
      </c>
      <c r="L1848" s="5" t="str">
        <f aca="false">IF(B1848="","",IF(C1848=0,"NOT FOUND",IF(IF($A1848="Bank",INDEX(Bank!$F:$F,$C1848),INDEX(GL!$F:$F,$C1848))="Y","NOW RECONCILED: refresh","OK")))</f>
        <v/>
      </c>
    </row>
    <row r="1849" customFormat="false" ht="15" hidden="false" customHeight="false" outlineLevel="0" collapsed="false">
      <c r="A1849" s="41"/>
      <c r="B1849" s="41"/>
      <c r="C1849" s="5" t="n">
        <f aca="false">IF(B1849="",0,IF(A1849="Bank",IFERROR(MATCH(B1849,Bank!$A:$A,0),0),IFERROR(MATCH(B1849,GL!$A:$A,0),0)))</f>
        <v>0</v>
      </c>
      <c r="D1849" s="32" t="str">
        <f aca="false">IF(C1849=0,"",IF($A1849="Bank",INDEX(Bank!$B:$B,$C1849),INDEX(GL!$B:$B,$C1849)))</f>
        <v/>
      </c>
      <c r="E1849" s="5" t="str">
        <f aca="false">IF(C1849=0,"",IF($A1849="Bank",IF(INDEX(Bank!$C:$C,$C1849)="","",INDEX(Bank!$C:$C,$C1849)),IF(INDEX(GL!$C:$C,$C1849)="","",INDEX(GL!$C:$C,$C1849))))</f>
        <v/>
      </c>
      <c r="F1849" s="5" t="str">
        <f aca="false">IF(C1849=0,"",IF($A1849="Bank",IF(INDEX(Bank!$D:$D,$C1849)="","",INDEX(Bank!$D:$D,$C1849)),IF(INDEX(GL!$D:$D,$C1849)="","",INDEX(GL!$D:$D,$C1849))))</f>
        <v/>
      </c>
      <c r="G1849" s="19" t="str">
        <f aca="false">IF(C1849=0,"",IF($A1849="Bank",INDEX(Bank!$E:$E,$C1849),INDEX(GL!$E:$E,$C1849)))</f>
        <v/>
      </c>
      <c r="H1849" s="5" t="str">
        <f aca="false">IF(C1849=0,"",IF(A1849="GL",IF(G1849&gt;0,"Deposit in transit","Outstanding check / payment"),IF(G1849&gt;0,"Bank credit not in GL","Bank debit not in GL")))</f>
        <v/>
      </c>
      <c r="I1849" s="42" t="str">
        <f aca="false">IF(OR(C1849=0,CFG_PeriodEnd=""),"",CFG_PeriodEnd-D1849)</f>
        <v/>
      </c>
      <c r="J1849" s="5" t="str">
        <f aca="false">IF(C1849=0,"",IF($A1849="Bank",IF(INDEX(Bank!$G:$G,$C1849)="","",INDEX(Bank!$G:$G,$C1849)),IF(INDEX(GL!$G:$G,$C1849)="","",INDEX(GL!$G:$G,$C1849))))</f>
        <v/>
      </c>
      <c r="K1849" s="5" t="str">
        <f aca="false">IF(C1849=0,"",IF($A1849="Bank",IF(INDEX(Bank!$I:$I,$C1849)="","",INDEX(Bank!$I:$I,$C1849)),IF(INDEX(GL!$I:$I,$C1849)="","",INDEX(GL!$I:$I,$C1849))))</f>
        <v/>
      </c>
      <c r="L1849" s="5" t="str">
        <f aca="false">IF(B1849="","",IF(C1849=0,"NOT FOUND",IF(IF($A1849="Bank",INDEX(Bank!$F:$F,$C1849),INDEX(GL!$F:$F,$C1849))="Y","NOW RECONCILED: refresh","OK")))</f>
        <v/>
      </c>
    </row>
    <row r="1850" customFormat="false" ht="15" hidden="false" customHeight="false" outlineLevel="0" collapsed="false">
      <c r="A1850" s="41"/>
      <c r="B1850" s="41"/>
      <c r="C1850" s="5" t="n">
        <f aca="false">IF(B1850="",0,IF(A1850="Bank",IFERROR(MATCH(B1850,Bank!$A:$A,0),0),IFERROR(MATCH(B1850,GL!$A:$A,0),0)))</f>
        <v>0</v>
      </c>
      <c r="D1850" s="32" t="str">
        <f aca="false">IF(C1850=0,"",IF($A1850="Bank",INDEX(Bank!$B:$B,$C1850),INDEX(GL!$B:$B,$C1850)))</f>
        <v/>
      </c>
      <c r="E1850" s="5" t="str">
        <f aca="false">IF(C1850=0,"",IF($A1850="Bank",IF(INDEX(Bank!$C:$C,$C1850)="","",INDEX(Bank!$C:$C,$C1850)),IF(INDEX(GL!$C:$C,$C1850)="","",INDEX(GL!$C:$C,$C1850))))</f>
        <v/>
      </c>
      <c r="F1850" s="5" t="str">
        <f aca="false">IF(C1850=0,"",IF($A1850="Bank",IF(INDEX(Bank!$D:$D,$C1850)="","",INDEX(Bank!$D:$D,$C1850)),IF(INDEX(GL!$D:$D,$C1850)="","",INDEX(GL!$D:$D,$C1850))))</f>
        <v/>
      </c>
      <c r="G1850" s="19" t="str">
        <f aca="false">IF(C1850=0,"",IF($A1850="Bank",INDEX(Bank!$E:$E,$C1850),INDEX(GL!$E:$E,$C1850)))</f>
        <v/>
      </c>
      <c r="H1850" s="5" t="str">
        <f aca="false">IF(C1850=0,"",IF(A1850="GL",IF(G1850&gt;0,"Deposit in transit","Outstanding check / payment"),IF(G1850&gt;0,"Bank credit not in GL","Bank debit not in GL")))</f>
        <v/>
      </c>
      <c r="I1850" s="42" t="str">
        <f aca="false">IF(OR(C1850=0,CFG_PeriodEnd=""),"",CFG_PeriodEnd-D1850)</f>
        <v/>
      </c>
      <c r="J1850" s="5" t="str">
        <f aca="false">IF(C1850=0,"",IF($A1850="Bank",IF(INDEX(Bank!$G:$G,$C1850)="","",INDEX(Bank!$G:$G,$C1850)),IF(INDEX(GL!$G:$G,$C1850)="","",INDEX(GL!$G:$G,$C1850))))</f>
        <v/>
      </c>
      <c r="K1850" s="5" t="str">
        <f aca="false">IF(C1850=0,"",IF($A1850="Bank",IF(INDEX(Bank!$I:$I,$C1850)="","",INDEX(Bank!$I:$I,$C1850)),IF(INDEX(GL!$I:$I,$C1850)="","",INDEX(GL!$I:$I,$C1850))))</f>
        <v/>
      </c>
      <c r="L1850" s="5" t="str">
        <f aca="false">IF(B1850="","",IF(C1850=0,"NOT FOUND",IF(IF($A1850="Bank",INDEX(Bank!$F:$F,$C1850),INDEX(GL!$F:$F,$C1850))="Y","NOW RECONCILED: refresh","OK")))</f>
        <v/>
      </c>
    </row>
    <row r="1851" customFormat="false" ht="15" hidden="false" customHeight="false" outlineLevel="0" collapsed="false">
      <c r="A1851" s="41"/>
      <c r="B1851" s="41"/>
      <c r="C1851" s="5" t="n">
        <f aca="false">IF(B1851="",0,IF(A1851="Bank",IFERROR(MATCH(B1851,Bank!$A:$A,0),0),IFERROR(MATCH(B1851,GL!$A:$A,0),0)))</f>
        <v>0</v>
      </c>
      <c r="D1851" s="32" t="str">
        <f aca="false">IF(C1851=0,"",IF($A1851="Bank",INDEX(Bank!$B:$B,$C1851),INDEX(GL!$B:$B,$C1851)))</f>
        <v/>
      </c>
      <c r="E1851" s="5" t="str">
        <f aca="false">IF(C1851=0,"",IF($A1851="Bank",IF(INDEX(Bank!$C:$C,$C1851)="","",INDEX(Bank!$C:$C,$C1851)),IF(INDEX(GL!$C:$C,$C1851)="","",INDEX(GL!$C:$C,$C1851))))</f>
        <v/>
      </c>
      <c r="F1851" s="5" t="str">
        <f aca="false">IF(C1851=0,"",IF($A1851="Bank",IF(INDEX(Bank!$D:$D,$C1851)="","",INDEX(Bank!$D:$D,$C1851)),IF(INDEX(GL!$D:$D,$C1851)="","",INDEX(GL!$D:$D,$C1851))))</f>
        <v/>
      </c>
      <c r="G1851" s="19" t="str">
        <f aca="false">IF(C1851=0,"",IF($A1851="Bank",INDEX(Bank!$E:$E,$C1851),INDEX(GL!$E:$E,$C1851)))</f>
        <v/>
      </c>
      <c r="H1851" s="5" t="str">
        <f aca="false">IF(C1851=0,"",IF(A1851="GL",IF(G1851&gt;0,"Deposit in transit","Outstanding check / payment"),IF(G1851&gt;0,"Bank credit not in GL","Bank debit not in GL")))</f>
        <v/>
      </c>
      <c r="I1851" s="42" t="str">
        <f aca="false">IF(OR(C1851=0,CFG_PeriodEnd=""),"",CFG_PeriodEnd-D1851)</f>
        <v/>
      </c>
      <c r="J1851" s="5" t="str">
        <f aca="false">IF(C1851=0,"",IF($A1851="Bank",IF(INDEX(Bank!$G:$G,$C1851)="","",INDEX(Bank!$G:$G,$C1851)),IF(INDEX(GL!$G:$G,$C1851)="","",INDEX(GL!$G:$G,$C1851))))</f>
        <v/>
      </c>
      <c r="K1851" s="5" t="str">
        <f aca="false">IF(C1851=0,"",IF($A1851="Bank",IF(INDEX(Bank!$I:$I,$C1851)="","",INDEX(Bank!$I:$I,$C1851)),IF(INDEX(GL!$I:$I,$C1851)="","",INDEX(GL!$I:$I,$C1851))))</f>
        <v/>
      </c>
      <c r="L1851" s="5" t="str">
        <f aca="false">IF(B1851="","",IF(C1851=0,"NOT FOUND",IF(IF($A1851="Bank",INDEX(Bank!$F:$F,$C1851),INDEX(GL!$F:$F,$C1851))="Y","NOW RECONCILED: refresh","OK")))</f>
        <v/>
      </c>
    </row>
    <row r="1852" customFormat="false" ht="15" hidden="false" customHeight="false" outlineLevel="0" collapsed="false">
      <c r="A1852" s="41"/>
      <c r="B1852" s="41"/>
      <c r="C1852" s="5" t="n">
        <f aca="false">IF(B1852="",0,IF(A1852="Bank",IFERROR(MATCH(B1852,Bank!$A:$A,0),0),IFERROR(MATCH(B1852,GL!$A:$A,0),0)))</f>
        <v>0</v>
      </c>
      <c r="D1852" s="32" t="str">
        <f aca="false">IF(C1852=0,"",IF($A1852="Bank",INDEX(Bank!$B:$B,$C1852),INDEX(GL!$B:$B,$C1852)))</f>
        <v/>
      </c>
      <c r="E1852" s="5" t="str">
        <f aca="false">IF(C1852=0,"",IF($A1852="Bank",IF(INDEX(Bank!$C:$C,$C1852)="","",INDEX(Bank!$C:$C,$C1852)),IF(INDEX(GL!$C:$C,$C1852)="","",INDEX(GL!$C:$C,$C1852))))</f>
        <v/>
      </c>
      <c r="F1852" s="5" t="str">
        <f aca="false">IF(C1852=0,"",IF($A1852="Bank",IF(INDEX(Bank!$D:$D,$C1852)="","",INDEX(Bank!$D:$D,$C1852)),IF(INDEX(GL!$D:$D,$C1852)="","",INDEX(GL!$D:$D,$C1852))))</f>
        <v/>
      </c>
      <c r="G1852" s="19" t="str">
        <f aca="false">IF(C1852=0,"",IF($A1852="Bank",INDEX(Bank!$E:$E,$C1852),INDEX(GL!$E:$E,$C1852)))</f>
        <v/>
      </c>
      <c r="H1852" s="5" t="str">
        <f aca="false">IF(C1852=0,"",IF(A1852="GL",IF(G1852&gt;0,"Deposit in transit","Outstanding check / payment"),IF(G1852&gt;0,"Bank credit not in GL","Bank debit not in GL")))</f>
        <v/>
      </c>
      <c r="I1852" s="42" t="str">
        <f aca="false">IF(OR(C1852=0,CFG_PeriodEnd=""),"",CFG_PeriodEnd-D1852)</f>
        <v/>
      </c>
      <c r="J1852" s="5" t="str">
        <f aca="false">IF(C1852=0,"",IF($A1852="Bank",IF(INDEX(Bank!$G:$G,$C1852)="","",INDEX(Bank!$G:$G,$C1852)),IF(INDEX(GL!$G:$G,$C1852)="","",INDEX(GL!$G:$G,$C1852))))</f>
        <v/>
      </c>
      <c r="K1852" s="5" t="str">
        <f aca="false">IF(C1852=0,"",IF($A1852="Bank",IF(INDEX(Bank!$I:$I,$C1852)="","",INDEX(Bank!$I:$I,$C1852)),IF(INDEX(GL!$I:$I,$C1852)="","",INDEX(GL!$I:$I,$C1852))))</f>
        <v/>
      </c>
      <c r="L1852" s="5" t="str">
        <f aca="false">IF(B1852="","",IF(C1852=0,"NOT FOUND",IF(IF($A1852="Bank",INDEX(Bank!$F:$F,$C1852),INDEX(GL!$F:$F,$C1852))="Y","NOW RECONCILED: refresh","OK")))</f>
        <v/>
      </c>
    </row>
    <row r="1853" customFormat="false" ht="15" hidden="false" customHeight="false" outlineLevel="0" collapsed="false">
      <c r="A1853" s="41"/>
      <c r="B1853" s="41"/>
      <c r="C1853" s="5" t="n">
        <f aca="false">IF(B1853="",0,IF(A1853="Bank",IFERROR(MATCH(B1853,Bank!$A:$A,0),0),IFERROR(MATCH(B1853,GL!$A:$A,0),0)))</f>
        <v>0</v>
      </c>
      <c r="D1853" s="32" t="str">
        <f aca="false">IF(C1853=0,"",IF($A1853="Bank",INDEX(Bank!$B:$B,$C1853),INDEX(GL!$B:$B,$C1853)))</f>
        <v/>
      </c>
      <c r="E1853" s="5" t="str">
        <f aca="false">IF(C1853=0,"",IF($A1853="Bank",IF(INDEX(Bank!$C:$C,$C1853)="","",INDEX(Bank!$C:$C,$C1853)),IF(INDEX(GL!$C:$C,$C1853)="","",INDEX(GL!$C:$C,$C1853))))</f>
        <v/>
      </c>
      <c r="F1853" s="5" t="str">
        <f aca="false">IF(C1853=0,"",IF($A1853="Bank",IF(INDEX(Bank!$D:$D,$C1853)="","",INDEX(Bank!$D:$D,$C1853)),IF(INDEX(GL!$D:$D,$C1853)="","",INDEX(GL!$D:$D,$C1853))))</f>
        <v/>
      </c>
      <c r="G1853" s="19" t="str">
        <f aca="false">IF(C1853=0,"",IF($A1853="Bank",INDEX(Bank!$E:$E,$C1853),INDEX(GL!$E:$E,$C1853)))</f>
        <v/>
      </c>
      <c r="H1853" s="5" t="str">
        <f aca="false">IF(C1853=0,"",IF(A1853="GL",IF(G1853&gt;0,"Deposit in transit","Outstanding check / payment"),IF(G1853&gt;0,"Bank credit not in GL","Bank debit not in GL")))</f>
        <v/>
      </c>
      <c r="I1853" s="42" t="str">
        <f aca="false">IF(OR(C1853=0,CFG_PeriodEnd=""),"",CFG_PeriodEnd-D1853)</f>
        <v/>
      </c>
      <c r="J1853" s="5" t="str">
        <f aca="false">IF(C1853=0,"",IF($A1853="Bank",IF(INDEX(Bank!$G:$G,$C1853)="","",INDEX(Bank!$G:$G,$C1853)),IF(INDEX(GL!$G:$G,$C1853)="","",INDEX(GL!$G:$G,$C1853))))</f>
        <v/>
      </c>
      <c r="K1853" s="5" t="str">
        <f aca="false">IF(C1853=0,"",IF($A1853="Bank",IF(INDEX(Bank!$I:$I,$C1853)="","",INDEX(Bank!$I:$I,$C1853)),IF(INDEX(GL!$I:$I,$C1853)="","",INDEX(GL!$I:$I,$C1853))))</f>
        <v/>
      </c>
      <c r="L1853" s="5" t="str">
        <f aca="false">IF(B1853="","",IF(C1853=0,"NOT FOUND",IF(IF($A1853="Bank",INDEX(Bank!$F:$F,$C1853),INDEX(GL!$F:$F,$C1853))="Y","NOW RECONCILED: refresh","OK")))</f>
        <v/>
      </c>
    </row>
    <row r="1854" customFormat="false" ht="15" hidden="false" customHeight="false" outlineLevel="0" collapsed="false">
      <c r="A1854" s="41"/>
      <c r="B1854" s="41"/>
      <c r="C1854" s="5" t="n">
        <f aca="false">IF(B1854="",0,IF(A1854="Bank",IFERROR(MATCH(B1854,Bank!$A:$A,0),0),IFERROR(MATCH(B1854,GL!$A:$A,0),0)))</f>
        <v>0</v>
      </c>
      <c r="D1854" s="32" t="str">
        <f aca="false">IF(C1854=0,"",IF($A1854="Bank",INDEX(Bank!$B:$B,$C1854),INDEX(GL!$B:$B,$C1854)))</f>
        <v/>
      </c>
      <c r="E1854" s="5" t="str">
        <f aca="false">IF(C1854=0,"",IF($A1854="Bank",IF(INDEX(Bank!$C:$C,$C1854)="","",INDEX(Bank!$C:$C,$C1854)),IF(INDEX(GL!$C:$C,$C1854)="","",INDEX(GL!$C:$C,$C1854))))</f>
        <v/>
      </c>
      <c r="F1854" s="5" t="str">
        <f aca="false">IF(C1854=0,"",IF($A1854="Bank",IF(INDEX(Bank!$D:$D,$C1854)="","",INDEX(Bank!$D:$D,$C1854)),IF(INDEX(GL!$D:$D,$C1854)="","",INDEX(GL!$D:$D,$C1854))))</f>
        <v/>
      </c>
      <c r="G1854" s="19" t="str">
        <f aca="false">IF(C1854=0,"",IF($A1854="Bank",INDEX(Bank!$E:$E,$C1854),INDEX(GL!$E:$E,$C1854)))</f>
        <v/>
      </c>
      <c r="H1854" s="5" t="str">
        <f aca="false">IF(C1854=0,"",IF(A1854="GL",IF(G1854&gt;0,"Deposit in transit","Outstanding check / payment"),IF(G1854&gt;0,"Bank credit not in GL","Bank debit not in GL")))</f>
        <v/>
      </c>
      <c r="I1854" s="42" t="str">
        <f aca="false">IF(OR(C1854=0,CFG_PeriodEnd=""),"",CFG_PeriodEnd-D1854)</f>
        <v/>
      </c>
      <c r="J1854" s="5" t="str">
        <f aca="false">IF(C1854=0,"",IF($A1854="Bank",IF(INDEX(Bank!$G:$G,$C1854)="","",INDEX(Bank!$G:$G,$C1854)),IF(INDEX(GL!$G:$G,$C1854)="","",INDEX(GL!$G:$G,$C1854))))</f>
        <v/>
      </c>
      <c r="K1854" s="5" t="str">
        <f aca="false">IF(C1854=0,"",IF($A1854="Bank",IF(INDEX(Bank!$I:$I,$C1854)="","",INDEX(Bank!$I:$I,$C1854)),IF(INDEX(GL!$I:$I,$C1854)="","",INDEX(GL!$I:$I,$C1854))))</f>
        <v/>
      </c>
      <c r="L1854" s="5" t="str">
        <f aca="false">IF(B1854="","",IF(C1854=0,"NOT FOUND",IF(IF($A1854="Bank",INDEX(Bank!$F:$F,$C1854),INDEX(GL!$F:$F,$C1854))="Y","NOW RECONCILED: refresh","OK")))</f>
        <v/>
      </c>
    </row>
    <row r="1855" customFormat="false" ht="15" hidden="false" customHeight="false" outlineLevel="0" collapsed="false">
      <c r="A1855" s="41"/>
      <c r="B1855" s="41"/>
      <c r="C1855" s="5" t="n">
        <f aca="false">IF(B1855="",0,IF(A1855="Bank",IFERROR(MATCH(B1855,Bank!$A:$A,0),0),IFERROR(MATCH(B1855,GL!$A:$A,0),0)))</f>
        <v>0</v>
      </c>
      <c r="D1855" s="32" t="str">
        <f aca="false">IF(C1855=0,"",IF($A1855="Bank",INDEX(Bank!$B:$B,$C1855),INDEX(GL!$B:$B,$C1855)))</f>
        <v/>
      </c>
      <c r="E1855" s="5" t="str">
        <f aca="false">IF(C1855=0,"",IF($A1855="Bank",IF(INDEX(Bank!$C:$C,$C1855)="","",INDEX(Bank!$C:$C,$C1855)),IF(INDEX(GL!$C:$C,$C1855)="","",INDEX(GL!$C:$C,$C1855))))</f>
        <v/>
      </c>
      <c r="F1855" s="5" t="str">
        <f aca="false">IF(C1855=0,"",IF($A1855="Bank",IF(INDEX(Bank!$D:$D,$C1855)="","",INDEX(Bank!$D:$D,$C1855)),IF(INDEX(GL!$D:$D,$C1855)="","",INDEX(GL!$D:$D,$C1855))))</f>
        <v/>
      </c>
      <c r="G1855" s="19" t="str">
        <f aca="false">IF(C1855=0,"",IF($A1855="Bank",INDEX(Bank!$E:$E,$C1855),INDEX(GL!$E:$E,$C1855)))</f>
        <v/>
      </c>
      <c r="H1855" s="5" t="str">
        <f aca="false">IF(C1855=0,"",IF(A1855="GL",IF(G1855&gt;0,"Deposit in transit","Outstanding check / payment"),IF(G1855&gt;0,"Bank credit not in GL","Bank debit not in GL")))</f>
        <v/>
      </c>
      <c r="I1855" s="42" t="str">
        <f aca="false">IF(OR(C1855=0,CFG_PeriodEnd=""),"",CFG_PeriodEnd-D1855)</f>
        <v/>
      </c>
      <c r="J1855" s="5" t="str">
        <f aca="false">IF(C1855=0,"",IF($A1855="Bank",IF(INDEX(Bank!$G:$G,$C1855)="","",INDEX(Bank!$G:$G,$C1855)),IF(INDEX(GL!$G:$G,$C1855)="","",INDEX(GL!$G:$G,$C1855))))</f>
        <v/>
      </c>
      <c r="K1855" s="5" t="str">
        <f aca="false">IF(C1855=0,"",IF($A1855="Bank",IF(INDEX(Bank!$I:$I,$C1855)="","",INDEX(Bank!$I:$I,$C1855)),IF(INDEX(GL!$I:$I,$C1855)="","",INDEX(GL!$I:$I,$C1855))))</f>
        <v/>
      </c>
      <c r="L1855" s="5" t="str">
        <f aca="false">IF(B1855="","",IF(C1855=0,"NOT FOUND",IF(IF($A1855="Bank",INDEX(Bank!$F:$F,$C1855),INDEX(GL!$F:$F,$C1855))="Y","NOW RECONCILED: refresh","OK")))</f>
        <v/>
      </c>
    </row>
    <row r="1856" customFormat="false" ht="15" hidden="false" customHeight="false" outlineLevel="0" collapsed="false">
      <c r="A1856" s="41"/>
      <c r="B1856" s="41"/>
      <c r="C1856" s="5" t="n">
        <f aca="false">IF(B1856="",0,IF(A1856="Bank",IFERROR(MATCH(B1856,Bank!$A:$A,0),0),IFERROR(MATCH(B1856,GL!$A:$A,0),0)))</f>
        <v>0</v>
      </c>
      <c r="D1856" s="32" t="str">
        <f aca="false">IF(C1856=0,"",IF($A1856="Bank",INDEX(Bank!$B:$B,$C1856),INDEX(GL!$B:$B,$C1856)))</f>
        <v/>
      </c>
      <c r="E1856" s="5" t="str">
        <f aca="false">IF(C1856=0,"",IF($A1856="Bank",IF(INDEX(Bank!$C:$C,$C1856)="","",INDEX(Bank!$C:$C,$C1856)),IF(INDEX(GL!$C:$C,$C1856)="","",INDEX(GL!$C:$C,$C1856))))</f>
        <v/>
      </c>
      <c r="F1856" s="5" t="str">
        <f aca="false">IF(C1856=0,"",IF($A1856="Bank",IF(INDEX(Bank!$D:$D,$C1856)="","",INDEX(Bank!$D:$D,$C1856)),IF(INDEX(GL!$D:$D,$C1856)="","",INDEX(GL!$D:$D,$C1856))))</f>
        <v/>
      </c>
      <c r="G1856" s="19" t="str">
        <f aca="false">IF(C1856=0,"",IF($A1856="Bank",INDEX(Bank!$E:$E,$C1856),INDEX(GL!$E:$E,$C1856)))</f>
        <v/>
      </c>
      <c r="H1856" s="5" t="str">
        <f aca="false">IF(C1856=0,"",IF(A1856="GL",IF(G1856&gt;0,"Deposit in transit","Outstanding check / payment"),IF(G1856&gt;0,"Bank credit not in GL","Bank debit not in GL")))</f>
        <v/>
      </c>
      <c r="I1856" s="42" t="str">
        <f aca="false">IF(OR(C1856=0,CFG_PeriodEnd=""),"",CFG_PeriodEnd-D1856)</f>
        <v/>
      </c>
      <c r="J1856" s="5" t="str">
        <f aca="false">IF(C1856=0,"",IF($A1856="Bank",IF(INDEX(Bank!$G:$G,$C1856)="","",INDEX(Bank!$G:$G,$C1856)),IF(INDEX(GL!$G:$G,$C1856)="","",INDEX(GL!$G:$G,$C1856))))</f>
        <v/>
      </c>
      <c r="K1856" s="5" t="str">
        <f aca="false">IF(C1856=0,"",IF($A1856="Bank",IF(INDEX(Bank!$I:$I,$C1856)="","",INDEX(Bank!$I:$I,$C1856)),IF(INDEX(GL!$I:$I,$C1856)="","",INDEX(GL!$I:$I,$C1856))))</f>
        <v/>
      </c>
      <c r="L1856" s="5" t="str">
        <f aca="false">IF(B1856="","",IF(C1856=0,"NOT FOUND",IF(IF($A1856="Bank",INDEX(Bank!$F:$F,$C1856),INDEX(GL!$F:$F,$C1856))="Y","NOW RECONCILED: refresh","OK")))</f>
        <v/>
      </c>
    </row>
    <row r="1857" customFormat="false" ht="15" hidden="false" customHeight="false" outlineLevel="0" collapsed="false">
      <c r="A1857" s="41"/>
      <c r="B1857" s="41"/>
      <c r="C1857" s="5" t="n">
        <f aca="false">IF(B1857="",0,IF(A1857="Bank",IFERROR(MATCH(B1857,Bank!$A:$A,0),0),IFERROR(MATCH(B1857,GL!$A:$A,0),0)))</f>
        <v>0</v>
      </c>
      <c r="D1857" s="32" t="str">
        <f aca="false">IF(C1857=0,"",IF($A1857="Bank",INDEX(Bank!$B:$B,$C1857),INDEX(GL!$B:$B,$C1857)))</f>
        <v/>
      </c>
      <c r="E1857" s="5" t="str">
        <f aca="false">IF(C1857=0,"",IF($A1857="Bank",IF(INDEX(Bank!$C:$C,$C1857)="","",INDEX(Bank!$C:$C,$C1857)),IF(INDEX(GL!$C:$C,$C1857)="","",INDEX(GL!$C:$C,$C1857))))</f>
        <v/>
      </c>
      <c r="F1857" s="5" t="str">
        <f aca="false">IF(C1857=0,"",IF($A1857="Bank",IF(INDEX(Bank!$D:$D,$C1857)="","",INDEX(Bank!$D:$D,$C1857)),IF(INDEX(GL!$D:$D,$C1857)="","",INDEX(GL!$D:$D,$C1857))))</f>
        <v/>
      </c>
      <c r="G1857" s="19" t="str">
        <f aca="false">IF(C1857=0,"",IF($A1857="Bank",INDEX(Bank!$E:$E,$C1857),INDEX(GL!$E:$E,$C1857)))</f>
        <v/>
      </c>
      <c r="H1857" s="5" t="str">
        <f aca="false">IF(C1857=0,"",IF(A1857="GL",IF(G1857&gt;0,"Deposit in transit","Outstanding check / payment"),IF(G1857&gt;0,"Bank credit not in GL","Bank debit not in GL")))</f>
        <v/>
      </c>
      <c r="I1857" s="42" t="str">
        <f aca="false">IF(OR(C1857=0,CFG_PeriodEnd=""),"",CFG_PeriodEnd-D1857)</f>
        <v/>
      </c>
      <c r="J1857" s="5" t="str">
        <f aca="false">IF(C1857=0,"",IF($A1857="Bank",IF(INDEX(Bank!$G:$G,$C1857)="","",INDEX(Bank!$G:$G,$C1857)),IF(INDEX(GL!$G:$G,$C1857)="","",INDEX(GL!$G:$G,$C1857))))</f>
        <v/>
      </c>
      <c r="K1857" s="5" t="str">
        <f aca="false">IF(C1857=0,"",IF($A1857="Bank",IF(INDEX(Bank!$I:$I,$C1857)="","",INDEX(Bank!$I:$I,$C1857)),IF(INDEX(GL!$I:$I,$C1857)="","",INDEX(GL!$I:$I,$C1857))))</f>
        <v/>
      </c>
      <c r="L1857" s="5" t="str">
        <f aca="false">IF(B1857="","",IF(C1857=0,"NOT FOUND",IF(IF($A1857="Bank",INDEX(Bank!$F:$F,$C1857),INDEX(GL!$F:$F,$C1857))="Y","NOW RECONCILED: refresh","OK")))</f>
        <v/>
      </c>
    </row>
    <row r="1858" customFormat="false" ht="15" hidden="false" customHeight="false" outlineLevel="0" collapsed="false">
      <c r="A1858" s="41"/>
      <c r="B1858" s="41"/>
      <c r="C1858" s="5" t="n">
        <f aca="false">IF(B1858="",0,IF(A1858="Bank",IFERROR(MATCH(B1858,Bank!$A:$A,0),0),IFERROR(MATCH(B1858,GL!$A:$A,0),0)))</f>
        <v>0</v>
      </c>
      <c r="D1858" s="32" t="str">
        <f aca="false">IF(C1858=0,"",IF($A1858="Bank",INDEX(Bank!$B:$B,$C1858),INDEX(GL!$B:$B,$C1858)))</f>
        <v/>
      </c>
      <c r="E1858" s="5" t="str">
        <f aca="false">IF(C1858=0,"",IF($A1858="Bank",IF(INDEX(Bank!$C:$C,$C1858)="","",INDEX(Bank!$C:$C,$C1858)),IF(INDEX(GL!$C:$C,$C1858)="","",INDEX(GL!$C:$C,$C1858))))</f>
        <v/>
      </c>
      <c r="F1858" s="5" t="str">
        <f aca="false">IF(C1858=0,"",IF($A1858="Bank",IF(INDEX(Bank!$D:$D,$C1858)="","",INDEX(Bank!$D:$D,$C1858)),IF(INDEX(GL!$D:$D,$C1858)="","",INDEX(GL!$D:$D,$C1858))))</f>
        <v/>
      </c>
      <c r="G1858" s="19" t="str">
        <f aca="false">IF(C1858=0,"",IF($A1858="Bank",INDEX(Bank!$E:$E,$C1858),INDEX(GL!$E:$E,$C1858)))</f>
        <v/>
      </c>
      <c r="H1858" s="5" t="str">
        <f aca="false">IF(C1858=0,"",IF(A1858="GL",IF(G1858&gt;0,"Deposit in transit","Outstanding check / payment"),IF(G1858&gt;0,"Bank credit not in GL","Bank debit not in GL")))</f>
        <v/>
      </c>
      <c r="I1858" s="42" t="str">
        <f aca="false">IF(OR(C1858=0,CFG_PeriodEnd=""),"",CFG_PeriodEnd-D1858)</f>
        <v/>
      </c>
      <c r="J1858" s="5" t="str">
        <f aca="false">IF(C1858=0,"",IF($A1858="Bank",IF(INDEX(Bank!$G:$G,$C1858)="","",INDEX(Bank!$G:$G,$C1858)),IF(INDEX(GL!$G:$G,$C1858)="","",INDEX(GL!$G:$G,$C1858))))</f>
        <v/>
      </c>
      <c r="K1858" s="5" t="str">
        <f aca="false">IF(C1858=0,"",IF($A1858="Bank",IF(INDEX(Bank!$I:$I,$C1858)="","",INDEX(Bank!$I:$I,$C1858)),IF(INDEX(GL!$I:$I,$C1858)="","",INDEX(GL!$I:$I,$C1858))))</f>
        <v/>
      </c>
      <c r="L1858" s="5" t="str">
        <f aca="false">IF(B1858="","",IF(C1858=0,"NOT FOUND",IF(IF($A1858="Bank",INDEX(Bank!$F:$F,$C1858),INDEX(GL!$F:$F,$C1858))="Y","NOW RECONCILED: refresh","OK")))</f>
        <v/>
      </c>
    </row>
    <row r="1859" customFormat="false" ht="15" hidden="false" customHeight="false" outlineLevel="0" collapsed="false">
      <c r="A1859" s="41"/>
      <c r="B1859" s="41"/>
      <c r="C1859" s="5" t="n">
        <f aca="false">IF(B1859="",0,IF(A1859="Bank",IFERROR(MATCH(B1859,Bank!$A:$A,0),0),IFERROR(MATCH(B1859,GL!$A:$A,0),0)))</f>
        <v>0</v>
      </c>
      <c r="D1859" s="32" t="str">
        <f aca="false">IF(C1859=0,"",IF($A1859="Bank",INDEX(Bank!$B:$B,$C1859),INDEX(GL!$B:$B,$C1859)))</f>
        <v/>
      </c>
      <c r="E1859" s="5" t="str">
        <f aca="false">IF(C1859=0,"",IF($A1859="Bank",IF(INDEX(Bank!$C:$C,$C1859)="","",INDEX(Bank!$C:$C,$C1859)),IF(INDEX(GL!$C:$C,$C1859)="","",INDEX(GL!$C:$C,$C1859))))</f>
        <v/>
      </c>
      <c r="F1859" s="5" t="str">
        <f aca="false">IF(C1859=0,"",IF($A1859="Bank",IF(INDEX(Bank!$D:$D,$C1859)="","",INDEX(Bank!$D:$D,$C1859)),IF(INDEX(GL!$D:$D,$C1859)="","",INDEX(GL!$D:$D,$C1859))))</f>
        <v/>
      </c>
      <c r="G1859" s="19" t="str">
        <f aca="false">IF(C1859=0,"",IF($A1859="Bank",INDEX(Bank!$E:$E,$C1859),INDEX(GL!$E:$E,$C1859)))</f>
        <v/>
      </c>
      <c r="H1859" s="5" t="str">
        <f aca="false">IF(C1859=0,"",IF(A1859="GL",IF(G1859&gt;0,"Deposit in transit","Outstanding check / payment"),IF(G1859&gt;0,"Bank credit not in GL","Bank debit not in GL")))</f>
        <v/>
      </c>
      <c r="I1859" s="42" t="str">
        <f aca="false">IF(OR(C1859=0,CFG_PeriodEnd=""),"",CFG_PeriodEnd-D1859)</f>
        <v/>
      </c>
      <c r="J1859" s="5" t="str">
        <f aca="false">IF(C1859=0,"",IF($A1859="Bank",IF(INDEX(Bank!$G:$G,$C1859)="","",INDEX(Bank!$G:$G,$C1859)),IF(INDEX(GL!$G:$G,$C1859)="","",INDEX(GL!$G:$G,$C1859))))</f>
        <v/>
      </c>
      <c r="K1859" s="5" t="str">
        <f aca="false">IF(C1859=0,"",IF($A1859="Bank",IF(INDEX(Bank!$I:$I,$C1859)="","",INDEX(Bank!$I:$I,$C1859)),IF(INDEX(GL!$I:$I,$C1859)="","",INDEX(GL!$I:$I,$C1859))))</f>
        <v/>
      </c>
      <c r="L1859" s="5" t="str">
        <f aca="false">IF(B1859="","",IF(C1859=0,"NOT FOUND",IF(IF($A1859="Bank",INDEX(Bank!$F:$F,$C1859),INDEX(GL!$F:$F,$C1859))="Y","NOW RECONCILED: refresh","OK")))</f>
        <v/>
      </c>
    </row>
    <row r="1860" customFormat="false" ht="15" hidden="false" customHeight="false" outlineLevel="0" collapsed="false">
      <c r="A1860" s="41"/>
      <c r="B1860" s="41"/>
      <c r="C1860" s="5" t="n">
        <f aca="false">IF(B1860="",0,IF(A1860="Bank",IFERROR(MATCH(B1860,Bank!$A:$A,0),0),IFERROR(MATCH(B1860,GL!$A:$A,0),0)))</f>
        <v>0</v>
      </c>
      <c r="D1860" s="32" t="str">
        <f aca="false">IF(C1860=0,"",IF($A1860="Bank",INDEX(Bank!$B:$B,$C1860),INDEX(GL!$B:$B,$C1860)))</f>
        <v/>
      </c>
      <c r="E1860" s="5" t="str">
        <f aca="false">IF(C1860=0,"",IF($A1860="Bank",IF(INDEX(Bank!$C:$C,$C1860)="","",INDEX(Bank!$C:$C,$C1860)),IF(INDEX(GL!$C:$C,$C1860)="","",INDEX(GL!$C:$C,$C1860))))</f>
        <v/>
      </c>
      <c r="F1860" s="5" t="str">
        <f aca="false">IF(C1860=0,"",IF($A1860="Bank",IF(INDEX(Bank!$D:$D,$C1860)="","",INDEX(Bank!$D:$D,$C1860)),IF(INDEX(GL!$D:$D,$C1860)="","",INDEX(GL!$D:$D,$C1860))))</f>
        <v/>
      </c>
      <c r="G1860" s="19" t="str">
        <f aca="false">IF(C1860=0,"",IF($A1860="Bank",INDEX(Bank!$E:$E,$C1860),INDEX(GL!$E:$E,$C1860)))</f>
        <v/>
      </c>
      <c r="H1860" s="5" t="str">
        <f aca="false">IF(C1860=0,"",IF(A1860="GL",IF(G1860&gt;0,"Deposit in transit","Outstanding check / payment"),IF(G1860&gt;0,"Bank credit not in GL","Bank debit not in GL")))</f>
        <v/>
      </c>
      <c r="I1860" s="42" t="str">
        <f aca="false">IF(OR(C1860=0,CFG_PeriodEnd=""),"",CFG_PeriodEnd-D1860)</f>
        <v/>
      </c>
      <c r="J1860" s="5" t="str">
        <f aca="false">IF(C1860=0,"",IF($A1860="Bank",IF(INDEX(Bank!$G:$G,$C1860)="","",INDEX(Bank!$G:$G,$C1860)),IF(INDEX(GL!$G:$G,$C1860)="","",INDEX(GL!$G:$G,$C1860))))</f>
        <v/>
      </c>
      <c r="K1860" s="5" t="str">
        <f aca="false">IF(C1860=0,"",IF($A1860="Bank",IF(INDEX(Bank!$I:$I,$C1860)="","",INDEX(Bank!$I:$I,$C1860)),IF(INDEX(GL!$I:$I,$C1860)="","",INDEX(GL!$I:$I,$C1860))))</f>
        <v/>
      </c>
      <c r="L1860" s="5" t="str">
        <f aca="false">IF(B1860="","",IF(C1860=0,"NOT FOUND",IF(IF($A1860="Bank",INDEX(Bank!$F:$F,$C1860),INDEX(GL!$F:$F,$C1860))="Y","NOW RECONCILED: refresh","OK")))</f>
        <v/>
      </c>
    </row>
    <row r="1861" customFormat="false" ht="15" hidden="false" customHeight="false" outlineLevel="0" collapsed="false">
      <c r="A1861" s="41"/>
      <c r="B1861" s="41"/>
      <c r="C1861" s="5" t="n">
        <f aca="false">IF(B1861="",0,IF(A1861="Bank",IFERROR(MATCH(B1861,Bank!$A:$A,0),0),IFERROR(MATCH(B1861,GL!$A:$A,0),0)))</f>
        <v>0</v>
      </c>
      <c r="D1861" s="32" t="str">
        <f aca="false">IF(C1861=0,"",IF($A1861="Bank",INDEX(Bank!$B:$B,$C1861),INDEX(GL!$B:$B,$C1861)))</f>
        <v/>
      </c>
      <c r="E1861" s="5" t="str">
        <f aca="false">IF(C1861=0,"",IF($A1861="Bank",IF(INDEX(Bank!$C:$C,$C1861)="","",INDEX(Bank!$C:$C,$C1861)),IF(INDEX(GL!$C:$C,$C1861)="","",INDEX(GL!$C:$C,$C1861))))</f>
        <v/>
      </c>
      <c r="F1861" s="5" t="str">
        <f aca="false">IF(C1861=0,"",IF($A1861="Bank",IF(INDEX(Bank!$D:$D,$C1861)="","",INDEX(Bank!$D:$D,$C1861)),IF(INDEX(GL!$D:$D,$C1861)="","",INDEX(GL!$D:$D,$C1861))))</f>
        <v/>
      </c>
      <c r="G1861" s="19" t="str">
        <f aca="false">IF(C1861=0,"",IF($A1861="Bank",INDEX(Bank!$E:$E,$C1861),INDEX(GL!$E:$E,$C1861)))</f>
        <v/>
      </c>
      <c r="H1861" s="5" t="str">
        <f aca="false">IF(C1861=0,"",IF(A1861="GL",IF(G1861&gt;0,"Deposit in transit","Outstanding check / payment"),IF(G1861&gt;0,"Bank credit not in GL","Bank debit not in GL")))</f>
        <v/>
      </c>
      <c r="I1861" s="42" t="str">
        <f aca="false">IF(OR(C1861=0,CFG_PeriodEnd=""),"",CFG_PeriodEnd-D1861)</f>
        <v/>
      </c>
      <c r="J1861" s="5" t="str">
        <f aca="false">IF(C1861=0,"",IF($A1861="Bank",IF(INDEX(Bank!$G:$G,$C1861)="","",INDEX(Bank!$G:$G,$C1861)),IF(INDEX(GL!$G:$G,$C1861)="","",INDEX(GL!$G:$G,$C1861))))</f>
        <v/>
      </c>
      <c r="K1861" s="5" t="str">
        <f aca="false">IF(C1861=0,"",IF($A1861="Bank",IF(INDEX(Bank!$I:$I,$C1861)="","",INDEX(Bank!$I:$I,$C1861)),IF(INDEX(GL!$I:$I,$C1861)="","",INDEX(GL!$I:$I,$C1861))))</f>
        <v/>
      </c>
      <c r="L1861" s="5" t="str">
        <f aca="false">IF(B1861="","",IF(C1861=0,"NOT FOUND",IF(IF($A1861="Bank",INDEX(Bank!$F:$F,$C1861),INDEX(GL!$F:$F,$C1861))="Y","NOW RECONCILED: refresh","OK")))</f>
        <v/>
      </c>
    </row>
    <row r="1862" customFormat="false" ht="15" hidden="false" customHeight="false" outlineLevel="0" collapsed="false">
      <c r="A1862" s="41"/>
      <c r="B1862" s="41"/>
      <c r="C1862" s="5" t="n">
        <f aca="false">IF(B1862="",0,IF(A1862="Bank",IFERROR(MATCH(B1862,Bank!$A:$A,0),0),IFERROR(MATCH(B1862,GL!$A:$A,0),0)))</f>
        <v>0</v>
      </c>
      <c r="D1862" s="32" t="str">
        <f aca="false">IF(C1862=0,"",IF($A1862="Bank",INDEX(Bank!$B:$B,$C1862),INDEX(GL!$B:$B,$C1862)))</f>
        <v/>
      </c>
      <c r="E1862" s="5" t="str">
        <f aca="false">IF(C1862=0,"",IF($A1862="Bank",IF(INDEX(Bank!$C:$C,$C1862)="","",INDEX(Bank!$C:$C,$C1862)),IF(INDEX(GL!$C:$C,$C1862)="","",INDEX(GL!$C:$C,$C1862))))</f>
        <v/>
      </c>
      <c r="F1862" s="5" t="str">
        <f aca="false">IF(C1862=0,"",IF($A1862="Bank",IF(INDEX(Bank!$D:$D,$C1862)="","",INDEX(Bank!$D:$D,$C1862)),IF(INDEX(GL!$D:$D,$C1862)="","",INDEX(GL!$D:$D,$C1862))))</f>
        <v/>
      </c>
      <c r="G1862" s="19" t="str">
        <f aca="false">IF(C1862=0,"",IF($A1862="Bank",INDEX(Bank!$E:$E,$C1862),INDEX(GL!$E:$E,$C1862)))</f>
        <v/>
      </c>
      <c r="H1862" s="5" t="str">
        <f aca="false">IF(C1862=0,"",IF(A1862="GL",IF(G1862&gt;0,"Deposit in transit","Outstanding check / payment"),IF(G1862&gt;0,"Bank credit not in GL","Bank debit not in GL")))</f>
        <v/>
      </c>
      <c r="I1862" s="42" t="str">
        <f aca="false">IF(OR(C1862=0,CFG_PeriodEnd=""),"",CFG_PeriodEnd-D1862)</f>
        <v/>
      </c>
      <c r="J1862" s="5" t="str">
        <f aca="false">IF(C1862=0,"",IF($A1862="Bank",IF(INDEX(Bank!$G:$G,$C1862)="","",INDEX(Bank!$G:$G,$C1862)),IF(INDEX(GL!$G:$G,$C1862)="","",INDEX(GL!$G:$G,$C1862))))</f>
        <v/>
      </c>
      <c r="K1862" s="5" t="str">
        <f aca="false">IF(C1862=0,"",IF($A1862="Bank",IF(INDEX(Bank!$I:$I,$C1862)="","",INDEX(Bank!$I:$I,$C1862)),IF(INDEX(GL!$I:$I,$C1862)="","",INDEX(GL!$I:$I,$C1862))))</f>
        <v/>
      </c>
      <c r="L1862" s="5" t="str">
        <f aca="false">IF(B1862="","",IF(C1862=0,"NOT FOUND",IF(IF($A1862="Bank",INDEX(Bank!$F:$F,$C1862),INDEX(GL!$F:$F,$C1862))="Y","NOW RECONCILED: refresh","OK")))</f>
        <v/>
      </c>
    </row>
    <row r="1863" customFormat="false" ht="15" hidden="false" customHeight="false" outlineLevel="0" collapsed="false">
      <c r="A1863" s="41"/>
      <c r="B1863" s="41"/>
      <c r="C1863" s="5" t="n">
        <f aca="false">IF(B1863="",0,IF(A1863="Bank",IFERROR(MATCH(B1863,Bank!$A:$A,0),0),IFERROR(MATCH(B1863,GL!$A:$A,0),0)))</f>
        <v>0</v>
      </c>
      <c r="D1863" s="32" t="str">
        <f aca="false">IF(C1863=0,"",IF($A1863="Bank",INDEX(Bank!$B:$B,$C1863),INDEX(GL!$B:$B,$C1863)))</f>
        <v/>
      </c>
      <c r="E1863" s="5" t="str">
        <f aca="false">IF(C1863=0,"",IF($A1863="Bank",IF(INDEX(Bank!$C:$C,$C1863)="","",INDEX(Bank!$C:$C,$C1863)),IF(INDEX(GL!$C:$C,$C1863)="","",INDEX(GL!$C:$C,$C1863))))</f>
        <v/>
      </c>
      <c r="F1863" s="5" t="str">
        <f aca="false">IF(C1863=0,"",IF($A1863="Bank",IF(INDEX(Bank!$D:$D,$C1863)="","",INDEX(Bank!$D:$D,$C1863)),IF(INDEX(GL!$D:$D,$C1863)="","",INDEX(GL!$D:$D,$C1863))))</f>
        <v/>
      </c>
      <c r="G1863" s="19" t="str">
        <f aca="false">IF(C1863=0,"",IF($A1863="Bank",INDEX(Bank!$E:$E,$C1863),INDEX(GL!$E:$E,$C1863)))</f>
        <v/>
      </c>
      <c r="H1863" s="5" t="str">
        <f aca="false">IF(C1863=0,"",IF(A1863="GL",IF(G1863&gt;0,"Deposit in transit","Outstanding check / payment"),IF(G1863&gt;0,"Bank credit not in GL","Bank debit not in GL")))</f>
        <v/>
      </c>
      <c r="I1863" s="42" t="str">
        <f aca="false">IF(OR(C1863=0,CFG_PeriodEnd=""),"",CFG_PeriodEnd-D1863)</f>
        <v/>
      </c>
      <c r="J1863" s="5" t="str">
        <f aca="false">IF(C1863=0,"",IF($A1863="Bank",IF(INDEX(Bank!$G:$G,$C1863)="","",INDEX(Bank!$G:$G,$C1863)),IF(INDEX(GL!$G:$G,$C1863)="","",INDEX(GL!$G:$G,$C1863))))</f>
        <v/>
      </c>
      <c r="K1863" s="5" t="str">
        <f aca="false">IF(C1863=0,"",IF($A1863="Bank",IF(INDEX(Bank!$I:$I,$C1863)="","",INDEX(Bank!$I:$I,$C1863)),IF(INDEX(GL!$I:$I,$C1863)="","",INDEX(GL!$I:$I,$C1863))))</f>
        <v/>
      </c>
      <c r="L1863" s="5" t="str">
        <f aca="false">IF(B1863="","",IF(C1863=0,"NOT FOUND",IF(IF($A1863="Bank",INDEX(Bank!$F:$F,$C1863),INDEX(GL!$F:$F,$C1863))="Y","NOW RECONCILED: refresh","OK")))</f>
        <v/>
      </c>
    </row>
    <row r="1864" customFormat="false" ht="15" hidden="false" customHeight="false" outlineLevel="0" collapsed="false">
      <c r="A1864" s="41"/>
      <c r="B1864" s="41"/>
      <c r="C1864" s="5" t="n">
        <f aca="false">IF(B1864="",0,IF(A1864="Bank",IFERROR(MATCH(B1864,Bank!$A:$A,0),0),IFERROR(MATCH(B1864,GL!$A:$A,0),0)))</f>
        <v>0</v>
      </c>
      <c r="D1864" s="32" t="str">
        <f aca="false">IF(C1864=0,"",IF($A1864="Bank",INDEX(Bank!$B:$B,$C1864),INDEX(GL!$B:$B,$C1864)))</f>
        <v/>
      </c>
      <c r="E1864" s="5" t="str">
        <f aca="false">IF(C1864=0,"",IF($A1864="Bank",IF(INDEX(Bank!$C:$C,$C1864)="","",INDEX(Bank!$C:$C,$C1864)),IF(INDEX(GL!$C:$C,$C1864)="","",INDEX(GL!$C:$C,$C1864))))</f>
        <v/>
      </c>
      <c r="F1864" s="5" t="str">
        <f aca="false">IF(C1864=0,"",IF($A1864="Bank",IF(INDEX(Bank!$D:$D,$C1864)="","",INDEX(Bank!$D:$D,$C1864)),IF(INDEX(GL!$D:$D,$C1864)="","",INDEX(GL!$D:$D,$C1864))))</f>
        <v/>
      </c>
      <c r="G1864" s="19" t="str">
        <f aca="false">IF(C1864=0,"",IF($A1864="Bank",INDEX(Bank!$E:$E,$C1864),INDEX(GL!$E:$E,$C1864)))</f>
        <v/>
      </c>
      <c r="H1864" s="5" t="str">
        <f aca="false">IF(C1864=0,"",IF(A1864="GL",IF(G1864&gt;0,"Deposit in transit","Outstanding check / payment"),IF(G1864&gt;0,"Bank credit not in GL","Bank debit not in GL")))</f>
        <v/>
      </c>
      <c r="I1864" s="42" t="str">
        <f aca="false">IF(OR(C1864=0,CFG_PeriodEnd=""),"",CFG_PeriodEnd-D1864)</f>
        <v/>
      </c>
      <c r="J1864" s="5" t="str">
        <f aca="false">IF(C1864=0,"",IF($A1864="Bank",IF(INDEX(Bank!$G:$G,$C1864)="","",INDEX(Bank!$G:$G,$C1864)),IF(INDEX(GL!$G:$G,$C1864)="","",INDEX(GL!$G:$G,$C1864))))</f>
        <v/>
      </c>
      <c r="K1864" s="5" t="str">
        <f aca="false">IF(C1864=0,"",IF($A1864="Bank",IF(INDEX(Bank!$I:$I,$C1864)="","",INDEX(Bank!$I:$I,$C1864)),IF(INDEX(GL!$I:$I,$C1864)="","",INDEX(GL!$I:$I,$C1864))))</f>
        <v/>
      </c>
      <c r="L1864" s="5" t="str">
        <f aca="false">IF(B1864="","",IF(C1864=0,"NOT FOUND",IF(IF($A1864="Bank",INDEX(Bank!$F:$F,$C1864),INDEX(GL!$F:$F,$C1864))="Y","NOW RECONCILED: refresh","OK")))</f>
        <v/>
      </c>
    </row>
    <row r="1865" customFormat="false" ht="15" hidden="false" customHeight="false" outlineLevel="0" collapsed="false">
      <c r="A1865" s="41"/>
      <c r="B1865" s="41"/>
      <c r="C1865" s="5" t="n">
        <f aca="false">IF(B1865="",0,IF(A1865="Bank",IFERROR(MATCH(B1865,Bank!$A:$A,0),0),IFERROR(MATCH(B1865,GL!$A:$A,0),0)))</f>
        <v>0</v>
      </c>
      <c r="D1865" s="32" t="str">
        <f aca="false">IF(C1865=0,"",IF($A1865="Bank",INDEX(Bank!$B:$B,$C1865),INDEX(GL!$B:$B,$C1865)))</f>
        <v/>
      </c>
      <c r="E1865" s="5" t="str">
        <f aca="false">IF(C1865=0,"",IF($A1865="Bank",IF(INDEX(Bank!$C:$C,$C1865)="","",INDEX(Bank!$C:$C,$C1865)),IF(INDEX(GL!$C:$C,$C1865)="","",INDEX(GL!$C:$C,$C1865))))</f>
        <v/>
      </c>
      <c r="F1865" s="5" t="str">
        <f aca="false">IF(C1865=0,"",IF($A1865="Bank",IF(INDEX(Bank!$D:$D,$C1865)="","",INDEX(Bank!$D:$D,$C1865)),IF(INDEX(GL!$D:$D,$C1865)="","",INDEX(GL!$D:$D,$C1865))))</f>
        <v/>
      </c>
      <c r="G1865" s="19" t="str">
        <f aca="false">IF(C1865=0,"",IF($A1865="Bank",INDEX(Bank!$E:$E,$C1865),INDEX(GL!$E:$E,$C1865)))</f>
        <v/>
      </c>
      <c r="H1865" s="5" t="str">
        <f aca="false">IF(C1865=0,"",IF(A1865="GL",IF(G1865&gt;0,"Deposit in transit","Outstanding check / payment"),IF(G1865&gt;0,"Bank credit not in GL","Bank debit not in GL")))</f>
        <v/>
      </c>
      <c r="I1865" s="42" t="str">
        <f aca="false">IF(OR(C1865=0,CFG_PeriodEnd=""),"",CFG_PeriodEnd-D1865)</f>
        <v/>
      </c>
      <c r="J1865" s="5" t="str">
        <f aca="false">IF(C1865=0,"",IF($A1865="Bank",IF(INDEX(Bank!$G:$G,$C1865)="","",INDEX(Bank!$G:$G,$C1865)),IF(INDEX(GL!$G:$G,$C1865)="","",INDEX(GL!$G:$G,$C1865))))</f>
        <v/>
      </c>
      <c r="K1865" s="5" t="str">
        <f aca="false">IF(C1865=0,"",IF($A1865="Bank",IF(INDEX(Bank!$I:$I,$C1865)="","",INDEX(Bank!$I:$I,$C1865)),IF(INDEX(GL!$I:$I,$C1865)="","",INDEX(GL!$I:$I,$C1865))))</f>
        <v/>
      </c>
      <c r="L1865" s="5" t="str">
        <f aca="false">IF(B1865="","",IF(C1865=0,"NOT FOUND",IF(IF($A1865="Bank",INDEX(Bank!$F:$F,$C1865),INDEX(GL!$F:$F,$C1865))="Y","NOW RECONCILED: refresh","OK")))</f>
        <v/>
      </c>
    </row>
    <row r="1866" customFormat="false" ht="15" hidden="false" customHeight="false" outlineLevel="0" collapsed="false">
      <c r="A1866" s="41"/>
      <c r="B1866" s="41"/>
      <c r="C1866" s="5" t="n">
        <f aca="false">IF(B1866="",0,IF(A1866="Bank",IFERROR(MATCH(B1866,Bank!$A:$A,0),0),IFERROR(MATCH(B1866,GL!$A:$A,0),0)))</f>
        <v>0</v>
      </c>
      <c r="D1866" s="32" t="str">
        <f aca="false">IF(C1866=0,"",IF($A1866="Bank",INDEX(Bank!$B:$B,$C1866),INDEX(GL!$B:$B,$C1866)))</f>
        <v/>
      </c>
      <c r="E1866" s="5" t="str">
        <f aca="false">IF(C1866=0,"",IF($A1866="Bank",IF(INDEX(Bank!$C:$C,$C1866)="","",INDEX(Bank!$C:$C,$C1866)),IF(INDEX(GL!$C:$C,$C1866)="","",INDEX(GL!$C:$C,$C1866))))</f>
        <v/>
      </c>
      <c r="F1866" s="5" t="str">
        <f aca="false">IF(C1866=0,"",IF($A1866="Bank",IF(INDEX(Bank!$D:$D,$C1866)="","",INDEX(Bank!$D:$D,$C1866)),IF(INDEX(GL!$D:$D,$C1866)="","",INDEX(GL!$D:$D,$C1866))))</f>
        <v/>
      </c>
      <c r="G1866" s="19" t="str">
        <f aca="false">IF(C1866=0,"",IF($A1866="Bank",INDEX(Bank!$E:$E,$C1866),INDEX(GL!$E:$E,$C1866)))</f>
        <v/>
      </c>
      <c r="H1866" s="5" t="str">
        <f aca="false">IF(C1866=0,"",IF(A1866="GL",IF(G1866&gt;0,"Deposit in transit","Outstanding check / payment"),IF(G1866&gt;0,"Bank credit not in GL","Bank debit not in GL")))</f>
        <v/>
      </c>
      <c r="I1866" s="42" t="str">
        <f aca="false">IF(OR(C1866=0,CFG_PeriodEnd=""),"",CFG_PeriodEnd-D1866)</f>
        <v/>
      </c>
      <c r="J1866" s="5" t="str">
        <f aca="false">IF(C1866=0,"",IF($A1866="Bank",IF(INDEX(Bank!$G:$G,$C1866)="","",INDEX(Bank!$G:$G,$C1866)),IF(INDEX(GL!$G:$G,$C1866)="","",INDEX(GL!$G:$G,$C1866))))</f>
        <v/>
      </c>
      <c r="K1866" s="5" t="str">
        <f aca="false">IF(C1866=0,"",IF($A1866="Bank",IF(INDEX(Bank!$I:$I,$C1866)="","",INDEX(Bank!$I:$I,$C1866)),IF(INDEX(GL!$I:$I,$C1866)="","",INDEX(GL!$I:$I,$C1866))))</f>
        <v/>
      </c>
      <c r="L1866" s="5" t="str">
        <f aca="false">IF(B1866="","",IF(C1866=0,"NOT FOUND",IF(IF($A1866="Bank",INDEX(Bank!$F:$F,$C1866),INDEX(GL!$F:$F,$C1866))="Y","NOW RECONCILED: refresh","OK")))</f>
        <v/>
      </c>
    </row>
    <row r="1867" customFormat="false" ht="15" hidden="false" customHeight="false" outlineLevel="0" collapsed="false">
      <c r="A1867" s="41"/>
      <c r="B1867" s="41"/>
      <c r="C1867" s="5" t="n">
        <f aca="false">IF(B1867="",0,IF(A1867="Bank",IFERROR(MATCH(B1867,Bank!$A:$A,0),0),IFERROR(MATCH(B1867,GL!$A:$A,0),0)))</f>
        <v>0</v>
      </c>
      <c r="D1867" s="32" t="str">
        <f aca="false">IF(C1867=0,"",IF($A1867="Bank",INDEX(Bank!$B:$B,$C1867),INDEX(GL!$B:$B,$C1867)))</f>
        <v/>
      </c>
      <c r="E1867" s="5" t="str">
        <f aca="false">IF(C1867=0,"",IF($A1867="Bank",IF(INDEX(Bank!$C:$C,$C1867)="","",INDEX(Bank!$C:$C,$C1867)),IF(INDEX(GL!$C:$C,$C1867)="","",INDEX(GL!$C:$C,$C1867))))</f>
        <v/>
      </c>
      <c r="F1867" s="5" t="str">
        <f aca="false">IF(C1867=0,"",IF($A1867="Bank",IF(INDEX(Bank!$D:$D,$C1867)="","",INDEX(Bank!$D:$D,$C1867)),IF(INDEX(GL!$D:$D,$C1867)="","",INDEX(GL!$D:$D,$C1867))))</f>
        <v/>
      </c>
      <c r="G1867" s="19" t="str">
        <f aca="false">IF(C1867=0,"",IF($A1867="Bank",INDEX(Bank!$E:$E,$C1867),INDEX(GL!$E:$E,$C1867)))</f>
        <v/>
      </c>
      <c r="H1867" s="5" t="str">
        <f aca="false">IF(C1867=0,"",IF(A1867="GL",IF(G1867&gt;0,"Deposit in transit","Outstanding check / payment"),IF(G1867&gt;0,"Bank credit not in GL","Bank debit not in GL")))</f>
        <v/>
      </c>
      <c r="I1867" s="42" t="str">
        <f aca="false">IF(OR(C1867=0,CFG_PeriodEnd=""),"",CFG_PeriodEnd-D1867)</f>
        <v/>
      </c>
      <c r="J1867" s="5" t="str">
        <f aca="false">IF(C1867=0,"",IF($A1867="Bank",IF(INDEX(Bank!$G:$G,$C1867)="","",INDEX(Bank!$G:$G,$C1867)),IF(INDEX(GL!$G:$G,$C1867)="","",INDEX(GL!$G:$G,$C1867))))</f>
        <v/>
      </c>
      <c r="K1867" s="5" t="str">
        <f aca="false">IF(C1867=0,"",IF($A1867="Bank",IF(INDEX(Bank!$I:$I,$C1867)="","",INDEX(Bank!$I:$I,$C1867)),IF(INDEX(GL!$I:$I,$C1867)="","",INDEX(GL!$I:$I,$C1867))))</f>
        <v/>
      </c>
      <c r="L1867" s="5" t="str">
        <f aca="false">IF(B1867="","",IF(C1867=0,"NOT FOUND",IF(IF($A1867="Bank",INDEX(Bank!$F:$F,$C1867),INDEX(GL!$F:$F,$C1867))="Y","NOW RECONCILED: refresh","OK")))</f>
        <v/>
      </c>
    </row>
    <row r="1868" customFormat="false" ht="15" hidden="false" customHeight="false" outlineLevel="0" collapsed="false">
      <c r="A1868" s="41"/>
      <c r="B1868" s="41"/>
      <c r="C1868" s="5" t="n">
        <f aca="false">IF(B1868="",0,IF(A1868="Bank",IFERROR(MATCH(B1868,Bank!$A:$A,0),0),IFERROR(MATCH(B1868,GL!$A:$A,0),0)))</f>
        <v>0</v>
      </c>
      <c r="D1868" s="32" t="str">
        <f aca="false">IF(C1868=0,"",IF($A1868="Bank",INDEX(Bank!$B:$B,$C1868),INDEX(GL!$B:$B,$C1868)))</f>
        <v/>
      </c>
      <c r="E1868" s="5" t="str">
        <f aca="false">IF(C1868=0,"",IF($A1868="Bank",IF(INDEX(Bank!$C:$C,$C1868)="","",INDEX(Bank!$C:$C,$C1868)),IF(INDEX(GL!$C:$C,$C1868)="","",INDEX(GL!$C:$C,$C1868))))</f>
        <v/>
      </c>
      <c r="F1868" s="5" t="str">
        <f aca="false">IF(C1868=0,"",IF($A1868="Bank",IF(INDEX(Bank!$D:$D,$C1868)="","",INDEX(Bank!$D:$D,$C1868)),IF(INDEX(GL!$D:$D,$C1868)="","",INDEX(GL!$D:$D,$C1868))))</f>
        <v/>
      </c>
      <c r="G1868" s="19" t="str">
        <f aca="false">IF(C1868=0,"",IF($A1868="Bank",INDEX(Bank!$E:$E,$C1868),INDEX(GL!$E:$E,$C1868)))</f>
        <v/>
      </c>
      <c r="H1868" s="5" t="str">
        <f aca="false">IF(C1868=0,"",IF(A1868="GL",IF(G1868&gt;0,"Deposit in transit","Outstanding check / payment"),IF(G1868&gt;0,"Bank credit not in GL","Bank debit not in GL")))</f>
        <v/>
      </c>
      <c r="I1868" s="42" t="str">
        <f aca="false">IF(OR(C1868=0,CFG_PeriodEnd=""),"",CFG_PeriodEnd-D1868)</f>
        <v/>
      </c>
      <c r="J1868" s="5" t="str">
        <f aca="false">IF(C1868=0,"",IF($A1868="Bank",IF(INDEX(Bank!$G:$G,$C1868)="","",INDEX(Bank!$G:$G,$C1868)),IF(INDEX(GL!$G:$G,$C1868)="","",INDEX(GL!$G:$G,$C1868))))</f>
        <v/>
      </c>
      <c r="K1868" s="5" t="str">
        <f aca="false">IF(C1868=0,"",IF($A1868="Bank",IF(INDEX(Bank!$I:$I,$C1868)="","",INDEX(Bank!$I:$I,$C1868)),IF(INDEX(GL!$I:$I,$C1868)="","",INDEX(GL!$I:$I,$C1868))))</f>
        <v/>
      </c>
      <c r="L1868" s="5" t="str">
        <f aca="false">IF(B1868="","",IF(C1868=0,"NOT FOUND",IF(IF($A1868="Bank",INDEX(Bank!$F:$F,$C1868),INDEX(GL!$F:$F,$C1868))="Y","NOW RECONCILED: refresh","OK")))</f>
        <v/>
      </c>
    </row>
    <row r="1869" customFormat="false" ht="15" hidden="false" customHeight="false" outlineLevel="0" collapsed="false">
      <c r="A1869" s="41"/>
      <c r="B1869" s="41"/>
      <c r="C1869" s="5" t="n">
        <f aca="false">IF(B1869="",0,IF(A1869="Bank",IFERROR(MATCH(B1869,Bank!$A:$A,0),0),IFERROR(MATCH(B1869,GL!$A:$A,0),0)))</f>
        <v>0</v>
      </c>
      <c r="D1869" s="32" t="str">
        <f aca="false">IF(C1869=0,"",IF($A1869="Bank",INDEX(Bank!$B:$B,$C1869),INDEX(GL!$B:$B,$C1869)))</f>
        <v/>
      </c>
      <c r="E1869" s="5" t="str">
        <f aca="false">IF(C1869=0,"",IF($A1869="Bank",IF(INDEX(Bank!$C:$C,$C1869)="","",INDEX(Bank!$C:$C,$C1869)),IF(INDEX(GL!$C:$C,$C1869)="","",INDEX(GL!$C:$C,$C1869))))</f>
        <v/>
      </c>
      <c r="F1869" s="5" t="str">
        <f aca="false">IF(C1869=0,"",IF($A1869="Bank",IF(INDEX(Bank!$D:$D,$C1869)="","",INDEX(Bank!$D:$D,$C1869)),IF(INDEX(GL!$D:$D,$C1869)="","",INDEX(GL!$D:$D,$C1869))))</f>
        <v/>
      </c>
      <c r="G1869" s="19" t="str">
        <f aca="false">IF(C1869=0,"",IF($A1869="Bank",INDEX(Bank!$E:$E,$C1869),INDEX(GL!$E:$E,$C1869)))</f>
        <v/>
      </c>
      <c r="H1869" s="5" t="str">
        <f aca="false">IF(C1869=0,"",IF(A1869="GL",IF(G1869&gt;0,"Deposit in transit","Outstanding check / payment"),IF(G1869&gt;0,"Bank credit not in GL","Bank debit not in GL")))</f>
        <v/>
      </c>
      <c r="I1869" s="42" t="str">
        <f aca="false">IF(OR(C1869=0,CFG_PeriodEnd=""),"",CFG_PeriodEnd-D1869)</f>
        <v/>
      </c>
      <c r="J1869" s="5" t="str">
        <f aca="false">IF(C1869=0,"",IF($A1869="Bank",IF(INDEX(Bank!$G:$G,$C1869)="","",INDEX(Bank!$G:$G,$C1869)),IF(INDEX(GL!$G:$G,$C1869)="","",INDEX(GL!$G:$G,$C1869))))</f>
        <v/>
      </c>
      <c r="K1869" s="5" t="str">
        <f aca="false">IF(C1869=0,"",IF($A1869="Bank",IF(INDEX(Bank!$I:$I,$C1869)="","",INDEX(Bank!$I:$I,$C1869)),IF(INDEX(GL!$I:$I,$C1869)="","",INDEX(GL!$I:$I,$C1869))))</f>
        <v/>
      </c>
      <c r="L1869" s="5" t="str">
        <f aca="false">IF(B1869="","",IF(C1869=0,"NOT FOUND",IF(IF($A1869="Bank",INDEX(Bank!$F:$F,$C1869),INDEX(GL!$F:$F,$C1869))="Y","NOW RECONCILED: refresh","OK")))</f>
        <v/>
      </c>
    </row>
    <row r="1870" customFormat="false" ht="15" hidden="false" customHeight="false" outlineLevel="0" collapsed="false">
      <c r="A1870" s="41"/>
      <c r="B1870" s="41"/>
      <c r="C1870" s="5" t="n">
        <f aca="false">IF(B1870="",0,IF(A1870="Bank",IFERROR(MATCH(B1870,Bank!$A:$A,0),0),IFERROR(MATCH(B1870,GL!$A:$A,0),0)))</f>
        <v>0</v>
      </c>
      <c r="D1870" s="32" t="str">
        <f aca="false">IF(C1870=0,"",IF($A1870="Bank",INDEX(Bank!$B:$B,$C1870),INDEX(GL!$B:$B,$C1870)))</f>
        <v/>
      </c>
      <c r="E1870" s="5" t="str">
        <f aca="false">IF(C1870=0,"",IF($A1870="Bank",IF(INDEX(Bank!$C:$C,$C1870)="","",INDEX(Bank!$C:$C,$C1870)),IF(INDEX(GL!$C:$C,$C1870)="","",INDEX(GL!$C:$C,$C1870))))</f>
        <v/>
      </c>
      <c r="F1870" s="5" t="str">
        <f aca="false">IF(C1870=0,"",IF($A1870="Bank",IF(INDEX(Bank!$D:$D,$C1870)="","",INDEX(Bank!$D:$D,$C1870)),IF(INDEX(GL!$D:$D,$C1870)="","",INDEX(GL!$D:$D,$C1870))))</f>
        <v/>
      </c>
      <c r="G1870" s="19" t="str">
        <f aca="false">IF(C1870=0,"",IF($A1870="Bank",INDEX(Bank!$E:$E,$C1870),INDEX(GL!$E:$E,$C1870)))</f>
        <v/>
      </c>
      <c r="H1870" s="5" t="str">
        <f aca="false">IF(C1870=0,"",IF(A1870="GL",IF(G1870&gt;0,"Deposit in transit","Outstanding check / payment"),IF(G1870&gt;0,"Bank credit not in GL","Bank debit not in GL")))</f>
        <v/>
      </c>
      <c r="I1870" s="42" t="str">
        <f aca="false">IF(OR(C1870=0,CFG_PeriodEnd=""),"",CFG_PeriodEnd-D1870)</f>
        <v/>
      </c>
      <c r="J1870" s="5" t="str">
        <f aca="false">IF(C1870=0,"",IF($A1870="Bank",IF(INDEX(Bank!$G:$G,$C1870)="","",INDEX(Bank!$G:$G,$C1870)),IF(INDEX(GL!$G:$G,$C1870)="","",INDEX(GL!$G:$G,$C1870))))</f>
        <v/>
      </c>
      <c r="K1870" s="5" t="str">
        <f aca="false">IF(C1870=0,"",IF($A1870="Bank",IF(INDEX(Bank!$I:$I,$C1870)="","",INDEX(Bank!$I:$I,$C1870)),IF(INDEX(GL!$I:$I,$C1870)="","",INDEX(GL!$I:$I,$C1870))))</f>
        <v/>
      </c>
      <c r="L1870" s="5" t="str">
        <f aca="false">IF(B1870="","",IF(C1870=0,"NOT FOUND",IF(IF($A1870="Bank",INDEX(Bank!$F:$F,$C1870),INDEX(GL!$F:$F,$C1870))="Y","NOW RECONCILED: refresh","OK")))</f>
        <v/>
      </c>
    </row>
    <row r="1871" customFormat="false" ht="15" hidden="false" customHeight="false" outlineLevel="0" collapsed="false">
      <c r="A1871" s="41"/>
      <c r="B1871" s="41"/>
      <c r="C1871" s="5" t="n">
        <f aca="false">IF(B1871="",0,IF(A1871="Bank",IFERROR(MATCH(B1871,Bank!$A:$A,0),0),IFERROR(MATCH(B1871,GL!$A:$A,0),0)))</f>
        <v>0</v>
      </c>
      <c r="D1871" s="32" t="str">
        <f aca="false">IF(C1871=0,"",IF($A1871="Bank",INDEX(Bank!$B:$B,$C1871),INDEX(GL!$B:$B,$C1871)))</f>
        <v/>
      </c>
      <c r="E1871" s="5" t="str">
        <f aca="false">IF(C1871=0,"",IF($A1871="Bank",IF(INDEX(Bank!$C:$C,$C1871)="","",INDEX(Bank!$C:$C,$C1871)),IF(INDEX(GL!$C:$C,$C1871)="","",INDEX(GL!$C:$C,$C1871))))</f>
        <v/>
      </c>
      <c r="F1871" s="5" t="str">
        <f aca="false">IF(C1871=0,"",IF($A1871="Bank",IF(INDEX(Bank!$D:$D,$C1871)="","",INDEX(Bank!$D:$D,$C1871)),IF(INDEX(GL!$D:$D,$C1871)="","",INDEX(GL!$D:$D,$C1871))))</f>
        <v/>
      </c>
      <c r="G1871" s="19" t="str">
        <f aca="false">IF(C1871=0,"",IF($A1871="Bank",INDEX(Bank!$E:$E,$C1871),INDEX(GL!$E:$E,$C1871)))</f>
        <v/>
      </c>
      <c r="H1871" s="5" t="str">
        <f aca="false">IF(C1871=0,"",IF(A1871="GL",IF(G1871&gt;0,"Deposit in transit","Outstanding check / payment"),IF(G1871&gt;0,"Bank credit not in GL","Bank debit not in GL")))</f>
        <v/>
      </c>
      <c r="I1871" s="42" t="str">
        <f aca="false">IF(OR(C1871=0,CFG_PeriodEnd=""),"",CFG_PeriodEnd-D1871)</f>
        <v/>
      </c>
      <c r="J1871" s="5" t="str">
        <f aca="false">IF(C1871=0,"",IF($A1871="Bank",IF(INDEX(Bank!$G:$G,$C1871)="","",INDEX(Bank!$G:$G,$C1871)),IF(INDEX(GL!$G:$G,$C1871)="","",INDEX(GL!$G:$G,$C1871))))</f>
        <v/>
      </c>
      <c r="K1871" s="5" t="str">
        <f aca="false">IF(C1871=0,"",IF($A1871="Bank",IF(INDEX(Bank!$I:$I,$C1871)="","",INDEX(Bank!$I:$I,$C1871)),IF(INDEX(GL!$I:$I,$C1871)="","",INDEX(GL!$I:$I,$C1871))))</f>
        <v/>
      </c>
      <c r="L1871" s="5" t="str">
        <f aca="false">IF(B1871="","",IF(C1871=0,"NOT FOUND",IF(IF($A1871="Bank",INDEX(Bank!$F:$F,$C1871),INDEX(GL!$F:$F,$C1871))="Y","NOW RECONCILED: refresh","OK")))</f>
        <v/>
      </c>
    </row>
    <row r="1872" customFormat="false" ht="15" hidden="false" customHeight="false" outlineLevel="0" collapsed="false">
      <c r="A1872" s="41"/>
      <c r="B1872" s="41"/>
      <c r="C1872" s="5" t="n">
        <f aca="false">IF(B1872="",0,IF(A1872="Bank",IFERROR(MATCH(B1872,Bank!$A:$A,0),0),IFERROR(MATCH(B1872,GL!$A:$A,0),0)))</f>
        <v>0</v>
      </c>
      <c r="D1872" s="32" t="str">
        <f aca="false">IF(C1872=0,"",IF($A1872="Bank",INDEX(Bank!$B:$B,$C1872),INDEX(GL!$B:$B,$C1872)))</f>
        <v/>
      </c>
      <c r="E1872" s="5" t="str">
        <f aca="false">IF(C1872=0,"",IF($A1872="Bank",IF(INDEX(Bank!$C:$C,$C1872)="","",INDEX(Bank!$C:$C,$C1872)),IF(INDEX(GL!$C:$C,$C1872)="","",INDEX(GL!$C:$C,$C1872))))</f>
        <v/>
      </c>
      <c r="F1872" s="5" t="str">
        <f aca="false">IF(C1872=0,"",IF($A1872="Bank",IF(INDEX(Bank!$D:$D,$C1872)="","",INDEX(Bank!$D:$D,$C1872)),IF(INDEX(GL!$D:$D,$C1872)="","",INDEX(GL!$D:$D,$C1872))))</f>
        <v/>
      </c>
      <c r="G1872" s="19" t="str">
        <f aca="false">IF(C1872=0,"",IF($A1872="Bank",INDEX(Bank!$E:$E,$C1872),INDEX(GL!$E:$E,$C1872)))</f>
        <v/>
      </c>
      <c r="H1872" s="5" t="str">
        <f aca="false">IF(C1872=0,"",IF(A1872="GL",IF(G1872&gt;0,"Deposit in transit","Outstanding check / payment"),IF(G1872&gt;0,"Bank credit not in GL","Bank debit not in GL")))</f>
        <v/>
      </c>
      <c r="I1872" s="42" t="str">
        <f aca="false">IF(OR(C1872=0,CFG_PeriodEnd=""),"",CFG_PeriodEnd-D1872)</f>
        <v/>
      </c>
      <c r="J1872" s="5" t="str">
        <f aca="false">IF(C1872=0,"",IF($A1872="Bank",IF(INDEX(Bank!$G:$G,$C1872)="","",INDEX(Bank!$G:$G,$C1872)),IF(INDEX(GL!$G:$G,$C1872)="","",INDEX(GL!$G:$G,$C1872))))</f>
        <v/>
      </c>
      <c r="K1872" s="5" t="str">
        <f aca="false">IF(C1872=0,"",IF($A1872="Bank",IF(INDEX(Bank!$I:$I,$C1872)="","",INDEX(Bank!$I:$I,$C1872)),IF(INDEX(GL!$I:$I,$C1872)="","",INDEX(GL!$I:$I,$C1872))))</f>
        <v/>
      </c>
      <c r="L1872" s="5" t="str">
        <f aca="false">IF(B1872="","",IF(C1872=0,"NOT FOUND",IF(IF($A1872="Bank",INDEX(Bank!$F:$F,$C1872),INDEX(GL!$F:$F,$C1872))="Y","NOW RECONCILED: refresh","OK")))</f>
        <v/>
      </c>
    </row>
    <row r="1873" customFormat="false" ht="15" hidden="false" customHeight="false" outlineLevel="0" collapsed="false">
      <c r="A1873" s="41"/>
      <c r="B1873" s="41"/>
      <c r="C1873" s="5" t="n">
        <f aca="false">IF(B1873="",0,IF(A1873="Bank",IFERROR(MATCH(B1873,Bank!$A:$A,0),0),IFERROR(MATCH(B1873,GL!$A:$A,0),0)))</f>
        <v>0</v>
      </c>
      <c r="D1873" s="32" t="str">
        <f aca="false">IF(C1873=0,"",IF($A1873="Bank",INDEX(Bank!$B:$B,$C1873),INDEX(GL!$B:$B,$C1873)))</f>
        <v/>
      </c>
      <c r="E1873" s="5" t="str">
        <f aca="false">IF(C1873=0,"",IF($A1873="Bank",IF(INDEX(Bank!$C:$C,$C1873)="","",INDEX(Bank!$C:$C,$C1873)),IF(INDEX(GL!$C:$C,$C1873)="","",INDEX(GL!$C:$C,$C1873))))</f>
        <v/>
      </c>
      <c r="F1873" s="5" t="str">
        <f aca="false">IF(C1873=0,"",IF($A1873="Bank",IF(INDEX(Bank!$D:$D,$C1873)="","",INDEX(Bank!$D:$D,$C1873)),IF(INDEX(GL!$D:$D,$C1873)="","",INDEX(GL!$D:$D,$C1873))))</f>
        <v/>
      </c>
      <c r="G1873" s="19" t="str">
        <f aca="false">IF(C1873=0,"",IF($A1873="Bank",INDEX(Bank!$E:$E,$C1873),INDEX(GL!$E:$E,$C1873)))</f>
        <v/>
      </c>
      <c r="H1873" s="5" t="str">
        <f aca="false">IF(C1873=0,"",IF(A1873="GL",IF(G1873&gt;0,"Deposit in transit","Outstanding check / payment"),IF(G1873&gt;0,"Bank credit not in GL","Bank debit not in GL")))</f>
        <v/>
      </c>
      <c r="I1873" s="42" t="str">
        <f aca="false">IF(OR(C1873=0,CFG_PeriodEnd=""),"",CFG_PeriodEnd-D1873)</f>
        <v/>
      </c>
      <c r="J1873" s="5" t="str">
        <f aca="false">IF(C1873=0,"",IF($A1873="Bank",IF(INDEX(Bank!$G:$G,$C1873)="","",INDEX(Bank!$G:$G,$C1873)),IF(INDEX(GL!$G:$G,$C1873)="","",INDEX(GL!$G:$G,$C1873))))</f>
        <v/>
      </c>
      <c r="K1873" s="5" t="str">
        <f aca="false">IF(C1873=0,"",IF($A1873="Bank",IF(INDEX(Bank!$I:$I,$C1873)="","",INDEX(Bank!$I:$I,$C1873)),IF(INDEX(GL!$I:$I,$C1873)="","",INDEX(GL!$I:$I,$C1873))))</f>
        <v/>
      </c>
      <c r="L1873" s="5" t="str">
        <f aca="false">IF(B1873="","",IF(C1873=0,"NOT FOUND",IF(IF($A1873="Bank",INDEX(Bank!$F:$F,$C1873),INDEX(GL!$F:$F,$C1873))="Y","NOW RECONCILED: refresh","OK")))</f>
        <v/>
      </c>
    </row>
    <row r="1874" customFormat="false" ht="15" hidden="false" customHeight="false" outlineLevel="0" collapsed="false">
      <c r="A1874" s="41"/>
      <c r="B1874" s="41"/>
      <c r="C1874" s="5" t="n">
        <f aca="false">IF(B1874="",0,IF(A1874="Bank",IFERROR(MATCH(B1874,Bank!$A:$A,0),0),IFERROR(MATCH(B1874,GL!$A:$A,0),0)))</f>
        <v>0</v>
      </c>
      <c r="D1874" s="32" t="str">
        <f aca="false">IF(C1874=0,"",IF($A1874="Bank",INDEX(Bank!$B:$B,$C1874),INDEX(GL!$B:$B,$C1874)))</f>
        <v/>
      </c>
      <c r="E1874" s="5" t="str">
        <f aca="false">IF(C1874=0,"",IF($A1874="Bank",IF(INDEX(Bank!$C:$C,$C1874)="","",INDEX(Bank!$C:$C,$C1874)),IF(INDEX(GL!$C:$C,$C1874)="","",INDEX(GL!$C:$C,$C1874))))</f>
        <v/>
      </c>
      <c r="F1874" s="5" t="str">
        <f aca="false">IF(C1874=0,"",IF($A1874="Bank",IF(INDEX(Bank!$D:$D,$C1874)="","",INDEX(Bank!$D:$D,$C1874)),IF(INDEX(GL!$D:$D,$C1874)="","",INDEX(GL!$D:$D,$C1874))))</f>
        <v/>
      </c>
      <c r="G1874" s="19" t="str">
        <f aca="false">IF(C1874=0,"",IF($A1874="Bank",INDEX(Bank!$E:$E,$C1874),INDEX(GL!$E:$E,$C1874)))</f>
        <v/>
      </c>
      <c r="H1874" s="5" t="str">
        <f aca="false">IF(C1874=0,"",IF(A1874="GL",IF(G1874&gt;0,"Deposit in transit","Outstanding check / payment"),IF(G1874&gt;0,"Bank credit not in GL","Bank debit not in GL")))</f>
        <v/>
      </c>
      <c r="I1874" s="42" t="str">
        <f aca="false">IF(OR(C1874=0,CFG_PeriodEnd=""),"",CFG_PeriodEnd-D1874)</f>
        <v/>
      </c>
      <c r="J1874" s="5" t="str">
        <f aca="false">IF(C1874=0,"",IF($A1874="Bank",IF(INDEX(Bank!$G:$G,$C1874)="","",INDEX(Bank!$G:$G,$C1874)),IF(INDEX(GL!$G:$G,$C1874)="","",INDEX(GL!$G:$G,$C1874))))</f>
        <v/>
      </c>
      <c r="K1874" s="5" t="str">
        <f aca="false">IF(C1874=0,"",IF($A1874="Bank",IF(INDEX(Bank!$I:$I,$C1874)="","",INDEX(Bank!$I:$I,$C1874)),IF(INDEX(GL!$I:$I,$C1874)="","",INDEX(GL!$I:$I,$C1874))))</f>
        <v/>
      </c>
      <c r="L1874" s="5" t="str">
        <f aca="false">IF(B1874="","",IF(C1874=0,"NOT FOUND",IF(IF($A1874="Bank",INDEX(Bank!$F:$F,$C1874),INDEX(GL!$F:$F,$C1874))="Y","NOW RECONCILED: refresh","OK")))</f>
        <v/>
      </c>
    </row>
    <row r="1875" customFormat="false" ht="15" hidden="false" customHeight="false" outlineLevel="0" collapsed="false">
      <c r="A1875" s="41"/>
      <c r="B1875" s="41"/>
      <c r="C1875" s="5" t="n">
        <f aca="false">IF(B1875="",0,IF(A1875="Bank",IFERROR(MATCH(B1875,Bank!$A:$A,0),0),IFERROR(MATCH(B1875,GL!$A:$A,0),0)))</f>
        <v>0</v>
      </c>
      <c r="D1875" s="32" t="str">
        <f aca="false">IF(C1875=0,"",IF($A1875="Bank",INDEX(Bank!$B:$B,$C1875),INDEX(GL!$B:$B,$C1875)))</f>
        <v/>
      </c>
      <c r="E1875" s="5" t="str">
        <f aca="false">IF(C1875=0,"",IF($A1875="Bank",IF(INDEX(Bank!$C:$C,$C1875)="","",INDEX(Bank!$C:$C,$C1875)),IF(INDEX(GL!$C:$C,$C1875)="","",INDEX(GL!$C:$C,$C1875))))</f>
        <v/>
      </c>
      <c r="F1875" s="5" t="str">
        <f aca="false">IF(C1875=0,"",IF($A1875="Bank",IF(INDEX(Bank!$D:$D,$C1875)="","",INDEX(Bank!$D:$D,$C1875)),IF(INDEX(GL!$D:$D,$C1875)="","",INDEX(GL!$D:$D,$C1875))))</f>
        <v/>
      </c>
      <c r="G1875" s="19" t="str">
        <f aca="false">IF(C1875=0,"",IF($A1875="Bank",INDEX(Bank!$E:$E,$C1875),INDEX(GL!$E:$E,$C1875)))</f>
        <v/>
      </c>
      <c r="H1875" s="5" t="str">
        <f aca="false">IF(C1875=0,"",IF(A1875="GL",IF(G1875&gt;0,"Deposit in transit","Outstanding check / payment"),IF(G1875&gt;0,"Bank credit not in GL","Bank debit not in GL")))</f>
        <v/>
      </c>
      <c r="I1875" s="42" t="str">
        <f aca="false">IF(OR(C1875=0,CFG_PeriodEnd=""),"",CFG_PeriodEnd-D1875)</f>
        <v/>
      </c>
      <c r="J1875" s="5" t="str">
        <f aca="false">IF(C1875=0,"",IF($A1875="Bank",IF(INDEX(Bank!$G:$G,$C1875)="","",INDEX(Bank!$G:$G,$C1875)),IF(INDEX(GL!$G:$G,$C1875)="","",INDEX(GL!$G:$G,$C1875))))</f>
        <v/>
      </c>
      <c r="K1875" s="5" t="str">
        <f aca="false">IF(C1875=0,"",IF($A1875="Bank",IF(INDEX(Bank!$I:$I,$C1875)="","",INDEX(Bank!$I:$I,$C1875)),IF(INDEX(GL!$I:$I,$C1875)="","",INDEX(GL!$I:$I,$C1875))))</f>
        <v/>
      </c>
      <c r="L1875" s="5" t="str">
        <f aca="false">IF(B1875="","",IF(C1875=0,"NOT FOUND",IF(IF($A1875="Bank",INDEX(Bank!$F:$F,$C1875),INDEX(GL!$F:$F,$C1875))="Y","NOW RECONCILED: refresh","OK")))</f>
        <v/>
      </c>
    </row>
    <row r="1876" customFormat="false" ht="15" hidden="false" customHeight="false" outlineLevel="0" collapsed="false">
      <c r="A1876" s="41"/>
      <c r="B1876" s="41"/>
      <c r="C1876" s="5" t="n">
        <f aca="false">IF(B1876="",0,IF(A1876="Bank",IFERROR(MATCH(B1876,Bank!$A:$A,0),0),IFERROR(MATCH(B1876,GL!$A:$A,0),0)))</f>
        <v>0</v>
      </c>
      <c r="D1876" s="32" t="str">
        <f aca="false">IF(C1876=0,"",IF($A1876="Bank",INDEX(Bank!$B:$B,$C1876),INDEX(GL!$B:$B,$C1876)))</f>
        <v/>
      </c>
      <c r="E1876" s="5" t="str">
        <f aca="false">IF(C1876=0,"",IF($A1876="Bank",IF(INDEX(Bank!$C:$C,$C1876)="","",INDEX(Bank!$C:$C,$C1876)),IF(INDEX(GL!$C:$C,$C1876)="","",INDEX(GL!$C:$C,$C1876))))</f>
        <v/>
      </c>
      <c r="F1876" s="5" t="str">
        <f aca="false">IF(C1876=0,"",IF($A1876="Bank",IF(INDEX(Bank!$D:$D,$C1876)="","",INDEX(Bank!$D:$D,$C1876)),IF(INDEX(GL!$D:$D,$C1876)="","",INDEX(GL!$D:$D,$C1876))))</f>
        <v/>
      </c>
      <c r="G1876" s="19" t="str">
        <f aca="false">IF(C1876=0,"",IF($A1876="Bank",INDEX(Bank!$E:$E,$C1876),INDEX(GL!$E:$E,$C1876)))</f>
        <v/>
      </c>
      <c r="H1876" s="5" t="str">
        <f aca="false">IF(C1876=0,"",IF(A1876="GL",IF(G1876&gt;0,"Deposit in transit","Outstanding check / payment"),IF(G1876&gt;0,"Bank credit not in GL","Bank debit not in GL")))</f>
        <v/>
      </c>
      <c r="I1876" s="42" t="str">
        <f aca="false">IF(OR(C1876=0,CFG_PeriodEnd=""),"",CFG_PeriodEnd-D1876)</f>
        <v/>
      </c>
      <c r="J1876" s="5" t="str">
        <f aca="false">IF(C1876=0,"",IF($A1876="Bank",IF(INDEX(Bank!$G:$G,$C1876)="","",INDEX(Bank!$G:$G,$C1876)),IF(INDEX(GL!$G:$G,$C1876)="","",INDEX(GL!$G:$G,$C1876))))</f>
        <v/>
      </c>
      <c r="K1876" s="5" t="str">
        <f aca="false">IF(C1876=0,"",IF($A1876="Bank",IF(INDEX(Bank!$I:$I,$C1876)="","",INDEX(Bank!$I:$I,$C1876)),IF(INDEX(GL!$I:$I,$C1876)="","",INDEX(GL!$I:$I,$C1876))))</f>
        <v/>
      </c>
      <c r="L1876" s="5" t="str">
        <f aca="false">IF(B1876="","",IF(C1876=0,"NOT FOUND",IF(IF($A1876="Bank",INDEX(Bank!$F:$F,$C1876),INDEX(GL!$F:$F,$C1876))="Y","NOW RECONCILED: refresh","OK")))</f>
        <v/>
      </c>
    </row>
    <row r="1877" customFormat="false" ht="15" hidden="false" customHeight="false" outlineLevel="0" collapsed="false">
      <c r="A1877" s="41"/>
      <c r="B1877" s="41"/>
      <c r="C1877" s="5" t="n">
        <f aca="false">IF(B1877="",0,IF(A1877="Bank",IFERROR(MATCH(B1877,Bank!$A:$A,0),0),IFERROR(MATCH(B1877,GL!$A:$A,0),0)))</f>
        <v>0</v>
      </c>
      <c r="D1877" s="32" t="str">
        <f aca="false">IF(C1877=0,"",IF($A1877="Bank",INDEX(Bank!$B:$B,$C1877),INDEX(GL!$B:$B,$C1877)))</f>
        <v/>
      </c>
      <c r="E1877" s="5" t="str">
        <f aca="false">IF(C1877=0,"",IF($A1877="Bank",IF(INDEX(Bank!$C:$C,$C1877)="","",INDEX(Bank!$C:$C,$C1877)),IF(INDEX(GL!$C:$C,$C1877)="","",INDEX(GL!$C:$C,$C1877))))</f>
        <v/>
      </c>
      <c r="F1877" s="5" t="str">
        <f aca="false">IF(C1877=0,"",IF($A1877="Bank",IF(INDEX(Bank!$D:$D,$C1877)="","",INDEX(Bank!$D:$D,$C1877)),IF(INDEX(GL!$D:$D,$C1877)="","",INDEX(GL!$D:$D,$C1877))))</f>
        <v/>
      </c>
      <c r="G1877" s="19" t="str">
        <f aca="false">IF(C1877=0,"",IF($A1877="Bank",INDEX(Bank!$E:$E,$C1877),INDEX(GL!$E:$E,$C1877)))</f>
        <v/>
      </c>
      <c r="H1877" s="5" t="str">
        <f aca="false">IF(C1877=0,"",IF(A1877="GL",IF(G1877&gt;0,"Deposit in transit","Outstanding check / payment"),IF(G1877&gt;0,"Bank credit not in GL","Bank debit not in GL")))</f>
        <v/>
      </c>
      <c r="I1877" s="42" t="str">
        <f aca="false">IF(OR(C1877=0,CFG_PeriodEnd=""),"",CFG_PeriodEnd-D1877)</f>
        <v/>
      </c>
      <c r="J1877" s="5" t="str">
        <f aca="false">IF(C1877=0,"",IF($A1877="Bank",IF(INDEX(Bank!$G:$G,$C1877)="","",INDEX(Bank!$G:$G,$C1877)),IF(INDEX(GL!$G:$G,$C1877)="","",INDEX(GL!$G:$G,$C1877))))</f>
        <v/>
      </c>
      <c r="K1877" s="5" t="str">
        <f aca="false">IF(C1877=0,"",IF($A1877="Bank",IF(INDEX(Bank!$I:$I,$C1877)="","",INDEX(Bank!$I:$I,$C1877)),IF(INDEX(GL!$I:$I,$C1877)="","",INDEX(GL!$I:$I,$C1877))))</f>
        <v/>
      </c>
      <c r="L1877" s="5" t="str">
        <f aca="false">IF(B1877="","",IF(C1877=0,"NOT FOUND",IF(IF($A1877="Bank",INDEX(Bank!$F:$F,$C1877),INDEX(GL!$F:$F,$C1877))="Y","NOW RECONCILED: refresh","OK")))</f>
        <v/>
      </c>
    </row>
    <row r="1878" customFormat="false" ht="15" hidden="false" customHeight="false" outlineLevel="0" collapsed="false">
      <c r="A1878" s="41"/>
      <c r="B1878" s="41"/>
      <c r="C1878" s="5" t="n">
        <f aca="false">IF(B1878="",0,IF(A1878="Bank",IFERROR(MATCH(B1878,Bank!$A:$A,0),0),IFERROR(MATCH(B1878,GL!$A:$A,0),0)))</f>
        <v>0</v>
      </c>
      <c r="D1878" s="32" t="str">
        <f aca="false">IF(C1878=0,"",IF($A1878="Bank",INDEX(Bank!$B:$B,$C1878),INDEX(GL!$B:$B,$C1878)))</f>
        <v/>
      </c>
      <c r="E1878" s="5" t="str">
        <f aca="false">IF(C1878=0,"",IF($A1878="Bank",IF(INDEX(Bank!$C:$C,$C1878)="","",INDEX(Bank!$C:$C,$C1878)),IF(INDEX(GL!$C:$C,$C1878)="","",INDEX(GL!$C:$C,$C1878))))</f>
        <v/>
      </c>
      <c r="F1878" s="5" t="str">
        <f aca="false">IF(C1878=0,"",IF($A1878="Bank",IF(INDEX(Bank!$D:$D,$C1878)="","",INDEX(Bank!$D:$D,$C1878)),IF(INDEX(GL!$D:$D,$C1878)="","",INDEX(GL!$D:$D,$C1878))))</f>
        <v/>
      </c>
      <c r="G1878" s="19" t="str">
        <f aca="false">IF(C1878=0,"",IF($A1878="Bank",INDEX(Bank!$E:$E,$C1878),INDEX(GL!$E:$E,$C1878)))</f>
        <v/>
      </c>
      <c r="H1878" s="5" t="str">
        <f aca="false">IF(C1878=0,"",IF(A1878="GL",IF(G1878&gt;0,"Deposit in transit","Outstanding check / payment"),IF(G1878&gt;0,"Bank credit not in GL","Bank debit not in GL")))</f>
        <v/>
      </c>
      <c r="I1878" s="42" t="str">
        <f aca="false">IF(OR(C1878=0,CFG_PeriodEnd=""),"",CFG_PeriodEnd-D1878)</f>
        <v/>
      </c>
      <c r="J1878" s="5" t="str">
        <f aca="false">IF(C1878=0,"",IF($A1878="Bank",IF(INDEX(Bank!$G:$G,$C1878)="","",INDEX(Bank!$G:$G,$C1878)),IF(INDEX(GL!$G:$G,$C1878)="","",INDEX(GL!$G:$G,$C1878))))</f>
        <v/>
      </c>
      <c r="K1878" s="5" t="str">
        <f aca="false">IF(C1878=0,"",IF($A1878="Bank",IF(INDEX(Bank!$I:$I,$C1878)="","",INDEX(Bank!$I:$I,$C1878)),IF(INDEX(GL!$I:$I,$C1878)="","",INDEX(GL!$I:$I,$C1878))))</f>
        <v/>
      </c>
      <c r="L1878" s="5" t="str">
        <f aca="false">IF(B1878="","",IF(C1878=0,"NOT FOUND",IF(IF($A1878="Bank",INDEX(Bank!$F:$F,$C1878),INDEX(GL!$F:$F,$C1878))="Y","NOW RECONCILED: refresh","OK")))</f>
        <v/>
      </c>
    </row>
    <row r="1879" customFormat="false" ht="15" hidden="false" customHeight="false" outlineLevel="0" collapsed="false">
      <c r="A1879" s="41"/>
      <c r="B1879" s="41"/>
      <c r="C1879" s="5" t="n">
        <f aca="false">IF(B1879="",0,IF(A1879="Bank",IFERROR(MATCH(B1879,Bank!$A:$A,0),0),IFERROR(MATCH(B1879,GL!$A:$A,0),0)))</f>
        <v>0</v>
      </c>
      <c r="D1879" s="32" t="str">
        <f aca="false">IF(C1879=0,"",IF($A1879="Bank",INDEX(Bank!$B:$B,$C1879),INDEX(GL!$B:$B,$C1879)))</f>
        <v/>
      </c>
      <c r="E1879" s="5" t="str">
        <f aca="false">IF(C1879=0,"",IF($A1879="Bank",IF(INDEX(Bank!$C:$C,$C1879)="","",INDEX(Bank!$C:$C,$C1879)),IF(INDEX(GL!$C:$C,$C1879)="","",INDEX(GL!$C:$C,$C1879))))</f>
        <v/>
      </c>
      <c r="F1879" s="5" t="str">
        <f aca="false">IF(C1879=0,"",IF($A1879="Bank",IF(INDEX(Bank!$D:$D,$C1879)="","",INDEX(Bank!$D:$D,$C1879)),IF(INDEX(GL!$D:$D,$C1879)="","",INDEX(GL!$D:$D,$C1879))))</f>
        <v/>
      </c>
      <c r="G1879" s="19" t="str">
        <f aca="false">IF(C1879=0,"",IF($A1879="Bank",INDEX(Bank!$E:$E,$C1879),INDEX(GL!$E:$E,$C1879)))</f>
        <v/>
      </c>
      <c r="H1879" s="5" t="str">
        <f aca="false">IF(C1879=0,"",IF(A1879="GL",IF(G1879&gt;0,"Deposit in transit","Outstanding check / payment"),IF(G1879&gt;0,"Bank credit not in GL","Bank debit not in GL")))</f>
        <v/>
      </c>
      <c r="I1879" s="42" t="str">
        <f aca="false">IF(OR(C1879=0,CFG_PeriodEnd=""),"",CFG_PeriodEnd-D1879)</f>
        <v/>
      </c>
      <c r="J1879" s="5" t="str">
        <f aca="false">IF(C1879=0,"",IF($A1879="Bank",IF(INDEX(Bank!$G:$G,$C1879)="","",INDEX(Bank!$G:$G,$C1879)),IF(INDEX(GL!$G:$G,$C1879)="","",INDEX(GL!$G:$G,$C1879))))</f>
        <v/>
      </c>
      <c r="K1879" s="5" t="str">
        <f aca="false">IF(C1879=0,"",IF($A1879="Bank",IF(INDEX(Bank!$I:$I,$C1879)="","",INDEX(Bank!$I:$I,$C1879)),IF(INDEX(GL!$I:$I,$C1879)="","",INDEX(GL!$I:$I,$C1879))))</f>
        <v/>
      </c>
      <c r="L1879" s="5" t="str">
        <f aca="false">IF(B1879="","",IF(C1879=0,"NOT FOUND",IF(IF($A1879="Bank",INDEX(Bank!$F:$F,$C1879),INDEX(GL!$F:$F,$C1879))="Y","NOW RECONCILED: refresh","OK")))</f>
        <v/>
      </c>
    </row>
    <row r="1880" customFormat="false" ht="15" hidden="false" customHeight="false" outlineLevel="0" collapsed="false">
      <c r="A1880" s="41"/>
      <c r="B1880" s="41"/>
      <c r="C1880" s="5" t="n">
        <f aca="false">IF(B1880="",0,IF(A1880="Bank",IFERROR(MATCH(B1880,Bank!$A:$A,0),0),IFERROR(MATCH(B1880,GL!$A:$A,0),0)))</f>
        <v>0</v>
      </c>
      <c r="D1880" s="32" t="str">
        <f aca="false">IF(C1880=0,"",IF($A1880="Bank",INDEX(Bank!$B:$B,$C1880),INDEX(GL!$B:$B,$C1880)))</f>
        <v/>
      </c>
      <c r="E1880" s="5" t="str">
        <f aca="false">IF(C1880=0,"",IF($A1880="Bank",IF(INDEX(Bank!$C:$C,$C1880)="","",INDEX(Bank!$C:$C,$C1880)),IF(INDEX(GL!$C:$C,$C1880)="","",INDEX(GL!$C:$C,$C1880))))</f>
        <v/>
      </c>
      <c r="F1880" s="5" t="str">
        <f aca="false">IF(C1880=0,"",IF($A1880="Bank",IF(INDEX(Bank!$D:$D,$C1880)="","",INDEX(Bank!$D:$D,$C1880)),IF(INDEX(GL!$D:$D,$C1880)="","",INDEX(GL!$D:$D,$C1880))))</f>
        <v/>
      </c>
      <c r="G1880" s="19" t="str">
        <f aca="false">IF(C1880=0,"",IF($A1880="Bank",INDEX(Bank!$E:$E,$C1880),INDEX(GL!$E:$E,$C1880)))</f>
        <v/>
      </c>
      <c r="H1880" s="5" t="str">
        <f aca="false">IF(C1880=0,"",IF(A1880="GL",IF(G1880&gt;0,"Deposit in transit","Outstanding check / payment"),IF(G1880&gt;0,"Bank credit not in GL","Bank debit not in GL")))</f>
        <v/>
      </c>
      <c r="I1880" s="42" t="str">
        <f aca="false">IF(OR(C1880=0,CFG_PeriodEnd=""),"",CFG_PeriodEnd-D1880)</f>
        <v/>
      </c>
      <c r="J1880" s="5" t="str">
        <f aca="false">IF(C1880=0,"",IF($A1880="Bank",IF(INDEX(Bank!$G:$G,$C1880)="","",INDEX(Bank!$G:$G,$C1880)),IF(INDEX(GL!$G:$G,$C1880)="","",INDEX(GL!$G:$G,$C1880))))</f>
        <v/>
      </c>
      <c r="K1880" s="5" t="str">
        <f aca="false">IF(C1880=0,"",IF($A1880="Bank",IF(INDEX(Bank!$I:$I,$C1880)="","",INDEX(Bank!$I:$I,$C1880)),IF(INDEX(GL!$I:$I,$C1880)="","",INDEX(GL!$I:$I,$C1880))))</f>
        <v/>
      </c>
      <c r="L1880" s="5" t="str">
        <f aca="false">IF(B1880="","",IF(C1880=0,"NOT FOUND",IF(IF($A1880="Bank",INDEX(Bank!$F:$F,$C1880),INDEX(GL!$F:$F,$C1880))="Y","NOW RECONCILED: refresh","OK")))</f>
        <v/>
      </c>
    </row>
    <row r="1881" customFormat="false" ht="15" hidden="false" customHeight="false" outlineLevel="0" collapsed="false">
      <c r="A1881" s="41"/>
      <c r="B1881" s="41"/>
      <c r="C1881" s="5" t="n">
        <f aca="false">IF(B1881="",0,IF(A1881="Bank",IFERROR(MATCH(B1881,Bank!$A:$A,0),0),IFERROR(MATCH(B1881,GL!$A:$A,0),0)))</f>
        <v>0</v>
      </c>
      <c r="D1881" s="32" t="str">
        <f aca="false">IF(C1881=0,"",IF($A1881="Bank",INDEX(Bank!$B:$B,$C1881),INDEX(GL!$B:$B,$C1881)))</f>
        <v/>
      </c>
      <c r="E1881" s="5" t="str">
        <f aca="false">IF(C1881=0,"",IF($A1881="Bank",IF(INDEX(Bank!$C:$C,$C1881)="","",INDEX(Bank!$C:$C,$C1881)),IF(INDEX(GL!$C:$C,$C1881)="","",INDEX(GL!$C:$C,$C1881))))</f>
        <v/>
      </c>
      <c r="F1881" s="5" t="str">
        <f aca="false">IF(C1881=0,"",IF($A1881="Bank",IF(INDEX(Bank!$D:$D,$C1881)="","",INDEX(Bank!$D:$D,$C1881)),IF(INDEX(GL!$D:$D,$C1881)="","",INDEX(GL!$D:$D,$C1881))))</f>
        <v/>
      </c>
      <c r="G1881" s="19" t="str">
        <f aca="false">IF(C1881=0,"",IF($A1881="Bank",INDEX(Bank!$E:$E,$C1881),INDEX(GL!$E:$E,$C1881)))</f>
        <v/>
      </c>
      <c r="H1881" s="5" t="str">
        <f aca="false">IF(C1881=0,"",IF(A1881="GL",IF(G1881&gt;0,"Deposit in transit","Outstanding check / payment"),IF(G1881&gt;0,"Bank credit not in GL","Bank debit not in GL")))</f>
        <v/>
      </c>
      <c r="I1881" s="42" t="str">
        <f aca="false">IF(OR(C1881=0,CFG_PeriodEnd=""),"",CFG_PeriodEnd-D1881)</f>
        <v/>
      </c>
      <c r="J1881" s="5" t="str">
        <f aca="false">IF(C1881=0,"",IF($A1881="Bank",IF(INDEX(Bank!$G:$G,$C1881)="","",INDEX(Bank!$G:$G,$C1881)),IF(INDEX(GL!$G:$G,$C1881)="","",INDEX(GL!$G:$G,$C1881))))</f>
        <v/>
      </c>
      <c r="K1881" s="5" t="str">
        <f aca="false">IF(C1881=0,"",IF($A1881="Bank",IF(INDEX(Bank!$I:$I,$C1881)="","",INDEX(Bank!$I:$I,$C1881)),IF(INDEX(GL!$I:$I,$C1881)="","",INDEX(GL!$I:$I,$C1881))))</f>
        <v/>
      </c>
      <c r="L1881" s="5" t="str">
        <f aca="false">IF(B1881="","",IF(C1881=0,"NOT FOUND",IF(IF($A1881="Bank",INDEX(Bank!$F:$F,$C1881),INDEX(GL!$F:$F,$C1881))="Y","NOW RECONCILED: refresh","OK")))</f>
        <v/>
      </c>
    </row>
    <row r="1882" customFormat="false" ht="15" hidden="false" customHeight="false" outlineLevel="0" collapsed="false">
      <c r="A1882" s="41"/>
      <c r="B1882" s="41"/>
      <c r="C1882" s="5" t="n">
        <f aca="false">IF(B1882="",0,IF(A1882="Bank",IFERROR(MATCH(B1882,Bank!$A:$A,0),0),IFERROR(MATCH(B1882,GL!$A:$A,0),0)))</f>
        <v>0</v>
      </c>
      <c r="D1882" s="32" t="str">
        <f aca="false">IF(C1882=0,"",IF($A1882="Bank",INDEX(Bank!$B:$B,$C1882),INDEX(GL!$B:$B,$C1882)))</f>
        <v/>
      </c>
      <c r="E1882" s="5" t="str">
        <f aca="false">IF(C1882=0,"",IF($A1882="Bank",IF(INDEX(Bank!$C:$C,$C1882)="","",INDEX(Bank!$C:$C,$C1882)),IF(INDEX(GL!$C:$C,$C1882)="","",INDEX(GL!$C:$C,$C1882))))</f>
        <v/>
      </c>
      <c r="F1882" s="5" t="str">
        <f aca="false">IF(C1882=0,"",IF($A1882="Bank",IF(INDEX(Bank!$D:$D,$C1882)="","",INDEX(Bank!$D:$D,$C1882)),IF(INDEX(GL!$D:$D,$C1882)="","",INDEX(GL!$D:$D,$C1882))))</f>
        <v/>
      </c>
      <c r="G1882" s="19" t="str">
        <f aca="false">IF(C1882=0,"",IF($A1882="Bank",INDEX(Bank!$E:$E,$C1882),INDEX(GL!$E:$E,$C1882)))</f>
        <v/>
      </c>
      <c r="H1882" s="5" t="str">
        <f aca="false">IF(C1882=0,"",IF(A1882="GL",IF(G1882&gt;0,"Deposit in transit","Outstanding check / payment"),IF(G1882&gt;0,"Bank credit not in GL","Bank debit not in GL")))</f>
        <v/>
      </c>
      <c r="I1882" s="42" t="str">
        <f aca="false">IF(OR(C1882=0,CFG_PeriodEnd=""),"",CFG_PeriodEnd-D1882)</f>
        <v/>
      </c>
      <c r="J1882" s="5" t="str">
        <f aca="false">IF(C1882=0,"",IF($A1882="Bank",IF(INDEX(Bank!$G:$G,$C1882)="","",INDEX(Bank!$G:$G,$C1882)),IF(INDEX(GL!$G:$G,$C1882)="","",INDEX(GL!$G:$G,$C1882))))</f>
        <v/>
      </c>
      <c r="K1882" s="5" t="str">
        <f aca="false">IF(C1882=0,"",IF($A1882="Bank",IF(INDEX(Bank!$I:$I,$C1882)="","",INDEX(Bank!$I:$I,$C1882)),IF(INDEX(GL!$I:$I,$C1882)="","",INDEX(GL!$I:$I,$C1882))))</f>
        <v/>
      </c>
      <c r="L1882" s="5" t="str">
        <f aca="false">IF(B1882="","",IF(C1882=0,"NOT FOUND",IF(IF($A1882="Bank",INDEX(Bank!$F:$F,$C1882),INDEX(GL!$F:$F,$C1882))="Y","NOW RECONCILED: refresh","OK")))</f>
        <v/>
      </c>
    </row>
    <row r="1883" customFormat="false" ht="15" hidden="false" customHeight="false" outlineLevel="0" collapsed="false">
      <c r="A1883" s="41"/>
      <c r="B1883" s="41"/>
      <c r="C1883" s="5" t="n">
        <f aca="false">IF(B1883="",0,IF(A1883="Bank",IFERROR(MATCH(B1883,Bank!$A:$A,0),0),IFERROR(MATCH(B1883,GL!$A:$A,0),0)))</f>
        <v>0</v>
      </c>
      <c r="D1883" s="32" t="str">
        <f aca="false">IF(C1883=0,"",IF($A1883="Bank",INDEX(Bank!$B:$B,$C1883),INDEX(GL!$B:$B,$C1883)))</f>
        <v/>
      </c>
      <c r="E1883" s="5" t="str">
        <f aca="false">IF(C1883=0,"",IF($A1883="Bank",IF(INDEX(Bank!$C:$C,$C1883)="","",INDEX(Bank!$C:$C,$C1883)),IF(INDEX(GL!$C:$C,$C1883)="","",INDEX(GL!$C:$C,$C1883))))</f>
        <v/>
      </c>
      <c r="F1883" s="5" t="str">
        <f aca="false">IF(C1883=0,"",IF($A1883="Bank",IF(INDEX(Bank!$D:$D,$C1883)="","",INDEX(Bank!$D:$D,$C1883)),IF(INDEX(GL!$D:$D,$C1883)="","",INDEX(GL!$D:$D,$C1883))))</f>
        <v/>
      </c>
      <c r="G1883" s="19" t="str">
        <f aca="false">IF(C1883=0,"",IF($A1883="Bank",INDEX(Bank!$E:$E,$C1883),INDEX(GL!$E:$E,$C1883)))</f>
        <v/>
      </c>
      <c r="H1883" s="5" t="str">
        <f aca="false">IF(C1883=0,"",IF(A1883="GL",IF(G1883&gt;0,"Deposit in transit","Outstanding check / payment"),IF(G1883&gt;0,"Bank credit not in GL","Bank debit not in GL")))</f>
        <v/>
      </c>
      <c r="I1883" s="42" t="str">
        <f aca="false">IF(OR(C1883=0,CFG_PeriodEnd=""),"",CFG_PeriodEnd-D1883)</f>
        <v/>
      </c>
      <c r="J1883" s="5" t="str">
        <f aca="false">IF(C1883=0,"",IF($A1883="Bank",IF(INDEX(Bank!$G:$G,$C1883)="","",INDEX(Bank!$G:$G,$C1883)),IF(INDEX(GL!$G:$G,$C1883)="","",INDEX(GL!$G:$G,$C1883))))</f>
        <v/>
      </c>
      <c r="K1883" s="5" t="str">
        <f aca="false">IF(C1883=0,"",IF($A1883="Bank",IF(INDEX(Bank!$I:$I,$C1883)="","",INDEX(Bank!$I:$I,$C1883)),IF(INDEX(GL!$I:$I,$C1883)="","",INDEX(GL!$I:$I,$C1883))))</f>
        <v/>
      </c>
      <c r="L1883" s="5" t="str">
        <f aca="false">IF(B1883="","",IF(C1883=0,"NOT FOUND",IF(IF($A1883="Bank",INDEX(Bank!$F:$F,$C1883),INDEX(GL!$F:$F,$C1883))="Y","NOW RECONCILED: refresh","OK")))</f>
        <v/>
      </c>
    </row>
    <row r="1884" customFormat="false" ht="15" hidden="false" customHeight="false" outlineLevel="0" collapsed="false">
      <c r="A1884" s="41"/>
      <c r="B1884" s="41"/>
      <c r="C1884" s="5" t="n">
        <f aca="false">IF(B1884="",0,IF(A1884="Bank",IFERROR(MATCH(B1884,Bank!$A:$A,0),0),IFERROR(MATCH(B1884,GL!$A:$A,0),0)))</f>
        <v>0</v>
      </c>
      <c r="D1884" s="32" t="str">
        <f aca="false">IF(C1884=0,"",IF($A1884="Bank",INDEX(Bank!$B:$B,$C1884),INDEX(GL!$B:$B,$C1884)))</f>
        <v/>
      </c>
      <c r="E1884" s="5" t="str">
        <f aca="false">IF(C1884=0,"",IF($A1884="Bank",IF(INDEX(Bank!$C:$C,$C1884)="","",INDEX(Bank!$C:$C,$C1884)),IF(INDEX(GL!$C:$C,$C1884)="","",INDEX(GL!$C:$C,$C1884))))</f>
        <v/>
      </c>
      <c r="F1884" s="5" t="str">
        <f aca="false">IF(C1884=0,"",IF($A1884="Bank",IF(INDEX(Bank!$D:$D,$C1884)="","",INDEX(Bank!$D:$D,$C1884)),IF(INDEX(GL!$D:$D,$C1884)="","",INDEX(GL!$D:$D,$C1884))))</f>
        <v/>
      </c>
      <c r="G1884" s="19" t="str">
        <f aca="false">IF(C1884=0,"",IF($A1884="Bank",INDEX(Bank!$E:$E,$C1884),INDEX(GL!$E:$E,$C1884)))</f>
        <v/>
      </c>
      <c r="H1884" s="5" t="str">
        <f aca="false">IF(C1884=0,"",IF(A1884="GL",IF(G1884&gt;0,"Deposit in transit","Outstanding check / payment"),IF(G1884&gt;0,"Bank credit not in GL","Bank debit not in GL")))</f>
        <v/>
      </c>
      <c r="I1884" s="42" t="str">
        <f aca="false">IF(OR(C1884=0,CFG_PeriodEnd=""),"",CFG_PeriodEnd-D1884)</f>
        <v/>
      </c>
      <c r="J1884" s="5" t="str">
        <f aca="false">IF(C1884=0,"",IF($A1884="Bank",IF(INDEX(Bank!$G:$G,$C1884)="","",INDEX(Bank!$G:$G,$C1884)),IF(INDEX(GL!$G:$G,$C1884)="","",INDEX(GL!$G:$G,$C1884))))</f>
        <v/>
      </c>
      <c r="K1884" s="5" t="str">
        <f aca="false">IF(C1884=0,"",IF($A1884="Bank",IF(INDEX(Bank!$I:$I,$C1884)="","",INDEX(Bank!$I:$I,$C1884)),IF(INDEX(GL!$I:$I,$C1884)="","",INDEX(GL!$I:$I,$C1884))))</f>
        <v/>
      </c>
      <c r="L1884" s="5" t="str">
        <f aca="false">IF(B1884="","",IF(C1884=0,"NOT FOUND",IF(IF($A1884="Bank",INDEX(Bank!$F:$F,$C1884),INDEX(GL!$F:$F,$C1884))="Y","NOW RECONCILED: refresh","OK")))</f>
        <v/>
      </c>
    </row>
    <row r="1885" customFormat="false" ht="15" hidden="false" customHeight="false" outlineLevel="0" collapsed="false">
      <c r="A1885" s="41"/>
      <c r="B1885" s="41"/>
      <c r="C1885" s="5" t="n">
        <f aca="false">IF(B1885="",0,IF(A1885="Bank",IFERROR(MATCH(B1885,Bank!$A:$A,0),0),IFERROR(MATCH(B1885,GL!$A:$A,0),0)))</f>
        <v>0</v>
      </c>
      <c r="D1885" s="32" t="str">
        <f aca="false">IF(C1885=0,"",IF($A1885="Bank",INDEX(Bank!$B:$B,$C1885),INDEX(GL!$B:$B,$C1885)))</f>
        <v/>
      </c>
      <c r="E1885" s="5" t="str">
        <f aca="false">IF(C1885=0,"",IF($A1885="Bank",IF(INDEX(Bank!$C:$C,$C1885)="","",INDEX(Bank!$C:$C,$C1885)),IF(INDEX(GL!$C:$C,$C1885)="","",INDEX(GL!$C:$C,$C1885))))</f>
        <v/>
      </c>
      <c r="F1885" s="5" t="str">
        <f aca="false">IF(C1885=0,"",IF($A1885="Bank",IF(INDEX(Bank!$D:$D,$C1885)="","",INDEX(Bank!$D:$D,$C1885)),IF(INDEX(GL!$D:$D,$C1885)="","",INDEX(GL!$D:$D,$C1885))))</f>
        <v/>
      </c>
      <c r="G1885" s="19" t="str">
        <f aca="false">IF(C1885=0,"",IF($A1885="Bank",INDEX(Bank!$E:$E,$C1885),INDEX(GL!$E:$E,$C1885)))</f>
        <v/>
      </c>
      <c r="H1885" s="5" t="str">
        <f aca="false">IF(C1885=0,"",IF(A1885="GL",IF(G1885&gt;0,"Deposit in transit","Outstanding check / payment"),IF(G1885&gt;0,"Bank credit not in GL","Bank debit not in GL")))</f>
        <v/>
      </c>
      <c r="I1885" s="42" t="str">
        <f aca="false">IF(OR(C1885=0,CFG_PeriodEnd=""),"",CFG_PeriodEnd-D1885)</f>
        <v/>
      </c>
      <c r="J1885" s="5" t="str">
        <f aca="false">IF(C1885=0,"",IF($A1885="Bank",IF(INDEX(Bank!$G:$G,$C1885)="","",INDEX(Bank!$G:$G,$C1885)),IF(INDEX(GL!$G:$G,$C1885)="","",INDEX(GL!$G:$G,$C1885))))</f>
        <v/>
      </c>
      <c r="K1885" s="5" t="str">
        <f aca="false">IF(C1885=0,"",IF($A1885="Bank",IF(INDEX(Bank!$I:$I,$C1885)="","",INDEX(Bank!$I:$I,$C1885)),IF(INDEX(GL!$I:$I,$C1885)="","",INDEX(GL!$I:$I,$C1885))))</f>
        <v/>
      </c>
      <c r="L1885" s="5" t="str">
        <f aca="false">IF(B1885="","",IF(C1885=0,"NOT FOUND",IF(IF($A1885="Bank",INDEX(Bank!$F:$F,$C1885),INDEX(GL!$F:$F,$C1885))="Y","NOW RECONCILED: refresh","OK")))</f>
        <v/>
      </c>
    </row>
    <row r="1886" customFormat="false" ht="15" hidden="false" customHeight="false" outlineLevel="0" collapsed="false">
      <c r="A1886" s="41"/>
      <c r="B1886" s="41"/>
      <c r="C1886" s="5" t="n">
        <f aca="false">IF(B1886="",0,IF(A1886="Bank",IFERROR(MATCH(B1886,Bank!$A:$A,0),0),IFERROR(MATCH(B1886,GL!$A:$A,0),0)))</f>
        <v>0</v>
      </c>
      <c r="D1886" s="32" t="str">
        <f aca="false">IF(C1886=0,"",IF($A1886="Bank",INDEX(Bank!$B:$B,$C1886),INDEX(GL!$B:$B,$C1886)))</f>
        <v/>
      </c>
      <c r="E1886" s="5" t="str">
        <f aca="false">IF(C1886=0,"",IF($A1886="Bank",IF(INDEX(Bank!$C:$C,$C1886)="","",INDEX(Bank!$C:$C,$C1886)),IF(INDEX(GL!$C:$C,$C1886)="","",INDEX(GL!$C:$C,$C1886))))</f>
        <v/>
      </c>
      <c r="F1886" s="5" t="str">
        <f aca="false">IF(C1886=0,"",IF($A1886="Bank",IF(INDEX(Bank!$D:$D,$C1886)="","",INDEX(Bank!$D:$D,$C1886)),IF(INDEX(GL!$D:$D,$C1886)="","",INDEX(GL!$D:$D,$C1886))))</f>
        <v/>
      </c>
      <c r="G1886" s="19" t="str">
        <f aca="false">IF(C1886=0,"",IF($A1886="Bank",INDEX(Bank!$E:$E,$C1886),INDEX(GL!$E:$E,$C1886)))</f>
        <v/>
      </c>
      <c r="H1886" s="5" t="str">
        <f aca="false">IF(C1886=0,"",IF(A1886="GL",IF(G1886&gt;0,"Deposit in transit","Outstanding check / payment"),IF(G1886&gt;0,"Bank credit not in GL","Bank debit not in GL")))</f>
        <v/>
      </c>
      <c r="I1886" s="42" t="str">
        <f aca="false">IF(OR(C1886=0,CFG_PeriodEnd=""),"",CFG_PeriodEnd-D1886)</f>
        <v/>
      </c>
      <c r="J1886" s="5" t="str">
        <f aca="false">IF(C1886=0,"",IF($A1886="Bank",IF(INDEX(Bank!$G:$G,$C1886)="","",INDEX(Bank!$G:$G,$C1886)),IF(INDEX(GL!$G:$G,$C1886)="","",INDEX(GL!$G:$G,$C1886))))</f>
        <v/>
      </c>
      <c r="K1886" s="5" t="str">
        <f aca="false">IF(C1886=0,"",IF($A1886="Bank",IF(INDEX(Bank!$I:$I,$C1886)="","",INDEX(Bank!$I:$I,$C1886)),IF(INDEX(GL!$I:$I,$C1886)="","",INDEX(GL!$I:$I,$C1886))))</f>
        <v/>
      </c>
      <c r="L1886" s="5" t="str">
        <f aca="false">IF(B1886="","",IF(C1886=0,"NOT FOUND",IF(IF($A1886="Bank",INDEX(Bank!$F:$F,$C1886),INDEX(GL!$F:$F,$C1886))="Y","NOW RECONCILED: refresh","OK")))</f>
        <v/>
      </c>
    </row>
    <row r="1887" customFormat="false" ht="15" hidden="false" customHeight="false" outlineLevel="0" collapsed="false">
      <c r="A1887" s="41"/>
      <c r="B1887" s="41"/>
      <c r="C1887" s="5" t="n">
        <f aca="false">IF(B1887="",0,IF(A1887="Bank",IFERROR(MATCH(B1887,Bank!$A:$A,0),0),IFERROR(MATCH(B1887,GL!$A:$A,0),0)))</f>
        <v>0</v>
      </c>
      <c r="D1887" s="32" t="str">
        <f aca="false">IF(C1887=0,"",IF($A1887="Bank",INDEX(Bank!$B:$B,$C1887),INDEX(GL!$B:$B,$C1887)))</f>
        <v/>
      </c>
      <c r="E1887" s="5" t="str">
        <f aca="false">IF(C1887=0,"",IF($A1887="Bank",IF(INDEX(Bank!$C:$C,$C1887)="","",INDEX(Bank!$C:$C,$C1887)),IF(INDEX(GL!$C:$C,$C1887)="","",INDEX(GL!$C:$C,$C1887))))</f>
        <v/>
      </c>
      <c r="F1887" s="5" t="str">
        <f aca="false">IF(C1887=0,"",IF($A1887="Bank",IF(INDEX(Bank!$D:$D,$C1887)="","",INDEX(Bank!$D:$D,$C1887)),IF(INDEX(GL!$D:$D,$C1887)="","",INDEX(GL!$D:$D,$C1887))))</f>
        <v/>
      </c>
      <c r="G1887" s="19" t="str">
        <f aca="false">IF(C1887=0,"",IF($A1887="Bank",INDEX(Bank!$E:$E,$C1887),INDEX(GL!$E:$E,$C1887)))</f>
        <v/>
      </c>
      <c r="H1887" s="5" t="str">
        <f aca="false">IF(C1887=0,"",IF(A1887="GL",IF(G1887&gt;0,"Deposit in transit","Outstanding check / payment"),IF(G1887&gt;0,"Bank credit not in GL","Bank debit not in GL")))</f>
        <v/>
      </c>
      <c r="I1887" s="42" t="str">
        <f aca="false">IF(OR(C1887=0,CFG_PeriodEnd=""),"",CFG_PeriodEnd-D1887)</f>
        <v/>
      </c>
      <c r="J1887" s="5" t="str">
        <f aca="false">IF(C1887=0,"",IF($A1887="Bank",IF(INDEX(Bank!$G:$G,$C1887)="","",INDEX(Bank!$G:$G,$C1887)),IF(INDEX(GL!$G:$G,$C1887)="","",INDEX(GL!$G:$G,$C1887))))</f>
        <v/>
      </c>
      <c r="K1887" s="5" t="str">
        <f aca="false">IF(C1887=0,"",IF($A1887="Bank",IF(INDEX(Bank!$I:$I,$C1887)="","",INDEX(Bank!$I:$I,$C1887)),IF(INDEX(GL!$I:$I,$C1887)="","",INDEX(GL!$I:$I,$C1887))))</f>
        <v/>
      </c>
      <c r="L1887" s="5" t="str">
        <f aca="false">IF(B1887="","",IF(C1887=0,"NOT FOUND",IF(IF($A1887="Bank",INDEX(Bank!$F:$F,$C1887),INDEX(GL!$F:$F,$C1887))="Y","NOW RECONCILED: refresh","OK")))</f>
        <v/>
      </c>
    </row>
    <row r="1888" customFormat="false" ht="15" hidden="false" customHeight="false" outlineLevel="0" collapsed="false">
      <c r="A1888" s="41"/>
      <c r="B1888" s="41"/>
      <c r="C1888" s="5" t="n">
        <f aca="false">IF(B1888="",0,IF(A1888="Bank",IFERROR(MATCH(B1888,Bank!$A:$A,0),0),IFERROR(MATCH(B1888,GL!$A:$A,0),0)))</f>
        <v>0</v>
      </c>
      <c r="D1888" s="32" t="str">
        <f aca="false">IF(C1888=0,"",IF($A1888="Bank",INDEX(Bank!$B:$B,$C1888),INDEX(GL!$B:$B,$C1888)))</f>
        <v/>
      </c>
      <c r="E1888" s="5" t="str">
        <f aca="false">IF(C1888=0,"",IF($A1888="Bank",IF(INDEX(Bank!$C:$C,$C1888)="","",INDEX(Bank!$C:$C,$C1888)),IF(INDEX(GL!$C:$C,$C1888)="","",INDEX(GL!$C:$C,$C1888))))</f>
        <v/>
      </c>
      <c r="F1888" s="5" t="str">
        <f aca="false">IF(C1888=0,"",IF($A1888="Bank",IF(INDEX(Bank!$D:$D,$C1888)="","",INDEX(Bank!$D:$D,$C1888)),IF(INDEX(GL!$D:$D,$C1888)="","",INDEX(GL!$D:$D,$C1888))))</f>
        <v/>
      </c>
      <c r="G1888" s="19" t="str">
        <f aca="false">IF(C1888=0,"",IF($A1888="Bank",INDEX(Bank!$E:$E,$C1888),INDEX(GL!$E:$E,$C1888)))</f>
        <v/>
      </c>
      <c r="H1888" s="5" t="str">
        <f aca="false">IF(C1888=0,"",IF(A1888="GL",IF(G1888&gt;0,"Deposit in transit","Outstanding check / payment"),IF(G1888&gt;0,"Bank credit not in GL","Bank debit not in GL")))</f>
        <v/>
      </c>
      <c r="I1888" s="42" t="str">
        <f aca="false">IF(OR(C1888=0,CFG_PeriodEnd=""),"",CFG_PeriodEnd-D1888)</f>
        <v/>
      </c>
      <c r="J1888" s="5" t="str">
        <f aca="false">IF(C1888=0,"",IF($A1888="Bank",IF(INDEX(Bank!$G:$G,$C1888)="","",INDEX(Bank!$G:$G,$C1888)),IF(INDEX(GL!$G:$G,$C1888)="","",INDEX(GL!$G:$G,$C1888))))</f>
        <v/>
      </c>
      <c r="K1888" s="5" t="str">
        <f aca="false">IF(C1888=0,"",IF($A1888="Bank",IF(INDEX(Bank!$I:$I,$C1888)="","",INDEX(Bank!$I:$I,$C1888)),IF(INDEX(GL!$I:$I,$C1888)="","",INDEX(GL!$I:$I,$C1888))))</f>
        <v/>
      </c>
      <c r="L1888" s="5" t="str">
        <f aca="false">IF(B1888="","",IF(C1888=0,"NOT FOUND",IF(IF($A1888="Bank",INDEX(Bank!$F:$F,$C1888),INDEX(GL!$F:$F,$C1888))="Y","NOW RECONCILED: refresh","OK")))</f>
        <v/>
      </c>
    </row>
    <row r="1889" customFormat="false" ht="15" hidden="false" customHeight="false" outlineLevel="0" collapsed="false">
      <c r="A1889" s="41"/>
      <c r="B1889" s="41"/>
      <c r="C1889" s="5" t="n">
        <f aca="false">IF(B1889="",0,IF(A1889="Bank",IFERROR(MATCH(B1889,Bank!$A:$A,0),0),IFERROR(MATCH(B1889,GL!$A:$A,0),0)))</f>
        <v>0</v>
      </c>
      <c r="D1889" s="32" t="str">
        <f aca="false">IF(C1889=0,"",IF($A1889="Bank",INDEX(Bank!$B:$B,$C1889),INDEX(GL!$B:$B,$C1889)))</f>
        <v/>
      </c>
      <c r="E1889" s="5" t="str">
        <f aca="false">IF(C1889=0,"",IF($A1889="Bank",IF(INDEX(Bank!$C:$C,$C1889)="","",INDEX(Bank!$C:$C,$C1889)),IF(INDEX(GL!$C:$C,$C1889)="","",INDEX(GL!$C:$C,$C1889))))</f>
        <v/>
      </c>
      <c r="F1889" s="5" t="str">
        <f aca="false">IF(C1889=0,"",IF($A1889="Bank",IF(INDEX(Bank!$D:$D,$C1889)="","",INDEX(Bank!$D:$D,$C1889)),IF(INDEX(GL!$D:$D,$C1889)="","",INDEX(GL!$D:$D,$C1889))))</f>
        <v/>
      </c>
      <c r="G1889" s="19" t="str">
        <f aca="false">IF(C1889=0,"",IF($A1889="Bank",INDEX(Bank!$E:$E,$C1889),INDEX(GL!$E:$E,$C1889)))</f>
        <v/>
      </c>
      <c r="H1889" s="5" t="str">
        <f aca="false">IF(C1889=0,"",IF(A1889="GL",IF(G1889&gt;0,"Deposit in transit","Outstanding check / payment"),IF(G1889&gt;0,"Bank credit not in GL","Bank debit not in GL")))</f>
        <v/>
      </c>
      <c r="I1889" s="42" t="str">
        <f aca="false">IF(OR(C1889=0,CFG_PeriodEnd=""),"",CFG_PeriodEnd-D1889)</f>
        <v/>
      </c>
      <c r="J1889" s="5" t="str">
        <f aca="false">IF(C1889=0,"",IF($A1889="Bank",IF(INDEX(Bank!$G:$G,$C1889)="","",INDEX(Bank!$G:$G,$C1889)),IF(INDEX(GL!$G:$G,$C1889)="","",INDEX(GL!$G:$G,$C1889))))</f>
        <v/>
      </c>
      <c r="K1889" s="5" t="str">
        <f aca="false">IF(C1889=0,"",IF($A1889="Bank",IF(INDEX(Bank!$I:$I,$C1889)="","",INDEX(Bank!$I:$I,$C1889)),IF(INDEX(GL!$I:$I,$C1889)="","",INDEX(GL!$I:$I,$C1889))))</f>
        <v/>
      </c>
      <c r="L1889" s="5" t="str">
        <f aca="false">IF(B1889="","",IF(C1889=0,"NOT FOUND",IF(IF($A1889="Bank",INDEX(Bank!$F:$F,$C1889),INDEX(GL!$F:$F,$C1889))="Y","NOW RECONCILED: refresh","OK")))</f>
        <v/>
      </c>
    </row>
    <row r="1890" customFormat="false" ht="15" hidden="false" customHeight="false" outlineLevel="0" collapsed="false">
      <c r="A1890" s="41"/>
      <c r="B1890" s="41"/>
      <c r="C1890" s="5" t="n">
        <f aca="false">IF(B1890="",0,IF(A1890="Bank",IFERROR(MATCH(B1890,Bank!$A:$A,0),0),IFERROR(MATCH(B1890,GL!$A:$A,0),0)))</f>
        <v>0</v>
      </c>
      <c r="D1890" s="32" t="str">
        <f aca="false">IF(C1890=0,"",IF($A1890="Bank",INDEX(Bank!$B:$B,$C1890),INDEX(GL!$B:$B,$C1890)))</f>
        <v/>
      </c>
      <c r="E1890" s="5" t="str">
        <f aca="false">IF(C1890=0,"",IF($A1890="Bank",IF(INDEX(Bank!$C:$C,$C1890)="","",INDEX(Bank!$C:$C,$C1890)),IF(INDEX(GL!$C:$C,$C1890)="","",INDEX(GL!$C:$C,$C1890))))</f>
        <v/>
      </c>
      <c r="F1890" s="5" t="str">
        <f aca="false">IF(C1890=0,"",IF($A1890="Bank",IF(INDEX(Bank!$D:$D,$C1890)="","",INDEX(Bank!$D:$D,$C1890)),IF(INDEX(GL!$D:$D,$C1890)="","",INDEX(GL!$D:$D,$C1890))))</f>
        <v/>
      </c>
      <c r="G1890" s="19" t="str">
        <f aca="false">IF(C1890=0,"",IF($A1890="Bank",INDEX(Bank!$E:$E,$C1890),INDEX(GL!$E:$E,$C1890)))</f>
        <v/>
      </c>
      <c r="H1890" s="5" t="str">
        <f aca="false">IF(C1890=0,"",IF(A1890="GL",IF(G1890&gt;0,"Deposit in transit","Outstanding check / payment"),IF(G1890&gt;0,"Bank credit not in GL","Bank debit not in GL")))</f>
        <v/>
      </c>
      <c r="I1890" s="42" t="str">
        <f aca="false">IF(OR(C1890=0,CFG_PeriodEnd=""),"",CFG_PeriodEnd-D1890)</f>
        <v/>
      </c>
      <c r="J1890" s="5" t="str">
        <f aca="false">IF(C1890=0,"",IF($A1890="Bank",IF(INDEX(Bank!$G:$G,$C1890)="","",INDEX(Bank!$G:$G,$C1890)),IF(INDEX(GL!$G:$G,$C1890)="","",INDEX(GL!$G:$G,$C1890))))</f>
        <v/>
      </c>
      <c r="K1890" s="5" t="str">
        <f aca="false">IF(C1890=0,"",IF($A1890="Bank",IF(INDEX(Bank!$I:$I,$C1890)="","",INDEX(Bank!$I:$I,$C1890)),IF(INDEX(GL!$I:$I,$C1890)="","",INDEX(GL!$I:$I,$C1890))))</f>
        <v/>
      </c>
      <c r="L1890" s="5" t="str">
        <f aca="false">IF(B1890="","",IF(C1890=0,"NOT FOUND",IF(IF($A1890="Bank",INDEX(Bank!$F:$F,$C1890),INDEX(GL!$F:$F,$C1890))="Y","NOW RECONCILED: refresh","OK")))</f>
        <v/>
      </c>
    </row>
    <row r="1891" customFormat="false" ht="15" hidden="false" customHeight="false" outlineLevel="0" collapsed="false">
      <c r="A1891" s="41"/>
      <c r="B1891" s="41"/>
      <c r="C1891" s="5" t="n">
        <f aca="false">IF(B1891="",0,IF(A1891="Bank",IFERROR(MATCH(B1891,Bank!$A:$A,0),0),IFERROR(MATCH(B1891,GL!$A:$A,0),0)))</f>
        <v>0</v>
      </c>
      <c r="D1891" s="32" t="str">
        <f aca="false">IF(C1891=0,"",IF($A1891="Bank",INDEX(Bank!$B:$B,$C1891),INDEX(GL!$B:$B,$C1891)))</f>
        <v/>
      </c>
      <c r="E1891" s="5" t="str">
        <f aca="false">IF(C1891=0,"",IF($A1891="Bank",IF(INDEX(Bank!$C:$C,$C1891)="","",INDEX(Bank!$C:$C,$C1891)),IF(INDEX(GL!$C:$C,$C1891)="","",INDEX(GL!$C:$C,$C1891))))</f>
        <v/>
      </c>
      <c r="F1891" s="5" t="str">
        <f aca="false">IF(C1891=0,"",IF($A1891="Bank",IF(INDEX(Bank!$D:$D,$C1891)="","",INDEX(Bank!$D:$D,$C1891)),IF(INDEX(GL!$D:$D,$C1891)="","",INDEX(GL!$D:$D,$C1891))))</f>
        <v/>
      </c>
      <c r="G1891" s="19" t="str">
        <f aca="false">IF(C1891=0,"",IF($A1891="Bank",INDEX(Bank!$E:$E,$C1891),INDEX(GL!$E:$E,$C1891)))</f>
        <v/>
      </c>
      <c r="H1891" s="5" t="str">
        <f aca="false">IF(C1891=0,"",IF(A1891="GL",IF(G1891&gt;0,"Deposit in transit","Outstanding check / payment"),IF(G1891&gt;0,"Bank credit not in GL","Bank debit not in GL")))</f>
        <v/>
      </c>
      <c r="I1891" s="42" t="str">
        <f aca="false">IF(OR(C1891=0,CFG_PeriodEnd=""),"",CFG_PeriodEnd-D1891)</f>
        <v/>
      </c>
      <c r="J1891" s="5" t="str">
        <f aca="false">IF(C1891=0,"",IF($A1891="Bank",IF(INDEX(Bank!$G:$G,$C1891)="","",INDEX(Bank!$G:$G,$C1891)),IF(INDEX(GL!$G:$G,$C1891)="","",INDEX(GL!$G:$G,$C1891))))</f>
        <v/>
      </c>
      <c r="K1891" s="5" t="str">
        <f aca="false">IF(C1891=0,"",IF($A1891="Bank",IF(INDEX(Bank!$I:$I,$C1891)="","",INDEX(Bank!$I:$I,$C1891)),IF(INDEX(GL!$I:$I,$C1891)="","",INDEX(GL!$I:$I,$C1891))))</f>
        <v/>
      </c>
      <c r="L1891" s="5" t="str">
        <f aca="false">IF(B1891="","",IF(C1891=0,"NOT FOUND",IF(IF($A1891="Bank",INDEX(Bank!$F:$F,$C1891),INDEX(GL!$F:$F,$C1891))="Y","NOW RECONCILED: refresh","OK")))</f>
        <v/>
      </c>
    </row>
    <row r="1892" customFormat="false" ht="15" hidden="false" customHeight="false" outlineLevel="0" collapsed="false">
      <c r="A1892" s="41"/>
      <c r="B1892" s="41"/>
      <c r="C1892" s="5" t="n">
        <f aca="false">IF(B1892="",0,IF(A1892="Bank",IFERROR(MATCH(B1892,Bank!$A:$A,0),0),IFERROR(MATCH(B1892,GL!$A:$A,0),0)))</f>
        <v>0</v>
      </c>
      <c r="D1892" s="32" t="str">
        <f aca="false">IF(C1892=0,"",IF($A1892="Bank",INDEX(Bank!$B:$B,$C1892),INDEX(GL!$B:$B,$C1892)))</f>
        <v/>
      </c>
      <c r="E1892" s="5" t="str">
        <f aca="false">IF(C1892=0,"",IF($A1892="Bank",IF(INDEX(Bank!$C:$C,$C1892)="","",INDEX(Bank!$C:$C,$C1892)),IF(INDEX(GL!$C:$C,$C1892)="","",INDEX(GL!$C:$C,$C1892))))</f>
        <v/>
      </c>
      <c r="F1892" s="5" t="str">
        <f aca="false">IF(C1892=0,"",IF($A1892="Bank",IF(INDEX(Bank!$D:$D,$C1892)="","",INDEX(Bank!$D:$D,$C1892)),IF(INDEX(GL!$D:$D,$C1892)="","",INDEX(GL!$D:$D,$C1892))))</f>
        <v/>
      </c>
      <c r="G1892" s="19" t="str">
        <f aca="false">IF(C1892=0,"",IF($A1892="Bank",INDEX(Bank!$E:$E,$C1892),INDEX(GL!$E:$E,$C1892)))</f>
        <v/>
      </c>
      <c r="H1892" s="5" t="str">
        <f aca="false">IF(C1892=0,"",IF(A1892="GL",IF(G1892&gt;0,"Deposit in transit","Outstanding check / payment"),IF(G1892&gt;0,"Bank credit not in GL","Bank debit not in GL")))</f>
        <v/>
      </c>
      <c r="I1892" s="42" t="str">
        <f aca="false">IF(OR(C1892=0,CFG_PeriodEnd=""),"",CFG_PeriodEnd-D1892)</f>
        <v/>
      </c>
      <c r="J1892" s="5" t="str">
        <f aca="false">IF(C1892=0,"",IF($A1892="Bank",IF(INDEX(Bank!$G:$G,$C1892)="","",INDEX(Bank!$G:$G,$C1892)),IF(INDEX(GL!$G:$G,$C1892)="","",INDEX(GL!$G:$G,$C1892))))</f>
        <v/>
      </c>
      <c r="K1892" s="5" t="str">
        <f aca="false">IF(C1892=0,"",IF($A1892="Bank",IF(INDEX(Bank!$I:$I,$C1892)="","",INDEX(Bank!$I:$I,$C1892)),IF(INDEX(GL!$I:$I,$C1892)="","",INDEX(GL!$I:$I,$C1892))))</f>
        <v/>
      </c>
      <c r="L1892" s="5" t="str">
        <f aca="false">IF(B1892="","",IF(C1892=0,"NOT FOUND",IF(IF($A1892="Bank",INDEX(Bank!$F:$F,$C1892),INDEX(GL!$F:$F,$C1892))="Y","NOW RECONCILED: refresh","OK")))</f>
        <v/>
      </c>
    </row>
    <row r="1893" customFormat="false" ht="15" hidden="false" customHeight="false" outlineLevel="0" collapsed="false">
      <c r="A1893" s="41"/>
      <c r="B1893" s="41"/>
      <c r="C1893" s="5" t="n">
        <f aca="false">IF(B1893="",0,IF(A1893="Bank",IFERROR(MATCH(B1893,Bank!$A:$A,0),0),IFERROR(MATCH(B1893,GL!$A:$A,0),0)))</f>
        <v>0</v>
      </c>
      <c r="D1893" s="32" t="str">
        <f aca="false">IF(C1893=0,"",IF($A1893="Bank",INDEX(Bank!$B:$B,$C1893),INDEX(GL!$B:$B,$C1893)))</f>
        <v/>
      </c>
      <c r="E1893" s="5" t="str">
        <f aca="false">IF(C1893=0,"",IF($A1893="Bank",IF(INDEX(Bank!$C:$C,$C1893)="","",INDEX(Bank!$C:$C,$C1893)),IF(INDEX(GL!$C:$C,$C1893)="","",INDEX(GL!$C:$C,$C1893))))</f>
        <v/>
      </c>
      <c r="F1893" s="5" t="str">
        <f aca="false">IF(C1893=0,"",IF($A1893="Bank",IF(INDEX(Bank!$D:$D,$C1893)="","",INDEX(Bank!$D:$D,$C1893)),IF(INDEX(GL!$D:$D,$C1893)="","",INDEX(GL!$D:$D,$C1893))))</f>
        <v/>
      </c>
      <c r="G1893" s="19" t="str">
        <f aca="false">IF(C1893=0,"",IF($A1893="Bank",INDEX(Bank!$E:$E,$C1893),INDEX(GL!$E:$E,$C1893)))</f>
        <v/>
      </c>
      <c r="H1893" s="5" t="str">
        <f aca="false">IF(C1893=0,"",IF(A1893="GL",IF(G1893&gt;0,"Deposit in transit","Outstanding check / payment"),IF(G1893&gt;0,"Bank credit not in GL","Bank debit not in GL")))</f>
        <v/>
      </c>
      <c r="I1893" s="42" t="str">
        <f aca="false">IF(OR(C1893=0,CFG_PeriodEnd=""),"",CFG_PeriodEnd-D1893)</f>
        <v/>
      </c>
      <c r="J1893" s="5" t="str">
        <f aca="false">IF(C1893=0,"",IF($A1893="Bank",IF(INDEX(Bank!$G:$G,$C1893)="","",INDEX(Bank!$G:$G,$C1893)),IF(INDEX(GL!$G:$G,$C1893)="","",INDEX(GL!$G:$G,$C1893))))</f>
        <v/>
      </c>
      <c r="K1893" s="5" t="str">
        <f aca="false">IF(C1893=0,"",IF($A1893="Bank",IF(INDEX(Bank!$I:$I,$C1893)="","",INDEX(Bank!$I:$I,$C1893)),IF(INDEX(GL!$I:$I,$C1893)="","",INDEX(GL!$I:$I,$C1893))))</f>
        <v/>
      </c>
      <c r="L1893" s="5" t="str">
        <f aca="false">IF(B1893="","",IF(C1893=0,"NOT FOUND",IF(IF($A1893="Bank",INDEX(Bank!$F:$F,$C1893),INDEX(GL!$F:$F,$C1893))="Y","NOW RECONCILED: refresh","OK")))</f>
        <v/>
      </c>
    </row>
    <row r="1894" customFormat="false" ht="15" hidden="false" customHeight="false" outlineLevel="0" collapsed="false">
      <c r="A1894" s="41"/>
      <c r="B1894" s="41"/>
      <c r="C1894" s="5" t="n">
        <f aca="false">IF(B1894="",0,IF(A1894="Bank",IFERROR(MATCH(B1894,Bank!$A:$A,0),0),IFERROR(MATCH(B1894,GL!$A:$A,0),0)))</f>
        <v>0</v>
      </c>
      <c r="D1894" s="32" t="str">
        <f aca="false">IF(C1894=0,"",IF($A1894="Bank",INDEX(Bank!$B:$B,$C1894),INDEX(GL!$B:$B,$C1894)))</f>
        <v/>
      </c>
      <c r="E1894" s="5" t="str">
        <f aca="false">IF(C1894=0,"",IF($A1894="Bank",IF(INDEX(Bank!$C:$C,$C1894)="","",INDEX(Bank!$C:$C,$C1894)),IF(INDEX(GL!$C:$C,$C1894)="","",INDEX(GL!$C:$C,$C1894))))</f>
        <v/>
      </c>
      <c r="F1894" s="5" t="str">
        <f aca="false">IF(C1894=0,"",IF($A1894="Bank",IF(INDEX(Bank!$D:$D,$C1894)="","",INDEX(Bank!$D:$D,$C1894)),IF(INDEX(GL!$D:$D,$C1894)="","",INDEX(GL!$D:$D,$C1894))))</f>
        <v/>
      </c>
      <c r="G1894" s="19" t="str">
        <f aca="false">IF(C1894=0,"",IF($A1894="Bank",INDEX(Bank!$E:$E,$C1894),INDEX(GL!$E:$E,$C1894)))</f>
        <v/>
      </c>
      <c r="H1894" s="5" t="str">
        <f aca="false">IF(C1894=0,"",IF(A1894="GL",IF(G1894&gt;0,"Deposit in transit","Outstanding check / payment"),IF(G1894&gt;0,"Bank credit not in GL","Bank debit not in GL")))</f>
        <v/>
      </c>
      <c r="I1894" s="42" t="str">
        <f aca="false">IF(OR(C1894=0,CFG_PeriodEnd=""),"",CFG_PeriodEnd-D1894)</f>
        <v/>
      </c>
      <c r="J1894" s="5" t="str">
        <f aca="false">IF(C1894=0,"",IF($A1894="Bank",IF(INDEX(Bank!$G:$G,$C1894)="","",INDEX(Bank!$G:$G,$C1894)),IF(INDEX(GL!$G:$G,$C1894)="","",INDEX(GL!$G:$G,$C1894))))</f>
        <v/>
      </c>
      <c r="K1894" s="5" t="str">
        <f aca="false">IF(C1894=0,"",IF($A1894="Bank",IF(INDEX(Bank!$I:$I,$C1894)="","",INDEX(Bank!$I:$I,$C1894)),IF(INDEX(GL!$I:$I,$C1894)="","",INDEX(GL!$I:$I,$C1894))))</f>
        <v/>
      </c>
      <c r="L1894" s="5" t="str">
        <f aca="false">IF(B1894="","",IF(C1894=0,"NOT FOUND",IF(IF($A1894="Bank",INDEX(Bank!$F:$F,$C1894),INDEX(GL!$F:$F,$C1894))="Y","NOW RECONCILED: refresh","OK")))</f>
        <v/>
      </c>
    </row>
    <row r="1895" customFormat="false" ht="15" hidden="false" customHeight="false" outlineLevel="0" collapsed="false">
      <c r="A1895" s="41"/>
      <c r="B1895" s="41"/>
      <c r="C1895" s="5" t="n">
        <f aca="false">IF(B1895="",0,IF(A1895="Bank",IFERROR(MATCH(B1895,Bank!$A:$A,0),0),IFERROR(MATCH(B1895,GL!$A:$A,0),0)))</f>
        <v>0</v>
      </c>
      <c r="D1895" s="32" t="str">
        <f aca="false">IF(C1895=0,"",IF($A1895="Bank",INDEX(Bank!$B:$B,$C1895),INDEX(GL!$B:$B,$C1895)))</f>
        <v/>
      </c>
      <c r="E1895" s="5" t="str">
        <f aca="false">IF(C1895=0,"",IF($A1895="Bank",IF(INDEX(Bank!$C:$C,$C1895)="","",INDEX(Bank!$C:$C,$C1895)),IF(INDEX(GL!$C:$C,$C1895)="","",INDEX(GL!$C:$C,$C1895))))</f>
        <v/>
      </c>
      <c r="F1895" s="5" t="str">
        <f aca="false">IF(C1895=0,"",IF($A1895="Bank",IF(INDEX(Bank!$D:$D,$C1895)="","",INDEX(Bank!$D:$D,$C1895)),IF(INDEX(GL!$D:$D,$C1895)="","",INDEX(GL!$D:$D,$C1895))))</f>
        <v/>
      </c>
      <c r="G1895" s="19" t="str">
        <f aca="false">IF(C1895=0,"",IF($A1895="Bank",INDEX(Bank!$E:$E,$C1895),INDEX(GL!$E:$E,$C1895)))</f>
        <v/>
      </c>
      <c r="H1895" s="5" t="str">
        <f aca="false">IF(C1895=0,"",IF(A1895="GL",IF(G1895&gt;0,"Deposit in transit","Outstanding check / payment"),IF(G1895&gt;0,"Bank credit not in GL","Bank debit not in GL")))</f>
        <v/>
      </c>
      <c r="I1895" s="42" t="str">
        <f aca="false">IF(OR(C1895=0,CFG_PeriodEnd=""),"",CFG_PeriodEnd-D1895)</f>
        <v/>
      </c>
      <c r="J1895" s="5" t="str">
        <f aca="false">IF(C1895=0,"",IF($A1895="Bank",IF(INDEX(Bank!$G:$G,$C1895)="","",INDEX(Bank!$G:$G,$C1895)),IF(INDEX(GL!$G:$G,$C1895)="","",INDEX(GL!$G:$G,$C1895))))</f>
        <v/>
      </c>
      <c r="K1895" s="5" t="str">
        <f aca="false">IF(C1895=0,"",IF($A1895="Bank",IF(INDEX(Bank!$I:$I,$C1895)="","",INDEX(Bank!$I:$I,$C1895)),IF(INDEX(GL!$I:$I,$C1895)="","",INDEX(GL!$I:$I,$C1895))))</f>
        <v/>
      </c>
      <c r="L1895" s="5" t="str">
        <f aca="false">IF(B1895="","",IF(C1895=0,"NOT FOUND",IF(IF($A1895="Bank",INDEX(Bank!$F:$F,$C1895),INDEX(GL!$F:$F,$C1895))="Y","NOW RECONCILED: refresh","OK")))</f>
        <v/>
      </c>
    </row>
    <row r="1896" customFormat="false" ht="15" hidden="false" customHeight="false" outlineLevel="0" collapsed="false">
      <c r="A1896" s="41"/>
      <c r="B1896" s="41"/>
      <c r="C1896" s="5" t="n">
        <f aca="false">IF(B1896="",0,IF(A1896="Bank",IFERROR(MATCH(B1896,Bank!$A:$A,0),0),IFERROR(MATCH(B1896,GL!$A:$A,0),0)))</f>
        <v>0</v>
      </c>
      <c r="D1896" s="32" t="str">
        <f aca="false">IF(C1896=0,"",IF($A1896="Bank",INDEX(Bank!$B:$B,$C1896),INDEX(GL!$B:$B,$C1896)))</f>
        <v/>
      </c>
      <c r="E1896" s="5" t="str">
        <f aca="false">IF(C1896=0,"",IF($A1896="Bank",IF(INDEX(Bank!$C:$C,$C1896)="","",INDEX(Bank!$C:$C,$C1896)),IF(INDEX(GL!$C:$C,$C1896)="","",INDEX(GL!$C:$C,$C1896))))</f>
        <v/>
      </c>
      <c r="F1896" s="5" t="str">
        <f aca="false">IF(C1896=0,"",IF($A1896="Bank",IF(INDEX(Bank!$D:$D,$C1896)="","",INDEX(Bank!$D:$D,$C1896)),IF(INDEX(GL!$D:$D,$C1896)="","",INDEX(GL!$D:$D,$C1896))))</f>
        <v/>
      </c>
      <c r="G1896" s="19" t="str">
        <f aca="false">IF(C1896=0,"",IF($A1896="Bank",INDEX(Bank!$E:$E,$C1896),INDEX(GL!$E:$E,$C1896)))</f>
        <v/>
      </c>
      <c r="H1896" s="5" t="str">
        <f aca="false">IF(C1896=0,"",IF(A1896="GL",IF(G1896&gt;0,"Deposit in transit","Outstanding check / payment"),IF(G1896&gt;0,"Bank credit not in GL","Bank debit not in GL")))</f>
        <v/>
      </c>
      <c r="I1896" s="42" t="str">
        <f aca="false">IF(OR(C1896=0,CFG_PeriodEnd=""),"",CFG_PeriodEnd-D1896)</f>
        <v/>
      </c>
      <c r="J1896" s="5" t="str">
        <f aca="false">IF(C1896=0,"",IF($A1896="Bank",IF(INDEX(Bank!$G:$G,$C1896)="","",INDEX(Bank!$G:$G,$C1896)),IF(INDEX(GL!$G:$G,$C1896)="","",INDEX(GL!$G:$G,$C1896))))</f>
        <v/>
      </c>
      <c r="K1896" s="5" t="str">
        <f aca="false">IF(C1896=0,"",IF($A1896="Bank",IF(INDEX(Bank!$I:$I,$C1896)="","",INDEX(Bank!$I:$I,$C1896)),IF(INDEX(GL!$I:$I,$C1896)="","",INDEX(GL!$I:$I,$C1896))))</f>
        <v/>
      </c>
      <c r="L1896" s="5" t="str">
        <f aca="false">IF(B1896="","",IF(C1896=0,"NOT FOUND",IF(IF($A1896="Bank",INDEX(Bank!$F:$F,$C1896),INDEX(GL!$F:$F,$C1896))="Y","NOW RECONCILED: refresh","OK")))</f>
        <v/>
      </c>
    </row>
    <row r="1897" customFormat="false" ht="15" hidden="false" customHeight="false" outlineLevel="0" collapsed="false">
      <c r="A1897" s="41"/>
      <c r="B1897" s="41"/>
      <c r="C1897" s="5" t="n">
        <f aca="false">IF(B1897="",0,IF(A1897="Bank",IFERROR(MATCH(B1897,Bank!$A:$A,0),0),IFERROR(MATCH(B1897,GL!$A:$A,0),0)))</f>
        <v>0</v>
      </c>
      <c r="D1897" s="32" t="str">
        <f aca="false">IF(C1897=0,"",IF($A1897="Bank",INDEX(Bank!$B:$B,$C1897),INDEX(GL!$B:$B,$C1897)))</f>
        <v/>
      </c>
      <c r="E1897" s="5" t="str">
        <f aca="false">IF(C1897=0,"",IF($A1897="Bank",IF(INDEX(Bank!$C:$C,$C1897)="","",INDEX(Bank!$C:$C,$C1897)),IF(INDEX(GL!$C:$C,$C1897)="","",INDEX(GL!$C:$C,$C1897))))</f>
        <v/>
      </c>
      <c r="F1897" s="5" t="str">
        <f aca="false">IF(C1897=0,"",IF($A1897="Bank",IF(INDEX(Bank!$D:$D,$C1897)="","",INDEX(Bank!$D:$D,$C1897)),IF(INDEX(GL!$D:$D,$C1897)="","",INDEX(GL!$D:$D,$C1897))))</f>
        <v/>
      </c>
      <c r="G1897" s="19" t="str">
        <f aca="false">IF(C1897=0,"",IF($A1897="Bank",INDEX(Bank!$E:$E,$C1897),INDEX(GL!$E:$E,$C1897)))</f>
        <v/>
      </c>
      <c r="H1897" s="5" t="str">
        <f aca="false">IF(C1897=0,"",IF(A1897="GL",IF(G1897&gt;0,"Deposit in transit","Outstanding check / payment"),IF(G1897&gt;0,"Bank credit not in GL","Bank debit not in GL")))</f>
        <v/>
      </c>
      <c r="I1897" s="42" t="str">
        <f aca="false">IF(OR(C1897=0,CFG_PeriodEnd=""),"",CFG_PeriodEnd-D1897)</f>
        <v/>
      </c>
      <c r="J1897" s="5" t="str">
        <f aca="false">IF(C1897=0,"",IF($A1897="Bank",IF(INDEX(Bank!$G:$G,$C1897)="","",INDEX(Bank!$G:$G,$C1897)),IF(INDEX(GL!$G:$G,$C1897)="","",INDEX(GL!$G:$G,$C1897))))</f>
        <v/>
      </c>
      <c r="K1897" s="5" t="str">
        <f aca="false">IF(C1897=0,"",IF($A1897="Bank",IF(INDEX(Bank!$I:$I,$C1897)="","",INDEX(Bank!$I:$I,$C1897)),IF(INDEX(GL!$I:$I,$C1897)="","",INDEX(GL!$I:$I,$C1897))))</f>
        <v/>
      </c>
      <c r="L1897" s="5" t="str">
        <f aca="false">IF(B1897="","",IF(C1897=0,"NOT FOUND",IF(IF($A1897="Bank",INDEX(Bank!$F:$F,$C1897),INDEX(GL!$F:$F,$C1897))="Y","NOW RECONCILED: refresh","OK")))</f>
        <v/>
      </c>
    </row>
    <row r="1898" customFormat="false" ht="15" hidden="false" customHeight="false" outlineLevel="0" collapsed="false">
      <c r="A1898" s="41"/>
      <c r="B1898" s="41"/>
      <c r="C1898" s="5" t="n">
        <f aca="false">IF(B1898="",0,IF(A1898="Bank",IFERROR(MATCH(B1898,Bank!$A:$A,0),0),IFERROR(MATCH(B1898,GL!$A:$A,0),0)))</f>
        <v>0</v>
      </c>
      <c r="D1898" s="32" t="str">
        <f aca="false">IF(C1898=0,"",IF($A1898="Bank",INDEX(Bank!$B:$B,$C1898),INDEX(GL!$B:$B,$C1898)))</f>
        <v/>
      </c>
      <c r="E1898" s="5" t="str">
        <f aca="false">IF(C1898=0,"",IF($A1898="Bank",IF(INDEX(Bank!$C:$C,$C1898)="","",INDEX(Bank!$C:$C,$C1898)),IF(INDEX(GL!$C:$C,$C1898)="","",INDEX(GL!$C:$C,$C1898))))</f>
        <v/>
      </c>
      <c r="F1898" s="5" t="str">
        <f aca="false">IF(C1898=0,"",IF($A1898="Bank",IF(INDEX(Bank!$D:$D,$C1898)="","",INDEX(Bank!$D:$D,$C1898)),IF(INDEX(GL!$D:$D,$C1898)="","",INDEX(GL!$D:$D,$C1898))))</f>
        <v/>
      </c>
      <c r="G1898" s="19" t="str">
        <f aca="false">IF(C1898=0,"",IF($A1898="Bank",INDEX(Bank!$E:$E,$C1898),INDEX(GL!$E:$E,$C1898)))</f>
        <v/>
      </c>
      <c r="H1898" s="5" t="str">
        <f aca="false">IF(C1898=0,"",IF(A1898="GL",IF(G1898&gt;0,"Deposit in transit","Outstanding check / payment"),IF(G1898&gt;0,"Bank credit not in GL","Bank debit not in GL")))</f>
        <v/>
      </c>
      <c r="I1898" s="42" t="str">
        <f aca="false">IF(OR(C1898=0,CFG_PeriodEnd=""),"",CFG_PeriodEnd-D1898)</f>
        <v/>
      </c>
      <c r="J1898" s="5" t="str">
        <f aca="false">IF(C1898=0,"",IF($A1898="Bank",IF(INDEX(Bank!$G:$G,$C1898)="","",INDEX(Bank!$G:$G,$C1898)),IF(INDEX(GL!$G:$G,$C1898)="","",INDEX(GL!$G:$G,$C1898))))</f>
        <v/>
      </c>
      <c r="K1898" s="5" t="str">
        <f aca="false">IF(C1898=0,"",IF($A1898="Bank",IF(INDEX(Bank!$I:$I,$C1898)="","",INDEX(Bank!$I:$I,$C1898)),IF(INDEX(GL!$I:$I,$C1898)="","",INDEX(GL!$I:$I,$C1898))))</f>
        <v/>
      </c>
      <c r="L1898" s="5" t="str">
        <f aca="false">IF(B1898="","",IF(C1898=0,"NOT FOUND",IF(IF($A1898="Bank",INDEX(Bank!$F:$F,$C1898),INDEX(GL!$F:$F,$C1898))="Y","NOW RECONCILED: refresh","OK")))</f>
        <v/>
      </c>
    </row>
    <row r="1899" customFormat="false" ht="15" hidden="false" customHeight="false" outlineLevel="0" collapsed="false">
      <c r="A1899" s="41"/>
      <c r="B1899" s="41"/>
      <c r="C1899" s="5" t="n">
        <f aca="false">IF(B1899="",0,IF(A1899="Bank",IFERROR(MATCH(B1899,Bank!$A:$A,0),0),IFERROR(MATCH(B1899,GL!$A:$A,0),0)))</f>
        <v>0</v>
      </c>
      <c r="D1899" s="32" t="str">
        <f aca="false">IF(C1899=0,"",IF($A1899="Bank",INDEX(Bank!$B:$B,$C1899),INDEX(GL!$B:$B,$C1899)))</f>
        <v/>
      </c>
      <c r="E1899" s="5" t="str">
        <f aca="false">IF(C1899=0,"",IF($A1899="Bank",IF(INDEX(Bank!$C:$C,$C1899)="","",INDEX(Bank!$C:$C,$C1899)),IF(INDEX(GL!$C:$C,$C1899)="","",INDEX(GL!$C:$C,$C1899))))</f>
        <v/>
      </c>
      <c r="F1899" s="5" t="str">
        <f aca="false">IF(C1899=0,"",IF($A1899="Bank",IF(INDEX(Bank!$D:$D,$C1899)="","",INDEX(Bank!$D:$D,$C1899)),IF(INDEX(GL!$D:$D,$C1899)="","",INDEX(GL!$D:$D,$C1899))))</f>
        <v/>
      </c>
      <c r="G1899" s="19" t="str">
        <f aca="false">IF(C1899=0,"",IF($A1899="Bank",INDEX(Bank!$E:$E,$C1899),INDEX(GL!$E:$E,$C1899)))</f>
        <v/>
      </c>
      <c r="H1899" s="5" t="str">
        <f aca="false">IF(C1899=0,"",IF(A1899="GL",IF(G1899&gt;0,"Deposit in transit","Outstanding check / payment"),IF(G1899&gt;0,"Bank credit not in GL","Bank debit not in GL")))</f>
        <v/>
      </c>
      <c r="I1899" s="42" t="str">
        <f aca="false">IF(OR(C1899=0,CFG_PeriodEnd=""),"",CFG_PeriodEnd-D1899)</f>
        <v/>
      </c>
      <c r="J1899" s="5" t="str">
        <f aca="false">IF(C1899=0,"",IF($A1899="Bank",IF(INDEX(Bank!$G:$G,$C1899)="","",INDEX(Bank!$G:$G,$C1899)),IF(INDEX(GL!$G:$G,$C1899)="","",INDEX(GL!$G:$G,$C1899))))</f>
        <v/>
      </c>
      <c r="K1899" s="5" t="str">
        <f aca="false">IF(C1899=0,"",IF($A1899="Bank",IF(INDEX(Bank!$I:$I,$C1899)="","",INDEX(Bank!$I:$I,$C1899)),IF(INDEX(GL!$I:$I,$C1899)="","",INDEX(GL!$I:$I,$C1899))))</f>
        <v/>
      </c>
      <c r="L1899" s="5" t="str">
        <f aca="false">IF(B1899="","",IF(C1899=0,"NOT FOUND",IF(IF($A1899="Bank",INDEX(Bank!$F:$F,$C1899),INDEX(GL!$F:$F,$C1899))="Y","NOW RECONCILED: refresh","OK")))</f>
        <v/>
      </c>
    </row>
    <row r="1900" customFormat="false" ht="15" hidden="false" customHeight="false" outlineLevel="0" collapsed="false">
      <c r="A1900" s="41"/>
      <c r="B1900" s="41"/>
      <c r="C1900" s="5" t="n">
        <f aca="false">IF(B1900="",0,IF(A1900="Bank",IFERROR(MATCH(B1900,Bank!$A:$A,0),0),IFERROR(MATCH(B1900,GL!$A:$A,0),0)))</f>
        <v>0</v>
      </c>
      <c r="D1900" s="32" t="str">
        <f aca="false">IF(C1900=0,"",IF($A1900="Bank",INDEX(Bank!$B:$B,$C1900),INDEX(GL!$B:$B,$C1900)))</f>
        <v/>
      </c>
      <c r="E1900" s="5" t="str">
        <f aca="false">IF(C1900=0,"",IF($A1900="Bank",IF(INDEX(Bank!$C:$C,$C1900)="","",INDEX(Bank!$C:$C,$C1900)),IF(INDEX(GL!$C:$C,$C1900)="","",INDEX(GL!$C:$C,$C1900))))</f>
        <v/>
      </c>
      <c r="F1900" s="5" t="str">
        <f aca="false">IF(C1900=0,"",IF($A1900="Bank",IF(INDEX(Bank!$D:$D,$C1900)="","",INDEX(Bank!$D:$D,$C1900)),IF(INDEX(GL!$D:$D,$C1900)="","",INDEX(GL!$D:$D,$C1900))))</f>
        <v/>
      </c>
      <c r="G1900" s="19" t="str">
        <f aca="false">IF(C1900=0,"",IF($A1900="Bank",INDEX(Bank!$E:$E,$C1900),INDEX(GL!$E:$E,$C1900)))</f>
        <v/>
      </c>
      <c r="H1900" s="5" t="str">
        <f aca="false">IF(C1900=0,"",IF(A1900="GL",IF(G1900&gt;0,"Deposit in transit","Outstanding check / payment"),IF(G1900&gt;0,"Bank credit not in GL","Bank debit not in GL")))</f>
        <v/>
      </c>
      <c r="I1900" s="42" t="str">
        <f aca="false">IF(OR(C1900=0,CFG_PeriodEnd=""),"",CFG_PeriodEnd-D1900)</f>
        <v/>
      </c>
      <c r="J1900" s="5" t="str">
        <f aca="false">IF(C1900=0,"",IF($A1900="Bank",IF(INDEX(Bank!$G:$G,$C1900)="","",INDEX(Bank!$G:$G,$C1900)),IF(INDEX(GL!$G:$G,$C1900)="","",INDEX(GL!$G:$G,$C1900))))</f>
        <v/>
      </c>
      <c r="K1900" s="5" t="str">
        <f aca="false">IF(C1900=0,"",IF($A1900="Bank",IF(INDEX(Bank!$I:$I,$C1900)="","",INDEX(Bank!$I:$I,$C1900)),IF(INDEX(GL!$I:$I,$C1900)="","",INDEX(GL!$I:$I,$C1900))))</f>
        <v/>
      </c>
      <c r="L1900" s="5" t="str">
        <f aca="false">IF(B1900="","",IF(C1900=0,"NOT FOUND",IF(IF($A1900="Bank",INDEX(Bank!$F:$F,$C1900),INDEX(GL!$F:$F,$C1900))="Y","NOW RECONCILED: refresh","OK")))</f>
        <v/>
      </c>
    </row>
    <row r="1901" customFormat="false" ht="15" hidden="false" customHeight="false" outlineLevel="0" collapsed="false">
      <c r="A1901" s="41"/>
      <c r="B1901" s="41"/>
      <c r="C1901" s="5" t="n">
        <f aca="false">IF(B1901="",0,IF(A1901="Bank",IFERROR(MATCH(B1901,Bank!$A:$A,0),0),IFERROR(MATCH(B1901,GL!$A:$A,0),0)))</f>
        <v>0</v>
      </c>
      <c r="D1901" s="32" t="str">
        <f aca="false">IF(C1901=0,"",IF($A1901="Bank",INDEX(Bank!$B:$B,$C1901),INDEX(GL!$B:$B,$C1901)))</f>
        <v/>
      </c>
      <c r="E1901" s="5" t="str">
        <f aca="false">IF(C1901=0,"",IF($A1901="Bank",IF(INDEX(Bank!$C:$C,$C1901)="","",INDEX(Bank!$C:$C,$C1901)),IF(INDEX(GL!$C:$C,$C1901)="","",INDEX(GL!$C:$C,$C1901))))</f>
        <v/>
      </c>
      <c r="F1901" s="5" t="str">
        <f aca="false">IF(C1901=0,"",IF($A1901="Bank",IF(INDEX(Bank!$D:$D,$C1901)="","",INDEX(Bank!$D:$D,$C1901)),IF(INDEX(GL!$D:$D,$C1901)="","",INDEX(GL!$D:$D,$C1901))))</f>
        <v/>
      </c>
      <c r="G1901" s="19" t="str">
        <f aca="false">IF(C1901=0,"",IF($A1901="Bank",INDEX(Bank!$E:$E,$C1901),INDEX(GL!$E:$E,$C1901)))</f>
        <v/>
      </c>
      <c r="H1901" s="5" t="str">
        <f aca="false">IF(C1901=0,"",IF(A1901="GL",IF(G1901&gt;0,"Deposit in transit","Outstanding check / payment"),IF(G1901&gt;0,"Bank credit not in GL","Bank debit not in GL")))</f>
        <v/>
      </c>
      <c r="I1901" s="42" t="str">
        <f aca="false">IF(OR(C1901=0,CFG_PeriodEnd=""),"",CFG_PeriodEnd-D1901)</f>
        <v/>
      </c>
      <c r="J1901" s="5" t="str">
        <f aca="false">IF(C1901=0,"",IF($A1901="Bank",IF(INDEX(Bank!$G:$G,$C1901)="","",INDEX(Bank!$G:$G,$C1901)),IF(INDEX(GL!$G:$G,$C1901)="","",INDEX(GL!$G:$G,$C1901))))</f>
        <v/>
      </c>
      <c r="K1901" s="5" t="str">
        <f aca="false">IF(C1901=0,"",IF($A1901="Bank",IF(INDEX(Bank!$I:$I,$C1901)="","",INDEX(Bank!$I:$I,$C1901)),IF(INDEX(GL!$I:$I,$C1901)="","",INDEX(GL!$I:$I,$C1901))))</f>
        <v/>
      </c>
      <c r="L1901" s="5" t="str">
        <f aca="false">IF(B1901="","",IF(C1901=0,"NOT FOUND",IF(IF($A1901="Bank",INDEX(Bank!$F:$F,$C1901),INDEX(GL!$F:$F,$C1901))="Y","NOW RECONCILED: refresh","OK")))</f>
        <v/>
      </c>
    </row>
    <row r="1902" customFormat="false" ht="15" hidden="false" customHeight="false" outlineLevel="0" collapsed="false">
      <c r="A1902" s="41"/>
      <c r="B1902" s="41"/>
      <c r="C1902" s="5" t="n">
        <f aca="false">IF(B1902="",0,IF(A1902="Bank",IFERROR(MATCH(B1902,Bank!$A:$A,0),0),IFERROR(MATCH(B1902,GL!$A:$A,0),0)))</f>
        <v>0</v>
      </c>
      <c r="D1902" s="32" t="str">
        <f aca="false">IF(C1902=0,"",IF($A1902="Bank",INDEX(Bank!$B:$B,$C1902),INDEX(GL!$B:$B,$C1902)))</f>
        <v/>
      </c>
      <c r="E1902" s="5" t="str">
        <f aca="false">IF(C1902=0,"",IF($A1902="Bank",IF(INDEX(Bank!$C:$C,$C1902)="","",INDEX(Bank!$C:$C,$C1902)),IF(INDEX(GL!$C:$C,$C1902)="","",INDEX(GL!$C:$C,$C1902))))</f>
        <v/>
      </c>
      <c r="F1902" s="5" t="str">
        <f aca="false">IF(C1902=0,"",IF($A1902="Bank",IF(INDEX(Bank!$D:$D,$C1902)="","",INDEX(Bank!$D:$D,$C1902)),IF(INDEX(GL!$D:$D,$C1902)="","",INDEX(GL!$D:$D,$C1902))))</f>
        <v/>
      </c>
      <c r="G1902" s="19" t="str">
        <f aca="false">IF(C1902=0,"",IF($A1902="Bank",INDEX(Bank!$E:$E,$C1902),INDEX(GL!$E:$E,$C1902)))</f>
        <v/>
      </c>
      <c r="H1902" s="5" t="str">
        <f aca="false">IF(C1902=0,"",IF(A1902="GL",IF(G1902&gt;0,"Deposit in transit","Outstanding check / payment"),IF(G1902&gt;0,"Bank credit not in GL","Bank debit not in GL")))</f>
        <v/>
      </c>
      <c r="I1902" s="42" t="str">
        <f aca="false">IF(OR(C1902=0,CFG_PeriodEnd=""),"",CFG_PeriodEnd-D1902)</f>
        <v/>
      </c>
      <c r="J1902" s="5" t="str">
        <f aca="false">IF(C1902=0,"",IF($A1902="Bank",IF(INDEX(Bank!$G:$G,$C1902)="","",INDEX(Bank!$G:$G,$C1902)),IF(INDEX(GL!$G:$G,$C1902)="","",INDEX(GL!$G:$G,$C1902))))</f>
        <v/>
      </c>
      <c r="K1902" s="5" t="str">
        <f aca="false">IF(C1902=0,"",IF($A1902="Bank",IF(INDEX(Bank!$I:$I,$C1902)="","",INDEX(Bank!$I:$I,$C1902)),IF(INDEX(GL!$I:$I,$C1902)="","",INDEX(GL!$I:$I,$C1902))))</f>
        <v/>
      </c>
      <c r="L1902" s="5" t="str">
        <f aca="false">IF(B1902="","",IF(C1902=0,"NOT FOUND",IF(IF($A1902="Bank",INDEX(Bank!$F:$F,$C1902),INDEX(GL!$F:$F,$C1902))="Y","NOW RECONCILED: refresh","OK")))</f>
        <v/>
      </c>
    </row>
    <row r="1903" customFormat="false" ht="15" hidden="false" customHeight="false" outlineLevel="0" collapsed="false">
      <c r="A1903" s="41"/>
      <c r="B1903" s="41"/>
      <c r="C1903" s="5" t="n">
        <f aca="false">IF(B1903="",0,IF(A1903="Bank",IFERROR(MATCH(B1903,Bank!$A:$A,0),0),IFERROR(MATCH(B1903,GL!$A:$A,0),0)))</f>
        <v>0</v>
      </c>
      <c r="D1903" s="32" t="str">
        <f aca="false">IF(C1903=0,"",IF($A1903="Bank",INDEX(Bank!$B:$B,$C1903),INDEX(GL!$B:$B,$C1903)))</f>
        <v/>
      </c>
      <c r="E1903" s="5" t="str">
        <f aca="false">IF(C1903=0,"",IF($A1903="Bank",IF(INDEX(Bank!$C:$C,$C1903)="","",INDEX(Bank!$C:$C,$C1903)),IF(INDEX(GL!$C:$C,$C1903)="","",INDEX(GL!$C:$C,$C1903))))</f>
        <v/>
      </c>
      <c r="F1903" s="5" t="str">
        <f aca="false">IF(C1903=0,"",IF($A1903="Bank",IF(INDEX(Bank!$D:$D,$C1903)="","",INDEX(Bank!$D:$D,$C1903)),IF(INDEX(GL!$D:$D,$C1903)="","",INDEX(GL!$D:$D,$C1903))))</f>
        <v/>
      </c>
      <c r="G1903" s="19" t="str">
        <f aca="false">IF(C1903=0,"",IF($A1903="Bank",INDEX(Bank!$E:$E,$C1903),INDEX(GL!$E:$E,$C1903)))</f>
        <v/>
      </c>
      <c r="H1903" s="5" t="str">
        <f aca="false">IF(C1903=0,"",IF(A1903="GL",IF(G1903&gt;0,"Deposit in transit","Outstanding check / payment"),IF(G1903&gt;0,"Bank credit not in GL","Bank debit not in GL")))</f>
        <v/>
      </c>
      <c r="I1903" s="42" t="str">
        <f aca="false">IF(OR(C1903=0,CFG_PeriodEnd=""),"",CFG_PeriodEnd-D1903)</f>
        <v/>
      </c>
      <c r="J1903" s="5" t="str">
        <f aca="false">IF(C1903=0,"",IF($A1903="Bank",IF(INDEX(Bank!$G:$G,$C1903)="","",INDEX(Bank!$G:$G,$C1903)),IF(INDEX(GL!$G:$G,$C1903)="","",INDEX(GL!$G:$G,$C1903))))</f>
        <v/>
      </c>
      <c r="K1903" s="5" t="str">
        <f aca="false">IF(C1903=0,"",IF($A1903="Bank",IF(INDEX(Bank!$I:$I,$C1903)="","",INDEX(Bank!$I:$I,$C1903)),IF(INDEX(GL!$I:$I,$C1903)="","",INDEX(GL!$I:$I,$C1903))))</f>
        <v/>
      </c>
      <c r="L1903" s="5" t="str">
        <f aca="false">IF(B1903="","",IF(C1903=0,"NOT FOUND",IF(IF($A1903="Bank",INDEX(Bank!$F:$F,$C1903),INDEX(GL!$F:$F,$C1903))="Y","NOW RECONCILED: refresh","OK")))</f>
        <v/>
      </c>
    </row>
    <row r="1904" customFormat="false" ht="15" hidden="false" customHeight="false" outlineLevel="0" collapsed="false">
      <c r="A1904" s="41"/>
      <c r="B1904" s="41"/>
      <c r="C1904" s="5" t="n">
        <f aca="false">IF(B1904="",0,IF(A1904="Bank",IFERROR(MATCH(B1904,Bank!$A:$A,0),0),IFERROR(MATCH(B1904,GL!$A:$A,0),0)))</f>
        <v>0</v>
      </c>
      <c r="D1904" s="32" t="str">
        <f aca="false">IF(C1904=0,"",IF($A1904="Bank",INDEX(Bank!$B:$B,$C1904),INDEX(GL!$B:$B,$C1904)))</f>
        <v/>
      </c>
      <c r="E1904" s="5" t="str">
        <f aca="false">IF(C1904=0,"",IF($A1904="Bank",IF(INDEX(Bank!$C:$C,$C1904)="","",INDEX(Bank!$C:$C,$C1904)),IF(INDEX(GL!$C:$C,$C1904)="","",INDEX(GL!$C:$C,$C1904))))</f>
        <v/>
      </c>
      <c r="F1904" s="5" t="str">
        <f aca="false">IF(C1904=0,"",IF($A1904="Bank",IF(INDEX(Bank!$D:$D,$C1904)="","",INDEX(Bank!$D:$D,$C1904)),IF(INDEX(GL!$D:$D,$C1904)="","",INDEX(GL!$D:$D,$C1904))))</f>
        <v/>
      </c>
      <c r="G1904" s="19" t="str">
        <f aca="false">IF(C1904=0,"",IF($A1904="Bank",INDEX(Bank!$E:$E,$C1904),INDEX(GL!$E:$E,$C1904)))</f>
        <v/>
      </c>
      <c r="H1904" s="5" t="str">
        <f aca="false">IF(C1904=0,"",IF(A1904="GL",IF(G1904&gt;0,"Deposit in transit","Outstanding check / payment"),IF(G1904&gt;0,"Bank credit not in GL","Bank debit not in GL")))</f>
        <v/>
      </c>
      <c r="I1904" s="42" t="str">
        <f aca="false">IF(OR(C1904=0,CFG_PeriodEnd=""),"",CFG_PeriodEnd-D1904)</f>
        <v/>
      </c>
      <c r="J1904" s="5" t="str">
        <f aca="false">IF(C1904=0,"",IF($A1904="Bank",IF(INDEX(Bank!$G:$G,$C1904)="","",INDEX(Bank!$G:$G,$C1904)),IF(INDEX(GL!$G:$G,$C1904)="","",INDEX(GL!$G:$G,$C1904))))</f>
        <v/>
      </c>
      <c r="K1904" s="5" t="str">
        <f aca="false">IF(C1904=0,"",IF($A1904="Bank",IF(INDEX(Bank!$I:$I,$C1904)="","",INDEX(Bank!$I:$I,$C1904)),IF(INDEX(GL!$I:$I,$C1904)="","",INDEX(GL!$I:$I,$C1904))))</f>
        <v/>
      </c>
      <c r="L1904" s="5" t="str">
        <f aca="false">IF(B1904="","",IF(C1904=0,"NOT FOUND",IF(IF($A1904="Bank",INDEX(Bank!$F:$F,$C1904),INDEX(GL!$F:$F,$C1904))="Y","NOW RECONCILED: refresh","OK")))</f>
        <v/>
      </c>
    </row>
    <row r="1905" customFormat="false" ht="15" hidden="false" customHeight="false" outlineLevel="0" collapsed="false">
      <c r="A1905" s="41"/>
      <c r="B1905" s="41"/>
      <c r="C1905" s="5" t="n">
        <f aca="false">IF(B1905="",0,IF(A1905="Bank",IFERROR(MATCH(B1905,Bank!$A:$A,0),0),IFERROR(MATCH(B1905,GL!$A:$A,0),0)))</f>
        <v>0</v>
      </c>
      <c r="D1905" s="32" t="str">
        <f aca="false">IF(C1905=0,"",IF($A1905="Bank",INDEX(Bank!$B:$B,$C1905),INDEX(GL!$B:$B,$C1905)))</f>
        <v/>
      </c>
      <c r="E1905" s="5" t="str">
        <f aca="false">IF(C1905=0,"",IF($A1905="Bank",IF(INDEX(Bank!$C:$C,$C1905)="","",INDEX(Bank!$C:$C,$C1905)),IF(INDEX(GL!$C:$C,$C1905)="","",INDEX(GL!$C:$C,$C1905))))</f>
        <v/>
      </c>
      <c r="F1905" s="5" t="str">
        <f aca="false">IF(C1905=0,"",IF($A1905="Bank",IF(INDEX(Bank!$D:$D,$C1905)="","",INDEX(Bank!$D:$D,$C1905)),IF(INDEX(GL!$D:$D,$C1905)="","",INDEX(GL!$D:$D,$C1905))))</f>
        <v/>
      </c>
      <c r="G1905" s="19" t="str">
        <f aca="false">IF(C1905=0,"",IF($A1905="Bank",INDEX(Bank!$E:$E,$C1905),INDEX(GL!$E:$E,$C1905)))</f>
        <v/>
      </c>
      <c r="H1905" s="5" t="str">
        <f aca="false">IF(C1905=0,"",IF(A1905="GL",IF(G1905&gt;0,"Deposit in transit","Outstanding check / payment"),IF(G1905&gt;0,"Bank credit not in GL","Bank debit not in GL")))</f>
        <v/>
      </c>
      <c r="I1905" s="42" t="str">
        <f aca="false">IF(OR(C1905=0,CFG_PeriodEnd=""),"",CFG_PeriodEnd-D1905)</f>
        <v/>
      </c>
      <c r="J1905" s="5" t="str">
        <f aca="false">IF(C1905=0,"",IF($A1905="Bank",IF(INDEX(Bank!$G:$G,$C1905)="","",INDEX(Bank!$G:$G,$C1905)),IF(INDEX(GL!$G:$G,$C1905)="","",INDEX(GL!$G:$G,$C1905))))</f>
        <v/>
      </c>
      <c r="K1905" s="5" t="str">
        <f aca="false">IF(C1905=0,"",IF($A1905="Bank",IF(INDEX(Bank!$I:$I,$C1905)="","",INDEX(Bank!$I:$I,$C1905)),IF(INDEX(GL!$I:$I,$C1905)="","",INDEX(GL!$I:$I,$C1905))))</f>
        <v/>
      </c>
      <c r="L1905" s="5" t="str">
        <f aca="false">IF(B1905="","",IF(C1905=0,"NOT FOUND",IF(IF($A1905="Bank",INDEX(Bank!$F:$F,$C1905),INDEX(GL!$F:$F,$C1905))="Y","NOW RECONCILED: refresh","OK")))</f>
        <v/>
      </c>
    </row>
    <row r="1906" customFormat="false" ht="15" hidden="false" customHeight="false" outlineLevel="0" collapsed="false">
      <c r="A1906" s="41"/>
      <c r="B1906" s="41"/>
      <c r="C1906" s="5" t="n">
        <f aca="false">IF(B1906="",0,IF(A1906="Bank",IFERROR(MATCH(B1906,Bank!$A:$A,0),0),IFERROR(MATCH(B1906,GL!$A:$A,0),0)))</f>
        <v>0</v>
      </c>
      <c r="D1906" s="32" t="str">
        <f aca="false">IF(C1906=0,"",IF($A1906="Bank",INDEX(Bank!$B:$B,$C1906),INDEX(GL!$B:$B,$C1906)))</f>
        <v/>
      </c>
      <c r="E1906" s="5" t="str">
        <f aca="false">IF(C1906=0,"",IF($A1906="Bank",IF(INDEX(Bank!$C:$C,$C1906)="","",INDEX(Bank!$C:$C,$C1906)),IF(INDEX(GL!$C:$C,$C1906)="","",INDEX(GL!$C:$C,$C1906))))</f>
        <v/>
      </c>
      <c r="F1906" s="5" t="str">
        <f aca="false">IF(C1906=0,"",IF($A1906="Bank",IF(INDEX(Bank!$D:$D,$C1906)="","",INDEX(Bank!$D:$D,$C1906)),IF(INDEX(GL!$D:$D,$C1906)="","",INDEX(GL!$D:$D,$C1906))))</f>
        <v/>
      </c>
      <c r="G1906" s="19" t="str">
        <f aca="false">IF(C1906=0,"",IF($A1906="Bank",INDEX(Bank!$E:$E,$C1906),INDEX(GL!$E:$E,$C1906)))</f>
        <v/>
      </c>
      <c r="H1906" s="5" t="str">
        <f aca="false">IF(C1906=0,"",IF(A1906="GL",IF(G1906&gt;0,"Deposit in transit","Outstanding check / payment"),IF(G1906&gt;0,"Bank credit not in GL","Bank debit not in GL")))</f>
        <v/>
      </c>
      <c r="I1906" s="42" t="str">
        <f aca="false">IF(OR(C1906=0,CFG_PeriodEnd=""),"",CFG_PeriodEnd-D1906)</f>
        <v/>
      </c>
      <c r="J1906" s="5" t="str">
        <f aca="false">IF(C1906=0,"",IF($A1906="Bank",IF(INDEX(Bank!$G:$G,$C1906)="","",INDEX(Bank!$G:$G,$C1906)),IF(INDEX(GL!$G:$G,$C1906)="","",INDEX(GL!$G:$G,$C1906))))</f>
        <v/>
      </c>
      <c r="K1906" s="5" t="str">
        <f aca="false">IF(C1906=0,"",IF($A1906="Bank",IF(INDEX(Bank!$I:$I,$C1906)="","",INDEX(Bank!$I:$I,$C1906)),IF(INDEX(GL!$I:$I,$C1906)="","",INDEX(GL!$I:$I,$C1906))))</f>
        <v/>
      </c>
      <c r="L1906" s="5" t="str">
        <f aca="false">IF(B1906="","",IF(C1906=0,"NOT FOUND",IF(IF($A1906="Bank",INDEX(Bank!$F:$F,$C1906),INDEX(GL!$F:$F,$C1906))="Y","NOW RECONCILED: refresh","OK")))</f>
        <v/>
      </c>
    </row>
    <row r="1907" customFormat="false" ht="15" hidden="false" customHeight="false" outlineLevel="0" collapsed="false">
      <c r="A1907" s="41"/>
      <c r="B1907" s="41"/>
      <c r="C1907" s="5" t="n">
        <f aca="false">IF(B1907="",0,IF(A1907="Bank",IFERROR(MATCH(B1907,Bank!$A:$A,0),0),IFERROR(MATCH(B1907,GL!$A:$A,0),0)))</f>
        <v>0</v>
      </c>
      <c r="D1907" s="32" t="str">
        <f aca="false">IF(C1907=0,"",IF($A1907="Bank",INDEX(Bank!$B:$B,$C1907),INDEX(GL!$B:$B,$C1907)))</f>
        <v/>
      </c>
      <c r="E1907" s="5" t="str">
        <f aca="false">IF(C1907=0,"",IF($A1907="Bank",IF(INDEX(Bank!$C:$C,$C1907)="","",INDEX(Bank!$C:$C,$C1907)),IF(INDEX(GL!$C:$C,$C1907)="","",INDEX(GL!$C:$C,$C1907))))</f>
        <v/>
      </c>
      <c r="F1907" s="5" t="str">
        <f aca="false">IF(C1907=0,"",IF($A1907="Bank",IF(INDEX(Bank!$D:$D,$C1907)="","",INDEX(Bank!$D:$D,$C1907)),IF(INDEX(GL!$D:$D,$C1907)="","",INDEX(GL!$D:$D,$C1907))))</f>
        <v/>
      </c>
      <c r="G1907" s="19" t="str">
        <f aca="false">IF(C1907=0,"",IF($A1907="Bank",INDEX(Bank!$E:$E,$C1907),INDEX(GL!$E:$E,$C1907)))</f>
        <v/>
      </c>
      <c r="H1907" s="5" t="str">
        <f aca="false">IF(C1907=0,"",IF(A1907="GL",IF(G1907&gt;0,"Deposit in transit","Outstanding check / payment"),IF(G1907&gt;0,"Bank credit not in GL","Bank debit not in GL")))</f>
        <v/>
      </c>
      <c r="I1907" s="42" t="str">
        <f aca="false">IF(OR(C1907=0,CFG_PeriodEnd=""),"",CFG_PeriodEnd-D1907)</f>
        <v/>
      </c>
      <c r="J1907" s="5" t="str">
        <f aca="false">IF(C1907=0,"",IF($A1907="Bank",IF(INDEX(Bank!$G:$G,$C1907)="","",INDEX(Bank!$G:$G,$C1907)),IF(INDEX(GL!$G:$G,$C1907)="","",INDEX(GL!$G:$G,$C1907))))</f>
        <v/>
      </c>
      <c r="K1907" s="5" t="str">
        <f aca="false">IF(C1907=0,"",IF($A1907="Bank",IF(INDEX(Bank!$I:$I,$C1907)="","",INDEX(Bank!$I:$I,$C1907)),IF(INDEX(GL!$I:$I,$C1907)="","",INDEX(GL!$I:$I,$C1907))))</f>
        <v/>
      </c>
      <c r="L1907" s="5" t="str">
        <f aca="false">IF(B1907="","",IF(C1907=0,"NOT FOUND",IF(IF($A1907="Bank",INDEX(Bank!$F:$F,$C1907),INDEX(GL!$F:$F,$C1907))="Y","NOW RECONCILED: refresh","OK")))</f>
        <v/>
      </c>
    </row>
    <row r="1908" customFormat="false" ht="15" hidden="false" customHeight="false" outlineLevel="0" collapsed="false">
      <c r="A1908" s="41"/>
      <c r="B1908" s="41"/>
      <c r="C1908" s="5" t="n">
        <f aca="false">IF(B1908="",0,IF(A1908="Bank",IFERROR(MATCH(B1908,Bank!$A:$A,0),0),IFERROR(MATCH(B1908,GL!$A:$A,0),0)))</f>
        <v>0</v>
      </c>
      <c r="D1908" s="32" t="str">
        <f aca="false">IF(C1908=0,"",IF($A1908="Bank",INDEX(Bank!$B:$B,$C1908),INDEX(GL!$B:$B,$C1908)))</f>
        <v/>
      </c>
      <c r="E1908" s="5" t="str">
        <f aca="false">IF(C1908=0,"",IF($A1908="Bank",IF(INDEX(Bank!$C:$C,$C1908)="","",INDEX(Bank!$C:$C,$C1908)),IF(INDEX(GL!$C:$C,$C1908)="","",INDEX(GL!$C:$C,$C1908))))</f>
        <v/>
      </c>
      <c r="F1908" s="5" t="str">
        <f aca="false">IF(C1908=0,"",IF($A1908="Bank",IF(INDEX(Bank!$D:$D,$C1908)="","",INDEX(Bank!$D:$D,$C1908)),IF(INDEX(GL!$D:$D,$C1908)="","",INDEX(GL!$D:$D,$C1908))))</f>
        <v/>
      </c>
      <c r="G1908" s="19" t="str">
        <f aca="false">IF(C1908=0,"",IF($A1908="Bank",INDEX(Bank!$E:$E,$C1908),INDEX(GL!$E:$E,$C1908)))</f>
        <v/>
      </c>
      <c r="H1908" s="5" t="str">
        <f aca="false">IF(C1908=0,"",IF(A1908="GL",IF(G1908&gt;0,"Deposit in transit","Outstanding check / payment"),IF(G1908&gt;0,"Bank credit not in GL","Bank debit not in GL")))</f>
        <v/>
      </c>
      <c r="I1908" s="42" t="str">
        <f aca="false">IF(OR(C1908=0,CFG_PeriodEnd=""),"",CFG_PeriodEnd-D1908)</f>
        <v/>
      </c>
      <c r="J1908" s="5" t="str">
        <f aca="false">IF(C1908=0,"",IF($A1908="Bank",IF(INDEX(Bank!$G:$G,$C1908)="","",INDEX(Bank!$G:$G,$C1908)),IF(INDEX(GL!$G:$G,$C1908)="","",INDEX(GL!$G:$G,$C1908))))</f>
        <v/>
      </c>
      <c r="K1908" s="5" t="str">
        <f aca="false">IF(C1908=0,"",IF($A1908="Bank",IF(INDEX(Bank!$I:$I,$C1908)="","",INDEX(Bank!$I:$I,$C1908)),IF(INDEX(GL!$I:$I,$C1908)="","",INDEX(GL!$I:$I,$C1908))))</f>
        <v/>
      </c>
      <c r="L1908" s="5" t="str">
        <f aca="false">IF(B1908="","",IF(C1908=0,"NOT FOUND",IF(IF($A1908="Bank",INDEX(Bank!$F:$F,$C1908),INDEX(GL!$F:$F,$C1908))="Y","NOW RECONCILED: refresh","OK")))</f>
        <v/>
      </c>
    </row>
    <row r="1909" customFormat="false" ht="15" hidden="false" customHeight="false" outlineLevel="0" collapsed="false">
      <c r="A1909" s="41"/>
      <c r="B1909" s="41"/>
      <c r="C1909" s="5" t="n">
        <f aca="false">IF(B1909="",0,IF(A1909="Bank",IFERROR(MATCH(B1909,Bank!$A:$A,0),0),IFERROR(MATCH(B1909,GL!$A:$A,0),0)))</f>
        <v>0</v>
      </c>
      <c r="D1909" s="32" t="str">
        <f aca="false">IF(C1909=0,"",IF($A1909="Bank",INDEX(Bank!$B:$B,$C1909),INDEX(GL!$B:$B,$C1909)))</f>
        <v/>
      </c>
      <c r="E1909" s="5" t="str">
        <f aca="false">IF(C1909=0,"",IF($A1909="Bank",IF(INDEX(Bank!$C:$C,$C1909)="","",INDEX(Bank!$C:$C,$C1909)),IF(INDEX(GL!$C:$C,$C1909)="","",INDEX(GL!$C:$C,$C1909))))</f>
        <v/>
      </c>
      <c r="F1909" s="5" t="str">
        <f aca="false">IF(C1909=0,"",IF($A1909="Bank",IF(INDEX(Bank!$D:$D,$C1909)="","",INDEX(Bank!$D:$D,$C1909)),IF(INDEX(GL!$D:$D,$C1909)="","",INDEX(GL!$D:$D,$C1909))))</f>
        <v/>
      </c>
      <c r="G1909" s="19" t="str">
        <f aca="false">IF(C1909=0,"",IF($A1909="Bank",INDEX(Bank!$E:$E,$C1909),INDEX(GL!$E:$E,$C1909)))</f>
        <v/>
      </c>
      <c r="H1909" s="5" t="str">
        <f aca="false">IF(C1909=0,"",IF(A1909="GL",IF(G1909&gt;0,"Deposit in transit","Outstanding check / payment"),IF(G1909&gt;0,"Bank credit not in GL","Bank debit not in GL")))</f>
        <v/>
      </c>
      <c r="I1909" s="42" t="str">
        <f aca="false">IF(OR(C1909=0,CFG_PeriodEnd=""),"",CFG_PeriodEnd-D1909)</f>
        <v/>
      </c>
      <c r="J1909" s="5" t="str">
        <f aca="false">IF(C1909=0,"",IF($A1909="Bank",IF(INDEX(Bank!$G:$G,$C1909)="","",INDEX(Bank!$G:$G,$C1909)),IF(INDEX(GL!$G:$G,$C1909)="","",INDEX(GL!$G:$G,$C1909))))</f>
        <v/>
      </c>
      <c r="K1909" s="5" t="str">
        <f aca="false">IF(C1909=0,"",IF($A1909="Bank",IF(INDEX(Bank!$I:$I,$C1909)="","",INDEX(Bank!$I:$I,$C1909)),IF(INDEX(GL!$I:$I,$C1909)="","",INDEX(GL!$I:$I,$C1909))))</f>
        <v/>
      </c>
      <c r="L1909" s="5" t="str">
        <f aca="false">IF(B1909="","",IF(C1909=0,"NOT FOUND",IF(IF($A1909="Bank",INDEX(Bank!$F:$F,$C1909),INDEX(GL!$F:$F,$C1909))="Y","NOW RECONCILED: refresh","OK")))</f>
        <v/>
      </c>
    </row>
    <row r="1910" customFormat="false" ht="15" hidden="false" customHeight="false" outlineLevel="0" collapsed="false">
      <c r="A1910" s="41"/>
      <c r="B1910" s="41"/>
      <c r="C1910" s="5" t="n">
        <f aca="false">IF(B1910="",0,IF(A1910="Bank",IFERROR(MATCH(B1910,Bank!$A:$A,0),0),IFERROR(MATCH(B1910,GL!$A:$A,0),0)))</f>
        <v>0</v>
      </c>
      <c r="D1910" s="32" t="str">
        <f aca="false">IF(C1910=0,"",IF($A1910="Bank",INDEX(Bank!$B:$B,$C1910),INDEX(GL!$B:$B,$C1910)))</f>
        <v/>
      </c>
      <c r="E1910" s="5" t="str">
        <f aca="false">IF(C1910=0,"",IF($A1910="Bank",IF(INDEX(Bank!$C:$C,$C1910)="","",INDEX(Bank!$C:$C,$C1910)),IF(INDEX(GL!$C:$C,$C1910)="","",INDEX(GL!$C:$C,$C1910))))</f>
        <v/>
      </c>
      <c r="F1910" s="5" t="str">
        <f aca="false">IF(C1910=0,"",IF($A1910="Bank",IF(INDEX(Bank!$D:$D,$C1910)="","",INDEX(Bank!$D:$D,$C1910)),IF(INDEX(GL!$D:$D,$C1910)="","",INDEX(GL!$D:$D,$C1910))))</f>
        <v/>
      </c>
      <c r="G1910" s="19" t="str">
        <f aca="false">IF(C1910=0,"",IF($A1910="Bank",INDEX(Bank!$E:$E,$C1910),INDEX(GL!$E:$E,$C1910)))</f>
        <v/>
      </c>
      <c r="H1910" s="5" t="str">
        <f aca="false">IF(C1910=0,"",IF(A1910="GL",IF(G1910&gt;0,"Deposit in transit","Outstanding check / payment"),IF(G1910&gt;0,"Bank credit not in GL","Bank debit not in GL")))</f>
        <v/>
      </c>
      <c r="I1910" s="42" t="str">
        <f aca="false">IF(OR(C1910=0,CFG_PeriodEnd=""),"",CFG_PeriodEnd-D1910)</f>
        <v/>
      </c>
      <c r="J1910" s="5" t="str">
        <f aca="false">IF(C1910=0,"",IF($A1910="Bank",IF(INDEX(Bank!$G:$G,$C1910)="","",INDEX(Bank!$G:$G,$C1910)),IF(INDEX(GL!$G:$G,$C1910)="","",INDEX(GL!$G:$G,$C1910))))</f>
        <v/>
      </c>
      <c r="K1910" s="5" t="str">
        <f aca="false">IF(C1910=0,"",IF($A1910="Bank",IF(INDEX(Bank!$I:$I,$C1910)="","",INDEX(Bank!$I:$I,$C1910)),IF(INDEX(GL!$I:$I,$C1910)="","",INDEX(GL!$I:$I,$C1910))))</f>
        <v/>
      </c>
      <c r="L1910" s="5" t="str">
        <f aca="false">IF(B1910="","",IF(C1910=0,"NOT FOUND",IF(IF($A1910="Bank",INDEX(Bank!$F:$F,$C1910),INDEX(GL!$F:$F,$C1910))="Y","NOW RECONCILED: refresh","OK")))</f>
        <v/>
      </c>
    </row>
    <row r="1911" customFormat="false" ht="15" hidden="false" customHeight="false" outlineLevel="0" collapsed="false">
      <c r="A1911" s="41"/>
      <c r="B1911" s="41"/>
      <c r="C1911" s="5" t="n">
        <f aca="false">IF(B1911="",0,IF(A1911="Bank",IFERROR(MATCH(B1911,Bank!$A:$A,0),0),IFERROR(MATCH(B1911,GL!$A:$A,0),0)))</f>
        <v>0</v>
      </c>
      <c r="D1911" s="32" t="str">
        <f aca="false">IF(C1911=0,"",IF($A1911="Bank",INDEX(Bank!$B:$B,$C1911),INDEX(GL!$B:$B,$C1911)))</f>
        <v/>
      </c>
      <c r="E1911" s="5" t="str">
        <f aca="false">IF(C1911=0,"",IF($A1911="Bank",IF(INDEX(Bank!$C:$C,$C1911)="","",INDEX(Bank!$C:$C,$C1911)),IF(INDEX(GL!$C:$C,$C1911)="","",INDEX(GL!$C:$C,$C1911))))</f>
        <v/>
      </c>
      <c r="F1911" s="5" t="str">
        <f aca="false">IF(C1911=0,"",IF($A1911="Bank",IF(INDEX(Bank!$D:$D,$C1911)="","",INDEX(Bank!$D:$D,$C1911)),IF(INDEX(GL!$D:$D,$C1911)="","",INDEX(GL!$D:$D,$C1911))))</f>
        <v/>
      </c>
      <c r="G1911" s="19" t="str">
        <f aca="false">IF(C1911=0,"",IF($A1911="Bank",INDEX(Bank!$E:$E,$C1911),INDEX(GL!$E:$E,$C1911)))</f>
        <v/>
      </c>
      <c r="H1911" s="5" t="str">
        <f aca="false">IF(C1911=0,"",IF(A1911="GL",IF(G1911&gt;0,"Deposit in transit","Outstanding check / payment"),IF(G1911&gt;0,"Bank credit not in GL","Bank debit not in GL")))</f>
        <v/>
      </c>
      <c r="I1911" s="42" t="str">
        <f aca="false">IF(OR(C1911=0,CFG_PeriodEnd=""),"",CFG_PeriodEnd-D1911)</f>
        <v/>
      </c>
      <c r="J1911" s="5" t="str">
        <f aca="false">IF(C1911=0,"",IF($A1911="Bank",IF(INDEX(Bank!$G:$G,$C1911)="","",INDEX(Bank!$G:$G,$C1911)),IF(INDEX(GL!$G:$G,$C1911)="","",INDEX(GL!$G:$G,$C1911))))</f>
        <v/>
      </c>
      <c r="K1911" s="5" t="str">
        <f aca="false">IF(C1911=0,"",IF($A1911="Bank",IF(INDEX(Bank!$I:$I,$C1911)="","",INDEX(Bank!$I:$I,$C1911)),IF(INDEX(GL!$I:$I,$C1911)="","",INDEX(GL!$I:$I,$C1911))))</f>
        <v/>
      </c>
      <c r="L1911" s="5" t="str">
        <f aca="false">IF(B1911="","",IF(C1911=0,"NOT FOUND",IF(IF($A1911="Bank",INDEX(Bank!$F:$F,$C1911),INDEX(GL!$F:$F,$C1911))="Y","NOW RECONCILED: refresh","OK")))</f>
        <v/>
      </c>
    </row>
    <row r="1912" customFormat="false" ht="15" hidden="false" customHeight="false" outlineLevel="0" collapsed="false">
      <c r="A1912" s="41"/>
      <c r="B1912" s="41"/>
      <c r="C1912" s="5" t="n">
        <f aca="false">IF(B1912="",0,IF(A1912="Bank",IFERROR(MATCH(B1912,Bank!$A:$A,0),0),IFERROR(MATCH(B1912,GL!$A:$A,0),0)))</f>
        <v>0</v>
      </c>
      <c r="D1912" s="32" t="str">
        <f aca="false">IF(C1912=0,"",IF($A1912="Bank",INDEX(Bank!$B:$B,$C1912),INDEX(GL!$B:$B,$C1912)))</f>
        <v/>
      </c>
      <c r="E1912" s="5" t="str">
        <f aca="false">IF(C1912=0,"",IF($A1912="Bank",IF(INDEX(Bank!$C:$C,$C1912)="","",INDEX(Bank!$C:$C,$C1912)),IF(INDEX(GL!$C:$C,$C1912)="","",INDEX(GL!$C:$C,$C1912))))</f>
        <v/>
      </c>
      <c r="F1912" s="5" t="str">
        <f aca="false">IF(C1912=0,"",IF($A1912="Bank",IF(INDEX(Bank!$D:$D,$C1912)="","",INDEX(Bank!$D:$D,$C1912)),IF(INDEX(GL!$D:$D,$C1912)="","",INDEX(GL!$D:$D,$C1912))))</f>
        <v/>
      </c>
      <c r="G1912" s="19" t="str">
        <f aca="false">IF(C1912=0,"",IF($A1912="Bank",INDEX(Bank!$E:$E,$C1912),INDEX(GL!$E:$E,$C1912)))</f>
        <v/>
      </c>
      <c r="H1912" s="5" t="str">
        <f aca="false">IF(C1912=0,"",IF(A1912="GL",IF(G1912&gt;0,"Deposit in transit","Outstanding check / payment"),IF(G1912&gt;0,"Bank credit not in GL","Bank debit not in GL")))</f>
        <v/>
      </c>
      <c r="I1912" s="42" t="str">
        <f aca="false">IF(OR(C1912=0,CFG_PeriodEnd=""),"",CFG_PeriodEnd-D1912)</f>
        <v/>
      </c>
      <c r="J1912" s="5" t="str">
        <f aca="false">IF(C1912=0,"",IF($A1912="Bank",IF(INDEX(Bank!$G:$G,$C1912)="","",INDEX(Bank!$G:$G,$C1912)),IF(INDEX(GL!$G:$G,$C1912)="","",INDEX(GL!$G:$G,$C1912))))</f>
        <v/>
      </c>
      <c r="K1912" s="5" t="str">
        <f aca="false">IF(C1912=0,"",IF($A1912="Bank",IF(INDEX(Bank!$I:$I,$C1912)="","",INDEX(Bank!$I:$I,$C1912)),IF(INDEX(GL!$I:$I,$C1912)="","",INDEX(GL!$I:$I,$C1912))))</f>
        <v/>
      </c>
      <c r="L1912" s="5" t="str">
        <f aca="false">IF(B1912="","",IF(C1912=0,"NOT FOUND",IF(IF($A1912="Bank",INDEX(Bank!$F:$F,$C1912),INDEX(GL!$F:$F,$C1912))="Y","NOW RECONCILED: refresh","OK")))</f>
        <v/>
      </c>
    </row>
    <row r="1913" customFormat="false" ht="15" hidden="false" customHeight="false" outlineLevel="0" collapsed="false">
      <c r="A1913" s="41"/>
      <c r="B1913" s="41"/>
      <c r="C1913" s="5" t="n">
        <f aca="false">IF(B1913="",0,IF(A1913="Bank",IFERROR(MATCH(B1913,Bank!$A:$A,0),0),IFERROR(MATCH(B1913,GL!$A:$A,0),0)))</f>
        <v>0</v>
      </c>
      <c r="D1913" s="32" t="str">
        <f aca="false">IF(C1913=0,"",IF($A1913="Bank",INDEX(Bank!$B:$B,$C1913),INDEX(GL!$B:$B,$C1913)))</f>
        <v/>
      </c>
      <c r="E1913" s="5" t="str">
        <f aca="false">IF(C1913=0,"",IF($A1913="Bank",IF(INDEX(Bank!$C:$C,$C1913)="","",INDEX(Bank!$C:$C,$C1913)),IF(INDEX(GL!$C:$C,$C1913)="","",INDEX(GL!$C:$C,$C1913))))</f>
        <v/>
      </c>
      <c r="F1913" s="5" t="str">
        <f aca="false">IF(C1913=0,"",IF($A1913="Bank",IF(INDEX(Bank!$D:$D,$C1913)="","",INDEX(Bank!$D:$D,$C1913)),IF(INDEX(GL!$D:$D,$C1913)="","",INDEX(GL!$D:$D,$C1913))))</f>
        <v/>
      </c>
      <c r="G1913" s="19" t="str">
        <f aca="false">IF(C1913=0,"",IF($A1913="Bank",INDEX(Bank!$E:$E,$C1913),INDEX(GL!$E:$E,$C1913)))</f>
        <v/>
      </c>
      <c r="H1913" s="5" t="str">
        <f aca="false">IF(C1913=0,"",IF(A1913="GL",IF(G1913&gt;0,"Deposit in transit","Outstanding check / payment"),IF(G1913&gt;0,"Bank credit not in GL","Bank debit not in GL")))</f>
        <v/>
      </c>
      <c r="I1913" s="42" t="str">
        <f aca="false">IF(OR(C1913=0,CFG_PeriodEnd=""),"",CFG_PeriodEnd-D1913)</f>
        <v/>
      </c>
      <c r="J1913" s="5" t="str">
        <f aca="false">IF(C1913=0,"",IF($A1913="Bank",IF(INDEX(Bank!$G:$G,$C1913)="","",INDEX(Bank!$G:$G,$C1913)),IF(INDEX(GL!$G:$G,$C1913)="","",INDEX(GL!$G:$G,$C1913))))</f>
        <v/>
      </c>
      <c r="K1913" s="5" t="str">
        <f aca="false">IF(C1913=0,"",IF($A1913="Bank",IF(INDEX(Bank!$I:$I,$C1913)="","",INDEX(Bank!$I:$I,$C1913)),IF(INDEX(GL!$I:$I,$C1913)="","",INDEX(GL!$I:$I,$C1913))))</f>
        <v/>
      </c>
      <c r="L1913" s="5" t="str">
        <f aca="false">IF(B1913="","",IF(C1913=0,"NOT FOUND",IF(IF($A1913="Bank",INDEX(Bank!$F:$F,$C1913),INDEX(GL!$F:$F,$C1913))="Y","NOW RECONCILED: refresh","OK")))</f>
        <v/>
      </c>
    </row>
    <row r="1914" customFormat="false" ht="15" hidden="false" customHeight="false" outlineLevel="0" collapsed="false">
      <c r="A1914" s="41"/>
      <c r="B1914" s="41"/>
      <c r="C1914" s="5" t="n">
        <f aca="false">IF(B1914="",0,IF(A1914="Bank",IFERROR(MATCH(B1914,Bank!$A:$A,0),0),IFERROR(MATCH(B1914,GL!$A:$A,0),0)))</f>
        <v>0</v>
      </c>
      <c r="D1914" s="32" t="str">
        <f aca="false">IF(C1914=0,"",IF($A1914="Bank",INDEX(Bank!$B:$B,$C1914),INDEX(GL!$B:$B,$C1914)))</f>
        <v/>
      </c>
      <c r="E1914" s="5" t="str">
        <f aca="false">IF(C1914=0,"",IF($A1914="Bank",IF(INDEX(Bank!$C:$C,$C1914)="","",INDEX(Bank!$C:$C,$C1914)),IF(INDEX(GL!$C:$C,$C1914)="","",INDEX(GL!$C:$C,$C1914))))</f>
        <v/>
      </c>
      <c r="F1914" s="5" t="str">
        <f aca="false">IF(C1914=0,"",IF($A1914="Bank",IF(INDEX(Bank!$D:$D,$C1914)="","",INDEX(Bank!$D:$D,$C1914)),IF(INDEX(GL!$D:$D,$C1914)="","",INDEX(GL!$D:$D,$C1914))))</f>
        <v/>
      </c>
      <c r="G1914" s="19" t="str">
        <f aca="false">IF(C1914=0,"",IF($A1914="Bank",INDEX(Bank!$E:$E,$C1914),INDEX(GL!$E:$E,$C1914)))</f>
        <v/>
      </c>
      <c r="H1914" s="5" t="str">
        <f aca="false">IF(C1914=0,"",IF(A1914="GL",IF(G1914&gt;0,"Deposit in transit","Outstanding check / payment"),IF(G1914&gt;0,"Bank credit not in GL","Bank debit not in GL")))</f>
        <v/>
      </c>
      <c r="I1914" s="42" t="str">
        <f aca="false">IF(OR(C1914=0,CFG_PeriodEnd=""),"",CFG_PeriodEnd-D1914)</f>
        <v/>
      </c>
      <c r="J1914" s="5" t="str">
        <f aca="false">IF(C1914=0,"",IF($A1914="Bank",IF(INDEX(Bank!$G:$G,$C1914)="","",INDEX(Bank!$G:$G,$C1914)),IF(INDEX(GL!$G:$G,$C1914)="","",INDEX(GL!$G:$G,$C1914))))</f>
        <v/>
      </c>
      <c r="K1914" s="5" t="str">
        <f aca="false">IF(C1914=0,"",IF($A1914="Bank",IF(INDEX(Bank!$I:$I,$C1914)="","",INDEX(Bank!$I:$I,$C1914)),IF(INDEX(GL!$I:$I,$C1914)="","",INDEX(GL!$I:$I,$C1914))))</f>
        <v/>
      </c>
      <c r="L1914" s="5" t="str">
        <f aca="false">IF(B1914="","",IF(C1914=0,"NOT FOUND",IF(IF($A1914="Bank",INDEX(Bank!$F:$F,$C1914),INDEX(GL!$F:$F,$C1914))="Y","NOW RECONCILED: refresh","OK")))</f>
        <v/>
      </c>
    </row>
    <row r="1915" customFormat="false" ht="15" hidden="false" customHeight="false" outlineLevel="0" collapsed="false">
      <c r="A1915" s="41"/>
      <c r="B1915" s="41"/>
      <c r="C1915" s="5" t="n">
        <f aca="false">IF(B1915="",0,IF(A1915="Bank",IFERROR(MATCH(B1915,Bank!$A:$A,0),0),IFERROR(MATCH(B1915,GL!$A:$A,0),0)))</f>
        <v>0</v>
      </c>
      <c r="D1915" s="32" t="str">
        <f aca="false">IF(C1915=0,"",IF($A1915="Bank",INDEX(Bank!$B:$B,$C1915),INDEX(GL!$B:$B,$C1915)))</f>
        <v/>
      </c>
      <c r="E1915" s="5" t="str">
        <f aca="false">IF(C1915=0,"",IF($A1915="Bank",IF(INDEX(Bank!$C:$C,$C1915)="","",INDEX(Bank!$C:$C,$C1915)),IF(INDEX(GL!$C:$C,$C1915)="","",INDEX(GL!$C:$C,$C1915))))</f>
        <v/>
      </c>
      <c r="F1915" s="5" t="str">
        <f aca="false">IF(C1915=0,"",IF($A1915="Bank",IF(INDEX(Bank!$D:$D,$C1915)="","",INDEX(Bank!$D:$D,$C1915)),IF(INDEX(GL!$D:$D,$C1915)="","",INDEX(GL!$D:$D,$C1915))))</f>
        <v/>
      </c>
      <c r="G1915" s="19" t="str">
        <f aca="false">IF(C1915=0,"",IF($A1915="Bank",INDEX(Bank!$E:$E,$C1915),INDEX(GL!$E:$E,$C1915)))</f>
        <v/>
      </c>
      <c r="H1915" s="5" t="str">
        <f aca="false">IF(C1915=0,"",IF(A1915="GL",IF(G1915&gt;0,"Deposit in transit","Outstanding check / payment"),IF(G1915&gt;0,"Bank credit not in GL","Bank debit not in GL")))</f>
        <v/>
      </c>
      <c r="I1915" s="42" t="str">
        <f aca="false">IF(OR(C1915=0,CFG_PeriodEnd=""),"",CFG_PeriodEnd-D1915)</f>
        <v/>
      </c>
      <c r="J1915" s="5" t="str">
        <f aca="false">IF(C1915=0,"",IF($A1915="Bank",IF(INDEX(Bank!$G:$G,$C1915)="","",INDEX(Bank!$G:$G,$C1915)),IF(INDEX(GL!$G:$G,$C1915)="","",INDEX(GL!$G:$G,$C1915))))</f>
        <v/>
      </c>
      <c r="K1915" s="5" t="str">
        <f aca="false">IF(C1915=0,"",IF($A1915="Bank",IF(INDEX(Bank!$I:$I,$C1915)="","",INDEX(Bank!$I:$I,$C1915)),IF(INDEX(GL!$I:$I,$C1915)="","",INDEX(GL!$I:$I,$C1915))))</f>
        <v/>
      </c>
      <c r="L1915" s="5" t="str">
        <f aca="false">IF(B1915="","",IF(C1915=0,"NOT FOUND",IF(IF($A1915="Bank",INDEX(Bank!$F:$F,$C1915),INDEX(GL!$F:$F,$C1915))="Y","NOW RECONCILED: refresh","OK")))</f>
        <v/>
      </c>
    </row>
    <row r="1916" customFormat="false" ht="15" hidden="false" customHeight="false" outlineLevel="0" collapsed="false">
      <c r="A1916" s="41"/>
      <c r="B1916" s="41"/>
      <c r="C1916" s="5" t="n">
        <f aca="false">IF(B1916="",0,IF(A1916="Bank",IFERROR(MATCH(B1916,Bank!$A:$A,0),0),IFERROR(MATCH(B1916,GL!$A:$A,0),0)))</f>
        <v>0</v>
      </c>
      <c r="D1916" s="32" t="str">
        <f aca="false">IF(C1916=0,"",IF($A1916="Bank",INDEX(Bank!$B:$B,$C1916),INDEX(GL!$B:$B,$C1916)))</f>
        <v/>
      </c>
      <c r="E1916" s="5" t="str">
        <f aca="false">IF(C1916=0,"",IF($A1916="Bank",IF(INDEX(Bank!$C:$C,$C1916)="","",INDEX(Bank!$C:$C,$C1916)),IF(INDEX(GL!$C:$C,$C1916)="","",INDEX(GL!$C:$C,$C1916))))</f>
        <v/>
      </c>
      <c r="F1916" s="5" t="str">
        <f aca="false">IF(C1916=0,"",IF($A1916="Bank",IF(INDEX(Bank!$D:$D,$C1916)="","",INDEX(Bank!$D:$D,$C1916)),IF(INDEX(GL!$D:$D,$C1916)="","",INDEX(GL!$D:$D,$C1916))))</f>
        <v/>
      </c>
      <c r="G1916" s="19" t="str">
        <f aca="false">IF(C1916=0,"",IF($A1916="Bank",INDEX(Bank!$E:$E,$C1916),INDEX(GL!$E:$E,$C1916)))</f>
        <v/>
      </c>
      <c r="H1916" s="5" t="str">
        <f aca="false">IF(C1916=0,"",IF(A1916="GL",IF(G1916&gt;0,"Deposit in transit","Outstanding check / payment"),IF(G1916&gt;0,"Bank credit not in GL","Bank debit not in GL")))</f>
        <v/>
      </c>
      <c r="I1916" s="42" t="str">
        <f aca="false">IF(OR(C1916=0,CFG_PeriodEnd=""),"",CFG_PeriodEnd-D1916)</f>
        <v/>
      </c>
      <c r="J1916" s="5" t="str">
        <f aca="false">IF(C1916=0,"",IF($A1916="Bank",IF(INDEX(Bank!$G:$G,$C1916)="","",INDEX(Bank!$G:$G,$C1916)),IF(INDEX(GL!$G:$G,$C1916)="","",INDEX(GL!$G:$G,$C1916))))</f>
        <v/>
      </c>
      <c r="K1916" s="5" t="str">
        <f aca="false">IF(C1916=0,"",IF($A1916="Bank",IF(INDEX(Bank!$I:$I,$C1916)="","",INDEX(Bank!$I:$I,$C1916)),IF(INDEX(GL!$I:$I,$C1916)="","",INDEX(GL!$I:$I,$C1916))))</f>
        <v/>
      </c>
      <c r="L1916" s="5" t="str">
        <f aca="false">IF(B1916="","",IF(C1916=0,"NOT FOUND",IF(IF($A1916="Bank",INDEX(Bank!$F:$F,$C1916),INDEX(GL!$F:$F,$C1916))="Y","NOW RECONCILED: refresh","OK")))</f>
        <v/>
      </c>
    </row>
    <row r="1917" customFormat="false" ht="15" hidden="false" customHeight="false" outlineLevel="0" collapsed="false">
      <c r="A1917" s="41"/>
      <c r="B1917" s="41"/>
      <c r="C1917" s="5" t="n">
        <f aca="false">IF(B1917="",0,IF(A1917="Bank",IFERROR(MATCH(B1917,Bank!$A:$A,0),0),IFERROR(MATCH(B1917,GL!$A:$A,0),0)))</f>
        <v>0</v>
      </c>
      <c r="D1917" s="32" t="str">
        <f aca="false">IF(C1917=0,"",IF($A1917="Bank",INDEX(Bank!$B:$B,$C1917),INDEX(GL!$B:$B,$C1917)))</f>
        <v/>
      </c>
      <c r="E1917" s="5" t="str">
        <f aca="false">IF(C1917=0,"",IF($A1917="Bank",IF(INDEX(Bank!$C:$C,$C1917)="","",INDEX(Bank!$C:$C,$C1917)),IF(INDEX(GL!$C:$C,$C1917)="","",INDEX(GL!$C:$C,$C1917))))</f>
        <v/>
      </c>
      <c r="F1917" s="5" t="str">
        <f aca="false">IF(C1917=0,"",IF($A1917="Bank",IF(INDEX(Bank!$D:$D,$C1917)="","",INDEX(Bank!$D:$D,$C1917)),IF(INDEX(GL!$D:$D,$C1917)="","",INDEX(GL!$D:$D,$C1917))))</f>
        <v/>
      </c>
      <c r="G1917" s="19" t="str">
        <f aca="false">IF(C1917=0,"",IF($A1917="Bank",INDEX(Bank!$E:$E,$C1917),INDEX(GL!$E:$E,$C1917)))</f>
        <v/>
      </c>
      <c r="H1917" s="5" t="str">
        <f aca="false">IF(C1917=0,"",IF(A1917="GL",IF(G1917&gt;0,"Deposit in transit","Outstanding check / payment"),IF(G1917&gt;0,"Bank credit not in GL","Bank debit not in GL")))</f>
        <v/>
      </c>
      <c r="I1917" s="42" t="str">
        <f aca="false">IF(OR(C1917=0,CFG_PeriodEnd=""),"",CFG_PeriodEnd-D1917)</f>
        <v/>
      </c>
      <c r="J1917" s="5" t="str">
        <f aca="false">IF(C1917=0,"",IF($A1917="Bank",IF(INDEX(Bank!$G:$G,$C1917)="","",INDEX(Bank!$G:$G,$C1917)),IF(INDEX(GL!$G:$G,$C1917)="","",INDEX(GL!$G:$G,$C1917))))</f>
        <v/>
      </c>
      <c r="K1917" s="5" t="str">
        <f aca="false">IF(C1917=0,"",IF($A1917="Bank",IF(INDEX(Bank!$I:$I,$C1917)="","",INDEX(Bank!$I:$I,$C1917)),IF(INDEX(GL!$I:$I,$C1917)="","",INDEX(GL!$I:$I,$C1917))))</f>
        <v/>
      </c>
      <c r="L1917" s="5" t="str">
        <f aca="false">IF(B1917="","",IF(C1917=0,"NOT FOUND",IF(IF($A1917="Bank",INDEX(Bank!$F:$F,$C1917),INDEX(GL!$F:$F,$C1917))="Y","NOW RECONCILED: refresh","OK")))</f>
        <v/>
      </c>
    </row>
    <row r="1918" customFormat="false" ht="15" hidden="false" customHeight="false" outlineLevel="0" collapsed="false">
      <c r="A1918" s="41"/>
      <c r="B1918" s="41"/>
      <c r="C1918" s="5" t="n">
        <f aca="false">IF(B1918="",0,IF(A1918="Bank",IFERROR(MATCH(B1918,Bank!$A:$A,0),0),IFERROR(MATCH(B1918,GL!$A:$A,0),0)))</f>
        <v>0</v>
      </c>
      <c r="D1918" s="32" t="str">
        <f aca="false">IF(C1918=0,"",IF($A1918="Bank",INDEX(Bank!$B:$B,$C1918),INDEX(GL!$B:$B,$C1918)))</f>
        <v/>
      </c>
      <c r="E1918" s="5" t="str">
        <f aca="false">IF(C1918=0,"",IF($A1918="Bank",IF(INDEX(Bank!$C:$C,$C1918)="","",INDEX(Bank!$C:$C,$C1918)),IF(INDEX(GL!$C:$C,$C1918)="","",INDEX(GL!$C:$C,$C1918))))</f>
        <v/>
      </c>
      <c r="F1918" s="5" t="str">
        <f aca="false">IF(C1918=0,"",IF($A1918="Bank",IF(INDEX(Bank!$D:$D,$C1918)="","",INDEX(Bank!$D:$D,$C1918)),IF(INDEX(GL!$D:$D,$C1918)="","",INDEX(GL!$D:$D,$C1918))))</f>
        <v/>
      </c>
      <c r="G1918" s="19" t="str">
        <f aca="false">IF(C1918=0,"",IF($A1918="Bank",INDEX(Bank!$E:$E,$C1918),INDEX(GL!$E:$E,$C1918)))</f>
        <v/>
      </c>
      <c r="H1918" s="5" t="str">
        <f aca="false">IF(C1918=0,"",IF(A1918="GL",IF(G1918&gt;0,"Deposit in transit","Outstanding check / payment"),IF(G1918&gt;0,"Bank credit not in GL","Bank debit not in GL")))</f>
        <v/>
      </c>
      <c r="I1918" s="42" t="str">
        <f aca="false">IF(OR(C1918=0,CFG_PeriodEnd=""),"",CFG_PeriodEnd-D1918)</f>
        <v/>
      </c>
      <c r="J1918" s="5" t="str">
        <f aca="false">IF(C1918=0,"",IF($A1918="Bank",IF(INDEX(Bank!$G:$G,$C1918)="","",INDEX(Bank!$G:$G,$C1918)),IF(INDEX(GL!$G:$G,$C1918)="","",INDEX(GL!$G:$G,$C1918))))</f>
        <v/>
      </c>
      <c r="K1918" s="5" t="str">
        <f aca="false">IF(C1918=0,"",IF($A1918="Bank",IF(INDEX(Bank!$I:$I,$C1918)="","",INDEX(Bank!$I:$I,$C1918)),IF(INDEX(GL!$I:$I,$C1918)="","",INDEX(GL!$I:$I,$C1918))))</f>
        <v/>
      </c>
      <c r="L1918" s="5" t="str">
        <f aca="false">IF(B1918="","",IF(C1918=0,"NOT FOUND",IF(IF($A1918="Bank",INDEX(Bank!$F:$F,$C1918),INDEX(GL!$F:$F,$C1918))="Y","NOW RECONCILED: refresh","OK")))</f>
        <v/>
      </c>
    </row>
    <row r="1919" customFormat="false" ht="15" hidden="false" customHeight="false" outlineLevel="0" collapsed="false">
      <c r="A1919" s="41"/>
      <c r="B1919" s="41"/>
      <c r="C1919" s="5" t="n">
        <f aca="false">IF(B1919="",0,IF(A1919="Bank",IFERROR(MATCH(B1919,Bank!$A:$A,0),0),IFERROR(MATCH(B1919,GL!$A:$A,0),0)))</f>
        <v>0</v>
      </c>
      <c r="D1919" s="32" t="str">
        <f aca="false">IF(C1919=0,"",IF($A1919="Bank",INDEX(Bank!$B:$B,$C1919),INDEX(GL!$B:$B,$C1919)))</f>
        <v/>
      </c>
      <c r="E1919" s="5" t="str">
        <f aca="false">IF(C1919=0,"",IF($A1919="Bank",IF(INDEX(Bank!$C:$C,$C1919)="","",INDEX(Bank!$C:$C,$C1919)),IF(INDEX(GL!$C:$C,$C1919)="","",INDEX(GL!$C:$C,$C1919))))</f>
        <v/>
      </c>
      <c r="F1919" s="5" t="str">
        <f aca="false">IF(C1919=0,"",IF($A1919="Bank",IF(INDEX(Bank!$D:$D,$C1919)="","",INDEX(Bank!$D:$D,$C1919)),IF(INDEX(GL!$D:$D,$C1919)="","",INDEX(GL!$D:$D,$C1919))))</f>
        <v/>
      </c>
      <c r="G1919" s="19" t="str">
        <f aca="false">IF(C1919=0,"",IF($A1919="Bank",INDEX(Bank!$E:$E,$C1919),INDEX(GL!$E:$E,$C1919)))</f>
        <v/>
      </c>
      <c r="H1919" s="5" t="str">
        <f aca="false">IF(C1919=0,"",IF(A1919="GL",IF(G1919&gt;0,"Deposit in transit","Outstanding check / payment"),IF(G1919&gt;0,"Bank credit not in GL","Bank debit not in GL")))</f>
        <v/>
      </c>
      <c r="I1919" s="42" t="str">
        <f aca="false">IF(OR(C1919=0,CFG_PeriodEnd=""),"",CFG_PeriodEnd-D1919)</f>
        <v/>
      </c>
      <c r="J1919" s="5" t="str">
        <f aca="false">IF(C1919=0,"",IF($A1919="Bank",IF(INDEX(Bank!$G:$G,$C1919)="","",INDEX(Bank!$G:$G,$C1919)),IF(INDEX(GL!$G:$G,$C1919)="","",INDEX(GL!$G:$G,$C1919))))</f>
        <v/>
      </c>
      <c r="K1919" s="5" t="str">
        <f aca="false">IF(C1919=0,"",IF($A1919="Bank",IF(INDEX(Bank!$I:$I,$C1919)="","",INDEX(Bank!$I:$I,$C1919)),IF(INDEX(GL!$I:$I,$C1919)="","",INDEX(GL!$I:$I,$C1919))))</f>
        <v/>
      </c>
      <c r="L1919" s="5" t="str">
        <f aca="false">IF(B1919="","",IF(C1919=0,"NOT FOUND",IF(IF($A1919="Bank",INDEX(Bank!$F:$F,$C1919),INDEX(GL!$F:$F,$C1919))="Y","NOW RECONCILED: refresh","OK")))</f>
        <v/>
      </c>
    </row>
    <row r="1920" customFormat="false" ht="15" hidden="false" customHeight="false" outlineLevel="0" collapsed="false">
      <c r="A1920" s="41"/>
      <c r="B1920" s="41"/>
      <c r="C1920" s="5" t="n">
        <f aca="false">IF(B1920="",0,IF(A1920="Bank",IFERROR(MATCH(B1920,Bank!$A:$A,0),0),IFERROR(MATCH(B1920,GL!$A:$A,0),0)))</f>
        <v>0</v>
      </c>
      <c r="D1920" s="32" t="str">
        <f aca="false">IF(C1920=0,"",IF($A1920="Bank",INDEX(Bank!$B:$B,$C1920),INDEX(GL!$B:$B,$C1920)))</f>
        <v/>
      </c>
      <c r="E1920" s="5" t="str">
        <f aca="false">IF(C1920=0,"",IF($A1920="Bank",IF(INDEX(Bank!$C:$C,$C1920)="","",INDEX(Bank!$C:$C,$C1920)),IF(INDEX(GL!$C:$C,$C1920)="","",INDEX(GL!$C:$C,$C1920))))</f>
        <v/>
      </c>
      <c r="F1920" s="5" t="str">
        <f aca="false">IF(C1920=0,"",IF($A1920="Bank",IF(INDEX(Bank!$D:$D,$C1920)="","",INDEX(Bank!$D:$D,$C1920)),IF(INDEX(GL!$D:$D,$C1920)="","",INDEX(GL!$D:$D,$C1920))))</f>
        <v/>
      </c>
      <c r="G1920" s="19" t="str">
        <f aca="false">IF(C1920=0,"",IF($A1920="Bank",INDEX(Bank!$E:$E,$C1920),INDEX(GL!$E:$E,$C1920)))</f>
        <v/>
      </c>
      <c r="H1920" s="5" t="str">
        <f aca="false">IF(C1920=0,"",IF(A1920="GL",IF(G1920&gt;0,"Deposit in transit","Outstanding check / payment"),IF(G1920&gt;0,"Bank credit not in GL","Bank debit not in GL")))</f>
        <v/>
      </c>
      <c r="I1920" s="42" t="str">
        <f aca="false">IF(OR(C1920=0,CFG_PeriodEnd=""),"",CFG_PeriodEnd-D1920)</f>
        <v/>
      </c>
      <c r="J1920" s="5" t="str">
        <f aca="false">IF(C1920=0,"",IF($A1920="Bank",IF(INDEX(Bank!$G:$G,$C1920)="","",INDEX(Bank!$G:$G,$C1920)),IF(INDEX(GL!$G:$G,$C1920)="","",INDEX(GL!$G:$G,$C1920))))</f>
        <v/>
      </c>
      <c r="K1920" s="5" t="str">
        <f aca="false">IF(C1920=0,"",IF($A1920="Bank",IF(INDEX(Bank!$I:$I,$C1920)="","",INDEX(Bank!$I:$I,$C1920)),IF(INDEX(GL!$I:$I,$C1920)="","",INDEX(GL!$I:$I,$C1920))))</f>
        <v/>
      </c>
      <c r="L1920" s="5" t="str">
        <f aca="false">IF(B1920="","",IF(C1920=0,"NOT FOUND",IF(IF($A1920="Bank",INDEX(Bank!$F:$F,$C1920),INDEX(GL!$F:$F,$C1920))="Y","NOW RECONCILED: refresh","OK")))</f>
        <v/>
      </c>
    </row>
    <row r="1921" customFormat="false" ht="15" hidden="false" customHeight="false" outlineLevel="0" collapsed="false">
      <c r="A1921" s="41"/>
      <c r="B1921" s="41"/>
      <c r="C1921" s="5" t="n">
        <f aca="false">IF(B1921="",0,IF(A1921="Bank",IFERROR(MATCH(B1921,Bank!$A:$A,0),0),IFERROR(MATCH(B1921,GL!$A:$A,0),0)))</f>
        <v>0</v>
      </c>
      <c r="D1921" s="32" t="str">
        <f aca="false">IF(C1921=0,"",IF($A1921="Bank",INDEX(Bank!$B:$B,$C1921),INDEX(GL!$B:$B,$C1921)))</f>
        <v/>
      </c>
      <c r="E1921" s="5" t="str">
        <f aca="false">IF(C1921=0,"",IF($A1921="Bank",IF(INDEX(Bank!$C:$C,$C1921)="","",INDEX(Bank!$C:$C,$C1921)),IF(INDEX(GL!$C:$C,$C1921)="","",INDEX(GL!$C:$C,$C1921))))</f>
        <v/>
      </c>
      <c r="F1921" s="5" t="str">
        <f aca="false">IF(C1921=0,"",IF($A1921="Bank",IF(INDEX(Bank!$D:$D,$C1921)="","",INDEX(Bank!$D:$D,$C1921)),IF(INDEX(GL!$D:$D,$C1921)="","",INDEX(GL!$D:$D,$C1921))))</f>
        <v/>
      </c>
      <c r="G1921" s="19" t="str">
        <f aca="false">IF(C1921=0,"",IF($A1921="Bank",INDEX(Bank!$E:$E,$C1921),INDEX(GL!$E:$E,$C1921)))</f>
        <v/>
      </c>
      <c r="H1921" s="5" t="str">
        <f aca="false">IF(C1921=0,"",IF(A1921="GL",IF(G1921&gt;0,"Deposit in transit","Outstanding check / payment"),IF(G1921&gt;0,"Bank credit not in GL","Bank debit not in GL")))</f>
        <v/>
      </c>
      <c r="I1921" s="42" t="str">
        <f aca="false">IF(OR(C1921=0,CFG_PeriodEnd=""),"",CFG_PeriodEnd-D1921)</f>
        <v/>
      </c>
      <c r="J1921" s="5" t="str">
        <f aca="false">IF(C1921=0,"",IF($A1921="Bank",IF(INDEX(Bank!$G:$G,$C1921)="","",INDEX(Bank!$G:$G,$C1921)),IF(INDEX(GL!$G:$G,$C1921)="","",INDEX(GL!$G:$G,$C1921))))</f>
        <v/>
      </c>
      <c r="K1921" s="5" t="str">
        <f aca="false">IF(C1921=0,"",IF($A1921="Bank",IF(INDEX(Bank!$I:$I,$C1921)="","",INDEX(Bank!$I:$I,$C1921)),IF(INDEX(GL!$I:$I,$C1921)="","",INDEX(GL!$I:$I,$C1921))))</f>
        <v/>
      </c>
      <c r="L1921" s="5" t="str">
        <f aca="false">IF(B1921="","",IF(C1921=0,"NOT FOUND",IF(IF($A1921="Bank",INDEX(Bank!$F:$F,$C1921),INDEX(GL!$F:$F,$C1921))="Y","NOW RECONCILED: refresh","OK")))</f>
        <v/>
      </c>
    </row>
    <row r="1922" customFormat="false" ht="15" hidden="false" customHeight="false" outlineLevel="0" collapsed="false">
      <c r="A1922" s="41"/>
      <c r="B1922" s="41"/>
      <c r="C1922" s="5" t="n">
        <f aca="false">IF(B1922="",0,IF(A1922="Bank",IFERROR(MATCH(B1922,Bank!$A:$A,0),0),IFERROR(MATCH(B1922,GL!$A:$A,0),0)))</f>
        <v>0</v>
      </c>
      <c r="D1922" s="32" t="str">
        <f aca="false">IF(C1922=0,"",IF($A1922="Bank",INDEX(Bank!$B:$B,$C1922),INDEX(GL!$B:$B,$C1922)))</f>
        <v/>
      </c>
      <c r="E1922" s="5" t="str">
        <f aca="false">IF(C1922=0,"",IF($A1922="Bank",IF(INDEX(Bank!$C:$C,$C1922)="","",INDEX(Bank!$C:$C,$C1922)),IF(INDEX(GL!$C:$C,$C1922)="","",INDEX(GL!$C:$C,$C1922))))</f>
        <v/>
      </c>
      <c r="F1922" s="5" t="str">
        <f aca="false">IF(C1922=0,"",IF($A1922="Bank",IF(INDEX(Bank!$D:$D,$C1922)="","",INDEX(Bank!$D:$D,$C1922)),IF(INDEX(GL!$D:$D,$C1922)="","",INDEX(GL!$D:$D,$C1922))))</f>
        <v/>
      </c>
      <c r="G1922" s="19" t="str">
        <f aca="false">IF(C1922=0,"",IF($A1922="Bank",INDEX(Bank!$E:$E,$C1922),INDEX(GL!$E:$E,$C1922)))</f>
        <v/>
      </c>
      <c r="H1922" s="5" t="str">
        <f aca="false">IF(C1922=0,"",IF(A1922="GL",IF(G1922&gt;0,"Deposit in transit","Outstanding check / payment"),IF(G1922&gt;0,"Bank credit not in GL","Bank debit not in GL")))</f>
        <v/>
      </c>
      <c r="I1922" s="42" t="str">
        <f aca="false">IF(OR(C1922=0,CFG_PeriodEnd=""),"",CFG_PeriodEnd-D1922)</f>
        <v/>
      </c>
      <c r="J1922" s="5" t="str">
        <f aca="false">IF(C1922=0,"",IF($A1922="Bank",IF(INDEX(Bank!$G:$G,$C1922)="","",INDEX(Bank!$G:$G,$C1922)),IF(INDEX(GL!$G:$G,$C1922)="","",INDEX(GL!$G:$G,$C1922))))</f>
        <v/>
      </c>
      <c r="K1922" s="5" t="str">
        <f aca="false">IF(C1922=0,"",IF($A1922="Bank",IF(INDEX(Bank!$I:$I,$C1922)="","",INDEX(Bank!$I:$I,$C1922)),IF(INDEX(GL!$I:$I,$C1922)="","",INDEX(GL!$I:$I,$C1922))))</f>
        <v/>
      </c>
      <c r="L1922" s="5" t="str">
        <f aca="false">IF(B1922="","",IF(C1922=0,"NOT FOUND",IF(IF($A1922="Bank",INDEX(Bank!$F:$F,$C1922),INDEX(GL!$F:$F,$C1922))="Y","NOW RECONCILED: refresh","OK")))</f>
        <v/>
      </c>
    </row>
    <row r="1923" customFormat="false" ht="15" hidden="false" customHeight="false" outlineLevel="0" collapsed="false">
      <c r="A1923" s="41"/>
      <c r="B1923" s="41"/>
      <c r="C1923" s="5" t="n">
        <f aca="false">IF(B1923="",0,IF(A1923="Bank",IFERROR(MATCH(B1923,Bank!$A:$A,0),0),IFERROR(MATCH(B1923,GL!$A:$A,0),0)))</f>
        <v>0</v>
      </c>
      <c r="D1923" s="32" t="str">
        <f aca="false">IF(C1923=0,"",IF($A1923="Bank",INDEX(Bank!$B:$B,$C1923),INDEX(GL!$B:$B,$C1923)))</f>
        <v/>
      </c>
      <c r="E1923" s="5" t="str">
        <f aca="false">IF(C1923=0,"",IF($A1923="Bank",IF(INDEX(Bank!$C:$C,$C1923)="","",INDEX(Bank!$C:$C,$C1923)),IF(INDEX(GL!$C:$C,$C1923)="","",INDEX(GL!$C:$C,$C1923))))</f>
        <v/>
      </c>
      <c r="F1923" s="5" t="str">
        <f aca="false">IF(C1923=0,"",IF($A1923="Bank",IF(INDEX(Bank!$D:$D,$C1923)="","",INDEX(Bank!$D:$D,$C1923)),IF(INDEX(GL!$D:$D,$C1923)="","",INDEX(GL!$D:$D,$C1923))))</f>
        <v/>
      </c>
      <c r="G1923" s="19" t="str">
        <f aca="false">IF(C1923=0,"",IF($A1923="Bank",INDEX(Bank!$E:$E,$C1923),INDEX(GL!$E:$E,$C1923)))</f>
        <v/>
      </c>
      <c r="H1923" s="5" t="str">
        <f aca="false">IF(C1923=0,"",IF(A1923="GL",IF(G1923&gt;0,"Deposit in transit","Outstanding check / payment"),IF(G1923&gt;0,"Bank credit not in GL","Bank debit not in GL")))</f>
        <v/>
      </c>
      <c r="I1923" s="42" t="str">
        <f aca="false">IF(OR(C1923=0,CFG_PeriodEnd=""),"",CFG_PeriodEnd-D1923)</f>
        <v/>
      </c>
      <c r="J1923" s="5" t="str">
        <f aca="false">IF(C1923=0,"",IF($A1923="Bank",IF(INDEX(Bank!$G:$G,$C1923)="","",INDEX(Bank!$G:$G,$C1923)),IF(INDEX(GL!$G:$G,$C1923)="","",INDEX(GL!$G:$G,$C1923))))</f>
        <v/>
      </c>
      <c r="K1923" s="5" t="str">
        <f aca="false">IF(C1923=0,"",IF($A1923="Bank",IF(INDEX(Bank!$I:$I,$C1923)="","",INDEX(Bank!$I:$I,$C1923)),IF(INDEX(GL!$I:$I,$C1923)="","",INDEX(GL!$I:$I,$C1923))))</f>
        <v/>
      </c>
      <c r="L1923" s="5" t="str">
        <f aca="false">IF(B1923="","",IF(C1923=0,"NOT FOUND",IF(IF($A1923="Bank",INDEX(Bank!$F:$F,$C1923),INDEX(GL!$F:$F,$C1923))="Y","NOW RECONCILED: refresh","OK")))</f>
        <v/>
      </c>
    </row>
    <row r="1924" customFormat="false" ht="15" hidden="false" customHeight="false" outlineLevel="0" collapsed="false">
      <c r="A1924" s="41"/>
      <c r="B1924" s="41"/>
      <c r="C1924" s="5" t="n">
        <f aca="false">IF(B1924="",0,IF(A1924="Bank",IFERROR(MATCH(B1924,Bank!$A:$A,0),0),IFERROR(MATCH(B1924,GL!$A:$A,0),0)))</f>
        <v>0</v>
      </c>
      <c r="D1924" s="32" t="str">
        <f aca="false">IF(C1924=0,"",IF($A1924="Bank",INDEX(Bank!$B:$B,$C1924),INDEX(GL!$B:$B,$C1924)))</f>
        <v/>
      </c>
      <c r="E1924" s="5" t="str">
        <f aca="false">IF(C1924=0,"",IF($A1924="Bank",IF(INDEX(Bank!$C:$C,$C1924)="","",INDEX(Bank!$C:$C,$C1924)),IF(INDEX(GL!$C:$C,$C1924)="","",INDEX(GL!$C:$C,$C1924))))</f>
        <v/>
      </c>
      <c r="F1924" s="5" t="str">
        <f aca="false">IF(C1924=0,"",IF($A1924="Bank",IF(INDEX(Bank!$D:$D,$C1924)="","",INDEX(Bank!$D:$D,$C1924)),IF(INDEX(GL!$D:$D,$C1924)="","",INDEX(GL!$D:$D,$C1924))))</f>
        <v/>
      </c>
      <c r="G1924" s="19" t="str">
        <f aca="false">IF(C1924=0,"",IF($A1924="Bank",INDEX(Bank!$E:$E,$C1924),INDEX(GL!$E:$E,$C1924)))</f>
        <v/>
      </c>
      <c r="H1924" s="5" t="str">
        <f aca="false">IF(C1924=0,"",IF(A1924="GL",IF(G1924&gt;0,"Deposit in transit","Outstanding check / payment"),IF(G1924&gt;0,"Bank credit not in GL","Bank debit not in GL")))</f>
        <v/>
      </c>
      <c r="I1924" s="42" t="str">
        <f aca="false">IF(OR(C1924=0,CFG_PeriodEnd=""),"",CFG_PeriodEnd-D1924)</f>
        <v/>
      </c>
      <c r="J1924" s="5" t="str">
        <f aca="false">IF(C1924=0,"",IF($A1924="Bank",IF(INDEX(Bank!$G:$G,$C1924)="","",INDEX(Bank!$G:$G,$C1924)),IF(INDEX(GL!$G:$G,$C1924)="","",INDEX(GL!$G:$G,$C1924))))</f>
        <v/>
      </c>
      <c r="K1924" s="5" t="str">
        <f aca="false">IF(C1924=0,"",IF($A1924="Bank",IF(INDEX(Bank!$I:$I,$C1924)="","",INDEX(Bank!$I:$I,$C1924)),IF(INDEX(GL!$I:$I,$C1924)="","",INDEX(GL!$I:$I,$C1924))))</f>
        <v/>
      </c>
      <c r="L1924" s="5" t="str">
        <f aca="false">IF(B1924="","",IF(C1924=0,"NOT FOUND",IF(IF($A1924="Bank",INDEX(Bank!$F:$F,$C1924),INDEX(GL!$F:$F,$C1924))="Y","NOW RECONCILED: refresh","OK")))</f>
        <v/>
      </c>
    </row>
    <row r="1925" customFormat="false" ht="15" hidden="false" customHeight="false" outlineLevel="0" collapsed="false">
      <c r="A1925" s="41"/>
      <c r="B1925" s="41"/>
      <c r="C1925" s="5" t="n">
        <f aca="false">IF(B1925="",0,IF(A1925="Bank",IFERROR(MATCH(B1925,Bank!$A:$A,0),0),IFERROR(MATCH(B1925,GL!$A:$A,0),0)))</f>
        <v>0</v>
      </c>
      <c r="D1925" s="32" t="str">
        <f aca="false">IF(C1925=0,"",IF($A1925="Bank",INDEX(Bank!$B:$B,$C1925),INDEX(GL!$B:$B,$C1925)))</f>
        <v/>
      </c>
      <c r="E1925" s="5" t="str">
        <f aca="false">IF(C1925=0,"",IF($A1925="Bank",IF(INDEX(Bank!$C:$C,$C1925)="","",INDEX(Bank!$C:$C,$C1925)),IF(INDEX(GL!$C:$C,$C1925)="","",INDEX(GL!$C:$C,$C1925))))</f>
        <v/>
      </c>
      <c r="F1925" s="5" t="str">
        <f aca="false">IF(C1925=0,"",IF($A1925="Bank",IF(INDEX(Bank!$D:$D,$C1925)="","",INDEX(Bank!$D:$D,$C1925)),IF(INDEX(GL!$D:$D,$C1925)="","",INDEX(GL!$D:$D,$C1925))))</f>
        <v/>
      </c>
      <c r="G1925" s="19" t="str">
        <f aca="false">IF(C1925=0,"",IF($A1925="Bank",INDEX(Bank!$E:$E,$C1925),INDEX(GL!$E:$E,$C1925)))</f>
        <v/>
      </c>
      <c r="H1925" s="5" t="str">
        <f aca="false">IF(C1925=0,"",IF(A1925="GL",IF(G1925&gt;0,"Deposit in transit","Outstanding check / payment"),IF(G1925&gt;0,"Bank credit not in GL","Bank debit not in GL")))</f>
        <v/>
      </c>
      <c r="I1925" s="42" t="str">
        <f aca="false">IF(OR(C1925=0,CFG_PeriodEnd=""),"",CFG_PeriodEnd-D1925)</f>
        <v/>
      </c>
      <c r="J1925" s="5" t="str">
        <f aca="false">IF(C1925=0,"",IF($A1925="Bank",IF(INDEX(Bank!$G:$G,$C1925)="","",INDEX(Bank!$G:$G,$C1925)),IF(INDEX(GL!$G:$G,$C1925)="","",INDEX(GL!$G:$G,$C1925))))</f>
        <v/>
      </c>
      <c r="K1925" s="5" t="str">
        <f aca="false">IF(C1925=0,"",IF($A1925="Bank",IF(INDEX(Bank!$I:$I,$C1925)="","",INDEX(Bank!$I:$I,$C1925)),IF(INDEX(GL!$I:$I,$C1925)="","",INDEX(GL!$I:$I,$C1925))))</f>
        <v/>
      </c>
      <c r="L1925" s="5" t="str">
        <f aca="false">IF(B1925="","",IF(C1925=0,"NOT FOUND",IF(IF($A1925="Bank",INDEX(Bank!$F:$F,$C1925),INDEX(GL!$F:$F,$C1925))="Y","NOW RECONCILED: refresh","OK")))</f>
        <v/>
      </c>
    </row>
    <row r="1926" customFormat="false" ht="15" hidden="false" customHeight="false" outlineLevel="0" collapsed="false">
      <c r="A1926" s="41"/>
      <c r="B1926" s="41"/>
      <c r="C1926" s="5" t="n">
        <f aca="false">IF(B1926="",0,IF(A1926="Bank",IFERROR(MATCH(B1926,Bank!$A:$A,0),0),IFERROR(MATCH(B1926,GL!$A:$A,0),0)))</f>
        <v>0</v>
      </c>
      <c r="D1926" s="32" t="str">
        <f aca="false">IF(C1926=0,"",IF($A1926="Bank",INDEX(Bank!$B:$B,$C1926),INDEX(GL!$B:$B,$C1926)))</f>
        <v/>
      </c>
      <c r="E1926" s="5" t="str">
        <f aca="false">IF(C1926=0,"",IF($A1926="Bank",IF(INDEX(Bank!$C:$C,$C1926)="","",INDEX(Bank!$C:$C,$C1926)),IF(INDEX(GL!$C:$C,$C1926)="","",INDEX(GL!$C:$C,$C1926))))</f>
        <v/>
      </c>
      <c r="F1926" s="5" t="str">
        <f aca="false">IF(C1926=0,"",IF($A1926="Bank",IF(INDEX(Bank!$D:$D,$C1926)="","",INDEX(Bank!$D:$D,$C1926)),IF(INDEX(GL!$D:$D,$C1926)="","",INDEX(GL!$D:$D,$C1926))))</f>
        <v/>
      </c>
      <c r="G1926" s="19" t="str">
        <f aca="false">IF(C1926=0,"",IF($A1926="Bank",INDEX(Bank!$E:$E,$C1926),INDEX(GL!$E:$E,$C1926)))</f>
        <v/>
      </c>
      <c r="H1926" s="5" t="str">
        <f aca="false">IF(C1926=0,"",IF(A1926="GL",IF(G1926&gt;0,"Deposit in transit","Outstanding check / payment"),IF(G1926&gt;0,"Bank credit not in GL","Bank debit not in GL")))</f>
        <v/>
      </c>
      <c r="I1926" s="42" t="str">
        <f aca="false">IF(OR(C1926=0,CFG_PeriodEnd=""),"",CFG_PeriodEnd-D1926)</f>
        <v/>
      </c>
      <c r="J1926" s="5" t="str">
        <f aca="false">IF(C1926=0,"",IF($A1926="Bank",IF(INDEX(Bank!$G:$G,$C1926)="","",INDEX(Bank!$G:$G,$C1926)),IF(INDEX(GL!$G:$G,$C1926)="","",INDEX(GL!$G:$G,$C1926))))</f>
        <v/>
      </c>
      <c r="K1926" s="5" t="str">
        <f aca="false">IF(C1926=0,"",IF($A1926="Bank",IF(INDEX(Bank!$I:$I,$C1926)="","",INDEX(Bank!$I:$I,$C1926)),IF(INDEX(GL!$I:$I,$C1926)="","",INDEX(GL!$I:$I,$C1926))))</f>
        <v/>
      </c>
      <c r="L1926" s="5" t="str">
        <f aca="false">IF(B1926="","",IF(C1926=0,"NOT FOUND",IF(IF($A1926="Bank",INDEX(Bank!$F:$F,$C1926),INDEX(GL!$F:$F,$C1926))="Y","NOW RECONCILED: refresh","OK")))</f>
        <v/>
      </c>
    </row>
    <row r="1927" customFormat="false" ht="15" hidden="false" customHeight="false" outlineLevel="0" collapsed="false">
      <c r="A1927" s="41"/>
      <c r="B1927" s="41"/>
      <c r="C1927" s="5" t="n">
        <f aca="false">IF(B1927="",0,IF(A1927="Bank",IFERROR(MATCH(B1927,Bank!$A:$A,0),0),IFERROR(MATCH(B1927,GL!$A:$A,0),0)))</f>
        <v>0</v>
      </c>
      <c r="D1927" s="32" t="str">
        <f aca="false">IF(C1927=0,"",IF($A1927="Bank",INDEX(Bank!$B:$B,$C1927),INDEX(GL!$B:$B,$C1927)))</f>
        <v/>
      </c>
      <c r="E1927" s="5" t="str">
        <f aca="false">IF(C1927=0,"",IF($A1927="Bank",IF(INDEX(Bank!$C:$C,$C1927)="","",INDEX(Bank!$C:$C,$C1927)),IF(INDEX(GL!$C:$C,$C1927)="","",INDEX(GL!$C:$C,$C1927))))</f>
        <v/>
      </c>
      <c r="F1927" s="5" t="str">
        <f aca="false">IF(C1927=0,"",IF($A1927="Bank",IF(INDEX(Bank!$D:$D,$C1927)="","",INDEX(Bank!$D:$D,$C1927)),IF(INDEX(GL!$D:$D,$C1927)="","",INDEX(GL!$D:$D,$C1927))))</f>
        <v/>
      </c>
      <c r="G1927" s="19" t="str">
        <f aca="false">IF(C1927=0,"",IF($A1927="Bank",INDEX(Bank!$E:$E,$C1927),INDEX(GL!$E:$E,$C1927)))</f>
        <v/>
      </c>
      <c r="H1927" s="5" t="str">
        <f aca="false">IF(C1927=0,"",IF(A1927="GL",IF(G1927&gt;0,"Deposit in transit","Outstanding check / payment"),IF(G1927&gt;0,"Bank credit not in GL","Bank debit not in GL")))</f>
        <v/>
      </c>
      <c r="I1927" s="42" t="str">
        <f aca="false">IF(OR(C1927=0,CFG_PeriodEnd=""),"",CFG_PeriodEnd-D1927)</f>
        <v/>
      </c>
      <c r="J1927" s="5" t="str">
        <f aca="false">IF(C1927=0,"",IF($A1927="Bank",IF(INDEX(Bank!$G:$G,$C1927)="","",INDEX(Bank!$G:$G,$C1927)),IF(INDEX(GL!$G:$G,$C1927)="","",INDEX(GL!$G:$G,$C1927))))</f>
        <v/>
      </c>
      <c r="K1927" s="5" t="str">
        <f aca="false">IF(C1927=0,"",IF($A1927="Bank",IF(INDEX(Bank!$I:$I,$C1927)="","",INDEX(Bank!$I:$I,$C1927)),IF(INDEX(GL!$I:$I,$C1927)="","",INDEX(GL!$I:$I,$C1927))))</f>
        <v/>
      </c>
      <c r="L1927" s="5" t="str">
        <f aca="false">IF(B1927="","",IF(C1927=0,"NOT FOUND",IF(IF($A1927="Bank",INDEX(Bank!$F:$F,$C1927),INDEX(GL!$F:$F,$C1927))="Y","NOW RECONCILED: refresh","OK")))</f>
        <v/>
      </c>
    </row>
    <row r="1928" customFormat="false" ht="15" hidden="false" customHeight="false" outlineLevel="0" collapsed="false">
      <c r="A1928" s="41"/>
      <c r="B1928" s="41"/>
      <c r="C1928" s="5" t="n">
        <f aca="false">IF(B1928="",0,IF(A1928="Bank",IFERROR(MATCH(B1928,Bank!$A:$A,0),0),IFERROR(MATCH(B1928,GL!$A:$A,0),0)))</f>
        <v>0</v>
      </c>
      <c r="D1928" s="32" t="str">
        <f aca="false">IF(C1928=0,"",IF($A1928="Bank",INDEX(Bank!$B:$B,$C1928),INDEX(GL!$B:$B,$C1928)))</f>
        <v/>
      </c>
      <c r="E1928" s="5" t="str">
        <f aca="false">IF(C1928=0,"",IF($A1928="Bank",IF(INDEX(Bank!$C:$C,$C1928)="","",INDEX(Bank!$C:$C,$C1928)),IF(INDEX(GL!$C:$C,$C1928)="","",INDEX(GL!$C:$C,$C1928))))</f>
        <v/>
      </c>
      <c r="F1928" s="5" t="str">
        <f aca="false">IF(C1928=0,"",IF($A1928="Bank",IF(INDEX(Bank!$D:$D,$C1928)="","",INDEX(Bank!$D:$D,$C1928)),IF(INDEX(GL!$D:$D,$C1928)="","",INDEX(GL!$D:$D,$C1928))))</f>
        <v/>
      </c>
      <c r="G1928" s="19" t="str">
        <f aca="false">IF(C1928=0,"",IF($A1928="Bank",INDEX(Bank!$E:$E,$C1928),INDEX(GL!$E:$E,$C1928)))</f>
        <v/>
      </c>
      <c r="H1928" s="5" t="str">
        <f aca="false">IF(C1928=0,"",IF(A1928="GL",IF(G1928&gt;0,"Deposit in transit","Outstanding check / payment"),IF(G1928&gt;0,"Bank credit not in GL","Bank debit not in GL")))</f>
        <v/>
      </c>
      <c r="I1928" s="42" t="str">
        <f aca="false">IF(OR(C1928=0,CFG_PeriodEnd=""),"",CFG_PeriodEnd-D1928)</f>
        <v/>
      </c>
      <c r="J1928" s="5" t="str">
        <f aca="false">IF(C1928=0,"",IF($A1928="Bank",IF(INDEX(Bank!$G:$G,$C1928)="","",INDEX(Bank!$G:$G,$C1928)),IF(INDEX(GL!$G:$G,$C1928)="","",INDEX(GL!$G:$G,$C1928))))</f>
        <v/>
      </c>
      <c r="K1928" s="5" t="str">
        <f aca="false">IF(C1928=0,"",IF($A1928="Bank",IF(INDEX(Bank!$I:$I,$C1928)="","",INDEX(Bank!$I:$I,$C1928)),IF(INDEX(GL!$I:$I,$C1928)="","",INDEX(GL!$I:$I,$C1928))))</f>
        <v/>
      </c>
      <c r="L1928" s="5" t="str">
        <f aca="false">IF(B1928="","",IF(C1928=0,"NOT FOUND",IF(IF($A1928="Bank",INDEX(Bank!$F:$F,$C1928),INDEX(GL!$F:$F,$C1928))="Y","NOW RECONCILED: refresh","OK")))</f>
        <v/>
      </c>
    </row>
    <row r="1929" customFormat="false" ht="15" hidden="false" customHeight="false" outlineLevel="0" collapsed="false">
      <c r="A1929" s="41"/>
      <c r="B1929" s="41"/>
      <c r="C1929" s="5" t="n">
        <f aca="false">IF(B1929="",0,IF(A1929="Bank",IFERROR(MATCH(B1929,Bank!$A:$A,0),0),IFERROR(MATCH(B1929,GL!$A:$A,0),0)))</f>
        <v>0</v>
      </c>
      <c r="D1929" s="32" t="str">
        <f aca="false">IF(C1929=0,"",IF($A1929="Bank",INDEX(Bank!$B:$B,$C1929),INDEX(GL!$B:$B,$C1929)))</f>
        <v/>
      </c>
      <c r="E1929" s="5" t="str">
        <f aca="false">IF(C1929=0,"",IF($A1929="Bank",IF(INDEX(Bank!$C:$C,$C1929)="","",INDEX(Bank!$C:$C,$C1929)),IF(INDEX(GL!$C:$C,$C1929)="","",INDEX(GL!$C:$C,$C1929))))</f>
        <v/>
      </c>
      <c r="F1929" s="5" t="str">
        <f aca="false">IF(C1929=0,"",IF($A1929="Bank",IF(INDEX(Bank!$D:$D,$C1929)="","",INDEX(Bank!$D:$D,$C1929)),IF(INDEX(GL!$D:$D,$C1929)="","",INDEX(GL!$D:$D,$C1929))))</f>
        <v/>
      </c>
      <c r="G1929" s="19" t="str">
        <f aca="false">IF(C1929=0,"",IF($A1929="Bank",INDEX(Bank!$E:$E,$C1929),INDEX(GL!$E:$E,$C1929)))</f>
        <v/>
      </c>
      <c r="H1929" s="5" t="str">
        <f aca="false">IF(C1929=0,"",IF(A1929="GL",IF(G1929&gt;0,"Deposit in transit","Outstanding check / payment"),IF(G1929&gt;0,"Bank credit not in GL","Bank debit not in GL")))</f>
        <v/>
      </c>
      <c r="I1929" s="42" t="str">
        <f aca="false">IF(OR(C1929=0,CFG_PeriodEnd=""),"",CFG_PeriodEnd-D1929)</f>
        <v/>
      </c>
      <c r="J1929" s="5" t="str">
        <f aca="false">IF(C1929=0,"",IF($A1929="Bank",IF(INDEX(Bank!$G:$G,$C1929)="","",INDEX(Bank!$G:$G,$C1929)),IF(INDEX(GL!$G:$G,$C1929)="","",INDEX(GL!$G:$G,$C1929))))</f>
        <v/>
      </c>
      <c r="K1929" s="5" t="str">
        <f aca="false">IF(C1929=0,"",IF($A1929="Bank",IF(INDEX(Bank!$I:$I,$C1929)="","",INDEX(Bank!$I:$I,$C1929)),IF(INDEX(GL!$I:$I,$C1929)="","",INDEX(GL!$I:$I,$C1929))))</f>
        <v/>
      </c>
      <c r="L1929" s="5" t="str">
        <f aca="false">IF(B1929="","",IF(C1929=0,"NOT FOUND",IF(IF($A1929="Bank",INDEX(Bank!$F:$F,$C1929),INDEX(GL!$F:$F,$C1929))="Y","NOW RECONCILED: refresh","OK")))</f>
        <v/>
      </c>
    </row>
    <row r="1930" customFormat="false" ht="15" hidden="false" customHeight="false" outlineLevel="0" collapsed="false">
      <c r="A1930" s="41"/>
      <c r="B1930" s="41"/>
      <c r="C1930" s="5" t="n">
        <f aca="false">IF(B1930="",0,IF(A1930="Bank",IFERROR(MATCH(B1930,Bank!$A:$A,0),0),IFERROR(MATCH(B1930,GL!$A:$A,0),0)))</f>
        <v>0</v>
      </c>
      <c r="D1930" s="32" t="str">
        <f aca="false">IF(C1930=0,"",IF($A1930="Bank",INDEX(Bank!$B:$B,$C1930),INDEX(GL!$B:$B,$C1930)))</f>
        <v/>
      </c>
      <c r="E1930" s="5" t="str">
        <f aca="false">IF(C1930=0,"",IF($A1930="Bank",IF(INDEX(Bank!$C:$C,$C1930)="","",INDEX(Bank!$C:$C,$C1930)),IF(INDEX(GL!$C:$C,$C1930)="","",INDEX(GL!$C:$C,$C1930))))</f>
        <v/>
      </c>
      <c r="F1930" s="5" t="str">
        <f aca="false">IF(C1930=0,"",IF($A1930="Bank",IF(INDEX(Bank!$D:$D,$C1930)="","",INDEX(Bank!$D:$D,$C1930)),IF(INDEX(GL!$D:$D,$C1930)="","",INDEX(GL!$D:$D,$C1930))))</f>
        <v/>
      </c>
      <c r="G1930" s="19" t="str">
        <f aca="false">IF(C1930=0,"",IF($A1930="Bank",INDEX(Bank!$E:$E,$C1930),INDEX(GL!$E:$E,$C1930)))</f>
        <v/>
      </c>
      <c r="H1930" s="5" t="str">
        <f aca="false">IF(C1930=0,"",IF(A1930="GL",IF(G1930&gt;0,"Deposit in transit","Outstanding check / payment"),IF(G1930&gt;0,"Bank credit not in GL","Bank debit not in GL")))</f>
        <v/>
      </c>
      <c r="I1930" s="42" t="str">
        <f aca="false">IF(OR(C1930=0,CFG_PeriodEnd=""),"",CFG_PeriodEnd-D1930)</f>
        <v/>
      </c>
      <c r="J1930" s="5" t="str">
        <f aca="false">IF(C1930=0,"",IF($A1930="Bank",IF(INDEX(Bank!$G:$G,$C1930)="","",INDEX(Bank!$G:$G,$C1930)),IF(INDEX(GL!$G:$G,$C1930)="","",INDEX(GL!$G:$G,$C1930))))</f>
        <v/>
      </c>
      <c r="K1930" s="5" t="str">
        <f aca="false">IF(C1930=0,"",IF($A1930="Bank",IF(INDEX(Bank!$I:$I,$C1930)="","",INDEX(Bank!$I:$I,$C1930)),IF(INDEX(GL!$I:$I,$C1930)="","",INDEX(GL!$I:$I,$C1930))))</f>
        <v/>
      </c>
      <c r="L1930" s="5" t="str">
        <f aca="false">IF(B1930="","",IF(C1930=0,"NOT FOUND",IF(IF($A1930="Bank",INDEX(Bank!$F:$F,$C1930),INDEX(GL!$F:$F,$C1930))="Y","NOW RECONCILED: refresh","OK")))</f>
        <v/>
      </c>
    </row>
    <row r="1931" customFormat="false" ht="15" hidden="false" customHeight="false" outlineLevel="0" collapsed="false">
      <c r="A1931" s="41"/>
      <c r="B1931" s="41"/>
      <c r="C1931" s="5" t="n">
        <f aca="false">IF(B1931="",0,IF(A1931="Bank",IFERROR(MATCH(B1931,Bank!$A:$A,0),0),IFERROR(MATCH(B1931,GL!$A:$A,0),0)))</f>
        <v>0</v>
      </c>
      <c r="D1931" s="32" t="str">
        <f aca="false">IF(C1931=0,"",IF($A1931="Bank",INDEX(Bank!$B:$B,$C1931),INDEX(GL!$B:$B,$C1931)))</f>
        <v/>
      </c>
      <c r="E1931" s="5" t="str">
        <f aca="false">IF(C1931=0,"",IF($A1931="Bank",IF(INDEX(Bank!$C:$C,$C1931)="","",INDEX(Bank!$C:$C,$C1931)),IF(INDEX(GL!$C:$C,$C1931)="","",INDEX(GL!$C:$C,$C1931))))</f>
        <v/>
      </c>
      <c r="F1931" s="5" t="str">
        <f aca="false">IF(C1931=0,"",IF($A1931="Bank",IF(INDEX(Bank!$D:$D,$C1931)="","",INDEX(Bank!$D:$D,$C1931)),IF(INDEX(GL!$D:$D,$C1931)="","",INDEX(GL!$D:$D,$C1931))))</f>
        <v/>
      </c>
      <c r="G1931" s="19" t="str">
        <f aca="false">IF(C1931=0,"",IF($A1931="Bank",INDEX(Bank!$E:$E,$C1931),INDEX(GL!$E:$E,$C1931)))</f>
        <v/>
      </c>
      <c r="H1931" s="5" t="str">
        <f aca="false">IF(C1931=0,"",IF(A1931="GL",IF(G1931&gt;0,"Deposit in transit","Outstanding check / payment"),IF(G1931&gt;0,"Bank credit not in GL","Bank debit not in GL")))</f>
        <v/>
      </c>
      <c r="I1931" s="42" t="str">
        <f aca="false">IF(OR(C1931=0,CFG_PeriodEnd=""),"",CFG_PeriodEnd-D1931)</f>
        <v/>
      </c>
      <c r="J1931" s="5" t="str">
        <f aca="false">IF(C1931=0,"",IF($A1931="Bank",IF(INDEX(Bank!$G:$G,$C1931)="","",INDEX(Bank!$G:$G,$C1931)),IF(INDEX(GL!$G:$G,$C1931)="","",INDEX(GL!$G:$G,$C1931))))</f>
        <v/>
      </c>
      <c r="K1931" s="5" t="str">
        <f aca="false">IF(C1931=0,"",IF($A1931="Bank",IF(INDEX(Bank!$I:$I,$C1931)="","",INDEX(Bank!$I:$I,$C1931)),IF(INDEX(GL!$I:$I,$C1931)="","",INDEX(GL!$I:$I,$C1931))))</f>
        <v/>
      </c>
      <c r="L1931" s="5" t="str">
        <f aca="false">IF(B1931="","",IF(C1931=0,"NOT FOUND",IF(IF($A1931="Bank",INDEX(Bank!$F:$F,$C1931),INDEX(GL!$F:$F,$C1931))="Y","NOW RECONCILED: refresh","OK")))</f>
        <v/>
      </c>
    </row>
    <row r="1932" customFormat="false" ht="15" hidden="false" customHeight="false" outlineLevel="0" collapsed="false">
      <c r="A1932" s="41"/>
      <c r="B1932" s="41"/>
      <c r="C1932" s="5" t="n">
        <f aca="false">IF(B1932="",0,IF(A1932="Bank",IFERROR(MATCH(B1932,Bank!$A:$A,0),0),IFERROR(MATCH(B1932,GL!$A:$A,0),0)))</f>
        <v>0</v>
      </c>
      <c r="D1932" s="32" t="str">
        <f aca="false">IF(C1932=0,"",IF($A1932="Bank",INDEX(Bank!$B:$B,$C1932),INDEX(GL!$B:$B,$C1932)))</f>
        <v/>
      </c>
      <c r="E1932" s="5" t="str">
        <f aca="false">IF(C1932=0,"",IF($A1932="Bank",IF(INDEX(Bank!$C:$C,$C1932)="","",INDEX(Bank!$C:$C,$C1932)),IF(INDEX(GL!$C:$C,$C1932)="","",INDEX(GL!$C:$C,$C1932))))</f>
        <v/>
      </c>
      <c r="F1932" s="5" t="str">
        <f aca="false">IF(C1932=0,"",IF($A1932="Bank",IF(INDEX(Bank!$D:$D,$C1932)="","",INDEX(Bank!$D:$D,$C1932)),IF(INDEX(GL!$D:$D,$C1932)="","",INDEX(GL!$D:$D,$C1932))))</f>
        <v/>
      </c>
      <c r="G1932" s="19" t="str">
        <f aca="false">IF(C1932=0,"",IF($A1932="Bank",INDEX(Bank!$E:$E,$C1932),INDEX(GL!$E:$E,$C1932)))</f>
        <v/>
      </c>
      <c r="H1932" s="5" t="str">
        <f aca="false">IF(C1932=0,"",IF(A1932="GL",IF(G1932&gt;0,"Deposit in transit","Outstanding check / payment"),IF(G1932&gt;0,"Bank credit not in GL","Bank debit not in GL")))</f>
        <v/>
      </c>
      <c r="I1932" s="42" t="str">
        <f aca="false">IF(OR(C1932=0,CFG_PeriodEnd=""),"",CFG_PeriodEnd-D1932)</f>
        <v/>
      </c>
      <c r="J1932" s="5" t="str">
        <f aca="false">IF(C1932=0,"",IF($A1932="Bank",IF(INDEX(Bank!$G:$G,$C1932)="","",INDEX(Bank!$G:$G,$C1932)),IF(INDEX(GL!$G:$G,$C1932)="","",INDEX(GL!$G:$G,$C1932))))</f>
        <v/>
      </c>
      <c r="K1932" s="5" t="str">
        <f aca="false">IF(C1932=0,"",IF($A1932="Bank",IF(INDEX(Bank!$I:$I,$C1932)="","",INDEX(Bank!$I:$I,$C1932)),IF(INDEX(GL!$I:$I,$C1932)="","",INDEX(GL!$I:$I,$C1932))))</f>
        <v/>
      </c>
      <c r="L1932" s="5" t="str">
        <f aca="false">IF(B1932="","",IF(C1932=0,"NOT FOUND",IF(IF($A1932="Bank",INDEX(Bank!$F:$F,$C1932),INDEX(GL!$F:$F,$C1932))="Y","NOW RECONCILED: refresh","OK")))</f>
        <v/>
      </c>
    </row>
    <row r="1933" customFormat="false" ht="15" hidden="false" customHeight="false" outlineLevel="0" collapsed="false">
      <c r="A1933" s="41"/>
      <c r="B1933" s="41"/>
      <c r="C1933" s="5" t="n">
        <f aca="false">IF(B1933="",0,IF(A1933="Bank",IFERROR(MATCH(B1933,Bank!$A:$A,0),0),IFERROR(MATCH(B1933,GL!$A:$A,0),0)))</f>
        <v>0</v>
      </c>
      <c r="D1933" s="32" t="str">
        <f aca="false">IF(C1933=0,"",IF($A1933="Bank",INDEX(Bank!$B:$B,$C1933),INDEX(GL!$B:$B,$C1933)))</f>
        <v/>
      </c>
      <c r="E1933" s="5" t="str">
        <f aca="false">IF(C1933=0,"",IF($A1933="Bank",IF(INDEX(Bank!$C:$C,$C1933)="","",INDEX(Bank!$C:$C,$C1933)),IF(INDEX(GL!$C:$C,$C1933)="","",INDEX(GL!$C:$C,$C1933))))</f>
        <v/>
      </c>
      <c r="F1933" s="5" t="str">
        <f aca="false">IF(C1933=0,"",IF($A1933="Bank",IF(INDEX(Bank!$D:$D,$C1933)="","",INDEX(Bank!$D:$D,$C1933)),IF(INDEX(GL!$D:$D,$C1933)="","",INDEX(GL!$D:$D,$C1933))))</f>
        <v/>
      </c>
      <c r="G1933" s="19" t="str">
        <f aca="false">IF(C1933=0,"",IF($A1933="Bank",INDEX(Bank!$E:$E,$C1933),INDEX(GL!$E:$E,$C1933)))</f>
        <v/>
      </c>
      <c r="H1933" s="5" t="str">
        <f aca="false">IF(C1933=0,"",IF(A1933="GL",IF(G1933&gt;0,"Deposit in transit","Outstanding check / payment"),IF(G1933&gt;0,"Bank credit not in GL","Bank debit not in GL")))</f>
        <v/>
      </c>
      <c r="I1933" s="42" t="str">
        <f aca="false">IF(OR(C1933=0,CFG_PeriodEnd=""),"",CFG_PeriodEnd-D1933)</f>
        <v/>
      </c>
      <c r="J1933" s="5" t="str">
        <f aca="false">IF(C1933=0,"",IF($A1933="Bank",IF(INDEX(Bank!$G:$G,$C1933)="","",INDEX(Bank!$G:$G,$C1933)),IF(INDEX(GL!$G:$G,$C1933)="","",INDEX(GL!$G:$G,$C1933))))</f>
        <v/>
      </c>
      <c r="K1933" s="5" t="str">
        <f aca="false">IF(C1933=0,"",IF($A1933="Bank",IF(INDEX(Bank!$I:$I,$C1933)="","",INDEX(Bank!$I:$I,$C1933)),IF(INDEX(GL!$I:$I,$C1933)="","",INDEX(GL!$I:$I,$C1933))))</f>
        <v/>
      </c>
      <c r="L1933" s="5" t="str">
        <f aca="false">IF(B1933="","",IF(C1933=0,"NOT FOUND",IF(IF($A1933="Bank",INDEX(Bank!$F:$F,$C1933),INDEX(GL!$F:$F,$C1933))="Y","NOW RECONCILED: refresh","OK")))</f>
        <v/>
      </c>
    </row>
    <row r="1934" customFormat="false" ht="15" hidden="false" customHeight="false" outlineLevel="0" collapsed="false">
      <c r="A1934" s="41"/>
      <c r="B1934" s="41"/>
      <c r="C1934" s="5" t="n">
        <f aca="false">IF(B1934="",0,IF(A1934="Bank",IFERROR(MATCH(B1934,Bank!$A:$A,0),0),IFERROR(MATCH(B1934,GL!$A:$A,0),0)))</f>
        <v>0</v>
      </c>
      <c r="D1934" s="32" t="str">
        <f aca="false">IF(C1934=0,"",IF($A1934="Bank",INDEX(Bank!$B:$B,$C1934),INDEX(GL!$B:$B,$C1934)))</f>
        <v/>
      </c>
      <c r="E1934" s="5" t="str">
        <f aca="false">IF(C1934=0,"",IF($A1934="Bank",IF(INDEX(Bank!$C:$C,$C1934)="","",INDEX(Bank!$C:$C,$C1934)),IF(INDEX(GL!$C:$C,$C1934)="","",INDEX(GL!$C:$C,$C1934))))</f>
        <v/>
      </c>
      <c r="F1934" s="5" t="str">
        <f aca="false">IF(C1934=0,"",IF($A1934="Bank",IF(INDEX(Bank!$D:$D,$C1934)="","",INDEX(Bank!$D:$D,$C1934)),IF(INDEX(GL!$D:$D,$C1934)="","",INDEX(GL!$D:$D,$C1934))))</f>
        <v/>
      </c>
      <c r="G1934" s="19" t="str">
        <f aca="false">IF(C1934=0,"",IF($A1934="Bank",INDEX(Bank!$E:$E,$C1934),INDEX(GL!$E:$E,$C1934)))</f>
        <v/>
      </c>
      <c r="H1934" s="5" t="str">
        <f aca="false">IF(C1934=0,"",IF(A1934="GL",IF(G1934&gt;0,"Deposit in transit","Outstanding check / payment"),IF(G1934&gt;0,"Bank credit not in GL","Bank debit not in GL")))</f>
        <v/>
      </c>
      <c r="I1934" s="42" t="str">
        <f aca="false">IF(OR(C1934=0,CFG_PeriodEnd=""),"",CFG_PeriodEnd-D1934)</f>
        <v/>
      </c>
      <c r="J1934" s="5" t="str">
        <f aca="false">IF(C1934=0,"",IF($A1934="Bank",IF(INDEX(Bank!$G:$G,$C1934)="","",INDEX(Bank!$G:$G,$C1934)),IF(INDEX(GL!$G:$G,$C1934)="","",INDEX(GL!$G:$G,$C1934))))</f>
        <v/>
      </c>
      <c r="K1934" s="5" t="str">
        <f aca="false">IF(C1934=0,"",IF($A1934="Bank",IF(INDEX(Bank!$I:$I,$C1934)="","",INDEX(Bank!$I:$I,$C1934)),IF(INDEX(GL!$I:$I,$C1934)="","",INDEX(GL!$I:$I,$C1934))))</f>
        <v/>
      </c>
      <c r="L1934" s="5" t="str">
        <f aca="false">IF(B1934="","",IF(C1934=0,"NOT FOUND",IF(IF($A1934="Bank",INDEX(Bank!$F:$F,$C1934),INDEX(GL!$F:$F,$C1934))="Y","NOW RECONCILED: refresh","OK")))</f>
        <v/>
      </c>
    </row>
    <row r="1935" customFormat="false" ht="15" hidden="false" customHeight="false" outlineLevel="0" collapsed="false">
      <c r="A1935" s="41"/>
      <c r="B1935" s="41"/>
      <c r="C1935" s="5" t="n">
        <f aca="false">IF(B1935="",0,IF(A1935="Bank",IFERROR(MATCH(B1935,Bank!$A:$A,0),0),IFERROR(MATCH(B1935,GL!$A:$A,0),0)))</f>
        <v>0</v>
      </c>
      <c r="D1935" s="32" t="str">
        <f aca="false">IF(C1935=0,"",IF($A1935="Bank",INDEX(Bank!$B:$B,$C1935),INDEX(GL!$B:$B,$C1935)))</f>
        <v/>
      </c>
      <c r="E1935" s="5" t="str">
        <f aca="false">IF(C1935=0,"",IF($A1935="Bank",IF(INDEX(Bank!$C:$C,$C1935)="","",INDEX(Bank!$C:$C,$C1935)),IF(INDEX(GL!$C:$C,$C1935)="","",INDEX(GL!$C:$C,$C1935))))</f>
        <v/>
      </c>
      <c r="F1935" s="5" t="str">
        <f aca="false">IF(C1935=0,"",IF($A1935="Bank",IF(INDEX(Bank!$D:$D,$C1935)="","",INDEX(Bank!$D:$D,$C1935)),IF(INDEX(GL!$D:$D,$C1935)="","",INDEX(GL!$D:$D,$C1935))))</f>
        <v/>
      </c>
      <c r="G1935" s="19" t="str">
        <f aca="false">IF(C1935=0,"",IF($A1935="Bank",INDEX(Bank!$E:$E,$C1935),INDEX(GL!$E:$E,$C1935)))</f>
        <v/>
      </c>
      <c r="H1935" s="5" t="str">
        <f aca="false">IF(C1935=0,"",IF(A1935="GL",IF(G1935&gt;0,"Deposit in transit","Outstanding check / payment"),IF(G1935&gt;0,"Bank credit not in GL","Bank debit not in GL")))</f>
        <v/>
      </c>
      <c r="I1935" s="42" t="str">
        <f aca="false">IF(OR(C1935=0,CFG_PeriodEnd=""),"",CFG_PeriodEnd-D1935)</f>
        <v/>
      </c>
      <c r="J1935" s="5" t="str">
        <f aca="false">IF(C1935=0,"",IF($A1935="Bank",IF(INDEX(Bank!$G:$G,$C1935)="","",INDEX(Bank!$G:$G,$C1935)),IF(INDEX(GL!$G:$G,$C1935)="","",INDEX(GL!$G:$G,$C1935))))</f>
        <v/>
      </c>
      <c r="K1935" s="5" t="str">
        <f aca="false">IF(C1935=0,"",IF($A1935="Bank",IF(INDEX(Bank!$I:$I,$C1935)="","",INDEX(Bank!$I:$I,$C1935)),IF(INDEX(GL!$I:$I,$C1935)="","",INDEX(GL!$I:$I,$C1935))))</f>
        <v/>
      </c>
      <c r="L1935" s="5" t="str">
        <f aca="false">IF(B1935="","",IF(C1935=0,"NOT FOUND",IF(IF($A1935="Bank",INDEX(Bank!$F:$F,$C1935),INDEX(GL!$F:$F,$C1935))="Y","NOW RECONCILED: refresh","OK")))</f>
        <v/>
      </c>
    </row>
    <row r="1936" customFormat="false" ht="15" hidden="false" customHeight="false" outlineLevel="0" collapsed="false">
      <c r="A1936" s="41"/>
      <c r="B1936" s="41"/>
      <c r="C1936" s="5" t="n">
        <f aca="false">IF(B1936="",0,IF(A1936="Bank",IFERROR(MATCH(B1936,Bank!$A:$A,0),0),IFERROR(MATCH(B1936,GL!$A:$A,0),0)))</f>
        <v>0</v>
      </c>
      <c r="D1936" s="32" t="str">
        <f aca="false">IF(C1936=0,"",IF($A1936="Bank",INDEX(Bank!$B:$B,$C1936),INDEX(GL!$B:$B,$C1936)))</f>
        <v/>
      </c>
      <c r="E1936" s="5" t="str">
        <f aca="false">IF(C1936=0,"",IF($A1936="Bank",IF(INDEX(Bank!$C:$C,$C1936)="","",INDEX(Bank!$C:$C,$C1936)),IF(INDEX(GL!$C:$C,$C1936)="","",INDEX(GL!$C:$C,$C1936))))</f>
        <v/>
      </c>
      <c r="F1936" s="5" t="str">
        <f aca="false">IF(C1936=0,"",IF($A1936="Bank",IF(INDEX(Bank!$D:$D,$C1936)="","",INDEX(Bank!$D:$D,$C1936)),IF(INDEX(GL!$D:$D,$C1936)="","",INDEX(GL!$D:$D,$C1936))))</f>
        <v/>
      </c>
      <c r="G1936" s="19" t="str">
        <f aca="false">IF(C1936=0,"",IF($A1936="Bank",INDEX(Bank!$E:$E,$C1936),INDEX(GL!$E:$E,$C1936)))</f>
        <v/>
      </c>
      <c r="H1936" s="5" t="str">
        <f aca="false">IF(C1936=0,"",IF(A1936="GL",IF(G1936&gt;0,"Deposit in transit","Outstanding check / payment"),IF(G1936&gt;0,"Bank credit not in GL","Bank debit not in GL")))</f>
        <v/>
      </c>
      <c r="I1936" s="42" t="str">
        <f aca="false">IF(OR(C1936=0,CFG_PeriodEnd=""),"",CFG_PeriodEnd-D1936)</f>
        <v/>
      </c>
      <c r="J1936" s="5" t="str">
        <f aca="false">IF(C1936=0,"",IF($A1936="Bank",IF(INDEX(Bank!$G:$G,$C1936)="","",INDEX(Bank!$G:$G,$C1936)),IF(INDEX(GL!$G:$G,$C1936)="","",INDEX(GL!$G:$G,$C1936))))</f>
        <v/>
      </c>
      <c r="K1936" s="5" t="str">
        <f aca="false">IF(C1936=0,"",IF($A1936="Bank",IF(INDEX(Bank!$I:$I,$C1936)="","",INDEX(Bank!$I:$I,$C1936)),IF(INDEX(GL!$I:$I,$C1936)="","",INDEX(GL!$I:$I,$C1936))))</f>
        <v/>
      </c>
      <c r="L1936" s="5" t="str">
        <f aca="false">IF(B1936="","",IF(C1936=0,"NOT FOUND",IF(IF($A1936="Bank",INDEX(Bank!$F:$F,$C1936),INDEX(GL!$F:$F,$C1936))="Y","NOW RECONCILED: refresh","OK")))</f>
        <v/>
      </c>
    </row>
    <row r="1937" customFormat="false" ht="15" hidden="false" customHeight="false" outlineLevel="0" collapsed="false">
      <c r="A1937" s="41"/>
      <c r="B1937" s="41"/>
      <c r="C1937" s="5" t="n">
        <f aca="false">IF(B1937="",0,IF(A1937="Bank",IFERROR(MATCH(B1937,Bank!$A:$A,0),0),IFERROR(MATCH(B1937,GL!$A:$A,0),0)))</f>
        <v>0</v>
      </c>
      <c r="D1937" s="32" t="str">
        <f aca="false">IF(C1937=0,"",IF($A1937="Bank",INDEX(Bank!$B:$B,$C1937),INDEX(GL!$B:$B,$C1937)))</f>
        <v/>
      </c>
      <c r="E1937" s="5" t="str">
        <f aca="false">IF(C1937=0,"",IF($A1937="Bank",IF(INDEX(Bank!$C:$C,$C1937)="","",INDEX(Bank!$C:$C,$C1937)),IF(INDEX(GL!$C:$C,$C1937)="","",INDEX(GL!$C:$C,$C1937))))</f>
        <v/>
      </c>
      <c r="F1937" s="5" t="str">
        <f aca="false">IF(C1937=0,"",IF($A1937="Bank",IF(INDEX(Bank!$D:$D,$C1937)="","",INDEX(Bank!$D:$D,$C1937)),IF(INDEX(GL!$D:$D,$C1937)="","",INDEX(GL!$D:$D,$C1937))))</f>
        <v/>
      </c>
      <c r="G1937" s="19" t="str">
        <f aca="false">IF(C1937=0,"",IF($A1937="Bank",INDEX(Bank!$E:$E,$C1937),INDEX(GL!$E:$E,$C1937)))</f>
        <v/>
      </c>
      <c r="H1937" s="5" t="str">
        <f aca="false">IF(C1937=0,"",IF(A1937="GL",IF(G1937&gt;0,"Deposit in transit","Outstanding check / payment"),IF(G1937&gt;0,"Bank credit not in GL","Bank debit not in GL")))</f>
        <v/>
      </c>
      <c r="I1937" s="42" t="str">
        <f aca="false">IF(OR(C1937=0,CFG_PeriodEnd=""),"",CFG_PeriodEnd-D1937)</f>
        <v/>
      </c>
      <c r="J1937" s="5" t="str">
        <f aca="false">IF(C1937=0,"",IF($A1937="Bank",IF(INDEX(Bank!$G:$G,$C1937)="","",INDEX(Bank!$G:$G,$C1937)),IF(INDEX(GL!$G:$G,$C1937)="","",INDEX(GL!$G:$G,$C1937))))</f>
        <v/>
      </c>
      <c r="K1937" s="5" t="str">
        <f aca="false">IF(C1937=0,"",IF($A1937="Bank",IF(INDEX(Bank!$I:$I,$C1937)="","",INDEX(Bank!$I:$I,$C1937)),IF(INDEX(GL!$I:$I,$C1937)="","",INDEX(GL!$I:$I,$C1937))))</f>
        <v/>
      </c>
      <c r="L1937" s="5" t="str">
        <f aca="false">IF(B1937="","",IF(C1937=0,"NOT FOUND",IF(IF($A1937="Bank",INDEX(Bank!$F:$F,$C1937),INDEX(GL!$F:$F,$C1937))="Y","NOW RECONCILED: refresh","OK")))</f>
        <v/>
      </c>
    </row>
    <row r="1938" customFormat="false" ht="15" hidden="false" customHeight="false" outlineLevel="0" collapsed="false">
      <c r="A1938" s="41"/>
      <c r="B1938" s="41"/>
      <c r="C1938" s="5" t="n">
        <f aca="false">IF(B1938="",0,IF(A1938="Bank",IFERROR(MATCH(B1938,Bank!$A:$A,0),0),IFERROR(MATCH(B1938,GL!$A:$A,0),0)))</f>
        <v>0</v>
      </c>
      <c r="D1938" s="32" t="str">
        <f aca="false">IF(C1938=0,"",IF($A1938="Bank",INDEX(Bank!$B:$B,$C1938),INDEX(GL!$B:$B,$C1938)))</f>
        <v/>
      </c>
      <c r="E1938" s="5" t="str">
        <f aca="false">IF(C1938=0,"",IF($A1938="Bank",IF(INDEX(Bank!$C:$C,$C1938)="","",INDEX(Bank!$C:$C,$C1938)),IF(INDEX(GL!$C:$C,$C1938)="","",INDEX(GL!$C:$C,$C1938))))</f>
        <v/>
      </c>
      <c r="F1938" s="5" t="str">
        <f aca="false">IF(C1938=0,"",IF($A1938="Bank",IF(INDEX(Bank!$D:$D,$C1938)="","",INDEX(Bank!$D:$D,$C1938)),IF(INDEX(GL!$D:$D,$C1938)="","",INDEX(GL!$D:$D,$C1938))))</f>
        <v/>
      </c>
      <c r="G1938" s="19" t="str">
        <f aca="false">IF(C1938=0,"",IF($A1938="Bank",INDEX(Bank!$E:$E,$C1938),INDEX(GL!$E:$E,$C1938)))</f>
        <v/>
      </c>
      <c r="H1938" s="5" t="str">
        <f aca="false">IF(C1938=0,"",IF(A1938="GL",IF(G1938&gt;0,"Deposit in transit","Outstanding check / payment"),IF(G1938&gt;0,"Bank credit not in GL","Bank debit not in GL")))</f>
        <v/>
      </c>
      <c r="I1938" s="42" t="str">
        <f aca="false">IF(OR(C1938=0,CFG_PeriodEnd=""),"",CFG_PeriodEnd-D1938)</f>
        <v/>
      </c>
      <c r="J1938" s="5" t="str">
        <f aca="false">IF(C1938=0,"",IF($A1938="Bank",IF(INDEX(Bank!$G:$G,$C1938)="","",INDEX(Bank!$G:$G,$C1938)),IF(INDEX(GL!$G:$G,$C1938)="","",INDEX(GL!$G:$G,$C1938))))</f>
        <v/>
      </c>
      <c r="K1938" s="5" t="str">
        <f aca="false">IF(C1938=0,"",IF($A1938="Bank",IF(INDEX(Bank!$I:$I,$C1938)="","",INDEX(Bank!$I:$I,$C1938)),IF(INDEX(GL!$I:$I,$C1938)="","",INDEX(GL!$I:$I,$C1938))))</f>
        <v/>
      </c>
      <c r="L1938" s="5" t="str">
        <f aca="false">IF(B1938="","",IF(C1938=0,"NOT FOUND",IF(IF($A1938="Bank",INDEX(Bank!$F:$F,$C1938),INDEX(GL!$F:$F,$C1938))="Y","NOW RECONCILED: refresh","OK")))</f>
        <v/>
      </c>
    </row>
    <row r="1939" customFormat="false" ht="15" hidden="false" customHeight="false" outlineLevel="0" collapsed="false">
      <c r="A1939" s="41"/>
      <c r="B1939" s="41"/>
      <c r="C1939" s="5" t="n">
        <f aca="false">IF(B1939="",0,IF(A1939="Bank",IFERROR(MATCH(B1939,Bank!$A:$A,0),0),IFERROR(MATCH(B1939,GL!$A:$A,0),0)))</f>
        <v>0</v>
      </c>
      <c r="D1939" s="32" t="str">
        <f aca="false">IF(C1939=0,"",IF($A1939="Bank",INDEX(Bank!$B:$B,$C1939),INDEX(GL!$B:$B,$C1939)))</f>
        <v/>
      </c>
      <c r="E1939" s="5" t="str">
        <f aca="false">IF(C1939=0,"",IF($A1939="Bank",IF(INDEX(Bank!$C:$C,$C1939)="","",INDEX(Bank!$C:$C,$C1939)),IF(INDEX(GL!$C:$C,$C1939)="","",INDEX(GL!$C:$C,$C1939))))</f>
        <v/>
      </c>
      <c r="F1939" s="5" t="str">
        <f aca="false">IF(C1939=0,"",IF($A1939="Bank",IF(INDEX(Bank!$D:$D,$C1939)="","",INDEX(Bank!$D:$D,$C1939)),IF(INDEX(GL!$D:$D,$C1939)="","",INDEX(GL!$D:$D,$C1939))))</f>
        <v/>
      </c>
      <c r="G1939" s="19" t="str">
        <f aca="false">IF(C1939=0,"",IF($A1939="Bank",INDEX(Bank!$E:$E,$C1939),INDEX(GL!$E:$E,$C1939)))</f>
        <v/>
      </c>
      <c r="H1939" s="5" t="str">
        <f aca="false">IF(C1939=0,"",IF(A1939="GL",IF(G1939&gt;0,"Deposit in transit","Outstanding check / payment"),IF(G1939&gt;0,"Bank credit not in GL","Bank debit not in GL")))</f>
        <v/>
      </c>
      <c r="I1939" s="42" t="str">
        <f aca="false">IF(OR(C1939=0,CFG_PeriodEnd=""),"",CFG_PeriodEnd-D1939)</f>
        <v/>
      </c>
      <c r="J1939" s="5" t="str">
        <f aca="false">IF(C1939=0,"",IF($A1939="Bank",IF(INDEX(Bank!$G:$G,$C1939)="","",INDEX(Bank!$G:$G,$C1939)),IF(INDEX(GL!$G:$G,$C1939)="","",INDEX(GL!$G:$G,$C1939))))</f>
        <v/>
      </c>
      <c r="K1939" s="5" t="str">
        <f aca="false">IF(C1939=0,"",IF($A1939="Bank",IF(INDEX(Bank!$I:$I,$C1939)="","",INDEX(Bank!$I:$I,$C1939)),IF(INDEX(GL!$I:$I,$C1939)="","",INDEX(GL!$I:$I,$C1939))))</f>
        <v/>
      </c>
      <c r="L1939" s="5" t="str">
        <f aca="false">IF(B1939="","",IF(C1939=0,"NOT FOUND",IF(IF($A1939="Bank",INDEX(Bank!$F:$F,$C1939),INDEX(GL!$F:$F,$C1939))="Y","NOW RECONCILED: refresh","OK")))</f>
        <v/>
      </c>
    </row>
    <row r="1940" customFormat="false" ht="15" hidden="false" customHeight="false" outlineLevel="0" collapsed="false">
      <c r="A1940" s="41"/>
      <c r="B1940" s="41"/>
      <c r="C1940" s="5" t="n">
        <f aca="false">IF(B1940="",0,IF(A1940="Bank",IFERROR(MATCH(B1940,Bank!$A:$A,0),0),IFERROR(MATCH(B1940,GL!$A:$A,0),0)))</f>
        <v>0</v>
      </c>
      <c r="D1940" s="32" t="str">
        <f aca="false">IF(C1940=0,"",IF($A1940="Bank",INDEX(Bank!$B:$B,$C1940),INDEX(GL!$B:$B,$C1940)))</f>
        <v/>
      </c>
      <c r="E1940" s="5" t="str">
        <f aca="false">IF(C1940=0,"",IF($A1940="Bank",IF(INDEX(Bank!$C:$C,$C1940)="","",INDEX(Bank!$C:$C,$C1940)),IF(INDEX(GL!$C:$C,$C1940)="","",INDEX(GL!$C:$C,$C1940))))</f>
        <v/>
      </c>
      <c r="F1940" s="5" t="str">
        <f aca="false">IF(C1940=0,"",IF($A1940="Bank",IF(INDEX(Bank!$D:$D,$C1940)="","",INDEX(Bank!$D:$D,$C1940)),IF(INDEX(GL!$D:$D,$C1940)="","",INDEX(GL!$D:$D,$C1940))))</f>
        <v/>
      </c>
      <c r="G1940" s="19" t="str">
        <f aca="false">IF(C1940=0,"",IF($A1940="Bank",INDEX(Bank!$E:$E,$C1940),INDEX(GL!$E:$E,$C1940)))</f>
        <v/>
      </c>
      <c r="H1940" s="5" t="str">
        <f aca="false">IF(C1940=0,"",IF(A1940="GL",IF(G1940&gt;0,"Deposit in transit","Outstanding check / payment"),IF(G1940&gt;0,"Bank credit not in GL","Bank debit not in GL")))</f>
        <v/>
      </c>
      <c r="I1940" s="42" t="str">
        <f aca="false">IF(OR(C1940=0,CFG_PeriodEnd=""),"",CFG_PeriodEnd-D1940)</f>
        <v/>
      </c>
      <c r="J1940" s="5" t="str">
        <f aca="false">IF(C1940=0,"",IF($A1940="Bank",IF(INDEX(Bank!$G:$G,$C1940)="","",INDEX(Bank!$G:$G,$C1940)),IF(INDEX(GL!$G:$G,$C1940)="","",INDEX(GL!$G:$G,$C1940))))</f>
        <v/>
      </c>
      <c r="K1940" s="5" t="str">
        <f aca="false">IF(C1940=0,"",IF($A1940="Bank",IF(INDEX(Bank!$I:$I,$C1940)="","",INDEX(Bank!$I:$I,$C1940)),IF(INDEX(GL!$I:$I,$C1940)="","",INDEX(GL!$I:$I,$C1940))))</f>
        <v/>
      </c>
      <c r="L1940" s="5" t="str">
        <f aca="false">IF(B1940="","",IF(C1940=0,"NOT FOUND",IF(IF($A1940="Bank",INDEX(Bank!$F:$F,$C1940),INDEX(GL!$F:$F,$C1940))="Y","NOW RECONCILED: refresh","OK")))</f>
        <v/>
      </c>
    </row>
    <row r="1941" customFormat="false" ht="15" hidden="false" customHeight="false" outlineLevel="0" collapsed="false">
      <c r="A1941" s="41"/>
      <c r="B1941" s="41"/>
      <c r="C1941" s="5" t="n">
        <f aca="false">IF(B1941="",0,IF(A1941="Bank",IFERROR(MATCH(B1941,Bank!$A:$A,0),0),IFERROR(MATCH(B1941,GL!$A:$A,0),0)))</f>
        <v>0</v>
      </c>
      <c r="D1941" s="32" t="str">
        <f aca="false">IF(C1941=0,"",IF($A1941="Bank",INDEX(Bank!$B:$B,$C1941),INDEX(GL!$B:$B,$C1941)))</f>
        <v/>
      </c>
      <c r="E1941" s="5" t="str">
        <f aca="false">IF(C1941=0,"",IF($A1941="Bank",IF(INDEX(Bank!$C:$C,$C1941)="","",INDEX(Bank!$C:$C,$C1941)),IF(INDEX(GL!$C:$C,$C1941)="","",INDEX(GL!$C:$C,$C1941))))</f>
        <v/>
      </c>
      <c r="F1941" s="5" t="str">
        <f aca="false">IF(C1941=0,"",IF($A1941="Bank",IF(INDEX(Bank!$D:$D,$C1941)="","",INDEX(Bank!$D:$D,$C1941)),IF(INDEX(GL!$D:$D,$C1941)="","",INDEX(GL!$D:$D,$C1941))))</f>
        <v/>
      </c>
      <c r="G1941" s="19" t="str">
        <f aca="false">IF(C1941=0,"",IF($A1941="Bank",INDEX(Bank!$E:$E,$C1941),INDEX(GL!$E:$E,$C1941)))</f>
        <v/>
      </c>
      <c r="H1941" s="5" t="str">
        <f aca="false">IF(C1941=0,"",IF(A1941="GL",IF(G1941&gt;0,"Deposit in transit","Outstanding check / payment"),IF(G1941&gt;0,"Bank credit not in GL","Bank debit not in GL")))</f>
        <v/>
      </c>
      <c r="I1941" s="42" t="str">
        <f aca="false">IF(OR(C1941=0,CFG_PeriodEnd=""),"",CFG_PeriodEnd-D1941)</f>
        <v/>
      </c>
      <c r="J1941" s="5" t="str">
        <f aca="false">IF(C1941=0,"",IF($A1941="Bank",IF(INDEX(Bank!$G:$G,$C1941)="","",INDEX(Bank!$G:$G,$C1941)),IF(INDEX(GL!$G:$G,$C1941)="","",INDEX(GL!$G:$G,$C1941))))</f>
        <v/>
      </c>
      <c r="K1941" s="5" t="str">
        <f aca="false">IF(C1941=0,"",IF($A1941="Bank",IF(INDEX(Bank!$I:$I,$C1941)="","",INDEX(Bank!$I:$I,$C1941)),IF(INDEX(GL!$I:$I,$C1941)="","",INDEX(GL!$I:$I,$C1941))))</f>
        <v/>
      </c>
      <c r="L1941" s="5" t="str">
        <f aca="false">IF(B1941="","",IF(C1941=0,"NOT FOUND",IF(IF($A1941="Bank",INDEX(Bank!$F:$F,$C1941),INDEX(GL!$F:$F,$C1941))="Y","NOW RECONCILED: refresh","OK")))</f>
        <v/>
      </c>
    </row>
    <row r="1942" customFormat="false" ht="15" hidden="false" customHeight="false" outlineLevel="0" collapsed="false">
      <c r="A1942" s="41"/>
      <c r="B1942" s="41"/>
      <c r="C1942" s="5" t="n">
        <f aca="false">IF(B1942="",0,IF(A1942="Bank",IFERROR(MATCH(B1942,Bank!$A:$A,0),0),IFERROR(MATCH(B1942,GL!$A:$A,0),0)))</f>
        <v>0</v>
      </c>
      <c r="D1942" s="32" t="str">
        <f aca="false">IF(C1942=0,"",IF($A1942="Bank",INDEX(Bank!$B:$B,$C1942),INDEX(GL!$B:$B,$C1942)))</f>
        <v/>
      </c>
      <c r="E1942" s="5" t="str">
        <f aca="false">IF(C1942=0,"",IF($A1942="Bank",IF(INDEX(Bank!$C:$C,$C1942)="","",INDEX(Bank!$C:$C,$C1942)),IF(INDEX(GL!$C:$C,$C1942)="","",INDEX(GL!$C:$C,$C1942))))</f>
        <v/>
      </c>
      <c r="F1942" s="5" t="str">
        <f aca="false">IF(C1942=0,"",IF($A1942="Bank",IF(INDEX(Bank!$D:$D,$C1942)="","",INDEX(Bank!$D:$D,$C1942)),IF(INDEX(GL!$D:$D,$C1942)="","",INDEX(GL!$D:$D,$C1942))))</f>
        <v/>
      </c>
      <c r="G1942" s="19" t="str">
        <f aca="false">IF(C1942=0,"",IF($A1942="Bank",INDEX(Bank!$E:$E,$C1942),INDEX(GL!$E:$E,$C1942)))</f>
        <v/>
      </c>
      <c r="H1942" s="5" t="str">
        <f aca="false">IF(C1942=0,"",IF(A1942="GL",IF(G1942&gt;0,"Deposit in transit","Outstanding check / payment"),IF(G1942&gt;0,"Bank credit not in GL","Bank debit not in GL")))</f>
        <v/>
      </c>
      <c r="I1942" s="42" t="str">
        <f aca="false">IF(OR(C1942=0,CFG_PeriodEnd=""),"",CFG_PeriodEnd-D1942)</f>
        <v/>
      </c>
      <c r="J1942" s="5" t="str">
        <f aca="false">IF(C1942=0,"",IF($A1942="Bank",IF(INDEX(Bank!$G:$G,$C1942)="","",INDEX(Bank!$G:$G,$C1942)),IF(INDEX(GL!$G:$G,$C1942)="","",INDEX(GL!$G:$G,$C1942))))</f>
        <v/>
      </c>
      <c r="K1942" s="5" t="str">
        <f aca="false">IF(C1942=0,"",IF($A1942="Bank",IF(INDEX(Bank!$I:$I,$C1942)="","",INDEX(Bank!$I:$I,$C1942)),IF(INDEX(GL!$I:$I,$C1942)="","",INDEX(GL!$I:$I,$C1942))))</f>
        <v/>
      </c>
      <c r="L1942" s="5" t="str">
        <f aca="false">IF(B1942="","",IF(C1942=0,"NOT FOUND",IF(IF($A1942="Bank",INDEX(Bank!$F:$F,$C1942),INDEX(GL!$F:$F,$C1942))="Y","NOW RECONCILED: refresh","OK")))</f>
        <v/>
      </c>
    </row>
    <row r="1943" customFormat="false" ht="15" hidden="false" customHeight="false" outlineLevel="0" collapsed="false">
      <c r="A1943" s="41"/>
      <c r="B1943" s="41"/>
      <c r="C1943" s="5" t="n">
        <f aca="false">IF(B1943="",0,IF(A1943="Bank",IFERROR(MATCH(B1943,Bank!$A:$A,0),0),IFERROR(MATCH(B1943,GL!$A:$A,0),0)))</f>
        <v>0</v>
      </c>
      <c r="D1943" s="32" t="str">
        <f aca="false">IF(C1943=0,"",IF($A1943="Bank",INDEX(Bank!$B:$B,$C1943),INDEX(GL!$B:$B,$C1943)))</f>
        <v/>
      </c>
      <c r="E1943" s="5" t="str">
        <f aca="false">IF(C1943=0,"",IF($A1943="Bank",IF(INDEX(Bank!$C:$C,$C1943)="","",INDEX(Bank!$C:$C,$C1943)),IF(INDEX(GL!$C:$C,$C1943)="","",INDEX(GL!$C:$C,$C1943))))</f>
        <v/>
      </c>
      <c r="F1943" s="5" t="str">
        <f aca="false">IF(C1943=0,"",IF($A1943="Bank",IF(INDEX(Bank!$D:$D,$C1943)="","",INDEX(Bank!$D:$D,$C1943)),IF(INDEX(GL!$D:$D,$C1943)="","",INDEX(GL!$D:$D,$C1943))))</f>
        <v/>
      </c>
      <c r="G1943" s="19" t="str">
        <f aca="false">IF(C1943=0,"",IF($A1943="Bank",INDEX(Bank!$E:$E,$C1943),INDEX(GL!$E:$E,$C1943)))</f>
        <v/>
      </c>
      <c r="H1943" s="5" t="str">
        <f aca="false">IF(C1943=0,"",IF(A1943="GL",IF(G1943&gt;0,"Deposit in transit","Outstanding check / payment"),IF(G1943&gt;0,"Bank credit not in GL","Bank debit not in GL")))</f>
        <v/>
      </c>
      <c r="I1943" s="42" t="str">
        <f aca="false">IF(OR(C1943=0,CFG_PeriodEnd=""),"",CFG_PeriodEnd-D1943)</f>
        <v/>
      </c>
      <c r="J1943" s="5" t="str">
        <f aca="false">IF(C1943=0,"",IF($A1943="Bank",IF(INDEX(Bank!$G:$G,$C1943)="","",INDEX(Bank!$G:$G,$C1943)),IF(INDEX(GL!$G:$G,$C1943)="","",INDEX(GL!$G:$G,$C1943))))</f>
        <v/>
      </c>
      <c r="K1943" s="5" t="str">
        <f aca="false">IF(C1943=0,"",IF($A1943="Bank",IF(INDEX(Bank!$I:$I,$C1943)="","",INDEX(Bank!$I:$I,$C1943)),IF(INDEX(GL!$I:$I,$C1943)="","",INDEX(GL!$I:$I,$C1943))))</f>
        <v/>
      </c>
      <c r="L1943" s="5" t="str">
        <f aca="false">IF(B1943="","",IF(C1943=0,"NOT FOUND",IF(IF($A1943="Bank",INDEX(Bank!$F:$F,$C1943),INDEX(GL!$F:$F,$C1943))="Y","NOW RECONCILED: refresh","OK")))</f>
        <v/>
      </c>
    </row>
    <row r="1944" customFormat="false" ht="15" hidden="false" customHeight="false" outlineLevel="0" collapsed="false">
      <c r="A1944" s="41"/>
      <c r="B1944" s="41"/>
      <c r="C1944" s="5" t="n">
        <f aca="false">IF(B1944="",0,IF(A1944="Bank",IFERROR(MATCH(B1944,Bank!$A:$A,0),0),IFERROR(MATCH(B1944,GL!$A:$A,0),0)))</f>
        <v>0</v>
      </c>
      <c r="D1944" s="32" t="str">
        <f aca="false">IF(C1944=0,"",IF($A1944="Bank",INDEX(Bank!$B:$B,$C1944),INDEX(GL!$B:$B,$C1944)))</f>
        <v/>
      </c>
      <c r="E1944" s="5" t="str">
        <f aca="false">IF(C1944=0,"",IF($A1944="Bank",IF(INDEX(Bank!$C:$C,$C1944)="","",INDEX(Bank!$C:$C,$C1944)),IF(INDEX(GL!$C:$C,$C1944)="","",INDEX(GL!$C:$C,$C1944))))</f>
        <v/>
      </c>
      <c r="F1944" s="5" t="str">
        <f aca="false">IF(C1944=0,"",IF($A1944="Bank",IF(INDEX(Bank!$D:$D,$C1944)="","",INDEX(Bank!$D:$D,$C1944)),IF(INDEX(GL!$D:$D,$C1944)="","",INDEX(GL!$D:$D,$C1944))))</f>
        <v/>
      </c>
      <c r="G1944" s="19" t="str">
        <f aca="false">IF(C1944=0,"",IF($A1944="Bank",INDEX(Bank!$E:$E,$C1944),INDEX(GL!$E:$E,$C1944)))</f>
        <v/>
      </c>
      <c r="H1944" s="5" t="str">
        <f aca="false">IF(C1944=0,"",IF(A1944="GL",IF(G1944&gt;0,"Deposit in transit","Outstanding check / payment"),IF(G1944&gt;0,"Bank credit not in GL","Bank debit not in GL")))</f>
        <v/>
      </c>
      <c r="I1944" s="42" t="str">
        <f aca="false">IF(OR(C1944=0,CFG_PeriodEnd=""),"",CFG_PeriodEnd-D1944)</f>
        <v/>
      </c>
      <c r="J1944" s="5" t="str">
        <f aca="false">IF(C1944=0,"",IF($A1944="Bank",IF(INDEX(Bank!$G:$G,$C1944)="","",INDEX(Bank!$G:$G,$C1944)),IF(INDEX(GL!$G:$G,$C1944)="","",INDEX(GL!$G:$G,$C1944))))</f>
        <v/>
      </c>
      <c r="K1944" s="5" t="str">
        <f aca="false">IF(C1944=0,"",IF($A1944="Bank",IF(INDEX(Bank!$I:$I,$C1944)="","",INDEX(Bank!$I:$I,$C1944)),IF(INDEX(GL!$I:$I,$C1944)="","",INDEX(GL!$I:$I,$C1944))))</f>
        <v/>
      </c>
      <c r="L1944" s="5" t="str">
        <f aca="false">IF(B1944="","",IF(C1944=0,"NOT FOUND",IF(IF($A1944="Bank",INDEX(Bank!$F:$F,$C1944),INDEX(GL!$F:$F,$C1944))="Y","NOW RECONCILED: refresh","OK")))</f>
        <v/>
      </c>
    </row>
    <row r="1945" customFormat="false" ht="15" hidden="false" customHeight="false" outlineLevel="0" collapsed="false">
      <c r="A1945" s="41"/>
      <c r="B1945" s="41"/>
      <c r="C1945" s="5" t="n">
        <f aca="false">IF(B1945="",0,IF(A1945="Bank",IFERROR(MATCH(B1945,Bank!$A:$A,0),0),IFERROR(MATCH(B1945,GL!$A:$A,0),0)))</f>
        <v>0</v>
      </c>
      <c r="D1945" s="32" t="str">
        <f aca="false">IF(C1945=0,"",IF($A1945="Bank",INDEX(Bank!$B:$B,$C1945),INDEX(GL!$B:$B,$C1945)))</f>
        <v/>
      </c>
      <c r="E1945" s="5" t="str">
        <f aca="false">IF(C1945=0,"",IF($A1945="Bank",IF(INDEX(Bank!$C:$C,$C1945)="","",INDEX(Bank!$C:$C,$C1945)),IF(INDEX(GL!$C:$C,$C1945)="","",INDEX(GL!$C:$C,$C1945))))</f>
        <v/>
      </c>
      <c r="F1945" s="5" t="str">
        <f aca="false">IF(C1945=0,"",IF($A1945="Bank",IF(INDEX(Bank!$D:$D,$C1945)="","",INDEX(Bank!$D:$D,$C1945)),IF(INDEX(GL!$D:$D,$C1945)="","",INDEX(GL!$D:$D,$C1945))))</f>
        <v/>
      </c>
      <c r="G1945" s="19" t="str">
        <f aca="false">IF(C1945=0,"",IF($A1945="Bank",INDEX(Bank!$E:$E,$C1945),INDEX(GL!$E:$E,$C1945)))</f>
        <v/>
      </c>
      <c r="H1945" s="5" t="str">
        <f aca="false">IF(C1945=0,"",IF(A1945="GL",IF(G1945&gt;0,"Deposit in transit","Outstanding check / payment"),IF(G1945&gt;0,"Bank credit not in GL","Bank debit not in GL")))</f>
        <v/>
      </c>
      <c r="I1945" s="42" t="str">
        <f aca="false">IF(OR(C1945=0,CFG_PeriodEnd=""),"",CFG_PeriodEnd-D1945)</f>
        <v/>
      </c>
      <c r="J1945" s="5" t="str">
        <f aca="false">IF(C1945=0,"",IF($A1945="Bank",IF(INDEX(Bank!$G:$G,$C1945)="","",INDEX(Bank!$G:$G,$C1945)),IF(INDEX(GL!$G:$G,$C1945)="","",INDEX(GL!$G:$G,$C1945))))</f>
        <v/>
      </c>
      <c r="K1945" s="5" t="str">
        <f aca="false">IF(C1945=0,"",IF($A1945="Bank",IF(INDEX(Bank!$I:$I,$C1945)="","",INDEX(Bank!$I:$I,$C1945)),IF(INDEX(GL!$I:$I,$C1945)="","",INDEX(GL!$I:$I,$C1945))))</f>
        <v/>
      </c>
      <c r="L1945" s="5" t="str">
        <f aca="false">IF(B1945="","",IF(C1945=0,"NOT FOUND",IF(IF($A1945="Bank",INDEX(Bank!$F:$F,$C1945),INDEX(GL!$F:$F,$C1945))="Y","NOW RECONCILED: refresh","OK")))</f>
        <v/>
      </c>
    </row>
    <row r="1946" customFormat="false" ht="15" hidden="false" customHeight="false" outlineLevel="0" collapsed="false">
      <c r="A1946" s="41"/>
      <c r="B1946" s="41"/>
      <c r="C1946" s="5" t="n">
        <f aca="false">IF(B1946="",0,IF(A1946="Bank",IFERROR(MATCH(B1946,Bank!$A:$A,0),0),IFERROR(MATCH(B1946,GL!$A:$A,0),0)))</f>
        <v>0</v>
      </c>
      <c r="D1946" s="32" t="str">
        <f aca="false">IF(C1946=0,"",IF($A1946="Bank",INDEX(Bank!$B:$B,$C1946),INDEX(GL!$B:$B,$C1946)))</f>
        <v/>
      </c>
      <c r="E1946" s="5" t="str">
        <f aca="false">IF(C1946=0,"",IF($A1946="Bank",IF(INDEX(Bank!$C:$C,$C1946)="","",INDEX(Bank!$C:$C,$C1946)),IF(INDEX(GL!$C:$C,$C1946)="","",INDEX(GL!$C:$C,$C1946))))</f>
        <v/>
      </c>
      <c r="F1946" s="5" t="str">
        <f aca="false">IF(C1946=0,"",IF($A1946="Bank",IF(INDEX(Bank!$D:$D,$C1946)="","",INDEX(Bank!$D:$D,$C1946)),IF(INDEX(GL!$D:$D,$C1946)="","",INDEX(GL!$D:$D,$C1946))))</f>
        <v/>
      </c>
      <c r="G1946" s="19" t="str">
        <f aca="false">IF(C1946=0,"",IF($A1946="Bank",INDEX(Bank!$E:$E,$C1946),INDEX(GL!$E:$E,$C1946)))</f>
        <v/>
      </c>
      <c r="H1946" s="5" t="str">
        <f aca="false">IF(C1946=0,"",IF(A1946="GL",IF(G1946&gt;0,"Deposit in transit","Outstanding check / payment"),IF(G1946&gt;0,"Bank credit not in GL","Bank debit not in GL")))</f>
        <v/>
      </c>
      <c r="I1946" s="42" t="str">
        <f aca="false">IF(OR(C1946=0,CFG_PeriodEnd=""),"",CFG_PeriodEnd-D1946)</f>
        <v/>
      </c>
      <c r="J1946" s="5" t="str">
        <f aca="false">IF(C1946=0,"",IF($A1946="Bank",IF(INDEX(Bank!$G:$G,$C1946)="","",INDEX(Bank!$G:$G,$C1946)),IF(INDEX(GL!$G:$G,$C1946)="","",INDEX(GL!$G:$G,$C1946))))</f>
        <v/>
      </c>
      <c r="K1946" s="5" t="str">
        <f aca="false">IF(C1946=0,"",IF($A1946="Bank",IF(INDEX(Bank!$I:$I,$C1946)="","",INDEX(Bank!$I:$I,$C1946)),IF(INDEX(GL!$I:$I,$C1946)="","",INDEX(GL!$I:$I,$C1946))))</f>
        <v/>
      </c>
      <c r="L1946" s="5" t="str">
        <f aca="false">IF(B1946="","",IF(C1946=0,"NOT FOUND",IF(IF($A1946="Bank",INDEX(Bank!$F:$F,$C1946),INDEX(GL!$F:$F,$C1946))="Y","NOW RECONCILED: refresh","OK")))</f>
        <v/>
      </c>
    </row>
    <row r="1947" customFormat="false" ht="15" hidden="false" customHeight="false" outlineLevel="0" collapsed="false">
      <c r="A1947" s="41"/>
      <c r="B1947" s="41"/>
      <c r="C1947" s="5" t="n">
        <f aca="false">IF(B1947="",0,IF(A1947="Bank",IFERROR(MATCH(B1947,Bank!$A:$A,0),0),IFERROR(MATCH(B1947,GL!$A:$A,0),0)))</f>
        <v>0</v>
      </c>
      <c r="D1947" s="32" t="str">
        <f aca="false">IF(C1947=0,"",IF($A1947="Bank",INDEX(Bank!$B:$B,$C1947),INDEX(GL!$B:$B,$C1947)))</f>
        <v/>
      </c>
      <c r="E1947" s="5" t="str">
        <f aca="false">IF(C1947=0,"",IF($A1947="Bank",IF(INDEX(Bank!$C:$C,$C1947)="","",INDEX(Bank!$C:$C,$C1947)),IF(INDEX(GL!$C:$C,$C1947)="","",INDEX(GL!$C:$C,$C1947))))</f>
        <v/>
      </c>
      <c r="F1947" s="5" t="str">
        <f aca="false">IF(C1947=0,"",IF($A1947="Bank",IF(INDEX(Bank!$D:$D,$C1947)="","",INDEX(Bank!$D:$D,$C1947)),IF(INDEX(GL!$D:$D,$C1947)="","",INDEX(GL!$D:$D,$C1947))))</f>
        <v/>
      </c>
      <c r="G1947" s="19" t="str">
        <f aca="false">IF(C1947=0,"",IF($A1947="Bank",INDEX(Bank!$E:$E,$C1947),INDEX(GL!$E:$E,$C1947)))</f>
        <v/>
      </c>
      <c r="H1947" s="5" t="str">
        <f aca="false">IF(C1947=0,"",IF(A1947="GL",IF(G1947&gt;0,"Deposit in transit","Outstanding check / payment"),IF(G1947&gt;0,"Bank credit not in GL","Bank debit not in GL")))</f>
        <v/>
      </c>
      <c r="I1947" s="42" t="str">
        <f aca="false">IF(OR(C1947=0,CFG_PeriodEnd=""),"",CFG_PeriodEnd-D1947)</f>
        <v/>
      </c>
      <c r="J1947" s="5" t="str">
        <f aca="false">IF(C1947=0,"",IF($A1947="Bank",IF(INDEX(Bank!$G:$G,$C1947)="","",INDEX(Bank!$G:$G,$C1947)),IF(INDEX(GL!$G:$G,$C1947)="","",INDEX(GL!$G:$G,$C1947))))</f>
        <v/>
      </c>
      <c r="K1947" s="5" t="str">
        <f aca="false">IF(C1947=0,"",IF($A1947="Bank",IF(INDEX(Bank!$I:$I,$C1947)="","",INDEX(Bank!$I:$I,$C1947)),IF(INDEX(GL!$I:$I,$C1947)="","",INDEX(GL!$I:$I,$C1947))))</f>
        <v/>
      </c>
      <c r="L1947" s="5" t="str">
        <f aca="false">IF(B1947="","",IF(C1947=0,"NOT FOUND",IF(IF($A1947="Bank",INDEX(Bank!$F:$F,$C1947),INDEX(GL!$F:$F,$C1947))="Y","NOW RECONCILED: refresh","OK")))</f>
        <v/>
      </c>
    </row>
    <row r="1948" customFormat="false" ht="15" hidden="false" customHeight="false" outlineLevel="0" collapsed="false">
      <c r="A1948" s="41"/>
      <c r="B1948" s="41"/>
      <c r="C1948" s="5" t="n">
        <f aca="false">IF(B1948="",0,IF(A1948="Bank",IFERROR(MATCH(B1948,Bank!$A:$A,0),0),IFERROR(MATCH(B1948,GL!$A:$A,0),0)))</f>
        <v>0</v>
      </c>
      <c r="D1948" s="32" t="str">
        <f aca="false">IF(C1948=0,"",IF($A1948="Bank",INDEX(Bank!$B:$B,$C1948),INDEX(GL!$B:$B,$C1948)))</f>
        <v/>
      </c>
      <c r="E1948" s="5" t="str">
        <f aca="false">IF(C1948=0,"",IF($A1948="Bank",IF(INDEX(Bank!$C:$C,$C1948)="","",INDEX(Bank!$C:$C,$C1948)),IF(INDEX(GL!$C:$C,$C1948)="","",INDEX(GL!$C:$C,$C1948))))</f>
        <v/>
      </c>
      <c r="F1948" s="5" t="str">
        <f aca="false">IF(C1948=0,"",IF($A1948="Bank",IF(INDEX(Bank!$D:$D,$C1948)="","",INDEX(Bank!$D:$D,$C1948)),IF(INDEX(GL!$D:$D,$C1948)="","",INDEX(GL!$D:$D,$C1948))))</f>
        <v/>
      </c>
      <c r="G1948" s="19" t="str">
        <f aca="false">IF(C1948=0,"",IF($A1948="Bank",INDEX(Bank!$E:$E,$C1948),INDEX(GL!$E:$E,$C1948)))</f>
        <v/>
      </c>
      <c r="H1948" s="5" t="str">
        <f aca="false">IF(C1948=0,"",IF(A1948="GL",IF(G1948&gt;0,"Deposit in transit","Outstanding check / payment"),IF(G1948&gt;0,"Bank credit not in GL","Bank debit not in GL")))</f>
        <v/>
      </c>
      <c r="I1948" s="42" t="str">
        <f aca="false">IF(OR(C1948=0,CFG_PeriodEnd=""),"",CFG_PeriodEnd-D1948)</f>
        <v/>
      </c>
      <c r="J1948" s="5" t="str">
        <f aca="false">IF(C1948=0,"",IF($A1948="Bank",IF(INDEX(Bank!$G:$G,$C1948)="","",INDEX(Bank!$G:$G,$C1948)),IF(INDEX(GL!$G:$G,$C1948)="","",INDEX(GL!$G:$G,$C1948))))</f>
        <v/>
      </c>
      <c r="K1948" s="5" t="str">
        <f aca="false">IF(C1948=0,"",IF($A1948="Bank",IF(INDEX(Bank!$I:$I,$C1948)="","",INDEX(Bank!$I:$I,$C1948)),IF(INDEX(GL!$I:$I,$C1948)="","",INDEX(GL!$I:$I,$C1948))))</f>
        <v/>
      </c>
      <c r="L1948" s="5" t="str">
        <f aca="false">IF(B1948="","",IF(C1948=0,"NOT FOUND",IF(IF($A1948="Bank",INDEX(Bank!$F:$F,$C1948),INDEX(GL!$F:$F,$C1948))="Y","NOW RECONCILED: refresh","OK")))</f>
        <v/>
      </c>
    </row>
    <row r="1949" customFormat="false" ht="15" hidden="false" customHeight="false" outlineLevel="0" collapsed="false">
      <c r="A1949" s="41"/>
      <c r="B1949" s="41"/>
      <c r="C1949" s="5" t="n">
        <f aca="false">IF(B1949="",0,IF(A1949="Bank",IFERROR(MATCH(B1949,Bank!$A:$A,0),0),IFERROR(MATCH(B1949,GL!$A:$A,0),0)))</f>
        <v>0</v>
      </c>
      <c r="D1949" s="32" t="str">
        <f aca="false">IF(C1949=0,"",IF($A1949="Bank",INDEX(Bank!$B:$B,$C1949),INDEX(GL!$B:$B,$C1949)))</f>
        <v/>
      </c>
      <c r="E1949" s="5" t="str">
        <f aca="false">IF(C1949=0,"",IF($A1949="Bank",IF(INDEX(Bank!$C:$C,$C1949)="","",INDEX(Bank!$C:$C,$C1949)),IF(INDEX(GL!$C:$C,$C1949)="","",INDEX(GL!$C:$C,$C1949))))</f>
        <v/>
      </c>
      <c r="F1949" s="5" t="str">
        <f aca="false">IF(C1949=0,"",IF($A1949="Bank",IF(INDEX(Bank!$D:$D,$C1949)="","",INDEX(Bank!$D:$D,$C1949)),IF(INDEX(GL!$D:$D,$C1949)="","",INDEX(GL!$D:$D,$C1949))))</f>
        <v/>
      </c>
      <c r="G1949" s="19" t="str">
        <f aca="false">IF(C1949=0,"",IF($A1949="Bank",INDEX(Bank!$E:$E,$C1949),INDEX(GL!$E:$E,$C1949)))</f>
        <v/>
      </c>
      <c r="H1949" s="5" t="str">
        <f aca="false">IF(C1949=0,"",IF(A1949="GL",IF(G1949&gt;0,"Deposit in transit","Outstanding check / payment"),IF(G1949&gt;0,"Bank credit not in GL","Bank debit not in GL")))</f>
        <v/>
      </c>
      <c r="I1949" s="42" t="str">
        <f aca="false">IF(OR(C1949=0,CFG_PeriodEnd=""),"",CFG_PeriodEnd-D1949)</f>
        <v/>
      </c>
      <c r="J1949" s="5" t="str">
        <f aca="false">IF(C1949=0,"",IF($A1949="Bank",IF(INDEX(Bank!$G:$G,$C1949)="","",INDEX(Bank!$G:$G,$C1949)),IF(INDEX(GL!$G:$G,$C1949)="","",INDEX(GL!$G:$G,$C1949))))</f>
        <v/>
      </c>
      <c r="K1949" s="5" t="str">
        <f aca="false">IF(C1949=0,"",IF($A1949="Bank",IF(INDEX(Bank!$I:$I,$C1949)="","",INDEX(Bank!$I:$I,$C1949)),IF(INDEX(GL!$I:$I,$C1949)="","",INDEX(GL!$I:$I,$C1949))))</f>
        <v/>
      </c>
      <c r="L1949" s="5" t="str">
        <f aca="false">IF(B1949="","",IF(C1949=0,"NOT FOUND",IF(IF($A1949="Bank",INDEX(Bank!$F:$F,$C1949),INDEX(GL!$F:$F,$C1949))="Y","NOW RECONCILED: refresh","OK")))</f>
        <v/>
      </c>
    </row>
    <row r="1950" customFormat="false" ht="15" hidden="false" customHeight="false" outlineLevel="0" collapsed="false">
      <c r="A1950" s="41"/>
      <c r="B1950" s="41"/>
      <c r="C1950" s="5" t="n">
        <f aca="false">IF(B1950="",0,IF(A1950="Bank",IFERROR(MATCH(B1950,Bank!$A:$A,0),0),IFERROR(MATCH(B1950,GL!$A:$A,0),0)))</f>
        <v>0</v>
      </c>
      <c r="D1950" s="32" t="str">
        <f aca="false">IF(C1950=0,"",IF($A1950="Bank",INDEX(Bank!$B:$B,$C1950),INDEX(GL!$B:$B,$C1950)))</f>
        <v/>
      </c>
      <c r="E1950" s="5" t="str">
        <f aca="false">IF(C1950=0,"",IF($A1950="Bank",IF(INDEX(Bank!$C:$C,$C1950)="","",INDEX(Bank!$C:$C,$C1950)),IF(INDEX(GL!$C:$C,$C1950)="","",INDEX(GL!$C:$C,$C1950))))</f>
        <v/>
      </c>
      <c r="F1950" s="5" t="str">
        <f aca="false">IF(C1950=0,"",IF($A1950="Bank",IF(INDEX(Bank!$D:$D,$C1950)="","",INDEX(Bank!$D:$D,$C1950)),IF(INDEX(GL!$D:$D,$C1950)="","",INDEX(GL!$D:$D,$C1950))))</f>
        <v/>
      </c>
      <c r="G1950" s="19" t="str">
        <f aca="false">IF(C1950=0,"",IF($A1950="Bank",INDEX(Bank!$E:$E,$C1950),INDEX(GL!$E:$E,$C1950)))</f>
        <v/>
      </c>
      <c r="H1950" s="5" t="str">
        <f aca="false">IF(C1950=0,"",IF(A1950="GL",IF(G1950&gt;0,"Deposit in transit","Outstanding check / payment"),IF(G1950&gt;0,"Bank credit not in GL","Bank debit not in GL")))</f>
        <v/>
      </c>
      <c r="I1950" s="42" t="str">
        <f aca="false">IF(OR(C1950=0,CFG_PeriodEnd=""),"",CFG_PeriodEnd-D1950)</f>
        <v/>
      </c>
      <c r="J1950" s="5" t="str">
        <f aca="false">IF(C1950=0,"",IF($A1950="Bank",IF(INDEX(Bank!$G:$G,$C1950)="","",INDEX(Bank!$G:$G,$C1950)),IF(INDEX(GL!$G:$G,$C1950)="","",INDEX(GL!$G:$G,$C1950))))</f>
        <v/>
      </c>
      <c r="K1950" s="5" t="str">
        <f aca="false">IF(C1950=0,"",IF($A1950="Bank",IF(INDEX(Bank!$I:$I,$C1950)="","",INDEX(Bank!$I:$I,$C1950)),IF(INDEX(GL!$I:$I,$C1950)="","",INDEX(GL!$I:$I,$C1950))))</f>
        <v/>
      </c>
      <c r="L1950" s="5" t="str">
        <f aca="false">IF(B1950="","",IF(C1950=0,"NOT FOUND",IF(IF($A1950="Bank",INDEX(Bank!$F:$F,$C1950),INDEX(GL!$F:$F,$C1950))="Y","NOW RECONCILED: refresh","OK")))</f>
        <v/>
      </c>
    </row>
    <row r="1951" customFormat="false" ht="15" hidden="false" customHeight="false" outlineLevel="0" collapsed="false">
      <c r="A1951" s="41"/>
      <c r="B1951" s="41"/>
      <c r="C1951" s="5" t="n">
        <f aca="false">IF(B1951="",0,IF(A1951="Bank",IFERROR(MATCH(B1951,Bank!$A:$A,0),0),IFERROR(MATCH(B1951,GL!$A:$A,0),0)))</f>
        <v>0</v>
      </c>
      <c r="D1951" s="32" t="str">
        <f aca="false">IF(C1951=0,"",IF($A1951="Bank",INDEX(Bank!$B:$B,$C1951),INDEX(GL!$B:$B,$C1951)))</f>
        <v/>
      </c>
      <c r="E1951" s="5" t="str">
        <f aca="false">IF(C1951=0,"",IF($A1951="Bank",IF(INDEX(Bank!$C:$C,$C1951)="","",INDEX(Bank!$C:$C,$C1951)),IF(INDEX(GL!$C:$C,$C1951)="","",INDEX(GL!$C:$C,$C1951))))</f>
        <v/>
      </c>
      <c r="F1951" s="5" t="str">
        <f aca="false">IF(C1951=0,"",IF($A1951="Bank",IF(INDEX(Bank!$D:$D,$C1951)="","",INDEX(Bank!$D:$D,$C1951)),IF(INDEX(GL!$D:$D,$C1951)="","",INDEX(GL!$D:$D,$C1951))))</f>
        <v/>
      </c>
      <c r="G1951" s="19" t="str">
        <f aca="false">IF(C1951=0,"",IF($A1951="Bank",INDEX(Bank!$E:$E,$C1951),INDEX(GL!$E:$E,$C1951)))</f>
        <v/>
      </c>
      <c r="H1951" s="5" t="str">
        <f aca="false">IF(C1951=0,"",IF(A1951="GL",IF(G1951&gt;0,"Deposit in transit","Outstanding check / payment"),IF(G1951&gt;0,"Bank credit not in GL","Bank debit not in GL")))</f>
        <v/>
      </c>
      <c r="I1951" s="42" t="str">
        <f aca="false">IF(OR(C1951=0,CFG_PeriodEnd=""),"",CFG_PeriodEnd-D1951)</f>
        <v/>
      </c>
      <c r="J1951" s="5" t="str">
        <f aca="false">IF(C1951=0,"",IF($A1951="Bank",IF(INDEX(Bank!$G:$G,$C1951)="","",INDEX(Bank!$G:$G,$C1951)),IF(INDEX(GL!$G:$G,$C1951)="","",INDEX(GL!$G:$G,$C1951))))</f>
        <v/>
      </c>
      <c r="K1951" s="5" t="str">
        <f aca="false">IF(C1951=0,"",IF($A1951="Bank",IF(INDEX(Bank!$I:$I,$C1951)="","",INDEX(Bank!$I:$I,$C1951)),IF(INDEX(GL!$I:$I,$C1951)="","",INDEX(GL!$I:$I,$C1951))))</f>
        <v/>
      </c>
      <c r="L1951" s="5" t="str">
        <f aca="false">IF(B1951="","",IF(C1951=0,"NOT FOUND",IF(IF($A1951="Bank",INDEX(Bank!$F:$F,$C1951),INDEX(GL!$F:$F,$C1951))="Y","NOW RECONCILED: refresh","OK")))</f>
        <v/>
      </c>
    </row>
    <row r="1952" customFormat="false" ht="15" hidden="false" customHeight="false" outlineLevel="0" collapsed="false">
      <c r="A1952" s="41"/>
      <c r="B1952" s="41"/>
      <c r="C1952" s="5" t="n">
        <f aca="false">IF(B1952="",0,IF(A1952="Bank",IFERROR(MATCH(B1952,Bank!$A:$A,0),0),IFERROR(MATCH(B1952,GL!$A:$A,0),0)))</f>
        <v>0</v>
      </c>
      <c r="D1952" s="32" t="str">
        <f aca="false">IF(C1952=0,"",IF($A1952="Bank",INDEX(Bank!$B:$B,$C1952),INDEX(GL!$B:$B,$C1952)))</f>
        <v/>
      </c>
      <c r="E1952" s="5" t="str">
        <f aca="false">IF(C1952=0,"",IF($A1952="Bank",IF(INDEX(Bank!$C:$C,$C1952)="","",INDEX(Bank!$C:$C,$C1952)),IF(INDEX(GL!$C:$C,$C1952)="","",INDEX(GL!$C:$C,$C1952))))</f>
        <v/>
      </c>
      <c r="F1952" s="5" t="str">
        <f aca="false">IF(C1952=0,"",IF($A1952="Bank",IF(INDEX(Bank!$D:$D,$C1952)="","",INDEX(Bank!$D:$D,$C1952)),IF(INDEX(GL!$D:$D,$C1952)="","",INDEX(GL!$D:$D,$C1952))))</f>
        <v/>
      </c>
      <c r="G1952" s="19" t="str">
        <f aca="false">IF(C1952=0,"",IF($A1952="Bank",INDEX(Bank!$E:$E,$C1952),INDEX(GL!$E:$E,$C1952)))</f>
        <v/>
      </c>
      <c r="H1952" s="5" t="str">
        <f aca="false">IF(C1952=0,"",IF(A1952="GL",IF(G1952&gt;0,"Deposit in transit","Outstanding check / payment"),IF(G1952&gt;0,"Bank credit not in GL","Bank debit not in GL")))</f>
        <v/>
      </c>
      <c r="I1952" s="42" t="str">
        <f aca="false">IF(OR(C1952=0,CFG_PeriodEnd=""),"",CFG_PeriodEnd-D1952)</f>
        <v/>
      </c>
      <c r="J1952" s="5" t="str">
        <f aca="false">IF(C1952=0,"",IF($A1952="Bank",IF(INDEX(Bank!$G:$G,$C1952)="","",INDEX(Bank!$G:$G,$C1952)),IF(INDEX(GL!$G:$G,$C1952)="","",INDEX(GL!$G:$G,$C1952))))</f>
        <v/>
      </c>
      <c r="K1952" s="5" t="str">
        <f aca="false">IF(C1952=0,"",IF($A1952="Bank",IF(INDEX(Bank!$I:$I,$C1952)="","",INDEX(Bank!$I:$I,$C1952)),IF(INDEX(GL!$I:$I,$C1952)="","",INDEX(GL!$I:$I,$C1952))))</f>
        <v/>
      </c>
      <c r="L1952" s="5" t="str">
        <f aca="false">IF(B1952="","",IF(C1952=0,"NOT FOUND",IF(IF($A1952="Bank",INDEX(Bank!$F:$F,$C1952),INDEX(GL!$F:$F,$C1952))="Y","NOW RECONCILED: refresh","OK")))</f>
        <v/>
      </c>
    </row>
    <row r="1953" customFormat="false" ht="15" hidden="false" customHeight="false" outlineLevel="0" collapsed="false">
      <c r="A1953" s="41"/>
      <c r="B1953" s="41"/>
      <c r="C1953" s="5" t="n">
        <f aca="false">IF(B1953="",0,IF(A1953="Bank",IFERROR(MATCH(B1953,Bank!$A:$A,0),0),IFERROR(MATCH(B1953,GL!$A:$A,0),0)))</f>
        <v>0</v>
      </c>
      <c r="D1953" s="32" t="str">
        <f aca="false">IF(C1953=0,"",IF($A1953="Bank",INDEX(Bank!$B:$B,$C1953),INDEX(GL!$B:$B,$C1953)))</f>
        <v/>
      </c>
      <c r="E1953" s="5" t="str">
        <f aca="false">IF(C1953=0,"",IF($A1953="Bank",IF(INDEX(Bank!$C:$C,$C1953)="","",INDEX(Bank!$C:$C,$C1953)),IF(INDEX(GL!$C:$C,$C1953)="","",INDEX(GL!$C:$C,$C1953))))</f>
        <v/>
      </c>
      <c r="F1953" s="5" t="str">
        <f aca="false">IF(C1953=0,"",IF($A1953="Bank",IF(INDEX(Bank!$D:$D,$C1953)="","",INDEX(Bank!$D:$D,$C1953)),IF(INDEX(GL!$D:$D,$C1953)="","",INDEX(GL!$D:$D,$C1953))))</f>
        <v/>
      </c>
      <c r="G1953" s="19" t="str">
        <f aca="false">IF(C1953=0,"",IF($A1953="Bank",INDEX(Bank!$E:$E,$C1953),INDEX(GL!$E:$E,$C1953)))</f>
        <v/>
      </c>
      <c r="H1953" s="5" t="str">
        <f aca="false">IF(C1953=0,"",IF(A1953="GL",IF(G1953&gt;0,"Deposit in transit","Outstanding check / payment"),IF(G1953&gt;0,"Bank credit not in GL","Bank debit not in GL")))</f>
        <v/>
      </c>
      <c r="I1953" s="42" t="str">
        <f aca="false">IF(OR(C1953=0,CFG_PeriodEnd=""),"",CFG_PeriodEnd-D1953)</f>
        <v/>
      </c>
      <c r="J1953" s="5" t="str">
        <f aca="false">IF(C1953=0,"",IF($A1953="Bank",IF(INDEX(Bank!$G:$G,$C1953)="","",INDEX(Bank!$G:$G,$C1953)),IF(INDEX(GL!$G:$G,$C1953)="","",INDEX(GL!$G:$G,$C1953))))</f>
        <v/>
      </c>
      <c r="K1953" s="5" t="str">
        <f aca="false">IF(C1953=0,"",IF($A1953="Bank",IF(INDEX(Bank!$I:$I,$C1953)="","",INDEX(Bank!$I:$I,$C1953)),IF(INDEX(GL!$I:$I,$C1953)="","",INDEX(GL!$I:$I,$C1953))))</f>
        <v/>
      </c>
      <c r="L1953" s="5" t="str">
        <f aca="false">IF(B1953="","",IF(C1953=0,"NOT FOUND",IF(IF($A1953="Bank",INDEX(Bank!$F:$F,$C1953),INDEX(GL!$F:$F,$C1953))="Y","NOW RECONCILED: refresh","OK")))</f>
        <v/>
      </c>
    </row>
    <row r="1954" customFormat="false" ht="15" hidden="false" customHeight="false" outlineLevel="0" collapsed="false">
      <c r="A1954" s="41"/>
      <c r="B1954" s="41"/>
      <c r="C1954" s="5" t="n">
        <f aca="false">IF(B1954="",0,IF(A1954="Bank",IFERROR(MATCH(B1954,Bank!$A:$A,0),0),IFERROR(MATCH(B1954,GL!$A:$A,0),0)))</f>
        <v>0</v>
      </c>
      <c r="D1954" s="32" t="str">
        <f aca="false">IF(C1954=0,"",IF($A1954="Bank",INDEX(Bank!$B:$B,$C1954),INDEX(GL!$B:$B,$C1954)))</f>
        <v/>
      </c>
      <c r="E1954" s="5" t="str">
        <f aca="false">IF(C1954=0,"",IF($A1954="Bank",IF(INDEX(Bank!$C:$C,$C1954)="","",INDEX(Bank!$C:$C,$C1954)),IF(INDEX(GL!$C:$C,$C1954)="","",INDEX(GL!$C:$C,$C1954))))</f>
        <v/>
      </c>
      <c r="F1954" s="5" t="str">
        <f aca="false">IF(C1954=0,"",IF($A1954="Bank",IF(INDEX(Bank!$D:$D,$C1954)="","",INDEX(Bank!$D:$D,$C1954)),IF(INDEX(GL!$D:$D,$C1954)="","",INDEX(GL!$D:$D,$C1954))))</f>
        <v/>
      </c>
      <c r="G1954" s="19" t="str">
        <f aca="false">IF(C1954=0,"",IF($A1954="Bank",INDEX(Bank!$E:$E,$C1954),INDEX(GL!$E:$E,$C1954)))</f>
        <v/>
      </c>
      <c r="H1954" s="5" t="str">
        <f aca="false">IF(C1954=0,"",IF(A1954="GL",IF(G1954&gt;0,"Deposit in transit","Outstanding check / payment"),IF(G1954&gt;0,"Bank credit not in GL","Bank debit not in GL")))</f>
        <v/>
      </c>
      <c r="I1954" s="42" t="str">
        <f aca="false">IF(OR(C1954=0,CFG_PeriodEnd=""),"",CFG_PeriodEnd-D1954)</f>
        <v/>
      </c>
      <c r="J1954" s="5" t="str">
        <f aca="false">IF(C1954=0,"",IF($A1954="Bank",IF(INDEX(Bank!$G:$G,$C1954)="","",INDEX(Bank!$G:$G,$C1954)),IF(INDEX(GL!$G:$G,$C1954)="","",INDEX(GL!$G:$G,$C1954))))</f>
        <v/>
      </c>
      <c r="K1954" s="5" t="str">
        <f aca="false">IF(C1954=0,"",IF($A1954="Bank",IF(INDEX(Bank!$I:$I,$C1954)="","",INDEX(Bank!$I:$I,$C1954)),IF(INDEX(GL!$I:$I,$C1954)="","",INDEX(GL!$I:$I,$C1954))))</f>
        <v/>
      </c>
      <c r="L1954" s="5" t="str">
        <f aca="false">IF(B1954="","",IF(C1954=0,"NOT FOUND",IF(IF($A1954="Bank",INDEX(Bank!$F:$F,$C1954),INDEX(GL!$F:$F,$C1954))="Y","NOW RECONCILED: refresh","OK")))</f>
        <v/>
      </c>
    </row>
    <row r="1955" customFormat="false" ht="15" hidden="false" customHeight="false" outlineLevel="0" collapsed="false">
      <c r="A1955" s="41"/>
      <c r="B1955" s="41"/>
      <c r="C1955" s="5" t="n">
        <f aca="false">IF(B1955="",0,IF(A1955="Bank",IFERROR(MATCH(B1955,Bank!$A:$A,0),0),IFERROR(MATCH(B1955,GL!$A:$A,0),0)))</f>
        <v>0</v>
      </c>
      <c r="D1955" s="32" t="str">
        <f aca="false">IF(C1955=0,"",IF($A1955="Bank",INDEX(Bank!$B:$B,$C1955),INDEX(GL!$B:$B,$C1955)))</f>
        <v/>
      </c>
      <c r="E1955" s="5" t="str">
        <f aca="false">IF(C1955=0,"",IF($A1955="Bank",IF(INDEX(Bank!$C:$C,$C1955)="","",INDEX(Bank!$C:$C,$C1955)),IF(INDEX(GL!$C:$C,$C1955)="","",INDEX(GL!$C:$C,$C1955))))</f>
        <v/>
      </c>
      <c r="F1955" s="5" t="str">
        <f aca="false">IF(C1955=0,"",IF($A1955="Bank",IF(INDEX(Bank!$D:$D,$C1955)="","",INDEX(Bank!$D:$D,$C1955)),IF(INDEX(GL!$D:$D,$C1955)="","",INDEX(GL!$D:$D,$C1955))))</f>
        <v/>
      </c>
      <c r="G1955" s="19" t="str">
        <f aca="false">IF(C1955=0,"",IF($A1955="Bank",INDEX(Bank!$E:$E,$C1955),INDEX(GL!$E:$E,$C1955)))</f>
        <v/>
      </c>
      <c r="H1955" s="5" t="str">
        <f aca="false">IF(C1955=0,"",IF(A1955="GL",IF(G1955&gt;0,"Deposit in transit","Outstanding check / payment"),IF(G1955&gt;0,"Bank credit not in GL","Bank debit not in GL")))</f>
        <v/>
      </c>
      <c r="I1955" s="42" t="str">
        <f aca="false">IF(OR(C1955=0,CFG_PeriodEnd=""),"",CFG_PeriodEnd-D1955)</f>
        <v/>
      </c>
      <c r="J1955" s="5" t="str">
        <f aca="false">IF(C1955=0,"",IF($A1955="Bank",IF(INDEX(Bank!$G:$G,$C1955)="","",INDEX(Bank!$G:$G,$C1955)),IF(INDEX(GL!$G:$G,$C1955)="","",INDEX(GL!$G:$G,$C1955))))</f>
        <v/>
      </c>
      <c r="K1955" s="5" t="str">
        <f aca="false">IF(C1955=0,"",IF($A1955="Bank",IF(INDEX(Bank!$I:$I,$C1955)="","",INDEX(Bank!$I:$I,$C1955)),IF(INDEX(GL!$I:$I,$C1955)="","",INDEX(GL!$I:$I,$C1955))))</f>
        <v/>
      </c>
      <c r="L1955" s="5" t="str">
        <f aca="false">IF(B1955="","",IF(C1955=0,"NOT FOUND",IF(IF($A1955="Bank",INDEX(Bank!$F:$F,$C1955),INDEX(GL!$F:$F,$C1955))="Y","NOW RECONCILED: refresh","OK")))</f>
        <v/>
      </c>
    </row>
    <row r="1956" customFormat="false" ht="15" hidden="false" customHeight="false" outlineLevel="0" collapsed="false">
      <c r="A1956" s="41"/>
      <c r="B1956" s="41"/>
      <c r="C1956" s="5" t="n">
        <f aca="false">IF(B1956="",0,IF(A1956="Bank",IFERROR(MATCH(B1956,Bank!$A:$A,0),0),IFERROR(MATCH(B1956,GL!$A:$A,0),0)))</f>
        <v>0</v>
      </c>
      <c r="D1956" s="32" t="str">
        <f aca="false">IF(C1956=0,"",IF($A1956="Bank",INDEX(Bank!$B:$B,$C1956),INDEX(GL!$B:$B,$C1956)))</f>
        <v/>
      </c>
      <c r="E1956" s="5" t="str">
        <f aca="false">IF(C1956=0,"",IF($A1956="Bank",IF(INDEX(Bank!$C:$C,$C1956)="","",INDEX(Bank!$C:$C,$C1956)),IF(INDEX(GL!$C:$C,$C1956)="","",INDEX(GL!$C:$C,$C1956))))</f>
        <v/>
      </c>
      <c r="F1956" s="5" t="str">
        <f aca="false">IF(C1956=0,"",IF($A1956="Bank",IF(INDEX(Bank!$D:$D,$C1956)="","",INDEX(Bank!$D:$D,$C1956)),IF(INDEX(GL!$D:$D,$C1956)="","",INDEX(GL!$D:$D,$C1956))))</f>
        <v/>
      </c>
      <c r="G1956" s="19" t="str">
        <f aca="false">IF(C1956=0,"",IF($A1956="Bank",INDEX(Bank!$E:$E,$C1956),INDEX(GL!$E:$E,$C1956)))</f>
        <v/>
      </c>
      <c r="H1956" s="5" t="str">
        <f aca="false">IF(C1956=0,"",IF(A1956="GL",IF(G1956&gt;0,"Deposit in transit","Outstanding check / payment"),IF(G1956&gt;0,"Bank credit not in GL","Bank debit not in GL")))</f>
        <v/>
      </c>
      <c r="I1956" s="42" t="str">
        <f aca="false">IF(OR(C1956=0,CFG_PeriodEnd=""),"",CFG_PeriodEnd-D1956)</f>
        <v/>
      </c>
      <c r="J1956" s="5" t="str">
        <f aca="false">IF(C1956=0,"",IF($A1956="Bank",IF(INDEX(Bank!$G:$G,$C1956)="","",INDEX(Bank!$G:$G,$C1956)),IF(INDEX(GL!$G:$G,$C1956)="","",INDEX(GL!$G:$G,$C1956))))</f>
        <v/>
      </c>
      <c r="K1956" s="5" t="str">
        <f aca="false">IF(C1956=0,"",IF($A1956="Bank",IF(INDEX(Bank!$I:$I,$C1956)="","",INDEX(Bank!$I:$I,$C1956)),IF(INDEX(GL!$I:$I,$C1956)="","",INDEX(GL!$I:$I,$C1956))))</f>
        <v/>
      </c>
      <c r="L1956" s="5" t="str">
        <f aca="false">IF(B1956="","",IF(C1956=0,"NOT FOUND",IF(IF($A1956="Bank",INDEX(Bank!$F:$F,$C1956),INDEX(GL!$F:$F,$C1956))="Y","NOW RECONCILED: refresh","OK")))</f>
        <v/>
      </c>
    </row>
    <row r="1957" customFormat="false" ht="15" hidden="false" customHeight="false" outlineLevel="0" collapsed="false">
      <c r="A1957" s="41"/>
      <c r="B1957" s="41"/>
      <c r="C1957" s="5" t="n">
        <f aca="false">IF(B1957="",0,IF(A1957="Bank",IFERROR(MATCH(B1957,Bank!$A:$A,0),0),IFERROR(MATCH(B1957,GL!$A:$A,0),0)))</f>
        <v>0</v>
      </c>
      <c r="D1957" s="32" t="str">
        <f aca="false">IF(C1957=0,"",IF($A1957="Bank",INDEX(Bank!$B:$B,$C1957),INDEX(GL!$B:$B,$C1957)))</f>
        <v/>
      </c>
      <c r="E1957" s="5" t="str">
        <f aca="false">IF(C1957=0,"",IF($A1957="Bank",IF(INDEX(Bank!$C:$C,$C1957)="","",INDEX(Bank!$C:$C,$C1957)),IF(INDEX(GL!$C:$C,$C1957)="","",INDEX(GL!$C:$C,$C1957))))</f>
        <v/>
      </c>
      <c r="F1957" s="5" t="str">
        <f aca="false">IF(C1957=0,"",IF($A1957="Bank",IF(INDEX(Bank!$D:$D,$C1957)="","",INDEX(Bank!$D:$D,$C1957)),IF(INDEX(GL!$D:$D,$C1957)="","",INDEX(GL!$D:$D,$C1957))))</f>
        <v/>
      </c>
      <c r="G1957" s="19" t="str">
        <f aca="false">IF(C1957=0,"",IF($A1957="Bank",INDEX(Bank!$E:$E,$C1957),INDEX(GL!$E:$E,$C1957)))</f>
        <v/>
      </c>
      <c r="H1957" s="5" t="str">
        <f aca="false">IF(C1957=0,"",IF(A1957="GL",IF(G1957&gt;0,"Deposit in transit","Outstanding check / payment"),IF(G1957&gt;0,"Bank credit not in GL","Bank debit not in GL")))</f>
        <v/>
      </c>
      <c r="I1957" s="42" t="str">
        <f aca="false">IF(OR(C1957=0,CFG_PeriodEnd=""),"",CFG_PeriodEnd-D1957)</f>
        <v/>
      </c>
      <c r="J1957" s="5" t="str">
        <f aca="false">IF(C1957=0,"",IF($A1957="Bank",IF(INDEX(Bank!$G:$G,$C1957)="","",INDEX(Bank!$G:$G,$C1957)),IF(INDEX(GL!$G:$G,$C1957)="","",INDEX(GL!$G:$G,$C1957))))</f>
        <v/>
      </c>
      <c r="K1957" s="5" t="str">
        <f aca="false">IF(C1957=0,"",IF($A1957="Bank",IF(INDEX(Bank!$I:$I,$C1957)="","",INDEX(Bank!$I:$I,$C1957)),IF(INDEX(GL!$I:$I,$C1957)="","",INDEX(GL!$I:$I,$C1957))))</f>
        <v/>
      </c>
      <c r="L1957" s="5" t="str">
        <f aca="false">IF(B1957="","",IF(C1957=0,"NOT FOUND",IF(IF($A1957="Bank",INDEX(Bank!$F:$F,$C1957),INDEX(GL!$F:$F,$C1957))="Y","NOW RECONCILED: refresh","OK")))</f>
        <v/>
      </c>
    </row>
    <row r="1958" customFormat="false" ht="15" hidden="false" customHeight="false" outlineLevel="0" collapsed="false">
      <c r="A1958" s="41"/>
      <c r="B1958" s="41"/>
      <c r="C1958" s="5" t="n">
        <f aca="false">IF(B1958="",0,IF(A1958="Bank",IFERROR(MATCH(B1958,Bank!$A:$A,0),0),IFERROR(MATCH(B1958,GL!$A:$A,0),0)))</f>
        <v>0</v>
      </c>
      <c r="D1958" s="32" t="str">
        <f aca="false">IF(C1958=0,"",IF($A1958="Bank",INDEX(Bank!$B:$B,$C1958),INDEX(GL!$B:$B,$C1958)))</f>
        <v/>
      </c>
      <c r="E1958" s="5" t="str">
        <f aca="false">IF(C1958=0,"",IF($A1958="Bank",IF(INDEX(Bank!$C:$C,$C1958)="","",INDEX(Bank!$C:$C,$C1958)),IF(INDEX(GL!$C:$C,$C1958)="","",INDEX(GL!$C:$C,$C1958))))</f>
        <v/>
      </c>
      <c r="F1958" s="5" t="str">
        <f aca="false">IF(C1958=0,"",IF($A1958="Bank",IF(INDEX(Bank!$D:$D,$C1958)="","",INDEX(Bank!$D:$D,$C1958)),IF(INDEX(GL!$D:$D,$C1958)="","",INDEX(GL!$D:$D,$C1958))))</f>
        <v/>
      </c>
      <c r="G1958" s="19" t="str">
        <f aca="false">IF(C1958=0,"",IF($A1958="Bank",INDEX(Bank!$E:$E,$C1958),INDEX(GL!$E:$E,$C1958)))</f>
        <v/>
      </c>
      <c r="H1958" s="5" t="str">
        <f aca="false">IF(C1958=0,"",IF(A1958="GL",IF(G1958&gt;0,"Deposit in transit","Outstanding check / payment"),IF(G1958&gt;0,"Bank credit not in GL","Bank debit not in GL")))</f>
        <v/>
      </c>
      <c r="I1958" s="42" t="str">
        <f aca="false">IF(OR(C1958=0,CFG_PeriodEnd=""),"",CFG_PeriodEnd-D1958)</f>
        <v/>
      </c>
      <c r="J1958" s="5" t="str">
        <f aca="false">IF(C1958=0,"",IF($A1958="Bank",IF(INDEX(Bank!$G:$G,$C1958)="","",INDEX(Bank!$G:$G,$C1958)),IF(INDEX(GL!$G:$G,$C1958)="","",INDEX(GL!$G:$G,$C1958))))</f>
        <v/>
      </c>
      <c r="K1958" s="5" t="str">
        <f aca="false">IF(C1958=0,"",IF($A1958="Bank",IF(INDEX(Bank!$I:$I,$C1958)="","",INDEX(Bank!$I:$I,$C1958)),IF(INDEX(GL!$I:$I,$C1958)="","",INDEX(GL!$I:$I,$C1958))))</f>
        <v/>
      </c>
      <c r="L1958" s="5" t="str">
        <f aca="false">IF(B1958="","",IF(C1958=0,"NOT FOUND",IF(IF($A1958="Bank",INDEX(Bank!$F:$F,$C1958),INDEX(GL!$F:$F,$C1958))="Y","NOW RECONCILED: refresh","OK")))</f>
        <v/>
      </c>
    </row>
    <row r="1959" customFormat="false" ht="15" hidden="false" customHeight="false" outlineLevel="0" collapsed="false">
      <c r="A1959" s="41"/>
      <c r="B1959" s="41"/>
      <c r="C1959" s="5" t="n">
        <f aca="false">IF(B1959="",0,IF(A1959="Bank",IFERROR(MATCH(B1959,Bank!$A:$A,0),0),IFERROR(MATCH(B1959,GL!$A:$A,0),0)))</f>
        <v>0</v>
      </c>
      <c r="D1959" s="32" t="str">
        <f aca="false">IF(C1959=0,"",IF($A1959="Bank",INDEX(Bank!$B:$B,$C1959),INDEX(GL!$B:$B,$C1959)))</f>
        <v/>
      </c>
      <c r="E1959" s="5" t="str">
        <f aca="false">IF(C1959=0,"",IF($A1959="Bank",IF(INDEX(Bank!$C:$C,$C1959)="","",INDEX(Bank!$C:$C,$C1959)),IF(INDEX(GL!$C:$C,$C1959)="","",INDEX(GL!$C:$C,$C1959))))</f>
        <v/>
      </c>
      <c r="F1959" s="5" t="str">
        <f aca="false">IF(C1959=0,"",IF($A1959="Bank",IF(INDEX(Bank!$D:$D,$C1959)="","",INDEX(Bank!$D:$D,$C1959)),IF(INDEX(GL!$D:$D,$C1959)="","",INDEX(GL!$D:$D,$C1959))))</f>
        <v/>
      </c>
      <c r="G1959" s="19" t="str">
        <f aca="false">IF(C1959=0,"",IF($A1959="Bank",INDEX(Bank!$E:$E,$C1959),INDEX(GL!$E:$E,$C1959)))</f>
        <v/>
      </c>
      <c r="H1959" s="5" t="str">
        <f aca="false">IF(C1959=0,"",IF(A1959="GL",IF(G1959&gt;0,"Deposit in transit","Outstanding check / payment"),IF(G1959&gt;0,"Bank credit not in GL","Bank debit not in GL")))</f>
        <v/>
      </c>
      <c r="I1959" s="42" t="str">
        <f aca="false">IF(OR(C1959=0,CFG_PeriodEnd=""),"",CFG_PeriodEnd-D1959)</f>
        <v/>
      </c>
      <c r="J1959" s="5" t="str">
        <f aca="false">IF(C1959=0,"",IF($A1959="Bank",IF(INDEX(Bank!$G:$G,$C1959)="","",INDEX(Bank!$G:$G,$C1959)),IF(INDEX(GL!$G:$G,$C1959)="","",INDEX(GL!$G:$G,$C1959))))</f>
        <v/>
      </c>
      <c r="K1959" s="5" t="str">
        <f aca="false">IF(C1959=0,"",IF($A1959="Bank",IF(INDEX(Bank!$I:$I,$C1959)="","",INDEX(Bank!$I:$I,$C1959)),IF(INDEX(GL!$I:$I,$C1959)="","",INDEX(GL!$I:$I,$C1959))))</f>
        <v/>
      </c>
      <c r="L1959" s="5" t="str">
        <f aca="false">IF(B1959="","",IF(C1959=0,"NOT FOUND",IF(IF($A1959="Bank",INDEX(Bank!$F:$F,$C1959),INDEX(GL!$F:$F,$C1959))="Y","NOW RECONCILED: refresh","OK")))</f>
        <v/>
      </c>
    </row>
    <row r="1960" customFormat="false" ht="15" hidden="false" customHeight="false" outlineLevel="0" collapsed="false">
      <c r="A1960" s="41"/>
      <c r="B1960" s="41"/>
      <c r="C1960" s="5" t="n">
        <f aca="false">IF(B1960="",0,IF(A1960="Bank",IFERROR(MATCH(B1960,Bank!$A:$A,0),0),IFERROR(MATCH(B1960,GL!$A:$A,0),0)))</f>
        <v>0</v>
      </c>
      <c r="D1960" s="32" t="str">
        <f aca="false">IF(C1960=0,"",IF($A1960="Bank",INDEX(Bank!$B:$B,$C1960),INDEX(GL!$B:$B,$C1960)))</f>
        <v/>
      </c>
      <c r="E1960" s="5" t="str">
        <f aca="false">IF(C1960=0,"",IF($A1960="Bank",IF(INDEX(Bank!$C:$C,$C1960)="","",INDEX(Bank!$C:$C,$C1960)),IF(INDEX(GL!$C:$C,$C1960)="","",INDEX(GL!$C:$C,$C1960))))</f>
        <v/>
      </c>
      <c r="F1960" s="5" t="str">
        <f aca="false">IF(C1960=0,"",IF($A1960="Bank",IF(INDEX(Bank!$D:$D,$C1960)="","",INDEX(Bank!$D:$D,$C1960)),IF(INDEX(GL!$D:$D,$C1960)="","",INDEX(GL!$D:$D,$C1960))))</f>
        <v/>
      </c>
      <c r="G1960" s="19" t="str">
        <f aca="false">IF(C1960=0,"",IF($A1960="Bank",INDEX(Bank!$E:$E,$C1960),INDEX(GL!$E:$E,$C1960)))</f>
        <v/>
      </c>
      <c r="H1960" s="5" t="str">
        <f aca="false">IF(C1960=0,"",IF(A1960="GL",IF(G1960&gt;0,"Deposit in transit","Outstanding check / payment"),IF(G1960&gt;0,"Bank credit not in GL","Bank debit not in GL")))</f>
        <v/>
      </c>
      <c r="I1960" s="42" t="str">
        <f aca="false">IF(OR(C1960=0,CFG_PeriodEnd=""),"",CFG_PeriodEnd-D1960)</f>
        <v/>
      </c>
      <c r="J1960" s="5" t="str">
        <f aca="false">IF(C1960=0,"",IF($A1960="Bank",IF(INDEX(Bank!$G:$G,$C1960)="","",INDEX(Bank!$G:$G,$C1960)),IF(INDEX(GL!$G:$G,$C1960)="","",INDEX(GL!$G:$G,$C1960))))</f>
        <v/>
      </c>
      <c r="K1960" s="5" t="str">
        <f aca="false">IF(C1960=0,"",IF($A1960="Bank",IF(INDEX(Bank!$I:$I,$C1960)="","",INDEX(Bank!$I:$I,$C1960)),IF(INDEX(GL!$I:$I,$C1960)="","",INDEX(GL!$I:$I,$C1960))))</f>
        <v/>
      </c>
      <c r="L1960" s="5" t="str">
        <f aca="false">IF(B1960="","",IF(C1960=0,"NOT FOUND",IF(IF($A1960="Bank",INDEX(Bank!$F:$F,$C1960),INDEX(GL!$F:$F,$C1960))="Y","NOW RECONCILED: refresh","OK")))</f>
        <v/>
      </c>
    </row>
    <row r="1961" customFormat="false" ht="15" hidden="false" customHeight="false" outlineLevel="0" collapsed="false">
      <c r="A1961" s="41"/>
      <c r="B1961" s="41"/>
      <c r="C1961" s="5" t="n">
        <f aca="false">IF(B1961="",0,IF(A1961="Bank",IFERROR(MATCH(B1961,Bank!$A:$A,0),0),IFERROR(MATCH(B1961,GL!$A:$A,0),0)))</f>
        <v>0</v>
      </c>
      <c r="D1961" s="32" t="str">
        <f aca="false">IF(C1961=0,"",IF($A1961="Bank",INDEX(Bank!$B:$B,$C1961),INDEX(GL!$B:$B,$C1961)))</f>
        <v/>
      </c>
      <c r="E1961" s="5" t="str">
        <f aca="false">IF(C1961=0,"",IF($A1961="Bank",IF(INDEX(Bank!$C:$C,$C1961)="","",INDEX(Bank!$C:$C,$C1961)),IF(INDEX(GL!$C:$C,$C1961)="","",INDEX(GL!$C:$C,$C1961))))</f>
        <v/>
      </c>
      <c r="F1961" s="5" t="str">
        <f aca="false">IF(C1961=0,"",IF($A1961="Bank",IF(INDEX(Bank!$D:$D,$C1961)="","",INDEX(Bank!$D:$D,$C1961)),IF(INDEX(GL!$D:$D,$C1961)="","",INDEX(GL!$D:$D,$C1961))))</f>
        <v/>
      </c>
      <c r="G1961" s="19" t="str">
        <f aca="false">IF(C1961=0,"",IF($A1961="Bank",INDEX(Bank!$E:$E,$C1961),INDEX(GL!$E:$E,$C1961)))</f>
        <v/>
      </c>
      <c r="H1961" s="5" t="str">
        <f aca="false">IF(C1961=0,"",IF(A1961="GL",IF(G1961&gt;0,"Deposit in transit","Outstanding check / payment"),IF(G1961&gt;0,"Bank credit not in GL","Bank debit not in GL")))</f>
        <v/>
      </c>
      <c r="I1961" s="42" t="str">
        <f aca="false">IF(OR(C1961=0,CFG_PeriodEnd=""),"",CFG_PeriodEnd-D1961)</f>
        <v/>
      </c>
      <c r="J1961" s="5" t="str">
        <f aca="false">IF(C1961=0,"",IF($A1961="Bank",IF(INDEX(Bank!$G:$G,$C1961)="","",INDEX(Bank!$G:$G,$C1961)),IF(INDEX(GL!$G:$G,$C1961)="","",INDEX(GL!$G:$G,$C1961))))</f>
        <v/>
      </c>
      <c r="K1961" s="5" t="str">
        <f aca="false">IF(C1961=0,"",IF($A1961="Bank",IF(INDEX(Bank!$I:$I,$C1961)="","",INDEX(Bank!$I:$I,$C1961)),IF(INDEX(GL!$I:$I,$C1961)="","",INDEX(GL!$I:$I,$C1961))))</f>
        <v/>
      </c>
      <c r="L1961" s="5" t="str">
        <f aca="false">IF(B1961="","",IF(C1961=0,"NOT FOUND",IF(IF($A1961="Bank",INDEX(Bank!$F:$F,$C1961),INDEX(GL!$F:$F,$C1961))="Y","NOW RECONCILED: refresh","OK")))</f>
        <v/>
      </c>
    </row>
    <row r="1962" customFormat="false" ht="15" hidden="false" customHeight="false" outlineLevel="0" collapsed="false">
      <c r="A1962" s="41"/>
      <c r="B1962" s="41"/>
      <c r="C1962" s="5" t="n">
        <f aca="false">IF(B1962="",0,IF(A1962="Bank",IFERROR(MATCH(B1962,Bank!$A:$A,0),0),IFERROR(MATCH(B1962,GL!$A:$A,0),0)))</f>
        <v>0</v>
      </c>
      <c r="D1962" s="32" t="str">
        <f aca="false">IF(C1962=0,"",IF($A1962="Bank",INDEX(Bank!$B:$B,$C1962),INDEX(GL!$B:$B,$C1962)))</f>
        <v/>
      </c>
      <c r="E1962" s="5" t="str">
        <f aca="false">IF(C1962=0,"",IF($A1962="Bank",IF(INDEX(Bank!$C:$C,$C1962)="","",INDEX(Bank!$C:$C,$C1962)),IF(INDEX(GL!$C:$C,$C1962)="","",INDEX(GL!$C:$C,$C1962))))</f>
        <v/>
      </c>
      <c r="F1962" s="5" t="str">
        <f aca="false">IF(C1962=0,"",IF($A1962="Bank",IF(INDEX(Bank!$D:$D,$C1962)="","",INDEX(Bank!$D:$D,$C1962)),IF(INDEX(GL!$D:$D,$C1962)="","",INDEX(GL!$D:$D,$C1962))))</f>
        <v/>
      </c>
      <c r="G1962" s="19" t="str">
        <f aca="false">IF(C1962=0,"",IF($A1962="Bank",INDEX(Bank!$E:$E,$C1962),INDEX(GL!$E:$E,$C1962)))</f>
        <v/>
      </c>
      <c r="H1962" s="5" t="str">
        <f aca="false">IF(C1962=0,"",IF(A1962="GL",IF(G1962&gt;0,"Deposit in transit","Outstanding check / payment"),IF(G1962&gt;0,"Bank credit not in GL","Bank debit not in GL")))</f>
        <v/>
      </c>
      <c r="I1962" s="42" t="str">
        <f aca="false">IF(OR(C1962=0,CFG_PeriodEnd=""),"",CFG_PeriodEnd-D1962)</f>
        <v/>
      </c>
      <c r="J1962" s="5" t="str">
        <f aca="false">IF(C1962=0,"",IF($A1962="Bank",IF(INDEX(Bank!$G:$G,$C1962)="","",INDEX(Bank!$G:$G,$C1962)),IF(INDEX(GL!$G:$G,$C1962)="","",INDEX(GL!$G:$G,$C1962))))</f>
        <v/>
      </c>
      <c r="K1962" s="5" t="str">
        <f aca="false">IF(C1962=0,"",IF($A1962="Bank",IF(INDEX(Bank!$I:$I,$C1962)="","",INDEX(Bank!$I:$I,$C1962)),IF(INDEX(GL!$I:$I,$C1962)="","",INDEX(GL!$I:$I,$C1962))))</f>
        <v/>
      </c>
      <c r="L1962" s="5" t="str">
        <f aca="false">IF(B1962="","",IF(C1962=0,"NOT FOUND",IF(IF($A1962="Bank",INDEX(Bank!$F:$F,$C1962),INDEX(GL!$F:$F,$C1962))="Y","NOW RECONCILED: refresh","OK")))</f>
        <v/>
      </c>
    </row>
    <row r="1963" customFormat="false" ht="15" hidden="false" customHeight="false" outlineLevel="0" collapsed="false">
      <c r="A1963" s="41"/>
      <c r="B1963" s="41"/>
      <c r="C1963" s="5" t="n">
        <f aca="false">IF(B1963="",0,IF(A1963="Bank",IFERROR(MATCH(B1963,Bank!$A:$A,0),0),IFERROR(MATCH(B1963,GL!$A:$A,0),0)))</f>
        <v>0</v>
      </c>
      <c r="D1963" s="32" t="str">
        <f aca="false">IF(C1963=0,"",IF($A1963="Bank",INDEX(Bank!$B:$B,$C1963),INDEX(GL!$B:$B,$C1963)))</f>
        <v/>
      </c>
      <c r="E1963" s="5" t="str">
        <f aca="false">IF(C1963=0,"",IF($A1963="Bank",IF(INDEX(Bank!$C:$C,$C1963)="","",INDEX(Bank!$C:$C,$C1963)),IF(INDEX(GL!$C:$C,$C1963)="","",INDEX(GL!$C:$C,$C1963))))</f>
        <v/>
      </c>
      <c r="F1963" s="5" t="str">
        <f aca="false">IF(C1963=0,"",IF($A1963="Bank",IF(INDEX(Bank!$D:$D,$C1963)="","",INDEX(Bank!$D:$D,$C1963)),IF(INDEX(GL!$D:$D,$C1963)="","",INDEX(GL!$D:$D,$C1963))))</f>
        <v/>
      </c>
      <c r="G1963" s="19" t="str">
        <f aca="false">IF(C1963=0,"",IF($A1963="Bank",INDEX(Bank!$E:$E,$C1963),INDEX(GL!$E:$E,$C1963)))</f>
        <v/>
      </c>
      <c r="H1963" s="5" t="str">
        <f aca="false">IF(C1963=0,"",IF(A1963="GL",IF(G1963&gt;0,"Deposit in transit","Outstanding check / payment"),IF(G1963&gt;0,"Bank credit not in GL","Bank debit not in GL")))</f>
        <v/>
      </c>
      <c r="I1963" s="42" t="str">
        <f aca="false">IF(OR(C1963=0,CFG_PeriodEnd=""),"",CFG_PeriodEnd-D1963)</f>
        <v/>
      </c>
      <c r="J1963" s="5" t="str">
        <f aca="false">IF(C1963=0,"",IF($A1963="Bank",IF(INDEX(Bank!$G:$G,$C1963)="","",INDEX(Bank!$G:$G,$C1963)),IF(INDEX(GL!$G:$G,$C1963)="","",INDEX(GL!$G:$G,$C1963))))</f>
        <v/>
      </c>
      <c r="K1963" s="5" t="str">
        <f aca="false">IF(C1963=0,"",IF($A1963="Bank",IF(INDEX(Bank!$I:$I,$C1963)="","",INDEX(Bank!$I:$I,$C1963)),IF(INDEX(GL!$I:$I,$C1963)="","",INDEX(GL!$I:$I,$C1963))))</f>
        <v/>
      </c>
      <c r="L1963" s="5" t="str">
        <f aca="false">IF(B1963="","",IF(C1963=0,"NOT FOUND",IF(IF($A1963="Bank",INDEX(Bank!$F:$F,$C1963),INDEX(GL!$F:$F,$C1963))="Y","NOW RECONCILED: refresh","OK")))</f>
        <v/>
      </c>
    </row>
    <row r="1964" customFormat="false" ht="15" hidden="false" customHeight="false" outlineLevel="0" collapsed="false">
      <c r="A1964" s="41"/>
      <c r="B1964" s="41"/>
      <c r="C1964" s="5" t="n">
        <f aca="false">IF(B1964="",0,IF(A1964="Bank",IFERROR(MATCH(B1964,Bank!$A:$A,0),0),IFERROR(MATCH(B1964,GL!$A:$A,0),0)))</f>
        <v>0</v>
      </c>
      <c r="D1964" s="32" t="str">
        <f aca="false">IF(C1964=0,"",IF($A1964="Bank",INDEX(Bank!$B:$B,$C1964),INDEX(GL!$B:$B,$C1964)))</f>
        <v/>
      </c>
      <c r="E1964" s="5" t="str">
        <f aca="false">IF(C1964=0,"",IF($A1964="Bank",IF(INDEX(Bank!$C:$C,$C1964)="","",INDEX(Bank!$C:$C,$C1964)),IF(INDEX(GL!$C:$C,$C1964)="","",INDEX(GL!$C:$C,$C1964))))</f>
        <v/>
      </c>
      <c r="F1964" s="5" t="str">
        <f aca="false">IF(C1964=0,"",IF($A1964="Bank",IF(INDEX(Bank!$D:$D,$C1964)="","",INDEX(Bank!$D:$D,$C1964)),IF(INDEX(GL!$D:$D,$C1964)="","",INDEX(GL!$D:$D,$C1964))))</f>
        <v/>
      </c>
      <c r="G1964" s="19" t="str">
        <f aca="false">IF(C1964=0,"",IF($A1964="Bank",INDEX(Bank!$E:$E,$C1964),INDEX(GL!$E:$E,$C1964)))</f>
        <v/>
      </c>
      <c r="H1964" s="5" t="str">
        <f aca="false">IF(C1964=0,"",IF(A1964="GL",IF(G1964&gt;0,"Deposit in transit","Outstanding check / payment"),IF(G1964&gt;0,"Bank credit not in GL","Bank debit not in GL")))</f>
        <v/>
      </c>
      <c r="I1964" s="42" t="str">
        <f aca="false">IF(OR(C1964=0,CFG_PeriodEnd=""),"",CFG_PeriodEnd-D1964)</f>
        <v/>
      </c>
      <c r="J1964" s="5" t="str">
        <f aca="false">IF(C1964=0,"",IF($A1964="Bank",IF(INDEX(Bank!$G:$G,$C1964)="","",INDEX(Bank!$G:$G,$C1964)),IF(INDEX(GL!$G:$G,$C1964)="","",INDEX(GL!$G:$G,$C1964))))</f>
        <v/>
      </c>
      <c r="K1964" s="5" t="str">
        <f aca="false">IF(C1964=0,"",IF($A1964="Bank",IF(INDEX(Bank!$I:$I,$C1964)="","",INDEX(Bank!$I:$I,$C1964)),IF(INDEX(GL!$I:$I,$C1964)="","",INDEX(GL!$I:$I,$C1964))))</f>
        <v/>
      </c>
      <c r="L1964" s="5" t="str">
        <f aca="false">IF(B1964="","",IF(C1964=0,"NOT FOUND",IF(IF($A1964="Bank",INDEX(Bank!$F:$F,$C1964),INDEX(GL!$F:$F,$C1964))="Y","NOW RECONCILED: refresh","OK")))</f>
        <v/>
      </c>
    </row>
    <row r="1965" customFormat="false" ht="15" hidden="false" customHeight="false" outlineLevel="0" collapsed="false">
      <c r="A1965" s="41"/>
      <c r="B1965" s="41"/>
      <c r="C1965" s="5" t="n">
        <f aca="false">IF(B1965="",0,IF(A1965="Bank",IFERROR(MATCH(B1965,Bank!$A:$A,0),0),IFERROR(MATCH(B1965,GL!$A:$A,0),0)))</f>
        <v>0</v>
      </c>
      <c r="D1965" s="32" t="str">
        <f aca="false">IF(C1965=0,"",IF($A1965="Bank",INDEX(Bank!$B:$B,$C1965),INDEX(GL!$B:$B,$C1965)))</f>
        <v/>
      </c>
      <c r="E1965" s="5" t="str">
        <f aca="false">IF(C1965=0,"",IF($A1965="Bank",IF(INDEX(Bank!$C:$C,$C1965)="","",INDEX(Bank!$C:$C,$C1965)),IF(INDEX(GL!$C:$C,$C1965)="","",INDEX(GL!$C:$C,$C1965))))</f>
        <v/>
      </c>
      <c r="F1965" s="5" t="str">
        <f aca="false">IF(C1965=0,"",IF($A1965="Bank",IF(INDEX(Bank!$D:$D,$C1965)="","",INDEX(Bank!$D:$D,$C1965)),IF(INDEX(GL!$D:$D,$C1965)="","",INDEX(GL!$D:$D,$C1965))))</f>
        <v/>
      </c>
      <c r="G1965" s="19" t="str">
        <f aca="false">IF(C1965=0,"",IF($A1965="Bank",INDEX(Bank!$E:$E,$C1965),INDEX(GL!$E:$E,$C1965)))</f>
        <v/>
      </c>
      <c r="H1965" s="5" t="str">
        <f aca="false">IF(C1965=0,"",IF(A1965="GL",IF(G1965&gt;0,"Deposit in transit","Outstanding check / payment"),IF(G1965&gt;0,"Bank credit not in GL","Bank debit not in GL")))</f>
        <v/>
      </c>
      <c r="I1965" s="42" t="str">
        <f aca="false">IF(OR(C1965=0,CFG_PeriodEnd=""),"",CFG_PeriodEnd-D1965)</f>
        <v/>
      </c>
      <c r="J1965" s="5" t="str">
        <f aca="false">IF(C1965=0,"",IF($A1965="Bank",IF(INDEX(Bank!$G:$G,$C1965)="","",INDEX(Bank!$G:$G,$C1965)),IF(INDEX(GL!$G:$G,$C1965)="","",INDEX(GL!$G:$G,$C1965))))</f>
        <v/>
      </c>
      <c r="K1965" s="5" t="str">
        <f aca="false">IF(C1965=0,"",IF($A1965="Bank",IF(INDEX(Bank!$I:$I,$C1965)="","",INDEX(Bank!$I:$I,$C1965)),IF(INDEX(GL!$I:$I,$C1965)="","",INDEX(GL!$I:$I,$C1965))))</f>
        <v/>
      </c>
      <c r="L1965" s="5" t="str">
        <f aca="false">IF(B1965="","",IF(C1965=0,"NOT FOUND",IF(IF($A1965="Bank",INDEX(Bank!$F:$F,$C1965),INDEX(GL!$F:$F,$C1965))="Y","NOW RECONCILED: refresh","OK")))</f>
        <v/>
      </c>
    </row>
    <row r="1966" customFormat="false" ht="15" hidden="false" customHeight="false" outlineLevel="0" collapsed="false">
      <c r="A1966" s="41"/>
      <c r="B1966" s="41"/>
      <c r="C1966" s="5" t="n">
        <f aca="false">IF(B1966="",0,IF(A1966="Bank",IFERROR(MATCH(B1966,Bank!$A:$A,0),0),IFERROR(MATCH(B1966,GL!$A:$A,0),0)))</f>
        <v>0</v>
      </c>
      <c r="D1966" s="32" t="str">
        <f aca="false">IF(C1966=0,"",IF($A1966="Bank",INDEX(Bank!$B:$B,$C1966),INDEX(GL!$B:$B,$C1966)))</f>
        <v/>
      </c>
      <c r="E1966" s="5" t="str">
        <f aca="false">IF(C1966=0,"",IF($A1966="Bank",IF(INDEX(Bank!$C:$C,$C1966)="","",INDEX(Bank!$C:$C,$C1966)),IF(INDEX(GL!$C:$C,$C1966)="","",INDEX(GL!$C:$C,$C1966))))</f>
        <v/>
      </c>
      <c r="F1966" s="5" t="str">
        <f aca="false">IF(C1966=0,"",IF($A1966="Bank",IF(INDEX(Bank!$D:$D,$C1966)="","",INDEX(Bank!$D:$D,$C1966)),IF(INDEX(GL!$D:$D,$C1966)="","",INDEX(GL!$D:$D,$C1966))))</f>
        <v/>
      </c>
      <c r="G1966" s="19" t="str">
        <f aca="false">IF(C1966=0,"",IF($A1966="Bank",INDEX(Bank!$E:$E,$C1966),INDEX(GL!$E:$E,$C1966)))</f>
        <v/>
      </c>
      <c r="H1966" s="5" t="str">
        <f aca="false">IF(C1966=0,"",IF(A1966="GL",IF(G1966&gt;0,"Deposit in transit","Outstanding check / payment"),IF(G1966&gt;0,"Bank credit not in GL","Bank debit not in GL")))</f>
        <v/>
      </c>
      <c r="I1966" s="42" t="str">
        <f aca="false">IF(OR(C1966=0,CFG_PeriodEnd=""),"",CFG_PeriodEnd-D1966)</f>
        <v/>
      </c>
      <c r="J1966" s="5" t="str">
        <f aca="false">IF(C1966=0,"",IF($A1966="Bank",IF(INDEX(Bank!$G:$G,$C1966)="","",INDEX(Bank!$G:$G,$C1966)),IF(INDEX(GL!$G:$G,$C1966)="","",INDEX(GL!$G:$G,$C1966))))</f>
        <v/>
      </c>
      <c r="K1966" s="5" t="str">
        <f aca="false">IF(C1966=0,"",IF($A1966="Bank",IF(INDEX(Bank!$I:$I,$C1966)="","",INDEX(Bank!$I:$I,$C1966)),IF(INDEX(GL!$I:$I,$C1966)="","",INDEX(GL!$I:$I,$C1966))))</f>
        <v/>
      </c>
      <c r="L1966" s="5" t="str">
        <f aca="false">IF(B1966="","",IF(C1966=0,"NOT FOUND",IF(IF($A1966="Bank",INDEX(Bank!$F:$F,$C1966),INDEX(GL!$F:$F,$C1966))="Y","NOW RECONCILED: refresh","OK")))</f>
        <v/>
      </c>
    </row>
    <row r="1967" customFormat="false" ht="15" hidden="false" customHeight="false" outlineLevel="0" collapsed="false">
      <c r="A1967" s="41"/>
      <c r="B1967" s="41"/>
      <c r="C1967" s="5" t="n">
        <f aca="false">IF(B1967="",0,IF(A1967="Bank",IFERROR(MATCH(B1967,Bank!$A:$A,0),0),IFERROR(MATCH(B1967,GL!$A:$A,0),0)))</f>
        <v>0</v>
      </c>
      <c r="D1967" s="32" t="str">
        <f aca="false">IF(C1967=0,"",IF($A1967="Bank",INDEX(Bank!$B:$B,$C1967),INDEX(GL!$B:$B,$C1967)))</f>
        <v/>
      </c>
      <c r="E1967" s="5" t="str">
        <f aca="false">IF(C1967=0,"",IF($A1967="Bank",IF(INDEX(Bank!$C:$C,$C1967)="","",INDEX(Bank!$C:$C,$C1967)),IF(INDEX(GL!$C:$C,$C1967)="","",INDEX(GL!$C:$C,$C1967))))</f>
        <v/>
      </c>
      <c r="F1967" s="5" t="str">
        <f aca="false">IF(C1967=0,"",IF($A1967="Bank",IF(INDEX(Bank!$D:$D,$C1967)="","",INDEX(Bank!$D:$D,$C1967)),IF(INDEX(GL!$D:$D,$C1967)="","",INDEX(GL!$D:$D,$C1967))))</f>
        <v/>
      </c>
      <c r="G1967" s="19" t="str">
        <f aca="false">IF(C1967=0,"",IF($A1967="Bank",INDEX(Bank!$E:$E,$C1967),INDEX(GL!$E:$E,$C1967)))</f>
        <v/>
      </c>
      <c r="H1967" s="5" t="str">
        <f aca="false">IF(C1967=0,"",IF(A1967="GL",IF(G1967&gt;0,"Deposit in transit","Outstanding check / payment"),IF(G1967&gt;0,"Bank credit not in GL","Bank debit not in GL")))</f>
        <v/>
      </c>
      <c r="I1967" s="42" t="str">
        <f aca="false">IF(OR(C1967=0,CFG_PeriodEnd=""),"",CFG_PeriodEnd-D1967)</f>
        <v/>
      </c>
      <c r="J1967" s="5" t="str">
        <f aca="false">IF(C1967=0,"",IF($A1967="Bank",IF(INDEX(Bank!$G:$G,$C1967)="","",INDEX(Bank!$G:$G,$C1967)),IF(INDEX(GL!$G:$G,$C1967)="","",INDEX(GL!$G:$G,$C1967))))</f>
        <v/>
      </c>
      <c r="K1967" s="5" t="str">
        <f aca="false">IF(C1967=0,"",IF($A1967="Bank",IF(INDEX(Bank!$I:$I,$C1967)="","",INDEX(Bank!$I:$I,$C1967)),IF(INDEX(GL!$I:$I,$C1967)="","",INDEX(GL!$I:$I,$C1967))))</f>
        <v/>
      </c>
      <c r="L1967" s="5" t="str">
        <f aca="false">IF(B1967="","",IF(C1967=0,"NOT FOUND",IF(IF($A1967="Bank",INDEX(Bank!$F:$F,$C1967),INDEX(GL!$F:$F,$C1967))="Y","NOW RECONCILED: refresh","OK")))</f>
        <v/>
      </c>
    </row>
    <row r="1968" customFormat="false" ht="15" hidden="false" customHeight="false" outlineLevel="0" collapsed="false">
      <c r="A1968" s="41"/>
      <c r="B1968" s="41"/>
      <c r="C1968" s="5" t="n">
        <f aca="false">IF(B1968="",0,IF(A1968="Bank",IFERROR(MATCH(B1968,Bank!$A:$A,0),0),IFERROR(MATCH(B1968,GL!$A:$A,0),0)))</f>
        <v>0</v>
      </c>
      <c r="D1968" s="32" t="str">
        <f aca="false">IF(C1968=0,"",IF($A1968="Bank",INDEX(Bank!$B:$B,$C1968),INDEX(GL!$B:$B,$C1968)))</f>
        <v/>
      </c>
      <c r="E1968" s="5" t="str">
        <f aca="false">IF(C1968=0,"",IF($A1968="Bank",IF(INDEX(Bank!$C:$C,$C1968)="","",INDEX(Bank!$C:$C,$C1968)),IF(INDEX(GL!$C:$C,$C1968)="","",INDEX(GL!$C:$C,$C1968))))</f>
        <v/>
      </c>
      <c r="F1968" s="5" t="str">
        <f aca="false">IF(C1968=0,"",IF($A1968="Bank",IF(INDEX(Bank!$D:$D,$C1968)="","",INDEX(Bank!$D:$D,$C1968)),IF(INDEX(GL!$D:$D,$C1968)="","",INDEX(GL!$D:$D,$C1968))))</f>
        <v/>
      </c>
      <c r="G1968" s="19" t="str">
        <f aca="false">IF(C1968=0,"",IF($A1968="Bank",INDEX(Bank!$E:$E,$C1968),INDEX(GL!$E:$E,$C1968)))</f>
        <v/>
      </c>
      <c r="H1968" s="5" t="str">
        <f aca="false">IF(C1968=0,"",IF(A1968="GL",IF(G1968&gt;0,"Deposit in transit","Outstanding check / payment"),IF(G1968&gt;0,"Bank credit not in GL","Bank debit not in GL")))</f>
        <v/>
      </c>
      <c r="I1968" s="42" t="str">
        <f aca="false">IF(OR(C1968=0,CFG_PeriodEnd=""),"",CFG_PeriodEnd-D1968)</f>
        <v/>
      </c>
      <c r="J1968" s="5" t="str">
        <f aca="false">IF(C1968=0,"",IF($A1968="Bank",IF(INDEX(Bank!$G:$G,$C1968)="","",INDEX(Bank!$G:$G,$C1968)),IF(INDEX(GL!$G:$G,$C1968)="","",INDEX(GL!$G:$G,$C1968))))</f>
        <v/>
      </c>
      <c r="K1968" s="5" t="str">
        <f aca="false">IF(C1968=0,"",IF($A1968="Bank",IF(INDEX(Bank!$I:$I,$C1968)="","",INDEX(Bank!$I:$I,$C1968)),IF(INDEX(GL!$I:$I,$C1968)="","",INDEX(GL!$I:$I,$C1968))))</f>
        <v/>
      </c>
      <c r="L1968" s="5" t="str">
        <f aca="false">IF(B1968="","",IF(C1968=0,"NOT FOUND",IF(IF($A1968="Bank",INDEX(Bank!$F:$F,$C1968),INDEX(GL!$F:$F,$C1968))="Y","NOW RECONCILED: refresh","OK")))</f>
        <v/>
      </c>
    </row>
    <row r="1969" customFormat="false" ht="15" hidden="false" customHeight="false" outlineLevel="0" collapsed="false">
      <c r="A1969" s="41"/>
      <c r="B1969" s="41"/>
      <c r="C1969" s="5" t="n">
        <f aca="false">IF(B1969="",0,IF(A1969="Bank",IFERROR(MATCH(B1969,Bank!$A:$A,0),0),IFERROR(MATCH(B1969,GL!$A:$A,0),0)))</f>
        <v>0</v>
      </c>
      <c r="D1969" s="32" t="str">
        <f aca="false">IF(C1969=0,"",IF($A1969="Bank",INDEX(Bank!$B:$B,$C1969),INDEX(GL!$B:$B,$C1969)))</f>
        <v/>
      </c>
      <c r="E1969" s="5" t="str">
        <f aca="false">IF(C1969=0,"",IF($A1969="Bank",IF(INDEX(Bank!$C:$C,$C1969)="","",INDEX(Bank!$C:$C,$C1969)),IF(INDEX(GL!$C:$C,$C1969)="","",INDEX(GL!$C:$C,$C1969))))</f>
        <v/>
      </c>
      <c r="F1969" s="5" t="str">
        <f aca="false">IF(C1969=0,"",IF($A1969="Bank",IF(INDEX(Bank!$D:$D,$C1969)="","",INDEX(Bank!$D:$D,$C1969)),IF(INDEX(GL!$D:$D,$C1969)="","",INDEX(GL!$D:$D,$C1969))))</f>
        <v/>
      </c>
      <c r="G1969" s="19" t="str">
        <f aca="false">IF(C1969=0,"",IF($A1969="Bank",INDEX(Bank!$E:$E,$C1969),INDEX(GL!$E:$E,$C1969)))</f>
        <v/>
      </c>
      <c r="H1969" s="5" t="str">
        <f aca="false">IF(C1969=0,"",IF(A1969="GL",IF(G1969&gt;0,"Deposit in transit","Outstanding check / payment"),IF(G1969&gt;0,"Bank credit not in GL","Bank debit not in GL")))</f>
        <v/>
      </c>
      <c r="I1969" s="42" t="str">
        <f aca="false">IF(OR(C1969=0,CFG_PeriodEnd=""),"",CFG_PeriodEnd-D1969)</f>
        <v/>
      </c>
      <c r="J1969" s="5" t="str">
        <f aca="false">IF(C1969=0,"",IF($A1969="Bank",IF(INDEX(Bank!$G:$G,$C1969)="","",INDEX(Bank!$G:$G,$C1969)),IF(INDEX(GL!$G:$G,$C1969)="","",INDEX(GL!$G:$G,$C1969))))</f>
        <v/>
      </c>
      <c r="K1969" s="5" t="str">
        <f aca="false">IF(C1969=0,"",IF($A1969="Bank",IF(INDEX(Bank!$I:$I,$C1969)="","",INDEX(Bank!$I:$I,$C1969)),IF(INDEX(GL!$I:$I,$C1969)="","",INDEX(GL!$I:$I,$C1969))))</f>
        <v/>
      </c>
      <c r="L1969" s="5" t="str">
        <f aca="false">IF(B1969="","",IF(C1969=0,"NOT FOUND",IF(IF($A1969="Bank",INDEX(Bank!$F:$F,$C1969),INDEX(GL!$F:$F,$C1969))="Y","NOW RECONCILED: refresh","OK")))</f>
        <v/>
      </c>
    </row>
    <row r="1970" customFormat="false" ht="15" hidden="false" customHeight="false" outlineLevel="0" collapsed="false">
      <c r="A1970" s="41"/>
      <c r="B1970" s="41"/>
      <c r="C1970" s="5" t="n">
        <f aca="false">IF(B1970="",0,IF(A1970="Bank",IFERROR(MATCH(B1970,Bank!$A:$A,0),0),IFERROR(MATCH(B1970,GL!$A:$A,0),0)))</f>
        <v>0</v>
      </c>
      <c r="D1970" s="32" t="str">
        <f aca="false">IF(C1970=0,"",IF($A1970="Bank",INDEX(Bank!$B:$B,$C1970),INDEX(GL!$B:$B,$C1970)))</f>
        <v/>
      </c>
      <c r="E1970" s="5" t="str">
        <f aca="false">IF(C1970=0,"",IF($A1970="Bank",IF(INDEX(Bank!$C:$C,$C1970)="","",INDEX(Bank!$C:$C,$C1970)),IF(INDEX(GL!$C:$C,$C1970)="","",INDEX(GL!$C:$C,$C1970))))</f>
        <v/>
      </c>
      <c r="F1970" s="5" t="str">
        <f aca="false">IF(C1970=0,"",IF($A1970="Bank",IF(INDEX(Bank!$D:$D,$C1970)="","",INDEX(Bank!$D:$D,$C1970)),IF(INDEX(GL!$D:$D,$C1970)="","",INDEX(GL!$D:$D,$C1970))))</f>
        <v/>
      </c>
      <c r="G1970" s="19" t="str">
        <f aca="false">IF(C1970=0,"",IF($A1970="Bank",INDEX(Bank!$E:$E,$C1970),INDEX(GL!$E:$E,$C1970)))</f>
        <v/>
      </c>
      <c r="H1970" s="5" t="str">
        <f aca="false">IF(C1970=0,"",IF(A1970="GL",IF(G1970&gt;0,"Deposit in transit","Outstanding check / payment"),IF(G1970&gt;0,"Bank credit not in GL","Bank debit not in GL")))</f>
        <v/>
      </c>
      <c r="I1970" s="42" t="str">
        <f aca="false">IF(OR(C1970=0,CFG_PeriodEnd=""),"",CFG_PeriodEnd-D1970)</f>
        <v/>
      </c>
      <c r="J1970" s="5" t="str">
        <f aca="false">IF(C1970=0,"",IF($A1970="Bank",IF(INDEX(Bank!$G:$G,$C1970)="","",INDEX(Bank!$G:$G,$C1970)),IF(INDEX(GL!$G:$G,$C1970)="","",INDEX(GL!$G:$G,$C1970))))</f>
        <v/>
      </c>
      <c r="K1970" s="5" t="str">
        <f aca="false">IF(C1970=0,"",IF($A1970="Bank",IF(INDEX(Bank!$I:$I,$C1970)="","",INDEX(Bank!$I:$I,$C1970)),IF(INDEX(GL!$I:$I,$C1970)="","",INDEX(GL!$I:$I,$C1970))))</f>
        <v/>
      </c>
      <c r="L1970" s="5" t="str">
        <f aca="false">IF(B1970="","",IF(C1970=0,"NOT FOUND",IF(IF($A1970="Bank",INDEX(Bank!$F:$F,$C1970),INDEX(GL!$F:$F,$C1970))="Y","NOW RECONCILED: refresh","OK")))</f>
        <v/>
      </c>
    </row>
    <row r="1971" customFormat="false" ht="15" hidden="false" customHeight="false" outlineLevel="0" collapsed="false">
      <c r="A1971" s="41"/>
      <c r="B1971" s="41"/>
      <c r="C1971" s="5" t="n">
        <f aca="false">IF(B1971="",0,IF(A1971="Bank",IFERROR(MATCH(B1971,Bank!$A:$A,0),0),IFERROR(MATCH(B1971,GL!$A:$A,0),0)))</f>
        <v>0</v>
      </c>
      <c r="D1971" s="32" t="str">
        <f aca="false">IF(C1971=0,"",IF($A1971="Bank",INDEX(Bank!$B:$B,$C1971),INDEX(GL!$B:$B,$C1971)))</f>
        <v/>
      </c>
      <c r="E1971" s="5" t="str">
        <f aca="false">IF(C1971=0,"",IF($A1971="Bank",IF(INDEX(Bank!$C:$C,$C1971)="","",INDEX(Bank!$C:$C,$C1971)),IF(INDEX(GL!$C:$C,$C1971)="","",INDEX(GL!$C:$C,$C1971))))</f>
        <v/>
      </c>
      <c r="F1971" s="5" t="str">
        <f aca="false">IF(C1971=0,"",IF($A1971="Bank",IF(INDEX(Bank!$D:$D,$C1971)="","",INDEX(Bank!$D:$D,$C1971)),IF(INDEX(GL!$D:$D,$C1971)="","",INDEX(GL!$D:$D,$C1971))))</f>
        <v/>
      </c>
      <c r="G1971" s="19" t="str">
        <f aca="false">IF(C1971=0,"",IF($A1971="Bank",INDEX(Bank!$E:$E,$C1971),INDEX(GL!$E:$E,$C1971)))</f>
        <v/>
      </c>
      <c r="H1971" s="5" t="str">
        <f aca="false">IF(C1971=0,"",IF(A1971="GL",IF(G1971&gt;0,"Deposit in transit","Outstanding check / payment"),IF(G1971&gt;0,"Bank credit not in GL","Bank debit not in GL")))</f>
        <v/>
      </c>
      <c r="I1971" s="42" t="str">
        <f aca="false">IF(OR(C1971=0,CFG_PeriodEnd=""),"",CFG_PeriodEnd-D1971)</f>
        <v/>
      </c>
      <c r="J1971" s="5" t="str">
        <f aca="false">IF(C1971=0,"",IF($A1971="Bank",IF(INDEX(Bank!$G:$G,$C1971)="","",INDEX(Bank!$G:$G,$C1971)),IF(INDEX(GL!$G:$G,$C1971)="","",INDEX(GL!$G:$G,$C1971))))</f>
        <v/>
      </c>
      <c r="K1971" s="5" t="str">
        <f aca="false">IF(C1971=0,"",IF($A1971="Bank",IF(INDEX(Bank!$I:$I,$C1971)="","",INDEX(Bank!$I:$I,$C1971)),IF(INDEX(GL!$I:$I,$C1971)="","",INDEX(GL!$I:$I,$C1971))))</f>
        <v/>
      </c>
      <c r="L1971" s="5" t="str">
        <f aca="false">IF(B1971="","",IF(C1971=0,"NOT FOUND",IF(IF($A1971="Bank",INDEX(Bank!$F:$F,$C1971),INDEX(GL!$F:$F,$C1971))="Y","NOW RECONCILED: refresh","OK")))</f>
        <v/>
      </c>
    </row>
    <row r="1972" customFormat="false" ht="15" hidden="false" customHeight="false" outlineLevel="0" collapsed="false">
      <c r="A1972" s="41"/>
      <c r="B1972" s="41"/>
      <c r="C1972" s="5" t="n">
        <f aca="false">IF(B1972="",0,IF(A1972="Bank",IFERROR(MATCH(B1972,Bank!$A:$A,0),0),IFERROR(MATCH(B1972,GL!$A:$A,0),0)))</f>
        <v>0</v>
      </c>
      <c r="D1972" s="32" t="str">
        <f aca="false">IF(C1972=0,"",IF($A1972="Bank",INDEX(Bank!$B:$B,$C1972),INDEX(GL!$B:$B,$C1972)))</f>
        <v/>
      </c>
      <c r="E1972" s="5" t="str">
        <f aca="false">IF(C1972=0,"",IF($A1972="Bank",IF(INDEX(Bank!$C:$C,$C1972)="","",INDEX(Bank!$C:$C,$C1972)),IF(INDEX(GL!$C:$C,$C1972)="","",INDEX(GL!$C:$C,$C1972))))</f>
        <v/>
      </c>
      <c r="F1972" s="5" t="str">
        <f aca="false">IF(C1972=0,"",IF($A1972="Bank",IF(INDEX(Bank!$D:$D,$C1972)="","",INDEX(Bank!$D:$D,$C1972)),IF(INDEX(GL!$D:$D,$C1972)="","",INDEX(GL!$D:$D,$C1972))))</f>
        <v/>
      </c>
      <c r="G1972" s="19" t="str">
        <f aca="false">IF(C1972=0,"",IF($A1972="Bank",INDEX(Bank!$E:$E,$C1972),INDEX(GL!$E:$E,$C1972)))</f>
        <v/>
      </c>
      <c r="H1972" s="5" t="str">
        <f aca="false">IF(C1972=0,"",IF(A1972="GL",IF(G1972&gt;0,"Deposit in transit","Outstanding check / payment"),IF(G1972&gt;0,"Bank credit not in GL","Bank debit not in GL")))</f>
        <v/>
      </c>
      <c r="I1972" s="42" t="str">
        <f aca="false">IF(OR(C1972=0,CFG_PeriodEnd=""),"",CFG_PeriodEnd-D1972)</f>
        <v/>
      </c>
      <c r="J1972" s="5" t="str">
        <f aca="false">IF(C1972=0,"",IF($A1972="Bank",IF(INDEX(Bank!$G:$G,$C1972)="","",INDEX(Bank!$G:$G,$C1972)),IF(INDEX(GL!$G:$G,$C1972)="","",INDEX(GL!$G:$G,$C1972))))</f>
        <v/>
      </c>
      <c r="K1972" s="5" t="str">
        <f aca="false">IF(C1972=0,"",IF($A1972="Bank",IF(INDEX(Bank!$I:$I,$C1972)="","",INDEX(Bank!$I:$I,$C1972)),IF(INDEX(GL!$I:$I,$C1972)="","",INDEX(GL!$I:$I,$C1972))))</f>
        <v/>
      </c>
      <c r="L1972" s="5" t="str">
        <f aca="false">IF(B1972="","",IF(C1972=0,"NOT FOUND",IF(IF($A1972="Bank",INDEX(Bank!$F:$F,$C1972),INDEX(GL!$F:$F,$C1972))="Y","NOW RECONCILED: refresh","OK")))</f>
        <v/>
      </c>
    </row>
    <row r="1973" customFormat="false" ht="15" hidden="false" customHeight="false" outlineLevel="0" collapsed="false">
      <c r="A1973" s="41"/>
      <c r="B1973" s="41"/>
      <c r="C1973" s="5" t="n">
        <f aca="false">IF(B1973="",0,IF(A1973="Bank",IFERROR(MATCH(B1973,Bank!$A:$A,0),0),IFERROR(MATCH(B1973,GL!$A:$A,0),0)))</f>
        <v>0</v>
      </c>
      <c r="D1973" s="32" t="str">
        <f aca="false">IF(C1973=0,"",IF($A1973="Bank",INDEX(Bank!$B:$B,$C1973),INDEX(GL!$B:$B,$C1973)))</f>
        <v/>
      </c>
      <c r="E1973" s="5" t="str">
        <f aca="false">IF(C1973=0,"",IF($A1973="Bank",IF(INDEX(Bank!$C:$C,$C1973)="","",INDEX(Bank!$C:$C,$C1973)),IF(INDEX(GL!$C:$C,$C1973)="","",INDEX(GL!$C:$C,$C1973))))</f>
        <v/>
      </c>
      <c r="F1973" s="5" t="str">
        <f aca="false">IF(C1973=0,"",IF($A1973="Bank",IF(INDEX(Bank!$D:$D,$C1973)="","",INDEX(Bank!$D:$D,$C1973)),IF(INDEX(GL!$D:$D,$C1973)="","",INDEX(GL!$D:$D,$C1973))))</f>
        <v/>
      </c>
      <c r="G1973" s="19" t="str">
        <f aca="false">IF(C1973=0,"",IF($A1973="Bank",INDEX(Bank!$E:$E,$C1973),INDEX(GL!$E:$E,$C1973)))</f>
        <v/>
      </c>
      <c r="H1973" s="5" t="str">
        <f aca="false">IF(C1973=0,"",IF(A1973="GL",IF(G1973&gt;0,"Deposit in transit","Outstanding check / payment"),IF(G1973&gt;0,"Bank credit not in GL","Bank debit not in GL")))</f>
        <v/>
      </c>
      <c r="I1973" s="42" t="str">
        <f aca="false">IF(OR(C1973=0,CFG_PeriodEnd=""),"",CFG_PeriodEnd-D1973)</f>
        <v/>
      </c>
      <c r="J1973" s="5" t="str">
        <f aca="false">IF(C1973=0,"",IF($A1973="Bank",IF(INDEX(Bank!$G:$G,$C1973)="","",INDEX(Bank!$G:$G,$C1973)),IF(INDEX(GL!$G:$G,$C1973)="","",INDEX(GL!$G:$G,$C1973))))</f>
        <v/>
      </c>
      <c r="K1973" s="5" t="str">
        <f aca="false">IF(C1973=0,"",IF($A1973="Bank",IF(INDEX(Bank!$I:$I,$C1973)="","",INDEX(Bank!$I:$I,$C1973)),IF(INDEX(GL!$I:$I,$C1973)="","",INDEX(GL!$I:$I,$C1973))))</f>
        <v/>
      </c>
      <c r="L1973" s="5" t="str">
        <f aca="false">IF(B1973="","",IF(C1973=0,"NOT FOUND",IF(IF($A1973="Bank",INDEX(Bank!$F:$F,$C1973),INDEX(GL!$F:$F,$C1973))="Y","NOW RECONCILED: refresh","OK")))</f>
        <v/>
      </c>
    </row>
    <row r="1974" customFormat="false" ht="15" hidden="false" customHeight="false" outlineLevel="0" collapsed="false">
      <c r="A1974" s="41"/>
      <c r="B1974" s="41"/>
      <c r="C1974" s="5" t="n">
        <f aca="false">IF(B1974="",0,IF(A1974="Bank",IFERROR(MATCH(B1974,Bank!$A:$A,0),0),IFERROR(MATCH(B1974,GL!$A:$A,0),0)))</f>
        <v>0</v>
      </c>
      <c r="D1974" s="32" t="str">
        <f aca="false">IF(C1974=0,"",IF($A1974="Bank",INDEX(Bank!$B:$B,$C1974),INDEX(GL!$B:$B,$C1974)))</f>
        <v/>
      </c>
      <c r="E1974" s="5" t="str">
        <f aca="false">IF(C1974=0,"",IF($A1974="Bank",IF(INDEX(Bank!$C:$C,$C1974)="","",INDEX(Bank!$C:$C,$C1974)),IF(INDEX(GL!$C:$C,$C1974)="","",INDEX(GL!$C:$C,$C1974))))</f>
        <v/>
      </c>
      <c r="F1974" s="5" t="str">
        <f aca="false">IF(C1974=0,"",IF($A1974="Bank",IF(INDEX(Bank!$D:$D,$C1974)="","",INDEX(Bank!$D:$D,$C1974)),IF(INDEX(GL!$D:$D,$C1974)="","",INDEX(GL!$D:$D,$C1974))))</f>
        <v/>
      </c>
      <c r="G1974" s="19" t="str">
        <f aca="false">IF(C1974=0,"",IF($A1974="Bank",INDEX(Bank!$E:$E,$C1974),INDEX(GL!$E:$E,$C1974)))</f>
        <v/>
      </c>
      <c r="H1974" s="5" t="str">
        <f aca="false">IF(C1974=0,"",IF(A1974="GL",IF(G1974&gt;0,"Deposit in transit","Outstanding check / payment"),IF(G1974&gt;0,"Bank credit not in GL","Bank debit not in GL")))</f>
        <v/>
      </c>
      <c r="I1974" s="42" t="str">
        <f aca="false">IF(OR(C1974=0,CFG_PeriodEnd=""),"",CFG_PeriodEnd-D1974)</f>
        <v/>
      </c>
      <c r="J1974" s="5" t="str">
        <f aca="false">IF(C1974=0,"",IF($A1974="Bank",IF(INDEX(Bank!$G:$G,$C1974)="","",INDEX(Bank!$G:$G,$C1974)),IF(INDEX(GL!$G:$G,$C1974)="","",INDEX(GL!$G:$G,$C1974))))</f>
        <v/>
      </c>
      <c r="K1974" s="5" t="str">
        <f aca="false">IF(C1974=0,"",IF($A1974="Bank",IF(INDEX(Bank!$I:$I,$C1974)="","",INDEX(Bank!$I:$I,$C1974)),IF(INDEX(GL!$I:$I,$C1974)="","",INDEX(GL!$I:$I,$C1974))))</f>
        <v/>
      </c>
      <c r="L1974" s="5" t="str">
        <f aca="false">IF(B1974="","",IF(C1974=0,"NOT FOUND",IF(IF($A1974="Bank",INDEX(Bank!$F:$F,$C1974),INDEX(GL!$F:$F,$C1974))="Y","NOW RECONCILED: refresh","OK")))</f>
        <v/>
      </c>
    </row>
    <row r="1975" customFormat="false" ht="15" hidden="false" customHeight="false" outlineLevel="0" collapsed="false">
      <c r="A1975" s="41"/>
      <c r="B1975" s="41"/>
      <c r="C1975" s="5" t="n">
        <f aca="false">IF(B1975="",0,IF(A1975="Bank",IFERROR(MATCH(B1975,Bank!$A:$A,0),0),IFERROR(MATCH(B1975,GL!$A:$A,0),0)))</f>
        <v>0</v>
      </c>
      <c r="D1975" s="32" t="str">
        <f aca="false">IF(C1975=0,"",IF($A1975="Bank",INDEX(Bank!$B:$B,$C1975),INDEX(GL!$B:$B,$C1975)))</f>
        <v/>
      </c>
      <c r="E1975" s="5" t="str">
        <f aca="false">IF(C1975=0,"",IF($A1975="Bank",IF(INDEX(Bank!$C:$C,$C1975)="","",INDEX(Bank!$C:$C,$C1975)),IF(INDEX(GL!$C:$C,$C1975)="","",INDEX(GL!$C:$C,$C1975))))</f>
        <v/>
      </c>
      <c r="F1975" s="5" t="str">
        <f aca="false">IF(C1975=0,"",IF($A1975="Bank",IF(INDEX(Bank!$D:$D,$C1975)="","",INDEX(Bank!$D:$D,$C1975)),IF(INDEX(GL!$D:$D,$C1975)="","",INDEX(GL!$D:$D,$C1975))))</f>
        <v/>
      </c>
      <c r="G1975" s="19" t="str">
        <f aca="false">IF(C1975=0,"",IF($A1975="Bank",INDEX(Bank!$E:$E,$C1975),INDEX(GL!$E:$E,$C1975)))</f>
        <v/>
      </c>
      <c r="H1975" s="5" t="str">
        <f aca="false">IF(C1975=0,"",IF(A1975="GL",IF(G1975&gt;0,"Deposit in transit","Outstanding check / payment"),IF(G1975&gt;0,"Bank credit not in GL","Bank debit not in GL")))</f>
        <v/>
      </c>
      <c r="I1975" s="42" t="str">
        <f aca="false">IF(OR(C1975=0,CFG_PeriodEnd=""),"",CFG_PeriodEnd-D1975)</f>
        <v/>
      </c>
      <c r="J1975" s="5" t="str">
        <f aca="false">IF(C1975=0,"",IF($A1975="Bank",IF(INDEX(Bank!$G:$G,$C1975)="","",INDEX(Bank!$G:$G,$C1975)),IF(INDEX(GL!$G:$G,$C1975)="","",INDEX(GL!$G:$G,$C1975))))</f>
        <v/>
      </c>
      <c r="K1975" s="5" t="str">
        <f aca="false">IF(C1975=0,"",IF($A1975="Bank",IF(INDEX(Bank!$I:$I,$C1975)="","",INDEX(Bank!$I:$I,$C1975)),IF(INDEX(GL!$I:$I,$C1975)="","",INDEX(GL!$I:$I,$C1975))))</f>
        <v/>
      </c>
      <c r="L1975" s="5" t="str">
        <f aca="false">IF(B1975="","",IF(C1975=0,"NOT FOUND",IF(IF($A1975="Bank",INDEX(Bank!$F:$F,$C1975),INDEX(GL!$F:$F,$C1975))="Y","NOW RECONCILED: refresh","OK")))</f>
        <v/>
      </c>
    </row>
    <row r="1976" customFormat="false" ht="15" hidden="false" customHeight="false" outlineLevel="0" collapsed="false">
      <c r="A1976" s="41"/>
      <c r="B1976" s="41"/>
      <c r="C1976" s="5" t="n">
        <f aca="false">IF(B1976="",0,IF(A1976="Bank",IFERROR(MATCH(B1976,Bank!$A:$A,0),0),IFERROR(MATCH(B1976,GL!$A:$A,0),0)))</f>
        <v>0</v>
      </c>
      <c r="D1976" s="32" t="str">
        <f aca="false">IF(C1976=0,"",IF($A1976="Bank",INDEX(Bank!$B:$B,$C1976),INDEX(GL!$B:$B,$C1976)))</f>
        <v/>
      </c>
      <c r="E1976" s="5" t="str">
        <f aca="false">IF(C1976=0,"",IF($A1976="Bank",IF(INDEX(Bank!$C:$C,$C1976)="","",INDEX(Bank!$C:$C,$C1976)),IF(INDEX(GL!$C:$C,$C1976)="","",INDEX(GL!$C:$C,$C1976))))</f>
        <v/>
      </c>
      <c r="F1976" s="5" t="str">
        <f aca="false">IF(C1976=0,"",IF($A1976="Bank",IF(INDEX(Bank!$D:$D,$C1976)="","",INDEX(Bank!$D:$D,$C1976)),IF(INDEX(GL!$D:$D,$C1976)="","",INDEX(GL!$D:$D,$C1976))))</f>
        <v/>
      </c>
      <c r="G1976" s="19" t="str">
        <f aca="false">IF(C1976=0,"",IF($A1976="Bank",INDEX(Bank!$E:$E,$C1976),INDEX(GL!$E:$E,$C1976)))</f>
        <v/>
      </c>
      <c r="H1976" s="5" t="str">
        <f aca="false">IF(C1976=0,"",IF(A1976="GL",IF(G1976&gt;0,"Deposit in transit","Outstanding check / payment"),IF(G1976&gt;0,"Bank credit not in GL","Bank debit not in GL")))</f>
        <v/>
      </c>
      <c r="I1976" s="42" t="str">
        <f aca="false">IF(OR(C1976=0,CFG_PeriodEnd=""),"",CFG_PeriodEnd-D1976)</f>
        <v/>
      </c>
      <c r="J1976" s="5" t="str">
        <f aca="false">IF(C1976=0,"",IF($A1976="Bank",IF(INDEX(Bank!$G:$G,$C1976)="","",INDEX(Bank!$G:$G,$C1976)),IF(INDEX(GL!$G:$G,$C1976)="","",INDEX(GL!$G:$G,$C1976))))</f>
        <v/>
      </c>
      <c r="K1976" s="5" t="str">
        <f aca="false">IF(C1976=0,"",IF($A1976="Bank",IF(INDEX(Bank!$I:$I,$C1976)="","",INDEX(Bank!$I:$I,$C1976)),IF(INDEX(GL!$I:$I,$C1976)="","",INDEX(GL!$I:$I,$C1976))))</f>
        <v/>
      </c>
      <c r="L1976" s="5" t="str">
        <f aca="false">IF(B1976="","",IF(C1976=0,"NOT FOUND",IF(IF($A1976="Bank",INDEX(Bank!$F:$F,$C1976),INDEX(GL!$F:$F,$C1976))="Y","NOW RECONCILED: refresh","OK")))</f>
        <v/>
      </c>
    </row>
    <row r="1977" customFormat="false" ht="15" hidden="false" customHeight="false" outlineLevel="0" collapsed="false">
      <c r="A1977" s="41"/>
      <c r="B1977" s="41"/>
      <c r="C1977" s="5" t="n">
        <f aca="false">IF(B1977="",0,IF(A1977="Bank",IFERROR(MATCH(B1977,Bank!$A:$A,0),0),IFERROR(MATCH(B1977,GL!$A:$A,0),0)))</f>
        <v>0</v>
      </c>
      <c r="D1977" s="32" t="str">
        <f aca="false">IF(C1977=0,"",IF($A1977="Bank",INDEX(Bank!$B:$B,$C1977),INDEX(GL!$B:$B,$C1977)))</f>
        <v/>
      </c>
      <c r="E1977" s="5" t="str">
        <f aca="false">IF(C1977=0,"",IF($A1977="Bank",IF(INDEX(Bank!$C:$C,$C1977)="","",INDEX(Bank!$C:$C,$C1977)),IF(INDEX(GL!$C:$C,$C1977)="","",INDEX(GL!$C:$C,$C1977))))</f>
        <v/>
      </c>
      <c r="F1977" s="5" t="str">
        <f aca="false">IF(C1977=0,"",IF($A1977="Bank",IF(INDEX(Bank!$D:$D,$C1977)="","",INDEX(Bank!$D:$D,$C1977)),IF(INDEX(GL!$D:$D,$C1977)="","",INDEX(GL!$D:$D,$C1977))))</f>
        <v/>
      </c>
      <c r="G1977" s="19" t="str">
        <f aca="false">IF(C1977=0,"",IF($A1977="Bank",INDEX(Bank!$E:$E,$C1977),INDEX(GL!$E:$E,$C1977)))</f>
        <v/>
      </c>
      <c r="H1977" s="5" t="str">
        <f aca="false">IF(C1977=0,"",IF(A1977="GL",IF(G1977&gt;0,"Deposit in transit","Outstanding check / payment"),IF(G1977&gt;0,"Bank credit not in GL","Bank debit not in GL")))</f>
        <v/>
      </c>
      <c r="I1977" s="42" t="str">
        <f aca="false">IF(OR(C1977=0,CFG_PeriodEnd=""),"",CFG_PeriodEnd-D1977)</f>
        <v/>
      </c>
      <c r="J1977" s="5" t="str">
        <f aca="false">IF(C1977=0,"",IF($A1977="Bank",IF(INDEX(Bank!$G:$G,$C1977)="","",INDEX(Bank!$G:$G,$C1977)),IF(INDEX(GL!$G:$G,$C1977)="","",INDEX(GL!$G:$G,$C1977))))</f>
        <v/>
      </c>
      <c r="K1977" s="5" t="str">
        <f aca="false">IF(C1977=0,"",IF($A1977="Bank",IF(INDEX(Bank!$I:$I,$C1977)="","",INDEX(Bank!$I:$I,$C1977)),IF(INDEX(GL!$I:$I,$C1977)="","",INDEX(GL!$I:$I,$C1977))))</f>
        <v/>
      </c>
      <c r="L1977" s="5" t="str">
        <f aca="false">IF(B1977="","",IF(C1977=0,"NOT FOUND",IF(IF($A1977="Bank",INDEX(Bank!$F:$F,$C1977),INDEX(GL!$F:$F,$C1977))="Y","NOW RECONCILED: refresh","OK")))</f>
        <v/>
      </c>
    </row>
    <row r="1978" customFormat="false" ht="15" hidden="false" customHeight="false" outlineLevel="0" collapsed="false">
      <c r="A1978" s="41"/>
      <c r="B1978" s="41"/>
      <c r="C1978" s="5" t="n">
        <f aca="false">IF(B1978="",0,IF(A1978="Bank",IFERROR(MATCH(B1978,Bank!$A:$A,0),0),IFERROR(MATCH(B1978,GL!$A:$A,0),0)))</f>
        <v>0</v>
      </c>
      <c r="D1978" s="32" t="str">
        <f aca="false">IF(C1978=0,"",IF($A1978="Bank",INDEX(Bank!$B:$B,$C1978),INDEX(GL!$B:$B,$C1978)))</f>
        <v/>
      </c>
      <c r="E1978" s="5" t="str">
        <f aca="false">IF(C1978=0,"",IF($A1978="Bank",IF(INDEX(Bank!$C:$C,$C1978)="","",INDEX(Bank!$C:$C,$C1978)),IF(INDEX(GL!$C:$C,$C1978)="","",INDEX(GL!$C:$C,$C1978))))</f>
        <v/>
      </c>
      <c r="F1978" s="5" t="str">
        <f aca="false">IF(C1978=0,"",IF($A1978="Bank",IF(INDEX(Bank!$D:$D,$C1978)="","",INDEX(Bank!$D:$D,$C1978)),IF(INDEX(GL!$D:$D,$C1978)="","",INDEX(GL!$D:$D,$C1978))))</f>
        <v/>
      </c>
      <c r="G1978" s="19" t="str">
        <f aca="false">IF(C1978=0,"",IF($A1978="Bank",INDEX(Bank!$E:$E,$C1978),INDEX(GL!$E:$E,$C1978)))</f>
        <v/>
      </c>
      <c r="H1978" s="5" t="str">
        <f aca="false">IF(C1978=0,"",IF(A1978="GL",IF(G1978&gt;0,"Deposit in transit","Outstanding check / payment"),IF(G1978&gt;0,"Bank credit not in GL","Bank debit not in GL")))</f>
        <v/>
      </c>
      <c r="I1978" s="42" t="str">
        <f aca="false">IF(OR(C1978=0,CFG_PeriodEnd=""),"",CFG_PeriodEnd-D1978)</f>
        <v/>
      </c>
      <c r="J1978" s="5" t="str">
        <f aca="false">IF(C1978=0,"",IF($A1978="Bank",IF(INDEX(Bank!$G:$G,$C1978)="","",INDEX(Bank!$G:$G,$C1978)),IF(INDEX(GL!$G:$G,$C1978)="","",INDEX(GL!$G:$G,$C1978))))</f>
        <v/>
      </c>
      <c r="K1978" s="5" t="str">
        <f aca="false">IF(C1978=0,"",IF($A1978="Bank",IF(INDEX(Bank!$I:$I,$C1978)="","",INDEX(Bank!$I:$I,$C1978)),IF(INDEX(GL!$I:$I,$C1978)="","",INDEX(GL!$I:$I,$C1978))))</f>
        <v/>
      </c>
      <c r="L1978" s="5" t="str">
        <f aca="false">IF(B1978="","",IF(C1978=0,"NOT FOUND",IF(IF($A1978="Bank",INDEX(Bank!$F:$F,$C1978),INDEX(GL!$F:$F,$C1978))="Y","NOW RECONCILED: refresh","OK")))</f>
        <v/>
      </c>
    </row>
    <row r="1979" customFormat="false" ht="15" hidden="false" customHeight="false" outlineLevel="0" collapsed="false">
      <c r="A1979" s="41"/>
      <c r="B1979" s="41"/>
      <c r="C1979" s="5" t="n">
        <f aca="false">IF(B1979="",0,IF(A1979="Bank",IFERROR(MATCH(B1979,Bank!$A:$A,0),0),IFERROR(MATCH(B1979,GL!$A:$A,0),0)))</f>
        <v>0</v>
      </c>
      <c r="D1979" s="32" t="str">
        <f aca="false">IF(C1979=0,"",IF($A1979="Bank",INDEX(Bank!$B:$B,$C1979),INDEX(GL!$B:$B,$C1979)))</f>
        <v/>
      </c>
      <c r="E1979" s="5" t="str">
        <f aca="false">IF(C1979=0,"",IF($A1979="Bank",IF(INDEX(Bank!$C:$C,$C1979)="","",INDEX(Bank!$C:$C,$C1979)),IF(INDEX(GL!$C:$C,$C1979)="","",INDEX(GL!$C:$C,$C1979))))</f>
        <v/>
      </c>
      <c r="F1979" s="5" t="str">
        <f aca="false">IF(C1979=0,"",IF($A1979="Bank",IF(INDEX(Bank!$D:$D,$C1979)="","",INDEX(Bank!$D:$D,$C1979)),IF(INDEX(GL!$D:$D,$C1979)="","",INDEX(GL!$D:$D,$C1979))))</f>
        <v/>
      </c>
      <c r="G1979" s="19" t="str">
        <f aca="false">IF(C1979=0,"",IF($A1979="Bank",INDEX(Bank!$E:$E,$C1979),INDEX(GL!$E:$E,$C1979)))</f>
        <v/>
      </c>
      <c r="H1979" s="5" t="str">
        <f aca="false">IF(C1979=0,"",IF(A1979="GL",IF(G1979&gt;0,"Deposit in transit","Outstanding check / payment"),IF(G1979&gt;0,"Bank credit not in GL","Bank debit not in GL")))</f>
        <v/>
      </c>
      <c r="I1979" s="42" t="str">
        <f aca="false">IF(OR(C1979=0,CFG_PeriodEnd=""),"",CFG_PeriodEnd-D1979)</f>
        <v/>
      </c>
      <c r="J1979" s="5" t="str">
        <f aca="false">IF(C1979=0,"",IF($A1979="Bank",IF(INDEX(Bank!$G:$G,$C1979)="","",INDEX(Bank!$G:$G,$C1979)),IF(INDEX(GL!$G:$G,$C1979)="","",INDEX(GL!$G:$G,$C1979))))</f>
        <v/>
      </c>
      <c r="K1979" s="5" t="str">
        <f aca="false">IF(C1979=0,"",IF($A1979="Bank",IF(INDEX(Bank!$I:$I,$C1979)="","",INDEX(Bank!$I:$I,$C1979)),IF(INDEX(GL!$I:$I,$C1979)="","",INDEX(GL!$I:$I,$C1979))))</f>
        <v/>
      </c>
      <c r="L1979" s="5" t="str">
        <f aca="false">IF(B1979="","",IF(C1979=0,"NOT FOUND",IF(IF($A1979="Bank",INDEX(Bank!$F:$F,$C1979),INDEX(GL!$F:$F,$C1979))="Y","NOW RECONCILED: refresh","OK")))</f>
        <v/>
      </c>
    </row>
    <row r="1980" customFormat="false" ht="15" hidden="false" customHeight="false" outlineLevel="0" collapsed="false">
      <c r="A1980" s="41"/>
      <c r="B1980" s="41"/>
      <c r="C1980" s="5" t="n">
        <f aca="false">IF(B1980="",0,IF(A1980="Bank",IFERROR(MATCH(B1980,Bank!$A:$A,0),0),IFERROR(MATCH(B1980,GL!$A:$A,0),0)))</f>
        <v>0</v>
      </c>
      <c r="D1980" s="32" t="str">
        <f aca="false">IF(C1980=0,"",IF($A1980="Bank",INDEX(Bank!$B:$B,$C1980),INDEX(GL!$B:$B,$C1980)))</f>
        <v/>
      </c>
      <c r="E1980" s="5" t="str">
        <f aca="false">IF(C1980=0,"",IF($A1980="Bank",IF(INDEX(Bank!$C:$C,$C1980)="","",INDEX(Bank!$C:$C,$C1980)),IF(INDEX(GL!$C:$C,$C1980)="","",INDEX(GL!$C:$C,$C1980))))</f>
        <v/>
      </c>
      <c r="F1980" s="5" t="str">
        <f aca="false">IF(C1980=0,"",IF($A1980="Bank",IF(INDEX(Bank!$D:$D,$C1980)="","",INDEX(Bank!$D:$D,$C1980)),IF(INDEX(GL!$D:$D,$C1980)="","",INDEX(GL!$D:$D,$C1980))))</f>
        <v/>
      </c>
      <c r="G1980" s="19" t="str">
        <f aca="false">IF(C1980=0,"",IF($A1980="Bank",INDEX(Bank!$E:$E,$C1980),INDEX(GL!$E:$E,$C1980)))</f>
        <v/>
      </c>
      <c r="H1980" s="5" t="str">
        <f aca="false">IF(C1980=0,"",IF(A1980="GL",IF(G1980&gt;0,"Deposit in transit","Outstanding check / payment"),IF(G1980&gt;0,"Bank credit not in GL","Bank debit not in GL")))</f>
        <v/>
      </c>
      <c r="I1980" s="42" t="str">
        <f aca="false">IF(OR(C1980=0,CFG_PeriodEnd=""),"",CFG_PeriodEnd-D1980)</f>
        <v/>
      </c>
      <c r="J1980" s="5" t="str">
        <f aca="false">IF(C1980=0,"",IF($A1980="Bank",IF(INDEX(Bank!$G:$G,$C1980)="","",INDEX(Bank!$G:$G,$C1980)),IF(INDEX(GL!$G:$G,$C1980)="","",INDEX(GL!$G:$G,$C1980))))</f>
        <v/>
      </c>
      <c r="K1980" s="5" t="str">
        <f aca="false">IF(C1980=0,"",IF($A1980="Bank",IF(INDEX(Bank!$I:$I,$C1980)="","",INDEX(Bank!$I:$I,$C1980)),IF(INDEX(GL!$I:$I,$C1980)="","",INDEX(GL!$I:$I,$C1980))))</f>
        <v/>
      </c>
      <c r="L1980" s="5" t="str">
        <f aca="false">IF(B1980="","",IF(C1980=0,"NOT FOUND",IF(IF($A1980="Bank",INDEX(Bank!$F:$F,$C1980),INDEX(GL!$F:$F,$C1980))="Y","NOW RECONCILED: refresh","OK")))</f>
        <v/>
      </c>
    </row>
    <row r="1981" customFormat="false" ht="15" hidden="false" customHeight="false" outlineLevel="0" collapsed="false">
      <c r="A1981" s="41"/>
      <c r="B1981" s="41"/>
      <c r="C1981" s="5" t="n">
        <f aca="false">IF(B1981="",0,IF(A1981="Bank",IFERROR(MATCH(B1981,Bank!$A:$A,0),0),IFERROR(MATCH(B1981,GL!$A:$A,0),0)))</f>
        <v>0</v>
      </c>
      <c r="D1981" s="32" t="str">
        <f aca="false">IF(C1981=0,"",IF($A1981="Bank",INDEX(Bank!$B:$B,$C1981),INDEX(GL!$B:$B,$C1981)))</f>
        <v/>
      </c>
      <c r="E1981" s="5" t="str">
        <f aca="false">IF(C1981=0,"",IF($A1981="Bank",IF(INDEX(Bank!$C:$C,$C1981)="","",INDEX(Bank!$C:$C,$C1981)),IF(INDEX(GL!$C:$C,$C1981)="","",INDEX(GL!$C:$C,$C1981))))</f>
        <v/>
      </c>
      <c r="F1981" s="5" t="str">
        <f aca="false">IF(C1981=0,"",IF($A1981="Bank",IF(INDEX(Bank!$D:$D,$C1981)="","",INDEX(Bank!$D:$D,$C1981)),IF(INDEX(GL!$D:$D,$C1981)="","",INDEX(GL!$D:$D,$C1981))))</f>
        <v/>
      </c>
      <c r="G1981" s="19" t="str">
        <f aca="false">IF(C1981=0,"",IF($A1981="Bank",INDEX(Bank!$E:$E,$C1981),INDEX(GL!$E:$E,$C1981)))</f>
        <v/>
      </c>
      <c r="H1981" s="5" t="str">
        <f aca="false">IF(C1981=0,"",IF(A1981="GL",IF(G1981&gt;0,"Deposit in transit","Outstanding check / payment"),IF(G1981&gt;0,"Bank credit not in GL","Bank debit not in GL")))</f>
        <v/>
      </c>
      <c r="I1981" s="42" t="str">
        <f aca="false">IF(OR(C1981=0,CFG_PeriodEnd=""),"",CFG_PeriodEnd-D1981)</f>
        <v/>
      </c>
      <c r="J1981" s="5" t="str">
        <f aca="false">IF(C1981=0,"",IF($A1981="Bank",IF(INDEX(Bank!$G:$G,$C1981)="","",INDEX(Bank!$G:$G,$C1981)),IF(INDEX(GL!$G:$G,$C1981)="","",INDEX(GL!$G:$G,$C1981))))</f>
        <v/>
      </c>
      <c r="K1981" s="5" t="str">
        <f aca="false">IF(C1981=0,"",IF($A1981="Bank",IF(INDEX(Bank!$I:$I,$C1981)="","",INDEX(Bank!$I:$I,$C1981)),IF(INDEX(GL!$I:$I,$C1981)="","",INDEX(GL!$I:$I,$C1981))))</f>
        <v/>
      </c>
      <c r="L1981" s="5" t="str">
        <f aca="false">IF(B1981="","",IF(C1981=0,"NOT FOUND",IF(IF($A1981="Bank",INDEX(Bank!$F:$F,$C1981),INDEX(GL!$F:$F,$C1981))="Y","NOW RECONCILED: refresh","OK")))</f>
        <v/>
      </c>
    </row>
    <row r="1982" customFormat="false" ht="15" hidden="false" customHeight="false" outlineLevel="0" collapsed="false">
      <c r="A1982" s="41"/>
      <c r="B1982" s="41"/>
      <c r="C1982" s="5" t="n">
        <f aca="false">IF(B1982="",0,IF(A1982="Bank",IFERROR(MATCH(B1982,Bank!$A:$A,0),0),IFERROR(MATCH(B1982,GL!$A:$A,0),0)))</f>
        <v>0</v>
      </c>
      <c r="D1982" s="32" t="str">
        <f aca="false">IF(C1982=0,"",IF($A1982="Bank",INDEX(Bank!$B:$B,$C1982),INDEX(GL!$B:$B,$C1982)))</f>
        <v/>
      </c>
      <c r="E1982" s="5" t="str">
        <f aca="false">IF(C1982=0,"",IF($A1982="Bank",IF(INDEX(Bank!$C:$C,$C1982)="","",INDEX(Bank!$C:$C,$C1982)),IF(INDEX(GL!$C:$C,$C1982)="","",INDEX(GL!$C:$C,$C1982))))</f>
        <v/>
      </c>
      <c r="F1982" s="5" t="str">
        <f aca="false">IF(C1982=0,"",IF($A1982="Bank",IF(INDEX(Bank!$D:$D,$C1982)="","",INDEX(Bank!$D:$D,$C1982)),IF(INDEX(GL!$D:$D,$C1982)="","",INDEX(GL!$D:$D,$C1982))))</f>
        <v/>
      </c>
      <c r="G1982" s="19" t="str">
        <f aca="false">IF(C1982=0,"",IF($A1982="Bank",INDEX(Bank!$E:$E,$C1982),INDEX(GL!$E:$E,$C1982)))</f>
        <v/>
      </c>
      <c r="H1982" s="5" t="str">
        <f aca="false">IF(C1982=0,"",IF(A1982="GL",IF(G1982&gt;0,"Deposit in transit","Outstanding check / payment"),IF(G1982&gt;0,"Bank credit not in GL","Bank debit not in GL")))</f>
        <v/>
      </c>
      <c r="I1982" s="42" t="str">
        <f aca="false">IF(OR(C1982=0,CFG_PeriodEnd=""),"",CFG_PeriodEnd-D1982)</f>
        <v/>
      </c>
      <c r="J1982" s="5" t="str">
        <f aca="false">IF(C1982=0,"",IF($A1982="Bank",IF(INDEX(Bank!$G:$G,$C1982)="","",INDEX(Bank!$G:$G,$C1982)),IF(INDEX(GL!$G:$G,$C1982)="","",INDEX(GL!$G:$G,$C1982))))</f>
        <v/>
      </c>
      <c r="K1982" s="5" t="str">
        <f aca="false">IF(C1982=0,"",IF($A1982="Bank",IF(INDEX(Bank!$I:$I,$C1982)="","",INDEX(Bank!$I:$I,$C1982)),IF(INDEX(GL!$I:$I,$C1982)="","",INDEX(GL!$I:$I,$C1982))))</f>
        <v/>
      </c>
      <c r="L1982" s="5" t="str">
        <f aca="false">IF(B1982="","",IF(C1982=0,"NOT FOUND",IF(IF($A1982="Bank",INDEX(Bank!$F:$F,$C1982),INDEX(GL!$F:$F,$C1982))="Y","NOW RECONCILED: refresh","OK")))</f>
        <v/>
      </c>
    </row>
    <row r="1983" customFormat="false" ht="15" hidden="false" customHeight="false" outlineLevel="0" collapsed="false">
      <c r="A1983" s="41"/>
      <c r="B1983" s="41"/>
      <c r="C1983" s="5" t="n">
        <f aca="false">IF(B1983="",0,IF(A1983="Bank",IFERROR(MATCH(B1983,Bank!$A:$A,0),0),IFERROR(MATCH(B1983,GL!$A:$A,0),0)))</f>
        <v>0</v>
      </c>
      <c r="D1983" s="32" t="str">
        <f aca="false">IF(C1983=0,"",IF($A1983="Bank",INDEX(Bank!$B:$B,$C1983),INDEX(GL!$B:$B,$C1983)))</f>
        <v/>
      </c>
      <c r="E1983" s="5" t="str">
        <f aca="false">IF(C1983=0,"",IF($A1983="Bank",IF(INDEX(Bank!$C:$C,$C1983)="","",INDEX(Bank!$C:$C,$C1983)),IF(INDEX(GL!$C:$C,$C1983)="","",INDEX(GL!$C:$C,$C1983))))</f>
        <v/>
      </c>
      <c r="F1983" s="5" t="str">
        <f aca="false">IF(C1983=0,"",IF($A1983="Bank",IF(INDEX(Bank!$D:$D,$C1983)="","",INDEX(Bank!$D:$D,$C1983)),IF(INDEX(GL!$D:$D,$C1983)="","",INDEX(GL!$D:$D,$C1983))))</f>
        <v/>
      </c>
      <c r="G1983" s="19" t="str">
        <f aca="false">IF(C1983=0,"",IF($A1983="Bank",INDEX(Bank!$E:$E,$C1983),INDEX(GL!$E:$E,$C1983)))</f>
        <v/>
      </c>
      <c r="H1983" s="5" t="str">
        <f aca="false">IF(C1983=0,"",IF(A1983="GL",IF(G1983&gt;0,"Deposit in transit","Outstanding check / payment"),IF(G1983&gt;0,"Bank credit not in GL","Bank debit not in GL")))</f>
        <v/>
      </c>
      <c r="I1983" s="42" t="str">
        <f aca="false">IF(OR(C1983=0,CFG_PeriodEnd=""),"",CFG_PeriodEnd-D1983)</f>
        <v/>
      </c>
      <c r="J1983" s="5" t="str">
        <f aca="false">IF(C1983=0,"",IF($A1983="Bank",IF(INDEX(Bank!$G:$G,$C1983)="","",INDEX(Bank!$G:$G,$C1983)),IF(INDEX(GL!$G:$G,$C1983)="","",INDEX(GL!$G:$G,$C1983))))</f>
        <v/>
      </c>
      <c r="K1983" s="5" t="str">
        <f aca="false">IF(C1983=0,"",IF($A1983="Bank",IF(INDEX(Bank!$I:$I,$C1983)="","",INDEX(Bank!$I:$I,$C1983)),IF(INDEX(GL!$I:$I,$C1983)="","",INDEX(GL!$I:$I,$C1983))))</f>
        <v/>
      </c>
      <c r="L1983" s="5" t="str">
        <f aca="false">IF(B1983="","",IF(C1983=0,"NOT FOUND",IF(IF($A1983="Bank",INDEX(Bank!$F:$F,$C1983),INDEX(GL!$F:$F,$C1983))="Y","NOW RECONCILED: refresh","OK")))</f>
        <v/>
      </c>
    </row>
    <row r="1984" customFormat="false" ht="15" hidden="false" customHeight="false" outlineLevel="0" collapsed="false">
      <c r="A1984" s="41"/>
      <c r="B1984" s="41"/>
      <c r="C1984" s="5" t="n">
        <f aca="false">IF(B1984="",0,IF(A1984="Bank",IFERROR(MATCH(B1984,Bank!$A:$A,0),0),IFERROR(MATCH(B1984,GL!$A:$A,0),0)))</f>
        <v>0</v>
      </c>
      <c r="D1984" s="32" t="str">
        <f aca="false">IF(C1984=0,"",IF($A1984="Bank",INDEX(Bank!$B:$B,$C1984),INDEX(GL!$B:$B,$C1984)))</f>
        <v/>
      </c>
      <c r="E1984" s="5" t="str">
        <f aca="false">IF(C1984=0,"",IF($A1984="Bank",IF(INDEX(Bank!$C:$C,$C1984)="","",INDEX(Bank!$C:$C,$C1984)),IF(INDEX(GL!$C:$C,$C1984)="","",INDEX(GL!$C:$C,$C1984))))</f>
        <v/>
      </c>
      <c r="F1984" s="5" t="str">
        <f aca="false">IF(C1984=0,"",IF($A1984="Bank",IF(INDEX(Bank!$D:$D,$C1984)="","",INDEX(Bank!$D:$D,$C1984)),IF(INDEX(GL!$D:$D,$C1984)="","",INDEX(GL!$D:$D,$C1984))))</f>
        <v/>
      </c>
      <c r="G1984" s="19" t="str">
        <f aca="false">IF(C1984=0,"",IF($A1984="Bank",INDEX(Bank!$E:$E,$C1984),INDEX(GL!$E:$E,$C1984)))</f>
        <v/>
      </c>
      <c r="H1984" s="5" t="str">
        <f aca="false">IF(C1984=0,"",IF(A1984="GL",IF(G1984&gt;0,"Deposit in transit","Outstanding check / payment"),IF(G1984&gt;0,"Bank credit not in GL","Bank debit not in GL")))</f>
        <v/>
      </c>
      <c r="I1984" s="42" t="str">
        <f aca="false">IF(OR(C1984=0,CFG_PeriodEnd=""),"",CFG_PeriodEnd-D1984)</f>
        <v/>
      </c>
      <c r="J1984" s="5" t="str">
        <f aca="false">IF(C1984=0,"",IF($A1984="Bank",IF(INDEX(Bank!$G:$G,$C1984)="","",INDEX(Bank!$G:$G,$C1984)),IF(INDEX(GL!$G:$G,$C1984)="","",INDEX(GL!$G:$G,$C1984))))</f>
        <v/>
      </c>
      <c r="K1984" s="5" t="str">
        <f aca="false">IF(C1984=0,"",IF($A1984="Bank",IF(INDEX(Bank!$I:$I,$C1984)="","",INDEX(Bank!$I:$I,$C1984)),IF(INDEX(GL!$I:$I,$C1984)="","",INDEX(GL!$I:$I,$C1984))))</f>
        <v/>
      </c>
      <c r="L1984" s="5" t="str">
        <f aca="false">IF(B1984="","",IF(C1984=0,"NOT FOUND",IF(IF($A1984="Bank",INDEX(Bank!$F:$F,$C1984),INDEX(GL!$F:$F,$C1984))="Y","NOW RECONCILED: refresh","OK")))</f>
        <v/>
      </c>
    </row>
    <row r="1985" customFormat="false" ht="15" hidden="false" customHeight="false" outlineLevel="0" collapsed="false">
      <c r="A1985" s="41"/>
      <c r="B1985" s="41"/>
      <c r="C1985" s="5" t="n">
        <f aca="false">IF(B1985="",0,IF(A1985="Bank",IFERROR(MATCH(B1985,Bank!$A:$A,0),0),IFERROR(MATCH(B1985,GL!$A:$A,0),0)))</f>
        <v>0</v>
      </c>
      <c r="D1985" s="32" t="str">
        <f aca="false">IF(C1985=0,"",IF($A1985="Bank",INDEX(Bank!$B:$B,$C1985),INDEX(GL!$B:$B,$C1985)))</f>
        <v/>
      </c>
      <c r="E1985" s="5" t="str">
        <f aca="false">IF(C1985=0,"",IF($A1985="Bank",IF(INDEX(Bank!$C:$C,$C1985)="","",INDEX(Bank!$C:$C,$C1985)),IF(INDEX(GL!$C:$C,$C1985)="","",INDEX(GL!$C:$C,$C1985))))</f>
        <v/>
      </c>
      <c r="F1985" s="5" t="str">
        <f aca="false">IF(C1985=0,"",IF($A1985="Bank",IF(INDEX(Bank!$D:$D,$C1985)="","",INDEX(Bank!$D:$D,$C1985)),IF(INDEX(GL!$D:$D,$C1985)="","",INDEX(GL!$D:$D,$C1985))))</f>
        <v/>
      </c>
      <c r="G1985" s="19" t="str">
        <f aca="false">IF(C1985=0,"",IF($A1985="Bank",INDEX(Bank!$E:$E,$C1985),INDEX(GL!$E:$E,$C1985)))</f>
        <v/>
      </c>
      <c r="H1985" s="5" t="str">
        <f aca="false">IF(C1985=0,"",IF(A1985="GL",IF(G1985&gt;0,"Deposit in transit","Outstanding check / payment"),IF(G1985&gt;0,"Bank credit not in GL","Bank debit not in GL")))</f>
        <v/>
      </c>
      <c r="I1985" s="42" t="str">
        <f aca="false">IF(OR(C1985=0,CFG_PeriodEnd=""),"",CFG_PeriodEnd-D1985)</f>
        <v/>
      </c>
      <c r="J1985" s="5" t="str">
        <f aca="false">IF(C1985=0,"",IF($A1985="Bank",IF(INDEX(Bank!$G:$G,$C1985)="","",INDEX(Bank!$G:$G,$C1985)),IF(INDEX(GL!$G:$G,$C1985)="","",INDEX(GL!$G:$G,$C1985))))</f>
        <v/>
      </c>
      <c r="K1985" s="5" t="str">
        <f aca="false">IF(C1985=0,"",IF($A1985="Bank",IF(INDEX(Bank!$I:$I,$C1985)="","",INDEX(Bank!$I:$I,$C1985)),IF(INDEX(GL!$I:$I,$C1985)="","",INDEX(GL!$I:$I,$C1985))))</f>
        <v/>
      </c>
      <c r="L1985" s="5" t="str">
        <f aca="false">IF(B1985="","",IF(C1985=0,"NOT FOUND",IF(IF($A1985="Bank",INDEX(Bank!$F:$F,$C1985),INDEX(GL!$F:$F,$C1985))="Y","NOW RECONCILED: refresh","OK")))</f>
        <v/>
      </c>
    </row>
    <row r="1986" customFormat="false" ht="15" hidden="false" customHeight="false" outlineLevel="0" collapsed="false">
      <c r="A1986" s="41"/>
      <c r="B1986" s="41"/>
      <c r="C1986" s="5" t="n">
        <f aca="false">IF(B1986="",0,IF(A1986="Bank",IFERROR(MATCH(B1986,Bank!$A:$A,0),0),IFERROR(MATCH(B1986,GL!$A:$A,0),0)))</f>
        <v>0</v>
      </c>
      <c r="D1986" s="32" t="str">
        <f aca="false">IF(C1986=0,"",IF($A1986="Bank",INDEX(Bank!$B:$B,$C1986),INDEX(GL!$B:$B,$C1986)))</f>
        <v/>
      </c>
      <c r="E1986" s="5" t="str">
        <f aca="false">IF(C1986=0,"",IF($A1986="Bank",IF(INDEX(Bank!$C:$C,$C1986)="","",INDEX(Bank!$C:$C,$C1986)),IF(INDEX(GL!$C:$C,$C1986)="","",INDEX(GL!$C:$C,$C1986))))</f>
        <v/>
      </c>
      <c r="F1986" s="5" t="str">
        <f aca="false">IF(C1986=0,"",IF($A1986="Bank",IF(INDEX(Bank!$D:$D,$C1986)="","",INDEX(Bank!$D:$D,$C1986)),IF(INDEX(GL!$D:$D,$C1986)="","",INDEX(GL!$D:$D,$C1986))))</f>
        <v/>
      </c>
      <c r="G1986" s="19" t="str">
        <f aca="false">IF(C1986=0,"",IF($A1986="Bank",INDEX(Bank!$E:$E,$C1986),INDEX(GL!$E:$E,$C1986)))</f>
        <v/>
      </c>
      <c r="H1986" s="5" t="str">
        <f aca="false">IF(C1986=0,"",IF(A1986="GL",IF(G1986&gt;0,"Deposit in transit","Outstanding check / payment"),IF(G1986&gt;0,"Bank credit not in GL","Bank debit not in GL")))</f>
        <v/>
      </c>
      <c r="I1986" s="42" t="str">
        <f aca="false">IF(OR(C1986=0,CFG_PeriodEnd=""),"",CFG_PeriodEnd-D1986)</f>
        <v/>
      </c>
      <c r="J1986" s="5" t="str">
        <f aca="false">IF(C1986=0,"",IF($A1986="Bank",IF(INDEX(Bank!$G:$G,$C1986)="","",INDEX(Bank!$G:$G,$C1986)),IF(INDEX(GL!$G:$G,$C1986)="","",INDEX(GL!$G:$G,$C1986))))</f>
        <v/>
      </c>
      <c r="K1986" s="5" t="str">
        <f aca="false">IF(C1986=0,"",IF($A1986="Bank",IF(INDEX(Bank!$I:$I,$C1986)="","",INDEX(Bank!$I:$I,$C1986)),IF(INDEX(GL!$I:$I,$C1986)="","",INDEX(GL!$I:$I,$C1986))))</f>
        <v/>
      </c>
      <c r="L1986" s="5" t="str">
        <f aca="false">IF(B1986="","",IF(C1986=0,"NOT FOUND",IF(IF($A1986="Bank",INDEX(Bank!$F:$F,$C1986),INDEX(GL!$F:$F,$C1986))="Y","NOW RECONCILED: refresh","OK")))</f>
        <v/>
      </c>
    </row>
    <row r="1987" customFormat="false" ht="15" hidden="false" customHeight="false" outlineLevel="0" collapsed="false">
      <c r="A1987" s="41"/>
      <c r="B1987" s="41"/>
      <c r="C1987" s="5" t="n">
        <f aca="false">IF(B1987="",0,IF(A1987="Bank",IFERROR(MATCH(B1987,Bank!$A:$A,0),0),IFERROR(MATCH(B1987,GL!$A:$A,0),0)))</f>
        <v>0</v>
      </c>
      <c r="D1987" s="32" t="str">
        <f aca="false">IF(C1987=0,"",IF($A1987="Bank",INDEX(Bank!$B:$B,$C1987),INDEX(GL!$B:$B,$C1987)))</f>
        <v/>
      </c>
      <c r="E1987" s="5" t="str">
        <f aca="false">IF(C1987=0,"",IF($A1987="Bank",IF(INDEX(Bank!$C:$C,$C1987)="","",INDEX(Bank!$C:$C,$C1987)),IF(INDEX(GL!$C:$C,$C1987)="","",INDEX(GL!$C:$C,$C1987))))</f>
        <v/>
      </c>
      <c r="F1987" s="5" t="str">
        <f aca="false">IF(C1987=0,"",IF($A1987="Bank",IF(INDEX(Bank!$D:$D,$C1987)="","",INDEX(Bank!$D:$D,$C1987)),IF(INDEX(GL!$D:$D,$C1987)="","",INDEX(GL!$D:$D,$C1987))))</f>
        <v/>
      </c>
      <c r="G1987" s="19" t="str">
        <f aca="false">IF(C1987=0,"",IF($A1987="Bank",INDEX(Bank!$E:$E,$C1987),INDEX(GL!$E:$E,$C1987)))</f>
        <v/>
      </c>
      <c r="H1987" s="5" t="str">
        <f aca="false">IF(C1987=0,"",IF(A1987="GL",IF(G1987&gt;0,"Deposit in transit","Outstanding check / payment"),IF(G1987&gt;0,"Bank credit not in GL","Bank debit not in GL")))</f>
        <v/>
      </c>
      <c r="I1987" s="42" t="str">
        <f aca="false">IF(OR(C1987=0,CFG_PeriodEnd=""),"",CFG_PeriodEnd-D1987)</f>
        <v/>
      </c>
      <c r="J1987" s="5" t="str">
        <f aca="false">IF(C1987=0,"",IF($A1987="Bank",IF(INDEX(Bank!$G:$G,$C1987)="","",INDEX(Bank!$G:$G,$C1987)),IF(INDEX(GL!$G:$G,$C1987)="","",INDEX(GL!$G:$G,$C1987))))</f>
        <v/>
      </c>
      <c r="K1987" s="5" t="str">
        <f aca="false">IF(C1987=0,"",IF($A1987="Bank",IF(INDEX(Bank!$I:$I,$C1987)="","",INDEX(Bank!$I:$I,$C1987)),IF(INDEX(GL!$I:$I,$C1987)="","",INDEX(GL!$I:$I,$C1987))))</f>
        <v/>
      </c>
      <c r="L1987" s="5" t="str">
        <f aca="false">IF(B1987="","",IF(C1987=0,"NOT FOUND",IF(IF($A1987="Bank",INDEX(Bank!$F:$F,$C1987),INDEX(GL!$F:$F,$C1987))="Y","NOW RECONCILED: refresh","OK")))</f>
        <v/>
      </c>
    </row>
    <row r="1988" customFormat="false" ht="15" hidden="false" customHeight="false" outlineLevel="0" collapsed="false">
      <c r="A1988" s="41"/>
      <c r="B1988" s="41"/>
      <c r="C1988" s="5" t="n">
        <f aca="false">IF(B1988="",0,IF(A1988="Bank",IFERROR(MATCH(B1988,Bank!$A:$A,0),0),IFERROR(MATCH(B1988,GL!$A:$A,0),0)))</f>
        <v>0</v>
      </c>
      <c r="D1988" s="32" t="str">
        <f aca="false">IF(C1988=0,"",IF($A1988="Bank",INDEX(Bank!$B:$B,$C1988),INDEX(GL!$B:$B,$C1988)))</f>
        <v/>
      </c>
      <c r="E1988" s="5" t="str">
        <f aca="false">IF(C1988=0,"",IF($A1988="Bank",IF(INDEX(Bank!$C:$C,$C1988)="","",INDEX(Bank!$C:$C,$C1988)),IF(INDEX(GL!$C:$C,$C1988)="","",INDEX(GL!$C:$C,$C1988))))</f>
        <v/>
      </c>
      <c r="F1988" s="5" t="str">
        <f aca="false">IF(C1988=0,"",IF($A1988="Bank",IF(INDEX(Bank!$D:$D,$C1988)="","",INDEX(Bank!$D:$D,$C1988)),IF(INDEX(GL!$D:$D,$C1988)="","",INDEX(GL!$D:$D,$C1988))))</f>
        <v/>
      </c>
      <c r="G1988" s="19" t="str">
        <f aca="false">IF(C1988=0,"",IF($A1988="Bank",INDEX(Bank!$E:$E,$C1988),INDEX(GL!$E:$E,$C1988)))</f>
        <v/>
      </c>
      <c r="H1988" s="5" t="str">
        <f aca="false">IF(C1988=0,"",IF(A1988="GL",IF(G1988&gt;0,"Deposit in transit","Outstanding check / payment"),IF(G1988&gt;0,"Bank credit not in GL","Bank debit not in GL")))</f>
        <v/>
      </c>
      <c r="I1988" s="42" t="str">
        <f aca="false">IF(OR(C1988=0,CFG_PeriodEnd=""),"",CFG_PeriodEnd-D1988)</f>
        <v/>
      </c>
      <c r="J1988" s="5" t="str">
        <f aca="false">IF(C1988=0,"",IF($A1988="Bank",IF(INDEX(Bank!$G:$G,$C1988)="","",INDEX(Bank!$G:$G,$C1988)),IF(INDEX(GL!$G:$G,$C1988)="","",INDEX(GL!$G:$G,$C1988))))</f>
        <v/>
      </c>
      <c r="K1988" s="5" t="str">
        <f aca="false">IF(C1988=0,"",IF($A1988="Bank",IF(INDEX(Bank!$I:$I,$C1988)="","",INDEX(Bank!$I:$I,$C1988)),IF(INDEX(GL!$I:$I,$C1988)="","",INDEX(GL!$I:$I,$C1988))))</f>
        <v/>
      </c>
      <c r="L1988" s="5" t="str">
        <f aca="false">IF(B1988="","",IF(C1988=0,"NOT FOUND",IF(IF($A1988="Bank",INDEX(Bank!$F:$F,$C1988),INDEX(GL!$F:$F,$C1988))="Y","NOW RECONCILED: refresh","OK")))</f>
        <v/>
      </c>
    </row>
    <row r="1989" customFormat="false" ht="15" hidden="false" customHeight="false" outlineLevel="0" collapsed="false">
      <c r="A1989" s="41"/>
      <c r="B1989" s="41"/>
      <c r="C1989" s="5" t="n">
        <f aca="false">IF(B1989="",0,IF(A1989="Bank",IFERROR(MATCH(B1989,Bank!$A:$A,0),0),IFERROR(MATCH(B1989,GL!$A:$A,0),0)))</f>
        <v>0</v>
      </c>
      <c r="D1989" s="32" t="str">
        <f aca="false">IF(C1989=0,"",IF($A1989="Bank",INDEX(Bank!$B:$B,$C1989),INDEX(GL!$B:$B,$C1989)))</f>
        <v/>
      </c>
      <c r="E1989" s="5" t="str">
        <f aca="false">IF(C1989=0,"",IF($A1989="Bank",IF(INDEX(Bank!$C:$C,$C1989)="","",INDEX(Bank!$C:$C,$C1989)),IF(INDEX(GL!$C:$C,$C1989)="","",INDEX(GL!$C:$C,$C1989))))</f>
        <v/>
      </c>
      <c r="F1989" s="5" t="str">
        <f aca="false">IF(C1989=0,"",IF($A1989="Bank",IF(INDEX(Bank!$D:$D,$C1989)="","",INDEX(Bank!$D:$D,$C1989)),IF(INDEX(GL!$D:$D,$C1989)="","",INDEX(GL!$D:$D,$C1989))))</f>
        <v/>
      </c>
      <c r="G1989" s="19" t="str">
        <f aca="false">IF(C1989=0,"",IF($A1989="Bank",INDEX(Bank!$E:$E,$C1989),INDEX(GL!$E:$E,$C1989)))</f>
        <v/>
      </c>
      <c r="H1989" s="5" t="str">
        <f aca="false">IF(C1989=0,"",IF(A1989="GL",IF(G1989&gt;0,"Deposit in transit","Outstanding check / payment"),IF(G1989&gt;0,"Bank credit not in GL","Bank debit not in GL")))</f>
        <v/>
      </c>
      <c r="I1989" s="42" t="str">
        <f aca="false">IF(OR(C1989=0,CFG_PeriodEnd=""),"",CFG_PeriodEnd-D1989)</f>
        <v/>
      </c>
      <c r="J1989" s="5" t="str">
        <f aca="false">IF(C1989=0,"",IF($A1989="Bank",IF(INDEX(Bank!$G:$G,$C1989)="","",INDEX(Bank!$G:$G,$C1989)),IF(INDEX(GL!$G:$G,$C1989)="","",INDEX(GL!$G:$G,$C1989))))</f>
        <v/>
      </c>
      <c r="K1989" s="5" t="str">
        <f aca="false">IF(C1989=0,"",IF($A1989="Bank",IF(INDEX(Bank!$I:$I,$C1989)="","",INDEX(Bank!$I:$I,$C1989)),IF(INDEX(GL!$I:$I,$C1989)="","",INDEX(GL!$I:$I,$C1989))))</f>
        <v/>
      </c>
      <c r="L1989" s="5" t="str">
        <f aca="false">IF(B1989="","",IF(C1989=0,"NOT FOUND",IF(IF($A1989="Bank",INDEX(Bank!$F:$F,$C1989),INDEX(GL!$F:$F,$C1989))="Y","NOW RECONCILED: refresh","OK")))</f>
        <v/>
      </c>
    </row>
    <row r="1990" customFormat="false" ht="15" hidden="false" customHeight="false" outlineLevel="0" collapsed="false">
      <c r="A1990" s="41"/>
      <c r="B1990" s="41"/>
      <c r="C1990" s="5" t="n">
        <f aca="false">IF(B1990="",0,IF(A1990="Bank",IFERROR(MATCH(B1990,Bank!$A:$A,0),0),IFERROR(MATCH(B1990,GL!$A:$A,0),0)))</f>
        <v>0</v>
      </c>
      <c r="D1990" s="32" t="str">
        <f aca="false">IF(C1990=0,"",IF($A1990="Bank",INDEX(Bank!$B:$B,$C1990),INDEX(GL!$B:$B,$C1990)))</f>
        <v/>
      </c>
      <c r="E1990" s="5" t="str">
        <f aca="false">IF(C1990=0,"",IF($A1990="Bank",IF(INDEX(Bank!$C:$C,$C1990)="","",INDEX(Bank!$C:$C,$C1990)),IF(INDEX(GL!$C:$C,$C1990)="","",INDEX(GL!$C:$C,$C1990))))</f>
        <v/>
      </c>
      <c r="F1990" s="5" t="str">
        <f aca="false">IF(C1990=0,"",IF($A1990="Bank",IF(INDEX(Bank!$D:$D,$C1990)="","",INDEX(Bank!$D:$D,$C1990)),IF(INDEX(GL!$D:$D,$C1990)="","",INDEX(GL!$D:$D,$C1990))))</f>
        <v/>
      </c>
      <c r="G1990" s="19" t="str">
        <f aca="false">IF(C1990=0,"",IF($A1990="Bank",INDEX(Bank!$E:$E,$C1990),INDEX(GL!$E:$E,$C1990)))</f>
        <v/>
      </c>
      <c r="H1990" s="5" t="str">
        <f aca="false">IF(C1990=0,"",IF(A1990="GL",IF(G1990&gt;0,"Deposit in transit","Outstanding check / payment"),IF(G1990&gt;0,"Bank credit not in GL","Bank debit not in GL")))</f>
        <v/>
      </c>
      <c r="I1990" s="42" t="str">
        <f aca="false">IF(OR(C1990=0,CFG_PeriodEnd=""),"",CFG_PeriodEnd-D1990)</f>
        <v/>
      </c>
      <c r="J1990" s="5" t="str">
        <f aca="false">IF(C1990=0,"",IF($A1990="Bank",IF(INDEX(Bank!$G:$G,$C1990)="","",INDEX(Bank!$G:$G,$C1990)),IF(INDEX(GL!$G:$G,$C1990)="","",INDEX(GL!$G:$G,$C1990))))</f>
        <v/>
      </c>
      <c r="K1990" s="5" t="str">
        <f aca="false">IF(C1990=0,"",IF($A1990="Bank",IF(INDEX(Bank!$I:$I,$C1990)="","",INDEX(Bank!$I:$I,$C1990)),IF(INDEX(GL!$I:$I,$C1990)="","",INDEX(GL!$I:$I,$C1990))))</f>
        <v/>
      </c>
      <c r="L1990" s="5" t="str">
        <f aca="false">IF(B1990="","",IF(C1990=0,"NOT FOUND",IF(IF($A1990="Bank",INDEX(Bank!$F:$F,$C1990),INDEX(GL!$F:$F,$C1990))="Y","NOW RECONCILED: refresh","OK")))</f>
        <v/>
      </c>
    </row>
    <row r="1991" customFormat="false" ht="15" hidden="false" customHeight="false" outlineLevel="0" collapsed="false">
      <c r="A1991" s="41"/>
      <c r="B1991" s="41"/>
      <c r="C1991" s="5" t="n">
        <f aca="false">IF(B1991="",0,IF(A1991="Bank",IFERROR(MATCH(B1991,Bank!$A:$A,0),0),IFERROR(MATCH(B1991,GL!$A:$A,0),0)))</f>
        <v>0</v>
      </c>
      <c r="D1991" s="32" t="str">
        <f aca="false">IF(C1991=0,"",IF($A1991="Bank",INDEX(Bank!$B:$B,$C1991),INDEX(GL!$B:$B,$C1991)))</f>
        <v/>
      </c>
      <c r="E1991" s="5" t="str">
        <f aca="false">IF(C1991=0,"",IF($A1991="Bank",IF(INDEX(Bank!$C:$C,$C1991)="","",INDEX(Bank!$C:$C,$C1991)),IF(INDEX(GL!$C:$C,$C1991)="","",INDEX(GL!$C:$C,$C1991))))</f>
        <v/>
      </c>
      <c r="F1991" s="5" t="str">
        <f aca="false">IF(C1991=0,"",IF($A1991="Bank",IF(INDEX(Bank!$D:$D,$C1991)="","",INDEX(Bank!$D:$D,$C1991)),IF(INDEX(GL!$D:$D,$C1991)="","",INDEX(GL!$D:$D,$C1991))))</f>
        <v/>
      </c>
      <c r="G1991" s="19" t="str">
        <f aca="false">IF(C1991=0,"",IF($A1991="Bank",INDEX(Bank!$E:$E,$C1991),INDEX(GL!$E:$E,$C1991)))</f>
        <v/>
      </c>
      <c r="H1991" s="5" t="str">
        <f aca="false">IF(C1991=0,"",IF(A1991="GL",IF(G1991&gt;0,"Deposit in transit","Outstanding check / payment"),IF(G1991&gt;0,"Bank credit not in GL","Bank debit not in GL")))</f>
        <v/>
      </c>
      <c r="I1991" s="42" t="str">
        <f aca="false">IF(OR(C1991=0,CFG_PeriodEnd=""),"",CFG_PeriodEnd-D1991)</f>
        <v/>
      </c>
      <c r="J1991" s="5" t="str">
        <f aca="false">IF(C1991=0,"",IF($A1991="Bank",IF(INDEX(Bank!$G:$G,$C1991)="","",INDEX(Bank!$G:$G,$C1991)),IF(INDEX(GL!$G:$G,$C1991)="","",INDEX(GL!$G:$G,$C1991))))</f>
        <v/>
      </c>
      <c r="K1991" s="5" t="str">
        <f aca="false">IF(C1991=0,"",IF($A1991="Bank",IF(INDEX(Bank!$I:$I,$C1991)="","",INDEX(Bank!$I:$I,$C1991)),IF(INDEX(GL!$I:$I,$C1991)="","",INDEX(GL!$I:$I,$C1991))))</f>
        <v/>
      </c>
      <c r="L1991" s="5" t="str">
        <f aca="false">IF(B1991="","",IF(C1991=0,"NOT FOUND",IF(IF($A1991="Bank",INDEX(Bank!$F:$F,$C1991),INDEX(GL!$F:$F,$C1991))="Y","NOW RECONCILED: refresh","OK")))</f>
        <v/>
      </c>
    </row>
    <row r="1992" customFormat="false" ht="15" hidden="false" customHeight="false" outlineLevel="0" collapsed="false">
      <c r="A1992" s="41"/>
      <c r="B1992" s="41"/>
      <c r="C1992" s="5" t="n">
        <f aca="false">IF(B1992="",0,IF(A1992="Bank",IFERROR(MATCH(B1992,Bank!$A:$A,0),0),IFERROR(MATCH(B1992,GL!$A:$A,0),0)))</f>
        <v>0</v>
      </c>
      <c r="D1992" s="32" t="str">
        <f aca="false">IF(C1992=0,"",IF($A1992="Bank",INDEX(Bank!$B:$B,$C1992),INDEX(GL!$B:$B,$C1992)))</f>
        <v/>
      </c>
      <c r="E1992" s="5" t="str">
        <f aca="false">IF(C1992=0,"",IF($A1992="Bank",IF(INDEX(Bank!$C:$C,$C1992)="","",INDEX(Bank!$C:$C,$C1992)),IF(INDEX(GL!$C:$C,$C1992)="","",INDEX(GL!$C:$C,$C1992))))</f>
        <v/>
      </c>
      <c r="F1992" s="5" t="str">
        <f aca="false">IF(C1992=0,"",IF($A1992="Bank",IF(INDEX(Bank!$D:$D,$C1992)="","",INDEX(Bank!$D:$D,$C1992)),IF(INDEX(GL!$D:$D,$C1992)="","",INDEX(GL!$D:$D,$C1992))))</f>
        <v/>
      </c>
      <c r="G1992" s="19" t="str">
        <f aca="false">IF(C1992=0,"",IF($A1992="Bank",INDEX(Bank!$E:$E,$C1992),INDEX(GL!$E:$E,$C1992)))</f>
        <v/>
      </c>
      <c r="H1992" s="5" t="str">
        <f aca="false">IF(C1992=0,"",IF(A1992="GL",IF(G1992&gt;0,"Deposit in transit","Outstanding check / payment"),IF(G1992&gt;0,"Bank credit not in GL","Bank debit not in GL")))</f>
        <v/>
      </c>
      <c r="I1992" s="42" t="str">
        <f aca="false">IF(OR(C1992=0,CFG_PeriodEnd=""),"",CFG_PeriodEnd-D1992)</f>
        <v/>
      </c>
      <c r="J1992" s="5" t="str">
        <f aca="false">IF(C1992=0,"",IF($A1992="Bank",IF(INDEX(Bank!$G:$G,$C1992)="","",INDEX(Bank!$G:$G,$C1992)),IF(INDEX(GL!$G:$G,$C1992)="","",INDEX(GL!$G:$G,$C1992))))</f>
        <v/>
      </c>
      <c r="K1992" s="5" t="str">
        <f aca="false">IF(C1992=0,"",IF($A1992="Bank",IF(INDEX(Bank!$I:$I,$C1992)="","",INDEX(Bank!$I:$I,$C1992)),IF(INDEX(GL!$I:$I,$C1992)="","",INDEX(GL!$I:$I,$C1992))))</f>
        <v/>
      </c>
      <c r="L1992" s="5" t="str">
        <f aca="false">IF(B1992="","",IF(C1992=0,"NOT FOUND",IF(IF($A1992="Bank",INDEX(Bank!$F:$F,$C1992),INDEX(GL!$F:$F,$C1992))="Y","NOW RECONCILED: refresh","OK")))</f>
        <v/>
      </c>
    </row>
    <row r="1993" customFormat="false" ht="15" hidden="false" customHeight="false" outlineLevel="0" collapsed="false">
      <c r="A1993" s="41"/>
      <c r="B1993" s="41"/>
      <c r="C1993" s="5" t="n">
        <f aca="false">IF(B1993="",0,IF(A1993="Bank",IFERROR(MATCH(B1993,Bank!$A:$A,0),0),IFERROR(MATCH(B1993,GL!$A:$A,0),0)))</f>
        <v>0</v>
      </c>
      <c r="D1993" s="32" t="str">
        <f aca="false">IF(C1993=0,"",IF($A1993="Bank",INDEX(Bank!$B:$B,$C1993),INDEX(GL!$B:$B,$C1993)))</f>
        <v/>
      </c>
      <c r="E1993" s="5" t="str">
        <f aca="false">IF(C1993=0,"",IF($A1993="Bank",IF(INDEX(Bank!$C:$C,$C1993)="","",INDEX(Bank!$C:$C,$C1993)),IF(INDEX(GL!$C:$C,$C1993)="","",INDEX(GL!$C:$C,$C1993))))</f>
        <v/>
      </c>
      <c r="F1993" s="5" t="str">
        <f aca="false">IF(C1993=0,"",IF($A1993="Bank",IF(INDEX(Bank!$D:$D,$C1993)="","",INDEX(Bank!$D:$D,$C1993)),IF(INDEX(GL!$D:$D,$C1993)="","",INDEX(GL!$D:$D,$C1993))))</f>
        <v/>
      </c>
      <c r="G1993" s="19" t="str">
        <f aca="false">IF(C1993=0,"",IF($A1993="Bank",INDEX(Bank!$E:$E,$C1993),INDEX(GL!$E:$E,$C1993)))</f>
        <v/>
      </c>
      <c r="H1993" s="5" t="str">
        <f aca="false">IF(C1993=0,"",IF(A1993="GL",IF(G1993&gt;0,"Deposit in transit","Outstanding check / payment"),IF(G1993&gt;0,"Bank credit not in GL","Bank debit not in GL")))</f>
        <v/>
      </c>
      <c r="I1993" s="42" t="str">
        <f aca="false">IF(OR(C1993=0,CFG_PeriodEnd=""),"",CFG_PeriodEnd-D1993)</f>
        <v/>
      </c>
      <c r="J1993" s="5" t="str">
        <f aca="false">IF(C1993=0,"",IF($A1993="Bank",IF(INDEX(Bank!$G:$G,$C1993)="","",INDEX(Bank!$G:$G,$C1993)),IF(INDEX(GL!$G:$G,$C1993)="","",INDEX(GL!$G:$G,$C1993))))</f>
        <v/>
      </c>
      <c r="K1993" s="5" t="str">
        <f aca="false">IF(C1993=0,"",IF($A1993="Bank",IF(INDEX(Bank!$I:$I,$C1993)="","",INDEX(Bank!$I:$I,$C1993)),IF(INDEX(GL!$I:$I,$C1993)="","",INDEX(GL!$I:$I,$C1993))))</f>
        <v/>
      </c>
      <c r="L1993" s="5" t="str">
        <f aca="false">IF(B1993="","",IF(C1993=0,"NOT FOUND",IF(IF($A1993="Bank",INDEX(Bank!$F:$F,$C1993),INDEX(GL!$F:$F,$C1993))="Y","NOW RECONCILED: refresh","OK")))</f>
        <v/>
      </c>
    </row>
    <row r="1994" customFormat="false" ht="15" hidden="false" customHeight="false" outlineLevel="0" collapsed="false">
      <c r="A1994" s="41"/>
      <c r="B1994" s="41"/>
      <c r="C1994" s="5" t="n">
        <f aca="false">IF(B1994="",0,IF(A1994="Bank",IFERROR(MATCH(B1994,Bank!$A:$A,0),0),IFERROR(MATCH(B1994,GL!$A:$A,0),0)))</f>
        <v>0</v>
      </c>
      <c r="D1994" s="32" t="str">
        <f aca="false">IF(C1994=0,"",IF($A1994="Bank",INDEX(Bank!$B:$B,$C1994),INDEX(GL!$B:$B,$C1994)))</f>
        <v/>
      </c>
      <c r="E1994" s="5" t="str">
        <f aca="false">IF(C1994=0,"",IF($A1994="Bank",IF(INDEX(Bank!$C:$C,$C1994)="","",INDEX(Bank!$C:$C,$C1994)),IF(INDEX(GL!$C:$C,$C1994)="","",INDEX(GL!$C:$C,$C1994))))</f>
        <v/>
      </c>
      <c r="F1994" s="5" t="str">
        <f aca="false">IF(C1994=0,"",IF($A1994="Bank",IF(INDEX(Bank!$D:$D,$C1994)="","",INDEX(Bank!$D:$D,$C1994)),IF(INDEX(GL!$D:$D,$C1994)="","",INDEX(GL!$D:$D,$C1994))))</f>
        <v/>
      </c>
      <c r="G1994" s="19" t="str">
        <f aca="false">IF(C1994=0,"",IF($A1994="Bank",INDEX(Bank!$E:$E,$C1994),INDEX(GL!$E:$E,$C1994)))</f>
        <v/>
      </c>
      <c r="H1994" s="5" t="str">
        <f aca="false">IF(C1994=0,"",IF(A1994="GL",IF(G1994&gt;0,"Deposit in transit","Outstanding check / payment"),IF(G1994&gt;0,"Bank credit not in GL","Bank debit not in GL")))</f>
        <v/>
      </c>
      <c r="I1994" s="42" t="str">
        <f aca="false">IF(OR(C1994=0,CFG_PeriodEnd=""),"",CFG_PeriodEnd-D1994)</f>
        <v/>
      </c>
      <c r="J1994" s="5" t="str">
        <f aca="false">IF(C1994=0,"",IF($A1994="Bank",IF(INDEX(Bank!$G:$G,$C1994)="","",INDEX(Bank!$G:$G,$C1994)),IF(INDEX(GL!$G:$G,$C1994)="","",INDEX(GL!$G:$G,$C1994))))</f>
        <v/>
      </c>
      <c r="K1994" s="5" t="str">
        <f aca="false">IF(C1994=0,"",IF($A1994="Bank",IF(INDEX(Bank!$I:$I,$C1994)="","",INDEX(Bank!$I:$I,$C1994)),IF(INDEX(GL!$I:$I,$C1994)="","",INDEX(GL!$I:$I,$C1994))))</f>
        <v/>
      </c>
      <c r="L1994" s="5" t="str">
        <f aca="false">IF(B1994="","",IF(C1994=0,"NOT FOUND",IF(IF($A1994="Bank",INDEX(Bank!$F:$F,$C1994),INDEX(GL!$F:$F,$C1994))="Y","NOW RECONCILED: refresh","OK")))</f>
        <v/>
      </c>
    </row>
    <row r="1995" customFormat="false" ht="15" hidden="false" customHeight="false" outlineLevel="0" collapsed="false">
      <c r="A1995" s="41"/>
      <c r="B1995" s="41"/>
      <c r="C1995" s="5" t="n">
        <f aca="false">IF(B1995="",0,IF(A1995="Bank",IFERROR(MATCH(B1995,Bank!$A:$A,0),0),IFERROR(MATCH(B1995,GL!$A:$A,0),0)))</f>
        <v>0</v>
      </c>
      <c r="D1995" s="32" t="str">
        <f aca="false">IF(C1995=0,"",IF($A1995="Bank",INDEX(Bank!$B:$B,$C1995),INDEX(GL!$B:$B,$C1995)))</f>
        <v/>
      </c>
      <c r="E1995" s="5" t="str">
        <f aca="false">IF(C1995=0,"",IF($A1995="Bank",IF(INDEX(Bank!$C:$C,$C1995)="","",INDEX(Bank!$C:$C,$C1995)),IF(INDEX(GL!$C:$C,$C1995)="","",INDEX(GL!$C:$C,$C1995))))</f>
        <v/>
      </c>
      <c r="F1995" s="5" t="str">
        <f aca="false">IF(C1995=0,"",IF($A1995="Bank",IF(INDEX(Bank!$D:$D,$C1995)="","",INDEX(Bank!$D:$D,$C1995)),IF(INDEX(GL!$D:$D,$C1995)="","",INDEX(GL!$D:$D,$C1995))))</f>
        <v/>
      </c>
      <c r="G1995" s="19" t="str">
        <f aca="false">IF(C1995=0,"",IF($A1995="Bank",INDEX(Bank!$E:$E,$C1995),INDEX(GL!$E:$E,$C1995)))</f>
        <v/>
      </c>
      <c r="H1995" s="5" t="str">
        <f aca="false">IF(C1995=0,"",IF(A1995="GL",IF(G1995&gt;0,"Deposit in transit","Outstanding check / payment"),IF(G1995&gt;0,"Bank credit not in GL","Bank debit not in GL")))</f>
        <v/>
      </c>
      <c r="I1995" s="42" t="str">
        <f aca="false">IF(OR(C1995=0,CFG_PeriodEnd=""),"",CFG_PeriodEnd-D1995)</f>
        <v/>
      </c>
      <c r="J1995" s="5" t="str">
        <f aca="false">IF(C1995=0,"",IF($A1995="Bank",IF(INDEX(Bank!$G:$G,$C1995)="","",INDEX(Bank!$G:$G,$C1995)),IF(INDEX(GL!$G:$G,$C1995)="","",INDEX(GL!$G:$G,$C1995))))</f>
        <v/>
      </c>
      <c r="K1995" s="5" t="str">
        <f aca="false">IF(C1995=0,"",IF($A1995="Bank",IF(INDEX(Bank!$I:$I,$C1995)="","",INDEX(Bank!$I:$I,$C1995)),IF(INDEX(GL!$I:$I,$C1995)="","",INDEX(GL!$I:$I,$C1995))))</f>
        <v/>
      </c>
      <c r="L1995" s="5" t="str">
        <f aca="false">IF(B1995="","",IF(C1995=0,"NOT FOUND",IF(IF($A1995="Bank",INDEX(Bank!$F:$F,$C1995),INDEX(GL!$F:$F,$C1995))="Y","NOW RECONCILED: refresh","OK")))</f>
        <v/>
      </c>
    </row>
    <row r="1996" customFormat="false" ht="15" hidden="false" customHeight="false" outlineLevel="0" collapsed="false">
      <c r="A1996" s="41"/>
      <c r="B1996" s="41"/>
      <c r="C1996" s="5" t="n">
        <f aca="false">IF(B1996="",0,IF(A1996="Bank",IFERROR(MATCH(B1996,Bank!$A:$A,0),0),IFERROR(MATCH(B1996,GL!$A:$A,0),0)))</f>
        <v>0</v>
      </c>
      <c r="D1996" s="32" t="str">
        <f aca="false">IF(C1996=0,"",IF($A1996="Bank",INDEX(Bank!$B:$B,$C1996),INDEX(GL!$B:$B,$C1996)))</f>
        <v/>
      </c>
      <c r="E1996" s="5" t="str">
        <f aca="false">IF(C1996=0,"",IF($A1996="Bank",IF(INDEX(Bank!$C:$C,$C1996)="","",INDEX(Bank!$C:$C,$C1996)),IF(INDEX(GL!$C:$C,$C1996)="","",INDEX(GL!$C:$C,$C1996))))</f>
        <v/>
      </c>
      <c r="F1996" s="5" t="str">
        <f aca="false">IF(C1996=0,"",IF($A1996="Bank",IF(INDEX(Bank!$D:$D,$C1996)="","",INDEX(Bank!$D:$D,$C1996)),IF(INDEX(GL!$D:$D,$C1996)="","",INDEX(GL!$D:$D,$C1996))))</f>
        <v/>
      </c>
      <c r="G1996" s="19" t="str">
        <f aca="false">IF(C1996=0,"",IF($A1996="Bank",INDEX(Bank!$E:$E,$C1996),INDEX(GL!$E:$E,$C1996)))</f>
        <v/>
      </c>
      <c r="H1996" s="5" t="str">
        <f aca="false">IF(C1996=0,"",IF(A1996="GL",IF(G1996&gt;0,"Deposit in transit","Outstanding check / payment"),IF(G1996&gt;0,"Bank credit not in GL","Bank debit not in GL")))</f>
        <v/>
      </c>
      <c r="I1996" s="42" t="str">
        <f aca="false">IF(OR(C1996=0,CFG_PeriodEnd=""),"",CFG_PeriodEnd-D1996)</f>
        <v/>
      </c>
      <c r="J1996" s="5" t="str">
        <f aca="false">IF(C1996=0,"",IF($A1996="Bank",IF(INDEX(Bank!$G:$G,$C1996)="","",INDEX(Bank!$G:$G,$C1996)),IF(INDEX(GL!$G:$G,$C1996)="","",INDEX(GL!$G:$G,$C1996))))</f>
        <v/>
      </c>
      <c r="K1996" s="5" t="str">
        <f aca="false">IF(C1996=0,"",IF($A1996="Bank",IF(INDEX(Bank!$I:$I,$C1996)="","",INDEX(Bank!$I:$I,$C1996)),IF(INDEX(GL!$I:$I,$C1996)="","",INDEX(GL!$I:$I,$C1996))))</f>
        <v/>
      </c>
      <c r="L1996" s="5" t="str">
        <f aca="false">IF(B1996="","",IF(C1996=0,"NOT FOUND",IF(IF($A1996="Bank",INDEX(Bank!$F:$F,$C1996),INDEX(GL!$F:$F,$C1996))="Y","NOW RECONCILED: refresh","OK")))</f>
        <v/>
      </c>
    </row>
    <row r="1997" customFormat="false" ht="15" hidden="false" customHeight="false" outlineLevel="0" collapsed="false">
      <c r="A1997" s="41"/>
      <c r="B1997" s="41"/>
      <c r="C1997" s="5" t="n">
        <f aca="false">IF(B1997="",0,IF(A1997="Bank",IFERROR(MATCH(B1997,Bank!$A:$A,0),0),IFERROR(MATCH(B1997,GL!$A:$A,0),0)))</f>
        <v>0</v>
      </c>
      <c r="D1997" s="32" t="str">
        <f aca="false">IF(C1997=0,"",IF($A1997="Bank",INDEX(Bank!$B:$B,$C1997),INDEX(GL!$B:$B,$C1997)))</f>
        <v/>
      </c>
      <c r="E1997" s="5" t="str">
        <f aca="false">IF(C1997=0,"",IF($A1997="Bank",IF(INDEX(Bank!$C:$C,$C1997)="","",INDEX(Bank!$C:$C,$C1997)),IF(INDEX(GL!$C:$C,$C1997)="","",INDEX(GL!$C:$C,$C1997))))</f>
        <v/>
      </c>
      <c r="F1997" s="5" t="str">
        <f aca="false">IF(C1997=0,"",IF($A1997="Bank",IF(INDEX(Bank!$D:$D,$C1997)="","",INDEX(Bank!$D:$D,$C1997)),IF(INDEX(GL!$D:$D,$C1997)="","",INDEX(GL!$D:$D,$C1997))))</f>
        <v/>
      </c>
      <c r="G1997" s="19" t="str">
        <f aca="false">IF(C1997=0,"",IF($A1997="Bank",INDEX(Bank!$E:$E,$C1997),INDEX(GL!$E:$E,$C1997)))</f>
        <v/>
      </c>
      <c r="H1997" s="5" t="str">
        <f aca="false">IF(C1997=0,"",IF(A1997="GL",IF(G1997&gt;0,"Deposit in transit","Outstanding check / payment"),IF(G1997&gt;0,"Bank credit not in GL","Bank debit not in GL")))</f>
        <v/>
      </c>
      <c r="I1997" s="42" t="str">
        <f aca="false">IF(OR(C1997=0,CFG_PeriodEnd=""),"",CFG_PeriodEnd-D1997)</f>
        <v/>
      </c>
      <c r="J1997" s="5" t="str">
        <f aca="false">IF(C1997=0,"",IF($A1997="Bank",IF(INDEX(Bank!$G:$G,$C1997)="","",INDEX(Bank!$G:$G,$C1997)),IF(INDEX(GL!$G:$G,$C1997)="","",INDEX(GL!$G:$G,$C1997))))</f>
        <v/>
      </c>
      <c r="K1997" s="5" t="str">
        <f aca="false">IF(C1997=0,"",IF($A1997="Bank",IF(INDEX(Bank!$I:$I,$C1997)="","",INDEX(Bank!$I:$I,$C1997)),IF(INDEX(GL!$I:$I,$C1997)="","",INDEX(GL!$I:$I,$C1997))))</f>
        <v/>
      </c>
      <c r="L1997" s="5" t="str">
        <f aca="false">IF(B1997="","",IF(C1997=0,"NOT FOUND",IF(IF($A1997="Bank",INDEX(Bank!$F:$F,$C1997),INDEX(GL!$F:$F,$C1997))="Y","NOW RECONCILED: refresh","OK")))</f>
        <v/>
      </c>
    </row>
    <row r="1998" customFormat="false" ht="15" hidden="false" customHeight="false" outlineLevel="0" collapsed="false">
      <c r="A1998" s="41"/>
      <c r="B1998" s="41"/>
      <c r="C1998" s="5" t="n">
        <f aca="false">IF(B1998="",0,IF(A1998="Bank",IFERROR(MATCH(B1998,Bank!$A:$A,0),0),IFERROR(MATCH(B1998,GL!$A:$A,0),0)))</f>
        <v>0</v>
      </c>
      <c r="D1998" s="32" t="str">
        <f aca="false">IF(C1998=0,"",IF($A1998="Bank",INDEX(Bank!$B:$B,$C1998),INDEX(GL!$B:$B,$C1998)))</f>
        <v/>
      </c>
      <c r="E1998" s="5" t="str">
        <f aca="false">IF(C1998=0,"",IF($A1998="Bank",IF(INDEX(Bank!$C:$C,$C1998)="","",INDEX(Bank!$C:$C,$C1998)),IF(INDEX(GL!$C:$C,$C1998)="","",INDEX(GL!$C:$C,$C1998))))</f>
        <v/>
      </c>
      <c r="F1998" s="5" t="str">
        <f aca="false">IF(C1998=0,"",IF($A1998="Bank",IF(INDEX(Bank!$D:$D,$C1998)="","",INDEX(Bank!$D:$D,$C1998)),IF(INDEX(GL!$D:$D,$C1998)="","",INDEX(GL!$D:$D,$C1998))))</f>
        <v/>
      </c>
      <c r="G1998" s="19" t="str">
        <f aca="false">IF(C1998=0,"",IF($A1998="Bank",INDEX(Bank!$E:$E,$C1998),INDEX(GL!$E:$E,$C1998)))</f>
        <v/>
      </c>
      <c r="H1998" s="5" t="str">
        <f aca="false">IF(C1998=0,"",IF(A1998="GL",IF(G1998&gt;0,"Deposit in transit","Outstanding check / payment"),IF(G1998&gt;0,"Bank credit not in GL","Bank debit not in GL")))</f>
        <v/>
      </c>
      <c r="I1998" s="42" t="str">
        <f aca="false">IF(OR(C1998=0,CFG_PeriodEnd=""),"",CFG_PeriodEnd-D1998)</f>
        <v/>
      </c>
      <c r="J1998" s="5" t="str">
        <f aca="false">IF(C1998=0,"",IF($A1998="Bank",IF(INDEX(Bank!$G:$G,$C1998)="","",INDEX(Bank!$G:$G,$C1998)),IF(INDEX(GL!$G:$G,$C1998)="","",INDEX(GL!$G:$G,$C1998))))</f>
        <v/>
      </c>
      <c r="K1998" s="5" t="str">
        <f aca="false">IF(C1998=0,"",IF($A1998="Bank",IF(INDEX(Bank!$I:$I,$C1998)="","",INDEX(Bank!$I:$I,$C1998)),IF(INDEX(GL!$I:$I,$C1998)="","",INDEX(GL!$I:$I,$C1998))))</f>
        <v/>
      </c>
      <c r="L1998" s="5" t="str">
        <f aca="false">IF(B1998="","",IF(C1998=0,"NOT FOUND",IF(IF($A1998="Bank",INDEX(Bank!$F:$F,$C1998),INDEX(GL!$F:$F,$C1998))="Y","NOW RECONCILED: refresh","OK")))</f>
        <v/>
      </c>
    </row>
    <row r="1999" customFormat="false" ht="15" hidden="false" customHeight="false" outlineLevel="0" collapsed="false">
      <c r="A1999" s="41"/>
      <c r="B1999" s="41"/>
      <c r="C1999" s="5" t="n">
        <f aca="false">IF(B1999="",0,IF(A1999="Bank",IFERROR(MATCH(B1999,Bank!$A:$A,0),0),IFERROR(MATCH(B1999,GL!$A:$A,0),0)))</f>
        <v>0</v>
      </c>
      <c r="D1999" s="32" t="str">
        <f aca="false">IF(C1999=0,"",IF($A1999="Bank",INDEX(Bank!$B:$B,$C1999),INDEX(GL!$B:$B,$C1999)))</f>
        <v/>
      </c>
      <c r="E1999" s="5" t="str">
        <f aca="false">IF(C1999=0,"",IF($A1999="Bank",IF(INDEX(Bank!$C:$C,$C1999)="","",INDEX(Bank!$C:$C,$C1999)),IF(INDEX(GL!$C:$C,$C1999)="","",INDEX(GL!$C:$C,$C1999))))</f>
        <v/>
      </c>
      <c r="F1999" s="5" t="str">
        <f aca="false">IF(C1999=0,"",IF($A1999="Bank",IF(INDEX(Bank!$D:$D,$C1999)="","",INDEX(Bank!$D:$D,$C1999)),IF(INDEX(GL!$D:$D,$C1999)="","",INDEX(GL!$D:$D,$C1999))))</f>
        <v/>
      </c>
      <c r="G1999" s="19" t="str">
        <f aca="false">IF(C1999=0,"",IF($A1999="Bank",INDEX(Bank!$E:$E,$C1999),INDEX(GL!$E:$E,$C1999)))</f>
        <v/>
      </c>
      <c r="H1999" s="5" t="str">
        <f aca="false">IF(C1999=0,"",IF(A1999="GL",IF(G1999&gt;0,"Deposit in transit","Outstanding check / payment"),IF(G1999&gt;0,"Bank credit not in GL","Bank debit not in GL")))</f>
        <v/>
      </c>
      <c r="I1999" s="42" t="str">
        <f aca="false">IF(OR(C1999=0,CFG_PeriodEnd=""),"",CFG_PeriodEnd-D1999)</f>
        <v/>
      </c>
      <c r="J1999" s="5" t="str">
        <f aca="false">IF(C1999=0,"",IF($A1999="Bank",IF(INDEX(Bank!$G:$G,$C1999)="","",INDEX(Bank!$G:$G,$C1999)),IF(INDEX(GL!$G:$G,$C1999)="","",INDEX(GL!$G:$G,$C1999))))</f>
        <v/>
      </c>
      <c r="K1999" s="5" t="str">
        <f aca="false">IF(C1999=0,"",IF($A1999="Bank",IF(INDEX(Bank!$I:$I,$C1999)="","",INDEX(Bank!$I:$I,$C1999)),IF(INDEX(GL!$I:$I,$C1999)="","",INDEX(GL!$I:$I,$C1999))))</f>
        <v/>
      </c>
      <c r="L1999" s="5" t="str">
        <f aca="false">IF(B1999="","",IF(C1999=0,"NOT FOUND",IF(IF($A1999="Bank",INDEX(Bank!$F:$F,$C1999),INDEX(GL!$F:$F,$C1999))="Y","NOW RECONCILED: refresh","OK")))</f>
        <v/>
      </c>
    </row>
    <row r="2000" customFormat="false" ht="15" hidden="false" customHeight="false" outlineLevel="0" collapsed="false">
      <c r="A2000" s="41"/>
      <c r="B2000" s="41"/>
      <c r="C2000" s="5" t="n">
        <f aca="false">IF(B2000="",0,IF(A2000="Bank",IFERROR(MATCH(B2000,Bank!$A:$A,0),0),IFERROR(MATCH(B2000,GL!$A:$A,0),0)))</f>
        <v>0</v>
      </c>
      <c r="D2000" s="32" t="str">
        <f aca="false">IF(C2000=0,"",IF($A2000="Bank",INDEX(Bank!$B:$B,$C2000),INDEX(GL!$B:$B,$C2000)))</f>
        <v/>
      </c>
      <c r="E2000" s="5" t="str">
        <f aca="false">IF(C2000=0,"",IF($A2000="Bank",IF(INDEX(Bank!$C:$C,$C2000)="","",INDEX(Bank!$C:$C,$C2000)),IF(INDEX(GL!$C:$C,$C2000)="","",INDEX(GL!$C:$C,$C2000))))</f>
        <v/>
      </c>
      <c r="F2000" s="5" t="str">
        <f aca="false">IF(C2000=0,"",IF($A2000="Bank",IF(INDEX(Bank!$D:$D,$C2000)="","",INDEX(Bank!$D:$D,$C2000)),IF(INDEX(GL!$D:$D,$C2000)="","",INDEX(GL!$D:$D,$C2000))))</f>
        <v/>
      </c>
      <c r="G2000" s="19" t="str">
        <f aca="false">IF(C2000=0,"",IF($A2000="Bank",INDEX(Bank!$E:$E,$C2000),INDEX(GL!$E:$E,$C2000)))</f>
        <v/>
      </c>
      <c r="H2000" s="5" t="str">
        <f aca="false">IF(C2000=0,"",IF(A2000="GL",IF(G2000&gt;0,"Deposit in transit","Outstanding check / payment"),IF(G2000&gt;0,"Bank credit not in GL","Bank debit not in GL")))</f>
        <v/>
      </c>
      <c r="I2000" s="42" t="str">
        <f aca="false">IF(OR(C2000=0,CFG_PeriodEnd=""),"",CFG_PeriodEnd-D2000)</f>
        <v/>
      </c>
      <c r="J2000" s="5" t="str">
        <f aca="false">IF(C2000=0,"",IF($A2000="Bank",IF(INDEX(Bank!$G:$G,$C2000)="","",INDEX(Bank!$G:$G,$C2000)),IF(INDEX(GL!$G:$G,$C2000)="","",INDEX(GL!$G:$G,$C2000))))</f>
        <v/>
      </c>
      <c r="K2000" s="5" t="str">
        <f aca="false">IF(C2000=0,"",IF($A2000="Bank",IF(INDEX(Bank!$I:$I,$C2000)="","",INDEX(Bank!$I:$I,$C2000)),IF(INDEX(GL!$I:$I,$C2000)="","",INDEX(GL!$I:$I,$C2000))))</f>
        <v/>
      </c>
      <c r="L2000" s="5" t="str">
        <f aca="false">IF(B2000="","",IF(C2000=0,"NOT FOUND",IF(IF($A2000="Bank",INDEX(Bank!$F:$F,$C2000),INDEX(GL!$F:$F,$C2000))="Y","NOW RECONCILED: refresh","OK")))</f>
        <v/>
      </c>
    </row>
    <row r="2001" customFormat="false" ht="15" hidden="false" customHeight="false" outlineLevel="0" collapsed="false">
      <c r="A2001" s="41"/>
      <c r="B2001" s="41"/>
      <c r="C2001" s="5" t="n">
        <f aca="false">IF(B2001="",0,IF(A2001="Bank",IFERROR(MATCH(B2001,Bank!$A:$A,0),0),IFERROR(MATCH(B2001,GL!$A:$A,0),0)))</f>
        <v>0</v>
      </c>
      <c r="D2001" s="32" t="str">
        <f aca="false">IF(C2001=0,"",IF($A2001="Bank",INDEX(Bank!$B:$B,$C2001),INDEX(GL!$B:$B,$C2001)))</f>
        <v/>
      </c>
      <c r="E2001" s="5" t="str">
        <f aca="false">IF(C2001=0,"",IF($A2001="Bank",IF(INDEX(Bank!$C:$C,$C2001)="","",INDEX(Bank!$C:$C,$C2001)),IF(INDEX(GL!$C:$C,$C2001)="","",INDEX(GL!$C:$C,$C2001))))</f>
        <v/>
      </c>
      <c r="F2001" s="5" t="str">
        <f aca="false">IF(C2001=0,"",IF($A2001="Bank",IF(INDEX(Bank!$D:$D,$C2001)="","",INDEX(Bank!$D:$D,$C2001)),IF(INDEX(GL!$D:$D,$C2001)="","",INDEX(GL!$D:$D,$C2001))))</f>
        <v/>
      </c>
      <c r="G2001" s="19" t="str">
        <f aca="false">IF(C2001=0,"",IF($A2001="Bank",INDEX(Bank!$E:$E,$C2001),INDEX(GL!$E:$E,$C2001)))</f>
        <v/>
      </c>
      <c r="H2001" s="5" t="str">
        <f aca="false">IF(C2001=0,"",IF(A2001="GL",IF(G2001&gt;0,"Deposit in transit","Outstanding check / payment"),IF(G2001&gt;0,"Bank credit not in GL","Bank debit not in GL")))</f>
        <v/>
      </c>
      <c r="I2001" s="42" t="str">
        <f aca="false">IF(OR(C2001=0,CFG_PeriodEnd=""),"",CFG_PeriodEnd-D2001)</f>
        <v/>
      </c>
      <c r="J2001" s="5" t="str">
        <f aca="false">IF(C2001=0,"",IF($A2001="Bank",IF(INDEX(Bank!$G:$G,$C2001)="","",INDEX(Bank!$G:$G,$C2001)),IF(INDEX(GL!$G:$G,$C2001)="","",INDEX(GL!$G:$G,$C2001))))</f>
        <v/>
      </c>
      <c r="K2001" s="5" t="str">
        <f aca="false">IF(C2001=0,"",IF($A2001="Bank",IF(INDEX(Bank!$I:$I,$C2001)="","",INDEX(Bank!$I:$I,$C2001)),IF(INDEX(GL!$I:$I,$C2001)="","",INDEX(GL!$I:$I,$C2001))))</f>
        <v/>
      </c>
      <c r="L2001" s="5" t="str">
        <f aca="false">IF(B2001="","",IF(C2001=0,"NOT FOUND",IF(IF($A2001="Bank",INDEX(Bank!$F:$F,$C2001),INDEX(GL!$F:$F,$C2001))="Y","NOW RECONCILED: refresh","OK")))</f>
        <v/>
      </c>
    </row>
    <row r="2002" customFormat="false" ht="15" hidden="false" customHeight="false" outlineLevel="0" collapsed="false">
      <c r="A2002" s="41"/>
      <c r="B2002" s="41"/>
      <c r="C2002" s="5" t="n">
        <f aca="false">IF(B2002="",0,IF(A2002="Bank",IFERROR(MATCH(B2002,Bank!$A:$A,0),0),IFERROR(MATCH(B2002,GL!$A:$A,0),0)))</f>
        <v>0</v>
      </c>
      <c r="D2002" s="32" t="str">
        <f aca="false">IF(C2002=0,"",IF($A2002="Bank",INDEX(Bank!$B:$B,$C2002),INDEX(GL!$B:$B,$C2002)))</f>
        <v/>
      </c>
      <c r="E2002" s="5" t="str">
        <f aca="false">IF(C2002=0,"",IF($A2002="Bank",IF(INDEX(Bank!$C:$C,$C2002)="","",INDEX(Bank!$C:$C,$C2002)),IF(INDEX(GL!$C:$C,$C2002)="","",INDEX(GL!$C:$C,$C2002))))</f>
        <v/>
      </c>
      <c r="F2002" s="5" t="str">
        <f aca="false">IF(C2002=0,"",IF($A2002="Bank",IF(INDEX(Bank!$D:$D,$C2002)="","",INDEX(Bank!$D:$D,$C2002)),IF(INDEX(GL!$D:$D,$C2002)="","",INDEX(GL!$D:$D,$C2002))))</f>
        <v/>
      </c>
      <c r="G2002" s="19" t="str">
        <f aca="false">IF(C2002=0,"",IF($A2002="Bank",INDEX(Bank!$E:$E,$C2002),INDEX(GL!$E:$E,$C2002)))</f>
        <v/>
      </c>
      <c r="H2002" s="5" t="str">
        <f aca="false">IF(C2002=0,"",IF(A2002="GL",IF(G2002&gt;0,"Deposit in transit","Outstanding check / payment"),IF(G2002&gt;0,"Bank credit not in GL","Bank debit not in GL")))</f>
        <v/>
      </c>
      <c r="I2002" s="42" t="str">
        <f aca="false">IF(OR(C2002=0,CFG_PeriodEnd=""),"",CFG_PeriodEnd-D2002)</f>
        <v/>
      </c>
      <c r="J2002" s="5" t="str">
        <f aca="false">IF(C2002=0,"",IF($A2002="Bank",IF(INDEX(Bank!$G:$G,$C2002)="","",INDEX(Bank!$G:$G,$C2002)),IF(INDEX(GL!$G:$G,$C2002)="","",INDEX(GL!$G:$G,$C2002))))</f>
        <v/>
      </c>
      <c r="K2002" s="5" t="str">
        <f aca="false">IF(C2002=0,"",IF($A2002="Bank",IF(INDEX(Bank!$I:$I,$C2002)="","",INDEX(Bank!$I:$I,$C2002)),IF(INDEX(GL!$I:$I,$C2002)="","",INDEX(GL!$I:$I,$C2002))))</f>
        <v/>
      </c>
      <c r="L2002" s="5" t="str">
        <f aca="false">IF(B2002="","",IF(C2002=0,"NOT FOUND",IF(IF($A2002="Bank",INDEX(Bank!$F:$F,$C2002),INDEX(GL!$F:$F,$C2002))="Y","NOW RECONCILED: refresh","OK")))</f>
        <v/>
      </c>
    </row>
    <row r="2003" customFormat="false" ht="15" hidden="false" customHeight="false" outlineLevel="0" collapsed="false">
      <c r="A2003" s="41"/>
      <c r="B2003" s="41"/>
      <c r="C2003" s="5" t="n">
        <f aca="false">IF(B2003="",0,IF(A2003="Bank",IFERROR(MATCH(B2003,Bank!$A:$A,0),0),IFERROR(MATCH(B2003,GL!$A:$A,0),0)))</f>
        <v>0</v>
      </c>
      <c r="D2003" s="32" t="str">
        <f aca="false">IF(C2003=0,"",IF($A2003="Bank",INDEX(Bank!$B:$B,$C2003),INDEX(GL!$B:$B,$C2003)))</f>
        <v/>
      </c>
      <c r="E2003" s="5" t="str">
        <f aca="false">IF(C2003=0,"",IF($A2003="Bank",IF(INDEX(Bank!$C:$C,$C2003)="","",INDEX(Bank!$C:$C,$C2003)),IF(INDEX(GL!$C:$C,$C2003)="","",INDEX(GL!$C:$C,$C2003))))</f>
        <v/>
      </c>
      <c r="F2003" s="5" t="str">
        <f aca="false">IF(C2003=0,"",IF($A2003="Bank",IF(INDEX(Bank!$D:$D,$C2003)="","",INDEX(Bank!$D:$D,$C2003)),IF(INDEX(GL!$D:$D,$C2003)="","",INDEX(GL!$D:$D,$C2003))))</f>
        <v/>
      </c>
      <c r="G2003" s="19" t="str">
        <f aca="false">IF(C2003=0,"",IF($A2003="Bank",INDEX(Bank!$E:$E,$C2003),INDEX(GL!$E:$E,$C2003)))</f>
        <v/>
      </c>
      <c r="H2003" s="5" t="str">
        <f aca="false">IF(C2003=0,"",IF(A2003="GL",IF(G2003&gt;0,"Deposit in transit","Outstanding check / payment"),IF(G2003&gt;0,"Bank credit not in GL","Bank debit not in GL")))</f>
        <v/>
      </c>
      <c r="I2003" s="42" t="str">
        <f aca="false">IF(OR(C2003=0,CFG_PeriodEnd=""),"",CFG_PeriodEnd-D2003)</f>
        <v/>
      </c>
      <c r="J2003" s="5" t="str">
        <f aca="false">IF(C2003=0,"",IF($A2003="Bank",IF(INDEX(Bank!$G:$G,$C2003)="","",INDEX(Bank!$G:$G,$C2003)),IF(INDEX(GL!$G:$G,$C2003)="","",INDEX(GL!$G:$G,$C2003))))</f>
        <v/>
      </c>
      <c r="K2003" s="5" t="str">
        <f aca="false">IF(C2003=0,"",IF($A2003="Bank",IF(INDEX(Bank!$I:$I,$C2003)="","",INDEX(Bank!$I:$I,$C2003)),IF(INDEX(GL!$I:$I,$C2003)="","",INDEX(GL!$I:$I,$C2003))))</f>
        <v/>
      </c>
      <c r="L2003" s="5" t="str">
        <f aca="false">IF(B2003="","",IF(C2003=0,"NOT FOUND",IF(IF($A2003="Bank",INDEX(Bank!$F:$F,$C2003),INDEX(GL!$F:$F,$C2003))="Y","NOW RECONCILED: refresh","OK")))</f>
        <v/>
      </c>
    </row>
    <row r="2004" customFormat="false" ht="15" hidden="false" customHeight="false" outlineLevel="0" collapsed="false">
      <c r="A2004" s="41"/>
      <c r="B2004" s="41"/>
      <c r="C2004" s="5" t="n">
        <f aca="false">IF(B2004="",0,IF(A2004="Bank",IFERROR(MATCH(B2004,Bank!$A:$A,0),0),IFERROR(MATCH(B2004,GL!$A:$A,0),0)))</f>
        <v>0</v>
      </c>
      <c r="D2004" s="32" t="str">
        <f aca="false">IF(C2004=0,"",IF($A2004="Bank",INDEX(Bank!$B:$B,$C2004),INDEX(GL!$B:$B,$C2004)))</f>
        <v/>
      </c>
      <c r="E2004" s="5" t="str">
        <f aca="false">IF(C2004=0,"",IF($A2004="Bank",IF(INDEX(Bank!$C:$C,$C2004)="","",INDEX(Bank!$C:$C,$C2004)),IF(INDEX(GL!$C:$C,$C2004)="","",INDEX(GL!$C:$C,$C2004))))</f>
        <v/>
      </c>
      <c r="F2004" s="5" t="str">
        <f aca="false">IF(C2004=0,"",IF($A2004="Bank",IF(INDEX(Bank!$D:$D,$C2004)="","",INDEX(Bank!$D:$D,$C2004)),IF(INDEX(GL!$D:$D,$C2004)="","",INDEX(GL!$D:$D,$C2004))))</f>
        <v/>
      </c>
      <c r="G2004" s="19" t="str">
        <f aca="false">IF(C2004=0,"",IF($A2004="Bank",INDEX(Bank!$E:$E,$C2004),INDEX(GL!$E:$E,$C2004)))</f>
        <v/>
      </c>
      <c r="H2004" s="5" t="str">
        <f aca="false">IF(C2004=0,"",IF(A2004="GL",IF(G2004&gt;0,"Deposit in transit","Outstanding check / payment"),IF(G2004&gt;0,"Bank credit not in GL","Bank debit not in GL")))</f>
        <v/>
      </c>
      <c r="I2004" s="42" t="str">
        <f aca="false">IF(OR(C2004=0,CFG_PeriodEnd=""),"",CFG_PeriodEnd-D2004)</f>
        <v/>
      </c>
      <c r="J2004" s="5" t="str">
        <f aca="false">IF(C2004=0,"",IF($A2004="Bank",IF(INDEX(Bank!$G:$G,$C2004)="","",INDEX(Bank!$G:$G,$C2004)),IF(INDEX(GL!$G:$G,$C2004)="","",INDEX(GL!$G:$G,$C2004))))</f>
        <v/>
      </c>
      <c r="K2004" s="5" t="str">
        <f aca="false">IF(C2004=0,"",IF($A2004="Bank",IF(INDEX(Bank!$I:$I,$C2004)="","",INDEX(Bank!$I:$I,$C2004)),IF(INDEX(GL!$I:$I,$C2004)="","",INDEX(GL!$I:$I,$C2004))))</f>
        <v/>
      </c>
      <c r="L2004" s="5" t="str">
        <f aca="false">IF(B2004="","",IF(C2004=0,"NOT FOUND",IF(IF($A2004="Bank",INDEX(Bank!$F:$F,$C2004),INDEX(GL!$F:$F,$C2004))="Y","NOW RECONCILED: refresh","OK")))</f>
        <v/>
      </c>
    </row>
    <row r="2005" customFormat="false" ht="15" hidden="false" customHeight="false" outlineLevel="0" collapsed="false">
      <c r="A2005" s="41"/>
      <c r="B2005" s="41"/>
      <c r="C2005" s="5" t="n">
        <f aca="false">IF(B2005="",0,IF(A2005="Bank",IFERROR(MATCH(B2005,Bank!$A:$A,0),0),IFERROR(MATCH(B2005,GL!$A:$A,0),0)))</f>
        <v>0</v>
      </c>
      <c r="D2005" s="32" t="str">
        <f aca="false">IF(C2005=0,"",IF($A2005="Bank",INDEX(Bank!$B:$B,$C2005),INDEX(GL!$B:$B,$C2005)))</f>
        <v/>
      </c>
      <c r="E2005" s="5" t="str">
        <f aca="false">IF(C2005=0,"",IF($A2005="Bank",IF(INDEX(Bank!$C:$C,$C2005)="","",INDEX(Bank!$C:$C,$C2005)),IF(INDEX(GL!$C:$C,$C2005)="","",INDEX(GL!$C:$C,$C2005))))</f>
        <v/>
      </c>
      <c r="F2005" s="5" t="str">
        <f aca="false">IF(C2005=0,"",IF($A2005="Bank",IF(INDEX(Bank!$D:$D,$C2005)="","",INDEX(Bank!$D:$D,$C2005)),IF(INDEX(GL!$D:$D,$C2005)="","",INDEX(GL!$D:$D,$C2005))))</f>
        <v/>
      </c>
      <c r="G2005" s="19" t="str">
        <f aca="false">IF(C2005=0,"",IF($A2005="Bank",INDEX(Bank!$E:$E,$C2005),INDEX(GL!$E:$E,$C2005)))</f>
        <v/>
      </c>
      <c r="H2005" s="5" t="str">
        <f aca="false">IF(C2005=0,"",IF(A2005="GL",IF(G2005&gt;0,"Deposit in transit","Outstanding check / payment"),IF(G2005&gt;0,"Bank credit not in GL","Bank debit not in GL")))</f>
        <v/>
      </c>
      <c r="I2005" s="42" t="str">
        <f aca="false">IF(OR(C2005=0,CFG_PeriodEnd=""),"",CFG_PeriodEnd-D2005)</f>
        <v/>
      </c>
      <c r="J2005" s="5" t="str">
        <f aca="false">IF(C2005=0,"",IF($A2005="Bank",IF(INDEX(Bank!$G:$G,$C2005)="","",INDEX(Bank!$G:$G,$C2005)),IF(INDEX(GL!$G:$G,$C2005)="","",INDEX(GL!$G:$G,$C2005))))</f>
        <v/>
      </c>
      <c r="K2005" s="5" t="str">
        <f aca="false">IF(C2005=0,"",IF($A2005="Bank",IF(INDEX(Bank!$I:$I,$C2005)="","",INDEX(Bank!$I:$I,$C2005)),IF(INDEX(GL!$I:$I,$C2005)="","",INDEX(GL!$I:$I,$C2005))))</f>
        <v/>
      </c>
      <c r="L2005" s="5" t="str">
        <f aca="false">IF(B2005="","",IF(C2005=0,"NOT FOUND",IF(IF($A2005="Bank",INDEX(Bank!$F:$F,$C2005),INDEX(GL!$F:$F,$C2005))="Y","NOW RECONCILED: refresh","OK")))</f>
        <v/>
      </c>
    </row>
  </sheetData>
  <autoFilter ref="A5:L2005"/>
  <conditionalFormatting sqref="A6:L2005">
    <cfRule type="expression" priority="2" aboveAverage="0" equalAverage="0" bottom="0" percent="0" rank="0" text="" dxfId="11">
      <formula>$J6="Near"</formula>
    </cfRule>
  </conditionalFormatting>
  <conditionalFormatting sqref="I6:I2005">
    <cfRule type="expression" priority="3" aboveAverage="0" equalAverage="0" bottom="0" percent="0" rank="0" text="" dxfId="16">
      <formula>AND(ISNUMBER(I6),I6&gt;90)</formula>
    </cfRule>
  </conditionalFormatting>
  <conditionalFormatting sqref="L6:L2005">
    <cfRule type="expression" priority="4" aboveAverage="0" equalAverage="0" bottom="0" percent="0" rank="0" text="" dxfId="3">
      <formula>AND(L6&lt;&gt;"",L6&lt;&gt;"OK")</formula>
    </cfRule>
  </conditionalFormatting>
  <dataValidations count="1">
    <dataValidation allowBlank="true" errorStyle="stop" operator="between" showDropDown="false" showErrorMessage="false" showInputMessage="false" sqref="A6:A2005" type="list">
      <formula1>"Bank,GL"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5" min="4" style="0" width="12"/>
  </cols>
  <sheetData>
    <row r="1" customFormat="false" ht="23.85" hidden="false" customHeight="false" outlineLevel="0" collapsed="false">
      <c r="A1" s="6" t="s">
        <v>287</v>
      </c>
      <c r="B1" s="6" t="s">
        <v>36</v>
      </c>
      <c r="C1" s="6" t="s">
        <v>288</v>
      </c>
      <c r="D1" s="6" t="s">
        <v>289</v>
      </c>
      <c r="E1" s="6" t="s">
        <v>290</v>
      </c>
    </row>
    <row r="2" customFormat="false" ht="15" hidden="false" customHeight="false" outlineLevel="0" collapsed="false">
      <c r="A2" s="32" t="n">
        <v>46237</v>
      </c>
      <c r="B2" s="5" t="s">
        <v>188</v>
      </c>
      <c r="C2" s="5" t="s">
        <v>44</v>
      </c>
      <c r="D2" s="5" t="n">
        <v>1250</v>
      </c>
      <c r="E2" s="5"/>
    </row>
    <row r="3" customFormat="false" ht="15" hidden="false" customHeight="false" outlineLevel="0" collapsed="false">
      <c r="A3" s="32" t="n">
        <v>46238</v>
      </c>
      <c r="B3" s="5" t="s">
        <v>190</v>
      </c>
      <c r="C3" s="5"/>
      <c r="D3" s="5"/>
      <c r="E3" s="5" t="n">
        <v>4380</v>
      </c>
    </row>
    <row r="4" customFormat="false" ht="15" hidden="false" customHeight="false" outlineLevel="0" collapsed="false">
      <c r="A4" s="32" t="n">
        <v>46239</v>
      </c>
      <c r="B4" s="5" t="s">
        <v>194</v>
      </c>
      <c r="C4" s="5"/>
      <c r="D4" s="5" t="n">
        <v>8912.44</v>
      </c>
      <c r="E4" s="5"/>
    </row>
    <row r="5" customFormat="false" ht="15" hidden="false" customHeight="false" outlineLevel="0" collapsed="false">
      <c r="A5" s="32" t="n">
        <v>46240</v>
      </c>
      <c r="B5" s="5" t="s">
        <v>197</v>
      </c>
      <c r="C5" s="5" t="s">
        <v>198</v>
      </c>
      <c r="D5" s="5" t="n">
        <v>1250</v>
      </c>
      <c r="E5" s="5"/>
    </row>
    <row r="6" customFormat="false" ht="15" hidden="false" customHeight="false" outlineLevel="0" collapsed="false">
      <c r="A6" s="32" t="n">
        <v>46241</v>
      </c>
      <c r="B6" s="5" t="s">
        <v>201</v>
      </c>
      <c r="C6" s="5"/>
      <c r="D6" s="5" t="n">
        <v>612.87</v>
      </c>
      <c r="E6" s="5"/>
    </row>
    <row r="7" customFormat="false" ht="15" hidden="false" customHeight="false" outlineLevel="0" collapsed="false">
      <c r="A7" s="32" t="n">
        <v>46244</v>
      </c>
      <c r="B7" s="5" t="s">
        <v>204</v>
      </c>
      <c r="C7" s="5"/>
      <c r="D7" s="5"/>
      <c r="E7" s="5" t="n">
        <v>5000</v>
      </c>
    </row>
    <row r="8" customFormat="false" ht="15" hidden="false" customHeight="false" outlineLevel="0" collapsed="false">
      <c r="A8" s="32" t="n">
        <v>46246</v>
      </c>
      <c r="B8" s="5" t="s">
        <v>207</v>
      </c>
      <c r="C8" s="5"/>
      <c r="D8" s="5" t="n">
        <v>318.4</v>
      </c>
      <c r="E8" s="5"/>
    </row>
    <row r="9" customFormat="false" ht="15" hidden="false" customHeight="false" outlineLevel="0" collapsed="false">
      <c r="A9" s="32" t="n">
        <v>46248</v>
      </c>
      <c r="B9" s="5" t="s">
        <v>210</v>
      </c>
      <c r="C9" s="5" t="s">
        <v>211</v>
      </c>
      <c r="D9" s="5" t="n">
        <v>2000</v>
      </c>
      <c r="E9" s="5"/>
    </row>
    <row r="10" customFormat="false" ht="15" hidden="false" customHeight="false" outlineLevel="0" collapsed="false">
      <c r="A10" s="32" t="n">
        <v>46251</v>
      </c>
      <c r="B10" s="5" t="s">
        <v>214</v>
      </c>
      <c r="C10" s="5"/>
      <c r="D10" s="5"/>
      <c r="E10" s="5" t="n">
        <v>1215.5</v>
      </c>
    </row>
    <row r="11" customFormat="false" ht="15" hidden="false" customHeight="false" outlineLevel="0" collapsed="false">
      <c r="A11" s="32" t="n">
        <v>46253</v>
      </c>
      <c r="B11" s="5" t="s">
        <v>217</v>
      </c>
      <c r="C11" s="5"/>
      <c r="D11" s="5" t="n">
        <v>186.23</v>
      </c>
      <c r="E11" s="5"/>
    </row>
    <row r="12" customFormat="false" ht="15" hidden="false" customHeight="false" outlineLevel="0" collapsed="false">
      <c r="A12" s="32" t="n">
        <v>46255</v>
      </c>
      <c r="B12" s="5" t="s">
        <v>220</v>
      </c>
      <c r="C12" s="5" t="s">
        <v>221</v>
      </c>
      <c r="D12" s="5" t="n">
        <v>743.1</v>
      </c>
      <c r="E12" s="5"/>
    </row>
    <row r="13" customFormat="false" ht="15" hidden="false" customHeight="false" outlineLevel="0" collapsed="false">
      <c r="A13" s="32" t="n">
        <v>46258</v>
      </c>
      <c r="B13" s="5" t="s">
        <v>224</v>
      </c>
      <c r="C13" s="5"/>
      <c r="D13" s="5"/>
      <c r="E13" s="5" t="n">
        <v>2847.66</v>
      </c>
    </row>
    <row r="14" customFormat="false" ht="15" hidden="false" customHeight="false" outlineLevel="0" collapsed="false">
      <c r="A14" s="32" t="n">
        <v>46260</v>
      </c>
      <c r="B14" s="5" t="s">
        <v>227</v>
      </c>
      <c r="C14" s="5"/>
      <c r="D14" s="5" t="n">
        <v>1104</v>
      </c>
      <c r="E14" s="5"/>
    </row>
    <row r="15" customFormat="false" ht="15" hidden="false" customHeight="false" outlineLevel="0" collapsed="false">
      <c r="A15" s="32" t="n">
        <v>46263</v>
      </c>
      <c r="B15" s="5" t="s">
        <v>230</v>
      </c>
      <c r="C15" s="5"/>
      <c r="D15" s="5" t="n">
        <v>25</v>
      </c>
      <c r="E15" s="5"/>
    </row>
    <row r="16" customFormat="false" ht="15" hidden="false" customHeight="false" outlineLevel="0" collapsed="false">
      <c r="A16" s="32" t="n">
        <v>46265</v>
      </c>
      <c r="B16" s="5" t="s">
        <v>232</v>
      </c>
      <c r="C16" s="5"/>
      <c r="D16" s="5"/>
      <c r="E16" s="5" t="n">
        <v>3.12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4" min="3" style="0" width="26"/>
    <col collapsed="false" customWidth="true" hidden="false" outlineLevel="0" max="6" min="5" style="0" width="12"/>
  </cols>
  <sheetData>
    <row r="1" customFormat="false" ht="15" hidden="false" customHeight="false" outlineLevel="0" collapsed="false">
      <c r="A1" s="6" t="s">
        <v>35</v>
      </c>
      <c r="B1" s="6" t="s">
        <v>291</v>
      </c>
      <c r="C1" s="6" t="s">
        <v>292</v>
      </c>
      <c r="D1" s="6" t="s">
        <v>293</v>
      </c>
      <c r="E1" s="6" t="s">
        <v>289</v>
      </c>
      <c r="F1" s="6" t="s">
        <v>290</v>
      </c>
    </row>
    <row r="2" customFormat="false" ht="15" hidden="false" customHeight="false" outlineLevel="0" collapsed="false">
      <c r="A2" s="32" t="n">
        <v>46236</v>
      </c>
      <c r="B2" s="5" t="s">
        <v>44</v>
      </c>
      <c r="C2" s="5" t="s">
        <v>294</v>
      </c>
      <c r="D2" s="5" t="s">
        <v>295</v>
      </c>
      <c r="E2" s="5"/>
      <c r="F2" s="5" t="n">
        <v>1250</v>
      </c>
    </row>
    <row r="3" customFormat="false" ht="15" hidden="false" customHeight="false" outlineLevel="0" collapsed="false">
      <c r="A3" s="32" t="n">
        <v>46237</v>
      </c>
      <c r="B3" s="5"/>
      <c r="C3" s="5" t="s">
        <v>296</v>
      </c>
      <c r="D3" s="5" t="s">
        <v>297</v>
      </c>
      <c r="E3" s="5" t="n">
        <v>4380</v>
      </c>
      <c r="F3" s="5"/>
    </row>
    <row r="4" customFormat="false" ht="15" hidden="false" customHeight="false" outlineLevel="0" collapsed="false">
      <c r="A4" s="32" t="n">
        <v>46238</v>
      </c>
      <c r="B4" s="5" t="s">
        <v>198</v>
      </c>
      <c r="C4" s="5" t="s">
        <v>298</v>
      </c>
      <c r="D4" s="5" t="s">
        <v>299</v>
      </c>
      <c r="E4" s="5"/>
      <c r="F4" s="5" t="n">
        <v>1250</v>
      </c>
    </row>
    <row r="5" customFormat="false" ht="15" hidden="false" customHeight="false" outlineLevel="0" collapsed="false">
      <c r="A5" s="32" t="n">
        <v>46239</v>
      </c>
      <c r="B5" s="5"/>
      <c r="C5" s="5" t="s">
        <v>300</v>
      </c>
      <c r="D5" s="5" t="s">
        <v>301</v>
      </c>
      <c r="E5" s="5"/>
      <c r="F5" s="5" t="n">
        <v>8912.44</v>
      </c>
    </row>
    <row r="6" customFormat="false" ht="15" hidden="false" customHeight="false" outlineLevel="0" collapsed="false">
      <c r="A6" s="32" t="n">
        <v>46241</v>
      </c>
      <c r="B6" s="5"/>
      <c r="C6" s="5" t="s">
        <v>302</v>
      </c>
      <c r="D6" s="5" t="s">
        <v>303</v>
      </c>
      <c r="E6" s="5"/>
      <c r="F6" s="5" t="n">
        <v>612.87</v>
      </c>
    </row>
    <row r="7" customFormat="false" ht="15" hidden="false" customHeight="false" outlineLevel="0" collapsed="false">
      <c r="A7" s="32" t="n">
        <v>46244</v>
      </c>
      <c r="B7" s="5"/>
      <c r="C7" s="5" t="s">
        <v>185</v>
      </c>
      <c r="D7" s="5" t="s">
        <v>304</v>
      </c>
      <c r="E7" s="5" t="n">
        <v>5000</v>
      </c>
      <c r="F7" s="5"/>
    </row>
    <row r="8" customFormat="false" ht="15" hidden="false" customHeight="false" outlineLevel="0" collapsed="false">
      <c r="A8" s="32" t="n">
        <v>46245</v>
      </c>
      <c r="B8" s="5"/>
      <c r="C8" s="5" t="s">
        <v>182</v>
      </c>
      <c r="D8" s="5" t="s">
        <v>305</v>
      </c>
      <c r="E8" s="5"/>
      <c r="F8" s="5" t="n">
        <v>318.4</v>
      </c>
    </row>
    <row r="9" customFormat="false" ht="15" hidden="false" customHeight="false" outlineLevel="0" collapsed="false">
      <c r="A9" s="32" t="n">
        <v>46246</v>
      </c>
      <c r="B9" s="5" t="s">
        <v>221</v>
      </c>
      <c r="C9" s="5" t="s">
        <v>306</v>
      </c>
      <c r="D9" s="5" t="s">
        <v>307</v>
      </c>
      <c r="E9" s="5"/>
      <c r="F9" s="5" t="n">
        <v>743.1</v>
      </c>
    </row>
    <row r="10" customFormat="false" ht="15" hidden="false" customHeight="false" outlineLevel="0" collapsed="false">
      <c r="A10" s="32" t="n">
        <v>46249</v>
      </c>
      <c r="B10" s="5"/>
      <c r="C10" s="5" t="s">
        <v>308</v>
      </c>
      <c r="D10" s="5" t="s">
        <v>309</v>
      </c>
      <c r="E10" s="5" t="n">
        <v>1215.5</v>
      </c>
      <c r="F10" s="5"/>
    </row>
    <row r="11" customFormat="false" ht="15" hidden="false" customHeight="false" outlineLevel="0" collapsed="false">
      <c r="A11" s="32" t="n">
        <v>46252</v>
      </c>
      <c r="B11" s="5"/>
      <c r="C11" s="5" t="s">
        <v>310</v>
      </c>
      <c r="D11" s="5" t="s">
        <v>311</v>
      </c>
      <c r="E11" s="5"/>
      <c r="F11" s="5" t="n">
        <v>186.2</v>
      </c>
    </row>
    <row r="12" customFormat="false" ht="15" hidden="false" customHeight="false" outlineLevel="0" collapsed="false">
      <c r="A12" s="32" t="n">
        <v>46258</v>
      </c>
      <c r="B12" s="5"/>
      <c r="C12" s="5" t="s">
        <v>312</v>
      </c>
      <c r="D12" s="5" t="s">
        <v>313</v>
      </c>
      <c r="E12" s="5" t="n">
        <v>2847.66</v>
      </c>
      <c r="F12" s="5"/>
    </row>
    <row r="13" customFormat="false" ht="15" hidden="false" customHeight="false" outlineLevel="0" collapsed="false">
      <c r="A13" s="32" t="n">
        <v>46260</v>
      </c>
      <c r="B13" s="5"/>
      <c r="C13" s="5" t="s">
        <v>314</v>
      </c>
      <c r="D13" s="5" t="s">
        <v>315</v>
      </c>
      <c r="E13" s="5"/>
      <c r="F13" s="5" t="n">
        <v>1104</v>
      </c>
    </row>
    <row r="14" customFormat="false" ht="15" hidden="false" customHeight="false" outlineLevel="0" collapsed="false">
      <c r="A14" s="32" t="n">
        <v>46262</v>
      </c>
      <c r="B14" s="5" t="s">
        <v>253</v>
      </c>
      <c r="C14" s="5" t="s">
        <v>316</v>
      </c>
      <c r="D14" s="5" t="s">
        <v>317</v>
      </c>
      <c r="E14" s="5"/>
      <c r="F14" s="5" t="n">
        <v>2000</v>
      </c>
    </row>
    <row r="15" customFormat="false" ht="15" hidden="false" customHeight="false" outlineLevel="0" collapsed="false">
      <c r="A15" s="32" t="n">
        <v>46263</v>
      </c>
      <c r="B15" s="5" t="s">
        <v>256</v>
      </c>
      <c r="C15" s="5" t="s">
        <v>318</v>
      </c>
      <c r="D15" s="5" t="s">
        <v>319</v>
      </c>
      <c r="E15" s="5"/>
      <c r="F15" s="5" t="n">
        <v>389.75</v>
      </c>
    </row>
    <row r="16" customFormat="false" ht="15" hidden="false" customHeight="false" outlineLevel="0" collapsed="false">
      <c r="A16" s="32" t="n">
        <v>46265</v>
      </c>
      <c r="B16" s="5"/>
      <c r="C16" s="5" t="s">
        <v>320</v>
      </c>
      <c r="D16" s="5" t="s">
        <v>297</v>
      </c>
      <c r="E16" s="5" t="n">
        <v>960</v>
      </c>
      <c r="F16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2026-09-11T18:12:48Z</dcterms:created>
  <dc:creator>openpyxl</dc:creator>
  <dc:description/>
  <dc:language>en-US</dc:language>
  <cp:lastModifiedBy/>
  <dcterms:modified xsi:type="dcterms:W3CDTF">2026-09-11T18:12:51Z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